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Assumptions_Log" sheetId="3" state="visible" r:id="rId5"/>
    <sheet name="Benchmarks" sheetId="4" state="visible" r:id="rId6"/>
    <sheet name="Inputs" sheetId="5" state="visible" r:id="rId7"/>
    <sheet name="Sensitivity" sheetId="6" state="visible" r:id="rId8"/>
    <sheet name="Risk_Results" sheetId="7" state="visible" r:id="rId9"/>
    <sheet name="WLC_Model" sheetId="8" state="visible" r:id="rId10"/>
    <sheet name="MC_Iteration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Must equal 100%. Analyst assumption: contract award 2019, peak build spend 2023-2026, deliveries to c.2031. Consistent with Babcock recognising over £600m revenue by April 2023.</t>
        </r>
      </text>
    </comment>
  </commentList>
</comments>
</file>

<file path=xl/sharedStrings.xml><?xml version="1.0" encoding="utf-8"?>
<sst xmlns="http://schemas.openxmlformats.org/spreadsheetml/2006/main" count="489" uniqueCount="386">
  <si>
    <t xml:space="preserve">Type 31 Frigate – Whole-Life Cost, Sensitivity and Risk Model</t>
  </si>
  <si>
    <t xml:space="preserve">Prepared by Sino Lam · Illustrative model built entirely from publicly available data · All costs in £m, approximate 2023-24 prices unless stated</t>
  </si>
  <si>
    <t xml:space="preserve">Purpose</t>
  </si>
  <si>
    <t xml:space="preserve">Estimate the whole-life cost (WLC) of the Royal Navy's five Type 31 (Inspiration-class) general-purpose frigates, test which assumptions drive that cost, and quantify the uncertainty around it.</t>
  </si>
  <si>
    <t xml:space="preserve">Questions answered</t>
  </si>
  <si>
    <t xml:space="preserve">1. How much will the class cost over its life?  (Summary, WLC_Model)</t>
  </si>
  <si>
    <t xml:space="preserve">2. Is the estimate consistent with comparable programmes?  (Benchmarks – US, Canadian, Australian and Danish data)</t>
  </si>
  <si>
    <t xml:space="preserve">3. Which assumptions matter most?  (Sensitivity – one-way tornado analysis; Assumptions_Log)</t>
  </si>
  <si>
    <t xml:space="preserve">4. How confident can we be in the estimate?  (Risk_Results – 2,000-iteration Monte Carlo simulation)</t>
  </si>
  <si>
    <t xml:space="preserve">Workbook structure</t>
  </si>
  <si>
    <t xml:space="preserve">Inputs – every input in one place, with low / base / high values, type (Sourced, Derived, Benchmark, Assumption) and source.</t>
  </si>
  <si>
    <t xml:space="preserve">Assumptions_Log – the reasoning, evidence, confidence rating and cost impact of every analyst assumption.</t>
  </si>
  <si>
    <t xml:space="preserve">Benchmarks – international comparators used to calibrate and sense-check the estimate.</t>
  </si>
  <si>
    <t xml:space="preserve">WLC_Model – annual cost profile 2019-2065 by cost category, ships in service, discounted present value, and reconciliation checks.</t>
  </si>
  <si>
    <t xml:space="preserve">Summary – headline results, cost breakdown and charts.</t>
  </si>
  <si>
    <t xml:space="preserve">Sensitivity – each uncertain input moved to its low and high value (others held at base); tornado chart ranks the drivers.</t>
  </si>
  <si>
    <t xml:space="preserve">MC_Iterations / Risk_Results – 2,000 random draws from triangular distributions; percentiles, histogram and S-curve.</t>
  </si>
  <si>
    <t xml:space="preserve">Sources – full references for every sourced figure.</t>
  </si>
  <si>
    <t xml:space="preserve">Method</t>
  </si>
  <si>
    <t xml:space="preserve">WLC = Acquisition × (1 + growth) + Ships × Service life × (Operating + Maintenance) × (1 + Indirect uplift) + Ships × (Mid-life update + Disposal).</t>
  </si>
  <si>
    <t xml:space="preserve">Operating cost: the published Type 23 average direct operating cost (MoD FOI, FY2013-14) is uplifted to 2023-24 prices with the HM Treasury GDP deflator, and its personnel element is scaled by the ratio of Type 31 to Type 23 crew size.</t>
  </si>
  <si>
    <t xml:space="preserve">Maintenance: published Type 23 upkeep spend since 2014 is converted to a cost per ship-year and scaled for a newer ship.</t>
  </si>
  <si>
    <t xml:space="preserve">Indirect &amp; sustaining support: the UK figures above are direct costs only. They are uplifted using the ratio of sustaining support and other costs to direct costs in the US Navy's FFG-62 frigate estimate, and the result is checked against US, Canadian and Australian evidence on the Benchmarks sheet.</t>
  </si>
  <si>
    <t xml:space="preserve">Present value: future costs (from the base year) are discounted at the HM Treasury Green Book real discount rate of 3.5%. Spend before the base year is treated as sunk.</t>
  </si>
  <si>
    <t xml:space="preserve">Risk: inputs are sampled from triangular distributions using the inverse-CDF method with RAND(). Press F9 to re-run the simulation; results will move slightly each time.</t>
  </si>
  <si>
    <t xml:space="preserve">Colour key</t>
  </si>
  <si>
    <t xml:space="preserve">Blue text = hard-coded input (change these)   ·   Black text = formula   ·   Green text = link to another sheet   ·   Yellow fill = key assumption   ·   Orange fill = benchmark-calibrated input</t>
  </si>
  <si>
    <t xml:space="preserve">Key limitations</t>
  </si>
  <si>
    <t xml:space="preserve">• The £2.2bn acquisition budget is an outturn (cash) figure that includes forecast inflation from 2019; it is treated here as approximately 2023-24 prices. Inflation since 2022 is not in the approved figure (MoD, 2023), which is why an acquisition growth range is modelled.</t>
  </si>
  <si>
    <t xml:space="preserve">• The Type 31 through-life support business case has not been published, so running costs are estimated by analogy with the Type 23 and calibrated to overseas programmes, whose cost structures differ from the UK's.</t>
  </si>
  <si>
    <t xml:space="preserve">• International benchmarks are compared as ratios (shares and multiples), which avoids currency conversion but assumes cost structures are broadly comparable.</t>
  </si>
  <si>
    <t xml:space="preserve">• Several values are analyst assumptions; each is explained and rated on the Assumptions_Log sheet.</t>
  </si>
  <si>
    <t xml:space="preserve">Type 31 Frigate – Whole-Life Cost Summary</t>
  </si>
  <si>
    <t xml:space="preserve">£m, approx. 2023-24 prices · Five ships · Calibrated to international benchmarks (see Benchmarks)</t>
  </si>
  <si>
    <t xml:space="preserve">Headline results</t>
  </si>
  <si>
    <t xml:space="preserve">£m</t>
  </si>
  <si>
    <t xml:space="preserve">Whole-life cost (deterministic, undiscounted)</t>
  </si>
  <si>
    <t xml:space="preserve">Whole-life cost per ship</t>
  </si>
  <si>
    <t xml:space="preserve">Acquisition cost</t>
  </si>
  <si>
    <t xml:space="preserve">Support cost (operate, maintain, support, update, dispose)</t>
  </si>
  <si>
    <t xml:space="preserve">Support share of whole-life cost</t>
  </si>
  <si>
    <t xml:space="preserve">Direct-cost-only WLC (before benchmark calibration)</t>
  </si>
  <si>
    <t xml:space="preserve">Present value of future costs (from base year, 3.5%)</t>
  </si>
  <si>
    <t xml:space="preserve">Risk: P50 whole-life cost (Monte Carlo)</t>
  </si>
  <si>
    <t xml:space="preserve">Risk: P80 whole-life cost (Monte Carlo)</t>
  </si>
  <si>
    <t xml:space="preserve">Risk: contingency P80 minus deterministic</t>
  </si>
  <si>
    <t xml:space="preserve">Risk: probability WLC exceeds deterministic estimate</t>
  </si>
  <si>
    <t xml:space="preserve">Cost breakdown</t>
  </si>
  <si>
    <t xml:space="preserve">Share</t>
  </si>
  <si>
    <t xml:space="preserve">Acquisition</t>
  </si>
  <si>
    <t xml:space="preserve">Operating (crew, fuel, port)</t>
  </si>
  <si>
    <t xml:space="preserve">Maintenance / upkeep</t>
  </si>
  <si>
    <t xml:space="preserve">Indirect &amp; sustaining support</t>
  </si>
  <si>
    <t xml:space="preserve">Mid-life updates</t>
  </si>
  <si>
    <t xml:space="preserve">Disposal</t>
  </si>
  <si>
    <t xml:space="preserve">Total</t>
  </si>
  <si>
    <t xml:space="preserve">Key findings</t>
  </si>
  <si>
    <t xml:space="preserve">Assumptions log</t>
  </si>
  <si>
    <t xml:space="preserve">Every analyst assumption, why it was chosen, the evidence behind it, how confident we are, and how much it moves the answer. Values link live to Inputs; impact links to Sensitivity.</t>
  </si>
  <si>
    <t xml:space="preserve">ID</t>
  </si>
  <si>
    <t xml:space="preserve">Assumption</t>
  </si>
  <si>
    <t xml:space="preserve">Base</t>
  </si>
  <si>
    <t xml:space="preserve">Low</t>
  </si>
  <si>
    <t xml:space="preserve">High</t>
  </si>
  <si>
    <t xml:space="preserve">Why this value</t>
  </si>
  <si>
    <t xml:space="preserve">Evidence</t>
  </si>
  <si>
    <t xml:space="preserve">Confidence</t>
  </si>
  <si>
    <t xml:space="preserve">WLC swing low→high (£m)</t>
  </si>
  <si>
    <t xml:space="preserve">L</t>
  </si>
  <si>
    <t xml:space="preserve">Each ship stays in service for 25 years, with 20 and 30 years as the range.</t>
  </si>
  <si>
    <t xml:space="preserve">25 years is the standard planning life for modern frigates and the life used in the US FFG-62 estimate. Type 23s show lives can stretch well beyond plan when replacements slip.</t>
  </si>
  <si>
    <t xml:space="preserve">FFG-62 SAR (25-year life per ship); Type 23 planned for 18 years, some served 30+ (Naval Technology, 2025).</t>
  </si>
  <si>
    <t xml:space="preserve">Medium</t>
  </si>
  <si>
    <t xml:space="preserve">G</t>
  </si>
  <si>
    <t xml:space="preserve">Acquisition costs grow 5% above the £2.2bn budget (range 0-20%).</t>
  </si>
  <si>
    <t xml:space="preserve">MoD's approved figure excludes inflation since 2022, and the prime contractor has reported cost pressures. A modest base with a fat upside reflects a fixed-price contract that shifts some, but not all, risk to industry.</t>
  </si>
  <si>
    <t xml:space="preserve">MoD letter to PAC (May 2023); Babcock £90m loss and dispute over cost increases (Naval Technology 2024; Janes 2023).</t>
  </si>
  <si>
    <t xml:space="preserve">PS</t>
  </si>
  <si>
    <t xml:space="preserve">Crew pay is 70% of direct operating cost (range 60-80%).</t>
  </si>
  <si>
    <t xml:space="preserve">Used to scale Type 23 running costs to Type 31's smaller crew. US FFG-62 data puts manpower at 75% of manpower-plus-operations.</t>
  </si>
  <si>
    <t xml:space="preserve">FFG-62 SAR Dec 2022 (unit-level manpower $16.6m vs unit operations $5.4m per ship-year).</t>
  </si>
  <si>
    <t xml:space="preserve">OPU</t>
  </si>
  <si>
    <t xml:space="preserve">Running costs estimated by analogy may be 10% lower to 25% higher than calculated.</t>
  </si>
  <si>
    <t xml:space="preserve">Estimating a new class from an older one is uncertain; history shows support costs are usually underestimated, so the range is skewed upward.</t>
  </si>
  <si>
    <t xml:space="preserve">GAO-20-2: Navy underestimated sustainment costs by $130bn across six ship classes.</t>
  </si>
  <si>
    <t xml:space="preserve">UKY / UKF</t>
  </si>
  <si>
    <t xml:space="preserve">Type 23 upkeep spend covers 11 years and an average fleet of 12 ships.</t>
  </si>
  <si>
    <t xml:space="preserve">Turns a published total into a cost per ship-year. Fleet size fell from 13 to 8 over the period, so 12 is a rough average weighted to the earlier years.</t>
  </si>
  <si>
    <t xml:space="preserve">Written PQ, 17 Mar 2025 (£941.2m since 2014); Type 23 fleet numbers (Naval Technology, 2025).</t>
  </si>
  <si>
    <t xml:space="preserve">–</t>
  </si>
  <si>
    <t xml:space="preserve">MF</t>
  </si>
  <si>
    <t xml:space="preserve">Type 31 needs 80% of the Type 23's upkeep (range 60-120%).</t>
  </si>
  <si>
    <t xml:space="preserve">A new ship on a proven commercial-standard hull should be cheaper to maintain than 30-year-old Type 23s, but costs rise as ships age.</t>
  </si>
  <si>
    <t xml:space="preserve">Type 31 based on the Danish Iver Huitfeldt / Arrowhead 140 design; Type 23 upkeep evidence.</t>
  </si>
  <si>
    <t xml:space="preserve">IND</t>
  </si>
  <si>
    <t xml:space="preserve">Indirect and sustaining support adds 62% on top of direct running costs (range 30-82%).</t>
  </si>
  <si>
    <t xml:space="preserve">UK published figures cover only direct costs. The US FFG-62 estimate breaks down full support costs, giving the ratio of indirect to direct support. Without this, support would be far below international norms.</t>
  </si>
  <si>
    <t xml:space="preserve">FFG-62 SAR Dec 2022; cross-checked against GAO (c.70%) and Canadian PBO (72%) support shares.</t>
  </si>
  <si>
    <t xml:space="preserve">MLU</t>
  </si>
  <si>
    <t xml:space="preserve">Each ship has a £75m mid-life update in its 13th year (range £50-150m).</t>
  </si>
  <si>
    <t xml:space="preserve">Frigates typically receive a major refit and capability update halfway through life. Type 23 refits have cost over £100m, but Type 31 is simpler and designed for upgrades.</t>
  </si>
  <si>
    <t xml:space="preserve">HMS Iron Duke refit &gt;£100m (Naval Technology, 2025); FFG-62 continuous system improvements c.11% of annual O&amp;S.</t>
  </si>
  <si>
    <t xml:space="preserve">D</t>
  </si>
  <si>
    <t xml:space="preserve">Disposal costs £5m per ship (range £2-15m).</t>
  </si>
  <si>
    <t xml:space="preserve">Disposal is a small share of whole-life cost in every comparator, so precision matters little.</t>
  </si>
  <si>
    <t xml:space="preserve">FFG-62 SAR (c.$9m per ship); Canadian PBO (0.6% of life-cycle cost).</t>
  </si>
  <si>
    <t xml:space="preserve">ISD1 / INT</t>
  </si>
  <si>
    <t xml:space="preserve">First ship in service 2027, then one per year.</t>
  </si>
  <si>
    <t xml:space="preserve">Matches published in-service plans for HMS Venturer and the class. Timing affects present value but not undiscounted WLC.</t>
  </si>
  <si>
    <t xml:space="preserve">Naval Technology (2024): five ships into service from 2027; Royal Navy (2025).</t>
  </si>
  <si>
    <t xml:space="preserve">Profile</t>
  </si>
  <si>
    <t xml:space="preserve">Acquisition spend profile 2019-2031 (WLC_Model row 5).</t>
  </si>
  <si>
    <t xml:space="preserve">Spreads the £2.2bn from contract award to final delivery, peaking during main build. Affects timing and present value only.</t>
  </si>
  <si>
    <t xml:space="preserve">Contract award Nov 2019; Babcock had recognised over £600m revenue by April 2023.</t>
  </si>
  <si>
    <t xml:space="preserve">Price base</t>
  </si>
  <si>
    <t xml:space="preserve">The £2.2bn budget is treated as approximately 2023-24 prices.</t>
  </si>
  <si>
    <t xml:space="preserve">The MoD figure mixes years and includes 2019 inflation forecasts. No published breakdown allows exact rebasing, so the acquisition growth range absorbs this.</t>
  </si>
  <si>
    <t xml:space="preserve">MoD letter to PAC (May 2023).</t>
  </si>
  <si>
    <t xml:space="preserve">BY / R</t>
  </si>
  <si>
    <t xml:space="preserve">Present values use 2026 as base year and a 3.5% real discount rate.</t>
  </si>
  <si>
    <t xml:space="preserve">Green Book standard for public sector appraisal; costs before 2026 are sunk and excluded from present value.</t>
  </si>
  <si>
    <t xml:space="preserve">HM Treasury Green Book.</t>
  </si>
  <si>
    <t xml:space="preserve">International benchmarks</t>
  </si>
  <si>
    <t xml:space="preserve">Comparators are expressed as ratios (shares, multiples) so no currency conversion is needed. Blue = published figure, black = calculation.</t>
  </si>
  <si>
    <t xml:space="preserve">A. Support (operating &amp; support) share of whole-life cost</t>
  </si>
  <si>
    <t xml:space="preserve">Programme</t>
  </si>
  <si>
    <t xml:space="preserve">Operating &amp; support</t>
  </si>
  <si>
    <t xml:space="preserve">Other (dev't, disposal)</t>
  </si>
  <si>
    <t xml:space="preserve">Support share</t>
  </si>
  <si>
    <t xml:space="preserve">Source and notes</t>
  </si>
  <si>
    <t xml:space="preserve">US Navy ships – GAO rule of thumb</t>
  </si>
  <si>
    <t xml:space="preserve">GAO-20-2 (2019): about 70% of a ship's life-cycle cost is operations and maintenance.</t>
  </si>
  <si>
    <t xml:space="preserve">Canada – Canadian Surface Combatant (15 ships), C$bn</t>
  </si>
  <si>
    <t xml:space="preserve">Parliamentary Budget Officer, Life Cycle Cost of the Canadian Surface Combatants, Oct 2022. Development C$4.3bn, disposal C$1.7bn.</t>
  </si>
  <si>
    <t xml:space="preserve">US Navy – FFG-62 Constellation frigate (20 ships), US$m CY2020</t>
  </si>
  <si>
    <t xml:space="preserve">Selected Acquisition Report, Dec 2022. O&amp;S = $57.9m per ship-year × 20 ships × 25 years (disposal included in O&amp;S).</t>
  </si>
  <si>
    <t xml:space="preserve">Type 31 – this model, direct costs only</t>
  </si>
  <si>
    <t xml:space="preserve">UK direct costs: crew, fuel, port visits, upkeep periods, mid-life update and disposal.</t>
  </si>
  <si>
    <t xml:space="preserve">Type 31 – this model, calibrated (used for results)</t>
  </si>
  <si>
    <t xml:space="preserve">Adds indirect and sustaining support calibrated to FFG-62 (section B).</t>
  </si>
  <si>
    <t xml:space="preserve">B. US Navy FFG-62 annual operating &amp; support cost per ship, by element (US$m, CY2020)</t>
  </si>
  <si>
    <t xml:space="preserve">Cost element</t>
  </si>
  <si>
    <t xml:space="preserve">US$m per ship-year</t>
  </si>
  <si>
    <t xml:space="preserve">Equivalent in UK model</t>
  </si>
  <si>
    <t xml:space="preserve">Unit-level manpower</t>
  </si>
  <si>
    <t xml:space="preserve">Direct: operating cost (crew)</t>
  </si>
  <si>
    <t xml:space="preserve">Unit operations (fuel, consumables)</t>
  </si>
  <si>
    <t xml:space="preserve">Direct: operating cost (non-crew)</t>
  </si>
  <si>
    <t xml:space="preserve">Maintenance</t>
  </si>
  <si>
    <t xml:space="preserve">Direct: maintenance / upkeep</t>
  </si>
  <si>
    <t xml:space="preserve">Sustaining support</t>
  </si>
  <si>
    <t xml:space="preserve">Continued system improvements</t>
  </si>
  <si>
    <t xml:space="preserve">Mid-life update (partly)</t>
  </si>
  <si>
    <t xml:space="preserve">Other (indirect support)</t>
  </si>
  <si>
    <t xml:space="preserve">Total O&amp;S per ship-year</t>
  </si>
  <si>
    <t xml:space="preserve">Calibrated uplift: (sustaining support + other) ÷ (manpower + operations + maintenance)</t>
  </si>
  <si>
    <t xml:space="preserve">→ feeds Inputs: Indirect &amp; sustaining support uplift (base case)</t>
  </si>
  <si>
    <t xml:space="preserve">FFG-62 manpower share of direct operating cost (manpower ÷ (manpower + operations))</t>
  </si>
  <si>
    <t xml:space="preserve">→ supports Inputs: personnel share of direct operating cost (70%)</t>
  </si>
  <si>
    <t xml:space="preserve">FFG-62 annual O&amp;S as % of unit acquisition cost</t>
  </si>
  <si>
    <t xml:space="preserve">Type 31 (calibrated) annual running cost as % of unit acquisition cost</t>
  </si>
  <si>
    <t xml:space="preserve">Very close to FFG-62 – an independent cross-check that calibrated running costs are proportionate to the ship's value</t>
  </si>
  <si>
    <t xml:space="preserve">Source: FFG(62) Selected Acquisition Report, December 2022 (Component Independent Cost Estimate, April 2020).</t>
  </si>
  <si>
    <t xml:space="preserve">C. Other comparators (context only, not used in calculations)</t>
  </si>
  <si>
    <t xml:space="preserve">Comparator</t>
  </si>
  <si>
    <t xml:space="preserve">Value</t>
  </si>
  <si>
    <t xml:space="preserve">Unit</t>
  </si>
  <si>
    <t xml:space="preserve">Per ship</t>
  </si>
  <si>
    <t xml:space="preserve">Australia – ANZAC class frigate sustainment, 2018-19 budget (8 ships)</t>
  </si>
  <si>
    <t xml:space="preserve">A$m/yr</t>
  </si>
  <si>
    <t xml:space="preserve">ANAO, Anzac Class Frigates – Sustainment (2019). Materiel sustainment only; shows support of an in-service frigate class running at tens of millions per ship per year.</t>
  </si>
  <si>
    <t xml:space="preserve">Denmark – Iver Huitfeldt class (parent design of Type 31), build cost</t>
  </si>
  <si>
    <t xml:space="preserve">US$m/ship</t>
  </si>
  <si>
    <t xml:space="preserve">Wikipedia infobox (uncited). Supports Type 31's low build cost (c.£250m production cost per ship) from reusing a proven hull.</t>
  </si>
  <si>
    <t xml:space="preserve">Denmark – Iver Huitfeldt class crew</t>
  </si>
  <si>
    <t xml:space="preserve">people</t>
  </si>
  <si>
    <t xml:space="preserve">Wikipedia infobox (uncited). Type 31 is planned to run with a much smaller crew (105-115).</t>
  </si>
  <si>
    <t xml:space="preserve">UK – Type 23 crew (HMS St Albans)</t>
  </si>
  <si>
    <t xml:space="preserve">Royal Navy ship page: crew of 185, accommodation for up to 205.</t>
  </si>
  <si>
    <t xml:space="preserve">UK – Type 31 average production cost per ship</t>
  </si>
  <si>
    <t xml:space="preserve">£m/ship</t>
  </si>
  <si>
    <t xml:space="preserve">Babcock contract, Nov 2019 (Naval Technology, 2024). Excludes MoD-side costs within the £2.2bn.</t>
  </si>
  <si>
    <t xml:space="preserve">What the benchmarks changed</t>
  </si>
  <si>
    <t xml:space="preserve">Inputs and assumptions</t>
  </si>
  <si>
    <t xml:space="preserve">All costs £m, approx. 2023-24 prices. Low and High feed the Sensitivity sheet; Low / Base / High are the min / most likely / max for the Monte Carlo. Reasoning for each assumption is on Assumptions_Log.</t>
  </si>
  <si>
    <t xml:space="preserve">Parameter</t>
  </si>
  <si>
    <t xml:space="preserve">Type</t>
  </si>
  <si>
    <t xml:space="preserve">Source / notes</t>
  </si>
  <si>
    <t xml:space="preserve">N</t>
  </si>
  <si>
    <t xml:space="preserve">Number of ships</t>
  </si>
  <si>
    <t xml:space="preserve">ships</t>
  </si>
  <si>
    <t xml:space="preserve">Sourced</t>
  </si>
  <si>
    <t xml:space="preserve">Five Inspiration-class ships on contract with Babcock (MoD letter to PAC, 25 May 2023).</t>
  </si>
  <si>
    <t xml:space="preserve">ISD1</t>
  </si>
  <si>
    <t xml:space="preserve">First ship in service (financial year)</t>
  </si>
  <si>
    <t xml:space="preserve">year</t>
  </si>
  <si>
    <t xml:space="preserve">HMS Venturer planned to enter service c.2027; five ships in service from 2027 with final handover around 2028-2030 (Naval Technology, 2024). See Assumptions_Log.</t>
  </si>
  <si>
    <t xml:space="preserve">INT</t>
  </si>
  <si>
    <t xml:space="preserve">Interval between ship in-service dates</t>
  </si>
  <si>
    <t xml:space="preserve">years</t>
  </si>
  <si>
    <t xml:space="preserve">Simplifying assumption: one ship per year.</t>
  </si>
  <si>
    <t xml:space="preserve">Service life per ship</t>
  </si>
  <si>
    <t xml:space="preserve">25 years matches the planning life in the US Navy FFG-62 estimate and early Type 26 planning. Type 23s were planned for 18 years but extended past 30.</t>
  </si>
  <si>
    <t xml:space="preserve">ACQ</t>
  </si>
  <si>
    <t xml:space="preserve">Approved acquisition budget (5 ships)</t>
  </si>
  <si>
    <t xml:space="preserve">Uplifted from £2.0bn to £2.2bn in 2022. Covers Babcock contract, c.£100m GFX, trials, spares, integration facility (MoD letter to PAC, 25 May 2023).</t>
  </si>
  <si>
    <t xml:space="preserve">Acquisition cost growth above approved budget</t>
  </si>
  <si>
    <t xml:space="preserve">%</t>
  </si>
  <si>
    <t xml:space="preserve">MoD states recent inflation is not reflected in the £2.2bn; Babcock booked a £90m loss citing design changes and labour costs (Naval Technology, July 2024).</t>
  </si>
  <si>
    <t xml:space="preserve">OP23</t>
  </si>
  <si>
    <t xml:space="preserve">Type 23 average direct operating cost per ship (FY13-14)</t>
  </si>
  <si>
    <t xml:space="preserve">£m/yr</t>
  </si>
  <si>
    <t xml:space="preserve">MoD FOI 2015/06440, Annex A. Includes personnel, fuel, port visits, travel. Excludes maintenance, base support, overheads, aircraft, training.</t>
  </si>
  <si>
    <t xml:space="preserve">DEF14</t>
  </si>
  <si>
    <t xml:space="preserve">GDP deflator 2013-14 (2023-24 = 100)</t>
  </si>
  <si>
    <t xml:space="preserve">index</t>
  </si>
  <si>
    <t xml:space="preserve">HM Treasury GDP deflators at market prices, June 2024 release.</t>
  </si>
  <si>
    <t xml:space="preserve">DEF24</t>
  </si>
  <si>
    <t xml:space="preserve">GDP deflator 2023-24</t>
  </si>
  <si>
    <t xml:space="preserve">HM Treasury GDP deflators, June 2024 release (base year).</t>
  </si>
  <si>
    <t xml:space="preserve">UPL</t>
  </si>
  <si>
    <t xml:space="preserve">Price uplift 2013-14 to 2023-24</t>
  </si>
  <si>
    <t xml:space="preserve">factor</t>
  </si>
  <si>
    <t xml:space="preserve">Derived</t>
  </si>
  <si>
    <t xml:space="preserve">Deflator 2023-24 ÷ deflator 2013-14.</t>
  </si>
  <si>
    <t xml:space="preserve">Personnel share of direct operating cost</t>
  </si>
  <si>
    <t xml:space="preserve">Benchmark</t>
  </si>
  <si>
    <t xml:space="preserve">US Navy FFG-62: unit-level manpower is 75% of manpower + unit operations ($16.6m of $22.0m per ship-year, SAR Dec 2022). 70% used, as UK fuel and port costs are proportionally higher.</t>
  </si>
  <si>
    <t xml:space="preserve">C23</t>
  </si>
  <si>
    <t xml:space="preserve">Type 23 crew complement</t>
  </si>
  <si>
    <t xml:space="preserve">Royal Navy, HMS St Albans ship page: 'sailed by a crew of 185, but with accommodation for up to 205'. Crew varies between ships and over time; 185 used for the class.</t>
  </si>
  <si>
    <t xml:space="preserve">C31</t>
  </si>
  <si>
    <t xml:space="preserve">Type 31 crew complement</t>
  </si>
  <si>
    <t xml:space="preserve">Crew of up to 105 (GOV.UK, 2021); Royal Navy now cites around 115 for HMS Venturer.</t>
  </si>
  <si>
    <t xml:space="preserve">Operating cost estimating uncertainty factor</t>
  </si>
  <si>
    <t xml:space="preserve">Captures the uncertainty of estimating by analogy with an older class. Skewed upward because new-ship running costs are usually underestimated (GAO-20-2).</t>
  </si>
  <si>
    <t xml:space="preserve">OP31</t>
  </si>
  <si>
    <t xml:space="preserve">Type 31 direct operating cost per ship-year</t>
  </si>
  <si>
    <t xml:space="preserve">T23 cost × price uplift × (personnel share × crew ratio + non-personnel share) × uncertainty factor.</t>
  </si>
  <si>
    <t xml:space="preserve">UK23</t>
  </si>
  <si>
    <t xml:space="preserve">Type 23 upkeep spend on completed upkeeps since 2014</t>
  </si>
  <si>
    <t xml:space="preserve">Written parliamentary answer, 17 March 2025 (reported by Naval Technology). Cash prices.</t>
  </si>
  <si>
    <t xml:space="preserve">UKY</t>
  </si>
  <si>
    <t xml:space="preserve">Years covered by upkeep spend</t>
  </si>
  <si>
    <t xml:space="preserve">2014 to 2024 inclusive.</t>
  </si>
  <si>
    <t xml:space="preserve">UKF</t>
  </si>
  <si>
    <t xml:space="preserve">Average Type 23 fleet size over the period</t>
  </si>
  <si>
    <t xml:space="preserve">Fleet fell from 13 to 8 over the period; 12 used as a rough average.</t>
  </si>
  <si>
    <t xml:space="preserve">M23</t>
  </si>
  <si>
    <t xml:space="preserve">Type 23 upkeep cost per ship-year</t>
  </si>
  <si>
    <t xml:space="preserve">Upkeep spend ÷ (years × fleet size).</t>
  </si>
  <si>
    <t xml:space="preserve">Type 31 maintenance scaling factor vs Type 23</t>
  </si>
  <si>
    <t xml:space="preserve">A newer ship based on a proven Danish design should need less maintenance than an ageing Type 23; the high case allows for ageing later in life.</t>
  </si>
  <si>
    <t xml:space="preserve">M31</t>
  </si>
  <si>
    <t xml:space="preserve">Type 31 maintenance cost per ship-year</t>
  </si>
  <si>
    <t xml:space="preserve">Type 23 upkeep per ship-year × scaling factor.</t>
  </si>
  <si>
    <t xml:space="preserve">Indirect &amp; sustaining support uplift on direct running costs</t>
  </si>
  <si>
    <t xml:space="preserve">Base calibrated to US Navy FFG-62 (SAR Dec 2022): (sustaining support + other) ÷ (manpower + unit operations + maintenance) = 0.62. High (0.82) adds continuous system improvements; low (0.30) assumes leaner UK overheads. Covers base support, training, spares and in-service support missing from the UK direct-cost figures.</t>
  </si>
  <si>
    <t xml:space="preserve">Mid-life update cost per ship</t>
  </si>
  <si>
    <t xml:space="preserve">Scaled from Type 23 experience: HMS Iron Duke's 2023 refit cost over £100m (Naval Technology, 2025).</t>
  </si>
  <si>
    <t xml:space="preserve">MLUY</t>
  </si>
  <si>
    <t xml:space="preserve">Mid-life update in year of service</t>
  </si>
  <si>
    <t xml:space="preserve">year no.</t>
  </si>
  <si>
    <t xml:space="preserve">Roughly halfway through a 25-year life.</t>
  </si>
  <si>
    <t xml:space="preserve">Disposal cost per ship</t>
  </si>
  <si>
    <t xml:space="preserve">US FFG-62 disposal is c.$9m per ship (SAR Dec 2022, $179.6m for 20 ships); Canadian CSC disposal is 0.6% of life-cycle cost (PBO 2022). £5m base.</t>
  </si>
  <si>
    <t xml:space="preserve">R</t>
  </si>
  <si>
    <t xml:space="preserve">Real discount rate</t>
  </si>
  <si>
    <t xml:space="preserve">HM Treasury Green Book social time preference rate (years 0-30).</t>
  </si>
  <si>
    <t xml:space="preserve">BY</t>
  </si>
  <si>
    <t xml:space="preserve">Present value base year</t>
  </si>
  <si>
    <t xml:space="preserve">Current year; spend before this is treated as sunk.</t>
  </si>
  <si>
    <t xml:space="preserve">One-way sensitivity analysis (tornado)</t>
  </si>
  <si>
    <t xml:space="preserve">Each input is moved to its Low and High value from the Inputs sheet while all others stay at Base. Output: undiscounted whole-life cost (£m).</t>
  </si>
  <si>
    <t xml:space="preserve">Base whole-life cost (£m):</t>
  </si>
  <si>
    <t xml:space="preserve">Input varied</t>
  </si>
  <si>
    <t xml:space="preserve">Low value</t>
  </si>
  <si>
    <t xml:space="preserve">High value</t>
  </si>
  <si>
    <t xml:space="preserve">WLC at low (£m)</t>
  </si>
  <si>
    <t xml:space="preserve">WLC at high (£m)</t>
  </si>
  <si>
    <t xml:space="preserve">Change at low (£m)</t>
  </si>
  <si>
    <t xml:space="preserve">Change at high (£m)</t>
  </si>
  <si>
    <t xml:space="preserve">Swing (£m)</t>
  </si>
  <si>
    <t xml:space="preserve">Swing as % of base</t>
  </si>
  <si>
    <t xml:space="preserve">Rows are ordered by swing, smallest first, so the largest driver appears at the top of the tornado chart. If you change Low/High values substantially, re-order rows by column H.</t>
  </si>
  <si>
    <t xml:space="preserve">Risk analysis – Monte Carlo results</t>
  </si>
  <si>
    <t xml:space="preserve">2,000 iterations · Undiscounted whole-life cost, £m approx. 2023-24 prices · Results change slightly each recalculation (F9).</t>
  </si>
  <si>
    <t xml:space="preserve">Statistic</t>
  </si>
  <si>
    <t xml:space="preserve">Deterministic (base case) estimate</t>
  </si>
  <si>
    <t xml:space="preserve">Mean</t>
  </si>
  <si>
    <t xml:space="preserve">P10 (10% chance of being lower)</t>
  </si>
  <si>
    <t xml:space="preserve">P50 (median)</t>
  </si>
  <si>
    <t xml:space="preserve">P80 (common budgeting confidence level)</t>
  </si>
  <si>
    <t xml:space="preserve">P90</t>
  </si>
  <si>
    <t xml:space="preserve">Minimum simulated</t>
  </si>
  <si>
    <t xml:space="preserve">Maximum simulated</t>
  </si>
  <si>
    <t xml:space="preserve">Standard deviation</t>
  </si>
  <si>
    <t xml:space="preserve">Probability WLC exceeds deterministic estimate</t>
  </si>
  <si>
    <t xml:space="preserve">Contingency needed for P80 confidence (P80 − deterministic)</t>
  </si>
  <si>
    <t xml:space="preserve">Contingency as % of deterministic estimate</t>
  </si>
  <si>
    <t xml:space="preserve">Histogram and S-curve</t>
  </si>
  <si>
    <t xml:space="preserve">Bin width (£m):</t>
  </si>
  <si>
    <t xml:space="preserve">Bin upper bound (£m)</t>
  </si>
  <si>
    <t xml:space="preserve">Count</t>
  </si>
  <si>
    <t xml:space="preserve">Frequency</t>
  </si>
  <si>
    <t xml:space="preserve">Cumulative %</t>
  </si>
  <si>
    <t xml:space="preserve">Whole-life cost model – annual profile (£m, approx. 2023-24 prices)</t>
  </si>
  <si>
    <t xml:space="preserve">Every cell is a formula driven by the Inputs sheet, except the acquisition spend profile (blue), which is an analyst assumption.</t>
  </si>
  <si>
    <t xml:space="preserve">Line</t>
  </si>
  <si>
    <t xml:space="preserve">ISD</t>
  </si>
  <si>
    <t xml:space="preserve">Acquisition spend profile (% of total)</t>
  </si>
  <si>
    <t xml:space="preserve">Ships in service</t>
  </si>
  <si>
    <t xml:space="preserve">Ship 1 in service (1 = yes)</t>
  </si>
  <si>
    <t xml:space="preserve">Ship 2 in service (1 = yes)</t>
  </si>
  <si>
    <t xml:space="preserve">Ship 3 in service (1 = yes)</t>
  </si>
  <si>
    <t xml:space="preserve">Ship 4 in service (1 = yes)</t>
  </si>
  <si>
    <t xml:space="preserve">Ship 5 in service (1 = yes)</t>
  </si>
  <si>
    <t xml:space="preserve">Total ships in service</t>
  </si>
  <si>
    <t xml:space="preserve">Costs (£m)</t>
  </si>
  <si>
    <t xml:space="preserve">Total cost</t>
  </si>
  <si>
    <t xml:space="preserve">Cumulative cost</t>
  </si>
  <si>
    <t xml:space="preserve">Discount factor (future years only)</t>
  </si>
  <si>
    <t xml:space="preserve">Present value of future cost</t>
  </si>
  <si>
    <t xml:space="preserve">Check: closed-form WLC</t>
  </si>
  <si>
    <t xml:space="preserve">Check: difference vs annual profile (should be 0)</t>
  </si>
  <si>
    <t xml:space="preserve">Check: acquisition profile sums to 100%</t>
  </si>
  <si>
    <t xml:space="preserve">Monte Carlo iterations (triangular distributions, inverse-CDF sampling)</t>
  </si>
  <si>
    <t xml:space="preserve">Each row is one simulated future. U = uniform random number RAND(); value = triangular inverse CDF using Low (min), Base (most likely) and High (max) from Inputs. Press F9 to re-sample.</t>
  </si>
  <si>
    <t xml:space="preserve">Iteration</t>
  </si>
  <si>
    <t xml:space="preserve">U L</t>
  </si>
  <si>
    <t xml:space="preserve">U G</t>
  </si>
  <si>
    <t xml:space="preserve">U PS</t>
  </si>
  <si>
    <t xml:space="preserve">U C31</t>
  </si>
  <si>
    <t xml:space="preserve">U OPU</t>
  </si>
  <si>
    <t xml:space="preserve">U MF</t>
  </si>
  <si>
    <t xml:space="preserve">U IND</t>
  </si>
  <si>
    <t xml:space="preserve">U MLU</t>
  </si>
  <si>
    <t xml:space="preserve">U D</t>
  </si>
  <si>
    <t xml:space="preserve">Whole-life cost (£m)</t>
  </si>
  <si>
    <t xml:space="preserve">Sources</t>
  </si>
  <si>
    <t xml:space="preserve">#</t>
  </si>
  <si>
    <t xml:space="preserve">Used for</t>
  </si>
  <si>
    <t xml:space="preserve">Reference</t>
  </si>
  <si>
    <t xml:space="preserve">Link</t>
  </si>
  <si>
    <t xml:space="preserve">Number of ships; £2.2bn approved acquisition budget and scope; through-life support excluded; recent inflation not reflected</t>
  </si>
  <si>
    <t xml:space="preserve">MoD Permanent Secretary letter to the Public Accounts Committee, 'Type 31 General Purpose Frigate Costs', 25 May 2023</t>
  </si>
  <si>
    <t xml:space="preserve">https://committees.parliament.uk/publications/40198/documents/196331/default/</t>
  </si>
  <si>
    <t xml:space="preserve">Type 23 average direct operating cost per ship (£11.735m, FY2013-14) and its inclusions/exclusions</t>
  </si>
  <si>
    <t xml:space="preserve">MoD Navy Command FOI 2015/06440, Average annual operating costs of RN surface vessels, Aug 2015</t>
  </si>
  <si>
    <t xml:space="preserve">https://assets.publishing.service.gov.uk/government/uploads/system/uploads/attachment_data/file/458670/Revised_2015-06440_Average_costs_RN_Surface_vessels.pdf</t>
  </si>
  <si>
    <t xml:space="preserve">Type 23 crew of 185 (accommodation for up to 205)</t>
  </si>
  <si>
    <t xml:space="preserve">Royal Navy, HMS St Albans ship page</t>
  </si>
  <si>
    <t xml:space="preserve">https://www.royalnavy.mod.uk/organisation/units-and-squadrons/type-23/hms-st-albans</t>
  </si>
  <si>
    <t xml:space="preserve">GDP deflator 2013-14 = 76.189 (2023-24 = 100)</t>
  </si>
  <si>
    <t xml:space="preserve">HM Treasury, GDP deflators at market prices and money GDP, June 2024 (Quarterly National Accounts)</t>
  </si>
  <si>
    <t xml:space="preserve">https://www.gov.uk/government/collections/gdp-deflators-at-market-prices-and-money-gdp</t>
  </si>
  <si>
    <t xml:space="preserve">Type 23 upkeep spend £941.2m since 2014; HMS Iron Duke refit &gt;£100m</t>
  </si>
  <si>
    <t xml:space="preserve">Naval Technology, 'UK's Type 23 frigates rack up billion-pound upkeep bill since 2014' (citing written PQ, 17 Mar 2025)</t>
  </si>
  <si>
    <t xml:space="preserve">https://www.naval-technology.com/news/uks-type-23-frigates-rack-up-billion-pound-upkeep-bill-since-2014/</t>
  </si>
  <si>
    <t xml:space="preserve">Type 31 crew of up to 105</t>
  </si>
  <si>
    <t xml:space="preserve">GOV.UK press release, 'New Inspiration Class Type-31 warships named'</t>
  </si>
  <si>
    <t xml:space="preserve">https://www.gov.uk/government/news/new-inspiration-class-type-31-warships-named</t>
  </si>
  <si>
    <t xml:space="preserve">HMS Venturer crew around 115</t>
  </si>
  <si>
    <t xml:space="preserve">Royal Navy, HMS Venturer ship page</t>
  </si>
  <si>
    <t xml:space="preserve">https://www.royalnavy.mod.uk/organisation/units-and-squadrons/type-31/hms-venturer</t>
  </si>
  <si>
    <t xml:space="preserve">£1.25bn Babcock contract, £250m average per ship, £90m Babcock loss; service entry from 2027</t>
  </si>
  <si>
    <t xml:space="preserve">Naval Technology, 'Babcock recognises £90m loss on Type 31 frigate contract', July 2024</t>
  </si>
  <si>
    <t xml:space="preserve">https://www.naval-technology.com/news/babcock-recognises-90m-loss-on-type-31-frigate-contract/</t>
  </si>
  <si>
    <t xml:space="preserve">US FFG-62 frigate: O&amp;S cost by element per ship-year, acquisition cost, 25-year life, disposal cost</t>
  </si>
  <si>
    <t xml:space="preserve">US DoD, FFG(62) Constellation Class Frigate Selected Acquisition Report, December 2022</t>
  </si>
  <si>
    <t xml:space="preserve">https://www.esd.whs.mil/Portals/54/Documents/FOID/Reading%20Room/Selected_Acquisition_Reports/FY_2022_SARS/FFG(62)_SAR_DEC_2022_final.pdf</t>
  </si>
  <si>
    <t xml:space="preserve">About 70% of ship life-cycle cost is operations and maintenance; sustainment costs underestimated</t>
  </si>
  <si>
    <t xml:space="preserve">US Government Accountability Office, GAO-20-2, Navy Shipbuilding: Increasing Focus on Sustainment Early in the Acquisition Process Could Save Billions (2019)</t>
  </si>
  <si>
    <t xml:space="preserve">https://www.gao.gov/products/gao-20-2</t>
  </si>
  <si>
    <t xml:space="preserve">Canadian Surface Combatant life-cycle cost breakdown (O&amp;S 71.8%)</t>
  </si>
  <si>
    <t xml:space="preserve">Parliamentary Budget Officer (Canada), The Life Cycle Cost of the Canadian Surface Combatants – A Fiscal Analysis, Oct 2022</t>
  </si>
  <si>
    <t xml:space="preserve">https://www.pbo-dpb.ca/en/publications/RP-2223-016-C--life-cycle-cost-canadian-surface-combatants-fiscal-analysis--cout-cycle-vie-navires-combat-surface-canadien-analyse-financiere</t>
  </si>
  <si>
    <t xml:space="preserve">ANZAC class frigate sustainment budget A$374m in 2018-19 for 8 ships</t>
  </si>
  <si>
    <t xml:space="preserve">Australian National Audit Office, Anzac Class Frigates – Sustainment (2019)</t>
  </si>
  <si>
    <t xml:space="preserve">https://anao.gov.au/work/performance-audit/anzac-class-frigates-sustainment</t>
  </si>
  <si>
    <t xml:space="preserve">Iver Huitfeldt class cost (US$325m per ship) and crew (165) – low confidence, uncited</t>
  </si>
  <si>
    <t xml:space="preserve">Wikipedia, Iver Huitfeldt-class frigate</t>
  </si>
  <si>
    <t xml:space="preserve">https://en.wikipedia.org/wiki/Iver_Huitfeldt-class_frigate</t>
  </si>
  <si>
    <t xml:space="preserve">Real discount rate 3.5%</t>
  </si>
  <si>
    <t xml:space="preserve">HM Treasury, The Green Book: appraisal and evaluation in central government</t>
  </si>
  <si>
    <t xml:space="preserve">https://www.gov.uk/government/publications/the-green-book-appraisal-and-evaluation-in-central-government</t>
  </si>
</sst>
</file>

<file path=xl/styles.xml><?xml version="1.0" encoding="utf-8"?>
<styleSheet xmlns="http://schemas.openxmlformats.org/spreadsheetml/2006/main">
  <numFmts count="15">
    <numFmt numFmtId="164" formatCode="General"/>
    <numFmt numFmtId="165" formatCode="#,##0;\(#,##0\);\-"/>
    <numFmt numFmtId="166" formatCode="0.0%;\(0.0%\);\-"/>
    <numFmt numFmtId="167" formatCode="0"/>
    <numFmt numFmtId="168" formatCode="0.00"/>
    <numFmt numFmtId="169" formatCode="#,##0.0"/>
    <numFmt numFmtId="170" formatCode="0.0"/>
    <numFmt numFmtId="171" formatCode="#,##0"/>
    <numFmt numFmtId="172" formatCode="0%"/>
    <numFmt numFmtId="173" formatCode="#,##0.0;\(#,##0.0\);\-"/>
    <numFmt numFmtId="174" formatCode="#,##0.00"/>
    <numFmt numFmtId="175" formatCode="0.000"/>
    <numFmt numFmtId="176" formatCode="0%;;\-"/>
    <numFmt numFmtId="177" formatCode="0;;\-"/>
    <numFmt numFmtId="178" formatCode="0.000;;\-"/>
  </numFmts>
  <fonts count="17">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4"/>
      <color rgb="FF1F3864"/>
      <name val="Arial"/>
      <family val="0"/>
      <charset val="1"/>
    </font>
    <font>
      <i val="true"/>
      <sz val="9"/>
      <color rgb="FF595959"/>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sz val="10"/>
      <name val="Arial"/>
      <family val="2"/>
    </font>
    <font>
      <u val="single"/>
      <sz val="10"/>
      <color rgb="FF0563C1"/>
      <name val="Arial"/>
      <family val="0"/>
      <charset val="1"/>
    </font>
  </fonts>
  <fills count="10">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FFEB9C"/>
        <bgColor rgb="FFFCE4D6"/>
      </patternFill>
    </fill>
    <fill>
      <patternFill patternType="solid">
        <fgColor rgb="FFFFC7CE"/>
        <bgColor rgb="FFFCE4D6"/>
      </patternFill>
    </fill>
    <fill>
      <patternFill patternType="solid">
        <fgColor rgb="FFC6EFCE"/>
        <bgColor rgb="FFE2EFDA"/>
      </patternFill>
    </fill>
    <fill>
      <patternFill patternType="solid">
        <fgColor rgb="FFD9E1F2"/>
        <bgColor rgb="FFD9D9D9"/>
      </patternFill>
    </fill>
    <fill>
      <patternFill patternType="solid">
        <fgColor rgb="FFE2EFDA"/>
        <bgColor rgb="FFD9E1F2"/>
      </patternFill>
    </fill>
    <fill>
      <patternFill patternType="solid">
        <fgColor rgb="FFFCE4D6"/>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5" fontId="4"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4" fillId="8" borderId="1" xfId="0" applyFont="true" applyBorder="true" applyAlignment="false" applyProtection="false">
      <alignment horizontal="general" vertical="bottom" textRotation="0" wrapText="false" indent="0" shrinkToFit="false"/>
      <protection locked="true" hidden="false"/>
    </xf>
    <xf numFmtId="169" fontId="10" fillId="8" borderId="1" xfId="0" applyFont="true" applyBorder="true" applyAlignment="false" applyProtection="false">
      <alignment horizontal="general" vertical="bottom" textRotation="0" wrapText="false" indent="0" shrinkToFit="false"/>
      <protection locked="true" hidden="false"/>
    </xf>
    <xf numFmtId="169" fontId="4" fillId="8" borderId="1" xfId="0" applyFont="true" applyBorder="true" applyAlignment="false" applyProtection="false">
      <alignment horizontal="general" vertical="bottom" textRotation="0" wrapText="false" indent="0" shrinkToFit="false"/>
      <protection locked="true" hidden="false"/>
    </xf>
    <xf numFmtId="166" fontId="4" fillId="8" borderId="1" xfId="0" applyFont="true" applyBorder="true" applyAlignment="fals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top" textRotation="0" wrapText="tru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8" fontId="8" fillId="9" borderId="0" xfId="0" applyFont="true" applyBorder="fals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14" fillId="3" borderId="1" xfId="0" applyFont="true" applyBorder="true" applyAlignment="false" applyProtection="false">
      <alignment horizontal="general" vertical="bottom" textRotation="0" wrapText="false" indent="0" shrinkToFit="false"/>
      <protection locked="true" hidden="false"/>
    </xf>
    <xf numFmtId="173" fontId="14" fillId="3" borderId="1" xfId="0" applyFont="true" applyBorder="true" applyAlignment="false" applyProtection="false">
      <alignment horizontal="general" vertical="bottom" textRotation="0" wrapText="false" indent="0" shrinkToFit="false"/>
      <protection locked="true" hidden="false"/>
    </xf>
    <xf numFmtId="166" fontId="14" fillId="3" borderId="1" xfId="0" applyFont="true" applyBorder="true" applyAlignment="false" applyProtection="false">
      <alignment horizontal="general" vertical="bottom" textRotation="0" wrapText="false" indent="0" shrinkToFit="false"/>
      <protection locked="true" hidden="false"/>
    </xf>
    <xf numFmtId="174" fontId="14" fillId="0" borderId="1" xfId="0" applyFont="true" applyBorder="true" applyAlignment="false" applyProtection="false">
      <alignment horizontal="general" vertical="bottom" textRotation="0" wrapText="false" indent="0" shrinkToFit="false"/>
      <protection locked="true" hidden="false"/>
    </xf>
    <xf numFmtId="175" fontId="14" fillId="0"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75" fontId="7" fillId="8"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74" fontId="7" fillId="8" borderId="1" xfId="0" applyFont="true" applyBorder="tru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75" fontId="14" fillId="3"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4" fillId="3" borderId="1"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9" fillId="2" borderId="0" xfId="0" applyFont="true" applyBorder="false" applyAlignment="true" applyProtection="false">
      <alignment horizontal="center"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7" fontId="4" fillId="0" borderId="0" xfId="0" applyFont="true" applyBorder="false" applyAlignment="false" applyProtection="false">
      <alignment horizontal="general" vertical="bottom" textRotation="0" wrapText="false" indent="0" shrinkToFit="false"/>
      <protection locked="true" hidden="false"/>
    </xf>
    <xf numFmtId="173" fontId="4" fillId="8" borderId="0" xfId="0" applyFont="true" applyBorder="false" applyAlignment="false" applyProtection="false">
      <alignment horizontal="general" vertical="bottom" textRotation="0" wrapText="false" indent="0" shrinkToFit="false"/>
      <protection locked="true" hidden="false"/>
    </xf>
    <xf numFmtId="173" fontId="8" fillId="8" borderId="0" xfId="0" applyFont="true" applyBorder="false" applyAlignment="false" applyProtection="false">
      <alignment horizontal="general" vertical="bottom" textRotation="0" wrapText="false" indent="0" shrinkToFit="false"/>
      <protection locked="true" hidden="false"/>
    </xf>
    <xf numFmtId="178" fontId="4"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3"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E2EFDA"/>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7CE"/>
      <rgbColor rgb="FF4A7EBB"/>
      <rgbColor rgb="FF4BACC6"/>
      <rgbColor rgb="FF9BBB59"/>
      <rgbColor rgb="FFFFCC00"/>
      <rgbColor rgb="FFF79646"/>
      <rgbColor rgb="FFFF6600"/>
      <rgbColor rgb="FF8064A2"/>
      <rgbColor rgb="FF969696"/>
      <rgbColor rgb="FF1F3864"/>
      <rgbColor rgb="FF4F81BD"/>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Whole-life cost by category</a:t>
            </a:r>
          </a:p>
        </c:rich>
      </c:tx>
      <c:overlay val="0"/>
      <c:spPr>
        <a:noFill/>
        <a:ln w="0">
          <a:noFill/>
        </a:ln>
      </c:spPr>
    </c:title>
    <c:autoTitleDeleted val="0"/>
    <c:plotArea>
      <c:pieChart>
        <c:varyColors val="1"/>
        <c:ser>
          <c:idx val="0"/>
          <c:order val="0"/>
          <c:tx>
            <c:strRef>
              <c:f>Summary!B17</c:f>
              <c:strCache>
                <c:ptCount val="1"/>
                <c:pt idx="0">
                  <c:v>£m</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Summary!$A$18:$A$23</c:f>
              <c:strCache>
                <c:ptCount val="6"/>
                <c:pt idx="0">
                  <c:v>Acquisition</c:v>
                </c:pt>
                <c:pt idx="1">
                  <c:v>Operating (crew, fuel, port)</c:v>
                </c:pt>
                <c:pt idx="2">
                  <c:v>Maintenance / upkeep</c:v>
                </c:pt>
                <c:pt idx="3">
                  <c:v>Indirect &amp; sustaining support</c:v>
                </c:pt>
                <c:pt idx="4">
                  <c:v>Mid-life updates</c:v>
                </c:pt>
                <c:pt idx="5">
                  <c:v>Disposal</c:v>
                </c:pt>
              </c:strCache>
            </c:strRef>
          </c:cat>
          <c:val>
            <c:numRef>
              <c:f>Summary!$B$18:$B$23</c:f>
              <c:numCache>
                <c:formatCode>#,##0;\(#,##0\);\-</c:formatCode>
                <c:ptCount val="6"/>
                <c:pt idx="0">
                  <c:v>2310</c:v>
                </c:pt>
                <c:pt idx="1">
                  <c:v>1342.51397573531</c:v>
                </c:pt>
                <c:pt idx="2">
                  <c:v>713.030303030303</c:v>
                </c:pt>
                <c:pt idx="3">
                  <c:v>1274.43745283468</c:v>
                </c:pt>
                <c:pt idx="4">
                  <c:v>375</c:v>
                </c:pt>
                <c:pt idx="5">
                  <c:v>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cost profile by category (£m)</a:t>
            </a:r>
          </a:p>
        </c:rich>
      </c:tx>
      <c:overlay val="0"/>
      <c:spPr>
        <a:noFill/>
        <a:ln w="0">
          <a:noFill/>
        </a:ln>
      </c:spPr>
    </c:title>
    <c:autoTitleDeleted val="0"/>
    <c:plotArea>
      <c:barChart>
        <c:barDir val="col"/>
        <c:grouping val="stacked"/>
        <c:varyColors val="0"/>
        <c:ser>
          <c:idx val="0"/>
          <c:order val="0"/>
          <c:tx>
            <c:strRef>
              <c:f>"Acquisition"</c:f>
              <c:strCache>
                <c:ptCount val="1"/>
                <c:pt idx="0">
                  <c:v>Acquisition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WLC_Model!$D$16:$AX$16</c:f>
              <c:numCache>
                <c:formatCode>#,##0;\(#,##0\);\-</c:formatCode>
                <c:ptCount val="47"/>
                <c:pt idx="0">
                  <c:v>46.2</c:v>
                </c:pt>
                <c:pt idx="1">
                  <c:v>92.4</c:v>
                </c:pt>
                <c:pt idx="2">
                  <c:v>184.8</c:v>
                </c:pt>
                <c:pt idx="3">
                  <c:v>231</c:v>
                </c:pt>
                <c:pt idx="4">
                  <c:v>277.2</c:v>
                </c:pt>
                <c:pt idx="5">
                  <c:v>300.3</c:v>
                </c:pt>
                <c:pt idx="6">
                  <c:v>300.3</c:v>
                </c:pt>
                <c:pt idx="7">
                  <c:v>277.2</c:v>
                </c:pt>
                <c:pt idx="8">
                  <c:v>207.9</c:v>
                </c:pt>
                <c:pt idx="9">
                  <c:v>161.7</c:v>
                </c:pt>
                <c:pt idx="10">
                  <c:v>115.5</c:v>
                </c:pt>
                <c:pt idx="11">
                  <c:v>69.3</c:v>
                </c:pt>
                <c:pt idx="12">
                  <c:v>46.2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er>
        <c:ser>
          <c:idx val="1"/>
          <c:order val="1"/>
          <c:tx>
            <c:strRef>
              <c:f>"Operating (crew, fuel, port)"</c:f>
              <c:strCache>
                <c:ptCount val="1"/>
                <c:pt idx="0">
                  <c:v>Operating (crew, fuel, port)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WLC_Model!$D$17:$AX$17</c:f>
              <c:numCache>
                <c:formatCode>#,##0;\(#,##0\);\-</c:formatCode>
                <c:ptCount val="47"/>
                <c:pt idx="0">
                  <c:v>0</c:v>
                </c:pt>
                <c:pt idx="1">
                  <c:v>0</c:v>
                </c:pt>
                <c:pt idx="2">
                  <c:v>0</c:v>
                </c:pt>
                <c:pt idx="3">
                  <c:v>0</c:v>
                </c:pt>
                <c:pt idx="4">
                  <c:v>0</c:v>
                </c:pt>
                <c:pt idx="5">
                  <c:v>0</c:v>
                </c:pt>
                <c:pt idx="6">
                  <c:v>0</c:v>
                </c:pt>
                <c:pt idx="7">
                  <c:v>0</c:v>
                </c:pt>
                <c:pt idx="8">
                  <c:v>10.7401118058825</c:v>
                </c:pt>
                <c:pt idx="9">
                  <c:v>21.4802236117649</c:v>
                </c:pt>
                <c:pt idx="10">
                  <c:v>32.2203354176474</c:v>
                </c:pt>
                <c:pt idx="11">
                  <c:v>42.9604472235298</c:v>
                </c:pt>
                <c:pt idx="12">
                  <c:v>53.7005590294123</c:v>
                </c:pt>
                <c:pt idx="13">
                  <c:v>53.7005590294123</c:v>
                </c:pt>
                <c:pt idx="14">
                  <c:v>53.7005590294123</c:v>
                </c:pt>
                <c:pt idx="15">
                  <c:v>53.7005590294123</c:v>
                </c:pt>
                <c:pt idx="16">
                  <c:v>53.7005590294123</c:v>
                </c:pt>
                <c:pt idx="17">
                  <c:v>53.7005590294123</c:v>
                </c:pt>
                <c:pt idx="18">
                  <c:v>53.7005590294123</c:v>
                </c:pt>
                <c:pt idx="19">
                  <c:v>53.7005590294123</c:v>
                </c:pt>
                <c:pt idx="20">
                  <c:v>53.7005590294123</c:v>
                </c:pt>
                <c:pt idx="21">
                  <c:v>53.7005590294123</c:v>
                </c:pt>
                <c:pt idx="22">
                  <c:v>53.7005590294123</c:v>
                </c:pt>
                <c:pt idx="23">
                  <c:v>53.7005590294123</c:v>
                </c:pt>
                <c:pt idx="24">
                  <c:v>53.7005590294123</c:v>
                </c:pt>
                <c:pt idx="25">
                  <c:v>53.7005590294123</c:v>
                </c:pt>
                <c:pt idx="26">
                  <c:v>53.7005590294123</c:v>
                </c:pt>
                <c:pt idx="27">
                  <c:v>53.7005590294123</c:v>
                </c:pt>
                <c:pt idx="28">
                  <c:v>53.7005590294123</c:v>
                </c:pt>
                <c:pt idx="29">
                  <c:v>53.7005590294123</c:v>
                </c:pt>
                <c:pt idx="30">
                  <c:v>53.7005590294123</c:v>
                </c:pt>
                <c:pt idx="31">
                  <c:v>53.7005590294123</c:v>
                </c:pt>
                <c:pt idx="32">
                  <c:v>53.7005590294123</c:v>
                </c:pt>
                <c:pt idx="33">
                  <c:v>42.9604472235298</c:v>
                </c:pt>
                <c:pt idx="34">
                  <c:v>32.2203354176474</c:v>
                </c:pt>
                <c:pt idx="35">
                  <c:v>21.4802236117649</c:v>
                </c:pt>
                <c:pt idx="36">
                  <c:v>10.7401118058825</c:v>
                </c:pt>
                <c:pt idx="37">
                  <c:v>0</c:v>
                </c:pt>
                <c:pt idx="38">
                  <c:v>0</c:v>
                </c:pt>
                <c:pt idx="39">
                  <c:v>0</c:v>
                </c:pt>
                <c:pt idx="40">
                  <c:v>0</c:v>
                </c:pt>
                <c:pt idx="41">
                  <c:v>0</c:v>
                </c:pt>
                <c:pt idx="42">
                  <c:v>0</c:v>
                </c:pt>
                <c:pt idx="43">
                  <c:v>0</c:v>
                </c:pt>
                <c:pt idx="44">
                  <c:v>0</c:v>
                </c:pt>
                <c:pt idx="45">
                  <c:v>0</c:v>
                </c:pt>
                <c:pt idx="46">
                  <c:v>0</c:v>
                </c:pt>
              </c:numCache>
            </c:numRef>
          </c:val>
        </c:ser>
        <c:ser>
          <c:idx val="2"/>
          <c:order val="2"/>
          <c:tx>
            <c:strRef>
              <c:f>"Maintenance / upkeep"</c:f>
              <c:strCache>
                <c:ptCount val="1"/>
                <c:pt idx="0">
                  <c:v>Maintenance / upkeep</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WLC_Model!$D$18:$AX$18</c:f>
              <c:numCache>
                <c:formatCode>#,##0;\(#,##0\);\-</c:formatCode>
                <c:ptCount val="47"/>
                <c:pt idx="0">
                  <c:v>0</c:v>
                </c:pt>
                <c:pt idx="1">
                  <c:v>0</c:v>
                </c:pt>
                <c:pt idx="2">
                  <c:v>0</c:v>
                </c:pt>
                <c:pt idx="3">
                  <c:v>0</c:v>
                </c:pt>
                <c:pt idx="4">
                  <c:v>0</c:v>
                </c:pt>
                <c:pt idx="5">
                  <c:v>0</c:v>
                </c:pt>
                <c:pt idx="6">
                  <c:v>0</c:v>
                </c:pt>
                <c:pt idx="7">
                  <c:v>0</c:v>
                </c:pt>
                <c:pt idx="8">
                  <c:v>5.70424242424243</c:v>
                </c:pt>
                <c:pt idx="9">
                  <c:v>11.4084848484849</c:v>
                </c:pt>
                <c:pt idx="10">
                  <c:v>17.1127272727273</c:v>
                </c:pt>
                <c:pt idx="11">
                  <c:v>22.8169696969697</c:v>
                </c:pt>
                <c:pt idx="12">
                  <c:v>28.5212121212121</c:v>
                </c:pt>
                <c:pt idx="13">
                  <c:v>28.5212121212121</c:v>
                </c:pt>
                <c:pt idx="14">
                  <c:v>28.5212121212121</c:v>
                </c:pt>
                <c:pt idx="15">
                  <c:v>28.5212121212121</c:v>
                </c:pt>
                <c:pt idx="16">
                  <c:v>28.5212121212121</c:v>
                </c:pt>
                <c:pt idx="17">
                  <c:v>28.5212121212121</c:v>
                </c:pt>
                <c:pt idx="18">
                  <c:v>28.5212121212121</c:v>
                </c:pt>
                <c:pt idx="19">
                  <c:v>28.5212121212121</c:v>
                </c:pt>
                <c:pt idx="20">
                  <c:v>28.5212121212121</c:v>
                </c:pt>
                <c:pt idx="21">
                  <c:v>28.5212121212121</c:v>
                </c:pt>
                <c:pt idx="22">
                  <c:v>28.5212121212121</c:v>
                </c:pt>
                <c:pt idx="23">
                  <c:v>28.5212121212121</c:v>
                </c:pt>
                <c:pt idx="24">
                  <c:v>28.5212121212121</c:v>
                </c:pt>
                <c:pt idx="25">
                  <c:v>28.5212121212121</c:v>
                </c:pt>
                <c:pt idx="26">
                  <c:v>28.5212121212121</c:v>
                </c:pt>
                <c:pt idx="27">
                  <c:v>28.5212121212121</c:v>
                </c:pt>
                <c:pt idx="28">
                  <c:v>28.5212121212121</c:v>
                </c:pt>
                <c:pt idx="29">
                  <c:v>28.5212121212121</c:v>
                </c:pt>
                <c:pt idx="30">
                  <c:v>28.5212121212121</c:v>
                </c:pt>
                <c:pt idx="31">
                  <c:v>28.5212121212121</c:v>
                </c:pt>
                <c:pt idx="32">
                  <c:v>28.5212121212121</c:v>
                </c:pt>
                <c:pt idx="33">
                  <c:v>22.8169696969697</c:v>
                </c:pt>
                <c:pt idx="34">
                  <c:v>17.1127272727273</c:v>
                </c:pt>
                <c:pt idx="35">
                  <c:v>11.4084848484849</c:v>
                </c:pt>
                <c:pt idx="36">
                  <c:v>5.70424242424243</c:v>
                </c:pt>
                <c:pt idx="37">
                  <c:v>0</c:v>
                </c:pt>
                <c:pt idx="38">
                  <c:v>0</c:v>
                </c:pt>
                <c:pt idx="39">
                  <c:v>0</c:v>
                </c:pt>
                <c:pt idx="40">
                  <c:v>0</c:v>
                </c:pt>
                <c:pt idx="41">
                  <c:v>0</c:v>
                </c:pt>
                <c:pt idx="42">
                  <c:v>0</c:v>
                </c:pt>
                <c:pt idx="43">
                  <c:v>0</c:v>
                </c:pt>
                <c:pt idx="44">
                  <c:v>0</c:v>
                </c:pt>
                <c:pt idx="45">
                  <c:v>0</c:v>
                </c:pt>
                <c:pt idx="46">
                  <c:v>0</c:v>
                </c:pt>
              </c:numCache>
            </c:numRef>
          </c:val>
        </c:ser>
        <c:ser>
          <c:idx val="3"/>
          <c:order val="3"/>
          <c:tx>
            <c:strRef>
              <c:f>"Indirect &amp; sustaining support"</c:f>
              <c:strCache>
                <c:ptCount val="1"/>
                <c:pt idx="0">
                  <c:v>Indirect &amp; sustaining support</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WLC_Model!$D$19:$AX$19</c:f>
              <c:numCache>
                <c:formatCode>#,##0;\(#,##0\);\-</c:formatCode>
                <c:ptCount val="47"/>
                <c:pt idx="0">
                  <c:v>0</c:v>
                </c:pt>
                <c:pt idx="1">
                  <c:v>0</c:v>
                </c:pt>
                <c:pt idx="2">
                  <c:v>0</c:v>
                </c:pt>
                <c:pt idx="3">
                  <c:v>0</c:v>
                </c:pt>
                <c:pt idx="4">
                  <c:v>0</c:v>
                </c:pt>
                <c:pt idx="5">
                  <c:v>0</c:v>
                </c:pt>
                <c:pt idx="6">
                  <c:v>0</c:v>
                </c:pt>
                <c:pt idx="7">
                  <c:v>0</c:v>
                </c:pt>
                <c:pt idx="8">
                  <c:v>10.1954996226774</c:v>
                </c:pt>
                <c:pt idx="9">
                  <c:v>20.3909992453549</c:v>
                </c:pt>
                <c:pt idx="10">
                  <c:v>30.5864988680323</c:v>
                </c:pt>
                <c:pt idx="11">
                  <c:v>40.7819984907097</c:v>
                </c:pt>
                <c:pt idx="12">
                  <c:v>50.9774981133871</c:v>
                </c:pt>
                <c:pt idx="13">
                  <c:v>50.9774981133871</c:v>
                </c:pt>
                <c:pt idx="14">
                  <c:v>50.9774981133871</c:v>
                </c:pt>
                <c:pt idx="15">
                  <c:v>50.9774981133871</c:v>
                </c:pt>
                <c:pt idx="16">
                  <c:v>50.9774981133871</c:v>
                </c:pt>
                <c:pt idx="17">
                  <c:v>50.9774981133871</c:v>
                </c:pt>
                <c:pt idx="18">
                  <c:v>50.9774981133871</c:v>
                </c:pt>
                <c:pt idx="19">
                  <c:v>50.9774981133871</c:v>
                </c:pt>
                <c:pt idx="20">
                  <c:v>50.9774981133871</c:v>
                </c:pt>
                <c:pt idx="21">
                  <c:v>50.9774981133871</c:v>
                </c:pt>
                <c:pt idx="22">
                  <c:v>50.9774981133871</c:v>
                </c:pt>
                <c:pt idx="23">
                  <c:v>50.9774981133871</c:v>
                </c:pt>
                <c:pt idx="24">
                  <c:v>50.9774981133871</c:v>
                </c:pt>
                <c:pt idx="25">
                  <c:v>50.9774981133871</c:v>
                </c:pt>
                <c:pt idx="26">
                  <c:v>50.9774981133871</c:v>
                </c:pt>
                <c:pt idx="27">
                  <c:v>50.9774981133871</c:v>
                </c:pt>
                <c:pt idx="28">
                  <c:v>50.9774981133871</c:v>
                </c:pt>
                <c:pt idx="29">
                  <c:v>50.9774981133871</c:v>
                </c:pt>
                <c:pt idx="30">
                  <c:v>50.9774981133871</c:v>
                </c:pt>
                <c:pt idx="31">
                  <c:v>50.9774981133871</c:v>
                </c:pt>
                <c:pt idx="32">
                  <c:v>50.9774981133871</c:v>
                </c:pt>
                <c:pt idx="33">
                  <c:v>40.7819984907097</c:v>
                </c:pt>
                <c:pt idx="34">
                  <c:v>30.5864988680323</c:v>
                </c:pt>
                <c:pt idx="35">
                  <c:v>20.3909992453549</c:v>
                </c:pt>
                <c:pt idx="36">
                  <c:v>10.1954996226774</c:v>
                </c:pt>
                <c:pt idx="37">
                  <c:v>0</c:v>
                </c:pt>
                <c:pt idx="38">
                  <c:v>0</c:v>
                </c:pt>
                <c:pt idx="39">
                  <c:v>0</c:v>
                </c:pt>
                <c:pt idx="40">
                  <c:v>0</c:v>
                </c:pt>
                <c:pt idx="41">
                  <c:v>0</c:v>
                </c:pt>
                <c:pt idx="42">
                  <c:v>0</c:v>
                </c:pt>
                <c:pt idx="43">
                  <c:v>0</c:v>
                </c:pt>
                <c:pt idx="44">
                  <c:v>0</c:v>
                </c:pt>
                <c:pt idx="45">
                  <c:v>0</c:v>
                </c:pt>
                <c:pt idx="46">
                  <c:v>0</c:v>
                </c:pt>
              </c:numCache>
            </c:numRef>
          </c:val>
        </c:ser>
        <c:ser>
          <c:idx val="4"/>
          <c:order val="4"/>
          <c:tx>
            <c:strRef>
              <c:f>"Mid-life updates"</c:f>
              <c:strCache>
                <c:ptCount val="1"/>
                <c:pt idx="0">
                  <c:v>Mid-life updates</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WLC_Model!$D$20:$AX$20</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75</c:v>
                </c:pt>
                <c:pt idx="21">
                  <c:v>75</c:v>
                </c:pt>
                <c:pt idx="22">
                  <c:v>75</c:v>
                </c:pt>
                <c:pt idx="23">
                  <c:v>75</c:v>
                </c:pt>
                <c:pt idx="24">
                  <c:v>75</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er>
        <c:ser>
          <c:idx val="5"/>
          <c:order val="5"/>
          <c:tx>
            <c:strRef>
              <c:f>"Disposal"</c:f>
              <c:strCache>
                <c:ptCount val="1"/>
                <c:pt idx="0">
                  <c:v>Disposal</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WLC_Model!$D$4:$AX$4</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lvl>
                  <c:pt idx="0">
                    <c:v>2023</c:v>
                  </c:pt>
                </c:lvl>
                <c:lvl>
                  <c:pt idx="0">
                    <c:v>2022</c:v>
                  </c:pt>
                </c:lvl>
                <c:lvl>
                  <c:pt idx="0">
                    <c:v>2021</c:v>
                  </c:pt>
                </c:lvl>
                <c:lvl>
                  <c:pt idx="0">
                    <c:v>2020</c:v>
                  </c:pt>
                </c:lvl>
                <c:lvl>
                  <c:pt idx="0">
                    <c:v>2019</c:v>
                  </c:pt>
                </c:lvl>
              </c:multiLvlStrCache>
            </c:multiLvlStrRef>
          </c:cat>
          <c:val>
            <c:numRef>
              <c:f>WLC_Model!$D$21:$AX$21</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c:v>
                </c:pt>
                <c:pt idx="34">
                  <c:v>5</c:v>
                </c:pt>
                <c:pt idx="35">
                  <c:v>5</c:v>
                </c:pt>
                <c:pt idx="36">
                  <c:v>5</c:v>
                </c:pt>
                <c:pt idx="37">
                  <c:v>5</c:v>
                </c:pt>
                <c:pt idx="38">
                  <c:v>0</c:v>
                </c:pt>
                <c:pt idx="39">
                  <c:v>0</c:v>
                </c:pt>
                <c:pt idx="40">
                  <c:v>0</c:v>
                </c:pt>
                <c:pt idx="41">
                  <c:v>0</c:v>
                </c:pt>
                <c:pt idx="42">
                  <c:v>0</c:v>
                </c:pt>
                <c:pt idx="43">
                  <c:v>0</c:v>
                </c:pt>
                <c:pt idx="44">
                  <c:v>0</c:v>
                </c:pt>
                <c:pt idx="45">
                  <c:v>0</c:v>
                </c:pt>
                <c:pt idx="46">
                  <c:v>0</c:v>
                </c:pt>
              </c:numCache>
            </c:numRef>
          </c:val>
        </c:ser>
        <c:gapWidth val="150"/>
        <c:overlap val="100"/>
        <c:axId val="76266831"/>
        <c:axId val="58117077"/>
      </c:barChart>
      <c:catAx>
        <c:axId val="7626683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17077"/>
        <c:crosses val="autoZero"/>
        <c:auto val="1"/>
        <c:lblAlgn val="ctr"/>
        <c:lblOffset val="100"/>
        <c:noMultiLvlLbl val="0"/>
      </c:catAx>
      <c:valAx>
        <c:axId val="581170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2668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Support share of whole-life cost</a:t>
            </a:r>
          </a:p>
        </c:rich>
      </c:tx>
      <c:overlay val="0"/>
      <c:spPr>
        <a:noFill/>
        <a:ln w="0">
          <a:noFill/>
        </a:ln>
      </c:spPr>
    </c:title>
    <c:autoTitleDeleted val="0"/>
    <c:plotArea>
      <c:barChart>
        <c:barDir val="bar"/>
        <c:grouping val="clustered"/>
        <c:varyColors val="0"/>
        <c:ser>
          <c:idx val="0"/>
          <c:order val="0"/>
          <c:tx>
            <c:strRef>
              <c:f>Benchmarks!F5</c:f>
              <c:strCache>
                <c:ptCount val="1"/>
                <c:pt idx="0">
                  <c:v>Support share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Benchmarks!$A$6:$A$10</c:f>
              <c:strCache>
                <c:ptCount val="5"/>
                <c:pt idx="0">
                  <c:v>US Navy ships – GAO rule of thumb</c:v>
                </c:pt>
                <c:pt idx="1">
                  <c:v>Canada – Canadian Surface Combatant (15 ships), C$bn</c:v>
                </c:pt>
                <c:pt idx="2">
                  <c:v>US Navy – FFG-62 Constellation frigate (20 ships), US$m CY2020</c:v>
                </c:pt>
                <c:pt idx="3">
                  <c:v>Type 31 – this model, direct costs only</c:v>
                </c:pt>
                <c:pt idx="4">
                  <c:v>Type 31 – this model, calibrated (used for results)</c:v>
                </c:pt>
              </c:strCache>
            </c:strRef>
          </c:cat>
          <c:val>
            <c:numRef>
              <c:f>Benchmarks!$F$6:$F$10</c:f>
              <c:numCache>
                <c:formatCode>0.0%;\(0.0%\);\-</c:formatCode>
                <c:ptCount val="5"/>
                <c:pt idx="0">
                  <c:v>0.7</c:v>
                </c:pt>
                <c:pt idx="1">
                  <c:v>0.718300653594771</c:v>
                </c:pt>
                <c:pt idx="2">
                  <c:v>0.587728631504281</c:v>
                </c:pt>
                <c:pt idx="3">
                  <c:v>0.515270478066286</c:v>
                </c:pt>
                <c:pt idx="4">
                  <c:v>0.617548512123071</c:v>
                </c:pt>
              </c:numCache>
            </c:numRef>
          </c:val>
        </c:ser>
        <c:gapWidth val="150"/>
        <c:overlap val="0"/>
        <c:axId val="47588134"/>
        <c:axId val="1906040"/>
      </c:barChart>
      <c:catAx>
        <c:axId val="475881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06040"/>
        <c:crosses val="autoZero"/>
        <c:auto val="1"/>
        <c:lblAlgn val="ctr"/>
        <c:lblOffset val="100"/>
        <c:noMultiLvlLbl val="0"/>
      </c:catAx>
      <c:valAx>
        <c:axId val="1906040"/>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881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Tornado: change in whole-life cost vs base (£m)</a:t>
            </a:r>
          </a:p>
        </c:rich>
      </c:tx>
      <c:overlay val="0"/>
      <c:spPr>
        <a:noFill/>
        <a:ln w="0">
          <a:noFill/>
        </a:ln>
      </c:spPr>
    </c:title>
    <c:autoTitleDeleted val="0"/>
    <c:plotArea>
      <c:barChart>
        <c:barDir val="bar"/>
        <c:grouping val="clustered"/>
        <c:varyColors val="0"/>
        <c:ser>
          <c:idx val="0"/>
          <c:order val="0"/>
          <c:tx>
            <c:strRef>
              <c:f>Sensitivity!F4</c:f>
              <c:strCache>
                <c:ptCount val="1"/>
                <c:pt idx="0">
                  <c:v>Change at low (£m)</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Sensitivity!$A$5:$A$13</c:f>
              <c:strCache>
                <c:ptCount val="9"/>
                <c:pt idx="0">
                  <c:v>Disposal cost per ship</c:v>
                </c:pt>
                <c:pt idx="1">
                  <c:v>Type 31 crew complement</c:v>
                </c:pt>
                <c:pt idx="2">
                  <c:v>Personnel share of direct operating cost</c:v>
                </c:pt>
                <c:pt idx="3">
                  <c:v>Acquisition cost growth above approved budget</c:v>
                </c:pt>
                <c:pt idx="4">
                  <c:v>Mid-life update cost per ship</c:v>
                </c:pt>
                <c:pt idx="5">
                  <c:v>Operating cost estimating uncertainty factor</c:v>
                </c:pt>
                <c:pt idx="6">
                  <c:v>Type 31 maintenance scaling factor vs Type 23</c:v>
                </c:pt>
                <c:pt idx="7">
                  <c:v>Indirect &amp; sustaining support uplift on direct running costs</c:v>
                </c:pt>
                <c:pt idx="8">
                  <c:v>Service life per ship</c:v>
                </c:pt>
              </c:strCache>
            </c:strRef>
          </c:cat>
          <c:val>
            <c:numRef>
              <c:f>Sensitivity!$F$5:$F$13</c:f>
              <c:numCache>
                <c:formatCode>#,##0;\(#,##0\);\-</c:formatCode>
                <c:ptCount val="9"/>
                <c:pt idx="0">
                  <c:v>-15</c:v>
                </c:pt>
                <c:pt idx="1">
                  <c:v>-59.0081724218544</c:v>
                </c:pt>
                <c:pt idx="2">
                  <c:v>134.875822678524</c:v>
                </c:pt>
                <c:pt idx="3">
                  <c:v>-110</c:v>
                </c:pt>
                <c:pt idx="4">
                  <c:v>-125</c:v>
                </c:pt>
                <c:pt idx="5">
                  <c:v>-217.487264069119</c:v>
                </c:pt>
                <c:pt idx="6">
                  <c:v>-288.777272727273</c:v>
                </c:pt>
                <c:pt idx="7">
                  <c:v>-657.774169204995</c:v>
                </c:pt>
                <c:pt idx="8">
                  <c:v>-665.996346320058</c:v>
                </c:pt>
              </c:numCache>
            </c:numRef>
          </c:val>
        </c:ser>
        <c:ser>
          <c:idx val="1"/>
          <c:order val="1"/>
          <c:tx>
            <c:strRef>
              <c:f>Sensitivity!G4</c:f>
              <c:strCache>
                <c:ptCount val="1"/>
                <c:pt idx="0">
                  <c:v>Change at high (£m)</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Sensitivity!$A$5:$A$13</c:f>
              <c:strCache>
                <c:ptCount val="9"/>
                <c:pt idx="0">
                  <c:v>Disposal cost per ship</c:v>
                </c:pt>
                <c:pt idx="1">
                  <c:v>Type 31 crew complement</c:v>
                </c:pt>
                <c:pt idx="2">
                  <c:v>Personnel share of direct operating cost</c:v>
                </c:pt>
                <c:pt idx="3">
                  <c:v>Acquisition cost growth above approved budget</c:v>
                </c:pt>
                <c:pt idx="4">
                  <c:v>Mid-life update cost per ship</c:v>
                </c:pt>
                <c:pt idx="5">
                  <c:v>Operating cost estimating uncertainty factor</c:v>
                </c:pt>
                <c:pt idx="6">
                  <c:v>Type 31 maintenance scaling factor vs Type 23</c:v>
                </c:pt>
                <c:pt idx="7">
                  <c:v>Indirect &amp; sustaining support uplift on direct running costs</c:v>
                </c:pt>
                <c:pt idx="8">
                  <c:v>Service life per ship</c:v>
                </c:pt>
              </c:strCache>
            </c:strRef>
          </c:cat>
          <c:val>
            <c:numRef>
              <c:f>Sensitivity!$G$5:$G$13</c:f>
              <c:numCache>
                <c:formatCode>#,##0;\(#,##0\);\-</c:formatCode>
                <c:ptCount val="9"/>
                <c:pt idx="0">
                  <c:v>50</c:v>
                </c:pt>
                <c:pt idx="1">
                  <c:v>118.016344843709</c:v>
                </c:pt>
                <c:pt idx="2">
                  <c:v>-134.875822678524</c:v>
                </c:pt>
                <c:pt idx="3">
                  <c:v>330</c:v>
                </c:pt>
                <c:pt idx="4">
                  <c:v>375</c:v>
                </c:pt>
                <c:pt idx="5">
                  <c:v>543.7181601728</c:v>
                </c:pt>
                <c:pt idx="6">
                  <c:v>577.554545454545</c:v>
                </c:pt>
                <c:pt idx="7">
                  <c:v>411.108855753121</c:v>
                </c:pt>
                <c:pt idx="8">
                  <c:v>665.996346320058</c:v>
                </c:pt>
              </c:numCache>
            </c:numRef>
          </c:val>
        </c:ser>
        <c:gapWidth val="40"/>
        <c:overlap val="100"/>
        <c:axId val="37913774"/>
        <c:axId val="6157443"/>
      </c:barChart>
      <c:catAx>
        <c:axId val="379137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7443"/>
        <c:crosses val="autoZero"/>
        <c:auto val="1"/>
        <c:lblAlgn val="ctr"/>
        <c:lblOffset val="100"/>
        <c:noMultiLvlLbl val="0"/>
      </c:catAx>
      <c:valAx>
        <c:axId val="6157443"/>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£m change from base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137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Distribution of simulated whole-life cost</a:t>
            </a:r>
          </a:p>
        </c:rich>
      </c:tx>
      <c:overlay val="0"/>
      <c:spPr>
        <a:noFill/>
        <a:ln w="0">
          <a:noFill/>
        </a:ln>
      </c:spPr>
    </c:title>
    <c:autoTitleDeleted val="0"/>
    <c:plotArea>
      <c:barChart>
        <c:barDir val="col"/>
        <c:grouping val="clustered"/>
        <c:varyColors val="0"/>
        <c:ser>
          <c:idx val="0"/>
          <c:order val="0"/>
          <c:tx>
            <c:strRef>
              <c:f>Risk_Results!C20</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Risk_Results!$B$21:$B$45</c:f>
              <c:strCache>
                <c:ptCount val="25"/>
                <c:pt idx="0">
                  <c:v>5,129</c:v>
                </c:pt>
                <c:pt idx="1">
                  <c:v>5,255</c:v>
                </c:pt>
                <c:pt idx="2">
                  <c:v>5,381</c:v>
                </c:pt>
                <c:pt idx="3">
                  <c:v>5,507</c:v>
                </c:pt>
                <c:pt idx="4">
                  <c:v>5,633</c:v>
                </c:pt>
                <c:pt idx="5">
                  <c:v>5,759</c:v>
                </c:pt>
                <c:pt idx="6">
                  <c:v>5,885</c:v>
                </c:pt>
                <c:pt idx="7">
                  <c:v>6,011</c:v>
                </c:pt>
                <c:pt idx="8">
                  <c:v>6,137</c:v>
                </c:pt>
                <c:pt idx="9">
                  <c:v>6,263</c:v>
                </c:pt>
                <c:pt idx="10">
                  <c:v>6,389</c:v>
                </c:pt>
                <c:pt idx="11">
                  <c:v>6,515</c:v>
                </c:pt>
                <c:pt idx="12">
                  <c:v>6,641</c:v>
                </c:pt>
                <c:pt idx="13">
                  <c:v>6,767</c:v>
                </c:pt>
                <c:pt idx="14">
                  <c:v>6,893</c:v>
                </c:pt>
                <c:pt idx="15">
                  <c:v>7,019</c:v>
                </c:pt>
                <c:pt idx="16">
                  <c:v>7,145</c:v>
                </c:pt>
                <c:pt idx="17">
                  <c:v>7,271</c:v>
                </c:pt>
                <c:pt idx="18">
                  <c:v>7,397</c:v>
                </c:pt>
                <c:pt idx="19">
                  <c:v>7,523</c:v>
                </c:pt>
                <c:pt idx="20">
                  <c:v>7,649</c:v>
                </c:pt>
                <c:pt idx="21">
                  <c:v>7,775</c:v>
                </c:pt>
                <c:pt idx="22">
                  <c:v>7,901</c:v>
                </c:pt>
                <c:pt idx="23">
                  <c:v>8,027</c:v>
                </c:pt>
                <c:pt idx="24">
                  <c:v>8,153</c:v>
                </c:pt>
              </c:strCache>
            </c:strRef>
          </c:cat>
          <c:val>
            <c:numRef>
              <c:f>Risk_Results!$C$21:$C$45</c:f>
              <c:numCache>
                <c:formatCode>0</c:formatCode>
                <c:ptCount val="25"/>
                <c:pt idx="0">
                  <c:v>2</c:v>
                </c:pt>
                <c:pt idx="1">
                  <c:v>9</c:v>
                </c:pt>
                <c:pt idx="2">
                  <c:v>14</c:v>
                </c:pt>
                <c:pt idx="3">
                  <c:v>33</c:v>
                </c:pt>
                <c:pt idx="4">
                  <c:v>63</c:v>
                </c:pt>
                <c:pt idx="5">
                  <c:v>101</c:v>
                </c:pt>
                <c:pt idx="6">
                  <c:v>129</c:v>
                </c:pt>
                <c:pt idx="7">
                  <c:v>166</c:v>
                </c:pt>
                <c:pt idx="8">
                  <c:v>190</c:v>
                </c:pt>
                <c:pt idx="9">
                  <c:v>240</c:v>
                </c:pt>
                <c:pt idx="10">
                  <c:v>201</c:v>
                </c:pt>
                <c:pt idx="11">
                  <c:v>191</c:v>
                </c:pt>
                <c:pt idx="12">
                  <c:v>177</c:v>
                </c:pt>
                <c:pt idx="13">
                  <c:v>109</c:v>
                </c:pt>
                <c:pt idx="14">
                  <c:v>107</c:v>
                </c:pt>
                <c:pt idx="15">
                  <c:v>89</c:v>
                </c:pt>
                <c:pt idx="16">
                  <c:v>69</c:v>
                </c:pt>
                <c:pt idx="17">
                  <c:v>57</c:v>
                </c:pt>
                <c:pt idx="18">
                  <c:v>23</c:v>
                </c:pt>
                <c:pt idx="19">
                  <c:v>16</c:v>
                </c:pt>
                <c:pt idx="20">
                  <c:v>3</c:v>
                </c:pt>
                <c:pt idx="21">
                  <c:v>4</c:v>
                </c:pt>
                <c:pt idx="22">
                  <c:v>5</c:v>
                </c:pt>
                <c:pt idx="23">
                  <c:v>1</c:v>
                </c:pt>
                <c:pt idx="24">
                  <c:v>1</c:v>
                </c:pt>
              </c:numCache>
            </c:numRef>
          </c:val>
        </c:ser>
        <c:gapWidth val="10"/>
        <c:overlap val="0"/>
        <c:axId val="31063111"/>
        <c:axId val="18033451"/>
      </c:barChart>
      <c:catAx>
        <c:axId val="310631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WLC (£m, bin upper bound)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3451"/>
        <c:crosses val="autoZero"/>
        <c:auto val="1"/>
        <c:lblAlgn val="ctr"/>
        <c:lblOffset val="100"/>
        <c:noMultiLvlLbl val="0"/>
      </c:catAx>
      <c:valAx>
        <c:axId val="180334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Iterations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0631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S-curve: probability WLC is at or below value</a:t>
            </a:r>
          </a:p>
        </c:rich>
      </c:tx>
      <c:overlay val="0"/>
      <c:spPr>
        <a:noFill/>
        <a:ln w="0">
          <a:noFill/>
        </a:ln>
      </c:spPr>
    </c:title>
    <c:autoTitleDeleted val="0"/>
    <c:plotArea>
      <c:lineChart>
        <c:grouping val="standard"/>
        <c:varyColors val="0"/>
        <c:ser>
          <c:idx val="0"/>
          <c:order val="0"/>
          <c:tx>
            <c:strRef>
              <c:f>Risk_Results!E20</c:f>
              <c:strCache>
                <c:ptCount val="1"/>
                <c:pt idx="0">
                  <c:v>Cumulative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Risk_Results!$B$21:$B$45</c:f>
              <c:strCache>
                <c:ptCount val="25"/>
                <c:pt idx="0">
                  <c:v>5,129</c:v>
                </c:pt>
                <c:pt idx="1">
                  <c:v>5,255</c:v>
                </c:pt>
                <c:pt idx="2">
                  <c:v>5,381</c:v>
                </c:pt>
                <c:pt idx="3">
                  <c:v>5,507</c:v>
                </c:pt>
                <c:pt idx="4">
                  <c:v>5,633</c:v>
                </c:pt>
                <c:pt idx="5">
                  <c:v>5,759</c:v>
                </c:pt>
                <c:pt idx="6">
                  <c:v>5,885</c:v>
                </c:pt>
                <c:pt idx="7">
                  <c:v>6,011</c:v>
                </c:pt>
                <c:pt idx="8">
                  <c:v>6,137</c:v>
                </c:pt>
                <c:pt idx="9">
                  <c:v>6,263</c:v>
                </c:pt>
                <c:pt idx="10">
                  <c:v>6,389</c:v>
                </c:pt>
                <c:pt idx="11">
                  <c:v>6,515</c:v>
                </c:pt>
                <c:pt idx="12">
                  <c:v>6,641</c:v>
                </c:pt>
                <c:pt idx="13">
                  <c:v>6,767</c:v>
                </c:pt>
                <c:pt idx="14">
                  <c:v>6,893</c:v>
                </c:pt>
                <c:pt idx="15">
                  <c:v>7,019</c:v>
                </c:pt>
                <c:pt idx="16">
                  <c:v>7,145</c:v>
                </c:pt>
                <c:pt idx="17">
                  <c:v>7,271</c:v>
                </c:pt>
                <c:pt idx="18">
                  <c:v>7,397</c:v>
                </c:pt>
                <c:pt idx="19">
                  <c:v>7,523</c:v>
                </c:pt>
                <c:pt idx="20">
                  <c:v>7,649</c:v>
                </c:pt>
                <c:pt idx="21">
                  <c:v>7,775</c:v>
                </c:pt>
                <c:pt idx="22">
                  <c:v>7,901</c:v>
                </c:pt>
                <c:pt idx="23">
                  <c:v>8,027</c:v>
                </c:pt>
                <c:pt idx="24">
                  <c:v>8,153</c:v>
                </c:pt>
              </c:strCache>
            </c:strRef>
          </c:cat>
          <c:val>
            <c:numRef>
              <c:f>Risk_Results!$E$21:$E$45</c:f>
              <c:numCache>
                <c:formatCode>0.0%;\(0.0%\);\-</c:formatCode>
                <c:ptCount val="25"/>
                <c:pt idx="0">
                  <c:v>0.001</c:v>
                </c:pt>
                <c:pt idx="1">
                  <c:v>0.0055</c:v>
                </c:pt>
                <c:pt idx="2">
                  <c:v>0.0125</c:v>
                </c:pt>
                <c:pt idx="3">
                  <c:v>0.029</c:v>
                </c:pt>
                <c:pt idx="4">
                  <c:v>0.0605</c:v>
                </c:pt>
                <c:pt idx="5">
                  <c:v>0.111</c:v>
                </c:pt>
                <c:pt idx="6">
                  <c:v>0.1755</c:v>
                </c:pt>
                <c:pt idx="7">
                  <c:v>0.2585</c:v>
                </c:pt>
                <c:pt idx="8">
                  <c:v>0.3535</c:v>
                </c:pt>
                <c:pt idx="9">
                  <c:v>0.4735</c:v>
                </c:pt>
                <c:pt idx="10">
                  <c:v>0.574</c:v>
                </c:pt>
                <c:pt idx="11">
                  <c:v>0.6695</c:v>
                </c:pt>
                <c:pt idx="12">
                  <c:v>0.758</c:v>
                </c:pt>
                <c:pt idx="13">
                  <c:v>0.8125</c:v>
                </c:pt>
                <c:pt idx="14">
                  <c:v>0.866</c:v>
                </c:pt>
                <c:pt idx="15">
                  <c:v>0.9105</c:v>
                </c:pt>
                <c:pt idx="16">
                  <c:v>0.945</c:v>
                </c:pt>
                <c:pt idx="17">
                  <c:v>0.9735</c:v>
                </c:pt>
                <c:pt idx="18">
                  <c:v>0.985</c:v>
                </c:pt>
                <c:pt idx="19">
                  <c:v>0.993</c:v>
                </c:pt>
                <c:pt idx="20">
                  <c:v>0.9945</c:v>
                </c:pt>
                <c:pt idx="21">
                  <c:v>0.9965</c:v>
                </c:pt>
                <c:pt idx="22">
                  <c:v>0.999</c:v>
                </c:pt>
                <c:pt idx="23">
                  <c:v>0.9995</c:v>
                </c:pt>
                <c:pt idx="24">
                  <c:v>1</c:v>
                </c:pt>
              </c:numCache>
            </c:numRef>
          </c:val>
          <c:smooth val="1"/>
        </c:ser>
        <c:hiLowLines>
          <c:spPr>
            <a:ln w="0">
              <a:noFill/>
            </a:ln>
          </c:spPr>
        </c:hiLowLines>
        <c:marker val="0"/>
        <c:axId val="9840198"/>
        <c:axId val="87080676"/>
      </c:lineChart>
      <c:catAx>
        <c:axId val="984019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WLC (£m)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80676"/>
        <c:crosses val="autoZero"/>
        <c:auto val="1"/>
        <c:lblAlgn val="ctr"/>
        <c:lblOffset val="100"/>
        <c:noMultiLvlLbl val="0"/>
      </c:catAx>
      <c:valAx>
        <c:axId val="87080676"/>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Confidence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401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160920</xdr:rowOff>
    </xdr:from>
    <xdr:to>
      <xdr:col>11</xdr:col>
      <xdr:colOff>399240</xdr:colOff>
      <xdr:row>17</xdr:row>
      <xdr:rowOff>182880</xdr:rowOff>
    </xdr:to>
    <xdr:graphicFrame>
      <xdr:nvGraphicFramePr>
        <xdr:cNvPr id="0" name="Chart 1"/>
        <xdr:cNvGraphicFramePr/>
      </xdr:nvGraphicFramePr>
      <xdr:xfrm>
        <a:off x="6391440" y="571680"/>
        <a:ext cx="46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160560</xdr:rowOff>
    </xdr:from>
    <xdr:to>
      <xdr:col>8</xdr:col>
      <xdr:colOff>522360</xdr:colOff>
      <xdr:row>48</xdr:row>
      <xdr:rowOff>162000</xdr:rowOff>
    </xdr:to>
    <xdr:graphicFrame>
      <xdr:nvGraphicFramePr>
        <xdr:cNvPr id="1" name="Chart 2"/>
        <xdr:cNvGraphicFramePr/>
      </xdr:nvGraphicFramePr>
      <xdr:xfrm>
        <a:off x="0" y="6667560"/>
        <a:ext cx="93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18</xdr:col>
      <xdr:colOff>364680</xdr:colOff>
      <xdr:row>12</xdr:row>
      <xdr:rowOff>61200</xdr:rowOff>
    </xdr:to>
    <xdr:graphicFrame>
      <xdr:nvGraphicFramePr>
        <xdr:cNvPr id="2" name="Chart 1"/>
        <xdr:cNvGraphicFramePr/>
      </xdr:nvGraphicFramePr>
      <xdr:xfrm>
        <a:off x="14003640" y="57168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48240</xdr:rowOff>
    </xdr:from>
    <xdr:to>
      <xdr:col>6</xdr:col>
      <xdr:colOff>392760</xdr:colOff>
      <xdr:row>34</xdr:row>
      <xdr:rowOff>28440</xdr:rowOff>
    </xdr:to>
    <xdr:graphicFrame>
      <xdr:nvGraphicFramePr>
        <xdr:cNvPr id="3" name="Chart 1"/>
        <xdr:cNvGraphicFramePr/>
      </xdr:nvGraphicFramePr>
      <xdr:xfrm>
        <a:off x="0" y="304812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18</xdr:col>
      <xdr:colOff>364680</xdr:colOff>
      <xdr:row>17</xdr:row>
      <xdr:rowOff>182880</xdr:rowOff>
    </xdr:to>
    <xdr:graphicFrame>
      <xdr:nvGraphicFramePr>
        <xdr:cNvPr id="4" name="Chart 1"/>
        <xdr:cNvGraphicFramePr/>
      </xdr:nvGraphicFramePr>
      <xdr:xfrm>
        <a:off x="9281160" y="5716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20</xdr:row>
      <xdr:rowOff>160920</xdr:rowOff>
    </xdr:from>
    <xdr:to>
      <xdr:col>18</xdr:col>
      <xdr:colOff>364680</xdr:colOff>
      <xdr:row>35</xdr:row>
      <xdr:rowOff>182880</xdr:rowOff>
    </xdr:to>
    <xdr:graphicFrame>
      <xdr:nvGraphicFramePr>
        <xdr:cNvPr id="5" name="Chart 2"/>
        <xdr:cNvGraphicFramePr/>
      </xdr:nvGraphicFramePr>
      <xdr:xfrm>
        <a:off x="9281160" y="400068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hyperlink" Target="https://committees.parliament.uk/publications/40198/documents/196331/default/" TargetMode="External"/><Relationship Id="rId2" Type="http://schemas.openxmlformats.org/officeDocument/2006/relationships/hyperlink" Target="https://assets.publishing.service.gov.uk/government/uploads/system/uploads/attachment_data/file/458670/Revised_2015-06440_Average_costs_RN_Surface_vessels.pdf" TargetMode="External"/><Relationship Id="rId3" Type="http://schemas.openxmlformats.org/officeDocument/2006/relationships/hyperlink" Target="https://www.royalnavy.mod.uk/organisation/units-and-squadrons/type-23/hms-st-albans" TargetMode="External"/><Relationship Id="rId4" Type="http://schemas.openxmlformats.org/officeDocument/2006/relationships/hyperlink" Target="https://www.gov.uk/government/collections/gdp-deflators-at-market-prices-and-money-gdp" TargetMode="External"/><Relationship Id="rId5" Type="http://schemas.openxmlformats.org/officeDocument/2006/relationships/hyperlink" Target="https://www.naval-technology.com/news/uks-type-23-frigates-rack-up-billion-pound-upkeep-bill-since-2014/" TargetMode="External"/><Relationship Id="rId6" Type="http://schemas.openxmlformats.org/officeDocument/2006/relationships/hyperlink" Target="https://www.gov.uk/government/news/new-inspiration-class-type-31-warships-named" TargetMode="External"/><Relationship Id="rId7" Type="http://schemas.openxmlformats.org/officeDocument/2006/relationships/hyperlink" Target="https://www.royalnavy.mod.uk/organisation/units-and-squadrons/type-31/hms-venturer" TargetMode="External"/><Relationship Id="rId8" Type="http://schemas.openxmlformats.org/officeDocument/2006/relationships/hyperlink" Target="https://www.naval-technology.com/news/babcock-recognises-90m-loss-on-type-31-frigate-contract/" TargetMode="External"/><Relationship Id="rId9" Type="http://schemas.openxmlformats.org/officeDocument/2006/relationships/hyperlink" Target="https://www.esd.whs.mil/Portals/54/Documents/FOID/Reading%20Room/Selected_Acquisition_Reports/FY_2022_SARS/FFG(62)_SAR_DEC_2022_final.pdf" TargetMode="External"/><Relationship Id="rId10" Type="http://schemas.openxmlformats.org/officeDocument/2006/relationships/hyperlink" Target="https://www.gao.gov/products/gao-20-2" TargetMode="External"/><Relationship Id="rId11" Type="http://schemas.openxmlformats.org/officeDocument/2006/relationships/hyperlink" Target="https://www.pbo-dpb.ca/en/publications/RP-2223-016-C--life-cycle-cost-canadian-surface-combatants-fiscal-analysis--cout-cycle-vie-navires-combat-surface-canadien-analyse-financiere" TargetMode="External"/><Relationship Id="rId12" Type="http://schemas.openxmlformats.org/officeDocument/2006/relationships/hyperlink" Target="https://anao.gov.au/work/performance-audit/anzac-class-frigates-sustainment" TargetMode="External"/><Relationship Id="rId13" Type="http://schemas.openxmlformats.org/officeDocument/2006/relationships/hyperlink" Target="https://en.wikipedia.org/wiki/Iver_Huitfeldt-class_frigate" TargetMode="External"/><Relationship Id="rId14" Type="http://schemas.openxmlformats.org/officeDocument/2006/relationships/hyperlink" Target="https://www.gov.uk/government/publications/the-green-book-appraisal-and-evaluation-in-central-govern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5"/>
  </cols>
  <sheetData>
    <row r="1" customFormat="false" ht="17.35" hidden="false" customHeight="false" outlineLevel="0" collapsed="false">
      <c r="A1" s="1"/>
      <c r="B1" s="2" t="s">
        <v>0</v>
      </c>
    </row>
    <row r="2" customFormat="false" ht="15" hidden="false" customHeight="false" outlineLevel="0" collapsed="false">
      <c r="A2" s="1"/>
      <c r="B2" s="3" t="s">
        <v>1</v>
      </c>
    </row>
    <row r="3" customFormat="false" ht="15" hidden="false" customHeight="false" outlineLevel="0" collapsed="false">
      <c r="A3" s="1"/>
      <c r="B3" s="4"/>
    </row>
    <row r="4" customFormat="false" ht="15" hidden="false" customHeight="false" outlineLevel="0" collapsed="false">
      <c r="A4" s="1"/>
      <c r="B4" s="5" t="s">
        <v>2</v>
      </c>
    </row>
    <row r="5" customFormat="false" ht="23.85" hidden="false" customHeight="false" outlineLevel="0" collapsed="false">
      <c r="A5" s="1"/>
      <c r="B5" s="4" t="s">
        <v>3</v>
      </c>
    </row>
    <row r="6" customFormat="false" ht="15" hidden="false" customHeight="false" outlineLevel="0" collapsed="false">
      <c r="A6" s="1"/>
      <c r="B6" s="4"/>
    </row>
    <row r="7" customFormat="false" ht="15" hidden="false" customHeight="false" outlineLevel="0" collapsed="false">
      <c r="A7" s="1"/>
      <c r="B7" s="5" t="s">
        <v>4</v>
      </c>
    </row>
    <row r="8" customFormat="false" ht="15" hidden="false" customHeight="false" outlineLevel="0" collapsed="false">
      <c r="A8" s="1"/>
      <c r="B8" s="4" t="s">
        <v>5</v>
      </c>
    </row>
    <row r="9" customFormat="false" ht="15" hidden="false" customHeight="false" outlineLevel="0" collapsed="false">
      <c r="A9" s="1"/>
      <c r="B9" s="4" t="s">
        <v>6</v>
      </c>
    </row>
    <row r="10" customFormat="false" ht="15" hidden="false" customHeight="false" outlineLevel="0" collapsed="false">
      <c r="A10" s="1"/>
      <c r="B10" s="4" t="s">
        <v>7</v>
      </c>
    </row>
    <row r="11" customFormat="false" ht="15" hidden="false" customHeight="false" outlineLevel="0" collapsed="false">
      <c r="A11" s="1"/>
      <c r="B11" s="4" t="s">
        <v>8</v>
      </c>
    </row>
    <row r="12" customFormat="false" ht="15" hidden="false" customHeight="false" outlineLevel="0" collapsed="false">
      <c r="A12" s="1"/>
      <c r="B12" s="4"/>
    </row>
    <row r="13" customFormat="false" ht="15" hidden="false" customHeight="false" outlineLevel="0" collapsed="false">
      <c r="A13" s="1"/>
      <c r="B13" s="5" t="s">
        <v>9</v>
      </c>
    </row>
    <row r="14" customFormat="false" ht="15" hidden="false" customHeight="false" outlineLevel="0" collapsed="false">
      <c r="A14" s="1"/>
      <c r="B14" s="4" t="s">
        <v>10</v>
      </c>
    </row>
    <row r="15" customFormat="false" ht="15" hidden="false" customHeight="false" outlineLevel="0" collapsed="false">
      <c r="A15" s="1"/>
      <c r="B15" s="4" t="s">
        <v>11</v>
      </c>
    </row>
    <row r="16" customFormat="false" ht="15" hidden="false" customHeight="false" outlineLevel="0" collapsed="false">
      <c r="A16" s="1"/>
      <c r="B16" s="4" t="s">
        <v>12</v>
      </c>
    </row>
    <row r="17" customFormat="false" ht="15" hidden="false" customHeight="false" outlineLevel="0" collapsed="false">
      <c r="A17" s="1"/>
      <c r="B17" s="4" t="s">
        <v>13</v>
      </c>
    </row>
    <row r="18" customFormat="false" ht="15" hidden="false" customHeight="false" outlineLevel="0" collapsed="false">
      <c r="A18" s="1"/>
      <c r="B18" s="4" t="s">
        <v>14</v>
      </c>
    </row>
    <row r="19" customFormat="false" ht="15" hidden="false" customHeight="false" outlineLevel="0" collapsed="false">
      <c r="A19" s="1"/>
      <c r="B19" s="4" t="s">
        <v>15</v>
      </c>
    </row>
    <row r="20" customFormat="false" ht="15" hidden="false" customHeight="false" outlineLevel="0" collapsed="false">
      <c r="A20" s="1"/>
      <c r="B20" s="4" t="s">
        <v>16</v>
      </c>
    </row>
    <row r="21" customFormat="false" ht="15" hidden="false" customHeight="false" outlineLevel="0" collapsed="false">
      <c r="A21" s="1"/>
      <c r="B21" s="4" t="s">
        <v>17</v>
      </c>
    </row>
    <row r="22" customFormat="false" ht="15" hidden="false" customHeight="false" outlineLevel="0" collapsed="false">
      <c r="A22" s="1"/>
      <c r="B22" s="4"/>
    </row>
    <row r="23" customFormat="false" ht="15" hidden="false" customHeight="false" outlineLevel="0" collapsed="false">
      <c r="A23" s="1"/>
      <c r="B23" s="5" t="s">
        <v>18</v>
      </c>
    </row>
    <row r="24" customFormat="false" ht="23.85" hidden="false" customHeight="false" outlineLevel="0" collapsed="false">
      <c r="A24" s="1"/>
      <c r="B24" s="4" t="s">
        <v>19</v>
      </c>
    </row>
    <row r="25" customFormat="false" ht="23.85" hidden="false" customHeight="false" outlineLevel="0" collapsed="false">
      <c r="A25" s="1"/>
      <c r="B25" s="4" t="s">
        <v>20</v>
      </c>
    </row>
    <row r="26" customFormat="false" ht="15" hidden="false" customHeight="false" outlineLevel="0" collapsed="false">
      <c r="A26" s="1"/>
      <c r="B26" s="4" t="s">
        <v>21</v>
      </c>
    </row>
    <row r="27" customFormat="false" ht="35.05" hidden="false" customHeight="false" outlineLevel="0" collapsed="false">
      <c r="A27" s="1"/>
      <c r="B27" s="4" t="s">
        <v>22</v>
      </c>
    </row>
    <row r="28" customFormat="false" ht="23.85" hidden="false" customHeight="false" outlineLevel="0" collapsed="false">
      <c r="A28" s="1"/>
      <c r="B28" s="4" t="s">
        <v>23</v>
      </c>
    </row>
    <row r="29" customFormat="false" ht="23.85" hidden="false" customHeight="false" outlineLevel="0" collapsed="false">
      <c r="A29" s="1"/>
      <c r="B29" s="4" t="s">
        <v>24</v>
      </c>
    </row>
    <row r="30" customFormat="false" ht="15" hidden="false" customHeight="false" outlineLevel="0" collapsed="false">
      <c r="A30" s="1"/>
      <c r="B30" s="4"/>
    </row>
    <row r="31" customFormat="false" ht="15" hidden="false" customHeight="false" outlineLevel="0" collapsed="false">
      <c r="A31" s="1"/>
      <c r="B31" s="5" t="s">
        <v>25</v>
      </c>
    </row>
    <row r="32" customFormat="false" ht="23.85" hidden="false" customHeight="false" outlineLevel="0" collapsed="false">
      <c r="A32" s="1"/>
      <c r="B32" s="4" t="s">
        <v>26</v>
      </c>
    </row>
    <row r="33" customFormat="false" ht="15" hidden="false" customHeight="false" outlineLevel="0" collapsed="false">
      <c r="A33" s="1"/>
      <c r="B33" s="4"/>
    </row>
    <row r="34" customFormat="false" ht="15" hidden="false" customHeight="false" outlineLevel="0" collapsed="false">
      <c r="A34" s="1"/>
      <c r="B34" s="5" t="s">
        <v>27</v>
      </c>
    </row>
    <row r="35" customFormat="false" ht="23.85" hidden="false" customHeight="false" outlineLevel="0" collapsed="false">
      <c r="A35" s="1"/>
      <c r="B35" s="4" t="s">
        <v>28</v>
      </c>
    </row>
    <row r="36" customFormat="false" ht="23.85" hidden="false" customHeight="false" outlineLevel="0" collapsed="false">
      <c r="A36" s="1"/>
      <c r="B36" s="4" t="s">
        <v>29</v>
      </c>
    </row>
    <row r="37" customFormat="false" ht="23.85" hidden="false" customHeight="false" outlineLevel="0" collapsed="false">
      <c r="A37" s="1"/>
      <c r="B37" s="4" t="s">
        <v>30</v>
      </c>
    </row>
    <row r="38" customFormat="false" ht="15" hidden="false" customHeight="false" outlineLevel="0" collapsed="false">
      <c r="A38" s="1"/>
      <c r="B38"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12"/>
  </cols>
  <sheetData>
    <row r="1" customFormat="false" ht="17.35" hidden="false" customHeight="false" outlineLevel="0" collapsed="false">
      <c r="A1" s="6" t="s">
        <v>32</v>
      </c>
      <c r="B1" s="1"/>
      <c r="C1" s="1"/>
      <c r="D1" s="1"/>
      <c r="E1" s="1"/>
      <c r="F1" s="1"/>
      <c r="G1" s="1"/>
      <c r="H1" s="1"/>
    </row>
    <row r="2" customFormat="false" ht="15" hidden="false" customHeight="false" outlineLevel="0" collapsed="false">
      <c r="A2" s="7" t="s">
        <v>33</v>
      </c>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8" t="s">
        <v>34</v>
      </c>
      <c r="B4" s="8" t="s">
        <v>35</v>
      </c>
      <c r="C4" s="1"/>
      <c r="D4" s="1"/>
      <c r="E4" s="1"/>
      <c r="F4" s="1"/>
      <c r="G4" s="1"/>
      <c r="H4" s="1"/>
    </row>
    <row r="5" customFormat="false" ht="15" hidden="false" customHeight="false" outlineLevel="0" collapsed="false">
      <c r="A5" s="9" t="s">
        <v>36</v>
      </c>
      <c r="B5" s="10" t="n">
        <f aca="false">WLC_Model!C22</f>
        <v>6039.98173160029</v>
      </c>
      <c r="C5" s="1"/>
      <c r="D5" s="1"/>
      <c r="E5" s="1"/>
      <c r="F5" s="1"/>
      <c r="G5" s="1"/>
      <c r="H5" s="1"/>
    </row>
    <row r="6" customFormat="false" ht="15" hidden="false" customHeight="false" outlineLevel="0" collapsed="false">
      <c r="A6" s="9" t="s">
        <v>37</v>
      </c>
      <c r="B6" s="11" t="n">
        <f aca="false">B5/Inputs!$E$5</f>
        <v>1207.99634632006</v>
      </c>
      <c r="C6" s="1"/>
      <c r="D6" s="1"/>
      <c r="E6" s="1"/>
      <c r="F6" s="1"/>
      <c r="G6" s="1"/>
      <c r="H6" s="1"/>
    </row>
    <row r="7" customFormat="false" ht="15" hidden="false" customHeight="false" outlineLevel="0" collapsed="false">
      <c r="A7" s="9" t="s">
        <v>38</v>
      </c>
      <c r="B7" s="11" t="n">
        <f aca="false">WLC_Model!C16</f>
        <v>2310</v>
      </c>
      <c r="C7" s="1"/>
      <c r="D7" s="1"/>
      <c r="E7" s="1"/>
      <c r="F7" s="1"/>
      <c r="G7" s="1"/>
      <c r="H7" s="1"/>
    </row>
    <row r="8" customFormat="false" ht="15" hidden="false" customHeight="false" outlineLevel="0" collapsed="false">
      <c r="A8" s="9" t="s">
        <v>39</v>
      </c>
      <c r="B8" s="11" t="n">
        <f aca="false">SUM(WLC_Model!C17:C21)</f>
        <v>3729.98173160029</v>
      </c>
      <c r="C8" s="1"/>
      <c r="D8" s="1"/>
      <c r="E8" s="1"/>
      <c r="F8" s="1"/>
      <c r="G8" s="1"/>
      <c r="H8" s="1"/>
    </row>
    <row r="9" customFormat="false" ht="15" hidden="false" customHeight="false" outlineLevel="0" collapsed="false">
      <c r="A9" s="9" t="s">
        <v>40</v>
      </c>
      <c r="B9" s="12" t="n">
        <f aca="false">B8/B5</f>
        <v>0.617548512123071</v>
      </c>
      <c r="C9" s="1"/>
      <c r="D9" s="1"/>
      <c r="E9" s="1"/>
      <c r="F9" s="1"/>
      <c r="G9" s="1"/>
      <c r="H9" s="1"/>
    </row>
    <row r="10" customFormat="false" ht="15" hidden="false" customHeight="false" outlineLevel="0" collapsed="false">
      <c r="A10" s="9" t="s">
        <v>41</v>
      </c>
      <c r="B10" s="11" t="n">
        <f aca="false">B5-WLC_Model!C19</f>
        <v>4765.54427876561</v>
      </c>
      <c r="C10" s="1"/>
      <c r="D10" s="1"/>
      <c r="E10" s="1"/>
      <c r="F10" s="1"/>
      <c r="G10" s="1"/>
      <c r="H10" s="1"/>
    </row>
    <row r="11" customFormat="false" ht="15" hidden="false" customHeight="false" outlineLevel="0" collapsed="false">
      <c r="A11" s="9" t="s">
        <v>42</v>
      </c>
      <c r="B11" s="11" t="n">
        <f aca="false">WLC_Model!C26</f>
        <v>3117.92053474245</v>
      </c>
      <c r="C11" s="1"/>
      <c r="D11" s="1"/>
      <c r="E11" s="1"/>
      <c r="F11" s="1"/>
      <c r="G11" s="1"/>
      <c r="H11" s="1"/>
    </row>
    <row r="12" customFormat="false" ht="15" hidden="false" customHeight="false" outlineLevel="0" collapsed="false">
      <c r="A12" s="9" t="s">
        <v>43</v>
      </c>
      <c r="B12" s="11" t="n">
        <f aca="false">Risk_Results!C8</f>
        <v>6297.31549160298</v>
      </c>
      <c r="C12" s="1"/>
      <c r="D12" s="1"/>
      <c r="E12" s="1"/>
      <c r="F12" s="1"/>
      <c r="G12" s="1"/>
      <c r="H12" s="1"/>
    </row>
    <row r="13" customFormat="false" ht="15" hidden="false" customHeight="false" outlineLevel="0" collapsed="false">
      <c r="A13" s="9" t="s">
        <v>44</v>
      </c>
      <c r="B13" s="10" t="n">
        <f aca="false">Risk_Results!C9</f>
        <v>6737.48703510143</v>
      </c>
      <c r="C13" s="1"/>
      <c r="D13" s="1"/>
      <c r="E13" s="1"/>
      <c r="F13" s="1"/>
      <c r="G13" s="1"/>
      <c r="H13" s="1"/>
    </row>
    <row r="14" customFormat="false" ht="15" hidden="false" customHeight="false" outlineLevel="0" collapsed="false">
      <c r="A14" s="9" t="s">
        <v>45</v>
      </c>
      <c r="B14" s="13" t="n">
        <f aca="false">B13-B5</f>
        <v>697.505303501145</v>
      </c>
      <c r="C14" s="1"/>
      <c r="D14" s="1"/>
      <c r="E14" s="1"/>
      <c r="F14" s="1"/>
      <c r="G14" s="1"/>
      <c r="H14" s="1"/>
    </row>
    <row r="15" customFormat="false" ht="15" hidden="false" customHeight="false" outlineLevel="0" collapsed="false">
      <c r="A15" s="9" t="s">
        <v>46</v>
      </c>
      <c r="B15" s="14" t="n">
        <f aca="false">Risk_Results!C14</f>
        <v>0.724</v>
      </c>
      <c r="C15" s="1"/>
      <c r="D15" s="1"/>
      <c r="E15" s="1"/>
      <c r="F15" s="1"/>
      <c r="G15" s="1"/>
      <c r="H15" s="1"/>
    </row>
    <row r="16" customFormat="false" ht="15" hidden="false" customHeight="false" outlineLevel="0" collapsed="false">
      <c r="A16" s="1"/>
      <c r="B16" s="1"/>
      <c r="C16" s="1"/>
      <c r="D16" s="1"/>
      <c r="E16" s="1"/>
      <c r="F16" s="1"/>
      <c r="G16" s="1"/>
      <c r="H16" s="1"/>
    </row>
    <row r="17" customFormat="false" ht="15" hidden="false" customHeight="false" outlineLevel="0" collapsed="false">
      <c r="A17" s="8" t="s">
        <v>47</v>
      </c>
      <c r="B17" s="8" t="s">
        <v>35</v>
      </c>
      <c r="C17" s="8" t="s">
        <v>48</v>
      </c>
      <c r="D17" s="1"/>
      <c r="E17" s="1"/>
      <c r="F17" s="1"/>
      <c r="G17" s="1"/>
      <c r="H17" s="1"/>
    </row>
    <row r="18" customFormat="false" ht="15" hidden="false" customHeight="false" outlineLevel="0" collapsed="false">
      <c r="A18" s="9" t="s">
        <v>49</v>
      </c>
      <c r="B18" s="11" t="n">
        <f aca="false">WLC_Model!C16</f>
        <v>2310</v>
      </c>
      <c r="C18" s="15" t="n">
        <f aca="false">B18/$B$24</f>
        <v>0.382451487876929</v>
      </c>
      <c r="D18" s="1"/>
      <c r="E18" s="1"/>
      <c r="F18" s="1"/>
      <c r="G18" s="1"/>
      <c r="H18" s="1"/>
    </row>
    <row r="19" customFormat="false" ht="15" hidden="false" customHeight="false" outlineLevel="0" collapsed="false">
      <c r="A19" s="9" t="s">
        <v>50</v>
      </c>
      <c r="B19" s="11" t="n">
        <f aca="false">WLC_Model!C17</f>
        <v>1342.51397573531</v>
      </c>
      <c r="C19" s="15" t="n">
        <f aca="false">B19/$B$24</f>
        <v>0.222271198058675</v>
      </c>
      <c r="D19" s="1"/>
      <c r="E19" s="1"/>
      <c r="F19" s="1"/>
      <c r="G19" s="1"/>
      <c r="H19" s="1"/>
    </row>
    <row r="20" customFormat="false" ht="15" hidden="false" customHeight="false" outlineLevel="0" collapsed="false">
      <c r="A20" s="9" t="s">
        <v>51</v>
      </c>
      <c r="B20" s="11" t="n">
        <f aca="false">WLC_Model!C18</f>
        <v>713.030303030303</v>
      </c>
      <c r="C20" s="15" t="n">
        <f aca="false">B20/$B$24</f>
        <v>0.118051731729557</v>
      </c>
      <c r="D20" s="1"/>
      <c r="E20" s="1"/>
      <c r="F20" s="1"/>
      <c r="G20" s="1"/>
      <c r="H20" s="1"/>
    </row>
    <row r="21" customFormat="false" ht="15" hidden="false" customHeight="false" outlineLevel="0" collapsed="false">
      <c r="A21" s="9" t="s">
        <v>52</v>
      </c>
      <c r="B21" s="11" t="n">
        <f aca="false">WLC_Model!C19</f>
        <v>1274.43745283468</v>
      </c>
      <c r="C21" s="15" t="n">
        <f aca="false">B21/$B$24</f>
        <v>0.211000216468704</v>
      </c>
      <c r="D21" s="1"/>
      <c r="E21" s="1"/>
      <c r="F21" s="1"/>
      <c r="G21" s="1"/>
      <c r="H21" s="1"/>
    </row>
    <row r="22" customFormat="false" ht="15" hidden="false" customHeight="false" outlineLevel="0" collapsed="false">
      <c r="A22" s="9" t="s">
        <v>53</v>
      </c>
      <c r="B22" s="11" t="n">
        <f aca="false">WLC_Model!C20</f>
        <v>375</v>
      </c>
      <c r="C22" s="15" t="n">
        <f aca="false">B22/$B$24</f>
        <v>0.0620862804995015</v>
      </c>
      <c r="D22" s="1"/>
      <c r="E22" s="1"/>
      <c r="F22" s="1"/>
      <c r="G22" s="1"/>
      <c r="H22" s="1"/>
    </row>
    <row r="23" customFormat="false" ht="15" hidden="false" customHeight="false" outlineLevel="0" collapsed="false">
      <c r="A23" s="9" t="s">
        <v>54</v>
      </c>
      <c r="B23" s="11" t="n">
        <f aca="false">WLC_Model!C21</f>
        <v>25</v>
      </c>
      <c r="C23" s="15" t="n">
        <f aca="false">B23/$B$24</f>
        <v>0.00413908536663343</v>
      </c>
      <c r="D23" s="1"/>
      <c r="E23" s="1"/>
      <c r="F23" s="1"/>
      <c r="G23" s="1"/>
      <c r="H23" s="1"/>
    </row>
    <row r="24" customFormat="false" ht="15" hidden="false" customHeight="false" outlineLevel="0" collapsed="false">
      <c r="A24" s="16" t="s">
        <v>55</v>
      </c>
      <c r="B24" s="17" t="n">
        <f aca="false">SUM(B18:B23)</f>
        <v>6039.98173160029</v>
      </c>
      <c r="C24" s="18" t="n">
        <f aca="false">SUM(C18:C23)</f>
        <v>1</v>
      </c>
      <c r="D24" s="1"/>
      <c r="E24" s="1"/>
      <c r="F24" s="1"/>
      <c r="G24" s="1"/>
      <c r="H24" s="1"/>
    </row>
    <row r="25" customFormat="false" ht="15" hidden="false" customHeight="false" outlineLevel="0" collapsed="false">
      <c r="A25" s="1"/>
      <c r="B25" s="1"/>
      <c r="C25" s="1"/>
      <c r="D25" s="1"/>
      <c r="E25" s="1"/>
      <c r="F25" s="1"/>
      <c r="G25" s="1"/>
      <c r="H25" s="1"/>
    </row>
    <row r="26" customFormat="false" ht="15" hidden="false" customHeight="false" outlineLevel="0" collapsed="false">
      <c r="A26" s="1"/>
      <c r="B26" s="1"/>
      <c r="C26" s="1"/>
      <c r="D26" s="1"/>
      <c r="E26" s="1"/>
      <c r="F26" s="1"/>
      <c r="G26" s="1"/>
      <c r="H26" s="1"/>
    </row>
    <row r="27" customFormat="false" ht="15" hidden="false" customHeight="false" outlineLevel="0" collapsed="false">
      <c r="A27" s="8" t="s">
        <v>56</v>
      </c>
      <c r="B27" s="1"/>
      <c r="C27" s="1"/>
      <c r="D27" s="1"/>
      <c r="E27" s="1"/>
      <c r="F27" s="1"/>
      <c r="G27" s="1"/>
      <c r="H27" s="1"/>
    </row>
    <row r="28" customFormat="false" ht="30" hidden="false" customHeight="true" outlineLevel="0" collapsed="false">
      <c r="A28" s="19" t="str">
        <f aca="false">"1. The five-ship class is estimated to cost about £"&amp;TEXT(B5/1000,"0.0")&amp;"bn over its life; the £"&amp;TEXT(B7/1000,"0.0")&amp;"bn purchase price is only "&amp;TEXT(B7/B5,"0%")&amp;" of that."</f>
        <v>1. The five-ship class is estimated to cost about £6.0bn over its life; the £2.3bn purchase price is only 38% of that.</v>
      </c>
      <c r="B28" s="19"/>
      <c r="C28" s="19"/>
      <c r="D28" s="19"/>
      <c r="E28" s="19"/>
      <c r="F28" s="19"/>
      <c r="G28" s="19"/>
      <c r="H28" s="19"/>
    </row>
    <row r="29" customFormat="false" ht="30" hidden="false" customHeight="true" outlineLevel="0" collapsed="false">
      <c r="A29" s="19" t="str">
        <f aca="false">"2. Support is "&amp;TEXT(B9,"0%")&amp;" of whole-life cost, in line with US (c.59-70%) and Canadian (72%) frigate evidence. Using UK direct costs alone would understate WLC by about £"&amp;TEXT((B5-B10)/1000,"0.0")&amp;"bn."</f>
        <v>2. Support is 62% of whole-life cost, in line with US (c.59-70%) and Canadian (72%) frigate evidence. Using UK direct costs alone would understate WLC by about £1.3bn.</v>
      </c>
      <c r="B29" s="19"/>
      <c r="C29" s="19"/>
      <c r="D29" s="19"/>
      <c r="E29" s="19"/>
      <c r="F29" s="19"/>
      <c r="G29" s="19"/>
      <c r="H29" s="19"/>
    </row>
    <row r="30" customFormat="false" ht="30" hidden="false" customHeight="true" outlineLevel="0" collapsed="false">
      <c r="A30" s="19" t="str">
        <f aca="false">"3. Allowing for uncertainty, there is an 80% chance the WLC is below £"&amp;TEXT(B13/1000,"0.0")&amp;"bn – a contingency of about £"&amp;TEXT(B14,"#,##0")&amp;"m above the point estimate."</f>
        <v>3. Allowing for uncertainty, there is an 80% chance the WLC is below £6.7bn – a contingency of about £698m above the point estimate.</v>
      </c>
      <c r="B30" s="19"/>
      <c r="C30" s="19"/>
      <c r="D30" s="19"/>
      <c r="E30" s="19"/>
      <c r="F30" s="19"/>
      <c r="G30" s="19"/>
      <c r="H30" s="19"/>
    </row>
  </sheetData>
  <mergeCells count="3">
    <mergeCell ref="A28:H28"/>
    <mergeCell ref="A29:H29"/>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5" min="3" style="0" width="9"/>
    <col collapsed="false" customWidth="true" hidden="false" outlineLevel="0" max="6" min="6" style="0" width="60"/>
    <col collapsed="false" customWidth="true" hidden="false" outlineLevel="0" max="7" min="7" style="0" width="55"/>
    <col collapsed="false" customWidth="true" hidden="false" outlineLevel="0" max="8" min="8" style="0" width="11"/>
    <col collapsed="false" customWidth="true" hidden="false" outlineLevel="0" max="9" min="9" style="0" width="13"/>
  </cols>
  <sheetData>
    <row r="1" customFormat="false" ht="17.35" hidden="false" customHeight="false" outlineLevel="0" collapsed="false">
      <c r="A1" s="6" t="s">
        <v>57</v>
      </c>
      <c r="B1" s="1"/>
      <c r="C1" s="1"/>
      <c r="D1" s="1"/>
      <c r="E1" s="1"/>
      <c r="F1" s="1"/>
      <c r="G1" s="1"/>
      <c r="H1" s="1"/>
      <c r="I1" s="1"/>
    </row>
    <row r="2" customFormat="false" ht="15" hidden="false" customHeight="false" outlineLevel="0" collapsed="false">
      <c r="A2" s="7" t="s">
        <v>58</v>
      </c>
      <c r="B2" s="1"/>
      <c r="C2" s="1"/>
      <c r="D2" s="1"/>
      <c r="E2" s="1"/>
      <c r="F2" s="1"/>
      <c r="G2" s="1"/>
      <c r="H2" s="1"/>
      <c r="I2" s="1"/>
    </row>
    <row r="3" customFormat="false" ht="15" hidden="false" customHeight="false" outlineLevel="0" collapsed="false">
      <c r="A3" s="1"/>
      <c r="B3" s="1"/>
      <c r="C3" s="1"/>
      <c r="D3" s="1"/>
      <c r="E3" s="1"/>
      <c r="F3" s="1"/>
      <c r="G3" s="1"/>
      <c r="H3" s="1"/>
      <c r="I3" s="1"/>
    </row>
    <row r="4" customFormat="false" ht="35.05" hidden="false" customHeight="false" outlineLevel="0" collapsed="false">
      <c r="A4" s="20" t="s">
        <v>59</v>
      </c>
      <c r="B4" s="20" t="s">
        <v>60</v>
      </c>
      <c r="C4" s="20" t="s">
        <v>61</v>
      </c>
      <c r="D4" s="20" t="s">
        <v>62</v>
      </c>
      <c r="E4" s="20" t="s">
        <v>63</v>
      </c>
      <c r="F4" s="20" t="s">
        <v>64</v>
      </c>
      <c r="G4" s="20" t="s">
        <v>65</v>
      </c>
      <c r="H4" s="20" t="s">
        <v>66</v>
      </c>
      <c r="I4" s="20" t="s">
        <v>67</v>
      </c>
    </row>
    <row r="5" customFormat="false" ht="63.75" hidden="false" customHeight="true" outlineLevel="0" collapsed="false">
      <c r="A5" s="21" t="s">
        <v>68</v>
      </c>
      <c r="B5" s="21" t="s">
        <v>69</v>
      </c>
      <c r="C5" s="22" t="n">
        <f aca="false">IF(Inputs!$E$8="","",Inputs!$E$8)</f>
        <v>25</v>
      </c>
      <c r="D5" s="22" t="n">
        <f aca="false">IF(Inputs!$D$8="","",Inputs!$D$8)</f>
        <v>20</v>
      </c>
      <c r="E5" s="22" t="n">
        <f aca="false">IF(Inputs!$F$8="","",Inputs!$F$8)</f>
        <v>30</v>
      </c>
      <c r="F5" s="21" t="s">
        <v>70</v>
      </c>
      <c r="G5" s="21" t="s">
        <v>71</v>
      </c>
      <c r="H5" s="23" t="s">
        <v>72</v>
      </c>
      <c r="I5" s="24" t="n">
        <f aca="false">IFERROR(INDEX(Sensitivity!$H$5:$H$13,MATCH(Inputs!$B$8,Sensitivity!$A$5:$A$13,0)),"–")</f>
        <v>1331.99269264012</v>
      </c>
    </row>
    <row r="6" customFormat="false" ht="63.75" hidden="false" customHeight="true" outlineLevel="0" collapsed="false">
      <c r="A6" s="21" t="s">
        <v>73</v>
      </c>
      <c r="B6" s="21" t="s">
        <v>74</v>
      </c>
      <c r="C6" s="25" t="n">
        <f aca="false">IF(Inputs!$E$10="","",Inputs!$E$10)</f>
        <v>0.05</v>
      </c>
      <c r="D6" s="25" t="n">
        <f aca="false">IF(Inputs!$D$10="","",Inputs!$D$10)</f>
        <v>0</v>
      </c>
      <c r="E6" s="25" t="n">
        <f aca="false">IF(Inputs!$F$10="","",Inputs!$F$10)</f>
        <v>0.2</v>
      </c>
      <c r="F6" s="21" t="s">
        <v>75</v>
      </c>
      <c r="G6" s="21" t="s">
        <v>76</v>
      </c>
      <c r="H6" s="23" t="s">
        <v>72</v>
      </c>
      <c r="I6" s="24" t="n">
        <f aca="false">IFERROR(INDEX(Sensitivity!$H$5:$H$13,MATCH(Inputs!$B$10,Sensitivity!$A$5:$A$13,0)),"–")</f>
        <v>440</v>
      </c>
    </row>
    <row r="7" customFormat="false" ht="63.75" hidden="false" customHeight="true" outlineLevel="0" collapsed="false">
      <c r="A7" s="21" t="s">
        <v>77</v>
      </c>
      <c r="B7" s="21" t="s">
        <v>78</v>
      </c>
      <c r="C7" s="25" t="n">
        <f aca="false">IF(Inputs!$E$15="","",Inputs!$E$15)</f>
        <v>0.7</v>
      </c>
      <c r="D7" s="25" t="n">
        <f aca="false">IF(Inputs!$D$15="","",Inputs!$D$15)</f>
        <v>0.6</v>
      </c>
      <c r="E7" s="25" t="n">
        <f aca="false">IF(Inputs!$F$15="","",Inputs!$F$15)</f>
        <v>0.8</v>
      </c>
      <c r="F7" s="21" t="s">
        <v>79</v>
      </c>
      <c r="G7" s="21" t="s">
        <v>80</v>
      </c>
      <c r="H7" s="23" t="s">
        <v>72</v>
      </c>
      <c r="I7" s="24" t="n">
        <f aca="false">IFERROR(INDEX(Sensitivity!$H$5:$H$13,MATCH(Inputs!$B$15,Sensitivity!$A$5:$A$13,0)),"–")</f>
        <v>269.751645357048</v>
      </c>
    </row>
    <row r="8" customFormat="false" ht="63.75" hidden="false" customHeight="true" outlineLevel="0" collapsed="false">
      <c r="A8" s="21" t="s">
        <v>81</v>
      </c>
      <c r="B8" s="21" t="s">
        <v>82</v>
      </c>
      <c r="C8" s="26" t="n">
        <f aca="false">IF(Inputs!$E$18="","",Inputs!$E$18)</f>
        <v>1</v>
      </c>
      <c r="D8" s="26" t="n">
        <f aca="false">IF(Inputs!$D$18="","",Inputs!$D$18)</f>
        <v>0.9</v>
      </c>
      <c r="E8" s="26" t="n">
        <f aca="false">IF(Inputs!$F$18="","",Inputs!$F$18)</f>
        <v>1.25</v>
      </c>
      <c r="F8" s="21" t="s">
        <v>83</v>
      </c>
      <c r="G8" s="21" t="s">
        <v>84</v>
      </c>
      <c r="H8" s="27" t="s">
        <v>62</v>
      </c>
      <c r="I8" s="24" t="n">
        <f aca="false">IFERROR(INDEX(Sensitivity!$H$5:$H$13,MATCH(Inputs!$B$18,Sensitivity!$A$5:$A$13,0)),"–")</f>
        <v>761.205424241919</v>
      </c>
    </row>
    <row r="9" customFormat="false" ht="63.75" hidden="false" customHeight="true" outlineLevel="0" collapsed="false">
      <c r="A9" s="21" t="s">
        <v>85</v>
      </c>
      <c r="B9" s="21" t="s">
        <v>86</v>
      </c>
      <c r="C9" s="21"/>
      <c r="D9" s="21"/>
      <c r="E9" s="21"/>
      <c r="F9" s="21" t="s">
        <v>87</v>
      </c>
      <c r="G9" s="21" t="s">
        <v>88</v>
      </c>
      <c r="H9" s="27" t="s">
        <v>62</v>
      </c>
      <c r="I9" s="21" t="s">
        <v>89</v>
      </c>
    </row>
    <row r="10" customFormat="false" ht="63.75" hidden="false" customHeight="true" outlineLevel="0" collapsed="false">
      <c r="A10" s="21" t="s">
        <v>90</v>
      </c>
      <c r="B10" s="21" t="s">
        <v>91</v>
      </c>
      <c r="C10" s="26" t="n">
        <f aca="false">IF(Inputs!$E$24="","",Inputs!$E$24)</f>
        <v>0.8</v>
      </c>
      <c r="D10" s="26" t="n">
        <f aca="false">IF(Inputs!$D$24="","",Inputs!$D$24)</f>
        <v>0.6</v>
      </c>
      <c r="E10" s="26" t="n">
        <f aca="false">IF(Inputs!$F$24="","",Inputs!$F$24)</f>
        <v>1.2</v>
      </c>
      <c r="F10" s="21" t="s">
        <v>92</v>
      </c>
      <c r="G10" s="21" t="s">
        <v>93</v>
      </c>
      <c r="H10" s="27" t="s">
        <v>62</v>
      </c>
      <c r="I10" s="24" t="n">
        <f aca="false">IFERROR(INDEX(Sensitivity!$H$5:$H$13,MATCH(Inputs!$B$24,Sensitivity!$A$5:$A$13,0)),"–")</f>
        <v>866.331818181819</v>
      </c>
    </row>
    <row r="11" customFormat="false" ht="63.75" hidden="false" customHeight="true" outlineLevel="0" collapsed="false">
      <c r="A11" s="21" t="s">
        <v>94</v>
      </c>
      <c r="B11" s="21" t="s">
        <v>95</v>
      </c>
      <c r="C11" s="26" t="n">
        <f aca="false">IF(Inputs!$E$26="","",Inputs!$E$26)</f>
        <v>0.62</v>
      </c>
      <c r="D11" s="26" t="n">
        <f aca="false">IF(Inputs!$D$26="","",Inputs!$D$26)</f>
        <v>0.3</v>
      </c>
      <c r="E11" s="26" t="n">
        <f aca="false">IF(Inputs!$F$26="","",Inputs!$F$26)</f>
        <v>0.82</v>
      </c>
      <c r="F11" s="21" t="s">
        <v>96</v>
      </c>
      <c r="G11" s="21" t="s">
        <v>97</v>
      </c>
      <c r="H11" s="23" t="s">
        <v>72</v>
      </c>
      <c r="I11" s="24" t="n">
        <f aca="false">IFERROR(INDEX(Sensitivity!$H$5:$H$13,MATCH(Inputs!$B$26,Sensitivity!$A$5:$A$13,0)),"–")</f>
        <v>1068.88302495812</v>
      </c>
    </row>
    <row r="12" customFormat="false" ht="63.75" hidden="false" customHeight="true" outlineLevel="0" collapsed="false">
      <c r="A12" s="21" t="s">
        <v>98</v>
      </c>
      <c r="B12" s="21" t="s">
        <v>99</v>
      </c>
      <c r="C12" s="28" t="n">
        <f aca="false">IF(Inputs!$E$27="","",Inputs!$E$27)</f>
        <v>75</v>
      </c>
      <c r="D12" s="28" t="n">
        <f aca="false">IF(Inputs!$D$27="","",Inputs!$D$27)</f>
        <v>50</v>
      </c>
      <c r="E12" s="28" t="n">
        <f aca="false">IF(Inputs!$F$27="","",Inputs!$F$27)</f>
        <v>150</v>
      </c>
      <c r="F12" s="21" t="s">
        <v>100</v>
      </c>
      <c r="G12" s="21" t="s">
        <v>101</v>
      </c>
      <c r="H12" s="27" t="s">
        <v>62</v>
      </c>
      <c r="I12" s="24" t="n">
        <f aca="false">IFERROR(INDEX(Sensitivity!$H$5:$H$13,MATCH(Inputs!$B$27,Sensitivity!$A$5:$A$13,0)),"–")</f>
        <v>500</v>
      </c>
    </row>
    <row r="13" customFormat="false" ht="63.75" hidden="false" customHeight="true" outlineLevel="0" collapsed="false">
      <c r="A13" s="21" t="s">
        <v>102</v>
      </c>
      <c r="B13" s="21" t="s">
        <v>103</v>
      </c>
      <c r="C13" s="28" t="n">
        <f aca="false">IF(Inputs!$E$29="","",Inputs!$E$29)</f>
        <v>5</v>
      </c>
      <c r="D13" s="28" t="n">
        <f aca="false">IF(Inputs!$D$29="","",Inputs!$D$29)</f>
        <v>2</v>
      </c>
      <c r="E13" s="28" t="n">
        <f aca="false">IF(Inputs!$F$29="","",Inputs!$F$29)</f>
        <v>15</v>
      </c>
      <c r="F13" s="21" t="s">
        <v>104</v>
      </c>
      <c r="G13" s="21" t="s">
        <v>105</v>
      </c>
      <c r="H13" s="23" t="s">
        <v>72</v>
      </c>
      <c r="I13" s="24" t="n">
        <f aca="false">IFERROR(INDEX(Sensitivity!$H$5:$H$13,MATCH(Inputs!$B$29,Sensitivity!$A$5:$A$13,0)),"–")</f>
        <v>65</v>
      </c>
    </row>
    <row r="14" customFormat="false" ht="63.75" hidden="false" customHeight="true" outlineLevel="0" collapsed="false">
      <c r="A14" s="21" t="s">
        <v>106</v>
      </c>
      <c r="B14" s="21" t="s">
        <v>107</v>
      </c>
      <c r="C14" s="21"/>
      <c r="D14" s="21"/>
      <c r="E14" s="21"/>
      <c r="F14" s="21" t="s">
        <v>108</v>
      </c>
      <c r="G14" s="21" t="s">
        <v>109</v>
      </c>
      <c r="H14" s="23" t="s">
        <v>72</v>
      </c>
      <c r="I14" s="21" t="s">
        <v>89</v>
      </c>
    </row>
    <row r="15" customFormat="false" ht="63.75" hidden="false" customHeight="true" outlineLevel="0" collapsed="false">
      <c r="A15" s="21" t="s">
        <v>110</v>
      </c>
      <c r="B15" s="21" t="s">
        <v>111</v>
      </c>
      <c r="C15" s="21"/>
      <c r="D15" s="21"/>
      <c r="E15" s="21"/>
      <c r="F15" s="21" t="s">
        <v>112</v>
      </c>
      <c r="G15" s="21" t="s">
        <v>113</v>
      </c>
      <c r="H15" s="27" t="s">
        <v>62</v>
      </c>
      <c r="I15" s="21" t="s">
        <v>89</v>
      </c>
    </row>
    <row r="16" customFormat="false" ht="63.75" hidden="false" customHeight="true" outlineLevel="0" collapsed="false">
      <c r="A16" s="21" t="s">
        <v>114</v>
      </c>
      <c r="B16" s="21" t="s">
        <v>115</v>
      </c>
      <c r="C16" s="21"/>
      <c r="D16" s="21"/>
      <c r="E16" s="21"/>
      <c r="F16" s="21" t="s">
        <v>116</v>
      </c>
      <c r="G16" s="21" t="s">
        <v>117</v>
      </c>
      <c r="H16" s="27" t="s">
        <v>62</v>
      </c>
      <c r="I16" s="21" t="s">
        <v>89</v>
      </c>
    </row>
    <row r="17" customFormat="false" ht="63.75" hidden="false" customHeight="true" outlineLevel="0" collapsed="false">
      <c r="A17" s="21" t="s">
        <v>118</v>
      </c>
      <c r="B17" s="21" t="s">
        <v>119</v>
      </c>
      <c r="C17" s="21"/>
      <c r="D17" s="21"/>
      <c r="E17" s="21"/>
      <c r="F17" s="21" t="s">
        <v>120</v>
      </c>
      <c r="G17" s="21" t="s">
        <v>121</v>
      </c>
      <c r="H17" s="29" t="s">
        <v>63</v>
      </c>
      <c r="I17" s="21"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5" min="2" style="0" width="14"/>
    <col collapsed="false" customWidth="true" hidden="false" outlineLevel="0" max="6" min="6" style="0" width="16"/>
    <col collapsed="false" customWidth="true" hidden="false" outlineLevel="0" max="7" min="7" style="0" width="70"/>
  </cols>
  <sheetData>
    <row r="1" customFormat="false" ht="17.35" hidden="false" customHeight="false" outlineLevel="0" collapsed="false">
      <c r="A1" s="6" t="s">
        <v>122</v>
      </c>
      <c r="B1" s="1"/>
      <c r="C1" s="1"/>
      <c r="D1" s="1"/>
      <c r="E1" s="1"/>
      <c r="F1" s="1"/>
      <c r="G1" s="1"/>
    </row>
    <row r="2" customFormat="false" ht="15" hidden="false" customHeight="false" outlineLevel="0" collapsed="false">
      <c r="A2" s="7" t="s">
        <v>123</v>
      </c>
      <c r="B2" s="1"/>
      <c r="C2" s="1"/>
      <c r="D2" s="1"/>
      <c r="E2" s="1"/>
      <c r="F2" s="1"/>
      <c r="G2" s="1"/>
    </row>
    <row r="3" customFormat="false" ht="15" hidden="false" customHeight="false" outlineLevel="0" collapsed="false">
      <c r="A3" s="1"/>
      <c r="B3" s="1"/>
      <c r="C3" s="1"/>
      <c r="D3" s="1"/>
      <c r="E3" s="1"/>
      <c r="F3" s="1"/>
      <c r="G3" s="1"/>
    </row>
    <row r="4" customFormat="false" ht="15" hidden="false" customHeight="false" outlineLevel="0" collapsed="false">
      <c r="A4" s="30" t="s">
        <v>124</v>
      </c>
      <c r="B4" s="1"/>
      <c r="C4" s="1"/>
      <c r="D4" s="1"/>
      <c r="E4" s="1"/>
      <c r="F4" s="1"/>
      <c r="G4" s="1"/>
    </row>
    <row r="5" customFormat="false" ht="23.85" hidden="false" customHeight="false" outlineLevel="0" collapsed="false">
      <c r="A5" s="20" t="s">
        <v>125</v>
      </c>
      <c r="B5" s="20" t="s">
        <v>49</v>
      </c>
      <c r="C5" s="20" t="s">
        <v>126</v>
      </c>
      <c r="D5" s="20" t="s">
        <v>127</v>
      </c>
      <c r="E5" s="20" t="s">
        <v>55</v>
      </c>
      <c r="F5" s="20" t="s">
        <v>128</v>
      </c>
      <c r="G5" s="20" t="s">
        <v>129</v>
      </c>
    </row>
    <row r="6" customFormat="false" ht="26.85" hidden="false" customHeight="false" outlineLevel="0" collapsed="false">
      <c r="A6" s="9" t="s">
        <v>130</v>
      </c>
      <c r="B6" s="9"/>
      <c r="C6" s="9"/>
      <c r="D6" s="9"/>
      <c r="E6" s="9"/>
      <c r="F6" s="31" t="n">
        <v>0.7</v>
      </c>
      <c r="G6" s="21" t="s">
        <v>131</v>
      </c>
    </row>
    <row r="7" customFormat="false" ht="26.85" hidden="false" customHeight="false" outlineLevel="0" collapsed="false">
      <c r="A7" s="9" t="s">
        <v>132</v>
      </c>
      <c r="B7" s="32" t="n">
        <v>80.2</v>
      </c>
      <c r="C7" s="32" t="n">
        <v>219.8</v>
      </c>
      <c r="D7" s="33" t="n">
        <f aca="false">4.3+1.7</f>
        <v>6</v>
      </c>
      <c r="E7" s="34" t="n">
        <f aca="false">SUM(B7:D7)</f>
        <v>306</v>
      </c>
      <c r="F7" s="15" t="n">
        <f aca="false">C7/E7</f>
        <v>0.718300653594771</v>
      </c>
      <c r="G7" s="21" t="s">
        <v>133</v>
      </c>
    </row>
    <row r="8" customFormat="false" ht="26.85" hidden="false" customHeight="false" outlineLevel="0" collapsed="false">
      <c r="A8" s="9" t="s">
        <v>134</v>
      </c>
      <c r="B8" s="32" t="n">
        <v>20342.5</v>
      </c>
      <c r="C8" s="33" t="n">
        <f aca="false">B21*20*25</f>
        <v>29000</v>
      </c>
      <c r="D8" s="9"/>
      <c r="E8" s="34" t="n">
        <f aca="false">SUM(B8:D8)</f>
        <v>49342.5</v>
      </c>
      <c r="F8" s="15" t="n">
        <f aca="false">C8/E8</f>
        <v>0.587728631504281</v>
      </c>
      <c r="G8" s="21" t="s">
        <v>135</v>
      </c>
    </row>
    <row r="9" customFormat="false" ht="26.85" hidden="false" customHeight="false" outlineLevel="0" collapsed="false">
      <c r="A9" s="9" t="s">
        <v>136</v>
      </c>
      <c r="B9" s="35" t="n">
        <f aca="false">WLC_Model!C16</f>
        <v>2310</v>
      </c>
      <c r="C9" s="35" t="n">
        <f aca="false">SUM(WLC_Model!C17:C18)+SUM(WLC_Model!C20:C21)</f>
        <v>2455.54427876561</v>
      </c>
      <c r="D9" s="9"/>
      <c r="E9" s="34" t="n">
        <f aca="false">SUM(B9:D9)</f>
        <v>4765.54427876561</v>
      </c>
      <c r="F9" s="15" t="n">
        <f aca="false">C9/E9</f>
        <v>0.515270478066286</v>
      </c>
      <c r="G9" s="21" t="s">
        <v>137</v>
      </c>
    </row>
    <row r="10" customFormat="false" ht="15" hidden="false" customHeight="false" outlineLevel="0" collapsed="false">
      <c r="A10" s="36" t="s">
        <v>138</v>
      </c>
      <c r="B10" s="37" t="n">
        <f aca="false">WLC_Model!C16</f>
        <v>2310</v>
      </c>
      <c r="C10" s="37" t="n">
        <f aca="false">SUM(WLC_Model!C17:C21)</f>
        <v>3729.98173160029</v>
      </c>
      <c r="D10" s="36"/>
      <c r="E10" s="38" t="n">
        <f aca="false">SUM(B10:D10)</f>
        <v>6039.98173160029</v>
      </c>
      <c r="F10" s="39" t="n">
        <f aca="false">C10/E10</f>
        <v>0.617548512123071</v>
      </c>
      <c r="G10" s="40" t="s">
        <v>139</v>
      </c>
    </row>
    <row r="11" customFormat="false" ht="15" hidden="false" customHeight="false" outlineLevel="0" collapsed="false">
      <c r="A11" s="1"/>
      <c r="B11" s="1"/>
      <c r="C11" s="1"/>
      <c r="D11" s="1"/>
      <c r="E11" s="1"/>
      <c r="F11" s="1"/>
      <c r="G11" s="1"/>
    </row>
    <row r="12" customFormat="false" ht="15" hidden="false" customHeight="false" outlineLevel="0" collapsed="false">
      <c r="A12" s="1"/>
      <c r="B12" s="1"/>
      <c r="C12" s="1"/>
      <c r="D12" s="1"/>
      <c r="E12" s="1"/>
      <c r="F12" s="1"/>
      <c r="G12" s="1"/>
    </row>
    <row r="13" customFormat="false" ht="15" hidden="false" customHeight="false" outlineLevel="0" collapsed="false">
      <c r="A13" s="30" t="s">
        <v>140</v>
      </c>
      <c r="B13" s="1"/>
      <c r="C13" s="1"/>
      <c r="D13" s="1"/>
      <c r="E13" s="1"/>
      <c r="F13" s="1"/>
      <c r="G13" s="1"/>
    </row>
    <row r="14" customFormat="false" ht="23.85" hidden="false" customHeight="false" outlineLevel="0" collapsed="false">
      <c r="A14" s="20" t="s">
        <v>141</v>
      </c>
      <c r="B14" s="20" t="s">
        <v>142</v>
      </c>
      <c r="C14" s="20" t="s">
        <v>48</v>
      </c>
      <c r="D14" s="20" t="s">
        <v>143</v>
      </c>
      <c r="E14" s="1"/>
      <c r="F14" s="1"/>
      <c r="G14" s="1"/>
    </row>
    <row r="15" customFormat="false" ht="15" hidden="false" customHeight="false" outlineLevel="0" collapsed="false">
      <c r="A15" s="9" t="s">
        <v>144</v>
      </c>
      <c r="B15" s="41" t="n">
        <v>16.6</v>
      </c>
      <c r="C15" s="15" t="n">
        <f aca="false">B15/$B$21</f>
        <v>0.286206896551724</v>
      </c>
      <c r="D15" s="9" t="s">
        <v>145</v>
      </c>
      <c r="E15" s="1"/>
      <c r="F15" s="1"/>
      <c r="G15" s="1"/>
    </row>
    <row r="16" customFormat="false" ht="15" hidden="false" customHeight="false" outlineLevel="0" collapsed="false">
      <c r="A16" s="9" t="s">
        <v>146</v>
      </c>
      <c r="B16" s="41" t="n">
        <v>5.4</v>
      </c>
      <c r="C16" s="15" t="n">
        <f aca="false">B16/$B$21</f>
        <v>0.0931034482758621</v>
      </c>
      <c r="D16" s="9" t="s">
        <v>147</v>
      </c>
      <c r="E16" s="1"/>
      <c r="F16" s="1"/>
      <c r="G16" s="1"/>
    </row>
    <row r="17" customFormat="false" ht="15" hidden="false" customHeight="false" outlineLevel="0" collapsed="false">
      <c r="A17" s="9" t="s">
        <v>148</v>
      </c>
      <c r="B17" s="41" t="n">
        <v>9.8</v>
      </c>
      <c r="C17" s="15" t="n">
        <f aca="false">B17/$B$21</f>
        <v>0.168965517241379</v>
      </c>
      <c r="D17" s="9" t="s">
        <v>149</v>
      </c>
      <c r="E17" s="1"/>
      <c r="F17" s="1"/>
      <c r="G17" s="1"/>
    </row>
    <row r="18" customFormat="false" ht="15" hidden="false" customHeight="false" outlineLevel="0" collapsed="false">
      <c r="A18" s="9" t="s">
        <v>150</v>
      </c>
      <c r="B18" s="41" t="n">
        <v>10.7</v>
      </c>
      <c r="C18" s="15" t="n">
        <f aca="false">B18/$B$21</f>
        <v>0.18448275862069</v>
      </c>
      <c r="D18" s="9" t="s">
        <v>52</v>
      </c>
      <c r="E18" s="1"/>
      <c r="F18" s="1"/>
      <c r="G18" s="1"/>
    </row>
    <row r="19" customFormat="false" ht="15" hidden="false" customHeight="false" outlineLevel="0" collapsed="false">
      <c r="A19" s="9" t="s">
        <v>151</v>
      </c>
      <c r="B19" s="41" t="n">
        <v>6.5</v>
      </c>
      <c r="C19" s="15" t="n">
        <f aca="false">B19/$B$21</f>
        <v>0.112068965517241</v>
      </c>
      <c r="D19" s="9" t="s">
        <v>152</v>
      </c>
      <c r="E19" s="1"/>
      <c r="F19" s="1"/>
      <c r="G19" s="1"/>
    </row>
    <row r="20" customFormat="false" ht="15" hidden="false" customHeight="false" outlineLevel="0" collapsed="false">
      <c r="A20" s="9" t="s">
        <v>153</v>
      </c>
      <c r="B20" s="41" t="n">
        <v>9</v>
      </c>
      <c r="C20" s="15" t="n">
        <f aca="false">B20/$B$21</f>
        <v>0.155172413793103</v>
      </c>
      <c r="D20" s="9" t="s">
        <v>52</v>
      </c>
      <c r="E20" s="1"/>
      <c r="F20" s="1"/>
      <c r="G20" s="1"/>
    </row>
    <row r="21" customFormat="false" ht="15" hidden="false" customHeight="false" outlineLevel="0" collapsed="false">
      <c r="A21" s="16" t="s">
        <v>154</v>
      </c>
      <c r="B21" s="42" t="n">
        <f aca="false">SUM(B15:B20)</f>
        <v>58</v>
      </c>
      <c r="C21" s="1"/>
      <c r="D21" s="1"/>
      <c r="E21" s="1"/>
      <c r="F21" s="1"/>
      <c r="G21" s="1"/>
    </row>
    <row r="22" customFormat="false" ht="27.75" hidden="false" customHeight="true" outlineLevel="0" collapsed="false">
      <c r="A22" s="5" t="s">
        <v>155</v>
      </c>
      <c r="B22" s="1"/>
      <c r="C22" s="43" t="n">
        <f aca="false">ROUND((B18+B20)/(B15+B16+B17),2)</f>
        <v>0.62</v>
      </c>
      <c r="D22" s="1" t="s">
        <v>156</v>
      </c>
      <c r="E22" s="1"/>
      <c r="F22" s="1"/>
      <c r="G22" s="1"/>
    </row>
    <row r="23" customFormat="false" ht="15" hidden="false" customHeight="false" outlineLevel="0" collapsed="false">
      <c r="A23" s="1" t="s">
        <v>157</v>
      </c>
      <c r="B23" s="1"/>
      <c r="C23" s="18" t="n">
        <f aca="false">B15/(B15+B16)</f>
        <v>0.754545454545455</v>
      </c>
      <c r="D23" s="1" t="s">
        <v>158</v>
      </c>
      <c r="E23" s="1"/>
      <c r="F23" s="1"/>
      <c r="G23" s="1"/>
    </row>
    <row r="24" customFormat="false" ht="15" hidden="false" customHeight="false" outlineLevel="0" collapsed="false">
      <c r="A24" s="1" t="s">
        <v>159</v>
      </c>
      <c r="B24" s="1"/>
      <c r="C24" s="18" t="n">
        <f aca="false">B21/(B8/20)</f>
        <v>0.0570234730244562</v>
      </c>
      <c r="D24" s="1"/>
      <c r="E24" s="1"/>
      <c r="F24" s="1"/>
      <c r="G24" s="1"/>
    </row>
    <row r="25" customFormat="false" ht="15" hidden="false" customHeight="false" outlineLevel="0" collapsed="false">
      <c r="A25" s="1" t="s">
        <v>160</v>
      </c>
      <c r="B25" s="1"/>
      <c r="C25" s="18" t="n">
        <f aca="false">(Inputs!$E$19+Inputs!$E$25)*(1+Inputs!$E$26)/(WLC_Model!C16/Inputs!$E$5)</f>
        <v>0.0576620213264119</v>
      </c>
      <c r="D25" s="1" t="s">
        <v>161</v>
      </c>
      <c r="E25" s="1"/>
      <c r="F25" s="1"/>
      <c r="G25" s="1"/>
    </row>
    <row r="26" customFormat="false" ht="15" hidden="false" customHeight="false" outlineLevel="0" collapsed="false">
      <c r="A26" s="7" t="s">
        <v>162</v>
      </c>
      <c r="B26" s="1"/>
      <c r="C26" s="1"/>
      <c r="D26" s="1"/>
      <c r="E26" s="1"/>
      <c r="F26" s="1"/>
      <c r="G26" s="1"/>
    </row>
    <row r="27" customFormat="false" ht="15" hidden="false" customHeight="false" outlineLevel="0" collapsed="false">
      <c r="A27" s="1"/>
      <c r="B27" s="1"/>
      <c r="C27" s="1"/>
      <c r="D27" s="1"/>
      <c r="E27" s="1"/>
      <c r="F27" s="1"/>
      <c r="G27" s="1"/>
    </row>
    <row r="28" customFormat="false" ht="15" hidden="false" customHeight="false" outlineLevel="0" collapsed="false">
      <c r="A28" s="30" t="s">
        <v>163</v>
      </c>
      <c r="B28" s="1"/>
      <c r="C28" s="1"/>
      <c r="D28" s="1"/>
      <c r="E28" s="1"/>
      <c r="F28" s="1"/>
      <c r="G28" s="1"/>
    </row>
    <row r="29" customFormat="false" ht="15" hidden="false" customHeight="false" outlineLevel="0" collapsed="false">
      <c r="A29" s="20" t="s">
        <v>164</v>
      </c>
      <c r="B29" s="20" t="s">
        <v>165</v>
      </c>
      <c r="C29" s="20" t="s">
        <v>166</v>
      </c>
      <c r="D29" s="20" t="s">
        <v>167</v>
      </c>
      <c r="E29" s="20"/>
      <c r="F29" s="20" t="s">
        <v>66</v>
      </c>
      <c r="G29" s="20" t="s">
        <v>129</v>
      </c>
    </row>
    <row r="30" customFormat="false" ht="30" hidden="false" customHeight="true" outlineLevel="0" collapsed="false">
      <c r="A30" s="21" t="s">
        <v>168</v>
      </c>
      <c r="B30" s="44" t="n">
        <v>374</v>
      </c>
      <c r="C30" s="9" t="s">
        <v>169</v>
      </c>
      <c r="D30" s="45" t="n">
        <f aca="false">B30/8</f>
        <v>46.75</v>
      </c>
      <c r="E30" s="9"/>
      <c r="F30" s="9" t="s">
        <v>72</v>
      </c>
      <c r="G30" s="21" t="s">
        <v>170</v>
      </c>
    </row>
    <row r="31" customFormat="false" ht="30" hidden="false" customHeight="true" outlineLevel="0" collapsed="false">
      <c r="A31" s="21" t="s">
        <v>171</v>
      </c>
      <c r="B31" s="44" t="n">
        <v>325</v>
      </c>
      <c r="C31" s="9" t="s">
        <v>172</v>
      </c>
      <c r="D31" s="9"/>
      <c r="E31" s="9"/>
      <c r="F31" s="9" t="s">
        <v>62</v>
      </c>
      <c r="G31" s="21" t="s">
        <v>173</v>
      </c>
    </row>
    <row r="32" customFormat="false" ht="30" hidden="false" customHeight="true" outlineLevel="0" collapsed="false">
      <c r="A32" s="21" t="s">
        <v>174</v>
      </c>
      <c r="B32" s="44" t="n">
        <v>165</v>
      </c>
      <c r="C32" s="9" t="s">
        <v>175</v>
      </c>
      <c r="D32" s="9"/>
      <c r="E32" s="9"/>
      <c r="F32" s="9" t="s">
        <v>62</v>
      </c>
      <c r="G32" s="21" t="s">
        <v>176</v>
      </c>
    </row>
    <row r="33" customFormat="false" ht="30" hidden="false" customHeight="true" outlineLevel="0" collapsed="false">
      <c r="A33" s="21" t="s">
        <v>177</v>
      </c>
      <c r="B33" s="44" t="n">
        <v>185</v>
      </c>
      <c r="C33" s="9" t="s">
        <v>175</v>
      </c>
      <c r="D33" s="9"/>
      <c r="E33" s="9"/>
      <c r="F33" s="9" t="s">
        <v>63</v>
      </c>
      <c r="G33" s="21" t="s">
        <v>178</v>
      </c>
    </row>
    <row r="34" customFormat="false" ht="30" hidden="false" customHeight="true" outlineLevel="0" collapsed="false">
      <c r="A34" s="21" t="s">
        <v>179</v>
      </c>
      <c r="B34" s="44" t="n">
        <v>250</v>
      </c>
      <c r="C34" s="9" t="s">
        <v>180</v>
      </c>
      <c r="D34" s="9"/>
      <c r="E34" s="9"/>
      <c r="F34" s="9" t="s">
        <v>63</v>
      </c>
      <c r="G34" s="21" t="s">
        <v>181</v>
      </c>
    </row>
    <row r="35" customFormat="false" ht="15" hidden="false" customHeight="false" outlineLevel="0" collapsed="false">
      <c r="A35" s="1"/>
      <c r="B35" s="1"/>
      <c r="C35" s="1"/>
      <c r="D35" s="1"/>
      <c r="E35" s="1"/>
      <c r="F35" s="1"/>
      <c r="G35" s="1"/>
    </row>
    <row r="36" customFormat="false" ht="15" hidden="false" customHeight="false" outlineLevel="0" collapsed="false">
      <c r="A36" s="1"/>
      <c r="B36" s="1"/>
      <c r="C36" s="1"/>
      <c r="D36" s="1"/>
      <c r="E36" s="1"/>
      <c r="F36" s="1"/>
      <c r="G36" s="1"/>
    </row>
    <row r="37" customFormat="false" ht="15" hidden="false" customHeight="false" outlineLevel="0" collapsed="false">
      <c r="A37" s="16" t="s">
        <v>182</v>
      </c>
      <c r="B37" s="1"/>
      <c r="C37" s="1"/>
      <c r="D37" s="1"/>
      <c r="E37" s="1"/>
      <c r="F37" s="1"/>
      <c r="G37" s="1"/>
    </row>
    <row r="38" customFormat="false" ht="31.5" hidden="false" customHeight="true" outlineLevel="0" collapsed="false">
      <c r="A38" s="19" t="str">
        <f aca="false">"Using UK direct costs alone, support would be "&amp;TEXT(F9,"0%")&amp;" of whole-life cost – well below the 59-72% seen in US and Canadian frigate programmes. Adding indirect and sustaining support calibrated to FFG-62 raises it to "&amp;TEXT(F10,"0%")&amp;", within the benchmark range."</f>
        <v>Using UK direct costs alone, support would be 52% of whole-life cost – well below the 59-72% seen in US and Canadian frigate programmes. Adding indirect and sustaining support calibrated to FFG-62 raises it to 62%, within the benchmark range.</v>
      </c>
      <c r="B38" s="19"/>
      <c r="C38" s="19"/>
      <c r="D38" s="19"/>
      <c r="E38" s="19"/>
      <c r="F38" s="19"/>
      <c r="G38" s="19"/>
    </row>
  </sheetData>
  <mergeCells count="1">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6" min="3" style="0" width="10"/>
    <col collapsed="false" customWidth="true" hidden="false" outlineLevel="0" max="7" min="7" style="0" width="12"/>
    <col collapsed="false" customWidth="true" hidden="false" outlineLevel="0" max="8" min="8" style="0" width="95"/>
  </cols>
  <sheetData>
    <row r="1" customFormat="false" ht="17.35" hidden="false" customHeight="false" outlineLevel="0" collapsed="false">
      <c r="A1" s="6" t="s">
        <v>183</v>
      </c>
      <c r="B1" s="1"/>
      <c r="C1" s="1"/>
      <c r="D1" s="1"/>
      <c r="E1" s="1"/>
      <c r="F1" s="1"/>
      <c r="G1" s="1"/>
      <c r="H1" s="1"/>
    </row>
    <row r="2" customFormat="false" ht="15" hidden="false" customHeight="false" outlineLevel="0" collapsed="false">
      <c r="A2" s="7" t="s">
        <v>184</v>
      </c>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20" t="s">
        <v>59</v>
      </c>
      <c r="B4" s="20" t="s">
        <v>185</v>
      </c>
      <c r="C4" s="20" t="s">
        <v>166</v>
      </c>
      <c r="D4" s="20" t="s">
        <v>62</v>
      </c>
      <c r="E4" s="20" t="s">
        <v>61</v>
      </c>
      <c r="F4" s="20" t="s">
        <v>63</v>
      </c>
      <c r="G4" s="20" t="s">
        <v>186</v>
      </c>
      <c r="H4" s="20" t="s">
        <v>187</v>
      </c>
    </row>
    <row r="5" customFormat="false" ht="15" hidden="false" customHeight="false" outlineLevel="0" collapsed="false">
      <c r="A5" s="46" t="s">
        <v>188</v>
      </c>
      <c r="B5" s="46" t="s">
        <v>189</v>
      </c>
      <c r="C5" s="46" t="s">
        <v>190</v>
      </c>
      <c r="D5" s="46"/>
      <c r="E5" s="47" t="n">
        <v>5</v>
      </c>
      <c r="F5" s="46"/>
      <c r="G5" s="46" t="s">
        <v>191</v>
      </c>
      <c r="H5" s="48" t="s">
        <v>192</v>
      </c>
    </row>
    <row r="6" customFormat="false" ht="23.85" hidden="false" customHeight="false" outlineLevel="0" collapsed="false">
      <c r="A6" s="46" t="s">
        <v>193</v>
      </c>
      <c r="B6" s="46" t="s">
        <v>194</v>
      </c>
      <c r="C6" s="46" t="s">
        <v>195</v>
      </c>
      <c r="D6" s="46"/>
      <c r="E6" s="47" t="n">
        <v>2027</v>
      </c>
      <c r="F6" s="46"/>
      <c r="G6" s="46" t="s">
        <v>60</v>
      </c>
      <c r="H6" s="48" t="s">
        <v>196</v>
      </c>
    </row>
    <row r="7" customFormat="false" ht="15" hidden="false" customHeight="false" outlineLevel="0" collapsed="false">
      <c r="A7" s="46" t="s">
        <v>197</v>
      </c>
      <c r="B7" s="46" t="s">
        <v>198</v>
      </c>
      <c r="C7" s="46" t="s">
        <v>199</v>
      </c>
      <c r="D7" s="46"/>
      <c r="E7" s="47" t="n">
        <v>1</v>
      </c>
      <c r="F7" s="46"/>
      <c r="G7" s="46" t="s">
        <v>60</v>
      </c>
      <c r="H7" s="48" t="s">
        <v>200</v>
      </c>
    </row>
    <row r="8" customFormat="false" ht="23.85" hidden="false" customHeight="false" outlineLevel="0" collapsed="false">
      <c r="A8" s="46" t="s">
        <v>68</v>
      </c>
      <c r="B8" s="46" t="s">
        <v>201</v>
      </c>
      <c r="C8" s="46" t="s">
        <v>199</v>
      </c>
      <c r="D8" s="47" t="n">
        <v>20</v>
      </c>
      <c r="E8" s="49" t="n">
        <v>25</v>
      </c>
      <c r="F8" s="47" t="n">
        <v>30</v>
      </c>
      <c r="G8" s="46" t="s">
        <v>60</v>
      </c>
      <c r="H8" s="48" t="s">
        <v>202</v>
      </c>
    </row>
    <row r="9" customFormat="false" ht="23.85" hidden="false" customHeight="false" outlineLevel="0" collapsed="false">
      <c r="A9" s="46" t="s">
        <v>203</v>
      </c>
      <c r="B9" s="46" t="s">
        <v>204</v>
      </c>
      <c r="C9" s="46" t="s">
        <v>35</v>
      </c>
      <c r="D9" s="46"/>
      <c r="E9" s="50" t="n">
        <v>2200</v>
      </c>
      <c r="F9" s="46"/>
      <c r="G9" s="46" t="s">
        <v>191</v>
      </c>
      <c r="H9" s="48" t="s">
        <v>205</v>
      </c>
    </row>
    <row r="10" customFormat="false" ht="23.85" hidden="false" customHeight="false" outlineLevel="0" collapsed="false">
      <c r="A10" s="46" t="s">
        <v>73</v>
      </c>
      <c r="B10" s="46" t="s">
        <v>206</v>
      </c>
      <c r="C10" s="46" t="s">
        <v>207</v>
      </c>
      <c r="D10" s="31" t="n">
        <v>0</v>
      </c>
      <c r="E10" s="51" t="n">
        <v>0.05</v>
      </c>
      <c r="F10" s="31" t="n">
        <v>0.2</v>
      </c>
      <c r="G10" s="46" t="s">
        <v>60</v>
      </c>
      <c r="H10" s="48" t="s">
        <v>208</v>
      </c>
    </row>
    <row r="11" customFormat="false" ht="23.85" hidden="false" customHeight="false" outlineLevel="0" collapsed="false">
      <c r="A11" s="46" t="s">
        <v>209</v>
      </c>
      <c r="B11" s="46" t="s">
        <v>210</v>
      </c>
      <c r="C11" s="46" t="s">
        <v>211</v>
      </c>
      <c r="D11" s="46"/>
      <c r="E11" s="52" t="n">
        <v>11.735</v>
      </c>
      <c r="F11" s="46"/>
      <c r="G11" s="46" t="s">
        <v>191</v>
      </c>
      <c r="H11" s="48" t="s">
        <v>212</v>
      </c>
    </row>
    <row r="12" customFormat="false" ht="15" hidden="false" customHeight="false" outlineLevel="0" collapsed="false">
      <c r="A12" s="46" t="s">
        <v>213</v>
      </c>
      <c r="B12" s="46" t="s">
        <v>214</v>
      </c>
      <c r="C12" s="46" t="s">
        <v>215</v>
      </c>
      <c r="D12" s="46"/>
      <c r="E12" s="53" t="n">
        <v>76.189</v>
      </c>
      <c r="F12" s="46"/>
      <c r="G12" s="46" t="s">
        <v>191</v>
      </c>
      <c r="H12" s="48" t="s">
        <v>216</v>
      </c>
    </row>
    <row r="13" customFormat="false" ht="15" hidden="false" customHeight="false" outlineLevel="0" collapsed="false">
      <c r="A13" s="46" t="s">
        <v>217</v>
      </c>
      <c r="B13" s="46" t="s">
        <v>218</v>
      </c>
      <c r="C13" s="46" t="s">
        <v>215</v>
      </c>
      <c r="D13" s="46"/>
      <c r="E13" s="53" t="n">
        <v>100</v>
      </c>
      <c r="F13" s="46"/>
      <c r="G13" s="46" t="s">
        <v>191</v>
      </c>
      <c r="H13" s="48" t="s">
        <v>219</v>
      </c>
    </row>
    <row r="14" customFormat="false" ht="15" hidden="false" customHeight="false" outlineLevel="0" collapsed="false">
      <c r="A14" s="54" t="s">
        <v>220</v>
      </c>
      <c r="B14" s="54" t="s">
        <v>221</v>
      </c>
      <c r="C14" s="54" t="s">
        <v>222</v>
      </c>
      <c r="D14" s="54"/>
      <c r="E14" s="55" t="n">
        <f aca="false">E13/E12</f>
        <v>1.31252543018021</v>
      </c>
      <c r="F14" s="54"/>
      <c r="G14" s="54" t="s">
        <v>223</v>
      </c>
      <c r="H14" s="56" t="s">
        <v>224</v>
      </c>
    </row>
    <row r="15" customFormat="false" ht="23.85" hidden="false" customHeight="false" outlineLevel="0" collapsed="false">
      <c r="A15" s="46" t="s">
        <v>77</v>
      </c>
      <c r="B15" s="46" t="s">
        <v>225</v>
      </c>
      <c r="C15" s="46" t="s">
        <v>207</v>
      </c>
      <c r="D15" s="31" t="n">
        <v>0.6</v>
      </c>
      <c r="E15" s="51" t="n">
        <v>0.7</v>
      </c>
      <c r="F15" s="31" t="n">
        <v>0.8</v>
      </c>
      <c r="G15" s="57" t="s">
        <v>226</v>
      </c>
      <c r="H15" s="48" t="s">
        <v>227</v>
      </c>
    </row>
    <row r="16" customFormat="false" ht="23.85" hidden="false" customHeight="false" outlineLevel="0" collapsed="false">
      <c r="A16" s="46" t="s">
        <v>228</v>
      </c>
      <c r="B16" s="46" t="s">
        <v>229</v>
      </c>
      <c r="C16" s="46" t="s">
        <v>175</v>
      </c>
      <c r="D16" s="46"/>
      <c r="E16" s="47" t="n">
        <v>185</v>
      </c>
      <c r="F16" s="46"/>
      <c r="G16" s="46" t="s">
        <v>191</v>
      </c>
      <c r="H16" s="48" t="s">
        <v>230</v>
      </c>
    </row>
    <row r="17" customFormat="false" ht="15" hidden="false" customHeight="false" outlineLevel="0" collapsed="false">
      <c r="A17" s="46" t="s">
        <v>231</v>
      </c>
      <c r="B17" s="46" t="s">
        <v>232</v>
      </c>
      <c r="C17" s="46" t="s">
        <v>175</v>
      </c>
      <c r="D17" s="47" t="n">
        <v>100</v>
      </c>
      <c r="E17" s="49" t="n">
        <v>105</v>
      </c>
      <c r="F17" s="47" t="n">
        <v>115</v>
      </c>
      <c r="G17" s="46" t="s">
        <v>191</v>
      </c>
      <c r="H17" s="48" t="s">
        <v>233</v>
      </c>
    </row>
    <row r="18" customFormat="false" ht="23.85" hidden="false" customHeight="false" outlineLevel="0" collapsed="false">
      <c r="A18" s="46" t="s">
        <v>81</v>
      </c>
      <c r="B18" s="46" t="s">
        <v>234</v>
      </c>
      <c r="C18" s="46" t="s">
        <v>222</v>
      </c>
      <c r="D18" s="53" t="n">
        <v>0.9</v>
      </c>
      <c r="E18" s="53" t="n">
        <v>1</v>
      </c>
      <c r="F18" s="53" t="n">
        <v>1.25</v>
      </c>
      <c r="G18" s="46" t="s">
        <v>60</v>
      </c>
      <c r="H18" s="48" t="s">
        <v>235</v>
      </c>
    </row>
    <row r="19" customFormat="false" ht="15" hidden="false" customHeight="false" outlineLevel="0" collapsed="false">
      <c r="A19" s="54" t="s">
        <v>236</v>
      </c>
      <c r="B19" s="54" t="s">
        <v>237</v>
      </c>
      <c r="C19" s="54" t="s">
        <v>211</v>
      </c>
      <c r="D19" s="54"/>
      <c r="E19" s="58" t="n">
        <f aca="false">E11*E14*(E15*E17/E16+(1-E15))*E18</f>
        <v>10.7401118058825</v>
      </c>
      <c r="F19" s="54"/>
      <c r="G19" s="54" t="s">
        <v>223</v>
      </c>
      <c r="H19" s="56" t="s">
        <v>238</v>
      </c>
    </row>
    <row r="20" customFormat="false" ht="15" hidden="false" customHeight="false" outlineLevel="0" collapsed="false">
      <c r="A20" s="46" t="s">
        <v>239</v>
      </c>
      <c r="B20" s="46" t="s">
        <v>240</v>
      </c>
      <c r="C20" s="46" t="s">
        <v>35</v>
      </c>
      <c r="D20" s="46"/>
      <c r="E20" s="59" t="n">
        <v>941.2</v>
      </c>
      <c r="F20" s="46"/>
      <c r="G20" s="46" t="s">
        <v>191</v>
      </c>
      <c r="H20" s="48" t="s">
        <v>241</v>
      </c>
    </row>
    <row r="21" customFormat="false" ht="15" hidden="false" customHeight="false" outlineLevel="0" collapsed="false">
      <c r="A21" s="46" t="s">
        <v>242</v>
      </c>
      <c r="B21" s="46" t="s">
        <v>243</v>
      </c>
      <c r="C21" s="46" t="s">
        <v>199</v>
      </c>
      <c r="D21" s="46"/>
      <c r="E21" s="47" t="n">
        <v>11</v>
      </c>
      <c r="F21" s="46"/>
      <c r="G21" s="46" t="s">
        <v>60</v>
      </c>
      <c r="H21" s="48" t="s">
        <v>244</v>
      </c>
    </row>
    <row r="22" customFormat="false" ht="15" hidden="false" customHeight="false" outlineLevel="0" collapsed="false">
      <c r="A22" s="46" t="s">
        <v>245</v>
      </c>
      <c r="B22" s="46" t="s">
        <v>246</v>
      </c>
      <c r="C22" s="46" t="s">
        <v>190</v>
      </c>
      <c r="D22" s="46"/>
      <c r="E22" s="47" t="n">
        <v>12</v>
      </c>
      <c r="F22" s="46"/>
      <c r="G22" s="46" t="s">
        <v>60</v>
      </c>
      <c r="H22" s="48" t="s">
        <v>247</v>
      </c>
    </row>
    <row r="23" customFormat="false" ht="15" hidden="false" customHeight="false" outlineLevel="0" collapsed="false">
      <c r="A23" s="54" t="s">
        <v>248</v>
      </c>
      <c r="B23" s="54" t="s">
        <v>249</v>
      </c>
      <c r="C23" s="54" t="s">
        <v>211</v>
      </c>
      <c r="D23" s="54"/>
      <c r="E23" s="58" t="n">
        <f aca="false">E20/(E21*E22)</f>
        <v>7.13030303030303</v>
      </c>
      <c r="F23" s="54"/>
      <c r="G23" s="54" t="s">
        <v>223</v>
      </c>
      <c r="H23" s="56" t="s">
        <v>250</v>
      </c>
    </row>
    <row r="24" customFormat="false" ht="23.85" hidden="false" customHeight="false" outlineLevel="0" collapsed="false">
      <c r="A24" s="46" t="s">
        <v>90</v>
      </c>
      <c r="B24" s="46" t="s">
        <v>251</v>
      </c>
      <c r="C24" s="46" t="s">
        <v>222</v>
      </c>
      <c r="D24" s="53" t="n">
        <v>0.6</v>
      </c>
      <c r="E24" s="60" t="n">
        <v>0.8</v>
      </c>
      <c r="F24" s="53" t="n">
        <v>1.2</v>
      </c>
      <c r="G24" s="46" t="s">
        <v>60</v>
      </c>
      <c r="H24" s="48" t="s">
        <v>252</v>
      </c>
    </row>
    <row r="25" customFormat="false" ht="15" hidden="false" customHeight="false" outlineLevel="0" collapsed="false">
      <c r="A25" s="54" t="s">
        <v>253</v>
      </c>
      <c r="B25" s="54" t="s">
        <v>254</v>
      </c>
      <c r="C25" s="54" t="s">
        <v>211</v>
      </c>
      <c r="D25" s="54"/>
      <c r="E25" s="58" t="n">
        <f aca="false">E23*E24</f>
        <v>5.70424242424243</v>
      </c>
      <c r="F25" s="54"/>
      <c r="G25" s="54" t="s">
        <v>223</v>
      </c>
      <c r="H25" s="56" t="s">
        <v>255</v>
      </c>
    </row>
    <row r="26" customFormat="false" ht="35.05" hidden="false" customHeight="false" outlineLevel="0" collapsed="false">
      <c r="A26" s="46" t="s">
        <v>94</v>
      </c>
      <c r="B26" s="46" t="s">
        <v>256</v>
      </c>
      <c r="C26" s="46" t="s">
        <v>222</v>
      </c>
      <c r="D26" s="53" t="n">
        <v>0.3</v>
      </c>
      <c r="E26" s="61" t="n">
        <f aca="false">Benchmarks!$C$22</f>
        <v>0.62</v>
      </c>
      <c r="F26" s="53" t="n">
        <v>0.82</v>
      </c>
      <c r="G26" s="57" t="s">
        <v>226</v>
      </c>
      <c r="H26" s="48" t="s">
        <v>257</v>
      </c>
    </row>
    <row r="27" customFormat="false" ht="15" hidden="false" customHeight="false" outlineLevel="0" collapsed="false">
      <c r="A27" s="46" t="s">
        <v>98</v>
      </c>
      <c r="B27" s="46" t="s">
        <v>258</v>
      </c>
      <c r="C27" s="46" t="s">
        <v>35</v>
      </c>
      <c r="D27" s="59" t="n">
        <v>50</v>
      </c>
      <c r="E27" s="50" t="n">
        <v>75</v>
      </c>
      <c r="F27" s="59" t="n">
        <v>150</v>
      </c>
      <c r="G27" s="46" t="s">
        <v>60</v>
      </c>
      <c r="H27" s="48" t="s">
        <v>259</v>
      </c>
    </row>
    <row r="28" customFormat="false" ht="15" hidden="false" customHeight="false" outlineLevel="0" collapsed="false">
      <c r="A28" s="46" t="s">
        <v>260</v>
      </c>
      <c r="B28" s="46" t="s">
        <v>261</v>
      </c>
      <c r="C28" s="46" t="s">
        <v>262</v>
      </c>
      <c r="D28" s="46"/>
      <c r="E28" s="47" t="n">
        <v>13</v>
      </c>
      <c r="F28" s="46"/>
      <c r="G28" s="46" t="s">
        <v>60</v>
      </c>
      <c r="H28" s="48" t="s">
        <v>263</v>
      </c>
    </row>
    <row r="29" customFormat="false" ht="23.85" hidden="false" customHeight="false" outlineLevel="0" collapsed="false">
      <c r="A29" s="46" t="s">
        <v>102</v>
      </c>
      <c r="B29" s="46" t="s">
        <v>264</v>
      </c>
      <c r="C29" s="46" t="s">
        <v>35</v>
      </c>
      <c r="D29" s="59" t="n">
        <v>2</v>
      </c>
      <c r="E29" s="59" t="n">
        <v>5</v>
      </c>
      <c r="F29" s="59" t="n">
        <v>15</v>
      </c>
      <c r="G29" s="57" t="s">
        <v>226</v>
      </c>
      <c r="H29" s="48" t="s">
        <v>265</v>
      </c>
    </row>
    <row r="30" customFormat="false" ht="15" hidden="false" customHeight="false" outlineLevel="0" collapsed="false">
      <c r="A30" s="46" t="s">
        <v>266</v>
      </c>
      <c r="B30" s="46" t="s">
        <v>267</v>
      </c>
      <c r="C30" s="46" t="s">
        <v>207</v>
      </c>
      <c r="D30" s="46"/>
      <c r="E30" s="31" t="n">
        <v>0.035</v>
      </c>
      <c r="F30" s="46"/>
      <c r="G30" s="46" t="s">
        <v>191</v>
      </c>
      <c r="H30" s="48" t="s">
        <v>268</v>
      </c>
    </row>
    <row r="31" customFormat="false" ht="15" hidden="false" customHeight="false" outlineLevel="0" collapsed="false">
      <c r="A31" s="46" t="s">
        <v>269</v>
      </c>
      <c r="B31" s="46" t="s">
        <v>270</v>
      </c>
      <c r="C31" s="46" t="s">
        <v>195</v>
      </c>
      <c r="D31" s="46"/>
      <c r="E31" s="47" t="n">
        <v>2026</v>
      </c>
      <c r="F31" s="46"/>
      <c r="G31" s="46" t="s">
        <v>60</v>
      </c>
      <c r="H31" s="48"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1"/>
    <col collapsed="false" customWidth="true" hidden="false" outlineLevel="0" max="7" min="4" style="0" width="15"/>
    <col collapsed="false" customWidth="true" hidden="false" outlineLevel="0" max="9" min="8" style="0" width="12"/>
  </cols>
  <sheetData>
    <row r="1" customFormat="false" ht="17.35" hidden="false" customHeight="false" outlineLevel="0" collapsed="false">
      <c r="A1" s="6" t="s">
        <v>272</v>
      </c>
      <c r="B1" s="1"/>
      <c r="C1" s="1"/>
      <c r="D1" s="1"/>
      <c r="E1" s="1"/>
      <c r="F1" s="1"/>
      <c r="G1" s="1"/>
      <c r="H1" s="1"/>
      <c r="I1" s="1"/>
    </row>
    <row r="2" customFormat="false" ht="15" hidden="false" customHeight="false" outlineLevel="0" collapsed="false">
      <c r="A2" s="7" t="s">
        <v>273</v>
      </c>
      <c r="B2" s="1"/>
      <c r="C2" s="1"/>
      <c r="D2" s="1"/>
      <c r="E2" s="1"/>
      <c r="F2" s="1"/>
      <c r="G2" s="1"/>
      <c r="H2" s="1"/>
      <c r="I2" s="1"/>
    </row>
    <row r="3" customFormat="false" ht="15" hidden="false" customHeight="false" outlineLevel="0" collapsed="false">
      <c r="A3" s="16" t="s">
        <v>274</v>
      </c>
      <c r="B3" s="1"/>
      <c r="C3" s="1"/>
      <c r="D3" s="62" t="n">
        <f aca="false">WLC_Model!C22</f>
        <v>6039.98173160029</v>
      </c>
      <c r="E3" s="1"/>
      <c r="F3" s="1"/>
      <c r="G3" s="1"/>
      <c r="H3" s="1"/>
      <c r="I3" s="1"/>
    </row>
    <row r="4" customFormat="false" ht="23.85" hidden="false" customHeight="false" outlineLevel="0" collapsed="false">
      <c r="A4" s="20" t="s">
        <v>275</v>
      </c>
      <c r="B4" s="20" t="s">
        <v>276</v>
      </c>
      <c r="C4" s="20" t="s">
        <v>277</v>
      </c>
      <c r="D4" s="20" t="s">
        <v>278</v>
      </c>
      <c r="E4" s="20" t="s">
        <v>279</v>
      </c>
      <c r="F4" s="20" t="s">
        <v>280</v>
      </c>
      <c r="G4" s="20" t="s">
        <v>281</v>
      </c>
      <c r="H4" s="20" t="s">
        <v>282</v>
      </c>
      <c r="I4" s="20" t="s">
        <v>283</v>
      </c>
    </row>
    <row r="5" customFormat="false" ht="15" hidden="false" customHeight="false" outlineLevel="0" collapsed="false">
      <c r="A5" s="63" t="str">
        <f aca="false">Inputs!B29</f>
        <v>Disposal cost per ship</v>
      </c>
      <c r="B5" s="11" t="n">
        <f aca="false">Inputs!$D$29</f>
        <v>2</v>
      </c>
      <c r="C5" s="11" t="n">
        <f aca="false">Inputs!$F$29</f>
        <v>15</v>
      </c>
      <c r="D5" s="64" t="n">
        <f aca="false">Inputs!$E$9*(1+Inputs!$E$10)+Inputs!$E$5*Inputs!$E$8*(Inputs!$E$11*Inputs!$E$14*(Inputs!$E$15*Inputs!$E$17/Inputs!$E$16+(1-Inputs!$E$15))*Inputs!$E$18+Inputs!$E$23*Inputs!$E$24)*(1+Inputs!$E$26)+Inputs!$E$5*(Inputs!$E$27+$B5)</f>
        <v>6024.98173160029</v>
      </c>
      <c r="E5" s="64" t="n">
        <f aca="false">Inputs!$E$9*(1+Inputs!$E$10)+Inputs!$E$5*Inputs!$E$8*(Inputs!$E$11*Inputs!$E$14*(Inputs!$E$15*Inputs!$E$17/Inputs!$E$16+(1-Inputs!$E$15))*Inputs!$E$18+Inputs!$E$23*Inputs!$E$24)*(1+Inputs!$E$26)+Inputs!$E$5*(Inputs!$E$27+$C5)</f>
        <v>6089.98173160029</v>
      </c>
      <c r="F5" s="64" t="n">
        <f aca="false">D5-$D$3</f>
        <v>-15</v>
      </c>
      <c r="G5" s="64" t="n">
        <f aca="false">E5-$D$3</f>
        <v>50</v>
      </c>
      <c r="H5" s="64" t="n">
        <f aca="false">ABS(E5-D5)</f>
        <v>65</v>
      </c>
      <c r="I5" s="15" t="n">
        <f aca="false">H5/$D$3</f>
        <v>0.0107616219532469</v>
      </c>
    </row>
    <row r="6" customFormat="false" ht="15" hidden="false" customHeight="false" outlineLevel="0" collapsed="false">
      <c r="A6" s="63" t="str">
        <f aca="false">Inputs!B17</f>
        <v>Type 31 crew complement</v>
      </c>
      <c r="B6" s="65" t="n">
        <f aca="false">Inputs!$D$17</f>
        <v>100</v>
      </c>
      <c r="C6" s="65" t="n">
        <f aca="false">Inputs!$F$17</f>
        <v>115</v>
      </c>
      <c r="D6" s="64" t="n">
        <f aca="false">Inputs!$E$9*(1+Inputs!$E$10)+Inputs!$E$5*Inputs!$E$8*(Inputs!$E$11*Inputs!$E$14*(Inputs!$E$15*$B6/Inputs!$E$16+(1-Inputs!$E$15))*Inputs!$E$18+Inputs!$E$23*Inputs!$E$24)*(1+Inputs!$E$26)+Inputs!$E$5*(Inputs!$E$27+Inputs!$E$29)</f>
        <v>5980.97355917843</v>
      </c>
      <c r="E6" s="64" t="n">
        <f aca="false">Inputs!$E$9*(1+Inputs!$E$10)+Inputs!$E$5*Inputs!$E$8*(Inputs!$E$11*Inputs!$E$14*(Inputs!$E$15*$C6/Inputs!$E$16+(1-Inputs!$E$15))*Inputs!$E$18+Inputs!$E$23*Inputs!$E$24)*(1+Inputs!$E$26)+Inputs!$E$5*(Inputs!$E$27+Inputs!$E$29)</f>
        <v>6157.998076444</v>
      </c>
      <c r="F6" s="64" t="n">
        <f aca="false">D6-$D$3</f>
        <v>-59.0081724218544</v>
      </c>
      <c r="G6" s="64" t="n">
        <f aca="false">E6-$D$3</f>
        <v>118.016344843709</v>
      </c>
      <c r="H6" s="64" t="n">
        <f aca="false">ABS(E6-D6)</f>
        <v>177.024517265563</v>
      </c>
      <c r="I6" s="15" t="n">
        <f aca="false">H6/$D$3</f>
        <v>0.0293087835579696</v>
      </c>
    </row>
    <row r="7" customFormat="false" ht="15" hidden="false" customHeight="false" outlineLevel="0" collapsed="false">
      <c r="A7" s="63" t="str">
        <f aca="false">Inputs!B15</f>
        <v>Personnel share of direct operating cost</v>
      </c>
      <c r="B7" s="14" t="n">
        <f aca="false">Inputs!$D$15</f>
        <v>0.6</v>
      </c>
      <c r="C7" s="14" t="n">
        <f aca="false">Inputs!$F$15</f>
        <v>0.8</v>
      </c>
      <c r="D7" s="64" t="n">
        <f aca="false">Inputs!$E$9*(1+Inputs!$E$10)+Inputs!$E$5*Inputs!$E$8*(Inputs!$E$11*Inputs!$E$14*($B7*Inputs!$E$17/Inputs!$E$16+(1-$B7))*Inputs!$E$18+Inputs!$E$23*Inputs!$E$24)*(1+Inputs!$E$26)+Inputs!$E$5*(Inputs!$E$27+Inputs!$E$29)</f>
        <v>6174.85755427881</v>
      </c>
      <c r="E7" s="64" t="n">
        <f aca="false">Inputs!$E$9*(1+Inputs!$E$10)+Inputs!$E$5*Inputs!$E$8*(Inputs!$E$11*Inputs!$E$14*($C7*Inputs!$E$17/Inputs!$E$16+(1-$C7))*Inputs!$E$18+Inputs!$E$23*Inputs!$E$24)*(1+Inputs!$E$26)+Inputs!$E$5*(Inputs!$E$27+Inputs!$E$29)</f>
        <v>5905.10590892176</v>
      </c>
      <c r="F7" s="64" t="n">
        <f aca="false">D7-$D$3</f>
        <v>134.875822678524</v>
      </c>
      <c r="G7" s="64" t="n">
        <f aca="false">E7-$D$3</f>
        <v>-134.875822678524</v>
      </c>
      <c r="H7" s="64" t="n">
        <f aca="false">ABS(E7-D7)</f>
        <v>269.751645357048</v>
      </c>
      <c r="I7" s="15" t="n">
        <f aca="false">H7/$D$3</f>
        <v>0.0446610035169059</v>
      </c>
    </row>
    <row r="8" customFormat="false" ht="15" hidden="false" customHeight="false" outlineLevel="0" collapsed="false">
      <c r="A8" s="63" t="str">
        <f aca="false">Inputs!B10</f>
        <v>Acquisition cost growth above approved budget</v>
      </c>
      <c r="B8" s="14" t="n">
        <f aca="false">Inputs!$D$10</f>
        <v>0</v>
      </c>
      <c r="C8" s="14" t="n">
        <f aca="false">Inputs!$F$10</f>
        <v>0.2</v>
      </c>
      <c r="D8" s="64" t="n">
        <f aca="false">Inputs!$E$9*(1+$B8)+Inputs!$E$5*Inputs!$E$8*(Inputs!$E$11*Inputs!$E$14*(Inputs!$E$15*Inputs!$E$17/Inputs!$E$16+(1-Inputs!$E$15))*Inputs!$E$18+Inputs!$E$23*Inputs!$E$24)*(1+Inputs!$E$26)+Inputs!$E$5*(Inputs!$E$27+Inputs!$E$29)</f>
        <v>5929.98173160029</v>
      </c>
      <c r="E8" s="64" t="n">
        <f aca="false">Inputs!$E$9*(1+$C8)+Inputs!$E$5*Inputs!$E$8*(Inputs!$E$11*Inputs!$E$14*(Inputs!$E$15*Inputs!$E$17/Inputs!$E$16+(1-Inputs!$E$15))*Inputs!$E$18+Inputs!$E$23*Inputs!$E$24)*(1+Inputs!$E$26)+Inputs!$E$5*(Inputs!$E$27+Inputs!$E$29)</f>
        <v>6369.98173160029</v>
      </c>
      <c r="F8" s="64" t="n">
        <f aca="false">D8-$D$3</f>
        <v>-110</v>
      </c>
      <c r="G8" s="64" t="n">
        <f aca="false">E8-$D$3</f>
        <v>330</v>
      </c>
      <c r="H8" s="64" t="n">
        <f aca="false">ABS(E8-D8)</f>
        <v>440</v>
      </c>
      <c r="I8" s="15" t="n">
        <f aca="false">H8/$D$3</f>
        <v>0.0728479024527484</v>
      </c>
    </row>
    <row r="9" customFormat="false" ht="15" hidden="false" customHeight="false" outlineLevel="0" collapsed="false">
      <c r="A9" s="63" t="str">
        <f aca="false">Inputs!B27</f>
        <v>Mid-life update cost per ship</v>
      </c>
      <c r="B9" s="11" t="n">
        <f aca="false">Inputs!$D$27</f>
        <v>50</v>
      </c>
      <c r="C9" s="11" t="n">
        <f aca="false">Inputs!$F$27</f>
        <v>150</v>
      </c>
      <c r="D9" s="64" t="n">
        <f aca="false">Inputs!$E$9*(1+Inputs!$E$10)+Inputs!$E$5*Inputs!$E$8*(Inputs!$E$11*Inputs!$E$14*(Inputs!$E$15*Inputs!$E$17/Inputs!$E$16+(1-Inputs!$E$15))*Inputs!$E$18+Inputs!$E$23*Inputs!$E$24)*(1+Inputs!$E$26)+Inputs!$E$5*($B9+Inputs!$E$29)</f>
        <v>5914.98173160029</v>
      </c>
      <c r="E9" s="64" t="n">
        <f aca="false">Inputs!$E$9*(1+Inputs!$E$10)+Inputs!$E$5*Inputs!$E$8*(Inputs!$E$11*Inputs!$E$14*(Inputs!$E$15*Inputs!$E$17/Inputs!$E$16+(1-Inputs!$E$15))*Inputs!$E$18+Inputs!$E$23*Inputs!$E$24)*(1+Inputs!$E$26)+Inputs!$E$5*($C9+Inputs!$E$29)</f>
        <v>6414.98173160029</v>
      </c>
      <c r="F9" s="64" t="n">
        <f aca="false">D9-$D$3</f>
        <v>-125</v>
      </c>
      <c r="G9" s="64" t="n">
        <f aca="false">E9-$D$3</f>
        <v>375</v>
      </c>
      <c r="H9" s="64" t="n">
        <f aca="false">ABS(E9-D9)</f>
        <v>500</v>
      </c>
      <c r="I9" s="15" t="n">
        <f aca="false">H9/$D$3</f>
        <v>0.0827817073326686</v>
      </c>
    </row>
    <row r="10" customFormat="false" ht="15" hidden="false" customHeight="false" outlineLevel="0" collapsed="false">
      <c r="A10" s="63" t="str">
        <f aca="false">Inputs!B18</f>
        <v>Operating cost estimating uncertainty factor</v>
      </c>
      <c r="B10" s="66" t="n">
        <f aca="false">Inputs!$D$18</f>
        <v>0.9</v>
      </c>
      <c r="C10" s="66" t="n">
        <f aca="false">Inputs!$F$18</f>
        <v>1.25</v>
      </c>
      <c r="D10" s="64" t="n">
        <f aca="false">Inputs!$E$9*(1+Inputs!$E$10)+Inputs!$E$5*Inputs!$E$8*(Inputs!$E$11*Inputs!$E$14*(Inputs!$E$15*Inputs!$E$17/Inputs!$E$16+(1-Inputs!$E$15))*$B10+Inputs!$E$23*Inputs!$E$24)*(1+Inputs!$E$26)+Inputs!$E$5*(Inputs!$E$27+Inputs!$E$29)</f>
        <v>5822.49446753117</v>
      </c>
      <c r="E10" s="64" t="n">
        <f aca="false">Inputs!$E$9*(1+Inputs!$E$10)+Inputs!$E$5*Inputs!$E$8*(Inputs!$E$11*Inputs!$E$14*(Inputs!$E$15*Inputs!$E$17/Inputs!$E$16+(1-Inputs!$E$15))*$C10+Inputs!$E$23*Inputs!$E$24)*(1+Inputs!$E$26)+Inputs!$E$5*(Inputs!$E$27+Inputs!$E$29)</f>
        <v>6583.69989177309</v>
      </c>
      <c r="F10" s="64" t="n">
        <f aca="false">D10-$D$3</f>
        <v>-217.487264069119</v>
      </c>
      <c r="G10" s="64" t="n">
        <f aca="false">E10-$D$3</f>
        <v>543.7181601728</v>
      </c>
      <c r="H10" s="64" t="n">
        <f aca="false">ABS(E10-D10)</f>
        <v>761.205424241919</v>
      </c>
      <c r="I10" s="15" t="n">
        <f aca="false">H10/$D$3</f>
        <v>0.126027769299269</v>
      </c>
    </row>
    <row r="11" customFormat="false" ht="15" hidden="false" customHeight="false" outlineLevel="0" collapsed="false">
      <c r="A11" s="63" t="str">
        <f aca="false">Inputs!B24</f>
        <v>Type 31 maintenance scaling factor vs Type 23</v>
      </c>
      <c r="B11" s="66" t="n">
        <f aca="false">Inputs!$D$24</f>
        <v>0.6</v>
      </c>
      <c r="C11" s="66" t="n">
        <f aca="false">Inputs!$F$24</f>
        <v>1.2</v>
      </c>
      <c r="D11" s="64" t="n">
        <f aca="false">Inputs!$E$9*(1+Inputs!$E$10)+Inputs!$E$5*Inputs!$E$8*(Inputs!$E$11*Inputs!$E$14*(Inputs!$E$15*Inputs!$E$17/Inputs!$E$16+(1-Inputs!$E$15))*Inputs!$E$18+Inputs!$E$23*$B11)*(1+Inputs!$E$26)+Inputs!$E$5*(Inputs!$E$27+Inputs!$E$29)</f>
        <v>5751.20445887302</v>
      </c>
      <c r="E11" s="64" t="n">
        <f aca="false">Inputs!$E$9*(1+Inputs!$E$10)+Inputs!$E$5*Inputs!$E$8*(Inputs!$E$11*Inputs!$E$14*(Inputs!$E$15*Inputs!$E$17/Inputs!$E$16+(1-Inputs!$E$15))*Inputs!$E$18+Inputs!$E$23*$C11)*(1+Inputs!$E$26)+Inputs!$E$5*(Inputs!$E$27+Inputs!$E$29)</f>
        <v>6617.53627705483</v>
      </c>
      <c r="F11" s="64" t="n">
        <f aca="false">D11-$D$3</f>
        <v>-288.777272727273</v>
      </c>
      <c r="G11" s="64" t="n">
        <f aca="false">E11-$D$3</f>
        <v>577.554545454545</v>
      </c>
      <c r="H11" s="64" t="n">
        <f aca="false">ABS(E11-D11)</f>
        <v>866.331818181819</v>
      </c>
      <c r="I11" s="15" t="n">
        <f aca="false">H11/$D$3</f>
        <v>0.143432854051412</v>
      </c>
    </row>
    <row r="12" customFormat="false" ht="15" hidden="false" customHeight="false" outlineLevel="0" collapsed="false">
      <c r="A12" s="63" t="str">
        <f aca="false">Inputs!B26</f>
        <v>Indirect &amp; sustaining support uplift on direct running costs</v>
      </c>
      <c r="B12" s="66" t="n">
        <f aca="false">Inputs!$D$26</f>
        <v>0.3</v>
      </c>
      <c r="C12" s="66" t="n">
        <f aca="false">Inputs!$F$26</f>
        <v>0.82</v>
      </c>
      <c r="D12" s="64" t="n">
        <f aca="false">Inputs!$E$9*(1+Inputs!$E$10)+Inputs!$E$5*Inputs!$E$8*(Inputs!$E$11*Inputs!$E$14*(Inputs!$E$15*Inputs!$E$17/Inputs!$E$16+(1-Inputs!$E$15))*Inputs!$E$18+Inputs!$E$23*Inputs!$E$24)*(1+$B12)+Inputs!$E$5*(Inputs!$E$27+Inputs!$E$29)</f>
        <v>5382.20756239529</v>
      </c>
      <c r="E12" s="64" t="n">
        <f aca="false">Inputs!$E$9*(1+Inputs!$E$10)+Inputs!$E$5*Inputs!$E$8*(Inputs!$E$11*Inputs!$E$14*(Inputs!$E$15*Inputs!$E$17/Inputs!$E$16+(1-Inputs!$E$15))*Inputs!$E$18+Inputs!$E$23*Inputs!$E$24)*(1+$C12)+Inputs!$E$5*(Inputs!$E$27+Inputs!$E$29)</f>
        <v>6451.09058735341</v>
      </c>
      <c r="F12" s="64" t="n">
        <f aca="false">D12-$D$3</f>
        <v>-657.774169204995</v>
      </c>
      <c r="G12" s="64" t="n">
        <f aca="false">E12-$D$3</f>
        <v>411.108855753121</v>
      </c>
      <c r="H12" s="64" t="n">
        <f aca="false">ABS(E12-D12)</f>
        <v>1068.88302495812</v>
      </c>
      <c r="I12" s="15" t="n">
        <f aca="false">H12/$D$3</f>
        <v>0.176967923489881</v>
      </c>
    </row>
    <row r="13" customFormat="false" ht="15" hidden="false" customHeight="false" outlineLevel="0" collapsed="false">
      <c r="A13" s="63" t="str">
        <f aca="false">Inputs!B8</f>
        <v>Service life per ship</v>
      </c>
      <c r="B13" s="65" t="n">
        <f aca="false">Inputs!$D$8</f>
        <v>20</v>
      </c>
      <c r="C13" s="65" t="n">
        <f aca="false">Inputs!$F$8</f>
        <v>30</v>
      </c>
      <c r="D13" s="64" t="n">
        <f aca="false">Inputs!$E$9*(1+Inputs!$E$10)+Inputs!$E$5*$B13*(Inputs!$E$11*Inputs!$E$14*(Inputs!$E$15*Inputs!$E$17/Inputs!$E$16+(1-Inputs!$E$15))*Inputs!$E$18+Inputs!$E$23*Inputs!$E$24)*(1+Inputs!$E$26)+Inputs!$E$5*(Inputs!$E$27+Inputs!$E$29)</f>
        <v>5373.98538528023</v>
      </c>
      <c r="E13" s="64" t="n">
        <f aca="false">Inputs!$E$9*(1+Inputs!$E$10)+Inputs!$E$5*$C13*(Inputs!$E$11*Inputs!$E$14*(Inputs!$E$15*Inputs!$E$17/Inputs!$E$16+(1-Inputs!$E$15))*Inputs!$E$18+Inputs!$E$23*Inputs!$E$24)*(1+Inputs!$E$26)+Inputs!$E$5*(Inputs!$E$27+Inputs!$E$29)</f>
        <v>6705.97807792035</v>
      </c>
      <c r="F13" s="64" t="n">
        <f aca="false">D13-$D$3</f>
        <v>-665.996346320058</v>
      </c>
      <c r="G13" s="64" t="n">
        <f aca="false">E13-$D$3</f>
        <v>665.996346320058</v>
      </c>
      <c r="H13" s="64" t="n">
        <f aca="false">ABS(E13-D13)</f>
        <v>1331.99269264012</v>
      </c>
      <c r="I13" s="15" t="n">
        <f aca="false">H13/$D$3</f>
        <v>0.220529258502774</v>
      </c>
    </row>
    <row r="14" customFormat="false" ht="15" hidden="false" customHeight="false" outlineLevel="0" collapsed="false">
      <c r="A14" s="1"/>
      <c r="B14" s="1"/>
      <c r="C14" s="1"/>
      <c r="D14" s="1"/>
      <c r="E14" s="1"/>
      <c r="F14" s="1"/>
      <c r="G14" s="1"/>
      <c r="H14" s="1"/>
      <c r="I14" s="1"/>
    </row>
    <row r="15" customFormat="false" ht="15" hidden="false" customHeight="false" outlineLevel="0" collapsed="false">
      <c r="A15" s="7" t="s">
        <v>284</v>
      </c>
      <c r="B15" s="1"/>
      <c r="C15" s="1"/>
      <c r="D15" s="1"/>
      <c r="E15" s="1"/>
      <c r="F15" s="1"/>
      <c r="G15" s="1"/>
      <c r="H15" s="1"/>
      <c r="I15"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7" min="3" style="0" width="14"/>
  </cols>
  <sheetData>
    <row r="1" customFormat="false" ht="17.35" hidden="false" customHeight="false" outlineLevel="0" collapsed="false">
      <c r="A1" s="6" t="s">
        <v>285</v>
      </c>
      <c r="B1" s="1"/>
      <c r="C1" s="1"/>
      <c r="D1" s="1"/>
      <c r="E1" s="1"/>
      <c r="F1" s="1"/>
      <c r="G1" s="1"/>
    </row>
    <row r="2" customFormat="false" ht="15" hidden="false" customHeight="false" outlineLevel="0" collapsed="false">
      <c r="A2" s="7" t="s">
        <v>286</v>
      </c>
      <c r="B2" s="1"/>
      <c r="C2" s="1"/>
      <c r="D2" s="1"/>
      <c r="E2" s="1"/>
      <c r="F2" s="1"/>
      <c r="G2" s="1"/>
    </row>
    <row r="3" customFormat="false" ht="15" hidden="false" customHeight="false" outlineLevel="0" collapsed="false">
      <c r="A3" s="1"/>
      <c r="B3" s="1"/>
      <c r="C3" s="1"/>
      <c r="D3" s="1"/>
      <c r="E3" s="1"/>
      <c r="F3" s="1"/>
      <c r="G3" s="1"/>
    </row>
    <row r="4" customFormat="false" ht="15" hidden="false" customHeight="false" outlineLevel="0" collapsed="false">
      <c r="A4" s="1"/>
      <c r="B4" s="8" t="s">
        <v>287</v>
      </c>
      <c r="C4" s="8" t="s">
        <v>35</v>
      </c>
      <c r="D4" s="1"/>
      <c r="E4" s="1"/>
      <c r="F4" s="1"/>
      <c r="G4" s="1"/>
    </row>
    <row r="5" customFormat="false" ht="15" hidden="false" customHeight="false" outlineLevel="0" collapsed="false">
      <c r="A5" s="1"/>
      <c r="B5" s="9" t="s">
        <v>288</v>
      </c>
      <c r="C5" s="11" t="n">
        <f aca="false">WLC_Model!C22</f>
        <v>6039.98173160029</v>
      </c>
      <c r="D5" s="1"/>
      <c r="E5" s="1"/>
      <c r="F5" s="1"/>
      <c r="G5" s="1"/>
    </row>
    <row r="6" customFormat="false" ht="15" hidden="false" customHeight="false" outlineLevel="0" collapsed="false">
      <c r="A6" s="1"/>
      <c r="B6" s="9" t="s">
        <v>289</v>
      </c>
      <c r="C6" s="64" t="n">
        <f aca="false">AVERAGE(MC_Iterations!$T$5:$T$2004)</f>
        <v>6331.79412249256</v>
      </c>
      <c r="D6" s="1"/>
      <c r="E6" s="1"/>
      <c r="F6" s="1"/>
      <c r="G6" s="1"/>
    </row>
    <row r="7" customFormat="false" ht="15" hidden="false" customHeight="false" outlineLevel="0" collapsed="false">
      <c r="A7" s="1"/>
      <c r="B7" s="9" t="s">
        <v>290</v>
      </c>
      <c r="C7" s="64" t="n">
        <f aca="false">PERCENTILE(MC_Iterations!$T$5:$T$2004,0.1)</f>
        <v>5735.02006475703</v>
      </c>
      <c r="D7" s="1"/>
      <c r="E7" s="1"/>
      <c r="F7" s="1"/>
      <c r="G7" s="1"/>
    </row>
    <row r="8" customFormat="false" ht="15" hidden="false" customHeight="false" outlineLevel="0" collapsed="false">
      <c r="A8" s="1"/>
      <c r="B8" s="9" t="s">
        <v>291</v>
      </c>
      <c r="C8" s="64" t="n">
        <f aca="false">PERCENTILE(MC_Iterations!$T$5:$T$2004,0.5)</f>
        <v>6297.31549160298</v>
      </c>
      <c r="D8" s="1"/>
      <c r="E8" s="1"/>
      <c r="F8" s="1"/>
      <c r="G8" s="1"/>
    </row>
    <row r="9" customFormat="false" ht="15" hidden="false" customHeight="false" outlineLevel="0" collapsed="false">
      <c r="A9" s="1"/>
      <c r="B9" s="9" t="s">
        <v>292</v>
      </c>
      <c r="C9" s="67" t="n">
        <f aca="false">PERCENTILE(MC_Iterations!$T$5:$T$2004,0.8)</f>
        <v>6737.48703510143</v>
      </c>
      <c r="D9" s="1"/>
      <c r="E9" s="1"/>
      <c r="F9" s="1"/>
      <c r="G9" s="1"/>
    </row>
    <row r="10" customFormat="false" ht="15" hidden="false" customHeight="false" outlineLevel="0" collapsed="false">
      <c r="A10" s="1"/>
      <c r="B10" s="9" t="s">
        <v>293</v>
      </c>
      <c r="C10" s="64" t="n">
        <f aca="false">PERCENTILE(MC_Iterations!$T$5:$T$2004,0.9)</f>
        <v>6983.78254108699</v>
      </c>
      <c r="D10" s="1"/>
      <c r="E10" s="1"/>
      <c r="F10" s="1"/>
      <c r="G10" s="1"/>
    </row>
    <row r="11" customFormat="false" ht="15" hidden="false" customHeight="false" outlineLevel="0" collapsed="false">
      <c r="A11" s="1"/>
      <c r="B11" s="9" t="s">
        <v>294</v>
      </c>
      <c r="C11" s="64" t="n">
        <f aca="false">MIN(MC_Iterations!$T$5:$T$2004)</f>
        <v>5002.76565823464</v>
      </c>
      <c r="D11" s="1"/>
      <c r="E11" s="1"/>
      <c r="F11" s="1"/>
      <c r="G11" s="1"/>
    </row>
    <row r="12" customFormat="false" ht="15" hidden="false" customHeight="false" outlineLevel="0" collapsed="false">
      <c r="A12" s="1"/>
      <c r="B12" s="9" t="s">
        <v>295</v>
      </c>
      <c r="C12" s="64" t="n">
        <f aca="false">MAX(MC_Iterations!$T$5:$T$2004)</f>
        <v>8153.07196101628</v>
      </c>
      <c r="D12" s="1"/>
      <c r="E12" s="1"/>
      <c r="F12" s="1"/>
      <c r="G12" s="1"/>
    </row>
    <row r="13" customFormat="false" ht="15" hidden="false" customHeight="false" outlineLevel="0" collapsed="false">
      <c r="A13" s="1"/>
      <c r="B13" s="9" t="s">
        <v>296</v>
      </c>
      <c r="C13" s="64" t="n">
        <f aca="false">STDEV(MC_Iterations!$T$5:$T$2004)</f>
        <v>474.368905697475</v>
      </c>
      <c r="D13" s="1"/>
      <c r="E13" s="1"/>
      <c r="F13" s="1"/>
      <c r="G13" s="1"/>
    </row>
    <row r="14" customFormat="false" ht="15" hidden="false" customHeight="false" outlineLevel="0" collapsed="false">
      <c r="A14" s="1"/>
      <c r="B14" s="9" t="s">
        <v>297</v>
      </c>
      <c r="C14" s="15" t="n">
        <f aca="false">COUNTIF(MC_Iterations!$T$5:$T$2004,"&gt;"&amp;C5)/2000</f>
        <v>0.724</v>
      </c>
      <c r="D14" s="1"/>
      <c r="E14" s="1"/>
      <c r="F14" s="1"/>
      <c r="G14" s="1"/>
    </row>
    <row r="15" customFormat="false" ht="15" hidden="false" customHeight="false" outlineLevel="0" collapsed="false">
      <c r="A15" s="1"/>
      <c r="B15" s="9" t="s">
        <v>298</v>
      </c>
      <c r="C15" s="64" t="n">
        <f aca="false">C9-C5</f>
        <v>697.505303501145</v>
      </c>
      <c r="D15" s="1"/>
      <c r="E15" s="1"/>
      <c r="F15" s="1"/>
      <c r="G15" s="1"/>
    </row>
    <row r="16" customFormat="false" ht="15" hidden="false" customHeight="false" outlineLevel="0" collapsed="false">
      <c r="A16" s="1"/>
      <c r="B16" s="9" t="s">
        <v>299</v>
      </c>
      <c r="C16" s="15" t="n">
        <f aca="false">C15/C5</f>
        <v>0.115481359794832</v>
      </c>
      <c r="D16" s="1"/>
      <c r="E16" s="1"/>
      <c r="F16" s="1"/>
      <c r="G16" s="1"/>
    </row>
    <row r="17" customFormat="false" ht="15" hidden="false" customHeight="false" outlineLevel="0" collapsed="false">
      <c r="A17" s="1"/>
      <c r="B17" s="1"/>
      <c r="C17" s="1"/>
      <c r="D17" s="1"/>
      <c r="E17" s="1"/>
      <c r="F17" s="1"/>
      <c r="G17" s="1"/>
    </row>
    <row r="18" customFormat="false" ht="15" hidden="false" customHeight="false" outlineLevel="0" collapsed="false">
      <c r="A18" s="1"/>
      <c r="B18" s="1"/>
      <c r="C18" s="1"/>
      <c r="D18" s="1"/>
      <c r="E18" s="1"/>
      <c r="F18" s="1"/>
      <c r="G18" s="1"/>
    </row>
    <row r="19" customFormat="false" ht="15" hidden="false" customHeight="false" outlineLevel="0" collapsed="false">
      <c r="A19" s="1"/>
      <c r="B19" s="16" t="s">
        <v>300</v>
      </c>
      <c r="C19" s="1"/>
      <c r="D19" s="1"/>
      <c r="E19" s="1"/>
      <c r="F19" s="1" t="s">
        <v>301</v>
      </c>
      <c r="G19" s="68" t="n">
        <f aca="false">(C12-C11)/25</f>
        <v>126.012252111266</v>
      </c>
    </row>
    <row r="20" customFormat="false" ht="15" hidden="false" customHeight="false" outlineLevel="0" collapsed="false">
      <c r="A20" s="1"/>
      <c r="B20" s="69" t="s">
        <v>302</v>
      </c>
      <c r="C20" s="69" t="s">
        <v>303</v>
      </c>
      <c r="D20" s="69" t="s">
        <v>304</v>
      </c>
      <c r="E20" s="69" t="s">
        <v>305</v>
      </c>
      <c r="F20" s="1"/>
      <c r="G20" s="1"/>
    </row>
    <row r="21" customFormat="false" ht="15" hidden="false" customHeight="false" outlineLevel="0" collapsed="false">
      <c r="A21" s="1"/>
      <c r="B21" s="68" t="n">
        <f aca="false">$C$11+1*$G$19</f>
        <v>5128.7779103459</v>
      </c>
      <c r="C21" s="70" t="n">
        <f aca="false">COUNTIFS(MC_Iterations!$T$5:$T$2004,"&lt;="&amp;B21)</f>
        <v>2</v>
      </c>
      <c r="D21" s="18" t="n">
        <f aca="false">C21/2000</f>
        <v>0.001</v>
      </c>
      <c r="E21" s="18" t="n">
        <f aca="false">SUM($C$21:C21)/2000</f>
        <v>0.001</v>
      </c>
      <c r="F21" s="1"/>
      <c r="G21" s="1"/>
    </row>
    <row r="22" customFormat="false" ht="15" hidden="false" customHeight="false" outlineLevel="0" collapsed="false">
      <c r="A22" s="1"/>
      <c r="B22" s="68" t="n">
        <f aca="false">$C$11+2*$G$19</f>
        <v>5254.79016245717</v>
      </c>
      <c r="C22" s="70" t="n">
        <f aca="false">COUNTIFS(MC_Iterations!$T$5:$T$2004,"&gt;"&amp;B21,MC_Iterations!$T$5:$T$2004,"&lt;="&amp;B22)</f>
        <v>9</v>
      </c>
      <c r="D22" s="18" t="n">
        <f aca="false">C22/2000</f>
        <v>0.0045</v>
      </c>
      <c r="E22" s="18" t="n">
        <f aca="false">SUM($C$21:C22)/2000</f>
        <v>0.0055</v>
      </c>
      <c r="F22" s="1"/>
      <c r="G22" s="1"/>
    </row>
    <row r="23" customFormat="false" ht="15" hidden="false" customHeight="false" outlineLevel="0" collapsed="false">
      <c r="A23" s="1"/>
      <c r="B23" s="68" t="n">
        <f aca="false">$C$11+3*$G$19</f>
        <v>5380.80241456843</v>
      </c>
      <c r="C23" s="70" t="n">
        <f aca="false">COUNTIFS(MC_Iterations!$T$5:$T$2004,"&gt;"&amp;B22,MC_Iterations!$T$5:$T$2004,"&lt;="&amp;B23)</f>
        <v>14</v>
      </c>
      <c r="D23" s="18" t="n">
        <f aca="false">C23/2000</f>
        <v>0.007</v>
      </c>
      <c r="E23" s="18" t="n">
        <f aca="false">SUM($C$21:C23)/2000</f>
        <v>0.0125</v>
      </c>
      <c r="F23" s="1"/>
      <c r="G23" s="1"/>
    </row>
    <row r="24" customFormat="false" ht="15" hidden="false" customHeight="false" outlineLevel="0" collapsed="false">
      <c r="A24" s="1"/>
      <c r="B24" s="68" t="n">
        <f aca="false">$C$11+4*$G$19</f>
        <v>5506.8146666797</v>
      </c>
      <c r="C24" s="70" t="n">
        <f aca="false">COUNTIFS(MC_Iterations!$T$5:$T$2004,"&gt;"&amp;B23,MC_Iterations!$T$5:$T$2004,"&lt;="&amp;B24)</f>
        <v>33</v>
      </c>
      <c r="D24" s="18" t="n">
        <f aca="false">C24/2000</f>
        <v>0.0165</v>
      </c>
      <c r="E24" s="18" t="n">
        <f aca="false">SUM($C$21:C24)/2000</f>
        <v>0.029</v>
      </c>
      <c r="F24" s="1"/>
      <c r="G24" s="1"/>
    </row>
    <row r="25" customFormat="false" ht="15" hidden="false" customHeight="false" outlineLevel="0" collapsed="false">
      <c r="A25" s="1"/>
      <c r="B25" s="68" t="n">
        <f aca="false">$C$11+5*$G$19</f>
        <v>5632.82691879097</v>
      </c>
      <c r="C25" s="70" t="n">
        <f aca="false">COUNTIFS(MC_Iterations!$T$5:$T$2004,"&gt;"&amp;B24,MC_Iterations!$T$5:$T$2004,"&lt;="&amp;B25)</f>
        <v>63</v>
      </c>
      <c r="D25" s="18" t="n">
        <f aca="false">C25/2000</f>
        <v>0.0315</v>
      </c>
      <c r="E25" s="18" t="n">
        <f aca="false">SUM($C$21:C25)/2000</f>
        <v>0.0605</v>
      </c>
      <c r="F25" s="1"/>
      <c r="G25" s="1"/>
    </row>
    <row r="26" customFormat="false" ht="15" hidden="false" customHeight="false" outlineLevel="0" collapsed="false">
      <c r="A26" s="1"/>
      <c r="B26" s="68" t="n">
        <f aca="false">$C$11+6*$G$19</f>
        <v>5758.83917090223</v>
      </c>
      <c r="C26" s="70" t="n">
        <f aca="false">COUNTIFS(MC_Iterations!$T$5:$T$2004,"&gt;"&amp;B25,MC_Iterations!$T$5:$T$2004,"&lt;="&amp;B26)</f>
        <v>101</v>
      </c>
      <c r="D26" s="18" t="n">
        <f aca="false">C26/2000</f>
        <v>0.0505</v>
      </c>
      <c r="E26" s="18" t="n">
        <f aca="false">SUM($C$21:C26)/2000</f>
        <v>0.111</v>
      </c>
      <c r="F26" s="1"/>
      <c r="G26" s="1"/>
    </row>
    <row r="27" customFormat="false" ht="15" hidden="false" customHeight="false" outlineLevel="0" collapsed="false">
      <c r="A27" s="1"/>
      <c r="B27" s="68" t="n">
        <f aca="false">$C$11+7*$G$19</f>
        <v>5884.8514230135</v>
      </c>
      <c r="C27" s="70" t="n">
        <f aca="false">COUNTIFS(MC_Iterations!$T$5:$T$2004,"&gt;"&amp;B26,MC_Iterations!$T$5:$T$2004,"&lt;="&amp;B27)</f>
        <v>129</v>
      </c>
      <c r="D27" s="18" t="n">
        <f aca="false">C27/2000</f>
        <v>0.0645</v>
      </c>
      <c r="E27" s="18" t="n">
        <f aca="false">SUM($C$21:C27)/2000</f>
        <v>0.1755</v>
      </c>
      <c r="F27" s="1"/>
      <c r="G27" s="1"/>
    </row>
    <row r="28" customFormat="false" ht="15" hidden="false" customHeight="false" outlineLevel="0" collapsed="false">
      <c r="A28" s="1"/>
      <c r="B28" s="68" t="n">
        <f aca="false">$C$11+8*$G$19</f>
        <v>6010.86367512476</v>
      </c>
      <c r="C28" s="70" t="n">
        <f aca="false">COUNTIFS(MC_Iterations!$T$5:$T$2004,"&gt;"&amp;B27,MC_Iterations!$T$5:$T$2004,"&lt;="&amp;B28)</f>
        <v>166</v>
      </c>
      <c r="D28" s="18" t="n">
        <f aca="false">C28/2000</f>
        <v>0.083</v>
      </c>
      <c r="E28" s="18" t="n">
        <f aca="false">SUM($C$21:C28)/2000</f>
        <v>0.2585</v>
      </c>
      <c r="F28" s="1"/>
      <c r="G28" s="1"/>
    </row>
    <row r="29" customFormat="false" ht="15" hidden="false" customHeight="false" outlineLevel="0" collapsed="false">
      <c r="A29" s="1"/>
      <c r="B29" s="68" t="n">
        <f aca="false">$C$11+9*$G$19</f>
        <v>6136.87592723603</v>
      </c>
      <c r="C29" s="70" t="n">
        <f aca="false">COUNTIFS(MC_Iterations!$T$5:$T$2004,"&gt;"&amp;B28,MC_Iterations!$T$5:$T$2004,"&lt;="&amp;B29)</f>
        <v>190</v>
      </c>
      <c r="D29" s="18" t="n">
        <f aca="false">C29/2000</f>
        <v>0.095</v>
      </c>
      <c r="E29" s="18" t="n">
        <f aca="false">SUM($C$21:C29)/2000</f>
        <v>0.3535</v>
      </c>
      <c r="F29" s="1"/>
      <c r="G29" s="1"/>
    </row>
    <row r="30" customFormat="false" ht="15" hidden="false" customHeight="false" outlineLevel="0" collapsed="false">
      <c r="A30" s="1"/>
      <c r="B30" s="68" t="n">
        <f aca="false">$C$11+10*$G$19</f>
        <v>6262.88817934729</v>
      </c>
      <c r="C30" s="70" t="n">
        <f aca="false">COUNTIFS(MC_Iterations!$T$5:$T$2004,"&gt;"&amp;B29,MC_Iterations!$T$5:$T$2004,"&lt;="&amp;B30)</f>
        <v>240</v>
      </c>
      <c r="D30" s="18" t="n">
        <f aca="false">C30/2000</f>
        <v>0.12</v>
      </c>
      <c r="E30" s="18" t="n">
        <f aca="false">SUM($C$21:C30)/2000</f>
        <v>0.4735</v>
      </c>
      <c r="F30" s="1"/>
      <c r="G30" s="1"/>
    </row>
    <row r="31" customFormat="false" ht="15" hidden="false" customHeight="false" outlineLevel="0" collapsed="false">
      <c r="A31" s="1"/>
      <c r="B31" s="68" t="n">
        <f aca="false">$C$11+11*$G$19</f>
        <v>6388.90043145856</v>
      </c>
      <c r="C31" s="70" t="n">
        <f aca="false">COUNTIFS(MC_Iterations!$T$5:$T$2004,"&gt;"&amp;B30,MC_Iterations!$T$5:$T$2004,"&lt;="&amp;B31)</f>
        <v>201</v>
      </c>
      <c r="D31" s="18" t="n">
        <f aca="false">C31/2000</f>
        <v>0.1005</v>
      </c>
      <c r="E31" s="18" t="n">
        <f aca="false">SUM($C$21:C31)/2000</f>
        <v>0.574</v>
      </c>
      <c r="F31" s="1"/>
      <c r="G31" s="1"/>
    </row>
    <row r="32" customFormat="false" ht="15" hidden="false" customHeight="false" outlineLevel="0" collapsed="false">
      <c r="A32" s="1"/>
      <c r="B32" s="68" t="n">
        <f aca="false">$C$11+12*$G$19</f>
        <v>6514.91268356983</v>
      </c>
      <c r="C32" s="70" t="n">
        <f aca="false">COUNTIFS(MC_Iterations!$T$5:$T$2004,"&gt;"&amp;B31,MC_Iterations!$T$5:$T$2004,"&lt;="&amp;B32)</f>
        <v>191</v>
      </c>
      <c r="D32" s="18" t="n">
        <f aca="false">C32/2000</f>
        <v>0.0955</v>
      </c>
      <c r="E32" s="18" t="n">
        <f aca="false">SUM($C$21:C32)/2000</f>
        <v>0.6695</v>
      </c>
      <c r="F32" s="1"/>
      <c r="G32" s="1"/>
    </row>
    <row r="33" customFormat="false" ht="15" hidden="false" customHeight="false" outlineLevel="0" collapsed="false">
      <c r="A33" s="1"/>
      <c r="B33" s="68" t="n">
        <f aca="false">$C$11+13*$G$19</f>
        <v>6640.92493568109</v>
      </c>
      <c r="C33" s="70" t="n">
        <f aca="false">COUNTIFS(MC_Iterations!$T$5:$T$2004,"&gt;"&amp;B32,MC_Iterations!$T$5:$T$2004,"&lt;="&amp;B33)</f>
        <v>177</v>
      </c>
      <c r="D33" s="18" t="n">
        <f aca="false">C33/2000</f>
        <v>0.0885</v>
      </c>
      <c r="E33" s="18" t="n">
        <f aca="false">SUM($C$21:C33)/2000</f>
        <v>0.758</v>
      </c>
      <c r="F33" s="1"/>
      <c r="G33" s="1"/>
    </row>
    <row r="34" customFormat="false" ht="15" hidden="false" customHeight="false" outlineLevel="0" collapsed="false">
      <c r="A34" s="1"/>
      <c r="B34" s="68" t="n">
        <f aca="false">$C$11+14*$G$19</f>
        <v>6766.93718779236</v>
      </c>
      <c r="C34" s="70" t="n">
        <f aca="false">COUNTIFS(MC_Iterations!$T$5:$T$2004,"&gt;"&amp;B33,MC_Iterations!$T$5:$T$2004,"&lt;="&amp;B34)</f>
        <v>109</v>
      </c>
      <c r="D34" s="18" t="n">
        <f aca="false">C34/2000</f>
        <v>0.0545</v>
      </c>
      <c r="E34" s="18" t="n">
        <f aca="false">SUM($C$21:C34)/2000</f>
        <v>0.8125</v>
      </c>
      <c r="F34" s="1"/>
      <c r="G34" s="1"/>
    </row>
    <row r="35" customFormat="false" ht="15" hidden="false" customHeight="false" outlineLevel="0" collapsed="false">
      <c r="A35" s="1"/>
      <c r="B35" s="68" t="n">
        <f aca="false">$C$11+15*$G$19</f>
        <v>6892.94943990362</v>
      </c>
      <c r="C35" s="70" t="n">
        <f aca="false">COUNTIFS(MC_Iterations!$T$5:$T$2004,"&gt;"&amp;B34,MC_Iterations!$T$5:$T$2004,"&lt;="&amp;B35)</f>
        <v>107</v>
      </c>
      <c r="D35" s="18" t="n">
        <f aca="false">C35/2000</f>
        <v>0.0535</v>
      </c>
      <c r="E35" s="18" t="n">
        <f aca="false">SUM($C$21:C35)/2000</f>
        <v>0.866</v>
      </c>
      <c r="F35" s="1"/>
      <c r="G35" s="1"/>
    </row>
    <row r="36" customFormat="false" ht="15" hidden="false" customHeight="false" outlineLevel="0" collapsed="false">
      <c r="A36" s="1"/>
      <c r="B36" s="68" t="n">
        <f aca="false">$C$11+16*$G$19</f>
        <v>7018.96169201489</v>
      </c>
      <c r="C36" s="70" t="n">
        <f aca="false">COUNTIFS(MC_Iterations!$T$5:$T$2004,"&gt;"&amp;B35,MC_Iterations!$T$5:$T$2004,"&lt;="&amp;B36)</f>
        <v>89</v>
      </c>
      <c r="D36" s="18" t="n">
        <f aca="false">C36/2000</f>
        <v>0.0445</v>
      </c>
      <c r="E36" s="18" t="n">
        <f aca="false">SUM($C$21:C36)/2000</f>
        <v>0.9105</v>
      </c>
      <c r="F36" s="1"/>
      <c r="G36" s="1"/>
    </row>
    <row r="37" customFormat="false" ht="15" hidden="false" customHeight="false" outlineLevel="0" collapsed="false">
      <c r="A37" s="1"/>
      <c r="B37" s="68" t="n">
        <f aca="false">$C$11+17*$G$19</f>
        <v>7144.97394412615</v>
      </c>
      <c r="C37" s="70" t="n">
        <f aca="false">COUNTIFS(MC_Iterations!$T$5:$T$2004,"&gt;"&amp;B36,MC_Iterations!$T$5:$T$2004,"&lt;="&amp;B37)</f>
        <v>69</v>
      </c>
      <c r="D37" s="18" t="n">
        <f aca="false">C37/2000</f>
        <v>0.0345</v>
      </c>
      <c r="E37" s="18" t="n">
        <f aca="false">SUM($C$21:C37)/2000</f>
        <v>0.945</v>
      </c>
      <c r="F37" s="1"/>
      <c r="G37" s="1"/>
    </row>
    <row r="38" customFormat="false" ht="15" hidden="false" customHeight="false" outlineLevel="0" collapsed="false">
      <c r="A38" s="1"/>
      <c r="B38" s="68" t="n">
        <f aca="false">$C$11+18*$G$19</f>
        <v>7270.98619623742</v>
      </c>
      <c r="C38" s="70" t="n">
        <f aca="false">COUNTIFS(MC_Iterations!$T$5:$T$2004,"&gt;"&amp;B37,MC_Iterations!$T$5:$T$2004,"&lt;="&amp;B38)</f>
        <v>57</v>
      </c>
      <c r="D38" s="18" t="n">
        <f aca="false">C38/2000</f>
        <v>0.0285</v>
      </c>
      <c r="E38" s="18" t="n">
        <f aca="false">SUM($C$21:C38)/2000</f>
        <v>0.9735</v>
      </c>
      <c r="F38" s="1"/>
      <c r="G38" s="1"/>
    </row>
    <row r="39" customFormat="false" ht="15" hidden="false" customHeight="false" outlineLevel="0" collapsed="false">
      <c r="A39" s="1"/>
      <c r="B39" s="68" t="n">
        <f aca="false">$C$11+19*$G$19</f>
        <v>7396.99844834869</v>
      </c>
      <c r="C39" s="70" t="n">
        <f aca="false">COUNTIFS(MC_Iterations!$T$5:$T$2004,"&gt;"&amp;B38,MC_Iterations!$T$5:$T$2004,"&lt;="&amp;B39)</f>
        <v>23</v>
      </c>
      <c r="D39" s="18" t="n">
        <f aca="false">C39/2000</f>
        <v>0.0115</v>
      </c>
      <c r="E39" s="18" t="n">
        <f aca="false">SUM($C$21:C39)/2000</f>
        <v>0.985</v>
      </c>
      <c r="F39" s="1"/>
      <c r="G39" s="1"/>
    </row>
    <row r="40" customFormat="false" ht="15" hidden="false" customHeight="false" outlineLevel="0" collapsed="false">
      <c r="A40" s="1"/>
      <c r="B40" s="68" t="n">
        <f aca="false">$C$11+20*$G$19</f>
        <v>7523.01070045995</v>
      </c>
      <c r="C40" s="70" t="n">
        <f aca="false">COUNTIFS(MC_Iterations!$T$5:$T$2004,"&gt;"&amp;B39,MC_Iterations!$T$5:$T$2004,"&lt;="&amp;B40)</f>
        <v>16</v>
      </c>
      <c r="D40" s="18" t="n">
        <f aca="false">C40/2000</f>
        <v>0.008</v>
      </c>
      <c r="E40" s="18" t="n">
        <f aca="false">SUM($C$21:C40)/2000</f>
        <v>0.993</v>
      </c>
      <c r="F40" s="1"/>
      <c r="G40" s="1"/>
    </row>
    <row r="41" customFormat="false" ht="15" hidden="false" customHeight="false" outlineLevel="0" collapsed="false">
      <c r="A41" s="1"/>
      <c r="B41" s="68" t="n">
        <f aca="false">$C$11+21*$G$19</f>
        <v>7649.02295257122</v>
      </c>
      <c r="C41" s="70" t="n">
        <f aca="false">COUNTIFS(MC_Iterations!$T$5:$T$2004,"&gt;"&amp;B40,MC_Iterations!$T$5:$T$2004,"&lt;="&amp;B41)</f>
        <v>3</v>
      </c>
      <c r="D41" s="18" t="n">
        <f aca="false">C41/2000</f>
        <v>0.0015</v>
      </c>
      <c r="E41" s="18" t="n">
        <f aca="false">SUM($C$21:C41)/2000</f>
        <v>0.9945</v>
      </c>
      <c r="F41" s="1"/>
      <c r="G41" s="1"/>
    </row>
    <row r="42" customFormat="false" ht="15" hidden="false" customHeight="false" outlineLevel="0" collapsed="false">
      <c r="A42" s="1"/>
      <c r="B42" s="68" t="n">
        <f aca="false">$C$11+22*$G$19</f>
        <v>7775.03520468248</v>
      </c>
      <c r="C42" s="70" t="n">
        <f aca="false">COUNTIFS(MC_Iterations!$T$5:$T$2004,"&gt;"&amp;B41,MC_Iterations!$T$5:$T$2004,"&lt;="&amp;B42)</f>
        <v>4</v>
      </c>
      <c r="D42" s="18" t="n">
        <f aca="false">C42/2000</f>
        <v>0.002</v>
      </c>
      <c r="E42" s="18" t="n">
        <f aca="false">SUM($C$21:C42)/2000</f>
        <v>0.9965</v>
      </c>
      <c r="F42" s="1"/>
      <c r="G42" s="1"/>
    </row>
    <row r="43" customFormat="false" ht="15" hidden="false" customHeight="false" outlineLevel="0" collapsed="false">
      <c r="A43" s="1"/>
      <c r="B43" s="68" t="n">
        <f aca="false">$C$11+23*$G$19</f>
        <v>7901.04745679375</v>
      </c>
      <c r="C43" s="70" t="n">
        <f aca="false">COUNTIFS(MC_Iterations!$T$5:$T$2004,"&gt;"&amp;B42,MC_Iterations!$T$5:$T$2004,"&lt;="&amp;B43)</f>
        <v>5</v>
      </c>
      <c r="D43" s="18" t="n">
        <f aca="false">C43/2000</f>
        <v>0.0025</v>
      </c>
      <c r="E43" s="18" t="n">
        <f aca="false">SUM($C$21:C43)/2000</f>
        <v>0.999</v>
      </c>
      <c r="F43" s="1"/>
      <c r="G43" s="1"/>
    </row>
    <row r="44" customFormat="false" ht="15" hidden="false" customHeight="false" outlineLevel="0" collapsed="false">
      <c r="A44" s="1"/>
      <c r="B44" s="68" t="n">
        <f aca="false">$C$11+24*$G$19</f>
        <v>8027.05970890501</v>
      </c>
      <c r="C44" s="70" t="n">
        <f aca="false">COUNTIFS(MC_Iterations!$T$5:$T$2004,"&gt;"&amp;B43,MC_Iterations!$T$5:$T$2004,"&lt;="&amp;B44)</f>
        <v>1</v>
      </c>
      <c r="D44" s="18" t="n">
        <f aca="false">C44/2000</f>
        <v>0.0005</v>
      </c>
      <c r="E44" s="18" t="n">
        <f aca="false">SUM($C$21:C44)/2000</f>
        <v>0.9995</v>
      </c>
      <c r="F44" s="1"/>
      <c r="G44" s="1"/>
    </row>
    <row r="45" customFormat="false" ht="15" hidden="false" customHeight="false" outlineLevel="0" collapsed="false">
      <c r="A45" s="1"/>
      <c r="B45" s="68" t="n">
        <f aca="false">$C$11+25*$G$19</f>
        <v>8153.07196101628</v>
      </c>
      <c r="C45" s="70" t="n">
        <f aca="false">COUNTIFS(MC_Iterations!$T$5:$T$2004,"&gt;"&amp;B44)</f>
        <v>1</v>
      </c>
      <c r="D45" s="18" t="n">
        <f aca="false">C45/2000</f>
        <v>0.0005</v>
      </c>
      <c r="E45" s="18" t="n">
        <f aca="false">SUM($C$21:C45)/2000</f>
        <v>1</v>
      </c>
      <c r="F45" s="1"/>
      <c r="G45"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2"/>
    <col collapsed="false" customWidth="true" hidden="false" outlineLevel="0" max="50" min="4" style="0" width="8.5"/>
  </cols>
  <sheetData>
    <row r="1" customFormat="false" ht="17.35" hidden="false" customHeight="false" outlineLevel="0" collapsed="false">
      <c r="A1" s="6" t="s">
        <v>306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customFormat="false" ht="15" hidden="false" customHeight="false" outlineLevel="0" collapsed="false">
      <c r="A2" s="7" t="s">
        <v>307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customFormat="false" ht="15" hidden="false" customHeight="false" outlineLevel="0" collapsed="false">
      <c r="A4" s="8" t="s">
        <v>308</v>
      </c>
      <c r="B4" s="8" t="s">
        <v>309</v>
      </c>
      <c r="C4" s="8" t="s">
        <v>55</v>
      </c>
      <c r="D4" s="71" t="n">
        <v>2019</v>
      </c>
      <c r="E4" s="71" t="n">
        <v>2020</v>
      </c>
      <c r="F4" s="71" t="n">
        <v>2021</v>
      </c>
      <c r="G4" s="71" t="n">
        <v>2022</v>
      </c>
      <c r="H4" s="71" t="n">
        <v>2023</v>
      </c>
      <c r="I4" s="71" t="n">
        <v>2024</v>
      </c>
      <c r="J4" s="71" t="n">
        <v>2025</v>
      </c>
      <c r="K4" s="71" t="n">
        <v>2026</v>
      </c>
      <c r="L4" s="71" t="n">
        <v>2027</v>
      </c>
      <c r="M4" s="71" t="n">
        <v>2028</v>
      </c>
      <c r="N4" s="71" t="n">
        <v>2029</v>
      </c>
      <c r="O4" s="71" t="n">
        <v>2030</v>
      </c>
      <c r="P4" s="71" t="n">
        <v>2031</v>
      </c>
      <c r="Q4" s="71" t="n">
        <v>2032</v>
      </c>
      <c r="R4" s="71" t="n">
        <v>2033</v>
      </c>
      <c r="S4" s="71" t="n">
        <v>2034</v>
      </c>
      <c r="T4" s="71" t="n">
        <v>2035</v>
      </c>
      <c r="U4" s="71" t="n">
        <v>2036</v>
      </c>
      <c r="V4" s="71" t="n">
        <v>2037</v>
      </c>
      <c r="W4" s="71" t="n">
        <v>2038</v>
      </c>
      <c r="X4" s="71" t="n">
        <v>2039</v>
      </c>
      <c r="Y4" s="71" t="n">
        <v>2040</v>
      </c>
      <c r="Z4" s="71" t="n">
        <v>2041</v>
      </c>
      <c r="AA4" s="71" t="n">
        <v>2042</v>
      </c>
      <c r="AB4" s="71" t="n">
        <v>2043</v>
      </c>
      <c r="AC4" s="71" t="n">
        <v>2044</v>
      </c>
      <c r="AD4" s="71" t="n">
        <v>2045</v>
      </c>
      <c r="AE4" s="71" t="n">
        <v>2046</v>
      </c>
      <c r="AF4" s="71" t="n">
        <v>2047</v>
      </c>
      <c r="AG4" s="71" t="n">
        <v>2048</v>
      </c>
      <c r="AH4" s="71" t="n">
        <v>2049</v>
      </c>
      <c r="AI4" s="71" t="n">
        <v>2050</v>
      </c>
      <c r="AJ4" s="71" t="n">
        <v>2051</v>
      </c>
      <c r="AK4" s="71" t="n">
        <v>2052</v>
      </c>
      <c r="AL4" s="71" t="n">
        <v>2053</v>
      </c>
      <c r="AM4" s="71" t="n">
        <v>2054</v>
      </c>
      <c r="AN4" s="71" t="n">
        <v>2055</v>
      </c>
      <c r="AO4" s="71" t="n">
        <v>2056</v>
      </c>
      <c r="AP4" s="71" t="n">
        <v>2057</v>
      </c>
      <c r="AQ4" s="71" t="n">
        <v>2058</v>
      </c>
      <c r="AR4" s="71" t="n">
        <v>2059</v>
      </c>
      <c r="AS4" s="71" t="n">
        <v>2060</v>
      </c>
      <c r="AT4" s="71" t="n">
        <v>2061</v>
      </c>
      <c r="AU4" s="71" t="n">
        <v>2062</v>
      </c>
      <c r="AV4" s="71" t="n">
        <v>2063</v>
      </c>
      <c r="AW4" s="71" t="n">
        <v>2064</v>
      </c>
      <c r="AX4" s="71" t="n">
        <v>2065</v>
      </c>
    </row>
    <row r="5" customFormat="false" ht="15" hidden="false" customHeight="false" outlineLevel="0" collapsed="false">
      <c r="A5" s="16" t="s">
        <v>310</v>
      </c>
      <c r="B5" s="1"/>
      <c r="C5" s="72" t="n">
        <f aca="false">SUM(D5:AX5)</f>
        <v>1</v>
      </c>
      <c r="D5" s="73" t="n">
        <v>0.02</v>
      </c>
      <c r="E5" s="73" t="n">
        <v>0.04</v>
      </c>
      <c r="F5" s="73" t="n">
        <v>0.08</v>
      </c>
      <c r="G5" s="73" t="n">
        <v>0.1</v>
      </c>
      <c r="H5" s="73" t="n">
        <v>0.12</v>
      </c>
      <c r="I5" s="73" t="n">
        <v>0.13</v>
      </c>
      <c r="J5" s="73" t="n">
        <v>0.13</v>
      </c>
      <c r="K5" s="73" t="n">
        <v>0.12</v>
      </c>
      <c r="L5" s="73" t="n">
        <v>0.09</v>
      </c>
      <c r="M5" s="73" t="n">
        <v>0.07</v>
      </c>
      <c r="N5" s="73" t="n">
        <v>0.05</v>
      </c>
      <c r="O5" s="73" t="n">
        <v>0.03</v>
      </c>
      <c r="P5" s="73" t="n">
        <v>0.02</v>
      </c>
      <c r="Q5" s="73" t="n">
        <v>0</v>
      </c>
      <c r="R5" s="73" t="n">
        <v>0</v>
      </c>
      <c r="S5" s="73" t="n">
        <v>0</v>
      </c>
      <c r="T5" s="73" t="n">
        <v>0</v>
      </c>
      <c r="U5" s="73" t="n">
        <v>0</v>
      </c>
      <c r="V5" s="73" t="n">
        <v>0</v>
      </c>
      <c r="W5" s="73" t="n">
        <v>0</v>
      </c>
      <c r="X5" s="73" t="n">
        <v>0</v>
      </c>
      <c r="Y5" s="73" t="n">
        <v>0</v>
      </c>
      <c r="Z5" s="73" t="n">
        <v>0</v>
      </c>
      <c r="AA5" s="73" t="n">
        <v>0</v>
      </c>
      <c r="AB5" s="73" t="n">
        <v>0</v>
      </c>
      <c r="AC5" s="73" t="n">
        <v>0</v>
      </c>
      <c r="AD5" s="73" t="n">
        <v>0</v>
      </c>
      <c r="AE5" s="73" t="n">
        <v>0</v>
      </c>
      <c r="AF5" s="73" t="n">
        <v>0</v>
      </c>
      <c r="AG5" s="73" t="n">
        <v>0</v>
      </c>
      <c r="AH5" s="73" t="n">
        <v>0</v>
      </c>
      <c r="AI5" s="73" t="n">
        <v>0</v>
      </c>
      <c r="AJ5" s="73" t="n">
        <v>0</v>
      </c>
      <c r="AK5" s="73" t="n">
        <v>0</v>
      </c>
      <c r="AL5" s="73" t="n">
        <v>0</v>
      </c>
      <c r="AM5" s="73" t="n">
        <v>0</v>
      </c>
      <c r="AN5" s="73" t="n">
        <v>0</v>
      </c>
      <c r="AO5" s="73" t="n">
        <v>0</v>
      </c>
      <c r="AP5" s="73" t="n">
        <v>0</v>
      </c>
      <c r="AQ5" s="73" t="n">
        <v>0</v>
      </c>
      <c r="AR5" s="73" t="n">
        <v>0</v>
      </c>
      <c r="AS5" s="73" t="n">
        <v>0</v>
      </c>
      <c r="AT5" s="73" t="n">
        <v>0</v>
      </c>
      <c r="AU5" s="73" t="n">
        <v>0</v>
      </c>
      <c r="AV5" s="73" t="n">
        <v>0</v>
      </c>
      <c r="AW5" s="73" t="n">
        <v>0</v>
      </c>
      <c r="AX5" s="73" t="n">
        <v>0</v>
      </c>
    </row>
    <row r="6" customFormat="false" ht="15" hidden="false" customHeight="fals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customFormat="false" ht="15" hidden="false" customHeight="false" outlineLevel="0" collapsed="false">
      <c r="A7" s="30" t="s">
        <v>311</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customFormat="false" ht="15" hidden="false" customHeight="false" outlineLevel="0" collapsed="false">
      <c r="A8" s="1" t="s">
        <v>312</v>
      </c>
      <c r="B8" s="74" t="n">
        <f aca="false">Inputs!$E$6+0*Inputs!$E$7</f>
        <v>2027</v>
      </c>
      <c r="C8" s="70" t="n">
        <f aca="false">SUM(D8:AX8)</f>
        <v>25</v>
      </c>
      <c r="D8" s="75" t="n">
        <f aca="false">IF(AND(D$4&gt;=$B8,D$4&lt;$B8+Inputs!$E$8,1&lt;=Inputs!$E$5),1,0)</f>
        <v>0</v>
      </c>
      <c r="E8" s="75" t="n">
        <f aca="false">IF(AND(E$4&gt;=$B8,E$4&lt;$B8+Inputs!$E$8,1&lt;=Inputs!$E$5),1,0)</f>
        <v>0</v>
      </c>
      <c r="F8" s="75" t="n">
        <f aca="false">IF(AND(F$4&gt;=$B8,F$4&lt;$B8+Inputs!$E$8,1&lt;=Inputs!$E$5),1,0)</f>
        <v>0</v>
      </c>
      <c r="G8" s="75" t="n">
        <f aca="false">IF(AND(G$4&gt;=$B8,G$4&lt;$B8+Inputs!$E$8,1&lt;=Inputs!$E$5),1,0)</f>
        <v>0</v>
      </c>
      <c r="H8" s="75" t="n">
        <f aca="false">IF(AND(H$4&gt;=$B8,H$4&lt;$B8+Inputs!$E$8,1&lt;=Inputs!$E$5),1,0)</f>
        <v>0</v>
      </c>
      <c r="I8" s="75" t="n">
        <f aca="false">IF(AND(I$4&gt;=$B8,I$4&lt;$B8+Inputs!$E$8,1&lt;=Inputs!$E$5),1,0)</f>
        <v>0</v>
      </c>
      <c r="J8" s="75" t="n">
        <f aca="false">IF(AND(J$4&gt;=$B8,J$4&lt;$B8+Inputs!$E$8,1&lt;=Inputs!$E$5),1,0)</f>
        <v>0</v>
      </c>
      <c r="K8" s="75" t="n">
        <f aca="false">IF(AND(K$4&gt;=$B8,K$4&lt;$B8+Inputs!$E$8,1&lt;=Inputs!$E$5),1,0)</f>
        <v>0</v>
      </c>
      <c r="L8" s="75" t="n">
        <f aca="false">IF(AND(L$4&gt;=$B8,L$4&lt;$B8+Inputs!$E$8,1&lt;=Inputs!$E$5),1,0)</f>
        <v>1</v>
      </c>
      <c r="M8" s="75" t="n">
        <f aca="false">IF(AND(M$4&gt;=$B8,M$4&lt;$B8+Inputs!$E$8,1&lt;=Inputs!$E$5),1,0)</f>
        <v>1</v>
      </c>
      <c r="N8" s="75" t="n">
        <f aca="false">IF(AND(N$4&gt;=$B8,N$4&lt;$B8+Inputs!$E$8,1&lt;=Inputs!$E$5),1,0)</f>
        <v>1</v>
      </c>
      <c r="O8" s="75" t="n">
        <f aca="false">IF(AND(O$4&gt;=$B8,O$4&lt;$B8+Inputs!$E$8,1&lt;=Inputs!$E$5),1,0)</f>
        <v>1</v>
      </c>
      <c r="P8" s="75" t="n">
        <f aca="false">IF(AND(P$4&gt;=$B8,P$4&lt;$B8+Inputs!$E$8,1&lt;=Inputs!$E$5),1,0)</f>
        <v>1</v>
      </c>
      <c r="Q8" s="75" t="n">
        <f aca="false">IF(AND(Q$4&gt;=$B8,Q$4&lt;$B8+Inputs!$E$8,1&lt;=Inputs!$E$5),1,0)</f>
        <v>1</v>
      </c>
      <c r="R8" s="75" t="n">
        <f aca="false">IF(AND(R$4&gt;=$B8,R$4&lt;$B8+Inputs!$E$8,1&lt;=Inputs!$E$5),1,0)</f>
        <v>1</v>
      </c>
      <c r="S8" s="75" t="n">
        <f aca="false">IF(AND(S$4&gt;=$B8,S$4&lt;$B8+Inputs!$E$8,1&lt;=Inputs!$E$5),1,0)</f>
        <v>1</v>
      </c>
      <c r="T8" s="75" t="n">
        <f aca="false">IF(AND(T$4&gt;=$B8,T$4&lt;$B8+Inputs!$E$8,1&lt;=Inputs!$E$5),1,0)</f>
        <v>1</v>
      </c>
      <c r="U8" s="75" t="n">
        <f aca="false">IF(AND(U$4&gt;=$B8,U$4&lt;$B8+Inputs!$E$8,1&lt;=Inputs!$E$5),1,0)</f>
        <v>1</v>
      </c>
      <c r="V8" s="75" t="n">
        <f aca="false">IF(AND(V$4&gt;=$B8,V$4&lt;$B8+Inputs!$E$8,1&lt;=Inputs!$E$5),1,0)</f>
        <v>1</v>
      </c>
      <c r="W8" s="75" t="n">
        <f aca="false">IF(AND(W$4&gt;=$B8,W$4&lt;$B8+Inputs!$E$8,1&lt;=Inputs!$E$5),1,0)</f>
        <v>1</v>
      </c>
      <c r="X8" s="75" t="n">
        <f aca="false">IF(AND(X$4&gt;=$B8,X$4&lt;$B8+Inputs!$E$8,1&lt;=Inputs!$E$5),1,0)</f>
        <v>1</v>
      </c>
      <c r="Y8" s="75" t="n">
        <f aca="false">IF(AND(Y$4&gt;=$B8,Y$4&lt;$B8+Inputs!$E$8,1&lt;=Inputs!$E$5),1,0)</f>
        <v>1</v>
      </c>
      <c r="Z8" s="75" t="n">
        <f aca="false">IF(AND(Z$4&gt;=$B8,Z$4&lt;$B8+Inputs!$E$8,1&lt;=Inputs!$E$5),1,0)</f>
        <v>1</v>
      </c>
      <c r="AA8" s="75" t="n">
        <f aca="false">IF(AND(AA$4&gt;=$B8,AA$4&lt;$B8+Inputs!$E$8,1&lt;=Inputs!$E$5),1,0)</f>
        <v>1</v>
      </c>
      <c r="AB8" s="75" t="n">
        <f aca="false">IF(AND(AB$4&gt;=$B8,AB$4&lt;$B8+Inputs!$E$8,1&lt;=Inputs!$E$5),1,0)</f>
        <v>1</v>
      </c>
      <c r="AC8" s="75" t="n">
        <f aca="false">IF(AND(AC$4&gt;=$B8,AC$4&lt;$B8+Inputs!$E$8,1&lt;=Inputs!$E$5),1,0)</f>
        <v>1</v>
      </c>
      <c r="AD8" s="75" t="n">
        <f aca="false">IF(AND(AD$4&gt;=$B8,AD$4&lt;$B8+Inputs!$E$8,1&lt;=Inputs!$E$5),1,0)</f>
        <v>1</v>
      </c>
      <c r="AE8" s="75" t="n">
        <f aca="false">IF(AND(AE$4&gt;=$B8,AE$4&lt;$B8+Inputs!$E$8,1&lt;=Inputs!$E$5),1,0)</f>
        <v>1</v>
      </c>
      <c r="AF8" s="75" t="n">
        <f aca="false">IF(AND(AF$4&gt;=$B8,AF$4&lt;$B8+Inputs!$E$8,1&lt;=Inputs!$E$5),1,0)</f>
        <v>1</v>
      </c>
      <c r="AG8" s="75" t="n">
        <f aca="false">IF(AND(AG$4&gt;=$B8,AG$4&lt;$B8+Inputs!$E$8,1&lt;=Inputs!$E$5),1,0)</f>
        <v>1</v>
      </c>
      <c r="AH8" s="75" t="n">
        <f aca="false">IF(AND(AH$4&gt;=$B8,AH$4&lt;$B8+Inputs!$E$8,1&lt;=Inputs!$E$5),1,0)</f>
        <v>1</v>
      </c>
      <c r="AI8" s="75" t="n">
        <f aca="false">IF(AND(AI$4&gt;=$B8,AI$4&lt;$B8+Inputs!$E$8,1&lt;=Inputs!$E$5),1,0)</f>
        <v>1</v>
      </c>
      <c r="AJ8" s="75" t="n">
        <f aca="false">IF(AND(AJ$4&gt;=$B8,AJ$4&lt;$B8+Inputs!$E$8,1&lt;=Inputs!$E$5),1,0)</f>
        <v>1</v>
      </c>
      <c r="AK8" s="75" t="n">
        <f aca="false">IF(AND(AK$4&gt;=$B8,AK$4&lt;$B8+Inputs!$E$8,1&lt;=Inputs!$E$5),1,0)</f>
        <v>0</v>
      </c>
      <c r="AL8" s="75" t="n">
        <f aca="false">IF(AND(AL$4&gt;=$B8,AL$4&lt;$B8+Inputs!$E$8,1&lt;=Inputs!$E$5),1,0)</f>
        <v>0</v>
      </c>
      <c r="AM8" s="75" t="n">
        <f aca="false">IF(AND(AM$4&gt;=$B8,AM$4&lt;$B8+Inputs!$E$8,1&lt;=Inputs!$E$5),1,0)</f>
        <v>0</v>
      </c>
      <c r="AN8" s="75" t="n">
        <f aca="false">IF(AND(AN$4&gt;=$B8,AN$4&lt;$B8+Inputs!$E$8,1&lt;=Inputs!$E$5),1,0)</f>
        <v>0</v>
      </c>
      <c r="AO8" s="75" t="n">
        <f aca="false">IF(AND(AO$4&gt;=$B8,AO$4&lt;$B8+Inputs!$E$8,1&lt;=Inputs!$E$5),1,0)</f>
        <v>0</v>
      </c>
      <c r="AP8" s="75" t="n">
        <f aca="false">IF(AND(AP$4&gt;=$B8,AP$4&lt;$B8+Inputs!$E$8,1&lt;=Inputs!$E$5),1,0)</f>
        <v>0</v>
      </c>
      <c r="AQ8" s="75" t="n">
        <f aca="false">IF(AND(AQ$4&gt;=$B8,AQ$4&lt;$B8+Inputs!$E$8,1&lt;=Inputs!$E$5),1,0)</f>
        <v>0</v>
      </c>
      <c r="AR8" s="75" t="n">
        <f aca="false">IF(AND(AR$4&gt;=$B8,AR$4&lt;$B8+Inputs!$E$8,1&lt;=Inputs!$E$5),1,0)</f>
        <v>0</v>
      </c>
      <c r="AS8" s="75" t="n">
        <f aca="false">IF(AND(AS$4&gt;=$B8,AS$4&lt;$B8+Inputs!$E$8,1&lt;=Inputs!$E$5),1,0)</f>
        <v>0</v>
      </c>
      <c r="AT8" s="75" t="n">
        <f aca="false">IF(AND(AT$4&gt;=$B8,AT$4&lt;$B8+Inputs!$E$8,1&lt;=Inputs!$E$5),1,0)</f>
        <v>0</v>
      </c>
      <c r="AU8" s="75" t="n">
        <f aca="false">IF(AND(AU$4&gt;=$B8,AU$4&lt;$B8+Inputs!$E$8,1&lt;=Inputs!$E$5),1,0)</f>
        <v>0</v>
      </c>
      <c r="AV8" s="75" t="n">
        <f aca="false">IF(AND(AV$4&gt;=$B8,AV$4&lt;$B8+Inputs!$E$8,1&lt;=Inputs!$E$5),1,0)</f>
        <v>0</v>
      </c>
      <c r="AW8" s="75" t="n">
        <f aca="false">IF(AND(AW$4&gt;=$B8,AW$4&lt;$B8+Inputs!$E$8,1&lt;=Inputs!$E$5),1,0)</f>
        <v>0</v>
      </c>
      <c r="AX8" s="75" t="n">
        <f aca="false">IF(AND(AX$4&gt;=$B8,AX$4&lt;$B8+Inputs!$E$8,1&lt;=Inputs!$E$5),1,0)</f>
        <v>0</v>
      </c>
    </row>
    <row r="9" customFormat="false" ht="15" hidden="false" customHeight="false" outlineLevel="0" collapsed="false">
      <c r="A9" s="1" t="s">
        <v>313</v>
      </c>
      <c r="B9" s="74" t="n">
        <f aca="false">Inputs!$E$6+1*Inputs!$E$7</f>
        <v>2028</v>
      </c>
      <c r="C9" s="70" t="n">
        <f aca="false">SUM(D9:AX9)</f>
        <v>25</v>
      </c>
      <c r="D9" s="75" t="n">
        <f aca="false">IF(AND(D$4&gt;=$B9,D$4&lt;$B9+Inputs!$E$8,2&lt;=Inputs!$E$5),1,0)</f>
        <v>0</v>
      </c>
      <c r="E9" s="75" t="n">
        <f aca="false">IF(AND(E$4&gt;=$B9,E$4&lt;$B9+Inputs!$E$8,2&lt;=Inputs!$E$5),1,0)</f>
        <v>0</v>
      </c>
      <c r="F9" s="75" t="n">
        <f aca="false">IF(AND(F$4&gt;=$B9,F$4&lt;$B9+Inputs!$E$8,2&lt;=Inputs!$E$5),1,0)</f>
        <v>0</v>
      </c>
      <c r="G9" s="75" t="n">
        <f aca="false">IF(AND(G$4&gt;=$B9,G$4&lt;$B9+Inputs!$E$8,2&lt;=Inputs!$E$5),1,0)</f>
        <v>0</v>
      </c>
      <c r="H9" s="75" t="n">
        <f aca="false">IF(AND(H$4&gt;=$B9,H$4&lt;$B9+Inputs!$E$8,2&lt;=Inputs!$E$5),1,0)</f>
        <v>0</v>
      </c>
      <c r="I9" s="75" t="n">
        <f aca="false">IF(AND(I$4&gt;=$B9,I$4&lt;$B9+Inputs!$E$8,2&lt;=Inputs!$E$5),1,0)</f>
        <v>0</v>
      </c>
      <c r="J9" s="75" t="n">
        <f aca="false">IF(AND(J$4&gt;=$B9,J$4&lt;$B9+Inputs!$E$8,2&lt;=Inputs!$E$5),1,0)</f>
        <v>0</v>
      </c>
      <c r="K9" s="75" t="n">
        <f aca="false">IF(AND(K$4&gt;=$B9,K$4&lt;$B9+Inputs!$E$8,2&lt;=Inputs!$E$5),1,0)</f>
        <v>0</v>
      </c>
      <c r="L9" s="75" t="n">
        <f aca="false">IF(AND(L$4&gt;=$B9,L$4&lt;$B9+Inputs!$E$8,2&lt;=Inputs!$E$5),1,0)</f>
        <v>0</v>
      </c>
      <c r="M9" s="75" t="n">
        <f aca="false">IF(AND(M$4&gt;=$B9,M$4&lt;$B9+Inputs!$E$8,2&lt;=Inputs!$E$5),1,0)</f>
        <v>1</v>
      </c>
      <c r="N9" s="75" t="n">
        <f aca="false">IF(AND(N$4&gt;=$B9,N$4&lt;$B9+Inputs!$E$8,2&lt;=Inputs!$E$5),1,0)</f>
        <v>1</v>
      </c>
      <c r="O9" s="75" t="n">
        <f aca="false">IF(AND(O$4&gt;=$B9,O$4&lt;$B9+Inputs!$E$8,2&lt;=Inputs!$E$5),1,0)</f>
        <v>1</v>
      </c>
      <c r="P9" s="75" t="n">
        <f aca="false">IF(AND(P$4&gt;=$B9,P$4&lt;$B9+Inputs!$E$8,2&lt;=Inputs!$E$5),1,0)</f>
        <v>1</v>
      </c>
      <c r="Q9" s="75" t="n">
        <f aca="false">IF(AND(Q$4&gt;=$B9,Q$4&lt;$B9+Inputs!$E$8,2&lt;=Inputs!$E$5),1,0)</f>
        <v>1</v>
      </c>
      <c r="R9" s="75" t="n">
        <f aca="false">IF(AND(R$4&gt;=$B9,R$4&lt;$B9+Inputs!$E$8,2&lt;=Inputs!$E$5),1,0)</f>
        <v>1</v>
      </c>
      <c r="S9" s="75" t="n">
        <f aca="false">IF(AND(S$4&gt;=$B9,S$4&lt;$B9+Inputs!$E$8,2&lt;=Inputs!$E$5),1,0)</f>
        <v>1</v>
      </c>
      <c r="T9" s="75" t="n">
        <f aca="false">IF(AND(T$4&gt;=$B9,T$4&lt;$B9+Inputs!$E$8,2&lt;=Inputs!$E$5),1,0)</f>
        <v>1</v>
      </c>
      <c r="U9" s="75" t="n">
        <f aca="false">IF(AND(U$4&gt;=$B9,U$4&lt;$B9+Inputs!$E$8,2&lt;=Inputs!$E$5),1,0)</f>
        <v>1</v>
      </c>
      <c r="V9" s="75" t="n">
        <f aca="false">IF(AND(V$4&gt;=$B9,V$4&lt;$B9+Inputs!$E$8,2&lt;=Inputs!$E$5),1,0)</f>
        <v>1</v>
      </c>
      <c r="W9" s="75" t="n">
        <f aca="false">IF(AND(W$4&gt;=$B9,W$4&lt;$B9+Inputs!$E$8,2&lt;=Inputs!$E$5),1,0)</f>
        <v>1</v>
      </c>
      <c r="X9" s="75" t="n">
        <f aca="false">IF(AND(X$4&gt;=$B9,X$4&lt;$B9+Inputs!$E$8,2&lt;=Inputs!$E$5),1,0)</f>
        <v>1</v>
      </c>
      <c r="Y9" s="75" t="n">
        <f aca="false">IF(AND(Y$4&gt;=$B9,Y$4&lt;$B9+Inputs!$E$8,2&lt;=Inputs!$E$5),1,0)</f>
        <v>1</v>
      </c>
      <c r="Z9" s="75" t="n">
        <f aca="false">IF(AND(Z$4&gt;=$B9,Z$4&lt;$B9+Inputs!$E$8,2&lt;=Inputs!$E$5),1,0)</f>
        <v>1</v>
      </c>
      <c r="AA9" s="75" t="n">
        <f aca="false">IF(AND(AA$4&gt;=$B9,AA$4&lt;$B9+Inputs!$E$8,2&lt;=Inputs!$E$5),1,0)</f>
        <v>1</v>
      </c>
      <c r="AB9" s="75" t="n">
        <f aca="false">IF(AND(AB$4&gt;=$B9,AB$4&lt;$B9+Inputs!$E$8,2&lt;=Inputs!$E$5),1,0)</f>
        <v>1</v>
      </c>
      <c r="AC9" s="75" t="n">
        <f aca="false">IF(AND(AC$4&gt;=$B9,AC$4&lt;$B9+Inputs!$E$8,2&lt;=Inputs!$E$5),1,0)</f>
        <v>1</v>
      </c>
      <c r="AD9" s="75" t="n">
        <f aca="false">IF(AND(AD$4&gt;=$B9,AD$4&lt;$B9+Inputs!$E$8,2&lt;=Inputs!$E$5),1,0)</f>
        <v>1</v>
      </c>
      <c r="AE9" s="75" t="n">
        <f aca="false">IF(AND(AE$4&gt;=$B9,AE$4&lt;$B9+Inputs!$E$8,2&lt;=Inputs!$E$5),1,0)</f>
        <v>1</v>
      </c>
      <c r="AF9" s="75" t="n">
        <f aca="false">IF(AND(AF$4&gt;=$B9,AF$4&lt;$B9+Inputs!$E$8,2&lt;=Inputs!$E$5),1,0)</f>
        <v>1</v>
      </c>
      <c r="AG9" s="75" t="n">
        <f aca="false">IF(AND(AG$4&gt;=$B9,AG$4&lt;$B9+Inputs!$E$8,2&lt;=Inputs!$E$5),1,0)</f>
        <v>1</v>
      </c>
      <c r="AH9" s="75" t="n">
        <f aca="false">IF(AND(AH$4&gt;=$B9,AH$4&lt;$B9+Inputs!$E$8,2&lt;=Inputs!$E$5),1,0)</f>
        <v>1</v>
      </c>
      <c r="AI9" s="75" t="n">
        <f aca="false">IF(AND(AI$4&gt;=$B9,AI$4&lt;$B9+Inputs!$E$8,2&lt;=Inputs!$E$5),1,0)</f>
        <v>1</v>
      </c>
      <c r="AJ9" s="75" t="n">
        <f aca="false">IF(AND(AJ$4&gt;=$B9,AJ$4&lt;$B9+Inputs!$E$8,2&lt;=Inputs!$E$5),1,0)</f>
        <v>1</v>
      </c>
      <c r="AK9" s="75" t="n">
        <f aca="false">IF(AND(AK$4&gt;=$B9,AK$4&lt;$B9+Inputs!$E$8,2&lt;=Inputs!$E$5),1,0)</f>
        <v>1</v>
      </c>
      <c r="AL9" s="75" t="n">
        <f aca="false">IF(AND(AL$4&gt;=$B9,AL$4&lt;$B9+Inputs!$E$8,2&lt;=Inputs!$E$5),1,0)</f>
        <v>0</v>
      </c>
      <c r="AM9" s="75" t="n">
        <f aca="false">IF(AND(AM$4&gt;=$B9,AM$4&lt;$B9+Inputs!$E$8,2&lt;=Inputs!$E$5),1,0)</f>
        <v>0</v>
      </c>
      <c r="AN9" s="75" t="n">
        <f aca="false">IF(AND(AN$4&gt;=$B9,AN$4&lt;$B9+Inputs!$E$8,2&lt;=Inputs!$E$5),1,0)</f>
        <v>0</v>
      </c>
      <c r="AO9" s="75" t="n">
        <f aca="false">IF(AND(AO$4&gt;=$B9,AO$4&lt;$B9+Inputs!$E$8,2&lt;=Inputs!$E$5),1,0)</f>
        <v>0</v>
      </c>
      <c r="AP9" s="75" t="n">
        <f aca="false">IF(AND(AP$4&gt;=$B9,AP$4&lt;$B9+Inputs!$E$8,2&lt;=Inputs!$E$5),1,0)</f>
        <v>0</v>
      </c>
      <c r="AQ9" s="75" t="n">
        <f aca="false">IF(AND(AQ$4&gt;=$B9,AQ$4&lt;$B9+Inputs!$E$8,2&lt;=Inputs!$E$5),1,0)</f>
        <v>0</v>
      </c>
      <c r="AR9" s="75" t="n">
        <f aca="false">IF(AND(AR$4&gt;=$B9,AR$4&lt;$B9+Inputs!$E$8,2&lt;=Inputs!$E$5),1,0)</f>
        <v>0</v>
      </c>
      <c r="AS9" s="75" t="n">
        <f aca="false">IF(AND(AS$4&gt;=$B9,AS$4&lt;$B9+Inputs!$E$8,2&lt;=Inputs!$E$5),1,0)</f>
        <v>0</v>
      </c>
      <c r="AT9" s="75" t="n">
        <f aca="false">IF(AND(AT$4&gt;=$B9,AT$4&lt;$B9+Inputs!$E$8,2&lt;=Inputs!$E$5),1,0)</f>
        <v>0</v>
      </c>
      <c r="AU9" s="75" t="n">
        <f aca="false">IF(AND(AU$4&gt;=$B9,AU$4&lt;$B9+Inputs!$E$8,2&lt;=Inputs!$E$5),1,0)</f>
        <v>0</v>
      </c>
      <c r="AV9" s="75" t="n">
        <f aca="false">IF(AND(AV$4&gt;=$B9,AV$4&lt;$B9+Inputs!$E$8,2&lt;=Inputs!$E$5),1,0)</f>
        <v>0</v>
      </c>
      <c r="AW9" s="75" t="n">
        <f aca="false">IF(AND(AW$4&gt;=$B9,AW$4&lt;$B9+Inputs!$E$8,2&lt;=Inputs!$E$5),1,0)</f>
        <v>0</v>
      </c>
      <c r="AX9" s="75" t="n">
        <f aca="false">IF(AND(AX$4&gt;=$B9,AX$4&lt;$B9+Inputs!$E$8,2&lt;=Inputs!$E$5),1,0)</f>
        <v>0</v>
      </c>
    </row>
    <row r="10" customFormat="false" ht="15" hidden="false" customHeight="false" outlineLevel="0" collapsed="false">
      <c r="A10" s="1" t="s">
        <v>314</v>
      </c>
      <c r="B10" s="74" t="n">
        <f aca="false">Inputs!$E$6+2*Inputs!$E$7</f>
        <v>2029</v>
      </c>
      <c r="C10" s="70" t="n">
        <f aca="false">SUM(D10:AX10)</f>
        <v>25</v>
      </c>
      <c r="D10" s="75" t="n">
        <f aca="false">IF(AND(D$4&gt;=$B10,D$4&lt;$B10+Inputs!$E$8,3&lt;=Inputs!$E$5),1,0)</f>
        <v>0</v>
      </c>
      <c r="E10" s="75" t="n">
        <f aca="false">IF(AND(E$4&gt;=$B10,E$4&lt;$B10+Inputs!$E$8,3&lt;=Inputs!$E$5),1,0)</f>
        <v>0</v>
      </c>
      <c r="F10" s="75" t="n">
        <f aca="false">IF(AND(F$4&gt;=$B10,F$4&lt;$B10+Inputs!$E$8,3&lt;=Inputs!$E$5),1,0)</f>
        <v>0</v>
      </c>
      <c r="G10" s="75" t="n">
        <f aca="false">IF(AND(G$4&gt;=$B10,G$4&lt;$B10+Inputs!$E$8,3&lt;=Inputs!$E$5),1,0)</f>
        <v>0</v>
      </c>
      <c r="H10" s="75" t="n">
        <f aca="false">IF(AND(H$4&gt;=$B10,H$4&lt;$B10+Inputs!$E$8,3&lt;=Inputs!$E$5),1,0)</f>
        <v>0</v>
      </c>
      <c r="I10" s="75" t="n">
        <f aca="false">IF(AND(I$4&gt;=$B10,I$4&lt;$B10+Inputs!$E$8,3&lt;=Inputs!$E$5),1,0)</f>
        <v>0</v>
      </c>
      <c r="J10" s="75" t="n">
        <f aca="false">IF(AND(J$4&gt;=$B10,J$4&lt;$B10+Inputs!$E$8,3&lt;=Inputs!$E$5),1,0)</f>
        <v>0</v>
      </c>
      <c r="K10" s="75" t="n">
        <f aca="false">IF(AND(K$4&gt;=$B10,K$4&lt;$B10+Inputs!$E$8,3&lt;=Inputs!$E$5),1,0)</f>
        <v>0</v>
      </c>
      <c r="L10" s="75" t="n">
        <f aca="false">IF(AND(L$4&gt;=$B10,L$4&lt;$B10+Inputs!$E$8,3&lt;=Inputs!$E$5),1,0)</f>
        <v>0</v>
      </c>
      <c r="M10" s="75" t="n">
        <f aca="false">IF(AND(M$4&gt;=$B10,M$4&lt;$B10+Inputs!$E$8,3&lt;=Inputs!$E$5),1,0)</f>
        <v>0</v>
      </c>
      <c r="N10" s="75" t="n">
        <f aca="false">IF(AND(N$4&gt;=$B10,N$4&lt;$B10+Inputs!$E$8,3&lt;=Inputs!$E$5),1,0)</f>
        <v>1</v>
      </c>
      <c r="O10" s="75" t="n">
        <f aca="false">IF(AND(O$4&gt;=$B10,O$4&lt;$B10+Inputs!$E$8,3&lt;=Inputs!$E$5),1,0)</f>
        <v>1</v>
      </c>
      <c r="P10" s="75" t="n">
        <f aca="false">IF(AND(P$4&gt;=$B10,P$4&lt;$B10+Inputs!$E$8,3&lt;=Inputs!$E$5),1,0)</f>
        <v>1</v>
      </c>
      <c r="Q10" s="75" t="n">
        <f aca="false">IF(AND(Q$4&gt;=$B10,Q$4&lt;$B10+Inputs!$E$8,3&lt;=Inputs!$E$5),1,0)</f>
        <v>1</v>
      </c>
      <c r="R10" s="75" t="n">
        <f aca="false">IF(AND(R$4&gt;=$B10,R$4&lt;$B10+Inputs!$E$8,3&lt;=Inputs!$E$5),1,0)</f>
        <v>1</v>
      </c>
      <c r="S10" s="75" t="n">
        <f aca="false">IF(AND(S$4&gt;=$B10,S$4&lt;$B10+Inputs!$E$8,3&lt;=Inputs!$E$5),1,0)</f>
        <v>1</v>
      </c>
      <c r="T10" s="75" t="n">
        <f aca="false">IF(AND(T$4&gt;=$B10,T$4&lt;$B10+Inputs!$E$8,3&lt;=Inputs!$E$5),1,0)</f>
        <v>1</v>
      </c>
      <c r="U10" s="75" t="n">
        <f aca="false">IF(AND(U$4&gt;=$B10,U$4&lt;$B10+Inputs!$E$8,3&lt;=Inputs!$E$5),1,0)</f>
        <v>1</v>
      </c>
      <c r="V10" s="75" t="n">
        <f aca="false">IF(AND(V$4&gt;=$B10,V$4&lt;$B10+Inputs!$E$8,3&lt;=Inputs!$E$5),1,0)</f>
        <v>1</v>
      </c>
      <c r="W10" s="75" t="n">
        <f aca="false">IF(AND(W$4&gt;=$B10,W$4&lt;$B10+Inputs!$E$8,3&lt;=Inputs!$E$5),1,0)</f>
        <v>1</v>
      </c>
      <c r="X10" s="75" t="n">
        <f aca="false">IF(AND(X$4&gt;=$B10,X$4&lt;$B10+Inputs!$E$8,3&lt;=Inputs!$E$5),1,0)</f>
        <v>1</v>
      </c>
      <c r="Y10" s="75" t="n">
        <f aca="false">IF(AND(Y$4&gt;=$B10,Y$4&lt;$B10+Inputs!$E$8,3&lt;=Inputs!$E$5),1,0)</f>
        <v>1</v>
      </c>
      <c r="Z10" s="75" t="n">
        <f aca="false">IF(AND(Z$4&gt;=$B10,Z$4&lt;$B10+Inputs!$E$8,3&lt;=Inputs!$E$5),1,0)</f>
        <v>1</v>
      </c>
      <c r="AA10" s="75" t="n">
        <f aca="false">IF(AND(AA$4&gt;=$B10,AA$4&lt;$B10+Inputs!$E$8,3&lt;=Inputs!$E$5),1,0)</f>
        <v>1</v>
      </c>
      <c r="AB10" s="75" t="n">
        <f aca="false">IF(AND(AB$4&gt;=$B10,AB$4&lt;$B10+Inputs!$E$8,3&lt;=Inputs!$E$5),1,0)</f>
        <v>1</v>
      </c>
      <c r="AC10" s="75" t="n">
        <f aca="false">IF(AND(AC$4&gt;=$B10,AC$4&lt;$B10+Inputs!$E$8,3&lt;=Inputs!$E$5),1,0)</f>
        <v>1</v>
      </c>
      <c r="AD10" s="75" t="n">
        <f aca="false">IF(AND(AD$4&gt;=$B10,AD$4&lt;$B10+Inputs!$E$8,3&lt;=Inputs!$E$5),1,0)</f>
        <v>1</v>
      </c>
      <c r="AE10" s="75" t="n">
        <f aca="false">IF(AND(AE$4&gt;=$B10,AE$4&lt;$B10+Inputs!$E$8,3&lt;=Inputs!$E$5),1,0)</f>
        <v>1</v>
      </c>
      <c r="AF10" s="75" t="n">
        <f aca="false">IF(AND(AF$4&gt;=$B10,AF$4&lt;$B10+Inputs!$E$8,3&lt;=Inputs!$E$5),1,0)</f>
        <v>1</v>
      </c>
      <c r="AG10" s="75" t="n">
        <f aca="false">IF(AND(AG$4&gt;=$B10,AG$4&lt;$B10+Inputs!$E$8,3&lt;=Inputs!$E$5),1,0)</f>
        <v>1</v>
      </c>
      <c r="AH10" s="75" t="n">
        <f aca="false">IF(AND(AH$4&gt;=$B10,AH$4&lt;$B10+Inputs!$E$8,3&lt;=Inputs!$E$5),1,0)</f>
        <v>1</v>
      </c>
      <c r="AI10" s="75" t="n">
        <f aca="false">IF(AND(AI$4&gt;=$B10,AI$4&lt;$B10+Inputs!$E$8,3&lt;=Inputs!$E$5),1,0)</f>
        <v>1</v>
      </c>
      <c r="AJ10" s="75" t="n">
        <f aca="false">IF(AND(AJ$4&gt;=$B10,AJ$4&lt;$B10+Inputs!$E$8,3&lt;=Inputs!$E$5),1,0)</f>
        <v>1</v>
      </c>
      <c r="AK10" s="75" t="n">
        <f aca="false">IF(AND(AK$4&gt;=$B10,AK$4&lt;$B10+Inputs!$E$8,3&lt;=Inputs!$E$5),1,0)</f>
        <v>1</v>
      </c>
      <c r="AL10" s="75" t="n">
        <f aca="false">IF(AND(AL$4&gt;=$B10,AL$4&lt;$B10+Inputs!$E$8,3&lt;=Inputs!$E$5),1,0)</f>
        <v>1</v>
      </c>
      <c r="AM10" s="75" t="n">
        <f aca="false">IF(AND(AM$4&gt;=$B10,AM$4&lt;$B10+Inputs!$E$8,3&lt;=Inputs!$E$5),1,0)</f>
        <v>0</v>
      </c>
      <c r="AN10" s="75" t="n">
        <f aca="false">IF(AND(AN$4&gt;=$B10,AN$4&lt;$B10+Inputs!$E$8,3&lt;=Inputs!$E$5),1,0)</f>
        <v>0</v>
      </c>
      <c r="AO10" s="75" t="n">
        <f aca="false">IF(AND(AO$4&gt;=$B10,AO$4&lt;$B10+Inputs!$E$8,3&lt;=Inputs!$E$5),1,0)</f>
        <v>0</v>
      </c>
      <c r="AP10" s="75" t="n">
        <f aca="false">IF(AND(AP$4&gt;=$B10,AP$4&lt;$B10+Inputs!$E$8,3&lt;=Inputs!$E$5),1,0)</f>
        <v>0</v>
      </c>
      <c r="AQ10" s="75" t="n">
        <f aca="false">IF(AND(AQ$4&gt;=$B10,AQ$4&lt;$B10+Inputs!$E$8,3&lt;=Inputs!$E$5),1,0)</f>
        <v>0</v>
      </c>
      <c r="AR10" s="75" t="n">
        <f aca="false">IF(AND(AR$4&gt;=$B10,AR$4&lt;$B10+Inputs!$E$8,3&lt;=Inputs!$E$5),1,0)</f>
        <v>0</v>
      </c>
      <c r="AS10" s="75" t="n">
        <f aca="false">IF(AND(AS$4&gt;=$B10,AS$4&lt;$B10+Inputs!$E$8,3&lt;=Inputs!$E$5),1,0)</f>
        <v>0</v>
      </c>
      <c r="AT10" s="75" t="n">
        <f aca="false">IF(AND(AT$4&gt;=$B10,AT$4&lt;$B10+Inputs!$E$8,3&lt;=Inputs!$E$5),1,0)</f>
        <v>0</v>
      </c>
      <c r="AU10" s="75" t="n">
        <f aca="false">IF(AND(AU$4&gt;=$B10,AU$4&lt;$B10+Inputs!$E$8,3&lt;=Inputs!$E$5),1,0)</f>
        <v>0</v>
      </c>
      <c r="AV10" s="75" t="n">
        <f aca="false">IF(AND(AV$4&gt;=$B10,AV$4&lt;$B10+Inputs!$E$8,3&lt;=Inputs!$E$5),1,0)</f>
        <v>0</v>
      </c>
      <c r="AW10" s="75" t="n">
        <f aca="false">IF(AND(AW$4&gt;=$B10,AW$4&lt;$B10+Inputs!$E$8,3&lt;=Inputs!$E$5),1,0)</f>
        <v>0</v>
      </c>
      <c r="AX10" s="75" t="n">
        <f aca="false">IF(AND(AX$4&gt;=$B10,AX$4&lt;$B10+Inputs!$E$8,3&lt;=Inputs!$E$5),1,0)</f>
        <v>0</v>
      </c>
    </row>
    <row r="11" customFormat="false" ht="15" hidden="false" customHeight="false" outlineLevel="0" collapsed="false">
      <c r="A11" s="1" t="s">
        <v>315</v>
      </c>
      <c r="B11" s="74" t="n">
        <f aca="false">Inputs!$E$6+3*Inputs!$E$7</f>
        <v>2030</v>
      </c>
      <c r="C11" s="70" t="n">
        <f aca="false">SUM(D11:AX11)</f>
        <v>25</v>
      </c>
      <c r="D11" s="75" t="n">
        <f aca="false">IF(AND(D$4&gt;=$B11,D$4&lt;$B11+Inputs!$E$8,4&lt;=Inputs!$E$5),1,0)</f>
        <v>0</v>
      </c>
      <c r="E11" s="75" t="n">
        <f aca="false">IF(AND(E$4&gt;=$B11,E$4&lt;$B11+Inputs!$E$8,4&lt;=Inputs!$E$5),1,0)</f>
        <v>0</v>
      </c>
      <c r="F11" s="75" t="n">
        <f aca="false">IF(AND(F$4&gt;=$B11,F$4&lt;$B11+Inputs!$E$8,4&lt;=Inputs!$E$5),1,0)</f>
        <v>0</v>
      </c>
      <c r="G11" s="75" t="n">
        <f aca="false">IF(AND(G$4&gt;=$B11,G$4&lt;$B11+Inputs!$E$8,4&lt;=Inputs!$E$5),1,0)</f>
        <v>0</v>
      </c>
      <c r="H11" s="75" t="n">
        <f aca="false">IF(AND(H$4&gt;=$B11,H$4&lt;$B11+Inputs!$E$8,4&lt;=Inputs!$E$5),1,0)</f>
        <v>0</v>
      </c>
      <c r="I11" s="75" t="n">
        <f aca="false">IF(AND(I$4&gt;=$B11,I$4&lt;$B11+Inputs!$E$8,4&lt;=Inputs!$E$5),1,0)</f>
        <v>0</v>
      </c>
      <c r="J11" s="75" t="n">
        <f aca="false">IF(AND(J$4&gt;=$B11,J$4&lt;$B11+Inputs!$E$8,4&lt;=Inputs!$E$5),1,0)</f>
        <v>0</v>
      </c>
      <c r="K11" s="75" t="n">
        <f aca="false">IF(AND(K$4&gt;=$B11,K$4&lt;$B11+Inputs!$E$8,4&lt;=Inputs!$E$5),1,0)</f>
        <v>0</v>
      </c>
      <c r="L11" s="75" t="n">
        <f aca="false">IF(AND(L$4&gt;=$B11,L$4&lt;$B11+Inputs!$E$8,4&lt;=Inputs!$E$5),1,0)</f>
        <v>0</v>
      </c>
      <c r="M11" s="75" t="n">
        <f aca="false">IF(AND(M$4&gt;=$B11,M$4&lt;$B11+Inputs!$E$8,4&lt;=Inputs!$E$5),1,0)</f>
        <v>0</v>
      </c>
      <c r="N11" s="75" t="n">
        <f aca="false">IF(AND(N$4&gt;=$B11,N$4&lt;$B11+Inputs!$E$8,4&lt;=Inputs!$E$5),1,0)</f>
        <v>0</v>
      </c>
      <c r="O11" s="75" t="n">
        <f aca="false">IF(AND(O$4&gt;=$B11,O$4&lt;$B11+Inputs!$E$8,4&lt;=Inputs!$E$5),1,0)</f>
        <v>1</v>
      </c>
      <c r="P11" s="75" t="n">
        <f aca="false">IF(AND(P$4&gt;=$B11,P$4&lt;$B11+Inputs!$E$8,4&lt;=Inputs!$E$5),1,0)</f>
        <v>1</v>
      </c>
      <c r="Q11" s="75" t="n">
        <f aca="false">IF(AND(Q$4&gt;=$B11,Q$4&lt;$B11+Inputs!$E$8,4&lt;=Inputs!$E$5),1,0)</f>
        <v>1</v>
      </c>
      <c r="R11" s="75" t="n">
        <f aca="false">IF(AND(R$4&gt;=$B11,R$4&lt;$B11+Inputs!$E$8,4&lt;=Inputs!$E$5),1,0)</f>
        <v>1</v>
      </c>
      <c r="S11" s="75" t="n">
        <f aca="false">IF(AND(S$4&gt;=$B11,S$4&lt;$B11+Inputs!$E$8,4&lt;=Inputs!$E$5),1,0)</f>
        <v>1</v>
      </c>
      <c r="T11" s="75" t="n">
        <f aca="false">IF(AND(T$4&gt;=$B11,T$4&lt;$B11+Inputs!$E$8,4&lt;=Inputs!$E$5),1,0)</f>
        <v>1</v>
      </c>
      <c r="U11" s="75" t="n">
        <f aca="false">IF(AND(U$4&gt;=$B11,U$4&lt;$B11+Inputs!$E$8,4&lt;=Inputs!$E$5),1,0)</f>
        <v>1</v>
      </c>
      <c r="V11" s="75" t="n">
        <f aca="false">IF(AND(V$4&gt;=$B11,V$4&lt;$B11+Inputs!$E$8,4&lt;=Inputs!$E$5),1,0)</f>
        <v>1</v>
      </c>
      <c r="W11" s="75" t="n">
        <f aca="false">IF(AND(W$4&gt;=$B11,W$4&lt;$B11+Inputs!$E$8,4&lt;=Inputs!$E$5),1,0)</f>
        <v>1</v>
      </c>
      <c r="X11" s="75" t="n">
        <f aca="false">IF(AND(X$4&gt;=$B11,X$4&lt;$B11+Inputs!$E$8,4&lt;=Inputs!$E$5),1,0)</f>
        <v>1</v>
      </c>
      <c r="Y11" s="75" t="n">
        <f aca="false">IF(AND(Y$4&gt;=$B11,Y$4&lt;$B11+Inputs!$E$8,4&lt;=Inputs!$E$5),1,0)</f>
        <v>1</v>
      </c>
      <c r="Z11" s="75" t="n">
        <f aca="false">IF(AND(Z$4&gt;=$B11,Z$4&lt;$B11+Inputs!$E$8,4&lt;=Inputs!$E$5),1,0)</f>
        <v>1</v>
      </c>
      <c r="AA11" s="75" t="n">
        <f aca="false">IF(AND(AA$4&gt;=$B11,AA$4&lt;$B11+Inputs!$E$8,4&lt;=Inputs!$E$5),1,0)</f>
        <v>1</v>
      </c>
      <c r="AB11" s="75" t="n">
        <f aca="false">IF(AND(AB$4&gt;=$B11,AB$4&lt;$B11+Inputs!$E$8,4&lt;=Inputs!$E$5),1,0)</f>
        <v>1</v>
      </c>
      <c r="AC11" s="75" t="n">
        <f aca="false">IF(AND(AC$4&gt;=$B11,AC$4&lt;$B11+Inputs!$E$8,4&lt;=Inputs!$E$5),1,0)</f>
        <v>1</v>
      </c>
      <c r="AD11" s="75" t="n">
        <f aca="false">IF(AND(AD$4&gt;=$B11,AD$4&lt;$B11+Inputs!$E$8,4&lt;=Inputs!$E$5),1,0)</f>
        <v>1</v>
      </c>
      <c r="AE11" s="75" t="n">
        <f aca="false">IF(AND(AE$4&gt;=$B11,AE$4&lt;$B11+Inputs!$E$8,4&lt;=Inputs!$E$5),1,0)</f>
        <v>1</v>
      </c>
      <c r="AF11" s="75" t="n">
        <f aca="false">IF(AND(AF$4&gt;=$B11,AF$4&lt;$B11+Inputs!$E$8,4&lt;=Inputs!$E$5),1,0)</f>
        <v>1</v>
      </c>
      <c r="AG11" s="75" t="n">
        <f aca="false">IF(AND(AG$4&gt;=$B11,AG$4&lt;$B11+Inputs!$E$8,4&lt;=Inputs!$E$5),1,0)</f>
        <v>1</v>
      </c>
      <c r="AH11" s="75" t="n">
        <f aca="false">IF(AND(AH$4&gt;=$B11,AH$4&lt;$B11+Inputs!$E$8,4&lt;=Inputs!$E$5),1,0)</f>
        <v>1</v>
      </c>
      <c r="AI11" s="75" t="n">
        <f aca="false">IF(AND(AI$4&gt;=$B11,AI$4&lt;$B11+Inputs!$E$8,4&lt;=Inputs!$E$5),1,0)</f>
        <v>1</v>
      </c>
      <c r="AJ11" s="75" t="n">
        <f aca="false">IF(AND(AJ$4&gt;=$B11,AJ$4&lt;$B11+Inputs!$E$8,4&lt;=Inputs!$E$5),1,0)</f>
        <v>1</v>
      </c>
      <c r="AK11" s="75" t="n">
        <f aca="false">IF(AND(AK$4&gt;=$B11,AK$4&lt;$B11+Inputs!$E$8,4&lt;=Inputs!$E$5),1,0)</f>
        <v>1</v>
      </c>
      <c r="AL11" s="75" t="n">
        <f aca="false">IF(AND(AL$4&gt;=$B11,AL$4&lt;$B11+Inputs!$E$8,4&lt;=Inputs!$E$5),1,0)</f>
        <v>1</v>
      </c>
      <c r="AM11" s="75" t="n">
        <f aca="false">IF(AND(AM$4&gt;=$B11,AM$4&lt;$B11+Inputs!$E$8,4&lt;=Inputs!$E$5),1,0)</f>
        <v>1</v>
      </c>
      <c r="AN11" s="75" t="n">
        <f aca="false">IF(AND(AN$4&gt;=$B11,AN$4&lt;$B11+Inputs!$E$8,4&lt;=Inputs!$E$5),1,0)</f>
        <v>0</v>
      </c>
      <c r="AO11" s="75" t="n">
        <f aca="false">IF(AND(AO$4&gt;=$B11,AO$4&lt;$B11+Inputs!$E$8,4&lt;=Inputs!$E$5),1,0)</f>
        <v>0</v>
      </c>
      <c r="AP11" s="75" t="n">
        <f aca="false">IF(AND(AP$4&gt;=$B11,AP$4&lt;$B11+Inputs!$E$8,4&lt;=Inputs!$E$5),1,0)</f>
        <v>0</v>
      </c>
      <c r="AQ11" s="75" t="n">
        <f aca="false">IF(AND(AQ$4&gt;=$B11,AQ$4&lt;$B11+Inputs!$E$8,4&lt;=Inputs!$E$5),1,0)</f>
        <v>0</v>
      </c>
      <c r="AR11" s="75" t="n">
        <f aca="false">IF(AND(AR$4&gt;=$B11,AR$4&lt;$B11+Inputs!$E$8,4&lt;=Inputs!$E$5),1,0)</f>
        <v>0</v>
      </c>
      <c r="AS11" s="75" t="n">
        <f aca="false">IF(AND(AS$4&gt;=$B11,AS$4&lt;$B11+Inputs!$E$8,4&lt;=Inputs!$E$5),1,0)</f>
        <v>0</v>
      </c>
      <c r="AT11" s="75" t="n">
        <f aca="false">IF(AND(AT$4&gt;=$B11,AT$4&lt;$B11+Inputs!$E$8,4&lt;=Inputs!$E$5),1,0)</f>
        <v>0</v>
      </c>
      <c r="AU11" s="75" t="n">
        <f aca="false">IF(AND(AU$4&gt;=$B11,AU$4&lt;$B11+Inputs!$E$8,4&lt;=Inputs!$E$5),1,0)</f>
        <v>0</v>
      </c>
      <c r="AV11" s="75" t="n">
        <f aca="false">IF(AND(AV$4&gt;=$B11,AV$4&lt;$B11+Inputs!$E$8,4&lt;=Inputs!$E$5),1,0)</f>
        <v>0</v>
      </c>
      <c r="AW11" s="75" t="n">
        <f aca="false">IF(AND(AW$4&gt;=$B11,AW$4&lt;$B11+Inputs!$E$8,4&lt;=Inputs!$E$5),1,0)</f>
        <v>0</v>
      </c>
      <c r="AX11" s="75" t="n">
        <f aca="false">IF(AND(AX$4&gt;=$B11,AX$4&lt;$B11+Inputs!$E$8,4&lt;=Inputs!$E$5),1,0)</f>
        <v>0</v>
      </c>
    </row>
    <row r="12" customFormat="false" ht="15" hidden="false" customHeight="false" outlineLevel="0" collapsed="false">
      <c r="A12" s="1" t="s">
        <v>316</v>
      </c>
      <c r="B12" s="74" t="n">
        <f aca="false">Inputs!$E$6+4*Inputs!$E$7</f>
        <v>2031</v>
      </c>
      <c r="C12" s="70" t="n">
        <f aca="false">SUM(D12:AX12)</f>
        <v>25</v>
      </c>
      <c r="D12" s="75" t="n">
        <f aca="false">IF(AND(D$4&gt;=$B12,D$4&lt;$B12+Inputs!$E$8,5&lt;=Inputs!$E$5),1,0)</f>
        <v>0</v>
      </c>
      <c r="E12" s="75" t="n">
        <f aca="false">IF(AND(E$4&gt;=$B12,E$4&lt;$B12+Inputs!$E$8,5&lt;=Inputs!$E$5),1,0)</f>
        <v>0</v>
      </c>
      <c r="F12" s="75" t="n">
        <f aca="false">IF(AND(F$4&gt;=$B12,F$4&lt;$B12+Inputs!$E$8,5&lt;=Inputs!$E$5),1,0)</f>
        <v>0</v>
      </c>
      <c r="G12" s="75" t="n">
        <f aca="false">IF(AND(G$4&gt;=$B12,G$4&lt;$B12+Inputs!$E$8,5&lt;=Inputs!$E$5),1,0)</f>
        <v>0</v>
      </c>
      <c r="H12" s="75" t="n">
        <f aca="false">IF(AND(H$4&gt;=$B12,H$4&lt;$B12+Inputs!$E$8,5&lt;=Inputs!$E$5),1,0)</f>
        <v>0</v>
      </c>
      <c r="I12" s="75" t="n">
        <f aca="false">IF(AND(I$4&gt;=$B12,I$4&lt;$B12+Inputs!$E$8,5&lt;=Inputs!$E$5),1,0)</f>
        <v>0</v>
      </c>
      <c r="J12" s="75" t="n">
        <f aca="false">IF(AND(J$4&gt;=$B12,J$4&lt;$B12+Inputs!$E$8,5&lt;=Inputs!$E$5),1,0)</f>
        <v>0</v>
      </c>
      <c r="K12" s="75" t="n">
        <f aca="false">IF(AND(K$4&gt;=$B12,K$4&lt;$B12+Inputs!$E$8,5&lt;=Inputs!$E$5),1,0)</f>
        <v>0</v>
      </c>
      <c r="L12" s="75" t="n">
        <f aca="false">IF(AND(L$4&gt;=$B12,L$4&lt;$B12+Inputs!$E$8,5&lt;=Inputs!$E$5),1,0)</f>
        <v>0</v>
      </c>
      <c r="M12" s="75" t="n">
        <f aca="false">IF(AND(M$4&gt;=$B12,M$4&lt;$B12+Inputs!$E$8,5&lt;=Inputs!$E$5),1,0)</f>
        <v>0</v>
      </c>
      <c r="N12" s="75" t="n">
        <f aca="false">IF(AND(N$4&gt;=$B12,N$4&lt;$B12+Inputs!$E$8,5&lt;=Inputs!$E$5),1,0)</f>
        <v>0</v>
      </c>
      <c r="O12" s="75" t="n">
        <f aca="false">IF(AND(O$4&gt;=$B12,O$4&lt;$B12+Inputs!$E$8,5&lt;=Inputs!$E$5),1,0)</f>
        <v>0</v>
      </c>
      <c r="P12" s="75" t="n">
        <f aca="false">IF(AND(P$4&gt;=$B12,P$4&lt;$B12+Inputs!$E$8,5&lt;=Inputs!$E$5),1,0)</f>
        <v>1</v>
      </c>
      <c r="Q12" s="75" t="n">
        <f aca="false">IF(AND(Q$4&gt;=$B12,Q$4&lt;$B12+Inputs!$E$8,5&lt;=Inputs!$E$5),1,0)</f>
        <v>1</v>
      </c>
      <c r="R12" s="75" t="n">
        <f aca="false">IF(AND(R$4&gt;=$B12,R$4&lt;$B12+Inputs!$E$8,5&lt;=Inputs!$E$5),1,0)</f>
        <v>1</v>
      </c>
      <c r="S12" s="75" t="n">
        <f aca="false">IF(AND(S$4&gt;=$B12,S$4&lt;$B12+Inputs!$E$8,5&lt;=Inputs!$E$5),1,0)</f>
        <v>1</v>
      </c>
      <c r="T12" s="75" t="n">
        <f aca="false">IF(AND(T$4&gt;=$B12,T$4&lt;$B12+Inputs!$E$8,5&lt;=Inputs!$E$5),1,0)</f>
        <v>1</v>
      </c>
      <c r="U12" s="75" t="n">
        <f aca="false">IF(AND(U$4&gt;=$B12,U$4&lt;$B12+Inputs!$E$8,5&lt;=Inputs!$E$5),1,0)</f>
        <v>1</v>
      </c>
      <c r="V12" s="75" t="n">
        <f aca="false">IF(AND(V$4&gt;=$B12,V$4&lt;$B12+Inputs!$E$8,5&lt;=Inputs!$E$5),1,0)</f>
        <v>1</v>
      </c>
      <c r="W12" s="75" t="n">
        <f aca="false">IF(AND(W$4&gt;=$B12,W$4&lt;$B12+Inputs!$E$8,5&lt;=Inputs!$E$5),1,0)</f>
        <v>1</v>
      </c>
      <c r="X12" s="75" t="n">
        <f aca="false">IF(AND(X$4&gt;=$B12,X$4&lt;$B12+Inputs!$E$8,5&lt;=Inputs!$E$5),1,0)</f>
        <v>1</v>
      </c>
      <c r="Y12" s="75" t="n">
        <f aca="false">IF(AND(Y$4&gt;=$B12,Y$4&lt;$B12+Inputs!$E$8,5&lt;=Inputs!$E$5),1,0)</f>
        <v>1</v>
      </c>
      <c r="Z12" s="75" t="n">
        <f aca="false">IF(AND(Z$4&gt;=$B12,Z$4&lt;$B12+Inputs!$E$8,5&lt;=Inputs!$E$5),1,0)</f>
        <v>1</v>
      </c>
      <c r="AA12" s="75" t="n">
        <f aca="false">IF(AND(AA$4&gt;=$B12,AA$4&lt;$B12+Inputs!$E$8,5&lt;=Inputs!$E$5),1,0)</f>
        <v>1</v>
      </c>
      <c r="AB12" s="75" t="n">
        <f aca="false">IF(AND(AB$4&gt;=$B12,AB$4&lt;$B12+Inputs!$E$8,5&lt;=Inputs!$E$5),1,0)</f>
        <v>1</v>
      </c>
      <c r="AC12" s="75" t="n">
        <f aca="false">IF(AND(AC$4&gt;=$B12,AC$4&lt;$B12+Inputs!$E$8,5&lt;=Inputs!$E$5),1,0)</f>
        <v>1</v>
      </c>
      <c r="AD12" s="75" t="n">
        <f aca="false">IF(AND(AD$4&gt;=$B12,AD$4&lt;$B12+Inputs!$E$8,5&lt;=Inputs!$E$5),1,0)</f>
        <v>1</v>
      </c>
      <c r="AE12" s="75" t="n">
        <f aca="false">IF(AND(AE$4&gt;=$B12,AE$4&lt;$B12+Inputs!$E$8,5&lt;=Inputs!$E$5),1,0)</f>
        <v>1</v>
      </c>
      <c r="AF12" s="75" t="n">
        <f aca="false">IF(AND(AF$4&gt;=$B12,AF$4&lt;$B12+Inputs!$E$8,5&lt;=Inputs!$E$5),1,0)</f>
        <v>1</v>
      </c>
      <c r="AG12" s="75" t="n">
        <f aca="false">IF(AND(AG$4&gt;=$B12,AG$4&lt;$B12+Inputs!$E$8,5&lt;=Inputs!$E$5),1,0)</f>
        <v>1</v>
      </c>
      <c r="AH12" s="75" t="n">
        <f aca="false">IF(AND(AH$4&gt;=$B12,AH$4&lt;$B12+Inputs!$E$8,5&lt;=Inputs!$E$5),1,0)</f>
        <v>1</v>
      </c>
      <c r="AI12" s="75" t="n">
        <f aca="false">IF(AND(AI$4&gt;=$B12,AI$4&lt;$B12+Inputs!$E$8,5&lt;=Inputs!$E$5),1,0)</f>
        <v>1</v>
      </c>
      <c r="AJ12" s="75" t="n">
        <f aca="false">IF(AND(AJ$4&gt;=$B12,AJ$4&lt;$B12+Inputs!$E$8,5&lt;=Inputs!$E$5),1,0)</f>
        <v>1</v>
      </c>
      <c r="AK12" s="75" t="n">
        <f aca="false">IF(AND(AK$4&gt;=$B12,AK$4&lt;$B12+Inputs!$E$8,5&lt;=Inputs!$E$5),1,0)</f>
        <v>1</v>
      </c>
      <c r="AL12" s="75" t="n">
        <f aca="false">IF(AND(AL$4&gt;=$B12,AL$4&lt;$B12+Inputs!$E$8,5&lt;=Inputs!$E$5),1,0)</f>
        <v>1</v>
      </c>
      <c r="AM12" s="75" t="n">
        <f aca="false">IF(AND(AM$4&gt;=$B12,AM$4&lt;$B12+Inputs!$E$8,5&lt;=Inputs!$E$5),1,0)</f>
        <v>1</v>
      </c>
      <c r="AN12" s="75" t="n">
        <f aca="false">IF(AND(AN$4&gt;=$B12,AN$4&lt;$B12+Inputs!$E$8,5&lt;=Inputs!$E$5),1,0)</f>
        <v>1</v>
      </c>
      <c r="AO12" s="75" t="n">
        <f aca="false">IF(AND(AO$4&gt;=$B12,AO$4&lt;$B12+Inputs!$E$8,5&lt;=Inputs!$E$5),1,0)</f>
        <v>0</v>
      </c>
      <c r="AP12" s="75" t="n">
        <f aca="false">IF(AND(AP$4&gt;=$B12,AP$4&lt;$B12+Inputs!$E$8,5&lt;=Inputs!$E$5),1,0)</f>
        <v>0</v>
      </c>
      <c r="AQ12" s="75" t="n">
        <f aca="false">IF(AND(AQ$4&gt;=$B12,AQ$4&lt;$B12+Inputs!$E$8,5&lt;=Inputs!$E$5),1,0)</f>
        <v>0</v>
      </c>
      <c r="AR12" s="75" t="n">
        <f aca="false">IF(AND(AR$4&gt;=$B12,AR$4&lt;$B12+Inputs!$E$8,5&lt;=Inputs!$E$5),1,0)</f>
        <v>0</v>
      </c>
      <c r="AS12" s="75" t="n">
        <f aca="false">IF(AND(AS$4&gt;=$B12,AS$4&lt;$B12+Inputs!$E$8,5&lt;=Inputs!$E$5),1,0)</f>
        <v>0</v>
      </c>
      <c r="AT12" s="75" t="n">
        <f aca="false">IF(AND(AT$4&gt;=$B12,AT$4&lt;$B12+Inputs!$E$8,5&lt;=Inputs!$E$5),1,0)</f>
        <v>0</v>
      </c>
      <c r="AU12" s="75" t="n">
        <f aca="false">IF(AND(AU$4&gt;=$B12,AU$4&lt;$B12+Inputs!$E$8,5&lt;=Inputs!$E$5),1,0)</f>
        <v>0</v>
      </c>
      <c r="AV12" s="75" t="n">
        <f aca="false">IF(AND(AV$4&gt;=$B12,AV$4&lt;$B12+Inputs!$E$8,5&lt;=Inputs!$E$5),1,0)</f>
        <v>0</v>
      </c>
      <c r="AW12" s="75" t="n">
        <f aca="false">IF(AND(AW$4&gt;=$B12,AW$4&lt;$B12+Inputs!$E$8,5&lt;=Inputs!$E$5),1,0)</f>
        <v>0</v>
      </c>
      <c r="AX12" s="75" t="n">
        <f aca="false">IF(AND(AX$4&gt;=$B12,AX$4&lt;$B12+Inputs!$E$8,5&lt;=Inputs!$E$5),1,0)</f>
        <v>0</v>
      </c>
    </row>
    <row r="13" customFormat="false" ht="15" hidden="false" customHeight="false" outlineLevel="0" collapsed="false">
      <c r="A13" s="16" t="s">
        <v>317</v>
      </c>
      <c r="B13" s="1"/>
      <c r="C13" s="70" t="n">
        <f aca="false">SUM(D13:AX13)</f>
        <v>125</v>
      </c>
      <c r="D13" s="75" t="n">
        <f aca="false">SUM(D8:D12)</f>
        <v>0</v>
      </c>
      <c r="E13" s="75" t="n">
        <f aca="false">SUM(E8:E12)</f>
        <v>0</v>
      </c>
      <c r="F13" s="75" t="n">
        <f aca="false">SUM(F8:F12)</f>
        <v>0</v>
      </c>
      <c r="G13" s="75" t="n">
        <f aca="false">SUM(G8:G12)</f>
        <v>0</v>
      </c>
      <c r="H13" s="75" t="n">
        <f aca="false">SUM(H8:H12)</f>
        <v>0</v>
      </c>
      <c r="I13" s="75" t="n">
        <f aca="false">SUM(I8:I12)</f>
        <v>0</v>
      </c>
      <c r="J13" s="75" t="n">
        <f aca="false">SUM(J8:J12)</f>
        <v>0</v>
      </c>
      <c r="K13" s="75" t="n">
        <f aca="false">SUM(K8:K12)</f>
        <v>0</v>
      </c>
      <c r="L13" s="75" t="n">
        <f aca="false">SUM(L8:L12)</f>
        <v>1</v>
      </c>
      <c r="M13" s="75" t="n">
        <f aca="false">SUM(M8:M12)</f>
        <v>2</v>
      </c>
      <c r="N13" s="75" t="n">
        <f aca="false">SUM(N8:N12)</f>
        <v>3</v>
      </c>
      <c r="O13" s="75" t="n">
        <f aca="false">SUM(O8:O12)</f>
        <v>4</v>
      </c>
      <c r="P13" s="75" t="n">
        <f aca="false">SUM(P8:P12)</f>
        <v>5</v>
      </c>
      <c r="Q13" s="75" t="n">
        <f aca="false">SUM(Q8:Q12)</f>
        <v>5</v>
      </c>
      <c r="R13" s="75" t="n">
        <f aca="false">SUM(R8:R12)</f>
        <v>5</v>
      </c>
      <c r="S13" s="75" t="n">
        <f aca="false">SUM(S8:S12)</f>
        <v>5</v>
      </c>
      <c r="T13" s="75" t="n">
        <f aca="false">SUM(T8:T12)</f>
        <v>5</v>
      </c>
      <c r="U13" s="75" t="n">
        <f aca="false">SUM(U8:U12)</f>
        <v>5</v>
      </c>
      <c r="V13" s="75" t="n">
        <f aca="false">SUM(V8:V12)</f>
        <v>5</v>
      </c>
      <c r="W13" s="75" t="n">
        <f aca="false">SUM(W8:W12)</f>
        <v>5</v>
      </c>
      <c r="X13" s="75" t="n">
        <f aca="false">SUM(X8:X12)</f>
        <v>5</v>
      </c>
      <c r="Y13" s="75" t="n">
        <f aca="false">SUM(Y8:Y12)</f>
        <v>5</v>
      </c>
      <c r="Z13" s="75" t="n">
        <f aca="false">SUM(Z8:Z12)</f>
        <v>5</v>
      </c>
      <c r="AA13" s="75" t="n">
        <f aca="false">SUM(AA8:AA12)</f>
        <v>5</v>
      </c>
      <c r="AB13" s="75" t="n">
        <f aca="false">SUM(AB8:AB12)</f>
        <v>5</v>
      </c>
      <c r="AC13" s="75" t="n">
        <f aca="false">SUM(AC8:AC12)</f>
        <v>5</v>
      </c>
      <c r="AD13" s="75" t="n">
        <f aca="false">SUM(AD8:AD12)</f>
        <v>5</v>
      </c>
      <c r="AE13" s="75" t="n">
        <f aca="false">SUM(AE8:AE12)</f>
        <v>5</v>
      </c>
      <c r="AF13" s="75" t="n">
        <f aca="false">SUM(AF8:AF12)</f>
        <v>5</v>
      </c>
      <c r="AG13" s="75" t="n">
        <f aca="false">SUM(AG8:AG12)</f>
        <v>5</v>
      </c>
      <c r="AH13" s="75" t="n">
        <f aca="false">SUM(AH8:AH12)</f>
        <v>5</v>
      </c>
      <c r="AI13" s="75" t="n">
        <f aca="false">SUM(AI8:AI12)</f>
        <v>5</v>
      </c>
      <c r="AJ13" s="75" t="n">
        <f aca="false">SUM(AJ8:AJ12)</f>
        <v>5</v>
      </c>
      <c r="AK13" s="75" t="n">
        <f aca="false">SUM(AK8:AK12)</f>
        <v>4</v>
      </c>
      <c r="AL13" s="75" t="n">
        <f aca="false">SUM(AL8:AL12)</f>
        <v>3</v>
      </c>
      <c r="AM13" s="75" t="n">
        <f aca="false">SUM(AM8:AM12)</f>
        <v>2</v>
      </c>
      <c r="AN13" s="75" t="n">
        <f aca="false">SUM(AN8:AN12)</f>
        <v>1</v>
      </c>
      <c r="AO13" s="75" t="n">
        <f aca="false">SUM(AO8:AO12)</f>
        <v>0</v>
      </c>
      <c r="AP13" s="75" t="n">
        <f aca="false">SUM(AP8:AP12)</f>
        <v>0</v>
      </c>
      <c r="AQ13" s="75" t="n">
        <f aca="false">SUM(AQ8:AQ12)</f>
        <v>0</v>
      </c>
      <c r="AR13" s="75" t="n">
        <f aca="false">SUM(AR8:AR12)</f>
        <v>0</v>
      </c>
      <c r="AS13" s="75" t="n">
        <f aca="false">SUM(AS8:AS12)</f>
        <v>0</v>
      </c>
      <c r="AT13" s="75" t="n">
        <f aca="false">SUM(AT8:AT12)</f>
        <v>0</v>
      </c>
      <c r="AU13" s="75" t="n">
        <f aca="false">SUM(AU8:AU12)</f>
        <v>0</v>
      </c>
      <c r="AV13" s="75" t="n">
        <f aca="false">SUM(AV8:AV12)</f>
        <v>0</v>
      </c>
      <c r="AW13" s="75" t="n">
        <f aca="false">SUM(AW8:AW12)</f>
        <v>0</v>
      </c>
      <c r="AX13" s="75" t="n">
        <f aca="false">SUM(AX8:AX12)</f>
        <v>0</v>
      </c>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customFormat="false" ht="15" hidden="false" customHeight="false" outlineLevel="0" collapsed="false">
      <c r="A15" s="30" t="s">
        <v>318</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customFormat="false" ht="15" hidden="false" customHeight="false" outlineLevel="0" collapsed="false">
      <c r="A16" s="1" t="s">
        <v>49</v>
      </c>
      <c r="B16" s="1"/>
      <c r="C16" s="76" t="n">
        <f aca="false">SUM(D16:AX16)</f>
        <v>2310</v>
      </c>
      <c r="D16" s="68" t="n">
        <f aca="false">Inputs!$E$9*(1+Inputs!$E$10)*D$5</f>
        <v>46.2</v>
      </c>
      <c r="E16" s="68" t="n">
        <f aca="false">Inputs!$E$9*(1+Inputs!$E$10)*E$5</f>
        <v>92.4</v>
      </c>
      <c r="F16" s="68" t="n">
        <f aca="false">Inputs!$E$9*(1+Inputs!$E$10)*F$5</f>
        <v>184.8</v>
      </c>
      <c r="G16" s="68" t="n">
        <f aca="false">Inputs!$E$9*(1+Inputs!$E$10)*G$5</f>
        <v>231</v>
      </c>
      <c r="H16" s="68" t="n">
        <f aca="false">Inputs!$E$9*(1+Inputs!$E$10)*H$5</f>
        <v>277.2</v>
      </c>
      <c r="I16" s="68" t="n">
        <f aca="false">Inputs!$E$9*(1+Inputs!$E$10)*I$5</f>
        <v>300.3</v>
      </c>
      <c r="J16" s="68" t="n">
        <f aca="false">Inputs!$E$9*(1+Inputs!$E$10)*J$5</f>
        <v>300.3</v>
      </c>
      <c r="K16" s="68" t="n">
        <f aca="false">Inputs!$E$9*(1+Inputs!$E$10)*K$5</f>
        <v>277.2</v>
      </c>
      <c r="L16" s="68" t="n">
        <f aca="false">Inputs!$E$9*(1+Inputs!$E$10)*L$5</f>
        <v>207.9</v>
      </c>
      <c r="M16" s="68" t="n">
        <f aca="false">Inputs!$E$9*(1+Inputs!$E$10)*M$5</f>
        <v>161.7</v>
      </c>
      <c r="N16" s="68" t="n">
        <f aca="false">Inputs!$E$9*(1+Inputs!$E$10)*N$5</f>
        <v>115.5</v>
      </c>
      <c r="O16" s="68" t="n">
        <f aca="false">Inputs!$E$9*(1+Inputs!$E$10)*O$5</f>
        <v>69.3</v>
      </c>
      <c r="P16" s="68" t="n">
        <f aca="false">Inputs!$E$9*(1+Inputs!$E$10)*P$5</f>
        <v>46.2</v>
      </c>
      <c r="Q16" s="68" t="n">
        <f aca="false">Inputs!$E$9*(1+Inputs!$E$10)*Q$5</f>
        <v>0</v>
      </c>
      <c r="R16" s="68" t="n">
        <f aca="false">Inputs!$E$9*(1+Inputs!$E$10)*R$5</f>
        <v>0</v>
      </c>
      <c r="S16" s="68" t="n">
        <f aca="false">Inputs!$E$9*(1+Inputs!$E$10)*S$5</f>
        <v>0</v>
      </c>
      <c r="T16" s="68" t="n">
        <f aca="false">Inputs!$E$9*(1+Inputs!$E$10)*T$5</f>
        <v>0</v>
      </c>
      <c r="U16" s="68" t="n">
        <f aca="false">Inputs!$E$9*(1+Inputs!$E$10)*U$5</f>
        <v>0</v>
      </c>
      <c r="V16" s="68" t="n">
        <f aca="false">Inputs!$E$9*(1+Inputs!$E$10)*V$5</f>
        <v>0</v>
      </c>
      <c r="W16" s="68" t="n">
        <f aca="false">Inputs!$E$9*(1+Inputs!$E$10)*W$5</f>
        <v>0</v>
      </c>
      <c r="X16" s="68" t="n">
        <f aca="false">Inputs!$E$9*(1+Inputs!$E$10)*X$5</f>
        <v>0</v>
      </c>
      <c r="Y16" s="68" t="n">
        <f aca="false">Inputs!$E$9*(1+Inputs!$E$10)*Y$5</f>
        <v>0</v>
      </c>
      <c r="Z16" s="68" t="n">
        <f aca="false">Inputs!$E$9*(1+Inputs!$E$10)*Z$5</f>
        <v>0</v>
      </c>
      <c r="AA16" s="68" t="n">
        <f aca="false">Inputs!$E$9*(1+Inputs!$E$10)*AA$5</f>
        <v>0</v>
      </c>
      <c r="AB16" s="68" t="n">
        <f aca="false">Inputs!$E$9*(1+Inputs!$E$10)*AB$5</f>
        <v>0</v>
      </c>
      <c r="AC16" s="68" t="n">
        <f aca="false">Inputs!$E$9*(1+Inputs!$E$10)*AC$5</f>
        <v>0</v>
      </c>
      <c r="AD16" s="68" t="n">
        <f aca="false">Inputs!$E$9*(1+Inputs!$E$10)*AD$5</f>
        <v>0</v>
      </c>
      <c r="AE16" s="68" t="n">
        <f aca="false">Inputs!$E$9*(1+Inputs!$E$10)*AE$5</f>
        <v>0</v>
      </c>
      <c r="AF16" s="68" t="n">
        <f aca="false">Inputs!$E$9*(1+Inputs!$E$10)*AF$5</f>
        <v>0</v>
      </c>
      <c r="AG16" s="68" t="n">
        <f aca="false">Inputs!$E$9*(1+Inputs!$E$10)*AG$5</f>
        <v>0</v>
      </c>
      <c r="AH16" s="68" t="n">
        <f aca="false">Inputs!$E$9*(1+Inputs!$E$10)*AH$5</f>
        <v>0</v>
      </c>
      <c r="AI16" s="68" t="n">
        <f aca="false">Inputs!$E$9*(1+Inputs!$E$10)*AI$5</f>
        <v>0</v>
      </c>
      <c r="AJ16" s="68" t="n">
        <f aca="false">Inputs!$E$9*(1+Inputs!$E$10)*AJ$5</f>
        <v>0</v>
      </c>
      <c r="AK16" s="68" t="n">
        <f aca="false">Inputs!$E$9*(1+Inputs!$E$10)*AK$5</f>
        <v>0</v>
      </c>
      <c r="AL16" s="68" t="n">
        <f aca="false">Inputs!$E$9*(1+Inputs!$E$10)*AL$5</f>
        <v>0</v>
      </c>
      <c r="AM16" s="68" t="n">
        <f aca="false">Inputs!$E$9*(1+Inputs!$E$10)*AM$5</f>
        <v>0</v>
      </c>
      <c r="AN16" s="68" t="n">
        <f aca="false">Inputs!$E$9*(1+Inputs!$E$10)*AN$5</f>
        <v>0</v>
      </c>
      <c r="AO16" s="68" t="n">
        <f aca="false">Inputs!$E$9*(1+Inputs!$E$10)*AO$5</f>
        <v>0</v>
      </c>
      <c r="AP16" s="68" t="n">
        <f aca="false">Inputs!$E$9*(1+Inputs!$E$10)*AP$5</f>
        <v>0</v>
      </c>
      <c r="AQ16" s="68" t="n">
        <f aca="false">Inputs!$E$9*(1+Inputs!$E$10)*AQ$5</f>
        <v>0</v>
      </c>
      <c r="AR16" s="68" t="n">
        <f aca="false">Inputs!$E$9*(1+Inputs!$E$10)*AR$5</f>
        <v>0</v>
      </c>
      <c r="AS16" s="68" t="n">
        <f aca="false">Inputs!$E$9*(1+Inputs!$E$10)*AS$5</f>
        <v>0</v>
      </c>
      <c r="AT16" s="68" t="n">
        <f aca="false">Inputs!$E$9*(1+Inputs!$E$10)*AT$5</f>
        <v>0</v>
      </c>
      <c r="AU16" s="68" t="n">
        <f aca="false">Inputs!$E$9*(1+Inputs!$E$10)*AU$5</f>
        <v>0</v>
      </c>
      <c r="AV16" s="68" t="n">
        <f aca="false">Inputs!$E$9*(1+Inputs!$E$10)*AV$5</f>
        <v>0</v>
      </c>
      <c r="AW16" s="68" t="n">
        <f aca="false">Inputs!$E$9*(1+Inputs!$E$10)*AW$5</f>
        <v>0</v>
      </c>
      <c r="AX16" s="68" t="n">
        <f aca="false">Inputs!$E$9*(1+Inputs!$E$10)*AX$5</f>
        <v>0</v>
      </c>
    </row>
    <row r="17" customFormat="false" ht="15" hidden="false" customHeight="false" outlineLevel="0" collapsed="false">
      <c r="A17" s="1" t="s">
        <v>50</v>
      </c>
      <c r="B17" s="1"/>
      <c r="C17" s="76" t="n">
        <f aca="false">SUM(D17:AX17)</f>
        <v>1342.51397573531</v>
      </c>
      <c r="D17" s="68" t="n">
        <f aca="false">D$13*Inputs!$E$19</f>
        <v>0</v>
      </c>
      <c r="E17" s="68" t="n">
        <f aca="false">E$13*Inputs!$E$19</f>
        <v>0</v>
      </c>
      <c r="F17" s="68" t="n">
        <f aca="false">F$13*Inputs!$E$19</f>
        <v>0</v>
      </c>
      <c r="G17" s="68" t="n">
        <f aca="false">G$13*Inputs!$E$19</f>
        <v>0</v>
      </c>
      <c r="H17" s="68" t="n">
        <f aca="false">H$13*Inputs!$E$19</f>
        <v>0</v>
      </c>
      <c r="I17" s="68" t="n">
        <f aca="false">I$13*Inputs!$E$19</f>
        <v>0</v>
      </c>
      <c r="J17" s="68" t="n">
        <f aca="false">J$13*Inputs!$E$19</f>
        <v>0</v>
      </c>
      <c r="K17" s="68" t="n">
        <f aca="false">K$13*Inputs!$E$19</f>
        <v>0</v>
      </c>
      <c r="L17" s="68" t="n">
        <f aca="false">L$13*Inputs!$E$19</f>
        <v>10.7401118058825</v>
      </c>
      <c r="M17" s="68" t="n">
        <f aca="false">M$13*Inputs!$E$19</f>
        <v>21.4802236117649</v>
      </c>
      <c r="N17" s="68" t="n">
        <f aca="false">N$13*Inputs!$E$19</f>
        <v>32.2203354176474</v>
      </c>
      <c r="O17" s="68" t="n">
        <f aca="false">O$13*Inputs!$E$19</f>
        <v>42.9604472235298</v>
      </c>
      <c r="P17" s="68" t="n">
        <f aca="false">P$13*Inputs!$E$19</f>
        <v>53.7005590294123</v>
      </c>
      <c r="Q17" s="68" t="n">
        <f aca="false">Q$13*Inputs!$E$19</f>
        <v>53.7005590294123</v>
      </c>
      <c r="R17" s="68" t="n">
        <f aca="false">R$13*Inputs!$E$19</f>
        <v>53.7005590294123</v>
      </c>
      <c r="S17" s="68" t="n">
        <f aca="false">S$13*Inputs!$E$19</f>
        <v>53.7005590294123</v>
      </c>
      <c r="T17" s="68" t="n">
        <f aca="false">T$13*Inputs!$E$19</f>
        <v>53.7005590294123</v>
      </c>
      <c r="U17" s="68" t="n">
        <f aca="false">U$13*Inputs!$E$19</f>
        <v>53.7005590294123</v>
      </c>
      <c r="V17" s="68" t="n">
        <f aca="false">V$13*Inputs!$E$19</f>
        <v>53.7005590294123</v>
      </c>
      <c r="W17" s="68" t="n">
        <f aca="false">W$13*Inputs!$E$19</f>
        <v>53.7005590294123</v>
      </c>
      <c r="X17" s="68" t="n">
        <f aca="false">X$13*Inputs!$E$19</f>
        <v>53.7005590294123</v>
      </c>
      <c r="Y17" s="68" t="n">
        <f aca="false">Y$13*Inputs!$E$19</f>
        <v>53.7005590294123</v>
      </c>
      <c r="Z17" s="68" t="n">
        <f aca="false">Z$13*Inputs!$E$19</f>
        <v>53.7005590294123</v>
      </c>
      <c r="AA17" s="68" t="n">
        <f aca="false">AA$13*Inputs!$E$19</f>
        <v>53.7005590294123</v>
      </c>
      <c r="AB17" s="68" t="n">
        <f aca="false">AB$13*Inputs!$E$19</f>
        <v>53.7005590294123</v>
      </c>
      <c r="AC17" s="68" t="n">
        <f aca="false">AC$13*Inputs!$E$19</f>
        <v>53.7005590294123</v>
      </c>
      <c r="AD17" s="68" t="n">
        <f aca="false">AD$13*Inputs!$E$19</f>
        <v>53.7005590294123</v>
      </c>
      <c r="AE17" s="68" t="n">
        <f aca="false">AE$13*Inputs!$E$19</f>
        <v>53.7005590294123</v>
      </c>
      <c r="AF17" s="68" t="n">
        <f aca="false">AF$13*Inputs!$E$19</f>
        <v>53.7005590294123</v>
      </c>
      <c r="AG17" s="68" t="n">
        <f aca="false">AG$13*Inputs!$E$19</f>
        <v>53.7005590294123</v>
      </c>
      <c r="AH17" s="68" t="n">
        <f aca="false">AH$13*Inputs!$E$19</f>
        <v>53.7005590294123</v>
      </c>
      <c r="AI17" s="68" t="n">
        <f aca="false">AI$13*Inputs!$E$19</f>
        <v>53.7005590294123</v>
      </c>
      <c r="AJ17" s="68" t="n">
        <f aca="false">AJ$13*Inputs!$E$19</f>
        <v>53.7005590294123</v>
      </c>
      <c r="AK17" s="68" t="n">
        <f aca="false">AK$13*Inputs!$E$19</f>
        <v>42.9604472235298</v>
      </c>
      <c r="AL17" s="68" t="n">
        <f aca="false">AL$13*Inputs!$E$19</f>
        <v>32.2203354176474</v>
      </c>
      <c r="AM17" s="68" t="n">
        <f aca="false">AM$13*Inputs!$E$19</f>
        <v>21.4802236117649</v>
      </c>
      <c r="AN17" s="68" t="n">
        <f aca="false">AN$13*Inputs!$E$19</f>
        <v>10.7401118058825</v>
      </c>
      <c r="AO17" s="68" t="n">
        <f aca="false">AO$13*Inputs!$E$19</f>
        <v>0</v>
      </c>
      <c r="AP17" s="68" t="n">
        <f aca="false">AP$13*Inputs!$E$19</f>
        <v>0</v>
      </c>
      <c r="AQ17" s="68" t="n">
        <f aca="false">AQ$13*Inputs!$E$19</f>
        <v>0</v>
      </c>
      <c r="AR17" s="68" t="n">
        <f aca="false">AR$13*Inputs!$E$19</f>
        <v>0</v>
      </c>
      <c r="AS17" s="68" t="n">
        <f aca="false">AS$13*Inputs!$E$19</f>
        <v>0</v>
      </c>
      <c r="AT17" s="68" t="n">
        <f aca="false">AT$13*Inputs!$E$19</f>
        <v>0</v>
      </c>
      <c r="AU17" s="68" t="n">
        <f aca="false">AU$13*Inputs!$E$19</f>
        <v>0</v>
      </c>
      <c r="AV17" s="68" t="n">
        <f aca="false">AV$13*Inputs!$E$19</f>
        <v>0</v>
      </c>
      <c r="AW17" s="68" t="n">
        <f aca="false">AW$13*Inputs!$E$19</f>
        <v>0</v>
      </c>
      <c r="AX17" s="68" t="n">
        <f aca="false">AX$13*Inputs!$E$19</f>
        <v>0</v>
      </c>
    </row>
    <row r="18" customFormat="false" ht="15" hidden="false" customHeight="false" outlineLevel="0" collapsed="false">
      <c r="A18" s="1" t="s">
        <v>51</v>
      </c>
      <c r="B18" s="1"/>
      <c r="C18" s="76" t="n">
        <f aca="false">SUM(D18:AX18)</f>
        <v>713.030303030303</v>
      </c>
      <c r="D18" s="68" t="n">
        <f aca="false">D$13*Inputs!$E$25</f>
        <v>0</v>
      </c>
      <c r="E18" s="68" t="n">
        <f aca="false">E$13*Inputs!$E$25</f>
        <v>0</v>
      </c>
      <c r="F18" s="68" t="n">
        <f aca="false">F$13*Inputs!$E$25</f>
        <v>0</v>
      </c>
      <c r="G18" s="68" t="n">
        <f aca="false">G$13*Inputs!$E$25</f>
        <v>0</v>
      </c>
      <c r="H18" s="68" t="n">
        <f aca="false">H$13*Inputs!$E$25</f>
        <v>0</v>
      </c>
      <c r="I18" s="68" t="n">
        <f aca="false">I$13*Inputs!$E$25</f>
        <v>0</v>
      </c>
      <c r="J18" s="68" t="n">
        <f aca="false">J$13*Inputs!$E$25</f>
        <v>0</v>
      </c>
      <c r="K18" s="68" t="n">
        <f aca="false">K$13*Inputs!$E$25</f>
        <v>0</v>
      </c>
      <c r="L18" s="68" t="n">
        <f aca="false">L$13*Inputs!$E$25</f>
        <v>5.70424242424243</v>
      </c>
      <c r="M18" s="68" t="n">
        <f aca="false">M$13*Inputs!$E$25</f>
        <v>11.4084848484849</v>
      </c>
      <c r="N18" s="68" t="n">
        <f aca="false">N$13*Inputs!$E$25</f>
        <v>17.1127272727273</v>
      </c>
      <c r="O18" s="68" t="n">
        <f aca="false">O$13*Inputs!$E$25</f>
        <v>22.8169696969697</v>
      </c>
      <c r="P18" s="68" t="n">
        <f aca="false">P$13*Inputs!$E$25</f>
        <v>28.5212121212121</v>
      </c>
      <c r="Q18" s="68" t="n">
        <f aca="false">Q$13*Inputs!$E$25</f>
        <v>28.5212121212121</v>
      </c>
      <c r="R18" s="68" t="n">
        <f aca="false">R$13*Inputs!$E$25</f>
        <v>28.5212121212121</v>
      </c>
      <c r="S18" s="68" t="n">
        <f aca="false">S$13*Inputs!$E$25</f>
        <v>28.5212121212121</v>
      </c>
      <c r="T18" s="68" t="n">
        <f aca="false">T$13*Inputs!$E$25</f>
        <v>28.5212121212121</v>
      </c>
      <c r="U18" s="68" t="n">
        <f aca="false">U$13*Inputs!$E$25</f>
        <v>28.5212121212121</v>
      </c>
      <c r="V18" s="68" t="n">
        <f aca="false">V$13*Inputs!$E$25</f>
        <v>28.5212121212121</v>
      </c>
      <c r="W18" s="68" t="n">
        <f aca="false">W$13*Inputs!$E$25</f>
        <v>28.5212121212121</v>
      </c>
      <c r="X18" s="68" t="n">
        <f aca="false">X$13*Inputs!$E$25</f>
        <v>28.5212121212121</v>
      </c>
      <c r="Y18" s="68" t="n">
        <f aca="false">Y$13*Inputs!$E$25</f>
        <v>28.5212121212121</v>
      </c>
      <c r="Z18" s="68" t="n">
        <f aca="false">Z$13*Inputs!$E$25</f>
        <v>28.5212121212121</v>
      </c>
      <c r="AA18" s="68" t="n">
        <f aca="false">AA$13*Inputs!$E$25</f>
        <v>28.5212121212121</v>
      </c>
      <c r="AB18" s="68" t="n">
        <f aca="false">AB$13*Inputs!$E$25</f>
        <v>28.5212121212121</v>
      </c>
      <c r="AC18" s="68" t="n">
        <f aca="false">AC$13*Inputs!$E$25</f>
        <v>28.5212121212121</v>
      </c>
      <c r="AD18" s="68" t="n">
        <f aca="false">AD$13*Inputs!$E$25</f>
        <v>28.5212121212121</v>
      </c>
      <c r="AE18" s="68" t="n">
        <f aca="false">AE$13*Inputs!$E$25</f>
        <v>28.5212121212121</v>
      </c>
      <c r="AF18" s="68" t="n">
        <f aca="false">AF$13*Inputs!$E$25</f>
        <v>28.5212121212121</v>
      </c>
      <c r="AG18" s="68" t="n">
        <f aca="false">AG$13*Inputs!$E$25</f>
        <v>28.5212121212121</v>
      </c>
      <c r="AH18" s="68" t="n">
        <f aca="false">AH$13*Inputs!$E$25</f>
        <v>28.5212121212121</v>
      </c>
      <c r="AI18" s="68" t="n">
        <f aca="false">AI$13*Inputs!$E$25</f>
        <v>28.5212121212121</v>
      </c>
      <c r="AJ18" s="68" t="n">
        <f aca="false">AJ$13*Inputs!$E$25</f>
        <v>28.5212121212121</v>
      </c>
      <c r="AK18" s="68" t="n">
        <f aca="false">AK$13*Inputs!$E$25</f>
        <v>22.8169696969697</v>
      </c>
      <c r="AL18" s="68" t="n">
        <f aca="false">AL$13*Inputs!$E$25</f>
        <v>17.1127272727273</v>
      </c>
      <c r="AM18" s="68" t="n">
        <f aca="false">AM$13*Inputs!$E$25</f>
        <v>11.4084848484849</v>
      </c>
      <c r="AN18" s="68" t="n">
        <f aca="false">AN$13*Inputs!$E$25</f>
        <v>5.70424242424243</v>
      </c>
      <c r="AO18" s="68" t="n">
        <f aca="false">AO$13*Inputs!$E$25</f>
        <v>0</v>
      </c>
      <c r="AP18" s="68" t="n">
        <f aca="false">AP$13*Inputs!$E$25</f>
        <v>0</v>
      </c>
      <c r="AQ18" s="68" t="n">
        <f aca="false">AQ$13*Inputs!$E$25</f>
        <v>0</v>
      </c>
      <c r="AR18" s="68" t="n">
        <f aca="false">AR$13*Inputs!$E$25</f>
        <v>0</v>
      </c>
      <c r="AS18" s="68" t="n">
        <f aca="false">AS$13*Inputs!$E$25</f>
        <v>0</v>
      </c>
      <c r="AT18" s="68" t="n">
        <f aca="false">AT$13*Inputs!$E$25</f>
        <v>0</v>
      </c>
      <c r="AU18" s="68" t="n">
        <f aca="false">AU$13*Inputs!$E$25</f>
        <v>0</v>
      </c>
      <c r="AV18" s="68" t="n">
        <f aca="false">AV$13*Inputs!$E$25</f>
        <v>0</v>
      </c>
      <c r="AW18" s="68" t="n">
        <f aca="false">AW$13*Inputs!$E$25</f>
        <v>0</v>
      </c>
      <c r="AX18" s="68" t="n">
        <f aca="false">AX$13*Inputs!$E$25</f>
        <v>0</v>
      </c>
    </row>
    <row r="19" customFormat="false" ht="15" hidden="false" customHeight="false" outlineLevel="0" collapsed="false">
      <c r="A19" s="1" t="s">
        <v>52</v>
      </c>
      <c r="B19" s="1"/>
      <c r="C19" s="76" t="n">
        <f aca="false">SUM(D19:AX19)</f>
        <v>1274.43745283468</v>
      </c>
      <c r="D19" s="68" t="n">
        <f aca="false">(D17+D18)*Inputs!$E$26</f>
        <v>0</v>
      </c>
      <c r="E19" s="68" t="n">
        <f aca="false">(E17+E18)*Inputs!$E$26</f>
        <v>0</v>
      </c>
      <c r="F19" s="68" t="n">
        <f aca="false">(F17+F18)*Inputs!$E$26</f>
        <v>0</v>
      </c>
      <c r="G19" s="68" t="n">
        <f aca="false">(G17+G18)*Inputs!$E$26</f>
        <v>0</v>
      </c>
      <c r="H19" s="68" t="n">
        <f aca="false">(H17+H18)*Inputs!$E$26</f>
        <v>0</v>
      </c>
      <c r="I19" s="68" t="n">
        <f aca="false">(I17+I18)*Inputs!$E$26</f>
        <v>0</v>
      </c>
      <c r="J19" s="68" t="n">
        <f aca="false">(J17+J18)*Inputs!$E$26</f>
        <v>0</v>
      </c>
      <c r="K19" s="68" t="n">
        <f aca="false">(K17+K18)*Inputs!$E$26</f>
        <v>0</v>
      </c>
      <c r="L19" s="68" t="n">
        <f aca="false">(L17+L18)*Inputs!$E$26</f>
        <v>10.1954996226774</v>
      </c>
      <c r="M19" s="68" t="n">
        <f aca="false">(M17+M18)*Inputs!$E$26</f>
        <v>20.3909992453549</v>
      </c>
      <c r="N19" s="68" t="n">
        <f aca="false">(N17+N18)*Inputs!$E$26</f>
        <v>30.5864988680323</v>
      </c>
      <c r="O19" s="68" t="n">
        <f aca="false">(O17+O18)*Inputs!$E$26</f>
        <v>40.7819984907097</v>
      </c>
      <c r="P19" s="68" t="n">
        <f aca="false">(P17+P18)*Inputs!$E$26</f>
        <v>50.9774981133871</v>
      </c>
      <c r="Q19" s="68" t="n">
        <f aca="false">(Q17+Q18)*Inputs!$E$26</f>
        <v>50.9774981133871</v>
      </c>
      <c r="R19" s="68" t="n">
        <f aca="false">(R17+R18)*Inputs!$E$26</f>
        <v>50.9774981133871</v>
      </c>
      <c r="S19" s="68" t="n">
        <f aca="false">(S17+S18)*Inputs!$E$26</f>
        <v>50.9774981133871</v>
      </c>
      <c r="T19" s="68" t="n">
        <f aca="false">(T17+T18)*Inputs!$E$26</f>
        <v>50.9774981133871</v>
      </c>
      <c r="U19" s="68" t="n">
        <f aca="false">(U17+U18)*Inputs!$E$26</f>
        <v>50.9774981133871</v>
      </c>
      <c r="V19" s="68" t="n">
        <f aca="false">(V17+V18)*Inputs!$E$26</f>
        <v>50.9774981133871</v>
      </c>
      <c r="W19" s="68" t="n">
        <f aca="false">(W17+W18)*Inputs!$E$26</f>
        <v>50.9774981133871</v>
      </c>
      <c r="X19" s="68" t="n">
        <f aca="false">(X17+X18)*Inputs!$E$26</f>
        <v>50.9774981133871</v>
      </c>
      <c r="Y19" s="68" t="n">
        <f aca="false">(Y17+Y18)*Inputs!$E$26</f>
        <v>50.9774981133871</v>
      </c>
      <c r="Z19" s="68" t="n">
        <f aca="false">(Z17+Z18)*Inputs!$E$26</f>
        <v>50.9774981133871</v>
      </c>
      <c r="AA19" s="68" t="n">
        <f aca="false">(AA17+AA18)*Inputs!$E$26</f>
        <v>50.9774981133871</v>
      </c>
      <c r="AB19" s="68" t="n">
        <f aca="false">(AB17+AB18)*Inputs!$E$26</f>
        <v>50.9774981133871</v>
      </c>
      <c r="AC19" s="68" t="n">
        <f aca="false">(AC17+AC18)*Inputs!$E$26</f>
        <v>50.9774981133871</v>
      </c>
      <c r="AD19" s="68" t="n">
        <f aca="false">(AD17+AD18)*Inputs!$E$26</f>
        <v>50.9774981133871</v>
      </c>
      <c r="AE19" s="68" t="n">
        <f aca="false">(AE17+AE18)*Inputs!$E$26</f>
        <v>50.9774981133871</v>
      </c>
      <c r="AF19" s="68" t="n">
        <f aca="false">(AF17+AF18)*Inputs!$E$26</f>
        <v>50.9774981133871</v>
      </c>
      <c r="AG19" s="68" t="n">
        <f aca="false">(AG17+AG18)*Inputs!$E$26</f>
        <v>50.9774981133871</v>
      </c>
      <c r="AH19" s="68" t="n">
        <f aca="false">(AH17+AH18)*Inputs!$E$26</f>
        <v>50.9774981133871</v>
      </c>
      <c r="AI19" s="68" t="n">
        <f aca="false">(AI17+AI18)*Inputs!$E$26</f>
        <v>50.9774981133871</v>
      </c>
      <c r="AJ19" s="68" t="n">
        <f aca="false">(AJ17+AJ18)*Inputs!$E$26</f>
        <v>50.9774981133871</v>
      </c>
      <c r="AK19" s="68" t="n">
        <f aca="false">(AK17+AK18)*Inputs!$E$26</f>
        <v>40.7819984907097</v>
      </c>
      <c r="AL19" s="68" t="n">
        <f aca="false">(AL17+AL18)*Inputs!$E$26</f>
        <v>30.5864988680323</v>
      </c>
      <c r="AM19" s="68" t="n">
        <f aca="false">(AM17+AM18)*Inputs!$E$26</f>
        <v>20.3909992453549</v>
      </c>
      <c r="AN19" s="68" t="n">
        <f aca="false">(AN17+AN18)*Inputs!$E$26</f>
        <v>10.1954996226774</v>
      </c>
      <c r="AO19" s="68" t="n">
        <f aca="false">(AO17+AO18)*Inputs!$E$26</f>
        <v>0</v>
      </c>
      <c r="AP19" s="68" t="n">
        <f aca="false">(AP17+AP18)*Inputs!$E$26</f>
        <v>0</v>
      </c>
      <c r="AQ19" s="68" t="n">
        <f aca="false">(AQ17+AQ18)*Inputs!$E$26</f>
        <v>0</v>
      </c>
      <c r="AR19" s="68" t="n">
        <f aca="false">(AR17+AR18)*Inputs!$E$26</f>
        <v>0</v>
      </c>
      <c r="AS19" s="68" t="n">
        <f aca="false">(AS17+AS18)*Inputs!$E$26</f>
        <v>0</v>
      </c>
      <c r="AT19" s="68" t="n">
        <f aca="false">(AT17+AT18)*Inputs!$E$26</f>
        <v>0</v>
      </c>
      <c r="AU19" s="68" t="n">
        <f aca="false">(AU17+AU18)*Inputs!$E$26</f>
        <v>0</v>
      </c>
      <c r="AV19" s="68" t="n">
        <f aca="false">(AV17+AV18)*Inputs!$E$26</f>
        <v>0</v>
      </c>
      <c r="AW19" s="68" t="n">
        <f aca="false">(AW17+AW18)*Inputs!$E$26</f>
        <v>0</v>
      </c>
      <c r="AX19" s="68" t="n">
        <f aca="false">(AX17+AX18)*Inputs!$E$26</f>
        <v>0</v>
      </c>
    </row>
    <row r="20" customFormat="false" ht="15" hidden="false" customHeight="false" outlineLevel="0" collapsed="false">
      <c r="A20" s="1" t="s">
        <v>53</v>
      </c>
      <c r="B20" s="1"/>
      <c r="C20" s="76" t="n">
        <f aca="false">SUM(D20:AX20)</f>
        <v>375</v>
      </c>
      <c r="D20" s="68" t="n">
        <f aca="false">Inputs!$E$27*SUMPRODUCT(--($B$8:$B$12+Inputs!$E$28-1=D$4),--(ROW($B$8:$B$12)-ROW($B$8)+1&lt;=Inputs!$E$5))</f>
        <v>0</v>
      </c>
      <c r="E20" s="68" t="n">
        <f aca="false">Inputs!$E$27*SUMPRODUCT(--($B$8:$B$12+Inputs!$E$28-1=E$4),--(ROW($B$8:$B$12)-ROW($B$8)+1&lt;=Inputs!$E$5))</f>
        <v>0</v>
      </c>
      <c r="F20" s="68" t="n">
        <f aca="false">Inputs!$E$27*SUMPRODUCT(--($B$8:$B$12+Inputs!$E$28-1=F$4),--(ROW($B$8:$B$12)-ROW($B$8)+1&lt;=Inputs!$E$5))</f>
        <v>0</v>
      </c>
      <c r="G20" s="68" t="n">
        <f aca="false">Inputs!$E$27*SUMPRODUCT(--($B$8:$B$12+Inputs!$E$28-1=G$4),--(ROW($B$8:$B$12)-ROW($B$8)+1&lt;=Inputs!$E$5))</f>
        <v>0</v>
      </c>
      <c r="H20" s="68" t="n">
        <f aca="false">Inputs!$E$27*SUMPRODUCT(--($B$8:$B$12+Inputs!$E$28-1=H$4),--(ROW($B$8:$B$12)-ROW($B$8)+1&lt;=Inputs!$E$5))</f>
        <v>0</v>
      </c>
      <c r="I20" s="68" t="n">
        <f aca="false">Inputs!$E$27*SUMPRODUCT(--($B$8:$B$12+Inputs!$E$28-1=I$4),--(ROW($B$8:$B$12)-ROW($B$8)+1&lt;=Inputs!$E$5))</f>
        <v>0</v>
      </c>
      <c r="J20" s="68" t="n">
        <f aca="false">Inputs!$E$27*SUMPRODUCT(--($B$8:$B$12+Inputs!$E$28-1=J$4),--(ROW($B$8:$B$12)-ROW($B$8)+1&lt;=Inputs!$E$5))</f>
        <v>0</v>
      </c>
      <c r="K20" s="68" t="n">
        <f aca="false">Inputs!$E$27*SUMPRODUCT(--($B$8:$B$12+Inputs!$E$28-1=K$4),--(ROW($B$8:$B$12)-ROW($B$8)+1&lt;=Inputs!$E$5))</f>
        <v>0</v>
      </c>
      <c r="L20" s="68" t="n">
        <f aca="false">Inputs!$E$27*SUMPRODUCT(--($B$8:$B$12+Inputs!$E$28-1=L$4),--(ROW($B$8:$B$12)-ROW($B$8)+1&lt;=Inputs!$E$5))</f>
        <v>0</v>
      </c>
      <c r="M20" s="68" t="n">
        <f aca="false">Inputs!$E$27*SUMPRODUCT(--($B$8:$B$12+Inputs!$E$28-1=M$4),--(ROW($B$8:$B$12)-ROW($B$8)+1&lt;=Inputs!$E$5))</f>
        <v>0</v>
      </c>
      <c r="N20" s="68" t="n">
        <f aca="false">Inputs!$E$27*SUMPRODUCT(--($B$8:$B$12+Inputs!$E$28-1=N$4),--(ROW($B$8:$B$12)-ROW($B$8)+1&lt;=Inputs!$E$5))</f>
        <v>0</v>
      </c>
      <c r="O20" s="68" t="n">
        <f aca="false">Inputs!$E$27*SUMPRODUCT(--($B$8:$B$12+Inputs!$E$28-1=O$4),--(ROW($B$8:$B$12)-ROW($B$8)+1&lt;=Inputs!$E$5))</f>
        <v>0</v>
      </c>
      <c r="P20" s="68" t="n">
        <f aca="false">Inputs!$E$27*SUMPRODUCT(--($B$8:$B$12+Inputs!$E$28-1=P$4),--(ROW($B$8:$B$12)-ROW($B$8)+1&lt;=Inputs!$E$5))</f>
        <v>0</v>
      </c>
      <c r="Q20" s="68" t="n">
        <f aca="false">Inputs!$E$27*SUMPRODUCT(--($B$8:$B$12+Inputs!$E$28-1=Q$4),--(ROW($B$8:$B$12)-ROW($B$8)+1&lt;=Inputs!$E$5))</f>
        <v>0</v>
      </c>
      <c r="R20" s="68" t="n">
        <f aca="false">Inputs!$E$27*SUMPRODUCT(--($B$8:$B$12+Inputs!$E$28-1=R$4),--(ROW($B$8:$B$12)-ROW($B$8)+1&lt;=Inputs!$E$5))</f>
        <v>0</v>
      </c>
      <c r="S20" s="68" t="n">
        <f aca="false">Inputs!$E$27*SUMPRODUCT(--($B$8:$B$12+Inputs!$E$28-1=S$4),--(ROW($B$8:$B$12)-ROW($B$8)+1&lt;=Inputs!$E$5))</f>
        <v>0</v>
      </c>
      <c r="T20" s="68" t="n">
        <f aca="false">Inputs!$E$27*SUMPRODUCT(--($B$8:$B$12+Inputs!$E$28-1=T$4),--(ROW($B$8:$B$12)-ROW($B$8)+1&lt;=Inputs!$E$5))</f>
        <v>0</v>
      </c>
      <c r="U20" s="68" t="n">
        <f aca="false">Inputs!$E$27*SUMPRODUCT(--($B$8:$B$12+Inputs!$E$28-1=U$4),--(ROW($B$8:$B$12)-ROW($B$8)+1&lt;=Inputs!$E$5))</f>
        <v>0</v>
      </c>
      <c r="V20" s="68" t="n">
        <f aca="false">Inputs!$E$27*SUMPRODUCT(--($B$8:$B$12+Inputs!$E$28-1=V$4),--(ROW($B$8:$B$12)-ROW($B$8)+1&lt;=Inputs!$E$5))</f>
        <v>0</v>
      </c>
      <c r="W20" s="68" t="n">
        <f aca="false">Inputs!$E$27*SUMPRODUCT(--($B$8:$B$12+Inputs!$E$28-1=W$4),--(ROW($B$8:$B$12)-ROW($B$8)+1&lt;=Inputs!$E$5))</f>
        <v>0</v>
      </c>
      <c r="X20" s="68" t="n">
        <f aca="false">Inputs!$E$27*SUMPRODUCT(--($B$8:$B$12+Inputs!$E$28-1=X$4),--(ROW($B$8:$B$12)-ROW($B$8)+1&lt;=Inputs!$E$5))</f>
        <v>75</v>
      </c>
      <c r="Y20" s="68" t="n">
        <f aca="false">Inputs!$E$27*SUMPRODUCT(--($B$8:$B$12+Inputs!$E$28-1=Y$4),--(ROW($B$8:$B$12)-ROW($B$8)+1&lt;=Inputs!$E$5))</f>
        <v>75</v>
      </c>
      <c r="Z20" s="68" t="n">
        <f aca="false">Inputs!$E$27*SUMPRODUCT(--($B$8:$B$12+Inputs!$E$28-1=Z$4),--(ROW($B$8:$B$12)-ROW($B$8)+1&lt;=Inputs!$E$5))</f>
        <v>75</v>
      </c>
      <c r="AA20" s="68" t="n">
        <f aca="false">Inputs!$E$27*SUMPRODUCT(--($B$8:$B$12+Inputs!$E$28-1=AA$4),--(ROW($B$8:$B$12)-ROW($B$8)+1&lt;=Inputs!$E$5))</f>
        <v>75</v>
      </c>
      <c r="AB20" s="68" t="n">
        <f aca="false">Inputs!$E$27*SUMPRODUCT(--($B$8:$B$12+Inputs!$E$28-1=AB$4),--(ROW($B$8:$B$12)-ROW($B$8)+1&lt;=Inputs!$E$5))</f>
        <v>75</v>
      </c>
      <c r="AC20" s="68" t="n">
        <f aca="false">Inputs!$E$27*SUMPRODUCT(--($B$8:$B$12+Inputs!$E$28-1=AC$4),--(ROW($B$8:$B$12)-ROW($B$8)+1&lt;=Inputs!$E$5))</f>
        <v>0</v>
      </c>
      <c r="AD20" s="68" t="n">
        <f aca="false">Inputs!$E$27*SUMPRODUCT(--($B$8:$B$12+Inputs!$E$28-1=AD$4),--(ROW($B$8:$B$12)-ROW($B$8)+1&lt;=Inputs!$E$5))</f>
        <v>0</v>
      </c>
      <c r="AE20" s="68" t="n">
        <f aca="false">Inputs!$E$27*SUMPRODUCT(--($B$8:$B$12+Inputs!$E$28-1=AE$4),--(ROW($B$8:$B$12)-ROW($B$8)+1&lt;=Inputs!$E$5))</f>
        <v>0</v>
      </c>
      <c r="AF20" s="68" t="n">
        <f aca="false">Inputs!$E$27*SUMPRODUCT(--($B$8:$B$12+Inputs!$E$28-1=AF$4),--(ROW($B$8:$B$12)-ROW($B$8)+1&lt;=Inputs!$E$5))</f>
        <v>0</v>
      </c>
      <c r="AG20" s="68" t="n">
        <f aca="false">Inputs!$E$27*SUMPRODUCT(--($B$8:$B$12+Inputs!$E$28-1=AG$4),--(ROW($B$8:$B$12)-ROW($B$8)+1&lt;=Inputs!$E$5))</f>
        <v>0</v>
      </c>
      <c r="AH20" s="68" t="n">
        <f aca="false">Inputs!$E$27*SUMPRODUCT(--($B$8:$B$12+Inputs!$E$28-1=AH$4),--(ROW($B$8:$B$12)-ROW($B$8)+1&lt;=Inputs!$E$5))</f>
        <v>0</v>
      </c>
      <c r="AI20" s="68" t="n">
        <f aca="false">Inputs!$E$27*SUMPRODUCT(--($B$8:$B$12+Inputs!$E$28-1=AI$4),--(ROW($B$8:$B$12)-ROW($B$8)+1&lt;=Inputs!$E$5))</f>
        <v>0</v>
      </c>
      <c r="AJ20" s="68" t="n">
        <f aca="false">Inputs!$E$27*SUMPRODUCT(--($B$8:$B$12+Inputs!$E$28-1=AJ$4),--(ROW($B$8:$B$12)-ROW($B$8)+1&lt;=Inputs!$E$5))</f>
        <v>0</v>
      </c>
      <c r="AK20" s="68" t="n">
        <f aca="false">Inputs!$E$27*SUMPRODUCT(--($B$8:$B$12+Inputs!$E$28-1=AK$4),--(ROW($B$8:$B$12)-ROW($B$8)+1&lt;=Inputs!$E$5))</f>
        <v>0</v>
      </c>
      <c r="AL20" s="68" t="n">
        <f aca="false">Inputs!$E$27*SUMPRODUCT(--($B$8:$B$12+Inputs!$E$28-1=AL$4),--(ROW($B$8:$B$12)-ROW($B$8)+1&lt;=Inputs!$E$5))</f>
        <v>0</v>
      </c>
      <c r="AM20" s="68" t="n">
        <f aca="false">Inputs!$E$27*SUMPRODUCT(--($B$8:$B$12+Inputs!$E$28-1=AM$4),--(ROW($B$8:$B$12)-ROW($B$8)+1&lt;=Inputs!$E$5))</f>
        <v>0</v>
      </c>
      <c r="AN20" s="68" t="n">
        <f aca="false">Inputs!$E$27*SUMPRODUCT(--($B$8:$B$12+Inputs!$E$28-1=AN$4),--(ROW($B$8:$B$12)-ROW($B$8)+1&lt;=Inputs!$E$5))</f>
        <v>0</v>
      </c>
      <c r="AO20" s="68" t="n">
        <f aca="false">Inputs!$E$27*SUMPRODUCT(--($B$8:$B$12+Inputs!$E$28-1=AO$4),--(ROW($B$8:$B$12)-ROW($B$8)+1&lt;=Inputs!$E$5))</f>
        <v>0</v>
      </c>
      <c r="AP20" s="68" t="n">
        <f aca="false">Inputs!$E$27*SUMPRODUCT(--($B$8:$B$12+Inputs!$E$28-1=AP$4),--(ROW($B$8:$B$12)-ROW($B$8)+1&lt;=Inputs!$E$5))</f>
        <v>0</v>
      </c>
      <c r="AQ20" s="68" t="n">
        <f aca="false">Inputs!$E$27*SUMPRODUCT(--($B$8:$B$12+Inputs!$E$28-1=AQ$4),--(ROW($B$8:$B$12)-ROW($B$8)+1&lt;=Inputs!$E$5))</f>
        <v>0</v>
      </c>
      <c r="AR20" s="68" t="n">
        <f aca="false">Inputs!$E$27*SUMPRODUCT(--($B$8:$B$12+Inputs!$E$28-1=AR$4),--(ROW($B$8:$B$12)-ROW($B$8)+1&lt;=Inputs!$E$5))</f>
        <v>0</v>
      </c>
      <c r="AS20" s="68" t="n">
        <f aca="false">Inputs!$E$27*SUMPRODUCT(--($B$8:$B$12+Inputs!$E$28-1=AS$4),--(ROW($B$8:$B$12)-ROW($B$8)+1&lt;=Inputs!$E$5))</f>
        <v>0</v>
      </c>
      <c r="AT20" s="68" t="n">
        <f aca="false">Inputs!$E$27*SUMPRODUCT(--($B$8:$B$12+Inputs!$E$28-1=AT$4),--(ROW($B$8:$B$12)-ROW($B$8)+1&lt;=Inputs!$E$5))</f>
        <v>0</v>
      </c>
      <c r="AU20" s="68" t="n">
        <f aca="false">Inputs!$E$27*SUMPRODUCT(--($B$8:$B$12+Inputs!$E$28-1=AU$4),--(ROW($B$8:$B$12)-ROW($B$8)+1&lt;=Inputs!$E$5))</f>
        <v>0</v>
      </c>
      <c r="AV20" s="68" t="n">
        <f aca="false">Inputs!$E$27*SUMPRODUCT(--($B$8:$B$12+Inputs!$E$28-1=AV$4),--(ROW($B$8:$B$12)-ROW($B$8)+1&lt;=Inputs!$E$5))</f>
        <v>0</v>
      </c>
      <c r="AW20" s="68" t="n">
        <f aca="false">Inputs!$E$27*SUMPRODUCT(--($B$8:$B$12+Inputs!$E$28-1=AW$4),--(ROW($B$8:$B$12)-ROW($B$8)+1&lt;=Inputs!$E$5))</f>
        <v>0</v>
      </c>
      <c r="AX20" s="68" t="n">
        <f aca="false">Inputs!$E$27*SUMPRODUCT(--($B$8:$B$12+Inputs!$E$28-1=AX$4),--(ROW($B$8:$B$12)-ROW($B$8)+1&lt;=Inputs!$E$5))</f>
        <v>0</v>
      </c>
    </row>
    <row r="21" customFormat="false" ht="15" hidden="false" customHeight="false" outlineLevel="0" collapsed="false">
      <c r="A21" s="1" t="s">
        <v>54</v>
      </c>
      <c r="B21" s="1"/>
      <c r="C21" s="76" t="n">
        <f aca="false">SUM(D21:AX21)</f>
        <v>25</v>
      </c>
      <c r="D21" s="68" t="n">
        <f aca="false">Inputs!$E$29*SUMPRODUCT(--($B$8:$B$12+Inputs!$E$8=D$4),--(ROW($B$8:$B$12)-ROW($B$8)+1&lt;=Inputs!$E$5))</f>
        <v>0</v>
      </c>
      <c r="E21" s="68" t="n">
        <f aca="false">Inputs!$E$29*SUMPRODUCT(--($B$8:$B$12+Inputs!$E$8=E$4),--(ROW($B$8:$B$12)-ROW($B$8)+1&lt;=Inputs!$E$5))</f>
        <v>0</v>
      </c>
      <c r="F21" s="68" t="n">
        <f aca="false">Inputs!$E$29*SUMPRODUCT(--($B$8:$B$12+Inputs!$E$8=F$4),--(ROW($B$8:$B$12)-ROW($B$8)+1&lt;=Inputs!$E$5))</f>
        <v>0</v>
      </c>
      <c r="G21" s="68" t="n">
        <f aca="false">Inputs!$E$29*SUMPRODUCT(--($B$8:$B$12+Inputs!$E$8=G$4),--(ROW($B$8:$B$12)-ROW($B$8)+1&lt;=Inputs!$E$5))</f>
        <v>0</v>
      </c>
      <c r="H21" s="68" t="n">
        <f aca="false">Inputs!$E$29*SUMPRODUCT(--($B$8:$B$12+Inputs!$E$8=H$4),--(ROW($B$8:$B$12)-ROW($B$8)+1&lt;=Inputs!$E$5))</f>
        <v>0</v>
      </c>
      <c r="I21" s="68" t="n">
        <f aca="false">Inputs!$E$29*SUMPRODUCT(--($B$8:$B$12+Inputs!$E$8=I$4),--(ROW($B$8:$B$12)-ROW($B$8)+1&lt;=Inputs!$E$5))</f>
        <v>0</v>
      </c>
      <c r="J21" s="68" t="n">
        <f aca="false">Inputs!$E$29*SUMPRODUCT(--($B$8:$B$12+Inputs!$E$8=J$4),--(ROW($B$8:$B$12)-ROW($B$8)+1&lt;=Inputs!$E$5))</f>
        <v>0</v>
      </c>
      <c r="K21" s="68" t="n">
        <f aca="false">Inputs!$E$29*SUMPRODUCT(--($B$8:$B$12+Inputs!$E$8=K$4),--(ROW($B$8:$B$12)-ROW($B$8)+1&lt;=Inputs!$E$5))</f>
        <v>0</v>
      </c>
      <c r="L21" s="68" t="n">
        <f aca="false">Inputs!$E$29*SUMPRODUCT(--($B$8:$B$12+Inputs!$E$8=L$4),--(ROW($B$8:$B$12)-ROW($B$8)+1&lt;=Inputs!$E$5))</f>
        <v>0</v>
      </c>
      <c r="M21" s="68" t="n">
        <f aca="false">Inputs!$E$29*SUMPRODUCT(--($B$8:$B$12+Inputs!$E$8=M$4),--(ROW($B$8:$B$12)-ROW($B$8)+1&lt;=Inputs!$E$5))</f>
        <v>0</v>
      </c>
      <c r="N21" s="68" t="n">
        <f aca="false">Inputs!$E$29*SUMPRODUCT(--($B$8:$B$12+Inputs!$E$8=N$4),--(ROW($B$8:$B$12)-ROW($B$8)+1&lt;=Inputs!$E$5))</f>
        <v>0</v>
      </c>
      <c r="O21" s="68" t="n">
        <f aca="false">Inputs!$E$29*SUMPRODUCT(--($B$8:$B$12+Inputs!$E$8=O$4),--(ROW($B$8:$B$12)-ROW($B$8)+1&lt;=Inputs!$E$5))</f>
        <v>0</v>
      </c>
      <c r="P21" s="68" t="n">
        <f aca="false">Inputs!$E$29*SUMPRODUCT(--($B$8:$B$12+Inputs!$E$8=P$4),--(ROW($B$8:$B$12)-ROW($B$8)+1&lt;=Inputs!$E$5))</f>
        <v>0</v>
      </c>
      <c r="Q21" s="68" t="n">
        <f aca="false">Inputs!$E$29*SUMPRODUCT(--($B$8:$B$12+Inputs!$E$8=Q$4),--(ROW($B$8:$B$12)-ROW($B$8)+1&lt;=Inputs!$E$5))</f>
        <v>0</v>
      </c>
      <c r="R21" s="68" t="n">
        <f aca="false">Inputs!$E$29*SUMPRODUCT(--($B$8:$B$12+Inputs!$E$8=R$4),--(ROW($B$8:$B$12)-ROW($B$8)+1&lt;=Inputs!$E$5))</f>
        <v>0</v>
      </c>
      <c r="S21" s="68" t="n">
        <f aca="false">Inputs!$E$29*SUMPRODUCT(--($B$8:$B$12+Inputs!$E$8=S$4),--(ROW($B$8:$B$12)-ROW($B$8)+1&lt;=Inputs!$E$5))</f>
        <v>0</v>
      </c>
      <c r="T21" s="68" t="n">
        <f aca="false">Inputs!$E$29*SUMPRODUCT(--($B$8:$B$12+Inputs!$E$8=T$4),--(ROW($B$8:$B$12)-ROW($B$8)+1&lt;=Inputs!$E$5))</f>
        <v>0</v>
      </c>
      <c r="U21" s="68" t="n">
        <f aca="false">Inputs!$E$29*SUMPRODUCT(--($B$8:$B$12+Inputs!$E$8=U$4),--(ROW($B$8:$B$12)-ROW($B$8)+1&lt;=Inputs!$E$5))</f>
        <v>0</v>
      </c>
      <c r="V21" s="68" t="n">
        <f aca="false">Inputs!$E$29*SUMPRODUCT(--($B$8:$B$12+Inputs!$E$8=V$4),--(ROW($B$8:$B$12)-ROW($B$8)+1&lt;=Inputs!$E$5))</f>
        <v>0</v>
      </c>
      <c r="W21" s="68" t="n">
        <f aca="false">Inputs!$E$29*SUMPRODUCT(--($B$8:$B$12+Inputs!$E$8=W$4),--(ROW($B$8:$B$12)-ROW($B$8)+1&lt;=Inputs!$E$5))</f>
        <v>0</v>
      </c>
      <c r="X21" s="68" t="n">
        <f aca="false">Inputs!$E$29*SUMPRODUCT(--($B$8:$B$12+Inputs!$E$8=X$4),--(ROW($B$8:$B$12)-ROW($B$8)+1&lt;=Inputs!$E$5))</f>
        <v>0</v>
      </c>
      <c r="Y21" s="68" t="n">
        <f aca="false">Inputs!$E$29*SUMPRODUCT(--($B$8:$B$12+Inputs!$E$8=Y$4),--(ROW($B$8:$B$12)-ROW($B$8)+1&lt;=Inputs!$E$5))</f>
        <v>0</v>
      </c>
      <c r="Z21" s="68" t="n">
        <f aca="false">Inputs!$E$29*SUMPRODUCT(--($B$8:$B$12+Inputs!$E$8=Z$4),--(ROW($B$8:$B$12)-ROW($B$8)+1&lt;=Inputs!$E$5))</f>
        <v>0</v>
      </c>
      <c r="AA21" s="68" t="n">
        <f aca="false">Inputs!$E$29*SUMPRODUCT(--($B$8:$B$12+Inputs!$E$8=AA$4),--(ROW($B$8:$B$12)-ROW($B$8)+1&lt;=Inputs!$E$5))</f>
        <v>0</v>
      </c>
      <c r="AB21" s="68" t="n">
        <f aca="false">Inputs!$E$29*SUMPRODUCT(--($B$8:$B$12+Inputs!$E$8=AB$4),--(ROW($B$8:$B$12)-ROW($B$8)+1&lt;=Inputs!$E$5))</f>
        <v>0</v>
      </c>
      <c r="AC21" s="68" t="n">
        <f aca="false">Inputs!$E$29*SUMPRODUCT(--($B$8:$B$12+Inputs!$E$8=AC$4),--(ROW($B$8:$B$12)-ROW($B$8)+1&lt;=Inputs!$E$5))</f>
        <v>0</v>
      </c>
      <c r="AD21" s="68" t="n">
        <f aca="false">Inputs!$E$29*SUMPRODUCT(--($B$8:$B$12+Inputs!$E$8=AD$4),--(ROW($B$8:$B$12)-ROW($B$8)+1&lt;=Inputs!$E$5))</f>
        <v>0</v>
      </c>
      <c r="AE21" s="68" t="n">
        <f aca="false">Inputs!$E$29*SUMPRODUCT(--($B$8:$B$12+Inputs!$E$8=AE$4),--(ROW($B$8:$B$12)-ROW($B$8)+1&lt;=Inputs!$E$5))</f>
        <v>0</v>
      </c>
      <c r="AF21" s="68" t="n">
        <f aca="false">Inputs!$E$29*SUMPRODUCT(--($B$8:$B$12+Inputs!$E$8=AF$4),--(ROW($B$8:$B$12)-ROW($B$8)+1&lt;=Inputs!$E$5))</f>
        <v>0</v>
      </c>
      <c r="AG21" s="68" t="n">
        <f aca="false">Inputs!$E$29*SUMPRODUCT(--($B$8:$B$12+Inputs!$E$8=AG$4),--(ROW($B$8:$B$12)-ROW($B$8)+1&lt;=Inputs!$E$5))</f>
        <v>0</v>
      </c>
      <c r="AH21" s="68" t="n">
        <f aca="false">Inputs!$E$29*SUMPRODUCT(--($B$8:$B$12+Inputs!$E$8=AH$4),--(ROW($B$8:$B$12)-ROW($B$8)+1&lt;=Inputs!$E$5))</f>
        <v>0</v>
      </c>
      <c r="AI21" s="68" t="n">
        <f aca="false">Inputs!$E$29*SUMPRODUCT(--($B$8:$B$12+Inputs!$E$8=AI$4),--(ROW($B$8:$B$12)-ROW($B$8)+1&lt;=Inputs!$E$5))</f>
        <v>0</v>
      </c>
      <c r="AJ21" s="68" t="n">
        <f aca="false">Inputs!$E$29*SUMPRODUCT(--($B$8:$B$12+Inputs!$E$8=AJ$4),--(ROW($B$8:$B$12)-ROW($B$8)+1&lt;=Inputs!$E$5))</f>
        <v>0</v>
      </c>
      <c r="AK21" s="68" t="n">
        <f aca="false">Inputs!$E$29*SUMPRODUCT(--($B$8:$B$12+Inputs!$E$8=AK$4),--(ROW($B$8:$B$12)-ROW($B$8)+1&lt;=Inputs!$E$5))</f>
        <v>5</v>
      </c>
      <c r="AL21" s="68" t="n">
        <f aca="false">Inputs!$E$29*SUMPRODUCT(--($B$8:$B$12+Inputs!$E$8=AL$4),--(ROW($B$8:$B$12)-ROW($B$8)+1&lt;=Inputs!$E$5))</f>
        <v>5</v>
      </c>
      <c r="AM21" s="68" t="n">
        <f aca="false">Inputs!$E$29*SUMPRODUCT(--($B$8:$B$12+Inputs!$E$8=AM$4),--(ROW($B$8:$B$12)-ROW($B$8)+1&lt;=Inputs!$E$5))</f>
        <v>5</v>
      </c>
      <c r="AN21" s="68" t="n">
        <f aca="false">Inputs!$E$29*SUMPRODUCT(--($B$8:$B$12+Inputs!$E$8=AN$4),--(ROW($B$8:$B$12)-ROW($B$8)+1&lt;=Inputs!$E$5))</f>
        <v>5</v>
      </c>
      <c r="AO21" s="68" t="n">
        <f aca="false">Inputs!$E$29*SUMPRODUCT(--($B$8:$B$12+Inputs!$E$8=AO$4),--(ROW($B$8:$B$12)-ROW($B$8)+1&lt;=Inputs!$E$5))</f>
        <v>5</v>
      </c>
      <c r="AP21" s="68" t="n">
        <f aca="false">Inputs!$E$29*SUMPRODUCT(--($B$8:$B$12+Inputs!$E$8=AP$4),--(ROW($B$8:$B$12)-ROW($B$8)+1&lt;=Inputs!$E$5))</f>
        <v>0</v>
      </c>
      <c r="AQ21" s="68" t="n">
        <f aca="false">Inputs!$E$29*SUMPRODUCT(--($B$8:$B$12+Inputs!$E$8=AQ$4),--(ROW($B$8:$B$12)-ROW($B$8)+1&lt;=Inputs!$E$5))</f>
        <v>0</v>
      </c>
      <c r="AR21" s="68" t="n">
        <f aca="false">Inputs!$E$29*SUMPRODUCT(--($B$8:$B$12+Inputs!$E$8=AR$4),--(ROW($B$8:$B$12)-ROW($B$8)+1&lt;=Inputs!$E$5))</f>
        <v>0</v>
      </c>
      <c r="AS21" s="68" t="n">
        <f aca="false">Inputs!$E$29*SUMPRODUCT(--($B$8:$B$12+Inputs!$E$8=AS$4),--(ROW($B$8:$B$12)-ROW($B$8)+1&lt;=Inputs!$E$5))</f>
        <v>0</v>
      </c>
      <c r="AT21" s="68" t="n">
        <f aca="false">Inputs!$E$29*SUMPRODUCT(--($B$8:$B$12+Inputs!$E$8=AT$4),--(ROW($B$8:$B$12)-ROW($B$8)+1&lt;=Inputs!$E$5))</f>
        <v>0</v>
      </c>
      <c r="AU21" s="68" t="n">
        <f aca="false">Inputs!$E$29*SUMPRODUCT(--($B$8:$B$12+Inputs!$E$8=AU$4),--(ROW($B$8:$B$12)-ROW($B$8)+1&lt;=Inputs!$E$5))</f>
        <v>0</v>
      </c>
      <c r="AV21" s="68" t="n">
        <f aca="false">Inputs!$E$29*SUMPRODUCT(--($B$8:$B$12+Inputs!$E$8=AV$4),--(ROW($B$8:$B$12)-ROW($B$8)+1&lt;=Inputs!$E$5))</f>
        <v>0</v>
      </c>
      <c r="AW21" s="68" t="n">
        <f aca="false">Inputs!$E$29*SUMPRODUCT(--($B$8:$B$12+Inputs!$E$8=AW$4),--(ROW($B$8:$B$12)-ROW($B$8)+1&lt;=Inputs!$E$5))</f>
        <v>0</v>
      </c>
      <c r="AX21" s="68" t="n">
        <f aca="false">Inputs!$E$29*SUMPRODUCT(--($B$8:$B$12+Inputs!$E$8=AX$4),--(ROW($B$8:$B$12)-ROW($B$8)+1&lt;=Inputs!$E$5))</f>
        <v>0</v>
      </c>
    </row>
    <row r="22" customFormat="false" ht="15" hidden="false" customHeight="false" outlineLevel="0" collapsed="false">
      <c r="A22" s="16" t="s">
        <v>319</v>
      </c>
      <c r="B22" s="1"/>
      <c r="C22" s="77" t="n">
        <f aca="false">SUM(D22:AX22)</f>
        <v>6039.98173160029</v>
      </c>
      <c r="D22" s="68" t="n">
        <f aca="false">SUM(D16:D21)</f>
        <v>46.2</v>
      </c>
      <c r="E22" s="68" t="n">
        <f aca="false">SUM(E16:E21)</f>
        <v>92.4</v>
      </c>
      <c r="F22" s="68" t="n">
        <f aca="false">SUM(F16:F21)</f>
        <v>184.8</v>
      </c>
      <c r="G22" s="68" t="n">
        <f aca="false">SUM(G16:G21)</f>
        <v>231</v>
      </c>
      <c r="H22" s="68" t="n">
        <f aca="false">SUM(H16:H21)</f>
        <v>277.2</v>
      </c>
      <c r="I22" s="68" t="n">
        <f aca="false">SUM(I16:I21)</f>
        <v>300.3</v>
      </c>
      <c r="J22" s="68" t="n">
        <f aca="false">SUM(J16:J21)</f>
        <v>300.3</v>
      </c>
      <c r="K22" s="68" t="n">
        <f aca="false">SUM(K16:K21)</f>
        <v>277.2</v>
      </c>
      <c r="L22" s="68" t="n">
        <f aca="false">SUM(L16:L21)</f>
        <v>234.539853852802</v>
      </c>
      <c r="M22" s="68" t="n">
        <f aca="false">SUM(M16:M21)</f>
        <v>214.979707705605</v>
      </c>
      <c r="N22" s="68" t="n">
        <f aca="false">SUM(N16:N21)</f>
        <v>195.419561558407</v>
      </c>
      <c r="O22" s="68" t="n">
        <f aca="false">SUM(O16:O21)</f>
        <v>175.859415411209</v>
      </c>
      <c r="P22" s="68" t="n">
        <f aca="false">SUM(P16:P21)</f>
        <v>179.399269264012</v>
      </c>
      <c r="Q22" s="68" t="n">
        <f aca="false">SUM(Q16:Q21)</f>
        <v>133.199269264012</v>
      </c>
      <c r="R22" s="68" t="n">
        <f aca="false">SUM(R16:R21)</f>
        <v>133.199269264012</v>
      </c>
      <c r="S22" s="68" t="n">
        <f aca="false">SUM(S16:S21)</f>
        <v>133.199269264012</v>
      </c>
      <c r="T22" s="68" t="n">
        <f aca="false">SUM(T16:T21)</f>
        <v>133.199269264012</v>
      </c>
      <c r="U22" s="68" t="n">
        <f aca="false">SUM(U16:U21)</f>
        <v>133.199269264012</v>
      </c>
      <c r="V22" s="68" t="n">
        <f aca="false">SUM(V16:V21)</f>
        <v>133.199269264012</v>
      </c>
      <c r="W22" s="68" t="n">
        <f aca="false">SUM(W16:W21)</f>
        <v>133.199269264012</v>
      </c>
      <c r="X22" s="68" t="n">
        <f aca="false">SUM(X16:X21)</f>
        <v>208.199269264012</v>
      </c>
      <c r="Y22" s="68" t="n">
        <f aca="false">SUM(Y16:Y21)</f>
        <v>208.199269264012</v>
      </c>
      <c r="Z22" s="68" t="n">
        <f aca="false">SUM(Z16:Z21)</f>
        <v>208.199269264012</v>
      </c>
      <c r="AA22" s="68" t="n">
        <f aca="false">SUM(AA16:AA21)</f>
        <v>208.199269264012</v>
      </c>
      <c r="AB22" s="68" t="n">
        <f aca="false">SUM(AB16:AB21)</f>
        <v>208.199269264012</v>
      </c>
      <c r="AC22" s="68" t="n">
        <f aca="false">SUM(AC16:AC21)</f>
        <v>133.199269264012</v>
      </c>
      <c r="AD22" s="68" t="n">
        <f aca="false">SUM(AD16:AD21)</f>
        <v>133.199269264012</v>
      </c>
      <c r="AE22" s="68" t="n">
        <f aca="false">SUM(AE16:AE21)</f>
        <v>133.199269264012</v>
      </c>
      <c r="AF22" s="68" t="n">
        <f aca="false">SUM(AF16:AF21)</f>
        <v>133.199269264012</v>
      </c>
      <c r="AG22" s="68" t="n">
        <f aca="false">SUM(AG16:AG21)</f>
        <v>133.199269264012</v>
      </c>
      <c r="AH22" s="68" t="n">
        <f aca="false">SUM(AH16:AH21)</f>
        <v>133.199269264012</v>
      </c>
      <c r="AI22" s="68" t="n">
        <f aca="false">SUM(AI16:AI21)</f>
        <v>133.199269264012</v>
      </c>
      <c r="AJ22" s="68" t="n">
        <f aca="false">SUM(AJ16:AJ21)</f>
        <v>133.199269264012</v>
      </c>
      <c r="AK22" s="68" t="n">
        <f aca="false">SUM(AK16:AK21)</f>
        <v>111.559415411209</v>
      </c>
      <c r="AL22" s="68" t="n">
        <f aca="false">SUM(AL16:AL21)</f>
        <v>84.9195615584069</v>
      </c>
      <c r="AM22" s="68" t="n">
        <f aca="false">SUM(AM16:AM21)</f>
        <v>58.2797077056046</v>
      </c>
      <c r="AN22" s="68" t="n">
        <f aca="false">SUM(AN16:AN21)</f>
        <v>31.6398538528023</v>
      </c>
      <c r="AO22" s="68" t="n">
        <f aca="false">SUM(AO16:AO21)</f>
        <v>5</v>
      </c>
      <c r="AP22" s="68" t="n">
        <f aca="false">SUM(AP16:AP21)</f>
        <v>0</v>
      </c>
      <c r="AQ22" s="68" t="n">
        <f aca="false">SUM(AQ16:AQ21)</f>
        <v>0</v>
      </c>
      <c r="AR22" s="68" t="n">
        <f aca="false">SUM(AR16:AR21)</f>
        <v>0</v>
      </c>
      <c r="AS22" s="68" t="n">
        <f aca="false">SUM(AS16:AS21)</f>
        <v>0</v>
      </c>
      <c r="AT22" s="68" t="n">
        <f aca="false">SUM(AT16:AT21)</f>
        <v>0</v>
      </c>
      <c r="AU22" s="68" t="n">
        <f aca="false">SUM(AU16:AU21)</f>
        <v>0</v>
      </c>
      <c r="AV22" s="68" t="n">
        <f aca="false">SUM(AV16:AV21)</f>
        <v>0</v>
      </c>
      <c r="AW22" s="68" t="n">
        <f aca="false">SUM(AW16:AW21)</f>
        <v>0</v>
      </c>
      <c r="AX22" s="68" t="n">
        <f aca="false">SUM(AX16:AX21)</f>
        <v>0</v>
      </c>
    </row>
    <row r="23" customFormat="false" ht="15" hidden="false" customHeight="false" outlineLevel="0" collapsed="false">
      <c r="A23" s="1" t="s">
        <v>320</v>
      </c>
      <c r="B23" s="1"/>
      <c r="C23" s="1"/>
      <c r="D23" s="68" t="n">
        <f aca="false">SUM($D22:D22)</f>
        <v>46.2</v>
      </c>
      <c r="E23" s="68" t="n">
        <f aca="false">SUM($D22:E22)</f>
        <v>138.6</v>
      </c>
      <c r="F23" s="68" t="n">
        <f aca="false">SUM($D22:F22)</f>
        <v>323.4</v>
      </c>
      <c r="G23" s="68" t="n">
        <f aca="false">SUM($D22:G22)</f>
        <v>554.4</v>
      </c>
      <c r="H23" s="68" t="n">
        <f aca="false">SUM($D22:H22)</f>
        <v>831.6</v>
      </c>
      <c r="I23" s="68" t="n">
        <f aca="false">SUM($D22:I22)</f>
        <v>1131.9</v>
      </c>
      <c r="J23" s="68" t="n">
        <f aca="false">SUM($D22:J22)</f>
        <v>1432.2</v>
      </c>
      <c r="K23" s="68" t="n">
        <f aca="false">SUM($D22:K22)</f>
        <v>1709.4</v>
      </c>
      <c r="L23" s="68" t="n">
        <f aca="false">SUM($D22:L22)</f>
        <v>1943.9398538528</v>
      </c>
      <c r="M23" s="68" t="n">
        <f aca="false">SUM($D22:M22)</f>
        <v>2158.91956155841</v>
      </c>
      <c r="N23" s="68" t="n">
        <f aca="false">SUM($D22:N22)</f>
        <v>2354.33912311681</v>
      </c>
      <c r="O23" s="68" t="n">
        <f aca="false">SUM($D22:O22)</f>
        <v>2530.19853852802</v>
      </c>
      <c r="P23" s="68" t="n">
        <f aca="false">SUM($D22:P22)</f>
        <v>2709.59780779203</v>
      </c>
      <c r="Q23" s="68" t="n">
        <f aca="false">SUM($D22:Q22)</f>
        <v>2842.79707705605</v>
      </c>
      <c r="R23" s="68" t="n">
        <f aca="false">SUM($D22:R22)</f>
        <v>2975.99634632006</v>
      </c>
      <c r="S23" s="68" t="n">
        <f aca="false">SUM($D22:S22)</f>
        <v>3109.19561558407</v>
      </c>
      <c r="T23" s="68" t="n">
        <f aca="false">SUM($D22:T22)</f>
        <v>3242.39488484808</v>
      </c>
      <c r="U23" s="68" t="n">
        <f aca="false">SUM($D22:U22)</f>
        <v>3375.59415411209</v>
      </c>
      <c r="V23" s="68" t="n">
        <f aca="false">SUM($D22:V22)</f>
        <v>3508.7934233761</v>
      </c>
      <c r="W23" s="68" t="n">
        <f aca="false">SUM($D22:W22)</f>
        <v>3641.99269264012</v>
      </c>
      <c r="X23" s="68" t="n">
        <f aca="false">SUM($D22:X22)</f>
        <v>3850.19196190413</v>
      </c>
      <c r="Y23" s="68" t="n">
        <f aca="false">SUM($D22:Y22)</f>
        <v>4058.39123116814</v>
      </c>
      <c r="Z23" s="68" t="n">
        <f aca="false">SUM($D22:Z22)</f>
        <v>4266.59050043215</v>
      </c>
      <c r="AA23" s="68" t="n">
        <f aca="false">SUM($D22:AA22)</f>
        <v>4474.78976969616</v>
      </c>
      <c r="AB23" s="68" t="n">
        <f aca="false">SUM($D22:AB22)</f>
        <v>4682.98903896017</v>
      </c>
      <c r="AC23" s="68" t="n">
        <f aca="false">SUM($D22:AC22)</f>
        <v>4816.18830822419</v>
      </c>
      <c r="AD23" s="68" t="n">
        <f aca="false">SUM($D22:AD22)</f>
        <v>4949.3875774882</v>
      </c>
      <c r="AE23" s="68" t="n">
        <f aca="false">SUM($D22:AE22)</f>
        <v>5082.58684675221</v>
      </c>
      <c r="AF23" s="68" t="n">
        <f aca="false">SUM($D22:AF22)</f>
        <v>5215.78611601622</v>
      </c>
      <c r="AG23" s="68" t="n">
        <f aca="false">SUM($D22:AG22)</f>
        <v>5348.98538528023</v>
      </c>
      <c r="AH23" s="68" t="n">
        <f aca="false">SUM($D22:AH22)</f>
        <v>5482.18465454424</v>
      </c>
      <c r="AI23" s="68" t="n">
        <f aca="false">SUM($D22:AI22)</f>
        <v>5615.38392380825</v>
      </c>
      <c r="AJ23" s="68" t="n">
        <f aca="false">SUM($D22:AJ22)</f>
        <v>5748.58319307227</v>
      </c>
      <c r="AK23" s="68" t="n">
        <f aca="false">SUM($D22:AK22)</f>
        <v>5860.14260848348</v>
      </c>
      <c r="AL23" s="68" t="n">
        <f aca="false">SUM($D22:AL22)</f>
        <v>5945.06217004188</v>
      </c>
      <c r="AM23" s="68" t="n">
        <f aca="false">SUM($D22:AM22)</f>
        <v>6003.34187774749</v>
      </c>
      <c r="AN23" s="68" t="n">
        <f aca="false">SUM($D22:AN22)</f>
        <v>6034.98173160029</v>
      </c>
      <c r="AO23" s="68" t="n">
        <f aca="false">SUM($D22:AO22)</f>
        <v>6039.98173160029</v>
      </c>
      <c r="AP23" s="68" t="n">
        <f aca="false">SUM($D22:AP22)</f>
        <v>6039.98173160029</v>
      </c>
      <c r="AQ23" s="68" t="n">
        <f aca="false">SUM($D22:AQ22)</f>
        <v>6039.98173160029</v>
      </c>
      <c r="AR23" s="68" t="n">
        <f aca="false">SUM($D22:AR22)</f>
        <v>6039.98173160029</v>
      </c>
      <c r="AS23" s="68" t="n">
        <f aca="false">SUM($D22:AS22)</f>
        <v>6039.98173160029</v>
      </c>
      <c r="AT23" s="68" t="n">
        <f aca="false">SUM($D22:AT22)</f>
        <v>6039.98173160029</v>
      </c>
      <c r="AU23" s="68" t="n">
        <f aca="false">SUM($D22:AU22)</f>
        <v>6039.98173160029</v>
      </c>
      <c r="AV23" s="68" t="n">
        <f aca="false">SUM($D22:AV22)</f>
        <v>6039.98173160029</v>
      </c>
      <c r="AW23" s="68" t="n">
        <f aca="false">SUM($D22:AW22)</f>
        <v>6039.98173160029</v>
      </c>
      <c r="AX23" s="68" t="n">
        <f aca="false">SUM($D22:AX22)</f>
        <v>6039.98173160029</v>
      </c>
    </row>
    <row r="24" customFormat="false" ht="15" hidden="false" customHeight="fals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customFormat="false" ht="15" hidden="false" customHeight="false" outlineLevel="0" collapsed="false">
      <c r="A25" s="1" t="s">
        <v>321</v>
      </c>
      <c r="B25" s="1"/>
      <c r="C25" s="1"/>
      <c r="D25" s="78" t="n">
        <f aca="false">IF(D$4&gt;=Inputs!$E$31,1/(1+Inputs!$E$30)^(D$4-Inputs!$E$31),0)</f>
        <v>0</v>
      </c>
      <c r="E25" s="78" t="n">
        <f aca="false">IF(E$4&gt;=Inputs!$E$31,1/(1+Inputs!$E$30)^(E$4-Inputs!$E$31),0)</f>
        <v>0</v>
      </c>
      <c r="F25" s="78" t="n">
        <f aca="false">IF(F$4&gt;=Inputs!$E$31,1/(1+Inputs!$E$30)^(F$4-Inputs!$E$31),0)</f>
        <v>0</v>
      </c>
      <c r="G25" s="78" t="n">
        <f aca="false">IF(G$4&gt;=Inputs!$E$31,1/(1+Inputs!$E$30)^(G$4-Inputs!$E$31),0)</f>
        <v>0</v>
      </c>
      <c r="H25" s="78" t="n">
        <f aca="false">IF(H$4&gt;=Inputs!$E$31,1/(1+Inputs!$E$30)^(H$4-Inputs!$E$31),0)</f>
        <v>0</v>
      </c>
      <c r="I25" s="78" t="n">
        <f aca="false">IF(I$4&gt;=Inputs!$E$31,1/(1+Inputs!$E$30)^(I$4-Inputs!$E$31),0)</f>
        <v>0</v>
      </c>
      <c r="J25" s="78" t="n">
        <f aca="false">IF(J$4&gt;=Inputs!$E$31,1/(1+Inputs!$E$30)^(J$4-Inputs!$E$31),0)</f>
        <v>0</v>
      </c>
      <c r="K25" s="78" t="n">
        <f aca="false">IF(K$4&gt;=Inputs!$E$31,1/(1+Inputs!$E$30)^(K$4-Inputs!$E$31),0)</f>
        <v>1</v>
      </c>
      <c r="L25" s="78" t="n">
        <f aca="false">IF(L$4&gt;=Inputs!$E$31,1/(1+Inputs!$E$30)^(L$4-Inputs!$E$31),0)</f>
        <v>0.966183574879227</v>
      </c>
      <c r="M25" s="78" t="n">
        <f aca="false">IF(M$4&gt;=Inputs!$E$31,1/(1+Inputs!$E$30)^(M$4-Inputs!$E$31),0)</f>
        <v>0.933510700366403</v>
      </c>
      <c r="N25" s="78" t="n">
        <f aca="false">IF(N$4&gt;=Inputs!$E$31,1/(1+Inputs!$E$30)^(N$4-Inputs!$E$31),0)</f>
        <v>0.901942705668022</v>
      </c>
      <c r="O25" s="78" t="n">
        <f aca="false">IF(O$4&gt;=Inputs!$E$31,1/(1+Inputs!$E$30)^(O$4-Inputs!$E$31),0)</f>
        <v>0.871442227698572</v>
      </c>
      <c r="P25" s="78" t="n">
        <f aca="false">IF(P$4&gt;=Inputs!$E$31,1/(1+Inputs!$E$30)^(P$4-Inputs!$E$31),0)</f>
        <v>0.841973166858524</v>
      </c>
      <c r="Q25" s="78" t="n">
        <f aca="false">IF(Q$4&gt;=Inputs!$E$31,1/(1+Inputs!$E$30)^(Q$4-Inputs!$E$31),0)</f>
        <v>0.813500644307753</v>
      </c>
      <c r="R25" s="78" t="n">
        <f aca="false">IF(R$4&gt;=Inputs!$E$31,1/(1+Inputs!$E$30)^(R$4-Inputs!$E$31),0)</f>
        <v>0.785990960683819</v>
      </c>
      <c r="S25" s="78" t="n">
        <f aca="false">IF(S$4&gt;=Inputs!$E$31,1/(1+Inputs!$E$30)^(S$4-Inputs!$E$31),0)</f>
        <v>0.759411556216251</v>
      </c>
      <c r="T25" s="78" t="n">
        <f aca="false">IF(T$4&gt;=Inputs!$E$31,1/(1+Inputs!$E$30)^(T$4-Inputs!$E$31),0)</f>
        <v>0.733730972189614</v>
      </c>
      <c r="U25" s="78" t="n">
        <f aca="false">IF(U$4&gt;=Inputs!$E$31,1/(1+Inputs!$E$30)^(U$4-Inputs!$E$31),0)</f>
        <v>0.708918813709772</v>
      </c>
      <c r="V25" s="78" t="n">
        <f aca="false">IF(V$4&gt;=Inputs!$E$31,1/(1+Inputs!$E$30)^(V$4-Inputs!$E$31),0)</f>
        <v>0.684945713729249</v>
      </c>
      <c r="W25" s="78" t="n">
        <f aca="false">IF(W$4&gt;=Inputs!$E$31,1/(1+Inputs!$E$30)^(W$4-Inputs!$E$31),0)</f>
        <v>0.661783298289129</v>
      </c>
      <c r="X25" s="78" t="n">
        <f aca="false">IF(X$4&gt;=Inputs!$E$31,1/(1+Inputs!$E$30)^(X$4-Inputs!$E$31),0)</f>
        <v>0.639404152936357</v>
      </c>
      <c r="Y25" s="78" t="n">
        <f aca="false">IF(Y$4&gt;=Inputs!$E$31,1/(1+Inputs!$E$30)^(Y$4-Inputs!$E$31),0)</f>
        <v>0.617781790276673</v>
      </c>
      <c r="Z25" s="78" t="n">
        <f aca="false">IF(Z$4&gt;=Inputs!$E$31,1/(1+Inputs!$E$30)^(Z$4-Inputs!$E$31),0)</f>
        <v>0.596890618624805</v>
      </c>
      <c r="AA25" s="78" t="n">
        <f aca="false">IF(AA$4&gt;=Inputs!$E$31,1/(1+Inputs!$E$30)^(AA$4-Inputs!$E$31),0)</f>
        <v>0.576705911714788</v>
      </c>
      <c r="AB25" s="78" t="n">
        <f aca="false">IF(AB$4&gt;=Inputs!$E$31,1/(1+Inputs!$E$30)^(AB$4-Inputs!$E$31),0)</f>
        <v>0.557203779434577</v>
      </c>
      <c r="AC25" s="78" t="n">
        <f aca="false">IF(AC$4&gt;=Inputs!$E$31,1/(1+Inputs!$E$30)^(AC$4-Inputs!$E$31),0)</f>
        <v>0.538361139550316</v>
      </c>
      <c r="AD25" s="78" t="n">
        <f aca="false">IF(AD$4&gt;=Inputs!$E$31,1/(1+Inputs!$E$30)^(AD$4-Inputs!$E$31),0)</f>
        <v>0.520155690386779</v>
      </c>
      <c r="AE25" s="78" t="n">
        <f aca="false">IF(AE$4&gt;=Inputs!$E$31,1/(1+Inputs!$E$30)^(AE$4-Inputs!$E$31),0)</f>
        <v>0.502565884431671</v>
      </c>
      <c r="AF25" s="78" t="n">
        <f aca="false">IF(AF$4&gt;=Inputs!$E$31,1/(1+Inputs!$E$30)^(AF$4-Inputs!$E$31),0)</f>
        <v>0.485570902832532</v>
      </c>
      <c r="AG25" s="78" t="n">
        <f aca="false">IF(AG$4&gt;=Inputs!$E$31,1/(1+Inputs!$E$30)^(AG$4-Inputs!$E$31),0)</f>
        <v>0.46915063075607</v>
      </c>
      <c r="AH25" s="78" t="n">
        <f aca="false">IF(AH$4&gt;=Inputs!$E$31,1/(1+Inputs!$E$30)^(AH$4-Inputs!$E$31),0)</f>
        <v>0.453285633580744</v>
      </c>
      <c r="AI25" s="78" t="n">
        <f aca="false">IF(AI$4&gt;=Inputs!$E$31,1/(1+Inputs!$E$30)^(AI$4-Inputs!$E$31),0)</f>
        <v>0.437957133894438</v>
      </c>
      <c r="AJ25" s="78" t="n">
        <f aca="false">IF(AJ$4&gt;=Inputs!$E$31,1/(1+Inputs!$E$30)^(AJ$4-Inputs!$E$31),0)</f>
        <v>0.423146989269989</v>
      </c>
      <c r="AK25" s="78" t="n">
        <f aca="false">IF(AK$4&gt;=Inputs!$E$31,1/(1+Inputs!$E$30)^(AK$4-Inputs!$E$31),0)</f>
        <v>0.40883767079226</v>
      </c>
      <c r="AL25" s="78" t="n">
        <f aca="false">IF(AL$4&gt;=Inputs!$E$31,1/(1+Inputs!$E$30)^(AL$4-Inputs!$E$31),0)</f>
        <v>0.395012242311362</v>
      </c>
      <c r="AM25" s="78" t="n">
        <f aca="false">IF(AM$4&gt;=Inputs!$E$31,1/(1+Inputs!$E$30)^(AM$4-Inputs!$E$31),0)</f>
        <v>0.381654340397451</v>
      </c>
      <c r="AN25" s="78" t="n">
        <f aca="false">IF(AN$4&gt;=Inputs!$E$31,1/(1+Inputs!$E$30)^(AN$4-Inputs!$E$31),0)</f>
        <v>0.368748154973383</v>
      </c>
      <c r="AO25" s="78" t="n">
        <f aca="false">IF(AO$4&gt;=Inputs!$E$31,1/(1+Inputs!$E$30)^(AO$4-Inputs!$E$31),0)</f>
        <v>0.356278410602302</v>
      </c>
      <c r="AP25" s="78" t="n">
        <f aca="false">IF(AP$4&gt;=Inputs!$E$31,1/(1+Inputs!$E$30)^(AP$4-Inputs!$E$31),0)</f>
        <v>0.344230348408022</v>
      </c>
      <c r="AQ25" s="78" t="n">
        <f aca="false">IF(AQ$4&gt;=Inputs!$E$31,1/(1+Inputs!$E$30)^(AQ$4-Inputs!$E$31),0)</f>
        <v>0.332589708606784</v>
      </c>
      <c r="AR25" s="78" t="n">
        <f aca="false">IF(AR$4&gt;=Inputs!$E$31,1/(1+Inputs!$E$30)^(AR$4-Inputs!$E$31),0)</f>
        <v>0.321342713629743</v>
      </c>
      <c r="AS25" s="78" t="n">
        <f aca="false">IF(AS$4&gt;=Inputs!$E$31,1/(1+Inputs!$E$30)^(AS$4-Inputs!$E$31),0)</f>
        <v>0.310476051816177</v>
      </c>
      <c r="AT25" s="78" t="n">
        <f aca="false">IF(AT$4&gt;=Inputs!$E$31,1/(1+Inputs!$E$30)^(AT$4-Inputs!$E$31),0)</f>
        <v>0.299976861658142</v>
      </c>
      <c r="AU25" s="78" t="n">
        <f aca="false">IF(AU$4&gt;=Inputs!$E$31,1/(1+Inputs!$E$30)^(AU$4-Inputs!$E$31),0)</f>
        <v>0.289832716577915</v>
      </c>
      <c r="AV25" s="78" t="n">
        <f aca="false">IF(AV$4&gt;=Inputs!$E$31,1/(1+Inputs!$E$30)^(AV$4-Inputs!$E$31),0)</f>
        <v>0.280031610220208</v>
      </c>
      <c r="AW25" s="78" t="n">
        <f aca="false">IF(AW$4&gt;=Inputs!$E$31,1/(1+Inputs!$E$30)^(AW$4-Inputs!$E$31),0)</f>
        <v>0.270561942241747</v>
      </c>
      <c r="AX25" s="78" t="n">
        <f aca="false">IF(AX$4&gt;=Inputs!$E$31,1/(1+Inputs!$E$30)^(AX$4-Inputs!$E$31),0)</f>
        <v>0.261412504581398</v>
      </c>
    </row>
    <row r="26" customFormat="false" ht="15" hidden="false" customHeight="false" outlineLevel="0" collapsed="false">
      <c r="A26" s="16" t="s">
        <v>322</v>
      </c>
      <c r="B26" s="1"/>
      <c r="C26" s="79" t="n">
        <f aca="false">SUM(D26:AX26)</f>
        <v>3117.92053474245</v>
      </c>
      <c r="D26" s="68" t="n">
        <f aca="false">D22*D25</f>
        <v>0</v>
      </c>
      <c r="E26" s="68" t="n">
        <f aca="false">E22*E25</f>
        <v>0</v>
      </c>
      <c r="F26" s="68" t="n">
        <f aca="false">F22*F25</f>
        <v>0</v>
      </c>
      <c r="G26" s="68" t="n">
        <f aca="false">G22*G25</f>
        <v>0</v>
      </c>
      <c r="H26" s="68" t="n">
        <f aca="false">H22*H25</f>
        <v>0</v>
      </c>
      <c r="I26" s="68" t="n">
        <f aca="false">I22*I25</f>
        <v>0</v>
      </c>
      <c r="J26" s="68" t="n">
        <f aca="false">J22*J25</f>
        <v>0</v>
      </c>
      <c r="K26" s="68" t="n">
        <f aca="false">K22*K25</f>
        <v>277.2</v>
      </c>
      <c r="L26" s="68" t="n">
        <f aca="false">L22*L25</f>
        <v>226.608554447152</v>
      </c>
      <c r="M26" s="68" t="n">
        <f aca="false">M22*M25</f>
        <v>200.685857504824</v>
      </c>
      <c r="N26" s="68" t="n">
        <f aca="false">N22*N25</f>
        <v>176.257248092448</v>
      </c>
      <c r="O26" s="68" t="n">
        <f aca="false">O22*O25</f>
        <v>153.251320727713</v>
      </c>
      <c r="P26" s="68" t="n">
        <f aca="false">P22*P25</f>
        <v>151.049370874325</v>
      </c>
      <c r="Q26" s="68" t="n">
        <f aca="false">Q22*Q25</f>
        <v>108.357691367595</v>
      </c>
      <c r="R26" s="68" t="n">
        <f aca="false">R22*R25</f>
        <v>104.693421611203</v>
      </c>
      <c r="S26" s="68" t="n">
        <f aca="false">S22*S25</f>
        <v>101.15306435865</v>
      </c>
      <c r="T26" s="68" t="n">
        <f aca="false">T22*T25</f>
        <v>97.7324293320293</v>
      </c>
      <c r="U26" s="68" t="n">
        <f aca="false">U22*U25</f>
        <v>94.4274679536516</v>
      </c>
      <c r="V26" s="68" t="n">
        <f aca="false">V22*V25</f>
        <v>91.2342685542527</v>
      </c>
      <c r="W26" s="68" t="n">
        <f aca="false">W22*W25</f>
        <v>88.1490517432393</v>
      </c>
      <c r="X26" s="68" t="n">
        <f aca="false">X22*X25</f>
        <v>133.123477405724</v>
      </c>
      <c r="Y26" s="68" t="n">
        <f aca="false">Y22*Y25</f>
        <v>128.621717300216</v>
      </c>
      <c r="Z26" s="68" t="n">
        <f aca="false">Z22*Z25</f>
        <v>124.272190628228</v>
      </c>
      <c r="AA26" s="68" t="n">
        <f aca="false">AA22*AA25</f>
        <v>120.069749399254</v>
      </c>
      <c r="AB26" s="68" t="n">
        <f aca="false">AB22*AB25</f>
        <v>116.009419709424</v>
      </c>
      <c r="AC26" s="68" t="n">
        <f aca="false">AC22*AC25</f>
        <v>71.7093103882427</v>
      </c>
      <c r="AD26" s="68" t="n">
        <f aca="false">AD22*AD25</f>
        <v>69.2843578630364</v>
      </c>
      <c r="AE26" s="68" t="n">
        <f aca="false">AE22*AE25</f>
        <v>66.9414085633202</v>
      </c>
      <c r="AF26" s="68" t="n">
        <f aca="false">AF22*AF25</f>
        <v>64.6776894331596</v>
      </c>
      <c r="AG26" s="68" t="n">
        <f aca="false">AG22*AG25</f>
        <v>62.4905211914586</v>
      </c>
      <c r="AH26" s="68" t="n">
        <f aca="false">AH22*AH25</f>
        <v>60.3773151608295</v>
      </c>
      <c r="AI26" s="68" t="n">
        <f aca="false">AI22*AI25</f>
        <v>58.3355702037</v>
      </c>
      <c r="AJ26" s="68" t="n">
        <f aca="false">AJ22*AJ25</f>
        <v>56.362869762029</v>
      </c>
      <c r="AK26" s="68" t="n">
        <f aca="false">AK22*AK25</f>
        <v>45.6096915516649</v>
      </c>
      <c r="AL26" s="68" t="n">
        <f aca="false">AL22*AL25</f>
        <v>33.5442664272841</v>
      </c>
      <c r="AM26" s="68" t="n">
        <f aca="false">AM22*AM25</f>
        <v>22.2427034029388</v>
      </c>
      <c r="AN26" s="68" t="n">
        <f aca="false">AN22*AN25</f>
        <v>11.6671377318483</v>
      </c>
      <c r="AO26" s="68" t="n">
        <f aca="false">AO22*AO25</f>
        <v>1.78139205301151</v>
      </c>
      <c r="AP26" s="68" t="n">
        <f aca="false">AP22*AP25</f>
        <v>0</v>
      </c>
      <c r="AQ26" s="68" t="n">
        <f aca="false">AQ22*AQ25</f>
        <v>0</v>
      </c>
      <c r="AR26" s="68" t="n">
        <f aca="false">AR22*AR25</f>
        <v>0</v>
      </c>
      <c r="AS26" s="68" t="n">
        <f aca="false">AS22*AS25</f>
        <v>0</v>
      </c>
      <c r="AT26" s="68" t="n">
        <f aca="false">AT22*AT25</f>
        <v>0</v>
      </c>
      <c r="AU26" s="68" t="n">
        <f aca="false">AU22*AU25</f>
        <v>0</v>
      </c>
      <c r="AV26" s="68" t="n">
        <f aca="false">AV22*AV25</f>
        <v>0</v>
      </c>
      <c r="AW26" s="68" t="n">
        <f aca="false">AW22*AW25</f>
        <v>0</v>
      </c>
      <c r="AX26" s="68" t="n">
        <f aca="false">AX22*AX25</f>
        <v>0</v>
      </c>
    </row>
    <row r="27" customFormat="false" ht="15" hidden="false" customHeight="fals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customFormat="false" ht="15" hidden="false" customHeight="false" outlineLevel="0" collapsed="false">
      <c r="A28" s="16" t="s">
        <v>323</v>
      </c>
      <c r="B28" s="1"/>
      <c r="C28" s="80" t="n">
        <f aca="false">Inputs!$E$9*(1+Inputs!$E$10)+Inputs!$E$5*Inputs!$E$8*(Inputs!$E$11*Inputs!$E$14*(Inputs!$E$15*Inputs!$E$17/Inputs!$E$16+(1-Inputs!$E$15))*Inputs!$E$18+Inputs!$E$23*Inputs!$E$24)*(1+Inputs!$E$26)+Inputs!$E$5*(Inputs!$E$27+Inputs!$E$29)</f>
        <v>6039.98173160029</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customFormat="false" ht="15" hidden="false" customHeight="false" outlineLevel="0" collapsed="false">
      <c r="A29" s="1" t="s">
        <v>324</v>
      </c>
      <c r="B29" s="1"/>
      <c r="C29" s="80" t="n">
        <f aca="false">ROUND(C22-C28,6)</f>
        <v>0</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customFormat="false" ht="15" hidden="false" customHeight="false" outlineLevel="0" collapsed="false">
      <c r="A30" s="1" t="s">
        <v>325</v>
      </c>
      <c r="B30" s="1"/>
      <c r="C30" s="1" t="str">
        <f aca="false">IF(ROUND(C5,6)=1,"OK","CHECK")</f>
        <v>OK</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14"/>
    <col collapsed="false" customWidth="true" hidden="false" outlineLevel="0" max="4" min="4" style="0" width="6"/>
    <col collapsed="false" customWidth="true" hidden="false" outlineLevel="0" max="5" min="5" style="0" width="14"/>
    <col collapsed="false" customWidth="true" hidden="false" outlineLevel="0" max="6" min="6" style="0" width="6"/>
    <col collapsed="false" customWidth="true" hidden="false" outlineLevel="0" max="7" min="7" style="0" width="14"/>
    <col collapsed="false" customWidth="true" hidden="false" outlineLevel="0" max="8" min="8" style="0" width="6"/>
    <col collapsed="false" customWidth="true" hidden="false" outlineLevel="0" max="9" min="9" style="0" width="14"/>
    <col collapsed="false" customWidth="true" hidden="false" outlineLevel="0" max="10" min="10" style="0" width="6"/>
    <col collapsed="false" customWidth="true" hidden="false" outlineLevel="0" max="11" min="11" style="0" width="14"/>
    <col collapsed="false" customWidth="true" hidden="false" outlineLevel="0" max="12" min="12" style="0" width="6"/>
    <col collapsed="false" customWidth="true" hidden="false" outlineLevel="0" max="13" min="13" style="0" width="14"/>
    <col collapsed="false" customWidth="true" hidden="false" outlineLevel="0" max="14" min="14" style="0" width="6"/>
    <col collapsed="false" customWidth="true" hidden="false" outlineLevel="0" max="15" min="15" style="0" width="14"/>
    <col collapsed="false" customWidth="true" hidden="false" outlineLevel="0" max="16" min="16" style="0" width="6"/>
    <col collapsed="false" customWidth="true" hidden="false" outlineLevel="0" max="17" min="17" style="0" width="14"/>
    <col collapsed="false" customWidth="true" hidden="false" outlineLevel="0" max="18" min="18" style="0" width="6"/>
    <col collapsed="false" customWidth="true" hidden="false" outlineLevel="0" max="19" min="19" style="0" width="14"/>
    <col collapsed="false" customWidth="true" hidden="false" outlineLevel="0" max="20" min="20" style="0" width="16"/>
  </cols>
  <sheetData>
    <row r="1" customFormat="false" ht="17.35" hidden="false" customHeight="false" outlineLevel="0" collapsed="false">
      <c r="A1" s="6" t="s">
        <v>326</v>
      </c>
      <c r="B1" s="1"/>
      <c r="C1" s="1"/>
      <c r="D1" s="1"/>
      <c r="E1" s="1"/>
      <c r="F1" s="1"/>
      <c r="G1" s="1"/>
      <c r="H1" s="1"/>
      <c r="I1" s="1"/>
      <c r="J1" s="1"/>
      <c r="K1" s="1"/>
      <c r="L1" s="1"/>
      <c r="M1" s="1"/>
      <c r="N1" s="1"/>
      <c r="O1" s="1"/>
      <c r="P1" s="1"/>
      <c r="Q1" s="1"/>
      <c r="R1" s="1"/>
      <c r="S1" s="1"/>
      <c r="T1" s="1"/>
    </row>
    <row r="2" customFormat="false" ht="15" hidden="false" customHeight="false" outlineLevel="0" collapsed="false">
      <c r="A2" s="7" t="s">
        <v>327</v>
      </c>
      <c r="B2" s="1"/>
      <c r="C2" s="1"/>
      <c r="D2" s="1"/>
      <c r="E2" s="1"/>
      <c r="F2" s="1"/>
      <c r="G2" s="1"/>
      <c r="H2" s="1"/>
      <c r="I2" s="1"/>
      <c r="J2" s="1"/>
      <c r="K2" s="1"/>
      <c r="L2" s="1"/>
      <c r="M2" s="1"/>
      <c r="N2" s="1"/>
      <c r="O2" s="1"/>
      <c r="P2" s="1"/>
      <c r="Q2" s="1"/>
      <c r="R2" s="1"/>
      <c r="S2" s="1"/>
      <c r="T2" s="1"/>
    </row>
    <row r="3" customFormat="false" ht="15" hidden="false" customHeight="false" outlineLevel="0" collapsed="false">
      <c r="A3" s="1"/>
      <c r="B3" s="1"/>
      <c r="C3" s="1"/>
      <c r="D3" s="1"/>
      <c r="E3" s="1"/>
      <c r="F3" s="1"/>
      <c r="G3" s="1"/>
      <c r="H3" s="1"/>
      <c r="I3" s="1"/>
      <c r="J3" s="1"/>
      <c r="K3" s="1"/>
      <c r="L3" s="1"/>
      <c r="M3" s="1"/>
      <c r="N3" s="1"/>
      <c r="O3" s="1"/>
      <c r="P3" s="1"/>
      <c r="Q3" s="1"/>
      <c r="R3" s="1"/>
      <c r="S3" s="1"/>
      <c r="T3" s="1"/>
    </row>
    <row r="4" customFormat="false" ht="69.75" hidden="false" customHeight="true" outlineLevel="0" collapsed="false">
      <c r="A4" s="20" t="s">
        <v>328</v>
      </c>
      <c r="B4" s="20" t="s">
        <v>329</v>
      </c>
      <c r="C4" s="20" t="s">
        <v>201</v>
      </c>
      <c r="D4" s="20" t="s">
        <v>330</v>
      </c>
      <c r="E4" s="20" t="s">
        <v>206</v>
      </c>
      <c r="F4" s="20" t="s">
        <v>331</v>
      </c>
      <c r="G4" s="20" t="s">
        <v>225</v>
      </c>
      <c r="H4" s="20" t="s">
        <v>332</v>
      </c>
      <c r="I4" s="20" t="s">
        <v>232</v>
      </c>
      <c r="J4" s="20" t="s">
        <v>333</v>
      </c>
      <c r="K4" s="20" t="s">
        <v>234</v>
      </c>
      <c r="L4" s="20" t="s">
        <v>334</v>
      </c>
      <c r="M4" s="20" t="s">
        <v>251</v>
      </c>
      <c r="N4" s="20" t="s">
        <v>335</v>
      </c>
      <c r="O4" s="20" t="s">
        <v>256</v>
      </c>
      <c r="P4" s="20" t="s">
        <v>336</v>
      </c>
      <c r="Q4" s="20" t="s">
        <v>258</v>
      </c>
      <c r="R4" s="20" t="s">
        <v>337</v>
      </c>
      <c r="S4" s="20" t="s">
        <v>264</v>
      </c>
      <c r="T4" s="20" t="s">
        <v>338</v>
      </c>
    </row>
    <row r="5" customFormat="false" ht="15" hidden="false" customHeight="false" outlineLevel="0" collapsed="false">
      <c r="A5" s="1" t="n">
        <v>1</v>
      </c>
      <c r="B5" s="81" t="n">
        <f aca="true">RAND()</f>
        <v>0.229761751764819</v>
      </c>
      <c r="C5" s="82" t="n">
        <f aca="false">ROUND(IF(B5&lt;(Inputs!$E$8-Inputs!$D$8)/(Inputs!$F$8-Inputs!$D$8),Inputs!$D$8+SQRT(B5*(Inputs!$F$8-Inputs!$D$8)*(Inputs!$E$8-Inputs!$D$8)),Inputs!$F$8-SQRT((1-B5)*(Inputs!$F$8-Inputs!$D$8)*(Inputs!$F$8-Inputs!$E$8))),0)</f>
        <v>23</v>
      </c>
      <c r="D5" s="81" t="n">
        <f aca="true">RAND()</f>
        <v>0.116102505349994</v>
      </c>
      <c r="E5" s="83" t="n">
        <f aca="false">IF(D5&lt;(Inputs!$E$10-Inputs!$D$10)/(Inputs!$F$10-Inputs!$D$10),Inputs!$D$10+SQRT(D5*(Inputs!$F$10-Inputs!$D$10)*(Inputs!$E$10-Inputs!$D$10)),Inputs!$F$10-SQRT((1-D5)*(Inputs!$F$10-Inputs!$D$10)*(Inputs!$F$10-Inputs!$E$10)))</f>
        <v>0.0340738177124304</v>
      </c>
      <c r="F5" s="81" t="n">
        <f aca="true">RAND()</f>
        <v>0.703436704736783</v>
      </c>
      <c r="G5" s="83" t="n">
        <f aca="false">IF(F5&lt;(Inputs!$E$15-Inputs!$D$15)/(Inputs!$F$15-Inputs!$D$15),Inputs!$D$15+SQRT(F5*(Inputs!$F$15-Inputs!$D$15)*(Inputs!$E$15-Inputs!$D$15)),Inputs!$F$15-SQRT((1-F5)*(Inputs!$F$15-Inputs!$D$15)*(Inputs!$F$15-Inputs!$E$15)))</f>
        <v>0.722985287734977</v>
      </c>
      <c r="H5" s="81" t="n">
        <f aca="true">RAND()</f>
        <v>0.455722215601115</v>
      </c>
      <c r="I5" s="82" t="n">
        <f aca="false">ROUND(IF(H5&lt;(Inputs!$E$17-Inputs!$D$17)/(Inputs!$F$17-Inputs!$D$17),Inputs!$D$17+SQRT(H5*(Inputs!$F$17-Inputs!$D$17)*(Inputs!$E$17-Inputs!$D$17)),Inputs!$F$17-SQRT((1-H5)*(Inputs!$F$17-Inputs!$D$17)*(Inputs!$F$17-Inputs!$E$17))),0)</f>
        <v>106</v>
      </c>
      <c r="J5" s="81" t="n">
        <f aca="true">RAND()</f>
        <v>0.182571302528915</v>
      </c>
      <c r="K5" s="83" t="n">
        <f aca="false">IF(J5&lt;(Inputs!$E$18-Inputs!$D$18)/(Inputs!$F$18-Inputs!$D$18),Inputs!$D$18+SQRT(J5*(Inputs!$F$18-Inputs!$D$18)*(Inputs!$E$18-Inputs!$D$18)),Inputs!$F$18-SQRT((1-J5)*(Inputs!$F$18-Inputs!$D$18)*(Inputs!$F$18-Inputs!$E$18)))</f>
        <v>0.979937447973475</v>
      </c>
      <c r="L5" s="81" t="n">
        <f aca="true">RAND()</f>
        <v>0.614132167046822</v>
      </c>
      <c r="M5" s="83" t="n">
        <f aca="false">IF(L5&lt;(Inputs!$E$24-Inputs!$D$24)/(Inputs!$F$24-Inputs!$D$24),Inputs!$D$24+SQRT(L5*(Inputs!$F$24-Inputs!$D$24)*(Inputs!$E$24-Inputs!$D$24)),Inputs!$F$24-SQRT((1-L5)*(Inputs!$F$24-Inputs!$D$24)*(Inputs!$F$24-Inputs!$E$24)))</f>
        <v>0.895683914475816</v>
      </c>
      <c r="N5" s="81" t="n">
        <f aca="true">RAND()</f>
        <v>0.289570161102037</v>
      </c>
      <c r="O5" s="83" t="n">
        <f aca="false">IF(N5&lt;(Inputs!$E$26-Inputs!$D$26)/(Inputs!$F$26-Inputs!$D$26),Inputs!$D$26+SQRT(N5*(Inputs!$F$26-Inputs!$D$26)*(Inputs!$E$26-Inputs!$D$26)),Inputs!$F$26-SQRT((1-N5)*(Inputs!$F$26-Inputs!$D$26)*(Inputs!$F$26-Inputs!$E$26)))</f>
        <v>0.519509623496053</v>
      </c>
      <c r="P5" s="81" t="n">
        <f aca="true">RAND()</f>
        <v>0.491045496838842</v>
      </c>
      <c r="Q5" s="82" t="n">
        <f aca="false">IF(P5&lt;(Inputs!$E$27-Inputs!$D$27)/(Inputs!$F$27-Inputs!$D$27),Inputs!$D$27+SQRT(P5*(Inputs!$F$27-Inputs!$D$27)*(Inputs!$E$27-Inputs!$D$27)),Inputs!$F$27-SQRT((1-P5)*(Inputs!$F$27-Inputs!$D$27)*(Inputs!$F$27-Inputs!$E$27)))</f>
        <v>88.2168406949864</v>
      </c>
      <c r="R5" s="81" t="n">
        <f aca="true">RAND()</f>
        <v>0.563293144665681</v>
      </c>
      <c r="S5" s="82" t="n">
        <f aca="false">IF(R5&lt;(Inputs!$E$29-Inputs!$D$29)/(Inputs!$F$29-Inputs!$D$29),Inputs!$D$29+SQRT(R5*(Inputs!$F$29-Inputs!$D$29)*(Inputs!$E$29-Inputs!$D$29)),Inputs!$F$29-SQRT((1-R5)*(Inputs!$F$29-Inputs!$D$29)*(Inputs!$F$29-Inputs!$E$29)))</f>
        <v>7.46528758389137</v>
      </c>
      <c r="T5" s="68" t="n">
        <f aca="false">Inputs!$E$9*(1+E5)+Inputs!$E$5*C5*(Inputs!$E$11*Inputs!$E$14*(G5*I5/Inputs!$E$16+(1-G5))*K5+Inputs!$E$23*M5)*(1+O5)+Inputs!$E$5*(Q5+S5)</f>
        <v>5692.57769426791</v>
      </c>
    </row>
    <row r="6" customFormat="false" ht="15" hidden="false" customHeight="false" outlineLevel="0" collapsed="false">
      <c r="A6" s="1" t="n">
        <v>2</v>
      </c>
      <c r="B6" s="81" t="n">
        <f aca="true">RAND()</f>
        <v>0.578179968899131</v>
      </c>
      <c r="C6" s="82" t="n">
        <f aca="false">ROUND(IF(B6&lt;(Inputs!$E$8-Inputs!$D$8)/(Inputs!$F$8-Inputs!$D$8),Inputs!$D$8+SQRT(B6*(Inputs!$F$8-Inputs!$D$8)*(Inputs!$E$8-Inputs!$D$8)),Inputs!$F$8-SQRT((1-B6)*(Inputs!$F$8-Inputs!$D$8)*(Inputs!$F$8-Inputs!$E$8))),0)</f>
        <v>25</v>
      </c>
      <c r="D6" s="81" t="n">
        <f aca="true">RAND()</f>
        <v>0.41151207825498</v>
      </c>
      <c r="E6" s="83" t="n">
        <f aca="false">IF(D6&lt;(Inputs!$E$10-Inputs!$D$10)/(Inputs!$F$10-Inputs!$D$10),Inputs!$D$10+SQRT(D6*(Inputs!$F$10-Inputs!$D$10)*(Inputs!$E$10-Inputs!$D$10)),Inputs!$F$10-SQRT((1-D6)*(Inputs!$F$10-Inputs!$D$10)*(Inputs!$F$10-Inputs!$E$10)))</f>
        <v>0.0671292445556562</v>
      </c>
      <c r="F6" s="81" t="n">
        <f aca="true">RAND()</f>
        <v>0.523681592402458</v>
      </c>
      <c r="G6" s="83" t="n">
        <f aca="false">IF(F6&lt;(Inputs!$E$15-Inputs!$D$15)/(Inputs!$F$15-Inputs!$D$15),Inputs!$D$15+SQRT(F6*(Inputs!$F$15-Inputs!$D$15)*(Inputs!$E$15-Inputs!$D$15)),Inputs!$F$15-SQRT((1-F6)*(Inputs!$F$15-Inputs!$D$15)*(Inputs!$F$15-Inputs!$E$15)))</f>
        <v>0.70239688451719</v>
      </c>
      <c r="H6" s="81" t="n">
        <f aca="true">RAND()</f>
        <v>0.677920203150145</v>
      </c>
      <c r="I6" s="82" t="n">
        <f aca="false">ROUND(IF(H6&lt;(Inputs!$E$17-Inputs!$D$17)/(Inputs!$F$17-Inputs!$D$17),Inputs!$D$17+SQRT(H6*(Inputs!$F$17-Inputs!$D$17)*(Inputs!$E$17-Inputs!$D$17)),Inputs!$F$17-SQRT((1-H6)*(Inputs!$F$17-Inputs!$D$17)*(Inputs!$F$17-Inputs!$E$17))),0)</f>
        <v>108</v>
      </c>
      <c r="J6" s="81" t="n">
        <f aca="true">RAND()</f>
        <v>0.11855476188896</v>
      </c>
      <c r="K6" s="83" t="n">
        <f aca="false">IF(J6&lt;(Inputs!$E$18-Inputs!$D$18)/(Inputs!$F$18-Inputs!$D$18),Inputs!$D$18+SQRT(J6*(Inputs!$F$18-Inputs!$D$18)*(Inputs!$E$18-Inputs!$D$18)),Inputs!$F$18-SQRT((1-J6)*(Inputs!$F$18-Inputs!$D$18)*(Inputs!$F$18-Inputs!$E$18)))</f>
        <v>0.964415965925488</v>
      </c>
      <c r="L6" s="81" t="n">
        <f aca="true">RAND()</f>
        <v>0.606405622729584</v>
      </c>
      <c r="M6" s="83" t="n">
        <f aca="false">IF(L6&lt;(Inputs!$E$24-Inputs!$D$24)/(Inputs!$F$24-Inputs!$D$24),Inputs!$D$24+SQRT(L6*(Inputs!$F$24-Inputs!$D$24)*(Inputs!$E$24-Inputs!$D$24)),Inputs!$F$24-SQRT((1-L6)*(Inputs!$F$24-Inputs!$D$24)*(Inputs!$F$24-Inputs!$E$24)))</f>
        <v>0.892652231918142</v>
      </c>
      <c r="N6" s="81" t="n">
        <f aca="true">RAND()</f>
        <v>0.33660534426609</v>
      </c>
      <c r="O6" s="83" t="n">
        <f aca="false">IF(N6&lt;(Inputs!$E$26-Inputs!$D$26)/(Inputs!$F$26-Inputs!$D$26),Inputs!$D$26+SQRT(N6*(Inputs!$F$26-Inputs!$D$26)*(Inputs!$E$26-Inputs!$D$26)),Inputs!$F$26-SQRT((1-N6)*(Inputs!$F$26-Inputs!$D$26)*(Inputs!$F$26-Inputs!$E$26)))</f>
        <v>0.536666705064057</v>
      </c>
      <c r="P6" s="81" t="n">
        <f aca="true">RAND()</f>
        <v>0.669750764891975</v>
      </c>
      <c r="Q6" s="82" t="n">
        <f aca="false">IF(P6&lt;(Inputs!$E$27-Inputs!$D$27)/(Inputs!$F$27-Inputs!$D$27),Inputs!$D$27+SQRT(P6*(Inputs!$F$27-Inputs!$D$27)*(Inputs!$E$27-Inputs!$D$27)),Inputs!$F$27-SQRT((1-P6)*(Inputs!$F$27-Inputs!$D$27)*(Inputs!$F$27-Inputs!$E$27)))</f>
        <v>100.231844887416</v>
      </c>
      <c r="R6" s="81" t="n">
        <f aca="true">RAND()</f>
        <v>0.961383442013911</v>
      </c>
      <c r="S6" s="82" t="n">
        <f aca="false">IF(R6&lt;(Inputs!$E$29-Inputs!$D$29)/(Inputs!$F$29-Inputs!$D$29),Inputs!$D$29+SQRT(R6*(Inputs!$F$29-Inputs!$D$29)*(Inputs!$E$29-Inputs!$D$29)),Inputs!$F$29-SQRT((1-R6)*(Inputs!$F$29-Inputs!$D$29)*(Inputs!$F$29-Inputs!$E$29)))</f>
        <v>12.7594303094544</v>
      </c>
      <c r="T6" s="68" t="n">
        <f aca="false">Inputs!$E$9*(1+E6)+Inputs!$E$5*C6*(Inputs!$E$11*Inputs!$E$14*(G6*I6/Inputs!$E$16+(1-G6))*K6+Inputs!$E$23*M6)*(1+O6)+Inputs!$E$5*(Q6+S6)</f>
        <v>6154.35719898699</v>
      </c>
    </row>
    <row r="7" customFormat="false" ht="15" hidden="false" customHeight="false" outlineLevel="0" collapsed="false">
      <c r="A7" s="1" t="n">
        <v>3</v>
      </c>
      <c r="B7" s="81" t="n">
        <f aca="true">RAND()</f>
        <v>0.772891375332214</v>
      </c>
      <c r="C7" s="82" t="n">
        <f aca="false">ROUND(IF(B7&lt;(Inputs!$E$8-Inputs!$D$8)/(Inputs!$F$8-Inputs!$D$8),Inputs!$D$8+SQRT(B7*(Inputs!$F$8-Inputs!$D$8)*(Inputs!$E$8-Inputs!$D$8)),Inputs!$F$8-SQRT((1-B7)*(Inputs!$F$8-Inputs!$D$8)*(Inputs!$F$8-Inputs!$E$8))),0)</f>
        <v>27</v>
      </c>
      <c r="D7" s="81" t="n">
        <f aca="true">RAND()</f>
        <v>0.292950794371305</v>
      </c>
      <c r="E7" s="83" t="n">
        <f aca="false">IF(D7&lt;(Inputs!$E$10-Inputs!$D$10)/(Inputs!$F$10-Inputs!$D$10),Inputs!$D$10+SQRT(D7*(Inputs!$F$10-Inputs!$D$10)*(Inputs!$E$10-Inputs!$D$10)),Inputs!$F$10-SQRT((1-D7)*(Inputs!$F$10-Inputs!$D$10)*(Inputs!$F$10-Inputs!$E$10)))</f>
        <v>0.0543583982206292</v>
      </c>
      <c r="F7" s="81" t="n">
        <f aca="true">RAND()</f>
        <v>0.918578753568826</v>
      </c>
      <c r="G7" s="83" t="n">
        <f aca="false">IF(F7&lt;(Inputs!$E$15-Inputs!$D$15)/(Inputs!$F$15-Inputs!$D$15),Inputs!$D$15+SQRT(F7*(Inputs!$F$15-Inputs!$D$15)*(Inputs!$E$15-Inputs!$D$15)),Inputs!$F$15-SQRT((1-F7)*(Inputs!$F$15-Inputs!$D$15)*(Inputs!$F$15-Inputs!$E$15)))</f>
        <v>0.759646252607429</v>
      </c>
      <c r="H7" s="81" t="n">
        <f aca="true">RAND()</f>
        <v>0.270593518266787</v>
      </c>
      <c r="I7" s="82" t="n">
        <f aca="false">ROUND(IF(H7&lt;(Inputs!$E$17-Inputs!$D$17)/(Inputs!$F$17-Inputs!$D$17),Inputs!$D$17+SQRT(H7*(Inputs!$F$17-Inputs!$D$17)*(Inputs!$E$17-Inputs!$D$17)),Inputs!$F$17-SQRT((1-H7)*(Inputs!$F$17-Inputs!$D$17)*(Inputs!$F$17-Inputs!$E$17))),0)</f>
        <v>105</v>
      </c>
      <c r="J7" s="81" t="n">
        <f aca="true">RAND()</f>
        <v>0.290544395810905</v>
      </c>
      <c r="K7" s="83" t="n">
        <f aca="false">IF(J7&lt;(Inputs!$E$18-Inputs!$D$18)/(Inputs!$F$18-Inputs!$D$18),Inputs!$D$18+SQRT(J7*(Inputs!$F$18-Inputs!$D$18)*(Inputs!$E$18-Inputs!$D$18)),Inputs!$F$18-SQRT((1-J7)*(Inputs!$F$18-Inputs!$D$18)*(Inputs!$F$18-Inputs!$E$18)))</f>
        <v>1.00084670307912</v>
      </c>
      <c r="L7" s="81" t="n">
        <f aca="true">RAND()</f>
        <v>0.977313783800626</v>
      </c>
      <c r="M7" s="83" t="n">
        <f aca="false">IF(L7&lt;(Inputs!$E$24-Inputs!$D$24)/(Inputs!$F$24-Inputs!$D$24),Inputs!$D$24+SQRT(L7*(Inputs!$F$24-Inputs!$D$24)*(Inputs!$E$24-Inputs!$D$24)),Inputs!$F$24-SQRT((1-L7)*(Inputs!$F$24-Inputs!$D$24)*(Inputs!$F$24-Inputs!$E$24)))</f>
        <v>1.12621184452875</v>
      </c>
      <c r="N7" s="81" t="n">
        <f aca="true">RAND()</f>
        <v>0.446506712667154</v>
      </c>
      <c r="O7" s="83" t="n">
        <f aca="false">IF(N7&lt;(Inputs!$E$26-Inputs!$D$26)/(Inputs!$F$26-Inputs!$D$26),Inputs!$D$26+SQRT(N7*(Inputs!$F$26-Inputs!$D$26)*(Inputs!$E$26-Inputs!$D$26)),Inputs!$F$26-SQRT((1-N7)*(Inputs!$F$26-Inputs!$D$26)*(Inputs!$F$26-Inputs!$E$26)))</f>
        <v>0.572577909941019</v>
      </c>
      <c r="P7" s="81" t="n">
        <f aca="true">RAND()</f>
        <v>0.155592611510745</v>
      </c>
      <c r="Q7" s="82" t="n">
        <f aca="false">IF(P7&lt;(Inputs!$E$27-Inputs!$D$27)/(Inputs!$F$27-Inputs!$D$27),Inputs!$D$27+SQRT(P7*(Inputs!$F$27-Inputs!$D$27)*(Inputs!$E$27-Inputs!$D$27)),Inputs!$F$27-SQRT((1-P7)*(Inputs!$F$27-Inputs!$D$27)*(Inputs!$F$27-Inputs!$E$27)))</f>
        <v>69.7226146536625</v>
      </c>
      <c r="R7" s="81" t="n">
        <f aca="true">RAND()</f>
        <v>0.411676646033573</v>
      </c>
      <c r="S7" s="82" t="n">
        <f aca="false">IF(R7&lt;(Inputs!$E$29-Inputs!$D$29)/(Inputs!$F$29-Inputs!$D$29),Inputs!$D$29+SQRT(R7*(Inputs!$F$29-Inputs!$D$29)*(Inputs!$E$29-Inputs!$D$29)),Inputs!$F$29-SQRT((1-R7)*(Inputs!$F$29-Inputs!$D$29)*(Inputs!$F$29-Inputs!$E$29)))</f>
        <v>6.25459915066007</v>
      </c>
      <c r="T7" s="68" t="n">
        <f aca="false">Inputs!$E$9*(1+E7)+Inputs!$E$5*C7*(Inputs!$E$11*Inputs!$E$14*(G7*I7/Inputs!$E$16+(1-G7))*K7+Inputs!$E$23*M7)*(1+O7)+Inputs!$E$5*(Q7+S7)</f>
        <v>6601.89954082983</v>
      </c>
    </row>
    <row r="8" customFormat="false" ht="15" hidden="false" customHeight="false" outlineLevel="0" collapsed="false">
      <c r="A8" s="1" t="n">
        <v>4</v>
      </c>
      <c r="B8" s="81" t="n">
        <f aca="true">RAND()</f>
        <v>0.204938800633025</v>
      </c>
      <c r="C8" s="82" t="n">
        <f aca="false">ROUND(IF(B8&lt;(Inputs!$E$8-Inputs!$D$8)/(Inputs!$F$8-Inputs!$D$8),Inputs!$D$8+SQRT(B8*(Inputs!$F$8-Inputs!$D$8)*(Inputs!$E$8-Inputs!$D$8)),Inputs!$F$8-SQRT((1-B8)*(Inputs!$F$8-Inputs!$D$8)*(Inputs!$F$8-Inputs!$E$8))),0)</f>
        <v>23</v>
      </c>
      <c r="D8" s="81" t="n">
        <f aca="true">RAND()</f>
        <v>0.872567928232084</v>
      </c>
      <c r="E8" s="83" t="n">
        <f aca="false">IF(D8&lt;(Inputs!$E$10-Inputs!$D$10)/(Inputs!$F$10-Inputs!$D$10),Inputs!$D$10+SQRT(D8*(Inputs!$F$10-Inputs!$D$10)*(Inputs!$E$10-Inputs!$D$10)),Inputs!$F$10-SQRT((1-D8)*(Inputs!$F$10-Inputs!$D$10)*(Inputs!$F$10-Inputs!$E$10)))</f>
        <v>0.138169892826896</v>
      </c>
      <c r="F8" s="81" t="n">
        <f aca="true">RAND()</f>
        <v>0.344131303195742</v>
      </c>
      <c r="G8" s="83" t="n">
        <f aca="false">IF(F8&lt;(Inputs!$E$15-Inputs!$D$15)/(Inputs!$F$15-Inputs!$D$15),Inputs!$D$15+SQRT(F8*(Inputs!$F$15-Inputs!$D$15)*(Inputs!$E$15-Inputs!$D$15)),Inputs!$F$15-SQRT((1-F8)*(Inputs!$F$15-Inputs!$D$15)*(Inputs!$F$15-Inputs!$E$15)))</f>
        <v>0.682961593908958</v>
      </c>
      <c r="H8" s="81" t="n">
        <f aca="true">RAND()</f>
        <v>0.372273098987808</v>
      </c>
      <c r="I8" s="82" t="n">
        <f aca="false">ROUND(IF(H8&lt;(Inputs!$E$17-Inputs!$D$17)/(Inputs!$F$17-Inputs!$D$17),Inputs!$D$17+SQRT(H8*(Inputs!$F$17-Inputs!$D$17)*(Inputs!$E$17-Inputs!$D$17)),Inputs!$F$17-SQRT((1-H8)*(Inputs!$F$17-Inputs!$D$17)*(Inputs!$F$17-Inputs!$E$17))),0)</f>
        <v>105</v>
      </c>
      <c r="J8" s="81" t="n">
        <f aca="true">RAND()</f>
        <v>0.15824308604445</v>
      </c>
      <c r="K8" s="83" t="n">
        <f aca="false">IF(J8&lt;(Inputs!$E$18-Inputs!$D$18)/(Inputs!$F$18-Inputs!$D$18),Inputs!$D$18+SQRT(J8*(Inputs!$F$18-Inputs!$D$18)*(Inputs!$E$18-Inputs!$D$18)),Inputs!$F$18-SQRT((1-J8)*(Inputs!$F$18-Inputs!$D$18)*(Inputs!$F$18-Inputs!$E$18)))</f>
        <v>0.97442115298459</v>
      </c>
      <c r="L8" s="81" t="n">
        <f aca="true">RAND()</f>
        <v>0.914166704657783</v>
      </c>
      <c r="M8" s="83" t="n">
        <f aca="false">IF(L8&lt;(Inputs!$E$24-Inputs!$D$24)/(Inputs!$F$24-Inputs!$D$24),Inputs!$D$24+SQRT(L8*(Inputs!$F$24-Inputs!$D$24)*(Inputs!$E$24-Inputs!$D$24)),Inputs!$F$24-SQRT((1-L8)*(Inputs!$F$24-Inputs!$D$24)*(Inputs!$F$24-Inputs!$E$24)))</f>
        <v>1.05647303081953</v>
      </c>
      <c r="N8" s="81" t="n">
        <f aca="true">RAND()</f>
        <v>0.727039409218105</v>
      </c>
      <c r="O8" s="83" t="n">
        <f aca="false">IF(N8&lt;(Inputs!$E$26-Inputs!$D$26)/(Inputs!$F$26-Inputs!$D$26),Inputs!$D$26+SQRT(N8*(Inputs!$F$26-Inputs!$D$26)*(Inputs!$E$26-Inputs!$D$26)),Inputs!$F$26-SQRT((1-N8)*(Inputs!$F$26-Inputs!$D$26)*(Inputs!$F$26-Inputs!$E$26)))</f>
        <v>0.651512904229086</v>
      </c>
      <c r="P8" s="81" t="n">
        <f aca="true">RAND()</f>
        <v>0.14015443705131</v>
      </c>
      <c r="Q8" s="82" t="n">
        <f aca="false">IF(P8&lt;(Inputs!$E$27-Inputs!$D$27)/(Inputs!$F$27-Inputs!$D$27),Inputs!$D$27+SQRT(P8*(Inputs!$F$27-Inputs!$D$27)*(Inputs!$E$27-Inputs!$D$27)),Inputs!$F$27-SQRT((1-P8)*(Inputs!$F$27-Inputs!$D$27)*(Inputs!$F$27-Inputs!$E$27)))</f>
        <v>68.7186028492587</v>
      </c>
      <c r="R8" s="81" t="n">
        <f aca="true">RAND()</f>
        <v>0.691284829495758</v>
      </c>
      <c r="S8" s="82" t="n">
        <f aca="false">IF(R8&lt;(Inputs!$E$29-Inputs!$D$29)/(Inputs!$F$29-Inputs!$D$29),Inputs!$D$29+SQRT(R8*(Inputs!$F$29-Inputs!$D$29)*(Inputs!$E$29-Inputs!$D$29)),Inputs!$F$29-SQRT((1-R8)*(Inputs!$F$29-Inputs!$D$29)*(Inputs!$F$29-Inputs!$E$29)))</f>
        <v>8.66494102903916</v>
      </c>
      <c r="T8" s="68" t="n">
        <f aca="false">Inputs!$E$9*(1+E8)+Inputs!$E$5*C8*(Inputs!$E$11*Inputs!$E$14*(G8*I8/Inputs!$E$16+(1-G8))*K8+Inputs!$E$23*M8)*(1+O8)+Inputs!$E$5*(Q8+S8)</f>
        <v>6330.2148550997</v>
      </c>
    </row>
    <row r="9" customFormat="false" ht="15" hidden="false" customHeight="false" outlineLevel="0" collapsed="false">
      <c r="A9" s="1" t="n">
        <v>5</v>
      </c>
      <c r="B9" s="81" t="n">
        <f aca="true">RAND()</f>
        <v>0.886635608524701</v>
      </c>
      <c r="C9" s="82" t="n">
        <f aca="false">ROUND(IF(B9&lt;(Inputs!$E$8-Inputs!$D$8)/(Inputs!$F$8-Inputs!$D$8),Inputs!$D$8+SQRT(B9*(Inputs!$F$8-Inputs!$D$8)*(Inputs!$E$8-Inputs!$D$8)),Inputs!$F$8-SQRT((1-B9)*(Inputs!$F$8-Inputs!$D$8)*(Inputs!$F$8-Inputs!$E$8))),0)</f>
        <v>28</v>
      </c>
      <c r="D9" s="81" t="n">
        <f aca="true">RAND()</f>
        <v>0.938573795907081</v>
      </c>
      <c r="E9" s="83" t="n">
        <f aca="false">IF(D9&lt;(Inputs!$E$10-Inputs!$D$10)/(Inputs!$F$10-Inputs!$D$10),Inputs!$D$10+SQRT(D9*(Inputs!$F$10-Inputs!$D$10)*(Inputs!$E$10-Inputs!$D$10)),Inputs!$F$10-SQRT((1-D9)*(Inputs!$F$10-Inputs!$D$10)*(Inputs!$F$10-Inputs!$E$10)))</f>
        <v>0.157072315194183</v>
      </c>
      <c r="F9" s="81" t="n">
        <f aca="true">RAND()</f>
        <v>0.374192335228745</v>
      </c>
      <c r="G9" s="83" t="n">
        <f aca="false">IF(F9&lt;(Inputs!$E$15-Inputs!$D$15)/(Inputs!$F$15-Inputs!$D$15),Inputs!$D$15+SQRT(F9*(Inputs!$F$15-Inputs!$D$15)*(Inputs!$E$15-Inputs!$D$15)),Inputs!$F$15-SQRT((1-F9)*(Inputs!$F$15-Inputs!$D$15)*(Inputs!$F$15-Inputs!$E$15)))</f>
        <v>0.686509229013874</v>
      </c>
      <c r="H9" s="81" t="n">
        <f aca="true">RAND()</f>
        <v>0.665153972564843</v>
      </c>
      <c r="I9" s="82" t="n">
        <f aca="false">ROUND(IF(H9&lt;(Inputs!$E$17-Inputs!$D$17)/(Inputs!$F$17-Inputs!$D$17),Inputs!$D$17+SQRT(H9*(Inputs!$F$17-Inputs!$D$17)*(Inputs!$E$17-Inputs!$D$17)),Inputs!$F$17-SQRT((1-H9)*(Inputs!$F$17-Inputs!$D$17)*(Inputs!$F$17-Inputs!$E$17))),0)</f>
        <v>108</v>
      </c>
      <c r="J9" s="81" t="n">
        <f aca="true">RAND()</f>
        <v>0.454413976230952</v>
      </c>
      <c r="K9" s="83" t="n">
        <f aca="false">IF(J9&lt;(Inputs!$E$18-Inputs!$D$18)/(Inputs!$F$18-Inputs!$D$18),Inputs!$D$18+SQRT(J9*(Inputs!$F$18-Inputs!$D$18)*(Inputs!$E$18-Inputs!$D$18)),Inputs!$F$18-SQRT((1-J9)*(Inputs!$F$18-Inputs!$D$18)*(Inputs!$F$18-Inputs!$E$18)))</f>
        <v>1.03150794733036</v>
      </c>
      <c r="L9" s="81" t="n">
        <f aca="true">RAND()</f>
        <v>0.169699412393234</v>
      </c>
      <c r="M9" s="83" t="n">
        <f aca="false">IF(L9&lt;(Inputs!$E$24-Inputs!$D$24)/(Inputs!$F$24-Inputs!$D$24),Inputs!$D$24+SQRT(L9*(Inputs!$F$24-Inputs!$D$24)*(Inputs!$E$24-Inputs!$D$24)),Inputs!$F$24-SQRT((1-L9)*(Inputs!$F$24-Inputs!$D$24)*(Inputs!$F$24-Inputs!$E$24)))</f>
        <v>0.742702240652304</v>
      </c>
      <c r="N9" s="81" t="n">
        <f aca="true">RAND()</f>
        <v>0.870523632328341</v>
      </c>
      <c r="O9" s="83" t="n">
        <f aca="false">IF(N9&lt;(Inputs!$E$26-Inputs!$D$26)/(Inputs!$F$26-Inputs!$D$26),Inputs!$D$26+SQRT(N9*(Inputs!$F$26-Inputs!$D$26)*(Inputs!$E$26-Inputs!$D$26)),Inputs!$F$26-SQRT((1-N9)*(Inputs!$F$26-Inputs!$D$26)*(Inputs!$F$26-Inputs!$E$26)))</f>
        <v>0.703958876953674</v>
      </c>
      <c r="P9" s="81" t="n">
        <f aca="true">RAND()</f>
        <v>0.664812016355355</v>
      </c>
      <c r="Q9" s="82" t="n">
        <f aca="false">IF(P9&lt;(Inputs!$E$27-Inputs!$D$27)/(Inputs!$F$27-Inputs!$D$27),Inputs!$D$27+SQRT(P9*(Inputs!$F$27-Inputs!$D$27)*(Inputs!$E$27-Inputs!$D$27)),Inputs!$F$27-SQRT((1-P9)*(Inputs!$F$27-Inputs!$D$27)*(Inputs!$F$27-Inputs!$E$27)))</f>
        <v>99.861094174934</v>
      </c>
      <c r="R9" s="81" t="n">
        <f aca="true">RAND()</f>
        <v>0.402890523329065</v>
      </c>
      <c r="S9" s="82" t="n">
        <f aca="false">IF(R9&lt;(Inputs!$E$29-Inputs!$D$29)/(Inputs!$F$29-Inputs!$D$29),Inputs!$D$29+SQRT(R9*(Inputs!$F$29-Inputs!$D$29)*(Inputs!$E$29-Inputs!$D$29)),Inputs!$F$29-SQRT((1-R9)*(Inputs!$F$29-Inputs!$D$29)*(Inputs!$F$29-Inputs!$E$29)))</f>
        <v>6.18953849294933</v>
      </c>
      <c r="T9" s="68" t="n">
        <f aca="false">Inputs!$E$9*(1+E9)+Inputs!$E$5*C9*(Inputs!$E$11*Inputs!$E$14*(G9*I9/Inputs!$E$16+(1-G9))*K9+Inputs!$E$23*M9)*(1+O9)+Inputs!$E$5*(Q9+S9)</f>
        <v>7046.25223177826</v>
      </c>
    </row>
    <row r="10" customFormat="false" ht="15" hidden="false" customHeight="false" outlineLevel="0" collapsed="false">
      <c r="A10" s="1" t="n">
        <v>6</v>
      </c>
      <c r="B10" s="81" t="n">
        <f aca="true">RAND()</f>
        <v>0.869787326182674</v>
      </c>
      <c r="C10" s="82" t="n">
        <f aca="false">ROUND(IF(B10&lt;(Inputs!$E$8-Inputs!$D$8)/(Inputs!$F$8-Inputs!$D$8),Inputs!$D$8+SQRT(B10*(Inputs!$F$8-Inputs!$D$8)*(Inputs!$E$8-Inputs!$D$8)),Inputs!$F$8-SQRT((1-B10)*(Inputs!$F$8-Inputs!$D$8)*(Inputs!$F$8-Inputs!$E$8))),0)</f>
        <v>27</v>
      </c>
      <c r="D10" s="81" t="n">
        <f aca="true">RAND()</f>
        <v>0.433480110654726</v>
      </c>
      <c r="E10" s="83" t="n">
        <f aca="false">IF(D10&lt;(Inputs!$E$10-Inputs!$D$10)/(Inputs!$F$10-Inputs!$D$10),Inputs!$D$10+SQRT(D10*(Inputs!$F$10-Inputs!$D$10)*(Inputs!$E$10-Inputs!$D$10)),Inputs!$F$10-SQRT((1-D10)*(Inputs!$F$10-Inputs!$D$10)*(Inputs!$F$10-Inputs!$E$10)))</f>
        <v>0.0696328389495336</v>
      </c>
      <c r="F10" s="81" t="n">
        <f aca="true">RAND()</f>
        <v>0.866619334166106</v>
      </c>
      <c r="G10" s="83" t="n">
        <f aca="false">IF(F10&lt;(Inputs!$E$15-Inputs!$D$15)/(Inputs!$F$15-Inputs!$D$15),Inputs!$D$15+SQRT(F10*(Inputs!$F$15-Inputs!$D$15)*(Inputs!$E$15-Inputs!$D$15)),Inputs!$F$15-SQRT((1-F10)*(Inputs!$F$15-Inputs!$D$15)*(Inputs!$F$15-Inputs!$E$15)))</f>
        <v>0.748351056964562</v>
      </c>
      <c r="H10" s="81" t="n">
        <f aca="true">RAND()</f>
        <v>0.508483350836641</v>
      </c>
      <c r="I10" s="82" t="n">
        <f aca="false">ROUND(IF(H10&lt;(Inputs!$E$17-Inputs!$D$17)/(Inputs!$F$17-Inputs!$D$17),Inputs!$D$17+SQRT(H10*(Inputs!$F$17-Inputs!$D$17)*(Inputs!$E$17-Inputs!$D$17)),Inputs!$F$17-SQRT((1-H10)*(Inputs!$F$17-Inputs!$D$17)*(Inputs!$F$17-Inputs!$E$17))),0)</f>
        <v>106</v>
      </c>
      <c r="J10" s="81" t="n">
        <f aca="true">RAND()</f>
        <v>0.674251803571531</v>
      </c>
      <c r="K10" s="83" t="n">
        <f aca="false">IF(J10&lt;(Inputs!$E$18-Inputs!$D$18)/(Inputs!$F$18-Inputs!$D$18),Inputs!$D$18+SQRT(J10*(Inputs!$F$18-Inputs!$D$18)*(Inputs!$E$18-Inputs!$D$18)),Inputs!$F$18-SQRT((1-J10)*(Inputs!$F$18-Inputs!$D$18)*(Inputs!$F$18-Inputs!$E$18)))</f>
        <v>1.08117178201648</v>
      </c>
      <c r="L10" s="81" t="n">
        <f aca="true">RAND()</f>
        <v>0.684562624811802</v>
      </c>
      <c r="M10" s="83" t="n">
        <f aca="false">IF(L10&lt;(Inputs!$E$24-Inputs!$D$24)/(Inputs!$F$24-Inputs!$D$24),Inputs!$D$24+SQRT(L10*(Inputs!$F$24-Inputs!$D$24)*(Inputs!$E$24-Inputs!$D$24)),Inputs!$F$24-SQRT((1-L10)*(Inputs!$F$24-Inputs!$D$24)*(Inputs!$F$24-Inputs!$E$24)))</f>
        <v>0.924854638336083</v>
      </c>
      <c r="N10" s="81" t="n">
        <f aca="true">RAND()</f>
        <v>0.645723325668083</v>
      </c>
      <c r="O10" s="83" t="n">
        <f aca="false">IF(N10&lt;(Inputs!$E$26-Inputs!$D$26)/(Inputs!$F$26-Inputs!$D$26),Inputs!$D$26+SQRT(N10*(Inputs!$F$26-Inputs!$D$26)*(Inputs!$E$26-Inputs!$D$26)),Inputs!$F$26-SQRT((1-N10)*(Inputs!$F$26-Inputs!$D$26)*(Inputs!$F$26-Inputs!$E$26)))</f>
        <v>0.628050073898114</v>
      </c>
      <c r="P10" s="81" t="n">
        <f aca="true">RAND()</f>
        <v>0.980497615586171</v>
      </c>
      <c r="Q10" s="82" t="n">
        <f aca="false">IF(P10&lt;(Inputs!$E$27-Inputs!$D$27)/(Inputs!$F$27-Inputs!$D$27),Inputs!$D$27+SQRT(P10*(Inputs!$F$27-Inputs!$D$27)*(Inputs!$E$27-Inputs!$D$27)),Inputs!$F$27-SQRT((1-P10)*(Inputs!$F$27-Inputs!$D$27)*(Inputs!$F$27-Inputs!$E$27)))</f>
        <v>137.905874024812</v>
      </c>
      <c r="R10" s="81" t="n">
        <f aca="true">RAND()</f>
        <v>0.928909773004785</v>
      </c>
      <c r="S10" s="82" t="n">
        <f aca="false">IF(R10&lt;(Inputs!$E$29-Inputs!$D$29)/(Inputs!$F$29-Inputs!$D$29),Inputs!$D$29+SQRT(R10*(Inputs!$F$29-Inputs!$D$29)*(Inputs!$E$29-Inputs!$D$29)),Inputs!$F$29-SQRT((1-R10)*(Inputs!$F$29-Inputs!$D$29)*(Inputs!$F$29-Inputs!$E$29)))</f>
        <v>11.9599786991901</v>
      </c>
      <c r="T10" s="68" t="n">
        <f aca="false">Inputs!$E$9*(1+E10)+Inputs!$E$5*C10*(Inputs!$E$11*Inputs!$E$14*(G10*I10/Inputs!$E$16+(1-G10))*K10+Inputs!$E$23*M10)*(1+O10)+Inputs!$E$5*(Q10+S10)</f>
        <v>7042.32611867196</v>
      </c>
    </row>
    <row r="11" customFormat="false" ht="15" hidden="false" customHeight="false" outlineLevel="0" collapsed="false">
      <c r="A11" s="1" t="n">
        <v>7</v>
      </c>
      <c r="B11" s="81" t="n">
        <f aca="true">RAND()</f>
        <v>0.547368252274038</v>
      </c>
      <c r="C11" s="82" t="n">
        <f aca="false">ROUND(IF(B11&lt;(Inputs!$E$8-Inputs!$D$8)/(Inputs!$F$8-Inputs!$D$8),Inputs!$D$8+SQRT(B11*(Inputs!$F$8-Inputs!$D$8)*(Inputs!$E$8-Inputs!$D$8)),Inputs!$F$8-SQRT((1-B11)*(Inputs!$F$8-Inputs!$D$8)*(Inputs!$F$8-Inputs!$E$8))),0)</f>
        <v>25</v>
      </c>
      <c r="D11" s="81" t="n">
        <f aca="true">RAND()</f>
        <v>0.341663068678885</v>
      </c>
      <c r="E11" s="83" t="n">
        <f aca="false">IF(D11&lt;(Inputs!$E$10-Inputs!$D$10)/(Inputs!$F$10-Inputs!$D$10),Inputs!$D$10+SQRT(D11*(Inputs!$F$10-Inputs!$D$10)*(Inputs!$E$10-Inputs!$D$10)),Inputs!$F$10-SQRT((1-D11)*(Inputs!$F$10-Inputs!$D$10)*(Inputs!$F$10-Inputs!$E$10)))</f>
        <v>0.0594649227429911</v>
      </c>
      <c r="F11" s="81" t="n">
        <f aca="true">RAND()</f>
        <v>0.377103631530914</v>
      </c>
      <c r="G11" s="83" t="n">
        <f aca="false">IF(F11&lt;(Inputs!$E$15-Inputs!$D$15)/(Inputs!$F$15-Inputs!$D$15),Inputs!$D$15+SQRT(F11*(Inputs!$F$15-Inputs!$D$15)*(Inputs!$E$15-Inputs!$D$15)),Inputs!$F$15-SQRT((1-F11)*(Inputs!$F$15-Inputs!$D$15)*(Inputs!$F$15-Inputs!$E$15)))</f>
        <v>0.68684510711962</v>
      </c>
      <c r="H11" s="81" t="n">
        <f aca="true">RAND()</f>
        <v>0.451527664002344</v>
      </c>
      <c r="I11" s="82" t="n">
        <f aca="false">ROUND(IF(H11&lt;(Inputs!$E$17-Inputs!$D$17)/(Inputs!$F$17-Inputs!$D$17),Inputs!$D$17+SQRT(H11*(Inputs!$F$17-Inputs!$D$17)*(Inputs!$E$17-Inputs!$D$17)),Inputs!$F$17-SQRT((1-H11)*(Inputs!$F$17-Inputs!$D$17)*(Inputs!$F$17-Inputs!$E$17))),0)</f>
        <v>106</v>
      </c>
      <c r="J11" s="81" t="n">
        <f aca="true">RAND()</f>
        <v>0.123495466033377</v>
      </c>
      <c r="K11" s="83" t="n">
        <f aca="false">IF(J11&lt;(Inputs!$E$18-Inputs!$D$18)/(Inputs!$F$18-Inputs!$D$18),Inputs!$D$18+SQRT(J11*(Inputs!$F$18-Inputs!$D$18)*(Inputs!$E$18-Inputs!$D$18)),Inputs!$F$18-SQRT((1-J11)*(Inputs!$F$18-Inputs!$D$18)*(Inputs!$F$18-Inputs!$E$18)))</f>
        <v>0.965744515445535</v>
      </c>
      <c r="L11" s="81" t="n">
        <f aca="true">RAND()</f>
        <v>0.656735461959914</v>
      </c>
      <c r="M11" s="83" t="n">
        <f aca="false">IF(L11&lt;(Inputs!$E$24-Inputs!$D$24)/(Inputs!$F$24-Inputs!$D$24),Inputs!$D$24+SQRT(L11*(Inputs!$F$24-Inputs!$D$24)*(Inputs!$E$24-Inputs!$D$24)),Inputs!$F$24-SQRT((1-L11)*(Inputs!$F$24-Inputs!$D$24)*(Inputs!$F$24-Inputs!$E$24)))</f>
        <v>0.91297475872387</v>
      </c>
      <c r="N11" s="81" t="n">
        <f aca="true">RAND()</f>
        <v>0.407439358337139</v>
      </c>
      <c r="O11" s="83" t="n">
        <f aca="false">IF(N11&lt;(Inputs!$E$26-Inputs!$D$26)/(Inputs!$F$26-Inputs!$D$26),Inputs!$D$26+SQRT(N11*(Inputs!$F$26-Inputs!$D$26)*(Inputs!$E$26-Inputs!$D$26)),Inputs!$F$26-SQRT((1-N11)*(Inputs!$F$26-Inputs!$D$26)*(Inputs!$F$26-Inputs!$E$26)))</f>
        <v>0.560380316512789</v>
      </c>
      <c r="P11" s="81" t="n">
        <f aca="true">RAND()</f>
        <v>0.781803288571616</v>
      </c>
      <c r="Q11" s="82" t="n">
        <f aca="false">IF(P11&lt;(Inputs!$E$27-Inputs!$D$27)/(Inputs!$F$27-Inputs!$D$27),Inputs!$D$27+SQRT(P11*(Inputs!$F$27-Inputs!$D$27)*(Inputs!$E$27-Inputs!$D$27)),Inputs!$F$27-SQRT((1-P11)*(Inputs!$F$27-Inputs!$D$27)*(Inputs!$F$27-Inputs!$E$27)))</f>
        <v>109.546627634857</v>
      </c>
      <c r="R11" s="81" t="n">
        <f aca="true">RAND()</f>
        <v>0.154610778110779</v>
      </c>
      <c r="S11" s="82" t="n">
        <f aca="false">IF(R11&lt;(Inputs!$E$29-Inputs!$D$29)/(Inputs!$F$29-Inputs!$D$29),Inputs!$D$29+SQRT(R11*(Inputs!$F$29-Inputs!$D$29)*(Inputs!$E$29-Inputs!$D$29)),Inputs!$F$29-SQRT((1-R11)*(Inputs!$F$29-Inputs!$D$29)*(Inputs!$F$29-Inputs!$E$29)))</f>
        <v>4.45556925097224</v>
      </c>
      <c r="T11" s="68" t="n">
        <f aca="false">Inputs!$E$9*(1+E11)+Inputs!$E$5*C11*(Inputs!$E$11*Inputs!$E$14*(G11*I11/Inputs!$E$16+(1-G11))*K11+Inputs!$E$23*M11)*(1+O11)+Inputs!$E$5*(Q11+S11)</f>
        <v>6220.90056189919</v>
      </c>
    </row>
    <row r="12" customFormat="false" ht="15" hidden="false" customHeight="false" outlineLevel="0" collapsed="false">
      <c r="A12" s="1" t="n">
        <v>8</v>
      </c>
      <c r="B12" s="81" t="n">
        <f aca="true">RAND()</f>
        <v>0.646351319185885</v>
      </c>
      <c r="C12" s="82" t="n">
        <f aca="false">ROUND(IF(B12&lt;(Inputs!$E$8-Inputs!$D$8)/(Inputs!$F$8-Inputs!$D$8),Inputs!$D$8+SQRT(B12*(Inputs!$F$8-Inputs!$D$8)*(Inputs!$E$8-Inputs!$D$8)),Inputs!$F$8-SQRT((1-B12)*(Inputs!$F$8-Inputs!$D$8)*(Inputs!$F$8-Inputs!$E$8))),0)</f>
        <v>26</v>
      </c>
      <c r="D12" s="81" t="n">
        <f aca="true">RAND()</f>
        <v>0.210918876581524</v>
      </c>
      <c r="E12" s="83" t="n">
        <f aca="false">IF(D12&lt;(Inputs!$E$10-Inputs!$D$10)/(Inputs!$F$10-Inputs!$D$10),Inputs!$D$10+SQRT(D12*(Inputs!$F$10-Inputs!$D$10)*(Inputs!$E$10-Inputs!$D$10)),Inputs!$F$10-SQRT((1-D12)*(Inputs!$F$10-Inputs!$D$10)*(Inputs!$F$10-Inputs!$E$10)))</f>
        <v>0.0459259051714306</v>
      </c>
      <c r="F12" s="81" t="n">
        <f aca="true">RAND()</f>
        <v>0.397013137088941</v>
      </c>
      <c r="G12" s="83" t="n">
        <f aca="false">IF(F12&lt;(Inputs!$E$15-Inputs!$D$15)/(Inputs!$F$15-Inputs!$D$15),Inputs!$D$15+SQRT(F12*(Inputs!$F$15-Inputs!$D$15)*(Inputs!$E$15-Inputs!$D$15)),Inputs!$F$15-SQRT((1-F12)*(Inputs!$F$15-Inputs!$D$15)*(Inputs!$F$15-Inputs!$E$15)))</f>
        <v>0.689108151937849</v>
      </c>
      <c r="H12" s="81" t="n">
        <f aca="true">RAND()</f>
        <v>0.765338951590114</v>
      </c>
      <c r="I12" s="82" t="n">
        <f aca="false">ROUND(IF(H12&lt;(Inputs!$E$17-Inputs!$D$17)/(Inputs!$F$17-Inputs!$D$17),Inputs!$D$17+SQRT(H12*(Inputs!$F$17-Inputs!$D$17)*(Inputs!$E$17-Inputs!$D$17)),Inputs!$F$17-SQRT((1-H12)*(Inputs!$F$17-Inputs!$D$17)*(Inputs!$F$17-Inputs!$E$17))),0)</f>
        <v>109</v>
      </c>
      <c r="J12" s="81" t="n">
        <f aca="true">RAND()</f>
        <v>0.920978858074009</v>
      </c>
      <c r="K12" s="83" t="n">
        <f aca="false">IF(J12&lt;(Inputs!$E$18-Inputs!$D$18)/(Inputs!$F$18-Inputs!$D$18),Inputs!$D$18+SQRT(J12*(Inputs!$F$18-Inputs!$D$18)*(Inputs!$E$18-Inputs!$D$18)),Inputs!$F$18-SQRT((1-J12)*(Inputs!$F$18-Inputs!$D$18)*(Inputs!$F$18-Inputs!$E$18)))</f>
        <v>1.16684742987421</v>
      </c>
      <c r="L12" s="81" t="n">
        <f aca="true">RAND()</f>
        <v>0.0916086059400023</v>
      </c>
      <c r="M12" s="83" t="n">
        <f aca="false">IF(L12&lt;(Inputs!$E$24-Inputs!$D$24)/(Inputs!$F$24-Inputs!$D$24),Inputs!$D$24+SQRT(L12*(Inputs!$F$24-Inputs!$D$24)*(Inputs!$E$24-Inputs!$D$24)),Inputs!$F$24-SQRT((1-L12)*(Inputs!$F$24-Inputs!$D$24)*(Inputs!$F$24-Inputs!$E$24)))</f>
        <v>0.704847664317334</v>
      </c>
      <c r="N12" s="81" t="n">
        <f aca="true">RAND()</f>
        <v>0.31652936226499</v>
      </c>
      <c r="O12" s="83" t="n">
        <f aca="false">IF(N12&lt;(Inputs!$E$26-Inputs!$D$26)/(Inputs!$F$26-Inputs!$D$26),Inputs!$D$26+SQRT(N12*(Inputs!$F$26-Inputs!$D$26)*(Inputs!$E$26-Inputs!$D$26)),Inputs!$F$26-SQRT((1-N12)*(Inputs!$F$26-Inputs!$D$26)*(Inputs!$F$26-Inputs!$E$26)))</f>
        <v>0.529500513901155</v>
      </c>
      <c r="P12" s="81" t="n">
        <f aca="true">RAND()</f>
        <v>0.600406378785704</v>
      </c>
      <c r="Q12" s="82" t="n">
        <f aca="false">IF(P12&lt;(Inputs!$E$27-Inputs!$D$27)/(Inputs!$F$27-Inputs!$D$27),Inputs!$D$27+SQRT(P12*(Inputs!$F$27-Inputs!$D$27)*(Inputs!$E$27-Inputs!$D$27)),Inputs!$F$27-SQRT((1-P12)*(Inputs!$F$27-Inputs!$D$27)*(Inputs!$F$27-Inputs!$E$27)))</f>
        <v>95.2555741731889</v>
      </c>
      <c r="R12" s="81" t="n">
        <f aca="true">RAND()</f>
        <v>0.270669291083777</v>
      </c>
      <c r="S12" s="82" t="n">
        <f aca="false">IF(R12&lt;(Inputs!$E$29-Inputs!$D$29)/(Inputs!$F$29-Inputs!$D$29),Inputs!$D$29+SQRT(R12*(Inputs!$F$29-Inputs!$D$29)*(Inputs!$E$29-Inputs!$D$29)),Inputs!$F$29-SQRT((1-R12)*(Inputs!$F$29-Inputs!$D$29)*(Inputs!$F$29-Inputs!$E$29)))</f>
        <v>5.26280368077602</v>
      </c>
      <c r="T12" s="68" t="n">
        <f aca="false">Inputs!$E$9*(1+E12)+Inputs!$E$5*C12*(Inputs!$E$11*Inputs!$E$14*(G12*I12/Inputs!$E$16+(1-G12))*K12+Inputs!$E$23*M12)*(1+O12)+Inputs!$E$5*(Q12+S12)</f>
        <v>6364.82066918213</v>
      </c>
    </row>
    <row r="13" customFormat="false" ht="15" hidden="false" customHeight="false" outlineLevel="0" collapsed="false">
      <c r="A13" s="1" t="n">
        <v>9</v>
      </c>
      <c r="B13" s="81" t="n">
        <f aca="true">RAND()</f>
        <v>0.788850026911641</v>
      </c>
      <c r="C13" s="82" t="n">
        <f aca="false">ROUND(IF(B13&lt;(Inputs!$E$8-Inputs!$D$8)/(Inputs!$F$8-Inputs!$D$8),Inputs!$D$8+SQRT(B13*(Inputs!$F$8-Inputs!$D$8)*(Inputs!$E$8-Inputs!$D$8)),Inputs!$F$8-SQRT((1-B13)*(Inputs!$F$8-Inputs!$D$8)*(Inputs!$F$8-Inputs!$E$8))),0)</f>
        <v>27</v>
      </c>
      <c r="D13" s="81" t="n">
        <f aca="true">RAND()</f>
        <v>0.668440464662747</v>
      </c>
      <c r="E13" s="83" t="n">
        <f aca="false">IF(D13&lt;(Inputs!$E$10-Inputs!$D$10)/(Inputs!$F$10-Inputs!$D$10),Inputs!$D$10+SQRT(D13*(Inputs!$F$10-Inputs!$D$10)*(Inputs!$E$10-Inputs!$D$10)),Inputs!$F$10-SQRT((1-D13)*(Inputs!$F$10-Inputs!$D$10)*(Inputs!$F$10-Inputs!$E$10)))</f>
        <v>0.100266424609775</v>
      </c>
      <c r="F13" s="81" t="n">
        <f aca="true">RAND()</f>
        <v>0.967296837541803</v>
      </c>
      <c r="G13" s="83" t="n">
        <f aca="false">IF(F13&lt;(Inputs!$E$15-Inputs!$D$15)/(Inputs!$F$15-Inputs!$D$15),Inputs!$D$15+SQRT(F13*(Inputs!$F$15-Inputs!$D$15)*(Inputs!$E$15-Inputs!$D$15)),Inputs!$F$15-SQRT((1-F13)*(Inputs!$F$15-Inputs!$D$15)*(Inputs!$F$15-Inputs!$E$15)))</f>
        <v>0.774425339705796</v>
      </c>
      <c r="H13" s="81" t="n">
        <f aca="true">RAND()</f>
        <v>0.0497425396407538</v>
      </c>
      <c r="I13" s="82" t="n">
        <f aca="false">ROUND(IF(H13&lt;(Inputs!$E$17-Inputs!$D$17)/(Inputs!$F$17-Inputs!$D$17),Inputs!$D$17+SQRT(H13*(Inputs!$F$17-Inputs!$D$17)*(Inputs!$E$17-Inputs!$D$17)),Inputs!$F$17-SQRT((1-H13)*(Inputs!$F$17-Inputs!$D$17)*(Inputs!$F$17-Inputs!$E$17))),0)</f>
        <v>102</v>
      </c>
      <c r="J13" s="81" t="n">
        <f aca="true">RAND()</f>
        <v>0.000531921550987087</v>
      </c>
      <c r="K13" s="83" t="n">
        <f aca="false">IF(J13&lt;(Inputs!$E$18-Inputs!$D$18)/(Inputs!$F$18-Inputs!$D$18),Inputs!$D$18+SQRT(J13*(Inputs!$F$18-Inputs!$D$18)*(Inputs!$E$18-Inputs!$D$18)),Inputs!$F$18-SQRT((1-J13)*(Inputs!$F$18-Inputs!$D$18)*(Inputs!$F$18-Inputs!$E$18)))</f>
        <v>0.90431477163759</v>
      </c>
      <c r="L13" s="81" t="n">
        <f aca="true">RAND()</f>
        <v>0.588149869203626</v>
      </c>
      <c r="M13" s="83" t="n">
        <f aca="false">IF(L13&lt;(Inputs!$E$24-Inputs!$D$24)/(Inputs!$F$24-Inputs!$D$24),Inputs!$D$24+SQRT(L13*(Inputs!$F$24-Inputs!$D$24)*(Inputs!$E$24-Inputs!$D$24)),Inputs!$F$24-SQRT((1-L13)*(Inputs!$F$24-Inputs!$D$24)*(Inputs!$F$24-Inputs!$E$24)))</f>
        <v>0.885605293633735</v>
      </c>
      <c r="N13" s="81" t="n">
        <f aca="true">RAND()</f>
        <v>0.213913758379253</v>
      </c>
      <c r="O13" s="83" t="n">
        <f aca="false">IF(N13&lt;(Inputs!$E$26-Inputs!$D$26)/(Inputs!$F$26-Inputs!$D$26),Inputs!$D$26+SQRT(N13*(Inputs!$F$26-Inputs!$D$26)*(Inputs!$E$26-Inputs!$D$26)),Inputs!$F$26-SQRT((1-N13)*(Inputs!$F$26-Inputs!$D$26)*(Inputs!$F$26-Inputs!$E$26)))</f>
        <v>0.488667033141214</v>
      </c>
      <c r="P13" s="81" t="n">
        <f aca="true">RAND()</f>
        <v>0.214943259905958</v>
      </c>
      <c r="Q13" s="82" t="n">
        <f aca="false">IF(P13&lt;(Inputs!$E$27-Inputs!$D$27)/(Inputs!$F$27-Inputs!$D$27),Inputs!$D$27+SQRT(P13*(Inputs!$F$27-Inputs!$D$27)*(Inputs!$E$27-Inputs!$D$27)),Inputs!$F$27-SQRT((1-P13)*(Inputs!$F$27-Inputs!$D$27)*(Inputs!$F$27-Inputs!$E$27)))</f>
        <v>73.1809868160287</v>
      </c>
      <c r="R13" s="81" t="n">
        <f aca="true">RAND()</f>
        <v>0.63962250297371</v>
      </c>
      <c r="S13" s="82" t="n">
        <f aca="false">IF(R13&lt;(Inputs!$E$29-Inputs!$D$29)/(Inputs!$F$29-Inputs!$D$29),Inputs!$D$29+SQRT(R13*(Inputs!$F$29-Inputs!$D$29)*(Inputs!$E$29-Inputs!$D$29)),Inputs!$F$29-SQRT((1-R13)*(Inputs!$F$29-Inputs!$D$29)*(Inputs!$F$29-Inputs!$E$29)))</f>
        <v>8.15536161558423</v>
      </c>
      <c r="T13" s="68" t="n">
        <f aca="false">Inputs!$E$9*(1+E13)+Inputs!$E$5*C13*(Inputs!$E$11*Inputs!$E$14*(G13*I13/Inputs!$E$16+(1-G13))*K13+Inputs!$E$23*M13)*(1+O13)+Inputs!$E$5*(Q13+S13)</f>
        <v>5922.98553154704</v>
      </c>
    </row>
    <row r="14" customFormat="false" ht="15" hidden="false" customHeight="false" outlineLevel="0" collapsed="false">
      <c r="A14" s="1" t="n">
        <v>10</v>
      </c>
      <c r="B14" s="81" t="n">
        <f aca="true">RAND()</f>
        <v>0.787765858063851</v>
      </c>
      <c r="C14" s="82" t="n">
        <f aca="false">ROUND(IF(B14&lt;(Inputs!$E$8-Inputs!$D$8)/(Inputs!$F$8-Inputs!$D$8),Inputs!$D$8+SQRT(B14*(Inputs!$F$8-Inputs!$D$8)*(Inputs!$E$8-Inputs!$D$8)),Inputs!$F$8-SQRT((1-B14)*(Inputs!$F$8-Inputs!$D$8)*(Inputs!$F$8-Inputs!$E$8))),0)</f>
        <v>27</v>
      </c>
      <c r="D14" s="81" t="n">
        <f aca="true">RAND()</f>
        <v>0.836166248168291</v>
      </c>
      <c r="E14" s="83" t="n">
        <f aca="false">IF(D14&lt;(Inputs!$E$10-Inputs!$D$10)/(Inputs!$F$10-Inputs!$D$10),Inputs!$D$10+SQRT(D14*(Inputs!$F$10-Inputs!$D$10)*(Inputs!$E$10-Inputs!$D$10)),Inputs!$F$10-SQRT((1-D14)*(Inputs!$F$10-Inputs!$D$10)*(Inputs!$F$10-Inputs!$E$10)))</f>
        <v>0.129892849473458</v>
      </c>
      <c r="F14" s="81" t="n">
        <f aca="true">RAND()</f>
        <v>0.751301227038057</v>
      </c>
      <c r="G14" s="83" t="n">
        <f aca="false">IF(F14&lt;(Inputs!$E$15-Inputs!$D$15)/(Inputs!$F$15-Inputs!$D$15),Inputs!$D$15+SQRT(F14*(Inputs!$F$15-Inputs!$D$15)*(Inputs!$E$15-Inputs!$D$15)),Inputs!$F$15-SQRT((1-F14)*(Inputs!$F$15-Inputs!$D$15)*(Inputs!$F$15-Inputs!$E$15)))</f>
        <v>0.729473583252523</v>
      </c>
      <c r="H14" s="81" t="n">
        <f aca="true">RAND()</f>
        <v>0.747704067997109</v>
      </c>
      <c r="I14" s="82" t="n">
        <f aca="false">ROUND(IF(H14&lt;(Inputs!$E$17-Inputs!$D$17)/(Inputs!$F$17-Inputs!$D$17),Inputs!$D$17+SQRT(H14*(Inputs!$F$17-Inputs!$D$17)*(Inputs!$E$17-Inputs!$D$17)),Inputs!$F$17-SQRT((1-H14)*(Inputs!$F$17-Inputs!$D$17)*(Inputs!$F$17-Inputs!$E$17))),0)</f>
        <v>109</v>
      </c>
      <c r="J14" s="81" t="n">
        <f aca="true">RAND()</f>
        <v>0.954115103212333</v>
      </c>
      <c r="K14" s="83" t="n">
        <f aca="false">IF(J14&lt;(Inputs!$E$18-Inputs!$D$18)/(Inputs!$F$18-Inputs!$D$18),Inputs!$D$18+SQRT(J14*(Inputs!$F$18-Inputs!$D$18)*(Inputs!$E$18-Inputs!$D$18)),Inputs!$F$18-SQRT((1-J14)*(Inputs!$F$18-Inputs!$D$18)*(Inputs!$F$18-Inputs!$E$18)))</f>
        <v>1.18663653679824</v>
      </c>
      <c r="L14" s="81" t="n">
        <f aca="true">RAND()</f>
        <v>0.511967287198939</v>
      </c>
      <c r="M14" s="83" t="n">
        <f aca="false">IF(L14&lt;(Inputs!$E$24-Inputs!$D$24)/(Inputs!$F$24-Inputs!$D$24),Inputs!$D$24+SQRT(L14*(Inputs!$F$24-Inputs!$D$24)*(Inputs!$E$24-Inputs!$D$24)),Inputs!$F$24-SQRT((1-L14)*(Inputs!$F$24-Inputs!$D$24)*(Inputs!$F$24-Inputs!$E$24)))</f>
        <v>0.857760535483918</v>
      </c>
      <c r="N14" s="81" t="n">
        <f aca="true">RAND()</f>
        <v>0.546263891091296</v>
      </c>
      <c r="O14" s="83" t="n">
        <f aca="false">IF(N14&lt;(Inputs!$E$26-Inputs!$D$26)/(Inputs!$F$26-Inputs!$D$26),Inputs!$D$26+SQRT(N14*(Inputs!$F$26-Inputs!$D$26)*(Inputs!$E$26-Inputs!$D$26)),Inputs!$F$26-SQRT((1-N14)*(Inputs!$F$26-Inputs!$D$26)*(Inputs!$F$26-Inputs!$E$26)))</f>
        <v>0.601493468382968</v>
      </c>
      <c r="P14" s="81" t="n">
        <f aca="true">RAND()</f>
        <v>0.589249076404019</v>
      </c>
      <c r="Q14" s="82" t="n">
        <f aca="false">IF(P14&lt;(Inputs!$E$27-Inputs!$D$27)/(Inputs!$F$27-Inputs!$D$27),Inputs!$D$27+SQRT(P14*(Inputs!$F$27-Inputs!$D$27)*(Inputs!$E$27-Inputs!$D$27)),Inputs!$F$27-SQRT((1-P14)*(Inputs!$F$27-Inputs!$D$27)*(Inputs!$F$27-Inputs!$E$27)))</f>
        <v>94.4965593231387</v>
      </c>
      <c r="R14" s="81" t="n">
        <f aca="true">RAND()</f>
        <v>0.584938087931368</v>
      </c>
      <c r="S14" s="82" t="n">
        <f aca="false">IF(R14&lt;(Inputs!$E$29-Inputs!$D$29)/(Inputs!$F$29-Inputs!$D$29),Inputs!$D$29+SQRT(R14*(Inputs!$F$29-Inputs!$D$29)*(Inputs!$E$29-Inputs!$D$29)),Inputs!$F$29-SQRT((1-R14)*(Inputs!$F$29-Inputs!$D$29)*(Inputs!$F$29-Inputs!$E$29)))</f>
        <v>7.65438575958945</v>
      </c>
      <c r="T14" s="68" t="n">
        <f aca="false">Inputs!$E$9*(1+E14)+Inputs!$E$5*C14*(Inputs!$E$11*Inputs!$E$14*(G14*I14/Inputs!$E$16+(1-G14))*K14+Inputs!$E$23*M14)*(1+O14)+Inputs!$E$5*(Q14+S14)</f>
        <v>7086.19481867458</v>
      </c>
    </row>
    <row r="15" customFormat="false" ht="15" hidden="false" customHeight="false" outlineLevel="0" collapsed="false">
      <c r="A15" s="1" t="n">
        <v>11</v>
      </c>
      <c r="B15" s="81" t="n">
        <f aca="true">RAND()</f>
        <v>0.22993945977478</v>
      </c>
      <c r="C15" s="82" t="n">
        <f aca="false">ROUND(IF(B15&lt;(Inputs!$E$8-Inputs!$D$8)/(Inputs!$F$8-Inputs!$D$8),Inputs!$D$8+SQRT(B15*(Inputs!$F$8-Inputs!$D$8)*(Inputs!$E$8-Inputs!$D$8)),Inputs!$F$8-SQRT((1-B15)*(Inputs!$F$8-Inputs!$D$8)*(Inputs!$F$8-Inputs!$E$8))),0)</f>
        <v>23</v>
      </c>
      <c r="D15" s="81" t="n">
        <f aca="true">RAND()</f>
        <v>0.210348411649567</v>
      </c>
      <c r="E15" s="83" t="n">
        <f aca="false">IF(D15&lt;(Inputs!$E$10-Inputs!$D$10)/(Inputs!$F$10-Inputs!$D$10),Inputs!$D$10+SQRT(D15*(Inputs!$F$10-Inputs!$D$10)*(Inputs!$E$10-Inputs!$D$10)),Inputs!$F$10-SQRT((1-D15)*(Inputs!$F$10-Inputs!$D$10)*(Inputs!$F$10-Inputs!$E$10)))</f>
        <v>0.0458637560225465</v>
      </c>
      <c r="F15" s="81" t="n">
        <f aca="true">RAND()</f>
        <v>0.885556660265605</v>
      </c>
      <c r="G15" s="83" t="n">
        <f aca="false">IF(F15&lt;(Inputs!$E$15-Inputs!$D$15)/(Inputs!$F$15-Inputs!$D$15),Inputs!$D$15+SQRT(F15*(Inputs!$F$15-Inputs!$D$15)*(Inputs!$E$15-Inputs!$D$15)),Inputs!$F$15-SQRT((1-F15)*(Inputs!$F$15-Inputs!$D$15)*(Inputs!$F$15-Inputs!$E$15)))</f>
        <v>0.752157897258922</v>
      </c>
      <c r="H15" s="81" t="n">
        <f aca="true">RAND()</f>
        <v>0.0851686432933464</v>
      </c>
      <c r="I15" s="82" t="n">
        <f aca="false">ROUND(IF(H15&lt;(Inputs!$E$17-Inputs!$D$17)/(Inputs!$F$17-Inputs!$D$17),Inputs!$D$17+SQRT(H15*(Inputs!$F$17-Inputs!$D$17)*(Inputs!$E$17-Inputs!$D$17)),Inputs!$F$17-SQRT((1-H15)*(Inputs!$F$17-Inputs!$D$17)*(Inputs!$F$17-Inputs!$E$17))),0)</f>
        <v>103</v>
      </c>
      <c r="J15" s="81" t="n">
        <f aca="true">RAND()</f>
        <v>0.726766617630193</v>
      </c>
      <c r="K15" s="83" t="n">
        <f aca="false">IF(J15&lt;(Inputs!$E$18-Inputs!$D$18)/(Inputs!$F$18-Inputs!$D$18),Inputs!$D$18+SQRT(J15*(Inputs!$F$18-Inputs!$D$18)*(Inputs!$E$18-Inputs!$D$18)),Inputs!$F$18-SQRT((1-J15)*(Inputs!$F$18-Inputs!$D$18)*(Inputs!$F$18-Inputs!$E$18)))</f>
        <v>1.09537813557793</v>
      </c>
      <c r="L15" s="81" t="n">
        <f aca="true">RAND()</f>
        <v>0.862659444952227</v>
      </c>
      <c r="M15" s="83" t="n">
        <f aca="false">IF(L15&lt;(Inputs!$E$24-Inputs!$D$24)/(Inputs!$F$24-Inputs!$D$24),Inputs!$D$24+SQRT(L15*(Inputs!$F$24-Inputs!$D$24)*(Inputs!$E$24-Inputs!$D$24)),Inputs!$F$24-SQRT((1-L15)*(Inputs!$F$24-Inputs!$D$24)*(Inputs!$F$24-Inputs!$E$24)))</f>
        <v>1.01844633517479</v>
      </c>
      <c r="N15" s="81" t="n">
        <f aca="true">RAND()</f>
        <v>0.398232517228456</v>
      </c>
      <c r="O15" s="83" t="n">
        <f aca="false">IF(N15&lt;(Inputs!$E$26-Inputs!$D$26)/(Inputs!$F$26-Inputs!$D$26),Inputs!$D$26+SQRT(N15*(Inputs!$F$26-Inputs!$D$26)*(Inputs!$E$26-Inputs!$D$26)),Inputs!$F$26-SQRT((1-N15)*(Inputs!$F$26-Inputs!$D$26)*(Inputs!$F$26-Inputs!$E$26)))</f>
        <v>0.557421620822368</v>
      </c>
      <c r="P15" s="81" t="n">
        <f aca="true">RAND()</f>
        <v>0.466931336785282</v>
      </c>
      <c r="Q15" s="82" t="n">
        <f aca="false">IF(P15&lt;(Inputs!$E$27-Inputs!$D$27)/(Inputs!$F$27-Inputs!$D$27),Inputs!$D$27+SQRT(P15*(Inputs!$F$27-Inputs!$D$27)*(Inputs!$E$27-Inputs!$D$27)),Inputs!$F$27-SQRT((1-P15)*(Inputs!$F$27-Inputs!$D$27)*(Inputs!$F$27-Inputs!$E$27)))</f>
        <v>86.7701417516188</v>
      </c>
      <c r="R15" s="81" t="n">
        <f aca="true">RAND()</f>
        <v>0.436426174069314</v>
      </c>
      <c r="S15" s="82" t="n">
        <f aca="false">IF(R15&lt;(Inputs!$E$29-Inputs!$D$29)/(Inputs!$F$29-Inputs!$D$29),Inputs!$D$29+SQRT(R15*(Inputs!$F$29-Inputs!$D$29)*(Inputs!$E$29-Inputs!$D$29)),Inputs!$F$29-SQRT((1-R15)*(Inputs!$F$29-Inputs!$D$29)*(Inputs!$F$29-Inputs!$E$29)))</f>
        <v>6.44052587065133</v>
      </c>
      <c r="T15" s="68" t="n">
        <f aca="false">Inputs!$E$9*(1+E15)+Inputs!$E$5*C15*(Inputs!$E$11*Inputs!$E$14*(G15*I15/Inputs!$E$16+(1-G15))*K15+Inputs!$E$23*M15)*(1+O15)+Inputs!$E$5*(Q15+S15)</f>
        <v>6081.90676674568</v>
      </c>
    </row>
    <row r="16" customFormat="false" ht="15" hidden="false" customHeight="false" outlineLevel="0" collapsed="false">
      <c r="A16" s="1" t="n">
        <v>12</v>
      </c>
      <c r="B16" s="81" t="n">
        <f aca="true">RAND()</f>
        <v>0.17459882507369</v>
      </c>
      <c r="C16" s="82" t="n">
        <f aca="false">ROUND(IF(B16&lt;(Inputs!$E$8-Inputs!$D$8)/(Inputs!$F$8-Inputs!$D$8),Inputs!$D$8+SQRT(B16*(Inputs!$F$8-Inputs!$D$8)*(Inputs!$E$8-Inputs!$D$8)),Inputs!$F$8-SQRT((1-B16)*(Inputs!$F$8-Inputs!$D$8)*(Inputs!$F$8-Inputs!$E$8))),0)</f>
        <v>23</v>
      </c>
      <c r="D16" s="81" t="n">
        <f aca="true">RAND()</f>
        <v>0.0203876275181115</v>
      </c>
      <c r="E16" s="83" t="n">
        <f aca="false">IF(D16&lt;(Inputs!$E$10-Inputs!$D$10)/(Inputs!$F$10-Inputs!$D$10),Inputs!$D$10+SQRT(D16*(Inputs!$F$10-Inputs!$D$10)*(Inputs!$E$10-Inputs!$D$10)),Inputs!$F$10-SQRT((1-D16)*(Inputs!$F$10-Inputs!$D$10)*(Inputs!$F$10-Inputs!$E$10)))</f>
        <v>0.0142785249651746</v>
      </c>
      <c r="F16" s="81" t="n">
        <f aca="true">RAND()</f>
        <v>0.0591580217125033</v>
      </c>
      <c r="G16" s="83" t="n">
        <f aca="false">IF(F16&lt;(Inputs!$E$15-Inputs!$D$15)/(Inputs!$F$15-Inputs!$D$15),Inputs!$D$15+SQRT(F16*(Inputs!$F$15-Inputs!$D$15)*(Inputs!$E$15-Inputs!$D$15)),Inputs!$F$15-SQRT((1-F16)*(Inputs!$F$15-Inputs!$D$15)*(Inputs!$F$15-Inputs!$E$15)))</f>
        <v>0.634397099212725</v>
      </c>
      <c r="H16" s="81" t="n">
        <f aca="true">RAND()</f>
        <v>0.550527608245834</v>
      </c>
      <c r="I16" s="82" t="n">
        <f aca="false">ROUND(IF(H16&lt;(Inputs!$E$17-Inputs!$D$17)/(Inputs!$F$17-Inputs!$D$17),Inputs!$D$17+SQRT(H16*(Inputs!$F$17-Inputs!$D$17)*(Inputs!$E$17-Inputs!$D$17)),Inputs!$F$17-SQRT((1-H16)*(Inputs!$F$17-Inputs!$D$17)*(Inputs!$F$17-Inputs!$E$17))),0)</f>
        <v>107</v>
      </c>
      <c r="J16" s="81" t="n">
        <f aca="true">RAND()</f>
        <v>0.611107872842888</v>
      </c>
      <c r="K16" s="83" t="n">
        <f aca="false">IF(J16&lt;(Inputs!$E$18-Inputs!$D$18)/(Inputs!$F$18-Inputs!$D$18),Inputs!$D$18+SQRT(J16*(Inputs!$F$18-Inputs!$D$18)*(Inputs!$E$18-Inputs!$D$18)),Inputs!$F$18-SQRT((1-J16)*(Inputs!$F$18-Inputs!$D$18)*(Inputs!$F$18-Inputs!$E$18)))</f>
        <v>1.0655330351357</v>
      </c>
      <c r="L16" s="81" t="n">
        <f aca="true">RAND()</f>
        <v>0.215483529216092</v>
      </c>
      <c r="M16" s="83" t="n">
        <f aca="false">IF(L16&lt;(Inputs!$E$24-Inputs!$D$24)/(Inputs!$F$24-Inputs!$D$24),Inputs!$D$24+SQRT(L16*(Inputs!$F$24-Inputs!$D$24)*(Inputs!$E$24-Inputs!$D$24)),Inputs!$F$24-SQRT((1-L16)*(Inputs!$F$24-Inputs!$D$24)*(Inputs!$F$24-Inputs!$E$24)))</f>
        <v>0.760804301888759</v>
      </c>
      <c r="N16" s="81" t="n">
        <f aca="true">RAND()</f>
        <v>0.017304867940225</v>
      </c>
      <c r="O16" s="83" t="n">
        <f aca="false">IF(N16&lt;(Inputs!$E$26-Inputs!$D$26)/(Inputs!$F$26-Inputs!$D$26),Inputs!$D$26+SQRT(N16*(Inputs!$F$26-Inputs!$D$26)*(Inputs!$E$26-Inputs!$D$26)),Inputs!$F$26-SQRT((1-N16)*(Inputs!$F$26-Inputs!$D$26)*(Inputs!$F$26-Inputs!$E$26)))</f>
        <v>0.353661252550173</v>
      </c>
      <c r="P16" s="81" t="n">
        <f aca="true">RAND()</f>
        <v>0.525407667926584</v>
      </c>
      <c r="Q16" s="82" t="n">
        <f aca="false">IF(P16&lt;(Inputs!$E$27-Inputs!$D$27)/(Inputs!$F$27-Inputs!$D$27),Inputs!$D$27+SQRT(P16*(Inputs!$F$27-Inputs!$D$27)*(Inputs!$E$27-Inputs!$D$27)),Inputs!$F$27-SQRT((1-P16)*(Inputs!$F$27-Inputs!$D$27)*(Inputs!$F$27-Inputs!$E$27)))</f>
        <v>90.3389365620204</v>
      </c>
      <c r="R16" s="81" t="n">
        <f aca="true">RAND()</f>
        <v>0.0460598916099403</v>
      </c>
      <c r="S16" s="82" t="n">
        <f aca="false">IF(R16&lt;(Inputs!$E$29-Inputs!$D$29)/(Inputs!$F$29-Inputs!$D$29),Inputs!$D$29+SQRT(R16*(Inputs!$F$29-Inputs!$D$29)*(Inputs!$E$29-Inputs!$D$29)),Inputs!$F$29-SQRT((1-R16)*(Inputs!$F$29-Inputs!$D$29)*(Inputs!$F$29-Inputs!$E$29)))</f>
        <v>3.34027451396633</v>
      </c>
      <c r="T16" s="68" t="n">
        <f aca="false">Inputs!$E$9*(1+E16)+Inputs!$E$5*C16*(Inputs!$E$11*Inputs!$E$14*(G16*I16/Inputs!$E$16+(1-G16))*K16+Inputs!$E$23*M16)*(1+O16)+Inputs!$E$5*(Q16+S16)</f>
        <v>5415.7785432725</v>
      </c>
    </row>
    <row r="17" customFormat="false" ht="15" hidden="false" customHeight="false" outlineLevel="0" collapsed="false">
      <c r="A17" s="1" t="n">
        <v>13</v>
      </c>
      <c r="B17" s="81" t="n">
        <f aca="true">RAND()</f>
        <v>0.926506427110313</v>
      </c>
      <c r="C17" s="82" t="n">
        <f aca="false">ROUND(IF(B17&lt;(Inputs!$E$8-Inputs!$D$8)/(Inputs!$F$8-Inputs!$D$8),Inputs!$D$8+SQRT(B17*(Inputs!$F$8-Inputs!$D$8)*(Inputs!$E$8-Inputs!$D$8)),Inputs!$F$8-SQRT((1-B17)*(Inputs!$F$8-Inputs!$D$8)*(Inputs!$F$8-Inputs!$E$8))),0)</f>
        <v>28</v>
      </c>
      <c r="D17" s="81" t="n">
        <f aca="true">RAND()</f>
        <v>0.577076369891968</v>
      </c>
      <c r="E17" s="83" t="n">
        <f aca="false">IF(D17&lt;(Inputs!$E$10-Inputs!$D$10)/(Inputs!$F$10-Inputs!$D$10),Inputs!$D$10+SQRT(D17*(Inputs!$F$10-Inputs!$D$10)*(Inputs!$E$10-Inputs!$D$10)),Inputs!$F$10-SQRT((1-D17)*(Inputs!$F$10-Inputs!$D$10)*(Inputs!$F$10-Inputs!$E$10)))</f>
        <v>0.0873602694284075</v>
      </c>
      <c r="F17" s="81" t="n">
        <f aca="true">RAND()</f>
        <v>0.52568390725126</v>
      </c>
      <c r="G17" s="83" t="n">
        <f aca="false">IF(F17&lt;(Inputs!$E$15-Inputs!$D$15)/(Inputs!$F$15-Inputs!$D$15),Inputs!$D$15+SQRT(F17*(Inputs!$F$15-Inputs!$D$15)*(Inputs!$E$15-Inputs!$D$15)),Inputs!$F$15-SQRT((1-F17)*(Inputs!$F$15-Inputs!$D$15)*(Inputs!$F$15-Inputs!$E$15)))</f>
        <v>0.702602249230412</v>
      </c>
      <c r="H17" s="81" t="n">
        <f aca="true">RAND()</f>
        <v>0.638234170440753</v>
      </c>
      <c r="I17" s="82" t="n">
        <f aca="false">ROUND(IF(H17&lt;(Inputs!$E$17-Inputs!$D$17)/(Inputs!$F$17-Inputs!$D$17),Inputs!$D$17+SQRT(H17*(Inputs!$F$17-Inputs!$D$17)*(Inputs!$E$17-Inputs!$D$17)),Inputs!$F$17-SQRT((1-H17)*(Inputs!$F$17-Inputs!$D$17)*(Inputs!$F$17-Inputs!$E$17))),0)</f>
        <v>108</v>
      </c>
      <c r="J17" s="81" t="n">
        <f aca="true">RAND()</f>
        <v>0.620108212000968</v>
      </c>
      <c r="K17" s="83" t="n">
        <f aca="false">IF(J17&lt;(Inputs!$E$18-Inputs!$D$18)/(Inputs!$F$18-Inputs!$D$18),Inputs!$D$18+SQRT(J17*(Inputs!$F$18-Inputs!$D$18)*(Inputs!$E$18-Inputs!$D$18)),Inputs!$F$18-SQRT((1-J17)*(Inputs!$F$18-Inputs!$D$18)*(Inputs!$F$18-Inputs!$E$18)))</f>
        <v>1.06768013972714</v>
      </c>
      <c r="L17" s="81" t="n">
        <f aca="true">RAND()</f>
        <v>0.670550728082556</v>
      </c>
      <c r="M17" s="83" t="n">
        <f aca="false">IF(L17&lt;(Inputs!$E$24-Inputs!$D$24)/(Inputs!$F$24-Inputs!$D$24),Inputs!$D$24+SQRT(L17*(Inputs!$F$24-Inputs!$D$24)*(Inputs!$E$24-Inputs!$D$24)),Inputs!$F$24-SQRT((1-L17)*(Inputs!$F$24-Inputs!$D$24)*(Inputs!$F$24-Inputs!$E$24)))</f>
        <v>0.91880998371175</v>
      </c>
      <c r="N17" s="81" t="n">
        <f aca="true">RAND()</f>
        <v>0.670135985480707</v>
      </c>
      <c r="O17" s="83" t="n">
        <f aca="false">IF(N17&lt;(Inputs!$E$26-Inputs!$D$26)/(Inputs!$F$26-Inputs!$D$26),Inputs!$D$26+SQRT(N17*(Inputs!$F$26-Inputs!$D$26)*(Inputs!$E$26-Inputs!$D$26)),Inputs!$F$26-SQRT((1-N17)*(Inputs!$F$26-Inputs!$D$26)*(Inputs!$F$26-Inputs!$E$26)))</f>
        <v>0.634781595109972</v>
      </c>
      <c r="P17" s="81" t="n">
        <f aca="true">RAND()</f>
        <v>0.881501048584933</v>
      </c>
      <c r="Q17" s="82" t="n">
        <f aca="false">IF(P17&lt;(Inputs!$E$27-Inputs!$D$27)/(Inputs!$F$27-Inputs!$D$27),Inputs!$D$27+SQRT(P17*(Inputs!$F$27-Inputs!$D$27)*(Inputs!$E$27-Inputs!$D$27)),Inputs!$F$27-SQRT((1-P17)*(Inputs!$F$27-Inputs!$D$27)*(Inputs!$F$27-Inputs!$E$27)))</f>
        <v>120.188221528849</v>
      </c>
      <c r="R17" s="81" t="n">
        <f aca="true">RAND()</f>
        <v>0.0912144463322988</v>
      </c>
      <c r="S17" s="82" t="n">
        <f aca="false">IF(R17&lt;(Inputs!$E$29-Inputs!$D$29)/(Inputs!$F$29-Inputs!$D$29),Inputs!$D$29+SQRT(R17*(Inputs!$F$29-Inputs!$D$29)*(Inputs!$E$29-Inputs!$D$29)),Inputs!$F$29-SQRT((1-R17)*(Inputs!$F$29-Inputs!$D$29)*(Inputs!$F$29-Inputs!$E$29)))</f>
        <v>3.88609740123877</v>
      </c>
      <c r="T17" s="68" t="n">
        <f aca="false">Inputs!$E$9*(1+E17)+Inputs!$E$5*C17*(Inputs!$E$11*Inputs!$E$14*(G17*I17/Inputs!$E$16+(1-G17))*K17+Inputs!$E$23*M17)*(1+O17)+Inputs!$E$5*(Q17+S17)</f>
        <v>7175.07152215062</v>
      </c>
    </row>
    <row r="18" customFormat="false" ht="15" hidden="false" customHeight="false" outlineLevel="0" collapsed="false">
      <c r="A18" s="1" t="n">
        <v>14</v>
      </c>
      <c r="B18" s="81" t="n">
        <f aca="true">RAND()</f>
        <v>0.797149866440046</v>
      </c>
      <c r="C18" s="82" t="n">
        <f aca="false">ROUND(IF(B18&lt;(Inputs!$E$8-Inputs!$D$8)/(Inputs!$F$8-Inputs!$D$8),Inputs!$D$8+SQRT(B18*(Inputs!$F$8-Inputs!$D$8)*(Inputs!$E$8-Inputs!$D$8)),Inputs!$F$8-SQRT((1-B18)*(Inputs!$F$8-Inputs!$D$8)*(Inputs!$F$8-Inputs!$E$8))),0)</f>
        <v>27</v>
      </c>
      <c r="D18" s="81" t="n">
        <f aca="true">RAND()</f>
        <v>0.301354010488472</v>
      </c>
      <c r="E18" s="83" t="n">
        <f aca="false">IF(D18&lt;(Inputs!$E$10-Inputs!$D$10)/(Inputs!$F$10-Inputs!$D$10),Inputs!$D$10+SQRT(D18*(Inputs!$F$10-Inputs!$D$10)*(Inputs!$E$10-Inputs!$D$10)),Inputs!$F$10-SQRT((1-D18)*(Inputs!$F$10-Inputs!$D$10)*(Inputs!$F$10-Inputs!$E$10)))</f>
        <v>0.0552264537792009</v>
      </c>
      <c r="F18" s="81" t="n">
        <f aca="true">RAND()</f>
        <v>0.905422066274665</v>
      </c>
      <c r="G18" s="83" t="n">
        <f aca="false">IF(F18&lt;(Inputs!$E$15-Inputs!$D$15)/(Inputs!$F$15-Inputs!$D$15),Inputs!$D$15+SQRT(F18*(Inputs!$F$15-Inputs!$D$15)*(Inputs!$E$15-Inputs!$D$15)),Inputs!$F$15-SQRT((1-F18)*(Inputs!$F$15-Inputs!$D$15)*(Inputs!$F$15-Inputs!$E$15)))</f>
        <v>0.756507946995955</v>
      </c>
      <c r="H18" s="81" t="n">
        <f aca="true">RAND()</f>
        <v>0.545820663639712</v>
      </c>
      <c r="I18" s="82" t="n">
        <f aca="false">ROUND(IF(H18&lt;(Inputs!$E$17-Inputs!$D$17)/(Inputs!$F$17-Inputs!$D$17),Inputs!$D$17+SQRT(H18*(Inputs!$F$17-Inputs!$D$17)*(Inputs!$E$17-Inputs!$D$17)),Inputs!$F$17-SQRT((1-H18)*(Inputs!$F$17-Inputs!$D$17)*(Inputs!$F$17-Inputs!$E$17))),0)</f>
        <v>107</v>
      </c>
      <c r="J18" s="81" t="n">
        <f aca="true">RAND()</f>
        <v>0.629982794287384</v>
      </c>
      <c r="K18" s="83" t="n">
        <f aca="false">IF(J18&lt;(Inputs!$E$18-Inputs!$D$18)/(Inputs!$F$18-Inputs!$D$18),Inputs!$D$18+SQRT(J18*(Inputs!$F$18-Inputs!$D$18)*(Inputs!$E$18-Inputs!$D$18)),Inputs!$F$18-SQRT((1-J18)*(Inputs!$F$18-Inputs!$D$18)*(Inputs!$F$18-Inputs!$E$18)))</f>
        <v>1.07006527433579</v>
      </c>
      <c r="L18" s="81" t="n">
        <f aca="true">RAND()</f>
        <v>0.642074320978358</v>
      </c>
      <c r="M18" s="83" t="n">
        <f aca="false">IF(L18&lt;(Inputs!$E$24-Inputs!$D$24)/(Inputs!$F$24-Inputs!$D$24),Inputs!$D$24+SQRT(L18*(Inputs!$F$24-Inputs!$D$24)*(Inputs!$E$24-Inputs!$D$24)),Inputs!$F$24-SQRT((1-L18)*(Inputs!$F$24-Inputs!$D$24)*(Inputs!$F$24-Inputs!$E$24)))</f>
        <v>0.906909292257168</v>
      </c>
      <c r="N18" s="81" t="n">
        <f aca="true">RAND()</f>
        <v>0.555609128947288</v>
      </c>
      <c r="O18" s="83" t="n">
        <f aca="false">IF(N18&lt;(Inputs!$E$26-Inputs!$D$26)/(Inputs!$F$26-Inputs!$D$26),Inputs!$D$26+SQRT(N18*(Inputs!$F$26-Inputs!$D$26)*(Inputs!$E$26-Inputs!$D$26)),Inputs!$F$26-SQRT((1-N18)*(Inputs!$F$26-Inputs!$D$26)*(Inputs!$F$26-Inputs!$E$26)))</f>
        <v>0.604061439608558</v>
      </c>
      <c r="P18" s="81" t="n">
        <f aca="true">RAND()</f>
        <v>0.767187762815292</v>
      </c>
      <c r="Q18" s="82" t="n">
        <f aca="false">IF(P18&lt;(Inputs!$E$27-Inputs!$D$27)/(Inputs!$F$27-Inputs!$D$27),Inputs!$D$27+SQRT(P18*(Inputs!$F$27-Inputs!$D$27)*(Inputs!$E$27-Inputs!$D$27)),Inputs!$F$27-SQRT((1-P18)*(Inputs!$F$27-Inputs!$D$27)*(Inputs!$F$27-Inputs!$E$27)))</f>
        <v>108.213736959554</v>
      </c>
      <c r="R18" s="81" t="n">
        <f aca="true">RAND()</f>
        <v>0.804668763170857</v>
      </c>
      <c r="S18" s="82" t="n">
        <f aca="false">IF(R18&lt;(Inputs!$E$29-Inputs!$D$29)/(Inputs!$F$29-Inputs!$D$29),Inputs!$D$29+SQRT(R18*(Inputs!$F$29-Inputs!$D$29)*(Inputs!$E$29-Inputs!$D$29)),Inputs!$F$29-SQRT((1-R18)*(Inputs!$F$29-Inputs!$D$29)*(Inputs!$F$29-Inputs!$E$29)))</f>
        <v>9.9608472152763</v>
      </c>
      <c r="T18" s="68" t="n">
        <f aca="false">Inputs!$E$9*(1+E18)+Inputs!$E$5*C18*(Inputs!$E$11*Inputs!$E$14*(G18*I18/Inputs!$E$16+(1-G18))*K18+Inputs!$E$23*M18)*(1+O18)+Inputs!$E$5*(Q18+S18)</f>
        <v>6743.37239551733</v>
      </c>
    </row>
    <row r="19" customFormat="false" ht="15" hidden="false" customHeight="false" outlineLevel="0" collapsed="false">
      <c r="A19" s="1" t="n">
        <v>15</v>
      </c>
      <c r="B19" s="81" t="n">
        <f aca="true">RAND()</f>
        <v>0.326457765854583</v>
      </c>
      <c r="C19" s="82" t="n">
        <f aca="false">ROUND(IF(B19&lt;(Inputs!$E$8-Inputs!$D$8)/(Inputs!$F$8-Inputs!$D$8),Inputs!$D$8+SQRT(B19*(Inputs!$F$8-Inputs!$D$8)*(Inputs!$E$8-Inputs!$D$8)),Inputs!$F$8-SQRT((1-B19)*(Inputs!$F$8-Inputs!$D$8)*(Inputs!$F$8-Inputs!$E$8))),0)</f>
        <v>24</v>
      </c>
      <c r="D19" s="81" t="n">
        <f aca="true">RAND()</f>
        <v>0.0862369747640328</v>
      </c>
      <c r="E19" s="83" t="n">
        <f aca="false">IF(D19&lt;(Inputs!$E$10-Inputs!$D$10)/(Inputs!$F$10-Inputs!$D$10),Inputs!$D$10+SQRT(D19*(Inputs!$F$10-Inputs!$D$10)*(Inputs!$E$10-Inputs!$D$10)),Inputs!$F$10-SQRT((1-D19)*(Inputs!$F$10-Inputs!$D$10)*(Inputs!$F$10-Inputs!$E$10)))</f>
        <v>0.0293661326640116</v>
      </c>
      <c r="F19" s="81" t="n">
        <f aca="true">RAND()</f>
        <v>0.740134314549426</v>
      </c>
      <c r="G19" s="83" t="n">
        <f aca="false">IF(F19&lt;(Inputs!$E$15-Inputs!$D$15)/(Inputs!$F$15-Inputs!$D$15),Inputs!$D$15+SQRT(F19*(Inputs!$F$15-Inputs!$D$15)*(Inputs!$E$15-Inputs!$D$15)),Inputs!$F$15-SQRT((1-F19)*(Inputs!$F$15-Inputs!$D$15)*(Inputs!$F$15-Inputs!$E$15)))</f>
        <v>0.727907602973604</v>
      </c>
      <c r="H19" s="81" t="n">
        <f aca="true">RAND()</f>
        <v>0.518619241110691</v>
      </c>
      <c r="I19" s="82" t="n">
        <f aca="false">ROUND(IF(H19&lt;(Inputs!$E$17-Inputs!$D$17)/(Inputs!$F$17-Inputs!$D$17),Inputs!$D$17+SQRT(H19*(Inputs!$F$17-Inputs!$D$17)*(Inputs!$E$17-Inputs!$D$17)),Inputs!$F$17-SQRT((1-H19)*(Inputs!$F$17-Inputs!$D$17)*(Inputs!$F$17-Inputs!$E$17))),0)</f>
        <v>107</v>
      </c>
      <c r="J19" s="81" t="n">
        <f aca="true">RAND()</f>
        <v>0.0385481269535516</v>
      </c>
      <c r="K19" s="83" t="n">
        <f aca="false">IF(J19&lt;(Inputs!$E$18-Inputs!$D$18)/(Inputs!$F$18-Inputs!$D$18),Inputs!$D$18+SQRT(J19*(Inputs!$F$18-Inputs!$D$18)*(Inputs!$E$18-Inputs!$D$18)),Inputs!$F$18-SQRT((1-J19)*(Inputs!$F$18-Inputs!$D$18)*(Inputs!$F$18-Inputs!$E$18)))</f>
        <v>0.936731246145133</v>
      </c>
      <c r="L19" s="81" t="n">
        <f aca="true">RAND()</f>
        <v>0.153995186526035</v>
      </c>
      <c r="M19" s="83" t="n">
        <f aca="false">IF(L19&lt;(Inputs!$E$24-Inputs!$D$24)/(Inputs!$F$24-Inputs!$D$24),Inputs!$D$24+SQRT(L19*(Inputs!$F$24-Inputs!$D$24)*(Inputs!$E$24-Inputs!$D$24)),Inputs!$F$24-SQRT((1-L19)*(Inputs!$F$24-Inputs!$D$24)*(Inputs!$F$24-Inputs!$E$24)))</f>
        <v>0.73593903921657</v>
      </c>
      <c r="N19" s="81" t="n">
        <f aca="true">RAND()</f>
        <v>0.93619267742443</v>
      </c>
      <c r="O19" s="83" t="n">
        <f aca="false">IF(N19&lt;(Inputs!$E$26-Inputs!$D$26)/(Inputs!$F$26-Inputs!$D$26),Inputs!$D$26+SQRT(N19*(Inputs!$F$26-Inputs!$D$26)*(Inputs!$E$26-Inputs!$D$26)),Inputs!$F$26-SQRT((1-N19)*(Inputs!$F$26-Inputs!$D$26)*(Inputs!$F$26-Inputs!$E$26)))</f>
        <v>0.738538588596445</v>
      </c>
      <c r="P19" s="81" t="n">
        <f aca="true">RAND()</f>
        <v>0.74118736020629</v>
      </c>
      <c r="Q19" s="82" t="n">
        <f aca="false">IF(P19&lt;(Inputs!$E$27-Inputs!$D$27)/(Inputs!$F$27-Inputs!$D$27),Inputs!$D$27+SQRT(P19*(Inputs!$F$27-Inputs!$D$27)*(Inputs!$E$27-Inputs!$D$27)),Inputs!$F$27-SQRT((1-P19)*(Inputs!$F$27-Inputs!$D$27)*(Inputs!$F$27-Inputs!$E$27)))</f>
        <v>105.942142602564</v>
      </c>
      <c r="R19" s="81" t="n">
        <f aca="true">RAND()</f>
        <v>0.0328229182058173</v>
      </c>
      <c r="S19" s="82" t="n">
        <f aca="false">IF(R19&lt;(Inputs!$E$29-Inputs!$D$29)/(Inputs!$F$29-Inputs!$D$29),Inputs!$D$29+SQRT(R19*(Inputs!$F$29-Inputs!$D$29)*(Inputs!$E$29-Inputs!$D$29)),Inputs!$F$29-SQRT((1-R19)*(Inputs!$F$29-Inputs!$D$29)*(Inputs!$F$29-Inputs!$E$29)))</f>
        <v>3.13141230770523</v>
      </c>
      <c r="T19" s="68" t="n">
        <f aca="false">Inputs!$E$9*(1+E19)+Inputs!$E$5*C19*(Inputs!$E$11*Inputs!$E$14*(G19*I19/Inputs!$E$16+(1-G19))*K19+Inputs!$E$23*M19)*(1+O19)+Inputs!$E$5*(Q19+S19)</f>
        <v>5990.97424706318</v>
      </c>
    </row>
    <row r="20" customFormat="false" ht="15" hidden="false" customHeight="false" outlineLevel="0" collapsed="false">
      <c r="A20" s="1" t="n">
        <v>16</v>
      </c>
      <c r="B20" s="81" t="n">
        <f aca="true">RAND()</f>
        <v>0.853351674153491</v>
      </c>
      <c r="C20" s="82" t="n">
        <f aca="false">ROUND(IF(B20&lt;(Inputs!$E$8-Inputs!$D$8)/(Inputs!$F$8-Inputs!$D$8),Inputs!$D$8+SQRT(B20*(Inputs!$F$8-Inputs!$D$8)*(Inputs!$E$8-Inputs!$D$8)),Inputs!$F$8-SQRT((1-B20)*(Inputs!$F$8-Inputs!$D$8)*(Inputs!$F$8-Inputs!$E$8))),0)</f>
        <v>27</v>
      </c>
      <c r="D20" s="81" t="n">
        <f aca="true">RAND()</f>
        <v>0.807557572644388</v>
      </c>
      <c r="E20" s="83" t="n">
        <f aca="false">IF(D20&lt;(Inputs!$E$10-Inputs!$D$10)/(Inputs!$F$10-Inputs!$D$10),Inputs!$D$10+SQRT(D20*(Inputs!$F$10-Inputs!$D$10)*(Inputs!$E$10-Inputs!$D$10)),Inputs!$F$10-SQRT((1-D20)*(Inputs!$F$10-Inputs!$D$10)*(Inputs!$F$10-Inputs!$E$10)))</f>
        <v>0.124017944087644</v>
      </c>
      <c r="F20" s="81" t="n">
        <f aca="true">RAND()</f>
        <v>0.101100406671655</v>
      </c>
      <c r="G20" s="83" t="n">
        <f aca="false">IF(F20&lt;(Inputs!$E$15-Inputs!$D$15)/(Inputs!$F$15-Inputs!$D$15),Inputs!$D$15+SQRT(F20*(Inputs!$F$15-Inputs!$D$15)*(Inputs!$E$15-Inputs!$D$15)),Inputs!$F$15-SQRT((1-F20)*(Inputs!$F$15-Inputs!$D$15)*(Inputs!$F$15-Inputs!$E$15)))</f>
        <v>0.644966744750238</v>
      </c>
      <c r="H20" s="81" t="n">
        <f aca="true">RAND()</f>
        <v>0.717177256665858</v>
      </c>
      <c r="I20" s="82" t="n">
        <f aca="false">ROUND(IF(H20&lt;(Inputs!$E$17-Inputs!$D$17)/(Inputs!$F$17-Inputs!$D$17),Inputs!$D$17+SQRT(H20*(Inputs!$F$17-Inputs!$D$17)*(Inputs!$E$17-Inputs!$D$17)),Inputs!$F$17-SQRT((1-H20)*(Inputs!$F$17-Inputs!$D$17)*(Inputs!$F$17-Inputs!$E$17))),0)</f>
        <v>108</v>
      </c>
      <c r="J20" s="81" t="n">
        <f aca="true">RAND()</f>
        <v>0.480590196864494</v>
      </c>
      <c r="K20" s="83" t="n">
        <f aca="false">IF(J20&lt;(Inputs!$E$18-Inputs!$D$18)/(Inputs!$F$18-Inputs!$D$18),Inputs!$D$18+SQRT(J20*(Inputs!$F$18-Inputs!$D$18)*(Inputs!$E$18-Inputs!$D$18)),Inputs!$F$18-SQRT((1-J20)*(Inputs!$F$18-Inputs!$D$18)*(Inputs!$F$18-Inputs!$E$18)))</f>
        <v>1.03681379553462</v>
      </c>
      <c r="L20" s="81" t="n">
        <f aca="true">RAND()</f>
        <v>0.655482023929321</v>
      </c>
      <c r="M20" s="83" t="n">
        <f aca="false">IF(L20&lt;(Inputs!$E$24-Inputs!$D$24)/(Inputs!$F$24-Inputs!$D$24),Inputs!$D$24+SQRT(L20*(Inputs!$F$24-Inputs!$D$24)*(Inputs!$E$24-Inputs!$D$24)),Inputs!$F$24-SQRT((1-L20)*(Inputs!$F$24-Inputs!$D$24)*(Inputs!$F$24-Inputs!$E$24)))</f>
        <v>0.912451196738774</v>
      </c>
      <c r="N20" s="81" t="n">
        <f aca="true">RAND()</f>
        <v>0.672198917332839</v>
      </c>
      <c r="O20" s="83" t="n">
        <f aca="false">IF(N20&lt;(Inputs!$E$26-Inputs!$D$26)/(Inputs!$F$26-Inputs!$D$26),Inputs!$D$26+SQRT(N20*(Inputs!$F$26-Inputs!$D$26)*(Inputs!$E$26-Inputs!$D$26)),Inputs!$F$26-SQRT((1-N20)*(Inputs!$F$26-Inputs!$D$26)*(Inputs!$F$26-Inputs!$E$26)))</f>
        <v>0.635361670833533</v>
      </c>
      <c r="P20" s="81" t="n">
        <f aca="true">RAND()</f>
        <v>0.690726594093149</v>
      </c>
      <c r="Q20" s="82" t="n">
        <f aca="false">IF(P20&lt;(Inputs!$E$27-Inputs!$D$27)/(Inputs!$F$27-Inputs!$D$27),Inputs!$D$27+SQRT(P20*(Inputs!$F$27-Inputs!$D$27)*(Inputs!$E$27-Inputs!$D$27)),Inputs!$F$27-SQRT((1-P20)*(Inputs!$F$27-Inputs!$D$27)*(Inputs!$F$27-Inputs!$E$27)))</f>
        <v>101.838287568844</v>
      </c>
      <c r="R20" s="81" t="n">
        <f aca="true">RAND()</f>
        <v>0.377519698100501</v>
      </c>
      <c r="S20" s="82" t="n">
        <f aca="false">IF(R20&lt;(Inputs!$E$29-Inputs!$D$29)/(Inputs!$F$29-Inputs!$D$29),Inputs!$D$29+SQRT(R20*(Inputs!$F$29-Inputs!$D$29)*(Inputs!$E$29-Inputs!$D$29)),Inputs!$F$29-SQRT((1-R20)*(Inputs!$F$29-Inputs!$D$29)*(Inputs!$F$29-Inputs!$E$29)))</f>
        <v>6.00430996271354</v>
      </c>
      <c r="T20" s="68" t="n">
        <f aca="false">Inputs!$E$9*(1+E20)+Inputs!$E$5*C20*(Inputs!$E$11*Inputs!$E$14*(G20*I20/Inputs!$E$16+(1-G20))*K20+Inputs!$E$23*M20)*(1+O20)+Inputs!$E$5*(Q20+S20)</f>
        <v>7027.62334611484</v>
      </c>
    </row>
    <row r="21" customFormat="false" ht="15" hidden="false" customHeight="false" outlineLevel="0" collapsed="false">
      <c r="A21" s="1" t="n">
        <v>17</v>
      </c>
      <c r="B21" s="81" t="n">
        <f aca="true">RAND()</f>
        <v>0.0227529121435694</v>
      </c>
      <c r="C21" s="82" t="n">
        <f aca="false">ROUND(IF(B21&lt;(Inputs!$E$8-Inputs!$D$8)/(Inputs!$F$8-Inputs!$D$8),Inputs!$D$8+SQRT(B21*(Inputs!$F$8-Inputs!$D$8)*(Inputs!$E$8-Inputs!$D$8)),Inputs!$F$8-SQRT((1-B21)*(Inputs!$F$8-Inputs!$D$8)*(Inputs!$F$8-Inputs!$E$8))),0)</f>
        <v>21</v>
      </c>
      <c r="D21" s="81" t="n">
        <f aca="true">RAND()</f>
        <v>0.654446869322076</v>
      </c>
      <c r="E21" s="83" t="n">
        <f aca="false">IF(D21&lt;(Inputs!$E$10-Inputs!$D$10)/(Inputs!$F$10-Inputs!$D$10),Inputs!$D$10+SQRT(D21*(Inputs!$F$10-Inputs!$D$10)*(Inputs!$E$10-Inputs!$D$10)),Inputs!$F$10-SQRT((1-D21)*(Inputs!$F$10-Inputs!$D$10)*(Inputs!$F$10-Inputs!$E$10)))</f>
        <v>0.0981835282464683</v>
      </c>
      <c r="F21" s="81" t="n">
        <f aca="true">RAND()</f>
        <v>0.893089682240012</v>
      </c>
      <c r="G21" s="83" t="n">
        <f aca="false">IF(F21&lt;(Inputs!$E$15-Inputs!$D$15)/(Inputs!$F$15-Inputs!$D$15),Inputs!$D$15+SQRT(F21*(Inputs!$F$15-Inputs!$D$15)*(Inputs!$E$15-Inputs!$D$15)),Inputs!$F$15-SQRT((1-F21)*(Inputs!$F$15-Inputs!$D$15)*(Inputs!$F$15-Inputs!$E$15)))</f>
        <v>0.753759256545772</v>
      </c>
      <c r="H21" s="81" t="n">
        <f aca="true">RAND()</f>
        <v>0.490956785875129</v>
      </c>
      <c r="I21" s="82" t="n">
        <f aca="false">ROUND(IF(H21&lt;(Inputs!$E$17-Inputs!$D$17)/(Inputs!$F$17-Inputs!$D$17),Inputs!$D$17+SQRT(H21*(Inputs!$F$17-Inputs!$D$17)*(Inputs!$E$17-Inputs!$D$17)),Inputs!$F$17-SQRT((1-H21)*(Inputs!$F$17-Inputs!$D$17)*(Inputs!$F$17-Inputs!$E$17))),0)</f>
        <v>106</v>
      </c>
      <c r="J21" s="81" t="n">
        <f aca="true">RAND()</f>
        <v>0.142192445629602</v>
      </c>
      <c r="K21" s="83" t="n">
        <f aca="false">IF(J21&lt;(Inputs!$E$18-Inputs!$D$18)/(Inputs!$F$18-Inputs!$D$18),Inputs!$D$18+SQRT(J21*(Inputs!$F$18-Inputs!$D$18)*(Inputs!$E$18-Inputs!$D$18)),Inputs!$F$18-SQRT((1-J21)*(Inputs!$F$18-Inputs!$D$18)*(Inputs!$F$18-Inputs!$E$18)))</f>
        <v>0.970545982146654</v>
      </c>
      <c r="L21" s="81" t="n">
        <f aca="true">RAND()</f>
        <v>0.0524463045995047</v>
      </c>
      <c r="M21" s="83" t="n">
        <f aca="false">IF(L21&lt;(Inputs!$E$24-Inputs!$D$24)/(Inputs!$F$24-Inputs!$D$24),Inputs!$D$24+SQRT(L21*(Inputs!$F$24-Inputs!$D$24)*(Inputs!$E$24-Inputs!$D$24)),Inputs!$F$24-SQRT((1-L21)*(Inputs!$F$24-Inputs!$D$24)*(Inputs!$F$24-Inputs!$E$24)))</f>
        <v>0.679331939040594</v>
      </c>
      <c r="N21" s="81" t="n">
        <f aca="true">RAND()</f>
        <v>0.538605375140761</v>
      </c>
      <c r="O21" s="83" t="n">
        <f aca="false">IF(N21&lt;(Inputs!$E$26-Inputs!$D$26)/(Inputs!$F$26-Inputs!$D$26),Inputs!$D$26+SQRT(N21*(Inputs!$F$26-Inputs!$D$26)*(Inputs!$E$26-Inputs!$D$26)),Inputs!$F$26-SQRT((1-N21)*(Inputs!$F$26-Inputs!$D$26)*(Inputs!$F$26-Inputs!$E$26)))</f>
        <v>0.599372567920681</v>
      </c>
      <c r="P21" s="81" t="n">
        <f aca="true">RAND()</f>
        <v>0.80285240875079</v>
      </c>
      <c r="Q21" s="82" t="n">
        <f aca="false">IF(P21&lt;(Inputs!$E$27-Inputs!$D$27)/(Inputs!$F$27-Inputs!$D$27),Inputs!$D$27+SQRT(P21*(Inputs!$F$27-Inputs!$D$27)*(Inputs!$E$27-Inputs!$D$27)),Inputs!$F$27-SQRT((1-P21)*(Inputs!$F$27-Inputs!$D$27)*(Inputs!$F$27-Inputs!$E$27)))</f>
        <v>111.547341647565</v>
      </c>
      <c r="R21" s="81" t="n">
        <f aca="true">RAND()</f>
        <v>0.926339053009286</v>
      </c>
      <c r="S21" s="82" t="n">
        <f aca="false">IF(R21&lt;(Inputs!$E$29-Inputs!$D$29)/(Inputs!$F$29-Inputs!$D$29),Inputs!$D$29+SQRT(R21*(Inputs!$F$29-Inputs!$D$29)*(Inputs!$E$29-Inputs!$D$29)),Inputs!$F$29-SQRT((1-R21)*(Inputs!$F$29-Inputs!$D$29)*(Inputs!$F$29-Inputs!$E$29)))</f>
        <v>11.905501153855</v>
      </c>
      <c r="T21" s="68" t="n">
        <f aca="false">Inputs!$E$9*(1+E21)+Inputs!$E$5*C21*(Inputs!$E$11*Inputs!$E$14*(G21*I21/Inputs!$E$16+(1-G21))*K21+Inputs!$E$23*M21)*(1+O21)+Inputs!$E$5*(Q21+S21)</f>
        <v>5549.08954639298</v>
      </c>
    </row>
    <row r="22" customFormat="false" ht="15" hidden="false" customHeight="false" outlineLevel="0" collapsed="false">
      <c r="A22" s="1" t="n">
        <v>18</v>
      </c>
      <c r="B22" s="81" t="n">
        <f aca="true">RAND()</f>
        <v>0.0603847778028377</v>
      </c>
      <c r="C22" s="82" t="n">
        <f aca="false">ROUND(IF(B22&lt;(Inputs!$E$8-Inputs!$D$8)/(Inputs!$F$8-Inputs!$D$8),Inputs!$D$8+SQRT(B22*(Inputs!$F$8-Inputs!$D$8)*(Inputs!$E$8-Inputs!$D$8)),Inputs!$F$8-SQRT((1-B22)*(Inputs!$F$8-Inputs!$D$8)*(Inputs!$F$8-Inputs!$E$8))),0)</f>
        <v>22</v>
      </c>
      <c r="D22" s="81" t="n">
        <f aca="true">RAND()</f>
        <v>0.279468335851417</v>
      </c>
      <c r="E22" s="83" t="n">
        <f aca="false">IF(D22&lt;(Inputs!$E$10-Inputs!$D$10)/(Inputs!$F$10-Inputs!$D$10),Inputs!$D$10+SQRT(D22*(Inputs!$F$10-Inputs!$D$10)*(Inputs!$E$10-Inputs!$D$10)),Inputs!$F$10-SQRT((1-D22)*(Inputs!$F$10-Inputs!$D$10)*(Inputs!$F$10-Inputs!$E$10)))</f>
        <v>0.0529763627015795</v>
      </c>
      <c r="F22" s="81" t="n">
        <f aca="true">RAND()</f>
        <v>0.974251206951363</v>
      </c>
      <c r="G22" s="83" t="n">
        <f aca="false">IF(F22&lt;(Inputs!$E$15-Inputs!$D$15)/(Inputs!$F$15-Inputs!$D$15),Inputs!$D$15+SQRT(F22*(Inputs!$F$15-Inputs!$D$15)*(Inputs!$E$15-Inputs!$D$15)),Inputs!$F$15-SQRT((1-F22)*(Inputs!$F$15-Inputs!$D$15)*(Inputs!$F$15-Inputs!$E$15)))</f>
        <v>0.777306920416728</v>
      </c>
      <c r="H22" s="81" t="n">
        <f aca="true">RAND()</f>
        <v>0.562348265086215</v>
      </c>
      <c r="I22" s="82" t="n">
        <f aca="false">ROUND(IF(H22&lt;(Inputs!$E$17-Inputs!$D$17)/(Inputs!$F$17-Inputs!$D$17),Inputs!$D$17+SQRT(H22*(Inputs!$F$17-Inputs!$D$17)*(Inputs!$E$17-Inputs!$D$17)),Inputs!$F$17-SQRT((1-H22)*(Inputs!$F$17-Inputs!$D$17)*(Inputs!$F$17-Inputs!$E$17))),0)</f>
        <v>107</v>
      </c>
      <c r="J22" s="81" t="n">
        <f aca="true">RAND()</f>
        <v>0.762533582511761</v>
      </c>
      <c r="K22" s="83" t="n">
        <f aca="false">IF(J22&lt;(Inputs!$E$18-Inputs!$D$18)/(Inputs!$F$18-Inputs!$D$18),Inputs!$D$18+SQRT(J22*(Inputs!$F$18-Inputs!$D$18)*(Inputs!$E$18-Inputs!$D$18)),Inputs!$F$18-SQRT((1-J22)*(Inputs!$F$18-Inputs!$D$18)*(Inputs!$F$18-Inputs!$E$18)))</f>
        <v>1.10585315983269</v>
      </c>
      <c r="L22" s="81" t="n">
        <f aca="true">RAND()</f>
        <v>0.460586288057265</v>
      </c>
      <c r="M22" s="83" t="n">
        <f aca="false">IF(L22&lt;(Inputs!$E$24-Inputs!$D$24)/(Inputs!$F$24-Inputs!$D$24),Inputs!$D$24+SQRT(L22*(Inputs!$F$24-Inputs!$D$24)*(Inputs!$E$24-Inputs!$D$24)),Inputs!$F$24-SQRT((1-L22)*(Inputs!$F$24-Inputs!$D$24)*(Inputs!$F$24-Inputs!$E$24)))</f>
        <v>0.840195482426559</v>
      </c>
      <c r="N22" s="81" t="n">
        <f aca="true">RAND()</f>
        <v>0.885857788162341</v>
      </c>
      <c r="O22" s="83" t="n">
        <f aca="false">IF(N22&lt;(Inputs!$E$26-Inputs!$D$26)/(Inputs!$F$26-Inputs!$D$26),Inputs!$D$26+SQRT(N22*(Inputs!$F$26-Inputs!$D$26)*(Inputs!$E$26-Inputs!$D$26)),Inputs!$F$26-SQRT((1-N22)*(Inputs!$F$26-Inputs!$D$26)*(Inputs!$F$26-Inputs!$E$26)))</f>
        <v>0.71104684478586</v>
      </c>
      <c r="P22" s="81" t="n">
        <f aca="true">RAND()</f>
        <v>0.271327341597495</v>
      </c>
      <c r="Q22" s="82" t="n">
        <f aca="false">IF(P22&lt;(Inputs!$E$27-Inputs!$D$27)/(Inputs!$F$27-Inputs!$D$27),Inputs!$D$27+SQRT(P22*(Inputs!$F$27-Inputs!$D$27)*(Inputs!$E$27-Inputs!$D$27)),Inputs!$F$27-SQRT((1-P22)*(Inputs!$F$27-Inputs!$D$27)*(Inputs!$F$27-Inputs!$E$27)))</f>
        <v>76.0740577468316</v>
      </c>
      <c r="R22" s="81" t="n">
        <f aca="true">RAND()</f>
        <v>0.708847973282684</v>
      </c>
      <c r="S22" s="82" t="n">
        <f aca="false">IF(R22&lt;(Inputs!$E$29-Inputs!$D$29)/(Inputs!$F$29-Inputs!$D$29),Inputs!$D$29+SQRT(R22*(Inputs!$F$29-Inputs!$D$29)*(Inputs!$E$29-Inputs!$D$29)),Inputs!$F$29-SQRT((1-R22)*(Inputs!$F$29-Inputs!$D$29)*(Inputs!$F$29-Inputs!$E$29)))</f>
        <v>8.8477838567512</v>
      </c>
      <c r="T22" s="68" t="n">
        <f aca="false">Inputs!$E$9*(1+E22)+Inputs!$E$5*C22*(Inputs!$E$11*Inputs!$E$14*(G22*I22/Inputs!$E$16+(1-G22))*K22+Inputs!$E$23*M22)*(1+O22)+Inputs!$E$5*(Q22+S22)</f>
        <v>6023.9227072504</v>
      </c>
    </row>
    <row r="23" customFormat="false" ht="15" hidden="false" customHeight="false" outlineLevel="0" collapsed="false">
      <c r="A23" s="1" t="n">
        <v>19</v>
      </c>
      <c r="B23" s="81" t="n">
        <f aca="true">RAND()</f>
        <v>0.300165530471745</v>
      </c>
      <c r="C23" s="82" t="n">
        <f aca="false">ROUND(IF(B23&lt;(Inputs!$E$8-Inputs!$D$8)/(Inputs!$F$8-Inputs!$D$8),Inputs!$D$8+SQRT(B23*(Inputs!$F$8-Inputs!$D$8)*(Inputs!$E$8-Inputs!$D$8)),Inputs!$F$8-SQRT((1-B23)*(Inputs!$F$8-Inputs!$D$8)*(Inputs!$F$8-Inputs!$E$8))),0)</f>
        <v>24</v>
      </c>
      <c r="D23" s="81" t="n">
        <f aca="true">RAND()</f>
        <v>0.364700683994861</v>
      </c>
      <c r="E23" s="83" t="n">
        <f aca="false">IF(D23&lt;(Inputs!$E$10-Inputs!$D$10)/(Inputs!$F$10-Inputs!$D$10),Inputs!$D$10+SQRT(D23*(Inputs!$F$10-Inputs!$D$10)*(Inputs!$E$10-Inputs!$D$10)),Inputs!$F$10-SQRT((1-D23)*(Inputs!$F$10-Inputs!$D$10)*(Inputs!$F$10-Inputs!$E$10)))</f>
        <v>0.0619457371894871</v>
      </c>
      <c r="F23" s="81" t="n">
        <f aca="true">RAND()</f>
        <v>0.365379349073681</v>
      </c>
      <c r="G23" s="83" t="n">
        <f aca="false">IF(F23&lt;(Inputs!$E$15-Inputs!$D$15)/(Inputs!$F$15-Inputs!$D$15),Inputs!$D$15+SQRT(F23*(Inputs!$F$15-Inputs!$D$15)*(Inputs!$E$15-Inputs!$D$15)),Inputs!$F$15-SQRT((1-F23)*(Inputs!$F$15-Inputs!$D$15)*(Inputs!$F$15-Inputs!$E$15)))</f>
        <v>0.685484425373711</v>
      </c>
      <c r="H23" s="81" t="n">
        <f aca="true">RAND()</f>
        <v>0.538681934944573</v>
      </c>
      <c r="I23" s="82" t="n">
        <f aca="false">ROUND(IF(H23&lt;(Inputs!$E$17-Inputs!$D$17)/(Inputs!$F$17-Inputs!$D$17),Inputs!$D$17+SQRT(H23*(Inputs!$F$17-Inputs!$D$17)*(Inputs!$E$17-Inputs!$D$17)),Inputs!$F$17-SQRT((1-H23)*(Inputs!$F$17-Inputs!$D$17)*(Inputs!$F$17-Inputs!$E$17))),0)</f>
        <v>107</v>
      </c>
      <c r="J23" s="81" t="n">
        <f aca="true">RAND()</f>
        <v>0.103618800917543</v>
      </c>
      <c r="K23" s="83" t="n">
        <f aca="false">IF(J23&lt;(Inputs!$E$18-Inputs!$D$18)/(Inputs!$F$18-Inputs!$D$18),Inputs!$D$18+SQRT(J23*(Inputs!$F$18-Inputs!$D$18)*(Inputs!$E$18-Inputs!$D$18)),Inputs!$F$18-SQRT((1-J23)*(Inputs!$F$18-Inputs!$D$18)*(Inputs!$F$18-Inputs!$E$18)))</f>
        <v>0.960221740527105</v>
      </c>
      <c r="L23" s="81" t="n">
        <f aca="true">RAND()</f>
        <v>0.331370893459186</v>
      </c>
      <c r="M23" s="83" t="n">
        <f aca="false">IF(L23&lt;(Inputs!$E$24-Inputs!$D$24)/(Inputs!$F$24-Inputs!$D$24),Inputs!$D$24+SQRT(L23*(Inputs!$F$24-Inputs!$D$24)*(Inputs!$E$24-Inputs!$D$24)),Inputs!$F$24-SQRT((1-L23)*(Inputs!$F$24-Inputs!$D$24)*(Inputs!$F$24-Inputs!$E$24)))</f>
        <v>0.799410398964303</v>
      </c>
      <c r="N23" s="81" t="n">
        <f aca="true">RAND()</f>
        <v>0.257119575450525</v>
      </c>
      <c r="O23" s="83" t="n">
        <f aca="false">IF(N23&lt;(Inputs!$E$26-Inputs!$D$26)/(Inputs!$F$26-Inputs!$D$26),Inputs!$D$26+SQRT(N23*(Inputs!$F$26-Inputs!$D$26)*(Inputs!$E$26-Inputs!$D$26)),Inputs!$F$26-SQRT((1-N23)*(Inputs!$F$26-Inputs!$D$26)*(Inputs!$F$26-Inputs!$E$26)))</f>
        <v>0.506844621286045</v>
      </c>
      <c r="P23" s="81" t="n">
        <f aca="true">RAND()</f>
        <v>0.334667798184578</v>
      </c>
      <c r="Q23" s="82" t="n">
        <f aca="false">IF(P23&lt;(Inputs!$E$27-Inputs!$D$27)/(Inputs!$F$27-Inputs!$D$27),Inputs!$D$27+SQRT(P23*(Inputs!$F$27-Inputs!$D$27)*(Inputs!$E$27-Inputs!$D$27)),Inputs!$F$27-SQRT((1-P23)*(Inputs!$F$27-Inputs!$D$27)*(Inputs!$F$27-Inputs!$E$27)))</f>
        <v>79.3601280181252</v>
      </c>
      <c r="R23" s="81" t="n">
        <f aca="true">RAND()</f>
        <v>0.0772607571475727</v>
      </c>
      <c r="S23" s="82" t="n">
        <f aca="false">IF(R23&lt;(Inputs!$E$29-Inputs!$D$29)/(Inputs!$F$29-Inputs!$D$29),Inputs!$D$29+SQRT(R23*(Inputs!$F$29-Inputs!$D$29)*(Inputs!$E$29-Inputs!$D$29)),Inputs!$F$29-SQRT((1-R23)*(Inputs!$F$29-Inputs!$D$29)*(Inputs!$F$29-Inputs!$E$29)))</f>
        <v>3.7358483599541</v>
      </c>
      <c r="T23" s="68" t="n">
        <f aca="false">Inputs!$E$9*(1+E23)+Inputs!$E$5*C23*(Inputs!$E$11*Inputs!$E$14*(G23*I23/Inputs!$E$16+(1-G23))*K23+Inputs!$E$23*M23)*(1+O23)+Inputs!$E$5*(Q23+S23)</f>
        <v>5683.84473844439</v>
      </c>
    </row>
    <row r="24" customFormat="false" ht="15" hidden="false" customHeight="false" outlineLevel="0" collapsed="false">
      <c r="A24" s="1" t="n">
        <v>20</v>
      </c>
      <c r="B24" s="81" t="n">
        <f aca="true">RAND()</f>
        <v>0.665792045530597</v>
      </c>
      <c r="C24" s="82" t="n">
        <f aca="false">ROUND(IF(B24&lt;(Inputs!$E$8-Inputs!$D$8)/(Inputs!$F$8-Inputs!$D$8),Inputs!$D$8+SQRT(B24*(Inputs!$F$8-Inputs!$D$8)*(Inputs!$E$8-Inputs!$D$8)),Inputs!$F$8-SQRT((1-B24)*(Inputs!$F$8-Inputs!$D$8)*(Inputs!$F$8-Inputs!$E$8))),0)</f>
        <v>26</v>
      </c>
      <c r="D24" s="81" t="n">
        <f aca="true">RAND()</f>
        <v>0.133251706367389</v>
      </c>
      <c r="E24" s="83" t="n">
        <f aca="false">IF(D24&lt;(Inputs!$E$10-Inputs!$D$10)/(Inputs!$F$10-Inputs!$D$10),Inputs!$D$10+SQRT(D24*(Inputs!$F$10-Inputs!$D$10)*(Inputs!$E$10-Inputs!$D$10)),Inputs!$F$10-SQRT((1-D24)*(Inputs!$F$10-Inputs!$D$10)*(Inputs!$F$10-Inputs!$E$10)))</f>
        <v>0.0365036582231684</v>
      </c>
      <c r="F24" s="81" t="n">
        <f aca="true">RAND()</f>
        <v>0.772299614114319</v>
      </c>
      <c r="G24" s="83" t="n">
        <f aca="false">IF(F24&lt;(Inputs!$E$15-Inputs!$D$15)/(Inputs!$F$15-Inputs!$D$15),Inputs!$D$15+SQRT(F24*(Inputs!$F$15-Inputs!$D$15)*(Inputs!$E$15-Inputs!$D$15)),Inputs!$F$15-SQRT((1-F24)*(Inputs!$F$15-Inputs!$D$15)*(Inputs!$F$15-Inputs!$E$15)))</f>
        <v>0.732516611542442</v>
      </c>
      <c r="H24" s="81" t="n">
        <f aca="true">RAND()</f>
        <v>0.975416724102701</v>
      </c>
      <c r="I24" s="82" t="n">
        <f aca="false">ROUND(IF(H24&lt;(Inputs!$E$17-Inputs!$D$17)/(Inputs!$F$17-Inputs!$D$17),Inputs!$D$17+SQRT(H24*(Inputs!$F$17-Inputs!$D$17)*(Inputs!$E$17-Inputs!$D$17)),Inputs!$F$17-SQRT((1-H24)*(Inputs!$F$17-Inputs!$D$17)*(Inputs!$F$17-Inputs!$E$17))),0)</f>
        <v>113</v>
      </c>
      <c r="J24" s="81" t="n">
        <f aca="true">RAND()</f>
        <v>0.891802805295208</v>
      </c>
      <c r="K24" s="83" t="n">
        <f aca="false">IF(J24&lt;(Inputs!$E$18-Inputs!$D$18)/(Inputs!$F$18-Inputs!$D$18),Inputs!$D$18+SQRT(J24*(Inputs!$F$18-Inputs!$D$18)*(Inputs!$E$18-Inputs!$D$18)),Inputs!$F$18-SQRT((1-J24)*(Inputs!$F$18-Inputs!$D$18)*(Inputs!$F$18-Inputs!$E$18)))</f>
        <v>1.15270018223722</v>
      </c>
      <c r="L24" s="81" t="n">
        <f aca="true">RAND()</f>
        <v>0.964113800093737</v>
      </c>
      <c r="M24" s="83" t="n">
        <f aca="false">IF(L24&lt;(Inputs!$E$24-Inputs!$D$24)/(Inputs!$F$24-Inputs!$D$24),Inputs!$D$24+SQRT(L24*(Inputs!$F$24-Inputs!$D$24)*(Inputs!$E$24-Inputs!$D$24)),Inputs!$F$24-SQRT((1-L24)*(Inputs!$F$24-Inputs!$D$24)*(Inputs!$F$24-Inputs!$E$24)))</f>
        <v>1.10719543126816</v>
      </c>
      <c r="N24" s="81" t="n">
        <f aca="true">RAND()</f>
        <v>0.996697214114821</v>
      </c>
      <c r="O24" s="83" t="n">
        <f aca="false">IF(N24&lt;(Inputs!$E$26-Inputs!$D$26)/(Inputs!$F$26-Inputs!$D$26),Inputs!$D$26+SQRT(N24*(Inputs!$F$26-Inputs!$D$26)*(Inputs!$E$26-Inputs!$D$26)),Inputs!$F$26-SQRT((1-N24)*(Inputs!$F$26-Inputs!$D$26)*(Inputs!$F$26-Inputs!$E$26)))</f>
        <v>0.801466524015753</v>
      </c>
      <c r="P24" s="81" t="n">
        <f aca="true">RAND()</f>
        <v>0.268641979698807</v>
      </c>
      <c r="Q24" s="82" t="n">
        <f aca="false">IF(P24&lt;(Inputs!$E$27-Inputs!$D$27)/(Inputs!$F$27-Inputs!$D$27),Inputs!$D$27+SQRT(P24*(Inputs!$F$27-Inputs!$D$27)*(Inputs!$E$27-Inputs!$D$27)),Inputs!$F$27-SQRT((1-P24)*(Inputs!$F$27-Inputs!$D$27)*(Inputs!$F$27-Inputs!$E$27)))</f>
        <v>75.9379641634194</v>
      </c>
      <c r="R24" s="81" t="n">
        <f aca="true">RAND()</f>
        <v>0.358393336326314</v>
      </c>
      <c r="S24" s="82" t="n">
        <f aca="false">IF(R24&lt;(Inputs!$E$29-Inputs!$D$29)/(Inputs!$F$29-Inputs!$D$29),Inputs!$D$29+SQRT(R24*(Inputs!$F$29-Inputs!$D$29)*(Inputs!$E$29-Inputs!$D$29)),Inputs!$F$29-SQRT((1-R24)*(Inputs!$F$29-Inputs!$D$29)*(Inputs!$F$29-Inputs!$E$29)))</f>
        <v>5.86715453554703</v>
      </c>
      <c r="T24" s="68" t="n">
        <f aca="false">Inputs!$E$9*(1+E24)+Inputs!$E$5*C24*(Inputs!$E$11*Inputs!$E$14*(G24*I24/Inputs!$E$16+(1-G24))*K24+Inputs!$E$23*M24)*(1+O24)+Inputs!$E$5*(Q24+S24)</f>
        <v>7510.73716061806</v>
      </c>
    </row>
    <row r="25" customFormat="false" ht="15" hidden="false" customHeight="false" outlineLevel="0" collapsed="false">
      <c r="A25" s="1" t="n">
        <v>21</v>
      </c>
      <c r="B25" s="81" t="n">
        <f aca="true">RAND()</f>
        <v>0.565124451116207</v>
      </c>
      <c r="C25" s="82" t="n">
        <f aca="false">ROUND(IF(B25&lt;(Inputs!$E$8-Inputs!$D$8)/(Inputs!$F$8-Inputs!$D$8),Inputs!$D$8+SQRT(B25*(Inputs!$F$8-Inputs!$D$8)*(Inputs!$E$8-Inputs!$D$8)),Inputs!$F$8-SQRT((1-B25)*(Inputs!$F$8-Inputs!$D$8)*(Inputs!$F$8-Inputs!$E$8))),0)</f>
        <v>25</v>
      </c>
      <c r="D25" s="81" t="n">
        <f aca="true">RAND()</f>
        <v>0.168703203010538</v>
      </c>
      <c r="E25" s="83" t="n">
        <f aca="false">IF(D25&lt;(Inputs!$E$10-Inputs!$D$10)/(Inputs!$F$10-Inputs!$D$10),Inputs!$D$10+SQRT(D25*(Inputs!$F$10-Inputs!$D$10)*(Inputs!$E$10-Inputs!$D$10)),Inputs!$F$10-SQRT((1-D25)*(Inputs!$F$10-Inputs!$D$10)*(Inputs!$F$10-Inputs!$E$10)))</f>
        <v>0.041073495469772</v>
      </c>
      <c r="F25" s="81" t="n">
        <f aca="true">RAND()</f>
        <v>0.413176635980453</v>
      </c>
      <c r="G25" s="83" t="n">
        <f aca="false">IF(F25&lt;(Inputs!$E$15-Inputs!$D$15)/(Inputs!$F$15-Inputs!$D$15),Inputs!$D$15+SQRT(F25*(Inputs!$F$15-Inputs!$D$15)*(Inputs!$E$15-Inputs!$D$15)),Inputs!$F$15-SQRT((1-F25)*(Inputs!$F$15-Inputs!$D$15)*(Inputs!$F$15-Inputs!$E$15)))</f>
        <v>0.690903975268462</v>
      </c>
      <c r="H25" s="81" t="n">
        <f aca="true">RAND()</f>
        <v>0.717414817266199</v>
      </c>
      <c r="I25" s="82" t="n">
        <f aca="false">ROUND(IF(H25&lt;(Inputs!$E$17-Inputs!$D$17)/(Inputs!$F$17-Inputs!$D$17),Inputs!$D$17+SQRT(H25*(Inputs!$F$17-Inputs!$D$17)*(Inputs!$E$17-Inputs!$D$17)),Inputs!$F$17-SQRT((1-H25)*(Inputs!$F$17-Inputs!$D$17)*(Inputs!$F$17-Inputs!$E$17))),0)</f>
        <v>108</v>
      </c>
      <c r="J25" s="81" t="n">
        <f aca="true">RAND()</f>
        <v>0.781128914866294</v>
      </c>
      <c r="K25" s="83" t="n">
        <f aca="false">IF(J25&lt;(Inputs!$E$18-Inputs!$D$18)/(Inputs!$F$18-Inputs!$D$18),Inputs!$D$18+SQRT(J25*(Inputs!$F$18-Inputs!$D$18)*(Inputs!$E$18-Inputs!$D$18)),Inputs!$F$18-SQRT((1-J25)*(Inputs!$F$18-Inputs!$D$18)*(Inputs!$F$18-Inputs!$E$18)))</f>
        <v>1.11161206718359</v>
      </c>
      <c r="L25" s="81" t="n">
        <f aca="true">RAND()</f>
        <v>0.796675618989145</v>
      </c>
      <c r="M25" s="83" t="n">
        <f aca="false">IF(L25&lt;(Inputs!$E$24-Inputs!$D$24)/(Inputs!$F$24-Inputs!$D$24),Inputs!$D$24+SQRT(L25*(Inputs!$F$24-Inputs!$D$24)*(Inputs!$E$24-Inputs!$D$24)),Inputs!$F$24-SQRT((1-L25)*(Inputs!$F$24-Inputs!$D$24)*(Inputs!$F$24-Inputs!$E$24)))</f>
        <v>0.97909764274095</v>
      </c>
      <c r="N25" s="81" t="n">
        <f aca="true">RAND()</f>
        <v>0.967616987458587</v>
      </c>
      <c r="O25" s="83" t="n">
        <f aca="false">IF(N25&lt;(Inputs!$E$26-Inputs!$D$26)/(Inputs!$F$26-Inputs!$D$26),Inputs!$D$26+SQRT(N25*(Inputs!$F$26-Inputs!$D$26)*(Inputs!$E$26-Inputs!$D$26)),Inputs!$F$26-SQRT((1-N25)*(Inputs!$F$26-Inputs!$D$26)*(Inputs!$F$26-Inputs!$E$26)))</f>
        <v>0.761966963681822</v>
      </c>
      <c r="P25" s="81" t="n">
        <f aca="true">RAND()</f>
        <v>0.128036324836922</v>
      </c>
      <c r="Q25" s="82" t="n">
        <f aca="false">IF(P25&lt;(Inputs!$E$27-Inputs!$D$27)/(Inputs!$F$27-Inputs!$D$27),Inputs!$D$27+SQRT(P25*(Inputs!$F$27-Inputs!$D$27)*(Inputs!$E$27-Inputs!$D$27)),Inputs!$F$27-SQRT((1-P25)*(Inputs!$F$27-Inputs!$D$27)*(Inputs!$F$27-Inputs!$E$27)))</f>
        <v>67.8910819150857</v>
      </c>
      <c r="R25" s="81" t="n">
        <f aca="true">RAND()</f>
        <v>0.513211427774776</v>
      </c>
      <c r="S25" s="82" t="n">
        <f aca="false">IF(R25&lt;(Inputs!$E$29-Inputs!$D$29)/(Inputs!$F$29-Inputs!$D$29),Inputs!$D$29+SQRT(R25*(Inputs!$F$29-Inputs!$D$29)*(Inputs!$E$29-Inputs!$D$29)),Inputs!$F$29-SQRT((1-R25)*(Inputs!$F$29-Inputs!$D$29)*(Inputs!$F$29-Inputs!$E$29)))</f>
        <v>7.04496924020535</v>
      </c>
      <c r="T25" s="68" t="n">
        <f aca="false">Inputs!$E$9*(1+E25)+Inputs!$E$5*C25*(Inputs!$E$11*Inputs!$E$14*(G25*I25/Inputs!$E$16+(1-G25))*K25+Inputs!$E$23*M25)*(1+O25)+Inputs!$E$5*(Q25+S25)</f>
        <v>6889.19801834739</v>
      </c>
    </row>
    <row r="26" customFormat="false" ht="15" hidden="false" customHeight="false" outlineLevel="0" collapsed="false">
      <c r="A26" s="1" t="n">
        <v>22</v>
      </c>
      <c r="B26" s="81" t="n">
        <f aca="true">RAND()</f>
        <v>0.177740676598295</v>
      </c>
      <c r="C26" s="82" t="n">
        <f aca="false">ROUND(IF(B26&lt;(Inputs!$E$8-Inputs!$D$8)/(Inputs!$F$8-Inputs!$D$8),Inputs!$D$8+SQRT(B26*(Inputs!$F$8-Inputs!$D$8)*(Inputs!$E$8-Inputs!$D$8)),Inputs!$F$8-SQRT((1-B26)*(Inputs!$F$8-Inputs!$D$8)*(Inputs!$F$8-Inputs!$E$8))),0)</f>
        <v>23</v>
      </c>
      <c r="D26" s="81" t="n">
        <f aca="true">RAND()</f>
        <v>0.172604175217703</v>
      </c>
      <c r="E26" s="83" t="n">
        <f aca="false">IF(D26&lt;(Inputs!$E$10-Inputs!$D$10)/(Inputs!$F$10-Inputs!$D$10),Inputs!$D$10+SQRT(D26*(Inputs!$F$10-Inputs!$D$10)*(Inputs!$E$10-Inputs!$D$10)),Inputs!$F$10-SQRT((1-D26)*(Inputs!$F$10-Inputs!$D$10)*(Inputs!$F$10-Inputs!$E$10)))</f>
        <v>0.0415456586441596</v>
      </c>
      <c r="F26" s="81" t="n">
        <f aca="true">RAND()</f>
        <v>0.74246827123985</v>
      </c>
      <c r="G26" s="83" t="n">
        <f aca="false">IF(F26&lt;(Inputs!$E$15-Inputs!$D$15)/(Inputs!$F$15-Inputs!$D$15),Inputs!$D$15+SQRT(F26*(Inputs!$F$15-Inputs!$D$15)*(Inputs!$E$15-Inputs!$D$15)),Inputs!$F$15-SQRT((1-F26)*(Inputs!$F$15-Inputs!$D$15)*(Inputs!$F$15-Inputs!$E$15)))</f>
        <v>0.728232078369212</v>
      </c>
      <c r="H26" s="81" t="n">
        <f aca="true">RAND()</f>
        <v>0.270198714810998</v>
      </c>
      <c r="I26" s="82" t="n">
        <f aca="false">ROUND(IF(H26&lt;(Inputs!$E$17-Inputs!$D$17)/(Inputs!$F$17-Inputs!$D$17),Inputs!$D$17+SQRT(H26*(Inputs!$F$17-Inputs!$D$17)*(Inputs!$E$17-Inputs!$D$17)),Inputs!$F$17-SQRT((1-H26)*(Inputs!$F$17-Inputs!$D$17)*(Inputs!$F$17-Inputs!$E$17))),0)</f>
        <v>105</v>
      </c>
      <c r="J26" s="81" t="n">
        <f aca="true">RAND()</f>
        <v>0.857345933194542</v>
      </c>
      <c r="K26" s="83" t="n">
        <f aca="false">IF(J26&lt;(Inputs!$E$18-Inputs!$D$18)/(Inputs!$F$18-Inputs!$D$18),Inputs!$D$18+SQRT(J26*(Inputs!$F$18-Inputs!$D$18)*(Inputs!$E$18-Inputs!$D$18)),Inputs!$F$18-SQRT((1-J26)*(Inputs!$F$18-Inputs!$D$18)*(Inputs!$F$18-Inputs!$E$18)))</f>
        <v>1.13827609546083</v>
      </c>
      <c r="L26" s="81" t="n">
        <f aca="true">RAND()</f>
        <v>0.0281714019862345</v>
      </c>
      <c r="M26" s="83" t="n">
        <f aca="false">IF(L26&lt;(Inputs!$E$24-Inputs!$D$24)/(Inputs!$F$24-Inputs!$D$24),Inputs!$D$24+SQRT(L26*(Inputs!$F$24-Inputs!$D$24)*(Inputs!$E$24-Inputs!$D$24)),Inputs!$F$24-SQRT((1-L26)*(Inputs!$F$24-Inputs!$D$24)*(Inputs!$F$24-Inputs!$E$24)))</f>
        <v>0.658142654207975</v>
      </c>
      <c r="N26" s="81" t="n">
        <f aca="true">RAND()</f>
        <v>0.457092238040933</v>
      </c>
      <c r="O26" s="83" t="n">
        <f aca="false">IF(N26&lt;(Inputs!$E$26-Inputs!$D$26)/(Inputs!$F$26-Inputs!$D$26),Inputs!$D$26+SQRT(N26*(Inputs!$F$26-Inputs!$D$26)*(Inputs!$E$26-Inputs!$D$26)),Inputs!$F$26-SQRT((1-N26)*(Inputs!$F$26-Inputs!$D$26)*(Inputs!$F$26-Inputs!$E$26)))</f>
        <v>0.575790044073406</v>
      </c>
      <c r="P26" s="81" t="n">
        <f aca="true">RAND()</f>
        <v>0.267587122909677</v>
      </c>
      <c r="Q26" s="82" t="n">
        <f aca="false">IF(P26&lt;(Inputs!$E$27-Inputs!$D$27)/(Inputs!$F$27-Inputs!$D$27),Inputs!$D$27+SQRT(P26*(Inputs!$F$27-Inputs!$D$27)*(Inputs!$E$27-Inputs!$D$27)),Inputs!$F$27-SQRT((1-P26)*(Inputs!$F$27-Inputs!$D$27)*(Inputs!$F$27-Inputs!$E$27)))</f>
        <v>75.884572603422</v>
      </c>
      <c r="R26" s="81" t="n">
        <f aca="true">RAND()</f>
        <v>0.212064352509079</v>
      </c>
      <c r="S26" s="82" t="n">
        <f aca="false">IF(R26&lt;(Inputs!$E$29-Inputs!$D$29)/(Inputs!$F$29-Inputs!$D$29),Inputs!$D$29+SQRT(R26*(Inputs!$F$29-Inputs!$D$29)*(Inputs!$E$29-Inputs!$D$29)),Inputs!$F$29-SQRT((1-R26)*(Inputs!$F$29-Inputs!$D$29)*(Inputs!$F$29-Inputs!$E$29)))</f>
        <v>4.8758493958923</v>
      </c>
      <c r="T26" s="68" t="n">
        <f aca="false">Inputs!$E$9*(1+E26)+Inputs!$E$5*C26*(Inputs!$E$11*Inputs!$E$14*(G26*I26/Inputs!$E$16+(1-G26))*K26+Inputs!$E$23*M26)*(1+O26)+Inputs!$E$5*(Q26+S26)</f>
        <v>5722.21894146075</v>
      </c>
    </row>
    <row r="27" customFormat="false" ht="15" hidden="false" customHeight="false" outlineLevel="0" collapsed="false">
      <c r="A27" s="1" t="n">
        <v>23</v>
      </c>
      <c r="B27" s="81" t="n">
        <f aca="true">RAND()</f>
        <v>0.471635479825438</v>
      </c>
      <c r="C27" s="82" t="n">
        <f aca="false">ROUND(IF(B27&lt;(Inputs!$E$8-Inputs!$D$8)/(Inputs!$F$8-Inputs!$D$8),Inputs!$D$8+SQRT(B27*(Inputs!$F$8-Inputs!$D$8)*(Inputs!$E$8-Inputs!$D$8)),Inputs!$F$8-SQRT((1-B27)*(Inputs!$F$8-Inputs!$D$8)*(Inputs!$F$8-Inputs!$E$8))),0)</f>
        <v>25</v>
      </c>
      <c r="D27" s="81" t="n">
        <f aca="true">RAND()</f>
        <v>0.321710950946926</v>
      </c>
      <c r="E27" s="83" t="n">
        <f aca="false">IF(D27&lt;(Inputs!$E$10-Inputs!$D$10)/(Inputs!$F$10-Inputs!$D$10),Inputs!$D$10+SQRT(D27*(Inputs!$F$10-Inputs!$D$10)*(Inputs!$E$10-Inputs!$D$10)),Inputs!$F$10-SQRT((1-D27)*(Inputs!$F$10-Inputs!$D$10)*(Inputs!$F$10-Inputs!$E$10)))</f>
        <v>0.0573512303887894</v>
      </c>
      <c r="F27" s="81" t="n">
        <f aca="true">RAND()</f>
        <v>0.787055964985798</v>
      </c>
      <c r="G27" s="83" t="n">
        <f aca="false">IF(F27&lt;(Inputs!$E$15-Inputs!$D$15)/(Inputs!$F$15-Inputs!$D$15),Inputs!$D$15+SQRT(F27*(Inputs!$F$15-Inputs!$D$15)*(Inputs!$E$15-Inputs!$D$15)),Inputs!$F$15-SQRT((1-F27)*(Inputs!$F$15-Inputs!$D$15)*(Inputs!$F$15-Inputs!$E$15)))</f>
        <v>0.734739899630141</v>
      </c>
      <c r="H27" s="81" t="n">
        <f aca="true">RAND()</f>
        <v>0.228414265350605</v>
      </c>
      <c r="I27" s="82" t="n">
        <f aca="false">ROUND(IF(H27&lt;(Inputs!$E$17-Inputs!$D$17)/(Inputs!$F$17-Inputs!$D$17),Inputs!$D$17+SQRT(H27*(Inputs!$F$17-Inputs!$D$17)*(Inputs!$E$17-Inputs!$D$17)),Inputs!$F$17-SQRT((1-H27)*(Inputs!$F$17-Inputs!$D$17)*(Inputs!$F$17-Inputs!$E$17))),0)</f>
        <v>104</v>
      </c>
      <c r="J27" s="81" t="n">
        <f aca="true">RAND()</f>
        <v>0.000995528801062942</v>
      </c>
      <c r="K27" s="83" t="n">
        <f aca="false">IF(J27&lt;(Inputs!$E$18-Inputs!$D$18)/(Inputs!$F$18-Inputs!$D$18),Inputs!$D$18+SQRT(J27*(Inputs!$F$18-Inputs!$D$18)*(Inputs!$E$18-Inputs!$D$18)),Inputs!$F$18-SQRT((1-J27)*(Inputs!$F$18-Inputs!$D$18)*(Inputs!$F$18-Inputs!$E$18)))</f>
        <v>0.905902838981135</v>
      </c>
      <c r="L27" s="81" t="n">
        <f aca="true">RAND()</f>
        <v>0.582730259269326</v>
      </c>
      <c r="M27" s="83" t="n">
        <f aca="false">IF(L27&lt;(Inputs!$E$24-Inputs!$D$24)/(Inputs!$F$24-Inputs!$D$24),Inputs!$D$24+SQRT(L27*(Inputs!$F$24-Inputs!$D$24)*(Inputs!$E$24-Inputs!$D$24)),Inputs!$F$24-SQRT((1-L27)*(Inputs!$F$24-Inputs!$D$24)*(Inputs!$F$24-Inputs!$E$24)))</f>
        <v>0.883543466214771</v>
      </c>
      <c r="N27" s="81" t="n">
        <f aca="true">RAND()</f>
        <v>0.660258970222906</v>
      </c>
      <c r="O27" s="83" t="n">
        <f aca="false">IF(N27&lt;(Inputs!$E$26-Inputs!$D$26)/(Inputs!$F$26-Inputs!$D$26),Inputs!$D$26+SQRT(N27*(Inputs!$F$26-Inputs!$D$26)*(Inputs!$E$26-Inputs!$D$26)),Inputs!$F$26-SQRT((1-N27)*(Inputs!$F$26-Inputs!$D$26)*(Inputs!$F$26-Inputs!$E$26)))</f>
        <v>0.632029079119089</v>
      </c>
      <c r="P27" s="81" t="n">
        <f aca="true">RAND()</f>
        <v>0.815464598221493</v>
      </c>
      <c r="Q27" s="82" t="n">
        <f aca="false">IF(P27&lt;(Inputs!$E$27-Inputs!$D$27)/(Inputs!$F$27-Inputs!$D$27),Inputs!$D$27+SQRT(P27*(Inputs!$F$27-Inputs!$D$27)*(Inputs!$E$27-Inputs!$D$27)),Inputs!$F$27-SQRT((1-P27)*(Inputs!$F$27-Inputs!$D$27)*(Inputs!$F$27-Inputs!$E$27)))</f>
        <v>112.797641024543</v>
      </c>
      <c r="R27" s="81" t="n">
        <f aca="true">RAND()</f>
        <v>0.328095498070278</v>
      </c>
      <c r="S27" s="82" t="n">
        <f aca="false">IF(R27&lt;(Inputs!$E$29-Inputs!$D$29)/(Inputs!$F$29-Inputs!$D$29),Inputs!$D$29+SQRT(R27*(Inputs!$F$29-Inputs!$D$29)*(Inputs!$E$29-Inputs!$D$29)),Inputs!$F$29-SQRT((1-R27)*(Inputs!$F$29-Inputs!$D$29)*(Inputs!$F$29-Inputs!$E$29)))</f>
        <v>5.65400699492751</v>
      </c>
      <c r="T27" s="68" t="n">
        <f aca="false">Inputs!$E$9*(1+E27)+Inputs!$E$5*C27*(Inputs!$E$11*Inputs!$E$14*(G27*I27/Inputs!$E$16+(1-G27))*K27+Inputs!$E$23*M27)*(1+O27)+Inputs!$E$5*(Q27+S27)</f>
        <v>6134.42605948413</v>
      </c>
    </row>
    <row r="28" customFormat="false" ht="15" hidden="false" customHeight="false" outlineLevel="0" collapsed="false">
      <c r="A28" s="1" t="n">
        <v>24</v>
      </c>
      <c r="B28" s="81" t="n">
        <f aca="true">RAND()</f>
        <v>0.811719531788597</v>
      </c>
      <c r="C28" s="82" t="n">
        <f aca="false">ROUND(IF(B28&lt;(Inputs!$E$8-Inputs!$D$8)/(Inputs!$F$8-Inputs!$D$8),Inputs!$D$8+SQRT(B28*(Inputs!$F$8-Inputs!$D$8)*(Inputs!$E$8-Inputs!$D$8)),Inputs!$F$8-SQRT((1-B28)*(Inputs!$F$8-Inputs!$D$8)*(Inputs!$F$8-Inputs!$E$8))),0)</f>
        <v>27</v>
      </c>
      <c r="D28" s="81" t="n">
        <f aca="true">RAND()</f>
        <v>0.560517167941791</v>
      </c>
      <c r="E28" s="83" t="n">
        <f aca="false">IF(D28&lt;(Inputs!$E$10-Inputs!$D$10)/(Inputs!$F$10-Inputs!$D$10),Inputs!$D$10+SQRT(D28*(Inputs!$F$10-Inputs!$D$10)*(Inputs!$E$10-Inputs!$D$10)),Inputs!$F$10-SQRT((1-D28)*(Inputs!$F$10-Inputs!$D$10)*(Inputs!$F$10-Inputs!$E$10)))</f>
        <v>0.0851762874587906</v>
      </c>
      <c r="F28" s="81" t="n">
        <f aca="true">RAND()</f>
        <v>0.81497604021188</v>
      </c>
      <c r="G28" s="83" t="n">
        <f aca="false">IF(F28&lt;(Inputs!$E$15-Inputs!$D$15)/(Inputs!$F$15-Inputs!$D$15),Inputs!$D$15+SQRT(F28*(Inputs!$F$15-Inputs!$D$15)*(Inputs!$E$15-Inputs!$D$15)),Inputs!$F$15-SQRT((1-F28)*(Inputs!$F$15-Inputs!$D$15)*(Inputs!$F$15-Inputs!$E$15)))</f>
        <v>0.739168435859643</v>
      </c>
      <c r="H28" s="81" t="n">
        <f aca="true">RAND()</f>
        <v>0.653732100090349</v>
      </c>
      <c r="I28" s="82" t="n">
        <f aca="false">ROUND(IF(H28&lt;(Inputs!$E$17-Inputs!$D$17)/(Inputs!$F$17-Inputs!$D$17),Inputs!$D$17+SQRT(H28*(Inputs!$F$17-Inputs!$D$17)*(Inputs!$E$17-Inputs!$D$17)),Inputs!$F$17-SQRT((1-H28)*(Inputs!$F$17-Inputs!$D$17)*(Inputs!$F$17-Inputs!$E$17))),0)</f>
        <v>108</v>
      </c>
      <c r="J28" s="81" t="n">
        <f aca="true">RAND()</f>
        <v>0.885591538818443</v>
      </c>
      <c r="K28" s="83" t="n">
        <f aca="false">IF(J28&lt;(Inputs!$E$18-Inputs!$D$18)/(Inputs!$F$18-Inputs!$D$18),Inputs!$D$18+SQRT(J28*(Inputs!$F$18-Inputs!$D$18)*(Inputs!$E$18-Inputs!$D$18)),Inputs!$F$18-SQRT((1-J28)*(Inputs!$F$18-Inputs!$D$18)*(Inputs!$F$18-Inputs!$E$18)))</f>
        <v>1.14994631264473</v>
      </c>
      <c r="L28" s="81" t="n">
        <f aca="true">RAND()</f>
        <v>0.330769922877208</v>
      </c>
      <c r="M28" s="83" t="n">
        <f aca="false">IF(L28&lt;(Inputs!$E$24-Inputs!$D$24)/(Inputs!$F$24-Inputs!$D$24),Inputs!$D$24+SQRT(L28*(Inputs!$F$24-Inputs!$D$24)*(Inputs!$E$24-Inputs!$D$24)),Inputs!$F$24-SQRT((1-L28)*(Inputs!$F$24-Inputs!$D$24)*(Inputs!$F$24-Inputs!$E$24)))</f>
        <v>0.799229492659257</v>
      </c>
      <c r="N28" s="81" t="n">
        <f aca="true">RAND()</f>
        <v>0.136173354552814</v>
      </c>
      <c r="O28" s="83" t="n">
        <f aca="false">IF(N28&lt;(Inputs!$E$26-Inputs!$D$26)/(Inputs!$F$26-Inputs!$D$26),Inputs!$D$26+SQRT(N28*(Inputs!$F$26-Inputs!$D$26)*(Inputs!$E$26-Inputs!$D$26)),Inputs!$F$26-SQRT((1-N28)*(Inputs!$F$26-Inputs!$D$26)*(Inputs!$F$26-Inputs!$E$26)))</f>
        <v>0.450529884732528</v>
      </c>
      <c r="P28" s="81" t="n">
        <f aca="true">RAND()</f>
        <v>0.277353249863813</v>
      </c>
      <c r="Q28" s="82" t="n">
        <f aca="false">IF(P28&lt;(Inputs!$E$27-Inputs!$D$27)/(Inputs!$F$27-Inputs!$D$27),Inputs!$D$27+SQRT(P28*(Inputs!$F$27-Inputs!$D$27)*(Inputs!$E$27-Inputs!$D$27)),Inputs!$F$27-SQRT((1-P28)*(Inputs!$F$27-Inputs!$D$27)*(Inputs!$F$27-Inputs!$E$27)))</f>
        <v>76.3803652140178</v>
      </c>
      <c r="R28" s="81" t="n">
        <f aca="true">RAND()</f>
        <v>0.209331905623398</v>
      </c>
      <c r="S28" s="82" t="n">
        <f aca="false">IF(R28&lt;(Inputs!$E$29-Inputs!$D$29)/(Inputs!$F$29-Inputs!$D$29),Inputs!$D$29+SQRT(R28*(Inputs!$F$29-Inputs!$D$29)*(Inputs!$E$29-Inputs!$D$29)),Inputs!$F$29-SQRT((1-R28)*(Inputs!$F$29-Inputs!$D$29)*(Inputs!$F$29-Inputs!$E$29)))</f>
        <v>4.85726168198023</v>
      </c>
      <c r="T28" s="68" t="n">
        <f aca="false">Inputs!$E$9*(1+E28)+Inputs!$E$5*C28*(Inputs!$E$11*Inputs!$E$14*(G28*I28/Inputs!$E$16+(1-G28))*K28+Inputs!$E$23*M28)*(1+O28)+Inputs!$E$5*(Q28+S28)</f>
        <v>6310.84499217985</v>
      </c>
    </row>
    <row r="29" customFormat="false" ht="15" hidden="false" customHeight="false" outlineLevel="0" collapsed="false">
      <c r="A29" s="1" t="n">
        <v>25</v>
      </c>
      <c r="B29" s="81" t="n">
        <f aca="true">RAND()</f>
        <v>0.201824699847759</v>
      </c>
      <c r="C29" s="82" t="n">
        <f aca="false">ROUND(IF(B29&lt;(Inputs!$E$8-Inputs!$D$8)/(Inputs!$F$8-Inputs!$D$8),Inputs!$D$8+SQRT(B29*(Inputs!$F$8-Inputs!$D$8)*(Inputs!$E$8-Inputs!$D$8)),Inputs!$F$8-SQRT((1-B29)*(Inputs!$F$8-Inputs!$D$8)*(Inputs!$F$8-Inputs!$E$8))),0)</f>
        <v>23</v>
      </c>
      <c r="D29" s="81" t="n">
        <f aca="true">RAND()</f>
        <v>0.318489522270184</v>
      </c>
      <c r="E29" s="83" t="n">
        <f aca="false">IF(D29&lt;(Inputs!$E$10-Inputs!$D$10)/(Inputs!$F$10-Inputs!$D$10),Inputs!$D$10+SQRT(D29*(Inputs!$F$10-Inputs!$D$10)*(Inputs!$E$10-Inputs!$D$10)),Inputs!$F$10-SQRT((1-D29)*(Inputs!$F$10-Inputs!$D$10)*(Inputs!$F$10-Inputs!$E$10)))</f>
        <v>0.0570128875321469</v>
      </c>
      <c r="F29" s="81" t="n">
        <f aca="true">RAND()</f>
        <v>0.891849973671872</v>
      </c>
      <c r="G29" s="83" t="n">
        <f aca="false">IF(F29&lt;(Inputs!$E$15-Inputs!$D$15)/(Inputs!$F$15-Inputs!$D$15),Inputs!$D$15+SQRT(F29*(Inputs!$F$15-Inputs!$D$15)*(Inputs!$E$15-Inputs!$D$15)),Inputs!$F$15-SQRT((1-F29)*(Inputs!$F$15-Inputs!$D$15)*(Inputs!$F$15-Inputs!$E$15)))</f>
        <v>0.753491930522085</v>
      </c>
      <c r="H29" s="81" t="n">
        <f aca="true">RAND()</f>
        <v>0.581775954055592</v>
      </c>
      <c r="I29" s="82" t="n">
        <f aca="false">ROUND(IF(H29&lt;(Inputs!$E$17-Inputs!$D$17)/(Inputs!$F$17-Inputs!$D$17),Inputs!$D$17+SQRT(H29*(Inputs!$F$17-Inputs!$D$17)*(Inputs!$E$17-Inputs!$D$17)),Inputs!$F$17-SQRT((1-H29)*(Inputs!$F$17-Inputs!$D$17)*(Inputs!$F$17-Inputs!$E$17))),0)</f>
        <v>107</v>
      </c>
      <c r="J29" s="81" t="n">
        <f aca="true">RAND()</f>
        <v>0.286379409999422</v>
      </c>
      <c r="K29" s="83" t="n">
        <f aca="false">IF(J29&lt;(Inputs!$E$18-Inputs!$D$18)/(Inputs!$F$18-Inputs!$D$18),Inputs!$D$18+SQRT(J29*(Inputs!$F$18-Inputs!$D$18)*(Inputs!$E$18-Inputs!$D$18)),Inputs!$F$18-SQRT((1-J29)*(Inputs!$F$18-Inputs!$D$18)*(Inputs!$F$18-Inputs!$E$18)))</f>
        <v>1.00011642385893</v>
      </c>
      <c r="L29" s="81" t="n">
        <f aca="true">RAND()</f>
        <v>0.32231711329984</v>
      </c>
      <c r="M29" s="83" t="n">
        <f aca="false">IF(L29&lt;(Inputs!$E$24-Inputs!$D$24)/(Inputs!$F$24-Inputs!$D$24),Inputs!$D$24+SQRT(L29*(Inputs!$F$24-Inputs!$D$24)*(Inputs!$E$24-Inputs!$D$24)),Inputs!$F$24-SQRT((1-L29)*(Inputs!$F$24-Inputs!$D$24)*(Inputs!$F$24-Inputs!$E$24)))</f>
        <v>0.796667367898136</v>
      </c>
      <c r="N29" s="81" t="n">
        <f aca="true">RAND()</f>
        <v>0.729293006685892</v>
      </c>
      <c r="O29" s="83" t="n">
        <f aca="false">IF(N29&lt;(Inputs!$E$26-Inputs!$D$26)/(Inputs!$F$26-Inputs!$D$26),Inputs!$D$26+SQRT(N29*(Inputs!$F$26-Inputs!$D$26)*(Inputs!$E$26-Inputs!$D$26)),Inputs!$F$26-SQRT((1-N29)*(Inputs!$F$26-Inputs!$D$26)*(Inputs!$F$26-Inputs!$E$26)))</f>
        <v>0.652209871253797</v>
      </c>
      <c r="P29" s="81" t="n">
        <f aca="true">RAND()</f>
        <v>0.23172202241355</v>
      </c>
      <c r="Q29" s="82" t="n">
        <f aca="false">IF(P29&lt;(Inputs!$E$27-Inputs!$D$27)/(Inputs!$F$27-Inputs!$D$27),Inputs!$D$27+SQRT(P29*(Inputs!$F$27-Inputs!$D$27)*(Inputs!$E$27-Inputs!$D$27)),Inputs!$F$27-SQRT((1-P29)*(Inputs!$F$27-Inputs!$D$27)*(Inputs!$F$27-Inputs!$E$27)))</f>
        <v>74.0687568443797</v>
      </c>
      <c r="R29" s="81" t="n">
        <f aca="true">RAND()</f>
        <v>0.19523871628076</v>
      </c>
      <c r="S29" s="82" t="n">
        <f aca="false">IF(R29&lt;(Inputs!$E$29-Inputs!$D$29)/(Inputs!$F$29-Inputs!$D$29),Inputs!$D$29+SQRT(R29*(Inputs!$F$29-Inputs!$D$29)*(Inputs!$E$29-Inputs!$D$29)),Inputs!$F$29-SQRT((1-R29)*(Inputs!$F$29-Inputs!$D$29)*(Inputs!$F$29-Inputs!$E$29)))</f>
        <v>4.75940390935246</v>
      </c>
      <c r="T29" s="68" t="n">
        <f aca="false">Inputs!$E$9*(1+E29)+Inputs!$E$5*C29*(Inputs!$E$11*Inputs!$E$14*(G29*I29/Inputs!$E$16+(1-G29))*K29+Inputs!$E$23*M29)*(1+O29)+Inputs!$E$5*(Q29+S29)</f>
        <v>5795.92548486165</v>
      </c>
    </row>
    <row r="30" customFormat="false" ht="15" hidden="false" customHeight="false" outlineLevel="0" collapsed="false">
      <c r="A30" s="1" t="n">
        <v>26</v>
      </c>
      <c r="B30" s="81" t="n">
        <f aca="true">RAND()</f>
        <v>0.598614224379669</v>
      </c>
      <c r="C30" s="82" t="n">
        <f aca="false">ROUND(IF(B30&lt;(Inputs!$E$8-Inputs!$D$8)/(Inputs!$F$8-Inputs!$D$8),Inputs!$D$8+SQRT(B30*(Inputs!$F$8-Inputs!$D$8)*(Inputs!$E$8-Inputs!$D$8)),Inputs!$F$8-SQRT((1-B30)*(Inputs!$F$8-Inputs!$D$8)*(Inputs!$F$8-Inputs!$E$8))),0)</f>
        <v>26</v>
      </c>
      <c r="D30" s="81" t="n">
        <f aca="true">RAND()</f>
        <v>0.0819050995576595</v>
      </c>
      <c r="E30" s="83" t="n">
        <f aca="false">IF(D30&lt;(Inputs!$E$10-Inputs!$D$10)/(Inputs!$F$10-Inputs!$D$10),Inputs!$D$10+SQRT(D30*(Inputs!$F$10-Inputs!$D$10)*(Inputs!$E$10-Inputs!$D$10)),Inputs!$F$10-SQRT((1-D30)*(Inputs!$F$10-Inputs!$D$10)*(Inputs!$F$10-Inputs!$E$10)))</f>
        <v>0.0286190669934677</v>
      </c>
      <c r="F30" s="81" t="n">
        <f aca="true">RAND()</f>
        <v>0.23417832208388</v>
      </c>
      <c r="G30" s="83" t="n">
        <f aca="false">IF(F30&lt;(Inputs!$E$15-Inputs!$D$15)/(Inputs!$F$15-Inputs!$D$15),Inputs!$D$15+SQRT(F30*(Inputs!$F$15-Inputs!$D$15)*(Inputs!$E$15-Inputs!$D$15)),Inputs!$F$15-SQRT((1-F30)*(Inputs!$F$15-Inputs!$D$15)*(Inputs!$F$15-Inputs!$E$15)))</f>
        <v>0.668436587010733</v>
      </c>
      <c r="H30" s="81" t="n">
        <f aca="true">RAND()</f>
        <v>0.511009786977931</v>
      </c>
      <c r="I30" s="82" t="n">
        <f aca="false">ROUND(IF(H30&lt;(Inputs!$E$17-Inputs!$D$17)/(Inputs!$F$17-Inputs!$D$17),Inputs!$D$17+SQRT(H30*(Inputs!$F$17-Inputs!$D$17)*(Inputs!$E$17-Inputs!$D$17)),Inputs!$F$17-SQRT((1-H30)*(Inputs!$F$17-Inputs!$D$17)*(Inputs!$F$17-Inputs!$E$17))),0)</f>
        <v>106</v>
      </c>
      <c r="J30" s="81" t="n">
        <f aca="true">RAND()</f>
        <v>0.14582018163689</v>
      </c>
      <c r="K30" s="83" t="n">
        <f aca="false">IF(J30&lt;(Inputs!$E$18-Inputs!$D$18)/(Inputs!$F$18-Inputs!$D$18),Inputs!$D$18+SQRT(J30*(Inputs!$F$18-Inputs!$D$18)*(Inputs!$E$18-Inputs!$D$18)),Inputs!$F$18-SQRT((1-J30)*(Inputs!$F$18-Inputs!$D$18)*(Inputs!$F$18-Inputs!$E$18)))</f>
        <v>0.971440229263988</v>
      </c>
      <c r="L30" s="81" t="n">
        <f aca="true">RAND()</f>
        <v>0.605670882224821</v>
      </c>
      <c r="M30" s="83" t="n">
        <f aca="false">IF(L30&lt;(Inputs!$E$24-Inputs!$D$24)/(Inputs!$F$24-Inputs!$D$24),Inputs!$D$24+SQRT(L30*(Inputs!$F$24-Inputs!$D$24)*(Inputs!$E$24-Inputs!$D$24)),Inputs!$F$24-SQRT((1-L30)*(Inputs!$F$24-Inputs!$D$24)*(Inputs!$F$24-Inputs!$E$24)))</f>
        <v>0.892365495651019</v>
      </c>
      <c r="N30" s="81" t="n">
        <f aca="true">RAND()</f>
        <v>0.190000872792782</v>
      </c>
      <c r="O30" s="83" t="n">
        <f aca="false">IF(N30&lt;(Inputs!$E$26-Inputs!$D$26)/(Inputs!$F$26-Inputs!$D$26),Inputs!$D$26+SQRT(N30*(Inputs!$F$26-Inputs!$D$26)*(Inputs!$E$26-Inputs!$D$26)),Inputs!$F$26-SQRT((1-N30)*(Inputs!$F$26-Inputs!$D$26)*(Inputs!$F$26-Inputs!$E$26)))</f>
        <v>0.477809294562233</v>
      </c>
      <c r="P30" s="81" t="n">
        <f aca="true">RAND()</f>
        <v>0.946637328544737</v>
      </c>
      <c r="Q30" s="82" t="n">
        <f aca="false">IF(P30&lt;(Inputs!$E$27-Inputs!$D$27)/(Inputs!$F$27-Inputs!$D$27),Inputs!$D$27+SQRT(P30*(Inputs!$F$27-Inputs!$D$27)*(Inputs!$E$27-Inputs!$D$27)),Inputs!$F$27-SQRT((1-P30)*(Inputs!$F$27-Inputs!$D$27)*(Inputs!$F$27-Inputs!$E$27)))</f>
        <v>129.994499858427</v>
      </c>
      <c r="R30" s="81" t="n">
        <f aca="true">RAND()</f>
        <v>0.458056840860515</v>
      </c>
      <c r="S30" s="82" t="n">
        <f aca="false">IF(R30&lt;(Inputs!$E$29-Inputs!$D$29)/(Inputs!$F$29-Inputs!$D$29),Inputs!$D$29+SQRT(R30*(Inputs!$F$29-Inputs!$D$29)*(Inputs!$E$29-Inputs!$D$29)),Inputs!$F$29-SQRT((1-R30)*(Inputs!$F$29-Inputs!$D$29)*(Inputs!$F$29-Inputs!$E$29)))</f>
        <v>6.606394654969</v>
      </c>
      <c r="T30" s="68" t="n">
        <f aca="false">Inputs!$E$9*(1+E30)+Inputs!$E$5*C30*(Inputs!$E$11*Inputs!$E$14*(G30*I30/Inputs!$E$16+(1-G30))*K30+Inputs!$E$23*M30)*(1+O30)+Inputs!$E$5*(Q30+S30)</f>
        <v>6222.39535183481</v>
      </c>
    </row>
    <row r="31" customFormat="false" ht="15" hidden="false" customHeight="false" outlineLevel="0" collapsed="false">
      <c r="A31" s="1" t="n">
        <v>27</v>
      </c>
      <c r="B31" s="81" t="n">
        <f aca="true">RAND()</f>
        <v>0.385463294382325</v>
      </c>
      <c r="C31" s="82" t="n">
        <f aca="false">ROUND(IF(B31&lt;(Inputs!$E$8-Inputs!$D$8)/(Inputs!$F$8-Inputs!$D$8),Inputs!$D$8+SQRT(B31*(Inputs!$F$8-Inputs!$D$8)*(Inputs!$E$8-Inputs!$D$8)),Inputs!$F$8-SQRT((1-B31)*(Inputs!$F$8-Inputs!$D$8)*(Inputs!$F$8-Inputs!$E$8))),0)</f>
        <v>24</v>
      </c>
      <c r="D31" s="81" t="n">
        <f aca="true">RAND()</f>
        <v>0.881521634369837</v>
      </c>
      <c r="E31" s="83" t="n">
        <f aca="false">IF(D31&lt;(Inputs!$E$10-Inputs!$D$10)/(Inputs!$F$10-Inputs!$D$10),Inputs!$D$10+SQRT(D31*(Inputs!$F$10-Inputs!$D$10)*(Inputs!$E$10-Inputs!$D$10)),Inputs!$F$10-SQRT((1-D31)*(Inputs!$F$10-Inputs!$D$10)*(Inputs!$F$10-Inputs!$E$10)))</f>
        <v>0.140381622221794</v>
      </c>
      <c r="F31" s="81" t="n">
        <f aca="true">RAND()</f>
        <v>0.806593669024306</v>
      </c>
      <c r="G31" s="83" t="n">
        <f aca="false">IF(F31&lt;(Inputs!$E$15-Inputs!$D$15)/(Inputs!$F$15-Inputs!$D$15),Inputs!$D$15+SQRT(F31*(Inputs!$F$15-Inputs!$D$15)*(Inputs!$E$15-Inputs!$D$15)),Inputs!$F$15-SQRT((1-F31)*(Inputs!$F$15-Inputs!$D$15)*(Inputs!$F$15-Inputs!$E$15)))</f>
        <v>0.7378057348342</v>
      </c>
      <c r="H31" s="81" t="n">
        <f aca="true">RAND()</f>
        <v>0.0220201816325054</v>
      </c>
      <c r="I31" s="82" t="n">
        <f aca="false">ROUND(IF(H31&lt;(Inputs!$E$17-Inputs!$D$17)/(Inputs!$F$17-Inputs!$D$17),Inputs!$D$17+SQRT(H31*(Inputs!$F$17-Inputs!$D$17)*(Inputs!$E$17-Inputs!$D$17)),Inputs!$F$17-SQRT((1-H31)*(Inputs!$F$17-Inputs!$D$17)*(Inputs!$F$17-Inputs!$E$17))),0)</f>
        <v>101</v>
      </c>
      <c r="J31" s="81" t="n">
        <f aca="true">RAND()</f>
        <v>0.772321151145742</v>
      </c>
      <c r="K31" s="83" t="n">
        <f aca="false">IF(J31&lt;(Inputs!$E$18-Inputs!$D$18)/(Inputs!$F$18-Inputs!$D$18),Inputs!$D$18+SQRT(J31*(Inputs!$F$18-Inputs!$D$18)*(Inputs!$E$18-Inputs!$D$18)),Inputs!$F$18-SQRT((1-J31)*(Inputs!$F$18-Inputs!$D$18)*(Inputs!$F$18-Inputs!$E$18)))</f>
        <v>1.10885504162476</v>
      </c>
      <c r="L31" s="81" t="n">
        <f aca="true">RAND()</f>
        <v>0.306938516218721</v>
      </c>
      <c r="M31" s="83" t="n">
        <f aca="false">IF(L31&lt;(Inputs!$E$24-Inputs!$D$24)/(Inputs!$F$24-Inputs!$D$24),Inputs!$D$24+SQRT(L31*(Inputs!$F$24-Inputs!$D$24)*(Inputs!$E$24-Inputs!$D$24)),Inputs!$F$24-SQRT((1-L31)*(Inputs!$F$24-Inputs!$D$24)*(Inputs!$F$24-Inputs!$E$24)))</f>
        <v>0.791918268922598</v>
      </c>
      <c r="N31" s="81" t="n">
        <f aca="true">RAND()</f>
        <v>0.46286653281614</v>
      </c>
      <c r="O31" s="83" t="n">
        <f aca="false">IF(N31&lt;(Inputs!$E$26-Inputs!$D$26)/(Inputs!$F$26-Inputs!$D$26),Inputs!$D$26+SQRT(N31*(Inputs!$F$26-Inputs!$D$26)*(Inputs!$E$26-Inputs!$D$26)),Inputs!$F$26-SQRT((1-N31)*(Inputs!$F$26-Inputs!$D$26)*(Inputs!$F$26-Inputs!$E$26)))</f>
        <v>0.577526559198585</v>
      </c>
      <c r="P31" s="81" t="n">
        <f aca="true">RAND()</f>
        <v>0.434485912849976</v>
      </c>
      <c r="Q31" s="82" t="n">
        <f aca="false">IF(P31&lt;(Inputs!$E$27-Inputs!$D$27)/(Inputs!$F$27-Inputs!$D$27),Inputs!$D$27+SQRT(P31*(Inputs!$F$27-Inputs!$D$27)*(Inputs!$E$27-Inputs!$D$27)),Inputs!$F$27-SQRT((1-P31)*(Inputs!$F$27-Inputs!$D$27)*(Inputs!$F$27-Inputs!$E$27)))</f>
        <v>84.8743088050102</v>
      </c>
      <c r="R31" s="81" t="n">
        <f aca="true">RAND()</f>
        <v>0.469804552730507</v>
      </c>
      <c r="S31" s="82" t="n">
        <f aca="false">IF(R31&lt;(Inputs!$E$29-Inputs!$D$29)/(Inputs!$F$29-Inputs!$D$29),Inputs!$D$29+SQRT(R31*(Inputs!$F$29-Inputs!$D$29)*(Inputs!$E$29-Inputs!$D$29)),Inputs!$F$29-SQRT((1-R31)*(Inputs!$F$29-Inputs!$D$29)*(Inputs!$F$29-Inputs!$E$29)))</f>
        <v>6.69786725322739</v>
      </c>
      <c r="T31" s="68" t="n">
        <f aca="false">Inputs!$E$9*(1+E31)+Inputs!$E$5*C31*(Inputs!$E$11*Inputs!$E$14*(G31*I31/Inputs!$E$16+(1-G31))*K31+Inputs!$E$23*M31)*(1+O31)+Inputs!$E$5*(Q31+S31)</f>
        <v>6185.64437797919</v>
      </c>
    </row>
    <row r="32" customFormat="false" ht="15" hidden="false" customHeight="false" outlineLevel="0" collapsed="false">
      <c r="A32" s="1" t="n">
        <v>28</v>
      </c>
      <c r="B32" s="81" t="n">
        <f aca="true">RAND()</f>
        <v>0.380230076714969</v>
      </c>
      <c r="C32" s="82" t="n">
        <f aca="false">ROUND(IF(B32&lt;(Inputs!$E$8-Inputs!$D$8)/(Inputs!$F$8-Inputs!$D$8),Inputs!$D$8+SQRT(B32*(Inputs!$F$8-Inputs!$D$8)*(Inputs!$E$8-Inputs!$D$8)),Inputs!$F$8-SQRT((1-B32)*(Inputs!$F$8-Inputs!$D$8)*(Inputs!$F$8-Inputs!$E$8))),0)</f>
        <v>24</v>
      </c>
      <c r="D32" s="81" t="n">
        <f aca="true">RAND()</f>
        <v>0.267377657851574</v>
      </c>
      <c r="E32" s="83" t="n">
        <f aca="false">IF(D32&lt;(Inputs!$E$10-Inputs!$D$10)/(Inputs!$F$10-Inputs!$D$10),Inputs!$D$10+SQRT(D32*(Inputs!$F$10-Inputs!$D$10)*(Inputs!$E$10-Inputs!$D$10)),Inputs!$F$10-SQRT((1-D32)*(Inputs!$F$10-Inputs!$D$10)*(Inputs!$F$10-Inputs!$E$10)))</f>
        <v>0.0517479502183772</v>
      </c>
      <c r="F32" s="81" t="n">
        <f aca="true">RAND()</f>
        <v>0.097315004908517</v>
      </c>
      <c r="G32" s="83" t="n">
        <f aca="false">IF(F32&lt;(Inputs!$E$15-Inputs!$D$15)/(Inputs!$F$15-Inputs!$D$15),Inputs!$D$15+SQRT(F32*(Inputs!$F$15-Inputs!$D$15)*(Inputs!$E$15-Inputs!$D$15)),Inputs!$F$15-SQRT((1-F32)*(Inputs!$F$15-Inputs!$D$15)*(Inputs!$F$15-Inputs!$E$15)))</f>
        <v>0.644116891302202</v>
      </c>
      <c r="H32" s="81" t="n">
        <f aca="true">RAND()</f>
        <v>0.899702680031632</v>
      </c>
      <c r="I32" s="82" t="n">
        <f aca="false">ROUND(IF(H32&lt;(Inputs!$E$17-Inputs!$D$17)/(Inputs!$F$17-Inputs!$D$17),Inputs!$D$17+SQRT(H32*(Inputs!$F$17-Inputs!$D$17)*(Inputs!$E$17-Inputs!$D$17)),Inputs!$F$17-SQRT((1-H32)*(Inputs!$F$17-Inputs!$D$17)*(Inputs!$F$17-Inputs!$E$17))),0)</f>
        <v>111</v>
      </c>
      <c r="J32" s="81" t="n">
        <f aca="true">RAND()</f>
        <v>0.251543722484544</v>
      </c>
      <c r="K32" s="83" t="n">
        <f aca="false">IF(J32&lt;(Inputs!$E$18-Inputs!$D$18)/(Inputs!$F$18-Inputs!$D$18),Inputs!$D$18+SQRT(J32*(Inputs!$F$18-Inputs!$D$18)*(Inputs!$E$18-Inputs!$D$18)),Inputs!$F$18-SQRT((1-J32)*(Inputs!$F$18-Inputs!$D$18)*(Inputs!$F$18-Inputs!$E$18)))</f>
        <v>0.993829794239138</v>
      </c>
      <c r="L32" s="81" t="n">
        <f aca="true">RAND()</f>
        <v>0.855943576877849</v>
      </c>
      <c r="M32" s="83" t="n">
        <f aca="false">IF(L32&lt;(Inputs!$E$24-Inputs!$D$24)/(Inputs!$F$24-Inputs!$D$24),Inputs!$D$24+SQRT(L32*(Inputs!$F$24-Inputs!$D$24)*(Inputs!$E$24-Inputs!$D$24)),Inputs!$F$24-SQRT((1-L32)*(Inputs!$F$24-Inputs!$D$24)*(Inputs!$F$24-Inputs!$E$24)))</f>
        <v>1.01406038198029</v>
      </c>
      <c r="N32" s="81" t="n">
        <f aca="true">RAND()</f>
        <v>0.183486862962624</v>
      </c>
      <c r="O32" s="83" t="n">
        <f aca="false">IF(N32&lt;(Inputs!$E$26-Inputs!$D$26)/(Inputs!$F$26-Inputs!$D$26),Inputs!$D$26+SQRT(N32*(Inputs!$F$26-Inputs!$D$26)*(Inputs!$E$26-Inputs!$D$26)),Inputs!$F$26-SQRT((1-N32)*(Inputs!$F$26-Inputs!$D$26)*(Inputs!$F$26-Inputs!$E$26)))</f>
        <v>0.474734696030813</v>
      </c>
      <c r="P32" s="81" t="n">
        <f aca="true">RAND()</f>
        <v>0.909186460557304</v>
      </c>
      <c r="Q32" s="82" t="n">
        <f aca="false">IF(P32&lt;(Inputs!$E$27-Inputs!$D$27)/(Inputs!$F$27-Inputs!$D$27),Inputs!$D$27+SQRT(P32*(Inputs!$F$27-Inputs!$D$27)*(Inputs!$E$27-Inputs!$D$27)),Inputs!$F$27-SQRT((1-P32)*(Inputs!$F$27-Inputs!$D$27)*(Inputs!$F$27-Inputs!$E$27)))</f>
        <v>123.902077748981</v>
      </c>
      <c r="R32" s="81" t="n">
        <f aca="true">RAND()</f>
        <v>0.454421294783023</v>
      </c>
      <c r="S32" s="82" t="n">
        <f aca="false">IF(R32&lt;(Inputs!$E$29-Inputs!$D$29)/(Inputs!$F$29-Inputs!$D$29),Inputs!$D$29+SQRT(R32*(Inputs!$F$29-Inputs!$D$29)*(Inputs!$E$29-Inputs!$D$29)),Inputs!$F$29-SQRT((1-R32)*(Inputs!$F$29-Inputs!$D$29)*(Inputs!$F$29-Inputs!$E$29)))</f>
        <v>6.57828807912506</v>
      </c>
      <c r="T32" s="68" t="n">
        <f aca="false">Inputs!$E$9*(1+E32)+Inputs!$E$5*C32*(Inputs!$E$11*Inputs!$E$14*(G32*I32/Inputs!$E$16+(1-G32))*K32+Inputs!$E$23*M32)*(1+O32)+Inputs!$E$5*(Q32+S32)</f>
        <v>6256.80972841602</v>
      </c>
    </row>
    <row r="33" customFormat="false" ht="15" hidden="false" customHeight="false" outlineLevel="0" collapsed="false">
      <c r="A33" s="1" t="n">
        <v>29</v>
      </c>
      <c r="B33" s="81" t="n">
        <f aca="true">RAND()</f>
        <v>0.5754974392263</v>
      </c>
      <c r="C33" s="82" t="n">
        <f aca="false">ROUND(IF(B33&lt;(Inputs!$E$8-Inputs!$D$8)/(Inputs!$F$8-Inputs!$D$8),Inputs!$D$8+SQRT(B33*(Inputs!$F$8-Inputs!$D$8)*(Inputs!$E$8-Inputs!$D$8)),Inputs!$F$8-SQRT((1-B33)*(Inputs!$F$8-Inputs!$D$8)*(Inputs!$F$8-Inputs!$E$8))),0)</f>
        <v>25</v>
      </c>
      <c r="D33" s="81" t="n">
        <f aca="true">RAND()</f>
        <v>0.195257621372017</v>
      </c>
      <c r="E33" s="83" t="n">
        <f aca="false">IF(D33&lt;(Inputs!$E$10-Inputs!$D$10)/(Inputs!$F$10-Inputs!$D$10),Inputs!$D$10+SQRT(D33*(Inputs!$F$10-Inputs!$D$10)*(Inputs!$E$10-Inputs!$D$10)),Inputs!$F$10-SQRT((1-D33)*(Inputs!$F$10-Inputs!$D$10)*(Inputs!$F$10-Inputs!$E$10)))</f>
        <v>0.0441879645799642</v>
      </c>
      <c r="F33" s="81" t="n">
        <f aca="true">RAND()</f>
        <v>0.682247460598217</v>
      </c>
      <c r="G33" s="83" t="n">
        <f aca="false">IF(F33&lt;(Inputs!$E$15-Inputs!$D$15)/(Inputs!$F$15-Inputs!$D$15),Inputs!$D$15+SQRT(F33*(Inputs!$F$15-Inputs!$D$15)*(Inputs!$E$15-Inputs!$D$15)),Inputs!$F$15-SQRT((1-F33)*(Inputs!$F$15-Inputs!$D$15)*(Inputs!$F$15-Inputs!$E$15)))</f>
        <v>0.720281427584059</v>
      </c>
      <c r="H33" s="81" t="n">
        <f aca="true">RAND()</f>
        <v>0.239485561779633</v>
      </c>
      <c r="I33" s="82" t="n">
        <f aca="false">ROUND(IF(H33&lt;(Inputs!$E$17-Inputs!$D$17)/(Inputs!$F$17-Inputs!$D$17),Inputs!$D$17+SQRT(H33*(Inputs!$F$17-Inputs!$D$17)*(Inputs!$E$17-Inputs!$D$17)),Inputs!$F$17-SQRT((1-H33)*(Inputs!$F$17-Inputs!$D$17)*(Inputs!$F$17-Inputs!$E$17))),0)</f>
        <v>104</v>
      </c>
      <c r="J33" s="81" t="n">
        <f aca="true">RAND()</f>
        <v>0.72496442096837</v>
      </c>
      <c r="K33" s="83" t="n">
        <f aca="false">IF(J33&lt;(Inputs!$E$18-Inputs!$D$18)/(Inputs!$F$18-Inputs!$D$18),Inputs!$D$18+SQRT(J33*(Inputs!$F$18-Inputs!$D$18)*(Inputs!$E$18-Inputs!$D$18)),Inputs!$F$18-SQRT((1-J33)*(Inputs!$F$18-Inputs!$D$18)*(Inputs!$F$18-Inputs!$E$18)))</f>
        <v>1.09486904510941</v>
      </c>
      <c r="L33" s="81" t="n">
        <f aca="true">RAND()</f>
        <v>0.891546700471879</v>
      </c>
      <c r="M33" s="83" t="n">
        <f aca="false">IF(L33&lt;(Inputs!$E$24-Inputs!$D$24)/(Inputs!$F$24-Inputs!$D$24),Inputs!$D$24+SQRT(L33*(Inputs!$F$24-Inputs!$D$24)*(Inputs!$E$24-Inputs!$D$24)),Inputs!$F$24-SQRT((1-L33)*(Inputs!$F$24-Inputs!$D$24)*(Inputs!$F$24-Inputs!$E$24)))</f>
        <v>1.03866558988626</v>
      </c>
      <c r="N33" s="81" t="n">
        <f aca="true">RAND()</f>
        <v>0.894438963664497</v>
      </c>
      <c r="O33" s="83" t="n">
        <f aca="false">IF(N33&lt;(Inputs!$E$26-Inputs!$D$26)/(Inputs!$F$26-Inputs!$D$26),Inputs!$D$26+SQRT(N33*(Inputs!$F$26-Inputs!$D$26)*(Inputs!$E$26-Inputs!$D$26)),Inputs!$F$26-SQRT((1-N33)*(Inputs!$F$26-Inputs!$D$26)*(Inputs!$F$26-Inputs!$E$26)))</f>
        <v>0.715222388942617</v>
      </c>
      <c r="P33" s="81" t="n">
        <f aca="true">RAND()</f>
        <v>0.553406865992781</v>
      </c>
      <c r="Q33" s="82" t="n">
        <f aca="false">IF(P33&lt;(Inputs!$E$27-Inputs!$D$27)/(Inputs!$F$27-Inputs!$D$27),Inputs!$D$27+SQRT(P33*(Inputs!$F$27-Inputs!$D$27)*(Inputs!$E$27-Inputs!$D$27)),Inputs!$F$27-SQRT((1-P33)*(Inputs!$F$27-Inputs!$D$27)*(Inputs!$F$27-Inputs!$E$27)))</f>
        <v>92.1255798728476</v>
      </c>
      <c r="R33" s="81" t="n">
        <f aca="true">RAND()</f>
        <v>0.529375885810448</v>
      </c>
      <c r="S33" s="82" t="n">
        <f aca="false">IF(R33&lt;(Inputs!$E$29-Inputs!$D$29)/(Inputs!$F$29-Inputs!$D$29),Inputs!$D$29+SQRT(R33*(Inputs!$F$29-Inputs!$D$29)*(Inputs!$E$29-Inputs!$D$29)),Inputs!$F$29-SQRT((1-R33)*(Inputs!$F$29-Inputs!$D$29)*(Inputs!$F$29-Inputs!$E$29)))</f>
        <v>7.1781629494957</v>
      </c>
      <c r="T33" s="68" t="n">
        <f aca="false">Inputs!$E$9*(1+E33)+Inputs!$E$5*C33*(Inputs!$E$11*Inputs!$E$14*(G33*I33/Inputs!$E$16+(1-G33))*K33+Inputs!$E$23*M33)*(1+O33)+Inputs!$E$5*(Q33+S33)</f>
        <v>6856.97796439724</v>
      </c>
    </row>
    <row r="34" customFormat="false" ht="15" hidden="false" customHeight="false" outlineLevel="0" collapsed="false">
      <c r="A34" s="1" t="n">
        <v>30</v>
      </c>
      <c r="B34" s="81" t="n">
        <f aca="true">RAND()</f>
        <v>0.924134878762525</v>
      </c>
      <c r="C34" s="82" t="n">
        <f aca="false">ROUND(IF(B34&lt;(Inputs!$E$8-Inputs!$D$8)/(Inputs!$F$8-Inputs!$D$8),Inputs!$D$8+SQRT(B34*(Inputs!$F$8-Inputs!$D$8)*(Inputs!$E$8-Inputs!$D$8)),Inputs!$F$8-SQRT((1-B34)*(Inputs!$F$8-Inputs!$D$8)*(Inputs!$F$8-Inputs!$E$8))),0)</f>
        <v>28</v>
      </c>
      <c r="D34" s="81" t="n">
        <f aca="true">RAND()</f>
        <v>0.58679040930522</v>
      </c>
      <c r="E34" s="83" t="n">
        <f aca="false">IF(D34&lt;(Inputs!$E$10-Inputs!$D$10)/(Inputs!$F$10-Inputs!$D$10),Inputs!$D$10+SQRT(D34*(Inputs!$F$10-Inputs!$D$10)*(Inputs!$E$10-Inputs!$D$10)),Inputs!$F$10-SQRT((1-D34)*(Inputs!$F$10-Inputs!$D$10)*(Inputs!$F$10-Inputs!$E$10)))</f>
        <v>0.0886613826166169</v>
      </c>
      <c r="F34" s="81" t="n">
        <f aca="true">RAND()</f>
        <v>0.459026254380575</v>
      </c>
      <c r="G34" s="83" t="n">
        <f aca="false">IF(F34&lt;(Inputs!$E$15-Inputs!$D$15)/(Inputs!$F$15-Inputs!$D$15),Inputs!$D$15+SQRT(F34*(Inputs!$F$15-Inputs!$D$15)*(Inputs!$E$15-Inputs!$D$15)),Inputs!$F$15-SQRT((1-F34)*(Inputs!$F$15-Inputs!$D$15)*(Inputs!$F$15-Inputs!$E$15)))</f>
        <v>0.695815056685322</v>
      </c>
      <c r="H34" s="81" t="n">
        <f aca="true">RAND()</f>
        <v>0.570387065647041</v>
      </c>
      <c r="I34" s="82" t="n">
        <f aca="false">ROUND(IF(H34&lt;(Inputs!$E$17-Inputs!$D$17)/(Inputs!$F$17-Inputs!$D$17),Inputs!$D$17+SQRT(H34*(Inputs!$F$17-Inputs!$D$17)*(Inputs!$E$17-Inputs!$D$17)),Inputs!$F$17-SQRT((1-H34)*(Inputs!$F$17-Inputs!$D$17)*(Inputs!$F$17-Inputs!$E$17))),0)</f>
        <v>107</v>
      </c>
      <c r="J34" s="81" t="n">
        <f aca="true">RAND()</f>
        <v>0.601878067468049</v>
      </c>
      <c r="K34" s="83" t="n">
        <f aca="false">IF(J34&lt;(Inputs!$E$18-Inputs!$D$18)/(Inputs!$F$18-Inputs!$D$18),Inputs!$D$18+SQRT(J34*(Inputs!$F$18-Inputs!$D$18)*(Inputs!$E$18-Inputs!$D$18)),Inputs!$F$18-SQRT((1-J34)*(Inputs!$F$18-Inputs!$D$18)*(Inputs!$F$18-Inputs!$E$18)))</f>
        <v>1.0633568402096</v>
      </c>
      <c r="L34" s="81" t="n">
        <f aca="true">RAND()</f>
        <v>0.815097718153252</v>
      </c>
      <c r="M34" s="83" t="n">
        <f aca="false">IF(L34&lt;(Inputs!$E$24-Inputs!$D$24)/(Inputs!$F$24-Inputs!$D$24),Inputs!$D$24+SQRT(L34*(Inputs!$F$24-Inputs!$D$24)*(Inputs!$E$24-Inputs!$D$24)),Inputs!$F$24-SQRT((1-L34)*(Inputs!$F$24-Inputs!$D$24)*(Inputs!$F$24-Inputs!$E$24)))</f>
        <v>0.989342582273447</v>
      </c>
      <c r="N34" s="81" t="n">
        <f aca="true">RAND()</f>
        <v>0.238084289886816</v>
      </c>
      <c r="O34" s="83" t="n">
        <f aca="false">IF(N34&lt;(Inputs!$E$26-Inputs!$D$26)/(Inputs!$F$26-Inputs!$D$26),Inputs!$D$26+SQRT(N34*(Inputs!$F$26-Inputs!$D$26)*(Inputs!$E$26-Inputs!$D$26)),Inputs!$F$26-SQRT((1-N34)*(Inputs!$F$26-Inputs!$D$26)*(Inputs!$F$26-Inputs!$E$26)))</f>
        <v>0.499040764259903</v>
      </c>
      <c r="P34" s="81" t="n">
        <f aca="true">RAND()</f>
        <v>0.620553468173457</v>
      </c>
      <c r="Q34" s="82" t="n">
        <f aca="false">IF(P34&lt;(Inputs!$E$27-Inputs!$D$27)/(Inputs!$F$27-Inputs!$D$27),Inputs!$D$27+SQRT(P34*(Inputs!$F$27-Inputs!$D$27)*(Inputs!$E$27-Inputs!$D$27)),Inputs!$F$27-SQRT((1-P34)*(Inputs!$F$27-Inputs!$D$27)*(Inputs!$F$27-Inputs!$E$27)))</f>
        <v>96.6535006893697</v>
      </c>
      <c r="R34" s="81" t="n">
        <f aca="true">RAND()</f>
        <v>0.699025611694588</v>
      </c>
      <c r="S34" s="82" t="n">
        <f aca="false">IF(R34&lt;(Inputs!$E$29-Inputs!$D$29)/(Inputs!$F$29-Inputs!$D$29),Inputs!$D$29+SQRT(R34*(Inputs!$F$29-Inputs!$D$29)*(Inputs!$E$29-Inputs!$D$29)),Inputs!$F$29-SQRT((1-R34)*(Inputs!$F$29-Inputs!$D$29)*(Inputs!$F$29-Inputs!$E$29)))</f>
        <v>8.74486846823318</v>
      </c>
      <c r="T34" s="68" t="n">
        <f aca="false">Inputs!$E$9*(1+E34)+Inputs!$E$5*C34*(Inputs!$E$11*Inputs!$E$14*(G34*I34/Inputs!$E$16+(1-G34))*K34+Inputs!$E$23*M34)*(1+O34)+Inputs!$E$5*(Q34+S34)</f>
        <v>6831.36796671708</v>
      </c>
    </row>
    <row r="35" customFormat="false" ht="15" hidden="false" customHeight="false" outlineLevel="0" collapsed="false">
      <c r="A35" s="1" t="n">
        <v>31</v>
      </c>
      <c r="B35" s="81" t="n">
        <f aca="true">RAND()</f>
        <v>0.326079623938009</v>
      </c>
      <c r="C35" s="82" t="n">
        <f aca="false">ROUND(IF(B35&lt;(Inputs!$E$8-Inputs!$D$8)/(Inputs!$F$8-Inputs!$D$8),Inputs!$D$8+SQRT(B35*(Inputs!$F$8-Inputs!$D$8)*(Inputs!$E$8-Inputs!$D$8)),Inputs!$F$8-SQRT((1-B35)*(Inputs!$F$8-Inputs!$D$8)*(Inputs!$F$8-Inputs!$E$8))),0)</f>
        <v>24</v>
      </c>
      <c r="D35" s="81" t="n">
        <f aca="true">RAND()</f>
        <v>0.465838194325928</v>
      </c>
      <c r="E35" s="83" t="n">
        <f aca="false">IF(D35&lt;(Inputs!$E$10-Inputs!$D$10)/(Inputs!$F$10-Inputs!$D$10),Inputs!$D$10+SQRT(D35*(Inputs!$F$10-Inputs!$D$10)*(Inputs!$E$10-Inputs!$D$10)),Inputs!$F$10-SQRT((1-D35)*(Inputs!$F$10-Inputs!$D$10)*(Inputs!$F$10-Inputs!$E$10)))</f>
        <v>0.0734106869825807</v>
      </c>
      <c r="F35" s="81" t="n">
        <f aca="true">RAND()</f>
        <v>0.0657724945662837</v>
      </c>
      <c r="G35" s="83" t="n">
        <f aca="false">IF(F35&lt;(Inputs!$E$15-Inputs!$D$15)/(Inputs!$F$15-Inputs!$D$15),Inputs!$D$15+SQRT(F35*(Inputs!$F$15-Inputs!$D$15)*(Inputs!$E$15-Inputs!$D$15)),Inputs!$F$15-SQRT((1-F35)*(Inputs!$F$15-Inputs!$D$15)*(Inputs!$F$15-Inputs!$E$15)))</f>
        <v>0.636269131383667</v>
      </c>
      <c r="H35" s="81" t="n">
        <f aca="true">RAND()</f>
        <v>0.0567039203931087</v>
      </c>
      <c r="I35" s="82" t="n">
        <f aca="false">ROUND(IF(H35&lt;(Inputs!$E$17-Inputs!$D$17)/(Inputs!$F$17-Inputs!$D$17),Inputs!$D$17+SQRT(H35*(Inputs!$F$17-Inputs!$D$17)*(Inputs!$E$17-Inputs!$D$17)),Inputs!$F$17-SQRT((1-H35)*(Inputs!$F$17-Inputs!$D$17)*(Inputs!$F$17-Inputs!$E$17))),0)</f>
        <v>102</v>
      </c>
      <c r="J35" s="81" t="n">
        <f aca="true">RAND()</f>
        <v>0.149263303087764</v>
      </c>
      <c r="K35" s="83" t="n">
        <f aca="false">IF(J35&lt;(Inputs!$E$18-Inputs!$D$18)/(Inputs!$F$18-Inputs!$D$18),Inputs!$D$18+SQRT(J35*(Inputs!$F$18-Inputs!$D$18)*(Inputs!$E$18-Inputs!$D$18)),Inputs!$F$18-SQRT((1-J35)*(Inputs!$F$18-Inputs!$D$18)*(Inputs!$F$18-Inputs!$E$18)))</f>
        <v>0.972278735517936</v>
      </c>
      <c r="L35" s="81" t="n">
        <f aca="true">RAND()</f>
        <v>0.131537548595289</v>
      </c>
      <c r="M35" s="83" t="n">
        <f aca="false">IF(L35&lt;(Inputs!$E$24-Inputs!$D$24)/(Inputs!$F$24-Inputs!$D$24),Inputs!$D$24+SQRT(L35*(Inputs!$F$24-Inputs!$D$24)*(Inputs!$E$24-Inputs!$D$24)),Inputs!$F$24-SQRT((1-L35)*(Inputs!$F$24-Inputs!$D$24)*(Inputs!$F$24-Inputs!$E$24)))</f>
        <v>0.725636403289153</v>
      </c>
      <c r="N35" s="81" t="n">
        <f aca="true">RAND()</f>
        <v>0.120489630652224</v>
      </c>
      <c r="O35" s="83" t="n">
        <f aca="false">IF(N35&lt;(Inputs!$E$26-Inputs!$D$26)/(Inputs!$F$26-Inputs!$D$26),Inputs!$D$26+SQRT(N35*(Inputs!$F$26-Inputs!$D$26)*(Inputs!$E$26-Inputs!$D$26)),Inputs!$F$26-SQRT((1-N35)*(Inputs!$F$26-Inputs!$D$26)*(Inputs!$F$26-Inputs!$E$26)))</f>
        <v>0.441596167111014</v>
      </c>
      <c r="P35" s="81" t="n">
        <f aca="true">RAND()</f>
        <v>0.160918300387281</v>
      </c>
      <c r="Q35" s="82" t="n">
        <f aca="false">IF(P35&lt;(Inputs!$E$27-Inputs!$D$27)/(Inputs!$F$27-Inputs!$D$27),Inputs!$D$27+SQRT(P35*(Inputs!$F$27-Inputs!$D$27)*(Inputs!$E$27-Inputs!$D$27)),Inputs!$F$27-SQRT((1-P35)*(Inputs!$F$27-Inputs!$D$27)*(Inputs!$F$27-Inputs!$E$27)))</f>
        <v>70.0573116585499</v>
      </c>
      <c r="R35" s="81" t="n">
        <f aca="true">RAND()</f>
        <v>0.62732491726688</v>
      </c>
      <c r="S35" s="82" t="n">
        <f aca="false">IF(R35&lt;(Inputs!$E$29-Inputs!$D$29)/(Inputs!$F$29-Inputs!$D$29),Inputs!$D$29+SQRT(R35*(Inputs!$F$29-Inputs!$D$29)*(Inputs!$E$29-Inputs!$D$29)),Inputs!$F$29-SQRT((1-R35)*(Inputs!$F$29-Inputs!$D$29)*(Inputs!$F$29-Inputs!$E$29)))</f>
        <v>8.03955743107483</v>
      </c>
      <c r="T35" s="68" t="n">
        <f aca="false">Inputs!$E$9*(1+E35)+Inputs!$E$5*C35*(Inputs!$E$11*Inputs!$E$14*(G35*I35/Inputs!$E$16+(1-G35))*K35+Inputs!$E$23*M35)*(1+O35)+Inputs!$E$5*(Q35+S35)</f>
        <v>5498.1574161738</v>
      </c>
    </row>
    <row r="36" customFormat="false" ht="15" hidden="false" customHeight="false" outlineLevel="0" collapsed="false">
      <c r="A36" s="1" t="n">
        <v>32</v>
      </c>
      <c r="B36" s="81" t="n">
        <f aca="true">RAND()</f>
        <v>0.46732832659669</v>
      </c>
      <c r="C36" s="82" t="n">
        <f aca="false">ROUND(IF(B36&lt;(Inputs!$E$8-Inputs!$D$8)/(Inputs!$F$8-Inputs!$D$8),Inputs!$D$8+SQRT(B36*(Inputs!$F$8-Inputs!$D$8)*(Inputs!$E$8-Inputs!$D$8)),Inputs!$F$8-SQRT((1-B36)*(Inputs!$F$8-Inputs!$D$8)*(Inputs!$F$8-Inputs!$E$8))),0)</f>
        <v>25</v>
      </c>
      <c r="D36" s="81" t="n">
        <f aca="true">RAND()</f>
        <v>0.41970029424091</v>
      </c>
      <c r="E36" s="83" t="n">
        <f aca="false">IF(D36&lt;(Inputs!$E$10-Inputs!$D$10)/(Inputs!$F$10-Inputs!$D$10),Inputs!$D$10+SQRT(D36*(Inputs!$F$10-Inputs!$D$10)*(Inputs!$E$10-Inputs!$D$10)),Inputs!$F$10-SQRT((1-D36)*(Inputs!$F$10-Inputs!$D$10)*(Inputs!$F$10-Inputs!$E$10)))</f>
        <v>0.0680568638663886</v>
      </c>
      <c r="F36" s="81" t="n">
        <f aca="true">RAND()</f>
        <v>0.421623365854959</v>
      </c>
      <c r="G36" s="83" t="n">
        <f aca="false">IF(F36&lt;(Inputs!$E$15-Inputs!$D$15)/(Inputs!$F$15-Inputs!$D$15),Inputs!$D$15+SQRT(F36*(Inputs!$F$15-Inputs!$D$15)*(Inputs!$E$15-Inputs!$D$15)),Inputs!$F$15-SQRT((1-F36)*(Inputs!$F$15-Inputs!$D$15)*(Inputs!$F$15-Inputs!$E$15)))</f>
        <v>0.691828466812308</v>
      </c>
      <c r="H36" s="81" t="n">
        <f aca="true">RAND()</f>
        <v>0.114882063155559</v>
      </c>
      <c r="I36" s="82" t="n">
        <f aca="false">ROUND(IF(H36&lt;(Inputs!$E$17-Inputs!$D$17)/(Inputs!$F$17-Inputs!$D$17),Inputs!$D$17+SQRT(H36*(Inputs!$F$17-Inputs!$D$17)*(Inputs!$E$17-Inputs!$D$17)),Inputs!$F$17-SQRT((1-H36)*(Inputs!$F$17-Inputs!$D$17)*(Inputs!$F$17-Inputs!$E$17))),0)</f>
        <v>103</v>
      </c>
      <c r="J36" s="81" t="n">
        <f aca="true">RAND()</f>
        <v>0.450941326526677</v>
      </c>
      <c r="K36" s="83" t="n">
        <f aca="false">IF(J36&lt;(Inputs!$E$18-Inputs!$D$18)/(Inputs!$F$18-Inputs!$D$18),Inputs!$D$18+SQRT(J36*(Inputs!$F$18-Inputs!$D$18)*(Inputs!$E$18-Inputs!$D$18)),Inputs!$F$18-SQRT((1-J36)*(Inputs!$F$18-Inputs!$D$18)*(Inputs!$F$18-Inputs!$E$18)))</f>
        <v>1.03081370040781</v>
      </c>
      <c r="L36" s="81" t="n">
        <f aca="true">RAND()</f>
        <v>0.388276842341575</v>
      </c>
      <c r="M36" s="83" t="n">
        <f aca="false">IF(L36&lt;(Inputs!$E$24-Inputs!$D$24)/(Inputs!$F$24-Inputs!$D$24),Inputs!$D$24+SQRT(L36*(Inputs!$F$24-Inputs!$D$24)*(Inputs!$E$24-Inputs!$D$24)),Inputs!$F$24-SQRT((1-L36)*(Inputs!$F$24-Inputs!$D$24)*(Inputs!$F$24-Inputs!$E$24)))</f>
        <v>0.81683742636053</v>
      </c>
      <c r="N36" s="81" t="n">
        <f aca="true">RAND()</f>
        <v>0.0142574950450904</v>
      </c>
      <c r="O36" s="83" t="n">
        <f aca="false">IF(N36&lt;(Inputs!$E$26-Inputs!$D$26)/(Inputs!$F$26-Inputs!$D$26),Inputs!$D$26+SQRT(N36*(Inputs!$F$26-Inputs!$D$26)*(Inputs!$E$26-Inputs!$D$26)),Inputs!$F$26-SQRT((1-N36)*(Inputs!$F$26-Inputs!$D$26)*(Inputs!$F$26-Inputs!$E$26)))</f>
        <v>0.348707773255437</v>
      </c>
      <c r="P36" s="81" t="n">
        <f aca="true">RAND()</f>
        <v>0.372603002833692</v>
      </c>
      <c r="Q36" s="82" t="n">
        <f aca="false">IF(P36&lt;(Inputs!$E$27-Inputs!$D$27)/(Inputs!$F$27-Inputs!$D$27),Inputs!$D$27+SQRT(P36*(Inputs!$F$27-Inputs!$D$27)*(Inputs!$E$27-Inputs!$D$27)),Inputs!$F$27-SQRT((1-P36)*(Inputs!$F$27-Inputs!$D$27)*(Inputs!$F$27-Inputs!$E$27)))</f>
        <v>81.403517008907</v>
      </c>
      <c r="R36" s="81" t="n">
        <f aca="true">RAND()</f>
        <v>0.323300598165346</v>
      </c>
      <c r="S36" s="82" t="n">
        <f aca="false">IF(R36&lt;(Inputs!$E$29-Inputs!$D$29)/(Inputs!$F$29-Inputs!$D$29),Inputs!$D$29+SQRT(R36*(Inputs!$F$29-Inputs!$D$29)*(Inputs!$E$29-Inputs!$D$29)),Inputs!$F$29-SQRT((1-R36)*(Inputs!$F$29-Inputs!$D$29)*(Inputs!$F$29-Inputs!$E$29)))</f>
        <v>5.62071845829836</v>
      </c>
      <c r="T36" s="68" t="n">
        <f aca="false">Inputs!$E$9*(1+E36)+Inputs!$E$5*C36*(Inputs!$E$11*Inputs!$E$14*(G36*I36/Inputs!$E$16+(1-G36))*K36+Inputs!$E$23*M36)*(1+O36)+Inputs!$E$5*(Q36+S36)</f>
        <v>5622.64683681076</v>
      </c>
    </row>
    <row r="37" customFormat="false" ht="15" hidden="false" customHeight="false" outlineLevel="0" collapsed="false">
      <c r="A37" s="1" t="n">
        <v>33</v>
      </c>
      <c r="B37" s="81" t="n">
        <f aca="true">RAND()</f>
        <v>0.145723165294118</v>
      </c>
      <c r="C37" s="82" t="n">
        <f aca="false">ROUND(IF(B37&lt;(Inputs!$E$8-Inputs!$D$8)/(Inputs!$F$8-Inputs!$D$8),Inputs!$D$8+SQRT(B37*(Inputs!$F$8-Inputs!$D$8)*(Inputs!$E$8-Inputs!$D$8)),Inputs!$F$8-SQRT((1-B37)*(Inputs!$F$8-Inputs!$D$8)*(Inputs!$F$8-Inputs!$E$8))),0)</f>
        <v>23</v>
      </c>
      <c r="D37" s="81" t="n">
        <f aca="true">RAND()</f>
        <v>0.374285502193505</v>
      </c>
      <c r="E37" s="83" t="n">
        <f aca="false">IF(D37&lt;(Inputs!$E$10-Inputs!$D$10)/(Inputs!$F$10-Inputs!$D$10),Inputs!$D$10+SQRT(D37*(Inputs!$F$10-Inputs!$D$10)*(Inputs!$E$10-Inputs!$D$10)),Inputs!$F$10-SQRT((1-D37)*(Inputs!$F$10-Inputs!$D$10)*(Inputs!$F$10-Inputs!$E$10)))</f>
        <v>0.0629911136670514</v>
      </c>
      <c r="F37" s="81" t="n">
        <f aca="true">RAND()</f>
        <v>0.812240423054868</v>
      </c>
      <c r="G37" s="83" t="n">
        <f aca="false">IF(F37&lt;(Inputs!$E$15-Inputs!$D$15)/(Inputs!$F$15-Inputs!$D$15),Inputs!$D$15+SQRT(F37*(Inputs!$F$15-Inputs!$D$15)*(Inputs!$E$15-Inputs!$D$15)),Inputs!$F$15-SQRT((1-F37)*(Inputs!$F$15-Inputs!$D$15)*(Inputs!$F$15-Inputs!$E$15)))</f>
        <v>0.738720382353489</v>
      </c>
      <c r="H37" s="81" t="n">
        <f aca="true">RAND()</f>
        <v>0.543589768023601</v>
      </c>
      <c r="I37" s="82" t="n">
        <f aca="false">ROUND(IF(H37&lt;(Inputs!$E$17-Inputs!$D$17)/(Inputs!$F$17-Inputs!$D$17),Inputs!$D$17+SQRT(H37*(Inputs!$F$17-Inputs!$D$17)*(Inputs!$E$17-Inputs!$D$17)),Inputs!$F$17-SQRT((1-H37)*(Inputs!$F$17-Inputs!$D$17)*(Inputs!$F$17-Inputs!$E$17))),0)</f>
        <v>107</v>
      </c>
      <c r="J37" s="81" t="n">
        <f aca="true">RAND()</f>
        <v>0.24016233411018</v>
      </c>
      <c r="K37" s="83" t="n">
        <f aca="false">IF(J37&lt;(Inputs!$E$18-Inputs!$D$18)/(Inputs!$F$18-Inputs!$D$18),Inputs!$D$18+SQRT(J37*(Inputs!$F$18-Inputs!$D$18)*(Inputs!$E$18-Inputs!$D$18)),Inputs!$F$18-SQRT((1-J37)*(Inputs!$F$18-Inputs!$D$18)*(Inputs!$F$18-Inputs!$E$18)))</f>
        <v>0.991682504840653</v>
      </c>
      <c r="L37" s="81" t="n">
        <f aca="true">RAND()</f>
        <v>0.919846642257133</v>
      </c>
      <c r="M37" s="83" t="n">
        <f aca="false">IF(L37&lt;(Inputs!$E$24-Inputs!$D$24)/(Inputs!$F$24-Inputs!$D$24),Inputs!$D$24+SQRT(L37*(Inputs!$F$24-Inputs!$D$24)*(Inputs!$E$24-Inputs!$D$24)),Inputs!$F$24-SQRT((1-L37)*(Inputs!$F$24-Inputs!$D$24)*(Inputs!$F$24-Inputs!$E$24)))</f>
        <v>1.06130318728144</v>
      </c>
      <c r="N37" s="81" t="n">
        <f aca="true">RAND()</f>
        <v>0.215762386781598</v>
      </c>
      <c r="O37" s="83" t="n">
        <f aca="false">IF(N37&lt;(Inputs!$E$26-Inputs!$D$26)/(Inputs!$F$26-Inputs!$D$26),Inputs!$D$26+SQRT(N37*(Inputs!$F$26-Inputs!$D$26)*(Inputs!$E$26-Inputs!$D$26)),Inputs!$F$26-SQRT((1-N37)*(Inputs!$F$26-Inputs!$D$26)*(Inputs!$F$26-Inputs!$E$26)))</f>
        <v>0.489480503378205</v>
      </c>
      <c r="P37" s="81" t="n">
        <f aca="true">RAND()</f>
        <v>0.59437047910744</v>
      </c>
      <c r="Q37" s="82" t="n">
        <f aca="false">IF(P37&lt;(Inputs!$E$27-Inputs!$D$27)/(Inputs!$F$27-Inputs!$D$27),Inputs!$D$27+SQRT(P37*(Inputs!$F$27-Inputs!$D$27)*(Inputs!$E$27-Inputs!$D$27)),Inputs!$F$27-SQRT((1-P37)*(Inputs!$F$27-Inputs!$D$27)*(Inputs!$F$27-Inputs!$E$27)))</f>
        <v>94.8436639478817</v>
      </c>
      <c r="R37" s="81" t="n">
        <f aca="true">RAND()</f>
        <v>0.40869399734977</v>
      </c>
      <c r="S37" s="82" t="n">
        <f aca="false">IF(R37&lt;(Inputs!$E$29-Inputs!$D$29)/(Inputs!$F$29-Inputs!$D$29),Inputs!$D$29+SQRT(R37*(Inputs!$F$29-Inputs!$D$29)*(Inputs!$E$29-Inputs!$D$29)),Inputs!$F$29-SQRT((1-R37)*(Inputs!$F$29-Inputs!$D$29)*(Inputs!$F$29-Inputs!$E$29)))</f>
        <v>6.23245870585545</v>
      </c>
      <c r="T37" s="68" t="n">
        <f aca="false">Inputs!$E$9*(1+E37)+Inputs!$E$5*C37*(Inputs!$E$11*Inputs!$E$14*(G37*I37/Inputs!$E$16+(1-G37))*K37+Inputs!$E$23*M37)*(1+O37)+Inputs!$E$5*(Q37+S37)</f>
        <v>5941.64682436562</v>
      </c>
    </row>
    <row r="38" customFormat="false" ht="15" hidden="false" customHeight="false" outlineLevel="0" collapsed="false">
      <c r="A38" s="1" t="n">
        <v>34</v>
      </c>
      <c r="B38" s="81" t="n">
        <f aca="true">RAND()</f>
        <v>0.030560023162195</v>
      </c>
      <c r="C38" s="82" t="n">
        <f aca="false">ROUND(IF(B38&lt;(Inputs!$E$8-Inputs!$D$8)/(Inputs!$F$8-Inputs!$D$8),Inputs!$D$8+SQRT(B38*(Inputs!$F$8-Inputs!$D$8)*(Inputs!$E$8-Inputs!$D$8)),Inputs!$F$8-SQRT((1-B38)*(Inputs!$F$8-Inputs!$D$8)*(Inputs!$F$8-Inputs!$E$8))),0)</f>
        <v>21</v>
      </c>
      <c r="D38" s="81" t="n">
        <f aca="true">RAND()</f>
        <v>0.455641781344846</v>
      </c>
      <c r="E38" s="83" t="n">
        <f aca="false">IF(D38&lt;(Inputs!$E$10-Inputs!$D$10)/(Inputs!$F$10-Inputs!$D$10),Inputs!$D$10+SQRT(D38*(Inputs!$F$10-Inputs!$D$10)*(Inputs!$E$10-Inputs!$D$10)),Inputs!$F$10-SQRT((1-D38)*(Inputs!$F$10-Inputs!$D$10)*(Inputs!$F$10-Inputs!$E$10)))</f>
        <v>0.0722081905611529</v>
      </c>
      <c r="F38" s="81" t="n">
        <f aca="true">RAND()</f>
        <v>0.249755875789634</v>
      </c>
      <c r="G38" s="83" t="n">
        <f aca="false">IF(F38&lt;(Inputs!$E$15-Inputs!$D$15)/(Inputs!$F$15-Inputs!$D$15),Inputs!$D$15+SQRT(F38*(Inputs!$F$15-Inputs!$D$15)*(Inputs!$E$15-Inputs!$D$15)),Inputs!$F$15-SQRT((1-F38)*(Inputs!$F$15-Inputs!$D$15)*(Inputs!$F$15-Inputs!$E$15)))</f>
        <v>0.670676145309381</v>
      </c>
      <c r="H38" s="81" t="n">
        <f aca="true">RAND()</f>
        <v>0.622645434465348</v>
      </c>
      <c r="I38" s="82" t="n">
        <f aca="false">ROUND(IF(H38&lt;(Inputs!$E$17-Inputs!$D$17)/(Inputs!$F$17-Inputs!$D$17),Inputs!$D$17+SQRT(H38*(Inputs!$F$17-Inputs!$D$17)*(Inputs!$E$17-Inputs!$D$17)),Inputs!$F$17-SQRT((1-H38)*(Inputs!$F$17-Inputs!$D$17)*(Inputs!$F$17-Inputs!$E$17))),0)</f>
        <v>107</v>
      </c>
      <c r="J38" s="81" t="n">
        <f aca="true">RAND()</f>
        <v>0.0626279194169491</v>
      </c>
      <c r="K38" s="83" t="n">
        <f aca="false">IF(J38&lt;(Inputs!$E$18-Inputs!$D$18)/(Inputs!$F$18-Inputs!$D$18),Inputs!$D$18+SQRT(J38*(Inputs!$F$18-Inputs!$D$18)*(Inputs!$E$18-Inputs!$D$18)),Inputs!$F$18-SQRT((1-J38)*(Inputs!$F$18-Inputs!$D$18)*(Inputs!$F$18-Inputs!$E$18)))</f>
        <v>0.946818555932378</v>
      </c>
      <c r="L38" s="81" t="n">
        <f aca="true">RAND()</f>
        <v>0.318172689773373</v>
      </c>
      <c r="M38" s="83" t="n">
        <f aca="false">IF(L38&lt;(Inputs!$E$24-Inputs!$D$24)/(Inputs!$F$24-Inputs!$D$24),Inputs!$D$24+SQRT(L38*(Inputs!$F$24-Inputs!$D$24)*(Inputs!$E$24-Inputs!$D$24)),Inputs!$F$24-SQRT((1-L38)*(Inputs!$F$24-Inputs!$D$24)*(Inputs!$F$24-Inputs!$E$24)))</f>
        <v>0.7953988811964</v>
      </c>
      <c r="N38" s="81" t="n">
        <f aca="true">RAND()</f>
        <v>0.20897240666505</v>
      </c>
      <c r="O38" s="83" t="n">
        <f aca="false">IF(N38&lt;(Inputs!$E$26-Inputs!$D$26)/(Inputs!$F$26-Inputs!$D$26),Inputs!$D$26+SQRT(N38*(Inputs!$F$26-Inputs!$D$26)*(Inputs!$E$26-Inputs!$D$26)),Inputs!$F$26-SQRT((1-N38)*(Inputs!$F$26-Inputs!$D$26)*(Inputs!$F$26-Inputs!$E$26)))</f>
        <v>0.486475222131693</v>
      </c>
      <c r="P38" s="81" t="n">
        <f aca="true">RAND()</f>
        <v>0.657829354589055</v>
      </c>
      <c r="Q38" s="82" t="n">
        <f aca="false">IF(P38&lt;(Inputs!$E$27-Inputs!$D$27)/(Inputs!$F$27-Inputs!$D$27),Inputs!$D$27+SQRT(P38*(Inputs!$F$27-Inputs!$D$27)*(Inputs!$E$27-Inputs!$D$27)),Inputs!$F$27-SQRT((1-P38)*(Inputs!$F$27-Inputs!$D$27)*(Inputs!$F$27-Inputs!$E$27)))</f>
        <v>99.3415373251212</v>
      </c>
      <c r="R38" s="81" t="n">
        <f aca="true">RAND()</f>
        <v>0.160309684611143</v>
      </c>
      <c r="S38" s="82" t="n">
        <f aca="false">IF(R38&lt;(Inputs!$E$29-Inputs!$D$29)/(Inputs!$F$29-Inputs!$D$29),Inputs!$D$29+SQRT(R38*(Inputs!$F$29-Inputs!$D$29)*(Inputs!$E$29-Inputs!$D$29)),Inputs!$F$29-SQRT((1-R38)*(Inputs!$F$29-Inputs!$D$29)*(Inputs!$F$29-Inputs!$E$29)))</f>
        <v>4.50041550543796</v>
      </c>
      <c r="T38" s="68" t="n">
        <f aca="false">Inputs!$E$9*(1+E38)+Inputs!$E$5*C38*(Inputs!$E$11*Inputs!$E$14*(G38*I38/Inputs!$E$16+(1-G38))*K38+Inputs!$E$23*M38)*(1+O38)+Inputs!$E$5*(Q38+S38)</f>
        <v>5395.79811171948</v>
      </c>
    </row>
    <row r="39" customFormat="false" ht="15" hidden="false" customHeight="false" outlineLevel="0" collapsed="false">
      <c r="A39" s="1" t="n">
        <v>35</v>
      </c>
      <c r="B39" s="81" t="n">
        <f aca="true">RAND()</f>
        <v>0.622100021084718</v>
      </c>
      <c r="C39" s="82" t="n">
        <f aca="false">ROUND(IF(B39&lt;(Inputs!$E$8-Inputs!$D$8)/(Inputs!$F$8-Inputs!$D$8),Inputs!$D$8+SQRT(B39*(Inputs!$F$8-Inputs!$D$8)*(Inputs!$E$8-Inputs!$D$8)),Inputs!$F$8-SQRT((1-B39)*(Inputs!$F$8-Inputs!$D$8)*(Inputs!$F$8-Inputs!$E$8))),0)</f>
        <v>26</v>
      </c>
      <c r="D39" s="81" t="n">
        <f aca="true">RAND()</f>
        <v>0.373291233456832</v>
      </c>
      <c r="E39" s="83" t="n">
        <f aca="false">IF(D39&lt;(Inputs!$E$10-Inputs!$D$10)/(Inputs!$F$10-Inputs!$D$10),Inputs!$D$10+SQRT(D39*(Inputs!$F$10-Inputs!$D$10)*(Inputs!$E$10-Inputs!$D$10)),Inputs!$F$10-SQRT((1-D39)*(Inputs!$F$10-Inputs!$D$10)*(Inputs!$F$10-Inputs!$E$10)))</f>
        <v>0.0628823023957336</v>
      </c>
      <c r="F39" s="81" t="n">
        <f aca="true">RAND()</f>
        <v>0.0304596136707921</v>
      </c>
      <c r="G39" s="83" t="n">
        <f aca="false">IF(F39&lt;(Inputs!$E$15-Inputs!$D$15)/(Inputs!$F$15-Inputs!$D$15),Inputs!$D$15+SQRT(F39*(Inputs!$F$15-Inputs!$D$15)*(Inputs!$E$15-Inputs!$D$15)),Inputs!$F$15-SQRT((1-F39)*(Inputs!$F$15-Inputs!$D$15)*(Inputs!$F$15-Inputs!$E$15)))</f>
        <v>0.624681820707068</v>
      </c>
      <c r="H39" s="81" t="n">
        <f aca="true">RAND()</f>
        <v>0.289434791115958</v>
      </c>
      <c r="I39" s="82" t="n">
        <f aca="false">ROUND(IF(H39&lt;(Inputs!$E$17-Inputs!$D$17)/(Inputs!$F$17-Inputs!$D$17),Inputs!$D$17+SQRT(H39*(Inputs!$F$17-Inputs!$D$17)*(Inputs!$E$17-Inputs!$D$17)),Inputs!$F$17-SQRT((1-H39)*(Inputs!$F$17-Inputs!$D$17)*(Inputs!$F$17-Inputs!$E$17))),0)</f>
        <v>105</v>
      </c>
      <c r="J39" s="81" t="n">
        <f aca="true">RAND()</f>
        <v>0.91455208129021</v>
      </c>
      <c r="K39" s="83" t="n">
        <f aca="false">IF(J39&lt;(Inputs!$E$18-Inputs!$D$18)/(Inputs!$F$18-Inputs!$D$18),Inputs!$D$18+SQRT(J39*(Inputs!$F$18-Inputs!$D$18)*(Inputs!$E$18-Inputs!$D$18)),Inputs!$F$18-SQRT((1-J39)*(Inputs!$F$18-Inputs!$D$18)*(Inputs!$F$18-Inputs!$E$18)))</f>
        <v>1.16353212800637</v>
      </c>
      <c r="L39" s="81" t="n">
        <f aca="true">RAND()</f>
        <v>0.28004786444675</v>
      </c>
      <c r="M39" s="83" t="n">
        <f aca="false">IF(L39&lt;(Inputs!$E$24-Inputs!$D$24)/(Inputs!$F$24-Inputs!$D$24),Inputs!$D$24+SQRT(L39*(Inputs!$F$24-Inputs!$D$24)*(Inputs!$E$24-Inputs!$D$24)),Inputs!$F$24-SQRT((1-L39)*(Inputs!$F$24-Inputs!$D$24)*(Inputs!$F$24-Inputs!$E$24)))</f>
        <v>0.783318694446611</v>
      </c>
      <c r="N39" s="81" t="n">
        <f aca="true">RAND()</f>
        <v>0.447507767344701</v>
      </c>
      <c r="O39" s="83" t="n">
        <f aca="false">IF(N39&lt;(Inputs!$E$26-Inputs!$D$26)/(Inputs!$F$26-Inputs!$D$26),Inputs!$D$26+SQRT(N39*(Inputs!$F$26-Inputs!$D$26)*(Inputs!$E$26-Inputs!$D$26)),Inputs!$F$26-SQRT((1-N39)*(Inputs!$F$26-Inputs!$D$26)*(Inputs!$F$26-Inputs!$E$26)))</f>
        <v>0.572883294626399</v>
      </c>
      <c r="P39" s="81" t="n">
        <f aca="true">RAND()</f>
        <v>0.765163458000612</v>
      </c>
      <c r="Q39" s="82" t="n">
        <f aca="false">IF(P39&lt;(Inputs!$E$27-Inputs!$D$27)/(Inputs!$F$27-Inputs!$D$27),Inputs!$D$27+SQRT(P39*(Inputs!$F$27-Inputs!$D$27)*(Inputs!$E$27-Inputs!$D$27)),Inputs!$F$27-SQRT((1-P39)*(Inputs!$F$27-Inputs!$D$27)*(Inputs!$F$27-Inputs!$E$27)))</f>
        <v>108.032464153879</v>
      </c>
      <c r="R39" s="81" t="n">
        <f aca="true">RAND()</f>
        <v>0.308837180376079</v>
      </c>
      <c r="S39" s="82" t="n">
        <f aca="false">IF(R39&lt;(Inputs!$E$29-Inputs!$D$29)/(Inputs!$F$29-Inputs!$D$29),Inputs!$D$29+SQRT(R39*(Inputs!$F$29-Inputs!$D$29)*(Inputs!$E$29-Inputs!$D$29)),Inputs!$F$29-SQRT((1-R39)*(Inputs!$F$29-Inputs!$D$29)*(Inputs!$F$29-Inputs!$E$29)))</f>
        <v>5.52101447669057</v>
      </c>
      <c r="T39" s="68" t="n">
        <f aca="false">Inputs!$E$9*(1+E39)+Inputs!$E$5*C39*(Inputs!$E$11*Inputs!$E$14*(G39*I39/Inputs!$E$16+(1-G39))*K39+Inputs!$E$23*M39)*(1+O39)+Inputs!$E$5*(Q39+S39)</f>
        <v>6722.7255041969</v>
      </c>
    </row>
    <row r="40" customFormat="false" ht="15" hidden="false" customHeight="false" outlineLevel="0" collapsed="false">
      <c r="A40" s="1" t="n">
        <v>36</v>
      </c>
      <c r="B40" s="81" t="n">
        <f aca="true">RAND()</f>
        <v>0.156382056243329</v>
      </c>
      <c r="C40" s="82" t="n">
        <f aca="false">ROUND(IF(B40&lt;(Inputs!$E$8-Inputs!$D$8)/(Inputs!$F$8-Inputs!$D$8),Inputs!$D$8+SQRT(B40*(Inputs!$F$8-Inputs!$D$8)*(Inputs!$E$8-Inputs!$D$8)),Inputs!$F$8-SQRT((1-B40)*(Inputs!$F$8-Inputs!$D$8)*(Inputs!$F$8-Inputs!$E$8))),0)</f>
        <v>23</v>
      </c>
      <c r="D40" s="81" t="n">
        <f aca="true">RAND()</f>
        <v>0.199874798935576</v>
      </c>
      <c r="E40" s="83" t="n">
        <f aca="false">IF(D40&lt;(Inputs!$E$10-Inputs!$D$10)/(Inputs!$F$10-Inputs!$D$10),Inputs!$D$10+SQRT(D40*(Inputs!$F$10-Inputs!$D$10)*(Inputs!$E$10-Inputs!$D$10)),Inputs!$F$10-SQRT((1-D40)*(Inputs!$F$10-Inputs!$D$10)*(Inputs!$F$10-Inputs!$E$10)))</f>
        <v>0.0447073594540738</v>
      </c>
      <c r="F40" s="81" t="n">
        <f aca="true">RAND()</f>
        <v>0.647247987951416</v>
      </c>
      <c r="G40" s="83" t="n">
        <f aca="false">IF(F40&lt;(Inputs!$E$15-Inputs!$D$15)/(Inputs!$F$15-Inputs!$D$15),Inputs!$D$15+SQRT(F40*(Inputs!$F$15-Inputs!$D$15)*(Inputs!$E$15-Inputs!$D$15)),Inputs!$F$15-SQRT((1-F40)*(Inputs!$F$15-Inputs!$D$15)*(Inputs!$F$15-Inputs!$E$15)))</f>
        <v>0.716005713045638</v>
      </c>
      <c r="H40" s="81" t="n">
        <f aca="true">RAND()</f>
        <v>0.232926935555657</v>
      </c>
      <c r="I40" s="82" t="n">
        <f aca="false">ROUND(IF(H40&lt;(Inputs!$E$17-Inputs!$D$17)/(Inputs!$F$17-Inputs!$D$17),Inputs!$D$17+SQRT(H40*(Inputs!$F$17-Inputs!$D$17)*(Inputs!$E$17-Inputs!$D$17)),Inputs!$F$17-SQRT((1-H40)*(Inputs!$F$17-Inputs!$D$17)*(Inputs!$F$17-Inputs!$E$17))),0)</f>
        <v>104</v>
      </c>
      <c r="J40" s="81" t="n">
        <f aca="true">RAND()</f>
        <v>0.0106196705964528</v>
      </c>
      <c r="K40" s="83" t="n">
        <f aca="false">IF(J40&lt;(Inputs!$E$18-Inputs!$D$18)/(Inputs!$F$18-Inputs!$D$18),Inputs!$D$18+SQRT(J40*(Inputs!$F$18-Inputs!$D$18)*(Inputs!$E$18-Inputs!$D$18)),Inputs!$F$18-SQRT((1-J40)*(Inputs!$F$18-Inputs!$D$18)*(Inputs!$F$18-Inputs!$E$18)))</f>
        <v>0.919279223814144</v>
      </c>
      <c r="L40" s="81" t="n">
        <f aca="true">RAND()</f>
        <v>0.34470265456455</v>
      </c>
      <c r="M40" s="83" t="n">
        <f aca="false">IF(L40&lt;(Inputs!$E$24-Inputs!$D$24)/(Inputs!$F$24-Inputs!$D$24),Inputs!$D$24+SQRT(L40*(Inputs!$F$24-Inputs!$D$24)*(Inputs!$E$24-Inputs!$D$24)),Inputs!$F$24-SQRT((1-L40)*(Inputs!$F$24-Inputs!$D$24)*(Inputs!$F$24-Inputs!$E$24)))</f>
        <v>0.803425463620636</v>
      </c>
      <c r="N40" s="81" t="n">
        <f aca="true">RAND()</f>
        <v>0.0715407304651263</v>
      </c>
      <c r="O40" s="83" t="n">
        <f aca="false">IF(N40&lt;(Inputs!$E$26-Inputs!$D$26)/(Inputs!$F$26-Inputs!$D$26),Inputs!$D$26+SQRT(N40*(Inputs!$F$26-Inputs!$D$26)*(Inputs!$E$26-Inputs!$D$26)),Inputs!$F$26-SQRT((1-N40)*(Inputs!$F$26-Inputs!$D$26)*(Inputs!$F$26-Inputs!$E$26)))</f>
        <v>0.409107183766226</v>
      </c>
      <c r="P40" s="81" t="n">
        <f aca="true">RAND()</f>
        <v>0.855778572493161</v>
      </c>
      <c r="Q40" s="82" t="n">
        <f aca="false">IF(P40&lt;(Inputs!$E$27-Inputs!$D$27)/(Inputs!$F$27-Inputs!$D$27),Inputs!$D$27+SQRT(P40*(Inputs!$F$27-Inputs!$D$27)*(Inputs!$E$27-Inputs!$D$27)),Inputs!$F$27-SQRT((1-P40)*(Inputs!$F$27-Inputs!$D$27)*(Inputs!$F$27-Inputs!$E$27)))</f>
        <v>117.111389413639</v>
      </c>
      <c r="R40" s="81" t="n">
        <f aca="true">RAND()</f>
        <v>0.040311814062022</v>
      </c>
      <c r="S40" s="82" t="n">
        <f aca="false">IF(R40&lt;(Inputs!$E$29-Inputs!$D$29)/(Inputs!$F$29-Inputs!$D$29),Inputs!$D$29+SQRT(R40*(Inputs!$F$29-Inputs!$D$29)*(Inputs!$E$29-Inputs!$D$29)),Inputs!$F$29-SQRT((1-R40)*(Inputs!$F$29-Inputs!$D$29)*(Inputs!$F$29-Inputs!$E$29)))</f>
        <v>3.2538583446382</v>
      </c>
      <c r="T40" s="68" t="n">
        <f aca="false">Inputs!$E$9*(1+E40)+Inputs!$E$5*C40*(Inputs!$E$11*Inputs!$E$14*(G40*I40/Inputs!$E$16+(1-G40))*K40+Inputs!$E$23*M40)*(1+O40)+Inputs!$E$5*(Q40+S40)</f>
        <v>5403.65596507077</v>
      </c>
    </row>
    <row r="41" customFormat="false" ht="15" hidden="false" customHeight="false" outlineLevel="0" collapsed="false">
      <c r="A41" s="1" t="n">
        <v>37</v>
      </c>
      <c r="B41" s="81" t="n">
        <f aca="true">RAND()</f>
        <v>0.441419561186991</v>
      </c>
      <c r="C41" s="82" t="n">
        <f aca="false">ROUND(IF(B41&lt;(Inputs!$E$8-Inputs!$D$8)/(Inputs!$F$8-Inputs!$D$8),Inputs!$D$8+SQRT(B41*(Inputs!$F$8-Inputs!$D$8)*(Inputs!$E$8-Inputs!$D$8)),Inputs!$F$8-SQRT((1-B41)*(Inputs!$F$8-Inputs!$D$8)*(Inputs!$F$8-Inputs!$E$8))),0)</f>
        <v>25</v>
      </c>
      <c r="D41" s="81" t="n">
        <f aca="true">RAND()</f>
        <v>0.837583796438266</v>
      </c>
      <c r="E41" s="83" t="n">
        <f aca="false">IF(D41&lt;(Inputs!$E$10-Inputs!$D$10)/(Inputs!$F$10-Inputs!$D$10),Inputs!$D$10+SQRT(D41*(Inputs!$F$10-Inputs!$D$10)*(Inputs!$E$10-Inputs!$D$10)),Inputs!$F$10-SQRT((1-D41)*(Inputs!$F$10-Inputs!$D$10)*(Inputs!$F$10-Inputs!$E$10)))</f>
        <v>0.130196804465325</v>
      </c>
      <c r="F41" s="81" t="n">
        <f aca="true">RAND()</f>
        <v>0.846962051535007</v>
      </c>
      <c r="G41" s="83" t="n">
        <f aca="false">IF(F41&lt;(Inputs!$E$15-Inputs!$D$15)/(Inputs!$F$15-Inputs!$D$15),Inputs!$D$15+SQRT(F41*(Inputs!$F$15-Inputs!$D$15)*(Inputs!$E$15-Inputs!$D$15)),Inputs!$F$15-SQRT((1-F41)*(Inputs!$F$15-Inputs!$D$15)*(Inputs!$F$15-Inputs!$E$15)))</f>
        <v>0.744675873533332</v>
      </c>
      <c r="H41" s="81" t="n">
        <f aca="true">RAND()</f>
        <v>0.760067172130076</v>
      </c>
      <c r="I41" s="82" t="n">
        <f aca="false">ROUND(IF(H41&lt;(Inputs!$E$17-Inputs!$D$17)/(Inputs!$F$17-Inputs!$D$17),Inputs!$D$17+SQRT(H41*(Inputs!$F$17-Inputs!$D$17)*(Inputs!$E$17-Inputs!$D$17)),Inputs!$F$17-SQRT((1-H41)*(Inputs!$F$17-Inputs!$D$17)*(Inputs!$F$17-Inputs!$E$17))),0)</f>
        <v>109</v>
      </c>
      <c r="J41" s="81" t="n">
        <f aca="true">RAND()</f>
        <v>0.0167526336803374</v>
      </c>
      <c r="K41" s="83" t="n">
        <f aca="false">IF(J41&lt;(Inputs!$E$18-Inputs!$D$18)/(Inputs!$F$18-Inputs!$D$18),Inputs!$D$18+SQRT(J41*(Inputs!$F$18-Inputs!$D$18)*(Inputs!$E$18-Inputs!$D$18)),Inputs!$F$18-SQRT((1-J41)*(Inputs!$F$18-Inputs!$D$18)*(Inputs!$F$18-Inputs!$E$18)))</f>
        <v>0.924214503480596</v>
      </c>
      <c r="L41" s="81" t="n">
        <f aca="true">RAND()</f>
        <v>0.665272279657828</v>
      </c>
      <c r="M41" s="83" t="n">
        <f aca="false">IF(L41&lt;(Inputs!$E$24-Inputs!$D$24)/(Inputs!$F$24-Inputs!$D$24),Inputs!$D$24+SQRT(L41*(Inputs!$F$24-Inputs!$D$24)*(Inputs!$E$24-Inputs!$D$24)),Inputs!$F$24-SQRT((1-L41)*(Inputs!$F$24-Inputs!$D$24)*(Inputs!$F$24-Inputs!$E$24)))</f>
        <v>0.916566316606298</v>
      </c>
      <c r="N41" s="81" t="n">
        <f aca="true">RAND()</f>
        <v>0.367278774131815</v>
      </c>
      <c r="O41" s="83" t="n">
        <f aca="false">IF(N41&lt;(Inputs!$E$26-Inputs!$D$26)/(Inputs!$F$26-Inputs!$D$26),Inputs!$D$26+SQRT(N41*(Inputs!$F$26-Inputs!$D$26)*(Inputs!$E$26-Inputs!$D$26)),Inputs!$F$26-SQRT((1-N41)*(Inputs!$F$26-Inputs!$D$26)*(Inputs!$F$26-Inputs!$E$26)))</f>
        <v>0.547214862044202</v>
      </c>
      <c r="P41" s="81" t="n">
        <f aca="true">RAND()</f>
        <v>0.0433092610555811</v>
      </c>
      <c r="Q41" s="82" t="n">
        <f aca="false">IF(P41&lt;(Inputs!$E$27-Inputs!$D$27)/(Inputs!$F$27-Inputs!$D$27),Inputs!$D$27+SQRT(P41*(Inputs!$F$27-Inputs!$D$27)*(Inputs!$E$27-Inputs!$D$27)),Inputs!$F$27-SQRT((1-P41)*(Inputs!$F$27-Inputs!$D$27)*(Inputs!$F$27-Inputs!$E$27)))</f>
        <v>60.4054386086773</v>
      </c>
      <c r="R41" s="81" t="n">
        <f aca="true">RAND()</f>
        <v>0.141535056931482</v>
      </c>
      <c r="S41" s="82" t="n">
        <f aca="false">IF(R41&lt;(Inputs!$E$29-Inputs!$D$29)/(Inputs!$F$29-Inputs!$D$29),Inputs!$D$29+SQRT(R41*(Inputs!$F$29-Inputs!$D$29)*(Inputs!$E$29-Inputs!$D$29)),Inputs!$F$29-SQRT((1-R41)*(Inputs!$F$29-Inputs!$D$29)*(Inputs!$F$29-Inputs!$E$29)))</f>
        <v>4.34943976733344</v>
      </c>
      <c r="T41" s="68" t="n">
        <f aca="false">Inputs!$E$9*(1+E41)+Inputs!$E$5*C41*(Inputs!$E$11*Inputs!$E$14*(G41*I41/Inputs!$E$16+(1-G41))*K41+Inputs!$E$23*M41)*(1+O41)+Inputs!$E$5*(Q41+S41)</f>
        <v>5985.04410317087</v>
      </c>
    </row>
    <row r="42" customFormat="false" ht="15" hidden="false" customHeight="false" outlineLevel="0" collapsed="false">
      <c r="A42" s="1" t="n">
        <v>38</v>
      </c>
      <c r="B42" s="81" t="n">
        <f aca="true">RAND()</f>
        <v>0.549916819551126</v>
      </c>
      <c r="C42" s="82" t="n">
        <f aca="false">ROUND(IF(B42&lt;(Inputs!$E$8-Inputs!$D$8)/(Inputs!$F$8-Inputs!$D$8),Inputs!$D$8+SQRT(B42*(Inputs!$F$8-Inputs!$D$8)*(Inputs!$E$8-Inputs!$D$8)),Inputs!$F$8-SQRT((1-B42)*(Inputs!$F$8-Inputs!$D$8)*(Inputs!$F$8-Inputs!$E$8))),0)</f>
        <v>25</v>
      </c>
      <c r="D42" s="81" t="n">
        <f aca="true">RAND()</f>
        <v>0.9602468544869</v>
      </c>
      <c r="E42" s="83" t="n">
        <f aca="false">IF(D42&lt;(Inputs!$E$10-Inputs!$D$10)/(Inputs!$F$10-Inputs!$D$10),Inputs!$D$10+SQRT(D42*(Inputs!$F$10-Inputs!$D$10)*(Inputs!$E$10-Inputs!$D$10)),Inputs!$F$10-SQRT((1-D42)*(Inputs!$F$10-Inputs!$D$10)*(Inputs!$F$10-Inputs!$E$10)))</f>
        <v>0.165466040403785</v>
      </c>
      <c r="F42" s="81" t="n">
        <f aca="true">RAND()</f>
        <v>0.768811185346803</v>
      </c>
      <c r="G42" s="83" t="n">
        <f aca="false">IF(F42&lt;(Inputs!$E$15-Inputs!$D$15)/(Inputs!$F$15-Inputs!$D$15),Inputs!$D$15+SQRT(F42*(Inputs!$F$15-Inputs!$D$15)*(Inputs!$E$15-Inputs!$D$15)),Inputs!$F$15-SQRT((1-F42)*(Inputs!$F$15-Inputs!$D$15)*(Inputs!$F$15-Inputs!$E$15)))</f>
        <v>0.732001644923837</v>
      </c>
      <c r="H42" s="81" t="n">
        <f aca="true">RAND()</f>
        <v>0.0442647929000747</v>
      </c>
      <c r="I42" s="82" t="n">
        <f aca="false">ROUND(IF(H42&lt;(Inputs!$E$17-Inputs!$D$17)/(Inputs!$F$17-Inputs!$D$17),Inputs!$D$17+SQRT(H42*(Inputs!$F$17-Inputs!$D$17)*(Inputs!$E$17-Inputs!$D$17)),Inputs!$F$17-SQRT((1-H42)*(Inputs!$F$17-Inputs!$D$17)*(Inputs!$F$17-Inputs!$E$17))),0)</f>
        <v>102</v>
      </c>
      <c r="J42" s="81" t="n">
        <f aca="true">RAND()</f>
        <v>0.958354851631716</v>
      </c>
      <c r="K42" s="83" t="n">
        <f aca="false">IF(J42&lt;(Inputs!$E$18-Inputs!$D$18)/(Inputs!$F$18-Inputs!$D$18),Inputs!$D$18+SQRT(J42*(Inputs!$F$18-Inputs!$D$18)*(Inputs!$E$18-Inputs!$D$18)),Inputs!$F$18-SQRT((1-J42)*(Inputs!$F$18-Inputs!$D$18)*(Inputs!$F$18-Inputs!$E$18)))</f>
        <v>1.18963485705952</v>
      </c>
      <c r="L42" s="81" t="n">
        <f aca="true">RAND()</f>
        <v>0.0252338905244549</v>
      </c>
      <c r="M42" s="83" t="n">
        <f aca="false">IF(L42&lt;(Inputs!$E$24-Inputs!$D$24)/(Inputs!$F$24-Inputs!$D$24),Inputs!$D$24+SQRT(L42*(Inputs!$F$24-Inputs!$D$24)*(Inputs!$E$24-Inputs!$D$24)),Inputs!$F$24-SQRT((1-L42)*(Inputs!$F$24-Inputs!$D$24)*(Inputs!$F$24-Inputs!$E$24)))</f>
        <v>0.65502787350911</v>
      </c>
      <c r="N42" s="81" t="n">
        <f aca="true">RAND()</f>
        <v>0.44536590012101</v>
      </c>
      <c r="O42" s="83" t="n">
        <f aca="false">IF(N42&lt;(Inputs!$E$26-Inputs!$D$26)/(Inputs!$F$26-Inputs!$D$26),Inputs!$D$26+SQRT(N42*(Inputs!$F$26-Inputs!$D$26)*(Inputs!$E$26-Inputs!$D$26)),Inputs!$F$26-SQRT((1-N42)*(Inputs!$F$26-Inputs!$D$26)*(Inputs!$F$26-Inputs!$E$26)))</f>
        <v>0.572229472651541</v>
      </c>
      <c r="P42" s="81" t="n">
        <f aca="true">RAND()</f>
        <v>0.495991654246109</v>
      </c>
      <c r="Q42" s="82" t="n">
        <f aca="false">IF(P42&lt;(Inputs!$E$27-Inputs!$D$27)/(Inputs!$F$27-Inputs!$D$27),Inputs!$D$27+SQRT(P42*(Inputs!$F$27-Inputs!$D$27)*(Inputs!$E$27-Inputs!$D$27)),Inputs!$F$27-SQRT((1-P42)*(Inputs!$F$27-Inputs!$D$27)*(Inputs!$F$27-Inputs!$E$27)))</f>
        <v>88.5177863674853</v>
      </c>
      <c r="R42" s="81" t="n">
        <f aca="true">RAND()</f>
        <v>0.600984330409204</v>
      </c>
      <c r="S42" s="82" t="n">
        <f aca="false">IF(R42&lt;(Inputs!$E$29-Inputs!$D$29)/(Inputs!$F$29-Inputs!$D$29),Inputs!$D$29+SQRT(R42*(Inputs!$F$29-Inputs!$D$29)*(Inputs!$E$29-Inputs!$D$29)),Inputs!$F$29-SQRT((1-R42)*(Inputs!$F$29-Inputs!$D$29)*(Inputs!$F$29-Inputs!$E$29)))</f>
        <v>7.79777554870695</v>
      </c>
      <c r="T42" s="68" t="n">
        <f aca="false">Inputs!$E$9*(1+E42)+Inputs!$E$5*C42*(Inputs!$E$11*Inputs!$E$14*(G42*I42/Inputs!$E$16+(1-G42))*K42+Inputs!$E$23*M42)*(1+O42)+Inputs!$E$5*(Q42+S42)</f>
        <v>6381.93040916058</v>
      </c>
    </row>
    <row r="43" customFormat="false" ht="15" hidden="false" customHeight="false" outlineLevel="0" collapsed="false">
      <c r="A43" s="1" t="n">
        <v>39</v>
      </c>
      <c r="B43" s="81" t="n">
        <f aca="true">RAND()</f>
        <v>0.709827644740088</v>
      </c>
      <c r="C43" s="82" t="n">
        <f aca="false">ROUND(IF(B43&lt;(Inputs!$E$8-Inputs!$D$8)/(Inputs!$F$8-Inputs!$D$8),Inputs!$D$8+SQRT(B43*(Inputs!$F$8-Inputs!$D$8)*(Inputs!$E$8-Inputs!$D$8)),Inputs!$F$8-SQRT((1-B43)*(Inputs!$F$8-Inputs!$D$8)*(Inputs!$F$8-Inputs!$E$8))),0)</f>
        <v>26</v>
      </c>
      <c r="D43" s="81" t="n">
        <f aca="true">RAND()</f>
        <v>0.619516036741529</v>
      </c>
      <c r="E43" s="83" t="n">
        <f aca="false">IF(D43&lt;(Inputs!$E$10-Inputs!$D$10)/(Inputs!$F$10-Inputs!$D$10),Inputs!$D$10+SQRT(D43*(Inputs!$F$10-Inputs!$D$10)*(Inputs!$E$10-Inputs!$D$10)),Inputs!$F$10-SQRT((1-D43)*(Inputs!$F$10-Inputs!$D$10)*(Inputs!$F$10-Inputs!$E$10)))</f>
        <v>0.093161248145843</v>
      </c>
      <c r="F43" s="81" t="n">
        <f aca="true">RAND()</f>
        <v>0.503652850177212</v>
      </c>
      <c r="G43" s="83" t="n">
        <f aca="false">IF(F43&lt;(Inputs!$E$15-Inputs!$D$15)/(Inputs!$F$15-Inputs!$D$15),Inputs!$D$15+SQRT(F43*(Inputs!$F$15-Inputs!$D$15)*(Inputs!$E$15-Inputs!$D$15)),Inputs!$F$15-SQRT((1-F43)*(Inputs!$F$15-Inputs!$D$15)*(Inputs!$F$15-Inputs!$E$15)))</f>
        <v>0.700365954631684</v>
      </c>
      <c r="H43" s="81" t="n">
        <f aca="true">RAND()</f>
        <v>0.080969209725732</v>
      </c>
      <c r="I43" s="82" t="n">
        <f aca="false">ROUND(IF(H43&lt;(Inputs!$E$17-Inputs!$D$17)/(Inputs!$F$17-Inputs!$D$17),Inputs!$D$17+SQRT(H43*(Inputs!$F$17-Inputs!$D$17)*(Inputs!$E$17-Inputs!$D$17)),Inputs!$F$17-SQRT((1-H43)*(Inputs!$F$17-Inputs!$D$17)*(Inputs!$F$17-Inputs!$E$17))),0)</f>
        <v>102</v>
      </c>
      <c r="J43" s="81" t="n">
        <f aca="true">RAND()</f>
        <v>0.0858983499304014</v>
      </c>
      <c r="K43" s="83" t="n">
        <f aca="false">IF(J43&lt;(Inputs!$E$18-Inputs!$D$18)/(Inputs!$F$18-Inputs!$D$18),Inputs!$D$18+SQRT(J43*(Inputs!$F$18-Inputs!$D$18)*(Inputs!$E$18-Inputs!$D$18)),Inputs!$F$18-SQRT((1-J43)*(Inputs!$F$18-Inputs!$D$18)*(Inputs!$F$18-Inputs!$E$18)))</f>
        <v>0.954831033617506</v>
      </c>
      <c r="L43" s="81" t="n">
        <f aca="true">RAND()</f>
        <v>0.910878524892676</v>
      </c>
      <c r="M43" s="83" t="n">
        <f aca="false">IF(L43&lt;(Inputs!$E$24-Inputs!$D$24)/(Inputs!$F$24-Inputs!$D$24),Inputs!$D$24+SQRT(L43*(Inputs!$F$24-Inputs!$D$24)*(Inputs!$E$24-Inputs!$D$24)),Inputs!$F$24-SQRT((1-L43)*(Inputs!$F$24-Inputs!$D$24)*(Inputs!$F$24-Inputs!$E$24)))</f>
        <v>1.05374968709176</v>
      </c>
      <c r="N43" s="81" t="n">
        <f aca="true">RAND()</f>
        <v>0.627196439110556</v>
      </c>
      <c r="O43" s="83" t="n">
        <f aca="false">IF(N43&lt;(Inputs!$E$26-Inputs!$D$26)/(Inputs!$F$26-Inputs!$D$26),Inputs!$D$26+SQRT(N43*(Inputs!$F$26-Inputs!$D$26)*(Inputs!$E$26-Inputs!$D$26)),Inputs!$F$26-SQRT((1-N43)*(Inputs!$F$26-Inputs!$D$26)*(Inputs!$F$26-Inputs!$E$26)))</f>
        <v>0.623095022072823</v>
      </c>
      <c r="P43" s="81" t="n">
        <f aca="true">RAND()</f>
        <v>0.448645734200294</v>
      </c>
      <c r="Q43" s="82" t="n">
        <f aca="false">IF(P43&lt;(Inputs!$E$27-Inputs!$D$27)/(Inputs!$F$27-Inputs!$D$27),Inputs!$D$27+SQRT(P43*(Inputs!$F$27-Inputs!$D$27)*(Inputs!$E$27-Inputs!$D$27)),Inputs!$F$27-SQRT((1-P43)*(Inputs!$F$27-Inputs!$D$27)*(Inputs!$F$27-Inputs!$E$27)))</f>
        <v>85.6948136345303</v>
      </c>
      <c r="R43" s="81" t="n">
        <f aca="true">RAND()</f>
        <v>0.273007097665736</v>
      </c>
      <c r="S43" s="82" t="n">
        <f aca="false">IF(R43&lt;(Inputs!$E$29-Inputs!$D$29)/(Inputs!$F$29-Inputs!$D$29),Inputs!$D$29+SQRT(R43*(Inputs!$F$29-Inputs!$D$29)*(Inputs!$E$29-Inputs!$D$29)),Inputs!$F$29-SQRT((1-R43)*(Inputs!$F$29-Inputs!$D$29)*(Inputs!$F$29-Inputs!$E$29)))</f>
        <v>5.27842207748894</v>
      </c>
      <c r="T43" s="68" t="n">
        <f aca="false">Inputs!$E$9*(1+E43)+Inputs!$E$5*C43*(Inputs!$E$11*Inputs!$E$14*(G43*I43/Inputs!$E$16+(1-G43))*K43+Inputs!$E$23*M43)*(1+O43)+Inputs!$E$5*(Q43+S43)</f>
        <v>6573.29148229249</v>
      </c>
    </row>
    <row r="44" customFormat="false" ht="15" hidden="false" customHeight="false" outlineLevel="0" collapsed="false">
      <c r="A44" s="1" t="n">
        <v>40</v>
      </c>
      <c r="B44" s="81" t="n">
        <f aca="true">RAND()</f>
        <v>0.396152850639863</v>
      </c>
      <c r="C44" s="82" t="n">
        <f aca="false">ROUND(IF(B44&lt;(Inputs!$E$8-Inputs!$D$8)/(Inputs!$F$8-Inputs!$D$8),Inputs!$D$8+SQRT(B44*(Inputs!$F$8-Inputs!$D$8)*(Inputs!$E$8-Inputs!$D$8)),Inputs!$F$8-SQRT((1-B44)*(Inputs!$F$8-Inputs!$D$8)*(Inputs!$F$8-Inputs!$E$8))),0)</f>
        <v>24</v>
      </c>
      <c r="D44" s="81" t="n">
        <f aca="true">RAND()</f>
        <v>0.108395241425558</v>
      </c>
      <c r="E44" s="83" t="n">
        <f aca="false">IF(D44&lt;(Inputs!$E$10-Inputs!$D$10)/(Inputs!$F$10-Inputs!$D$10),Inputs!$D$10+SQRT(D44*(Inputs!$F$10-Inputs!$D$10)*(Inputs!$E$10-Inputs!$D$10)),Inputs!$F$10-SQRT((1-D44)*(Inputs!$F$10-Inputs!$D$10)*(Inputs!$F$10-Inputs!$E$10)))</f>
        <v>0.0329234326013491</v>
      </c>
      <c r="F44" s="81" t="n">
        <f aca="true">RAND()</f>
        <v>0.736364433708586</v>
      </c>
      <c r="G44" s="83" t="n">
        <f aca="false">IF(F44&lt;(Inputs!$E$15-Inputs!$D$15)/(Inputs!$F$15-Inputs!$D$15),Inputs!$D$15+SQRT(F44*(Inputs!$F$15-Inputs!$D$15)*(Inputs!$E$15-Inputs!$D$15)),Inputs!$F$15-SQRT((1-F44)*(Inputs!$F$15-Inputs!$D$15)*(Inputs!$F$15-Inputs!$E$15)))</f>
        <v>0.727386562360481</v>
      </c>
      <c r="H44" s="81" t="n">
        <f aca="true">RAND()</f>
        <v>0.271475724261057</v>
      </c>
      <c r="I44" s="82" t="n">
        <f aca="false">ROUND(IF(H44&lt;(Inputs!$E$17-Inputs!$D$17)/(Inputs!$F$17-Inputs!$D$17),Inputs!$D$17+SQRT(H44*(Inputs!$F$17-Inputs!$D$17)*(Inputs!$E$17-Inputs!$D$17)),Inputs!$F$17-SQRT((1-H44)*(Inputs!$F$17-Inputs!$D$17)*(Inputs!$F$17-Inputs!$E$17))),0)</f>
        <v>105</v>
      </c>
      <c r="J44" s="81" t="n">
        <f aca="true">RAND()</f>
        <v>0.313333871426423</v>
      </c>
      <c r="K44" s="83" t="n">
        <f aca="false">IF(J44&lt;(Inputs!$E$18-Inputs!$D$18)/(Inputs!$F$18-Inputs!$D$18),Inputs!$D$18+SQRT(J44*(Inputs!$F$18-Inputs!$D$18)*(Inputs!$E$18-Inputs!$D$18)),Inputs!$F$18-SQRT((1-J44)*(Inputs!$F$18-Inputs!$D$18)*(Inputs!$F$18-Inputs!$E$18)))</f>
        <v>1.00488107733146</v>
      </c>
      <c r="L44" s="81" t="n">
        <f aca="true">RAND()</f>
        <v>0.163189930882969</v>
      </c>
      <c r="M44" s="83" t="n">
        <f aca="false">IF(L44&lt;(Inputs!$E$24-Inputs!$D$24)/(Inputs!$F$24-Inputs!$D$24),Inputs!$D$24+SQRT(L44*(Inputs!$F$24-Inputs!$D$24)*(Inputs!$E$24-Inputs!$D$24)),Inputs!$F$24-SQRT((1-L44)*(Inputs!$F$24-Inputs!$D$24)*(Inputs!$F$24-Inputs!$E$24)))</f>
        <v>0.739938528311385</v>
      </c>
      <c r="N44" s="81" t="n">
        <f aca="true">RAND()</f>
        <v>0.349928204353288</v>
      </c>
      <c r="O44" s="83" t="n">
        <f aca="false">IF(N44&lt;(Inputs!$E$26-Inputs!$D$26)/(Inputs!$F$26-Inputs!$D$26),Inputs!$D$26+SQRT(N44*(Inputs!$F$26-Inputs!$D$26)*(Inputs!$E$26-Inputs!$D$26)),Inputs!$F$26-SQRT((1-N44)*(Inputs!$F$26-Inputs!$D$26)*(Inputs!$F$26-Inputs!$E$26)))</f>
        <v>0.541304896768356</v>
      </c>
      <c r="P44" s="81" t="n">
        <f aca="true">RAND()</f>
        <v>0.296176318291644</v>
      </c>
      <c r="Q44" s="82" t="n">
        <f aca="false">IF(P44&lt;(Inputs!$E$27-Inputs!$D$27)/(Inputs!$F$27-Inputs!$D$27),Inputs!$D$27+SQRT(P44*(Inputs!$F$27-Inputs!$D$27)*(Inputs!$E$27-Inputs!$D$27)),Inputs!$F$27-SQRT((1-P44)*(Inputs!$F$27-Inputs!$D$27)*(Inputs!$F$27-Inputs!$E$27)))</f>
        <v>77.3454914488256</v>
      </c>
      <c r="R44" s="81" t="n">
        <f aca="true">RAND()</f>
        <v>0.0429338942346791</v>
      </c>
      <c r="S44" s="82" t="n">
        <f aca="false">IF(R44&lt;(Inputs!$E$29-Inputs!$D$29)/(Inputs!$F$29-Inputs!$D$29),Inputs!$D$29+SQRT(R44*(Inputs!$F$29-Inputs!$D$29)*(Inputs!$E$29-Inputs!$D$29)),Inputs!$F$29-SQRT((1-R44)*(Inputs!$F$29-Inputs!$D$29)*(Inputs!$F$29-Inputs!$E$29)))</f>
        <v>3.29399454216488</v>
      </c>
      <c r="T44" s="68" t="n">
        <f aca="false">Inputs!$E$9*(1+E44)+Inputs!$E$5*C44*(Inputs!$E$11*Inputs!$E$14*(G44*I44/Inputs!$E$16+(1-G44))*K44+Inputs!$E$23*M44)*(1+O44)+Inputs!$E$5*(Q44+S44)</f>
        <v>5613.70535442153</v>
      </c>
    </row>
    <row r="45" customFormat="false" ht="15" hidden="false" customHeight="false" outlineLevel="0" collapsed="false">
      <c r="A45" s="1" t="n">
        <v>41</v>
      </c>
      <c r="B45" s="81" t="n">
        <f aca="true">RAND()</f>
        <v>0.66263707920309</v>
      </c>
      <c r="C45" s="82" t="n">
        <f aca="false">ROUND(IF(B45&lt;(Inputs!$E$8-Inputs!$D$8)/(Inputs!$F$8-Inputs!$D$8),Inputs!$D$8+SQRT(B45*(Inputs!$F$8-Inputs!$D$8)*(Inputs!$E$8-Inputs!$D$8)),Inputs!$F$8-SQRT((1-B45)*(Inputs!$F$8-Inputs!$D$8)*(Inputs!$F$8-Inputs!$E$8))),0)</f>
        <v>26</v>
      </c>
      <c r="D45" s="81" t="n">
        <f aca="true">RAND()</f>
        <v>0.921207455892878</v>
      </c>
      <c r="E45" s="83" t="n">
        <f aca="false">IF(D45&lt;(Inputs!$E$10-Inputs!$D$10)/(Inputs!$F$10-Inputs!$D$10),Inputs!$D$10+SQRT(D45*(Inputs!$F$10-Inputs!$D$10)*(Inputs!$E$10-Inputs!$D$10)),Inputs!$F$10-SQRT((1-D45)*(Inputs!$F$10-Inputs!$D$10)*(Inputs!$F$10-Inputs!$E$10)))</f>
        <v>0.151381317138227</v>
      </c>
      <c r="F45" s="81" t="n">
        <f aca="true">RAND()</f>
        <v>0.272301991820147</v>
      </c>
      <c r="G45" s="83" t="n">
        <f aca="false">IF(F45&lt;(Inputs!$E$15-Inputs!$D$15)/(Inputs!$F$15-Inputs!$D$15),Inputs!$D$15+SQRT(F45*(Inputs!$F$15-Inputs!$D$15)*(Inputs!$E$15-Inputs!$D$15)),Inputs!$F$15-SQRT((1-F45)*(Inputs!$F$15-Inputs!$D$15)*(Inputs!$F$15-Inputs!$E$15)))</f>
        <v>0.673797288814718</v>
      </c>
      <c r="H45" s="81" t="n">
        <f aca="true">RAND()</f>
        <v>0.833212176788489</v>
      </c>
      <c r="I45" s="82" t="n">
        <f aca="false">ROUND(IF(H45&lt;(Inputs!$E$17-Inputs!$D$17)/(Inputs!$F$17-Inputs!$D$17),Inputs!$D$17+SQRT(H45*(Inputs!$F$17-Inputs!$D$17)*(Inputs!$E$17-Inputs!$D$17)),Inputs!$F$17-SQRT((1-H45)*(Inputs!$F$17-Inputs!$D$17)*(Inputs!$F$17-Inputs!$E$17))),0)</f>
        <v>110</v>
      </c>
      <c r="J45" s="81" t="n">
        <f aca="true">RAND()</f>
        <v>0.537314859069635</v>
      </c>
      <c r="K45" s="83" t="n">
        <f aca="false">IF(J45&lt;(Inputs!$E$18-Inputs!$D$18)/(Inputs!$F$18-Inputs!$D$18),Inputs!$D$18+SQRT(J45*(Inputs!$F$18-Inputs!$D$18)*(Inputs!$E$18-Inputs!$D$18)),Inputs!$F$18-SQRT((1-J45)*(Inputs!$F$18-Inputs!$D$18)*(Inputs!$F$18-Inputs!$E$18)))</f>
        <v>1.048791277944</v>
      </c>
      <c r="L45" s="81" t="n">
        <f aca="true">RAND()</f>
        <v>0.402968677358337</v>
      </c>
      <c r="M45" s="83" t="n">
        <f aca="false">IF(L45&lt;(Inputs!$E$24-Inputs!$D$24)/(Inputs!$F$24-Inputs!$D$24),Inputs!$D$24+SQRT(L45*(Inputs!$F$24-Inputs!$D$24)*(Inputs!$E$24-Inputs!$D$24)),Inputs!$F$24-SQRT((1-L45)*(Inputs!$F$24-Inputs!$D$24)*(Inputs!$F$24-Inputs!$E$24)))</f>
        <v>0.821466623091174</v>
      </c>
      <c r="N45" s="81" t="n">
        <f aca="true">RAND()</f>
        <v>0.564872408882217</v>
      </c>
      <c r="O45" s="83" t="n">
        <f aca="false">IF(N45&lt;(Inputs!$E$26-Inputs!$D$26)/(Inputs!$F$26-Inputs!$D$26),Inputs!$D$26+SQRT(N45*(Inputs!$F$26-Inputs!$D$26)*(Inputs!$E$26-Inputs!$D$26)),Inputs!$F$26-SQRT((1-N45)*(Inputs!$F$26-Inputs!$D$26)*(Inputs!$F$26-Inputs!$E$26)))</f>
        <v>0.606585663131858</v>
      </c>
      <c r="P45" s="81" t="n">
        <f aca="true">RAND()</f>
        <v>0.258528805375675</v>
      </c>
      <c r="Q45" s="82" t="n">
        <f aca="false">IF(P45&lt;(Inputs!$E$27-Inputs!$D$27)/(Inputs!$F$27-Inputs!$D$27),Inputs!$D$27+SQRT(P45*(Inputs!$F$27-Inputs!$D$27)*(Inputs!$E$27-Inputs!$D$27)),Inputs!$F$27-SQRT((1-P45)*(Inputs!$F$27-Inputs!$D$27)*(Inputs!$F$27-Inputs!$E$27)))</f>
        <v>75.4276595534079</v>
      </c>
      <c r="R45" s="81" t="n">
        <f aca="true">RAND()</f>
        <v>0.348112906970607</v>
      </c>
      <c r="S45" s="82" t="n">
        <f aca="false">IF(R45&lt;(Inputs!$E$29-Inputs!$D$29)/(Inputs!$F$29-Inputs!$D$29),Inputs!$D$29+SQRT(R45*(Inputs!$F$29-Inputs!$D$29)*(Inputs!$E$29-Inputs!$D$29)),Inputs!$F$29-SQRT((1-R45)*(Inputs!$F$29-Inputs!$D$29)*(Inputs!$F$29-Inputs!$E$29)))</f>
        <v>5.7942777527333</v>
      </c>
      <c r="T45" s="68" t="n">
        <f aca="false">Inputs!$E$9*(1+E45)+Inputs!$E$5*C45*(Inputs!$E$11*Inputs!$E$14*(G45*I45/Inputs!$E$16+(1-G45))*K45+Inputs!$E$23*M45)*(1+O45)+Inputs!$E$5*(Q45+S45)</f>
        <v>6614.73608255172</v>
      </c>
    </row>
    <row r="46" customFormat="false" ht="15" hidden="false" customHeight="false" outlineLevel="0" collapsed="false">
      <c r="A46" s="1" t="n">
        <v>42</v>
      </c>
      <c r="B46" s="81" t="n">
        <f aca="true">RAND()</f>
        <v>0.996790646733684</v>
      </c>
      <c r="C46" s="82" t="n">
        <f aca="false">ROUND(IF(B46&lt;(Inputs!$E$8-Inputs!$D$8)/(Inputs!$F$8-Inputs!$D$8),Inputs!$D$8+SQRT(B46*(Inputs!$F$8-Inputs!$D$8)*(Inputs!$E$8-Inputs!$D$8)),Inputs!$F$8-SQRT((1-B46)*(Inputs!$F$8-Inputs!$D$8)*(Inputs!$F$8-Inputs!$E$8))),0)</f>
        <v>30</v>
      </c>
      <c r="D46" s="81" t="n">
        <f aca="true">RAND()</f>
        <v>0.919821572078401</v>
      </c>
      <c r="E46" s="83" t="n">
        <f aca="false">IF(D46&lt;(Inputs!$E$10-Inputs!$D$10)/(Inputs!$F$10-Inputs!$D$10),Inputs!$D$10+SQRT(D46*(Inputs!$F$10-Inputs!$D$10)*(Inputs!$E$10-Inputs!$D$10)),Inputs!$F$10-SQRT((1-D46)*(Inputs!$F$10-Inputs!$D$10)*(Inputs!$F$10-Inputs!$E$10)))</f>
        <v>0.150955603402142</v>
      </c>
      <c r="F46" s="81" t="n">
        <f aca="true">RAND()</f>
        <v>0.174983409473402</v>
      </c>
      <c r="G46" s="83" t="n">
        <f aca="false">IF(F46&lt;(Inputs!$E$15-Inputs!$D$15)/(Inputs!$F$15-Inputs!$D$15),Inputs!$D$15+SQRT(F46*(Inputs!$F$15-Inputs!$D$15)*(Inputs!$E$15-Inputs!$D$15)),Inputs!$F$15-SQRT((1-F46)*(Inputs!$F$15-Inputs!$D$15)*(Inputs!$F$15-Inputs!$E$15)))</f>
        <v>0.6591579934537</v>
      </c>
      <c r="H46" s="81" t="n">
        <f aca="true">RAND()</f>
        <v>0.566654453821103</v>
      </c>
      <c r="I46" s="82" t="n">
        <f aca="false">ROUND(IF(H46&lt;(Inputs!$E$17-Inputs!$D$17)/(Inputs!$F$17-Inputs!$D$17),Inputs!$D$17+SQRT(H46*(Inputs!$F$17-Inputs!$D$17)*(Inputs!$E$17-Inputs!$D$17)),Inputs!$F$17-SQRT((1-H46)*(Inputs!$F$17-Inputs!$D$17)*(Inputs!$F$17-Inputs!$E$17))),0)</f>
        <v>107</v>
      </c>
      <c r="J46" s="81" t="n">
        <f aca="true">RAND()</f>
        <v>0.897258078295248</v>
      </c>
      <c r="K46" s="83" t="n">
        <f aca="false">IF(J46&lt;(Inputs!$E$18-Inputs!$D$18)/(Inputs!$F$18-Inputs!$D$18),Inputs!$D$18+SQRT(J46*(Inputs!$F$18-Inputs!$D$18)*(Inputs!$E$18-Inputs!$D$18)),Inputs!$F$18-SQRT((1-J46)*(Inputs!$F$18-Inputs!$D$18)*(Inputs!$F$18-Inputs!$E$18)))</f>
        <v>1.15518482110355</v>
      </c>
      <c r="L46" s="81" t="n">
        <f aca="true">RAND()</f>
        <v>0.209465417332517</v>
      </c>
      <c r="M46" s="83" t="n">
        <f aca="false">IF(L46&lt;(Inputs!$E$24-Inputs!$D$24)/(Inputs!$F$24-Inputs!$D$24),Inputs!$D$24+SQRT(L46*(Inputs!$F$24-Inputs!$D$24)*(Inputs!$E$24-Inputs!$D$24)),Inputs!$F$24-SQRT((1-L46)*(Inputs!$F$24-Inputs!$D$24)*(Inputs!$F$24-Inputs!$E$24)))</f>
        <v>0.758542896655454</v>
      </c>
      <c r="N46" s="81" t="n">
        <f aca="true">RAND()</f>
        <v>0.423521728802193</v>
      </c>
      <c r="O46" s="83" t="n">
        <f aca="false">IF(N46&lt;(Inputs!$E$26-Inputs!$D$26)/(Inputs!$F$26-Inputs!$D$26),Inputs!$D$26+SQRT(N46*(Inputs!$F$26-Inputs!$D$26)*(Inputs!$E$26-Inputs!$D$26)),Inputs!$F$26-SQRT((1-N46)*(Inputs!$F$26-Inputs!$D$26)*(Inputs!$F$26-Inputs!$E$26)))</f>
        <v>0.565469425118383</v>
      </c>
      <c r="P46" s="81" t="n">
        <f aca="true">RAND()</f>
        <v>0.112205507622919</v>
      </c>
      <c r="Q46" s="82" t="n">
        <f aca="false">IF(P46&lt;(Inputs!$E$27-Inputs!$D$27)/(Inputs!$F$27-Inputs!$D$27),Inputs!$D$27+SQRT(P46*(Inputs!$F$27-Inputs!$D$27)*(Inputs!$E$27-Inputs!$D$27)),Inputs!$F$27-SQRT((1-P46)*(Inputs!$F$27-Inputs!$D$27)*(Inputs!$F$27-Inputs!$E$27)))</f>
        <v>66.7485452818237</v>
      </c>
      <c r="R46" s="81" t="n">
        <f aca="true">RAND()</f>
        <v>0.986770440027364</v>
      </c>
      <c r="S46" s="82" t="n">
        <f aca="false">IF(R46&lt;(Inputs!$E$29-Inputs!$D$29)/(Inputs!$F$29-Inputs!$D$29),Inputs!$D$29+SQRT(R46*(Inputs!$F$29-Inputs!$D$29)*(Inputs!$E$29-Inputs!$D$29)),Inputs!$F$29-SQRT((1-R46)*(Inputs!$F$29-Inputs!$D$29)*(Inputs!$F$29-Inputs!$E$29)))</f>
        <v>13.6885722298035</v>
      </c>
      <c r="T46" s="68" t="n">
        <f aca="false">Inputs!$E$9*(1+E46)+Inputs!$E$5*C46*(Inputs!$E$11*Inputs!$E$14*(G46*I46/Inputs!$E$16+(1-G46))*K46+Inputs!$E$23*M46)*(1+O46)+Inputs!$E$5*(Q46+S46)</f>
        <v>7221.28463604005</v>
      </c>
    </row>
    <row r="47" customFormat="false" ht="15" hidden="false" customHeight="false" outlineLevel="0" collapsed="false">
      <c r="A47" s="1" t="n">
        <v>43</v>
      </c>
      <c r="B47" s="81" t="n">
        <f aca="true">RAND()</f>
        <v>0.463858535529495</v>
      </c>
      <c r="C47" s="82" t="n">
        <f aca="false">ROUND(IF(B47&lt;(Inputs!$E$8-Inputs!$D$8)/(Inputs!$F$8-Inputs!$D$8),Inputs!$D$8+SQRT(B47*(Inputs!$F$8-Inputs!$D$8)*(Inputs!$E$8-Inputs!$D$8)),Inputs!$F$8-SQRT((1-B47)*(Inputs!$F$8-Inputs!$D$8)*(Inputs!$F$8-Inputs!$E$8))),0)</f>
        <v>25</v>
      </c>
      <c r="D47" s="81" t="n">
        <f aca="true">RAND()</f>
        <v>0.51418517482762</v>
      </c>
      <c r="E47" s="83" t="n">
        <f aca="false">IF(D47&lt;(Inputs!$E$10-Inputs!$D$10)/(Inputs!$F$10-Inputs!$D$10),Inputs!$D$10+SQRT(D47*(Inputs!$F$10-Inputs!$D$10)*(Inputs!$E$10-Inputs!$D$10)),Inputs!$F$10-SQRT((1-D47)*(Inputs!$F$10-Inputs!$D$10)*(Inputs!$F$10-Inputs!$E$10)))</f>
        <v>0.0792753349345239</v>
      </c>
      <c r="F47" s="81" t="n">
        <f aca="true">RAND()</f>
        <v>0.419277328376215</v>
      </c>
      <c r="G47" s="83" t="n">
        <f aca="false">IF(F47&lt;(Inputs!$E$15-Inputs!$D$15)/(Inputs!$F$15-Inputs!$D$15),Inputs!$D$15+SQRT(F47*(Inputs!$F$15-Inputs!$D$15)*(Inputs!$E$15-Inputs!$D$15)),Inputs!$F$15-SQRT((1-F47)*(Inputs!$F$15-Inputs!$D$15)*(Inputs!$F$15-Inputs!$E$15)))</f>
        <v>0.691572630013145</v>
      </c>
      <c r="H47" s="81" t="n">
        <f aca="true">RAND()</f>
        <v>0.168789421491702</v>
      </c>
      <c r="I47" s="82" t="n">
        <f aca="false">ROUND(IF(H47&lt;(Inputs!$E$17-Inputs!$D$17)/(Inputs!$F$17-Inputs!$D$17),Inputs!$D$17+SQRT(H47*(Inputs!$F$17-Inputs!$D$17)*(Inputs!$E$17-Inputs!$D$17)),Inputs!$F$17-SQRT((1-H47)*(Inputs!$F$17-Inputs!$D$17)*(Inputs!$F$17-Inputs!$E$17))),0)</f>
        <v>104</v>
      </c>
      <c r="J47" s="81" t="n">
        <f aca="true">RAND()</f>
        <v>0.202181713900386</v>
      </c>
      <c r="K47" s="83" t="n">
        <f aca="false">IF(J47&lt;(Inputs!$E$18-Inputs!$D$18)/(Inputs!$F$18-Inputs!$D$18),Inputs!$D$18+SQRT(J47*(Inputs!$F$18-Inputs!$D$18)*(Inputs!$E$18-Inputs!$D$18)),Inputs!$F$18-SQRT((1-J47)*(Inputs!$F$18-Inputs!$D$18)*(Inputs!$F$18-Inputs!$E$18)))</f>
        <v>0.98412110309853</v>
      </c>
      <c r="L47" s="81" t="n">
        <f aca="true">RAND()</f>
        <v>0.282659517449839</v>
      </c>
      <c r="M47" s="83" t="n">
        <f aca="false">IF(L47&lt;(Inputs!$E$24-Inputs!$D$24)/(Inputs!$F$24-Inputs!$D$24),Inputs!$D$24+SQRT(L47*(Inputs!$F$24-Inputs!$D$24)*(Inputs!$E$24-Inputs!$D$24)),Inputs!$F$24-SQRT((1-L47)*(Inputs!$F$24-Inputs!$D$24)*(Inputs!$F$24-Inputs!$E$24)))</f>
        <v>0.784171501850804</v>
      </c>
      <c r="N47" s="81" t="n">
        <f aca="true">RAND()</f>
        <v>0.441780911524893</v>
      </c>
      <c r="O47" s="83" t="n">
        <f aca="false">IF(N47&lt;(Inputs!$E$26-Inputs!$D$26)/(Inputs!$F$26-Inputs!$D$26),Inputs!$D$26+SQRT(N47*(Inputs!$F$26-Inputs!$D$26)*(Inputs!$E$26-Inputs!$D$26)),Inputs!$F$26-SQRT((1-N47)*(Inputs!$F$26-Inputs!$D$26)*(Inputs!$F$26-Inputs!$E$26)))</f>
        <v>0.571131598449429</v>
      </c>
      <c r="P47" s="81" t="n">
        <f aca="true">RAND()</f>
        <v>0.269305935314071</v>
      </c>
      <c r="Q47" s="82" t="n">
        <f aca="false">IF(P47&lt;(Inputs!$E$27-Inputs!$D$27)/(Inputs!$F$27-Inputs!$D$27),Inputs!$D$27+SQRT(P47*(Inputs!$F$27-Inputs!$D$27)*(Inputs!$E$27-Inputs!$D$27)),Inputs!$F$27-SQRT((1-P47)*(Inputs!$F$27-Inputs!$D$27)*(Inputs!$F$27-Inputs!$E$27)))</f>
        <v>75.9715900133978</v>
      </c>
      <c r="R47" s="81" t="n">
        <f aca="true">RAND()</f>
        <v>0.126697197502952</v>
      </c>
      <c r="S47" s="82" t="n">
        <f aca="false">IF(R47&lt;(Inputs!$E$29-Inputs!$D$29)/(Inputs!$F$29-Inputs!$D$29),Inputs!$D$29+SQRT(R47*(Inputs!$F$29-Inputs!$D$29)*(Inputs!$E$29-Inputs!$D$29)),Inputs!$F$29-SQRT((1-R47)*(Inputs!$F$29-Inputs!$D$29)*(Inputs!$F$29-Inputs!$E$29)))</f>
        <v>4.22287892216718</v>
      </c>
      <c r="T47" s="68" t="n">
        <f aca="false">Inputs!$E$9*(1+E47)+Inputs!$E$5*C47*(Inputs!$E$11*Inputs!$E$14*(G47*I47/Inputs!$E$16+(1-G47))*K47+Inputs!$E$23*M47)*(1+O47)+Inputs!$E$5*(Q47+S47)</f>
        <v>5948.97098603001</v>
      </c>
    </row>
    <row r="48" customFormat="false" ht="15" hidden="false" customHeight="false" outlineLevel="0" collapsed="false">
      <c r="A48" s="1" t="n">
        <v>44</v>
      </c>
      <c r="B48" s="81" t="n">
        <f aca="true">RAND()</f>
        <v>0.222528686965932</v>
      </c>
      <c r="C48" s="82" t="n">
        <f aca="false">ROUND(IF(B48&lt;(Inputs!$E$8-Inputs!$D$8)/(Inputs!$F$8-Inputs!$D$8),Inputs!$D$8+SQRT(B48*(Inputs!$F$8-Inputs!$D$8)*(Inputs!$E$8-Inputs!$D$8)),Inputs!$F$8-SQRT((1-B48)*(Inputs!$F$8-Inputs!$D$8)*(Inputs!$F$8-Inputs!$E$8))),0)</f>
        <v>23</v>
      </c>
      <c r="D48" s="81" t="n">
        <f aca="true">RAND()</f>
        <v>0.00523693507563811</v>
      </c>
      <c r="E48" s="83" t="n">
        <f aca="false">IF(D48&lt;(Inputs!$E$10-Inputs!$D$10)/(Inputs!$F$10-Inputs!$D$10),Inputs!$D$10+SQRT(D48*(Inputs!$F$10-Inputs!$D$10)*(Inputs!$E$10-Inputs!$D$10)),Inputs!$F$10-SQRT((1-D48)*(Inputs!$F$10-Inputs!$D$10)*(Inputs!$F$10-Inputs!$E$10)))</f>
        <v>0.00723666710277467</v>
      </c>
      <c r="F48" s="81" t="n">
        <f aca="true">RAND()</f>
        <v>0.620555194865663</v>
      </c>
      <c r="G48" s="83" t="n">
        <f aca="false">IF(F48&lt;(Inputs!$E$15-Inputs!$D$15)/(Inputs!$F$15-Inputs!$D$15),Inputs!$D$15+SQRT(F48*(Inputs!$F$15-Inputs!$D$15)*(Inputs!$E$15-Inputs!$D$15)),Inputs!$F$15-SQRT((1-F48)*(Inputs!$F$15-Inputs!$D$15)*(Inputs!$F$15-Inputs!$E$15)))</f>
        <v>0.712885729626618</v>
      </c>
      <c r="H48" s="81" t="n">
        <f aca="true">RAND()</f>
        <v>0.920115817358764</v>
      </c>
      <c r="I48" s="82" t="n">
        <f aca="false">ROUND(IF(H48&lt;(Inputs!$E$17-Inputs!$D$17)/(Inputs!$F$17-Inputs!$D$17),Inputs!$D$17+SQRT(H48*(Inputs!$F$17-Inputs!$D$17)*(Inputs!$E$17-Inputs!$D$17)),Inputs!$F$17-SQRT((1-H48)*(Inputs!$F$17-Inputs!$D$17)*(Inputs!$F$17-Inputs!$E$17))),0)</f>
        <v>112</v>
      </c>
      <c r="J48" s="81" t="n">
        <f aca="true">RAND()</f>
        <v>0.743318179436306</v>
      </c>
      <c r="K48" s="83" t="n">
        <f aca="false">IF(J48&lt;(Inputs!$E$18-Inputs!$D$18)/(Inputs!$F$18-Inputs!$D$18),Inputs!$D$18+SQRT(J48*(Inputs!$F$18-Inputs!$D$18)*(Inputs!$E$18-Inputs!$D$18)),Inputs!$F$18-SQRT((1-J48)*(Inputs!$F$18-Inputs!$D$18)*(Inputs!$F$18-Inputs!$E$18)))</f>
        <v>1.10013452932939</v>
      </c>
      <c r="L48" s="81" t="n">
        <f aca="true">RAND()</f>
        <v>0.0997993134342535</v>
      </c>
      <c r="M48" s="83" t="n">
        <f aca="false">IF(L48&lt;(Inputs!$E$24-Inputs!$D$24)/(Inputs!$F$24-Inputs!$D$24),Inputs!$D$24+SQRT(L48*(Inputs!$F$24-Inputs!$D$24)*(Inputs!$E$24-Inputs!$D$24)),Inputs!$F$24-SQRT((1-L48)*(Inputs!$F$24-Inputs!$D$24)*(Inputs!$F$24-Inputs!$E$24)))</f>
        <v>0.709434535737629</v>
      </c>
      <c r="N48" s="81" t="n">
        <f aca="true">RAND()</f>
        <v>0.688606224978818</v>
      </c>
      <c r="O48" s="83" t="n">
        <f aca="false">IF(N48&lt;(Inputs!$E$26-Inputs!$D$26)/(Inputs!$F$26-Inputs!$D$26),Inputs!$D$26+SQRT(N48*(Inputs!$F$26-Inputs!$D$26)*(Inputs!$E$26-Inputs!$D$26)),Inputs!$F$26-SQRT((1-N48)*(Inputs!$F$26-Inputs!$D$26)*(Inputs!$F$26-Inputs!$E$26)))</f>
        <v>0.640041803181397</v>
      </c>
      <c r="P48" s="81" t="n">
        <f aca="true">RAND()</f>
        <v>0.987915415851276</v>
      </c>
      <c r="Q48" s="82" t="n">
        <f aca="false">IF(P48&lt;(Inputs!$E$27-Inputs!$D$27)/(Inputs!$F$27-Inputs!$D$27),Inputs!$D$27+SQRT(P48*(Inputs!$F$27-Inputs!$D$27)*(Inputs!$E$27-Inputs!$D$27)),Inputs!$F$27-SQRT((1-P48)*(Inputs!$F$27-Inputs!$D$27)*(Inputs!$F$27-Inputs!$E$27)))</f>
        <v>140.479790910099</v>
      </c>
      <c r="R48" s="81" t="n">
        <f aca="true">RAND()</f>
        <v>0.816132933726059</v>
      </c>
      <c r="S48" s="82" t="n">
        <f aca="false">IF(R48&lt;(Inputs!$E$29-Inputs!$D$29)/(Inputs!$F$29-Inputs!$D$29),Inputs!$D$29+SQRT(R48*(Inputs!$F$29-Inputs!$D$29)*(Inputs!$E$29-Inputs!$D$29)),Inputs!$F$29-SQRT((1-R48)*(Inputs!$F$29-Inputs!$D$29)*(Inputs!$F$29-Inputs!$E$29)))</f>
        <v>10.1109593358602</v>
      </c>
      <c r="T48" s="68" t="n">
        <f aca="false">Inputs!$E$9*(1+E48)+Inputs!$E$5*C48*(Inputs!$E$11*Inputs!$E$14*(G48*I48/Inputs!$E$16+(1-G48))*K48+Inputs!$E$23*M48)*(1+O48)+Inputs!$E$5*(Q48+S48)</f>
        <v>6219.79913371461</v>
      </c>
    </row>
    <row r="49" customFormat="false" ht="15" hidden="false" customHeight="false" outlineLevel="0" collapsed="false">
      <c r="A49" s="1" t="n">
        <v>45</v>
      </c>
      <c r="B49" s="81" t="n">
        <f aca="true">RAND()</f>
        <v>0.234074895152246</v>
      </c>
      <c r="C49" s="82" t="n">
        <f aca="false">ROUND(IF(B49&lt;(Inputs!$E$8-Inputs!$D$8)/(Inputs!$F$8-Inputs!$D$8),Inputs!$D$8+SQRT(B49*(Inputs!$F$8-Inputs!$D$8)*(Inputs!$E$8-Inputs!$D$8)),Inputs!$F$8-SQRT((1-B49)*(Inputs!$F$8-Inputs!$D$8)*(Inputs!$F$8-Inputs!$E$8))),0)</f>
        <v>23</v>
      </c>
      <c r="D49" s="81" t="n">
        <f aca="true">RAND()</f>
        <v>0.336558116995922</v>
      </c>
      <c r="E49" s="83" t="n">
        <f aca="false">IF(D49&lt;(Inputs!$E$10-Inputs!$D$10)/(Inputs!$F$10-Inputs!$D$10),Inputs!$D$10+SQRT(D49*(Inputs!$F$10-Inputs!$D$10)*(Inputs!$E$10-Inputs!$D$10)),Inputs!$F$10-SQRT((1-D49)*(Inputs!$F$10-Inputs!$D$10)*(Inputs!$F$10-Inputs!$E$10)))</f>
        <v>0.0589210983522966</v>
      </c>
      <c r="F49" s="81" t="n">
        <f aca="true">RAND()</f>
        <v>0.217830331004177</v>
      </c>
      <c r="G49" s="83" t="n">
        <f aca="false">IF(F49&lt;(Inputs!$E$15-Inputs!$D$15)/(Inputs!$F$15-Inputs!$D$15),Inputs!$D$15+SQRT(F49*(Inputs!$F$15-Inputs!$D$15)*(Inputs!$E$15-Inputs!$D$15)),Inputs!$F$15-SQRT((1-F49)*(Inputs!$F$15-Inputs!$D$15)*(Inputs!$F$15-Inputs!$E$15)))</f>
        <v>0.666004595446708</v>
      </c>
      <c r="H49" s="81" t="n">
        <f aca="true">RAND()</f>
        <v>0.991075764575649</v>
      </c>
      <c r="I49" s="82" t="n">
        <f aca="false">ROUND(IF(H49&lt;(Inputs!$E$17-Inputs!$D$17)/(Inputs!$F$17-Inputs!$D$17),Inputs!$D$17+SQRT(H49*(Inputs!$F$17-Inputs!$D$17)*(Inputs!$E$17-Inputs!$D$17)),Inputs!$F$17-SQRT((1-H49)*(Inputs!$F$17-Inputs!$D$17)*(Inputs!$F$17-Inputs!$E$17))),0)</f>
        <v>114</v>
      </c>
      <c r="J49" s="81" t="n">
        <f aca="true">RAND()</f>
        <v>0.0459625124918814</v>
      </c>
      <c r="K49" s="83" t="n">
        <f aca="false">IF(J49&lt;(Inputs!$E$18-Inputs!$D$18)/(Inputs!$F$18-Inputs!$D$18),Inputs!$D$18+SQRT(J49*(Inputs!$F$18-Inputs!$D$18)*(Inputs!$E$18-Inputs!$D$18)),Inputs!$F$18-SQRT((1-J49)*(Inputs!$F$18-Inputs!$D$18)*(Inputs!$F$18-Inputs!$E$18)))</f>
        <v>0.940108452191725</v>
      </c>
      <c r="L49" s="81" t="n">
        <f aca="true">RAND()</f>
        <v>0.37099587897645</v>
      </c>
      <c r="M49" s="83" t="n">
        <f aca="false">IF(L49&lt;(Inputs!$E$24-Inputs!$D$24)/(Inputs!$F$24-Inputs!$D$24),Inputs!$D$24+SQRT(L49*(Inputs!$F$24-Inputs!$D$24)*(Inputs!$E$24-Inputs!$D$24)),Inputs!$F$24-SQRT((1-L49)*(Inputs!$F$24-Inputs!$D$24)*(Inputs!$F$24-Inputs!$E$24)))</f>
        <v>0.811463014571776</v>
      </c>
      <c r="N49" s="81" t="n">
        <f aca="true">RAND()</f>
        <v>0.0189678364773587</v>
      </c>
      <c r="O49" s="83" t="n">
        <f aca="false">IF(N49&lt;(Inputs!$E$26-Inputs!$D$26)/(Inputs!$F$26-Inputs!$D$26),Inputs!$D$26+SQRT(N49*(Inputs!$F$26-Inputs!$D$26)*(Inputs!$E$26-Inputs!$D$26)),Inputs!$F$26-SQRT((1-N49)*(Inputs!$F$26-Inputs!$D$26)*(Inputs!$F$26-Inputs!$E$26)))</f>
        <v>0.356180494745352</v>
      </c>
      <c r="P49" s="81" t="n">
        <f aca="true">RAND()</f>
        <v>0.690213401625763</v>
      </c>
      <c r="Q49" s="82" t="n">
        <f aca="false">IF(P49&lt;(Inputs!$E$27-Inputs!$D$27)/(Inputs!$F$27-Inputs!$D$27),Inputs!$D$27+SQRT(P49*(Inputs!$F$27-Inputs!$D$27)*(Inputs!$E$27-Inputs!$D$27)),Inputs!$F$27-SQRT((1-P49)*(Inputs!$F$27-Inputs!$D$27)*(Inputs!$F$27-Inputs!$E$27)))</f>
        <v>101.798345590563</v>
      </c>
      <c r="R49" s="81" t="n">
        <f aca="true">RAND()</f>
        <v>0.475094640696419</v>
      </c>
      <c r="S49" s="82" t="n">
        <f aca="false">IF(R49&lt;(Inputs!$E$29-Inputs!$D$29)/(Inputs!$F$29-Inputs!$D$29),Inputs!$D$29+SQRT(R49*(Inputs!$F$29-Inputs!$D$29)*(Inputs!$E$29-Inputs!$D$29)),Inputs!$F$29-SQRT((1-R49)*(Inputs!$F$29-Inputs!$D$29)*(Inputs!$F$29-Inputs!$E$29)))</f>
        <v>6.73938884164945</v>
      </c>
      <c r="T49" s="68" t="n">
        <f aca="false">Inputs!$E$9*(1+E49)+Inputs!$E$5*C49*(Inputs!$E$11*Inputs!$E$14*(G49*I49/Inputs!$E$16+(1-G49))*K49+Inputs!$E$23*M49)*(1+O49)+Inputs!$E$5*(Q49+S49)</f>
        <v>5455.78459791945</v>
      </c>
    </row>
    <row r="50" customFormat="false" ht="15" hidden="false" customHeight="false" outlineLevel="0" collapsed="false">
      <c r="A50" s="1" t="n">
        <v>46</v>
      </c>
      <c r="B50" s="81" t="n">
        <f aca="true">RAND()</f>
        <v>0.234134869036761</v>
      </c>
      <c r="C50" s="82" t="n">
        <f aca="false">ROUND(IF(B50&lt;(Inputs!$E$8-Inputs!$D$8)/(Inputs!$F$8-Inputs!$D$8),Inputs!$D$8+SQRT(B50*(Inputs!$F$8-Inputs!$D$8)*(Inputs!$E$8-Inputs!$D$8)),Inputs!$F$8-SQRT((1-B50)*(Inputs!$F$8-Inputs!$D$8)*(Inputs!$F$8-Inputs!$E$8))),0)</f>
        <v>23</v>
      </c>
      <c r="D50" s="81" t="n">
        <f aca="true">RAND()</f>
        <v>0.168832755051577</v>
      </c>
      <c r="E50" s="83" t="n">
        <f aca="false">IF(D50&lt;(Inputs!$E$10-Inputs!$D$10)/(Inputs!$F$10-Inputs!$D$10),Inputs!$D$10+SQRT(D50*(Inputs!$F$10-Inputs!$D$10)*(Inputs!$E$10-Inputs!$D$10)),Inputs!$F$10-SQRT((1-D50)*(Inputs!$F$10-Inputs!$D$10)*(Inputs!$F$10-Inputs!$E$10)))</f>
        <v>0.0410892632023959</v>
      </c>
      <c r="F50" s="81" t="n">
        <f aca="true">RAND()</f>
        <v>0.320185066798523</v>
      </c>
      <c r="G50" s="83" t="n">
        <f aca="false">IF(F50&lt;(Inputs!$E$15-Inputs!$D$15)/(Inputs!$F$15-Inputs!$D$15),Inputs!$D$15+SQRT(F50*(Inputs!$F$15-Inputs!$D$15)*(Inputs!$E$15-Inputs!$D$15)),Inputs!$F$15-SQRT((1-F50)*(Inputs!$F$15-Inputs!$D$15)*(Inputs!$F$15-Inputs!$E$15)))</f>
        <v>0.680023130006083</v>
      </c>
      <c r="H50" s="81" t="n">
        <f aca="true">RAND()</f>
        <v>0.93374553477031</v>
      </c>
      <c r="I50" s="82" t="n">
        <f aca="false">ROUND(IF(H50&lt;(Inputs!$E$17-Inputs!$D$17)/(Inputs!$F$17-Inputs!$D$17),Inputs!$D$17+SQRT(H50*(Inputs!$F$17-Inputs!$D$17)*(Inputs!$E$17-Inputs!$D$17)),Inputs!$F$17-SQRT((1-H50)*(Inputs!$F$17-Inputs!$D$17)*(Inputs!$F$17-Inputs!$E$17))),0)</f>
        <v>112</v>
      </c>
      <c r="J50" s="81" t="n">
        <f aca="true">RAND()</f>
        <v>0.197340737547295</v>
      </c>
      <c r="K50" s="83" t="n">
        <f aca="false">IF(J50&lt;(Inputs!$E$18-Inputs!$D$18)/(Inputs!$F$18-Inputs!$D$18),Inputs!$D$18+SQRT(J50*(Inputs!$F$18-Inputs!$D$18)*(Inputs!$E$18-Inputs!$D$18)),Inputs!$F$18-SQRT((1-J50)*(Inputs!$F$18-Inputs!$D$18)*(Inputs!$F$18-Inputs!$E$18)))</f>
        <v>0.983107916675581</v>
      </c>
      <c r="L50" s="81" t="n">
        <f aca="true">RAND()</f>
        <v>0.834530920716719</v>
      </c>
      <c r="M50" s="83" t="n">
        <f aca="false">IF(L50&lt;(Inputs!$E$24-Inputs!$D$24)/(Inputs!$F$24-Inputs!$D$24),Inputs!$D$24+SQRT(L50*(Inputs!$F$24-Inputs!$D$24)*(Inputs!$E$24-Inputs!$D$24)),Inputs!$F$24-SQRT((1-L50)*(Inputs!$F$24-Inputs!$D$24)*(Inputs!$F$24-Inputs!$E$24)))</f>
        <v>1.00071984788247</v>
      </c>
      <c r="N50" s="81" t="n">
        <f aca="true">RAND()</f>
        <v>0.631743869752395</v>
      </c>
      <c r="O50" s="83" t="n">
        <f aca="false">IF(N50&lt;(Inputs!$E$26-Inputs!$D$26)/(Inputs!$F$26-Inputs!$D$26),Inputs!$D$26+SQRT(N50*(Inputs!$F$26-Inputs!$D$26)*(Inputs!$E$26-Inputs!$D$26)),Inputs!$F$26-SQRT((1-N50)*(Inputs!$F$26-Inputs!$D$26)*(Inputs!$F$26-Inputs!$E$26)))</f>
        <v>0.624299623031148</v>
      </c>
      <c r="P50" s="81" t="n">
        <f aca="true">RAND()</f>
        <v>0.942331109614823</v>
      </c>
      <c r="Q50" s="82" t="n">
        <f aca="false">IF(P50&lt;(Inputs!$E$27-Inputs!$D$27)/(Inputs!$F$27-Inputs!$D$27),Inputs!$D$27+SQRT(P50*(Inputs!$F$27-Inputs!$D$27)*(Inputs!$E$27-Inputs!$D$27)),Inputs!$F$27-SQRT((1-P50)*(Inputs!$F$27-Inputs!$D$27)*(Inputs!$F$27-Inputs!$E$27)))</f>
        <v>129.202964685109</v>
      </c>
      <c r="R50" s="81" t="n">
        <f aca="true">RAND()</f>
        <v>0.276406457485048</v>
      </c>
      <c r="S50" s="82" t="n">
        <f aca="false">IF(R50&lt;(Inputs!$E$29-Inputs!$D$29)/(Inputs!$F$29-Inputs!$D$29),Inputs!$D$29+SQRT(R50*(Inputs!$F$29-Inputs!$D$29)*(Inputs!$E$29-Inputs!$D$29)),Inputs!$F$29-SQRT((1-R50)*(Inputs!$F$29-Inputs!$D$29)*(Inputs!$F$29-Inputs!$E$29)))</f>
        <v>5.30117736387845</v>
      </c>
      <c r="T50" s="68" t="n">
        <f aca="false">Inputs!$E$9*(1+E50)+Inputs!$E$5*C50*(Inputs!$E$11*Inputs!$E$14*(G50*I50/Inputs!$E$16+(1-G50))*K50+Inputs!$E$23*M50)*(1+O50)+Inputs!$E$5*(Q50+S50)</f>
        <v>6365.29488577078</v>
      </c>
    </row>
    <row r="51" customFormat="false" ht="15" hidden="false" customHeight="false" outlineLevel="0" collapsed="false">
      <c r="A51" s="1" t="n">
        <v>47</v>
      </c>
      <c r="B51" s="81" t="n">
        <f aca="true">RAND()</f>
        <v>0.318870969043516</v>
      </c>
      <c r="C51" s="82" t="n">
        <f aca="false">ROUND(IF(B51&lt;(Inputs!$E$8-Inputs!$D$8)/(Inputs!$F$8-Inputs!$D$8),Inputs!$D$8+SQRT(B51*(Inputs!$F$8-Inputs!$D$8)*(Inputs!$E$8-Inputs!$D$8)),Inputs!$F$8-SQRT((1-B51)*(Inputs!$F$8-Inputs!$D$8)*(Inputs!$F$8-Inputs!$E$8))),0)</f>
        <v>24</v>
      </c>
      <c r="D51" s="81" t="n">
        <f aca="true">RAND()</f>
        <v>0.755733694945097</v>
      </c>
      <c r="E51" s="83" t="n">
        <f aca="false">IF(D51&lt;(Inputs!$E$10-Inputs!$D$10)/(Inputs!$F$10-Inputs!$D$10),Inputs!$D$10+SQRT(D51*(Inputs!$F$10-Inputs!$D$10)*(Inputs!$E$10-Inputs!$D$10)),Inputs!$F$10-SQRT((1-D51)*(Inputs!$F$10-Inputs!$D$10)*(Inputs!$F$10-Inputs!$E$10)))</f>
        <v>0.114396325127673</v>
      </c>
      <c r="F51" s="81" t="n">
        <f aca="true">RAND()</f>
        <v>0.20563018345403</v>
      </c>
      <c r="G51" s="83" t="n">
        <f aca="false">IF(F51&lt;(Inputs!$E$15-Inputs!$D$15)/(Inputs!$F$15-Inputs!$D$15),Inputs!$D$15+SQRT(F51*(Inputs!$F$15-Inputs!$D$15)*(Inputs!$E$15-Inputs!$D$15)),Inputs!$F$15-SQRT((1-F51)*(Inputs!$F$15-Inputs!$D$15)*(Inputs!$F$15-Inputs!$E$15)))</f>
        <v>0.664129584975116</v>
      </c>
      <c r="H51" s="81" t="n">
        <f aca="true">RAND()</f>
        <v>0.965985283489638</v>
      </c>
      <c r="I51" s="82" t="n">
        <f aca="false">ROUND(IF(H51&lt;(Inputs!$E$17-Inputs!$D$17)/(Inputs!$F$17-Inputs!$D$17),Inputs!$D$17+SQRT(H51*(Inputs!$F$17-Inputs!$D$17)*(Inputs!$E$17-Inputs!$D$17)),Inputs!$F$17-SQRT((1-H51)*(Inputs!$F$17-Inputs!$D$17)*(Inputs!$F$17-Inputs!$E$17))),0)</f>
        <v>113</v>
      </c>
      <c r="J51" s="81" t="n">
        <f aca="true">RAND()</f>
        <v>0.452610480891517</v>
      </c>
      <c r="K51" s="83" t="n">
        <f aca="false">IF(J51&lt;(Inputs!$E$18-Inputs!$D$18)/(Inputs!$F$18-Inputs!$D$18),Inputs!$D$18+SQRT(J51*(Inputs!$F$18-Inputs!$D$18)*(Inputs!$E$18-Inputs!$D$18)),Inputs!$F$18-SQRT((1-J51)*(Inputs!$F$18-Inputs!$D$18)*(Inputs!$F$18-Inputs!$E$18)))</f>
        <v>1.0311471203708</v>
      </c>
      <c r="L51" s="81" t="n">
        <f aca="true">RAND()</f>
        <v>0.548145899752209</v>
      </c>
      <c r="M51" s="83" t="n">
        <f aca="false">IF(L51&lt;(Inputs!$E$24-Inputs!$D$24)/(Inputs!$F$24-Inputs!$D$24),Inputs!$D$24+SQRT(L51*(Inputs!$F$24-Inputs!$D$24)*(Inputs!$E$24-Inputs!$D$24)),Inputs!$F$24-SQRT((1-L51)*(Inputs!$F$24-Inputs!$D$24)*(Inputs!$F$24-Inputs!$E$24)))</f>
        <v>0.870690139747578</v>
      </c>
      <c r="N51" s="81" t="n">
        <f aca="true">RAND()</f>
        <v>0.282189265399942</v>
      </c>
      <c r="O51" s="83" t="n">
        <f aca="false">IF(N51&lt;(Inputs!$E$26-Inputs!$D$26)/(Inputs!$F$26-Inputs!$D$26),Inputs!$D$26+SQRT(N51*(Inputs!$F$26-Inputs!$D$26)*(Inputs!$E$26-Inputs!$D$26)),Inputs!$F$26-SQRT((1-N51)*(Inputs!$F$26-Inputs!$D$26)*(Inputs!$F$26-Inputs!$E$26)))</f>
        <v>0.516694009521607</v>
      </c>
      <c r="P51" s="81" t="n">
        <f aca="true">RAND()</f>
        <v>0.388682738026382</v>
      </c>
      <c r="Q51" s="82" t="n">
        <f aca="false">IF(P51&lt;(Inputs!$E$27-Inputs!$D$27)/(Inputs!$F$27-Inputs!$D$27),Inputs!$D$27+SQRT(P51*(Inputs!$F$27-Inputs!$D$27)*(Inputs!$E$27-Inputs!$D$27)),Inputs!$F$27-SQRT((1-P51)*(Inputs!$F$27-Inputs!$D$27)*(Inputs!$F$27-Inputs!$E$27)))</f>
        <v>82.2882619865497</v>
      </c>
      <c r="R51" s="81" t="n">
        <f aca="true">RAND()</f>
        <v>0.955540811606588</v>
      </c>
      <c r="S51" s="82" t="n">
        <f aca="false">IF(R51&lt;(Inputs!$E$29-Inputs!$D$29)/(Inputs!$F$29-Inputs!$D$29),Inputs!$D$29+SQRT(R51*(Inputs!$F$29-Inputs!$D$29)*(Inputs!$E$29-Inputs!$D$29)),Inputs!$F$29-SQRT((1-R51)*(Inputs!$F$29-Inputs!$D$29)*(Inputs!$F$29-Inputs!$E$29)))</f>
        <v>12.5959004822713</v>
      </c>
      <c r="T51" s="68" t="n">
        <f aca="false">Inputs!$E$9*(1+E51)+Inputs!$E$5*C51*(Inputs!$E$11*Inputs!$E$14*(G51*I51/Inputs!$E$16+(1-G51))*K51+Inputs!$E$23*M51)*(1+O51)+Inputs!$E$5*(Q51+S51)</f>
        <v>6199.49475573823</v>
      </c>
    </row>
    <row r="52" customFormat="false" ht="15" hidden="false" customHeight="false" outlineLevel="0" collapsed="false">
      <c r="A52" s="1" t="n">
        <v>48</v>
      </c>
      <c r="B52" s="81" t="n">
        <f aca="true">RAND()</f>
        <v>0.528242124313955</v>
      </c>
      <c r="C52" s="82" t="n">
        <f aca="false">ROUND(IF(B52&lt;(Inputs!$E$8-Inputs!$D$8)/(Inputs!$F$8-Inputs!$D$8),Inputs!$D$8+SQRT(B52*(Inputs!$F$8-Inputs!$D$8)*(Inputs!$E$8-Inputs!$D$8)),Inputs!$F$8-SQRT((1-B52)*(Inputs!$F$8-Inputs!$D$8)*(Inputs!$F$8-Inputs!$E$8))),0)</f>
        <v>25</v>
      </c>
      <c r="D52" s="81" t="n">
        <f aca="true">RAND()</f>
        <v>0.901452316581475</v>
      </c>
      <c r="E52" s="83" t="n">
        <f aca="false">IF(D52&lt;(Inputs!$E$10-Inputs!$D$10)/(Inputs!$F$10-Inputs!$D$10),Inputs!$D$10+SQRT(D52*(Inputs!$F$10-Inputs!$D$10)*(Inputs!$E$10-Inputs!$D$10)),Inputs!$F$10-SQRT((1-D52)*(Inputs!$F$10-Inputs!$D$10)*(Inputs!$F$10-Inputs!$E$10)))</f>
        <v>0.145626932194737</v>
      </c>
      <c r="F52" s="81" t="n">
        <f aca="true">RAND()</f>
        <v>0.00881484598396493</v>
      </c>
      <c r="G52" s="83" t="n">
        <f aca="false">IF(F52&lt;(Inputs!$E$15-Inputs!$D$15)/(Inputs!$F$15-Inputs!$D$15),Inputs!$D$15+SQRT(F52*(Inputs!$F$15-Inputs!$D$15)*(Inputs!$E$15-Inputs!$D$15)),Inputs!$F$15-SQRT((1-F52)*(Inputs!$F$15-Inputs!$D$15)*(Inputs!$F$15-Inputs!$E$15)))</f>
        <v>0.613277685027116</v>
      </c>
      <c r="H52" s="81" t="n">
        <f aca="true">RAND()</f>
        <v>0.0715737571613497</v>
      </c>
      <c r="I52" s="82" t="n">
        <f aca="false">ROUND(IF(H52&lt;(Inputs!$E$17-Inputs!$D$17)/(Inputs!$F$17-Inputs!$D$17),Inputs!$D$17+SQRT(H52*(Inputs!$F$17-Inputs!$D$17)*(Inputs!$E$17-Inputs!$D$17)),Inputs!$F$17-SQRT((1-H52)*(Inputs!$F$17-Inputs!$D$17)*(Inputs!$F$17-Inputs!$E$17))),0)</f>
        <v>102</v>
      </c>
      <c r="J52" s="81" t="n">
        <f aca="true">RAND()</f>
        <v>0.0777369817864102</v>
      </c>
      <c r="K52" s="83" t="n">
        <f aca="false">IF(J52&lt;(Inputs!$E$18-Inputs!$D$18)/(Inputs!$F$18-Inputs!$D$18),Inputs!$D$18+SQRT(J52*(Inputs!$F$18-Inputs!$D$18)*(Inputs!$E$18-Inputs!$D$18)),Inputs!$F$18-SQRT((1-J52)*(Inputs!$F$18-Inputs!$D$18)*(Inputs!$F$18-Inputs!$E$18)))</f>
        <v>0.952161234288736</v>
      </c>
      <c r="L52" s="81" t="n">
        <f aca="true">RAND()</f>
        <v>0.462025855347624</v>
      </c>
      <c r="M52" s="83" t="n">
        <f aca="false">IF(L52&lt;(Inputs!$E$24-Inputs!$D$24)/(Inputs!$F$24-Inputs!$D$24),Inputs!$D$24+SQRT(L52*(Inputs!$F$24-Inputs!$D$24)*(Inputs!$E$24-Inputs!$D$24)),Inputs!$F$24-SQRT((1-L52)*(Inputs!$F$24-Inputs!$D$24)*(Inputs!$F$24-Inputs!$E$24)))</f>
        <v>0.840675919653901</v>
      </c>
      <c r="N52" s="81" t="n">
        <f aca="true">RAND()</f>
        <v>0.692879901010363</v>
      </c>
      <c r="O52" s="83" t="n">
        <f aca="false">IF(N52&lt;(Inputs!$E$26-Inputs!$D$26)/(Inputs!$F$26-Inputs!$D$26),Inputs!$D$26+SQRT(N52*(Inputs!$F$26-Inputs!$D$26)*(Inputs!$E$26-Inputs!$D$26)),Inputs!$F$26-SQRT((1-N52)*(Inputs!$F$26-Inputs!$D$26)*(Inputs!$F$26-Inputs!$E$26)))</f>
        <v>0.6412809738866</v>
      </c>
      <c r="P52" s="81" t="n">
        <f aca="true">RAND()</f>
        <v>0.402227659888494</v>
      </c>
      <c r="Q52" s="82" t="n">
        <f aca="false">IF(P52&lt;(Inputs!$E$27-Inputs!$D$27)/(Inputs!$F$27-Inputs!$D$27),Inputs!$D$27+SQRT(P52*(Inputs!$F$27-Inputs!$D$27)*(Inputs!$E$27-Inputs!$D$27)),Inputs!$F$27-SQRT((1-P52)*(Inputs!$F$27-Inputs!$D$27)*(Inputs!$F$27-Inputs!$E$27)))</f>
        <v>83.042606451294</v>
      </c>
      <c r="R52" s="81" t="n">
        <f aca="true">RAND()</f>
        <v>0.58433138128212</v>
      </c>
      <c r="S52" s="82" t="n">
        <f aca="false">IF(R52&lt;(Inputs!$E$29-Inputs!$D$29)/(Inputs!$F$29-Inputs!$D$29),Inputs!$D$29+SQRT(R52*(Inputs!$F$29-Inputs!$D$29)*(Inputs!$E$29-Inputs!$D$29)),Inputs!$F$29-SQRT((1-R52)*(Inputs!$F$29-Inputs!$D$29)*(Inputs!$F$29-Inputs!$E$29)))</f>
        <v>7.64901908359677</v>
      </c>
      <c r="T52" s="68" t="n">
        <f aca="false">Inputs!$E$9*(1+E52)+Inputs!$E$5*C52*(Inputs!$E$11*Inputs!$E$14*(G52*I52/Inputs!$E$16+(1-G52))*K52+Inputs!$E$23*M52)*(1+O52)+Inputs!$E$5*(Q52+S52)</f>
        <v>6384.56821454624</v>
      </c>
    </row>
    <row r="53" customFormat="false" ht="15" hidden="false" customHeight="false" outlineLevel="0" collapsed="false">
      <c r="A53" s="1" t="n">
        <v>49</v>
      </c>
      <c r="B53" s="81" t="n">
        <f aca="true">RAND()</f>
        <v>0.106303061579257</v>
      </c>
      <c r="C53" s="82" t="n">
        <f aca="false">ROUND(IF(B53&lt;(Inputs!$E$8-Inputs!$D$8)/(Inputs!$F$8-Inputs!$D$8),Inputs!$D$8+SQRT(B53*(Inputs!$F$8-Inputs!$D$8)*(Inputs!$E$8-Inputs!$D$8)),Inputs!$F$8-SQRT((1-B53)*(Inputs!$F$8-Inputs!$D$8)*(Inputs!$F$8-Inputs!$E$8))),0)</f>
        <v>22</v>
      </c>
      <c r="D53" s="81" t="n">
        <f aca="true">RAND()</f>
        <v>0.94280660517856</v>
      </c>
      <c r="E53" s="83" t="n">
        <f aca="false">IF(D53&lt;(Inputs!$E$10-Inputs!$D$10)/(Inputs!$F$10-Inputs!$D$10),Inputs!$D$10+SQRT(D53*(Inputs!$F$10-Inputs!$D$10)*(Inputs!$E$10-Inputs!$D$10)),Inputs!$F$10-SQRT((1-D53)*(Inputs!$F$10-Inputs!$D$10)*(Inputs!$F$10-Inputs!$E$10)))</f>
        <v>0.15857776147233</v>
      </c>
      <c r="F53" s="81" t="n">
        <f aca="true">RAND()</f>
        <v>0.379312685780118</v>
      </c>
      <c r="G53" s="83" t="n">
        <f aca="false">IF(F53&lt;(Inputs!$E$15-Inputs!$D$15)/(Inputs!$F$15-Inputs!$D$15),Inputs!$D$15+SQRT(F53*(Inputs!$F$15-Inputs!$D$15)*(Inputs!$E$15-Inputs!$D$15)),Inputs!$F$15-SQRT((1-F53)*(Inputs!$F$15-Inputs!$D$15)*(Inputs!$F$15-Inputs!$E$15)))</f>
        <v>0.687099102840399</v>
      </c>
      <c r="H53" s="81" t="n">
        <f aca="true">RAND()</f>
        <v>0.691569717489882</v>
      </c>
      <c r="I53" s="82" t="n">
        <f aca="false">ROUND(IF(H53&lt;(Inputs!$E$17-Inputs!$D$17)/(Inputs!$F$17-Inputs!$D$17),Inputs!$D$17+SQRT(H53*(Inputs!$F$17-Inputs!$D$17)*(Inputs!$E$17-Inputs!$D$17)),Inputs!$F$17-SQRT((1-H53)*(Inputs!$F$17-Inputs!$D$17)*(Inputs!$F$17-Inputs!$E$17))),0)</f>
        <v>108</v>
      </c>
      <c r="J53" s="81" t="n">
        <f aca="true">RAND()</f>
        <v>0.90036742895143</v>
      </c>
      <c r="K53" s="83" t="n">
        <f aca="false">IF(J53&lt;(Inputs!$E$18-Inputs!$D$18)/(Inputs!$F$18-Inputs!$D$18),Inputs!$D$18+SQRT(J53*(Inputs!$F$18-Inputs!$D$18)*(Inputs!$E$18-Inputs!$D$18)),Inputs!$F$18-SQRT((1-J53)*(Inputs!$F$18-Inputs!$D$18)*(Inputs!$F$18-Inputs!$E$18)))</f>
        <v>1.15663057263349</v>
      </c>
      <c r="L53" s="81" t="n">
        <f aca="true">RAND()</f>
        <v>0.954610152926915</v>
      </c>
      <c r="M53" s="83" t="n">
        <f aca="false">IF(L53&lt;(Inputs!$E$24-Inputs!$D$24)/(Inputs!$F$24-Inputs!$D$24),Inputs!$D$24+SQRT(L53*(Inputs!$F$24-Inputs!$D$24)*(Inputs!$E$24-Inputs!$D$24)),Inputs!$F$24-SQRT((1-L53)*(Inputs!$F$24-Inputs!$D$24)*(Inputs!$F$24-Inputs!$E$24)))</f>
        <v>1.09562776567717</v>
      </c>
      <c r="N53" s="81" t="n">
        <f aca="true">RAND()</f>
        <v>0.42659818365274</v>
      </c>
      <c r="O53" s="83" t="n">
        <f aca="false">IF(N53&lt;(Inputs!$E$26-Inputs!$D$26)/(Inputs!$F$26-Inputs!$D$26),Inputs!$D$26+SQRT(N53*(Inputs!$F$26-Inputs!$D$26)*(Inputs!$E$26-Inputs!$D$26)),Inputs!$F$26-SQRT((1-N53)*(Inputs!$F$26-Inputs!$D$26)*(Inputs!$F$26-Inputs!$E$26)))</f>
        <v>0.566431863259288</v>
      </c>
      <c r="P53" s="81" t="n">
        <f aca="true">RAND()</f>
        <v>0.736336124664176</v>
      </c>
      <c r="Q53" s="82" t="n">
        <f aca="false">IF(P53&lt;(Inputs!$E$27-Inputs!$D$27)/(Inputs!$F$27-Inputs!$D$27),Inputs!$D$27+SQRT(P53*(Inputs!$F$27-Inputs!$D$27)*(Inputs!$E$27-Inputs!$D$27)),Inputs!$F$27-SQRT((1-P53)*(Inputs!$F$27-Inputs!$D$27)*(Inputs!$F$27-Inputs!$E$27)))</f>
        <v>105.531144999914</v>
      </c>
      <c r="R53" s="81" t="n">
        <f aca="true">RAND()</f>
        <v>0.758989425528927</v>
      </c>
      <c r="S53" s="82" t="n">
        <f aca="false">IF(R53&lt;(Inputs!$E$29-Inputs!$D$29)/(Inputs!$F$29-Inputs!$D$29),Inputs!$D$29+SQRT(R53*(Inputs!$F$29-Inputs!$D$29)*(Inputs!$E$29-Inputs!$D$29)),Inputs!$F$29-SQRT((1-R53)*(Inputs!$F$29-Inputs!$D$29)*(Inputs!$F$29-Inputs!$E$29)))</f>
        <v>9.40255641553758</v>
      </c>
      <c r="T53" s="68" t="n">
        <f aca="false">Inputs!$E$9*(1+E53)+Inputs!$E$5*C53*(Inputs!$E$11*Inputs!$E$14*(G53*I53/Inputs!$E$16+(1-G53))*K53+Inputs!$E$23*M53)*(1+O53)+Inputs!$E$5*(Q53+S53)</f>
        <v>6661.42318101314</v>
      </c>
    </row>
    <row r="54" customFormat="false" ht="15" hidden="false" customHeight="false" outlineLevel="0" collapsed="false">
      <c r="A54" s="1" t="n">
        <v>50</v>
      </c>
      <c r="B54" s="81" t="n">
        <f aca="true">RAND()</f>
        <v>0.992033282913726</v>
      </c>
      <c r="C54" s="82" t="n">
        <f aca="false">ROUND(IF(B54&lt;(Inputs!$E$8-Inputs!$D$8)/(Inputs!$F$8-Inputs!$D$8),Inputs!$D$8+SQRT(B54*(Inputs!$F$8-Inputs!$D$8)*(Inputs!$E$8-Inputs!$D$8)),Inputs!$F$8-SQRT((1-B54)*(Inputs!$F$8-Inputs!$D$8)*(Inputs!$F$8-Inputs!$E$8))),0)</f>
        <v>29</v>
      </c>
      <c r="D54" s="81" t="n">
        <f aca="true">RAND()</f>
        <v>0.561630477389626</v>
      </c>
      <c r="E54" s="83" t="n">
        <f aca="false">IF(D54&lt;(Inputs!$E$10-Inputs!$D$10)/(Inputs!$F$10-Inputs!$D$10),Inputs!$D$10+SQRT(D54*(Inputs!$F$10-Inputs!$D$10)*(Inputs!$E$10-Inputs!$D$10)),Inputs!$F$10-SQRT((1-D54)*(Inputs!$F$10-Inputs!$D$10)*(Inputs!$F$10-Inputs!$E$10)))</f>
        <v>0.0853218169035137</v>
      </c>
      <c r="F54" s="81" t="n">
        <f aca="true">RAND()</f>
        <v>0.474269599099113</v>
      </c>
      <c r="G54" s="83" t="n">
        <f aca="false">IF(F54&lt;(Inputs!$E$15-Inputs!$D$15)/(Inputs!$F$15-Inputs!$D$15),Inputs!$D$15+SQRT(F54*(Inputs!$F$15-Inputs!$D$15)*(Inputs!$E$15-Inputs!$D$15)),Inputs!$F$15-SQRT((1-F54)*(Inputs!$F$15-Inputs!$D$15)*(Inputs!$F$15-Inputs!$E$15)))</f>
        <v>0.697392977067047</v>
      </c>
      <c r="H54" s="81" t="n">
        <f aca="true">RAND()</f>
        <v>0.255495876114446</v>
      </c>
      <c r="I54" s="82" t="n">
        <f aca="false">ROUND(IF(H54&lt;(Inputs!$E$17-Inputs!$D$17)/(Inputs!$F$17-Inputs!$D$17),Inputs!$D$17+SQRT(H54*(Inputs!$F$17-Inputs!$D$17)*(Inputs!$E$17-Inputs!$D$17)),Inputs!$F$17-SQRT((1-H54)*(Inputs!$F$17-Inputs!$D$17)*(Inputs!$F$17-Inputs!$E$17))),0)</f>
        <v>104</v>
      </c>
      <c r="J54" s="81" t="n">
        <f aca="true">RAND()</f>
        <v>0.602802517045789</v>
      </c>
      <c r="K54" s="83" t="n">
        <f aca="false">IF(J54&lt;(Inputs!$E$18-Inputs!$D$18)/(Inputs!$F$18-Inputs!$D$18),Inputs!$D$18+SQRT(J54*(Inputs!$F$18-Inputs!$D$18)*(Inputs!$E$18-Inputs!$D$18)),Inputs!$F$18-SQRT((1-J54)*(Inputs!$F$18-Inputs!$D$18)*(Inputs!$F$18-Inputs!$E$18)))</f>
        <v>1.06357366130696</v>
      </c>
      <c r="L54" s="81" t="n">
        <f aca="true">RAND()</f>
        <v>0.555771667778997</v>
      </c>
      <c r="M54" s="83" t="n">
        <f aca="false">IF(L54&lt;(Inputs!$E$24-Inputs!$D$24)/(Inputs!$F$24-Inputs!$D$24),Inputs!$D$24+SQRT(L54*(Inputs!$F$24-Inputs!$D$24)*(Inputs!$E$24-Inputs!$D$24)),Inputs!$F$24-SQRT((1-L54)*(Inputs!$F$24-Inputs!$D$24)*(Inputs!$F$24-Inputs!$E$24)))</f>
        <v>0.873480781985132</v>
      </c>
      <c r="N54" s="81" t="n">
        <f aca="true">RAND()</f>
        <v>0.609567342493759</v>
      </c>
      <c r="O54" s="83" t="n">
        <f aca="false">IF(N54&lt;(Inputs!$E$26-Inputs!$D$26)/(Inputs!$F$26-Inputs!$D$26),Inputs!$D$26+SQRT(N54*(Inputs!$F$26-Inputs!$D$26)*(Inputs!$E$26-Inputs!$D$26)),Inputs!$F$26-SQRT((1-N54)*(Inputs!$F$26-Inputs!$D$26)*(Inputs!$F$26-Inputs!$E$26)))</f>
        <v>0.618483917633154</v>
      </c>
      <c r="P54" s="81" t="n">
        <f aca="true">RAND()</f>
        <v>0.214862342857681</v>
      </c>
      <c r="Q54" s="82" t="n">
        <f aca="false">IF(P54&lt;(Inputs!$E$27-Inputs!$D$27)/(Inputs!$F$27-Inputs!$D$27),Inputs!$D$27+SQRT(P54*(Inputs!$F$27-Inputs!$D$27)*(Inputs!$E$27-Inputs!$D$27)),Inputs!$F$27-SQRT((1-P54)*(Inputs!$F$27-Inputs!$D$27)*(Inputs!$F$27-Inputs!$E$27)))</f>
        <v>73.1766230746458</v>
      </c>
      <c r="R54" s="81" t="n">
        <f aca="true">RAND()</f>
        <v>0.883327206269665</v>
      </c>
      <c r="S54" s="82" t="n">
        <f aca="false">IF(R54&lt;(Inputs!$E$29-Inputs!$D$29)/(Inputs!$F$29-Inputs!$D$29),Inputs!$D$29+SQRT(R54*(Inputs!$F$29-Inputs!$D$29)*(Inputs!$E$29-Inputs!$D$29)),Inputs!$F$29-SQRT((1-R54)*(Inputs!$F$29-Inputs!$D$29)*(Inputs!$F$29-Inputs!$E$29)))</f>
        <v>11.1054572559871</v>
      </c>
      <c r="T54" s="68" t="n">
        <f aca="false">Inputs!$E$9*(1+E54)+Inputs!$E$5*C54*(Inputs!$E$11*Inputs!$E$14*(G54*I54/Inputs!$E$16+(1-G54))*K54+Inputs!$E$23*M54)*(1+O54)+Inputs!$E$5*(Q54+S54)</f>
        <v>6941.31913317538</v>
      </c>
    </row>
    <row r="55" customFormat="false" ht="15" hidden="false" customHeight="false" outlineLevel="0" collapsed="false">
      <c r="A55" s="1" t="n">
        <v>51</v>
      </c>
      <c r="B55" s="81" t="n">
        <f aca="true">RAND()</f>
        <v>0.413534364264176</v>
      </c>
      <c r="C55" s="82" t="n">
        <f aca="false">ROUND(IF(B55&lt;(Inputs!$E$8-Inputs!$D$8)/(Inputs!$F$8-Inputs!$D$8),Inputs!$D$8+SQRT(B55*(Inputs!$F$8-Inputs!$D$8)*(Inputs!$E$8-Inputs!$D$8)),Inputs!$F$8-SQRT((1-B55)*(Inputs!$F$8-Inputs!$D$8)*(Inputs!$F$8-Inputs!$E$8))),0)</f>
        <v>25</v>
      </c>
      <c r="D55" s="81" t="n">
        <f aca="true">RAND()</f>
        <v>0.934781440548464</v>
      </c>
      <c r="E55" s="83" t="n">
        <f aca="false">IF(D55&lt;(Inputs!$E$10-Inputs!$D$10)/(Inputs!$F$10-Inputs!$D$10),Inputs!$D$10+SQRT(D55*(Inputs!$F$10-Inputs!$D$10)*(Inputs!$E$10-Inputs!$D$10)),Inputs!$F$10-SQRT((1-D55)*(Inputs!$F$10-Inputs!$D$10)*(Inputs!$F$10-Inputs!$E$10)))</f>
        <v>0.15576701701732</v>
      </c>
      <c r="F55" s="81" t="n">
        <f aca="true">RAND()</f>
        <v>0.263697149889859</v>
      </c>
      <c r="G55" s="83" t="n">
        <f aca="false">IF(F55&lt;(Inputs!$E$15-Inputs!$D$15)/(Inputs!$F$15-Inputs!$D$15),Inputs!$D$15+SQRT(F55*(Inputs!$F$15-Inputs!$D$15)*(Inputs!$E$15-Inputs!$D$15)),Inputs!$F$15-SQRT((1-F55)*(Inputs!$F$15-Inputs!$D$15)*(Inputs!$F$15-Inputs!$E$15)))</f>
        <v>0.672621918163852</v>
      </c>
      <c r="H55" s="81" t="n">
        <f aca="true">RAND()</f>
        <v>0.368565719577846</v>
      </c>
      <c r="I55" s="82" t="n">
        <f aca="false">ROUND(IF(H55&lt;(Inputs!$E$17-Inputs!$D$17)/(Inputs!$F$17-Inputs!$D$17),Inputs!$D$17+SQRT(H55*(Inputs!$F$17-Inputs!$D$17)*(Inputs!$E$17-Inputs!$D$17)),Inputs!$F$17-SQRT((1-H55)*(Inputs!$F$17-Inputs!$D$17)*(Inputs!$F$17-Inputs!$E$17))),0)</f>
        <v>105</v>
      </c>
      <c r="J55" s="81" t="n">
        <f aca="true">RAND()</f>
        <v>0.504230926590189</v>
      </c>
      <c r="K55" s="83" t="n">
        <f aca="false">IF(J55&lt;(Inputs!$E$18-Inputs!$D$18)/(Inputs!$F$18-Inputs!$D$18),Inputs!$D$18+SQRT(J55*(Inputs!$F$18-Inputs!$D$18)*(Inputs!$E$18-Inputs!$D$18)),Inputs!$F$18-SQRT((1-J55)*(Inputs!$F$18-Inputs!$D$18)*(Inputs!$F$18-Inputs!$E$18)))</f>
        <v>1.04172183522184</v>
      </c>
      <c r="L55" s="81" t="n">
        <f aca="true">RAND()</f>
        <v>0.986318911571624</v>
      </c>
      <c r="M55" s="83" t="n">
        <f aca="false">IF(L55&lt;(Inputs!$E$24-Inputs!$D$24)/(Inputs!$F$24-Inputs!$D$24),Inputs!$D$24+SQRT(L55*(Inputs!$F$24-Inputs!$D$24)*(Inputs!$E$24-Inputs!$D$24)),Inputs!$F$24-SQRT((1-L55)*(Inputs!$F$24-Inputs!$D$24)*(Inputs!$F$24-Inputs!$E$24)))</f>
        <v>1.14269850592864</v>
      </c>
      <c r="N55" s="81" t="n">
        <f aca="true">RAND()</f>
        <v>0.879931807717434</v>
      </c>
      <c r="O55" s="83" t="n">
        <f aca="false">IF(N55&lt;(Inputs!$E$26-Inputs!$D$26)/(Inputs!$F$26-Inputs!$D$26),Inputs!$D$26+SQRT(N55*(Inputs!$F$26-Inputs!$D$26)*(Inputs!$E$26-Inputs!$D$26)),Inputs!$F$26-SQRT((1-N55)*(Inputs!$F$26-Inputs!$D$26)*(Inputs!$F$26-Inputs!$E$26)))</f>
        <v>0.708254342377939</v>
      </c>
      <c r="P55" s="81" t="n">
        <f aca="true">RAND()</f>
        <v>0.651790363831624</v>
      </c>
      <c r="Q55" s="82" t="n">
        <f aca="false">IF(P55&lt;(Inputs!$E$27-Inputs!$D$27)/(Inputs!$F$27-Inputs!$D$27),Inputs!$D$27+SQRT(P55*(Inputs!$F$27-Inputs!$D$27)*(Inputs!$E$27-Inputs!$D$27)),Inputs!$F$27-SQRT((1-P55)*(Inputs!$F$27-Inputs!$D$27)*(Inputs!$F$27-Inputs!$E$27)))</f>
        <v>98.8964553943386</v>
      </c>
      <c r="R55" s="81" t="n">
        <f aca="true">RAND()</f>
        <v>0.0894024078532968</v>
      </c>
      <c r="S55" s="82" t="n">
        <f aca="false">IF(R55&lt;(Inputs!$E$29-Inputs!$D$29)/(Inputs!$F$29-Inputs!$D$29),Inputs!$D$29+SQRT(R55*(Inputs!$F$29-Inputs!$D$29)*(Inputs!$E$29-Inputs!$D$29)),Inputs!$F$29-SQRT((1-R55)*(Inputs!$F$29-Inputs!$D$29)*(Inputs!$F$29-Inputs!$E$29)))</f>
        <v>3.86726910387297</v>
      </c>
      <c r="T55" s="68" t="n">
        <f aca="false">Inputs!$E$9*(1+E55)+Inputs!$E$5*C55*(Inputs!$E$11*Inputs!$E$14*(G55*I55/Inputs!$E$16+(1-G55))*K55+Inputs!$E$23*M55)*(1+O55)+Inputs!$E$5*(Q55+S55)</f>
        <v>7225.91852442448</v>
      </c>
    </row>
    <row r="56" customFormat="false" ht="15" hidden="false" customHeight="false" outlineLevel="0" collapsed="false">
      <c r="A56" s="1" t="n">
        <v>52</v>
      </c>
      <c r="B56" s="81" t="n">
        <f aca="true">RAND()</f>
        <v>0.448772803482226</v>
      </c>
      <c r="C56" s="82" t="n">
        <f aca="false">ROUND(IF(B56&lt;(Inputs!$E$8-Inputs!$D$8)/(Inputs!$F$8-Inputs!$D$8),Inputs!$D$8+SQRT(B56*(Inputs!$F$8-Inputs!$D$8)*(Inputs!$E$8-Inputs!$D$8)),Inputs!$F$8-SQRT((1-B56)*(Inputs!$F$8-Inputs!$D$8)*(Inputs!$F$8-Inputs!$E$8))),0)</f>
        <v>25</v>
      </c>
      <c r="D56" s="81" t="n">
        <f aca="true">RAND()</f>
        <v>0.0136719475317357</v>
      </c>
      <c r="E56" s="83" t="n">
        <f aca="false">IF(D56&lt;(Inputs!$E$10-Inputs!$D$10)/(Inputs!$F$10-Inputs!$D$10),Inputs!$D$10+SQRT(D56*(Inputs!$F$10-Inputs!$D$10)*(Inputs!$E$10-Inputs!$D$10)),Inputs!$F$10-SQRT((1-D56)*(Inputs!$F$10-Inputs!$D$10)*(Inputs!$F$10-Inputs!$E$10)))</f>
        <v>0.0116927103495023</v>
      </c>
      <c r="F56" s="81" t="n">
        <f aca="true">RAND()</f>
        <v>0.552083967263119</v>
      </c>
      <c r="G56" s="83" t="n">
        <f aca="false">IF(F56&lt;(Inputs!$E$15-Inputs!$D$15)/(Inputs!$F$15-Inputs!$D$15),Inputs!$D$15+SQRT(F56*(Inputs!$F$15-Inputs!$D$15)*(Inputs!$E$15-Inputs!$D$15)),Inputs!$F$15-SQRT((1-F56)*(Inputs!$F$15-Inputs!$D$15)*(Inputs!$F$15-Inputs!$E$15)))</f>
        <v>0.705351594547306</v>
      </c>
      <c r="H56" s="81" t="n">
        <f aca="true">RAND()</f>
        <v>0.33840392093988</v>
      </c>
      <c r="I56" s="82" t="n">
        <f aca="false">ROUND(IF(H56&lt;(Inputs!$E$17-Inputs!$D$17)/(Inputs!$F$17-Inputs!$D$17),Inputs!$D$17+SQRT(H56*(Inputs!$F$17-Inputs!$D$17)*(Inputs!$E$17-Inputs!$D$17)),Inputs!$F$17-SQRT((1-H56)*(Inputs!$F$17-Inputs!$D$17)*(Inputs!$F$17-Inputs!$E$17))),0)</f>
        <v>105</v>
      </c>
      <c r="J56" s="81" t="n">
        <f aca="true">RAND()</f>
        <v>0.817392897161423</v>
      </c>
      <c r="K56" s="83" t="n">
        <f aca="false">IF(J56&lt;(Inputs!$E$18-Inputs!$D$18)/(Inputs!$F$18-Inputs!$D$18),Inputs!$D$18+SQRT(J56*(Inputs!$F$18-Inputs!$D$18)*(Inputs!$E$18-Inputs!$D$18)),Inputs!$F$18-SQRT((1-J56)*(Inputs!$F$18-Inputs!$D$18)*(Inputs!$F$18-Inputs!$E$18)))</f>
        <v>1.12359540554879</v>
      </c>
      <c r="L56" s="81" t="n">
        <f aca="true">RAND()</f>
        <v>0.544885012739759</v>
      </c>
      <c r="M56" s="83" t="n">
        <f aca="false">IF(L56&lt;(Inputs!$E$24-Inputs!$D$24)/(Inputs!$F$24-Inputs!$D$24),Inputs!$D$24+SQRT(L56*(Inputs!$F$24-Inputs!$D$24)*(Inputs!$E$24-Inputs!$D$24)),Inputs!$F$24-SQRT((1-L56)*(Inputs!$F$24-Inputs!$D$24)*(Inputs!$F$24-Inputs!$E$24)))</f>
        <v>0.869504013727159</v>
      </c>
      <c r="N56" s="81" t="n">
        <f aca="true">RAND()</f>
        <v>0.875595209861688</v>
      </c>
      <c r="O56" s="83" t="n">
        <f aca="false">IF(N56&lt;(Inputs!$E$26-Inputs!$D$26)/(Inputs!$F$26-Inputs!$D$26),Inputs!$D$26+SQRT(N56*(Inputs!$F$26-Inputs!$D$26)*(Inputs!$E$26-Inputs!$D$26)),Inputs!$F$26-SQRT((1-N56)*(Inputs!$F$26-Inputs!$D$26)*(Inputs!$F$26-Inputs!$E$26)))</f>
        <v>0.706254238872895</v>
      </c>
      <c r="P56" s="81" t="n">
        <f aca="true">RAND()</f>
        <v>0.978492545646752</v>
      </c>
      <c r="Q56" s="82" t="n">
        <f aca="false">IF(P56&lt;(Inputs!$E$27-Inputs!$D$27)/(Inputs!$F$27-Inputs!$D$27),Inputs!$D$27+SQRT(P56*(Inputs!$F$27-Inputs!$D$27)*(Inputs!$E$27-Inputs!$D$27)),Inputs!$F$27-SQRT((1-P56)*(Inputs!$F$27-Inputs!$D$27)*(Inputs!$F$27-Inputs!$E$27)))</f>
        <v>137.299373730034</v>
      </c>
      <c r="R56" s="81" t="n">
        <f aca="true">RAND()</f>
        <v>0.827424437008518</v>
      </c>
      <c r="S56" s="82" t="n">
        <f aca="false">IF(R56&lt;(Inputs!$E$29-Inputs!$D$29)/(Inputs!$F$29-Inputs!$D$29),Inputs!$D$29+SQRT(R56*(Inputs!$F$29-Inputs!$D$29)*(Inputs!$E$29-Inputs!$D$29)),Inputs!$F$29-SQRT((1-R56)*(Inputs!$F$29-Inputs!$D$29)*(Inputs!$F$29-Inputs!$E$29)))</f>
        <v>10.2634587314273</v>
      </c>
      <c r="T56" s="68" t="n">
        <f aca="false">Inputs!$E$9*(1+E56)+Inputs!$E$5*C56*(Inputs!$E$11*Inputs!$E$14*(G56*I56/Inputs!$E$16+(1-G56))*K56+Inputs!$E$23*M56)*(1+O56)+Inputs!$E$5*(Q56+S56)</f>
        <v>6851.09282440258</v>
      </c>
    </row>
    <row r="57" customFormat="false" ht="15" hidden="false" customHeight="false" outlineLevel="0" collapsed="false">
      <c r="A57" s="1" t="n">
        <v>53</v>
      </c>
      <c r="B57" s="81" t="n">
        <f aca="true">RAND()</f>
        <v>0.811342234610336</v>
      </c>
      <c r="C57" s="82" t="n">
        <f aca="false">ROUND(IF(B57&lt;(Inputs!$E$8-Inputs!$D$8)/(Inputs!$F$8-Inputs!$D$8),Inputs!$D$8+SQRT(B57*(Inputs!$F$8-Inputs!$D$8)*(Inputs!$E$8-Inputs!$D$8)),Inputs!$F$8-SQRT((1-B57)*(Inputs!$F$8-Inputs!$D$8)*(Inputs!$F$8-Inputs!$E$8))),0)</f>
        <v>27</v>
      </c>
      <c r="D57" s="81" t="n">
        <f aca="true">RAND()</f>
        <v>0.953097447544049</v>
      </c>
      <c r="E57" s="83" t="n">
        <f aca="false">IF(D57&lt;(Inputs!$E$10-Inputs!$D$10)/(Inputs!$F$10-Inputs!$D$10),Inputs!$D$10+SQRT(D57*(Inputs!$F$10-Inputs!$D$10)*(Inputs!$E$10-Inputs!$D$10)),Inputs!$F$10-SQRT((1-D57)*(Inputs!$F$10-Inputs!$D$10)*(Inputs!$F$10-Inputs!$E$10)))</f>
        <v>0.162488980636638</v>
      </c>
      <c r="F57" s="81" t="n">
        <f aca="true">RAND()</f>
        <v>0.428931492939273</v>
      </c>
      <c r="G57" s="83" t="n">
        <f aca="false">IF(F57&lt;(Inputs!$E$15-Inputs!$D$15)/(Inputs!$F$15-Inputs!$D$15),Inputs!$D$15+SQRT(F57*(Inputs!$F$15-Inputs!$D$15)*(Inputs!$E$15-Inputs!$D$15)),Inputs!$F$15-SQRT((1-F57)*(Inputs!$F$15-Inputs!$D$15)*(Inputs!$F$15-Inputs!$E$15)))</f>
        <v>0.692620893208743</v>
      </c>
      <c r="H57" s="81" t="n">
        <f aca="true">RAND()</f>
        <v>0.531528415001087</v>
      </c>
      <c r="I57" s="82" t="n">
        <f aca="false">ROUND(IF(H57&lt;(Inputs!$E$17-Inputs!$D$17)/(Inputs!$F$17-Inputs!$D$17),Inputs!$D$17+SQRT(H57*(Inputs!$F$17-Inputs!$D$17)*(Inputs!$E$17-Inputs!$D$17)),Inputs!$F$17-SQRT((1-H57)*(Inputs!$F$17-Inputs!$D$17)*(Inputs!$F$17-Inputs!$E$17))),0)</f>
        <v>107</v>
      </c>
      <c r="J57" s="81" t="n">
        <f aca="true">RAND()</f>
        <v>0.673191590183787</v>
      </c>
      <c r="K57" s="83" t="n">
        <f aca="false">IF(J57&lt;(Inputs!$E$18-Inputs!$D$18)/(Inputs!$F$18-Inputs!$D$18),Inputs!$D$18+SQRT(J57*(Inputs!$F$18-Inputs!$D$18)*(Inputs!$E$18-Inputs!$D$18)),Inputs!$F$18-SQRT((1-J57)*(Inputs!$F$18-Inputs!$D$18)*(Inputs!$F$18-Inputs!$E$18)))</f>
        <v>1.08089726241448</v>
      </c>
      <c r="L57" s="81" t="n">
        <f aca="true">RAND()</f>
        <v>0.649413993218132</v>
      </c>
      <c r="M57" s="83" t="n">
        <f aca="false">IF(L57&lt;(Inputs!$E$24-Inputs!$D$24)/(Inputs!$F$24-Inputs!$D$24),Inputs!$D$24+SQRT(L57*(Inputs!$F$24-Inputs!$D$24)*(Inputs!$E$24-Inputs!$D$24)),Inputs!$F$24-SQRT((1-L57)*(Inputs!$F$24-Inputs!$D$24)*(Inputs!$F$24-Inputs!$E$24)))</f>
        <v>0.909929936691757</v>
      </c>
      <c r="N57" s="81" t="n">
        <f aca="true">RAND()</f>
        <v>0.736612526783992</v>
      </c>
      <c r="O57" s="83" t="n">
        <f aca="false">IF(N57&lt;(Inputs!$E$26-Inputs!$D$26)/(Inputs!$F$26-Inputs!$D$26),Inputs!$D$26+SQRT(N57*(Inputs!$F$26-Inputs!$D$26)*(Inputs!$E$26-Inputs!$D$26)),Inputs!$F$26-SQRT((1-N57)*(Inputs!$F$26-Inputs!$D$26)*(Inputs!$F$26-Inputs!$E$26)))</f>
        <v>0.654493815177605</v>
      </c>
      <c r="P57" s="81" t="n">
        <f aca="true">RAND()</f>
        <v>0.02304128364142</v>
      </c>
      <c r="Q57" s="82" t="n">
        <f aca="false">IF(P57&lt;(Inputs!$E$27-Inputs!$D$27)/(Inputs!$F$27-Inputs!$D$27),Inputs!$D$27+SQRT(P57*(Inputs!$F$27-Inputs!$D$27)*(Inputs!$E$27-Inputs!$D$27)),Inputs!$F$27-SQRT((1-P57)*(Inputs!$F$27-Inputs!$D$27)*(Inputs!$F$27-Inputs!$E$27)))</f>
        <v>57.5896777997192</v>
      </c>
      <c r="R57" s="81" t="n">
        <f aca="true">RAND()</f>
        <v>0.301285242498394</v>
      </c>
      <c r="S57" s="82" t="n">
        <f aca="false">IF(R57&lt;(Inputs!$E$29-Inputs!$D$29)/(Inputs!$F$29-Inputs!$D$29),Inputs!$D$29+SQRT(R57*(Inputs!$F$29-Inputs!$D$29)*(Inputs!$E$29-Inputs!$D$29)),Inputs!$F$29-SQRT((1-R57)*(Inputs!$F$29-Inputs!$D$29)*(Inputs!$F$29-Inputs!$E$29)))</f>
        <v>5.46936946077497</v>
      </c>
      <c r="T57" s="68" t="n">
        <f aca="false">Inputs!$E$9*(1+E57)+Inputs!$E$5*C57*(Inputs!$E$11*Inputs!$E$14*(G57*I57/Inputs!$E$16+(1-G57))*K57+Inputs!$E$23*M57)*(1+O57)+Inputs!$E$5*(Q57+S57)</f>
        <v>6954.57361935594</v>
      </c>
    </row>
    <row r="58" customFormat="false" ht="15" hidden="false" customHeight="false" outlineLevel="0" collapsed="false">
      <c r="A58" s="1" t="n">
        <v>54</v>
      </c>
      <c r="B58" s="81" t="n">
        <f aca="true">RAND()</f>
        <v>0.0620385891518457</v>
      </c>
      <c r="C58" s="82" t="n">
        <f aca="false">ROUND(IF(B58&lt;(Inputs!$E$8-Inputs!$D$8)/(Inputs!$F$8-Inputs!$D$8),Inputs!$D$8+SQRT(B58*(Inputs!$F$8-Inputs!$D$8)*(Inputs!$E$8-Inputs!$D$8)),Inputs!$F$8-SQRT((1-B58)*(Inputs!$F$8-Inputs!$D$8)*(Inputs!$F$8-Inputs!$E$8))),0)</f>
        <v>22</v>
      </c>
      <c r="D58" s="81" t="n">
        <f aca="true">RAND()</f>
        <v>0.784923052117769</v>
      </c>
      <c r="E58" s="83" t="n">
        <f aca="false">IF(D58&lt;(Inputs!$E$10-Inputs!$D$10)/(Inputs!$F$10-Inputs!$D$10),Inputs!$D$10+SQRT(D58*(Inputs!$F$10-Inputs!$D$10)*(Inputs!$E$10-Inputs!$D$10)),Inputs!$F$10-SQRT((1-D58)*(Inputs!$F$10-Inputs!$D$10)*(Inputs!$F$10-Inputs!$E$10)))</f>
        <v>0.119673737566927</v>
      </c>
      <c r="F58" s="81" t="n">
        <f aca="true">RAND()</f>
        <v>0.0497322052584477</v>
      </c>
      <c r="G58" s="83" t="n">
        <f aca="false">IF(F58&lt;(Inputs!$E$15-Inputs!$D$15)/(Inputs!$F$15-Inputs!$D$15),Inputs!$D$15+SQRT(F58*(Inputs!$F$15-Inputs!$D$15)*(Inputs!$E$15-Inputs!$D$15)),Inputs!$F$15-SQRT((1-F58)*(Inputs!$F$15-Inputs!$D$15)*(Inputs!$F$15-Inputs!$E$15)))</f>
        <v>0.631537978774312</v>
      </c>
      <c r="H58" s="81" t="n">
        <f aca="true">RAND()</f>
        <v>0.696827870628227</v>
      </c>
      <c r="I58" s="82" t="n">
        <f aca="false">ROUND(IF(H58&lt;(Inputs!$E$17-Inputs!$D$17)/(Inputs!$F$17-Inputs!$D$17),Inputs!$D$17+SQRT(H58*(Inputs!$F$17-Inputs!$D$17)*(Inputs!$E$17-Inputs!$D$17)),Inputs!$F$17-SQRT((1-H58)*(Inputs!$F$17-Inputs!$D$17)*(Inputs!$F$17-Inputs!$E$17))),0)</f>
        <v>108</v>
      </c>
      <c r="J58" s="81" t="n">
        <f aca="true">RAND()</f>
        <v>0.551232871449422</v>
      </c>
      <c r="K58" s="83" t="n">
        <f aca="false">IF(J58&lt;(Inputs!$E$18-Inputs!$D$18)/(Inputs!$F$18-Inputs!$D$18),Inputs!$D$18+SQRT(J58*(Inputs!$F$18-Inputs!$D$18)*(Inputs!$E$18-Inputs!$D$18)),Inputs!$F$18-SQRT((1-J58)*(Inputs!$F$18-Inputs!$D$18)*(Inputs!$F$18-Inputs!$E$18)))</f>
        <v>1.05184066070918</v>
      </c>
      <c r="L58" s="81" t="n">
        <f aca="true">RAND()</f>
        <v>0.627595738637613</v>
      </c>
      <c r="M58" s="83" t="n">
        <f aca="false">IF(L58&lt;(Inputs!$E$24-Inputs!$D$24)/(Inputs!$F$24-Inputs!$D$24),Inputs!$D$24+SQRT(L58*(Inputs!$F$24-Inputs!$D$24)*(Inputs!$E$24-Inputs!$D$24)),Inputs!$F$24-SQRT((1-L58)*(Inputs!$F$24-Inputs!$D$24)*(Inputs!$F$24-Inputs!$E$24)))</f>
        <v>0.901040098463067</v>
      </c>
      <c r="N58" s="81" t="n">
        <f aca="true">RAND()</f>
        <v>0.10680065918658</v>
      </c>
      <c r="O58" s="83" t="n">
        <f aca="false">IF(N58&lt;(Inputs!$E$26-Inputs!$D$26)/(Inputs!$F$26-Inputs!$D$26),Inputs!$D$26+SQRT(N58*(Inputs!$F$26-Inputs!$D$26)*(Inputs!$E$26-Inputs!$D$26)),Inputs!$F$26-SQRT((1-N58)*(Inputs!$F$26-Inputs!$D$26)*(Inputs!$F$26-Inputs!$E$26)))</f>
        <v>0.433310276005441</v>
      </c>
      <c r="P58" s="81" t="n">
        <f aca="true">RAND()</f>
        <v>0.298873617694791</v>
      </c>
      <c r="Q58" s="82" t="n">
        <f aca="false">IF(P58&lt;(Inputs!$E$27-Inputs!$D$27)/(Inputs!$F$27-Inputs!$D$27),Inputs!$D$27+SQRT(P58*(Inputs!$F$27-Inputs!$D$27)*(Inputs!$E$27-Inputs!$D$27)),Inputs!$F$27-SQRT((1-P58)*(Inputs!$F$27-Inputs!$D$27)*(Inputs!$F$27-Inputs!$E$27)))</f>
        <v>77.4848438787514</v>
      </c>
      <c r="R58" s="81" t="n">
        <f aca="true">RAND()</f>
        <v>0.162976189886624</v>
      </c>
      <c r="S58" s="82" t="n">
        <f aca="false">IF(R58&lt;(Inputs!$E$29-Inputs!$D$29)/(Inputs!$F$29-Inputs!$D$29),Inputs!$D$29+SQRT(R58*(Inputs!$F$29-Inputs!$D$29)*(Inputs!$E$29-Inputs!$D$29)),Inputs!$F$29-SQRT((1-R58)*(Inputs!$F$29-Inputs!$D$29)*(Inputs!$F$29-Inputs!$E$29)))</f>
        <v>4.52112502775613</v>
      </c>
      <c r="T58" s="68" t="n">
        <f aca="false">Inputs!$E$9*(1+E58)+Inputs!$E$5*C58*(Inputs!$E$11*Inputs!$E$14*(G58*I58/Inputs!$E$16+(1-G58))*K58+Inputs!$E$23*M58)*(1+O58)+Inputs!$E$5*(Q58+S58)</f>
        <v>5769.14877571402</v>
      </c>
    </row>
    <row r="59" customFormat="false" ht="15" hidden="false" customHeight="false" outlineLevel="0" collapsed="false">
      <c r="A59" s="1" t="n">
        <v>55</v>
      </c>
      <c r="B59" s="81" t="n">
        <f aca="true">RAND()</f>
        <v>0.0149024644164275</v>
      </c>
      <c r="C59" s="82" t="n">
        <f aca="false">ROUND(IF(B59&lt;(Inputs!$E$8-Inputs!$D$8)/(Inputs!$F$8-Inputs!$D$8),Inputs!$D$8+SQRT(B59*(Inputs!$F$8-Inputs!$D$8)*(Inputs!$E$8-Inputs!$D$8)),Inputs!$F$8-SQRT((1-B59)*(Inputs!$F$8-Inputs!$D$8)*(Inputs!$F$8-Inputs!$E$8))),0)</f>
        <v>21</v>
      </c>
      <c r="D59" s="81" t="n">
        <f aca="true">RAND()</f>
        <v>0.306133041134394</v>
      </c>
      <c r="E59" s="83" t="n">
        <f aca="false">IF(D59&lt;(Inputs!$E$10-Inputs!$D$10)/(Inputs!$F$10-Inputs!$D$10),Inputs!$D$10+SQRT(D59*(Inputs!$F$10-Inputs!$D$10)*(Inputs!$E$10-Inputs!$D$10)),Inputs!$F$10-SQRT((1-D59)*(Inputs!$F$10-Inputs!$D$10)*(Inputs!$F$10-Inputs!$E$10)))</f>
        <v>0.0557224592461869</v>
      </c>
      <c r="F59" s="81" t="n">
        <f aca="true">RAND()</f>
        <v>0.868617083621576</v>
      </c>
      <c r="G59" s="83" t="n">
        <f aca="false">IF(F59&lt;(Inputs!$E$15-Inputs!$D$15)/(Inputs!$F$15-Inputs!$D$15),Inputs!$D$15+SQRT(F59*(Inputs!$F$15-Inputs!$D$15)*(Inputs!$E$15-Inputs!$D$15)),Inputs!$F$15-SQRT((1-F59)*(Inputs!$F$15-Inputs!$D$15)*(Inputs!$F$15-Inputs!$E$15)))</f>
        <v>0.748739310114197</v>
      </c>
      <c r="H59" s="81" t="n">
        <f aca="true">RAND()</f>
        <v>0.367661298890195</v>
      </c>
      <c r="I59" s="82" t="n">
        <f aca="false">ROUND(IF(H59&lt;(Inputs!$E$17-Inputs!$D$17)/(Inputs!$F$17-Inputs!$D$17),Inputs!$D$17+SQRT(H59*(Inputs!$F$17-Inputs!$D$17)*(Inputs!$E$17-Inputs!$D$17)),Inputs!$F$17-SQRT((1-H59)*(Inputs!$F$17-Inputs!$D$17)*(Inputs!$F$17-Inputs!$E$17))),0)</f>
        <v>105</v>
      </c>
      <c r="J59" s="81" t="n">
        <f aca="true">RAND()</f>
        <v>0.622362342738143</v>
      </c>
      <c r="K59" s="83" t="n">
        <f aca="false">IF(J59&lt;(Inputs!$E$18-Inputs!$D$18)/(Inputs!$F$18-Inputs!$D$18),Inputs!$D$18+SQRT(J59*(Inputs!$F$18-Inputs!$D$18)*(Inputs!$E$18-Inputs!$D$18)),Inputs!$F$18-SQRT((1-J59)*(Inputs!$F$18-Inputs!$D$18)*(Inputs!$F$18-Inputs!$E$18)))</f>
        <v>1.06822185221977</v>
      </c>
      <c r="L59" s="81" t="n">
        <f aca="true">RAND()</f>
        <v>0.601634577815275</v>
      </c>
      <c r="M59" s="83" t="n">
        <f aca="false">IF(L59&lt;(Inputs!$E$24-Inputs!$D$24)/(Inputs!$F$24-Inputs!$D$24),Inputs!$D$24+SQRT(L59*(Inputs!$F$24-Inputs!$D$24)*(Inputs!$E$24-Inputs!$D$24)),Inputs!$F$24-SQRT((1-L59)*(Inputs!$F$24-Inputs!$D$24)*(Inputs!$F$24-Inputs!$E$24)))</f>
        <v>0.890795049644522</v>
      </c>
      <c r="N59" s="81" t="n">
        <f aca="true">RAND()</f>
        <v>0.978472489416864</v>
      </c>
      <c r="O59" s="83" t="n">
        <f aca="false">IF(N59&lt;(Inputs!$E$26-Inputs!$D$26)/(Inputs!$F$26-Inputs!$D$26),Inputs!$D$26+SQRT(N59*(Inputs!$F$26-Inputs!$D$26)*(Inputs!$E$26-Inputs!$D$26)),Inputs!$F$26-SQRT((1-N59)*(Inputs!$F$26-Inputs!$D$26)*(Inputs!$F$26-Inputs!$E$26)))</f>
        <v>0.772683395085381</v>
      </c>
      <c r="P59" s="81" t="n">
        <f aca="true">RAND()</f>
        <v>0.518864929569274</v>
      </c>
      <c r="Q59" s="82" t="n">
        <f aca="false">IF(P59&lt;(Inputs!$E$27-Inputs!$D$27)/(Inputs!$F$27-Inputs!$D$27),Inputs!$D$27+SQRT(P59*(Inputs!$F$27-Inputs!$D$27)*(Inputs!$E$27-Inputs!$D$27)),Inputs!$F$27-SQRT((1-P59)*(Inputs!$F$27-Inputs!$D$27)*(Inputs!$F$27-Inputs!$E$27)))</f>
        <v>89.9290999881769</v>
      </c>
      <c r="R59" s="81" t="n">
        <f aca="true">RAND()</f>
        <v>0.136440604656959</v>
      </c>
      <c r="S59" s="82" t="n">
        <f aca="false">IF(R59&lt;(Inputs!$E$29-Inputs!$D$29)/(Inputs!$F$29-Inputs!$D$29),Inputs!$D$29+SQRT(R59*(Inputs!$F$29-Inputs!$D$29)*(Inputs!$E$29-Inputs!$D$29)),Inputs!$F$29-SQRT((1-R59)*(Inputs!$F$29-Inputs!$D$29)*(Inputs!$F$29-Inputs!$E$29)))</f>
        <v>4.30676907852117</v>
      </c>
      <c r="T59" s="68" t="n">
        <f aca="false">Inputs!$E$9*(1+E59)+Inputs!$E$5*C59*(Inputs!$E$11*Inputs!$E$14*(G59*I59/Inputs!$E$16+(1-G59))*K59+Inputs!$E$23*M59)*(1+O59)+Inputs!$E$5*(Q59+S59)</f>
        <v>6046.92078977928</v>
      </c>
    </row>
    <row r="60" customFormat="false" ht="15" hidden="false" customHeight="false" outlineLevel="0" collapsed="false">
      <c r="A60" s="1" t="n">
        <v>56</v>
      </c>
      <c r="B60" s="81" t="n">
        <f aca="true">RAND()</f>
        <v>0.786429520715276</v>
      </c>
      <c r="C60" s="82" t="n">
        <f aca="false">ROUND(IF(B60&lt;(Inputs!$E$8-Inputs!$D$8)/(Inputs!$F$8-Inputs!$D$8),Inputs!$D$8+SQRT(B60*(Inputs!$F$8-Inputs!$D$8)*(Inputs!$E$8-Inputs!$D$8)),Inputs!$F$8-SQRT((1-B60)*(Inputs!$F$8-Inputs!$D$8)*(Inputs!$F$8-Inputs!$E$8))),0)</f>
        <v>27</v>
      </c>
      <c r="D60" s="81" t="n">
        <f aca="true">RAND()</f>
        <v>0.141121658663218</v>
      </c>
      <c r="E60" s="83" t="n">
        <f aca="false">IF(D60&lt;(Inputs!$E$10-Inputs!$D$10)/(Inputs!$F$10-Inputs!$D$10),Inputs!$D$10+SQRT(D60*(Inputs!$F$10-Inputs!$D$10)*(Inputs!$E$10-Inputs!$D$10)),Inputs!$F$10-SQRT((1-D60)*(Inputs!$F$10-Inputs!$D$10)*(Inputs!$F$10-Inputs!$E$10)))</f>
        <v>0.0375661627882352</v>
      </c>
      <c r="F60" s="81" t="n">
        <f aca="true">RAND()</f>
        <v>0.969440459941187</v>
      </c>
      <c r="G60" s="83" t="n">
        <f aca="false">IF(F60&lt;(Inputs!$E$15-Inputs!$D$15)/(Inputs!$F$15-Inputs!$D$15),Inputs!$D$15+SQRT(F60*(Inputs!$F$15-Inputs!$D$15)*(Inputs!$E$15-Inputs!$D$15)),Inputs!$F$15-SQRT((1-F60)*(Inputs!$F$15-Inputs!$D$15)*(Inputs!$F$15-Inputs!$E$15)))</f>
        <v>0.775277726617961</v>
      </c>
      <c r="H60" s="81" t="n">
        <f aca="true">RAND()</f>
        <v>0.0509816049332567</v>
      </c>
      <c r="I60" s="82" t="n">
        <f aca="false">ROUND(IF(H60&lt;(Inputs!$E$17-Inputs!$D$17)/(Inputs!$F$17-Inputs!$D$17),Inputs!$D$17+SQRT(H60*(Inputs!$F$17-Inputs!$D$17)*(Inputs!$E$17-Inputs!$D$17)),Inputs!$F$17-SQRT((1-H60)*(Inputs!$F$17-Inputs!$D$17)*(Inputs!$F$17-Inputs!$E$17))),0)</f>
        <v>102</v>
      </c>
      <c r="J60" s="81" t="n">
        <f aca="true">RAND()</f>
        <v>0.551500386926053</v>
      </c>
      <c r="K60" s="83" t="n">
        <f aca="false">IF(J60&lt;(Inputs!$E$18-Inputs!$D$18)/(Inputs!$F$18-Inputs!$D$18),Inputs!$D$18+SQRT(J60*(Inputs!$F$18-Inputs!$D$18)*(Inputs!$E$18-Inputs!$D$18)),Inputs!$F$18-SQRT((1-J60)*(Inputs!$F$18-Inputs!$D$18)*(Inputs!$F$18-Inputs!$E$18)))</f>
        <v>1.05189973209516</v>
      </c>
      <c r="L60" s="81" t="n">
        <f aca="true">RAND()</f>
        <v>0.431344187243421</v>
      </c>
      <c r="M60" s="83" t="n">
        <f aca="false">IF(L60&lt;(Inputs!$E$24-Inputs!$D$24)/(Inputs!$F$24-Inputs!$D$24),Inputs!$D$24+SQRT(L60*(Inputs!$F$24-Inputs!$D$24)*(Inputs!$E$24-Inputs!$D$24)),Inputs!$F$24-SQRT((1-L60)*(Inputs!$F$24-Inputs!$D$24)*(Inputs!$F$24-Inputs!$E$24)))</f>
        <v>0.830571529167582</v>
      </c>
      <c r="N60" s="81" t="n">
        <f aca="true">RAND()</f>
        <v>0.664704885582551</v>
      </c>
      <c r="O60" s="83" t="n">
        <f aca="false">IF(N60&lt;(Inputs!$E$26-Inputs!$D$26)/(Inputs!$F$26-Inputs!$D$26),Inputs!$D$26+SQRT(N60*(Inputs!$F$26-Inputs!$D$26)*(Inputs!$E$26-Inputs!$D$26)),Inputs!$F$26-SQRT((1-N60)*(Inputs!$F$26-Inputs!$D$26)*(Inputs!$F$26-Inputs!$E$26)))</f>
        <v>0.633263040885274</v>
      </c>
      <c r="P60" s="81" t="n">
        <f aca="true">RAND()</f>
        <v>0.822901951395469</v>
      </c>
      <c r="Q60" s="82" t="n">
        <f aca="false">IF(P60&lt;(Inputs!$E$27-Inputs!$D$27)/(Inputs!$F$27-Inputs!$D$27),Inputs!$D$27+SQRT(P60*(Inputs!$F$27-Inputs!$D$27)*(Inputs!$E$27-Inputs!$D$27)),Inputs!$F$27-SQRT((1-P60)*(Inputs!$F$27-Inputs!$D$27)*(Inputs!$F$27-Inputs!$E$27)))</f>
        <v>113.555036499758</v>
      </c>
      <c r="R60" s="81" t="n">
        <f aca="true">RAND()</f>
        <v>0.537337523214575</v>
      </c>
      <c r="S60" s="82" t="n">
        <f aca="false">IF(R60&lt;(Inputs!$E$29-Inputs!$D$29)/(Inputs!$F$29-Inputs!$D$29),Inputs!$D$29+SQRT(R60*(Inputs!$F$29-Inputs!$D$29)*(Inputs!$E$29-Inputs!$D$29)),Inputs!$F$29-SQRT((1-R60)*(Inputs!$F$29-Inputs!$D$29)*(Inputs!$F$29-Inputs!$E$29)))</f>
        <v>7.24460690989133</v>
      </c>
      <c r="T60" s="68" t="n">
        <f aca="false">Inputs!$E$9*(1+E60)+Inputs!$E$5*C60*(Inputs!$E$11*Inputs!$E$14*(G60*I60/Inputs!$E$16+(1-G60))*K60+Inputs!$E$23*M60)*(1+O60)+Inputs!$E$5*(Q60+S60)</f>
        <v>6522.23340898737</v>
      </c>
    </row>
    <row r="61" customFormat="false" ht="15" hidden="false" customHeight="false" outlineLevel="0" collapsed="false">
      <c r="A61" s="1" t="n">
        <v>57</v>
      </c>
      <c r="B61" s="81" t="n">
        <f aca="true">RAND()</f>
        <v>0.609669304988512</v>
      </c>
      <c r="C61" s="82" t="n">
        <f aca="false">ROUND(IF(B61&lt;(Inputs!$E$8-Inputs!$D$8)/(Inputs!$F$8-Inputs!$D$8),Inputs!$D$8+SQRT(B61*(Inputs!$F$8-Inputs!$D$8)*(Inputs!$E$8-Inputs!$D$8)),Inputs!$F$8-SQRT((1-B61)*(Inputs!$F$8-Inputs!$D$8)*(Inputs!$F$8-Inputs!$E$8))),0)</f>
        <v>26</v>
      </c>
      <c r="D61" s="81" t="n">
        <f aca="true">RAND()</f>
        <v>0.478077764092437</v>
      </c>
      <c r="E61" s="83" t="n">
        <f aca="false">IF(D61&lt;(Inputs!$E$10-Inputs!$D$10)/(Inputs!$F$10-Inputs!$D$10),Inputs!$D$10+SQRT(D61*(Inputs!$F$10-Inputs!$D$10)*(Inputs!$E$10-Inputs!$D$10)),Inputs!$F$10-SQRT((1-D61)*(Inputs!$F$10-Inputs!$D$10)*(Inputs!$F$10-Inputs!$E$10)))</f>
        <v>0.0748693999166195</v>
      </c>
      <c r="F61" s="81" t="n">
        <f aca="true">RAND()</f>
        <v>0.0368219473498564</v>
      </c>
      <c r="G61" s="83" t="n">
        <f aca="false">IF(F61&lt;(Inputs!$E$15-Inputs!$D$15)/(Inputs!$F$15-Inputs!$D$15),Inputs!$D$15+SQRT(F61*(Inputs!$F$15-Inputs!$D$15)*(Inputs!$E$15-Inputs!$D$15)),Inputs!$F$15-SQRT((1-F61)*(Inputs!$F$15-Inputs!$D$15)*(Inputs!$F$15-Inputs!$E$15)))</f>
        <v>0.627137408627154</v>
      </c>
      <c r="H61" s="81" t="n">
        <f aca="true">RAND()</f>
        <v>0.445500113398201</v>
      </c>
      <c r="I61" s="82" t="n">
        <f aca="false">ROUND(IF(H61&lt;(Inputs!$E$17-Inputs!$D$17)/(Inputs!$F$17-Inputs!$D$17),Inputs!$D$17+SQRT(H61*(Inputs!$F$17-Inputs!$D$17)*(Inputs!$E$17-Inputs!$D$17)),Inputs!$F$17-SQRT((1-H61)*(Inputs!$F$17-Inputs!$D$17)*(Inputs!$F$17-Inputs!$E$17))),0)</f>
        <v>106</v>
      </c>
      <c r="J61" s="81" t="n">
        <f aca="true">RAND()</f>
        <v>0.175331718634082</v>
      </c>
      <c r="K61" s="83" t="n">
        <f aca="false">IF(J61&lt;(Inputs!$E$18-Inputs!$D$18)/(Inputs!$F$18-Inputs!$D$18),Inputs!$D$18+SQRT(J61*(Inputs!$F$18-Inputs!$D$18)*(Inputs!$E$18-Inputs!$D$18)),Inputs!$F$18-SQRT((1-J61)*(Inputs!$F$18-Inputs!$D$18)*(Inputs!$F$18-Inputs!$E$18)))</f>
        <v>0.978336518637178</v>
      </c>
      <c r="L61" s="81" t="n">
        <f aca="true">RAND()</f>
        <v>0.897239504987067</v>
      </c>
      <c r="M61" s="83" t="n">
        <f aca="false">IF(L61&lt;(Inputs!$E$24-Inputs!$D$24)/(Inputs!$F$24-Inputs!$D$24),Inputs!$D$24+SQRT(L61*(Inputs!$F$24-Inputs!$D$24)*(Inputs!$E$24-Inputs!$D$24)),Inputs!$F$24-SQRT((1-L61)*(Inputs!$F$24-Inputs!$D$24)*(Inputs!$F$24-Inputs!$E$24)))</f>
        <v>1.04295695238851</v>
      </c>
      <c r="N61" s="81" t="n">
        <f aca="true">RAND()</f>
        <v>0.967538999647585</v>
      </c>
      <c r="O61" s="83" t="n">
        <f aca="false">IF(N61&lt;(Inputs!$E$26-Inputs!$D$26)/(Inputs!$F$26-Inputs!$D$26),Inputs!$D$26+SQRT(N61*(Inputs!$F$26-Inputs!$D$26)*(Inputs!$E$26-Inputs!$D$26)),Inputs!$F$26-SQRT((1-N61)*(Inputs!$F$26-Inputs!$D$26)*(Inputs!$F$26-Inputs!$E$26)))</f>
        <v>0.761897125401138</v>
      </c>
      <c r="P61" s="81" t="n">
        <f aca="true">RAND()</f>
        <v>0.831330414432405</v>
      </c>
      <c r="Q61" s="82" t="n">
        <f aca="false">IF(P61&lt;(Inputs!$E$27-Inputs!$D$27)/(Inputs!$F$27-Inputs!$D$27),Inputs!$D$27+SQRT(P61*(Inputs!$F$27-Inputs!$D$27)*(Inputs!$E$27-Inputs!$D$27)),Inputs!$F$27-SQRT((1-P61)*(Inputs!$F$27-Inputs!$D$27)*(Inputs!$F$27-Inputs!$E$27)))</f>
        <v>114.432853758602</v>
      </c>
      <c r="R61" s="81" t="n">
        <f aca="true">RAND()</f>
        <v>0.624433282768796</v>
      </c>
      <c r="S61" s="82" t="n">
        <f aca="false">IF(R61&lt;(Inputs!$E$29-Inputs!$D$29)/(Inputs!$F$29-Inputs!$D$29),Inputs!$D$29+SQRT(R61*(Inputs!$F$29-Inputs!$D$29)*(Inputs!$E$29-Inputs!$D$29)),Inputs!$F$29-SQRT((1-R61)*(Inputs!$F$29-Inputs!$D$29)*(Inputs!$F$29-Inputs!$E$29)))</f>
        <v>8.01260611958532</v>
      </c>
      <c r="T61" s="68" t="n">
        <f aca="false">Inputs!$E$9*(1+E61)+Inputs!$E$5*C61*(Inputs!$E$11*Inputs!$E$14*(G61*I61/Inputs!$E$16+(1-G61))*K61+Inputs!$E$23*M61)*(1+O61)+Inputs!$E$5*(Q61+S61)</f>
        <v>7207.41178915876</v>
      </c>
    </row>
    <row r="62" customFormat="false" ht="15" hidden="false" customHeight="false" outlineLevel="0" collapsed="false">
      <c r="A62" s="1" t="n">
        <v>58</v>
      </c>
      <c r="B62" s="81" t="n">
        <f aca="true">RAND()</f>
        <v>0.581936529787616</v>
      </c>
      <c r="C62" s="82" t="n">
        <f aca="false">ROUND(IF(B62&lt;(Inputs!$E$8-Inputs!$D$8)/(Inputs!$F$8-Inputs!$D$8),Inputs!$D$8+SQRT(B62*(Inputs!$F$8-Inputs!$D$8)*(Inputs!$E$8-Inputs!$D$8)),Inputs!$F$8-SQRT((1-B62)*(Inputs!$F$8-Inputs!$D$8)*(Inputs!$F$8-Inputs!$E$8))),0)</f>
        <v>25</v>
      </c>
      <c r="D62" s="81" t="n">
        <f aca="true">RAND()</f>
        <v>0.951305322055666</v>
      </c>
      <c r="E62" s="83" t="n">
        <f aca="false">IF(D62&lt;(Inputs!$E$10-Inputs!$D$10)/(Inputs!$F$10-Inputs!$D$10),Inputs!$D$10+SQRT(D62*(Inputs!$F$10-Inputs!$D$10)*(Inputs!$E$10-Inputs!$D$10)),Inputs!$F$10-SQRT((1-D62)*(Inputs!$F$10-Inputs!$D$10)*(Inputs!$F$10-Inputs!$E$10)))</f>
        <v>0.161779058903135</v>
      </c>
      <c r="F62" s="81" t="n">
        <f aca="true">RAND()</f>
        <v>0.0753093148655432</v>
      </c>
      <c r="G62" s="83" t="n">
        <f aca="false">IF(F62&lt;(Inputs!$E$15-Inputs!$D$15)/(Inputs!$F$15-Inputs!$D$15),Inputs!$D$15+SQRT(F62*(Inputs!$F$15-Inputs!$D$15)*(Inputs!$E$15-Inputs!$D$15)),Inputs!$F$15-SQRT((1-F62)*(Inputs!$F$15-Inputs!$D$15)*(Inputs!$F$15-Inputs!$E$15)))</f>
        <v>0.638809616041786</v>
      </c>
      <c r="H62" s="81" t="n">
        <f aca="true">RAND()</f>
        <v>0.230317833057177</v>
      </c>
      <c r="I62" s="82" t="n">
        <f aca="false">ROUND(IF(H62&lt;(Inputs!$E$17-Inputs!$D$17)/(Inputs!$F$17-Inputs!$D$17),Inputs!$D$17+SQRT(H62*(Inputs!$F$17-Inputs!$D$17)*(Inputs!$E$17-Inputs!$D$17)),Inputs!$F$17-SQRT((1-H62)*(Inputs!$F$17-Inputs!$D$17)*(Inputs!$F$17-Inputs!$E$17))),0)</f>
        <v>104</v>
      </c>
      <c r="J62" s="81" t="n">
        <f aca="true">RAND()</f>
        <v>0.942834070915593</v>
      </c>
      <c r="K62" s="83" t="n">
        <f aca="false">IF(J62&lt;(Inputs!$E$18-Inputs!$D$18)/(Inputs!$F$18-Inputs!$D$18),Inputs!$D$18+SQRT(J62*(Inputs!$F$18-Inputs!$D$18)*(Inputs!$E$18-Inputs!$D$18)),Inputs!$F$18-SQRT((1-J62)*(Inputs!$F$18-Inputs!$D$18)*(Inputs!$F$18-Inputs!$E$18)))</f>
        <v>1.17927504828644</v>
      </c>
      <c r="L62" s="81" t="n">
        <f aca="true">RAND()</f>
        <v>0.349785706024609</v>
      </c>
      <c r="M62" s="83" t="n">
        <f aca="false">IF(L62&lt;(Inputs!$E$24-Inputs!$D$24)/(Inputs!$F$24-Inputs!$D$24),Inputs!$D$24+SQRT(L62*(Inputs!$F$24-Inputs!$D$24)*(Inputs!$E$24-Inputs!$D$24)),Inputs!$F$24-SQRT((1-L62)*(Inputs!$F$24-Inputs!$D$24)*(Inputs!$F$24-Inputs!$E$24)))</f>
        <v>0.804966545019167</v>
      </c>
      <c r="N62" s="81" t="n">
        <f aca="true">RAND()</f>
        <v>0.124037246506011</v>
      </c>
      <c r="O62" s="83" t="n">
        <f aca="false">IF(N62&lt;(Inputs!$E$26-Inputs!$D$26)/(Inputs!$F$26-Inputs!$D$26),Inputs!$D$26+SQRT(N62*(Inputs!$F$26-Inputs!$D$26)*(Inputs!$E$26-Inputs!$D$26)),Inputs!$F$26-SQRT((1-N62)*(Inputs!$F$26-Inputs!$D$26)*(Inputs!$F$26-Inputs!$E$26)))</f>
        <v>0.443665576317364</v>
      </c>
      <c r="P62" s="81" t="n">
        <f aca="true">RAND()</f>
        <v>0.106460474189642</v>
      </c>
      <c r="Q62" s="82" t="n">
        <f aca="false">IF(P62&lt;(Inputs!$E$27-Inputs!$D$27)/(Inputs!$F$27-Inputs!$D$27),Inputs!$D$27+SQRT(P62*(Inputs!$F$27-Inputs!$D$27)*(Inputs!$E$27-Inputs!$D$27)),Inputs!$F$27-SQRT((1-P62)*(Inputs!$F$27-Inputs!$D$27)*(Inputs!$F$27-Inputs!$E$27)))</f>
        <v>66.3141406599951</v>
      </c>
      <c r="R62" s="81" t="n">
        <f aca="true">RAND()</f>
        <v>0.117978664948084</v>
      </c>
      <c r="S62" s="82" t="n">
        <f aca="false">IF(R62&lt;(Inputs!$E$29-Inputs!$D$29)/(Inputs!$F$29-Inputs!$D$29),Inputs!$D$29+SQRT(R62*(Inputs!$F$29-Inputs!$D$29)*(Inputs!$E$29-Inputs!$D$29)),Inputs!$F$29-SQRT((1-R62)*(Inputs!$F$29-Inputs!$D$29)*(Inputs!$F$29-Inputs!$E$29)))</f>
        <v>4.14503331745111</v>
      </c>
      <c r="T62" s="68" t="n">
        <f aca="false">Inputs!$E$9*(1+E62)+Inputs!$E$5*C62*(Inputs!$E$11*Inputs!$E$14*(G62*I62/Inputs!$E$16+(1-G62))*K62+Inputs!$E$23*M62)*(1+O62)+Inputs!$E$5*(Q62+S62)</f>
        <v>6304.9938307052</v>
      </c>
    </row>
    <row r="63" customFormat="false" ht="15" hidden="false" customHeight="false" outlineLevel="0" collapsed="false">
      <c r="A63" s="1" t="n">
        <v>59</v>
      </c>
      <c r="B63" s="81" t="n">
        <f aca="true">RAND()</f>
        <v>0.0400991308114008</v>
      </c>
      <c r="C63" s="82" t="n">
        <f aca="false">ROUND(IF(B63&lt;(Inputs!$E$8-Inputs!$D$8)/(Inputs!$F$8-Inputs!$D$8),Inputs!$D$8+SQRT(B63*(Inputs!$F$8-Inputs!$D$8)*(Inputs!$E$8-Inputs!$D$8)),Inputs!$F$8-SQRT((1-B63)*(Inputs!$F$8-Inputs!$D$8)*(Inputs!$F$8-Inputs!$E$8))),0)</f>
        <v>21</v>
      </c>
      <c r="D63" s="81" t="n">
        <f aca="true">RAND()</f>
        <v>0.528103400531244</v>
      </c>
      <c r="E63" s="83" t="n">
        <f aca="false">IF(D63&lt;(Inputs!$E$10-Inputs!$D$10)/(Inputs!$F$10-Inputs!$D$10),Inputs!$D$10+SQRT(D63*(Inputs!$F$10-Inputs!$D$10)*(Inputs!$E$10-Inputs!$D$10)),Inputs!$F$10-SQRT((1-D63)*(Inputs!$F$10-Inputs!$D$10)*(Inputs!$F$10-Inputs!$E$10)))</f>
        <v>0.0810172366094035</v>
      </c>
      <c r="F63" s="81" t="n">
        <f aca="true">RAND()</f>
        <v>0.365481271521475</v>
      </c>
      <c r="G63" s="83" t="n">
        <f aca="false">IF(F63&lt;(Inputs!$E$15-Inputs!$D$15)/(Inputs!$F$15-Inputs!$D$15),Inputs!$D$15+SQRT(F63*(Inputs!$F$15-Inputs!$D$15)*(Inputs!$E$15-Inputs!$D$15)),Inputs!$F$15-SQRT((1-F63)*(Inputs!$F$15-Inputs!$D$15)*(Inputs!$F$15-Inputs!$E$15)))</f>
        <v>0.685496347468354</v>
      </c>
      <c r="H63" s="81" t="n">
        <f aca="true">RAND()</f>
        <v>0.9857580768956</v>
      </c>
      <c r="I63" s="82" t="n">
        <f aca="false">ROUND(IF(H63&lt;(Inputs!$E$17-Inputs!$D$17)/(Inputs!$F$17-Inputs!$D$17),Inputs!$D$17+SQRT(H63*(Inputs!$F$17-Inputs!$D$17)*(Inputs!$E$17-Inputs!$D$17)),Inputs!$F$17-SQRT((1-H63)*(Inputs!$F$17-Inputs!$D$17)*(Inputs!$F$17-Inputs!$E$17))),0)</f>
        <v>114</v>
      </c>
      <c r="J63" s="81" t="n">
        <f aca="true">RAND()</f>
        <v>0.544331265758553</v>
      </c>
      <c r="K63" s="83" t="n">
        <f aca="false">IF(J63&lt;(Inputs!$E$18-Inputs!$D$18)/(Inputs!$F$18-Inputs!$D$18),Inputs!$D$18+SQRT(J63*(Inputs!$F$18-Inputs!$D$18)*(Inputs!$E$18-Inputs!$D$18)),Inputs!$F$18-SQRT((1-J63)*(Inputs!$F$18-Inputs!$D$18)*(Inputs!$F$18-Inputs!$E$18)))</f>
        <v>1.05032272476286</v>
      </c>
      <c r="L63" s="81" t="n">
        <f aca="true">RAND()</f>
        <v>0.369136094885097</v>
      </c>
      <c r="M63" s="83" t="n">
        <f aca="false">IF(L63&lt;(Inputs!$E$24-Inputs!$D$24)/(Inputs!$F$24-Inputs!$D$24),Inputs!$D$24+SQRT(L63*(Inputs!$F$24-Inputs!$D$24)*(Inputs!$E$24-Inputs!$D$24)),Inputs!$F$24-SQRT((1-L63)*(Inputs!$F$24-Inputs!$D$24)*(Inputs!$F$24-Inputs!$E$24)))</f>
        <v>0.810889042524402</v>
      </c>
      <c r="N63" s="81" t="n">
        <f aca="true">RAND()</f>
        <v>0.393678072689526</v>
      </c>
      <c r="O63" s="83" t="n">
        <f aca="false">IF(N63&lt;(Inputs!$E$26-Inputs!$D$26)/(Inputs!$F$26-Inputs!$D$26),Inputs!$D$26+SQRT(N63*(Inputs!$F$26-Inputs!$D$26)*(Inputs!$E$26-Inputs!$D$26)),Inputs!$F$26-SQRT((1-N63)*(Inputs!$F$26-Inputs!$D$26)*(Inputs!$F$26-Inputs!$E$26)))</f>
        <v>0.555945367794647</v>
      </c>
      <c r="P63" s="81" t="n">
        <f aca="true">RAND()</f>
        <v>0.486958048463953</v>
      </c>
      <c r="Q63" s="82" t="n">
        <f aca="false">IF(P63&lt;(Inputs!$E$27-Inputs!$D$27)/(Inputs!$F$27-Inputs!$D$27),Inputs!$D$27+SQRT(P63*(Inputs!$F$27-Inputs!$D$27)*(Inputs!$E$27-Inputs!$D$27)),Inputs!$F$27-SQRT((1-P63)*(Inputs!$F$27-Inputs!$D$27)*(Inputs!$F$27-Inputs!$E$27)))</f>
        <v>87.9692444305218</v>
      </c>
      <c r="R63" s="81" t="n">
        <f aca="true">RAND()</f>
        <v>0.919578386031281</v>
      </c>
      <c r="S63" s="82" t="n">
        <f aca="false">IF(R63&lt;(Inputs!$E$29-Inputs!$D$29)/(Inputs!$F$29-Inputs!$D$29),Inputs!$D$29+SQRT(R63*(Inputs!$F$29-Inputs!$D$29)*(Inputs!$E$29-Inputs!$D$29)),Inputs!$F$29-SQRT((1-R63)*(Inputs!$F$29-Inputs!$D$29)*(Inputs!$F$29-Inputs!$E$29)))</f>
        <v>11.7666101664146</v>
      </c>
      <c r="T63" s="68" t="n">
        <f aca="false">Inputs!$E$9*(1+E63)+Inputs!$E$5*C63*(Inputs!$E$11*Inputs!$E$14*(G63*I63/Inputs!$E$16+(1-G63))*K63+Inputs!$E$23*M63)*(1+O63)+Inputs!$E$5*(Q63+S63)</f>
        <v>5769.20187646962</v>
      </c>
    </row>
    <row r="64" customFormat="false" ht="15" hidden="false" customHeight="false" outlineLevel="0" collapsed="false">
      <c r="A64" s="1" t="n">
        <v>60</v>
      </c>
      <c r="B64" s="81" t="n">
        <f aca="true">RAND()</f>
        <v>0.363745100029074</v>
      </c>
      <c r="C64" s="82" t="n">
        <f aca="false">ROUND(IF(B64&lt;(Inputs!$E$8-Inputs!$D$8)/(Inputs!$F$8-Inputs!$D$8),Inputs!$D$8+SQRT(B64*(Inputs!$F$8-Inputs!$D$8)*(Inputs!$E$8-Inputs!$D$8)),Inputs!$F$8-SQRT((1-B64)*(Inputs!$F$8-Inputs!$D$8)*(Inputs!$F$8-Inputs!$E$8))),0)</f>
        <v>24</v>
      </c>
      <c r="D64" s="81" t="n">
        <f aca="true">RAND()</f>
        <v>0.385342227043907</v>
      </c>
      <c r="E64" s="83" t="n">
        <f aca="false">IF(D64&lt;(Inputs!$E$10-Inputs!$D$10)/(Inputs!$F$10-Inputs!$D$10),Inputs!$D$10+SQRT(D64*(Inputs!$F$10-Inputs!$D$10)*(Inputs!$E$10-Inputs!$D$10)),Inputs!$F$10-SQRT((1-D64)*(Inputs!$F$10-Inputs!$D$10)*(Inputs!$F$10-Inputs!$E$10)))</f>
        <v>0.0642070208417137</v>
      </c>
      <c r="F64" s="81" t="n">
        <f aca="true">RAND()</f>
        <v>0.50749635082206</v>
      </c>
      <c r="G64" s="83" t="n">
        <f aca="false">IF(F64&lt;(Inputs!$E$15-Inputs!$D$15)/(Inputs!$F$15-Inputs!$D$15),Inputs!$D$15+SQRT(F64*(Inputs!$F$15-Inputs!$D$15)*(Inputs!$E$15-Inputs!$D$15)),Inputs!$F$15-SQRT((1-F64)*(Inputs!$F$15-Inputs!$D$15)*(Inputs!$F$15-Inputs!$E$15)))</f>
        <v>0.700752466108428</v>
      </c>
      <c r="H64" s="81" t="n">
        <f aca="true">RAND()</f>
        <v>0.700802485959664</v>
      </c>
      <c r="I64" s="82" t="n">
        <f aca="false">ROUND(IF(H64&lt;(Inputs!$E$17-Inputs!$D$17)/(Inputs!$F$17-Inputs!$D$17),Inputs!$D$17+SQRT(H64*(Inputs!$F$17-Inputs!$D$17)*(Inputs!$E$17-Inputs!$D$17)),Inputs!$F$17-SQRT((1-H64)*(Inputs!$F$17-Inputs!$D$17)*(Inputs!$F$17-Inputs!$E$17))),0)</f>
        <v>108</v>
      </c>
      <c r="J64" s="81" t="n">
        <f aca="true">RAND()</f>
        <v>0.682383340420428</v>
      </c>
      <c r="K64" s="83" t="n">
        <f aca="false">IF(J64&lt;(Inputs!$E$18-Inputs!$D$18)/(Inputs!$F$18-Inputs!$D$18),Inputs!$D$18+SQRT(J64*(Inputs!$F$18-Inputs!$D$18)*(Inputs!$E$18-Inputs!$D$18)),Inputs!$F$18-SQRT((1-J64)*(Inputs!$F$18-Inputs!$D$18)*(Inputs!$F$18-Inputs!$E$18)))</f>
        <v>1.08329229857858</v>
      </c>
      <c r="L64" s="81" t="n">
        <f aca="true">RAND()</f>
        <v>0.732537806936521</v>
      </c>
      <c r="M64" s="83" t="n">
        <f aca="false">IF(L64&lt;(Inputs!$E$24-Inputs!$D$24)/(Inputs!$F$24-Inputs!$D$24),Inputs!$D$24+SQRT(L64*(Inputs!$F$24-Inputs!$D$24)*(Inputs!$E$24-Inputs!$D$24)),Inputs!$F$24-SQRT((1-L64)*(Inputs!$F$24-Inputs!$D$24)*(Inputs!$F$24-Inputs!$E$24)))</f>
        <v>0.946640716895483</v>
      </c>
      <c r="N64" s="81" t="n">
        <f aca="true">RAND()</f>
        <v>0.51970628854833</v>
      </c>
      <c r="O64" s="83" t="n">
        <f aca="false">IF(N64&lt;(Inputs!$E$26-Inputs!$D$26)/(Inputs!$F$26-Inputs!$D$26),Inputs!$D$26+SQRT(N64*(Inputs!$F$26-Inputs!$D$26)*(Inputs!$E$26-Inputs!$D$26)),Inputs!$F$26-SQRT((1-N64)*(Inputs!$F$26-Inputs!$D$26)*(Inputs!$F$26-Inputs!$E$26)))</f>
        <v>0.594073335095928</v>
      </c>
      <c r="P64" s="81" t="n">
        <f aca="true">RAND()</f>
        <v>0.671010432638949</v>
      </c>
      <c r="Q64" s="82" t="n">
        <f aca="false">IF(P64&lt;(Inputs!$E$27-Inputs!$D$27)/(Inputs!$F$27-Inputs!$D$27),Inputs!$D$27+SQRT(P64*(Inputs!$F$27-Inputs!$D$27)*(Inputs!$E$27-Inputs!$D$27)),Inputs!$F$27-SQRT((1-P64)*(Inputs!$F$27-Inputs!$D$27)*(Inputs!$F$27-Inputs!$E$27)))</f>
        <v>100.326850762128</v>
      </c>
      <c r="R64" s="81" t="n">
        <f aca="true">RAND()</f>
        <v>0.943804758556013</v>
      </c>
      <c r="S64" s="82" t="n">
        <f aca="false">IF(R64&lt;(Inputs!$E$29-Inputs!$D$29)/(Inputs!$F$29-Inputs!$D$29),Inputs!$D$29+SQRT(R64*(Inputs!$F$29-Inputs!$D$29)*(Inputs!$E$29-Inputs!$D$29)),Inputs!$F$29-SQRT((1-R64)*(Inputs!$F$29-Inputs!$D$29)*(Inputs!$F$29-Inputs!$E$29)))</f>
        <v>12.2971530957677</v>
      </c>
      <c r="T64" s="68" t="n">
        <f aca="false">Inputs!$E$9*(1+E64)+Inputs!$E$5*C64*(Inputs!$E$11*Inputs!$E$14*(G64*I64/Inputs!$E$16+(1-G64))*K64+Inputs!$E$23*M64)*(1+O64)+Inputs!$E$5*(Q64+S64)</f>
        <v>6456.35821739125</v>
      </c>
    </row>
    <row r="65" customFormat="false" ht="15" hidden="false" customHeight="false" outlineLevel="0" collapsed="false">
      <c r="A65" s="1" t="n">
        <v>61</v>
      </c>
      <c r="B65" s="81" t="n">
        <f aca="true">RAND()</f>
        <v>0.492098565302026</v>
      </c>
      <c r="C65" s="82" t="n">
        <f aca="false">ROUND(IF(B65&lt;(Inputs!$E$8-Inputs!$D$8)/(Inputs!$F$8-Inputs!$D$8),Inputs!$D$8+SQRT(B65*(Inputs!$F$8-Inputs!$D$8)*(Inputs!$E$8-Inputs!$D$8)),Inputs!$F$8-SQRT((1-B65)*(Inputs!$F$8-Inputs!$D$8)*(Inputs!$F$8-Inputs!$E$8))),0)</f>
        <v>25</v>
      </c>
      <c r="D65" s="81" t="n">
        <f aca="true">RAND()</f>
        <v>0.960186215087551</v>
      </c>
      <c r="E65" s="83" t="n">
        <f aca="false">IF(D65&lt;(Inputs!$E$10-Inputs!$D$10)/(Inputs!$F$10-Inputs!$D$10),Inputs!$D$10+SQRT(D65*(Inputs!$F$10-Inputs!$D$10)*(Inputs!$E$10-Inputs!$D$10)),Inputs!$F$10-SQRT((1-D65)*(Inputs!$F$10-Inputs!$D$10)*(Inputs!$F$10-Inputs!$E$10)))</f>
        <v>0.165439711410732</v>
      </c>
      <c r="F65" s="81" t="n">
        <f aca="true">RAND()</f>
        <v>0.90095863902055</v>
      </c>
      <c r="G65" s="83" t="n">
        <f aca="false">IF(F65&lt;(Inputs!$E$15-Inputs!$D$15)/(Inputs!$F$15-Inputs!$D$15),Inputs!$D$15+SQRT(F65*(Inputs!$F$15-Inputs!$D$15)*(Inputs!$E$15-Inputs!$D$15)),Inputs!$F$15-SQRT((1-F65)*(Inputs!$F$15-Inputs!$D$15)*(Inputs!$F$15-Inputs!$E$15)))</f>
        <v>0.755493514859192</v>
      </c>
      <c r="H65" s="81" t="n">
        <f aca="true">RAND()</f>
        <v>0.208344630595753</v>
      </c>
      <c r="I65" s="82" t="n">
        <f aca="false">ROUND(IF(H65&lt;(Inputs!$E$17-Inputs!$D$17)/(Inputs!$F$17-Inputs!$D$17),Inputs!$D$17+SQRT(H65*(Inputs!$F$17-Inputs!$D$17)*(Inputs!$E$17-Inputs!$D$17)),Inputs!$F$17-SQRT((1-H65)*(Inputs!$F$17-Inputs!$D$17)*(Inputs!$F$17-Inputs!$E$17))),0)</f>
        <v>104</v>
      </c>
      <c r="J65" s="81" t="n">
        <f aca="true">RAND()</f>
        <v>0.565498122932325</v>
      </c>
      <c r="K65" s="83" t="n">
        <f aca="false">IF(J65&lt;(Inputs!$E$18-Inputs!$D$18)/(Inputs!$F$18-Inputs!$D$18),Inputs!$D$18+SQRT(J65*(Inputs!$F$18-Inputs!$D$18)*(Inputs!$E$18-Inputs!$D$18)),Inputs!$F$18-SQRT((1-J65)*(Inputs!$F$18-Inputs!$D$18)*(Inputs!$F$18-Inputs!$E$18)))</f>
        <v>1.05501560512846</v>
      </c>
      <c r="L65" s="81" t="n">
        <f aca="true">RAND()</f>
        <v>0.636935666965056</v>
      </c>
      <c r="M65" s="83" t="n">
        <f aca="false">IF(L65&lt;(Inputs!$E$24-Inputs!$D$24)/(Inputs!$F$24-Inputs!$D$24),Inputs!$D$24+SQRT(L65*(Inputs!$F$24-Inputs!$D$24)*(Inputs!$E$24-Inputs!$D$24)),Inputs!$F$24-SQRT((1-L65)*(Inputs!$F$24-Inputs!$D$24)*(Inputs!$F$24-Inputs!$E$24)))</f>
        <v>0.904812873030705</v>
      </c>
      <c r="N65" s="81" t="n">
        <f aca="true">RAND()</f>
        <v>0.481940025892668</v>
      </c>
      <c r="O65" s="83" t="n">
        <f aca="false">IF(N65&lt;(Inputs!$E$26-Inputs!$D$26)/(Inputs!$F$26-Inputs!$D$26),Inputs!$D$26+SQRT(N65*(Inputs!$F$26-Inputs!$D$26)*(Inputs!$E$26-Inputs!$D$26)),Inputs!$F$26-SQRT((1-N65)*(Inputs!$F$26-Inputs!$D$26)*(Inputs!$F$26-Inputs!$E$26)))</f>
        <v>0.583186899959267</v>
      </c>
      <c r="P65" s="81" t="n">
        <f aca="true">RAND()</f>
        <v>0.88570609811928</v>
      </c>
      <c r="Q65" s="82" t="n">
        <f aca="false">IF(P65&lt;(Inputs!$E$27-Inputs!$D$27)/(Inputs!$F$27-Inputs!$D$27),Inputs!$D$27+SQRT(P65*(Inputs!$F$27-Inputs!$D$27)*(Inputs!$E$27-Inputs!$D$27)),Inputs!$F$27-SQRT((1-P65)*(Inputs!$F$27-Inputs!$D$27)*(Inputs!$F$27-Inputs!$E$27)))</f>
        <v>120.72194910679</v>
      </c>
      <c r="R65" s="81" t="n">
        <f aca="true">RAND()</f>
        <v>0.711292627463934</v>
      </c>
      <c r="S65" s="82" t="n">
        <f aca="false">IF(R65&lt;(Inputs!$E$29-Inputs!$D$29)/(Inputs!$F$29-Inputs!$D$29),Inputs!$D$29+SQRT(R65*(Inputs!$F$29-Inputs!$D$29)*(Inputs!$E$29-Inputs!$D$29)),Inputs!$F$29-SQRT((1-R65)*(Inputs!$F$29-Inputs!$D$29)*(Inputs!$F$29-Inputs!$E$29)))</f>
        <v>8.87366680389578</v>
      </c>
      <c r="T65" s="68" t="n">
        <f aca="false">Inputs!$E$9*(1+E65)+Inputs!$E$5*C65*(Inputs!$E$11*Inputs!$E$14*(G65*I65/Inputs!$E$16+(1-G65))*K65+Inputs!$E$23*M65)*(1+O65)+Inputs!$E$5*(Q65+S65)</f>
        <v>6640.78472390782</v>
      </c>
    </row>
    <row r="66" customFormat="false" ht="15" hidden="false" customHeight="false" outlineLevel="0" collapsed="false">
      <c r="A66" s="1" t="n">
        <v>62</v>
      </c>
      <c r="B66" s="81" t="n">
        <f aca="true">RAND()</f>
        <v>0.475717230219123</v>
      </c>
      <c r="C66" s="82" t="n">
        <f aca="false">ROUND(IF(B66&lt;(Inputs!$E$8-Inputs!$D$8)/(Inputs!$F$8-Inputs!$D$8),Inputs!$D$8+SQRT(B66*(Inputs!$F$8-Inputs!$D$8)*(Inputs!$E$8-Inputs!$D$8)),Inputs!$F$8-SQRT((1-B66)*(Inputs!$F$8-Inputs!$D$8)*(Inputs!$F$8-Inputs!$E$8))),0)</f>
        <v>25</v>
      </c>
      <c r="D66" s="81" t="n">
        <f aca="true">RAND()</f>
        <v>0.845621296019957</v>
      </c>
      <c r="E66" s="83" t="n">
        <f aca="false">IF(D66&lt;(Inputs!$E$10-Inputs!$D$10)/(Inputs!$F$10-Inputs!$D$10),Inputs!$D$10+SQRT(D66*(Inputs!$F$10-Inputs!$D$10)*(Inputs!$E$10-Inputs!$D$10)),Inputs!$F$10-SQRT((1-D66)*(Inputs!$F$10-Inputs!$D$10)*(Inputs!$F$10-Inputs!$E$10)))</f>
        <v>0.131945895646175</v>
      </c>
      <c r="F66" s="81" t="n">
        <f aca="true">RAND()</f>
        <v>0.923577884913925</v>
      </c>
      <c r="G66" s="83" t="n">
        <f aca="false">IF(F66&lt;(Inputs!$E$15-Inputs!$D$15)/(Inputs!$F$15-Inputs!$D$15),Inputs!$D$15+SQRT(F66*(Inputs!$F$15-Inputs!$D$15)*(Inputs!$E$15-Inputs!$D$15)),Inputs!$F$15-SQRT((1-F66)*(Inputs!$F$15-Inputs!$D$15)*(Inputs!$F$15-Inputs!$E$15)))</f>
        <v>0.76090470230678</v>
      </c>
      <c r="H66" s="81" t="n">
        <f aca="true">RAND()</f>
        <v>0.616573654944168</v>
      </c>
      <c r="I66" s="82" t="n">
        <f aca="false">ROUND(IF(H66&lt;(Inputs!$E$17-Inputs!$D$17)/(Inputs!$F$17-Inputs!$D$17),Inputs!$D$17+SQRT(H66*(Inputs!$F$17-Inputs!$D$17)*(Inputs!$E$17-Inputs!$D$17)),Inputs!$F$17-SQRT((1-H66)*(Inputs!$F$17-Inputs!$D$17)*(Inputs!$F$17-Inputs!$E$17))),0)</f>
        <v>107</v>
      </c>
      <c r="J66" s="81" t="n">
        <f aca="true">RAND()</f>
        <v>0.437773063654843</v>
      </c>
      <c r="K66" s="83" t="n">
        <f aca="false">IF(J66&lt;(Inputs!$E$18-Inputs!$D$18)/(Inputs!$F$18-Inputs!$D$18),Inputs!$D$18+SQRT(J66*(Inputs!$F$18-Inputs!$D$18)*(Inputs!$E$18-Inputs!$D$18)),Inputs!$F$18-SQRT((1-J66)*(Inputs!$F$18-Inputs!$D$18)*(Inputs!$F$18-Inputs!$E$18)))</f>
        <v>1.02820086354947</v>
      </c>
      <c r="L66" s="81" t="n">
        <f aca="true">RAND()</f>
        <v>0.597088317058549</v>
      </c>
      <c r="M66" s="83" t="n">
        <f aca="false">IF(L66&lt;(Inputs!$E$24-Inputs!$D$24)/(Inputs!$F$24-Inputs!$D$24),Inputs!$D$24+SQRT(L66*(Inputs!$F$24-Inputs!$D$24)*(Inputs!$E$24-Inputs!$D$24)),Inputs!$F$24-SQRT((1-L66)*(Inputs!$F$24-Inputs!$D$24)*(Inputs!$F$24-Inputs!$E$24)))</f>
        <v>0.889035687086206</v>
      </c>
      <c r="N66" s="81" t="n">
        <f aca="true">RAND()</f>
        <v>0.144262250338948</v>
      </c>
      <c r="O66" s="83" t="n">
        <f aca="false">IF(N66&lt;(Inputs!$E$26-Inputs!$D$26)/(Inputs!$F$26-Inputs!$D$26),Inputs!$D$26+SQRT(N66*(Inputs!$F$26-Inputs!$D$26)*(Inputs!$E$26-Inputs!$D$26)),Inputs!$F$26-SQRT((1-N66)*(Inputs!$F$26-Inputs!$D$26)*(Inputs!$F$26-Inputs!$E$26)))</f>
        <v>0.45493623997116</v>
      </c>
      <c r="P66" s="81" t="n">
        <f aca="true">RAND()</f>
        <v>0.160288846446583</v>
      </c>
      <c r="Q66" s="82" t="n">
        <f aca="false">IF(P66&lt;(Inputs!$E$27-Inputs!$D$27)/(Inputs!$F$27-Inputs!$D$27),Inputs!$D$27+SQRT(P66*(Inputs!$F$27-Inputs!$D$27)*(Inputs!$E$27-Inputs!$D$27)),Inputs!$F$27-SQRT((1-P66)*(Inputs!$F$27-Inputs!$D$27)*(Inputs!$F$27-Inputs!$E$27)))</f>
        <v>70.018044762575</v>
      </c>
      <c r="R66" s="81" t="n">
        <f aca="true">RAND()</f>
        <v>0.233595192414142</v>
      </c>
      <c r="S66" s="82" t="n">
        <f aca="false">IF(R66&lt;(Inputs!$E$29-Inputs!$D$29)/(Inputs!$F$29-Inputs!$D$29),Inputs!$D$29+SQRT(R66*(Inputs!$F$29-Inputs!$D$29)*(Inputs!$E$29-Inputs!$D$29)),Inputs!$F$29-SQRT((1-R66)*(Inputs!$F$29-Inputs!$D$29)*(Inputs!$F$29-Inputs!$E$29)))</f>
        <v>5.01838565230245</v>
      </c>
      <c r="T66" s="68" t="n">
        <f aca="false">Inputs!$E$9*(1+E66)+Inputs!$E$5*C66*(Inputs!$E$11*Inputs!$E$14*(G66*I66/Inputs!$E$16+(1-G66))*K66+Inputs!$E$23*M66)*(1+O66)+Inputs!$E$5*(Q66+S66)</f>
        <v>5974.52768371637</v>
      </c>
    </row>
    <row r="67" customFormat="false" ht="15" hidden="false" customHeight="false" outlineLevel="0" collapsed="false">
      <c r="A67" s="1" t="n">
        <v>63</v>
      </c>
      <c r="B67" s="81" t="n">
        <f aca="true">RAND()</f>
        <v>0.0571578127283718</v>
      </c>
      <c r="C67" s="82" t="n">
        <f aca="false">ROUND(IF(B67&lt;(Inputs!$E$8-Inputs!$D$8)/(Inputs!$F$8-Inputs!$D$8),Inputs!$D$8+SQRT(B67*(Inputs!$F$8-Inputs!$D$8)*(Inputs!$E$8-Inputs!$D$8)),Inputs!$F$8-SQRT((1-B67)*(Inputs!$F$8-Inputs!$D$8)*(Inputs!$F$8-Inputs!$E$8))),0)</f>
        <v>22</v>
      </c>
      <c r="D67" s="81" t="n">
        <f aca="true">RAND()</f>
        <v>0.337684298454523</v>
      </c>
      <c r="E67" s="83" t="n">
        <f aca="false">IF(D67&lt;(Inputs!$E$10-Inputs!$D$10)/(Inputs!$F$10-Inputs!$D$10),Inputs!$D$10+SQRT(D67*(Inputs!$F$10-Inputs!$D$10)*(Inputs!$E$10-Inputs!$D$10)),Inputs!$F$10-SQRT((1-D67)*(Inputs!$F$10-Inputs!$D$10)*(Inputs!$F$10-Inputs!$E$10)))</f>
        <v>0.0590408887429964</v>
      </c>
      <c r="F67" s="81" t="n">
        <f aca="true">RAND()</f>
        <v>0.464768954292697</v>
      </c>
      <c r="G67" s="83" t="n">
        <f aca="false">IF(F67&lt;(Inputs!$E$15-Inputs!$D$15)/(Inputs!$F$15-Inputs!$D$15),Inputs!$D$15+SQRT(F67*(Inputs!$F$15-Inputs!$D$15)*(Inputs!$E$15-Inputs!$D$15)),Inputs!$F$15-SQRT((1-F67)*(Inputs!$F$15-Inputs!$D$15)*(Inputs!$F$15-Inputs!$E$15)))</f>
        <v>0.696412546309357</v>
      </c>
      <c r="H67" s="81" t="n">
        <f aca="true">RAND()</f>
        <v>0.899066913885837</v>
      </c>
      <c r="I67" s="82" t="n">
        <f aca="false">ROUND(IF(H67&lt;(Inputs!$E$17-Inputs!$D$17)/(Inputs!$F$17-Inputs!$D$17),Inputs!$D$17+SQRT(H67*(Inputs!$F$17-Inputs!$D$17)*(Inputs!$E$17-Inputs!$D$17)),Inputs!$F$17-SQRT((1-H67)*(Inputs!$F$17-Inputs!$D$17)*(Inputs!$F$17-Inputs!$E$17))),0)</f>
        <v>111</v>
      </c>
      <c r="J67" s="81" t="n">
        <f aca="true">RAND()</f>
        <v>0.742575461050806</v>
      </c>
      <c r="K67" s="83" t="n">
        <f aca="false">IF(J67&lt;(Inputs!$E$18-Inputs!$D$18)/(Inputs!$F$18-Inputs!$D$18),Inputs!$D$18+SQRT(J67*(Inputs!$F$18-Inputs!$D$18)*(Inputs!$E$18-Inputs!$D$18)),Inputs!$F$18-SQRT((1-J67)*(Inputs!$F$18-Inputs!$D$18)*(Inputs!$F$18-Inputs!$E$18)))</f>
        <v>1.09991786529352</v>
      </c>
      <c r="L67" s="81" t="n">
        <f aca="true">RAND()</f>
        <v>0.581821952259795</v>
      </c>
      <c r="M67" s="83" t="n">
        <f aca="false">IF(L67&lt;(Inputs!$E$24-Inputs!$D$24)/(Inputs!$F$24-Inputs!$D$24),Inputs!$D$24+SQRT(L67*(Inputs!$F$24-Inputs!$D$24)*(Inputs!$E$24-Inputs!$D$24)),Inputs!$F$24-SQRT((1-L67)*(Inputs!$F$24-Inputs!$D$24)*(Inputs!$F$24-Inputs!$E$24)))</f>
        <v>0.883199224341781</v>
      </c>
      <c r="N67" s="81" t="n">
        <f aca="true">RAND()</f>
        <v>0.635930094534242</v>
      </c>
      <c r="O67" s="83" t="n">
        <f aca="false">IF(N67&lt;(Inputs!$E$26-Inputs!$D$26)/(Inputs!$F$26-Inputs!$D$26),Inputs!$D$26+SQRT(N67*(Inputs!$F$26-Inputs!$D$26)*(Inputs!$E$26-Inputs!$D$26)),Inputs!$F$26-SQRT((1-N67)*(Inputs!$F$26-Inputs!$D$26)*(Inputs!$F$26-Inputs!$E$26)))</f>
        <v>0.625415133763083</v>
      </c>
      <c r="P67" s="81" t="n">
        <f aca="true">RAND()</f>
        <v>0.150275435438942</v>
      </c>
      <c r="Q67" s="82" t="n">
        <f aca="false">IF(P67&lt;(Inputs!$E$27-Inputs!$D$27)/(Inputs!$F$27-Inputs!$D$27),Inputs!$D$27+SQRT(P67*(Inputs!$F$27-Inputs!$D$27)*(Inputs!$E$27-Inputs!$D$27)),Inputs!$F$27-SQRT((1-P67)*(Inputs!$F$27-Inputs!$D$27)*(Inputs!$F$27-Inputs!$E$27)))</f>
        <v>69.3826878579148</v>
      </c>
      <c r="R67" s="81" t="n">
        <f aca="true">RAND()</f>
        <v>0.542307564345691</v>
      </c>
      <c r="S67" s="82" t="n">
        <f aca="false">IF(R67&lt;(Inputs!$E$29-Inputs!$D$29)/(Inputs!$F$29-Inputs!$D$29),Inputs!$D$29+SQRT(R67*(Inputs!$F$29-Inputs!$D$29)*(Inputs!$E$29-Inputs!$D$29)),Inputs!$F$29-SQRT((1-R67)*(Inputs!$F$29-Inputs!$D$29)*(Inputs!$F$29-Inputs!$E$29)))</f>
        <v>7.28637461143853</v>
      </c>
      <c r="T67" s="68" t="n">
        <f aca="false">Inputs!$E$9*(1+E67)+Inputs!$E$5*C67*(Inputs!$E$11*Inputs!$E$14*(G67*I67/Inputs!$E$16+(1-G67))*K67+Inputs!$E$23*M67)*(1+O67)+Inputs!$E$5*(Q67+S67)</f>
        <v>6024.46782656414</v>
      </c>
    </row>
    <row r="68" customFormat="false" ht="15" hidden="false" customHeight="false" outlineLevel="0" collapsed="false">
      <c r="A68" s="1" t="n">
        <v>64</v>
      </c>
      <c r="B68" s="81" t="n">
        <f aca="true">RAND()</f>
        <v>0.751016557694506</v>
      </c>
      <c r="C68" s="82" t="n">
        <f aca="false">ROUND(IF(B68&lt;(Inputs!$E$8-Inputs!$D$8)/(Inputs!$F$8-Inputs!$D$8),Inputs!$D$8+SQRT(B68*(Inputs!$F$8-Inputs!$D$8)*(Inputs!$E$8-Inputs!$D$8)),Inputs!$F$8-SQRT((1-B68)*(Inputs!$F$8-Inputs!$D$8)*(Inputs!$F$8-Inputs!$E$8))),0)</f>
        <v>26</v>
      </c>
      <c r="D68" s="81" t="n">
        <f aca="true">RAND()</f>
        <v>0.418937678529601</v>
      </c>
      <c r="E68" s="83" t="n">
        <f aca="false">IF(D68&lt;(Inputs!$E$10-Inputs!$D$10)/(Inputs!$F$10-Inputs!$D$10),Inputs!$D$10+SQRT(D68*(Inputs!$F$10-Inputs!$D$10)*(Inputs!$E$10-Inputs!$D$10)),Inputs!$F$10-SQRT((1-D68)*(Inputs!$F$10-Inputs!$D$10)*(Inputs!$F$10-Inputs!$E$10)))</f>
        <v>0.0679701941071185</v>
      </c>
      <c r="F68" s="81" t="n">
        <f aca="true">RAND()</f>
        <v>0.949589285553299</v>
      </c>
      <c r="G68" s="83" t="n">
        <f aca="false">IF(F68&lt;(Inputs!$E$15-Inputs!$D$15)/(Inputs!$F$15-Inputs!$D$15),Inputs!$D$15+SQRT(F68*(Inputs!$F$15-Inputs!$D$15)*(Inputs!$E$15-Inputs!$D$15)),Inputs!$F$15-SQRT((1-F68)*(Inputs!$F$15-Inputs!$D$15)*(Inputs!$F$15-Inputs!$E$15)))</f>
        <v>0.768247609713062</v>
      </c>
      <c r="H68" s="81" t="n">
        <f aca="true">RAND()</f>
        <v>0.0180036667217202</v>
      </c>
      <c r="I68" s="82" t="n">
        <f aca="false">ROUND(IF(H68&lt;(Inputs!$E$17-Inputs!$D$17)/(Inputs!$F$17-Inputs!$D$17),Inputs!$D$17+SQRT(H68*(Inputs!$F$17-Inputs!$D$17)*(Inputs!$E$17-Inputs!$D$17)),Inputs!$F$17-SQRT((1-H68)*(Inputs!$F$17-Inputs!$D$17)*(Inputs!$F$17-Inputs!$E$17))),0)</f>
        <v>101</v>
      </c>
      <c r="J68" s="81" t="n">
        <f aca="true">RAND()</f>
        <v>0.585189602614116</v>
      </c>
      <c r="K68" s="83" t="n">
        <f aca="false">IF(J68&lt;(Inputs!$E$18-Inputs!$D$18)/(Inputs!$F$18-Inputs!$D$18),Inputs!$D$18+SQRT(J68*(Inputs!$F$18-Inputs!$D$18)*(Inputs!$E$18-Inputs!$D$18)),Inputs!$F$18-SQRT((1-J68)*(Inputs!$F$18-Inputs!$D$18)*(Inputs!$F$18-Inputs!$E$18)))</f>
        <v>1.05948514553646</v>
      </c>
      <c r="L68" s="81" t="n">
        <f aca="true">RAND()</f>
        <v>0.377486455450598</v>
      </c>
      <c r="M68" s="83" t="n">
        <f aca="false">IF(L68&lt;(Inputs!$E$24-Inputs!$D$24)/(Inputs!$F$24-Inputs!$D$24),Inputs!$D$24+SQRT(L68*(Inputs!$F$24-Inputs!$D$24)*(Inputs!$E$24-Inputs!$D$24)),Inputs!$F$24-SQRT((1-L68)*(Inputs!$F$24-Inputs!$D$24)*(Inputs!$F$24-Inputs!$E$24)))</f>
        <v>0.813472833177464</v>
      </c>
      <c r="N68" s="81" t="n">
        <f aca="true">RAND()</f>
        <v>0.941198730049331</v>
      </c>
      <c r="O68" s="83" t="n">
        <f aca="false">IF(N68&lt;(Inputs!$E$26-Inputs!$D$26)/(Inputs!$F$26-Inputs!$D$26),Inputs!$D$26+SQRT(N68*(Inputs!$F$26-Inputs!$D$26)*(Inputs!$E$26-Inputs!$D$26)),Inputs!$F$26-SQRT((1-N68)*(Inputs!$F$26-Inputs!$D$26)*(Inputs!$F$26-Inputs!$E$26)))</f>
        <v>0.741799411288216</v>
      </c>
      <c r="P68" s="81" t="n">
        <f aca="true">RAND()</f>
        <v>0.75444851591164</v>
      </c>
      <c r="Q68" s="82" t="n">
        <f aca="false">IF(P68&lt;(Inputs!$E$27-Inputs!$D$27)/(Inputs!$F$27-Inputs!$D$27),Inputs!$D$27+SQRT(P68*(Inputs!$F$27-Inputs!$D$27)*(Inputs!$E$27-Inputs!$D$27)),Inputs!$F$27-SQRT((1-P68)*(Inputs!$F$27-Inputs!$D$27)*(Inputs!$F$27-Inputs!$E$27)))</f>
        <v>107.085711812233</v>
      </c>
      <c r="R68" s="81" t="n">
        <f aca="true">RAND()</f>
        <v>0.442806928888318</v>
      </c>
      <c r="S68" s="82" t="n">
        <f aca="false">IF(R68&lt;(Inputs!$E$29-Inputs!$D$29)/(Inputs!$F$29-Inputs!$D$29),Inputs!$D$29+SQRT(R68*(Inputs!$F$29-Inputs!$D$29)*(Inputs!$E$29-Inputs!$D$29)),Inputs!$F$29-SQRT((1-R68)*(Inputs!$F$29-Inputs!$D$29)*(Inputs!$F$29-Inputs!$E$29)))</f>
        <v>6.48911877391543</v>
      </c>
      <c r="T68" s="68" t="n">
        <f aca="false">Inputs!$E$9*(1+E68)+Inputs!$E$5*C68*(Inputs!$E$11*Inputs!$E$14*(G68*I68/Inputs!$E$16+(1-G68))*K68+Inputs!$E$23*M68)*(1+O68)+Inputs!$E$5*(Q68+S68)</f>
        <v>6636.95377206428</v>
      </c>
    </row>
    <row r="69" customFormat="false" ht="15" hidden="false" customHeight="false" outlineLevel="0" collapsed="false">
      <c r="A69" s="1" t="n">
        <v>65</v>
      </c>
      <c r="B69" s="81" t="n">
        <f aca="true">RAND()</f>
        <v>0.705409537251812</v>
      </c>
      <c r="C69" s="82" t="n">
        <f aca="false">ROUND(IF(B69&lt;(Inputs!$E$8-Inputs!$D$8)/(Inputs!$F$8-Inputs!$D$8),Inputs!$D$8+SQRT(B69*(Inputs!$F$8-Inputs!$D$8)*(Inputs!$E$8-Inputs!$D$8)),Inputs!$F$8-SQRT((1-B69)*(Inputs!$F$8-Inputs!$D$8)*(Inputs!$F$8-Inputs!$E$8))),0)</f>
        <v>26</v>
      </c>
      <c r="D69" s="81" t="n">
        <f aca="true">RAND()</f>
        <v>0.901960216398148</v>
      </c>
      <c r="E69" s="83" t="n">
        <f aca="false">IF(D69&lt;(Inputs!$E$10-Inputs!$D$10)/(Inputs!$F$10-Inputs!$D$10),Inputs!$D$10+SQRT(D69*(Inputs!$F$10-Inputs!$D$10)*(Inputs!$E$10-Inputs!$D$10)),Inputs!$F$10-SQRT((1-D69)*(Inputs!$F$10-Inputs!$D$10)*(Inputs!$F$10-Inputs!$E$10)))</f>
        <v>0.145767228467876</v>
      </c>
      <c r="F69" s="81" t="n">
        <f aca="true">RAND()</f>
        <v>0.186992680024253</v>
      </c>
      <c r="G69" s="83" t="n">
        <f aca="false">IF(F69&lt;(Inputs!$E$15-Inputs!$D$15)/(Inputs!$F$15-Inputs!$D$15),Inputs!$D$15+SQRT(F69*(Inputs!$F$15-Inputs!$D$15)*(Inputs!$E$15-Inputs!$D$15)),Inputs!$F$15-SQRT((1-F69)*(Inputs!$F$15-Inputs!$D$15)*(Inputs!$F$15-Inputs!$E$15)))</f>
        <v>0.661154342449944</v>
      </c>
      <c r="H69" s="81" t="n">
        <f aca="true">RAND()</f>
        <v>0.533470683914783</v>
      </c>
      <c r="I69" s="82" t="n">
        <f aca="false">ROUND(IF(H69&lt;(Inputs!$E$17-Inputs!$D$17)/(Inputs!$F$17-Inputs!$D$17),Inputs!$D$17+SQRT(H69*(Inputs!$F$17-Inputs!$D$17)*(Inputs!$E$17-Inputs!$D$17)),Inputs!$F$17-SQRT((1-H69)*(Inputs!$F$17-Inputs!$D$17)*(Inputs!$F$17-Inputs!$E$17))),0)</f>
        <v>107</v>
      </c>
      <c r="J69" s="81" t="n">
        <f aca="true">RAND()</f>
        <v>0.203567350994147</v>
      </c>
      <c r="K69" s="83" t="n">
        <f aca="false">IF(J69&lt;(Inputs!$E$18-Inputs!$D$18)/(Inputs!$F$18-Inputs!$D$18),Inputs!$D$18+SQRT(J69*(Inputs!$F$18-Inputs!$D$18)*(Inputs!$E$18-Inputs!$D$18)),Inputs!$F$18-SQRT((1-J69)*(Inputs!$F$18-Inputs!$D$18)*(Inputs!$F$18-Inputs!$E$18)))</f>
        <v>0.984408869704523</v>
      </c>
      <c r="L69" s="81" t="n">
        <f aca="true">RAND()</f>
        <v>0.613530414394873</v>
      </c>
      <c r="M69" s="83" t="n">
        <f aca="false">IF(L69&lt;(Inputs!$E$24-Inputs!$D$24)/(Inputs!$F$24-Inputs!$D$24),Inputs!$D$24+SQRT(L69*(Inputs!$F$24-Inputs!$D$24)*(Inputs!$E$24-Inputs!$D$24)),Inputs!$F$24-SQRT((1-L69)*(Inputs!$F$24-Inputs!$D$24)*(Inputs!$F$24-Inputs!$E$24)))</f>
        <v>0.89544671969386</v>
      </c>
      <c r="N69" s="81" t="n">
        <f aca="true">RAND()</f>
        <v>0.987694518700239</v>
      </c>
      <c r="O69" s="83" t="n">
        <f aca="false">IF(N69&lt;(Inputs!$E$26-Inputs!$D$26)/(Inputs!$F$26-Inputs!$D$26),Inputs!$D$26+SQRT(N69*(Inputs!$F$26-Inputs!$D$26)*(Inputs!$E$26-Inputs!$D$26)),Inputs!$F$26-SQRT((1-N69)*(Inputs!$F$26-Inputs!$D$26)*(Inputs!$F$26-Inputs!$E$26)))</f>
        <v>0.784226126080964</v>
      </c>
      <c r="P69" s="81" t="n">
        <f aca="true">RAND()</f>
        <v>0.0438155310225447</v>
      </c>
      <c r="Q69" s="82" t="n">
        <f aca="false">IF(P69&lt;(Inputs!$E$27-Inputs!$D$27)/(Inputs!$F$27-Inputs!$D$27),Inputs!$D$27+SQRT(P69*(Inputs!$F$27-Inputs!$D$27)*(Inputs!$E$27-Inputs!$D$27)),Inputs!$F$27-SQRT((1-P69)*(Inputs!$F$27-Inputs!$D$27)*(Inputs!$F$27-Inputs!$E$27)))</f>
        <v>60.4660798562003</v>
      </c>
      <c r="R69" s="81" t="n">
        <f aca="true">RAND()</f>
        <v>0.226380037006779</v>
      </c>
      <c r="S69" s="82" t="n">
        <f aca="false">IF(R69&lt;(Inputs!$E$29-Inputs!$D$29)/(Inputs!$F$29-Inputs!$D$29),Inputs!$D$29+SQRT(R69*(Inputs!$F$29-Inputs!$D$29)*(Inputs!$E$29-Inputs!$D$29)),Inputs!$F$29-SQRT((1-R69)*(Inputs!$F$29-Inputs!$D$29)*(Inputs!$F$29-Inputs!$E$29)))</f>
        <v>4.97133327704321</v>
      </c>
      <c r="T69" s="68" t="n">
        <f aca="false">Inputs!$E$9*(1+E69)+Inputs!$E$5*C69*(Inputs!$E$11*Inputs!$E$14*(G69*I69/Inputs!$E$16+(1-G69))*K69+Inputs!$E$23*M69)*(1+O69)+Inputs!$E$5*(Q69+S69)</f>
        <v>6865.36406185924</v>
      </c>
    </row>
    <row r="70" customFormat="false" ht="15" hidden="false" customHeight="false" outlineLevel="0" collapsed="false">
      <c r="A70" s="1" t="n">
        <v>66</v>
      </c>
      <c r="B70" s="81" t="n">
        <f aca="true">RAND()</f>
        <v>0.786290020478062</v>
      </c>
      <c r="C70" s="82" t="n">
        <f aca="false">ROUND(IF(B70&lt;(Inputs!$E$8-Inputs!$D$8)/(Inputs!$F$8-Inputs!$D$8),Inputs!$D$8+SQRT(B70*(Inputs!$F$8-Inputs!$D$8)*(Inputs!$E$8-Inputs!$D$8)),Inputs!$F$8-SQRT((1-B70)*(Inputs!$F$8-Inputs!$D$8)*(Inputs!$F$8-Inputs!$E$8))),0)</f>
        <v>27</v>
      </c>
      <c r="D70" s="81" t="n">
        <f aca="true">RAND()</f>
        <v>0.243015508585875</v>
      </c>
      <c r="E70" s="83" t="n">
        <f aca="false">IF(D70&lt;(Inputs!$E$10-Inputs!$D$10)/(Inputs!$F$10-Inputs!$D$10),Inputs!$D$10+SQRT(D70*(Inputs!$F$10-Inputs!$D$10)*(Inputs!$E$10-Inputs!$D$10)),Inputs!$F$10-SQRT((1-D70)*(Inputs!$F$10-Inputs!$D$10)*(Inputs!$F$10-Inputs!$E$10)))</f>
        <v>0.0492966031878339</v>
      </c>
      <c r="F70" s="81" t="n">
        <f aca="true">RAND()</f>
        <v>0.0702679241786825</v>
      </c>
      <c r="G70" s="83" t="n">
        <f aca="false">IF(F70&lt;(Inputs!$E$15-Inputs!$D$15)/(Inputs!$F$15-Inputs!$D$15),Inputs!$D$15+SQRT(F70*(Inputs!$F$15-Inputs!$D$15)*(Inputs!$E$15-Inputs!$D$15)),Inputs!$F$15-SQRT((1-F70)*(Inputs!$F$15-Inputs!$D$15)*(Inputs!$F$15-Inputs!$E$15)))</f>
        <v>0.637488111229744</v>
      </c>
      <c r="H70" s="81" t="n">
        <f aca="true">RAND()</f>
        <v>0.916593681108625</v>
      </c>
      <c r="I70" s="82" t="n">
        <f aca="false">ROUND(IF(H70&lt;(Inputs!$E$17-Inputs!$D$17)/(Inputs!$F$17-Inputs!$D$17),Inputs!$D$17+SQRT(H70*(Inputs!$F$17-Inputs!$D$17)*(Inputs!$E$17-Inputs!$D$17)),Inputs!$F$17-SQRT((1-H70)*(Inputs!$F$17-Inputs!$D$17)*(Inputs!$F$17-Inputs!$E$17))),0)</f>
        <v>111</v>
      </c>
      <c r="J70" s="81" t="n">
        <f aca="true">RAND()</f>
        <v>0.393530993944513</v>
      </c>
      <c r="K70" s="83" t="n">
        <f aca="false">IF(J70&lt;(Inputs!$E$18-Inputs!$D$18)/(Inputs!$F$18-Inputs!$D$18),Inputs!$D$18+SQRT(J70*(Inputs!$F$18-Inputs!$D$18)*(Inputs!$E$18-Inputs!$D$18)),Inputs!$F$18-SQRT((1-J70)*(Inputs!$F$18-Inputs!$D$18)*(Inputs!$F$18-Inputs!$E$18)))</f>
        <v>1.01963933054913</v>
      </c>
      <c r="L70" s="81" t="n">
        <f aca="true">RAND()</f>
        <v>0.00239736879486911</v>
      </c>
      <c r="M70" s="83" t="n">
        <f aca="false">IF(L70&lt;(Inputs!$E$24-Inputs!$D$24)/(Inputs!$F$24-Inputs!$D$24),Inputs!$D$24+SQRT(L70*(Inputs!$F$24-Inputs!$D$24)*(Inputs!$E$24-Inputs!$D$24)),Inputs!$F$24-SQRT((1-L70)*(Inputs!$F$24-Inputs!$D$24)*(Inputs!$F$24-Inputs!$E$24)))</f>
        <v>0.616961257482401</v>
      </c>
      <c r="N70" s="81" t="n">
        <f aca="true">RAND()</f>
        <v>0.73920376930553</v>
      </c>
      <c r="O70" s="83" t="n">
        <f aca="false">IF(N70&lt;(Inputs!$E$26-Inputs!$D$26)/(Inputs!$F$26-Inputs!$D$26),Inputs!$D$26+SQRT(N70*(Inputs!$F$26-Inputs!$D$26)*(Inputs!$E$26-Inputs!$D$26)),Inputs!$F$26-SQRT((1-N70)*(Inputs!$F$26-Inputs!$D$26)*(Inputs!$F$26-Inputs!$E$26)))</f>
        <v>0.655309963895125</v>
      </c>
      <c r="P70" s="81" t="n">
        <f aca="true">RAND()</f>
        <v>0.0980339945657013</v>
      </c>
      <c r="Q70" s="82" t="n">
        <f aca="false">IF(P70&lt;(Inputs!$E$27-Inputs!$D$27)/(Inputs!$F$27-Inputs!$D$27),Inputs!$D$27+SQRT(P70*(Inputs!$F$27-Inputs!$D$27)*(Inputs!$E$27-Inputs!$D$27)),Inputs!$F$27-SQRT((1-P70)*(Inputs!$F$27-Inputs!$D$27)*(Inputs!$F$27-Inputs!$E$27)))</f>
        <v>65.6551903985309</v>
      </c>
      <c r="R70" s="81" t="n">
        <f aca="true">RAND()</f>
        <v>0.0406135901265707</v>
      </c>
      <c r="S70" s="82" t="n">
        <f aca="false">IF(R70&lt;(Inputs!$E$29-Inputs!$D$29)/(Inputs!$F$29-Inputs!$D$29),Inputs!$D$29+SQRT(R70*(Inputs!$F$29-Inputs!$D$29)*(Inputs!$E$29-Inputs!$D$29)),Inputs!$F$29-SQRT((1-R70)*(Inputs!$F$29-Inputs!$D$29)*(Inputs!$F$29-Inputs!$E$29)))</f>
        <v>3.25854281410537</v>
      </c>
      <c r="T70" s="68" t="n">
        <f aca="false">Inputs!$E$9*(1+E70)+Inputs!$E$5*C70*(Inputs!$E$11*Inputs!$E$14*(G70*I70/Inputs!$E$16+(1-G70))*K70+Inputs!$E$23*M70)*(1+O70)+Inputs!$E$5*(Q70+S70)</f>
        <v>6250.70462306837</v>
      </c>
    </row>
    <row r="71" customFormat="false" ht="15" hidden="false" customHeight="false" outlineLevel="0" collapsed="false">
      <c r="A71" s="1" t="n">
        <v>67</v>
      </c>
      <c r="B71" s="81" t="n">
        <f aca="true">RAND()</f>
        <v>0.081685809903043</v>
      </c>
      <c r="C71" s="82" t="n">
        <f aca="false">ROUND(IF(B71&lt;(Inputs!$E$8-Inputs!$D$8)/(Inputs!$F$8-Inputs!$D$8),Inputs!$D$8+SQRT(B71*(Inputs!$F$8-Inputs!$D$8)*(Inputs!$E$8-Inputs!$D$8)),Inputs!$F$8-SQRT((1-B71)*(Inputs!$F$8-Inputs!$D$8)*(Inputs!$F$8-Inputs!$E$8))),0)</f>
        <v>22</v>
      </c>
      <c r="D71" s="81" t="n">
        <f aca="true">RAND()</f>
        <v>0.527631739198394</v>
      </c>
      <c r="E71" s="83" t="n">
        <f aca="false">IF(D71&lt;(Inputs!$E$10-Inputs!$D$10)/(Inputs!$F$10-Inputs!$D$10),Inputs!$D$10+SQRT(D71*(Inputs!$F$10-Inputs!$D$10)*(Inputs!$E$10-Inputs!$D$10)),Inputs!$F$10-SQRT((1-D71)*(Inputs!$F$10-Inputs!$D$10)*(Inputs!$F$10-Inputs!$E$10)))</f>
        <v>0.0809577897380589</v>
      </c>
      <c r="F71" s="81" t="n">
        <f aca="true">RAND()</f>
        <v>0.0529132351088146</v>
      </c>
      <c r="G71" s="83" t="n">
        <f aca="false">IF(F71&lt;(Inputs!$E$15-Inputs!$D$15)/(Inputs!$F$15-Inputs!$D$15),Inputs!$D$15+SQRT(F71*(Inputs!$F$15-Inputs!$D$15)*(Inputs!$E$15-Inputs!$D$15)),Inputs!$F$15-SQRT((1-F71)*(Inputs!$F$15-Inputs!$D$15)*(Inputs!$F$15-Inputs!$E$15)))</f>
        <v>0.632530980651931</v>
      </c>
      <c r="H71" s="81" t="n">
        <f aca="true">RAND()</f>
        <v>0.288222789571207</v>
      </c>
      <c r="I71" s="82" t="n">
        <f aca="false">ROUND(IF(H71&lt;(Inputs!$E$17-Inputs!$D$17)/(Inputs!$F$17-Inputs!$D$17),Inputs!$D$17+SQRT(H71*(Inputs!$F$17-Inputs!$D$17)*(Inputs!$E$17-Inputs!$D$17)),Inputs!$F$17-SQRT((1-H71)*(Inputs!$F$17-Inputs!$D$17)*(Inputs!$F$17-Inputs!$E$17))),0)</f>
        <v>105</v>
      </c>
      <c r="J71" s="81" t="n">
        <f aca="true">RAND()</f>
        <v>0.987457647165088</v>
      </c>
      <c r="K71" s="83" t="n">
        <f aca="false">IF(J71&lt;(Inputs!$E$18-Inputs!$D$18)/(Inputs!$F$18-Inputs!$D$18),Inputs!$D$18+SQRT(J71*(Inputs!$F$18-Inputs!$D$18)*(Inputs!$E$18-Inputs!$D$18)),Inputs!$F$18-SQRT((1-J71)*(Inputs!$F$18-Inputs!$D$18)*(Inputs!$F$18-Inputs!$E$18)))</f>
        <v>1.21687212845571</v>
      </c>
      <c r="L71" s="81" t="n">
        <f aca="true">RAND()</f>
        <v>0.353287401725137</v>
      </c>
      <c r="M71" s="83" t="n">
        <f aca="false">IF(L71&lt;(Inputs!$E$24-Inputs!$D$24)/(Inputs!$F$24-Inputs!$D$24),Inputs!$D$24+SQRT(L71*(Inputs!$F$24-Inputs!$D$24)*(Inputs!$E$24-Inputs!$D$24)),Inputs!$F$24-SQRT((1-L71)*(Inputs!$F$24-Inputs!$D$24)*(Inputs!$F$24-Inputs!$E$24)))</f>
        <v>0.806031697231913</v>
      </c>
      <c r="N71" s="81" t="n">
        <f aca="true">RAND()</f>
        <v>0.21660475051904</v>
      </c>
      <c r="O71" s="83" t="n">
        <f aca="false">IF(N71&lt;(Inputs!$E$26-Inputs!$D$26)/(Inputs!$F$26-Inputs!$D$26),Inputs!$D$26+SQRT(N71*(Inputs!$F$26-Inputs!$D$26)*(Inputs!$E$26-Inputs!$D$26)),Inputs!$F$26-SQRT((1-N71)*(Inputs!$F$26-Inputs!$D$26)*(Inputs!$F$26-Inputs!$E$26)))</f>
        <v>0.489850021033363</v>
      </c>
      <c r="P71" s="81" t="n">
        <f aca="true">RAND()</f>
        <v>0.456705196153856</v>
      </c>
      <c r="Q71" s="82" t="n">
        <f aca="false">IF(P71&lt;(Inputs!$E$27-Inputs!$D$27)/(Inputs!$F$27-Inputs!$D$27),Inputs!$D$27+SQRT(P71*(Inputs!$F$27-Inputs!$D$27)*(Inputs!$E$27-Inputs!$D$27)),Inputs!$F$27-SQRT((1-P71)*(Inputs!$F$27-Inputs!$D$27)*(Inputs!$F$27-Inputs!$E$27)))</f>
        <v>86.1665367628696</v>
      </c>
      <c r="R71" s="81" t="n">
        <f aca="true">RAND()</f>
        <v>0.708191608311087</v>
      </c>
      <c r="S71" s="82" t="n">
        <f aca="false">IF(R71&lt;(Inputs!$E$29-Inputs!$D$29)/(Inputs!$F$29-Inputs!$D$29),Inputs!$D$29+SQRT(R71*(Inputs!$F$29-Inputs!$D$29)*(Inputs!$E$29-Inputs!$D$29)),Inputs!$F$29-SQRT((1-R71)*(Inputs!$F$29-Inputs!$D$29)*(Inputs!$F$29-Inputs!$E$29)))</f>
        <v>8.84085306884478</v>
      </c>
      <c r="T71" s="68" t="n">
        <f aca="false">Inputs!$E$9*(1+E71)+Inputs!$E$5*C71*(Inputs!$E$11*Inputs!$E$14*(G71*I71/Inputs!$E$16+(1-G71))*K71+Inputs!$E$23*M71)*(1+O71)+Inputs!$E$5*(Q71+S71)</f>
        <v>6026.49091541775</v>
      </c>
    </row>
    <row r="72" customFormat="false" ht="15" hidden="false" customHeight="false" outlineLevel="0" collapsed="false">
      <c r="A72" s="1" t="n">
        <v>68</v>
      </c>
      <c r="B72" s="81" t="n">
        <f aca="true">RAND()</f>
        <v>0.00791873298735094</v>
      </c>
      <c r="C72" s="82" t="n">
        <f aca="false">ROUND(IF(B72&lt;(Inputs!$E$8-Inputs!$D$8)/(Inputs!$F$8-Inputs!$D$8),Inputs!$D$8+SQRT(B72*(Inputs!$F$8-Inputs!$D$8)*(Inputs!$E$8-Inputs!$D$8)),Inputs!$F$8-SQRT((1-B72)*(Inputs!$F$8-Inputs!$D$8)*(Inputs!$F$8-Inputs!$E$8))),0)</f>
        <v>21</v>
      </c>
      <c r="D72" s="81" t="n">
        <f aca="true">RAND()</f>
        <v>0.0483484583742587</v>
      </c>
      <c r="E72" s="83" t="n">
        <f aca="false">IF(D72&lt;(Inputs!$E$10-Inputs!$D$10)/(Inputs!$F$10-Inputs!$D$10),Inputs!$D$10+SQRT(D72*(Inputs!$F$10-Inputs!$D$10)*(Inputs!$E$10-Inputs!$D$10)),Inputs!$F$10-SQRT((1-D72)*(Inputs!$F$10-Inputs!$D$10)*(Inputs!$F$10-Inputs!$E$10)))</f>
        <v>0.0219882828738987</v>
      </c>
      <c r="F72" s="81" t="n">
        <f aca="true">RAND()</f>
        <v>0.50961910239209</v>
      </c>
      <c r="G72" s="83" t="n">
        <f aca="false">IF(F72&lt;(Inputs!$E$15-Inputs!$D$15)/(Inputs!$F$15-Inputs!$D$15),Inputs!$D$15+SQRT(F72*(Inputs!$F$15-Inputs!$D$15)*(Inputs!$E$15-Inputs!$D$15)),Inputs!$F$15-SQRT((1-F72)*(Inputs!$F$15-Inputs!$D$15)*(Inputs!$F$15-Inputs!$E$15)))</f>
        <v>0.700966581639539</v>
      </c>
      <c r="H72" s="81" t="n">
        <f aca="true">RAND()</f>
        <v>0.268682200160977</v>
      </c>
      <c r="I72" s="82" t="n">
        <f aca="false">ROUND(IF(H72&lt;(Inputs!$E$17-Inputs!$D$17)/(Inputs!$F$17-Inputs!$D$17),Inputs!$D$17+SQRT(H72*(Inputs!$F$17-Inputs!$D$17)*(Inputs!$E$17-Inputs!$D$17)),Inputs!$F$17-SQRT((1-H72)*(Inputs!$F$17-Inputs!$D$17)*(Inputs!$F$17-Inputs!$E$17))),0)</f>
        <v>104</v>
      </c>
      <c r="J72" s="81" t="n">
        <f aca="true">RAND()</f>
        <v>0.689479660754953</v>
      </c>
      <c r="K72" s="83" t="n">
        <f aca="false">IF(J72&lt;(Inputs!$E$18-Inputs!$D$18)/(Inputs!$F$18-Inputs!$D$18),Inputs!$D$18+SQRT(J72*(Inputs!$F$18-Inputs!$D$18)*(Inputs!$E$18-Inputs!$D$18)),Inputs!$F$18-SQRT((1-J72)*(Inputs!$F$18-Inputs!$D$18)*(Inputs!$F$18-Inputs!$E$18)))</f>
        <v>1.08516514420808</v>
      </c>
      <c r="L72" s="81" t="n">
        <f aca="true">RAND()</f>
        <v>0.986284370964699</v>
      </c>
      <c r="M72" s="83" t="n">
        <f aca="false">IF(L72&lt;(Inputs!$E$24-Inputs!$D$24)/(Inputs!$F$24-Inputs!$D$24),Inputs!$D$24+SQRT(L72*(Inputs!$F$24-Inputs!$D$24)*(Inputs!$E$24-Inputs!$D$24)),Inputs!$F$24-SQRT((1-L72)*(Inputs!$F$24-Inputs!$D$24)*(Inputs!$F$24-Inputs!$E$24)))</f>
        <v>1.14262621706326</v>
      </c>
      <c r="N72" s="81" t="n">
        <f aca="true">RAND()</f>
        <v>0.600790210221753</v>
      </c>
      <c r="O72" s="83" t="n">
        <f aca="false">IF(N72&lt;(Inputs!$E$26-Inputs!$D$26)/(Inputs!$F$26-Inputs!$D$26),Inputs!$D$26+SQRT(N72*(Inputs!$F$26-Inputs!$D$26)*(Inputs!$E$26-Inputs!$D$26)),Inputs!$F$26-SQRT((1-N72)*(Inputs!$F$26-Inputs!$D$26)*(Inputs!$F$26-Inputs!$E$26)))</f>
        <v>0.616182686086541</v>
      </c>
      <c r="P72" s="81" t="n">
        <f aca="true">RAND()</f>
        <v>0.80154677953959</v>
      </c>
      <c r="Q72" s="82" t="n">
        <f aca="false">IF(P72&lt;(Inputs!$E$27-Inputs!$D$27)/(Inputs!$F$27-Inputs!$D$27),Inputs!$D$27+SQRT(P72*(Inputs!$F$27-Inputs!$D$27)*(Inputs!$E$27-Inputs!$D$27)),Inputs!$F$27-SQRT((1-P72)*(Inputs!$F$27-Inputs!$D$27)*(Inputs!$F$27-Inputs!$E$27)))</f>
        <v>111.420223517326</v>
      </c>
      <c r="R72" s="81" t="n">
        <f aca="true">RAND()</f>
        <v>0.375065560119373</v>
      </c>
      <c r="S72" s="82" t="n">
        <f aca="false">IF(R72&lt;(Inputs!$E$29-Inputs!$D$29)/(Inputs!$F$29-Inputs!$D$29),Inputs!$D$29+SQRT(R72*(Inputs!$F$29-Inputs!$D$29)*(Inputs!$E$29-Inputs!$D$29)),Inputs!$F$29-SQRT((1-R72)*(Inputs!$F$29-Inputs!$D$29)*(Inputs!$F$29-Inputs!$E$29)))</f>
        <v>5.98659458448243</v>
      </c>
      <c r="T72" s="68" t="n">
        <f aca="false">Inputs!$E$9*(1+E72)+Inputs!$E$5*C72*(Inputs!$E$11*Inputs!$E$14*(G72*I72/Inputs!$E$16+(1-G72))*K72+Inputs!$E$23*M72)*(1+O72)+Inputs!$E$5*(Q72+S72)</f>
        <v>6183.87006553802</v>
      </c>
    </row>
    <row r="73" customFormat="false" ht="15" hidden="false" customHeight="false" outlineLevel="0" collapsed="false">
      <c r="A73" s="1" t="n">
        <v>69</v>
      </c>
      <c r="B73" s="81" t="n">
        <f aca="true">RAND()</f>
        <v>0.172129613503599</v>
      </c>
      <c r="C73" s="82" t="n">
        <f aca="false">ROUND(IF(B73&lt;(Inputs!$E$8-Inputs!$D$8)/(Inputs!$F$8-Inputs!$D$8),Inputs!$D$8+SQRT(B73*(Inputs!$F$8-Inputs!$D$8)*(Inputs!$E$8-Inputs!$D$8)),Inputs!$F$8-SQRT((1-B73)*(Inputs!$F$8-Inputs!$D$8)*(Inputs!$F$8-Inputs!$E$8))),0)</f>
        <v>23</v>
      </c>
      <c r="D73" s="81" t="n">
        <f aca="true">RAND()</f>
        <v>0.943016558789809</v>
      </c>
      <c r="E73" s="83" t="n">
        <f aca="false">IF(D73&lt;(Inputs!$E$10-Inputs!$D$10)/(Inputs!$F$10-Inputs!$D$10),Inputs!$D$10+SQRT(D73*(Inputs!$F$10-Inputs!$D$10)*(Inputs!$E$10-Inputs!$D$10)),Inputs!$F$10-SQRT((1-D73)*(Inputs!$F$10-Inputs!$D$10)*(Inputs!$F$10-Inputs!$E$10)))</f>
        <v>0.158653860684391</v>
      </c>
      <c r="F73" s="81" t="n">
        <f aca="true">RAND()</f>
        <v>0.764859084981372</v>
      </c>
      <c r="G73" s="83" t="n">
        <f aca="false">IF(F73&lt;(Inputs!$E$15-Inputs!$D$15)/(Inputs!$F$15-Inputs!$D$15),Inputs!$D$15+SQRT(F73*(Inputs!$F$15-Inputs!$D$15)*(Inputs!$E$15-Inputs!$D$15)),Inputs!$F$15-SQRT((1-F73)*(Inputs!$F$15-Inputs!$D$15)*(Inputs!$F$15-Inputs!$E$15)))</f>
        <v>0.731422902508399</v>
      </c>
      <c r="H73" s="81" t="n">
        <f aca="true">RAND()</f>
        <v>0.410152452160108</v>
      </c>
      <c r="I73" s="82" t="n">
        <f aca="false">ROUND(IF(H73&lt;(Inputs!$E$17-Inputs!$D$17)/(Inputs!$F$17-Inputs!$D$17),Inputs!$D$17+SQRT(H73*(Inputs!$F$17-Inputs!$D$17)*(Inputs!$E$17-Inputs!$D$17)),Inputs!$F$17-SQRT((1-H73)*(Inputs!$F$17-Inputs!$D$17)*(Inputs!$F$17-Inputs!$E$17))),0)</f>
        <v>106</v>
      </c>
      <c r="J73" s="81" t="n">
        <f aca="true">RAND()</f>
        <v>0.126633982288762</v>
      </c>
      <c r="K73" s="83" t="n">
        <f aca="false">IF(J73&lt;(Inputs!$E$18-Inputs!$D$18)/(Inputs!$F$18-Inputs!$D$18),Inputs!$D$18+SQRT(J73*(Inputs!$F$18-Inputs!$D$18)*(Inputs!$E$18-Inputs!$D$18)),Inputs!$F$18-SQRT((1-J73)*(Inputs!$F$18-Inputs!$D$18)*(Inputs!$F$18-Inputs!$E$18)))</f>
        <v>0.966574690236656</v>
      </c>
      <c r="L73" s="81" t="n">
        <f aca="true">RAND()</f>
        <v>0.395009200554616</v>
      </c>
      <c r="M73" s="83" t="n">
        <f aca="false">IF(L73&lt;(Inputs!$E$24-Inputs!$D$24)/(Inputs!$F$24-Inputs!$D$24),Inputs!$D$24+SQRT(L73*(Inputs!$F$24-Inputs!$D$24)*(Inputs!$E$24-Inputs!$D$24)),Inputs!$F$24-SQRT((1-L73)*(Inputs!$F$24-Inputs!$D$24)*(Inputs!$F$24-Inputs!$E$24)))</f>
        <v>0.818951719769145</v>
      </c>
      <c r="N73" s="81" t="n">
        <f aca="true">RAND()</f>
        <v>0.593839803260869</v>
      </c>
      <c r="O73" s="83" t="n">
        <f aca="false">IF(N73&lt;(Inputs!$E$26-Inputs!$D$26)/(Inputs!$F$26-Inputs!$D$26),Inputs!$D$26+SQRT(N73*(Inputs!$F$26-Inputs!$D$26)*(Inputs!$E$26-Inputs!$D$26)),Inputs!$F$26-SQRT((1-N73)*(Inputs!$F$26-Inputs!$D$26)*(Inputs!$F$26-Inputs!$E$26)))</f>
        <v>0.614348442437065</v>
      </c>
      <c r="P73" s="81" t="n">
        <f aca="true">RAND()</f>
        <v>0.88404248372669</v>
      </c>
      <c r="Q73" s="82" t="n">
        <f aca="false">IF(P73&lt;(Inputs!$E$27-Inputs!$D$27)/(Inputs!$F$27-Inputs!$D$27),Inputs!$D$27+SQRT(P73*(Inputs!$F$27-Inputs!$D$27)*(Inputs!$E$27-Inputs!$D$27)),Inputs!$F$27-SQRT((1-P73)*(Inputs!$F$27-Inputs!$D$27)*(Inputs!$F$27-Inputs!$E$27)))</f>
        <v>120.509639336729</v>
      </c>
      <c r="R73" s="81" t="n">
        <f aca="true">RAND()</f>
        <v>0.164314795449718</v>
      </c>
      <c r="S73" s="82" t="n">
        <f aca="false">IF(R73&lt;(Inputs!$E$29-Inputs!$D$29)/(Inputs!$F$29-Inputs!$D$29),Inputs!$D$29+SQRT(R73*(Inputs!$F$29-Inputs!$D$29)*(Inputs!$E$29-Inputs!$D$29)),Inputs!$F$29-SQRT((1-R73)*(Inputs!$F$29-Inputs!$D$29)*(Inputs!$F$29-Inputs!$E$29)))</f>
        <v>4.53145748977521</v>
      </c>
      <c r="T73" s="68" t="n">
        <f aca="false">Inputs!$E$9*(1+E73)+Inputs!$E$5*C73*(Inputs!$E$11*Inputs!$E$14*(G73*I73/Inputs!$E$16+(1-G73))*K73+Inputs!$E$23*M73)*(1+O73)+Inputs!$E$5*(Q73+S73)</f>
        <v>6158.95073457945</v>
      </c>
    </row>
    <row r="74" customFormat="false" ht="15" hidden="false" customHeight="false" outlineLevel="0" collapsed="false">
      <c r="A74" s="1" t="n">
        <v>70</v>
      </c>
      <c r="B74" s="81" t="n">
        <f aca="true">RAND()</f>
        <v>0.403486587073435</v>
      </c>
      <c r="C74" s="82" t="n">
        <f aca="false">ROUND(IF(B74&lt;(Inputs!$E$8-Inputs!$D$8)/(Inputs!$F$8-Inputs!$D$8),Inputs!$D$8+SQRT(B74*(Inputs!$F$8-Inputs!$D$8)*(Inputs!$E$8-Inputs!$D$8)),Inputs!$F$8-SQRT((1-B74)*(Inputs!$F$8-Inputs!$D$8)*(Inputs!$F$8-Inputs!$E$8))),0)</f>
        <v>24</v>
      </c>
      <c r="D74" s="81" t="n">
        <f aca="true">RAND()</f>
        <v>0.403863729991545</v>
      </c>
      <c r="E74" s="83" t="n">
        <f aca="false">IF(D74&lt;(Inputs!$E$10-Inputs!$D$10)/(Inputs!$F$10-Inputs!$D$10),Inputs!$D$10+SQRT(D74*(Inputs!$F$10-Inputs!$D$10)*(Inputs!$E$10-Inputs!$D$10)),Inputs!$F$10-SQRT((1-D74)*(Inputs!$F$10-Inputs!$D$10)*(Inputs!$F$10-Inputs!$E$10)))</f>
        <v>0.0662685971798185</v>
      </c>
      <c r="F74" s="81" t="n">
        <f aca="true">RAND()</f>
        <v>0.456907646936633</v>
      </c>
      <c r="G74" s="83" t="n">
        <f aca="false">IF(F74&lt;(Inputs!$E$15-Inputs!$D$15)/(Inputs!$F$15-Inputs!$D$15),Inputs!$D$15+SQRT(F74*(Inputs!$F$15-Inputs!$D$15)*(Inputs!$E$15-Inputs!$D$15)),Inputs!$F$15-SQRT((1-F74)*(Inputs!$F$15-Inputs!$D$15)*(Inputs!$F$15-Inputs!$E$15)))</f>
        <v>0.695593686709597</v>
      </c>
      <c r="H74" s="81" t="n">
        <f aca="true">RAND()</f>
        <v>0.34005020952125</v>
      </c>
      <c r="I74" s="82" t="n">
        <f aca="false">ROUND(IF(H74&lt;(Inputs!$E$17-Inputs!$D$17)/(Inputs!$F$17-Inputs!$D$17),Inputs!$D$17+SQRT(H74*(Inputs!$F$17-Inputs!$D$17)*(Inputs!$E$17-Inputs!$D$17)),Inputs!$F$17-SQRT((1-H74)*(Inputs!$F$17-Inputs!$D$17)*(Inputs!$F$17-Inputs!$E$17))),0)</f>
        <v>105</v>
      </c>
      <c r="J74" s="81" t="n">
        <f aca="true">RAND()</f>
        <v>0.635072201487237</v>
      </c>
      <c r="K74" s="83" t="n">
        <f aca="false">IF(J74&lt;(Inputs!$E$18-Inputs!$D$18)/(Inputs!$F$18-Inputs!$D$18),Inputs!$D$18+SQRT(J74*(Inputs!$F$18-Inputs!$D$18)*(Inputs!$E$18-Inputs!$D$18)),Inputs!$F$18-SQRT((1-J74)*(Inputs!$F$18-Inputs!$D$18)*(Inputs!$F$18-Inputs!$E$18)))</f>
        <v>1.07130701645037</v>
      </c>
      <c r="L74" s="81" t="n">
        <f aca="true">RAND()</f>
        <v>0.586041171910829</v>
      </c>
      <c r="M74" s="83" t="n">
        <f aca="false">IF(L74&lt;(Inputs!$E$24-Inputs!$D$24)/(Inputs!$F$24-Inputs!$D$24),Inputs!$D$24+SQRT(L74*(Inputs!$F$24-Inputs!$D$24)*(Inputs!$E$24-Inputs!$D$24)),Inputs!$F$24-SQRT((1-L74)*(Inputs!$F$24-Inputs!$D$24)*(Inputs!$F$24-Inputs!$E$24)))</f>
        <v>0.884801461390759</v>
      </c>
      <c r="N74" s="81" t="n">
        <f aca="true">RAND()</f>
        <v>0.402454006855119</v>
      </c>
      <c r="O74" s="83" t="n">
        <f aca="false">IF(N74&lt;(Inputs!$E$26-Inputs!$D$26)/(Inputs!$F$26-Inputs!$D$26),Inputs!$D$26+SQRT(N74*(Inputs!$F$26-Inputs!$D$26)*(Inputs!$E$26-Inputs!$D$26)),Inputs!$F$26-SQRT((1-N74)*(Inputs!$F$26-Inputs!$D$26)*(Inputs!$F$26-Inputs!$E$26)))</f>
        <v>0.558782431282906</v>
      </c>
      <c r="P74" s="81" t="n">
        <f aca="true">RAND()</f>
        <v>0.551602082707149</v>
      </c>
      <c r="Q74" s="82" t="n">
        <f aca="false">IF(P74&lt;(Inputs!$E$27-Inputs!$D$27)/(Inputs!$F$27-Inputs!$D$27),Inputs!$D$27+SQRT(P74*(Inputs!$F$27-Inputs!$D$27)*(Inputs!$E$27-Inputs!$D$27)),Inputs!$F$27-SQRT((1-P74)*(Inputs!$F$27-Inputs!$D$27)*(Inputs!$F$27-Inputs!$E$27)))</f>
        <v>92.0087560083733</v>
      </c>
      <c r="R74" s="81" t="n">
        <f aca="true">RAND()</f>
        <v>0.885455687082952</v>
      </c>
      <c r="S74" s="82" t="n">
        <f aca="false">IF(R74&lt;(Inputs!$E$29-Inputs!$D$29)/(Inputs!$F$29-Inputs!$D$29),Inputs!$D$29+SQRT(R74*(Inputs!$F$29-Inputs!$D$29)*(Inputs!$E$29-Inputs!$D$29)),Inputs!$F$29-SQRT((1-R74)*(Inputs!$F$29-Inputs!$D$29)*(Inputs!$F$29-Inputs!$E$29)))</f>
        <v>11.1411451596081</v>
      </c>
      <c r="T74" s="68" t="n">
        <f aca="false">Inputs!$E$9*(1+E74)+Inputs!$E$5*C74*(Inputs!$E$11*Inputs!$E$14*(G74*I74/Inputs!$E$16+(1-G74))*K74+Inputs!$E$23*M74)*(1+O74)+Inputs!$E$5*(Q74+S74)</f>
        <v>6199.76044234557</v>
      </c>
    </row>
    <row r="75" customFormat="false" ht="15" hidden="false" customHeight="false" outlineLevel="0" collapsed="false">
      <c r="A75" s="1" t="n">
        <v>71</v>
      </c>
      <c r="B75" s="81" t="n">
        <f aca="true">RAND()</f>
        <v>0.413780491925382</v>
      </c>
      <c r="C75" s="82" t="n">
        <f aca="false">ROUND(IF(B75&lt;(Inputs!$E$8-Inputs!$D$8)/(Inputs!$F$8-Inputs!$D$8),Inputs!$D$8+SQRT(B75*(Inputs!$F$8-Inputs!$D$8)*(Inputs!$E$8-Inputs!$D$8)),Inputs!$F$8-SQRT((1-B75)*(Inputs!$F$8-Inputs!$D$8)*(Inputs!$F$8-Inputs!$E$8))),0)</f>
        <v>25</v>
      </c>
      <c r="D75" s="81" t="n">
        <f aca="true">RAND()</f>
        <v>0.693342934384521</v>
      </c>
      <c r="E75" s="83" t="n">
        <f aca="false">IF(D75&lt;(Inputs!$E$10-Inputs!$D$10)/(Inputs!$F$10-Inputs!$D$10),Inputs!$D$10+SQRT(D75*(Inputs!$F$10-Inputs!$D$10)*(Inputs!$E$10-Inputs!$D$10)),Inputs!$F$10-SQRT((1-D75)*(Inputs!$F$10-Inputs!$D$10)*(Inputs!$F$10-Inputs!$E$10)))</f>
        <v>0.10408487101367</v>
      </c>
      <c r="F75" s="81" t="n">
        <f aca="true">RAND()</f>
        <v>0.650030661824634</v>
      </c>
      <c r="G75" s="83" t="n">
        <f aca="false">IF(F75&lt;(Inputs!$E$15-Inputs!$D$15)/(Inputs!$F$15-Inputs!$D$15),Inputs!$D$15+SQRT(F75*(Inputs!$F$15-Inputs!$D$15)*(Inputs!$E$15-Inputs!$D$15)),Inputs!$F$15-SQRT((1-F75)*(Inputs!$F$15-Inputs!$D$15)*(Inputs!$F$15-Inputs!$E$15)))</f>
        <v>0.716337662215861</v>
      </c>
      <c r="H75" s="81" t="n">
        <f aca="true">RAND()</f>
        <v>0.0946940233903107</v>
      </c>
      <c r="I75" s="82" t="n">
        <f aca="false">ROUND(IF(H75&lt;(Inputs!$E$17-Inputs!$D$17)/(Inputs!$F$17-Inputs!$D$17),Inputs!$D$17+SQRT(H75*(Inputs!$F$17-Inputs!$D$17)*(Inputs!$E$17-Inputs!$D$17)),Inputs!$F$17-SQRT((1-H75)*(Inputs!$F$17-Inputs!$D$17)*(Inputs!$F$17-Inputs!$E$17))),0)</f>
        <v>103</v>
      </c>
      <c r="J75" s="81" t="n">
        <f aca="true">RAND()</f>
        <v>0.916455742386322</v>
      </c>
      <c r="K75" s="83" t="n">
        <f aca="false">IF(J75&lt;(Inputs!$E$18-Inputs!$D$18)/(Inputs!$F$18-Inputs!$D$18),Inputs!$D$18+SQRT(J75*(Inputs!$F$18-Inputs!$D$18)*(Inputs!$E$18-Inputs!$D$18)),Inputs!$F$18-SQRT((1-J75)*(Inputs!$F$18-Inputs!$D$18)*(Inputs!$F$18-Inputs!$E$18)))</f>
        <v>1.16450074537637</v>
      </c>
      <c r="L75" s="81" t="n">
        <f aca="true">RAND()</f>
        <v>0.4312520582588</v>
      </c>
      <c r="M75" s="83" t="n">
        <f aca="false">IF(L75&lt;(Inputs!$E$24-Inputs!$D$24)/(Inputs!$F$24-Inputs!$D$24),Inputs!$D$24+SQRT(L75*(Inputs!$F$24-Inputs!$D$24)*(Inputs!$E$24-Inputs!$D$24)),Inputs!$F$24-SQRT((1-L75)*(Inputs!$F$24-Inputs!$D$24)*(Inputs!$F$24-Inputs!$E$24)))</f>
        <v>0.830541604483146</v>
      </c>
      <c r="N75" s="81" t="n">
        <f aca="true">RAND()</f>
        <v>0.341956315025728</v>
      </c>
      <c r="O75" s="83" t="n">
        <f aca="false">IF(N75&lt;(Inputs!$E$26-Inputs!$D$26)/(Inputs!$F$26-Inputs!$D$26),Inputs!$D$26+SQRT(N75*(Inputs!$F$26-Inputs!$D$26)*(Inputs!$E$26-Inputs!$D$26)),Inputs!$F$26-SQRT((1-N75)*(Inputs!$F$26-Inputs!$D$26)*(Inputs!$F$26-Inputs!$E$26)))</f>
        <v>0.538540417582181</v>
      </c>
      <c r="P75" s="81" t="n">
        <f aca="true">RAND()</f>
        <v>0.108259373260505</v>
      </c>
      <c r="Q75" s="82" t="n">
        <f aca="false">IF(P75&lt;(Inputs!$E$27-Inputs!$D$27)/(Inputs!$F$27-Inputs!$D$27),Inputs!$D$27+SQRT(P75*(Inputs!$F$27-Inputs!$D$27)*(Inputs!$E$27-Inputs!$D$27)),Inputs!$F$27-SQRT((1-P75)*(Inputs!$F$27-Inputs!$D$27)*(Inputs!$F$27-Inputs!$E$27)))</f>
        <v>66.4513960851735</v>
      </c>
      <c r="R75" s="81" t="n">
        <f aca="true">RAND()</f>
        <v>0.234909163213873</v>
      </c>
      <c r="S75" s="82" t="n">
        <f aca="false">IF(R75&lt;(Inputs!$E$29-Inputs!$D$29)/(Inputs!$F$29-Inputs!$D$29),Inputs!$D$29+SQRT(R75*(Inputs!$F$29-Inputs!$D$29)*(Inputs!$E$29-Inputs!$D$29)),Inputs!$F$29-SQRT((1-R75)*(Inputs!$F$29-Inputs!$D$29)*(Inputs!$F$29-Inputs!$E$29)))</f>
        <v>5.02694586487186</v>
      </c>
      <c r="T75" s="68" t="n">
        <f aca="false">Inputs!$E$9*(1+E75)+Inputs!$E$5*C75*(Inputs!$E$11*Inputs!$E$14*(G75*I75/Inputs!$E$16+(1-G75))*K75+Inputs!$E$23*M75)*(1+O75)+Inputs!$E$5*(Q75+S75)</f>
        <v>6279.49251063065</v>
      </c>
    </row>
    <row r="76" customFormat="false" ht="15" hidden="false" customHeight="false" outlineLevel="0" collapsed="false">
      <c r="A76" s="1" t="n">
        <v>72</v>
      </c>
      <c r="B76" s="81" t="n">
        <f aca="true">RAND()</f>
        <v>0.435753165486532</v>
      </c>
      <c r="C76" s="82" t="n">
        <f aca="false">ROUND(IF(B76&lt;(Inputs!$E$8-Inputs!$D$8)/(Inputs!$F$8-Inputs!$D$8),Inputs!$D$8+SQRT(B76*(Inputs!$F$8-Inputs!$D$8)*(Inputs!$E$8-Inputs!$D$8)),Inputs!$F$8-SQRT((1-B76)*(Inputs!$F$8-Inputs!$D$8)*(Inputs!$F$8-Inputs!$E$8))),0)</f>
        <v>25</v>
      </c>
      <c r="D76" s="81" t="n">
        <f aca="true">RAND()</f>
        <v>0.78449095803147</v>
      </c>
      <c r="E76" s="83" t="n">
        <f aca="false">IF(D76&lt;(Inputs!$E$10-Inputs!$D$10)/(Inputs!$F$10-Inputs!$D$10),Inputs!$D$10+SQRT(D76*(Inputs!$F$10-Inputs!$D$10)*(Inputs!$E$10-Inputs!$D$10)),Inputs!$F$10-SQRT((1-D76)*(Inputs!$F$10-Inputs!$D$10)*(Inputs!$F$10-Inputs!$E$10)))</f>
        <v>0.119593089481961</v>
      </c>
      <c r="F76" s="81" t="n">
        <f aca="true">RAND()</f>
        <v>0.337668187693434</v>
      </c>
      <c r="G76" s="83" t="n">
        <f aca="false">IF(F76&lt;(Inputs!$E$15-Inputs!$D$15)/(Inputs!$F$15-Inputs!$D$15),Inputs!$D$15+SQRT(F76*(Inputs!$F$15-Inputs!$D$15)*(Inputs!$E$15-Inputs!$D$15)),Inputs!$F$15-SQRT((1-F76)*(Inputs!$F$15-Inputs!$D$15)*(Inputs!$F$15-Inputs!$E$15)))</f>
        <v>0.682178852230173</v>
      </c>
      <c r="H76" s="81" t="n">
        <f aca="true">RAND()</f>
        <v>0.0860182670033512</v>
      </c>
      <c r="I76" s="82" t="n">
        <f aca="false">ROUND(IF(H76&lt;(Inputs!$E$17-Inputs!$D$17)/(Inputs!$F$17-Inputs!$D$17),Inputs!$D$17+SQRT(H76*(Inputs!$F$17-Inputs!$D$17)*(Inputs!$E$17-Inputs!$D$17)),Inputs!$F$17-SQRT((1-H76)*(Inputs!$F$17-Inputs!$D$17)*(Inputs!$F$17-Inputs!$E$17))),0)</f>
        <v>103</v>
      </c>
      <c r="J76" s="81" t="n">
        <f aca="true">RAND()</f>
        <v>0.520756815027652</v>
      </c>
      <c r="K76" s="83" t="n">
        <f aca="false">IF(J76&lt;(Inputs!$E$18-Inputs!$D$18)/(Inputs!$F$18-Inputs!$D$18),Inputs!$D$18+SQRT(J76*(Inputs!$F$18-Inputs!$D$18)*(Inputs!$E$18-Inputs!$D$18)),Inputs!$F$18-SQRT((1-J76)*(Inputs!$F$18-Inputs!$D$18)*(Inputs!$F$18-Inputs!$E$18)))</f>
        <v>1.04522261188041</v>
      </c>
      <c r="L76" s="81" t="n">
        <f aca="true">RAND()</f>
        <v>0.117765669632514</v>
      </c>
      <c r="M76" s="83" t="n">
        <f aca="false">IF(L76&lt;(Inputs!$E$24-Inputs!$D$24)/(Inputs!$F$24-Inputs!$D$24),Inputs!$D$24+SQRT(L76*(Inputs!$F$24-Inputs!$D$24)*(Inputs!$E$24-Inputs!$D$24)),Inputs!$F$24-SQRT((1-L76)*(Inputs!$F$24-Inputs!$D$24)*(Inputs!$F$24-Inputs!$E$24)))</f>
        <v>0.718877585590815</v>
      </c>
      <c r="N76" s="81" t="n">
        <f aca="true">RAND()</f>
        <v>0.137508741818302</v>
      </c>
      <c r="O76" s="83" t="n">
        <f aca="false">IF(N76&lt;(Inputs!$E$26-Inputs!$D$26)/(Inputs!$F$26-Inputs!$D$26),Inputs!$D$26+SQRT(N76*(Inputs!$F$26-Inputs!$D$26)*(Inputs!$E$26-Inputs!$D$26)),Inputs!$F$26-SQRT((1-N76)*(Inputs!$F$26-Inputs!$D$26)*(Inputs!$F$26-Inputs!$E$26)))</f>
        <v>0.451266171494374</v>
      </c>
      <c r="P76" s="81" t="n">
        <f aca="true">RAND()</f>
        <v>0.745732820757148</v>
      </c>
      <c r="Q76" s="82" t="n">
        <f aca="false">IF(P76&lt;(Inputs!$E$27-Inputs!$D$27)/(Inputs!$F$27-Inputs!$D$27),Inputs!$D$27+SQRT(P76*(Inputs!$F$27-Inputs!$D$27)*(Inputs!$E$27-Inputs!$D$27)),Inputs!$F$27-SQRT((1-P76)*(Inputs!$F$27-Inputs!$D$27)*(Inputs!$F$27-Inputs!$E$27)))</f>
        <v>106.330744861844</v>
      </c>
      <c r="R76" s="81" t="n">
        <f aca="true">RAND()</f>
        <v>0.383853421637994</v>
      </c>
      <c r="S76" s="82" t="n">
        <f aca="false">IF(R76&lt;(Inputs!$E$29-Inputs!$D$29)/(Inputs!$F$29-Inputs!$D$29),Inputs!$D$29+SQRT(R76*(Inputs!$F$29-Inputs!$D$29)*(Inputs!$E$29-Inputs!$D$29)),Inputs!$F$29-SQRT((1-R76)*(Inputs!$F$29-Inputs!$D$29)*(Inputs!$F$29-Inputs!$E$29)))</f>
        <v>6.05019244971934</v>
      </c>
      <c r="T76" s="68" t="n">
        <f aca="false">Inputs!$E$9*(1+E76)+Inputs!$E$5*C76*(Inputs!$E$11*Inputs!$E$14*(G76*I76/Inputs!$E$16+(1-G76))*K76+Inputs!$E$23*M76)*(1+O76)+Inputs!$E$5*(Q76+S76)</f>
        <v>5992.29734905238</v>
      </c>
    </row>
    <row r="77" customFormat="false" ht="15" hidden="false" customHeight="false" outlineLevel="0" collapsed="false">
      <c r="A77" s="1" t="n">
        <v>73</v>
      </c>
      <c r="B77" s="81" t="n">
        <f aca="true">RAND()</f>
        <v>0.519564639996625</v>
      </c>
      <c r="C77" s="82" t="n">
        <f aca="false">ROUND(IF(B77&lt;(Inputs!$E$8-Inputs!$D$8)/(Inputs!$F$8-Inputs!$D$8),Inputs!$D$8+SQRT(B77*(Inputs!$F$8-Inputs!$D$8)*(Inputs!$E$8-Inputs!$D$8)),Inputs!$F$8-SQRT((1-B77)*(Inputs!$F$8-Inputs!$D$8)*(Inputs!$F$8-Inputs!$E$8))),0)</f>
        <v>25</v>
      </c>
      <c r="D77" s="81" t="n">
        <f aca="true">RAND()</f>
        <v>0.275763753504848</v>
      </c>
      <c r="E77" s="83" t="n">
        <f aca="false">IF(D77&lt;(Inputs!$E$10-Inputs!$D$10)/(Inputs!$F$10-Inputs!$D$10),Inputs!$D$10+SQRT(D77*(Inputs!$F$10-Inputs!$D$10)*(Inputs!$E$10-Inputs!$D$10)),Inputs!$F$10-SQRT((1-D77)*(Inputs!$F$10-Inputs!$D$10)*(Inputs!$F$10-Inputs!$E$10)))</f>
        <v>0.0525988894381913</v>
      </c>
      <c r="F77" s="81" t="n">
        <f aca="true">RAND()</f>
        <v>0.927170633785995</v>
      </c>
      <c r="G77" s="83" t="n">
        <f aca="false">IF(F77&lt;(Inputs!$E$15-Inputs!$D$15)/(Inputs!$F$15-Inputs!$D$15),Inputs!$D$15+SQRT(F77*(Inputs!$F$15-Inputs!$D$15)*(Inputs!$E$15-Inputs!$D$15)),Inputs!$F$15-SQRT((1-F77)*(Inputs!$F$15-Inputs!$D$15)*(Inputs!$F$15-Inputs!$E$15)))</f>
        <v>0.761834736680063</v>
      </c>
      <c r="H77" s="81" t="n">
        <f aca="true">RAND()</f>
        <v>0.312226215895526</v>
      </c>
      <c r="I77" s="82" t="n">
        <f aca="false">ROUND(IF(H77&lt;(Inputs!$E$17-Inputs!$D$17)/(Inputs!$F$17-Inputs!$D$17),Inputs!$D$17+SQRT(H77*(Inputs!$F$17-Inputs!$D$17)*(Inputs!$E$17-Inputs!$D$17)),Inputs!$F$17-SQRT((1-H77)*(Inputs!$F$17-Inputs!$D$17)*(Inputs!$F$17-Inputs!$E$17))),0)</f>
        <v>105</v>
      </c>
      <c r="J77" s="81" t="n">
        <f aca="true">RAND()</f>
        <v>0.861835102948607</v>
      </c>
      <c r="K77" s="83" t="n">
        <f aca="false">IF(J77&lt;(Inputs!$E$18-Inputs!$D$18)/(Inputs!$F$18-Inputs!$D$18),Inputs!$D$18+SQRT(J77*(Inputs!$F$18-Inputs!$D$18)*(Inputs!$E$18-Inputs!$D$18)),Inputs!$F$18-SQRT((1-J77)*(Inputs!$F$18-Inputs!$D$18)*(Inputs!$F$18-Inputs!$E$18)))</f>
        <v>1.14004806280926</v>
      </c>
      <c r="L77" s="81" t="n">
        <f aca="true">RAND()</f>
        <v>0.653839021967049</v>
      </c>
      <c r="M77" s="83" t="n">
        <f aca="false">IF(L77&lt;(Inputs!$E$24-Inputs!$D$24)/(Inputs!$F$24-Inputs!$D$24),Inputs!$D$24+SQRT(L77*(Inputs!$F$24-Inputs!$D$24)*(Inputs!$E$24-Inputs!$D$24)),Inputs!$F$24-SQRT((1-L77)*(Inputs!$F$24-Inputs!$D$24)*(Inputs!$F$24-Inputs!$E$24)))</f>
        <v>0.911766353928088</v>
      </c>
      <c r="N77" s="81" t="n">
        <f aca="true">RAND()</f>
        <v>0.502395009257739</v>
      </c>
      <c r="O77" s="83" t="n">
        <f aca="false">IF(N77&lt;(Inputs!$E$26-Inputs!$D$26)/(Inputs!$F$26-Inputs!$D$26),Inputs!$D$26+SQRT(N77*(Inputs!$F$26-Inputs!$D$26)*(Inputs!$E$26-Inputs!$D$26)),Inputs!$F$26-SQRT((1-N77)*(Inputs!$F$26-Inputs!$D$26)*(Inputs!$F$26-Inputs!$E$26)))</f>
        <v>0.589134103039555</v>
      </c>
      <c r="P77" s="81" t="n">
        <f aca="true">RAND()</f>
        <v>0.319529715565813</v>
      </c>
      <c r="Q77" s="82" t="n">
        <f aca="false">IF(P77&lt;(Inputs!$E$27-Inputs!$D$27)/(Inputs!$F$27-Inputs!$D$27),Inputs!$D$27+SQRT(P77*(Inputs!$F$27-Inputs!$D$27)*(Inputs!$E$27-Inputs!$D$27)),Inputs!$F$27-SQRT((1-P77)*(Inputs!$F$27-Inputs!$D$27)*(Inputs!$F$27-Inputs!$E$27)))</f>
        <v>78.5610251105435</v>
      </c>
      <c r="R77" s="81" t="n">
        <f aca="true">RAND()</f>
        <v>0.80285927972153</v>
      </c>
      <c r="S77" s="82" t="n">
        <f aca="false">IF(R77&lt;(Inputs!$E$29-Inputs!$D$29)/(Inputs!$F$29-Inputs!$D$29),Inputs!$D$29+SQRT(R77*(Inputs!$F$29-Inputs!$D$29)*(Inputs!$E$29-Inputs!$D$29)),Inputs!$F$29-SQRT((1-R77)*(Inputs!$F$29-Inputs!$D$29)*(Inputs!$F$29-Inputs!$E$29)))</f>
        <v>9.93756050542813</v>
      </c>
      <c r="T77" s="68" t="n">
        <f aca="false">Inputs!$E$9*(1+E77)+Inputs!$E$5*C77*(Inputs!$E$11*Inputs!$E$14*(G77*I77/Inputs!$E$16+(1-G77))*K77+Inputs!$E$23*M77)*(1+O77)+Inputs!$E$5*(Q77+S77)</f>
        <v>6388.56400898349</v>
      </c>
    </row>
    <row r="78" customFormat="false" ht="15" hidden="false" customHeight="false" outlineLevel="0" collapsed="false">
      <c r="A78" s="1" t="n">
        <v>74</v>
      </c>
      <c r="B78" s="81" t="n">
        <f aca="true">RAND()</f>
        <v>0.145224669676998</v>
      </c>
      <c r="C78" s="82" t="n">
        <f aca="false">ROUND(IF(B78&lt;(Inputs!$E$8-Inputs!$D$8)/(Inputs!$F$8-Inputs!$D$8),Inputs!$D$8+SQRT(B78*(Inputs!$F$8-Inputs!$D$8)*(Inputs!$E$8-Inputs!$D$8)),Inputs!$F$8-SQRT((1-B78)*(Inputs!$F$8-Inputs!$D$8)*(Inputs!$F$8-Inputs!$E$8))),0)</f>
        <v>23</v>
      </c>
      <c r="D78" s="81" t="n">
        <f aca="true">RAND()</f>
        <v>0.954312565554345</v>
      </c>
      <c r="E78" s="83" t="n">
        <f aca="false">IF(D78&lt;(Inputs!$E$10-Inputs!$D$10)/(Inputs!$F$10-Inputs!$D$10),Inputs!$D$10+SQRT(D78*(Inputs!$F$10-Inputs!$D$10)*(Inputs!$E$10-Inputs!$D$10)),Inputs!$F$10-SQRT((1-D78)*(Inputs!$F$10-Inputs!$D$10)*(Inputs!$F$10-Inputs!$E$10)))</f>
        <v>0.16297807361347</v>
      </c>
      <c r="F78" s="81" t="n">
        <f aca="true">RAND()</f>
        <v>0.0608560818253019</v>
      </c>
      <c r="G78" s="83" t="n">
        <f aca="false">IF(F78&lt;(Inputs!$E$15-Inputs!$D$15)/(Inputs!$F$15-Inputs!$D$15),Inputs!$D$15+SQRT(F78*(Inputs!$F$15-Inputs!$D$15)*(Inputs!$E$15-Inputs!$D$15)),Inputs!$F$15-SQRT((1-F78)*(Inputs!$F$15-Inputs!$D$15)*(Inputs!$F$15-Inputs!$E$15)))</f>
        <v>0.634887270407787</v>
      </c>
      <c r="H78" s="81" t="n">
        <f aca="true">RAND()</f>
        <v>0.745110805774807</v>
      </c>
      <c r="I78" s="82" t="n">
        <f aca="false">ROUND(IF(H78&lt;(Inputs!$E$17-Inputs!$D$17)/(Inputs!$F$17-Inputs!$D$17),Inputs!$D$17+SQRT(H78*(Inputs!$F$17-Inputs!$D$17)*(Inputs!$E$17-Inputs!$D$17)),Inputs!$F$17-SQRT((1-H78)*(Inputs!$F$17-Inputs!$D$17)*(Inputs!$F$17-Inputs!$E$17))),0)</f>
        <v>109</v>
      </c>
      <c r="J78" s="81" t="n">
        <f aca="true">RAND()</f>
        <v>0.452224900899531</v>
      </c>
      <c r="K78" s="83" t="n">
        <f aca="false">IF(J78&lt;(Inputs!$E$18-Inputs!$D$18)/(Inputs!$F$18-Inputs!$D$18),Inputs!$D$18+SQRT(J78*(Inputs!$F$18-Inputs!$D$18)*(Inputs!$E$18-Inputs!$D$18)),Inputs!$F$18-SQRT((1-J78)*(Inputs!$F$18-Inputs!$D$18)*(Inputs!$F$18-Inputs!$E$18)))</f>
        <v>1.03107005419246</v>
      </c>
      <c r="L78" s="81" t="n">
        <f aca="true">RAND()</f>
        <v>0.28243145871217</v>
      </c>
      <c r="M78" s="83" t="n">
        <f aca="false">IF(L78&lt;(Inputs!$E$24-Inputs!$D$24)/(Inputs!$F$24-Inputs!$D$24),Inputs!$D$24+SQRT(L78*(Inputs!$F$24-Inputs!$D$24)*(Inputs!$E$24-Inputs!$D$24)),Inputs!$F$24-SQRT((1-L78)*(Inputs!$F$24-Inputs!$D$24)*(Inputs!$F$24-Inputs!$E$24)))</f>
        <v>0.784097189129711</v>
      </c>
      <c r="N78" s="81" t="n">
        <f aca="true">RAND()</f>
        <v>0.586438390074724</v>
      </c>
      <c r="O78" s="83" t="n">
        <f aca="false">IF(N78&lt;(Inputs!$E$26-Inputs!$D$26)/(Inputs!$F$26-Inputs!$D$26),Inputs!$D$26+SQRT(N78*(Inputs!$F$26-Inputs!$D$26)*(Inputs!$E$26-Inputs!$D$26)),Inputs!$F$26-SQRT((1-N78)*(Inputs!$F$26-Inputs!$D$26)*(Inputs!$F$26-Inputs!$E$26)))</f>
        <v>0.612383335196412</v>
      </c>
      <c r="P78" s="81" t="n">
        <f aca="true">RAND()</f>
        <v>0.198224984236345</v>
      </c>
      <c r="Q78" s="82" t="n">
        <f aca="false">IF(P78&lt;(Inputs!$E$27-Inputs!$D$27)/(Inputs!$F$27-Inputs!$D$27),Inputs!$D$27+SQRT(P78*(Inputs!$F$27-Inputs!$D$27)*(Inputs!$E$27-Inputs!$D$27)),Inputs!$F$27-SQRT((1-P78)*(Inputs!$F$27-Inputs!$D$27)*(Inputs!$F$27-Inputs!$E$27)))</f>
        <v>72.261232234332</v>
      </c>
      <c r="R78" s="81" t="n">
        <f aca="true">RAND()</f>
        <v>0.0458058293362103</v>
      </c>
      <c r="S78" s="82" t="n">
        <f aca="false">IF(R78&lt;(Inputs!$E$29-Inputs!$D$29)/(Inputs!$F$29-Inputs!$D$29),Inputs!$D$29+SQRT(R78*(Inputs!$F$29-Inputs!$D$29)*(Inputs!$E$29-Inputs!$D$29)),Inputs!$F$29-SQRT((1-R78)*(Inputs!$F$29-Inputs!$D$29)*(Inputs!$F$29-Inputs!$E$29)))</f>
        <v>3.33657298495526</v>
      </c>
      <c r="T78" s="68" t="n">
        <f aca="false">Inputs!$E$9*(1+E78)+Inputs!$E$5*C78*(Inputs!$E$11*Inputs!$E$14*(G78*I78/Inputs!$E$16+(1-G78))*K78+Inputs!$E$23*M78)*(1+O78)+Inputs!$E$5*(Q78+S78)</f>
        <v>6149.90717726706</v>
      </c>
    </row>
    <row r="79" customFormat="false" ht="15" hidden="false" customHeight="false" outlineLevel="0" collapsed="false">
      <c r="A79" s="1" t="n">
        <v>75</v>
      </c>
      <c r="B79" s="81" t="n">
        <f aca="true">RAND()</f>
        <v>0.688965642249269</v>
      </c>
      <c r="C79" s="82" t="n">
        <f aca="false">ROUND(IF(B79&lt;(Inputs!$E$8-Inputs!$D$8)/(Inputs!$F$8-Inputs!$D$8),Inputs!$D$8+SQRT(B79*(Inputs!$F$8-Inputs!$D$8)*(Inputs!$E$8-Inputs!$D$8)),Inputs!$F$8-SQRT((1-B79)*(Inputs!$F$8-Inputs!$D$8)*(Inputs!$F$8-Inputs!$E$8))),0)</f>
        <v>26</v>
      </c>
      <c r="D79" s="81" t="n">
        <f aca="true">RAND()</f>
        <v>0.161307415955722</v>
      </c>
      <c r="E79" s="83" t="n">
        <f aca="false">IF(D79&lt;(Inputs!$E$10-Inputs!$D$10)/(Inputs!$F$10-Inputs!$D$10),Inputs!$D$10+SQRT(D79*(Inputs!$F$10-Inputs!$D$10)*(Inputs!$E$10-Inputs!$D$10)),Inputs!$F$10-SQRT((1-D79)*(Inputs!$F$10-Inputs!$D$10)*(Inputs!$F$10-Inputs!$E$10)))</f>
        <v>0.0401630944967792</v>
      </c>
      <c r="F79" s="81" t="n">
        <f aca="true">RAND()</f>
        <v>0.368980818100585</v>
      </c>
      <c r="G79" s="83" t="n">
        <f aca="false">IF(F79&lt;(Inputs!$E$15-Inputs!$D$15)/(Inputs!$F$15-Inputs!$D$15),Inputs!$D$15+SQRT(F79*(Inputs!$F$15-Inputs!$D$15)*(Inputs!$E$15-Inputs!$D$15)),Inputs!$F$15-SQRT((1-F79)*(Inputs!$F$15-Inputs!$D$15)*(Inputs!$F$15-Inputs!$E$15)))</f>
        <v>0.685904693480692</v>
      </c>
      <c r="H79" s="81" t="n">
        <f aca="true">RAND()</f>
        <v>0.234189820910343</v>
      </c>
      <c r="I79" s="82" t="n">
        <f aca="false">ROUND(IF(H79&lt;(Inputs!$E$17-Inputs!$D$17)/(Inputs!$F$17-Inputs!$D$17),Inputs!$D$17+SQRT(H79*(Inputs!$F$17-Inputs!$D$17)*(Inputs!$E$17-Inputs!$D$17)),Inputs!$F$17-SQRT((1-H79)*(Inputs!$F$17-Inputs!$D$17)*(Inputs!$F$17-Inputs!$E$17))),0)</f>
        <v>104</v>
      </c>
      <c r="J79" s="81" t="n">
        <f aca="true">RAND()</f>
        <v>0.987053144316913</v>
      </c>
      <c r="K79" s="83" t="n">
        <f aca="false">IF(J79&lt;(Inputs!$E$18-Inputs!$D$18)/(Inputs!$F$18-Inputs!$D$18),Inputs!$D$18+SQRT(J79*(Inputs!$F$18-Inputs!$D$18)*(Inputs!$E$18-Inputs!$D$18)),Inputs!$F$18-SQRT((1-J79)*(Inputs!$F$18-Inputs!$D$18)*(Inputs!$F$18-Inputs!$E$18)))</f>
        <v>1.21634216477148</v>
      </c>
      <c r="L79" s="81" t="n">
        <f aca="true">RAND()</f>
        <v>0.422204893071528</v>
      </c>
      <c r="M79" s="83" t="n">
        <f aca="false">IF(L79&lt;(Inputs!$E$24-Inputs!$D$24)/(Inputs!$F$24-Inputs!$D$24),Inputs!$D$24+SQRT(L79*(Inputs!$F$24-Inputs!$D$24)*(Inputs!$E$24-Inputs!$D$24)),Inputs!$F$24-SQRT((1-L79)*(Inputs!$F$24-Inputs!$D$24)*(Inputs!$F$24-Inputs!$E$24)))</f>
        <v>0.827614681193212</v>
      </c>
      <c r="N79" s="81" t="n">
        <f aca="true">RAND()</f>
        <v>0.781771706139256</v>
      </c>
      <c r="O79" s="83" t="n">
        <f aca="false">IF(N79&lt;(Inputs!$E$26-Inputs!$D$26)/(Inputs!$F$26-Inputs!$D$26),Inputs!$D$26+SQRT(N79*(Inputs!$F$26-Inputs!$D$26)*(Inputs!$E$26-Inputs!$D$26)),Inputs!$F$26-SQRT((1-N79)*(Inputs!$F$26-Inputs!$D$26)*(Inputs!$F$26-Inputs!$E$26)))</f>
        <v>0.669348937735184</v>
      </c>
      <c r="P79" s="81" t="n">
        <f aca="true">RAND()</f>
        <v>0.600901366773306</v>
      </c>
      <c r="Q79" s="82" t="n">
        <f aca="false">IF(P79&lt;(Inputs!$E$27-Inputs!$D$27)/(Inputs!$F$27-Inputs!$D$27),Inputs!$D$27+SQRT(P79*(Inputs!$F$27-Inputs!$D$27)*(Inputs!$E$27-Inputs!$D$27)),Inputs!$F$27-SQRT((1-P79)*(Inputs!$F$27-Inputs!$D$27)*(Inputs!$F$27-Inputs!$E$27)))</f>
        <v>95.289491418922</v>
      </c>
      <c r="R79" s="81" t="n">
        <f aca="true">RAND()</f>
        <v>0.818966807238838</v>
      </c>
      <c r="S79" s="82" t="n">
        <f aca="false">IF(R79&lt;(Inputs!$E$29-Inputs!$D$29)/(Inputs!$F$29-Inputs!$D$29),Inputs!$D$29+SQRT(R79*(Inputs!$F$29-Inputs!$D$29)*(Inputs!$E$29-Inputs!$D$29)),Inputs!$F$29-SQRT((1-R79)*(Inputs!$F$29-Inputs!$D$29)*(Inputs!$F$29-Inputs!$E$29)))</f>
        <v>10.1487821055996</v>
      </c>
      <c r="T79" s="68" t="n">
        <f aca="false">Inputs!$E$9*(1+E79)+Inputs!$E$5*C79*(Inputs!$E$11*Inputs!$E$14*(G79*I79/Inputs!$E$16+(1-G79))*K79+Inputs!$E$23*M79)*(1+O79)+Inputs!$E$5*(Q79+S79)</f>
        <v>6940.90948472449</v>
      </c>
    </row>
    <row r="80" customFormat="false" ht="15" hidden="false" customHeight="false" outlineLevel="0" collapsed="false">
      <c r="A80" s="1" t="n">
        <v>76</v>
      </c>
      <c r="B80" s="81" t="n">
        <f aca="true">RAND()</f>
        <v>0.279310201830404</v>
      </c>
      <c r="C80" s="82" t="n">
        <f aca="false">ROUND(IF(B80&lt;(Inputs!$E$8-Inputs!$D$8)/(Inputs!$F$8-Inputs!$D$8),Inputs!$D$8+SQRT(B80*(Inputs!$F$8-Inputs!$D$8)*(Inputs!$E$8-Inputs!$D$8)),Inputs!$F$8-SQRT((1-B80)*(Inputs!$F$8-Inputs!$D$8)*(Inputs!$F$8-Inputs!$E$8))),0)</f>
        <v>24</v>
      </c>
      <c r="D80" s="81" t="n">
        <f aca="true">RAND()</f>
        <v>0.752402874072124</v>
      </c>
      <c r="E80" s="83" t="n">
        <f aca="false">IF(D80&lt;(Inputs!$E$10-Inputs!$D$10)/(Inputs!$F$10-Inputs!$D$10),Inputs!$D$10+SQRT(D80*(Inputs!$F$10-Inputs!$D$10)*(Inputs!$E$10-Inputs!$D$10)),Inputs!$F$10-SQRT((1-D80)*(Inputs!$F$10-Inputs!$D$10)*(Inputs!$F$10-Inputs!$E$10)))</f>
        <v>0.113814654506487</v>
      </c>
      <c r="F80" s="81" t="n">
        <f aca="true">RAND()</f>
        <v>0.950547170176903</v>
      </c>
      <c r="G80" s="83" t="n">
        <f aca="false">IF(F80&lt;(Inputs!$E$15-Inputs!$D$15)/(Inputs!$F$15-Inputs!$D$15),Inputs!$D$15+SQRT(F80*(Inputs!$F$15-Inputs!$D$15)*(Inputs!$E$15-Inputs!$D$15)),Inputs!$F$15-SQRT((1-F80)*(Inputs!$F$15-Inputs!$D$15)*(Inputs!$F$15-Inputs!$E$15)))</f>
        <v>0.768550729794446</v>
      </c>
      <c r="H80" s="81" t="n">
        <f aca="true">RAND()</f>
        <v>0.272979820886225</v>
      </c>
      <c r="I80" s="82" t="n">
        <f aca="false">ROUND(IF(H80&lt;(Inputs!$E$17-Inputs!$D$17)/(Inputs!$F$17-Inputs!$D$17),Inputs!$D$17+SQRT(H80*(Inputs!$F$17-Inputs!$D$17)*(Inputs!$E$17-Inputs!$D$17)),Inputs!$F$17-SQRT((1-H80)*(Inputs!$F$17-Inputs!$D$17)*(Inputs!$F$17-Inputs!$E$17))),0)</f>
        <v>105</v>
      </c>
      <c r="J80" s="81" t="n">
        <f aca="true">RAND()</f>
        <v>0.521404252593447</v>
      </c>
      <c r="K80" s="83" t="n">
        <f aca="false">IF(J80&lt;(Inputs!$E$18-Inputs!$D$18)/(Inputs!$F$18-Inputs!$D$18),Inputs!$D$18+SQRT(J80*(Inputs!$F$18-Inputs!$D$18)*(Inputs!$E$18-Inputs!$D$18)),Inputs!$F$18-SQRT((1-J80)*(Inputs!$F$18-Inputs!$D$18)*(Inputs!$F$18-Inputs!$E$18)))</f>
        <v>1.04536098148673</v>
      </c>
      <c r="L80" s="81" t="n">
        <f aca="true">RAND()</f>
        <v>0.01661034009105</v>
      </c>
      <c r="M80" s="83" t="n">
        <f aca="false">IF(L80&lt;(Inputs!$E$24-Inputs!$D$24)/(Inputs!$F$24-Inputs!$D$24),Inputs!$D$24+SQRT(L80*(Inputs!$F$24-Inputs!$D$24)*(Inputs!$E$24-Inputs!$D$24)),Inputs!$F$24-SQRT((1-L80)*(Inputs!$F$24-Inputs!$D$24)*(Inputs!$F$24-Inputs!$E$24)))</f>
        <v>0.644645725561648</v>
      </c>
      <c r="N80" s="81" t="n">
        <f aca="true">RAND()</f>
        <v>0.242075374578431</v>
      </c>
      <c r="O80" s="83" t="n">
        <f aca="false">IF(N80&lt;(Inputs!$E$26-Inputs!$D$26)/(Inputs!$F$26-Inputs!$D$26),Inputs!$D$26+SQRT(N80*(Inputs!$F$26-Inputs!$D$26)*(Inputs!$E$26-Inputs!$D$26)),Inputs!$F$26-SQRT((1-N80)*(Inputs!$F$26-Inputs!$D$26)*(Inputs!$F$26-Inputs!$E$26)))</f>
        <v>0.50070212338152</v>
      </c>
      <c r="P80" s="81" t="n">
        <f aca="true">RAND()</f>
        <v>0.736152765202783</v>
      </c>
      <c r="Q80" s="82" t="n">
        <f aca="false">IF(P80&lt;(Inputs!$E$27-Inputs!$D$27)/(Inputs!$F$27-Inputs!$D$27),Inputs!$D$27+SQRT(P80*(Inputs!$F$27-Inputs!$D$27)*(Inputs!$E$27-Inputs!$D$27)),Inputs!$F$27-SQRT((1-P80)*(Inputs!$F$27-Inputs!$D$27)*(Inputs!$F$27-Inputs!$E$27)))</f>
        <v>105.515685225249</v>
      </c>
      <c r="R80" s="81" t="n">
        <f aca="true">RAND()</f>
        <v>0.336179390475441</v>
      </c>
      <c r="S80" s="82" t="n">
        <f aca="false">IF(R80&lt;(Inputs!$E$29-Inputs!$D$29)/(Inputs!$F$29-Inputs!$D$29),Inputs!$D$29+SQRT(R80*(Inputs!$F$29-Inputs!$D$29)*(Inputs!$E$29-Inputs!$D$29)),Inputs!$F$29-SQRT((1-R80)*(Inputs!$F$29-Inputs!$D$29)*(Inputs!$F$29-Inputs!$E$29)))</f>
        <v>5.71039940373147</v>
      </c>
      <c r="T80" s="68" t="n">
        <f aca="false">Inputs!$E$9*(1+E80)+Inputs!$E$5*C80*(Inputs!$E$11*Inputs!$E$14*(G80*I80/Inputs!$E$16+(1-G80))*K80+Inputs!$E$23*M80)*(1+O80)+Inputs!$E$5*(Q80+S80)</f>
        <v>5770.18884362167</v>
      </c>
    </row>
    <row r="81" customFormat="false" ht="15" hidden="false" customHeight="false" outlineLevel="0" collapsed="false">
      <c r="A81" s="1" t="n">
        <v>77</v>
      </c>
      <c r="B81" s="81" t="n">
        <f aca="true">RAND()</f>
        <v>0.613724162364032</v>
      </c>
      <c r="C81" s="82" t="n">
        <f aca="false">ROUND(IF(B81&lt;(Inputs!$E$8-Inputs!$D$8)/(Inputs!$F$8-Inputs!$D$8),Inputs!$D$8+SQRT(B81*(Inputs!$F$8-Inputs!$D$8)*(Inputs!$E$8-Inputs!$D$8)),Inputs!$F$8-SQRT((1-B81)*(Inputs!$F$8-Inputs!$D$8)*(Inputs!$F$8-Inputs!$E$8))),0)</f>
        <v>26</v>
      </c>
      <c r="D81" s="81" t="n">
        <f aca="true">RAND()</f>
        <v>0.00789544681026104</v>
      </c>
      <c r="E81" s="83" t="n">
        <f aca="false">IF(D81&lt;(Inputs!$E$10-Inputs!$D$10)/(Inputs!$F$10-Inputs!$D$10),Inputs!$D$10+SQRT(D81*(Inputs!$F$10-Inputs!$D$10)*(Inputs!$E$10-Inputs!$D$10)),Inputs!$F$10-SQRT((1-D81)*(Inputs!$F$10-Inputs!$D$10)*(Inputs!$F$10-Inputs!$E$10)))</f>
        <v>0.00888563267880292</v>
      </c>
      <c r="F81" s="81" t="n">
        <f aca="true">RAND()</f>
        <v>0.393230016621471</v>
      </c>
      <c r="G81" s="83" t="n">
        <f aca="false">IF(F81&lt;(Inputs!$E$15-Inputs!$D$15)/(Inputs!$F$15-Inputs!$D$15),Inputs!$D$15+SQRT(F81*(Inputs!$F$15-Inputs!$D$15)*(Inputs!$E$15-Inputs!$D$15)),Inputs!$F$15-SQRT((1-F81)*(Inputs!$F$15-Inputs!$D$15)*(Inputs!$F$15-Inputs!$E$15)))</f>
        <v>0.688682581899883</v>
      </c>
      <c r="H81" s="81" t="n">
        <f aca="true">RAND()</f>
        <v>0.496613979492554</v>
      </c>
      <c r="I81" s="82" t="n">
        <f aca="false">ROUND(IF(H81&lt;(Inputs!$E$17-Inputs!$D$17)/(Inputs!$F$17-Inputs!$D$17),Inputs!$D$17+SQRT(H81*(Inputs!$F$17-Inputs!$D$17)*(Inputs!$E$17-Inputs!$D$17)),Inputs!$F$17-SQRT((1-H81)*(Inputs!$F$17-Inputs!$D$17)*(Inputs!$F$17-Inputs!$E$17))),0)</f>
        <v>106</v>
      </c>
      <c r="J81" s="81" t="n">
        <f aca="true">RAND()</f>
        <v>0.499389333223069</v>
      </c>
      <c r="K81" s="83" t="n">
        <f aca="false">IF(J81&lt;(Inputs!$E$18-Inputs!$D$18)/(Inputs!$F$18-Inputs!$D$18),Inputs!$D$18+SQRT(J81*(Inputs!$F$18-Inputs!$D$18)*(Inputs!$E$18-Inputs!$D$18)),Inputs!$F$18-SQRT((1-J81)*(Inputs!$F$18-Inputs!$D$18)*(Inputs!$F$18-Inputs!$E$18)))</f>
        <v>1.04070730222251</v>
      </c>
      <c r="L81" s="81" t="n">
        <f aca="true">RAND()</f>
        <v>0.14709464024023</v>
      </c>
      <c r="M81" s="83" t="n">
        <f aca="false">IF(L81&lt;(Inputs!$E$24-Inputs!$D$24)/(Inputs!$F$24-Inputs!$D$24),Inputs!$D$24+SQRT(L81*(Inputs!$F$24-Inputs!$D$24)*(Inputs!$E$24-Inputs!$D$24)),Inputs!$F$24-SQRT((1-L81)*(Inputs!$F$24-Inputs!$D$24)*(Inputs!$F$24-Inputs!$E$24)))</f>
        <v>0.732858408950385</v>
      </c>
      <c r="N81" s="81" t="n">
        <f aca="true">RAND()</f>
        <v>0.971325491419245</v>
      </c>
      <c r="O81" s="83" t="n">
        <f aca="false">IF(N81&lt;(Inputs!$E$26-Inputs!$D$26)/(Inputs!$F$26-Inputs!$D$26),Inputs!$D$26+SQRT(N81*(Inputs!$F$26-Inputs!$D$26)*(Inputs!$E$26-Inputs!$D$26)),Inputs!$F$26-SQRT((1-N81)*(Inputs!$F$26-Inputs!$D$26)*(Inputs!$F$26-Inputs!$E$26)))</f>
        <v>0.765390944959663</v>
      </c>
      <c r="P81" s="81" t="n">
        <f aca="true">RAND()</f>
        <v>0.12087346240265</v>
      </c>
      <c r="Q81" s="82" t="n">
        <f aca="false">IF(P81&lt;(Inputs!$E$27-Inputs!$D$27)/(Inputs!$F$27-Inputs!$D$27),Inputs!$D$27+SQRT(P81*(Inputs!$F$27-Inputs!$D$27)*(Inputs!$E$27-Inputs!$D$27)),Inputs!$F$27-SQRT((1-P81)*(Inputs!$F$27-Inputs!$D$27)*(Inputs!$F$27-Inputs!$E$27)))</f>
        <v>67.3834305016767</v>
      </c>
      <c r="R81" s="81" t="n">
        <f aca="true">RAND()</f>
        <v>0.17645007290527</v>
      </c>
      <c r="S81" s="82" t="n">
        <f aca="false">IF(R81&lt;(Inputs!$E$29-Inputs!$D$29)/(Inputs!$F$29-Inputs!$D$29),Inputs!$D$29+SQRT(R81*(Inputs!$F$29-Inputs!$D$29)*(Inputs!$E$29-Inputs!$D$29)),Inputs!$F$29-SQRT((1-R81)*(Inputs!$F$29-Inputs!$D$29)*(Inputs!$F$29-Inputs!$E$29)))</f>
        <v>4.6232714010002</v>
      </c>
      <c r="T81" s="68" t="n">
        <f aca="false">Inputs!$E$9*(1+E81)+Inputs!$E$5*C81*(Inputs!$E$11*Inputs!$E$14*(G81*I81/Inputs!$E$16+(1-G81))*K81+Inputs!$E$23*M81)*(1+O81)+Inputs!$E$5*(Q81+S81)</f>
        <v>6375.74017868544</v>
      </c>
    </row>
    <row r="82" customFormat="false" ht="15" hidden="false" customHeight="false" outlineLevel="0" collapsed="false">
      <c r="A82" s="1" t="n">
        <v>78</v>
      </c>
      <c r="B82" s="81" t="n">
        <f aca="true">RAND()</f>
        <v>0.932459629832184</v>
      </c>
      <c r="C82" s="82" t="n">
        <f aca="false">ROUND(IF(B82&lt;(Inputs!$E$8-Inputs!$D$8)/(Inputs!$F$8-Inputs!$D$8),Inputs!$D$8+SQRT(B82*(Inputs!$F$8-Inputs!$D$8)*(Inputs!$E$8-Inputs!$D$8)),Inputs!$F$8-SQRT((1-B82)*(Inputs!$F$8-Inputs!$D$8)*(Inputs!$F$8-Inputs!$E$8))),0)</f>
        <v>28</v>
      </c>
      <c r="D82" s="81" t="n">
        <f aca="true">RAND()</f>
        <v>0.79291188475469</v>
      </c>
      <c r="E82" s="83" t="n">
        <f aca="false">IF(D82&lt;(Inputs!$E$10-Inputs!$D$10)/(Inputs!$F$10-Inputs!$D$10),Inputs!$D$10+SQRT(D82*(Inputs!$F$10-Inputs!$D$10)*(Inputs!$E$10-Inputs!$D$10)),Inputs!$F$10-SQRT((1-D82)*(Inputs!$F$10-Inputs!$D$10)*(Inputs!$F$10-Inputs!$E$10)))</f>
        <v>0.121179676114854</v>
      </c>
      <c r="F82" s="81" t="n">
        <f aca="true">RAND()</f>
        <v>0.84004355320668</v>
      </c>
      <c r="G82" s="83" t="n">
        <f aca="false">IF(F82&lt;(Inputs!$E$15-Inputs!$D$15)/(Inputs!$F$15-Inputs!$D$15),Inputs!$D$15+SQRT(F82*(Inputs!$F$15-Inputs!$D$15)*(Inputs!$E$15-Inputs!$D$15)),Inputs!$F$15-SQRT((1-F82)*(Inputs!$F$15-Inputs!$D$15)*(Inputs!$F$15-Inputs!$E$15)))</f>
        <v>0.743439157221039</v>
      </c>
      <c r="H82" s="81" t="n">
        <f aca="true">RAND()</f>
        <v>0.499480353542246</v>
      </c>
      <c r="I82" s="82" t="n">
        <f aca="false">ROUND(IF(H82&lt;(Inputs!$E$17-Inputs!$D$17)/(Inputs!$F$17-Inputs!$D$17),Inputs!$D$17+SQRT(H82*(Inputs!$F$17-Inputs!$D$17)*(Inputs!$E$17-Inputs!$D$17)),Inputs!$F$17-SQRT((1-H82)*(Inputs!$F$17-Inputs!$D$17)*(Inputs!$F$17-Inputs!$E$17))),0)</f>
        <v>106</v>
      </c>
      <c r="J82" s="81" t="n">
        <f aca="true">RAND()</f>
        <v>0.399493787148221</v>
      </c>
      <c r="K82" s="83" t="n">
        <f aca="false">IF(J82&lt;(Inputs!$E$18-Inputs!$D$18)/(Inputs!$F$18-Inputs!$D$18),Inputs!$D$18+SQRT(J82*(Inputs!$F$18-Inputs!$D$18)*(Inputs!$E$18-Inputs!$D$18)),Inputs!$F$18-SQRT((1-J82)*(Inputs!$F$18-Inputs!$D$18)*(Inputs!$F$18-Inputs!$E$18)))</f>
        <v>1.02077457901766</v>
      </c>
      <c r="L82" s="81" t="n">
        <f aca="true">RAND()</f>
        <v>0.636817269699593</v>
      </c>
      <c r="M82" s="83" t="n">
        <f aca="false">IF(L82&lt;(Inputs!$E$24-Inputs!$D$24)/(Inputs!$F$24-Inputs!$D$24),Inputs!$D$24+SQRT(L82*(Inputs!$F$24-Inputs!$D$24)*(Inputs!$E$24-Inputs!$D$24)),Inputs!$F$24-SQRT((1-L82)*(Inputs!$F$24-Inputs!$D$24)*(Inputs!$F$24-Inputs!$E$24)))</f>
        <v>0.904764745885425</v>
      </c>
      <c r="N82" s="81" t="n">
        <f aca="true">RAND()</f>
        <v>0.898651899567851</v>
      </c>
      <c r="O82" s="83" t="n">
        <f aca="false">IF(N82&lt;(Inputs!$E$26-Inputs!$D$26)/(Inputs!$F$26-Inputs!$D$26),Inputs!$D$26+SQRT(N82*(Inputs!$F$26-Inputs!$D$26)*(Inputs!$E$26-Inputs!$D$26)),Inputs!$F$26-SQRT((1-N82)*(Inputs!$F$26-Inputs!$D$26)*(Inputs!$F$26-Inputs!$E$26)))</f>
        <v>0.717334511909096</v>
      </c>
      <c r="P82" s="81" t="n">
        <f aca="true">RAND()</f>
        <v>0.736645733011794</v>
      </c>
      <c r="Q82" s="82" t="n">
        <f aca="false">IF(P82&lt;(Inputs!$E$27-Inputs!$D$27)/(Inputs!$F$27-Inputs!$D$27),Inputs!$D$27+SQRT(P82*(Inputs!$F$27-Inputs!$D$27)*(Inputs!$E$27-Inputs!$D$27)),Inputs!$F$27-SQRT((1-P82)*(Inputs!$F$27-Inputs!$D$27)*(Inputs!$F$27-Inputs!$E$27)))</f>
        <v>105.557261533389</v>
      </c>
      <c r="R82" s="81" t="n">
        <f aca="true">RAND()</f>
        <v>0.524832270916163</v>
      </c>
      <c r="S82" s="82" t="n">
        <f aca="false">IF(R82&lt;(Inputs!$E$29-Inputs!$D$29)/(Inputs!$F$29-Inputs!$D$29),Inputs!$D$29+SQRT(R82*(Inputs!$F$29-Inputs!$D$29)*(Inputs!$E$29-Inputs!$D$29)),Inputs!$F$29-SQRT((1-R82)*(Inputs!$F$29-Inputs!$D$29)*(Inputs!$F$29-Inputs!$E$29)))</f>
        <v>7.14049589472091</v>
      </c>
      <c r="T82" s="68" t="n">
        <f aca="false">Inputs!$E$9*(1+E82)+Inputs!$E$5*C82*(Inputs!$E$11*Inputs!$E$14*(G82*I82/Inputs!$E$16+(1-G82))*K82+Inputs!$E$23*M82)*(1+O82)+Inputs!$E$5*(Q82+S82)</f>
        <v>7161.17564826692</v>
      </c>
    </row>
    <row r="83" customFormat="false" ht="15" hidden="false" customHeight="false" outlineLevel="0" collapsed="false">
      <c r="A83" s="1" t="n">
        <v>79</v>
      </c>
      <c r="B83" s="81" t="n">
        <f aca="true">RAND()</f>
        <v>0.445960273240823</v>
      </c>
      <c r="C83" s="82" t="n">
        <f aca="false">ROUND(IF(B83&lt;(Inputs!$E$8-Inputs!$D$8)/(Inputs!$F$8-Inputs!$D$8),Inputs!$D$8+SQRT(B83*(Inputs!$F$8-Inputs!$D$8)*(Inputs!$E$8-Inputs!$D$8)),Inputs!$F$8-SQRT((1-B83)*(Inputs!$F$8-Inputs!$D$8)*(Inputs!$F$8-Inputs!$E$8))),0)</f>
        <v>25</v>
      </c>
      <c r="D83" s="81" t="n">
        <f aca="true">RAND()</f>
        <v>0.585264063076153</v>
      </c>
      <c r="E83" s="83" t="n">
        <f aca="false">IF(D83&lt;(Inputs!$E$10-Inputs!$D$10)/(Inputs!$F$10-Inputs!$D$10),Inputs!$D$10+SQRT(D83*(Inputs!$F$10-Inputs!$D$10)*(Inputs!$E$10-Inputs!$D$10)),Inputs!$F$10-SQRT((1-D83)*(Inputs!$F$10-Inputs!$D$10)*(Inputs!$F$10-Inputs!$E$10)))</f>
        <v>0.088455936474793</v>
      </c>
      <c r="F83" s="81" t="n">
        <f aca="true">RAND()</f>
        <v>0.158757870039582</v>
      </c>
      <c r="G83" s="83" t="n">
        <f aca="false">IF(F83&lt;(Inputs!$E$15-Inputs!$D$15)/(Inputs!$F$15-Inputs!$D$15),Inputs!$D$15+SQRT(F83*(Inputs!$F$15-Inputs!$D$15)*(Inputs!$E$15-Inputs!$D$15)),Inputs!$F$15-SQRT((1-F83)*(Inputs!$F$15-Inputs!$D$15)*(Inputs!$F$15-Inputs!$E$15)))</f>
        <v>0.656348535036784</v>
      </c>
      <c r="H83" s="81" t="n">
        <f aca="true">RAND()</f>
        <v>0.817195346915337</v>
      </c>
      <c r="I83" s="82" t="n">
        <f aca="false">ROUND(IF(H83&lt;(Inputs!$E$17-Inputs!$D$17)/(Inputs!$F$17-Inputs!$D$17),Inputs!$D$17+SQRT(H83*(Inputs!$F$17-Inputs!$D$17)*(Inputs!$E$17-Inputs!$D$17)),Inputs!$F$17-SQRT((1-H83)*(Inputs!$F$17-Inputs!$D$17)*(Inputs!$F$17-Inputs!$E$17))),0)</f>
        <v>110</v>
      </c>
      <c r="J83" s="81" t="n">
        <f aca="true">RAND()</f>
        <v>0.428850699035469</v>
      </c>
      <c r="K83" s="83" t="n">
        <f aca="false">IF(J83&lt;(Inputs!$E$18-Inputs!$D$18)/(Inputs!$F$18-Inputs!$D$18),Inputs!$D$18+SQRT(J83*(Inputs!$F$18-Inputs!$D$18)*(Inputs!$E$18-Inputs!$D$18)),Inputs!$F$18-SQRT((1-J83)*(Inputs!$F$18-Inputs!$D$18)*(Inputs!$F$18-Inputs!$E$18)))</f>
        <v>1.02644784985513</v>
      </c>
      <c r="L83" s="81" t="n">
        <f aca="true">RAND()</f>
        <v>0.0493977658356982</v>
      </c>
      <c r="M83" s="83" t="n">
        <f aca="false">IF(L83&lt;(Inputs!$E$24-Inputs!$D$24)/(Inputs!$F$24-Inputs!$D$24),Inputs!$D$24+SQRT(L83*(Inputs!$F$24-Inputs!$D$24)*(Inputs!$E$24-Inputs!$D$24)),Inputs!$F$24-SQRT((1-L83)*(Inputs!$F$24-Inputs!$D$24)*(Inputs!$F$24-Inputs!$E$24)))</f>
        <v>0.676991765145915</v>
      </c>
      <c r="N83" s="81" t="n">
        <f aca="true">RAND()</f>
        <v>0.159435526846091</v>
      </c>
      <c r="O83" s="83" t="n">
        <f aca="false">IF(N83&lt;(Inputs!$E$26-Inputs!$D$26)/(Inputs!$F$26-Inputs!$D$26),Inputs!$D$26+SQRT(N83*(Inputs!$F$26-Inputs!$D$26)*(Inputs!$E$26-Inputs!$D$26)),Inputs!$F$26-SQRT((1-N83)*(Inputs!$F$26-Inputs!$D$26)*(Inputs!$F$26-Inputs!$E$26)))</f>
        <v>0.462880544164088</v>
      </c>
      <c r="P83" s="81" t="n">
        <f aca="true">RAND()</f>
        <v>0.72021278920252</v>
      </c>
      <c r="Q83" s="82" t="n">
        <f aca="false">IF(P83&lt;(Inputs!$E$27-Inputs!$D$27)/(Inputs!$F$27-Inputs!$D$27),Inputs!$D$27+SQRT(P83*(Inputs!$F$27-Inputs!$D$27)*(Inputs!$E$27-Inputs!$D$27)),Inputs!$F$27-SQRT((1-P83)*(Inputs!$F$27-Inputs!$D$27)*(Inputs!$F$27-Inputs!$E$27)))</f>
        <v>104.191659264048</v>
      </c>
      <c r="R83" s="81" t="n">
        <f aca="true">RAND()</f>
        <v>0.0281857815725286</v>
      </c>
      <c r="S83" s="82" t="n">
        <f aca="false">IF(R83&lt;(Inputs!$E$29-Inputs!$D$29)/(Inputs!$F$29-Inputs!$D$29),Inputs!$D$29+SQRT(R83*(Inputs!$F$29-Inputs!$D$29)*(Inputs!$E$29-Inputs!$D$29)),Inputs!$F$29-SQRT((1-R83)*(Inputs!$F$29-Inputs!$D$29)*(Inputs!$F$29-Inputs!$E$29)))</f>
        <v>3.0484490838036</v>
      </c>
      <c r="T83" s="68" t="n">
        <f aca="false">Inputs!$E$9*(1+E83)+Inputs!$E$5*C83*(Inputs!$E$11*Inputs!$E$14*(G83*I83/Inputs!$E$16+(1-G83))*K83+Inputs!$E$23*M83)*(1+O83)+Inputs!$E$5*(Q83+S83)</f>
        <v>5935.23218194864</v>
      </c>
    </row>
    <row r="84" customFormat="false" ht="15" hidden="false" customHeight="false" outlineLevel="0" collapsed="false">
      <c r="A84" s="1" t="n">
        <v>80</v>
      </c>
      <c r="B84" s="81" t="n">
        <f aca="true">RAND()</f>
        <v>0.0827030512990148</v>
      </c>
      <c r="C84" s="82" t="n">
        <f aca="false">ROUND(IF(B84&lt;(Inputs!$E$8-Inputs!$D$8)/(Inputs!$F$8-Inputs!$D$8),Inputs!$D$8+SQRT(B84*(Inputs!$F$8-Inputs!$D$8)*(Inputs!$E$8-Inputs!$D$8)),Inputs!$F$8-SQRT((1-B84)*(Inputs!$F$8-Inputs!$D$8)*(Inputs!$F$8-Inputs!$E$8))),0)</f>
        <v>22</v>
      </c>
      <c r="D84" s="81" t="n">
        <f aca="true">RAND()</f>
        <v>0.845656981877377</v>
      </c>
      <c r="E84" s="83" t="n">
        <f aca="false">IF(D84&lt;(Inputs!$E$10-Inputs!$D$10)/(Inputs!$F$10-Inputs!$D$10),Inputs!$D$10+SQRT(D84*(Inputs!$F$10-Inputs!$D$10)*(Inputs!$E$10-Inputs!$D$10)),Inputs!$F$10-SQRT((1-D84)*(Inputs!$F$10-Inputs!$D$10)*(Inputs!$F$10-Inputs!$E$10)))</f>
        <v>0.131953761722791</v>
      </c>
      <c r="F84" s="81" t="n">
        <f aca="true">RAND()</f>
        <v>0.314941822862133</v>
      </c>
      <c r="G84" s="83" t="n">
        <f aca="false">IF(F84&lt;(Inputs!$E$15-Inputs!$D$15)/(Inputs!$F$15-Inputs!$D$15),Inputs!$D$15+SQRT(F84*(Inputs!$F$15-Inputs!$D$15)*(Inputs!$E$15-Inputs!$D$15)),Inputs!$F$15-SQRT((1-F84)*(Inputs!$F$15-Inputs!$D$15)*(Inputs!$F$15-Inputs!$E$15)))</f>
        <v>0.679365209363062</v>
      </c>
      <c r="H84" s="81" t="n">
        <f aca="true">RAND()</f>
        <v>0.148009745971723</v>
      </c>
      <c r="I84" s="82" t="n">
        <f aca="false">ROUND(IF(H84&lt;(Inputs!$E$17-Inputs!$D$17)/(Inputs!$F$17-Inputs!$D$17),Inputs!$D$17+SQRT(H84*(Inputs!$F$17-Inputs!$D$17)*(Inputs!$E$17-Inputs!$D$17)),Inputs!$F$17-SQRT((1-H84)*(Inputs!$F$17-Inputs!$D$17)*(Inputs!$F$17-Inputs!$E$17))),0)</f>
        <v>103</v>
      </c>
      <c r="J84" s="81" t="n">
        <f aca="true">RAND()</f>
        <v>0.843840781420185</v>
      </c>
      <c r="K84" s="83" t="n">
        <f aca="false">IF(J84&lt;(Inputs!$E$18-Inputs!$D$18)/(Inputs!$F$18-Inputs!$D$18),Inputs!$D$18+SQRT(J84*(Inputs!$F$18-Inputs!$D$18)*(Inputs!$E$18-Inputs!$D$18)),Inputs!$F$18-SQRT((1-J84)*(Inputs!$F$18-Inputs!$D$18)*(Inputs!$F$18-Inputs!$E$18)))</f>
        <v>1.13310717889565</v>
      </c>
      <c r="L84" s="81" t="n">
        <f aca="true">RAND()</f>
        <v>0.143753286226956</v>
      </c>
      <c r="M84" s="83" t="n">
        <f aca="false">IF(L84&lt;(Inputs!$E$24-Inputs!$D$24)/(Inputs!$F$24-Inputs!$D$24),Inputs!$D$24+SQRT(L84*(Inputs!$F$24-Inputs!$D$24)*(Inputs!$E$24-Inputs!$D$24)),Inputs!$F$24-SQRT((1-L84)*(Inputs!$F$24-Inputs!$D$24)*(Inputs!$F$24-Inputs!$E$24)))</f>
        <v>0.731340756611323</v>
      </c>
      <c r="N84" s="81" t="n">
        <f aca="true">RAND()</f>
        <v>0.0367785004376905</v>
      </c>
      <c r="O84" s="83" t="n">
        <f aca="false">IF(N84&lt;(Inputs!$E$26-Inputs!$D$26)/(Inputs!$F$26-Inputs!$D$26),Inputs!$D$26+SQRT(N84*(Inputs!$F$26-Inputs!$D$26)*(Inputs!$E$26-Inputs!$D$26)),Inputs!$F$26-SQRT((1-N84)*(Inputs!$F$26-Inputs!$D$26)*(Inputs!$F$26-Inputs!$E$26)))</f>
        <v>0.378230061183868</v>
      </c>
      <c r="P84" s="81" t="n">
        <f aca="true">RAND()</f>
        <v>0.356709488350697</v>
      </c>
      <c r="Q84" s="82" t="n">
        <f aca="false">IF(P84&lt;(Inputs!$E$27-Inputs!$D$27)/(Inputs!$F$27-Inputs!$D$27),Inputs!$D$27+SQRT(P84*(Inputs!$F$27-Inputs!$D$27)*(Inputs!$E$27-Inputs!$D$27)),Inputs!$F$27-SQRT((1-P84)*(Inputs!$F$27-Inputs!$D$27)*(Inputs!$F$27-Inputs!$E$27)))</f>
        <v>80.5400918704194</v>
      </c>
      <c r="R84" s="81" t="n">
        <f aca="true">RAND()</f>
        <v>0.213608948496315</v>
      </c>
      <c r="S84" s="82" t="n">
        <f aca="false">IF(R84&lt;(Inputs!$E$29-Inputs!$D$29)/(Inputs!$F$29-Inputs!$D$29),Inputs!$D$29+SQRT(R84*(Inputs!$F$29-Inputs!$D$29)*(Inputs!$E$29-Inputs!$D$29)),Inputs!$F$29-SQRT((1-R84)*(Inputs!$F$29-Inputs!$D$29)*(Inputs!$F$29-Inputs!$E$29)))</f>
        <v>4.88630369007772</v>
      </c>
      <c r="T84" s="68" t="n">
        <f aca="false">Inputs!$E$9*(1+E84)+Inputs!$E$5*C84*(Inputs!$E$11*Inputs!$E$14*(G84*I84/Inputs!$E$16+(1-G84))*K84+Inputs!$E$23*M84)*(1+O84)+Inputs!$E$5*(Q84+S84)</f>
        <v>5557.17137835995</v>
      </c>
    </row>
    <row r="85" customFormat="false" ht="15" hidden="false" customHeight="false" outlineLevel="0" collapsed="false">
      <c r="A85" s="1" t="n">
        <v>81</v>
      </c>
      <c r="B85" s="81" t="n">
        <f aca="true">RAND()</f>
        <v>0.8029562990022</v>
      </c>
      <c r="C85" s="82" t="n">
        <f aca="false">ROUND(IF(B85&lt;(Inputs!$E$8-Inputs!$D$8)/(Inputs!$F$8-Inputs!$D$8),Inputs!$D$8+SQRT(B85*(Inputs!$F$8-Inputs!$D$8)*(Inputs!$E$8-Inputs!$D$8)),Inputs!$F$8-SQRT((1-B85)*(Inputs!$F$8-Inputs!$D$8)*(Inputs!$F$8-Inputs!$E$8))),0)</f>
        <v>27</v>
      </c>
      <c r="D85" s="81" t="n">
        <f aca="true">RAND()</f>
        <v>0.0927606088639161</v>
      </c>
      <c r="E85" s="83" t="n">
        <f aca="false">IF(D85&lt;(Inputs!$E$10-Inputs!$D$10)/(Inputs!$F$10-Inputs!$D$10),Inputs!$D$10+SQRT(D85*(Inputs!$F$10-Inputs!$D$10)*(Inputs!$E$10-Inputs!$D$10)),Inputs!$F$10-SQRT((1-D85)*(Inputs!$F$10-Inputs!$D$10)*(Inputs!$F$10-Inputs!$E$10)))</f>
        <v>0.0304566263502569</v>
      </c>
      <c r="F85" s="81" t="n">
        <f aca="true">RAND()</f>
        <v>0.542588427017029</v>
      </c>
      <c r="G85" s="83" t="n">
        <f aca="false">IF(F85&lt;(Inputs!$E$15-Inputs!$D$15)/(Inputs!$F$15-Inputs!$D$15),Inputs!$D$15+SQRT(F85*(Inputs!$F$15-Inputs!$D$15)*(Inputs!$E$15-Inputs!$D$15)),Inputs!$F$15-SQRT((1-F85)*(Inputs!$F$15-Inputs!$D$15)*(Inputs!$F$15-Inputs!$E$15)))</f>
        <v>0.704353612406639</v>
      </c>
      <c r="H85" s="81" t="n">
        <f aca="true">RAND()</f>
        <v>0.171870636256526</v>
      </c>
      <c r="I85" s="82" t="n">
        <f aca="false">ROUND(IF(H85&lt;(Inputs!$E$17-Inputs!$D$17)/(Inputs!$F$17-Inputs!$D$17),Inputs!$D$17+SQRT(H85*(Inputs!$F$17-Inputs!$D$17)*(Inputs!$E$17-Inputs!$D$17)),Inputs!$F$17-SQRT((1-H85)*(Inputs!$F$17-Inputs!$D$17)*(Inputs!$F$17-Inputs!$E$17))),0)</f>
        <v>104</v>
      </c>
      <c r="J85" s="81" t="n">
        <f aca="true">RAND()</f>
        <v>0.819435687375349</v>
      </c>
      <c r="K85" s="83" t="n">
        <f aca="false">IF(J85&lt;(Inputs!$E$18-Inputs!$D$18)/(Inputs!$F$18-Inputs!$D$18),Inputs!$D$18+SQRT(J85*(Inputs!$F$18-Inputs!$D$18)*(Inputs!$E$18-Inputs!$D$18)),Inputs!$F$18-SQRT((1-J85)*(Inputs!$F$18-Inputs!$D$18)*(Inputs!$F$18-Inputs!$E$18)))</f>
        <v>1.12430442587483</v>
      </c>
      <c r="L85" s="81" t="n">
        <f aca="true">RAND()</f>
        <v>0.489437582075164</v>
      </c>
      <c r="M85" s="83" t="n">
        <f aca="false">IF(L85&lt;(Inputs!$E$24-Inputs!$D$24)/(Inputs!$F$24-Inputs!$D$24),Inputs!$D$24+SQRT(L85*(Inputs!$F$24-Inputs!$D$24)*(Inputs!$E$24-Inputs!$D$24)),Inputs!$F$24-SQRT((1-L85)*(Inputs!$F$24-Inputs!$D$24)*(Inputs!$F$24-Inputs!$E$24)))</f>
        <v>0.849950031706957</v>
      </c>
      <c r="N85" s="81" t="n">
        <f aca="true">RAND()</f>
        <v>0.929770686679668</v>
      </c>
      <c r="O85" s="83" t="n">
        <f aca="false">IF(N85&lt;(Inputs!$E$26-Inputs!$D$26)/(Inputs!$F$26-Inputs!$D$26),Inputs!$D$26+SQRT(N85*(Inputs!$F$26-Inputs!$D$26)*(Inputs!$E$26-Inputs!$D$26)),Inputs!$F$26-SQRT((1-N85)*(Inputs!$F$26-Inputs!$D$26)*(Inputs!$F$26-Inputs!$E$26)))</f>
        <v>0.734537443372465</v>
      </c>
      <c r="P85" s="81" t="n">
        <f aca="true">RAND()</f>
        <v>0.142337996957044</v>
      </c>
      <c r="Q85" s="82" t="n">
        <f aca="false">IF(P85&lt;(Inputs!$E$27-Inputs!$D$27)/(Inputs!$F$27-Inputs!$D$27),Inputs!$D$27+SQRT(P85*(Inputs!$F$27-Inputs!$D$27)*(Inputs!$E$27-Inputs!$D$27)),Inputs!$F$27-SQRT((1-P85)*(Inputs!$F$27-Inputs!$D$27)*(Inputs!$F$27-Inputs!$E$27)))</f>
        <v>68.8638541234979</v>
      </c>
      <c r="R85" s="81" t="n">
        <f aca="true">RAND()</f>
        <v>0.280902000610009</v>
      </c>
      <c r="S85" s="82" t="n">
        <f aca="false">IF(R85&lt;(Inputs!$E$29-Inputs!$D$29)/(Inputs!$F$29-Inputs!$D$29),Inputs!$D$29+SQRT(R85*(Inputs!$F$29-Inputs!$D$29)*(Inputs!$E$29-Inputs!$D$29)),Inputs!$F$29-SQRT((1-R85)*(Inputs!$F$29-Inputs!$D$29)*(Inputs!$F$29-Inputs!$E$29)))</f>
        <v>5.33135273573915</v>
      </c>
      <c r="T85" s="68" t="n">
        <f aca="false">Inputs!$E$9*(1+E85)+Inputs!$E$5*C85*(Inputs!$E$11*Inputs!$E$14*(G85*I85/Inputs!$E$16+(1-G85))*K85+Inputs!$E$23*M85)*(1+O85)+Inputs!$E$5*(Q85+S85)</f>
        <v>6861.5760031741</v>
      </c>
    </row>
    <row r="86" customFormat="false" ht="15" hidden="false" customHeight="false" outlineLevel="0" collapsed="false">
      <c r="A86" s="1" t="n">
        <v>82</v>
      </c>
      <c r="B86" s="81" t="n">
        <f aca="true">RAND()</f>
        <v>0.605494811601324</v>
      </c>
      <c r="C86" s="82" t="n">
        <f aca="false">ROUND(IF(B86&lt;(Inputs!$E$8-Inputs!$D$8)/(Inputs!$F$8-Inputs!$D$8),Inputs!$D$8+SQRT(B86*(Inputs!$F$8-Inputs!$D$8)*(Inputs!$E$8-Inputs!$D$8)),Inputs!$F$8-SQRT((1-B86)*(Inputs!$F$8-Inputs!$D$8)*(Inputs!$F$8-Inputs!$E$8))),0)</f>
        <v>26</v>
      </c>
      <c r="D86" s="81" t="n">
        <f aca="true">RAND()</f>
        <v>0.41038871733536</v>
      </c>
      <c r="E86" s="83" t="n">
        <f aca="false">IF(D86&lt;(Inputs!$E$10-Inputs!$D$10)/(Inputs!$F$10-Inputs!$D$10),Inputs!$D$10+SQRT(D86*(Inputs!$F$10-Inputs!$D$10)*(Inputs!$E$10-Inputs!$D$10)),Inputs!$F$10-SQRT((1-D86)*(Inputs!$F$10-Inputs!$D$10)*(Inputs!$F$10-Inputs!$E$10)))</f>
        <v>0.0670024869407732</v>
      </c>
      <c r="F86" s="81" t="n">
        <f aca="true">RAND()</f>
        <v>0.691879617346392</v>
      </c>
      <c r="G86" s="83" t="n">
        <f aca="false">IF(F86&lt;(Inputs!$E$15-Inputs!$D$15)/(Inputs!$F$15-Inputs!$D$15),Inputs!$D$15+SQRT(F86*(Inputs!$F$15-Inputs!$D$15)*(Inputs!$E$15-Inputs!$D$15)),Inputs!$F$15-SQRT((1-F86)*(Inputs!$F$15-Inputs!$D$15)*(Inputs!$F$15-Inputs!$E$15)))</f>
        <v>0.721498995846727</v>
      </c>
      <c r="H86" s="81" t="n">
        <f aca="true">RAND()</f>
        <v>0.540822903276732</v>
      </c>
      <c r="I86" s="82" t="n">
        <f aca="false">ROUND(IF(H86&lt;(Inputs!$E$17-Inputs!$D$17)/(Inputs!$F$17-Inputs!$D$17),Inputs!$D$17+SQRT(H86*(Inputs!$F$17-Inputs!$D$17)*(Inputs!$E$17-Inputs!$D$17)),Inputs!$F$17-SQRT((1-H86)*(Inputs!$F$17-Inputs!$D$17)*(Inputs!$F$17-Inputs!$E$17))),0)</f>
        <v>107</v>
      </c>
      <c r="J86" s="81" t="n">
        <f aca="true">RAND()</f>
        <v>0.938012403025214</v>
      </c>
      <c r="K86" s="83" t="n">
        <f aca="false">IF(J86&lt;(Inputs!$E$18-Inputs!$D$18)/(Inputs!$F$18-Inputs!$D$18),Inputs!$D$18+SQRT(J86*(Inputs!$F$18-Inputs!$D$18)*(Inputs!$E$18-Inputs!$D$18)),Inputs!$F$18-SQRT((1-J86)*(Inputs!$F$18-Inputs!$D$18)*(Inputs!$F$18-Inputs!$E$18)))</f>
        <v>1.17635276831208</v>
      </c>
      <c r="L86" s="81" t="n">
        <f aca="true">RAND()</f>
        <v>0.300561041463809</v>
      </c>
      <c r="M86" s="83" t="n">
        <f aca="false">IF(L86&lt;(Inputs!$E$24-Inputs!$D$24)/(Inputs!$F$24-Inputs!$D$24),Inputs!$D$24+SQRT(L86*(Inputs!$F$24-Inputs!$D$24)*(Inputs!$E$24-Inputs!$D$24)),Inputs!$F$24-SQRT((1-L86)*(Inputs!$F$24-Inputs!$D$24)*(Inputs!$F$24-Inputs!$E$24)))</f>
        <v>0.789913993627792</v>
      </c>
      <c r="N86" s="81" t="n">
        <f aca="true">RAND()</f>
        <v>0.0747235247995597</v>
      </c>
      <c r="O86" s="83" t="n">
        <f aca="false">IF(N86&lt;(Inputs!$E$26-Inputs!$D$26)/(Inputs!$F$26-Inputs!$D$26),Inputs!$D$26+SQRT(N86*(Inputs!$F$26-Inputs!$D$26)*(Inputs!$E$26-Inputs!$D$26)),Inputs!$F$26-SQRT((1-N86)*(Inputs!$F$26-Inputs!$D$26)*(Inputs!$F$26-Inputs!$E$26)))</f>
        <v>0.411507822715031</v>
      </c>
      <c r="P86" s="81" t="n">
        <f aca="true">RAND()</f>
        <v>0.0891759116149552</v>
      </c>
      <c r="Q86" s="82" t="n">
        <f aca="false">IF(P86&lt;(Inputs!$E$27-Inputs!$D$27)/(Inputs!$F$27-Inputs!$D$27),Inputs!$D$27+SQRT(P86*(Inputs!$F$27-Inputs!$D$27)*(Inputs!$E$27-Inputs!$D$27)),Inputs!$F$27-SQRT((1-P86)*(Inputs!$F$27-Inputs!$D$27)*(Inputs!$F$27-Inputs!$E$27)))</f>
        <v>64.9311680399555</v>
      </c>
      <c r="R86" s="81" t="n">
        <f aca="true">RAND()</f>
        <v>0.713670291049772</v>
      </c>
      <c r="S86" s="82" t="n">
        <f aca="false">IF(R86&lt;(Inputs!$E$29-Inputs!$D$29)/(Inputs!$F$29-Inputs!$D$29),Inputs!$D$29+SQRT(R86*(Inputs!$F$29-Inputs!$D$29)*(Inputs!$E$29-Inputs!$D$29)),Inputs!$F$29-SQRT((1-R86)*(Inputs!$F$29-Inputs!$D$29)*(Inputs!$F$29-Inputs!$E$29)))</f>
        <v>8.89894581539144</v>
      </c>
      <c r="T86" s="68" t="n">
        <f aca="false">Inputs!$E$9*(1+E86)+Inputs!$E$5*C86*(Inputs!$E$11*Inputs!$E$14*(G86*I86/Inputs!$E$16+(1-G86))*K86+Inputs!$E$23*M86)*(1+O86)+Inputs!$E$5*(Q86+S86)</f>
        <v>6063.40685189627</v>
      </c>
    </row>
    <row r="87" customFormat="false" ht="15" hidden="false" customHeight="false" outlineLevel="0" collapsed="false">
      <c r="A87" s="1" t="n">
        <v>83</v>
      </c>
      <c r="B87" s="81" t="n">
        <f aca="true">RAND()</f>
        <v>0.45688554392777</v>
      </c>
      <c r="C87" s="82" t="n">
        <f aca="false">ROUND(IF(B87&lt;(Inputs!$E$8-Inputs!$D$8)/(Inputs!$F$8-Inputs!$D$8),Inputs!$D$8+SQRT(B87*(Inputs!$F$8-Inputs!$D$8)*(Inputs!$E$8-Inputs!$D$8)),Inputs!$F$8-SQRT((1-B87)*(Inputs!$F$8-Inputs!$D$8)*(Inputs!$F$8-Inputs!$E$8))),0)</f>
        <v>25</v>
      </c>
      <c r="D87" s="81" t="n">
        <f aca="true">RAND()</f>
        <v>0.873660360000353</v>
      </c>
      <c r="E87" s="83" t="n">
        <f aca="false">IF(D87&lt;(Inputs!$E$10-Inputs!$D$10)/(Inputs!$F$10-Inputs!$D$10),Inputs!$D$10+SQRT(D87*(Inputs!$F$10-Inputs!$D$10)*(Inputs!$E$10-Inputs!$D$10)),Inputs!$F$10-SQRT((1-D87)*(Inputs!$F$10-Inputs!$D$10)*(Inputs!$F$10-Inputs!$E$10)))</f>
        <v>0.13843548749491</v>
      </c>
      <c r="F87" s="81" t="n">
        <f aca="true">RAND()</f>
        <v>0.0572917163449768</v>
      </c>
      <c r="G87" s="83" t="n">
        <f aca="false">IF(F87&lt;(Inputs!$E$15-Inputs!$D$15)/(Inputs!$F$15-Inputs!$D$15),Inputs!$D$15+SQRT(F87*(Inputs!$F$15-Inputs!$D$15)*(Inputs!$E$15-Inputs!$D$15)),Inputs!$F$15-SQRT((1-F87)*(Inputs!$F$15-Inputs!$D$15)*(Inputs!$F$15-Inputs!$E$15)))</f>
        <v>0.633850174695259</v>
      </c>
      <c r="H87" s="81" t="n">
        <f aca="true">RAND()</f>
        <v>0.11030041653345</v>
      </c>
      <c r="I87" s="82" t="n">
        <f aca="false">ROUND(IF(H87&lt;(Inputs!$E$17-Inputs!$D$17)/(Inputs!$F$17-Inputs!$D$17),Inputs!$D$17+SQRT(H87*(Inputs!$F$17-Inputs!$D$17)*(Inputs!$E$17-Inputs!$D$17)),Inputs!$F$17-SQRT((1-H87)*(Inputs!$F$17-Inputs!$D$17)*(Inputs!$F$17-Inputs!$E$17))),0)</f>
        <v>103</v>
      </c>
      <c r="J87" s="81" t="n">
        <f aca="true">RAND()</f>
        <v>0.239176381690072</v>
      </c>
      <c r="K87" s="83" t="n">
        <f aca="false">IF(J87&lt;(Inputs!$E$18-Inputs!$D$18)/(Inputs!$F$18-Inputs!$D$18),Inputs!$D$18+SQRT(J87*(Inputs!$F$18-Inputs!$D$18)*(Inputs!$E$18-Inputs!$D$18)),Inputs!$F$18-SQRT((1-J87)*(Inputs!$F$18-Inputs!$D$18)*(Inputs!$F$18-Inputs!$E$18)))</f>
        <v>0.991494116527526</v>
      </c>
      <c r="L87" s="81" t="n">
        <f aca="true">RAND()</f>
        <v>0.574111791190589</v>
      </c>
      <c r="M87" s="83" t="n">
        <f aca="false">IF(L87&lt;(Inputs!$E$24-Inputs!$D$24)/(Inputs!$F$24-Inputs!$D$24),Inputs!$D$24+SQRT(L87*(Inputs!$F$24-Inputs!$D$24)*(Inputs!$E$24-Inputs!$D$24)),Inputs!$F$24-SQRT((1-L87)*(Inputs!$F$24-Inputs!$D$24)*(Inputs!$F$24-Inputs!$E$24)))</f>
        <v>0.880292054971637</v>
      </c>
      <c r="N87" s="81" t="n">
        <f aca="true">RAND()</f>
        <v>0.673182143710873</v>
      </c>
      <c r="O87" s="83" t="n">
        <f aca="false">IF(N87&lt;(Inputs!$E$26-Inputs!$D$26)/(Inputs!$F$26-Inputs!$D$26),Inputs!$D$26+SQRT(N87*(Inputs!$F$26-Inputs!$D$26)*(Inputs!$E$26-Inputs!$D$26)),Inputs!$F$26-SQRT((1-N87)*(Inputs!$F$26-Inputs!$D$26)*(Inputs!$F$26-Inputs!$E$26)))</f>
        <v>0.635638786470502</v>
      </c>
      <c r="P87" s="81" t="n">
        <f aca="true">RAND()</f>
        <v>0.0723033122837246</v>
      </c>
      <c r="Q87" s="82" t="n">
        <f aca="false">IF(P87&lt;(Inputs!$E$27-Inputs!$D$27)/(Inputs!$F$27-Inputs!$D$27),Inputs!$D$27+SQRT(P87*(Inputs!$F$27-Inputs!$D$27)*(Inputs!$E$27-Inputs!$D$27)),Inputs!$F$27-SQRT((1-P87)*(Inputs!$F$27-Inputs!$D$27)*(Inputs!$F$27-Inputs!$E$27)))</f>
        <v>63.4446376191146</v>
      </c>
      <c r="R87" s="81" t="n">
        <f aca="true">RAND()</f>
        <v>0.161799765566959</v>
      </c>
      <c r="S87" s="82" t="n">
        <f aca="false">IF(R87&lt;(Inputs!$E$29-Inputs!$D$29)/(Inputs!$F$29-Inputs!$D$29),Inputs!$D$29+SQRT(R87*(Inputs!$F$29-Inputs!$D$29)*(Inputs!$E$29-Inputs!$D$29)),Inputs!$F$29-SQRT((1-R87)*(Inputs!$F$29-Inputs!$D$29)*(Inputs!$F$29-Inputs!$E$29)))</f>
        <v>4.51200932663703</v>
      </c>
      <c r="T87" s="68" t="n">
        <f aca="false">Inputs!$E$9*(1+E87)+Inputs!$E$5*C87*(Inputs!$E$11*Inputs!$E$14*(G87*I87/Inputs!$E$16+(1-G87))*K87+Inputs!$E$23*M87)*(1+O87)+Inputs!$E$5*(Q87+S87)</f>
        <v>6372.76287881225</v>
      </c>
    </row>
    <row r="88" customFormat="false" ht="15" hidden="false" customHeight="false" outlineLevel="0" collapsed="false">
      <c r="A88" s="1" t="n">
        <v>84</v>
      </c>
      <c r="B88" s="81" t="n">
        <f aca="true">RAND()</f>
        <v>0.551109781811375</v>
      </c>
      <c r="C88" s="82" t="n">
        <f aca="false">ROUND(IF(B88&lt;(Inputs!$E$8-Inputs!$D$8)/(Inputs!$F$8-Inputs!$D$8),Inputs!$D$8+SQRT(B88*(Inputs!$F$8-Inputs!$D$8)*(Inputs!$E$8-Inputs!$D$8)),Inputs!$F$8-SQRT((1-B88)*(Inputs!$F$8-Inputs!$D$8)*(Inputs!$F$8-Inputs!$E$8))),0)</f>
        <v>25</v>
      </c>
      <c r="D88" s="81" t="n">
        <f aca="true">RAND()</f>
        <v>0.106037149712943</v>
      </c>
      <c r="E88" s="83" t="n">
        <f aca="false">IF(D88&lt;(Inputs!$E$10-Inputs!$D$10)/(Inputs!$F$10-Inputs!$D$10),Inputs!$D$10+SQRT(D88*(Inputs!$F$10-Inputs!$D$10)*(Inputs!$E$10-Inputs!$D$10)),Inputs!$F$10-SQRT((1-D88)*(Inputs!$F$10-Inputs!$D$10)*(Inputs!$F$10-Inputs!$E$10)))</f>
        <v>0.0325633459142244</v>
      </c>
      <c r="F88" s="81" t="n">
        <f aca="true">RAND()</f>
        <v>0.72905273767056</v>
      </c>
      <c r="G88" s="83" t="n">
        <f aca="false">IF(F88&lt;(Inputs!$E$15-Inputs!$D$15)/(Inputs!$F$15-Inputs!$D$15),Inputs!$D$15+SQRT(F88*(Inputs!$F$15-Inputs!$D$15)*(Inputs!$E$15-Inputs!$D$15)),Inputs!$F$15-SQRT((1-F88)*(Inputs!$F$15-Inputs!$D$15)*(Inputs!$F$15-Inputs!$E$15)))</f>
        <v>0.726386514505909</v>
      </c>
      <c r="H88" s="81" t="n">
        <f aca="true">RAND()</f>
        <v>0.369762853628355</v>
      </c>
      <c r="I88" s="82" t="n">
        <f aca="false">ROUND(IF(H88&lt;(Inputs!$E$17-Inputs!$D$17)/(Inputs!$F$17-Inputs!$D$17),Inputs!$D$17+SQRT(H88*(Inputs!$F$17-Inputs!$D$17)*(Inputs!$E$17-Inputs!$D$17)),Inputs!$F$17-SQRT((1-H88)*(Inputs!$F$17-Inputs!$D$17)*(Inputs!$F$17-Inputs!$E$17))),0)</f>
        <v>105</v>
      </c>
      <c r="J88" s="81" t="n">
        <f aca="true">RAND()</f>
        <v>0.956793076726606</v>
      </c>
      <c r="K88" s="83" t="n">
        <f aca="false">IF(J88&lt;(Inputs!$E$18-Inputs!$D$18)/(Inputs!$F$18-Inputs!$D$18),Inputs!$D$18+SQRT(J88*(Inputs!$F$18-Inputs!$D$18)*(Inputs!$E$18-Inputs!$D$18)),Inputs!$F$18-SQRT((1-J88)*(Inputs!$F$18-Inputs!$D$18)*(Inputs!$F$18-Inputs!$E$18)))</f>
        <v>1.18851336904317</v>
      </c>
      <c r="L88" s="81" t="n">
        <f aca="true">RAND()</f>
        <v>0.400142262906894</v>
      </c>
      <c r="M88" s="83" t="n">
        <f aca="false">IF(L88&lt;(Inputs!$E$24-Inputs!$D$24)/(Inputs!$F$24-Inputs!$D$24),Inputs!$D$24+SQRT(L88*(Inputs!$F$24-Inputs!$D$24)*(Inputs!$E$24-Inputs!$D$24)),Inputs!$F$24-SQRT((1-L88)*(Inputs!$F$24-Inputs!$D$24)*(Inputs!$F$24-Inputs!$E$24)))</f>
        <v>0.820571670928032</v>
      </c>
      <c r="N88" s="81" t="n">
        <f aca="true">RAND()</f>
        <v>0.519358244975308</v>
      </c>
      <c r="O88" s="83" t="n">
        <f aca="false">IF(N88&lt;(Inputs!$E$26-Inputs!$D$26)/(Inputs!$F$26-Inputs!$D$26),Inputs!$D$26+SQRT(N88*(Inputs!$F$26-Inputs!$D$26)*(Inputs!$E$26-Inputs!$D$26)),Inputs!$F$26-SQRT((1-N88)*(Inputs!$F$26-Inputs!$D$26)*(Inputs!$F$26-Inputs!$E$26)))</f>
        <v>0.59397484920294</v>
      </c>
      <c r="P88" s="81" t="n">
        <f aca="true">RAND()</f>
        <v>0.0493357341508447</v>
      </c>
      <c r="Q88" s="82" t="n">
        <f aca="false">IF(P88&lt;(Inputs!$E$27-Inputs!$D$27)/(Inputs!$F$27-Inputs!$D$27),Inputs!$D$27+SQRT(P88*(Inputs!$F$27-Inputs!$D$27)*(Inputs!$E$27-Inputs!$D$27)),Inputs!$F$27-SQRT((1-P88)*(Inputs!$F$27-Inputs!$D$27)*(Inputs!$F$27-Inputs!$E$27)))</f>
        <v>61.1058243898016</v>
      </c>
      <c r="R88" s="81" t="n">
        <f aca="true">RAND()</f>
        <v>0.152358018749856</v>
      </c>
      <c r="S88" s="82" t="n">
        <f aca="false">IF(R88&lt;(Inputs!$E$29-Inputs!$D$29)/(Inputs!$F$29-Inputs!$D$29),Inputs!$D$29+SQRT(R88*(Inputs!$F$29-Inputs!$D$29)*(Inputs!$E$29-Inputs!$D$29)),Inputs!$F$29-SQRT((1-R88)*(Inputs!$F$29-Inputs!$D$29)*(Inputs!$F$29-Inputs!$E$29)))</f>
        <v>4.43761414732611</v>
      </c>
      <c r="T88" s="68" t="n">
        <f aca="false">Inputs!$E$9*(1+E88)+Inputs!$E$5*C88*(Inputs!$E$11*Inputs!$E$14*(G88*I88/Inputs!$E$16+(1-G88))*K88+Inputs!$E$23*M88)*(1+O88)+Inputs!$E$5*(Q88+S88)</f>
        <v>6266.85596590436</v>
      </c>
    </row>
    <row r="89" customFormat="false" ht="15" hidden="false" customHeight="false" outlineLevel="0" collapsed="false">
      <c r="A89" s="1" t="n">
        <v>85</v>
      </c>
      <c r="B89" s="81" t="n">
        <f aca="true">RAND()</f>
        <v>0.320059063974487</v>
      </c>
      <c r="C89" s="82" t="n">
        <f aca="false">ROUND(IF(B89&lt;(Inputs!$E$8-Inputs!$D$8)/(Inputs!$F$8-Inputs!$D$8),Inputs!$D$8+SQRT(B89*(Inputs!$F$8-Inputs!$D$8)*(Inputs!$E$8-Inputs!$D$8)),Inputs!$F$8-SQRT((1-B89)*(Inputs!$F$8-Inputs!$D$8)*(Inputs!$F$8-Inputs!$E$8))),0)</f>
        <v>24</v>
      </c>
      <c r="D89" s="81" t="n">
        <f aca="true">RAND()</f>
        <v>0.207150254691543</v>
      </c>
      <c r="E89" s="83" t="n">
        <f aca="false">IF(D89&lt;(Inputs!$E$10-Inputs!$D$10)/(Inputs!$F$10-Inputs!$D$10),Inputs!$D$10+SQRT(D89*(Inputs!$F$10-Inputs!$D$10)*(Inputs!$E$10-Inputs!$D$10)),Inputs!$F$10-SQRT((1-D89)*(Inputs!$F$10-Inputs!$D$10)*(Inputs!$F$10-Inputs!$E$10)))</f>
        <v>0.0455137621705285</v>
      </c>
      <c r="F89" s="81" t="n">
        <f aca="true">RAND()</f>
        <v>0.0360452056224196</v>
      </c>
      <c r="G89" s="83" t="n">
        <f aca="false">IF(F89&lt;(Inputs!$E$15-Inputs!$D$15)/(Inputs!$F$15-Inputs!$D$15),Inputs!$D$15+SQRT(F89*(Inputs!$F$15-Inputs!$D$15)*(Inputs!$E$15-Inputs!$D$15)),Inputs!$F$15-SQRT((1-F89)*(Inputs!$F$15-Inputs!$D$15)*(Inputs!$F$15-Inputs!$E$15)))</f>
        <v>0.62684965758531</v>
      </c>
      <c r="H89" s="81" t="n">
        <f aca="true">RAND()</f>
        <v>0.962131563196865</v>
      </c>
      <c r="I89" s="82" t="n">
        <f aca="false">ROUND(IF(H89&lt;(Inputs!$E$17-Inputs!$D$17)/(Inputs!$F$17-Inputs!$D$17),Inputs!$D$17+SQRT(H89*(Inputs!$F$17-Inputs!$D$17)*(Inputs!$E$17-Inputs!$D$17)),Inputs!$F$17-SQRT((1-H89)*(Inputs!$F$17-Inputs!$D$17)*(Inputs!$F$17-Inputs!$E$17))),0)</f>
        <v>113</v>
      </c>
      <c r="J89" s="81" t="n">
        <f aca="true">RAND()</f>
        <v>0.639801599752019</v>
      </c>
      <c r="K89" s="83" t="n">
        <f aca="false">IF(J89&lt;(Inputs!$E$18-Inputs!$D$18)/(Inputs!$F$18-Inputs!$D$18),Inputs!$D$18+SQRT(J89*(Inputs!$F$18-Inputs!$D$18)*(Inputs!$E$18-Inputs!$D$18)),Inputs!$F$18-SQRT((1-J89)*(Inputs!$F$18-Inputs!$D$18)*(Inputs!$F$18-Inputs!$E$18)))</f>
        <v>1.0724687069227</v>
      </c>
      <c r="L89" s="81" t="n">
        <f aca="true">RAND()</f>
        <v>0.0340584549297769</v>
      </c>
      <c r="M89" s="83" t="n">
        <f aca="false">IF(L89&lt;(Inputs!$E$24-Inputs!$D$24)/(Inputs!$F$24-Inputs!$D$24),Inputs!$D$24+SQRT(L89*(Inputs!$F$24-Inputs!$D$24)*(Inputs!$E$24-Inputs!$D$24)),Inputs!$F$24-SQRT((1-L89)*(Inputs!$F$24-Inputs!$D$24)*(Inputs!$F$24-Inputs!$E$24)))</f>
        <v>0.66392976295571</v>
      </c>
      <c r="N89" s="81" t="n">
        <f aca="true">RAND()</f>
        <v>0.730071027251068</v>
      </c>
      <c r="O89" s="83" t="n">
        <f aca="false">IF(N89&lt;(Inputs!$E$26-Inputs!$D$26)/(Inputs!$F$26-Inputs!$D$26),Inputs!$D$26+SQRT(N89*(Inputs!$F$26-Inputs!$D$26)*(Inputs!$E$26-Inputs!$D$26)),Inputs!$F$26-SQRT((1-N89)*(Inputs!$F$26-Inputs!$D$26)*(Inputs!$F$26-Inputs!$E$26)))</f>
        <v>0.652451161848585</v>
      </c>
      <c r="P89" s="81" t="n">
        <f aca="true">RAND()</f>
        <v>0.38101745745595</v>
      </c>
      <c r="Q89" s="82" t="n">
        <f aca="false">IF(P89&lt;(Inputs!$E$27-Inputs!$D$27)/(Inputs!$F$27-Inputs!$D$27),Inputs!$D$27+SQRT(P89*(Inputs!$F$27-Inputs!$D$27)*(Inputs!$E$27-Inputs!$D$27)),Inputs!$F$27-SQRT((1-P89)*(Inputs!$F$27-Inputs!$D$27)*(Inputs!$F$27-Inputs!$E$27)))</f>
        <v>81.8650671895805</v>
      </c>
      <c r="R89" s="81" t="n">
        <f aca="true">RAND()</f>
        <v>0.559587265355396</v>
      </c>
      <c r="S89" s="82" t="n">
        <f aca="false">IF(R89&lt;(Inputs!$E$29-Inputs!$D$29)/(Inputs!$F$29-Inputs!$D$29),Inputs!$D$29+SQRT(R89*(Inputs!$F$29-Inputs!$D$29)*(Inputs!$E$29-Inputs!$D$29)),Inputs!$F$29-SQRT((1-R89)*(Inputs!$F$29-Inputs!$D$29)*(Inputs!$F$29-Inputs!$E$29)))</f>
        <v>7.43338546615473</v>
      </c>
      <c r="T89" s="68" t="n">
        <f aca="false">Inputs!$E$9*(1+E89)+Inputs!$E$5*C89*(Inputs!$E$11*Inputs!$E$14*(G89*I89/Inputs!$E$16+(1-G89))*K89+Inputs!$E$23*M89)*(1+O89)+Inputs!$E$5*(Q89+S89)</f>
        <v>6161.79392151794</v>
      </c>
    </row>
    <row r="90" customFormat="false" ht="15" hidden="false" customHeight="false" outlineLevel="0" collapsed="false">
      <c r="A90" s="1" t="n">
        <v>86</v>
      </c>
      <c r="B90" s="81" t="n">
        <f aca="true">RAND()</f>
        <v>0.120459199356919</v>
      </c>
      <c r="C90" s="82" t="n">
        <f aca="false">ROUND(IF(B90&lt;(Inputs!$E$8-Inputs!$D$8)/(Inputs!$F$8-Inputs!$D$8),Inputs!$D$8+SQRT(B90*(Inputs!$F$8-Inputs!$D$8)*(Inputs!$E$8-Inputs!$D$8)),Inputs!$F$8-SQRT((1-B90)*(Inputs!$F$8-Inputs!$D$8)*(Inputs!$F$8-Inputs!$E$8))),0)</f>
        <v>22</v>
      </c>
      <c r="D90" s="81" t="n">
        <f aca="true">RAND()</f>
        <v>0.86184555008611</v>
      </c>
      <c r="E90" s="83" t="n">
        <f aca="false">IF(D90&lt;(Inputs!$E$10-Inputs!$D$10)/(Inputs!$F$10-Inputs!$D$10),Inputs!$D$10+SQRT(D90*(Inputs!$F$10-Inputs!$D$10)*(Inputs!$E$10-Inputs!$D$10)),Inputs!$F$10-SQRT((1-D90)*(Inputs!$F$10-Inputs!$D$10)*(Inputs!$F$10-Inputs!$E$10)))</f>
        <v>0.13562117197854</v>
      </c>
      <c r="F90" s="81" t="n">
        <f aca="true">RAND()</f>
        <v>0.526686978412158</v>
      </c>
      <c r="G90" s="83" t="n">
        <f aca="false">IF(F90&lt;(Inputs!$E$15-Inputs!$D$15)/(Inputs!$F$15-Inputs!$D$15),Inputs!$D$15+SQRT(F90*(Inputs!$F$15-Inputs!$D$15)*(Inputs!$E$15-Inputs!$D$15)),Inputs!$F$15-SQRT((1-F90)*(Inputs!$F$15-Inputs!$D$15)*(Inputs!$F$15-Inputs!$E$15)))</f>
        <v>0.70270529083369</v>
      </c>
      <c r="H90" s="81" t="n">
        <f aca="true">RAND()</f>
        <v>0.263232746070645</v>
      </c>
      <c r="I90" s="82" t="n">
        <f aca="false">ROUND(IF(H90&lt;(Inputs!$E$17-Inputs!$D$17)/(Inputs!$F$17-Inputs!$D$17),Inputs!$D$17+SQRT(H90*(Inputs!$F$17-Inputs!$D$17)*(Inputs!$E$17-Inputs!$D$17)),Inputs!$F$17-SQRT((1-H90)*(Inputs!$F$17-Inputs!$D$17)*(Inputs!$F$17-Inputs!$E$17))),0)</f>
        <v>104</v>
      </c>
      <c r="J90" s="81" t="n">
        <f aca="true">RAND()</f>
        <v>0.216096753038405</v>
      </c>
      <c r="K90" s="83" t="n">
        <f aca="false">IF(J90&lt;(Inputs!$E$18-Inputs!$D$18)/(Inputs!$F$18-Inputs!$D$18),Inputs!$D$18+SQRT(J90*(Inputs!$F$18-Inputs!$D$18)*(Inputs!$E$18-Inputs!$D$18)),Inputs!$F$18-SQRT((1-J90)*(Inputs!$F$18-Inputs!$D$18)*(Inputs!$F$18-Inputs!$E$18)))</f>
        <v>0.986967731695981</v>
      </c>
      <c r="L90" s="81" t="n">
        <f aca="true">RAND()</f>
        <v>0.370137569267822</v>
      </c>
      <c r="M90" s="83" t="n">
        <f aca="false">IF(L90&lt;(Inputs!$E$24-Inputs!$D$24)/(Inputs!$F$24-Inputs!$D$24),Inputs!$D$24+SQRT(L90*(Inputs!$F$24-Inputs!$D$24)*(Inputs!$E$24-Inputs!$D$24)),Inputs!$F$24-SQRT((1-L90)*(Inputs!$F$24-Inputs!$D$24)*(Inputs!$F$24-Inputs!$E$24)))</f>
        <v>0.811198015211184</v>
      </c>
      <c r="N90" s="81" t="n">
        <f aca="true">RAND()</f>
        <v>0.210261379372721</v>
      </c>
      <c r="O90" s="83" t="n">
        <f aca="false">IF(N90&lt;(Inputs!$E$26-Inputs!$D$26)/(Inputs!$F$26-Inputs!$D$26),Inputs!$D$26+SQRT(N90*(Inputs!$F$26-Inputs!$D$26)*(Inputs!$E$26-Inputs!$D$26)),Inputs!$F$26-SQRT((1-N90)*(Inputs!$F$26-Inputs!$D$26)*(Inputs!$F$26-Inputs!$E$26)))</f>
        <v>0.487049441398847</v>
      </c>
      <c r="P90" s="81" t="n">
        <f aca="true">RAND()</f>
        <v>0.67566521339174</v>
      </c>
      <c r="Q90" s="82" t="n">
        <f aca="false">IF(P90&lt;(Inputs!$E$27-Inputs!$D$27)/(Inputs!$F$27-Inputs!$D$27),Inputs!$D$27+SQRT(P90*(Inputs!$F$27-Inputs!$D$27)*(Inputs!$E$27-Inputs!$D$27)),Inputs!$F$27-SQRT((1-P90)*(Inputs!$F$27-Inputs!$D$27)*(Inputs!$F$27-Inputs!$E$27)))</f>
        <v>100.679508319949</v>
      </c>
      <c r="R90" s="81" t="n">
        <f aca="true">RAND()</f>
        <v>0.265196133415235</v>
      </c>
      <c r="S90" s="82" t="n">
        <f aca="false">IF(R90&lt;(Inputs!$E$29-Inputs!$D$29)/(Inputs!$F$29-Inputs!$D$29),Inputs!$D$29+SQRT(R90*(Inputs!$F$29-Inputs!$D$29)*(Inputs!$E$29-Inputs!$D$29)),Inputs!$F$29-SQRT((1-R90)*(Inputs!$F$29-Inputs!$D$29)*(Inputs!$F$29-Inputs!$E$29)))</f>
        <v>5.22633627261407</v>
      </c>
      <c r="T90" s="68" t="n">
        <f aca="false">Inputs!$E$9*(1+E90)+Inputs!$E$5*C90*(Inputs!$E$11*Inputs!$E$14*(G90*I90/Inputs!$E$16+(1-G90))*K90+Inputs!$E$23*M90)*(1+O90)+Inputs!$E$5*(Q90+S90)</f>
        <v>5695.59939625413</v>
      </c>
    </row>
    <row r="91" customFormat="false" ht="15" hidden="false" customHeight="false" outlineLevel="0" collapsed="false">
      <c r="A91" s="1" t="n">
        <v>87</v>
      </c>
      <c r="B91" s="81" t="n">
        <f aca="true">RAND()</f>
        <v>0.0697918794425086</v>
      </c>
      <c r="C91" s="82" t="n">
        <f aca="false">ROUND(IF(B91&lt;(Inputs!$E$8-Inputs!$D$8)/(Inputs!$F$8-Inputs!$D$8),Inputs!$D$8+SQRT(B91*(Inputs!$F$8-Inputs!$D$8)*(Inputs!$E$8-Inputs!$D$8)),Inputs!$F$8-SQRT((1-B91)*(Inputs!$F$8-Inputs!$D$8)*(Inputs!$F$8-Inputs!$E$8))),0)</f>
        <v>22</v>
      </c>
      <c r="D91" s="81" t="n">
        <f aca="true">RAND()</f>
        <v>0.444931314080197</v>
      </c>
      <c r="E91" s="83" t="n">
        <f aca="false">IF(D91&lt;(Inputs!$E$10-Inputs!$D$10)/(Inputs!$F$10-Inputs!$D$10),Inputs!$D$10+SQRT(D91*(Inputs!$F$10-Inputs!$D$10)*(Inputs!$E$10-Inputs!$D$10)),Inputs!$F$10-SQRT((1-D91)*(Inputs!$F$10-Inputs!$D$10)*(Inputs!$F$10-Inputs!$E$10)))</f>
        <v>0.0709571366653929</v>
      </c>
      <c r="F91" s="81" t="n">
        <f aca="true">RAND()</f>
        <v>0.753781192666693</v>
      </c>
      <c r="G91" s="83" t="n">
        <f aca="false">IF(F91&lt;(Inputs!$E$15-Inputs!$D$15)/(Inputs!$F$15-Inputs!$D$15),Inputs!$D$15+SQRT(F91*(Inputs!$F$15-Inputs!$D$15)*(Inputs!$E$15-Inputs!$D$15)),Inputs!$F$15-SQRT((1-F91)*(Inputs!$F$15-Inputs!$D$15)*(Inputs!$F$15-Inputs!$E$15)))</f>
        <v>0.72982610067364</v>
      </c>
      <c r="H91" s="81" t="n">
        <f aca="true">RAND()</f>
        <v>0.596538352969221</v>
      </c>
      <c r="I91" s="82" t="n">
        <f aca="false">ROUND(IF(H91&lt;(Inputs!$E$17-Inputs!$D$17)/(Inputs!$F$17-Inputs!$D$17),Inputs!$D$17+SQRT(H91*(Inputs!$F$17-Inputs!$D$17)*(Inputs!$E$17-Inputs!$D$17)),Inputs!$F$17-SQRT((1-H91)*(Inputs!$F$17-Inputs!$D$17)*(Inputs!$F$17-Inputs!$E$17))),0)</f>
        <v>107</v>
      </c>
      <c r="J91" s="81" t="n">
        <f aca="true">RAND()</f>
        <v>0.643669752168347</v>
      </c>
      <c r="K91" s="83" t="n">
        <f aca="false">IF(J91&lt;(Inputs!$E$18-Inputs!$D$18)/(Inputs!$F$18-Inputs!$D$18),Inputs!$D$18+SQRT(J91*(Inputs!$F$18-Inputs!$D$18)*(Inputs!$E$18-Inputs!$D$18)),Inputs!$F$18-SQRT((1-J91)*(Inputs!$F$18-Inputs!$D$18)*(Inputs!$F$18-Inputs!$E$18)))</f>
        <v>1.07342452977475</v>
      </c>
      <c r="L91" s="81" t="n">
        <f aca="true">RAND()</f>
        <v>0.485677407321435</v>
      </c>
      <c r="M91" s="83" t="n">
        <f aca="false">IF(L91&lt;(Inputs!$E$24-Inputs!$D$24)/(Inputs!$F$24-Inputs!$D$24),Inputs!$D$24+SQRT(L91*(Inputs!$F$24-Inputs!$D$24)*(Inputs!$E$24-Inputs!$D$24)),Inputs!$F$24-SQRT((1-L91)*(Inputs!$F$24-Inputs!$D$24)*(Inputs!$F$24-Inputs!$E$24)))</f>
        <v>0.84866337759514</v>
      </c>
      <c r="N91" s="81" t="n">
        <f aca="true">RAND()</f>
        <v>0.870704088477975</v>
      </c>
      <c r="O91" s="83" t="n">
        <f aca="false">IF(N91&lt;(Inputs!$E$26-Inputs!$D$26)/(Inputs!$F$26-Inputs!$D$26),Inputs!$D$26+SQRT(N91*(Inputs!$F$26-Inputs!$D$26)*(Inputs!$E$26-Inputs!$D$26)),Inputs!$F$26-SQRT((1-N91)*(Inputs!$F$26-Inputs!$D$26)*(Inputs!$F$26-Inputs!$E$26)))</f>
        <v>0.704039770618153</v>
      </c>
      <c r="P91" s="81" t="n">
        <f aca="true">RAND()</f>
        <v>0.0523122293824768</v>
      </c>
      <c r="Q91" s="82" t="n">
        <f aca="false">IF(P91&lt;(Inputs!$E$27-Inputs!$D$27)/(Inputs!$F$27-Inputs!$D$27),Inputs!$D$27+SQRT(P91*(Inputs!$F$27-Inputs!$D$27)*(Inputs!$E$27-Inputs!$D$27)),Inputs!$F$27-SQRT((1-P91)*(Inputs!$F$27-Inputs!$D$27)*(Inputs!$F$27-Inputs!$E$27)))</f>
        <v>61.4359334317839</v>
      </c>
      <c r="R91" s="81" t="n">
        <f aca="true">RAND()</f>
        <v>0.386246729241378</v>
      </c>
      <c r="S91" s="82" t="n">
        <f aca="false">IF(R91&lt;(Inputs!$E$29-Inputs!$D$29)/(Inputs!$F$29-Inputs!$D$29),Inputs!$D$29+SQRT(R91*(Inputs!$F$29-Inputs!$D$29)*(Inputs!$E$29-Inputs!$D$29)),Inputs!$F$29-SQRT((1-R91)*(Inputs!$F$29-Inputs!$D$29)*(Inputs!$F$29-Inputs!$E$29)))</f>
        <v>6.06759129917239</v>
      </c>
      <c r="T91" s="68" t="n">
        <f aca="false">Inputs!$E$9*(1+E91)+Inputs!$E$5*C91*(Inputs!$E$11*Inputs!$E$14*(G91*I91/Inputs!$E$16+(1-G91))*K91+Inputs!$E$23*M91)*(1+O91)+Inputs!$E$5*(Q91+S91)</f>
        <v>5973.36213579112</v>
      </c>
    </row>
    <row r="92" customFormat="false" ht="15" hidden="false" customHeight="false" outlineLevel="0" collapsed="false">
      <c r="A92" s="1" t="n">
        <v>88</v>
      </c>
      <c r="B92" s="81" t="n">
        <f aca="true">RAND()</f>
        <v>0.868329043371154</v>
      </c>
      <c r="C92" s="82" t="n">
        <f aca="false">ROUND(IF(B92&lt;(Inputs!$E$8-Inputs!$D$8)/(Inputs!$F$8-Inputs!$D$8),Inputs!$D$8+SQRT(B92*(Inputs!$F$8-Inputs!$D$8)*(Inputs!$E$8-Inputs!$D$8)),Inputs!$F$8-SQRT((1-B92)*(Inputs!$F$8-Inputs!$D$8)*(Inputs!$F$8-Inputs!$E$8))),0)</f>
        <v>27</v>
      </c>
      <c r="D92" s="81" t="n">
        <f aca="true">RAND()</f>
        <v>0.720786513989719</v>
      </c>
      <c r="E92" s="83" t="n">
        <f aca="false">IF(D92&lt;(Inputs!$E$10-Inputs!$D$10)/(Inputs!$F$10-Inputs!$D$10),Inputs!$D$10+SQRT(D92*(Inputs!$F$10-Inputs!$D$10)*(Inputs!$E$10-Inputs!$D$10)),Inputs!$F$10-SQRT((1-D92)*(Inputs!$F$10-Inputs!$D$10)*(Inputs!$F$10-Inputs!$E$10)))</f>
        <v>0.108477300191109</v>
      </c>
      <c r="F92" s="81" t="n">
        <f aca="true">RAND()</f>
        <v>0.676097414121926</v>
      </c>
      <c r="G92" s="83" t="n">
        <f aca="false">IF(F92&lt;(Inputs!$E$15-Inputs!$D$15)/(Inputs!$F$15-Inputs!$D$15),Inputs!$D$15+SQRT(F92*(Inputs!$F$15-Inputs!$D$15)*(Inputs!$E$15-Inputs!$D$15)),Inputs!$F$15-SQRT((1-F92)*(Inputs!$F$15-Inputs!$D$15)*(Inputs!$F$15-Inputs!$E$15)))</f>
        <v>0.719513655086335</v>
      </c>
      <c r="H92" s="81" t="n">
        <f aca="true">RAND()</f>
        <v>0.106152006932888</v>
      </c>
      <c r="I92" s="82" t="n">
        <f aca="false">ROUND(IF(H92&lt;(Inputs!$E$17-Inputs!$D$17)/(Inputs!$F$17-Inputs!$D$17),Inputs!$D$17+SQRT(H92*(Inputs!$F$17-Inputs!$D$17)*(Inputs!$E$17-Inputs!$D$17)),Inputs!$F$17-SQRT((1-H92)*(Inputs!$F$17-Inputs!$D$17)*(Inputs!$F$17-Inputs!$E$17))),0)</f>
        <v>103</v>
      </c>
      <c r="J92" s="81" t="n">
        <f aca="true">RAND()</f>
        <v>0.424768833333295</v>
      </c>
      <c r="K92" s="83" t="n">
        <f aca="false">IF(J92&lt;(Inputs!$E$18-Inputs!$D$18)/(Inputs!$F$18-Inputs!$D$18),Inputs!$D$18+SQRT(J92*(Inputs!$F$18-Inputs!$D$18)*(Inputs!$E$18-Inputs!$D$18)),Inputs!$F$18-SQRT((1-J92)*(Inputs!$F$18-Inputs!$D$18)*(Inputs!$F$18-Inputs!$E$18)))</f>
        <v>1.02565043551784</v>
      </c>
      <c r="L92" s="81" t="n">
        <f aca="true">RAND()</f>
        <v>0.864725549929613</v>
      </c>
      <c r="M92" s="83" t="n">
        <f aca="false">IF(L92&lt;(Inputs!$E$24-Inputs!$D$24)/(Inputs!$F$24-Inputs!$D$24),Inputs!$D$24+SQRT(L92*(Inputs!$F$24-Inputs!$D$24)*(Inputs!$E$24-Inputs!$D$24)),Inputs!$F$24-SQRT((1-L92)*(Inputs!$F$24-Inputs!$D$24)*(Inputs!$F$24-Inputs!$E$24)))</f>
        <v>1.01981712618317</v>
      </c>
      <c r="N92" s="81" t="n">
        <f aca="true">RAND()</f>
        <v>0.268571638482967</v>
      </c>
      <c r="O92" s="83" t="n">
        <f aca="false">IF(N92&lt;(Inputs!$E$26-Inputs!$D$26)/(Inputs!$F$26-Inputs!$D$26),Inputs!$D$26+SQRT(N92*(Inputs!$F$26-Inputs!$D$26)*(Inputs!$E$26-Inputs!$D$26)),Inputs!$F$26-SQRT((1-N92)*(Inputs!$F$26-Inputs!$D$26)*(Inputs!$F$26-Inputs!$E$26)))</f>
        <v>0.511400852986845</v>
      </c>
      <c r="P92" s="81" t="n">
        <f aca="true">RAND()</f>
        <v>0.979517121485562</v>
      </c>
      <c r="Q92" s="82" t="n">
        <f aca="false">IF(P92&lt;(Inputs!$E$27-Inputs!$D$27)/(Inputs!$F$27-Inputs!$D$27),Inputs!$D$27+SQRT(P92*(Inputs!$F$27-Inputs!$D$27)*(Inputs!$E$27-Inputs!$D$27)),Inputs!$F$27-SQRT((1-P92)*(Inputs!$F$27-Inputs!$D$27)*(Inputs!$F$27-Inputs!$E$27)))</f>
        <v>137.605582350982</v>
      </c>
      <c r="R92" s="81" t="n">
        <f aca="true">RAND()</f>
        <v>0.484779112250247</v>
      </c>
      <c r="S92" s="82" t="n">
        <f aca="false">IF(R92&lt;(Inputs!$E$29-Inputs!$D$29)/(Inputs!$F$29-Inputs!$D$29),Inputs!$D$29+SQRT(R92*(Inputs!$F$29-Inputs!$D$29)*(Inputs!$E$29-Inputs!$D$29)),Inputs!$F$29-SQRT((1-R92)*(Inputs!$F$29-Inputs!$D$29)*(Inputs!$F$29-Inputs!$E$29)))</f>
        <v>6.81594749482459</v>
      </c>
      <c r="T92" s="68" t="n">
        <f aca="false">Inputs!$E$9*(1+E92)+Inputs!$E$5*C92*(Inputs!$E$11*Inputs!$E$14*(G92*I92/Inputs!$E$16+(1-G92))*K92+Inputs!$E$23*M92)*(1+O92)+Inputs!$E$5*(Q92+S92)</f>
        <v>6839.79077401176</v>
      </c>
    </row>
    <row r="93" customFormat="false" ht="15" hidden="false" customHeight="false" outlineLevel="0" collapsed="false">
      <c r="A93" s="1" t="n">
        <v>89</v>
      </c>
      <c r="B93" s="81" t="n">
        <f aca="true">RAND()</f>
        <v>0.0328539598206903</v>
      </c>
      <c r="C93" s="82" t="n">
        <f aca="false">ROUND(IF(B93&lt;(Inputs!$E$8-Inputs!$D$8)/(Inputs!$F$8-Inputs!$D$8),Inputs!$D$8+SQRT(B93*(Inputs!$F$8-Inputs!$D$8)*(Inputs!$E$8-Inputs!$D$8)),Inputs!$F$8-SQRT((1-B93)*(Inputs!$F$8-Inputs!$D$8)*(Inputs!$F$8-Inputs!$E$8))),0)</f>
        <v>21</v>
      </c>
      <c r="D93" s="81" t="n">
        <f aca="true">RAND()</f>
        <v>0.783156388905505</v>
      </c>
      <c r="E93" s="83" t="n">
        <f aca="false">IF(D93&lt;(Inputs!$E$10-Inputs!$D$10)/(Inputs!$F$10-Inputs!$D$10),Inputs!$D$10+SQRT(D93*(Inputs!$F$10-Inputs!$D$10)*(Inputs!$E$10-Inputs!$D$10)),Inputs!$F$10-SQRT((1-D93)*(Inputs!$F$10-Inputs!$D$10)*(Inputs!$F$10-Inputs!$E$10)))</f>
        <v>0.119344508352904</v>
      </c>
      <c r="F93" s="81" t="n">
        <f aca="true">RAND()</f>
        <v>0.675312822747851</v>
      </c>
      <c r="G93" s="83" t="n">
        <f aca="false">IF(F93&lt;(Inputs!$E$15-Inputs!$D$15)/(Inputs!$F$15-Inputs!$D$15),Inputs!$D$15+SQRT(F93*(Inputs!$F$15-Inputs!$D$15)*(Inputs!$E$15-Inputs!$D$15)),Inputs!$F$15-SQRT((1-F93)*(Inputs!$F$15-Inputs!$D$15)*(Inputs!$F$15-Inputs!$E$15)))</f>
        <v>0.719416232744783</v>
      </c>
      <c r="H93" s="81" t="n">
        <f aca="true">RAND()</f>
        <v>0.976975504080785</v>
      </c>
      <c r="I93" s="82" t="n">
        <f aca="false">ROUND(IF(H93&lt;(Inputs!$E$17-Inputs!$D$17)/(Inputs!$F$17-Inputs!$D$17),Inputs!$D$17+SQRT(H93*(Inputs!$F$17-Inputs!$D$17)*(Inputs!$E$17-Inputs!$D$17)),Inputs!$F$17-SQRT((1-H93)*(Inputs!$F$17-Inputs!$D$17)*(Inputs!$F$17-Inputs!$E$17))),0)</f>
        <v>113</v>
      </c>
      <c r="J93" s="81" t="n">
        <f aca="true">RAND()</f>
        <v>0.982994375930185</v>
      </c>
      <c r="K93" s="83" t="n">
        <f aca="false">IF(J93&lt;(Inputs!$E$18-Inputs!$D$18)/(Inputs!$F$18-Inputs!$D$18),Inputs!$D$18+SQRT(J93*(Inputs!$F$18-Inputs!$D$18)*(Inputs!$E$18-Inputs!$D$18)),Inputs!$F$18-SQRT((1-J93)*(Inputs!$F$18-Inputs!$D$18)*(Inputs!$F$18-Inputs!$E$18)))</f>
        <v>1.21142549927596</v>
      </c>
      <c r="L93" s="81" t="n">
        <f aca="true">RAND()</f>
        <v>0.244308984410298</v>
      </c>
      <c r="M93" s="83" t="n">
        <f aca="false">IF(L93&lt;(Inputs!$E$24-Inputs!$D$24)/(Inputs!$F$24-Inputs!$D$24),Inputs!$D$24+SQRT(L93*(Inputs!$F$24-Inputs!$D$24)*(Inputs!$E$24-Inputs!$D$24)),Inputs!$F$24-SQRT((1-L93)*(Inputs!$F$24-Inputs!$D$24)*(Inputs!$F$24-Inputs!$E$24)))</f>
        <v>0.771222306167262</v>
      </c>
      <c r="N93" s="81" t="n">
        <f aca="true">RAND()</f>
        <v>0.253390564221477</v>
      </c>
      <c r="O93" s="83" t="n">
        <f aca="false">IF(N93&lt;(Inputs!$E$26-Inputs!$D$26)/(Inputs!$F$26-Inputs!$D$26),Inputs!$D$26+SQRT(N93*(Inputs!$F$26-Inputs!$D$26)*(Inputs!$E$26-Inputs!$D$26)),Inputs!$F$26-SQRT((1-N93)*(Inputs!$F$26-Inputs!$D$26)*(Inputs!$F$26-Inputs!$E$26)))</f>
        <v>0.505339206890583</v>
      </c>
      <c r="P93" s="81" t="n">
        <f aca="true">RAND()</f>
        <v>0.504924946450196</v>
      </c>
      <c r="Q93" s="82" t="n">
        <f aca="false">IF(P93&lt;(Inputs!$E$27-Inputs!$D$27)/(Inputs!$F$27-Inputs!$D$27),Inputs!$D$27+SQRT(P93*(Inputs!$F$27-Inputs!$D$27)*(Inputs!$E$27-Inputs!$D$27)),Inputs!$F$27-SQRT((1-P93)*(Inputs!$F$27-Inputs!$D$27)*(Inputs!$F$27-Inputs!$E$27)))</f>
        <v>89.0650929136383</v>
      </c>
      <c r="R93" s="81" t="n">
        <f aca="true">RAND()</f>
        <v>0.65341344841727</v>
      </c>
      <c r="S93" s="82" t="n">
        <f aca="false">IF(R93&lt;(Inputs!$E$29-Inputs!$D$29)/(Inputs!$F$29-Inputs!$D$29),Inputs!$D$29+SQRT(R93*(Inputs!$F$29-Inputs!$D$29)*(Inputs!$E$29-Inputs!$D$29)),Inputs!$F$29-SQRT((1-R93)*(Inputs!$F$29-Inputs!$D$29)*(Inputs!$F$29-Inputs!$E$29)))</f>
        <v>8.28760462236059</v>
      </c>
      <c r="T93" s="68" t="n">
        <f aca="false">Inputs!$E$9*(1+E93)+Inputs!$E$5*C93*(Inputs!$E$11*Inputs!$E$14*(G93*I93/Inputs!$E$16+(1-G93))*K93+Inputs!$E$23*M93)*(1+O93)+Inputs!$E$5*(Q93+S93)</f>
        <v>5941.99494410964</v>
      </c>
    </row>
    <row r="94" customFormat="false" ht="15" hidden="false" customHeight="false" outlineLevel="0" collapsed="false">
      <c r="A94" s="1" t="n">
        <v>90</v>
      </c>
      <c r="B94" s="81" t="n">
        <f aca="true">RAND()</f>
        <v>0.984123140910947</v>
      </c>
      <c r="C94" s="82" t="n">
        <f aca="false">ROUND(IF(B94&lt;(Inputs!$E$8-Inputs!$D$8)/(Inputs!$F$8-Inputs!$D$8),Inputs!$D$8+SQRT(B94*(Inputs!$F$8-Inputs!$D$8)*(Inputs!$E$8-Inputs!$D$8)),Inputs!$F$8-SQRT((1-B94)*(Inputs!$F$8-Inputs!$D$8)*(Inputs!$F$8-Inputs!$E$8))),0)</f>
        <v>29</v>
      </c>
      <c r="D94" s="81" t="n">
        <f aca="true">RAND()</f>
        <v>0.726460721907251</v>
      </c>
      <c r="E94" s="83" t="n">
        <f aca="false">IF(D94&lt;(Inputs!$E$10-Inputs!$D$10)/(Inputs!$F$10-Inputs!$D$10),Inputs!$D$10+SQRT(D94*(Inputs!$F$10-Inputs!$D$10)*(Inputs!$E$10-Inputs!$D$10)),Inputs!$F$10-SQRT((1-D94)*(Inputs!$F$10-Inputs!$D$10)*(Inputs!$F$10-Inputs!$E$10)))</f>
        <v>0.109412040850991</v>
      </c>
      <c r="F94" s="81" t="n">
        <f aca="true">RAND()</f>
        <v>0.400571477126787</v>
      </c>
      <c r="G94" s="83" t="n">
        <f aca="false">IF(F94&lt;(Inputs!$E$15-Inputs!$D$15)/(Inputs!$F$15-Inputs!$D$15),Inputs!$D$15+SQRT(F94*(Inputs!$F$15-Inputs!$D$15)*(Inputs!$E$15-Inputs!$D$15)),Inputs!$F$15-SQRT((1-F94)*(Inputs!$F$15-Inputs!$D$15)*(Inputs!$F$15-Inputs!$E$15)))</f>
        <v>0.689506589380535</v>
      </c>
      <c r="H94" s="81" t="n">
        <f aca="true">RAND()</f>
        <v>0.443682009941238</v>
      </c>
      <c r="I94" s="82" t="n">
        <f aca="false">ROUND(IF(H94&lt;(Inputs!$E$17-Inputs!$D$17)/(Inputs!$F$17-Inputs!$D$17),Inputs!$D$17+SQRT(H94*(Inputs!$F$17-Inputs!$D$17)*(Inputs!$E$17-Inputs!$D$17)),Inputs!$F$17-SQRT((1-H94)*(Inputs!$F$17-Inputs!$D$17)*(Inputs!$F$17-Inputs!$E$17))),0)</f>
        <v>106</v>
      </c>
      <c r="J94" s="81" t="n">
        <f aca="true">RAND()</f>
        <v>0.315875301956617</v>
      </c>
      <c r="K94" s="83" t="n">
        <f aca="false">IF(J94&lt;(Inputs!$E$18-Inputs!$D$18)/(Inputs!$F$18-Inputs!$D$18),Inputs!$D$18+SQRT(J94*(Inputs!$F$18-Inputs!$D$18)*(Inputs!$E$18-Inputs!$D$18)),Inputs!$F$18-SQRT((1-J94)*(Inputs!$F$18-Inputs!$D$18)*(Inputs!$F$18-Inputs!$E$18)))</f>
        <v>1.00533510452295</v>
      </c>
      <c r="L94" s="81" t="n">
        <f aca="true">RAND()</f>
        <v>0.673951747179042</v>
      </c>
      <c r="M94" s="83" t="n">
        <f aca="false">IF(L94&lt;(Inputs!$E$24-Inputs!$D$24)/(Inputs!$F$24-Inputs!$D$24),Inputs!$D$24+SQRT(L94*(Inputs!$F$24-Inputs!$D$24)*(Inputs!$E$24-Inputs!$D$24)),Inputs!$F$24-SQRT((1-L94)*(Inputs!$F$24-Inputs!$D$24)*(Inputs!$F$24-Inputs!$E$24)))</f>
        <v>0.920265160058619</v>
      </c>
      <c r="N94" s="81" t="n">
        <f aca="true">RAND()</f>
        <v>0.241844108376234</v>
      </c>
      <c r="O94" s="83" t="n">
        <f aca="false">IF(N94&lt;(Inputs!$E$26-Inputs!$D$26)/(Inputs!$F$26-Inputs!$D$26),Inputs!$D$26+SQRT(N94*(Inputs!$F$26-Inputs!$D$26)*(Inputs!$E$26-Inputs!$D$26)),Inputs!$F$26-SQRT((1-N94)*(Inputs!$F$26-Inputs!$D$26)*(Inputs!$F$26-Inputs!$E$26)))</f>
        <v>0.500606230296582</v>
      </c>
      <c r="P94" s="81" t="n">
        <f aca="true">RAND()</f>
        <v>0.73222833921816</v>
      </c>
      <c r="Q94" s="82" t="n">
        <f aca="false">IF(P94&lt;(Inputs!$E$27-Inputs!$D$27)/(Inputs!$F$27-Inputs!$D$27),Inputs!$D$27+SQRT(P94*(Inputs!$F$27-Inputs!$D$27)*(Inputs!$E$27-Inputs!$D$27)),Inputs!$F$27-SQRT((1-P94)*(Inputs!$F$27-Inputs!$D$27)*(Inputs!$F$27-Inputs!$E$27)))</f>
        <v>105.186079664196</v>
      </c>
      <c r="R94" s="81" t="n">
        <f aca="true">RAND()</f>
        <v>0.518826001288724</v>
      </c>
      <c r="S94" s="82" t="n">
        <f aca="false">IF(R94&lt;(Inputs!$E$29-Inputs!$D$29)/(Inputs!$F$29-Inputs!$D$29),Inputs!$D$29+SQRT(R94*(Inputs!$F$29-Inputs!$D$29)*(Inputs!$E$29-Inputs!$D$29)),Inputs!$F$29-SQRT((1-R94)*(Inputs!$F$29-Inputs!$D$29)*(Inputs!$F$29-Inputs!$E$29)))</f>
        <v>7.09097857933955</v>
      </c>
      <c r="T94" s="68" t="n">
        <f aca="false">Inputs!$E$9*(1+E94)+Inputs!$E$5*C94*(Inputs!$E$11*Inputs!$E$14*(G94*I94/Inputs!$E$16+(1-G94))*K94+Inputs!$E$23*M94)*(1+O94)+Inputs!$E$5*(Q94+S94)</f>
        <v>6807.08577963758</v>
      </c>
    </row>
    <row r="95" customFormat="false" ht="15" hidden="false" customHeight="false" outlineLevel="0" collapsed="false">
      <c r="A95" s="1" t="n">
        <v>91</v>
      </c>
      <c r="B95" s="81" t="n">
        <f aca="true">RAND()</f>
        <v>0.67911161944066</v>
      </c>
      <c r="C95" s="82" t="n">
        <f aca="false">ROUND(IF(B95&lt;(Inputs!$E$8-Inputs!$D$8)/(Inputs!$F$8-Inputs!$D$8),Inputs!$D$8+SQRT(B95*(Inputs!$F$8-Inputs!$D$8)*(Inputs!$E$8-Inputs!$D$8)),Inputs!$F$8-SQRT((1-B95)*(Inputs!$F$8-Inputs!$D$8)*(Inputs!$F$8-Inputs!$E$8))),0)</f>
        <v>26</v>
      </c>
      <c r="D95" s="81" t="n">
        <f aca="true">RAND()</f>
        <v>0.0139525657144285</v>
      </c>
      <c r="E95" s="83" t="n">
        <f aca="false">IF(D95&lt;(Inputs!$E$10-Inputs!$D$10)/(Inputs!$F$10-Inputs!$D$10),Inputs!$D$10+SQRT(D95*(Inputs!$F$10-Inputs!$D$10)*(Inputs!$E$10-Inputs!$D$10)),Inputs!$F$10-SQRT((1-D95)*(Inputs!$F$10-Inputs!$D$10)*(Inputs!$F$10-Inputs!$E$10)))</f>
        <v>0.0118120979146079</v>
      </c>
      <c r="F95" s="81" t="n">
        <f aca="true">RAND()</f>
        <v>0.529571651395326</v>
      </c>
      <c r="G95" s="83" t="n">
        <f aca="false">IF(F95&lt;(Inputs!$E$15-Inputs!$D$15)/(Inputs!$F$15-Inputs!$D$15),Inputs!$D$15+SQRT(F95*(Inputs!$F$15-Inputs!$D$15)*(Inputs!$E$15-Inputs!$D$15)),Inputs!$F$15-SQRT((1-F95)*(Inputs!$F$15-Inputs!$D$15)*(Inputs!$F$15-Inputs!$E$15)))</f>
        <v>0.703002232128293</v>
      </c>
      <c r="H95" s="81" t="n">
        <f aca="true">RAND()</f>
        <v>0.0662282712147017</v>
      </c>
      <c r="I95" s="82" t="n">
        <f aca="false">ROUND(IF(H95&lt;(Inputs!$E$17-Inputs!$D$17)/(Inputs!$F$17-Inputs!$D$17),Inputs!$D$17+SQRT(H95*(Inputs!$F$17-Inputs!$D$17)*(Inputs!$E$17-Inputs!$D$17)),Inputs!$F$17-SQRT((1-H95)*(Inputs!$F$17-Inputs!$D$17)*(Inputs!$F$17-Inputs!$E$17))),0)</f>
        <v>102</v>
      </c>
      <c r="J95" s="81" t="n">
        <f aca="true">RAND()</f>
        <v>0.783681569793212</v>
      </c>
      <c r="K95" s="83" t="n">
        <f aca="false">IF(J95&lt;(Inputs!$E$18-Inputs!$D$18)/(Inputs!$F$18-Inputs!$D$18),Inputs!$D$18+SQRT(J95*(Inputs!$F$18-Inputs!$D$18)*(Inputs!$E$18-Inputs!$D$18)),Inputs!$F$18-SQRT((1-J95)*(Inputs!$F$18-Inputs!$D$18)*(Inputs!$F$18-Inputs!$E$18)))</f>
        <v>1.11242143101815</v>
      </c>
      <c r="L95" s="81" t="n">
        <f aca="true">RAND()</f>
        <v>0.712597368563207</v>
      </c>
      <c r="M95" s="83" t="n">
        <f aca="false">IF(L95&lt;(Inputs!$E$24-Inputs!$D$24)/(Inputs!$F$24-Inputs!$D$24),Inputs!$D$24+SQRT(L95*(Inputs!$F$24-Inputs!$D$24)*(Inputs!$E$24-Inputs!$D$24)),Inputs!$F$24-SQRT((1-L95)*(Inputs!$F$24-Inputs!$D$24)*(Inputs!$F$24-Inputs!$E$24)))</f>
        <v>0.937365974129721</v>
      </c>
      <c r="N95" s="81" t="n">
        <f aca="true">RAND()</f>
        <v>0.880783120533993</v>
      </c>
      <c r="O95" s="83" t="n">
        <f aca="false">IF(N95&lt;(Inputs!$E$26-Inputs!$D$26)/(Inputs!$F$26-Inputs!$D$26),Inputs!$D$26+SQRT(N95*(Inputs!$F$26-Inputs!$D$26)*(Inputs!$E$26-Inputs!$D$26)),Inputs!$F$26-SQRT((1-N95)*(Inputs!$F$26-Inputs!$D$26)*(Inputs!$F$26-Inputs!$E$26)))</f>
        <v>0.708651199088339</v>
      </c>
      <c r="P95" s="81" t="n">
        <f aca="true">RAND()</f>
        <v>0.854751852787136</v>
      </c>
      <c r="Q95" s="82" t="n">
        <f aca="false">IF(P95&lt;(Inputs!$E$27-Inputs!$D$27)/(Inputs!$F$27-Inputs!$D$27),Inputs!$D$27+SQRT(P95*(Inputs!$F$27-Inputs!$D$27)*(Inputs!$E$27-Inputs!$D$27)),Inputs!$F$27-SQRT((1-P95)*(Inputs!$F$27-Inputs!$D$27)*(Inputs!$F$27-Inputs!$E$27)))</f>
        <v>116.994529179294</v>
      </c>
      <c r="R95" s="81" t="n">
        <f aca="true">RAND()</f>
        <v>0.228783609209333</v>
      </c>
      <c r="S95" s="82" t="n">
        <f aca="false">IF(R95&lt;(Inputs!$E$29-Inputs!$D$29)/(Inputs!$F$29-Inputs!$D$29),Inputs!$D$29+SQRT(R95*(Inputs!$F$29-Inputs!$D$29)*(Inputs!$E$29-Inputs!$D$29)),Inputs!$F$29-SQRT((1-R95)*(Inputs!$F$29-Inputs!$D$29)*(Inputs!$F$29-Inputs!$E$29)))</f>
        <v>4.98706557664273</v>
      </c>
      <c r="T95" s="68" t="n">
        <f aca="false">Inputs!$E$9*(1+E95)+Inputs!$E$5*C95*(Inputs!$E$11*Inputs!$E$14*(G95*I95/Inputs!$E$16+(1-G95))*K95+Inputs!$E$23*M95)*(1+O95)+Inputs!$E$5*(Q95+S95)</f>
        <v>6926.02262142762</v>
      </c>
    </row>
    <row r="96" customFormat="false" ht="15" hidden="false" customHeight="false" outlineLevel="0" collapsed="false">
      <c r="A96" s="1" t="n">
        <v>92</v>
      </c>
      <c r="B96" s="81" t="n">
        <f aca="true">RAND()</f>
        <v>0.983913693539177</v>
      </c>
      <c r="C96" s="82" t="n">
        <f aca="false">ROUND(IF(B96&lt;(Inputs!$E$8-Inputs!$D$8)/(Inputs!$F$8-Inputs!$D$8),Inputs!$D$8+SQRT(B96*(Inputs!$F$8-Inputs!$D$8)*(Inputs!$E$8-Inputs!$D$8)),Inputs!$F$8-SQRT((1-B96)*(Inputs!$F$8-Inputs!$D$8)*(Inputs!$F$8-Inputs!$E$8))),0)</f>
        <v>29</v>
      </c>
      <c r="D96" s="81" t="n">
        <f aca="true">RAND()</f>
        <v>0.300062011858524</v>
      </c>
      <c r="E96" s="83" t="n">
        <f aca="false">IF(D96&lt;(Inputs!$E$10-Inputs!$D$10)/(Inputs!$F$10-Inputs!$D$10),Inputs!$D$10+SQRT(D96*(Inputs!$F$10-Inputs!$D$10)*(Inputs!$E$10-Inputs!$D$10)),Inputs!$F$10-SQRT((1-D96)*(Inputs!$F$10-Inputs!$D$10)*(Inputs!$F$10-Inputs!$E$10)))</f>
        <v>0.0550926515174463</v>
      </c>
      <c r="F96" s="81" t="n">
        <f aca="true">RAND()</f>
        <v>0.545642925743113</v>
      </c>
      <c r="G96" s="83" t="n">
        <f aca="false">IF(F96&lt;(Inputs!$E$15-Inputs!$D$15)/(Inputs!$F$15-Inputs!$D$15),Inputs!$D$15+SQRT(F96*(Inputs!$F$15-Inputs!$D$15)*(Inputs!$E$15-Inputs!$D$15)),Inputs!$F$15-SQRT((1-F96)*(Inputs!$F$15-Inputs!$D$15)*(Inputs!$F$15-Inputs!$E$15)))</f>
        <v>0.704673500614269</v>
      </c>
      <c r="H96" s="81" t="n">
        <f aca="true">RAND()</f>
        <v>0.755521805441709</v>
      </c>
      <c r="I96" s="82" t="n">
        <f aca="false">ROUND(IF(H96&lt;(Inputs!$E$17-Inputs!$D$17)/(Inputs!$F$17-Inputs!$D$17),Inputs!$D$17+SQRT(H96*(Inputs!$F$17-Inputs!$D$17)*(Inputs!$E$17-Inputs!$D$17)),Inputs!$F$17-SQRT((1-H96)*(Inputs!$F$17-Inputs!$D$17)*(Inputs!$F$17-Inputs!$E$17))),0)</f>
        <v>109</v>
      </c>
      <c r="J96" s="81" t="n">
        <f aca="true">RAND()</f>
        <v>0.934665628173433</v>
      </c>
      <c r="K96" s="83" t="n">
        <f aca="false">IF(J96&lt;(Inputs!$E$18-Inputs!$D$18)/(Inputs!$F$18-Inputs!$D$18),Inputs!$D$18+SQRT(J96*(Inputs!$F$18-Inputs!$D$18)*(Inputs!$E$18-Inputs!$D$18)),Inputs!$F$18-SQRT((1-J96)*(Inputs!$F$18-Inputs!$D$18)*(Inputs!$F$18-Inputs!$E$18)))</f>
        <v>1.17439075760977</v>
      </c>
      <c r="L96" s="81" t="n">
        <f aca="true">RAND()</f>
        <v>0.636430969015897</v>
      </c>
      <c r="M96" s="83" t="n">
        <f aca="false">IF(L96&lt;(Inputs!$E$24-Inputs!$D$24)/(Inputs!$F$24-Inputs!$D$24),Inputs!$D$24+SQRT(L96*(Inputs!$F$24-Inputs!$D$24)*(Inputs!$E$24-Inputs!$D$24)),Inputs!$F$24-SQRT((1-L96)*(Inputs!$F$24-Inputs!$D$24)*(Inputs!$F$24-Inputs!$E$24)))</f>
        <v>0.904607773568456</v>
      </c>
      <c r="N96" s="81" t="n">
        <f aca="true">RAND()</f>
        <v>0.316649454628041</v>
      </c>
      <c r="O96" s="83" t="n">
        <f aca="false">IF(N96&lt;(Inputs!$E$26-Inputs!$D$26)/(Inputs!$F$26-Inputs!$D$26),Inputs!$D$26+SQRT(N96*(Inputs!$F$26-Inputs!$D$26)*(Inputs!$E$26-Inputs!$D$26)),Inputs!$F$26-SQRT((1-N96)*(Inputs!$F$26-Inputs!$D$26)*(Inputs!$F$26-Inputs!$E$26)))</f>
        <v>0.529544046427055</v>
      </c>
      <c r="P96" s="81" t="n">
        <f aca="true">RAND()</f>
        <v>0.384043773649646</v>
      </c>
      <c r="Q96" s="82" t="n">
        <f aca="false">IF(P96&lt;(Inputs!$E$27-Inputs!$D$27)/(Inputs!$F$27-Inputs!$D$27),Inputs!$D$27+SQRT(P96*(Inputs!$F$27-Inputs!$D$27)*(Inputs!$E$27-Inputs!$D$27)),Inputs!$F$27-SQRT((1-P96)*(Inputs!$F$27-Inputs!$D$27)*(Inputs!$F$27-Inputs!$E$27)))</f>
        <v>82.0318332038619</v>
      </c>
      <c r="R96" s="81" t="n">
        <f aca="true">RAND()</f>
        <v>0.253677436479873</v>
      </c>
      <c r="S96" s="82" t="n">
        <f aca="false">IF(R96&lt;(Inputs!$E$29-Inputs!$D$29)/(Inputs!$F$29-Inputs!$D$29),Inputs!$D$29+SQRT(R96*(Inputs!$F$29-Inputs!$D$29)*(Inputs!$E$29-Inputs!$D$29)),Inputs!$F$29-SQRT((1-R96)*(Inputs!$F$29-Inputs!$D$29)*(Inputs!$F$29-Inputs!$E$29)))</f>
        <v>5.15002876869092</v>
      </c>
      <c r="T96" s="68" t="n">
        <f aca="false">Inputs!$E$9*(1+E96)+Inputs!$E$5*C96*(Inputs!$E$11*Inputs!$E$14*(G96*I96/Inputs!$E$16+(1-G96))*K96+Inputs!$E$23*M96)*(1+O96)+Inputs!$E$5*(Q96+S96)</f>
        <v>7038.04325924924</v>
      </c>
    </row>
    <row r="97" customFormat="false" ht="15" hidden="false" customHeight="false" outlineLevel="0" collapsed="false">
      <c r="A97" s="1" t="n">
        <v>93</v>
      </c>
      <c r="B97" s="81" t="n">
        <f aca="true">RAND()</f>
        <v>0.744257854953119</v>
      </c>
      <c r="C97" s="82" t="n">
        <f aca="false">ROUND(IF(B97&lt;(Inputs!$E$8-Inputs!$D$8)/(Inputs!$F$8-Inputs!$D$8),Inputs!$D$8+SQRT(B97*(Inputs!$F$8-Inputs!$D$8)*(Inputs!$E$8-Inputs!$D$8)),Inputs!$F$8-SQRT((1-B97)*(Inputs!$F$8-Inputs!$D$8)*(Inputs!$F$8-Inputs!$E$8))),0)</f>
        <v>26</v>
      </c>
      <c r="D97" s="81" t="n">
        <f aca="true">RAND()</f>
        <v>0.132485470442589</v>
      </c>
      <c r="E97" s="83" t="n">
        <f aca="false">IF(D97&lt;(Inputs!$E$10-Inputs!$D$10)/(Inputs!$F$10-Inputs!$D$10),Inputs!$D$10+SQRT(D97*(Inputs!$F$10-Inputs!$D$10)*(Inputs!$E$10-Inputs!$D$10)),Inputs!$F$10-SQRT((1-D97)*(Inputs!$F$10-Inputs!$D$10)*(Inputs!$F$10-Inputs!$E$10)))</f>
        <v>0.0363985536034867</v>
      </c>
      <c r="F97" s="81" t="n">
        <f aca="true">RAND()</f>
        <v>0.565277564797615</v>
      </c>
      <c r="G97" s="83" t="n">
        <f aca="false">IF(F97&lt;(Inputs!$E$15-Inputs!$D$15)/(Inputs!$F$15-Inputs!$D$15),Inputs!$D$15+SQRT(F97*(Inputs!$F$15-Inputs!$D$15)*(Inputs!$E$15-Inputs!$D$15)),Inputs!$F$15-SQRT((1-F97)*(Inputs!$F$15-Inputs!$D$15)*(Inputs!$F$15-Inputs!$E$15)))</f>
        <v>0.70675597228751</v>
      </c>
      <c r="H97" s="81" t="n">
        <f aca="true">RAND()</f>
        <v>0.716637835226517</v>
      </c>
      <c r="I97" s="82" t="n">
        <f aca="false">ROUND(IF(H97&lt;(Inputs!$E$17-Inputs!$D$17)/(Inputs!$F$17-Inputs!$D$17),Inputs!$D$17+SQRT(H97*(Inputs!$F$17-Inputs!$D$17)*(Inputs!$E$17-Inputs!$D$17)),Inputs!$F$17-SQRT((1-H97)*(Inputs!$F$17-Inputs!$D$17)*(Inputs!$F$17-Inputs!$E$17))),0)</f>
        <v>108</v>
      </c>
      <c r="J97" s="81" t="n">
        <f aca="true">RAND()</f>
        <v>0.471335193001112</v>
      </c>
      <c r="K97" s="83" t="n">
        <f aca="false">IF(J97&lt;(Inputs!$E$18-Inputs!$D$18)/(Inputs!$F$18-Inputs!$D$18),Inputs!$D$18+SQRT(J97*(Inputs!$F$18-Inputs!$D$18)*(Inputs!$E$18-Inputs!$D$18)),Inputs!$F$18-SQRT((1-J97)*(Inputs!$F$18-Inputs!$D$18)*(Inputs!$F$18-Inputs!$E$18)))</f>
        <v>1.03492287287486</v>
      </c>
      <c r="L97" s="81" t="n">
        <f aca="true">RAND()</f>
        <v>0.287950073466833</v>
      </c>
      <c r="M97" s="83" t="n">
        <f aca="false">IF(L97&lt;(Inputs!$E$24-Inputs!$D$24)/(Inputs!$F$24-Inputs!$D$24),Inputs!$D$24+SQRT(L97*(Inputs!$F$24-Inputs!$D$24)*(Inputs!$E$24-Inputs!$D$24)),Inputs!$F$24-SQRT((1-L97)*(Inputs!$F$24-Inputs!$D$24)*(Inputs!$F$24-Inputs!$E$24)))</f>
        <v>0.785887086200252</v>
      </c>
      <c r="N97" s="81" t="n">
        <f aca="true">RAND()</f>
        <v>0.657678519172263</v>
      </c>
      <c r="O97" s="83" t="n">
        <f aca="false">IF(N97&lt;(Inputs!$E$26-Inputs!$D$26)/(Inputs!$F$26-Inputs!$D$26),Inputs!$D$26+SQRT(N97*(Inputs!$F$26-Inputs!$D$26)*(Inputs!$E$26-Inputs!$D$26)),Inputs!$F$26-SQRT((1-N97)*(Inputs!$F$26-Inputs!$D$26)*(Inputs!$F$26-Inputs!$E$26)))</f>
        <v>0.631316577288611</v>
      </c>
      <c r="P97" s="81" t="n">
        <f aca="true">RAND()</f>
        <v>0.00203058432187623</v>
      </c>
      <c r="Q97" s="82" t="n">
        <f aca="false">IF(P97&lt;(Inputs!$E$27-Inputs!$D$27)/(Inputs!$F$27-Inputs!$D$27),Inputs!$D$27+SQRT(P97*(Inputs!$F$27-Inputs!$D$27)*(Inputs!$E$27-Inputs!$D$27)),Inputs!$F$27-SQRT((1-P97)*(Inputs!$F$27-Inputs!$D$27)*(Inputs!$F$27-Inputs!$E$27)))</f>
        <v>52.2531002651215</v>
      </c>
      <c r="R97" s="81" t="n">
        <f aca="true">RAND()</f>
        <v>0.233948950169406</v>
      </c>
      <c r="S97" s="82" t="n">
        <f aca="false">IF(R97&lt;(Inputs!$E$29-Inputs!$D$29)/(Inputs!$F$29-Inputs!$D$29),Inputs!$D$29+SQRT(R97*(Inputs!$F$29-Inputs!$D$29)*(Inputs!$E$29-Inputs!$D$29)),Inputs!$F$29-SQRT((1-R97)*(Inputs!$F$29-Inputs!$D$29)*(Inputs!$F$29-Inputs!$E$29)))</f>
        <v>5.02068957903517</v>
      </c>
      <c r="T97" s="68" t="n">
        <f aca="false">Inputs!$E$9*(1+E97)+Inputs!$E$5*C97*(Inputs!$E$11*Inputs!$E$14*(G97*I97/Inputs!$E$16+(1-G97))*K97+Inputs!$E$23*M97)*(1+O97)+Inputs!$E$5*(Q97+S97)</f>
        <v>6140.88851392811</v>
      </c>
    </row>
    <row r="98" customFormat="false" ht="15" hidden="false" customHeight="false" outlineLevel="0" collapsed="false">
      <c r="A98" s="1" t="n">
        <v>94</v>
      </c>
      <c r="B98" s="81" t="n">
        <f aca="true">RAND()</f>
        <v>0.105225443788165</v>
      </c>
      <c r="C98" s="82" t="n">
        <f aca="false">ROUND(IF(B98&lt;(Inputs!$E$8-Inputs!$D$8)/(Inputs!$F$8-Inputs!$D$8),Inputs!$D$8+SQRT(B98*(Inputs!$F$8-Inputs!$D$8)*(Inputs!$E$8-Inputs!$D$8)),Inputs!$F$8-SQRT((1-B98)*(Inputs!$F$8-Inputs!$D$8)*(Inputs!$F$8-Inputs!$E$8))),0)</f>
        <v>22</v>
      </c>
      <c r="D98" s="81" t="n">
        <f aca="true">RAND()</f>
        <v>0.71922446016932</v>
      </c>
      <c r="E98" s="83" t="n">
        <f aca="false">IF(D98&lt;(Inputs!$E$10-Inputs!$D$10)/(Inputs!$F$10-Inputs!$D$10),Inputs!$D$10+SQRT(D98*(Inputs!$F$10-Inputs!$D$10)*(Inputs!$E$10-Inputs!$D$10)),Inputs!$F$10-SQRT((1-D98)*(Inputs!$F$10-Inputs!$D$10)*(Inputs!$F$10-Inputs!$E$10)))</f>
        <v>0.108221646370615</v>
      </c>
      <c r="F98" s="81" t="n">
        <f aca="true">RAND()</f>
        <v>0.184625394360266</v>
      </c>
      <c r="G98" s="83" t="n">
        <f aca="false">IF(F98&lt;(Inputs!$E$15-Inputs!$D$15)/(Inputs!$F$15-Inputs!$D$15),Inputs!$D$15+SQRT(F98*(Inputs!$F$15-Inputs!$D$15)*(Inputs!$E$15-Inputs!$D$15)),Inputs!$F$15-SQRT((1-F98)*(Inputs!$F$15-Inputs!$D$15)*(Inputs!$F$15-Inputs!$E$15)))</f>
        <v>0.66076600930788</v>
      </c>
      <c r="H98" s="81" t="n">
        <f aca="true">RAND()</f>
        <v>0.377419350071999</v>
      </c>
      <c r="I98" s="82" t="n">
        <f aca="false">ROUND(IF(H98&lt;(Inputs!$E$17-Inputs!$D$17)/(Inputs!$F$17-Inputs!$D$17),Inputs!$D$17+SQRT(H98*(Inputs!$F$17-Inputs!$D$17)*(Inputs!$E$17-Inputs!$D$17)),Inputs!$F$17-SQRT((1-H98)*(Inputs!$F$17-Inputs!$D$17)*(Inputs!$F$17-Inputs!$E$17))),0)</f>
        <v>105</v>
      </c>
      <c r="J98" s="81" t="n">
        <f aca="true">RAND()</f>
        <v>0.127372810034859</v>
      </c>
      <c r="K98" s="83" t="n">
        <f aca="false">IF(J98&lt;(Inputs!$E$18-Inputs!$D$18)/(Inputs!$F$18-Inputs!$D$18),Inputs!$D$18+SQRT(J98*(Inputs!$F$18-Inputs!$D$18)*(Inputs!$E$18-Inputs!$D$18)),Inputs!$F$18-SQRT((1-J98)*(Inputs!$F$18-Inputs!$D$18)*(Inputs!$F$18-Inputs!$E$18)))</f>
        <v>0.966768618011908</v>
      </c>
      <c r="L98" s="81" t="n">
        <f aca="true">RAND()</f>
        <v>0.220086917734749</v>
      </c>
      <c r="M98" s="83" t="n">
        <f aca="false">IF(L98&lt;(Inputs!$E$24-Inputs!$D$24)/(Inputs!$F$24-Inputs!$D$24),Inputs!$D$24+SQRT(L98*(Inputs!$F$24-Inputs!$D$24)*(Inputs!$E$24-Inputs!$D$24)),Inputs!$F$24-SQRT((1-L98)*(Inputs!$F$24-Inputs!$D$24)*(Inputs!$F$24-Inputs!$E$24)))</f>
        <v>0.762512861423858</v>
      </c>
      <c r="N98" s="81" t="n">
        <f aca="true">RAND()</f>
        <v>0.436622201908733</v>
      </c>
      <c r="O98" s="83" t="n">
        <f aca="false">IF(N98&lt;(Inputs!$E$26-Inputs!$D$26)/(Inputs!$F$26-Inputs!$D$26),Inputs!$D$26+SQRT(N98*(Inputs!$F$26-Inputs!$D$26)*(Inputs!$E$26-Inputs!$D$26)),Inputs!$F$26-SQRT((1-N98)*(Inputs!$F$26-Inputs!$D$26)*(Inputs!$F$26-Inputs!$E$26)))</f>
        <v>0.569543937786798</v>
      </c>
      <c r="P98" s="81" t="n">
        <f aca="true">RAND()</f>
        <v>0.512741788902263</v>
      </c>
      <c r="Q98" s="82" t="n">
        <f aca="false">IF(P98&lt;(Inputs!$E$27-Inputs!$D$27)/(Inputs!$F$27-Inputs!$D$27),Inputs!$D$27+SQRT(P98*(Inputs!$F$27-Inputs!$D$27)*(Inputs!$E$27-Inputs!$D$27)),Inputs!$F$27-SQRT((1-P98)*(Inputs!$F$27-Inputs!$D$27)*(Inputs!$F$27-Inputs!$E$27)))</f>
        <v>89.54806385869</v>
      </c>
      <c r="R98" s="81" t="n">
        <f aca="true">RAND()</f>
        <v>0.245208412803072</v>
      </c>
      <c r="S98" s="82" t="n">
        <f aca="false">IF(R98&lt;(Inputs!$E$29-Inputs!$D$29)/(Inputs!$F$29-Inputs!$D$29),Inputs!$D$29+SQRT(R98*(Inputs!$F$29-Inputs!$D$29)*(Inputs!$E$29-Inputs!$D$29)),Inputs!$F$29-SQRT((1-R98)*(Inputs!$F$29-Inputs!$D$29)*(Inputs!$F$29-Inputs!$E$29)))</f>
        <v>5.09429930112964</v>
      </c>
      <c r="T98" s="68" t="n">
        <f aca="false">Inputs!$E$9*(1+E98)+Inputs!$E$5*C98*(Inputs!$E$11*Inputs!$E$14*(G98*I98/Inputs!$E$16+(1-G98))*K98+Inputs!$E$23*M98)*(1+O98)+Inputs!$E$5*(Q98+S98)</f>
        <v>5686.26328635975</v>
      </c>
    </row>
    <row r="99" customFormat="false" ht="15" hidden="false" customHeight="false" outlineLevel="0" collapsed="false">
      <c r="A99" s="1" t="n">
        <v>95</v>
      </c>
      <c r="B99" s="81" t="n">
        <f aca="true">RAND()</f>
        <v>0.877700103689</v>
      </c>
      <c r="C99" s="82" t="n">
        <f aca="false">ROUND(IF(B99&lt;(Inputs!$E$8-Inputs!$D$8)/(Inputs!$F$8-Inputs!$D$8),Inputs!$D$8+SQRT(B99*(Inputs!$F$8-Inputs!$D$8)*(Inputs!$E$8-Inputs!$D$8)),Inputs!$F$8-SQRT((1-B99)*(Inputs!$F$8-Inputs!$D$8)*(Inputs!$F$8-Inputs!$E$8))),0)</f>
        <v>28</v>
      </c>
      <c r="D99" s="81" t="n">
        <f aca="true">RAND()</f>
        <v>0.0238462197471998</v>
      </c>
      <c r="E99" s="83" t="n">
        <f aca="false">IF(D99&lt;(Inputs!$E$10-Inputs!$D$10)/(Inputs!$F$10-Inputs!$D$10),Inputs!$D$10+SQRT(D99*(Inputs!$F$10-Inputs!$D$10)*(Inputs!$E$10-Inputs!$D$10)),Inputs!$F$10-SQRT((1-D99)*(Inputs!$F$10-Inputs!$D$10)*(Inputs!$F$10-Inputs!$E$10)))</f>
        <v>0.0154422212609455</v>
      </c>
      <c r="F99" s="81" t="n">
        <f aca="true">RAND()</f>
        <v>0.518313547170916</v>
      </c>
      <c r="G99" s="83" t="n">
        <f aca="false">IF(F99&lt;(Inputs!$E$15-Inputs!$D$15)/(Inputs!$F$15-Inputs!$D$15),Inputs!$D$15+SQRT(F99*(Inputs!$F$15-Inputs!$D$15)*(Inputs!$E$15-Inputs!$D$15)),Inputs!$F$15-SQRT((1-F99)*(Inputs!$F$15-Inputs!$D$15)*(Inputs!$F$15-Inputs!$E$15)))</f>
        <v>0.701848438338549</v>
      </c>
      <c r="H99" s="81" t="n">
        <f aca="true">RAND()</f>
        <v>0.332503231883945</v>
      </c>
      <c r="I99" s="82" t="n">
        <f aca="false">ROUND(IF(H99&lt;(Inputs!$E$17-Inputs!$D$17)/(Inputs!$F$17-Inputs!$D$17),Inputs!$D$17+SQRT(H99*(Inputs!$F$17-Inputs!$D$17)*(Inputs!$E$17-Inputs!$D$17)),Inputs!$F$17-SQRT((1-H99)*(Inputs!$F$17-Inputs!$D$17)*(Inputs!$F$17-Inputs!$E$17))),0)</f>
        <v>105</v>
      </c>
      <c r="J99" s="81" t="n">
        <f aca="true">RAND()</f>
        <v>0.454862601790052</v>
      </c>
      <c r="K99" s="83" t="n">
        <f aca="false">IF(J99&lt;(Inputs!$E$18-Inputs!$D$18)/(Inputs!$F$18-Inputs!$D$18),Inputs!$D$18+SQRT(J99*(Inputs!$F$18-Inputs!$D$18)*(Inputs!$E$18-Inputs!$D$18)),Inputs!$F$18-SQRT((1-J99)*(Inputs!$F$18-Inputs!$D$18)*(Inputs!$F$18-Inputs!$E$18)))</f>
        <v>1.03159779684406</v>
      </c>
      <c r="L99" s="81" t="n">
        <f aca="true">RAND()</f>
        <v>0.0441816884322325</v>
      </c>
      <c r="M99" s="83" t="n">
        <f aca="false">IF(L99&lt;(Inputs!$E$24-Inputs!$D$24)/(Inputs!$F$24-Inputs!$D$24),Inputs!$D$24+SQRT(L99*(Inputs!$F$24-Inputs!$D$24)*(Inputs!$E$24-Inputs!$D$24)),Inputs!$F$24-SQRT((1-L99)*(Inputs!$F$24-Inputs!$D$24)*(Inputs!$F$24-Inputs!$E$24)))</f>
        <v>0.672813478229432</v>
      </c>
      <c r="N99" s="81" t="n">
        <f aca="true">RAND()</f>
        <v>0.200974936968336</v>
      </c>
      <c r="O99" s="83" t="n">
        <f aca="false">IF(N99&lt;(Inputs!$E$26-Inputs!$D$26)/(Inputs!$F$26-Inputs!$D$26),Inputs!$D$26+SQRT(N99*(Inputs!$F$26-Inputs!$D$26)*(Inputs!$E$26-Inputs!$D$26)),Inputs!$F$26-SQRT((1-N99)*(Inputs!$F$26-Inputs!$D$26)*(Inputs!$F$26-Inputs!$E$26)))</f>
        <v>0.482872167131937</v>
      </c>
      <c r="P99" s="81" t="n">
        <f aca="true">RAND()</f>
        <v>0.414748926149029</v>
      </c>
      <c r="Q99" s="82" t="n">
        <f aca="false">IF(P99&lt;(Inputs!$E$27-Inputs!$D$27)/(Inputs!$F$27-Inputs!$D$27),Inputs!$D$27+SQRT(P99*(Inputs!$F$27-Inputs!$D$27)*(Inputs!$E$27-Inputs!$D$27)),Inputs!$F$27-SQRT((1-P99)*(Inputs!$F$27-Inputs!$D$27)*(Inputs!$F$27-Inputs!$E$27)))</f>
        <v>83.7475807695879</v>
      </c>
      <c r="R99" s="81" t="n">
        <f aca="true">RAND()</f>
        <v>0.48410888667745</v>
      </c>
      <c r="S99" s="82" t="n">
        <f aca="false">IF(R99&lt;(Inputs!$E$29-Inputs!$D$29)/(Inputs!$F$29-Inputs!$D$29),Inputs!$D$29+SQRT(R99*(Inputs!$F$29-Inputs!$D$29)*(Inputs!$E$29-Inputs!$D$29)),Inputs!$F$29-SQRT((1-R99)*(Inputs!$F$29-Inputs!$D$29)*(Inputs!$F$29-Inputs!$E$29)))</f>
        <v>6.81062610867402</v>
      </c>
      <c r="T99" s="68" t="n">
        <f aca="false">Inputs!$E$9*(1+E99)+Inputs!$E$5*C99*(Inputs!$E$11*Inputs!$E$14*(G99*I99/Inputs!$E$16+(1-G99))*K99+Inputs!$E$23*M99)*(1+O99)+Inputs!$E$5*(Q99+S99)</f>
        <v>5980.19255721226</v>
      </c>
    </row>
    <row r="100" customFormat="false" ht="15" hidden="false" customHeight="false" outlineLevel="0" collapsed="false">
      <c r="A100" s="1" t="n">
        <v>96</v>
      </c>
      <c r="B100" s="81" t="n">
        <f aca="true">RAND()</f>
        <v>0.637640518664816</v>
      </c>
      <c r="C100" s="82" t="n">
        <f aca="false">ROUND(IF(B100&lt;(Inputs!$E$8-Inputs!$D$8)/(Inputs!$F$8-Inputs!$D$8),Inputs!$D$8+SQRT(B100*(Inputs!$F$8-Inputs!$D$8)*(Inputs!$E$8-Inputs!$D$8)),Inputs!$F$8-SQRT((1-B100)*(Inputs!$F$8-Inputs!$D$8)*(Inputs!$F$8-Inputs!$E$8))),0)</f>
        <v>26</v>
      </c>
      <c r="D100" s="81" t="n">
        <f aca="true">RAND()</f>
        <v>0.566186498542961</v>
      </c>
      <c r="E100" s="83" t="n">
        <f aca="false">IF(D100&lt;(Inputs!$E$10-Inputs!$D$10)/(Inputs!$F$10-Inputs!$D$10),Inputs!$D$10+SQRT(D100*(Inputs!$F$10-Inputs!$D$10)*(Inputs!$E$10-Inputs!$D$10)),Inputs!$F$10-SQRT((1-D100)*(Inputs!$F$10-Inputs!$D$10)*(Inputs!$F$10-Inputs!$E$10)))</f>
        <v>0.0859193046843105</v>
      </c>
      <c r="F100" s="81" t="n">
        <f aca="true">RAND()</f>
        <v>0.339735062488613</v>
      </c>
      <c r="G100" s="83" t="n">
        <f aca="false">IF(F100&lt;(Inputs!$E$15-Inputs!$D$15)/(Inputs!$F$15-Inputs!$D$15),Inputs!$D$15+SQRT(F100*(Inputs!$F$15-Inputs!$D$15)*(Inputs!$E$15-Inputs!$D$15)),Inputs!$F$15-SQRT((1-F100)*(Inputs!$F$15-Inputs!$D$15)*(Inputs!$F$15-Inputs!$E$15)))</f>
        <v>0.682429977858618</v>
      </c>
      <c r="H100" s="81" t="n">
        <f aca="true">RAND()</f>
        <v>0.629430555437681</v>
      </c>
      <c r="I100" s="82" t="n">
        <f aca="false">ROUND(IF(H100&lt;(Inputs!$E$17-Inputs!$D$17)/(Inputs!$F$17-Inputs!$D$17),Inputs!$D$17+SQRT(H100*(Inputs!$F$17-Inputs!$D$17)*(Inputs!$E$17-Inputs!$D$17)),Inputs!$F$17-SQRT((1-H100)*(Inputs!$F$17-Inputs!$D$17)*(Inputs!$F$17-Inputs!$E$17))),0)</f>
        <v>108</v>
      </c>
      <c r="J100" s="81" t="n">
        <f aca="true">RAND()</f>
        <v>0.248774899184348</v>
      </c>
      <c r="K100" s="83" t="n">
        <f aca="false">IF(J100&lt;(Inputs!$E$18-Inputs!$D$18)/(Inputs!$F$18-Inputs!$D$18),Inputs!$D$18+SQRT(J100*(Inputs!$F$18-Inputs!$D$18)*(Inputs!$E$18-Inputs!$D$18)),Inputs!$F$18-SQRT((1-J100)*(Inputs!$F$18-Inputs!$D$18)*(Inputs!$F$18-Inputs!$E$18)))</f>
        <v>0.993311957815985</v>
      </c>
      <c r="L100" s="81" t="n">
        <f aca="true">RAND()</f>
        <v>0.830621083218421</v>
      </c>
      <c r="M100" s="83" t="n">
        <f aca="false">IF(L100&lt;(Inputs!$E$24-Inputs!$D$24)/(Inputs!$F$24-Inputs!$D$24),Inputs!$D$24+SQRT(L100*(Inputs!$F$24-Inputs!$D$24)*(Inputs!$E$24-Inputs!$D$24)),Inputs!$F$24-SQRT((1-L100)*(Inputs!$F$24-Inputs!$D$24)*(Inputs!$F$24-Inputs!$E$24)))</f>
        <v>0.998379217272675</v>
      </c>
      <c r="N100" s="81" t="n">
        <f aca="true">RAND()</f>
        <v>0.531818023201666</v>
      </c>
      <c r="O100" s="83" t="n">
        <f aca="false">IF(N100&lt;(Inputs!$E$26-Inputs!$D$26)/(Inputs!$F$26-Inputs!$D$26),Inputs!$D$26+SQRT(N100*(Inputs!$F$26-Inputs!$D$26)*(Inputs!$E$26-Inputs!$D$26)),Inputs!$F$26-SQRT((1-N100)*(Inputs!$F$26-Inputs!$D$26)*(Inputs!$F$26-Inputs!$E$26)))</f>
        <v>0.59748028348238</v>
      </c>
      <c r="P100" s="81" t="n">
        <f aca="true">RAND()</f>
        <v>0.15736567182336</v>
      </c>
      <c r="Q100" s="82" t="n">
        <f aca="false">IF(P100&lt;(Inputs!$E$27-Inputs!$D$27)/(Inputs!$F$27-Inputs!$D$27),Inputs!$D$27+SQRT(P100*(Inputs!$F$27-Inputs!$D$27)*(Inputs!$E$27-Inputs!$D$27)),Inputs!$F$27-SQRT((1-P100)*(Inputs!$F$27-Inputs!$D$27)*(Inputs!$F$27-Inputs!$E$27)))</f>
        <v>69.8346711482293</v>
      </c>
      <c r="R100" s="81" t="n">
        <f aca="true">RAND()</f>
        <v>0.956004362759229</v>
      </c>
      <c r="S100" s="82" t="n">
        <f aca="false">IF(R100&lt;(Inputs!$E$29-Inputs!$D$29)/(Inputs!$F$29-Inputs!$D$29),Inputs!$D$29+SQRT(R100*(Inputs!$F$29-Inputs!$D$29)*(Inputs!$E$29-Inputs!$D$29)),Inputs!$F$29-SQRT((1-R100)*(Inputs!$F$29-Inputs!$D$29)*(Inputs!$F$29-Inputs!$E$29)))</f>
        <v>12.6084664248018</v>
      </c>
      <c r="T100" s="68" t="n">
        <f aca="false">Inputs!$E$9*(1+E100)+Inputs!$E$5*C100*(Inputs!$E$11*Inputs!$E$14*(G100*I100/Inputs!$E$16+(1-G100))*K100+Inputs!$E$23*M100)*(1+O100)+Inputs!$E$5*(Q100+S100)</f>
        <v>6554.41519678917</v>
      </c>
    </row>
    <row r="101" customFormat="false" ht="15" hidden="false" customHeight="false" outlineLevel="0" collapsed="false">
      <c r="A101" s="1" t="n">
        <v>97</v>
      </c>
      <c r="B101" s="81" t="n">
        <f aca="true">RAND()</f>
        <v>0.0109740725235049</v>
      </c>
      <c r="C101" s="82" t="n">
        <f aca="false">ROUND(IF(B101&lt;(Inputs!$E$8-Inputs!$D$8)/(Inputs!$F$8-Inputs!$D$8),Inputs!$D$8+SQRT(B101*(Inputs!$F$8-Inputs!$D$8)*(Inputs!$E$8-Inputs!$D$8)),Inputs!$F$8-SQRT((1-B101)*(Inputs!$F$8-Inputs!$D$8)*(Inputs!$F$8-Inputs!$E$8))),0)</f>
        <v>21</v>
      </c>
      <c r="D101" s="81" t="n">
        <f aca="true">RAND()</f>
        <v>0.813852595509191</v>
      </c>
      <c r="E101" s="83" t="n">
        <f aca="false">IF(D101&lt;(Inputs!$E$10-Inputs!$D$10)/(Inputs!$F$10-Inputs!$D$10),Inputs!$D$10+SQRT(D101*(Inputs!$F$10-Inputs!$D$10)*(Inputs!$E$10-Inputs!$D$10)),Inputs!$F$10-SQRT((1-D101)*(Inputs!$F$10-Inputs!$D$10)*(Inputs!$F$10-Inputs!$E$10)))</f>
        <v>0.125271008740086</v>
      </c>
      <c r="F101" s="81" t="n">
        <f aca="true">RAND()</f>
        <v>0.876545770512356</v>
      </c>
      <c r="G101" s="83" t="n">
        <f aca="false">IF(F101&lt;(Inputs!$E$15-Inputs!$D$15)/(Inputs!$F$15-Inputs!$D$15),Inputs!$D$15+SQRT(F101*(Inputs!$F$15-Inputs!$D$15)*(Inputs!$E$15-Inputs!$D$15)),Inputs!$F$15-SQRT((1-F101)*(Inputs!$F$15-Inputs!$D$15)*(Inputs!$F$15-Inputs!$E$15)))</f>
        <v>0.750310115820694</v>
      </c>
      <c r="H101" s="81" t="n">
        <f aca="true">RAND()</f>
        <v>0.872054898447234</v>
      </c>
      <c r="I101" s="82" t="n">
        <f aca="false">ROUND(IF(H101&lt;(Inputs!$E$17-Inputs!$D$17)/(Inputs!$F$17-Inputs!$D$17),Inputs!$D$17+SQRT(H101*(Inputs!$F$17-Inputs!$D$17)*(Inputs!$E$17-Inputs!$D$17)),Inputs!$F$17-SQRT((1-H101)*(Inputs!$F$17-Inputs!$D$17)*(Inputs!$F$17-Inputs!$E$17))),0)</f>
        <v>111</v>
      </c>
      <c r="J101" s="81" t="n">
        <f aca="true">RAND()</f>
        <v>0.277480840817147</v>
      </c>
      <c r="K101" s="83" t="n">
        <f aca="false">IF(J101&lt;(Inputs!$E$18-Inputs!$D$18)/(Inputs!$F$18-Inputs!$D$18),Inputs!$D$18+SQRT(J101*(Inputs!$F$18-Inputs!$D$18)*(Inputs!$E$18-Inputs!$D$18)),Inputs!$F$18-SQRT((1-J101)*(Inputs!$F$18-Inputs!$D$18)*(Inputs!$F$18-Inputs!$E$18)))</f>
        <v>0.998548614544296</v>
      </c>
      <c r="L101" s="81" t="n">
        <f aca="true">RAND()</f>
        <v>0.998098049354244</v>
      </c>
      <c r="M101" s="83" t="n">
        <f aca="false">IF(L101&lt;(Inputs!$E$24-Inputs!$D$24)/(Inputs!$F$24-Inputs!$D$24),Inputs!$D$24+SQRT(L101*(Inputs!$F$24-Inputs!$D$24)*(Inputs!$E$24-Inputs!$D$24)),Inputs!$F$24-SQRT((1-L101)*(Inputs!$F$24-Inputs!$D$24)*(Inputs!$F$24-Inputs!$E$24)))</f>
        <v>1.17863488462513</v>
      </c>
      <c r="N101" s="81" t="n">
        <f aca="true">RAND()</f>
        <v>0.293889381929174</v>
      </c>
      <c r="O101" s="83" t="n">
        <f aca="false">IF(N101&lt;(Inputs!$E$26-Inputs!$D$26)/(Inputs!$F$26-Inputs!$D$26),Inputs!$D$26+SQRT(N101*(Inputs!$F$26-Inputs!$D$26)*(Inputs!$E$26-Inputs!$D$26)),Inputs!$F$26-SQRT((1-N101)*(Inputs!$F$26-Inputs!$D$26)*(Inputs!$F$26-Inputs!$E$26)))</f>
        <v>0.521140663725635</v>
      </c>
      <c r="P101" s="81" t="n">
        <f aca="true">RAND()</f>
        <v>0.366231993171592</v>
      </c>
      <c r="Q101" s="82" t="n">
        <f aca="false">IF(P101&lt;(Inputs!$E$27-Inputs!$D$27)/(Inputs!$F$27-Inputs!$D$27),Inputs!$D$27+SQRT(P101*(Inputs!$F$27-Inputs!$D$27)*(Inputs!$E$27-Inputs!$D$27)),Inputs!$F$27-SQRT((1-P101)*(Inputs!$F$27-Inputs!$D$27)*(Inputs!$F$27-Inputs!$E$27)))</f>
        <v>81.0561093989245</v>
      </c>
      <c r="R101" s="81" t="n">
        <f aca="true">RAND()</f>
        <v>0.100669743149803</v>
      </c>
      <c r="S101" s="82" t="n">
        <f aca="false">IF(R101&lt;(Inputs!$E$29-Inputs!$D$29)/(Inputs!$F$29-Inputs!$D$29),Inputs!$D$29+SQRT(R101*(Inputs!$F$29-Inputs!$D$29)*(Inputs!$E$29-Inputs!$D$29)),Inputs!$F$29-SQRT((1-R101)*(Inputs!$F$29-Inputs!$D$29)*(Inputs!$F$29-Inputs!$E$29)))</f>
        <v>3.98144391362519</v>
      </c>
      <c r="T101" s="68" t="n">
        <f aca="false">Inputs!$E$9*(1+E101)+Inputs!$E$5*C101*(Inputs!$E$11*Inputs!$E$14*(G101*I101/Inputs!$E$16+(1-G101))*K101+Inputs!$E$23*M101)*(1+O101)+Inputs!$E$5*(Q101+S101)</f>
        <v>5962.32570919128</v>
      </c>
    </row>
    <row r="102" customFormat="false" ht="15" hidden="false" customHeight="false" outlineLevel="0" collapsed="false">
      <c r="A102" s="1" t="n">
        <v>98</v>
      </c>
      <c r="B102" s="81" t="n">
        <f aca="true">RAND()</f>
        <v>0.809253431340144</v>
      </c>
      <c r="C102" s="82" t="n">
        <f aca="false">ROUND(IF(B102&lt;(Inputs!$E$8-Inputs!$D$8)/(Inputs!$F$8-Inputs!$D$8),Inputs!$D$8+SQRT(B102*(Inputs!$F$8-Inputs!$D$8)*(Inputs!$E$8-Inputs!$D$8)),Inputs!$F$8-SQRT((1-B102)*(Inputs!$F$8-Inputs!$D$8)*(Inputs!$F$8-Inputs!$E$8))),0)</f>
        <v>27</v>
      </c>
      <c r="D102" s="81" t="n">
        <f aca="true">RAND()</f>
        <v>0.821415482782692</v>
      </c>
      <c r="E102" s="83" t="n">
        <f aca="false">IF(D102&lt;(Inputs!$E$10-Inputs!$D$10)/(Inputs!$F$10-Inputs!$D$10),Inputs!$D$10+SQRT(D102*(Inputs!$F$10-Inputs!$D$10)*(Inputs!$E$10-Inputs!$D$10)),Inputs!$F$10-SQRT((1-D102)*(Inputs!$F$10-Inputs!$D$10)*(Inputs!$F$10-Inputs!$E$10)))</f>
        <v>0.126804812203812</v>
      </c>
      <c r="F102" s="81" t="n">
        <f aca="true">RAND()</f>
        <v>0.987033782679311</v>
      </c>
      <c r="G102" s="83" t="n">
        <f aca="false">IF(F102&lt;(Inputs!$E$15-Inputs!$D$15)/(Inputs!$F$15-Inputs!$D$15),Inputs!$D$15+SQRT(F102*(Inputs!$F$15-Inputs!$D$15)*(Inputs!$E$15-Inputs!$D$15)),Inputs!$F$15-SQRT((1-F102)*(Inputs!$F$15-Inputs!$D$15)*(Inputs!$F$15-Inputs!$E$15)))</f>
        <v>0.783896449260683</v>
      </c>
      <c r="H102" s="81" t="n">
        <f aca="true">RAND()</f>
        <v>0.361438089183892</v>
      </c>
      <c r="I102" s="82" t="n">
        <f aca="false">ROUND(IF(H102&lt;(Inputs!$E$17-Inputs!$D$17)/(Inputs!$F$17-Inputs!$D$17),Inputs!$D$17+SQRT(H102*(Inputs!$F$17-Inputs!$D$17)*(Inputs!$E$17-Inputs!$D$17)),Inputs!$F$17-SQRT((1-H102)*(Inputs!$F$17-Inputs!$D$17)*(Inputs!$F$17-Inputs!$E$17))),0)</f>
        <v>105</v>
      </c>
      <c r="J102" s="81" t="n">
        <f aca="true">RAND()</f>
        <v>0.299903948048552</v>
      </c>
      <c r="K102" s="83" t="n">
        <f aca="false">IF(J102&lt;(Inputs!$E$18-Inputs!$D$18)/(Inputs!$F$18-Inputs!$D$18),Inputs!$D$18+SQRT(J102*(Inputs!$F$18-Inputs!$D$18)*(Inputs!$E$18-Inputs!$D$18)),Inputs!$F$18-SQRT((1-J102)*(Inputs!$F$18-Inputs!$D$18)*(Inputs!$F$18-Inputs!$E$18)))</f>
        <v>1.00249564742059</v>
      </c>
      <c r="L102" s="81" t="n">
        <f aca="true">RAND()</f>
        <v>0.554065773904815</v>
      </c>
      <c r="M102" s="83" t="n">
        <f aca="false">IF(L102&lt;(Inputs!$E$24-Inputs!$D$24)/(Inputs!$F$24-Inputs!$D$24),Inputs!$D$24+SQRT(L102*(Inputs!$F$24-Inputs!$D$24)*(Inputs!$E$24-Inputs!$D$24)),Inputs!$F$24-SQRT((1-L102)*(Inputs!$F$24-Inputs!$D$24)*(Inputs!$F$24-Inputs!$E$24)))</f>
        <v>0.872854444837096</v>
      </c>
      <c r="N102" s="81" t="n">
        <f aca="true">RAND()</f>
        <v>0.862001677431629</v>
      </c>
      <c r="O102" s="83" t="n">
        <f aca="false">IF(N102&lt;(Inputs!$E$26-Inputs!$D$26)/(Inputs!$F$26-Inputs!$D$26),Inputs!$D$26+SQRT(N102*(Inputs!$F$26-Inputs!$D$26)*(Inputs!$E$26-Inputs!$D$26)),Inputs!$F$26-SQRT((1-N102)*(Inputs!$F$26-Inputs!$D$26)*(Inputs!$F$26-Inputs!$E$26)))</f>
        <v>0.700200895048792</v>
      </c>
      <c r="P102" s="81" t="n">
        <f aca="true">RAND()</f>
        <v>0.176484573577751</v>
      </c>
      <c r="Q102" s="82" t="n">
        <f aca="false">IF(P102&lt;(Inputs!$E$27-Inputs!$D$27)/(Inputs!$F$27-Inputs!$D$27),Inputs!$D$27+SQRT(P102*(Inputs!$F$27-Inputs!$D$27)*(Inputs!$E$27-Inputs!$D$27)),Inputs!$F$27-SQRT((1-P102)*(Inputs!$F$27-Inputs!$D$27)*(Inputs!$F$27-Inputs!$E$27)))</f>
        <v>71.0050335382826</v>
      </c>
      <c r="R102" s="81" t="n">
        <f aca="true">RAND()</f>
        <v>0.451310505931169</v>
      </c>
      <c r="S102" s="82" t="n">
        <f aca="false">IF(R102&lt;(Inputs!$E$29-Inputs!$D$29)/(Inputs!$F$29-Inputs!$D$29),Inputs!$D$29+SQRT(R102*(Inputs!$F$29-Inputs!$D$29)*(Inputs!$E$29-Inputs!$D$29)),Inputs!$F$29-SQRT((1-R102)*(Inputs!$F$29-Inputs!$D$29)*(Inputs!$F$29-Inputs!$E$29)))</f>
        <v>6.55431268463318</v>
      </c>
      <c r="T102" s="68" t="n">
        <f aca="false">Inputs!$E$9*(1+E102)+Inputs!$E$5*C102*(Inputs!$E$11*Inputs!$E$14*(G102*I102/Inputs!$E$16+(1-G102))*K102+Inputs!$E$23*M102)*(1+O102)+Inputs!$E$5*(Q102+S102)</f>
        <v>6637.99942955043</v>
      </c>
    </row>
    <row r="103" customFormat="false" ht="15" hidden="false" customHeight="false" outlineLevel="0" collapsed="false">
      <c r="A103" s="1" t="n">
        <v>99</v>
      </c>
      <c r="B103" s="81" t="n">
        <f aca="true">RAND()</f>
        <v>0.886092479813452</v>
      </c>
      <c r="C103" s="82" t="n">
        <f aca="false">ROUND(IF(B103&lt;(Inputs!$E$8-Inputs!$D$8)/(Inputs!$F$8-Inputs!$D$8),Inputs!$D$8+SQRT(B103*(Inputs!$F$8-Inputs!$D$8)*(Inputs!$E$8-Inputs!$D$8)),Inputs!$F$8-SQRT((1-B103)*(Inputs!$F$8-Inputs!$D$8)*(Inputs!$F$8-Inputs!$E$8))),0)</f>
        <v>28</v>
      </c>
      <c r="D103" s="81" t="n">
        <f aca="true">RAND()</f>
        <v>0.764395111525603</v>
      </c>
      <c r="E103" s="83" t="n">
        <f aca="false">IF(D103&lt;(Inputs!$E$10-Inputs!$D$10)/(Inputs!$F$10-Inputs!$D$10),Inputs!$D$10+SQRT(D103*(Inputs!$F$10-Inputs!$D$10)*(Inputs!$E$10-Inputs!$D$10)),Inputs!$F$10-SQRT((1-D103)*(Inputs!$F$10-Inputs!$D$10)*(Inputs!$F$10-Inputs!$E$10)))</f>
        <v>0.115927729576085</v>
      </c>
      <c r="F103" s="81" t="n">
        <f aca="true">RAND()</f>
        <v>0.106027317155427</v>
      </c>
      <c r="G103" s="83" t="n">
        <f aca="false">IF(F103&lt;(Inputs!$E$15-Inputs!$D$15)/(Inputs!$F$15-Inputs!$D$15),Inputs!$D$15+SQRT(F103*(Inputs!$F$15-Inputs!$D$15)*(Inputs!$E$15-Inputs!$D$15)),Inputs!$F$15-SQRT((1-F103)*(Inputs!$F$15-Inputs!$D$15)*(Inputs!$F$15-Inputs!$E$15)))</f>
        <v>0.646049390257728</v>
      </c>
      <c r="H103" s="81" t="n">
        <f aca="true">RAND()</f>
        <v>0.313853919749335</v>
      </c>
      <c r="I103" s="82" t="n">
        <f aca="false">ROUND(IF(H103&lt;(Inputs!$E$17-Inputs!$D$17)/(Inputs!$F$17-Inputs!$D$17),Inputs!$D$17+SQRT(H103*(Inputs!$F$17-Inputs!$D$17)*(Inputs!$E$17-Inputs!$D$17)),Inputs!$F$17-SQRT((1-H103)*(Inputs!$F$17-Inputs!$D$17)*(Inputs!$F$17-Inputs!$E$17))),0)</f>
        <v>105</v>
      </c>
      <c r="J103" s="81" t="n">
        <f aca="true">RAND()</f>
        <v>0.0707345542188193</v>
      </c>
      <c r="K103" s="83" t="n">
        <f aca="false">IF(J103&lt;(Inputs!$E$18-Inputs!$D$18)/(Inputs!$F$18-Inputs!$D$18),Inputs!$D$18+SQRT(J103*(Inputs!$F$18-Inputs!$D$18)*(Inputs!$E$18-Inputs!$D$18)),Inputs!$F$18-SQRT((1-J103)*(Inputs!$F$18-Inputs!$D$18)*(Inputs!$F$18-Inputs!$E$18)))</f>
        <v>0.949756501059245</v>
      </c>
      <c r="L103" s="81" t="n">
        <f aca="true">RAND()</f>
        <v>0.0890071424300229</v>
      </c>
      <c r="M103" s="83" t="n">
        <f aca="false">IF(L103&lt;(Inputs!$E$24-Inputs!$D$24)/(Inputs!$F$24-Inputs!$D$24),Inputs!$D$24+SQRT(L103*(Inputs!$F$24-Inputs!$D$24)*(Inputs!$E$24-Inputs!$D$24)),Inputs!$F$24-SQRT((1-L103)*(Inputs!$F$24-Inputs!$D$24)*(Inputs!$F$24-Inputs!$E$24)))</f>
        <v>0.703348232164865</v>
      </c>
      <c r="N103" s="81" t="n">
        <f aca="true">RAND()</f>
        <v>0.454075317145326</v>
      </c>
      <c r="O103" s="83" t="n">
        <f aca="false">IF(N103&lt;(Inputs!$E$26-Inputs!$D$26)/(Inputs!$F$26-Inputs!$D$26),Inputs!$D$26+SQRT(N103*(Inputs!$F$26-Inputs!$D$26)*(Inputs!$E$26-Inputs!$D$26)),Inputs!$F$26-SQRT((1-N103)*(Inputs!$F$26-Inputs!$D$26)*(Inputs!$F$26-Inputs!$E$26)))</f>
        <v>0.57487839633733</v>
      </c>
      <c r="P103" s="81" t="n">
        <f aca="true">RAND()</f>
        <v>0.0970048564501714</v>
      </c>
      <c r="Q103" s="82" t="n">
        <f aca="false">IF(P103&lt;(Inputs!$E$27-Inputs!$D$27)/(Inputs!$F$27-Inputs!$D$27),Inputs!$D$27+SQRT(P103*(Inputs!$F$27-Inputs!$D$27)*(Inputs!$E$27-Inputs!$D$27)),Inputs!$F$27-SQRT((1-P103)*(Inputs!$F$27-Inputs!$D$27)*(Inputs!$F$27-Inputs!$E$27)))</f>
        <v>65.5728013255621</v>
      </c>
      <c r="R103" s="81" t="n">
        <f aca="true">RAND()</f>
        <v>0.690054688659468</v>
      </c>
      <c r="S103" s="82" t="n">
        <f aca="false">IF(R103&lt;(Inputs!$E$29-Inputs!$D$29)/(Inputs!$F$29-Inputs!$D$29),Inputs!$D$29+SQRT(R103*(Inputs!$F$29-Inputs!$D$29)*(Inputs!$E$29-Inputs!$D$29)),Inputs!$F$29-SQRT((1-R103)*(Inputs!$F$29-Inputs!$D$29)*(Inputs!$F$29-Inputs!$E$29)))</f>
        <v>8.65233188688404</v>
      </c>
      <c r="T103" s="68" t="n">
        <f aca="false">Inputs!$E$9*(1+E103)+Inputs!$E$5*C103*(Inputs!$E$11*Inputs!$E$14*(G103*I103/Inputs!$E$16+(1-G103))*K103+Inputs!$E$23*M103)*(1+O103)+Inputs!$E$5*(Q103+S103)</f>
        <v>6256.18999163891</v>
      </c>
    </row>
    <row r="104" customFormat="false" ht="15" hidden="false" customHeight="false" outlineLevel="0" collapsed="false">
      <c r="A104" s="1" t="n">
        <v>100</v>
      </c>
      <c r="B104" s="81" t="n">
        <f aca="true">RAND()</f>
        <v>0.612496759731978</v>
      </c>
      <c r="C104" s="82" t="n">
        <f aca="false">ROUND(IF(B104&lt;(Inputs!$E$8-Inputs!$D$8)/(Inputs!$F$8-Inputs!$D$8),Inputs!$D$8+SQRT(B104*(Inputs!$F$8-Inputs!$D$8)*(Inputs!$E$8-Inputs!$D$8)),Inputs!$F$8-SQRT((1-B104)*(Inputs!$F$8-Inputs!$D$8)*(Inputs!$F$8-Inputs!$E$8))),0)</f>
        <v>26</v>
      </c>
      <c r="D104" s="81" t="n">
        <f aca="true">RAND()</f>
        <v>0.722643764532905</v>
      </c>
      <c r="E104" s="83" t="n">
        <f aca="false">IF(D104&lt;(Inputs!$E$10-Inputs!$D$10)/(Inputs!$F$10-Inputs!$D$10),Inputs!$D$10+SQRT(D104*(Inputs!$F$10-Inputs!$D$10)*(Inputs!$E$10-Inputs!$D$10)),Inputs!$F$10-SQRT((1-D104)*(Inputs!$F$10-Inputs!$D$10)*(Inputs!$F$10-Inputs!$E$10)))</f>
        <v>0.108782199851055</v>
      </c>
      <c r="F104" s="81" t="n">
        <f aca="true">RAND()</f>
        <v>0.0605549480754947</v>
      </c>
      <c r="G104" s="83" t="n">
        <f aca="false">IF(F104&lt;(Inputs!$E$15-Inputs!$D$15)/(Inputs!$F$15-Inputs!$D$15),Inputs!$D$15+SQRT(F104*(Inputs!$F$15-Inputs!$D$15)*(Inputs!$E$15-Inputs!$D$15)),Inputs!$F$15-SQRT((1-F104)*(Inputs!$F$15-Inputs!$D$15)*(Inputs!$F$15-Inputs!$E$15)))</f>
        <v>0.63480084713782</v>
      </c>
      <c r="H104" s="81" t="n">
        <f aca="true">RAND()</f>
        <v>0.48434946260624</v>
      </c>
      <c r="I104" s="82" t="n">
        <f aca="false">ROUND(IF(H104&lt;(Inputs!$E$17-Inputs!$D$17)/(Inputs!$F$17-Inputs!$D$17),Inputs!$D$17+SQRT(H104*(Inputs!$F$17-Inputs!$D$17)*(Inputs!$E$17-Inputs!$D$17)),Inputs!$F$17-SQRT((1-H104)*(Inputs!$F$17-Inputs!$D$17)*(Inputs!$F$17-Inputs!$E$17))),0)</f>
        <v>106</v>
      </c>
      <c r="J104" s="81" t="n">
        <f aca="true">RAND()</f>
        <v>0.271987623717079</v>
      </c>
      <c r="K104" s="83" t="n">
        <f aca="false">IF(J104&lt;(Inputs!$E$18-Inputs!$D$18)/(Inputs!$F$18-Inputs!$D$18),Inputs!$D$18+SQRT(J104*(Inputs!$F$18-Inputs!$D$18)*(Inputs!$E$18-Inputs!$D$18)),Inputs!$F$18-SQRT((1-J104)*(Inputs!$F$18-Inputs!$D$18)*(Inputs!$F$18-Inputs!$E$18)))</f>
        <v>0.997568267536622</v>
      </c>
      <c r="L104" s="81" t="n">
        <f aca="true">RAND()</f>
        <v>0.974183712749825</v>
      </c>
      <c r="M104" s="83" t="n">
        <f aca="false">IF(L104&lt;(Inputs!$E$24-Inputs!$D$24)/(Inputs!$F$24-Inputs!$D$24),Inputs!$D$24+SQRT(L104*(Inputs!$F$24-Inputs!$D$24)*(Inputs!$E$24-Inputs!$D$24)),Inputs!$F$24-SQRT((1-L104)*(Inputs!$F$24-Inputs!$D$24)*(Inputs!$F$24-Inputs!$E$24)))</f>
        <v>1.12128590380344</v>
      </c>
      <c r="N104" s="81" t="n">
        <f aca="true">RAND()</f>
        <v>0.988103559672854</v>
      </c>
      <c r="O104" s="83" t="n">
        <f aca="false">IF(N104&lt;(Inputs!$E$26-Inputs!$D$26)/(Inputs!$F$26-Inputs!$D$26),Inputs!$D$26+SQRT(N104*(Inputs!$F$26-Inputs!$D$26)*(Inputs!$E$26-Inputs!$D$26)),Inputs!$F$26-SQRT((1-N104)*(Inputs!$F$26-Inputs!$D$26)*(Inputs!$F$26-Inputs!$E$26)))</f>
        <v>0.784825722551512</v>
      </c>
      <c r="P104" s="81" t="n">
        <f aca="true">RAND()</f>
        <v>0.200201360319183</v>
      </c>
      <c r="Q104" s="82" t="n">
        <f aca="false">IF(P104&lt;(Inputs!$E$27-Inputs!$D$27)/(Inputs!$F$27-Inputs!$D$27),Inputs!$D$27+SQRT(P104*(Inputs!$F$27-Inputs!$D$27)*(Inputs!$E$27-Inputs!$D$27)),Inputs!$F$27-SQRT((1-P104)*(Inputs!$F$27-Inputs!$D$27)*(Inputs!$F$27-Inputs!$E$27)))</f>
        <v>72.3719333272285</v>
      </c>
      <c r="R104" s="81" t="n">
        <f aca="true">RAND()</f>
        <v>0.0169659185313359</v>
      </c>
      <c r="S104" s="82" t="n">
        <f aca="false">IF(R104&lt;(Inputs!$E$29-Inputs!$D$29)/(Inputs!$F$29-Inputs!$D$29),Inputs!$D$29+SQRT(R104*(Inputs!$F$29-Inputs!$D$29)*(Inputs!$E$29-Inputs!$D$29)),Inputs!$F$29-SQRT((1-R104)*(Inputs!$F$29-Inputs!$D$29)*(Inputs!$F$29-Inputs!$E$29)))</f>
        <v>2.81343151077525</v>
      </c>
      <c r="T104" s="68" t="n">
        <f aca="false">Inputs!$E$9*(1+E104)+Inputs!$E$5*C104*(Inputs!$E$11*Inputs!$E$14*(G104*I104/Inputs!$E$16+(1-G104))*K104+Inputs!$E$23*M104)*(1+O104)+Inputs!$E$5*(Q104+S104)</f>
        <v>7269.01974503143</v>
      </c>
    </row>
    <row r="105" customFormat="false" ht="15" hidden="false" customHeight="false" outlineLevel="0" collapsed="false">
      <c r="A105" s="1" t="n">
        <v>101</v>
      </c>
      <c r="B105" s="81" t="n">
        <f aca="true">RAND()</f>
        <v>0.361585501407176</v>
      </c>
      <c r="C105" s="82" t="n">
        <f aca="false">ROUND(IF(B105&lt;(Inputs!$E$8-Inputs!$D$8)/(Inputs!$F$8-Inputs!$D$8),Inputs!$D$8+SQRT(B105*(Inputs!$F$8-Inputs!$D$8)*(Inputs!$E$8-Inputs!$D$8)),Inputs!$F$8-SQRT((1-B105)*(Inputs!$F$8-Inputs!$D$8)*(Inputs!$F$8-Inputs!$E$8))),0)</f>
        <v>24</v>
      </c>
      <c r="D105" s="81" t="n">
        <f aca="true">RAND()</f>
        <v>0.240249588602266</v>
      </c>
      <c r="E105" s="83" t="n">
        <f aca="false">IF(D105&lt;(Inputs!$E$10-Inputs!$D$10)/(Inputs!$F$10-Inputs!$D$10),Inputs!$D$10+SQRT(D105*(Inputs!$F$10-Inputs!$D$10)*(Inputs!$E$10-Inputs!$D$10)),Inputs!$F$10-SQRT((1-D105)*(Inputs!$F$10-Inputs!$D$10)*(Inputs!$F$10-Inputs!$E$10)))</f>
        <v>0.0490152617663382</v>
      </c>
      <c r="F105" s="81" t="n">
        <f aca="true">RAND()</f>
        <v>0.317279574999391</v>
      </c>
      <c r="G105" s="83" t="n">
        <f aca="false">IF(F105&lt;(Inputs!$E$15-Inputs!$D$15)/(Inputs!$F$15-Inputs!$D$15),Inputs!$D$15+SQRT(F105*(Inputs!$F$15-Inputs!$D$15)*(Inputs!$E$15-Inputs!$D$15)),Inputs!$F$15-SQRT((1-F105)*(Inputs!$F$15-Inputs!$D$15)*(Inputs!$F$15-Inputs!$E$15)))</f>
        <v>0.67965922106064</v>
      </c>
      <c r="H105" s="81" t="n">
        <f aca="true">RAND()</f>
        <v>0.597427699917554</v>
      </c>
      <c r="I105" s="82" t="n">
        <f aca="false">ROUND(IF(H105&lt;(Inputs!$E$17-Inputs!$D$17)/(Inputs!$F$17-Inputs!$D$17),Inputs!$D$17+SQRT(H105*(Inputs!$F$17-Inputs!$D$17)*(Inputs!$E$17-Inputs!$D$17)),Inputs!$F$17-SQRT((1-H105)*(Inputs!$F$17-Inputs!$D$17)*(Inputs!$F$17-Inputs!$E$17))),0)</f>
        <v>107</v>
      </c>
      <c r="J105" s="81" t="n">
        <f aca="true">RAND()</f>
        <v>0.424787083107457</v>
      </c>
      <c r="K105" s="83" t="n">
        <f aca="false">IF(J105&lt;(Inputs!$E$18-Inputs!$D$18)/(Inputs!$F$18-Inputs!$D$18),Inputs!$D$18+SQRT(J105*(Inputs!$F$18-Inputs!$D$18)*(Inputs!$E$18-Inputs!$D$18)),Inputs!$F$18-SQRT((1-J105)*(Inputs!$F$18-Inputs!$D$18)*(Inputs!$F$18-Inputs!$E$18)))</f>
        <v>1.02565399440129</v>
      </c>
      <c r="L105" s="81" t="n">
        <f aca="true">RAND()</f>
        <v>0.720074063509477</v>
      </c>
      <c r="M105" s="83" t="n">
        <f aca="false">IF(L105&lt;(Inputs!$E$24-Inputs!$D$24)/(Inputs!$F$24-Inputs!$D$24),Inputs!$D$24+SQRT(L105*(Inputs!$F$24-Inputs!$D$24)*(Inputs!$E$24-Inputs!$D$24)),Inputs!$F$24-SQRT((1-L105)*(Inputs!$F$24-Inputs!$D$24)*(Inputs!$F$24-Inputs!$E$24)))</f>
        <v>0.940804659074038</v>
      </c>
      <c r="N105" s="81" t="n">
        <f aca="true">RAND()</f>
        <v>0.0398337840925299</v>
      </c>
      <c r="O105" s="83" t="n">
        <f aca="false">IF(N105&lt;(Inputs!$E$26-Inputs!$D$26)/(Inputs!$F$26-Inputs!$D$26),Inputs!$D$26+SQRT(N105*(Inputs!$F$26-Inputs!$D$26)*(Inputs!$E$26-Inputs!$D$26)),Inputs!$F$26-SQRT((1-N105)*(Inputs!$F$26-Inputs!$D$26)*(Inputs!$F$26-Inputs!$E$26)))</f>
        <v>0.381414628126627</v>
      </c>
      <c r="P105" s="81" t="n">
        <f aca="true">RAND()</f>
        <v>0.581578545707974</v>
      </c>
      <c r="Q105" s="82" t="n">
        <f aca="false">IF(P105&lt;(Inputs!$E$27-Inputs!$D$27)/(Inputs!$F$27-Inputs!$D$27),Inputs!$D$27+SQRT(P105*(Inputs!$F$27-Inputs!$D$27)*(Inputs!$E$27-Inputs!$D$27)),Inputs!$F$27-SQRT((1-P105)*(Inputs!$F$27-Inputs!$D$27)*(Inputs!$F$27-Inputs!$E$27)))</f>
        <v>93.9807095083292</v>
      </c>
      <c r="R105" s="81" t="n">
        <f aca="true">RAND()</f>
        <v>0.836833195238795</v>
      </c>
      <c r="S105" s="82" t="n">
        <f aca="false">IF(R105&lt;(Inputs!$E$29-Inputs!$D$29)/(Inputs!$F$29-Inputs!$D$29),Inputs!$D$29+SQRT(R105*(Inputs!$F$29-Inputs!$D$29)*(Inputs!$E$29-Inputs!$D$29)),Inputs!$F$29-SQRT((1-R105)*(Inputs!$F$29-Inputs!$D$29)*(Inputs!$F$29-Inputs!$E$29)))</f>
        <v>10.3943855329656</v>
      </c>
      <c r="T105" s="68" t="n">
        <f aca="false">Inputs!$E$9*(1+E105)+Inputs!$E$5*C105*(Inputs!$E$11*Inputs!$E$14*(G105*I105/Inputs!$E$16+(1-G105))*K105+Inputs!$E$23*M105)*(1+O105)+Inputs!$E$5*(Q105+S105)</f>
        <v>5810.0656832033</v>
      </c>
    </row>
    <row r="106" customFormat="false" ht="15" hidden="false" customHeight="false" outlineLevel="0" collapsed="false">
      <c r="A106" s="1" t="n">
        <v>102</v>
      </c>
      <c r="B106" s="81" t="n">
        <f aca="true">RAND()</f>
        <v>0.21338584694721</v>
      </c>
      <c r="C106" s="82" t="n">
        <f aca="false">ROUND(IF(B106&lt;(Inputs!$E$8-Inputs!$D$8)/(Inputs!$F$8-Inputs!$D$8),Inputs!$D$8+SQRT(B106*(Inputs!$F$8-Inputs!$D$8)*(Inputs!$E$8-Inputs!$D$8)),Inputs!$F$8-SQRT((1-B106)*(Inputs!$F$8-Inputs!$D$8)*(Inputs!$F$8-Inputs!$E$8))),0)</f>
        <v>23</v>
      </c>
      <c r="D106" s="81" t="n">
        <f aca="true">RAND()</f>
        <v>0.9636112664166</v>
      </c>
      <c r="E106" s="83" t="n">
        <f aca="false">IF(D106&lt;(Inputs!$E$10-Inputs!$D$10)/(Inputs!$F$10-Inputs!$D$10),Inputs!$D$10+SQRT(D106*(Inputs!$F$10-Inputs!$D$10)*(Inputs!$E$10-Inputs!$D$10)),Inputs!$F$10-SQRT((1-D106)*(Inputs!$F$10-Inputs!$D$10)*(Inputs!$F$10-Inputs!$E$10)))</f>
        <v>0.166959691171207</v>
      </c>
      <c r="F106" s="81" t="n">
        <f aca="true">RAND()</f>
        <v>0.64821102273792</v>
      </c>
      <c r="G106" s="83" t="n">
        <f aca="false">IF(F106&lt;(Inputs!$E$15-Inputs!$D$15)/(Inputs!$F$15-Inputs!$D$15),Inputs!$D$15+SQRT(F106*(Inputs!$F$15-Inputs!$D$15)*(Inputs!$E$15-Inputs!$D$15)),Inputs!$F$15-SQRT((1-F106)*(Inputs!$F$15-Inputs!$D$15)*(Inputs!$F$15-Inputs!$E$15)))</f>
        <v>0.716120446202656</v>
      </c>
      <c r="H106" s="81" t="n">
        <f aca="true">RAND()</f>
        <v>0.445092801204401</v>
      </c>
      <c r="I106" s="82" t="n">
        <f aca="false">ROUND(IF(H106&lt;(Inputs!$E$17-Inputs!$D$17)/(Inputs!$F$17-Inputs!$D$17),Inputs!$D$17+SQRT(H106*(Inputs!$F$17-Inputs!$D$17)*(Inputs!$E$17-Inputs!$D$17)),Inputs!$F$17-SQRT((1-H106)*(Inputs!$F$17-Inputs!$D$17)*(Inputs!$F$17-Inputs!$E$17))),0)</f>
        <v>106</v>
      </c>
      <c r="J106" s="81" t="n">
        <f aca="true">RAND()</f>
        <v>0.248075299857109</v>
      </c>
      <c r="K106" s="83" t="n">
        <f aca="false">IF(J106&lt;(Inputs!$E$18-Inputs!$D$18)/(Inputs!$F$18-Inputs!$D$18),Inputs!$D$18+SQRT(J106*(Inputs!$F$18-Inputs!$D$18)*(Inputs!$E$18-Inputs!$D$18)),Inputs!$F$18-SQRT((1-J106)*(Inputs!$F$18-Inputs!$D$18)*(Inputs!$F$18-Inputs!$E$18)))</f>
        <v>0.993180660520297</v>
      </c>
      <c r="L106" s="81" t="n">
        <f aca="true">RAND()</f>
        <v>0.999931474025383</v>
      </c>
      <c r="M106" s="83" t="n">
        <f aca="false">IF(L106&lt;(Inputs!$E$24-Inputs!$D$24)/(Inputs!$F$24-Inputs!$D$24),Inputs!$D$24+SQRT(L106*(Inputs!$F$24-Inputs!$D$24)*(Inputs!$E$24-Inputs!$D$24)),Inputs!$F$24-SQRT((1-L106)*(Inputs!$F$24-Inputs!$D$24)*(Inputs!$F$24-Inputs!$E$24)))</f>
        <v>1.1959446043463</v>
      </c>
      <c r="N106" s="81" t="n">
        <f aca="true">RAND()</f>
        <v>0.981594271021859</v>
      </c>
      <c r="O106" s="83" t="n">
        <f aca="false">IF(N106&lt;(Inputs!$E$26-Inputs!$D$26)/(Inputs!$F$26-Inputs!$D$26),Inputs!$D$26+SQRT(N106*(Inputs!$F$26-Inputs!$D$26)*(Inputs!$E$26-Inputs!$D$26)),Inputs!$F$26-SQRT((1-N106)*(Inputs!$F$26-Inputs!$D$26)*(Inputs!$F$26-Inputs!$E$26)))</f>
        <v>0.77624847644108</v>
      </c>
      <c r="P106" s="81" t="n">
        <f aca="true">RAND()</f>
        <v>0.557550638074329</v>
      </c>
      <c r="Q106" s="82" t="n">
        <f aca="false">IF(P106&lt;(Inputs!$E$27-Inputs!$D$27)/(Inputs!$F$27-Inputs!$D$27),Inputs!$D$27+SQRT(P106*(Inputs!$F$27-Inputs!$D$27)*(Inputs!$E$27-Inputs!$D$27)),Inputs!$F$27-SQRT((1-P106)*(Inputs!$F$27-Inputs!$D$27)*(Inputs!$F$27-Inputs!$E$27)))</f>
        <v>92.3947032431693</v>
      </c>
      <c r="R106" s="81" t="n">
        <f aca="true">RAND()</f>
        <v>0.497953923211702</v>
      </c>
      <c r="S106" s="82" t="n">
        <f aca="false">IF(R106&lt;(Inputs!$E$29-Inputs!$D$29)/(Inputs!$F$29-Inputs!$D$29),Inputs!$D$29+SQRT(R106*(Inputs!$F$29-Inputs!$D$29)*(Inputs!$E$29-Inputs!$D$29)),Inputs!$F$29-SQRT((1-R106)*(Inputs!$F$29-Inputs!$D$29)*(Inputs!$F$29-Inputs!$E$29)))</f>
        <v>6.92126309485952</v>
      </c>
      <c r="T106" s="68" t="n">
        <f aca="false">Inputs!$E$9*(1+E106)+Inputs!$E$5*C106*(Inputs!$E$11*Inputs!$E$14*(G106*I106/Inputs!$E$16+(1-G106))*K106+Inputs!$E$23*M106)*(1+O106)+Inputs!$E$5*(Q106+S106)</f>
        <v>6975.00019021771</v>
      </c>
    </row>
    <row r="107" customFormat="false" ht="15" hidden="false" customHeight="false" outlineLevel="0" collapsed="false">
      <c r="A107" s="1" t="n">
        <v>103</v>
      </c>
      <c r="B107" s="81" t="n">
        <f aca="true">RAND()</f>
        <v>0.136543691040544</v>
      </c>
      <c r="C107" s="82" t="n">
        <f aca="false">ROUND(IF(B107&lt;(Inputs!$E$8-Inputs!$D$8)/(Inputs!$F$8-Inputs!$D$8),Inputs!$D$8+SQRT(B107*(Inputs!$F$8-Inputs!$D$8)*(Inputs!$E$8-Inputs!$D$8)),Inputs!$F$8-SQRT((1-B107)*(Inputs!$F$8-Inputs!$D$8)*(Inputs!$F$8-Inputs!$E$8))),0)</f>
        <v>23</v>
      </c>
      <c r="D107" s="81" t="n">
        <f aca="true">RAND()</f>
        <v>0.242729660008837</v>
      </c>
      <c r="E107" s="83" t="n">
        <f aca="false">IF(D107&lt;(Inputs!$E$10-Inputs!$D$10)/(Inputs!$F$10-Inputs!$D$10),Inputs!$D$10+SQRT(D107*(Inputs!$F$10-Inputs!$D$10)*(Inputs!$E$10-Inputs!$D$10)),Inputs!$F$10-SQRT((1-D107)*(Inputs!$F$10-Inputs!$D$10)*(Inputs!$F$10-Inputs!$E$10)))</f>
        <v>0.0492676019315774</v>
      </c>
      <c r="F107" s="81" t="n">
        <f aca="true">RAND()</f>
        <v>0.561864244850096</v>
      </c>
      <c r="G107" s="83" t="n">
        <f aca="false">IF(F107&lt;(Inputs!$E$15-Inputs!$D$15)/(Inputs!$F$15-Inputs!$D$15),Inputs!$D$15+SQRT(F107*(Inputs!$F$15-Inputs!$D$15)*(Inputs!$E$15-Inputs!$D$15)),Inputs!$F$15-SQRT((1-F107)*(Inputs!$F$15-Inputs!$D$15)*(Inputs!$F$15-Inputs!$E$15)))</f>
        <v>0.706390624919306</v>
      </c>
      <c r="H107" s="81" t="n">
        <f aca="true">RAND()</f>
        <v>0.735006038562935</v>
      </c>
      <c r="I107" s="82" t="n">
        <f aca="false">ROUND(IF(H107&lt;(Inputs!$E$17-Inputs!$D$17)/(Inputs!$F$17-Inputs!$D$17),Inputs!$D$17+SQRT(H107*(Inputs!$F$17-Inputs!$D$17)*(Inputs!$E$17-Inputs!$D$17)),Inputs!$F$17-SQRT((1-H107)*(Inputs!$F$17-Inputs!$D$17)*(Inputs!$F$17-Inputs!$E$17))),0)</f>
        <v>109</v>
      </c>
      <c r="J107" s="81" t="n">
        <f aca="true">RAND()</f>
        <v>0.55426622718681</v>
      </c>
      <c r="K107" s="83" t="n">
        <f aca="false">IF(J107&lt;(Inputs!$E$18-Inputs!$D$18)/(Inputs!$F$18-Inputs!$D$18),Inputs!$D$18+SQRT(J107*(Inputs!$F$18-Inputs!$D$18)*(Inputs!$E$18-Inputs!$D$18)),Inputs!$F$18-SQRT((1-J107)*(Inputs!$F$18-Inputs!$D$18)*(Inputs!$F$18-Inputs!$E$18)))</f>
        <v>1.05251150635758</v>
      </c>
      <c r="L107" s="81" t="n">
        <f aca="true">RAND()</f>
        <v>0.270130493125801</v>
      </c>
      <c r="M107" s="83" t="n">
        <f aca="false">IF(L107&lt;(Inputs!$E$24-Inputs!$D$24)/(Inputs!$F$24-Inputs!$D$24),Inputs!$D$24+SQRT(L107*(Inputs!$F$24-Inputs!$D$24)*(Inputs!$E$24-Inputs!$D$24)),Inputs!$F$24-SQRT((1-L107)*(Inputs!$F$24-Inputs!$D$24)*(Inputs!$F$24-Inputs!$E$24)))</f>
        <v>0.780043492454174</v>
      </c>
      <c r="N107" s="81" t="n">
        <f aca="true">RAND()</f>
        <v>0.769708503908598</v>
      </c>
      <c r="O107" s="83" t="n">
        <f aca="false">IF(N107&lt;(Inputs!$E$26-Inputs!$D$26)/(Inputs!$F$26-Inputs!$D$26),Inputs!$D$26+SQRT(N107*(Inputs!$F$26-Inputs!$D$26)*(Inputs!$E$26-Inputs!$D$26)),Inputs!$F$26-SQRT((1-N107)*(Inputs!$F$26-Inputs!$D$26)*(Inputs!$F$26-Inputs!$E$26)))</f>
        <v>0.665241104961602</v>
      </c>
      <c r="P107" s="81" t="n">
        <f aca="true">RAND()</f>
        <v>0.896481819526181</v>
      </c>
      <c r="Q107" s="82" t="n">
        <f aca="false">IF(P107&lt;(Inputs!$E$27-Inputs!$D$27)/(Inputs!$F$27-Inputs!$D$27),Inputs!$D$27+SQRT(P107*(Inputs!$F$27-Inputs!$D$27)*(Inputs!$E$27-Inputs!$D$27)),Inputs!$F$27-SQRT((1-P107)*(Inputs!$F$27-Inputs!$D$27)*(Inputs!$F$27-Inputs!$E$27)))</f>
        <v>122.13628966642</v>
      </c>
      <c r="R107" s="81" t="n">
        <f aca="true">RAND()</f>
        <v>0.433539047721964</v>
      </c>
      <c r="S107" s="82" t="n">
        <f aca="false">IF(R107&lt;(Inputs!$E$29-Inputs!$D$29)/(Inputs!$F$29-Inputs!$D$29),Inputs!$D$29+SQRT(R107*(Inputs!$F$29-Inputs!$D$29)*(Inputs!$E$29-Inputs!$D$29)),Inputs!$F$29-SQRT((1-R107)*(Inputs!$F$29-Inputs!$D$29)*(Inputs!$F$29-Inputs!$E$29)))</f>
        <v>6.41862925890364</v>
      </c>
      <c r="T107" s="68" t="n">
        <f aca="false">Inputs!$E$9*(1+E107)+Inputs!$E$5*C107*(Inputs!$E$11*Inputs!$E$14*(G107*I107/Inputs!$E$16+(1-G107))*K107+Inputs!$E$23*M107)*(1+O107)+Inputs!$E$5*(Q107+S107)</f>
        <v>6219.89229237046</v>
      </c>
    </row>
    <row r="108" customFormat="false" ht="15" hidden="false" customHeight="false" outlineLevel="0" collapsed="false">
      <c r="A108" s="1" t="n">
        <v>104</v>
      </c>
      <c r="B108" s="81" t="n">
        <f aca="true">RAND()</f>
        <v>0.78449903558467</v>
      </c>
      <c r="C108" s="82" t="n">
        <f aca="false">ROUND(IF(B108&lt;(Inputs!$E$8-Inputs!$D$8)/(Inputs!$F$8-Inputs!$D$8),Inputs!$D$8+SQRT(B108*(Inputs!$F$8-Inputs!$D$8)*(Inputs!$E$8-Inputs!$D$8)),Inputs!$F$8-SQRT((1-B108)*(Inputs!$F$8-Inputs!$D$8)*(Inputs!$F$8-Inputs!$E$8))),0)</f>
        <v>27</v>
      </c>
      <c r="D108" s="81" t="n">
        <f aca="true">RAND()</f>
        <v>0.173756546292132</v>
      </c>
      <c r="E108" s="83" t="n">
        <f aca="false">IF(D108&lt;(Inputs!$E$10-Inputs!$D$10)/(Inputs!$F$10-Inputs!$D$10),Inputs!$D$10+SQRT(D108*(Inputs!$F$10-Inputs!$D$10)*(Inputs!$E$10-Inputs!$D$10)),Inputs!$F$10-SQRT((1-D108)*(Inputs!$F$10-Inputs!$D$10)*(Inputs!$F$10-Inputs!$E$10)))</f>
        <v>0.0416841152349587</v>
      </c>
      <c r="F108" s="81" t="n">
        <f aca="true">RAND()</f>
        <v>0.280020469001071</v>
      </c>
      <c r="G108" s="83" t="n">
        <f aca="false">IF(F108&lt;(Inputs!$E$15-Inputs!$D$15)/(Inputs!$F$15-Inputs!$D$15),Inputs!$D$15+SQRT(F108*(Inputs!$F$15-Inputs!$D$15)*(Inputs!$E$15-Inputs!$D$15)),Inputs!$F$15-SQRT((1-F108)*(Inputs!$F$15-Inputs!$D$15)*(Inputs!$F$15-Inputs!$E$15)))</f>
        <v>0.674835882970814</v>
      </c>
      <c r="H108" s="81" t="n">
        <f aca="true">RAND()</f>
        <v>0.920794395536088</v>
      </c>
      <c r="I108" s="82" t="n">
        <f aca="false">ROUND(IF(H108&lt;(Inputs!$E$17-Inputs!$D$17)/(Inputs!$F$17-Inputs!$D$17),Inputs!$D$17+SQRT(H108*(Inputs!$F$17-Inputs!$D$17)*(Inputs!$E$17-Inputs!$D$17)),Inputs!$F$17-SQRT((1-H108)*(Inputs!$F$17-Inputs!$D$17)*(Inputs!$F$17-Inputs!$E$17))),0)</f>
        <v>112</v>
      </c>
      <c r="J108" s="81" t="n">
        <f aca="true">RAND()</f>
        <v>0.333215319410812</v>
      </c>
      <c r="K108" s="83" t="n">
        <f aca="false">IF(J108&lt;(Inputs!$E$18-Inputs!$D$18)/(Inputs!$F$18-Inputs!$D$18),Inputs!$D$18+SQRT(J108*(Inputs!$F$18-Inputs!$D$18)*(Inputs!$E$18-Inputs!$D$18)),Inputs!$F$18-SQRT((1-J108)*(Inputs!$F$18-Inputs!$D$18)*(Inputs!$F$18-Inputs!$E$18)))</f>
        <v>1.00845567787349</v>
      </c>
      <c r="L108" s="81" t="n">
        <f aca="true">RAND()</f>
        <v>0.981400186373394</v>
      </c>
      <c r="M108" s="83" t="n">
        <f aca="false">IF(L108&lt;(Inputs!$E$24-Inputs!$D$24)/(Inputs!$F$24-Inputs!$D$24),Inputs!$D$24+SQRT(L108*(Inputs!$F$24-Inputs!$D$24)*(Inputs!$E$24-Inputs!$D$24)),Inputs!$F$24-SQRT((1-L108)*(Inputs!$F$24-Inputs!$D$24)*(Inputs!$F$24-Inputs!$E$24)))</f>
        <v>1.13318716238337</v>
      </c>
      <c r="N108" s="81" t="n">
        <f aca="true">RAND()</f>
        <v>0.142204377117215</v>
      </c>
      <c r="O108" s="83" t="n">
        <f aca="false">IF(N108&lt;(Inputs!$E$26-Inputs!$D$26)/(Inputs!$F$26-Inputs!$D$26),Inputs!$D$26+SQRT(N108*(Inputs!$F$26-Inputs!$D$26)*(Inputs!$E$26-Inputs!$D$26)),Inputs!$F$26-SQRT((1-N108)*(Inputs!$F$26-Inputs!$D$26)*(Inputs!$F$26-Inputs!$E$26)))</f>
        <v>0.453827202900867</v>
      </c>
      <c r="P108" s="81" t="n">
        <f aca="true">RAND()</f>
        <v>0.575963500140948</v>
      </c>
      <c r="Q108" s="82" t="n">
        <f aca="false">IF(P108&lt;(Inputs!$E$27-Inputs!$D$27)/(Inputs!$F$27-Inputs!$D$27),Inputs!$D$27+SQRT(P108*(Inputs!$F$27-Inputs!$D$27)*(Inputs!$E$27-Inputs!$D$27)),Inputs!$F$27-SQRT((1-P108)*(Inputs!$F$27-Inputs!$D$27)*(Inputs!$F$27-Inputs!$E$27)))</f>
        <v>93.6060841141272</v>
      </c>
      <c r="R108" s="81" t="n">
        <f aca="true">RAND()</f>
        <v>0.29907801331578</v>
      </c>
      <c r="S108" s="82" t="n">
        <f aca="false">IF(R108&lt;(Inputs!$E$29-Inputs!$D$29)/(Inputs!$F$29-Inputs!$D$29),Inputs!$D$29+SQRT(R108*(Inputs!$F$29-Inputs!$D$29)*(Inputs!$E$29-Inputs!$D$29)),Inputs!$F$29-SQRT((1-R108)*(Inputs!$F$29-Inputs!$D$29)*(Inputs!$F$29-Inputs!$E$29)))</f>
        <v>5.45432777280989</v>
      </c>
      <c r="T108" s="68" t="n">
        <f aca="false">Inputs!$E$9*(1+E108)+Inputs!$E$5*C108*(Inputs!$E$11*Inputs!$E$14*(G108*I108/Inputs!$E$16+(1-G108))*K108+Inputs!$E$23*M108)*(1+O108)+Inputs!$E$5*(Q108+S108)</f>
        <v>6609.60202444935</v>
      </c>
    </row>
    <row r="109" customFormat="false" ht="15" hidden="false" customHeight="false" outlineLevel="0" collapsed="false">
      <c r="A109" s="1" t="n">
        <v>105</v>
      </c>
      <c r="B109" s="81" t="n">
        <f aca="true">RAND()</f>
        <v>0.81719666611705</v>
      </c>
      <c r="C109" s="82" t="n">
        <f aca="false">ROUND(IF(B109&lt;(Inputs!$E$8-Inputs!$D$8)/(Inputs!$F$8-Inputs!$D$8),Inputs!$D$8+SQRT(B109*(Inputs!$F$8-Inputs!$D$8)*(Inputs!$E$8-Inputs!$D$8)),Inputs!$F$8-SQRT((1-B109)*(Inputs!$F$8-Inputs!$D$8)*(Inputs!$F$8-Inputs!$E$8))),0)</f>
        <v>27</v>
      </c>
      <c r="D109" s="81" t="n">
        <f aca="true">RAND()</f>
        <v>0.217246017628859</v>
      </c>
      <c r="E109" s="83" t="n">
        <f aca="false">IF(D109&lt;(Inputs!$E$10-Inputs!$D$10)/(Inputs!$F$10-Inputs!$D$10),Inputs!$D$10+SQRT(D109*(Inputs!$F$10-Inputs!$D$10)*(Inputs!$E$10-Inputs!$D$10)),Inputs!$F$10-SQRT((1-D109)*(Inputs!$F$10-Inputs!$D$10)*(Inputs!$F$10-Inputs!$E$10)))</f>
        <v>0.0466096575431379</v>
      </c>
      <c r="F109" s="81" t="n">
        <f aca="true">RAND()</f>
        <v>0.65521769762023</v>
      </c>
      <c r="G109" s="83" t="n">
        <f aca="false">IF(F109&lt;(Inputs!$E$15-Inputs!$D$15)/(Inputs!$F$15-Inputs!$D$15),Inputs!$D$15+SQRT(F109*(Inputs!$F$15-Inputs!$D$15)*(Inputs!$E$15-Inputs!$D$15)),Inputs!$F$15-SQRT((1-F109)*(Inputs!$F$15-Inputs!$D$15)*(Inputs!$F$15-Inputs!$E$15)))</f>
        <v>0.716959973220167</v>
      </c>
      <c r="H109" s="81" t="n">
        <f aca="true">RAND()</f>
        <v>0.0494340577862707</v>
      </c>
      <c r="I109" s="82" t="n">
        <f aca="false">ROUND(IF(H109&lt;(Inputs!$E$17-Inputs!$D$17)/(Inputs!$F$17-Inputs!$D$17),Inputs!$D$17+SQRT(H109*(Inputs!$F$17-Inputs!$D$17)*(Inputs!$E$17-Inputs!$D$17)),Inputs!$F$17-SQRT((1-H109)*(Inputs!$F$17-Inputs!$D$17)*(Inputs!$F$17-Inputs!$E$17))),0)</f>
        <v>102</v>
      </c>
      <c r="J109" s="81" t="n">
        <f aca="true">RAND()</f>
        <v>0.697612814740685</v>
      </c>
      <c r="K109" s="83" t="n">
        <f aca="false">IF(J109&lt;(Inputs!$E$18-Inputs!$D$18)/(Inputs!$F$18-Inputs!$D$18),Inputs!$D$18+SQRT(J109*(Inputs!$F$18-Inputs!$D$18)*(Inputs!$E$18-Inputs!$D$18)),Inputs!$F$18-SQRT((1-J109)*(Inputs!$F$18-Inputs!$D$18)*(Inputs!$F$18-Inputs!$E$18)))</f>
        <v>1.08733814611228</v>
      </c>
      <c r="L109" s="81" t="n">
        <f aca="true">RAND()</f>
        <v>0.130462505820109</v>
      </c>
      <c r="M109" s="83" t="n">
        <f aca="false">IF(L109&lt;(Inputs!$E$24-Inputs!$D$24)/(Inputs!$F$24-Inputs!$D$24),Inputs!$D$24+SQRT(L109*(Inputs!$F$24-Inputs!$D$24)*(Inputs!$E$24-Inputs!$D$24)),Inputs!$F$24-SQRT((1-L109)*(Inputs!$F$24-Inputs!$D$24)*(Inputs!$F$24-Inputs!$E$24)))</f>
        <v>0.725121943312966</v>
      </c>
      <c r="N109" s="81" t="n">
        <f aca="true">RAND()</f>
        <v>0.312488061273357</v>
      </c>
      <c r="O109" s="83" t="n">
        <f aca="false">IF(N109&lt;(Inputs!$E$26-Inputs!$D$26)/(Inputs!$F$26-Inputs!$D$26),Inputs!$D$26+SQRT(N109*(Inputs!$F$26-Inputs!$D$26)*(Inputs!$E$26-Inputs!$D$26)),Inputs!$F$26-SQRT((1-N109)*(Inputs!$F$26-Inputs!$D$26)*(Inputs!$F$26-Inputs!$E$26)))</f>
        <v>0.528030729060552</v>
      </c>
      <c r="P109" s="81" t="n">
        <f aca="true">RAND()</f>
        <v>0.283148972555691</v>
      </c>
      <c r="Q109" s="82" t="n">
        <f aca="false">IF(P109&lt;(Inputs!$E$27-Inputs!$D$27)/(Inputs!$F$27-Inputs!$D$27),Inputs!$D$27+SQRT(P109*(Inputs!$F$27-Inputs!$D$27)*(Inputs!$E$27-Inputs!$D$27)),Inputs!$F$27-SQRT((1-P109)*(Inputs!$F$27-Inputs!$D$27)*(Inputs!$F$27-Inputs!$E$27)))</f>
        <v>76.6761791377978</v>
      </c>
      <c r="R109" s="81" t="n">
        <f aca="true">RAND()</f>
        <v>0.130500650998396</v>
      </c>
      <c r="S109" s="82" t="n">
        <f aca="false">IF(R109&lt;(Inputs!$E$29-Inputs!$D$29)/(Inputs!$F$29-Inputs!$D$29),Inputs!$D$29+SQRT(R109*(Inputs!$F$29-Inputs!$D$29)*(Inputs!$E$29-Inputs!$D$29)),Inputs!$F$29-SQRT((1-R109)*(Inputs!$F$29-Inputs!$D$29)*(Inputs!$F$29-Inputs!$E$29)))</f>
        <v>4.25599764825619</v>
      </c>
      <c r="T109" s="68" t="n">
        <f aca="false">Inputs!$E$9*(1+E109)+Inputs!$E$5*C109*(Inputs!$E$11*Inputs!$E$14*(G109*I109/Inputs!$E$16+(1-G109))*K109+Inputs!$E$23*M109)*(1+O109)+Inputs!$E$5*(Q109+S109)</f>
        <v>6117.2707043659</v>
      </c>
    </row>
    <row r="110" customFormat="false" ht="15" hidden="false" customHeight="false" outlineLevel="0" collapsed="false">
      <c r="A110" s="1" t="n">
        <v>106</v>
      </c>
      <c r="B110" s="81" t="n">
        <f aca="true">RAND()</f>
        <v>0.489904209812066</v>
      </c>
      <c r="C110" s="82" t="n">
        <f aca="false">ROUND(IF(B110&lt;(Inputs!$E$8-Inputs!$D$8)/(Inputs!$F$8-Inputs!$D$8),Inputs!$D$8+SQRT(B110*(Inputs!$F$8-Inputs!$D$8)*(Inputs!$E$8-Inputs!$D$8)),Inputs!$F$8-SQRT((1-B110)*(Inputs!$F$8-Inputs!$D$8)*(Inputs!$F$8-Inputs!$E$8))),0)</f>
        <v>25</v>
      </c>
      <c r="D110" s="81" t="n">
        <f aca="true">RAND()</f>
        <v>0.536260585570903</v>
      </c>
      <c r="E110" s="83" t="n">
        <f aca="false">IF(D110&lt;(Inputs!$E$10-Inputs!$D$10)/(Inputs!$F$10-Inputs!$D$10),Inputs!$D$10+SQRT(D110*(Inputs!$F$10-Inputs!$D$10)*(Inputs!$E$10-Inputs!$D$10)),Inputs!$F$10-SQRT((1-D110)*(Inputs!$F$10-Inputs!$D$10)*(Inputs!$F$10-Inputs!$E$10)))</f>
        <v>0.0820500850662752</v>
      </c>
      <c r="F110" s="81" t="n">
        <f aca="true">RAND()</f>
        <v>0.930117700203086</v>
      </c>
      <c r="G110" s="83" t="n">
        <f aca="false">IF(F110&lt;(Inputs!$E$15-Inputs!$D$15)/(Inputs!$F$15-Inputs!$D$15),Inputs!$D$15+SQRT(F110*(Inputs!$F$15-Inputs!$D$15)*(Inputs!$E$15-Inputs!$D$15)),Inputs!$F$15-SQRT((1-F110)*(Inputs!$F$15-Inputs!$D$15)*(Inputs!$F$15-Inputs!$E$15)))</f>
        <v>0.762614896068912</v>
      </c>
      <c r="H110" s="81" t="n">
        <f aca="true">RAND()</f>
        <v>0.770014922262778</v>
      </c>
      <c r="I110" s="82" t="n">
        <f aca="false">ROUND(IF(H110&lt;(Inputs!$E$17-Inputs!$D$17)/(Inputs!$F$17-Inputs!$D$17),Inputs!$D$17+SQRT(H110*(Inputs!$F$17-Inputs!$D$17)*(Inputs!$E$17-Inputs!$D$17)),Inputs!$F$17-SQRT((1-H110)*(Inputs!$F$17-Inputs!$D$17)*(Inputs!$F$17-Inputs!$E$17))),0)</f>
        <v>109</v>
      </c>
      <c r="J110" s="81" t="n">
        <f aca="true">RAND()</f>
        <v>0.0980610965166549</v>
      </c>
      <c r="K110" s="83" t="n">
        <f aca="false">IF(J110&lt;(Inputs!$E$18-Inputs!$D$18)/(Inputs!$F$18-Inputs!$D$18),Inputs!$D$18+SQRT(J110*(Inputs!$F$18-Inputs!$D$18)*(Inputs!$E$18-Inputs!$D$18)),Inputs!$F$18-SQRT((1-J110)*(Inputs!$F$18-Inputs!$D$18)*(Inputs!$F$18-Inputs!$E$18)))</f>
        <v>0.958584455089067</v>
      </c>
      <c r="L110" s="81" t="n">
        <f aca="true">RAND()</f>
        <v>0.531486583586807</v>
      </c>
      <c r="M110" s="83" t="n">
        <f aca="false">IF(L110&lt;(Inputs!$E$24-Inputs!$D$24)/(Inputs!$F$24-Inputs!$D$24),Inputs!$D$24+SQRT(L110*(Inputs!$F$24-Inputs!$D$24)*(Inputs!$E$24-Inputs!$D$24)),Inputs!$F$24-SQRT((1-L110)*(Inputs!$F$24-Inputs!$D$24)*(Inputs!$F$24-Inputs!$E$24)))</f>
        <v>0.864674456774963</v>
      </c>
      <c r="N110" s="81" t="n">
        <f aca="true">RAND()</f>
        <v>0.221935750543115</v>
      </c>
      <c r="O110" s="83" t="n">
        <f aca="false">IF(N110&lt;(Inputs!$E$26-Inputs!$D$26)/(Inputs!$F$26-Inputs!$D$26),Inputs!$D$26+SQRT(N110*(Inputs!$F$26-Inputs!$D$26)*(Inputs!$E$26-Inputs!$D$26)),Inputs!$F$26-SQRT((1-N110)*(Inputs!$F$26-Inputs!$D$26)*(Inputs!$F$26-Inputs!$E$26)))</f>
        <v>0.49217208145403</v>
      </c>
      <c r="P110" s="81" t="n">
        <f aca="true">RAND()</f>
        <v>0.927324567953263</v>
      </c>
      <c r="Q110" s="82" t="n">
        <f aca="false">IF(P110&lt;(Inputs!$E$27-Inputs!$D$27)/(Inputs!$F$27-Inputs!$D$27),Inputs!$D$27+SQRT(P110*(Inputs!$F$27-Inputs!$D$27)*(Inputs!$E$27-Inputs!$D$27)),Inputs!$F$27-SQRT((1-P110)*(Inputs!$F$27-Inputs!$D$27)*(Inputs!$F$27-Inputs!$E$27)))</f>
        <v>126.653356978989</v>
      </c>
      <c r="R110" s="81" t="n">
        <f aca="true">RAND()</f>
        <v>0.660849055561645</v>
      </c>
      <c r="S110" s="82" t="n">
        <f aca="false">IF(R110&lt;(Inputs!$E$29-Inputs!$D$29)/(Inputs!$F$29-Inputs!$D$29),Inputs!$D$29+SQRT(R110*(Inputs!$F$29-Inputs!$D$29)*(Inputs!$E$29-Inputs!$D$29)),Inputs!$F$29-SQRT((1-R110)*(Inputs!$F$29-Inputs!$D$29)*(Inputs!$F$29-Inputs!$E$29)))</f>
        <v>8.35999828486573</v>
      </c>
      <c r="T110" s="68" t="n">
        <f aca="false">Inputs!$E$9*(1+E110)+Inputs!$E$5*C110*(Inputs!$E$11*Inputs!$E$14*(G110*I110/Inputs!$E$16+(1-G110))*K110+Inputs!$E$23*M110)*(1+O110)+Inputs!$E$5*(Q110+S110)</f>
        <v>6096.69296459549</v>
      </c>
    </row>
    <row r="111" customFormat="false" ht="15" hidden="false" customHeight="false" outlineLevel="0" collapsed="false">
      <c r="A111" s="1" t="n">
        <v>107</v>
      </c>
      <c r="B111" s="81" t="n">
        <f aca="true">RAND()</f>
        <v>0.561756554807695</v>
      </c>
      <c r="C111" s="82" t="n">
        <f aca="false">ROUND(IF(B111&lt;(Inputs!$E$8-Inputs!$D$8)/(Inputs!$F$8-Inputs!$D$8),Inputs!$D$8+SQRT(B111*(Inputs!$F$8-Inputs!$D$8)*(Inputs!$E$8-Inputs!$D$8)),Inputs!$F$8-SQRT((1-B111)*(Inputs!$F$8-Inputs!$D$8)*(Inputs!$F$8-Inputs!$E$8))),0)</f>
        <v>25</v>
      </c>
      <c r="D111" s="81" t="n">
        <f aca="true">RAND()</f>
        <v>0.392180139945531</v>
      </c>
      <c r="E111" s="83" t="n">
        <f aca="false">IF(D111&lt;(Inputs!$E$10-Inputs!$D$10)/(Inputs!$F$10-Inputs!$D$10),Inputs!$D$10+SQRT(D111*(Inputs!$F$10-Inputs!$D$10)*(Inputs!$E$10-Inputs!$D$10)),Inputs!$F$10-SQRT((1-D111)*(Inputs!$F$10-Inputs!$D$10)*(Inputs!$F$10-Inputs!$E$10)))</f>
        <v>0.0649644646708354</v>
      </c>
      <c r="F111" s="81" t="n">
        <f aca="true">RAND()</f>
        <v>0.371941279614361</v>
      </c>
      <c r="G111" s="83" t="n">
        <f aca="false">IF(F111&lt;(Inputs!$E$15-Inputs!$D$15)/(Inputs!$F$15-Inputs!$D$15),Inputs!$D$15+SQRT(F111*(Inputs!$F$15-Inputs!$D$15)*(Inputs!$E$15-Inputs!$D$15)),Inputs!$F$15-SQRT((1-F111)*(Inputs!$F$15-Inputs!$D$15)*(Inputs!$F$15-Inputs!$E$15)))</f>
        <v>0.68624862661102</v>
      </c>
      <c r="H111" s="81" t="n">
        <f aca="true">RAND()</f>
        <v>0.24233950034671</v>
      </c>
      <c r="I111" s="82" t="n">
        <f aca="false">ROUND(IF(H111&lt;(Inputs!$E$17-Inputs!$D$17)/(Inputs!$F$17-Inputs!$D$17),Inputs!$D$17+SQRT(H111*(Inputs!$F$17-Inputs!$D$17)*(Inputs!$E$17-Inputs!$D$17)),Inputs!$F$17-SQRT((1-H111)*(Inputs!$F$17-Inputs!$D$17)*(Inputs!$F$17-Inputs!$E$17))),0)</f>
        <v>104</v>
      </c>
      <c r="J111" s="81" t="n">
        <f aca="true">RAND()</f>
        <v>0.628994756706643</v>
      </c>
      <c r="K111" s="83" t="n">
        <f aca="false">IF(J111&lt;(Inputs!$E$18-Inputs!$D$18)/(Inputs!$F$18-Inputs!$D$18),Inputs!$D$18+SQRT(J111*(Inputs!$F$18-Inputs!$D$18)*(Inputs!$E$18-Inputs!$D$18)),Inputs!$F$18-SQRT((1-J111)*(Inputs!$F$18-Inputs!$D$18)*(Inputs!$F$18-Inputs!$E$18)))</f>
        <v>1.06982519935305</v>
      </c>
      <c r="L111" s="81" t="n">
        <f aca="true">RAND()</f>
        <v>0.0960691214977233</v>
      </c>
      <c r="M111" s="83" t="n">
        <f aca="false">IF(L111&lt;(Inputs!$E$24-Inputs!$D$24)/(Inputs!$F$24-Inputs!$D$24),Inputs!$D$24+SQRT(L111*(Inputs!$F$24-Inputs!$D$24)*(Inputs!$E$24-Inputs!$D$24)),Inputs!$F$24-SQRT((1-L111)*(Inputs!$F$24-Inputs!$D$24)*(Inputs!$F$24-Inputs!$E$24)))</f>
        <v>0.707369896059029</v>
      </c>
      <c r="N111" s="81" t="n">
        <f aca="true">RAND()</f>
        <v>0.130943517839269</v>
      </c>
      <c r="O111" s="83" t="n">
        <f aca="false">IF(N111&lt;(Inputs!$E$26-Inputs!$D$26)/(Inputs!$F$26-Inputs!$D$26),Inputs!$D$26+SQRT(N111*(Inputs!$F$26-Inputs!$D$26)*(Inputs!$E$26-Inputs!$D$26)),Inputs!$F$26-SQRT((1-N111)*(Inputs!$F$26-Inputs!$D$26)*(Inputs!$F$26-Inputs!$E$26)))</f>
        <v>0.447610979837051</v>
      </c>
      <c r="P111" s="81" t="n">
        <f aca="true">RAND()</f>
        <v>0.662178808494807</v>
      </c>
      <c r="Q111" s="82" t="n">
        <f aca="false">IF(P111&lt;(Inputs!$E$27-Inputs!$D$27)/(Inputs!$F$27-Inputs!$D$27),Inputs!$D$27+SQRT(P111*(Inputs!$F$27-Inputs!$D$27)*(Inputs!$E$27-Inputs!$D$27)),Inputs!$F$27-SQRT((1-P111)*(Inputs!$F$27-Inputs!$D$27)*(Inputs!$F$27-Inputs!$E$27)))</f>
        <v>99.6645359980764</v>
      </c>
      <c r="R111" s="81" t="n">
        <f aca="true">RAND()</f>
        <v>0.54613997499667</v>
      </c>
      <c r="S111" s="82" t="n">
        <f aca="false">IF(R111&lt;(Inputs!$E$29-Inputs!$D$29)/(Inputs!$F$29-Inputs!$D$29),Inputs!$D$29+SQRT(R111*(Inputs!$F$29-Inputs!$D$29)*(Inputs!$E$29-Inputs!$D$29)),Inputs!$F$29-SQRT((1-R111)*(Inputs!$F$29-Inputs!$D$29)*(Inputs!$F$29-Inputs!$E$29)))</f>
        <v>7.31873687142323</v>
      </c>
      <c r="T111" s="68" t="n">
        <f aca="false">Inputs!$E$9*(1+E111)+Inputs!$E$5*C111*(Inputs!$E$11*Inputs!$E$14*(G111*I111/Inputs!$E$16+(1-G111))*K111+Inputs!$E$23*M111)*(1+O111)+Inputs!$E$5*(Q111+S111)</f>
        <v>5876.32305578606</v>
      </c>
    </row>
    <row r="112" customFormat="false" ht="15" hidden="false" customHeight="false" outlineLevel="0" collapsed="false">
      <c r="A112" s="1" t="n">
        <v>108</v>
      </c>
      <c r="B112" s="81" t="n">
        <f aca="true">RAND()</f>
        <v>0.584481904761071</v>
      </c>
      <c r="C112" s="82" t="n">
        <f aca="false">ROUND(IF(B112&lt;(Inputs!$E$8-Inputs!$D$8)/(Inputs!$F$8-Inputs!$D$8),Inputs!$D$8+SQRT(B112*(Inputs!$F$8-Inputs!$D$8)*(Inputs!$E$8-Inputs!$D$8)),Inputs!$F$8-SQRT((1-B112)*(Inputs!$F$8-Inputs!$D$8)*(Inputs!$F$8-Inputs!$E$8))),0)</f>
        <v>25</v>
      </c>
      <c r="D112" s="81" t="n">
        <f aca="true">RAND()</f>
        <v>0.301502738739243</v>
      </c>
      <c r="E112" s="83" t="n">
        <f aca="false">IF(D112&lt;(Inputs!$E$10-Inputs!$D$10)/(Inputs!$F$10-Inputs!$D$10),Inputs!$D$10+SQRT(D112*(Inputs!$F$10-Inputs!$D$10)*(Inputs!$E$10-Inputs!$D$10)),Inputs!$F$10-SQRT((1-D112)*(Inputs!$F$10-Inputs!$D$10)*(Inputs!$F$10-Inputs!$E$10)))</f>
        <v>0.0552418643466879</v>
      </c>
      <c r="F112" s="81" t="n">
        <f aca="true">RAND()</f>
        <v>0.703435354663997</v>
      </c>
      <c r="G112" s="83" t="n">
        <f aca="false">IF(F112&lt;(Inputs!$E$15-Inputs!$D$15)/(Inputs!$F$15-Inputs!$D$15),Inputs!$D$15+SQRT(F112*(Inputs!$F$15-Inputs!$D$15)*(Inputs!$E$15-Inputs!$D$15)),Inputs!$F$15-SQRT((1-F112)*(Inputs!$F$15-Inputs!$D$15)*(Inputs!$F$15-Inputs!$E$15)))</f>
        <v>0.722985112434543</v>
      </c>
      <c r="H112" s="81" t="n">
        <f aca="true">RAND()</f>
        <v>0.866344137728697</v>
      </c>
      <c r="I112" s="82" t="n">
        <f aca="false">ROUND(IF(H112&lt;(Inputs!$E$17-Inputs!$D$17)/(Inputs!$F$17-Inputs!$D$17),Inputs!$D$17+SQRT(H112*(Inputs!$F$17-Inputs!$D$17)*(Inputs!$E$17-Inputs!$D$17)),Inputs!$F$17-SQRT((1-H112)*(Inputs!$F$17-Inputs!$D$17)*(Inputs!$F$17-Inputs!$E$17))),0)</f>
        <v>111</v>
      </c>
      <c r="J112" s="81" t="n">
        <f aca="true">RAND()</f>
        <v>0.652560104805663</v>
      </c>
      <c r="K112" s="83" t="n">
        <f aca="false">IF(J112&lt;(Inputs!$E$18-Inputs!$D$18)/(Inputs!$F$18-Inputs!$D$18),Inputs!$D$18+SQRT(J112*(Inputs!$F$18-Inputs!$D$18)*(Inputs!$E$18-Inputs!$D$18)),Inputs!$F$18-SQRT((1-J112)*(Inputs!$F$18-Inputs!$D$18)*(Inputs!$F$18-Inputs!$E$18)))</f>
        <v>1.07564120088305</v>
      </c>
      <c r="L112" s="81" t="n">
        <f aca="true">RAND()</f>
        <v>0.570846803047396</v>
      </c>
      <c r="M112" s="83" t="n">
        <f aca="false">IF(L112&lt;(Inputs!$E$24-Inputs!$D$24)/(Inputs!$F$24-Inputs!$D$24),Inputs!$D$24+SQRT(L112*(Inputs!$F$24-Inputs!$D$24)*(Inputs!$E$24-Inputs!$D$24)),Inputs!$F$24-SQRT((1-L112)*(Inputs!$F$24-Inputs!$D$24)*(Inputs!$F$24-Inputs!$E$24)))</f>
        <v>0.879068905731113</v>
      </c>
      <c r="N112" s="81" t="n">
        <f aca="true">RAND()</f>
        <v>0.721120357142085</v>
      </c>
      <c r="O112" s="83" t="n">
        <f aca="false">IF(N112&lt;(Inputs!$E$26-Inputs!$D$26)/(Inputs!$F$26-Inputs!$D$26),Inputs!$D$26+SQRT(N112*(Inputs!$F$26-Inputs!$D$26)*(Inputs!$E$26-Inputs!$D$26)),Inputs!$F$26-SQRT((1-N112)*(Inputs!$F$26-Inputs!$D$26)*(Inputs!$F$26-Inputs!$E$26)))</f>
        <v>0.649695910626834</v>
      </c>
      <c r="P112" s="81" t="n">
        <f aca="true">RAND()</f>
        <v>0.503092199953816</v>
      </c>
      <c r="Q112" s="82" t="n">
        <f aca="false">IF(P112&lt;(Inputs!$E$27-Inputs!$D$27)/(Inputs!$F$27-Inputs!$D$27),Inputs!$D$27+SQRT(P112*(Inputs!$F$27-Inputs!$D$27)*(Inputs!$E$27-Inputs!$D$27)),Inputs!$F$27-SQRT((1-P112)*(Inputs!$F$27-Inputs!$D$27)*(Inputs!$F$27-Inputs!$E$27)))</f>
        <v>88.9524079070568</v>
      </c>
      <c r="R112" s="81" t="n">
        <f aca="true">RAND()</f>
        <v>0.182758235570203</v>
      </c>
      <c r="S112" s="82" t="n">
        <f aca="false">IF(R112&lt;(Inputs!$E$29-Inputs!$D$29)/(Inputs!$F$29-Inputs!$D$29),Inputs!$D$29+SQRT(R112*(Inputs!$F$29-Inputs!$D$29)*(Inputs!$E$29-Inputs!$D$29)),Inputs!$F$29-SQRT((1-R112)*(Inputs!$F$29-Inputs!$D$29)*(Inputs!$F$29-Inputs!$E$29)))</f>
        <v>4.66975114706182</v>
      </c>
      <c r="T112" s="68" t="n">
        <f aca="false">Inputs!$E$9*(1+E112)+Inputs!$E$5*C112*(Inputs!$E$11*Inputs!$E$14*(G112*I112/Inputs!$E$16+(1-G112))*K112+Inputs!$E$23*M112)*(1+O112)+Inputs!$E$5*(Q112+S112)</f>
        <v>6510.60209086127</v>
      </c>
    </row>
    <row r="113" customFormat="false" ht="15" hidden="false" customHeight="false" outlineLevel="0" collapsed="false">
      <c r="A113" s="1" t="n">
        <v>109</v>
      </c>
      <c r="B113" s="81" t="n">
        <f aca="true">RAND()</f>
        <v>0.569005590071073</v>
      </c>
      <c r="C113" s="82" t="n">
        <f aca="false">ROUND(IF(B113&lt;(Inputs!$E$8-Inputs!$D$8)/(Inputs!$F$8-Inputs!$D$8),Inputs!$D$8+SQRT(B113*(Inputs!$F$8-Inputs!$D$8)*(Inputs!$E$8-Inputs!$D$8)),Inputs!$F$8-SQRT((1-B113)*(Inputs!$F$8-Inputs!$D$8)*(Inputs!$F$8-Inputs!$E$8))),0)</f>
        <v>25</v>
      </c>
      <c r="D113" s="81" t="n">
        <f aca="true">RAND()</f>
        <v>0.764355943936503</v>
      </c>
      <c r="E113" s="83" t="n">
        <f aca="false">IF(D113&lt;(Inputs!$E$10-Inputs!$D$10)/(Inputs!$F$10-Inputs!$D$10),Inputs!$D$10+SQRT(D113*(Inputs!$F$10-Inputs!$D$10)*(Inputs!$E$10-Inputs!$D$10)),Inputs!$F$10-SQRT((1-D113)*(Inputs!$F$10-Inputs!$D$10)*(Inputs!$F$10-Inputs!$E$10)))</f>
        <v>0.115920741666539</v>
      </c>
      <c r="F113" s="81" t="n">
        <f aca="true">RAND()</f>
        <v>0.586294792247034</v>
      </c>
      <c r="G113" s="83" t="n">
        <f aca="false">IF(F113&lt;(Inputs!$E$15-Inputs!$D$15)/(Inputs!$F$15-Inputs!$D$15),Inputs!$D$15+SQRT(F113*(Inputs!$F$15-Inputs!$D$15)*(Inputs!$E$15-Inputs!$D$15)),Inputs!$F$15-SQRT((1-F113)*(Inputs!$F$15-Inputs!$D$15)*(Inputs!$F$15-Inputs!$E$15)))</f>
        <v>0.709037897149091</v>
      </c>
      <c r="H113" s="81" t="n">
        <f aca="true">RAND()</f>
        <v>0.777971393622029</v>
      </c>
      <c r="I113" s="82" t="n">
        <f aca="false">ROUND(IF(H113&lt;(Inputs!$E$17-Inputs!$D$17)/(Inputs!$F$17-Inputs!$D$17),Inputs!$D$17+SQRT(H113*(Inputs!$F$17-Inputs!$D$17)*(Inputs!$E$17-Inputs!$D$17)),Inputs!$F$17-SQRT((1-H113)*(Inputs!$F$17-Inputs!$D$17)*(Inputs!$F$17-Inputs!$E$17))),0)</f>
        <v>109</v>
      </c>
      <c r="J113" s="81" t="n">
        <f aca="true">RAND()</f>
        <v>0.733267841248454</v>
      </c>
      <c r="K113" s="83" t="n">
        <f aca="false">IF(J113&lt;(Inputs!$E$18-Inputs!$D$18)/(Inputs!$F$18-Inputs!$D$18),Inputs!$D$18+SQRT(J113*(Inputs!$F$18-Inputs!$D$18)*(Inputs!$E$18-Inputs!$D$18)),Inputs!$F$18-SQRT((1-J113)*(Inputs!$F$18-Inputs!$D$18)*(Inputs!$F$18-Inputs!$E$18)))</f>
        <v>1.09722872033409</v>
      </c>
      <c r="L113" s="81" t="n">
        <f aca="true">RAND()</f>
        <v>0.317806052331951</v>
      </c>
      <c r="M113" s="83" t="n">
        <f aca="false">IF(L113&lt;(Inputs!$E$24-Inputs!$D$24)/(Inputs!$F$24-Inputs!$D$24),Inputs!$D$24+SQRT(L113*(Inputs!$F$24-Inputs!$D$24)*(Inputs!$E$24-Inputs!$D$24)),Inputs!$F$24-SQRT((1-L113)*(Inputs!$F$24-Inputs!$D$24)*(Inputs!$F$24-Inputs!$E$24)))</f>
        <v>0.795286267514729</v>
      </c>
      <c r="N113" s="81" t="n">
        <f aca="true">RAND()</f>
        <v>0.524235638748689</v>
      </c>
      <c r="O113" s="83" t="n">
        <f aca="false">IF(N113&lt;(Inputs!$E$26-Inputs!$D$26)/(Inputs!$F$26-Inputs!$D$26),Inputs!$D$26+SQRT(N113*(Inputs!$F$26-Inputs!$D$26)*(Inputs!$E$26-Inputs!$D$26)),Inputs!$F$26-SQRT((1-N113)*(Inputs!$F$26-Inputs!$D$26)*(Inputs!$F$26-Inputs!$E$26)))</f>
        <v>0.595352010807074</v>
      </c>
      <c r="P113" s="81" t="n">
        <f aca="true">RAND()</f>
        <v>0.290191858554988</v>
      </c>
      <c r="Q113" s="82" t="n">
        <f aca="false">IF(P113&lt;(Inputs!$E$27-Inputs!$D$27)/(Inputs!$F$27-Inputs!$D$27),Inputs!$D$27+SQRT(P113*(Inputs!$F$27-Inputs!$D$27)*(Inputs!$E$27-Inputs!$D$27)),Inputs!$F$27-SQRT((1-P113)*(Inputs!$F$27-Inputs!$D$27)*(Inputs!$F$27-Inputs!$E$27)))</f>
        <v>77.0372625182033</v>
      </c>
      <c r="R113" s="81" t="n">
        <f aca="true">RAND()</f>
        <v>0.602092442507454</v>
      </c>
      <c r="S113" s="82" t="n">
        <f aca="false">IF(R113&lt;(Inputs!$E$29-Inputs!$D$29)/(Inputs!$F$29-Inputs!$D$29),Inputs!$D$29+SQRT(R113*(Inputs!$F$29-Inputs!$D$29)*(Inputs!$E$29-Inputs!$D$29)),Inputs!$F$29-SQRT((1-R113)*(Inputs!$F$29-Inputs!$D$29)*(Inputs!$F$29-Inputs!$E$29)))</f>
        <v>7.80778320168037</v>
      </c>
      <c r="T113" s="68" t="n">
        <f aca="false">Inputs!$E$9*(1+E113)+Inputs!$E$5*C113*(Inputs!$E$11*Inputs!$E$14*(G113*I113/Inputs!$E$16+(1-G113))*K113+Inputs!$E$23*M113)*(1+O113)+Inputs!$E$5*(Q113+S113)</f>
        <v>6398.60300720759</v>
      </c>
    </row>
    <row r="114" customFormat="false" ht="15" hidden="false" customHeight="false" outlineLevel="0" collapsed="false">
      <c r="A114" s="1" t="n">
        <v>110</v>
      </c>
      <c r="B114" s="81" t="n">
        <f aca="true">RAND()</f>
        <v>0.936556102820852</v>
      </c>
      <c r="C114" s="82" t="n">
        <f aca="false">ROUND(IF(B114&lt;(Inputs!$E$8-Inputs!$D$8)/(Inputs!$F$8-Inputs!$D$8),Inputs!$D$8+SQRT(B114*(Inputs!$F$8-Inputs!$D$8)*(Inputs!$E$8-Inputs!$D$8)),Inputs!$F$8-SQRT((1-B114)*(Inputs!$F$8-Inputs!$D$8)*(Inputs!$F$8-Inputs!$E$8))),0)</f>
        <v>28</v>
      </c>
      <c r="D114" s="81" t="n">
        <f aca="true">RAND()</f>
        <v>0.820769322831722</v>
      </c>
      <c r="E114" s="83" t="n">
        <f aca="false">IF(D114&lt;(Inputs!$E$10-Inputs!$D$10)/(Inputs!$F$10-Inputs!$D$10),Inputs!$D$10+SQRT(D114*(Inputs!$F$10-Inputs!$D$10)*(Inputs!$E$10-Inputs!$D$10)),Inputs!$F$10-SQRT((1-D114)*(Inputs!$F$10-Inputs!$D$10)*(Inputs!$F$10-Inputs!$E$10)))</f>
        <v>0.12667251323652</v>
      </c>
      <c r="F114" s="81" t="n">
        <f aca="true">RAND()</f>
        <v>0.797160174800118</v>
      </c>
      <c r="G114" s="83" t="n">
        <f aca="false">IF(F114&lt;(Inputs!$E$15-Inputs!$D$15)/(Inputs!$F$15-Inputs!$D$15),Inputs!$D$15+SQRT(F114*(Inputs!$F$15-Inputs!$D$15)*(Inputs!$E$15-Inputs!$D$15)),Inputs!$F$15-SQRT((1-F114)*(Inputs!$F$15-Inputs!$D$15)*(Inputs!$F$15-Inputs!$E$15)))</f>
        <v>0.736307013698543</v>
      </c>
      <c r="H114" s="81" t="n">
        <f aca="true">RAND()</f>
        <v>0.0431423565879397</v>
      </c>
      <c r="I114" s="82" t="n">
        <f aca="false">ROUND(IF(H114&lt;(Inputs!$E$17-Inputs!$D$17)/(Inputs!$F$17-Inputs!$D$17),Inputs!$D$17+SQRT(H114*(Inputs!$F$17-Inputs!$D$17)*(Inputs!$E$17-Inputs!$D$17)),Inputs!$F$17-SQRT((1-H114)*(Inputs!$F$17-Inputs!$D$17)*(Inputs!$F$17-Inputs!$E$17))),0)</f>
        <v>102</v>
      </c>
      <c r="J114" s="81" t="n">
        <f aca="true">RAND()</f>
        <v>0.956681367312256</v>
      </c>
      <c r="K114" s="83" t="n">
        <f aca="false">IF(J114&lt;(Inputs!$E$18-Inputs!$D$18)/(Inputs!$F$18-Inputs!$D$18),Inputs!$D$18+SQRT(J114*(Inputs!$F$18-Inputs!$D$18)*(Inputs!$E$18-Inputs!$D$18)),Inputs!$F$18-SQRT((1-J114)*(Inputs!$F$18-Inputs!$D$18)*(Inputs!$F$18-Inputs!$E$18)))</f>
        <v>1.18843393499518</v>
      </c>
      <c r="L114" s="81" t="n">
        <f aca="true">RAND()</f>
        <v>0.787149990799092</v>
      </c>
      <c r="M114" s="83" t="n">
        <f aca="false">IF(L114&lt;(Inputs!$E$24-Inputs!$D$24)/(Inputs!$F$24-Inputs!$D$24),Inputs!$D$24+SQRT(L114*(Inputs!$F$24-Inputs!$D$24)*(Inputs!$E$24-Inputs!$D$24)),Inputs!$F$24-SQRT((1-L114)*(Inputs!$F$24-Inputs!$D$24)*(Inputs!$F$24-Inputs!$E$24)))</f>
        <v>0.973982296692896</v>
      </c>
      <c r="N114" s="81" t="n">
        <f aca="true">RAND()</f>
        <v>0.307111294224028</v>
      </c>
      <c r="O114" s="83" t="n">
        <f aca="false">IF(N114&lt;(Inputs!$E$26-Inputs!$D$26)/(Inputs!$F$26-Inputs!$D$26),Inputs!$D$26+SQRT(N114*(Inputs!$F$26-Inputs!$D$26)*(Inputs!$E$26-Inputs!$D$26)),Inputs!$F$26-SQRT((1-N114)*(Inputs!$F$26-Inputs!$D$26)*(Inputs!$F$26-Inputs!$E$26)))</f>
        <v>0.526060432979498</v>
      </c>
      <c r="P114" s="81" t="n">
        <f aca="true">RAND()</f>
        <v>0.712869149948269</v>
      </c>
      <c r="Q114" s="82" t="n">
        <f aca="false">IF(P114&lt;(Inputs!$E$27-Inputs!$D$27)/(Inputs!$F$27-Inputs!$D$27),Inputs!$D$27+SQRT(P114*(Inputs!$F$27-Inputs!$D$27)*(Inputs!$E$27-Inputs!$D$27)),Inputs!$F$27-SQRT((1-P114)*(Inputs!$F$27-Inputs!$D$27)*(Inputs!$F$27-Inputs!$E$27)))</f>
        <v>103.594382070831</v>
      </c>
      <c r="R114" s="81" t="n">
        <f aca="true">RAND()</f>
        <v>0.901856708378192</v>
      </c>
      <c r="S114" s="82" t="n">
        <f aca="false">IF(R114&lt;(Inputs!$E$29-Inputs!$D$29)/(Inputs!$F$29-Inputs!$D$29),Inputs!$D$29+SQRT(R114*(Inputs!$F$29-Inputs!$D$29)*(Inputs!$E$29-Inputs!$D$29)),Inputs!$F$29-SQRT((1-R114)*(Inputs!$F$29-Inputs!$D$29)*(Inputs!$F$29-Inputs!$E$29)))</f>
        <v>11.4280778408769</v>
      </c>
      <c r="T114" s="68" t="n">
        <f aca="false">Inputs!$E$9*(1+E114)+Inputs!$E$5*C114*(Inputs!$E$11*Inputs!$E$14*(G114*I114/Inputs!$E$16+(1-G114))*K114+Inputs!$E$23*M114)*(1+O114)+Inputs!$E$5*(Q114+S114)</f>
        <v>7156.42947183124</v>
      </c>
    </row>
    <row r="115" customFormat="false" ht="15" hidden="false" customHeight="false" outlineLevel="0" collapsed="false">
      <c r="A115" s="1" t="n">
        <v>111</v>
      </c>
      <c r="B115" s="81" t="n">
        <f aca="true">RAND()</f>
        <v>0.0831843781245544</v>
      </c>
      <c r="C115" s="82" t="n">
        <f aca="false">ROUND(IF(B115&lt;(Inputs!$E$8-Inputs!$D$8)/(Inputs!$F$8-Inputs!$D$8),Inputs!$D$8+SQRT(B115*(Inputs!$F$8-Inputs!$D$8)*(Inputs!$E$8-Inputs!$D$8)),Inputs!$F$8-SQRT((1-B115)*(Inputs!$F$8-Inputs!$D$8)*(Inputs!$F$8-Inputs!$E$8))),0)</f>
        <v>22</v>
      </c>
      <c r="D115" s="81" t="n">
        <f aca="true">RAND()</f>
        <v>0.789256765787596</v>
      </c>
      <c r="E115" s="83" t="n">
        <f aca="false">IF(D115&lt;(Inputs!$E$10-Inputs!$D$10)/(Inputs!$F$10-Inputs!$D$10),Inputs!$D$10+SQRT(D115*(Inputs!$F$10-Inputs!$D$10)*(Inputs!$E$10-Inputs!$D$10)),Inputs!$F$10-SQRT((1-D115)*(Inputs!$F$10-Inputs!$D$10)*(Inputs!$F$10-Inputs!$E$10)))</f>
        <v>0.120487126662583</v>
      </c>
      <c r="F115" s="81" t="n">
        <f aca="true">RAND()</f>
        <v>0.352104528105396</v>
      </c>
      <c r="G115" s="83" t="n">
        <f aca="false">IF(F115&lt;(Inputs!$E$15-Inputs!$D$15)/(Inputs!$F$15-Inputs!$D$15),Inputs!$D$15+SQRT(F115*(Inputs!$F$15-Inputs!$D$15)*(Inputs!$E$15-Inputs!$D$15)),Inputs!$F$15-SQRT((1-F115)*(Inputs!$F$15-Inputs!$D$15)*(Inputs!$F$15-Inputs!$E$15)))</f>
        <v>0.683917164883639</v>
      </c>
      <c r="H115" s="81" t="n">
        <f aca="true">RAND()</f>
        <v>0.489987425030657</v>
      </c>
      <c r="I115" s="82" t="n">
        <f aca="false">ROUND(IF(H115&lt;(Inputs!$E$17-Inputs!$D$17)/(Inputs!$F$17-Inputs!$D$17),Inputs!$D$17+SQRT(H115*(Inputs!$F$17-Inputs!$D$17)*(Inputs!$E$17-Inputs!$D$17)),Inputs!$F$17-SQRT((1-H115)*(Inputs!$F$17-Inputs!$D$17)*(Inputs!$F$17-Inputs!$E$17))),0)</f>
        <v>106</v>
      </c>
      <c r="J115" s="81" t="n">
        <f aca="true">RAND()</f>
        <v>0.496642918876339</v>
      </c>
      <c r="K115" s="83" t="n">
        <f aca="false">IF(J115&lt;(Inputs!$E$18-Inputs!$D$18)/(Inputs!$F$18-Inputs!$D$18),Inputs!$D$18+SQRT(J115*(Inputs!$F$18-Inputs!$D$18)*(Inputs!$E$18-Inputs!$D$18)),Inputs!$F$18-SQRT((1-J115)*(Inputs!$F$18-Inputs!$D$18)*(Inputs!$F$18-Inputs!$E$18)))</f>
        <v>1.04013398417485</v>
      </c>
      <c r="L115" s="81" t="n">
        <f aca="true">RAND()</f>
        <v>0.983797466965387</v>
      </c>
      <c r="M115" s="83" t="n">
        <f aca="false">IF(L115&lt;(Inputs!$E$24-Inputs!$D$24)/(Inputs!$F$24-Inputs!$D$24),Inputs!$D$24+SQRT(L115*(Inputs!$F$24-Inputs!$D$24)*(Inputs!$E$24-Inputs!$D$24)),Inputs!$F$24-SQRT((1-L115)*(Inputs!$F$24-Inputs!$D$24)*(Inputs!$F$24-Inputs!$E$24)))</f>
        <v>1.13764129629068</v>
      </c>
      <c r="N115" s="81" t="n">
        <f aca="true">RAND()</f>
        <v>0.989485593497961</v>
      </c>
      <c r="O115" s="83" t="n">
        <f aca="false">IF(N115&lt;(Inputs!$E$26-Inputs!$D$26)/(Inputs!$F$26-Inputs!$D$26),Inputs!$D$26+SQRT(N115*(Inputs!$F$26-Inputs!$D$26)*(Inputs!$E$26-Inputs!$D$26)),Inputs!$F$26-SQRT((1-N115)*(Inputs!$F$26-Inputs!$D$26)*(Inputs!$F$26-Inputs!$E$26)))</f>
        <v>0.786931914536641</v>
      </c>
      <c r="P115" s="81" t="n">
        <f aca="true">RAND()</f>
        <v>0.808026316500358</v>
      </c>
      <c r="Q115" s="82" t="n">
        <f aca="false">IF(P115&lt;(Inputs!$E$27-Inputs!$D$27)/(Inputs!$F$27-Inputs!$D$27),Inputs!$D$27+SQRT(P115*(Inputs!$F$27-Inputs!$D$27)*(Inputs!$E$27-Inputs!$D$27)),Inputs!$F$27-SQRT((1-P115)*(Inputs!$F$27-Inputs!$D$27)*(Inputs!$F$27-Inputs!$E$27)))</f>
        <v>112.055268794636</v>
      </c>
      <c r="R115" s="81" t="n">
        <f aca="true">RAND()</f>
        <v>0.215895743776761</v>
      </c>
      <c r="S115" s="82" t="n">
        <f aca="false">IF(R115&lt;(Inputs!$E$29-Inputs!$D$29)/(Inputs!$F$29-Inputs!$D$29),Inputs!$D$29+SQRT(R115*(Inputs!$F$29-Inputs!$D$29)*(Inputs!$E$29-Inputs!$D$29)),Inputs!$F$29-SQRT((1-R115)*(Inputs!$F$29-Inputs!$D$29)*(Inputs!$F$29-Inputs!$E$29)))</f>
        <v>4.90171225439286</v>
      </c>
      <c r="T115" s="68" t="n">
        <f aca="false">Inputs!$E$9*(1+E115)+Inputs!$E$5*C115*(Inputs!$E$11*Inputs!$E$14*(G115*I115/Inputs!$E$16+(1-G115))*K115+Inputs!$E$23*M115)*(1+O115)+Inputs!$E$5*(Q115+S115)</f>
        <v>6873.69085524883</v>
      </c>
    </row>
    <row r="116" customFormat="false" ht="15" hidden="false" customHeight="false" outlineLevel="0" collapsed="false">
      <c r="A116" s="1" t="n">
        <v>112</v>
      </c>
      <c r="B116" s="81" t="n">
        <f aca="true">RAND()</f>
        <v>0.528716904824111</v>
      </c>
      <c r="C116" s="82" t="n">
        <f aca="false">ROUND(IF(B116&lt;(Inputs!$E$8-Inputs!$D$8)/(Inputs!$F$8-Inputs!$D$8),Inputs!$D$8+SQRT(B116*(Inputs!$F$8-Inputs!$D$8)*(Inputs!$E$8-Inputs!$D$8)),Inputs!$F$8-SQRT((1-B116)*(Inputs!$F$8-Inputs!$D$8)*(Inputs!$F$8-Inputs!$E$8))),0)</f>
        <v>25</v>
      </c>
      <c r="D116" s="81" t="n">
        <f aca="true">RAND()</f>
        <v>0.879900613561928</v>
      </c>
      <c r="E116" s="83" t="n">
        <f aca="false">IF(D116&lt;(Inputs!$E$10-Inputs!$D$10)/(Inputs!$F$10-Inputs!$D$10),Inputs!$D$10+SQRT(D116*(Inputs!$F$10-Inputs!$D$10)*(Inputs!$E$10-Inputs!$D$10)),Inputs!$F$10-SQRT((1-D116)*(Inputs!$F$10-Inputs!$D$10)*(Inputs!$F$10-Inputs!$E$10)))</f>
        <v>0.139975158532969</v>
      </c>
      <c r="F116" s="81" t="n">
        <f aca="true">RAND()</f>
        <v>0.867806402480232</v>
      </c>
      <c r="G116" s="83" t="n">
        <f aca="false">IF(F116&lt;(Inputs!$E$15-Inputs!$D$15)/(Inputs!$F$15-Inputs!$D$15),Inputs!$D$15+SQRT(F116*(Inputs!$F$15-Inputs!$D$15)*(Inputs!$E$15-Inputs!$D$15)),Inputs!$F$15-SQRT((1-F116)*(Inputs!$F$15-Inputs!$D$15)*(Inputs!$F$15-Inputs!$E$15)))</f>
        <v>0.748581404624442</v>
      </c>
      <c r="H116" s="81" t="n">
        <f aca="true">RAND()</f>
        <v>0.99402711594748</v>
      </c>
      <c r="I116" s="82" t="n">
        <f aca="false">ROUND(IF(H116&lt;(Inputs!$E$17-Inputs!$D$17)/(Inputs!$F$17-Inputs!$D$17),Inputs!$D$17+SQRT(H116*(Inputs!$F$17-Inputs!$D$17)*(Inputs!$E$17-Inputs!$D$17)),Inputs!$F$17-SQRT((1-H116)*(Inputs!$F$17-Inputs!$D$17)*(Inputs!$F$17-Inputs!$E$17))),0)</f>
        <v>114</v>
      </c>
      <c r="J116" s="81" t="n">
        <f aca="true">RAND()</f>
        <v>0.938809728845926</v>
      </c>
      <c r="K116" s="83" t="n">
        <f aca="false">IF(J116&lt;(Inputs!$E$18-Inputs!$D$18)/(Inputs!$F$18-Inputs!$D$18),Inputs!$D$18+SQRT(J116*(Inputs!$F$18-Inputs!$D$18)*(Inputs!$E$18-Inputs!$D$18)),Inputs!$F$18-SQRT((1-J116)*(Inputs!$F$18-Inputs!$D$18)*(Inputs!$F$18-Inputs!$E$18)))</f>
        <v>1.17682795119732</v>
      </c>
      <c r="L116" s="81" t="n">
        <f aca="true">RAND()</f>
        <v>0.157238454546935</v>
      </c>
      <c r="M116" s="83" t="n">
        <f aca="false">IF(L116&lt;(Inputs!$E$24-Inputs!$D$24)/(Inputs!$F$24-Inputs!$D$24),Inputs!$D$24+SQRT(L116*(Inputs!$F$24-Inputs!$D$24)*(Inputs!$E$24-Inputs!$D$24)),Inputs!$F$24-SQRT((1-L116)*(Inputs!$F$24-Inputs!$D$24)*(Inputs!$F$24-Inputs!$E$24)))</f>
        <v>0.737363075626721</v>
      </c>
      <c r="N116" s="81" t="n">
        <f aca="true">RAND()</f>
        <v>0.201861705540523</v>
      </c>
      <c r="O116" s="83" t="n">
        <f aca="false">IF(N116&lt;(Inputs!$E$26-Inputs!$D$26)/(Inputs!$F$26-Inputs!$D$26),Inputs!$D$26+SQRT(N116*(Inputs!$F$26-Inputs!$D$26)*(Inputs!$E$26-Inputs!$D$26)),Inputs!$F$26-SQRT((1-N116)*(Inputs!$F$26-Inputs!$D$26)*(Inputs!$F$26-Inputs!$E$26)))</f>
        <v>0.483275169627375</v>
      </c>
      <c r="P116" s="81" t="n">
        <f aca="true">RAND()</f>
        <v>0.197651165925806</v>
      </c>
      <c r="Q116" s="82" t="n">
        <f aca="false">IF(P116&lt;(Inputs!$E$27-Inputs!$D$27)/(Inputs!$F$27-Inputs!$D$27),Inputs!$D$27+SQRT(P116*(Inputs!$F$27-Inputs!$D$27)*(Inputs!$E$27-Inputs!$D$27)),Inputs!$F$27-SQRT((1-P116)*(Inputs!$F$27-Inputs!$D$27)*(Inputs!$F$27-Inputs!$E$27)))</f>
        <v>72.2289881644333</v>
      </c>
      <c r="R116" s="81" t="n">
        <f aca="true">RAND()</f>
        <v>0.819266205846186</v>
      </c>
      <c r="S116" s="82" t="n">
        <f aca="false">IF(R116&lt;(Inputs!$E$29-Inputs!$D$29)/(Inputs!$F$29-Inputs!$D$29),Inputs!$D$29+SQRT(R116*(Inputs!$F$29-Inputs!$D$29)*(Inputs!$E$29-Inputs!$D$29)),Inputs!$F$29-SQRT((1-R116)*(Inputs!$F$29-Inputs!$D$29)*(Inputs!$F$29-Inputs!$E$29)))</f>
        <v>10.1527953168867</v>
      </c>
      <c r="T116" s="68" t="n">
        <f aca="false">Inputs!$E$9*(1+E116)+Inputs!$E$5*C116*(Inputs!$E$11*Inputs!$E$14*(G116*I116/Inputs!$E$16+(1-G116))*K116+Inputs!$E$23*M116)*(1+O116)+Inputs!$E$5*(Q116+S116)</f>
        <v>6289.89180377706</v>
      </c>
    </row>
    <row r="117" customFormat="false" ht="15" hidden="false" customHeight="false" outlineLevel="0" collapsed="false">
      <c r="A117" s="1" t="n">
        <v>113</v>
      </c>
      <c r="B117" s="81" t="n">
        <f aca="true">RAND()</f>
        <v>0.261050002859452</v>
      </c>
      <c r="C117" s="82" t="n">
        <f aca="false">ROUND(IF(B117&lt;(Inputs!$E$8-Inputs!$D$8)/(Inputs!$F$8-Inputs!$D$8),Inputs!$D$8+SQRT(B117*(Inputs!$F$8-Inputs!$D$8)*(Inputs!$E$8-Inputs!$D$8)),Inputs!$F$8-SQRT((1-B117)*(Inputs!$F$8-Inputs!$D$8)*(Inputs!$F$8-Inputs!$E$8))),0)</f>
        <v>24</v>
      </c>
      <c r="D117" s="81" t="n">
        <f aca="true">RAND()</f>
        <v>0.169173548640702</v>
      </c>
      <c r="E117" s="83" t="n">
        <f aca="false">IF(D117&lt;(Inputs!$E$10-Inputs!$D$10)/(Inputs!$F$10-Inputs!$D$10),Inputs!$D$10+SQRT(D117*(Inputs!$F$10-Inputs!$D$10)*(Inputs!$E$10-Inputs!$D$10)),Inputs!$F$10-SQRT((1-D117)*(Inputs!$F$10-Inputs!$D$10)*(Inputs!$F$10-Inputs!$E$10)))</f>
        <v>0.0411307122039847</v>
      </c>
      <c r="F117" s="81" t="n">
        <f aca="true">RAND()</f>
        <v>0.643063979443502</v>
      </c>
      <c r="G117" s="83" t="n">
        <f aca="false">IF(F117&lt;(Inputs!$E$15-Inputs!$D$15)/(Inputs!$F$15-Inputs!$D$15),Inputs!$D$15+SQRT(F117*(Inputs!$F$15-Inputs!$D$15)*(Inputs!$E$15-Inputs!$D$15)),Inputs!$F$15-SQRT((1-F117)*(Inputs!$F$15-Inputs!$D$15)*(Inputs!$F$15-Inputs!$E$15)))</f>
        <v>0.715509051306486</v>
      </c>
      <c r="H117" s="81" t="n">
        <f aca="true">RAND()</f>
        <v>0.386676909465406</v>
      </c>
      <c r="I117" s="82" t="n">
        <f aca="false">ROUND(IF(H117&lt;(Inputs!$E$17-Inputs!$D$17)/(Inputs!$F$17-Inputs!$D$17),Inputs!$D$17+SQRT(H117*(Inputs!$F$17-Inputs!$D$17)*(Inputs!$E$17-Inputs!$D$17)),Inputs!$F$17-SQRT((1-H117)*(Inputs!$F$17-Inputs!$D$17)*(Inputs!$F$17-Inputs!$E$17))),0)</f>
        <v>105</v>
      </c>
      <c r="J117" s="81" t="n">
        <f aca="true">RAND()</f>
        <v>0.594564706725154</v>
      </c>
      <c r="K117" s="83" t="n">
        <f aca="false">IF(J117&lt;(Inputs!$E$18-Inputs!$D$18)/(Inputs!$F$18-Inputs!$D$18),Inputs!$D$18+SQRT(J117*(Inputs!$F$18-Inputs!$D$18)*(Inputs!$E$18-Inputs!$D$18)),Inputs!$F$18-SQRT((1-J117)*(Inputs!$F$18-Inputs!$D$18)*(Inputs!$F$18-Inputs!$E$18)))</f>
        <v>1.06165035661953</v>
      </c>
      <c r="L117" s="81" t="n">
        <f aca="true">RAND()</f>
        <v>0.620464486433398</v>
      </c>
      <c r="M117" s="83" t="n">
        <f aca="false">IF(L117&lt;(Inputs!$E$24-Inputs!$D$24)/(Inputs!$F$24-Inputs!$D$24),Inputs!$D$24+SQRT(L117*(Inputs!$F$24-Inputs!$D$24)*(Inputs!$E$24-Inputs!$D$24)),Inputs!$F$24-SQRT((1-L117)*(Inputs!$F$24-Inputs!$D$24)*(Inputs!$F$24-Inputs!$E$24)))</f>
        <v>0.898191247217738</v>
      </c>
      <c r="N117" s="81" t="n">
        <f aca="true">RAND()</f>
        <v>0.285068761482131</v>
      </c>
      <c r="O117" s="83" t="n">
        <f aca="false">IF(N117&lt;(Inputs!$E$26-Inputs!$D$26)/(Inputs!$F$26-Inputs!$D$26),Inputs!$D$26+SQRT(N117*(Inputs!$F$26-Inputs!$D$26)*(Inputs!$E$26-Inputs!$D$26)),Inputs!$F$26-SQRT((1-N117)*(Inputs!$F$26-Inputs!$D$26)*(Inputs!$F$26-Inputs!$E$26)))</f>
        <v>0.517796790404787</v>
      </c>
      <c r="P117" s="81" t="n">
        <f aca="true">RAND()</f>
        <v>0.600227320290431</v>
      </c>
      <c r="Q117" s="82" t="n">
        <f aca="false">IF(P117&lt;(Inputs!$E$27-Inputs!$D$27)/(Inputs!$F$27-Inputs!$D$27),Inputs!$D$27+SQRT(P117*(Inputs!$F$27-Inputs!$D$27)*(Inputs!$E$27-Inputs!$D$27)),Inputs!$F$27-SQRT((1-P117)*(Inputs!$F$27-Inputs!$D$27)*(Inputs!$F$27-Inputs!$E$27)))</f>
        <v>95.243310017663</v>
      </c>
      <c r="R117" s="81" t="n">
        <f aca="true">RAND()</f>
        <v>0.722781095218053</v>
      </c>
      <c r="S117" s="82" t="n">
        <f aca="false">IF(R117&lt;(Inputs!$E$29-Inputs!$D$29)/(Inputs!$F$29-Inputs!$D$29),Inputs!$D$29+SQRT(R117*(Inputs!$F$29-Inputs!$D$29)*(Inputs!$E$29-Inputs!$D$29)),Inputs!$F$29-SQRT((1-R117)*(Inputs!$F$29-Inputs!$D$29)*(Inputs!$F$29-Inputs!$E$29)))</f>
        <v>8.99679605363494</v>
      </c>
      <c r="T117" s="68" t="n">
        <f aca="false">Inputs!$E$9*(1+E117)+Inputs!$E$5*C117*(Inputs!$E$11*Inputs!$E$14*(G117*I117/Inputs!$E$16+(1-G117))*K117+Inputs!$E$23*M117)*(1+O117)+Inputs!$E$5*(Q117+S117)</f>
        <v>6034.93339194125</v>
      </c>
    </row>
    <row r="118" customFormat="false" ht="15" hidden="false" customHeight="false" outlineLevel="0" collapsed="false">
      <c r="A118" s="1" t="n">
        <v>114</v>
      </c>
      <c r="B118" s="81" t="n">
        <f aca="true">RAND()</f>
        <v>0.0725996200555753</v>
      </c>
      <c r="C118" s="82" t="n">
        <f aca="false">ROUND(IF(B118&lt;(Inputs!$E$8-Inputs!$D$8)/(Inputs!$F$8-Inputs!$D$8),Inputs!$D$8+SQRT(B118*(Inputs!$F$8-Inputs!$D$8)*(Inputs!$E$8-Inputs!$D$8)),Inputs!$F$8-SQRT((1-B118)*(Inputs!$F$8-Inputs!$D$8)*(Inputs!$F$8-Inputs!$E$8))),0)</f>
        <v>22</v>
      </c>
      <c r="D118" s="81" t="n">
        <f aca="true">RAND()</f>
        <v>0.748365933023104</v>
      </c>
      <c r="E118" s="83" t="n">
        <f aca="false">IF(D118&lt;(Inputs!$E$10-Inputs!$D$10)/(Inputs!$F$10-Inputs!$D$10),Inputs!$D$10+SQRT(D118*(Inputs!$F$10-Inputs!$D$10)*(Inputs!$E$10-Inputs!$D$10)),Inputs!$F$10-SQRT((1-D118)*(Inputs!$F$10-Inputs!$D$10)*(Inputs!$F$10-Inputs!$E$10)))</f>
        <v>0.113114891901392</v>
      </c>
      <c r="F118" s="81" t="n">
        <f aca="true">RAND()</f>
        <v>0.737194307698467</v>
      </c>
      <c r="G118" s="83" t="n">
        <f aca="false">IF(F118&lt;(Inputs!$E$15-Inputs!$D$15)/(Inputs!$F$15-Inputs!$D$15),Inputs!$D$15+SQRT(F118*(Inputs!$F$15-Inputs!$D$15)*(Inputs!$E$15-Inputs!$D$15)),Inputs!$F$15-SQRT((1-F118)*(Inputs!$F$15-Inputs!$D$15)*(Inputs!$F$15-Inputs!$E$15)))</f>
        <v>0.727500938998973</v>
      </c>
      <c r="H118" s="81" t="n">
        <f aca="true">RAND()</f>
        <v>0.0629857960082</v>
      </c>
      <c r="I118" s="82" t="n">
        <f aca="false">ROUND(IF(H118&lt;(Inputs!$E$17-Inputs!$D$17)/(Inputs!$F$17-Inputs!$D$17),Inputs!$D$17+SQRT(H118*(Inputs!$F$17-Inputs!$D$17)*(Inputs!$E$17-Inputs!$D$17)),Inputs!$F$17-SQRT((1-H118)*(Inputs!$F$17-Inputs!$D$17)*(Inputs!$F$17-Inputs!$E$17))),0)</f>
        <v>102</v>
      </c>
      <c r="J118" s="81" t="n">
        <f aca="true">RAND()</f>
        <v>0.2975585242465</v>
      </c>
      <c r="K118" s="83" t="n">
        <f aca="false">IF(J118&lt;(Inputs!$E$18-Inputs!$D$18)/(Inputs!$F$18-Inputs!$D$18),Inputs!$D$18+SQRT(J118*(Inputs!$F$18-Inputs!$D$18)*(Inputs!$E$18-Inputs!$D$18)),Inputs!$F$18-SQRT((1-J118)*(Inputs!$F$18-Inputs!$D$18)*(Inputs!$F$18-Inputs!$E$18)))</f>
        <v>1.00208140624707</v>
      </c>
      <c r="L118" s="81" t="n">
        <f aca="true">RAND()</f>
        <v>0.0183731667517767</v>
      </c>
      <c r="M118" s="83" t="n">
        <f aca="false">IF(L118&lt;(Inputs!$E$24-Inputs!$D$24)/(Inputs!$F$24-Inputs!$D$24),Inputs!$D$24+SQRT(L118*(Inputs!$F$24-Inputs!$D$24)*(Inputs!$E$24-Inputs!$D$24)),Inputs!$F$24-SQRT((1-L118)*(Inputs!$F$24-Inputs!$D$24)*(Inputs!$F$24-Inputs!$E$24)))</f>
        <v>0.646955085030412</v>
      </c>
      <c r="N118" s="81" t="n">
        <f aca="true">RAND()</f>
        <v>0.903049972363944</v>
      </c>
      <c r="O118" s="83" t="n">
        <f aca="false">IF(N118&lt;(Inputs!$E$26-Inputs!$D$26)/(Inputs!$F$26-Inputs!$D$26),Inputs!$D$26+SQRT(N118*(Inputs!$F$26-Inputs!$D$26)*(Inputs!$E$26-Inputs!$D$26)),Inputs!$F$26-SQRT((1-N118)*(Inputs!$F$26-Inputs!$D$26)*(Inputs!$F$26-Inputs!$E$26)))</f>
        <v>0.719586839138737</v>
      </c>
      <c r="P118" s="81" t="n">
        <f aca="true">RAND()</f>
        <v>0.943482169197507</v>
      </c>
      <c r="Q118" s="82" t="n">
        <f aca="false">IF(P118&lt;(Inputs!$E$27-Inputs!$D$27)/(Inputs!$F$27-Inputs!$D$27),Inputs!$D$27+SQRT(P118*(Inputs!$F$27-Inputs!$D$27)*(Inputs!$E$27-Inputs!$D$27)),Inputs!$F$27-SQRT((1-P118)*(Inputs!$F$27-Inputs!$D$27)*(Inputs!$F$27-Inputs!$E$27)))</f>
        <v>129.411563172045</v>
      </c>
      <c r="R118" s="81" t="n">
        <f aca="true">RAND()</f>
        <v>0.775118485342842</v>
      </c>
      <c r="S118" s="82" t="n">
        <f aca="false">IF(R118&lt;(Inputs!$E$29-Inputs!$D$29)/(Inputs!$F$29-Inputs!$D$29),Inputs!$D$29+SQRT(R118*(Inputs!$F$29-Inputs!$D$29)*(Inputs!$E$29-Inputs!$D$29)),Inputs!$F$29-SQRT((1-R118)*(Inputs!$F$29-Inputs!$D$29)*(Inputs!$F$29-Inputs!$E$29)))</f>
        <v>9.59309729092242</v>
      </c>
      <c r="T118" s="68" t="n">
        <f aca="false">Inputs!$E$9*(1+E118)+Inputs!$E$5*C118*(Inputs!$E$11*Inputs!$E$14*(G118*I118/Inputs!$E$16+(1-G118))*K118+Inputs!$E$23*M118)*(1+O118)+Inputs!$E$5*(Q118+S118)</f>
        <v>5983.05067250151</v>
      </c>
    </row>
    <row r="119" customFormat="false" ht="15" hidden="false" customHeight="false" outlineLevel="0" collapsed="false">
      <c r="A119" s="1" t="n">
        <v>115</v>
      </c>
      <c r="B119" s="81" t="n">
        <f aca="true">RAND()</f>
        <v>0.538962248216263</v>
      </c>
      <c r="C119" s="82" t="n">
        <f aca="false">ROUND(IF(B119&lt;(Inputs!$E$8-Inputs!$D$8)/(Inputs!$F$8-Inputs!$D$8),Inputs!$D$8+SQRT(B119*(Inputs!$F$8-Inputs!$D$8)*(Inputs!$E$8-Inputs!$D$8)),Inputs!$F$8-SQRT((1-B119)*(Inputs!$F$8-Inputs!$D$8)*(Inputs!$F$8-Inputs!$E$8))),0)</f>
        <v>25</v>
      </c>
      <c r="D119" s="81" t="n">
        <f aca="true">RAND()</f>
        <v>0.286408438691911</v>
      </c>
      <c r="E119" s="83" t="n">
        <f aca="false">IF(D119&lt;(Inputs!$E$10-Inputs!$D$10)/(Inputs!$F$10-Inputs!$D$10),Inputs!$D$10+SQRT(D119*(Inputs!$F$10-Inputs!$D$10)*(Inputs!$E$10-Inputs!$D$10)),Inputs!$F$10-SQRT((1-D119)*(Inputs!$F$10-Inputs!$D$10)*(Inputs!$F$10-Inputs!$E$10)))</f>
        <v>0.0536861358611472</v>
      </c>
      <c r="F119" s="81" t="n">
        <f aca="true">RAND()</f>
        <v>0.0345050467022877</v>
      </c>
      <c r="G119" s="83" t="n">
        <f aca="false">IF(F119&lt;(Inputs!$E$15-Inputs!$D$15)/(Inputs!$F$15-Inputs!$D$15),Inputs!$D$15+SQRT(F119*(Inputs!$F$15-Inputs!$D$15)*(Inputs!$E$15-Inputs!$D$15)),Inputs!$F$15-SQRT((1-F119)*(Inputs!$F$15-Inputs!$D$15)*(Inputs!$F$15-Inputs!$E$15)))</f>
        <v>0.626269772249598</v>
      </c>
      <c r="H119" s="81" t="n">
        <f aca="true">RAND()</f>
        <v>0.939285063841725</v>
      </c>
      <c r="I119" s="82" t="n">
        <f aca="false">ROUND(IF(H119&lt;(Inputs!$E$17-Inputs!$D$17)/(Inputs!$F$17-Inputs!$D$17),Inputs!$D$17+SQRT(H119*(Inputs!$F$17-Inputs!$D$17)*(Inputs!$E$17-Inputs!$D$17)),Inputs!$F$17-SQRT((1-H119)*(Inputs!$F$17-Inputs!$D$17)*(Inputs!$F$17-Inputs!$E$17))),0)</f>
        <v>112</v>
      </c>
      <c r="J119" s="81" t="n">
        <f aca="true">RAND()</f>
        <v>0.428073943574044</v>
      </c>
      <c r="K119" s="83" t="n">
        <f aca="false">IF(J119&lt;(Inputs!$E$18-Inputs!$D$18)/(Inputs!$F$18-Inputs!$D$18),Inputs!$D$18+SQRT(J119*(Inputs!$F$18-Inputs!$D$18)*(Inputs!$E$18-Inputs!$D$18)),Inputs!$F$18-SQRT((1-J119)*(Inputs!$F$18-Inputs!$D$18)*(Inputs!$F$18-Inputs!$E$18)))</f>
        <v>1.02629588752714</v>
      </c>
      <c r="L119" s="81" t="n">
        <f aca="true">RAND()</f>
        <v>0.894740570741449</v>
      </c>
      <c r="M119" s="83" t="n">
        <f aca="false">IF(L119&lt;(Inputs!$E$24-Inputs!$D$24)/(Inputs!$F$24-Inputs!$D$24),Inputs!$D$24+SQRT(L119*(Inputs!$F$24-Inputs!$D$24)*(Inputs!$E$24-Inputs!$D$24)),Inputs!$F$24-SQRT((1-L119)*(Inputs!$F$24-Inputs!$D$24)*(Inputs!$F$24-Inputs!$E$24)))</f>
        <v>1.04105893223571</v>
      </c>
      <c r="N119" s="81" t="n">
        <f aca="true">RAND()</f>
        <v>0.832593666701691</v>
      </c>
      <c r="O119" s="83" t="n">
        <f aca="false">IF(N119&lt;(Inputs!$E$26-Inputs!$D$26)/(Inputs!$F$26-Inputs!$D$26),Inputs!$D$26+SQRT(N119*(Inputs!$F$26-Inputs!$D$26)*(Inputs!$E$26-Inputs!$D$26)),Inputs!$F$26-SQRT((1-N119)*(Inputs!$F$26-Inputs!$D$26)*(Inputs!$F$26-Inputs!$E$26)))</f>
        <v>0.688052060785232</v>
      </c>
      <c r="P119" s="81" t="n">
        <f aca="true">RAND()</f>
        <v>0.261005332340804</v>
      </c>
      <c r="Q119" s="82" t="n">
        <f aca="false">IF(P119&lt;(Inputs!$E$27-Inputs!$D$27)/(Inputs!$F$27-Inputs!$D$27),Inputs!$D$27+SQRT(P119*(Inputs!$F$27-Inputs!$D$27)*(Inputs!$E$27-Inputs!$D$27)),Inputs!$F$27-SQRT((1-P119)*(Inputs!$F$27-Inputs!$D$27)*(Inputs!$F$27-Inputs!$E$27)))</f>
        <v>75.5523001870174</v>
      </c>
      <c r="R119" s="81" t="n">
        <f aca="true">RAND()</f>
        <v>0.0804603750545402</v>
      </c>
      <c r="S119" s="82" t="n">
        <f aca="false">IF(R119&lt;(Inputs!$E$29-Inputs!$D$29)/(Inputs!$F$29-Inputs!$D$29),Inputs!$D$29+SQRT(R119*(Inputs!$F$29-Inputs!$D$29)*(Inputs!$E$29-Inputs!$D$29)),Inputs!$F$29-SQRT((1-R119)*(Inputs!$F$29-Inputs!$D$29)*(Inputs!$F$29-Inputs!$E$29)))</f>
        <v>3.77142728530614</v>
      </c>
      <c r="T119" s="68" t="n">
        <f aca="false">Inputs!$E$9*(1+E119)+Inputs!$E$5*C119*(Inputs!$E$11*Inputs!$E$14*(G119*I119/Inputs!$E$16+(1-G119))*K119+Inputs!$E$23*M119)*(1+O119)+Inputs!$E$5*(Q119+S119)</f>
        <v>6792.25589046902</v>
      </c>
    </row>
    <row r="120" customFormat="false" ht="15" hidden="false" customHeight="false" outlineLevel="0" collapsed="false">
      <c r="A120" s="1" t="n">
        <v>116</v>
      </c>
      <c r="B120" s="81" t="n">
        <f aca="true">RAND()</f>
        <v>0.109202120200315</v>
      </c>
      <c r="C120" s="82" t="n">
        <f aca="false">ROUND(IF(B120&lt;(Inputs!$E$8-Inputs!$D$8)/(Inputs!$F$8-Inputs!$D$8),Inputs!$D$8+SQRT(B120*(Inputs!$F$8-Inputs!$D$8)*(Inputs!$E$8-Inputs!$D$8)),Inputs!$F$8-SQRT((1-B120)*(Inputs!$F$8-Inputs!$D$8)*(Inputs!$F$8-Inputs!$E$8))),0)</f>
        <v>22</v>
      </c>
      <c r="D120" s="81" t="n">
        <f aca="true">RAND()</f>
        <v>0.253598844381573</v>
      </c>
      <c r="E120" s="83" t="n">
        <f aca="false">IF(D120&lt;(Inputs!$E$10-Inputs!$D$10)/(Inputs!$F$10-Inputs!$D$10),Inputs!$D$10+SQRT(D120*(Inputs!$F$10-Inputs!$D$10)*(Inputs!$E$10-Inputs!$D$10)),Inputs!$F$10-SQRT((1-D120)*(Inputs!$F$10-Inputs!$D$10)*(Inputs!$F$10-Inputs!$E$10)))</f>
        <v>0.0503603171997721</v>
      </c>
      <c r="F120" s="81" t="n">
        <f aca="true">RAND()</f>
        <v>0.603869249447131</v>
      </c>
      <c r="G120" s="83" t="n">
        <f aca="false">IF(F120&lt;(Inputs!$E$15-Inputs!$D$15)/(Inputs!$F$15-Inputs!$D$15),Inputs!$D$15+SQRT(F120*(Inputs!$F$15-Inputs!$D$15)*(Inputs!$E$15-Inputs!$D$15)),Inputs!$F$15-SQRT((1-F120)*(Inputs!$F$15-Inputs!$D$15)*(Inputs!$F$15-Inputs!$E$15)))</f>
        <v>0.710990927366603</v>
      </c>
      <c r="H120" s="81" t="n">
        <f aca="true">RAND()</f>
        <v>0.763218921768767</v>
      </c>
      <c r="I120" s="82" t="n">
        <f aca="false">ROUND(IF(H120&lt;(Inputs!$E$17-Inputs!$D$17)/(Inputs!$F$17-Inputs!$D$17),Inputs!$D$17+SQRT(H120*(Inputs!$F$17-Inputs!$D$17)*(Inputs!$E$17-Inputs!$D$17)),Inputs!$F$17-SQRT((1-H120)*(Inputs!$F$17-Inputs!$D$17)*(Inputs!$F$17-Inputs!$E$17))),0)</f>
        <v>109</v>
      </c>
      <c r="J120" s="81" t="n">
        <f aca="true">RAND()</f>
        <v>0.817058570982479</v>
      </c>
      <c r="K120" s="83" t="n">
        <f aca="false">IF(J120&lt;(Inputs!$E$18-Inputs!$D$18)/(Inputs!$F$18-Inputs!$D$18),Inputs!$D$18+SQRT(J120*(Inputs!$F$18-Inputs!$D$18)*(Inputs!$E$18-Inputs!$D$18)),Inputs!$F$18-SQRT((1-J120)*(Inputs!$F$18-Inputs!$D$18)*(Inputs!$F$18-Inputs!$E$18)))</f>
        <v>1.1234797445504</v>
      </c>
      <c r="L120" s="81" t="n">
        <f aca="true">RAND()</f>
        <v>0.453367964438409</v>
      </c>
      <c r="M120" s="83" t="n">
        <f aca="false">IF(L120&lt;(Inputs!$E$24-Inputs!$D$24)/(Inputs!$F$24-Inputs!$D$24),Inputs!$D$24+SQRT(L120*(Inputs!$F$24-Inputs!$D$24)*(Inputs!$E$24-Inputs!$D$24)),Inputs!$F$24-SQRT((1-L120)*(Inputs!$F$24-Inputs!$D$24)*(Inputs!$F$24-Inputs!$E$24)))</f>
        <v>0.837796067753563</v>
      </c>
      <c r="N120" s="81" t="n">
        <f aca="true">RAND()</f>
        <v>0.419172005533067</v>
      </c>
      <c r="O120" s="83" t="n">
        <f aca="false">IF(N120&lt;(Inputs!$E$26-Inputs!$D$26)/(Inputs!$F$26-Inputs!$D$26),Inputs!$D$26+SQRT(N120*(Inputs!$F$26-Inputs!$D$26)*(Inputs!$E$26-Inputs!$D$26)),Inputs!$F$26-SQRT((1-N120)*(Inputs!$F$26-Inputs!$D$26)*(Inputs!$F$26-Inputs!$E$26)))</f>
        <v>0.564102672687541</v>
      </c>
      <c r="P120" s="81" t="n">
        <f aca="true">RAND()</f>
        <v>0.869061460821672</v>
      </c>
      <c r="Q120" s="82" t="n">
        <f aca="false">IF(P120&lt;(Inputs!$E$27-Inputs!$D$27)/(Inputs!$F$27-Inputs!$D$27),Inputs!$D$27+SQRT(P120*(Inputs!$F$27-Inputs!$D$27)*(Inputs!$E$27-Inputs!$D$27)),Inputs!$F$27-SQRT((1-P120)*(Inputs!$F$27-Inputs!$D$27)*(Inputs!$F$27-Inputs!$E$27)))</f>
        <v>118.662497804747</v>
      </c>
      <c r="R120" s="81" t="n">
        <f aca="true">RAND()</f>
        <v>0.612271815027211</v>
      </c>
      <c r="S120" s="82" t="n">
        <f aca="false">IF(R120&lt;(Inputs!$E$29-Inputs!$D$29)/(Inputs!$F$29-Inputs!$D$29),Inputs!$D$29+SQRT(R120*(Inputs!$F$29-Inputs!$D$29)*(Inputs!$E$29-Inputs!$D$29)),Inputs!$F$29-SQRT((1-R120)*(Inputs!$F$29-Inputs!$D$29)*(Inputs!$F$29-Inputs!$E$29)))</f>
        <v>7.90037578132035</v>
      </c>
      <c r="T120" s="68" t="n">
        <f aca="false">Inputs!$E$9*(1+E120)+Inputs!$E$5*C120*(Inputs!$E$11*Inputs!$E$14*(G120*I120/Inputs!$E$16+(1-G120))*K120+Inputs!$E$23*M120)*(1+O120)+Inputs!$E$5*(Q120+S120)</f>
        <v>6079.03706390008</v>
      </c>
    </row>
    <row r="121" customFormat="false" ht="15" hidden="false" customHeight="false" outlineLevel="0" collapsed="false">
      <c r="A121" s="1" t="n">
        <v>117</v>
      </c>
      <c r="B121" s="81" t="n">
        <f aca="true">RAND()</f>
        <v>0.564948571304657</v>
      </c>
      <c r="C121" s="82" t="n">
        <f aca="false">ROUND(IF(B121&lt;(Inputs!$E$8-Inputs!$D$8)/(Inputs!$F$8-Inputs!$D$8),Inputs!$D$8+SQRT(B121*(Inputs!$F$8-Inputs!$D$8)*(Inputs!$E$8-Inputs!$D$8)),Inputs!$F$8-SQRT((1-B121)*(Inputs!$F$8-Inputs!$D$8)*(Inputs!$F$8-Inputs!$E$8))),0)</f>
        <v>25</v>
      </c>
      <c r="D121" s="81" t="n">
        <f aca="true">RAND()</f>
        <v>0.487640710678972</v>
      </c>
      <c r="E121" s="83" t="n">
        <f aca="false">IF(D121&lt;(Inputs!$E$10-Inputs!$D$10)/(Inputs!$F$10-Inputs!$D$10),Inputs!$D$10+SQRT(D121*(Inputs!$F$10-Inputs!$D$10)*(Inputs!$E$10-Inputs!$D$10)),Inputs!$F$10-SQRT((1-D121)*(Inputs!$F$10-Inputs!$D$10)*(Inputs!$F$10-Inputs!$E$10)))</f>
        <v>0.0760210554988032</v>
      </c>
      <c r="F121" s="81" t="n">
        <f aca="true">RAND()</f>
        <v>0.641141361703844</v>
      </c>
      <c r="G121" s="83" t="n">
        <f aca="false">IF(F121&lt;(Inputs!$E$15-Inputs!$D$15)/(Inputs!$F$15-Inputs!$D$15),Inputs!$D$15+SQRT(F121*(Inputs!$F$15-Inputs!$D$15)*(Inputs!$E$15-Inputs!$D$15)),Inputs!$F$15-SQRT((1-F121)*(Inputs!$F$15-Inputs!$D$15)*(Inputs!$F$15-Inputs!$E$15)))</f>
        <v>0.715281803808608</v>
      </c>
      <c r="H121" s="81" t="n">
        <f aca="true">RAND()</f>
        <v>0.388306252269632</v>
      </c>
      <c r="I121" s="82" t="n">
        <f aca="false">ROUND(IF(H121&lt;(Inputs!$E$17-Inputs!$D$17)/(Inputs!$F$17-Inputs!$D$17),Inputs!$D$17+SQRT(H121*(Inputs!$F$17-Inputs!$D$17)*(Inputs!$E$17-Inputs!$D$17)),Inputs!$F$17-SQRT((1-H121)*(Inputs!$F$17-Inputs!$D$17)*(Inputs!$F$17-Inputs!$E$17))),0)</f>
        <v>105</v>
      </c>
      <c r="J121" s="81" t="n">
        <f aca="true">RAND()</f>
        <v>0.169615465149827</v>
      </c>
      <c r="K121" s="83" t="n">
        <f aca="false">IF(J121&lt;(Inputs!$E$18-Inputs!$D$18)/(Inputs!$F$18-Inputs!$D$18),Inputs!$D$18+SQRT(J121*(Inputs!$F$18-Inputs!$D$18)*(Inputs!$E$18-Inputs!$D$18)),Inputs!$F$18-SQRT((1-J121)*(Inputs!$F$18-Inputs!$D$18)*(Inputs!$F$18-Inputs!$E$18)))</f>
        <v>0.977048953790716</v>
      </c>
      <c r="L121" s="81" t="n">
        <f aca="true">RAND()</f>
        <v>0.0337647705118626</v>
      </c>
      <c r="M121" s="83" t="n">
        <f aca="false">IF(L121&lt;(Inputs!$E$24-Inputs!$D$24)/(Inputs!$F$24-Inputs!$D$24),Inputs!$D$24+SQRT(L121*(Inputs!$F$24-Inputs!$D$24)*(Inputs!$E$24-Inputs!$D$24)),Inputs!$F$24-SQRT((1-L121)*(Inputs!$F$24-Inputs!$D$24)*(Inputs!$F$24-Inputs!$E$24)))</f>
        <v>0.66365353455562</v>
      </c>
      <c r="N121" s="81" t="n">
        <f aca="true">RAND()</f>
        <v>0.595046672760917</v>
      </c>
      <c r="O121" s="83" t="n">
        <f aca="false">IF(N121&lt;(Inputs!$E$26-Inputs!$D$26)/(Inputs!$F$26-Inputs!$D$26),Inputs!$D$26+SQRT(N121*(Inputs!$F$26-Inputs!$D$26)*(Inputs!$E$26-Inputs!$D$26)),Inputs!$F$26-SQRT((1-N121)*(Inputs!$F$26-Inputs!$D$26)*(Inputs!$F$26-Inputs!$E$26)))</f>
        <v>0.614667707824328</v>
      </c>
      <c r="P121" s="81" t="n">
        <f aca="true">RAND()</f>
        <v>0.766369238010135</v>
      </c>
      <c r="Q121" s="82" t="n">
        <f aca="false">IF(P121&lt;(Inputs!$E$27-Inputs!$D$27)/(Inputs!$F$27-Inputs!$D$27),Inputs!$D$27+SQRT(P121*(Inputs!$F$27-Inputs!$D$27)*(Inputs!$E$27-Inputs!$D$27)),Inputs!$F$27-SQRT((1-P121)*(Inputs!$F$27-Inputs!$D$27)*(Inputs!$F$27-Inputs!$E$27)))</f>
        <v>108.140345021441</v>
      </c>
      <c r="R121" s="81" t="n">
        <f aca="true">RAND()</f>
        <v>0.624300390889116</v>
      </c>
      <c r="S121" s="82" t="n">
        <f aca="false">IF(R121&lt;(Inputs!$E$29-Inputs!$D$29)/(Inputs!$F$29-Inputs!$D$29),Inputs!$D$29+SQRT(R121*(Inputs!$F$29-Inputs!$D$29)*(Inputs!$E$29-Inputs!$D$29)),Inputs!$F$29-SQRT((1-R121)*(Inputs!$F$29-Inputs!$D$29)*(Inputs!$F$29-Inputs!$E$29)))</f>
        <v>8.01137000661682</v>
      </c>
      <c r="T121" s="68" t="n">
        <f aca="false">Inputs!$E$9*(1+E121)+Inputs!$E$5*C121*(Inputs!$E$11*Inputs!$E$14*(G121*I121/Inputs!$E$16+(1-G121))*K121+Inputs!$E$23*M121)*(1+O121)+Inputs!$E$5*(Q121+S121)</f>
        <v>6000.98164410396</v>
      </c>
    </row>
    <row r="122" customFormat="false" ht="15" hidden="false" customHeight="false" outlineLevel="0" collapsed="false">
      <c r="A122" s="1" t="n">
        <v>118</v>
      </c>
      <c r="B122" s="81" t="n">
        <f aca="true">RAND()</f>
        <v>0.382614268484299</v>
      </c>
      <c r="C122" s="82" t="n">
        <f aca="false">ROUND(IF(B122&lt;(Inputs!$E$8-Inputs!$D$8)/(Inputs!$F$8-Inputs!$D$8),Inputs!$D$8+SQRT(B122*(Inputs!$F$8-Inputs!$D$8)*(Inputs!$E$8-Inputs!$D$8)),Inputs!$F$8-SQRT((1-B122)*(Inputs!$F$8-Inputs!$D$8)*(Inputs!$F$8-Inputs!$E$8))),0)</f>
        <v>24</v>
      </c>
      <c r="D122" s="81" t="n">
        <f aca="true">RAND()</f>
        <v>0.216436276208675</v>
      </c>
      <c r="E122" s="83" t="n">
        <f aca="false">IF(D122&lt;(Inputs!$E$10-Inputs!$D$10)/(Inputs!$F$10-Inputs!$D$10),Inputs!$D$10+SQRT(D122*(Inputs!$F$10-Inputs!$D$10)*(Inputs!$E$10-Inputs!$D$10)),Inputs!$F$10-SQRT((1-D122)*(Inputs!$F$10-Inputs!$D$10)*(Inputs!$F$10-Inputs!$E$10)))</f>
        <v>0.0465227123251295</v>
      </c>
      <c r="F122" s="81" t="n">
        <f aca="true">RAND()</f>
        <v>0.0734281564911543</v>
      </c>
      <c r="G122" s="83" t="n">
        <f aca="false">IF(F122&lt;(Inputs!$E$15-Inputs!$D$15)/(Inputs!$F$15-Inputs!$D$15),Inputs!$D$15+SQRT(F122*(Inputs!$F$15-Inputs!$D$15)*(Inputs!$E$15-Inputs!$D$15)),Inputs!$F$15-SQRT((1-F122)*(Inputs!$F$15-Inputs!$D$15)*(Inputs!$F$15-Inputs!$E$15)))</f>
        <v>0.638321836201089</v>
      </c>
      <c r="H122" s="81" t="n">
        <f aca="true">RAND()</f>
        <v>0.757072729938184</v>
      </c>
      <c r="I122" s="82" t="n">
        <f aca="false">ROUND(IF(H122&lt;(Inputs!$E$17-Inputs!$D$17)/(Inputs!$F$17-Inputs!$D$17),Inputs!$D$17+SQRT(H122*(Inputs!$F$17-Inputs!$D$17)*(Inputs!$E$17-Inputs!$D$17)),Inputs!$F$17-SQRT((1-H122)*(Inputs!$F$17-Inputs!$D$17)*(Inputs!$F$17-Inputs!$E$17))),0)</f>
        <v>109</v>
      </c>
      <c r="J122" s="81" t="n">
        <f aca="true">RAND()</f>
        <v>0.486528043280621</v>
      </c>
      <c r="K122" s="83" t="n">
        <f aca="false">IF(J122&lt;(Inputs!$E$18-Inputs!$D$18)/(Inputs!$F$18-Inputs!$D$18),Inputs!$D$18+SQRT(J122*(Inputs!$F$18-Inputs!$D$18)*(Inputs!$E$18-Inputs!$D$18)),Inputs!$F$18-SQRT((1-J122)*(Inputs!$F$18-Inputs!$D$18)*(Inputs!$F$18-Inputs!$E$18)))</f>
        <v>1.03803586102139</v>
      </c>
      <c r="L122" s="81" t="n">
        <f aca="true">RAND()</f>
        <v>0.266511994778053</v>
      </c>
      <c r="M122" s="83" t="n">
        <f aca="false">IF(L122&lt;(Inputs!$E$24-Inputs!$D$24)/(Inputs!$F$24-Inputs!$D$24),Inputs!$D$24+SQRT(L122*(Inputs!$F$24-Inputs!$D$24)*(Inputs!$E$24-Inputs!$D$24)),Inputs!$F$24-SQRT((1-L122)*(Inputs!$F$24-Inputs!$D$24)*(Inputs!$F$24-Inputs!$E$24)))</f>
        <v>0.778833552146588</v>
      </c>
      <c r="N122" s="81" t="n">
        <f aca="true">RAND()</f>
        <v>0.861010573229039</v>
      </c>
      <c r="O122" s="83" t="n">
        <f aca="false">IF(N122&lt;(Inputs!$E$26-Inputs!$D$26)/(Inputs!$F$26-Inputs!$D$26),Inputs!$D$26+SQRT(N122*(Inputs!$F$26-Inputs!$D$26)*(Inputs!$E$26-Inputs!$D$26)),Inputs!$F$26-SQRT((1-N122)*(Inputs!$F$26-Inputs!$D$26)*(Inputs!$F$26-Inputs!$E$26)))</f>
        <v>0.69977146601501</v>
      </c>
      <c r="P122" s="81" t="n">
        <f aca="true">RAND()</f>
        <v>0.978723755991177</v>
      </c>
      <c r="Q122" s="82" t="n">
        <f aca="false">IF(P122&lt;(Inputs!$E$27-Inputs!$D$27)/(Inputs!$F$27-Inputs!$D$27),Inputs!$D$27+SQRT(P122*(Inputs!$F$27-Inputs!$D$27)*(Inputs!$E$27-Inputs!$D$27)),Inputs!$F$27-SQRT((1-P122)*(Inputs!$F$27-Inputs!$D$27)*(Inputs!$F$27-Inputs!$E$27)))</f>
        <v>137.367825600231</v>
      </c>
      <c r="R122" s="81" t="n">
        <f aca="true">RAND()</f>
        <v>0.113759321736543</v>
      </c>
      <c r="S122" s="82" t="n">
        <f aca="false">IF(R122&lt;(Inputs!$E$29-Inputs!$D$29)/(Inputs!$F$29-Inputs!$D$29),Inputs!$D$29+SQRT(R122*(Inputs!$F$29-Inputs!$D$29)*(Inputs!$E$29-Inputs!$D$29)),Inputs!$F$29-SQRT((1-R122)*(Inputs!$F$29-Inputs!$D$29)*(Inputs!$F$29-Inputs!$E$29)))</f>
        <v>4.10632702772509</v>
      </c>
      <c r="T122" s="68" t="n">
        <f aca="false">Inputs!$E$9*(1+E122)+Inputs!$E$5*C122*(Inputs!$E$11*Inputs!$E$14*(G122*I122/Inputs!$E$16+(1-G122))*K122+Inputs!$E$23*M122)*(1+O122)+Inputs!$E$5*(Q122+S122)</f>
        <v>6548.44896549932</v>
      </c>
    </row>
    <row r="123" customFormat="false" ht="15" hidden="false" customHeight="false" outlineLevel="0" collapsed="false">
      <c r="A123" s="1" t="n">
        <v>119</v>
      </c>
      <c r="B123" s="81" t="n">
        <f aca="true">RAND()</f>
        <v>0.869421824842281</v>
      </c>
      <c r="C123" s="82" t="n">
        <f aca="false">ROUND(IF(B123&lt;(Inputs!$E$8-Inputs!$D$8)/(Inputs!$F$8-Inputs!$D$8),Inputs!$D$8+SQRT(B123*(Inputs!$F$8-Inputs!$D$8)*(Inputs!$E$8-Inputs!$D$8)),Inputs!$F$8-SQRT((1-B123)*(Inputs!$F$8-Inputs!$D$8)*(Inputs!$F$8-Inputs!$E$8))),0)</f>
        <v>27</v>
      </c>
      <c r="D123" s="81" t="n">
        <f aca="true">RAND()</f>
        <v>0.924539846883009</v>
      </c>
      <c r="E123" s="83" t="n">
        <f aca="false">IF(D123&lt;(Inputs!$E$10-Inputs!$D$10)/(Inputs!$F$10-Inputs!$D$10),Inputs!$D$10+SQRT(D123*(Inputs!$F$10-Inputs!$D$10)*(Inputs!$E$10-Inputs!$D$10)),Inputs!$F$10-SQRT((1-D123)*(Inputs!$F$10-Inputs!$D$10)*(Inputs!$F$10-Inputs!$E$10)))</f>
        <v>0.152420544417682</v>
      </c>
      <c r="F123" s="81" t="n">
        <f aca="true">RAND()</f>
        <v>0.622831373607482</v>
      </c>
      <c r="G123" s="83" t="n">
        <f aca="false">IF(F123&lt;(Inputs!$E$15-Inputs!$D$15)/(Inputs!$F$15-Inputs!$D$15),Inputs!$D$15+SQRT(F123*(Inputs!$F$15-Inputs!$D$15)*(Inputs!$E$15-Inputs!$D$15)),Inputs!$F$15-SQRT((1-F123)*(Inputs!$F$15-Inputs!$D$15)*(Inputs!$F$15-Inputs!$E$15)))</f>
        <v>0.713147409204732</v>
      </c>
      <c r="H123" s="81" t="n">
        <f aca="true">RAND()</f>
        <v>0.393755316329132</v>
      </c>
      <c r="I123" s="82" t="n">
        <f aca="false">ROUND(IF(H123&lt;(Inputs!$E$17-Inputs!$D$17)/(Inputs!$F$17-Inputs!$D$17),Inputs!$D$17+SQRT(H123*(Inputs!$F$17-Inputs!$D$17)*(Inputs!$E$17-Inputs!$D$17)),Inputs!$F$17-SQRT((1-H123)*(Inputs!$F$17-Inputs!$D$17)*(Inputs!$F$17-Inputs!$E$17))),0)</f>
        <v>105</v>
      </c>
      <c r="J123" s="81" t="n">
        <f aca="true">RAND()</f>
        <v>0.913534585320987</v>
      </c>
      <c r="K123" s="83" t="n">
        <f aca="false">IF(J123&lt;(Inputs!$E$18-Inputs!$D$18)/(Inputs!$F$18-Inputs!$D$18),Inputs!$D$18+SQRT(J123*(Inputs!$F$18-Inputs!$D$18)*(Inputs!$E$18-Inputs!$D$18)),Inputs!$F$18-SQRT((1-J123)*(Inputs!$F$18-Inputs!$D$18)*(Inputs!$F$18-Inputs!$E$18)))</f>
        <v>1.16301883086315</v>
      </c>
      <c r="L123" s="81" t="n">
        <f aca="true">RAND()</f>
        <v>0.666644056676245</v>
      </c>
      <c r="M123" s="83" t="n">
        <f aca="false">IF(L123&lt;(Inputs!$E$24-Inputs!$D$24)/(Inputs!$F$24-Inputs!$D$24),Inputs!$D$24+SQRT(L123*(Inputs!$F$24-Inputs!$D$24)*(Inputs!$E$24-Inputs!$D$24)),Inputs!$F$24-SQRT((1-L123)*(Inputs!$F$24-Inputs!$D$24)*(Inputs!$F$24-Inputs!$E$24)))</f>
        <v>0.917147695081512</v>
      </c>
      <c r="N123" s="81" t="n">
        <f aca="true">RAND()</f>
        <v>0.633173396243101</v>
      </c>
      <c r="O123" s="83" t="n">
        <f aca="false">IF(N123&lt;(Inputs!$E$26-Inputs!$D$26)/(Inputs!$F$26-Inputs!$D$26),Inputs!$D$26+SQRT(N123*(Inputs!$F$26-Inputs!$D$26)*(Inputs!$E$26-Inputs!$D$26)),Inputs!$F$26-SQRT((1-N123)*(Inputs!$F$26-Inputs!$D$26)*(Inputs!$F$26-Inputs!$E$26)))</f>
        <v>0.624679835166162</v>
      </c>
      <c r="P123" s="81" t="n">
        <f aca="true">RAND()</f>
        <v>0.420547335435954</v>
      </c>
      <c r="Q123" s="82" t="n">
        <f aca="false">IF(P123&lt;(Inputs!$E$27-Inputs!$D$27)/(Inputs!$F$27-Inputs!$D$27),Inputs!$D$27+SQRT(P123*(Inputs!$F$27-Inputs!$D$27)*(Inputs!$E$27-Inputs!$D$27)),Inputs!$F$27-SQRT((1-P123)*(Inputs!$F$27-Inputs!$D$27)*(Inputs!$F$27-Inputs!$E$27)))</f>
        <v>84.0765975981947</v>
      </c>
      <c r="R123" s="81" t="n">
        <f aca="true">RAND()</f>
        <v>0.641587061725502</v>
      </c>
      <c r="S123" s="82" t="n">
        <f aca="false">IF(R123&lt;(Inputs!$E$29-Inputs!$D$29)/(Inputs!$F$29-Inputs!$D$29),Inputs!$D$29+SQRT(R123*(Inputs!$F$29-Inputs!$D$29)*(Inputs!$E$29-Inputs!$D$29)),Inputs!$F$29-SQRT((1-R123)*(Inputs!$F$29-Inputs!$D$29)*(Inputs!$F$29-Inputs!$E$29)))</f>
        <v>8.17404351202817</v>
      </c>
      <c r="T123" s="68" t="n">
        <f aca="false">Inputs!$E$9*(1+E123)+Inputs!$E$5*C123*(Inputs!$E$11*Inputs!$E$14*(G123*I123/Inputs!$E$16+(1-G123))*K123+Inputs!$E$23*M123)*(1+O123)+Inputs!$E$5*(Q123+S123)</f>
        <v>7148.23266829392</v>
      </c>
    </row>
    <row r="124" customFormat="false" ht="15" hidden="false" customHeight="false" outlineLevel="0" collapsed="false">
      <c r="A124" s="1" t="n">
        <v>120</v>
      </c>
      <c r="B124" s="81" t="n">
        <f aca="true">RAND()</f>
        <v>0.898787237423222</v>
      </c>
      <c r="C124" s="82" t="n">
        <f aca="false">ROUND(IF(B124&lt;(Inputs!$E$8-Inputs!$D$8)/(Inputs!$F$8-Inputs!$D$8),Inputs!$D$8+SQRT(B124*(Inputs!$F$8-Inputs!$D$8)*(Inputs!$E$8-Inputs!$D$8)),Inputs!$F$8-SQRT((1-B124)*(Inputs!$F$8-Inputs!$D$8)*(Inputs!$F$8-Inputs!$E$8))),0)</f>
        <v>28</v>
      </c>
      <c r="D124" s="81" t="n">
        <f aca="true">RAND()</f>
        <v>0.280493428573043</v>
      </c>
      <c r="E124" s="83" t="n">
        <f aca="false">IF(D124&lt;(Inputs!$E$10-Inputs!$D$10)/(Inputs!$F$10-Inputs!$D$10),Inputs!$D$10+SQRT(D124*(Inputs!$F$10-Inputs!$D$10)*(Inputs!$E$10-Inputs!$D$10)),Inputs!$F$10-SQRT((1-D124)*(Inputs!$F$10-Inputs!$D$10)*(Inputs!$F$10-Inputs!$E$10)))</f>
        <v>0.0530809844070254</v>
      </c>
      <c r="F124" s="81" t="n">
        <f aca="true">RAND()</f>
        <v>0.00645978817854939</v>
      </c>
      <c r="G124" s="83" t="n">
        <f aca="false">IF(F124&lt;(Inputs!$E$15-Inputs!$D$15)/(Inputs!$F$15-Inputs!$D$15),Inputs!$D$15+SQRT(F124*(Inputs!$F$15-Inputs!$D$15)*(Inputs!$E$15-Inputs!$D$15)),Inputs!$F$15-SQRT((1-F124)*(Inputs!$F$15-Inputs!$D$15)*(Inputs!$F$15-Inputs!$E$15)))</f>
        <v>0.611366431435195</v>
      </c>
      <c r="H124" s="81" t="n">
        <f aca="true">RAND()</f>
        <v>0.820761524450834</v>
      </c>
      <c r="I124" s="82" t="n">
        <f aca="false">ROUND(IF(H124&lt;(Inputs!$E$17-Inputs!$D$17)/(Inputs!$F$17-Inputs!$D$17),Inputs!$D$17+SQRT(H124*(Inputs!$F$17-Inputs!$D$17)*(Inputs!$E$17-Inputs!$D$17)),Inputs!$F$17-SQRT((1-H124)*(Inputs!$F$17-Inputs!$D$17)*(Inputs!$F$17-Inputs!$E$17))),0)</f>
        <v>110</v>
      </c>
      <c r="J124" s="81" t="n">
        <f aca="true">RAND()</f>
        <v>0.020620010912764</v>
      </c>
      <c r="K124" s="83" t="n">
        <f aca="false">IF(J124&lt;(Inputs!$E$18-Inputs!$D$18)/(Inputs!$F$18-Inputs!$D$18),Inputs!$D$18+SQRT(J124*(Inputs!$F$18-Inputs!$D$18)*(Inputs!$E$18-Inputs!$D$18)),Inputs!$F$18-SQRT((1-J124)*(Inputs!$F$18-Inputs!$D$18)*(Inputs!$F$18-Inputs!$E$18)))</f>
        <v>0.926864481791889</v>
      </c>
      <c r="L124" s="81" t="n">
        <f aca="true">RAND()</f>
        <v>0.38099139012425</v>
      </c>
      <c r="M124" s="83" t="n">
        <f aca="false">IF(L124&lt;(Inputs!$E$24-Inputs!$D$24)/(Inputs!$F$24-Inputs!$D$24),Inputs!$D$24+SQRT(L124*(Inputs!$F$24-Inputs!$D$24)*(Inputs!$E$24-Inputs!$D$24)),Inputs!$F$24-SQRT((1-L124)*(Inputs!$F$24-Inputs!$D$24)*(Inputs!$F$24-Inputs!$E$24)))</f>
        <v>0.814562500046791</v>
      </c>
      <c r="N124" s="81" t="n">
        <f aca="true">RAND()</f>
        <v>0.337848133161028</v>
      </c>
      <c r="O124" s="83" t="n">
        <f aca="false">IF(N124&lt;(Inputs!$E$26-Inputs!$D$26)/(Inputs!$F$26-Inputs!$D$26),Inputs!$D$26+SQRT(N124*(Inputs!$F$26-Inputs!$D$26)*(Inputs!$E$26-Inputs!$D$26)),Inputs!$F$26-SQRT((1-N124)*(Inputs!$F$26-Inputs!$D$26)*(Inputs!$F$26-Inputs!$E$26)))</f>
        <v>0.537103204023048</v>
      </c>
      <c r="P124" s="81" t="n">
        <f aca="true">RAND()</f>
        <v>0.489760335228439</v>
      </c>
      <c r="Q124" s="82" t="n">
        <f aca="false">IF(P124&lt;(Inputs!$E$27-Inputs!$D$27)/(Inputs!$F$27-Inputs!$D$27),Inputs!$D$27+SQRT(P124*(Inputs!$F$27-Inputs!$D$27)*(Inputs!$E$27-Inputs!$D$27)),Inputs!$F$27-SQRT((1-P124)*(Inputs!$F$27-Inputs!$D$27)*(Inputs!$F$27-Inputs!$E$27)))</f>
        <v>88.1388855112785</v>
      </c>
      <c r="R124" s="81" t="n">
        <f aca="true">RAND()</f>
        <v>0.576819740727963</v>
      </c>
      <c r="S124" s="82" t="n">
        <f aca="false">IF(R124&lt;(Inputs!$E$29-Inputs!$D$29)/(Inputs!$F$29-Inputs!$D$29),Inputs!$D$29+SQRT(R124*(Inputs!$F$29-Inputs!$D$29)*(Inputs!$E$29-Inputs!$D$29)),Inputs!$F$29-SQRT((1-R124)*(Inputs!$F$29-Inputs!$D$29)*(Inputs!$F$29-Inputs!$E$29)))</f>
        <v>7.58289586797079</v>
      </c>
      <c r="T124" s="68" t="n">
        <f aca="false">Inputs!$E$9*(1+E124)+Inputs!$E$5*C124*(Inputs!$E$11*Inputs!$E$14*(G124*I124/Inputs!$E$16+(1-G124))*K124+Inputs!$E$23*M124)*(1+O124)+Inputs!$E$5*(Q124+S124)</f>
        <v>6355.94402404772</v>
      </c>
    </row>
    <row r="125" customFormat="false" ht="15" hidden="false" customHeight="false" outlineLevel="0" collapsed="false">
      <c r="A125" s="1" t="n">
        <v>121</v>
      </c>
      <c r="B125" s="81" t="n">
        <f aca="true">RAND()</f>
        <v>0.854271028770218</v>
      </c>
      <c r="C125" s="82" t="n">
        <f aca="false">ROUND(IF(B125&lt;(Inputs!$E$8-Inputs!$D$8)/(Inputs!$F$8-Inputs!$D$8),Inputs!$D$8+SQRT(B125*(Inputs!$F$8-Inputs!$D$8)*(Inputs!$E$8-Inputs!$D$8)),Inputs!$F$8-SQRT((1-B125)*(Inputs!$F$8-Inputs!$D$8)*(Inputs!$F$8-Inputs!$E$8))),0)</f>
        <v>27</v>
      </c>
      <c r="D125" s="81" t="n">
        <f aca="true">RAND()</f>
        <v>0.555511678118875</v>
      </c>
      <c r="E125" s="83" t="n">
        <f aca="false">IF(D125&lt;(Inputs!$E$10-Inputs!$D$10)/(Inputs!$F$10-Inputs!$D$10),Inputs!$D$10+SQRT(D125*(Inputs!$F$10-Inputs!$D$10)*(Inputs!$E$10-Inputs!$D$10)),Inputs!$F$10-SQRT((1-D125)*(Inputs!$F$10-Inputs!$D$10)*(Inputs!$F$10-Inputs!$E$10)))</f>
        <v>0.0845242464565234</v>
      </c>
      <c r="F125" s="81" t="n">
        <f aca="true">RAND()</f>
        <v>0.157602573504817</v>
      </c>
      <c r="G125" s="83" t="n">
        <f aca="false">IF(F125&lt;(Inputs!$E$15-Inputs!$D$15)/(Inputs!$F$15-Inputs!$D$15),Inputs!$D$15+SQRT(F125*(Inputs!$F$15-Inputs!$D$15)*(Inputs!$E$15-Inputs!$D$15)),Inputs!$F$15-SQRT((1-F125)*(Inputs!$F$15-Inputs!$D$15)*(Inputs!$F$15-Inputs!$E$15)))</f>
        <v>0.656143133775167</v>
      </c>
      <c r="H125" s="81" t="n">
        <f aca="true">RAND()</f>
        <v>0.255649594772891</v>
      </c>
      <c r="I125" s="82" t="n">
        <f aca="false">ROUND(IF(H125&lt;(Inputs!$E$17-Inputs!$D$17)/(Inputs!$F$17-Inputs!$D$17),Inputs!$D$17+SQRT(H125*(Inputs!$F$17-Inputs!$D$17)*(Inputs!$E$17-Inputs!$D$17)),Inputs!$F$17-SQRT((1-H125)*(Inputs!$F$17-Inputs!$D$17)*(Inputs!$F$17-Inputs!$E$17))),0)</f>
        <v>104</v>
      </c>
      <c r="J125" s="81" t="n">
        <f aca="true">RAND()</f>
        <v>0.14995691803051</v>
      </c>
      <c r="K125" s="83" t="n">
        <f aca="false">IF(J125&lt;(Inputs!$E$18-Inputs!$D$18)/(Inputs!$F$18-Inputs!$D$18),Inputs!$D$18+SQRT(J125*(Inputs!$F$18-Inputs!$D$18)*(Inputs!$E$18-Inputs!$D$18)),Inputs!$F$18-SQRT((1-J125)*(Inputs!$F$18-Inputs!$D$18)*(Inputs!$F$18-Inputs!$E$18)))</f>
        <v>0.972446477699526</v>
      </c>
      <c r="L125" s="81" t="n">
        <f aca="true">RAND()</f>
        <v>0.397796009301693</v>
      </c>
      <c r="M125" s="83" t="n">
        <f aca="false">IF(L125&lt;(Inputs!$E$24-Inputs!$D$24)/(Inputs!$F$24-Inputs!$D$24),Inputs!$D$24+SQRT(L125*(Inputs!$F$24-Inputs!$D$24)*(Inputs!$E$24-Inputs!$D$24)),Inputs!$F$24-SQRT((1-L125)*(Inputs!$F$24-Inputs!$D$24)*(Inputs!$F$24-Inputs!$E$24)))</f>
        <v>0.819830356593805</v>
      </c>
      <c r="N125" s="81" t="n">
        <f aca="true">RAND()</f>
        <v>0.886778786748174</v>
      </c>
      <c r="O125" s="83" t="n">
        <f aca="false">IF(N125&lt;(Inputs!$E$26-Inputs!$D$26)/(Inputs!$F$26-Inputs!$D$26),Inputs!$D$26+SQRT(N125*(Inputs!$F$26-Inputs!$D$26)*(Inputs!$E$26-Inputs!$D$26)),Inputs!$F$26-SQRT((1-N125)*(Inputs!$F$26-Inputs!$D$26)*(Inputs!$F$26-Inputs!$E$26)))</f>
        <v>0.711487299461354</v>
      </c>
      <c r="P125" s="81" t="n">
        <f aca="true">RAND()</f>
        <v>0.896739552349528</v>
      </c>
      <c r="Q125" s="82" t="n">
        <f aca="false">IF(P125&lt;(Inputs!$E$27-Inputs!$D$27)/(Inputs!$F$27-Inputs!$D$27),Inputs!$D$27+SQRT(P125*(Inputs!$F$27-Inputs!$D$27)*(Inputs!$E$27-Inputs!$D$27)),Inputs!$F$27-SQRT((1-P125)*(Inputs!$F$27-Inputs!$D$27)*(Inputs!$F$27-Inputs!$E$27)))</f>
        <v>122.170997909042</v>
      </c>
      <c r="R125" s="81" t="n">
        <f aca="true">RAND()</f>
        <v>0.828357554525459</v>
      </c>
      <c r="S125" s="82" t="n">
        <f aca="false">IF(R125&lt;(Inputs!$E$29-Inputs!$D$29)/(Inputs!$F$29-Inputs!$D$29),Inputs!$D$29+SQRT(R125*(Inputs!$F$29-Inputs!$D$29)*(Inputs!$E$29-Inputs!$D$29)),Inputs!$F$29-SQRT((1-R125)*(Inputs!$F$29-Inputs!$D$29)*(Inputs!$F$29-Inputs!$E$29)))</f>
        <v>10.2762813471069</v>
      </c>
      <c r="T125" s="68" t="n">
        <f aca="false">Inputs!$E$9*(1+E125)+Inputs!$E$5*C125*(Inputs!$E$11*Inputs!$E$14*(G125*I125/Inputs!$E$16+(1-G125))*K125+Inputs!$E$23*M125)*(1+O125)+Inputs!$E$5*(Q125+S125)</f>
        <v>6865.32458471498</v>
      </c>
    </row>
    <row r="126" customFormat="false" ht="15" hidden="false" customHeight="false" outlineLevel="0" collapsed="false">
      <c r="A126" s="1" t="n">
        <v>122</v>
      </c>
      <c r="B126" s="81" t="n">
        <f aca="true">RAND()</f>
        <v>0.128243725357089</v>
      </c>
      <c r="C126" s="82" t="n">
        <f aca="false">ROUND(IF(B126&lt;(Inputs!$E$8-Inputs!$D$8)/(Inputs!$F$8-Inputs!$D$8),Inputs!$D$8+SQRT(B126*(Inputs!$F$8-Inputs!$D$8)*(Inputs!$E$8-Inputs!$D$8)),Inputs!$F$8-SQRT((1-B126)*(Inputs!$F$8-Inputs!$D$8)*(Inputs!$F$8-Inputs!$E$8))),0)</f>
        <v>23</v>
      </c>
      <c r="D126" s="81" t="n">
        <f aca="true">RAND()</f>
        <v>0.0155289696608475</v>
      </c>
      <c r="E126" s="83" t="n">
        <f aca="false">IF(D126&lt;(Inputs!$E$10-Inputs!$D$10)/(Inputs!$F$10-Inputs!$D$10),Inputs!$D$10+SQRT(D126*(Inputs!$F$10-Inputs!$D$10)*(Inputs!$E$10-Inputs!$D$10)),Inputs!$F$10-SQRT((1-D126)*(Inputs!$F$10-Inputs!$D$10)*(Inputs!$F$10-Inputs!$E$10)))</f>
        <v>0.0124615286625869</v>
      </c>
      <c r="F126" s="81" t="n">
        <f aca="true">RAND()</f>
        <v>0.94500910256988</v>
      </c>
      <c r="G126" s="83" t="n">
        <f aca="false">IF(F126&lt;(Inputs!$E$15-Inputs!$D$15)/(Inputs!$F$15-Inputs!$D$15),Inputs!$D$15+SQRT(F126*(Inputs!$F$15-Inputs!$D$15)*(Inputs!$E$15-Inputs!$D$15)),Inputs!$F$15-SQRT((1-F126)*(Inputs!$F$15-Inputs!$D$15)*(Inputs!$F$15-Inputs!$E$15)))</f>
        <v>0.766836496738095</v>
      </c>
      <c r="H126" s="81" t="n">
        <f aca="true">RAND()</f>
        <v>0.947130730488515</v>
      </c>
      <c r="I126" s="82" t="n">
        <f aca="false">ROUND(IF(H126&lt;(Inputs!$E$17-Inputs!$D$17)/(Inputs!$F$17-Inputs!$D$17),Inputs!$D$17+SQRT(H126*(Inputs!$F$17-Inputs!$D$17)*(Inputs!$E$17-Inputs!$D$17)),Inputs!$F$17-SQRT((1-H126)*(Inputs!$F$17-Inputs!$D$17)*(Inputs!$F$17-Inputs!$E$17))),0)</f>
        <v>112</v>
      </c>
      <c r="J126" s="81" t="n">
        <f aca="true">RAND()</f>
        <v>0.328722270177669</v>
      </c>
      <c r="K126" s="83" t="n">
        <f aca="false">IF(J126&lt;(Inputs!$E$18-Inputs!$D$18)/(Inputs!$F$18-Inputs!$D$18),Inputs!$D$18+SQRT(J126*(Inputs!$F$18-Inputs!$D$18)*(Inputs!$E$18-Inputs!$D$18)),Inputs!$F$18-SQRT((1-J126)*(Inputs!$F$18-Inputs!$D$18)*(Inputs!$F$18-Inputs!$E$18)))</f>
        <v>1.00764323537509</v>
      </c>
      <c r="L126" s="81" t="n">
        <f aca="true">RAND()</f>
        <v>0.121336284801978</v>
      </c>
      <c r="M126" s="83" t="n">
        <f aca="false">IF(L126&lt;(Inputs!$E$24-Inputs!$D$24)/(Inputs!$F$24-Inputs!$D$24),Inputs!$D$24+SQRT(L126*(Inputs!$F$24-Inputs!$D$24)*(Inputs!$E$24-Inputs!$D$24)),Inputs!$F$24-SQRT((1-L126)*(Inputs!$F$24-Inputs!$D$24)*(Inputs!$F$24-Inputs!$E$24)))</f>
        <v>0.720666292626555</v>
      </c>
      <c r="N126" s="81" t="n">
        <f aca="true">RAND()</f>
        <v>0.495412446417624</v>
      </c>
      <c r="O126" s="83" t="n">
        <f aca="false">IF(N126&lt;(Inputs!$E$26-Inputs!$D$26)/(Inputs!$F$26-Inputs!$D$26),Inputs!$D$26+SQRT(N126*(Inputs!$F$26-Inputs!$D$26)*(Inputs!$E$26-Inputs!$D$26)),Inputs!$F$26-SQRT((1-N126)*(Inputs!$F$26-Inputs!$D$26)*(Inputs!$F$26-Inputs!$E$26)))</f>
        <v>0.587117800012282</v>
      </c>
      <c r="P126" s="81" t="n">
        <f aca="true">RAND()</f>
        <v>0.570479641258229</v>
      </c>
      <c r="Q126" s="82" t="n">
        <f aca="false">IF(P126&lt;(Inputs!$E$27-Inputs!$D$27)/(Inputs!$F$27-Inputs!$D$27),Inputs!$D$27+SQRT(P126*(Inputs!$F$27-Inputs!$D$27)*(Inputs!$E$27-Inputs!$D$27)),Inputs!$F$27-SQRT((1-P126)*(Inputs!$F$27-Inputs!$D$27)*(Inputs!$F$27-Inputs!$E$27)))</f>
        <v>93.2425979227089</v>
      </c>
      <c r="R126" s="81" t="n">
        <f aca="true">RAND()</f>
        <v>0.408279643381167</v>
      </c>
      <c r="S126" s="82" t="n">
        <f aca="false">IF(R126&lt;(Inputs!$E$29-Inputs!$D$29)/(Inputs!$F$29-Inputs!$D$29),Inputs!$D$29+SQRT(R126*(Inputs!$F$29-Inputs!$D$29)*(Inputs!$E$29-Inputs!$D$29)),Inputs!$F$29-SQRT((1-R126)*(Inputs!$F$29-Inputs!$D$29)*(Inputs!$F$29-Inputs!$E$29)))</f>
        <v>6.22938734406494</v>
      </c>
      <c r="T126" s="68" t="n">
        <f aca="false">Inputs!$E$9*(1+E126)+Inputs!$E$5*C126*(Inputs!$E$11*Inputs!$E$14*(G126*I126/Inputs!$E$16+(1-G126))*K126+Inputs!$E$23*M126)*(1+O126)+Inputs!$E$5*(Q126+S126)</f>
        <v>5638.23241823336</v>
      </c>
    </row>
    <row r="127" customFormat="false" ht="15" hidden="false" customHeight="false" outlineLevel="0" collapsed="false">
      <c r="A127" s="1" t="n">
        <v>123</v>
      </c>
      <c r="B127" s="81" t="n">
        <f aca="true">RAND()</f>
        <v>0.585722570182338</v>
      </c>
      <c r="C127" s="82" t="n">
        <f aca="false">ROUND(IF(B127&lt;(Inputs!$E$8-Inputs!$D$8)/(Inputs!$F$8-Inputs!$D$8),Inputs!$D$8+SQRT(B127*(Inputs!$F$8-Inputs!$D$8)*(Inputs!$E$8-Inputs!$D$8)),Inputs!$F$8-SQRT((1-B127)*(Inputs!$F$8-Inputs!$D$8)*(Inputs!$F$8-Inputs!$E$8))),0)</f>
        <v>25</v>
      </c>
      <c r="D127" s="81" t="n">
        <f aca="true">RAND()</f>
        <v>0.890068234077464</v>
      </c>
      <c r="E127" s="83" t="n">
        <f aca="false">IF(D127&lt;(Inputs!$E$10-Inputs!$D$10)/(Inputs!$F$10-Inputs!$D$10),Inputs!$D$10+SQRT(D127*(Inputs!$F$10-Inputs!$D$10)*(Inputs!$E$10-Inputs!$D$10)),Inputs!$F$10-SQRT((1-D127)*(Inputs!$F$10-Inputs!$D$10)*(Inputs!$F$10-Inputs!$E$10)))</f>
        <v>0.14257219334089</v>
      </c>
      <c r="F127" s="81" t="n">
        <f aca="true">RAND()</f>
        <v>0.787543814681236</v>
      </c>
      <c r="G127" s="83" t="n">
        <f aca="false">IF(F127&lt;(Inputs!$E$15-Inputs!$D$15)/(Inputs!$F$15-Inputs!$D$15),Inputs!$D$15+SQRT(F127*(Inputs!$F$15-Inputs!$D$15)*(Inputs!$E$15-Inputs!$D$15)),Inputs!$F$15-SQRT((1-F127)*(Inputs!$F$15-Inputs!$D$15)*(Inputs!$F$15-Inputs!$E$15)))</f>
        <v>0.734814697159749</v>
      </c>
      <c r="H127" s="81" t="n">
        <f aca="true">RAND()</f>
        <v>0.774970556317192</v>
      </c>
      <c r="I127" s="82" t="n">
        <f aca="false">ROUND(IF(H127&lt;(Inputs!$E$17-Inputs!$D$17)/(Inputs!$F$17-Inputs!$D$17),Inputs!$D$17+SQRT(H127*(Inputs!$F$17-Inputs!$D$17)*(Inputs!$E$17-Inputs!$D$17)),Inputs!$F$17-SQRT((1-H127)*(Inputs!$F$17-Inputs!$D$17)*(Inputs!$F$17-Inputs!$E$17))),0)</f>
        <v>109</v>
      </c>
      <c r="J127" s="81" t="n">
        <f aca="true">RAND()</f>
        <v>0.390113546206516</v>
      </c>
      <c r="K127" s="83" t="n">
        <f aca="false">IF(J127&lt;(Inputs!$E$18-Inputs!$D$18)/(Inputs!$F$18-Inputs!$D$18),Inputs!$D$18+SQRT(J127*(Inputs!$F$18-Inputs!$D$18)*(Inputs!$E$18-Inputs!$D$18)),Inputs!$F$18-SQRT((1-J127)*(Inputs!$F$18-Inputs!$D$18)*(Inputs!$F$18-Inputs!$E$18)))</f>
        <v>1.01899120210059</v>
      </c>
      <c r="L127" s="81" t="n">
        <f aca="true">RAND()</f>
        <v>0.970364491318604</v>
      </c>
      <c r="M127" s="83" t="n">
        <f aca="false">IF(L127&lt;(Inputs!$E$24-Inputs!$D$24)/(Inputs!$F$24-Inputs!$D$24),Inputs!$D$24+SQRT(L127*(Inputs!$F$24-Inputs!$D$24)*(Inputs!$E$24-Inputs!$D$24)),Inputs!$F$24-SQRT((1-L127)*(Inputs!$F$24-Inputs!$D$24)*(Inputs!$F$24-Inputs!$E$24)))</f>
        <v>1.11566423010647</v>
      </c>
      <c r="N127" s="81" t="n">
        <f aca="true">RAND()</f>
        <v>0.336878353758386</v>
      </c>
      <c r="O127" s="83" t="n">
        <f aca="false">IF(N127&lt;(Inputs!$E$26-Inputs!$D$26)/(Inputs!$F$26-Inputs!$D$26),Inputs!$D$26+SQRT(N127*(Inputs!$F$26-Inputs!$D$26)*(Inputs!$E$26-Inputs!$D$26)),Inputs!$F$26-SQRT((1-N127)*(Inputs!$F$26-Inputs!$D$26)*(Inputs!$F$26-Inputs!$E$26)))</f>
        <v>0.536762661890332</v>
      </c>
      <c r="P127" s="81" t="n">
        <f aca="true">RAND()</f>
        <v>0.53278243303863</v>
      </c>
      <c r="Q127" s="82" t="n">
        <f aca="false">IF(P127&lt;(Inputs!$E$27-Inputs!$D$27)/(Inputs!$F$27-Inputs!$D$27),Inputs!$D$27+SQRT(P127*(Inputs!$F$27-Inputs!$D$27)*(Inputs!$E$27-Inputs!$D$27)),Inputs!$F$27-SQRT((1-P127)*(Inputs!$F$27-Inputs!$D$27)*(Inputs!$F$27-Inputs!$E$27)))</f>
        <v>90.8042927890014</v>
      </c>
      <c r="R127" s="81" t="n">
        <f aca="true">RAND()</f>
        <v>0.504428601696727</v>
      </c>
      <c r="S127" s="82" t="n">
        <f aca="false">IF(R127&lt;(Inputs!$E$29-Inputs!$D$29)/(Inputs!$F$29-Inputs!$D$29),Inputs!$D$29+SQRT(R127*(Inputs!$F$29-Inputs!$D$29)*(Inputs!$E$29-Inputs!$D$29)),Inputs!$F$29-SQRT((1-R127)*(Inputs!$F$29-Inputs!$D$29)*(Inputs!$F$29-Inputs!$E$29)))</f>
        <v>6.9735261926905</v>
      </c>
      <c r="T127" s="68" t="n">
        <f aca="false">Inputs!$E$9*(1+E127)+Inputs!$E$5*C127*(Inputs!$E$11*Inputs!$E$14*(G127*I127/Inputs!$E$16+(1-G127))*K127+Inputs!$E$23*M127)*(1+O127)+Inputs!$E$5*(Q127+S127)</f>
        <v>6635.48857500552</v>
      </c>
    </row>
    <row r="128" customFormat="false" ht="15" hidden="false" customHeight="false" outlineLevel="0" collapsed="false">
      <c r="A128" s="1" t="n">
        <v>124</v>
      </c>
      <c r="B128" s="81" t="n">
        <f aca="true">RAND()</f>
        <v>0.797113947327779</v>
      </c>
      <c r="C128" s="82" t="n">
        <f aca="false">ROUND(IF(B128&lt;(Inputs!$E$8-Inputs!$D$8)/(Inputs!$F$8-Inputs!$D$8),Inputs!$D$8+SQRT(B128*(Inputs!$F$8-Inputs!$D$8)*(Inputs!$E$8-Inputs!$D$8)),Inputs!$F$8-SQRT((1-B128)*(Inputs!$F$8-Inputs!$D$8)*(Inputs!$F$8-Inputs!$E$8))),0)</f>
        <v>27</v>
      </c>
      <c r="D128" s="81" t="n">
        <f aca="true">RAND()</f>
        <v>0.775347613236348</v>
      </c>
      <c r="E128" s="83" t="n">
        <f aca="false">IF(D128&lt;(Inputs!$E$10-Inputs!$D$10)/(Inputs!$F$10-Inputs!$D$10),Inputs!$D$10+SQRT(D128*(Inputs!$F$10-Inputs!$D$10)*(Inputs!$E$10-Inputs!$D$10)),Inputs!$F$10-SQRT((1-D128)*(Inputs!$F$10-Inputs!$D$10)*(Inputs!$F$10-Inputs!$E$10)))</f>
        <v>0.117905106109396</v>
      </c>
      <c r="F128" s="81" t="n">
        <f aca="true">RAND()</f>
        <v>0.31911192615081</v>
      </c>
      <c r="G128" s="83" t="n">
        <f aca="false">IF(F128&lt;(Inputs!$E$15-Inputs!$D$15)/(Inputs!$F$15-Inputs!$D$15),Inputs!$D$15+SQRT(F128*(Inputs!$F$15-Inputs!$D$15)*(Inputs!$E$15-Inputs!$D$15)),Inputs!$F$15-SQRT((1-F128)*(Inputs!$F$15-Inputs!$D$15)*(Inputs!$F$15-Inputs!$E$15)))</f>
        <v>0.679888913642734</v>
      </c>
      <c r="H128" s="81" t="n">
        <f aca="true">RAND()</f>
        <v>0.239123338347543</v>
      </c>
      <c r="I128" s="82" t="n">
        <f aca="false">ROUND(IF(H128&lt;(Inputs!$E$17-Inputs!$D$17)/(Inputs!$F$17-Inputs!$D$17),Inputs!$D$17+SQRT(H128*(Inputs!$F$17-Inputs!$D$17)*(Inputs!$E$17-Inputs!$D$17)),Inputs!$F$17-SQRT((1-H128)*(Inputs!$F$17-Inputs!$D$17)*(Inputs!$F$17-Inputs!$E$17))),0)</f>
        <v>104</v>
      </c>
      <c r="J128" s="81" t="n">
        <f aca="true">RAND()</f>
        <v>0.957063583794946</v>
      </c>
      <c r="K128" s="83" t="n">
        <f aca="false">IF(J128&lt;(Inputs!$E$18-Inputs!$D$18)/(Inputs!$F$18-Inputs!$D$18),Inputs!$D$18+SQRT(J128*(Inputs!$F$18-Inputs!$D$18)*(Inputs!$E$18-Inputs!$D$18)),Inputs!$F$18-SQRT((1-J128)*(Inputs!$F$18-Inputs!$D$18)*(Inputs!$F$18-Inputs!$E$18)))</f>
        <v>1.18870614698078</v>
      </c>
      <c r="L128" s="81" t="n">
        <f aca="true">RAND()</f>
        <v>0.249683885793951</v>
      </c>
      <c r="M128" s="83" t="n">
        <f aca="false">IF(L128&lt;(Inputs!$E$24-Inputs!$D$24)/(Inputs!$F$24-Inputs!$D$24),Inputs!$D$24+SQRT(L128*(Inputs!$F$24-Inputs!$D$24)*(Inputs!$E$24-Inputs!$D$24)),Inputs!$F$24-SQRT((1-L128)*(Inputs!$F$24-Inputs!$D$24)*(Inputs!$F$24-Inputs!$E$24)))</f>
        <v>0.77309554094567</v>
      </c>
      <c r="N128" s="81" t="n">
        <f aca="true">RAND()</f>
        <v>0.853688649434894</v>
      </c>
      <c r="O128" s="83" t="n">
        <f aca="false">IF(N128&lt;(Inputs!$E$26-Inputs!$D$26)/(Inputs!$F$26-Inputs!$D$26),Inputs!$D$26+SQRT(N128*(Inputs!$F$26-Inputs!$D$26)*(Inputs!$E$26-Inputs!$D$26)),Inputs!$F$26-SQRT((1-N128)*(Inputs!$F$26-Inputs!$D$26)*(Inputs!$F$26-Inputs!$E$26)))</f>
        <v>0.696645306296149</v>
      </c>
      <c r="P128" s="81" t="n">
        <f aca="true">RAND()</f>
        <v>0.844826917981899</v>
      </c>
      <c r="Q128" s="82" t="n">
        <f aca="false">IF(P128&lt;(Inputs!$E$27-Inputs!$D$27)/(Inputs!$F$27-Inputs!$D$27),Inputs!$D$27+SQRT(P128*(Inputs!$F$27-Inputs!$D$27)*(Inputs!$E$27-Inputs!$D$27)),Inputs!$F$27-SQRT((1-P128)*(Inputs!$F$27-Inputs!$D$27)*(Inputs!$F$27-Inputs!$E$27)))</f>
        <v>115.885514584919</v>
      </c>
      <c r="R128" s="81" t="n">
        <f aca="true">RAND()</f>
        <v>0.204259255093339</v>
      </c>
      <c r="S128" s="82" t="n">
        <f aca="false">IF(R128&lt;(Inputs!$E$29-Inputs!$D$29)/(Inputs!$F$29-Inputs!$D$29),Inputs!$D$29+SQRT(R128*(Inputs!$F$29-Inputs!$D$29)*(Inputs!$E$29-Inputs!$D$29)),Inputs!$F$29-SQRT((1-R128)*(Inputs!$F$29-Inputs!$D$29)*(Inputs!$F$29-Inputs!$E$29)))</f>
        <v>4.82242997231822</v>
      </c>
      <c r="T128" s="68" t="n">
        <f aca="false">Inputs!$E$9*(1+E128)+Inputs!$E$5*C128*(Inputs!$E$11*Inputs!$E$14*(G128*I128/Inputs!$E$16+(1-G128))*K128+Inputs!$E$23*M128)*(1+O128)+Inputs!$E$5*(Q128+S128)</f>
        <v>7270.79749720574</v>
      </c>
    </row>
    <row r="129" customFormat="false" ht="15" hidden="false" customHeight="false" outlineLevel="0" collapsed="false">
      <c r="A129" s="1" t="n">
        <v>125</v>
      </c>
      <c r="B129" s="81" t="n">
        <f aca="true">RAND()</f>
        <v>0.61218871849948</v>
      </c>
      <c r="C129" s="82" t="n">
        <f aca="false">ROUND(IF(B129&lt;(Inputs!$E$8-Inputs!$D$8)/(Inputs!$F$8-Inputs!$D$8),Inputs!$D$8+SQRT(B129*(Inputs!$F$8-Inputs!$D$8)*(Inputs!$E$8-Inputs!$D$8)),Inputs!$F$8-SQRT((1-B129)*(Inputs!$F$8-Inputs!$D$8)*(Inputs!$F$8-Inputs!$E$8))),0)</f>
        <v>26</v>
      </c>
      <c r="D129" s="81" t="n">
        <f aca="true">RAND()</f>
        <v>0.635344513516698</v>
      </c>
      <c r="E129" s="83" t="n">
        <f aca="false">IF(D129&lt;(Inputs!$E$10-Inputs!$D$10)/(Inputs!$F$10-Inputs!$D$10),Inputs!$D$10+SQRT(D129*(Inputs!$F$10-Inputs!$D$10)*(Inputs!$E$10-Inputs!$D$10)),Inputs!$F$10-SQRT((1-D129)*(Inputs!$F$10-Inputs!$D$10)*(Inputs!$F$10-Inputs!$E$10)))</f>
        <v>0.0954071484541172</v>
      </c>
      <c r="F129" s="81" t="n">
        <f aca="true">RAND()</f>
        <v>0.259115965284685</v>
      </c>
      <c r="G129" s="83" t="n">
        <f aca="false">IF(F129&lt;(Inputs!$E$15-Inputs!$D$15)/(Inputs!$F$15-Inputs!$D$15),Inputs!$D$15+SQRT(F129*(Inputs!$F$15-Inputs!$D$15)*(Inputs!$E$15-Inputs!$D$15)),Inputs!$F$15-SQRT((1-F129)*(Inputs!$F$15-Inputs!$D$15)*(Inputs!$F$15-Inputs!$E$15)))</f>
        <v>0.671988327565611</v>
      </c>
      <c r="H129" s="81" t="n">
        <f aca="true">RAND()</f>
        <v>0.0296154640089959</v>
      </c>
      <c r="I129" s="82" t="n">
        <f aca="false">ROUND(IF(H129&lt;(Inputs!$E$17-Inputs!$D$17)/(Inputs!$F$17-Inputs!$D$17),Inputs!$D$17+SQRT(H129*(Inputs!$F$17-Inputs!$D$17)*(Inputs!$E$17-Inputs!$D$17)),Inputs!$F$17-SQRT((1-H129)*(Inputs!$F$17-Inputs!$D$17)*(Inputs!$F$17-Inputs!$E$17))),0)</f>
        <v>101</v>
      </c>
      <c r="J129" s="81" t="n">
        <f aca="true">RAND()</f>
        <v>0.190508969298796</v>
      </c>
      <c r="K129" s="83" t="n">
        <f aca="false">IF(J129&lt;(Inputs!$E$18-Inputs!$D$18)/(Inputs!$F$18-Inputs!$D$18),Inputs!$D$18+SQRT(J129*(Inputs!$F$18-Inputs!$D$18)*(Inputs!$E$18-Inputs!$D$18)),Inputs!$F$18-SQRT((1-J129)*(Inputs!$F$18-Inputs!$D$18)*(Inputs!$F$18-Inputs!$E$18)))</f>
        <v>0.98165668328715</v>
      </c>
      <c r="L129" s="81" t="n">
        <f aca="true">RAND()</f>
        <v>0.519856402992785</v>
      </c>
      <c r="M129" s="83" t="n">
        <f aca="false">IF(L129&lt;(Inputs!$E$24-Inputs!$D$24)/(Inputs!$F$24-Inputs!$D$24),Inputs!$D$24+SQRT(L129*(Inputs!$F$24-Inputs!$D$24)*(Inputs!$E$24-Inputs!$D$24)),Inputs!$F$24-SQRT((1-L129)*(Inputs!$F$24-Inputs!$D$24)*(Inputs!$F$24-Inputs!$E$24)))</f>
        <v>0.860537979618144</v>
      </c>
      <c r="N129" s="81" t="n">
        <f aca="true">RAND()</f>
        <v>0.291939597763254</v>
      </c>
      <c r="O129" s="83" t="n">
        <f aca="false">IF(N129&lt;(Inputs!$E$26-Inputs!$D$26)/(Inputs!$F$26-Inputs!$D$26),Inputs!$D$26+SQRT(N129*(Inputs!$F$26-Inputs!$D$26)*(Inputs!$E$26-Inputs!$D$26)),Inputs!$F$26-SQRT((1-N129)*(Inputs!$F$26-Inputs!$D$26)*(Inputs!$F$26-Inputs!$E$26)))</f>
        <v>0.52040587348754</v>
      </c>
      <c r="P129" s="81" t="n">
        <f aca="true">RAND()</f>
        <v>0.841879832895195</v>
      </c>
      <c r="Q129" s="82" t="n">
        <f aca="false">IF(P129&lt;(Inputs!$E$27-Inputs!$D$27)/(Inputs!$F$27-Inputs!$D$27),Inputs!$D$27+SQRT(P129*(Inputs!$F$27-Inputs!$D$27)*(Inputs!$E$27-Inputs!$D$27)),Inputs!$F$27-SQRT((1-P129)*(Inputs!$F$27-Inputs!$D$27)*(Inputs!$F$27-Inputs!$E$27)))</f>
        <v>115.563082988078</v>
      </c>
      <c r="R129" s="81" t="n">
        <f aca="true">RAND()</f>
        <v>0.493890545811202</v>
      </c>
      <c r="S129" s="82" t="n">
        <f aca="false">IF(R129&lt;(Inputs!$E$29-Inputs!$D$29)/(Inputs!$F$29-Inputs!$D$29),Inputs!$D$29+SQRT(R129*(Inputs!$F$29-Inputs!$D$29)*(Inputs!$E$29-Inputs!$D$29)),Inputs!$F$29-SQRT((1-R129)*(Inputs!$F$29-Inputs!$D$29)*(Inputs!$F$29-Inputs!$E$29)))</f>
        <v>6.88863580866056</v>
      </c>
      <c r="T129" s="68" t="n">
        <f aca="false">Inputs!$E$9*(1+E129)+Inputs!$E$5*C129*(Inputs!$E$11*Inputs!$E$14*(G129*I129/Inputs!$E$16+(1-G129))*K129+Inputs!$E$23*M129)*(1+O129)+Inputs!$E$5*(Q129+S129)</f>
        <v>6311.58340672928</v>
      </c>
    </row>
    <row r="130" customFormat="false" ht="15" hidden="false" customHeight="false" outlineLevel="0" collapsed="false">
      <c r="A130" s="1" t="n">
        <v>126</v>
      </c>
      <c r="B130" s="81" t="n">
        <f aca="true">RAND()</f>
        <v>0.921690606581851</v>
      </c>
      <c r="C130" s="82" t="n">
        <f aca="false">ROUND(IF(B130&lt;(Inputs!$E$8-Inputs!$D$8)/(Inputs!$F$8-Inputs!$D$8),Inputs!$D$8+SQRT(B130*(Inputs!$F$8-Inputs!$D$8)*(Inputs!$E$8-Inputs!$D$8)),Inputs!$F$8-SQRT((1-B130)*(Inputs!$F$8-Inputs!$D$8)*(Inputs!$F$8-Inputs!$E$8))),0)</f>
        <v>28</v>
      </c>
      <c r="D130" s="81" t="n">
        <f aca="true">RAND()</f>
        <v>0.666782781048732</v>
      </c>
      <c r="E130" s="83" t="n">
        <f aca="false">IF(D130&lt;(Inputs!$E$10-Inputs!$D$10)/(Inputs!$F$10-Inputs!$D$10),Inputs!$D$10+SQRT(D130*(Inputs!$F$10-Inputs!$D$10)*(Inputs!$E$10-Inputs!$D$10)),Inputs!$F$10-SQRT((1-D130)*(Inputs!$F$10-Inputs!$D$10)*(Inputs!$F$10-Inputs!$E$10)))</f>
        <v>0.100017418674361</v>
      </c>
      <c r="F130" s="81" t="n">
        <f aca="true">RAND()</f>
        <v>0.00955091569566572</v>
      </c>
      <c r="G130" s="83" t="n">
        <f aca="false">IF(F130&lt;(Inputs!$E$15-Inputs!$D$15)/(Inputs!$F$15-Inputs!$D$15),Inputs!$D$15+SQRT(F130*(Inputs!$F$15-Inputs!$D$15)*(Inputs!$E$15-Inputs!$D$15)),Inputs!$F$15-SQRT((1-F130)*(Inputs!$F$15-Inputs!$D$15)*(Inputs!$F$15-Inputs!$E$15)))</f>
        <v>0.613820937519333</v>
      </c>
      <c r="H130" s="81" t="n">
        <f aca="true">RAND()</f>
        <v>0.0410624586819101</v>
      </c>
      <c r="I130" s="82" t="n">
        <f aca="false">ROUND(IF(H130&lt;(Inputs!$E$17-Inputs!$D$17)/(Inputs!$F$17-Inputs!$D$17),Inputs!$D$17+SQRT(H130*(Inputs!$F$17-Inputs!$D$17)*(Inputs!$E$17-Inputs!$D$17)),Inputs!$F$17-SQRT((1-H130)*(Inputs!$F$17-Inputs!$D$17)*(Inputs!$F$17-Inputs!$E$17))),0)</f>
        <v>102</v>
      </c>
      <c r="J130" s="81" t="n">
        <f aca="true">RAND()</f>
        <v>0.848507983096948</v>
      </c>
      <c r="K130" s="83" t="n">
        <f aca="false">IF(J130&lt;(Inputs!$E$18-Inputs!$D$18)/(Inputs!$F$18-Inputs!$D$18),Inputs!$D$18+SQRT(J130*(Inputs!$F$18-Inputs!$D$18)*(Inputs!$E$18-Inputs!$D$18)),Inputs!$F$18-SQRT((1-J130)*(Inputs!$F$18-Inputs!$D$18)*(Inputs!$F$18-Inputs!$E$18)))</f>
        <v>1.13486724410917</v>
      </c>
      <c r="L130" s="81" t="n">
        <f aca="true">RAND()</f>
        <v>0.700816525435366</v>
      </c>
      <c r="M130" s="83" t="n">
        <f aca="false">IF(L130&lt;(Inputs!$E$24-Inputs!$D$24)/(Inputs!$F$24-Inputs!$D$24),Inputs!$D$24+SQRT(L130*(Inputs!$F$24-Inputs!$D$24)*(Inputs!$E$24-Inputs!$D$24)),Inputs!$F$24-SQRT((1-L130)*(Inputs!$F$24-Inputs!$D$24)*(Inputs!$F$24-Inputs!$E$24)))</f>
        <v>0.932037252784063</v>
      </c>
      <c r="N130" s="81" t="n">
        <f aca="true">RAND()</f>
        <v>0.265039333633574</v>
      </c>
      <c r="O130" s="83" t="n">
        <f aca="false">IF(N130&lt;(Inputs!$E$26-Inputs!$D$26)/(Inputs!$F$26-Inputs!$D$26),Inputs!$D$26+SQRT(N130*(Inputs!$F$26-Inputs!$D$26)*(Inputs!$E$26-Inputs!$D$26)),Inputs!$F$26-SQRT((1-N130)*(Inputs!$F$26-Inputs!$D$26)*(Inputs!$F$26-Inputs!$E$26)))</f>
        <v>0.510006059714063</v>
      </c>
      <c r="P130" s="81" t="n">
        <f aca="true">RAND()</f>
        <v>0.918627718833044</v>
      </c>
      <c r="Q130" s="82" t="n">
        <f aca="false">IF(P130&lt;(Inputs!$E$27-Inputs!$D$27)/(Inputs!$F$27-Inputs!$D$27),Inputs!$D$27+SQRT(P130*(Inputs!$F$27-Inputs!$D$27)*(Inputs!$E$27-Inputs!$D$27)),Inputs!$F$27-SQRT((1-P130)*(Inputs!$F$27-Inputs!$D$27)*(Inputs!$F$27-Inputs!$E$27)))</f>
        <v>125.295909068493</v>
      </c>
      <c r="R130" s="81" t="n">
        <f aca="true">RAND()</f>
        <v>0.413872640115843</v>
      </c>
      <c r="S130" s="82" t="n">
        <f aca="false">IF(R130&lt;(Inputs!$E$29-Inputs!$D$29)/(Inputs!$F$29-Inputs!$D$29),Inputs!$D$29+SQRT(R130*(Inputs!$F$29-Inputs!$D$29)*(Inputs!$E$29-Inputs!$D$29)),Inputs!$F$29-SQRT((1-R130)*(Inputs!$F$29-Inputs!$D$29)*(Inputs!$F$29-Inputs!$E$29)))</f>
        <v>6.27093608770445</v>
      </c>
      <c r="T130" s="68" t="n">
        <f aca="false">Inputs!$E$9*(1+E130)+Inputs!$E$5*C130*(Inputs!$E$11*Inputs!$E$14*(G130*I130/Inputs!$E$16+(1-G130))*K130+Inputs!$E$23*M130)*(1+O130)+Inputs!$E$5*(Q130+S130)</f>
        <v>7160.38870111815</v>
      </c>
    </row>
    <row r="131" customFormat="false" ht="15" hidden="false" customHeight="false" outlineLevel="0" collapsed="false">
      <c r="A131" s="1" t="n">
        <v>127</v>
      </c>
      <c r="B131" s="81" t="n">
        <f aca="true">RAND()</f>
        <v>0.470446090918561</v>
      </c>
      <c r="C131" s="82" t="n">
        <f aca="false">ROUND(IF(B131&lt;(Inputs!$E$8-Inputs!$D$8)/(Inputs!$F$8-Inputs!$D$8),Inputs!$D$8+SQRT(B131*(Inputs!$F$8-Inputs!$D$8)*(Inputs!$E$8-Inputs!$D$8)),Inputs!$F$8-SQRT((1-B131)*(Inputs!$F$8-Inputs!$D$8)*(Inputs!$F$8-Inputs!$E$8))),0)</f>
        <v>25</v>
      </c>
      <c r="D131" s="81" t="n">
        <f aca="true">RAND()</f>
        <v>0.631927665189209</v>
      </c>
      <c r="E131" s="83" t="n">
        <f aca="false">IF(D131&lt;(Inputs!$E$10-Inputs!$D$10)/(Inputs!$F$10-Inputs!$D$10),Inputs!$D$10+SQRT(D131*(Inputs!$F$10-Inputs!$D$10)*(Inputs!$E$10-Inputs!$D$10)),Inputs!$F$10-SQRT((1-D131)*(Inputs!$F$10-Inputs!$D$10)*(Inputs!$F$10-Inputs!$E$10)))</f>
        <v>0.0949182696929493</v>
      </c>
      <c r="F131" s="81" t="n">
        <f aca="true">RAND()</f>
        <v>0.945309426129255</v>
      </c>
      <c r="G131" s="83" t="n">
        <f aca="false">IF(F131&lt;(Inputs!$E$15-Inputs!$D$15)/(Inputs!$F$15-Inputs!$D$15),Inputs!$D$15+SQRT(F131*(Inputs!$F$15-Inputs!$D$15)*(Inputs!$E$15-Inputs!$D$15)),Inputs!$F$15-SQRT((1-F131)*(Inputs!$F$15-Inputs!$D$15)*(Inputs!$F$15-Inputs!$E$15)))</f>
        <v>0.766927179173604</v>
      </c>
      <c r="H131" s="81" t="n">
        <f aca="true">RAND()</f>
        <v>0.952025505128398</v>
      </c>
      <c r="I131" s="82" t="n">
        <f aca="false">ROUND(IF(H131&lt;(Inputs!$E$17-Inputs!$D$17)/(Inputs!$F$17-Inputs!$D$17),Inputs!$D$17+SQRT(H131*(Inputs!$F$17-Inputs!$D$17)*(Inputs!$E$17-Inputs!$D$17)),Inputs!$F$17-SQRT((1-H131)*(Inputs!$F$17-Inputs!$D$17)*(Inputs!$F$17-Inputs!$E$17))),0)</f>
        <v>112</v>
      </c>
      <c r="J131" s="81" t="n">
        <f aca="true">RAND()</f>
        <v>0.265098125161306</v>
      </c>
      <c r="K131" s="83" t="n">
        <f aca="false">IF(J131&lt;(Inputs!$E$18-Inputs!$D$18)/(Inputs!$F$18-Inputs!$D$18),Inputs!$D$18+SQRT(J131*(Inputs!$F$18-Inputs!$D$18)*(Inputs!$E$18-Inputs!$D$18)),Inputs!$F$18-SQRT((1-J131)*(Inputs!$F$18-Inputs!$D$18)*(Inputs!$F$18-Inputs!$E$18)))</f>
        <v>0.996324630186914</v>
      </c>
      <c r="L131" s="81" t="n">
        <f aca="true">RAND()</f>
        <v>0.181746267225229</v>
      </c>
      <c r="M131" s="83" t="n">
        <f aca="false">IF(L131&lt;(Inputs!$E$24-Inputs!$D$24)/(Inputs!$F$24-Inputs!$D$24),Inputs!$D$24+SQRT(L131*(Inputs!$F$24-Inputs!$D$24)*(Inputs!$E$24-Inputs!$D$24)),Inputs!$F$24-SQRT((1-L131)*(Inputs!$F$24-Inputs!$D$24)*(Inputs!$F$24-Inputs!$E$24)))</f>
        <v>0.747680574440335</v>
      </c>
      <c r="N131" s="81" t="n">
        <f aca="true">RAND()</f>
        <v>0.566633886926355</v>
      </c>
      <c r="O131" s="83" t="n">
        <f aca="false">IF(N131&lt;(Inputs!$E$26-Inputs!$D$26)/(Inputs!$F$26-Inputs!$D$26),Inputs!$D$26+SQRT(N131*(Inputs!$F$26-Inputs!$D$26)*(Inputs!$E$26-Inputs!$D$26)),Inputs!$F$26-SQRT((1-N131)*(Inputs!$F$26-Inputs!$D$26)*(Inputs!$F$26-Inputs!$E$26)))</f>
        <v>0.607063313967243</v>
      </c>
      <c r="P131" s="81" t="n">
        <f aca="true">RAND()</f>
        <v>0.253306571476088</v>
      </c>
      <c r="Q131" s="82" t="n">
        <f aca="false">IF(P131&lt;(Inputs!$E$27-Inputs!$D$27)/(Inputs!$F$27-Inputs!$D$27),Inputs!$D$27+SQRT(P131*(Inputs!$F$27-Inputs!$D$27)*(Inputs!$E$27-Inputs!$D$27)),Inputs!$F$27-SQRT((1-P131)*(Inputs!$F$27-Inputs!$D$27)*(Inputs!$F$27-Inputs!$E$27)))</f>
        <v>75.165511200187</v>
      </c>
      <c r="R131" s="81" t="n">
        <f aca="true">RAND()</f>
        <v>0.39133791365171</v>
      </c>
      <c r="S131" s="82" t="n">
        <f aca="false">IF(R131&lt;(Inputs!$E$29-Inputs!$D$29)/(Inputs!$F$29-Inputs!$D$29),Inputs!$D$29+SQRT(R131*(Inputs!$F$29-Inputs!$D$29)*(Inputs!$E$29-Inputs!$D$29)),Inputs!$F$29-SQRT((1-R131)*(Inputs!$F$29-Inputs!$D$29)*(Inputs!$F$29-Inputs!$E$29)))</f>
        <v>6.10471634936369</v>
      </c>
      <c r="T131" s="68" t="n">
        <f aca="false">Inputs!$E$9*(1+E131)+Inputs!$E$5*C131*(Inputs!$E$11*Inputs!$E$14*(G131*I131/Inputs!$E$16+(1-G131))*K131+Inputs!$E$23*M131)*(1+O131)+Inputs!$E$5*(Q131+S131)</f>
        <v>6035.93000881097</v>
      </c>
    </row>
    <row r="132" customFormat="false" ht="15" hidden="false" customHeight="false" outlineLevel="0" collapsed="false">
      <c r="A132" s="1" t="n">
        <v>128</v>
      </c>
      <c r="B132" s="81" t="n">
        <f aca="true">RAND()</f>
        <v>0.91741311387013</v>
      </c>
      <c r="C132" s="82" t="n">
        <f aca="false">ROUND(IF(B132&lt;(Inputs!$E$8-Inputs!$D$8)/(Inputs!$F$8-Inputs!$D$8),Inputs!$D$8+SQRT(B132*(Inputs!$F$8-Inputs!$D$8)*(Inputs!$E$8-Inputs!$D$8)),Inputs!$F$8-SQRT((1-B132)*(Inputs!$F$8-Inputs!$D$8)*(Inputs!$F$8-Inputs!$E$8))),0)</f>
        <v>28</v>
      </c>
      <c r="D132" s="81" t="n">
        <f aca="true">RAND()</f>
        <v>0.0526209243383745</v>
      </c>
      <c r="E132" s="83" t="n">
        <f aca="false">IF(D132&lt;(Inputs!$E$10-Inputs!$D$10)/(Inputs!$F$10-Inputs!$D$10),Inputs!$D$10+SQRT(D132*(Inputs!$F$10-Inputs!$D$10)*(Inputs!$E$10-Inputs!$D$10)),Inputs!$F$10-SQRT((1-D132)*(Inputs!$F$10-Inputs!$D$10)*(Inputs!$F$10-Inputs!$E$10)))</f>
        <v>0.0229392511513289</v>
      </c>
      <c r="F132" s="81" t="n">
        <f aca="true">RAND()</f>
        <v>0.00243834152048615</v>
      </c>
      <c r="G132" s="83" t="n">
        <f aca="false">IF(F132&lt;(Inputs!$E$15-Inputs!$D$15)/(Inputs!$F$15-Inputs!$D$15),Inputs!$D$15+SQRT(F132*(Inputs!$F$15-Inputs!$D$15)*(Inputs!$E$15-Inputs!$D$15)),Inputs!$F$15-SQRT((1-F132)*(Inputs!$F$15-Inputs!$D$15)*(Inputs!$F$15-Inputs!$E$15)))</f>
        <v>0.606983325168551</v>
      </c>
      <c r="H132" s="81" t="n">
        <f aca="true">RAND()</f>
        <v>0.818796099151767</v>
      </c>
      <c r="I132" s="82" t="n">
        <f aca="false">ROUND(IF(H132&lt;(Inputs!$E$17-Inputs!$D$17)/(Inputs!$F$17-Inputs!$D$17),Inputs!$D$17+SQRT(H132*(Inputs!$F$17-Inputs!$D$17)*(Inputs!$E$17-Inputs!$D$17)),Inputs!$F$17-SQRT((1-H132)*(Inputs!$F$17-Inputs!$D$17)*(Inputs!$F$17-Inputs!$E$17))),0)</f>
        <v>110</v>
      </c>
      <c r="J132" s="81" t="n">
        <f aca="true">RAND()</f>
        <v>0.366870178798156</v>
      </c>
      <c r="K132" s="83" t="n">
        <f aca="false">IF(J132&lt;(Inputs!$E$18-Inputs!$D$18)/(Inputs!$F$18-Inputs!$D$18),Inputs!$D$18+SQRT(J132*(Inputs!$F$18-Inputs!$D$18)*(Inputs!$E$18-Inputs!$D$18)),Inputs!$F$18-SQRT((1-J132)*(Inputs!$F$18-Inputs!$D$18)*(Inputs!$F$18-Inputs!$E$18)))</f>
        <v>1.01463037716145</v>
      </c>
      <c r="L132" s="81" t="n">
        <f aca="true">RAND()</f>
        <v>0.112065232692958</v>
      </c>
      <c r="M132" s="83" t="n">
        <f aca="false">IF(L132&lt;(Inputs!$E$24-Inputs!$D$24)/(Inputs!$F$24-Inputs!$D$24),Inputs!$D$24+SQRT(L132*(Inputs!$F$24-Inputs!$D$24)*(Inputs!$E$24-Inputs!$D$24)),Inputs!$F$24-SQRT((1-L132)*(Inputs!$F$24-Inputs!$D$24)*(Inputs!$F$24-Inputs!$E$24)))</f>
        <v>0.715964770181098</v>
      </c>
      <c r="N132" s="81" t="n">
        <f aca="true">RAND()</f>
        <v>0.821320788621314</v>
      </c>
      <c r="O132" s="83" t="n">
        <f aca="false">IF(N132&lt;(Inputs!$E$26-Inputs!$D$26)/(Inputs!$F$26-Inputs!$D$26),Inputs!$D$26+SQRT(N132*(Inputs!$F$26-Inputs!$D$26)*(Inputs!$E$26-Inputs!$D$26)),Inputs!$F$26-SQRT((1-N132)*(Inputs!$F$26-Inputs!$D$26)*(Inputs!$F$26-Inputs!$E$26)))</f>
        <v>0.683681850132188</v>
      </c>
      <c r="P132" s="81" t="n">
        <f aca="true">RAND()</f>
        <v>0.976201453575258</v>
      </c>
      <c r="Q132" s="82" t="n">
        <f aca="false">IF(P132&lt;(Inputs!$E$27-Inputs!$D$27)/(Inputs!$F$27-Inputs!$D$27),Inputs!$D$27+SQRT(P132*(Inputs!$F$27-Inputs!$D$27)*(Inputs!$E$27-Inputs!$D$27)),Inputs!$F$27-SQRT((1-P132)*(Inputs!$F$27-Inputs!$D$27)*(Inputs!$F$27-Inputs!$E$27)))</f>
        <v>136.640018780493</v>
      </c>
      <c r="R132" s="81" t="n">
        <f aca="true">RAND()</f>
        <v>0.044696461132321</v>
      </c>
      <c r="S132" s="82" t="n">
        <f aca="false">IF(R132&lt;(Inputs!$E$29-Inputs!$D$29)/(Inputs!$F$29-Inputs!$D$29),Inputs!$D$29+SQRT(R132*(Inputs!$F$29-Inputs!$D$29)*(Inputs!$E$29-Inputs!$D$29)),Inputs!$F$29-SQRT((1-R132)*(Inputs!$F$29-Inputs!$D$29)*(Inputs!$F$29-Inputs!$E$29)))</f>
        <v>3.32028859881486</v>
      </c>
      <c r="T132" s="68" t="n">
        <f aca="false">Inputs!$E$9*(1+E132)+Inputs!$E$5*C132*(Inputs!$E$11*Inputs!$E$14*(G132*I132/Inputs!$E$16+(1-G132))*K132+Inputs!$E$23*M132)*(1+O132)+Inputs!$E$5*(Q132+S132)</f>
        <v>6930.85806257309</v>
      </c>
    </row>
    <row r="133" customFormat="false" ht="15" hidden="false" customHeight="false" outlineLevel="0" collapsed="false">
      <c r="A133" s="1" t="n">
        <v>129</v>
      </c>
      <c r="B133" s="81" t="n">
        <f aca="true">RAND()</f>
        <v>0.695322474650743</v>
      </c>
      <c r="C133" s="82" t="n">
        <f aca="false">ROUND(IF(B133&lt;(Inputs!$E$8-Inputs!$D$8)/(Inputs!$F$8-Inputs!$D$8),Inputs!$D$8+SQRT(B133*(Inputs!$F$8-Inputs!$D$8)*(Inputs!$E$8-Inputs!$D$8)),Inputs!$F$8-SQRT((1-B133)*(Inputs!$F$8-Inputs!$D$8)*(Inputs!$F$8-Inputs!$E$8))),0)</f>
        <v>26</v>
      </c>
      <c r="D133" s="81" t="n">
        <f aca="true">RAND()</f>
        <v>0.829536754863291</v>
      </c>
      <c r="E133" s="83" t="n">
        <f aca="false">IF(D133&lt;(Inputs!$E$10-Inputs!$D$10)/(Inputs!$F$10-Inputs!$D$10),Inputs!$D$10+SQRT(D133*(Inputs!$F$10-Inputs!$D$10)*(Inputs!$E$10-Inputs!$D$10)),Inputs!$F$10-SQRT((1-D133)*(Inputs!$F$10-Inputs!$D$10)*(Inputs!$F$10-Inputs!$E$10)))</f>
        <v>0.128488480969139</v>
      </c>
      <c r="F133" s="81" t="n">
        <f aca="true">RAND()</f>
        <v>0.312509750047757</v>
      </c>
      <c r="G133" s="83" t="n">
        <f aca="false">IF(F133&lt;(Inputs!$E$15-Inputs!$D$15)/(Inputs!$F$15-Inputs!$D$15),Inputs!$D$15+SQRT(F133*(Inputs!$F$15-Inputs!$D$15)*(Inputs!$E$15-Inputs!$D$15)),Inputs!$F$15-SQRT((1-F133)*(Inputs!$F$15-Inputs!$D$15)*(Inputs!$F$15-Inputs!$E$15)))</f>
        <v>0.679058174788918</v>
      </c>
      <c r="H133" s="81" t="n">
        <f aca="true">RAND()</f>
        <v>0.629517599387247</v>
      </c>
      <c r="I133" s="82" t="n">
        <f aca="false">ROUND(IF(H133&lt;(Inputs!$E$17-Inputs!$D$17)/(Inputs!$F$17-Inputs!$D$17),Inputs!$D$17+SQRT(H133*(Inputs!$F$17-Inputs!$D$17)*(Inputs!$E$17-Inputs!$D$17)),Inputs!$F$17-SQRT((1-H133)*(Inputs!$F$17-Inputs!$D$17)*(Inputs!$F$17-Inputs!$E$17))),0)</f>
        <v>108</v>
      </c>
      <c r="J133" s="81" t="n">
        <f aca="true">RAND()</f>
        <v>0.555403193251267</v>
      </c>
      <c r="K133" s="83" t="n">
        <f aca="false">IF(J133&lt;(Inputs!$E$18-Inputs!$D$18)/(Inputs!$F$18-Inputs!$D$18),Inputs!$D$18+SQRT(J133*(Inputs!$F$18-Inputs!$D$18)*(Inputs!$E$18-Inputs!$D$18)),Inputs!$F$18-SQRT((1-J133)*(Inputs!$F$18-Inputs!$D$18)*(Inputs!$F$18-Inputs!$E$18)))</f>
        <v>1.05276354142676</v>
      </c>
      <c r="L133" s="81" t="n">
        <f aca="true">RAND()</f>
        <v>0.978729081886988</v>
      </c>
      <c r="M133" s="83" t="n">
        <f aca="false">IF(L133&lt;(Inputs!$E$24-Inputs!$D$24)/(Inputs!$F$24-Inputs!$D$24),Inputs!$D$24+SQRT(L133*(Inputs!$F$24-Inputs!$D$24)*(Inputs!$E$24-Inputs!$D$24)),Inputs!$F$24-SQRT((1-L133)*(Inputs!$F$24-Inputs!$D$24)*(Inputs!$F$24-Inputs!$E$24)))</f>
        <v>1.12855057489998</v>
      </c>
      <c r="N133" s="81" t="n">
        <f aca="true">RAND()</f>
        <v>0.479461156050304</v>
      </c>
      <c r="O133" s="83" t="n">
        <f aca="false">IF(N133&lt;(Inputs!$E$26-Inputs!$D$26)/(Inputs!$F$26-Inputs!$D$26),Inputs!$D$26+SQRT(N133*(Inputs!$F$26-Inputs!$D$26)*(Inputs!$E$26-Inputs!$D$26)),Inputs!$F$26-SQRT((1-N133)*(Inputs!$F$26-Inputs!$D$26)*(Inputs!$F$26-Inputs!$E$26)))</f>
        <v>0.582457671814328</v>
      </c>
      <c r="P133" s="81" t="n">
        <f aca="true">RAND()</f>
        <v>0.890599704970891</v>
      </c>
      <c r="Q133" s="82" t="n">
        <f aca="false">IF(P133&lt;(Inputs!$E$27-Inputs!$D$27)/(Inputs!$F$27-Inputs!$D$27),Inputs!$D$27+SQRT(P133*(Inputs!$F$27-Inputs!$D$27)*(Inputs!$E$27-Inputs!$D$27)),Inputs!$F$27-SQRT((1-P133)*(Inputs!$F$27-Inputs!$D$27)*(Inputs!$F$27-Inputs!$E$27)))</f>
        <v>121.355590201257</v>
      </c>
      <c r="R133" s="81" t="n">
        <f aca="true">RAND()</f>
        <v>0.128367965836664</v>
      </c>
      <c r="S133" s="82" t="n">
        <f aca="false">IF(R133&lt;(Inputs!$E$29-Inputs!$D$29)/(Inputs!$F$29-Inputs!$D$29),Inputs!$D$29+SQRT(R133*(Inputs!$F$29-Inputs!$D$29)*(Inputs!$E$29-Inputs!$D$29)),Inputs!$F$29-SQRT((1-R133)*(Inputs!$F$29-Inputs!$D$29)*(Inputs!$F$29-Inputs!$E$29)))</f>
        <v>4.23748757932416</v>
      </c>
      <c r="T133" s="68" t="n">
        <f aca="false">Inputs!$E$9*(1+E133)+Inputs!$E$5*C133*(Inputs!$E$11*Inputs!$E$14*(G133*I133/Inputs!$E$16+(1-G133))*K133+Inputs!$E$23*M133)*(1+O133)+Inputs!$E$5*(Q133+S133)</f>
        <v>7159.01597655082</v>
      </c>
    </row>
    <row r="134" customFormat="false" ht="15" hidden="false" customHeight="false" outlineLevel="0" collapsed="false">
      <c r="A134" s="1" t="n">
        <v>130</v>
      </c>
      <c r="B134" s="81" t="n">
        <f aca="true">RAND()</f>
        <v>0.427342596273353</v>
      </c>
      <c r="C134" s="82" t="n">
        <f aca="false">ROUND(IF(B134&lt;(Inputs!$E$8-Inputs!$D$8)/(Inputs!$F$8-Inputs!$D$8),Inputs!$D$8+SQRT(B134*(Inputs!$F$8-Inputs!$D$8)*(Inputs!$E$8-Inputs!$D$8)),Inputs!$F$8-SQRT((1-B134)*(Inputs!$F$8-Inputs!$D$8)*(Inputs!$F$8-Inputs!$E$8))),0)</f>
        <v>25</v>
      </c>
      <c r="D134" s="81" t="n">
        <f aca="true">RAND()</f>
        <v>0.116242359948059</v>
      </c>
      <c r="E134" s="83" t="n">
        <f aca="false">IF(D134&lt;(Inputs!$E$10-Inputs!$D$10)/(Inputs!$F$10-Inputs!$D$10),Inputs!$D$10+SQRT(D134*(Inputs!$F$10-Inputs!$D$10)*(Inputs!$E$10-Inputs!$D$10)),Inputs!$F$10-SQRT((1-D134)*(Inputs!$F$10-Inputs!$D$10)*(Inputs!$F$10-Inputs!$E$10)))</f>
        <v>0.0340943338324801</v>
      </c>
      <c r="F134" s="81" t="n">
        <f aca="true">RAND()</f>
        <v>0.445956342343826</v>
      </c>
      <c r="G134" s="83" t="n">
        <f aca="false">IF(F134&lt;(Inputs!$E$15-Inputs!$D$15)/(Inputs!$F$15-Inputs!$D$15),Inputs!$D$15+SQRT(F134*(Inputs!$F$15-Inputs!$D$15)*(Inputs!$E$15-Inputs!$D$15)),Inputs!$F$15-SQRT((1-F134)*(Inputs!$F$15-Inputs!$D$15)*(Inputs!$F$15-Inputs!$E$15)))</f>
        <v>0.694441129000433</v>
      </c>
      <c r="H134" s="81" t="n">
        <f aca="true">RAND()</f>
        <v>0.824348052752497</v>
      </c>
      <c r="I134" s="82" t="n">
        <f aca="false">ROUND(IF(H134&lt;(Inputs!$E$17-Inputs!$D$17)/(Inputs!$F$17-Inputs!$D$17),Inputs!$D$17+SQRT(H134*(Inputs!$F$17-Inputs!$D$17)*(Inputs!$E$17-Inputs!$D$17)),Inputs!$F$17-SQRT((1-H134)*(Inputs!$F$17-Inputs!$D$17)*(Inputs!$F$17-Inputs!$E$17))),0)</f>
        <v>110</v>
      </c>
      <c r="J134" s="81" t="n">
        <f aca="true">RAND()</f>
        <v>0.886368784410079</v>
      </c>
      <c r="K134" s="83" t="n">
        <f aca="false">IF(J134&lt;(Inputs!$E$18-Inputs!$D$18)/(Inputs!$F$18-Inputs!$D$18),Inputs!$D$18+SQRT(J134*(Inputs!$F$18-Inputs!$D$18)*(Inputs!$E$18-Inputs!$D$18)),Inputs!$F$18-SQRT((1-J134)*(Inputs!$F$18-Inputs!$D$18)*(Inputs!$F$18-Inputs!$E$18)))</f>
        <v>1.15028675431961</v>
      </c>
      <c r="L134" s="81" t="n">
        <f aca="true">RAND()</f>
        <v>0.49820233033556</v>
      </c>
      <c r="M134" s="83" t="n">
        <f aca="false">IF(L134&lt;(Inputs!$E$24-Inputs!$D$24)/(Inputs!$F$24-Inputs!$D$24),Inputs!$D$24+SQRT(L134*(Inputs!$F$24-Inputs!$D$24)*(Inputs!$E$24-Inputs!$D$24)),Inputs!$F$24-SQRT((1-L134)*(Inputs!$F$24-Inputs!$D$24)*(Inputs!$F$24-Inputs!$E$24)))</f>
        <v>0.852967666175808</v>
      </c>
      <c r="N134" s="81" t="n">
        <f aca="true">RAND()</f>
        <v>0.974156085462185</v>
      </c>
      <c r="O134" s="83" t="n">
        <f aca="false">IF(N134&lt;(Inputs!$E$26-Inputs!$D$26)/(Inputs!$F$26-Inputs!$D$26),Inputs!$D$26+SQRT(N134*(Inputs!$F$26-Inputs!$D$26)*(Inputs!$E$26-Inputs!$D$26)),Inputs!$F$26-SQRT((1-N134)*(Inputs!$F$26-Inputs!$D$26)*(Inputs!$F$26-Inputs!$E$26)))</f>
        <v>0.768156320424445</v>
      </c>
      <c r="P134" s="81" t="n">
        <f aca="true">RAND()</f>
        <v>0.778663081800847</v>
      </c>
      <c r="Q134" s="82" t="n">
        <f aca="false">IF(P134&lt;(Inputs!$E$27-Inputs!$D$27)/(Inputs!$F$27-Inputs!$D$27),Inputs!$D$27+SQRT(P134*(Inputs!$F$27-Inputs!$D$27)*(Inputs!$E$27-Inputs!$D$27)),Inputs!$F$27-SQRT((1-P134)*(Inputs!$F$27-Inputs!$D$27)*(Inputs!$F$27-Inputs!$E$27)))</f>
        <v>109.256572474893</v>
      </c>
      <c r="R134" s="81" t="n">
        <f aca="true">RAND()</f>
        <v>0.213920663376379</v>
      </c>
      <c r="S134" s="82" t="n">
        <f aca="false">IF(R134&lt;(Inputs!$E$29-Inputs!$D$29)/(Inputs!$F$29-Inputs!$D$29),Inputs!$D$29+SQRT(R134*(Inputs!$F$29-Inputs!$D$29)*(Inputs!$E$29-Inputs!$D$29)),Inputs!$F$29-SQRT((1-R134)*(Inputs!$F$29-Inputs!$D$29)*(Inputs!$F$29-Inputs!$E$29)))</f>
        <v>4.88840888235699</v>
      </c>
      <c r="T134" s="68" t="n">
        <f aca="false">Inputs!$E$9*(1+E134)+Inputs!$E$5*C134*(Inputs!$E$11*Inputs!$E$14*(G134*I134/Inputs!$E$16+(1-G134))*K134+Inputs!$E$23*M134)*(1+O134)+Inputs!$E$5*(Q134+S134)</f>
        <v>7003.38528537476</v>
      </c>
    </row>
    <row r="135" customFormat="false" ht="15" hidden="false" customHeight="false" outlineLevel="0" collapsed="false">
      <c r="A135" s="1" t="n">
        <v>131</v>
      </c>
      <c r="B135" s="81" t="n">
        <f aca="true">RAND()</f>
        <v>0.661563350629818</v>
      </c>
      <c r="C135" s="82" t="n">
        <f aca="false">ROUND(IF(B135&lt;(Inputs!$E$8-Inputs!$D$8)/(Inputs!$F$8-Inputs!$D$8),Inputs!$D$8+SQRT(B135*(Inputs!$F$8-Inputs!$D$8)*(Inputs!$E$8-Inputs!$D$8)),Inputs!$F$8-SQRT((1-B135)*(Inputs!$F$8-Inputs!$D$8)*(Inputs!$F$8-Inputs!$E$8))),0)</f>
        <v>26</v>
      </c>
      <c r="D135" s="81" t="n">
        <f aca="true">RAND()</f>
        <v>0.29474356057274</v>
      </c>
      <c r="E135" s="83" t="n">
        <f aca="false">IF(D135&lt;(Inputs!$E$10-Inputs!$D$10)/(Inputs!$F$10-Inputs!$D$10),Inputs!$D$10+SQRT(D135*(Inputs!$F$10-Inputs!$D$10)*(Inputs!$E$10-Inputs!$D$10)),Inputs!$F$10-SQRT((1-D135)*(Inputs!$F$10-Inputs!$D$10)*(Inputs!$F$10-Inputs!$E$10)))</f>
        <v>0.0545431569749371</v>
      </c>
      <c r="F135" s="81" t="n">
        <f aca="true">RAND()</f>
        <v>0.864418747807065</v>
      </c>
      <c r="G135" s="83" t="n">
        <f aca="false">IF(F135&lt;(Inputs!$E$15-Inputs!$D$15)/(Inputs!$F$15-Inputs!$D$15),Inputs!$D$15+SQRT(F135*(Inputs!$F$15-Inputs!$D$15)*(Inputs!$E$15-Inputs!$D$15)),Inputs!$F$15-SQRT((1-F135)*(Inputs!$F$15-Inputs!$D$15)*(Inputs!$F$15-Inputs!$E$15)))</f>
        <v>0.747926733885239</v>
      </c>
      <c r="H135" s="81" t="n">
        <f aca="true">RAND()</f>
        <v>0.389513116320022</v>
      </c>
      <c r="I135" s="82" t="n">
        <f aca="false">ROUND(IF(H135&lt;(Inputs!$E$17-Inputs!$D$17)/(Inputs!$F$17-Inputs!$D$17),Inputs!$D$17+SQRT(H135*(Inputs!$F$17-Inputs!$D$17)*(Inputs!$E$17-Inputs!$D$17)),Inputs!$F$17-SQRT((1-H135)*(Inputs!$F$17-Inputs!$D$17)*(Inputs!$F$17-Inputs!$E$17))),0)</f>
        <v>105</v>
      </c>
      <c r="J135" s="81" t="n">
        <f aca="true">RAND()</f>
        <v>0.0821489681931849</v>
      </c>
      <c r="K135" s="83" t="n">
        <f aca="false">IF(J135&lt;(Inputs!$E$18-Inputs!$D$18)/(Inputs!$F$18-Inputs!$D$18),Inputs!$D$18+SQRT(J135*(Inputs!$F$18-Inputs!$D$18)*(Inputs!$E$18-Inputs!$D$18)),Inputs!$F$18-SQRT((1-J135)*(Inputs!$F$18-Inputs!$D$18)*(Inputs!$F$18-Inputs!$E$18)))</f>
        <v>0.953621020941059</v>
      </c>
      <c r="L135" s="81" t="n">
        <f aca="true">RAND()</f>
        <v>0.833698243615775</v>
      </c>
      <c r="M135" s="83" t="n">
        <f aca="false">IF(L135&lt;(Inputs!$E$24-Inputs!$D$24)/(Inputs!$F$24-Inputs!$D$24),Inputs!$D$24+SQRT(L135*(Inputs!$F$24-Inputs!$D$24)*(Inputs!$E$24-Inputs!$D$24)),Inputs!$F$24-SQRT((1-L135)*(Inputs!$F$24-Inputs!$D$24)*(Inputs!$F$24-Inputs!$E$24)))</f>
        <v>1.0002190661444</v>
      </c>
      <c r="N135" s="81" t="n">
        <f aca="true">RAND()</f>
        <v>0.10265058972849</v>
      </c>
      <c r="O135" s="83" t="n">
        <f aca="false">IF(N135&lt;(Inputs!$E$26-Inputs!$D$26)/(Inputs!$F$26-Inputs!$D$26),Inputs!$D$26+SQRT(N135*(Inputs!$F$26-Inputs!$D$26)*(Inputs!$E$26-Inputs!$D$26)),Inputs!$F$26-SQRT((1-N135)*(Inputs!$F$26-Inputs!$D$26)*(Inputs!$F$26-Inputs!$E$26)))</f>
        <v>0.430694522191333</v>
      </c>
      <c r="P135" s="81" t="n">
        <f aca="true">RAND()</f>
        <v>0.751932678120177</v>
      </c>
      <c r="Q135" s="82" t="n">
        <f aca="false">IF(P135&lt;(Inputs!$E$27-Inputs!$D$27)/(Inputs!$F$27-Inputs!$D$27),Inputs!$D$27+SQRT(P135*(Inputs!$F$27-Inputs!$D$27)*(Inputs!$E$27-Inputs!$D$27)),Inputs!$F$27-SQRT((1-P135)*(Inputs!$F$27-Inputs!$D$27)*(Inputs!$F$27-Inputs!$E$27)))</f>
        <v>106.866429383847</v>
      </c>
      <c r="R135" s="81" t="n">
        <f aca="true">RAND()</f>
        <v>0.40399296848806</v>
      </c>
      <c r="S135" s="82" t="n">
        <f aca="false">IF(R135&lt;(Inputs!$E$29-Inputs!$D$29)/(Inputs!$F$29-Inputs!$D$29),Inputs!$D$29+SQRT(R135*(Inputs!$F$29-Inputs!$D$29)*(Inputs!$E$29-Inputs!$D$29)),Inputs!$F$29-SQRT((1-R135)*(Inputs!$F$29-Inputs!$D$29)*(Inputs!$F$29-Inputs!$E$29)))</f>
        <v>6.19767564239126</v>
      </c>
      <c r="T135" s="68" t="n">
        <f aca="false">Inputs!$E$9*(1+E135)+Inputs!$E$5*C135*(Inputs!$E$11*Inputs!$E$14*(G135*I135/Inputs!$E$16+(1-G135))*K135+Inputs!$E$23*M135)*(1+O135)+Inputs!$E$5*(Q135+S135)</f>
        <v>6060.06715764406</v>
      </c>
    </row>
    <row r="136" customFormat="false" ht="15" hidden="false" customHeight="false" outlineLevel="0" collapsed="false">
      <c r="A136" s="1" t="n">
        <v>132</v>
      </c>
      <c r="B136" s="81" t="n">
        <f aca="true">RAND()</f>
        <v>0.590008818901635</v>
      </c>
      <c r="C136" s="82" t="n">
        <f aca="false">ROUND(IF(B136&lt;(Inputs!$E$8-Inputs!$D$8)/(Inputs!$F$8-Inputs!$D$8),Inputs!$D$8+SQRT(B136*(Inputs!$F$8-Inputs!$D$8)*(Inputs!$E$8-Inputs!$D$8)),Inputs!$F$8-SQRT((1-B136)*(Inputs!$F$8-Inputs!$D$8)*(Inputs!$F$8-Inputs!$E$8))),0)</f>
        <v>25</v>
      </c>
      <c r="D136" s="81" t="n">
        <f aca="true">RAND()</f>
        <v>0.348016374805849</v>
      </c>
      <c r="E136" s="83" t="n">
        <f aca="false">IF(D136&lt;(Inputs!$E$10-Inputs!$D$10)/(Inputs!$F$10-Inputs!$D$10),Inputs!$D$10+SQRT(D136*(Inputs!$F$10-Inputs!$D$10)*(Inputs!$E$10-Inputs!$D$10)),Inputs!$F$10-SQRT((1-D136)*(Inputs!$F$10-Inputs!$D$10)*(Inputs!$F$10-Inputs!$E$10)))</f>
        <v>0.0601446863511274</v>
      </c>
      <c r="F136" s="81" t="n">
        <f aca="true">RAND()</f>
        <v>0.941130620249522</v>
      </c>
      <c r="G136" s="83" t="n">
        <f aca="false">IF(F136&lt;(Inputs!$E$15-Inputs!$D$15)/(Inputs!$F$15-Inputs!$D$15),Inputs!$D$15+SQRT(F136*(Inputs!$F$15-Inputs!$D$15)*(Inputs!$E$15-Inputs!$D$15)),Inputs!$F$15-SQRT((1-F136)*(Inputs!$F$15-Inputs!$D$15)*(Inputs!$F$15-Inputs!$E$15)))</f>
        <v>0.765686918019368</v>
      </c>
      <c r="H136" s="81" t="n">
        <f aca="true">RAND()</f>
        <v>0.138579854219238</v>
      </c>
      <c r="I136" s="82" t="n">
        <f aca="false">ROUND(IF(H136&lt;(Inputs!$E$17-Inputs!$D$17)/(Inputs!$F$17-Inputs!$D$17),Inputs!$D$17+SQRT(H136*(Inputs!$F$17-Inputs!$D$17)*(Inputs!$E$17-Inputs!$D$17)),Inputs!$F$17-SQRT((1-H136)*(Inputs!$F$17-Inputs!$D$17)*(Inputs!$F$17-Inputs!$E$17))),0)</f>
        <v>103</v>
      </c>
      <c r="J136" s="81" t="n">
        <f aca="true">RAND()</f>
        <v>0.796729406216904</v>
      </c>
      <c r="K136" s="83" t="n">
        <f aca="false">IF(J136&lt;(Inputs!$E$18-Inputs!$D$18)/(Inputs!$F$18-Inputs!$D$18),Inputs!$D$18+SQRT(J136*(Inputs!$F$18-Inputs!$D$18)*(Inputs!$E$18-Inputs!$D$18)),Inputs!$F$18-SQRT((1-J136)*(Inputs!$F$18-Inputs!$D$18)*(Inputs!$F$18-Inputs!$E$18)))</f>
        <v>1.11663517346759</v>
      </c>
      <c r="L136" s="81" t="n">
        <f aca="true">RAND()</f>
        <v>0.432351953784589</v>
      </c>
      <c r="M136" s="83" t="n">
        <f aca="false">IF(L136&lt;(Inputs!$E$24-Inputs!$D$24)/(Inputs!$F$24-Inputs!$D$24),Inputs!$D$24+SQRT(L136*(Inputs!$F$24-Inputs!$D$24)*(Inputs!$E$24-Inputs!$D$24)),Inputs!$F$24-SQRT((1-L136)*(Inputs!$F$24-Inputs!$D$24)*(Inputs!$F$24-Inputs!$E$24)))</f>
        <v>0.830899023176992</v>
      </c>
      <c r="N136" s="81" t="n">
        <f aca="true">RAND()</f>
        <v>0.426738968743438</v>
      </c>
      <c r="O136" s="83" t="n">
        <f aca="false">IF(N136&lt;(Inputs!$E$26-Inputs!$D$26)/(Inputs!$F$26-Inputs!$D$26),Inputs!$D$26+SQRT(N136*(Inputs!$F$26-Inputs!$D$26)*(Inputs!$E$26-Inputs!$D$26)),Inputs!$F$26-SQRT((1-N136)*(Inputs!$F$26-Inputs!$D$26)*(Inputs!$F$26-Inputs!$E$26)))</f>
        <v>0.566475823291548</v>
      </c>
      <c r="P136" s="81" t="n">
        <f aca="true">RAND()</f>
        <v>0.175875362027405</v>
      </c>
      <c r="Q136" s="82" t="n">
        <f aca="false">IF(P136&lt;(Inputs!$E$27-Inputs!$D$27)/(Inputs!$F$27-Inputs!$D$27),Inputs!$D$27+SQRT(P136*(Inputs!$F$27-Inputs!$D$27)*(Inputs!$E$27-Inputs!$D$27)),Inputs!$F$27-SQRT((1-P136)*(Inputs!$F$27-Inputs!$D$27)*(Inputs!$F$27-Inputs!$E$27)))</f>
        <v>70.9687482952253</v>
      </c>
      <c r="R136" s="81" t="n">
        <f aca="true">RAND()</f>
        <v>0.31829169282517</v>
      </c>
      <c r="S136" s="82" t="n">
        <f aca="false">IF(R136&lt;(Inputs!$E$29-Inputs!$D$29)/(Inputs!$F$29-Inputs!$D$29),Inputs!$D$29+SQRT(R136*(Inputs!$F$29-Inputs!$D$29)*(Inputs!$E$29-Inputs!$D$29)),Inputs!$F$29-SQRT((1-R136)*(Inputs!$F$29-Inputs!$D$29)*(Inputs!$F$29-Inputs!$E$29)))</f>
        <v>5.58606989973221</v>
      </c>
      <c r="T136" s="68" t="n">
        <f aca="false">Inputs!$E$9*(1+E136)+Inputs!$E$5*C136*(Inputs!$E$11*Inputs!$E$14*(G136*I136/Inputs!$E$16+(1-G136))*K136+Inputs!$E$23*M136)*(1+O136)+Inputs!$E$5*(Q136+S136)</f>
        <v>6099.94151539467</v>
      </c>
    </row>
    <row r="137" customFormat="false" ht="15" hidden="false" customHeight="false" outlineLevel="0" collapsed="false">
      <c r="A137" s="1" t="n">
        <v>133</v>
      </c>
      <c r="B137" s="81" t="n">
        <f aca="true">RAND()</f>
        <v>0.34208113099826</v>
      </c>
      <c r="C137" s="82" t="n">
        <f aca="false">ROUND(IF(B137&lt;(Inputs!$E$8-Inputs!$D$8)/(Inputs!$F$8-Inputs!$D$8),Inputs!$D$8+SQRT(B137*(Inputs!$F$8-Inputs!$D$8)*(Inputs!$E$8-Inputs!$D$8)),Inputs!$F$8-SQRT((1-B137)*(Inputs!$F$8-Inputs!$D$8)*(Inputs!$F$8-Inputs!$E$8))),0)</f>
        <v>24</v>
      </c>
      <c r="D137" s="81" t="n">
        <f aca="true">RAND()</f>
        <v>0.360977540630703</v>
      </c>
      <c r="E137" s="83" t="n">
        <f aca="false">IF(D137&lt;(Inputs!$E$10-Inputs!$D$10)/(Inputs!$F$10-Inputs!$D$10),Inputs!$D$10+SQRT(D137*(Inputs!$F$10-Inputs!$D$10)*(Inputs!$E$10-Inputs!$D$10)),Inputs!$F$10-SQRT((1-D137)*(Inputs!$F$10-Inputs!$D$10)*(Inputs!$F$10-Inputs!$E$10)))</f>
        <v>0.0615417977110821</v>
      </c>
      <c r="F137" s="81" t="n">
        <f aca="true">RAND()</f>
        <v>0.948942523372687</v>
      </c>
      <c r="G137" s="83" t="n">
        <f aca="false">IF(F137&lt;(Inputs!$E$15-Inputs!$D$15)/(Inputs!$F$15-Inputs!$D$15),Inputs!$D$15+SQRT(F137*(Inputs!$F$15-Inputs!$D$15)*(Inputs!$E$15-Inputs!$D$15)),Inputs!$F$15-SQRT((1-F137)*(Inputs!$F$15-Inputs!$D$15)*(Inputs!$F$15-Inputs!$E$15)))</f>
        <v>0.768044569592223</v>
      </c>
      <c r="H137" s="81" t="n">
        <f aca="true">RAND()</f>
        <v>0.432469341625553</v>
      </c>
      <c r="I137" s="82" t="n">
        <f aca="false">ROUND(IF(H137&lt;(Inputs!$E$17-Inputs!$D$17)/(Inputs!$F$17-Inputs!$D$17),Inputs!$D$17+SQRT(H137*(Inputs!$F$17-Inputs!$D$17)*(Inputs!$E$17-Inputs!$D$17)),Inputs!$F$17-SQRT((1-H137)*(Inputs!$F$17-Inputs!$D$17)*(Inputs!$F$17-Inputs!$E$17))),0)</f>
        <v>106</v>
      </c>
      <c r="J137" s="81" t="n">
        <f aca="true">RAND()</f>
        <v>0.807892782540369</v>
      </c>
      <c r="K137" s="83" t="n">
        <f aca="false">IF(J137&lt;(Inputs!$E$18-Inputs!$D$18)/(Inputs!$F$18-Inputs!$D$18),Inputs!$D$18+SQRT(J137*(Inputs!$F$18-Inputs!$D$18)*(Inputs!$E$18-Inputs!$D$18)),Inputs!$F$18-SQRT((1-J137)*(Inputs!$F$18-Inputs!$D$18)*(Inputs!$F$18-Inputs!$E$18)))</f>
        <v>1.12034900105392</v>
      </c>
      <c r="L137" s="81" t="n">
        <f aca="true">RAND()</f>
        <v>0.829489187101308</v>
      </c>
      <c r="M137" s="83" t="n">
        <f aca="false">IF(L137&lt;(Inputs!$E$24-Inputs!$D$24)/(Inputs!$F$24-Inputs!$D$24),Inputs!$D$24+SQRT(L137*(Inputs!$F$24-Inputs!$D$24)*(Inputs!$E$24-Inputs!$D$24)),Inputs!$F$24-SQRT((1-L137)*(Inputs!$F$24-Inputs!$D$24)*(Inputs!$F$24-Inputs!$E$24)))</f>
        <v>0.997706660772812</v>
      </c>
      <c r="N137" s="81" t="n">
        <f aca="true">RAND()</f>
        <v>0.194429648968117</v>
      </c>
      <c r="O137" s="83" t="n">
        <f aca="false">IF(N137&lt;(Inputs!$E$26-Inputs!$D$26)/(Inputs!$F$26-Inputs!$D$26),Inputs!$D$26+SQRT(N137*(Inputs!$F$26-Inputs!$D$26)*(Inputs!$E$26-Inputs!$D$26)),Inputs!$F$26-SQRT((1-N137)*(Inputs!$F$26-Inputs!$D$26)*(Inputs!$F$26-Inputs!$E$26)))</f>
        <v>0.479869657219595</v>
      </c>
      <c r="P137" s="81" t="n">
        <f aca="true">RAND()</f>
        <v>0.419559010556961</v>
      </c>
      <c r="Q137" s="82" t="n">
        <f aca="false">IF(P137&lt;(Inputs!$E$27-Inputs!$D$27)/(Inputs!$F$27-Inputs!$D$27),Inputs!$D$27+SQRT(P137*(Inputs!$F$27-Inputs!$D$27)*(Inputs!$E$27-Inputs!$D$27)),Inputs!$F$27-SQRT((1-P137)*(Inputs!$F$27-Inputs!$D$27)*(Inputs!$F$27-Inputs!$E$27)))</f>
        <v>84.0204014802849</v>
      </c>
      <c r="R137" s="81" t="n">
        <f aca="true">RAND()</f>
        <v>0.628264664373006</v>
      </c>
      <c r="S137" s="82" t="n">
        <f aca="false">IF(R137&lt;(Inputs!$E$29-Inputs!$D$29)/(Inputs!$F$29-Inputs!$D$29),Inputs!$D$29+SQRT(R137*(Inputs!$F$29-Inputs!$D$29)*(Inputs!$E$29-Inputs!$D$29)),Inputs!$F$29-SQRT((1-R137)*(Inputs!$F$29-Inputs!$D$29)*(Inputs!$F$29-Inputs!$E$29)))</f>
        <v>8.04833878619583</v>
      </c>
      <c r="T137" s="68" t="n">
        <f aca="false">Inputs!$E$9*(1+E137)+Inputs!$E$5*C137*(Inputs!$E$11*Inputs!$E$14*(G137*I137/Inputs!$E$16+(1-G137))*K137+Inputs!$E$23*M137)*(1+O137)+Inputs!$E$5*(Q137+S137)</f>
        <v>6118.42921338706</v>
      </c>
    </row>
    <row r="138" customFormat="false" ht="15" hidden="false" customHeight="false" outlineLevel="0" collapsed="false">
      <c r="A138" s="1" t="n">
        <v>134</v>
      </c>
      <c r="B138" s="81" t="n">
        <f aca="true">RAND()</f>
        <v>0.479890662896796</v>
      </c>
      <c r="C138" s="82" t="n">
        <f aca="false">ROUND(IF(B138&lt;(Inputs!$E$8-Inputs!$D$8)/(Inputs!$F$8-Inputs!$D$8),Inputs!$D$8+SQRT(B138*(Inputs!$F$8-Inputs!$D$8)*(Inputs!$E$8-Inputs!$D$8)),Inputs!$F$8-SQRT((1-B138)*(Inputs!$F$8-Inputs!$D$8)*(Inputs!$F$8-Inputs!$E$8))),0)</f>
        <v>25</v>
      </c>
      <c r="D138" s="81" t="n">
        <f aca="true">RAND()</f>
        <v>0.154050641284221</v>
      </c>
      <c r="E138" s="83" t="n">
        <f aca="false">IF(D138&lt;(Inputs!$E$10-Inputs!$D$10)/(Inputs!$F$10-Inputs!$D$10),Inputs!$D$10+SQRT(D138*(Inputs!$F$10-Inputs!$D$10)*(Inputs!$E$10-Inputs!$D$10)),Inputs!$F$10-SQRT((1-D138)*(Inputs!$F$10-Inputs!$D$10)*(Inputs!$F$10-Inputs!$E$10)))</f>
        <v>0.0392492855074103</v>
      </c>
      <c r="F138" s="81" t="n">
        <f aca="true">RAND()</f>
        <v>0.220167621127621</v>
      </c>
      <c r="G138" s="83" t="n">
        <f aca="false">IF(F138&lt;(Inputs!$E$15-Inputs!$D$15)/(Inputs!$F$15-Inputs!$D$15),Inputs!$D$15+SQRT(F138*(Inputs!$F$15-Inputs!$D$15)*(Inputs!$E$15-Inputs!$D$15)),Inputs!$F$15-SQRT((1-F138)*(Inputs!$F$15-Inputs!$D$15)*(Inputs!$F$15-Inputs!$E$15)))</f>
        <v>0.666357760831363</v>
      </c>
      <c r="H138" s="81" t="n">
        <f aca="true">RAND()</f>
        <v>0.516897833409841</v>
      </c>
      <c r="I138" s="82" t="n">
        <f aca="false">ROUND(IF(H138&lt;(Inputs!$E$17-Inputs!$D$17)/(Inputs!$F$17-Inputs!$D$17),Inputs!$D$17+SQRT(H138*(Inputs!$F$17-Inputs!$D$17)*(Inputs!$E$17-Inputs!$D$17)),Inputs!$F$17-SQRT((1-H138)*(Inputs!$F$17-Inputs!$D$17)*(Inputs!$F$17-Inputs!$E$17))),0)</f>
        <v>106</v>
      </c>
      <c r="J138" s="81" t="n">
        <f aca="true">RAND()</f>
        <v>0.769088130386013</v>
      </c>
      <c r="K138" s="83" t="n">
        <f aca="false">IF(J138&lt;(Inputs!$E$18-Inputs!$D$18)/(Inputs!$F$18-Inputs!$D$18),Inputs!$D$18+SQRT(J138*(Inputs!$F$18-Inputs!$D$18)*(Inputs!$E$18-Inputs!$D$18)),Inputs!$F$18-SQRT((1-J138)*(Inputs!$F$18-Inputs!$D$18)*(Inputs!$F$18-Inputs!$E$18)))</f>
        <v>1.10785645075761</v>
      </c>
      <c r="L138" s="81" t="n">
        <f aca="true">RAND()</f>
        <v>0.809850604756197</v>
      </c>
      <c r="M138" s="83" t="n">
        <f aca="false">IF(L138&lt;(Inputs!$E$24-Inputs!$D$24)/(Inputs!$F$24-Inputs!$D$24),Inputs!$D$24+SQRT(L138*(Inputs!$F$24-Inputs!$D$24)*(Inputs!$E$24-Inputs!$D$24)),Inputs!$F$24-SQRT((1-L138)*(Inputs!$F$24-Inputs!$D$24)*(Inputs!$F$24-Inputs!$E$24)))</f>
        <v>0.986374498576334</v>
      </c>
      <c r="N138" s="81" t="n">
        <f aca="true">RAND()</f>
        <v>0.649644712176309</v>
      </c>
      <c r="O138" s="83" t="n">
        <f aca="false">IF(N138&lt;(Inputs!$E$26-Inputs!$D$26)/(Inputs!$F$26-Inputs!$D$26),Inputs!$D$26+SQRT(N138*(Inputs!$F$26-Inputs!$D$26)*(Inputs!$E$26-Inputs!$D$26)),Inputs!$F$26-SQRT((1-N138)*(Inputs!$F$26-Inputs!$D$26)*(Inputs!$F$26-Inputs!$E$26)))</f>
        <v>0.629115349140734</v>
      </c>
      <c r="P138" s="81" t="n">
        <f aca="true">RAND()</f>
        <v>0.678572793349074</v>
      </c>
      <c r="Q138" s="82" t="n">
        <f aca="false">IF(P138&lt;(Inputs!$E$27-Inputs!$D$27)/(Inputs!$F$27-Inputs!$D$27),Inputs!$D$27+SQRT(P138*(Inputs!$F$27-Inputs!$D$27)*(Inputs!$E$27-Inputs!$D$27)),Inputs!$F$27-SQRT((1-P138)*(Inputs!$F$27-Inputs!$D$27)*(Inputs!$F$27-Inputs!$E$27)))</f>
        <v>100.901078933627</v>
      </c>
      <c r="R138" s="81" t="n">
        <f aca="true">RAND()</f>
        <v>0.505574603678518</v>
      </c>
      <c r="S138" s="82" t="n">
        <f aca="false">IF(R138&lt;(Inputs!$E$29-Inputs!$D$29)/(Inputs!$F$29-Inputs!$D$29),Inputs!$D$29+SQRT(R138*(Inputs!$F$29-Inputs!$D$29)*(Inputs!$E$29-Inputs!$D$29)),Inputs!$F$29-SQRT((1-R138)*(Inputs!$F$29-Inputs!$D$29)*(Inputs!$F$29-Inputs!$E$29)))</f>
        <v>6.98281211884163</v>
      </c>
      <c r="T138" s="68" t="n">
        <f aca="false">Inputs!$E$9*(1+E138)+Inputs!$E$5*C138*(Inputs!$E$11*Inputs!$E$14*(G138*I138/Inputs!$E$16+(1-G138))*K138+Inputs!$E$23*M138)*(1+O138)+Inputs!$E$5*(Q138+S138)</f>
        <v>6744.06662776915</v>
      </c>
    </row>
    <row r="139" customFormat="false" ht="15" hidden="false" customHeight="false" outlineLevel="0" collapsed="false">
      <c r="A139" s="1" t="n">
        <v>135</v>
      </c>
      <c r="B139" s="81" t="n">
        <f aca="true">RAND()</f>
        <v>0.120881835956635</v>
      </c>
      <c r="C139" s="82" t="n">
        <f aca="false">ROUND(IF(B139&lt;(Inputs!$E$8-Inputs!$D$8)/(Inputs!$F$8-Inputs!$D$8),Inputs!$D$8+SQRT(B139*(Inputs!$F$8-Inputs!$D$8)*(Inputs!$E$8-Inputs!$D$8)),Inputs!$F$8-SQRT((1-B139)*(Inputs!$F$8-Inputs!$D$8)*(Inputs!$F$8-Inputs!$E$8))),0)</f>
        <v>22</v>
      </c>
      <c r="D139" s="81" t="n">
        <f aca="true">RAND()</f>
        <v>0.155527497260057</v>
      </c>
      <c r="E139" s="83" t="n">
        <f aca="false">IF(D139&lt;(Inputs!$E$10-Inputs!$D$10)/(Inputs!$F$10-Inputs!$D$10),Inputs!$D$10+SQRT(D139*(Inputs!$F$10-Inputs!$D$10)*(Inputs!$E$10-Inputs!$D$10)),Inputs!$F$10-SQRT((1-D139)*(Inputs!$F$10-Inputs!$D$10)*(Inputs!$F$10-Inputs!$E$10)))</f>
        <v>0.0394369746887432</v>
      </c>
      <c r="F139" s="81" t="n">
        <f aca="true">RAND()</f>
        <v>0.180586436574696</v>
      </c>
      <c r="G139" s="83" t="n">
        <f aca="false">IF(F139&lt;(Inputs!$E$15-Inputs!$D$15)/(Inputs!$F$15-Inputs!$D$15),Inputs!$D$15+SQRT(F139*(Inputs!$F$15-Inputs!$D$15)*(Inputs!$E$15-Inputs!$D$15)),Inputs!$F$15-SQRT((1-F139)*(Inputs!$F$15-Inputs!$D$15)*(Inputs!$F$15-Inputs!$E$15)))</f>
        <v>0.660097659950234</v>
      </c>
      <c r="H139" s="81" t="n">
        <f aca="true">RAND()</f>
        <v>0.507700203057729</v>
      </c>
      <c r="I139" s="82" t="n">
        <f aca="false">ROUND(IF(H139&lt;(Inputs!$E$17-Inputs!$D$17)/(Inputs!$F$17-Inputs!$D$17),Inputs!$D$17+SQRT(H139*(Inputs!$F$17-Inputs!$D$17)*(Inputs!$E$17-Inputs!$D$17)),Inputs!$F$17-SQRT((1-H139)*(Inputs!$F$17-Inputs!$D$17)*(Inputs!$F$17-Inputs!$E$17))),0)</f>
        <v>106</v>
      </c>
      <c r="J139" s="81" t="n">
        <f aca="true">RAND()</f>
        <v>0.0809699213232831</v>
      </c>
      <c r="K139" s="83" t="n">
        <f aca="false">IF(J139&lt;(Inputs!$E$18-Inputs!$D$18)/(Inputs!$F$18-Inputs!$D$18),Inputs!$D$18+SQRT(J139*(Inputs!$F$18-Inputs!$D$18)*(Inputs!$E$18-Inputs!$D$18)),Inputs!$F$18-SQRT((1-J139)*(Inputs!$F$18-Inputs!$D$18)*(Inputs!$F$18-Inputs!$E$18)))</f>
        <v>0.953234831138221</v>
      </c>
      <c r="L139" s="81" t="n">
        <f aca="true">RAND()</f>
        <v>0.911660803648649</v>
      </c>
      <c r="M139" s="83" t="n">
        <f aca="false">IF(L139&lt;(Inputs!$E$24-Inputs!$D$24)/(Inputs!$F$24-Inputs!$D$24),Inputs!$D$24+SQRT(L139*(Inputs!$F$24-Inputs!$D$24)*(Inputs!$E$24-Inputs!$D$24)),Inputs!$F$24-SQRT((1-L139)*(Inputs!$F$24-Inputs!$D$24)*(Inputs!$F$24-Inputs!$E$24)))</f>
        <v>1.0543929702098</v>
      </c>
      <c r="N139" s="81" t="n">
        <f aca="true">RAND()</f>
        <v>0.581128102865687</v>
      </c>
      <c r="O139" s="83" t="n">
        <f aca="false">IF(N139&lt;(Inputs!$E$26-Inputs!$D$26)/(Inputs!$F$26-Inputs!$D$26),Inputs!$D$26+SQRT(N139*(Inputs!$F$26-Inputs!$D$26)*(Inputs!$E$26-Inputs!$D$26)),Inputs!$F$26-SQRT((1-N139)*(Inputs!$F$26-Inputs!$D$26)*(Inputs!$F$26-Inputs!$E$26)))</f>
        <v>0.610965779977235</v>
      </c>
      <c r="P139" s="81" t="n">
        <f aca="true">RAND()</f>
        <v>0.248455898038698</v>
      </c>
      <c r="Q139" s="82" t="n">
        <f aca="false">IF(P139&lt;(Inputs!$E$27-Inputs!$D$27)/(Inputs!$F$27-Inputs!$D$27),Inputs!$D$27+SQRT(P139*(Inputs!$F$27-Inputs!$D$27)*(Inputs!$E$27-Inputs!$D$27)),Inputs!$F$27-SQRT((1-P139)*(Inputs!$F$27-Inputs!$D$27)*(Inputs!$F$27-Inputs!$E$27)))</f>
        <v>74.9226753198116</v>
      </c>
      <c r="R139" s="81" t="n">
        <f aca="true">RAND()</f>
        <v>0.100439958388027</v>
      </c>
      <c r="S139" s="82" t="n">
        <f aca="false">IF(R139&lt;(Inputs!$E$29-Inputs!$D$29)/(Inputs!$F$29-Inputs!$D$29),Inputs!$D$29+SQRT(R139*(Inputs!$F$29-Inputs!$D$29)*(Inputs!$E$29-Inputs!$D$29)),Inputs!$F$29-SQRT((1-R139)*(Inputs!$F$29-Inputs!$D$29)*(Inputs!$F$29-Inputs!$E$29)))</f>
        <v>3.97918123908172</v>
      </c>
      <c r="T139" s="68" t="n">
        <f aca="false">Inputs!$E$9*(1+E139)+Inputs!$E$5*C139*(Inputs!$E$11*Inputs!$E$14*(G139*I139/Inputs!$E$16+(1-G139))*K139+Inputs!$E$23*M139)*(1+O139)+Inputs!$E$5*(Q139+S139)</f>
        <v>5881.91996677884</v>
      </c>
    </row>
    <row r="140" customFormat="false" ht="15" hidden="false" customHeight="false" outlineLevel="0" collapsed="false">
      <c r="A140" s="1" t="n">
        <v>136</v>
      </c>
      <c r="B140" s="81" t="n">
        <f aca="true">RAND()</f>
        <v>0.371415807764996</v>
      </c>
      <c r="C140" s="82" t="n">
        <f aca="false">ROUND(IF(B140&lt;(Inputs!$E$8-Inputs!$D$8)/(Inputs!$F$8-Inputs!$D$8),Inputs!$D$8+SQRT(B140*(Inputs!$F$8-Inputs!$D$8)*(Inputs!$E$8-Inputs!$D$8)),Inputs!$F$8-SQRT((1-B140)*(Inputs!$F$8-Inputs!$D$8)*(Inputs!$F$8-Inputs!$E$8))),0)</f>
        <v>24</v>
      </c>
      <c r="D140" s="81" t="n">
        <f aca="true">RAND()</f>
        <v>0.271377916747903</v>
      </c>
      <c r="E140" s="83" t="n">
        <f aca="false">IF(D140&lt;(Inputs!$E$10-Inputs!$D$10)/(Inputs!$F$10-Inputs!$D$10),Inputs!$D$10+SQRT(D140*(Inputs!$F$10-Inputs!$D$10)*(Inputs!$E$10-Inputs!$D$10)),Inputs!$F$10-SQRT((1-D140)*(Inputs!$F$10-Inputs!$D$10)*(Inputs!$F$10-Inputs!$E$10)))</f>
        <v>0.0521532465775358</v>
      </c>
      <c r="F140" s="81" t="n">
        <f aca="true">RAND()</f>
        <v>0.411346663537211</v>
      </c>
      <c r="G140" s="83" t="n">
        <f aca="false">IF(F140&lt;(Inputs!$E$15-Inputs!$D$15)/(Inputs!$F$15-Inputs!$D$15),Inputs!$D$15+SQRT(F140*(Inputs!$F$15-Inputs!$D$15)*(Inputs!$E$15-Inputs!$D$15)),Inputs!$F$15-SQRT((1-F140)*(Inputs!$F$15-Inputs!$D$15)*(Inputs!$F$15-Inputs!$E$15)))</f>
        <v>0.690702443576478</v>
      </c>
      <c r="H140" s="81" t="n">
        <f aca="true">RAND()</f>
        <v>0.607823796615602</v>
      </c>
      <c r="I140" s="82" t="n">
        <f aca="false">ROUND(IF(H140&lt;(Inputs!$E$17-Inputs!$D$17)/(Inputs!$F$17-Inputs!$D$17),Inputs!$D$17+SQRT(H140*(Inputs!$F$17-Inputs!$D$17)*(Inputs!$E$17-Inputs!$D$17)),Inputs!$F$17-SQRT((1-H140)*(Inputs!$F$17-Inputs!$D$17)*(Inputs!$F$17-Inputs!$E$17))),0)</f>
        <v>107</v>
      </c>
      <c r="J140" s="81" t="n">
        <f aca="true">RAND()</f>
        <v>0.223880457080656</v>
      </c>
      <c r="K140" s="83" t="n">
        <f aca="false">IF(J140&lt;(Inputs!$E$18-Inputs!$D$18)/(Inputs!$F$18-Inputs!$D$18),Inputs!$D$18+SQRT(J140*(Inputs!$F$18-Inputs!$D$18)*(Inputs!$E$18-Inputs!$D$18)),Inputs!$F$18-SQRT((1-J140)*(Inputs!$F$18-Inputs!$D$18)*(Inputs!$F$18-Inputs!$E$18)))</f>
        <v>0.988520144587675</v>
      </c>
      <c r="L140" s="81" t="n">
        <f aca="true">RAND()</f>
        <v>0.600640288996479</v>
      </c>
      <c r="M140" s="83" t="n">
        <f aca="false">IF(L140&lt;(Inputs!$E$24-Inputs!$D$24)/(Inputs!$F$24-Inputs!$D$24),Inputs!$D$24+SQRT(L140*(Inputs!$F$24-Inputs!$D$24)*(Inputs!$E$24-Inputs!$D$24)),Inputs!$F$24-SQRT((1-L140)*(Inputs!$F$24-Inputs!$D$24)*(Inputs!$F$24-Inputs!$E$24)))</f>
        <v>0.890409414482861</v>
      </c>
      <c r="N140" s="81" t="n">
        <f aca="true">RAND()</f>
        <v>0.259224464806044</v>
      </c>
      <c r="O140" s="83" t="n">
        <f aca="false">IF(N140&lt;(Inputs!$E$26-Inputs!$D$26)/(Inputs!$F$26-Inputs!$D$26),Inputs!$D$26+SQRT(N140*(Inputs!$F$26-Inputs!$D$26)*(Inputs!$E$26-Inputs!$D$26)),Inputs!$F$26-SQRT((1-N140)*(Inputs!$F$26-Inputs!$D$26)*(Inputs!$F$26-Inputs!$E$26)))</f>
        <v>0.507689554247983</v>
      </c>
      <c r="P140" s="81" t="n">
        <f aca="true">RAND()</f>
        <v>0.310897635370604</v>
      </c>
      <c r="Q140" s="82" t="n">
        <f aca="false">IF(P140&lt;(Inputs!$E$27-Inputs!$D$27)/(Inputs!$F$27-Inputs!$D$27),Inputs!$D$27+SQRT(P140*(Inputs!$F$27-Inputs!$D$27)*(Inputs!$E$27-Inputs!$D$27)),Inputs!$F$27-SQRT((1-P140)*(Inputs!$F$27-Inputs!$D$27)*(Inputs!$F$27-Inputs!$E$27)))</f>
        <v>78.1093348568782</v>
      </c>
      <c r="R140" s="81" t="n">
        <f aca="true">RAND()</f>
        <v>0.79334019568678</v>
      </c>
      <c r="S140" s="82" t="n">
        <f aca="false">IF(R140&lt;(Inputs!$E$29-Inputs!$D$29)/(Inputs!$F$29-Inputs!$D$29),Inputs!$D$29+SQRT(R140*(Inputs!$F$29-Inputs!$D$29)*(Inputs!$E$29-Inputs!$D$29)),Inputs!$F$29-SQRT((1-R140)*(Inputs!$F$29-Inputs!$D$29)*(Inputs!$F$29-Inputs!$E$29)))</f>
        <v>9.81677951841536</v>
      </c>
      <c r="T140" s="68" t="n">
        <f aca="false">Inputs!$E$9*(1+E140)+Inputs!$E$5*C140*(Inputs!$E$11*Inputs!$E$14*(G140*I140/Inputs!$E$16+(1-G140))*K140+Inputs!$E$23*M140)*(1+O140)+Inputs!$E$5*(Q140+S140)</f>
        <v>5855.494401215</v>
      </c>
    </row>
    <row r="141" customFormat="false" ht="15" hidden="false" customHeight="false" outlineLevel="0" collapsed="false">
      <c r="A141" s="1" t="n">
        <v>137</v>
      </c>
      <c r="B141" s="81" t="n">
        <f aca="true">RAND()</f>
        <v>0.130052974214716</v>
      </c>
      <c r="C141" s="82" t="n">
        <f aca="false">ROUND(IF(B141&lt;(Inputs!$E$8-Inputs!$D$8)/(Inputs!$F$8-Inputs!$D$8),Inputs!$D$8+SQRT(B141*(Inputs!$F$8-Inputs!$D$8)*(Inputs!$E$8-Inputs!$D$8)),Inputs!$F$8-SQRT((1-B141)*(Inputs!$F$8-Inputs!$D$8)*(Inputs!$F$8-Inputs!$E$8))),0)</f>
        <v>23</v>
      </c>
      <c r="D141" s="81" t="n">
        <f aca="true">RAND()</f>
        <v>0.676466415900417</v>
      </c>
      <c r="E141" s="83" t="n">
        <f aca="false">IF(D141&lt;(Inputs!$E$10-Inputs!$D$10)/(Inputs!$F$10-Inputs!$D$10),Inputs!$D$10+SQRT(D141*(Inputs!$F$10-Inputs!$D$10)*(Inputs!$E$10-Inputs!$D$10)),Inputs!$F$10-SQRT((1-D141)*(Inputs!$F$10-Inputs!$D$10)*(Inputs!$F$10-Inputs!$E$10)))</f>
        <v>0.101480928125629</v>
      </c>
      <c r="F141" s="81" t="n">
        <f aca="true">RAND()</f>
        <v>0.418326946360673</v>
      </c>
      <c r="G141" s="83" t="n">
        <f aca="false">IF(F141&lt;(Inputs!$E$15-Inputs!$D$15)/(Inputs!$F$15-Inputs!$D$15),Inputs!$D$15+SQRT(F141*(Inputs!$F$15-Inputs!$D$15)*(Inputs!$E$15-Inputs!$D$15)),Inputs!$F$15-SQRT((1-F141)*(Inputs!$F$15-Inputs!$D$15)*(Inputs!$F$15-Inputs!$E$15)))</f>
        <v>0.691468786628081</v>
      </c>
      <c r="H141" s="81" t="n">
        <f aca="true">RAND()</f>
        <v>0.88388294303481</v>
      </c>
      <c r="I141" s="82" t="n">
        <f aca="false">ROUND(IF(H141&lt;(Inputs!$E$17-Inputs!$D$17)/(Inputs!$F$17-Inputs!$D$17),Inputs!$D$17+SQRT(H141*(Inputs!$F$17-Inputs!$D$17)*(Inputs!$E$17-Inputs!$D$17)),Inputs!$F$17-SQRT((1-H141)*(Inputs!$F$17-Inputs!$D$17)*(Inputs!$F$17-Inputs!$E$17))),0)</f>
        <v>111</v>
      </c>
      <c r="J141" s="81" t="n">
        <f aca="true">RAND()</f>
        <v>0.200212827873505</v>
      </c>
      <c r="K141" s="83" t="n">
        <f aca="false">IF(J141&lt;(Inputs!$E$18-Inputs!$D$18)/(Inputs!$F$18-Inputs!$D$18),Inputs!$D$18+SQRT(J141*(Inputs!$F$18-Inputs!$D$18)*(Inputs!$E$18-Inputs!$D$18)),Inputs!$F$18-SQRT((1-J141)*(Inputs!$F$18-Inputs!$D$18)*(Inputs!$F$18-Inputs!$E$18)))</f>
        <v>0.983710506960433</v>
      </c>
      <c r="L141" s="81" t="n">
        <f aca="true">RAND()</f>
        <v>0.194716565262317</v>
      </c>
      <c r="M141" s="83" t="n">
        <f aca="false">IF(L141&lt;(Inputs!$E$24-Inputs!$D$24)/(Inputs!$F$24-Inputs!$D$24),Inputs!$D$24+SQRT(L141*(Inputs!$F$24-Inputs!$D$24)*(Inputs!$E$24-Inputs!$D$24)),Inputs!$F$24-SQRT((1-L141)*(Inputs!$F$24-Inputs!$D$24)*(Inputs!$F$24-Inputs!$E$24)))</f>
        <v>0.752859372730226</v>
      </c>
      <c r="N141" s="81" t="n">
        <f aca="true">RAND()</f>
        <v>0.478676364041272</v>
      </c>
      <c r="O141" s="83" t="n">
        <f aca="false">IF(N141&lt;(Inputs!$E$26-Inputs!$D$26)/(Inputs!$F$26-Inputs!$D$26),Inputs!$D$26+SQRT(N141*(Inputs!$F$26-Inputs!$D$26)*(Inputs!$E$26-Inputs!$D$26)),Inputs!$F$26-SQRT((1-N141)*(Inputs!$F$26-Inputs!$D$26)*(Inputs!$F$26-Inputs!$E$26)))</f>
        <v>0.582226410841487</v>
      </c>
      <c r="P141" s="81" t="n">
        <f aca="true">RAND()</f>
        <v>0.572291164103682</v>
      </c>
      <c r="Q141" s="82" t="n">
        <f aca="false">IF(P141&lt;(Inputs!$E$27-Inputs!$D$27)/(Inputs!$F$27-Inputs!$D$27),Inputs!$D$27+SQRT(P141*(Inputs!$F$27-Inputs!$D$27)*(Inputs!$E$27-Inputs!$D$27)),Inputs!$F$27-SQRT((1-P141)*(Inputs!$F$27-Inputs!$D$27)*(Inputs!$F$27-Inputs!$E$27)))</f>
        <v>93.362412929024</v>
      </c>
      <c r="R141" s="81" t="n">
        <f aca="true">RAND()</f>
        <v>0.396159176726051</v>
      </c>
      <c r="S141" s="82" t="n">
        <f aca="false">IF(R141&lt;(Inputs!$E$29-Inputs!$D$29)/(Inputs!$F$29-Inputs!$D$29),Inputs!$D$29+SQRT(R141*(Inputs!$F$29-Inputs!$D$29)*(Inputs!$E$29-Inputs!$D$29)),Inputs!$F$29-SQRT((1-R141)*(Inputs!$F$29-Inputs!$D$29)*(Inputs!$F$29-Inputs!$E$29)))</f>
        <v>6.14001653355869</v>
      </c>
      <c r="T141" s="68" t="n">
        <f aca="false">Inputs!$E$9*(1+E141)+Inputs!$E$5*C141*(Inputs!$E$11*Inputs!$E$14*(G141*I141/Inputs!$E$16+(1-G141))*K141+Inputs!$E$23*M141)*(1+O141)+Inputs!$E$5*(Q141+S141)</f>
        <v>5891.92356101381</v>
      </c>
    </row>
    <row r="142" customFormat="false" ht="15" hidden="false" customHeight="false" outlineLevel="0" collapsed="false">
      <c r="A142" s="1" t="n">
        <v>138</v>
      </c>
      <c r="B142" s="81" t="n">
        <f aca="true">RAND()</f>
        <v>0.272079833625094</v>
      </c>
      <c r="C142" s="82" t="n">
        <f aca="false">ROUND(IF(B142&lt;(Inputs!$E$8-Inputs!$D$8)/(Inputs!$F$8-Inputs!$D$8),Inputs!$D$8+SQRT(B142*(Inputs!$F$8-Inputs!$D$8)*(Inputs!$E$8-Inputs!$D$8)),Inputs!$F$8-SQRT((1-B142)*(Inputs!$F$8-Inputs!$D$8)*(Inputs!$F$8-Inputs!$E$8))),0)</f>
        <v>24</v>
      </c>
      <c r="D142" s="81" t="n">
        <f aca="true">RAND()</f>
        <v>0.774047261456278</v>
      </c>
      <c r="E142" s="83" t="n">
        <f aca="false">IF(D142&lt;(Inputs!$E$10-Inputs!$D$10)/(Inputs!$F$10-Inputs!$D$10),Inputs!$D$10+SQRT(D142*(Inputs!$F$10-Inputs!$D$10)*(Inputs!$E$10-Inputs!$D$10)),Inputs!$F$10-SQRT((1-D142)*(Inputs!$F$10-Inputs!$D$10)*(Inputs!$F$10-Inputs!$E$10)))</f>
        <v>0.11766785465985</v>
      </c>
      <c r="F142" s="81" t="n">
        <f aca="true">RAND()</f>
        <v>0.474168826952762</v>
      </c>
      <c r="G142" s="83" t="n">
        <f aca="false">IF(F142&lt;(Inputs!$E$15-Inputs!$D$15)/(Inputs!$F$15-Inputs!$D$15),Inputs!$D$15+SQRT(F142*(Inputs!$F$15-Inputs!$D$15)*(Inputs!$E$15-Inputs!$D$15)),Inputs!$F$15-SQRT((1-F142)*(Inputs!$F$15-Inputs!$D$15)*(Inputs!$F$15-Inputs!$E$15)))</f>
        <v>0.697382629555046</v>
      </c>
      <c r="H142" s="81" t="n">
        <f aca="true">RAND()</f>
        <v>0.314288378315704</v>
      </c>
      <c r="I142" s="82" t="n">
        <f aca="false">ROUND(IF(H142&lt;(Inputs!$E$17-Inputs!$D$17)/(Inputs!$F$17-Inputs!$D$17),Inputs!$D$17+SQRT(H142*(Inputs!$F$17-Inputs!$D$17)*(Inputs!$E$17-Inputs!$D$17)),Inputs!$F$17-SQRT((1-H142)*(Inputs!$F$17-Inputs!$D$17)*(Inputs!$F$17-Inputs!$E$17))),0)</f>
        <v>105</v>
      </c>
      <c r="J142" s="81" t="n">
        <f aca="true">RAND()</f>
        <v>0.926982177715798</v>
      </c>
      <c r="K142" s="83" t="n">
        <f aca="false">IF(J142&lt;(Inputs!$E$18-Inputs!$D$18)/(Inputs!$F$18-Inputs!$D$18),Inputs!$D$18+SQRT(J142*(Inputs!$F$18-Inputs!$D$18)*(Inputs!$E$18-Inputs!$D$18)),Inputs!$F$18-SQRT((1-J142)*(Inputs!$F$18-Inputs!$D$18)*(Inputs!$F$18-Inputs!$E$18)))</f>
        <v>1.1700684076859</v>
      </c>
      <c r="L142" s="81" t="n">
        <f aca="true">RAND()</f>
        <v>0.972379622375893</v>
      </c>
      <c r="M142" s="83" t="n">
        <f aca="false">IF(L142&lt;(Inputs!$E$24-Inputs!$D$24)/(Inputs!$F$24-Inputs!$D$24),Inputs!$D$24+SQRT(L142*(Inputs!$F$24-Inputs!$D$24)*(Inputs!$E$24-Inputs!$D$24)),Inputs!$F$24-SQRT((1-L142)*(Inputs!$F$24-Inputs!$D$24)*(Inputs!$F$24-Inputs!$E$24)))</f>
        <v>1.11858200057858</v>
      </c>
      <c r="N142" s="81" t="n">
        <f aca="true">RAND()</f>
        <v>0.86882660370353</v>
      </c>
      <c r="O142" s="83" t="n">
        <f aca="false">IF(N142&lt;(Inputs!$E$26-Inputs!$D$26)/(Inputs!$F$26-Inputs!$D$26),Inputs!$D$26+SQRT(N142*(Inputs!$F$26-Inputs!$D$26)*(Inputs!$E$26-Inputs!$D$26)),Inputs!$F$26-SQRT((1-N142)*(Inputs!$F$26-Inputs!$D$26)*(Inputs!$F$26-Inputs!$E$26)))</f>
        <v>0.70320088521383</v>
      </c>
      <c r="P142" s="81" t="n">
        <f aca="true">RAND()</f>
        <v>0.530858380621664</v>
      </c>
      <c r="Q142" s="82" t="n">
        <f aca="false">IF(P142&lt;(Inputs!$E$27-Inputs!$D$27)/(Inputs!$F$27-Inputs!$D$27),Inputs!$D$27+SQRT(P142*(Inputs!$F$27-Inputs!$D$27)*(Inputs!$E$27-Inputs!$D$27)),Inputs!$F$27-SQRT((1-P142)*(Inputs!$F$27-Inputs!$D$27)*(Inputs!$F$27-Inputs!$E$27)))</f>
        <v>90.6825308586288</v>
      </c>
      <c r="R142" s="81" t="n">
        <f aca="true">RAND()</f>
        <v>0.144716571367932</v>
      </c>
      <c r="S142" s="82" t="n">
        <f aca="false">IF(R142&lt;(Inputs!$E$29-Inputs!$D$29)/(Inputs!$F$29-Inputs!$D$29),Inputs!$D$29+SQRT(R142*(Inputs!$F$29-Inputs!$D$29)*(Inputs!$E$29-Inputs!$D$29)),Inputs!$F$29-SQRT((1-R142)*(Inputs!$F$29-Inputs!$D$29)*(Inputs!$F$29-Inputs!$E$29)))</f>
        <v>4.37569911465012</v>
      </c>
      <c r="T142" s="68" t="n">
        <f aca="false">Inputs!$E$9*(1+E142)+Inputs!$E$5*C142*(Inputs!$E$11*Inputs!$E$14*(G142*I142/Inputs!$E$16+(1-G142))*K142+Inputs!$E$23*M142)*(1+O142)+Inputs!$E$5*(Q142+S142)</f>
        <v>7136.88874330535</v>
      </c>
    </row>
    <row r="143" customFormat="false" ht="15" hidden="false" customHeight="false" outlineLevel="0" collapsed="false">
      <c r="A143" s="1" t="n">
        <v>139</v>
      </c>
      <c r="B143" s="81" t="n">
        <f aca="true">RAND()</f>
        <v>0.0336943991163879</v>
      </c>
      <c r="C143" s="82" t="n">
        <f aca="false">ROUND(IF(B143&lt;(Inputs!$E$8-Inputs!$D$8)/(Inputs!$F$8-Inputs!$D$8),Inputs!$D$8+SQRT(B143*(Inputs!$F$8-Inputs!$D$8)*(Inputs!$E$8-Inputs!$D$8)),Inputs!$F$8-SQRT((1-B143)*(Inputs!$F$8-Inputs!$D$8)*(Inputs!$F$8-Inputs!$E$8))),0)</f>
        <v>21</v>
      </c>
      <c r="D143" s="81" t="n">
        <f aca="true">RAND()</f>
        <v>0.71662892600374</v>
      </c>
      <c r="E143" s="83" t="n">
        <f aca="false">IF(D143&lt;(Inputs!$E$10-Inputs!$D$10)/(Inputs!$F$10-Inputs!$D$10),Inputs!$D$10+SQRT(D143*(Inputs!$F$10-Inputs!$D$10)*(Inputs!$E$10-Inputs!$D$10)),Inputs!$F$10-SQRT((1-D143)*(Inputs!$F$10-Inputs!$D$10)*(Inputs!$F$10-Inputs!$E$10)))</f>
        <v>0.107798415307069</v>
      </c>
      <c r="F143" s="81" t="n">
        <f aca="true">RAND()</f>
        <v>0.792360113443613</v>
      </c>
      <c r="G143" s="83" t="n">
        <f aca="false">IF(F143&lt;(Inputs!$E$15-Inputs!$D$15)/(Inputs!$F$15-Inputs!$D$15),Inputs!$D$15+SQRT(F143*(Inputs!$F$15-Inputs!$D$15)*(Inputs!$E$15-Inputs!$D$15)),Inputs!$F$15-SQRT((1-F143)*(Inputs!$F$15-Inputs!$D$15)*(Inputs!$F$15-Inputs!$E$15)))</f>
        <v>0.735557795420022</v>
      </c>
      <c r="H143" s="81" t="n">
        <f aca="true">RAND()</f>
        <v>0.179121522238003</v>
      </c>
      <c r="I143" s="82" t="n">
        <f aca="false">ROUND(IF(H143&lt;(Inputs!$E$17-Inputs!$D$17)/(Inputs!$F$17-Inputs!$D$17),Inputs!$D$17+SQRT(H143*(Inputs!$F$17-Inputs!$D$17)*(Inputs!$E$17-Inputs!$D$17)),Inputs!$F$17-SQRT((1-H143)*(Inputs!$F$17-Inputs!$D$17)*(Inputs!$F$17-Inputs!$E$17))),0)</f>
        <v>104</v>
      </c>
      <c r="J143" s="81" t="n">
        <f aca="true">RAND()</f>
        <v>0.102284414474268</v>
      </c>
      <c r="K143" s="83" t="n">
        <f aca="false">IF(J143&lt;(Inputs!$E$18-Inputs!$D$18)/(Inputs!$F$18-Inputs!$D$18),Inputs!$D$18+SQRT(J143*(Inputs!$F$18-Inputs!$D$18)*(Inputs!$E$18-Inputs!$D$18)),Inputs!$F$18-SQRT((1-J143)*(Inputs!$F$18-Inputs!$D$18)*(Inputs!$F$18-Inputs!$E$18)))</f>
        <v>0.959832721036231</v>
      </c>
      <c r="L143" s="81" t="n">
        <f aca="true">RAND()</f>
        <v>0.257850067610632</v>
      </c>
      <c r="M143" s="83" t="n">
        <f aca="false">IF(L143&lt;(Inputs!$E$24-Inputs!$D$24)/(Inputs!$F$24-Inputs!$D$24),Inputs!$D$24+SQRT(L143*(Inputs!$F$24-Inputs!$D$24)*(Inputs!$E$24-Inputs!$D$24)),Inputs!$F$24-SQRT((1-L143)*(Inputs!$F$24-Inputs!$D$24)*(Inputs!$F$24-Inputs!$E$24)))</f>
        <v>0.775903405632966</v>
      </c>
      <c r="N143" s="81" t="n">
        <f aca="true">RAND()</f>
        <v>0.831097261387393</v>
      </c>
      <c r="O143" s="83" t="n">
        <f aca="false">IF(N143&lt;(Inputs!$E$26-Inputs!$D$26)/(Inputs!$F$26-Inputs!$D$26),Inputs!$D$26+SQRT(N143*(Inputs!$F$26-Inputs!$D$26)*(Inputs!$E$26-Inputs!$D$26)),Inputs!$F$26-SQRT((1-N143)*(Inputs!$F$26-Inputs!$D$26)*(Inputs!$F$26-Inputs!$E$26)))</f>
        <v>0.687463647191757</v>
      </c>
      <c r="P143" s="81" t="n">
        <f aca="true">RAND()</f>
        <v>0.975947933923181</v>
      </c>
      <c r="Q143" s="82" t="n">
        <f aca="false">IF(P143&lt;(Inputs!$E$27-Inputs!$D$27)/(Inputs!$F$27-Inputs!$D$27),Inputs!$D$27+SQRT(P143*(Inputs!$F$27-Inputs!$D$27)*(Inputs!$E$27-Inputs!$D$27)),Inputs!$F$27-SQRT((1-P143)*(Inputs!$F$27-Inputs!$D$27)*(Inputs!$F$27-Inputs!$E$27)))</f>
        <v>136.569047108409</v>
      </c>
      <c r="R143" s="81" t="n">
        <f aca="true">RAND()</f>
        <v>0.433454495307278</v>
      </c>
      <c r="S143" s="82" t="n">
        <f aca="false">IF(R143&lt;(Inputs!$E$29-Inputs!$D$29)/(Inputs!$F$29-Inputs!$D$29),Inputs!$D$29+SQRT(R143*(Inputs!$F$29-Inputs!$D$29)*(Inputs!$E$29-Inputs!$D$29)),Inputs!$F$29-SQRT((1-R143)*(Inputs!$F$29-Inputs!$D$29)*(Inputs!$F$29-Inputs!$E$29)))</f>
        <v>6.41798883652241</v>
      </c>
      <c r="T143" s="68" t="n">
        <f aca="false">Inputs!$E$9*(1+E143)+Inputs!$E$5*C143*(Inputs!$E$11*Inputs!$E$14*(G143*I143/Inputs!$E$16+(1-G143))*K143+Inputs!$E$23*M143)*(1+O143)+Inputs!$E$5*(Q143+S143)</f>
        <v>5908.19025040644</v>
      </c>
    </row>
    <row r="144" customFormat="false" ht="15" hidden="false" customHeight="false" outlineLevel="0" collapsed="false">
      <c r="A144" s="1" t="n">
        <v>140</v>
      </c>
      <c r="B144" s="81" t="n">
        <f aca="true">RAND()</f>
        <v>0.119989196502677</v>
      </c>
      <c r="C144" s="82" t="n">
        <f aca="false">ROUND(IF(B144&lt;(Inputs!$E$8-Inputs!$D$8)/(Inputs!$F$8-Inputs!$D$8),Inputs!$D$8+SQRT(B144*(Inputs!$F$8-Inputs!$D$8)*(Inputs!$E$8-Inputs!$D$8)),Inputs!$F$8-SQRT((1-B144)*(Inputs!$F$8-Inputs!$D$8)*(Inputs!$F$8-Inputs!$E$8))),0)</f>
        <v>22</v>
      </c>
      <c r="D144" s="81" t="n">
        <f aca="true">RAND()</f>
        <v>0.993416448712031</v>
      </c>
      <c r="E144" s="83" t="n">
        <f aca="false">IF(D144&lt;(Inputs!$E$10-Inputs!$D$10)/(Inputs!$F$10-Inputs!$D$10),Inputs!$D$10+SQRT(D144*(Inputs!$F$10-Inputs!$D$10)*(Inputs!$E$10-Inputs!$D$10)),Inputs!$F$10-SQRT((1-D144)*(Inputs!$F$10-Inputs!$D$10)*(Inputs!$F$10-Inputs!$E$10)))</f>
        <v>0.185946298045032</v>
      </c>
      <c r="F144" s="81" t="n">
        <f aca="true">RAND()</f>
        <v>0.209512241113067</v>
      </c>
      <c r="G144" s="83" t="n">
        <f aca="false">IF(F144&lt;(Inputs!$E$15-Inputs!$D$15)/(Inputs!$F$15-Inputs!$D$15),Inputs!$D$15+SQRT(F144*(Inputs!$F$15-Inputs!$D$15)*(Inputs!$E$15-Inputs!$D$15)),Inputs!$F$15-SQRT((1-F144)*(Inputs!$F$15-Inputs!$D$15)*(Inputs!$F$15-Inputs!$E$15)))</f>
        <v>0.664732100400507</v>
      </c>
      <c r="H144" s="81" t="n">
        <f aca="true">RAND()</f>
        <v>0.455830272798567</v>
      </c>
      <c r="I144" s="82" t="n">
        <f aca="false">ROUND(IF(H144&lt;(Inputs!$E$17-Inputs!$D$17)/(Inputs!$F$17-Inputs!$D$17),Inputs!$D$17+SQRT(H144*(Inputs!$F$17-Inputs!$D$17)*(Inputs!$E$17-Inputs!$D$17)),Inputs!$F$17-SQRT((1-H144)*(Inputs!$F$17-Inputs!$D$17)*(Inputs!$F$17-Inputs!$E$17))),0)</f>
        <v>106</v>
      </c>
      <c r="J144" s="81" t="n">
        <f aca="true">RAND()</f>
        <v>0.79925659389092</v>
      </c>
      <c r="K144" s="83" t="n">
        <f aca="false">IF(J144&lt;(Inputs!$E$18-Inputs!$D$18)/(Inputs!$F$18-Inputs!$D$18),Inputs!$D$18+SQRT(J144*(Inputs!$F$18-Inputs!$D$18)*(Inputs!$E$18-Inputs!$D$18)),Inputs!$F$18-SQRT((1-J144)*(Inputs!$F$18-Inputs!$D$18)*(Inputs!$F$18-Inputs!$E$18)))</f>
        <v>1.11746680402803</v>
      </c>
      <c r="L144" s="81" t="n">
        <f aca="true">RAND()</f>
        <v>0.0903520151525377</v>
      </c>
      <c r="M144" s="83" t="n">
        <f aca="false">IF(L144&lt;(Inputs!$E$24-Inputs!$D$24)/(Inputs!$F$24-Inputs!$D$24),Inputs!$D$24+SQRT(L144*(Inputs!$F$24-Inputs!$D$24)*(Inputs!$E$24-Inputs!$D$24)),Inputs!$F$24-SQRT((1-L144)*(Inputs!$F$24-Inputs!$D$24)*(Inputs!$F$24-Inputs!$E$24)))</f>
        <v>0.704126086156662</v>
      </c>
      <c r="N144" s="81" t="n">
        <f aca="true">RAND()</f>
        <v>0.844636427171444</v>
      </c>
      <c r="O144" s="83" t="n">
        <f aca="false">IF(N144&lt;(Inputs!$E$26-Inputs!$D$26)/(Inputs!$F$26-Inputs!$D$26),Inputs!$D$26+SQRT(N144*(Inputs!$F$26-Inputs!$D$26)*(Inputs!$E$26-Inputs!$D$26)),Inputs!$F$26-SQRT((1-N144)*(Inputs!$F$26-Inputs!$D$26)*(Inputs!$F$26-Inputs!$E$26)))</f>
        <v>0.692886619216662</v>
      </c>
      <c r="P144" s="81" t="n">
        <f aca="true">RAND()</f>
        <v>0.256024710827314</v>
      </c>
      <c r="Q144" s="82" t="n">
        <f aca="false">IF(P144&lt;(Inputs!$E$27-Inputs!$D$27)/(Inputs!$F$27-Inputs!$D$27),Inputs!$D$27+SQRT(P144*(Inputs!$F$27-Inputs!$D$27)*(Inputs!$E$27-Inputs!$D$27)),Inputs!$F$27-SQRT((1-P144)*(Inputs!$F$27-Inputs!$D$27)*(Inputs!$F$27-Inputs!$E$27)))</f>
        <v>75.3018429357515</v>
      </c>
      <c r="R144" s="81" t="n">
        <f aca="true">RAND()</f>
        <v>0.240456596402002</v>
      </c>
      <c r="S144" s="82" t="n">
        <f aca="false">IF(R144&lt;(Inputs!$E$29-Inputs!$D$29)/(Inputs!$F$29-Inputs!$D$29),Inputs!$D$29+SQRT(R144*(Inputs!$F$29-Inputs!$D$29)*(Inputs!$E$29-Inputs!$D$29)),Inputs!$F$29-SQRT((1-R144)*(Inputs!$F$29-Inputs!$D$29)*(Inputs!$F$29-Inputs!$E$29)))</f>
        <v>5.06316738252376</v>
      </c>
      <c r="T144" s="68" t="n">
        <f aca="false">Inputs!$E$9*(1+E144)+Inputs!$E$5*C144*(Inputs!$E$11*Inputs!$E$14*(G144*I144/Inputs!$E$16+(1-G144))*K144+Inputs!$E$23*M144)*(1+O144)+Inputs!$E$5*(Q144+S144)</f>
        <v>6241.16492900959</v>
      </c>
    </row>
    <row r="145" customFormat="false" ht="15" hidden="false" customHeight="false" outlineLevel="0" collapsed="false">
      <c r="A145" s="1" t="n">
        <v>141</v>
      </c>
      <c r="B145" s="81" t="n">
        <f aca="true">RAND()</f>
        <v>0.403376643863642</v>
      </c>
      <c r="C145" s="82" t="n">
        <f aca="false">ROUND(IF(B145&lt;(Inputs!$E$8-Inputs!$D$8)/(Inputs!$F$8-Inputs!$D$8),Inputs!$D$8+SQRT(B145*(Inputs!$F$8-Inputs!$D$8)*(Inputs!$E$8-Inputs!$D$8)),Inputs!$F$8-SQRT((1-B145)*(Inputs!$F$8-Inputs!$D$8)*(Inputs!$F$8-Inputs!$E$8))),0)</f>
        <v>24</v>
      </c>
      <c r="D145" s="81" t="n">
        <f aca="true">RAND()</f>
        <v>0.924308347269309</v>
      </c>
      <c r="E145" s="83" t="n">
        <f aca="false">IF(D145&lt;(Inputs!$E$10-Inputs!$D$10)/(Inputs!$F$10-Inputs!$D$10),Inputs!$D$10+SQRT(D145*(Inputs!$F$10-Inputs!$D$10)*(Inputs!$E$10-Inputs!$D$10)),Inputs!$F$10-SQRT((1-D145)*(Inputs!$F$10-Inputs!$D$10)*(Inputs!$F$10-Inputs!$E$10)))</f>
        <v>0.152347617248235</v>
      </c>
      <c r="F145" s="81" t="n">
        <f aca="true">RAND()</f>
        <v>0.399418247764346</v>
      </c>
      <c r="G145" s="83" t="n">
        <f aca="false">IF(F145&lt;(Inputs!$E$15-Inputs!$D$15)/(Inputs!$F$15-Inputs!$D$15),Inputs!$D$15+SQRT(F145*(Inputs!$F$15-Inputs!$D$15)*(Inputs!$E$15-Inputs!$D$15)),Inputs!$F$15-SQRT((1-F145)*(Inputs!$F$15-Inputs!$D$15)*(Inputs!$F$15-Inputs!$E$15)))</f>
        <v>0.689377653556619</v>
      </c>
      <c r="H145" s="81" t="n">
        <f aca="true">RAND()</f>
        <v>0.711435628954299</v>
      </c>
      <c r="I145" s="82" t="n">
        <f aca="false">ROUND(IF(H145&lt;(Inputs!$E$17-Inputs!$D$17)/(Inputs!$F$17-Inputs!$D$17),Inputs!$D$17+SQRT(H145*(Inputs!$F$17-Inputs!$D$17)*(Inputs!$E$17-Inputs!$D$17)),Inputs!$F$17-SQRT((1-H145)*(Inputs!$F$17-Inputs!$D$17)*(Inputs!$F$17-Inputs!$E$17))),0)</f>
        <v>108</v>
      </c>
      <c r="J145" s="81" t="n">
        <f aca="true">RAND()</f>
        <v>0.684545005185185</v>
      </c>
      <c r="K145" s="83" t="n">
        <f aca="false">IF(J145&lt;(Inputs!$E$18-Inputs!$D$18)/(Inputs!$F$18-Inputs!$D$18),Inputs!$D$18+SQRT(J145*(Inputs!$F$18-Inputs!$D$18)*(Inputs!$E$18-Inputs!$D$18)),Inputs!$F$18-SQRT((1-J145)*(Inputs!$F$18-Inputs!$D$18)*(Inputs!$F$18-Inputs!$E$18)))</f>
        <v>1.08386056444572</v>
      </c>
      <c r="L145" s="81" t="n">
        <f aca="true">RAND()</f>
        <v>0.737881723904649</v>
      </c>
      <c r="M145" s="83" t="n">
        <f aca="false">IF(L145&lt;(Inputs!$E$24-Inputs!$D$24)/(Inputs!$F$24-Inputs!$D$24),Inputs!$D$24+SQRT(L145*(Inputs!$F$24-Inputs!$D$24)*(Inputs!$E$24-Inputs!$D$24)),Inputs!$F$24-SQRT((1-L145)*(Inputs!$F$24-Inputs!$D$24)*(Inputs!$F$24-Inputs!$E$24)))</f>
        <v>0.949184557367605</v>
      </c>
      <c r="N145" s="81" t="n">
        <f aca="true">RAND()</f>
        <v>0.315243994048401</v>
      </c>
      <c r="O145" s="83" t="n">
        <f aca="false">IF(N145&lt;(Inputs!$E$26-Inputs!$D$26)/(Inputs!$F$26-Inputs!$D$26),Inputs!$D$26+SQRT(N145*(Inputs!$F$26-Inputs!$D$26)*(Inputs!$E$26-Inputs!$D$26)),Inputs!$F$26-SQRT((1-N145)*(Inputs!$F$26-Inputs!$D$26)*(Inputs!$F$26-Inputs!$E$26)))</f>
        <v>0.529034059933569</v>
      </c>
      <c r="P145" s="81" t="n">
        <f aca="true">RAND()</f>
        <v>0.789778211147854</v>
      </c>
      <c r="Q145" s="82" t="n">
        <f aca="false">IF(P145&lt;(Inputs!$E$27-Inputs!$D$27)/(Inputs!$F$27-Inputs!$D$27),Inputs!$D$27+SQRT(P145*(Inputs!$F$27-Inputs!$D$27)*(Inputs!$E$27-Inputs!$D$27)),Inputs!$F$27-SQRT((1-P145)*(Inputs!$F$27-Inputs!$D$27)*(Inputs!$F$27-Inputs!$E$27)))</f>
        <v>110.292778787844</v>
      </c>
      <c r="R145" s="81" t="n">
        <f aca="true">RAND()</f>
        <v>0.696367792651558</v>
      </c>
      <c r="S145" s="82" t="n">
        <f aca="false">IF(R145&lt;(Inputs!$E$29-Inputs!$D$29)/(Inputs!$F$29-Inputs!$D$29),Inputs!$D$29+SQRT(R145*(Inputs!$F$29-Inputs!$D$29)*(Inputs!$E$29-Inputs!$D$29)),Inputs!$F$29-SQRT((1-R145)*(Inputs!$F$29-Inputs!$D$29)*(Inputs!$F$29-Inputs!$E$29)))</f>
        <v>8.71731053168331</v>
      </c>
      <c r="T145" s="68" t="n">
        <f aca="false">Inputs!$E$9*(1+E145)+Inputs!$E$5*C145*(Inputs!$E$11*Inputs!$E$14*(G145*I145/Inputs!$E$16+(1-G145))*K145+Inputs!$E$23*M145)*(1+O145)+Inputs!$E$5*(Q145+S145)</f>
        <v>6556.24225340016</v>
      </c>
    </row>
    <row r="146" customFormat="false" ht="15" hidden="false" customHeight="false" outlineLevel="0" collapsed="false">
      <c r="A146" s="1" t="n">
        <v>142</v>
      </c>
      <c r="B146" s="81" t="n">
        <f aca="true">RAND()</f>
        <v>0.566382429822686</v>
      </c>
      <c r="C146" s="82" t="n">
        <f aca="false">ROUND(IF(B146&lt;(Inputs!$E$8-Inputs!$D$8)/(Inputs!$F$8-Inputs!$D$8),Inputs!$D$8+SQRT(B146*(Inputs!$F$8-Inputs!$D$8)*(Inputs!$E$8-Inputs!$D$8)),Inputs!$F$8-SQRT((1-B146)*(Inputs!$F$8-Inputs!$D$8)*(Inputs!$F$8-Inputs!$E$8))),0)</f>
        <v>25</v>
      </c>
      <c r="D146" s="81" t="n">
        <f aca="true">RAND()</f>
        <v>0.545737552571016</v>
      </c>
      <c r="E146" s="83" t="n">
        <f aca="false">IF(D146&lt;(Inputs!$E$10-Inputs!$D$10)/(Inputs!$F$10-Inputs!$D$10),Inputs!$D$10+SQRT(D146*(Inputs!$F$10-Inputs!$D$10)*(Inputs!$E$10-Inputs!$D$10)),Inputs!$F$10-SQRT((1-D146)*(Inputs!$F$10-Inputs!$D$10)*(Inputs!$F$10-Inputs!$E$10)))</f>
        <v>0.0832615169583332</v>
      </c>
      <c r="F146" s="81" t="n">
        <f aca="true">RAND()</f>
        <v>0.327987609981294</v>
      </c>
      <c r="G146" s="83" t="n">
        <f aca="false">IF(F146&lt;(Inputs!$E$15-Inputs!$D$15)/(Inputs!$F$15-Inputs!$D$15),Inputs!$D$15+SQRT(F146*(Inputs!$F$15-Inputs!$D$15)*(Inputs!$E$15-Inputs!$D$15)),Inputs!$F$15-SQRT((1-F146)*(Inputs!$F$15-Inputs!$D$15)*(Inputs!$F$15-Inputs!$E$15)))</f>
        <v>0.680992297162297</v>
      </c>
      <c r="H146" s="81" t="n">
        <f aca="true">RAND()</f>
        <v>0.647237217633852</v>
      </c>
      <c r="I146" s="82" t="n">
        <f aca="false">ROUND(IF(H146&lt;(Inputs!$E$17-Inputs!$D$17)/(Inputs!$F$17-Inputs!$D$17),Inputs!$D$17+SQRT(H146*(Inputs!$F$17-Inputs!$D$17)*(Inputs!$E$17-Inputs!$D$17)),Inputs!$F$17-SQRT((1-H146)*(Inputs!$F$17-Inputs!$D$17)*(Inputs!$F$17-Inputs!$E$17))),0)</f>
        <v>108</v>
      </c>
      <c r="J146" s="81" t="n">
        <f aca="true">RAND()</f>
        <v>0.792799905294408</v>
      </c>
      <c r="K146" s="83" t="n">
        <f aca="false">IF(J146&lt;(Inputs!$E$18-Inputs!$D$18)/(Inputs!$F$18-Inputs!$D$18),Inputs!$D$18+SQRT(J146*(Inputs!$F$18-Inputs!$D$18)*(Inputs!$E$18-Inputs!$D$18)),Inputs!$F$18-SQRT((1-J146)*(Inputs!$F$18-Inputs!$D$18)*(Inputs!$F$18-Inputs!$E$18)))</f>
        <v>1.11535228079637</v>
      </c>
      <c r="L146" s="81" t="n">
        <f aca="true">RAND()</f>
        <v>0.917784074086741</v>
      </c>
      <c r="M146" s="83" t="n">
        <f aca="false">IF(L146&lt;(Inputs!$E$24-Inputs!$D$24)/(Inputs!$F$24-Inputs!$D$24),Inputs!$D$24+SQRT(L146*(Inputs!$F$24-Inputs!$D$24)*(Inputs!$E$24-Inputs!$D$24)),Inputs!$F$24-SQRT((1-L146)*(Inputs!$F$24-Inputs!$D$24)*(Inputs!$F$24-Inputs!$E$24)))</f>
        <v>1.0595299953044</v>
      </c>
      <c r="N146" s="81" t="n">
        <f aca="true">RAND()</f>
        <v>0.0632305793399909</v>
      </c>
      <c r="O146" s="83" t="n">
        <f aca="false">IF(N146&lt;(Inputs!$E$26-Inputs!$D$26)/(Inputs!$F$26-Inputs!$D$26),Inputs!$D$26+SQRT(N146*(Inputs!$F$26-Inputs!$D$26)*(Inputs!$E$26-Inputs!$D$26)),Inputs!$F$26-SQRT((1-N146)*(Inputs!$F$26-Inputs!$D$26)*(Inputs!$F$26-Inputs!$E$26)))</f>
        <v>0.402574696695503</v>
      </c>
      <c r="P146" s="81" t="n">
        <f aca="true">RAND()</f>
        <v>0.0360190362730161</v>
      </c>
      <c r="Q146" s="82" t="n">
        <f aca="false">IF(P146&lt;(Inputs!$E$27-Inputs!$D$27)/(Inputs!$F$27-Inputs!$D$27),Inputs!$D$27+SQRT(P146*(Inputs!$F$27-Inputs!$D$27)*(Inputs!$E$27-Inputs!$D$27)),Inputs!$F$27-SQRT((1-P146)*(Inputs!$F$27-Inputs!$D$27)*(Inputs!$F$27-Inputs!$E$27)))</f>
        <v>59.4893408982152</v>
      </c>
      <c r="R146" s="81" t="n">
        <f aca="true">RAND()</f>
        <v>0.801047117002564</v>
      </c>
      <c r="S146" s="82" t="n">
        <f aca="false">IF(R146&lt;(Inputs!$E$29-Inputs!$D$29)/(Inputs!$F$29-Inputs!$D$29),Inputs!$D$29+SQRT(R146*(Inputs!$F$29-Inputs!$D$29)*(Inputs!$E$29-Inputs!$D$29)),Inputs!$F$29-SQRT((1-R146)*(Inputs!$F$29-Inputs!$D$29)*(Inputs!$F$29-Inputs!$E$29)))</f>
        <v>9.91434617874293</v>
      </c>
      <c r="T146" s="68" t="n">
        <f aca="false">Inputs!$E$9*(1+E146)+Inputs!$E$5*C146*(Inputs!$E$11*Inputs!$E$14*(G146*I146/Inputs!$E$16+(1-G146))*K146+Inputs!$E$23*M146)*(1+O146)+Inputs!$E$5*(Q146+S146)</f>
        <v>6212.90864163111</v>
      </c>
    </row>
    <row r="147" customFormat="false" ht="15" hidden="false" customHeight="false" outlineLevel="0" collapsed="false">
      <c r="A147" s="1" t="n">
        <v>143</v>
      </c>
      <c r="B147" s="81" t="n">
        <f aca="true">RAND()</f>
        <v>0.846613833474498</v>
      </c>
      <c r="C147" s="82" t="n">
        <f aca="false">ROUND(IF(B147&lt;(Inputs!$E$8-Inputs!$D$8)/(Inputs!$F$8-Inputs!$D$8),Inputs!$D$8+SQRT(B147*(Inputs!$F$8-Inputs!$D$8)*(Inputs!$E$8-Inputs!$D$8)),Inputs!$F$8-SQRT((1-B147)*(Inputs!$F$8-Inputs!$D$8)*(Inputs!$F$8-Inputs!$E$8))),0)</f>
        <v>27</v>
      </c>
      <c r="D147" s="81" t="n">
        <f aca="true">RAND()</f>
        <v>0.440323234255273</v>
      </c>
      <c r="E147" s="83" t="n">
        <f aca="false">IF(D147&lt;(Inputs!$E$10-Inputs!$D$10)/(Inputs!$F$10-Inputs!$D$10),Inputs!$D$10+SQRT(D147*(Inputs!$F$10-Inputs!$D$10)*(Inputs!$E$10-Inputs!$D$10)),Inputs!$F$10-SQRT((1-D147)*(Inputs!$F$10-Inputs!$D$10)*(Inputs!$F$10-Inputs!$E$10)))</f>
        <v>0.0704225985275912</v>
      </c>
      <c r="F147" s="81" t="n">
        <f aca="true">RAND()</f>
        <v>0.615830591771284</v>
      </c>
      <c r="G147" s="83" t="n">
        <f aca="false">IF(F147&lt;(Inputs!$E$15-Inputs!$D$15)/(Inputs!$F$15-Inputs!$D$15),Inputs!$D$15+SQRT(F147*(Inputs!$F$15-Inputs!$D$15)*(Inputs!$E$15-Inputs!$D$15)),Inputs!$F$15-SQRT((1-F147)*(Inputs!$F$15-Inputs!$D$15)*(Inputs!$F$15-Inputs!$E$15)))</f>
        <v>0.712345061949858</v>
      </c>
      <c r="H147" s="81" t="n">
        <f aca="true">RAND()</f>
        <v>0.692160157802596</v>
      </c>
      <c r="I147" s="82" t="n">
        <f aca="false">ROUND(IF(H147&lt;(Inputs!$E$17-Inputs!$D$17)/(Inputs!$F$17-Inputs!$D$17),Inputs!$D$17+SQRT(H147*(Inputs!$F$17-Inputs!$D$17)*(Inputs!$E$17-Inputs!$D$17)),Inputs!$F$17-SQRT((1-H147)*(Inputs!$F$17-Inputs!$D$17)*(Inputs!$F$17-Inputs!$E$17))),0)</f>
        <v>108</v>
      </c>
      <c r="J147" s="81" t="n">
        <f aca="true">RAND()</f>
        <v>0.548851283096647</v>
      </c>
      <c r="K147" s="83" t="n">
        <f aca="false">IF(J147&lt;(Inputs!$E$18-Inputs!$D$18)/(Inputs!$F$18-Inputs!$D$18),Inputs!$D$18+SQRT(J147*(Inputs!$F$18-Inputs!$D$18)*(Inputs!$E$18-Inputs!$D$18)),Inputs!$F$18-SQRT((1-J147)*(Inputs!$F$18-Inputs!$D$18)*(Inputs!$F$18-Inputs!$E$18)))</f>
        <v>1.05131554482284</v>
      </c>
      <c r="L147" s="81" t="n">
        <f aca="true">RAND()</f>
        <v>0.299139632124506</v>
      </c>
      <c r="M147" s="83" t="n">
        <f aca="false">IF(L147&lt;(Inputs!$E$24-Inputs!$D$24)/(Inputs!$F$24-Inputs!$D$24),Inputs!$D$24+SQRT(L147*(Inputs!$F$24-Inputs!$D$24)*(Inputs!$E$24-Inputs!$D$24)),Inputs!$F$24-SQRT((1-L147)*(Inputs!$F$24-Inputs!$D$24)*(Inputs!$F$24-Inputs!$E$24)))</f>
        <v>0.78946439205017</v>
      </c>
      <c r="N147" s="81" t="n">
        <f aca="true">RAND()</f>
        <v>0.750934695680698</v>
      </c>
      <c r="O147" s="83" t="n">
        <f aca="false">IF(N147&lt;(Inputs!$E$26-Inputs!$D$26)/(Inputs!$F$26-Inputs!$D$26),Inputs!$D$26+SQRT(N147*(Inputs!$F$26-Inputs!$D$26)*(Inputs!$E$26-Inputs!$D$26)),Inputs!$F$26-SQRT((1-N147)*(Inputs!$F$26-Inputs!$D$26)*(Inputs!$F$26-Inputs!$E$26)))</f>
        <v>0.659056557607315</v>
      </c>
      <c r="P147" s="81" t="n">
        <f aca="true">RAND()</f>
        <v>0.946106410679693</v>
      </c>
      <c r="Q147" s="82" t="n">
        <f aca="false">IF(P147&lt;(Inputs!$E$27-Inputs!$D$27)/(Inputs!$F$27-Inputs!$D$27),Inputs!$D$27+SQRT(P147*(Inputs!$F$27-Inputs!$D$27)*(Inputs!$E$27-Inputs!$D$27)),Inputs!$F$27-SQRT((1-P147)*(Inputs!$F$27-Inputs!$D$27)*(Inputs!$F$27-Inputs!$E$27)))</f>
        <v>129.895226439915</v>
      </c>
      <c r="R147" s="81" t="n">
        <f aca="true">RAND()</f>
        <v>0.26408084878675</v>
      </c>
      <c r="S147" s="82" t="n">
        <f aca="false">IF(R147&lt;(Inputs!$E$29-Inputs!$D$29)/(Inputs!$F$29-Inputs!$D$29),Inputs!$D$29+SQRT(R147*(Inputs!$F$29-Inputs!$D$29)*(Inputs!$E$29-Inputs!$D$29)),Inputs!$F$29-SQRT((1-R147)*(Inputs!$F$29-Inputs!$D$29)*(Inputs!$F$29-Inputs!$E$29)))</f>
        <v>5.21892185606707</v>
      </c>
      <c r="T147" s="68" t="n">
        <f aca="false">Inputs!$E$9*(1+E147)+Inputs!$E$5*C147*(Inputs!$E$11*Inputs!$E$14*(G147*I147/Inputs!$E$16+(1-G147))*K147+Inputs!$E$23*M147)*(1+O147)+Inputs!$E$5*(Q147+S147)</f>
        <v>6842.73316665604</v>
      </c>
    </row>
    <row r="148" customFormat="false" ht="15" hidden="false" customHeight="false" outlineLevel="0" collapsed="false">
      <c r="A148" s="1" t="n">
        <v>144</v>
      </c>
      <c r="B148" s="81" t="n">
        <f aca="true">RAND()</f>
        <v>0.246789075264637</v>
      </c>
      <c r="C148" s="82" t="n">
        <f aca="false">ROUND(IF(B148&lt;(Inputs!$E$8-Inputs!$D$8)/(Inputs!$F$8-Inputs!$D$8),Inputs!$D$8+SQRT(B148*(Inputs!$F$8-Inputs!$D$8)*(Inputs!$E$8-Inputs!$D$8)),Inputs!$F$8-SQRT((1-B148)*(Inputs!$F$8-Inputs!$D$8)*(Inputs!$F$8-Inputs!$E$8))),0)</f>
        <v>24</v>
      </c>
      <c r="D148" s="81" t="n">
        <f aca="true">RAND()</f>
        <v>0.262670018787645</v>
      </c>
      <c r="E148" s="83" t="n">
        <f aca="false">IF(D148&lt;(Inputs!$E$10-Inputs!$D$10)/(Inputs!$F$10-Inputs!$D$10),Inputs!$D$10+SQRT(D148*(Inputs!$F$10-Inputs!$D$10)*(Inputs!$E$10-Inputs!$D$10)),Inputs!$F$10-SQRT((1-D148)*(Inputs!$F$10-Inputs!$D$10)*(Inputs!$F$10-Inputs!$E$10)))</f>
        <v>0.0512723985389038</v>
      </c>
      <c r="F148" s="81" t="n">
        <f aca="true">RAND()</f>
        <v>0.436064708565111</v>
      </c>
      <c r="G148" s="83" t="n">
        <f aca="false">IF(F148&lt;(Inputs!$E$15-Inputs!$D$15)/(Inputs!$F$15-Inputs!$D$15),Inputs!$D$15+SQRT(F148*(Inputs!$F$15-Inputs!$D$15)*(Inputs!$E$15-Inputs!$D$15)),Inputs!$F$15-SQRT((1-F148)*(Inputs!$F$15-Inputs!$D$15)*(Inputs!$F$15-Inputs!$E$15)))</f>
        <v>0.693387869508316</v>
      </c>
      <c r="H148" s="81" t="n">
        <f aca="true">RAND()</f>
        <v>0.208574529258762</v>
      </c>
      <c r="I148" s="82" t="n">
        <f aca="false">ROUND(IF(H148&lt;(Inputs!$E$17-Inputs!$D$17)/(Inputs!$F$17-Inputs!$D$17),Inputs!$D$17+SQRT(H148*(Inputs!$F$17-Inputs!$D$17)*(Inputs!$E$17-Inputs!$D$17)),Inputs!$F$17-SQRT((1-H148)*(Inputs!$F$17-Inputs!$D$17)*(Inputs!$F$17-Inputs!$E$17))),0)</f>
        <v>104</v>
      </c>
      <c r="J148" s="81" t="n">
        <f aca="true">RAND()</f>
        <v>0.444420782324769</v>
      </c>
      <c r="K148" s="83" t="n">
        <f aca="false">IF(J148&lt;(Inputs!$E$18-Inputs!$D$18)/(Inputs!$F$18-Inputs!$D$18),Inputs!$D$18+SQRT(J148*(Inputs!$F$18-Inputs!$D$18)*(Inputs!$E$18-Inputs!$D$18)),Inputs!$F$18-SQRT((1-J148)*(Inputs!$F$18-Inputs!$D$18)*(Inputs!$F$18-Inputs!$E$18)))</f>
        <v>1.02951602882163</v>
      </c>
      <c r="L148" s="81" t="n">
        <f aca="true">RAND()</f>
        <v>0.304879115153053</v>
      </c>
      <c r="M148" s="83" t="n">
        <f aca="false">IF(L148&lt;(Inputs!$E$24-Inputs!$D$24)/(Inputs!$F$24-Inputs!$D$24),Inputs!$D$24+SQRT(L148*(Inputs!$F$24-Inputs!$D$24)*(Inputs!$E$24-Inputs!$D$24)),Inputs!$F$24-SQRT((1-L148)*(Inputs!$F$24-Inputs!$D$24)*(Inputs!$F$24-Inputs!$E$24)))</f>
        <v>0.791273348426712</v>
      </c>
      <c r="N148" s="81" t="n">
        <f aca="true">RAND()</f>
        <v>0.165097688559618</v>
      </c>
      <c r="O148" s="83" t="n">
        <f aca="false">IF(N148&lt;(Inputs!$E$26-Inputs!$D$26)/(Inputs!$F$26-Inputs!$D$26),Inputs!$D$26+SQRT(N148*(Inputs!$F$26-Inputs!$D$26)*(Inputs!$E$26-Inputs!$D$26)),Inputs!$F$26-SQRT((1-N148)*(Inputs!$F$26-Inputs!$D$26)*(Inputs!$F$26-Inputs!$E$26)))</f>
        <v>0.465747565219886</v>
      </c>
      <c r="P148" s="81" t="n">
        <f aca="true">RAND()</f>
        <v>0.704847706293946</v>
      </c>
      <c r="Q148" s="82" t="n">
        <f aca="false">IF(P148&lt;(Inputs!$E$27-Inputs!$D$27)/(Inputs!$F$27-Inputs!$D$27),Inputs!$D$27+SQRT(P148*(Inputs!$F$27-Inputs!$D$27)*(Inputs!$E$27-Inputs!$D$27)),Inputs!$F$27-SQRT((1-P148)*(Inputs!$F$27-Inputs!$D$27)*(Inputs!$F$27-Inputs!$E$27)))</f>
        <v>102.950640782308</v>
      </c>
      <c r="R148" s="81" t="n">
        <f aca="true">RAND()</f>
        <v>0.630381290030286</v>
      </c>
      <c r="S148" s="82" t="n">
        <f aca="false">IF(R148&lt;(Inputs!$E$29-Inputs!$D$29)/(Inputs!$F$29-Inputs!$D$29),Inputs!$D$29+SQRT(R148*(Inputs!$F$29-Inputs!$D$29)*(Inputs!$E$29-Inputs!$D$29)),Inputs!$F$29-SQRT((1-R148)*(Inputs!$F$29-Inputs!$D$29)*(Inputs!$F$29-Inputs!$E$29)))</f>
        <v>8.06815808777617</v>
      </c>
      <c r="T148" s="68" t="n">
        <f aca="false">Inputs!$E$9*(1+E148)+Inputs!$E$5*C148*(Inputs!$E$11*Inputs!$E$14*(G148*I148/Inputs!$E$16+(1-G148))*K148+Inputs!$E$23*M148)*(1+O148)+Inputs!$E$5*(Q148+S148)</f>
        <v>5802.62063051695</v>
      </c>
    </row>
    <row r="149" customFormat="false" ht="15" hidden="false" customHeight="false" outlineLevel="0" collapsed="false">
      <c r="A149" s="1" t="n">
        <v>145</v>
      </c>
      <c r="B149" s="81" t="n">
        <f aca="true">RAND()</f>
        <v>0.635493456434147</v>
      </c>
      <c r="C149" s="82" t="n">
        <f aca="false">ROUND(IF(B149&lt;(Inputs!$E$8-Inputs!$D$8)/(Inputs!$F$8-Inputs!$D$8),Inputs!$D$8+SQRT(B149*(Inputs!$F$8-Inputs!$D$8)*(Inputs!$E$8-Inputs!$D$8)),Inputs!$F$8-SQRT((1-B149)*(Inputs!$F$8-Inputs!$D$8)*(Inputs!$F$8-Inputs!$E$8))),0)</f>
        <v>26</v>
      </c>
      <c r="D149" s="81" t="n">
        <f aca="true">RAND()</f>
        <v>0.194443294382918</v>
      </c>
      <c r="E149" s="83" t="n">
        <f aca="false">IF(D149&lt;(Inputs!$E$10-Inputs!$D$10)/(Inputs!$F$10-Inputs!$D$10),Inputs!$D$10+SQRT(D149*(Inputs!$F$10-Inputs!$D$10)*(Inputs!$E$10-Inputs!$D$10)),Inputs!$F$10-SQRT((1-D149)*(Inputs!$F$10-Inputs!$D$10)*(Inputs!$F$10-Inputs!$E$10)))</f>
        <v>0.0440957247794974</v>
      </c>
      <c r="F149" s="81" t="n">
        <f aca="true">RAND()</f>
        <v>0.99394019627984</v>
      </c>
      <c r="G149" s="83" t="n">
        <f aca="false">IF(F149&lt;(Inputs!$E$15-Inputs!$D$15)/(Inputs!$F$15-Inputs!$D$15),Inputs!$D$15+SQRT(F149*(Inputs!$F$15-Inputs!$D$15)*(Inputs!$E$15-Inputs!$D$15)),Inputs!$F$15-SQRT((1-F149)*(Inputs!$F$15-Inputs!$D$15)*(Inputs!$F$15-Inputs!$E$15)))</f>
        <v>0.788991091134758</v>
      </c>
      <c r="H149" s="81" t="n">
        <f aca="true">RAND()</f>
        <v>0.154593466951742</v>
      </c>
      <c r="I149" s="82" t="n">
        <f aca="false">ROUND(IF(H149&lt;(Inputs!$E$17-Inputs!$D$17)/(Inputs!$F$17-Inputs!$D$17),Inputs!$D$17+SQRT(H149*(Inputs!$F$17-Inputs!$D$17)*(Inputs!$E$17-Inputs!$D$17)),Inputs!$F$17-SQRT((1-H149)*(Inputs!$F$17-Inputs!$D$17)*(Inputs!$F$17-Inputs!$E$17))),0)</f>
        <v>103</v>
      </c>
      <c r="J149" s="81" t="n">
        <f aca="true">RAND()</f>
        <v>0.797743759960222</v>
      </c>
      <c r="K149" s="83" t="n">
        <f aca="false">IF(J149&lt;(Inputs!$E$18-Inputs!$D$18)/(Inputs!$F$18-Inputs!$D$18),Inputs!$D$18+SQRT(J149*(Inputs!$F$18-Inputs!$D$18)*(Inputs!$E$18-Inputs!$D$18)),Inputs!$F$18-SQRT((1-J149)*(Inputs!$F$18-Inputs!$D$18)*(Inputs!$F$18-Inputs!$E$18)))</f>
        <v>1.11696834585904</v>
      </c>
      <c r="L149" s="81" t="n">
        <f aca="true">RAND()</f>
        <v>0.480456052381721</v>
      </c>
      <c r="M149" s="83" t="n">
        <f aca="false">IF(L149&lt;(Inputs!$E$24-Inputs!$D$24)/(Inputs!$F$24-Inputs!$D$24),Inputs!$D$24+SQRT(L149*(Inputs!$F$24-Inputs!$D$24)*(Inputs!$E$24-Inputs!$D$24)),Inputs!$F$24-SQRT((1-L149)*(Inputs!$F$24-Inputs!$D$24)*(Inputs!$F$24-Inputs!$E$24)))</f>
        <v>0.846884512618907</v>
      </c>
      <c r="N149" s="81" t="n">
        <f aca="true">RAND()</f>
        <v>0.146034831546872</v>
      </c>
      <c r="O149" s="83" t="n">
        <f aca="false">IF(N149&lt;(Inputs!$E$26-Inputs!$D$26)/(Inputs!$F$26-Inputs!$D$26),Inputs!$D$26+SQRT(N149*(Inputs!$F$26-Inputs!$D$26)*(Inputs!$E$26-Inputs!$D$26)),Inputs!$F$26-SQRT((1-N149)*(Inputs!$F$26-Inputs!$D$26)*(Inputs!$F$26-Inputs!$E$26)))</f>
        <v>0.455885201252073</v>
      </c>
      <c r="P149" s="81" t="n">
        <f aca="true">RAND()</f>
        <v>0.8087097590605</v>
      </c>
      <c r="Q149" s="82" t="n">
        <f aca="false">IF(P149&lt;(Inputs!$E$27-Inputs!$D$27)/(Inputs!$F$27-Inputs!$D$27),Inputs!$D$27+SQRT(P149*(Inputs!$F$27-Inputs!$D$27)*(Inputs!$E$27-Inputs!$D$27)),Inputs!$F$27-SQRT((1-P149)*(Inputs!$F$27-Inputs!$D$27)*(Inputs!$F$27-Inputs!$E$27)))</f>
        <v>112.122872243975</v>
      </c>
      <c r="R149" s="81" t="n">
        <f aca="true">RAND()</f>
        <v>0.342674051204267</v>
      </c>
      <c r="S149" s="82" t="n">
        <f aca="false">IF(R149&lt;(Inputs!$E$29-Inputs!$D$29)/(Inputs!$F$29-Inputs!$D$29),Inputs!$D$29+SQRT(R149*(Inputs!$F$29-Inputs!$D$29)*(Inputs!$E$29-Inputs!$D$29)),Inputs!$F$29-SQRT((1-R149)*(Inputs!$F$29-Inputs!$D$29)*(Inputs!$F$29-Inputs!$E$29)))</f>
        <v>5.75595470892503</v>
      </c>
      <c r="T149" s="68" t="n">
        <f aca="false">Inputs!$E$9*(1+E149)+Inputs!$E$5*C149*(Inputs!$E$11*Inputs!$E$14*(G149*I149/Inputs!$E$16+(1-G149))*K149+Inputs!$E$23*M149)*(1+O149)+Inputs!$E$5*(Q149+S149)</f>
        <v>6146.70478165783</v>
      </c>
    </row>
    <row r="150" customFormat="false" ht="15" hidden="false" customHeight="false" outlineLevel="0" collapsed="false">
      <c r="A150" s="1" t="n">
        <v>146</v>
      </c>
      <c r="B150" s="81" t="n">
        <f aca="true">RAND()</f>
        <v>0.369840588100913</v>
      </c>
      <c r="C150" s="82" t="n">
        <f aca="false">ROUND(IF(B150&lt;(Inputs!$E$8-Inputs!$D$8)/(Inputs!$F$8-Inputs!$D$8),Inputs!$D$8+SQRT(B150*(Inputs!$F$8-Inputs!$D$8)*(Inputs!$E$8-Inputs!$D$8)),Inputs!$F$8-SQRT((1-B150)*(Inputs!$F$8-Inputs!$D$8)*(Inputs!$F$8-Inputs!$E$8))),0)</f>
        <v>24</v>
      </c>
      <c r="D150" s="81" t="n">
        <f aca="true">RAND()</f>
        <v>0.669266389323769</v>
      </c>
      <c r="E150" s="83" t="n">
        <f aca="false">IF(D150&lt;(Inputs!$E$10-Inputs!$D$10)/(Inputs!$F$10-Inputs!$D$10),Inputs!$D$10+SQRT(D150*(Inputs!$F$10-Inputs!$D$10)*(Inputs!$E$10-Inputs!$D$10)),Inputs!$F$10-SQRT((1-D150)*(Inputs!$F$10-Inputs!$D$10)*(Inputs!$F$10-Inputs!$E$10)))</f>
        <v>0.100390721715862</v>
      </c>
      <c r="F150" s="81" t="n">
        <f aca="true">RAND()</f>
        <v>0.552869513862067</v>
      </c>
      <c r="G150" s="83" t="n">
        <f aca="false">IF(F150&lt;(Inputs!$E$15-Inputs!$D$15)/(Inputs!$F$15-Inputs!$D$15),Inputs!$D$15+SQRT(F150*(Inputs!$F$15-Inputs!$D$15)*(Inputs!$E$15-Inputs!$D$15)),Inputs!$F$15-SQRT((1-F150)*(Inputs!$F$15-Inputs!$D$15)*(Inputs!$F$15-Inputs!$E$15)))</f>
        <v>0.705434627253108</v>
      </c>
      <c r="H150" s="81" t="n">
        <f aca="true">RAND()</f>
        <v>0.274894782463188</v>
      </c>
      <c r="I150" s="82" t="n">
        <f aca="false">ROUND(IF(H150&lt;(Inputs!$E$17-Inputs!$D$17)/(Inputs!$F$17-Inputs!$D$17),Inputs!$D$17+SQRT(H150*(Inputs!$F$17-Inputs!$D$17)*(Inputs!$E$17-Inputs!$D$17)),Inputs!$F$17-SQRT((1-H150)*(Inputs!$F$17-Inputs!$D$17)*(Inputs!$F$17-Inputs!$E$17))),0)</f>
        <v>105</v>
      </c>
      <c r="J150" s="81" t="n">
        <f aca="true">RAND()</f>
        <v>0.435872365840644</v>
      </c>
      <c r="K150" s="83" t="n">
        <f aca="false">IF(J150&lt;(Inputs!$E$18-Inputs!$D$18)/(Inputs!$F$18-Inputs!$D$18),Inputs!$D$18+SQRT(J150*(Inputs!$F$18-Inputs!$D$18)*(Inputs!$E$18-Inputs!$D$18)),Inputs!$F$18-SQRT((1-J150)*(Inputs!$F$18-Inputs!$D$18)*(Inputs!$F$18-Inputs!$E$18)))</f>
        <v>1.0278262662038</v>
      </c>
      <c r="L150" s="81" t="n">
        <f aca="true">RAND()</f>
        <v>0.948358778372952</v>
      </c>
      <c r="M150" s="83" t="n">
        <f aca="false">IF(L150&lt;(Inputs!$E$24-Inputs!$D$24)/(Inputs!$F$24-Inputs!$D$24),Inputs!$D$24+SQRT(L150*(Inputs!$F$24-Inputs!$D$24)*(Inputs!$E$24-Inputs!$D$24)),Inputs!$F$24-SQRT((1-L150)*(Inputs!$F$24-Inputs!$D$24)*(Inputs!$F$24-Inputs!$E$24)))</f>
        <v>1.08867213650442</v>
      </c>
      <c r="N150" s="81" t="n">
        <f aca="true">RAND()</f>
        <v>0.750050851809702</v>
      </c>
      <c r="O150" s="83" t="n">
        <f aca="false">IF(N150&lt;(Inputs!$E$26-Inputs!$D$26)/(Inputs!$F$26-Inputs!$D$26),Inputs!$D$26+SQRT(N150*(Inputs!$F$26-Inputs!$D$26)*(Inputs!$E$26-Inputs!$D$26)),Inputs!$F$26-SQRT((1-N150)*(Inputs!$F$26-Inputs!$D$26)*(Inputs!$F$26-Inputs!$E$26)))</f>
        <v>0.658771245083915</v>
      </c>
      <c r="P150" s="81" t="n">
        <f aca="true">RAND()</f>
        <v>0.88966452497552</v>
      </c>
      <c r="Q150" s="82" t="n">
        <f aca="false">IF(P150&lt;(Inputs!$E$27-Inputs!$D$27)/(Inputs!$F$27-Inputs!$D$27),Inputs!$D$27+SQRT(P150*(Inputs!$F$27-Inputs!$D$27)*(Inputs!$E$27-Inputs!$D$27)),Inputs!$F$27-SQRT((1-P150)*(Inputs!$F$27-Inputs!$D$27)*(Inputs!$F$27-Inputs!$E$27)))</f>
        <v>121.233421081338</v>
      </c>
      <c r="R150" s="81" t="n">
        <f aca="true">RAND()</f>
        <v>0.674795219320425</v>
      </c>
      <c r="S150" s="82" t="n">
        <f aca="false">IF(R150&lt;(Inputs!$E$29-Inputs!$D$29)/(Inputs!$F$29-Inputs!$D$29),Inputs!$D$29+SQRT(R150*(Inputs!$F$29-Inputs!$D$29)*(Inputs!$E$29-Inputs!$D$29)),Inputs!$F$29-SQRT((1-R150)*(Inputs!$F$29-Inputs!$D$29)*(Inputs!$F$29-Inputs!$E$29)))</f>
        <v>8.49795251568057</v>
      </c>
      <c r="T150" s="68" t="n">
        <f aca="false">Inputs!$E$9*(1+E150)+Inputs!$E$5*C150*(Inputs!$E$11*Inputs!$E$14*(G150*I150/Inputs!$E$16+(1-G150))*K150+Inputs!$E$23*M150)*(1+O150)+Inputs!$E$5*(Q150+S150)</f>
        <v>6804.6034807673</v>
      </c>
    </row>
    <row r="151" customFormat="false" ht="15" hidden="false" customHeight="false" outlineLevel="0" collapsed="false">
      <c r="A151" s="1" t="n">
        <v>147</v>
      </c>
      <c r="B151" s="81" t="n">
        <f aca="true">RAND()</f>
        <v>0.963736432411203</v>
      </c>
      <c r="C151" s="82" t="n">
        <f aca="false">ROUND(IF(B151&lt;(Inputs!$E$8-Inputs!$D$8)/(Inputs!$F$8-Inputs!$D$8),Inputs!$D$8+SQRT(B151*(Inputs!$F$8-Inputs!$D$8)*(Inputs!$E$8-Inputs!$D$8)),Inputs!$F$8-SQRT((1-B151)*(Inputs!$F$8-Inputs!$D$8)*(Inputs!$F$8-Inputs!$E$8))),0)</f>
        <v>29</v>
      </c>
      <c r="D151" s="81" t="n">
        <f aca="true">RAND()</f>
        <v>0.318487302527444</v>
      </c>
      <c r="E151" s="83" t="n">
        <f aca="false">IF(D151&lt;(Inputs!$E$10-Inputs!$D$10)/(Inputs!$F$10-Inputs!$D$10),Inputs!$D$10+SQRT(D151*(Inputs!$F$10-Inputs!$D$10)*(Inputs!$E$10-Inputs!$D$10)),Inputs!$F$10-SQRT((1-D151)*(Inputs!$F$10-Inputs!$D$10)*(Inputs!$F$10-Inputs!$E$10)))</f>
        <v>0.0570126546712029</v>
      </c>
      <c r="F151" s="81" t="n">
        <f aca="true">RAND()</f>
        <v>0.864972480020744</v>
      </c>
      <c r="G151" s="83" t="n">
        <f aca="false">IF(F151&lt;(Inputs!$E$15-Inputs!$D$15)/(Inputs!$F$15-Inputs!$D$15),Inputs!$D$15+SQRT(F151*(Inputs!$F$15-Inputs!$D$15)*(Inputs!$E$15-Inputs!$D$15)),Inputs!$F$15-SQRT((1-F151)*(Inputs!$F$15-Inputs!$D$15)*(Inputs!$F$15-Inputs!$E$15)))</f>
        <v>0.74803317982034</v>
      </c>
      <c r="H151" s="81" t="n">
        <f aca="true">RAND()</f>
        <v>0.256955885126353</v>
      </c>
      <c r="I151" s="82" t="n">
        <f aca="false">ROUND(IF(H151&lt;(Inputs!$E$17-Inputs!$D$17)/(Inputs!$F$17-Inputs!$D$17),Inputs!$D$17+SQRT(H151*(Inputs!$F$17-Inputs!$D$17)*(Inputs!$E$17-Inputs!$D$17)),Inputs!$F$17-SQRT((1-H151)*(Inputs!$F$17-Inputs!$D$17)*(Inputs!$F$17-Inputs!$E$17))),0)</f>
        <v>104</v>
      </c>
      <c r="J151" s="81" t="n">
        <f aca="true">RAND()</f>
        <v>0.752222485499098</v>
      </c>
      <c r="K151" s="83" t="n">
        <f aca="false">IF(J151&lt;(Inputs!$E$18-Inputs!$D$18)/(Inputs!$F$18-Inputs!$D$18),Inputs!$D$18+SQRT(J151*(Inputs!$F$18-Inputs!$D$18)*(Inputs!$E$18-Inputs!$D$18)),Inputs!$F$18-SQRT((1-J151)*(Inputs!$F$18-Inputs!$D$18)*(Inputs!$F$18-Inputs!$E$18)))</f>
        <v>1.10275689313646</v>
      </c>
      <c r="L151" s="81" t="n">
        <f aca="true">RAND()</f>
        <v>0.504795208283947</v>
      </c>
      <c r="M151" s="83" t="n">
        <f aca="false">IF(L151&lt;(Inputs!$E$24-Inputs!$D$24)/(Inputs!$F$24-Inputs!$D$24),Inputs!$D$24+SQRT(L151*(Inputs!$F$24-Inputs!$D$24)*(Inputs!$E$24-Inputs!$D$24)),Inputs!$F$24-SQRT((1-L151)*(Inputs!$F$24-Inputs!$D$24)*(Inputs!$F$24-Inputs!$E$24)))</f>
        <v>0.855254949256914</v>
      </c>
      <c r="N151" s="81" t="n">
        <f aca="true">RAND()</f>
        <v>0.978131638796919</v>
      </c>
      <c r="O151" s="83" t="n">
        <f aca="false">IF(N151&lt;(Inputs!$E$26-Inputs!$D$26)/(Inputs!$F$26-Inputs!$D$26),Inputs!$D$26+SQRT(N151*(Inputs!$F$26-Inputs!$D$26)*(Inputs!$E$26-Inputs!$D$26)),Inputs!$F$26-SQRT((1-N151)*(Inputs!$F$26-Inputs!$D$26)*(Inputs!$F$26-Inputs!$E$26)))</f>
        <v>0.772310278202527</v>
      </c>
      <c r="P151" s="81" t="n">
        <f aca="true">RAND()</f>
        <v>0.824965754125211</v>
      </c>
      <c r="Q151" s="82" t="n">
        <f aca="false">IF(P151&lt;(Inputs!$E$27-Inputs!$D$27)/(Inputs!$F$27-Inputs!$D$27),Inputs!$D$27+SQRT(P151*(Inputs!$F$27-Inputs!$D$27)*(Inputs!$E$27-Inputs!$D$27)),Inputs!$F$27-SQRT((1-P151)*(Inputs!$F$27-Inputs!$D$27)*(Inputs!$F$27-Inputs!$E$27)))</f>
        <v>113.768013523119</v>
      </c>
      <c r="R151" s="81" t="n">
        <f aca="true">RAND()</f>
        <v>0.874590668559229</v>
      </c>
      <c r="S151" s="82" t="n">
        <f aca="false">IF(R151&lt;(Inputs!$E$29-Inputs!$D$29)/(Inputs!$F$29-Inputs!$D$29),Inputs!$D$29+SQRT(R151*(Inputs!$F$29-Inputs!$D$29)*(Inputs!$E$29-Inputs!$D$29)),Inputs!$F$29-SQRT((1-R151)*(Inputs!$F$29-Inputs!$D$29)*(Inputs!$F$29-Inputs!$E$29)))</f>
        <v>10.9622762492587</v>
      </c>
      <c r="T151" s="68" t="n">
        <f aca="false">Inputs!$E$9*(1+E151)+Inputs!$E$5*C151*(Inputs!$E$11*Inputs!$E$14*(G151*I151/Inputs!$E$16+(1-G151))*K151+Inputs!$E$23*M151)*(1+O151)+Inputs!$E$5*(Q151+S151)</f>
        <v>7451.57957871393</v>
      </c>
    </row>
    <row r="152" customFormat="false" ht="15" hidden="false" customHeight="false" outlineLevel="0" collapsed="false">
      <c r="A152" s="1" t="n">
        <v>148</v>
      </c>
      <c r="B152" s="81" t="n">
        <f aca="true">RAND()</f>
        <v>0.692240458018432</v>
      </c>
      <c r="C152" s="82" t="n">
        <f aca="false">ROUND(IF(B152&lt;(Inputs!$E$8-Inputs!$D$8)/(Inputs!$F$8-Inputs!$D$8),Inputs!$D$8+SQRT(B152*(Inputs!$F$8-Inputs!$D$8)*(Inputs!$E$8-Inputs!$D$8)),Inputs!$F$8-SQRT((1-B152)*(Inputs!$F$8-Inputs!$D$8)*(Inputs!$F$8-Inputs!$E$8))),0)</f>
        <v>26</v>
      </c>
      <c r="D152" s="81" t="n">
        <f aca="true">RAND()</f>
        <v>0.159833412652732</v>
      </c>
      <c r="E152" s="83" t="n">
        <f aca="false">IF(D152&lt;(Inputs!$E$10-Inputs!$D$10)/(Inputs!$F$10-Inputs!$D$10),Inputs!$D$10+SQRT(D152*(Inputs!$F$10-Inputs!$D$10)*(Inputs!$E$10-Inputs!$D$10)),Inputs!$F$10-SQRT((1-D152)*(Inputs!$F$10-Inputs!$D$10)*(Inputs!$F$10-Inputs!$E$10)))</f>
        <v>0.0399791711585836</v>
      </c>
      <c r="F152" s="81" t="n">
        <f aca="true">RAND()</f>
        <v>0.361633770348729</v>
      </c>
      <c r="G152" s="83" t="n">
        <f aca="false">IF(F152&lt;(Inputs!$E$15-Inputs!$D$15)/(Inputs!$F$15-Inputs!$D$15),Inputs!$D$15+SQRT(F152*(Inputs!$F$15-Inputs!$D$15)*(Inputs!$E$15-Inputs!$D$15)),Inputs!$F$15-SQRT((1-F152)*(Inputs!$F$15-Inputs!$D$15)*(Inputs!$F$15-Inputs!$E$15)))</f>
        <v>0.685045137468139</v>
      </c>
      <c r="H152" s="81" t="n">
        <f aca="true">RAND()</f>
        <v>0.273485082662334</v>
      </c>
      <c r="I152" s="82" t="n">
        <f aca="false">ROUND(IF(H152&lt;(Inputs!$E$17-Inputs!$D$17)/(Inputs!$F$17-Inputs!$D$17),Inputs!$D$17+SQRT(H152*(Inputs!$F$17-Inputs!$D$17)*(Inputs!$E$17-Inputs!$D$17)),Inputs!$F$17-SQRT((1-H152)*(Inputs!$F$17-Inputs!$D$17)*(Inputs!$F$17-Inputs!$E$17))),0)</f>
        <v>105</v>
      </c>
      <c r="J152" s="81" t="n">
        <f aca="true">RAND()</f>
        <v>0.866528104434151</v>
      </c>
      <c r="K152" s="83" t="n">
        <f aca="false">IF(J152&lt;(Inputs!$E$18-Inputs!$D$18)/(Inputs!$F$18-Inputs!$D$18),Inputs!$D$18+SQRT(J152*(Inputs!$F$18-Inputs!$D$18)*(Inputs!$E$18-Inputs!$D$18)),Inputs!$F$18-SQRT((1-J152)*(Inputs!$F$18-Inputs!$D$18)*(Inputs!$F$18-Inputs!$E$18)))</f>
        <v>1.14193154548152</v>
      </c>
      <c r="L152" s="81" t="n">
        <f aca="true">RAND()</f>
        <v>0.969800613978711</v>
      </c>
      <c r="M152" s="83" t="n">
        <f aca="false">IF(L152&lt;(Inputs!$E$24-Inputs!$D$24)/(Inputs!$F$24-Inputs!$D$24),Inputs!$D$24+SQRT(L152*(Inputs!$F$24-Inputs!$D$24)*(Inputs!$E$24-Inputs!$D$24)),Inputs!$F$24-SQRT((1-L152)*(Inputs!$F$24-Inputs!$D$24)*(Inputs!$F$24-Inputs!$E$24)))</f>
        <v>1.11486567880632</v>
      </c>
      <c r="N152" s="81" t="n">
        <f aca="true">RAND()</f>
        <v>0.708575749931354</v>
      </c>
      <c r="O152" s="83" t="n">
        <f aca="false">IF(N152&lt;(Inputs!$E$26-Inputs!$D$26)/(Inputs!$F$26-Inputs!$D$26),Inputs!$D$26+SQRT(N152*(Inputs!$F$26-Inputs!$D$26)*(Inputs!$E$26-Inputs!$D$26)),Inputs!$F$26-SQRT((1-N152)*(Inputs!$F$26-Inputs!$D$26)*(Inputs!$F$26-Inputs!$E$26)))</f>
        <v>0.645907719851973</v>
      </c>
      <c r="P152" s="81" t="n">
        <f aca="true">RAND()</f>
        <v>0.0337217197884908</v>
      </c>
      <c r="Q152" s="82" t="n">
        <f aca="false">IF(P152&lt;(Inputs!$E$27-Inputs!$D$27)/(Inputs!$F$27-Inputs!$D$27),Inputs!$D$27+SQRT(P152*(Inputs!$F$27-Inputs!$D$27)*(Inputs!$E$27-Inputs!$D$27)),Inputs!$F$27-SQRT((1-P152)*(Inputs!$F$27-Inputs!$D$27)*(Inputs!$F$27-Inputs!$E$27)))</f>
        <v>59.1817372795799</v>
      </c>
      <c r="R152" s="81" t="n">
        <f aca="true">RAND()</f>
        <v>0.57923582132139</v>
      </c>
      <c r="S152" s="82" t="n">
        <f aca="false">IF(R152&lt;(Inputs!$E$29-Inputs!$D$29)/(Inputs!$F$29-Inputs!$D$29),Inputs!$D$29+SQRT(R152*(Inputs!$F$29-Inputs!$D$29)*(Inputs!$E$29-Inputs!$D$29)),Inputs!$F$29-SQRT((1-R152)*(Inputs!$F$29-Inputs!$D$29)*(Inputs!$F$29-Inputs!$E$29)))</f>
        <v>7.60409956609614</v>
      </c>
      <c r="T152" s="68" t="n">
        <f aca="false">Inputs!$E$9*(1+E152)+Inputs!$E$5*C152*(Inputs!$E$11*Inputs!$E$14*(G152*I152/Inputs!$E$16+(1-G152))*K152+Inputs!$E$23*M152)*(1+O152)+Inputs!$E$5*(Q152+S152)</f>
        <v>6971.32809719436</v>
      </c>
    </row>
    <row r="153" customFormat="false" ht="15" hidden="false" customHeight="false" outlineLevel="0" collapsed="false">
      <c r="A153" s="1" t="n">
        <v>149</v>
      </c>
      <c r="B153" s="81" t="n">
        <f aca="true">RAND()</f>
        <v>0.264713450410763</v>
      </c>
      <c r="C153" s="82" t="n">
        <f aca="false">ROUND(IF(B153&lt;(Inputs!$E$8-Inputs!$D$8)/(Inputs!$F$8-Inputs!$D$8),Inputs!$D$8+SQRT(B153*(Inputs!$F$8-Inputs!$D$8)*(Inputs!$E$8-Inputs!$D$8)),Inputs!$F$8-SQRT((1-B153)*(Inputs!$F$8-Inputs!$D$8)*(Inputs!$F$8-Inputs!$E$8))),0)</f>
        <v>24</v>
      </c>
      <c r="D153" s="81" t="n">
        <f aca="true">RAND()</f>
        <v>0.058794764755563</v>
      </c>
      <c r="E153" s="83" t="n">
        <f aca="false">IF(D153&lt;(Inputs!$E$10-Inputs!$D$10)/(Inputs!$F$10-Inputs!$D$10),Inputs!$D$10+SQRT(D153*(Inputs!$F$10-Inputs!$D$10)*(Inputs!$E$10-Inputs!$D$10)),Inputs!$F$10-SQRT((1-D153)*(Inputs!$F$10-Inputs!$D$10)*(Inputs!$F$10-Inputs!$E$10)))</f>
        <v>0.0242476317927263</v>
      </c>
      <c r="F153" s="81" t="n">
        <f aca="true">RAND()</f>
        <v>0.530709788094522</v>
      </c>
      <c r="G153" s="83" t="n">
        <f aca="false">IF(F153&lt;(Inputs!$E$15-Inputs!$D$15)/(Inputs!$F$15-Inputs!$D$15),Inputs!$D$15+SQRT(F153*(Inputs!$F$15-Inputs!$D$15)*(Inputs!$E$15-Inputs!$D$15)),Inputs!$F$15-SQRT((1-F153)*(Inputs!$F$15-Inputs!$D$15)*(Inputs!$F$15-Inputs!$E$15)))</f>
        <v>0.703119639564515</v>
      </c>
      <c r="H153" s="81" t="n">
        <f aca="true">RAND()</f>
        <v>0.921273953579784</v>
      </c>
      <c r="I153" s="82" t="n">
        <f aca="false">ROUND(IF(H153&lt;(Inputs!$E$17-Inputs!$D$17)/(Inputs!$F$17-Inputs!$D$17),Inputs!$D$17+SQRT(H153*(Inputs!$F$17-Inputs!$D$17)*(Inputs!$E$17-Inputs!$D$17)),Inputs!$F$17-SQRT((1-H153)*(Inputs!$F$17-Inputs!$D$17)*(Inputs!$F$17-Inputs!$E$17))),0)</f>
        <v>112</v>
      </c>
      <c r="J153" s="81" t="n">
        <f aca="true">RAND()</f>
        <v>0.499166745437521</v>
      </c>
      <c r="K153" s="83" t="n">
        <f aca="false">IF(J153&lt;(Inputs!$E$18-Inputs!$D$18)/(Inputs!$F$18-Inputs!$D$18),Inputs!$D$18+SQRT(J153*(Inputs!$F$18-Inputs!$D$18)*(Inputs!$E$18-Inputs!$D$18)),Inputs!$F$18-SQRT((1-J153)*(Inputs!$F$18-Inputs!$D$18)*(Inputs!$F$18-Inputs!$E$18)))</f>
        <v>1.04066077822296</v>
      </c>
      <c r="L153" s="81" t="n">
        <f aca="true">RAND()</f>
        <v>0.667913125059266</v>
      </c>
      <c r="M153" s="83" t="n">
        <f aca="false">IF(L153&lt;(Inputs!$E$24-Inputs!$D$24)/(Inputs!$F$24-Inputs!$D$24),Inputs!$D$24+SQRT(L153*(Inputs!$F$24-Inputs!$D$24)*(Inputs!$E$24-Inputs!$D$24)),Inputs!$F$24-SQRT((1-L153)*(Inputs!$F$24-Inputs!$D$24)*(Inputs!$F$24-Inputs!$E$24)))</f>
        <v>0.917686610332106</v>
      </c>
      <c r="N153" s="81" t="n">
        <f aca="true">RAND()</f>
        <v>0.738351005283919</v>
      </c>
      <c r="O153" s="83" t="n">
        <f aca="false">IF(N153&lt;(Inputs!$E$26-Inputs!$D$26)/(Inputs!$F$26-Inputs!$D$26),Inputs!$D$26+SQRT(N153*(Inputs!$F$26-Inputs!$D$26)*(Inputs!$E$26-Inputs!$D$26)),Inputs!$F$26-SQRT((1-N153)*(Inputs!$F$26-Inputs!$D$26)*(Inputs!$F$26-Inputs!$E$26)))</f>
        <v>0.655040927953409</v>
      </c>
      <c r="P153" s="81" t="n">
        <f aca="true">RAND()</f>
        <v>0.641738015109106</v>
      </c>
      <c r="Q153" s="82" t="n">
        <f aca="false">IF(P153&lt;(Inputs!$E$27-Inputs!$D$27)/(Inputs!$F$27-Inputs!$D$27),Inputs!$D$27+SQRT(P153*(Inputs!$F$27-Inputs!$D$27)*(Inputs!$E$27-Inputs!$D$27)),Inputs!$F$27-SQRT((1-P153)*(Inputs!$F$27-Inputs!$D$27)*(Inputs!$F$27-Inputs!$E$27)))</f>
        <v>98.1640579647509</v>
      </c>
      <c r="R153" s="81" t="n">
        <f aca="true">RAND()</f>
        <v>0.0436303729856701</v>
      </c>
      <c r="S153" s="82" t="n">
        <f aca="false">IF(R153&lt;(Inputs!$E$29-Inputs!$D$29)/(Inputs!$F$29-Inputs!$D$29),Inputs!$D$29+SQRT(R153*(Inputs!$F$29-Inputs!$D$29)*(Inputs!$E$29-Inputs!$D$29)),Inputs!$F$29-SQRT((1-R153)*(Inputs!$F$29-Inputs!$D$29)*(Inputs!$F$29-Inputs!$E$29)))</f>
        <v>3.30444798533369</v>
      </c>
      <c r="T153" s="68" t="n">
        <f aca="false">Inputs!$E$9*(1+E153)+Inputs!$E$5*C153*(Inputs!$E$11*Inputs!$E$14*(G153*I153/Inputs!$E$16+(1-G153))*K153+Inputs!$E$23*M153)*(1+O153)+Inputs!$E$5*(Q153+S153)</f>
        <v>6360.40353244021</v>
      </c>
    </row>
    <row r="154" customFormat="false" ht="15" hidden="false" customHeight="false" outlineLevel="0" collapsed="false">
      <c r="A154" s="1" t="n">
        <v>150</v>
      </c>
      <c r="B154" s="81" t="n">
        <f aca="true">RAND()</f>
        <v>0.61697409613403</v>
      </c>
      <c r="C154" s="82" t="n">
        <f aca="false">ROUND(IF(B154&lt;(Inputs!$E$8-Inputs!$D$8)/(Inputs!$F$8-Inputs!$D$8),Inputs!$D$8+SQRT(B154*(Inputs!$F$8-Inputs!$D$8)*(Inputs!$E$8-Inputs!$D$8)),Inputs!$F$8-SQRT((1-B154)*(Inputs!$F$8-Inputs!$D$8)*(Inputs!$F$8-Inputs!$E$8))),0)</f>
        <v>26</v>
      </c>
      <c r="D154" s="81" t="n">
        <f aca="true">RAND()</f>
        <v>0.252452119270161</v>
      </c>
      <c r="E154" s="83" t="n">
        <f aca="false">IF(D154&lt;(Inputs!$E$10-Inputs!$D$10)/(Inputs!$F$10-Inputs!$D$10),Inputs!$D$10+SQRT(D154*(Inputs!$F$10-Inputs!$D$10)*(Inputs!$E$10-Inputs!$D$10)),Inputs!$F$10-SQRT((1-D154)*(Inputs!$F$10-Inputs!$D$10)*(Inputs!$F$10-Inputs!$E$10)))</f>
        <v>0.0502454126849693</v>
      </c>
      <c r="F154" s="81" t="n">
        <f aca="true">RAND()</f>
        <v>0.363566751754858</v>
      </c>
      <c r="G154" s="83" t="n">
        <f aca="false">IF(F154&lt;(Inputs!$E$15-Inputs!$D$15)/(Inputs!$F$15-Inputs!$D$15),Inputs!$D$15+SQRT(F154*(Inputs!$F$15-Inputs!$D$15)*(Inputs!$E$15-Inputs!$D$15)),Inputs!$F$15-SQRT((1-F154)*(Inputs!$F$15-Inputs!$D$15)*(Inputs!$F$15-Inputs!$E$15)))</f>
        <v>0.685272123434902</v>
      </c>
      <c r="H154" s="81" t="n">
        <f aca="true">RAND()</f>
        <v>0.903463519345446</v>
      </c>
      <c r="I154" s="82" t="n">
        <f aca="false">ROUND(IF(H154&lt;(Inputs!$E$17-Inputs!$D$17)/(Inputs!$F$17-Inputs!$D$17),Inputs!$D$17+SQRT(H154*(Inputs!$F$17-Inputs!$D$17)*(Inputs!$E$17-Inputs!$D$17)),Inputs!$F$17-SQRT((1-H154)*(Inputs!$F$17-Inputs!$D$17)*(Inputs!$F$17-Inputs!$E$17))),0)</f>
        <v>111</v>
      </c>
      <c r="J154" s="81" t="n">
        <f aca="true">RAND()</f>
        <v>0.375827816242043</v>
      </c>
      <c r="K154" s="83" t="n">
        <f aca="false">IF(J154&lt;(Inputs!$E$18-Inputs!$D$18)/(Inputs!$F$18-Inputs!$D$18),Inputs!$D$18+SQRT(J154*(Inputs!$F$18-Inputs!$D$18)*(Inputs!$E$18-Inputs!$D$18)),Inputs!$F$18-SQRT((1-J154)*(Inputs!$F$18-Inputs!$D$18)*(Inputs!$F$18-Inputs!$E$18)))</f>
        <v>1.0163013348801</v>
      </c>
      <c r="L154" s="81" t="n">
        <f aca="true">RAND()</f>
        <v>0.974130046811867</v>
      </c>
      <c r="M154" s="83" t="n">
        <f aca="false">IF(L154&lt;(Inputs!$E$24-Inputs!$D$24)/(Inputs!$F$24-Inputs!$D$24),Inputs!$D$24+SQRT(L154*(Inputs!$F$24-Inputs!$D$24)*(Inputs!$E$24-Inputs!$D$24)),Inputs!$F$24-SQRT((1-L154)*(Inputs!$F$24-Inputs!$D$24)*(Inputs!$F$24-Inputs!$E$24)))</f>
        <v>1.12120413230916</v>
      </c>
      <c r="N154" s="81" t="n">
        <f aca="true">RAND()</f>
        <v>0.998795101887334</v>
      </c>
      <c r="O154" s="83" t="n">
        <f aca="false">IF(N154&lt;(Inputs!$E$26-Inputs!$D$26)/(Inputs!$F$26-Inputs!$D$26),Inputs!$D$26+SQRT(N154*(Inputs!$F$26-Inputs!$D$26)*(Inputs!$E$26-Inputs!$D$26)),Inputs!$F$26-SQRT((1-N154)*(Inputs!$F$26-Inputs!$D$26)*(Inputs!$F$26-Inputs!$E$26)))</f>
        <v>0.808805831709445</v>
      </c>
      <c r="P154" s="81" t="n">
        <f aca="true">RAND()</f>
        <v>0.0697803595646692</v>
      </c>
      <c r="Q154" s="82" t="n">
        <f aca="false">IF(P154&lt;(Inputs!$E$27-Inputs!$D$27)/(Inputs!$F$27-Inputs!$D$27),Inputs!$D$27+SQRT(P154*(Inputs!$F$27-Inputs!$D$27)*(Inputs!$E$27-Inputs!$D$27)),Inputs!$F$27-SQRT((1-P154)*(Inputs!$F$27-Inputs!$D$27)*(Inputs!$F$27-Inputs!$E$27)))</f>
        <v>63.2079861792657</v>
      </c>
      <c r="R154" s="81" t="n">
        <f aca="true">RAND()</f>
        <v>0.867834532809359</v>
      </c>
      <c r="S154" s="82" t="n">
        <f aca="false">IF(R154&lt;(Inputs!$E$29-Inputs!$D$29)/(Inputs!$F$29-Inputs!$D$29),Inputs!$D$29+SQRT(R154*(Inputs!$F$29-Inputs!$D$29)*(Inputs!$E$29-Inputs!$D$29)),Inputs!$F$29-SQRT((1-R154)*(Inputs!$F$29-Inputs!$D$29)*(Inputs!$F$29-Inputs!$E$29)))</f>
        <v>10.8549414075573</v>
      </c>
      <c r="T154" s="68" t="n">
        <f aca="false">Inputs!$E$9*(1+E154)+Inputs!$E$5*C154*(Inputs!$E$11*Inputs!$E$14*(G154*I154/Inputs!$E$16+(1-G154))*K154+Inputs!$E$23*M154)*(1+O154)+Inputs!$E$5*(Q154+S154)</f>
        <v>7232.62475560225</v>
      </c>
    </row>
    <row r="155" customFormat="false" ht="15" hidden="false" customHeight="false" outlineLevel="0" collapsed="false">
      <c r="A155" s="1" t="n">
        <v>151</v>
      </c>
      <c r="B155" s="81" t="n">
        <f aca="true">RAND()</f>
        <v>0.0967246980830044</v>
      </c>
      <c r="C155" s="82" t="n">
        <f aca="false">ROUND(IF(B155&lt;(Inputs!$E$8-Inputs!$D$8)/(Inputs!$F$8-Inputs!$D$8),Inputs!$D$8+SQRT(B155*(Inputs!$F$8-Inputs!$D$8)*(Inputs!$E$8-Inputs!$D$8)),Inputs!$F$8-SQRT((1-B155)*(Inputs!$F$8-Inputs!$D$8)*(Inputs!$F$8-Inputs!$E$8))),0)</f>
        <v>22</v>
      </c>
      <c r="D155" s="81" t="n">
        <f aca="true">RAND()</f>
        <v>0.523200754720876</v>
      </c>
      <c r="E155" s="83" t="n">
        <f aca="false">IF(D155&lt;(Inputs!$E$10-Inputs!$D$10)/(Inputs!$F$10-Inputs!$D$10),Inputs!$D$10+SQRT(D155*(Inputs!$F$10-Inputs!$D$10)*(Inputs!$E$10-Inputs!$D$10)),Inputs!$F$10-SQRT((1-D155)*(Inputs!$F$10-Inputs!$D$10)*(Inputs!$F$10-Inputs!$E$10)))</f>
        <v>0.0804007635543867</v>
      </c>
      <c r="F155" s="81" t="n">
        <f aca="true">RAND()</f>
        <v>0.357732882573497</v>
      </c>
      <c r="G155" s="83" t="n">
        <f aca="false">IF(F155&lt;(Inputs!$E$15-Inputs!$D$15)/(Inputs!$F$15-Inputs!$D$15),Inputs!$D$15+SQRT(F155*(Inputs!$F$15-Inputs!$D$15)*(Inputs!$E$15-Inputs!$D$15)),Inputs!$F$15-SQRT((1-F155)*(Inputs!$F$15-Inputs!$D$15)*(Inputs!$F$15-Inputs!$E$15)))</f>
        <v>0.684585209413171</v>
      </c>
      <c r="H155" s="81" t="n">
        <f aca="true">RAND()</f>
        <v>0.708460627433633</v>
      </c>
      <c r="I155" s="82" t="n">
        <f aca="false">ROUND(IF(H155&lt;(Inputs!$E$17-Inputs!$D$17)/(Inputs!$F$17-Inputs!$D$17),Inputs!$D$17+SQRT(H155*(Inputs!$F$17-Inputs!$D$17)*(Inputs!$E$17-Inputs!$D$17)),Inputs!$F$17-SQRT((1-H155)*(Inputs!$F$17-Inputs!$D$17)*(Inputs!$F$17-Inputs!$E$17))),0)</f>
        <v>108</v>
      </c>
      <c r="J155" s="81" t="n">
        <f aca="true">RAND()</f>
        <v>0.23674006927342</v>
      </c>
      <c r="K155" s="83" t="n">
        <f aca="false">IF(J155&lt;(Inputs!$E$18-Inputs!$D$18)/(Inputs!$F$18-Inputs!$D$18),Inputs!$D$18+SQRT(J155*(Inputs!$F$18-Inputs!$D$18)*(Inputs!$E$18-Inputs!$D$18)),Inputs!$F$18-SQRT((1-J155)*(Inputs!$F$18-Inputs!$D$18)*(Inputs!$F$18-Inputs!$E$18)))</f>
        <v>0.991026932413268</v>
      </c>
      <c r="L155" s="81" t="n">
        <f aca="true">RAND()</f>
        <v>0.0840581386130783</v>
      </c>
      <c r="M155" s="83" t="n">
        <f aca="false">IF(L155&lt;(Inputs!$E$24-Inputs!$D$24)/(Inputs!$F$24-Inputs!$D$24),Inputs!$D$24+SQRT(L155*(Inputs!$F$24-Inputs!$D$24)*(Inputs!$E$24-Inputs!$D$24)),Inputs!$F$24-SQRT((1-L155)*(Inputs!$F$24-Inputs!$D$24)*(Inputs!$F$24-Inputs!$E$24)))</f>
        <v>0.700433941641108</v>
      </c>
      <c r="N155" s="81" t="n">
        <f aca="true">RAND()</f>
        <v>0.995112297582532</v>
      </c>
      <c r="O155" s="83" t="n">
        <f aca="false">IF(N155&lt;(Inputs!$E$26-Inputs!$D$26)/(Inputs!$F$26-Inputs!$D$26),Inputs!$D$26+SQRT(N155*(Inputs!$F$26-Inputs!$D$26)*(Inputs!$E$26-Inputs!$D$26)),Inputs!$F$26-SQRT((1-N155)*(Inputs!$F$26-Inputs!$D$26)*(Inputs!$F$26-Inputs!$E$26)))</f>
        <v>0.797454023609152</v>
      </c>
      <c r="P155" s="81" t="n">
        <f aca="true">RAND()</f>
        <v>0.546503100497587</v>
      </c>
      <c r="Q155" s="82" t="n">
        <f aca="false">IF(P155&lt;(Inputs!$E$27-Inputs!$D$27)/(Inputs!$F$27-Inputs!$D$27),Inputs!$D$27+SQRT(P155*(Inputs!$F$27-Inputs!$D$27)*(Inputs!$E$27-Inputs!$D$27)),Inputs!$F$27-SQRT((1-P155)*(Inputs!$F$27-Inputs!$D$27)*(Inputs!$F$27-Inputs!$E$27)))</f>
        <v>91.6799627377683</v>
      </c>
      <c r="R155" s="81" t="n">
        <f aca="true">RAND()</f>
        <v>0.479691167372767</v>
      </c>
      <c r="S155" s="82" t="n">
        <f aca="false">IF(R155&lt;(Inputs!$E$29-Inputs!$D$29)/(Inputs!$F$29-Inputs!$D$29),Inputs!$D$29+SQRT(R155*(Inputs!$F$29-Inputs!$D$29)*(Inputs!$E$29-Inputs!$D$29)),Inputs!$F$29-SQRT((1-R155)*(Inputs!$F$29-Inputs!$D$29)*(Inputs!$F$29-Inputs!$E$29)))</f>
        <v>6.77563690967256</v>
      </c>
      <c r="T155" s="68" t="n">
        <f aca="false">Inputs!$E$9*(1+E155)+Inputs!$E$5*C155*(Inputs!$E$11*Inputs!$E$14*(G155*I155/Inputs!$E$16+(1-G155))*K155+Inputs!$E$23*M155)*(1+O155)+Inputs!$E$5*(Q155+S155)</f>
        <v>6014.73574746067</v>
      </c>
    </row>
    <row r="156" customFormat="false" ht="15" hidden="false" customHeight="false" outlineLevel="0" collapsed="false">
      <c r="A156" s="1" t="n">
        <v>152</v>
      </c>
      <c r="B156" s="81" t="n">
        <f aca="true">RAND()</f>
        <v>0.566187699921305</v>
      </c>
      <c r="C156" s="82" t="n">
        <f aca="false">ROUND(IF(B156&lt;(Inputs!$E$8-Inputs!$D$8)/(Inputs!$F$8-Inputs!$D$8),Inputs!$D$8+SQRT(B156*(Inputs!$F$8-Inputs!$D$8)*(Inputs!$E$8-Inputs!$D$8)),Inputs!$F$8-SQRT((1-B156)*(Inputs!$F$8-Inputs!$D$8)*(Inputs!$F$8-Inputs!$E$8))),0)</f>
        <v>25</v>
      </c>
      <c r="D156" s="81" t="n">
        <f aca="true">RAND()</f>
        <v>0.989789755936934</v>
      </c>
      <c r="E156" s="83" t="n">
        <f aca="false">IF(D156&lt;(Inputs!$E$10-Inputs!$D$10)/(Inputs!$F$10-Inputs!$D$10),Inputs!$D$10+SQRT(D156*(Inputs!$F$10-Inputs!$D$10)*(Inputs!$E$10-Inputs!$D$10)),Inputs!$F$10-SQRT((1-D156)*(Inputs!$F$10-Inputs!$D$10)*(Inputs!$F$10-Inputs!$E$10)))</f>
        <v>0.182498362308287</v>
      </c>
      <c r="F156" s="81" t="n">
        <f aca="true">RAND()</f>
        <v>0.0719624222532</v>
      </c>
      <c r="G156" s="83" t="n">
        <f aca="false">IF(F156&lt;(Inputs!$E$15-Inputs!$D$15)/(Inputs!$F$15-Inputs!$D$15),Inputs!$D$15+SQRT(F156*(Inputs!$F$15-Inputs!$D$15)*(Inputs!$E$15-Inputs!$D$15)),Inputs!$F$15-SQRT((1-F156)*(Inputs!$F$15-Inputs!$D$15)*(Inputs!$F$15-Inputs!$E$15)))</f>
        <v>0.63793742802384</v>
      </c>
      <c r="H156" s="81" t="n">
        <f aca="true">RAND()</f>
        <v>0.366642105086547</v>
      </c>
      <c r="I156" s="82" t="n">
        <f aca="false">ROUND(IF(H156&lt;(Inputs!$E$17-Inputs!$D$17)/(Inputs!$F$17-Inputs!$D$17),Inputs!$D$17+SQRT(H156*(Inputs!$F$17-Inputs!$D$17)*(Inputs!$E$17-Inputs!$D$17)),Inputs!$F$17-SQRT((1-H156)*(Inputs!$F$17-Inputs!$D$17)*(Inputs!$F$17-Inputs!$E$17))),0)</f>
        <v>105</v>
      </c>
      <c r="J156" s="81" t="n">
        <f aca="true">RAND()</f>
        <v>0.311678462431856</v>
      </c>
      <c r="K156" s="83" t="n">
        <f aca="false">IF(J156&lt;(Inputs!$E$18-Inputs!$D$18)/(Inputs!$F$18-Inputs!$D$18),Inputs!$D$18+SQRT(J156*(Inputs!$F$18-Inputs!$D$18)*(Inputs!$E$18-Inputs!$D$18)),Inputs!$F$18-SQRT((1-J156)*(Inputs!$F$18-Inputs!$D$18)*(Inputs!$F$18-Inputs!$E$18)))</f>
        <v>1.00458578986291</v>
      </c>
      <c r="L156" s="81" t="n">
        <f aca="true">RAND()</f>
        <v>0.639854010459291</v>
      </c>
      <c r="M156" s="83" t="n">
        <f aca="false">IF(L156&lt;(Inputs!$E$24-Inputs!$D$24)/(Inputs!$F$24-Inputs!$D$24),Inputs!$D$24+SQRT(L156*(Inputs!$F$24-Inputs!$D$24)*(Inputs!$E$24-Inputs!$D$24)),Inputs!$F$24-SQRT((1-L156)*(Inputs!$F$24-Inputs!$D$24)*(Inputs!$F$24-Inputs!$E$24)))</f>
        <v>0.906001636926717</v>
      </c>
      <c r="N156" s="81" t="n">
        <f aca="true">RAND()</f>
        <v>0.271332560517103</v>
      </c>
      <c r="O156" s="83" t="n">
        <f aca="false">IF(N156&lt;(Inputs!$E$26-Inputs!$D$26)/(Inputs!$F$26-Inputs!$D$26),Inputs!$D$26+SQRT(N156*(Inputs!$F$26-Inputs!$D$26)*(Inputs!$E$26-Inputs!$D$26)),Inputs!$F$26-SQRT((1-N156)*(Inputs!$F$26-Inputs!$D$26)*(Inputs!$F$26-Inputs!$E$26)))</f>
        <v>0.512484677259435</v>
      </c>
      <c r="P156" s="81" t="n">
        <f aca="true">RAND()</f>
        <v>0.421492695673639</v>
      </c>
      <c r="Q156" s="82" t="n">
        <f aca="false">IF(P156&lt;(Inputs!$E$27-Inputs!$D$27)/(Inputs!$F$27-Inputs!$D$27),Inputs!$D$27+SQRT(P156*(Inputs!$F$27-Inputs!$D$27)*(Inputs!$E$27-Inputs!$D$27)),Inputs!$F$27-SQRT((1-P156)*(Inputs!$F$27-Inputs!$D$27)*(Inputs!$F$27-Inputs!$E$27)))</f>
        <v>84.1303956103598</v>
      </c>
      <c r="R156" s="81" t="n">
        <f aca="true">RAND()</f>
        <v>0.127814761800027</v>
      </c>
      <c r="S156" s="82" t="n">
        <f aca="false">IF(R156&lt;(Inputs!$E$29-Inputs!$D$29)/(Inputs!$F$29-Inputs!$D$29),Inputs!$D$29+SQRT(R156*(Inputs!$F$29-Inputs!$D$29)*(Inputs!$E$29-Inputs!$D$29)),Inputs!$F$29-SQRT((1-R156)*(Inputs!$F$29-Inputs!$D$29)*(Inputs!$F$29-Inputs!$E$29)))</f>
        <v>4.23266112748913</v>
      </c>
      <c r="T156" s="68" t="n">
        <f aca="false">Inputs!$E$9*(1+E156)+Inputs!$E$5*C156*(Inputs!$E$11*Inputs!$E$14*(G156*I156/Inputs!$E$16+(1-G156))*K156+Inputs!$E$23*M156)*(1+O156)+Inputs!$E$5*(Q156+S156)</f>
        <v>6383.00932946336</v>
      </c>
    </row>
    <row r="157" customFormat="false" ht="15" hidden="false" customHeight="false" outlineLevel="0" collapsed="false">
      <c r="A157" s="1" t="n">
        <v>153</v>
      </c>
      <c r="B157" s="81" t="n">
        <f aca="true">RAND()</f>
        <v>0.915034065788128</v>
      </c>
      <c r="C157" s="82" t="n">
        <f aca="false">ROUND(IF(B157&lt;(Inputs!$E$8-Inputs!$D$8)/(Inputs!$F$8-Inputs!$D$8),Inputs!$D$8+SQRT(B157*(Inputs!$F$8-Inputs!$D$8)*(Inputs!$E$8-Inputs!$D$8)),Inputs!$F$8-SQRT((1-B157)*(Inputs!$F$8-Inputs!$D$8)*(Inputs!$F$8-Inputs!$E$8))),0)</f>
        <v>28</v>
      </c>
      <c r="D157" s="81" t="n">
        <f aca="true">RAND()</f>
        <v>0.766549800842414</v>
      </c>
      <c r="E157" s="83" t="n">
        <f aca="false">IF(D157&lt;(Inputs!$E$10-Inputs!$D$10)/(Inputs!$F$10-Inputs!$D$10),Inputs!$D$10+SQRT(D157*(Inputs!$F$10-Inputs!$D$10)*(Inputs!$E$10-Inputs!$D$10)),Inputs!$F$10-SQRT((1-D157)*(Inputs!$F$10-Inputs!$D$10)*(Inputs!$F$10-Inputs!$E$10)))</f>
        <v>0.116313047762942</v>
      </c>
      <c r="F157" s="81" t="n">
        <f aca="true">RAND()</f>
        <v>0.0550946079506292</v>
      </c>
      <c r="G157" s="83" t="n">
        <f aca="false">IF(F157&lt;(Inputs!$E$15-Inputs!$D$15)/(Inputs!$F$15-Inputs!$D$15),Inputs!$D$15+SQRT(F157*(Inputs!$F$15-Inputs!$D$15)*(Inputs!$E$15-Inputs!$D$15)),Inputs!$F$15-SQRT((1-F157)*(Inputs!$F$15-Inputs!$D$15)*(Inputs!$F$15-Inputs!$E$15)))</f>
        <v>0.633194761017555</v>
      </c>
      <c r="H157" s="81" t="n">
        <f aca="true">RAND()</f>
        <v>0.556717129367232</v>
      </c>
      <c r="I157" s="82" t="n">
        <f aca="false">ROUND(IF(H157&lt;(Inputs!$E$17-Inputs!$D$17)/(Inputs!$F$17-Inputs!$D$17),Inputs!$D$17+SQRT(H157*(Inputs!$F$17-Inputs!$D$17)*(Inputs!$E$17-Inputs!$D$17)),Inputs!$F$17-SQRT((1-H157)*(Inputs!$F$17-Inputs!$D$17)*(Inputs!$F$17-Inputs!$E$17))),0)</f>
        <v>107</v>
      </c>
      <c r="J157" s="81" t="n">
        <f aca="true">RAND()</f>
        <v>0.982583210542131</v>
      </c>
      <c r="K157" s="83" t="n">
        <f aca="false">IF(J157&lt;(Inputs!$E$18-Inputs!$D$18)/(Inputs!$F$18-Inputs!$D$18),Inputs!$D$18+SQRT(J157*(Inputs!$F$18-Inputs!$D$18)*(Inputs!$E$18-Inputs!$D$18)),Inputs!$F$18-SQRT((1-J157)*(Inputs!$F$18-Inputs!$D$18)*(Inputs!$F$18-Inputs!$E$18)))</f>
        <v>1.21096195346123</v>
      </c>
      <c r="L157" s="81" t="n">
        <f aca="true">RAND()</f>
        <v>0.400136469104706</v>
      </c>
      <c r="M157" s="83" t="n">
        <f aca="false">IF(L157&lt;(Inputs!$E$24-Inputs!$D$24)/(Inputs!$F$24-Inputs!$D$24),Inputs!$D$24+SQRT(L157*(Inputs!$F$24-Inputs!$D$24)*(Inputs!$E$24-Inputs!$D$24)),Inputs!$F$24-SQRT((1-L157)*(Inputs!$F$24-Inputs!$D$24)*(Inputs!$F$24-Inputs!$E$24)))</f>
        <v>0.820569838554089</v>
      </c>
      <c r="N157" s="81" t="n">
        <f aca="true">RAND()</f>
        <v>0.249812017109999</v>
      </c>
      <c r="O157" s="83" t="n">
        <f aca="false">IF(N157&lt;(Inputs!$E$26-Inputs!$D$26)/(Inputs!$F$26-Inputs!$D$26),Inputs!$D$26+SQRT(N157*(Inputs!$F$26-Inputs!$D$26)*(Inputs!$E$26-Inputs!$D$26)),Inputs!$F$26-SQRT((1-N157)*(Inputs!$F$26-Inputs!$D$26)*(Inputs!$F$26-Inputs!$E$26)))</f>
        <v>0.503884083849387</v>
      </c>
      <c r="P157" s="81" t="n">
        <f aca="true">RAND()</f>
        <v>0.902640976967972</v>
      </c>
      <c r="Q157" s="82" t="n">
        <f aca="false">IF(P157&lt;(Inputs!$E$27-Inputs!$D$27)/(Inputs!$F$27-Inputs!$D$27),Inputs!$D$27+SQRT(P157*(Inputs!$F$27-Inputs!$D$27)*(Inputs!$E$27-Inputs!$D$27)),Inputs!$F$27-SQRT((1-P157)*(Inputs!$F$27-Inputs!$D$27)*(Inputs!$F$27-Inputs!$E$27)))</f>
        <v>122.977922494001</v>
      </c>
      <c r="R157" s="81" t="n">
        <f aca="true">RAND()</f>
        <v>0.879821059033492</v>
      </c>
      <c r="S157" s="82" t="n">
        <f aca="false">IF(R157&lt;(Inputs!$E$29-Inputs!$D$29)/(Inputs!$F$29-Inputs!$D$29),Inputs!$D$29+SQRT(R157*(Inputs!$F$29-Inputs!$D$29)*(Inputs!$E$29-Inputs!$D$29)),Inputs!$F$29-SQRT((1-R157)*(Inputs!$F$29-Inputs!$D$29)*(Inputs!$F$29-Inputs!$E$29)))</f>
        <v>11.0473727312525</v>
      </c>
      <c r="T157" s="68" t="n">
        <f aca="false">Inputs!$E$9*(1+E157)+Inputs!$E$5*C157*(Inputs!$E$11*Inputs!$E$14*(G157*I157/Inputs!$E$16+(1-G157))*K157+Inputs!$E$23*M157)*(1+O157)+Inputs!$E$5*(Q157+S157)</f>
        <v>7236.52114777189</v>
      </c>
    </row>
    <row r="158" customFormat="false" ht="15" hidden="false" customHeight="false" outlineLevel="0" collapsed="false">
      <c r="A158" s="1" t="n">
        <v>154</v>
      </c>
      <c r="B158" s="81" t="n">
        <f aca="true">RAND()</f>
        <v>0.244599322727722</v>
      </c>
      <c r="C158" s="82" t="n">
        <f aca="false">ROUND(IF(B158&lt;(Inputs!$E$8-Inputs!$D$8)/(Inputs!$F$8-Inputs!$D$8),Inputs!$D$8+SQRT(B158*(Inputs!$F$8-Inputs!$D$8)*(Inputs!$E$8-Inputs!$D$8)),Inputs!$F$8-SQRT((1-B158)*(Inputs!$F$8-Inputs!$D$8)*(Inputs!$F$8-Inputs!$E$8))),0)</f>
        <v>23</v>
      </c>
      <c r="D158" s="81" t="n">
        <f aca="true">RAND()</f>
        <v>0.133925265598667</v>
      </c>
      <c r="E158" s="83" t="n">
        <f aca="false">IF(D158&lt;(Inputs!$E$10-Inputs!$D$10)/(Inputs!$F$10-Inputs!$D$10),Inputs!$D$10+SQRT(D158*(Inputs!$F$10-Inputs!$D$10)*(Inputs!$E$10-Inputs!$D$10)),Inputs!$F$10-SQRT((1-D158)*(Inputs!$F$10-Inputs!$D$10)*(Inputs!$F$10-Inputs!$E$10)))</f>
        <v>0.0365958010704326</v>
      </c>
      <c r="F158" s="81" t="n">
        <f aca="true">RAND()</f>
        <v>0.0457169568155682</v>
      </c>
      <c r="G158" s="83" t="n">
        <f aca="false">IF(F158&lt;(Inputs!$E$15-Inputs!$D$15)/(Inputs!$F$15-Inputs!$D$15),Inputs!$D$15+SQRT(F158*(Inputs!$F$15-Inputs!$D$15)*(Inputs!$E$15-Inputs!$D$15)),Inputs!$F$15-SQRT((1-F158)*(Inputs!$F$15-Inputs!$D$15)*(Inputs!$F$15-Inputs!$E$15)))</f>
        <v>0.63023804121155</v>
      </c>
      <c r="H158" s="81" t="n">
        <f aca="true">RAND()</f>
        <v>0.239762624127164</v>
      </c>
      <c r="I158" s="82" t="n">
        <f aca="false">ROUND(IF(H158&lt;(Inputs!$E$17-Inputs!$D$17)/(Inputs!$F$17-Inputs!$D$17),Inputs!$D$17+SQRT(H158*(Inputs!$F$17-Inputs!$D$17)*(Inputs!$E$17-Inputs!$D$17)),Inputs!$F$17-SQRT((1-H158)*(Inputs!$F$17-Inputs!$D$17)*(Inputs!$F$17-Inputs!$E$17))),0)</f>
        <v>104</v>
      </c>
      <c r="J158" s="81" t="n">
        <f aca="true">RAND()</f>
        <v>0.723179313432989</v>
      </c>
      <c r="K158" s="83" t="n">
        <f aca="false">IF(J158&lt;(Inputs!$E$18-Inputs!$D$18)/(Inputs!$F$18-Inputs!$D$18),Inputs!$D$18+SQRT(J158*(Inputs!$F$18-Inputs!$D$18)*(Inputs!$E$18-Inputs!$D$18)),Inputs!$F$18-SQRT((1-J158)*(Inputs!$F$18-Inputs!$D$18)*(Inputs!$F$18-Inputs!$E$18)))</f>
        <v>1.09436642369137</v>
      </c>
      <c r="L158" s="81" t="n">
        <f aca="true">RAND()</f>
        <v>0.526884418067998</v>
      </c>
      <c r="M158" s="83" t="n">
        <f aca="false">IF(L158&lt;(Inputs!$E$24-Inputs!$D$24)/(Inputs!$F$24-Inputs!$D$24),Inputs!$D$24+SQRT(L158*(Inputs!$F$24-Inputs!$D$24)*(Inputs!$E$24-Inputs!$D$24)),Inputs!$F$24-SQRT((1-L158)*(Inputs!$F$24-Inputs!$D$24)*(Inputs!$F$24-Inputs!$E$24)))</f>
        <v>0.863031545002087</v>
      </c>
      <c r="N158" s="81" t="n">
        <f aca="true">RAND()</f>
        <v>0.330989324408992</v>
      </c>
      <c r="O158" s="83" t="n">
        <f aca="false">IF(N158&lt;(Inputs!$E$26-Inputs!$D$26)/(Inputs!$F$26-Inputs!$D$26),Inputs!$D$26+SQRT(N158*(Inputs!$F$26-Inputs!$D$26)*(Inputs!$E$26-Inputs!$D$26)),Inputs!$F$26-SQRT((1-N158)*(Inputs!$F$26-Inputs!$D$26)*(Inputs!$F$26-Inputs!$E$26)))</f>
        <v>0.534684093158561</v>
      </c>
      <c r="P158" s="81" t="n">
        <f aca="true">RAND()</f>
        <v>0.306858904906957</v>
      </c>
      <c r="Q158" s="82" t="n">
        <f aca="false">IF(P158&lt;(Inputs!$E$27-Inputs!$D$27)/(Inputs!$F$27-Inputs!$D$27),Inputs!$D$27+SQRT(P158*(Inputs!$F$27-Inputs!$D$27)*(Inputs!$E$27-Inputs!$D$27)),Inputs!$F$27-SQRT((1-P158)*(Inputs!$F$27-Inputs!$D$27)*(Inputs!$F$27-Inputs!$E$27)))</f>
        <v>77.8989721765506</v>
      </c>
      <c r="R158" s="81" t="n">
        <f aca="true">RAND()</f>
        <v>0.678021709359483</v>
      </c>
      <c r="S158" s="82" t="n">
        <f aca="false">IF(R158&lt;(Inputs!$E$29-Inputs!$D$29)/(Inputs!$F$29-Inputs!$D$29),Inputs!$D$29+SQRT(R158*(Inputs!$F$29-Inputs!$D$29)*(Inputs!$E$29-Inputs!$D$29)),Inputs!$F$29-SQRT((1-R158)*(Inputs!$F$29-Inputs!$D$29)*(Inputs!$F$29-Inputs!$E$29)))</f>
        <v>8.53028765838332</v>
      </c>
      <c r="T158" s="68" t="n">
        <f aca="false">Inputs!$E$9*(1+E158)+Inputs!$E$5*C158*(Inputs!$E$11*Inputs!$E$14*(G158*I158/Inputs!$E$16+(1-G158))*K158+Inputs!$E$23*M158)*(1+O158)+Inputs!$E$5*(Q158+S158)</f>
        <v>5952.70148180295</v>
      </c>
    </row>
    <row r="159" customFormat="false" ht="15" hidden="false" customHeight="false" outlineLevel="0" collapsed="false">
      <c r="A159" s="1" t="n">
        <v>155</v>
      </c>
      <c r="B159" s="81" t="n">
        <f aca="true">RAND()</f>
        <v>0.680664839520646</v>
      </c>
      <c r="C159" s="82" t="n">
        <f aca="false">ROUND(IF(B159&lt;(Inputs!$E$8-Inputs!$D$8)/(Inputs!$F$8-Inputs!$D$8),Inputs!$D$8+SQRT(B159*(Inputs!$F$8-Inputs!$D$8)*(Inputs!$E$8-Inputs!$D$8)),Inputs!$F$8-SQRT((1-B159)*(Inputs!$F$8-Inputs!$D$8)*(Inputs!$F$8-Inputs!$E$8))),0)</f>
        <v>26</v>
      </c>
      <c r="D159" s="81" t="n">
        <f aca="true">RAND()</f>
        <v>0.419817991142067</v>
      </c>
      <c r="E159" s="83" t="n">
        <f aca="false">IF(D159&lt;(Inputs!$E$10-Inputs!$D$10)/(Inputs!$F$10-Inputs!$D$10),Inputs!$D$10+SQRT(D159*(Inputs!$F$10-Inputs!$D$10)*(Inputs!$E$10-Inputs!$D$10)),Inputs!$F$10-SQRT((1-D159)*(Inputs!$F$10-Inputs!$D$10)*(Inputs!$F$10-Inputs!$E$10)))</f>
        <v>0.0680702449568787</v>
      </c>
      <c r="F159" s="81" t="n">
        <f aca="true">RAND()</f>
        <v>0.64451698758392</v>
      </c>
      <c r="G159" s="83" t="n">
        <f aca="false">IF(F159&lt;(Inputs!$E$15-Inputs!$D$15)/(Inputs!$F$15-Inputs!$D$15),Inputs!$D$15+SQRT(F159*(Inputs!$F$15-Inputs!$D$15)*(Inputs!$E$15-Inputs!$D$15)),Inputs!$F$15-SQRT((1-F159)*(Inputs!$F$15-Inputs!$D$15)*(Inputs!$F$15-Inputs!$E$15)))</f>
        <v>0.715681198725779</v>
      </c>
      <c r="H159" s="81" t="n">
        <f aca="true">RAND()</f>
        <v>0.322149226218076</v>
      </c>
      <c r="I159" s="82" t="n">
        <f aca="false">ROUND(IF(H159&lt;(Inputs!$E$17-Inputs!$D$17)/(Inputs!$F$17-Inputs!$D$17),Inputs!$D$17+SQRT(H159*(Inputs!$F$17-Inputs!$D$17)*(Inputs!$E$17-Inputs!$D$17)),Inputs!$F$17-SQRT((1-H159)*(Inputs!$F$17-Inputs!$D$17)*(Inputs!$F$17-Inputs!$E$17))),0)</f>
        <v>105</v>
      </c>
      <c r="J159" s="81" t="n">
        <f aca="true">RAND()</f>
        <v>0.941773899213198</v>
      </c>
      <c r="K159" s="83" t="n">
        <f aca="false">IF(J159&lt;(Inputs!$E$18-Inputs!$D$18)/(Inputs!$F$18-Inputs!$D$18),Inputs!$D$18+SQRT(J159*(Inputs!$F$18-Inputs!$D$18)*(Inputs!$E$18-Inputs!$D$18)),Inputs!$F$18-SQRT((1-J159)*(Inputs!$F$18-Inputs!$D$18)*(Inputs!$F$18-Inputs!$E$18)))</f>
        <v>1.17862224563041</v>
      </c>
      <c r="L159" s="81" t="n">
        <f aca="true">RAND()</f>
        <v>0.0793567609982341</v>
      </c>
      <c r="M159" s="83" t="n">
        <f aca="false">IF(L159&lt;(Inputs!$E$24-Inputs!$D$24)/(Inputs!$F$24-Inputs!$D$24),Inputs!$D$24+SQRT(L159*(Inputs!$F$24-Inputs!$D$24)*(Inputs!$E$24-Inputs!$D$24)),Inputs!$F$24-SQRT((1-L159)*(Inputs!$F$24-Inputs!$D$24)*(Inputs!$F$24-Inputs!$E$24)))</f>
        <v>0.697584892887107</v>
      </c>
      <c r="N159" s="81" t="n">
        <f aca="true">RAND()</f>
        <v>0.626174268877906</v>
      </c>
      <c r="O159" s="83" t="n">
        <f aca="false">IF(N159&lt;(Inputs!$E$26-Inputs!$D$26)/(Inputs!$F$26-Inputs!$D$26),Inputs!$D$26+SQRT(N159*(Inputs!$F$26-Inputs!$D$26)*(Inputs!$E$26-Inputs!$D$26)),Inputs!$F$26-SQRT((1-N159)*(Inputs!$F$26-Inputs!$D$26)*(Inputs!$F$26-Inputs!$E$26)))</f>
        <v>0.622825265217123</v>
      </c>
      <c r="P159" s="81" t="n">
        <f aca="true">RAND()</f>
        <v>0.231426585139432</v>
      </c>
      <c r="Q159" s="82" t="n">
        <f aca="false">IF(P159&lt;(Inputs!$E$27-Inputs!$D$27)/(Inputs!$F$27-Inputs!$D$27),Inputs!$D$27+SQRT(P159*(Inputs!$F$27-Inputs!$D$27)*(Inputs!$E$27-Inputs!$D$27)),Inputs!$F$27-SQRT((1-P159)*(Inputs!$F$27-Inputs!$D$27)*(Inputs!$F$27-Inputs!$E$27)))</f>
        <v>74.0534085494879</v>
      </c>
      <c r="R159" s="81" t="n">
        <f aca="true">RAND()</f>
        <v>0.73096761728686</v>
      </c>
      <c r="S159" s="82" t="n">
        <f aca="false">IF(R159&lt;(Inputs!$E$29-Inputs!$D$29)/(Inputs!$F$29-Inputs!$D$29),Inputs!$D$29+SQRT(R159*(Inputs!$F$29-Inputs!$D$29)*(Inputs!$E$29-Inputs!$D$29)),Inputs!$F$29-SQRT((1-R159)*(Inputs!$F$29-Inputs!$D$29)*(Inputs!$F$29-Inputs!$E$29)))</f>
        <v>9.0861002923022</v>
      </c>
      <c r="T159" s="68" t="n">
        <f aca="false">Inputs!$E$9*(1+E159)+Inputs!$E$5*C159*(Inputs!$E$11*Inputs!$E$14*(G159*I159/Inputs!$E$16+(1-G159))*K159+Inputs!$E$23*M159)*(1+O159)+Inputs!$E$5*(Q159+S159)</f>
        <v>6459.36792316652</v>
      </c>
    </row>
    <row r="160" customFormat="false" ht="15" hidden="false" customHeight="false" outlineLevel="0" collapsed="false">
      <c r="A160" s="1" t="n">
        <v>156</v>
      </c>
      <c r="B160" s="81" t="n">
        <f aca="true">RAND()</f>
        <v>0.168590670394843</v>
      </c>
      <c r="C160" s="82" t="n">
        <f aca="false">ROUND(IF(B160&lt;(Inputs!$E$8-Inputs!$D$8)/(Inputs!$F$8-Inputs!$D$8),Inputs!$D$8+SQRT(B160*(Inputs!$F$8-Inputs!$D$8)*(Inputs!$E$8-Inputs!$D$8)),Inputs!$F$8-SQRT((1-B160)*(Inputs!$F$8-Inputs!$D$8)*(Inputs!$F$8-Inputs!$E$8))),0)</f>
        <v>23</v>
      </c>
      <c r="D160" s="81" t="n">
        <f aca="true">RAND()</f>
        <v>0.455916272013701</v>
      </c>
      <c r="E160" s="83" t="n">
        <f aca="false">IF(D160&lt;(Inputs!$E$10-Inputs!$D$10)/(Inputs!$F$10-Inputs!$D$10),Inputs!$D$10+SQRT(D160*(Inputs!$F$10-Inputs!$D$10)*(Inputs!$E$10-Inputs!$D$10)),Inputs!$F$10-SQRT((1-D160)*(Inputs!$F$10-Inputs!$D$10)*(Inputs!$F$10-Inputs!$E$10)))</f>
        <v>0.0722404139033436</v>
      </c>
      <c r="F160" s="81" t="n">
        <f aca="true">RAND()</f>
        <v>0.392405274909226</v>
      </c>
      <c r="G160" s="83" t="n">
        <f aca="false">IF(F160&lt;(Inputs!$E$15-Inputs!$D$15)/(Inputs!$F$15-Inputs!$D$15),Inputs!$D$15+SQRT(F160*(Inputs!$F$15-Inputs!$D$15)*(Inputs!$E$15-Inputs!$D$15)),Inputs!$F$15-SQRT((1-F160)*(Inputs!$F$15-Inputs!$D$15)*(Inputs!$F$15-Inputs!$E$15)))</f>
        <v>0.688589533795954</v>
      </c>
      <c r="H160" s="81" t="n">
        <f aca="true">RAND()</f>
        <v>0.111657443165921</v>
      </c>
      <c r="I160" s="82" t="n">
        <f aca="false">ROUND(IF(H160&lt;(Inputs!$E$17-Inputs!$D$17)/(Inputs!$F$17-Inputs!$D$17),Inputs!$D$17+SQRT(H160*(Inputs!$F$17-Inputs!$D$17)*(Inputs!$E$17-Inputs!$D$17)),Inputs!$F$17-SQRT((1-H160)*(Inputs!$F$17-Inputs!$D$17)*(Inputs!$F$17-Inputs!$E$17))),0)</f>
        <v>103</v>
      </c>
      <c r="J160" s="81" t="n">
        <f aca="true">RAND()</f>
        <v>0.0438611326570293</v>
      </c>
      <c r="K160" s="83" t="n">
        <f aca="false">IF(J160&lt;(Inputs!$E$18-Inputs!$D$18)/(Inputs!$F$18-Inputs!$D$18),Inputs!$D$18+SQRT(J160*(Inputs!$F$18-Inputs!$D$18)*(Inputs!$E$18-Inputs!$D$18)),Inputs!$F$18-SQRT((1-J160)*(Inputs!$F$18-Inputs!$D$18)*(Inputs!$F$18-Inputs!$E$18)))</f>
        <v>0.9391808581197</v>
      </c>
      <c r="L160" s="81" t="n">
        <f aca="true">RAND()</f>
        <v>0.00864038356908879</v>
      </c>
      <c r="M160" s="83" t="n">
        <f aca="false">IF(L160&lt;(Inputs!$E$24-Inputs!$D$24)/(Inputs!$F$24-Inputs!$D$24),Inputs!$D$24+SQRT(L160*(Inputs!$F$24-Inputs!$D$24)*(Inputs!$E$24-Inputs!$D$24)),Inputs!$F$24-SQRT((1-L160)*(Inputs!$F$24-Inputs!$D$24)*(Inputs!$F$24-Inputs!$E$24)))</f>
        <v>0.632200093606862</v>
      </c>
      <c r="N160" s="81" t="n">
        <f aca="true">RAND()</f>
        <v>0.141082911575628</v>
      </c>
      <c r="O160" s="83" t="n">
        <f aca="false">IF(N160&lt;(Inputs!$E$26-Inputs!$D$26)/(Inputs!$F$26-Inputs!$D$26),Inputs!$D$26+SQRT(N160*(Inputs!$F$26-Inputs!$D$26)*(Inputs!$E$26-Inputs!$D$26)),Inputs!$F$26-SQRT((1-N160)*(Inputs!$F$26-Inputs!$D$26)*(Inputs!$F$26-Inputs!$E$26)))</f>
        <v>0.45321943899579</v>
      </c>
      <c r="P160" s="81" t="n">
        <f aca="true">RAND()</f>
        <v>0.986074088885868</v>
      </c>
      <c r="Q160" s="82" t="n">
        <f aca="false">IF(P160&lt;(Inputs!$E$27-Inputs!$D$27)/(Inputs!$F$27-Inputs!$D$27),Inputs!$D$27+SQRT(P160*(Inputs!$F$27-Inputs!$D$27)*(Inputs!$E$27-Inputs!$D$27)),Inputs!$F$27-SQRT((1-P160)*(Inputs!$F$27-Inputs!$D$27)*(Inputs!$F$27-Inputs!$E$27)))</f>
        <v>139.780198957123</v>
      </c>
      <c r="R160" s="81" t="n">
        <f aca="true">RAND()</f>
        <v>0.987808258920548</v>
      </c>
      <c r="S160" s="82" t="n">
        <f aca="false">IF(R160&lt;(Inputs!$E$29-Inputs!$D$29)/(Inputs!$F$29-Inputs!$D$29),Inputs!$D$29+SQRT(R160*(Inputs!$F$29-Inputs!$D$29)*(Inputs!$E$29-Inputs!$D$29)),Inputs!$F$29-SQRT((1-R160)*(Inputs!$F$29-Inputs!$D$29)*(Inputs!$F$29-Inputs!$E$29)))</f>
        <v>13.7410614231311</v>
      </c>
      <c r="T160" s="68" t="n">
        <f aca="false">Inputs!$E$9*(1+E160)+Inputs!$E$5*C160*(Inputs!$E$11*Inputs!$E$14*(G160*I160/Inputs!$E$16+(1-G160))*K160+Inputs!$E$23*M160)*(1+O160)+Inputs!$E$5*(Q160+S160)</f>
        <v>5559.53466378006</v>
      </c>
    </row>
    <row r="161" customFormat="false" ht="15" hidden="false" customHeight="false" outlineLevel="0" collapsed="false">
      <c r="A161" s="1" t="n">
        <v>157</v>
      </c>
      <c r="B161" s="81" t="n">
        <f aca="true">RAND()</f>
        <v>0.303769936953973</v>
      </c>
      <c r="C161" s="82" t="n">
        <f aca="false">ROUND(IF(B161&lt;(Inputs!$E$8-Inputs!$D$8)/(Inputs!$F$8-Inputs!$D$8),Inputs!$D$8+SQRT(B161*(Inputs!$F$8-Inputs!$D$8)*(Inputs!$E$8-Inputs!$D$8)),Inputs!$F$8-SQRT((1-B161)*(Inputs!$F$8-Inputs!$D$8)*(Inputs!$F$8-Inputs!$E$8))),0)</f>
        <v>24</v>
      </c>
      <c r="D161" s="81" t="n">
        <f aca="true">RAND()</f>
        <v>0.842064181670351</v>
      </c>
      <c r="E161" s="83" t="n">
        <f aca="false">IF(D161&lt;(Inputs!$E$10-Inputs!$D$10)/(Inputs!$F$10-Inputs!$D$10),Inputs!$D$10+SQRT(D161*(Inputs!$F$10-Inputs!$D$10)*(Inputs!$E$10-Inputs!$D$10)),Inputs!$F$10-SQRT((1-D161)*(Inputs!$F$10-Inputs!$D$10)*(Inputs!$F$10-Inputs!$E$10)))</f>
        <v>0.13116632691851</v>
      </c>
      <c r="F161" s="81" t="n">
        <f aca="true">RAND()</f>
        <v>0.57291354585564</v>
      </c>
      <c r="G161" s="83" t="n">
        <f aca="false">IF(F161&lt;(Inputs!$E$15-Inputs!$D$15)/(Inputs!$F$15-Inputs!$D$15),Inputs!$D$15+SQRT(F161*(Inputs!$F$15-Inputs!$D$15)*(Inputs!$E$15-Inputs!$D$15)),Inputs!$F$15-SQRT((1-F161)*(Inputs!$F$15-Inputs!$D$15)*(Inputs!$F$15-Inputs!$E$15)))</f>
        <v>0.707578524774341</v>
      </c>
      <c r="H161" s="81" t="n">
        <f aca="true">RAND()</f>
        <v>0.393477973484633</v>
      </c>
      <c r="I161" s="82" t="n">
        <f aca="false">ROUND(IF(H161&lt;(Inputs!$E$17-Inputs!$D$17)/(Inputs!$F$17-Inputs!$D$17),Inputs!$D$17+SQRT(H161*(Inputs!$F$17-Inputs!$D$17)*(Inputs!$E$17-Inputs!$D$17)),Inputs!$F$17-SQRT((1-H161)*(Inputs!$F$17-Inputs!$D$17)*(Inputs!$F$17-Inputs!$E$17))),0)</f>
        <v>105</v>
      </c>
      <c r="J161" s="81" t="n">
        <f aca="true">RAND()</f>
        <v>0.794153653233783</v>
      </c>
      <c r="K161" s="83" t="n">
        <f aca="false">IF(J161&lt;(Inputs!$E$18-Inputs!$D$18)/(Inputs!$F$18-Inputs!$D$18),Inputs!$D$18+SQRT(J161*(Inputs!$F$18-Inputs!$D$18)*(Inputs!$E$18-Inputs!$D$18)),Inputs!$F$18-SQRT((1-J161)*(Inputs!$F$18-Inputs!$D$18)*(Inputs!$F$18-Inputs!$E$18)))</f>
        <v>1.11579286404202</v>
      </c>
      <c r="L161" s="81" t="n">
        <f aca="true">RAND()</f>
        <v>0.610707245856973</v>
      </c>
      <c r="M161" s="83" t="n">
        <f aca="false">IF(L161&lt;(Inputs!$E$24-Inputs!$D$24)/(Inputs!$F$24-Inputs!$D$24),Inputs!$D$24+SQRT(L161*(Inputs!$F$24-Inputs!$D$24)*(Inputs!$E$24-Inputs!$D$24)),Inputs!$F$24-SQRT((1-L161)*(Inputs!$F$24-Inputs!$D$24)*(Inputs!$F$24-Inputs!$E$24)))</f>
        <v>0.894336359711649</v>
      </c>
      <c r="N161" s="81" t="n">
        <f aca="true">RAND()</f>
        <v>0.0112508677065896</v>
      </c>
      <c r="O161" s="83" t="n">
        <f aca="false">IF(N161&lt;(Inputs!$E$26-Inputs!$D$26)/(Inputs!$F$26-Inputs!$D$26),Inputs!$D$26+SQRT(N161*(Inputs!$F$26-Inputs!$D$26)*(Inputs!$E$26-Inputs!$D$26)),Inputs!$F$26-SQRT((1-N161)*(Inputs!$F$26-Inputs!$D$26)*(Inputs!$F$26-Inputs!$E$26)))</f>
        <v>0.343268283839049</v>
      </c>
      <c r="P161" s="81" t="n">
        <f aca="true">RAND()</f>
        <v>0.487001076534604</v>
      </c>
      <c r="Q161" s="82" t="n">
        <f aca="false">IF(P161&lt;(Inputs!$E$27-Inputs!$D$27)/(Inputs!$F$27-Inputs!$D$27),Inputs!$D$27+SQRT(P161*(Inputs!$F$27-Inputs!$D$27)*(Inputs!$E$27-Inputs!$D$27)),Inputs!$F$27-SQRT((1-P161)*(Inputs!$F$27-Inputs!$D$27)*(Inputs!$F$27-Inputs!$E$27)))</f>
        <v>87.9718456989855</v>
      </c>
      <c r="R161" s="81" t="n">
        <f aca="true">RAND()</f>
        <v>0.860898535181693</v>
      </c>
      <c r="S161" s="82" t="n">
        <f aca="false">IF(R161&lt;(Inputs!$E$29-Inputs!$D$29)/(Inputs!$F$29-Inputs!$D$29),Inputs!$D$29+SQRT(R161*(Inputs!$F$29-Inputs!$D$29)*(Inputs!$E$29-Inputs!$D$29)),Inputs!$F$29-SQRT((1-R161)*(Inputs!$F$29-Inputs!$D$29)*(Inputs!$F$29-Inputs!$E$29)))</f>
        <v>10.7475665288708</v>
      </c>
      <c r="T161" s="68" t="n">
        <f aca="false">Inputs!$E$9*(1+E161)+Inputs!$E$5*C161*(Inputs!$E$11*Inputs!$E$14*(G161*I161/Inputs!$E$16+(1-G161))*K161+Inputs!$E$23*M161)*(1+O161)+Inputs!$E$5*(Q161+S161)</f>
        <v>5932.67446109519</v>
      </c>
    </row>
    <row r="162" customFormat="false" ht="15" hidden="false" customHeight="false" outlineLevel="0" collapsed="false">
      <c r="A162" s="1" t="n">
        <v>158</v>
      </c>
      <c r="B162" s="81" t="n">
        <f aca="true">RAND()</f>
        <v>0.462432463903862</v>
      </c>
      <c r="C162" s="82" t="n">
        <f aca="false">ROUND(IF(B162&lt;(Inputs!$E$8-Inputs!$D$8)/(Inputs!$F$8-Inputs!$D$8),Inputs!$D$8+SQRT(B162*(Inputs!$F$8-Inputs!$D$8)*(Inputs!$E$8-Inputs!$D$8)),Inputs!$F$8-SQRT((1-B162)*(Inputs!$F$8-Inputs!$D$8)*(Inputs!$F$8-Inputs!$E$8))),0)</f>
        <v>25</v>
      </c>
      <c r="D162" s="81" t="n">
        <f aca="true">RAND()</f>
        <v>0.816406585348696</v>
      </c>
      <c r="E162" s="83" t="n">
        <f aca="false">IF(D162&lt;(Inputs!$E$10-Inputs!$D$10)/(Inputs!$F$10-Inputs!$D$10),Inputs!$D$10+SQRT(D162*(Inputs!$F$10-Inputs!$D$10)*(Inputs!$E$10-Inputs!$D$10)),Inputs!$F$10-SQRT((1-D162)*(Inputs!$F$10-Inputs!$D$10)*(Inputs!$F$10-Inputs!$E$10)))</f>
        <v>0.125785429735536</v>
      </c>
      <c r="F162" s="81" t="n">
        <f aca="true">RAND()</f>
        <v>0.482767576779902</v>
      </c>
      <c r="G162" s="83" t="n">
        <f aca="false">IF(F162&lt;(Inputs!$E$15-Inputs!$D$15)/(Inputs!$F$15-Inputs!$D$15),Inputs!$D$15+SQRT(F162*(Inputs!$F$15-Inputs!$D$15)*(Inputs!$E$15-Inputs!$D$15)),Inputs!$F$15-SQRT((1-F162)*(Inputs!$F$15-Inputs!$D$15)*(Inputs!$F$15-Inputs!$E$15)))</f>
        <v>0.698261648345619</v>
      </c>
      <c r="H162" s="81" t="n">
        <f aca="true">RAND()</f>
        <v>0.0617405846325654</v>
      </c>
      <c r="I162" s="82" t="n">
        <f aca="false">ROUND(IF(H162&lt;(Inputs!$E$17-Inputs!$D$17)/(Inputs!$F$17-Inputs!$D$17),Inputs!$D$17+SQRT(H162*(Inputs!$F$17-Inputs!$D$17)*(Inputs!$E$17-Inputs!$D$17)),Inputs!$F$17-SQRT((1-H162)*(Inputs!$F$17-Inputs!$D$17)*(Inputs!$F$17-Inputs!$E$17))),0)</f>
        <v>102</v>
      </c>
      <c r="J162" s="81" t="n">
        <f aca="true">RAND()</f>
        <v>0.349634727062622</v>
      </c>
      <c r="K162" s="83" t="n">
        <f aca="false">IF(J162&lt;(Inputs!$E$18-Inputs!$D$18)/(Inputs!$F$18-Inputs!$D$18),Inputs!$D$18+SQRT(J162*(Inputs!$F$18-Inputs!$D$18)*(Inputs!$E$18-Inputs!$D$18)),Inputs!$F$18-SQRT((1-J162)*(Inputs!$F$18-Inputs!$D$18)*(Inputs!$F$18-Inputs!$E$18)))</f>
        <v>1.01144819979296</v>
      </c>
      <c r="L162" s="81" t="n">
        <f aca="true">RAND()</f>
        <v>0.381577992115718</v>
      </c>
      <c r="M162" s="83" t="n">
        <f aca="false">IF(L162&lt;(Inputs!$E$24-Inputs!$D$24)/(Inputs!$F$24-Inputs!$D$24),Inputs!$D$24+SQRT(L162*(Inputs!$F$24-Inputs!$D$24)*(Inputs!$E$24-Inputs!$D$24)),Inputs!$F$24-SQRT((1-L162)*(Inputs!$F$24-Inputs!$D$24)*(Inputs!$F$24-Inputs!$E$24)))</f>
        <v>0.814745172785301</v>
      </c>
      <c r="N162" s="81" t="n">
        <f aca="true">RAND()</f>
        <v>0.529012385056699</v>
      </c>
      <c r="O162" s="83" t="n">
        <f aca="false">IF(N162&lt;(Inputs!$E$26-Inputs!$D$26)/(Inputs!$F$26-Inputs!$D$26),Inputs!$D$26+SQRT(N162*(Inputs!$F$26-Inputs!$D$26)*(Inputs!$E$26-Inputs!$D$26)),Inputs!$F$26-SQRT((1-N162)*(Inputs!$F$26-Inputs!$D$26)*(Inputs!$F$26-Inputs!$E$26)))</f>
        <v>0.596694558213383</v>
      </c>
      <c r="P162" s="81" t="n">
        <f aca="true">RAND()</f>
        <v>0.548457298827315</v>
      </c>
      <c r="Q162" s="82" t="n">
        <f aca="false">IF(P162&lt;(Inputs!$E$27-Inputs!$D$27)/(Inputs!$F$27-Inputs!$D$27),Inputs!$D$27+SQRT(P162*(Inputs!$F$27-Inputs!$D$27)*(Inputs!$E$27-Inputs!$D$27)),Inputs!$F$27-SQRT((1-P162)*(Inputs!$F$27-Inputs!$D$27)*(Inputs!$F$27-Inputs!$E$27)))</f>
        <v>91.8057540748646</v>
      </c>
      <c r="R162" s="81" t="n">
        <f aca="true">RAND()</f>
        <v>0.526751902761916</v>
      </c>
      <c r="S162" s="82" t="n">
        <f aca="false">IF(R162&lt;(Inputs!$E$29-Inputs!$D$29)/(Inputs!$F$29-Inputs!$D$29),Inputs!$D$29+SQRT(R162*(Inputs!$F$29-Inputs!$D$29)*(Inputs!$E$29-Inputs!$D$29)),Inputs!$F$29-SQRT((1-R162)*(Inputs!$F$29-Inputs!$D$29)*(Inputs!$F$29-Inputs!$E$29)))</f>
        <v>7.15638778106982</v>
      </c>
      <c r="T162" s="68" t="n">
        <f aca="false">Inputs!$E$9*(1+E162)+Inputs!$E$5*C162*(Inputs!$E$11*Inputs!$E$14*(G162*I162/Inputs!$E$16+(1-G162))*K162+Inputs!$E$23*M162)*(1+O162)+Inputs!$E$5*(Q162+S162)</f>
        <v>6266.26920946535</v>
      </c>
    </row>
    <row r="163" customFormat="false" ht="15" hidden="false" customHeight="false" outlineLevel="0" collapsed="false">
      <c r="A163" s="1" t="n">
        <v>159</v>
      </c>
      <c r="B163" s="81" t="n">
        <f aca="true">RAND()</f>
        <v>0.754272636214235</v>
      </c>
      <c r="C163" s="82" t="n">
        <f aca="false">ROUND(IF(B163&lt;(Inputs!$E$8-Inputs!$D$8)/(Inputs!$F$8-Inputs!$D$8),Inputs!$D$8+SQRT(B163*(Inputs!$F$8-Inputs!$D$8)*(Inputs!$E$8-Inputs!$D$8)),Inputs!$F$8-SQRT((1-B163)*(Inputs!$F$8-Inputs!$D$8)*(Inputs!$F$8-Inputs!$E$8))),0)</f>
        <v>26</v>
      </c>
      <c r="D163" s="81" t="n">
        <f aca="true">RAND()</f>
        <v>0.701760320867619</v>
      </c>
      <c r="E163" s="83" t="n">
        <f aca="false">IF(D163&lt;(Inputs!$E$10-Inputs!$D$10)/(Inputs!$F$10-Inputs!$D$10),Inputs!$D$10+SQRT(D163*(Inputs!$F$10-Inputs!$D$10)*(Inputs!$E$10-Inputs!$D$10)),Inputs!$F$10-SQRT((1-D163)*(Inputs!$F$10-Inputs!$D$10)*(Inputs!$F$10-Inputs!$E$10)))</f>
        <v>0.105410410858428</v>
      </c>
      <c r="F163" s="81" t="n">
        <f aca="true">RAND()</f>
        <v>0.275992143259374</v>
      </c>
      <c r="G163" s="83" t="n">
        <f aca="false">IF(F163&lt;(Inputs!$E$15-Inputs!$D$15)/(Inputs!$F$15-Inputs!$D$15),Inputs!$D$15+SQRT(F163*(Inputs!$F$15-Inputs!$D$15)*(Inputs!$E$15-Inputs!$D$15)),Inputs!$F$15-SQRT((1-F163)*(Inputs!$F$15-Inputs!$D$15)*(Inputs!$F$15-Inputs!$E$15)))</f>
        <v>0.674295644994761</v>
      </c>
      <c r="H163" s="81" t="n">
        <f aca="true">RAND()</f>
        <v>0.987208307185788</v>
      </c>
      <c r="I163" s="82" t="n">
        <f aca="false">ROUND(IF(H163&lt;(Inputs!$E$17-Inputs!$D$17)/(Inputs!$F$17-Inputs!$D$17),Inputs!$D$17+SQRT(H163*(Inputs!$F$17-Inputs!$D$17)*(Inputs!$E$17-Inputs!$D$17)),Inputs!$F$17-SQRT((1-H163)*(Inputs!$F$17-Inputs!$D$17)*(Inputs!$F$17-Inputs!$E$17))),0)</f>
        <v>114</v>
      </c>
      <c r="J163" s="81" t="n">
        <f aca="true">RAND()</f>
        <v>0.670546578691065</v>
      </c>
      <c r="K163" s="83" t="n">
        <f aca="false">IF(J163&lt;(Inputs!$E$18-Inputs!$D$18)/(Inputs!$F$18-Inputs!$D$18),Inputs!$D$18+SQRT(J163*(Inputs!$F$18-Inputs!$D$18)*(Inputs!$E$18-Inputs!$D$18)),Inputs!$F$18-SQRT((1-J163)*(Inputs!$F$18-Inputs!$D$18)*(Inputs!$F$18-Inputs!$E$18)))</f>
        <v>1.08021432815302</v>
      </c>
      <c r="L163" s="81" t="n">
        <f aca="true">RAND()</f>
        <v>0.833290199111357</v>
      </c>
      <c r="M163" s="83" t="n">
        <f aca="false">IF(L163&lt;(Inputs!$E$24-Inputs!$D$24)/(Inputs!$F$24-Inputs!$D$24),Inputs!$D$24+SQRT(L163*(Inputs!$F$24-Inputs!$D$24)*(Inputs!$E$24-Inputs!$D$24)),Inputs!$F$24-SQRT((1-L163)*(Inputs!$F$24-Inputs!$D$24)*(Inputs!$F$24-Inputs!$E$24)))</f>
        <v>0.999974121141102</v>
      </c>
      <c r="N163" s="81" t="n">
        <f aca="true">RAND()</f>
        <v>0.165877804838323</v>
      </c>
      <c r="O163" s="83" t="n">
        <f aca="false">IF(N163&lt;(Inputs!$E$26-Inputs!$D$26)/(Inputs!$F$26-Inputs!$D$26),Inputs!$D$26+SQRT(N163*(Inputs!$F$26-Inputs!$D$26)*(Inputs!$E$26-Inputs!$D$26)),Inputs!$F$26-SQRT((1-N163)*(Inputs!$F$26-Inputs!$D$26)*(Inputs!$F$26-Inputs!$E$26)))</f>
        <v>0.466138697253521</v>
      </c>
      <c r="P163" s="81" t="n">
        <f aca="true">RAND()</f>
        <v>0.57153000936076</v>
      </c>
      <c r="Q163" s="82" t="n">
        <f aca="false">IF(P163&lt;(Inputs!$E$27-Inputs!$D$27)/(Inputs!$F$27-Inputs!$D$27),Inputs!$D$27+SQRT(P163*(Inputs!$F$27-Inputs!$D$27)*(Inputs!$E$27-Inputs!$D$27)),Inputs!$F$27-SQRT((1-P163)*(Inputs!$F$27-Inputs!$D$27)*(Inputs!$F$27-Inputs!$E$27)))</f>
        <v>93.3120389342296</v>
      </c>
      <c r="R163" s="81" t="n">
        <f aca="true">RAND()</f>
        <v>0.797473043590536</v>
      </c>
      <c r="S163" s="82" t="n">
        <f aca="false">IF(R163&lt;(Inputs!$E$29-Inputs!$D$29)/(Inputs!$F$29-Inputs!$D$29),Inputs!$D$29+SQRT(R163*(Inputs!$F$29-Inputs!$D$29)*(Inputs!$E$29-Inputs!$D$29)),Inputs!$F$29-SQRT((1-R163)*(Inputs!$F$29-Inputs!$D$29)*(Inputs!$F$29-Inputs!$E$29)))</f>
        <v>9.86886909802232</v>
      </c>
      <c r="T163" s="68" t="n">
        <f aca="false">Inputs!$E$9*(1+E163)+Inputs!$E$5*C163*(Inputs!$E$11*Inputs!$E$14*(G163*I163/Inputs!$E$16+(1-G163))*K163+Inputs!$E$23*M163)*(1+O163)+Inputs!$E$5*(Q163+S163)</f>
        <v>6657.31482064532</v>
      </c>
    </row>
    <row r="164" customFormat="false" ht="15" hidden="false" customHeight="false" outlineLevel="0" collapsed="false">
      <c r="A164" s="1" t="n">
        <v>160</v>
      </c>
      <c r="B164" s="81" t="n">
        <f aca="true">RAND()</f>
        <v>0.528753822376642</v>
      </c>
      <c r="C164" s="82" t="n">
        <f aca="false">ROUND(IF(B164&lt;(Inputs!$E$8-Inputs!$D$8)/(Inputs!$F$8-Inputs!$D$8),Inputs!$D$8+SQRT(B164*(Inputs!$F$8-Inputs!$D$8)*(Inputs!$E$8-Inputs!$D$8)),Inputs!$F$8-SQRT((1-B164)*(Inputs!$F$8-Inputs!$D$8)*(Inputs!$F$8-Inputs!$E$8))),0)</f>
        <v>25</v>
      </c>
      <c r="D164" s="81" t="n">
        <f aca="true">RAND()</f>
        <v>0.079884552657797</v>
      </c>
      <c r="E164" s="83" t="n">
        <f aca="false">IF(D164&lt;(Inputs!$E$10-Inputs!$D$10)/(Inputs!$F$10-Inputs!$D$10),Inputs!$D$10+SQRT(D164*(Inputs!$F$10-Inputs!$D$10)*(Inputs!$E$10-Inputs!$D$10)),Inputs!$F$10-SQRT((1-D164)*(Inputs!$F$10-Inputs!$D$10)*(Inputs!$F$10-Inputs!$E$10)))</f>
        <v>0.0282638554797107</v>
      </c>
      <c r="F164" s="81" t="n">
        <f aca="true">RAND()</f>
        <v>0.322215156507898</v>
      </c>
      <c r="G164" s="83" t="n">
        <f aca="false">IF(F164&lt;(Inputs!$E$15-Inputs!$D$15)/(Inputs!$F$15-Inputs!$D$15),Inputs!$D$15+SQRT(F164*(Inputs!$F$15-Inputs!$D$15)*(Inputs!$E$15-Inputs!$D$15)),Inputs!$F$15-SQRT((1-F164)*(Inputs!$F$15-Inputs!$D$15)*(Inputs!$F$15-Inputs!$E$15)))</f>
        <v>0.680276417023669</v>
      </c>
      <c r="H164" s="81" t="n">
        <f aca="true">RAND()</f>
        <v>0.511850135866972</v>
      </c>
      <c r="I164" s="82" t="n">
        <f aca="false">ROUND(IF(H164&lt;(Inputs!$E$17-Inputs!$D$17)/(Inputs!$F$17-Inputs!$D$17),Inputs!$D$17+SQRT(H164*(Inputs!$F$17-Inputs!$D$17)*(Inputs!$E$17-Inputs!$D$17)),Inputs!$F$17-SQRT((1-H164)*(Inputs!$F$17-Inputs!$D$17)*(Inputs!$F$17-Inputs!$E$17))),0)</f>
        <v>106</v>
      </c>
      <c r="J164" s="81" t="n">
        <f aca="true">RAND()</f>
        <v>0.786171070646833</v>
      </c>
      <c r="K164" s="83" t="n">
        <f aca="false">IF(J164&lt;(Inputs!$E$18-Inputs!$D$18)/(Inputs!$F$18-Inputs!$D$18),Inputs!$D$18+SQRT(J164*(Inputs!$F$18-Inputs!$D$18)*(Inputs!$E$18-Inputs!$D$18)),Inputs!$F$18-SQRT((1-J164)*(Inputs!$F$18-Inputs!$D$18)*(Inputs!$F$18-Inputs!$E$18)))</f>
        <v>1.11321538347313</v>
      </c>
      <c r="L164" s="81" t="n">
        <f aca="true">RAND()</f>
        <v>0.602707010868079</v>
      </c>
      <c r="M164" s="83" t="n">
        <f aca="false">IF(L164&lt;(Inputs!$E$24-Inputs!$D$24)/(Inputs!$F$24-Inputs!$D$24),Inputs!$D$24+SQRT(L164*(Inputs!$F$24-Inputs!$D$24)*(Inputs!$E$24-Inputs!$D$24)),Inputs!$F$24-SQRT((1-L164)*(Inputs!$F$24-Inputs!$D$24)*(Inputs!$F$24-Inputs!$E$24)))</f>
        <v>0.89121153293612</v>
      </c>
      <c r="N164" s="81" t="n">
        <f aca="true">RAND()</f>
        <v>0.31313077443031</v>
      </c>
      <c r="O164" s="83" t="n">
        <f aca="false">IF(N164&lt;(Inputs!$E$26-Inputs!$D$26)/(Inputs!$F$26-Inputs!$D$26),Inputs!$D$26+SQRT(N164*(Inputs!$F$26-Inputs!$D$26)*(Inputs!$E$26-Inputs!$D$26)),Inputs!$F$26-SQRT((1-N164)*(Inputs!$F$26-Inputs!$D$26)*(Inputs!$F$26-Inputs!$E$26)))</f>
        <v>0.528265110924126</v>
      </c>
      <c r="P164" s="81" t="n">
        <f aca="true">RAND()</f>
        <v>0.938043183997639</v>
      </c>
      <c r="Q164" s="82" t="n">
        <f aca="false">IF(P164&lt;(Inputs!$E$27-Inputs!$D$27)/(Inputs!$F$27-Inputs!$D$27),Inputs!$D$27+SQRT(P164*(Inputs!$F$27-Inputs!$D$27)*(Inputs!$E$27-Inputs!$D$27)),Inputs!$F$27-SQRT((1-P164)*(Inputs!$F$27-Inputs!$D$27)*(Inputs!$F$27-Inputs!$E$27)))</f>
        <v>128.443652442547</v>
      </c>
      <c r="R164" s="81" t="n">
        <f aca="true">RAND()</f>
        <v>0.648229020998644</v>
      </c>
      <c r="S164" s="82" t="n">
        <f aca="false">IF(R164&lt;(Inputs!$E$29-Inputs!$D$29)/(Inputs!$F$29-Inputs!$D$29),Inputs!$D$29+SQRT(R164*(Inputs!$F$29-Inputs!$D$29)*(Inputs!$E$29-Inputs!$D$29)),Inputs!$F$29-SQRT((1-R164)*(Inputs!$F$29-Inputs!$D$29)*(Inputs!$F$29-Inputs!$E$29)))</f>
        <v>8.23758717097394</v>
      </c>
      <c r="T164" s="68" t="n">
        <f aca="false">Inputs!$E$9*(1+E164)+Inputs!$E$5*C164*(Inputs!$E$11*Inputs!$E$14*(G164*I164/Inputs!$E$16+(1-G164))*K164+Inputs!$E$23*M164)*(1+O164)+Inputs!$E$5*(Q164+S164)</f>
        <v>6483.51247249762</v>
      </c>
    </row>
    <row r="165" customFormat="false" ht="15" hidden="false" customHeight="false" outlineLevel="0" collapsed="false">
      <c r="A165" s="1" t="n">
        <v>161</v>
      </c>
      <c r="B165" s="81" t="n">
        <f aca="true">RAND()</f>
        <v>0.245326322218766</v>
      </c>
      <c r="C165" s="82" t="n">
        <f aca="false">ROUND(IF(B165&lt;(Inputs!$E$8-Inputs!$D$8)/(Inputs!$F$8-Inputs!$D$8),Inputs!$D$8+SQRT(B165*(Inputs!$F$8-Inputs!$D$8)*(Inputs!$E$8-Inputs!$D$8)),Inputs!$F$8-SQRT((1-B165)*(Inputs!$F$8-Inputs!$D$8)*(Inputs!$F$8-Inputs!$E$8))),0)</f>
        <v>24</v>
      </c>
      <c r="D165" s="81" t="n">
        <f aca="true">RAND()</f>
        <v>0.278646555155418</v>
      </c>
      <c r="E165" s="83" t="n">
        <f aca="false">IF(D165&lt;(Inputs!$E$10-Inputs!$D$10)/(Inputs!$F$10-Inputs!$D$10),Inputs!$D$10+SQRT(D165*(Inputs!$F$10-Inputs!$D$10)*(Inputs!$E$10-Inputs!$D$10)),Inputs!$F$10-SQRT((1-D165)*(Inputs!$F$10-Inputs!$D$10)*(Inputs!$F$10-Inputs!$E$10)))</f>
        <v>0.0528925449022469</v>
      </c>
      <c r="F165" s="81" t="n">
        <f aca="true">RAND()</f>
        <v>0.0141247851031718</v>
      </c>
      <c r="G165" s="83" t="n">
        <f aca="false">IF(F165&lt;(Inputs!$E$15-Inputs!$D$15)/(Inputs!$F$15-Inputs!$D$15),Inputs!$D$15+SQRT(F165*(Inputs!$F$15-Inputs!$D$15)*(Inputs!$E$15-Inputs!$D$15)),Inputs!$F$15-SQRT((1-F165)*(Inputs!$F$15-Inputs!$D$15)*(Inputs!$F$15-Inputs!$E$15)))</f>
        <v>0.616807608457584</v>
      </c>
      <c r="H165" s="81" t="n">
        <f aca="true">RAND()</f>
        <v>0.359235789064473</v>
      </c>
      <c r="I165" s="82" t="n">
        <f aca="false">ROUND(IF(H165&lt;(Inputs!$E$17-Inputs!$D$17)/(Inputs!$F$17-Inputs!$D$17),Inputs!$D$17+SQRT(H165*(Inputs!$F$17-Inputs!$D$17)*(Inputs!$E$17-Inputs!$D$17)),Inputs!$F$17-SQRT((1-H165)*(Inputs!$F$17-Inputs!$D$17)*(Inputs!$F$17-Inputs!$E$17))),0)</f>
        <v>105</v>
      </c>
      <c r="J165" s="81" t="n">
        <f aca="true">RAND()</f>
        <v>0.43286730177229</v>
      </c>
      <c r="K165" s="83" t="n">
        <f aca="false">IF(J165&lt;(Inputs!$E$18-Inputs!$D$18)/(Inputs!$F$18-Inputs!$D$18),Inputs!$D$18+SQRT(J165*(Inputs!$F$18-Inputs!$D$18)*(Inputs!$E$18-Inputs!$D$18)),Inputs!$F$18-SQRT((1-J165)*(Inputs!$F$18-Inputs!$D$18)*(Inputs!$F$18-Inputs!$E$18)))</f>
        <v>1.02723530105754</v>
      </c>
      <c r="L165" s="81" t="n">
        <f aca="true">RAND()</f>
        <v>0.583932977076924</v>
      </c>
      <c r="M165" s="83" t="n">
        <f aca="false">IF(L165&lt;(Inputs!$E$24-Inputs!$D$24)/(Inputs!$F$24-Inputs!$D$24),Inputs!$D$24+SQRT(L165*(Inputs!$F$24-Inputs!$D$24)*(Inputs!$E$24-Inputs!$D$24)),Inputs!$F$24-SQRT((1-L165)*(Inputs!$F$24-Inputs!$D$24)*(Inputs!$F$24-Inputs!$E$24)))</f>
        <v>0.883999864712785</v>
      </c>
      <c r="N165" s="81" t="n">
        <f aca="true">RAND()</f>
        <v>0.610439841189468</v>
      </c>
      <c r="O165" s="83" t="n">
        <f aca="false">IF(N165&lt;(Inputs!$E$26-Inputs!$D$26)/(Inputs!$F$26-Inputs!$D$26),Inputs!$D$26+SQRT(N165*(Inputs!$F$26-Inputs!$D$26)*(Inputs!$E$26-Inputs!$D$26)),Inputs!$F$26-SQRT((1-N165)*(Inputs!$F$26-Inputs!$D$26)*(Inputs!$F$26-Inputs!$E$26)))</f>
        <v>0.618711765665982</v>
      </c>
      <c r="P165" s="81" t="n">
        <f aca="true">RAND()</f>
        <v>0.564871354425654</v>
      </c>
      <c r="Q165" s="82" t="n">
        <f aca="false">IF(P165&lt;(Inputs!$E$27-Inputs!$D$27)/(Inputs!$F$27-Inputs!$D$27),Inputs!$D$27+SQRT(P165*(Inputs!$F$27-Inputs!$D$27)*(Inputs!$E$27-Inputs!$D$27)),Inputs!$F$27-SQRT((1-P165)*(Inputs!$F$27-Inputs!$D$27)*(Inputs!$F$27-Inputs!$E$27)))</f>
        <v>92.8732563346413</v>
      </c>
      <c r="R165" s="81" t="n">
        <f aca="true">RAND()</f>
        <v>0.0924345362228406</v>
      </c>
      <c r="S165" s="82" t="n">
        <f aca="false">IF(R165&lt;(Inputs!$E$29-Inputs!$D$29)/(Inputs!$F$29-Inputs!$D$29),Inputs!$D$29+SQRT(R165*(Inputs!$F$29-Inputs!$D$29)*(Inputs!$E$29-Inputs!$D$29)),Inputs!$F$29-SQRT((1-R165)*(Inputs!$F$29-Inputs!$D$29)*(Inputs!$F$29-Inputs!$E$29)))</f>
        <v>3.89866977452394</v>
      </c>
      <c r="T165" s="68" t="n">
        <f aca="false">Inputs!$E$9*(1+E165)+Inputs!$E$5*C165*(Inputs!$E$11*Inputs!$E$14*(G165*I165/Inputs!$E$16+(1-G165))*K165+Inputs!$E$23*M165)*(1+O165)+Inputs!$E$5*(Q165+S165)</f>
        <v>6278.1884802527</v>
      </c>
    </row>
    <row r="166" customFormat="false" ht="15" hidden="false" customHeight="false" outlineLevel="0" collapsed="false">
      <c r="A166" s="1" t="n">
        <v>162</v>
      </c>
      <c r="B166" s="81" t="n">
        <f aca="true">RAND()</f>
        <v>0.0340314329456388</v>
      </c>
      <c r="C166" s="82" t="n">
        <f aca="false">ROUND(IF(B166&lt;(Inputs!$E$8-Inputs!$D$8)/(Inputs!$F$8-Inputs!$D$8),Inputs!$D$8+SQRT(B166*(Inputs!$F$8-Inputs!$D$8)*(Inputs!$E$8-Inputs!$D$8)),Inputs!$F$8-SQRT((1-B166)*(Inputs!$F$8-Inputs!$D$8)*(Inputs!$F$8-Inputs!$E$8))),0)</f>
        <v>21</v>
      </c>
      <c r="D166" s="81" t="n">
        <f aca="true">RAND()</f>
        <v>0.525047366126507</v>
      </c>
      <c r="E166" s="83" t="n">
        <f aca="false">IF(D166&lt;(Inputs!$E$10-Inputs!$D$10)/(Inputs!$F$10-Inputs!$D$10),Inputs!$D$10+SQRT(D166*(Inputs!$F$10-Inputs!$D$10)*(Inputs!$E$10-Inputs!$D$10)),Inputs!$F$10-SQRT((1-D166)*(Inputs!$F$10-Inputs!$D$10)*(Inputs!$F$10-Inputs!$E$10)))</f>
        <v>0.0806325881314134</v>
      </c>
      <c r="F166" s="81" t="n">
        <f aca="true">RAND()</f>
        <v>0.854654991203868</v>
      </c>
      <c r="G166" s="83" t="n">
        <f aca="false">IF(F166&lt;(Inputs!$E$15-Inputs!$D$15)/(Inputs!$F$15-Inputs!$D$15),Inputs!$D$15+SQRT(F166*(Inputs!$F$15-Inputs!$D$15)*(Inputs!$E$15-Inputs!$D$15)),Inputs!$F$15-SQRT((1-F166)*(Inputs!$F$15-Inputs!$D$15)*(Inputs!$F$15-Inputs!$E$15)))</f>
        <v>0.74608432346782</v>
      </c>
      <c r="H166" s="81" t="n">
        <f aca="true">RAND()</f>
        <v>0.402101022123971</v>
      </c>
      <c r="I166" s="82" t="n">
        <f aca="false">ROUND(IF(H166&lt;(Inputs!$E$17-Inputs!$D$17)/(Inputs!$F$17-Inputs!$D$17),Inputs!$D$17+SQRT(H166*(Inputs!$F$17-Inputs!$D$17)*(Inputs!$E$17-Inputs!$D$17)),Inputs!$F$17-SQRT((1-H166)*(Inputs!$F$17-Inputs!$D$17)*(Inputs!$F$17-Inputs!$E$17))),0)</f>
        <v>106</v>
      </c>
      <c r="J166" s="81" t="n">
        <f aca="true">RAND()</f>
        <v>0.0880284774261029</v>
      </c>
      <c r="K166" s="83" t="n">
        <f aca="false">IF(J166&lt;(Inputs!$E$18-Inputs!$D$18)/(Inputs!$F$18-Inputs!$D$18),Inputs!$D$18+SQRT(J166*(Inputs!$F$18-Inputs!$D$18)*(Inputs!$E$18-Inputs!$D$18)),Inputs!$F$18-SQRT((1-J166)*(Inputs!$F$18-Inputs!$D$18)*(Inputs!$F$18-Inputs!$E$18)))</f>
        <v>0.955506726708694</v>
      </c>
      <c r="L166" s="81" t="n">
        <f aca="true">RAND()</f>
        <v>0.550142671178077</v>
      </c>
      <c r="M166" s="83" t="n">
        <f aca="false">IF(L166&lt;(Inputs!$E$24-Inputs!$D$24)/(Inputs!$F$24-Inputs!$D$24),Inputs!$D$24+SQRT(L166*(Inputs!$F$24-Inputs!$D$24)*(Inputs!$E$24-Inputs!$D$24)),Inputs!$F$24-SQRT((1-L166)*(Inputs!$F$24-Inputs!$D$24)*(Inputs!$F$24-Inputs!$E$24)))</f>
        <v>0.871418565775147</v>
      </c>
      <c r="N166" s="81" t="n">
        <f aca="true">RAND()</f>
        <v>0.259587589064194</v>
      </c>
      <c r="O166" s="83" t="n">
        <f aca="false">IF(N166&lt;(Inputs!$E$26-Inputs!$D$26)/(Inputs!$F$26-Inputs!$D$26),Inputs!$D$26+SQRT(N166*(Inputs!$F$26-Inputs!$D$26)*(Inputs!$E$26-Inputs!$D$26)),Inputs!$F$26-SQRT((1-N166)*(Inputs!$F$26-Inputs!$D$26)*(Inputs!$F$26-Inputs!$E$26)))</f>
        <v>0.50783497015729</v>
      </c>
      <c r="P166" s="81" t="n">
        <f aca="true">RAND()</f>
        <v>0.154234722267902</v>
      </c>
      <c r="Q166" s="82" t="n">
        <f aca="false">IF(P166&lt;(Inputs!$E$27-Inputs!$D$27)/(Inputs!$F$27-Inputs!$D$27),Inputs!$D$27+SQRT(P166*(Inputs!$F$27-Inputs!$D$27)*(Inputs!$E$27-Inputs!$D$27)),Inputs!$F$27-SQRT((1-P166)*(Inputs!$F$27-Inputs!$D$27)*(Inputs!$F$27-Inputs!$E$27)))</f>
        <v>69.636364369958</v>
      </c>
      <c r="R166" s="81" t="n">
        <f aca="true">RAND()</f>
        <v>0.768435739973179</v>
      </c>
      <c r="S166" s="82" t="n">
        <f aca="false">IF(R166&lt;(Inputs!$E$29-Inputs!$D$29)/(Inputs!$F$29-Inputs!$D$29),Inputs!$D$29+SQRT(R166*(Inputs!$F$29-Inputs!$D$29)*(Inputs!$E$29-Inputs!$D$29)),Inputs!$F$29-SQRT((1-R166)*(Inputs!$F$29-Inputs!$D$29)*(Inputs!$F$29-Inputs!$E$29)))</f>
        <v>9.51334766879778</v>
      </c>
      <c r="T166" s="68" t="n">
        <f aca="false">Inputs!$E$9*(1+E166)+Inputs!$E$5*C166*(Inputs!$E$11*Inputs!$E$14*(G166*I166/Inputs!$E$16+(1-G166))*K166+Inputs!$E$23*M166)*(1+O166)+Inputs!$E$5*(Q166+S166)</f>
        <v>5344.58401250414</v>
      </c>
    </row>
    <row r="167" customFormat="false" ht="15" hidden="false" customHeight="false" outlineLevel="0" collapsed="false">
      <c r="A167" s="1" t="n">
        <v>163</v>
      </c>
      <c r="B167" s="81" t="n">
        <f aca="true">RAND()</f>
        <v>0.185304224727819</v>
      </c>
      <c r="C167" s="82" t="n">
        <f aca="false">ROUND(IF(B167&lt;(Inputs!$E$8-Inputs!$D$8)/(Inputs!$F$8-Inputs!$D$8),Inputs!$D$8+SQRT(B167*(Inputs!$F$8-Inputs!$D$8)*(Inputs!$E$8-Inputs!$D$8)),Inputs!$F$8-SQRT((1-B167)*(Inputs!$F$8-Inputs!$D$8)*(Inputs!$F$8-Inputs!$E$8))),0)</f>
        <v>23</v>
      </c>
      <c r="D167" s="81" t="n">
        <f aca="true">RAND()</f>
        <v>0.812718983907264</v>
      </c>
      <c r="E167" s="83" t="n">
        <f aca="false">IF(D167&lt;(Inputs!$E$10-Inputs!$D$10)/(Inputs!$F$10-Inputs!$D$10),Inputs!$D$10+SQRT(D167*(Inputs!$F$10-Inputs!$D$10)*(Inputs!$E$10-Inputs!$D$10)),Inputs!$F$10-SQRT((1-D167)*(Inputs!$F$10-Inputs!$D$10)*(Inputs!$F$10-Inputs!$E$10)))</f>
        <v>0.125043809576646</v>
      </c>
      <c r="F167" s="81" t="n">
        <f aca="true">RAND()</f>
        <v>0.393223794446894</v>
      </c>
      <c r="G167" s="83" t="n">
        <f aca="false">IF(F167&lt;(Inputs!$E$15-Inputs!$D$15)/(Inputs!$F$15-Inputs!$D$15),Inputs!$D$15+SQRT(F167*(Inputs!$F$15-Inputs!$D$15)*(Inputs!$E$15-Inputs!$D$15)),Inputs!$F$15-SQRT((1-F167)*(Inputs!$F$15-Inputs!$D$15)*(Inputs!$F$15-Inputs!$E$15)))</f>
        <v>0.688681880274033</v>
      </c>
      <c r="H167" s="81" t="n">
        <f aca="true">RAND()</f>
        <v>0.00931662643162897</v>
      </c>
      <c r="I167" s="82" t="n">
        <f aca="false">ROUND(IF(H167&lt;(Inputs!$E$17-Inputs!$D$17)/(Inputs!$F$17-Inputs!$D$17),Inputs!$D$17+SQRT(H167*(Inputs!$F$17-Inputs!$D$17)*(Inputs!$E$17-Inputs!$D$17)),Inputs!$F$17-SQRT((1-H167)*(Inputs!$F$17-Inputs!$D$17)*(Inputs!$F$17-Inputs!$E$17))),0)</f>
        <v>101</v>
      </c>
      <c r="J167" s="81" t="n">
        <f aca="true">RAND()</f>
        <v>0.0562312985494594</v>
      </c>
      <c r="K167" s="83" t="n">
        <f aca="false">IF(J167&lt;(Inputs!$E$18-Inputs!$D$18)/(Inputs!$F$18-Inputs!$D$18),Inputs!$D$18+SQRT(J167*(Inputs!$F$18-Inputs!$D$18)*(Inputs!$E$18-Inputs!$D$18)),Inputs!$F$18-SQRT((1-J167)*(Inputs!$F$18-Inputs!$D$18)*(Inputs!$F$18-Inputs!$E$18)))</f>
        <v>0.94436322180851</v>
      </c>
      <c r="L167" s="81" t="n">
        <f aca="true">RAND()</f>
        <v>0.572608735389947</v>
      </c>
      <c r="M167" s="83" t="n">
        <f aca="false">IF(L167&lt;(Inputs!$E$24-Inputs!$D$24)/(Inputs!$F$24-Inputs!$D$24),Inputs!$D$24+SQRT(L167*(Inputs!$F$24-Inputs!$D$24)*(Inputs!$E$24-Inputs!$D$24)),Inputs!$F$24-SQRT((1-L167)*(Inputs!$F$24-Inputs!$D$24)*(Inputs!$F$24-Inputs!$E$24)))</f>
        <v>0.879728391039086</v>
      </c>
      <c r="N167" s="81" t="n">
        <f aca="true">RAND()</f>
        <v>0.594475984123647</v>
      </c>
      <c r="O167" s="83" t="n">
        <f aca="false">IF(N167&lt;(Inputs!$E$26-Inputs!$D$26)/(Inputs!$F$26-Inputs!$D$26),Inputs!$D$26+SQRT(N167*(Inputs!$F$26-Inputs!$D$26)*(Inputs!$E$26-Inputs!$D$26)),Inputs!$F$26-SQRT((1-N167)*(Inputs!$F$26-Inputs!$D$26)*(Inputs!$F$26-Inputs!$E$26)))</f>
        <v>0.614516778182301</v>
      </c>
      <c r="P167" s="81" t="n">
        <f aca="true">RAND()</f>
        <v>0.0268188313789899</v>
      </c>
      <c r="Q167" s="82" t="n">
        <f aca="false">IF(P167&lt;(Inputs!$E$27-Inputs!$D$27)/(Inputs!$F$27-Inputs!$D$27),Inputs!$D$27+SQRT(P167*(Inputs!$F$27-Inputs!$D$27)*(Inputs!$E$27-Inputs!$D$27)),Inputs!$F$27-SQRT((1-P167)*(Inputs!$F$27-Inputs!$D$27)*(Inputs!$F$27-Inputs!$E$27)))</f>
        <v>58.1882280407592</v>
      </c>
      <c r="R167" s="81" t="n">
        <f aca="true">RAND()</f>
        <v>0.0519850469846752</v>
      </c>
      <c r="S167" s="82" t="n">
        <f aca="false">IF(R167&lt;(Inputs!$E$29-Inputs!$D$29)/(Inputs!$F$29-Inputs!$D$29),Inputs!$D$29+SQRT(R167*(Inputs!$F$29-Inputs!$D$29)*(Inputs!$E$29-Inputs!$D$29)),Inputs!$F$29-SQRT((1-R167)*(Inputs!$F$29-Inputs!$D$29)*(Inputs!$F$29-Inputs!$E$29)))</f>
        <v>3.42387388219685</v>
      </c>
      <c r="T167" s="68" t="n">
        <f aca="false">Inputs!$E$9*(1+E167)+Inputs!$E$5*C167*(Inputs!$E$11*Inputs!$E$14*(G167*I167/Inputs!$E$16+(1-G167))*K167+Inputs!$E$23*M167)*(1+O167)+Inputs!$E$5*(Q167+S167)</f>
        <v>5803.97956263629</v>
      </c>
    </row>
    <row r="168" customFormat="false" ht="15" hidden="false" customHeight="false" outlineLevel="0" collapsed="false">
      <c r="A168" s="1" t="n">
        <v>164</v>
      </c>
      <c r="B168" s="81" t="n">
        <f aca="true">RAND()</f>
        <v>0.480707962825591</v>
      </c>
      <c r="C168" s="82" t="n">
        <f aca="false">ROUND(IF(B168&lt;(Inputs!$E$8-Inputs!$D$8)/(Inputs!$F$8-Inputs!$D$8),Inputs!$D$8+SQRT(B168*(Inputs!$F$8-Inputs!$D$8)*(Inputs!$E$8-Inputs!$D$8)),Inputs!$F$8-SQRT((1-B168)*(Inputs!$F$8-Inputs!$D$8)*(Inputs!$F$8-Inputs!$E$8))),0)</f>
        <v>25</v>
      </c>
      <c r="D168" s="81" t="n">
        <f aca="true">RAND()</f>
        <v>0.146606839103378</v>
      </c>
      <c r="E168" s="83" t="n">
        <f aca="false">IF(D168&lt;(Inputs!$E$10-Inputs!$D$10)/(Inputs!$F$10-Inputs!$D$10),Inputs!$D$10+SQRT(D168*(Inputs!$F$10-Inputs!$D$10)*(Inputs!$E$10-Inputs!$D$10)),Inputs!$F$10-SQRT((1-D168)*(Inputs!$F$10-Inputs!$D$10)*(Inputs!$F$10-Inputs!$E$10)))</f>
        <v>0.0382892725320524</v>
      </c>
      <c r="F168" s="81" t="n">
        <f aca="true">RAND()</f>
        <v>0.265720844836233</v>
      </c>
      <c r="G168" s="83" t="n">
        <f aca="false">IF(F168&lt;(Inputs!$E$15-Inputs!$D$15)/(Inputs!$F$15-Inputs!$D$15),Inputs!$D$15+SQRT(F168*(Inputs!$F$15-Inputs!$D$15)*(Inputs!$E$15-Inputs!$D$15)),Inputs!$F$15-SQRT((1-F168)*(Inputs!$F$15-Inputs!$D$15)*(Inputs!$F$15-Inputs!$E$15)))</f>
        <v>0.672900047302623</v>
      </c>
      <c r="H168" s="81" t="n">
        <f aca="true">RAND()</f>
        <v>0.33572720512091</v>
      </c>
      <c r="I168" s="82" t="n">
        <f aca="false">ROUND(IF(H168&lt;(Inputs!$E$17-Inputs!$D$17)/(Inputs!$F$17-Inputs!$D$17),Inputs!$D$17+SQRT(H168*(Inputs!$F$17-Inputs!$D$17)*(Inputs!$E$17-Inputs!$D$17)),Inputs!$F$17-SQRT((1-H168)*(Inputs!$F$17-Inputs!$D$17)*(Inputs!$F$17-Inputs!$E$17))),0)</f>
        <v>105</v>
      </c>
      <c r="J168" s="81" t="n">
        <f aca="true">RAND()</f>
        <v>0.940317328495371</v>
      </c>
      <c r="K168" s="83" t="n">
        <f aca="false">IF(J168&lt;(Inputs!$E$18-Inputs!$D$18)/(Inputs!$F$18-Inputs!$D$18),Inputs!$D$18+SQRT(J168*(Inputs!$F$18-Inputs!$D$18)*(Inputs!$E$18-Inputs!$D$18)),Inputs!$F$18-SQRT((1-J168)*(Inputs!$F$18-Inputs!$D$18)*(Inputs!$F$18-Inputs!$E$18)))</f>
        <v>1.17773497556456</v>
      </c>
      <c r="L168" s="81" t="n">
        <f aca="true">RAND()</f>
        <v>0.96992360730818</v>
      </c>
      <c r="M168" s="83" t="n">
        <f aca="false">IF(L168&lt;(Inputs!$E$24-Inputs!$D$24)/(Inputs!$F$24-Inputs!$D$24),Inputs!$D$24+SQRT(L168*(Inputs!$F$24-Inputs!$D$24)*(Inputs!$E$24-Inputs!$D$24)),Inputs!$F$24-SQRT((1-L168)*(Inputs!$F$24-Inputs!$D$24)*(Inputs!$F$24-Inputs!$E$24)))</f>
        <v>1.11503921936542</v>
      </c>
      <c r="N168" s="81" t="n">
        <f aca="true">RAND()</f>
        <v>0.213952623246103</v>
      </c>
      <c r="O168" s="83" t="n">
        <f aca="false">IF(N168&lt;(Inputs!$E$26-Inputs!$D$26)/(Inputs!$F$26-Inputs!$D$26),Inputs!$D$26+SQRT(N168*(Inputs!$F$26-Inputs!$D$26)*(Inputs!$E$26-Inputs!$D$26)),Inputs!$F$26-SQRT((1-N168)*(Inputs!$F$26-Inputs!$D$26)*(Inputs!$F$26-Inputs!$E$26)))</f>
        <v>0.488684171323807</v>
      </c>
      <c r="P168" s="81" t="n">
        <f aca="true">RAND()</f>
        <v>0.292600750876947</v>
      </c>
      <c r="Q168" s="82" t="n">
        <f aca="false">IF(P168&lt;(Inputs!$E$27-Inputs!$D$27)/(Inputs!$F$27-Inputs!$D$27),Inputs!$D$27+SQRT(P168*(Inputs!$F$27-Inputs!$D$27)*(Inputs!$E$27-Inputs!$D$27)),Inputs!$F$27-SQRT((1-P168)*(Inputs!$F$27-Inputs!$D$27)*(Inputs!$F$27-Inputs!$E$27)))</f>
        <v>77.1611754047136</v>
      </c>
      <c r="R168" s="81" t="n">
        <f aca="true">RAND()</f>
        <v>0.608448634384153</v>
      </c>
      <c r="S168" s="82" t="n">
        <f aca="false">IF(R168&lt;(Inputs!$E$29-Inputs!$D$29)/(Inputs!$F$29-Inputs!$D$29),Inputs!$D$29+SQRT(R168*(Inputs!$F$29-Inputs!$D$29)*(Inputs!$E$29-Inputs!$D$29)),Inputs!$F$29-SQRT((1-R168)*(Inputs!$F$29-Inputs!$D$29)*(Inputs!$F$29-Inputs!$E$29)))</f>
        <v>7.86545884235993</v>
      </c>
      <c r="T168" s="68" t="n">
        <f aca="false">Inputs!$E$9*(1+E168)+Inputs!$E$5*C168*(Inputs!$E$11*Inputs!$E$14*(G168*I168/Inputs!$E$16+(1-G168))*K168+Inputs!$E$23*M168)*(1+O168)+Inputs!$E$5*(Q168+S168)</f>
        <v>6582.21013720697</v>
      </c>
    </row>
    <row r="169" customFormat="false" ht="15" hidden="false" customHeight="false" outlineLevel="0" collapsed="false">
      <c r="A169" s="1" t="n">
        <v>165</v>
      </c>
      <c r="B169" s="81" t="n">
        <f aca="true">RAND()</f>
        <v>0.149339648794706</v>
      </c>
      <c r="C169" s="82" t="n">
        <f aca="false">ROUND(IF(B169&lt;(Inputs!$E$8-Inputs!$D$8)/(Inputs!$F$8-Inputs!$D$8),Inputs!$D$8+SQRT(B169*(Inputs!$F$8-Inputs!$D$8)*(Inputs!$E$8-Inputs!$D$8)),Inputs!$F$8-SQRT((1-B169)*(Inputs!$F$8-Inputs!$D$8)*(Inputs!$F$8-Inputs!$E$8))),0)</f>
        <v>23</v>
      </c>
      <c r="D169" s="81" t="n">
        <f aca="true">RAND()</f>
        <v>0.211852128633319</v>
      </c>
      <c r="E169" s="83" t="n">
        <f aca="false">IF(D169&lt;(Inputs!$E$10-Inputs!$D$10)/(Inputs!$F$10-Inputs!$D$10),Inputs!$D$10+SQRT(D169*(Inputs!$F$10-Inputs!$D$10)*(Inputs!$E$10-Inputs!$D$10)),Inputs!$F$10-SQRT((1-D169)*(Inputs!$F$10-Inputs!$D$10)*(Inputs!$F$10-Inputs!$E$10)))</f>
        <v>0.0460273971275065</v>
      </c>
      <c r="F169" s="81" t="n">
        <f aca="true">RAND()</f>
        <v>0.419539563191974</v>
      </c>
      <c r="G169" s="83" t="n">
        <f aca="false">IF(F169&lt;(Inputs!$E$15-Inputs!$D$15)/(Inputs!$F$15-Inputs!$D$15),Inputs!$D$15+SQRT(F169*(Inputs!$F$15-Inputs!$D$15)*(Inputs!$E$15-Inputs!$D$15)),Inputs!$F$15-SQRT((1-F169)*(Inputs!$F$15-Inputs!$D$15)*(Inputs!$F$15-Inputs!$E$15)))</f>
        <v>0.691601262348504</v>
      </c>
      <c r="H169" s="81" t="n">
        <f aca="true">RAND()</f>
        <v>0.759357595748649</v>
      </c>
      <c r="I169" s="82" t="n">
        <f aca="false">ROUND(IF(H169&lt;(Inputs!$E$17-Inputs!$D$17)/(Inputs!$F$17-Inputs!$D$17),Inputs!$D$17+SQRT(H169*(Inputs!$F$17-Inputs!$D$17)*(Inputs!$E$17-Inputs!$D$17)),Inputs!$F$17-SQRT((1-H169)*(Inputs!$F$17-Inputs!$D$17)*(Inputs!$F$17-Inputs!$E$17))),0)</f>
        <v>109</v>
      </c>
      <c r="J169" s="81" t="n">
        <f aca="true">RAND()</f>
        <v>0.0253040876705688</v>
      </c>
      <c r="K169" s="83" t="n">
        <f aca="false">IF(J169&lt;(Inputs!$E$18-Inputs!$D$18)/(Inputs!$F$18-Inputs!$D$18),Inputs!$D$18+SQRT(J169*(Inputs!$F$18-Inputs!$D$18)*(Inputs!$E$18-Inputs!$D$18)),Inputs!$F$18-SQRT((1-J169)*(Inputs!$F$18-Inputs!$D$18)*(Inputs!$F$18-Inputs!$E$18)))</f>
        <v>0.929759755853668</v>
      </c>
      <c r="L169" s="81" t="n">
        <f aca="true">RAND()</f>
        <v>0.0740395687811362</v>
      </c>
      <c r="M169" s="83" t="n">
        <f aca="false">IF(L169&lt;(Inputs!$E$24-Inputs!$D$24)/(Inputs!$F$24-Inputs!$D$24),Inputs!$D$24+SQRT(L169*(Inputs!$F$24-Inputs!$D$24)*(Inputs!$E$24-Inputs!$D$24)),Inputs!$F$24-SQRT((1-L169)*(Inputs!$F$24-Inputs!$D$24)*(Inputs!$F$24-Inputs!$E$24)))</f>
        <v>0.694258942566402</v>
      </c>
      <c r="N169" s="81" t="n">
        <f aca="true">RAND()</f>
        <v>0.85829158310371</v>
      </c>
      <c r="O169" s="83" t="n">
        <f aca="false">IF(N169&lt;(Inputs!$E$26-Inputs!$D$26)/(Inputs!$F$26-Inputs!$D$26),Inputs!$D$26+SQRT(N169*(Inputs!$F$26-Inputs!$D$26)*(Inputs!$E$26-Inputs!$D$26)),Inputs!$F$26-SQRT((1-N169)*(Inputs!$F$26-Inputs!$D$26)*(Inputs!$F$26-Inputs!$E$26)))</f>
        <v>0.698601172340034</v>
      </c>
      <c r="P169" s="81" t="n">
        <f aca="true">RAND()</f>
        <v>0.43252946716731</v>
      </c>
      <c r="Q169" s="82" t="n">
        <f aca="false">IF(P169&lt;(Inputs!$E$27-Inputs!$D$27)/(Inputs!$F$27-Inputs!$D$27),Inputs!$D$27+SQRT(P169*(Inputs!$F$27-Inputs!$D$27)*(Inputs!$E$27-Inputs!$D$27)),Inputs!$F$27-SQRT((1-P169)*(Inputs!$F$27-Inputs!$D$27)*(Inputs!$F$27-Inputs!$E$27)))</f>
        <v>84.7617520449455</v>
      </c>
      <c r="R169" s="81" t="n">
        <f aca="true">RAND()</f>
        <v>0.347802099512528</v>
      </c>
      <c r="S169" s="82" t="n">
        <f aca="false">IF(R169&lt;(Inputs!$E$29-Inputs!$D$29)/(Inputs!$F$29-Inputs!$D$29),Inputs!$D$29+SQRT(R169*(Inputs!$F$29-Inputs!$D$29)*(Inputs!$E$29-Inputs!$D$29)),Inputs!$F$29-SQRT((1-R169)*(Inputs!$F$29-Inputs!$D$29)*(Inputs!$F$29-Inputs!$E$29)))</f>
        <v>5.79208345697185</v>
      </c>
      <c r="T169" s="68" t="n">
        <f aca="false">Inputs!$E$9*(1+E169)+Inputs!$E$5*C169*(Inputs!$E$11*Inputs!$E$14*(G169*I169/Inputs!$E$16+(1-G169))*K169+Inputs!$E$23*M169)*(1+O169)+Inputs!$E$5*(Q169+S169)</f>
        <v>5723.60526764638</v>
      </c>
    </row>
    <row r="170" customFormat="false" ht="15" hidden="false" customHeight="false" outlineLevel="0" collapsed="false">
      <c r="A170" s="1" t="n">
        <v>166</v>
      </c>
      <c r="B170" s="81" t="n">
        <f aca="true">RAND()</f>
        <v>0.52578133689161</v>
      </c>
      <c r="C170" s="82" t="n">
        <f aca="false">ROUND(IF(B170&lt;(Inputs!$E$8-Inputs!$D$8)/(Inputs!$F$8-Inputs!$D$8),Inputs!$D$8+SQRT(B170*(Inputs!$F$8-Inputs!$D$8)*(Inputs!$E$8-Inputs!$D$8)),Inputs!$F$8-SQRT((1-B170)*(Inputs!$F$8-Inputs!$D$8)*(Inputs!$F$8-Inputs!$E$8))),0)</f>
        <v>25</v>
      </c>
      <c r="D170" s="81" t="n">
        <f aca="true">RAND()</f>
        <v>0.330511711556218</v>
      </c>
      <c r="E170" s="83" t="n">
        <f aca="false">IF(D170&lt;(Inputs!$E$10-Inputs!$D$10)/(Inputs!$F$10-Inputs!$D$10),Inputs!$D$10+SQRT(D170*(Inputs!$F$10-Inputs!$D$10)*(Inputs!$E$10-Inputs!$D$10)),Inputs!$F$10-SQRT((1-D170)*(Inputs!$F$10-Inputs!$D$10)*(Inputs!$F$10-Inputs!$E$10)))</f>
        <v>0.0582796815791276</v>
      </c>
      <c r="F170" s="81" t="n">
        <f aca="true">RAND()</f>
        <v>0.0182912984501837</v>
      </c>
      <c r="G170" s="83" t="n">
        <f aca="false">IF(F170&lt;(Inputs!$E$15-Inputs!$D$15)/(Inputs!$F$15-Inputs!$D$15),Inputs!$D$15+SQRT(F170*(Inputs!$F$15-Inputs!$D$15)*(Inputs!$E$15-Inputs!$D$15)),Inputs!$F$15-SQRT((1-F170)*(Inputs!$F$15-Inputs!$D$15)*(Inputs!$F$15-Inputs!$E$15)))</f>
        <v>0.619126577555948</v>
      </c>
      <c r="H170" s="81" t="n">
        <f aca="true">RAND()</f>
        <v>0.770392550803237</v>
      </c>
      <c r="I170" s="82" t="n">
        <f aca="false">ROUND(IF(H170&lt;(Inputs!$E$17-Inputs!$D$17)/(Inputs!$F$17-Inputs!$D$17),Inputs!$D$17+SQRT(H170*(Inputs!$F$17-Inputs!$D$17)*(Inputs!$E$17-Inputs!$D$17)),Inputs!$F$17-SQRT((1-H170)*(Inputs!$F$17-Inputs!$D$17)*(Inputs!$F$17-Inputs!$E$17))),0)</f>
        <v>109</v>
      </c>
      <c r="J170" s="81" t="n">
        <f aca="true">RAND()</f>
        <v>0.357078185657028</v>
      </c>
      <c r="K170" s="83" t="n">
        <f aca="false">IF(J170&lt;(Inputs!$E$18-Inputs!$D$18)/(Inputs!$F$18-Inputs!$D$18),Inputs!$D$18+SQRT(J170*(Inputs!$F$18-Inputs!$D$18)*(Inputs!$E$18-Inputs!$D$18)),Inputs!$F$18-SQRT((1-J170)*(Inputs!$F$18-Inputs!$D$18)*(Inputs!$F$18-Inputs!$E$18)))</f>
        <v>1.01281724608435</v>
      </c>
      <c r="L170" s="81" t="n">
        <f aca="true">RAND()</f>
        <v>0.404988825743154</v>
      </c>
      <c r="M170" s="83" t="n">
        <f aca="false">IF(L170&lt;(Inputs!$E$24-Inputs!$D$24)/(Inputs!$F$24-Inputs!$D$24),Inputs!$D$24+SQRT(L170*(Inputs!$F$24-Inputs!$D$24)*(Inputs!$E$24-Inputs!$D$24)),Inputs!$F$24-SQRT((1-L170)*(Inputs!$F$24-Inputs!$D$24)*(Inputs!$F$24-Inputs!$E$24)))</f>
        <v>0.822107579036516</v>
      </c>
      <c r="N170" s="81" t="n">
        <f aca="true">RAND()</f>
        <v>0.56823674442992</v>
      </c>
      <c r="O170" s="83" t="n">
        <f aca="false">IF(N170&lt;(Inputs!$E$26-Inputs!$D$26)/(Inputs!$F$26-Inputs!$D$26),Inputs!$D$26+SQRT(N170*(Inputs!$F$26-Inputs!$D$26)*(Inputs!$E$26-Inputs!$D$26)),Inputs!$F$26-SQRT((1-N170)*(Inputs!$F$26-Inputs!$D$26)*(Inputs!$F$26-Inputs!$E$26)))</f>
        <v>0.607497307749415</v>
      </c>
      <c r="P170" s="81" t="n">
        <f aca="true">RAND()</f>
        <v>0.287993469223485</v>
      </c>
      <c r="Q170" s="82" t="n">
        <f aca="false">IF(P170&lt;(Inputs!$E$27-Inputs!$D$27)/(Inputs!$F$27-Inputs!$D$27),Inputs!$D$27+SQRT(P170*(Inputs!$F$27-Inputs!$D$27)*(Inputs!$E$27-Inputs!$D$27)),Inputs!$F$27-SQRT((1-P170)*(Inputs!$F$27-Inputs!$D$27)*(Inputs!$F$27-Inputs!$E$27)))</f>
        <v>76.9243612356083</v>
      </c>
      <c r="R170" s="81" t="n">
        <f aca="true">RAND()</f>
        <v>0.661876886694689</v>
      </c>
      <c r="S170" s="82" t="n">
        <f aca="false">IF(R170&lt;(Inputs!$E$29-Inputs!$D$29)/(Inputs!$F$29-Inputs!$D$29),Inputs!$D$29+SQRT(R170*(Inputs!$F$29-Inputs!$D$29)*(Inputs!$E$29-Inputs!$D$29)),Inputs!$F$29-SQRT((1-R170)*(Inputs!$F$29-Inputs!$D$29)*(Inputs!$F$29-Inputs!$E$29)))</f>
        <v>8.37006751695838</v>
      </c>
      <c r="T170" s="68" t="n">
        <f aca="false">Inputs!$E$9*(1+E170)+Inputs!$E$5*C170*(Inputs!$E$11*Inputs!$E$14*(G170*I170/Inputs!$E$16+(1-G170))*K170+Inputs!$E$23*M170)*(1+O170)+Inputs!$E$5*(Q170+S170)</f>
        <v>6269.89009965715</v>
      </c>
    </row>
    <row r="171" customFormat="false" ht="15" hidden="false" customHeight="false" outlineLevel="0" collapsed="false">
      <c r="A171" s="1" t="n">
        <v>167</v>
      </c>
      <c r="B171" s="81" t="n">
        <f aca="true">RAND()</f>
        <v>0.0701272564718585</v>
      </c>
      <c r="C171" s="82" t="n">
        <f aca="false">ROUND(IF(B171&lt;(Inputs!$E$8-Inputs!$D$8)/(Inputs!$F$8-Inputs!$D$8),Inputs!$D$8+SQRT(B171*(Inputs!$F$8-Inputs!$D$8)*(Inputs!$E$8-Inputs!$D$8)),Inputs!$F$8-SQRT((1-B171)*(Inputs!$F$8-Inputs!$D$8)*(Inputs!$F$8-Inputs!$E$8))),0)</f>
        <v>22</v>
      </c>
      <c r="D171" s="81" t="n">
        <f aca="true">RAND()</f>
        <v>0.309954561111234</v>
      </c>
      <c r="E171" s="83" t="n">
        <f aca="false">IF(D171&lt;(Inputs!$E$10-Inputs!$D$10)/(Inputs!$F$10-Inputs!$D$10),Inputs!$D$10+SQRT(D171*(Inputs!$F$10-Inputs!$D$10)*(Inputs!$E$10-Inputs!$D$10)),Inputs!$F$10-SQRT((1-D171)*(Inputs!$F$10-Inputs!$D$10)*(Inputs!$F$10-Inputs!$E$10)))</f>
        <v>0.056120317046975</v>
      </c>
      <c r="F171" s="81" t="n">
        <f aca="true">RAND()</f>
        <v>0.486097321027979</v>
      </c>
      <c r="G171" s="83" t="n">
        <f aca="false">IF(F171&lt;(Inputs!$E$15-Inputs!$D$15)/(Inputs!$F$15-Inputs!$D$15),Inputs!$D$15+SQRT(F171*(Inputs!$F$15-Inputs!$D$15)*(Inputs!$E$15-Inputs!$D$15)),Inputs!$F$15-SQRT((1-F171)*(Inputs!$F$15-Inputs!$D$15)*(Inputs!$F$15-Inputs!$E$15)))</f>
        <v>0.698599931138716</v>
      </c>
      <c r="H171" s="81" t="n">
        <f aca="true">RAND()</f>
        <v>0.00416192461412952</v>
      </c>
      <c r="I171" s="82" t="n">
        <f aca="false">ROUND(IF(H171&lt;(Inputs!$E$17-Inputs!$D$17)/(Inputs!$F$17-Inputs!$D$17),Inputs!$D$17+SQRT(H171*(Inputs!$F$17-Inputs!$D$17)*(Inputs!$E$17-Inputs!$D$17)),Inputs!$F$17-SQRT((1-H171)*(Inputs!$F$17-Inputs!$D$17)*(Inputs!$F$17-Inputs!$E$17))),0)</f>
        <v>101</v>
      </c>
      <c r="J171" s="81" t="n">
        <f aca="true">RAND()</f>
        <v>0.252529483881005</v>
      </c>
      <c r="K171" s="83" t="n">
        <f aca="false">IF(J171&lt;(Inputs!$E$18-Inputs!$D$18)/(Inputs!$F$18-Inputs!$D$18),Inputs!$D$18+SQRT(J171*(Inputs!$F$18-Inputs!$D$18)*(Inputs!$E$18-Inputs!$D$18)),Inputs!$F$18-SQRT((1-J171)*(Inputs!$F$18-Inputs!$D$18)*(Inputs!$F$18-Inputs!$E$18)))</f>
        <v>0.994013466779155</v>
      </c>
      <c r="L171" s="81" t="n">
        <f aca="true">RAND()</f>
        <v>0.328698074255882</v>
      </c>
      <c r="M171" s="83" t="n">
        <f aca="false">IF(L171&lt;(Inputs!$E$24-Inputs!$D$24)/(Inputs!$F$24-Inputs!$D$24),Inputs!$D$24+SQRT(L171*(Inputs!$F$24-Inputs!$D$24)*(Inputs!$E$24-Inputs!$D$24)),Inputs!$F$24-SQRT((1-L171)*(Inputs!$F$24-Inputs!$D$24)*(Inputs!$F$24-Inputs!$E$24)))</f>
        <v>0.798604554103641</v>
      </c>
      <c r="N171" s="81" t="n">
        <f aca="true">RAND()</f>
        <v>0.800279296992749</v>
      </c>
      <c r="O171" s="83" t="n">
        <f aca="false">IF(N171&lt;(Inputs!$E$26-Inputs!$D$26)/(Inputs!$F$26-Inputs!$D$26),Inputs!$D$26+SQRT(N171*(Inputs!$F$26-Inputs!$D$26)*(Inputs!$E$26-Inputs!$D$26)),Inputs!$F$26-SQRT((1-N171)*(Inputs!$F$26-Inputs!$D$26)*(Inputs!$F$26-Inputs!$E$26)))</f>
        <v>0.675878686126048</v>
      </c>
      <c r="P171" s="81" t="n">
        <f aca="true">RAND()</f>
        <v>0.570723052248894</v>
      </c>
      <c r="Q171" s="82" t="n">
        <f aca="false">IF(P171&lt;(Inputs!$E$27-Inputs!$D$27)/(Inputs!$F$27-Inputs!$D$27),Inputs!$D$27+SQRT(P171*(Inputs!$F$27-Inputs!$D$27)*(Inputs!$E$27-Inputs!$D$27)),Inputs!$F$27-SQRT((1-P171)*(Inputs!$F$27-Inputs!$D$27)*(Inputs!$F$27-Inputs!$E$27)))</f>
        <v>93.2586825308639</v>
      </c>
      <c r="R171" s="81" t="n">
        <f aca="true">RAND()</f>
        <v>0.257947064157972</v>
      </c>
      <c r="S171" s="82" t="n">
        <f aca="false">IF(R171&lt;(Inputs!$E$29-Inputs!$D$29)/(Inputs!$F$29-Inputs!$D$29),Inputs!$D$29+SQRT(R171*(Inputs!$F$29-Inputs!$D$29)*(Inputs!$E$29-Inputs!$D$29)),Inputs!$F$29-SQRT((1-R171)*(Inputs!$F$29-Inputs!$D$29)*(Inputs!$F$29-Inputs!$E$29)))</f>
        <v>5.17824447160979</v>
      </c>
      <c r="T171" s="68" t="n">
        <f aca="false">Inputs!$E$9*(1+E171)+Inputs!$E$5*C171*(Inputs!$E$11*Inputs!$E$14*(G171*I171/Inputs!$E$16+(1-G171))*K171+Inputs!$E$23*M171)*(1+O171)+Inputs!$E$5*(Q171+S171)</f>
        <v>5792.50087049186</v>
      </c>
    </row>
    <row r="172" customFormat="false" ht="15" hidden="false" customHeight="false" outlineLevel="0" collapsed="false">
      <c r="A172" s="1" t="n">
        <v>168</v>
      </c>
      <c r="B172" s="81" t="n">
        <f aca="true">RAND()</f>
        <v>0.808900823658068</v>
      </c>
      <c r="C172" s="82" t="n">
        <f aca="false">ROUND(IF(B172&lt;(Inputs!$E$8-Inputs!$D$8)/(Inputs!$F$8-Inputs!$D$8),Inputs!$D$8+SQRT(B172*(Inputs!$F$8-Inputs!$D$8)*(Inputs!$E$8-Inputs!$D$8)),Inputs!$F$8-SQRT((1-B172)*(Inputs!$F$8-Inputs!$D$8)*(Inputs!$F$8-Inputs!$E$8))),0)</f>
        <v>27</v>
      </c>
      <c r="D172" s="81" t="n">
        <f aca="true">RAND()</f>
        <v>0.356837372538563</v>
      </c>
      <c r="E172" s="83" t="n">
        <f aca="false">IF(D172&lt;(Inputs!$E$10-Inputs!$D$10)/(Inputs!$F$10-Inputs!$D$10),Inputs!$D$10+SQRT(D172*(Inputs!$F$10-Inputs!$D$10)*(Inputs!$E$10-Inputs!$D$10)),Inputs!$F$10-SQRT((1-D172)*(Inputs!$F$10-Inputs!$D$10)*(Inputs!$F$10-Inputs!$E$10)))</f>
        <v>0.0610939928446466</v>
      </c>
      <c r="F172" s="81" t="n">
        <f aca="true">RAND()</f>
        <v>0.458716273532692</v>
      </c>
      <c r="G172" s="83" t="n">
        <f aca="false">IF(F172&lt;(Inputs!$E$15-Inputs!$D$15)/(Inputs!$F$15-Inputs!$D$15),Inputs!$D$15+SQRT(F172*(Inputs!$F$15-Inputs!$D$15)*(Inputs!$E$15-Inputs!$D$15)),Inputs!$F$15-SQRT((1-F172)*(Inputs!$F$15-Inputs!$D$15)*(Inputs!$F$15-Inputs!$E$15)))</f>
        <v>0.695782699224097</v>
      </c>
      <c r="H172" s="81" t="n">
        <f aca="true">RAND()</f>
        <v>0.879148021217385</v>
      </c>
      <c r="I172" s="82" t="n">
        <f aca="false">ROUND(IF(H172&lt;(Inputs!$E$17-Inputs!$D$17)/(Inputs!$F$17-Inputs!$D$17),Inputs!$D$17+SQRT(H172*(Inputs!$F$17-Inputs!$D$17)*(Inputs!$E$17-Inputs!$D$17)),Inputs!$F$17-SQRT((1-H172)*(Inputs!$F$17-Inputs!$D$17)*(Inputs!$F$17-Inputs!$E$17))),0)</f>
        <v>111</v>
      </c>
      <c r="J172" s="81" t="n">
        <f aca="true">RAND()</f>
        <v>0.277628074728413</v>
      </c>
      <c r="K172" s="83" t="n">
        <f aca="false">IF(J172&lt;(Inputs!$E$18-Inputs!$D$18)/(Inputs!$F$18-Inputs!$D$18),Inputs!$D$18+SQRT(J172*(Inputs!$F$18-Inputs!$D$18)*(Inputs!$E$18-Inputs!$D$18)),Inputs!$F$18-SQRT((1-J172)*(Inputs!$F$18-Inputs!$D$18)*(Inputs!$F$18-Inputs!$E$18)))</f>
        <v>0.998574756482045</v>
      </c>
      <c r="L172" s="81" t="n">
        <f aca="true">RAND()</f>
        <v>0.54107042023846</v>
      </c>
      <c r="M172" s="83" t="n">
        <f aca="false">IF(L172&lt;(Inputs!$E$24-Inputs!$D$24)/(Inputs!$F$24-Inputs!$D$24),Inputs!$D$24+SQRT(L172*(Inputs!$F$24-Inputs!$D$24)*(Inputs!$E$24-Inputs!$D$24)),Inputs!$F$24-SQRT((1-L172)*(Inputs!$F$24-Inputs!$D$24)*(Inputs!$F$24-Inputs!$E$24)))</f>
        <v>0.868121861005023</v>
      </c>
      <c r="N172" s="81" t="n">
        <f aca="true">RAND()</f>
        <v>0.232849239952412</v>
      </c>
      <c r="O172" s="83" t="n">
        <f aca="false">IF(N172&lt;(Inputs!$E$26-Inputs!$D$26)/(Inputs!$F$26-Inputs!$D$26),Inputs!$D$26+SQRT(N172*(Inputs!$F$26-Inputs!$D$26)*(Inputs!$E$26-Inputs!$D$26)),Inputs!$F$26-SQRT((1-N172)*(Inputs!$F$26-Inputs!$D$26)*(Inputs!$F$26-Inputs!$E$26)))</f>
        <v>0.496840324954216</v>
      </c>
      <c r="P172" s="81" t="n">
        <f aca="true">RAND()</f>
        <v>0.968739839507225</v>
      </c>
      <c r="Q172" s="82" t="n">
        <f aca="false">IF(P172&lt;(Inputs!$E$27-Inputs!$D$27)/(Inputs!$F$27-Inputs!$D$27),Inputs!$D$27+SQRT(P172*(Inputs!$F$27-Inputs!$D$27)*(Inputs!$E$27-Inputs!$D$27)),Inputs!$F$27-SQRT((1-P172)*(Inputs!$F$27-Inputs!$D$27)*(Inputs!$F$27-Inputs!$E$27)))</f>
        <v>134.688200507588</v>
      </c>
      <c r="R172" s="81" t="n">
        <f aca="true">RAND()</f>
        <v>0.399475114427019</v>
      </c>
      <c r="S172" s="82" t="n">
        <f aca="false">IF(R172&lt;(Inputs!$E$29-Inputs!$D$29)/(Inputs!$F$29-Inputs!$D$29),Inputs!$D$29+SQRT(R172*(Inputs!$F$29-Inputs!$D$29)*(Inputs!$E$29-Inputs!$D$29)),Inputs!$F$29-SQRT((1-R172)*(Inputs!$F$29-Inputs!$D$29)*(Inputs!$F$29-Inputs!$E$29)))</f>
        <v>6.16437692494256</v>
      </c>
      <c r="T172" s="68" t="n">
        <f aca="false">Inputs!$E$9*(1+E172)+Inputs!$E$5*C172*(Inputs!$E$11*Inputs!$E$14*(G172*I172/Inputs!$E$16+(1-G172))*K172+Inputs!$E$23*M172)*(1+O172)+Inputs!$E$5*(Q172+S172)</f>
        <v>6532.4996893393</v>
      </c>
    </row>
    <row r="173" customFormat="false" ht="15" hidden="false" customHeight="false" outlineLevel="0" collapsed="false">
      <c r="A173" s="1" t="n">
        <v>169</v>
      </c>
      <c r="B173" s="81" t="n">
        <f aca="true">RAND()</f>
        <v>0.19411210510544</v>
      </c>
      <c r="C173" s="82" t="n">
        <f aca="false">ROUND(IF(B173&lt;(Inputs!$E$8-Inputs!$D$8)/(Inputs!$F$8-Inputs!$D$8),Inputs!$D$8+SQRT(B173*(Inputs!$F$8-Inputs!$D$8)*(Inputs!$E$8-Inputs!$D$8)),Inputs!$F$8-SQRT((1-B173)*(Inputs!$F$8-Inputs!$D$8)*(Inputs!$F$8-Inputs!$E$8))),0)</f>
        <v>23</v>
      </c>
      <c r="D173" s="81" t="n">
        <f aca="true">RAND()</f>
        <v>0.255115234971208</v>
      </c>
      <c r="E173" s="83" t="n">
        <f aca="false">IF(D173&lt;(Inputs!$E$10-Inputs!$D$10)/(Inputs!$F$10-Inputs!$D$10),Inputs!$D$10+SQRT(D173*(Inputs!$F$10-Inputs!$D$10)*(Inputs!$E$10-Inputs!$D$10)),Inputs!$F$10-SQRT((1-D173)*(Inputs!$F$10-Inputs!$D$10)*(Inputs!$F$10-Inputs!$E$10)))</f>
        <v>0.0505123986717836</v>
      </c>
      <c r="F173" s="81" t="n">
        <f aca="true">RAND()</f>
        <v>0.725341528992859</v>
      </c>
      <c r="G173" s="83" t="n">
        <f aca="false">IF(F173&lt;(Inputs!$E$15-Inputs!$D$15)/(Inputs!$F$15-Inputs!$D$15),Inputs!$D$15+SQRT(F173*(Inputs!$F$15-Inputs!$D$15)*(Inputs!$E$15-Inputs!$D$15)),Inputs!$F$15-SQRT((1-F173)*(Inputs!$F$15-Inputs!$D$15)*(Inputs!$F$15-Inputs!$E$15)))</f>
        <v>0.725884081196124</v>
      </c>
      <c r="H173" s="81" t="n">
        <f aca="true">RAND()</f>
        <v>0.809295520433208</v>
      </c>
      <c r="I173" s="82" t="n">
        <f aca="false">ROUND(IF(H173&lt;(Inputs!$E$17-Inputs!$D$17)/(Inputs!$F$17-Inputs!$D$17),Inputs!$D$17+SQRT(H173*(Inputs!$F$17-Inputs!$D$17)*(Inputs!$E$17-Inputs!$D$17)),Inputs!$F$17-SQRT((1-H173)*(Inputs!$F$17-Inputs!$D$17)*(Inputs!$F$17-Inputs!$E$17))),0)</f>
        <v>110</v>
      </c>
      <c r="J173" s="81" t="n">
        <f aca="true">RAND()</f>
        <v>0.572173270395407</v>
      </c>
      <c r="K173" s="83" t="n">
        <f aca="false">IF(J173&lt;(Inputs!$E$18-Inputs!$D$18)/(Inputs!$F$18-Inputs!$D$18),Inputs!$D$18+SQRT(J173*(Inputs!$F$18-Inputs!$D$18)*(Inputs!$E$18-Inputs!$D$18)),Inputs!$F$18-SQRT((1-J173)*(Inputs!$F$18-Inputs!$D$18)*(Inputs!$F$18-Inputs!$E$18)))</f>
        <v>1.05651915123092</v>
      </c>
      <c r="L173" s="81" t="n">
        <f aca="true">RAND()</f>
        <v>0.774196130261381</v>
      </c>
      <c r="M173" s="83" t="n">
        <f aca="false">IF(L173&lt;(Inputs!$E$24-Inputs!$D$24)/(Inputs!$F$24-Inputs!$D$24),Inputs!$D$24+SQRT(L173*(Inputs!$F$24-Inputs!$D$24)*(Inputs!$E$24-Inputs!$D$24)),Inputs!$F$24-SQRT((1-L173)*(Inputs!$F$24-Inputs!$D$24)*(Inputs!$F$24-Inputs!$E$24)))</f>
        <v>0.967206252796025</v>
      </c>
      <c r="N173" s="81" t="n">
        <f aca="true">RAND()</f>
        <v>0.637901471716544</v>
      </c>
      <c r="O173" s="83" t="n">
        <f aca="false">IF(N173&lt;(Inputs!$E$26-Inputs!$D$26)/(Inputs!$F$26-Inputs!$D$26),Inputs!$D$26+SQRT(N173*(Inputs!$F$26-Inputs!$D$26)*(Inputs!$E$26-Inputs!$D$26)),Inputs!$F$26-SQRT((1-N173)*(Inputs!$F$26-Inputs!$D$26)*(Inputs!$F$26-Inputs!$E$26)))</f>
        <v>0.625942670992618</v>
      </c>
      <c r="P173" s="81" t="n">
        <f aca="true">RAND()</f>
        <v>0.676675929203195</v>
      </c>
      <c r="Q173" s="82" t="n">
        <f aca="false">IF(P173&lt;(Inputs!$E$27-Inputs!$D$27)/(Inputs!$F$27-Inputs!$D$27),Inputs!$D$27+SQRT(P173*(Inputs!$F$27-Inputs!$D$27)*(Inputs!$E$27-Inputs!$D$27)),Inputs!$F$27-SQRT((1-P173)*(Inputs!$F$27-Inputs!$D$27)*(Inputs!$F$27-Inputs!$E$27)))</f>
        <v>100.756416347142</v>
      </c>
      <c r="R173" s="81" t="n">
        <f aca="true">RAND()</f>
        <v>0.606188568580481</v>
      </c>
      <c r="S173" s="82" t="n">
        <f aca="false">IF(R173&lt;(Inputs!$E$29-Inputs!$D$29)/(Inputs!$F$29-Inputs!$D$29),Inputs!$D$29+SQRT(R173*(Inputs!$F$29-Inputs!$D$29)*(Inputs!$E$29-Inputs!$D$29)),Inputs!$F$29-SQRT((1-R173)*(Inputs!$F$29-Inputs!$D$29)*(Inputs!$F$29-Inputs!$E$29)))</f>
        <v>7.84489789838486</v>
      </c>
      <c r="T173" s="68" t="n">
        <f aca="false">Inputs!$E$9*(1+E173)+Inputs!$E$5*C173*(Inputs!$E$11*Inputs!$E$14*(G173*I173/Inputs!$E$16+(1-G173))*K173+Inputs!$E$23*M173)*(1+O173)+Inputs!$E$5*(Q173+S173)</f>
        <v>6291.02233156389</v>
      </c>
    </row>
    <row r="174" customFormat="false" ht="15" hidden="false" customHeight="false" outlineLevel="0" collapsed="false">
      <c r="A174" s="1" t="n">
        <v>170</v>
      </c>
      <c r="B174" s="81" t="n">
        <f aca="true">RAND()</f>
        <v>0.359750872834786</v>
      </c>
      <c r="C174" s="82" t="n">
        <f aca="false">ROUND(IF(B174&lt;(Inputs!$E$8-Inputs!$D$8)/(Inputs!$F$8-Inputs!$D$8),Inputs!$D$8+SQRT(B174*(Inputs!$F$8-Inputs!$D$8)*(Inputs!$E$8-Inputs!$D$8)),Inputs!$F$8-SQRT((1-B174)*(Inputs!$F$8-Inputs!$D$8)*(Inputs!$F$8-Inputs!$E$8))),0)</f>
        <v>24</v>
      </c>
      <c r="D174" s="81" t="n">
        <f aca="true">RAND()</f>
        <v>0.0439448971912525</v>
      </c>
      <c r="E174" s="83" t="n">
        <f aca="false">IF(D174&lt;(Inputs!$E$10-Inputs!$D$10)/(Inputs!$F$10-Inputs!$D$10),Inputs!$D$10+SQRT(D174*(Inputs!$F$10-Inputs!$D$10)*(Inputs!$E$10-Inputs!$D$10)),Inputs!$F$10-SQRT((1-D174)*(Inputs!$F$10-Inputs!$D$10)*(Inputs!$F$10-Inputs!$E$10)))</f>
        <v>0.0209630382319101</v>
      </c>
      <c r="F174" s="81" t="n">
        <f aca="true">RAND()</f>
        <v>0.414117600781481</v>
      </c>
      <c r="G174" s="83" t="n">
        <f aca="false">IF(F174&lt;(Inputs!$E$15-Inputs!$D$15)/(Inputs!$F$15-Inputs!$D$15),Inputs!$D$15+SQRT(F174*(Inputs!$F$15-Inputs!$D$15)*(Inputs!$E$15-Inputs!$D$15)),Inputs!$F$15-SQRT((1-F174)*(Inputs!$F$15-Inputs!$D$15)*(Inputs!$F$15-Inputs!$E$15)))</f>
        <v>0.691007428354116</v>
      </c>
      <c r="H174" s="81" t="n">
        <f aca="true">RAND()</f>
        <v>0.477217714996976</v>
      </c>
      <c r="I174" s="82" t="n">
        <f aca="false">ROUND(IF(H174&lt;(Inputs!$E$17-Inputs!$D$17)/(Inputs!$F$17-Inputs!$D$17),Inputs!$D$17+SQRT(H174*(Inputs!$F$17-Inputs!$D$17)*(Inputs!$E$17-Inputs!$D$17)),Inputs!$F$17-SQRT((1-H174)*(Inputs!$F$17-Inputs!$D$17)*(Inputs!$F$17-Inputs!$E$17))),0)</f>
        <v>106</v>
      </c>
      <c r="J174" s="81" t="n">
        <f aca="true">RAND()</f>
        <v>0.94532611394353</v>
      </c>
      <c r="K174" s="83" t="n">
        <f aca="false">IF(J174&lt;(Inputs!$E$18-Inputs!$D$18)/(Inputs!$F$18-Inputs!$D$18),Inputs!$D$18+SQRT(J174*(Inputs!$F$18-Inputs!$D$18)*(Inputs!$E$18-Inputs!$D$18)),Inputs!$F$18-SQRT((1-J174)*(Inputs!$F$18-Inputs!$D$18)*(Inputs!$F$18-Inputs!$E$18)))</f>
        <v>1.18083378693364</v>
      </c>
      <c r="L174" s="81" t="n">
        <f aca="true">RAND()</f>
        <v>0.712523830614843</v>
      </c>
      <c r="M174" s="83" t="n">
        <f aca="false">IF(L174&lt;(Inputs!$E$24-Inputs!$D$24)/(Inputs!$F$24-Inputs!$D$24),Inputs!$D$24+SQRT(L174*(Inputs!$F$24-Inputs!$D$24)*(Inputs!$E$24-Inputs!$D$24)),Inputs!$F$24-SQRT((1-L174)*(Inputs!$F$24-Inputs!$D$24)*(Inputs!$F$24-Inputs!$E$24)))</f>
        <v>0.93733237608636</v>
      </c>
      <c r="N174" s="81" t="n">
        <f aca="true">RAND()</f>
        <v>0.382892115274527</v>
      </c>
      <c r="O174" s="83" t="n">
        <f aca="false">IF(N174&lt;(Inputs!$E$26-Inputs!$D$26)/(Inputs!$F$26-Inputs!$D$26),Inputs!$D$26+SQRT(N174*(Inputs!$F$26-Inputs!$D$26)*(Inputs!$E$26-Inputs!$D$26)),Inputs!$F$26-SQRT((1-N174)*(Inputs!$F$26-Inputs!$D$26)*(Inputs!$F$26-Inputs!$E$26)))</f>
        <v>0.552414833125316</v>
      </c>
      <c r="P174" s="81" t="n">
        <f aca="true">RAND()</f>
        <v>0.114133122964609</v>
      </c>
      <c r="Q174" s="82" t="n">
        <f aca="false">IF(P174&lt;(Inputs!$E$27-Inputs!$D$27)/(Inputs!$F$27-Inputs!$D$27),Inputs!$D$27+SQRT(P174*(Inputs!$F$27-Inputs!$D$27)*(Inputs!$E$27-Inputs!$D$27)),Inputs!$F$27-SQRT((1-P174)*(Inputs!$F$27-Inputs!$D$27)*(Inputs!$F$27-Inputs!$E$27)))</f>
        <v>66.8917970450607</v>
      </c>
      <c r="R174" s="81" t="n">
        <f aca="true">RAND()</f>
        <v>0.801200161241519</v>
      </c>
      <c r="S174" s="82" t="n">
        <f aca="false">IF(R174&lt;(Inputs!$E$29-Inputs!$D$29)/(Inputs!$F$29-Inputs!$D$29),Inputs!$D$29+SQRT(R174*(Inputs!$F$29-Inputs!$D$29)*(Inputs!$E$29-Inputs!$D$29)),Inputs!$F$29-SQRT((1-R174)*(Inputs!$F$29-Inputs!$D$29)*(Inputs!$F$29-Inputs!$E$29)))</f>
        <v>9.91630262126054</v>
      </c>
      <c r="T174" s="68" t="n">
        <f aca="false">Inputs!$E$9*(1+E174)+Inputs!$E$5*C174*(Inputs!$E$11*Inputs!$E$14*(G174*I174/Inputs!$E$16+(1-G174))*K174+Inputs!$E$23*M174)*(1+O174)+Inputs!$E$5*(Q174+S174)</f>
        <v>6263.63175427001</v>
      </c>
    </row>
    <row r="175" customFormat="false" ht="15" hidden="false" customHeight="false" outlineLevel="0" collapsed="false">
      <c r="A175" s="1" t="n">
        <v>171</v>
      </c>
      <c r="B175" s="81" t="n">
        <f aca="true">RAND()</f>
        <v>0.581818920218698</v>
      </c>
      <c r="C175" s="82" t="n">
        <f aca="false">ROUND(IF(B175&lt;(Inputs!$E$8-Inputs!$D$8)/(Inputs!$F$8-Inputs!$D$8),Inputs!$D$8+SQRT(B175*(Inputs!$F$8-Inputs!$D$8)*(Inputs!$E$8-Inputs!$D$8)),Inputs!$F$8-SQRT((1-B175)*(Inputs!$F$8-Inputs!$D$8)*(Inputs!$F$8-Inputs!$E$8))),0)</f>
        <v>25</v>
      </c>
      <c r="D175" s="81" t="n">
        <f aca="true">RAND()</f>
        <v>0.707680001539667</v>
      </c>
      <c r="E175" s="83" t="n">
        <f aca="false">IF(D175&lt;(Inputs!$E$10-Inputs!$D$10)/(Inputs!$F$10-Inputs!$D$10),Inputs!$D$10+SQRT(D175*(Inputs!$F$10-Inputs!$D$10)*(Inputs!$E$10-Inputs!$D$10)),Inputs!$F$10-SQRT((1-D175)*(Inputs!$F$10-Inputs!$D$10)*(Inputs!$F$10-Inputs!$E$10)))</f>
        <v>0.106353857774012</v>
      </c>
      <c r="F175" s="81" t="n">
        <f aca="true">RAND()</f>
        <v>0.952345007338588</v>
      </c>
      <c r="G175" s="83" t="n">
        <f aca="false">IF(F175&lt;(Inputs!$E$15-Inputs!$D$15)/(Inputs!$F$15-Inputs!$D$15),Inputs!$D$15+SQRT(F175*(Inputs!$F$15-Inputs!$D$15)*(Inputs!$E$15-Inputs!$D$15)),Inputs!$F$15-SQRT((1-F175)*(Inputs!$F$15-Inputs!$D$15)*(Inputs!$F$15-Inputs!$E$15)))</f>
        <v>0.769127684679826</v>
      </c>
      <c r="H175" s="81" t="n">
        <f aca="true">RAND()</f>
        <v>0.132662574941112</v>
      </c>
      <c r="I175" s="82" t="n">
        <f aca="false">ROUND(IF(H175&lt;(Inputs!$E$17-Inputs!$D$17)/(Inputs!$F$17-Inputs!$D$17),Inputs!$D$17+SQRT(H175*(Inputs!$F$17-Inputs!$D$17)*(Inputs!$E$17-Inputs!$D$17)),Inputs!$F$17-SQRT((1-H175)*(Inputs!$F$17-Inputs!$D$17)*(Inputs!$F$17-Inputs!$E$17))),0)</f>
        <v>103</v>
      </c>
      <c r="J175" s="81" t="n">
        <f aca="true">RAND()</f>
        <v>0.0972638097435141</v>
      </c>
      <c r="K175" s="83" t="n">
        <f aca="false">IF(J175&lt;(Inputs!$E$18-Inputs!$D$18)/(Inputs!$F$18-Inputs!$D$18),Inputs!$D$18+SQRT(J175*(Inputs!$F$18-Inputs!$D$18)*(Inputs!$E$18-Inputs!$D$18)),Inputs!$F$18-SQRT((1-J175)*(Inputs!$F$18-Inputs!$D$18)*(Inputs!$F$18-Inputs!$E$18)))</f>
        <v>0.958345808255804</v>
      </c>
      <c r="L175" s="81" t="n">
        <f aca="true">RAND()</f>
        <v>0.619468967816647</v>
      </c>
      <c r="M175" s="83" t="n">
        <f aca="false">IF(L175&lt;(Inputs!$E$24-Inputs!$D$24)/(Inputs!$F$24-Inputs!$D$24),Inputs!$D$24+SQRT(L175*(Inputs!$F$24-Inputs!$D$24)*(Inputs!$E$24-Inputs!$D$24)),Inputs!$F$24-SQRT((1-L175)*(Inputs!$F$24-Inputs!$D$24)*(Inputs!$F$24-Inputs!$E$24)))</f>
        <v>0.897795685464279</v>
      </c>
      <c r="N175" s="81" t="n">
        <f aca="true">RAND()</f>
        <v>0.105276142891299</v>
      </c>
      <c r="O175" s="83" t="n">
        <f aca="false">IF(N175&lt;(Inputs!$E$26-Inputs!$D$26)/(Inputs!$F$26-Inputs!$D$26),Inputs!$D$26+SQRT(N175*(Inputs!$F$26-Inputs!$D$26)*(Inputs!$E$26-Inputs!$D$26)),Inputs!$F$26-SQRT((1-N175)*(Inputs!$F$26-Inputs!$D$26)*(Inputs!$F$26-Inputs!$E$26)))</f>
        <v>0.43235539345683</v>
      </c>
      <c r="P175" s="81" t="n">
        <f aca="true">RAND()</f>
        <v>0.303898097031214</v>
      </c>
      <c r="Q175" s="82" t="n">
        <f aca="false">IF(P175&lt;(Inputs!$E$27-Inputs!$D$27)/(Inputs!$F$27-Inputs!$D$27),Inputs!$D$27+SQRT(P175*(Inputs!$F$27-Inputs!$D$27)*(Inputs!$E$27-Inputs!$D$27)),Inputs!$F$27-SQRT((1-P175)*(Inputs!$F$27-Inputs!$D$27)*(Inputs!$F$27-Inputs!$E$27)))</f>
        <v>77.7451436077415</v>
      </c>
      <c r="R175" s="81" t="n">
        <f aca="true">RAND()</f>
        <v>0.419686554413181</v>
      </c>
      <c r="S175" s="82" t="n">
        <f aca="false">IF(R175&lt;(Inputs!$E$29-Inputs!$D$29)/(Inputs!$F$29-Inputs!$D$29),Inputs!$D$29+SQRT(R175*(Inputs!$F$29-Inputs!$D$29)*(Inputs!$E$29-Inputs!$D$29)),Inputs!$F$29-SQRT((1-R175)*(Inputs!$F$29-Inputs!$D$29)*(Inputs!$F$29-Inputs!$E$29)))</f>
        <v>6.31433664443029</v>
      </c>
      <c r="T175" s="68" t="n">
        <f aca="false">Inputs!$E$9*(1+E175)+Inputs!$E$5*C175*(Inputs!$E$11*Inputs!$E$14*(G175*I175/Inputs!$E$16+(1-G175))*K175+Inputs!$E$23*M175)*(1+O175)+Inputs!$E$5*(Q175+S175)</f>
        <v>5742.31839220874</v>
      </c>
    </row>
    <row r="176" customFormat="false" ht="15" hidden="false" customHeight="false" outlineLevel="0" collapsed="false">
      <c r="A176" s="1" t="n">
        <v>172</v>
      </c>
      <c r="B176" s="81" t="n">
        <f aca="true">RAND()</f>
        <v>0.0200792948170877</v>
      </c>
      <c r="C176" s="82" t="n">
        <f aca="false">ROUND(IF(B176&lt;(Inputs!$E$8-Inputs!$D$8)/(Inputs!$F$8-Inputs!$D$8),Inputs!$D$8+SQRT(B176*(Inputs!$F$8-Inputs!$D$8)*(Inputs!$E$8-Inputs!$D$8)),Inputs!$F$8-SQRT((1-B176)*(Inputs!$F$8-Inputs!$D$8)*(Inputs!$F$8-Inputs!$E$8))),0)</f>
        <v>21</v>
      </c>
      <c r="D176" s="81" t="n">
        <f aca="true">RAND()</f>
        <v>0.905149235000737</v>
      </c>
      <c r="E176" s="83" t="n">
        <f aca="false">IF(D176&lt;(Inputs!$E$10-Inputs!$D$10)/(Inputs!$F$10-Inputs!$D$10),Inputs!$D$10+SQRT(D176*(Inputs!$F$10-Inputs!$D$10)*(Inputs!$E$10-Inputs!$D$10)),Inputs!$F$10-SQRT((1-D176)*(Inputs!$F$10-Inputs!$D$10)*(Inputs!$F$10-Inputs!$E$10)))</f>
        <v>0.146656556635535</v>
      </c>
      <c r="F176" s="81" t="n">
        <f aca="true">RAND()</f>
        <v>0.500942512951638</v>
      </c>
      <c r="G176" s="83" t="n">
        <f aca="false">IF(F176&lt;(Inputs!$E$15-Inputs!$D$15)/(Inputs!$F$15-Inputs!$D$15),Inputs!$D$15+SQRT(F176*(Inputs!$F$15-Inputs!$D$15)*(Inputs!$E$15-Inputs!$D$15)),Inputs!$F$15-SQRT((1-F176)*(Inputs!$F$15-Inputs!$D$15)*(Inputs!$F$15-Inputs!$E$15)))</f>
        <v>0.70009429575361</v>
      </c>
      <c r="H176" s="81" t="n">
        <f aca="true">RAND()</f>
        <v>0.157292432099962</v>
      </c>
      <c r="I176" s="82" t="n">
        <f aca="false">ROUND(IF(H176&lt;(Inputs!$E$17-Inputs!$D$17)/(Inputs!$F$17-Inputs!$D$17),Inputs!$D$17+SQRT(H176*(Inputs!$F$17-Inputs!$D$17)*(Inputs!$E$17-Inputs!$D$17)),Inputs!$F$17-SQRT((1-H176)*(Inputs!$F$17-Inputs!$D$17)*(Inputs!$F$17-Inputs!$E$17))),0)</f>
        <v>103</v>
      </c>
      <c r="J176" s="81" t="n">
        <f aca="true">RAND()</f>
        <v>0.768390418969529</v>
      </c>
      <c r="K176" s="83" t="n">
        <f aca="false">IF(J176&lt;(Inputs!$E$18-Inputs!$D$18)/(Inputs!$F$18-Inputs!$D$18),Inputs!$D$18+SQRT(J176*(Inputs!$F$18-Inputs!$D$18)*(Inputs!$E$18-Inputs!$D$18)),Inputs!$F$18-SQRT((1-J176)*(Inputs!$F$18-Inputs!$D$18)*(Inputs!$F$18-Inputs!$E$18)))</f>
        <v>1.10764186591499</v>
      </c>
      <c r="L176" s="81" t="n">
        <f aca="true">RAND()</f>
        <v>0.0481492698496037</v>
      </c>
      <c r="M176" s="83" t="n">
        <f aca="false">IF(L176&lt;(Inputs!$E$24-Inputs!$D$24)/(Inputs!$F$24-Inputs!$D$24),Inputs!$D$24+SQRT(L176*(Inputs!$F$24-Inputs!$D$24)*(Inputs!$E$24-Inputs!$D$24)),Inputs!$F$24-SQRT((1-L176)*(Inputs!$F$24-Inputs!$D$24)*(Inputs!$F$24-Inputs!$E$24)))</f>
        <v>0.676012580418984</v>
      </c>
      <c r="N176" s="81" t="n">
        <f aca="true">RAND()</f>
        <v>0.866759517421884</v>
      </c>
      <c r="O176" s="83" t="n">
        <f aca="false">IF(N176&lt;(Inputs!$E$26-Inputs!$D$26)/(Inputs!$F$26-Inputs!$D$26),Inputs!$D$26+SQRT(N176*(Inputs!$F$26-Inputs!$D$26)*(Inputs!$E$26-Inputs!$D$26)),Inputs!$F$26-SQRT((1-N176)*(Inputs!$F$26-Inputs!$D$26)*(Inputs!$F$26-Inputs!$E$26)))</f>
        <v>0.702284197372978</v>
      </c>
      <c r="P176" s="81" t="n">
        <f aca="true">RAND()</f>
        <v>0.830825814018695</v>
      </c>
      <c r="Q176" s="82" t="n">
        <f aca="false">IF(P176&lt;(Inputs!$E$27-Inputs!$D$27)/(Inputs!$F$27-Inputs!$D$27),Inputs!$D$27+SQRT(P176*(Inputs!$F$27-Inputs!$D$27)*(Inputs!$E$27-Inputs!$D$27)),Inputs!$F$27-SQRT((1-P176)*(Inputs!$F$27-Inputs!$D$27)*(Inputs!$F$27-Inputs!$E$27)))</f>
        <v>114.379691258219</v>
      </c>
      <c r="R176" s="81" t="n">
        <f aca="true">RAND()</f>
        <v>0.111178088571645</v>
      </c>
      <c r="S176" s="82" t="n">
        <f aca="false">IF(R176&lt;(Inputs!$E$29-Inputs!$D$29)/(Inputs!$F$29-Inputs!$D$29),Inputs!$D$29+SQRT(R176*(Inputs!$F$29-Inputs!$D$29)*(Inputs!$E$29-Inputs!$D$29)),Inputs!$F$29-SQRT((1-R176)*(Inputs!$F$29-Inputs!$D$29)*(Inputs!$F$29-Inputs!$E$29)))</f>
        <v>4.08229331610466</v>
      </c>
      <c r="T176" s="68" t="n">
        <f aca="false">Inputs!$E$9*(1+E176)+Inputs!$E$5*C176*(Inputs!$E$11*Inputs!$E$14*(G176*I176/Inputs!$E$16+(1-G176))*K176+Inputs!$E$23*M176)*(1+O176)+Inputs!$E$5*(Q176+S176)</f>
        <v>6079.63218080862</v>
      </c>
    </row>
    <row r="177" customFormat="false" ht="15" hidden="false" customHeight="false" outlineLevel="0" collapsed="false">
      <c r="A177" s="1" t="n">
        <v>173</v>
      </c>
      <c r="B177" s="81" t="n">
        <f aca="true">RAND()</f>
        <v>0.541521645535722</v>
      </c>
      <c r="C177" s="82" t="n">
        <f aca="false">ROUND(IF(B177&lt;(Inputs!$E$8-Inputs!$D$8)/(Inputs!$F$8-Inputs!$D$8),Inputs!$D$8+SQRT(B177*(Inputs!$F$8-Inputs!$D$8)*(Inputs!$E$8-Inputs!$D$8)),Inputs!$F$8-SQRT((1-B177)*(Inputs!$F$8-Inputs!$D$8)*(Inputs!$F$8-Inputs!$E$8))),0)</f>
        <v>25</v>
      </c>
      <c r="D177" s="81" t="n">
        <f aca="true">RAND()</f>
        <v>0.0551551026278686</v>
      </c>
      <c r="E177" s="83" t="n">
        <f aca="false">IF(D177&lt;(Inputs!$E$10-Inputs!$D$10)/(Inputs!$F$10-Inputs!$D$10),Inputs!$D$10+SQRT(D177*(Inputs!$F$10-Inputs!$D$10)*(Inputs!$E$10-Inputs!$D$10)),Inputs!$F$10-SQRT((1-D177)*(Inputs!$F$10-Inputs!$D$10)*(Inputs!$F$10-Inputs!$E$10)))</f>
        <v>0.023485123509973</v>
      </c>
      <c r="F177" s="81" t="n">
        <f aca="true">RAND()</f>
        <v>0.303472824569355</v>
      </c>
      <c r="G177" s="83" t="n">
        <f aca="false">IF(F177&lt;(Inputs!$E$15-Inputs!$D$15)/(Inputs!$F$15-Inputs!$D$15),Inputs!$D$15+SQRT(F177*(Inputs!$F$15-Inputs!$D$15)*(Inputs!$E$15-Inputs!$D$15)),Inputs!$F$15-SQRT((1-F177)*(Inputs!$F$15-Inputs!$D$15)*(Inputs!$F$15-Inputs!$E$15)))</f>
        <v>0.677906716599964</v>
      </c>
      <c r="H177" s="81" t="n">
        <f aca="true">RAND()</f>
        <v>0.942732719537128</v>
      </c>
      <c r="I177" s="82" t="n">
        <f aca="false">ROUND(IF(H177&lt;(Inputs!$E$17-Inputs!$D$17)/(Inputs!$F$17-Inputs!$D$17),Inputs!$D$17+SQRT(H177*(Inputs!$F$17-Inputs!$D$17)*(Inputs!$E$17-Inputs!$D$17)),Inputs!$F$17-SQRT((1-H177)*(Inputs!$F$17-Inputs!$D$17)*(Inputs!$F$17-Inputs!$E$17))),0)</f>
        <v>112</v>
      </c>
      <c r="J177" s="81" t="n">
        <f aca="true">RAND()</f>
        <v>0.105254980332889</v>
      </c>
      <c r="K177" s="83" t="n">
        <f aca="false">IF(J177&lt;(Inputs!$E$18-Inputs!$D$18)/(Inputs!$F$18-Inputs!$D$18),Inputs!$D$18+SQRT(J177*(Inputs!$F$18-Inputs!$D$18)*(Inputs!$E$18-Inputs!$D$18)),Inputs!$F$18-SQRT((1-J177)*(Inputs!$F$18-Inputs!$D$18)*(Inputs!$F$18-Inputs!$E$18)))</f>
        <v>0.960695340114799</v>
      </c>
      <c r="L177" s="81" t="n">
        <f aca="true">RAND()</f>
        <v>0.165141828410395</v>
      </c>
      <c r="M177" s="83" t="n">
        <f aca="false">IF(L177&lt;(Inputs!$E$24-Inputs!$D$24)/(Inputs!$F$24-Inputs!$D$24),Inputs!$D$24+SQRT(L177*(Inputs!$F$24-Inputs!$D$24)*(Inputs!$E$24-Inputs!$D$24)),Inputs!$F$24-SQRT((1-L177)*(Inputs!$F$24-Inputs!$D$24)*(Inputs!$F$24-Inputs!$E$24)))</f>
        <v>0.740772935641931</v>
      </c>
      <c r="N177" s="81" t="n">
        <f aca="true">RAND()</f>
        <v>0.441582437837488</v>
      </c>
      <c r="O177" s="83" t="n">
        <f aca="false">IF(N177&lt;(Inputs!$E$26-Inputs!$D$26)/(Inputs!$F$26-Inputs!$D$26),Inputs!$D$26+SQRT(N177*(Inputs!$F$26-Inputs!$D$26)*(Inputs!$E$26-Inputs!$D$26)),Inputs!$F$26-SQRT((1-N177)*(Inputs!$F$26-Inputs!$D$26)*(Inputs!$F$26-Inputs!$E$26)))</f>
        <v>0.571070687563517</v>
      </c>
      <c r="P177" s="81" t="n">
        <f aca="true">RAND()</f>
        <v>0.284970652330832</v>
      </c>
      <c r="Q177" s="82" t="n">
        <f aca="false">IF(P177&lt;(Inputs!$E$27-Inputs!$D$27)/(Inputs!$F$27-Inputs!$D$27),Inputs!$D$27+SQRT(P177*(Inputs!$F$27-Inputs!$D$27)*(Inputs!$E$27-Inputs!$D$27)),Inputs!$F$27-SQRT((1-P177)*(Inputs!$F$27-Inputs!$D$27)*(Inputs!$F$27-Inputs!$E$27)))</f>
        <v>76.7694045666788</v>
      </c>
      <c r="R177" s="81" t="n">
        <f aca="true">RAND()</f>
        <v>0.0802174554192532</v>
      </c>
      <c r="S177" s="82" t="n">
        <f aca="false">IF(R177&lt;(Inputs!$E$29-Inputs!$D$29)/(Inputs!$F$29-Inputs!$D$29),Inputs!$D$29+SQRT(R177*(Inputs!$F$29-Inputs!$D$29)*(Inputs!$E$29-Inputs!$D$29)),Inputs!$F$29-SQRT((1-R177)*(Inputs!$F$29-Inputs!$D$29)*(Inputs!$F$29-Inputs!$E$29)))</f>
        <v>3.76875118695391</v>
      </c>
      <c r="T177" s="68" t="n">
        <f aca="false">Inputs!$E$9*(1+E177)+Inputs!$E$5*C177*(Inputs!$E$11*Inputs!$E$14*(G177*I177/Inputs!$E$16+(1-G177))*K177+Inputs!$E$23*M177)*(1+O177)+Inputs!$E$5*(Q177+S177)</f>
        <v>5820.22915800808</v>
      </c>
    </row>
    <row r="178" customFormat="false" ht="15" hidden="false" customHeight="false" outlineLevel="0" collapsed="false">
      <c r="A178" s="1" t="n">
        <v>174</v>
      </c>
      <c r="B178" s="81" t="n">
        <f aca="true">RAND()</f>
        <v>0.264211309584059</v>
      </c>
      <c r="C178" s="82" t="n">
        <f aca="false">ROUND(IF(B178&lt;(Inputs!$E$8-Inputs!$D$8)/(Inputs!$F$8-Inputs!$D$8),Inputs!$D$8+SQRT(B178*(Inputs!$F$8-Inputs!$D$8)*(Inputs!$E$8-Inputs!$D$8)),Inputs!$F$8-SQRT((1-B178)*(Inputs!$F$8-Inputs!$D$8)*(Inputs!$F$8-Inputs!$E$8))),0)</f>
        <v>24</v>
      </c>
      <c r="D178" s="81" t="n">
        <f aca="true">RAND()</f>
        <v>0.396637199766933</v>
      </c>
      <c r="E178" s="83" t="n">
        <f aca="false">IF(D178&lt;(Inputs!$E$10-Inputs!$D$10)/(Inputs!$F$10-Inputs!$D$10),Inputs!$D$10+SQRT(D178*(Inputs!$F$10-Inputs!$D$10)*(Inputs!$E$10-Inputs!$D$10)),Inputs!$F$10-SQRT((1-D178)*(Inputs!$F$10-Inputs!$D$10)*(Inputs!$F$10-Inputs!$E$10)))</f>
        <v>0.0654604741832646</v>
      </c>
      <c r="F178" s="81" t="n">
        <f aca="true">RAND()</f>
        <v>0.274494231175809</v>
      </c>
      <c r="G178" s="83" t="n">
        <f aca="false">IF(F178&lt;(Inputs!$E$15-Inputs!$D$15)/(Inputs!$F$15-Inputs!$D$15),Inputs!$D$15+SQRT(F178*(Inputs!$F$15-Inputs!$D$15)*(Inputs!$E$15-Inputs!$D$15)),Inputs!$F$15-SQRT((1-F178)*(Inputs!$F$15-Inputs!$D$15)*(Inputs!$F$15-Inputs!$E$15)))</f>
        <v>0.674093755631066</v>
      </c>
      <c r="H178" s="81" t="n">
        <f aca="true">RAND()</f>
        <v>0.387370887511387</v>
      </c>
      <c r="I178" s="82" t="n">
        <f aca="false">ROUND(IF(H178&lt;(Inputs!$E$17-Inputs!$D$17)/(Inputs!$F$17-Inputs!$D$17),Inputs!$D$17+SQRT(H178*(Inputs!$F$17-Inputs!$D$17)*(Inputs!$E$17-Inputs!$D$17)),Inputs!$F$17-SQRT((1-H178)*(Inputs!$F$17-Inputs!$D$17)*(Inputs!$F$17-Inputs!$E$17))),0)</f>
        <v>105</v>
      </c>
      <c r="J178" s="81" t="n">
        <f aca="true">RAND()</f>
        <v>0.419259989275283</v>
      </c>
      <c r="K178" s="83" t="n">
        <f aca="false">IF(J178&lt;(Inputs!$E$18-Inputs!$D$18)/(Inputs!$F$18-Inputs!$D$18),Inputs!$D$18+SQRT(J178*(Inputs!$F$18-Inputs!$D$18)*(Inputs!$E$18-Inputs!$D$18)),Inputs!$F$18-SQRT((1-J178)*(Inputs!$F$18-Inputs!$D$18)*(Inputs!$F$18-Inputs!$E$18)))</f>
        <v>1.0245787256304</v>
      </c>
      <c r="L178" s="81" t="n">
        <f aca="true">RAND()</f>
        <v>0.238160063865777</v>
      </c>
      <c r="M178" s="83" t="n">
        <f aca="false">IF(L178&lt;(Inputs!$E$24-Inputs!$D$24)/(Inputs!$F$24-Inputs!$D$24),Inputs!$D$24+SQRT(L178*(Inputs!$F$24-Inputs!$D$24)*(Inputs!$E$24-Inputs!$D$24)),Inputs!$F$24-SQRT((1-L178)*(Inputs!$F$24-Inputs!$D$24)*(Inputs!$F$24-Inputs!$E$24)))</f>
        <v>0.769053860245465</v>
      </c>
      <c r="N178" s="81" t="n">
        <f aca="true">RAND()</f>
        <v>0.101398065684151</v>
      </c>
      <c r="O178" s="83" t="n">
        <f aca="false">IF(N178&lt;(Inputs!$E$26-Inputs!$D$26)/(Inputs!$F$26-Inputs!$D$26),Inputs!$D$26+SQRT(N178*(Inputs!$F$26-Inputs!$D$26)*(Inputs!$E$26-Inputs!$D$26)),Inputs!$F$26-SQRT((1-N178)*(Inputs!$F$26-Inputs!$D$26)*(Inputs!$F$26-Inputs!$E$26)))</f>
        <v>0.429894719407075</v>
      </c>
      <c r="P178" s="81" t="n">
        <f aca="true">RAND()</f>
        <v>0.650856159135456</v>
      </c>
      <c r="Q178" s="82" t="n">
        <f aca="false">IF(P178&lt;(Inputs!$E$27-Inputs!$D$27)/(Inputs!$F$27-Inputs!$D$27),Inputs!$D$27+SQRT(P178*(Inputs!$F$27-Inputs!$D$27)*(Inputs!$E$27-Inputs!$D$27)),Inputs!$F$27-SQRT((1-P178)*(Inputs!$F$27-Inputs!$D$27)*(Inputs!$F$27-Inputs!$E$27)))</f>
        <v>98.827948971298</v>
      </c>
      <c r="R178" s="81" t="n">
        <f aca="true">RAND()</f>
        <v>0.671971853472067</v>
      </c>
      <c r="S178" s="82" t="n">
        <f aca="false">IF(R178&lt;(Inputs!$E$29-Inputs!$D$29)/(Inputs!$F$29-Inputs!$D$29),Inputs!$D$29+SQRT(R178*(Inputs!$F$29-Inputs!$D$29)*(Inputs!$E$29-Inputs!$D$29)),Inputs!$F$29-SQRT((1-R178)*(Inputs!$F$29-Inputs!$D$29)*(Inputs!$F$29-Inputs!$E$29)))</f>
        <v>8.46978874395083</v>
      </c>
      <c r="T178" s="68" t="n">
        <f aca="false">Inputs!$E$9*(1+E178)+Inputs!$E$5*C178*(Inputs!$E$11*Inputs!$E$14*(G178*I178/Inputs!$E$16+(1-G178))*K178+Inputs!$E$23*M178)*(1+O178)+Inputs!$E$5*(Q178+S178)</f>
        <v>5739.91384123375</v>
      </c>
    </row>
    <row r="179" customFormat="false" ht="15" hidden="false" customHeight="false" outlineLevel="0" collapsed="false">
      <c r="A179" s="1" t="n">
        <v>175</v>
      </c>
      <c r="B179" s="81" t="n">
        <f aca="true">RAND()</f>
        <v>0.484355968990124</v>
      </c>
      <c r="C179" s="82" t="n">
        <f aca="false">ROUND(IF(B179&lt;(Inputs!$E$8-Inputs!$D$8)/(Inputs!$F$8-Inputs!$D$8),Inputs!$D$8+SQRT(B179*(Inputs!$F$8-Inputs!$D$8)*(Inputs!$E$8-Inputs!$D$8)),Inputs!$F$8-SQRT((1-B179)*(Inputs!$F$8-Inputs!$D$8)*(Inputs!$F$8-Inputs!$E$8))),0)</f>
        <v>25</v>
      </c>
      <c r="D179" s="81" t="n">
        <f aca="true">RAND()</f>
        <v>0.842610850041167</v>
      </c>
      <c r="E179" s="83" t="n">
        <f aca="false">IF(D179&lt;(Inputs!$E$10-Inputs!$D$10)/(Inputs!$F$10-Inputs!$D$10),Inputs!$D$10+SQRT(D179*(Inputs!$F$10-Inputs!$D$10)*(Inputs!$E$10-Inputs!$D$10)),Inputs!$F$10-SQRT((1-D179)*(Inputs!$F$10-Inputs!$D$10)*(Inputs!$F$10-Inputs!$E$10)))</f>
        <v>0.131285558295472</v>
      </c>
      <c r="F179" s="81" t="n">
        <f aca="true">RAND()</f>
        <v>0.0789465691874098</v>
      </c>
      <c r="G179" s="83" t="n">
        <f aca="false">IF(F179&lt;(Inputs!$E$15-Inputs!$D$15)/(Inputs!$F$15-Inputs!$D$15),Inputs!$D$15+SQRT(F179*(Inputs!$F$15-Inputs!$D$15)*(Inputs!$E$15-Inputs!$D$15)),Inputs!$F$15-SQRT((1-F179)*(Inputs!$F$15-Inputs!$D$15)*(Inputs!$F$15-Inputs!$E$15)))</f>
        <v>0.639735769575386</v>
      </c>
      <c r="H179" s="81" t="n">
        <f aca="true">RAND()</f>
        <v>0.211471857224806</v>
      </c>
      <c r="I179" s="82" t="n">
        <f aca="false">ROUND(IF(H179&lt;(Inputs!$E$17-Inputs!$D$17)/(Inputs!$F$17-Inputs!$D$17),Inputs!$D$17+SQRT(H179*(Inputs!$F$17-Inputs!$D$17)*(Inputs!$E$17-Inputs!$D$17)),Inputs!$F$17-SQRT((1-H179)*(Inputs!$F$17-Inputs!$D$17)*(Inputs!$F$17-Inputs!$E$17))),0)</f>
        <v>104</v>
      </c>
      <c r="J179" s="81" t="n">
        <f aca="true">RAND()</f>
        <v>0.0689566614368621</v>
      </c>
      <c r="K179" s="83" t="n">
        <f aca="false">IF(J179&lt;(Inputs!$E$18-Inputs!$D$18)/(Inputs!$F$18-Inputs!$D$18),Inputs!$D$18+SQRT(J179*(Inputs!$F$18-Inputs!$D$18)*(Inputs!$E$18-Inputs!$D$18)),Inputs!$F$18-SQRT((1-J179)*(Inputs!$F$18-Inputs!$D$18)*(Inputs!$F$18-Inputs!$E$18)))</f>
        <v>0.949127213947976</v>
      </c>
      <c r="L179" s="81" t="n">
        <f aca="true">RAND()</f>
        <v>0.439687266623926</v>
      </c>
      <c r="M179" s="83" t="n">
        <f aca="false">IF(L179&lt;(Inputs!$E$24-Inputs!$D$24)/(Inputs!$F$24-Inputs!$D$24),Inputs!$D$24+SQRT(L179*(Inputs!$F$24-Inputs!$D$24)*(Inputs!$E$24-Inputs!$D$24)),Inputs!$F$24-SQRT((1-L179)*(Inputs!$F$24-Inputs!$D$24)*(Inputs!$F$24-Inputs!$E$24)))</f>
        <v>0.833291592664884</v>
      </c>
      <c r="N179" s="81" t="n">
        <f aca="true">RAND()</f>
        <v>0.74242078209827</v>
      </c>
      <c r="O179" s="83" t="n">
        <f aca="false">IF(N179&lt;(Inputs!$E$26-Inputs!$D$26)/(Inputs!$F$26-Inputs!$D$26),Inputs!$D$26+SQRT(N179*(Inputs!$F$26-Inputs!$D$26)*(Inputs!$E$26-Inputs!$D$26)),Inputs!$F$26-SQRT((1-N179)*(Inputs!$F$26-Inputs!$D$26)*(Inputs!$F$26-Inputs!$E$26)))</f>
        <v>0.656328870408432</v>
      </c>
      <c r="P179" s="81" t="n">
        <f aca="true">RAND()</f>
        <v>0.962337253846929</v>
      </c>
      <c r="Q179" s="82" t="n">
        <f aca="false">IF(P179&lt;(Inputs!$E$27-Inputs!$D$27)/(Inputs!$F$27-Inputs!$D$27),Inputs!$D$27+SQRT(P179*(Inputs!$F$27-Inputs!$D$27)*(Inputs!$E$27-Inputs!$D$27)),Inputs!$F$27-SQRT((1-P179)*(Inputs!$F$27-Inputs!$D$27)*(Inputs!$F$27-Inputs!$E$27)))</f>
        <v>133.193138420632</v>
      </c>
      <c r="R179" s="81" t="n">
        <f aca="true">RAND()</f>
        <v>0.230780665760828</v>
      </c>
      <c r="S179" s="82" t="n">
        <f aca="false">IF(R179&lt;(Inputs!$E$29-Inputs!$D$29)/(Inputs!$F$29-Inputs!$D$29),Inputs!$D$29+SQRT(R179*(Inputs!$F$29-Inputs!$D$29)*(Inputs!$E$29-Inputs!$D$29)),Inputs!$F$29-SQRT((1-R179)*(Inputs!$F$29-Inputs!$D$29)*(Inputs!$F$29-Inputs!$E$29)))</f>
        <v>5.00007432772162</v>
      </c>
      <c r="T179" s="68" t="n">
        <f aca="false">Inputs!$E$9*(1+E179)+Inputs!$E$5*C179*(Inputs!$E$11*Inputs!$E$14*(G179*I179/Inputs!$E$16+(1-G179))*K179+Inputs!$E$23*M179)*(1+O179)+Inputs!$E$5*(Q179+S179)</f>
        <v>6588.88626207029</v>
      </c>
    </row>
    <row r="180" customFormat="false" ht="15" hidden="false" customHeight="false" outlineLevel="0" collapsed="false">
      <c r="A180" s="1" t="n">
        <v>176</v>
      </c>
      <c r="B180" s="81" t="n">
        <f aca="true">RAND()</f>
        <v>0.233463941531248</v>
      </c>
      <c r="C180" s="82" t="n">
        <f aca="false">ROUND(IF(B180&lt;(Inputs!$E$8-Inputs!$D$8)/(Inputs!$F$8-Inputs!$D$8),Inputs!$D$8+SQRT(B180*(Inputs!$F$8-Inputs!$D$8)*(Inputs!$E$8-Inputs!$D$8)),Inputs!$F$8-SQRT((1-B180)*(Inputs!$F$8-Inputs!$D$8)*(Inputs!$F$8-Inputs!$E$8))),0)</f>
        <v>23</v>
      </c>
      <c r="D180" s="81" t="n">
        <f aca="true">RAND()</f>
        <v>0.534842094134473</v>
      </c>
      <c r="E180" s="83" t="n">
        <f aca="false">IF(D180&lt;(Inputs!$E$10-Inputs!$D$10)/(Inputs!$F$10-Inputs!$D$10),Inputs!$D$10+SQRT(D180*(Inputs!$F$10-Inputs!$D$10)*(Inputs!$E$10-Inputs!$D$10)),Inputs!$F$10-SQRT((1-D180)*(Inputs!$F$10-Inputs!$D$10)*(Inputs!$F$10-Inputs!$E$10)))</f>
        <v>0.0818698295270602</v>
      </c>
      <c r="F180" s="81" t="n">
        <f aca="true">RAND()</f>
        <v>0.632821296457333</v>
      </c>
      <c r="G180" s="83" t="n">
        <f aca="false">IF(F180&lt;(Inputs!$E$15-Inputs!$D$15)/(Inputs!$F$15-Inputs!$D$15),Inputs!$D$15+SQRT(F180*(Inputs!$F$15-Inputs!$D$15)*(Inputs!$E$15-Inputs!$D$15)),Inputs!$F$15-SQRT((1-F180)*(Inputs!$F$15-Inputs!$D$15)*(Inputs!$F$15-Inputs!$E$15)))</f>
        <v>0.714305343977274</v>
      </c>
      <c r="H180" s="81" t="n">
        <f aca="true">RAND()</f>
        <v>0.918707556918847</v>
      </c>
      <c r="I180" s="82" t="n">
        <f aca="false">ROUND(IF(H180&lt;(Inputs!$E$17-Inputs!$D$17)/(Inputs!$F$17-Inputs!$D$17),Inputs!$D$17+SQRT(H180*(Inputs!$F$17-Inputs!$D$17)*(Inputs!$E$17-Inputs!$D$17)),Inputs!$F$17-SQRT((1-H180)*(Inputs!$F$17-Inputs!$D$17)*(Inputs!$F$17-Inputs!$E$17))),0)</f>
        <v>112</v>
      </c>
      <c r="J180" s="81" t="n">
        <f aca="true">RAND()</f>
        <v>0.0257649242277016</v>
      </c>
      <c r="K180" s="83" t="n">
        <f aca="false">IF(J180&lt;(Inputs!$E$18-Inputs!$D$18)/(Inputs!$F$18-Inputs!$D$18),Inputs!$D$18+SQRT(J180*(Inputs!$F$18-Inputs!$D$18)*(Inputs!$E$18-Inputs!$D$18)),Inputs!$F$18-SQRT((1-J180)*(Inputs!$F$18-Inputs!$D$18)*(Inputs!$F$18-Inputs!$E$18)))</f>
        <v>0.930029524604455</v>
      </c>
      <c r="L180" s="81" t="n">
        <f aca="true">RAND()</f>
        <v>0.3389650296486</v>
      </c>
      <c r="M180" s="83" t="n">
        <f aca="false">IF(L180&lt;(Inputs!$E$24-Inputs!$D$24)/(Inputs!$F$24-Inputs!$D$24),Inputs!$D$24+SQRT(L180*(Inputs!$F$24-Inputs!$D$24)*(Inputs!$E$24-Inputs!$D$24)),Inputs!$F$24-SQRT((1-L180)*(Inputs!$F$24-Inputs!$D$24)*(Inputs!$F$24-Inputs!$E$24)))</f>
        <v>0.801693092095635</v>
      </c>
      <c r="N180" s="81" t="n">
        <f aca="true">RAND()</f>
        <v>0.949244297481187</v>
      </c>
      <c r="O180" s="83" t="n">
        <f aca="false">IF(N180&lt;(Inputs!$E$26-Inputs!$D$26)/(Inputs!$F$26-Inputs!$D$26),Inputs!$D$26+SQRT(N180*(Inputs!$F$26-Inputs!$D$26)*(Inputs!$E$26-Inputs!$D$26)),Inputs!$F$26-SQRT((1-N180)*(Inputs!$F$26-Inputs!$D$26)*(Inputs!$F$26-Inputs!$E$26)))</f>
        <v>0.747346073320456</v>
      </c>
      <c r="P180" s="81" t="n">
        <f aca="true">RAND()</f>
        <v>0.660626467869813</v>
      </c>
      <c r="Q180" s="82" t="n">
        <f aca="false">IF(P180&lt;(Inputs!$E$27-Inputs!$D$27)/(Inputs!$F$27-Inputs!$D$27),Inputs!$D$27+SQRT(P180*(Inputs!$F$27-Inputs!$D$27)*(Inputs!$E$27-Inputs!$D$27)),Inputs!$F$27-SQRT((1-P180)*(Inputs!$F$27-Inputs!$D$27)*(Inputs!$F$27-Inputs!$E$27)))</f>
        <v>99.5490189294955</v>
      </c>
      <c r="R180" s="81" t="n">
        <f aca="true">RAND()</f>
        <v>0.012108722990206</v>
      </c>
      <c r="S180" s="82" t="n">
        <f aca="false">IF(R180&lt;(Inputs!$E$29-Inputs!$D$29)/(Inputs!$F$29-Inputs!$D$29),Inputs!$D$29+SQRT(R180*(Inputs!$F$29-Inputs!$D$29)*(Inputs!$E$29-Inputs!$D$29)),Inputs!$F$29-SQRT((1-R180)*(Inputs!$F$29-Inputs!$D$29)*(Inputs!$F$29-Inputs!$E$29)))</f>
        <v>2.6871973491058</v>
      </c>
      <c r="T180" s="68" t="n">
        <f aca="false">Inputs!$E$9*(1+E180)+Inputs!$E$5*C180*(Inputs!$E$11*Inputs!$E$14*(G180*I180/Inputs!$E$16+(1-G180))*K180+Inputs!$E$23*M180)*(1+O180)+Inputs!$E$5*(Q180+S180)</f>
        <v>6107.11235527777</v>
      </c>
    </row>
    <row r="181" customFormat="false" ht="15" hidden="false" customHeight="false" outlineLevel="0" collapsed="false">
      <c r="A181" s="1" t="n">
        <v>177</v>
      </c>
      <c r="B181" s="81" t="n">
        <f aca="true">RAND()</f>
        <v>0.506429278192967</v>
      </c>
      <c r="C181" s="82" t="n">
        <f aca="false">ROUND(IF(B181&lt;(Inputs!$E$8-Inputs!$D$8)/(Inputs!$F$8-Inputs!$D$8),Inputs!$D$8+SQRT(B181*(Inputs!$F$8-Inputs!$D$8)*(Inputs!$E$8-Inputs!$D$8)),Inputs!$F$8-SQRT((1-B181)*(Inputs!$F$8-Inputs!$D$8)*(Inputs!$F$8-Inputs!$E$8))),0)</f>
        <v>25</v>
      </c>
      <c r="D181" s="81" t="n">
        <f aca="true">RAND()</f>
        <v>0.14004034630118</v>
      </c>
      <c r="E181" s="83" t="n">
        <f aca="false">IF(D181&lt;(Inputs!$E$10-Inputs!$D$10)/(Inputs!$F$10-Inputs!$D$10),Inputs!$D$10+SQRT(D181*(Inputs!$F$10-Inputs!$D$10)*(Inputs!$E$10-Inputs!$D$10)),Inputs!$F$10-SQRT((1-D181)*(Inputs!$F$10-Inputs!$D$10)*(Inputs!$F$10-Inputs!$E$10)))</f>
        <v>0.037421964980634</v>
      </c>
      <c r="F181" s="81" t="n">
        <f aca="true">RAND()</f>
        <v>0.0445718102173802</v>
      </c>
      <c r="G181" s="83" t="n">
        <f aca="false">IF(F181&lt;(Inputs!$E$15-Inputs!$D$15)/(Inputs!$F$15-Inputs!$D$15),Inputs!$D$15+SQRT(F181*(Inputs!$F$15-Inputs!$D$15)*(Inputs!$E$15-Inputs!$D$15)),Inputs!$F$15-SQRT((1-F181)*(Inputs!$F$15-Inputs!$D$15)*(Inputs!$F$15-Inputs!$E$15)))</f>
        <v>0.62985692891688</v>
      </c>
      <c r="H181" s="81" t="n">
        <f aca="true">RAND()</f>
        <v>0.0101804241875769</v>
      </c>
      <c r="I181" s="82" t="n">
        <f aca="false">ROUND(IF(H181&lt;(Inputs!$E$17-Inputs!$D$17)/(Inputs!$F$17-Inputs!$D$17),Inputs!$D$17+SQRT(H181*(Inputs!$F$17-Inputs!$D$17)*(Inputs!$E$17-Inputs!$D$17)),Inputs!$F$17-SQRT((1-H181)*(Inputs!$F$17-Inputs!$D$17)*(Inputs!$F$17-Inputs!$E$17))),0)</f>
        <v>101</v>
      </c>
      <c r="J181" s="81" t="n">
        <f aca="true">RAND()</f>
        <v>0.433223625782004</v>
      </c>
      <c r="K181" s="83" t="n">
        <f aca="false">IF(J181&lt;(Inputs!$E$18-Inputs!$D$18)/(Inputs!$F$18-Inputs!$D$18),Inputs!$D$18+SQRT(J181*(Inputs!$F$18-Inputs!$D$18)*(Inputs!$E$18-Inputs!$D$18)),Inputs!$F$18-SQRT((1-J181)*(Inputs!$F$18-Inputs!$D$18)*(Inputs!$F$18-Inputs!$E$18)))</f>
        <v>1.02730529250996</v>
      </c>
      <c r="L181" s="81" t="n">
        <f aca="true">RAND()</f>
        <v>0.273533509647455</v>
      </c>
      <c r="M181" s="83" t="n">
        <f aca="false">IF(L181&lt;(Inputs!$E$24-Inputs!$D$24)/(Inputs!$F$24-Inputs!$D$24),Inputs!$D$24+SQRT(L181*(Inputs!$F$24-Inputs!$D$24)*(Inputs!$E$24-Inputs!$D$24)),Inputs!$F$24-SQRT((1-L181)*(Inputs!$F$24-Inputs!$D$24)*(Inputs!$F$24-Inputs!$E$24)))</f>
        <v>0.781174007952837</v>
      </c>
      <c r="N181" s="81" t="n">
        <f aca="true">RAND()</f>
        <v>0.3996385930443</v>
      </c>
      <c r="O181" s="83" t="n">
        <f aca="false">IF(N181&lt;(Inputs!$E$26-Inputs!$D$26)/(Inputs!$F$26-Inputs!$D$26),Inputs!$D$26+SQRT(N181*(Inputs!$F$26-Inputs!$D$26)*(Inputs!$E$26-Inputs!$D$26)),Inputs!$F$26-SQRT((1-N181)*(Inputs!$F$26-Inputs!$D$26)*(Inputs!$F$26-Inputs!$E$26)))</f>
        <v>0.557875671366206</v>
      </c>
      <c r="P181" s="81" t="n">
        <f aca="true">RAND()</f>
        <v>0.197823120022061</v>
      </c>
      <c r="Q181" s="82" t="n">
        <f aca="false">IF(P181&lt;(Inputs!$E$27-Inputs!$D$27)/(Inputs!$F$27-Inputs!$D$27),Inputs!$D$27+SQRT(P181*(Inputs!$F$27-Inputs!$D$27)*(Inputs!$E$27-Inputs!$D$27)),Inputs!$F$27-SQRT((1-P181)*(Inputs!$F$27-Inputs!$D$27)*(Inputs!$F$27-Inputs!$E$27)))</f>
        <v>72.2386555361414</v>
      </c>
      <c r="R181" s="81" t="n">
        <f aca="true">RAND()</f>
        <v>0.149696973305727</v>
      </c>
      <c r="S181" s="82" t="n">
        <f aca="false">IF(R181&lt;(Inputs!$E$29-Inputs!$D$29)/(Inputs!$F$29-Inputs!$D$29),Inputs!$D$29+SQRT(R181*(Inputs!$F$29-Inputs!$D$29)*(Inputs!$E$29-Inputs!$D$29)),Inputs!$F$29-SQRT((1-R181)*(Inputs!$F$29-Inputs!$D$29)*(Inputs!$F$29-Inputs!$E$29)))</f>
        <v>4.41623301006409</v>
      </c>
      <c r="T181" s="68" t="n">
        <f aca="false">Inputs!$E$9*(1+E181)+Inputs!$E$5*C181*(Inputs!$E$11*Inputs!$E$14*(G181*I181/Inputs!$E$16+(1-G181))*K181+Inputs!$E$23*M181)*(1+O181)+Inputs!$E$5*(Q181+S181)</f>
        <v>5950.35274988287</v>
      </c>
    </row>
    <row r="182" customFormat="false" ht="15" hidden="false" customHeight="false" outlineLevel="0" collapsed="false">
      <c r="A182" s="1" t="n">
        <v>178</v>
      </c>
      <c r="B182" s="81" t="n">
        <f aca="true">RAND()</f>
        <v>0.0819946418356386</v>
      </c>
      <c r="C182" s="82" t="n">
        <f aca="false">ROUND(IF(B182&lt;(Inputs!$E$8-Inputs!$D$8)/(Inputs!$F$8-Inputs!$D$8),Inputs!$D$8+SQRT(B182*(Inputs!$F$8-Inputs!$D$8)*(Inputs!$E$8-Inputs!$D$8)),Inputs!$F$8-SQRT((1-B182)*(Inputs!$F$8-Inputs!$D$8)*(Inputs!$F$8-Inputs!$E$8))),0)</f>
        <v>22</v>
      </c>
      <c r="D182" s="81" t="n">
        <f aca="true">RAND()</f>
        <v>0.25775402364323</v>
      </c>
      <c r="E182" s="83" t="n">
        <f aca="false">IF(D182&lt;(Inputs!$E$10-Inputs!$D$10)/(Inputs!$F$10-Inputs!$D$10),Inputs!$D$10+SQRT(D182*(Inputs!$F$10-Inputs!$D$10)*(Inputs!$E$10-Inputs!$D$10)),Inputs!$F$10-SQRT((1-D182)*(Inputs!$F$10-Inputs!$D$10)*(Inputs!$F$10-Inputs!$E$10)))</f>
        <v>0.050777416954728</v>
      </c>
      <c r="F182" s="81" t="n">
        <f aca="true">RAND()</f>
        <v>0.346918317969013</v>
      </c>
      <c r="G182" s="83" t="n">
        <f aca="false">IF(F182&lt;(Inputs!$E$15-Inputs!$D$15)/(Inputs!$F$15-Inputs!$D$15),Inputs!$D$15+SQRT(F182*(Inputs!$F$15-Inputs!$D$15)*(Inputs!$E$15-Inputs!$D$15)),Inputs!$F$15-SQRT((1-F182)*(Inputs!$F$15-Inputs!$D$15)*(Inputs!$F$15-Inputs!$E$15)))</f>
        <v>0.683296856839741</v>
      </c>
      <c r="H182" s="81" t="n">
        <f aca="true">RAND()</f>
        <v>0.0106805918580231</v>
      </c>
      <c r="I182" s="82" t="n">
        <f aca="false">ROUND(IF(H182&lt;(Inputs!$E$17-Inputs!$D$17)/(Inputs!$F$17-Inputs!$D$17),Inputs!$D$17+SQRT(H182*(Inputs!$F$17-Inputs!$D$17)*(Inputs!$E$17-Inputs!$D$17)),Inputs!$F$17-SQRT((1-H182)*(Inputs!$F$17-Inputs!$D$17)*(Inputs!$F$17-Inputs!$E$17))),0)</f>
        <v>101</v>
      </c>
      <c r="J182" s="81" t="n">
        <f aca="true">RAND()</f>
        <v>0.0665620785694328</v>
      </c>
      <c r="K182" s="83" t="n">
        <f aca="false">IF(J182&lt;(Inputs!$E$18-Inputs!$D$18)/(Inputs!$F$18-Inputs!$D$18),Inputs!$D$18+SQRT(J182*(Inputs!$F$18-Inputs!$D$18)*(Inputs!$E$18-Inputs!$D$18)),Inputs!$F$18-SQRT((1-J182)*(Inputs!$F$18-Inputs!$D$18)*(Inputs!$F$18-Inputs!$E$18)))</f>
        <v>0.94826668364338</v>
      </c>
      <c r="L182" s="81" t="n">
        <f aca="true">RAND()</f>
        <v>0.352011556564307</v>
      </c>
      <c r="M182" s="83" t="n">
        <f aca="false">IF(L182&lt;(Inputs!$E$24-Inputs!$D$24)/(Inputs!$F$24-Inputs!$D$24),Inputs!$D$24+SQRT(L182*(Inputs!$F$24-Inputs!$D$24)*(Inputs!$E$24-Inputs!$D$24)),Inputs!$F$24-SQRT((1-L182)*(Inputs!$F$24-Inputs!$D$24)*(Inputs!$F$24-Inputs!$E$24)))</f>
        <v>0.805643275162492</v>
      </c>
      <c r="N182" s="81" t="n">
        <f aca="true">RAND()</f>
        <v>0.36526765652811</v>
      </c>
      <c r="O182" s="83" t="n">
        <f aca="false">IF(N182&lt;(Inputs!$E$26-Inputs!$D$26)/(Inputs!$F$26-Inputs!$D$26),Inputs!$D$26+SQRT(N182*(Inputs!$F$26-Inputs!$D$26)*(Inputs!$E$26-Inputs!$D$26)),Inputs!$F$26-SQRT((1-N182)*(Inputs!$F$26-Inputs!$D$26)*(Inputs!$F$26-Inputs!$E$26)))</f>
        <v>0.546537092637756</v>
      </c>
      <c r="P182" s="81" t="n">
        <f aca="true">RAND()</f>
        <v>0.65856502400136</v>
      </c>
      <c r="Q182" s="82" t="n">
        <f aca="false">IF(P182&lt;(Inputs!$E$27-Inputs!$D$27)/(Inputs!$F$27-Inputs!$D$27),Inputs!$D$27+SQRT(P182*(Inputs!$F$27-Inputs!$D$27)*(Inputs!$E$27-Inputs!$D$27)),Inputs!$F$27-SQRT((1-P182)*(Inputs!$F$27-Inputs!$D$27)*(Inputs!$F$27-Inputs!$E$27)))</f>
        <v>99.3960246621888</v>
      </c>
      <c r="R182" s="81" t="n">
        <f aca="true">RAND()</f>
        <v>0.190908651600404</v>
      </c>
      <c r="S182" s="82" t="n">
        <f aca="false">IF(R182&lt;(Inputs!$E$29-Inputs!$D$29)/(Inputs!$F$29-Inputs!$D$29),Inputs!$D$29+SQRT(R182*(Inputs!$F$29-Inputs!$D$29)*(Inputs!$E$29-Inputs!$D$29)),Inputs!$F$29-SQRT((1-R182)*(Inputs!$F$29-Inputs!$D$29)*(Inputs!$F$29-Inputs!$E$29)))</f>
        <v>4.72863288340805</v>
      </c>
      <c r="T182" s="68" t="n">
        <f aca="false">Inputs!$E$9*(1+E182)+Inputs!$E$5*C182*(Inputs!$E$11*Inputs!$E$14*(G182*I182/Inputs!$E$16+(1-G182))*K182+Inputs!$E$23*M182)*(1+O182)+Inputs!$E$5*(Q182+S182)</f>
        <v>5523.39348211888</v>
      </c>
    </row>
    <row r="183" customFormat="false" ht="15" hidden="false" customHeight="false" outlineLevel="0" collapsed="false">
      <c r="A183" s="1" t="n">
        <v>179</v>
      </c>
      <c r="B183" s="81" t="n">
        <f aca="true">RAND()</f>
        <v>0.324121979834597</v>
      </c>
      <c r="C183" s="82" t="n">
        <f aca="false">ROUND(IF(B183&lt;(Inputs!$E$8-Inputs!$D$8)/(Inputs!$F$8-Inputs!$D$8),Inputs!$D$8+SQRT(B183*(Inputs!$F$8-Inputs!$D$8)*(Inputs!$E$8-Inputs!$D$8)),Inputs!$F$8-SQRT((1-B183)*(Inputs!$F$8-Inputs!$D$8)*(Inputs!$F$8-Inputs!$E$8))),0)</f>
        <v>24</v>
      </c>
      <c r="D183" s="81" t="n">
        <f aca="true">RAND()</f>
        <v>0.0288756961662871</v>
      </c>
      <c r="E183" s="83" t="n">
        <f aca="false">IF(D183&lt;(Inputs!$E$10-Inputs!$D$10)/(Inputs!$F$10-Inputs!$D$10),Inputs!$D$10+SQRT(D183*(Inputs!$F$10-Inputs!$D$10)*(Inputs!$E$10-Inputs!$D$10)),Inputs!$F$10-SQRT((1-D183)*(Inputs!$F$10-Inputs!$D$10)*(Inputs!$F$10-Inputs!$E$10)))</f>
        <v>0.0169928503101414</v>
      </c>
      <c r="F183" s="81" t="n">
        <f aca="true">RAND()</f>
        <v>0.680805034004629</v>
      </c>
      <c r="G183" s="83" t="n">
        <f aca="false">IF(F183&lt;(Inputs!$E$15-Inputs!$D$15)/(Inputs!$F$15-Inputs!$D$15),Inputs!$D$15+SQRT(F183*(Inputs!$F$15-Inputs!$D$15)*(Inputs!$E$15-Inputs!$D$15)),Inputs!$F$15-SQRT((1-F183)*(Inputs!$F$15-Inputs!$D$15)*(Inputs!$F$15-Inputs!$E$15)))</f>
        <v>0.720100692619351</v>
      </c>
      <c r="H183" s="81" t="n">
        <f aca="true">RAND()</f>
        <v>0.821696547844111</v>
      </c>
      <c r="I183" s="82" t="n">
        <f aca="false">ROUND(IF(H183&lt;(Inputs!$E$17-Inputs!$D$17)/(Inputs!$F$17-Inputs!$D$17),Inputs!$D$17+SQRT(H183*(Inputs!$F$17-Inputs!$D$17)*(Inputs!$E$17-Inputs!$D$17)),Inputs!$F$17-SQRT((1-H183)*(Inputs!$F$17-Inputs!$D$17)*(Inputs!$F$17-Inputs!$E$17))),0)</f>
        <v>110</v>
      </c>
      <c r="J183" s="81" t="n">
        <f aca="true">RAND()</f>
        <v>0.0374834009955259</v>
      </c>
      <c r="K183" s="83" t="n">
        <f aca="false">IF(J183&lt;(Inputs!$E$18-Inputs!$D$18)/(Inputs!$F$18-Inputs!$D$18),Inputs!$D$18+SQRT(J183*(Inputs!$F$18-Inputs!$D$18)*(Inputs!$E$18-Inputs!$D$18)),Inputs!$F$18-SQRT((1-J183)*(Inputs!$F$18-Inputs!$D$18)*(Inputs!$F$18-Inputs!$E$18)))</f>
        <v>0.936220422897081</v>
      </c>
      <c r="L183" s="81" t="n">
        <f aca="true">RAND()</f>
        <v>0.429110422182457</v>
      </c>
      <c r="M183" s="83" t="n">
        <f aca="false">IF(L183&lt;(Inputs!$E$24-Inputs!$D$24)/(Inputs!$F$24-Inputs!$D$24),Inputs!$D$24+SQRT(L183*(Inputs!$F$24-Inputs!$D$24)*(Inputs!$E$24-Inputs!$D$24)),Inputs!$F$24-SQRT((1-L183)*(Inputs!$F$24-Inputs!$D$24)*(Inputs!$F$24-Inputs!$E$24)))</f>
        <v>0.829846655187056</v>
      </c>
      <c r="N183" s="81" t="n">
        <f aca="true">RAND()</f>
        <v>0.78099990689834</v>
      </c>
      <c r="O183" s="83" t="n">
        <f aca="false">IF(N183&lt;(Inputs!$E$26-Inputs!$D$26)/(Inputs!$F$26-Inputs!$D$26),Inputs!$D$26+SQRT(N183*(Inputs!$F$26-Inputs!$D$26)*(Inputs!$E$26-Inputs!$D$26)),Inputs!$F$26-SQRT((1-N183)*(Inputs!$F$26-Inputs!$D$26)*(Inputs!$F$26-Inputs!$E$26)))</f>
        <v>0.669082772081606</v>
      </c>
      <c r="P183" s="81" t="n">
        <f aca="true">RAND()</f>
        <v>0.23287942047094</v>
      </c>
      <c r="Q183" s="82" t="n">
        <f aca="false">IF(P183&lt;(Inputs!$E$27-Inputs!$D$27)/(Inputs!$F$27-Inputs!$D$27),Inputs!$D$27+SQRT(P183*(Inputs!$F$27-Inputs!$D$27)*(Inputs!$E$27-Inputs!$D$27)),Inputs!$F$27-SQRT((1-P183)*(Inputs!$F$27-Inputs!$D$27)*(Inputs!$F$27-Inputs!$E$27)))</f>
        <v>74.1287909182651</v>
      </c>
      <c r="R183" s="81" t="n">
        <f aca="true">RAND()</f>
        <v>0.73713483230843</v>
      </c>
      <c r="S183" s="82" t="n">
        <f aca="false">IF(R183&lt;(Inputs!$E$29-Inputs!$D$29)/(Inputs!$F$29-Inputs!$D$29),Inputs!$D$29+SQRT(R183*(Inputs!$F$29-Inputs!$D$29)*(Inputs!$E$29-Inputs!$D$29)),Inputs!$F$29-SQRT((1-R183)*(Inputs!$F$29-Inputs!$D$29)*(Inputs!$F$29-Inputs!$E$29)))</f>
        <v>9.15427747836898</v>
      </c>
      <c r="T183" s="68" t="n">
        <f aca="false">Inputs!$E$9*(1+E183)+Inputs!$E$5*C183*(Inputs!$E$11*Inputs!$E$14*(G183*I183/Inputs!$E$16+(1-G183))*K183+Inputs!$E$23*M183)*(1+O183)+Inputs!$E$5*(Q183+S183)</f>
        <v>5883.97043374129</v>
      </c>
    </row>
    <row r="184" customFormat="false" ht="15" hidden="false" customHeight="false" outlineLevel="0" collapsed="false">
      <c r="A184" s="1" t="n">
        <v>180</v>
      </c>
      <c r="B184" s="81" t="n">
        <f aca="true">RAND()</f>
        <v>0.911689430183543</v>
      </c>
      <c r="C184" s="82" t="n">
        <f aca="false">ROUND(IF(B184&lt;(Inputs!$E$8-Inputs!$D$8)/(Inputs!$F$8-Inputs!$D$8),Inputs!$D$8+SQRT(B184*(Inputs!$F$8-Inputs!$D$8)*(Inputs!$E$8-Inputs!$D$8)),Inputs!$F$8-SQRT((1-B184)*(Inputs!$F$8-Inputs!$D$8)*(Inputs!$F$8-Inputs!$E$8))),0)</f>
        <v>28</v>
      </c>
      <c r="D184" s="81" t="n">
        <f aca="true">RAND()</f>
        <v>0.0503215153464743</v>
      </c>
      <c r="E184" s="83" t="n">
        <f aca="false">IF(D184&lt;(Inputs!$E$10-Inputs!$D$10)/(Inputs!$F$10-Inputs!$D$10),Inputs!$D$10+SQRT(D184*(Inputs!$F$10-Inputs!$D$10)*(Inputs!$E$10-Inputs!$D$10)),Inputs!$F$10-SQRT((1-D184)*(Inputs!$F$10-Inputs!$D$10)*(Inputs!$F$10-Inputs!$E$10)))</f>
        <v>0.022432457588609</v>
      </c>
      <c r="F184" s="81" t="n">
        <f aca="true">RAND()</f>
        <v>0.71107512638501</v>
      </c>
      <c r="G184" s="83" t="n">
        <f aca="false">IF(F184&lt;(Inputs!$E$15-Inputs!$D$15)/(Inputs!$F$15-Inputs!$D$15),Inputs!$D$15+SQRT(F184*(Inputs!$F$15-Inputs!$D$15)*(Inputs!$E$15-Inputs!$D$15)),Inputs!$F$15-SQRT((1-F184)*(Inputs!$F$15-Inputs!$D$15)*(Inputs!$F$15-Inputs!$E$15)))</f>
        <v>0.723983571036915</v>
      </c>
      <c r="H184" s="81" t="n">
        <f aca="true">RAND()</f>
        <v>0.775679424377839</v>
      </c>
      <c r="I184" s="82" t="n">
        <f aca="false">ROUND(IF(H184&lt;(Inputs!$E$17-Inputs!$D$17)/(Inputs!$F$17-Inputs!$D$17),Inputs!$D$17+SQRT(H184*(Inputs!$F$17-Inputs!$D$17)*(Inputs!$E$17-Inputs!$D$17)),Inputs!$F$17-SQRT((1-H184)*(Inputs!$F$17-Inputs!$D$17)*(Inputs!$F$17-Inputs!$E$17))),0)</f>
        <v>109</v>
      </c>
      <c r="J184" s="81" t="n">
        <f aca="true">RAND()</f>
        <v>0.500573203746444</v>
      </c>
      <c r="K184" s="83" t="n">
        <f aca="false">IF(J184&lt;(Inputs!$E$18-Inputs!$D$18)/(Inputs!$F$18-Inputs!$D$18),Inputs!$D$18+SQRT(J184*(Inputs!$F$18-Inputs!$D$18)*(Inputs!$E$18-Inputs!$D$18)),Inputs!$F$18-SQRT((1-J184)*(Inputs!$F$18-Inputs!$D$18)*(Inputs!$F$18-Inputs!$E$18)))</f>
        <v>1.04095492191351</v>
      </c>
      <c r="L184" s="81" t="n">
        <f aca="true">RAND()</f>
        <v>0.0474940868539526</v>
      </c>
      <c r="M184" s="83" t="n">
        <f aca="false">IF(L184&lt;(Inputs!$E$24-Inputs!$D$24)/(Inputs!$F$24-Inputs!$D$24),Inputs!$D$24+SQRT(L184*(Inputs!$F$24-Inputs!$D$24)*(Inputs!$E$24-Inputs!$D$24)),Inputs!$F$24-SQRT((1-L184)*(Inputs!$F$24-Inputs!$D$24)*(Inputs!$F$24-Inputs!$E$24)))</f>
        <v>0.675493644914485</v>
      </c>
      <c r="N184" s="81" t="n">
        <f aca="true">RAND()</f>
        <v>0.710114879114683</v>
      </c>
      <c r="O184" s="83" t="n">
        <f aca="false">IF(N184&lt;(Inputs!$E$26-Inputs!$D$26)/(Inputs!$F$26-Inputs!$D$26),Inputs!$D$26+SQRT(N184*(Inputs!$F$26-Inputs!$D$26)*(Inputs!$E$26-Inputs!$D$26)),Inputs!$F$26-SQRT((1-N184)*(Inputs!$F$26-Inputs!$D$26)*(Inputs!$F$26-Inputs!$E$26)))</f>
        <v>0.646368054287027</v>
      </c>
      <c r="P184" s="81" t="n">
        <f aca="true">RAND()</f>
        <v>0.150327730140879</v>
      </c>
      <c r="Q184" s="82" t="n">
        <f aca="false">IF(P184&lt;(Inputs!$E$27-Inputs!$D$27)/(Inputs!$F$27-Inputs!$D$27),Inputs!$D$27+SQRT(P184*(Inputs!$F$27-Inputs!$D$27)*(Inputs!$E$27-Inputs!$D$27)),Inputs!$F$27-SQRT((1-P184)*(Inputs!$F$27-Inputs!$D$27)*(Inputs!$F$27-Inputs!$E$27)))</f>
        <v>69.3860600781128</v>
      </c>
      <c r="R184" s="81" t="n">
        <f aca="true">RAND()</f>
        <v>0.418610742871336</v>
      </c>
      <c r="S184" s="82" t="n">
        <f aca="false">IF(R184&lt;(Inputs!$E$29-Inputs!$D$29)/(Inputs!$F$29-Inputs!$D$29),Inputs!$D$29+SQRT(R184*(Inputs!$F$29-Inputs!$D$29)*(Inputs!$E$29-Inputs!$D$29)),Inputs!$F$29-SQRT((1-R184)*(Inputs!$F$29-Inputs!$D$29)*(Inputs!$F$29-Inputs!$E$29)))</f>
        <v>6.30628943277232</v>
      </c>
      <c r="T184" s="68" t="n">
        <f aca="false">Inputs!$E$9*(1+E184)+Inputs!$E$5*C184*(Inputs!$E$11*Inputs!$E$14*(G184*I184/Inputs!$E$16+(1-G184))*K184+Inputs!$E$23*M184)*(1+O184)+Inputs!$E$5*(Q184+S184)</f>
        <v>6334.37997758867</v>
      </c>
    </row>
    <row r="185" customFormat="false" ht="15" hidden="false" customHeight="false" outlineLevel="0" collapsed="false">
      <c r="A185" s="1" t="n">
        <v>181</v>
      </c>
      <c r="B185" s="81" t="n">
        <f aca="true">RAND()</f>
        <v>0.646280050008575</v>
      </c>
      <c r="C185" s="82" t="n">
        <f aca="false">ROUND(IF(B185&lt;(Inputs!$E$8-Inputs!$D$8)/(Inputs!$F$8-Inputs!$D$8),Inputs!$D$8+SQRT(B185*(Inputs!$F$8-Inputs!$D$8)*(Inputs!$E$8-Inputs!$D$8)),Inputs!$F$8-SQRT((1-B185)*(Inputs!$F$8-Inputs!$D$8)*(Inputs!$F$8-Inputs!$E$8))),0)</f>
        <v>26</v>
      </c>
      <c r="D185" s="81" t="n">
        <f aca="true">RAND()</f>
        <v>0.779712825778067</v>
      </c>
      <c r="E185" s="83" t="n">
        <f aca="false">IF(D185&lt;(Inputs!$E$10-Inputs!$D$10)/(Inputs!$F$10-Inputs!$D$10),Inputs!$D$10+SQRT(D185*(Inputs!$F$10-Inputs!$D$10)*(Inputs!$E$10-Inputs!$D$10)),Inputs!$F$10-SQRT((1-D185)*(Inputs!$F$10-Inputs!$D$10)*(Inputs!$F$10-Inputs!$E$10)))</f>
        <v>0.118706610190877</v>
      </c>
      <c r="F185" s="81" t="n">
        <f aca="true">RAND()</f>
        <v>0.149743344451111</v>
      </c>
      <c r="G185" s="83" t="n">
        <f aca="false">IF(F185&lt;(Inputs!$E$15-Inputs!$D$15)/(Inputs!$F$15-Inputs!$D$15),Inputs!$D$15+SQRT(F185*(Inputs!$F$15-Inputs!$D$15)*(Inputs!$E$15-Inputs!$D$15)),Inputs!$F$15-SQRT((1-F185)*(Inputs!$F$15-Inputs!$D$15)*(Inputs!$F$15-Inputs!$E$15)))</f>
        <v>0.654725377011239</v>
      </c>
      <c r="H185" s="81" t="n">
        <f aca="true">RAND()</f>
        <v>0.956121506311376</v>
      </c>
      <c r="I185" s="82" t="n">
        <f aca="false">ROUND(IF(H185&lt;(Inputs!$E$17-Inputs!$D$17)/(Inputs!$F$17-Inputs!$D$17),Inputs!$D$17+SQRT(H185*(Inputs!$F$17-Inputs!$D$17)*(Inputs!$E$17-Inputs!$D$17)),Inputs!$F$17-SQRT((1-H185)*(Inputs!$F$17-Inputs!$D$17)*(Inputs!$F$17-Inputs!$E$17))),0)</f>
        <v>112</v>
      </c>
      <c r="J185" s="81" t="n">
        <f aca="true">RAND()</f>
        <v>0.158033293118081</v>
      </c>
      <c r="K185" s="83" t="n">
        <f aca="false">IF(J185&lt;(Inputs!$E$18-Inputs!$D$18)/(Inputs!$F$18-Inputs!$D$18),Inputs!$D$18+SQRT(J185*(Inputs!$F$18-Inputs!$D$18)*(Inputs!$E$18-Inputs!$D$18)),Inputs!$F$18-SQRT((1-J185)*(Inputs!$F$18-Inputs!$D$18)*(Inputs!$F$18-Inputs!$E$18)))</f>
        <v>0.974371804194418</v>
      </c>
      <c r="L185" s="81" t="n">
        <f aca="true">RAND()</f>
        <v>0.25510746063674</v>
      </c>
      <c r="M185" s="83" t="n">
        <f aca="false">IF(L185&lt;(Inputs!$E$24-Inputs!$D$24)/(Inputs!$F$24-Inputs!$D$24),Inputs!$D$24+SQRT(L185*(Inputs!$F$24-Inputs!$D$24)*(Inputs!$E$24-Inputs!$D$24)),Inputs!$F$24-SQRT((1-L185)*(Inputs!$F$24-Inputs!$D$24)*(Inputs!$F$24-Inputs!$E$24)))</f>
        <v>0.774965411657301</v>
      </c>
      <c r="N185" s="81" t="n">
        <f aca="true">RAND()</f>
        <v>0.0765246468236233</v>
      </c>
      <c r="O185" s="83" t="n">
        <f aca="false">IF(N185&lt;(Inputs!$E$26-Inputs!$D$26)/(Inputs!$F$26-Inputs!$D$26),Inputs!$D$26+SQRT(N185*(Inputs!$F$26-Inputs!$D$26)*(Inputs!$E$26-Inputs!$D$26)),Inputs!$F$26-SQRT((1-N185)*(Inputs!$F$26-Inputs!$D$26)*(Inputs!$F$26-Inputs!$E$26)))</f>
        <v>0.412843702666347</v>
      </c>
      <c r="P185" s="81" t="n">
        <f aca="true">RAND()</f>
        <v>0.884143594053959</v>
      </c>
      <c r="Q185" s="82" t="n">
        <f aca="false">IF(P185&lt;(Inputs!$E$27-Inputs!$D$27)/(Inputs!$F$27-Inputs!$D$27),Inputs!$D$27+SQRT(P185*(Inputs!$F$27-Inputs!$D$27)*(Inputs!$E$27-Inputs!$D$27)),Inputs!$F$27-SQRT((1-P185)*(Inputs!$F$27-Inputs!$D$27)*(Inputs!$F$27-Inputs!$E$27)))</f>
        <v>120.522499349584</v>
      </c>
      <c r="R185" s="81" t="n">
        <f aca="true">RAND()</f>
        <v>0.848585340101938</v>
      </c>
      <c r="S185" s="82" t="n">
        <f aca="false">IF(R185&lt;(Inputs!$E$29-Inputs!$D$29)/(Inputs!$F$29-Inputs!$D$29),Inputs!$D$29+SQRT(R185*(Inputs!$F$29-Inputs!$D$29)*(Inputs!$E$29-Inputs!$D$29)),Inputs!$F$29-SQRT((1-R185)*(Inputs!$F$29-Inputs!$D$29)*(Inputs!$F$29-Inputs!$E$29)))</f>
        <v>10.5633452031121</v>
      </c>
      <c r="T185" s="68" t="n">
        <f aca="false">Inputs!$E$9*(1+E185)+Inputs!$E$5*C185*(Inputs!$E$11*Inputs!$E$14*(G185*I185/Inputs!$E$16+(1-G185))*K185+Inputs!$E$23*M185)*(1+O185)+Inputs!$E$5*(Q185+S185)</f>
        <v>6175.82603544261</v>
      </c>
    </row>
    <row r="186" customFormat="false" ht="15" hidden="false" customHeight="false" outlineLevel="0" collapsed="false">
      <c r="A186" s="1" t="n">
        <v>182</v>
      </c>
      <c r="B186" s="81" t="n">
        <f aca="true">RAND()</f>
        <v>0.237258084217713</v>
      </c>
      <c r="C186" s="82" t="n">
        <f aca="false">ROUND(IF(B186&lt;(Inputs!$E$8-Inputs!$D$8)/(Inputs!$F$8-Inputs!$D$8),Inputs!$D$8+SQRT(B186*(Inputs!$F$8-Inputs!$D$8)*(Inputs!$E$8-Inputs!$D$8)),Inputs!$F$8-SQRT((1-B186)*(Inputs!$F$8-Inputs!$D$8)*(Inputs!$F$8-Inputs!$E$8))),0)</f>
        <v>23</v>
      </c>
      <c r="D186" s="81" t="n">
        <f aca="true">RAND()</f>
        <v>0.556084961414105</v>
      </c>
      <c r="E186" s="83" t="n">
        <f aca="false">IF(D186&lt;(Inputs!$E$10-Inputs!$D$10)/(Inputs!$F$10-Inputs!$D$10),Inputs!$D$10+SQRT(D186*(Inputs!$F$10-Inputs!$D$10)*(Inputs!$E$10-Inputs!$D$10)),Inputs!$F$10-SQRT((1-D186)*(Inputs!$F$10-Inputs!$D$10)*(Inputs!$F$10-Inputs!$E$10)))</f>
        <v>0.084598738492264</v>
      </c>
      <c r="F186" s="81" t="n">
        <f aca="true">RAND()</f>
        <v>0.0547872261484033</v>
      </c>
      <c r="G186" s="83" t="n">
        <f aca="false">IF(F186&lt;(Inputs!$E$15-Inputs!$D$15)/(Inputs!$F$15-Inputs!$D$15),Inputs!$D$15+SQRT(F186*(Inputs!$F$15-Inputs!$D$15)*(Inputs!$E$15-Inputs!$D$15)),Inputs!$F$15-SQRT((1-F186)*(Inputs!$F$15-Inputs!$D$15)*(Inputs!$F$15-Inputs!$E$15)))</f>
        <v>0.633102032006632</v>
      </c>
      <c r="H186" s="81" t="n">
        <f aca="true">RAND()</f>
        <v>0.0445573267258546</v>
      </c>
      <c r="I186" s="82" t="n">
        <f aca="false">ROUND(IF(H186&lt;(Inputs!$E$17-Inputs!$D$17)/(Inputs!$F$17-Inputs!$D$17),Inputs!$D$17+SQRT(H186*(Inputs!$F$17-Inputs!$D$17)*(Inputs!$E$17-Inputs!$D$17)),Inputs!$F$17-SQRT((1-H186)*(Inputs!$F$17-Inputs!$D$17)*(Inputs!$F$17-Inputs!$E$17))),0)</f>
        <v>102</v>
      </c>
      <c r="J186" s="81" t="n">
        <f aca="true">RAND()</f>
        <v>0.630749682996908</v>
      </c>
      <c r="K186" s="83" t="n">
        <f aca="false">IF(J186&lt;(Inputs!$E$18-Inputs!$D$18)/(Inputs!$F$18-Inputs!$D$18),Inputs!$D$18+SQRT(J186*(Inputs!$F$18-Inputs!$D$18)*(Inputs!$E$18-Inputs!$D$18)),Inputs!$F$18-SQRT((1-J186)*(Inputs!$F$18-Inputs!$D$18)*(Inputs!$F$18-Inputs!$E$18)))</f>
        <v>1.07025183523115</v>
      </c>
      <c r="L186" s="81" t="n">
        <f aca="true">RAND()</f>
        <v>0.873016847609832</v>
      </c>
      <c r="M186" s="83" t="n">
        <f aca="false">IF(L186&lt;(Inputs!$E$24-Inputs!$D$24)/(Inputs!$F$24-Inputs!$D$24),Inputs!$D$24+SQRT(L186*(Inputs!$F$24-Inputs!$D$24)*(Inputs!$E$24-Inputs!$D$24)),Inputs!$F$24-SQRT((1-L186)*(Inputs!$F$24-Inputs!$D$24)*(Inputs!$F$24-Inputs!$E$24)))</f>
        <v>1.02542635773508</v>
      </c>
      <c r="N186" s="81" t="n">
        <f aca="true">RAND()</f>
        <v>0.476300136221478</v>
      </c>
      <c r="O186" s="83" t="n">
        <f aca="false">IF(N186&lt;(Inputs!$E$26-Inputs!$D$26)/(Inputs!$F$26-Inputs!$D$26),Inputs!$D$26+SQRT(N186*(Inputs!$F$26-Inputs!$D$26)*(Inputs!$E$26-Inputs!$D$26)),Inputs!$F$26-SQRT((1-N186)*(Inputs!$F$26-Inputs!$D$26)*(Inputs!$F$26-Inputs!$E$26)))</f>
        <v>0.581525030267744</v>
      </c>
      <c r="P186" s="81" t="n">
        <f aca="true">RAND()</f>
        <v>0.776725317449705</v>
      </c>
      <c r="Q186" s="82" t="n">
        <f aca="false">IF(P186&lt;(Inputs!$E$27-Inputs!$D$27)/(Inputs!$F$27-Inputs!$D$27),Inputs!$D$27+SQRT(P186*(Inputs!$F$27-Inputs!$D$27)*(Inputs!$E$27-Inputs!$D$27)),Inputs!$F$27-SQRT((1-P186)*(Inputs!$F$27-Inputs!$D$27)*(Inputs!$F$27-Inputs!$E$27)))</f>
        <v>109.078610493689</v>
      </c>
      <c r="R186" s="81" t="n">
        <f aca="true">RAND()</f>
        <v>0.575856310130582</v>
      </c>
      <c r="S186" s="82" t="n">
        <f aca="false">IF(R186&lt;(Inputs!$E$29-Inputs!$D$29)/(Inputs!$F$29-Inputs!$D$29),Inputs!$D$29+SQRT(R186*(Inputs!$F$29-Inputs!$D$29)*(Inputs!$E$29-Inputs!$D$29)),Inputs!$F$29-SQRT((1-R186)*(Inputs!$F$29-Inputs!$D$29)*(Inputs!$F$29-Inputs!$E$29)))</f>
        <v>7.5744576169128</v>
      </c>
      <c r="T186" s="68" t="n">
        <f aca="false">Inputs!$E$9*(1+E186)+Inputs!$E$5*C186*(Inputs!$E$11*Inputs!$E$14*(G186*I186/Inputs!$E$16+(1-G186))*K186+Inputs!$E$23*M186)*(1+O186)+Inputs!$E$5*(Q186+S186)</f>
        <v>6445.72399022496</v>
      </c>
    </row>
    <row r="187" customFormat="false" ht="15" hidden="false" customHeight="false" outlineLevel="0" collapsed="false">
      <c r="A187" s="1" t="n">
        <v>183</v>
      </c>
      <c r="B187" s="81" t="n">
        <f aca="true">RAND()</f>
        <v>0.771782215101545</v>
      </c>
      <c r="C187" s="82" t="n">
        <f aca="false">ROUND(IF(B187&lt;(Inputs!$E$8-Inputs!$D$8)/(Inputs!$F$8-Inputs!$D$8),Inputs!$D$8+SQRT(B187*(Inputs!$F$8-Inputs!$D$8)*(Inputs!$E$8-Inputs!$D$8)),Inputs!$F$8-SQRT((1-B187)*(Inputs!$F$8-Inputs!$D$8)*(Inputs!$F$8-Inputs!$E$8))),0)</f>
        <v>27</v>
      </c>
      <c r="D187" s="81" t="n">
        <f aca="true">RAND()</f>
        <v>0.842704950932636</v>
      </c>
      <c r="E187" s="83" t="n">
        <f aca="false">IF(D187&lt;(Inputs!$E$10-Inputs!$D$10)/(Inputs!$F$10-Inputs!$D$10),Inputs!$D$10+SQRT(D187*(Inputs!$F$10-Inputs!$D$10)*(Inputs!$E$10-Inputs!$D$10)),Inputs!$F$10-SQRT((1-D187)*(Inputs!$F$10-Inputs!$D$10)*(Inputs!$F$10-Inputs!$E$10)))</f>
        <v>0.13130610309481</v>
      </c>
      <c r="F187" s="81" t="n">
        <f aca="true">RAND()</f>
        <v>0.960338161450878</v>
      </c>
      <c r="G187" s="83" t="n">
        <f aca="false">IF(F187&lt;(Inputs!$E$15-Inputs!$D$15)/(Inputs!$F$15-Inputs!$D$15),Inputs!$D$15+SQRT(F187*(Inputs!$F$15-Inputs!$D$15)*(Inputs!$E$15-Inputs!$D$15)),Inputs!$F$15-SQRT((1-F187)*(Inputs!$F$15-Inputs!$D$15)*(Inputs!$F$15-Inputs!$E$15)))</f>
        <v>0.771835540641041</v>
      </c>
      <c r="H187" s="81" t="n">
        <f aca="true">RAND()</f>
        <v>0.536949366501886</v>
      </c>
      <c r="I187" s="82" t="n">
        <f aca="false">ROUND(IF(H187&lt;(Inputs!$E$17-Inputs!$D$17)/(Inputs!$F$17-Inputs!$D$17),Inputs!$D$17+SQRT(H187*(Inputs!$F$17-Inputs!$D$17)*(Inputs!$E$17-Inputs!$D$17)),Inputs!$F$17-SQRT((1-H187)*(Inputs!$F$17-Inputs!$D$17)*(Inputs!$F$17-Inputs!$E$17))),0)</f>
        <v>107</v>
      </c>
      <c r="J187" s="81" t="n">
        <f aca="true">RAND()</f>
        <v>0.578775887540515</v>
      </c>
      <c r="K187" s="83" t="n">
        <f aca="false">IF(J187&lt;(Inputs!$E$18-Inputs!$D$18)/(Inputs!$F$18-Inputs!$D$18),Inputs!$D$18+SQRT(J187*(Inputs!$F$18-Inputs!$D$18)*(Inputs!$E$18-Inputs!$D$18)),Inputs!$F$18-SQRT((1-J187)*(Inputs!$F$18-Inputs!$D$18)*(Inputs!$F$18-Inputs!$E$18)))</f>
        <v>1.05801794396297</v>
      </c>
      <c r="L187" s="81" t="n">
        <f aca="true">RAND()</f>
        <v>0.144539115177258</v>
      </c>
      <c r="M187" s="83" t="n">
        <f aca="false">IF(L187&lt;(Inputs!$E$24-Inputs!$D$24)/(Inputs!$F$24-Inputs!$D$24),Inputs!$D$24+SQRT(L187*(Inputs!$F$24-Inputs!$D$24)*(Inputs!$E$24-Inputs!$D$24)),Inputs!$F$24-SQRT((1-L187)*(Inputs!$F$24-Inputs!$D$24)*(Inputs!$F$24-Inputs!$E$24)))</f>
        <v>0.731699255203934</v>
      </c>
      <c r="N187" s="81" t="n">
        <f aca="true">RAND()</f>
        <v>0.308401603928966</v>
      </c>
      <c r="O187" s="83" t="n">
        <f aca="false">IF(N187&lt;(Inputs!$E$26-Inputs!$D$26)/(Inputs!$F$26-Inputs!$D$26),Inputs!$D$26+SQRT(N187*(Inputs!$F$26-Inputs!$D$26)*(Inputs!$E$26-Inputs!$D$26)),Inputs!$F$26-SQRT((1-N187)*(Inputs!$F$26-Inputs!$D$26)*(Inputs!$F$26-Inputs!$E$26)))</f>
        <v>0.526534824902883</v>
      </c>
      <c r="P187" s="81" t="n">
        <f aca="true">RAND()</f>
        <v>0.0390464605589208</v>
      </c>
      <c r="Q187" s="82" t="n">
        <f aca="false">IF(P187&lt;(Inputs!$E$27-Inputs!$D$27)/(Inputs!$F$27-Inputs!$D$27),Inputs!$D$27+SQRT(P187*(Inputs!$F$27-Inputs!$D$27)*(Inputs!$E$27-Inputs!$D$27)),Inputs!$F$27-SQRT((1-P187)*(Inputs!$F$27-Inputs!$D$27)*(Inputs!$F$27-Inputs!$E$27)))</f>
        <v>59.8800886330691</v>
      </c>
      <c r="R187" s="81" t="n">
        <f aca="true">RAND()</f>
        <v>0.89562797476341</v>
      </c>
      <c r="S187" s="82" t="n">
        <f aca="false">IF(R187&lt;(Inputs!$E$29-Inputs!$D$29)/(Inputs!$F$29-Inputs!$D$29),Inputs!$D$29+SQRT(R187*(Inputs!$F$29-Inputs!$D$29)*(Inputs!$E$29-Inputs!$D$29)),Inputs!$F$29-SQRT((1-R187)*(Inputs!$F$29-Inputs!$D$29)*(Inputs!$F$29-Inputs!$E$29)))</f>
        <v>11.3164740694877</v>
      </c>
      <c r="T187" s="68" t="n">
        <f aca="false">Inputs!$E$9*(1+E187)+Inputs!$E$5*C187*(Inputs!$E$11*Inputs!$E$14*(G187*I187/Inputs!$E$16+(1-G187))*K187+Inputs!$E$23*M187)*(1+O187)+Inputs!$E$5*(Q187+S187)</f>
        <v>6185.49475069152</v>
      </c>
    </row>
    <row r="188" customFormat="false" ht="15" hidden="false" customHeight="false" outlineLevel="0" collapsed="false">
      <c r="A188" s="1" t="n">
        <v>184</v>
      </c>
      <c r="B188" s="81" t="n">
        <f aca="true">RAND()</f>
        <v>0.0364038462495335</v>
      </c>
      <c r="C188" s="82" t="n">
        <f aca="false">ROUND(IF(B188&lt;(Inputs!$E$8-Inputs!$D$8)/(Inputs!$F$8-Inputs!$D$8),Inputs!$D$8+SQRT(B188*(Inputs!$F$8-Inputs!$D$8)*(Inputs!$E$8-Inputs!$D$8)),Inputs!$F$8-SQRT((1-B188)*(Inputs!$F$8-Inputs!$D$8)*(Inputs!$F$8-Inputs!$E$8))),0)</f>
        <v>21</v>
      </c>
      <c r="D188" s="81" t="n">
        <f aca="true">RAND()</f>
        <v>0.426636426947171</v>
      </c>
      <c r="E188" s="83" t="n">
        <f aca="false">IF(D188&lt;(Inputs!$E$10-Inputs!$D$10)/(Inputs!$F$10-Inputs!$D$10),Inputs!$D$10+SQRT(D188*(Inputs!$F$10-Inputs!$D$10)*(Inputs!$E$10-Inputs!$D$10)),Inputs!$F$10-SQRT((1-D188)*(Inputs!$F$10-Inputs!$D$10)*(Inputs!$F$10-Inputs!$E$10)))</f>
        <v>0.0688477709240714</v>
      </c>
      <c r="F188" s="81" t="n">
        <f aca="true">RAND()</f>
        <v>0.108549944956856</v>
      </c>
      <c r="G188" s="83" t="n">
        <f aca="false">IF(F188&lt;(Inputs!$E$15-Inputs!$D$15)/(Inputs!$F$15-Inputs!$D$15),Inputs!$D$15+SQRT(F188*(Inputs!$F$15-Inputs!$D$15)*(Inputs!$E$15-Inputs!$D$15)),Inputs!$F$15-SQRT((1-F188)*(Inputs!$F$15-Inputs!$D$15)*(Inputs!$F$15-Inputs!$E$15)))</f>
        <v>0.646593979215529</v>
      </c>
      <c r="H188" s="81" t="n">
        <f aca="true">RAND()</f>
        <v>0.255449071605396</v>
      </c>
      <c r="I188" s="82" t="n">
        <f aca="false">ROUND(IF(H188&lt;(Inputs!$E$17-Inputs!$D$17)/(Inputs!$F$17-Inputs!$D$17),Inputs!$D$17+SQRT(H188*(Inputs!$F$17-Inputs!$D$17)*(Inputs!$E$17-Inputs!$D$17)),Inputs!$F$17-SQRT((1-H188)*(Inputs!$F$17-Inputs!$D$17)*(Inputs!$F$17-Inputs!$E$17))),0)</f>
        <v>104</v>
      </c>
      <c r="J188" s="81" t="n">
        <f aca="true">RAND()</f>
        <v>0.591419786659884</v>
      </c>
      <c r="K188" s="83" t="n">
        <f aca="false">IF(J188&lt;(Inputs!$E$18-Inputs!$D$18)/(Inputs!$F$18-Inputs!$D$18),Inputs!$D$18+SQRT(J188*(Inputs!$F$18-Inputs!$D$18)*(Inputs!$E$18-Inputs!$D$18)),Inputs!$F$18-SQRT((1-J188)*(Inputs!$F$18-Inputs!$D$18)*(Inputs!$F$18-Inputs!$E$18)))</f>
        <v>1.06092126331271</v>
      </c>
      <c r="L188" s="81" t="n">
        <f aca="true">RAND()</f>
        <v>0.621909217797112</v>
      </c>
      <c r="M188" s="83" t="n">
        <f aca="false">IF(L188&lt;(Inputs!$E$24-Inputs!$D$24)/(Inputs!$F$24-Inputs!$D$24),Inputs!$D$24+SQRT(L188*(Inputs!$F$24-Inputs!$D$24)*(Inputs!$E$24-Inputs!$D$24)),Inputs!$F$24-SQRT((1-L188)*(Inputs!$F$24-Inputs!$D$24)*(Inputs!$F$24-Inputs!$E$24)))</f>
        <v>0.8987662241237</v>
      </c>
      <c r="N188" s="81" t="n">
        <f aca="true">RAND()</f>
        <v>0.540877062188595</v>
      </c>
      <c r="O188" s="83" t="n">
        <f aca="false">IF(N188&lt;(Inputs!$E$26-Inputs!$D$26)/(Inputs!$F$26-Inputs!$D$26),Inputs!$D$26+SQRT(N188*(Inputs!$F$26-Inputs!$D$26)*(Inputs!$E$26-Inputs!$D$26)),Inputs!$F$26-SQRT((1-N188)*(Inputs!$F$26-Inputs!$D$26)*(Inputs!$F$26-Inputs!$E$26)))</f>
        <v>0.600003238562823</v>
      </c>
      <c r="P188" s="81" t="n">
        <f aca="true">RAND()</f>
        <v>0.289061317659617</v>
      </c>
      <c r="Q188" s="82" t="n">
        <f aca="false">IF(P188&lt;(Inputs!$E$27-Inputs!$D$27)/(Inputs!$F$27-Inputs!$D$27),Inputs!$D$27+SQRT(P188*(Inputs!$F$27-Inputs!$D$27)*(Inputs!$E$27-Inputs!$D$27)),Inputs!$F$27-SQRT((1-P188)*(Inputs!$F$27-Inputs!$D$27)*(Inputs!$F$27-Inputs!$E$27)))</f>
        <v>76.979180245954</v>
      </c>
      <c r="R188" s="81" t="n">
        <f aca="true">RAND()</f>
        <v>0.58306656295294</v>
      </c>
      <c r="S188" s="82" t="n">
        <f aca="false">IF(R188&lt;(Inputs!$E$29-Inputs!$D$29)/(Inputs!$F$29-Inputs!$D$29),Inputs!$D$29+SQRT(R188*(Inputs!$F$29-Inputs!$D$29)*(Inputs!$E$29-Inputs!$D$29)),Inputs!$F$29-SQRT((1-R188)*(Inputs!$F$29-Inputs!$D$29)*(Inputs!$F$29-Inputs!$E$29)))</f>
        <v>7.63784360284856</v>
      </c>
      <c r="T188" s="68" t="n">
        <f aca="false">Inputs!$E$9*(1+E188)+Inputs!$E$5*C188*(Inputs!$E$11*Inputs!$E$14*(G188*I188/Inputs!$E$16+(1-G188))*K188+Inputs!$E$23*M188)*(1+O188)+Inputs!$E$5*(Q188+S188)</f>
        <v>5819.24705012217</v>
      </c>
    </row>
    <row r="189" customFormat="false" ht="15" hidden="false" customHeight="false" outlineLevel="0" collapsed="false">
      <c r="A189" s="1" t="n">
        <v>185</v>
      </c>
      <c r="B189" s="81" t="n">
        <f aca="true">RAND()</f>
        <v>0.569340724434925</v>
      </c>
      <c r="C189" s="82" t="n">
        <f aca="false">ROUND(IF(B189&lt;(Inputs!$E$8-Inputs!$D$8)/(Inputs!$F$8-Inputs!$D$8),Inputs!$D$8+SQRT(B189*(Inputs!$F$8-Inputs!$D$8)*(Inputs!$E$8-Inputs!$D$8)),Inputs!$F$8-SQRT((1-B189)*(Inputs!$F$8-Inputs!$D$8)*(Inputs!$F$8-Inputs!$E$8))),0)</f>
        <v>25</v>
      </c>
      <c r="D189" s="81" t="n">
        <f aca="true">RAND()</f>
        <v>0.246312827135347</v>
      </c>
      <c r="E189" s="83" t="n">
        <f aca="false">IF(D189&lt;(Inputs!$E$10-Inputs!$D$10)/(Inputs!$F$10-Inputs!$D$10),Inputs!$D$10+SQRT(D189*(Inputs!$F$10-Inputs!$D$10)*(Inputs!$E$10-Inputs!$D$10)),Inputs!$F$10-SQRT((1-D189)*(Inputs!$F$10-Inputs!$D$10)*(Inputs!$F$10-Inputs!$E$10)))</f>
        <v>0.0496299130701784</v>
      </c>
      <c r="F189" s="81" t="n">
        <f aca="true">RAND()</f>
        <v>0.244627343972038</v>
      </c>
      <c r="G189" s="83" t="n">
        <f aca="false">IF(F189&lt;(Inputs!$E$15-Inputs!$D$15)/(Inputs!$F$15-Inputs!$D$15),Inputs!$D$15+SQRT(F189*(Inputs!$F$15-Inputs!$D$15)*(Inputs!$E$15-Inputs!$D$15)),Inputs!$F$15-SQRT((1-F189)*(Inputs!$F$15-Inputs!$D$15)*(Inputs!$F$15-Inputs!$E$15)))</f>
        <v>0.66994674316536</v>
      </c>
      <c r="H189" s="81" t="n">
        <f aca="true">RAND()</f>
        <v>0.237087703363713</v>
      </c>
      <c r="I189" s="82" t="n">
        <f aca="false">ROUND(IF(H189&lt;(Inputs!$E$17-Inputs!$D$17)/(Inputs!$F$17-Inputs!$D$17),Inputs!$D$17+SQRT(H189*(Inputs!$F$17-Inputs!$D$17)*(Inputs!$E$17-Inputs!$D$17)),Inputs!$F$17-SQRT((1-H189)*(Inputs!$F$17-Inputs!$D$17)*(Inputs!$F$17-Inputs!$E$17))),0)</f>
        <v>104</v>
      </c>
      <c r="J189" s="81" t="n">
        <f aca="true">RAND()</f>
        <v>0.24450804335423</v>
      </c>
      <c r="K189" s="83" t="n">
        <f aca="false">IF(J189&lt;(Inputs!$E$18-Inputs!$D$18)/(Inputs!$F$18-Inputs!$D$18),Inputs!$D$18+SQRT(J189*(Inputs!$F$18-Inputs!$D$18)*(Inputs!$E$18-Inputs!$D$18)),Inputs!$F$18-SQRT((1-J189)*(Inputs!$F$18-Inputs!$D$18)*(Inputs!$F$18-Inputs!$E$18)))</f>
        <v>0.992508278102006</v>
      </c>
      <c r="L189" s="81" t="n">
        <f aca="true">RAND()</f>
        <v>0.189147619729133</v>
      </c>
      <c r="M189" s="83" t="n">
        <f aca="false">IF(L189&lt;(Inputs!$E$24-Inputs!$D$24)/(Inputs!$F$24-Inputs!$D$24),Inputs!$D$24+SQRT(L189*(Inputs!$F$24-Inputs!$D$24)*(Inputs!$E$24-Inputs!$D$24)),Inputs!$F$24-SQRT((1-L189)*(Inputs!$F$24-Inputs!$D$24)*(Inputs!$F$24-Inputs!$E$24)))</f>
        <v>0.750657606404376</v>
      </c>
      <c r="N189" s="81" t="n">
        <f aca="true">RAND()</f>
        <v>0.320835052122245</v>
      </c>
      <c r="O189" s="83" t="n">
        <f aca="false">IF(N189&lt;(Inputs!$E$26-Inputs!$D$26)/(Inputs!$F$26-Inputs!$D$26),Inputs!$D$26+SQRT(N189*(Inputs!$F$26-Inputs!$D$26)*(Inputs!$E$26-Inputs!$D$26)),Inputs!$F$26-SQRT((1-N189)*(Inputs!$F$26-Inputs!$D$26)*(Inputs!$F$26-Inputs!$E$26)))</f>
        <v>0.531056167788574</v>
      </c>
      <c r="P189" s="81" t="n">
        <f aca="true">RAND()</f>
        <v>0.79420118144559</v>
      </c>
      <c r="Q189" s="82" t="n">
        <f aca="false">IF(P189&lt;(Inputs!$E$27-Inputs!$D$27)/(Inputs!$F$27-Inputs!$D$27),Inputs!$D$27+SQRT(P189*(Inputs!$F$27-Inputs!$D$27)*(Inputs!$E$27-Inputs!$D$27)),Inputs!$F$27-SQRT((1-P189)*(Inputs!$F$27-Inputs!$D$27)*(Inputs!$F$27-Inputs!$E$27)))</f>
        <v>110.712710208541</v>
      </c>
      <c r="R189" s="81" t="n">
        <f aca="true">RAND()</f>
        <v>0.262363698025937</v>
      </c>
      <c r="S189" s="82" t="n">
        <f aca="false">IF(R189&lt;(Inputs!$E$29-Inputs!$D$29)/(Inputs!$F$29-Inputs!$D$29),Inputs!$D$29+SQRT(R189*(Inputs!$F$29-Inputs!$D$29)*(Inputs!$E$29-Inputs!$D$29)),Inputs!$F$29-SQRT((1-R189)*(Inputs!$F$29-Inputs!$D$29)*(Inputs!$F$29-Inputs!$E$29)))</f>
        <v>5.2075172067229</v>
      </c>
      <c r="T189" s="68" t="n">
        <f aca="false">Inputs!$E$9*(1+E189)+Inputs!$E$5*C189*(Inputs!$E$11*Inputs!$E$14*(G189*I189/Inputs!$E$16+(1-G189))*K189+Inputs!$E$23*M189)*(1+O189)+Inputs!$E$5*(Q189+S189)</f>
        <v>5980.63574854629</v>
      </c>
    </row>
    <row r="190" customFormat="false" ht="15" hidden="false" customHeight="false" outlineLevel="0" collapsed="false">
      <c r="A190" s="1" t="n">
        <v>186</v>
      </c>
      <c r="B190" s="81" t="n">
        <f aca="true">RAND()</f>
        <v>0.116679842867531</v>
      </c>
      <c r="C190" s="82" t="n">
        <f aca="false">ROUND(IF(B190&lt;(Inputs!$E$8-Inputs!$D$8)/(Inputs!$F$8-Inputs!$D$8),Inputs!$D$8+SQRT(B190*(Inputs!$F$8-Inputs!$D$8)*(Inputs!$E$8-Inputs!$D$8)),Inputs!$F$8-SQRT((1-B190)*(Inputs!$F$8-Inputs!$D$8)*(Inputs!$F$8-Inputs!$E$8))),0)</f>
        <v>22</v>
      </c>
      <c r="D190" s="81" t="n">
        <f aca="true">RAND()</f>
        <v>0.510563077019293</v>
      </c>
      <c r="E190" s="83" t="n">
        <f aca="false">IF(D190&lt;(Inputs!$E$10-Inputs!$D$10)/(Inputs!$F$10-Inputs!$D$10),Inputs!$D$10+SQRT(D190*(Inputs!$F$10-Inputs!$D$10)*(Inputs!$E$10-Inputs!$D$10)),Inputs!$F$10-SQRT((1-D190)*(Inputs!$F$10-Inputs!$D$10)*(Inputs!$F$10-Inputs!$E$10)))</f>
        <v>0.0788261262093961</v>
      </c>
      <c r="F190" s="81" t="n">
        <f aca="true">RAND()</f>
        <v>0.836408771774277</v>
      </c>
      <c r="G190" s="83" t="n">
        <f aca="false">IF(F190&lt;(Inputs!$E$15-Inputs!$D$15)/(Inputs!$F$15-Inputs!$D$15),Inputs!$D$15+SQRT(F190*(Inputs!$F$15-Inputs!$D$15)*(Inputs!$E$15-Inputs!$D$15)),Inputs!$F$15-SQRT((1-F190)*(Inputs!$F$15-Inputs!$D$15)*(Inputs!$F$15-Inputs!$E$15)))</f>
        <v>0.742800134925732</v>
      </c>
      <c r="H190" s="81" t="n">
        <f aca="true">RAND()</f>
        <v>0.585195783194437</v>
      </c>
      <c r="I190" s="82" t="n">
        <f aca="false">ROUND(IF(H190&lt;(Inputs!$E$17-Inputs!$D$17)/(Inputs!$F$17-Inputs!$D$17),Inputs!$D$17+SQRT(H190*(Inputs!$F$17-Inputs!$D$17)*(Inputs!$E$17-Inputs!$D$17)),Inputs!$F$17-SQRT((1-H190)*(Inputs!$F$17-Inputs!$D$17)*(Inputs!$F$17-Inputs!$E$17))),0)</f>
        <v>107</v>
      </c>
      <c r="J190" s="81" t="n">
        <f aca="true">RAND()</f>
        <v>0.433535960588015</v>
      </c>
      <c r="K190" s="83" t="n">
        <f aca="false">IF(J190&lt;(Inputs!$E$18-Inputs!$D$18)/(Inputs!$F$18-Inputs!$D$18),Inputs!$D$18+SQRT(J190*(Inputs!$F$18-Inputs!$D$18)*(Inputs!$E$18-Inputs!$D$18)),Inputs!$F$18-SQRT((1-J190)*(Inputs!$F$18-Inputs!$D$18)*(Inputs!$F$18-Inputs!$E$18)))</f>
        <v>1.02736666141714</v>
      </c>
      <c r="L190" s="81" t="n">
        <f aca="true">RAND()</f>
        <v>0.677137696996246</v>
      </c>
      <c r="M190" s="83" t="n">
        <f aca="false">IF(L190&lt;(Inputs!$E$24-Inputs!$D$24)/(Inputs!$F$24-Inputs!$D$24),Inputs!$D$24+SQRT(L190*(Inputs!$F$24-Inputs!$D$24)*(Inputs!$E$24-Inputs!$D$24)),Inputs!$F$24-SQRT((1-L190)*(Inputs!$F$24-Inputs!$D$24)*(Inputs!$F$24-Inputs!$E$24)))</f>
        <v>0.921635216449888</v>
      </c>
      <c r="N190" s="81" t="n">
        <f aca="true">RAND()</f>
        <v>0.399213621919839</v>
      </c>
      <c r="O190" s="83" t="n">
        <f aca="false">IF(N190&lt;(Inputs!$E$26-Inputs!$D$26)/(Inputs!$F$26-Inputs!$D$26),Inputs!$D$26+SQRT(N190*(Inputs!$F$26-Inputs!$D$26)*(Inputs!$E$26-Inputs!$D$26)),Inputs!$F$26-SQRT((1-N190)*(Inputs!$F$26-Inputs!$D$26)*(Inputs!$F$26-Inputs!$E$26)))</f>
        <v>0.557738523871503</v>
      </c>
      <c r="P190" s="81" t="n">
        <f aca="true">RAND()</f>
        <v>0.171748989363056</v>
      </c>
      <c r="Q190" s="82" t="n">
        <f aca="false">IF(P190&lt;(Inputs!$E$27-Inputs!$D$27)/(Inputs!$F$27-Inputs!$D$27),Inputs!$D$27+SQRT(P190*(Inputs!$F$27-Inputs!$D$27)*(Inputs!$E$27-Inputs!$D$27)),Inputs!$F$27-SQRT((1-P190)*(Inputs!$F$27-Inputs!$D$27)*(Inputs!$F$27-Inputs!$E$27)))</f>
        <v>70.7213048191382</v>
      </c>
      <c r="R190" s="81" t="n">
        <f aca="true">RAND()</f>
        <v>0.694672707088658</v>
      </c>
      <c r="S190" s="82" t="n">
        <f aca="false">IF(R190&lt;(Inputs!$E$29-Inputs!$D$29)/(Inputs!$F$29-Inputs!$D$29),Inputs!$D$29+SQRT(R190*(Inputs!$F$29-Inputs!$D$29)*(Inputs!$E$29-Inputs!$D$29)),Inputs!$F$29-SQRT((1-R190)*(Inputs!$F$29-Inputs!$D$29)*(Inputs!$F$29-Inputs!$E$29)))</f>
        <v>8.69979777479529</v>
      </c>
      <c r="T190" s="68" t="n">
        <f aca="false">Inputs!$E$9*(1+E190)+Inputs!$E$5*C190*(Inputs!$E$11*Inputs!$E$14*(G190*I190/Inputs!$E$16+(1-G190))*K190+Inputs!$E$23*M190)*(1+O190)+Inputs!$E$5*(Q190+S190)</f>
        <v>5758.84898825929</v>
      </c>
    </row>
    <row r="191" customFormat="false" ht="15" hidden="false" customHeight="false" outlineLevel="0" collapsed="false">
      <c r="A191" s="1" t="n">
        <v>187</v>
      </c>
      <c r="B191" s="81" t="n">
        <f aca="true">RAND()</f>
        <v>0.291161647939085</v>
      </c>
      <c r="C191" s="82" t="n">
        <f aca="false">ROUND(IF(B191&lt;(Inputs!$E$8-Inputs!$D$8)/(Inputs!$F$8-Inputs!$D$8),Inputs!$D$8+SQRT(B191*(Inputs!$F$8-Inputs!$D$8)*(Inputs!$E$8-Inputs!$D$8)),Inputs!$F$8-SQRT((1-B191)*(Inputs!$F$8-Inputs!$D$8)*(Inputs!$F$8-Inputs!$E$8))),0)</f>
        <v>24</v>
      </c>
      <c r="D191" s="81" t="n">
        <f aca="true">RAND()</f>
        <v>0.40686876015792</v>
      </c>
      <c r="E191" s="83" t="n">
        <f aca="false">IF(D191&lt;(Inputs!$E$10-Inputs!$D$10)/(Inputs!$F$10-Inputs!$D$10),Inputs!$D$10+SQRT(D191*(Inputs!$F$10-Inputs!$D$10)*(Inputs!$E$10-Inputs!$D$10)),Inputs!$F$10-SQRT((1-D191)*(Inputs!$F$10-Inputs!$D$10)*(Inputs!$F$10-Inputs!$E$10)))</f>
        <v>0.0666060826152016</v>
      </c>
      <c r="F191" s="81" t="n">
        <f aca="true">RAND()</f>
        <v>0.342829031902839</v>
      </c>
      <c r="G191" s="83" t="n">
        <f aca="false">IF(F191&lt;(Inputs!$E$15-Inputs!$D$15)/(Inputs!$F$15-Inputs!$D$15),Inputs!$D$15+SQRT(F191*(Inputs!$F$15-Inputs!$D$15)*(Inputs!$E$15-Inputs!$D$15)),Inputs!$F$15-SQRT((1-F191)*(Inputs!$F$15-Inputs!$D$15)*(Inputs!$F$15-Inputs!$E$15)))</f>
        <v>0.68280447233125</v>
      </c>
      <c r="H191" s="81" t="n">
        <f aca="true">RAND()</f>
        <v>0.86119607836021</v>
      </c>
      <c r="I191" s="82" t="n">
        <f aca="false">ROUND(IF(H191&lt;(Inputs!$E$17-Inputs!$D$17)/(Inputs!$F$17-Inputs!$D$17),Inputs!$D$17+SQRT(H191*(Inputs!$F$17-Inputs!$D$17)*(Inputs!$E$17-Inputs!$D$17)),Inputs!$F$17-SQRT((1-H191)*(Inputs!$F$17-Inputs!$D$17)*(Inputs!$F$17-Inputs!$E$17))),0)</f>
        <v>110</v>
      </c>
      <c r="J191" s="81" t="n">
        <f aca="true">RAND()</f>
        <v>0.58919593366142</v>
      </c>
      <c r="K191" s="83" t="n">
        <f aca="false">IF(J191&lt;(Inputs!$E$18-Inputs!$D$18)/(Inputs!$F$18-Inputs!$D$18),Inputs!$D$18+SQRT(J191*(Inputs!$F$18-Inputs!$D$18)*(Inputs!$E$18-Inputs!$D$18)),Inputs!$F$18-SQRT((1-J191)*(Inputs!$F$18-Inputs!$D$18)*(Inputs!$F$18-Inputs!$E$18)))</f>
        <v>1.06040739517422</v>
      </c>
      <c r="L191" s="81" t="n">
        <f aca="true">RAND()</f>
        <v>0.527837072859092</v>
      </c>
      <c r="M191" s="83" t="n">
        <f aca="false">IF(L191&lt;(Inputs!$E$24-Inputs!$D$24)/(Inputs!$F$24-Inputs!$D$24),Inputs!$D$24+SQRT(L191*(Inputs!$F$24-Inputs!$D$24)*(Inputs!$E$24-Inputs!$D$24)),Inputs!$F$24-SQRT((1-L191)*(Inputs!$F$24-Inputs!$D$24)*(Inputs!$F$24-Inputs!$E$24)))</f>
        <v>0.863370971967927</v>
      </c>
      <c r="N191" s="81" t="n">
        <f aca="true">RAND()</f>
        <v>0.0165963407012656</v>
      </c>
      <c r="O191" s="83" t="n">
        <f aca="false">IF(N191&lt;(Inputs!$E$26-Inputs!$D$26)/(Inputs!$F$26-Inputs!$D$26),Inputs!$D$26+SQRT(N191*(Inputs!$F$26-Inputs!$D$26)*(Inputs!$E$26-Inputs!$D$26)),Inputs!$F$26-SQRT((1-N191)*(Inputs!$F$26-Inputs!$D$26)*(Inputs!$F$26-Inputs!$E$26)))</f>
        <v>0.352551223512784</v>
      </c>
      <c r="P191" s="81" t="n">
        <f aca="true">RAND()</f>
        <v>0.0280189797736723</v>
      </c>
      <c r="Q191" s="82" t="n">
        <f aca="false">IF(P191&lt;(Inputs!$E$27-Inputs!$D$27)/(Inputs!$F$27-Inputs!$D$27),Inputs!$D$27+SQRT(P191*(Inputs!$F$27-Inputs!$D$27)*(Inputs!$E$27-Inputs!$D$27)),Inputs!$F$27-SQRT((1-P191)*(Inputs!$F$27-Inputs!$D$27)*(Inputs!$F$27-Inputs!$E$27)))</f>
        <v>58.36943543103</v>
      </c>
      <c r="R191" s="81" t="n">
        <f aca="true">RAND()</f>
        <v>0.439921325000296</v>
      </c>
      <c r="S191" s="82" t="n">
        <f aca="false">IF(R191&lt;(Inputs!$E$29-Inputs!$D$29)/(Inputs!$F$29-Inputs!$D$29),Inputs!$D$29+SQRT(R191*(Inputs!$F$29-Inputs!$D$29)*(Inputs!$E$29-Inputs!$D$29)),Inputs!$F$29-SQRT((1-R191)*(Inputs!$F$29-Inputs!$D$29)*(Inputs!$F$29-Inputs!$E$29)))</f>
        <v>6.46710906257665</v>
      </c>
      <c r="T191" s="68" t="n">
        <f aca="false">Inputs!$E$9*(1+E191)+Inputs!$E$5*C191*(Inputs!$E$11*Inputs!$E$14*(G191*I191/Inputs!$E$16+(1-G191))*K191+Inputs!$E$23*M191)*(1+O191)+Inputs!$E$5*(Q191+S191)</f>
        <v>5587.00876145906</v>
      </c>
    </row>
    <row r="192" customFormat="false" ht="15" hidden="false" customHeight="false" outlineLevel="0" collapsed="false">
      <c r="A192" s="1" t="n">
        <v>188</v>
      </c>
      <c r="B192" s="81" t="n">
        <f aca="true">RAND()</f>
        <v>0.623963088699605</v>
      </c>
      <c r="C192" s="82" t="n">
        <f aca="false">ROUND(IF(B192&lt;(Inputs!$E$8-Inputs!$D$8)/(Inputs!$F$8-Inputs!$D$8),Inputs!$D$8+SQRT(B192*(Inputs!$F$8-Inputs!$D$8)*(Inputs!$E$8-Inputs!$D$8)),Inputs!$F$8-SQRT((1-B192)*(Inputs!$F$8-Inputs!$D$8)*(Inputs!$F$8-Inputs!$E$8))),0)</f>
        <v>26</v>
      </c>
      <c r="D192" s="81" t="n">
        <f aca="true">RAND()</f>
        <v>0.0373551916484941</v>
      </c>
      <c r="E192" s="83" t="n">
        <f aca="false">IF(D192&lt;(Inputs!$E$10-Inputs!$D$10)/(Inputs!$F$10-Inputs!$D$10),Inputs!$D$10+SQRT(D192*(Inputs!$F$10-Inputs!$D$10)*(Inputs!$E$10-Inputs!$D$10)),Inputs!$F$10-SQRT((1-D192)*(Inputs!$F$10-Inputs!$D$10)*(Inputs!$F$10-Inputs!$E$10)))</f>
        <v>0.0193274912103186</v>
      </c>
      <c r="F192" s="81" t="n">
        <f aca="true">RAND()</f>
        <v>0.803826337728223</v>
      </c>
      <c r="G192" s="83" t="n">
        <f aca="false">IF(F192&lt;(Inputs!$E$15-Inputs!$D$15)/(Inputs!$F$15-Inputs!$D$15),Inputs!$D$15+SQRT(F192*(Inputs!$F$15-Inputs!$D$15)*(Inputs!$E$15-Inputs!$D$15)),Inputs!$F$15-SQRT((1-F192)*(Inputs!$F$15-Inputs!$D$15)*(Inputs!$F$15-Inputs!$E$15)))</f>
        <v>0.737362365582379</v>
      </c>
      <c r="H192" s="81" t="n">
        <f aca="true">RAND()</f>
        <v>0.597108342727197</v>
      </c>
      <c r="I192" s="82" t="n">
        <f aca="false">ROUND(IF(H192&lt;(Inputs!$E$17-Inputs!$D$17)/(Inputs!$F$17-Inputs!$D$17),Inputs!$D$17+SQRT(H192*(Inputs!$F$17-Inputs!$D$17)*(Inputs!$E$17-Inputs!$D$17)),Inputs!$F$17-SQRT((1-H192)*(Inputs!$F$17-Inputs!$D$17)*(Inputs!$F$17-Inputs!$E$17))),0)</f>
        <v>107</v>
      </c>
      <c r="J192" s="81" t="n">
        <f aca="true">RAND()</f>
        <v>0.491594041331797</v>
      </c>
      <c r="K192" s="83" t="n">
        <f aca="false">IF(J192&lt;(Inputs!$E$18-Inputs!$D$18)/(Inputs!$F$18-Inputs!$D$18),Inputs!$D$18+SQRT(J192*(Inputs!$F$18-Inputs!$D$18)*(Inputs!$E$18-Inputs!$D$18)),Inputs!$F$18-SQRT((1-J192)*(Inputs!$F$18-Inputs!$D$18)*(Inputs!$F$18-Inputs!$E$18)))</f>
        <v>1.03908408930698</v>
      </c>
      <c r="L192" s="81" t="n">
        <f aca="true">RAND()</f>
        <v>0.358483095980917</v>
      </c>
      <c r="M192" s="83" t="n">
        <f aca="false">IF(L192&lt;(Inputs!$E$24-Inputs!$D$24)/(Inputs!$F$24-Inputs!$D$24),Inputs!$D$24+SQRT(L192*(Inputs!$F$24-Inputs!$D$24)*(Inputs!$E$24-Inputs!$D$24)),Inputs!$F$24-SQRT((1-L192)*(Inputs!$F$24-Inputs!$D$24)*(Inputs!$F$24-Inputs!$E$24)))</f>
        <v>0.80761746093311</v>
      </c>
      <c r="N192" s="81" t="n">
        <f aca="true">RAND()</f>
        <v>0.21233114660998</v>
      </c>
      <c r="O192" s="83" t="n">
        <f aca="false">IF(N192&lt;(Inputs!$E$26-Inputs!$D$26)/(Inputs!$F$26-Inputs!$D$26),Inputs!$D$26+SQRT(N192*(Inputs!$F$26-Inputs!$D$26)*(Inputs!$E$26-Inputs!$D$26)),Inputs!$F$26-SQRT((1-N192)*(Inputs!$F$26-Inputs!$D$26)*(Inputs!$F$26-Inputs!$E$26)))</f>
        <v>0.487967823831369</v>
      </c>
      <c r="P192" s="81" t="n">
        <f aca="true">RAND()</f>
        <v>0.252009605225326</v>
      </c>
      <c r="Q192" s="82" t="n">
        <f aca="false">IF(P192&lt;(Inputs!$E$27-Inputs!$D$27)/(Inputs!$F$27-Inputs!$D$27),Inputs!$D$27+SQRT(P192*(Inputs!$F$27-Inputs!$D$27)*(Inputs!$E$27-Inputs!$D$27)),Inputs!$F$27-SQRT((1-P192)*(Inputs!$F$27-Inputs!$D$27)*(Inputs!$F$27-Inputs!$E$27)))</f>
        <v>75.100547660146</v>
      </c>
      <c r="R192" s="81" t="n">
        <f aca="true">RAND()</f>
        <v>0.387654235991639</v>
      </c>
      <c r="S192" s="82" t="n">
        <f aca="false">IF(R192&lt;(Inputs!$E$29-Inputs!$D$29)/(Inputs!$F$29-Inputs!$D$29),Inputs!$D$29+SQRT(R192*(Inputs!$F$29-Inputs!$D$29)*(Inputs!$E$29-Inputs!$D$29)),Inputs!$F$29-SQRT((1-R192)*(Inputs!$F$29-Inputs!$D$29)*(Inputs!$F$29-Inputs!$E$29)))</f>
        <v>6.07783942528006</v>
      </c>
      <c r="T192" s="68" t="n">
        <f aca="false">Inputs!$E$9*(1+E192)+Inputs!$E$5*C192*(Inputs!$E$11*Inputs!$E$14*(G192*I192/Inputs!$E$16+(1-G192))*K192+Inputs!$E$23*M192)*(1+O192)+Inputs!$E$5*(Q192+S192)</f>
        <v>5895.70390325572</v>
      </c>
    </row>
    <row r="193" customFormat="false" ht="15" hidden="false" customHeight="false" outlineLevel="0" collapsed="false">
      <c r="A193" s="1" t="n">
        <v>189</v>
      </c>
      <c r="B193" s="81" t="n">
        <f aca="true">RAND()</f>
        <v>0.10865175547466</v>
      </c>
      <c r="C193" s="82" t="n">
        <f aca="false">ROUND(IF(B193&lt;(Inputs!$E$8-Inputs!$D$8)/(Inputs!$F$8-Inputs!$D$8),Inputs!$D$8+SQRT(B193*(Inputs!$F$8-Inputs!$D$8)*(Inputs!$E$8-Inputs!$D$8)),Inputs!$F$8-SQRT((1-B193)*(Inputs!$F$8-Inputs!$D$8)*(Inputs!$F$8-Inputs!$E$8))),0)</f>
        <v>22</v>
      </c>
      <c r="D193" s="81" t="n">
        <f aca="true">RAND()</f>
        <v>0.00139901111435425</v>
      </c>
      <c r="E193" s="83" t="n">
        <f aca="false">IF(D193&lt;(Inputs!$E$10-Inputs!$D$10)/(Inputs!$F$10-Inputs!$D$10),Inputs!$D$10+SQRT(D193*(Inputs!$F$10-Inputs!$D$10)*(Inputs!$E$10-Inputs!$D$10)),Inputs!$F$10-SQRT((1-D193)*(Inputs!$F$10-Inputs!$D$10)*(Inputs!$F$10-Inputs!$E$10)))</f>
        <v>0.00374033569931129</v>
      </c>
      <c r="F193" s="81" t="n">
        <f aca="true">RAND()</f>
        <v>0.434079994320609</v>
      </c>
      <c r="G193" s="83" t="n">
        <f aca="false">IF(F193&lt;(Inputs!$E$15-Inputs!$D$15)/(Inputs!$F$15-Inputs!$D$15),Inputs!$D$15+SQRT(F193*(Inputs!$F$15-Inputs!$D$15)*(Inputs!$E$15-Inputs!$D$15)),Inputs!$F$15-SQRT((1-F193)*(Inputs!$F$15-Inputs!$D$15)*(Inputs!$F$15-Inputs!$E$15)))</f>
        <v>0.693175103361425</v>
      </c>
      <c r="H193" s="81" t="n">
        <f aca="true">RAND()</f>
        <v>0.140134514780463</v>
      </c>
      <c r="I193" s="82" t="n">
        <f aca="false">ROUND(IF(H193&lt;(Inputs!$E$17-Inputs!$D$17)/(Inputs!$F$17-Inputs!$D$17),Inputs!$D$17+SQRT(H193*(Inputs!$F$17-Inputs!$D$17)*(Inputs!$E$17-Inputs!$D$17)),Inputs!$F$17-SQRT((1-H193)*(Inputs!$F$17-Inputs!$D$17)*(Inputs!$F$17-Inputs!$E$17))),0)</f>
        <v>103</v>
      </c>
      <c r="J193" s="81" t="n">
        <f aca="true">RAND()</f>
        <v>0.644068990035964</v>
      </c>
      <c r="K193" s="83" t="n">
        <f aca="false">IF(J193&lt;(Inputs!$E$18-Inputs!$D$18)/(Inputs!$F$18-Inputs!$D$18),Inputs!$D$18+SQRT(J193*(Inputs!$F$18-Inputs!$D$18)*(Inputs!$E$18-Inputs!$D$18)),Inputs!$F$18-SQRT((1-J193)*(Inputs!$F$18-Inputs!$D$18)*(Inputs!$F$18-Inputs!$E$18)))</f>
        <v>1.07352347642858</v>
      </c>
      <c r="L193" s="81" t="n">
        <f aca="true">RAND()</f>
        <v>0.745262338159953</v>
      </c>
      <c r="M193" s="83" t="n">
        <f aca="false">IF(L193&lt;(Inputs!$E$24-Inputs!$D$24)/(Inputs!$F$24-Inputs!$D$24),Inputs!$D$24+SQRT(L193*(Inputs!$F$24-Inputs!$D$24)*(Inputs!$E$24-Inputs!$D$24)),Inputs!$F$24-SQRT((1-L193)*(Inputs!$F$24-Inputs!$D$24)*(Inputs!$F$24-Inputs!$E$24)))</f>
        <v>0.952740947907642</v>
      </c>
      <c r="N193" s="81" t="n">
        <f aca="true">RAND()</f>
        <v>0.180923264849377</v>
      </c>
      <c r="O193" s="83" t="n">
        <f aca="false">IF(N193&lt;(Inputs!$E$26-Inputs!$D$26)/(Inputs!$F$26-Inputs!$D$26),Inputs!$D$26+SQRT(N193*(Inputs!$F$26-Inputs!$D$26)*(Inputs!$E$26-Inputs!$D$26)),Inputs!$F$26-SQRT((1-N193)*(Inputs!$F$26-Inputs!$D$26)*(Inputs!$F$26-Inputs!$E$26)))</f>
        <v>0.473509744023027</v>
      </c>
      <c r="P193" s="81" t="n">
        <f aca="true">RAND()</f>
        <v>0.772727317785733</v>
      </c>
      <c r="Q193" s="82" t="n">
        <f aca="false">IF(P193&lt;(Inputs!$E$27-Inputs!$D$27)/(Inputs!$F$27-Inputs!$D$27),Inputs!$D$27+SQRT(P193*(Inputs!$F$27-Inputs!$D$27)*(Inputs!$E$27-Inputs!$D$27)),Inputs!$F$27-SQRT((1-P193)*(Inputs!$F$27-Inputs!$D$27)*(Inputs!$F$27-Inputs!$E$27)))</f>
        <v>108.7138629004</v>
      </c>
      <c r="R193" s="81" t="n">
        <f aca="true">RAND()</f>
        <v>0.218116582093438</v>
      </c>
      <c r="S193" s="82" t="n">
        <f aca="false">IF(R193&lt;(Inputs!$E$29-Inputs!$D$29)/(Inputs!$F$29-Inputs!$D$29),Inputs!$D$29+SQRT(R193*(Inputs!$F$29-Inputs!$D$29)*(Inputs!$E$29-Inputs!$D$29)),Inputs!$F$29-SQRT((1-R193)*(Inputs!$F$29-Inputs!$D$29)*(Inputs!$F$29-Inputs!$E$29)))</f>
        <v>4.91659848138959</v>
      </c>
      <c r="T193" s="68" t="n">
        <f aca="false">Inputs!$E$9*(1+E193)+Inputs!$E$5*C193*(Inputs!$E$11*Inputs!$E$14*(G193*I193/Inputs!$E$16+(1-G193))*K193+Inputs!$E$23*M193)*(1+O193)+Inputs!$E$5*(Q193+S193)</f>
        <v>5734.12513483946</v>
      </c>
    </row>
    <row r="194" customFormat="false" ht="15" hidden="false" customHeight="false" outlineLevel="0" collapsed="false">
      <c r="A194" s="1" t="n">
        <v>190</v>
      </c>
      <c r="B194" s="81" t="n">
        <f aca="true">RAND()</f>
        <v>0.794931410829885</v>
      </c>
      <c r="C194" s="82" t="n">
        <f aca="false">ROUND(IF(B194&lt;(Inputs!$E$8-Inputs!$D$8)/(Inputs!$F$8-Inputs!$D$8),Inputs!$D$8+SQRT(B194*(Inputs!$F$8-Inputs!$D$8)*(Inputs!$E$8-Inputs!$D$8)),Inputs!$F$8-SQRT((1-B194)*(Inputs!$F$8-Inputs!$D$8)*(Inputs!$F$8-Inputs!$E$8))),0)</f>
        <v>27</v>
      </c>
      <c r="D194" s="81" t="n">
        <f aca="true">RAND()</f>
        <v>0.312623903940451</v>
      </c>
      <c r="E194" s="83" t="n">
        <f aca="false">IF(D194&lt;(Inputs!$E$10-Inputs!$D$10)/(Inputs!$F$10-Inputs!$D$10),Inputs!$D$10+SQRT(D194*(Inputs!$F$10-Inputs!$D$10)*(Inputs!$E$10-Inputs!$D$10)),Inputs!$F$10-SQRT((1-D194)*(Inputs!$F$10-Inputs!$D$10)*(Inputs!$F$10-Inputs!$E$10)))</f>
        <v>0.0563988757641972</v>
      </c>
      <c r="F194" s="81" t="n">
        <f aca="true">RAND()</f>
        <v>0.851149995834574</v>
      </c>
      <c r="G194" s="83" t="n">
        <f aca="false">IF(F194&lt;(Inputs!$E$15-Inputs!$D$15)/(Inputs!$F$15-Inputs!$D$15),Inputs!$D$15+SQRT(F194*(Inputs!$F$15-Inputs!$D$15)*(Inputs!$E$15-Inputs!$D$15)),Inputs!$F$15-SQRT((1-F194)*(Inputs!$F$15-Inputs!$D$15)*(Inputs!$F$15-Inputs!$E$15)))</f>
        <v>0.745438107773754</v>
      </c>
      <c r="H194" s="81" t="n">
        <f aca="true">RAND()</f>
        <v>0.266052253881802</v>
      </c>
      <c r="I194" s="82" t="n">
        <f aca="false">ROUND(IF(H194&lt;(Inputs!$E$17-Inputs!$D$17)/(Inputs!$F$17-Inputs!$D$17),Inputs!$D$17+SQRT(H194*(Inputs!$F$17-Inputs!$D$17)*(Inputs!$E$17-Inputs!$D$17)),Inputs!$F$17-SQRT((1-H194)*(Inputs!$F$17-Inputs!$D$17)*(Inputs!$F$17-Inputs!$E$17))),0)</f>
        <v>104</v>
      </c>
      <c r="J194" s="81" t="n">
        <f aca="true">RAND()</f>
        <v>0.00816525185182533</v>
      </c>
      <c r="K194" s="83" t="n">
        <f aca="false">IF(J194&lt;(Inputs!$E$18-Inputs!$D$18)/(Inputs!$F$18-Inputs!$D$18),Inputs!$D$18+SQRT(J194*(Inputs!$F$18-Inputs!$D$18)*(Inputs!$E$18-Inputs!$D$18)),Inputs!$F$18-SQRT((1-J194)*(Inputs!$F$18-Inputs!$D$18)*(Inputs!$F$18-Inputs!$E$18)))</f>
        <v>0.916905141667963</v>
      </c>
      <c r="L194" s="81" t="n">
        <f aca="true">RAND()</f>
        <v>0.471310385361336</v>
      </c>
      <c r="M194" s="83" t="n">
        <f aca="false">IF(L194&lt;(Inputs!$E$24-Inputs!$D$24)/(Inputs!$F$24-Inputs!$D$24),Inputs!$D$24+SQRT(L194*(Inputs!$F$24-Inputs!$D$24)*(Inputs!$E$24-Inputs!$D$24)),Inputs!$F$24-SQRT((1-L194)*(Inputs!$F$24-Inputs!$D$24)*(Inputs!$F$24-Inputs!$E$24)))</f>
        <v>0.843790079428886</v>
      </c>
      <c r="N194" s="81" t="n">
        <f aca="true">RAND()</f>
        <v>0.840324854526388</v>
      </c>
      <c r="O194" s="83" t="n">
        <f aca="false">IF(N194&lt;(Inputs!$E$26-Inputs!$D$26)/(Inputs!$F$26-Inputs!$D$26),Inputs!$D$26+SQRT(N194*(Inputs!$F$26-Inputs!$D$26)*(Inputs!$E$26-Inputs!$D$26)),Inputs!$F$26-SQRT((1-N194)*(Inputs!$F$26-Inputs!$D$26)*(Inputs!$F$26-Inputs!$E$26)))</f>
        <v>0.691134895610737</v>
      </c>
      <c r="P194" s="81" t="n">
        <f aca="true">RAND()</f>
        <v>0.584981071101928</v>
      </c>
      <c r="Q194" s="82" t="n">
        <f aca="false">IF(P194&lt;(Inputs!$E$27-Inputs!$D$27)/(Inputs!$F$27-Inputs!$D$27),Inputs!$D$27+SQRT(P194*(Inputs!$F$27-Inputs!$D$27)*(Inputs!$E$27-Inputs!$D$27)),Inputs!$F$27-SQRT((1-P194)*(Inputs!$F$27-Inputs!$D$27)*(Inputs!$F$27-Inputs!$E$27)))</f>
        <v>94.2089436671473</v>
      </c>
      <c r="R194" s="81" t="n">
        <f aca="true">RAND()</f>
        <v>0.570012361273371</v>
      </c>
      <c r="S194" s="82" t="n">
        <f aca="false">IF(R194&lt;(Inputs!$E$29-Inputs!$D$29)/(Inputs!$F$29-Inputs!$D$29),Inputs!$D$29+SQRT(R194*(Inputs!$F$29-Inputs!$D$29)*(Inputs!$E$29-Inputs!$D$29)),Inputs!$F$29-SQRT((1-R194)*(Inputs!$F$29-Inputs!$D$29)*(Inputs!$F$29-Inputs!$E$29)))</f>
        <v>7.52347720966078</v>
      </c>
      <c r="T194" s="68" t="n">
        <f aca="false">Inputs!$E$9*(1+E194)+Inputs!$E$5*C194*(Inputs!$E$11*Inputs!$E$14*(G194*I194/Inputs!$E$16+(1-G194))*K194+Inputs!$E$23*M194)*(1+O194)+Inputs!$E$5*(Q194+S194)</f>
        <v>6378.22982363041</v>
      </c>
    </row>
    <row r="195" customFormat="false" ht="15" hidden="false" customHeight="false" outlineLevel="0" collapsed="false">
      <c r="A195" s="1" t="n">
        <v>191</v>
      </c>
      <c r="B195" s="81" t="n">
        <f aca="true">RAND()</f>
        <v>0.881931186704923</v>
      </c>
      <c r="C195" s="82" t="n">
        <f aca="false">ROUND(IF(B195&lt;(Inputs!$E$8-Inputs!$D$8)/(Inputs!$F$8-Inputs!$D$8),Inputs!$D$8+SQRT(B195*(Inputs!$F$8-Inputs!$D$8)*(Inputs!$E$8-Inputs!$D$8)),Inputs!$F$8-SQRT((1-B195)*(Inputs!$F$8-Inputs!$D$8)*(Inputs!$F$8-Inputs!$E$8))),0)</f>
        <v>28</v>
      </c>
      <c r="D195" s="81" t="n">
        <f aca="true">RAND()</f>
        <v>0.0169553804251958</v>
      </c>
      <c r="E195" s="83" t="n">
        <f aca="false">IF(D195&lt;(Inputs!$E$10-Inputs!$D$10)/(Inputs!$F$10-Inputs!$D$10),Inputs!$D$10+SQRT(D195*(Inputs!$F$10-Inputs!$D$10)*(Inputs!$E$10-Inputs!$D$10)),Inputs!$F$10-SQRT((1-D195)*(Inputs!$F$10-Inputs!$D$10)*(Inputs!$F$10-Inputs!$E$10)))</f>
        <v>0.0130212827421863</v>
      </c>
      <c r="F195" s="81" t="n">
        <f aca="true">RAND()</f>
        <v>0.817709009103756</v>
      </c>
      <c r="G195" s="83" t="n">
        <f aca="false">IF(F195&lt;(Inputs!$E$15-Inputs!$D$15)/(Inputs!$F$15-Inputs!$D$15),Inputs!$D$15+SQRT(F195*(Inputs!$F$15-Inputs!$D$15)*(Inputs!$E$15-Inputs!$D$15)),Inputs!$F$15-SQRT((1-F195)*(Inputs!$F$15-Inputs!$D$15)*(Inputs!$F$15-Inputs!$E$15)))</f>
        <v>0.739619375475862</v>
      </c>
      <c r="H195" s="81" t="n">
        <f aca="true">RAND()</f>
        <v>0.84307909904471</v>
      </c>
      <c r="I195" s="82" t="n">
        <f aca="false">ROUND(IF(H195&lt;(Inputs!$E$17-Inputs!$D$17)/(Inputs!$F$17-Inputs!$D$17),Inputs!$D$17+SQRT(H195*(Inputs!$F$17-Inputs!$D$17)*(Inputs!$E$17-Inputs!$D$17)),Inputs!$F$17-SQRT((1-H195)*(Inputs!$F$17-Inputs!$D$17)*(Inputs!$F$17-Inputs!$E$17))),0)</f>
        <v>110</v>
      </c>
      <c r="J195" s="81" t="n">
        <f aca="true">RAND()</f>
        <v>0.99192711927737</v>
      </c>
      <c r="K195" s="83" t="n">
        <f aca="false">IF(J195&lt;(Inputs!$E$18-Inputs!$D$18)/(Inputs!$F$18-Inputs!$D$18),Inputs!$D$18+SQRT(J195*(Inputs!$F$18-Inputs!$D$18)*(Inputs!$E$18-Inputs!$D$18)),Inputs!$F$18-SQRT((1-J195)*(Inputs!$F$18-Inputs!$D$18)*(Inputs!$F$18-Inputs!$E$18)))</f>
        <v>1.22342224495504</v>
      </c>
      <c r="L195" s="81" t="n">
        <f aca="true">RAND()</f>
        <v>0.519646163600165</v>
      </c>
      <c r="M195" s="83" t="n">
        <f aca="false">IF(L195&lt;(Inputs!$E$24-Inputs!$D$24)/(Inputs!$F$24-Inputs!$D$24),Inputs!$D$24+SQRT(L195*(Inputs!$F$24-Inputs!$D$24)*(Inputs!$E$24-Inputs!$D$24)),Inputs!$F$24-SQRT((1-L195)*(Inputs!$F$24-Inputs!$D$24)*(Inputs!$F$24-Inputs!$E$24)))</f>
        <v>0.86046366801775</v>
      </c>
      <c r="N195" s="81" t="n">
        <f aca="true">RAND()</f>
        <v>0.906386836360532</v>
      </c>
      <c r="O195" s="83" t="n">
        <f aca="false">IF(N195&lt;(Inputs!$E$26-Inputs!$D$26)/(Inputs!$F$26-Inputs!$D$26),Inputs!$D$26+SQRT(N195*(Inputs!$F$26-Inputs!$D$26)*(Inputs!$E$26-Inputs!$D$26)),Inputs!$F$26-SQRT((1-N195)*(Inputs!$F$26-Inputs!$D$26)*(Inputs!$F$26-Inputs!$E$26)))</f>
        <v>0.72132999939949</v>
      </c>
      <c r="P195" s="81" t="n">
        <f aca="true">RAND()</f>
        <v>0.842452041772667</v>
      </c>
      <c r="Q195" s="82" t="n">
        <f aca="false">IF(P195&lt;(Inputs!$E$27-Inputs!$D$27)/(Inputs!$F$27-Inputs!$D$27),Inputs!$D$27+SQRT(P195*(Inputs!$F$27-Inputs!$D$27)*(Inputs!$E$27-Inputs!$D$27)),Inputs!$F$27-SQRT((1-P195)*(Inputs!$F$27-Inputs!$D$27)*(Inputs!$F$27-Inputs!$E$27)))</f>
        <v>115.625450014509</v>
      </c>
      <c r="R195" s="81" t="n">
        <f aca="true">RAND()</f>
        <v>0.847610669596073</v>
      </c>
      <c r="S195" s="82" t="n">
        <f aca="false">IF(R195&lt;(Inputs!$E$29-Inputs!$D$29)/(Inputs!$F$29-Inputs!$D$29),Inputs!$D$29+SQRT(R195*(Inputs!$F$29-Inputs!$D$29)*(Inputs!$E$29-Inputs!$D$29)),Inputs!$F$29-SQRT((1-R195)*(Inputs!$F$29-Inputs!$D$29)*(Inputs!$F$29-Inputs!$E$29)))</f>
        <v>10.5490885256489</v>
      </c>
      <c r="T195" s="68" t="n">
        <f aca="false">Inputs!$E$9*(1+E195)+Inputs!$E$5*C195*(Inputs!$E$11*Inputs!$E$14*(G195*I195/Inputs!$E$16+(1-G195))*K195+Inputs!$E$23*M195)*(1+O195)+Inputs!$E$5*(Q195+S195)</f>
        <v>7517.51650787719</v>
      </c>
    </row>
    <row r="196" customFormat="false" ht="15" hidden="false" customHeight="false" outlineLevel="0" collapsed="false">
      <c r="A196" s="1" t="n">
        <v>192</v>
      </c>
      <c r="B196" s="81" t="n">
        <f aca="true">RAND()</f>
        <v>0.0128556460782238</v>
      </c>
      <c r="C196" s="82" t="n">
        <f aca="false">ROUND(IF(B196&lt;(Inputs!$E$8-Inputs!$D$8)/(Inputs!$F$8-Inputs!$D$8),Inputs!$D$8+SQRT(B196*(Inputs!$F$8-Inputs!$D$8)*(Inputs!$E$8-Inputs!$D$8)),Inputs!$F$8-SQRT((1-B196)*(Inputs!$F$8-Inputs!$D$8)*(Inputs!$F$8-Inputs!$E$8))),0)</f>
        <v>21</v>
      </c>
      <c r="D196" s="81" t="n">
        <f aca="true">RAND()</f>
        <v>0.523874252879801</v>
      </c>
      <c r="E196" s="83" t="n">
        <f aca="false">IF(D196&lt;(Inputs!$E$10-Inputs!$D$10)/(Inputs!$F$10-Inputs!$D$10),Inputs!$D$10+SQRT(D196*(Inputs!$F$10-Inputs!$D$10)*(Inputs!$E$10-Inputs!$D$10)),Inputs!$F$10-SQRT((1-D196)*(Inputs!$F$10-Inputs!$D$10)*(Inputs!$F$10-Inputs!$E$10)))</f>
        <v>0.0804852627764844</v>
      </c>
      <c r="F196" s="81" t="n">
        <f aca="true">RAND()</f>
        <v>0.319376061931762</v>
      </c>
      <c r="G196" s="83" t="n">
        <f aca="false">IF(F196&lt;(Inputs!$E$15-Inputs!$D$15)/(Inputs!$F$15-Inputs!$D$15),Inputs!$D$15+SQRT(F196*(Inputs!$F$15-Inputs!$D$15)*(Inputs!$E$15-Inputs!$D$15)),Inputs!$F$15-SQRT((1-F196)*(Inputs!$F$15-Inputs!$D$15)*(Inputs!$F$15-Inputs!$E$15)))</f>
        <v>0.679921969686909</v>
      </c>
      <c r="H196" s="81" t="n">
        <f aca="true">RAND()</f>
        <v>0.7807253003408</v>
      </c>
      <c r="I196" s="82" t="n">
        <f aca="false">ROUND(IF(H196&lt;(Inputs!$E$17-Inputs!$D$17)/(Inputs!$F$17-Inputs!$D$17),Inputs!$D$17+SQRT(H196*(Inputs!$F$17-Inputs!$D$17)*(Inputs!$E$17-Inputs!$D$17)),Inputs!$F$17-SQRT((1-H196)*(Inputs!$F$17-Inputs!$D$17)*(Inputs!$F$17-Inputs!$E$17))),0)</f>
        <v>109</v>
      </c>
      <c r="J196" s="81" t="n">
        <f aca="true">RAND()</f>
        <v>0.42447040405672</v>
      </c>
      <c r="K196" s="83" t="n">
        <f aca="false">IF(J196&lt;(Inputs!$E$18-Inputs!$D$18)/(Inputs!$F$18-Inputs!$D$18),Inputs!$D$18+SQRT(J196*(Inputs!$F$18-Inputs!$D$18)*(Inputs!$E$18-Inputs!$D$18)),Inputs!$F$18-SQRT((1-J196)*(Inputs!$F$18-Inputs!$D$18)*(Inputs!$F$18-Inputs!$E$18)))</f>
        <v>1.02559224691416</v>
      </c>
      <c r="L196" s="81" t="n">
        <f aca="true">RAND()</f>
        <v>0.370691152657992</v>
      </c>
      <c r="M196" s="83" t="n">
        <f aca="false">IF(L196&lt;(Inputs!$E$24-Inputs!$D$24)/(Inputs!$F$24-Inputs!$D$24),Inputs!$D$24+SQRT(L196*(Inputs!$F$24-Inputs!$D$24)*(Inputs!$E$24-Inputs!$D$24)),Inputs!$F$24-SQRT((1-L196)*(Inputs!$F$24-Inputs!$D$24)*(Inputs!$F$24-Inputs!$E$24)))</f>
        <v>0.81136891096815</v>
      </c>
      <c r="N196" s="81" t="n">
        <f aca="true">RAND()</f>
        <v>0.796544140976468</v>
      </c>
      <c r="O196" s="83" t="n">
        <f aca="false">IF(N196&lt;(Inputs!$E$26-Inputs!$D$26)/(Inputs!$F$26-Inputs!$D$26),Inputs!$D$26+SQRT(N196*(Inputs!$F$26-Inputs!$D$26)*(Inputs!$E$26-Inputs!$D$26)),Inputs!$F$26-SQRT((1-N196)*(Inputs!$F$26-Inputs!$D$26)*(Inputs!$F$26-Inputs!$E$26)))</f>
        <v>0.674537257902763</v>
      </c>
      <c r="P196" s="81" t="n">
        <f aca="true">RAND()</f>
        <v>0.256553889992557</v>
      </c>
      <c r="Q196" s="82" t="n">
        <f aca="false">IF(P196&lt;(Inputs!$E$27-Inputs!$D$27)/(Inputs!$F$27-Inputs!$D$27),Inputs!$D$27+SQRT(P196*(Inputs!$F$27-Inputs!$D$27)*(Inputs!$E$27-Inputs!$D$27)),Inputs!$F$27-SQRT((1-P196)*(Inputs!$F$27-Inputs!$D$27)*(Inputs!$F$27-Inputs!$E$27)))</f>
        <v>75.3284135359652</v>
      </c>
      <c r="R196" s="81" t="n">
        <f aca="true">RAND()</f>
        <v>0.364857248278553</v>
      </c>
      <c r="S196" s="82" t="n">
        <f aca="false">IF(R196&lt;(Inputs!$E$29-Inputs!$D$29)/(Inputs!$F$29-Inputs!$D$29),Inputs!$D$29+SQRT(R196*(Inputs!$F$29-Inputs!$D$29)*(Inputs!$E$29-Inputs!$D$29)),Inputs!$F$29-SQRT((1-R196)*(Inputs!$F$29-Inputs!$D$29)*(Inputs!$F$29-Inputs!$E$29)))</f>
        <v>5.913275742943</v>
      </c>
      <c r="T196" s="68" t="n">
        <f aca="false">Inputs!$E$9*(1+E196)+Inputs!$E$5*C196*(Inputs!$E$11*Inputs!$E$14*(G196*I196/Inputs!$E$16+(1-G196))*K196+Inputs!$E$23*M196)*(1+O196)+Inputs!$E$5*(Q196+S196)</f>
        <v>5802.15601527798</v>
      </c>
    </row>
    <row r="197" customFormat="false" ht="15" hidden="false" customHeight="false" outlineLevel="0" collapsed="false">
      <c r="A197" s="1" t="n">
        <v>193</v>
      </c>
      <c r="B197" s="81" t="n">
        <f aca="true">RAND()</f>
        <v>0.000930903208967423</v>
      </c>
      <c r="C197" s="82" t="n">
        <f aca="false">ROUND(IF(B197&lt;(Inputs!$E$8-Inputs!$D$8)/(Inputs!$F$8-Inputs!$D$8),Inputs!$D$8+SQRT(B197*(Inputs!$F$8-Inputs!$D$8)*(Inputs!$E$8-Inputs!$D$8)),Inputs!$F$8-SQRT((1-B197)*(Inputs!$F$8-Inputs!$D$8)*(Inputs!$F$8-Inputs!$E$8))),0)</f>
        <v>20</v>
      </c>
      <c r="D197" s="81" t="n">
        <f aca="true">RAND()</f>
        <v>0.31438151983496</v>
      </c>
      <c r="E197" s="83" t="n">
        <f aca="false">IF(D197&lt;(Inputs!$E$10-Inputs!$D$10)/(Inputs!$F$10-Inputs!$D$10),Inputs!$D$10+SQRT(D197*(Inputs!$F$10-Inputs!$D$10)*(Inputs!$E$10-Inputs!$D$10)),Inputs!$F$10-SQRT((1-D197)*(Inputs!$F$10-Inputs!$D$10)*(Inputs!$F$10-Inputs!$E$10)))</f>
        <v>0.0565825868140441</v>
      </c>
      <c r="F197" s="81" t="n">
        <f aca="true">RAND()</f>
        <v>0.906630839633435</v>
      </c>
      <c r="G197" s="83" t="n">
        <f aca="false">IF(F197&lt;(Inputs!$E$15-Inputs!$D$15)/(Inputs!$F$15-Inputs!$D$15),Inputs!$D$15+SQRT(F197*(Inputs!$F$15-Inputs!$D$15)*(Inputs!$E$15-Inputs!$D$15)),Inputs!$F$15-SQRT((1-F197)*(Inputs!$F$15-Inputs!$D$15)*(Inputs!$F$15-Inputs!$E$15)))</f>
        <v>0.756786770459369</v>
      </c>
      <c r="H197" s="81" t="n">
        <f aca="true">RAND()</f>
        <v>0.53326391643174</v>
      </c>
      <c r="I197" s="82" t="n">
        <f aca="false">ROUND(IF(H197&lt;(Inputs!$E$17-Inputs!$D$17)/(Inputs!$F$17-Inputs!$D$17),Inputs!$D$17+SQRT(H197*(Inputs!$F$17-Inputs!$D$17)*(Inputs!$E$17-Inputs!$D$17)),Inputs!$F$17-SQRT((1-H197)*(Inputs!$F$17-Inputs!$D$17)*(Inputs!$F$17-Inputs!$E$17))),0)</f>
        <v>107</v>
      </c>
      <c r="J197" s="81" t="n">
        <f aca="true">RAND()</f>
        <v>0.730771278298342</v>
      </c>
      <c r="K197" s="83" t="n">
        <f aca="false">IF(J197&lt;(Inputs!$E$18-Inputs!$D$18)/(Inputs!$F$18-Inputs!$D$18),Inputs!$D$18+SQRT(J197*(Inputs!$F$18-Inputs!$D$18)*(Inputs!$E$18-Inputs!$D$18)),Inputs!$F$18-SQRT((1-J197)*(Inputs!$F$18-Inputs!$D$18)*(Inputs!$F$18-Inputs!$E$18)))</f>
        <v>1.09651543025797</v>
      </c>
      <c r="L197" s="81" t="n">
        <f aca="true">RAND()</f>
        <v>0.148697580700001</v>
      </c>
      <c r="M197" s="83" t="n">
        <f aca="false">IF(L197&lt;(Inputs!$E$24-Inputs!$D$24)/(Inputs!$F$24-Inputs!$D$24),Inputs!$D$24+SQRT(L197*(Inputs!$F$24-Inputs!$D$24)*(Inputs!$E$24-Inputs!$D$24)),Inputs!$F$24-SQRT((1-L197)*(Inputs!$F$24-Inputs!$D$24)*(Inputs!$F$24-Inputs!$E$24)))</f>
        <v>0.733580349168581</v>
      </c>
      <c r="N197" s="81" t="n">
        <f aca="true">RAND()</f>
        <v>0.0421496011214921</v>
      </c>
      <c r="O197" s="83" t="n">
        <f aca="false">IF(N197&lt;(Inputs!$E$26-Inputs!$D$26)/(Inputs!$F$26-Inputs!$D$26),Inputs!$D$26+SQRT(N197*(Inputs!$F$26-Inputs!$D$26)*(Inputs!$E$26-Inputs!$D$26)),Inputs!$F$26-SQRT((1-N197)*(Inputs!$F$26-Inputs!$D$26)*(Inputs!$F$26-Inputs!$E$26)))</f>
        <v>0.383747797741889</v>
      </c>
      <c r="P197" s="81" t="n">
        <f aca="true">RAND()</f>
        <v>0.425606878064504</v>
      </c>
      <c r="Q197" s="82" t="n">
        <f aca="false">IF(P197&lt;(Inputs!$E$27-Inputs!$D$27)/(Inputs!$F$27-Inputs!$D$27),Inputs!$D$27+SQRT(P197*(Inputs!$F$27-Inputs!$D$27)*(Inputs!$E$27-Inputs!$D$27)),Inputs!$F$27-SQRT((1-P197)*(Inputs!$F$27-Inputs!$D$27)*(Inputs!$F$27-Inputs!$E$27)))</f>
        <v>84.3650366457311</v>
      </c>
      <c r="R197" s="81" t="n">
        <f aca="true">RAND()</f>
        <v>0.759603342292931</v>
      </c>
      <c r="S197" s="82" t="n">
        <f aca="false">IF(R197&lt;(Inputs!$E$29-Inputs!$D$29)/(Inputs!$F$29-Inputs!$D$29),Inputs!$D$29+SQRT(R197*(Inputs!$F$29-Inputs!$D$29)*(Inputs!$E$29-Inputs!$D$29)),Inputs!$F$29-SQRT((1-R197)*(Inputs!$F$29-Inputs!$D$29)*(Inputs!$F$29-Inputs!$E$29)))</f>
        <v>9.40969003525574</v>
      </c>
      <c r="T197" s="68" t="n">
        <f aca="false">Inputs!$E$9*(1+E197)+Inputs!$E$5*C197*(Inputs!$E$11*Inputs!$E$14*(G197*I197/Inputs!$E$16+(1-G197))*K197+Inputs!$E$23*M197)*(1+O197)+Inputs!$E$5*(Q197+S197)</f>
        <v>5108.47480576823</v>
      </c>
    </row>
    <row r="198" customFormat="false" ht="15" hidden="false" customHeight="false" outlineLevel="0" collapsed="false">
      <c r="A198" s="1" t="n">
        <v>194</v>
      </c>
      <c r="B198" s="81" t="n">
        <f aca="true">RAND()</f>
        <v>0.78014734548669</v>
      </c>
      <c r="C198" s="82" t="n">
        <f aca="false">ROUND(IF(B198&lt;(Inputs!$E$8-Inputs!$D$8)/(Inputs!$F$8-Inputs!$D$8),Inputs!$D$8+SQRT(B198*(Inputs!$F$8-Inputs!$D$8)*(Inputs!$E$8-Inputs!$D$8)),Inputs!$F$8-SQRT((1-B198)*(Inputs!$F$8-Inputs!$D$8)*(Inputs!$F$8-Inputs!$E$8))),0)</f>
        <v>27</v>
      </c>
      <c r="D198" s="81" t="n">
        <f aca="true">RAND()</f>
        <v>0.936615593487287</v>
      </c>
      <c r="E198" s="83" t="n">
        <f aca="false">IF(D198&lt;(Inputs!$E$10-Inputs!$D$10)/(Inputs!$F$10-Inputs!$D$10),Inputs!$D$10+SQRT(D198*(Inputs!$F$10-Inputs!$D$10)*(Inputs!$E$10-Inputs!$D$10)),Inputs!$F$10-SQRT((1-D198)*(Inputs!$F$10-Inputs!$D$10)*(Inputs!$F$10-Inputs!$E$10)))</f>
        <v>0.156393438620073</v>
      </c>
      <c r="F198" s="81" t="n">
        <f aca="true">RAND()</f>
        <v>0.953070629047906</v>
      </c>
      <c r="G198" s="83" t="n">
        <f aca="false">IF(F198&lt;(Inputs!$E$15-Inputs!$D$15)/(Inputs!$F$15-Inputs!$D$15),Inputs!$D$15+SQRT(F198*(Inputs!$F$15-Inputs!$D$15)*(Inputs!$E$15-Inputs!$D$15)),Inputs!$F$15-SQRT((1-F198)*(Inputs!$F$15-Inputs!$D$15)*(Inputs!$F$15-Inputs!$E$15)))</f>
        <v>0.769363625882917</v>
      </c>
      <c r="H198" s="81" t="n">
        <f aca="true">RAND()</f>
        <v>0.189339761193847</v>
      </c>
      <c r="I198" s="82" t="n">
        <f aca="false">ROUND(IF(H198&lt;(Inputs!$E$17-Inputs!$D$17)/(Inputs!$F$17-Inputs!$D$17),Inputs!$D$17+SQRT(H198*(Inputs!$F$17-Inputs!$D$17)*(Inputs!$E$17-Inputs!$D$17)),Inputs!$F$17-SQRT((1-H198)*(Inputs!$F$17-Inputs!$D$17)*(Inputs!$F$17-Inputs!$E$17))),0)</f>
        <v>104</v>
      </c>
      <c r="J198" s="81" t="n">
        <f aca="true">RAND()</f>
        <v>0.0387492262033545</v>
      </c>
      <c r="K198" s="83" t="n">
        <f aca="false">IF(J198&lt;(Inputs!$E$18-Inputs!$D$18)/(Inputs!$F$18-Inputs!$D$18),Inputs!$D$18+SQRT(J198*(Inputs!$F$18-Inputs!$D$18)*(Inputs!$E$18-Inputs!$D$18)),Inputs!$F$18-SQRT((1-J198)*(Inputs!$F$18-Inputs!$D$18)*(Inputs!$F$18-Inputs!$E$18)))</f>
        <v>0.936826931953632</v>
      </c>
      <c r="L198" s="81" t="n">
        <f aca="true">RAND()</f>
        <v>0.0760625694101369</v>
      </c>
      <c r="M198" s="83" t="n">
        <f aca="false">IF(L198&lt;(Inputs!$E$24-Inputs!$D$24)/(Inputs!$F$24-Inputs!$D$24),Inputs!$D$24+SQRT(L198*(Inputs!$F$24-Inputs!$D$24)*(Inputs!$E$24-Inputs!$D$24)),Inputs!$F$24-SQRT((1-L198)*(Inputs!$F$24-Inputs!$D$24)*(Inputs!$F$24-Inputs!$E$24)))</f>
        <v>0.695537994165758</v>
      </c>
      <c r="N198" s="81" t="n">
        <f aca="true">RAND()</f>
        <v>0.0298604843870739</v>
      </c>
      <c r="O198" s="83" t="n">
        <f aca="false">IF(N198&lt;(Inputs!$E$26-Inputs!$D$26)/(Inputs!$F$26-Inputs!$D$26),Inputs!$D$26+SQRT(N198*(Inputs!$F$26-Inputs!$D$26)*(Inputs!$E$26-Inputs!$D$26)),Inputs!$F$26-SQRT((1-N198)*(Inputs!$F$26-Inputs!$D$26)*(Inputs!$F$26-Inputs!$E$26)))</f>
        <v>0.37048960634029</v>
      </c>
      <c r="P198" s="81" t="n">
        <f aca="true">RAND()</f>
        <v>0.584953905091994</v>
      </c>
      <c r="Q198" s="82" t="n">
        <f aca="false">IF(P198&lt;(Inputs!$E$27-Inputs!$D$27)/(Inputs!$F$27-Inputs!$D$27),Inputs!$D$27+SQRT(P198*(Inputs!$F$27-Inputs!$D$27)*(Inputs!$E$27-Inputs!$D$27)),Inputs!$F$27-SQRT((1-P198)*(Inputs!$F$27-Inputs!$D$27)*(Inputs!$F$27-Inputs!$E$27)))</f>
        <v>94.2071177316493</v>
      </c>
      <c r="R198" s="81" t="n">
        <f aca="true">RAND()</f>
        <v>0.627526587736027</v>
      </c>
      <c r="S198" s="82" t="n">
        <f aca="false">IF(R198&lt;(Inputs!$E$29-Inputs!$D$29)/(Inputs!$F$29-Inputs!$D$29),Inputs!$D$29+SQRT(R198*(Inputs!$F$29-Inputs!$D$29)*(Inputs!$E$29-Inputs!$D$29)),Inputs!$F$29-SQRT((1-R198)*(Inputs!$F$29-Inputs!$D$29)*(Inputs!$F$29-Inputs!$E$29)))</f>
        <v>8.04144098291058</v>
      </c>
      <c r="T198" s="68" t="n">
        <f aca="false">Inputs!$E$9*(1+E198)+Inputs!$E$5*C198*(Inputs!$E$11*Inputs!$E$14*(G198*I198/Inputs!$E$16+(1-G198))*K198+Inputs!$E$23*M198)*(1+O198)+Inputs!$E$5*(Q198+S198)</f>
        <v>5743.259511077</v>
      </c>
    </row>
    <row r="199" customFormat="false" ht="15" hidden="false" customHeight="false" outlineLevel="0" collapsed="false">
      <c r="A199" s="1" t="n">
        <v>195</v>
      </c>
      <c r="B199" s="81" t="n">
        <f aca="true">RAND()</f>
        <v>0.888894732880241</v>
      </c>
      <c r="C199" s="82" t="n">
        <f aca="false">ROUND(IF(B199&lt;(Inputs!$E$8-Inputs!$D$8)/(Inputs!$F$8-Inputs!$D$8),Inputs!$D$8+SQRT(B199*(Inputs!$F$8-Inputs!$D$8)*(Inputs!$E$8-Inputs!$D$8)),Inputs!$F$8-SQRT((1-B199)*(Inputs!$F$8-Inputs!$D$8)*(Inputs!$F$8-Inputs!$E$8))),0)</f>
        <v>28</v>
      </c>
      <c r="D199" s="81" t="n">
        <f aca="true">RAND()</f>
        <v>0.28449796930336</v>
      </c>
      <c r="E199" s="83" t="n">
        <f aca="false">IF(D199&lt;(Inputs!$E$10-Inputs!$D$10)/(Inputs!$F$10-Inputs!$D$10),Inputs!$D$10+SQRT(D199*(Inputs!$F$10-Inputs!$D$10)*(Inputs!$E$10-Inputs!$D$10)),Inputs!$F$10-SQRT((1-D199)*(Inputs!$F$10-Inputs!$D$10)*(Inputs!$F$10-Inputs!$E$10)))</f>
        <v>0.0534904067274118</v>
      </c>
      <c r="F199" s="81" t="n">
        <f aca="true">RAND()</f>
        <v>0.581552404009373</v>
      </c>
      <c r="G199" s="83" t="n">
        <f aca="false">IF(F199&lt;(Inputs!$E$15-Inputs!$D$15)/(Inputs!$F$15-Inputs!$D$15),Inputs!$D$15+SQRT(F199*(Inputs!$F$15-Inputs!$D$15)*(Inputs!$E$15-Inputs!$D$15)),Inputs!$F$15-SQRT((1-F199)*(Inputs!$F$15-Inputs!$D$15)*(Inputs!$F$15-Inputs!$E$15)))</f>
        <v>0.708518024071337</v>
      </c>
      <c r="H199" s="81" t="n">
        <f aca="true">RAND()</f>
        <v>0.273764353521217</v>
      </c>
      <c r="I199" s="82" t="n">
        <f aca="false">ROUND(IF(H199&lt;(Inputs!$E$17-Inputs!$D$17)/(Inputs!$F$17-Inputs!$D$17),Inputs!$D$17+SQRT(H199*(Inputs!$F$17-Inputs!$D$17)*(Inputs!$E$17-Inputs!$D$17)),Inputs!$F$17-SQRT((1-H199)*(Inputs!$F$17-Inputs!$D$17)*(Inputs!$F$17-Inputs!$E$17))),0)</f>
        <v>105</v>
      </c>
      <c r="J199" s="81" t="n">
        <f aca="true">RAND()</f>
        <v>0.966493226911853</v>
      </c>
      <c r="K199" s="83" t="n">
        <f aca="false">IF(J199&lt;(Inputs!$E$18-Inputs!$D$18)/(Inputs!$F$18-Inputs!$D$18),Inputs!$D$18+SQRT(J199*(Inputs!$F$18-Inputs!$D$18)*(Inputs!$E$18-Inputs!$D$18)),Inputs!$F$18-SQRT((1-J199)*(Inputs!$F$18-Inputs!$D$18)*(Inputs!$F$18-Inputs!$E$18)))</f>
        <v>1.19585350754469</v>
      </c>
      <c r="L199" s="81" t="n">
        <f aca="true">RAND()</f>
        <v>0.647493105022625</v>
      </c>
      <c r="M199" s="83" t="n">
        <f aca="false">IF(L199&lt;(Inputs!$E$24-Inputs!$D$24)/(Inputs!$F$24-Inputs!$D$24),Inputs!$D$24+SQRT(L199*(Inputs!$F$24-Inputs!$D$24)*(Inputs!$E$24-Inputs!$D$24)),Inputs!$F$24-SQRT((1-L199)*(Inputs!$F$24-Inputs!$D$24)*(Inputs!$F$24-Inputs!$E$24)))</f>
        <v>0.909136363918468</v>
      </c>
      <c r="N199" s="81" t="n">
        <f aca="true">RAND()</f>
        <v>0.786080563891615</v>
      </c>
      <c r="O199" s="83" t="n">
        <f aca="false">IF(N199&lt;(Inputs!$E$26-Inputs!$D$26)/(Inputs!$F$26-Inputs!$D$26),Inputs!$D$26+SQRT(N199*(Inputs!$F$26-Inputs!$D$26)*(Inputs!$E$26-Inputs!$D$26)),Inputs!$F$26-SQRT((1-N199)*(Inputs!$F$26-Inputs!$D$26)*(Inputs!$F$26-Inputs!$E$26)))</f>
        <v>0.670843634546587</v>
      </c>
      <c r="P199" s="81" t="n">
        <f aca="true">RAND()</f>
        <v>0.370449470072895</v>
      </c>
      <c r="Q199" s="82" t="n">
        <f aca="false">IF(P199&lt;(Inputs!$E$27-Inputs!$D$27)/(Inputs!$F$27-Inputs!$D$27),Inputs!$D$27+SQRT(P199*(Inputs!$F$27-Inputs!$D$27)*(Inputs!$E$27-Inputs!$D$27)),Inputs!$F$27-SQRT((1-P199)*(Inputs!$F$27-Inputs!$D$27)*(Inputs!$F$27-Inputs!$E$27)))</f>
        <v>81.2858895535038</v>
      </c>
      <c r="R199" s="81" t="n">
        <f aca="true">RAND()</f>
        <v>0.339214229368619</v>
      </c>
      <c r="S199" s="82" t="n">
        <f aca="false">IF(R199&lt;(Inputs!$E$29-Inputs!$D$29)/(Inputs!$F$29-Inputs!$D$29),Inputs!$D$29+SQRT(R199*(Inputs!$F$29-Inputs!$D$29)*(Inputs!$E$29-Inputs!$D$29)),Inputs!$F$29-SQRT((1-R199)*(Inputs!$F$29-Inputs!$D$29)*(Inputs!$F$29-Inputs!$E$29)))</f>
        <v>5.73165871463078</v>
      </c>
      <c r="T199" s="68" t="n">
        <f aca="false">Inputs!$E$9*(1+E199)+Inputs!$E$5*C199*(Inputs!$E$11*Inputs!$E$14*(G199*I199/Inputs!$E$16+(1-G199))*K199+Inputs!$E$23*M199)*(1+O199)+Inputs!$E$5*(Q199+S199)</f>
        <v>7257.60178272961</v>
      </c>
    </row>
    <row r="200" customFormat="false" ht="15" hidden="false" customHeight="false" outlineLevel="0" collapsed="false">
      <c r="A200" s="1" t="n">
        <v>196</v>
      </c>
      <c r="B200" s="81" t="n">
        <f aca="true">RAND()</f>
        <v>0.485593413187644</v>
      </c>
      <c r="C200" s="82" t="n">
        <f aca="false">ROUND(IF(B200&lt;(Inputs!$E$8-Inputs!$D$8)/(Inputs!$F$8-Inputs!$D$8),Inputs!$D$8+SQRT(B200*(Inputs!$F$8-Inputs!$D$8)*(Inputs!$E$8-Inputs!$D$8)),Inputs!$F$8-SQRT((1-B200)*(Inputs!$F$8-Inputs!$D$8)*(Inputs!$F$8-Inputs!$E$8))),0)</f>
        <v>25</v>
      </c>
      <c r="D200" s="81" t="n">
        <f aca="true">RAND()</f>
        <v>0.125228767089789</v>
      </c>
      <c r="E200" s="83" t="n">
        <f aca="false">IF(D200&lt;(Inputs!$E$10-Inputs!$D$10)/(Inputs!$F$10-Inputs!$D$10),Inputs!$D$10+SQRT(D200*(Inputs!$F$10-Inputs!$D$10)*(Inputs!$E$10-Inputs!$D$10)),Inputs!$F$10-SQRT((1-D200)*(Inputs!$F$10-Inputs!$D$10)*(Inputs!$F$10-Inputs!$E$10)))</f>
        <v>0.0353876768225591</v>
      </c>
      <c r="F200" s="81" t="n">
        <f aca="true">RAND()</f>
        <v>0.707832177429898</v>
      </c>
      <c r="G200" s="83" t="n">
        <f aca="false">IF(F200&lt;(Inputs!$E$15-Inputs!$D$15)/(Inputs!$F$15-Inputs!$D$15),Inputs!$D$15+SQRT(F200*(Inputs!$F$15-Inputs!$D$15)*(Inputs!$E$15-Inputs!$D$15)),Inputs!$F$15-SQRT((1-F200)*(Inputs!$F$15-Inputs!$D$15)*(Inputs!$F$15-Inputs!$E$15)))</f>
        <v>0.723558149869315</v>
      </c>
      <c r="H200" s="81" t="n">
        <f aca="true">RAND()</f>
        <v>0.797434293777828</v>
      </c>
      <c r="I200" s="82" t="n">
        <f aca="false">ROUND(IF(H200&lt;(Inputs!$E$17-Inputs!$D$17)/(Inputs!$F$17-Inputs!$D$17),Inputs!$D$17+SQRT(H200*(Inputs!$F$17-Inputs!$D$17)*(Inputs!$E$17-Inputs!$D$17)),Inputs!$F$17-SQRT((1-H200)*(Inputs!$F$17-Inputs!$D$17)*(Inputs!$F$17-Inputs!$E$17))),0)</f>
        <v>109</v>
      </c>
      <c r="J200" s="81" t="n">
        <f aca="true">RAND()</f>
        <v>0.597335710695877</v>
      </c>
      <c r="K200" s="83" t="n">
        <f aca="false">IF(J200&lt;(Inputs!$E$18-Inputs!$D$18)/(Inputs!$F$18-Inputs!$D$18),Inputs!$D$18+SQRT(J200*(Inputs!$F$18-Inputs!$D$18)*(Inputs!$E$18-Inputs!$D$18)),Inputs!$F$18-SQRT((1-J200)*(Inputs!$F$18-Inputs!$D$18)*(Inputs!$F$18-Inputs!$E$18)))</f>
        <v>1.06229511110759</v>
      </c>
      <c r="L200" s="81" t="n">
        <f aca="true">RAND()</f>
        <v>0.977353963780047</v>
      </c>
      <c r="M200" s="83" t="n">
        <f aca="false">IF(L200&lt;(Inputs!$E$24-Inputs!$D$24)/(Inputs!$F$24-Inputs!$D$24),Inputs!$D$24+SQRT(L200*(Inputs!$F$24-Inputs!$D$24)*(Inputs!$E$24-Inputs!$D$24)),Inputs!$F$24-SQRT((1-L200)*(Inputs!$F$24-Inputs!$D$24)*(Inputs!$F$24-Inputs!$E$24)))</f>
        <v>1.12627721727452</v>
      </c>
      <c r="N200" s="81" t="n">
        <f aca="true">RAND()</f>
        <v>0.00871219744753854</v>
      </c>
      <c r="O200" s="83" t="n">
        <f aca="false">IF(N200&lt;(Inputs!$E$26-Inputs!$D$26)/(Inputs!$F$26-Inputs!$D$26),Inputs!$D$26+SQRT(N200*(Inputs!$F$26-Inputs!$D$26)*(Inputs!$E$26-Inputs!$D$26)),Inputs!$F$26-SQRT((1-N200)*(Inputs!$F$26-Inputs!$D$26)*(Inputs!$F$26-Inputs!$E$26)))</f>
        <v>0.338075052925379</v>
      </c>
      <c r="P200" s="81" t="n">
        <f aca="true">RAND()</f>
        <v>0.289387395103991</v>
      </c>
      <c r="Q200" s="82" t="n">
        <f aca="false">IF(P200&lt;(Inputs!$E$27-Inputs!$D$27)/(Inputs!$F$27-Inputs!$D$27),Inputs!$D$27+SQRT(P200*(Inputs!$F$27-Inputs!$D$27)*(Inputs!$E$27-Inputs!$D$27)),Inputs!$F$27-SQRT((1-P200)*(Inputs!$F$27-Inputs!$D$27)*(Inputs!$F$27-Inputs!$E$27)))</f>
        <v>76.9959279442574</v>
      </c>
      <c r="R200" s="81" t="n">
        <f aca="true">RAND()</f>
        <v>0.0192491426587033</v>
      </c>
      <c r="S200" s="82" t="n">
        <f aca="false">IF(R200&lt;(Inputs!$E$29-Inputs!$D$29)/(Inputs!$F$29-Inputs!$D$29),Inputs!$D$29+SQRT(R200*(Inputs!$F$29-Inputs!$D$29)*(Inputs!$E$29-Inputs!$D$29)),Inputs!$F$29-SQRT((1-R200)*(Inputs!$F$29-Inputs!$D$29)*(Inputs!$F$29-Inputs!$E$29)))</f>
        <v>2.8664390132545</v>
      </c>
      <c r="T200" s="68" t="n">
        <f aca="false">Inputs!$E$9*(1+E200)+Inputs!$E$5*C200*(Inputs!$E$11*Inputs!$E$14*(G200*I200/Inputs!$E$16+(1-G200))*K200+Inputs!$E$23*M200)*(1+O200)+Inputs!$E$5*(Q200+S200)</f>
        <v>5943.59938415845</v>
      </c>
    </row>
    <row r="201" customFormat="false" ht="15" hidden="false" customHeight="false" outlineLevel="0" collapsed="false">
      <c r="A201" s="1" t="n">
        <v>197</v>
      </c>
      <c r="B201" s="81" t="n">
        <f aca="true">RAND()</f>
        <v>0.205599846945465</v>
      </c>
      <c r="C201" s="82" t="n">
        <f aca="false">ROUND(IF(B201&lt;(Inputs!$E$8-Inputs!$D$8)/(Inputs!$F$8-Inputs!$D$8),Inputs!$D$8+SQRT(B201*(Inputs!$F$8-Inputs!$D$8)*(Inputs!$E$8-Inputs!$D$8)),Inputs!$F$8-SQRT((1-B201)*(Inputs!$F$8-Inputs!$D$8)*(Inputs!$F$8-Inputs!$E$8))),0)</f>
        <v>23</v>
      </c>
      <c r="D201" s="81" t="n">
        <f aca="true">RAND()</f>
        <v>0.423008478321422</v>
      </c>
      <c r="E201" s="83" t="n">
        <f aca="false">IF(D201&lt;(Inputs!$E$10-Inputs!$D$10)/(Inputs!$F$10-Inputs!$D$10),Inputs!$D$10+SQRT(D201*(Inputs!$F$10-Inputs!$D$10)*(Inputs!$E$10-Inputs!$D$10)),Inputs!$F$10-SQRT((1-D201)*(Inputs!$F$10-Inputs!$D$10)*(Inputs!$F$10-Inputs!$E$10)))</f>
        <v>0.068433493432571</v>
      </c>
      <c r="F201" s="81" t="n">
        <f aca="true">RAND()</f>
        <v>0.221516794174826</v>
      </c>
      <c r="G201" s="83" t="n">
        <f aca="false">IF(F201&lt;(Inputs!$E$15-Inputs!$D$15)/(Inputs!$F$15-Inputs!$D$15),Inputs!$D$15+SQRT(F201*(Inputs!$F$15-Inputs!$D$15)*(Inputs!$E$15-Inputs!$D$15)),Inputs!$F$15-SQRT((1-F201)*(Inputs!$F$15-Inputs!$D$15)*(Inputs!$F$15-Inputs!$E$15)))</f>
        <v>0.666560768351158</v>
      </c>
      <c r="H201" s="81" t="n">
        <f aca="true">RAND()</f>
        <v>0.666993060227577</v>
      </c>
      <c r="I201" s="82" t="n">
        <f aca="false">ROUND(IF(H201&lt;(Inputs!$E$17-Inputs!$D$17)/(Inputs!$F$17-Inputs!$D$17),Inputs!$D$17+SQRT(H201*(Inputs!$F$17-Inputs!$D$17)*(Inputs!$E$17-Inputs!$D$17)),Inputs!$F$17-SQRT((1-H201)*(Inputs!$F$17-Inputs!$D$17)*(Inputs!$F$17-Inputs!$E$17))),0)</f>
        <v>108</v>
      </c>
      <c r="J201" s="81" t="n">
        <f aca="true">RAND()</f>
        <v>0.542123884242803</v>
      </c>
      <c r="K201" s="83" t="n">
        <f aca="false">IF(J201&lt;(Inputs!$E$18-Inputs!$D$18)/(Inputs!$F$18-Inputs!$D$18),Inputs!$D$18+SQRT(J201*(Inputs!$F$18-Inputs!$D$18)*(Inputs!$E$18-Inputs!$D$18)),Inputs!$F$18-SQRT((1-J201)*(Inputs!$F$18-Inputs!$D$18)*(Inputs!$F$18-Inputs!$E$18)))</f>
        <v>1.04983966394724</v>
      </c>
      <c r="L201" s="81" t="n">
        <f aca="true">RAND()</f>
        <v>0.907800834699601</v>
      </c>
      <c r="M201" s="83" t="n">
        <f aca="false">IF(L201&lt;(Inputs!$E$24-Inputs!$D$24)/(Inputs!$F$24-Inputs!$D$24),Inputs!$D$24+SQRT(L201*(Inputs!$F$24-Inputs!$D$24)*(Inputs!$E$24-Inputs!$D$24)),Inputs!$F$24-SQRT((1-L201)*(Inputs!$F$24-Inputs!$D$24)*(Inputs!$F$24-Inputs!$E$24)))</f>
        <v>1.05124584149646</v>
      </c>
      <c r="N201" s="81" t="n">
        <f aca="true">RAND()</f>
        <v>0.141300906746468</v>
      </c>
      <c r="O201" s="83" t="n">
        <f aca="false">IF(N201&lt;(Inputs!$E$26-Inputs!$D$26)/(Inputs!$F$26-Inputs!$D$26),Inputs!$D$26+SQRT(N201*(Inputs!$F$26-Inputs!$D$26)*(Inputs!$E$26-Inputs!$D$26)),Inputs!$F$26-SQRT((1-N201)*(Inputs!$F$26-Inputs!$D$26)*(Inputs!$F$26-Inputs!$E$26)))</f>
        <v>0.453337767306728</v>
      </c>
      <c r="P201" s="81" t="n">
        <f aca="true">RAND()</f>
        <v>0.589843654916501</v>
      </c>
      <c r="Q201" s="82" t="n">
        <f aca="false">IF(P201&lt;(Inputs!$E$27-Inputs!$D$27)/(Inputs!$F$27-Inputs!$D$27),Inputs!$D$27+SQRT(P201*(Inputs!$F$27-Inputs!$D$27)*(Inputs!$E$27-Inputs!$D$27)),Inputs!$F$27-SQRT((1-P201)*(Inputs!$F$27-Inputs!$D$27)*(Inputs!$F$27-Inputs!$E$27)))</f>
        <v>94.5367456046236</v>
      </c>
      <c r="R201" s="81" t="n">
        <f aca="true">RAND()</f>
        <v>0.407238855563173</v>
      </c>
      <c r="S201" s="82" t="n">
        <f aca="false">IF(R201&lt;(Inputs!$E$29-Inputs!$D$29)/(Inputs!$F$29-Inputs!$D$29),Inputs!$D$29+SQRT(R201*(Inputs!$F$29-Inputs!$D$29)*(Inputs!$E$29-Inputs!$D$29)),Inputs!$F$29-SQRT((1-R201)*(Inputs!$F$29-Inputs!$D$29)*(Inputs!$F$29-Inputs!$E$29)))</f>
        <v>6.2216773369403</v>
      </c>
      <c r="T201" s="68" t="n">
        <f aca="false">Inputs!$E$9*(1+E201)+Inputs!$E$5*C201*(Inputs!$E$11*Inputs!$E$14*(G201*I201/Inputs!$E$16+(1-G201))*K201+Inputs!$E$23*M201)*(1+O201)+Inputs!$E$5*(Q201+S201)</f>
        <v>6059.92359955167</v>
      </c>
    </row>
    <row r="202" customFormat="false" ht="15" hidden="false" customHeight="false" outlineLevel="0" collapsed="false">
      <c r="A202" s="1" t="n">
        <v>198</v>
      </c>
      <c r="B202" s="81" t="n">
        <f aca="true">RAND()</f>
        <v>0.17759882943847</v>
      </c>
      <c r="C202" s="82" t="n">
        <f aca="false">ROUND(IF(B202&lt;(Inputs!$E$8-Inputs!$D$8)/(Inputs!$F$8-Inputs!$D$8),Inputs!$D$8+SQRT(B202*(Inputs!$F$8-Inputs!$D$8)*(Inputs!$E$8-Inputs!$D$8)),Inputs!$F$8-SQRT((1-B202)*(Inputs!$F$8-Inputs!$D$8)*(Inputs!$F$8-Inputs!$E$8))),0)</f>
        <v>23</v>
      </c>
      <c r="D202" s="81" t="n">
        <f aca="true">RAND()</f>
        <v>0.771455463329423</v>
      </c>
      <c r="E202" s="83" t="n">
        <f aca="false">IF(D202&lt;(Inputs!$E$10-Inputs!$D$10)/(Inputs!$F$10-Inputs!$D$10),Inputs!$D$10+SQRT(D202*(Inputs!$F$10-Inputs!$D$10)*(Inputs!$E$10-Inputs!$D$10)),Inputs!$F$10-SQRT((1-D202)*(Inputs!$F$10-Inputs!$D$10)*(Inputs!$F$10-Inputs!$E$10)))</f>
        <v>0.117197004280538</v>
      </c>
      <c r="F202" s="81" t="n">
        <f aca="true">RAND()</f>
        <v>0.709100565591379</v>
      </c>
      <c r="G202" s="83" t="n">
        <f aca="false">IF(F202&lt;(Inputs!$E$15-Inputs!$D$15)/(Inputs!$F$15-Inputs!$D$15),Inputs!$D$15+SQRT(F202*(Inputs!$F$15-Inputs!$D$15)*(Inputs!$E$15-Inputs!$D$15)),Inputs!$F$15-SQRT((1-F202)*(Inputs!$F$15-Inputs!$D$15)*(Inputs!$F$15-Inputs!$E$15)))</f>
        <v>0.723724258848751</v>
      </c>
      <c r="H202" s="81" t="n">
        <f aca="true">RAND()</f>
        <v>0.86244713816163</v>
      </c>
      <c r="I202" s="82" t="n">
        <f aca="false">ROUND(IF(H202&lt;(Inputs!$E$17-Inputs!$D$17)/(Inputs!$F$17-Inputs!$D$17),Inputs!$D$17+SQRT(H202*(Inputs!$F$17-Inputs!$D$17)*(Inputs!$E$17-Inputs!$D$17)),Inputs!$F$17-SQRT((1-H202)*(Inputs!$F$17-Inputs!$D$17)*(Inputs!$F$17-Inputs!$E$17))),0)</f>
        <v>110</v>
      </c>
      <c r="J202" s="81" t="n">
        <f aca="true">RAND()</f>
        <v>0.715043875953516</v>
      </c>
      <c r="K202" s="83" t="n">
        <f aca="false">IF(J202&lt;(Inputs!$E$18-Inputs!$D$18)/(Inputs!$F$18-Inputs!$D$18),Inputs!$D$18+SQRT(J202*(Inputs!$F$18-Inputs!$D$18)*(Inputs!$E$18-Inputs!$D$18)),Inputs!$F$18-SQRT((1-J202)*(Inputs!$F$18-Inputs!$D$18)*(Inputs!$F$18-Inputs!$E$18)))</f>
        <v>1.09209603914383</v>
      </c>
      <c r="L202" s="81" t="n">
        <f aca="true">RAND()</f>
        <v>0.298441980180008</v>
      </c>
      <c r="M202" s="83" t="n">
        <f aca="false">IF(L202&lt;(Inputs!$E$24-Inputs!$D$24)/(Inputs!$F$24-Inputs!$D$24),Inputs!$D$24+SQRT(L202*(Inputs!$F$24-Inputs!$D$24)*(Inputs!$E$24-Inputs!$D$24)),Inputs!$F$24-SQRT((1-L202)*(Inputs!$F$24-Inputs!$D$24)*(Inputs!$F$24-Inputs!$E$24)))</f>
        <v>0.789243329133687</v>
      </c>
      <c r="N202" s="81" t="n">
        <f aca="true">RAND()</f>
        <v>0.620755427937718</v>
      </c>
      <c r="O202" s="83" t="n">
        <f aca="false">IF(N202&lt;(Inputs!$E$26-Inputs!$D$26)/(Inputs!$F$26-Inputs!$D$26),Inputs!$D$26+SQRT(N202*(Inputs!$F$26-Inputs!$D$26)*(Inputs!$E$26-Inputs!$D$26)),Inputs!$F$26-SQRT((1-N202)*(Inputs!$F$26-Inputs!$D$26)*(Inputs!$F$26-Inputs!$E$26)))</f>
        <v>0.621401320511748</v>
      </c>
      <c r="P202" s="81" t="n">
        <f aca="true">RAND()</f>
        <v>0.631310435850728</v>
      </c>
      <c r="Q202" s="82" t="n">
        <f aca="false">IF(P202&lt;(Inputs!$E$27-Inputs!$D$27)/(Inputs!$F$27-Inputs!$D$27),Inputs!$D$27+SQRT(P202*(Inputs!$F$27-Inputs!$D$27)*(Inputs!$E$27-Inputs!$D$27)),Inputs!$F$27-SQRT((1-P202)*(Inputs!$F$27-Inputs!$D$27)*(Inputs!$F$27-Inputs!$E$27)))</f>
        <v>97.4150997802645</v>
      </c>
      <c r="R202" s="81" t="n">
        <f aca="true">RAND()</f>
        <v>0.536150770512204</v>
      </c>
      <c r="S202" s="82" t="n">
        <f aca="false">IF(R202&lt;(Inputs!$E$29-Inputs!$D$29)/(Inputs!$F$29-Inputs!$D$29),Inputs!$D$29+SQRT(R202*(Inputs!$F$29-Inputs!$D$29)*(Inputs!$E$29-Inputs!$D$29)),Inputs!$F$29-SQRT((1-R202)*(Inputs!$F$29-Inputs!$D$29)*(Inputs!$F$29-Inputs!$E$29)))</f>
        <v>7.23466679186183</v>
      </c>
      <c r="T202" s="68" t="n">
        <f aca="false">Inputs!$E$9*(1+E202)+Inputs!$E$5*C202*(Inputs!$E$11*Inputs!$E$14*(G202*I202/Inputs!$E$16+(1-G202))*K202+Inputs!$E$23*M202)*(1+O202)+Inputs!$E$5*(Q202+S202)</f>
        <v>6246.61915539715</v>
      </c>
    </row>
    <row r="203" customFormat="false" ht="15" hidden="false" customHeight="false" outlineLevel="0" collapsed="false">
      <c r="A203" s="1" t="n">
        <v>199</v>
      </c>
      <c r="B203" s="81" t="n">
        <f aca="true">RAND()</f>
        <v>0.831869138503193</v>
      </c>
      <c r="C203" s="82" t="n">
        <f aca="false">ROUND(IF(B203&lt;(Inputs!$E$8-Inputs!$D$8)/(Inputs!$F$8-Inputs!$D$8),Inputs!$D$8+SQRT(B203*(Inputs!$F$8-Inputs!$D$8)*(Inputs!$E$8-Inputs!$D$8)),Inputs!$F$8-SQRT((1-B203)*(Inputs!$F$8-Inputs!$D$8)*(Inputs!$F$8-Inputs!$E$8))),0)</f>
        <v>27</v>
      </c>
      <c r="D203" s="81" t="n">
        <f aca="true">RAND()</f>
        <v>0.443461801243823</v>
      </c>
      <c r="E203" s="83" t="n">
        <f aca="false">IF(D203&lt;(Inputs!$E$10-Inputs!$D$10)/(Inputs!$F$10-Inputs!$D$10),Inputs!$D$10+SQRT(D203*(Inputs!$F$10-Inputs!$D$10)*(Inputs!$E$10-Inputs!$D$10)),Inputs!$F$10-SQRT((1-D203)*(Inputs!$F$10-Inputs!$D$10)*(Inputs!$F$10-Inputs!$E$10)))</f>
        <v>0.0707864327452983</v>
      </c>
      <c r="F203" s="81" t="n">
        <f aca="true">RAND()</f>
        <v>0.727695588180298</v>
      </c>
      <c r="G203" s="83" t="n">
        <f aca="false">IF(F203&lt;(Inputs!$E$15-Inputs!$D$15)/(Inputs!$F$15-Inputs!$D$15),Inputs!$D$15+SQRT(F203*(Inputs!$F$15-Inputs!$D$15)*(Inputs!$E$15-Inputs!$D$15)),Inputs!$F$15-SQRT((1-F203)*(Inputs!$F$15-Inputs!$D$15)*(Inputs!$F$15-Inputs!$E$15)))</f>
        <v>0.726202383260745</v>
      </c>
      <c r="H203" s="81" t="n">
        <f aca="true">RAND()</f>
        <v>0.865370881986698</v>
      </c>
      <c r="I203" s="82" t="n">
        <f aca="false">ROUND(IF(H203&lt;(Inputs!$E$17-Inputs!$D$17)/(Inputs!$F$17-Inputs!$D$17),Inputs!$D$17+SQRT(H203*(Inputs!$F$17-Inputs!$D$17)*(Inputs!$E$17-Inputs!$D$17)),Inputs!$F$17-SQRT((1-H203)*(Inputs!$F$17-Inputs!$D$17)*(Inputs!$F$17-Inputs!$E$17))),0)</f>
        <v>111</v>
      </c>
      <c r="J203" s="81" t="n">
        <f aca="true">RAND()</f>
        <v>0.941041821408531</v>
      </c>
      <c r="K203" s="83" t="n">
        <f aca="false">IF(J203&lt;(Inputs!$E$18-Inputs!$D$18)/(Inputs!$F$18-Inputs!$D$18),Inputs!$D$18+SQRT(J203*(Inputs!$F$18-Inputs!$D$18)*(Inputs!$E$18-Inputs!$D$18)),Inputs!$F$18-SQRT((1-J203)*(Inputs!$F$18-Inputs!$D$18)*(Inputs!$F$18-Inputs!$E$18)))</f>
        <v>1.17817493037418</v>
      </c>
      <c r="L203" s="81" t="n">
        <f aca="true">RAND()</f>
        <v>0.789191979649233</v>
      </c>
      <c r="M203" s="83" t="n">
        <f aca="false">IF(L203&lt;(Inputs!$E$24-Inputs!$D$24)/(Inputs!$F$24-Inputs!$D$24),Inputs!$D$24+SQRT(L203*(Inputs!$F$24-Inputs!$D$24)*(Inputs!$E$24-Inputs!$D$24)),Inputs!$F$24-SQRT((1-L203)*(Inputs!$F$24-Inputs!$D$24)*(Inputs!$F$24-Inputs!$E$24)))</f>
        <v>0.975069066413301</v>
      </c>
      <c r="N203" s="81" t="n">
        <f aca="true">RAND()</f>
        <v>0.760673954454722</v>
      </c>
      <c r="O203" s="83" t="n">
        <f aca="false">IF(N203&lt;(Inputs!$E$26-Inputs!$D$26)/(Inputs!$F$26-Inputs!$D$26),Inputs!$D$26+SQRT(N203*(Inputs!$F$26-Inputs!$D$26)*(Inputs!$E$26-Inputs!$D$26)),Inputs!$F$26-SQRT((1-N203)*(Inputs!$F$26-Inputs!$D$26)*(Inputs!$F$26-Inputs!$E$26)))</f>
        <v>0.662234640251071</v>
      </c>
      <c r="P203" s="81" t="n">
        <f aca="true">RAND()</f>
        <v>0.0464789672684863</v>
      </c>
      <c r="Q203" s="82" t="n">
        <f aca="false">IF(P203&lt;(Inputs!$E$27-Inputs!$D$27)/(Inputs!$F$27-Inputs!$D$27),Inputs!$D$27+SQRT(P203*(Inputs!$F$27-Inputs!$D$27)*(Inputs!$E$27-Inputs!$D$27)),Inputs!$F$27-SQRT((1-P203)*(Inputs!$F$27-Inputs!$D$27)*(Inputs!$F$27-Inputs!$E$27)))</f>
        <v>60.7794906267048</v>
      </c>
      <c r="R203" s="81" t="n">
        <f aca="true">RAND()</f>
        <v>0.597143907497728</v>
      </c>
      <c r="S203" s="82" t="n">
        <f aca="false">IF(R203&lt;(Inputs!$E$29-Inputs!$D$29)/(Inputs!$F$29-Inputs!$D$29),Inputs!$D$29+SQRT(R203*(Inputs!$F$29-Inputs!$D$29)*(Inputs!$E$29-Inputs!$D$29)),Inputs!$F$29-SQRT((1-R203)*(Inputs!$F$29-Inputs!$D$29)*(Inputs!$F$29-Inputs!$E$29)))</f>
        <v>7.76319877119073</v>
      </c>
      <c r="T203" s="68" t="n">
        <f aca="false">Inputs!$E$9*(1+E203)+Inputs!$E$5*C203*(Inputs!$E$11*Inputs!$E$14*(G203*I203/Inputs!$E$16+(1-G203))*K203+Inputs!$E$23*M203)*(1+O203)+Inputs!$E$5*(Q203+S203)</f>
        <v>7147.89222852372</v>
      </c>
    </row>
    <row r="204" customFormat="false" ht="15" hidden="false" customHeight="false" outlineLevel="0" collapsed="false">
      <c r="A204" s="1" t="n">
        <v>200</v>
      </c>
      <c r="B204" s="81" t="n">
        <f aca="true">RAND()</f>
        <v>0.906477992061316</v>
      </c>
      <c r="C204" s="82" t="n">
        <f aca="false">ROUND(IF(B204&lt;(Inputs!$E$8-Inputs!$D$8)/(Inputs!$F$8-Inputs!$D$8),Inputs!$D$8+SQRT(B204*(Inputs!$F$8-Inputs!$D$8)*(Inputs!$E$8-Inputs!$D$8)),Inputs!$F$8-SQRT((1-B204)*(Inputs!$F$8-Inputs!$D$8)*(Inputs!$F$8-Inputs!$E$8))),0)</f>
        <v>28</v>
      </c>
      <c r="D204" s="81" t="n">
        <f aca="true">RAND()</f>
        <v>0.141542209948482</v>
      </c>
      <c r="E204" s="83" t="n">
        <f aca="false">IF(D204&lt;(Inputs!$E$10-Inputs!$D$10)/(Inputs!$F$10-Inputs!$D$10),Inputs!$D$10+SQRT(D204*(Inputs!$F$10-Inputs!$D$10)*(Inputs!$E$10-Inputs!$D$10)),Inputs!$F$10-SQRT((1-D204)*(Inputs!$F$10-Inputs!$D$10)*(Inputs!$F$10-Inputs!$E$10)))</f>
        <v>0.0376220958943653</v>
      </c>
      <c r="F204" s="81" t="n">
        <f aca="true">RAND()</f>
        <v>0.782749930284107</v>
      </c>
      <c r="G204" s="83" t="n">
        <f aca="false">IF(F204&lt;(Inputs!$E$15-Inputs!$D$15)/(Inputs!$F$15-Inputs!$D$15),Inputs!$D$15+SQRT(F204*(Inputs!$F$15-Inputs!$D$15)*(Inputs!$E$15-Inputs!$D$15)),Inputs!$F$15-SQRT((1-F204)*(Inputs!$F$15-Inputs!$D$15)*(Inputs!$F$15-Inputs!$E$15)))</f>
        <v>0.734083375432916</v>
      </c>
      <c r="H204" s="81" t="n">
        <f aca="true">RAND()</f>
        <v>0.523401038570848</v>
      </c>
      <c r="I204" s="82" t="n">
        <f aca="false">ROUND(IF(H204&lt;(Inputs!$E$17-Inputs!$D$17)/(Inputs!$F$17-Inputs!$D$17),Inputs!$D$17+SQRT(H204*(Inputs!$F$17-Inputs!$D$17)*(Inputs!$E$17-Inputs!$D$17)),Inputs!$F$17-SQRT((1-H204)*(Inputs!$F$17-Inputs!$D$17)*(Inputs!$F$17-Inputs!$E$17))),0)</f>
        <v>107</v>
      </c>
      <c r="J204" s="81" t="n">
        <f aca="true">RAND()</f>
        <v>0.702869532667829</v>
      </c>
      <c r="K204" s="83" t="n">
        <f aca="false">IF(J204&lt;(Inputs!$E$18-Inputs!$D$18)/(Inputs!$F$18-Inputs!$D$18),Inputs!$D$18+SQRT(J204*(Inputs!$F$18-Inputs!$D$18)*(Inputs!$E$18-Inputs!$D$18)),Inputs!$F$18-SQRT((1-J204)*(Inputs!$F$18-Inputs!$D$18)*(Inputs!$F$18-Inputs!$E$18)))</f>
        <v>1.08875820674662</v>
      </c>
      <c r="L204" s="81" t="n">
        <f aca="true">RAND()</f>
        <v>0.48213639128201</v>
      </c>
      <c r="M204" s="83" t="n">
        <f aca="false">IF(L204&lt;(Inputs!$E$24-Inputs!$D$24)/(Inputs!$F$24-Inputs!$D$24),Inputs!$D$24+SQRT(L204*(Inputs!$F$24-Inputs!$D$24)*(Inputs!$E$24-Inputs!$D$24)),Inputs!$F$24-SQRT((1-L204)*(Inputs!$F$24-Inputs!$D$24)*(Inputs!$F$24-Inputs!$E$24)))</f>
        <v>0.847456008287877</v>
      </c>
      <c r="N204" s="81" t="n">
        <f aca="true">RAND()</f>
        <v>0.517830804150271</v>
      </c>
      <c r="O204" s="83" t="n">
        <f aca="false">IF(N204&lt;(Inputs!$E$26-Inputs!$D$26)/(Inputs!$F$26-Inputs!$D$26),Inputs!$D$26+SQRT(N204*(Inputs!$F$26-Inputs!$D$26)*(Inputs!$E$26-Inputs!$D$26)),Inputs!$F$26-SQRT((1-N204)*(Inputs!$F$26-Inputs!$D$26)*(Inputs!$F$26-Inputs!$E$26)))</f>
        <v>0.593542238546014</v>
      </c>
      <c r="P204" s="81" t="n">
        <f aca="true">RAND()</f>
        <v>0.00652137362164892</v>
      </c>
      <c r="Q204" s="82" t="n">
        <f aca="false">IF(P204&lt;(Inputs!$E$27-Inputs!$D$27)/(Inputs!$F$27-Inputs!$D$27),Inputs!$D$27+SQRT(P204*(Inputs!$F$27-Inputs!$D$27)*(Inputs!$E$27-Inputs!$D$27)),Inputs!$F$27-SQRT((1-P204)*(Inputs!$F$27-Inputs!$D$27)*(Inputs!$F$27-Inputs!$E$27)))</f>
        <v>54.0377511134445</v>
      </c>
      <c r="R204" s="81" t="n">
        <f aca="true">RAND()</f>
        <v>0.661482497142876</v>
      </c>
      <c r="S204" s="82" t="n">
        <f aca="false">IF(R204&lt;(Inputs!$E$29-Inputs!$D$29)/(Inputs!$F$29-Inputs!$D$29),Inputs!$D$29+SQRT(R204*(Inputs!$F$29-Inputs!$D$29)*(Inputs!$E$29-Inputs!$D$29)),Inputs!$F$29-SQRT((1-R204)*(Inputs!$F$29-Inputs!$D$29)*(Inputs!$F$29-Inputs!$E$29)))</f>
        <v>8.36620204020155</v>
      </c>
      <c r="T204" s="68" t="n">
        <f aca="false">Inputs!$E$9*(1+E204)+Inputs!$E$5*C204*(Inputs!$E$11*Inputs!$E$14*(G204*I204/Inputs!$E$16+(1-G204))*K204+Inputs!$E$23*M204)*(1+O204)+Inputs!$E$5*(Q204+S204)</f>
        <v>6526.1676584151</v>
      </c>
    </row>
    <row r="205" customFormat="false" ht="15" hidden="false" customHeight="false" outlineLevel="0" collapsed="false">
      <c r="A205" s="1" t="n">
        <v>201</v>
      </c>
      <c r="B205" s="81" t="n">
        <f aca="true">RAND()</f>
        <v>0.376278393832423</v>
      </c>
      <c r="C205" s="82" t="n">
        <f aca="false">ROUND(IF(B205&lt;(Inputs!$E$8-Inputs!$D$8)/(Inputs!$F$8-Inputs!$D$8),Inputs!$D$8+SQRT(B205*(Inputs!$F$8-Inputs!$D$8)*(Inputs!$E$8-Inputs!$D$8)),Inputs!$F$8-SQRT((1-B205)*(Inputs!$F$8-Inputs!$D$8)*(Inputs!$F$8-Inputs!$E$8))),0)</f>
        <v>24</v>
      </c>
      <c r="D205" s="81" t="n">
        <f aca="true">RAND()</f>
        <v>0.146565182504569</v>
      </c>
      <c r="E205" s="83" t="n">
        <f aca="false">IF(D205&lt;(Inputs!$E$10-Inputs!$D$10)/(Inputs!$F$10-Inputs!$D$10),Inputs!$D$10+SQRT(D205*(Inputs!$F$10-Inputs!$D$10)*(Inputs!$E$10-Inputs!$D$10)),Inputs!$F$10-SQRT((1-D205)*(Inputs!$F$10-Inputs!$D$10)*(Inputs!$F$10-Inputs!$E$10)))</f>
        <v>0.0382838324236968</v>
      </c>
      <c r="F205" s="81" t="n">
        <f aca="true">RAND()</f>
        <v>0.141584444789925</v>
      </c>
      <c r="G205" s="83" t="n">
        <f aca="false">IF(F205&lt;(Inputs!$E$15-Inputs!$D$15)/(Inputs!$F$15-Inputs!$D$15),Inputs!$D$15+SQRT(F205*(Inputs!$F$15-Inputs!$D$15)*(Inputs!$E$15-Inputs!$D$15)),Inputs!$F$15-SQRT((1-F205)*(Inputs!$F$15-Inputs!$D$15)*(Inputs!$F$15-Inputs!$E$15)))</f>
        <v>0.653213615699354</v>
      </c>
      <c r="H205" s="81" t="n">
        <f aca="true">RAND()</f>
        <v>0.341287067475577</v>
      </c>
      <c r="I205" s="82" t="n">
        <f aca="false">ROUND(IF(H205&lt;(Inputs!$E$17-Inputs!$D$17)/(Inputs!$F$17-Inputs!$D$17),Inputs!$D$17+SQRT(H205*(Inputs!$F$17-Inputs!$D$17)*(Inputs!$E$17-Inputs!$D$17)),Inputs!$F$17-SQRT((1-H205)*(Inputs!$F$17-Inputs!$D$17)*(Inputs!$F$17-Inputs!$E$17))),0)</f>
        <v>105</v>
      </c>
      <c r="J205" s="81" t="n">
        <f aca="true">RAND()</f>
        <v>0.0912757938895982</v>
      </c>
      <c r="K205" s="83" t="n">
        <f aca="false">IF(J205&lt;(Inputs!$E$18-Inputs!$D$18)/(Inputs!$F$18-Inputs!$D$18),Inputs!$D$18+SQRT(J205*(Inputs!$F$18-Inputs!$D$18)*(Inputs!$E$18-Inputs!$D$18)),Inputs!$F$18-SQRT((1-J205)*(Inputs!$F$18-Inputs!$D$18)*(Inputs!$F$18-Inputs!$E$18)))</f>
        <v>0.956521259594386</v>
      </c>
      <c r="L205" s="81" t="n">
        <f aca="true">RAND()</f>
        <v>0.284575206628346</v>
      </c>
      <c r="M205" s="83" t="n">
        <f aca="false">IF(L205&lt;(Inputs!$E$24-Inputs!$D$24)/(Inputs!$F$24-Inputs!$D$24),Inputs!$D$24+SQRT(L205*(Inputs!$F$24-Inputs!$D$24)*(Inputs!$E$24-Inputs!$D$24)),Inputs!$F$24-SQRT((1-L205)*(Inputs!$F$24-Inputs!$D$24)*(Inputs!$F$24-Inputs!$E$24)))</f>
        <v>0.784794547526169</v>
      </c>
      <c r="N205" s="81" t="n">
        <f aca="true">RAND()</f>
        <v>0.966876206027149</v>
      </c>
      <c r="O205" s="83" t="n">
        <f aca="false">IF(N205&lt;(Inputs!$E$26-Inputs!$D$26)/(Inputs!$F$26-Inputs!$D$26),Inputs!$D$26+SQRT(N205*(Inputs!$F$26-Inputs!$D$26)*(Inputs!$E$26-Inputs!$D$26)),Inputs!$F$26-SQRT((1-N205)*(Inputs!$F$26-Inputs!$D$26)*(Inputs!$F$26-Inputs!$E$26)))</f>
        <v>0.761306946124975</v>
      </c>
      <c r="P205" s="81" t="n">
        <f aca="true">RAND()</f>
        <v>0.291179582111044</v>
      </c>
      <c r="Q205" s="82" t="n">
        <f aca="false">IF(P205&lt;(Inputs!$E$27-Inputs!$D$27)/(Inputs!$F$27-Inputs!$D$27),Inputs!$D$27+SQRT(P205*(Inputs!$F$27-Inputs!$D$27)*(Inputs!$E$27-Inputs!$D$27)),Inputs!$F$27-SQRT((1-P205)*(Inputs!$F$27-Inputs!$D$27)*(Inputs!$F$27-Inputs!$E$27)))</f>
        <v>77.088045327483</v>
      </c>
      <c r="R205" s="81" t="n">
        <f aca="true">RAND()</f>
        <v>0.0294365497066966</v>
      </c>
      <c r="S205" s="82" t="n">
        <f aca="false">IF(R205&lt;(Inputs!$E$29-Inputs!$D$29)/(Inputs!$F$29-Inputs!$D$29),Inputs!$D$29+SQRT(R205*(Inputs!$F$29-Inputs!$D$29)*(Inputs!$E$29-Inputs!$D$29)),Inputs!$F$29-SQRT((1-R205)*(Inputs!$F$29-Inputs!$D$29)*(Inputs!$F$29-Inputs!$E$29)))</f>
        <v>3.07145948993005</v>
      </c>
      <c r="T205" s="68" t="n">
        <f aca="false">Inputs!$E$9*(1+E205)+Inputs!$E$5*C205*(Inputs!$E$11*Inputs!$E$14*(G205*I205/Inputs!$E$16+(1-G205))*K205+Inputs!$E$23*M205)*(1+O205)+Inputs!$E$5*(Q205+S205)</f>
        <v>6102.03667384021</v>
      </c>
    </row>
    <row r="206" customFormat="false" ht="15" hidden="false" customHeight="false" outlineLevel="0" collapsed="false">
      <c r="A206" s="1" t="n">
        <v>202</v>
      </c>
      <c r="B206" s="81" t="n">
        <f aca="true">RAND()</f>
        <v>0.330229174953299</v>
      </c>
      <c r="C206" s="82" t="n">
        <f aca="false">ROUND(IF(B206&lt;(Inputs!$E$8-Inputs!$D$8)/(Inputs!$F$8-Inputs!$D$8),Inputs!$D$8+SQRT(B206*(Inputs!$F$8-Inputs!$D$8)*(Inputs!$E$8-Inputs!$D$8)),Inputs!$F$8-SQRT((1-B206)*(Inputs!$F$8-Inputs!$D$8)*(Inputs!$F$8-Inputs!$E$8))),0)</f>
        <v>24</v>
      </c>
      <c r="D206" s="81" t="n">
        <f aca="true">RAND()</f>
        <v>0.858518087085561</v>
      </c>
      <c r="E206" s="83" t="n">
        <f aca="false">IF(D206&lt;(Inputs!$E$10-Inputs!$D$10)/(Inputs!$F$10-Inputs!$D$10),Inputs!$D$10+SQRT(D206*(Inputs!$F$10-Inputs!$D$10)*(Inputs!$E$10-Inputs!$D$10)),Inputs!$F$10-SQRT((1-D206)*(Inputs!$F$10-Inputs!$D$10)*(Inputs!$F$10-Inputs!$E$10)))</f>
        <v>0.134850499714632</v>
      </c>
      <c r="F206" s="81" t="n">
        <f aca="true">RAND()</f>
        <v>0.670147507456715</v>
      </c>
      <c r="G206" s="83" t="n">
        <f aca="false">IF(F206&lt;(Inputs!$E$15-Inputs!$D$15)/(Inputs!$F$15-Inputs!$D$15),Inputs!$D$15+SQRT(F206*(Inputs!$F$15-Inputs!$D$15)*(Inputs!$E$15-Inputs!$D$15)),Inputs!$F$15-SQRT((1-F206)*(Inputs!$F$15-Inputs!$D$15)*(Inputs!$F$15-Inputs!$E$15)))</f>
        <v>0.718777774895872</v>
      </c>
      <c r="H206" s="81" t="n">
        <f aca="true">RAND()</f>
        <v>0.645250948239548</v>
      </c>
      <c r="I206" s="82" t="n">
        <f aca="false">ROUND(IF(H206&lt;(Inputs!$E$17-Inputs!$D$17)/(Inputs!$F$17-Inputs!$D$17),Inputs!$D$17+SQRT(H206*(Inputs!$F$17-Inputs!$D$17)*(Inputs!$E$17-Inputs!$D$17)),Inputs!$F$17-SQRT((1-H206)*(Inputs!$F$17-Inputs!$D$17)*(Inputs!$F$17-Inputs!$E$17))),0)</f>
        <v>108</v>
      </c>
      <c r="J206" s="81" t="n">
        <f aca="true">RAND()</f>
        <v>0.503345717246536</v>
      </c>
      <c r="K206" s="83" t="n">
        <f aca="false">IF(J206&lt;(Inputs!$E$18-Inputs!$D$18)/(Inputs!$F$18-Inputs!$D$18),Inputs!$D$18+SQRT(J206*(Inputs!$F$18-Inputs!$D$18)*(Inputs!$E$18-Inputs!$D$18)),Inputs!$F$18-SQRT((1-J206)*(Inputs!$F$18-Inputs!$D$18)*(Inputs!$F$18-Inputs!$E$18)))</f>
        <v>1.04153597494789</v>
      </c>
      <c r="L206" s="81" t="n">
        <f aca="true">RAND()</f>
        <v>0.735811185476479</v>
      </c>
      <c r="M206" s="83" t="n">
        <f aca="false">IF(L206&lt;(Inputs!$E$24-Inputs!$D$24)/(Inputs!$F$24-Inputs!$D$24),Inputs!$D$24+SQRT(L206*(Inputs!$F$24-Inputs!$D$24)*(Inputs!$E$24-Inputs!$D$24)),Inputs!$F$24-SQRT((1-L206)*(Inputs!$F$24-Inputs!$D$24)*(Inputs!$F$24-Inputs!$E$24)))</f>
        <v>0.948195878735782</v>
      </c>
      <c r="N206" s="81" t="n">
        <f aca="true">RAND()</f>
        <v>0.0967541029013517</v>
      </c>
      <c r="O206" s="83" t="n">
        <f aca="false">IF(N206&lt;(Inputs!$E$26-Inputs!$D$26)/(Inputs!$F$26-Inputs!$D$26),Inputs!$D$26+SQRT(N206*(Inputs!$F$26-Inputs!$D$26)*(Inputs!$E$26-Inputs!$D$26)),Inputs!$F$26-SQRT((1-N206)*(Inputs!$F$26-Inputs!$D$26)*(Inputs!$F$26-Inputs!$E$26)))</f>
        <v>0.426885313266686</v>
      </c>
      <c r="P206" s="81" t="n">
        <f aca="true">RAND()</f>
        <v>0.595686231325995</v>
      </c>
      <c r="Q206" s="82" t="n">
        <f aca="false">IF(P206&lt;(Inputs!$E$27-Inputs!$D$27)/(Inputs!$F$27-Inputs!$D$27),Inputs!$D$27+SQRT(P206*(Inputs!$F$27-Inputs!$D$27)*(Inputs!$E$27-Inputs!$D$27)),Inputs!$F$27-SQRT((1-P206)*(Inputs!$F$27-Inputs!$D$27)*(Inputs!$F$27-Inputs!$E$27)))</f>
        <v>94.9331927105354</v>
      </c>
      <c r="R206" s="81" t="n">
        <f aca="true">RAND()</f>
        <v>0.894826118715155</v>
      </c>
      <c r="S206" s="82" t="n">
        <f aca="false">IF(R206&lt;(Inputs!$E$29-Inputs!$D$29)/(Inputs!$F$29-Inputs!$D$29),Inputs!$D$29+SQRT(R206*(Inputs!$F$29-Inputs!$D$29)*(Inputs!$E$29-Inputs!$D$29)),Inputs!$F$29-SQRT((1-R206)*(Inputs!$F$29-Inputs!$D$29)*(Inputs!$F$29-Inputs!$E$29)))</f>
        <v>11.3023514814101</v>
      </c>
      <c r="T206" s="68" t="n">
        <f aca="false">Inputs!$E$9*(1+E206)+Inputs!$E$5*C206*(Inputs!$E$11*Inputs!$E$14*(G206*I206/Inputs!$E$16+(1-G206))*K206+Inputs!$E$23*M206)*(1+O206)+Inputs!$E$5*(Q206+S206)</f>
        <v>6110.5816741213</v>
      </c>
    </row>
    <row r="207" customFormat="false" ht="15" hidden="false" customHeight="false" outlineLevel="0" collapsed="false">
      <c r="A207" s="1" t="n">
        <v>203</v>
      </c>
      <c r="B207" s="81" t="n">
        <f aca="true">RAND()</f>
        <v>0.696124555822109</v>
      </c>
      <c r="C207" s="82" t="n">
        <f aca="false">ROUND(IF(B207&lt;(Inputs!$E$8-Inputs!$D$8)/(Inputs!$F$8-Inputs!$D$8),Inputs!$D$8+SQRT(B207*(Inputs!$F$8-Inputs!$D$8)*(Inputs!$E$8-Inputs!$D$8)),Inputs!$F$8-SQRT((1-B207)*(Inputs!$F$8-Inputs!$D$8)*(Inputs!$F$8-Inputs!$E$8))),0)</f>
        <v>26</v>
      </c>
      <c r="D207" s="81" t="n">
        <f aca="true">RAND()</f>
        <v>0.67084976748686</v>
      </c>
      <c r="E207" s="83" t="n">
        <f aca="false">IF(D207&lt;(Inputs!$E$10-Inputs!$D$10)/(Inputs!$F$10-Inputs!$D$10),Inputs!$D$10+SQRT(D207*(Inputs!$F$10-Inputs!$D$10)*(Inputs!$E$10-Inputs!$D$10)),Inputs!$F$10-SQRT((1-D207)*(Inputs!$F$10-Inputs!$D$10)*(Inputs!$F$10-Inputs!$E$10)))</f>
        <v>0.100629446135215</v>
      </c>
      <c r="F207" s="81" t="n">
        <f aca="true">RAND()</f>
        <v>0.802065399453633</v>
      </c>
      <c r="G207" s="83" t="n">
        <f aca="false">IF(F207&lt;(Inputs!$E$15-Inputs!$D$15)/(Inputs!$F$15-Inputs!$D$15),Inputs!$D$15+SQRT(F207*(Inputs!$F$15-Inputs!$D$15)*(Inputs!$E$15-Inputs!$D$15)),Inputs!$F$15-SQRT((1-F207)*(Inputs!$F$15-Inputs!$D$15)*(Inputs!$F$15-Inputs!$E$15)))</f>
        <v>0.737081862623506</v>
      </c>
      <c r="H207" s="81" t="n">
        <f aca="true">RAND()</f>
        <v>0.807877214760765</v>
      </c>
      <c r="I207" s="82" t="n">
        <f aca="false">ROUND(IF(H207&lt;(Inputs!$E$17-Inputs!$D$17)/(Inputs!$F$17-Inputs!$D$17),Inputs!$D$17+SQRT(H207*(Inputs!$F$17-Inputs!$D$17)*(Inputs!$E$17-Inputs!$D$17)),Inputs!$F$17-SQRT((1-H207)*(Inputs!$F$17-Inputs!$D$17)*(Inputs!$F$17-Inputs!$E$17))),0)</f>
        <v>110</v>
      </c>
      <c r="J207" s="81" t="n">
        <f aca="true">RAND()</f>
        <v>0.73484113523574</v>
      </c>
      <c r="K207" s="83" t="n">
        <f aca="false">IF(J207&lt;(Inputs!$E$18-Inputs!$D$18)/(Inputs!$F$18-Inputs!$D$18),Inputs!$D$18+SQRT(J207*(Inputs!$F$18-Inputs!$D$18)*(Inputs!$E$18-Inputs!$D$18)),Inputs!$F$18-SQRT((1-J207)*(Inputs!$F$18-Inputs!$D$18)*(Inputs!$F$18-Inputs!$E$18)))</f>
        <v>1.09767994003785</v>
      </c>
      <c r="L207" s="81" t="n">
        <f aca="true">RAND()</f>
        <v>0.497708982995753</v>
      </c>
      <c r="M207" s="83" t="n">
        <f aca="false">IF(L207&lt;(Inputs!$E$24-Inputs!$D$24)/(Inputs!$F$24-Inputs!$D$24),Inputs!$D$24+SQRT(L207*(Inputs!$F$24-Inputs!$D$24)*(Inputs!$E$24-Inputs!$D$24)),Inputs!$F$24-SQRT((1-L207)*(Inputs!$F$24-Inputs!$D$24)*(Inputs!$F$24-Inputs!$E$24)))</f>
        <v>0.852797113950619</v>
      </c>
      <c r="N207" s="81" t="n">
        <f aca="true">RAND()</f>
        <v>0.434609315818095</v>
      </c>
      <c r="O207" s="83" t="n">
        <f aca="false">IF(N207&lt;(Inputs!$E$26-Inputs!$D$26)/(Inputs!$F$26-Inputs!$D$26),Inputs!$D$26+SQRT(N207*(Inputs!$F$26-Inputs!$D$26)*(Inputs!$E$26-Inputs!$D$26)),Inputs!$F$26-SQRT((1-N207)*(Inputs!$F$26-Inputs!$D$26)*(Inputs!$F$26-Inputs!$E$26)))</f>
        <v>0.568921903444348</v>
      </c>
      <c r="P207" s="81" t="n">
        <f aca="true">RAND()</f>
        <v>0.315754507764078</v>
      </c>
      <c r="Q207" s="82" t="n">
        <f aca="false">IF(P207&lt;(Inputs!$E$27-Inputs!$D$27)/(Inputs!$F$27-Inputs!$D$27),Inputs!$D$27+SQRT(P207*(Inputs!$F$27-Inputs!$D$27)*(Inputs!$E$27-Inputs!$D$27)),Inputs!$F$27-SQRT((1-P207)*(Inputs!$F$27-Inputs!$D$27)*(Inputs!$F$27-Inputs!$E$27)))</f>
        <v>78.363129662377</v>
      </c>
      <c r="R207" s="81" t="n">
        <f aca="true">RAND()</f>
        <v>0.204255488208341</v>
      </c>
      <c r="S207" s="82" t="n">
        <f aca="false">IF(R207&lt;(Inputs!$E$29-Inputs!$D$29)/(Inputs!$F$29-Inputs!$D$29),Inputs!$D$29+SQRT(R207*(Inputs!$F$29-Inputs!$D$29)*(Inputs!$E$29-Inputs!$D$29)),Inputs!$F$29-SQRT((1-R207)*(Inputs!$F$29-Inputs!$D$29)*(Inputs!$F$29-Inputs!$E$29)))</f>
        <v>4.8224039470149</v>
      </c>
      <c r="T207" s="68" t="n">
        <f aca="false">Inputs!$E$9*(1+E207)+Inputs!$E$5*C207*(Inputs!$E$11*Inputs!$E$14*(G207*I207/Inputs!$E$16+(1-G207))*K207+Inputs!$E$23*M207)*(1+O207)+Inputs!$E$5*(Q207+S207)</f>
        <v>6495.45533975212</v>
      </c>
    </row>
    <row r="208" customFormat="false" ht="15" hidden="false" customHeight="false" outlineLevel="0" collapsed="false">
      <c r="A208" s="1" t="n">
        <v>204</v>
      </c>
      <c r="B208" s="81" t="n">
        <f aca="true">RAND()</f>
        <v>0.334228969396083</v>
      </c>
      <c r="C208" s="82" t="n">
        <f aca="false">ROUND(IF(B208&lt;(Inputs!$E$8-Inputs!$D$8)/(Inputs!$F$8-Inputs!$D$8),Inputs!$D$8+SQRT(B208*(Inputs!$F$8-Inputs!$D$8)*(Inputs!$E$8-Inputs!$D$8)),Inputs!$F$8-SQRT((1-B208)*(Inputs!$F$8-Inputs!$D$8)*(Inputs!$F$8-Inputs!$E$8))),0)</f>
        <v>24</v>
      </c>
      <c r="D208" s="81" t="n">
        <f aca="true">RAND()</f>
        <v>0.804002875054619</v>
      </c>
      <c r="E208" s="83" t="n">
        <f aca="false">IF(D208&lt;(Inputs!$E$10-Inputs!$D$10)/(Inputs!$F$10-Inputs!$D$10),Inputs!$D$10+SQRT(D208*(Inputs!$F$10-Inputs!$D$10)*(Inputs!$E$10-Inputs!$D$10)),Inputs!$F$10-SQRT((1-D208)*(Inputs!$F$10-Inputs!$D$10)*(Inputs!$F$10-Inputs!$E$10)))</f>
        <v>0.123319404355721</v>
      </c>
      <c r="F208" s="81" t="n">
        <f aca="true">RAND()</f>
        <v>0.326719657268773</v>
      </c>
      <c r="G208" s="83" t="n">
        <f aca="false">IF(F208&lt;(Inputs!$E$15-Inputs!$D$15)/(Inputs!$F$15-Inputs!$D$15),Inputs!$D$15+SQRT(F208*(Inputs!$F$15-Inputs!$D$15)*(Inputs!$E$15-Inputs!$D$15)),Inputs!$F$15-SQRT((1-F208)*(Inputs!$F$15-Inputs!$D$15)*(Inputs!$F$15-Inputs!$E$15)))</f>
        <v>0.6808355933075</v>
      </c>
      <c r="H208" s="81" t="n">
        <f aca="true">RAND()</f>
        <v>0.766344673322548</v>
      </c>
      <c r="I208" s="82" t="n">
        <f aca="false">ROUND(IF(H208&lt;(Inputs!$E$17-Inputs!$D$17)/(Inputs!$F$17-Inputs!$D$17),Inputs!$D$17+SQRT(H208*(Inputs!$F$17-Inputs!$D$17)*(Inputs!$E$17-Inputs!$D$17)),Inputs!$F$17-SQRT((1-H208)*(Inputs!$F$17-Inputs!$D$17)*(Inputs!$F$17-Inputs!$E$17))),0)</f>
        <v>109</v>
      </c>
      <c r="J208" s="81" t="n">
        <f aca="true">RAND()</f>
        <v>0.978517792791536</v>
      </c>
      <c r="K208" s="83" t="n">
        <f aca="false">IF(J208&lt;(Inputs!$E$18-Inputs!$D$18)/(Inputs!$F$18-Inputs!$D$18),Inputs!$D$18+SQRT(J208*(Inputs!$F$18-Inputs!$D$18)*(Inputs!$E$18-Inputs!$D$18)),Inputs!$F$18-SQRT((1-J208)*(Inputs!$F$18-Inputs!$D$18)*(Inputs!$F$18-Inputs!$E$18)))</f>
        <v>1.20664457207292</v>
      </c>
      <c r="L208" s="81" t="n">
        <f aca="true">RAND()</f>
        <v>0.7120753085473</v>
      </c>
      <c r="M208" s="83" t="n">
        <f aca="false">IF(L208&lt;(Inputs!$E$24-Inputs!$D$24)/(Inputs!$F$24-Inputs!$D$24),Inputs!$D$24+SQRT(L208*(Inputs!$F$24-Inputs!$D$24)*(Inputs!$E$24-Inputs!$D$24)),Inputs!$F$24-SQRT((1-L208)*(Inputs!$F$24-Inputs!$D$24)*(Inputs!$F$24-Inputs!$E$24)))</f>
        <v>0.937127548136652</v>
      </c>
      <c r="N208" s="81" t="n">
        <f aca="true">RAND()</f>
        <v>0.462315349536593</v>
      </c>
      <c r="O208" s="83" t="n">
        <f aca="false">IF(N208&lt;(Inputs!$E$26-Inputs!$D$26)/(Inputs!$F$26-Inputs!$D$26),Inputs!$D$26+SQRT(N208*(Inputs!$F$26-Inputs!$D$26)*(Inputs!$E$26-Inputs!$D$26)),Inputs!$F$26-SQRT((1-N208)*(Inputs!$F$26-Inputs!$D$26)*(Inputs!$F$26-Inputs!$E$26)))</f>
        <v>0.577361270120558</v>
      </c>
      <c r="P208" s="81" t="n">
        <f aca="true">RAND()</f>
        <v>0.00418658834068773</v>
      </c>
      <c r="Q208" s="82" t="n">
        <f aca="false">IF(P208&lt;(Inputs!$E$27-Inputs!$D$27)/(Inputs!$F$27-Inputs!$D$27),Inputs!$D$27+SQRT(P208*(Inputs!$F$27-Inputs!$D$27)*(Inputs!$E$27-Inputs!$D$27)),Inputs!$F$27-SQRT((1-P208)*(Inputs!$F$27-Inputs!$D$27)*(Inputs!$F$27-Inputs!$E$27)))</f>
        <v>53.235192552495</v>
      </c>
      <c r="R208" s="81" t="n">
        <f aca="true">RAND()</f>
        <v>0.19161240435332</v>
      </c>
      <c r="S208" s="82" t="n">
        <f aca="false">IF(R208&lt;(Inputs!$E$29-Inputs!$D$29)/(Inputs!$F$29-Inputs!$D$29),Inputs!$D$29+SQRT(R208*(Inputs!$F$29-Inputs!$D$29)*(Inputs!$E$29-Inputs!$D$29)),Inputs!$F$29-SQRT((1-R208)*(Inputs!$F$29-Inputs!$D$29)*(Inputs!$F$29-Inputs!$E$29)))</f>
        <v>4.73365758093062</v>
      </c>
      <c r="T208" s="68" t="n">
        <f aca="false">Inputs!$E$9*(1+E208)+Inputs!$E$5*C208*(Inputs!$E$11*Inputs!$E$14*(G208*I208/Inputs!$E$16+(1-G208))*K208+Inputs!$E$23*M208)*(1+O208)+Inputs!$E$5*(Q208+S208)</f>
        <v>6559.89605937592</v>
      </c>
    </row>
    <row r="209" customFormat="false" ht="15" hidden="false" customHeight="false" outlineLevel="0" collapsed="false">
      <c r="A209" s="1" t="n">
        <v>205</v>
      </c>
      <c r="B209" s="81" t="n">
        <f aca="true">RAND()</f>
        <v>0.544915383809618</v>
      </c>
      <c r="C209" s="82" t="n">
        <f aca="false">ROUND(IF(B209&lt;(Inputs!$E$8-Inputs!$D$8)/(Inputs!$F$8-Inputs!$D$8),Inputs!$D$8+SQRT(B209*(Inputs!$F$8-Inputs!$D$8)*(Inputs!$E$8-Inputs!$D$8)),Inputs!$F$8-SQRT((1-B209)*(Inputs!$F$8-Inputs!$D$8)*(Inputs!$F$8-Inputs!$E$8))),0)</f>
        <v>25</v>
      </c>
      <c r="D209" s="81" t="n">
        <f aca="true">RAND()</f>
        <v>0.879484657636572</v>
      </c>
      <c r="E209" s="83" t="n">
        <f aca="false">IF(D209&lt;(Inputs!$E$10-Inputs!$D$10)/(Inputs!$F$10-Inputs!$D$10),Inputs!$D$10+SQRT(D209*(Inputs!$F$10-Inputs!$D$10)*(Inputs!$E$10-Inputs!$D$10)),Inputs!$F$10-SQRT((1-D209)*(Inputs!$F$10-Inputs!$D$10)*(Inputs!$F$10-Inputs!$E$10)))</f>
        <v>0.139871302434671</v>
      </c>
      <c r="F209" s="81" t="n">
        <f aca="true">RAND()</f>
        <v>0.553239878087047</v>
      </c>
      <c r="G209" s="83" t="n">
        <f aca="false">IF(F209&lt;(Inputs!$E$15-Inputs!$D$15)/(Inputs!$F$15-Inputs!$D$15),Inputs!$D$15+SQRT(F209*(Inputs!$F$15-Inputs!$D$15)*(Inputs!$E$15-Inputs!$D$15)),Inputs!$F$15-SQRT((1-F209)*(Inputs!$F$15-Inputs!$D$15)*(Inputs!$F$15-Inputs!$E$15)))</f>
        <v>0.705473800254855</v>
      </c>
      <c r="H209" s="81" t="n">
        <f aca="true">RAND()</f>
        <v>0.547755527887014</v>
      </c>
      <c r="I209" s="82" t="n">
        <f aca="false">ROUND(IF(H209&lt;(Inputs!$E$17-Inputs!$D$17)/(Inputs!$F$17-Inputs!$D$17),Inputs!$D$17+SQRT(H209*(Inputs!$F$17-Inputs!$D$17)*(Inputs!$E$17-Inputs!$D$17)),Inputs!$F$17-SQRT((1-H209)*(Inputs!$F$17-Inputs!$D$17)*(Inputs!$F$17-Inputs!$E$17))),0)</f>
        <v>107</v>
      </c>
      <c r="J209" s="81" t="n">
        <f aca="true">RAND()</f>
        <v>0.990590793565543</v>
      </c>
      <c r="K209" s="83" t="n">
        <f aca="false">IF(J209&lt;(Inputs!$E$18-Inputs!$D$18)/(Inputs!$F$18-Inputs!$D$18),Inputs!$D$18+SQRT(J209*(Inputs!$F$18-Inputs!$D$18)*(Inputs!$E$18-Inputs!$D$18)),Inputs!$F$18-SQRT((1-J209)*(Inputs!$F$18-Inputs!$D$18)*(Inputs!$F$18-Inputs!$E$18)))</f>
        <v>1.22130669829011</v>
      </c>
      <c r="L209" s="81" t="n">
        <f aca="true">RAND()</f>
        <v>0.308443869291372</v>
      </c>
      <c r="M209" s="83" t="n">
        <f aca="false">IF(L209&lt;(Inputs!$E$24-Inputs!$D$24)/(Inputs!$F$24-Inputs!$D$24),Inputs!$D$24+SQRT(L209*(Inputs!$F$24-Inputs!$D$24)*(Inputs!$E$24-Inputs!$D$24)),Inputs!$F$24-SQRT((1-L209)*(Inputs!$F$24-Inputs!$D$24)*(Inputs!$F$24-Inputs!$E$24)))</f>
        <v>0.792388316472089</v>
      </c>
      <c r="N209" s="81" t="n">
        <f aca="true">RAND()</f>
        <v>0.667667693306663</v>
      </c>
      <c r="O209" s="83" t="n">
        <f aca="false">IF(N209&lt;(Inputs!$E$26-Inputs!$D$26)/(Inputs!$F$26-Inputs!$D$26),Inputs!$D$26+SQRT(N209*(Inputs!$F$26-Inputs!$D$26)*(Inputs!$E$26-Inputs!$D$26)),Inputs!$F$26-SQRT((1-N209)*(Inputs!$F$26-Inputs!$D$26)*(Inputs!$F$26-Inputs!$E$26)))</f>
        <v>0.634089914485236</v>
      </c>
      <c r="P209" s="81" t="n">
        <f aca="true">RAND()</f>
        <v>0.67675626228595</v>
      </c>
      <c r="Q209" s="82" t="n">
        <f aca="false">IF(P209&lt;(Inputs!$E$27-Inputs!$D$27)/(Inputs!$F$27-Inputs!$D$27),Inputs!$D$27+SQRT(P209*(Inputs!$F$27-Inputs!$D$27)*(Inputs!$E$27-Inputs!$D$27)),Inputs!$F$27-SQRT((1-P209)*(Inputs!$F$27-Inputs!$D$27)*(Inputs!$F$27-Inputs!$E$27)))</f>
        <v>100.762534256368</v>
      </c>
      <c r="R209" s="81" t="n">
        <f aca="true">RAND()</f>
        <v>0.425684130078992</v>
      </c>
      <c r="S209" s="82" t="n">
        <f aca="false">IF(R209&lt;(Inputs!$E$29-Inputs!$D$29)/(Inputs!$F$29-Inputs!$D$29),Inputs!$D$29+SQRT(R209*(Inputs!$F$29-Inputs!$D$29)*(Inputs!$E$29-Inputs!$D$29)),Inputs!$F$29-SQRT((1-R209)*(Inputs!$F$29-Inputs!$D$29)*(Inputs!$F$29-Inputs!$E$29)))</f>
        <v>6.35933665221639</v>
      </c>
      <c r="T209" s="68" t="n">
        <f aca="false">Inputs!$E$9*(1+E209)+Inputs!$E$5*C209*(Inputs!$E$11*Inputs!$E$14*(G209*I209/Inputs!$E$16+(1-G209))*K209+Inputs!$E$23*M209)*(1+O209)+Inputs!$E$5*(Q209+S209)</f>
        <v>6896.89430324581</v>
      </c>
    </row>
    <row r="210" customFormat="false" ht="15" hidden="false" customHeight="false" outlineLevel="0" collapsed="false">
      <c r="A210" s="1" t="n">
        <v>206</v>
      </c>
      <c r="B210" s="81" t="n">
        <f aca="true">RAND()</f>
        <v>0.445226868298014</v>
      </c>
      <c r="C210" s="82" t="n">
        <f aca="false">ROUND(IF(B210&lt;(Inputs!$E$8-Inputs!$D$8)/(Inputs!$F$8-Inputs!$D$8),Inputs!$D$8+SQRT(B210*(Inputs!$F$8-Inputs!$D$8)*(Inputs!$E$8-Inputs!$D$8)),Inputs!$F$8-SQRT((1-B210)*(Inputs!$F$8-Inputs!$D$8)*(Inputs!$F$8-Inputs!$E$8))),0)</f>
        <v>25</v>
      </c>
      <c r="D210" s="81" t="n">
        <f aca="true">RAND()</f>
        <v>0.0476120676525067</v>
      </c>
      <c r="E210" s="83" t="n">
        <f aca="false">IF(D210&lt;(Inputs!$E$10-Inputs!$D$10)/(Inputs!$F$10-Inputs!$D$10),Inputs!$D$10+SQRT(D210*(Inputs!$F$10-Inputs!$D$10)*(Inputs!$E$10-Inputs!$D$10)),Inputs!$F$10-SQRT((1-D210)*(Inputs!$F$10-Inputs!$D$10)*(Inputs!$F$10-Inputs!$E$10)))</f>
        <v>0.0218201896537374</v>
      </c>
      <c r="F210" s="81" t="n">
        <f aca="true">RAND()</f>
        <v>0.634198986072271</v>
      </c>
      <c r="G210" s="83" t="n">
        <f aca="false">IF(F210&lt;(Inputs!$E$15-Inputs!$D$15)/(Inputs!$F$15-Inputs!$D$15),Inputs!$D$15+SQRT(F210*(Inputs!$F$15-Inputs!$D$15)*(Inputs!$E$15-Inputs!$D$15)),Inputs!$F$15-SQRT((1-F210)*(Inputs!$F$15-Inputs!$D$15)*(Inputs!$F$15-Inputs!$E$15)))</f>
        <v>0.714466262337283</v>
      </c>
      <c r="H210" s="81" t="n">
        <f aca="true">RAND()</f>
        <v>0.413520491367524</v>
      </c>
      <c r="I210" s="82" t="n">
        <f aca="false">ROUND(IF(H210&lt;(Inputs!$E$17-Inputs!$D$17)/(Inputs!$F$17-Inputs!$D$17),Inputs!$D$17+SQRT(H210*(Inputs!$F$17-Inputs!$D$17)*(Inputs!$E$17-Inputs!$D$17)),Inputs!$F$17-SQRT((1-H210)*(Inputs!$F$17-Inputs!$D$17)*(Inputs!$F$17-Inputs!$E$17))),0)</f>
        <v>106</v>
      </c>
      <c r="J210" s="81" t="n">
        <f aca="true">RAND()</f>
        <v>0.671804591596999</v>
      </c>
      <c r="K210" s="83" t="n">
        <f aca="false">IF(J210&lt;(Inputs!$E$18-Inputs!$D$18)/(Inputs!$F$18-Inputs!$D$18),Inputs!$D$18+SQRT(J210*(Inputs!$F$18-Inputs!$D$18)*(Inputs!$E$18-Inputs!$D$18)),Inputs!$F$18-SQRT((1-J210)*(Inputs!$F$18-Inputs!$D$18)*(Inputs!$F$18-Inputs!$E$18)))</f>
        <v>1.08053880020706</v>
      </c>
      <c r="L210" s="81" t="n">
        <f aca="true">RAND()</f>
        <v>0.323178579620254</v>
      </c>
      <c r="M210" s="83" t="n">
        <f aca="false">IF(L210&lt;(Inputs!$E$24-Inputs!$D$24)/(Inputs!$F$24-Inputs!$D$24),Inputs!$D$24+SQRT(L210*(Inputs!$F$24-Inputs!$D$24)*(Inputs!$E$24-Inputs!$D$24)),Inputs!$F$24-SQRT((1-L210)*(Inputs!$F$24-Inputs!$D$24)*(Inputs!$F$24-Inputs!$E$24)))</f>
        <v>0.796930011817474</v>
      </c>
      <c r="N210" s="81" t="n">
        <f aca="true">RAND()</f>
        <v>0.943799856412088</v>
      </c>
      <c r="O210" s="83" t="n">
        <f aca="false">IF(N210&lt;(Inputs!$E$26-Inputs!$D$26)/(Inputs!$F$26-Inputs!$D$26),Inputs!$D$26+SQRT(N210*(Inputs!$F$26-Inputs!$D$26)*(Inputs!$E$26-Inputs!$D$26)),Inputs!$F$26-SQRT((1-N210)*(Inputs!$F$26-Inputs!$D$26)*(Inputs!$F$26-Inputs!$E$26)))</f>
        <v>0.743548610652632</v>
      </c>
      <c r="P210" s="81" t="n">
        <f aca="true">RAND()</f>
        <v>0.265826949306249</v>
      </c>
      <c r="Q210" s="82" t="n">
        <f aca="false">IF(P210&lt;(Inputs!$E$27-Inputs!$D$27)/(Inputs!$F$27-Inputs!$D$27),Inputs!$D$27+SQRT(P210*(Inputs!$F$27-Inputs!$D$27)*(Inputs!$E$27-Inputs!$D$27)),Inputs!$F$27-SQRT((1-P210)*(Inputs!$F$27-Inputs!$D$27)*(Inputs!$F$27-Inputs!$E$27)))</f>
        <v>75.7955669774162</v>
      </c>
      <c r="R210" s="81" t="n">
        <f aca="true">RAND()</f>
        <v>0.891265730625752</v>
      </c>
      <c r="S210" s="82" t="n">
        <f aca="false">IF(R210&lt;(Inputs!$E$29-Inputs!$D$29)/(Inputs!$F$29-Inputs!$D$29),Inputs!$D$29+SQRT(R210*(Inputs!$F$29-Inputs!$D$29)*(Inputs!$E$29-Inputs!$D$29)),Inputs!$F$29-SQRT((1-R210)*(Inputs!$F$29-Inputs!$D$29)*(Inputs!$F$29-Inputs!$E$29)))</f>
        <v>11.2402852477013</v>
      </c>
      <c r="T210" s="68" t="n">
        <f aca="false">Inputs!$E$9*(1+E210)+Inputs!$E$5*C210*(Inputs!$E$11*Inputs!$E$14*(G210*I210/Inputs!$E$16+(1-G210))*K210+Inputs!$E$23*M210)*(1+O210)+Inputs!$E$5*(Q210+S210)</f>
        <v>6442.1920289531</v>
      </c>
    </row>
    <row r="211" customFormat="false" ht="15" hidden="false" customHeight="false" outlineLevel="0" collapsed="false">
      <c r="A211" s="1" t="n">
        <v>207</v>
      </c>
      <c r="B211" s="81" t="n">
        <f aca="true">RAND()</f>
        <v>0.767498689773145</v>
      </c>
      <c r="C211" s="82" t="n">
        <f aca="false">ROUND(IF(B211&lt;(Inputs!$E$8-Inputs!$D$8)/(Inputs!$F$8-Inputs!$D$8),Inputs!$D$8+SQRT(B211*(Inputs!$F$8-Inputs!$D$8)*(Inputs!$E$8-Inputs!$D$8)),Inputs!$F$8-SQRT((1-B211)*(Inputs!$F$8-Inputs!$D$8)*(Inputs!$F$8-Inputs!$E$8))),0)</f>
        <v>27</v>
      </c>
      <c r="D211" s="81" t="n">
        <f aca="true">RAND()</f>
        <v>0.575667104104049</v>
      </c>
      <c r="E211" s="83" t="n">
        <f aca="false">IF(D211&lt;(Inputs!$E$10-Inputs!$D$10)/(Inputs!$F$10-Inputs!$D$10),Inputs!$D$10+SQRT(D211*(Inputs!$F$10-Inputs!$D$10)*(Inputs!$E$10-Inputs!$D$10)),Inputs!$F$10-SQRT((1-D211)*(Inputs!$F$10-Inputs!$D$10)*(Inputs!$F$10-Inputs!$E$10)))</f>
        <v>0.0871727564952572</v>
      </c>
      <c r="F211" s="81" t="n">
        <f aca="true">RAND()</f>
        <v>0.740200826103673</v>
      </c>
      <c r="G211" s="83" t="n">
        <f aca="false">IF(F211&lt;(Inputs!$E$15-Inputs!$D$15)/(Inputs!$F$15-Inputs!$D$15),Inputs!$D$15+SQRT(F211*(Inputs!$F$15-Inputs!$D$15)*(Inputs!$E$15-Inputs!$D$15)),Inputs!$F$15-SQRT((1-F211)*(Inputs!$F$15-Inputs!$D$15)*(Inputs!$F$15-Inputs!$E$15)))</f>
        <v>0.727916829440385</v>
      </c>
      <c r="H211" s="81" t="n">
        <f aca="true">RAND()</f>
        <v>0.117969200640262</v>
      </c>
      <c r="I211" s="82" t="n">
        <f aca="false">ROUND(IF(H211&lt;(Inputs!$E$17-Inputs!$D$17)/(Inputs!$F$17-Inputs!$D$17),Inputs!$D$17+SQRT(H211*(Inputs!$F$17-Inputs!$D$17)*(Inputs!$E$17-Inputs!$D$17)),Inputs!$F$17-SQRT((1-H211)*(Inputs!$F$17-Inputs!$D$17)*(Inputs!$F$17-Inputs!$E$17))),0)</f>
        <v>103</v>
      </c>
      <c r="J211" s="81" t="n">
        <f aca="true">RAND()</f>
        <v>0.725916030875164</v>
      </c>
      <c r="K211" s="83" t="n">
        <f aca="false">IF(J211&lt;(Inputs!$E$18-Inputs!$D$18)/(Inputs!$F$18-Inputs!$D$18),Inputs!$D$18+SQRT(J211*(Inputs!$F$18-Inputs!$D$18)*(Inputs!$E$18-Inputs!$D$18)),Inputs!$F$18-SQRT((1-J211)*(Inputs!$F$18-Inputs!$D$18)*(Inputs!$F$18-Inputs!$E$18)))</f>
        <v>1.09513765048139</v>
      </c>
      <c r="L211" s="81" t="n">
        <f aca="true">RAND()</f>
        <v>0.396135851801544</v>
      </c>
      <c r="M211" s="83" t="n">
        <f aca="false">IF(L211&lt;(Inputs!$E$24-Inputs!$D$24)/(Inputs!$F$24-Inputs!$D$24),Inputs!$D$24+SQRT(L211*(Inputs!$F$24-Inputs!$D$24)*(Inputs!$E$24-Inputs!$D$24)),Inputs!$F$24-SQRT((1-L211)*(Inputs!$F$24-Inputs!$D$24)*(Inputs!$F$24-Inputs!$E$24)))</f>
        <v>0.819306690933989</v>
      </c>
      <c r="N211" s="81" t="n">
        <f aca="true">RAND()</f>
        <v>0.875704801794798</v>
      </c>
      <c r="O211" s="83" t="n">
        <f aca="false">IF(N211&lt;(Inputs!$E$26-Inputs!$D$26)/(Inputs!$F$26-Inputs!$D$26),Inputs!$D$26+SQRT(N211*(Inputs!$F$26-Inputs!$D$26)*(Inputs!$E$26-Inputs!$D$26)),Inputs!$F$26-SQRT((1-N211)*(Inputs!$F$26-Inputs!$D$26)*(Inputs!$F$26-Inputs!$E$26)))</f>
        <v>0.706304350948064</v>
      </c>
      <c r="P211" s="81" t="n">
        <f aca="true">RAND()</f>
        <v>0.120893974941109</v>
      </c>
      <c r="Q211" s="82" t="n">
        <f aca="false">IF(P211&lt;(Inputs!$E$27-Inputs!$D$27)/(Inputs!$F$27-Inputs!$D$27),Inputs!$D$27+SQRT(P211*(Inputs!$F$27-Inputs!$D$27)*(Inputs!$E$27-Inputs!$D$27)),Inputs!$F$27-SQRT((1-P211)*(Inputs!$F$27-Inputs!$D$27)*(Inputs!$F$27-Inputs!$E$27)))</f>
        <v>67.3849054456092</v>
      </c>
      <c r="R211" s="81" t="n">
        <f aca="true">RAND()</f>
        <v>0.232323823194607</v>
      </c>
      <c r="S211" s="82" t="n">
        <f aca="false">IF(R211&lt;(Inputs!$E$29-Inputs!$D$29)/(Inputs!$F$29-Inputs!$D$29),Inputs!$D$29+SQRT(R211*(Inputs!$F$29-Inputs!$D$29)*(Inputs!$E$29-Inputs!$D$29)),Inputs!$F$29-SQRT((1-R211)*(Inputs!$F$29-Inputs!$D$29)*(Inputs!$F$29-Inputs!$E$29)))</f>
        <v>5.01010996133085</v>
      </c>
      <c r="T211" s="68" t="n">
        <f aca="false">Inputs!$E$9*(1+E211)+Inputs!$E$5*C211*(Inputs!$E$11*Inputs!$E$14*(G211*I211/Inputs!$E$16+(1-G211))*K211+Inputs!$E$23*M211)*(1+O211)+Inputs!$E$5*(Q211+S211)</f>
        <v>6731.32768146507</v>
      </c>
    </row>
    <row r="212" customFormat="false" ht="15" hidden="false" customHeight="false" outlineLevel="0" collapsed="false">
      <c r="A212" s="1" t="n">
        <v>208</v>
      </c>
      <c r="B212" s="81" t="n">
        <f aca="true">RAND()</f>
        <v>0.0217571040240654</v>
      </c>
      <c r="C212" s="82" t="n">
        <f aca="false">ROUND(IF(B212&lt;(Inputs!$E$8-Inputs!$D$8)/(Inputs!$F$8-Inputs!$D$8),Inputs!$D$8+SQRT(B212*(Inputs!$F$8-Inputs!$D$8)*(Inputs!$E$8-Inputs!$D$8)),Inputs!$F$8-SQRT((1-B212)*(Inputs!$F$8-Inputs!$D$8)*(Inputs!$F$8-Inputs!$E$8))),0)</f>
        <v>21</v>
      </c>
      <c r="D212" s="81" t="n">
        <f aca="true">RAND()</f>
        <v>0.00687587926495039</v>
      </c>
      <c r="E212" s="83" t="n">
        <f aca="false">IF(D212&lt;(Inputs!$E$10-Inputs!$D$10)/(Inputs!$F$10-Inputs!$D$10),Inputs!$D$10+SQRT(D212*(Inputs!$F$10-Inputs!$D$10)*(Inputs!$E$10-Inputs!$D$10)),Inputs!$F$10-SQRT((1-D212)*(Inputs!$F$10-Inputs!$D$10)*(Inputs!$F$10-Inputs!$E$10)))</f>
        <v>0.00829209217565169</v>
      </c>
      <c r="F212" s="81" t="n">
        <f aca="true">RAND()</f>
        <v>0.517792036649099</v>
      </c>
      <c r="G212" s="83" t="n">
        <f aca="false">IF(F212&lt;(Inputs!$E$15-Inputs!$D$15)/(Inputs!$F$15-Inputs!$D$15),Inputs!$D$15+SQRT(F212*(Inputs!$F$15-Inputs!$D$15)*(Inputs!$E$15-Inputs!$D$15)),Inputs!$F$15-SQRT((1-F212)*(Inputs!$F$15-Inputs!$D$15)*(Inputs!$F$15-Inputs!$E$15)))</f>
        <v>0.701795319525911</v>
      </c>
      <c r="H212" s="81" t="n">
        <f aca="true">RAND()</f>
        <v>0.15782740808975</v>
      </c>
      <c r="I212" s="82" t="n">
        <f aca="false">ROUND(IF(H212&lt;(Inputs!$E$17-Inputs!$D$17)/(Inputs!$F$17-Inputs!$D$17),Inputs!$D$17+SQRT(H212*(Inputs!$F$17-Inputs!$D$17)*(Inputs!$E$17-Inputs!$D$17)),Inputs!$F$17-SQRT((1-H212)*(Inputs!$F$17-Inputs!$D$17)*(Inputs!$F$17-Inputs!$E$17))),0)</f>
        <v>103</v>
      </c>
      <c r="J212" s="81" t="n">
        <f aca="true">RAND()</f>
        <v>0.987466040044486</v>
      </c>
      <c r="K212" s="83" t="n">
        <f aca="false">IF(J212&lt;(Inputs!$E$18-Inputs!$D$18)/(Inputs!$F$18-Inputs!$D$18),Inputs!$D$18+SQRT(J212*(Inputs!$F$18-Inputs!$D$18)*(Inputs!$E$18-Inputs!$D$18)),Inputs!$F$18-SQRT((1-J212)*(Inputs!$F$18-Inputs!$D$18)*(Inputs!$F$18-Inputs!$E$18)))</f>
        <v>1.21688321428478</v>
      </c>
      <c r="L212" s="81" t="n">
        <f aca="true">RAND()</f>
        <v>0.66005585202015</v>
      </c>
      <c r="M212" s="83" t="n">
        <f aca="false">IF(L212&lt;(Inputs!$E$24-Inputs!$D$24)/(Inputs!$F$24-Inputs!$D$24),Inputs!$D$24+SQRT(L212*(Inputs!$F$24-Inputs!$D$24)*(Inputs!$E$24-Inputs!$D$24)),Inputs!$F$24-SQRT((1-L212)*(Inputs!$F$24-Inputs!$D$24)*(Inputs!$F$24-Inputs!$E$24)))</f>
        <v>0.914366326363358</v>
      </c>
      <c r="N212" s="81" t="n">
        <f aca="true">RAND()</f>
        <v>0.26299775217277</v>
      </c>
      <c r="O212" s="83" t="n">
        <f aca="false">IF(N212&lt;(Inputs!$E$26-Inputs!$D$26)/(Inputs!$F$26-Inputs!$D$26),Inputs!$D$26+SQRT(N212*(Inputs!$F$26-Inputs!$D$26)*(Inputs!$E$26-Inputs!$D$26)),Inputs!$F$26-SQRT((1-N212)*(Inputs!$F$26-Inputs!$D$26)*(Inputs!$F$26-Inputs!$E$26)))</f>
        <v>0.509195664299117</v>
      </c>
      <c r="P212" s="81" t="n">
        <f aca="true">RAND()</f>
        <v>0.472654713768355</v>
      </c>
      <c r="Q212" s="82" t="n">
        <f aca="false">IF(P212&lt;(Inputs!$E$27-Inputs!$D$27)/(Inputs!$F$27-Inputs!$D$27),Inputs!$D$27+SQRT(P212*(Inputs!$F$27-Inputs!$D$27)*(Inputs!$E$27-Inputs!$D$27)),Inputs!$F$27-SQRT((1-P212)*(Inputs!$F$27-Inputs!$D$27)*(Inputs!$F$27-Inputs!$E$27)))</f>
        <v>87.1104965297282</v>
      </c>
      <c r="R212" s="81" t="n">
        <f aca="true">RAND()</f>
        <v>0.513798235463331</v>
      </c>
      <c r="S212" s="82" t="n">
        <f aca="false">IF(R212&lt;(Inputs!$E$29-Inputs!$D$29)/(Inputs!$F$29-Inputs!$D$29),Inputs!$D$29+SQRT(R212*(Inputs!$F$29-Inputs!$D$29)*(Inputs!$E$29-Inputs!$D$29)),Inputs!$F$29-SQRT((1-R212)*(Inputs!$F$29-Inputs!$D$29)*(Inputs!$F$29-Inputs!$E$29)))</f>
        <v>7.04976545064443</v>
      </c>
      <c r="T212" s="68" t="n">
        <f aca="false">Inputs!$E$9*(1+E212)+Inputs!$E$5*C212*(Inputs!$E$11*Inputs!$E$14*(G212*I212/Inputs!$E$16+(1-G212))*K212+Inputs!$E$23*M212)*(1+O212)+Inputs!$E$5*(Q212+S212)</f>
        <v>5768.41240011655</v>
      </c>
    </row>
    <row r="213" customFormat="false" ht="15" hidden="false" customHeight="false" outlineLevel="0" collapsed="false">
      <c r="A213" s="1" t="n">
        <v>209</v>
      </c>
      <c r="B213" s="81" t="n">
        <f aca="true">RAND()</f>
        <v>0.945499577448641</v>
      </c>
      <c r="C213" s="82" t="n">
        <f aca="false">ROUND(IF(B213&lt;(Inputs!$E$8-Inputs!$D$8)/(Inputs!$F$8-Inputs!$D$8),Inputs!$D$8+SQRT(B213*(Inputs!$F$8-Inputs!$D$8)*(Inputs!$E$8-Inputs!$D$8)),Inputs!$F$8-SQRT((1-B213)*(Inputs!$F$8-Inputs!$D$8)*(Inputs!$F$8-Inputs!$E$8))),0)</f>
        <v>28</v>
      </c>
      <c r="D213" s="81" t="n">
        <f aca="true">RAND()</f>
        <v>0.0759571565699941</v>
      </c>
      <c r="E213" s="83" t="n">
        <f aca="false">IF(D213&lt;(Inputs!$E$10-Inputs!$D$10)/(Inputs!$F$10-Inputs!$D$10),Inputs!$D$10+SQRT(D213*(Inputs!$F$10-Inputs!$D$10)*(Inputs!$E$10-Inputs!$D$10)),Inputs!$F$10-SQRT((1-D213)*(Inputs!$F$10-Inputs!$D$10)*(Inputs!$F$10-Inputs!$E$10)))</f>
        <v>0.0275603259360252</v>
      </c>
      <c r="F213" s="81" t="n">
        <f aca="true">RAND()</f>
        <v>0.158173726853799</v>
      </c>
      <c r="G213" s="83" t="n">
        <f aca="false">IF(F213&lt;(Inputs!$E$15-Inputs!$D$15)/(Inputs!$F$15-Inputs!$D$15),Inputs!$D$15+SQRT(F213*(Inputs!$F$15-Inputs!$D$15)*(Inputs!$E$15-Inputs!$D$15)),Inputs!$F$15-SQRT((1-F213)*(Inputs!$F$15-Inputs!$D$15)*(Inputs!$F$15-Inputs!$E$15)))</f>
        <v>0.656244773420079</v>
      </c>
      <c r="H213" s="81" t="n">
        <f aca="true">RAND()</f>
        <v>0.12148535689622</v>
      </c>
      <c r="I213" s="82" t="n">
        <f aca="false">ROUND(IF(H213&lt;(Inputs!$E$17-Inputs!$D$17)/(Inputs!$F$17-Inputs!$D$17),Inputs!$D$17+SQRT(H213*(Inputs!$F$17-Inputs!$D$17)*(Inputs!$E$17-Inputs!$D$17)),Inputs!$F$17-SQRT((1-H213)*(Inputs!$F$17-Inputs!$D$17)*(Inputs!$F$17-Inputs!$E$17))),0)</f>
        <v>103</v>
      </c>
      <c r="J213" s="81" t="n">
        <f aca="true">RAND()</f>
        <v>0.0580356842658229</v>
      </c>
      <c r="K213" s="83" t="n">
        <f aca="false">IF(J213&lt;(Inputs!$E$18-Inputs!$D$18)/(Inputs!$F$18-Inputs!$D$18),Inputs!$D$18+SQRT(J213*(Inputs!$F$18-Inputs!$D$18)*(Inputs!$E$18-Inputs!$D$18)),Inputs!$F$18-SQRT((1-J213)*(Inputs!$F$18-Inputs!$D$18)*(Inputs!$F$18-Inputs!$E$18)))</f>
        <v>0.945069379286871</v>
      </c>
      <c r="L213" s="81" t="n">
        <f aca="true">RAND()</f>
        <v>0.651752108609258</v>
      </c>
      <c r="M213" s="83" t="n">
        <f aca="false">IF(L213&lt;(Inputs!$E$24-Inputs!$D$24)/(Inputs!$F$24-Inputs!$D$24),Inputs!$D$24+SQRT(L213*(Inputs!$F$24-Inputs!$D$24)*(Inputs!$E$24-Inputs!$D$24)),Inputs!$F$24-SQRT((1-L213)*(Inputs!$F$24-Inputs!$D$24)*(Inputs!$F$24-Inputs!$E$24)))</f>
        <v>0.910898817135284</v>
      </c>
      <c r="N213" s="81" t="n">
        <f aca="true">RAND()</f>
        <v>0.101998936816113</v>
      </c>
      <c r="O213" s="83" t="n">
        <f aca="false">IF(N213&lt;(Inputs!$E$26-Inputs!$D$26)/(Inputs!$F$26-Inputs!$D$26),Inputs!$D$26+SQRT(N213*(Inputs!$F$26-Inputs!$D$26)*(Inputs!$E$26-Inputs!$D$26)),Inputs!$F$26-SQRT((1-N213)*(Inputs!$F$26-Inputs!$D$26)*(Inputs!$F$26-Inputs!$E$26)))</f>
        <v>0.430279020130646</v>
      </c>
      <c r="P213" s="81" t="n">
        <f aca="true">RAND()</f>
        <v>0.0351579681707362</v>
      </c>
      <c r="Q213" s="82" t="n">
        <f aca="false">IF(P213&lt;(Inputs!$E$27-Inputs!$D$27)/(Inputs!$F$27-Inputs!$D$27),Inputs!$D$27+SQRT(P213*(Inputs!$F$27-Inputs!$D$27)*(Inputs!$E$27-Inputs!$D$27)),Inputs!$F$27-SQRT((1-P213)*(Inputs!$F$27-Inputs!$D$27)*(Inputs!$F$27-Inputs!$E$27)))</f>
        <v>59.3752290866325</v>
      </c>
      <c r="R213" s="81" t="n">
        <f aca="true">RAND()</f>
        <v>0.46520721618196</v>
      </c>
      <c r="S213" s="82" t="n">
        <f aca="false">IF(R213&lt;(Inputs!$E$29-Inputs!$D$29)/(Inputs!$F$29-Inputs!$D$29),Inputs!$D$29+SQRT(R213*(Inputs!$F$29-Inputs!$D$29)*(Inputs!$E$29-Inputs!$D$29)),Inputs!$F$29-SQRT((1-R213)*(Inputs!$F$29-Inputs!$D$29)*(Inputs!$F$29-Inputs!$E$29)))</f>
        <v>6.66195095382948</v>
      </c>
      <c r="T213" s="68" t="n">
        <f aca="false">Inputs!$E$9*(1+E213)+Inputs!$E$5*C213*(Inputs!$E$11*Inputs!$E$14*(G213*I213/Inputs!$E$16+(1-G213))*K213+Inputs!$E$23*M213)*(1+O213)+Inputs!$E$5*(Q213+S213)</f>
        <v>5958.29678999565</v>
      </c>
    </row>
    <row r="214" customFormat="false" ht="15" hidden="false" customHeight="false" outlineLevel="0" collapsed="false">
      <c r="A214" s="1" t="n">
        <v>210</v>
      </c>
      <c r="B214" s="81" t="n">
        <f aca="true">RAND()</f>
        <v>0.613268892338994</v>
      </c>
      <c r="C214" s="82" t="n">
        <f aca="false">ROUND(IF(B214&lt;(Inputs!$E$8-Inputs!$D$8)/(Inputs!$F$8-Inputs!$D$8),Inputs!$D$8+SQRT(B214*(Inputs!$F$8-Inputs!$D$8)*(Inputs!$E$8-Inputs!$D$8)),Inputs!$F$8-SQRT((1-B214)*(Inputs!$F$8-Inputs!$D$8)*(Inputs!$F$8-Inputs!$E$8))),0)</f>
        <v>26</v>
      </c>
      <c r="D214" s="81" t="n">
        <f aca="true">RAND()</f>
        <v>0.371230594170937</v>
      </c>
      <c r="E214" s="83" t="n">
        <f aca="false">IF(D214&lt;(Inputs!$E$10-Inputs!$D$10)/(Inputs!$F$10-Inputs!$D$10),Inputs!$D$10+SQRT(D214*(Inputs!$F$10-Inputs!$D$10)*(Inputs!$E$10-Inputs!$D$10)),Inputs!$F$10-SQRT((1-D214)*(Inputs!$F$10-Inputs!$D$10)*(Inputs!$F$10-Inputs!$E$10)))</f>
        <v>0.0626570636149354</v>
      </c>
      <c r="F214" s="81" t="n">
        <f aca="true">RAND()</f>
        <v>0.00241150423212372</v>
      </c>
      <c r="G214" s="83" t="n">
        <f aca="false">IF(F214&lt;(Inputs!$E$15-Inputs!$D$15)/(Inputs!$F$15-Inputs!$D$15),Inputs!$D$15+SQRT(F214*(Inputs!$F$15-Inputs!$D$15)*(Inputs!$E$15-Inputs!$D$15)),Inputs!$F$15-SQRT((1-F214)*(Inputs!$F$15-Inputs!$D$15)*(Inputs!$F$15-Inputs!$E$15)))</f>
        <v>0.606944788307967</v>
      </c>
      <c r="H214" s="81" t="n">
        <f aca="true">RAND()</f>
        <v>0.517234796828278</v>
      </c>
      <c r="I214" s="82" t="n">
        <f aca="false">ROUND(IF(H214&lt;(Inputs!$E$17-Inputs!$D$17)/(Inputs!$F$17-Inputs!$D$17),Inputs!$D$17+SQRT(H214*(Inputs!$F$17-Inputs!$D$17)*(Inputs!$E$17-Inputs!$D$17)),Inputs!$F$17-SQRT((1-H214)*(Inputs!$F$17-Inputs!$D$17)*(Inputs!$F$17-Inputs!$E$17))),0)</f>
        <v>106</v>
      </c>
      <c r="J214" s="81" t="n">
        <f aca="true">RAND()</f>
        <v>0.591805642028894</v>
      </c>
      <c r="K214" s="83" t="n">
        <f aca="false">IF(J214&lt;(Inputs!$E$18-Inputs!$D$18)/(Inputs!$F$18-Inputs!$D$18),Inputs!$D$18+SQRT(J214*(Inputs!$F$18-Inputs!$D$18)*(Inputs!$E$18-Inputs!$D$18)),Inputs!$F$18-SQRT((1-J214)*(Inputs!$F$18-Inputs!$D$18)*(Inputs!$F$18-Inputs!$E$18)))</f>
        <v>1.06101056557979</v>
      </c>
      <c r="L214" s="81" t="n">
        <f aca="true">RAND()</f>
        <v>0.477954557443549</v>
      </c>
      <c r="M214" s="83" t="n">
        <f aca="false">IF(L214&lt;(Inputs!$E$24-Inputs!$D$24)/(Inputs!$F$24-Inputs!$D$24),Inputs!$D$24+SQRT(L214*(Inputs!$F$24-Inputs!$D$24)*(Inputs!$E$24-Inputs!$D$24)),Inputs!$F$24-SQRT((1-L214)*(Inputs!$F$24-Inputs!$D$24)*(Inputs!$F$24-Inputs!$E$24)))</f>
        <v>0.846035444975704</v>
      </c>
      <c r="N214" s="81" t="n">
        <f aca="true">RAND()</f>
        <v>0.829909090393151</v>
      </c>
      <c r="O214" s="83" t="n">
        <f aca="false">IF(N214&lt;(Inputs!$E$26-Inputs!$D$26)/(Inputs!$F$26-Inputs!$D$26),Inputs!$D$26+SQRT(N214*(Inputs!$F$26-Inputs!$D$26)*(Inputs!$E$26-Inputs!$D$26)),Inputs!$F$26-SQRT((1-N214)*(Inputs!$F$26-Inputs!$D$26)*(Inputs!$F$26-Inputs!$E$26)))</f>
        <v>0.686998290991761</v>
      </c>
      <c r="P214" s="81" t="n">
        <f aca="true">RAND()</f>
        <v>0.0519568688029708</v>
      </c>
      <c r="Q214" s="82" t="n">
        <f aca="false">IF(P214&lt;(Inputs!$E$27-Inputs!$D$27)/(Inputs!$F$27-Inputs!$D$27),Inputs!$D$27+SQRT(P214*(Inputs!$F$27-Inputs!$D$27)*(Inputs!$E$27-Inputs!$D$27)),Inputs!$F$27-SQRT((1-P214)*(Inputs!$F$27-Inputs!$D$27)*(Inputs!$F$27-Inputs!$E$27)))</f>
        <v>61.3970246997814</v>
      </c>
      <c r="R214" s="81" t="n">
        <f aca="true">RAND()</f>
        <v>0.710277187324774</v>
      </c>
      <c r="S214" s="82" t="n">
        <f aca="false">IF(R214&lt;(Inputs!$E$29-Inputs!$D$29)/(Inputs!$F$29-Inputs!$D$29),Inputs!$D$29+SQRT(R214*(Inputs!$F$29-Inputs!$D$29)*(Inputs!$E$29-Inputs!$D$29)),Inputs!$F$29-SQRT((1-R214)*(Inputs!$F$29-Inputs!$D$29)*(Inputs!$F$29-Inputs!$E$29)))</f>
        <v>8.86290250625107</v>
      </c>
      <c r="T214" s="68" t="n">
        <f aca="false">Inputs!$E$9*(1+E214)+Inputs!$E$5*C214*(Inputs!$E$11*Inputs!$E$14*(G214*I214/Inputs!$E$16+(1-G214))*K214+Inputs!$E$23*M214)*(1+O214)+Inputs!$E$5*(Q214+S214)</f>
        <v>6667.22454443775</v>
      </c>
    </row>
    <row r="215" customFormat="false" ht="15" hidden="false" customHeight="false" outlineLevel="0" collapsed="false">
      <c r="A215" s="1" t="n">
        <v>211</v>
      </c>
      <c r="B215" s="81" t="n">
        <f aca="true">RAND()</f>
        <v>0.851995420975285</v>
      </c>
      <c r="C215" s="82" t="n">
        <f aca="false">ROUND(IF(B215&lt;(Inputs!$E$8-Inputs!$D$8)/(Inputs!$F$8-Inputs!$D$8),Inputs!$D$8+SQRT(B215*(Inputs!$F$8-Inputs!$D$8)*(Inputs!$E$8-Inputs!$D$8)),Inputs!$F$8-SQRT((1-B215)*(Inputs!$F$8-Inputs!$D$8)*(Inputs!$F$8-Inputs!$E$8))),0)</f>
        <v>27</v>
      </c>
      <c r="D215" s="81" t="n">
        <f aca="true">RAND()</f>
        <v>0.711873981464911</v>
      </c>
      <c r="E215" s="83" t="n">
        <f aca="false">IF(D215&lt;(Inputs!$E$10-Inputs!$D$10)/(Inputs!$F$10-Inputs!$D$10),Inputs!$D$10+SQRT(D215*(Inputs!$F$10-Inputs!$D$10)*(Inputs!$E$10-Inputs!$D$10)),Inputs!$F$10-SQRT((1-D215)*(Inputs!$F$10-Inputs!$D$10)*(Inputs!$F$10-Inputs!$E$10)))</f>
        <v>0.107028065761475</v>
      </c>
      <c r="F215" s="81" t="n">
        <f aca="true">RAND()</f>
        <v>0.240507254846354</v>
      </c>
      <c r="G215" s="83" t="n">
        <f aca="false">IF(F215&lt;(Inputs!$E$15-Inputs!$D$15)/(Inputs!$F$15-Inputs!$D$15),Inputs!$D$15+SQRT(F215*(Inputs!$F$15-Inputs!$D$15)*(Inputs!$E$15-Inputs!$D$15)),Inputs!$F$15-SQRT((1-F215)*(Inputs!$F$15-Inputs!$D$15)*(Inputs!$F$15-Inputs!$E$15)))</f>
        <v>0.669355209587507</v>
      </c>
      <c r="H215" s="81" t="n">
        <f aca="true">RAND()</f>
        <v>0.452404653889328</v>
      </c>
      <c r="I215" s="82" t="n">
        <f aca="false">ROUND(IF(H215&lt;(Inputs!$E$17-Inputs!$D$17)/(Inputs!$F$17-Inputs!$D$17),Inputs!$D$17+SQRT(H215*(Inputs!$F$17-Inputs!$D$17)*(Inputs!$E$17-Inputs!$D$17)),Inputs!$F$17-SQRT((1-H215)*(Inputs!$F$17-Inputs!$D$17)*(Inputs!$F$17-Inputs!$E$17))),0)</f>
        <v>106</v>
      </c>
      <c r="J215" s="81" t="n">
        <f aca="true">RAND()</f>
        <v>0.260867361471694</v>
      </c>
      <c r="K215" s="83" t="n">
        <f aca="false">IF(J215&lt;(Inputs!$E$18-Inputs!$D$18)/(Inputs!$F$18-Inputs!$D$18),Inputs!$D$18+SQRT(J215*(Inputs!$F$18-Inputs!$D$18)*(Inputs!$E$18-Inputs!$D$18)),Inputs!$F$18-SQRT((1-J215)*(Inputs!$F$18-Inputs!$D$18)*(Inputs!$F$18-Inputs!$E$18)))</f>
        <v>0.995552904987286</v>
      </c>
      <c r="L215" s="81" t="n">
        <f aca="true">RAND()</f>
        <v>0.194470938622352</v>
      </c>
      <c r="M215" s="83" t="n">
        <f aca="false">IF(L215&lt;(Inputs!$E$24-Inputs!$D$24)/(Inputs!$F$24-Inputs!$D$24),Inputs!$D$24+SQRT(L215*(Inputs!$F$24-Inputs!$D$24)*(Inputs!$E$24-Inputs!$D$24)),Inputs!$F$24-SQRT((1-L215)*(Inputs!$F$24-Inputs!$D$24)*(Inputs!$F$24-Inputs!$E$24)))</f>
        <v>0.752762929517217</v>
      </c>
      <c r="N215" s="81" t="n">
        <f aca="true">RAND()</f>
        <v>0.87190549054658</v>
      </c>
      <c r="O215" s="83" t="n">
        <f aca="false">IF(N215&lt;(Inputs!$E$26-Inputs!$D$26)/(Inputs!$F$26-Inputs!$D$26),Inputs!$D$26+SQRT(N215*(Inputs!$F$26-Inputs!$D$26)*(Inputs!$E$26-Inputs!$D$26)),Inputs!$F$26-SQRT((1-N215)*(Inputs!$F$26-Inputs!$D$26)*(Inputs!$F$26-Inputs!$E$26)))</f>
        <v>0.704579772209739</v>
      </c>
      <c r="P215" s="81" t="n">
        <f aca="true">RAND()</f>
        <v>0.104637404932758</v>
      </c>
      <c r="Q215" s="82" t="n">
        <f aca="false">IF(P215&lt;(Inputs!$E$27-Inputs!$D$27)/(Inputs!$F$27-Inputs!$D$27),Inputs!$D$27+SQRT(P215*(Inputs!$F$27-Inputs!$D$27)*(Inputs!$E$27-Inputs!$D$27)),Inputs!$F$27-SQRT((1-P215)*(Inputs!$F$27-Inputs!$D$27)*(Inputs!$F$27-Inputs!$E$27)))</f>
        <v>66.1738527361879</v>
      </c>
      <c r="R215" s="81" t="n">
        <f aca="true">RAND()</f>
        <v>0.106039790019411</v>
      </c>
      <c r="S215" s="82" t="n">
        <f aca="false">IF(R215&lt;(Inputs!$E$29-Inputs!$D$29)/(Inputs!$F$29-Inputs!$D$29),Inputs!$D$29+SQRT(R215*(Inputs!$F$29-Inputs!$D$29)*(Inputs!$E$29-Inputs!$D$29)),Inputs!$F$29-SQRT((1-R215)*(Inputs!$F$29-Inputs!$D$29)*(Inputs!$F$29-Inputs!$E$29)))</f>
        <v>4.03360561829403</v>
      </c>
      <c r="T215" s="68" t="n">
        <f aca="false">Inputs!$E$9*(1+E215)+Inputs!$E$5*C215*(Inputs!$E$11*Inputs!$E$14*(G215*I215/Inputs!$E$16+(1-G215))*K215+Inputs!$E$23*M215)*(1+O215)+Inputs!$E$5*(Q215+S215)</f>
        <v>6541.67498157539</v>
      </c>
    </row>
    <row r="216" customFormat="false" ht="15" hidden="false" customHeight="false" outlineLevel="0" collapsed="false">
      <c r="A216" s="1" t="n">
        <v>212</v>
      </c>
      <c r="B216" s="81" t="n">
        <f aca="true">RAND()</f>
        <v>0.148789787623094</v>
      </c>
      <c r="C216" s="82" t="n">
        <f aca="false">ROUND(IF(B216&lt;(Inputs!$E$8-Inputs!$D$8)/(Inputs!$F$8-Inputs!$D$8),Inputs!$D$8+SQRT(B216*(Inputs!$F$8-Inputs!$D$8)*(Inputs!$E$8-Inputs!$D$8)),Inputs!$F$8-SQRT((1-B216)*(Inputs!$F$8-Inputs!$D$8)*(Inputs!$F$8-Inputs!$E$8))),0)</f>
        <v>23</v>
      </c>
      <c r="D216" s="81" t="n">
        <f aca="true">RAND()</f>
        <v>0.184310965799391</v>
      </c>
      <c r="E216" s="83" t="n">
        <f aca="false">IF(D216&lt;(Inputs!$E$10-Inputs!$D$10)/(Inputs!$F$10-Inputs!$D$10),Inputs!$D$10+SQRT(D216*(Inputs!$F$10-Inputs!$D$10)*(Inputs!$E$10-Inputs!$D$10)),Inputs!$F$10-SQRT((1-D216)*(Inputs!$F$10-Inputs!$D$10)*(Inputs!$F$10-Inputs!$E$10)))</f>
        <v>0.0429314530151719</v>
      </c>
      <c r="F216" s="81" t="n">
        <f aca="true">RAND()</f>
        <v>0.490265284027266</v>
      </c>
      <c r="G216" s="83" t="n">
        <f aca="false">IF(F216&lt;(Inputs!$E$15-Inputs!$D$15)/(Inputs!$F$15-Inputs!$D$15),Inputs!$D$15+SQRT(F216*(Inputs!$F$15-Inputs!$D$15)*(Inputs!$E$15-Inputs!$D$15)),Inputs!$F$15-SQRT((1-F216)*(Inputs!$F$15-Inputs!$D$15)*(Inputs!$F$15-Inputs!$E$15)))</f>
        <v>0.699021743473569</v>
      </c>
      <c r="H216" s="81" t="n">
        <f aca="true">RAND()</f>
        <v>0.293245335271489</v>
      </c>
      <c r="I216" s="82" t="n">
        <f aca="false">ROUND(IF(H216&lt;(Inputs!$E$17-Inputs!$D$17)/(Inputs!$F$17-Inputs!$D$17),Inputs!$D$17+SQRT(H216*(Inputs!$F$17-Inputs!$D$17)*(Inputs!$E$17-Inputs!$D$17)),Inputs!$F$17-SQRT((1-H216)*(Inputs!$F$17-Inputs!$D$17)*(Inputs!$F$17-Inputs!$E$17))),0)</f>
        <v>105</v>
      </c>
      <c r="J216" s="81" t="n">
        <f aca="true">RAND()</f>
        <v>0.620834424520766</v>
      </c>
      <c r="K216" s="83" t="n">
        <f aca="false">IF(J216&lt;(Inputs!$E$18-Inputs!$D$18)/(Inputs!$F$18-Inputs!$D$18),Inputs!$D$18+SQRT(J216*(Inputs!$F$18-Inputs!$D$18)*(Inputs!$E$18-Inputs!$D$18)),Inputs!$F$18-SQRT((1-J216)*(Inputs!$F$18-Inputs!$D$18)*(Inputs!$F$18-Inputs!$E$18)))</f>
        <v>1.06785448714165</v>
      </c>
      <c r="L216" s="81" t="n">
        <f aca="true">RAND()</f>
        <v>0.970598568885658</v>
      </c>
      <c r="M216" s="83" t="n">
        <f aca="false">IF(L216&lt;(Inputs!$E$24-Inputs!$D$24)/(Inputs!$F$24-Inputs!$D$24),Inputs!$D$24+SQRT(L216*(Inputs!$F$24-Inputs!$D$24)*(Inputs!$E$24-Inputs!$D$24)),Inputs!$F$24-SQRT((1-L216)*(Inputs!$F$24-Inputs!$D$24)*(Inputs!$F$24-Inputs!$E$24)))</f>
        <v>1.11599795557582</v>
      </c>
      <c r="N216" s="81" t="n">
        <f aca="true">RAND()</f>
        <v>0.214959521476219</v>
      </c>
      <c r="O216" s="83" t="n">
        <f aca="false">IF(N216&lt;(Inputs!$E$26-Inputs!$D$26)/(Inputs!$F$26-Inputs!$D$26),Inputs!$D$26+SQRT(N216*(Inputs!$F$26-Inputs!$D$26)*(Inputs!$E$26-Inputs!$D$26)),Inputs!$F$26-SQRT((1-N216)*(Inputs!$F$26-Inputs!$D$26)*(Inputs!$F$26-Inputs!$E$26)))</f>
        <v>0.489127640427418</v>
      </c>
      <c r="P216" s="81" t="n">
        <f aca="true">RAND()</f>
        <v>0.617223062252137</v>
      </c>
      <c r="Q216" s="82" t="n">
        <f aca="false">IF(P216&lt;(Inputs!$E$27-Inputs!$D$27)/(Inputs!$F$27-Inputs!$D$27),Inputs!$D$27+SQRT(P216*(Inputs!$F$27-Inputs!$D$27)*(Inputs!$E$27-Inputs!$D$27)),Inputs!$F$27-SQRT((1-P216)*(Inputs!$F$27-Inputs!$D$27)*(Inputs!$F$27-Inputs!$E$27)))</f>
        <v>96.4199007736177</v>
      </c>
      <c r="R216" s="81" t="n">
        <f aca="true">RAND()</f>
        <v>0.105308729066675</v>
      </c>
      <c r="S216" s="82" t="n">
        <f aca="false">IF(R216&lt;(Inputs!$E$29-Inputs!$D$29)/(Inputs!$F$29-Inputs!$D$29),Inputs!$D$29+SQRT(R216*(Inputs!$F$29-Inputs!$D$29)*(Inputs!$E$29-Inputs!$D$29)),Inputs!$F$29-SQRT((1-R216)*(Inputs!$F$29-Inputs!$D$29)*(Inputs!$F$29-Inputs!$E$29)))</f>
        <v>4.02658343859816</v>
      </c>
      <c r="T216" s="68" t="n">
        <f aca="false">Inputs!$E$9*(1+E216)+Inputs!$E$5*C216*(Inputs!$E$11*Inputs!$E$14*(G216*I216/Inputs!$E$16+(1-G216))*K216+Inputs!$E$23*M216)*(1+O216)+Inputs!$E$5*(Q216+S216)</f>
        <v>6124.61738378603</v>
      </c>
    </row>
    <row r="217" customFormat="false" ht="15" hidden="false" customHeight="false" outlineLevel="0" collapsed="false">
      <c r="A217" s="1" t="n">
        <v>213</v>
      </c>
      <c r="B217" s="81" t="n">
        <f aca="true">RAND()</f>
        <v>0.994311302570145</v>
      </c>
      <c r="C217" s="82" t="n">
        <f aca="false">ROUND(IF(B217&lt;(Inputs!$E$8-Inputs!$D$8)/(Inputs!$F$8-Inputs!$D$8),Inputs!$D$8+SQRT(B217*(Inputs!$F$8-Inputs!$D$8)*(Inputs!$E$8-Inputs!$D$8)),Inputs!$F$8-SQRT((1-B217)*(Inputs!$F$8-Inputs!$D$8)*(Inputs!$F$8-Inputs!$E$8))),0)</f>
        <v>29</v>
      </c>
      <c r="D217" s="81" t="n">
        <f aca="true">RAND()</f>
        <v>0.0793622587875297</v>
      </c>
      <c r="E217" s="83" t="n">
        <f aca="false">IF(D217&lt;(Inputs!$E$10-Inputs!$D$10)/(Inputs!$F$10-Inputs!$D$10),Inputs!$D$10+SQRT(D217*(Inputs!$F$10-Inputs!$D$10)*(Inputs!$E$10-Inputs!$D$10)),Inputs!$F$10-SQRT((1-D217)*(Inputs!$F$10-Inputs!$D$10)*(Inputs!$F$10-Inputs!$E$10)))</f>
        <v>0.0281713078836482</v>
      </c>
      <c r="F217" s="81" t="n">
        <f aca="true">RAND()</f>
        <v>0.459973951583724</v>
      </c>
      <c r="G217" s="83" t="n">
        <f aca="false">IF(F217&lt;(Inputs!$E$15-Inputs!$D$15)/(Inputs!$F$15-Inputs!$D$15),Inputs!$D$15+SQRT(F217*(Inputs!$F$15-Inputs!$D$15)*(Inputs!$E$15-Inputs!$D$15)),Inputs!$F$15-SQRT((1-F217)*(Inputs!$F$15-Inputs!$D$15)*(Inputs!$F$15-Inputs!$E$15)))</f>
        <v>0.695913914692679</v>
      </c>
      <c r="H217" s="81" t="n">
        <f aca="true">RAND()</f>
        <v>0.783941821670514</v>
      </c>
      <c r="I217" s="82" t="n">
        <f aca="false">ROUND(IF(H217&lt;(Inputs!$E$17-Inputs!$D$17)/(Inputs!$F$17-Inputs!$D$17),Inputs!$D$17+SQRT(H217*(Inputs!$F$17-Inputs!$D$17)*(Inputs!$E$17-Inputs!$D$17)),Inputs!$F$17-SQRT((1-H217)*(Inputs!$F$17-Inputs!$D$17)*(Inputs!$F$17-Inputs!$E$17))),0)</f>
        <v>109</v>
      </c>
      <c r="J217" s="81" t="n">
        <f aca="true">RAND()</f>
        <v>0.843219993228528</v>
      </c>
      <c r="K217" s="83" t="n">
        <f aca="false">IF(J217&lt;(Inputs!$E$18-Inputs!$D$18)/(Inputs!$F$18-Inputs!$D$18),Inputs!$D$18+SQRT(J217*(Inputs!$F$18-Inputs!$D$18)*(Inputs!$E$18-Inputs!$D$18)),Inputs!$F$18-SQRT((1-J217)*(Inputs!$F$18-Inputs!$D$18)*(Inputs!$F$18-Inputs!$E$18)))</f>
        <v>1.13287506417289</v>
      </c>
      <c r="L217" s="81" t="n">
        <f aca="true">RAND()</f>
        <v>0.295450566097207</v>
      </c>
      <c r="M217" s="83" t="n">
        <f aca="false">IF(L217&lt;(Inputs!$E$24-Inputs!$D$24)/(Inputs!$F$24-Inputs!$D$24),Inputs!$D$24+SQRT(L217*(Inputs!$F$24-Inputs!$D$24)*(Inputs!$E$24-Inputs!$D$24)),Inputs!$F$24-SQRT((1-L217)*(Inputs!$F$24-Inputs!$D$24)*(Inputs!$F$24-Inputs!$E$24)))</f>
        <v>0.788292506307779</v>
      </c>
      <c r="N217" s="81" t="n">
        <f aca="true">RAND()</f>
        <v>0.364612952085176</v>
      </c>
      <c r="O217" s="83" t="n">
        <f aca="false">IF(N217&lt;(Inputs!$E$26-Inputs!$D$26)/(Inputs!$F$26-Inputs!$D$26),Inputs!$D$26+SQRT(N217*(Inputs!$F$26-Inputs!$D$26)*(Inputs!$E$26-Inputs!$D$26)),Inputs!$F$26-SQRT((1-N217)*(Inputs!$F$26-Inputs!$D$26)*(Inputs!$F$26-Inputs!$E$26)))</f>
        <v>0.546316047441033</v>
      </c>
      <c r="P217" s="81" t="n">
        <f aca="true">RAND()</f>
        <v>0.88669065231145</v>
      </c>
      <c r="Q217" s="82" t="n">
        <f aca="false">IF(P217&lt;(Inputs!$E$27-Inputs!$D$27)/(Inputs!$F$27-Inputs!$D$27),Inputs!$D$27+SQRT(P217*(Inputs!$F$27-Inputs!$D$27)*(Inputs!$E$27-Inputs!$D$27)),Inputs!$F$27-SQRT((1-P217)*(Inputs!$F$27-Inputs!$D$27)*(Inputs!$F$27-Inputs!$E$27)))</f>
        <v>120.848325817131</v>
      </c>
      <c r="R217" s="81" t="n">
        <f aca="true">RAND()</f>
        <v>0.820358584572896</v>
      </c>
      <c r="S217" s="82" t="n">
        <f aca="false">IF(R217&lt;(Inputs!$E$29-Inputs!$D$29)/(Inputs!$F$29-Inputs!$D$29),Inputs!$D$29+SQRT(R217*(Inputs!$F$29-Inputs!$D$29)*(Inputs!$E$29-Inputs!$D$29)),Inputs!$F$29-SQRT((1-R217)*(Inputs!$F$29-Inputs!$D$29)*(Inputs!$F$29-Inputs!$E$29)))</f>
        <v>10.1674660885283</v>
      </c>
      <c r="T217" s="68" t="n">
        <f aca="false">Inputs!$E$9*(1+E217)+Inputs!$E$5*C217*(Inputs!$E$11*Inputs!$E$14*(G217*I217/Inputs!$E$16+(1-G217))*K217+Inputs!$E$23*M217)*(1+O217)+Inputs!$E$5*(Q217+S217)</f>
        <v>6971.18154206756</v>
      </c>
    </row>
    <row r="218" customFormat="false" ht="15" hidden="false" customHeight="false" outlineLevel="0" collapsed="false">
      <c r="A218" s="1" t="n">
        <v>214</v>
      </c>
      <c r="B218" s="81" t="n">
        <f aca="true">RAND()</f>
        <v>0.878614689722205</v>
      </c>
      <c r="C218" s="82" t="n">
        <f aca="false">ROUND(IF(B218&lt;(Inputs!$E$8-Inputs!$D$8)/(Inputs!$F$8-Inputs!$D$8),Inputs!$D$8+SQRT(B218*(Inputs!$F$8-Inputs!$D$8)*(Inputs!$E$8-Inputs!$D$8)),Inputs!$F$8-SQRT((1-B218)*(Inputs!$F$8-Inputs!$D$8)*(Inputs!$F$8-Inputs!$E$8))),0)</f>
        <v>28</v>
      </c>
      <c r="D218" s="81" t="n">
        <f aca="true">RAND()</f>
        <v>0.284291819390736</v>
      </c>
      <c r="E218" s="83" t="n">
        <f aca="false">IF(D218&lt;(Inputs!$E$10-Inputs!$D$10)/(Inputs!$F$10-Inputs!$D$10),Inputs!$D$10+SQRT(D218*(Inputs!$F$10-Inputs!$D$10)*(Inputs!$E$10-Inputs!$D$10)),Inputs!$F$10-SQRT((1-D218)*(Inputs!$F$10-Inputs!$D$10)*(Inputs!$F$10-Inputs!$E$10)))</f>
        <v>0.0534693021299703</v>
      </c>
      <c r="F218" s="81" t="n">
        <f aca="true">RAND()</f>
        <v>0.229793690741567</v>
      </c>
      <c r="G218" s="83" t="n">
        <f aca="false">IF(F218&lt;(Inputs!$E$15-Inputs!$D$15)/(Inputs!$F$15-Inputs!$D$15),Inputs!$D$15+SQRT(F218*(Inputs!$F$15-Inputs!$D$15)*(Inputs!$E$15-Inputs!$D$15)),Inputs!$F$15-SQRT((1-F218)*(Inputs!$F$15-Inputs!$D$15)*(Inputs!$F$15-Inputs!$E$15)))</f>
        <v>0.6677928743662</v>
      </c>
      <c r="H218" s="81" t="n">
        <f aca="true">RAND()</f>
        <v>0.103243774703438</v>
      </c>
      <c r="I218" s="82" t="n">
        <f aca="false">ROUND(IF(H218&lt;(Inputs!$E$17-Inputs!$D$17)/(Inputs!$F$17-Inputs!$D$17),Inputs!$D$17+SQRT(H218*(Inputs!$F$17-Inputs!$D$17)*(Inputs!$E$17-Inputs!$D$17)),Inputs!$F$17-SQRT((1-H218)*(Inputs!$F$17-Inputs!$D$17)*(Inputs!$F$17-Inputs!$E$17))),0)</f>
        <v>103</v>
      </c>
      <c r="J218" s="81" t="n">
        <f aca="true">RAND()</f>
        <v>0.85546834874987</v>
      </c>
      <c r="K218" s="83" t="n">
        <f aca="false">IF(J218&lt;(Inputs!$E$18-Inputs!$D$18)/(Inputs!$F$18-Inputs!$D$18),Inputs!$D$18+SQRT(J218*(Inputs!$F$18-Inputs!$D$18)*(Inputs!$E$18-Inputs!$D$18)),Inputs!$F$18-SQRT((1-J218)*(Inputs!$F$18-Inputs!$D$18)*(Inputs!$F$18-Inputs!$E$18)))</f>
        <v>1.13754325505161</v>
      </c>
      <c r="L218" s="81" t="n">
        <f aca="true">RAND()</f>
        <v>0.998125557059188</v>
      </c>
      <c r="M218" s="83" t="n">
        <f aca="false">IF(L218&lt;(Inputs!$E$24-Inputs!$D$24)/(Inputs!$F$24-Inputs!$D$24),Inputs!$D$24+SQRT(L218*(Inputs!$F$24-Inputs!$D$24)*(Inputs!$E$24-Inputs!$D$24)),Inputs!$F$24-SQRT((1-L218)*(Inputs!$F$24-Inputs!$D$24)*(Inputs!$F$24-Inputs!$E$24)))</f>
        <v>1.17878994800113</v>
      </c>
      <c r="N218" s="81" t="n">
        <f aca="true">RAND()</f>
        <v>0.963056209605707</v>
      </c>
      <c r="O218" s="83" t="n">
        <f aca="false">IF(N218&lt;(Inputs!$E$26-Inputs!$D$26)/(Inputs!$F$26-Inputs!$D$26),Inputs!$D$26+SQRT(N218*(Inputs!$F$26-Inputs!$D$26)*(Inputs!$E$26-Inputs!$D$26)),Inputs!$F$26-SQRT((1-N218)*(Inputs!$F$26-Inputs!$D$26)*(Inputs!$F$26-Inputs!$E$26)))</f>
        <v>0.758014887263098</v>
      </c>
      <c r="P218" s="81" t="n">
        <f aca="true">RAND()</f>
        <v>0.140016602125246</v>
      </c>
      <c r="Q218" s="82" t="n">
        <f aca="false">IF(P218&lt;(Inputs!$E$27-Inputs!$D$27)/(Inputs!$F$27-Inputs!$D$27),Inputs!$D$27+SQRT(P218*(Inputs!$F$27-Inputs!$D$27)*(Inputs!$E$27-Inputs!$D$27)),Inputs!$F$27-SQRT((1-P218)*(Inputs!$F$27-Inputs!$D$27)*(Inputs!$F$27-Inputs!$E$27)))</f>
        <v>68.7093961771382</v>
      </c>
      <c r="R218" s="81" t="n">
        <f aca="true">RAND()</f>
        <v>0.744974176843015</v>
      </c>
      <c r="S218" s="82" t="n">
        <f aca="false">IF(R218&lt;(Inputs!$E$29-Inputs!$D$29)/(Inputs!$F$29-Inputs!$D$29),Inputs!$D$29+SQRT(R218*(Inputs!$F$29-Inputs!$D$29)*(Inputs!$E$29-Inputs!$D$29)),Inputs!$F$29-SQRT((1-R218)*(Inputs!$F$29-Inputs!$D$29)*(Inputs!$F$29-Inputs!$E$29)))</f>
        <v>9.24210481074828</v>
      </c>
      <c r="T218" s="68" t="n">
        <f aca="false">Inputs!$E$9*(1+E218)+Inputs!$E$5*C218*(Inputs!$E$11*Inputs!$E$14*(G218*I218/Inputs!$E$16+(1-G218))*K218+Inputs!$E$23*M218)*(1+O218)+Inputs!$E$5*(Q218+S218)</f>
        <v>7811.96261567501</v>
      </c>
    </row>
    <row r="219" customFormat="false" ht="15" hidden="false" customHeight="false" outlineLevel="0" collapsed="false">
      <c r="A219" s="1" t="n">
        <v>215</v>
      </c>
      <c r="B219" s="81" t="n">
        <f aca="true">RAND()</f>
        <v>0.499462789816691</v>
      </c>
      <c r="C219" s="82" t="n">
        <f aca="false">ROUND(IF(B219&lt;(Inputs!$E$8-Inputs!$D$8)/(Inputs!$F$8-Inputs!$D$8),Inputs!$D$8+SQRT(B219*(Inputs!$F$8-Inputs!$D$8)*(Inputs!$E$8-Inputs!$D$8)),Inputs!$F$8-SQRT((1-B219)*(Inputs!$F$8-Inputs!$D$8)*(Inputs!$F$8-Inputs!$E$8))),0)</f>
        <v>25</v>
      </c>
      <c r="D219" s="81" t="n">
        <f aca="true">RAND()</f>
        <v>0.587524565092711</v>
      </c>
      <c r="E219" s="83" t="n">
        <f aca="false">IF(D219&lt;(Inputs!$E$10-Inputs!$D$10)/(Inputs!$F$10-Inputs!$D$10),Inputs!$D$10+SQRT(D219*(Inputs!$F$10-Inputs!$D$10)*(Inputs!$E$10-Inputs!$D$10)),Inputs!$F$10-SQRT((1-D219)*(Inputs!$F$10-Inputs!$D$10)*(Inputs!$F$10-Inputs!$E$10)))</f>
        <v>0.0887603350993061</v>
      </c>
      <c r="F219" s="81" t="n">
        <f aca="true">RAND()</f>
        <v>0.57322332693426</v>
      </c>
      <c r="G219" s="83" t="n">
        <f aca="false">IF(F219&lt;(Inputs!$E$15-Inputs!$D$15)/(Inputs!$F$15-Inputs!$D$15),Inputs!$D$15+SQRT(F219*(Inputs!$F$15-Inputs!$D$15)*(Inputs!$E$15-Inputs!$D$15)),Inputs!$F$15-SQRT((1-F219)*(Inputs!$F$15-Inputs!$D$15)*(Inputs!$F$15-Inputs!$E$15)))</f>
        <v>0.707612049155126</v>
      </c>
      <c r="H219" s="81" t="n">
        <f aca="true">RAND()</f>
        <v>0.547244511761322</v>
      </c>
      <c r="I219" s="82" t="n">
        <f aca="false">ROUND(IF(H219&lt;(Inputs!$E$17-Inputs!$D$17)/(Inputs!$F$17-Inputs!$D$17),Inputs!$D$17+SQRT(H219*(Inputs!$F$17-Inputs!$D$17)*(Inputs!$E$17-Inputs!$D$17)),Inputs!$F$17-SQRT((1-H219)*(Inputs!$F$17-Inputs!$D$17)*(Inputs!$F$17-Inputs!$E$17))),0)</f>
        <v>107</v>
      </c>
      <c r="J219" s="81" t="n">
        <f aca="true">RAND()</f>
        <v>0.158624489858942</v>
      </c>
      <c r="K219" s="83" t="n">
        <f aca="false">IF(J219&lt;(Inputs!$E$18-Inputs!$D$18)/(Inputs!$F$18-Inputs!$D$18),Inputs!$D$18+SQRT(J219*(Inputs!$F$18-Inputs!$D$18)*(Inputs!$E$18-Inputs!$D$18)),Inputs!$F$18-SQRT((1-J219)*(Inputs!$F$18-Inputs!$D$18)*(Inputs!$F$18-Inputs!$E$18)))</f>
        <v>0.974510785427769</v>
      </c>
      <c r="L219" s="81" t="n">
        <f aca="true">RAND()</f>
        <v>0.912125369163875</v>
      </c>
      <c r="M219" s="83" t="n">
        <f aca="false">IF(L219&lt;(Inputs!$E$24-Inputs!$D$24)/(Inputs!$F$24-Inputs!$D$24),Inputs!$D$24+SQRT(L219*(Inputs!$F$24-Inputs!$D$24)*(Inputs!$E$24-Inputs!$D$24)),Inputs!$F$24-SQRT((1-L219)*(Inputs!$F$24-Inputs!$D$24)*(Inputs!$F$24-Inputs!$E$24)))</f>
        <v>1.05477634007962</v>
      </c>
      <c r="N219" s="81" t="n">
        <f aca="true">RAND()</f>
        <v>0.5828407397167</v>
      </c>
      <c r="O219" s="83" t="n">
        <f aca="false">IF(N219&lt;(Inputs!$E$26-Inputs!$D$26)/(Inputs!$F$26-Inputs!$D$26),Inputs!$D$26+SQRT(N219*(Inputs!$F$26-Inputs!$D$26)*(Inputs!$E$26-Inputs!$D$26)),Inputs!$F$26-SQRT((1-N219)*(Inputs!$F$26-Inputs!$D$26)*(Inputs!$F$26-Inputs!$E$26)))</f>
        <v>0.611423664946739</v>
      </c>
      <c r="P219" s="81" t="n">
        <f aca="true">RAND()</f>
        <v>0.182126864379046</v>
      </c>
      <c r="Q219" s="82" t="n">
        <f aca="false">IF(P219&lt;(Inputs!$E$27-Inputs!$D$27)/(Inputs!$F$27-Inputs!$D$27),Inputs!$D$27+SQRT(P219*(Inputs!$F$27-Inputs!$D$27)*(Inputs!$E$27-Inputs!$D$27)),Inputs!$F$27-SQRT((1-P219)*(Inputs!$F$27-Inputs!$D$27)*(Inputs!$F$27-Inputs!$E$27)))</f>
        <v>71.3381620798891</v>
      </c>
      <c r="R219" s="81" t="n">
        <f aca="true">RAND()</f>
        <v>0.654927916073389</v>
      </c>
      <c r="S219" s="82" t="n">
        <f aca="false">IF(R219&lt;(Inputs!$E$29-Inputs!$D$29)/(Inputs!$F$29-Inputs!$D$29),Inputs!$D$29+SQRT(R219*(Inputs!$F$29-Inputs!$D$29)*(Inputs!$E$29-Inputs!$D$29)),Inputs!$F$29-SQRT((1-R219)*(Inputs!$F$29-Inputs!$D$29)*(Inputs!$F$29-Inputs!$E$29)))</f>
        <v>8.30228614298435</v>
      </c>
      <c r="T219" s="68" t="n">
        <f aca="false">Inputs!$E$9*(1+E219)+Inputs!$E$5*C219*(Inputs!$E$11*Inputs!$E$14*(G219*I219/Inputs!$E$16+(1-G219))*K219+Inputs!$E$23*M219)*(1+O219)+Inputs!$E$5*(Q219+S219)</f>
        <v>6429.78245324985</v>
      </c>
    </row>
    <row r="220" customFormat="false" ht="15" hidden="false" customHeight="false" outlineLevel="0" collapsed="false">
      <c r="A220" s="1" t="n">
        <v>216</v>
      </c>
      <c r="B220" s="81" t="n">
        <f aca="true">RAND()</f>
        <v>0.0537284817734831</v>
      </c>
      <c r="C220" s="82" t="n">
        <f aca="false">ROUND(IF(B220&lt;(Inputs!$E$8-Inputs!$D$8)/(Inputs!$F$8-Inputs!$D$8),Inputs!$D$8+SQRT(B220*(Inputs!$F$8-Inputs!$D$8)*(Inputs!$E$8-Inputs!$D$8)),Inputs!$F$8-SQRT((1-B220)*(Inputs!$F$8-Inputs!$D$8)*(Inputs!$F$8-Inputs!$E$8))),0)</f>
        <v>22</v>
      </c>
      <c r="D220" s="81" t="n">
        <f aca="true">RAND()</f>
        <v>0.259475005334814</v>
      </c>
      <c r="E220" s="83" t="n">
        <f aca="false">IF(D220&lt;(Inputs!$E$10-Inputs!$D$10)/(Inputs!$F$10-Inputs!$D$10),Inputs!$D$10+SQRT(D220*(Inputs!$F$10-Inputs!$D$10)*(Inputs!$E$10-Inputs!$D$10)),Inputs!$F$10-SQRT((1-D220)*(Inputs!$F$10-Inputs!$D$10)*(Inputs!$F$10-Inputs!$E$10)))</f>
        <v>0.050950512111059</v>
      </c>
      <c r="F220" s="81" t="n">
        <f aca="true">RAND()</f>
        <v>0.794733957035458</v>
      </c>
      <c r="G220" s="83" t="n">
        <f aca="false">IF(F220&lt;(Inputs!$E$15-Inputs!$D$15)/(Inputs!$F$15-Inputs!$D$15),Inputs!$D$15+SQRT(F220*(Inputs!$F$15-Inputs!$D$15)*(Inputs!$E$15-Inputs!$D$15)),Inputs!$F$15-SQRT((1-F220)*(Inputs!$F$15-Inputs!$D$15)*(Inputs!$F$15-Inputs!$E$15)))</f>
        <v>0.73592722216658</v>
      </c>
      <c r="H220" s="81" t="n">
        <f aca="true">RAND()</f>
        <v>0.0493416417642728</v>
      </c>
      <c r="I220" s="82" t="n">
        <f aca="false">ROUND(IF(H220&lt;(Inputs!$E$17-Inputs!$D$17)/(Inputs!$F$17-Inputs!$D$17),Inputs!$D$17+SQRT(H220*(Inputs!$F$17-Inputs!$D$17)*(Inputs!$E$17-Inputs!$D$17)),Inputs!$F$17-SQRT((1-H220)*(Inputs!$F$17-Inputs!$D$17)*(Inputs!$F$17-Inputs!$E$17))),0)</f>
        <v>102</v>
      </c>
      <c r="J220" s="81" t="n">
        <f aca="true">RAND()</f>
        <v>0.14622030233123</v>
      </c>
      <c r="K220" s="83" t="n">
        <f aca="false">IF(J220&lt;(Inputs!$E$18-Inputs!$D$18)/(Inputs!$F$18-Inputs!$D$18),Inputs!$D$18+SQRT(J220*(Inputs!$F$18-Inputs!$D$18)*(Inputs!$E$18-Inputs!$D$18)),Inputs!$F$18-SQRT((1-J220)*(Inputs!$F$18-Inputs!$D$18)*(Inputs!$F$18-Inputs!$E$18)))</f>
        <v>0.971538175693773</v>
      </c>
      <c r="L220" s="81" t="n">
        <f aca="true">RAND()</f>
        <v>0.14112744952848</v>
      </c>
      <c r="M220" s="83" t="n">
        <f aca="false">IF(L220&lt;(Inputs!$E$24-Inputs!$D$24)/(Inputs!$F$24-Inputs!$D$24),Inputs!$D$24+SQRT(L220*(Inputs!$F$24-Inputs!$D$24)*(Inputs!$E$24-Inputs!$D$24)),Inputs!$F$24-SQRT((1-L220)*(Inputs!$F$24-Inputs!$D$24)*(Inputs!$F$24-Inputs!$E$24)))</f>
        <v>0.73013567513721</v>
      </c>
      <c r="N220" s="81" t="n">
        <f aca="true">RAND()</f>
        <v>0.0839697650178559</v>
      </c>
      <c r="O220" s="83" t="n">
        <f aca="false">IF(N220&lt;(Inputs!$E$26-Inputs!$D$26)/(Inputs!$F$26-Inputs!$D$26),Inputs!$D$26+SQRT(N220*(Inputs!$F$26-Inputs!$D$26)*(Inputs!$E$26-Inputs!$D$26)),Inputs!$F$26-SQRT((1-N220)*(Inputs!$F$26-Inputs!$D$26)*(Inputs!$F$26-Inputs!$E$26)))</f>
        <v>0.418205621266382</v>
      </c>
      <c r="P220" s="81" t="n">
        <f aca="true">RAND()</f>
        <v>0.00323888444056936</v>
      </c>
      <c r="Q220" s="82" t="n">
        <f aca="false">IF(P220&lt;(Inputs!$E$27-Inputs!$D$27)/(Inputs!$F$27-Inputs!$D$27),Inputs!$D$27+SQRT(P220*(Inputs!$F$27-Inputs!$D$27)*(Inputs!$E$27-Inputs!$D$27)),Inputs!$F$27-SQRT((1-P220)*(Inputs!$F$27-Inputs!$D$27)*(Inputs!$F$27-Inputs!$E$27)))</f>
        <v>52.845559892433</v>
      </c>
      <c r="R220" s="81" t="n">
        <f aca="true">RAND()</f>
        <v>0.816996274016521</v>
      </c>
      <c r="S220" s="82" t="n">
        <f aca="false">IF(R220&lt;(Inputs!$E$29-Inputs!$D$29)/(Inputs!$F$29-Inputs!$D$29),Inputs!$D$29+SQRT(R220*(Inputs!$F$29-Inputs!$D$29)*(Inputs!$E$29-Inputs!$D$29)),Inputs!$F$29-SQRT((1-R220)*(Inputs!$F$29-Inputs!$D$29)*(Inputs!$F$29-Inputs!$E$29)))</f>
        <v>10.1224509866274</v>
      </c>
      <c r="T220" s="68" t="n">
        <f aca="false">Inputs!$E$9*(1+E220)+Inputs!$E$5*C220*(Inputs!$E$11*Inputs!$E$14*(G220*I220/Inputs!$E$16+(1-G220))*K220+Inputs!$E$23*M220)*(1+O220)+Inputs!$E$5*(Q220+S220)</f>
        <v>5002.76565823464</v>
      </c>
    </row>
    <row r="221" customFormat="false" ht="15" hidden="false" customHeight="false" outlineLevel="0" collapsed="false">
      <c r="A221" s="1" t="n">
        <v>217</v>
      </c>
      <c r="B221" s="81" t="n">
        <f aca="true">RAND()</f>
        <v>0.592949992234801</v>
      </c>
      <c r="C221" s="82" t="n">
        <f aca="false">ROUND(IF(B221&lt;(Inputs!$E$8-Inputs!$D$8)/(Inputs!$F$8-Inputs!$D$8),Inputs!$D$8+SQRT(B221*(Inputs!$F$8-Inputs!$D$8)*(Inputs!$E$8-Inputs!$D$8)),Inputs!$F$8-SQRT((1-B221)*(Inputs!$F$8-Inputs!$D$8)*(Inputs!$F$8-Inputs!$E$8))),0)</f>
        <v>25</v>
      </c>
      <c r="D221" s="81" t="n">
        <f aca="true">RAND()</f>
        <v>0.938454769313037</v>
      </c>
      <c r="E221" s="83" t="n">
        <f aca="false">IF(D221&lt;(Inputs!$E$10-Inputs!$D$10)/(Inputs!$F$10-Inputs!$D$10),Inputs!$D$10+SQRT(D221*(Inputs!$F$10-Inputs!$D$10)*(Inputs!$E$10-Inputs!$D$10)),Inputs!$F$10-SQRT((1-D221)*(Inputs!$F$10-Inputs!$D$10)*(Inputs!$F$10-Inputs!$E$10)))</f>
        <v>0.157030744472252</v>
      </c>
      <c r="F221" s="81" t="n">
        <f aca="true">RAND()</f>
        <v>0.730912599293094</v>
      </c>
      <c r="G221" s="83" t="n">
        <f aca="false">IF(F221&lt;(Inputs!$E$15-Inputs!$D$15)/(Inputs!$F$15-Inputs!$D$15),Inputs!$D$15+SQRT(F221*(Inputs!$F$15-Inputs!$D$15)*(Inputs!$E$15-Inputs!$D$15)),Inputs!$F$15-SQRT((1-F221)*(Inputs!$F$15-Inputs!$D$15)*(Inputs!$F$15-Inputs!$E$15)))</f>
        <v>0.726639601867642</v>
      </c>
      <c r="H221" s="81" t="n">
        <f aca="true">RAND()</f>
        <v>0.201942518816206</v>
      </c>
      <c r="I221" s="82" t="n">
        <f aca="false">ROUND(IF(H221&lt;(Inputs!$E$17-Inputs!$D$17)/(Inputs!$F$17-Inputs!$D$17),Inputs!$D$17+SQRT(H221*(Inputs!$F$17-Inputs!$D$17)*(Inputs!$E$17-Inputs!$D$17)),Inputs!$F$17-SQRT((1-H221)*(Inputs!$F$17-Inputs!$D$17)*(Inputs!$F$17-Inputs!$E$17))),0)</f>
        <v>104</v>
      </c>
      <c r="J221" s="81" t="n">
        <f aca="true">RAND()</f>
        <v>0.237143159192661</v>
      </c>
      <c r="K221" s="83" t="n">
        <f aca="false">IF(J221&lt;(Inputs!$E$18-Inputs!$D$18)/(Inputs!$F$18-Inputs!$D$18),Inputs!$D$18+SQRT(J221*(Inputs!$F$18-Inputs!$D$18)*(Inputs!$E$18-Inputs!$D$18)),Inputs!$F$18-SQRT((1-J221)*(Inputs!$F$18-Inputs!$D$18)*(Inputs!$F$18-Inputs!$E$18)))</f>
        <v>0.991104393811403</v>
      </c>
      <c r="L221" s="81" t="n">
        <f aca="true">RAND()</f>
        <v>0.170486350276123</v>
      </c>
      <c r="M221" s="83" t="n">
        <f aca="false">IF(L221&lt;(Inputs!$E$24-Inputs!$D$24)/(Inputs!$F$24-Inputs!$D$24),Inputs!$D$24+SQRT(L221*(Inputs!$F$24-Inputs!$D$24)*(Inputs!$E$24-Inputs!$D$24)),Inputs!$F$24-SQRT((1-L221)*(Inputs!$F$24-Inputs!$D$24)*(Inputs!$F$24-Inputs!$E$24)))</f>
        <v>0.743032730635805</v>
      </c>
      <c r="N221" s="81" t="n">
        <f aca="true">RAND()</f>
        <v>0.768722523953031</v>
      </c>
      <c r="O221" s="83" t="n">
        <f aca="false">IF(N221&lt;(Inputs!$E$26-Inputs!$D$26)/(Inputs!$F$26-Inputs!$D$26),Inputs!$D$26+SQRT(N221*(Inputs!$F$26-Inputs!$D$26)*(Inputs!$E$26-Inputs!$D$26)),Inputs!$F$26-SQRT((1-N221)*(Inputs!$F$26-Inputs!$D$26)*(Inputs!$F$26-Inputs!$E$26)))</f>
        <v>0.664910163102527</v>
      </c>
      <c r="P221" s="81" t="n">
        <f aca="true">RAND()</f>
        <v>0.0548350428005414</v>
      </c>
      <c r="Q221" s="82" t="n">
        <f aca="false">IF(P221&lt;(Inputs!$E$27-Inputs!$D$27)/(Inputs!$F$27-Inputs!$D$27),Inputs!$D$27+SQRT(P221*(Inputs!$F$27-Inputs!$D$27)*(Inputs!$E$27-Inputs!$D$27)),Inputs!$F$27-SQRT((1-P221)*(Inputs!$F$27-Inputs!$D$27)*(Inputs!$F$27-Inputs!$E$27)))</f>
        <v>61.7084416982515</v>
      </c>
      <c r="R221" s="81" t="n">
        <f aca="true">RAND()</f>
        <v>0.464760601421197</v>
      </c>
      <c r="S221" s="82" t="n">
        <f aca="false">IF(R221&lt;(Inputs!$E$29-Inputs!$D$29)/(Inputs!$F$29-Inputs!$D$29),Inputs!$D$29+SQRT(R221*(Inputs!$F$29-Inputs!$D$29)*(Inputs!$E$29-Inputs!$D$29)),Inputs!$F$29-SQRT((1-R221)*(Inputs!$F$29-Inputs!$D$29)*(Inputs!$F$29-Inputs!$E$29)))</f>
        <v>6.65847005548476</v>
      </c>
      <c r="T221" s="68" t="n">
        <f aca="false">Inputs!$E$9*(1+E221)+Inputs!$E$5*C221*(Inputs!$E$11*Inputs!$E$14*(G221*I221/Inputs!$E$16+(1-G221))*K221+Inputs!$E$23*M221)*(1+O221)+Inputs!$E$5*(Q221+S221)</f>
        <v>6156.10470789024</v>
      </c>
    </row>
    <row r="222" customFormat="false" ht="15" hidden="false" customHeight="false" outlineLevel="0" collapsed="false">
      <c r="A222" s="1" t="n">
        <v>218</v>
      </c>
      <c r="B222" s="81" t="n">
        <f aca="true">RAND()</f>
        <v>0.770322475118888</v>
      </c>
      <c r="C222" s="82" t="n">
        <f aca="false">ROUND(IF(B222&lt;(Inputs!$E$8-Inputs!$D$8)/(Inputs!$F$8-Inputs!$D$8),Inputs!$D$8+SQRT(B222*(Inputs!$F$8-Inputs!$D$8)*(Inputs!$E$8-Inputs!$D$8)),Inputs!$F$8-SQRT((1-B222)*(Inputs!$F$8-Inputs!$D$8)*(Inputs!$F$8-Inputs!$E$8))),0)</f>
        <v>27</v>
      </c>
      <c r="D222" s="81" t="n">
        <f aca="true">RAND()</f>
        <v>0.226230384127717</v>
      </c>
      <c r="E222" s="83" t="n">
        <f aca="false">IF(D222&lt;(Inputs!$E$10-Inputs!$D$10)/(Inputs!$F$10-Inputs!$D$10),Inputs!$D$10+SQRT(D222*(Inputs!$F$10-Inputs!$D$10)*(Inputs!$E$10-Inputs!$D$10)),Inputs!$F$10-SQRT((1-D222)*(Inputs!$F$10-Inputs!$D$10)*(Inputs!$F$10-Inputs!$E$10)))</f>
        <v>0.0475636819566902</v>
      </c>
      <c r="F222" s="81" t="n">
        <f aca="true">RAND()</f>
        <v>0.977212885085583</v>
      </c>
      <c r="G222" s="83" t="n">
        <f aca="false">IF(F222&lt;(Inputs!$E$15-Inputs!$D$15)/(Inputs!$F$15-Inputs!$D$15),Inputs!$D$15+SQRT(F222*(Inputs!$F$15-Inputs!$D$15)*(Inputs!$E$15-Inputs!$D$15)),Inputs!$F$15-SQRT((1-F222)*(Inputs!$F$15-Inputs!$D$15)*(Inputs!$F$15-Inputs!$E$15)))</f>
        <v>0.778651878342853</v>
      </c>
      <c r="H222" s="81" t="n">
        <f aca="true">RAND()</f>
        <v>0.255029245229165</v>
      </c>
      <c r="I222" s="82" t="n">
        <f aca="false">ROUND(IF(H222&lt;(Inputs!$E$17-Inputs!$D$17)/(Inputs!$F$17-Inputs!$D$17),Inputs!$D$17+SQRT(H222*(Inputs!$F$17-Inputs!$D$17)*(Inputs!$E$17-Inputs!$D$17)),Inputs!$F$17-SQRT((1-H222)*(Inputs!$F$17-Inputs!$D$17)*(Inputs!$F$17-Inputs!$E$17))),0)</f>
        <v>104</v>
      </c>
      <c r="J222" s="81" t="n">
        <f aca="true">RAND()</f>
        <v>0.104274469844562</v>
      </c>
      <c r="K222" s="83" t="n">
        <f aca="false">IF(J222&lt;(Inputs!$E$18-Inputs!$D$18)/(Inputs!$F$18-Inputs!$D$18),Inputs!$D$18+SQRT(J222*(Inputs!$F$18-Inputs!$D$18)*(Inputs!$E$18-Inputs!$D$18)),Inputs!$F$18-SQRT((1-J222)*(Inputs!$F$18-Inputs!$D$18)*(Inputs!$F$18-Inputs!$E$18)))</f>
        <v>0.960411972692172</v>
      </c>
      <c r="L222" s="81" t="n">
        <f aca="true">RAND()</f>
        <v>0.141657686249188</v>
      </c>
      <c r="M222" s="83" t="n">
        <f aca="false">IF(L222&lt;(Inputs!$E$24-Inputs!$D$24)/(Inputs!$F$24-Inputs!$D$24),Inputs!$D$24+SQRT(L222*(Inputs!$F$24-Inputs!$D$24)*(Inputs!$E$24-Inputs!$D$24)),Inputs!$F$24-SQRT((1-L222)*(Inputs!$F$24-Inputs!$D$24)*(Inputs!$F$24-Inputs!$E$24)))</f>
        <v>0.730379915439084</v>
      </c>
      <c r="N222" s="81" t="n">
        <f aca="true">RAND()</f>
        <v>0.418658781655997</v>
      </c>
      <c r="O222" s="83" t="n">
        <f aca="false">IF(N222&lt;(Inputs!$E$26-Inputs!$D$26)/(Inputs!$F$26-Inputs!$D$26),Inputs!$D$26+SQRT(N222*(Inputs!$F$26-Inputs!$D$26)*(Inputs!$E$26-Inputs!$D$26)),Inputs!$F$26-SQRT((1-N222)*(Inputs!$F$26-Inputs!$D$26)*(Inputs!$F$26-Inputs!$E$26)))</f>
        <v>0.563940942764774</v>
      </c>
      <c r="P222" s="81" t="n">
        <f aca="true">RAND()</f>
        <v>0.14776145069605</v>
      </c>
      <c r="Q222" s="82" t="n">
        <f aca="false">IF(P222&lt;(Inputs!$E$27-Inputs!$D$27)/(Inputs!$F$27-Inputs!$D$27),Inputs!$D$27+SQRT(P222*(Inputs!$F$27-Inputs!$D$27)*(Inputs!$E$27-Inputs!$D$27)),Inputs!$F$27-SQRT((1-P222)*(Inputs!$F$27-Inputs!$D$27)*(Inputs!$F$27-Inputs!$E$27)))</f>
        <v>69.2198758253045</v>
      </c>
      <c r="R222" s="81" t="n">
        <f aca="true">RAND()</f>
        <v>0.184140592472925</v>
      </c>
      <c r="S222" s="82" t="n">
        <f aca="false">IF(R222&lt;(Inputs!$E$29-Inputs!$D$29)/(Inputs!$F$29-Inputs!$D$29),Inputs!$D$29+SQRT(R222*(Inputs!$F$29-Inputs!$D$29)*(Inputs!$E$29-Inputs!$D$29)),Inputs!$F$29-SQRT((1-R222)*(Inputs!$F$29-Inputs!$D$29)*(Inputs!$F$29-Inputs!$E$29)))</f>
        <v>4.67982893230969</v>
      </c>
      <c r="T222" s="68" t="n">
        <f aca="false">Inputs!$E$9*(1+E222)+Inputs!$E$5*C222*(Inputs!$E$11*Inputs!$E$14*(G222*I222/Inputs!$E$16+(1-G222))*K222+Inputs!$E$23*M222)*(1+O222)+Inputs!$E$5*(Q222+S222)</f>
        <v>5832.11968049007</v>
      </c>
    </row>
    <row r="223" customFormat="false" ht="15" hidden="false" customHeight="false" outlineLevel="0" collapsed="false">
      <c r="A223" s="1" t="n">
        <v>219</v>
      </c>
      <c r="B223" s="81" t="n">
        <f aca="true">RAND()</f>
        <v>0.829247002333075</v>
      </c>
      <c r="C223" s="82" t="n">
        <f aca="false">ROUND(IF(B223&lt;(Inputs!$E$8-Inputs!$D$8)/(Inputs!$F$8-Inputs!$D$8),Inputs!$D$8+SQRT(B223*(Inputs!$F$8-Inputs!$D$8)*(Inputs!$E$8-Inputs!$D$8)),Inputs!$F$8-SQRT((1-B223)*(Inputs!$F$8-Inputs!$D$8)*(Inputs!$F$8-Inputs!$E$8))),0)</f>
        <v>27</v>
      </c>
      <c r="D223" s="81" t="n">
        <f aca="true">RAND()</f>
        <v>0.41924733796289</v>
      </c>
      <c r="E223" s="83" t="n">
        <f aca="false">IF(D223&lt;(Inputs!$E$10-Inputs!$D$10)/(Inputs!$F$10-Inputs!$D$10),Inputs!$D$10+SQRT(D223*(Inputs!$F$10-Inputs!$D$10)*(Inputs!$E$10-Inputs!$D$10)),Inputs!$F$10-SQRT((1-D223)*(Inputs!$F$10-Inputs!$D$10)*(Inputs!$F$10-Inputs!$E$10)))</f>
        <v>0.0680053794235791</v>
      </c>
      <c r="F223" s="81" t="n">
        <f aca="true">RAND()</f>
        <v>0.403396186260239</v>
      </c>
      <c r="G223" s="83" t="n">
        <f aca="false">IF(F223&lt;(Inputs!$E$15-Inputs!$D$15)/(Inputs!$F$15-Inputs!$D$15),Inputs!$D$15+SQRT(F223*(Inputs!$F$15-Inputs!$D$15)*(Inputs!$E$15-Inputs!$D$15)),Inputs!$F$15-SQRT((1-F223)*(Inputs!$F$15-Inputs!$D$15)*(Inputs!$F$15-Inputs!$E$15)))</f>
        <v>0.689821621702154</v>
      </c>
      <c r="H223" s="81" t="n">
        <f aca="true">RAND()</f>
        <v>0.723909533335631</v>
      </c>
      <c r="I223" s="82" t="n">
        <f aca="false">ROUND(IF(H223&lt;(Inputs!$E$17-Inputs!$D$17)/(Inputs!$F$17-Inputs!$D$17),Inputs!$D$17+SQRT(H223*(Inputs!$F$17-Inputs!$D$17)*(Inputs!$E$17-Inputs!$D$17)),Inputs!$F$17-SQRT((1-H223)*(Inputs!$F$17-Inputs!$D$17)*(Inputs!$F$17-Inputs!$E$17))),0)</f>
        <v>109</v>
      </c>
      <c r="J223" s="81" t="n">
        <f aca="true">RAND()</f>
        <v>0.609575219596699</v>
      </c>
      <c r="K223" s="83" t="n">
        <f aca="false">IF(J223&lt;(Inputs!$E$18-Inputs!$D$18)/(Inputs!$F$18-Inputs!$D$18),Inputs!$D$18+SQRT(J223*(Inputs!$F$18-Inputs!$D$18)*(Inputs!$E$18-Inputs!$D$18)),Inputs!$F$18-SQRT((1-J223)*(Inputs!$F$18-Inputs!$D$18)*(Inputs!$F$18-Inputs!$E$18)))</f>
        <v>1.0651698934554</v>
      </c>
      <c r="L223" s="81" t="n">
        <f aca="true">RAND()</f>
        <v>0.35555646539375</v>
      </c>
      <c r="M223" s="83" t="n">
        <f aca="false">IF(L223&lt;(Inputs!$E$24-Inputs!$D$24)/(Inputs!$F$24-Inputs!$D$24),Inputs!$D$24+SQRT(L223*(Inputs!$F$24-Inputs!$D$24)*(Inputs!$E$24-Inputs!$D$24)),Inputs!$F$24-SQRT((1-L223)*(Inputs!$F$24-Inputs!$D$24)*(Inputs!$F$24-Inputs!$E$24)))</f>
        <v>0.806723445517661</v>
      </c>
      <c r="N223" s="81" t="n">
        <f aca="true">RAND()</f>
        <v>0.298025406533693</v>
      </c>
      <c r="O223" s="83" t="n">
        <f aca="false">IF(N223&lt;(Inputs!$E$26-Inputs!$D$26)/(Inputs!$F$26-Inputs!$D$26),Inputs!$D$26+SQRT(N223*(Inputs!$F$26-Inputs!$D$26)*(Inputs!$E$26-Inputs!$D$26)),Inputs!$F$26-SQRT((1-N223)*(Inputs!$F$26-Inputs!$D$26)*(Inputs!$F$26-Inputs!$E$26)))</f>
        <v>0.522691328181424</v>
      </c>
      <c r="P223" s="81" t="n">
        <f aca="true">RAND()</f>
        <v>0.377161667588119</v>
      </c>
      <c r="Q223" s="82" t="n">
        <f aca="false">IF(P223&lt;(Inputs!$E$27-Inputs!$D$27)/(Inputs!$F$27-Inputs!$D$27),Inputs!$D$27+SQRT(P223*(Inputs!$F$27-Inputs!$D$27)*(Inputs!$E$27-Inputs!$D$27)),Inputs!$F$27-SQRT((1-P223)*(Inputs!$F$27-Inputs!$D$27)*(Inputs!$F$27-Inputs!$E$27)))</f>
        <v>81.6531822753312</v>
      </c>
      <c r="R223" s="81" t="n">
        <f aca="true">RAND()</f>
        <v>0.416179166536221</v>
      </c>
      <c r="S223" s="82" t="n">
        <f aca="false">IF(R223&lt;(Inputs!$E$29-Inputs!$D$29)/(Inputs!$F$29-Inputs!$D$29),Inputs!$D$29+SQRT(R223*(Inputs!$F$29-Inputs!$D$29)*(Inputs!$E$29-Inputs!$D$29)),Inputs!$F$29-SQRT((1-R223)*(Inputs!$F$29-Inputs!$D$29)*(Inputs!$F$29-Inputs!$E$29)))</f>
        <v>6.28812830958288</v>
      </c>
      <c r="T223" s="68" t="n">
        <f aca="false">Inputs!$E$9*(1+E223)+Inputs!$E$5*C223*(Inputs!$E$11*Inputs!$E$14*(G223*I223/Inputs!$E$16+(1-G223))*K223+Inputs!$E$23*M223)*(1+O223)+Inputs!$E$5*(Q223+S223)</f>
        <v>6388.55516163017</v>
      </c>
    </row>
    <row r="224" customFormat="false" ht="15" hidden="false" customHeight="false" outlineLevel="0" collapsed="false">
      <c r="A224" s="1" t="n">
        <v>220</v>
      </c>
      <c r="B224" s="81" t="n">
        <f aca="true">RAND()</f>
        <v>0.32881179672675</v>
      </c>
      <c r="C224" s="82" t="n">
        <f aca="false">ROUND(IF(B224&lt;(Inputs!$E$8-Inputs!$D$8)/(Inputs!$F$8-Inputs!$D$8),Inputs!$D$8+SQRT(B224*(Inputs!$F$8-Inputs!$D$8)*(Inputs!$E$8-Inputs!$D$8)),Inputs!$F$8-SQRT((1-B224)*(Inputs!$F$8-Inputs!$D$8)*(Inputs!$F$8-Inputs!$E$8))),0)</f>
        <v>24</v>
      </c>
      <c r="D224" s="81" t="n">
        <f aca="true">RAND()</f>
        <v>0.30765093716304</v>
      </c>
      <c r="E224" s="83" t="n">
        <f aca="false">IF(D224&lt;(Inputs!$E$10-Inputs!$D$10)/(Inputs!$F$10-Inputs!$D$10),Inputs!$D$10+SQRT(D224*(Inputs!$F$10-Inputs!$D$10)*(Inputs!$E$10-Inputs!$D$10)),Inputs!$F$10-SQRT((1-D224)*(Inputs!$F$10-Inputs!$D$10)*(Inputs!$F$10-Inputs!$E$10)))</f>
        <v>0.0558803556585405</v>
      </c>
      <c r="F224" s="81" t="n">
        <f aca="true">RAND()</f>
        <v>0.281332103222885</v>
      </c>
      <c r="G224" s="83" t="n">
        <f aca="false">IF(F224&lt;(Inputs!$E$15-Inputs!$D$15)/(Inputs!$F$15-Inputs!$D$15),Inputs!$D$15+SQRT(F224*(Inputs!$F$15-Inputs!$D$15)*(Inputs!$E$15-Inputs!$D$15)),Inputs!$F$15-SQRT((1-F224)*(Inputs!$F$15-Inputs!$D$15)*(Inputs!$F$15-Inputs!$E$15)))</f>
        <v>0.675010946297575</v>
      </c>
      <c r="H224" s="81" t="n">
        <f aca="true">RAND()</f>
        <v>0.179704741528234</v>
      </c>
      <c r="I224" s="82" t="n">
        <f aca="false">ROUND(IF(H224&lt;(Inputs!$E$17-Inputs!$D$17)/(Inputs!$F$17-Inputs!$D$17),Inputs!$D$17+SQRT(H224*(Inputs!$F$17-Inputs!$D$17)*(Inputs!$E$17-Inputs!$D$17)),Inputs!$F$17-SQRT((1-H224)*(Inputs!$F$17-Inputs!$D$17)*(Inputs!$F$17-Inputs!$E$17))),0)</f>
        <v>104</v>
      </c>
      <c r="J224" s="81" t="n">
        <f aca="true">RAND()</f>
        <v>0.883240989453377</v>
      </c>
      <c r="K224" s="83" t="n">
        <f aca="false">IF(J224&lt;(Inputs!$E$18-Inputs!$D$18)/(Inputs!$F$18-Inputs!$D$18),Inputs!$D$18+SQRT(J224*(Inputs!$F$18-Inputs!$D$18)*(Inputs!$E$18-Inputs!$D$18)),Inputs!$F$18-SQRT((1-J224)*(Inputs!$F$18-Inputs!$D$18)*(Inputs!$F$18-Inputs!$E$18)))</f>
        <v>1.14892372472816</v>
      </c>
      <c r="L224" s="81" t="n">
        <f aca="true">RAND()</f>
        <v>0.790400912374516</v>
      </c>
      <c r="M224" s="83" t="n">
        <f aca="false">IF(L224&lt;(Inputs!$E$24-Inputs!$D$24)/(Inputs!$F$24-Inputs!$D$24),Inputs!$D$24+SQRT(L224*(Inputs!$F$24-Inputs!$D$24)*(Inputs!$E$24-Inputs!$D$24)),Inputs!$F$24-SQRT((1-L224)*(Inputs!$F$24-Inputs!$D$24)*(Inputs!$F$24-Inputs!$E$24)))</f>
        <v>0.975714955848331</v>
      </c>
      <c r="N224" s="81" t="n">
        <f aca="true">RAND()</f>
        <v>0.350053959129436</v>
      </c>
      <c r="O224" s="83" t="n">
        <f aca="false">IF(N224&lt;(Inputs!$E$26-Inputs!$D$26)/(Inputs!$F$26-Inputs!$D$26),Inputs!$D$26+SQRT(N224*(Inputs!$F$26-Inputs!$D$26)*(Inputs!$E$26-Inputs!$D$26)),Inputs!$F$26-SQRT((1-N224)*(Inputs!$F$26-Inputs!$D$26)*(Inputs!$F$26-Inputs!$E$26)))</f>
        <v>0.541348252115357</v>
      </c>
      <c r="P224" s="81" t="n">
        <f aca="true">RAND()</f>
        <v>0.785512479778844</v>
      </c>
      <c r="Q224" s="82" t="n">
        <f aca="false">IF(P224&lt;(Inputs!$E$27-Inputs!$D$27)/(Inputs!$F$27-Inputs!$D$27),Inputs!$D$27+SQRT(P224*(Inputs!$F$27-Inputs!$D$27)*(Inputs!$E$27-Inputs!$D$27)),Inputs!$F$27-SQRT((1-P224)*(Inputs!$F$27-Inputs!$D$27)*(Inputs!$F$27-Inputs!$E$27)))</f>
        <v>109.891940938775</v>
      </c>
      <c r="R224" s="81" t="n">
        <f aca="true">RAND()</f>
        <v>0.125509797977752</v>
      </c>
      <c r="S224" s="82" t="n">
        <f aca="false">IF(R224&lt;(Inputs!$E$29-Inputs!$D$29)/(Inputs!$F$29-Inputs!$D$29),Inputs!$D$29+SQRT(R224*(Inputs!$F$29-Inputs!$D$29)*(Inputs!$E$29-Inputs!$D$29)),Inputs!$F$29-SQRT((1-R224)*(Inputs!$F$29-Inputs!$D$29)*(Inputs!$F$29-Inputs!$E$29)))</f>
        <v>4.21243804910608</v>
      </c>
      <c r="T224" s="68" t="n">
        <f aca="false">Inputs!$E$9*(1+E224)+Inputs!$E$5*C224*(Inputs!$E$11*Inputs!$E$14*(G224*I224/Inputs!$E$16+(1-G224))*K224+Inputs!$E$23*M224)*(1+O224)+Inputs!$E$5*(Q224+S224)</f>
        <v>6486.04022265702</v>
      </c>
    </row>
    <row r="225" customFormat="false" ht="15" hidden="false" customHeight="false" outlineLevel="0" collapsed="false">
      <c r="A225" s="1" t="n">
        <v>221</v>
      </c>
      <c r="B225" s="81" t="n">
        <f aca="true">RAND()</f>
        <v>0.262798230219889</v>
      </c>
      <c r="C225" s="82" t="n">
        <f aca="false">ROUND(IF(B225&lt;(Inputs!$E$8-Inputs!$D$8)/(Inputs!$F$8-Inputs!$D$8),Inputs!$D$8+SQRT(B225*(Inputs!$F$8-Inputs!$D$8)*(Inputs!$E$8-Inputs!$D$8)),Inputs!$F$8-SQRT((1-B225)*(Inputs!$F$8-Inputs!$D$8)*(Inputs!$F$8-Inputs!$E$8))),0)</f>
        <v>24</v>
      </c>
      <c r="D225" s="81" t="n">
        <f aca="true">RAND()</f>
        <v>0.479971834520251</v>
      </c>
      <c r="E225" s="83" t="n">
        <f aca="false">IF(D225&lt;(Inputs!$E$10-Inputs!$D$10)/(Inputs!$F$10-Inputs!$D$10),Inputs!$D$10+SQRT(D225*(Inputs!$F$10-Inputs!$D$10)*(Inputs!$E$10-Inputs!$D$10)),Inputs!$F$10-SQRT((1-D225)*(Inputs!$F$10-Inputs!$D$10)*(Inputs!$F$10-Inputs!$E$10)))</f>
        <v>0.0750966575131295</v>
      </c>
      <c r="F225" s="81" t="n">
        <f aca="true">RAND()</f>
        <v>0.419407320409808</v>
      </c>
      <c r="G225" s="83" t="n">
        <f aca="false">IF(F225&lt;(Inputs!$E$15-Inputs!$D$15)/(Inputs!$F$15-Inputs!$D$15),Inputs!$D$15+SQRT(F225*(Inputs!$F$15-Inputs!$D$15)*(Inputs!$E$15-Inputs!$D$15)),Inputs!$F$15-SQRT((1-F225)*(Inputs!$F$15-Inputs!$D$15)*(Inputs!$F$15-Inputs!$E$15)))</f>
        <v>0.691586824424675</v>
      </c>
      <c r="H225" s="81" t="n">
        <f aca="true">RAND()</f>
        <v>0.506652931000146</v>
      </c>
      <c r="I225" s="82" t="n">
        <f aca="false">ROUND(IF(H225&lt;(Inputs!$E$17-Inputs!$D$17)/(Inputs!$F$17-Inputs!$D$17),Inputs!$D$17+SQRT(H225*(Inputs!$F$17-Inputs!$D$17)*(Inputs!$E$17-Inputs!$D$17)),Inputs!$F$17-SQRT((1-H225)*(Inputs!$F$17-Inputs!$D$17)*(Inputs!$F$17-Inputs!$E$17))),0)</f>
        <v>106</v>
      </c>
      <c r="J225" s="81" t="n">
        <f aca="true">RAND()</f>
        <v>0.384582235260383</v>
      </c>
      <c r="K225" s="83" t="n">
        <f aca="false">IF(J225&lt;(Inputs!$E$18-Inputs!$D$18)/(Inputs!$F$18-Inputs!$D$18),Inputs!$D$18+SQRT(J225*(Inputs!$F$18-Inputs!$D$18)*(Inputs!$E$18-Inputs!$D$18)),Inputs!$F$18-SQRT((1-J225)*(Inputs!$F$18-Inputs!$D$18)*(Inputs!$F$18-Inputs!$E$18)))</f>
        <v>1.01794600969878</v>
      </c>
      <c r="L225" s="81" t="n">
        <f aca="true">RAND()</f>
        <v>0.309316831803388</v>
      </c>
      <c r="M225" s="83" t="n">
        <f aca="false">IF(L225&lt;(Inputs!$E$24-Inputs!$D$24)/(Inputs!$F$24-Inputs!$D$24),Inputs!$D$24+SQRT(L225*(Inputs!$F$24-Inputs!$D$24)*(Inputs!$E$24-Inputs!$D$24)),Inputs!$F$24-SQRT((1-L225)*(Inputs!$F$24-Inputs!$D$24)*(Inputs!$F$24-Inputs!$E$24)))</f>
        <v>0.792660374276618</v>
      </c>
      <c r="N225" s="81" t="n">
        <f aca="true">RAND()</f>
        <v>0.416885914801037</v>
      </c>
      <c r="O225" s="83" t="n">
        <f aca="false">IF(N225&lt;(Inputs!$E$26-Inputs!$D$26)/(Inputs!$F$26-Inputs!$D$26),Inputs!$D$26+SQRT(N225*(Inputs!$F$26-Inputs!$D$26)*(Inputs!$E$26-Inputs!$D$26)),Inputs!$F$26-SQRT((1-N225)*(Inputs!$F$26-Inputs!$D$26)*(Inputs!$F$26-Inputs!$E$26)))</f>
        <v>0.56338150319051</v>
      </c>
      <c r="P225" s="81" t="n">
        <f aca="true">RAND()</f>
        <v>0.518790262390574</v>
      </c>
      <c r="Q225" s="82" t="n">
        <f aca="false">IF(P225&lt;(Inputs!$E$27-Inputs!$D$27)/(Inputs!$F$27-Inputs!$D$27),Inputs!$D$27+SQRT(P225*(Inputs!$F$27-Inputs!$D$27)*(Inputs!$E$27-Inputs!$D$27)),Inputs!$F$27-SQRT((1-P225)*(Inputs!$F$27-Inputs!$D$27)*(Inputs!$F$27-Inputs!$E$27)))</f>
        <v>89.9244389783109</v>
      </c>
      <c r="R225" s="81" t="n">
        <f aca="true">RAND()</f>
        <v>0.11783290280506</v>
      </c>
      <c r="S225" s="82" t="n">
        <f aca="false">IF(R225&lt;(Inputs!$E$29-Inputs!$D$29)/(Inputs!$F$29-Inputs!$D$29),Inputs!$D$29+SQRT(R225*(Inputs!$F$29-Inputs!$D$29)*(Inputs!$E$29-Inputs!$D$29)),Inputs!$F$29-SQRT((1-R225)*(Inputs!$F$29-Inputs!$D$29)*(Inputs!$F$29-Inputs!$E$29)))</f>
        <v>4.14370781810333</v>
      </c>
      <c r="T225" s="68" t="n">
        <f aca="false">Inputs!$E$9*(1+E225)+Inputs!$E$5*C225*(Inputs!$E$11*Inputs!$E$14*(G225*I225/Inputs!$E$16+(1-G225))*K225+Inputs!$E$23*M225)*(1+O225)+Inputs!$E$5*(Q225+S225)</f>
        <v>5968.64815177716</v>
      </c>
    </row>
    <row r="226" customFormat="false" ht="15" hidden="false" customHeight="false" outlineLevel="0" collapsed="false">
      <c r="A226" s="1" t="n">
        <v>222</v>
      </c>
      <c r="B226" s="81" t="n">
        <f aca="true">RAND()</f>
        <v>0.14518549793361</v>
      </c>
      <c r="C226" s="82" t="n">
        <f aca="false">ROUND(IF(B226&lt;(Inputs!$E$8-Inputs!$D$8)/(Inputs!$F$8-Inputs!$D$8),Inputs!$D$8+SQRT(B226*(Inputs!$F$8-Inputs!$D$8)*(Inputs!$E$8-Inputs!$D$8)),Inputs!$F$8-SQRT((1-B226)*(Inputs!$F$8-Inputs!$D$8)*(Inputs!$F$8-Inputs!$E$8))),0)</f>
        <v>23</v>
      </c>
      <c r="D226" s="81" t="n">
        <f aca="true">RAND()</f>
        <v>0.663184461319781</v>
      </c>
      <c r="E226" s="83" t="n">
        <f aca="false">IF(D226&lt;(Inputs!$E$10-Inputs!$D$10)/(Inputs!$F$10-Inputs!$D$10),Inputs!$D$10+SQRT(D226*(Inputs!$F$10-Inputs!$D$10)*(Inputs!$E$10-Inputs!$D$10)),Inputs!$F$10-SQRT((1-D226)*(Inputs!$F$10-Inputs!$D$10)*(Inputs!$F$10-Inputs!$E$10)))</f>
        <v>0.099479026266124</v>
      </c>
      <c r="F226" s="81" t="n">
        <f aca="true">RAND()</f>
        <v>0.575650271846991</v>
      </c>
      <c r="G226" s="83" t="n">
        <f aca="false">IF(F226&lt;(Inputs!$E$15-Inputs!$D$15)/(Inputs!$F$15-Inputs!$D$15),Inputs!$D$15+SQRT(F226*(Inputs!$F$15-Inputs!$D$15)*(Inputs!$E$15-Inputs!$D$15)),Inputs!$F$15-SQRT((1-F226)*(Inputs!$F$15-Inputs!$D$15)*(Inputs!$F$15-Inputs!$E$15)))</f>
        <v>0.70787511431182</v>
      </c>
      <c r="H226" s="81" t="n">
        <f aca="true">RAND()</f>
        <v>0.843827959668087</v>
      </c>
      <c r="I226" s="82" t="n">
        <f aca="false">ROUND(IF(H226&lt;(Inputs!$E$17-Inputs!$D$17)/(Inputs!$F$17-Inputs!$D$17),Inputs!$D$17+SQRT(H226*(Inputs!$F$17-Inputs!$D$17)*(Inputs!$E$17-Inputs!$D$17)),Inputs!$F$17-SQRT((1-H226)*(Inputs!$F$17-Inputs!$D$17)*(Inputs!$F$17-Inputs!$E$17))),0)</f>
        <v>110</v>
      </c>
      <c r="J226" s="81" t="n">
        <f aca="true">RAND()</f>
        <v>0.138467464038027</v>
      </c>
      <c r="K226" s="83" t="n">
        <f aca="false">IF(J226&lt;(Inputs!$E$18-Inputs!$D$18)/(Inputs!$F$18-Inputs!$D$18),Inputs!$D$18+SQRT(J226*(Inputs!$F$18-Inputs!$D$18)*(Inputs!$E$18-Inputs!$D$18)),Inputs!$F$18-SQRT((1-J226)*(Inputs!$F$18-Inputs!$D$18)*(Inputs!$F$18-Inputs!$E$18)))</f>
        <v>0.969615811719256</v>
      </c>
      <c r="L226" s="81" t="n">
        <f aca="true">RAND()</f>
        <v>0.865165469066845</v>
      </c>
      <c r="M226" s="83" t="n">
        <f aca="false">IF(L226&lt;(Inputs!$E$24-Inputs!$D$24)/(Inputs!$F$24-Inputs!$D$24),Inputs!$D$24+SQRT(L226*(Inputs!$F$24-Inputs!$D$24)*(Inputs!$E$24-Inputs!$D$24)),Inputs!$F$24-SQRT((1-L226)*(Inputs!$F$24-Inputs!$D$24)*(Inputs!$F$24-Inputs!$E$24)))</f>
        <v>1.02011034653445</v>
      </c>
      <c r="N226" s="81" t="n">
        <f aca="true">RAND()</f>
        <v>0.300200591082859</v>
      </c>
      <c r="O226" s="83" t="n">
        <f aca="false">IF(N226&lt;(Inputs!$E$26-Inputs!$D$26)/(Inputs!$F$26-Inputs!$D$26),Inputs!$D$26+SQRT(N226*(Inputs!$F$26-Inputs!$D$26)*(Inputs!$E$26-Inputs!$D$26)),Inputs!$F$26-SQRT((1-N226)*(Inputs!$F$26-Inputs!$D$26)*(Inputs!$F$26-Inputs!$E$26)))</f>
        <v>0.523502524272518</v>
      </c>
      <c r="P226" s="81" t="n">
        <f aca="true">RAND()</f>
        <v>0.880499195301608</v>
      </c>
      <c r="Q226" s="82" t="n">
        <f aca="false">IF(P226&lt;(Inputs!$E$27-Inputs!$D$27)/(Inputs!$F$27-Inputs!$D$27),Inputs!$D$27+SQRT(P226*(Inputs!$F$27-Inputs!$D$27)*(Inputs!$E$27-Inputs!$D$27)),Inputs!$F$27-SQRT((1-P226)*(Inputs!$F$27-Inputs!$D$27)*(Inputs!$F$27-Inputs!$E$27)))</f>
        <v>120.062464442811</v>
      </c>
      <c r="R226" s="81" t="n">
        <f aca="true">RAND()</f>
        <v>0.740821323559324</v>
      </c>
      <c r="S226" s="82" t="n">
        <f aca="false">IF(R226&lt;(Inputs!$E$29-Inputs!$D$29)/(Inputs!$F$29-Inputs!$D$29),Inputs!$D$29+SQRT(R226*(Inputs!$F$29-Inputs!$D$29)*(Inputs!$E$29-Inputs!$D$29)),Inputs!$F$29-SQRT((1-R226)*(Inputs!$F$29-Inputs!$D$29)*(Inputs!$F$29-Inputs!$E$29)))</f>
        <v>9.19541319840181</v>
      </c>
      <c r="T226" s="68" t="n">
        <f aca="false">Inputs!$E$9*(1+E226)+Inputs!$E$5*C226*(Inputs!$E$11*Inputs!$E$14*(G226*I226/Inputs!$E$16+(1-G226))*K226+Inputs!$E$23*M226)*(1+O226)+Inputs!$E$5*(Q226+S226)</f>
        <v>6205.18766542507</v>
      </c>
    </row>
    <row r="227" customFormat="false" ht="15" hidden="false" customHeight="false" outlineLevel="0" collapsed="false">
      <c r="A227" s="1" t="n">
        <v>223</v>
      </c>
      <c r="B227" s="81" t="n">
        <f aca="true">RAND()</f>
        <v>0.245357526237932</v>
      </c>
      <c r="C227" s="82" t="n">
        <f aca="false">ROUND(IF(B227&lt;(Inputs!$E$8-Inputs!$D$8)/(Inputs!$F$8-Inputs!$D$8),Inputs!$D$8+SQRT(B227*(Inputs!$F$8-Inputs!$D$8)*(Inputs!$E$8-Inputs!$D$8)),Inputs!$F$8-SQRT((1-B227)*(Inputs!$F$8-Inputs!$D$8)*(Inputs!$F$8-Inputs!$E$8))),0)</f>
        <v>24</v>
      </c>
      <c r="D227" s="81" t="n">
        <f aca="true">RAND()</f>
        <v>0.271838284581193</v>
      </c>
      <c r="E227" s="83" t="n">
        <f aca="false">IF(D227&lt;(Inputs!$E$10-Inputs!$D$10)/(Inputs!$F$10-Inputs!$D$10),Inputs!$D$10+SQRT(D227*(Inputs!$F$10-Inputs!$D$10)*(Inputs!$E$10-Inputs!$D$10)),Inputs!$F$10-SQRT((1-D227)*(Inputs!$F$10-Inputs!$D$10)*(Inputs!$F$10-Inputs!$E$10)))</f>
        <v>0.0521999612227243</v>
      </c>
      <c r="F227" s="81" t="n">
        <f aca="true">RAND()</f>
        <v>0.960469863959854</v>
      </c>
      <c r="G227" s="83" t="n">
        <f aca="false">IF(F227&lt;(Inputs!$E$15-Inputs!$D$15)/(Inputs!$F$15-Inputs!$D$15),Inputs!$D$15+SQRT(F227*(Inputs!$F$15-Inputs!$D$15)*(Inputs!$E$15-Inputs!$D$15)),Inputs!$F$15-SQRT((1-F227)*(Inputs!$F$15-Inputs!$D$15)*(Inputs!$F$15-Inputs!$E$15)))</f>
        <v>0.771882341477233</v>
      </c>
      <c r="H227" s="81" t="n">
        <f aca="true">RAND()</f>
        <v>0.998965694586432</v>
      </c>
      <c r="I227" s="82" t="n">
        <f aca="false">ROUND(IF(H227&lt;(Inputs!$E$17-Inputs!$D$17)/(Inputs!$F$17-Inputs!$D$17),Inputs!$D$17+SQRT(H227*(Inputs!$F$17-Inputs!$D$17)*(Inputs!$E$17-Inputs!$D$17)),Inputs!$F$17-SQRT((1-H227)*(Inputs!$F$17-Inputs!$D$17)*(Inputs!$F$17-Inputs!$E$17))),0)</f>
        <v>115</v>
      </c>
      <c r="J227" s="81" t="n">
        <f aca="true">RAND()</f>
        <v>0.381901321854963</v>
      </c>
      <c r="K227" s="83" t="n">
        <f aca="false">IF(J227&lt;(Inputs!$E$18-Inputs!$D$18)/(Inputs!$F$18-Inputs!$D$18),Inputs!$D$18+SQRT(J227*(Inputs!$F$18-Inputs!$D$18)*(Inputs!$E$18-Inputs!$D$18)),Inputs!$F$18-SQRT((1-J227)*(Inputs!$F$18-Inputs!$D$18)*(Inputs!$F$18-Inputs!$E$18)))</f>
        <v>1.01744111640771</v>
      </c>
      <c r="L227" s="81" t="n">
        <f aca="true">RAND()</f>
        <v>0.446094990641841</v>
      </c>
      <c r="M227" s="83" t="n">
        <f aca="false">IF(L227&lt;(Inputs!$E$24-Inputs!$D$24)/(Inputs!$F$24-Inputs!$D$24),Inputs!$D$24+SQRT(L227*(Inputs!$F$24-Inputs!$D$24)*(Inputs!$E$24-Inputs!$D$24)),Inputs!$F$24-SQRT((1-L227)*(Inputs!$F$24-Inputs!$D$24)*(Inputs!$F$24-Inputs!$E$24)))</f>
        <v>0.835394456643953</v>
      </c>
      <c r="N227" s="81" t="n">
        <f aca="true">RAND()</f>
        <v>0.93498458266971</v>
      </c>
      <c r="O227" s="83" t="n">
        <f aca="false">IF(N227&lt;(Inputs!$E$26-Inputs!$D$26)/(Inputs!$F$26-Inputs!$D$26),Inputs!$D$26+SQRT(N227*(Inputs!$F$26-Inputs!$D$26)*(Inputs!$E$26-Inputs!$D$26)),Inputs!$F$26-SQRT((1-N227)*(Inputs!$F$26-Inputs!$D$26)*(Inputs!$F$26-Inputs!$E$26)))</f>
        <v>0.737771030637919</v>
      </c>
      <c r="P227" s="81" t="n">
        <f aca="true">RAND()</f>
        <v>0.103417831503798</v>
      </c>
      <c r="Q227" s="82" t="n">
        <f aca="false">IF(P227&lt;(Inputs!$E$27-Inputs!$D$27)/(Inputs!$F$27-Inputs!$D$27),Inputs!$D$27+SQRT(P227*(Inputs!$F$27-Inputs!$D$27)*(Inputs!$E$27-Inputs!$D$27)),Inputs!$F$27-SQRT((1-P227)*(Inputs!$F$27-Inputs!$D$27)*(Inputs!$F$27-Inputs!$E$27)))</f>
        <v>66.0793214645238</v>
      </c>
      <c r="R227" s="81" t="n">
        <f aca="true">RAND()</f>
        <v>0.83961933979396</v>
      </c>
      <c r="S227" s="82" t="n">
        <f aca="false">IF(R227&lt;(Inputs!$E$29-Inputs!$D$29)/(Inputs!$F$29-Inputs!$D$29),Inputs!$D$29+SQRT(R227*(Inputs!$F$29-Inputs!$D$29)*(Inputs!$E$29-Inputs!$D$29)),Inputs!$F$29-SQRT((1-R227)*(Inputs!$F$29-Inputs!$D$29)*(Inputs!$F$29-Inputs!$E$29)))</f>
        <v>10.433876279952</v>
      </c>
      <c r="T227" s="68" t="n">
        <f aca="false">Inputs!$E$9*(1+E227)+Inputs!$E$5*C227*(Inputs!$E$11*Inputs!$E$14*(G227*I227/Inputs!$E$16+(1-G227))*K227+Inputs!$E$23*M227)*(1+O227)+Inputs!$E$5*(Q227+S227)</f>
        <v>6253.046801005</v>
      </c>
    </row>
    <row r="228" customFormat="false" ht="15" hidden="false" customHeight="false" outlineLevel="0" collapsed="false">
      <c r="A228" s="1" t="n">
        <v>224</v>
      </c>
      <c r="B228" s="81" t="n">
        <f aca="true">RAND()</f>
        <v>0.542814935530873</v>
      </c>
      <c r="C228" s="82" t="n">
        <f aca="false">ROUND(IF(B228&lt;(Inputs!$E$8-Inputs!$D$8)/(Inputs!$F$8-Inputs!$D$8),Inputs!$D$8+SQRT(B228*(Inputs!$F$8-Inputs!$D$8)*(Inputs!$E$8-Inputs!$D$8)),Inputs!$F$8-SQRT((1-B228)*(Inputs!$F$8-Inputs!$D$8)*(Inputs!$F$8-Inputs!$E$8))),0)</f>
        <v>25</v>
      </c>
      <c r="D228" s="81" t="n">
        <f aca="true">RAND()</f>
        <v>0.369715669826595</v>
      </c>
      <c r="E228" s="83" t="n">
        <f aca="false">IF(D228&lt;(Inputs!$E$10-Inputs!$D$10)/(Inputs!$F$10-Inputs!$D$10),Inputs!$D$10+SQRT(D228*(Inputs!$F$10-Inputs!$D$10)*(Inputs!$E$10-Inputs!$D$10)),Inputs!$F$10-SQRT((1-D228)*(Inputs!$F$10-Inputs!$D$10)*(Inputs!$F$10-Inputs!$E$10)))</f>
        <v>0.0624917096855533</v>
      </c>
      <c r="F228" s="81" t="n">
        <f aca="true">RAND()</f>
        <v>0.602628445929854</v>
      </c>
      <c r="G228" s="83" t="n">
        <f aca="false">IF(F228&lt;(Inputs!$E$15-Inputs!$D$15)/(Inputs!$F$15-Inputs!$D$15),Inputs!$D$15+SQRT(F228*(Inputs!$F$15-Inputs!$D$15)*(Inputs!$E$15-Inputs!$D$15)),Inputs!$F$15-SQRT((1-F228)*(Inputs!$F$15-Inputs!$D$15)*(Inputs!$F$15-Inputs!$E$15)))</f>
        <v>0.710851634443457</v>
      </c>
      <c r="H228" s="81" t="n">
        <f aca="true">RAND()</f>
        <v>0.184060672296248</v>
      </c>
      <c r="I228" s="82" t="n">
        <f aca="false">ROUND(IF(H228&lt;(Inputs!$E$17-Inputs!$D$17)/(Inputs!$F$17-Inputs!$D$17),Inputs!$D$17+SQRT(H228*(Inputs!$F$17-Inputs!$D$17)*(Inputs!$E$17-Inputs!$D$17)),Inputs!$F$17-SQRT((1-H228)*(Inputs!$F$17-Inputs!$D$17)*(Inputs!$F$17-Inputs!$E$17))),0)</f>
        <v>104</v>
      </c>
      <c r="J228" s="81" t="n">
        <f aca="true">RAND()</f>
        <v>0.562749336029186</v>
      </c>
      <c r="K228" s="83" t="n">
        <f aca="false">IF(J228&lt;(Inputs!$E$18-Inputs!$D$18)/(Inputs!$F$18-Inputs!$D$18),Inputs!$D$18+SQRT(J228*(Inputs!$F$18-Inputs!$D$18)*(Inputs!$E$18-Inputs!$D$18)),Inputs!$F$18-SQRT((1-J228)*(Inputs!$F$18-Inputs!$D$18)*(Inputs!$F$18-Inputs!$E$18)))</f>
        <v>1.05439981314568</v>
      </c>
      <c r="L228" s="81" t="n">
        <f aca="true">RAND()</f>
        <v>0.761352979722694</v>
      </c>
      <c r="M228" s="83" t="n">
        <f aca="false">IF(L228&lt;(Inputs!$E$24-Inputs!$D$24)/(Inputs!$F$24-Inputs!$D$24),Inputs!$D$24+SQRT(L228*(Inputs!$F$24-Inputs!$D$24)*(Inputs!$E$24-Inputs!$D$24)),Inputs!$F$24-SQRT((1-L228)*(Inputs!$F$24-Inputs!$D$24)*(Inputs!$F$24-Inputs!$E$24)))</f>
        <v>0.960677445971857</v>
      </c>
      <c r="N228" s="81" t="n">
        <f aca="true">RAND()</f>
        <v>0.0519071004572442</v>
      </c>
      <c r="O228" s="83" t="n">
        <f aca="false">IF(N228&lt;(Inputs!$E$26-Inputs!$D$26)/(Inputs!$F$26-Inputs!$D$26),Inputs!$D$26+SQRT(N228*(Inputs!$F$26-Inputs!$D$26)*(Inputs!$E$26-Inputs!$D$26)),Inputs!$F$26-SQRT((1-N228)*(Inputs!$F$26-Inputs!$D$26)*(Inputs!$F$26-Inputs!$E$26)))</f>
        <v>0.392937298842206</v>
      </c>
      <c r="P228" s="81" t="n">
        <f aca="true">RAND()</f>
        <v>0.628163959755642</v>
      </c>
      <c r="Q228" s="82" t="n">
        <f aca="false">IF(P228&lt;(Inputs!$E$27-Inputs!$D$27)/(Inputs!$F$27-Inputs!$D$27),Inputs!$D$27+SQRT(P228*(Inputs!$F$27-Inputs!$D$27)*(Inputs!$E$27-Inputs!$D$27)),Inputs!$F$27-SQRT((1-P228)*(Inputs!$F$27-Inputs!$D$27)*(Inputs!$F$27-Inputs!$E$27)))</f>
        <v>97.1911910583785</v>
      </c>
      <c r="R228" s="81" t="n">
        <f aca="true">RAND()</f>
        <v>0.626525380678224</v>
      </c>
      <c r="S228" s="82" t="n">
        <f aca="false">IF(R228&lt;(Inputs!$E$29-Inputs!$D$29)/(Inputs!$F$29-Inputs!$D$29),Inputs!$D$29+SQRT(R228*(Inputs!$F$29-Inputs!$D$29)*(Inputs!$E$29-Inputs!$D$29)),Inputs!$F$29-SQRT((1-R228)*(Inputs!$F$29-Inputs!$D$29)*(Inputs!$F$29-Inputs!$E$29)))</f>
        <v>8.03209496966047</v>
      </c>
      <c r="T228" s="68" t="n">
        <f aca="false">Inputs!$E$9*(1+E228)+Inputs!$E$5*C228*(Inputs!$E$11*Inputs!$E$14*(G228*I228/Inputs!$E$16+(1-G228))*K228+Inputs!$E$23*M228)*(1+O228)+Inputs!$E$5*(Q228+S228)</f>
        <v>6003.91977231173</v>
      </c>
    </row>
    <row r="229" customFormat="false" ht="15" hidden="false" customHeight="false" outlineLevel="0" collapsed="false">
      <c r="A229" s="1" t="n">
        <v>225</v>
      </c>
      <c r="B229" s="81" t="n">
        <f aca="true">RAND()</f>
        <v>0.361760001018085</v>
      </c>
      <c r="C229" s="82" t="n">
        <f aca="false">ROUND(IF(B229&lt;(Inputs!$E$8-Inputs!$D$8)/(Inputs!$F$8-Inputs!$D$8),Inputs!$D$8+SQRT(B229*(Inputs!$F$8-Inputs!$D$8)*(Inputs!$E$8-Inputs!$D$8)),Inputs!$F$8-SQRT((1-B229)*(Inputs!$F$8-Inputs!$D$8)*(Inputs!$F$8-Inputs!$E$8))),0)</f>
        <v>24</v>
      </c>
      <c r="D229" s="81" t="n">
        <f aca="true">RAND()</f>
        <v>0.443755717038676</v>
      </c>
      <c r="E229" s="83" t="n">
        <f aca="false">IF(D229&lt;(Inputs!$E$10-Inputs!$D$10)/(Inputs!$F$10-Inputs!$D$10),Inputs!$D$10+SQRT(D229*(Inputs!$F$10-Inputs!$D$10)*(Inputs!$E$10-Inputs!$D$10)),Inputs!$F$10-SQRT((1-D229)*(Inputs!$F$10-Inputs!$D$10)*(Inputs!$F$10-Inputs!$E$10)))</f>
        <v>0.0708205570191615</v>
      </c>
      <c r="F229" s="81" t="n">
        <f aca="true">RAND()</f>
        <v>0.993310404929089</v>
      </c>
      <c r="G229" s="83" t="n">
        <f aca="false">IF(F229&lt;(Inputs!$E$15-Inputs!$D$15)/(Inputs!$F$15-Inputs!$D$15),Inputs!$D$15+SQRT(F229*(Inputs!$F$15-Inputs!$D$15)*(Inputs!$E$15-Inputs!$D$15)),Inputs!$F$15-SQRT((1-F229)*(Inputs!$F$15-Inputs!$D$15)*(Inputs!$F$15-Inputs!$E$15)))</f>
        <v>0.788433155079356</v>
      </c>
      <c r="H229" s="81" t="n">
        <f aca="true">RAND()</f>
        <v>0.770713790478194</v>
      </c>
      <c r="I229" s="82" t="n">
        <f aca="false">ROUND(IF(H229&lt;(Inputs!$E$17-Inputs!$D$17)/(Inputs!$F$17-Inputs!$D$17),Inputs!$D$17+SQRT(H229*(Inputs!$F$17-Inputs!$D$17)*(Inputs!$E$17-Inputs!$D$17)),Inputs!$F$17-SQRT((1-H229)*(Inputs!$F$17-Inputs!$D$17)*(Inputs!$F$17-Inputs!$E$17))),0)</f>
        <v>109</v>
      </c>
      <c r="J229" s="81" t="n">
        <f aca="true">RAND()</f>
        <v>0.288211070495336</v>
      </c>
      <c r="K229" s="83" t="n">
        <f aca="false">IF(J229&lt;(Inputs!$E$18-Inputs!$D$18)/(Inputs!$F$18-Inputs!$D$18),Inputs!$D$18+SQRT(J229*(Inputs!$F$18-Inputs!$D$18)*(Inputs!$E$18-Inputs!$D$18)),Inputs!$F$18-SQRT((1-J229)*(Inputs!$F$18-Inputs!$D$18)*(Inputs!$F$18-Inputs!$E$18)))</f>
        <v>1.00043731983396</v>
      </c>
      <c r="L229" s="81" t="n">
        <f aca="true">RAND()</f>
        <v>0.887213621144082</v>
      </c>
      <c r="M229" s="83" t="n">
        <f aca="false">IF(L229&lt;(Inputs!$E$24-Inputs!$D$24)/(Inputs!$F$24-Inputs!$D$24),Inputs!$D$24+SQRT(L229*(Inputs!$F$24-Inputs!$D$24)*(Inputs!$E$24-Inputs!$D$24)),Inputs!$F$24-SQRT((1-L229)*(Inputs!$F$24-Inputs!$D$24)*(Inputs!$F$24-Inputs!$E$24)))</f>
        <v>1.03547422413062</v>
      </c>
      <c r="N229" s="81" t="n">
        <f aca="true">RAND()</f>
        <v>0.389703523814474</v>
      </c>
      <c r="O229" s="83" t="n">
        <f aca="false">IF(N229&lt;(Inputs!$E$26-Inputs!$D$26)/(Inputs!$F$26-Inputs!$D$26),Inputs!$D$26+SQRT(N229*(Inputs!$F$26-Inputs!$D$26)*(Inputs!$E$26-Inputs!$D$26)),Inputs!$F$26-SQRT((1-N229)*(Inputs!$F$26-Inputs!$D$26)*(Inputs!$F$26-Inputs!$E$26)))</f>
        <v>0.554650086123544</v>
      </c>
      <c r="P229" s="81" t="n">
        <f aca="true">RAND()</f>
        <v>0.452268399242132</v>
      </c>
      <c r="Q229" s="82" t="n">
        <f aca="false">IF(P229&lt;(Inputs!$E$27-Inputs!$D$27)/(Inputs!$F$27-Inputs!$D$27),Inputs!$D$27+SQRT(P229*(Inputs!$F$27-Inputs!$D$27)*(Inputs!$E$27-Inputs!$D$27)),Inputs!$F$27-SQRT((1-P229)*(Inputs!$F$27-Inputs!$D$27)*(Inputs!$F$27-Inputs!$E$27)))</f>
        <v>85.9064199339434</v>
      </c>
      <c r="R229" s="81" t="n">
        <f aca="true">RAND()</f>
        <v>0.905422071266605</v>
      </c>
      <c r="S229" s="82" t="n">
        <f aca="false">IF(R229&lt;(Inputs!$E$29-Inputs!$D$29)/(Inputs!$F$29-Inputs!$D$29),Inputs!$D$29+SQRT(R229*(Inputs!$F$29-Inputs!$D$29)*(Inputs!$E$29-Inputs!$D$29)),Inputs!$F$29-SQRT((1-R229)*(Inputs!$F$29-Inputs!$D$29)*(Inputs!$F$29-Inputs!$E$29)))</f>
        <v>11.4935586793244</v>
      </c>
      <c r="T229" s="68" t="n">
        <f aca="false">Inputs!$E$9*(1+E229)+Inputs!$E$5*C229*(Inputs!$E$11*Inputs!$E$14*(G229*I229/Inputs!$E$16+(1-G229))*K229+Inputs!$E$23*M229)*(1+O229)+Inputs!$E$5*(Q229+S229)</f>
        <v>6163.8115960209</v>
      </c>
    </row>
    <row r="230" customFormat="false" ht="15" hidden="false" customHeight="false" outlineLevel="0" collapsed="false">
      <c r="A230" s="1" t="n">
        <v>226</v>
      </c>
      <c r="B230" s="81" t="n">
        <f aca="true">RAND()</f>
        <v>0.585904760322392</v>
      </c>
      <c r="C230" s="82" t="n">
        <f aca="false">ROUND(IF(B230&lt;(Inputs!$E$8-Inputs!$D$8)/(Inputs!$F$8-Inputs!$D$8),Inputs!$D$8+SQRT(B230*(Inputs!$F$8-Inputs!$D$8)*(Inputs!$E$8-Inputs!$D$8)),Inputs!$F$8-SQRT((1-B230)*(Inputs!$F$8-Inputs!$D$8)*(Inputs!$F$8-Inputs!$E$8))),0)</f>
        <v>25</v>
      </c>
      <c r="D230" s="81" t="n">
        <f aca="true">RAND()</f>
        <v>0.673249132064346</v>
      </c>
      <c r="E230" s="83" t="n">
        <f aca="false">IF(D230&lt;(Inputs!$E$10-Inputs!$D$10)/(Inputs!$F$10-Inputs!$D$10),Inputs!$D$10+SQRT(D230*(Inputs!$F$10-Inputs!$D$10)*(Inputs!$E$10-Inputs!$D$10)),Inputs!$F$10-SQRT((1-D230)*(Inputs!$F$10-Inputs!$D$10)*(Inputs!$F$10-Inputs!$E$10)))</f>
        <v>0.100992293037008</v>
      </c>
      <c r="F230" s="81" t="n">
        <f aca="true">RAND()</f>
        <v>0.0352896160965863</v>
      </c>
      <c r="G230" s="83" t="n">
        <f aca="false">IF(F230&lt;(Inputs!$E$15-Inputs!$D$15)/(Inputs!$F$15-Inputs!$D$15),Inputs!$D$15+SQRT(F230*(Inputs!$F$15-Inputs!$D$15)*(Inputs!$E$15-Inputs!$D$15)),Inputs!$F$15-SQRT((1-F230)*(Inputs!$F$15-Inputs!$D$15)*(Inputs!$F$15-Inputs!$E$15)))</f>
        <v>0.626566752190129</v>
      </c>
      <c r="H230" s="81" t="n">
        <f aca="true">RAND()</f>
        <v>0.882558132107235</v>
      </c>
      <c r="I230" s="82" t="n">
        <f aca="false">ROUND(IF(H230&lt;(Inputs!$E$17-Inputs!$D$17)/(Inputs!$F$17-Inputs!$D$17),Inputs!$D$17+SQRT(H230*(Inputs!$F$17-Inputs!$D$17)*(Inputs!$E$17-Inputs!$D$17)),Inputs!$F$17-SQRT((1-H230)*(Inputs!$F$17-Inputs!$D$17)*(Inputs!$F$17-Inputs!$E$17))),0)</f>
        <v>111</v>
      </c>
      <c r="J230" s="81" t="n">
        <f aca="true">RAND()</f>
        <v>0.875746878658449</v>
      </c>
      <c r="K230" s="83" t="n">
        <f aca="false">IF(J230&lt;(Inputs!$E$18-Inputs!$D$18)/(Inputs!$F$18-Inputs!$D$18),Inputs!$D$18+SQRT(J230*(Inputs!$F$18-Inputs!$D$18)*(Inputs!$E$18-Inputs!$D$18)),Inputs!$F$18-SQRT((1-J230)*(Inputs!$F$18-Inputs!$D$18)*(Inputs!$F$18-Inputs!$E$18)))</f>
        <v>1.14573040655404</v>
      </c>
      <c r="L230" s="81" t="n">
        <f aca="true">RAND()</f>
        <v>0.738378050303041</v>
      </c>
      <c r="M230" s="83" t="n">
        <f aca="false">IF(L230&lt;(Inputs!$E$24-Inputs!$D$24)/(Inputs!$F$24-Inputs!$D$24),Inputs!$D$24+SQRT(L230*(Inputs!$F$24-Inputs!$D$24)*(Inputs!$E$24-Inputs!$D$24)),Inputs!$F$24-SQRT((1-L230)*(Inputs!$F$24-Inputs!$D$24)*(Inputs!$F$24-Inputs!$E$24)))</f>
        <v>0.949422132008291</v>
      </c>
      <c r="N230" s="81" t="n">
        <f aca="true">RAND()</f>
        <v>0.868713425395849</v>
      </c>
      <c r="O230" s="83" t="n">
        <f aca="false">IF(N230&lt;(Inputs!$E$26-Inputs!$D$26)/(Inputs!$F$26-Inputs!$D$26),Inputs!$D$26+SQRT(N230*(Inputs!$F$26-Inputs!$D$26)*(Inputs!$E$26-Inputs!$D$26)),Inputs!$F$26-SQRT((1-N230)*(Inputs!$F$26-Inputs!$D$26)*(Inputs!$F$26-Inputs!$E$26)))</f>
        <v>0.703150508093395</v>
      </c>
      <c r="P230" s="81" t="n">
        <f aca="true">RAND()</f>
        <v>0.191299461201845</v>
      </c>
      <c r="Q230" s="82" t="n">
        <f aca="false">IF(P230&lt;(Inputs!$E$27-Inputs!$D$27)/(Inputs!$F$27-Inputs!$D$27),Inputs!$D$27+SQRT(P230*(Inputs!$F$27-Inputs!$D$27)*(Inputs!$E$27-Inputs!$D$27)),Inputs!$F$27-SQRT((1-P230)*(Inputs!$F$27-Inputs!$D$27)*(Inputs!$F$27-Inputs!$E$27)))</f>
        <v>71.8688969315924</v>
      </c>
      <c r="R230" s="81" t="n">
        <f aca="true">RAND()</f>
        <v>0.961948034278613</v>
      </c>
      <c r="S230" s="82" t="n">
        <f aca="false">IF(R230&lt;(Inputs!$E$29-Inputs!$D$29)/(Inputs!$F$29-Inputs!$D$29),Inputs!$D$29+SQRT(R230*(Inputs!$F$29-Inputs!$D$29)*(Inputs!$E$29-Inputs!$D$29)),Inputs!$F$29-SQRT((1-R230)*(Inputs!$F$29-Inputs!$D$29)*(Inputs!$F$29-Inputs!$E$29)))</f>
        <v>12.7758697107003</v>
      </c>
      <c r="T230" s="68" t="n">
        <f aca="false">Inputs!$E$9*(1+E230)+Inputs!$E$5*C230*(Inputs!$E$11*Inputs!$E$14*(G230*I230/Inputs!$E$16+(1-G230))*K230+Inputs!$E$23*M230)*(1+O230)+Inputs!$E$5*(Q230+S230)</f>
        <v>7101.990967432</v>
      </c>
    </row>
    <row r="231" customFormat="false" ht="15" hidden="false" customHeight="false" outlineLevel="0" collapsed="false">
      <c r="A231" s="1" t="n">
        <v>227</v>
      </c>
      <c r="B231" s="81" t="n">
        <f aca="true">RAND()</f>
        <v>0.628447887895888</v>
      </c>
      <c r="C231" s="82" t="n">
        <f aca="false">ROUND(IF(B231&lt;(Inputs!$E$8-Inputs!$D$8)/(Inputs!$F$8-Inputs!$D$8),Inputs!$D$8+SQRT(B231*(Inputs!$F$8-Inputs!$D$8)*(Inputs!$E$8-Inputs!$D$8)),Inputs!$F$8-SQRT((1-B231)*(Inputs!$F$8-Inputs!$D$8)*(Inputs!$F$8-Inputs!$E$8))),0)</f>
        <v>26</v>
      </c>
      <c r="D231" s="81" t="n">
        <f aca="true">RAND()</f>
        <v>0.482805912109101</v>
      </c>
      <c r="E231" s="83" t="n">
        <f aca="false">IF(D231&lt;(Inputs!$E$10-Inputs!$D$10)/(Inputs!$F$10-Inputs!$D$10),Inputs!$D$10+SQRT(D231*(Inputs!$F$10-Inputs!$D$10)*(Inputs!$E$10-Inputs!$D$10)),Inputs!$F$10-SQRT((1-D231)*(Inputs!$F$10-Inputs!$D$10)*(Inputs!$F$10-Inputs!$E$10)))</f>
        <v>0.0754374749905616</v>
      </c>
      <c r="F231" s="81" t="n">
        <f aca="true">RAND()</f>
        <v>0.566791115108688</v>
      </c>
      <c r="G231" s="83" t="n">
        <f aca="false">IF(F231&lt;(Inputs!$E$15-Inputs!$D$15)/(Inputs!$F$15-Inputs!$D$15),Inputs!$D$15+SQRT(F231*(Inputs!$F$15-Inputs!$D$15)*(Inputs!$E$15-Inputs!$D$15)),Inputs!$F$15-SQRT((1-F231)*(Inputs!$F$15-Inputs!$D$15)*(Inputs!$F$15-Inputs!$E$15)))</f>
        <v>0.706918435241847</v>
      </c>
      <c r="H231" s="81" t="n">
        <f aca="true">RAND()</f>
        <v>0.813842897415985</v>
      </c>
      <c r="I231" s="82" t="n">
        <f aca="false">ROUND(IF(H231&lt;(Inputs!$E$17-Inputs!$D$17)/(Inputs!$F$17-Inputs!$D$17),Inputs!$D$17+SQRT(H231*(Inputs!$F$17-Inputs!$D$17)*(Inputs!$E$17-Inputs!$D$17)),Inputs!$F$17-SQRT((1-H231)*(Inputs!$F$17-Inputs!$D$17)*(Inputs!$F$17-Inputs!$E$17))),0)</f>
        <v>110</v>
      </c>
      <c r="J231" s="81" t="n">
        <f aca="true">RAND()</f>
        <v>0.307829056798933</v>
      </c>
      <c r="K231" s="83" t="n">
        <f aca="false">IF(J231&lt;(Inputs!$E$18-Inputs!$D$18)/(Inputs!$F$18-Inputs!$D$18),Inputs!$D$18+SQRT(J231*(Inputs!$F$18-Inputs!$D$18)*(Inputs!$E$18-Inputs!$D$18)),Inputs!$F$18-SQRT((1-J231)*(Inputs!$F$18-Inputs!$D$18)*(Inputs!$F$18-Inputs!$E$18)))</f>
        <v>1.00390051294224</v>
      </c>
      <c r="L231" s="81" t="n">
        <f aca="true">RAND()</f>
        <v>0.502900161995102</v>
      </c>
      <c r="M231" s="83" t="n">
        <f aca="false">IF(L231&lt;(Inputs!$E$24-Inputs!$D$24)/(Inputs!$F$24-Inputs!$D$24),Inputs!$D$24+SQRT(L231*(Inputs!$F$24-Inputs!$D$24)*(Inputs!$E$24-Inputs!$D$24)),Inputs!$F$24-SQRT((1-L231)*(Inputs!$F$24-Inputs!$D$24)*(Inputs!$F$24-Inputs!$E$24)))</f>
        <v>0.854595945129222</v>
      </c>
      <c r="N231" s="81" t="n">
        <f aca="true">RAND()</f>
        <v>0.368292146620633</v>
      </c>
      <c r="O231" s="83" t="n">
        <f aca="false">IF(N231&lt;(Inputs!$E$26-Inputs!$D$26)/(Inputs!$F$26-Inputs!$D$26),Inputs!$D$26+SQRT(N231*(Inputs!$F$26-Inputs!$D$26)*(Inputs!$E$26-Inputs!$D$26)),Inputs!$F$26-SQRT((1-N231)*(Inputs!$F$26-Inputs!$D$26)*(Inputs!$F$26-Inputs!$E$26)))</f>
        <v>0.547555676965149</v>
      </c>
      <c r="P231" s="81" t="n">
        <f aca="true">RAND()</f>
        <v>0.740857521902962</v>
      </c>
      <c r="Q231" s="82" t="n">
        <f aca="false">IF(P231&lt;(Inputs!$E$27-Inputs!$D$27)/(Inputs!$F$27-Inputs!$D$27),Inputs!$D$27+SQRT(P231*(Inputs!$F$27-Inputs!$D$27)*(Inputs!$E$27-Inputs!$D$27)),Inputs!$F$27-SQRT((1-P231)*(Inputs!$F$27-Inputs!$D$27)*(Inputs!$F$27-Inputs!$E$27)))</f>
        <v>105.914077238559</v>
      </c>
      <c r="R231" s="81" t="n">
        <f aca="true">RAND()</f>
        <v>0.868928513115723</v>
      </c>
      <c r="S231" s="82" t="n">
        <f aca="false">IF(R231&lt;(Inputs!$E$29-Inputs!$D$29)/(Inputs!$F$29-Inputs!$D$29),Inputs!$D$29+SQRT(R231*(Inputs!$F$29-Inputs!$D$29)*(Inputs!$E$29-Inputs!$D$29)),Inputs!$F$29-SQRT((1-R231)*(Inputs!$F$29-Inputs!$D$29)*(Inputs!$F$29-Inputs!$E$29)))</f>
        <v>10.8721321127056</v>
      </c>
      <c r="T231" s="68" t="n">
        <f aca="false">Inputs!$E$9*(1+E231)+Inputs!$E$5*C231*(Inputs!$E$11*Inputs!$E$14*(G231*I231/Inputs!$E$16+(1-G231))*K231+Inputs!$E$23*M231)*(1+O231)+Inputs!$E$5*(Q231+S231)</f>
        <v>6395.07852901611</v>
      </c>
    </row>
    <row r="232" customFormat="false" ht="15" hidden="false" customHeight="false" outlineLevel="0" collapsed="false">
      <c r="A232" s="1" t="n">
        <v>228</v>
      </c>
      <c r="B232" s="81" t="n">
        <f aca="true">RAND()</f>
        <v>0.300219514528369</v>
      </c>
      <c r="C232" s="82" t="n">
        <f aca="false">ROUND(IF(B232&lt;(Inputs!$E$8-Inputs!$D$8)/(Inputs!$F$8-Inputs!$D$8),Inputs!$D$8+SQRT(B232*(Inputs!$F$8-Inputs!$D$8)*(Inputs!$E$8-Inputs!$D$8)),Inputs!$F$8-SQRT((1-B232)*(Inputs!$F$8-Inputs!$D$8)*(Inputs!$F$8-Inputs!$E$8))),0)</f>
        <v>24</v>
      </c>
      <c r="D232" s="81" t="n">
        <f aca="true">RAND()</f>
        <v>0.562434630593056</v>
      </c>
      <c r="E232" s="83" t="n">
        <f aca="false">IF(D232&lt;(Inputs!$E$10-Inputs!$D$10)/(Inputs!$F$10-Inputs!$D$10),Inputs!$D$10+SQRT(D232*(Inputs!$F$10-Inputs!$D$10)*(Inputs!$E$10-Inputs!$D$10)),Inputs!$F$10-SQRT((1-D232)*(Inputs!$F$10-Inputs!$D$10)*(Inputs!$F$10-Inputs!$E$10)))</f>
        <v>0.0854270490813459</v>
      </c>
      <c r="F232" s="81" t="n">
        <f aca="true">RAND()</f>
        <v>0.438510492476981</v>
      </c>
      <c r="G232" s="83" t="n">
        <f aca="false">IF(F232&lt;(Inputs!$E$15-Inputs!$D$15)/(Inputs!$F$15-Inputs!$D$15),Inputs!$D$15+SQRT(F232*(Inputs!$F$15-Inputs!$D$15)*(Inputs!$E$15-Inputs!$D$15)),Inputs!$F$15-SQRT((1-F232)*(Inputs!$F$15-Inputs!$D$15)*(Inputs!$F$15-Inputs!$E$15)))</f>
        <v>0.693649398554073</v>
      </c>
      <c r="H232" s="81" t="n">
        <f aca="true">RAND()</f>
        <v>0.00842430847851731</v>
      </c>
      <c r="I232" s="82" t="n">
        <f aca="false">ROUND(IF(H232&lt;(Inputs!$E$17-Inputs!$D$17)/(Inputs!$F$17-Inputs!$D$17),Inputs!$D$17+SQRT(H232*(Inputs!$F$17-Inputs!$D$17)*(Inputs!$E$17-Inputs!$D$17)),Inputs!$F$17-SQRT((1-H232)*(Inputs!$F$17-Inputs!$D$17)*(Inputs!$F$17-Inputs!$E$17))),0)</f>
        <v>101</v>
      </c>
      <c r="J232" s="81" t="n">
        <f aca="true">RAND()</f>
        <v>0.621854545983362</v>
      </c>
      <c r="K232" s="83" t="n">
        <f aca="false">IF(J232&lt;(Inputs!$E$18-Inputs!$D$18)/(Inputs!$F$18-Inputs!$D$18),Inputs!$D$18+SQRT(J232*(Inputs!$F$18-Inputs!$D$18)*(Inputs!$E$18-Inputs!$D$18)),Inputs!$F$18-SQRT((1-J232)*(Inputs!$F$18-Inputs!$D$18)*(Inputs!$F$18-Inputs!$E$18)))</f>
        <v>1.06809967777253</v>
      </c>
      <c r="L232" s="81" t="n">
        <f aca="true">RAND()</f>
        <v>0.767084445562845</v>
      </c>
      <c r="M232" s="83" t="n">
        <f aca="false">IF(L232&lt;(Inputs!$E$24-Inputs!$D$24)/(Inputs!$F$24-Inputs!$D$24),Inputs!$D$24+SQRT(L232*(Inputs!$F$24-Inputs!$D$24)*(Inputs!$E$24-Inputs!$D$24)),Inputs!$F$24-SQRT((1-L232)*(Inputs!$F$24-Inputs!$D$24)*(Inputs!$F$24-Inputs!$E$24)))</f>
        <v>0.963568756157489</v>
      </c>
      <c r="N232" s="81" t="n">
        <f aca="true">RAND()</f>
        <v>0.0910293872748537</v>
      </c>
      <c r="O232" s="83" t="n">
        <f aca="false">IF(N232&lt;(Inputs!$E$26-Inputs!$D$26)/(Inputs!$F$26-Inputs!$D$26),Inputs!$D$26+SQRT(N232*(Inputs!$F$26-Inputs!$D$26)*(Inputs!$E$26-Inputs!$D$26)),Inputs!$F$26-SQRT((1-N232)*(Inputs!$F$26-Inputs!$D$26)*(Inputs!$F$26-Inputs!$E$26)))</f>
        <v>0.423074327308889</v>
      </c>
      <c r="P232" s="81" t="n">
        <f aca="true">RAND()</f>
        <v>0.948053459324728</v>
      </c>
      <c r="Q232" s="82" t="n">
        <f aca="false">IF(P232&lt;(Inputs!$E$27-Inputs!$D$27)/(Inputs!$F$27-Inputs!$D$27),Inputs!$D$27+SQRT(P232*(Inputs!$F$27-Inputs!$D$27)*(Inputs!$E$27-Inputs!$D$27)),Inputs!$F$27-SQRT((1-P232)*(Inputs!$F$27-Inputs!$D$27)*(Inputs!$F$27-Inputs!$E$27)))</f>
        <v>130.261736270266</v>
      </c>
      <c r="R232" s="81" t="n">
        <f aca="true">RAND()</f>
        <v>0.348672109101076</v>
      </c>
      <c r="S232" s="82" t="n">
        <f aca="false">IF(R232&lt;(Inputs!$E$29-Inputs!$D$29)/(Inputs!$F$29-Inputs!$D$29),Inputs!$D$29+SQRT(R232*(Inputs!$F$29-Inputs!$D$29)*(Inputs!$E$29-Inputs!$D$29)),Inputs!$F$29-SQRT((1-R232)*(Inputs!$F$29-Inputs!$D$29)*(Inputs!$F$29-Inputs!$E$29)))</f>
        <v>5.79822702861779</v>
      </c>
      <c r="T232" s="68" t="n">
        <f aca="false">Inputs!$E$9*(1+E232)+Inputs!$E$5*C232*(Inputs!$E$11*Inputs!$E$14*(G232*I232/Inputs!$E$16+(1-G232))*K232+Inputs!$E$23*M232)*(1+O232)+Inputs!$E$5*(Q232+S232)</f>
        <v>6166.07137092633</v>
      </c>
    </row>
    <row r="233" customFormat="false" ht="15" hidden="false" customHeight="false" outlineLevel="0" collapsed="false">
      <c r="A233" s="1" t="n">
        <v>229</v>
      </c>
      <c r="B233" s="81" t="n">
        <f aca="true">RAND()</f>
        <v>0.634368283943582</v>
      </c>
      <c r="C233" s="82" t="n">
        <f aca="false">ROUND(IF(B233&lt;(Inputs!$E$8-Inputs!$D$8)/(Inputs!$F$8-Inputs!$D$8),Inputs!$D$8+SQRT(B233*(Inputs!$F$8-Inputs!$D$8)*(Inputs!$E$8-Inputs!$D$8)),Inputs!$F$8-SQRT((1-B233)*(Inputs!$F$8-Inputs!$D$8)*(Inputs!$F$8-Inputs!$E$8))),0)</f>
        <v>26</v>
      </c>
      <c r="D233" s="81" t="n">
        <f aca="true">RAND()</f>
        <v>0.512339913042283</v>
      </c>
      <c r="E233" s="83" t="n">
        <f aca="false">IF(D233&lt;(Inputs!$E$10-Inputs!$D$10)/(Inputs!$F$10-Inputs!$D$10),Inputs!$D$10+SQRT(D233*(Inputs!$F$10-Inputs!$D$10)*(Inputs!$E$10-Inputs!$D$10)),Inputs!$F$10-SQRT((1-D233)*(Inputs!$F$10-Inputs!$D$10)*(Inputs!$F$10-Inputs!$E$10)))</f>
        <v>0.0790462790620665</v>
      </c>
      <c r="F233" s="81" t="n">
        <f aca="true">RAND()</f>
        <v>0.740565283853561</v>
      </c>
      <c r="G233" s="83" t="n">
        <f aca="false">IF(F233&lt;(Inputs!$E$15-Inputs!$D$15)/(Inputs!$F$15-Inputs!$D$15),Inputs!$D$15+SQRT(F233*(Inputs!$F$15-Inputs!$D$15)*(Inputs!$E$15-Inputs!$D$15)),Inputs!$F$15-SQRT((1-F233)*(Inputs!$F$15-Inputs!$D$15)*(Inputs!$F$15-Inputs!$E$15)))</f>
        <v>0.727967407911913</v>
      </c>
      <c r="H233" s="81" t="n">
        <f aca="true">RAND()</f>
        <v>0.810459425776092</v>
      </c>
      <c r="I233" s="82" t="n">
        <f aca="false">ROUND(IF(H233&lt;(Inputs!$E$17-Inputs!$D$17)/(Inputs!$F$17-Inputs!$D$17),Inputs!$D$17+SQRT(H233*(Inputs!$F$17-Inputs!$D$17)*(Inputs!$E$17-Inputs!$D$17)),Inputs!$F$17-SQRT((1-H233)*(Inputs!$F$17-Inputs!$D$17)*(Inputs!$F$17-Inputs!$E$17))),0)</f>
        <v>110</v>
      </c>
      <c r="J233" s="81" t="n">
        <f aca="true">RAND()</f>
        <v>0.463475249809526</v>
      </c>
      <c r="K233" s="83" t="n">
        <f aca="false">IF(J233&lt;(Inputs!$E$18-Inputs!$D$18)/(Inputs!$F$18-Inputs!$D$18),Inputs!$D$18+SQRT(J233*(Inputs!$F$18-Inputs!$D$18)*(Inputs!$E$18-Inputs!$D$18)),Inputs!$F$18-SQRT((1-J233)*(Inputs!$F$18-Inputs!$D$18)*(Inputs!$F$18-Inputs!$E$18)))</f>
        <v>1.03332993828942</v>
      </c>
      <c r="L233" s="81" t="n">
        <f aca="true">RAND()</f>
        <v>0.450407518250962</v>
      </c>
      <c r="M233" s="83" t="n">
        <f aca="false">IF(L233&lt;(Inputs!$E$24-Inputs!$D$24)/(Inputs!$F$24-Inputs!$D$24),Inputs!$D$24+SQRT(L233*(Inputs!$F$24-Inputs!$D$24)*(Inputs!$E$24-Inputs!$D$24)),Inputs!$F$24-SQRT((1-L233)*(Inputs!$F$24-Inputs!$D$24)*(Inputs!$F$24-Inputs!$E$24)))</f>
        <v>0.836816581298417</v>
      </c>
      <c r="N233" s="81" t="n">
        <f aca="true">RAND()</f>
        <v>0.0336279311911828</v>
      </c>
      <c r="O233" s="83" t="n">
        <f aca="false">IF(N233&lt;(Inputs!$E$26-Inputs!$D$26)/(Inputs!$F$26-Inputs!$D$26),Inputs!$D$26+SQRT(N233*(Inputs!$F$26-Inputs!$D$26)*(Inputs!$E$26-Inputs!$D$26)),Inputs!$F$26-SQRT((1-N233)*(Inputs!$F$26-Inputs!$D$26)*(Inputs!$F$26-Inputs!$E$26)))</f>
        <v>0.374804329755789</v>
      </c>
      <c r="P233" s="81" t="n">
        <f aca="true">RAND()</f>
        <v>0.401630861884762</v>
      </c>
      <c r="Q233" s="82" t="n">
        <f aca="false">IF(P233&lt;(Inputs!$E$27-Inputs!$D$27)/(Inputs!$F$27-Inputs!$D$27),Inputs!$D$27+SQRT(P233*(Inputs!$F$27-Inputs!$D$27)*(Inputs!$E$27-Inputs!$D$27)),Inputs!$F$27-SQRT((1-P233)*(Inputs!$F$27-Inputs!$D$27)*(Inputs!$F$27-Inputs!$E$27)))</f>
        <v>83.0091906612237</v>
      </c>
      <c r="R233" s="81" t="n">
        <f aca="true">RAND()</f>
        <v>0.121786548740488</v>
      </c>
      <c r="S233" s="82" t="n">
        <f aca="false">IF(R233&lt;(Inputs!$E$29-Inputs!$D$29)/(Inputs!$F$29-Inputs!$D$29),Inputs!$D$29+SQRT(R233*(Inputs!$F$29-Inputs!$D$29)*(Inputs!$E$29-Inputs!$D$29)),Inputs!$F$29-SQRT((1-R233)*(Inputs!$F$29-Inputs!$D$29)*(Inputs!$F$29-Inputs!$E$29)))</f>
        <v>4.17937500235251</v>
      </c>
      <c r="T233" s="68" t="n">
        <f aca="false">Inputs!$E$9*(1+E233)+Inputs!$E$5*C233*(Inputs!$E$11*Inputs!$E$14*(G233*I233/Inputs!$E$16+(1-G233))*K233+Inputs!$E$23*M233)*(1+O233)+Inputs!$E$5*(Q233+S233)</f>
        <v>5881.31373014334</v>
      </c>
    </row>
    <row r="234" customFormat="false" ht="15" hidden="false" customHeight="false" outlineLevel="0" collapsed="false">
      <c r="A234" s="1" t="n">
        <v>230</v>
      </c>
      <c r="B234" s="81" t="n">
        <f aca="true">RAND()</f>
        <v>0.273969723497372</v>
      </c>
      <c r="C234" s="82" t="n">
        <f aca="false">ROUND(IF(B234&lt;(Inputs!$E$8-Inputs!$D$8)/(Inputs!$F$8-Inputs!$D$8),Inputs!$D$8+SQRT(B234*(Inputs!$F$8-Inputs!$D$8)*(Inputs!$E$8-Inputs!$D$8)),Inputs!$F$8-SQRT((1-B234)*(Inputs!$F$8-Inputs!$D$8)*(Inputs!$F$8-Inputs!$E$8))),0)</f>
        <v>24</v>
      </c>
      <c r="D234" s="81" t="n">
        <f aca="true">RAND()</f>
        <v>0.376526644376374</v>
      </c>
      <c r="E234" s="83" t="n">
        <f aca="false">IF(D234&lt;(Inputs!$E$10-Inputs!$D$10)/(Inputs!$F$10-Inputs!$D$10),Inputs!$D$10+SQRT(D234*(Inputs!$F$10-Inputs!$D$10)*(Inputs!$E$10-Inputs!$D$10)),Inputs!$F$10-SQRT((1-D234)*(Inputs!$F$10-Inputs!$D$10)*(Inputs!$F$10-Inputs!$E$10)))</f>
        <v>0.0632366983847319</v>
      </c>
      <c r="F234" s="81" t="n">
        <f aca="true">RAND()</f>
        <v>0.508240646436966</v>
      </c>
      <c r="G234" s="83" t="n">
        <f aca="false">IF(F234&lt;(Inputs!$E$15-Inputs!$D$15)/(Inputs!$F$15-Inputs!$D$15),Inputs!$D$15+SQRT(F234*(Inputs!$F$15-Inputs!$D$15)*(Inputs!$E$15-Inputs!$D$15)),Inputs!$F$15-SQRT((1-F234)*(Inputs!$F$15-Inputs!$D$15)*(Inputs!$F$15-Inputs!$E$15)))</f>
        <v>0.700827488328365</v>
      </c>
      <c r="H234" s="81" t="n">
        <f aca="true">RAND()</f>
        <v>0.154603623461418</v>
      </c>
      <c r="I234" s="82" t="n">
        <f aca="false">ROUND(IF(H234&lt;(Inputs!$E$17-Inputs!$D$17)/(Inputs!$F$17-Inputs!$D$17),Inputs!$D$17+SQRT(H234*(Inputs!$F$17-Inputs!$D$17)*(Inputs!$E$17-Inputs!$D$17)),Inputs!$F$17-SQRT((1-H234)*(Inputs!$F$17-Inputs!$D$17)*(Inputs!$F$17-Inputs!$E$17))),0)</f>
        <v>103</v>
      </c>
      <c r="J234" s="81" t="n">
        <f aca="true">RAND()</f>
        <v>0.236479846331479</v>
      </c>
      <c r="K234" s="83" t="n">
        <f aca="false">IF(J234&lt;(Inputs!$E$18-Inputs!$D$18)/(Inputs!$F$18-Inputs!$D$18),Inputs!$D$18+SQRT(J234*(Inputs!$F$18-Inputs!$D$18)*(Inputs!$E$18-Inputs!$D$18)),Inputs!$F$18-SQRT((1-J234)*(Inputs!$F$18-Inputs!$D$18)*(Inputs!$F$18-Inputs!$E$18)))</f>
        <v>0.990976890590972</v>
      </c>
      <c r="L234" s="81" t="n">
        <f aca="true">RAND()</f>
        <v>0.90223434126431</v>
      </c>
      <c r="M234" s="83" t="n">
        <f aca="false">IF(L234&lt;(Inputs!$E$24-Inputs!$D$24)/(Inputs!$F$24-Inputs!$D$24),Inputs!$D$24+SQRT(L234*(Inputs!$F$24-Inputs!$D$24)*(Inputs!$E$24-Inputs!$D$24)),Inputs!$F$24-SQRT((1-L234)*(Inputs!$F$24-Inputs!$D$24)*(Inputs!$F$24-Inputs!$E$24)))</f>
        <v>1.04682115649815</v>
      </c>
      <c r="N234" s="81" t="n">
        <f aca="true">RAND()</f>
        <v>0.947657702105279</v>
      </c>
      <c r="O234" s="83" t="n">
        <f aca="false">IF(N234&lt;(Inputs!$E$26-Inputs!$D$26)/(Inputs!$F$26-Inputs!$D$26),Inputs!$D$26+SQRT(N234*(Inputs!$F$26-Inputs!$D$26)*(Inputs!$E$26-Inputs!$D$26)),Inputs!$F$26-SQRT((1-N234)*(Inputs!$F$26-Inputs!$D$26)*(Inputs!$F$26-Inputs!$E$26)))</f>
        <v>0.746219250606605</v>
      </c>
      <c r="P234" s="81" t="n">
        <f aca="true">RAND()</f>
        <v>0.824103936286238</v>
      </c>
      <c r="Q234" s="82" t="n">
        <f aca="false">IF(P234&lt;(Inputs!$E$27-Inputs!$D$27)/(Inputs!$F$27-Inputs!$D$27),Inputs!$D$27+SQRT(P234*(Inputs!$F$27-Inputs!$D$27)*(Inputs!$E$27-Inputs!$D$27)),Inputs!$F$27-SQRT((1-P234)*(Inputs!$F$27-Inputs!$D$27)*(Inputs!$F$27-Inputs!$E$27)))</f>
        <v>113.67892515559</v>
      </c>
      <c r="R234" s="81" t="n">
        <f aca="true">RAND()</f>
        <v>0.2795110415864</v>
      </c>
      <c r="S234" s="82" t="n">
        <f aca="false">IF(R234&lt;(Inputs!$E$29-Inputs!$D$29)/(Inputs!$F$29-Inputs!$D$29),Inputs!$D$29+SQRT(R234*(Inputs!$F$29-Inputs!$D$29)*(Inputs!$E$29-Inputs!$D$29)),Inputs!$F$29-SQRT((1-R234)*(Inputs!$F$29-Inputs!$D$29)*(Inputs!$F$29-Inputs!$E$29)))</f>
        <v>5.32200616895381</v>
      </c>
      <c r="T234" s="68" t="n">
        <f aca="false">Inputs!$E$9*(1+E234)+Inputs!$E$5*C234*(Inputs!$E$11*Inputs!$E$14*(G234*I234/Inputs!$E$16+(1-G234))*K234+Inputs!$E$23*M234)*(1+O234)+Inputs!$E$5*(Q234+S234)</f>
        <v>6703.07744295257</v>
      </c>
    </row>
    <row r="235" customFormat="false" ht="15" hidden="false" customHeight="false" outlineLevel="0" collapsed="false">
      <c r="A235" s="1" t="n">
        <v>231</v>
      </c>
      <c r="B235" s="81" t="n">
        <f aca="true">RAND()</f>
        <v>0.69741325928325</v>
      </c>
      <c r="C235" s="82" t="n">
        <f aca="false">ROUND(IF(B235&lt;(Inputs!$E$8-Inputs!$D$8)/(Inputs!$F$8-Inputs!$D$8),Inputs!$D$8+SQRT(B235*(Inputs!$F$8-Inputs!$D$8)*(Inputs!$E$8-Inputs!$D$8)),Inputs!$F$8-SQRT((1-B235)*(Inputs!$F$8-Inputs!$D$8)*(Inputs!$F$8-Inputs!$E$8))),0)</f>
        <v>26</v>
      </c>
      <c r="D235" s="81" t="n">
        <f aca="true">RAND()</f>
        <v>0.292370735081061</v>
      </c>
      <c r="E235" s="83" t="n">
        <f aca="false">IF(D235&lt;(Inputs!$E$10-Inputs!$D$10)/(Inputs!$F$10-Inputs!$D$10),Inputs!$D$10+SQRT(D235*(Inputs!$F$10-Inputs!$D$10)*(Inputs!$E$10-Inputs!$D$10)),Inputs!$F$10-SQRT((1-D235)*(Inputs!$F$10-Inputs!$D$10)*(Inputs!$F$10-Inputs!$E$10)))</f>
        <v>0.0542986686829246</v>
      </c>
      <c r="F235" s="81" t="n">
        <f aca="true">RAND()</f>
        <v>0.753271419008861</v>
      </c>
      <c r="G235" s="83" t="n">
        <f aca="false">IF(F235&lt;(Inputs!$E$15-Inputs!$D$15)/(Inputs!$F$15-Inputs!$D$15),Inputs!$D$15+SQRT(F235*(Inputs!$F$15-Inputs!$D$15)*(Inputs!$E$15-Inputs!$D$15)),Inputs!$F$15-SQRT((1-F235)*(Inputs!$F$15-Inputs!$D$15)*(Inputs!$F$15-Inputs!$E$15)))</f>
        <v>0.729753493895975</v>
      </c>
      <c r="H235" s="81" t="n">
        <f aca="true">RAND()</f>
        <v>0.619812612768889</v>
      </c>
      <c r="I235" s="82" t="n">
        <f aca="false">ROUND(IF(H235&lt;(Inputs!$E$17-Inputs!$D$17)/(Inputs!$F$17-Inputs!$D$17),Inputs!$D$17+SQRT(H235*(Inputs!$F$17-Inputs!$D$17)*(Inputs!$E$17-Inputs!$D$17)),Inputs!$F$17-SQRT((1-H235)*(Inputs!$F$17-Inputs!$D$17)*(Inputs!$F$17-Inputs!$E$17))),0)</f>
        <v>107</v>
      </c>
      <c r="J235" s="81" t="n">
        <f aca="true">RAND()</f>
        <v>0.590245736174443</v>
      </c>
      <c r="K235" s="83" t="n">
        <f aca="false">IF(J235&lt;(Inputs!$E$18-Inputs!$D$18)/(Inputs!$F$18-Inputs!$D$18),Inputs!$D$18+SQRT(J235*(Inputs!$F$18-Inputs!$D$18)*(Inputs!$E$18-Inputs!$D$18)),Inputs!$F$18-SQRT((1-J235)*(Inputs!$F$18-Inputs!$D$18)*(Inputs!$F$18-Inputs!$E$18)))</f>
        <v>1.0606498004101</v>
      </c>
      <c r="L235" s="81" t="n">
        <f aca="true">RAND()</f>
        <v>0.456321410778288</v>
      </c>
      <c r="M235" s="83" t="n">
        <f aca="false">IF(L235&lt;(Inputs!$E$24-Inputs!$D$24)/(Inputs!$F$24-Inputs!$D$24),Inputs!$D$24+SQRT(L235*(Inputs!$F$24-Inputs!$D$24)*(Inputs!$E$24-Inputs!$D$24)),Inputs!$F$24-SQRT((1-L235)*(Inputs!$F$24-Inputs!$D$24)*(Inputs!$F$24-Inputs!$E$24)))</f>
        <v>0.838775884784514</v>
      </c>
      <c r="N235" s="81" t="n">
        <f aca="true">RAND()</f>
        <v>0.775459133323867</v>
      </c>
      <c r="O235" s="83" t="n">
        <f aca="false">IF(N235&lt;(Inputs!$E$26-Inputs!$D$26)/(Inputs!$F$26-Inputs!$D$26),Inputs!$D$26+SQRT(N235*(Inputs!$F$26-Inputs!$D$26)*(Inputs!$E$26-Inputs!$D$26)),Inputs!$F$26-SQRT((1-N235)*(Inputs!$F$26-Inputs!$D$26)*(Inputs!$F$26-Inputs!$E$26)))</f>
        <v>0.667185569613607</v>
      </c>
      <c r="P235" s="81" t="n">
        <f aca="true">RAND()</f>
        <v>0.535633236054196</v>
      </c>
      <c r="Q235" s="82" t="n">
        <f aca="false">IF(P235&lt;(Inputs!$E$27-Inputs!$D$27)/(Inputs!$F$27-Inputs!$D$27),Inputs!$D$27+SQRT(P235*(Inputs!$F$27-Inputs!$D$27)*(Inputs!$E$27-Inputs!$D$27)),Inputs!$F$27-SQRT((1-P235)*(Inputs!$F$27-Inputs!$D$27)*(Inputs!$F$27-Inputs!$E$27)))</f>
        <v>90.985165173547</v>
      </c>
      <c r="R235" s="81" t="n">
        <f aca="true">RAND()</f>
        <v>0.820641184395807</v>
      </c>
      <c r="S235" s="82" t="n">
        <f aca="false">IF(R235&lt;(Inputs!$E$29-Inputs!$D$29)/(Inputs!$F$29-Inputs!$D$29),Inputs!$D$29+SQRT(R235*(Inputs!$F$29-Inputs!$D$29)*(Inputs!$E$29-Inputs!$D$29)),Inputs!$F$29-SQRT((1-R235)*(Inputs!$F$29-Inputs!$D$29)*(Inputs!$F$29-Inputs!$E$29)))</f>
        <v>10.1712686936893</v>
      </c>
      <c r="T235" s="68" t="n">
        <f aca="false">Inputs!$E$9*(1+E235)+Inputs!$E$5*C235*(Inputs!$E$11*Inputs!$E$14*(G235*I235/Inputs!$E$16+(1-G235))*K235+Inputs!$E$23*M235)*(1+O235)+Inputs!$E$5*(Q235+S235)</f>
        <v>6572.77029050549</v>
      </c>
    </row>
    <row r="236" customFormat="false" ht="15" hidden="false" customHeight="false" outlineLevel="0" collapsed="false">
      <c r="A236" s="1" t="n">
        <v>232</v>
      </c>
      <c r="B236" s="81" t="n">
        <f aca="true">RAND()</f>
        <v>0.571344408575346</v>
      </c>
      <c r="C236" s="82" t="n">
        <f aca="false">ROUND(IF(B236&lt;(Inputs!$E$8-Inputs!$D$8)/(Inputs!$F$8-Inputs!$D$8),Inputs!$D$8+SQRT(B236*(Inputs!$F$8-Inputs!$D$8)*(Inputs!$E$8-Inputs!$D$8)),Inputs!$F$8-SQRT((1-B236)*(Inputs!$F$8-Inputs!$D$8)*(Inputs!$F$8-Inputs!$E$8))),0)</f>
        <v>25</v>
      </c>
      <c r="D236" s="81" t="n">
        <f aca="true">RAND()</f>
        <v>0.140409902947314</v>
      </c>
      <c r="E236" s="83" t="n">
        <f aca="false">IF(D236&lt;(Inputs!$E$10-Inputs!$D$10)/(Inputs!$F$10-Inputs!$D$10),Inputs!$D$10+SQRT(D236*(Inputs!$F$10-Inputs!$D$10)*(Inputs!$E$10-Inputs!$D$10)),Inputs!$F$10-SQRT((1-D236)*(Inputs!$F$10-Inputs!$D$10)*(Inputs!$F$10-Inputs!$E$10)))</f>
        <v>0.0374713094176483</v>
      </c>
      <c r="F236" s="81" t="n">
        <f aca="true">RAND()</f>
        <v>0.0697711662555208</v>
      </c>
      <c r="G236" s="83" t="n">
        <f aca="false">IF(F236&lt;(Inputs!$E$15-Inputs!$D$15)/(Inputs!$F$15-Inputs!$D$15),Inputs!$D$15+SQRT(F236*(Inputs!$F$15-Inputs!$D$15)*(Inputs!$E$15-Inputs!$D$15)),Inputs!$F$15-SQRT((1-F236)*(Inputs!$F$15-Inputs!$D$15)*(Inputs!$F$15-Inputs!$E$15)))</f>
        <v>0.637355365412621</v>
      </c>
      <c r="H236" s="81" t="n">
        <f aca="true">RAND()</f>
        <v>0.694164960118082</v>
      </c>
      <c r="I236" s="82" t="n">
        <f aca="false">ROUND(IF(H236&lt;(Inputs!$E$17-Inputs!$D$17)/(Inputs!$F$17-Inputs!$D$17),Inputs!$D$17+SQRT(H236*(Inputs!$F$17-Inputs!$D$17)*(Inputs!$E$17-Inputs!$D$17)),Inputs!$F$17-SQRT((1-H236)*(Inputs!$F$17-Inputs!$D$17)*(Inputs!$F$17-Inputs!$E$17))),0)</f>
        <v>108</v>
      </c>
      <c r="J236" s="81" t="n">
        <f aca="true">RAND()</f>
        <v>0.307369094049945</v>
      </c>
      <c r="K236" s="83" t="n">
        <f aca="false">IF(J236&lt;(Inputs!$E$18-Inputs!$D$18)/(Inputs!$F$18-Inputs!$D$18),Inputs!$D$18+SQRT(J236*(Inputs!$F$18-Inputs!$D$18)*(Inputs!$E$18-Inputs!$D$18)),Inputs!$F$18-SQRT((1-J236)*(Inputs!$F$18-Inputs!$D$18)*(Inputs!$F$18-Inputs!$E$18)))</f>
        <v>1.00381875727296</v>
      </c>
      <c r="L236" s="81" t="n">
        <f aca="true">RAND()</f>
        <v>0.0510125268110698</v>
      </c>
      <c r="M236" s="83" t="n">
        <f aca="false">IF(L236&lt;(Inputs!$E$24-Inputs!$D$24)/(Inputs!$F$24-Inputs!$D$24),Inputs!$D$24+SQRT(L236*(Inputs!$F$24-Inputs!$D$24)*(Inputs!$E$24-Inputs!$D$24)),Inputs!$F$24-SQRT((1-L236)*(Inputs!$F$24-Inputs!$D$24)*(Inputs!$F$24-Inputs!$E$24)))</f>
        <v>0.678240035898051</v>
      </c>
      <c r="N236" s="81" t="n">
        <f aca="true">RAND()</f>
        <v>0.183352457777838</v>
      </c>
      <c r="O236" s="83" t="n">
        <f aca="false">IF(N236&lt;(Inputs!$E$26-Inputs!$D$26)/(Inputs!$F$26-Inputs!$D$26),Inputs!$D$26+SQRT(N236*(Inputs!$F$26-Inputs!$D$26)*(Inputs!$E$26-Inputs!$D$26)),Inputs!$F$26-SQRT((1-N236)*(Inputs!$F$26-Inputs!$D$26)*(Inputs!$F$26-Inputs!$E$26)))</f>
        <v>0.474670687220931</v>
      </c>
      <c r="P236" s="81" t="n">
        <f aca="true">RAND()</f>
        <v>0.0681332880682571</v>
      </c>
      <c r="Q236" s="82" t="n">
        <f aca="false">IF(P236&lt;(Inputs!$E$27-Inputs!$D$27)/(Inputs!$F$27-Inputs!$D$27),Inputs!$D$27+SQRT(P236*(Inputs!$F$27-Inputs!$D$27)*(Inputs!$E$27-Inputs!$D$27)),Inputs!$F$27-SQRT((1-P236)*(Inputs!$F$27-Inputs!$D$27)*(Inputs!$F$27-Inputs!$E$27)))</f>
        <v>63.0511769649577</v>
      </c>
      <c r="R236" s="81" t="n">
        <f aca="true">RAND()</f>
        <v>0.918470905902938</v>
      </c>
      <c r="S236" s="82" t="n">
        <f aca="false">IF(R236&lt;(Inputs!$E$29-Inputs!$D$29)/(Inputs!$F$29-Inputs!$D$29),Inputs!$D$29+SQRT(R236*(Inputs!$F$29-Inputs!$D$29)*(Inputs!$E$29-Inputs!$D$29)),Inputs!$F$29-SQRT((1-R236)*(Inputs!$F$29-Inputs!$D$29)*(Inputs!$F$29-Inputs!$E$29)))</f>
        <v>11.7444229032907</v>
      </c>
      <c r="T236" s="68" t="n">
        <f aca="false">Inputs!$E$9*(1+E236)+Inputs!$E$5*C236*(Inputs!$E$11*Inputs!$E$14*(G236*I236/Inputs!$E$16+(1-G236))*K236+Inputs!$E$23*M236)*(1+O236)+Inputs!$E$5*(Q236+S236)</f>
        <v>5641.85305432276</v>
      </c>
    </row>
    <row r="237" customFormat="false" ht="15" hidden="false" customHeight="false" outlineLevel="0" collapsed="false">
      <c r="A237" s="1" t="n">
        <v>233</v>
      </c>
      <c r="B237" s="81" t="n">
        <f aca="true">RAND()</f>
        <v>0.387631895478613</v>
      </c>
      <c r="C237" s="82" t="n">
        <f aca="false">ROUND(IF(B237&lt;(Inputs!$E$8-Inputs!$D$8)/(Inputs!$F$8-Inputs!$D$8),Inputs!$D$8+SQRT(B237*(Inputs!$F$8-Inputs!$D$8)*(Inputs!$E$8-Inputs!$D$8)),Inputs!$F$8-SQRT((1-B237)*(Inputs!$F$8-Inputs!$D$8)*(Inputs!$F$8-Inputs!$E$8))),0)</f>
        <v>24</v>
      </c>
      <c r="D237" s="81" t="n">
        <f aca="true">RAND()</f>
        <v>0.522080353498567</v>
      </c>
      <c r="E237" s="83" t="n">
        <f aca="false">IF(D237&lt;(Inputs!$E$10-Inputs!$D$10)/(Inputs!$F$10-Inputs!$D$10),Inputs!$D$10+SQRT(D237*(Inputs!$F$10-Inputs!$D$10)*(Inputs!$E$10-Inputs!$D$10)),Inputs!$F$10-SQRT((1-D237)*(Inputs!$F$10-Inputs!$D$10)*(Inputs!$F$10-Inputs!$E$10)))</f>
        <v>0.0802603265619828</v>
      </c>
      <c r="F237" s="81" t="n">
        <f aca="true">RAND()</f>
        <v>0.611645400483331</v>
      </c>
      <c r="G237" s="83" t="n">
        <f aca="false">IF(F237&lt;(Inputs!$E$15-Inputs!$D$15)/(Inputs!$F$15-Inputs!$D$15),Inputs!$D$15+SQRT(F237*(Inputs!$F$15-Inputs!$D$15)*(Inputs!$E$15-Inputs!$D$15)),Inputs!$F$15-SQRT((1-F237)*(Inputs!$F$15-Inputs!$D$15)*(Inputs!$F$15-Inputs!$E$15)))</f>
        <v>0.711868893174241</v>
      </c>
      <c r="H237" s="81" t="n">
        <f aca="true">RAND()</f>
        <v>0.640460392601328</v>
      </c>
      <c r="I237" s="82" t="n">
        <f aca="false">ROUND(IF(H237&lt;(Inputs!$E$17-Inputs!$D$17)/(Inputs!$F$17-Inputs!$D$17),Inputs!$D$17+SQRT(H237*(Inputs!$F$17-Inputs!$D$17)*(Inputs!$E$17-Inputs!$D$17)),Inputs!$F$17-SQRT((1-H237)*(Inputs!$F$17-Inputs!$D$17)*(Inputs!$F$17-Inputs!$E$17))),0)</f>
        <v>108</v>
      </c>
      <c r="J237" s="81" t="n">
        <f aca="true">RAND()</f>
        <v>0.658577901726259</v>
      </c>
      <c r="K237" s="83" t="n">
        <f aca="false">IF(J237&lt;(Inputs!$E$18-Inputs!$D$18)/(Inputs!$F$18-Inputs!$D$18),Inputs!$D$18+SQRT(J237*(Inputs!$F$18-Inputs!$D$18)*(Inputs!$E$18-Inputs!$D$18)),Inputs!$F$18-SQRT((1-J237)*(Inputs!$F$18-Inputs!$D$18)*(Inputs!$F$18-Inputs!$E$18)))</f>
        <v>1.07715777830937</v>
      </c>
      <c r="L237" s="81" t="n">
        <f aca="true">RAND()</f>
        <v>0.890976285079448</v>
      </c>
      <c r="M237" s="83" t="n">
        <f aca="false">IF(L237&lt;(Inputs!$E$24-Inputs!$D$24)/(Inputs!$F$24-Inputs!$D$24),Inputs!$D$24+SQRT(L237*(Inputs!$F$24-Inputs!$D$24)*(Inputs!$E$24-Inputs!$D$24)),Inputs!$F$24-SQRT((1-L237)*(Inputs!$F$24-Inputs!$D$24)*(Inputs!$F$24-Inputs!$E$24)))</f>
        <v>1.03824187321518</v>
      </c>
      <c r="N237" s="81" t="n">
        <f aca="true">RAND()</f>
        <v>0.356334660564739</v>
      </c>
      <c r="O237" s="83" t="n">
        <f aca="false">IF(N237&lt;(Inputs!$E$26-Inputs!$D$26)/(Inputs!$F$26-Inputs!$D$26),Inputs!$D$26+SQRT(N237*(Inputs!$F$26-Inputs!$D$26)*(Inputs!$E$26-Inputs!$D$26)),Inputs!$F$26-SQRT((1-N237)*(Inputs!$F$26-Inputs!$D$26)*(Inputs!$F$26-Inputs!$E$26)))</f>
        <v>0.543503773108288</v>
      </c>
      <c r="P237" s="81" t="n">
        <f aca="true">RAND()</f>
        <v>0.392208443527337</v>
      </c>
      <c r="Q237" s="82" t="n">
        <f aca="false">IF(P237&lt;(Inputs!$E$27-Inputs!$D$27)/(Inputs!$F$27-Inputs!$D$27),Inputs!$D$27+SQRT(P237*(Inputs!$F$27-Inputs!$D$27)*(Inputs!$E$27-Inputs!$D$27)),Inputs!$F$27-SQRT((1-P237)*(Inputs!$F$27-Inputs!$D$27)*(Inputs!$F$27-Inputs!$E$27)))</f>
        <v>82.4838043611389</v>
      </c>
      <c r="R237" s="81" t="n">
        <f aca="true">RAND()</f>
        <v>0.692529737204322</v>
      </c>
      <c r="S237" s="82" t="n">
        <f aca="false">IF(R237&lt;(Inputs!$E$29-Inputs!$D$29)/(Inputs!$F$29-Inputs!$D$29),Inputs!$D$29+SQRT(R237*(Inputs!$F$29-Inputs!$D$29)*(Inputs!$E$29-Inputs!$D$29)),Inputs!$F$29-SQRT((1-R237)*(Inputs!$F$29-Inputs!$D$29)*(Inputs!$F$29-Inputs!$E$29)))</f>
        <v>8.67772713627147</v>
      </c>
      <c r="T237" s="68" t="n">
        <f aca="false">Inputs!$E$9*(1+E237)+Inputs!$E$5*C237*(Inputs!$E$11*Inputs!$E$14*(G237*I237/Inputs!$E$16+(1-G237))*K237+Inputs!$E$23*M237)*(1+O237)+Inputs!$E$5*(Q237+S237)</f>
        <v>6366.04281891707</v>
      </c>
    </row>
    <row r="238" customFormat="false" ht="15" hidden="false" customHeight="false" outlineLevel="0" collapsed="false">
      <c r="A238" s="1" t="n">
        <v>234</v>
      </c>
      <c r="B238" s="81" t="n">
        <f aca="true">RAND()</f>
        <v>0.106243327161127</v>
      </c>
      <c r="C238" s="82" t="n">
        <f aca="false">ROUND(IF(B238&lt;(Inputs!$E$8-Inputs!$D$8)/(Inputs!$F$8-Inputs!$D$8),Inputs!$D$8+SQRT(B238*(Inputs!$F$8-Inputs!$D$8)*(Inputs!$E$8-Inputs!$D$8)),Inputs!$F$8-SQRT((1-B238)*(Inputs!$F$8-Inputs!$D$8)*(Inputs!$F$8-Inputs!$E$8))),0)</f>
        <v>22</v>
      </c>
      <c r="D238" s="81" t="n">
        <f aca="true">RAND()</f>
        <v>0.373326583517502</v>
      </c>
      <c r="E238" s="83" t="n">
        <f aca="false">IF(D238&lt;(Inputs!$E$10-Inputs!$D$10)/(Inputs!$F$10-Inputs!$D$10),Inputs!$D$10+SQRT(D238*(Inputs!$F$10-Inputs!$D$10)*(Inputs!$E$10-Inputs!$D$10)),Inputs!$F$10-SQRT((1-D238)*(Inputs!$F$10-Inputs!$D$10)*(Inputs!$F$10-Inputs!$E$10)))</f>
        <v>0.0628861695725959</v>
      </c>
      <c r="F238" s="81" t="n">
        <f aca="true">RAND()</f>
        <v>0.906051433224426</v>
      </c>
      <c r="G238" s="83" t="n">
        <f aca="false">IF(F238&lt;(Inputs!$E$15-Inputs!$D$15)/(Inputs!$F$15-Inputs!$D$15),Inputs!$D$15+SQRT(F238*(Inputs!$F$15-Inputs!$D$15)*(Inputs!$E$15-Inputs!$D$15)),Inputs!$F$15-SQRT((1-F238)*(Inputs!$F$15-Inputs!$D$15)*(Inputs!$F$15-Inputs!$E$15)))</f>
        <v>0.756652897034387</v>
      </c>
      <c r="H238" s="81" t="n">
        <f aca="true">RAND()</f>
        <v>0.916561942693347</v>
      </c>
      <c r="I238" s="82" t="n">
        <f aca="false">ROUND(IF(H238&lt;(Inputs!$E$17-Inputs!$D$17)/(Inputs!$F$17-Inputs!$D$17),Inputs!$D$17+SQRT(H238*(Inputs!$F$17-Inputs!$D$17)*(Inputs!$E$17-Inputs!$D$17)),Inputs!$F$17-SQRT((1-H238)*(Inputs!$F$17-Inputs!$D$17)*(Inputs!$F$17-Inputs!$E$17))),0)</f>
        <v>111</v>
      </c>
      <c r="J238" s="81" t="n">
        <f aca="true">RAND()</f>
        <v>0.543561500867568</v>
      </c>
      <c r="K238" s="83" t="n">
        <f aca="false">IF(J238&lt;(Inputs!$E$18-Inputs!$D$18)/(Inputs!$F$18-Inputs!$D$18),Inputs!$D$18+SQRT(J238*(Inputs!$F$18-Inputs!$D$18)*(Inputs!$E$18-Inputs!$D$18)),Inputs!$F$18-SQRT((1-J238)*(Inputs!$F$18-Inputs!$D$18)*(Inputs!$F$18-Inputs!$E$18)))</f>
        <v>1.05015413771087</v>
      </c>
      <c r="L238" s="81" t="n">
        <f aca="true">RAND()</f>
        <v>0.383749759611215</v>
      </c>
      <c r="M238" s="83" t="n">
        <f aca="false">IF(L238&lt;(Inputs!$E$24-Inputs!$D$24)/(Inputs!$F$24-Inputs!$D$24),Inputs!$D$24+SQRT(L238*(Inputs!$F$24-Inputs!$D$24)*(Inputs!$E$24-Inputs!$D$24)),Inputs!$F$24-SQRT((1-L238)*(Inputs!$F$24-Inputs!$D$24)*(Inputs!$F$24-Inputs!$E$24)))</f>
        <v>0.815422234530767</v>
      </c>
      <c r="N238" s="81" t="n">
        <f aca="true">RAND()</f>
        <v>0.632834716693733</v>
      </c>
      <c r="O238" s="83" t="n">
        <f aca="false">IF(N238&lt;(Inputs!$E$26-Inputs!$D$26)/(Inputs!$F$26-Inputs!$D$26),Inputs!$D$26+SQRT(N238*(Inputs!$F$26-Inputs!$D$26)*(Inputs!$E$26-Inputs!$D$26)),Inputs!$F$26-SQRT((1-N238)*(Inputs!$F$26-Inputs!$D$26)*(Inputs!$F$26-Inputs!$E$26)))</f>
        <v>0.624589689463806</v>
      </c>
      <c r="P238" s="81" t="n">
        <f aca="true">RAND()</f>
        <v>0.511590393714439</v>
      </c>
      <c r="Q238" s="82" t="n">
        <f aca="false">IF(P238&lt;(Inputs!$E$27-Inputs!$D$27)/(Inputs!$F$27-Inputs!$D$27),Inputs!$D$27+SQRT(P238*(Inputs!$F$27-Inputs!$D$27)*(Inputs!$E$27-Inputs!$D$27)),Inputs!$F$27-SQRT((1-P238)*(Inputs!$F$27-Inputs!$D$27)*(Inputs!$F$27-Inputs!$E$27)))</f>
        <v>89.4766817900595</v>
      </c>
      <c r="R238" s="81" t="n">
        <f aca="true">RAND()</f>
        <v>0.401841690117191</v>
      </c>
      <c r="S238" s="82" t="n">
        <f aca="false">IF(R238&lt;(Inputs!$E$29-Inputs!$D$29)/(Inputs!$F$29-Inputs!$D$29),Inputs!$D$29+SQRT(R238*(Inputs!$F$29-Inputs!$D$29)*(Inputs!$E$29-Inputs!$D$29)),Inputs!$F$29-SQRT((1-R238)*(Inputs!$F$29-Inputs!$D$29)*(Inputs!$F$29-Inputs!$E$29)))</f>
        <v>6.18180402322759</v>
      </c>
      <c r="T238" s="68" t="n">
        <f aca="false">Inputs!$E$9*(1+E238)+Inputs!$E$5*C238*(Inputs!$E$11*Inputs!$E$14*(G238*I238/Inputs!$E$16+(1-G238))*K238+Inputs!$E$23*M238)*(1+O238)+Inputs!$E$5*(Q238+S238)</f>
        <v>5871.3608706563</v>
      </c>
    </row>
    <row r="239" customFormat="false" ht="15" hidden="false" customHeight="false" outlineLevel="0" collapsed="false">
      <c r="A239" s="1" t="n">
        <v>235</v>
      </c>
      <c r="B239" s="81" t="n">
        <f aca="true">RAND()</f>
        <v>0.100355156949619</v>
      </c>
      <c r="C239" s="82" t="n">
        <f aca="false">ROUND(IF(B239&lt;(Inputs!$E$8-Inputs!$D$8)/(Inputs!$F$8-Inputs!$D$8),Inputs!$D$8+SQRT(B239*(Inputs!$F$8-Inputs!$D$8)*(Inputs!$E$8-Inputs!$D$8)),Inputs!$F$8-SQRT((1-B239)*(Inputs!$F$8-Inputs!$D$8)*(Inputs!$F$8-Inputs!$E$8))),0)</f>
        <v>22</v>
      </c>
      <c r="D239" s="81" t="n">
        <f aca="true">RAND()</f>
        <v>0.0736999327030334</v>
      </c>
      <c r="E239" s="83" t="n">
        <f aca="false">IF(D239&lt;(Inputs!$E$10-Inputs!$D$10)/(Inputs!$F$10-Inputs!$D$10),Inputs!$D$10+SQRT(D239*(Inputs!$F$10-Inputs!$D$10)*(Inputs!$E$10-Inputs!$D$10)),Inputs!$F$10-SQRT((1-D239)*(Inputs!$F$10-Inputs!$D$10)*(Inputs!$F$10-Inputs!$E$10)))</f>
        <v>0.0271477315264155</v>
      </c>
      <c r="F239" s="81" t="n">
        <f aca="true">RAND()</f>
        <v>0.947840173607152</v>
      </c>
      <c r="G239" s="83" t="n">
        <f aca="false">IF(F239&lt;(Inputs!$E$15-Inputs!$D$15)/(Inputs!$F$15-Inputs!$D$15),Inputs!$D$15+SQRT(F239*(Inputs!$F$15-Inputs!$D$15)*(Inputs!$E$15-Inputs!$D$15)),Inputs!$F$15-SQRT((1-F239)*(Inputs!$F$15-Inputs!$D$15)*(Inputs!$F$15-Inputs!$E$15)))</f>
        <v>0.767701446969609</v>
      </c>
      <c r="H239" s="81" t="n">
        <f aca="true">RAND()</f>
        <v>0.00151780610697629</v>
      </c>
      <c r="I239" s="82" t="n">
        <f aca="false">ROUND(IF(H239&lt;(Inputs!$E$17-Inputs!$D$17)/(Inputs!$F$17-Inputs!$D$17),Inputs!$D$17+SQRT(H239*(Inputs!$F$17-Inputs!$D$17)*(Inputs!$E$17-Inputs!$D$17)),Inputs!$F$17-SQRT((1-H239)*(Inputs!$F$17-Inputs!$D$17)*(Inputs!$F$17-Inputs!$E$17))),0)</f>
        <v>100</v>
      </c>
      <c r="J239" s="81" t="n">
        <f aca="true">RAND()</f>
        <v>0.843836271877222</v>
      </c>
      <c r="K239" s="83" t="n">
        <f aca="false">IF(J239&lt;(Inputs!$E$18-Inputs!$D$18)/(Inputs!$F$18-Inputs!$D$18),Inputs!$D$18+SQRT(J239*(Inputs!$F$18-Inputs!$D$18)*(Inputs!$E$18-Inputs!$D$18)),Inputs!$F$18-SQRT((1-J239)*(Inputs!$F$18-Inputs!$D$18)*(Inputs!$F$18-Inputs!$E$18)))</f>
        <v>1.13310549110098</v>
      </c>
      <c r="L239" s="81" t="n">
        <f aca="true">RAND()</f>
        <v>0.0980142176041574</v>
      </c>
      <c r="M239" s="83" t="n">
        <f aca="false">IF(L239&lt;(Inputs!$E$24-Inputs!$D$24)/(Inputs!$F$24-Inputs!$D$24),Inputs!$D$24+SQRT(L239*(Inputs!$F$24-Inputs!$D$24)*(Inputs!$E$24-Inputs!$D$24)),Inputs!$F$24-SQRT((1-L239)*(Inputs!$F$24-Inputs!$D$24)*(Inputs!$F$24-Inputs!$E$24)))</f>
        <v>0.708451399771967</v>
      </c>
      <c r="N239" s="81" t="n">
        <f aca="true">RAND()</f>
        <v>0.781986733014734</v>
      </c>
      <c r="O239" s="83" t="n">
        <f aca="false">IF(N239&lt;(Inputs!$E$26-Inputs!$D$26)/(Inputs!$F$26-Inputs!$D$26),Inputs!$D$26+SQRT(N239*(Inputs!$F$26-Inputs!$D$26)*(Inputs!$E$26-Inputs!$D$26)),Inputs!$F$26-SQRT((1-N239)*(Inputs!$F$26-Inputs!$D$26)*(Inputs!$F$26-Inputs!$E$26)))</f>
        <v>0.669423176529495</v>
      </c>
      <c r="P239" s="81" t="n">
        <f aca="true">RAND()</f>
        <v>0.18781762895774</v>
      </c>
      <c r="Q239" s="82" t="n">
        <f aca="false">IF(P239&lt;(Inputs!$E$27-Inputs!$D$27)/(Inputs!$F$27-Inputs!$D$27),Inputs!$D$27+SQRT(P239*(Inputs!$F$27-Inputs!$D$27)*(Inputs!$E$27-Inputs!$D$27)),Inputs!$F$27-SQRT((1-P239)*(Inputs!$F$27-Inputs!$D$27)*(Inputs!$F$27-Inputs!$E$27)))</f>
        <v>71.6689656512338</v>
      </c>
      <c r="R239" s="81" t="n">
        <f aca="true">RAND()</f>
        <v>0.379717473022568</v>
      </c>
      <c r="S239" s="82" t="n">
        <f aca="false">IF(R239&lt;(Inputs!$E$29-Inputs!$D$29)/(Inputs!$F$29-Inputs!$D$29),Inputs!$D$29+SQRT(R239*(Inputs!$F$29-Inputs!$D$29)*(Inputs!$E$29-Inputs!$D$29)),Inputs!$F$29-SQRT((1-R239)*(Inputs!$F$29-Inputs!$D$29)*(Inputs!$F$29-Inputs!$E$29)))</f>
        <v>6.02020442843679</v>
      </c>
      <c r="T239" s="68" t="n">
        <f aca="false">Inputs!$E$9*(1+E239)+Inputs!$E$5*C239*(Inputs!$E$11*Inputs!$E$14*(G239*I239/Inputs!$E$16+(1-G239))*K239+Inputs!$E$23*M239)*(1+O239)+Inputs!$E$5*(Q239+S239)</f>
        <v>5650.27671070636</v>
      </c>
    </row>
    <row r="240" customFormat="false" ht="15" hidden="false" customHeight="false" outlineLevel="0" collapsed="false">
      <c r="A240" s="1" t="n">
        <v>236</v>
      </c>
      <c r="B240" s="81" t="n">
        <f aca="true">RAND()</f>
        <v>0.186710721143191</v>
      </c>
      <c r="C240" s="82" t="n">
        <f aca="false">ROUND(IF(B240&lt;(Inputs!$E$8-Inputs!$D$8)/(Inputs!$F$8-Inputs!$D$8),Inputs!$D$8+SQRT(B240*(Inputs!$F$8-Inputs!$D$8)*(Inputs!$E$8-Inputs!$D$8)),Inputs!$F$8-SQRT((1-B240)*(Inputs!$F$8-Inputs!$D$8)*(Inputs!$F$8-Inputs!$E$8))),0)</f>
        <v>23</v>
      </c>
      <c r="D240" s="81" t="n">
        <f aca="true">RAND()</f>
        <v>0.0498833303692141</v>
      </c>
      <c r="E240" s="83" t="n">
        <f aca="false">IF(D240&lt;(Inputs!$E$10-Inputs!$D$10)/(Inputs!$F$10-Inputs!$D$10),Inputs!$D$10+SQRT(D240*(Inputs!$F$10-Inputs!$D$10)*(Inputs!$E$10-Inputs!$D$10)),Inputs!$F$10-SQRT((1-D240)*(Inputs!$F$10-Inputs!$D$10)*(Inputs!$F$10-Inputs!$E$10)))</f>
        <v>0.0223345764162238</v>
      </c>
      <c r="F240" s="81" t="n">
        <f aca="true">RAND()</f>
        <v>0.373150725916526</v>
      </c>
      <c r="G240" s="83" t="n">
        <f aca="false">IF(F240&lt;(Inputs!$E$15-Inputs!$D$15)/(Inputs!$F$15-Inputs!$D$15),Inputs!$D$15+SQRT(F240*(Inputs!$F$15-Inputs!$D$15)*(Inputs!$E$15-Inputs!$D$15)),Inputs!$F$15-SQRT((1-F240)*(Inputs!$F$15-Inputs!$D$15)*(Inputs!$F$15-Inputs!$E$15)))</f>
        <v>0.68638874069189</v>
      </c>
      <c r="H240" s="81" t="n">
        <f aca="true">RAND()</f>
        <v>0.709584354228702</v>
      </c>
      <c r="I240" s="82" t="n">
        <f aca="false">ROUND(IF(H240&lt;(Inputs!$E$17-Inputs!$D$17)/(Inputs!$F$17-Inputs!$D$17),Inputs!$D$17+SQRT(H240*(Inputs!$F$17-Inputs!$D$17)*(Inputs!$E$17-Inputs!$D$17)),Inputs!$F$17-SQRT((1-H240)*(Inputs!$F$17-Inputs!$D$17)*(Inputs!$F$17-Inputs!$E$17))),0)</f>
        <v>108</v>
      </c>
      <c r="J240" s="81" t="n">
        <f aca="true">RAND()</f>
        <v>0.022418019483353</v>
      </c>
      <c r="K240" s="83" t="n">
        <f aca="false">IF(J240&lt;(Inputs!$E$18-Inputs!$D$18)/(Inputs!$F$18-Inputs!$D$18),Inputs!$D$18+SQRT(J240*(Inputs!$F$18-Inputs!$D$18)*(Inputs!$E$18-Inputs!$D$18)),Inputs!$F$18-SQRT((1-J240)*(Inputs!$F$18-Inputs!$D$18)*(Inputs!$F$18-Inputs!$E$18)))</f>
        <v>0.928011259913066</v>
      </c>
      <c r="L240" s="81" t="n">
        <f aca="true">RAND()</f>
        <v>0.218723240599968</v>
      </c>
      <c r="M240" s="83" t="n">
        <f aca="false">IF(L240&lt;(Inputs!$E$24-Inputs!$D$24)/(Inputs!$F$24-Inputs!$D$24),Inputs!$D$24+SQRT(L240*(Inputs!$F$24-Inputs!$D$24)*(Inputs!$E$24-Inputs!$D$24)),Inputs!$F$24-SQRT((1-L240)*(Inputs!$F$24-Inputs!$D$24)*(Inputs!$F$24-Inputs!$E$24)))</f>
        <v>0.762008607400953</v>
      </c>
      <c r="N240" s="81" t="n">
        <f aca="true">RAND()</f>
        <v>0.573099221060555</v>
      </c>
      <c r="O240" s="83" t="n">
        <f aca="false">IF(N240&lt;(Inputs!$E$26-Inputs!$D$26)/(Inputs!$F$26-Inputs!$D$26),Inputs!$D$26+SQRT(N240*(Inputs!$F$26-Inputs!$D$26)*(Inputs!$E$26-Inputs!$D$26)),Inputs!$F$26-SQRT((1-N240)*(Inputs!$F$26-Inputs!$D$26)*(Inputs!$F$26-Inputs!$E$26)))</f>
        <v>0.608810152657707</v>
      </c>
      <c r="P240" s="81" t="n">
        <f aca="true">RAND()</f>
        <v>0.658136495939009</v>
      </c>
      <c r="Q240" s="82" t="n">
        <f aca="false">IF(P240&lt;(Inputs!$E$27-Inputs!$D$27)/(Inputs!$F$27-Inputs!$D$27),Inputs!$D$27+SQRT(P240*(Inputs!$F$27-Inputs!$D$27)*(Inputs!$E$27-Inputs!$D$27)),Inputs!$F$27-SQRT((1-P240)*(Inputs!$F$27-Inputs!$D$27)*(Inputs!$F$27-Inputs!$E$27)))</f>
        <v>99.364278612254</v>
      </c>
      <c r="R240" s="81" t="n">
        <f aca="true">RAND()</f>
        <v>0.598643410826043</v>
      </c>
      <c r="S240" s="82" t="n">
        <f aca="false">IF(R240&lt;(Inputs!$E$29-Inputs!$D$29)/(Inputs!$F$29-Inputs!$D$29),Inputs!$D$29+SQRT(R240*(Inputs!$F$29-Inputs!$D$29)*(Inputs!$E$29-Inputs!$D$29)),Inputs!$F$29-SQRT((1-R240)*(Inputs!$F$29-Inputs!$D$29)*(Inputs!$F$29-Inputs!$E$29)))</f>
        <v>7.77667966980458</v>
      </c>
      <c r="T240" s="68" t="n">
        <f aca="false">Inputs!$E$9*(1+E240)+Inputs!$E$5*C240*(Inputs!$E$11*Inputs!$E$14*(G240*I240/Inputs!$E$16+(1-G240))*K240+Inputs!$E$23*M240)*(1+O240)+Inputs!$E$5*(Q240+S240)</f>
        <v>5679.09924917356</v>
      </c>
    </row>
    <row r="241" customFormat="false" ht="15" hidden="false" customHeight="false" outlineLevel="0" collapsed="false">
      <c r="A241" s="1" t="n">
        <v>237</v>
      </c>
      <c r="B241" s="81" t="n">
        <f aca="true">RAND()</f>
        <v>0.0662671193320299</v>
      </c>
      <c r="C241" s="82" t="n">
        <f aca="false">ROUND(IF(B241&lt;(Inputs!$E$8-Inputs!$D$8)/(Inputs!$F$8-Inputs!$D$8),Inputs!$D$8+SQRT(B241*(Inputs!$F$8-Inputs!$D$8)*(Inputs!$E$8-Inputs!$D$8)),Inputs!$F$8-SQRT((1-B241)*(Inputs!$F$8-Inputs!$D$8)*(Inputs!$F$8-Inputs!$E$8))),0)</f>
        <v>22</v>
      </c>
      <c r="D241" s="81" t="n">
        <f aca="true">RAND()</f>
        <v>0.522809370882962</v>
      </c>
      <c r="E241" s="83" t="n">
        <f aca="false">IF(D241&lt;(Inputs!$E$10-Inputs!$D$10)/(Inputs!$F$10-Inputs!$D$10),Inputs!$D$10+SQRT(D241*(Inputs!$F$10-Inputs!$D$10)*(Inputs!$E$10-Inputs!$D$10)),Inputs!$F$10-SQRT((1-D241)*(Inputs!$F$10-Inputs!$D$10)*(Inputs!$F$10-Inputs!$E$10)))</f>
        <v>0.0803516867084574</v>
      </c>
      <c r="F241" s="81" t="n">
        <f aca="true">RAND()</f>
        <v>0.27681638028423</v>
      </c>
      <c r="G241" s="83" t="n">
        <f aca="false">IF(F241&lt;(Inputs!$E$15-Inputs!$D$15)/(Inputs!$F$15-Inputs!$D$15),Inputs!$D$15+SQRT(F241*(Inputs!$F$15-Inputs!$D$15)*(Inputs!$E$15-Inputs!$D$15)),Inputs!$F$15-SQRT((1-F241)*(Inputs!$F$15-Inputs!$D$15)*(Inputs!$F$15-Inputs!$E$15)))</f>
        <v>0.674406502442223</v>
      </c>
      <c r="H241" s="81" t="n">
        <f aca="true">RAND()</f>
        <v>0.818603900387823</v>
      </c>
      <c r="I241" s="82" t="n">
        <f aca="false">ROUND(IF(H241&lt;(Inputs!$E$17-Inputs!$D$17)/(Inputs!$F$17-Inputs!$D$17),Inputs!$D$17+SQRT(H241*(Inputs!$F$17-Inputs!$D$17)*(Inputs!$E$17-Inputs!$D$17)),Inputs!$F$17-SQRT((1-H241)*(Inputs!$F$17-Inputs!$D$17)*(Inputs!$F$17-Inputs!$E$17))),0)</f>
        <v>110</v>
      </c>
      <c r="J241" s="81" t="n">
        <f aca="true">RAND()</f>
        <v>0.446836138184246</v>
      </c>
      <c r="K241" s="83" t="n">
        <f aca="false">IF(J241&lt;(Inputs!$E$18-Inputs!$D$18)/(Inputs!$F$18-Inputs!$D$18),Inputs!$D$18+SQRT(J241*(Inputs!$F$18-Inputs!$D$18)*(Inputs!$E$18-Inputs!$D$18)),Inputs!$F$18-SQRT((1-J241)*(Inputs!$F$18-Inputs!$D$18)*(Inputs!$F$18-Inputs!$E$18)))</f>
        <v>1.02999582297402</v>
      </c>
      <c r="L241" s="81" t="n">
        <f aca="true">RAND()</f>
        <v>0.649267073405772</v>
      </c>
      <c r="M241" s="83" t="n">
        <f aca="false">IF(L241&lt;(Inputs!$E$24-Inputs!$D$24)/(Inputs!$F$24-Inputs!$D$24),Inputs!$D$24+SQRT(L241*(Inputs!$F$24-Inputs!$D$24)*(Inputs!$E$24-Inputs!$D$24)),Inputs!$F$24-SQRT((1-L241)*(Inputs!$F$24-Inputs!$D$24)*(Inputs!$F$24-Inputs!$E$24)))</f>
        <v>0.909869163337272</v>
      </c>
      <c r="N241" s="81" t="n">
        <f aca="true">RAND()</f>
        <v>2.79593344635311E-005</v>
      </c>
      <c r="O241" s="83" t="n">
        <f aca="false">IF(N241&lt;(Inputs!$E$26-Inputs!$D$26)/(Inputs!$F$26-Inputs!$D$26),Inputs!$D$26+SQRT(N241*(Inputs!$F$26-Inputs!$D$26)*(Inputs!$E$26-Inputs!$D$26)),Inputs!$F$26-SQRT((1-N241)*(Inputs!$F$26-Inputs!$D$26)*(Inputs!$F$26-Inputs!$E$26)))</f>
        <v>0.302156949988927</v>
      </c>
      <c r="P241" s="81" t="n">
        <f aca="true">RAND()</f>
        <v>0.892924538692566</v>
      </c>
      <c r="Q241" s="82" t="n">
        <f aca="false">IF(P241&lt;(Inputs!$E$27-Inputs!$D$27)/(Inputs!$F$27-Inputs!$D$27),Inputs!$D$27+SQRT(P241*(Inputs!$F$27-Inputs!$D$27)*(Inputs!$E$27-Inputs!$D$27)),Inputs!$F$27-SQRT((1-P241)*(Inputs!$F$27-Inputs!$D$27)*(Inputs!$F$27-Inputs!$E$27)))</f>
        <v>121.661581557791</v>
      </c>
      <c r="R241" s="81" t="n">
        <f aca="true">RAND()</f>
        <v>0.651876707367825</v>
      </c>
      <c r="S241" s="82" t="n">
        <f aca="false">IF(R241&lt;(Inputs!$E$29-Inputs!$D$29)/(Inputs!$F$29-Inputs!$D$29),Inputs!$D$29+SQRT(R241*(Inputs!$F$29-Inputs!$D$29)*(Inputs!$E$29-Inputs!$D$29)),Inputs!$F$29-SQRT((1-R241)*(Inputs!$F$29-Inputs!$D$29)*(Inputs!$F$29-Inputs!$E$29)))</f>
        <v>8.27273993053764</v>
      </c>
      <c r="T241" s="68" t="n">
        <f aca="false">Inputs!$E$9*(1+E241)+Inputs!$E$5*C241*(Inputs!$E$11*Inputs!$E$14*(G241*I241/Inputs!$E$16+(1-G241))*K241+Inputs!$E$23*M241)*(1+O241)+Inputs!$E$5*(Q241+S241)</f>
        <v>5606.81567831011</v>
      </c>
    </row>
    <row r="242" customFormat="false" ht="15" hidden="false" customHeight="false" outlineLevel="0" collapsed="false">
      <c r="A242" s="1" t="n">
        <v>238</v>
      </c>
      <c r="B242" s="81" t="n">
        <f aca="true">RAND()</f>
        <v>0.720990566497958</v>
      </c>
      <c r="C242" s="82" t="n">
        <f aca="false">ROUND(IF(B242&lt;(Inputs!$E$8-Inputs!$D$8)/(Inputs!$F$8-Inputs!$D$8),Inputs!$D$8+SQRT(B242*(Inputs!$F$8-Inputs!$D$8)*(Inputs!$E$8-Inputs!$D$8)),Inputs!$F$8-SQRT((1-B242)*(Inputs!$F$8-Inputs!$D$8)*(Inputs!$F$8-Inputs!$E$8))),0)</f>
        <v>26</v>
      </c>
      <c r="D242" s="81" t="n">
        <f aca="true">RAND()</f>
        <v>0.72536925472916</v>
      </c>
      <c r="E242" s="83" t="n">
        <f aca="false">IF(D242&lt;(Inputs!$E$10-Inputs!$D$10)/(Inputs!$F$10-Inputs!$D$10),Inputs!$D$10+SQRT(D242*(Inputs!$F$10-Inputs!$D$10)*(Inputs!$E$10-Inputs!$D$10)),Inputs!$F$10-SQRT((1-D242)*(Inputs!$F$10-Inputs!$D$10)*(Inputs!$F$10-Inputs!$E$10)))</f>
        <v>0.109231490272644</v>
      </c>
      <c r="F242" s="81" t="n">
        <f aca="true">RAND()</f>
        <v>0.422745973349419</v>
      </c>
      <c r="G242" s="83" t="n">
        <f aca="false">IF(F242&lt;(Inputs!$E$15-Inputs!$D$15)/(Inputs!$F$15-Inputs!$D$15),Inputs!$D$15+SQRT(F242*(Inputs!$F$15-Inputs!$D$15)*(Inputs!$E$15-Inputs!$D$15)),Inputs!$F$15-SQRT((1-F242)*(Inputs!$F$15-Inputs!$D$15)*(Inputs!$F$15-Inputs!$E$15)))</f>
        <v>0.691950636033626</v>
      </c>
      <c r="H242" s="81" t="n">
        <f aca="true">RAND()</f>
        <v>0.588694405939709</v>
      </c>
      <c r="I242" s="82" t="n">
        <f aca="false">ROUND(IF(H242&lt;(Inputs!$E$17-Inputs!$D$17)/(Inputs!$F$17-Inputs!$D$17),Inputs!$D$17+SQRT(H242*(Inputs!$F$17-Inputs!$D$17)*(Inputs!$E$17-Inputs!$D$17)),Inputs!$F$17-SQRT((1-H242)*(Inputs!$F$17-Inputs!$D$17)*(Inputs!$F$17-Inputs!$E$17))),0)</f>
        <v>107</v>
      </c>
      <c r="J242" s="81" t="n">
        <f aca="true">RAND()</f>
        <v>0.525684357417538</v>
      </c>
      <c r="K242" s="83" t="n">
        <f aca="false">IF(J242&lt;(Inputs!$E$18-Inputs!$D$18)/(Inputs!$F$18-Inputs!$D$18),Inputs!$D$18+SQRT(J242*(Inputs!$F$18-Inputs!$D$18)*(Inputs!$E$18-Inputs!$D$18)),Inputs!$F$18-SQRT((1-J242)*(Inputs!$F$18-Inputs!$D$18)*(Inputs!$F$18-Inputs!$E$18)))</f>
        <v>1.04627808481667</v>
      </c>
      <c r="L242" s="81" t="n">
        <f aca="true">RAND()</f>
        <v>0.184034003644692</v>
      </c>
      <c r="M242" s="83" t="n">
        <f aca="false">IF(L242&lt;(Inputs!$E$24-Inputs!$D$24)/(Inputs!$F$24-Inputs!$D$24),Inputs!$D$24+SQRT(L242*(Inputs!$F$24-Inputs!$D$24)*(Inputs!$E$24-Inputs!$D$24)),Inputs!$F$24-SQRT((1-L242)*(Inputs!$F$24-Inputs!$D$24)*(Inputs!$F$24-Inputs!$E$24)))</f>
        <v>0.748607134543948</v>
      </c>
      <c r="N242" s="81" t="n">
        <f aca="true">RAND()</f>
        <v>0.93429983031222</v>
      </c>
      <c r="O242" s="83" t="n">
        <f aca="false">IF(N242&lt;(Inputs!$E$26-Inputs!$D$26)/(Inputs!$F$26-Inputs!$D$26),Inputs!$D$26+SQRT(N242*(Inputs!$F$26-Inputs!$D$26)*(Inputs!$E$26-Inputs!$D$26)),Inputs!$F$26-SQRT((1-N242)*(Inputs!$F$26-Inputs!$D$26)*(Inputs!$F$26-Inputs!$E$26)))</f>
        <v>0.737339140776731</v>
      </c>
      <c r="P242" s="81" t="n">
        <f aca="true">RAND()</f>
        <v>0.174600176785141</v>
      </c>
      <c r="Q242" s="82" t="n">
        <f aca="false">IF(P242&lt;(Inputs!$E$27-Inputs!$D$27)/(Inputs!$F$27-Inputs!$D$27),Inputs!$D$27+SQRT(P242*(Inputs!$F$27-Inputs!$D$27)*(Inputs!$E$27-Inputs!$D$27)),Inputs!$F$27-SQRT((1-P242)*(Inputs!$F$27-Inputs!$D$27)*(Inputs!$F$27-Inputs!$E$27)))</f>
        <v>70.8925929928013</v>
      </c>
      <c r="R242" s="81" t="n">
        <f aca="true">RAND()</f>
        <v>0.944617129929992</v>
      </c>
      <c r="S242" s="82" t="n">
        <f aca="false">IF(R242&lt;(Inputs!$E$29-Inputs!$D$29)/(Inputs!$F$29-Inputs!$D$29),Inputs!$D$29+SQRT(R242*(Inputs!$F$29-Inputs!$D$29)*(Inputs!$E$29-Inputs!$D$29)),Inputs!$F$29-SQRT((1-R242)*(Inputs!$F$29-Inputs!$D$29)*(Inputs!$F$29-Inputs!$E$29)))</f>
        <v>12.3167607059561</v>
      </c>
      <c r="T242" s="68" t="n">
        <f aca="false">Inputs!$E$9*(1+E242)+Inputs!$E$5*C242*(Inputs!$E$11*Inputs!$E$14*(G242*I242/Inputs!$E$16+(1-G242))*K242+Inputs!$E$23*M242)*(1+O242)+Inputs!$E$5*(Q242+S242)</f>
        <v>6639.76992561598</v>
      </c>
    </row>
    <row r="243" customFormat="false" ht="15" hidden="false" customHeight="false" outlineLevel="0" collapsed="false">
      <c r="A243" s="1" t="n">
        <v>239</v>
      </c>
      <c r="B243" s="81" t="n">
        <f aca="true">RAND()</f>
        <v>0.644796124507382</v>
      </c>
      <c r="C243" s="82" t="n">
        <f aca="false">ROUND(IF(B243&lt;(Inputs!$E$8-Inputs!$D$8)/(Inputs!$F$8-Inputs!$D$8),Inputs!$D$8+SQRT(B243*(Inputs!$F$8-Inputs!$D$8)*(Inputs!$E$8-Inputs!$D$8)),Inputs!$F$8-SQRT((1-B243)*(Inputs!$F$8-Inputs!$D$8)*(Inputs!$F$8-Inputs!$E$8))),0)</f>
        <v>26</v>
      </c>
      <c r="D243" s="81" t="n">
        <f aca="true">RAND()</f>
        <v>0.891088241333408</v>
      </c>
      <c r="E243" s="83" t="n">
        <f aca="false">IF(D243&lt;(Inputs!$E$10-Inputs!$D$10)/(Inputs!$F$10-Inputs!$D$10),Inputs!$D$10+SQRT(D243*(Inputs!$F$10-Inputs!$D$10)*(Inputs!$E$10-Inputs!$D$10)),Inputs!$F$10-SQRT((1-D243)*(Inputs!$F$10-Inputs!$D$10)*(Inputs!$F$10-Inputs!$E$10)))</f>
        <v>0.142839237583831</v>
      </c>
      <c r="F243" s="81" t="n">
        <f aca="true">RAND()</f>
        <v>0.64444734261961</v>
      </c>
      <c r="G243" s="83" t="n">
        <f aca="false">IF(F243&lt;(Inputs!$E$15-Inputs!$D$15)/(Inputs!$F$15-Inputs!$D$15),Inputs!$D$15+SQRT(F243*(Inputs!$F$15-Inputs!$D$15)*(Inputs!$E$15-Inputs!$D$15)),Inputs!$F$15-SQRT((1-F243)*(Inputs!$F$15-Inputs!$D$15)*(Inputs!$F$15-Inputs!$E$15)))</f>
        <v>0.71567293941084</v>
      </c>
      <c r="H243" s="81" t="n">
        <f aca="true">RAND()</f>
        <v>0.433323864449703</v>
      </c>
      <c r="I243" s="82" t="n">
        <f aca="false">ROUND(IF(H243&lt;(Inputs!$E$17-Inputs!$D$17)/(Inputs!$F$17-Inputs!$D$17),Inputs!$D$17+SQRT(H243*(Inputs!$F$17-Inputs!$D$17)*(Inputs!$E$17-Inputs!$D$17)),Inputs!$F$17-SQRT((1-H243)*(Inputs!$F$17-Inputs!$D$17)*(Inputs!$F$17-Inputs!$E$17))),0)</f>
        <v>106</v>
      </c>
      <c r="J243" s="81" t="n">
        <f aca="true">RAND()</f>
        <v>0.227737819003677</v>
      </c>
      <c r="K243" s="83" t="n">
        <f aca="false">IF(J243&lt;(Inputs!$E$18-Inputs!$D$18)/(Inputs!$F$18-Inputs!$D$18),Inputs!$D$18+SQRT(J243*(Inputs!$F$18-Inputs!$D$18)*(Inputs!$E$18-Inputs!$D$18)),Inputs!$F$18-SQRT((1-J243)*(Inputs!$F$18-Inputs!$D$18)*(Inputs!$F$18-Inputs!$E$18)))</f>
        <v>0.989279469449189</v>
      </c>
      <c r="L243" s="81" t="n">
        <f aca="true">RAND()</f>
        <v>0.987900345325227</v>
      </c>
      <c r="M243" s="83" t="n">
        <f aca="false">IF(L243&lt;(Inputs!$E$24-Inputs!$D$24)/(Inputs!$F$24-Inputs!$D$24),Inputs!$D$24+SQRT(L243*(Inputs!$F$24-Inputs!$D$24)*(Inputs!$E$24-Inputs!$D$24)),Inputs!$F$24-SQRT((1-L243)*(Inputs!$F$24-Inputs!$D$24)*(Inputs!$F$24-Inputs!$E$24)))</f>
        <v>1.14611199463753</v>
      </c>
      <c r="N243" s="81" t="n">
        <f aca="true">RAND()</f>
        <v>0.494067033774068</v>
      </c>
      <c r="O243" s="83" t="n">
        <f aca="false">IF(N243&lt;(Inputs!$E$26-Inputs!$D$26)/(Inputs!$F$26-Inputs!$D$26),Inputs!$D$26+SQRT(N243*(Inputs!$F$26-Inputs!$D$26)*(Inputs!$E$26-Inputs!$D$26)),Inputs!$F$26-SQRT((1-N243)*(Inputs!$F$26-Inputs!$D$26)*(Inputs!$F$26-Inputs!$E$26)))</f>
        <v>0.58672766594803</v>
      </c>
      <c r="P243" s="81" t="n">
        <f aca="true">RAND()</f>
        <v>0.807693575426285</v>
      </c>
      <c r="Q243" s="82" t="n">
        <f aca="false">IF(P243&lt;(Inputs!$E$27-Inputs!$D$27)/(Inputs!$F$27-Inputs!$D$27),Inputs!$D$27+SQRT(P243*(Inputs!$F$27-Inputs!$D$27)*(Inputs!$E$27-Inputs!$D$27)),Inputs!$F$27-SQRT((1-P243)*(Inputs!$F$27-Inputs!$D$27)*(Inputs!$F$27-Inputs!$E$27)))</f>
        <v>112.022398913269</v>
      </c>
      <c r="R243" s="81" t="n">
        <f aca="true">RAND()</f>
        <v>0.452102003254561</v>
      </c>
      <c r="S243" s="82" t="n">
        <f aca="false">IF(R243&lt;(Inputs!$E$29-Inputs!$D$29)/(Inputs!$F$29-Inputs!$D$29),Inputs!$D$29+SQRT(R243*(Inputs!$F$29-Inputs!$D$29)*(Inputs!$E$29-Inputs!$D$29)),Inputs!$F$29-SQRT((1-R243)*(Inputs!$F$29-Inputs!$D$29)*(Inputs!$F$29-Inputs!$E$29)))</f>
        <v>6.56040643295501</v>
      </c>
      <c r="T243" s="68" t="n">
        <f aca="false">Inputs!$E$9*(1+E243)+Inputs!$E$5*C243*(Inputs!$E$11*Inputs!$E$14*(G243*I243/Inputs!$E$16+(1-G243))*K243+Inputs!$E$23*M243)*(1+O243)+Inputs!$E$5*(Q243+S243)</f>
        <v>6975.3809681638</v>
      </c>
    </row>
    <row r="244" customFormat="false" ht="15" hidden="false" customHeight="false" outlineLevel="0" collapsed="false">
      <c r="A244" s="1" t="n">
        <v>240</v>
      </c>
      <c r="B244" s="81" t="n">
        <f aca="true">RAND()</f>
        <v>0.478243530875535</v>
      </c>
      <c r="C244" s="82" t="n">
        <f aca="false">ROUND(IF(B244&lt;(Inputs!$E$8-Inputs!$D$8)/(Inputs!$F$8-Inputs!$D$8),Inputs!$D$8+SQRT(B244*(Inputs!$F$8-Inputs!$D$8)*(Inputs!$E$8-Inputs!$D$8)),Inputs!$F$8-SQRT((1-B244)*(Inputs!$F$8-Inputs!$D$8)*(Inputs!$F$8-Inputs!$E$8))),0)</f>
        <v>25</v>
      </c>
      <c r="D244" s="81" t="n">
        <f aca="true">RAND()</f>
        <v>0.197522320640976</v>
      </c>
      <c r="E244" s="83" t="n">
        <f aca="false">IF(D244&lt;(Inputs!$E$10-Inputs!$D$10)/(Inputs!$F$10-Inputs!$D$10),Inputs!$D$10+SQRT(D244*(Inputs!$F$10-Inputs!$D$10)*(Inputs!$E$10-Inputs!$D$10)),Inputs!$F$10-SQRT((1-D244)*(Inputs!$F$10-Inputs!$D$10)*(Inputs!$F$10-Inputs!$E$10)))</f>
        <v>0.044443483283939</v>
      </c>
      <c r="F244" s="81" t="n">
        <f aca="true">RAND()</f>
        <v>0.130229323157602</v>
      </c>
      <c r="G244" s="83" t="n">
        <f aca="false">IF(F244&lt;(Inputs!$E$15-Inputs!$D$15)/(Inputs!$F$15-Inputs!$D$15),Inputs!$D$15+SQRT(F244*(Inputs!$F$15-Inputs!$D$15)*(Inputs!$E$15-Inputs!$D$15)),Inputs!$F$15-SQRT((1-F244)*(Inputs!$F$15-Inputs!$D$15)*(Inputs!$F$15-Inputs!$E$15)))</f>
        <v>0.651035149290974</v>
      </c>
      <c r="H244" s="81" t="n">
        <f aca="true">RAND()</f>
        <v>0.147894837175834</v>
      </c>
      <c r="I244" s="82" t="n">
        <f aca="false">ROUND(IF(H244&lt;(Inputs!$E$17-Inputs!$D$17)/(Inputs!$F$17-Inputs!$D$17),Inputs!$D$17+SQRT(H244*(Inputs!$F$17-Inputs!$D$17)*(Inputs!$E$17-Inputs!$D$17)),Inputs!$F$17-SQRT((1-H244)*(Inputs!$F$17-Inputs!$D$17)*(Inputs!$F$17-Inputs!$E$17))),0)</f>
        <v>103</v>
      </c>
      <c r="J244" s="81" t="n">
        <f aca="true">RAND()</f>
        <v>0.408455603751458</v>
      </c>
      <c r="K244" s="83" t="n">
        <f aca="false">IF(J244&lt;(Inputs!$E$18-Inputs!$D$18)/(Inputs!$F$18-Inputs!$D$18),Inputs!$D$18+SQRT(J244*(Inputs!$F$18-Inputs!$D$18)*(Inputs!$E$18-Inputs!$D$18)),Inputs!$F$18-SQRT((1-J244)*(Inputs!$F$18-Inputs!$D$18)*(Inputs!$F$18-Inputs!$E$18)))</f>
        <v>1.02249146242009</v>
      </c>
      <c r="L244" s="81" t="n">
        <f aca="true">RAND()</f>
        <v>0.395187122762574</v>
      </c>
      <c r="M244" s="83" t="n">
        <f aca="false">IF(L244&lt;(Inputs!$E$24-Inputs!$D$24)/(Inputs!$F$24-Inputs!$D$24),Inputs!$D$24+SQRT(L244*(Inputs!$F$24-Inputs!$D$24)*(Inputs!$E$24-Inputs!$D$24)),Inputs!$F$24-SQRT((1-L244)*(Inputs!$F$24-Inputs!$D$24)*(Inputs!$F$24-Inputs!$E$24)))</f>
        <v>0.81900775527974</v>
      </c>
      <c r="N244" s="81" t="n">
        <f aca="true">RAND()</f>
        <v>0.674746029929474</v>
      </c>
      <c r="O244" s="83" t="n">
        <f aca="false">IF(N244&lt;(Inputs!$E$26-Inputs!$D$26)/(Inputs!$F$26-Inputs!$D$26),Inputs!$D$26+SQRT(N244*(Inputs!$F$26-Inputs!$D$26)*(Inputs!$E$26-Inputs!$D$26)),Inputs!$F$26-SQRT((1-N244)*(Inputs!$F$26-Inputs!$D$26)*(Inputs!$F$26-Inputs!$E$26)))</f>
        <v>0.636080417335906</v>
      </c>
      <c r="P244" s="81" t="n">
        <f aca="true">RAND()</f>
        <v>0.615709984258996</v>
      </c>
      <c r="Q244" s="82" t="n">
        <f aca="false">IF(P244&lt;(Inputs!$E$27-Inputs!$D$27)/(Inputs!$F$27-Inputs!$D$27),Inputs!$D$27+SQRT(P244*(Inputs!$F$27-Inputs!$D$27)*(Inputs!$E$27-Inputs!$D$27)),Inputs!$F$27-SQRT((1-P244)*(Inputs!$F$27-Inputs!$D$27)*(Inputs!$F$27-Inputs!$E$27)))</f>
        <v>96.3141068989485</v>
      </c>
      <c r="R244" s="81" t="n">
        <f aca="true">RAND()</f>
        <v>0.971742687544571</v>
      </c>
      <c r="S244" s="82" t="n">
        <f aca="false">IF(R244&lt;(Inputs!$E$29-Inputs!$D$29)/(Inputs!$F$29-Inputs!$D$29),Inputs!$D$29+SQRT(R244*(Inputs!$F$29-Inputs!$D$29)*(Inputs!$E$29-Inputs!$D$29)),Inputs!$F$29-SQRT((1-R244)*(Inputs!$F$29-Inputs!$D$29)*(Inputs!$F$29-Inputs!$E$29)))</f>
        <v>13.0833752012442</v>
      </c>
      <c r="T244" s="68" t="n">
        <f aca="false">Inputs!$E$9*(1+E244)+Inputs!$E$5*C244*(Inputs!$E$11*Inputs!$E$14*(G244*I244/Inputs!$E$16+(1-G244))*K244+Inputs!$E$23*M244)*(1+O244)+Inputs!$E$5*(Q244+S244)</f>
        <v>6330.44653594545</v>
      </c>
    </row>
    <row r="245" customFormat="false" ht="15" hidden="false" customHeight="false" outlineLevel="0" collapsed="false">
      <c r="A245" s="1" t="n">
        <v>241</v>
      </c>
      <c r="B245" s="81" t="n">
        <f aca="true">RAND()</f>
        <v>0.493771785629089</v>
      </c>
      <c r="C245" s="82" t="n">
        <f aca="false">ROUND(IF(B245&lt;(Inputs!$E$8-Inputs!$D$8)/(Inputs!$F$8-Inputs!$D$8),Inputs!$D$8+SQRT(B245*(Inputs!$F$8-Inputs!$D$8)*(Inputs!$E$8-Inputs!$D$8)),Inputs!$F$8-SQRT((1-B245)*(Inputs!$F$8-Inputs!$D$8)*(Inputs!$F$8-Inputs!$E$8))),0)</f>
        <v>25</v>
      </c>
      <c r="D245" s="81" t="n">
        <f aca="true">RAND()</f>
        <v>0.862168941804872</v>
      </c>
      <c r="E245" s="83" t="n">
        <f aca="false">IF(D245&lt;(Inputs!$E$10-Inputs!$D$10)/(Inputs!$F$10-Inputs!$D$10),Inputs!$D$10+SQRT(D245*(Inputs!$F$10-Inputs!$D$10)*(Inputs!$E$10-Inputs!$D$10)),Inputs!$F$10-SQRT((1-D245)*(Inputs!$F$10-Inputs!$D$10)*(Inputs!$F$10-Inputs!$E$10)))</f>
        <v>0.135696565054005</v>
      </c>
      <c r="F245" s="81" t="n">
        <f aca="true">RAND()</f>
        <v>0.717212858527999</v>
      </c>
      <c r="G245" s="83" t="n">
        <f aca="false">IF(F245&lt;(Inputs!$E$15-Inputs!$D$15)/(Inputs!$F$15-Inputs!$D$15),Inputs!$D$15+SQRT(F245*(Inputs!$F$15-Inputs!$D$15)*(Inputs!$E$15-Inputs!$D$15)),Inputs!$F$15-SQRT((1-F245)*(Inputs!$F$15-Inputs!$D$15)*(Inputs!$F$15-Inputs!$E$15)))</f>
        <v>0.724795327077102</v>
      </c>
      <c r="H245" s="81" t="n">
        <f aca="true">RAND()</f>
        <v>0.239387513998178</v>
      </c>
      <c r="I245" s="82" t="n">
        <f aca="false">ROUND(IF(H245&lt;(Inputs!$E$17-Inputs!$D$17)/(Inputs!$F$17-Inputs!$D$17),Inputs!$D$17+SQRT(H245*(Inputs!$F$17-Inputs!$D$17)*(Inputs!$E$17-Inputs!$D$17)),Inputs!$F$17-SQRT((1-H245)*(Inputs!$F$17-Inputs!$D$17)*(Inputs!$F$17-Inputs!$E$17))),0)</f>
        <v>104</v>
      </c>
      <c r="J245" s="81" t="n">
        <f aca="true">RAND()</f>
        <v>0.711437850776</v>
      </c>
      <c r="K245" s="83" t="n">
        <f aca="false">IF(J245&lt;(Inputs!$E$18-Inputs!$D$18)/(Inputs!$F$18-Inputs!$D$18),Inputs!$D$18+SQRT(J245*(Inputs!$F$18-Inputs!$D$18)*(Inputs!$E$18-Inputs!$D$18)),Inputs!$F$18-SQRT((1-J245)*(Inputs!$F$18-Inputs!$D$18)*(Inputs!$F$18-Inputs!$E$18)))</f>
        <v>1.09110006904627</v>
      </c>
      <c r="L245" s="81" t="n">
        <f aca="true">RAND()</f>
        <v>0.687494973604232</v>
      </c>
      <c r="M245" s="83" t="n">
        <f aca="false">IF(L245&lt;(Inputs!$E$24-Inputs!$D$24)/(Inputs!$F$24-Inputs!$D$24),Inputs!$D$24+SQRT(L245*(Inputs!$F$24-Inputs!$D$24)*(Inputs!$E$24-Inputs!$D$24)),Inputs!$F$24-SQRT((1-L245)*(Inputs!$F$24-Inputs!$D$24)*(Inputs!$F$24-Inputs!$E$24)))</f>
        <v>0.926136518799997</v>
      </c>
      <c r="N245" s="81" t="n">
        <f aca="true">RAND()</f>
        <v>0.409508972925071</v>
      </c>
      <c r="O245" s="83" t="n">
        <f aca="false">IF(N245&lt;(Inputs!$E$26-Inputs!$D$26)/(Inputs!$F$26-Inputs!$D$26),Inputs!$D$26+SQRT(N245*(Inputs!$F$26-Inputs!$D$26)*(Inputs!$E$26-Inputs!$D$26)),Inputs!$F$26-SQRT((1-N245)*(Inputs!$F$26-Inputs!$D$26)*(Inputs!$F$26-Inputs!$E$26)))</f>
        <v>0.5610407881821</v>
      </c>
      <c r="P245" s="81" t="n">
        <f aca="true">RAND()</f>
        <v>0.0298150381630046</v>
      </c>
      <c r="Q245" s="82" t="n">
        <f aca="false">IF(P245&lt;(Inputs!$E$27-Inputs!$D$27)/(Inputs!$F$27-Inputs!$D$27),Inputs!$D$27+SQRT(P245*(Inputs!$F$27-Inputs!$D$27)*(Inputs!$E$27-Inputs!$D$27)),Inputs!$F$27-SQRT((1-P245)*(Inputs!$F$27-Inputs!$D$27)*(Inputs!$F$27-Inputs!$E$27)))</f>
        <v>58.6335158196132</v>
      </c>
      <c r="R245" s="81" t="n">
        <f aca="true">RAND()</f>
        <v>0.170096999138029</v>
      </c>
      <c r="S245" s="82" t="n">
        <f aca="false">IF(R245&lt;(Inputs!$E$29-Inputs!$D$29)/(Inputs!$F$29-Inputs!$D$29),Inputs!$D$29+SQRT(R245*(Inputs!$F$29-Inputs!$D$29)*(Inputs!$E$29-Inputs!$D$29)),Inputs!$F$29-SQRT((1-R245)*(Inputs!$F$29-Inputs!$D$29)*(Inputs!$F$29-Inputs!$E$29)))</f>
        <v>4.57561312436149</v>
      </c>
      <c r="T245" s="68" t="n">
        <f aca="false">Inputs!$E$9*(1+E245)+Inputs!$E$5*C245*(Inputs!$E$11*Inputs!$E$14*(G245*I245/Inputs!$E$16+(1-G245))*K245+Inputs!$E$23*M245)*(1+O245)+Inputs!$E$5*(Q245+S245)</f>
        <v>6341.77590405082</v>
      </c>
    </row>
    <row r="246" customFormat="false" ht="15" hidden="false" customHeight="false" outlineLevel="0" collapsed="false">
      <c r="A246" s="1" t="n">
        <v>242</v>
      </c>
      <c r="B246" s="81" t="n">
        <f aca="true">RAND()</f>
        <v>0.53317402114616</v>
      </c>
      <c r="C246" s="82" t="n">
        <f aca="false">ROUND(IF(B246&lt;(Inputs!$E$8-Inputs!$D$8)/(Inputs!$F$8-Inputs!$D$8),Inputs!$D$8+SQRT(B246*(Inputs!$F$8-Inputs!$D$8)*(Inputs!$E$8-Inputs!$D$8)),Inputs!$F$8-SQRT((1-B246)*(Inputs!$F$8-Inputs!$D$8)*(Inputs!$F$8-Inputs!$E$8))),0)</f>
        <v>25</v>
      </c>
      <c r="D246" s="81" t="n">
        <f aca="true">RAND()</f>
        <v>0.268703649101989</v>
      </c>
      <c r="E246" s="83" t="n">
        <f aca="false">IF(D246&lt;(Inputs!$E$10-Inputs!$D$10)/(Inputs!$F$10-Inputs!$D$10),Inputs!$D$10+SQRT(D246*(Inputs!$F$10-Inputs!$D$10)*(Inputs!$E$10-Inputs!$D$10)),Inputs!$F$10-SQRT((1-D246)*(Inputs!$F$10-Inputs!$D$10)*(Inputs!$F$10-Inputs!$E$10)))</f>
        <v>0.0518821735004854</v>
      </c>
      <c r="F246" s="81" t="n">
        <f aca="true">RAND()</f>
        <v>0.190693679573831</v>
      </c>
      <c r="G246" s="83" t="n">
        <f aca="false">IF(F246&lt;(Inputs!$E$15-Inputs!$D$15)/(Inputs!$F$15-Inputs!$D$15),Inputs!$D$15+SQRT(F246*(Inputs!$F$15-Inputs!$D$15)*(Inputs!$E$15-Inputs!$D$15)),Inputs!$F$15-SQRT((1-F246)*(Inputs!$F$15-Inputs!$D$15)*(Inputs!$F$15-Inputs!$E$15)))</f>
        <v>0.661756567193106</v>
      </c>
      <c r="H246" s="81" t="n">
        <f aca="true">RAND()</f>
        <v>0.465717467716965</v>
      </c>
      <c r="I246" s="82" t="n">
        <f aca="false">ROUND(IF(H246&lt;(Inputs!$E$17-Inputs!$D$17)/(Inputs!$F$17-Inputs!$D$17),Inputs!$D$17+SQRT(H246*(Inputs!$F$17-Inputs!$D$17)*(Inputs!$E$17-Inputs!$D$17)),Inputs!$F$17-SQRT((1-H246)*(Inputs!$F$17-Inputs!$D$17)*(Inputs!$F$17-Inputs!$E$17))),0)</f>
        <v>106</v>
      </c>
      <c r="J246" s="81" t="n">
        <f aca="true">RAND()</f>
        <v>0.741558969777776</v>
      </c>
      <c r="K246" s="83" t="n">
        <f aca="false">IF(J246&lt;(Inputs!$E$18-Inputs!$D$18)/(Inputs!$F$18-Inputs!$D$18),Inputs!$D$18+SQRT(J246*(Inputs!$F$18-Inputs!$D$18)*(Inputs!$E$18-Inputs!$D$18)),Inputs!$F$18-SQRT((1-J246)*(Inputs!$F$18-Inputs!$D$18)*(Inputs!$F$18-Inputs!$E$18)))</f>
        <v>1.09962184286126</v>
      </c>
      <c r="L246" s="81" t="n">
        <f aca="true">RAND()</f>
        <v>0.645326422814484</v>
      </c>
      <c r="M246" s="83" t="n">
        <f aca="false">IF(L246&lt;(Inputs!$E$24-Inputs!$D$24)/(Inputs!$F$24-Inputs!$D$24),Inputs!$D$24+SQRT(L246*(Inputs!$F$24-Inputs!$D$24)*(Inputs!$E$24-Inputs!$D$24)),Inputs!$F$24-SQRT((1-L246)*(Inputs!$F$24-Inputs!$D$24)*(Inputs!$F$24-Inputs!$E$24)))</f>
        <v>0.908243837212436</v>
      </c>
      <c r="N246" s="81" t="n">
        <f aca="true">RAND()</f>
        <v>0.132279208609266</v>
      </c>
      <c r="O246" s="83" t="n">
        <f aca="false">IF(N246&lt;(Inputs!$E$26-Inputs!$D$26)/(Inputs!$F$26-Inputs!$D$26),Inputs!$D$26+SQRT(N246*(Inputs!$F$26-Inputs!$D$26)*(Inputs!$E$26-Inputs!$D$26)),Inputs!$F$26-SQRT((1-N246)*(Inputs!$F$26-Inputs!$D$26)*(Inputs!$F$26-Inputs!$E$26)))</f>
        <v>0.448361923392028</v>
      </c>
      <c r="P246" s="81" t="n">
        <f aca="true">RAND()</f>
        <v>0.722417091782308</v>
      </c>
      <c r="Q246" s="82" t="n">
        <f aca="false">IF(P246&lt;(Inputs!$E$27-Inputs!$D$27)/(Inputs!$F$27-Inputs!$D$27),Inputs!$D$27+SQRT(P246*(Inputs!$F$27-Inputs!$D$27)*(Inputs!$E$27-Inputs!$D$27)),Inputs!$F$27-SQRT((1-P246)*(Inputs!$F$27-Inputs!$D$27)*(Inputs!$F$27-Inputs!$E$27)))</f>
        <v>104.372466518201</v>
      </c>
      <c r="R246" s="81" t="n">
        <f aca="true">RAND()</f>
        <v>0.0242262419512735</v>
      </c>
      <c r="S246" s="82" t="n">
        <f aca="false">IF(R246&lt;(Inputs!$E$29-Inputs!$D$29)/(Inputs!$F$29-Inputs!$D$29),Inputs!$D$29+SQRT(R246*(Inputs!$F$29-Inputs!$D$29)*(Inputs!$E$29-Inputs!$D$29)),Inputs!$F$29-SQRT((1-R246)*(Inputs!$F$29-Inputs!$D$29)*(Inputs!$F$29-Inputs!$E$29)))</f>
        <v>2.97202028584781</v>
      </c>
      <c r="T246" s="68" t="n">
        <f aca="false">Inputs!$E$9*(1+E246)+Inputs!$E$5*C246*(Inputs!$E$11*Inputs!$E$14*(G246*I246/Inputs!$E$16+(1-G246))*K246+Inputs!$E$23*M246)*(1+O246)+Inputs!$E$5*(Q246+S246)</f>
        <v>6223.15620295903</v>
      </c>
    </row>
    <row r="247" customFormat="false" ht="15" hidden="false" customHeight="false" outlineLevel="0" collapsed="false">
      <c r="A247" s="1" t="n">
        <v>243</v>
      </c>
      <c r="B247" s="81" t="n">
        <f aca="true">RAND()</f>
        <v>0.788968783766911</v>
      </c>
      <c r="C247" s="82" t="n">
        <f aca="false">ROUND(IF(B247&lt;(Inputs!$E$8-Inputs!$D$8)/(Inputs!$F$8-Inputs!$D$8),Inputs!$D$8+SQRT(B247*(Inputs!$F$8-Inputs!$D$8)*(Inputs!$E$8-Inputs!$D$8)),Inputs!$F$8-SQRT((1-B247)*(Inputs!$F$8-Inputs!$D$8)*(Inputs!$F$8-Inputs!$E$8))),0)</f>
        <v>27</v>
      </c>
      <c r="D247" s="81" t="n">
        <f aca="true">RAND()</f>
        <v>0.169425061036862</v>
      </c>
      <c r="E247" s="83" t="n">
        <f aca="false">IF(D247&lt;(Inputs!$E$10-Inputs!$D$10)/(Inputs!$F$10-Inputs!$D$10),Inputs!$D$10+SQRT(D247*(Inputs!$F$10-Inputs!$D$10)*(Inputs!$E$10-Inputs!$D$10)),Inputs!$F$10-SQRT((1-D247)*(Inputs!$F$10-Inputs!$D$10)*(Inputs!$F$10-Inputs!$E$10)))</f>
        <v>0.0411612756163925</v>
      </c>
      <c r="F247" s="81" t="n">
        <f aca="true">RAND()</f>
        <v>0.809694713387484</v>
      </c>
      <c r="G247" s="83" t="n">
        <f aca="false">IF(F247&lt;(Inputs!$E$15-Inputs!$D$15)/(Inputs!$F$15-Inputs!$D$15),Inputs!$D$15+SQRT(F247*(Inputs!$F$15-Inputs!$D$15)*(Inputs!$E$15-Inputs!$D$15)),Inputs!$F$15-SQRT((1-F247)*(Inputs!$F$15-Inputs!$D$15)*(Inputs!$F$15-Inputs!$E$15)))</f>
        <v>0.738306355819661</v>
      </c>
      <c r="H247" s="81" t="n">
        <f aca="true">RAND()</f>
        <v>0.133529706846579</v>
      </c>
      <c r="I247" s="82" t="n">
        <f aca="false">ROUND(IF(H247&lt;(Inputs!$E$17-Inputs!$D$17)/(Inputs!$F$17-Inputs!$D$17),Inputs!$D$17+SQRT(H247*(Inputs!$F$17-Inputs!$D$17)*(Inputs!$E$17-Inputs!$D$17)),Inputs!$F$17-SQRT((1-H247)*(Inputs!$F$17-Inputs!$D$17)*(Inputs!$F$17-Inputs!$E$17))),0)</f>
        <v>103</v>
      </c>
      <c r="J247" s="81" t="n">
        <f aca="true">RAND()</f>
        <v>0.30656275698987</v>
      </c>
      <c r="K247" s="83" t="n">
        <f aca="false">IF(J247&lt;(Inputs!$E$18-Inputs!$D$18)/(Inputs!$F$18-Inputs!$D$18),Inputs!$D$18+SQRT(J247*(Inputs!$F$18-Inputs!$D$18)*(Inputs!$E$18-Inputs!$D$18)),Inputs!$F$18-SQRT((1-J247)*(Inputs!$F$18-Inputs!$D$18)*(Inputs!$F$18-Inputs!$E$18)))</f>
        <v>1.00367550108975</v>
      </c>
      <c r="L247" s="81" t="n">
        <f aca="true">RAND()</f>
        <v>0.612037043205947</v>
      </c>
      <c r="M247" s="83" t="n">
        <f aca="false">IF(L247&lt;(Inputs!$E$24-Inputs!$D$24)/(Inputs!$F$24-Inputs!$D$24),Inputs!$D$24+SQRT(L247*(Inputs!$F$24-Inputs!$D$24)*(Inputs!$E$24-Inputs!$D$24)),Inputs!$F$24-SQRT((1-L247)*(Inputs!$F$24-Inputs!$D$24)*(Inputs!$F$24-Inputs!$E$24)))</f>
        <v>0.894858869323435</v>
      </c>
      <c r="N247" s="81" t="n">
        <f aca="true">RAND()</f>
        <v>0.680085248994912</v>
      </c>
      <c r="O247" s="83" t="n">
        <f aca="false">IF(N247&lt;(Inputs!$E$26-Inputs!$D$26)/(Inputs!$F$26-Inputs!$D$26),Inputs!$D$26+SQRT(N247*(Inputs!$F$26-Inputs!$D$26)*(Inputs!$E$26-Inputs!$D$26)),Inputs!$F$26-SQRT((1-N247)*(Inputs!$F$26-Inputs!$D$26)*(Inputs!$F$26-Inputs!$E$26)))</f>
        <v>0.637596233304986</v>
      </c>
      <c r="P247" s="81" t="n">
        <f aca="true">RAND()</f>
        <v>0.64769627914718</v>
      </c>
      <c r="Q247" s="82" t="n">
        <f aca="false">IF(P247&lt;(Inputs!$E$27-Inputs!$D$27)/(Inputs!$F$27-Inputs!$D$27),Inputs!$D$27+SQRT(P247*(Inputs!$F$27-Inputs!$D$27)*(Inputs!$E$27-Inputs!$D$27)),Inputs!$F$27-SQRT((1-P247)*(Inputs!$F$27-Inputs!$D$27)*(Inputs!$F$27-Inputs!$E$27)))</f>
        <v>98.5969076183528</v>
      </c>
      <c r="R247" s="81" t="n">
        <f aca="true">RAND()</f>
        <v>0.0695485330964891</v>
      </c>
      <c r="S247" s="82" t="n">
        <f aca="false">IF(R247&lt;(Inputs!$E$29-Inputs!$D$29)/(Inputs!$F$29-Inputs!$D$29),Inputs!$D$29+SQRT(R247*(Inputs!$F$29-Inputs!$D$29)*(Inputs!$E$29-Inputs!$D$29)),Inputs!$F$29-SQRT((1-R247)*(Inputs!$F$29-Inputs!$D$29)*(Inputs!$F$29-Inputs!$E$29)))</f>
        <v>3.64693436140093</v>
      </c>
      <c r="T247" s="68" t="n">
        <f aca="false">Inputs!$E$9*(1+E247)+Inputs!$E$5*C247*(Inputs!$E$11*Inputs!$E$14*(G247*I247/Inputs!$E$16+(1-G247))*K247+Inputs!$E$23*M247)*(1+O247)+Inputs!$E$5*(Q247+S247)</f>
        <v>6511.58296705975</v>
      </c>
    </row>
    <row r="248" customFormat="false" ht="15" hidden="false" customHeight="false" outlineLevel="0" collapsed="false">
      <c r="A248" s="1" t="n">
        <v>244</v>
      </c>
      <c r="B248" s="81" t="n">
        <f aca="true">RAND()</f>
        <v>0.405782014162925</v>
      </c>
      <c r="C248" s="82" t="n">
        <f aca="false">ROUND(IF(B248&lt;(Inputs!$E$8-Inputs!$D$8)/(Inputs!$F$8-Inputs!$D$8),Inputs!$D$8+SQRT(B248*(Inputs!$F$8-Inputs!$D$8)*(Inputs!$E$8-Inputs!$D$8)),Inputs!$F$8-SQRT((1-B248)*(Inputs!$F$8-Inputs!$D$8)*(Inputs!$F$8-Inputs!$E$8))),0)</f>
        <v>25</v>
      </c>
      <c r="D248" s="81" t="n">
        <f aca="true">RAND()</f>
        <v>0.288513319445936</v>
      </c>
      <c r="E248" s="83" t="n">
        <f aca="false">IF(D248&lt;(Inputs!$E$10-Inputs!$D$10)/(Inputs!$F$10-Inputs!$D$10),Inputs!$D$10+SQRT(D248*(Inputs!$F$10-Inputs!$D$10)*(Inputs!$E$10-Inputs!$D$10)),Inputs!$F$10-SQRT((1-D248)*(Inputs!$F$10-Inputs!$D$10)*(Inputs!$F$10-Inputs!$E$10)))</f>
        <v>0.0539020862003091</v>
      </c>
      <c r="F248" s="81" t="n">
        <f aca="true">RAND()</f>
        <v>0.815614233144708</v>
      </c>
      <c r="G248" s="83" t="n">
        <f aca="false">IF(F248&lt;(Inputs!$E$15-Inputs!$D$15)/(Inputs!$F$15-Inputs!$D$15),Inputs!$D$15+SQRT(F248*(Inputs!$F$15-Inputs!$D$15)*(Inputs!$E$15-Inputs!$D$15)),Inputs!$F$15-SQRT((1-F248)*(Inputs!$F$15-Inputs!$D$15)*(Inputs!$F$15-Inputs!$E$15)))</f>
        <v>0.739273437960759</v>
      </c>
      <c r="H248" s="81" t="n">
        <f aca="true">RAND()</f>
        <v>0.423130892495378</v>
      </c>
      <c r="I248" s="82" t="n">
        <f aca="false">ROUND(IF(H248&lt;(Inputs!$E$17-Inputs!$D$17)/(Inputs!$F$17-Inputs!$D$17),Inputs!$D$17+SQRT(H248*(Inputs!$F$17-Inputs!$D$17)*(Inputs!$E$17-Inputs!$D$17)),Inputs!$F$17-SQRT((1-H248)*(Inputs!$F$17-Inputs!$D$17)*(Inputs!$F$17-Inputs!$E$17))),0)</f>
        <v>106</v>
      </c>
      <c r="J248" s="81" t="n">
        <f aca="true">RAND()</f>
        <v>0.458383699567773</v>
      </c>
      <c r="K248" s="83" t="n">
        <f aca="false">IF(J248&lt;(Inputs!$E$18-Inputs!$D$18)/(Inputs!$F$18-Inputs!$D$18),Inputs!$D$18+SQRT(J248*(Inputs!$F$18-Inputs!$D$18)*(Inputs!$E$18-Inputs!$D$18)),Inputs!$F$18-SQRT((1-J248)*(Inputs!$F$18-Inputs!$D$18)*(Inputs!$F$18-Inputs!$E$18)))</f>
        <v>1.03230428050184</v>
      </c>
      <c r="L248" s="81" t="n">
        <f aca="true">RAND()</f>
        <v>0.391791878177649</v>
      </c>
      <c r="M248" s="83" t="n">
        <f aca="false">IF(L248&lt;(Inputs!$E$24-Inputs!$D$24)/(Inputs!$F$24-Inputs!$D$24),Inputs!$D$24+SQRT(L248*(Inputs!$F$24-Inputs!$D$24)*(Inputs!$E$24-Inputs!$D$24)),Inputs!$F$24-SQRT((1-L248)*(Inputs!$F$24-Inputs!$D$24)*(Inputs!$F$24-Inputs!$E$24)))</f>
        <v>0.817939861752938</v>
      </c>
      <c r="N248" s="81" t="n">
        <f aca="true">RAND()</f>
        <v>0.324071593342577</v>
      </c>
      <c r="O248" s="83" t="n">
        <f aca="false">IF(N248&lt;(Inputs!$E$26-Inputs!$D$26)/(Inputs!$F$26-Inputs!$D$26),Inputs!$D$26+SQRT(N248*(Inputs!$F$26-Inputs!$D$26)*(Inputs!$E$26-Inputs!$D$26)),Inputs!$F$26-SQRT((1-N248)*(Inputs!$F$26-Inputs!$D$26)*(Inputs!$F$26-Inputs!$E$26)))</f>
        <v>0.532218675244272</v>
      </c>
      <c r="P248" s="81" t="n">
        <f aca="true">RAND()</f>
        <v>0.128357747514537</v>
      </c>
      <c r="Q248" s="82" t="n">
        <f aca="false">IF(P248&lt;(Inputs!$E$27-Inputs!$D$27)/(Inputs!$F$27-Inputs!$D$27),Inputs!$D$27+SQRT(P248*(Inputs!$F$27-Inputs!$D$27)*(Inputs!$E$27-Inputs!$D$27)),Inputs!$F$27-SQRT((1-P248)*(Inputs!$F$27-Inputs!$D$27)*(Inputs!$F$27-Inputs!$E$27)))</f>
        <v>67.9135247449055</v>
      </c>
      <c r="R248" s="81" t="n">
        <f aca="true">RAND()</f>
        <v>0.999186630455188</v>
      </c>
      <c r="S248" s="82" t="n">
        <f aca="false">IF(R248&lt;(Inputs!$E$29-Inputs!$D$29)/(Inputs!$F$29-Inputs!$D$29),Inputs!$D$29+SQRT(R248*(Inputs!$F$29-Inputs!$D$29)*(Inputs!$E$29-Inputs!$D$29)),Inputs!$F$29-SQRT((1-R248)*(Inputs!$F$29-Inputs!$D$29)*(Inputs!$F$29-Inputs!$E$29)))</f>
        <v>14.6748261375424</v>
      </c>
      <c r="T248" s="68" t="n">
        <f aca="false">Inputs!$E$9*(1+E248)+Inputs!$E$5*C248*(Inputs!$E$11*Inputs!$E$14*(G248*I248/Inputs!$E$16+(1-G248))*K248+Inputs!$E$23*M248)*(1+O248)+Inputs!$E$5*(Q248+S248)</f>
        <v>5932.47057335638</v>
      </c>
    </row>
    <row r="249" customFormat="false" ht="15" hidden="false" customHeight="false" outlineLevel="0" collapsed="false">
      <c r="A249" s="1" t="n">
        <v>245</v>
      </c>
      <c r="B249" s="81" t="n">
        <f aca="true">RAND()</f>
        <v>0.487673632599413</v>
      </c>
      <c r="C249" s="82" t="n">
        <f aca="false">ROUND(IF(B249&lt;(Inputs!$E$8-Inputs!$D$8)/(Inputs!$F$8-Inputs!$D$8),Inputs!$D$8+SQRT(B249*(Inputs!$F$8-Inputs!$D$8)*(Inputs!$E$8-Inputs!$D$8)),Inputs!$F$8-SQRT((1-B249)*(Inputs!$F$8-Inputs!$D$8)*(Inputs!$F$8-Inputs!$E$8))),0)</f>
        <v>25</v>
      </c>
      <c r="D249" s="81" t="n">
        <f aca="true">RAND()</f>
        <v>0.884031970815637</v>
      </c>
      <c r="E249" s="83" t="n">
        <f aca="false">IF(D249&lt;(Inputs!$E$10-Inputs!$D$10)/(Inputs!$F$10-Inputs!$D$10),Inputs!$D$10+SQRT(D249*(Inputs!$F$10-Inputs!$D$10)*(Inputs!$E$10-Inputs!$D$10)),Inputs!$F$10-SQRT((1-D249)*(Inputs!$F$10-Inputs!$D$10)*(Inputs!$F$10-Inputs!$E$10)))</f>
        <v>0.141016605086424</v>
      </c>
      <c r="F249" s="81" t="n">
        <f aca="true">RAND()</f>
        <v>0.698707343156321</v>
      </c>
      <c r="G249" s="83" t="n">
        <f aca="false">IF(F249&lt;(Inputs!$E$15-Inputs!$D$15)/(Inputs!$F$15-Inputs!$D$15),Inputs!$D$15+SQRT(F249*(Inputs!$F$15-Inputs!$D$15)*(Inputs!$E$15-Inputs!$D$15)),Inputs!$F$15-SQRT((1-F249)*(Inputs!$F$15-Inputs!$D$15)*(Inputs!$F$15-Inputs!$E$15)))</f>
        <v>0.722373631175524</v>
      </c>
      <c r="H249" s="81" t="n">
        <f aca="true">RAND()</f>
        <v>0.153686049057065</v>
      </c>
      <c r="I249" s="82" t="n">
        <f aca="false">ROUND(IF(H249&lt;(Inputs!$E$17-Inputs!$D$17)/(Inputs!$F$17-Inputs!$D$17),Inputs!$D$17+SQRT(H249*(Inputs!$F$17-Inputs!$D$17)*(Inputs!$E$17-Inputs!$D$17)),Inputs!$F$17-SQRT((1-H249)*(Inputs!$F$17-Inputs!$D$17)*(Inputs!$F$17-Inputs!$E$17))),0)</f>
        <v>103</v>
      </c>
      <c r="J249" s="81" t="n">
        <f aca="true">RAND()</f>
        <v>0.557248543735062</v>
      </c>
      <c r="K249" s="83" t="n">
        <f aca="false">IF(J249&lt;(Inputs!$E$18-Inputs!$D$18)/(Inputs!$F$18-Inputs!$D$18),Inputs!$D$18+SQRT(J249*(Inputs!$F$18-Inputs!$D$18)*(Inputs!$E$18-Inputs!$D$18)),Inputs!$F$18-SQRT((1-J249)*(Inputs!$F$18-Inputs!$D$18)*(Inputs!$F$18-Inputs!$E$18)))</f>
        <v>1.05317329341987</v>
      </c>
      <c r="L249" s="81" t="n">
        <f aca="true">RAND()</f>
        <v>0.96938104166989</v>
      </c>
      <c r="M249" s="83" t="n">
        <f aca="false">IF(L249&lt;(Inputs!$E$24-Inputs!$D$24)/(Inputs!$F$24-Inputs!$D$24),Inputs!$D$24+SQRT(L249*(Inputs!$F$24-Inputs!$D$24)*(Inputs!$E$24-Inputs!$D$24)),Inputs!$F$24-SQRT((1-L249)*(Inputs!$F$24-Inputs!$D$24)*(Inputs!$F$24-Inputs!$E$24)))</f>
        <v>1.11427631599595</v>
      </c>
      <c r="N249" s="81" t="n">
        <f aca="true">RAND()</f>
        <v>0.807154238521562</v>
      </c>
      <c r="O249" s="83" t="n">
        <f aca="false">IF(N249&lt;(Inputs!$E$26-Inputs!$D$26)/(Inputs!$F$26-Inputs!$D$26),Inputs!$D$26+SQRT(N249*(Inputs!$F$26-Inputs!$D$26)*(Inputs!$E$26-Inputs!$D$26)),Inputs!$F$26-SQRT((1-N249)*(Inputs!$F$26-Inputs!$D$26)*(Inputs!$F$26-Inputs!$E$26)))</f>
        <v>0.678380936333566</v>
      </c>
      <c r="P249" s="81" t="n">
        <f aca="true">RAND()</f>
        <v>0.92114551172496</v>
      </c>
      <c r="Q249" s="82" t="n">
        <f aca="false">IF(P249&lt;(Inputs!$E$27-Inputs!$D$27)/(Inputs!$F$27-Inputs!$D$27),Inputs!$D$27+SQRT(P249*(Inputs!$F$27-Inputs!$D$27)*(Inputs!$E$27-Inputs!$D$27)),Inputs!$F$27-SQRT((1-P249)*(Inputs!$F$27-Inputs!$D$27)*(Inputs!$F$27-Inputs!$E$27)))</f>
        <v>125.68110483466</v>
      </c>
      <c r="R249" s="81" t="n">
        <f aca="true">RAND()</f>
        <v>0.445064523857811</v>
      </c>
      <c r="S249" s="82" t="n">
        <f aca="false">IF(R249&lt;(Inputs!$E$29-Inputs!$D$29)/(Inputs!$F$29-Inputs!$D$29),Inputs!$D$29+SQRT(R249*(Inputs!$F$29-Inputs!$D$29)*(Inputs!$E$29-Inputs!$D$29)),Inputs!$F$29-SQRT((1-R249)*(Inputs!$F$29-Inputs!$D$29)*(Inputs!$F$29-Inputs!$E$29)))</f>
        <v>6.50637816367572</v>
      </c>
      <c r="T249" s="68" t="n">
        <f aca="false">Inputs!$E$9*(1+E249)+Inputs!$E$5*C249*(Inputs!$E$11*Inputs!$E$14*(G249*I249/Inputs!$E$16+(1-G249))*K249+Inputs!$E$23*M249)*(1+O249)+Inputs!$E$5*(Q249+S249)</f>
        <v>7151.60154487066</v>
      </c>
    </row>
    <row r="250" customFormat="false" ht="15" hidden="false" customHeight="false" outlineLevel="0" collapsed="false">
      <c r="A250" s="1" t="n">
        <v>246</v>
      </c>
      <c r="B250" s="81" t="n">
        <f aca="true">RAND()</f>
        <v>0.546467925486018</v>
      </c>
      <c r="C250" s="82" t="n">
        <f aca="false">ROUND(IF(B250&lt;(Inputs!$E$8-Inputs!$D$8)/(Inputs!$F$8-Inputs!$D$8),Inputs!$D$8+SQRT(B250*(Inputs!$F$8-Inputs!$D$8)*(Inputs!$E$8-Inputs!$D$8)),Inputs!$F$8-SQRT((1-B250)*(Inputs!$F$8-Inputs!$D$8)*(Inputs!$F$8-Inputs!$E$8))),0)</f>
        <v>25</v>
      </c>
      <c r="D250" s="81" t="n">
        <f aca="true">RAND()</f>
        <v>0.608959721017662</v>
      </c>
      <c r="E250" s="83" t="n">
        <f aca="false">IF(D250&lt;(Inputs!$E$10-Inputs!$D$10)/(Inputs!$F$10-Inputs!$D$10),Inputs!$D$10+SQRT(D250*(Inputs!$F$10-Inputs!$D$10)*(Inputs!$E$10-Inputs!$D$10)),Inputs!$F$10-SQRT((1-D250)*(Inputs!$F$10-Inputs!$D$10)*(Inputs!$F$10-Inputs!$E$10)))</f>
        <v>0.09168929706871</v>
      </c>
      <c r="F250" s="81" t="n">
        <f aca="true">RAND()</f>
        <v>0.106971735726069</v>
      </c>
      <c r="G250" s="83" t="n">
        <f aca="false">IF(F250&lt;(Inputs!$E$15-Inputs!$D$15)/(Inputs!$F$15-Inputs!$D$15),Inputs!$D$15+SQRT(F250*(Inputs!$F$15-Inputs!$D$15)*(Inputs!$E$15-Inputs!$D$15)),Inputs!$F$15-SQRT((1-F250)*(Inputs!$F$15-Inputs!$D$15)*(Inputs!$F$15-Inputs!$E$15)))</f>
        <v>0.646254023765737</v>
      </c>
      <c r="H250" s="81" t="n">
        <f aca="true">RAND()</f>
        <v>0.541170218453749</v>
      </c>
      <c r="I250" s="82" t="n">
        <f aca="false">ROUND(IF(H250&lt;(Inputs!$E$17-Inputs!$D$17)/(Inputs!$F$17-Inputs!$D$17),Inputs!$D$17+SQRT(H250*(Inputs!$F$17-Inputs!$D$17)*(Inputs!$E$17-Inputs!$D$17)),Inputs!$F$17-SQRT((1-H250)*(Inputs!$F$17-Inputs!$D$17)*(Inputs!$F$17-Inputs!$E$17))),0)</f>
        <v>107</v>
      </c>
      <c r="J250" s="81" t="n">
        <f aca="true">RAND()</f>
        <v>0.202315506646187</v>
      </c>
      <c r="K250" s="83" t="n">
        <f aca="false">IF(J250&lt;(Inputs!$E$18-Inputs!$D$18)/(Inputs!$F$18-Inputs!$D$18),Inputs!$D$18+SQRT(J250*(Inputs!$F$18-Inputs!$D$18)*(Inputs!$E$18-Inputs!$D$18)),Inputs!$F$18-SQRT((1-J250)*(Inputs!$F$18-Inputs!$D$18)*(Inputs!$F$18-Inputs!$E$18)))</f>
        <v>0.984148931856659</v>
      </c>
      <c r="L250" s="81" t="n">
        <f aca="true">RAND()</f>
        <v>0.0108690687071688</v>
      </c>
      <c r="M250" s="83" t="n">
        <f aca="false">IF(L250&lt;(Inputs!$E$24-Inputs!$D$24)/(Inputs!$F$24-Inputs!$D$24),Inputs!$D$24+SQRT(L250*(Inputs!$F$24-Inputs!$D$24)*(Inputs!$E$24-Inputs!$D$24)),Inputs!$F$24-SQRT((1-L250)*(Inputs!$F$24-Inputs!$D$24)*(Inputs!$F$24-Inputs!$E$24)))</f>
        <v>0.636114931051578</v>
      </c>
      <c r="N250" s="81" t="n">
        <f aca="true">RAND()</f>
        <v>0.459129674245174</v>
      </c>
      <c r="O250" s="83" t="n">
        <f aca="false">IF(N250&lt;(Inputs!$E$26-Inputs!$D$26)/(Inputs!$F$26-Inputs!$D$26),Inputs!$D$26+SQRT(N250*(Inputs!$F$26-Inputs!$D$26)*(Inputs!$E$26-Inputs!$D$26)),Inputs!$F$26-SQRT((1-N250)*(Inputs!$F$26-Inputs!$D$26)*(Inputs!$F$26-Inputs!$E$26)))</f>
        <v>0.576404011899967</v>
      </c>
      <c r="P250" s="81" t="n">
        <f aca="true">RAND()</f>
        <v>0.89365714451488</v>
      </c>
      <c r="Q250" s="82" t="n">
        <f aca="false">IF(P250&lt;(Inputs!$E$27-Inputs!$D$27)/(Inputs!$F$27-Inputs!$D$27),Inputs!$D$27+SQRT(P250*(Inputs!$F$27-Inputs!$D$27)*(Inputs!$E$27-Inputs!$D$27)),Inputs!$F$27-SQRT((1-P250)*(Inputs!$F$27-Inputs!$D$27)*(Inputs!$F$27-Inputs!$E$27)))</f>
        <v>121.758693087281</v>
      </c>
      <c r="R250" s="81" t="n">
        <f aca="true">RAND()</f>
        <v>0.711392453441896</v>
      </c>
      <c r="S250" s="82" t="n">
        <f aca="false">IF(R250&lt;(Inputs!$E$29-Inputs!$D$29)/(Inputs!$F$29-Inputs!$D$29),Inputs!$D$29+SQRT(R250*(Inputs!$F$29-Inputs!$D$29)*(Inputs!$E$29-Inputs!$D$29)),Inputs!$F$29-SQRT((1-R250)*(Inputs!$F$29-Inputs!$D$29)*(Inputs!$F$29-Inputs!$E$29)))</f>
        <v>8.87472604265298</v>
      </c>
      <c r="T250" s="68" t="n">
        <f aca="false">Inputs!$E$9*(1+E250)+Inputs!$E$5*C250*(Inputs!$E$11*Inputs!$E$14*(G250*I250/Inputs!$E$16+(1-G250))*K250+Inputs!$E$23*M250)*(1+O250)+Inputs!$E$5*(Q250+S250)</f>
        <v>6121.73195479669</v>
      </c>
    </row>
    <row r="251" customFormat="false" ht="15" hidden="false" customHeight="false" outlineLevel="0" collapsed="false">
      <c r="A251" s="1" t="n">
        <v>247</v>
      </c>
      <c r="B251" s="81" t="n">
        <f aca="true">RAND()</f>
        <v>0.107080153735389</v>
      </c>
      <c r="C251" s="82" t="n">
        <f aca="false">ROUND(IF(B251&lt;(Inputs!$E$8-Inputs!$D$8)/(Inputs!$F$8-Inputs!$D$8),Inputs!$D$8+SQRT(B251*(Inputs!$F$8-Inputs!$D$8)*(Inputs!$E$8-Inputs!$D$8)),Inputs!$F$8-SQRT((1-B251)*(Inputs!$F$8-Inputs!$D$8)*(Inputs!$F$8-Inputs!$E$8))),0)</f>
        <v>22</v>
      </c>
      <c r="D251" s="81" t="n">
        <f aca="true">RAND()</f>
        <v>0.439389133467379</v>
      </c>
      <c r="E251" s="83" t="n">
        <f aca="false">IF(D251&lt;(Inputs!$E$10-Inputs!$D$10)/(Inputs!$F$10-Inputs!$D$10),Inputs!$D$10+SQRT(D251*(Inputs!$F$10-Inputs!$D$10)*(Inputs!$E$10-Inputs!$D$10)),Inputs!$F$10-SQRT((1-D251)*(Inputs!$F$10-Inputs!$D$10)*(Inputs!$F$10-Inputs!$E$10)))</f>
        <v>0.0703145112359189</v>
      </c>
      <c r="F251" s="81" t="n">
        <f aca="true">RAND()</f>
        <v>0.705336829143675</v>
      </c>
      <c r="G251" s="83" t="n">
        <f aca="false">IF(F251&lt;(Inputs!$E$15-Inputs!$D$15)/(Inputs!$F$15-Inputs!$D$15),Inputs!$D$15+SQRT(F251*(Inputs!$F$15-Inputs!$D$15)*(Inputs!$E$15-Inputs!$D$15)),Inputs!$F$15-SQRT((1-F251)*(Inputs!$F$15-Inputs!$D$15)*(Inputs!$F$15-Inputs!$E$15)))</f>
        <v>0.723232406465185</v>
      </c>
      <c r="H251" s="81" t="n">
        <f aca="true">RAND()</f>
        <v>0.00776642685507578</v>
      </c>
      <c r="I251" s="82" t="n">
        <f aca="false">ROUND(IF(H251&lt;(Inputs!$E$17-Inputs!$D$17)/(Inputs!$F$17-Inputs!$D$17),Inputs!$D$17+SQRT(H251*(Inputs!$F$17-Inputs!$D$17)*(Inputs!$E$17-Inputs!$D$17)),Inputs!$F$17-SQRT((1-H251)*(Inputs!$F$17-Inputs!$D$17)*(Inputs!$F$17-Inputs!$E$17))),0)</f>
        <v>101</v>
      </c>
      <c r="J251" s="81" t="n">
        <f aca="true">RAND()</f>
        <v>0.958046337084154</v>
      </c>
      <c r="K251" s="83" t="n">
        <f aca="false">IF(J251&lt;(Inputs!$E$18-Inputs!$D$18)/(Inputs!$F$18-Inputs!$D$18),Inputs!$D$18+SQRT(J251*(Inputs!$F$18-Inputs!$D$18)*(Inputs!$E$18-Inputs!$D$18)),Inputs!$F$18-SQRT((1-J251)*(Inputs!$F$18-Inputs!$D$18)*(Inputs!$F$18-Inputs!$E$18)))</f>
        <v>1.18941167187373</v>
      </c>
      <c r="L251" s="81" t="n">
        <f aca="true">RAND()</f>
        <v>0.96596712691127</v>
      </c>
      <c r="M251" s="83" t="n">
        <f aca="false">IF(L251&lt;(Inputs!$E$24-Inputs!$D$24)/(Inputs!$F$24-Inputs!$D$24),Inputs!$D$24+SQRT(L251*(Inputs!$F$24-Inputs!$D$24)*(Inputs!$E$24-Inputs!$D$24)),Inputs!$F$24-SQRT((1-L251)*(Inputs!$F$24-Inputs!$D$24)*(Inputs!$F$24-Inputs!$E$24)))</f>
        <v>1.10962362288023</v>
      </c>
      <c r="N251" s="81" t="n">
        <f aca="true">RAND()</f>
        <v>0.0392731058451316</v>
      </c>
      <c r="O251" s="83" t="n">
        <f aca="false">IF(N251&lt;(Inputs!$E$26-Inputs!$D$26)/(Inputs!$F$26-Inputs!$D$26),Inputs!$D$26+SQRT(N251*(Inputs!$F$26-Inputs!$D$26)*(Inputs!$E$26-Inputs!$D$26)),Inputs!$F$26-SQRT((1-N251)*(Inputs!$F$26-Inputs!$D$26)*(Inputs!$F$26-Inputs!$E$26)))</f>
        <v>0.380839624025783</v>
      </c>
      <c r="P251" s="81" t="n">
        <f aca="true">RAND()</f>
        <v>0.0896176787468511</v>
      </c>
      <c r="Q251" s="82" t="n">
        <f aca="false">IF(P251&lt;(Inputs!$E$27-Inputs!$D$27)/(Inputs!$F$27-Inputs!$D$27),Inputs!$D$27+SQRT(P251*(Inputs!$F$27-Inputs!$D$27)*(Inputs!$E$27-Inputs!$D$27)),Inputs!$F$27-SQRT((1-P251)*(Inputs!$F$27-Inputs!$D$27)*(Inputs!$F$27-Inputs!$E$27)))</f>
        <v>64.9681059879708</v>
      </c>
      <c r="R251" s="81" t="n">
        <f aca="true">RAND()</f>
        <v>0.561685399537298</v>
      </c>
      <c r="S251" s="82" t="n">
        <f aca="false">IF(R251&lt;(Inputs!$E$29-Inputs!$D$29)/(Inputs!$F$29-Inputs!$D$29),Inputs!$D$29+SQRT(R251*(Inputs!$F$29-Inputs!$D$29)*(Inputs!$E$29-Inputs!$D$29)),Inputs!$F$29-SQRT((1-R251)*(Inputs!$F$29-Inputs!$D$29)*(Inputs!$F$29-Inputs!$E$29)))</f>
        <v>7.45143072760465</v>
      </c>
      <c r="T251" s="68" t="n">
        <f aca="false">Inputs!$E$9*(1+E251)+Inputs!$E$5*C251*(Inputs!$E$11*Inputs!$E$14*(G251*I251/Inputs!$E$16+(1-G251))*K251+Inputs!$E$23*M251)*(1+O251)+Inputs!$E$5*(Q251+S251)</f>
        <v>5787.42131375671</v>
      </c>
    </row>
    <row r="252" customFormat="false" ht="15" hidden="false" customHeight="false" outlineLevel="0" collapsed="false">
      <c r="A252" s="1" t="n">
        <v>248</v>
      </c>
      <c r="B252" s="81" t="n">
        <f aca="true">RAND()</f>
        <v>0.378816934494698</v>
      </c>
      <c r="C252" s="82" t="n">
        <f aca="false">ROUND(IF(B252&lt;(Inputs!$E$8-Inputs!$D$8)/(Inputs!$F$8-Inputs!$D$8),Inputs!$D$8+SQRT(B252*(Inputs!$F$8-Inputs!$D$8)*(Inputs!$E$8-Inputs!$D$8)),Inputs!$F$8-SQRT((1-B252)*(Inputs!$F$8-Inputs!$D$8)*(Inputs!$F$8-Inputs!$E$8))),0)</f>
        <v>24</v>
      </c>
      <c r="D252" s="81" t="n">
        <f aca="true">RAND()</f>
        <v>0.809570770301744</v>
      </c>
      <c r="E252" s="83" t="n">
        <f aca="false">IF(D252&lt;(Inputs!$E$10-Inputs!$D$10)/(Inputs!$F$10-Inputs!$D$10),Inputs!$D$10+SQRT(D252*(Inputs!$F$10-Inputs!$D$10)*(Inputs!$E$10-Inputs!$D$10)),Inputs!$F$10-SQRT((1-D252)*(Inputs!$F$10-Inputs!$D$10)*(Inputs!$F$10-Inputs!$E$10)))</f>
        <v>0.124416424463064</v>
      </c>
      <c r="F252" s="81" t="n">
        <f aca="true">RAND()</f>
        <v>0.617596292203177</v>
      </c>
      <c r="G252" s="83" t="n">
        <f aca="false">IF(F252&lt;(Inputs!$E$15-Inputs!$D$15)/(Inputs!$F$15-Inputs!$D$15),Inputs!$D$15+SQRT(F252*(Inputs!$F$15-Inputs!$D$15)*(Inputs!$E$15-Inputs!$D$15)),Inputs!$F$15-SQRT((1-F252)*(Inputs!$F$15-Inputs!$D$15)*(Inputs!$F$15-Inputs!$E$15)))</f>
        <v>0.712546731588028</v>
      </c>
      <c r="H252" s="81" t="n">
        <f aca="true">RAND()</f>
        <v>0.822967751274451</v>
      </c>
      <c r="I252" s="82" t="n">
        <f aca="false">ROUND(IF(H252&lt;(Inputs!$E$17-Inputs!$D$17)/(Inputs!$F$17-Inputs!$D$17),Inputs!$D$17+SQRT(H252*(Inputs!$F$17-Inputs!$D$17)*(Inputs!$E$17-Inputs!$D$17)),Inputs!$F$17-SQRT((1-H252)*(Inputs!$F$17-Inputs!$D$17)*(Inputs!$F$17-Inputs!$E$17))),0)</f>
        <v>110</v>
      </c>
      <c r="J252" s="81" t="n">
        <f aca="true">RAND()</f>
        <v>0.154637441898578</v>
      </c>
      <c r="K252" s="83" t="n">
        <f aca="false">IF(J252&lt;(Inputs!$E$18-Inputs!$D$18)/(Inputs!$F$18-Inputs!$D$18),Inputs!$D$18+SQRT(J252*(Inputs!$F$18-Inputs!$D$18)*(Inputs!$E$18-Inputs!$D$18)),Inputs!$F$18-SQRT((1-J252)*(Inputs!$F$18-Inputs!$D$18)*(Inputs!$F$18-Inputs!$E$18)))</f>
        <v>0.973568406714093</v>
      </c>
      <c r="L252" s="81" t="n">
        <f aca="true">RAND()</f>
        <v>0.142848633184033</v>
      </c>
      <c r="M252" s="83" t="n">
        <f aca="false">IF(L252&lt;(Inputs!$E$24-Inputs!$D$24)/(Inputs!$F$24-Inputs!$D$24),Inputs!$D$24+SQRT(L252*(Inputs!$F$24-Inputs!$D$24)*(Inputs!$E$24-Inputs!$D$24)),Inputs!$F$24-SQRT((1-L252)*(Inputs!$F$24-Inputs!$D$24)*(Inputs!$F$24-Inputs!$E$24)))</f>
        <v>0.730926834461404</v>
      </c>
      <c r="N252" s="81" t="n">
        <f aca="true">RAND()</f>
        <v>0.40639293939589</v>
      </c>
      <c r="O252" s="83" t="n">
        <f aca="false">IF(N252&lt;(Inputs!$E$26-Inputs!$D$26)/(Inputs!$F$26-Inputs!$D$26),Inputs!$D$26+SQRT(N252*(Inputs!$F$26-Inputs!$D$26)*(Inputs!$E$26-Inputs!$D$26)),Inputs!$F$26-SQRT((1-N252)*(Inputs!$F$26-Inputs!$D$26)*(Inputs!$F$26-Inputs!$E$26)))</f>
        <v>0.560045736583925</v>
      </c>
      <c r="P252" s="81" t="n">
        <f aca="true">RAND()</f>
        <v>0.647789366199683</v>
      </c>
      <c r="Q252" s="82" t="n">
        <f aca="false">IF(P252&lt;(Inputs!$E$27-Inputs!$D$27)/(Inputs!$F$27-Inputs!$D$27),Inputs!$D$27+SQRT(P252*(Inputs!$F$27-Inputs!$D$27)*(Inputs!$E$27-Inputs!$D$27)),Inputs!$F$27-SQRT((1-P252)*(Inputs!$F$27-Inputs!$D$27)*(Inputs!$F$27-Inputs!$E$27)))</f>
        <v>98.6036990289926</v>
      </c>
      <c r="R252" s="81" t="n">
        <f aca="true">RAND()</f>
        <v>0.631472658129453</v>
      </c>
      <c r="S252" s="82" t="n">
        <f aca="false">IF(R252&lt;(Inputs!$E$29-Inputs!$D$29)/(Inputs!$F$29-Inputs!$D$29),Inputs!$D$29+SQRT(R252*(Inputs!$F$29-Inputs!$D$29)*(Inputs!$E$29-Inputs!$D$29)),Inputs!$F$29-SQRT((1-R252)*(Inputs!$F$29-Inputs!$D$29)*(Inputs!$F$29-Inputs!$E$29)))</f>
        <v>8.0783994305384</v>
      </c>
      <c r="T252" s="68" t="n">
        <f aca="false">Inputs!$E$9*(1+E252)+Inputs!$E$5*C252*(Inputs!$E$11*Inputs!$E$14*(G252*I252/Inputs!$E$16+(1-G252))*K252+Inputs!$E$23*M252)*(1+O252)+Inputs!$E$5*(Q252+S252)</f>
        <v>5979.08591454133</v>
      </c>
    </row>
    <row r="253" customFormat="false" ht="15" hidden="false" customHeight="false" outlineLevel="0" collapsed="false">
      <c r="A253" s="1" t="n">
        <v>249</v>
      </c>
      <c r="B253" s="81" t="n">
        <f aca="true">RAND()</f>
        <v>0.811144642745518</v>
      </c>
      <c r="C253" s="82" t="n">
        <f aca="false">ROUND(IF(B253&lt;(Inputs!$E$8-Inputs!$D$8)/(Inputs!$F$8-Inputs!$D$8),Inputs!$D$8+SQRT(B253*(Inputs!$F$8-Inputs!$D$8)*(Inputs!$E$8-Inputs!$D$8)),Inputs!$F$8-SQRT((1-B253)*(Inputs!$F$8-Inputs!$D$8)*(Inputs!$F$8-Inputs!$E$8))),0)</f>
        <v>27</v>
      </c>
      <c r="D253" s="81" t="n">
        <f aca="true">RAND()</f>
        <v>0.676810907054674</v>
      </c>
      <c r="E253" s="83" t="n">
        <f aca="false">IF(D253&lt;(Inputs!$E$10-Inputs!$D$10)/(Inputs!$F$10-Inputs!$D$10),Inputs!$D$10+SQRT(D253*(Inputs!$F$10-Inputs!$D$10)*(Inputs!$E$10-Inputs!$D$10)),Inputs!$F$10-SQRT((1-D253)*(Inputs!$F$10-Inputs!$D$10)*(Inputs!$F$10-Inputs!$E$10)))</f>
        <v>0.101533392521323</v>
      </c>
      <c r="F253" s="81" t="n">
        <f aca="true">RAND()</f>
        <v>0.173376927427189</v>
      </c>
      <c r="G253" s="83" t="n">
        <f aca="false">IF(F253&lt;(Inputs!$E$15-Inputs!$D$15)/(Inputs!$F$15-Inputs!$D$15),Inputs!$D$15+SQRT(F253*(Inputs!$F$15-Inputs!$D$15)*(Inputs!$E$15-Inputs!$D$15)),Inputs!$F$15-SQRT((1-F253)*(Inputs!$F$15-Inputs!$D$15)*(Inputs!$F$15-Inputs!$E$15)))</f>
        <v>0.658885809398732</v>
      </c>
      <c r="H253" s="81" t="n">
        <f aca="true">RAND()</f>
        <v>0.650429801601881</v>
      </c>
      <c r="I253" s="82" t="n">
        <f aca="false">ROUND(IF(H253&lt;(Inputs!$E$17-Inputs!$D$17)/(Inputs!$F$17-Inputs!$D$17),Inputs!$D$17+SQRT(H253*(Inputs!$F$17-Inputs!$D$17)*(Inputs!$E$17-Inputs!$D$17)),Inputs!$F$17-SQRT((1-H253)*(Inputs!$F$17-Inputs!$D$17)*(Inputs!$F$17-Inputs!$E$17))),0)</f>
        <v>108</v>
      </c>
      <c r="J253" s="81" t="n">
        <f aca="true">RAND()</f>
        <v>0.436584903546927</v>
      </c>
      <c r="K253" s="83" t="n">
        <f aca="false">IF(J253&lt;(Inputs!$E$18-Inputs!$D$18)/(Inputs!$F$18-Inputs!$D$18),Inputs!$D$18+SQRT(J253*(Inputs!$F$18-Inputs!$D$18)*(Inputs!$E$18-Inputs!$D$18)),Inputs!$F$18-SQRT((1-J253)*(Inputs!$F$18-Inputs!$D$18)*(Inputs!$F$18-Inputs!$E$18)))</f>
        <v>1.02796662201452</v>
      </c>
      <c r="L253" s="81" t="n">
        <f aca="true">RAND()</f>
        <v>0.507735954564559</v>
      </c>
      <c r="M253" s="83" t="n">
        <f aca="false">IF(L253&lt;(Inputs!$E$24-Inputs!$D$24)/(Inputs!$F$24-Inputs!$D$24),Inputs!$D$24+SQRT(L253*(Inputs!$F$24-Inputs!$D$24)*(Inputs!$E$24-Inputs!$D$24)),Inputs!$F$24-SQRT((1-L253)*(Inputs!$F$24-Inputs!$D$24)*(Inputs!$F$24-Inputs!$E$24)))</f>
        <v>0.856280098183847</v>
      </c>
      <c r="N253" s="81" t="n">
        <f aca="true">RAND()</f>
        <v>0.982961456035132</v>
      </c>
      <c r="O253" s="83" t="n">
        <f aca="false">IF(N253&lt;(Inputs!$E$26-Inputs!$D$26)/(Inputs!$F$26-Inputs!$D$26),Inputs!$D$26+SQRT(N253*(Inputs!$F$26-Inputs!$D$26)*(Inputs!$E$26-Inputs!$D$26)),Inputs!$F$26-SQRT((1-N253)*(Inputs!$F$26-Inputs!$D$26)*(Inputs!$F$26-Inputs!$E$26)))</f>
        <v>0.777904767819309</v>
      </c>
      <c r="P253" s="81" t="n">
        <f aca="true">RAND()</f>
        <v>0.655221377673713</v>
      </c>
      <c r="Q253" s="82" t="n">
        <f aca="false">IF(P253&lt;(Inputs!$E$27-Inputs!$D$27)/(Inputs!$F$27-Inputs!$D$27),Inputs!$D$27+SQRT(P253*(Inputs!$F$27-Inputs!$D$27)*(Inputs!$E$27-Inputs!$D$27)),Inputs!$F$27-SQRT((1-P253)*(Inputs!$F$27-Inputs!$D$27)*(Inputs!$F$27-Inputs!$E$27)))</f>
        <v>99.1488479240917</v>
      </c>
      <c r="R253" s="81" t="n">
        <f aca="true">RAND()</f>
        <v>0.718366706362217</v>
      </c>
      <c r="S253" s="82" t="n">
        <f aca="false">IF(R253&lt;(Inputs!$E$29-Inputs!$D$29)/(Inputs!$F$29-Inputs!$D$29),Inputs!$D$29+SQRT(R253*(Inputs!$F$29-Inputs!$D$29)*(Inputs!$E$29-Inputs!$D$29)),Inputs!$F$29-SQRT((1-R253)*(Inputs!$F$29-Inputs!$D$29)*(Inputs!$F$29-Inputs!$E$29)))</f>
        <v>8.94918780882171</v>
      </c>
      <c r="T253" s="68" t="n">
        <f aca="false">Inputs!$E$9*(1+E253)+Inputs!$E$5*C253*(Inputs!$E$11*Inputs!$E$14*(G253*I253/Inputs!$E$16+(1-G253))*K253+Inputs!$E$23*M253)*(1+O253)+Inputs!$E$5*(Q253+S253)</f>
        <v>7187.3700415198</v>
      </c>
    </row>
    <row r="254" customFormat="false" ht="15" hidden="false" customHeight="false" outlineLevel="0" collapsed="false">
      <c r="A254" s="1" t="n">
        <v>250</v>
      </c>
      <c r="B254" s="81" t="n">
        <f aca="true">RAND()</f>
        <v>0.0599255434825681</v>
      </c>
      <c r="C254" s="82" t="n">
        <f aca="false">ROUND(IF(B254&lt;(Inputs!$E$8-Inputs!$D$8)/(Inputs!$F$8-Inputs!$D$8),Inputs!$D$8+SQRT(B254*(Inputs!$F$8-Inputs!$D$8)*(Inputs!$E$8-Inputs!$D$8)),Inputs!$F$8-SQRT((1-B254)*(Inputs!$F$8-Inputs!$D$8)*(Inputs!$F$8-Inputs!$E$8))),0)</f>
        <v>22</v>
      </c>
      <c r="D254" s="81" t="n">
        <f aca="true">RAND()</f>
        <v>0.98547955611804</v>
      </c>
      <c r="E254" s="83" t="n">
        <f aca="false">IF(D254&lt;(Inputs!$E$10-Inputs!$D$10)/(Inputs!$F$10-Inputs!$D$10),Inputs!$D$10+SQRT(D254*(Inputs!$F$10-Inputs!$D$10)*(Inputs!$E$10-Inputs!$D$10)),Inputs!$F$10-SQRT((1-D254)*(Inputs!$F$10-Inputs!$D$10)*(Inputs!$F$10-Inputs!$E$10)))</f>
        <v>0.179128648427598</v>
      </c>
      <c r="F254" s="81" t="n">
        <f aca="true">RAND()</f>
        <v>0.275694207178587</v>
      </c>
      <c r="G254" s="83" t="n">
        <f aca="false">IF(F254&lt;(Inputs!$E$15-Inputs!$D$15)/(Inputs!$F$15-Inputs!$D$15),Inputs!$D$15+SQRT(F254*(Inputs!$F$15-Inputs!$D$15)*(Inputs!$E$15-Inputs!$D$15)),Inputs!$F$15-SQRT((1-F254)*(Inputs!$F$15-Inputs!$D$15)*(Inputs!$F$15-Inputs!$E$15)))</f>
        <v>0.674255532747208</v>
      </c>
      <c r="H254" s="81" t="n">
        <f aca="true">RAND()</f>
        <v>0.638131086290724</v>
      </c>
      <c r="I254" s="82" t="n">
        <f aca="false">ROUND(IF(H254&lt;(Inputs!$E$17-Inputs!$D$17)/(Inputs!$F$17-Inputs!$D$17),Inputs!$D$17+SQRT(H254*(Inputs!$F$17-Inputs!$D$17)*(Inputs!$E$17-Inputs!$D$17)),Inputs!$F$17-SQRT((1-H254)*(Inputs!$F$17-Inputs!$D$17)*(Inputs!$F$17-Inputs!$E$17))),0)</f>
        <v>108</v>
      </c>
      <c r="J254" s="81" t="n">
        <f aca="true">RAND()</f>
        <v>0.59433980928267</v>
      </c>
      <c r="K254" s="83" t="n">
        <f aca="false">IF(J254&lt;(Inputs!$E$18-Inputs!$D$18)/(Inputs!$F$18-Inputs!$D$18),Inputs!$D$18+SQRT(J254*(Inputs!$F$18-Inputs!$D$18)*(Inputs!$E$18-Inputs!$D$18)),Inputs!$F$18-SQRT((1-J254)*(Inputs!$F$18-Inputs!$D$18)*(Inputs!$F$18-Inputs!$E$18)))</f>
        <v>1.06159812451102</v>
      </c>
      <c r="L254" s="81" t="n">
        <f aca="true">RAND()</f>
        <v>0.758883333986456</v>
      </c>
      <c r="M254" s="83" t="n">
        <f aca="false">IF(L254&lt;(Inputs!$E$24-Inputs!$D$24)/(Inputs!$F$24-Inputs!$D$24),Inputs!$D$24+SQRT(L254*(Inputs!$F$24-Inputs!$D$24)*(Inputs!$E$24-Inputs!$D$24)),Inputs!$F$24-SQRT((1-L254)*(Inputs!$F$24-Inputs!$D$24)*(Inputs!$F$24-Inputs!$E$24)))</f>
        <v>0.959442314936208</v>
      </c>
      <c r="N254" s="81" t="n">
        <f aca="true">RAND()</f>
        <v>0.00576787310069927</v>
      </c>
      <c r="O254" s="83" t="n">
        <f aca="false">IF(N254&lt;(Inputs!$E$26-Inputs!$D$26)/(Inputs!$F$26-Inputs!$D$26),Inputs!$D$26+SQRT(N254*(Inputs!$F$26-Inputs!$D$26)*(Inputs!$E$26-Inputs!$D$26)),Inputs!$F$26-SQRT((1-N254)*(Inputs!$F$26-Inputs!$D$26)*(Inputs!$F$26-Inputs!$E$26)))</f>
        <v>0.330980220850671</v>
      </c>
      <c r="P254" s="81" t="n">
        <f aca="true">RAND()</f>
        <v>0.0124821714306666</v>
      </c>
      <c r="Q254" s="82" t="n">
        <f aca="false">IF(P254&lt;(Inputs!$E$27-Inputs!$D$27)/(Inputs!$F$27-Inputs!$D$27),Inputs!$D$27+SQRT(P254*(Inputs!$F$27-Inputs!$D$27)*(Inputs!$E$27-Inputs!$D$27)),Inputs!$F$27-SQRT((1-P254)*(Inputs!$F$27-Inputs!$D$27)*(Inputs!$F$27-Inputs!$E$27)))</f>
        <v>55.5861819319341</v>
      </c>
      <c r="R254" s="81" t="n">
        <f aca="true">RAND()</f>
        <v>0.0483212066556263</v>
      </c>
      <c r="S254" s="82" t="n">
        <f aca="false">IF(R254&lt;(Inputs!$E$29-Inputs!$D$29)/(Inputs!$F$29-Inputs!$D$29),Inputs!$D$29+SQRT(R254*(Inputs!$F$29-Inputs!$D$29)*(Inputs!$E$29-Inputs!$D$29)),Inputs!$F$29-SQRT((1-R254)*(Inputs!$F$29-Inputs!$D$29)*(Inputs!$F$29-Inputs!$E$29)))</f>
        <v>3.37278077622373</v>
      </c>
      <c r="T254" s="68" t="n">
        <f aca="false">Inputs!$E$9*(1+E254)+Inputs!$E$5*C254*(Inputs!$E$11*Inputs!$E$14*(G254*I254/Inputs!$E$16+(1-G254))*K254+Inputs!$E$23*M254)*(1+O254)+Inputs!$E$5*(Q254+S254)</f>
        <v>5612.5924540928</v>
      </c>
    </row>
    <row r="255" customFormat="false" ht="15" hidden="false" customHeight="false" outlineLevel="0" collapsed="false">
      <c r="A255" s="1" t="n">
        <v>251</v>
      </c>
      <c r="B255" s="81" t="n">
        <f aca="true">RAND()</f>
        <v>0.329569550273281</v>
      </c>
      <c r="C255" s="82" t="n">
        <f aca="false">ROUND(IF(B255&lt;(Inputs!$E$8-Inputs!$D$8)/(Inputs!$F$8-Inputs!$D$8),Inputs!$D$8+SQRT(B255*(Inputs!$F$8-Inputs!$D$8)*(Inputs!$E$8-Inputs!$D$8)),Inputs!$F$8-SQRT((1-B255)*(Inputs!$F$8-Inputs!$D$8)*(Inputs!$F$8-Inputs!$E$8))),0)</f>
        <v>24</v>
      </c>
      <c r="D255" s="81" t="n">
        <f aca="true">RAND()</f>
        <v>0.522667502373895</v>
      </c>
      <c r="E255" s="83" t="n">
        <f aca="false">IF(D255&lt;(Inputs!$E$10-Inputs!$D$10)/(Inputs!$F$10-Inputs!$D$10),Inputs!$D$10+SQRT(D255*(Inputs!$F$10-Inputs!$D$10)*(Inputs!$E$10-Inputs!$D$10)),Inputs!$F$10-SQRT((1-D255)*(Inputs!$F$10-Inputs!$D$10)*(Inputs!$F$10-Inputs!$E$10)))</f>
        <v>0.0803339023416275</v>
      </c>
      <c r="F255" s="81" t="n">
        <f aca="true">RAND()</f>
        <v>0.841407776204156</v>
      </c>
      <c r="G255" s="83" t="n">
        <f aca="false">IF(F255&lt;(Inputs!$E$15-Inputs!$D$15)/(Inputs!$F$15-Inputs!$D$15),Inputs!$D$15+SQRT(F255*(Inputs!$F$15-Inputs!$D$15)*(Inputs!$E$15-Inputs!$D$15)),Inputs!$F$15-SQRT((1-F255)*(Inputs!$F$15-Inputs!$D$15)*(Inputs!$F$15-Inputs!$E$15)))</f>
        <v>0.743680869361141</v>
      </c>
      <c r="H255" s="81" t="n">
        <f aca="true">RAND()</f>
        <v>0.492116912206155</v>
      </c>
      <c r="I255" s="82" t="n">
        <f aca="false">ROUND(IF(H255&lt;(Inputs!$E$17-Inputs!$D$17)/(Inputs!$F$17-Inputs!$D$17),Inputs!$D$17+SQRT(H255*(Inputs!$F$17-Inputs!$D$17)*(Inputs!$E$17-Inputs!$D$17)),Inputs!$F$17-SQRT((1-H255)*(Inputs!$F$17-Inputs!$D$17)*(Inputs!$F$17-Inputs!$E$17))),0)</f>
        <v>106</v>
      </c>
      <c r="J255" s="81" t="n">
        <f aca="true">RAND()</f>
        <v>0.516419493934042</v>
      </c>
      <c r="K255" s="83" t="n">
        <f aca="false">IF(J255&lt;(Inputs!$E$18-Inputs!$D$18)/(Inputs!$F$18-Inputs!$D$18),Inputs!$D$18+SQRT(J255*(Inputs!$F$18-Inputs!$D$18)*(Inputs!$E$18-Inputs!$D$18)),Inputs!$F$18-SQRT((1-J255)*(Inputs!$F$18-Inputs!$D$18)*(Inputs!$F$18-Inputs!$E$18)))</f>
        <v>1.04429804502443</v>
      </c>
      <c r="L255" s="81" t="n">
        <f aca="true">RAND()</f>
        <v>0.343527510136247</v>
      </c>
      <c r="M255" s="83" t="n">
        <f aca="false">IF(L255&lt;(Inputs!$E$24-Inputs!$D$24)/(Inputs!$F$24-Inputs!$D$24),Inputs!$D$24+SQRT(L255*(Inputs!$F$24-Inputs!$D$24)*(Inputs!$E$24-Inputs!$D$24)),Inputs!$F$24-SQRT((1-L255)*(Inputs!$F$24-Inputs!$D$24)*(Inputs!$F$24-Inputs!$E$24)))</f>
        <v>0.803070034430127</v>
      </c>
      <c r="N255" s="81" t="n">
        <f aca="true">RAND()</f>
        <v>0.181964145830773</v>
      </c>
      <c r="O255" s="83" t="n">
        <f aca="false">IF(N255&lt;(Inputs!$E$26-Inputs!$D$26)/(Inputs!$F$26-Inputs!$D$26),Inputs!$D$26+SQRT(N255*(Inputs!$F$26-Inputs!$D$26)*(Inputs!$E$26-Inputs!$D$26)),Inputs!$F$26-SQRT((1-N255)*(Inputs!$F$26-Inputs!$D$26)*(Inputs!$F$26-Inputs!$E$26)))</f>
        <v>0.474008143103248</v>
      </c>
      <c r="P255" s="81" t="n">
        <f aca="true">RAND()</f>
        <v>0.743785975069447</v>
      </c>
      <c r="Q255" s="82" t="n">
        <f aca="false">IF(P255&lt;(Inputs!$E$27-Inputs!$D$27)/(Inputs!$F$27-Inputs!$D$27),Inputs!$D$27+SQRT(P255*(Inputs!$F$27-Inputs!$D$27)*(Inputs!$E$27-Inputs!$D$27)),Inputs!$F$27-SQRT((1-P255)*(Inputs!$F$27-Inputs!$D$27)*(Inputs!$F$27-Inputs!$E$27)))</f>
        <v>106.163882619703</v>
      </c>
      <c r="R255" s="81" t="n">
        <f aca="true">RAND()</f>
        <v>0.400146267071291</v>
      </c>
      <c r="S255" s="82" t="n">
        <f aca="false">IF(R255&lt;(Inputs!$E$29-Inputs!$D$29)/(Inputs!$F$29-Inputs!$D$29),Inputs!$D$29+SQRT(R255*(Inputs!$F$29-Inputs!$D$29)*(Inputs!$E$29-Inputs!$D$29)),Inputs!$F$29-SQRT((1-R255)*(Inputs!$F$29-Inputs!$D$29)*(Inputs!$F$29-Inputs!$E$29)))</f>
        <v>6.16931569578369</v>
      </c>
      <c r="T255" s="68" t="n">
        <f aca="false">Inputs!$E$9*(1+E255)+Inputs!$E$5*C255*(Inputs!$E$11*Inputs!$E$14*(G255*I255/Inputs!$E$16+(1-G255))*K255+Inputs!$E$23*M255)*(1+O255)+Inputs!$E$5*(Q255+S255)</f>
        <v>5892.81589571815</v>
      </c>
    </row>
    <row r="256" customFormat="false" ht="15" hidden="false" customHeight="false" outlineLevel="0" collapsed="false">
      <c r="A256" s="1" t="n">
        <v>252</v>
      </c>
      <c r="B256" s="81" t="n">
        <f aca="true">RAND()</f>
        <v>0.175530727790929</v>
      </c>
      <c r="C256" s="82" t="n">
        <f aca="false">ROUND(IF(B256&lt;(Inputs!$E$8-Inputs!$D$8)/(Inputs!$F$8-Inputs!$D$8),Inputs!$D$8+SQRT(B256*(Inputs!$F$8-Inputs!$D$8)*(Inputs!$E$8-Inputs!$D$8)),Inputs!$F$8-SQRT((1-B256)*(Inputs!$F$8-Inputs!$D$8)*(Inputs!$F$8-Inputs!$E$8))),0)</f>
        <v>23</v>
      </c>
      <c r="D256" s="81" t="n">
        <f aca="true">RAND()</f>
        <v>0.104682769763611</v>
      </c>
      <c r="E256" s="83" t="n">
        <f aca="false">IF(D256&lt;(Inputs!$E$10-Inputs!$D$10)/(Inputs!$F$10-Inputs!$D$10),Inputs!$D$10+SQRT(D256*(Inputs!$F$10-Inputs!$D$10)*(Inputs!$E$10-Inputs!$D$10)),Inputs!$F$10-SQRT((1-D256)*(Inputs!$F$10-Inputs!$D$10)*(Inputs!$F$10-Inputs!$E$10)))</f>
        <v>0.0323547167757053</v>
      </c>
      <c r="F256" s="81" t="n">
        <f aca="true">RAND()</f>
        <v>0.272222148208076</v>
      </c>
      <c r="G256" s="83" t="n">
        <f aca="false">IF(F256&lt;(Inputs!$E$15-Inputs!$D$15)/(Inputs!$F$15-Inputs!$D$15),Inputs!$D$15+SQRT(F256*(Inputs!$F$15-Inputs!$D$15)*(Inputs!$E$15-Inputs!$D$15)),Inputs!$F$15-SQRT((1-F256)*(Inputs!$F$15-Inputs!$D$15)*(Inputs!$F$15-Inputs!$E$15)))</f>
        <v>0.673786468706407</v>
      </c>
      <c r="H256" s="81" t="n">
        <f aca="true">RAND()</f>
        <v>0.612552591917109</v>
      </c>
      <c r="I256" s="82" t="n">
        <f aca="false">ROUND(IF(H256&lt;(Inputs!$E$17-Inputs!$D$17)/(Inputs!$F$17-Inputs!$D$17),Inputs!$D$17+SQRT(H256*(Inputs!$F$17-Inputs!$D$17)*(Inputs!$E$17-Inputs!$D$17)),Inputs!$F$17-SQRT((1-H256)*(Inputs!$F$17-Inputs!$D$17)*(Inputs!$F$17-Inputs!$E$17))),0)</f>
        <v>107</v>
      </c>
      <c r="J256" s="81" t="n">
        <f aca="true">RAND()</f>
        <v>0.093784688355738</v>
      </c>
      <c r="K256" s="83" t="n">
        <f aca="false">IF(J256&lt;(Inputs!$E$18-Inputs!$D$18)/(Inputs!$F$18-Inputs!$D$18),Inputs!$D$18+SQRT(J256*(Inputs!$F$18-Inputs!$D$18)*(Inputs!$E$18-Inputs!$D$18)),Inputs!$F$18-SQRT((1-J256)*(Inputs!$F$18-Inputs!$D$18)*(Inputs!$F$18-Inputs!$E$18)))</f>
        <v>0.957292792674566</v>
      </c>
      <c r="L256" s="81" t="n">
        <f aca="true">RAND()</f>
        <v>0.907969165124136</v>
      </c>
      <c r="M256" s="83" t="n">
        <f aca="false">IF(L256&lt;(Inputs!$E$24-Inputs!$D$24)/(Inputs!$F$24-Inputs!$D$24),Inputs!$D$24+SQRT(L256*(Inputs!$F$24-Inputs!$D$24)*(Inputs!$E$24-Inputs!$D$24)),Inputs!$F$24-SQRT((1-L256)*(Inputs!$F$24-Inputs!$D$24)*(Inputs!$F$24-Inputs!$E$24)))</f>
        <v>1.05138169570942</v>
      </c>
      <c r="N256" s="81" t="n">
        <f aca="true">RAND()</f>
        <v>0.164491605920078</v>
      </c>
      <c r="O256" s="83" t="n">
        <f aca="false">IF(N256&lt;(Inputs!$E$26-Inputs!$D$26)/(Inputs!$F$26-Inputs!$D$26),Inputs!$D$26+SQRT(N256*(Inputs!$F$26-Inputs!$D$26)*(Inputs!$E$26-Inputs!$D$26)),Inputs!$F$26-SQRT((1-N256)*(Inputs!$F$26-Inputs!$D$26)*(Inputs!$F$26-Inputs!$E$26)))</f>
        <v>0.465443051304976</v>
      </c>
      <c r="P256" s="81" t="n">
        <f aca="true">RAND()</f>
        <v>0.976549466324372</v>
      </c>
      <c r="Q256" s="82" t="n">
        <f aca="false">IF(P256&lt;(Inputs!$E$27-Inputs!$D$27)/(Inputs!$F$27-Inputs!$D$27),Inputs!$D$27+SQRT(P256*(Inputs!$F$27-Inputs!$D$27)*(Inputs!$E$27-Inputs!$D$27)),Inputs!$F$27-SQRT((1-P256)*(Inputs!$F$27-Inputs!$D$27)*(Inputs!$F$27-Inputs!$E$27)))</f>
        <v>136.738061884958</v>
      </c>
      <c r="R256" s="81" t="n">
        <f aca="true">RAND()</f>
        <v>0.959491323661157</v>
      </c>
      <c r="S256" s="82" t="n">
        <f aca="false">IF(R256&lt;(Inputs!$E$29-Inputs!$D$29)/(Inputs!$F$29-Inputs!$D$29),Inputs!$D$29+SQRT(R256*(Inputs!$F$29-Inputs!$D$29)*(Inputs!$E$29-Inputs!$D$29)),Inputs!$F$29-SQRT((1-R256)*(Inputs!$F$29-Inputs!$D$29)*(Inputs!$F$29-Inputs!$E$29)))</f>
        <v>12.7051954497061</v>
      </c>
      <c r="T256" s="68" t="n">
        <f aca="false">Inputs!$E$9*(1+E256)+Inputs!$E$5*C256*(Inputs!$E$11*Inputs!$E$14*(G256*I256/Inputs!$E$16+(1-G256))*K256+Inputs!$E$23*M256)*(1+O256)+Inputs!$E$5*(Q256+S256)</f>
        <v>6060.73570520361</v>
      </c>
    </row>
    <row r="257" customFormat="false" ht="15" hidden="false" customHeight="false" outlineLevel="0" collapsed="false">
      <c r="A257" s="1" t="n">
        <v>253</v>
      </c>
      <c r="B257" s="81" t="n">
        <f aca="true">RAND()</f>
        <v>0.781728444793233</v>
      </c>
      <c r="C257" s="82" t="n">
        <f aca="false">ROUND(IF(B257&lt;(Inputs!$E$8-Inputs!$D$8)/(Inputs!$F$8-Inputs!$D$8),Inputs!$D$8+SQRT(B257*(Inputs!$F$8-Inputs!$D$8)*(Inputs!$E$8-Inputs!$D$8)),Inputs!$F$8-SQRT((1-B257)*(Inputs!$F$8-Inputs!$D$8)*(Inputs!$F$8-Inputs!$E$8))),0)</f>
        <v>27</v>
      </c>
      <c r="D257" s="81" t="n">
        <f aca="true">RAND()</f>
        <v>0.895828029528675</v>
      </c>
      <c r="E257" s="83" t="n">
        <f aca="false">IF(D257&lt;(Inputs!$E$10-Inputs!$D$10)/(Inputs!$F$10-Inputs!$D$10),Inputs!$D$10+SQRT(D257*(Inputs!$F$10-Inputs!$D$10)*(Inputs!$E$10-Inputs!$D$10)),Inputs!$F$10-SQRT((1-D257)*(Inputs!$F$10-Inputs!$D$10)*(Inputs!$F$10-Inputs!$E$10)))</f>
        <v>0.14409687742049</v>
      </c>
      <c r="F257" s="81" t="n">
        <f aca="true">RAND()</f>
        <v>0.277083107281859</v>
      </c>
      <c r="G257" s="83" t="n">
        <f aca="false">IF(F257&lt;(Inputs!$E$15-Inputs!$D$15)/(Inputs!$F$15-Inputs!$D$15),Inputs!$D$15+SQRT(F257*(Inputs!$F$15-Inputs!$D$15)*(Inputs!$E$15-Inputs!$D$15)),Inputs!$F$15-SQRT((1-F257)*(Inputs!$F$15-Inputs!$D$15)*(Inputs!$F$15-Inputs!$E$15)))</f>
        <v>0.674442341081116</v>
      </c>
      <c r="H257" s="81" t="n">
        <f aca="true">RAND()</f>
        <v>0.52375801005301</v>
      </c>
      <c r="I257" s="82" t="n">
        <f aca="false">ROUND(IF(H257&lt;(Inputs!$E$17-Inputs!$D$17)/(Inputs!$F$17-Inputs!$D$17),Inputs!$D$17+SQRT(H257*(Inputs!$F$17-Inputs!$D$17)*(Inputs!$E$17-Inputs!$D$17)),Inputs!$F$17-SQRT((1-H257)*(Inputs!$F$17-Inputs!$D$17)*(Inputs!$F$17-Inputs!$E$17))),0)</f>
        <v>107</v>
      </c>
      <c r="J257" s="81" t="n">
        <f aca="true">RAND()</f>
        <v>0.606665208476638</v>
      </c>
      <c r="K257" s="83" t="n">
        <f aca="false">IF(J257&lt;(Inputs!$E$18-Inputs!$D$18)/(Inputs!$F$18-Inputs!$D$18),Inputs!$D$18+SQRT(J257*(Inputs!$F$18-Inputs!$D$18)*(Inputs!$E$18-Inputs!$D$18)),Inputs!$F$18-SQRT((1-J257)*(Inputs!$F$18-Inputs!$D$18)*(Inputs!$F$18-Inputs!$E$18)))</f>
        <v>1.06448236132838</v>
      </c>
      <c r="L257" s="81" t="n">
        <f aca="true">RAND()</f>
        <v>0.0754354214925169</v>
      </c>
      <c r="M257" s="83" t="n">
        <f aca="false">IF(L257&lt;(Inputs!$E$24-Inputs!$D$24)/(Inputs!$F$24-Inputs!$D$24),Inputs!$D$24+SQRT(L257*(Inputs!$F$24-Inputs!$D$24)*(Inputs!$E$24-Inputs!$D$24)),Inputs!$F$24-SQRT((1-L257)*(Inputs!$F$24-Inputs!$D$24)*(Inputs!$F$24-Inputs!$E$24)))</f>
        <v>0.695143315998036</v>
      </c>
      <c r="N257" s="81" t="n">
        <f aca="true">RAND()</f>
        <v>0.490634164532894</v>
      </c>
      <c r="O257" s="83" t="n">
        <f aca="false">IF(N257&lt;(Inputs!$E$26-Inputs!$D$26)/(Inputs!$F$26-Inputs!$D$26),Inputs!$D$26+SQRT(N257*(Inputs!$F$26-Inputs!$D$26)*(Inputs!$E$26-Inputs!$D$26)),Inputs!$F$26-SQRT((1-N257)*(Inputs!$F$26-Inputs!$D$26)*(Inputs!$F$26-Inputs!$E$26)))</f>
        <v>0.585729811147303</v>
      </c>
      <c r="P257" s="81" t="n">
        <f aca="true">RAND()</f>
        <v>0.519269543062582</v>
      </c>
      <c r="Q257" s="82" t="n">
        <f aca="false">IF(P257&lt;(Inputs!$E$27-Inputs!$D$27)/(Inputs!$F$27-Inputs!$D$27),Inputs!$D$27+SQRT(P257*(Inputs!$F$27-Inputs!$D$27)*(Inputs!$E$27-Inputs!$D$27)),Inputs!$F$27-SQRT((1-P257)*(Inputs!$F$27-Inputs!$D$27)*(Inputs!$F$27-Inputs!$E$27)))</f>
        <v>89.9543637969366</v>
      </c>
      <c r="R257" s="81" t="n">
        <f aca="true">RAND()</f>
        <v>0.688133888301154</v>
      </c>
      <c r="S257" s="82" t="n">
        <f aca="false">IF(R257&lt;(Inputs!$E$29-Inputs!$D$29)/(Inputs!$F$29-Inputs!$D$29),Inputs!$D$29+SQRT(R257*(Inputs!$F$29-Inputs!$D$29)*(Inputs!$E$29-Inputs!$D$29)),Inputs!$F$29-SQRT((1-R257)*(Inputs!$F$29-Inputs!$D$29)*(Inputs!$F$29-Inputs!$E$29)))</f>
        <v>8.63269330714705</v>
      </c>
      <c r="T257" s="68" t="n">
        <f aca="false">Inputs!$E$9*(1+E257)+Inputs!$E$5*C257*(Inputs!$E$11*Inputs!$E$14*(G257*I257/Inputs!$E$16+(1-G257))*K257+Inputs!$E$23*M257)*(1+O257)+Inputs!$E$5*(Q257+S257)</f>
        <v>6582.83375978238</v>
      </c>
    </row>
    <row r="258" customFormat="false" ht="15" hidden="false" customHeight="false" outlineLevel="0" collapsed="false">
      <c r="A258" s="1" t="n">
        <v>254</v>
      </c>
      <c r="B258" s="81" t="n">
        <f aca="true">RAND()</f>
        <v>0.639298532155286</v>
      </c>
      <c r="C258" s="82" t="n">
        <f aca="false">ROUND(IF(B258&lt;(Inputs!$E$8-Inputs!$D$8)/(Inputs!$F$8-Inputs!$D$8),Inputs!$D$8+SQRT(B258*(Inputs!$F$8-Inputs!$D$8)*(Inputs!$E$8-Inputs!$D$8)),Inputs!$F$8-SQRT((1-B258)*(Inputs!$F$8-Inputs!$D$8)*(Inputs!$F$8-Inputs!$E$8))),0)</f>
        <v>26</v>
      </c>
      <c r="D258" s="81" t="n">
        <f aca="true">RAND()</f>
        <v>0.68983269629364</v>
      </c>
      <c r="E258" s="83" t="n">
        <f aca="false">IF(D258&lt;(Inputs!$E$10-Inputs!$D$10)/(Inputs!$F$10-Inputs!$D$10),Inputs!$D$10+SQRT(D258*(Inputs!$F$10-Inputs!$D$10)*(Inputs!$E$10-Inputs!$D$10)),Inputs!$F$10-SQRT((1-D258)*(Inputs!$F$10-Inputs!$D$10)*(Inputs!$F$10-Inputs!$E$10)))</f>
        <v>0.103537473020914</v>
      </c>
      <c r="F258" s="81" t="n">
        <f aca="true">RAND()</f>
        <v>0.264125891314191</v>
      </c>
      <c r="G258" s="83" t="n">
        <f aca="false">IF(F258&lt;(Inputs!$E$15-Inputs!$D$15)/(Inputs!$F$15-Inputs!$D$15),Inputs!$D$15+SQRT(F258*(Inputs!$F$15-Inputs!$D$15)*(Inputs!$E$15-Inputs!$D$15)),Inputs!$F$15-SQRT((1-F258)*(Inputs!$F$15-Inputs!$D$15)*(Inputs!$F$15-Inputs!$E$15)))</f>
        <v>0.67268093165531</v>
      </c>
      <c r="H258" s="81" t="n">
        <f aca="true">RAND()</f>
        <v>0.239727066412308</v>
      </c>
      <c r="I258" s="82" t="n">
        <f aca="false">ROUND(IF(H258&lt;(Inputs!$E$17-Inputs!$D$17)/(Inputs!$F$17-Inputs!$D$17),Inputs!$D$17+SQRT(H258*(Inputs!$F$17-Inputs!$D$17)*(Inputs!$E$17-Inputs!$D$17)),Inputs!$F$17-SQRT((1-H258)*(Inputs!$F$17-Inputs!$D$17)*(Inputs!$F$17-Inputs!$E$17))),0)</f>
        <v>104</v>
      </c>
      <c r="J258" s="81" t="n">
        <f aca="true">RAND()</f>
        <v>0.79579502202616</v>
      </c>
      <c r="K258" s="83" t="n">
        <f aca="false">IF(J258&lt;(Inputs!$E$18-Inputs!$D$18)/(Inputs!$F$18-Inputs!$D$18),Inputs!$D$18+SQRT(J258*(Inputs!$F$18-Inputs!$D$18)*(Inputs!$E$18-Inputs!$D$18)),Inputs!$F$18-SQRT((1-J258)*(Inputs!$F$18-Inputs!$D$18)*(Inputs!$F$18-Inputs!$E$18)))</f>
        <v>1.11632900249975</v>
      </c>
      <c r="L258" s="81" t="n">
        <f aca="true">RAND()</f>
        <v>0.709411138078024</v>
      </c>
      <c r="M258" s="83" t="n">
        <f aca="false">IF(L258&lt;(Inputs!$E$24-Inputs!$D$24)/(Inputs!$F$24-Inputs!$D$24),Inputs!$D$24+SQRT(L258*(Inputs!$F$24-Inputs!$D$24)*(Inputs!$E$24-Inputs!$D$24)),Inputs!$F$24-SQRT((1-L258)*(Inputs!$F$24-Inputs!$D$24)*(Inputs!$F$24-Inputs!$E$24)))</f>
        <v>0.935914167624853</v>
      </c>
      <c r="N258" s="81" t="n">
        <f aca="true">RAND()</f>
        <v>0.645706370403531</v>
      </c>
      <c r="O258" s="83" t="n">
        <f aca="false">IF(N258&lt;(Inputs!$E$26-Inputs!$D$26)/(Inputs!$F$26-Inputs!$D$26),Inputs!$D$26+SQRT(N258*(Inputs!$F$26-Inputs!$D$26)*(Inputs!$E$26-Inputs!$D$26)),Inputs!$F$26-SQRT((1-N258)*(Inputs!$F$26-Inputs!$D$26)*(Inputs!$F$26-Inputs!$E$26)))</f>
        <v>0.628045480704327</v>
      </c>
      <c r="P258" s="81" t="n">
        <f aca="true">RAND()</f>
        <v>0.58110098317757</v>
      </c>
      <c r="Q258" s="82" t="n">
        <f aca="false">IF(P258&lt;(Inputs!$E$27-Inputs!$D$27)/(Inputs!$F$27-Inputs!$D$27),Inputs!$D$27+SQRT(P258*(Inputs!$F$27-Inputs!$D$27)*(Inputs!$E$27-Inputs!$D$27)),Inputs!$F$27-SQRT((1-P258)*(Inputs!$F$27-Inputs!$D$27)*(Inputs!$F$27-Inputs!$E$27)))</f>
        <v>93.9487500035171</v>
      </c>
      <c r="R258" s="81" t="n">
        <f aca="true">RAND()</f>
        <v>0.470998912752548</v>
      </c>
      <c r="S258" s="82" t="n">
        <f aca="false">IF(R258&lt;(Inputs!$E$29-Inputs!$D$29)/(Inputs!$F$29-Inputs!$D$29),Inputs!$D$29+SQRT(R258*(Inputs!$F$29-Inputs!$D$29)*(Inputs!$E$29-Inputs!$D$29)),Inputs!$F$29-SQRT((1-R258)*(Inputs!$F$29-Inputs!$D$29)*(Inputs!$F$29-Inputs!$E$29)))</f>
        <v>6.70722354442321</v>
      </c>
      <c r="T258" s="68" t="n">
        <f aca="false">Inputs!$E$9*(1+E258)+Inputs!$E$5*C258*(Inputs!$E$11*Inputs!$E$14*(G258*I258/Inputs!$E$16+(1-G258))*K258+Inputs!$E$23*M258)*(1+O258)+Inputs!$E$5*(Q258+S258)</f>
        <v>6910.737015277</v>
      </c>
    </row>
    <row r="259" customFormat="false" ht="15" hidden="false" customHeight="false" outlineLevel="0" collapsed="false">
      <c r="A259" s="1" t="n">
        <v>255</v>
      </c>
      <c r="B259" s="81" t="n">
        <f aca="true">RAND()</f>
        <v>0.617413441826094</v>
      </c>
      <c r="C259" s="82" t="n">
        <f aca="false">ROUND(IF(B259&lt;(Inputs!$E$8-Inputs!$D$8)/(Inputs!$F$8-Inputs!$D$8),Inputs!$D$8+SQRT(B259*(Inputs!$F$8-Inputs!$D$8)*(Inputs!$E$8-Inputs!$D$8)),Inputs!$F$8-SQRT((1-B259)*(Inputs!$F$8-Inputs!$D$8)*(Inputs!$F$8-Inputs!$E$8))),0)</f>
        <v>26</v>
      </c>
      <c r="D259" s="81" t="n">
        <f aca="true">RAND()</f>
        <v>0.608619114716533</v>
      </c>
      <c r="E259" s="83" t="n">
        <f aca="false">IF(D259&lt;(Inputs!$E$10-Inputs!$D$10)/(Inputs!$F$10-Inputs!$D$10),Inputs!$D$10+SQRT(D259*(Inputs!$F$10-Inputs!$D$10)*(Inputs!$E$10-Inputs!$D$10)),Inputs!$F$10-SQRT((1-D259)*(Inputs!$F$10-Inputs!$D$10)*(Inputs!$F$10-Inputs!$E$10)))</f>
        <v>0.0916421366097318</v>
      </c>
      <c r="F259" s="81" t="n">
        <f aca="true">RAND()</f>
        <v>0.571605995539268</v>
      </c>
      <c r="G259" s="83" t="n">
        <f aca="false">IF(F259&lt;(Inputs!$E$15-Inputs!$D$15)/(Inputs!$F$15-Inputs!$D$15),Inputs!$D$15+SQRT(F259*(Inputs!$F$15-Inputs!$D$15)*(Inputs!$E$15-Inputs!$D$15)),Inputs!$F$15-SQRT((1-F259)*(Inputs!$F$15-Inputs!$D$15)*(Inputs!$F$15-Inputs!$E$15)))</f>
        <v>0.70743715600083</v>
      </c>
      <c r="H259" s="81" t="n">
        <f aca="true">RAND()</f>
        <v>0.616312230922639</v>
      </c>
      <c r="I259" s="82" t="n">
        <f aca="false">ROUND(IF(H259&lt;(Inputs!$E$17-Inputs!$D$17)/(Inputs!$F$17-Inputs!$D$17),Inputs!$D$17+SQRT(H259*(Inputs!$F$17-Inputs!$D$17)*(Inputs!$E$17-Inputs!$D$17)),Inputs!$F$17-SQRT((1-H259)*(Inputs!$F$17-Inputs!$D$17)*(Inputs!$F$17-Inputs!$E$17))),0)</f>
        <v>107</v>
      </c>
      <c r="J259" s="81" t="n">
        <f aca="true">RAND()</f>
        <v>0.647648790354408</v>
      </c>
      <c r="K259" s="83" t="n">
        <f aca="false">IF(J259&lt;(Inputs!$E$18-Inputs!$D$18)/(Inputs!$F$18-Inputs!$D$18),Inputs!$D$18+SQRT(J259*(Inputs!$F$18-Inputs!$D$18)*(Inputs!$E$18-Inputs!$D$18)),Inputs!$F$18-SQRT((1-J259)*(Inputs!$F$18-Inputs!$D$18)*(Inputs!$F$18-Inputs!$E$18)))</f>
        <v>1.07441318146288</v>
      </c>
      <c r="L259" s="81" t="n">
        <f aca="true">RAND()</f>
        <v>0.428595523120019</v>
      </c>
      <c r="M259" s="83" t="n">
        <f aca="false">IF(L259&lt;(Inputs!$E$24-Inputs!$D$24)/(Inputs!$F$24-Inputs!$D$24),Inputs!$D$24+SQRT(L259*(Inputs!$F$24-Inputs!$D$24)*(Inputs!$E$24-Inputs!$D$24)),Inputs!$F$24-SQRT((1-L259)*(Inputs!$F$24-Inputs!$D$24)*(Inputs!$F$24-Inputs!$E$24)))</f>
        <v>0.829679767699366</v>
      </c>
      <c r="N259" s="81" t="n">
        <f aca="true">RAND()</f>
        <v>0.0908780067331992</v>
      </c>
      <c r="O259" s="83" t="n">
        <f aca="false">IF(N259&lt;(Inputs!$E$26-Inputs!$D$26)/(Inputs!$F$26-Inputs!$D$26),Inputs!$D$26+SQRT(N259*(Inputs!$F$26-Inputs!$D$26)*(Inputs!$E$26-Inputs!$D$26)),Inputs!$F$26-SQRT((1-N259)*(Inputs!$F$26-Inputs!$D$26)*(Inputs!$F$26-Inputs!$E$26)))</f>
        <v>0.42297194932343</v>
      </c>
      <c r="P259" s="81" t="n">
        <f aca="true">RAND()</f>
        <v>0.811574281632919</v>
      </c>
      <c r="Q259" s="82" t="n">
        <f aca="false">IF(P259&lt;(Inputs!$E$27-Inputs!$D$27)/(Inputs!$F$27-Inputs!$D$27),Inputs!$D$27+SQRT(P259*(Inputs!$F$27-Inputs!$D$27)*(Inputs!$E$27-Inputs!$D$27)),Inputs!$F$27-SQRT((1-P259)*(Inputs!$F$27-Inputs!$D$27)*(Inputs!$F$27-Inputs!$E$27)))</f>
        <v>112.407542142697</v>
      </c>
      <c r="R259" s="81" t="n">
        <f aca="true">RAND()</f>
        <v>0.0684481342294473</v>
      </c>
      <c r="S259" s="82" t="n">
        <f aca="false">IF(R259&lt;(Inputs!$E$29-Inputs!$D$29)/(Inputs!$F$29-Inputs!$D$29),Inputs!$D$29+SQRT(R259*(Inputs!$F$29-Inputs!$D$29)*(Inputs!$E$29-Inputs!$D$29)),Inputs!$F$29-SQRT((1-R259)*(Inputs!$F$29-Inputs!$D$29)*(Inputs!$F$29-Inputs!$E$29)))</f>
        <v>3.63385349249816</v>
      </c>
      <c r="T259" s="68" t="n">
        <f aca="false">Inputs!$E$9*(1+E259)+Inputs!$E$5*C259*(Inputs!$E$11*Inputs!$E$14*(G259*I259/Inputs!$E$16+(1-G259))*K259+Inputs!$E$23*M259)*(1+O259)+Inputs!$E$5*(Q259+S259)</f>
        <v>6224.35811281471</v>
      </c>
    </row>
    <row r="260" customFormat="false" ht="15" hidden="false" customHeight="false" outlineLevel="0" collapsed="false">
      <c r="A260" s="1" t="n">
        <v>256</v>
      </c>
      <c r="B260" s="81" t="n">
        <f aca="true">RAND()</f>
        <v>0.488157488653767</v>
      </c>
      <c r="C260" s="82" t="n">
        <f aca="false">ROUND(IF(B260&lt;(Inputs!$E$8-Inputs!$D$8)/(Inputs!$F$8-Inputs!$D$8),Inputs!$D$8+SQRT(B260*(Inputs!$F$8-Inputs!$D$8)*(Inputs!$E$8-Inputs!$D$8)),Inputs!$F$8-SQRT((1-B260)*(Inputs!$F$8-Inputs!$D$8)*(Inputs!$F$8-Inputs!$E$8))),0)</f>
        <v>25</v>
      </c>
      <c r="D260" s="81" t="n">
        <f aca="true">RAND()</f>
        <v>0.051237295789343</v>
      </c>
      <c r="E260" s="83" t="n">
        <f aca="false">IF(D260&lt;(Inputs!$E$10-Inputs!$D$10)/(Inputs!$F$10-Inputs!$D$10),Inputs!$D$10+SQRT(D260*(Inputs!$F$10-Inputs!$D$10)*(Inputs!$E$10-Inputs!$D$10)),Inputs!$F$10-SQRT((1-D260)*(Inputs!$F$10-Inputs!$D$10)*(Inputs!$F$10-Inputs!$E$10)))</f>
        <v>0.0226356567806951</v>
      </c>
      <c r="F260" s="81" t="n">
        <f aca="true">RAND()</f>
        <v>0.28616775876363</v>
      </c>
      <c r="G260" s="83" t="n">
        <f aca="false">IF(F260&lt;(Inputs!$E$15-Inputs!$D$15)/(Inputs!$F$15-Inputs!$D$15),Inputs!$D$15+SQRT(F260*(Inputs!$F$15-Inputs!$D$15)*(Inputs!$E$15-Inputs!$D$15)),Inputs!$F$15-SQRT((1-F260)*(Inputs!$F$15-Inputs!$D$15)*(Inputs!$F$15-Inputs!$E$15)))</f>
        <v>0.675652859663549</v>
      </c>
      <c r="H260" s="81" t="n">
        <f aca="true">RAND()</f>
        <v>0.331772485825357</v>
      </c>
      <c r="I260" s="82" t="n">
        <f aca="false">ROUND(IF(H260&lt;(Inputs!$E$17-Inputs!$D$17)/(Inputs!$F$17-Inputs!$D$17),Inputs!$D$17+SQRT(H260*(Inputs!$F$17-Inputs!$D$17)*(Inputs!$E$17-Inputs!$D$17)),Inputs!$F$17-SQRT((1-H260)*(Inputs!$F$17-Inputs!$D$17)*(Inputs!$F$17-Inputs!$E$17))),0)</f>
        <v>105</v>
      </c>
      <c r="J260" s="81" t="n">
        <f aca="true">RAND()</f>
        <v>0.902693200220871</v>
      </c>
      <c r="K260" s="83" t="n">
        <f aca="false">IF(J260&lt;(Inputs!$E$18-Inputs!$D$18)/(Inputs!$F$18-Inputs!$D$18),Inputs!$D$18+SQRT(J260*(Inputs!$F$18-Inputs!$D$18)*(Inputs!$E$18-Inputs!$D$18)),Inputs!$F$18-SQRT((1-J260)*(Inputs!$F$18-Inputs!$D$18)*(Inputs!$F$18-Inputs!$E$18)))</f>
        <v>1.15772679164203</v>
      </c>
      <c r="L260" s="81" t="n">
        <f aca="true">RAND()</f>
        <v>0.762815858413659</v>
      </c>
      <c r="M260" s="83" t="n">
        <f aca="false">IF(L260&lt;(Inputs!$E$24-Inputs!$D$24)/(Inputs!$F$24-Inputs!$D$24),Inputs!$D$24+SQRT(L260*(Inputs!$F$24-Inputs!$D$24)*(Inputs!$E$24-Inputs!$D$24)),Inputs!$F$24-SQRT((1-L260)*(Inputs!$F$24-Inputs!$D$24)*(Inputs!$F$24-Inputs!$E$24)))</f>
        <v>0.961412083330438</v>
      </c>
      <c r="N260" s="81" t="n">
        <f aca="true">RAND()</f>
        <v>0.874491459850366</v>
      </c>
      <c r="O260" s="83" t="n">
        <f aca="false">IF(N260&lt;(Inputs!$E$26-Inputs!$D$26)/(Inputs!$F$26-Inputs!$D$26),Inputs!$D$26+SQRT(N260*(Inputs!$F$26-Inputs!$D$26)*(Inputs!$E$26-Inputs!$D$26)),Inputs!$F$26-SQRT((1-N260)*(Inputs!$F$26-Inputs!$D$26)*(Inputs!$F$26-Inputs!$E$26)))</f>
        <v>0.705750762910372</v>
      </c>
      <c r="P260" s="81" t="n">
        <f aca="true">RAND()</f>
        <v>0.720981824331281</v>
      </c>
      <c r="Q260" s="82" t="n">
        <f aca="false">IF(P260&lt;(Inputs!$E$27-Inputs!$D$27)/(Inputs!$F$27-Inputs!$D$27),Inputs!$D$27+SQRT(P260*(Inputs!$F$27-Inputs!$D$27)*(Inputs!$E$27-Inputs!$D$27)),Inputs!$F$27-SQRT((1-P260)*(Inputs!$F$27-Inputs!$D$27)*(Inputs!$F$27-Inputs!$E$27)))</f>
        <v>104.254657969194</v>
      </c>
      <c r="R260" s="81" t="n">
        <f aca="true">RAND()</f>
        <v>0.988631859889677</v>
      </c>
      <c r="S260" s="82" t="n">
        <f aca="false">IF(R260&lt;(Inputs!$E$29-Inputs!$D$29)/(Inputs!$F$29-Inputs!$D$29),Inputs!$D$29+SQRT(R260*(Inputs!$F$29-Inputs!$D$29)*(Inputs!$E$29-Inputs!$D$29)),Inputs!$F$29-SQRT((1-R260)*(Inputs!$F$29-Inputs!$D$29)*(Inputs!$F$29-Inputs!$E$29)))</f>
        <v>13.7843280811247</v>
      </c>
      <c r="T260" s="68" t="n">
        <f aca="false">Inputs!$E$9*(1+E260)+Inputs!$E$5*C260*(Inputs!$E$11*Inputs!$E$14*(G260*I260/Inputs!$E$16+(1-G260))*K260+Inputs!$E$23*M260)*(1+O260)+Inputs!$E$5*(Q260+S260)</f>
        <v>6992.86053655385</v>
      </c>
    </row>
    <row r="261" customFormat="false" ht="15" hidden="false" customHeight="false" outlineLevel="0" collapsed="false">
      <c r="A261" s="1" t="n">
        <v>257</v>
      </c>
      <c r="B261" s="81" t="n">
        <f aca="true">RAND()</f>
        <v>0.526464920277761</v>
      </c>
      <c r="C261" s="82" t="n">
        <f aca="false">ROUND(IF(B261&lt;(Inputs!$E$8-Inputs!$D$8)/(Inputs!$F$8-Inputs!$D$8),Inputs!$D$8+SQRT(B261*(Inputs!$F$8-Inputs!$D$8)*(Inputs!$E$8-Inputs!$D$8)),Inputs!$F$8-SQRT((1-B261)*(Inputs!$F$8-Inputs!$D$8)*(Inputs!$F$8-Inputs!$E$8))),0)</f>
        <v>25</v>
      </c>
      <c r="D261" s="81" t="n">
        <f aca="true">RAND()</f>
        <v>0.619521172636762</v>
      </c>
      <c r="E261" s="83" t="n">
        <f aca="false">IF(D261&lt;(Inputs!$E$10-Inputs!$D$10)/(Inputs!$F$10-Inputs!$D$10),Inputs!$D$10+SQRT(D261*(Inputs!$F$10-Inputs!$D$10)*(Inputs!$E$10-Inputs!$D$10)),Inputs!$F$10-SQRT((1-D261)*(Inputs!$F$10-Inputs!$D$10)*(Inputs!$F$10-Inputs!$E$10)))</f>
        <v>0.0931619692202391</v>
      </c>
      <c r="F261" s="81" t="n">
        <f aca="true">RAND()</f>
        <v>0.455978795160258</v>
      </c>
      <c r="G261" s="83" t="n">
        <f aca="false">IF(F261&lt;(Inputs!$E$15-Inputs!$D$15)/(Inputs!$F$15-Inputs!$D$15),Inputs!$D$15+SQRT(F261*(Inputs!$F$15-Inputs!$D$15)*(Inputs!$E$15-Inputs!$D$15)),Inputs!$F$15-SQRT((1-F261)*(Inputs!$F$15-Inputs!$D$15)*(Inputs!$F$15-Inputs!$E$15)))</f>
        <v>0.695496470632192</v>
      </c>
      <c r="H261" s="81" t="n">
        <f aca="true">RAND()</f>
        <v>0.833712819626541</v>
      </c>
      <c r="I261" s="82" t="n">
        <f aca="false">ROUND(IF(H261&lt;(Inputs!$E$17-Inputs!$D$17)/(Inputs!$F$17-Inputs!$D$17),Inputs!$D$17+SQRT(H261*(Inputs!$F$17-Inputs!$D$17)*(Inputs!$E$17-Inputs!$D$17)),Inputs!$F$17-SQRT((1-H261)*(Inputs!$F$17-Inputs!$D$17)*(Inputs!$F$17-Inputs!$E$17))),0)</f>
        <v>110</v>
      </c>
      <c r="J261" s="81" t="n">
        <f aca="true">RAND()</f>
        <v>0.0939701850947556</v>
      </c>
      <c r="K261" s="83" t="n">
        <f aca="false">IF(J261&lt;(Inputs!$E$18-Inputs!$D$18)/(Inputs!$F$18-Inputs!$D$18),Inputs!$D$18+SQRT(J261*(Inputs!$F$18-Inputs!$D$18)*(Inputs!$E$18-Inputs!$D$18)),Inputs!$F$18-SQRT((1-J261)*(Inputs!$F$18-Inputs!$D$18)*(Inputs!$F$18-Inputs!$E$18)))</f>
        <v>0.957349424393942</v>
      </c>
      <c r="L261" s="81" t="n">
        <f aca="true">RAND()</f>
        <v>0.74021947292821</v>
      </c>
      <c r="M261" s="83" t="n">
        <f aca="false">IF(L261&lt;(Inputs!$E$24-Inputs!$D$24)/(Inputs!$F$24-Inputs!$D$24),Inputs!$D$24+SQRT(L261*(Inputs!$F$24-Inputs!$D$24)*(Inputs!$E$24-Inputs!$D$24)),Inputs!$F$24-SQRT((1-L261)*(Inputs!$F$24-Inputs!$D$24)*(Inputs!$F$24-Inputs!$E$24)))</f>
        <v>0.950305533707233</v>
      </c>
      <c r="N261" s="81" t="n">
        <f aca="true">RAND()</f>
        <v>0.0154255186420396</v>
      </c>
      <c r="O261" s="83" t="n">
        <f aca="false">IF(N261&lt;(Inputs!$E$26-Inputs!$D$26)/(Inputs!$F$26-Inputs!$D$26),Inputs!$D$26+SQRT(N261*(Inputs!$F$26-Inputs!$D$26)*(Inputs!$E$26-Inputs!$D$26)),Inputs!$F$26-SQRT((1-N261)*(Inputs!$F$26-Inputs!$D$26)*(Inputs!$F$26-Inputs!$E$26)))</f>
        <v>0.350663658593072</v>
      </c>
      <c r="P261" s="81" t="n">
        <f aca="true">RAND()</f>
        <v>0.529471068310463</v>
      </c>
      <c r="Q261" s="82" t="n">
        <f aca="false">IF(P261&lt;(Inputs!$E$27-Inputs!$D$27)/(Inputs!$F$27-Inputs!$D$27),Inputs!$D$27+SQRT(P261*(Inputs!$F$27-Inputs!$D$27)*(Inputs!$E$27-Inputs!$D$27)),Inputs!$F$27-SQRT((1-P261)*(Inputs!$F$27-Inputs!$D$27)*(Inputs!$F$27-Inputs!$E$27)))</f>
        <v>90.5948908958874</v>
      </c>
      <c r="R261" s="81" t="n">
        <f aca="true">RAND()</f>
        <v>0.928506494193079</v>
      </c>
      <c r="S261" s="82" t="n">
        <f aca="false">IF(R261&lt;(Inputs!$E$29-Inputs!$D$29)/(Inputs!$F$29-Inputs!$D$29),Inputs!$D$29+SQRT(R261*(Inputs!$F$29-Inputs!$D$29)*(Inputs!$E$29-Inputs!$D$29)),Inputs!$F$29-SQRT((1-R261)*(Inputs!$F$29-Inputs!$D$29)*(Inputs!$F$29-Inputs!$E$29)))</f>
        <v>11.9513682159205</v>
      </c>
      <c r="T261" s="68" t="n">
        <f aca="false">Inputs!$E$9*(1+E261)+Inputs!$E$5*C261*(Inputs!$E$11*Inputs!$E$14*(G261*I261/Inputs!$E$16+(1-G261))*K261+Inputs!$E$23*M261)*(1+O261)+Inputs!$E$5*(Q261+S261)</f>
        <v>5849.28590142216</v>
      </c>
    </row>
    <row r="262" customFormat="false" ht="15" hidden="false" customHeight="false" outlineLevel="0" collapsed="false">
      <c r="A262" s="1" t="n">
        <v>258</v>
      </c>
      <c r="B262" s="81" t="n">
        <f aca="true">RAND()</f>
        <v>0.726677085433239</v>
      </c>
      <c r="C262" s="82" t="n">
        <f aca="false">ROUND(IF(B262&lt;(Inputs!$E$8-Inputs!$D$8)/(Inputs!$F$8-Inputs!$D$8),Inputs!$D$8+SQRT(B262*(Inputs!$F$8-Inputs!$D$8)*(Inputs!$E$8-Inputs!$D$8)),Inputs!$F$8-SQRT((1-B262)*(Inputs!$F$8-Inputs!$D$8)*(Inputs!$F$8-Inputs!$E$8))),0)</f>
        <v>26</v>
      </c>
      <c r="D262" s="81" t="n">
        <f aca="true">RAND()</f>
        <v>0.245718876425437</v>
      </c>
      <c r="E262" s="83" t="n">
        <f aca="false">IF(D262&lt;(Inputs!$E$10-Inputs!$D$10)/(Inputs!$F$10-Inputs!$D$10),Inputs!$D$10+SQRT(D262*(Inputs!$F$10-Inputs!$D$10)*(Inputs!$E$10-Inputs!$D$10)),Inputs!$F$10-SQRT((1-D262)*(Inputs!$F$10-Inputs!$D$10)*(Inputs!$F$10-Inputs!$E$10)))</f>
        <v>0.0495700389777371</v>
      </c>
      <c r="F262" s="81" t="n">
        <f aca="true">RAND()</f>
        <v>0.899953258970753</v>
      </c>
      <c r="G262" s="83" t="n">
        <f aca="false">IF(F262&lt;(Inputs!$E$15-Inputs!$D$15)/(Inputs!$F$15-Inputs!$D$15),Inputs!$D$15+SQRT(F262*(Inputs!$F$15-Inputs!$D$15)*(Inputs!$E$15-Inputs!$D$15)),Inputs!$F$15-SQRT((1-F262)*(Inputs!$F$15-Inputs!$D$15)*(Inputs!$F$15-Inputs!$E$15)))</f>
        <v>0.755268190059143</v>
      </c>
      <c r="H262" s="81" t="n">
        <f aca="true">RAND()</f>
        <v>0.910017565828314</v>
      </c>
      <c r="I262" s="82" t="n">
        <f aca="false">ROUND(IF(H262&lt;(Inputs!$E$17-Inputs!$D$17)/(Inputs!$F$17-Inputs!$D$17),Inputs!$D$17+SQRT(H262*(Inputs!$F$17-Inputs!$D$17)*(Inputs!$E$17-Inputs!$D$17)),Inputs!$F$17-SQRT((1-H262)*(Inputs!$F$17-Inputs!$D$17)*(Inputs!$F$17-Inputs!$E$17))),0)</f>
        <v>111</v>
      </c>
      <c r="J262" s="81" t="n">
        <f aca="true">RAND()</f>
        <v>0.786039699573152</v>
      </c>
      <c r="K262" s="83" t="n">
        <f aca="false">IF(J262&lt;(Inputs!$E$18-Inputs!$D$18)/(Inputs!$F$18-Inputs!$D$18),Inputs!$D$18+SQRT(J262*(Inputs!$F$18-Inputs!$D$18)*(Inputs!$E$18-Inputs!$D$18)),Inputs!$F$18-SQRT((1-J262)*(Inputs!$F$18-Inputs!$D$18)*(Inputs!$F$18-Inputs!$E$18)))</f>
        <v>1.11317337142446</v>
      </c>
      <c r="L262" s="81" t="n">
        <f aca="true">RAND()</f>
        <v>0.461667469472876</v>
      </c>
      <c r="M262" s="83" t="n">
        <f aca="false">IF(L262&lt;(Inputs!$E$24-Inputs!$D$24)/(Inputs!$F$24-Inputs!$D$24),Inputs!$D$24+SQRT(L262*(Inputs!$F$24-Inputs!$D$24)*(Inputs!$E$24-Inputs!$D$24)),Inputs!$F$24-SQRT((1-L262)*(Inputs!$F$24-Inputs!$D$24)*(Inputs!$F$24-Inputs!$E$24)))</f>
        <v>0.840556252903866</v>
      </c>
      <c r="N262" s="81" t="n">
        <f aca="true">RAND()</f>
        <v>0.0225054761843674</v>
      </c>
      <c r="O262" s="83" t="n">
        <f aca="false">IF(N262&lt;(Inputs!$E$26-Inputs!$D$26)/(Inputs!$F$26-Inputs!$D$26),Inputs!$D$26+SQRT(N262*(Inputs!$F$26-Inputs!$D$26)*(Inputs!$E$26-Inputs!$D$26)),Inputs!$F$26-SQRT((1-N262)*(Inputs!$F$26-Inputs!$D$26)*(Inputs!$F$26-Inputs!$E$26)))</f>
        <v>0.361195679889015</v>
      </c>
      <c r="P262" s="81" t="n">
        <f aca="true">RAND()</f>
        <v>0.139761628246815</v>
      </c>
      <c r="Q262" s="82" t="n">
        <f aca="false">IF(P262&lt;(Inputs!$E$27-Inputs!$D$27)/(Inputs!$F$27-Inputs!$D$27),Inputs!$D$27+SQRT(P262*(Inputs!$F$27-Inputs!$D$27)*(Inputs!$E$27-Inputs!$D$27)),Inputs!$F$27-SQRT((1-P262)*(Inputs!$F$27-Inputs!$D$27)*(Inputs!$F$27-Inputs!$E$27)))</f>
        <v>68.6923532658956</v>
      </c>
      <c r="R262" s="81" t="n">
        <f aca="true">RAND()</f>
        <v>0.135280678383065</v>
      </c>
      <c r="S262" s="82" t="n">
        <f aca="false">IF(R262&lt;(Inputs!$E$29-Inputs!$D$29)/(Inputs!$F$29-Inputs!$D$29),Inputs!$D$29+SQRT(R262*(Inputs!$F$29-Inputs!$D$29)*(Inputs!$E$29-Inputs!$D$29)),Inputs!$F$29-SQRT((1-R262)*(Inputs!$F$29-Inputs!$D$29)*(Inputs!$F$29-Inputs!$E$29)))</f>
        <v>4.29694285016836</v>
      </c>
      <c r="T262" s="68" t="n">
        <f aca="false">Inputs!$E$9*(1+E262)+Inputs!$E$5*C262*(Inputs!$E$11*Inputs!$E$14*(G262*I262/Inputs!$E$16+(1-G262))*K262+Inputs!$E$23*M262)*(1+O262)+Inputs!$E$5*(Q262+S262)</f>
        <v>5851.98508744697</v>
      </c>
    </row>
    <row r="263" customFormat="false" ht="15" hidden="false" customHeight="false" outlineLevel="0" collapsed="false">
      <c r="A263" s="1" t="n">
        <v>259</v>
      </c>
      <c r="B263" s="81" t="n">
        <f aca="true">RAND()</f>
        <v>0.209376598825714</v>
      </c>
      <c r="C263" s="82" t="n">
        <f aca="false">ROUND(IF(B263&lt;(Inputs!$E$8-Inputs!$D$8)/(Inputs!$F$8-Inputs!$D$8),Inputs!$D$8+SQRT(B263*(Inputs!$F$8-Inputs!$D$8)*(Inputs!$E$8-Inputs!$D$8)),Inputs!$F$8-SQRT((1-B263)*(Inputs!$F$8-Inputs!$D$8)*(Inputs!$F$8-Inputs!$E$8))),0)</f>
        <v>23</v>
      </c>
      <c r="D263" s="81" t="n">
        <f aca="true">RAND()</f>
        <v>0.942489860198696</v>
      </c>
      <c r="E263" s="83" t="n">
        <f aca="false">IF(D263&lt;(Inputs!$E$10-Inputs!$D$10)/(Inputs!$F$10-Inputs!$D$10),Inputs!$D$10+SQRT(D263*(Inputs!$F$10-Inputs!$D$10)*(Inputs!$E$10-Inputs!$D$10)),Inputs!$F$10-SQRT((1-D263)*(Inputs!$F$10-Inputs!$D$10)*(Inputs!$F$10-Inputs!$E$10)))</f>
        <v>0.158463218780951</v>
      </c>
      <c r="F263" s="81" t="n">
        <f aca="true">RAND()</f>
        <v>0.933069623643079</v>
      </c>
      <c r="G263" s="83" t="n">
        <f aca="false">IF(F263&lt;(Inputs!$E$15-Inputs!$D$15)/(Inputs!$F$15-Inputs!$D$15),Inputs!$D$15+SQRT(F263*(Inputs!$F$15-Inputs!$D$15)*(Inputs!$E$15-Inputs!$D$15)),Inputs!$F$15-SQRT((1-F263)*(Inputs!$F$15-Inputs!$D$15)*(Inputs!$F$15-Inputs!$E$15)))</f>
        <v>0.763413014238142</v>
      </c>
      <c r="H263" s="81" t="n">
        <f aca="true">RAND()</f>
        <v>0.873379786380223</v>
      </c>
      <c r="I263" s="82" t="n">
        <f aca="false">ROUND(IF(H263&lt;(Inputs!$E$17-Inputs!$D$17)/(Inputs!$F$17-Inputs!$D$17),Inputs!$D$17+SQRT(H263*(Inputs!$F$17-Inputs!$D$17)*(Inputs!$E$17-Inputs!$D$17)),Inputs!$F$17-SQRT((1-H263)*(Inputs!$F$17-Inputs!$D$17)*(Inputs!$F$17-Inputs!$E$17))),0)</f>
        <v>111</v>
      </c>
      <c r="J263" s="81" t="n">
        <f aca="true">RAND()</f>
        <v>0.718543968142348</v>
      </c>
      <c r="K263" s="83" t="n">
        <f aca="false">IF(J263&lt;(Inputs!$E$18-Inputs!$D$18)/(Inputs!$F$18-Inputs!$D$18),Inputs!$D$18+SQRT(J263*(Inputs!$F$18-Inputs!$D$18)*(Inputs!$E$18-Inputs!$D$18)),Inputs!$F$18-SQRT((1-J263)*(Inputs!$F$18-Inputs!$D$18)*(Inputs!$F$18-Inputs!$E$18)))</f>
        <v>1.09306879600429</v>
      </c>
      <c r="L263" s="81" t="n">
        <f aca="true">RAND()</f>
        <v>0.617487076989058</v>
      </c>
      <c r="M263" s="83" t="n">
        <f aca="false">IF(L263&lt;(Inputs!$E$24-Inputs!$D$24)/(Inputs!$F$24-Inputs!$D$24),Inputs!$D$24+SQRT(L263*(Inputs!$F$24-Inputs!$D$24)*(Inputs!$E$24-Inputs!$D$24)),Inputs!$F$24-SQRT((1-L263)*(Inputs!$F$24-Inputs!$D$24)*(Inputs!$F$24-Inputs!$E$24)))</f>
        <v>0.897009733617355</v>
      </c>
      <c r="N263" s="81" t="n">
        <f aca="true">RAND()</f>
        <v>0.552078125647549</v>
      </c>
      <c r="O263" s="83" t="n">
        <f aca="false">IF(N263&lt;(Inputs!$E$26-Inputs!$D$26)/(Inputs!$F$26-Inputs!$D$26),Inputs!$D$26+SQRT(N263*(Inputs!$F$26-Inputs!$D$26)*(Inputs!$E$26-Inputs!$D$26)),Inputs!$F$26-SQRT((1-N263)*(Inputs!$F$26-Inputs!$D$26)*(Inputs!$F$26-Inputs!$E$26)))</f>
        <v>0.603093715058152</v>
      </c>
      <c r="P263" s="81" t="n">
        <f aca="true">RAND()</f>
        <v>0.0788703276098849</v>
      </c>
      <c r="Q263" s="82" t="n">
        <f aca="false">IF(P263&lt;(Inputs!$E$27-Inputs!$D$27)/(Inputs!$F$27-Inputs!$D$27),Inputs!$D$27+SQRT(P263*(Inputs!$F$27-Inputs!$D$27)*(Inputs!$E$27-Inputs!$D$27)),Inputs!$F$27-SQRT((1-P263)*(Inputs!$F$27-Inputs!$D$27)*(Inputs!$F$27-Inputs!$E$27)))</f>
        <v>64.041930744193</v>
      </c>
      <c r="R263" s="81" t="n">
        <f aca="true">RAND()</f>
        <v>0.733253199254022</v>
      </c>
      <c r="S263" s="82" t="n">
        <f aca="false">IF(R263&lt;(Inputs!$E$29-Inputs!$D$29)/(Inputs!$F$29-Inputs!$D$29),Inputs!$D$29+SQRT(R263*(Inputs!$F$29-Inputs!$D$29)*(Inputs!$E$29-Inputs!$D$29)),Inputs!$F$29-SQRT((1-R263)*(Inputs!$F$29-Inputs!$D$29)*(Inputs!$F$29-Inputs!$E$29)))</f>
        <v>9.11127483261639</v>
      </c>
      <c r="T263" s="68" t="n">
        <f aca="false">Inputs!$E$9*(1+E263)+Inputs!$E$5*C263*(Inputs!$E$11*Inputs!$E$14*(G263*I263/Inputs!$E$16+(1-G263))*K263+Inputs!$E$23*M263)*(1+O263)+Inputs!$E$5*(Q263+S263)</f>
        <v>6249.52979561506</v>
      </c>
    </row>
    <row r="264" customFormat="false" ht="15" hidden="false" customHeight="false" outlineLevel="0" collapsed="false">
      <c r="A264" s="1" t="n">
        <v>260</v>
      </c>
      <c r="B264" s="81" t="n">
        <f aca="true">RAND()</f>
        <v>0.885856396238487</v>
      </c>
      <c r="C264" s="82" t="n">
        <f aca="false">ROUND(IF(B264&lt;(Inputs!$E$8-Inputs!$D$8)/(Inputs!$F$8-Inputs!$D$8),Inputs!$D$8+SQRT(B264*(Inputs!$F$8-Inputs!$D$8)*(Inputs!$E$8-Inputs!$D$8)),Inputs!$F$8-SQRT((1-B264)*(Inputs!$F$8-Inputs!$D$8)*(Inputs!$F$8-Inputs!$E$8))),0)</f>
        <v>28</v>
      </c>
      <c r="D264" s="81" t="n">
        <f aca="true">RAND()</f>
        <v>0.33747719775835</v>
      </c>
      <c r="E264" s="83" t="n">
        <f aca="false">IF(D264&lt;(Inputs!$E$10-Inputs!$D$10)/(Inputs!$F$10-Inputs!$D$10),Inputs!$D$10+SQRT(D264*(Inputs!$F$10-Inputs!$D$10)*(Inputs!$E$10-Inputs!$D$10)),Inputs!$F$10-SQRT((1-D264)*(Inputs!$F$10-Inputs!$D$10)*(Inputs!$F$10-Inputs!$E$10)))</f>
        <v>0.0590188520856441</v>
      </c>
      <c r="F264" s="81" t="n">
        <f aca="true">RAND()</f>
        <v>0.101536577626035</v>
      </c>
      <c r="G264" s="83" t="n">
        <f aca="false">IF(F264&lt;(Inputs!$E$15-Inputs!$D$15)/(Inputs!$F$15-Inputs!$D$15),Inputs!$D$15+SQRT(F264*(Inputs!$F$15-Inputs!$D$15)*(Inputs!$E$15-Inputs!$D$15)),Inputs!$F$15-SQRT((1-F264)*(Inputs!$F$15-Inputs!$D$15)*(Inputs!$F$15-Inputs!$E$15)))</f>
        <v>0.645063638917876</v>
      </c>
      <c r="H264" s="81" t="n">
        <f aca="true">RAND()</f>
        <v>0.564957232136071</v>
      </c>
      <c r="I264" s="82" t="n">
        <f aca="false">ROUND(IF(H264&lt;(Inputs!$E$17-Inputs!$D$17)/(Inputs!$F$17-Inputs!$D$17),Inputs!$D$17+SQRT(H264*(Inputs!$F$17-Inputs!$D$17)*(Inputs!$E$17-Inputs!$D$17)),Inputs!$F$17-SQRT((1-H264)*(Inputs!$F$17-Inputs!$D$17)*(Inputs!$F$17-Inputs!$E$17))),0)</f>
        <v>107</v>
      </c>
      <c r="J264" s="81" t="n">
        <f aca="true">RAND()</f>
        <v>0.60236937365963</v>
      </c>
      <c r="K264" s="83" t="n">
        <f aca="false">IF(J264&lt;(Inputs!$E$18-Inputs!$D$18)/(Inputs!$F$18-Inputs!$D$18),Inputs!$D$18+SQRT(J264*(Inputs!$F$18-Inputs!$D$18)*(Inputs!$E$18-Inputs!$D$18)),Inputs!$F$18-SQRT((1-J264)*(Inputs!$F$18-Inputs!$D$18)*(Inputs!$F$18-Inputs!$E$18)))</f>
        <v>1.06347204015274</v>
      </c>
      <c r="L264" s="81" t="n">
        <f aca="true">RAND()</f>
        <v>0.932136451977126</v>
      </c>
      <c r="M264" s="83" t="n">
        <f aca="false">IF(L264&lt;(Inputs!$E$24-Inputs!$D$24)/(Inputs!$F$24-Inputs!$D$24),Inputs!$D$24+SQRT(L264*(Inputs!$F$24-Inputs!$D$24)*(Inputs!$E$24-Inputs!$D$24)),Inputs!$F$24-SQRT((1-L264)*(Inputs!$F$24-Inputs!$D$24)*(Inputs!$F$24-Inputs!$E$24)))</f>
        <v>1.07237848329733</v>
      </c>
      <c r="N264" s="81" t="n">
        <f aca="true">RAND()</f>
        <v>0.590031530169349</v>
      </c>
      <c r="O264" s="83" t="n">
        <f aca="false">IF(N264&lt;(Inputs!$E$26-Inputs!$D$26)/(Inputs!$F$26-Inputs!$D$26),Inputs!$D$26+SQRT(N264*(Inputs!$F$26-Inputs!$D$26)*(Inputs!$E$26-Inputs!$D$26)),Inputs!$F$26-SQRT((1-N264)*(Inputs!$F$26-Inputs!$D$26)*(Inputs!$F$26-Inputs!$E$26)))</f>
        <v>0.613338868671251</v>
      </c>
      <c r="P264" s="81" t="n">
        <f aca="true">RAND()</f>
        <v>0.483713052707341</v>
      </c>
      <c r="Q264" s="82" t="n">
        <f aca="false">IF(P264&lt;(Inputs!$E$27-Inputs!$D$27)/(Inputs!$F$27-Inputs!$D$27),Inputs!$D$27+SQRT(P264*(Inputs!$F$27-Inputs!$D$27)*(Inputs!$E$27-Inputs!$D$27)),Inputs!$F$27-SQRT((1-P264)*(Inputs!$F$27-Inputs!$D$27)*(Inputs!$F$27-Inputs!$E$27)))</f>
        <v>87.7733810600725</v>
      </c>
      <c r="R264" s="81" t="n">
        <f aca="true">RAND()</f>
        <v>0.961304793603883</v>
      </c>
      <c r="S264" s="82" t="n">
        <f aca="false">IF(R264&lt;(Inputs!$E$29-Inputs!$D$29)/(Inputs!$F$29-Inputs!$D$29),Inputs!$D$29+SQRT(R264*(Inputs!$F$29-Inputs!$D$29)*(Inputs!$E$29-Inputs!$D$29)),Inputs!$F$29-SQRT((1-R264)*(Inputs!$F$29-Inputs!$D$29)*(Inputs!$F$29-Inputs!$E$29)))</f>
        <v>12.7571498419432</v>
      </c>
      <c r="T264" s="68" t="n">
        <f aca="false">Inputs!$E$9*(1+E264)+Inputs!$E$5*C264*(Inputs!$E$11*Inputs!$E$14*(G264*I264/Inputs!$E$16+(1-G264))*K264+Inputs!$E$23*M264)*(1+O264)+Inputs!$E$5*(Q264+S264)</f>
        <v>7253.07046577931</v>
      </c>
    </row>
    <row r="265" customFormat="false" ht="15" hidden="false" customHeight="false" outlineLevel="0" collapsed="false">
      <c r="A265" s="1" t="n">
        <v>261</v>
      </c>
      <c r="B265" s="81" t="n">
        <f aca="true">RAND()</f>
        <v>0.479346480466703</v>
      </c>
      <c r="C265" s="82" t="n">
        <f aca="false">ROUND(IF(B265&lt;(Inputs!$E$8-Inputs!$D$8)/(Inputs!$F$8-Inputs!$D$8),Inputs!$D$8+SQRT(B265*(Inputs!$F$8-Inputs!$D$8)*(Inputs!$E$8-Inputs!$D$8)),Inputs!$F$8-SQRT((1-B265)*(Inputs!$F$8-Inputs!$D$8)*(Inputs!$F$8-Inputs!$E$8))),0)</f>
        <v>25</v>
      </c>
      <c r="D265" s="81" t="n">
        <f aca="true">RAND()</f>
        <v>0.627570779185358</v>
      </c>
      <c r="E265" s="83" t="n">
        <f aca="false">IF(D265&lt;(Inputs!$E$10-Inputs!$D$10)/(Inputs!$F$10-Inputs!$D$10),Inputs!$D$10+SQRT(D265*(Inputs!$F$10-Inputs!$D$10)*(Inputs!$E$10-Inputs!$D$10)),Inputs!$F$10-SQRT((1-D265)*(Inputs!$F$10-Inputs!$D$10)*(Inputs!$F$10-Inputs!$E$10)))</f>
        <v>0.0942981711395717</v>
      </c>
      <c r="F265" s="81" t="n">
        <f aca="true">RAND()</f>
        <v>0.170761295956957</v>
      </c>
      <c r="G265" s="83" t="n">
        <f aca="false">IF(F265&lt;(Inputs!$E$15-Inputs!$D$15)/(Inputs!$F$15-Inputs!$D$15),Inputs!$D$15+SQRT(F265*(Inputs!$F$15-Inputs!$D$15)*(Inputs!$E$15-Inputs!$D$15)),Inputs!$F$15-SQRT((1-F265)*(Inputs!$F$15-Inputs!$D$15)*(Inputs!$F$15-Inputs!$E$15)))</f>
        <v>0.658439934284179</v>
      </c>
      <c r="H265" s="81" t="n">
        <f aca="true">RAND()</f>
        <v>0.147550825074713</v>
      </c>
      <c r="I265" s="82" t="n">
        <f aca="false">ROUND(IF(H265&lt;(Inputs!$E$17-Inputs!$D$17)/(Inputs!$F$17-Inputs!$D$17),Inputs!$D$17+SQRT(H265*(Inputs!$F$17-Inputs!$D$17)*(Inputs!$E$17-Inputs!$D$17)),Inputs!$F$17-SQRT((1-H265)*(Inputs!$F$17-Inputs!$D$17)*(Inputs!$F$17-Inputs!$E$17))),0)</f>
        <v>103</v>
      </c>
      <c r="J265" s="81" t="n">
        <f aca="true">RAND()</f>
        <v>0.0459059851706029</v>
      </c>
      <c r="K265" s="83" t="n">
        <f aca="false">IF(J265&lt;(Inputs!$E$18-Inputs!$D$18)/(Inputs!$F$18-Inputs!$D$18),Inputs!$D$18+SQRT(J265*(Inputs!$F$18-Inputs!$D$18)*(Inputs!$E$18-Inputs!$D$18)),Inputs!$F$18-SQRT((1-J265)*(Inputs!$F$18-Inputs!$D$18)*(Inputs!$F$18-Inputs!$E$18)))</f>
        <v>0.940083780771917</v>
      </c>
      <c r="L265" s="81" t="n">
        <f aca="true">RAND()</f>
        <v>0.0827663014362037</v>
      </c>
      <c r="M265" s="83" t="n">
        <f aca="false">IF(L265&lt;(Inputs!$E$24-Inputs!$D$24)/(Inputs!$F$24-Inputs!$D$24),Inputs!$D$24+SQRT(L265*(Inputs!$F$24-Inputs!$D$24)*(Inputs!$E$24-Inputs!$D$24)),Inputs!$F$24-SQRT((1-L265)*(Inputs!$F$24-Inputs!$D$24)*(Inputs!$F$24-Inputs!$E$24)))</f>
        <v>0.699659200138996</v>
      </c>
      <c r="N265" s="81" t="n">
        <f aca="true">RAND()</f>
        <v>0.693550967935349</v>
      </c>
      <c r="O265" s="83" t="n">
        <f aca="false">IF(N265&lt;(Inputs!$E$26-Inputs!$D$26)/(Inputs!$F$26-Inputs!$D$26),Inputs!$D$26+SQRT(N265*(Inputs!$F$26-Inputs!$D$26)*(Inputs!$E$26-Inputs!$D$26)),Inputs!$F$26-SQRT((1-N265)*(Inputs!$F$26-Inputs!$D$26)*(Inputs!$F$26-Inputs!$E$26)))</f>
        <v>0.641476333964587</v>
      </c>
      <c r="P265" s="81" t="n">
        <f aca="true">RAND()</f>
        <v>0.830576870633304</v>
      </c>
      <c r="Q265" s="82" t="n">
        <f aca="false">IF(P265&lt;(Inputs!$E$27-Inputs!$D$27)/(Inputs!$F$27-Inputs!$D$27),Inputs!$D$27+SQRT(P265*(Inputs!$F$27-Inputs!$D$27)*(Inputs!$E$27-Inputs!$D$27)),Inputs!$F$27-SQRT((1-P265)*(Inputs!$F$27-Inputs!$D$27)*(Inputs!$F$27-Inputs!$E$27)))</f>
        <v>114.353492874473</v>
      </c>
      <c r="R265" s="81" t="n">
        <f aca="true">RAND()</f>
        <v>0.394294505959709</v>
      </c>
      <c r="S265" s="82" t="n">
        <f aca="false">IF(R265&lt;(Inputs!$E$29-Inputs!$D$29)/(Inputs!$F$29-Inputs!$D$29),Inputs!$D$29+SQRT(R265*(Inputs!$F$29-Inputs!$D$29)*(Inputs!$E$29-Inputs!$D$29)),Inputs!$F$29-SQRT((1-R265)*(Inputs!$F$29-Inputs!$D$29)*(Inputs!$F$29-Inputs!$E$29)))</f>
        <v>6.12634718815088</v>
      </c>
      <c r="T265" s="68" t="n">
        <f aca="false">Inputs!$E$9*(1+E265)+Inputs!$E$5*C265*(Inputs!$E$11*Inputs!$E$14*(G265*I265/Inputs!$E$16+(1-G265))*K265+Inputs!$E$23*M265)*(1+O265)+Inputs!$E$5*(Q265+S265)</f>
        <v>6137.38955047412</v>
      </c>
    </row>
    <row r="266" customFormat="false" ht="15" hidden="false" customHeight="false" outlineLevel="0" collapsed="false">
      <c r="A266" s="1" t="n">
        <v>262</v>
      </c>
      <c r="B266" s="81" t="n">
        <f aca="true">RAND()</f>
        <v>0.684407730915554</v>
      </c>
      <c r="C266" s="82" t="n">
        <f aca="false">ROUND(IF(B266&lt;(Inputs!$E$8-Inputs!$D$8)/(Inputs!$F$8-Inputs!$D$8),Inputs!$D$8+SQRT(B266*(Inputs!$F$8-Inputs!$D$8)*(Inputs!$E$8-Inputs!$D$8)),Inputs!$F$8-SQRT((1-B266)*(Inputs!$F$8-Inputs!$D$8)*(Inputs!$F$8-Inputs!$E$8))),0)</f>
        <v>26</v>
      </c>
      <c r="D266" s="81" t="n">
        <f aca="true">RAND()</f>
        <v>0.389469683891382</v>
      </c>
      <c r="E266" s="83" t="n">
        <f aca="false">IF(D266&lt;(Inputs!$E$10-Inputs!$D$10)/(Inputs!$F$10-Inputs!$D$10),Inputs!$D$10+SQRT(D266*(Inputs!$F$10-Inputs!$D$10)*(Inputs!$E$10-Inputs!$D$10)),Inputs!$F$10-SQRT((1-D266)*(Inputs!$F$10-Inputs!$D$10)*(Inputs!$F$10-Inputs!$E$10)))</f>
        <v>0.0646637170480194</v>
      </c>
      <c r="F266" s="81" t="n">
        <f aca="true">RAND()</f>
        <v>0.900815178356351</v>
      </c>
      <c r="G266" s="83" t="n">
        <f aca="false">IF(F266&lt;(Inputs!$E$15-Inputs!$D$15)/(Inputs!$F$15-Inputs!$D$15),Inputs!$D$15+SQRT(F266*(Inputs!$F$15-Inputs!$D$15)*(Inputs!$E$15-Inputs!$D$15)),Inputs!$F$15-SQRT((1-F266)*(Inputs!$F$15-Inputs!$D$15)*(Inputs!$F$15-Inputs!$E$15)))</f>
        <v>0.755461292869315</v>
      </c>
      <c r="H266" s="81" t="n">
        <f aca="true">RAND()</f>
        <v>0.650618346136817</v>
      </c>
      <c r="I266" s="82" t="n">
        <f aca="false">ROUND(IF(H266&lt;(Inputs!$E$17-Inputs!$D$17)/(Inputs!$F$17-Inputs!$D$17),Inputs!$D$17+SQRT(H266*(Inputs!$F$17-Inputs!$D$17)*(Inputs!$E$17-Inputs!$D$17)),Inputs!$F$17-SQRT((1-H266)*(Inputs!$F$17-Inputs!$D$17)*(Inputs!$F$17-Inputs!$E$17))),0)</f>
        <v>108</v>
      </c>
      <c r="J266" s="81" t="n">
        <f aca="true">RAND()</f>
        <v>0.153538481969279</v>
      </c>
      <c r="K266" s="83" t="n">
        <f aca="false">IF(J266&lt;(Inputs!$E$18-Inputs!$D$18)/(Inputs!$F$18-Inputs!$D$18),Inputs!$D$18+SQRT(J266*(Inputs!$F$18-Inputs!$D$18)*(Inputs!$E$18-Inputs!$D$18)),Inputs!$F$18-SQRT((1-J266)*(Inputs!$F$18-Inputs!$D$18)*(Inputs!$F$18-Inputs!$E$18)))</f>
        <v>0.973306526782578</v>
      </c>
      <c r="L266" s="81" t="n">
        <f aca="true">RAND()</f>
        <v>0.000771662495966808</v>
      </c>
      <c r="M266" s="83" t="n">
        <f aca="false">IF(L266&lt;(Inputs!$E$24-Inputs!$D$24)/(Inputs!$F$24-Inputs!$D$24),Inputs!$D$24+SQRT(L266*(Inputs!$F$24-Inputs!$D$24)*(Inputs!$E$24-Inputs!$D$24)),Inputs!$F$24-SQRT((1-L266)*(Inputs!$F$24-Inputs!$D$24)*(Inputs!$F$24-Inputs!$E$24)))</f>
        <v>0.60962286337407</v>
      </c>
      <c r="N266" s="81" t="n">
        <f aca="true">RAND()</f>
        <v>0.528312771959791</v>
      </c>
      <c r="O266" s="83" t="n">
        <f aca="false">IF(N266&lt;(Inputs!$E$26-Inputs!$D$26)/(Inputs!$F$26-Inputs!$D$26),Inputs!$D$26+SQRT(N266*(Inputs!$F$26-Inputs!$D$26)*(Inputs!$E$26-Inputs!$D$26)),Inputs!$F$26-SQRT((1-N266)*(Inputs!$F$26-Inputs!$D$26)*(Inputs!$F$26-Inputs!$E$26)))</f>
        <v>0.59649830565133</v>
      </c>
      <c r="P266" s="81" t="n">
        <f aca="true">RAND()</f>
        <v>0.52783588924715</v>
      </c>
      <c r="Q266" s="82" t="n">
        <f aca="false">IF(P266&lt;(Inputs!$E$27-Inputs!$D$27)/(Inputs!$F$27-Inputs!$D$27),Inputs!$D$27+SQRT(P266*(Inputs!$F$27-Inputs!$D$27)*(Inputs!$E$27-Inputs!$D$27)),Inputs!$F$27-SQRT((1-P266)*(Inputs!$F$27-Inputs!$D$27)*(Inputs!$F$27-Inputs!$E$27)))</f>
        <v>90.4917582964647</v>
      </c>
      <c r="R266" s="81" t="n">
        <f aca="true">RAND()</f>
        <v>0.431419429165566</v>
      </c>
      <c r="S266" s="82" t="n">
        <f aca="false">IF(R266&lt;(Inputs!$E$29-Inputs!$D$29)/(Inputs!$F$29-Inputs!$D$29),Inputs!$D$29+SQRT(R266*(Inputs!$F$29-Inputs!$D$29)*(Inputs!$E$29-Inputs!$D$29)),Inputs!$F$29-SQRT((1-R266)*(Inputs!$F$29-Inputs!$D$29)*(Inputs!$F$29-Inputs!$E$29)))</f>
        <v>6.40258909854389</v>
      </c>
      <c r="T266" s="68" t="n">
        <f aca="false">Inputs!$E$9*(1+E266)+Inputs!$E$5*C266*(Inputs!$E$11*Inputs!$E$14*(G266*I266/Inputs!$E$16+(1-G266))*K266+Inputs!$E$23*M266)*(1+O266)+Inputs!$E$5*(Q266+S266)</f>
        <v>5861.93530466265</v>
      </c>
    </row>
    <row r="267" customFormat="false" ht="15" hidden="false" customHeight="false" outlineLevel="0" collapsed="false">
      <c r="A267" s="1" t="n">
        <v>263</v>
      </c>
      <c r="B267" s="81" t="n">
        <f aca="true">RAND()</f>
        <v>0.853083052144919</v>
      </c>
      <c r="C267" s="82" t="n">
        <f aca="false">ROUND(IF(B267&lt;(Inputs!$E$8-Inputs!$D$8)/(Inputs!$F$8-Inputs!$D$8),Inputs!$D$8+SQRT(B267*(Inputs!$F$8-Inputs!$D$8)*(Inputs!$E$8-Inputs!$D$8)),Inputs!$F$8-SQRT((1-B267)*(Inputs!$F$8-Inputs!$D$8)*(Inputs!$F$8-Inputs!$E$8))),0)</f>
        <v>27</v>
      </c>
      <c r="D267" s="81" t="n">
        <f aca="true">RAND()</f>
        <v>0.259780543198468</v>
      </c>
      <c r="E267" s="83" t="n">
        <f aca="false">IF(D267&lt;(Inputs!$E$10-Inputs!$D$10)/(Inputs!$F$10-Inputs!$D$10),Inputs!$D$10+SQRT(D267*(Inputs!$F$10-Inputs!$D$10)*(Inputs!$E$10-Inputs!$D$10)),Inputs!$F$10-SQRT((1-D267)*(Inputs!$F$10-Inputs!$D$10)*(Inputs!$F$10-Inputs!$E$10)))</f>
        <v>0.0509812639160902</v>
      </c>
      <c r="F267" s="81" t="n">
        <f aca="true">RAND()</f>
        <v>0.860789688698235</v>
      </c>
      <c r="G267" s="83" t="n">
        <f aca="false">IF(F267&lt;(Inputs!$E$15-Inputs!$D$15)/(Inputs!$F$15-Inputs!$D$15),Inputs!$D$15+SQRT(F267*(Inputs!$F$15-Inputs!$D$15)*(Inputs!$E$15-Inputs!$D$15)),Inputs!$F$15-SQRT((1-F267)*(Inputs!$F$15-Inputs!$D$15)*(Inputs!$F$15-Inputs!$E$15)))</f>
        <v>0.747234421958674</v>
      </c>
      <c r="H267" s="81" t="n">
        <f aca="true">RAND()</f>
        <v>0.418720020812134</v>
      </c>
      <c r="I267" s="82" t="n">
        <f aca="false">ROUND(IF(H267&lt;(Inputs!$E$17-Inputs!$D$17)/(Inputs!$F$17-Inputs!$D$17),Inputs!$D$17+SQRT(H267*(Inputs!$F$17-Inputs!$D$17)*(Inputs!$E$17-Inputs!$D$17)),Inputs!$F$17-SQRT((1-H267)*(Inputs!$F$17-Inputs!$D$17)*(Inputs!$F$17-Inputs!$E$17))),0)</f>
        <v>106</v>
      </c>
      <c r="J267" s="81" t="n">
        <f aca="true">RAND()</f>
        <v>0.0296986776749933</v>
      </c>
      <c r="K267" s="83" t="n">
        <f aca="false">IF(J267&lt;(Inputs!$E$18-Inputs!$D$18)/(Inputs!$F$18-Inputs!$D$18),Inputs!$D$18+SQRT(J267*(Inputs!$F$18-Inputs!$D$18)*(Inputs!$E$18-Inputs!$D$18)),Inputs!$F$18-SQRT((1-J267)*(Inputs!$F$18-Inputs!$D$18)*(Inputs!$F$18-Inputs!$E$18)))</f>
        <v>0.932240560147503</v>
      </c>
      <c r="L267" s="81" t="n">
        <f aca="true">RAND()</f>
        <v>0.221819435470153</v>
      </c>
      <c r="M267" s="83" t="n">
        <f aca="false">IF(L267&lt;(Inputs!$E$24-Inputs!$D$24)/(Inputs!$F$24-Inputs!$D$24),Inputs!$D$24+SQRT(L267*(Inputs!$F$24-Inputs!$D$24)*(Inputs!$E$24-Inputs!$D$24)),Inputs!$F$24-SQRT((1-L267)*(Inputs!$F$24-Inputs!$D$24)*(Inputs!$F$24-Inputs!$E$24)))</f>
        <v>0.763151255761083</v>
      </c>
      <c r="N267" s="81" t="n">
        <f aca="true">RAND()</f>
        <v>0.981707361156676</v>
      </c>
      <c r="O267" s="83" t="n">
        <f aca="false">IF(N267&lt;(Inputs!$E$26-Inputs!$D$26)/(Inputs!$F$26-Inputs!$D$26),Inputs!$D$26+SQRT(N267*(Inputs!$F$26-Inputs!$D$26)*(Inputs!$E$26-Inputs!$D$26)),Inputs!$F$26-SQRT((1-N267)*(Inputs!$F$26-Inputs!$D$26)*(Inputs!$F$26-Inputs!$E$26)))</f>
        <v>0.77638309456523</v>
      </c>
      <c r="P267" s="81" t="n">
        <f aca="true">RAND()</f>
        <v>0.663243559696239</v>
      </c>
      <c r="Q267" s="82" t="n">
        <f aca="false">IF(P267&lt;(Inputs!$E$27-Inputs!$D$27)/(Inputs!$F$27-Inputs!$D$27),Inputs!$D$27+SQRT(P267*(Inputs!$F$27-Inputs!$D$27)*(Inputs!$E$27-Inputs!$D$27)),Inputs!$F$27-SQRT((1-P267)*(Inputs!$F$27-Inputs!$D$27)*(Inputs!$F$27-Inputs!$E$27)))</f>
        <v>99.7439227328852</v>
      </c>
      <c r="R267" s="81" t="n">
        <f aca="true">RAND()</f>
        <v>0.750542585960237</v>
      </c>
      <c r="S267" s="82" t="n">
        <f aca="false">IF(R267&lt;(Inputs!$E$29-Inputs!$D$29)/(Inputs!$F$29-Inputs!$D$29),Inputs!$D$29+SQRT(R267*(Inputs!$F$29-Inputs!$D$29)*(Inputs!$E$29-Inputs!$D$29)),Inputs!$F$29-SQRT((1-R267)*(Inputs!$F$29-Inputs!$D$29)*(Inputs!$F$29-Inputs!$E$29)))</f>
        <v>9.30531266660151</v>
      </c>
      <c r="T267" s="68" t="n">
        <f aca="false">Inputs!$E$9*(1+E267)+Inputs!$E$5*C267*(Inputs!$E$11*Inputs!$E$14*(G267*I267/Inputs!$E$16+(1-G267))*K267+Inputs!$E$23*M267)*(1+O267)+Inputs!$E$5*(Q267+S267)</f>
        <v>6506.99766922733</v>
      </c>
    </row>
    <row r="268" customFormat="false" ht="15" hidden="false" customHeight="false" outlineLevel="0" collapsed="false">
      <c r="A268" s="1" t="n">
        <v>264</v>
      </c>
      <c r="B268" s="81" t="n">
        <f aca="true">RAND()</f>
        <v>0.11355276319328</v>
      </c>
      <c r="C268" s="82" t="n">
        <f aca="false">ROUND(IF(B268&lt;(Inputs!$E$8-Inputs!$D$8)/(Inputs!$F$8-Inputs!$D$8),Inputs!$D$8+SQRT(B268*(Inputs!$F$8-Inputs!$D$8)*(Inputs!$E$8-Inputs!$D$8)),Inputs!$F$8-SQRT((1-B268)*(Inputs!$F$8-Inputs!$D$8)*(Inputs!$F$8-Inputs!$E$8))),0)</f>
        <v>22</v>
      </c>
      <c r="D268" s="81" t="n">
        <f aca="true">RAND()</f>
        <v>0.792119477114725</v>
      </c>
      <c r="E268" s="83" t="n">
        <f aca="false">IF(D268&lt;(Inputs!$E$10-Inputs!$D$10)/(Inputs!$F$10-Inputs!$D$10),Inputs!$D$10+SQRT(D268*(Inputs!$F$10-Inputs!$D$10)*(Inputs!$E$10-Inputs!$D$10)),Inputs!$F$10-SQRT((1-D268)*(Inputs!$F$10-Inputs!$D$10)*(Inputs!$F$10-Inputs!$E$10)))</f>
        <v>0.121029019972155</v>
      </c>
      <c r="F268" s="81" t="n">
        <f aca="true">RAND()</f>
        <v>0.147599700899467</v>
      </c>
      <c r="G268" s="83" t="n">
        <f aca="false">IF(F268&lt;(Inputs!$E$15-Inputs!$D$15)/(Inputs!$F$15-Inputs!$D$15),Inputs!$D$15+SQRT(F268*(Inputs!$F$15-Inputs!$D$15)*(Inputs!$E$15-Inputs!$D$15)),Inputs!$F$15-SQRT((1-F268)*(Inputs!$F$15-Inputs!$D$15)*(Inputs!$F$15-Inputs!$E$15)))</f>
        <v>0.654332255778583</v>
      </c>
      <c r="H268" s="81" t="n">
        <f aca="true">RAND()</f>
        <v>0.397521711364871</v>
      </c>
      <c r="I268" s="82" t="n">
        <f aca="false">ROUND(IF(H268&lt;(Inputs!$E$17-Inputs!$D$17)/(Inputs!$F$17-Inputs!$D$17),Inputs!$D$17+SQRT(H268*(Inputs!$F$17-Inputs!$D$17)*(Inputs!$E$17-Inputs!$D$17)),Inputs!$F$17-SQRT((1-H268)*(Inputs!$F$17-Inputs!$D$17)*(Inputs!$F$17-Inputs!$E$17))),0)</f>
        <v>105</v>
      </c>
      <c r="J268" s="81" t="n">
        <f aca="true">RAND()</f>
        <v>0.974463053439269</v>
      </c>
      <c r="K268" s="83" t="n">
        <f aca="false">IF(J268&lt;(Inputs!$E$18-Inputs!$D$18)/(Inputs!$F$18-Inputs!$D$18),Inputs!$D$18+SQRT(J268*(Inputs!$F$18-Inputs!$D$18)*(Inputs!$E$18-Inputs!$D$18)),Inputs!$F$18-SQRT((1-J268)*(Inputs!$F$18-Inputs!$D$18)*(Inputs!$F$18-Inputs!$E$18)))</f>
        <v>1.20272968347828</v>
      </c>
      <c r="L268" s="81" t="n">
        <f aca="true">RAND()</f>
        <v>0.0586399118238922</v>
      </c>
      <c r="M268" s="83" t="n">
        <f aca="false">IF(L268&lt;(Inputs!$E$24-Inputs!$D$24)/(Inputs!$F$24-Inputs!$D$24),Inputs!$D$24+SQRT(L268*(Inputs!$F$24-Inputs!$D$24)*(Inputs!$E$24-Inputs!$D$24)),Inputs!$F$24-SQRT((1-L268)*(Inputs!$F$24-Inputs!$D$24)*(Inputs!$F$24-Inputs!$E$24)))</f>
        <v>0.68388557336555</v>
      </c>
      <c r="N268" s="81" t="n">
        <f aca="true">RAND()</f>
        <v>0.243185597356654</v>
      </c>
      <c r="O268" s="83" t="n">
        <f aca="false">IF(N268&lt;(Inputs!$E$26-Inputs!$D$26)/(Inputs!$F$26-Inputs!$D$26),Inputs!$D$26+SQRT(N268*(Inputs!$F$26-Inputs!$D$26)*(Inputs!$E$26-Inputs!$D$26)),Inputs!$F$26-SQRT((1-N268)*(Inputs!$F$26-Inputs!$D$26)*(Inputs!$F$26-Inputs!$E$26)))</f>
        <v>0.501161833855598</v>
      </c>
      <c r="P268" s="81" t="n">
        <f aca="true">RAND()</f>
        <v>0.652770246750526</v>
      </c>
      <c r="Q268" s="82" t="n">
        <f aca="false">IF(P268&lt;(Inputs!$E$27-Inputs!$D$27)/(Inputs!$F$27-Inputs!$D$27),Inputs!$D$27+SQRT(P268*(Inputs!$F$27-Inputs!$D$27)*(Inputs!$E$27-Inputs!$D$27)),Inputs!$F$27-SQRT((1-P268)*(Inputs!$F$27-Inputs!$D$27)*(Inputs!$F$27-Inputs!$E$27)))</f>
        <v>98.9684102797977</v>
      </c>
      <c r="R268" s="81" t="n">
        <f aca="true">RAND()</f>
        <v>0.0315717037932718</v>
      </c>
      <c r="S268" s="82" t="n">
        <f aca="false">IF(R268&lt;(Inputs!$E$29-Inputs!$D$29)/(Inputs!$F$29-Inputs!$D$29),Inputs!$D$29+SQRT(R268*(Inputs!$F$29-Inputs!$D$29)*(Inputs!$E$29-Inputs!$D$29)),Inputs!$F$29-SQRT((1-R268)*(Inputs!$F$29-Inputs!$D$29)*(Inputs!$F$29-Inputs!$E$29)))</f>
        <v>3.10963798057637</v>
      </c>
      <c r="T268" s="68" t="n">
        <f aca="false">Inputs!$E$9*(1+E268)+Inputs!$E$5*C268*(Inputs!$E$11*Inputs!$E$14*(G268*I268/Inputs!$E$16+(1-G268))*K268+Inputs!$E$23*M268)*(1+O268)+Inputs!$E$5*(Q268+S268)</f>
        <v>5975.30872215463</v>
      </c>
    </row>
    <row r="269" customFormat="false" ht="15" hidden="false" customHeight="false" outlineLevel="0" collapsed="false">
      <c r="A269" s="1" t="n">
        <v>265</v>
      </c>
      <c r="B269" s="81" t="n">
        <f aca="true">RAND()</f>
        <v>0.437516647003072</v>
      </c>
      <c r="C269" s="82" t="n">
        <f aca="false">ROUND(IF(B269&lt;(Inputs!$E$8-Inputs!$D$8)/(Inputs!$F$8-Inputs!$D$8),Inputs!$D$8+SQRT(B269*(Inputs!$F$8-Inputs!$D$8)*(Inputs!$E$8-Inputs!$D$8)),Inputs!$F$8-SQRT((1-B269)*(Inputs!$F$8-Inputs!$D$8)*(Inputs!$F$8-Inputs!$E$8))),0)</f>
        <v>25</v>
      </c>
      <c r="D269" s="81" t="n">
        <f aca="true">RAND()</f>
        <v>0.237528977240535</v>
      </c>
      <c r="E269" s="83" t="n">
        <f aca="false">IF(D269&lt;(Inputs!$E$10-Inputs!$D$10)/(Inputs!$F$10-Inputs!$D$10),Inputs!$D$10+SQRT(D269*(Inputs!$F$10-Inputs!$D$10)*(Inputs!$E$10-Inputs!$D$10)),Inputs!$F$10-SQRT((1-D269)*(Inputs!$F$10-Inputs!$D$10)*(Inputs!$F$10-Inputs!$E$10)))</f>
        <v>0.0487369446355159</v>
      </c>
      <c r="F269" s="81" t="n">
        <f aca="true">RAND()</f>
        <v>0.873515707533323</v>
      </c>
      <c r="G269" s="83" t="n">
        <f aca="false">IF(F269&lt;(Inputs!$E$15-Inputs!$D$15)/(Inputs!$F$15-Inputs!$D$15),Inputs!$D$15+SQRT(F269*(Inputs!$F$15-Inputs!$D$15)*(Inputs!$E$15-Inputs!$D$15)),Inputs!$F$15-SQRT((1-F269)*(Inputs!$F$15-Inputs!$D$15)*(Inputs!$F$15-Inputs!$E$15)))</f>
        <v>0.749704017562697</v>
      </c>
      <c r="H269" s="81" t="n">
        <f aca="true">RAND()</f>
        <v>0.816931551156287</v>
      </c>
      <c r="I269" s="82" t="n">
        <f aca="false">ROUND(IF(H269&lt;(Inputs!$E$17-Inputs!$D$17)/(Inputs!$F$17-Inputs!$D$17),Inputs!$D$17+SQRT(H269*(Inputs!$F$17-Inputs!$D$17)*(Inputs!$E$17-Inputs!$D$17)),Inputs!$F$17-SQRT((1-H269)*(Inputs!$F$17-Inputs!$D$17)*(Inputs!$F$17-Inputs!$E$17))),0)</f>
        <v>110</v>
      </c>
      <c r="J269" s="81" t="n">
        <f aca="true">RAND()</f>
        <v>0.854991826983483</v>
      </c>
      <c r="K269" s="83" t="n">
        <f aca="false">IF(J269&lt;(Inputs!$E$18-Inputs!$D$18)/(Inputs!$F$18-Inputs!$D$18),Inputs!$D$18+SQRT(J269*(Inputs!$F$18-Inputs!$D$18)*(Inputs!$E$18-Inputs!$D$18)),Inputs!$F$18-SQRT((1-J269)*(Inputs!$F$18-Inputs!$D$18)*(Inputs!$F$18-Inputs!$E$18)))</f>
        <v>1.13735802230542</v>
      </c>
      <c r="L269" s="81" t="n">
        <f aca="true">RAND()</f>
        <v>0.472199594004492</v>
      </c>
      <c r="M269" s="83" t="n">
        <f aca="false">IF(L269&lt;(Inputs!$E$24-Inputs!$D$24)/(Inputs!$F$24-Inputs!$D$24),Inputs!$D$24+SQRT(L269*(Inputs!$F$24-Inputs!$D$24)*(Inputs!$E$24-Inputs!$D$24)),Inputs!$F$24-SQRT((1-L269)*(Inputs!$F$24-Inputs!$D$24)*(Inputs!$F$24-Inputs!$E$24)))</f>
        <v>0.844089762104373</v>
      </c>
      <c r="N269" s="81" t="n">
        <f aca="true">RAND()</f>
        <v>0.0468998069154202</v>
      </c>
      <c r="O269" s="83" t="n">
        <f aca="false">IF(N269&lt;(Inputs!$E$26-Inputs!$D$26)/(Inputs!$F$26-Inputs!$D$26),Inputs!$D$26+SQRT(N269*(Inputs!$F$26-Inputs!$D$26)*(Inputs!$E$26-Inputs!$D$26)),Inputs!$F$26-SQRT((1-N269)*(Inputs!$F$26-Inputs!$D$26)*(Inputs!$F$26-Inputs!$E$26)))</f>
        <v>0.388340975038347</v>
      </c>
      <c r="P269" s="81" t="n">
        <f aca="true">RAND()</f>
        <v>0.869176101480387</v>
      </c>
      <c r="Q269" s="82" t="n">
        <f aca="false">IF(P269&lt;(Inputs!$E$27-Inputs!$D$27)/(Inputs!$F$27-Inputs!$D$27),Inputs!$D$27+SQRT(P269*(Inputs!$F$27-Inputs!$D$27)*(Inputs!$E$27-Inputs!$D$27)),Inputs!$F$27-SQRT((1-P269)*(Inputs!$F$27-Inputs!$D$27)*(Inputs!$F$27-Inputs!$E$27)))</f>
        <v>118.676219275172</v>
      </c>
      <c r="R269" s="81" t="n">
        <f aca="true">RAND()</f>
        <v>0.821443891744449</v>
      </c>
      <c r="S269" s="82" t="n">
        <f aca="false">IF(R269&lt;(Inputs!$E$29-Inputs!$D$29)/(Inputs!$F$29-Inputs!$D$29),Inputs!$D$29+SQRT(R269*(Inputs!$F$29-Inputs!$D$29)*(Inputs!$E$29-Inputs!$D$29)),Inputs!$F$29-SQRT((1-R269)*(Inputs!$F$29-Inputs!$D$29)*(Inputs!$F$29-Inputs!$E$29)))</f>
        <v>10.1820861284969</v>
      </c>
      <c r="T269" s="68" t="n">
        <f aca="false">Inputs!$E$9*(1+E269)+Inputs!$E$5*C269*(Inputs!$E$11*Inputs!$E$14*(G269*I269/Inputs!$E$16+(1-G269))*K269+Inputs!$E$23*M269)*(1+O269)+Inputs!$E$5*(Q269+S269)</f>
        <v>6112.139931351</v>
      </c>
    </row>
    <row r="270" customFormat="false" ht="15" hidden="false" customHeight="false" outlineLevel="0" collapsed="false">
      <c r="A270" s="1" t="n">
        <v>266</v>
      </c>
      <c r="B270" s="81" t="n">
        <f aca="true">RAND()</f>
        <v>0.461938853166315</v>
      </c>
      <c r="C270" s="82" t="n">
        <f aca="false">ROUND(IF(B270&lt;(Inputs!$E$8-Inputs!$D$8)/(Inputs!$F$8-Inputs!$D$8),Inputs!$D$8+SQRT(B270*(Inputs!$F$8-Inputs!$D$8)*(Inputs!$E$8-Inputs!$D$8)),Inputs!$F$8-SQRT((1-B270)*(Inputs!$F$8-Inputs!$D$8)*(Inputs!$F$8-Inputs!$E$8))),0)</f>
        <v>25</v>
      </c>
      <c r="D270" s="81" t="n">
        <f aca="true">RAND()</f>
        <v>0.835501358675361</v>
      </c>
      <c r="E270" s="83" t="n">
        <f aca="false">IF(D270&lt;(Inputs!$E$10-Inputs!$D$10)/(Inputs!$F$10-Inputs!$D$10),Inputs!$D$10+SQRT(D270*(Inputs!$F$10-Inputs!$D$10)*(Inputs!$E$10-Inputs!$D$10)),Inputs!$F$10-SQRT((1-D270)*(Inputs!$F$10-Inputs!$D$10)*(Inputs!$F$10-Inputs!$E$10)))</f>
        <v>0.12975073495232</v>
      </c>
      <c r="F270" s="81" t="n">
        <f aca="true">RAND()</f>
        <v>0.219901978712336</v>
      </c>
      <c r="G270" s="83" t="n">
        <f aca="false">IF(F270&lt;(Inputs!$E$15-Inputs!$D$15)/(Inputs!$F$15-Inputs!$D$15),Inputs!$D$15+SQRT(F270*(Inputs!$F$15-Inputs!$D$15)*(Inputs!$E$15-Inputs!$D$15)),Inputs!$F$15-SQRT((1-F270)*(Inputs!$F$15-Inputs!$D$15)*(Inputs!$F$15-Inputs!$E$15)))</f>
        <v>0.666317716895613</v>
      </c>
      <c r="H270" s="81" t="n">
        <f aca="true">RAND()</f>
        <v>0.624821541182358</v>
      </c>
      <c r="I270" s="82" t="n">
        <f aca="false">ROUND(IF(H270&lt;(Inputs!$E$17-Inputs!$D$17)/(Inputs!$F$17-Inputs!$D$17),Inputs!$D$17+SQRT(H270*(Inputs!$F$17-Inputs!$D$17)*(Inputs!$E$17-Inputs!$D$17)),Inputs!$F$17-SQRT((1-H270)*(Inputs!$F$17-Inputs!$D$17)*(Inputs!$F$17-Inputs!$E$17))),0)</f>
        <v>107</v>
      </c>
      <c r="J270" s="81" t="n">
        <f aca="true">RAND()</f>
        <v>0.667562584987918</v>
      </c>
      <c r="K270" s="83" t="n">
        <f aca="false">IF(J270&lt;(Inputs!$E$18-Inputs!$D$18)/(Inputs!$F$18-Inputs!$D$18),Inputs!$D$18+SQRT(J270*(Inputs!$F$18-Inputs!$D$18)*(Inputs!$E$18-Inputs!$D$18)),Inputs!$F$18-SQRT((1-J270)*(Inputs!$F$18-Inputs!$D$18)*(Inputs!$F$18-Inputs!$E$18)))</f>
        <v>1.07944715243199</v>
      </c>
      <c r="L270" s="81" t="n">
        <f aca="true">RAND()</f>
        <v>0.606746113872414</v>
      </c>
      <c r="M270" s="83" t="n">
        <f aca="false">IF(L270&lt;(Inputs!$E$24-Inputs!$D$24)/(Inputs!$F$24-Inputs!$D$24),Inputs!$D$24+SQRT(L270*(Inputs!$F$24-Inputs!$D$24)*(Inputs!$E$24-Inputs!$D$24)),Inputs!$F$24-SQRT((1-L270)*(Inputs!$F$24-Inputs!$D$24)*(Inputs!$F$24-Inputs!$E$24)))</f>
        <v>0.89278520108787</v>
      </c>
      <c r="N270" s="81" t="n">
        <f aca="true">RAND()</f>
        <v>0.758696082620635</v>
      </c>
      <c r="O270" s="83" t="n">
        <f aca="false">IF(N270&lt;(Inputs!$E$26-Inputs!$D$26)/(Inputs!$F$26-Inputs!$D$26),Inputs!$D$26+SQRT(N270*(Inputs!$F$26-Inputs!$D$26)*(Inputs!$E$26-Inputs!$D$26)),Inputs!$F$26-SQRT((1-N270)*(Inputs!$F$26-Inputs!$D$26)*(Inputs!$F$26-Inputs!$E$26)))</f>
        <v>0.66158406832817</v>
      </c>
      <c r="P270" s="81" t="n">
        <f aca="true">RAND()</f>
        <v>0.87605184319702</v>
      </c>
      <c r="Q270" s="82" t="n">
        <f aca="false">IF(P270&lt;(Inputs!$E$27-Inputs!$D$27)/(Inputs!$F$27-Inputs!$D$27),Inputs!$D$27+SQRT(P270*(Inputs!$F$27-Inputs!$D$27)*(Inputs!$E$27-Inputs!$D$27)),Inputs!$F$27-SQRT((1-P270)*(Inputs!$F$27-Inputs!$D$27)*(Inputs!$F$27-Inputs!$E$27)))</f>
        <v>119.510474322772</v>
      </c>
      <c r="R270" s="81" t="n">
        <f aca="true">RAND()</f>
        <v>0.564767037276274</v>
      </c>
      <c r="S270" s="82" t="n">
        <f aca="false">IF(R270&lt;(Inputs!$E$29-Inputs!$D$29)/(Inputs!$F$29-Inputs!$D$29),Inputs!$D$29+SQRT(R270*(Inputs!$F$29-Inputs!$D$29)*(Inputs!$E$29-Inputs!$D$29)),Inputs!$F$29-SQRT((1-R270)*(Inputs!$F$29-Inputs!$D$29)*(Inputs!$F$29-Inputs!$E$29)))</f>
        <v>7.4780132176343</v>
      </c>
      <c r="T270" s="68" t="n">
        <f aca="false">Inputs!$E$9*(1+E270)+Inputs!$E$5*C270*(Inputs!$E$11*Inputs!$E$14*(G270*I270/Inputs!$E$16+(1-G270))*K270+Inputs!$E$23*M270)*(1+O270)+Inputs!$E$5*(Q270+S270)</f>
        <v>6925.65896972546</v>
      </c>
    </row>
    <row r="271" customFormat="false" ht="15" hidden="false" customHeight="false" outlineLevel="0" collapsed="false">
      <c r="A271" s="1" t="n">
        <v>267</v>
      </c>
      <c r="B271" s="81" t="n">
        <f aca="true">RAND()</f>
        <v>0.845399395632183</v>
      </c>
      <c r="C271" s="82" t="n">
        <f aca="false">ROUND(IF(B271&lt;(Inputs!$E$8-Inputs!$D$8)/(Inputs!$F$8-Inputs!$D$8),Inputs!$D$8+SQRT(B271*(Inputs!$F$8-Inputs!$D$8)*(Inputs!$E$8-Inputs!$D$8)),Inputs!$F$8-SQRT((1-B271)*(Inputs!$F$8-Inputs!$D$8)*(Inputs!$F$8-Inputs!$E$8))),0)</f>
        <v>27</v>
      </c>
      <c r="D271" s="81" t="n">
        <f aca="true">RAND()</f>
        <v>0.267145992165015</v>
      </c>
      <c r="E271" s="83" t="n">
        <f aca="false">IF(D271&lt;(Inputs!$E$10-Inputs!$D$10)/(Inputs!$F$10-Inputs!$D$10),Inputs!$D$10+SQRT(D271*(Inputs!$F$10-Inputs!$D$10)*(Inputs!$E$10-Inputs!$D$10)),Inputs!$F$10-SQRT((1-D271)*(Inputs!$F$10-Inputs!$D$10)*(Inputs!$F$10-Inputs!$E$10)))</f>
        <v>0.0517245123594275</v>
      </c>
      <c r="F271" s="81" t="n">
        <f aca="true">RAND()</f>
        <v>0.555916810909397</v>
      </c>
      <c r="G271" s="83" t="n">
        <f aca="false">IF(F271&lt;(Inputs!$E$15-Inputs!$D$15)/(Inputs!$F$15-Inputs!$D$15),Inputs!$D$15+SQRT(F271*(Inputs!$F$15-Inputs!$D$15)*(Inputs!$E$15-Inputs!$D$15)),Inputs!$F$15-SQRT((1-F271)*(Inputs!$F$15-Inputs!$D$15)*(Inputs!$F$15-Inputs!$E$15)))</f>
        <v>0.705757420547759</v>
      </c>
      <c r="H271" s="81" t="n">
        <f aca="true">RAND()</f>
        <v>0.836610364373442</v>
      </c>
      <c r="I271" s="82" t="n">
        <f aca="false">ROUND(IF(H271&lt;(Inputs!$E$17-Inputs!$D$17)/(Inputs!$F$17-Inputs!$D$17),Inputs!$D$17+SQRT(H271*(Inputs!$F$17-Inputs!$D$17)*(Inputs!$E$17-Inputs!$D$17)),Inputs!$F$17-SQRT((1-H271)*(Inputs!$F$17-Inputs!$D$17)*(Inputs!$F$17-Inputs!$E$17))),0)</f>
        <v>110</v>
      </c>
      <c r="J271" s="81" t="n">
        <f aca="true">RAND()</f>
        <v>0.466059978607383</v>
      </c>
      <c r="K271" s="83" t="n">
        <f aca="false">IF(J271&lt;(Inputs!$E$18-Inputs!$D$18)/(Inputs!$F$18-Inputs!$D$18),Inputs!$D$18+SQRT(J271*(Inputs!$F$18-Inputs!$D$18)*(Inputs!$E$18-Inputs!$D$18)),Inputs!$F$18-SQRT((1-J271)*(Inputs!$F$18-Inputs!$D$18)*(Inputs!$F$18-Inputs!$E$18)))</f>
        <v>1.03385247660023</v>
      </c>
      <c r="L271" s="81" t="n">
        <f aca="true">RAND()</f>
        <v>0.904101050346662</v>
      </c>
      <c r="M271" s="83" t="n">
        <f aca="false">IF(L271&lt;(Inputs!$E$24-Inputs!$D$24)/(Inputs!$F$24-Inputs!$D$24),Inputs!$D$24+SQRT(L271*(Inputs!$F$24-Inputs!$D$24)*(Inputs!$E$24-Inputs!$D$24)),Inputs!$F$24-SQRT((1-L271)*(Inputs!$F$24-Inputs!$D$24)*(Inputs!$F$24-Inputs!$E$24)))</f>
        <v>1.04829058065894</v>
      </c>
      <c r="N271" s="81" t="n">
        <f aca="true">RAND()</f>
        <v>0.410892330536947</v>
      </c>
      <c r="O271" s="83" t="n">
        <f aca="false">IF(N271&lt;(Inputs!$E$26-Inputs!$D$26)/(Inputs!$F$26-Inputs!$D$26),Inputs!$D$26+SQRT(N271*(Inputs!$F$26-Inputs!$D$26)*(Inputs!$E$26-Inputs!$D$26)),Inputs!$F$26-SQRT((1-N271)*(Inputs!$F$26-Inputs!$D$26)*(Inputs!$F$26-Inputs!$E$26)))</f>
        <v>0.561481325913244</v>
      </c>
      <c r="P271" s="81" t="n">
        <f aca="true">RAND()</f>
        <v>0.950597632008566</v>
      </c>
      <c r="Q271" s="82" t="n">
        <f aca="false">IF(P271&lt;(Inputs!$E$27-Inputs!$D$27)/(Inputs!$F$27-Inputs!$D$27),Inputs!$D$27+SQRT(P271*(Inputs!$F$27-Inputs!$D$27)*(Inputs!$E$27-Inputs!$D$27)),Inputs!$F$27-SQRT((1-P271)*(Inputs!$F$27-Inputs!$D$27)*(Inputs!$F$27-Inputs!$E$27)))</f>
        <v>130.751162114669</v>
      </c>
      <c r="R271" s="81" t="n">
        <f aca="true">RAND()</f>
        <v>0.908305367564558</v>
      </c>
      <c r="S271" s="82" t="n">
        <f aca="false">IF(R271&lt;(Inputs!$E$29-Inputs!$D$29)/(Inputs!$F$29-Inputs!$D$29),Inputs!$D$29+SQRT(R271*(Inputs!$F$29-Inputs!$D$29)*(Inputs!$E$29-Inputs!$D$29)),Inputs!$F$29-SQRT((1-R271)*(Inputs!$F$29-Inputs!$D$29)*(Inputs!$F$29-Inputs!$E$29)))</f>
        <v>11.547420932606</v>
      </c>
      <c r="T271" s="68" t="n">
        <f aca="false">Inputs!$E$9*(1+E271)+Inputs!$E$5*C271*(Inputs!$E$11*Inputs!$E$14*(G271*I271/Inputs!$E$16+(1-G271))*K271+Inputs!$E$23*M271)*(1+O271)+Inputs!$E$5*(Q271+S271)</f>
        <v>6997.26770375657</v>
      </c>
    </row>
    <row r="272" customFormat="false" ht="15" hidden="false" customHeight="false" outlineLevel="0" collapsed="false">
      <c r="A272" s="1" t="n">
        <v>268</v>
      </c>
      <c r="B272" s="81" t="n">
        <f aca="true">RAND()</f>
        <v>0.867523666999139</v>
      </c>
      <c r="C272" s="82" t="n">
        <f aca="false">ROUND(IF(B272&lt;(Inputs!$E$8-Inputs!$D$8)/(Inputs!$F$8-Inputs!$D$8),Inputs!$D$8+SQRT(B272*(Inputs!$F$8-Inputs!$D$8)*(Inputs!$E$8-Inputs!$D$8)),Inputs!$F$8-SQRT((1-B272)*(Inputs!$F$8-Inputs!$D$8)*(Inputs!$F$8-Inputs!$E$8))),0)</f>
        <v>27</v>
      </c>
      <c r="D272" s="81" t="n">
        <f aca="true">RAND()</f>
        <v>0.928908566085398</v>
      </c>
      <c r="E272" s="83" t="n">
        <f aca="false">IF(D272&lt;(Inputs!$E$10-Inputs!$D$10)/(Inputs!$F$10-Inputs!$D$10),Inputs!$D$10+SQRT(D272*(Inputs!$F$10-Inputs!$D$10)*(Inputs!$E$10-Inputs!$D$10)),Inputs!$F$10-SQRT((1-D272)*(Inputs!$F$10-Inputs!$D$10)*(Inputs!$F$10-Inputs!$E$10)))</f>
        <v>0.153818369263981</v>
      </c>
      <c r="F272" s="81" t="n">
        <f aca="true">RAND()</f>
        <v>0.844711750459021</v>
      </c>
      <c r="G272" s="83" t="n">
        <f aca="false">IF(F272&lt;(Inputs!$E$15-Inputs!$D$15)/(Inputs!$F$15-Inputs!$D$15),Inputs!$D$15+SQRT(F272*(Inputs!$F$15-Inputs!$D$15)*(Inputs!$E$15-Inputs!$D$15)),Inputs!$F$15-SQRT((1-F272)*(Inputs!$F$15-Inputs!$D$15)*(Inputs!$F$15-Inputs!$E$15)))</f>
        <v>0.744270609272848</v>
      </c>
      <c r="H272" s="81" t="n">
        <f aca="true">RAND()</f>
        <v>0.807585186632803</v>
      </c>
      <c r="I272" s="82" t="n">
        <f aca="false">ROUND(IF(H272&lt;(Inputs!$E$17-Inputs!$D$17)/(Inputs!$F$17-Inputs!$D$17),Inputs!$D$17+SQRT(H272*(Inputs!$F$17-Inputs!$D$17)*(Inputs!$E$17-Inputs!$D$17)),Inputs!$F$17-SQRT((1-H272)*(Inputs!$F$17-Inputs!$D$17)*(Inputs!$F$17-Inputs!$E$17))),0)</f>
        <v>110</v>
      </c>
      <c r="J272" s="81" t="n">
        <f aca="true">RAND()</f>
        <v>0.7599064319938</v>
      </c>
      <c r="K272" s="83" t="n">
        <f aca="false">IF(J272&lt;(Inputs!$E$18-Inputs!$D$18)/(Inputs!$F$18-Inputs!$D$18),Inputs!$D$18+SQRT(J272*(Inputs!$F$18-Inputs!$D$18)*(Inputs!$E$18-Inputs!$D$18)),Inputs!$F$18-SQRT((1-J272)*(Inputs!$F$18-Inputs!$D$18)*(Inputs!$F$18-Inputs!$E$18)))</f>
        <v>1.10505798676525</v>
      </c>
      <c r="L272" s="81" t="n">
        <f aca="true">RAND()</f>
        <v>0.0893369726080462</v>
      </c>
      <c r="M272" s="83" t="n">
        <f aca="false">IF(L272&lt;(Inputs!$E$24-Inputs!$D$24)/(Inputs!$F$24-Inputs!$D$24),Inputs!$D$24+SQRT(L272*(Inputs!$F$24-Inputs!$D$24)*(Inputs!$E$24-Inputs!$D$24)),Inputs!$F$24-SQRT((1-L272)*(Inputs!$F$24-Inputs!$D$24)*(Inputs!$F$24-Inputs!$E$24)))</f>
        <v>0.703539541784603</v>
      </c>
      <c r="N272" s="81" t="n">
        <f aca="true">RAND()</f>
        <v>0.922227865385076</v>
      </c>
      <c r="O272" s="83" t="n">
        <f aca="false">IF(N272&lt;(Inputs!$E$26-Inputs!$D$26)/(Inputs!$F$26-Inputs!$D$26),Inputs!$D$26+SQRT(N272*(Inputs!$F$26-Inputs!$D$26)*(Inputs!$E$26-Inputs!$D$26)),Inputs!$F$26-SQRT((1-N272)*(Inputs!$F$26-Inputs!$D$26)*(Inputs!$F$26-Inputs!$E$26)))</f>
        <v>0.730065012370312</v>
      </c>
      <c r="P272" s="81" t="n">
        <f aca="true">RAND()</f>
        <v>0.443104329503276</v>
      </c>
      <c r="Q272" s="82" t="n">
        <f aca="false">IF(P272&lt;(Inputs!$E$27-Inputs!$D$27)/(Inputs!$F$27-Inputs!$D$27),Inputs!$D$27+SQRT(P272*(Inputs!$F$27-Inputs!$D$27)*(Inputs!$E$27-Inputs!$D$27)),Inputs!$F$27-SQRT((1-P272)*(Inputs!$F$27-Inputs!$D$27)*(Inputs!$F$27-Inputs!$E$27)))</f>
        <v>85.3724708137049</v>
      </c>
      <c r="R272" s="81" t="n">
        <f aca="true">RAND()</f>
        <v>0.805371544476783</v>
      </c>
      <c r="S272" s="82" t="n">
        <f aca="false">IF(R272&lt;(Inputs!$E$29-Inputs!$D$29)/(Inputs!$F$29-Inputs!$D$29),Inputs!$D$29+SQRT(R272*(Inputs!$F$29-Inputs!$D$29)*(Inputs!$E$29-Inputs!$D$29)),Inputs!$F$29-SQRT((1-R272)*(Inputs!$F$29-Inputs!$D$29)*(Inputs!$F$29-Inputs!$E$29)))</f>
        <v>9.96992055549634</v>
      </c>
      <c r="T272" s="68" t="n">
        <f aca="false">Inputs!$E$9*(1+E272)+Inputs!$E$5*C272*(Inputs!$E$11*Inputs!$E$14*(G272*I272/Inputs!$E$16+(1-G272))*K272+Inputs!$E$23*M272)*(1+O272)+Inputs!$E$5*(Q272+S272)</f>
        <v>6962.58965465291</v>
      </c>
    </row>
    <row r="273" customFormat="false" ht="15" hidden="false" customHeight="false" outlineLevel="0" collapsed="false">
      <c r="A273" s="1" t="n">
        <v>269</v>
      </c>
      <c r="B273" s="81" t="n">
        <f aca="true">RAND()</f>
        <v>0.694626077619312</v>
      </c>
      <c r="C273" s="82" t="n">
        <f aca="false">ROUND(IF(B273&lt;(Inputs!$E$8-Inputs!$D$8)/(Inputs!$F$8-Inputs!$D$8),Inputs!$D$8+SQRT(B273*(Inputs!$F$8-Inputs!$D$8)*(Inputs!$E$8-Inputs!$D$8)),Inputs!$F$8-SQRT((1-B273)*(Inputs!$F$8-Inputs!$D$8)*(Inputs!$F$8-Inputs!$E$8))),0)</f>
        <v>26</v>
      </c>
      <c r="D273" s="81" t="n">
        <f aca="true">RAND()</f>
        <v>0.247693985787222</v>
      </c>
      <c r="E273" s="83" t="n">
        <f aca="false">IF(D273&lt;(Inputs!$E$10-Inputs!$D$10)/(Inputs!$F$10-Inputs!$D$10),Inputs!$D$10+SQRT(D273*(Inputs!$F$10-Inputs!$D$10)*(Inputs!$E$10-Inputs!$D$10)),Inputs!$F$10-SQRT((1-D273)*(Inputs!$F$10-Inputs!$D$10)*(Inputs!$F$10-Inputs!$E$10)))</f>
        <v>0.0497688643417973</v>
      </c>
      <c r="F273" s="81" t="n">
        <f aca="true">RAND()</f>
        <v>0.289617185382512</v>
      </c>
      <c r="G273" s="83" t="n">
        <f aca="false">IF(F273&lt;(Inputs!$E$15-Inputs!$D$15)/(Inputs!$F$15-Inputs!$D$15),Inputs!$D$15+SQRT(F273*(Inputs!$F$15-Inputs!$D$15)*(Inputs!$E$15-Inputs!$D$15)),Inputs!$F$15-SQRT((1-F273)*(Inputs!$F$15-Inputs!$D$15)*(Inputs!$F$15-Inputs!$E$15)))</f>
        <v>0.676107448437392</v>
      </c>
      <c r="H273" s="81" t="n">
        <f aca="true">RAND()</f>
        <v>0.585899318208358</v>
      </c>
      <c r="I273" s="82" t="n">
        <f aca="false">ROUND(IF(H273&lt;(Inputs!$E$17-Inputs!$D$17)/(Inputs!$F$17-Inputs!$D$17),Inputs!$D$17+SQRT(H273*(Inputs!$F$17-Inputs!$D$17)*(Inputs!$E$17-Inputs!$D$17)),Inputs!$F$17-SQRT((1-H273)*(Inputs!$F$17-Inputs!$D$17)*(Inputs!$F$17-Inputs!$E$17))),0)</f>
        <v>107</v>
      </c>
      <c r="J273" s="81" t="n">
        <f aca="true">RAND()</f>
        <v>0.825643814158782</v>
      </c>
      <c r="K273" s="83" t="n">
        <f aca="false">IF(J273&lt;(Inputs!$E$18-Inputs!$D$18)/(Inputs!$F$18-Inputs!$D$18),Inputs!$D$18+SQRT(J273*(Inputs!$F$18-Inputs!$D$18)*(Inputs!$E$18-Inputs!$D$18)),Inputs!$F$18-SQRT((1-J273)*(Inputs!$F$18-Inputs!$D$18)*(Inputs!$F$18-Inputs!$E$18)))</f>
        <v>1.12648414570952</v>
      </c>
      <c r="L273" s="81" t="n">
        <f aca="true">RAND()</f>
        <v>0.729980195746003</v>
      </c>
      <c r="M273" s="83" t="n">
        <f aca="false">IF(L273&lt;(Inputs!$E$24-Inputs!$D$24)/(Inputs!$F$24-Inputs!$D$24),Inputs!$D$24+SQRT(L273*(Inputs!$F$24-Inputs!$D$24)*(Inputs!$E$24-Inputs!$D$24)),Inputs!$F$24-SQRT((1-L273)*(Inputs!$F$24-Inputs!$D$24)*(Inputs!$F$24-Inputs!$E$24)))</f>
        <v>0.945432223129165</v>
      </c>
      <c r="N273" s="81" t="n">
        <f aca="true">RAND()</f>
        <v>0.829648960661284</v>
      </c>
      <c r="O273" s="83" t="n">
        <f aca="false">IF(N273&lt;(Inputs!$E$26-Inputs!$D$26)/(Inputs!$F$26-Inputs!$D$26),Inputs!$D$26+SQRT(N273*(Inputs!$F$26-Inputs!$D$26)*(Inputs!$E$26-Inputs!$D$26)),Inputs!$F$26-SQRT((1-N273)*(Inputs!$F$26-Inputs!$D$26)*(Inputs!$F$26-Inputs!$E$26)))</f>
        <v>0.686896626296602</v>
      </c>
      <c r="P273" s="81" t="n">
        <f aca="true">RAND()</f>
        <v>0.107119367457277</v>
      </c>
      <c r="Q273" s="82" t="n">
        <f aca="false">IF(P273&lt;(Inputs!$E$27-Inputs!$D$27)/(Inputs!$F$27-Inputs!$D$27),Inputs!$D$27+SQRT(P273*(Inputs!$F$27-Inputs!$D$27)*(Inputs!$E$27-Inputs!$D$27)),Inputs!$F$27-SQRT((1-P273)*(Inputs!$F$27-Inputs!$D$27)*(Inputs!$F$27-Inputs!$E$27)))</f>
        <v>66.3645476149875</v>
      </c>
      <c r="R273" s="81" t="n">
        <f aca="true">RAND()</f>
        <v>0.749779774685237</v>
      </c>
      <c r="S273" s="82" t="n">
        <f aca="false">IF(R273&lt;(Inputs!$E$29-Inputs!$D$29)/(Inputs!$F$29-Inputs!$D$29),Inputs!$D$29+SQRT(R273*(Inputs!$F$29-Inputs!$D$29)*(Inputs!$E$29-Inputs!$D$29)),Inputs!$F$29-SQRT((1-R273)*(Inputs!$F$29-Inputs!$D$29)*(Inputs!$F$29-Inputs!$E$29)))</f>
        <v>9.29661247231794</v>
      </c>
      <c r="T273" s="68" t="n">
        <f aca="false">Inputs!$E$9*(1+E273)+Inputs!$E$5*C273*(Inputs!$E$11*Inputs!$E$14*(G273*I273/Inputs!$E$16+(1-G273))*K273+Inputs!$E$23*M273)*(1+O273)+Inputs!$E$5*(Q273+S273)</f>
        <v>6886.42076598464</v>
      </c>
    </row>
    <row r="274" customFormat="false" ht="15" hidden="false" customHeight="false" outlineLevel="0" collapsed="false">
      <c r="A274" s="1" t="n">
        <v>270</v>
      </c>
      <c r="B274" s="81" t="n">
        <f aca="true">RAND()</f>
        <v>0.662109683469711</v>
      </c>
      <c r="C274" s="82" t="n">
        <f aca="false">ROUND(IF(B274&lt;(Inputs!$E$8-Inputs!$D$8)/(Inputs!$F$8-Inputs!$D$8),Inputs!$D$8+SQRT(B274*(Inputs!$F$8-Inputs!$D$8)*(Inputs!$E$8-Inputs!$D$8)),Inputs!$F$8-SQRT((1-B274)*(Inputs!$F$8-Inputs!$D$8)*(Inputs!$F$8-Inputs!$E$8))),0)</f>
        <v>26</v>
      </c>
      <c r="D274" s="81" t="n">
        <f aca="true">RAND()</f>
        <v>0.108777068777887</v>
      </c>
      <c r="E274" s="83" t="n">
        <f aca="false">IF(D274&lt;(Inputs!$E$10-Inputs!$D$10)/(Inputs!$F$10-Inputs!$D$10),Inputs!$D$10+SQRT(D274*(Inputs!$F$10-Inputs!$D$10)*(Inputs!$E$10-Inputs!$D$10)),Inputs!$F$10-SQRT((1-D274)*(Inputs!$F$10-Inputs!$D$10)*(Inputs!$F$10-Inputs!$E$10)))</f>
        <v>0.0329813687978359</v>
      </c>
      <c r="F274" s="81" t="n">
        <f aca="true">RAND()</f>
        <v>0.421804922588793</v>
      </c>
      <c r="G274" s="83" t="n">
        <f aca="false">IF(F274&lt;(Inputs!$E$15-Inputs!$D$15)/(Inputs!$F$15-Inputs!$D$15),Inputs!$D$15+SQRT(F274*(Inputs!$F$15-Inputs!$D$15)*(Inputs!$E$15-Inputs!$D$15)),Inputs!$F$15-SQRT((1-F274)*(Inputs!$F$15-Inputs!$D$15)*(Inputs!$F$15-Inputs!$E$15)))</f>
        <v>0.691848235975308</v>
      </c>
      <c r="H274" s="81" t="n">
        <f aca="true">RAND()</f>
        <v>0.971924506980327</v>
      </c>
      <c r="I274" s="82" t="n">
        <f aca="false">ROUND(IF(H274&lt;(Inputs!$E$17-Inputs!$D$17)/(Inputs!$F$17-Inputs!$D$17),Inputs!$D$17+SQRT(H274*(Inputs!$F$17-Inputs!$D$17)*(Inputs!$E$17-Inputs!$D$17)),Inputs!$F$17-SQRT((1-H274)*(Inputs!$F$17-Inputs!$D$17)*(Inputs!$F$17-Inputs!$E$17))),0)</f>
        <v>113</v>
      </c>
      <c r="J274" s="81" t="n">
        <f aca="true">RAND()</f>
        <v>0.324238851041821</v>
      </c>
      <c r="K274" s="83" t="n">
        <f aca="false">IF(J274&lt;(Inputs!$E$18-Inputs!$D$18)/(Inputs!$F$18-Inputs!$D$18),Inputs!$D$18+SQRT(J274*(Inputs!$F$18-Inputs!$D$18)*(Inputs!$E$18-Inputs!$D$18)),Inputs!$F$18-SQRT((1-J274)*(Inputs!$F$18-Inputs!$D$18)*(Inputs!$F$18-Inputs!$E$18)))</f>
        <v>1.00683523994246</v>
      </c>
      <c r="L274" s="81" t="n">
        <f aca="true">RAND()</f>
        <v>0.672150338543235</v>
      </c>
      <c r="M274" s="83" t="n">
        <f aca="false">IF(L274&lt;(Inputs!$E$24-Inputs!$D$24)/(Inputs!$F$24-Inputs!$D$24),Inputs!$D$24+SQRT(L274*(Inputs!$F$24-Inputs!$D$24)*(Inputs!$E$24-Inputs!$D$24)),Inputs!$F$24-SQRT((1-L274)*(Inputs!$F$24-Inputs!$D$24)*(Inputs!$F$24-Inputs!$E$24)))</f>
        <v>0.919493460415584</v>
      </c>
      <c r="N274" s="81" t="n">
        <f aca="true">RAND()</f>
        <v>0.734435038792516</v>
      </c>
      <c r="O274" s="83" t="n">
        <f aca="false">IF(N274&lt;(Inputs!$E$26-Inputs!$D$26)/(Inputs!$F$26-Inputs!$D$26),Inputs!$D$26+SQRT(N274*(Inputs!$F$26-Inputs!$D$26)*(Inputs!$E$26-Inputs!$D$26)),Inputs!$F$26-SQRT((1-N274)*(Inputs!$F$26-Inputs!$D$26)*(Inputs!$F$26-Inputs!$E$26)))</f>
        <v>0.653811083505613</v>
      </c>
      <c r="P274" s="81" t="n">
        <f aca="true">RAND()</f>
        <v>0.898241026408063</v>
      </c>
      <c r="Q274" s="82" t="n">
        <f aca="false">IF(P274&lt;(Inputs!$E$27-Inputs!$D$27)/(Inputs!$F$27-Inputs!$D$27),Inputs!$D$27+SQRT(P274*(Inputs!$F$27-Inputs!$D$27)*(Inputs!$E$27-Inputs!$D$27)),Inputs!$F$27-SQRT((1-P274)*(Inputs!$F$27-Inputs!$D$27)*(Inputs!$F$27-Inputs!$E$27)))</f>
        <v>122.374064686612</v>
      </c>
      <c r="R274" s="81" t="n">
        <f aca="true">RAND()</f>
        <v>0.958284956619428</v>
      </c>
      <c r="S274" s="82" t="n">
        <f aca="false">IF(R274&lt;(Inputs!$E$29-Inputs!$D$29)/(Inputs!$F$29-Inputs!$D$29),Inputs!$D$29+SQRT(R274*(Inputs!$F$29-Inputs!$D$29)*(Inputs!$E$29-Inputs!$D$29)),Inputs!$F$29-SQRT((1-R274)*(Inputs!$F$29-Inputs!$D$29)*(Inputs!$F$29-Inputs!$E$29)))</f>
        <v>12.6712759632206</v>
      </c>
      <c r="T274" s="68" t="n">
        <f aca="false">Inputs!$E$9*(1+E274)+Inputs!$E$5*C274*(Inputs!$E$11*Inputs!$E$14*(G274*I274/Inputs!$E$16+(1-G274))*K274+Inputs!$E$23*M274)*(1+O274)+Inputs!$E$5*(Q274+S274)</f>
        <v>6793.71315008873</v>
      </c>
    </row>
    <row r="275" customFormat="false" ht="15" hidden="false" customHeight="false" outlineLevel="0" collapsed="false">
      <c r="A275" s="1" t="n">
        <v>271</v>
      </c>
      <c r="B275" s="81" t="n">
        <f aca="true">RAND()</f>
        <v>0.0820196031059053</v>
      </c>
      <c r="C275" s="82" t="n">
        <f aca="false">ROUND(IF(B275&lt;(Inputs!$E$8-Inputs!$D$8)/(Inputs!$F$8-Inputs!$D$8),Inputs!$D$8+SQRT(B275*(Inputs!$F$8-Inputs!$D$8)*(Inputs!$E$8-Inputs!$D$8)),Inputs!$F$8-SQRT((1-B275)*(Inputs!$F$8-Inputs!$D$8)*(Inputs!$F$8-Inputs!$E$8))),0)</f>
        <v>22</v>
      </c>
      <c r="D275" s="81" t="n">
        <f aca="true">RAND()</f>
        <v>0.318037361144068</v>
      </c>
      <c r="E275" s="83" t="n">
        <f aca="false">IF(D275&lt;(Inputs!$E$10-Inputs!$D$10)/(Inputs!$F$10-Inputs!$D$10),Inputs!$D$10+SQRT(D275*(Inputs!$F$10-Inputs!$D$10)*(Inputs!$E$10-Inputs!$D$10)),Inputs!$F$10-SQRT((1-D275)*(Inputs!$F$10-Inputs!$D$10)*(Inputs!$F$10-Inputs!$E$10)))</f>
        <v>0.0569654616336392</v>
      </c>
      <c r="F275" s="81" t="n">
        <f aca="true">RAND()</f>
        <v>0.882319931066277</v>
      </c>
      <c r="G275" s="83" t="n">
        <f aca="false">IF(F275&lt;(Inputs!$E$15-Inputs!$D$15)/(Inputs!$F$15-Inputs!$D$15),Inputs!$D$15+SQRT(F275*(Inputs!$F$15-Inputs!$D$15)*(Inputs!$E$15-Inputs!$D$15)),Inputs!$F$15-SQRT((1-F275)*(Inputs!$F$15-Inputs!$D$15)*(Inputs!$F$15-Inputs!$E$15)))</f>
        <v>0.751486070261476</v>
      </c>
      <c r="H275" s="81" t="n">
        <f aca="true">RAND()</f>
        <v>0.935991752881591</v>
      </c>
      <c r="I275" s="82" t="n">
        <f aca="false">ROUND(IF(H275&lt;(Inputs!$E$17-Inputs!$D$17)/(Inputs!$F$17-Inputs!$D$17),Inputs!$D$17+SQRT(H275*(Inputs!$F$17-Inputs!$D$17)*(Inputs!$E$17-Inputs!$D$17)),Inputs!$F$17-SQRT((1-H275)*(Inputs!$F$17-Inputs!$D$17)*(Inputs!$F$17-Inputs!$E$17))),0)</f>
        <v>112</v>
      </c>
      <c r="J275" s="81" t="n">
        <f aca="true">RAND()</f>
        <v>0.285643149120714</v>
      </c>
      <c r="K275" s="83" t="n">
        <f aca="false">IF(J275&lt;(Inputs!$E$18-Inputs!$D$18)/(Inputs!$F$18-Inputs!$D$18),Inputs!$D$18+SQRT(J275*(Inputs!$F$18-Inputs!$D$18)*(Inputs!$E$18-Inputs!$D$18)),Inputs!$F$18-SQRT((1-J275)*(Inputs!$F$18-Inputs!$D$18)*(Inputs!$F$18-Inputs!$E$18)))</f>
        <v>0.999987550321153</v>
      </c>
      <c r="L275" s="81" t="n">
        <f aca="true">RAND()</f>
        <v>0.0617952229940236</v>
      </c>
      <c r="M275" s="83" t="n">
        <f aca="false">IF(L275&lt;(Inputs!$E$24-Inputs!$D$24)/(Inputs!$F$24-Inputs!$D$24),Inputs!$D$24+SQRT(L275*(Inputs!$F$24-Inputs!$D$24)*(Inputs!$E$24-Inputs!$D$24)),Inputs!$F$24-SQRT((1-L275)*(Inputs!$F$24-Inputs!$D$24)*(Inputs!$F$24-Inputs!$E$24)))</f>
        <v>0.686112872204351</v>
      </c>
      <c r="N275" s="81" t="n">
        <f aca="true">RAND()</f>
        <v>0.554500990673762</v>
      </c>
      <c r="O275" s="83" t="n">
        <f aca="false">IF(N275&lt;(Inputs!$E$26-Inputs!$D$26)/(Inputs!$F$26-Inputs!$D$26),Inputs!$D$26+SQRT(N275*(Inputs!$F$26-Inputs!$D$26)*(Inputs!$E$26-Inputs!$D$26)),Inputs!$F$26-SQRT((1-N275)*(Inputs!$F$26-Inputs!$D$26)*(Inputs!$F$26-Inputs!$E$26)))</f>
        <v>0.603758069601639</v>
      </c>
      <c r="P275" s="81" t="n">
        <f aca="true">RAND()</f>
        <v>0.280305008305864</v>
      </c>
      <c r="Q275" s="82" t="n">
        <f aca="false">IF(P275&lt;(Inputs!$E$27-Inputs!$D$27)/(Inputs!$F$27-Inputs!$D$27),Inputs!$D$27+SQRT(P275*(Inputs!$F$27-Inputs!$D$27)*(Inputs!$E$27-Inputs!$D$27)),Inputs!$F$27-SQRT((1-P275)*(Inputs!$F$27-Inputs!$D$27)*(Inputs!$F$27-Inputs!$E$27)))</f>
        <v>76.5308742551947</v>
      </c>
      <c r="R275" s="81" t="n">
        <f aca="true">RAND()</f>
        <v>0.891621701195946</v>
      </c>
      <c r="S275" s="82" t="n">
        <f aca="false">IF(R275&lt;(Inputs!$E$29-Inputs!$D$29)/(Inputs!$F$29-Inputs!$D$29),Inputs!$D$29+SQRT(R275*(Inputs!$F$29-Inputs!$D$29)*(Inputs!$E$29-Inputs!$D$29)),Inputs!$F$29-SQRT((1-R275)*(Inputs!$F$29-Inputs!$D$29)*(Inputs!$F$29-Inputs!$E$29)))</f>
        <v>11.2464445062678</v>
      </c>
      <c r="T275" s="68" t="n">
        <f aca="false">Inputs!$E$9*(1+E275)+Inputs!$E$5*C275*(Inputs!$E$11*Inputs!$E$14*(G275*I275/Inputs!$E$16+(1-G275))*K275+Inputs!$E$23*M275)*(1+O275)+Inputs!$E$5*(Q275+S275)</f>
        <v>5538.70074087391</v>
      </c>
    </row>
    <row r="276" customFormat="false" ht="15" hidden="false" customHeight="false" outlineLevel="0" collapsed="false">
      <c r="A276" s="1" t="n">
        <v>272</v>
      </c>
      <c r="B276" s="81" t="n">
        <f aca="true">RAND()</f>
        <v>0.417172336793979</v>
      </c>
      <c r="C276" s="82" t="n">
        <f aca="false">ROUND(IF(B276&lt;(Inputs!$E$8-Inputs!$D$8)/(Inputs!$F$8-Inputs!$D$8),Inputs!$D$8+SQRT(B276*(Inputs!$F$8-Inputs!$D$8)*(Inputs!$E$8-Inputs!$D$8)),Inputs!$F$8-SQRT((1-B276)*(Inputs!$F$8-Inputs!$D$8)*(Inputs!$F$8-Inputs!$E$8))),0)</f>
        <v>25</v>
      </c>
      <c r="D276" s="81" t="n">
        <f aca="true">RAND()</f>
        <v>0.0213356635595468</v>
      </c>
      <c r="E276" s="83" t="n">
        <f aca="false">IF(D276&lt;(Inputs!$E$10-Inputs!$D$10)/(Inputs!$F$10-Inputs!$D$10),Inputs!$D$10+SQRT(D276*(Inputs!$F$10-Inputs!$D$10)*(Inputs!$E$10-Inputs!$D$10)),Inputs!$F$10-SQRT((1-D276)*(Inputs!$F$10-Inputs!$D$10)*(Inputs!$F$10-Inputs!$E$10)))</f>
        <v>0.0146067325434358</v>
      </c>
      <c r="F276" s="81" t="n">
        <f aca="true">RAND()</f>
        <v>0.926799494407462</v>
      </c>
      <c r="G276" s="83" t="n">
        <f aca="false">IF(F276&lt;(Inputs!$E$15-Inputs!$D$15)/(Inputs!$F$15-Inputs!$D$15),Inputs!$D$15+SQRT(F276*(Inputs!$F$15-Inputs!$D$15)*(Inputs!$E$15-Inputs!$D$15)),Inputs!$F$15-SQRT((1-F276)*(Inputs!$F$15-Inputs!$D$15)*(Inputs!$F$15-Inputs!$E$15)))</f>
        <v>0.761737614922084</v>
      </c>
      <c r="H276" s="81" t="n">
        <f aca="true">RAND()</f>
        <v>0.678442511000285</v>
      </c>
      <c r="I276" s="82" t="n">
        <f aca="false">ROUND(IF(H276&lt;(Inputs!$E$17-Inputs!$D$17)/(Inputs!$F$17-Inputs!$D$17),Inputs!$D$17+SQRT(H276*(Inputs!$F$17-Inputs!$D$17)*(Inputs!$E$17-Inputs!$D$17)),Inputs!$F$17-SQRT((1-H276)*(Inputs!$F$17-Inputs!$D$17)*(Inputs!$F$17-Inputs!$E$17))),0)</f>
        <v>108</v>
      </c>
      <c r="J276" s="81" t="n">
        <f aca="true">RAND()</f>
        <v>0.28959955452845</v>
      </c>
      <c r="K276" s="83" t="n">
        <f aca="false">IF(J276&lt;(Inputs!$E$18-Inputs!$D$18)/(Inputs!$F$18-Inputs!$D$18),Inputs!$D$18+SQRT(J276*(Inputs!$F$18-Inputs!$D$18)*(Inputs!$E$18-Inputs!$D$18)),Inputs!$F$18-SQRT((1-J276)*(Inputs!$F$18-Inputs!$D$18)*(Inputs!$F$18-Inputs!$E$18)))</f>
        <v>1.00068084915362</v>
      </c>
      <c r="L276" s="81" t="n">
        <f aca="true">RAND()</f>
        <v>0.785109771943982</v>
      </c>
      <c r="M276" s="83" t="n">
        <f aca="false">IF(L276&lt;(Inputs!$E$24-Inputs!$D$24)/(Inputs!$F$24-Inputs!$D$24),Inputs!$D$24+SQRT(L276*(Inputs!$F$24-Inputs!$D$24)*(Inputs!$E$24-Inputs!$D$24)),Inputs!$F$24-SQRT((1-L276)*(Inputs!$F$24-Inputs!$D$24)*(Inputs!$F$24-Inputs!$E$24)))</f>
        <v>0.972901662856277</v>
      </c>
      <c r="N276" s="81" t="n">
        <f aca="true">RAND()</f>
        <v>0.537920355159875</v>
      </c>
      <c r="O276" s="83" t="n">
        <f aca="false">IF(N276&lt;(Inputs!$E$26-Inputs!$D$26)/(Inputs!$F$26-Inputs!$D$26),Inputs!$D$26+SQRT(N276*(Inputs!$F$26-Inputs!$D$26)*(Inputs!$E$26-Inputs!$D$26)),Inputs!$F$26-SQRT((1-N276)*(Inputs!$F$26-Inputs!$D$26)*(Inputs!$F$26-Inputs!$E$26)))</f>
        <v>0.599182130312964</v>
      </c>
      <c r="P276" s="81" t="n">
        <f aca="true">RAND()</f>
        <v>0.875395178853407</v>
      </c>
      <c r="Q276" s="82" t="n">
        <f aca="false">IF(P276&lt;(Inputs!$E$27-Inputs!$D$27)/(Inputs!$F$27-Inputs!$D$27),Inputs!$D$27+SQRT(P276*(Inputs!$F$27-Inputs!$D$27)*(Inputs!$E$27-Inputs!$D$27)),Inputs!$F$27-SQRT((1-P276)*(Inputs!$F$27-Inputs!$D$27)*(Inputs!$F$27-Inputs!$E$27)))</f>
        <v>119.429815855977</v>
      </c>
      <c r="R276" s="81" t="n">
        <f aca="true">RAND()</f>
        <v>0.938088791980714</v>
      </c>
      <c r="S276" s="82" t="n">
        <f aca="false">IF(R276&lt;(Inputs!$E$29-Inputs!$D$29)/(Inputs!$F$29-Inputs!$D$29),Inputs!$D$29+SQRT(R276*(Inputs!$F$29-Inputs!$D$29)*(Inputs!$E$29-Inputs!$D$29)),Inputs!$F$29-SQRT((1-R276)*(Inputs!$F$29-Inputs!$D$29)*(Inputs!$F$29-Inputs!$E$29)))</f>
        <v>12.1630197317381</v>
      </c>
      <c r="T276" s="68" t="n">
        <f aca="false">Inputs!$E$9*(1+E276)+Inputs!$E$5*C276*(Inputs!$E$11*Inputs!$E$14*(G276*I276/Inputs!$E$16+(1-G276))*K276+Inputs!$E$23*M276)*(1+O276)+Inputs!$E$5*(Q276+S276)</f>
        <v>6380.99587430578</v>
      </c>
    </row>
    <row r="277" customFormat="false" ht="15" hidden="false" customHeight="false" outlineLevel="0" collapsed="false">
      <c r="A277" s="1" t="n">
        <v>273</v>
      </c>
      <c r="B277" s="81" t="n">
        <f aca="true">RAND()</f>
        <v>0.463334845360232</v>
      </c>
      <c r="C277" s="82" t="n">
        <f aca="false">ROUND(IF(B277&lt;(Inputs!$E$8-Inputs!$D$8)/(Inputs!$F$8-Inputs!$D$8),Inputs!$D$8+SQRT(B277*(Inputs!$F$8-Inputs!$D$8)*(Inputs!$E$8-Inputs!$D$8)),Inputs!$F$8-SQRT((1-B277)*(Inputs!$F$8-Inputs!$D$8)*(Inputs!$F$8-Inputs!$E$8))),0)</f>
        <v>25</v>
      </c>
      <c r="D277" s="81" t="n">
        <f aca="true">RAND()</f>
        <v>0.441266793954242</v>
      </c>
      <c r="E277" s="83" t="n">
        <f aca="false">IF(D277&lt;(Inputs!$E$10-Inputs!$D$10)/(Inputs!$F$10-Inputs!$D$10),Inputs!$D$10+SQRT(D277*(Inputs!$F$10-Inputs!$D$10)*(Inputs!$E$10-Inputs!$D$10)),Inputs!$F$10-SQRT((1-D277)*(Inputs!$F$10-Inputs!$D$10)*(Inputs!$F$10-Inputs!$E$10)))</f>
        <v>0.0705318719476769</v>
      </c>
      <c r="F277" s="81" t="n">
        <f aca="true">RAND()</f>
        <v>0.922408564029668</v>
      </c>
      <c r="G277" s="83" t="n">
        <f aca="false">IF(F277&lt;(Inputs!$E$15-Inputs!$D$15)/(Inputs!$F$15-Inputs!$D$15),Inputs!$D$15+SQRT(F277*(Inputs!$F$15-Inputs!$D$15)*(Inputs!$E$15-Inputs!$D$15)),Inputs!$F$15-SQRT((1-F277)*(Inputs!$F$15-Inputs!$D$15)*(Inputs!$F$15-Inputs!$E$15)))</f>
        <v>0.760606742716467</v>
      </c>
      <c r="H277" s="81" t="n">
        <f aca="true">RAND()</f>
        <v>0.376226784920826</v>
      </c>
      <c r="I277" s="82" t="n">
        <f aca="false">ROUND(IF(H277&lt;(Inputs!$E$17-Inputs!$D$17)/(Inputs!$F$17-Inputs!$D$17),Inputs!$D$17+SQRT(H277*(Inputs!$F$17-Inputs!$D$17)*(Inputs!$E$17-Inputs!$D$17)),Inputs!$F$17-SQRT((1-H277)*(Inputs!$F$17-Inputs!$D$17)*(Inputs!$F$17-Inputs!$E$17))),0)</f>
        <v>105</v>
      </c>
      <c r="J277" s="81" t="n">
        <f aca="true">RAND()</f>
        <v>0.12684094507969</v>
      </c>
      <c r="K277" s="83" t="n">
        <f aca="false">IF(J277&lt;(Inputs!$E$18-Inputs!$D$18)/(Inputs!$F$18-Inputs!$D$18),Inputs!$D$18+SQRT(J277*(Inputs!$F$18-Inputs!$D$18)*(Inputs!$E$18-Inputs!$D$18)),Inputs!$F$18-SQRT((1-J277)*(Inputs!$F$18-Inputs!$D$18)*(Inputs!$F$18-Inputs!$E$18)))</f>
        <v>0.966629070815892</v>
      </c>
      <c r="L277" s="81" t="n">
        <f aca="true">RAND()</f>
        <v>0.305115946062779</v>
      </c>
      <c r="M277" s="83" t="n">
        <f aca="false">IF(L277&lt;(Inputs!$E$24-Inputs!$D$24)/(Inputs!$F$24-Inputs!$D$24),Inputs!$D$24+SQRT(L277*(Inputs!$F$24-Inputs!$D$24)*(Inputs!$E$24-Inputs!$D$24)),Inputs!$F$24-SQRT((1-L277)*(Inputs!$F$24-Inputs!$D$24)*(Inputs!$F$24-Inputs!$E$24)))</f>
        <v>0.791347624828566</v>
      </c>
      <c r="N277" s="81" t="n">
        <f aca="true">RAND()</f>
        <v>0.604233338128255</v>
      </c>
      <c r="O277" s="83" t="n">
        <f aca="false">IF(N277&lt;(Inputs!$E$26-Inputs!$D$26)/(Inputs!$F$26-Inputs!$D$26),Inputs!$D$26+SQRT(N277*(Inputs!$F$26-Inputs!$D$26)*(Inputs!$E$26-Inputs!$D$26)),Inputs!$F$26-SQRT((1-N277)*(Inputs!$F$26-Inputs!$D$26)*(Inputs!$F$26-Inputs!$E$26)))</f>
        <v>0.617087412970842</v>
      </c>
      <c r="P277" s="81" t="n">
        <f aca="true">RAND()</f>
        <v>0.652954189107686</v>
      </c>
      <c r="Q277" s="82" t="n">
        <f aca="false">IF(P277&lt;(Inputs!$E$27-Inputs!$D$27)/(Inputs!$F$27-Inputs!$D$27),Inputs!$D$27+SQRT(P277*(Inputs!$F$27-Inputs!$D$27)*(Inputs!$E$27-Inputs!$D$27)),Inputs!$F$27-SQRT((1-P277)*(Inputs!$F$27-Inputs!$D$27)*(Inputs!$F$27-Inputs!$E$27)))</f>
        <v>98.9819288713072</v>
      </c>
      <c r="R277" s="81" t="n">
        <f aca="true">RAND()</f>
        <v>0.895164587288056</v>
      </c>
      <c r="S277" s="82" t="n">
        <f aca="false">IF(R277&lt;(Inputs!$E$29-Inputs!$D$29)/(Inputs!$F$29-Inputs!$D$29),Inputs!$D$29+SQRT(R277*(Inputs!$F$29-Inputs!$D$29)*(Inputs!$E$29-Inputs!$D$29)),Inputs!$F$29-SQRT((1-R277)*(Inputs!$F$29-Inputs!$D$29)*(Inputs!$F$29-Inputs!$E$29)))</f>
        <v>11.3083061269178</v>
      </c>
      <c r="T277" s="68" t="n">
        <f aca="false">Inputs!$E$9*(1+E277)+Inputs!$E$5*C277*(Inputs!$E$11*Inputs!$E$14*(G277*I277/Inputs!$E$16+(1-G277))*K277+Inputs!$E$23*M277)*(1+O277)+Inputs!$E$5*(Q277+S277)</f>
        <v>6066.82454110822</v>
      </c>
    </row>
    <row r="278" customFormat="false" ht="15" hidden="false" customHeight="false" outlineLevel="0" collapsed="false">
      <c r="A278" s="1" t="n">
        <v>274</v>
      </c>
      <c r="B278" s="81" t="n">
        <f aca="true">RAND()</f>
        <v>0.599386893942905</v>
      </c>
      <c r="C278" s="82" t="n">
        <f aca="false">ROUND(IF(B278&lt;(Inputs!$E$8-Inputs!$D$8)/(Inputs!$F$8-Inputs!$D$8),Inputs!$D$8+SQRT(B278*(Inputs!$F$8-Inputs!$D$8)*(Inputs!$E$8-Inputs!$D$8)),Inputs!$F$8-SQRT((1-B278)*(Inputs!$F$8-Inputs!$D$8)*(Inputs!$F$8-Inputs!$E$8))),0)</f>
        <v>26</v>
      </c>
      <c r="D278" s="81" t="n">
        <f aca="true">RAND()</f>
        <v>0.0722702732515436</v>
      </c>
      <c r="E278" s="83" t="n">
        <f aca="false">IF(D278&lt;(Inputs!$E$10-Inputs!$D$10)/(Inputs!$F$10-Inputs!$D$10),Inputs!$D$10+SQRT(D278*(Inputs!$F$10-Inputs!$D$10)*(Inputs!$E$10-Inputs!$D$10)),Inputs!$F$10-SQRT((1-D278)*(Inputs!$F$10-Inputs!$D$10)*(Inputs!$F$10-Inputs!$E$10)))</f>
        <v>0.0268831310028322</v>
      </c>
      <c r="F278" s="81" t="n">
        <f aca="true">RAND()</f>
        <v>0.790746592508212</v>
      </c>
      <c r="G278" s="83" t="n">
        <f aca="false">IF(F278&lt;(Inputs!$E$15-Inputs!$D$15)/(Inputs!$F$15-Inputs!$D$15),Inputs!$D$15+SQRT(F278*(Inputs!$F$15-Inputs!$D$15)*(Inputs!$E$15-Inputs!$D$15)),Inputs!$F$15-SQRT((1-F278)*(Inputs!$F$15-Inputs!$D$15)*(Inputs!$F$15-Inputs!$E$15)))</f>
        <v>0.735307897314775</v>
      </c>
      <c r="H278" s="81" t="n">
        <f aca="true">RAND()</f>
        <v>0.160393555866946</v>
      </c>
      <c r="I278" s="82" t="n">
        <f aca="false">ROUND(IF(H278&lt;(Inputs!$E$17-Inputs!$D$17)/(Inputs!$F$17-Inputs!$D$17),Inputs!$D$17+SQRT(H278*(Inputs!$F$17-Inputs!$D$17)*(Inputs!$E$17-Inputs!$D$17)),Inputs!$F$17-SQRT((1-H278)*(Inputs!$F$17-Inputs!$D$17)*(Inputs!$F$17-Inputs!$E$17))),0)</f>
        <v>103</v>
      </c>
      <c r="J278" s="81" t="n">
        <f aca="true">RAND()</f>
        <v>0.402772268117766</v>
      </c>
      <c r="K278" s="83" t="n">
        <f aca="false">IF(J278&lt;(Inputs!$E$18-Inputs!$D$18)/(Inputs!$F$18-Inputs!$D$18),Inputs!$D$18+SQRT(J278*(Inputs!$F$18-Inputs!$D$18)*(Inputs!$E$18-Inputs!$D$18)),Inputs!$F$18-SQRT((1-J278)*(Inputs!$F$18-Inputs!$D$18)*(Inputs!$F$18-Inputs!$E$18)))</f>
        <v>1.02140116680154</v>
      </c>
      <c r="L278" s="81" t="n">
        <f aca="true">RAND()</f>
        <v>0.981635578024942</v>
      </c>
      <c r="M278" s="83" t="n">
        <f aca="false">IF(L278&lt;(Inputs!$E$24-Inputs!$D$24)/(Inputs!$F$24-Inputs!$D$24),Inputs!$D$24+SQRT(L278*(Inputs!$F$24-Inputs!$D$24)*(Inputs!$E$24-Inputs!$D$24)),Inputs!$F$24-SQRT((1-L278)*(Inputs!$F$24-Inputs!$D$24)*(Inputs!$F$24-Inputs!$E$24)))</f>
        <v>1.13361128654648</v>
      </c>
      <c r="N278" s="81" t="n">
        <f aca="true">RAND()</f>
        <v>0.995457289655347</v>
      </c>
      <c r="O278" s="83" t="n">
        <f aca="false">IF(N278&lt;(Inputs!$E$26-Inputs!$D$26)/(Inputs!$F$26-Inputs!$D$26),Inputs!$D$26+SQRT(N278*(Inputs!$F$26-Inputs!$D$26)*(Inputs!$E$26-Inputs!$D$26)),Inputs!$F$26-SQRT((1-N278)*(Inputs!$F$26-Inputs!$D$26)*(Inputs!$F$26-Inputs!$E$26)))</f>
        <v>0.798264271904445</v>
      </c>
      <c r="P278" s="81" t="n">
        <f aca="true">RAND()</f>
        <v>0.492359548279686</v>
      </c>
      <c r="Q278" s="82" t="n">
        <f aca="false">IF(P278&lt;(Inputs!$E$27-Inputs!$D$27)/(Inputs!$F$27-Inputs!$D$27),Inputs!$D$27+SQRT(P278*(Inputs!$F$27-Inputs!$D$27)*(Inputs!$E$27-Inputs!$D$27)),Inputs!$F$27-SQRT((1-P278)*(Inputs!$F$27-Inputs!$D$27)*(Inputs!$F$27-Inputs!$E$27)))</f>
        <v>88.296650107937</v>
      </c>
      <c r="R278" s="81" t="n">
        <f aca="true">RAND()</f>
        <v>0.0224720405331269</v>
      </c>
      <c r="S278" s="82" t="n">
        <f aca="false">IF(R278&lt;(Inputs!$E$29-Inputs!$D$29)/(Inputs!$F$29-Inputs!$D$29),Inputs!$D$29+SQRT(R278*(Inputs!$F$29-Inputs!$D$29)*(Inputs!$E$29-Inputs!$D$29)),Inputs!$F$29-SQRT((1-R278)*(Inputs!$F$29-Inputs!$D$29)*(Inputs!$F$29-Inputs!$E$29)))</f>
        <v>2.93616749612019</v>
      </c>
      <c r="T278" s="68" t="n">
        <f aca="false">Inputs!$E$9*(1+E278)+Inputs!$E$5*C278*(Inputs!$E$11*Inputs!$E$14*(G278*I278/Inputs!$E$16+(1-G278))*K278+Inputs!$E$23*M278)*(1+O278)+Inputs!$E$5*(Q278+S278)</f>
        <v>7084.01046215213</v>
      </c>
    </row>
    <row r="279" customFormat="false" ht="15" hidden="false" customHeight="false" outlineLevel="0" collapsed="false">
      <c r="A279" s="1" t="n">
        <v>275</v>
      </c>
      <c r="B279" s="81" t="n">
        <f aca="true">RAND()</f>
        <v>0.781994869684228</v>
      </c>
      <c r="C279" s="82" t="n">
        <f aca="false">ROUND(IF(B279&lt;(Inputs!$E$8-Inputs!$D$8)/(Inputs!$F$8-Inputs!$D$8),Inputs!$D$8+SQRT(B279*(Inputs!$F$8-Inputs!$D$8)*(Inputs!$E$8-Inputs!$D$8)),Inputs!$F$8-SQRT((1-B279)*(Inputs!$F$8-Inputs!$D$8)*(Inputs!$F$8-Inputs!$E$8))),0)</f>
        <v>27</v>
      </c>
      <c r="D279" s="81" t="n">
        <f aca="true">RAND()</f>
        <v>0.234571011006481</v>
      </c>
      <c r="E279" s="83" t="n">
        <f aca="false">IF(D279&lt;(Inputs!$E$10-Inputs!$D$10)/(Inputs!$F$10-Inputs!$D$10),Inputs!$D$10+SQRT(D279*(Inputs!$F$10-Inputs!$D$10)*(Inputs!$E$10-Inputs!$D$10)),Inputs!$F$10-SQRT((1-D279)*(Inputs!$F$10-Inputs!$D$10)*(Inputs!$F$10-Inputs!$E$10)))</f>
        <v>0.0484325315264937</v>
      </c>
      <c r="F279" s="81" t="n">
        <f aca="true">RAND()</f>
        <v>0.246704245454713</v>
      </c>
      <c r="G279" s="83" t="n">
        <f aca="false">IF(F279&lt;(Inputs!$E$15-Inputs!$D$15)/(Inputs!$F$15-Inputs!$D$15),Inputs!$D$15+SQRT(F279*(Inputs!$F$15-Inputs!$D$15)*(Inputs!$E$15-Inputs!$D$15)),Inputs!$F$15-SQRT((1-F279)*(Inputs!$F$15-Inputs!$D$15)*(Inputs!$F$15-Inputs!$E$15)))</f>
        <v>0.670243041713</v>
      </c>
      <c r="H279" s="81" t="n">
        <f aca="true">RAND()</f>
        <v>0.699478817406482</v>
      </c>
      <c r="I279" s="82" t="n">
        <f aca="false">ROUND(IF(H279&lt;(Inputs!$E$17-Inputs!$D$17)/(Inputs!$F$17-Inputs!$D$17),Inputs!$D$17+SQRT(H279*(Inputs!$F$17-Inputs!$D$17)*(Inputs!$E$17-Inputs!$D$17)),Inputs!$F$17-SQRT((1-H279)*(Inputs!$F$17-Inputs!$D$17)*(Inputs!$F$17-Inputs!$E$17))),0)</f>
        <v>108</v>
      </c>
      <c r="J279" s="81" t="n">
        <f aca="true">RAND()</f>
        <v>0.906307739515104</v>
      </c>
      <c r="K279" s="83" t="n">
        <f aca="false">IF(J279&lt;(Inputs!$E$18-Inputs!$D$18)/(Inputs!$F$18-Inputs!$D$18),Inputs!$D$18+SQRT(J279*(Inputs!$F$18-Inputs!$D$18)*(Inputs!$E$18-Inputs!$D$18)),Inputs!$F$18-SQRT((1-J279)*(Inputs!$F$18-Inputs!$D$18)*(Inputs!$F$18-Inputs!$E$18)))</f>
        <v>1.1594567904676</v>
      </c>
      <c r="L279" s="81" t="n">
        <f aca="true">RAND()</f>
        <v>0.0499950052325357</v>
      </c>
      <c r="M279" s="83" t="n">
        <f aca="false">IF(L279&lt;(Inputs!$E$24-Inputs!$D$24)/(Inputs!$F$24-Inputs!$D$24),Inputs!$D$24+SQRT(L279*(Inputs!$F$24-Inputs!$D$24)*(Inputs!$E$24-Inputs!$D$24)),Inputs!$F$24-SQRT((1-L279)*(Inputs!$F$24-Inputs!$D$24)*(Inputs!$F$24-Inputs!$E$24)))</f>
        <v>0.67745579789728</v>
      </c>
      <c r="N279" s="81" t="n">
        <f aca="true">RAND()</f>
        <v>0.989800500073135</v>
      </c>
      <c r="O279" s="83" t="n">
        <f aca="false">IF(N279&lt;(Inputs!$E$26-Inputs!$D$26)/(Inputs!$F$26-Inputs!$D$26),Inputs!$D$26+SQRT(N279*(Inputs!$F$26-Inputs!$D$26)*(Inputs!$E$26-Inputs!$D$26)),Inputs!$F$26-SQRT((1-N279)*(Inputs!$F$26-Inputs!$D$26)*(Inputs!$F$26-Inputs!$E$26)))</f>
        <v>0.787430873631705</v>
      </c>
      <c r="P279" s="81" t="n">
        <f aca="true">RAND()</f>
        <v>0.236659696358889</v>
      </c>
      <c r="Q279" s="82" t="n">
        <f aca="false">IF(P279&lt;(Inputs!$E$27-Inputs!$D$27)/(Inputs!$F$27-Inputs!$D$27),Inputs!$D$27+SQRT(P279*(Inputs!$F$27-Inputs!$D$27)*(Inputs!$E$27-Inputs!$D$27)),Inputs!$F$27-SQRT((1-P279)*(Inputs!$F$27-Inputs!$D$27)*(Inputs!$F$27-Inputs!$E$27)))</f>
        <v>74.3238409980254</v>
      </c>
      <c r="R279" s="81" t="n">
        <f aca="true">RAND()</f>
        <v>0.826554584436465</v>
      </c>
      <c r="S279" s="82" t="n">
        <f aca="false">IF(R279&lt;(Inputs!$E$29-Inputs!$D$29)/(Inputs!$F$29-Inputs!$D$29),Inputs!$D$29+SQRT(R279*(Inputs!$F$29-Inputs!$D$29)*(Inputs!$E$29-Inputs!$D$29)),Inputs!$F$29-SQRT((1-R279)*(Inputs!$F$29-Inputs!$D$29)*(Inputs!$F$29-Inputs!$E$29)))</f>
        <v>10.251536667167</v>
      </c>
      <c r="T279" s="68" t="n">
        <f aca="false">Inputs!$E$9*(1+E279)+Inputs!$E$5*C279*(Inputs!$E$11*Inputs!$E$14*(G279*I279/Inputs!$E$16+(1-G279))*K279+Inputs!$E$23*M279)*(1+O279)+Inputs!$E$5*(Q279+S279)</f>
        <v>7002.19875604738</v>
      </c>
    </row>
    <row r="280" customFormat="false" ht="15" hidden="false" customHeight="false" outlineLevel="0" collapsed="false">
      <c r="A280" s="1" t="n">
        <v>276</v>
      </c>
      <c r="B280" s="81" t="n">
        <f aca="true">RAND()</f>
        <v>0.478220021802166</v>
      </c>
      <c r="C280" s="82" t="n">
        <f aca="false">ROUND(IF(B280&lt;(Inputs!$E$8-Inputs!$D$8)/(Inputs!$F$8-Inputs!$D$8),Inputs!$D$8+SQRT(B280*(Inputs!$F$8-Inputs!$D$8)*(Inputs!$E$8-Inputs!$D$8)),Inputs!$F$8-SQRT((1-B280)*(Inputs!$F$8-Inputs!$D$8)*(Inputs!$F$8-Inputs!$E$8))),0)</f>
        <v>25</v>
      </c>
      <c r="D280" s="81" t="n">
        <f aca="true">RAND()</f>
        <v>0.590217501683449</v>
      </c>
      <c r="E280" s="83" t="n">
        <f aca="false">IF(D280&lt;(Inputs!$E$10-Inputs!$D$10)/(Inputs!$F$10-Inputs!$D$10),Inputs!$D$10+SQRT(D280*(Inputs!$F$10-Inputs!$D$10)*(Inputs!$E$10-Inputs!$D$10)),Inputs!$F$10-SQRT((1-D280)*(Inputs!$F$10-Inputs!$D$10)*(Inputs!$F$10-Inputs!$E$10)))</f>
        <v>0.0891240560378559</v>
      </c>
      <c r="F280" s="81" t="n">
        <f aca="true">RAND()</f>
        <v>0.396504875054063</v>
      </c>
      <c r="G280" s="83" t="n">
        <f aca="false">IF(F280&lt;(Inputs!$E$15-Inputs!$D$15)/(Inputs!$F$15-Inputs!$D$15),Inputs!$D$15+SQRT(F280*(Inputs!$F$15-Inputs!$D$15)*(Inputs!$E$15-Inputs!$D$15)),Inputs!$F$15-SQRT((1-F280)*(Inputs!$F$15-Inputs!$D$15)*(Inputs!$F$15-Inputs!$E$15)))</f>
        <v>0.689051094889851</v>
      </c>
      <c r="H280" s="81" t="n">
        <f aca="true">RAND()</f>
        <v>0.629794712288849</v>
      </c>
      <c r="I280" s="82" t="n">
        <f aca="false">ROUND(IF(H280&lt;(Inputs!$E$17-Inputs!$D$17)/(Inputs!$F$17-Inputs!$D$17),Inputs!$D$17+SQRT(H280*(Inputs!$F$17-Inputs!$D$17)*(Inputs!$E$17-Inputs!$D$17)),Inputs!$F$17-SQRT((1-H280)*(Inputs!$F$17-Inputs!$D$17)*(Inputs!$F$17-Inputs!$E$17))),0)</f>
        <v>108</v>
      </c>
      <c r="J280" s="81" t="n">
        <f aca="true">RAND()</f>
        <v>0.935285103568223</v>
      </c>
      <c r="K280" s="83" t="n">
        <f aca="false">IF(J280&lt;(Inputs!$E$18-Inputs!$D$18)/(Inputs!$F$18-Inputs!$D$18),Inputs!$D$18+SQRT(J280*(Inputs!$F$18-Inputs!$D$18)*(Inputs!$E$18-Inputs!$D$18)),Inputs!$F$18-SQRT((1-J280)*(Inputs!$F$18-Inputs!$D$18)*(Inputs!$F$18-Inputs!$E$18)))</f>
        <v>1.17475006021411</v>
      </c>
      <c r="L280" s="81" t="n">
        <f aca="true">RAND()</f>
        <v>0.757090644257101</v>
      </c>
      <c r="M280" s="83" t="n">
        <f aca="false">IF(L280&lt;(Inputs!$E$24-Inputs!$D$24)/(Inputs!$F$24-Inputs!$D$24),Inputs!$D$24+SQRT(L280*(Inputs!$F$24-Inputs!$D$24)*(Inputs!$E$24-Inputs!$D$24)),Inputs!$F$24-SQRT((1-L280)*(Inputs!$F$24-Inputs!$D$24)*(Inputs!$F$24-Inputs!$E$24)))</f>
        <v>0.958549704124646</v>
      </c>
      <c r="N280" s="81" t="n">
        <f aca="true">RAND()</f>
        <v>0.733971165914252</v>
      </c>
      <c r="O280" s="83" t="n">
        <f aca="false">IF(N280&lt;(Inputs!$E$26-Inputs!$D$26)/(Inputs!$F$26-Inputs!$D$26),Inputs!$D$26+SQRT(N280*(Inputs!$F$26-Inputs!$D$26)*(Inputs!$E$26-Inputs!$D$26)),Inputs!$F$26-SQRT((1-N280)*(Inputs!$F$26-Inputs!$D$26)*(Inputs!$F$26-Inputs!$E$26)))</f>
        <v>0.653666002438113</v>
      </c>
      <c r="P280" s="81" t="n">
        <f aca="true">RAND()</f>
        <v>0.798006383819085</v>
      </c>
      <c r="Q280" s="82" t="n">
        <f aca="false">IF(P280&lt;(Inputs!$E$27-Inputs!$D$27)/(Inputs!$F$27-Inputs!$D$27),Inputs!$D$27+SQRT(P280*(Inputs!$F$27-Inputs!$D$27)*(Inputs!$E$27-Inputs!$D$27)),Inputs!$F$27-SQRT((1-P280)*(Inputs!$F$27-Inputs!$D$27)*(Inputs!$F$27-Inputs!$E$27)))</f>
        <v>111.077614135862</v>
      </c>
      <c r="R280" s="81" t="n">
        <f aca="true">RAND()</f>
        <v>0.0437731596557204</v>
      </c>
      <c r="S280" s="82" t="n">
        <f aca="false">IF(R280&lt;(Inputs!$E$29-Inputs!$D$29)/(Inputs!$F$29-Inputs!$D$29),Inputs!$D$29+SQRT(R280*(Inputs!$F$29-Inputs!$D$29)*(Inputs!$E$29-Inputs!$D$29)),Inputs!$F$29-SQRT((1-R280)*(Inputs!$F$29-Inputs!$D$29)*(Inputs!$F$29-Inputs!$E$29)))</f>
        <v>3.30658073863543</v>
      </c>
      <c r="T280" s="68" t="n">
        <f aca="false">Inputs!$E$9*(1+E280)+Inputs!$E$5*C280*(Inputs!$E$11*Inputs!$E$14*(G280*I280/Inputs!$E$16+(1-G280))*K280+Inputs!$E$23*M280)*(1+O280)+Inputs!$E$5*(Q280+S280)</f>
        <v>7048.32085477159</v>
      </c>
    </row>
    <row r="281" customFormat="false" ht="15" hidden="false" customHeight="false" outlineLevel="0" collapsed="false">
      <c r="A281" s="1" t="n">
        <v>277</v>
      </c>
      <c r="B281" s="81" t="n">
        <f aca="true">RAND()</f>
        <v>0.366562300956984</v>
      </c>
      <c r="C281" s="82" t="n">
        <f aca="false">ROUND(IF(B281&lt;(Inputs!$E$8-Inputs!$D$8)/(Inputs!$F$8-Inputs!$D$8),Inputs!$D$8+SQRT(B281*(Inputs!$F$8-Inputs!$D$8)*(Inputs!$E$8-Inputs!$D$8)),Inputs!$F$8-SQRT((1-B281)*(Inputs!$F$8-Inputs!$D$8)*(Inputs!$F$8-Inputs!$E$8))),0)</f>
        <v>24</v>
      </c>
      <c r="D281" s="81" t="n">
        <f aca="true">RAND()</f>
        <v>0.043943072193209</v>
      </c>
      <c r="E281" s="83" t="n">
        <f aca="false">IF(D281&lt;(Inputs!$E$10-Inputs!$D$10)/(Inputs!$F$10-Inputs!$D$10),Inputs!$D$10+SQRT(D281*(Inputs!$F$10-Inputs!$D$10)*(Inputs!$E$10-Inputs!$D$10)),Inputs!$F$10-SQRT((1-D281)*(Inputs!$F$10-Inputs!$D$10)*(Inputs!$F$10-Inputs!$E$10)))</f>
        <v>0.0209626029379009</v>
      </c>
      <c r="F281" s="81" t="n">
        <f aca="true">RAND()</f>
        <v>0.224835348423007</v>
      </c>
      <c r="G281" s="83" t="n">
        <f aca="false">IF(F281&lt;(Inputs!$E$15-Inputs!$D$15)/(Inputs!$F$15-Inputs!$D$15),Inputs!$D$15+SQRT(F281*(Inputs!$F$15-Inputs!$D$15)*(Inputs!$E$15-Inputs!$D$15)),Inputs!$F$15-SQRT((1-F281)*(Inputs!$F$15-Inputs!$D$15)*(Inputs!$F$15-Inputs!$E$15)))</f>
        <v>0.667057490025053</v>
      </c>
      <c r="H281" s="81" t="n">
        <f aca="true">RAND()</f>
        <v>0.739042600717606</v>
      </c>
      <c r="I281" s="82" t="n">
        <f aca="false">ROUND(IF(H281&lt;(Inputs!$E$17-Inputs!$D$17)/(Inputs!$F$17-Inputs!$D$17),Inputs!$D$17+SQRT(H281*(Inputs!$F$17-Inputs!$D$17)*(Inputs!$E$17-Inputs!$D$17)),Inputs!$F$17-SQRT((1-H281)*(Inputs!$F$17-Inputs!$D$17)*(Inputs!$F$17-Inputs!$E$17))),0)</f>
        <v>109</v>
      </c>
      <c r="J281" s="81" t="n">
        <f aca="true">RAND()</f>
        <v>0.869305902282</v>
      </c>
      <c r="K281" s="83" t="n">
        <f aca="false">IF(J281&lt;(Inputs!$E$18-Inputs!$D$18)/(Inputs!$F$18-Inputs!$D$18),Inputs!$D$18+SQRT(J281*(Inputs!$F$18-Inputs!$D$18)*(Inputs!$E$18-Inputs!$D$18)),Inputs!$F$18-SQRT((1-J281)*(Inputs!$F$18-Inputs!$D$18)*(Inputs!$F$18-Inputs!$E$18)))</f>
        <v>1.14306201072432</v>
      </c>
      <c r="L281" s="81" t="n">
        <f aca="true">RAND()</f>
        <v>0.192670152072337</v>
      </c>
      <c r="M281" s="83" t="n">
        <f aca="false">IF(L281&lt;(Inputs!$E$24-Inputs!$D$24)/(Inputs!$F$24-Inputs!$D$24),Inputs!$D$24+SQRT(L281*(Inputs!$F$24-Inputs!$D$24)*(Inputs!$E$24-Inputs!$D$24)),Inputs!$F$24-SQRT((1-L281)*(Inputs!$F$24-Inputs!$D$24)*(Inputs!$F$24-Inputs!$E$24)))</f>
        <v>0.752053997805649</v>
      </c>
      <c r="N281" s="81" t="n">
        <f aca="true">RAND()</f>
        <v>0.785749483550256</v>
      </c>
      <c r="O281" s="83" t="n">
        <f aca="false">IF(N281&lt;(Inputs!$E$26-Inputs!$D$26)/(Inputs!$F$26-Inputs!$D$26),Inputs!$D$26+SQRT(N281*(Inputs!$F$26-Inputs!$D$26)*(Inputs!$E$26-Inputs!$D$26)),Inputs!$F$26-SQRT((1-N281)*(Inputs!$F$26-Inputs!$D$26)*(Inputs!$F$26-Inputs!$E$26)))</f>
        <v>0.670728255484257</v>
      </c>
      <c r="P281" s="81" t="n">
        <f aca="true">RAND()</f>
        <v>0.0108257596598829</v>
      </c>
      <c r="Q281" s="82" t="n">
        <f aca="false">IF(P281&lt;(Inputs!$E$27-Inputs!$D$27)/(Inputs!$F$27-Inputs!$D$27),Inputs!$D$27+SQRT(P281*(Inputs!$F$27-Inputs!$D$27)*(Inputs!$E$27-Inputs!$D$27)),Inputs!$F$27-SQRT((1-P281)*(Inputs!$F$27-Inputs!$D$27)*(Inputs!$F$27-Inputs!$E$27)))</f>
        <v>55.2023455430899</v>
      </c>
      <c r="R281" s="81" t="n">
        <f aca="true">RAND()</f>
        <v>0.528326142046023</v>
      </c>
      <c r="S281" s="82" t="n">
        <f aca="false">IF(R281&lt;(Inputs!$E$29-Inputs!$D$29)/(Inputs!$F$29-Inputs!$D$29),Inputs!$D$29+SQRT(R281*(Inputs!$F$29-Inputs!$D$29)*(Inputs!$E$29-Inputs!$D$29)),Inputs!$F$29-SQRT((1-R281)*(Inputs!$F$29-Inputs!$D$29)*(Inputs!$F$29-Inputs!$E$29)))</f>
        <v>7.16944436620127</v>
      </c>
      <c r="T281" s="68" t="n">
        <f aca="false">Inputs!$E$9*(1+E281)+Inputs!$E$5*C281*(Inputs!$E$11*Inputs!$E$14*(G281*I281/Inputs!$E$16+(1-G281))*K281+Inputs!$E$23*M281)*(1+O281)+Inputs!$E$5*(Q281+S281)</f>
        <v>6195.56380271005</v>
      </c>
    </row>
    <row r="282" customFormat="false" ht="15" hidden="false" customHeight="false" outlineLevel="0" collapsed="false">
      <c r="A282" s="1" t="n">
        <v>278</v>
      </c>
      <c r="B282" s="81" t="n">
        <f aca="true">RAND()</f>
        <v>0.981039681513368</v>
      </c>
      <c r="C282" s="82" t="n">
        <f aca="false">ROUND(IF(B282&lt;(Inputs!$E$8-Inputs!$D$8)/(Inputs!$F$8-Inputs!$D$8),Inputs!$D$8+SQRT(B282*(Inputs!$F$8-Inputs!$D$8)*(Inputs!$E$8-Inputs!$D$8)),Inputs!$F$8-SQRT((1-B282)*(Inputs!$F$8-Inputs!$D$8)*(Inputs!$F$8-Inputs!$E$8))),0)</f>
        <v>29</v>
      </c>
      <c r="D282" s="81" t="n">
        <f aca="true">RAND()</f>
        <v>0.440888198482809</v>
      </c>
      <c r="E282" s="83" t="n">
        <f aca="false">IF(D282&lt;(Inputs!$E$10-Inputs!$D$10)/(Inputs!$F$10-Inputs!$D$10),Inputs!$D$10+SQRT(D282*(Inputs!$F$10-Inputs!$D$10)*(Inputs!$E$10-Inputs!$D$10)),Inputs!$F$10-SQRT((1-D282)*(Inputs!$F$10-Inputs!$D$10)*(Inputs!$F$10-Inputs!$E$10)))</f>
        <v>0.0704880158227983</v>
      </c>
      <c r="F282" s="81" t="n">
        <f aca="true">RAND()</f>
        <v>0.916496028044031</v>
      </c>
      <c r="G282" s="83" t="n">
        <f aca="false">IF(F282&lt;(Inputs!$E$15-Inputs!$D$15)/(Inputs!$F$15-Inputs!$D$15),Inputs!$D$15+SQRT(F282*(Inputs!$F$15-Inputs!$D$15)*(Inputs!$E$15-Inputs!$D$15)),Inputs!$F$15-SQRT((1-F282)*(Inputs!$F$15-Inputs!$D$15)*(Inputs!$F$15-Inputs!$E$15)))</f>
        <v>0.759133394573082</v>
      </c>
      <c r="H282" s="81" t="n">
        <f aca="true">RAND()</f>
        <v>0.644939002860795</v>
      </c>
      <c r="I282" s="82" t="n">
        <f aca="false">ROUND(IF(H282&lt;(Inputs!$E$17-Inputs!$D$17)/(Inputs!$F$17-Inputs!$D$17),Inputs!$D$17+SQRT(H282*(Inputs!$F$17-Inputs!$D$17)*(Inputs!$E$17-Inputs!$D$17)),Inputs!$F$17-SQRT((1-H282)*(Inputs!$F$17-Inputs!$D$17)*(Inputs!$F$17-Inputs!$E$17))),0)</f>
        <v>108</v>
      </c>
      <c r="J282" s="81" t="n">
        <f aca="true">RAND()</f>
        <v>0.224313862776807</v>
      </c>
      <c r="K282" s="83" t="n">
        <f aca="false">IF(J282&lt;(Inputs!$E$18-Inputs!$D$18)/(Inputs!$F$18-Inputs!$D$18),Inputs!$D$18+SQRT(J282*(Inputs!$F$18-Inputs!$D$18)*(Inputs!$E$18-Inputs!$D$18)),Inputs!$F$18-SQRT((1-J282)*(Inputs!$F$18-Inputs!$D$18)*(Inputs!$F$18-Inputs!$E$18)))</f>
        <v>0.988605785348296</v>
      </c>
      <c r="L282" s="81" t="n">
        <f aca="true">RAND()</f>
        <v>0.0455690184502165</v>
      </c>
      <c r="M282" s="83" t="n">
        <f aca="false">IF(L282&lt;(Inputs!$E$24-Inputs!$D$24)/(Inputs!$F$24-Inputs!$D$24),Inputs!$D$24+SQRT(L282*(Inputs!$F$24-Inputs!$D$24)*(Inputs!$E$24-Inputs!$D$24)),Inputs!$F$24-SQRT((1-L282)*(Inputs!$F$24-Inputs!$D$24)*(Inputs!$F$24-Inputs!$E$24)))</f>
        <v>0.673947834410657</v>
      </c>
      <c r="N282" s="81" t="n">
        <f aca="true">RAND()</f>
        <v>0.451920500904997</v>
      </c>
      <c r="O282" s="83" t="n">
        <f aca="false">IF(N282&lt;(Inputs!$E$26-Inputs!$D$26)/(Inputs!$F$26-Inputs!$D$26),Inputs!$D$26+SQRT(N282*(Inputs!$F$26-Inputs!$D$26)*(Inputs!$E$26-Inputs!$D$26)),Inputs!$F$26-SQRT((1-N282)*(Inputs!$F$26-Inputs!$D$26)*(Inputs!$F$26-Inputs!$E$26)))</f>
        <v>0.574225402453149</v>
      </c>
      <c r="P282" s="81" t="n">
        <f aca="true">RAND()</f>
        <v>0.373746342253874</v>
      </c>
      <c r="Q282" s="82" t="n">
        <f aca="false">IF(P282&lt;(Inputs!$E$27-Inputs!$D$27)/(Inputs!$F$27-Inputs!$D$27),Inputs!$D$27+SQRT(P282*(Inputs!$F$27-Inputs!$D$27)*(Inputs!$E$27-Inputs!$D$27)),Inputs!$F$27-SQRT((1-P282)*(Inputs!$F$27-Inputs!$D$27)*(Inputs!$F$27-Inputs!$E$27)))</f>
        <v>81.466049047965</v>
      </c>
      <c r="R282" s="81" t="n">
        <f aca="true">RAND()</f>
        <v>0.141899261906134</v>
      </c>
      <c r="S282" s="82" t="n">
        <f aca="false">IF(R282&lt;(Inputs!$E$29-Inputs!$D$29)/(Inputs!$F$29-Inputs!$D$29),Inputs!$D$29+SQRT(R282*(Inputs!$F$29-Inputs!$D$29)*(Inputs!$E$29-Inputs!$D$29)),Inputs!$F$29-SQRT((1-R282)*(Inputs!$F$29-Inputs!$D$29)*(Inputs!$F$29-Inputs!$E$29)))</f>
        <v>4.35246067221946</v>
      </c>
      <c r="T282" s="68" t="n">
        <f aca="false">Inputs!$E$9*(1+E282)+Inputs!$E$5*C282*(Inputs!$E$11*Inputs!$E$14*(G282*I282/Inputs!$E$16+(1-G282))*K282+Inputs!$E$23*M282)*(1+O282)+Inputs!$E$5*(Q282+S282)</f>
        <v>6258.61297703678</v>
      </c>
    </row>
    <row r="283" customFormat="false" ht="15" hidden="false" customHeight="false" outlineLevel="0" collapsed="false">
      <c r="A283" s="1" t="n">
        <v>279</v>
      </c>
      <c r="B283" s="81" t="n">
        <f aca="true">RAND()</f>
        <v>0.058622173068682</v>
      </c>
      <c r="C283" s="82" t="n">
        <f aca="false">ROUND(IF(B283&lt;(Inputs!$E$8-Inputs!$D$8)/(Inputs!$F$8-Inputs!$D$8),Inputs!$D$8+SQRT(B283*(Inputs!$F$8-Inputs!$D$8)*(Inputs!$E$8-Inputs!$D$8)),Inputs!$F$8-SQRT((1-B283)*(Inputs!$F$8-Inputs!$D$8)*(Inputs!$F$8-Inputs!$E$8))),0)</f>
        <v>22</v>
      </c>
      <c r="D283" s="81" t="n">
        <f aca="true">RAND()</f>
        <v>0.735582198232448</v>
      </c>
      <c r="E283" s="83" t="n">
        <f aca="false">IF(D283&lt;(Inputs!$E$10-Inputs!$D$10)/(Inputs!$F$10-Inputs!$D$10),Inputs!$D$10+SQRT(D283*(Inputs!$F$10-Inputs!$D$10)*(Inputs!$E$10-Inputs!$D$10)),Inputs!$F$10-SQRT((1-D283)*(Inputs!$F$10-Inputs!$D$10)*(Inputs!$F$10-Inputs!$E$10)))</f>
        <v>0.110935225520824</v>
      </c>
      <c r="F283" s="81" t="n">
        <f aca="true">RAND()</f>
        <v>0.872283758606568</v>
      </c>
      <c r="G283" s="83" t="n">
        <f aca="false">IF(F283&lt;(Inputs!$E$15-Inputs!$D$15)/(Inputs!$F$15-Inputs!$D$15),Inputs!$D$15+SQRT(F283*(Inputs!$F$15-Inputs!$D$15)*(Inputs!$E$15-Inputs!$D$15)),Inputs!$F$15-SQRT((1-F283)*(Inputs!$F$15-Inputs!$D$15)*(Inputs!$F$15-Inputs!$E$15)))</f>
        <v>0.74945967127265</v>
      </c>
      <c r="H283" s="81" t="n">
        <f aca="true">RAND()</f>
        <v>0.553322184431698</v>
      </c>
      <c r="I283" s="82" t="n">
        <f aca="false">ROUND(IF(H283&lt;(Inputs!$E$17-Inputs!$D$17)/(Inputs!$F$17-Inputs!$D$17),Inputs!$D$17+SQRT(H283*(Inputs!$F$17-Inputs!$D$17)*(Inputs!$E$17-Inputs!$D$17)),Inputs!$F$17-SQRT((1-H283)*(Inputs!$F$17-Inputs!$D$17)*(Inputs!$F$17-Inputs!$E$17))),0)</f>
        <v>107</v>
      </c>
      <c r="J283" s="81" t="n">
        <f aca="true">RAND()</f>
        <v>0.733985656484498</v>
      </c>
      <c r="K283" s="83" t="n">
        <f aca="false">IF(J283&lt;(Inputs!$E$18-Inputs!$D$18)/(Inputs!$F$18-Inputs!$D$18),Inputs!$D$18+SQRT(J283*(Inputs!$F$18-Inputs!$D$18)*(Inputs!$E$18-Inputs!$D$18)),Inputs!$F$18-SQRT((1-J283)*(Inputs!$F$18-Inputs!$D$18)*(Inputs!$F$18-Inputs!$E$18)))</f>
        <v>1.09743442374636</v>
      </c>
      <c r="L283" s="81" t="n">
        <f aca="true">RAND()</f>
        <v>0.986066397688738</v>
      </c>
      <c r="M283" s="83" t="n">
        <f aca="false">IF(L283&lt;(Inputs!$E$24-Inputs!$D$24)/(Inputs!$F$24-Inputs!$D$24),Inputs!$D$24+SQRT(L283*(Inputs!$F$24-Inputs!$D$24)*(Inputs!$E$24-Inputs!$D$24)),Inputs!$F$24-SQRT((1-L283)*(Inputs!$F$24-Inputs!$D$24)*(Inputs!$F$24-Inputs!$E$24)))</f>
        <v>1.14217211265572</v>
      </c>
      <c r="N283" s="81" t="n">
        <f aca="true">RAND()</f>
        <v>0.999604921386148</v>
      </c>
      <c r="O283" s="83" t="n">
        <f aca="false">IF(N283&lt;(Inputs!$E$26-Inputs!$D$26)/(Inputs!$F$26-Inputs!$D$26),Inputs!$D$26+SQRT(N283*(Inputs!$F$26-Inputs!$D$26)*(Inputs!$E$26-Inputs!$D$26)),Inputs!$F$26-SQRT((1-N283)*(Inputs!$F$26-Inputs!$D$26)*(Inputs!$F$26-Inputs!$E$26)))</f>
        <v>0.813589994084196</v>
      </c>
      <c r="P283" s="81" t="n">
        <f aca="true">RAND()</f>
        <v>0.619297430932772</v>
      </c>
      <c r="Q283" s="82" t="n">
        <f aca="false">IF(P283&lt;(Inputs!$E$27-Inputs!$D$27)/(Inputs!$F$27-Inputs!$D$27),Inputs!$D$27+SQRT(P283*(Inputs!$F$27-Inputs!$D$27)*(Inputs!$E$27-Inputs!$D$27)),Inputs!$F$27-SQRT((1-P283)*(Inputs!$F$27-Inputs!$D$27)*(Inputs!$F$27-Inputs!$E$27)))</f>
        <v>96.5652803132251</v>
      </c>
      <c r="R283" s="81" t="n">
        <f aca="true">RAND()</f>
        <v>0.524069426426554</v>
      </c>
      <c r="S283" s="82" t="n">
        <f aca="false">IF(R283&lt;(Inputs!$E$29-Inputs!$D$29)/(Inputs!$F$29-Inputs!$D$29),Inputs!$D$29+SQRT(R283*(Inputs!$F$29-Inputs!$D$29)*(Inputs!$E$29-Inputs!$D$29)),Inputs!$F$29-SQRT((1-R283)*(Inputs!$F$29-Inputs!$D$29)*(Inputs!$F$29-Inputs!$E$29)))</f>
        <v>7.13418951635955</v>
      </c>
      <c r="T283" s="68" t="n">
        <f aca="false">Inputs!$E$9*(1+E283)+Inputs!$E$5*C283*(Inputs!$E$11*Inputs!$E$14*(G283*I283/Inputs!$E$16+(1-G283))*K283+Inputs!$E$23*M283)*(1+O283)+Inputs!$E$5*(Q283+S283)</f>
        <v>6893.80743893462</v>
      </c>
    </row>
    <row r="284" customFormat="false" ht="15" hidden="false" customHeight="false" outlineLevel="0" collapsed="false">
      <c r="A284" s="1" t="n">
        <v>280</v>
      </c>
      <c r="B284" s="81" t="n">
        <f aca="true">RAND()</f>
        <v>0.369786102216446</v>
      </c>
      <c r="C284" s="82" t="n">
        <f aca="false">ROUND(IF(B284&lt;(Inputs!$E$8-Inputs!$D$8)/(Inputs!$F$8-Inputs!$D$8),Inputs!$D$8+SQRT(B284*(Inputs!$F$8-Inputs!$D$8)*(Inputs!$E$8-Inputs!$D$8)),Inputs!$F$8-SQRT((1-B284)*(Inputs!$F$8-Inputs!$D$8)*(Inputs!$F$8-Inputs!$E$8))),0)</f>
        <v>24</v>
      </c>
      <c r="D284" s="81" t="n">
        <f aca="true">RAND()</f>
        <v>0.0290957841210301</v>
      </c>
      <c r="E284" s="83" t="n">
        <f aca="false">IF(D284&lt;(Inputs!$E$10-Inputs!$D$10)/(Inputs!$F$10-Inputs!$D$10),Inputs!$D$10+SQRT(D284*(Inputs!$F$10-Inputs!$D$10)*(Inputs!$E$10-Inputs!$D$10)),Inputs!$F$10-SQRT((1-D284)*(Inputs!$F$10-Inputs!$D$10)*(Inputs!$F$10-Inputs!$E$10)))</f>
        <v>0.017057486368463</v>
      </c>
      <c r="F284" s="81" t="n">
        <f aca="true">RAND()</f>
        <v>0.723368442978362</v>
      </c>
      <c r="G284" s="83" t="n">
        <f aca="false">IF(F284&lt;(Inputs!$E$15-Inputs!$D$15)/(Inputs!$F$15-Inputs!$D$15),Inputs!$D$15+SQRT(F284*(Inputs!$F$15-Inputs!$D$15)*(Inputs!$E$15-Inputs!$D$15)),Inputs!$F$15-SQRT((1-F284)*(Inputs!$F$15-Inputs!$D$15)*(Inputs!$F$15-Inputs!$E$15)))</f>
        <v>0.725618341370787</v>
      </c>
      <c r="H284" s="81" t="n">
        <f aca="true">RAND()</f>
        <v>0.803910334567786</v>
      </c>
      <c r="I284" s="82" t="n">
        <f aca="false">ROUND(IF(H284&lt;(Inputs!$E$17-Inputs!$D$17)/(Inputs!$F$17-Inputs!$D$17),Inputs!$D$17+SQRT(H284*(Inputs!$F$17-Inputs!$D$17)*(Inputs!$E$17-Inputs!$D$17)),Inputs!$F$17-SQRT((1-H284)*(Inputs!$F$17-Inputs!$D$17)*(Inputs!$F$17-Inputs!$E$17))),0)</f>
        <v>110</v>
      </c>
      <c r="J284" s="81" t="n">
        <f aca="true">RAND()</f>
        <v>0.968277422712652</v>
      </c>
      <c r="K284" s="83" t="n">
        <f aca="false">IF(J284&lt;(Inputs!$E$18-Inputs!$D$18)/(Inputs!$F$18-Inputs!$D$18),Inputs!$D$18+SQRT(J284*(Inputs!$F$18-Inputs!$D$18)*(Inputs!$E$18-Inputs!$D$18)),Inputs!$F$18-SQRT((1-J284)*(Inputs!$F$18-Inputs!$D$18)*(Inputs!$F$18-Inputs!$E$18)))</f>
        <v>1.19731484542451</v>
      </c>
      <c r="L284" s="81" t="n">
        <f aca="true">RAND()</f>
        <v>0.826396283398084</v>
      </c>
      <c r="M284" s="83" t="n">
        <f aca="false">IF(L284&lt;(Inputs!$E$24-Inputs!$D$24)/(Inputs!$F$24-Inputs!$D$24),Inputs!$D$24+SQRT(L284*(Inputs!$F$24-Inputs!$D$24)*(Inputs!$E$24-Inputs!$D$24)),Inputs!$F$24-SQRT((1-L284)*(Inputs!$F$24-Inputs!$D$24)*(Inputs!$F$24-Inputs!$E$24)))</f>
        <v>0.99588020188022</v>
      </c>
      <c r="N284" s="81" t="n">
        <f aca="true">RAND()</f>
        <v>0.7796752342218</v>
      </c>
      <c r="O284" s="83" t="n">
        <f aca="false">IF(N284&lt;(Inputs!$E$26-Inputs!$D$26)/(Inputs!$F$26-Inputs!$D$26),Inputs!$D$26+SQRT(N284*(Inputs!$F$26-Inputs!$D$26)*(Inputs!$E$26-Inputs!$D$26)),Inputs!$F$26-SQRT((1-N284)*(Inputs!$F$26-Inputs!$D$26)*(Inputs!$F$26-Inputs!$E$26)))</f>
        <v>0.668627031340028</v>
      </c>
      <c r="P284" s="81" t="n">
        <f aca="true">RAND()</f>
        <v>0.537444880396921</v>
      </c>
      <c r="Q284" s="82" t="n">
        <f aca="false">IF(P284&lt;(Inputs!$E$27-Inputs!$D$27)/(Inputs!$F$27-Inputs!$D$27),Inputs!$D$27+SQRT(P284*(Inputs!$F$27-Inputs!$D$27)*(Inputs!$E$27-Inputs!$D$27)),Inputs!$F$27-SQRT((1-P284)*(Inputs!$F$27-Inputs!$D$27)*(Inputs!$F$27-Inputs!$E$27)))</f>
        <v>91.100395612338</v>
      </c>
      <c r="R284" s="81" t="n">
        <f aca="true">RAND()</f>
        <v>0.542599544806659</v>
      </c>
      <c r="S284" s="82" t="n">
        <f aca="false">IF(R284&lt;(Inputs!$E$29-Inputs!$D$29)/(Inputs!$F$29-Inputs!$D$29),Inputs!$D$29+SQRT(R284*(Inputs!$F$29-Inputs!$D$29)*(Inputs!$E$29-Inputs!$D$29)),Inputs!$F$29-SQRT((1-R284)*(Inputs!$F$29-Inputs!$D$29)*(Inputs!$F$29-Inputs!$E$29)))</f>
        <v>7.28883542030555</v>
      </c>
      <c r="T284" s="68" t="n">
        <f aca="false">Inputs!$E$9*(1+E284)+Inputs!$E$5*C284*(Inputs!$E$11*Inputs!$E$14*(G284*I284/Inputs!$E$16+(1-G284))*K284+Inputs!$E$23*M284)*(1+O284)+Inputs!$E$5*(Q284+S284)</f>
        <v>6757.72261168774</v>
      </c>
    </row>
    <row r="285" customFormat="false" ht="15" hidden="false" customHeight="false" outlineLevel="0" collapsed="false">
      <c r="A285" s="1" t="n">
        <v>281</v>
      </c>
      <c r="B285" s="81" t="n">
        <f aca="true">RAND()</f>
        <v>0.850959604779032</v>
      </c>
      <c r="C285" s="82" t="n">
        <f aca="false">ROUND(IF(B285&lt;(Inputs!$E$8-Inputs!$D$8)/(Inputs!$F$8-Inputs!$D$8),Inputs!$D$8+SQRT(B285*(Inputs!$F$8-Inputs!$D$8)*(Inputs!$E$8-Inputs!$D$8)),Inputs!$F$8-SQRT((1-B285)*(Inputs!$F$8-Inputs!$D$8)*(Inputs!$F$8-Inputs!$E$8))),0)</f>
        <v>27</v>
      </c>
      <c r="D285" s="81" t="n">
        <f aca="true">RAND()</f>
        <v>0.50528757280343</v>
      </c>
      <c r="E285" s="83" t="n">
        <f aca="false">IF(D285&lt;(Inputs!$E$10-Inputs!$D$10)/(Inputs!$F$10-Inputs!$D$10),Inputs!$D$10+SQRT(D285*(Inputs!$F$10-Inputs!$D$10)*(Inputs!$E$10-Inputs!$D$10)),Inputs!$F$10-SQRT((1-D285)*(Inputs!$F$10-Inputs!$D$10)*(Inputs!$F$10-Inputs!$E$10)))</f>
        <v>0.0781748268382224</v>
      </c>
      <c r="F285" s="81" t="n">
        <f aca="true">RAND()</f>
        <v>0.725792616707875</v>
      </c>
      <c r="G285" s="83" t="n">
        <f aca="false">IF(F285&lt;(Inputs!$E$15-Inputs!$D$15)/(Inputs!$F$15-Inputs!$D$15),Inputs!$D$15+SQRT(F285*(Inputs!$F$15-Inputs!$D$15)*(Inputs!$E$15-Inputs!$D$15)),Inputs!$F$15-SQRT((1-F285)*(Inputs!$F$15-Inputs!$D$15)*(Inputs!$F$15-Inputs!$E$15)))</f>
        <v>0.725944968666251</v>
      </c>
      <c r="H285" s="81" t="n">
        <f aca="true">RAND()</f>
        <v>0.340799248187448</v>
      </c>
      <c r="I285" s="82" t="n">
        <f aca="false">ROUND(IF(H285&lt;(Inputs!$E$17-Inputs!$D$17)/(Inputs!$F$17-Inputs!$D$17),Inputs!$D$17+SQRT(H285*(Inputs!$F$17-Inputs!$D$17)*(Inputs!$E$17-Inputs!$D$17)),Inputs!$F$17-SQRT((1-H285)*(Inputs!$F$17-Inputs!$D$17)*(Inputs!$F$17-Inputs!$E$17))),0)</f>
        <v>105</v>
      </c>
      <c r="J285" s="81" t="n">
        <f aca="true">RAND()</f>
        <v>0.215371057573962</v>
      </c>
      <c r="K285" s="83" t="n">
        <f aca="false">IF(J285&lt;(Inputs!$E$18-Inputs!$D$18)/(Inputs!$F$18-Inputs!$D$18),Inputs!$D$18+SQRT(J285*(Inputs!$F$18-Inputs!$D$18)*(Inputs!$E$18-Inputs!$D$18)),Inputs!$F$18-SQRT((1-J285)*(Inputs!$F$18-Inputs!$D$18)*(Inputs!$F$18-Inputs!$E$18)))</f>
        <v>0.986821581505342</v>
      </c>
      <c r="L285" s="81" t="n">
        <f aca="true">RAND()</f>
        <v>0.507392779139317</v>
      </c>
      <c r="M285" s="83" t="n">
        <f aca="false">IF(L285&lt;(Inputs!$E$24-Inputs!$D$24)/(Inputs!$F$24-Inputs!$D$24),Inputs!$D$24+SQRT(L285*(Inputs!$F$24-Inputs!$D$24)*(Inputs!$E$24-Inputs!$D$24)),Inputs!$F$24-SQRT((1-L285)*(Inputs!$F$24-Inputs!$D$24)*(Inputs!$F$24-Inputs!$E$24)))</f>
        <v>0.856160309146015</v>
      </c>
      <c r="N285" s="81" t="n">
        <f aca="true">RAND()</f>
        <v>0.179393837976834</v>
      </c>
      <c r="O285" s="83" t="n">
        <f aca="false">IF(N285&lt;(Inputs!$E$26-Inputs!$D$26)/(Inputs!$F$26-Inputs!$D$26),Inputs!$D$26+SQRT(N285*(Inputs!$F$26-Inputs!$D$26)*(Inputs!$E$26-Inputs!$D$26)),Inputs!$F$26-SQRT((1-N285)*(Inputs!$F$26-Inputs!$D$26)*(Inputs!$F$26-Inputs!$E$26)))</f>
        <v>0.472774809041553</v>
      </c>
      <c r="P285" s="81" t="n">
        <f aca="true">RAND()</f>
        <v>0.434061940485045</v>
      </c>
      <c r="Q285" s="82" t="n">
        <f aca="false">IF(P285&lt;(Inputs!$E$27-Inputs!$D$27)/(Inputs!$F$27-Inputs!$D$27),Inputs!$D$27+SQRT(P285*(Inputs!$F$27-Inputs!$D$27)*(Inputs!$E$27-Inputs!$D$27)),Inputs!$F$27-SQRT((1-P285)*(Inputs!$F$27-Inputs!$D$27)*(Inputs!$F$27-Inputs!$E$27)))</f>
        <v>84.8499006419625</v>
      </c>
      <c r="R285" s="81" t="n">
        <f aca="true">RAND()</f>
        <v>0.164087618388864</v>
      </c>
      <c r="S285" s="82" t="n">
        <f aca="false">IF(R285&lt;(Inputs!$E$29-Inputs!$D$29)/(Inputs!$F$29-Inputs!$D$29),Inputs!$D$29+SQRT(R285*(Inputs!$F$29-Inputs!$D$29)*(Inputs!$E$29-Inputs!$D$29)),Inputs!$F$29-SQRT((1-R285)*(Inputs!$F$29-Inputs!$D$29)*(Inputs!$F$29-Inputs!$E$29)))</f>
        <v>4.52970692317622</v>
      </c>
      <c r="T285" s="68" t="n">
        <f aca="false">Inputs!$E$9*(1+E285)+Inputs!$E$5*C285*(Inputs!$E$11*Inputs!$E$14*(G285*I285/Inputs!$E$16+(1-G285))*K285+Inputs!$E$23*M285)*(1+O285)+Inputs!$E$5*(Q285+S285)</f>
        <v>6105.99538412411</v>
      </c>
    </row>
    <row r="286" customFormat="false" ht="15" hidden="false" customHeight="false" outlineLevel="0" collapsed="false">
      <c r="A286" s="1" t="n">
        <v>282</v>
      </c>
      <c r="B286" s="81" t="n">
        <f aca="true">RAND()</f>
        <v>0.641799760700449</v>
      </c>
      <c r="C286" s="82" t="n">
        <f aca="false">ROUND(IF(B286&lt;(Inputs!$E$8-Inputs!$D$8)/(Inputs!$F$8-Inputs!$D$8),Inputs!$D$8+SQRT(B286*(Inputs!$F$8-Inputs!$D$8)*(Inputs!$E$8-Inputs!$D$8)),Inputs!$F$8-SQRT((1-B286)*(Inputs!$F$8-Inputs!$D$8)*(Inputs!$F$8-Inputs!$E$8))),0)</f>
        <v>26</v>
      </c>
      <c r="D286" s="81" t="n">
        <f aca="true">RAND()</f>
        <v>0.125808974174801</v>
      </c>
      <c r="E286" s="83" t="n">
        <f aca="false">IF(D286&lt;(Inputs!$E$10-Inputs!$D$10)/(Inputs!$F$10-Inputs!$D$10),Inputs!$D$10+SQRT(D286*(Inputs!$F$10-Inputs!$D$10)*(Inputs!$E$10-Inputs!$D$10)),Inputs!$F$10-SQRT((1-D286)*(Inputs!$F$10-Inputs!$D$10)*(Inputs!$F$10-Inputs!$E$10)))</f>
        <v>0.0354695607774893</v>
      </c>
      <c r="F286" s="81" t="n">
        <f aca="true">RAND()</f>
        <v>0.648036310040955</v>
      </c>
      <c r="G286" s="83" t="n">
        <f aca="false">IF(F286&lt;(Inputs!$E$15-Inputs!$D$15)/(Inputs!$F$15-Inputs!$D$15),Inputs!$D$15+SQRT(F286*(Inputs!$F$15-Inputs!$D$15)*(Inputs!$E$15-Inputs!$D$15)),Inputs!$F$15-SQRT((1-F286)*(Inputs!$F$15-Inputs!$D$15)*(Inputs!$F$15-Inputs!$E$15)))</f>
        <v>0.716099619791202</v>
      </c>
      <c r="H286" s="81" t="n">
        <f aca="true">RAND()</f>
        <v>0.065940702155772</v>
      </c>
      <c r="I286" s="82" t="n">
        <f aca="false">ROUND(IF(H286&lt;(Inputs!$E$17-Inputs!$D$17)/(Inputs!$F$17-Inputs!$D$17),Inputs!$D$17+SQRT(H286*(Inputs!$F$17-Inputs!$D$17)*(Inputs!$E$17-Inputs!$D$17)),Inputs!$F$17-SQRT((1-H286)*(Inputs!$F$17-Inputs!$D$17)*(Inputs!$F$17-Inputs!$E$17))),0)</f>
        <v>102</v>
      </c>
      <c r="J286" s="81" t="n">
        <f aca="true">RAND()</f>
        <v>0.869143212192995</v>
      </c>
      <c r="K286" s="83" t="n">
        <f aca="false">IF(J286&lt;(Inputs!$E$18-Inputs!$D$18)/(Inputs!$F$18-Inputs!$D$18),Inputs!$D$18+SQRT(J286*(Inputs!$F$18-Inputs!$D$18)*(Inputs!$E$18-Inputs!$D$18)),Inputs!$F$18-SQRT((1-J286)*(Inputs!$F$18-Inputs!$D$18)*(Inputs!$F$18-Inputs!$E$18)))</f>
        <v>1.14299547237097</v>
      </c>
      <c r="L286" s="81" t="n">
        <f aca="true">RAND()</f>
        <v>0.0809608383593223</v>
      </c>
      <c r="M286" s="83" t="n">
        <f aca="false">IF(L286&lt;(Inputs!$E$24-Inputs!$D$24)/(Inputs!$F$24-Inputs!$D$24),Inputs!$D$24+SQRT(L286*(Inputs!$F$24-Inputs!$D$24)*(Inputs!$E$24-Inputs!$D$24)),Inputs!$F$24-SQRT((1-L286)*(Inputs!$F$24-Inputs!$D$24)*(Inputs!$F$24-Inputs!$E$24)))</f>
        <v>0.698566224454012</v>
      </c>
      <c r="N286" s="81" t="n">
        <f aca="true">RAND()</f>
        <v>0.819820778085758</v>
      </c>
      <c r="O286" s="83" t="n">
        <f aca="false">IF(N286&lt;(Inputs!$E$26-Inputs!$D$26)/(Inputs!$F$26-Inputs!$D$26),Inputs!$D$26+SQRT(N286*(Inputs!$F$26-Inputs!$D$26)*(Inputs!$E$26-Inputs!$D$26)),Inputs!$F$26-SQRT((1-N286)*(Inputs!$F$26-Inputs!$D$26)*(Inputs!$F$26-Inputs!$E$26)))</f>
        <v>0.68311085112734</v>
      </c>
      <c r="P286" s="81" t="n">
        <f aca="true">RAND()</f>
        <v>0.582407674444589</v>
      </c>
      <c r="Q286" s="82" t="n">
        <f aca="false">IF(P286&lt;(Inputs!$E$27-Inputs!$D$27)/(Inputs!$F$27-Inputs!$D$27),Inputs!$D$27+SQRT(P286*(Inputs!$F$27-Inputs!$D$27)*(Inputs!$E$27-Inputs!$D$27)),Inputs!$F$27-SQRT((1-P286)*(Inputs!$F$27-Inputs!$D$27)*(Inputs!$F$27-Inputs!$E$27)))</f>
        <v>94.0362399255949</v>
      </c>
      <c r="R286" s="81" t="n">
        <f aca="true">RAND()</f>
        <v>0.307865542248313</v>
      </c>
      <c r="S286" s="82" t="n">
        <f aca="false">IF(R286&lt;(Inputs!$E$29-Inputs!$D$29)/(Inputs!$F$29-Inputs!$D$29),Inputs!$D$29+SQRT(R286*(Inputs!$F$29-Inputs!$D$29)*(Inputs!$E$29-Inputs!$D$29)),Inputs!$F$29-SQRT((1-R286)*(Inputs!$F$29-Inputs!$D$29)*(Inputs!$F$29-Inputs!$E$29)))</f>
        <v>5.51435402791569</v>
      </c>
      <c r="T286" s="68" t="n">
        <f aca="false">Inputs!$E$9*(1+E286)+Inputs!$E$5*C286*(Inputs!$E$11*Inputs!$E$14*(G286*I286/Inputs!$E$16+(1-G286))*K286+Inputs!$E$23*M286)*(1+O286)+Inputs!$E$5*(Q286+S286)</f>
        <v>6480.11969380696</v>
      </c>
    </row>
    <row r="287" customFormat="false" ht="15" hidden="false" customHeight="false" outlineLevel="0" collapsed="false">
      <c r="A287" s="1" t="n">
        <v>283</v>
      </c>
      <c r="B287" s="81" t="n">
        <f aca="true">RAND()</f>
        <v>0.929294760868418</v>
      </c>
      <c r="C287" s="82" t="n">
        <f aca="false">ROUND(IF(B287&lt;(Inputs!$E$8-Inputs!$D$8)/(Inputs!$F$8-Inputs!$D$8),Inputs!$D$8+SQRT(B287*(Inputs!$F$8-Inputs!$D$8)*(Inputs!$E$8-Inputs!$D$8)),Inputs!$F$8-SQRT((1-B287)*(Inputs!$F$8-Inputs!$D$8)*(Inputs!$F$8-Inputs!$E$8))),0)</f>
        <v>28</v>
      </c>
      <c r="D287" s="81" t="n">
        <f aca="true">RAND()</f>
        <v>0.81704970516746</v>
      </c>
      <c r="E287" s="83" t="n">
        <f aca="false">IF(D287&lt;(Inputs!$E$10-Inputs!$D$10)/(Inputs!$F$10-Inputs!$D$10),Inputs!$D$10+SQRT(D287*(Inputs!$F$10-Inputs!$D$10)*(Inputs!$E$10-Inputs!$D$10)),Inputs!$F$10-SQRT((1-D287)*(Inputs!$F$10-Inputs!$D$10)*(Inputs!$F$10-Inputs!$E$10)))</f>
        <v>0.125915528989024</v>
      </c>
      <c r="F287" s="81" t="n">
        <f aca="true">RAND()</f>
        <v>0.991887440321989</v>
      </c>
      <c r="G287" s="83" t="n">
        <f aca="false">IF(F287&lt;(Inputs!$E$15-Inputs!$D$15)/(Inputs!$F$15-Inputs!$D$15),Inputs!$D$15+SQRT(F287*(Inputs!$F$15-Inputs!$D$15)*(Inputs!$E$15-Inputs!$D$15)),Inputs!$F$15-SQRT((1-F287)*(Inputs!$F$15-Inputs!$D$15)*(Inputs!$F$15-Inputs!$E$15)))</f>
        <v>0.787262213945892</v>
      </c>
      <c r="H287" s="81" t="n">
        <f aca="true">RAND()</f>
        <v>0.34807044078669</v>
      </c>
      <c r="I287" s="82" t="n">
        <f aca="false">ROUND(IF(H287&lt;(Inputs!$E$17-Inputs!$D$17)/(Inputs!$F$17-Inputs!$D$17),Inputs!$D$17+SQRT(H287*(Inputs!$F$17-Inputs!$D$17)*(Inputs!$E$17-Inputs!$D$17)),Inputs!$F$17-SQRT((1-H287)*(Inputs!$F$17-Inputs!$D$17)*(Inputs!$F$17-Inputs!$E$17))),0)</f>
        <v>105</v>
      </c>
      <c r="J287" s="81" t="n">
        <f aca="true">RAND()</f>
        <v>0.489122236955018</v>
      </c>
      <c r="K287" s="83" t="n">
        <f aca="false">IF(J287&lt;(Inputs!$E$18-Inputs!$D$18)/(Inputs!$F$18-Inputs!$D$18),Inputs!$D$18+SQRT(J287*(Inputs!$F$18-Inputs!$D$18)*(Inputs!$E$18-Inputs!$D$18)),Inputs!$F$18-SQRT((1-J287)*(Inputs!$F$18-Inputs!$D$18)*(Inputs!$F$18-Inputs!$E$18)))</f>
        <v>1.03857198798069</v>
      </c>
      <c r="L287" s="81" t="n">
        <f aca="true">RAND()</f>
        <v>0.20404130354395</v>
      </c>
      <c r="M287" s="83" t="n">
        <f aca="false">IF(L287&lt;(Inputs!$E$24-Inputs!$D$24)/(Inputs!$F$24-Inputs!$D$24),Inputs!$D$24+SQRT(L287*(Inputs!$F$24-Inputs!$D$24)*(Inputs!$E$24-Inputs!$D$24)),Inputs!$F$24-SQRT((1-L287)*(Inputs!$F$24-Inputs!$D$24)*(Inputs!$F$24-Inputs!$E$24)))</f>
        <v>0.756476696109274</v>
      </c>
      <c r="N287" s="81" t="n">
        <f aca="true">RAND()</f>
        <v>0.389961311641652</v>
      </c>
      <c r="O287" s="83" t="n">
        <f aca="false">IF(N287&lt;(Inputs!$E$26-Inputs!$D$26)/(Inputs!$F$26-Inputs!$D$26),Inputs!$D$26+SQRT(N287*(Inputs!$F$26-Inputs!$D$26)*(Inputs!$E$26-Inputs!$D$26)),Inputs!$F$26-SQRT((1-N287)*(Inputs!$F$26-Inputs!$D$26)*(Inputs!$F$26-Inputs!$E$26)))</f>
        <v>0.554734297371145</v>
      </c>
      <c r="P287" s="81" t="n">
        <f aca="true">RAND()</f>
        <v>0.981995808777906</v>
      </c>
      <c r="Q287" s="82" t="n">
        <f aca="false">IF(P287&lt;(Inputs!$E$27-Inputs!$D$27)/(Inputs!$F$27-Inputs!$D$27),Inputs!$D$27+SQRT(P287*(Inputs!$F$27-Inputs!$D$27)*(Inputs!$E$27-Inputs!$D$27)),Inputs!$F$27-SQRT((1-P287)*(Inputs!$F$27-Inputs!$D$27)*(Inputs!$F$27-Inputs!$E$27)))</f>
        <v>138.379697328998</v>
      </c>
      <c r="R287" s="81" t="n">
        <f aca="true">RAND()</f>
        <v>0.0780991722216655</v>
      </c>
      <c r="S287" s="82" t="n">
        <f aca="false">IF(R287&lt;(Inputs!$E$29-Inputs!$D$29)/(Inputs!$F$29-Inputs!$D$29),Inputs!$D$29+SQRT(R287*(Inputs!$F$29-Inputs!$D$29)*(Inputs!$E$29-Inputs!$D$29)),Inputs!$F$29-SQRT((1-R287)*(Inputs!$F$29-Inputs!$D$29)*(Inputs!$F$29-Inputs!$E$29)))</f>
        <v>3.74524144938314</v>
      </c>
      <c r="T287" s="68" t="n">
        <f aca="false">Inputs!$E$9*(1+E287)+Inputs!$E$5*C287*(Inputs!$E$11*Inputs!$E$14*(G287*I287/Inputs!$E$16+(1-G287))*K287+Inputs!$E$23*M287)*(1+O287)+Inputs!$E$5*(Q287+S287)</f>
        <v>6658.19731567384</v>
      </c>
    </row>
    <row r="288" customFormat="false" ht="15" hidden="false" customHeight="false" outlineLevel="0" collapsed="false">
      <c r="A288" s="1" t="n">
        <v>284</v>
      </c>
      <c r="B288" s="81" t="n">
        <f aca="true">RAND()</f>
        <v>0.372030212202368</v>
      </c>
      <c r="C288" s="82" t="n">
        <f aca="false">ROUND(IF(B288&lt;(Inputs!$E$8-Inputs!$D$8)/(Inputs!$F$8-Inputs!$D$8),Inputs!$D$8+SQRT(B288*(Inputs!$F$8-Inputs!$D$8)*(Inputs!$E$8-Inputs!$D$8)),Inputs!$F$8-SQRT((1-B288)*(Inputs!$F$8-Inputs!$D$8)*(Inputs!$F$8-Inputs!$E$8))),0)</f>
        <v>24</v>
      </c>
      <c r="D288" s="81" t="n">
        <f aca="true">RAND()</f>
        <v>0.872747212774473</v>
      </c>
      <c r="E288" s="83" t="n">
        <f aca="false">IF(D288&lt;(Inputs!$E$10-Inputs!$D$10)/(Inputs!$F$10-Inputs!$D$10),Inputs!$D$10+SQRT(D288*(Inputs!$F$10-Inputs!$D$10)*(Inputs!$E$10-Inputs!$D$10)),Inputs!$F$10-SQRT((1-D288)*(Inputs!$F$10-Inputs!$D$10)*(Inputs!$F$10-Inputs!$E$10)))</f>
        <v>0.13821340261217</v>
      </c>
      <c r="F288" s="81" t="n">
        <f aca="true">RAND()</f>
        <v>0.240554098941681</v>
      </c>
      <c r="G288" s="83" t="n">
        <f aca="false">IF(F288&lt;(Inputs!$E$15-Inputs!$D$15)/(Inputs!$F$15-Inputs!$D$15),Inputs!$D$15+SQRT(F288*(Inputs!$F$15-Inputs!$D$15)*(Inputs!$E$15-Inputs!$D$15)),Inputs!$F$15-SQRT((1-F288)*(Inputs!$F$15-Inputs!$D$15)*(Inputs!$F$15-Inputs!$E$15)))</f>
        <v>0.669361963487445</v>
      </c>
      <c r="H288" s="81" t="n">
        <f aca="true">RAND()</f>
        <v>0.155608604497971</v>
      </c>
      <c r="I288" s="82" t="n">
        <f aca="false">ROUND(IF(H288&lt;(Inputs!$E$17-Inputs!$D$17)/(Inputs!$F$17-Inputs!$D$17),Inputs!$D$17+SQRT(H288*(Inputs!$F$17-Inputs!$D$17)*(Inputs!$E$17-Inputs!$D$17)),Inputs!$F$17-SQRT((1-H288)*(Inputs!$F$17-Inputs!$D$17)*(Inputs!$F$17-Inputs!$E$17))),0)</f>
        <v>103</v>
      </c>
      <c r="J288" s="81" t="n">
        <f aca="true">RAND()</f>
        <v>0.52371887317963</v>
      </c>
      <c r="K288" s="83" t="n">
        <f aca="false">IF(J288&lt;(Inputs!$E$18-Inputs!$D$18)/(Inputs!$F$18-Inputs!$D$18),Inputs!$D$18+SQRT(J288*(Inputs!$F$18-Inputs!$D$18)*(Inputs!$E$18-Inputs!$D$18)),Inputs!$F$18-SQRT((1-J288)*(Inputs!$F$18-Inputs!$D$18)*(Inputs!$F$18-Inputs!$E$18)))</f>
        <v>1.04585642651119</v>
      </c>
      <c r="L288" s="81" t="n">
        <f aca="true">RAND()</f>
        <v>0.550949099184135</v>
      </c>
      <c r="M288" s="83" t="n">
        <f aca="false">IF(L288&lt;(Inputs!$E$24-Inputs!$D$24)/(Inputs!$F$24-Inputs!$D$24),Inputs!$D$24+SQRT(L288*(Inputs!$F$24-Inputs!$D$24)*(Inputs!$E$24-Inputs!$D$24)),Inputs!$F$24-SQRT((1-L288)*(Inputs!$F$24-Inputs!$D$24)*(Inputs!$F$24-Inputs!$E$24)))</f>
        <v>0.871713210445794</v>
      </c>
      <c r="N288" s="81" t="n">
        <f aca="true">RAND()</f>
        <v>0.514599750917988</v>
      </c>
      <c r="O288" s="83" t="n">
        <f aca="false">IF(N288&lt;(Inputs!$E$26-Inputs!$D$26)/(Inputs!$F$26-Inputs!$D$26),Inputs!$D$26+SQRT(N288*(Inputs!$F$26-Inputs!$D$26)*(Inputs!$E$26-Inputs!$D$26)),Inputs!$F$26-SQRT((1-N288)*(Inputs!$F$26-Inputs!$D$26)*(Inputs!$F$26-Inputs!$E$26)))</f>
        <v>0.592625013545926</v>
      </c>
      <c r="P288" s="81" t="n">
        <f aca="true">RAND()</f>
        <v>0.399288706370737</v>
      </c>
      <c r="Q288" s="82" t="n">
        <f aca="false">IF(P288&lt;(Inputs!$E$27-Inputs!$D$27)/(Inputs!$F$27-Inputs!$D$27),Inputs!$D$27+SQRT(P288*(Inputs!$F$27-Inputs!$D$27)*(Inputs!$E$27-Inputs!$D$27)),Inputs!$F$27-SQRT((1-P288)*(Inputs!$F$27-Inputs!$D$27)*(Inputs!$F$27-Inputs!$E$27)))</f>
        <v>82.8782099298635</v>
      </c>
      <c r="R288" s="81" t="n">
        <f aca="true">RAND()</f>
        <v>0.67024338623858</v>
      </c>
      <c r="S288" s="82" t="n">
        <f aca="false">IF(R288&lt;(Inputs!$E$29-Inputs!$D$29)/(Inputs!$F$29-Inputs!$D$29),Inputs!$D$29+SQRT(R288*(Inputs!$F$29-Inputs!$D$29)*(Inputs!$E$29-Inputs!$D$29)),Inputs!$F$29-SQRT((1-R288)*(Inputs!$F$29-Inputs!$D$29)*(Inputs!$F$29-Inputs!$E$29)))</f>
        <v>8.45260664164856</v>
      </c>
      <c r="T288" s="68" t="n">
        <f aca="false">Inputs!$E$9*(1+E288)+Inputs!$E$5*C288*(Inputs!$E$11*Inputs!$E$14*(G288*I288/Inputs!$E$16+(1-G288))*K288+Inputs!$E$23*M288)*(1+O288)+Inputs!$E$5*(Q288+S288)</f>
        <v>6313.84562878479</v>
      </c>
    </row>
    <row r="289" customFormat="false" ht="15" hidden="false" customHeight="false" outlineLevel="0" collapsed="false">
      <c r="A289" s="1" t="n">
        <v>285</v>
      </c>
      <c r="B289" s="81" t="n">
        <f aca="true">RAND()</f>
        <v>0.0616884454425209</v>
      </c>
      <c r="C289" s="82" t="n">
        <f aca="false">ROUND(IF(B289&lt;(Inputs!$E$8-Inputs!$D$8)/(Inputs!$F$8-Inputs!$D$8),Inputs!$D$8+SQRT(B289*(Inputs!$F$8-Inputs!$D$8)*(Inputs!$E$8-Inputs!$D$8)),Inputs!$F$8-SQRT((1-B289)*(Inputs!$F$8-Inputs!$D$8)*(Inputs!$F$8-Inputs!$E$8))),0)</f>
        <v>22</v>
      </c>
      <c r="D289" s="81" t="n">
        <f aca="true">RAND()</f>
        <v>0.413031173049748</v>
      </c>
      <c r="E289" s="83" t="n">
        <f aca="false">IF(D289&lt;(Inputs!$E$10-Inputs!$D$10)/(Inputs!$F$10-Inputs!$D$10),Inputs!$D$10+SQRT(D289*(Inputs!$F$10-Inputs!$D$10)*(Inputs!$E$10-Inputs!$D$10)),Inputs!$F$10-SQRT((1-D289)*(Inputs!$F$10-Inputs!$D$10)*(Inputs!$F$10-Inputs!$E$10)))</f>
        <v>0.067300848501177</v>
      </c>
      <c r="F289" s="81" t="n">
        <f aca="true">RAND()</f>
        <v>0.447183212182762</v>
      </c>
      <c r="G289" s="83" t="n">
        <f aca="false">IF(F289&lt;(Inputs!$E$15-Inputs!$D$15)/(Inputs!$F$15-Inputs!$D$15),Inputs!$D$15+SQRT(F289*(Inputs!$F$15-Inputs!$D$15)*(Inputs!$E$15-Inputs!$D$15)),Inputs!$F$15-SQRT((1-F289)*(Inputs!$F$15-Inputs!$D$15)*(Inputs!$F$15-Inputs!$E$15)))</f>
        <v>0.694570948201101</v>
      </c>
      <c r="H289" s="81" t="n">
        <f aca="true">RAND()</f>
        <v>0.710242246163884</v>
      </c>
      <c r="I289" s="82" t="n">
        <f aca="false">ROUND(IF(H289&lt;(Inputs!$E$17-Inputs!$D$17)/(Inputs!$F$17-Inputs!$D$17),Inputs!$D$17+SQRT(H289*(Inputs!$F$17-Inputs!$D$17)*(Inputs!$E$17-Inputs!$D$17)),Inputs!$F$17-SQRT((1-H289)*(Inputs!$F$17-Inputs!$D$17)*(Inputs!$F$17-Inputs!$E$17))),0)</f>
        <v>108</v>
      </c>
      <c r="J289" s="81" t="n">
        <f aca="true">RAND()</f>
        <v>0.57329329871143</v>
      </c>
      <c r="K289" s="83" t="n">
        <f aca="false">IF(J289&lt;(Inputs!$E$18-Inputs!$D$18)/(Inputs!$F$18-Inputs!$D$18),Inputs!$D$18+SQRT(J289*(Inputs!$F$18-Inputs!$D$18)*(Inputs!$E$18-Inputs!$D$18)),Inputs!$F$18-SQRT((1-J289)*(Inputs!$F$18-Inputs!$D$18)*(Inputs!$F$18-Inputs!$E$18)))</f>
        <v>1.05677257864695</v>
      </c>
      <c r="L289" s="81" t="n">
        <f aca="true">RAND()</f>
        <v>0.748071693401551</v>
      </c>
      <c r="M289" s="83" t="n">
        <f aca="false">IF(L289&lt;(Inputs!$E$24-Inputs!$D$24)/(Inputs!$F$24-Inputs!$D$24),Inputs!$D$24+SQRT(L289*(Inputs!$F$24-Inputs!$D$24)*(Inputs!$E$24-Inputs!$D$24)),Inputs!$F$24-SQRT((1-L289)*(Inputs!$F$24-Inputs!$D$24)*(Inputs!$F$24-Inputs!$E$24)))</f>
        <v>0.954108166903356</v>
      </c>
      <c r="N289" s="81" t="n">
        <f aca="true">RAND()</f>
        <v>0.295375523142975</v>
      </c>
      <c r="O289" s="83" t="n">
        <f aca="false">IF(N289&lt;(Inputs!$E$26-Inputs!$D$26)/(Inputs!$F$26-Inputs!$D$26),Inputs!$D$26+SQRT(N289*(Inputs!$F$26-Inputs!$D$26)*(Inputs!$E$26-Inputs!$D$26)),Inputs!$F$26-SQRT((1-N289)*(Inputs!$F$26-Inputs!$D$26)*(Inputs!$F$26-Inputs!$E$26)))</f>
        <v>0.521699091227256</v>
      </c>
      <c r="P289" s="81" t="n">
        <f aca="true">RAND()</f>
        <v>0.035081803689227</v>
      </c>
      <c r="Q289" s="82" t="n">
        <f aca="false">IF(P289&lt;(Inputs!$E$27-Inputs!$D$27)/(Inputs!$F$27-Inputs!$D$27),Inputs!$D$27+SQRT(P289*(Inputs!$F$27-Inputs!$D$27)*(Inputs!$E$27-Inputs!$D$27)),Inputs!$F$27-SQRT((1-P289)*(Inputs!$F$27-Inputs!$D$27)*(Inputs!$F$27-Inputs!$E$27)))</f>
        <v>59.365068564782</v>
      </c>
      <c r="R289" s="81" t="n">
        <f aca="true">RAND()</f>
        <v>0.604865978719294</v>
      </c>
      <c r="S289" s="82" t="n">
        <f aca="false">IF(R289&lt;(Inputs!$E$29-Inputs!$D$29)/(Inputs!$F$29-Inputs!$D$29),Inputs!$D$29+SQRT(R289*(Inputs!$F$29-Inputs!$D$29)*(Inputs!$E$29-Inputs!$D$29)),Inputs!$F$29-SQRT((1-R289)*(Inputs!$F$29-Inputs!$D$29)*(Inputs!$F$29-Inputs!$E$29)))</f>
        <v>7.83289299881104</v>
      </c>
      <c r="T289" s="68" t="n">
        <f aca="false">Inputs!$E$9*(1+E289)+Inputs!$E$5*C289*(Inputs!$E$11*Inputs!$E$14*(G289*I289/Inputs!$E$16+(1-G289))*K289+Inputs!$E$23*M289)*(1+O289)+Inputs!$E$5*(Q289+S289)</f>
        <v>5759.69915577062</v>
      </c>
    </row>
    <row r="290" customFormat="false" ht="15" hidden="false" customHeight="false" outlineLevel="0" collapsed="false">
      <c r="A290" s="1" t="n">
        <v>286</v>
      </c>
      <c r="B290" s="81" t="n">
        <f aca="true">RAND()</f>
        <v>0.873296471667518</v>
      </c>
      <c r="C290" s="82" t="n">
        <f aca="false">ROUND(IF(B290&lt;(Inputs!$E$8-Inputs!$D$8)/(Inputs!$F$8-Inputs!$D$8),Inputs!$D$8+SQRT(B290*(Inputs!$F$8-Inputs!$D$8)*(Inputs!$E$8-Inputs!$D$8)),Inputs!$F$8-SQRT((1-B290)*(Inputs!$F$8-Inputs!$D$8)*(Inputs!$F$8-Inputs!$E$8))),0)</f>
        <v>27</v>
      </c>
      <c r="D290" s="81" t="n">
        <f aca="true">RAND()</f>
        <v>0.49400636759692</v>
      </c>
      <c r="E290" s="83" t="n">
        <f aca="false">IF(D290&lt;(Inputs!$E$10-Inputs!$D$10)/(Inputs!$F$10-Inputs!$D$10),Inputs!$D$10+SQRT(D290*(Inputs!$F$10-Inputs!$D$10)*(Inputs!$E$10-Inputs!$D$10)),Inputs!$F$10-SQRT((1-D290)*(Inputs!$F$10-Inputs!$D$10)*(Inputs!$F$10-Inputs!$E$10)))</f>
        <v>0.0767936325830016</v>
      </c>
      <c r="F290" s="81" t="n">
        <f aca="true">RAND()</f>
        <v>0.0076059803536645</v>
      </c>
      <c r="G290" s="83" t="n">
        <f aca="false">IF(F290&lt;(Inputs!$E$15-Inputs!$D$15)/(Inputs!$F$15-Inputs!$D$15),Inputs!$D$15+SQRT(F290*(Inputs!$F$15-Inputs!$D$15)*(Inputs!$E$15-Inputs!$D$15)),Inputs!$F$15-SQRT((1-F290)*(Inputs!$F$15-Inputs!$D$15)*(Inputs!$F$15-Inputs!$E$15)))</f>
        <v>0.612333677759423</v>
      </c>
      <c r="H290" s="81" t="n">
        <f aca="true">RAND()</f>
        <v>0.812920085934198</v>
      </c>
      <c r="I290" s="82" t="n">
        <f aca="false">ROUND(IF(H290&lt;(Inputs!$E$17-Inputs!$D$17)/(Inputs!$F$17-Inputs!$D$17),Inputs!$D$17+SQRT(H290*(Inputs!$F$17-Inputs!$D$17)*(Inputs!$E$17-Inputs!$D$17)),Inputs!$F$17-SQRT((1-H290)*(Inputs!$F$17-Inputs!$D$17)*(Inputs!$F$17-Inputs!$E$17))),0)</f>
        <v>110</v>
      </c>
      <c r="J290" s="81" t="n">
        <f aca="true">RAND()</f>
        <v>0.848147054562331</v>
      </c>
      <c r="K290" s="83" t="n">
        <f aca="false">IF(J290&lt;(Inputs!$E$18-Inputs!$D$18)/(Inputs!$F$18-Inputs!$D$18),Inputs!$D$18+SQRT(J290*(Inputs!$F$18-Inputs!$D$18)*(Inputs!$E$18-Inputs!$D$18)),Inputs!$F$18-SQRT((1-J290)*(Inputs!$F$18-Inputs!$D$18)*(Inputs!$F$18-Inputs!$E$18)))</f>
        <v>1.13473017426145</v>
      </c>
      <c r="L290" s="81" t="n">
        <f aca="true">RAND()</f>
        <v>0.396197338470863</v>
      </c>
      <c r="M290" s="83" t="n">
        <f aca="false">IF(L290&lt;(Inputs!$E$24-Inputs!$D$24)/(Inputs!$F$24-Inputs!$D$24),Inputs!$D$24+SQRT(L290*(Inputs!$F$24-Inputs!$D$24)*(Inputs!$E$24-Inputs!$D$24)),Inputs!$F$24-SQRT((1-L290)*(Inputs!$F$24-Inputs!$D$24)*(Inputs!$F$24-Inputs!$E$24)))</f>
        <v>0.819326072908857</v>
      </c>
      <c r="N290" s="81" t="n">
        <f aca="true">RAND()</f>
        <v>0.211158856143358</v>
      </c>
      <c r="O290" s="83" t="n">
        <f aca="false">IF(N290&lt;(Inputs!$E$26-Inputs!$D$26)/(Inputs!$F$26-Inputs!$D$26),Inputs!$D$26+SQRT(N290*(Inputs!$F$26-Inputs!$D$26)*(Inputs!$E$26-Inputs!$D$26)),Inputs!$F$26-SQRT((1-N290)*(Inputs!$F$26-Inputs!$D$26)*(Inputs!$F$26-Inputs!$E$26)))</f>
        <v>0.487448215948445</v>
      </c>
      <c r="P290" s="81" t="n">
        <f aca="true">RAND()</f>
        <v>0.130948230483882</v>
      </c>
      <c r="Q290" s="82" t="n">
        <f aca="false">IF(P290&lt;(Inputs!$E$27-Inputs!$D$27)/(Inputs!$F$27-Inputs!$D$27),Inputs!$D$27+SQRT(P290*(Inputs!$F$27-Inputs!$D$27)*(Inputs!$E$27-Inputs!$D$27)),Inputs!$F$27-SQRT((1-P290)*(Inputs!$F$27-Inputs!$D$27)*(Inputs!$F$27-Inputs!$E$27)))</f>
        <v>68.0933848743044</v>
      </c>
      <c r="R290" s="81" t="n">
        <f aca="true">RAND()</f>
        <v>0.804623425854656</v>
      </c>
      <c r="S290" s="82" t="n">
        <f aca="false">IF(R290&lt;(Inputs!$E$29-Inputs!$D$29)/(Inputs!$F$29-Inputs!$D$29),Inputs!$D$29+SQRT(R290*(Inputs!$F$29-Inputs!$D$29)*(Inputs!$E$29-Inputs!$D$29)),Inputs!$F$29-SQRT((1-R290)*(Inputs!$F$29-Inputs!$D$29)*(Inputs!$F$29-Inputs!$E$29)))</f>
        <v>9.96026244345058</v>
      </c>
      <c r="T290" s="68" t="n">
        <f aca="false">Inputs!$E$9*(1+E290)+Inputs!$E$5*C290*(Inputs!$E$11*Inputs!$E$14*(G290*I290/Inputs!$E$16+(1-G290))*K290+Inputs!$E$23*M290)*(1+O290)+Inputs!$E$5*(Q290+S290)</f>
        <v>6570.70237234759</v>
      </c>
    </row>
    <row r="291" customFormat="false" ht="15" hidden="false" customHeight="false" outlineLevel="0" collapsed="false">
      <c r="A291" s="1" t="n">
        <v>287</v>
      </c>
      <c r="B291" s="81" t="n">
        <f aca="true">RAND()</f>
        <v>0.593617194617568</v>
      </c>
      <c r="C291" s="82" t="n">
        <f aca="false">ROUND(IF(B291&lt;(Inputs!$E$8-Inputs!$D$8)/(Inputs!$F$8-Inputs!$D$8),Inputs!$D$8+SQRT(B291*(Inputs!$F$8-Inputs!$D$8)*(Inputs!$E$8-Inputs!$D$8)),Inputs!$F$8-SQRT((1-B291)*(Inputs!$F$8-Inputs!$D$8)*(Inputs!$F$8-Inputs!$E$8))),0)</f>
        <v>25</v>
      </c>
      <c r="D291" s="81" t="n">
        <f aca="true">RAND()</f>
        <v>0.0974910914908321</v>
      </c>
      <c r="E291" s="83" t="n">
        <f aca="false">IF(D291&lt;(Inputs!$E$10-Inputs!$D$10)/(Inputs!$F$10-Inputs!$D$10),Inputs!$D$10+SQRT(D291*(Inputs!$F$10-Inputs!$D$10)*(Inputs!$E$10-Inputs!$D$10)),Inputs!$F$10-SQRT((1-D291)*(Inputs!$F$10-Inputs!$D$10)*(Inputs!$F$10-Inputs!$E$10)))</f>
        <v>0.0312235634562796</v>
      </c>
      <c r="F291" s="81" t="n">
        <f aca="true">RAND()</f>
        <v>0.795211841128</v>
      </c>
      <c r="G291" s="83" t="n">
        <f aca="false">IF(F291&lt;(Inputs!$E$15-Inputs!$D$15)/(Inputs!$F$15-Inputs!$D$15),Inputs!$D$15+SQRT(F291*(Inputs!$F$15-Inputs!$D$15)*(Inputs!$E$15-Inputs!$D$15)),Inputs!$F$15-SQRT((1-F291)*(Inputs!$F$15-Inputs!$D$15)*(Inputs!$F$15-Inputs!$E$15)))</f>
        <v>0.736001850202994</v>
      </c>
      <c r="H291" s="81" t="n">
        <f aca="true">RAND()</f>
        <v>0.383405895149423</v>
      </c>
      <c r="I291" s="82" t="n">
        <f aca="false">ROUND(IF(H291&lt;(Inputs!$E$17-Inputs!$D$17)/(Inputs!$F$17-Inputs!$D$17),Inputs!$D$17+SQRT(H291*(Inputs!$F$17-Inputs!$D$17)*(Inputs!$E$17-Inputs!$D$17)),Inputs!$F$17-SQRT((1-H291)*(Inputs!$F$17-Inputs!$D$17)*(Inputs!$F$17-Inputs!$E$17))),0)</f>
        <v>105</v>
      </c>
      <c r="J291" s="81" t="n">
        <f aca="true">RAND()</f>
        <v>0.854843117257114</v>
      </c>
      <c r="K291" s="83" t="n">
        <f aca="false">IF(J291&lt;(Inputs!$E$18-Inputs!$D$18)/(Inputs!$F$18-Inputs!$D$18),Inputs!$D$18+SQRT(J291*(Inputs!$F$18-Inputs!$D$18)*(Inputs!$E$18-Inputs!$D$18)),Inputs!$F$18-SQRT((1-J291)*(Inputs!$F$18-Inputs!$D$18)*(Inputs!$F$18-Inputs!$E$18)))</f>
        <v>1.13730027843866</v>
      </c>
      <c r="L291" s="81" t="n">
        <f aca="true">RAND()</f>
        <v>0.0904454890270063</v>
      </c>
      <c r="M291" s="83" t="n">
        <f aca="false">IF(L291&lt;(Inputs!$E$24-Inputs!$D$24)/(Inputs!$F$24-Inputs!$D$24),Inputs!$D$24+SQRT(L291*(Inputs!$F$24-Inputs!$D$24)*(Inputs!$E$24-Inputs!$D$24)),Inputs!$F$24-SQRT((1-L291)*(Inputs!$F$24-Inputs!$D$24)*(Inputs!$F$24-Inputs!$E$24)))</f>
        <v>0.704179934167961</v>
      </c>
      <c r="N291" s="81" t="n">
        <f aca="true">RAND()</f>
        <v>0.472813341428481</v>
      </c>
      <c r="O291" s="83" t="n">
        <f aca="false">IF(N291&lt;(Inputs!$E$26-Inputs!$D$26)/(Inputs!$F$26-Inputs!$D$26),Inputs!$D$26+SQRT(N291*(Inputs!$F$26-Inputs!$D$26)*(Inputs!$E$26-Inputs!$D$26)),Inputs!$F$26-SQRT((1-N291)*(Inputs!$F$26-Inputs!$D$26)*(Inputs!$F$26-Inputs!$E$26)))</f>
        <v>0.580492673725535</v>
      </c>
      <c r="P291" s="81" t="n">
        <f aca="true">RAND()</f>
        <v>0.105760362423415</v>
      </c>
      <c r="Q291" s="82" t="n">
        <f aca="false">IF(P291&lt;(Inputs!$E$27-Inputs!$D$27)/(Inputs!$F$27-Inputs!$D$27),Inputs!$D$27+SQRT(P291*(Inputs!$F$27-Inputs!$D$27)*(Inputs!$E$27-Inputs!$D$27)),Inputs!$F$27-SQRT((1-P291)*(Inputs!$F$27-Inputs!$D$27)*(Inputs!$F$27-Inputs!$E$27)))</f>
        <v>66.2604091602437</v>
      </c>
      <c r="R291" s="81" t="n">
        <f aca="true">RAND()</f>
        <v>0.823186991679011</v>
      </c>
      <c r="S291" s="82" t="n">
        <f aca="false">IF(R291&lt;(Inputs!$E$29-Inputs!$D$29)/(Inputs!$F$29-Inputs!$D$29),Inputs!$D$29+SQRT(R291*(Inputs!$F$29-Inputs!$D$29)*(Inputs!$E$29-Inputs!$D$29)),Inputs!$F$29-SQRT((1-R291)*(Inputs!$F$29-Inputs!$D$29)*(Inputs!$F$29-Inputs!$E$29)))</f>
        <v>10.2056605166375</v>
      </c>
      <c r="T291" s="68" t="n">
        <f aca="false">Inputs!$E$9*(1+E291)+Inputs!$E$5*C291*(Inputs!$E$11*Inputs!$E$14*(G291*I291/Inputs!$E$16+(1-G291))*K291+Inputs!$E$23*M291)*(1+O291)+Inputs!$E$5*(Q291+S291)</f>
        <v>6002.26595019573</v>
      </c>
    </row>
    <row r="292" customFormat="false" ht="15" hidden="false" customHeight="false" outlineLevel="0" collapsed="false">
      <c r="A292" s="1" t="n">
        <v>288</v>
      </c>
      <c r="B292" s="81" t="n">
        <f aca="true">RAND()</f>
        <v>0.830906959595258</v>
      </c>
      <c r="C292" s="82" t="n">
        <f aca="false">ROUND(IF(B292&lt;(Inputs!$E$8-Inputs!$D$8)/(Inputs!$F$8-Inputs!$D$8),Inputs!$D$8+SQRT(B292*(Inputs!$F$8-Inputs!$D$8)*(Inputs!$E$8-Inputs!$D$8)),Inputs!$F$8-SQRT((1-B292)*(Inputs!$F$8-Inputs!$D$8)*(Inputs!$F$8-Inputs!$E$8))),0)</f>
        <v>27</v>
      </c>
      <c r="D292" s="81" t="n">
        <f aca="true">RAND()</f>
        <v>0.298676539230419</v>
      </c>
      <c r="E292" s="83" t="n">
        <f aca="false">IF(D292&lt;(Inputs!$E$10-Inputs!$D$10)/(Inputs!$F$10-Inputs!$D$10),Inputs!$D$10+SQRT(D292*(Inputs!$F$10-Inputs!$D$10)*(Inputs!$E$10-Inputs!$D$10)),Inputs!$F$10-SQRT((1-D292)*(Inputs!$F$10-Inputs!$D$10)*(Inputs!$F$10-Inputs!$E$10)))</f>
        <v>0.0549493060234201</v>
      </c>
      <c r="F292" s="81" t="n">
        <f aca="true">RAND()</f>
        <v>0.752735741773441</v>
      </c>
      <c r="G292" s="83" t="n">
        <f aca="false">IF(F292&lt;(Inputs!$E$15-Inputs!$D$15)/(Inputs!$F$15-Inputs!$D$15),Inputs!$D$15+SQRT(F292*(Inputs!$F$15-Inputs!$D$15)*(Inputs!$E$15-Inputs!$D$15)),Inputs!$F$15-SQRT((1-F292)*(Inputs!$F$15-Inputs!$D$15)*(Inputs!$F$15-Inputs!$E$15)))</f>
        <v>0.729677278461857</v>
      </c>
      <c r="H292" s="81" t="n">
        <f aca="true">RAND()</f>
        <v>0.456161904467967</v>
      </c>
      <c r="I292" s="82" t="n">
        <f aca="false">ROUND(IF(H292&lt;(Inputs!$E$17-Inputs!$D$17)/(Inputs!$F$17-Inputs!$D$17),Inputs!$D$17+SQRT(H292*(Inputs!$F$17-Inputs!$D$17)*(Inputs!$E$17-Inputs!$D$17)),Inputs!$F$17-SQRT((1-H292)*(Inputs!$F$17-Inputs!$D$17)*(Inputs!$F$17-Inputs!$E$17))),0)</f>
        <v>106</v>
      </c>
      <c r="J292" s="81" t="n">
        <f aca="true">RAND()</f>
        <v>0.64776405723759</v>
      </c>
      <c r="K292" s="83" t="n">
        <f aca="false">IF(J292&lt;(Inputs!$E$18-Inputs!$D$18)/(Inputs!$F$18-Inputs!$D$18),Inputs!$D$18+SQRT(J292*(Inputs!$F$18-Inputs!$D$18)*(Inputs!$E$18-Inputs!$D$18)),Inputs!$F$18-SQRT((1-J292)*(Inputs!$F$18-Inputs!$D$18)*(Inputs!$F$18-Inputs!$E$18)))</f>
        <v>1.07444190422623</v>
      </c>
      <c r="L292" s="81" t="n">
        <f aca="true">RAND()</f>
        <v>0.036767522621956</v>
      </c>
      <c r="M292" s="83" t="n">
        <f aca="false">IF(L292&lt;(Inputs!$E$24-Inputs!$D$24)/(Inputs!$F$24-Inputs!$D$24),Inputs!$D$24+SQRT(L292*(Inputs!$F$24-Inputs!$D$24)*(Inputs!$E$24-Inputs!$D$24)),Inputs!$F$24-SQRT((1-L292)*(Inputs!$F$24-Inputs!$D$24)*(Inputs!$F$24-Inputs!$E$24)))</f>
        <v>0.666423660804225</v>
      </c>
      <c r="N292" s="81" t="n">
        <f aca="true">RAND()</f>
        <v>0.810376743491257</v>
      </c>
      <c r="O292" s="83" t="n">
        <f aca="false">IF(N292&lt;(Inputs!$E$26-Inputs!$D$26)/(Inputs!$F$26-Inputs!$D$26),Inputs!$D$26+SQRT(N292*(Inputs!$F$26-Inputs!$D$26)*(Inputs!$E$26-Inputs!$D$26)),Inputs!$F$26-SQRT((1-N292)*(Inputs!$F$26-Inputs!$D$26)*(Inputs!$F$26-Inputs!$E$26)))</f>
        <v>0.679569167641471</v>
      </c>
      <c r="P292" s="81" t="n">
        <f aca="true">RAND()</f>
        <v>0.31790552140039</v>
      </c>
      <c r="Q292" s="82" t="n">
        <f aca="false">IF(P292&lt;(Inputs!$E$27-Inputs!$D$27)/(Inputs!$F$27-Inputs!$D$27),Inputs!$D$27+SQRT(P292*(Inputs!$F$27-Inputs!$D$27)*(Inputs!$E$27-Inputs!$D$27)),Inputs!$F$27-SQRT((1-P292)*(Inputs!$F$27-Inputs!$D$27)*(Inputs!$F$27-Inputs!$E$27)))</f>
        <v>78.4758181487053</v>
      </c>
      <c r="R292" s="81" t="n">
        <f aca="true">RAND()</f>
        <v>0.578548505973085</v>
      </c>
      <c r="S292" s="82" t="n">
        <f aca="false">IF(R292&lt;(Inputs!$E$29-Inputs!$D$29)/(Inputs!$F$29-Inputs!$D$29),Inputs!$D$29+SQRT(R292*(Inputs!$F$29-Inputs!$D$29)*(Inputs!$E$29-Inputs!$D$29)),Inputs!$F$29-SQRT((1-R292)*(Inputs!$F$29-Inputs!$D$29)*(Inputs!$F$29-Inputs!$E$29)))</f>
        <v>7.59806145503093</v>
      </c>
      <c r="T292" s="68" t="n">
        <f aca="false">Inputs!$E$9*(1+E292)+Inputs!$E$5*C292*(Inputs!$E$11*Inputs!$E$14*(G292*I292/Inputs!$E$16+(1-G292))*K292+Inputs!$E$23*M292)*(1+O292)+Inputs!$E$5*(Q292+S292)</f>
        <v>6411.85077126909</v>
      </c>
    </row>
    <row r="293" customFormat="false" ht="15" hidden="false" customHeight="false" outlineLevel="0" collapsed="false">
      <c r="A293" s="1" t="n">
        <v>289</v>
      </c>
      <c r="B293" s="81" t="n">
        <f aca="true">RAND()</f>
        <v>0.650503213850346</v>
      </c>
      <c r="C293" s="82" t="n">
        <f aca="false">ROUND(IF(B293&lt;(Inputs!$E$8-Inputs!$D$8)/(Inputs!$F$8-Inputs!$D$8),Inputs!$D$8+SQRT(B293*(Inputs!$F$8-Inputs!$D$8)*(Inputs!$E$8-Inputs!$D$8)),Inputs!$F$8-SQRT((1-B293)*(Inputs!$F$8-Inputs!$D$8)*(Inputs!$F$8-Inputs!$E$8))),0)</f>
        <v>26</v>
      </c>
      <c r="D293" s="81" t="n">
        <f aca="true">RAND()</f>
        <v>0.823898700003957</v>
      </c>
      <c r="E293" s="83" t="n">
        <f aca="false">IF(D293&lt;(Inputs!$E$10-Inputs!$D$10)/(Inputs!$F$10-Inputs!$D$10),Inputs!$D$10+SQRT(D293*(Inputs!$F$10-Inputs!$D$10)*(Inputs!$E$10-Inputs!$D$10)),Inputs!$F$10-SQRT((1-D293)*(Inputs!$F$10-Inputs!$D$10)*(Inputs!$F$10-Inputs!$E$10)))</f>
        <v>0.127315483080086</v>
      </c>
      <c r="F293" s="81" t="n">
        <f aca="true">RAND()</f>
        <v>0.886097550499971</v>
      </c>
      <c r="G293" s="83" t="n">
        <f aca="false">IF(F293&lt;(Inputs!$E$15-Inputs!$D$15)/(Inputs!$F$15-Inputs!$D$15),Inputs!$D$15+SQRT(F293*(Inputs!$F$15-Inputs!$D$15)*(Inputs!$E$15-Inputs!$D$15)),Inputs!$F$15-SQRT((1-F293)*(Inputs!$F$15-Inputs!$D$15)*(Inputs!$F$15-Inputs!$E$15)))</f>
        <v>0.752271088531158</v>
      </c>
      <c r="H293" s="81" t="n">
        <f aca="true">RAND()</f>
        <v>0.174726718030278</v>
      </c>
      <c r="I293" s="82" t="n">
        <f aca="false">ROUND(IF(H293&lt;(Inputs!$E$17-Inputs!$D$17)/(Inputs!$F$17-Inputs!$D$17),Inputs!$D$17+SQRT(H293*(Inputs!$F$17-Inputs!$D$17)*(Inputs!$E$17-Inputs!$D$17)),Inputs!$F$17-SQRT((1-H293)*(Inputs!$F$17-Inputs!$D$17)*(Inputs!$F$17-Inputs!$E$17))),0)</f>
        <v>104</v>
      </c>
      <c r="J293" s="81" t="n">
        <f aca="true">RAND()</f>
        <v>0.331137106729555</v>
      </c>
      <c r="K293" s="83" t="n">
        <f aca="false">IF(J293&lt;(Inputs!$E$18-Inputs!$D$18)/(Inputs!$F$18-Inputs!$D$18),Inputs!$D$18+SQRT(J293*(Inputs!$F$18-Inputs!$D$18)*(Inputs!$E$18-Inputs!$D$18)),Inputs!$F$18-SQRT((1-J293)*(Inputs!$F$18-Inputs!$D$18)*(Inputs!$F$18-Inputs!$E$18)))</f>
        <v>1.00807955199867</v>
      </c>
      <c r="L293" s="81" t="n">
        <f aca="true">RAND()</f>
        <v>0.0262530415950943</v>
      </c>
      <c r="M293" s="83" t="n">
        <f aca="false">IF(L293&lt;(Inputs!$E$24-Inputs!$D$24)/(Inputs!$F$24-Inputs!$D$24),Inputs!$D$24+SQRT(L293*(Inputs!$F$24-Inputs!$D$24)*(Inputs!$E$24-Inputs!$D$24)),Inputs!$F$24-SQRT((1-L293)*(Inputs!$F$24-Inputs!$D$24)*(Inputs!$F$24-Inputs!$E$24)))</f>
        <v>0.656128112309353</v>
      </c>
      <c r="N293" s="81" t="n">
        <f aca="true">RAND()</f>
        <v>0.1968689860189</v>
      </c>
      <c r="O293" s="83" t="n">
        <f aca="false">IF(N293&lt;(Inputs!$E$26-Inputs!$D$26)/(Inputs!$F$26-Inputs!$D$26),Inputs!$D$26+SQRT(N293*(Inputs!$F$26-Inputs!$D$26)*(Inputs!$E$26-Inputs!$D$26)),Inputs!$F$26-SQRT((1-N293)*(Inputs!$F$26-Inputs!$D$26)*(Inputs!$F$26-Inputs!$E$26)))</f>
        <v>0.480994473046955</v>
      </c>
      <c r="P293" s="81" t="n">
        <f aca="true">RAND()</f>
        <v>0.872777328153861</v>
      </c>
      <c r="Q293" s="82" t="n">
        <f aca="false">IF(P293&lt;(Inputs!$E$27-Inputs!$D$27)/(Inputs!$F$27-Inputs!$D$27),Inputs!$D$27+SQRT(P293*(Inputs!$F$27-Inputs!$D$27)*(Inputs!$E$27-Inputs!$D$27)),Inputs!$F$27-SQRT((1-P293)*(Inputs!$F$27-Inputs!$D$27)*(Inputs!$F$27-Inputs!$E$27)))</f>
        <v>119.110357094229</v>
      </c>
      <c r="R293" s="81" t="n">
        <f aca="true">RAND()</f>
        <v>0.0530148641920511</v>
      </c>
      <c r="S293" s="82" t="n">
        <f aca="false">IF(R293&lt;(Inputs!$E$29-Inputs!$D$29)/(Inputs!$F$29-Inputs!$D$29),Inputs!$D$29+SQRT(R293*(Inputs!$F$29-Inputs!$D$29)*(Inputs!$E$29-Inputs!$D$29)),Inputs!$F$29-SQRT((1-R293)*(Inputs!$F$29-Inputs!$D$29)*(Inputs!$F$29-Inputs!$E$29)))</f>
        <v>3.4379080998068</v>
      </c>
      <c r="T293" s="68" t="n">
        <f aca="false">Inputs!$E$9*(1+E293)+Inputs!$E$5*C293*(Inputs!$E$11*Inputs!$E$14*(G293*I293/Inputs!$E$16+(1-G293))*K293+Inputs!$E$23*M293)*(1+O293)+Inputs!$E$5*(Q293+S293)</f>
        <v>5998.32855057823</v>
      </c>
    </row>
    <row r="294" customFormat="false" ht="15" hidden="false" customHeight="false" outlineLevel="0" collapsed="false">
      <c r="A294" s="1" t="n">
        <v>290</v>
      </c>
      <c r="B294" s="81" t="n">
        <f aca="true">RAND()</f>
        <v>0.692243963863831</v>
      </c>
      <c r="C294" s="82" t="n">
        <f aca="false">ROUND(IF(B294&lt;(Inputs!$E$8-Inputs!$D$8)/(Inputs!$F$8-Inputs!$D$8),Inputs!$D$8+SQRT(B294*(Inputs!$F$8-Inputs!$D$8)*(Inputs!$E$8-Inputs!$D$8)),Inputs!$F$8-SQRT((1-B294)*(Inputs!$F$8-Inputs!$D$8)*(Inputs!$F$8-Inputs!$E$8))),0)</f>
        <v>26</v>
      </c>
      <c r="D294" s="81" t="n">
        <f aca="true">RAND()</f>
        <v>0.5969685691365</v>
      </c>
      <c r="E294" s="83" t="n">
        <f aca="false">IF(D294&lt;(Inputs!$E$10-Inputs!$D$10)/(Inputs!$F$10-Inputs!$D$10),Inputs!$D$10+SQRT(D294*(Inputs!$F$10-Inputs!$D$10)*(Inputs!$E$10-Inputs!$D$10)),Inputs!$F$10-SQRT((1-D294)*(Inputs!$F$10-Inputs!$D$10)*(Inputs!$F$10-Inputs!$E$10)))</f>
        <v>0.0900411762253479</v>
      </c>
      <c r="F294" s="81" t="n">
        <f aca="true">RAND()</f>
        <v>0.569531193219705</v>
      </c>
      <c r="G294" s="83" t="n">
        <f aca="false">IF(F294&lt;(Inputs!$E$15-Inputs!$D$15)/(Inputs!$F$15-Inputs!$D$15),Inputs!$D$15+SQRT(F294*(Inputs!$F$15-Inputs!$D$15)*(Inputs!$E$15-Inputs!$D$15)),Inputs!$F$15-SQRT((1-F294)*(Inputs!$F$15-Inputs!$D$15)*(Inputs!$F$15-Inputs!$E$15)))</f>
        <v>0.70721327608108</v>
      </c>
      <c r="H294" s="81" t="n">
        <f aca="true">RAND()</f>
        <v>0.302084171474071</v>
      </c>
      <c r="I294" s="82" t="n">
        <f aca="false">ROUND(IF(H294&lt;(Inputs!$E$17-Inputs!$D$17)/(Inputs!$F$17-Inputs!$D$17),Inputs!$D$17+SQRT(H294*(Inputs!$F$17-Inputs!$D$17)*(Inputs!$E$17-Inputs!$D$17)),Inputs!$F$17-SQRT((1-H294)*(Inputs!$F$17-Inputs!$D$17)*(Inputs!$F$17-Inputs!$E$17))),0)</f>
        <v>105</v>
      </c>
      <c r="J294" s="81" t="n">
        <f aca="true">RAND()</f>
        <v>0.360584682037513</v>
      </c>
      <c r="K294" s="83" t="n">
        <f aca="false">IF(J294&lt;(Inputs!$E$18-Inputs!$D$18)/(Inputs!$F$18-Inputs!$D$18),Inputs!$D$18+SQRT(J294*(Inputs!$F$18-Inputs!$D$18)*(Inputs!$E$18-Inputs!$D$18)),Inputs!$F$18-SQRT((1-J294)*(Inputs!$F$18-Inputs!$D$18)*(Inputs!$F$18-Inputs!$E$18)))</f>
        <v>1.01346492792459</v>
      </c>
      <c r="L294" s="81" t="n">
        <f aca="true">RAND()</f>
        <v>0.278076464278834</v>
      </c>
      <c r="M294" s="83" t="n">
        <f aca="false">IF(L294&lt;(Inputs!$E$24-Inputs!$D$24)/(Inputs!$F$24-Inputs!$D$24),Inputs!$D$24+SQRT(L294*(Inputs!$F$24-Inputs!$D$24)*(Inputs!$E$24-Inputs!$D$24)),Inputs!$F$24-SQRT((1-L294)*(Inputs!$F$24-Inputs!$D$24)*(Inputs!$F$24-Inputs!$E$24)))</f>
        <v>0.782672317863052</v>
      </c>
      <c r="N294" s="81" t="n">
        <f aca="true">RAND()</f>
        <v>0.537048846221975</v>
      </c>
      <c r="O294" s="83" t="n">
        <f aca="false">IF(N294&lt;(Inputs!$E$26-Inputs!$D$26)/(Inputs!$F$26-Inputs!$D$26),Inputs!$D$26+SQRT(N294*(Inputs!$F$26-Inputs!$D$26)*(Inputs!$E$26-Inputs!$D$26)),Inputs!$F$26-SQRT((1-N294)*(Inputs!$F$26-Inputs!$D$26)*(Inputs!$F$26-Inputs!$E$26)))</f>
        <v>0.598939672862831</v>
      </c>
      <c r="P294" s="81" t="n">
        <f aca="true">RAND()</f>
        <v>0.903060708174107</v>
      </c>
      <c r="Q294" s="82" t="n">
        <f aca="false">IF(P294&lt;(Inputs!$E$27-Inputs!$D$27)/(Inputs!$F$27-Inputs!$D$27),Inputs!$D$27+SQRT(P294*(Inputs!$F$27-Inputs!$D$27)*(Inputs!$E$27-Inputs!$D$27)),Inputs!$F$27-SQRT((1-P294)*(Inputs!$F$27-Inputs!$D$27)*(Inputs!$F$27-Inputs!$E$27)))</f>
        <v>123.036233781347</v>
      </c>
      <c r="R294" s="81" t="n">
        <f aca="true">RAND()</f>
        <v>0.448176505964253</v>
      </c>
      <c r="S294" s="82" t="n">
        <f aca="false">IF(R294&lt;(Inputs!$E$29-Inputs!$D$29)/(Inputs!$F$29-Inputs!$D$29),Inputs!$D$29+SQRT(R294*(Inputs!$F$29-Inputs!$D$29)*(Inputs!$E$29-Inputs!$D$29)),Inputs!$F$29-SQRT((1-R294)*(Inputs!$F$29-Inputs!$D$29)*(Inputs!$F$29-Inputs!$E$29)))</f>
        <v>6.53022702638099</v>
      </c>
      <c r="T294" s="68" t="n">
        <f aca="false">Inputs!$E$9*(1+E294)+Inputs!$E$5*C294*(Inputs!$E$11*Inputs!$E$14*(G294*I294/Inputs!$E$16+(1-G294))*K294+Inputs!$E$23*M294)*(1+O294)+Inputs!$E$5*(Q294+S294)</f>
        <v>6458.33902879338</v>
      </c>
    </row>
    <row r="295" customFormat="false" ht="15" hidden="false" customHeight="false" outlineLevel="0" collapsed="false">
      <c r="A295" s="1" t="n">
        <v>291</v>
      </c>
      <c r="B295" s="81" t="n">
        <f aca="true">RAND()</f>
        <v>0.159227824804231</v>
      </c>
      <c r="C295" s="82" t="n">
        <f aca="false">ROUND(IF(B295&lt;(Inputs!$E$8-Inputs!$D$8)/(Inputs!$F$8-Inputs!$D$8),Inputs!$D$8+SQRT(B295*(Inputs!$F$8-Inputs!$D$8)*(Inputs!$E$8-Inputs!$D$8)),Inputs!$F$8-SQRT((1-B295)*(Inputs!$F$8-Inputs!$D$8)*(Inputs!$F$8-Inputs!$E$8))),0)</f>
        <v>23</v>
      </c>
      <c r="D295" s="81" t="n">
        <f aca="true">RAND()</f>
        <v>0.901373704230709</v>
      </c>
      <c r="E295" s="83" t="n">
        <f aca="false">IF(D295&lt;(Inputs!$E$10-Inputs!$D$10)/(Inputs!$F$10-Inputs!$D$10),Inputs!$D$10+SQRT(D295*(Inputs!$F$10-Inputs!$D$10)*(Inputs!$E$10-Inputs!$D$10)),Inputs!$F$10-SQRT((1-D295)*(Inputs!$F$10-Inputs!$D$10)*(Inputs!$F$10-Inputs!$E$10)))</f>
        <v>0.145605249581612</v>
      </c>
      <c r="F295" s="81" t="n">
        <f aca="true">RAND()</f>
        <v>0.635290332845537</v>
      </c>
      <c r="G295" s="83" t="n">
        <f aca="false">IF(F295&lt;(Inputs!$E$15-Inputs!$D$15)/(Inputs!$F$15-Inputs!$D$15),Inputs!$D$15+SQRT(F295*(Inputs!$F$15-Inputs!$D$15)*(Inputs!$E$15-Inputs!$D$15)),Inputs!$F$15-SQRT((1-F295)*(Inputs!$F$15-Inputs!$D$15)*(Inputs!$F$15-Inputs!$E$15)))</f>
        <v>0.714593950196199</v>
      </c>
      <c r="H295" s="81" t="n">
        <f aca="true">RAND()</f>
        <v>0.230006841376172</v>
      </c>
      <c r="I295" s="82" t="n">
        <f aca="false">ROUND(IF(H295&lt;(Inputs!$E$17-Inputs!$D$17)/(Inputs!$F$17-Inputs!$D$17),Inputs!$D$17+SQRT(H295*(Inputs!$F$17-Inputs!$D$17)*(Inputs!$E$17-Inputs!$D$17)),Inputs!$F$17-SQRT((1-H295)*(Inputs!$F$17-Inputs!$D$17)*(Inputs!$F$17-Inputs!$E$17))),0)</f>
        <v>104</v>
      </c>
      <c r="J295" s="81" t="n">
        <f aca="true">RAND()</f>
        <v>0.376331124004345</v>
      </c>
      <c r="K295" s="83" t="n">
        <f aca="false">IF(J295&lt;(Inputs!$E$18-Inputs!$D$18)/(Inputs!$F$18-Inputs!$D$18),Inputs!$D$18+SQRT(J295*(Inputs!$F$18-Inputs!$D$18)*(Inputs!$E$18-Inputs!$D$18)),Inputs!$F$18-SQRT((1-J295)*(Inputs!$F$18-Inputs!$D$18)*(Inputs!$F$18-Inputs!$E$18)))</f>
        <v>1.01639557656239</v>
      </c>
      <c r="L295" s="81" t="n">
        <f aca="true">RAND()</f>
        <v>0.0520535417083593</v>
      </c>
      <c r="M295" s="83" t="n">
        <f aca="false">IF(L295&lt;(Inputs!$E$24-Inputs!$D$24)/(Inputs!$F$24-Inputs!$D$24),Inputs!$D$24+SQRT(L295*(Inputs!$F$24-Inputs!$D$24)*(Inputs!$E$24-Inputs!$D$24)),Inputs!$F$24-SQRT((1-L295)*(Inputs!$F$24-Inputs!$D$24)*(Inputs!$F$24-Inputs!$E$24)))</f>
        <v>0.679034328016395</v>
      </c>
      <c r="N295" s="81" t="n">
        <f aca="true">RAND()</f>
        <v>0.764473902282627</v>
      </c>
      <c r="O295" s="83" t="n">
        <f aca="false">IF(N295&lt;(Inputs!$E$26-Inputs!$D$26)/(Inputs!$F$26-Inputs!$D$26),Inputs!$D$26+SQRT(N295*(Inputs!$F$26-Inputs!$D$26)*(Inputs!$E$26-Inputs!$D$26)),Inputs!$F$26-SQRT((1-N295)*(Inputs!$F$26-Inputs!$D$26)*(Inputs!$F$26-Inputs!$E$26)))</f>
        <v>0.663492127474025</v>
      </c>
      <c r="P295" s="81" t="n">
        <f aca="true">RAND()</f>
        <v>0.404133953576831</v>
      </c>
      <c r="Q295" s="82" t="n">
        <f aca="false">IF(P295&lt;(Inputs!$E$27-Inputs!$D$27)/(Inputs!$F$27-Inputs!$D$27),Inputs!$D$27+SQRT(P295*(Inputs!$F$27-Inputs!$D$27)*(Inputs!$E$27-Inputs!$D$27)),Inputs!$F$27-SQRT((1-P295)*(Inputs!$F$27-Inputs!$D$27)*(Inputs!$F$27-Inputs!$E$27)))</f>
        <v>83.1494551392902</v>
      </c>
      <c r="R295" s="81" t="n">
        <f aca="true">RAND()</f>
        <v>0.23884366809432</v>
      </c>
      <c r="S295" s="82" t="n">
        <f aca="false">IF(R295&lt;(Inputs!$E$29-Inputs!$D$29)/(Inputs!$F$29-Inputs!$D$29),Inputs!$D$29+SQRT(R295*(Inputs!$F$29-Inputs!$D$29)*(Inputs!$E$29-Inputs!$D$29)),Inputs!$F$29-SQRT((1-R295)*(Inputs!$F$29-Inputs!$D$29)*(Inputs!$F$29-Inputs!$E$29)))</f>
        <v>5.05262229792503</v>
      </c>
      <c r="T295" s="68" t="n">
        <f aca="false">Inputs!$E$9*(1+E295)+Inputs!$E$5*C295*(Inputs!$E$11*Inputs!$E$14*(G295*I295/Inputs!$E$16+(1-G295))*K295+Inputs!$E$23*M295)*(1+O295)+Inputs!$E$5*(Q295+S295)</f>
        <v>5945.38956430695</v>
      </c>
    </row>
    <row r="296" customFormat="false" ht="15" hidden="false" customHeight="false" outlineLevel="0" collapsed="false">
      <c r="A296" s="1" t="n">
        <v>292</v>
      </c>
      <c r="B296" s="81" t="n">
        <f aca="true">RAND()</f>
        <v>0.322669924629344</v>
      </c>
      <c r="C296" s="82" t="n">
        <f aca="false">ROUND(IF(B296&lt;(Inputs!$E$8-Inputs!$D$8)/(Inputs!$F$8-Inputs!$D$8),Inputs!$D$8+SQRT(B296*(Inputs!$F$8-Inputs!$D$8)*(Inputs!$E$8-Inputs!$D$8)),Inputs!$F$8-SQRT((1-B296)*(Inputs!$F$8-Inputs!$D$8)*(Inputs!$F$8-Inputs!$E$8))),0)</f>
        <v>24</v>
      </c>
      <c r="D296" s="81" t="n">
        <f aca="true">RAND()</f>
        <v>0.272032487317675</v>
      </c>
      <c r="E296" s="83" t="n">
        <f aca="false">IF(D296&lt;(Inputs!$E$10-Inputs!$D$10)/(Inputs!$F$10-Inputs!$D$10),Inputs!$D$10+SQRT(D296*(Inputs!$F$10-Inputs!$D$10)*(Inputs!$E$10-Inputs!$D$10)),Inputs!$F$10-SQRT((1-D296)*(Inputs!$F$10-Inputs!$D$10)*(Inputs!$F$10-Inputs!$E$10)))</f>
        <v>0.0522196718758896</v>
      </c>
      <c r="F296" s="81" t="n">
        <f aca="true">RAND()</f>
        <v>0.890881456253575</v>
      </c>
      <c r="G296" s="83" t="n">
        <f aca="false">IF(F296&lt;(Inputs!$E$15-Inputs!$D$15)/(Inputs!$F$15-Inputs!$D$15),Inputs!$D$15+SQRT(F296*(Inputs!$F$15-Inputs!$D$15)*(Inputs!$E$15-Inputs!$D$15)),Inputs!$F$15-SQRT((1-F296)*(Inputs!$F$15-Inputs!$D$15)*(Inputs!$F$15-Inputs!$E$15)))</f>
        <v>0.753284147498644</v>
      </c>
      <c r="H296" s="81" t="n">
        <f aca="true">RAND()</f>
        <v>0.442857096404365</v>
      </c>
      <c r="I296" s="82" t="n">
        <f aca="false">ROUND(IF(H296&lt;(Inputs!$E$17-Inputs!$D$17)/(Inputs!$F$17-Inputs!$D$17),Inputs!$D$17+SQRT(H296*(Inputs!$F$17-Inputs!$D$17)*(Inputs!$E$17-Inputs!$D$17)),Inputs!$F$17-SQRT((1-H296)*(Inputs!$F$17-Inputs!$D$17)*(Inputs!$F$17-Inputs!$E$17))),0)</f>
        <v>106</v>
      </c>
      <c r="J296" s="81" t="n">
        <f aca="true">RAND()</f>
        <v>0.857627894347687</v>
      </c>
      <c r="K296" s="83" t="n">
        <f aca="false">IF(J296&lt;(Inputs!$E$18-Inputs!$D$18)/(Inputs!$F$18-Inputs!$D$18),Inputs!$D$18+SQRT(J296*(Inputs!$F$18-Inputs!$D$18)*(Inputs!$E$18-Inputs!$D$18)),Inputs!$F$18-SQRT((1-J296)*(Inputs!$F$18-Inputs!$D$18)*(Inputs!$F$18-Inputs!$E$18)))</f>
        <v>1.13838656333318</v>
      </c>
      <c r="L296" s="81" t="n">
        <f aca="true">RAND()</f>
        <v>0.677365606740129</v>
      </c>
      <c r="M296" s="83" t="n">
        <f aca="false">IF(L296&lt;(Inputs!$E$24-Inputs!$D$24)/(Inputs!$F$24-Inputs!$D$24),Inputs!$D$24+SQRT(L296*(Inputs!$F$24-Inputs!$D$24)*(Inputs!$E$24-Inputs!$D$24)),Inputs!$F$24-SQRT((1-L296)*(Inputs!$F$24-Inputs!$D$24)*(Inputs!$F$24-Inputs!$E$24)))</f>
        <v>0.921733483181377</v>
      </c>
      <c r="N296" s="81" t="n">
        <f aca="true">RAND()</f>
        <v>0.876737851305997</v>
      </c>
      <c r="O296" s="83" t="n">
        <f aca="false">IF(N296&lt;(Inputs!$E$26-Inputs!$D$26)/(Inputs!$F$26-Inputs!$D$26),Inputs!$D$26+SQRT(N296*(Inputs!$F$26-Inputs!$D$26)*(Inputs!$E$26-Inputs!$D$26)),Inputs!$F$26-SQRT((1-N296)*(Inputs!$F$26-Inputs!$D$26)*(Inputs!$F$26-Inputs!$E$26)))</f>
        <v>0.706777813728155</v>
      </c>
      <c r="P296" s="81" t="n">
        <f aca="true">RAND()</f>
        <v>0.80302291013116</v>
      </c>
      <c r="Q296" s="82" t="n">
        <f aca="false">IF(P296&lt;(Inputs!$E$27-Inputs!$D$27)/(Inputs!$F$27-Inputs!$D$27),Inputs!$D$27+SQRT(P296*(Inputs!$F$27-Inputs!$D$27)*(Inputs!$E$27-Inputs!$D$27)),Inputs!$F$27-SQRT((1-P296)*(Inputs!$F$27-Inputs!$D$27)*(Inputs!$F$27-Inputs!$E$27)))</f>
        <v>111.563972967848</v>
      </c>
      <c r="R296" s="81" t="n">
        <f aca="true">RAND()</f>
        <v>0.277722906110362</v>
      </c>
      <c r="S296" s="82" t="n">
        <f aca="false">IF(R296&lt;(Inputs!$E$29-Inputs!$D$29)/(Inputs!$F$29-Inputs!$D$29),Inputs!$D$29+SQRT(R296*(Inputs!$F$29-Inputs!$D$29)*(Inputs!$E$29-Inputs!$D$29)),Inputs!$F$29-SQRT((1-R296)*(Inputs!$F$29-Inputs!$D$29)*(Inputs!$F$29-Inputs!$E$29)))</f>
        <v>5.31000401415703</v>
      </c>
      <c r="T296" s="68" t="n">
        <f aca="false">Inputs!$E$9*(1+E296)+Inputs!$E$5*C296*(Inputs!$E$11*Inputs!$E$14*(G296*I296/Inputs!$E$16+(1-G296))*K296+Inputs!$E$23*M296)*(1+O296)+Inputs!$E$5*(Q296+S296)</f>
        <v>6681.34006176124</v>
      </c>
    </row>
    <row r="297" customFormat="false" ht="15" hidden="false" customHeight="false" outlineLevel="0" collapsed="false">
      <c r="A297" s="1" t="n">
        <v>293</v>
      </c>
      <c r="B297" s="81" t="n">
        <f aca="true">RAND()</f>
        <v>0.906885136409892</v>
      </c>
      <c r="C297" s="82" t="n">
        <f aca="false">ROUND(IF(B297&lt;(Inputs!$E$8-Inputs!$D$8)/(Inputs!$F$8-Inputs!$D$8),Inputs!$D$8+SQRT(B297*(Inputs!$F$8-Inputs!$D$8)*(Inputs!$E$8-Inputs!$D$8)),Inputs!$F$8-SQRT((1-B297)*(Inputs!$F$8-Inputs!$D$8)*(Inputs!$F$8-Inputs!$E$8))),0)</f>
        <v>28</v>
      </c>
      <c r="D297" s="81" t="n">
        <f aca="true">RAND()</f>
        <v>0.820279529652794</v>
      </c>
      <c r="E297" s="83" t="n">
        <f aca="false">IF(D297&lt;(Inputs!$E$10-Inputs!$D$10)/(Inputs!$F$10-Inputs!$D$10),Inputs!$D$10+SQRT(D297*(Inputs!$F$10-Inputs!$D$10)*(Inputs!$E$10-Inputs!$D$10)),Inputs!$F$10-SQRT((1-D297)*(Inputs!$F$10-Inputs!$D$10)*(Inputs!$F$10-Inputs!$E$10)))</f>
        <v>0.126572388637406</v>
      </c>
      <c r="F297" s="81" t="n">
        <f aca="true">RAND()</f>
        <v>0.544472261288852</v>
      </c>
      <c r="G297" s="83" t="n">
        <f aca="false">IF(F297&lt;(Inputs!$E$15-Inputs!$D$15)/(Inputs!$F$15-Inputs!$D$15),Inputs!$D$15+SQRT(F297*(Inputs!$F$15-Inputs!$D$15)*(Inputs!$E$15-Inputs!$D$15)),Inputs!$F$15-SQRT((1-F297)*(Inputs!$F$15-Inputs!$D$15)*(Inputs!$F$15-Inputs!$E$15)))</f>
        <v>0.704550773841676</v>
      </c>
      <c r="H297" s="81" t="n">
        <f aca="true">RAND()</f>
        <v>0.0559063575198741</v>
      </c>
      <c r="I297" s="82" t="n">
        <f aca="false">ROUND(IF(H297&lt;(Inputs!$E$17-Inputs!$D$17)/(Inputs!$F$17-Inputs!$D$17),Inputs!$D$17+SQRT(H297*(Inputs!$F$17-Inputs!$D$17)*(Inputs!$E$17-Inputs!$D$17)),Inputs!$F$17-SQRT((1-H297)*(Inputs!$F$17-Inputs!$D$17)*(Inputs!$F$17-Inputs!$E$17))),0)</f>
        <v>102</v>
      </c>
      <c r="J297" s="81" t="n">
        <f aca="true">RAND()</f>
        <v>0.86962960094229</v>
      </c>
      <c r="K297" s="83" t="n">
        <f aca="false">IF(J297&lt;(Inputs!$E$18-Inputs!$D$18)/(Inputs!$F$18-Inputs!$D$18),Inputs!$D$18+SQRT(J297*(Inputs!$F$18-Inputs!$D$18)*(Inputs!$E$18-Inputs!$D$18)),Inputs!$F$18-SQRT((1-J297)*(Inputs!$F$18-Inputs!$D$18)*(Inputs!$F$18-Inputs!$E$18)))</f>
        <v>1.14319452299835</v>
      </c>
      <c r="L297" s="81" t="n">
        <f aca="true">RAND()</f>
        <v>0.581386397932632</v>
      </c>
      <c r="M297" s="83" t="n">
        <f aca="false">IF(L297&lt;(Inputs!$E$24-Inputs!$D$24)/(Inputs!$F$24-Inputs!$D$24),Inputs!$D$24+SQRT(L297*(Inputs!$F$24-Inputs!$D$24)*(Inputs!$E$24-Inputs!$D$24)),Inputs!$F$24-SQRT((1-L297)*(Inputs!$F$24-Inputs!$D$24)*(Inputs!$F$24-Inputs!$E$24)))</f>
        <v>0.88303428498311</v>
      </c>
      <c r="N297" s="81" t="n">
        <f aca="true">RAND()</f>
        <v>0.0757206245365774</v>
      </c>
      <c r="O297" s="83" t="n">
        <f aca="false">IF(N297&lt;(Inputs!$E$26-Inputs!$D$26)/(Inputs!$F$26-Inputs!$D$26),Inputs!$D$26+SQRT(N297*(Inputs!$F$26-Inputs!$D$26)*(Inputs!$E$26-Inputs!$D$26)),Inputs!$F$26-SQRT((1-N297)*(Inputs!$F$26-Inputs!$D$26)*(Inputs!$F$26-Inputs!$E$26)))</f>
        <v>0.412249329275887</v>
      </c>
      <c r="P297" s="81" t="n">
        <f aca="true">RAND()</f>
        <v>0.69770602046352</v>
      </c>
      <c r="Q297" s="82" t="n">
        <f aca="false">IF(P297&lt;(Inputs!$E$27-Inputs!$D$27)/(Inputs!$F$27-Inputs!$D$27),Inputs!$D$27+SQRT(P297*(Inputs!$F$27-Inputs!$D$27)*(Inputs!$E$27-Inputs!$D$27)),Inputs!$F$27-SQRT((1-P297)*(Inputs!$F$27-Inputs!$D$27)*(Inputs!$F$27-Inputs!$E$27)))</f>
        <v>102.384825459486</v>
      </c>
      <c r="R297" s="81" t="n">
        <f aca="true">RAND()</f>
        <v>0.141725255522357</v>
      </c>
      <c r="S297" s="82" t="n">
        <f aca="false">IF(R297&lt;(Inputs!$E$29-Inputs!$D$29)/(Inputs!$F$29-Inputs!$D$29),Inputs!$D$29+SQRT(R297*(Inputs!$F$29-Inputs!$D$29)*(Inputs!$E$29-Inputs!$D$29)),Inputs!$F$29-SQRT((1-R297)*(Inputs!$F$29-Inputs!$D$29)*(Inputs!$F$29-Inputs!$E$29)))</f>
        <v>4.35101785730605</v>
      </c>
      <c r="T297" s="68" t="n">
        <f aca="false">Inputs!$E$9*(1+E297)+Inputs!$E$5*C297*(Inputs!$E$11*Inputs!$E$14*(G297*I297/Inputs!$E$16+(1-G297))*K297+Inputs!$E$23*M297)*(1+O297)+Inputs!$E$5*(Q297+S297)</f>
        <v>6637.93598689356</v>
      </c>
    </row>
    <row r="298" customFormat="false" ht="15" hidden="false" customHeight="false" outlineLevel="0" collapsed="false">
      <c r="A298" s="1" t="n">
        <v>294</v>
      </c>
      <c r="B298" s="81" t="n">
        <f aca="true">RAND()</f>
        <v>0.218623498793181</v>
      </c>
      <c r="C298" s="82" t="n">
        <f aca="false">ROUND(IF(B298&lt;(Inputs!$E$8-Inputs!$D$8)/(Inputs!$F$8-Inputs!$D$8),Inputs!$D$8+SQRT(B298*(Inputs!$F$8-Inputs!$D$8)*(Inputs!$E$8-Inputs!$D$8)),Inputs!$F$8-SQRT((1-B298)*(Inputs!$F$8-Inputs!$D$8)*(Inputs!$F$8-Inputs!$E$8))),0)</f>
        <v>23</v>
      </c>
      <c r="D298" s="81" t="n">
        <f aca="true">RAND()</f>
        <v>0.788169091612822</v>
      </c>
      <c r="E298" s="83" t="n">
        <f aca="false">IF(D298&lt;(Inputs!$E$10-Inputs!$D$10)/(Inputs!$F$10-Inputs!$D$10),Inputs!$D$10+SQRT(D298*(Inputs!$F$10-Inputs!$D$10)*(Inputs!$E$10-Inputs!$D$10)),Inputs!$F$10-SQRT((1-D298)*(Inputs!$F$10-Inputs!$D$10)*(Inputs!$F$10-Inputs!$E$10)))</f>
        <v>0.120282202416177</v>
      </c>
      <c r="F298" s="81" t="n">
        <f aca="true">RAND()</f>
        <v>0.97205739051055</v>
      </c>
      <c r="G298" s="83" t="n">
        <f aca="false">IF(F298&lt;(Inputs!$E$15-Inputs!$D$15)/(Inputs!$F$15-Inputs!$D$15),Inputs!$D$15+SQRT(F298*(Inputs!$F$15-Inputs!$D$15)*(Inputs!$E$15-Inputs!$D$15)),Inputs!$F$15-SQRT((1-F298)*(Inputs!$F$15-Inputs!$D$15)*(Inputs!$F$15-Inputs!$E$15)))</f>
        <v>0.776359945224493</v>
      </c>
      <c r="H298" s="81" t="n">
        <f aca="true">RAND()</f>
        <v>0.0093835211036599</v>
      </c>
      <c r="I298" s="82" t="n">
        <f aca="false">ROUND(IF(H298&lt;(Inputs!$E$17-Inputs!$D$17)/(Inputs!$F$17-Inputs!$D$17),Inputs!$D$17+SQRT(H298*(Inputs!$F$17-Inputs!$D$17)*(Inputs!$E$17-Inputs!$D$17)),Inputs!$F$17-SQRT((1-H298)*(Inputs!$F$17-Inputs!$D$17)*(Inputs!$F$17-Inputs!$E$17))),0)</f>
        <v>101</v>
      </c>
      <c r="J298" s="81" t="n">
        <f aca="true">RAND()</f>
        <v>0.636144153374764</v>
      </c>
      <c r="K298" s="83" t="n">
        <f aca="false">IF(J298&lt;(Inputs!$E$18-Inputs!$D$18)/(Inputs!$F$18-Inputs!$D$18),Inputs!$D$18+SQRT(J298*(Inputs!$F$18-Inputs!$D$18)*(Inputs!$E$18-Inputs!$D$18)),Inputs!$F$18-SQRT((1-J298)*(Inputs!$F$18-Inputs!$D$18)*(Inputs!$F$18-Inputs!$E$18)))</f>
        <v>1.07156965902709</v>
      </c>
      <c r="L298" s="81" t="n">
        <f aca="true">RAND()</f>
        <v>0.724962101587504</v>
      </c>
      <c r="M298" s="83" t="n">
        <f aca="false">IF(L298&lt;(Inputs!$E$24-Inputs!$D$24)/(Inputs!$F$24-Inputs!$D$24),Inputs!$D$24+SQRT(L298*(Inputs!$F$24-Inputs!$D$24)*(Inputs!$E$24-Inputs!$D$24)),Inputs!$F$24-SQRT((1-L298)*(Inputs!$F$24-Inputs!$D$24)*(Inputs!$F$24-Inputs!$E$24)))</f>
        <v>0.943077646712087</v>
      </c>
      <c r="N298" s="81" t="n">
        <f aca="true">RAND()</f>
        <v>0.0429259928677796</v>
      </c>
      <c r="O298" s="83" t="n">
        <f aca="false">IF(N298&lt;(Inputs!$E$26-Inputs!$D$26)/(Inputs!$F$26-Inputs!$D$26),Inputs!$D$26+SQRT(N298*(Inputs!$F$26-Inputs!$D$26)*(Inputs!$E$26-Inputs!$D$26)),Inputs!$F$26-SQRT((1-N298)*(Inputs!$F$26-Inputs!$D$26)*(Inputs!$F$26-Inputs!$E$26)))</f>
        <v>0.384515591539068</v>
      </c>
      <c r="P298" s="81" t="n">
        <f aca="true">RAND()</f>
        <v>0.908306297307873</v>
      </c>
      <c r="Q298" s="82" t="n">
        <f aca="false">IF(P298&lt;(Inputs!$E$27-Inputs!$D$27)/(Inputs!$F$27-Inputs!$D$27),Inputs!$D$27+SQRT(P298*(Inputs!$F$27-Inputs!$D$27)*(Inputs!$E$27-Inputs!$D$27)),Inputs!$F$27-SQRT((1-P298)*(Inputs!$F$27-Inputs!$D$27)*(Inputs!$F$27-Inputs!$E$27)))</f>
        <v>123.775912404986</v>
      </c>
      <c r="R298" s="81" t="n">
        <f aca="true">RAND()</f>
        <v>0.661875278511089</v>
      </c>
      <c r="S298" s="82" t="n">
        <f aca="false">IF(R298&lt;(Inputs!$E$29-Inputs!$D$29)/(Inputs!$F$29-Inputs!$D$29),Inputs!$D$29+SQRT(R298*(Inputs!$F$29-Inputs!$D$29)*(Inputs!$E$29-Inputs!$D$29)),Inputs!$F$29-SQRT((1-R298)*(Inputs!$F$29-Inputs!$D$29)*(Inputs!$F$29-Inputs!$E$29)))</f>
        <v>8.37005175031069</v>
      </c>
      <c r="T298" s="68" t="n">
        <f aca="false">Inputs!$E$9*(1+E298)+Inputs!$E$5*C298*(Inputs!$E$11*Inputs!$E$14*(G298*I298/Inputs!$E$16+(1-G298))*K298+Inputs!$E$23*M298)*(1+O298)+Inputs!$E$5*(Q298+S298)</f>
        <v>5897.54265806602</v>
      </c>
    </row>
    <row r="299" customFormat="false" ht="15" hidden="false" customHeight="false" outlineLevel="0" collapsed="false">
      <c r="A299" s="1" t="n">
        <v>295</v>
      </c>
      <c r="B299" s="81" t="n">
        <f aca="true">RAND()</f>
        <v>0.609222682228261</v>
      </c>
      <c r="C299" s="82" t="n">
        <f aca="false">ROUND(IF(B299&lt;(Inputs!$E$8-Inputs!$D$8)/(Inputs!$F$8-Inputs!$D$8),Inputs!$D$8+SQRT(B299*(Inputs!$F$8-Inputs!$D$8)*(Inputs!$E$8-Inputs!$D$8)),Inputs!$F$8-SQRT((1-B299)*(Inputs!$F$8-Inputs!$D$8)*(Inputs!$F$8-Inputs!$E$8))),0)</f>
        <v>26</v>
      </c>
      <c r="D299" s="81" t="n">
        <f aca="true">RAND()</f>
        <v>0.626492952882312</v>
      </c>
      <c r="E299" s="83" t="n">
        <f aca="false">IF(D299&lt;(Inputs!$E$10-Inputs!$D$10)/(Inputs!$F$10-Inputs!$D$10),Inputs!$D$10+SQRT(D299*(Inputs!$F$10-Inputs!$D$10)*(Inputs!$E$10-Inputs!$D$10)),Inputs!$F$10-SQRT((1-D299)*(Inputs!$F$10-Inputs!$D$10)*(Inputs!$F$10-Inputs!$E$10)))</f>
        <v>0.0941453288062797</v>
      </c>
      <c r="F299" s="81" t="n">
        <f aca="true">RAND()</f>
        <v>0.966150357079177</v>
      </c>
      <c r="G299" s="83" t="n">
        <f aca="false">IF(F299&lt;(Inputs!$E$15-Inputs!$D$15)/(Inputs!$F$15-Inputs!$D$15),Inputs!$D$15+SQRT(F299*(Inputs!$F$15-Inputs!$D$15)*(Inputs!$E$15-Inputs!$D$15)),Inputs!$F$15-SQRT((1-F299)*(Inputs!$F$15-Inputs!$D$15)*(Inputs!$F$15-Inputs!$E$15)))</f>
        <v>0.773980913574523</v>
      </c>
      <c r="H299" s="81" t="n">
        <f aca="true">RAND()</f>
        <v>0.455723643247243</v>
      </c>
      <c r="I299" s="82" t="n">
        <f aca="false">ROUND(IF(H299&lt;(Inputs!$E$17-Inputs!$D$17)/(Inputs!$F$17-Inputs!$D$17),Inputs!$D$17+SQRT(H299*(Inputs!$F$17-Inputs!$D$17)*(Inputs!$E$17-Inputs!$D$17)),Inputs!$F$17-SQRT((1-H299)*(Inputs!$F$17-Inputs!$D$17)*(Inputs!$F$17-Inputs!$E$17))),0)</f>
        <v>106</v>
      </c>
      <c r="J299" s="81" t="n">
        <f aca="true">RAND()</f>
        <v>0.0518889651614135</v>
      </c>
      <c r="K299" s="83" t="n">
        <f aca="false">IF(J299&lt;(Inputs!$E$18-Inputs!$D$18)/(Inputs!$F$18-Inputs!$D$18),Inputs!$D$18+SQRT(J299*(Inputs!$F$18-Inputs!$D$18)*(Inputs!$E$18-Inputs!$D$18)),Inputs!$F$18-SQRT((1-J299)*(Inputs!$F$18-Inputs!$D$18)*(Inputs!$F$18-Inputs!$E$18)))</f>
        <v>0.942615886482032</v>
      </c>
      <c r="L299" s="81" t="n">
        <f aca="true">RAND()</f>
        <v>0.844621724202014</v>
      </c>
      <c r="M299" s="83" t="n">
        <f aca="false">IF(L299&lt;(Inputs!$E$24-Inputs!$D$24)/(Inputs!$F$24-Inputs!$D$24),Inputs!$D$24+SQRT(L299*(Inputs!$F$24-Inputs!$D$24)*(Inputs!$E$24-Inputs!$D$24)),Inputs!$F$24-SQRT((1-L299)*(Inputs!$F$24-Inputs!$D$24)*(Inputs!$F$24-Inputs!$E$24)))</f>
        <v>1.00689177596095</v>
      </c>
      <c r="N299" s="81" t="n">
        <f aca="true">RAND()</f>
        <v>0.0533449973907398</v>
      </c>
      <c r="O299" s="83" t="n">
        <f aca="false">IF(N299&lt;(Inputs!$E$26-Inputs!$D$26)/(Inputs!$F$26-Inputs!$D$26),Inputs!$D$26+SQRT(N299*(Inputs!$F$26-Inputs!$D$26)*(Inputs!$E$26-Inputs!$D$26)),Inputs!$F$26-SQRT((1-N299)*(Inputs!$F$26-Inputs!$D$26)*(Inputs!$F$26-Inputs!$E$26)))</f>
        <v>0.394215750094234</v>
      </c>
      <c r="P299" s="81" t="n">
        <f aca="true">RAND()</f>
        <v>0.358244310213069</v>
      </c>
      <c r="Q299" s="82" t="n">
        <f aca="false">IF(P299&lt;(Inputs!$E$27-Inputs!$D$27)/(Inputs!$F$27-Inputs!$D$27),Inputs!$D$27+SQRT(P299*(Inputs!$F$27-Inputs!$D$27)*(Inputs!$E$27-Inputs!$D$27)),Inputs!$F$27-SQRT((1-P299)*(Inputs!$F$27-Inputs!$D$27)*(Inputs!$F$27-Inputs!$E$27)))</f>
        <v>80.6230032834947</v>
      </c>
      <c r="R299" s="81" t="n">
        <f aca="true">RAND()</f>
        <v>0.622116846685575</v>
      </c>
      <c r="S299" s="82" t="n">
        <f aca="false">IF(R299&lt;(Inputs!$E$29-Inputs!$D$29)/(Inputs!$F$29-Inputs!$D$29),Inputs!$D$29+SQRT(R299*(Inputs!$F$29-Inputs!$D$29)*(Inputs!$E$29-Inputs!$D$29)),Inputs!$F$29-SQRT((1-R299)*(Inputs!$F$29-Inputs!$D$29)*(Inputs!$F$29-Inputs!$E$29)))</f>
        <v>7.99109067465735</v>
      </c>
      <c r="T299" s="68" t="n">
        <f aca="false">Inputs!$E$9*(1+E299)+Inputs!$E$5*C299*(Inputs!$E$11*Inputs!$E$14*(G299*I299/Inputs!$E$16+(1-G299))*K299+Inputs!$E$23*M299)*(1+O299)+Inputs!$E$5*(Q299+S299)</f>
        <v>5913.19311843248</v>
      </c>
    </row>
    <row r="300" customFormat="false" ht="15" hidden="false" customHeight="false" outlineLevel="0" collapsed="false">
      <c r="A300" s="1" t="n">
        <v>296</v>
      </c>
      <c r="B300" s="81" t="n">
        <f aca="true">RAND()</f>
        <v>0.263542991575576</v>
      </c>
      <c r="C300" s="82" t="n">
        <f aca="false">ROUND(IF(B300&lt;(Inputs!$E$8-Inputs!$D$8)/(Inputs!$F$8-Inputs!$D$8),Inputs!$D$8+SQRT(B300*(Inputs!$F$8-Inputs!$D$8)*(Inputs!$E$8-Inputs!$D$8)),Inputs!$F$8-SQRT((1-B300)*(Inputs!$F$8-Inputs!$D$8)*(Inputs!$F$8-Inputs!$E$8))),0)</f>
        <v>24</v>
      </c>
      <c r="D300" s="81" t="n">
        <f aca="true">RAND()</f>
        <v>0.778458095812284</v>
      </c>
      <c r="E300" s="83" t="n">
        <f aca="false">IF(D300&lt;(Inputs!$E$10-Inputs!$D$10)/(Inputs!$F$10-Inputs!$D$10),Inputs!$D$10+SQRT(D300*(Inputs!$F$10-Inputs!$D$10)*(Inputs!$E$10-Inputs!$D$10)),Inputs!$F$10-SQRT((1-D300)*(Inputs!$F$10-Inputs!$D$10)*(Inputs!$F$10-Inputs!$E$10)))</f>
        <v>0.118475420113738</v>
      </c>
      <c r="F300" s="81" t="n">
        <f aca="true">RAND()</f>
        <v>0.645498124892351</v>
      </c>
      <c r="G300" s="83" t="n">
        <f aca="false">IF(F300&lt;(Inputs!$E$15-Inputs!$D$15)/(Inputs!$F$15-Inputs!$D$15),Inputs!$D$15+SQRT(F300*(Inputs!$F$15-Inputs!$D$15)*(Inputs!$E$15-Inputs!$D$15)),Inputs!$F$15-SQRT((1-F300)*(Inputs!$F$15-Inputs!$D$15)*(Inputs!$F$15-Inputs!$E$15)))</f>
        <v>0.715797639568994</v>
      </c>
      <c r="H300" s="81" t="n">
        <f aca="true">RAND()</f>
        <v>0.233093767946308</v>
      </c>
      <c r="I300" s="82" t="n">
        <f aca="false">ROUND(IF(H300&lt;(Inputs!$E$17-Inputs!$D$17)/(Inputs!$F$17-Inputs!$D$17),Inputs!$D$17+SQRT(H300*(Inputs!$F$17-Inputs!$D$17)*(Inputs!$E$17-Inputs!$D$17)),Inputs!$F$17-SQRT((1-H300)*(Inputs!$F$17-Inputs!$D$17)*(Inputs!$F$17-Inputs!$E$17))),0)</f>
        <v>104</v>
      </c>
      <c r="J300" s="81" t="n">
        <f aca="true">RAND()</f>
        <v>0.371970036945973</v>
      </c>
      <c r="K300" s="83" t="n">
        <f aca="false">IF(J300&lt;(Inputs!$E$18-Inputs!$D$18)/(Inputs!$F$18-Inputs!$D$18),Inputs!$D$18+SQRT(J300*(Inputs!$F$18-Inputs!$D$18)*(Inputs!$E$18-Inputs!$D$18)),Inputs!$F$18-SQRT((1-J300)*(Inputs!$F$18-Inputs!$D$18)*(Inputs!$F$18-Inputs!$E$18)))</f>
        <v>1.0155802445031</v>
      </c>
      <c r="L300" s="81" t="n">
        <f aca="true">RAND()</f>
        <v>0.750767503151147</v>
      </c>
      <c r="M300" s="83" t="n">
        <f aca="false">IF(L300&lt;(Inputs!$E$24-Inputs!$D$24)/(Inputs!$F$24-Inputs!$D$24),Inputs!$D$24+SQRT(L300*(Inputs!$F$24-Inputs!$D$24)*(Inputs!$E$24-Inputs!$D$24)),Inputs!$F$24-SQRT((1-L300)*(Inputs!$F$24-Inputs!$D$24)*(Inputs!$F$24-Inputs!$E$24)))</f>
        <v>0.955427312964581</v>
      </c>
      <c r="N300" s="81" t="n">
        <f aca="true">RAND()</f>
        <v>0.854188591511644</v>
      </c>
      <c r="O300" s="83" t="n">
        <f aca="false">IF(N300&lt;(Inputs!$E$26-Inputs!$D$26)/(Inputs!$F$26-Inputs!$D$26),Inputs!$D$26+SQRT(N300*(Inputs!$F$26-Inputs!$D$26)*(Inputs!$E$26-Inputs!$D$26)),Inputs!$F$26-SQRT((1-N300)*(Inputs!$F$26-Inputs!$D$26)*(Inputs!$F$26-Inputs!$E$26)))</f>
        <v>0.696856236524991</v>
      </c>
      <c r="P300" s="81" t="n">
        <f aca="true">RAND()</f>
        <v>0.246043567522924</v>
      </c>
      <c r="Q300" s="82" t="n">
        <f aca="false">IF(P300&lt;(Inputs!$E$27-Inputs!$D$27)/(Inputs!$F$27-Inputs!$D$27),Inputs!$D$27+SQRT(P300*(Inputs!$F$27-Inputs!$D$27)*(Inputs!$E$27-Inputs!$D$27)),Inputs!$F$27-SQRT((1-P300)*(Inputs!$F$27-Inputs!$D$27)*(Inputs!$F$27-Inputs!$E$27)))</f>
        <v>74.8013894531599</v>
      </c>
      <c r="R300" s="81" t="n">
        <f aca="true">RAND()</f>
        <v>0.71556592559468</v>
      </c>
      <c r="S300" s="82" t="n">
        <f aca="false">IF(R300&lt;(Inputs!$E$29-Inputs!$D$29)/(Inputs!$F$29-Inputs!$D$29),Inputs!$D$29+SQRT(R300*(Inputs!$F$29-Inputs!$D$29)*(Inputs!$E$29-Inputs!$D$29)),Inputs!$F$29-SQRT((1-R300)*(Inputs!$F$29-Inputs!$D$29)*(Inputs!$F$29-Inputs!$E$29)))</f>
        <v>8.91917524732939</v>
      </c>
      <c r="T300" s="68" t="n">
        <f aca="false">Inputs!$E$9*(1+E300)+Inputs!$E$5*C300*(Inputs!$E$11*Inputs!$E$14*(G300*I300/Inputs!$E$16+(1-G300))*K300+Inputs!$E$23*M300)*(1+O300)+Inputs!$E$5*(Q300+S300)</f>
        <v>6453.34683550287</v>
      </c>
    </row>
    <row r="301" customFormat="false" ht="15" hidden="false" customHeight="false" outlineLevel="0" collapsed="false">
      <c r="A301" s="1" t="n">
        <v>297</v>
      </c>
      <c r="B301" s="81" t="n">
        <f aca="true">RAND()</f>
        <v>0.387981305457626</v>
      </c>
      <c r="C301" s="82" t="n">
        <f aca="false">ROUND(IF(B301&lt;(Inputs!$E$8-Inputs!$D$8)/(Inputs!$F$8-Inputs!$D$8),Inputs!$D$8+SQRT(B301*(Inputs!$F$8-Inputs!$D$8)*(Inputs!$E$8-Inputs!$D$8)),Inputs!$F$8-SQRT((1-B301)*(Inputs!$F$8-Inputs!$D$8)*(Inputs!$F$8-Inputs!$E$8))),0)</f>
        <v>24</v>
      </c>
      <c r="D301" s="81" t="n">
        <f aca="true">RAND()</f>
        <v>0.560291461865519</v>
      </c>
      <c r="E301" s="83" t="n">
        <f aca="false">IF(D301&lt;(Inputs!$E$10-Inputs!$D$10)/(Inputs!$F$10-Inputs!$D$10),Inputs!$D$10+SQRT(D301*(Inputs!$F$10-Inputs!$D$10)*(Inputs!$E$10-Inputs!$D$10)),Inputs!$F$10-SQRT((1-D301)*(Inputs!$F$10-Inputs!$D$10)*(Inputs!$F$10-Inputs!$E$10)))</f>
        <v>0.085146806121752</v>
      </c>
      <c r="F301" s="81" t="n">
        <f aca="true">RAND()</f>
        <v>0.0434055649796564</v>
      </c>
      <c r="G301" s="83" t="n">
        <f aca="false">IF(F301&lt;(Inputs!$E$15-Inputs!$D$15)/(Inputs!$F$15-Inputs!$D$15),Inputs!$D$15+SQRT(F301*(Inputs!$F$15-Inputs!$D$15)*(Inputs!$E$15-Inputs!$D$15)),Inputs!$F$15-SQRT((1-F301)*(Inputs!$F$15-Inputs!$D$15)*(Inputs!$F$15-Inputs!$E$15)))</f>
        <v>0.62946372854194</v>
      </c>
      <c r="H301" s="81" t="n">
        <f aca="true">RAND()</f>
        <v>0.799783417726762</v>
      </c>
      <c r="I301" s="82" t="n">
        <f aca="false">ROUND(IF(H301&lt;(Inputs!$E$17-Inputs!$D$17)/(Inputs!$F$17-Inputs!$D$17),Inputs!$D$17+SQRT(H301*(Inputs!$F$17-Inputs!$D$17)*(Inputs!$E$17-Inputs!$D$17)),Inputs!$F$17-SQRT((1-H301)*(Inputs!$F$17-Inputs!$D$17)*(Inputs!$F$17-Inputs!$E$17))),0)</f>
        <v>110</v>
      </c>
      <c r="J301" s="81" t="n">
        <f aca="true">RAND()</f>
        <v>0.150846079931593</v>
      </c>
      <c r="K301" s="83" t="n">
        <f aca="false">IF(J301&lt;(Inputs!$E$18-Inputs!$D$18)/(Inputs!$F$18-Inputs!$D$18),Inputs!$D$18+SQRT(J301*(Inputs!$F$18-Inputs!$D$18)*(Inputs!$E$18-Inputs!$D$18)),Inputs!$F$18-SQRT((1-J301)*(Inputs!$F$18-Inputs!$D$18)*(Inputs!$F$18-Inputs!$E$18)))</f>
        <v>0.972660944100705</v>
      </c>
      <c r="L301" s="81" t="n">
        <f aca="true">RAND()</f>
        <v>0.53047203302423</v>
      </c>
      <c r="M301" s="83" t="n">
        <f aca="false">IF(L301&lt;(Inputs!$E$24-Inputs!$D$24)/(Inputs!$F$24-Inputs!$D$24),Inputs!$D$24+SQRT(L301*(Inputs!$F$24-Inputs!$D$24)*(Inputs!$E$24-Inputs!$D$24)),Inputs!$F$24-SQRT((1-L301)*(Inputs!$F$24-Inputs!$D$24)*(Inputs!$F$24-Inputs!$E$24)))</f>
        <v>0.864311584837688</v>
      </c>
      <c r="N301" s="81" t="n">
        <f aca="true">RAND()</f>
        <v>0.886973354289416</v>
      </c>
      <c r="O301" s="83" t="n">
        <f aca="false">IF(N301&lt;(Inputs!$E$26-Inputs!$D$26)/(Inputs!$F$26-Inputs!$D$26),Inputs!$D$26+SQRT(N301*(Inputs!$F$26-Inputs!$D$26)*(Inputs!$E$26-Inputs!$D$26)),Inputs!$F$26-SQRT((1-N301)*(Inputs!$F$26-Inputs!$D$26)*(Inputs!$F$26-Inputs!$E$26)))</f>
        <v>0.711580577598381</v>
      </c>
      <c r="P301" s="81" t="n">
        <f aca="true">RAND()</f>
        <v>0.98279205450263</v>
      </c>
      <c r="Q301" s="82" t="n">
        <f aca="false">IF(P301&lt;(Inputs!$E$27-Inputs!$D$27)/(Inputs!$F$27-Inputs!$D$27),Inputs!$D$27+SQRT(P301*(Inputs!$F$27-Inputs!$D$27)*(Inputs!$E$27-Inputs!$D$27)),Inputs!$F$27-SQRT((1-P301)*(Inputs!$F$27-Inputs!$D$27)*(Inputs!$F$27-Inputs!$E$27)))</f>
        <v>138.639560253658</v>
      </c>
      <c r="R301" s="81" t="n">
        <f aca="true">RAND()</f>
        <v>0.992248067364882</v>
      </c>
      <c r="S301" s="82" t="n">
        <f aca="false">IF(R301&lt;(Inputs!$E$29-Inputs!$D$29)/(Inputs!$F$29-Inputs!$D$29),Inputs!$D$29+SQRT(R301*(Inputs!$F$29-Inputs!$D$29)*(Inputs!$E$29-Inputs!$D$29)),Inputs!$F$29-SQRT((1-R301)*(Inputs!$F$29-Inputs!$D$29)*(Inputs!$F$29-Inputs!$E$29)))</f>
        <v>13.996131859971</v>
      </c>
      <c r="T301" s="68" t="n">
        <f aca="false">Inputs!$E$9*(1+E301)+Inputs!$E$5*C301*(Inputs!$E$11*Inputs!$E$14*(G301*I301/Inputs!$E$16+(1-G301))*K301+Inputs!$E$23*M301)*(1+O301)+Inputs!$E$5*(Q301+S301)</f>
        <v>6708.08206923736</v>
      </c>
    </row>
    <row r="302" customFormat="false" ht="15" hidden="false" customHeight="false" outlineLevel="0" collapsed="false">
      <c r="A302" s="1" t="n">
        <v>298</v>
      </c>
      <c r="B302" s="81" t="n">
        <f aca="true">RAND()</f>
        <v>0.880639902027214</v>
      </c>
      <c r="C302" s="82" t="n">
        <f aca="false">ROUND(IF(B302&lt;(Inputs!$E$8-Inputs!$D$8)/(Inputs!$F$8-Inputs!$D$8),Inputs!$D$8+SQRT(B302*(Inputs!$F$8-Inputs!$D$8)*(Inputs!$E$8-Inputs!$D$8)),Inputs!$F$8-SQRT((1-B302)*(Inputs!$F$8-Inputs!$D$8)*(Inputs!$F$8-Inputs!$E$8))),0)</f>
        <v>28</v>
      </c>
      <c r="D302" s="81" t="n">
        <f aca="true">RAND()</f>
        <v>0.0517200250451134</v>
      </c>
      <c r="E302" s="83" t="n">
        <f aca="false">IF(D302&lt;(Inputs!$E$10-Inputs!$D$10)/(Inputs!$F$10-Inputs!$D$10),Inputs!$D$10+SQRT(D302*(Inputs!$F$10-Inputs!$D$10)*(Inputs!$E$10-Inputs!$D$10)),Inputs!$F$10-SQRT((1-D302)*(Inputs!$F$10-Inputs!$D$10)*(Inputs!$F$10-Inputs!$E$10)))</f>
        <v>0.0227420370778682</v>
      </c>
      <c r="F302" s="81" t="n">
        <f aca="true">RAND()</f>
        <v>0.270875623853739</v>
      </c>
      <c r="G302" s="83" t="n">
        <f aca="false">IF(F302&lt;(Inputs!$E$15-Inputs!$D$15)/(Inputs!$F$15-Inputs!$D$15),Inputs!$D$15+SQRT(F302*(Inputs!$F$15-Inputs!$D$15)*(Inputs!$E$15-Inputs!$D$15)),Inputs!$F$15-SQRT((1-F302)*(Inputs!$F$15-Inputs!$D$15)*(Inputs!$F$15-Inputs!$E$15)))</f>
        <v>0.673603753145304</v>
      </c>
      <c r="H302" s="81" t="n">
        <f aca="true">RAND()</f>
        <v>0.807073997348288</v>
      </c>
      <c r="I302" s="82" t="n">
        <f aca="false">ROUND(IF(H302&lt;(Inputs!$E$17-Inputs!$D$17)/(Inputs!$F$17-Inputs!$D$17),Inputs!$D$17+SQRT(H302*(Inputs!$F$17-Inputs!$D$17)*(Inputs!$E$17-Inputs!$D$17)),Inputs!$F$17-SQRT((1-H302)*(Inputs!$F$17-Inputs!$D$17)*(Inputs!$F$17-Inputs!$E$17))),0)</f>
        <v>110</v>
      </c>
      <c r="J302" s="81" t="n">
        <f aca="true">RAND()</f>
        <v>0.469417618272893</v>
      </c>
      <c r="K302" s="83" t="n">
        <f aca="false">IF(J302&lt;(Inputs!$E$18-Inputs!$D$18)/(Inputs!$F$18-Inputs!$D$18),Inputs!$D$18+SQRT(J302*(Inputs!$F$18-Inputs!$D$18)*(Inputs!$E$18-Inputs!$D$18)),Inputs!$F$18-SQRT((1-J302)*(Inputs!$F$18-Inputs!$D$18)*(Inputs!$F$18-Inputs!$E$18)))</f>
        <v>1.03453316171364</v>
      </c>
      <c r="L302" s="81" t="n">
        <f aca="true">RAND()</f>
        <v>0.239036838103275</v>
      </c>
      <c r="M302" s="83" t="n">
        <f aca="false">IF(L302&lt;(Inputs!$E$24-Inputs!$D$24)/(Inputs!$F$24-Inputs!$D$24),Inputs!$D$24+SQRT(L302*(Inputs!$F$24-Inputs!$D$24)*(Inputs!$E$24-Inputs!$D$24)),Inputs!$F$24-SQRT((1-L302)*(Inputs!$F$24-Inputs!$D$24)*(Inputs!$F$24-Inputs!$E$24)))</f>
        <v>0.769364755992482</v>
      </c>
      <c r="N302" s="81" t="n">
        <f aca="true">RAND()</f>
        <v>0.813870466420203</v>
      </c>
      <c r="O302" s="83" t="n">
        <f aca="false">IF(N302&lt;(Inputs!$E$26-Inputs!$D$26)/(Inputs!$F$26-Inputs!$D$26),Inputs!$D$26+SQRT(N302*(Inputs!$F$26-Inputs!$D$26)*(Inputs!$E$26-Inputs!$D$26)),Inputs!$F$26-SQRT((1-N302)*(Inputs!$F$26-Inputs!$D$26)*(Inputs!$F$26-Inputs!$E$26)))</f>
        <v>0.680868869434986</v>
      </c>
      <c r="P302" s="81" t="n">
        <f aca="true">RAND()</f>
        <v>0.589081340875937</v>
      </c>
      <c r="Q302" s="82" t="n">
        <f aca="false">IF(P302&lt;(Inputs!$E$27-Inputs!$D$27)/(Inputs!$F$27-Inputs!$D$27),Inputs!$D$27+SQRT(P302*(Inputs!$F$27-Inputs!$D$27)*(Inputs!$E$27-Inputs!$D$27)),Inputs!$F$27-SQRT((1-P302)*(Inputs!$F$27-Inputs!$D$27)*(Inputs!$F$27-Inputs!$E$27)))</f>
        <v>94.485227700814</v>
      </c>
      <c r="R302" s="81" t="n">
        <f aca="true">RAND()</f>
        <v>0.0153561474468542</v>
      </c>
      <c r="S302" s="82" t="n">
        <f aca="false">IF(R302&lt;(Inputs!$E$29-Inputs!$D$29)/(Inputs!$F$29-Inputs!$D$29),Inputs!$D$29+SQRT(R302*(Inputs!$F$29-Inputs!$D$29)*(Inputs!$E$29-Inputs!$D$29)),Inputs!$F$29-SQRT((1-R302)*(Inputs!$F$29-Inputs!$D$29)*(Inputs!$F$29-Inputs!$E$29)))</f>
        <v>2.7738796743857</v>
      </c>
      <c r="T302" s="68" t="n">
        <f aca="false">Inputs!$E$9*(1+E302)+Inputs!$E$5*C302*(Inputs!$E$11*Inputs!$E$14*(G302*I302/Inputs!$E$16+(1-G302))*K302+Inputs!$E$23*M302)*(1+O302)+Inputs!$E$5*(Q302+S302)</f>
        <v>6752.98221570661</v>
      </c>
    </row>
    <row r="303" customFormat="false" ht="15" hidden="false" customHeight="false" outlineLevel="0" collapsed="false">
      <c r="A303" s="1" t="n">
        <v>299</v>
      </c>
      <c r="B303" s="81" t="n">
        <f aca="true">RAND()</f>
        <v>0.578622940286362</v>
      </c>
      <c r="C303" s="82" t="n">
        <f aca="false">ROUND(IF(B303&lt;(Inputs!$E$8-Inputs!$D$8)/(Inputs!$F$8-Inputs!$D$8),Inputs!$D$8+SQRT(B303*(Inputs!$F$8-Inputs!$D$8)*(Inputs!$E$8-Inputs!$D$8)),Inputs!$F$8-SQRT((1-B303)*(Inputs!$F$8-Inputs!$D$8)*(Inputs!$F$8-Inputs!$E$8))),0)</f>
        <v>25</v>
      </c>
      <c r="D303" s="81" t="n">
        <f aca="true">RAND()</f>
        <v>0.7381459997898</v>
      </c>
      <c r="E303" s="83" t="n">
        <f aca="false">IF(D303&lt;(Inputs!$E$10-Inputs!$D$10)/(Inputs!$F$10-Inputs!$D$10),Inputs!$D$10+SQRT(D303*(Inputs!$F$10-Inputs!$D$10)*(Inputs!$E$10-Inputs!$D$10)),Inputs!$F$10-SQRT((1-D303)*(Inputs!$F$10-Inputs!$D$10)*(Inputs!$F$10-Inputs!$E$10)))</f>
        <v>0.111368064410699</v>
      </c>
      <c r="F303" s="81" t="n">
        <f aca="true">RAND()</f>
        <v>0.232382988493589</v>
      </c>
      <c r="G303" s="83" t="n">
        <f aca="false">IF(F303&lt;(Inputs!$E$15-Inputs!$D$15)/(Inputs!$F$15-Inputs!$D$15),Inputs!$D$15+SQRT(F303*(Inputs!$F$15-Inputs!$D$15)*(Inputs!$E$15-Inputs!$D$15)),Inputs!$F$15-SQRT((1-F303)*(Inputs!$F$15-Inputs!$D$15)*(Inputs!$F$15-Inputs!$E$15)))</f>
        <v>0.668173746925571</v>
      </c>
      <c r="H303" s="81" t="n">
        <f aca="true">RAND()</f>
        <v>0.173677517181269</v>
      </c>
      <c r="I303" s="82" t="n">
        <f aca="false">ROUND(IF(H303&lt;(Inputs!$E$17-Inputs!$D$17)/(Inputs!$F$17-Inputs!$D$17),Inputs!$D$17+SQRT(H303*(Inputs!$F$17-Inputs!$D$17)*(Inputs!$E$17-Inputs!$D$17)),Inputs!$F$17-SQRT((1-H303)*(Inputs!$F$17-Inputs!$D$17)*(Inputs!$F$17-Inputs!$E$17))),0)</f>
        <v>104</v>
      </c>
      <c r="J303" s="81" t="n">
        <f aca="true">RAND()</f>
        <v>0.612323405254538</v>
      </c>
      <c r="K303" s="83" t="n">
        <f aca="false">IF(J303&lt;(Inputs!$E$18-Inputs!$D$18)/(Inputs!$F$18-Inputs!$D$18),Inputs!$D$18+SQRT(J303*(Inputs!$F$18-Inputs!$D$18)*(Inputs!$E$18-Inputs!$D$18)),Inputs!$F$18-SQRT((1-J303)*(Inputs!$F$18-Inputs!$D$18)*(Inputs!$F$18-Inputs!$E$18)))</f>
        <v>1.06582154838248</v>
      </c>
      <c r="L303" s="81" t="n">
        <f aca="true">RAND()</f>
        <v>0.95989259746246</v>
      </c>
      <c r="M303" s="83" t="n">
        <f aca="false">IF(L303&lt;(Inputs!$E$24-Inputs!$D$24)/(Inputs!$F$24-Inputs!$D$24),Inputs!$D$24+SQRT(L303*(Inputs!$F$24-Inputs!$D$24)*(Inputs!$E$24-Inputs!$D$24)),Inputs!$F$24-SQRT((1-L303)*(Inputs!$F$24-Inputs!$D$24)*(Inputs!$F$24-Inputs!$E$24)))</f>
        <v>1.10188895776209</v>
      </c>
      <c r="N303" s="81" t="n">
        <f aca="true">RAND()</f>
        <v>0.969111739173984</v>
      </c>
      <c r="O303" s="83" t="n">
        <f aca="false">IF(N303&lt;(Inputs!$E$26-Inputs!$D$26)/(Inputs!$F$26-Inputs!$D$26),Inputs!$D$26+SQRT(N303*(Inputs!$F$26-Inputs!$D$26)*(Inputs!$E$26-Inputs!$D$26)),Inputs!$F$26-SQRT((1-N303)*(Inputs!$F$26-Inputs!$D$26)*(Inputs!$F$26-Inputs!$E$26)))</f>
        <v>0.763322146071806</v>
      </c>
      <c r="P303" s="81" t="n">
        <f aca="true">RAND()</f>
        <v>0.690162794029695</v>
      </c>
      <c r="Q303" s="82" t="n">
        <f aca="false">IF(P303&lt;(Inputs!$E$27-Inputs!$D$27)/(Inputs!$F$27-Inputs!$D$27),Inputs!$D$27+SQRT(P303*(Inputs!$F$27-Inputs!$D$27)*(Inputs!$E$27-Inputs!$D$27)),Inputs!$F$27-SQRT((1-P303)*(Inputs!$F$27-Inputs!$D$27)*(Inputs!$F$27-Inputs!$E$27)))</f>
        <v>101.794408573514</v>
      </c>
      <c r="R303" s="81" t="n">
        <f aca="true">RAND()</f>
        <v>0.756604195881214</v>
      </c>
      <c r="S303" s="82" t="n">
        <f aca="false">IF(R303&lt;(Inputs!$E$29-Inputs!$D$29)/(Inputs!$F$29-Inputs!$D$29),Inputs!$D$29+SQRT(R303*(Inputs!$F$29-Inputs!$D$29)*(Inputs!$E$29-Inputs!$D$29)),Inputs!$F$29-SQRT((1-R303)*(Inputs!$F$29-Inputs!$D$29)*(Inputs!$F$29-Inputs!$E$29)))</f>
        <v>9.37492626399954</v>
      </c>
      <c r="T303" s="68" t="n">
        <f aca="false">Inputs!$E$9*(1+E303)+Inputs!$E$5*C303*(Inputs!$E$11*Inputs!$E$14*(G303*I303/Inputs!$E$16+(1-G303))*K303+Inputs!$E$23*M303)*(1+O303)+Inputs!$E$5*(Q303+S303)</f>
        <v>7292.44878656785</v>
      </c>
    </row>
    <row r="304" customFormat="false" ht="15" hidden="false" customHeight="false" outlineLevel="0" collapsed="false">
      <c r="A304" s="1" t="n">
        <v>300</v>
      </c>
      <c r="B304" s="81" t="n">
        <f aca="true">RAND()</f>
        <v>0.45219113530872</v>
      </c>
      <c r="C304" s="82" t="n">
        <f aca="false">ROUND(IF(B304&lt;(Inputs!$E$8-Inputs!$D$8)/(Inputs!$F$8-Inputs!$D$8),Inputs!$D$8+SQRT(B304*(Inputs!$F$8-Inputs!$D$8)*(Inputs!$E$8-Inputs!$D$8)),Inputs!$F$8-SQRT((1-B304)*(Inputs!$F$8-Inputs!$D$8)*(Inputs!$F$8-Inputs!$E$8))),0)</f>
        <v>25</v>
      </c>
      <c r="D304" s="81" t="n">
        <f aca="true">RAND()</f>
        <v>0.0616708395795822</v>
      </c>
      <c r="E304" s="83" t="n">
        <f aca="false">IF(D304&lt;(Inputs!$E$10-Inputs!$D$10)/(Inputs!$F$10-Inputs!$D$10),Inputs!$D$10+SQRT(D304*(Inputs!$F$10-Inputs!$D$10)*(Inputs!$E$10-Inputs!$D$10)),Inputs!$F$10-SQRT((1-D304)*(Inputs!$F$10-Inputs!$D$10)*(Inputs!$F$10-Inputs!$E$10)))</f>
        <v>0.0248336142314368</v>
      </c>
      <c r="F304" s="81" t="n">
        <f aca="true">RAND()</f>
        <v>0.799791668035907</v>
      </c>
      <c r="G304" s="83" t="n">
        <f aca="false">IF(F304&lt;(Inputs!$E$15-Inputs!$D$15)/(Inputs!$F$15-Inputs!$D$15),Inputs!$D$15+SQRT(F304*(Inputs!$F$15-Inputs!$D$15)*(Inputs!$E$15-Inputs!$D$15)),Inputs!$F$15-SQRT((1-F304)*(Inputs!$F$15-Inputs!$D$15)*(Inputs!$F$15-Inputs!$E$15)))</f>
        <v>0.736721515194485</v>
      </c>
      <c r="H304" s="81" t="n">
        <f aca="true">RAND()</f>
        <v>0.437179953361192</v>
      </c>
      <c r="I304" s="82" t="n">
        <f aca="false">ROUND(IF(H304&lt;(Inputs!$E$17-Inputs!$D$17)/(Inputs!$F$17-Inputs!$D$17),Inputs!$D$17+SQRT(H304*(Inputs!$F$17-Inputs!$D$17)*(Inputs!$E$17-Inputs!$D$17)),Inputs!$F$17-SQRT((1-H304)*(Inputs!$F$17-Inputs!$D$17)*(Inputs!$F$17-Inputs!$E$17))),0)</f>
        <v>106</v>
      </c>
      <c r="J304" s="81" t="n">
        <f aca="true">RAND()</f>
        <v>0.406171140056658</v>
      </c>
      <c r="K304" s="83" t="n">
        <f aca="false">IF(J304&lt;(Inputs!$E$18-Inputs!$D$18)/(Inputs!$F$18-Inputs!$D$18),Inputs!$D$18+SQRT(J304*(Inputs!$F$18-Inputs!$D$18)*(Inputs!$E$18-Inputs!$D$18)),Inputs!$F$18-SQRT((1-J304)*(Inputs!$F$18-Inputs!$D$18)*(Inputs!$F$18-Inputs!$E$18)))</f>
        <v>1.02205258228038</v>
      </c>
      <c r="L304" s="81" t="n">
        <f aca="true">RAND()</f>
        <v>0.797696274791039</v>
      </c>
      <c r="M304" s="83" t="n">
        <f aca="false">IF(L304&lt;(Inputs!$E$24-Inputs!$D$24)/(Inputs!$F$24-Inputs!$D$24),Inputs!$D$24+SQRT(L304*(Inputs!$F$24-Inputs!$D$24)*(Inputs!$E$24-Inputs!$D$24)),Inputs!$F$24-SQRT((1-L304)*(Inputs!$F$24-Inputs!$D$24)*(Inputs!$F$24-Inputs!$E$24)))</f>
        <v>0.979652787514453</v>
      </c>
      <c r="N304" s="81" t="n">
        <f aca="true">RAND()</f>
        <v>0.294418585794892</v>
      </c>
      <c r="O304" s="83" t="n">
        <f aca="false">IF(N304&lt;(Inputs!$E$26-Inputs!$D$26)/(Inputs!$F$26-Inputs!$D$26),Inputs!$D$26+SQRT(N304*(Inputs!$F$26-Inputs!$D$26)*(Inputs!$E$26-Inputs!$D$26)),Inputs!$F$26-SQRT((1-N304)*(Inputs!$F$26-Inputs!$D$26)*(Inputs!$F$26-Inputs!$E$26)))</f>
        <v>0.521339677139617</v>
      </c>
      <c r="P304" s="81" t="n">
        <f aca="true">RAND()</f>
        <v>0.579583698330207</v>
      </c>
      <c r="Q304" s="82" t="n">
        <f aca="false">IF(P304&lt;(Inputs!$E$27-Inputs!$D$27)/(Inputs!$F$27-Inputs!$D$27),Inputs!$D$27+SQRT(P304*(Inputs!$F$27-Inputs!$D$27)*(Inputs!$E$27-Inputs!$D$27)),Inputs!$F$27-SQRT((1-P304)*(Inputs!$F$27-Inputs!$D$27)*(Inputs!$F$27-Inputs!$E$27)))</f>
        <v>93.8473307622563</v>
      </c>
      <c r="R304" s="81" t="n">
        <f aca="true">RAND()</f>
        <v>0.957766158454629</v>
      </c>
      <c r="S304" s="82" t="n">
        <f aca="false">IF(R304&lt;(Inputs!$E$29-Inputs!$D$29)/(Inputs!$F$29-Inputs!$D$29),Inputs!$D$29+SQRT(R304*(Inputs!$F$29-Inputs!$D$29)*(Inputs!$E$29-Inputs!$D$29)),Inputs!$F$29-SQRT((1-R304)*(Inputs!$F$29-Inputs!$D$29)*(Inputs!$F$29-Inputs!$E$29)))</f>
        <v>12.6568398687033</v>
      </c>
      <c r="T304" s="68" t="n">
        <f aca="false">Inputs!$E$9*(1+E304)+Inputs!$E$5*C304*(Inputs!$E$11*Inputs!$E$14*(G304*I304/Inputs!$E$16+(1-G304))*K304+Inputs!$E$23*M304)*(1+O304)+Inputs!$E$5*(Q304+S304)</f>
        <v>6167.36071422038</v>
      </c>
    </row>
    <row r="305" customFormat="false" ht="15" hidden="false" customHeight="false" outlineLevel="0" collapsed="false">
      <c r="A305" s="1" t="n">
        <v>301</v>
      </c>
      <c r="B305" s="81" t="n">
        <f aca="true">RAND()</f>
        <v>0.82090074638518</v>
      </c>
      <c r="C305" s="82" t="n">
        <f aca="false">ROUND(IF(B305&lt;(Inputs!$E$8-Inputs!$D$8)/(Inputs!$F$8-Inputs!$D$8),Inputs!$D$8+SQRT(B305*(Inputs!$F$8-Inputs!$D$8)*(Inputs!$E$8-Inputs!$D$8)),Inputs!$F$8-SQRT((1-B305)*(Inputs!$F$8-Inputs!$D$8)*(Inputs!$F$8-Inputs!$E$8))),0)</f>
        <v>27</v>
      </c>
      <c r="D305" s="81" t="n">
        <f aca="true">RAND()</f>
        <v>0.147120775005148</v>
      </c>
      <c r="E305" s="83" t="n">
        <f aca="false">IF(D305&lt;(Inputs!$E$10-Inputs!$D$10)/(Inputs!$F$10-Inputs!$D$10),Inputs!$D$10+SQRT(D305*(Inputs!$F$10-Inputs!$D$10)*(Inputs!$E$10-Inputs!$D$10)),Inputs!$F$10-SQRT((1-D305)*(Inputs!$F$10-Inputs!$D$10)*(Inputs!$F$10-Inputs!$E$10)))</f>
        <v>0.0383563260760396</v>
      </c>
      <c r="F305" s="81" t="n">
        <f aca="true">RAND()</f>
        <v>0.400219663491467</v>
      </c>
      <c r="G305" s="83" t="n">
        <f aca="false">IF(F305&lt;(Inputs!$E$15-Inputs!$D$15)/(Inputs!$F$15-Inputs!$D$15),Inputs!$D$15+SQRT(F305*(Inputs!$F$15-Inputs!$D$15)*(Inputs!$E$15-Inputs!$D$15)),Inputs!$F$15-SQRT((1-F305)*(Inputs!$F$15-Inputs!$D$15)*(Inputs!$F$15-Inputs!$E$15)))</f>
        <v>0.689467274854157</v>
      </c>
      <c r="H305" s="81" t="n">
        <f aca="true">RAND()</f>
        <v>0.740615440749007</v>
      </c>
      <c r="I305" s="82" t="n">
        <f aca="false">ROUND(IF(H305&lt;(Inputs!$E$17-Inputs!$D$17)/(Inputs!$F$17-Inputs!$D$17),Inputs!$D$17+SQRT(H305*(Inputs!$F$17-Inputs!$D$17)*(Inputs!$E$17-Inputs!$D$17)),Inputs!$F$17-SQRT((1-H305)*(Inputs!$F$17-Inputs!$D$17)*(Inputs!$F$17-Inputs!$E$17))),0)</f>
        <v>109</v>
      </c>
      <c r="J305" s="81" t="n">
        <f aca="true">RAND()</f>
        <v>0.0508935242526936</v>
      </c>
      <c r="K305" s="83" t="n">
        <f aca="false">IF(J305&lt;(Inputs!$E$18-Inputs!$D$18)/(Inputs!$F$18-Inputs!$D$18),Inputs!$D$18+SQRT(J305*(Inputs!$F$18-Inputs!$D$18)*(Inputs!$E$18-Inputs!$D$18)),Inputs!$F$18-SQRT((1-J305)*(Inputs!$F$18-Inputs!$D$18)*(Inputs!$F$18-Inputs!$E$18)))</f>
        <v>0.942205134152663</v>
      </c>
      <c r="L305" s="81" t="n">
        <f aca="true">RAND()</f>
        <v>0.613871745677455</v>
      </c>
      <c r="M305" s="83" t="n">
        <f aca="false">IF(L305&lt;(Inputs!$E$24-Inputs!$D$24)/(Inputs!$F$24-Inputs!$D$24),Inputs!$D$24+SQRT(L305*(Inputs!$F$24-Inputs!$D$24)*(Inputs!$E$24-Inputs!$D$24)),Inputs!$F$24-SQRT((1-L305)*(Inputs!$F$24-Inputs!$D$24)*(Inputs!$F$24-Inputs!$E$24)))</f>
        <v>0.89558124066114</v>
      </c>
      <c r="N305" s="81" t="n">
        <f aca="true">RAND()</f>
        <v>0.262802574358753</v>
      </c>
      <c r="O305" s="83" t="n">
        <f aca="false">IF(N305&lt;(Inputs!$E$26-Inputs!$D$26)/(Inputs!$F$26-Inputs!$D$26),Inputs!$D$26+SQRT(N305*(Inputs!$F$26-Inputs!$D$26)*(Inputs!$E$26-Inputs!$D$26)),Inputs!$F$26-SQRT((1-N305)*(Inputs!$F$26-Inputs!$D$26)*(Inputs!$F$26-Inputs!$E$26)))</f>
        <v>0.509118024984209</v>
      </c>
      <c r="P305" s="81" t="n">
        <f aca="true">RAND()</f>
        <v>0.354633445264438</v>
      </c>
      <c r="Q305" s="82" t="n">
        <f aca="false">IF(P305&lt;(Inputs!$E$27-Inputs!$D$27)/(Inputs!$F$27-Inputs!$D$27),Inputs!$D$27+SQRT(P305*(Inputs!$F$27-Inputs!$D$27)*(Inputs!$E$27-Inputs!$D$27)),Inputs!$F$27-SQRT((1-P305)*(Inputs!$F$27-Inputs!$D$27)*(Inputs!$F$27-Inputs!$E$27)))</f>
        <v>80.4281007840327</v>
      </c>
      <c r="R305" s="81" t="n">
        <f aca="true">RAND()</f>
        <v>0.80678196682135</v>
      </c>
      <c r="S305" s="82" t="n">
        <f aca="false">IF(R305&lt;(Inputs!$E$29-Inputs!$D$29)/(Inputs!$F$29-Inputs!$D$29),Inputs!$D$29+SQRT(R305*(Inputs!$F$29-Inputs!$D$29)*(Inputs!$E$29-Inputs!$D$29)),Inputs!$F$29-SQRT((1-R305)*(Inputs!$F$29-Inputs!$D$29)*(Inputs!$F$29-Inputs!$E$29)))</f>
        <v>9.98817954100264</v>
      </c>
      <c r="T305" s="68" t="n">
        <f aca="false">Inputs!$E$9*(1+E305)+Inputs!$E$5*C305*(Inputs!$E$11*Inputs!$E$14*(G305*I305/Inputs!$E$16+(1-G305))*K305+Inputs!$E$23*M305)*(1+O305)+Inputs!$E$5*(Q305+S305)</f>
        <v>6156.61748711527</v>
      </c>
    </row>
    <row r="306" customFormat="false" ht="15" hidden="false" customHeight="false" outlineLevel="0" collapsed="false">
      <c r="A306" s="1" t="n">
        <v>302</v>
      </c>
      <c r="B306" s="81" t="n">
        <f aca="true">RAND()</f>
        <v>0.884106603783913</v>
      </c>
      <c r="C306" s="82" t="n">
        <f aca="false">ROUND(IF(B306&lt;(Inputs!$E$8-Inputs!$D$8)/(Inputs!$F$8-Inputs!$D$8),Inputs!$D$8+SQRT(B306*(Inputs!$F$8-Inputs!$D$8)*(Inputs!$E$8-Inputs!$D$8)),Inputs!$F$8-SQRT((1-B306)*(Inputs!$F$8-Inputs!$D$8)*(Inputs!$F$8-Inputs!$E$8))),0)</f>
        <v>28</v>
      </c>
      <c r="D306" s="81" t="n">
        <f aca="true">RAND()</f>
        <v>0.208852312890545</v>
      </c>
      <c r="E306" s="83" t="n">
        <f aca="false">IF(D306&lt;(Inputs!$E$10-Inputs!$D$10)/(Inputs!$F$10-Inputs!$D$10),Inputs!$D$10+SQRT(D306*(Inputs!$F$10-Inputs!$D$10)*(Inputs!$E$10-Inputs!$D$10)),Inputs!$F$10-SQRT((1-D306)*(Inputs!$F$10-Inputs!$D$10)*(Inputs!$F$10-Inputs!$E$10)))</f>
        <v>0.0457003624592349</v>
      </c>
      <c r="F306" s="81" t="n">
        <f aca="true">RAND()</f>
        <v>0.568855912643239</v>
      </c>
      <c r="G306" s="83" t="n">
        <f aca="false">IF(F306&lt;(Inputs!$E$15-Inputs!$D$15)/(Inputs!$F$15-Inputs!$D$15),Inputs!$D$15+SQRT(F306*(Inputs!$F$15-Inputs!$D$15)*(Inputs!$E$15-Inputs!$D$15)),Inputs!$F$15-SQRT((1-F306)*(Inputs!$F$15-Inputs!$D$15)*(Inputs!$F$15-Inputs!$E$15)))</f>
        <v>0.707140526885324</v>
      </c>
      <c r="H306" s="81" t="n">
        <f aca="true">RAND()</f>
        <v>0.448645397205223</v>
      </c>
      <c r="I306" s="82" t="n">
        <f aca="false">ROUND(IF(H306&lt;(Inputs!$E$17-Inputs!$D$17)/(Inputs!$F$17-Inputs!$D$17),Inputs!$D$17+SQRT(H306*(Inputs!$F$17-Inputs!$D$17)*(Inputs!$E$17-Inputs!$D$17)),Inputs!$F$17-SQRT((1-H306)*(Inputs!$F$17-Inputs!$D$17)*(Inputs!$F$17-Inputs!$E$17))),0)</f>
        <v>106</v>
      </c>
      <c r="J306" s="81" t="n">
        <f aca="true">RAND()</f>
        <v>0.545869465521813</v>
      </c>
      <c r="K306" s="83" t="n">
        <f aca="false">IF(J306&lt;(Inputs!$E$18-Inputs!$D$18)/(Inputs!$F$18-Inputs!$D$18),Inputs!$D$18+SQRT(J306*(Inputs!$F$18-Inputs!$D$18)*(Inputs!$E$18-Inputs!$D$18)),Inputs!$F$18-SQRT((1-J306)*(Inputs!$F$18-Inputs!$D$18)*(Inputs!$F$18-Inputs!$E$18)))</f>
        <v>1.0506600346974</v>
      </c>
      <c r="L306" s="81" t="n">
        <f aca="true">RAND()</f>
        <v>0.238734305206688</v>
      </c>
      <c r="M306" s="83" t="n">
        <f aca="false">IF(L306&lt;(Inputs!$E$24-Inputs!$D$24)/(Inputs!$F$24-Inputs!$D$24),Inputs!$D$24+SQRT(L306*(Inputs!$F$24-Inputs!$D$24)*(Inputs!$E$24-Inputs!$D$24)),Inputs!$F$24-SQRT((1-L306)*(Inputs!$F$24-Inputs!$D$24)*(Inputs!$F$24-Inputs!$E$24)))</f>
        <v>0.769257545252206</v>
      </c>
      <c r="N306" s="81" t="n">
        <f aca="true">RAND()</f>
        <v>0.477113629532701</v>
      </c>
      <c r="O306" s="83" t="n">
        <f aca="false">IF(N306&lt;(Inputs!$E$26-Inputs!$D$26)/(Inputs!$F$26-Inputs!$D$26),Inputs!$D$26+SQRT(N306*(Inputs!$F$26-Inputs!$D$26)*(Inputs!$E$26-Inputs!$D$26)),Inputs!$F$26-SQRT((1-N306)*(Inputs!$F$26-Inputs!$D$26)*(Inputs!$F$26-Inputs!$E$26)))</f>
        <v>0.581765342003309</v>
      </c>
      <c r="P306" s="81" t="n">
        <f aca="true">RAND()</f>
        <v>0.30554663019208</v>
      </c>
      <c r="Q306" s="82" t="n">
        <f aca="false">IF(P306&lt;(Inputs!$E$27-Inputs!$D$27)/(Inputs!$F$27-Inputs!$D$27),Inputs!$D$27+SQRT(P306*(Inputs!$F$27-Inputs!$D$27)*(Inputs!$E$27-Inputs!$D$27)),Inputs!$F$27-SQRT((1-P306)*(Inputs!$F$27-Inputs!$D$27)*(Inputs!$F$27-Inputs!$E$27)))</f>
        <v>77.8307525772965</v>
      </c>
      <c r="R306" s="81" t="n">
        <f aca="true">RAND()</f>
        <v>0.392017453735581</v>
      </c>
      <c r="S306" s="82" t="n">
        <f aca="false">IF(R306&lt;(Inputs!$E$29-Inputs!$D$29)/(Inputs!$F$29-Inputs!$D$29),Inputs!$D$29+SQRT(R306*(Inputs!$F$29-Inputs!$D$29)*(Inputs!$E$29-Inputs!$D$29)),Inputs!$F$29-SQRT((1-R306)*(Inputs!$F$29-Inputs!$D$29)*(Inputs!$F$29-Inputs!$E$29)))</f>
        <v>6.10968330067064</v>
      </c>
      <c r="T306" s="68" t="n">
        <f aca="false">Inputs!$E$9*(1+E306)+Inputs!$E$5*C306*(Inputs!$E$11*Inputs!$E$14*(G306*I306/Inputs!$E$16+(1-G306))*K306+Inputs!$E$23*M306)*(1+O306)+Inputs!$E$5*(Q306+S306)</f>
        <v>6436.37708132611</v>
      </c>
    </row>
    <row r="307" customFormat="false" ht="15" hidden="false" customHeight="false" outlineLevel="0" collapsed="false">
      <c r="A307" s="1" t="n">
        <v>303</v>
      </c>
      <c r="B307" s="81" t="n">
        <f aca="true">RAND()</f>
        <v>0.168898837428339</v>
      </c>
      <c r="C307" s="82" t="n">
        <f aca="false">ROUND(IF(B307&lt;(Inputs!$E$8-Inputs!$D$8)/(Inputs!$F$8-Inputs!$D$8),Inputs!$D$8+SQRT(B307*(Inputs!$F$8-Inputs!$D$8)*(Inputs!$E$8-Inputs!$D$8)),Inputs!$F$8-SQRT((1-B307)*(Inputs!$F$8-Inputs!$D$8)*(Inputs!$F$8-Inputs!$E$8))),0)</f>
        <v>23</v>
      </c>
      <c r="D307" s="81" t="n">
        <f aca="true">RAND()</f>
        <v>0.459837253082083</v>
      </c>
      <c r="E307" s="83" t="n">
        <f aca="false">IF(D307&lt;(Inputs!$E$10-Inputs!$D$10)/(Inputs!$F$10-Inputs!$D$10),Inputs!$D$10+SQRT(D307*(Inputs!$F$10-Inputs!$D$10)*(Inputs!$E$10-Inputs!$D$10)),Inputs!$F$10-SQRT((1-D307)*(Inputs!$F$10-Inputs!$D$10)*(Inputs!$F$10-Inputs!$E$10)))</f>
        <v>0.0727016009231165</v>
      </c>
      <c r="F307" s="81" t="n">
        <f aca="true">RAND()</f>
        <v>0.933221099057434</v>
      </c>
      <c r="G307" s="83" t="n">
        <f aca="false">IF(F307&lt;(Inputs!$E$15-Inputs!$D$15)/(Inputs!$F$15-Inputs!$D$15),Inputs!$D$15+SQRT(F307*(Inputs!$F$15-Inputs!$D$15)*(Inputs!$E$15-Inputs!$D$15)),Inputs!$F$15-SQRT((1-F307)*(Inputs!$F$15-Inputs!$D$15)*(Inputs!$F$15-Inputs!$E$15)))</f>
        <v>0.763454439136178</v>
      </c>
      <c r="H307" s="81" t="n">
        <f aca="true">RAND()</f>
        <v>0.707972275934885</v>
      </c>
      <c r="I307" s="82" t="n">
        <f aca="false">ROUND(IF(H307&lt;(Inputs!$E$17-Inputs!$D$17)/(Inputs!$F$17-Inputs!$D$17),Inputs!$D$17+SQRT(H307*(Inputs!$F$17-Inputs!$D$17)*(Inputs!$E$17-Inputs!$D$17)),Inputs!$F$17-SQRT((1-H307)*(Inputs!$F$17-Inputs!$D$17)*(Inputs!$F$17-Inputs!$E$17))),0)</f>
        <v>108</v>
      </c>
      <c r="J307" s="81" t="n">
        <f aca="true">RAND()</f>
        <v>0.133459656054794</v>
      </c>
      <c r="K307" s="83" t="n">
        <f aca="false">IF(J307&lt;(Inputs!$E$18-Inputs!$D$18)/(Inputs!$F$18-Inputs!$D$18),Inputs!$D$18+SQRT(J307*(Inputs!$F$18-Inputs!$D$18)*(Inputs!$E$18-Inputs!$D$18)),Inputs!$F$18-SQRT((1-J307)*(Inputs!$F$18-Inputs!$D$18)*(Inputs!$F$18-Inputs!$E$18)))</f>
        <v>0.968345358012946</v>
      </c>
      <c r="L307" s="81" t="n">
        <f aca="true">RAND()</f>
        <v>0.75201268345084</v>
      </c>
      <c r="M307" s="83" t="n">
        <f aca="false">IF(L307&lt;(Inputs!$E$24-Inputs!$D$24)/(Inputs!$F$24-Inputs!$D$24),Inputs!$D$24+SQRT(L307*(Inputs!$F$24-Inputs!$D$24)*(Inputs!$E$24-Inputs!$D$24)),Inputs!$F$24-SQRT((1-L307)*(Inputs!$F$24-Inputs!$D$24)*(Inputs!$F$24-Inputs!$E$24)))</f>
        <v>0.956039027769197</v>
      </c>
      <c r="N307" s="81" t="n">
        <f aca="true">RAND()</f>
        <v>0.704863764415062</v>
      </c>
      <c r="O307" s="83" t="n">
        <f aca="false">IF(N307&lt;(Inputs!$E$26-Inputs!$D$26)/(Inputs!$F$26-Inputs!$D$26),Inputs!$D$26+SQRT(N307*(Inputs!$F$26-Inputs!$D$26)*(Inputs!$E$26-Inputs!$D$26)),Inputs!$F$26-SQRT((1-N307)*(Inputs!$F$26-Inputs!$D$26)*(Inputs!$F$26-Inputs!$E$26)))</f>
        <v>0.64480248717281</v>
      </c>
      <c r="P307" s="81" t="n">
        <f aca="true">RAND()</f>
        <v>0.100735525329729</v>
      </c>
      <c r="Q307" s="82" t="n">
        <f aca="false">IF(P307&lt;(Inputs!$E$27-Inputs!$D$27)/(Inputs!$F$27-Inputs!$D$27),Inputs!$D$27+SQRT(P307*(Inputs!$F$27-Inputs!$D$27)*(Inputs!$E$27-Inputs!$D$27)),Inputs!$F$27-SQRT((1-P307)*(Inputs!$F$27-Inputs!$D$27)*(Inputs!$F$27-Inputs!$E$27)))</f>
        <v>65.869430151216</v>
      </c>
      <c r="R307" s="81" t="n">
        <f aca="true">RAND()</f>
        <v>0.736045987220255</v>
      </c>
      <c r="S307" s="82" t="n">
        <f aca="false">IF(R307&lt;(Inputs!$E$29-Inputs!$D$29)/(Inputs!$F$29-Inputs!$D$29),Inputs!$D$29+SQRT(R307*(Inputs!$F$29-Inputs!$D$29)*(Inputs!$E$29-Inputs!$D$29)),Inputs!$F$29-SQRT((1-R307)*(Inputs!$F$29-Inputs!$D$29)*(Inputs!$F$29-Inputs!$E$29)))</f>
        <v>9.14218285866084</v>
      </c>
      <c r="T307" s="68" t="n">
        <f aca="false">Inputs!$E$9*(1+E307)+Inputs!$E$5*C307*(Inputs!$E$11*Inputs!$E$14*(G307*I307/Inputs!$E$16+(1-G307))*K307+Inputs!$E$23*M307)*(1+O307)+Inputs!$E$5*(Q307+S307)</f>
        <v>5949.14822554525</v>
      </c>
    </row>
    <row r="308" customFormat="false" ht="15" hidden="false" customHeight="false" outlineLevel="0" collapsed="false">
      <c r="A308" s="1" t="n">
        <v>304</v>
      </c>
      <c r="B308" s="81" t="n">
        <f aca="true">RAND()</f>
        <v>0.66720525941422</v>
      </c>
      <c r="C308" s="82" t="n">
        <f aca="false">ROUND(IF(B308&lt;(Inputs!$E$8-Inputs!$D$8)/(Inputs!$F$8-Inputs!$D$8),Inputs!$D$8+SQRT(B308*(Inputs!$F$8-Inputs!$D$8)*(Inputs!$E$8-Inputs!$D$8)),Inputs!$F$8-SQRT((1-B308)*(Inputs!$F$8-Inputs!$D$8)*(Inputs!$F$8-Inputs!$E$8))),0)</f>
        <v>26</v>
      </c>
      <c r="D308" s="81" t="n">
        <f aca="true">RAND()</f>
        <v>0.823143960760731</v>
      </c>
      <c r="E308" s="83" t="n">
        <f aca="false">IF(D308&lt;(Inputs!$E$10-Inputs!$D$10)/(Inputs!$F$10-Inputs!$D$10),Inputs!$D$10+SQRT(D308*(Inputs!$F$10-Inputs!$D$10)*(Inputs!$E$10-Inputs!$D$10)),Inputs!$F$10-SQRT((1-D308)*(Inputs!$F$10-Inputs!$D$10)*(Inputs!$F$10-Inputs!$E$10)))</f>
        <v>0.127159893072717</v>
      </c>
      <c r="F308" s="81" t="n">
        <f aca="true">RAND()</f>
        <v>0.599775763058527</v>
      </c>
      <c r="G308" s="83" t="n">
        <f aca="false">IF(F308&lt;(Inputs!$E$15-Inputs!$D$15)/(Inputs!$F$15-Inputs!$D$15),Inputs!$D$15+SQRT(F308*(Inputs!$F$15-Inputs!$D$15)*(Inputs!$E$15-Inputs!$D$15)),Inputs!$F$15-SQRT((1-F308)*(Inputs!$F$15-Inputs!$D$15)*(Inputs!$F$15-Inputs!$E$15)))</f>
        <v>0.71053221396039</v>
      </c>
      <c r="H308" s="81" t="n">
        <f aca="true">RAND()</f>
        <v>0.866132059341881</v>
      </c>
      <c r="I308" s="82" t="n">
        <f aca="false">ROUND(IF(H308&lt;(Inputs!$E$17-Inputs!$D$17)/(Inputs!$F$17-Inputs!$D$17),Inputs!$D$17+SQRT(H308*(Inputs!$F$17-Inputs!$D$17)*(Inputs!$E$17-Inputs!$D$17)),Inputs!$F$17-SQRT((1-H308)*(Inputs!$F$17-Inputs!$D$17)*(Inputs!$F$17-Inputs!$E$17))),0)</f>
        <v>111</v>
      </c>
      <c r="J308" s="81" t="n">
        <f aca="true">RAND()</f>
        <v>0.617371683308182</v>
      </c>
      <c r="K308" s="83" t="n">
        <f aca="false">IF(J308&lt;(Inputs!$E$18-Inputs!$D$18)/(Inputs!$F$18-Inputs!$D$18),Inputs!$D$18+SQRT(J308*(Inputs!$F$18-Inputs!$D$18)*(Inputs!$E$18-Inputs!$D$18)),Inputs!$F$18-SQRT((1-J308)*(Inputs!$F$18-Inputs!$D$18)*(Inputs!$F$18-Inputs!$E$18)))</f>
        <v>1.06702465272465</v>
      </c>
      <c r="L308" s="81" t="n">
        <f aca="true">RAND()</f>
        <v>0.887465232875817</v>
      </c>
      <c r="M308" s="83" t="n">
        <f aca="false">IF(L308&lt;(Inputs!$E$24-Inputs!$D$24)/(Inputs!$F$24-Inputs!$D$24),Inputs!$D$24+SQRT(L308*(Inputs!$F$24-Inputs!$D$24)*(Inputs!$E$24-Inputs!$D$24)),Inputs!$F$24-SQRT((1-L308)*(Inputs!$F$24-Inputs!$D$24)*(Inputs!$F$24-Inputs!$E$24)))</f>
        <v>1.03565784439224</v>
      </c>
      <c r="N308" s="81" t="n">
        <f aca="true">RAND()</f>
        <v>0.422943428529443</v>
      </c>
      <c r="O308" s="83" t="n">
        <f aca="false">IF(N308&lt;(Inputs!$E$26-Inputs!$D$26)/(Inputs!$F$26-Inputs!$D$26),Inputs!$D$26+SQRT(N308*(Inputs!$F$26-Inputs!$D$26)*(Inputs!$E$26-Inputs!$D$26)),Inputs!$F$26-SQRT((1-N308)*(Inputs!$F$26-Inputs!$D$26)*(Inputs!$F$26-Inputs!$E$26)))</f>
        <v>0.565288119800528</v>
      </c>
      <c r="P308" s="81" t="n">
        <f aca="true">RAND()</f>
        <v>0.400838214771618</v>
      </c>
      <c r="Q308" s="82" t="n">
        <f aca="false">IF(P308&lt;(Inputs!$E$27-Inputs!$D$27)/(Inputs!$F$27-Inputs!$D$27),Inputs!$D$27+SQRT(P308*(Inputs!$F$27-Inputs!$D$27)*(Inputs!$E$27-Inputs!$D$27)),Inputs!$F$27-SQRT((1-P308)*(Inputs!$F$27-Inputs!$D$27)*(Inputs!$F$27-Inputs!$E$27)))</f>
        <v>82.9648346819905</v>
      </c>
      <c r="R308" s="81" t="n">
        <f aca="true">RAND()</f>
        <v>0.433731686479736</v>
      </c>
      <c r="S308" s="82" t="n">
        <f aca="false">IF(R308&lt;(Inputs!$E$29-Inputs!$D$29)/(Inputs!$F$29-Inputs!$D$29),Inputs!$D$29+SQRT(R308*(Inputs!$F$29-Inputs!$D$29)*(Inputs!$E$29-Inputs!$D$29)),Inputs!$F$29-SQRT((1-R308)*(Inputs!$F$29-Inputs!$D$29)*(Inputs!$F$29-Inputs!$E$29)))</f>
        <v>6.42008853439417</v>
      </c>
      <c r="T308" s="68" t="n">
        <f aca="false">Inputs!$E$9*(1+E308)+Inputs!$E$5*C308*(Inputs!$E$11*Inputs!$E$14*(G308*I308/Inputs!$E$16+(1-G308))*K308+Inputs!$E$23*M308)*(1+O308)+Inputs!$E$5*(Q308+S308)</f>
        <v>6823.13463458654</v>
      </c>
    </row>
    <row r="309" customFormat="false" ht="15" hidden="false" customHeight="false" outlineLevel="0" collapsed="false">
      <c r="A309" s="1" t="n">
        <v>305</v>
      </c>
      <c r="B309" s="81" t="n">
        <f aca="true">RAND()</f>
        <v>0.952788500209097</v>
      </c>
      <c r="C309" s="82" t="n">
        <f aca="false">ROUND(IF(B309&lt;(Inputs!$E$8-Inputs!$D$8)/(Inputs!$F$8-Inputs!$D$8),Inputs!$D$8+SQRT(B309*(Inputs!$F$8-Inputs!$D$8)*(Inputs!$E$8-Inputs!$D$8)),Inputs!$F$8-SQRT((1-B309)*(Inputs!$F$8-Inputs!$D$8)*(Inputs!$F$8-Inputs!$E$8))),0)</f>
        <v>28</v>
      </c>
      <c r="D309" s="81" t="n">
        <f aca="true">RAND()</f>
        <v>0.158618813434277</v>
      </c>
      <c r="E309" s="83" t="n">
        <f aca="false">IF(D309&lt;(Inputs!$E$10-Inputs!$D$10)/(Inputs!$F$10-Inputs!$D$10),Inputs!$D$10+SQRT(D309*(Inputs!$F$10-Inputs!$D$10)*(Inputs!$E$10-Inputs!$D$10)),Inputs!$F$10-SQRT((1-D309)*(Inputs!$F$10-Inputs!$D$10)*(Inputs!$F$10-Inputs!$E$10)))</f>
        <v>0.0398269774693331</v>
      </c>
      <c r="F309" s="81" t="n">
        <f aca="true">RAND()</f>
        <v>0.0439747750587337</v>
      </c>
      <c r="G309" s="83" t="n">
        <f aca="false">IF(F309&lt;(Inputs!$E$15-Inputs!$D$15)/(Inputs!$F$15-Inputs!$D$15),Inputs!$D$15+SQRT(F309*(Inputs!$F$15-Inputs!$D$15)*(Inputs!$E$15-Inputs!$D$15)),Inputs!$F$15-SQRT((1-F309)*(Inputs!$F$15-Inputs!$D$15)*(Inputs!$F$15-Inputs!$E$15)))</f>
        <v>0.62965628940334</v>
      </c>
      <c r="H309" s="81" t="n">
        <f aca="true">RAND()</f>
        <v>0.634930239357847</v>
      </c>
      <c r="I309" s="82" t="n">
        <f aca="false">ROUND(IF(H309&lt;(Inputs!$E$17-Inputs!$D$17)/(Inputs!$F$17-Inputs!$D$17),Inputs!$D$17+SQRT(H309*(Inputs!$F$17-Inputs!$D$17)*(Inputs!$E$17-Inputs!$D$17)),Inputs!$F$17-SQRT((1-H309)*(Inputs!$F$17-Inputs!$D$17)*(Inputs!$F$17-Inputs!$E$17))),0)</f>
        <v>108</v>
      </c>
      <c r="J309" s="81" t="n">
        <f aca="true">RAND()</f>
        <v>0.841481005603216</v>
      </c>
      <c r="K309" s="83" t="n">
        <f aca="false">IF(J309&lt;(Inputs!$E$18-Inputs!$D$18)/(Inputs!$F$18-Inputs!$D$18),Inputs!$D$18+SQRT(J309*(Inputs!$F$18-Inputs!$D$18)*(Inputs!$E$18-Inputs!$D$18)),Inputs!$F$18-SQRT((1-J309)*(Inputs!$F$18-Inputs!$D$18)*(Inputs!$F$18-Inputs!$E$18)))</f>
        <v>1.13222728665044</v>
      </c>
      <c r="L309" s="81" t="n">
        <f aca="true">RAND()</f>
        <v>0.53467284413702</v>
      </c>
      <c r="M309" s="83" t="n">
        <f aca="false">IF(L309&lt;(Inputs!$E$24-Inputs!$D$24)/(Inputs!$F$24-Inputs!$D$24),Inputs!$D$24+SQRT(L309*(Inputs!$F$24-Inputs!$D$24)*(Inputs!$E$24-Inputs!$D$24)),Inputs!$F$24-SQRT((1-L309)*(Inputs!$F$24-Inputs!$D$24)*(Inputs!$F$24-Inputs!$E$24)))</f>
        <v>0.865816641038015</v>
      </c>
      <c r="N309" s="81" t="n">
        <f aca="true">RAND()</f>
        <v>0.667715459633267</v>
      </c>
      <c r="O309" s="83" t="n">
        <f aca="false">IF(N309&lt;(Inputs!$E$26-Inputs!$D$26)/(Inputs!$F$26-Inputs!$D$26),Inputs!$D$26+SQRT(N309*(Inputs!$F$26-Inputs!$D$26)*(Inputs!$E$26-Inputs!$D$26)),Inputs!$F$26-SQRT((1-N309)*(Inputs!$F$26-Inputs!$D$26)*(Inputs!$F$26-Inputs!$E$26)))</f>
        <v>0.634103275450749</v>
      </c>
      <c r="P309" s="81" t="n">
        <f aca="true">RAND()</f>
        <v>0.0868332454421344</v>
      </c>
      <c r="Q309" s="82" t="n">
        <f aca="false">IF(P309&lt;(Inputs!$E$27-Inputs!$D$27)/(Inputs!$F$27-Inputs!$D$27),Inputs!$D$27+SQRT(P309*(Inputs!$F$27-Inputs!$D$27)*(Inputs!$E$27-Inputs!$D$27)),Inputs!$F$27-SQRT((1-P309)*(Inputs!$F$27-Inputs!$D$27)*(Inputs!$F$27-Inputs!$E$27)))</f>
        <v>64.7337406521676</v>
      </c>
      <c r="R309" s="81" t="n">
        <f aca="true">RAND()</f>
        <v>0.64376749070448</v>
      </c>
      <c r="S309" s="82" t="n">
        <f aca="false">IF(R309&lt;(Inputs!$E$29-Inputs!$D$29)/(Inputs!$F$29-Inputs!$D$29),Inputs!$D$29+SQRT(R309*(Inputs!$F$29-Inputs!$D$29)*(Inputs!$E$29-Inputs!$D$29)),Inputs!$F$29-SQRT((1-R309)*(Inputs!$F$29-Inputs!$D$29)*(Inputs!$F$29-Inputs!$E$29)))</f>
        <v>8.19483826728434</v>
      </c>
      <c r="T309" s="68" t="n">
        <f aca="false">Inputs!$E$9*(1+E309)+Inputs!$E$5*C309*(Inputs!$E$11*Inputs!$E$14*(G309*I309/Inputs!$E$16+(1-G309))*K309+Inputs!$E$23*M309)*(1+O309)+Inputs!$E$5*(Q309+S309)</f>
        <v>7008.6600559974</v>
      </c>
    </row>
    <row r="310" customFormat="false" ht="15" hidden="false" customHeight="false" outlineLevel="0" collapsed="false">
      <c r="A310" s="1" t="n">
        <v>306</v>
      </c>
      <c r="B310" s="81" t="n">
        <f aca="true">RAND()</f>
        <v>0.867637496073863</v>
      </c>
      <c r="C310" s="82" t="n">
        <f aca="false">ROUND(IF(B310&lt;(Inputs!$E$8-Inputs!$D$8)/(Inputs!$F$8-Inputs!$D$8),Inputs!$D$8+SQRT(B310*(Inputs!$F$8-Inputs!$D$8)*(Inputs!$E$8-Inputs!$D$8)),Inputs!$F$8-SQRT((1-B310)*(Inputs!$F$8-Inputs!$D$8)*(Inputs!$F$8-Inputs!$E$8))),0)</f>
        <v>27</v>
      </c>
      <c r="D310" s="81" t="n">
        <f aca="true">RAND()</f>
        <v>0.0184177157031802</v>
      </c>
      <c r="E310" s="83" t="n">
        <f aca="false">IF(D310&lt;(Inputs!$E$10-Inputs!$D$10)/(Inputs!$F$10-Inputs!$D$10),Inputs!$D$10+SQRT(D310*(Inputs!$F$10-Inputs!$D$10)*(Inputs!$E$10-Inputs!$D$10)),Inputs!$F$10-SQRT((1-D310)*(Inputs!$F$10-Inputs!$D$10)*(Inputs!$F$10-Inputs!$E$10)))</f>
        <v>0.0135711884900256</v>
      </c>
      <c r="F310" s="81" t="n">
        <f aca="true">RAND()</f>
        <v>0.875150325982206</v>
      </c>
      <c r="G310" s="83" t="n">
        <f aca="false">IF(F310&lt;(Inputs!$E$15-Inputs!$D$15)/(Inputs!$F$15-Inputs!$D$15),Inputs!$D$15+SQRT(F310*(Inputs!$F$15-Inputs!$D$15)*(Inputs!$E$15-Inputs!$D$15)),Inputs!$F$15-SQRT((1-F310)*(Inputs!$F$15-Inputs!$D$15)*(Inputs!$F$15-Inputs!$E$15)))</f>
        <v>0.750030074241041</v>
      </c>
      <c r="H310" s="81" t="n">
        <f aca="true">RAND()</f>
        <v>0.666201507154922</v>
      </c>
      <c r="I310" s="82" t="n">
        <f aca="false">ROUND(IF(H310&lt;(Inputs!$E$17-Inputs!$D$17)/(Inputs!$F$17-Inputs!$D$17),Inputs!$D$17+SQRT(H310*(Inputs!$F$17-Inputs!$D$17)*(Inputs!$E$17-Inputs!$D$17)),Inputs!$F$17-SQRT((1-H310)*(Inputs!$F$17-Inputs!$D$17)*(Inputs!$F$17-Inputs!$E$17))),0)</f>
        <v>108</v>
      </c>
      <c r="J310" s="81" t="n">
        <f aca="true">RAND()</f>
        <v>0.885081046638654</v>
      </c>
      <c r="K310" s="83" t="n">
        <f aca="false">IF(J310&lt;(Inputs!$E$18-Inputs!$D$18)/(Inputs!$F$18-Inputs!$D$18),Inputs!$D$18+SQRT(J310*(Inputs!$F$18-Inputs!$D$18)*(Inputs!$E$18-Inputs!$D$18)),Inputs!$F$18-SQRT((1-J310)*(Inputs!$F$18-Inputs!$D$18)*(Inputs!$F$18-Inputs!$E$18)))</f>
        <v>1.14972334060651</v>
      </c>
      <c r="L310" s="81" t="n">
        <f aca="true">RAND()</f>
        <v>0.360660097794263</v>
      </c>
      <c r="M310" s="83" t="n">
        <f aca="false">IF(L310&lt;(Inputs!$E$24-Inputs!$D$24)/(Inputs!$F$24-Inputs!$D$24),Inputs!$D$24+SQRT(L310*(Inputs!$F$24-Inputs!$D$24)*(Inputs!$E$24-Inputs!$D$24)),Inputs!$F$24-SQRT((1-L310)*(Inputs!$F$24-Inputs!$D$24)*(Inputs!$F$24-Inputs!$E$24)))</f>
        <v>0.808283806143559</v>
      </c>
      <c r="N310" s="81" t="n">
        <f aca="true">RAND()</f>
        <v>0.972163040720757</v>
      </c>
      <c r="O310" s="83" t="n">
        <f aca="false">IF(N310&lt;(Inputs!$E$26-Inputs!$D$26)/(Inputs!$F$26-Inputs!$D$26),Inputs!$D$26+SQRT(N310*(Inputs!$F$26-Inputs!$D$26)*(Inputs!$E$26-Inputs!$D$26)),Inputs!$F$26-SQRT((1-N310)*(Inputs!$F$26-Inputs!$D$26)*(Inputs!$F$26-Inputs!$E$26)))</f>
        <v>0.766194389093318</v>
      </c>
      <c r="P310" s="81" t="n">
        <f aca="true">RAND()</f>
        <v>0.50434761395916</v>
      </c>
      <c r="Q310" s="82" t="n">
        <f aca="false">IF(P310&lt;(Inputs!$E$27-Inputs!$D$27)/(Inputs!$F$27-Inputs!$D$27),Inputs!$D$27+SQRT(P310*(Inputs!$F$27-Inputs!$D$27)*(Inputs!$E$27-Inputs!$D$27)),Inputs!$F$27-SQRT((1-P310)*(Inputs!$F$27-Inputs!$D$27)*(Inputs!$F$27-Inputs!$E$27)))</f>
        <v>89.0295736007505</v>
      </c>
      <c r="R310" s="81" t="n">
        <f aca="true">RAND()</f>
        <v>0.0562135499608078</v>
      </c>
      <c r="S310" s="82" t="n">
        <f aca="false">IF(R310&lt;(Inputs!$E$29-Inputs!$D$29)/(Inputs!$F$29-Inputs!$D$29),Inputs!$D$29+SQRT(R310*(Inputs!$F$29-Inputs!$D$29)*(Inputs!$E$29-Inputs!$D$29)),Inputs!$F$29-SQRT((1-R310)*(Inputs!$F$29-Inputs!$D$29)*(Inputs!$F$29-Inputs!$E$29)))</f>
        <v>3.48065135952779</v>
      </c>
      <c r="T310" s="68" t="n">
        <f aca="false">Inputs!$E$9*(1+E310)+Inputs!$E$5*C310*(Inputs!$E$11*Inputs!$E$14*(G310*I310/Inputs!$E$16+(1-G310))*K310+Inputs!$E$23*M310)*(1+O310)+Inputs!$E$5*(Q310+S310)</f>
        <v>6970.84336200634</v>
      </c>
    </row>
    <row r="311" customFormat="false" ht="15" hidden="false" customHeight="false" outlineLevel="0" collapsed="false">
      <c r="A311" s="1" t="n">
        <v>307</v>
      </c>
      <c r="B311" s="81" t="n">
        <f aca="true">RAND()</f>
        <v>0.060449589146849</v>
      </c>
      <c r="C311" s="82" t="n">
        <f aca="false">ROUND(IF(B311&lt;(Inputs!$E$8-Inputs!$D$8)/(Inputs!$F$8-Inputs!$D$8),Inputs!$D$8+SQRT(B311*(Inputs!$F$8-Inputs!$D$8)*(Inputs!$E$8-Inputs!$D$8)),Inputs!$F$8-SQRT((1-B311)*(Inputs!$F$8-Inputs!$D$8)*(Inputs!$F$8-Inputs!$E$8))),0)</f>
        <v>22</v>
      </c>
      <c r="D311" s="81" t="n">
        <f aca="true">RAND()</f>
        <v>0.245954046688906</v>
      </c>
      <c r="E311" s="83" t="n">
        <f aca="false">IF(D311&lt;(Inputs!$E$10-Inputs!$D$10)/(Inputs!$F$10-Inputs!$D$10),Inputs!$D$10+SQRT(D311*(Inputs!$F$10-Inputs!$D$10)*(Inputs!$E$10-Inputs!$D$10)),Inputs!$F$10-SQRT((1-D311)*(Inputs!$F$10-Inputs!$D$10)*(Inputs!$F$10-Inputs!$E$10)))</f>
        <v>0.0495937543133111</v>
      </c>
      <c r="F311" s="81" t="n">
        <f aca="true">RAND()</f>
        <v>0.617557931732202</v>
      </c>
      <c r="G311" s="83" t="n">
        <f aca="false">IF(F311&lt;(Inputs!$E$15-Inputs!$D$15)/(Inputs!$F$15-Inputs!$D$15),Inputs!$D$15+SQRT(F311*(Inputs!$F$15-Inputs!$D$15)*(Inputs!$E$15-Inputs!$D$15)),Inputs!$F$15-SQRT((1-F311)*(Inputs!$F$15-Inputs!$D$15)*(Inputs!$F$15-Inputs!$E$15)))</f>
        <v>0.712542345301535</v>
      </c>
      <c r="H311" s="81" t="n">
        <f aca="true">RAND()</f>
        <v>0.585530366676238</v>
      </c>
      <c r="I311" s="82" t="n">
        <f aca="false">ROUND(IF(H311&lt;(Inputs!$E$17-Inputs!$D$17)/(Inputs!$F$17-Inputs!$D$17),Inputs!$D$17+SQRT(H311*(Inputs!$F$17-Inputs!$D$17)*(Inputs!$E$17-Inputs!$D$17)),Inputs!$F$17-SQRT((1-H311)*(Inputs!$F$17-Inputs!$D$17)*(Inputs!$F$17-Inputs!$E$17))),0)</f>
        <v>107</v>
      </c>
      <c r="J311" s="81" t="n">
        <f aca="true">RAND()</f>
        <v>0.984890906321652</v>
      </c>
      <c r="K311" s="83" t="n">
        <f aca="false">IF(J311&lt;(Inputs!$E$18-Inputs!$D$18)/(Inputs!$F$18-Inputs!$D$18),Inputs!$D$18+SQRT(J311*(Inputs!$F$18-Inputs!$D$18)*(Inputs!$E$18-Inputs!$D$18)),Inputs!$F$18-SQRT((1-J311)*(Inputs!$F$18-Inputs!$D$18)*(Inputs!$F$18-Inputs!$E$18)))</f>
        <v>1.21364005367365</v>
      </c>
      <c r="L311" s="81" t="n">
        <f aca="true">RAND()</f>
        <v>0.156936170412991</v>
      </c>
      <c r="M311" s="83" t="n">
        <f aca="false">IF(L311&lt;(Inputs!$E$24-Inputs!$D$24)/(Inputs!$F$24-Inputs!$D$24),Inputs!$D$24+SQRT(L311*(Inputs!$F$24-Inputs!$D$24)*(Inputs!$E$24-Inputs!$D$24)),Inputs!$F$24-SQRT((1-L311)*(Inputs!$F$24-Inputs!$D$24)*(Inputs!$F$24-Inputs!$E$24)))</f>
        <v>0.73723097481822</v>
      </c>
      <c r="N311" s="81" t="n">
        <f aca="true">RAND()</f>
        <v>0.314995762623223</v>
      </c>
      <c r="O311" s="83" t="n">
        <f aca="false">IF(N311&lt;(Inputs!$E$26-Inputs!$D$26)/(Inputs!$F$26-Inputs!$D$26),Inputs!$D$26+SQRT(N311*(Inputs!$F$26-Inputs!$D$26)*(Inputs!$E$26-Inputs!$D$26)),Inputs!$F$26-SQRT((1-N311)*(Inputs!$F$26-Inputs!$D$26)*(Inputs!$F$26-Inputs!$E$26)))</f>
        <v>0.528943868449243</v>
      </c>
      <c r="P311" s="81" t="n">
        <f aca="true">RAND()</f>
        <v>0.108877599156614</v>
      </c>
      <c r="Q311" s="82" t="n">
        <f aca="false">IF(P311&lt;(Inputs!$E$27-Inputs!$D$27)/(Inputs!$F$27-Inputs!$D$27),Inputs!$D$27+SQRT(P311*(Inputs!$F$27-Inputs!$D$27)*(Inputs!$E$27-Inputs!$D$27)),Inputs!$F$27-SQRT((1-P311)*(Inputs!$F$27-Inputs!$D$27)*(Inputs!$F$27-Inputs!$E$27)))</f>
        <v>66.4983028791308</v>
      </c>
      <c r="R311" s="81" t="n">
        <f aca="true">RAND()</f>
        <v>0.401803982016561</v>
      </c>
      <c r="S311" s="82" t="n">
        <f aca="false">IF(R311&lt;(Inputs!$E$29-Inputs!$D$29)/(Inputs!$F$29-Inputs!$D$29),Inputs!$D$29+SQRT(R311*(Inputs!$F$29-Inputs!$D$29)*(Inputs!$E$29-Inputs!$D$29)),Inputs!$F$29-SQRT((1-R311)*(Inputs!$F$29-Inputs!$D$29)*(Inputs!$F$29-Inputs!$E$29)))</f>
        <v>6.18152607659085</v>
      </c>
      <c r="T311" s="68" t="n">
        <f aca="false">Inputs!$E$9*(1+E311)+Inputs!$E$5*C311*(Inputs!$E$11*Inputs!$E$14*(G311*I311/Inputs!$E$16+(1-G311))*K311+Inputs!$E$23*M311)*(1+O311)+Inputs!$E$5*(Q311+S311)</f>
        <v>5755.97419503099</v>
      </c>
    </row>
    <row r="312" customFormat="false" ht="15" hidden="false" customHeight="false" outlineLevel="0" collapsed="false">
      <c r="A312" s="1" t="n">
        <v>308</v>
      </c>
      <c r="B312" s="81" t="n">
        <f aca="true">RAND()</f>
        <v>0.204270239010438</v>
      </c>
      <c r="C312" s="82" t="n">
        <f aca="false">ROUND(IF(B312&lt;(Inputs!$E$8-Inputs!$D$8)/(Inputs!$F$8-Inputs!$D$8),Inputs!$D$8+SQRT(B312*(Inputs!$F$8-Inputs!$D$8)*(Inputs!$E$8-Inputs!$D$8)),Inputs!$F$8-SQRT((1-B312)*(Inputs!$F$8-Inputs!$D$8)*(Inputs!$F$8-Inputs!$E$8))),0)</f>
        <v>23</v>
      </c>
      <c r="D312" s="81" t="n">
        <f aca="true">RAND()</f>
        <v>0.539443144443781</v>
      </c>
      <c r="E312" s="83" t="n">
        <f aca="false">IF(D312&lt;(Inputs!$E$10-Inputs!$D$10)/(Inputs!$F$10-Inputs!$D$10),Inputs!$D$10+SQRT(D312*(Inputs!$F$10-Inputs!$D$10)*(Inputs!$E$10-Inputs!$D$10)),Inputs!$F$10-SQRT((1-D312)*(Inputs!$F$10-Inputs!$D$10)*(Inputs!$F$10-Inputs!$E$10)))</f>
        <v>0.0824555162217871</v>
      </c>
      <c r="F312" s="81" t="n">
        <f aca="true">RAND()</f>
        <v>0.31077868666716</v>
      </c>
      <c r="G312" s="83" t="n">
        <f aca="false">IF(F312&lt;(Inputs!$E$15-Inputs!$D$15)/(Inputs!$F$15-Inputs!$D$15),Inputs!$D$15+SQRT(F312*(Inputs!$F$15-Inputs!$D$15)*(Inputs!$E$15-Inputs!$D$15)),Inputs!$F$15-SQRT((1-F312)*(Inputs!$F$15-Inputs!$D$15)*(Inputs!$F$15-Inputs!$E$15)))</f>
        <v>0.678838910021278</v>
      </c>
      <c r="H312" s="81" t="n">
        <f aca="true">RAND()</f>
        <v>0.591603430749926</v>
      </c>
      <c r="I312" s="82" t="n">
        <f aca="false">ROUND(IF(H312&lt;(Inputs!$E$17-Inputs!$D$17)/(Inputs!$F$17-Inputs!$D$17),Inputs!$D$17+SQRT(H312*(Inputs!$F$17-Inputs!$D$17)*(Inputs!$E$17-Inputs!$D$17)),Inputs!$F$17-SQRT((1-H312)*(Inputs!$F$17-Inputs!$D$17)*(Inputs!$F$17-Inputs!$E$17))),0)</f>
        <v>107</v>
      </c>
      <c r="J312" s="81" t="n">
        <f aca="true">RAND()</f>
        <v>0.0929126423466382</v>
      </c>
      <c r="K312" s="83" t="n">
        <f aca="false">IF(J312&lt;(Inputs!$E$18-Inputs!$D$18)/(Inputs!$F$18-Inputs!$D$18),Inputs!$D$18+SQRT(J312*(Inputs!$F$18-Inputs!$D$18)*(Inputs!$E$18-Inputs!$D$18)),Inputs!$F$18-SQRT((1-J312)*(Inputs!$F$18-Inputs!$D$18)*(Inputs!$F$18-Inputs!$E$18)))</f>
        <v>0.957025805405381</v>
      </c>
      <c r="L312" s="81" t="n">
        <f aca="true">RAND()</f>
        <v>0.819548520081602</v>
      </c>
      <c r="M312" s="83" t="n">
        <f aca="false">IF(L312&lt;(Inputs!$E$24-Inputs!$D$24)/(Inputs!$F$24-Inputs!$D$24),Inputs!$D$24+SQRT(L312*(Inputs!$F$24-Inputs!$D$24)*(Inputs!$E$24-Inputs!$D$24)),Inputs!$F$24-SQRT((1-L312)*(Inputs!$F$24-Inputs!$D$24)*(Inputs!$F$24-Inputs!$E$24)))</f>
        <v>0.99189340428421</v>
      </c>
      <c r="N312" s="81" t="n">
        <f aca="true">RAND()</f>
        <v>0.260217207535642</v>
      </c>
      <c r="O312" s="83" t="n">
        <f aca="false">IF(N312&lt;(Inputs!$E$26-Inputs!$D$26)/(Inputs!$F$26-Inputs!$D$26),Inputs!$D$26+SQRT(N312*(Inputs!$F$26-Inputs!$D$26)*(Inputs!$E$26-Inputs!$D$26)),Inputs!$F$26-SQRT((1-N312)*(Inputs!$F$26-Inputs!$D$26)*(Inputs!$F$26-Inputs!$E$26)))</f>
        <v>0.50808686487602</v>
      </c>
      <c r="P312" s="81" t="n">
        <f aca="true">RAND()</f>
        <v>0.979307448564867</v>
      </c>
      <c r="Q312" s="82" t="n">
        <f aca="false">IF(P312&lt;(Inputs!$E$27-Inputs!$D$27)/(Inputs!$F$27-Inputs!$D$27),Inputs!$D$27+SQRT(P312*(Inputs!$F$27-Inputs!$D$27)*(Inputs!$E$27-Inputs!$D$27)),Inputs!$F$27-SQRT((1-P312)*(Inputs!$F$27-Inputs!$D$27)*(Inputs!$F$27-Inputs!$E$27)))</f>
        <v>137.542306161913</v>
      </c>
      <c r="R312" s="81" t="n">
        <f aca="true">RAND()</f>
        <v>0.59230974871964</v>
      </c>
      <c r="S312" s="82" t="n">
        <f aca="false">IF(R312&lt;(Inputs!$E$29-Inputs!$D$29)/(Inputs!$F$29-Inputs!$D$29),Inputs!$D$29+SQRT(R312*(Inputs!$F$29-Inputs!$D$29)*(Inputs!$E$29-Inputs!$D$29)),Inputs!$F$29-SQRT((1-R312)*(Inputs!$F$29-Inputs!$D$29)*(Inputs!$F$29-Inputs!$E$29)))</f>
        <v>7.71990847128645</v>
      </c>
      <c r="T312" s="68" t="n">
        <f aca="false">Inputs!$E$9*(1+E312)+Inputs!$E$5*C312*(Inputs!$E$11*Inputs!$E$14*(G312*I312/Inputs!$E$16+(1-G312))*K312+Inputs!$E$23*M312)*(1+O312)+Inputs!$E$5*(Q312+S312)</f>
        <v>6159.06299498814</v>
      </c>
    </row>
    <row r="313" customFormat="false" ht="15" hidden="false" customHeight="false" outlineLevel="0" collapsed="false">
      <c r="A313" s="1" t="n">
        <v>309</v>
      </c>
      <c r="B313" s="81" t="n">
        <f aca="true">RAND()</f>
        <v>0.0121740794039958</v>
      </c>
      <c r="C313" s="82" t="n">
        <f aca="false">ROUND(IF(B313&lt;(Inputs!$E$8-Inputs!$D$8)/(Inputs!$F$8-Inputs!$D$8),Inputs!$D$8+SQRT(B313*(Inputs!$F$8-Inputs!$D$8)*(Inputs!$E$8-Inputs!$D$8)),Inputs!$F$8-SQRT((1-B313)*(Inputs!$F$8-Inputs!$D$8)*(Inputs!$F$8-Inputs!$E$8))),0)</f>
        <v>21</v>
      </c>
      <c r="D313" s="81" t="n">
        <f aca="true">RAND()</f>
        <v>0.960888386349282</v>
      </c>
      <c r="E313" s="83" t="n">
        <f aca="false">IF(D313&lt;(Inputs!$E$10-Inputs!$D$10)/(Inputs!$F$10-Inputs!$D$10),Inputs!$D$10+SQRT(D313*(Inputs!$F$10-Inputs!$D$10)*(Inputs!$E$10-Inputs!$D$10)),Inputs!$F$10-SQRT((1-D313)*(Inputs!$F$10-Inputs!$D$10)*(Inputs!$F$10-Inputs!$E$10)))</f>
        <v>0.165745826392663</v>
      </c>
      <c r="F313" s="81" t="n">
        <f aca="true">RAND()</f>
        <v>0.0495272747024719</v>
      </c>
      <c r="G313" s="83" t="n">
        <f aca="false">IF(F313&lt;(Inputs!$E$15-Inputs!$D$15)/(Inputs!$F$15-Inputs!$D$15),Inputs!$D$15+SQRT(F313*(Inputs!$F$15-Inputs!$D$15)*(Inputs!$E$15-Inputs!$D$15)),Inputs!$F$15-SQRT((1-F313)*(Inputs!$F$15-Inputs!$D$15)*(Inputs!$F$15-Inputs!$E$15)))</f>
        <v>0.631472932720823</v>
      </c>
      <c r="H313" s="81" t="n">
        <f aca="true">RAND()</f>
        <v>0.351536252190151</v>
      </c>
      <c r="I313" s="82" t="n">
        <f aca="false">ROUND(IF(H313&lt;(Inputs!$E$17-Inputs!$D$17)/(Inputs!$F$17-Inputs!$D$17),Inputs!$D$17+SQRT(H313*(Inputs!$F$17-Inputs!$D$17)*(Inputs!$E$17-Inputs!$D$17)),Inputs!$F$17-SQRT((1-H313)*(Inputs!$F$17-Inputs!$D$17)*(Inputs!$F$17-Inputs!$E$17))),0)</f>
        <v>105</v>
      </c>
      <c r="J313" s="81" t="n">
        <f aca="true">RAND()</f>
        <v>0.185986268696427</v>
      </c>
      <c r="K313" s="83" t="n">
        <f aca="false">IF(J313&lt;(Inputs!$E$18-Inputs!$D$18)/(Inputs!$F$18-Inputs!$D$18),Inputs!$D$18+SQRT(J313*(Inputs!$F$18-Inputs!$D$18)*(Inputs!$E$18-Inputs!$D$18)),Inputs!$F$18-SQRT((1-J313)*(Inputs!$F$18-Inputs!$D$18)*(Inputs!$F$18-Inputs!$E$18)))</f>
        <v>0.98068159272334</v>
      </c>
      <c r="L313" s="81" t="n">
        <f aca="true">RAND()</f>
        <v>0.384326510332555</v>
      </c>
      <c r="M313" s="83" t="n">
        <f aca="false">IF(L313&lt;(Inputs!$E$24-Inputs!$D$24)/(Inputs!$F$24-Inputs!$D$24),Inputs!$D$24+SQRT(L313*(Inputs!$F$24-Inputs!$D$24)*(Inputs!$E$24-Inputs!$D$24)),Inputs!$F$24-SQRT((1-L313)*(Inputs!$F$24-Inputs!$D$24)*(Inputs!$F$24-Inputs!$E$24)))</f>
        <v>0.815602240484955</v>
      </c>
      <c r="N313" s="81" t="n">
        <f aca="true">RAND()</f>
        <v>0.650035059755433</v>
      </c>
      <c r="O313" s="83" t="n">
        <f aca="false">IF(N313&lt;(Inputs!$E$26-Inputs!$D$26)/(Inputs!$F$26-Inputs!$D$26),Inputs!$D$26+SQRT(N313*(Inputs!$F$26-Inputs!$D$26)*(Inputs!$E$26-Inputs!$D$26)),Inputs!$F$26-SQRT((1-N313)*(Inputs!$F$26-Inputs!$D$26)*(Inputs!$F$26-Inputs!$E$26)))</f>
        <v>0.629221715634523</v>
      </c>
      <c r="P313" s="81" t="n">
        <f aca="true">RAND()</f>
        <v>0.597897080427682</v>
      </c>
      <c r="Q313" s="82" t="n">
        <f aca="false">IF(P313&lt;(Inputs!$E$27-Inputs!$D$27)/(Inputs!$F$27-Inputs!$D$27),Inputs!$D$27+SQRT(P313*(Inputs!$F$27-Inputs!$D$27)*(Inputs!$E$27-Inputs!$D$27)),Inputs!$F$27-SQRT((1-P313)*(Inputs!$F$27-Inputs!$D$27)*(Inputs!$F$27-Inputs!$E$27)))</f>
        <v>95.0839559255004</v>
      </c>
      <c r="R313" s="81" t="n">
        <f aca="true">RAND()</f>
        <v>0.428310605412526</v>
      </c>
      <c r="S313" s="82" t="n">
        <f aca="false">IF(R313&lt;(Inputs!$E$29-Inputs!$D$29)/(Inputs!$F$29-Inputs!$D$29),Inputs!$D$29+SQRT(R313*(Inputs!$F$29-Inputs!$D$29)*(Inputs!$E$29-Inputs!$D$29)),Inputs!$F$29-SQRT((1-R313)*(Inputs!$F$29-Inputs!$D$29)*(Inputs!$F$29-Inputs!$E$29)))</f>
        <v>6.37911713938929</v>
      </c>
      <c r="T313" s="68" t="n">
        <f aca="false">Inputs!$E$9*(1+E313)+Inputs!$E$5*C313*(Inputs!$E$11*Inputs!$E$14*(G313*I313/Inputs!$E$16+(1-G313))*K313+Inputs!$E$23*M313)*(1+O313)+Inputs!$E$5*(Q313+S313)</f>
        <v>5945.17291899085</v>
      </c>
    </row>
    <row r="314" customFormat="false" ht="15" hidden="false" customHeight="false" outlineLevel="0" collapsed="false">
      <c r="A314" s="1" t="n">
        <v>310</v>
      </c>
      <c r="B314" s="81" t="n">
        <f aca="true">RAND()</f>
        <v>0.311393173523055</v>
      </c>
      <c r="C314" s="82" t="n">
        <f aca="false">ROUND(IF(B314&lt;(Inputs!$E$8-Inputs!$D$8)/(Inputs!$F$8-Inputs!$D$8),Inputs!$D$8+SQRT(B314*(Inputs!$F$8-Inputs!$D$8)*(Inputs!$E$8-Inputs!$D$8)),Inputs!$F$8-SQRT((1-B314)*(Inputs!$F$8-Inputs!$D$8)*(Inputs!$F$8-Inputs!$E$8))),0)</f>
        <v>24</v>
      </c>
      <c r="D314" s="81" t="n">
        <f aca="true">RAND()</f>
        <v>0.386783169826049</v>
      </c>
      <c r="E314" s="83" t="n">
        <f aca="false">IF(D314&lt;(Inputs!$E$10-Inputs!$D$10)/(Inputs!$F$10-Inputs!$D$10),Inputs!$D$10+SQRT(D314*(Inputs!$F$10-Inputs!$D$10)*(Inputs!$E$10-Inputs!$D$10)),Inputs!$F$10-SQRT((1-D314)*(Inputs!$F$10-Inputs!$D$10)*(Inputs!$F$10-Inputs!$E$10)))</f>
        <v>0.0643662840396292</v>
      </c>
      <c r="F314" s="81" t="n">
        <f aca="true">RAND()</f>
        <v>0.857836912353314</v>
      </c>
      <c r="G314" s="83" t="n">
        <f aca="false">IF(F314&lt;(Inputs!$E$15-Inputs!$D$15)/(Inputs!$F$15-Inputs!$D$15),Inputs!$D$15+SQRT(F314*(Inputs!$F$15-Inputs!$D$15)*(Inputs!$E$15-Inputs!$D$15)),Inputs!$F$15-SQRT((1-F314)*(Inputs!$F$15-Inputs!$D$15)*(Inputs!$F$15-Inputs!$E$15)))</f>
        <v>0.746677755552362</v>
      </c>
      <c r="H314" s="81" t="n">
        <f aca="true">RAND()</f>
        <v>0.976092881485261</v>
      </c>
      <c r="I314" s="82" t="n">
        <f aca="false">ROUND(IF(H314&lt;(Inputs!$E$17-Inputs!$D$17)/(Inputs!$F$17-Inputs!$D$17),Inputs!$D$17+SQRT(H314*(Inputs!$F$17-Inputs!$D$17)*(Inputs!$E$17-Inputs!$D$17)),Inputs!$F$17-SQRT((1-H314)*(Inputs!$F$17-Inputs!$D$17)*(Inputs!$F$17-Inputs!$E$17))),0)</f>
        <v>113</v>
      </c>
      <c r="J314" s="81" t="n">
        <f aca="true">RAND()</f>
        <v>0.730961784763743</v>
      </c>
      <c r="K314" s="83" t="n">
        <f aca="false">IF(J314&lt;(Inputs!$E$18-Inputs!$D$18)/(Inputs!$F$18-Inputs!$D$18),Inputs!$D$18+SQRT(J314*(Inputs!$F$18-Inputs!$D$18)*(Inputs!$E$18-Inputs!$D$18)),Inputs!$F$18-SQRT((1-J314)*(Inputs!$F$18-Inputs!$D$18)*(Inputs!$F$18-Inputs!$E$18)))</f>
        <v>1.0965697427716</v>
      </c>
      <c r="L314" s="81" t="n">
        <f aca="true">RAND()</f>
        <v>0.887901681666407</v>
      </c>
      <c r="M314" s="83" t="n">
        <f aca="false">IF(L314&lt;(Inputs!$E$24-Inputs!$D$24)/(Inputs!$F$24-Inputs!$D$24),Inputs!$D$24+SQRT(L314*(Inputs!$F$24-Inputs!$D$24)*(Inputs!$E$24-Inputs!$D$24)),Inputs!$F$24-SQRT((1-L314)*(Inputs!$F$24-Inputs!$D$24)*(Inputs!$F$24-Inputs!$E$24)))</f>
        <v>1.03597684187877</v>
      </c>
      <c r="N314" s="81" t="n">
        <f aca="true">RAND()</f>
        <v>0.944726266793416</v>
      </c>
      <c r="O314" s="83" t="n">
        <f aca="false">IF(N314&lt;(Inputs!$E$26-Inputs!$D$26)/(Inputs!$F$26-Inputs!$D$26),Inputs!$D$26+SQRT(N314*(Inputs!$F$26-Inputs!$D$26)*(Inputs!$E$26-Inputs!$D$26)),Inputs!$F$26-SQRT((1-N314)*(Inputs!$F$26-Inputs!$D$26)*(Inputs!$F$26-Inputs!$E$26)))</f>
        <v>0.744181346269637</v>
      </c>
      <c r="P314" s="81" t="n">
        <f aca="true">RAND()</f>
        <v>0.946880620182946</v>
      </c>
      <c r="Q314" s="82" t="n">
        <f aca="false">IF(P314&lt;(Inputs!$E$27-Inputs!$D$27)/(Inputs!$F$27-Inputs!$D$27),Inputs!$D$27+SQRT(P314*(Inputs!$F$27-Inputs!$D$27)*(Inputs!$E$27-Inputs!$D$27)),Inputs!$F$27-SQRT((1-P314)*(Inputs!$F$27-Inputs!$D$27)*(Inputs!$F$27-Inputs!$E$27)))</f>
        <v>130.040156598112</v>
      </c>
      <c r="R314" s="81" t="n">
        <f aca="true">RAND()</f>
        <v>0.883518778722606</v>
      </c>
      <c r="S314" s="82" t="n">
        <f aca="false">IF(R314&lt;(Inputs!$E$29-Inputs!$D$29)/(Inputs!$F$29-Inputs!$D$29),Inputs!$D$29+SQRT(R314*(Inputs!$F$29-Inputs!$D$29)*(Inputs!$E$29-Inputs!$D$29)),Inputs!$F$29-SQRT((1-R314)*(Inputs!$F$29-Inputs!$D$29)*(Inputs!$F$29-Inputs!$E$29)))</f>
        <v>11.1086559178015</v>
      </c>
      <c r="T314" s="68" t="n">
        <f aca="false">Inputs!$E$9*(1+E314)+Inputs!$E$5*C314*(Inputs!$E$11*Inputs!$E$14*(G314*I314/Inputs!$E$16+(1-G314))*K314+Inputs!$E$23*M314)*(1+O314)+Inputs!$E$5*(Q314+S314)</f>
        <v>7101.21990944019</v>
      </c>
    </row>
    <row r="315" customFormat="false" ht="15" hidden="false" customHeight="false" outlineLevel="0" collapsed="false">
      <c r="A315" s="1" t="n">
        <v>311</v>
      </c>
      <c r="B315" s="81" t="n">
        <f aca="true">RAND()</f>
        <v>0.412077950690098</v>
      </c>
      <c r="C315" s="82" t="n">
        <f aca="false">ROUND(IF(B315&lt;(Inputs!$E$8-Inputs!$D$8)/(Inputs!$F$8-Inputs!$D$8),Inputs!$D$8+SQRT(B315*(Inputs!$F$8-Inputs!$D$8)*(Inputs!$E$8-Inputs!$D$8)),Inputs!$F$8-SQRT((1-B315)*(Inputs!$F$8-Inputs!$D$8)*(Inputs!$F$8-Inputs!$E$8))),0)</f>
        <v>25</v>
      </c>
      <c r="D315" s="81" t="n">
        <f aca="true">RAND()</f>
        <v>0.799380287850032</v>
      </c>
      <c r="E315" s="83" t="n">
        <f aca="false">IF(D315&lt;(Inputs!$E$10-Inputs!$D$10)/(Inputs!$F$10-Inputs!$D$10),Inputs!$D$10+SQRT(D315*(Inputs!$F$10-Inputs!$D$10)*(Inputs!$E$10-Inputs!$D$10)),Inputs!$F$10-SQRT((1-D315)*(Inputs!$F$10-Inputs!$D$10)*(Inputs!$F$10-Inputs!$E$10)))</f>
        <v>0.122420419152337</v>
      </c>
      <c r="F315" s="81" t="n">
        <f aca="true">RAND()</f>
        <v>0.78611452001882</v>
      </c>
      <c r="G315" s="83" t="n">
        <f aca="false">IF(F315&lt;(Inputs!$E$15-Inputs!$D$15)/(Inputs!$F$15-Inputs!$D$15),Inputs!$D$15+SQRT(F315*(Inputs!$F$15-Inputs!$D$15)*(Inputs!$E$15-Inputs!$D$15)),Inputs!$F$15-SQRT((1-F315)*(Inputs!$F$15-Inputs!$D$15)*(Inputs!$F$15-Inputs!$E$15)))</f>
        <v>0.734595798302987</v>
      </c>
      <c r="H315" s="81" t="n">
        <f aca="true">RAND()</f>
        <v>0.325476161752114</v>
      </c>
      <c r="I315" s="82" t="n">
        <f aca="false">ROUND(IF(H315&lt;(Inputs!$E$17-Inputs!$D$17)/(Inputs!$F$17-Inputs!$D$17),Inputs!$D$17+SQRT(H315*(Inputs!$F$17-Inputs!$D$17)*(Inputs!$E$17-Inputs!$D$17)),Inputs!$F$17-SQRT((1-H315)*(Inputs!$F$17-Inputs!$D$17)*(Inputs!$F$17-Inputs!$E$17))),0)</f>
        <v>105</v>
      </c>
      <c r="J315" s="81" t="n">
        <f aca="true">RAND()</f>
        <v>0.398539468280427</v>
      </c>
      <c r="K315" s="83" t="n">
        <f aca="false">IF(J315&lt;(Inputs!$E$18-Inputs!$D$18)/(Inputs!$F$18-Inputs!$D$18),Inputs!$D$18+SQRT(J315*(Inputs!$F$18-Inputs!$D$18)*(Inputs!$E$18-Inputs!$D$18)),Inputs!$F$18-SQRT((1-J315)*(Inputs!$F$18-Inputs!$D$18)*(Inputs!$F$18-Inputs!$E$18)))</f>
        <v>1.02059250987498</v>
      </c>
      <c r="L315" s="81" t="n">
        <f aca="true">RAND()</f>
        <v>0.888790566594033</v>
      </c>
      <c r="M315" s="83" t="n">
        <f aca="false">IF(L315&lt;(Inputs!$E$24-Inputs!$D$24)/(Inputs!$F$24-Inputs!$D$24),Inputs!$D$24+SQRT(L315*(Inputs!$F$24-Inputs!$D$24)*(Inputs!$E$24-Inputs!$D$24)),Inputs!$F$24-SQRT((1-L315)*(Inputs!$F$24-Inputs!$D$24)*(Inputs!$F$24-Inputs!$E$24)))</f>
        <v>1.03662844795549</v>
      </c>
      <c r="N315" s="81" t="n">
        <f aca="true">RAND()</f>
        <v>0.752379630027284</v>
      </c>
      <c r="O315" s="83" t="n">
        <f aca="false">IF(N315&lt;(Inputs!$E$26-Inputs!$D$26)/(Inputs!$F$26-Inputs!$D$26),Inputs!$D$26+SQRT(N315*(Inputs!$F$26-Inputs!$D$26)*(Inputs!$E$26-Inputs!$D$26)),Inputs!$F$26-SQRT((1-N315)*(Inputs!$F$26-Inputs!$D$26)*(Inputs!$F$26-Inputs!$E$26)))</f>
        <v>0.659524087548435</v>
      </c>
      <c r="P315" s="81" t="n">
        <f aca="true">RAND()</f>
        <v>0.618687780982895</v>
      </c>
      <c r="Q315" s="82" t="n">
        <f aca="false">IF(P315&lt;(Inputs!$E$27-Inputs!$D$27)/(Inputs!$F$27-Inputs!$D$27),Inputs!$D$27+SQRT(P315*(Inputs!$F$27-Inputs!$D$27)*(Inputs!$E$27-Inputs!$D$27)),Inputs!$F$27-SQRT((1-P315)*(Inputs!$F$27-Inputs!$D$27)*(Inputs!$F$27-Inputs!$E$27)))</f>
        <v>96.5225127494916</v>
      </c>
      <c r="R315" s="81" t="n">
        <f aca="true">RAND()</f>
        <v>0.800913546560468</v>
      </c>
      <c r="S315" s="82" t="n">
        <f aca="false">IF(R315&lt;(Inputs!$E$29-Inputs!$D$29)/(Inputs!$F$29-Inputs!$D$29),Inputs!$D$29+SQRT(R315*(Inputs!$F$29-Inputs!$D$29)*(Inputs!$E$29-Inputs!$D$29)),Inputs!$F$29-SQRT((1-R315)*(Inputs!$F$29-Inputs!$D$29)*(Inputs!$F$29-Inputs!$E$29)))</f>
        <v>9.91263929457139</v>
      </c>
      <c r="T315" s="68" t="n">
        <f aca="false">Inputs!$E$9*(1+E315)+Inputs!$E$5*C315*(Inputs!$E$11*Inputs!$E$14*(G315*I315/Inputs!$E$16+(1-G315))*K315+Inputs!$E$23*M315)*(1+O315)+Inputs!$E$5*(Q315+S315)</f>
        <v>6759.82095479612</v>
      </c>
    </row>
    <row r="316" customFormat="false" ht="15" hidden="false" customHeight="false" outlineLevel="0" collapsed="false">
      <c r="A316" s="1" t="n">
        <v>312</v>
      </c>
      <c r="B316" s="81" t="n">
        <f aca="true">RAND()</f>
        <v>0.845906410102541</v>
      </c>
      <c r="C316" s="82" t="n">
        <f aca="false">ROUND(IF(B316&lt;(Inputs!$E$8-Inputs!$D$8)/(Inputs!$F$8-Inputs!$D$8),Inputs!$D$8+SQRT(B316*(Inputs!$F$8-Inputs!$D$8)*(Inputs!$E$8-Inputs!$D$8)),Inputs!$F$8-SQRT((1-B316)*(Inputs!$F$8-Inputs!$D$8)*(Inputs!$F$8-Inputs!$E$8))),0)</f>
        <v>27</v>
      </c>
      <c r="D316" s="81" t="n">
        <f aca="true">RAND()</f>
        <v>0.460842133768636</v>
      </c>
      <c r="E316" s="83" t="n">
        <f aca="false">IF(D316&lt;(Inputs!$E$10-Inputs!$D$10)/(Inputs!$F$10-Inputs!$D$10),Inputs!$D$10+SQRT(D316*(Inputs!$F$10-Inputs!$D$10)*(Inputs!$E$10-Inputs!$D$10)),Inputs!$F$10-SQRT((1-D316)*(Inputs!$F$10-Inputs!$D$10)*(Inputs!$F$10-Inputs!$E$10)))</f>
        <v>0.0728200645269037</v>
      </c>
      <c r="F316" s="81" t="n">
        <f aca="true">RAND()</f>
        <v>0.105650798663082</v>
      </c>
      <c r="G316" s="83" t="n">
        <f aca="false">IF(F316&lt;(Inputs!$E$15-Inputs!$D$15)/(Inputs!$F$15-Inputs!$D$15),Inputs!$D$15+SQRT(F316*(Inputs!$F$15-Inputs!$D$15)*(Inputs!$E$15-Inputs!$D$15)),Inputs!$F$15-SQRT((1-F316)*(Inputs!$F$15-Inputs!$D$15)*(Inputs!$F$15-Inputs!$E$15)))</f>
        <v>0.645967553483535</v>
      </c>
      <c r="H316" s="81" t="n">
        <f aca="true">RAND()</f>
        <v>0.636132259297568</v>
      </c>
      <c r="I316" s="82" t="n">
        <f aca="false">ROUND(IF(H316&lt;(Inputs!$E$17-Inputs!$D$17)/(Inputs!$F$17-Inputs!$D$17),Inputs!$D$17+SQRT(H316*(Inputs!$F$17-Inputs!$D$17)*(Inputs!$E$17-Inputs!$D$17)),Inputs!$F$17-SQRT((1-H316)*(Inputs!$F$17-Inputs!$D$17)*(Inputs!$F$17-Inputs!$E$17))),0)</f>
        <v>108</v>
      </c>
      <c r="J316" s="81" t="n">
        <f aca="true">RAND()</f>
        <v>0.187704410437808</v>
      </c>
      <c r="K316" s="83" t="n">
        <f aca="false">IF(J316&lt;(Inputs!$E$18-Inputs!$D$18)/(Inputs!$F$18-Inputs!$D$18),Inputs!$D$18+SQRT(J316*(Inputs!$F$18-Inputs!$D$18)*(Inputs!$E$18-Inputs!$D$18)),Inputs!$F$18-SQRT((1-J316)*(Inputs!$F$18-Inputs!$D$18)*(Inputs!$F$18-Inputs!$E$18)))</f>
        <v>0.981053404403043</v>
      </c>
      <c r="L316" s="81" t="n">
        <f aca="true">RAND()</f>
        <v>0.575189052099309</v>
      </c>
      <c r="M316" s="83" t="n">
        <f aca="false">IF(L316&lt;(Inputs!$E$24-Inputs!$D$24)/(Inputs!$F$24-Inputs!$D$24),Inputs!$D$24+SQRT(L316*(Inputs!$F$24-Inputs!$D$24)*(Inputs!$E$24-Inputs!$D$24)),Inputs!$F$24-SQRT((1-L316)*(Inputs!$F$24-Inputs!$D$24)*(Inputs!$F$24-Inputs!$E$24)))</f>
        <v>0.880696652857873</v>
      </c>
      <c r="N316" s="81" t="n">
        <f aca="true">RAND()</f>
        <v>0.602641517560901</v>
      </c>
      <c r="O316" s="83" t="n">
        <f aca="false">IF(N316&lt;(Inputs!$E$26-Inputs!$D$26)/(Inputs!$F$26-Inputs!$D$26),Inputs!$D$26+SQRT(N316*(Inputs!$F$26-Inputs!$D$26)*(Inputs!$E$26-Inputs!$D$26)),Inputs!$F$26-SQRT((1-N316)*(Inputs!$F$26-Inputs!$D$26)*(Inputs!$F$26-Inputs!$E$26)))</f>
        <v>0.616669462566465</v>
      </c>
      <c r="P316" s="81" t="n">
        <f aca="true">RAND()</f>
        <v>0.289327726641596</v>
      </c>
      <c r="Q316" s="82" t="n">
        <f aca="false">IF(P316&lt;(Inputs!$E$27-Inputs!$D$27)/(Inputs!$F$27-Inputs!$D$27),Inputs!$D$27+SQRT(P316*(Inputs!$F$27-Inputs!$D$27)*(Inputs!$E$27-Inputs!$D$27)),Inputs!$F$27-SQRT((1-P316)*(Inputs!$F$27-Inputs!$D$27)*(Inputs!$F$27-Inputs!$E$27)))</f>
        <v>76.9928630188251</v>
      </c>
      <c r="R316" s="81" t="n">
        <f aca="true">RAND()</f>
        <v>0.463973305429046</v>
      </c>
      <c r="S316" s="82" t="n">
        <f aca="false">IF(R316&lt;(Inputs!$E$29-Inputs!$D$29)/(Inputs!$F$29-Inputs!$D$29),Inputs!$D$29+SQRT(R316*(Inputs!$F$29-Inputs!$D$29)*(Inputs!$E$29-Inputs!$D$29)),Inputs!$F$29-SQRT((1-R316)*(Inputs!$F$29-Inputs!$D$29)*(Inputs!$F$29-Inputs!$E$29)))</f>
        <v>6.6523374352922</v>
      </c>
      <c r="T316" s="68" t="n">
        <f aca="false">Inputs!$E$9*(1+E316)+Inputs!$E$5*C316*(Inputs!$E$11*Inputs!$E$14*(G316*I316/Inputs!$E$16+(1-G316))*K316+Inputs!$E$23*M316)*(1+O316)+Inputs!$E$5*(Q316+S316)</f>
        <v>6560.1875835555</v>
      </c>
    </row>
    <row r="317" customFormat="false" ht="15" hidden="false" customHeight="false" outlineLevel="0" collapsed="false">
      <c r="A317" s="1" t="n">
        <v>313</v>
      </c>
      <c r="B317" s="81" t="n">
        <f aca="true">RAND()</f>
        <v>0.425219790280804</v>
      </c>
      <c r="C317" s="82" t="n">
        <f aca="false">ROUND(IF(B317&lt;(Inputs!$E$8-Inputs!$D$8)/(Inputs!$F$8-Inputs!$D$8),Inputs!$D$8+SQRT(B317*(Inputs!$F$8-Inputs!$D$8)*(Inputs!$E$8-Inputs!$D$8)),Inputs!$F$8-SQRT((1-B317)*(Inputs!$F$8-Inputs!$D$8)*(Inputs!$F$8-Inputs!$E$8))),0)</f>
        <v>25</v>
      </c>
      <c r="D317" s="81" t="n">
        <f aca="true">RAND()</f>
        <v>0.739263831086334</v>
      </c>
      <c r="E317" s="83" t="n">
        <f aca="false">IF(D317&lt;(Inputs!$E$10-Inputs!$D$10)/(Inputs!$F$10-Inputs!$D$10),Inputs!$D$10+SQRT(D317*(Inputs!$F$10-Inputs!$D$10)*(Inputs!$E$10-Inputs!$D$10)),Inputs!$F$10-SQRT((1-D317)*(Inputs!$F$10-Inputs!$D$10)*(Inputs!$F$10-Inputs!$E$10)))</f>
        <v>0.11155744764306</v>
      </c>
      <c r="F317" s="81" t="n">
        <f aca="true">RAND()</f>
        <v>0.903994889668654</v>
      </c>
      <c r="G317" s="83" t="n">
        <f aca="false">IF(F317&lt;(Inputs!$E$15-Inputs!$D$15)/(Inputs!$F$15-Inputs!$D$15),Inputs!$D$15+SQRT(F317*(Inputs!$F$15-Inputs!$D$15)*(Inputs!$E$15-Inputs!$D$15)),Inputs!$F$15-SQRT((1-F317)*(Inputs!$F$15-Inputs!$D$15)*(Inputs!$F$15-Inputs!$E$15)))</f>
        <v>0.756181029146876</v>
      </c>
      <c r="H317" s="81" t="n">
        <f aca="true">RAND()</f>
        <v>0.835077716207976</v>
      </c>
      <c r="I317" s="82" t="n">
        <f aca="false">ROUND(IF(H317&lt;(Inputs!$E$17-Inputs!$D$17)/(Inputs!$F$17-Inputs!$D$17),Inputs!$D$17+SQRT(H317*(Inputs!$F$17-Inputs!$D$17)*(Inputs!$E$17-Inputs!$D$17)),Inputs!$F$17-SQRT((1-H317)*(Inputs!$F$17-Inputs!$D$17)*(Inputs!$F$17-Inputs!$E$17))),0)</f>
        <v>110</v>
      </c>
      <c r="J317" s="81" t="n">
        <f aca="true">RAND()</f>
        <v>0.704225498410766</v>
      </c>
      <c r="K317" s="83" t="n">
        <f aca="false">IF(J317&lt;(Inputs!$E$18-Inputs!$D$18)/(Inputs!$F$18-Inputs!$D$18),Inputs!$D$18+SQRT(J317*(Inputs!$F$18-Inputs!$D$18)*(Inputs!$E$18-Inputs!$D$18)),Inputs!$F$18-SQRT((1-J317)*(Inputs!$F$18-Inputs!$D$18)*(Inputs!$F$18-Inputs!$E$18)))</f>
        <v>1.08912654386426</v>
      </c>
      <c r="L317" s="81" t="n">
        <f aca="true">RAND()</f>
        <v>0.959200316317812</v>
      </c>
      <c r="M317" s="83" t="n">
        <f aca="false">IF(L317&lt;(Inputs!$E$24-Inputs!$D$24)/(Inputs!$F$24-Inputs!$D$24),Inputs!$D$24+SQRT(L317*(Inputs!$F$24-Inputs!$D$24)*(Inputs!$E$24-Inputs!$D$24)),Inputs!$F$24-SQRT((1-L317)*(Inputs!$F$24-Inputs!$D$24)*(Inputs!$F$24-Inputs!$E$24)))</f>
        <v>1.10104584857761</v>
      </c>
      <c r="N317" s="81" t="n">
        <f aca="true">RAND()</f>
        <v>0.478410355198588</v>
      </c>
      <c r="O317" s="83" t="n">
        <f aca="false">IF(N317&lt;(Inputs!$E$26-Inputs!$D$26)/(Inputs!$F$26-Inputs!$D$26),Inputs!$D$26+SQRT(N317*(Inputs!$F$26-Inputs!$D$26)*(Inputs!$E$26-Inputs!$D$26)),Inputs!$F$26-SQRT((1-N317)*(Inputs!$F$26-Inputs!$D$26)*(Inputs!$F$26-Inputs!$E$26)))</f>
        <v>0.58214798086296</v>
      </c>
      <c r="P317" s="81" t="n">
        <f aca="true">RAND()</f>
        <v>0.680725969878549</v>
      </c>
      <c r="Q317" s="82" t="n">
        <f aca="false">IF(P317&lt;(Inputs!$E$27-Inputs!$D$27)/(Inputs!$F$27-Inputs!$D$27),Inputs!$D$27+SQRT(P317*(Inputs!$F$27-Inputs!$D$27)*(Inputs!$E$27-Inputs!$D$27)),Inputs!$F$27-SQRT((1-P317)*(Inputs!$F$27-Inputs!$D$27)*(Inputs!$F$27-Inputs!$E$27)))</f>
        <v>101.065807190566</v>
      </c>
      <c r="R317" s="81" t="n">
        <f aca="true">RAND()</f>
        <v>0.180404320165379</v>
      </c>
      <c r="S317" s="82" t="n">
        <f aca="false">IF(R317&lt;(Inputs!$E$29-Inputs!$D$29)/(Inputs!$F$29-Inputs!$D$29),Inputs!$D$29+SQRT(R317*(Inputs!$F$29-Inputs!$D$29)*(Inputs!$E$29-Inputs!$D$29)),Inputs!$F$29-SQRT((1-R317)*(Inputs!$F$29-Inputs!$D$29)*(Inputs!$F$29-Inputs!$E$29)))</f>
        <v>4.65250230658708</v>
      </c>
      <c r="T317" s="68" t="n">
        <f aca="false">Inputs!$E$9*(1+E317)+Inputs!$E$5*C317*(Inputs!$E$11*Inputs!$E$14*(G317*I317/Inputs!$E$16+(1-G317))*K317+Inputs!$E$23*M317)*(1+O317)+Inputs!$E$5*(Q317+S317)</f>
        <v>6827.22588396777</v>
      </c>
    </row>
    <row r="318" customFormat="false" ht="15" hidden="false" customHeight="false" outlineLevel="0" collapsed="false">
      <c r="A318" s="1" t="n">
        <v>314</v>
      </c>
      <c r="B318" s="81" t="n">
        <f aca="true">RAND()</f>
        <v>0.274677907589219</v>
      </c>
      <c r="C318" s="82" t="n">
        <f aca="false">ROUND(IF(B318&lt;(Inputs!$E$8-Inputs!$D$8)/(Inputs!$F$8-Inputs!$D$8),Inputs!$D$8+SQRT(B318*(Inputs!$F$8-Inputs!$D$8)*(Inputs!$E$8-Inputs!$D$8)),Inputs!$F$8-SQRT((1-B318)*(Inputs!$F$8-Inputs!$D$8)*(Inputs!$F$8-Inputs!$E$8))),0)</f>
        <v>24</v>
      </c>
      <c r="D318" s="81" t="n">
        <f aca="true">RAND()</f>
        <v>0.197594441201377</v>
      </c>
      <c r="E318" s="83" t="n">
        <f aca="false">IF(D318&lt;(Inputs!$E$10-Inputs!$D$10)/(Inputs!$F$10-Inputs!$D$10),Inputs!$D$10+SQRT(D318*(Inputs!$F$10-Inputs!$D$10)*(Inputs!$E$10-Inputs!$D$10)),Inputs!$F$10-SQRT((1-D318)*(Inputs!$F$10-Inputs!$D$10)*(Inputs!$F$10-Inputs!$E$10)))</f>
        <v>0.0444515962819533</v>
      </c>
      <c r="F318" s="81" t="n">
        <f aca="true">RAND()</f>
        <v>0.260283249643146</v>
      </c>
      <c r="G318" s="83" t="n">
        <f aca="false">IF(F318&lt;(Inputs!$E$15-Inputs!$D$15)/(Inputs!$F$15-Inputs!$D$15),Inputs!$D$15+SQRT(F318*(Inputs!$F$15-Inputs!$D$15)*(Inputs!$E$15-Inputs!$D$15)),Inputs!$F$15-SQRT((1-F318)*(Inputs!$F$15-Inputs!$D$15)*(Inputs!$F$15-Inputs!$E$15)))</f>
        <v>0.672150294475234</v>
      </c>
      <c r="H318" s="81" t="n">
        <f aca="true">RAND()</f>
        <v>0.648061524442429</v>
      </c>
      <c r="I318" s="82" t="n">
        <f aca="false">ROUND(IF(H318&lt;(Inputs!$E$17-Inputs!$D$17)/(Inputs!$F$17-Inputs!$D$17),Inputs!$D$17+SQRT(H318*(Inputs!$F$17-Inputs!$D$17)*(Inputs!$E$17-Inputs!$D$17)),Inputs!$F$17-SQRT((1-H318)*(Inputs!$F$17-Inputs!$D$17)*(Inputs!$F$17-Inputs!$E$17))),0)</f>
        <v>108</v>
      </c>
      <c r="J318" s="81" t="n">
        <f aca="true">RAND()</f>
        <v>0.0150105762959472</v>
      </c>
      <c r="K318" s="83" t="n">
        <f aca="false">IF(J318&lt;(Inputs!$E$18-Inputs!$D$18)/(Inputs!$F$18-Inputs!$D$18),Inputs!$D$18+SQRT(J318*(Inputs!$F$18-Inputs!$D$18)*(Inputs!$E$18-Inputs!$D$18)),Inputs!$F$18-SQRT((1-J318)*(Inputs!$F$18-Inputs!$D$18)*(Inputs!$F$18-Inputs!$E$18)))</f>
        <v>0.922920954830856</v>
      </c>
      <c r="L318" s="81" t="n">
        <f aca="true">RAND()</f>
        <v>0.0287254322139466</v>
      </c>
      <c r="M318" s="83" t="n">
        <f aca="false">IF(L318&lt;(Inputs!$E$24-Inputs!$D$24)/(Inputs!$F$24-Inputs!$D$24),Inputs!$D$24+SQRT(L318*(Inputs!$F$24-Inputs!$D$24)*(Inputs!$E$24-Inputs!$D$24)),Inputs!$F$24-SQRT((1-L318)*(Inputs!$F$24-Inputs!$D$24)*(Inputs!$F$24-Inputs!$E$24)))</f>
        <v>0.658711599072701</v>
      </c>
      <c r="N318" s="81" t="n">
        <f aca="true">RAND()</f>
        <v>0.810510461426278</v>
      </c>
      <c r="O318" s="83" t="n">
        <f aca="false">IF(N318&lt;(Inputs!$E$26-Inputs!$D$26)/(Inputs!$F$26-Inputs!$D$26),Inputs!$D$26+SQRT(N318*(Inputs!$F$26-Inputs!$D$26)*(Inputs!$E$26-Inputs!$D$26)),Inputs!$F$26-SQRT((1-N318)*(Inputs!$F$26-Inputs!$D$26)*(Inputs!$F$26-Inputs!$E$26)))</f>
        <v>0.679618690661231</v>
      </c>
      <c r="P318" s="81" t="n">
        <f aca="true">RAND()</f>
        <v>0.837260172971355</v>
      </c>
      <c r="Q318" s="82" t="n">
        <f aca="false">IF(P318&lt;(Inputs!$E$27-Inputs!$D$27)/(Inputs!$F$27-Inputs!$D$27),Inputs!$D$27+SQRT(P318*(Inputs!$F$27-Inputs!$D$27)*(Inputs!$E$27-Inputs!$D$27)),Inputs!$F$27-SQRT((1-P318)*(Inputs!$F$27-Inputs!$D$27)*(Inputs!$F$27-Inputs!$E$27)))</f>
        <v>115.063647833312</v>
      </c>
      <c r="R318" s="81" t="n">
        <f aca="true">RAND()</f>
        <v>0.923915455517643</v>
      </c>
      <c r="S318" s="82" t="n">
        <f aca="false">IF(R318&lt;(Inputs!$E$29-Inputs!$D$29)/(Inputs!$F$29-Inputs!$D$29),Inputs!$D$29+SQRT(R318*(Inputs!$F$29-Inputs!$D$29)*(Inputs!$E$29-Inputs!$D$29)),Inputs!$F$29-SQRT((1-R318)*(Inputs!$F$29-Inputs!$D$29)*(Inputs!$F$29-Inputs!$E$29)))</f>
        <v>11.855005439956</v>
      </c>
      <c r="T318" s="68" t="n">
        <f aca="false">Inputs!$E$9*(1+E318)+Inputs!$E$5*C318*(Inputs!$E$11*Inputs!$E$14*(G318*I318/Inputs!$E$16+(1-G318))*K318+Inputs!$E$23*M318)*(1+O318)+Inputs!$E$5*(Q318+S318)</f>
        <v>5942.64505324833</v>
      </c>
    </row>
    <row r="319" customFormat="false" ht="15" hidden="false" customHeight="false" outlineLevel="0" collapsed="false">
      <c r="A319" s="1" t="n">
        <v>315</v>
      </c>
      <c r="B319" s="81" t="n">
        <f aca="true">RAND()</f>
        <v>0.0787972909776083</v>
      </c>
      <c r="C319" s="82" t="n">
        <f aca="false">ROUND(IF(B319&lt;(Inputs!$E$8-Inputs!$D$8)/(Inputs!$F$8-Inputs!$D$8),Inputs!$D$8+SQRT(B319*(Inputs!$F$8-Inputs!$D$8)*(Inputs!$E$8-Inputs!$D$8)),Inputs!$F$8-SQRT((1-B319)*(Inputs!$F$8-Inputs!$D$8)*(Inputs!$F$8-Inputs!$E$8))),0)</f>
        <v>22</v>
      </c>
      <c r="D319" s="81" t="n">
        <f aca="true">RAND()</f>
        <v>0.531437247608018</v>
      </c>
      <c r="E319" s="83" t="n">
        <f aca="false">IF(D319&lt;(Inputs!$E$10-Inputs!$D$10)/(Inputs!$F$10-Inputs!$D$10),Inputs!$D$10+SQRT(D319*(Inputs!$F$10-Inputs!$D$10)*(Inputs!$E$10-Inputs!$D$10)),Inputs!$F$10-SQRT((1-D319)*(Inputs!$F$10-Inputs!$D$10)*(Inputs!$F$10-Inputs!$E$10)))</f>
        <v>0.0814382752665959</v>
      </c>
      <c r="F319" s="81" t="n">
        <f aca="true">RAND()</f>
        <v>0.723520499128341</v>
      </c>
      <c r="G319" s="83" t="n">
        <f aca="false">IF(F319&lt;(Inputs!$E$15-Inputs!$D$15)/(Inputs!$F$15-Inputs!$D$15),Inputs!$D$15+SQRT(F319*(Inputs!$F$15-Inputs!$D$15)*(Inputs!$E$15-Inputs!$D$15)),Inputs!$F$15-SQRT((1-F319)*(Inputs!$F$15-Inputs!$D$15)*(Inputs!$F$15-Inputs!$E$15)))</f>
        <v>0.725638786874923</v>
      </c>
      <c r="H319" s="81" t="n">
        <f aca="true">RAND()</f>
        <v>0.383067969631005</v>
      </c>
      <c r="I319" s="82" t="n">
        <f aca="false">ROUND(IF(H319&lt;(Inputs!$E$17-Inputs!$D$17)/(Inputs!$F$17-Inputs!$D$17),Inputs!$D$17+SQRT(H319*(Inputs!$F$17-Inputs!$D$17)*(Inputs!$E$17-Inputs!$D$17)),Inputs!$F$17-SQRT((1-H319)*(Inputs!$F$17-Inputs!$D$17)*(Inputs!$F$17-Inputs!$E$17))),0)</f>
        <v>105</v>
      </c>
      <c r="J319" s="81" t="n">
        <f aca="true">RAND()</f>
        <v>0.733717782654552</v>
      </c>
      <c r="K319" s="83" t="n">
        <f aca="false">IF(J319&lt;(Inputs!$E$18-Inputs!$D$18)/(Inputs!$F$18-Inputs!$D$18),Inputs!$D$18+SQRT(J319*(Inputs!$F$18-Inputs!$D$18)*(Inputs!$E$18-Inputs!$D$18)),Inputs!$F$18-SQRT((1-J319)*(Inputs!$F$18-Inputs!$D$18)*(Inputs!$F$18-Inputs!$E$18)))</f>
        <v>1.09735762705681</v>
      </c>
      <c r="L319" s="81" t="n">
        <f aca="true">RAND()</f>
        <v>0.929125931968123</v>
      </c>
      <c r="M319" s="83" t="n">
        <f aca="false">IF(L319&lt;(Inputs!$E$24-Inputs!$D$24)/(Inputs!$F$24-Inputs!$D$24),Inputs!$D$24+SQRT(L319*(Inputs!$F$24-Inputs!$D$24)*(Inputs!$E$24-Inputs!$D$24)),Inputs!$F$24-SQRT((1-L319)*(Inputs!$F$24-Inputs!$D$24)*(Inputs!$F$24-Inputs!$E$24)))</f>
        <v>1.06957846677925</v>
      </c>
      <c r="N319" s="81" t="n">
        <f aca="true">RAND()</f>
        <v>0.892578618361567</v>
      </c>
      <c r="O319" s="83" t="n">
        <f aca="false">IF(N319&lt;(Inputs!$E$26-Inputs!$D$26)/(Inputs!$F$26-Inputs!$D$26),Inputs!$D$26+SQRT(N319*(Inputs!$F$26-Inputs!$D$26)*(Inputs!$E$26-Inputs!$D$26)),Inputs!$F$26-SQRT((1-N319)*(Inputs!$F$26-Inputs!$D$26)*(Inputs!$F$26-Inputs!$E$26)))</f>
        <v>0.714303151937264</v>
      </c>
      <c r="P319" s="81" t="n">
        <f aca="true">RAND()</f>
        <v>0.486599523566841</v>
      </c>
      <c r="Q319" s="82" t="n">
        <f aca="false">IF(P319&lt;(Inputs!$E$27-Inputs!$D$27)/(Inputs!$F$27-Inputs!$D$27),Inputs!$D$27+SQRT(P319*(Inputs!$F$27-Inputs!$D$27)*(Inputs!$E$27-Inputs!$D$27)),Inputs!$F$27-SQRT((1-P319)*(Inputs!$F$27-Inputs!$D$27)*(Inputs!$F$27-Inputs!$E$27)))</f>
        <v>87.9475739938502</v>
      </c>
      <c r="R319" s="81" t="n">
        <f aca="true">RAND()</f>
        <v>0.477828792298309</v>
      </c>
      <c r="S319" s="82" t="n">
        <f aca="false">IF(R319&lt;(Inputs!$E$29-Inputs!$D$29)/(Inputs!$F$29-Inputs!$D$29),Inputs!$D$29+SQRT(R319*(Inputs!$F$29-Inputs!$D$29)*(Inputs!$E$29-Inputs!$D$29)),Inputs!$F$29-SQRT((1-R319)*(Inputs!$F$29-Inputs!$D$29)*(Inputs!$F$29-Inputs!$E$29)))</f>
        <v>6.76093105980901</v>
      </c>
      <c r="T319" s="68" t="n">
        <f aca="false">Inputs!$E$9*(1+E319)+Inputs!$E$5*C319*(Inputs!$E$11*Inputs!$E$14*(G319*I319/Inputs!$E$16+(1-G319))*K319+Inputs!$E$23*M319)*(1+O319)+Inputs!$E$5*(Q319+S319)</f>
        <v>6477.98568471258</v>
      </c>
    </row>
    <row r="320" customFormat="false" ht="15" hidden="false" customHeight="false" outlineLevel="0" collapsed="false">
      <c r="A320" s="1" t="n">
        <v>316</v>
      </c>
      <c r="B320" s="81" t="n">
        <f aca="true">RAND()</f>
        <v>0.192002717591586</v>
      </c>
      <c r="C320" s="82" t="n">
        <f aca="false">ROUND(IF(B320&lt;(Inputs!$E$8-Inputs!$D$8)/(Inputs!$F$8-Inputs!$D$8),Inputs!$D$8+SQRT(B320*(Inputs!$F$8-Inputs!$D$8)*(Inputs!$E$8-Inputs!$D$8)),Inputs!$F$8-SQRT((1-B320)*(Inputs!$F$8-Inputs!$D$8)*(Inputs!$F$8-Inputs!$E$8))),0)</f>
        <v>23</v>
      </c>
      <c r="D320" s="81" t="n">
        <f aca="true">RAND()</f>
        <v>0.880384505652801</v>
      </c>
      <c r="E320" s="83" t="n">
        <f aca="false">IF(D320&lt;(Inputs!$E$10-Inputs!$D$10)/(Inputs!$F$10-Inputs!$D$10),Inputs!$D$10+SQRT(D320*(Inputs!$F$10-Inputs!$D$10)*(Inputs!$E$10-Inputs!$D$10)),Inputs!$F$10-SQRT((1-D320)*(Inputs!$F$10-Inputs!$D$10)*(Inputs!$F$10-Inputs!$E$10)))</f>
        <v>0.140096203539208</v>
      </c>
      <c r="F320" s="81" t="n">
        <f aca="true">RAND()</f>
        <v>0.823182870882642</v>
      </c>
      <c r="G320" s="83" t="n">
        <f aca="false">IF(F320&lt;(Inputs!$E$15-Inputs!$D$15)/(Inputs!$F$15-Inputs!$D$15),Inputs!$D$15+SQRT(F320*(Inputs!$F$15-Inputs!$D$15)*(Inputs!$E$15-Inputs!$D$15)),Inputs!$F$15-SQRT((1-F320)*(Inputs!$F$15-Inputs!$D$15)*(Inputs!$F$15-Inputs!$E$15)))</f>
        <v>0.740532844507685</v>
      </c>
      <c r="H320" s="81" t="n">
        <f aca="true">RAND()</f>
        <v>0.57808487999304</v>
      </c>
      <c r="I320" s="82" t="n">
        <f aca="false">ROUND(IF(H320&lt;(Inputs!$E$17-Inputs!$D$17)/(Inputs!$F$17-Inputs!$D$17),Inputs!$D$17+SQRT(H320*(Inputs!$F$17-Inputs!$D$17)*(Inputs!$E$17-Inputs!$D$17)),Inputs!$F$17-SQRT((1-H320)*(Inputs!$F$17-Inputs!$D$17)*(Inputs!$F$17-Inputs!$E$17))),0)</f>
        <v>107</v>
      </c>
      <c r="J320" s="81" t="n">
        <f aca="true">RAND()</f>
        <v>0.848060068996294</v>
      </c>
      <c r="K320" s="83" t="n">
        <f aca="false">IF(J320&lt;(Inputs!$E$18-Inputs!$D$18)/(Inputs!$F$18-Inputs!$D$18),Inputs!$D$18+SQRT(J320*(Inputs!$F$18-Inputs!$D$18)*(Inputs!$E$18-Inputs!$D$18)),Inputs!$F$18-SQRT((1-J320)*(Inputs!$F$18-Inputs!$D$18)*(Inputs!$F$18-Inputs!$E$18)))</f>
        <v>1.1346971641163</v>
      </c>
      <c r="L320" s="81" t="n">
        <f aca="true">RAND()</f>
        <v>0.278943537927467</v>
      </c>
      <c r="M320" s="83" t="n">
        <f aca="false">IF(L320&lt;(Inputs!$E$24-Inputs!$D$24)/(Inputs!$F$24-Inputs!$D$24),Inputs!$D$24+SQRT(L320*(Inputs!$F$24-Inputs!$D$24)*(Inputs!$E$24-Inputs!$D$24)),Inputs!$F$24-SQRT((1-L320)*(Inputs!$F$24-Inputs!$D$24)*(Inputs!$F$24-Inputs!$E$24)))</f>
        <v>0.782956892603958</v>
      </c>
      <c r="N320" s="81" t="n">
        <f aca="true">RAND()</f>
        <v>0.892370096966789</v>
      </c>
      <c r="O320" s="83" t="n">
        <f aca="false">IF(N320&lt;(Inputs!$E$26-Inputs!$D$26)/(Inputs!$F$26-Inputs!$D$26),Inputs!$D$26+SQRT(N320*(Inputs!$F$26-Inputs!$D$26)*(Inputs!$E$26-Inputs!$D$26)),Inputs!$F$26-SQRT((1-N320)*(Inputs!$F$26-Inputs!$D$26)*(Inputs!$F$26-Inputs!$E$26)))</f>
        <v>0.714200614768072</v>
      </c>
      <c r="P320" s="81" t="n">
        <f aca="true">RAND()</f>
        <v>0.783486622387341</v>
      </c>
      <c r="Q320" s="82" t="n">
        <f aca="false">IF(P320&lt;(Inputs!$E$27-Inputs!$D$27)/(Inputs!$F$27-Inputs!$D$27),Inputs!$D$27+SQRT(P320*(Inputs!$F$27-Inputs!$D$27)*(Inputs!$E$27-Inputs!$D$27)),Inputs!$F$27-SQRT((1-P320)*(Inputs!$F$27-Inputs!$D$27)*(Inputs!$F$27-Inputs!$E$27)))</f>
        <v>109.702973656919</v>
      </c>
      <c r="R320" s="81" t="n">
        <f aca="true">RAND()</f>
        <v>0.755996798697446</v>
      </c>
      <c r="S320" s="82" t="n">
        <f aca="false">IF(R320&lt;(Inputs!$E$29-Inputs!$D$29)/(Inputs!$F$29-Inputs!$D$29),Inputs!$D$29+SQRT(R320*(Inputs!$F$29-Inputs!$D$29)*(Inputs!$E$29-Inputs!$D$29)),Inputs!$F$29-SQRT((1-R320)*(Inputs!$F$29-Inputs!$D$29)*(Inputs!$F$29-Inputs!$E$29)))</f>
        <v>9.36791191747395</v>
      </c>
      <c r="T320" s="68" t="n">
        <f aca="false">Inputs!$E$9*(1+E320)+Inputs!$E$5*C320*(Inputs!$E$11*Inputs!$E$14*(G320*I320/Inputs!$E$16+(1-G320))*K320+Inputs!$E$23*M320)*(1+O320)+Inputs!$E$5*(Q320+S320)</f>
        <v>6573.71481478987</v>
      </c>
    </row>
    <row r="321" customFormat="false" ht="15" hidden="false" customHeight="false" outlineLevel="0" collapsed="false">
      <c r="A321" s="1" t="n">
        <v>317</v>
      </c>
      <c r="B321" s="81" t="n">
        <f aca="true">RAND()</f>
        <v>0.233802540103579</v>
      </c>
      <c r="C321" s="82" t="n">
        <f aca="false">ROUND(IF(B321&lt;(Inputs!$E$8-Inputs!$D$8)/(Inputs!$F$8-Inputs!$D$8),Inputs!$D$8+SQRT(B321*(Inputs!$F$8-Inputs!$D$8)*(Inputs!$E$8-Inputs!$D$8)),Inputs!$F$8-SQRT((1-B321)*(Inputs!$F$8-Inputs!$D$8)*(Inputs!$F$8-Inputs!$E$8))),0)</f>
        <v>23</v>
      </c>
      <c r="D321" s="81" t="n">
        <f aca="true">RAND()</f>
        <v>0.976741199487862</v>
      </c>
      <c r="E321" s="83" t="n">
        <f aca="false">IF(D321&lt;(Inputs!$E$10-Inputs!$D$10)/(Inputs!$F$10-Inputs!$D$10),Inputs!$D$10+SQRT(D321*(Inputs!$F$10-Inputs!$D$10)*(Inputs!$E$10-Inputs!$D$10)),Inputs!$F$10-SQRT((1-D321)*(Inputs!$F$10-Inputs!$D$10)*(Inputs!$F$10-Inputs!$E$10)))</f>
        <v>0.173584776825396</v>
      </c>
      <c r="F321" s="81" t="n">
        <f aca="true">RAND()</f>
        <v>0.572232913092645</v>
      </c>
      <c r="G321" s="83" t="n">
        <f aca="false">IF(F321&lt;(Inputs!$E$15-Inputs!$D$15)/(Inputs!$F$15-Inputs!$D$15),Inputs!$D$15+SQRT(F321*(Inputs!$F$15-Inputs!$D$15)*(Inputs!$E$15-Inputs!$D$15)),Inputs!$F$15-SQRT((1-F321)*(Inputs!$F$15-Inputs!$D$15)*(Inputs!$F$15-Inputs!$E$15)))</f>
        <v>0.707504909653825</v>
      </c>
      <c r="H321" s="81" t="n">
        <f aca="true">RAND()</f>
        <v>0.277496637279195</v>
      </c>
      <c r="I321" s="82" t="n">
        <f aca="false">ROUND(IF(H321&lt;(Inputs!$E$17-Inputs!$D$17)/(Inputs!$F$17-Inputs!$D$17),Inputs!$D$17+SQRT(H321*(Inputs!$F$17-Inputs!$D$17)*(Inputs!$E$17-Inputs!$D$17)),Inputs!$F$17-SQRT((1-H321)*(Inputs!$F$17-Inputs!$D$17)*(Inputs!$F$17-Inputs!$E$17))),0)</f>
        <v>105</v>
      </c>
      <c r="J321" s="81" t="n">
        <f aca="true">RAND()</f>
        <v>0.554106341952445</v>
      </c>
      <c r="K321" s="83" t="n">
        <f aca="false">IF(J321&lt;(Inputs!$E$18-Inputs!$D$18)/(Inputs!$F$18-Inputs!$D$18),Inputs!$D$18+SQRT(J321*(Inputs!$F$18-Inputs!$D$18)*(Inputs!$E$18-Inputs!$D$18)),Inputs!$F$18-SQRT((1-J321)*(Inputs!$F$18-Inputs!$D$18)*(Inputs!$F$18-Inputs!$E$18)))</f>
        <v>1.05247608985452</v>
      </c>
      <c r="L321" s="81" t="n">
        <f aca="true">RAND()</f>
        <v>0.961466670869954</v>
      </c>
      <c r="M321" s="83" t="n">
        <f aca="false">IF(L321&lt;(Inputs!$E$24-Inputs!$D$24)/(Inputs!$F$24-Inputs!$D$24),Inputs!$D$24+SQRT(L321*(Inputs!$F$24-Inputs!$D$24)*(Inputs!$E$24-Inputs!$D$24)),Inputs!$F$24-SQRT((1-L321)*(Inputs!$F$24-Inputs!$D$24)*(Inputs!$F$24-Inputs!$E$24)))</f>
        <v>1.10383348300364</v>
      </c>
      <c r="N321" s="81" t="n">
        <f aca="true">RAND()</f>
        <v>0.554524644528001</v>
      </c>
      <c r="O321" s="83" t="n">
        <f aca="false">IF(N321&lt;(Inputs!$E$26-Inputs!$D$26)/(Inputs!$F$26-Inputs!$D$26),Inputs!$D$26+SQRT(N321*(Inputs!$F$26-Inputs!$D$26)*(Inputs!$E$26-Inputs!$D$26)),Inputs!$F$26-SQRT((1-N321)*(Inputs!$F$26-Inputs!$D$26)*(Inputs!$F$26-Inputs!$E$26)))</f>
        <v>0.603764548374986</v>
      </c>
      <c r="P321" s="81" t="n">
        <f aca="true">RAND()</f>
        <v>0.25585071288452</v>
      </c>
      <c r="Q321" s="82" t="n">
        <f aca="false">IF(P321&lt;(Inputs!$E$27-Inputs!$D$27)/(Inputs!$F$27-Inputs!$D$27),Inputs!$D$27+SQRT(P321*(Inputs!$F$27-Inputs!$D$27)*(Inputs!$E$27-Inputs!$D$27)),Inputs!$F$27-SQRT((1-P321)*(Inputs!$F$27-Inputs!$D$27)*(Inputs!$F$27-Inputs!$E$27)))</f>
        <v>75.2931083944319</v>
      </c>
      <c r="R321" s="81" t="n">
        <f aca="true">RAND()</f>
        <v>0.134476683496245</v>
      </c>
      <c r="S321" s="82" t="n">
        <f aca="false">IF(R321&lt;(Inputs!$E$29-Inputs!$D$29)/(Inputs!$F$29-Inputs!$D$29),Inputs!$D$29+SQRT(R321*(Inputs!$F$29-Inputs!$D$29)*(Inputs!$E$29-Inputs!$D$29)),Inputs!$F$29-SQRT((1-R321)*(Inputs!$F$29-Inputs!$D$29)*(Inputs!$F$29-Inputs!$E$29)))</f>
        <v>4.29010712770245</v>
      </c>
      <c r="T321" s="68" t="n">
        <f aca="false">Inputs!$E$9*(1+E321)+Inputs!$E$5*C321*(Inputs!$E$11*Inputs!$E$14*(G321*I321/Inputs!$E$16+(1-G321))*K321+Inputs!$E$23*M321)*(1+O321)+Inputs!$E$5*(Q321+S321)</f>
        <v>6506.48620657896</v>
      </c>
    </row>
    <row r="322" customFormat="false" ht="15" hidden="false" customHeight="false" outlineLevel="0" collapsed="false">
      <c r="A322" s="1" t="n">
        <v>318</v>
      </c>
      <c r="B322" s="81" t="n">
        <f aca="true">RAND()</f>
        <v>0.705234504033893</v>
      </c>
      <c r="C322" s="82" t="n">
        <f aca="false">ROUND(IF(B322&lt;(Inputs!$E$8-Inputs!$D$8)/(Inputs!$F$8-Inputs!$D$8),Inputs!$D$8+SQRT(B322*(Inputs!$F$8-Inputs!$D$8)*(Inputs!$E$8-Inputs!$D$8)),Inputs!$F$8-SQRT((1-B322)*(Inputs!$F$8-Inputs!$D$8)*(Inputs!$F$8-Inputs!$E$8))),0)</f>
        <v>26</v>
      </c>
      <c r="D322" s="81" t="n">
        <f aca="true">RAND()</f>
        <v>0.172153069585888</v>
      </c>
      <c r="E322" s="83" t="n">
        <f aca="false">IF(D322&lt;(Inputs!$E$10-Inputs!$D$10)/(Inputs!$F$10-Inputs!$D$10),Inputs!$D$10+SQRT(D322*(Inputs!$F$10-Inputs!$D$10)*(Inputs!$E$10-Inputs!$D$10)),Inputs!$F$10-SQRT((1-D322)*(Inputs!$F$10-Inputs!$D$10)*(Inputs!$F$10-Inputs!$E$10)))</f>
        <v>0.041491332779978</v>
      </c>
      <c r="F322" s="81" t="n">
        <f aca="true">RAND()</f>
        <v>0.492004143602578</v>
      </c>
      <c r="G322" s="83" t="n">
        <f aca="false">IF(F322&lt;(Inputs!$E$15-Inputs!$D$15)/(Inputs!$F$15-Inputs!$D$15),Inputs!$D$15+SQRT(F322*(Inputs!$F$15-Inputs!$D$15)*(Inputs!$E$15-Inputs!$D$15)),Inputs!$F$15-SQRT((1-F322)*(Inputs!$F$15-Inputs!$D$15)*(Inputs!$F$15-Inputs!$E$15)))</f>
        <v>0.699197191855675</v>
      </c>
      <c r="H322" s="81" t="n">
        <f aca="true">RAND()</f>
        <v>0.0150446217768797</v>
      </c>
      <c r="I322" s="82" t="n">
        <f aca="false">ROUND(IF(H322&lt;(Inputs!$E$17-Inputs!$D$17)/(Inputs!$F$17-Inputs!$D$17),Inputs!$D$17+SQRT(H322*(Inputs!$F$17-Inputs!$D$17)*(Inputs!$E$17-Inputs!$D$17)),Inputs!$F$17-SQRT((1-H322)*(Inputs!$F$17-Inputs!$D$17)*(Inputs!$F$17-Inputs!$E$17))),0)</f>
        <v>101</v>
      </c>
      <c r="J322" s="81" t="n">
        <f aca="true">RAND()</f>
        <v>0.580260813337439</v>
      </c>
      <c r="K322" s="83" t="n">
        <f aca="false">IF(J322&lt;(Inputs!$E$18-Inputs!$D$18)/(Inputs!$F$18-Inputs!$D$18),Inputs!$D$18+SQRT(J322*(Inputs!$F$18-Inputs!$D$18)*(Inputs!$E$18-Inputs!$D$18)),Inputs!$F$18-SQRT((1-J322)*(Inputs!$F$18-Inputs!$D$18)*(Inputs!$F$18-Inputs!$E$18)))</f>
        <v>1.05835663634507</v>
      </c>
      <c r="L322" s="81" t="n">
        <f aca="true">RAND()</f>
        <v>0.418753503681116</v>
      </c>
      <c r="M322" s="83" t="n">
        <f aca="false">IF(L322&lt;(Inputs!$E$24-Inputs!$D$24)/(Inputs!$F$24-Inputs!$D$24),Inputs!$D$24+SQRT(L322*(Inputs!$F$24-Inputs!$D$24)*(Inputs!$E$24-Inputs!$D$24)),Inputs!$F$24-SQRT((1-L322)*(Inputs!$F$24-Inputs!$D$24)*(Inputs!$F$24-Inputs!$E$24)))</f>
        <v>0.826504137751792</v>
      </c>
      <c r="N322" s="81" t="n">
        <f aca="true">RAND()</f>
        <v>0.729410508903639</v>
      </c>
      <c r="O322" s="83" t="n">
        <f aca="false">IF(N322&lt;(Inputs!$E$26-Inputs!$D$26)/(Inputs!$F$26-Inputs!$D$26),Inputs!$D$26+SQRT(N322*(Inputs!$F$26-Inputs!$D$26)*(Inputs!$E$26-Inputs!$D$26)),Inputs!$F$26-SQRT((1-N322)*(Inputs!$F$26-Inputs!$D$26)*(Inputs!$F$26-Inputs!$E$26)))</f>
        <v>0.652246290431414</v>
      </c>
      <c r="P322" s="81" t="n">
        <f aca="true">RAND()</f>
        <v>0.418519488896654</v>
      </c>
      <c r="Q322" s="82" t="n">
        <f aca="false">IF(P322&lt;(Inputs!$E$27-Inputs!$D$27)/(Inputs!$F$27-Inputs!$D$27),Inputs!$D$27+SQRT(P322*(Inputs!$F$27-Inputs!$D$27)*(Inputs!$E$27-Inputs!$D$27)),Inputs!$F$27-SQRT((1-P322)*(Inputs!$F$27-Inputs!$D$27)*(Inputs!$F$27-Inputs!$E$27)))</f>
        <v>83.9613459156299</v>
      </c>
      <c r="R322" s="81" t="n">
        <f aca="true">RAND()</f>
        <v>0.405858707706649</v>
      </c>
      <c r="S322" s="82" t="n">
        <f aca="false">IF(R322&lt;(Inputs!$E$29-Inputs!$D$29)/(Inputs!$F$29-Inputs!$D$29),Inputs!$D$29+SQRT(R322*(Inputs!$F$29-Inputs!$D$29)*(Inputs!$E$29-Inputs!$D$29)),Inputs!$F$29-SQRT((1-R322)*(Inputs!$F$29-Inputs!$D$29)*(Inputs!$F$29-Inputs!$E$29)))</f>
        <v>6.21146383075454</v>
      </c>
      <c r="T322" s="68" t="n">
        <f aca="false">Inputs!$E$9*(1+E322)+Inputs!$E$5*C322*(Inputs!$E$11*Inputs!$E$14*(G322*I322/Inputs!$E$16+(1-G322))*K322+Inputs!$E$23*M322)*(1+O322)+Inputs!$E$5*(Q322+S322)</f>
        <v>6397.7575531868</v>
      </c>
    </row>
    <row r="323" customFormat="false" ht="15" hidden="false" customHeight="false" outlineLevel="0" collapsed="false">
      <c r="A323" s="1" t="n">
        <v>319</v>
      </c>
      <c r="B323" s="81" t="n">
        <f aca="true">RAND()</f>
        <v>0.439565435563672</v>
      </c>
      <c r="C323" s="82" t="n">
        <f aca="false">ROUND(IF(B323&lt;(Inputs!$E$8-Inputs!$D$8)/(Inputs!$F$8-Inputs!$D$8),Inputs!$D$8+SQRT(B323*(Inputs!$F$8-Inputs!$D$8)*(Inputs!$E$8-Inputs!$D$8)),Inputs!$F$8-SQRT((1-B323)*(Inputs!$F$8-Inputs!$D$8)*(Inputs!$F$8-Inputs!$E$8))),0)</f>
        <v>25</v>
      </c>
      <c r="D323" s="81" t="n">
        <f aca="true">RAND()</f>
        <v>0.0780331826740251</v>
      </c>
      <c r="E323" s="83" t="n">
        <f aca="false">IF(D323&lt;(Inputs!$E$10-Inputs!$D$10)/(Inputs!$F$10-Inputs!$D$10),Inputs!$D$10+SQRT(D323*(Inputs!$F$10-Inputs!$D$10)*(Inputs!$E$10-Inputs!$D$10)),Inputs!$F$10-SQRT((1-D323)*(Inputs!$F$10-Inputs!$D$10)*(Inputs!$F$10-Inputs!$E$10)))</f>
        <v>0.0279344201074633</v>
      </c>
      <c r="F323" s="81" t="n">
        <f aca="true">RAND()</f>
        <v>0.8307172401848</v>
      </c>
      <c r="G323" s="83" t="n">
        <f aca="false">IF(F323&lt;(Inputs!$E$15-Inputs!$D$15)/(Inputs!$F$15-Inputs!$D$15),Inputs!$D$15+SQRT(F323*(Inputs!$F$15-Inputs!$D$15)*(Inputs!$E$15-Inputs!$D$15)),Inputs!$F$15-SQRT((1-F323)*(Inputs!$F$15-Inputs!$D$15)*(Inputs!$F$15-Inputs!$E$15)))</f>
        <v>0.741813616744946</v>
      </c>
      <c r="H323" s="81" t="n">
        <f aca="true">RAND()</f>
        <v>0.222583511246507</v>
      </c>
      <c r="I323" s="82" t="n">
        <f aca="false">ROUND(IF(H323&lt;(Inputs!$E$17-Inputs!$D$17)/(Inputs!$F$17-Inputs!$D$17),Inputs!$D$17+SQRT(H323*(Inputs!$F$17-Inputs!$D$17)*(Inputs!$E$17-Inputs!$D$17)),Inputs!$F$17-SQRT((1-H323)*(Inputs!$F$17-Inputs!$D$17)*(Inputs!$F$17-Inputs!$E$17))),0)</f>
        <v>104</v>
      </c>
      <c r="J323" s="81" t="n">
        <f aca="true">RAND()</f>
        <v>0.08776878384445</v>
      </c>
      <c r="K323" s="83" t="n">
        <f aca="false">IF(J323&lt;(Inputs!$E$18-Inputs!$D$18)/(Inputs!$F$18-Inputs!$D$18),Inputs!$D$18+SQRT(J323*(Inputs!$F$18-Inputs!$D$18)*(Inputs!$E$18-Inputs!$D$18)),Inputs!$F$18-SQRT((1-J323)*(Inputs!$F$18-Inputs!$D$18)*(Inputs!$F$18-Inputs!$E$18)))</f>
        <v>0.955424790793974</v>
      </c>
      <c r="L323" s="81" t="n">
        <f aca="true">RAND()</f>
        <v>0.572372750381301</v>
      </c>
      <c r="M323" s="83" t="n">
        <f aca="false">IF(L323&lt;(Inputs!$E$24-Inputs!$D$24)/(Inputs!$F$24-Inputs!$D$24),Inputs!$D$24+SQRT(L323*(Inputs!$F$24-Inputs!$D$24)*(Inputs!$E$24-Inputs!$D$24)),Inputs!$F$24-SQRT((1-L323)*(Inputs!$F$24-Inputs!$D$24)*(Inputs!$F$24-Inputs!$E$24)))</f>
        <v>0.879639983911088</v>
      </c>
      <c r="N323" s="81" t="n">
        <f aca="true">RAND()</f>
        <v>0.219070632301826</v>
      </c>
      <c r="O323" s="83" t="n">
        <f aca="false">IF(N323&lt;(Inputs!$E$26-Inputs!$D$26)/(Inputs!$F$26-Inputs!$D$26),Inputs!$D$26+SQRT(N323*(Inputs!$F$26-Inputs!$D$26)*(Inputs!$E$26-Inputs!$D$26)),Inputs!$F$26-SQRT((1-N323)*(Inputs!$F$26-Inputs!$D$26)*(Inputs!$F$26-Inputs!$E$26)))</f>
        <v>0.490927612500193</v>
      </c>
      <c r="P323" s="81" t="n">
        <f aca="true">RAND()</f>
        <v>0.592992918075975</v>
      </c>
      <c r="Q323" s="82" t="n">
        <f aca="false">IF(P323&lt;(Inputs!$E$27-Inputs!$D$27)/(Inputs!$F$27-Inputs!$D$27),Inputs!$D$27+SQRT(P323*(Inputs!$F$27-Inputs!$D$27)*(Inputs!$E$27-Inputs!$D$27)),Inputs!$F$27-SQRT((1-P323)*(Inputs!$F$27-Inputs!$D$27)*(Inputs!$F$27-Inputs!$E$27)))</f>
        <v>94.7500849373487</v>
      </c>
      <c r="R323" s="81" t="n">
        <f aca="true">RAND()</f>
        <v>0.775643844294426</v>
      </c>
      <c r="S323" s="82" t="n">
        <f aca="false">IF(R323&lt;(Inputs!$E$29-Inputs!$D$29)/(Inputs!$F$29-Inputs!$D$29),Inputs!$D$29+SQRT(R323*(Inputs!$F$29-Inputs!$D$29)*(Inputs!$E$29-Inputs!$D$29)),Inputs!$F$29-SQRT((1-R323)*(Inputs!$F$29-Inputs!$D$29)*(Inputs!$F$29-Inputs!$E$29)))</f>
        <v>9.59941667579097</v>
      </c>
      <c r="T323" s="68" t="n">
        <f aca="false">Inputs!$E$9*(1+E323)+Inputs!$E$5*C323*(Inputs!$E$11*Inputs!$E$14*(G323*I323/Inputs!$E$16+(1-G323))*K323+Inputs!$E$23*M323)*(1+O323)+Inputs!$E$5*(Q323+S323)</f>
        <v>5803.89227468438</v>
      </c>
    </row>
    <row r="324" customFormat="false" ht="15" hidden="false" customHeight="false" outlineLevel="0" collapsed="false">
      <c r="A324" s="1" t="n">
        <v>320</v>
      </c>
      <c r="B324" s="81" t="n">
        <f aca="true">RAND()</f>
        <v>0.981637611548327</v>
      </c>
      <c r="C324" s="82" t="n">
        <f aca="false">ROUND(IF(B324&lt;(Inputs!$E$8-Inputs!$D$8)/(Inputs!$F$8-Inputs!$D$8),Inputs!$D$8+SQRT(B324*(Inputs!$F$8-Inputs!$D$8)*(Inputs!$E$8-Inputs!$D$8)),Inputs!$F$8-SQRT((1-B324)*(Inputs!$F$8-Inputs!$D$8)*(Inputs!$F$8-Inputs!$E$8))),0)</f>
        <v>29</v>
      </c>
      <c r="D324" s="81" t="n">
        <f aca="true">RAND()</f>
        <v>0.494311191722924</v>
      </c>
      <c r="E324" s="83" t="n">
        <f aca="false">IF(D324&lt;(Inputs!$E$10-Inputs!$D$10)/(Inputs!$F$10-Inputs!$D$10),Inputs!$D$10+SQRT(D324*(Inputs!$F$10-Inputs!$D$10)*(Inputs!$E$10-Inputs!$D$10)),Inputs!$F$10-SQRT((1-D324)*(Inputs!$F$10-Inputs!$D$10)*(Inputs!$F$10-Inputs!$E$10)))</f>
        <v>0.0768307495828919</v>
      </c>
      <c r="F324" s="81" t="n">
        <f aca="true">RAND()</f>
        <v>0.416629738180897</v>
      </c>
      <c r="G324" s="83" t="n">
        <f aca="false">IF(F324&lt;(Inputs!$E$15-Inputs!$D$15)/(Inputs!$F$15-Inputs!$D$15),Inputs!$D$15+SQRT(F324*(Inputs!$F$15-Inputs!$D$15)*(Inputs!$E$15-Inputs!$D$15)),Inputs!$F$15-SQRT((1-F324)*(Inputs!$F$15-Inputs!$D$15)*(Inputs!$F$15-Inputs!$E$15)))</f>
        <v>0.691283047514957</v>
      </c>
      <c r="H324" s="81" t="n">
        <f aca="true">RAND()</f>
        <v>0.94708519260079</v>
      </c>
      <c r="I324" s="82" t="n">
        <f aca="false">ROUND(IF(H324&lt;(Inputs!$E$17-Inputs!$D$17)/(Inputs!$F$17-Inputs!$D$17),Inputs!$D$17+SQRT(H324*(Inputs!$F$17-Inputs!$D$17)*(Inputs!$E$17-Inputs!$D$17)),Inputs!$F$17-SQRT((1-H324)*(Inputs!$F$17-Inputs!$D$17)*(Inputs!$F$17-Inputs!$E$17))),0)</f>
        <v>112</v>
      </c>
      <c r="J324" s="81" t="n">
        <f aca="true">RAND()</f>
        <v>0.835956864189351</v>
      </c>
      <c r="K324" s="83" t="n">
        <f aca="false">IF(J324&lt;(Inputs!$E$18-Inputs!$D$18)/(Inputs!$F$18-Inputs!$D$18),Inputs!$D$18+SQRT(J324*(Inputs!$F$18-Inputs!$D$18)*(Inputs!$E$18-Inputs!$D$18)),Inputs!$F$18-SQRT((1-J324)*(Inputs!$F$18-Inputs!$D$18)*(Inputs!$F$18-Inputs!$E$18)))</f>
        <v>1.13019276155661</v>
      </c>
      <c r="L324" s="81" t="n">
        <f aca="true">RAND()</f>
        <v>0.247093077991083</v>
      </c>
      <c r="M324" s="83" t="n">
        <f aca="false">IF(L324&lt;(Inputs!$E$24-Inputs!$D$24)/(Inputs!$F$24-Inputs!$D$24),Inputs!$D$24+SQRT(L324*(Inputs!$F$24-Inputs!$D$24)*(Inputs!$E$24-Inputs!$D$24)),Inputs!$F$24-SQRT((1-L324)*(Inputs!$F$24-Inputs!$D$24)*(Inputs!$F$24-Inputs!$E$24)))</f>
        <v>0.772195149057486</v>
      </c>
      <c r="N324" s="81" t="n">
        <f aca="true">RAND()</f>
        <v>0.911516021537828</v>
      </c>
      <c r="O324" s="83" t="n">
        <f aca="false">IF(N324&lt;(Inputs!$E$26-Inputs!$D$26)/(Inputs!$F$26-Inputs!$D$26),Inputs!$D$26+SQRT(N324*(Inputs!$F$26-Inputs!$D$26)*(Inputs!$E$26-Inputs!$D$26)),Inputs!$F$26-SQRT((1-N324)*(Inputs!$F$26-Inputs!$D$26)*(Inputs!$F$26-Inputs!$E$26)))</f>
        <v>0.724071204739839</v>
      </c>
      <c r="P324" s="81" t="n">
        <f aca="true">RAND()</f>
        <v>0.713647552844808</v>
      </c>
      <c r="Q324" s="82" t="n">
        <f aca="false">IF(P324&lt;(Inputs!$E$27-Inputs!$D$27)/(Inputs!$F$27-Inputs!$D$27),Inputs!$D$27+SQRT(P324*(Inputs!$F$27-Inputs!$D$27)*(Inputs!$E$27-Inputs!$D$27)),Inputs!$F$27-SQRT((1-P324)*(Inputs!$F$27-Inputs!$D$27)*(Inputs!$F$27-Inputs!$E$27)))</f>
        <v>103.657326861046</v>
      </c>
      <c r="R324" s="81" t="n">
        <f aca="true">RAND()</f>
        <v>0.829534795002255</v>
      </c>
      <c r="S324" s="82" t="n">
        <f aca="false">IF(R324&lt;(Inputs!$E$29-Inputs!$D$29)/(Inputs!$F$29-Inputs!$D$29),Inputs!$D$29+SQRT(R324*(Inputs!$F$29-Inputs!$D$29)*(Inputs!$E$29-Inputs!$D$29)),Inputs!$F$29-SQRT((1-R324)*(Inputs!$F$29-Inputs!$D$29)*(Inputs!$F$29-Inputs!$E$29)))</f>
        <v>10.2925084546325</v>
      </c>
      <c r="T324" s="68" t="n">
        <f aca="false">Inputs!$E$9*(1+E324)+Inputs!$E$5*C324*(Inputs!$E$11*Inputs!$E$14*(G324*I324/Inputs!$E$16+(1-G324))*K324+Inputs!$E$23*M324)*(1+O324)+Inputs!$E$5*(Q324+S324)</f>
        <v>7479.93351807823</v>
      </c>
    </row>
    <row r="325" customFormat="false" ht="15" hidden="false" customHeight="false" outlineLevel="0" collapsed="false">
      <c r="A325" s="1" t="n">
        <v>321</v>
      </c>
      <c r="B325" s="81" t="n">
        <f aca="true">RAND()</f>
        <v>0.890711795637114</v>
      </c>
      <c r="C325" s="82" t="n">
        <f aca="false">ROUND(IF(B325&lt;(Inputs!$E$8-Inputs!$D$8)/(Inputs!$F$8-Inputs!$D$8),Inputs!$D$8+SQRT(B325*(Inputs!$F$8-Inputs!$D$8)*(Inputs!$E$8-Inputs!$D$8)),Inputs!$F$8-SQRT((1-B325)*(Inputs!$F$8-Inputs!$D$8)*(Inputs!$F$8-Inputs!$E$8))),0)</f>
        <v>28</v>
      </c>
      <c r="D325" s="81" t="n">
        <f aca="true">RAND()</f>
        <v>0.218538015610174</v>
      </c>
      <c r="E325" s="83" t="n">
        <f aca="false">IF(D325&lt;(Inputs!$E$10-Inputs!$D$10)/(Inputs!$F$10-Inputs!$D$10),Inputs!$D$10+SQRT(D325*(Inputs!$F$10-Inputs!$D$10)*(Inputs!$E$10-Inputs!$D$10)),Inputs!$F$10-SQRT((1-D325)*(Inputs!$F$10-Inputs!$D$10)*(Inputs!$F$10-Inputs!$E$10)))</f>
        <v>0.046748049757201</v>
      </c>
      <c r="F325" s="81" t="n">
        <f aca="true">RAND()</f>
        <v>0.0893100170790245</v>
      </c>
      <c r="G325" s="83" t="n">
        <f aca="false">IF(F325&lt;(Inputs!$E$15-Inputs!$D$15)/(Inputs!$F$15-Inputs!$D$15),Inputs!$D$15+SQRT(F325*(Inputs!$F$15-Inputs!$D$15)*(Inputs!$E$15-Inputs!$D$15)),Inputs!$F$15-SQRT((1-F325)*(Inputs!$F$15-Inputs!$D$15)*(Inputs!$F$15-Inputs!$E$15)))</f>
        <v>0.642263463435697</v>
      </c>
      <c r="H325" s="81" t="n">
        <f aca="true">RAND()</f>
        <v>0.512772290278671</v>
      </c>
      <c r="I325" s="82" t="n">
        <f aca="false">ROUND(IF(H325&lt;(Inputs!$E$17-Inputs!$D$17)/(Inputs!$F$17-Inputs!$D$17),Inputs!$D$17+SQRT(H325*(Inputs!$F$17-Inputs!$D$17)*(Inputs!$E$17-Inputs!$D$17)),Inputs!$F$17-SQRT((1-H325)*(Inputs!$F$17-Inputs!$D$17)*(Inputs!$F$17-Inputs!$E$17))),0)</f>
        <v>106</v>
      </c>
      <c r="J325" s="81" t="n">
        <f aca="true">RAND()</f>
        <v>0.193462917519339</v>
      </c>
      <c r="K325" s="83" t="n">
        <f aca="false">IF(J325&lt;(Inputs!$E$18-Inputs!$D$18)/(Inputs!$F$18-Inputs!$D$18),Inputs!$D$18+SQRT(J325*(Inputs!$F$18-Inputs!$D$18)*(Inputs!$E$18-Inputs!$D$18)),Inputs!$F$18-SQRT((1-J325)*(Inputs!$F$18-Inputs!$D$18)*(Inputs!$F$18-Inputs!$E$18)))</f>
        <v>0.982287314412228</v>
      </c>
      <c r="L325" s="81" t="n">
        <f aca="true">RAND()</f>
        <v>0.0236581779273512</v>
      </c>
      <c r="M325" s="83" t="n">
        <f aca="false">IF(L325&lt;(Inputs!$E$24-Inputs!$D$24)/(Inputs!$F$24-Inputs!$D$24),Inputs!$D$24+SQRT(L325*(Inputs!$F$24-Inputs!$D$24)*(Inputs!$E$24-Inputs!$D$24)),Inputs!$F$24-SQRT((1-L325)*(Inputs!$F$24-Inputs!$D$24)*(Inputs!$F$24-Inputs!$E$24)))</f>
        <v>0.653282092219452</v>
      </c>
      <c r="N325" s="81" t="n">
        <f aca="true">RAND()</f>
        <v>0.853219420253539</v>
      </c>
      <c r="O325" s="83" t="n">
        <f aca="false">IF(N325&lt;(Inputs!$E$26-Inputs!$D$26)/(Inputs!$F$26-Inputs!$D$26),Inputs!$D$26+SQRT(N325*(Inputs!$F$26-Inputs!$D$26)*(Inputs!$E$26-Inputs!$D$26)),Inputs!$F$26-SQRT((1-N325)*(Inputs!$F$26-Inputs!$D$26)*(Inputs!$F$26-Inputs!$E$26)))</f>
        <v>0.696447661723333</v>
      </c>
      <c r="P325" s="81" t="n">
        <f aca="true">RAND()</f>
        <v>0.774995114412219</v>
      </c>
      <c r="Q325" s="82" t="n">
        <f aca="false">IF(P325&lt;(Inputs!$E$27-Inputs!$D$27)/(Inputs!$F$27-Inputs!$D$27),Inputs!$D$27+SQRT(P325*(Inputs!$F$27-Inputs!$D$27)*(Inputs!$E$27-Inputs!$D$27)),Inputs!$F$27-SQRT((1-P325)*(Inputs!$F$27-Inputs!$D$27)*(Inputs!$F$27-Inputs!$E$27)))</f>
        <v>108.920362198428</v>
      </c>
      <c r="R325" s="81" t="n">
        <f aca="true">RAND()</f>
        <v>0.51652914605596</v>
      </c>
      <c r="S325" s="82" t="n">
        <f aca="false">IF(R325&lt;(Inputs!$E$29-Inputs!$D$29)/(Inputs!$F$29-Inputs!$D$29),Inputs!$D$29+SQRT(R325*(Inputs!$F$29-Inputs!$D$29)*(Inputs!$E$29-Inputs!$D$29)),Inputs!$F$29-SQRT((1-R325)*(Inputs!$F$29-Inputs!$D$29)*(Inputs!$F$29-Inputs!$E$29)))</f>
        <v>7.07212443256548</v>
      </c>
      <c r="T325" s="68" t="n">
        <f aca="false">Inputs!$E$9*(1+E325)+Inputs!$E$5*C325*(Inputs!$E$11*Inputs!$E$14*(G325*I325/Inputs!$E$16+(1-G325))*K325+Inputs!$E$23*M325)*(1+O325)+Inputs!$E$5*(Q325+S325)</f>
        <v>6596.93315183325</v>
      </c>
    </row>
    <row r="326" customFormat="false" ht="15" hidden="false" customHeight="false" outlineLevel="0" collapsed="false">
      <c r="A326" s="1" t="n">
        <v>322</v>
      </c>
      <c r="B326" s="81" t="n">
        <f aca="true">RAND()</f>
        <v>0.1770871387321</v>
      </c>
      <c r="C326" s="82" t="n">
        <f aca="false">ROUND(IF(B326&lt;(Inputs!$E$8-Inputs!$D$8)/(Inputs!$F$8-Inputs!$D$8),Inputs!$D$8+SQRT(B326*(Inputs!$F$8-Inputs!$D$8)*(Inputs!$E$8-Inputs!$D$8)),Inputs!$F$8-SQRT((1-B326)*(Inputs!$F$8-Inputs!$D$8)*(Inputs!$F$8-Inputs!$E$8))),0)</f>
        <v>23</v>
      </c>
      <c r="D326" s="81" t="n">
        <f aca="true">RAND()</f>
        <v>0.832770336646135</v>
      </c>
      <c r="E326" s="83" t="n">
        <f aca="false">IF(D326&lt;(Inputs!$E$10-Inputs!$D$10)/(Inputs!$F$10-Inputs!$D$10),Inputs!$D$10+SQRT(D326*(Inputs!$F$10-Inputs!$D$10)*(Inputs!$E$10-Inputs!$D$10)),Inputs!$F$10-SQRT((1-D326)*(Inputs!$F$10-Inputs!$D$10)*(Inputs!$F$10-Inputs!$E$10)))</f>
        <v>0.129169992936497</v>
      </c>
      <c r="F326" s="81" t="n">
        <f aca="true">RAND()</f>
        <v>0.464857170931429</v>
      </c>
      <c r="G326" s="83" t="n">
        <f aca="false">IF(F326&lt;(Inputs!$E$15-Inputs!$D$15)/(Inputs!$F$15-Inputs!$D$15),Inputs!$D$15+SQRT(F326*(Inputs!$F$15-Inputs!$D$15)*(Inputs!$E$15-Inputs!$D$15)),Inputs!$F$15-SQRT((1-F326)*(Inputs!$F$15-Inputs!$D$15)*(Inputs!$F$15-Inputs!$E$15)))</f>
        <v>0.696421695787974</v>
      </c>
      <c r="H326" s="81" t="n">
        <f aca="true">RAND()</f>
        <v>0.278053324129613</v>
      </c>
      <c r="I326" s="82" t="n">
        <f aca="false">ROUND(IF(H326&lt;(Inputs!$E$17-Inputs!$D$17)/(Inputs!$F$17-Inputs!$D$17),Inputs!$D$17+SQRT(H326*(Inputs!$F$17-Inputs!$D$17)*(Inputs!$E$17-Inputs!$D$17)),Inputs!$F$17-SQRT((1-H326)*(Inputs!$F$17-Inputs!$D$17)*(Inputs!$F$17-Inputs!$E$17))),0)</f>
        <v>105</v>
      </c>
      <c r="J326" s="81" t="n">
        <f aca="true">RAND()</f>
        <v>0.199368858275261</v>
      </c>
      <c r="K326" s="83" t="n">
        <f aca="false">IF(J326&lt;(Inputs!$E$18-Inputs!$D$18)/(Inputs!$F$18-Inputs!$D$18),Inputs!$D$18+SQRT(J326*(Inputs!$F$18-Inputs!$D$18)*(Inputs!$E$18-Inputs!$D$18)),Inputs!$F$18-SQRT((1-J326)*(Inputs!$F$18-Inputs!$D$18)*(Inputs!$F$18-Inputs!$E$18)))</f>
        <v>0.983533885577256</v>
      </c>
      <c r="L326" s="81" t="n">
        <f aca="true">RAND()</f>
        <v>0.850957756029046</v>
      </c>
      <c r="M326" s="83" t="n">
        <f aca="false">IF(L326&lt;(Inputs!$E$24-Inputs!$D$24)/(Inputs!$F$24-Inputs!$D$24),Inputs!$D$24+SQRT(L326*(Inputs!$F$24-Inputs!$D$24)*(Inputs!$E$24-Inputs!$D$24)),Inputs!$F$24-SQRT((1-L326)*(Inputs!$F$24-Inputs!$D$24)*(Inputs!$F$24-Inputs!$E$24)))</f>
        <v>1.0108700485036</v>
      </c>
      <c r="N326" s="81" t="n">
        <f aca="true">RAND()</f>
        <v>0.498548112736689</v>
      </c>
      <c r="O326" s="83" t="n">
        <f aca="false">IF(N326&lt;(Inputs!$E$26-Inputs!$D$26)/(Inputs!$F$26-Inputs!$D$26),Inputs!$D$26+SQRT(N326*(Inputs!$F$26-Inputs!$D$26)*(Inputs!$E$26-Inputs!$D$26)),Inputs!$F$26-SQRT((1-N326)*(Inputs!$F$26-Inputs!$D$26)*(Inputs!$F$26-Inputs!$E$26)))</f>
        <v>0.588025009260281</v>
      </c>
      <c r="P326" s="81" t="n">
        <f aca="true">RAND()</f>
        <v>0.770187148779094</v>
      </c>
      <c r="Q326" s="82" t="n">
        <f aca="false">IF(P326&lt;(Inputs!$E$27-Inputs!$D$27)/(Inputs!$F$27-Inputs!$D$27),Inputs!$D$27+SQRT(P326*(Inputs!$F$27-Inputs!$D$27)*(Inputs!$E$27-Inputs!$D$27)),Inputs!$F$27-SQRT((1-P326)*(Inputs!$F$27-Inputs!$D$27)*(Inputs!$F$27-Inputs!$E$27)))</f>
        <v>108.483781673221</v>
      </c>
      <c r="R326" s="81" t="n">
        <f aca="true">RAND()</f>
        <v>0.491235862722067</v>
      </c>
      <c r="S326" s="82" t="n">
        <f aca="false">IF(R326&lt;(Inputs!$E$29-Inputs!$D$29)/(Inputs!$F$29-Inputs!$D$29),Inputs!$D$29+SQRT(R326*(Inputs!$F$29-Inputs!$D$29)*(Inputs!$E$29-Inputs!$D$29)),Inputs!$F$29-SQRT((1-R326)*(Inputs!$F$29-Inputs!$D$29)*(Inputs!$F$29-Inputs!$E$29)))</f>
        <v>6.86739046516241</v>
      </c>
      <c r="T326" s="68" t="n">
        <f aca="false">Inputs!$E$9*(1+E326)+Inputs!$E$5*C326*(Inputs!$E$11*Inputs!$E$14*(G326*I326/Inputs!$E$16+(1-G326))*K326+Inputs!$E$23*M326)*(1+O326)+Inputs!$E$5*(Q326+S326)</f>
        <v>6310.61528702627</v>
      </c>
    </row>
    <row r="327" customFormat="false" ht="15" hidden="false" customHeight="false" outlineLevel="0" collapsed="false">
      <c r="A327" s="1" t="n">
        <v>323</v>
      </c>
      <c r="B327" s="81" t="n">
        <f aca="true">RAND()</f>
        <v>0.934037825644895</v>
      </c>
      <c r="C327" s="82" t="n">
        <f aca="false">ROUND(IF(B327&lt;(Inputs!$E$8-Inputs!$D$8)/(Inputs!$F$8-Inputs!$D$8),Inputs!$D$8+SQRT(B327*(Inputs!$F$8-Inputs!$D$8)*(Inputs!$E$8-Inputs!$D$8)),Inputs!$F$8-SQRT((1-B327)*(Inputs!$F$8-Inputs!$D$8)*(Inputs!$F$8-Inputs!$E$8))),0)</f>
        <v>28</v>
      </c>
      <c r="D327" s="81" t="n">
        <f aca="true">RAND()</f>
        <v>0.625850376348623</v>
      </c>
      <c r="E327" s="83" t="n">
        <f aca="false">IF(D327&lt;(Inputs!$E$10-Inputs!$D$10)/(Inputs!$F$10-Inputs!$D$10),Inputs!$D$10+SQRT(D327*(Inputs!$F$10-Inputs!$D$10)*(Inputs!$E$10-Inputs!$D$10)),Inputs!$F$10-SQRT((1-D327)*(Inputs!$F$10-Inputs!$D$10)*(Inputs!$F$10-Inputs!$E$10)))</f>
        <v>0.0940543124542518</v>
      </c>
      <c r="F327" s="81" t="n">
        <f aca="true">RAND()</f>
        <v>0.575529585409104</v>
      </c>
      <c r="G327" s="83" t="n">
        <f aca="false">IF(F327&lt;(Inputs!$E$15-Inputs!$D$15)/(Inputs!$F$15-Inputs!$D$15),Inputs!$D$15+SQRT(F327*(Inputs!$F$15-Inputs!$D$15)*(Inputs!$E$15-Inputs!$D$15)),Inputs!$F$15-SQRT((1-F327)*(Inputs!$F$15-Inputs!$D$15)*(Inputs!$F$15-Inputs!$E$15)))</f>
        <v>0.70786201493511</v>
      </c>
      <c r="H327" s="81" t="n">
        <f aca="true">RAND()</f>
        <v>0.952366620343359</v>
      </c>
      <c r="I327" s="82" t="n">
        <f aca="false">ROUND(IF(H327&lt;(Inputs!$E$17-Inputs!$D$17)/(Inputs!$F$17-Inputs!$D$17),Inputs!$D$17+SQRT(H327*(Inputs!$F$17-Inputs!$D$17)*(Inputs!$E$17-Inputs!$D$17)),Inputs!$F$17-SQRT((1-H327)*(Inputs!$F$17-Inputs!$D$17)*(Inputs!$F$17-Inputs!$E$17))),0)</f>
        <v>112</v>
      </c>
      <c r="J327" s="81" t="n">
        <f aca="true">RAND()</f>
        <v>0.820174280725421</v>
      </c>
      <c r="K327" s="83" t="n">
        <f aca="false">IF(J327&lt;(Inputs!$E$18-Inputs!$D$18)/(Inputs!$F$18-Inputs!$D$18),Inputs!$D$18+SQRT(J327*(Inputs!$F$18-Inputs!$D$18)*(Inputs!$E$18-Inputs!$D$18)),Inputs!$F$18-SQRT((1-J327)*(Inputs!$F$18-Inputs!$D$18)*(Inputs!$F$18-Inputs!$E$18)))</f>
        <v>1.12456176644848</v>
      </c>
      <c r="L327" s="81" t="n">
        <f aca="true">RAND()</f>
        <v>0.556934552925078</v>
      </c>
      <c r="M327" s="83" t="n">
        <f aca="false">IF(L327&lt;(Inputs!$E$24-Inputs!$D$24)/(Inputs!$F$24-Inputs!$D$24),Inputs!$D$24+SQRT(L327*(Inputs!$F$24-Inputs!$D$24)*(Inputs!$E$24-Inputs!$D$24)),Inputs!$F$24-SQRT((1-L327)*(Inputs!$F$24-Inputs!$D$24)*(Inputs!$F$24-Inputs!$E$24)))</f>
        <v>0.873908437248092</v>
      </c>
      <c r="N327" s="81" t="n">
        <f aca="true">RAND()</f>
        <v>0.548680371816449</v>
      </c>
      <c r="O327" s="83" t="n">
        <f aca="false">IF(N327&lt;(Inputs!$E$26-Inputs!$D$26)/(Inputs!$F$26-Inputs!$D$26),Inputs!$D$26+SQRT(N327*(Inputs!$F$26-Inputs!$D$26)*(Inputs!$E$26-Inputs!$D$26)),Inputs!$F$26-SQRT((1-N327)*(Inputs!$F$26-Inputs!$D$26)*(Inputs!$F$26-Inputs!$E$26)))</f>
        <v>0.602159583449304</v>
      </c>
      <c r="P327" s="81" t="n">
        <f aca="true">RAND()</f>
        <v>0.851715093827412</v>
      </c>
      <c r="Q327" s="82" t="n">
        <f aca="false">IF(P327&lt;(Inputs!$E$27-Inputs!$D$27)/(Inputs!$F$27-Inputs!$D$27),Inputs!$D$27+SQRT(P327*(Inputs!$F$27-Inputs!$D$27)*(Inputs!$E$27-Inputs!$D$27)),Inputs!$F$27-SQRT((1-P327)*(Inputs!$F$27-Inputs!$D$27)*(Inputs!$F$27-Inputs!$E$27)))</f>
        <v>116.651284937881</v>
      </c>
      <c r="R327" s="81" t="n">
        <f aca="true">RAND()</f>
        <v>0.908373890167256</v>
      </c>
      <c r="S327" s="82" t="n">
        <f aca="false">IF(R327&lt;(Inputs!$E$29-Inputs!$D$29)/(Inputs!$F$29-Inputs!$D$29),Inputs!$D$29+SQRT(R327*(Inputs!$F$29-Inputs!$D$29)*(Inputs!$E$29-Inputs!$D$29)),Inputs!$F$29-SQRT((1-R327)*(Inputs!$F$29-Inputs!$D$29)*(Inputs!$F$29-Inputs!$E$29)))</f>
        <v>11.5487112148856</v>
      </c>
      <c r="T327" s="68" t="n">
        <f aca="false">Inputs!$E$9*(1+E327)+Inputs!$E$5*C327*(Inputs!$E$11*Inputs!$E$14*(G327*I327/Inputs!$E$16+(1-G327))*K327+Inputs!$E$23*M327)*(1+O327)+Inputs!$E$5*(Q327+S327)</f>
        <v>7245.55600057542</v>
      </c>
    </row>
    <row r="328" customFormat="false" ht="15" hidden="false" customHeight="false" outlineLevel="0" collapsed="false">
      <c r="A328" s="1" t="n">
        <v>324</v>
      </c>
      <c r="B328" s="81" t="n">
        <f aca="true">RAND()</f>
        <v>0.286357857568141</v>
      </c>
      <c r="C328" s="82" t="n">
        <f aca="false">ROUND(IF(B328&lt;(Inputs!$E$8-Inputs!$D$8)/(Inputs!$F$8-Inputs!$D$8),Inputs!$D$8+SQRT(B328*(Inputs!$F$8-Inputs!$D$8)*(Inputs!$E$8-Inputs!$D$8)),Inputs!$F$8-SQRT((1-B328)*(Inputs!$F$8-Inputs!$D$8)*(Inputs!$F$8-Inputs!$E$8))),0)</f>
        <v>24</v>
      </c>
      <c r="D328" s="81" t="n">
        <f aca="true">RAND()</f>
        <v>0.853540571145633</v>
      </c>
      <c r="E328" s="83" t="n">
        <f aca="false">IF(D328&lt;(Inputs!$E$10-Inputs!$D$10)/(Inputs!$F$10-Inputs!$D$10),Inputs!$D$10+SQRT(D328*(Inputs!$F$10-Inputs!$D$10)*(Inputs!$E$10-Inputs!$D$10)),Inputs!$F$10-SQRT((1-D328)*(Inputs!$F$10-Inputs!$D$10)*(Inputs!$F$10-Inputs!$E$10)))</f>
        <v>0.133714384172499</v>
      </c>
      <c r="F328" s="81" t="n">
        <f aca="true">RAND()</f>
        <v>0.14459295969539</v>
      </c>
      <c r="G328" s="83" t="n">
        <f aca="false">IF(F328&lt;(Inputs!$E$15-Inputs!$D$15)/(Inputs!$F$15-Inputs!$D$15),Inputs!$D$15+SQRT(F328*(Inputs!$F$15-Inputs!$D$15)*(Inputs!$E$15-Inputs!$D$15)),Inputs!$F$15-SQRT((1-F328)*(Inputs!$F$15-Inputs!$D$15)*(Inputs!$F$15-Inputs!$E$15)))</f>
        <v>0.653776009464331</v>
      </c>
      <c r="H328" s="81" t="n">
        <f aca="true">RAND()</f>
        <v>0.660655643425226</v>
      </c>
      <c r="I328" s="82" t="n">
        <f aca="false">ROUND(IF(H328&lt;(Inputs!$E$17-Inputs!$D$17)/(Inputs!$F$17-Inputs!$D$17),Inputs!$D$17+SQRT(H328*(Inputs!$F$17-Inputs!$D$17)*(Inputs!$E$17-Inputs!$D$17)),Inputs!$F$17-SQRT((1-H328)*(Inputs!$F$17-Inputs!$D$17)*(Inputs!$F$17-Inputs!$E$17))),0)</f>
        <v>108</v>
      </c>
      <c r="J328" s="81" t="n">
        <f aca="true">RAND()</f>
        <v>0.171399194531499</v>
      </c>
      <c r="K328" s="83" t="n">
        <f aca="false">IF(J328&lt;(Inputs!$E$18-Inputs!$D$18)/(Inputs!$F$18-Inputs!$D$18),Inputs!$D$18+SQRT(J328*(Inputs!$F$18-Inputs!$D$18)*(Inputs!$E$18-Inputs!$D$18)),Inputs!$F$18-SQRT((1-J328)*(Inputs!$F$18-Inputs!$D$18)*(Inputs!$F$18-Inputs!$E$18)))</f>
        <v>0.977453029692856</v>
      </c>
      <c r="L328" s="81" t="n">
        <f aca="true">RAND()</f>
        <v>0.451443578621827</v>
      </c>
      <c r="M328" s="83" t="n">
        <f aca="false">IF(L328&lt;(Inputs!$E$24-Inputs!$D$24)/(Inputs!$F$24-Inputs!$D$24),Inputs!$D$24+SQRT(L328*(Inputs!$F$24-Inputs!$D$24)*(Inputs!$E$24-Inputs!$D$24)),Inputs!$F$24-SQRT((1-L328)*(Inputs!$F$24-Inputs!$D$24)*(Inputs!$F$24-Inputs!$E$24)))</f>
        <v>0.83715906910774</v>
      </c>
      <c r="N328" s="81" t="n">
        <f aca="true">RAND()</f>
        <v>0.391582831540201</v>
      </c>
      <c r="O328" s="83" t="n">
        <f aca="false">IF(N328&lt;(Inputs!$E$26-Inputs!$D$26)/(Inputs!$F$26-Inputs!$D$26),Inputs!$D$26+SQRT(N328*(Inputs!$F$26-Inputs!$D$26)*(Inputs!$E$26-Inputs!$D$26)),Inputs!$F$26-SQRT((1-N328)*(Inputs!$F$26-Inputs!$D$26)*(Inputs!$F$26-Inputs!$E$26)))</f>
        <v>0.555263360410948</v>
      </c>
      <c r="P328" s="81" t="n">
        <f aca="true">RAND()</f>
        <v>0.274862847391207</v>
      </c>
      <c r="Q328" s="82" t="n">
        <f aca="false">IF(P328&lt;(Inputs!$E$27-Inputs!$D$27)/(Inputs!$F$27-Inputs!$D$27),Inputs!$D$27+SQRT(P328*(Inputs!$F$27-Inputs!$D$27)*(Inputs!$E$27-Inputs!$D$27)),Inputs!$F$27-SQRT((1-P328)*(Inputs!$F$27-Inputs!$D$27)*(Inputs!$F$27-Inputs!$E$27)))</f>
        <v>76.2536194476912</v>
      </c>
      <c r="R328" s="81" t="n">
        <f aca="true">RAND()</f>
        <v>0.269798892553613</v>
      </c>
      <c r="S328" s="82" t="n">
        <f aca="false">IF(R328&lt;(Inputs!$E$29-Inputs!$D$29)/(Inputs!$F$29-Inputs!$D$29),Inputs!$D$29+SQRT(R328*(Inputs!$F$29-Inputs!$D$29)*(Inputs!$E$29-Inputs!$D$29)),Inputs!$F$29-SQRT((1-R328)*(Inputs!$F$29-Inputs!$D$29)*(Inputs!$F$29-Inputs!$E$29)))</f>
        <v>5.25699512634679</v>
      </c>
      <c r="T328" s="68" t="n">
        <f aca="false">Inputs!$E$9*(1+E328)+Inputs!$E$5*C328*(Inputs!$E$11*Inputs!$E$14*(G328*I328/Inputs!$E$16+(1-G328))*K328+Inputs!$E$23*M328)*(1+O328)+Inputs!$E$5*(Q328+S328)</f>
        <v>6060.9683879685</v>
      </c>
    </row>
    <row r="329" customFormat="false" ht="15" hidden="false" customHeight="false" outlineLevel="0" collapsed="false">
      <c r="A329" s="1" t="n">
        <v>325</v>
      </c>
      <c r="B329" s="81" t="n">
        <f aca="true">RAND()</f>
        <v>0.566917378755292</v>
      </c>
      <c r="C329" s="82" t="n">
        <f aca="false">ROUND(IF(B329&lt;(Inputs!$E$8-Inputs!$D$8)/(Inputs!$F$8-Inputs!$D$8),Inputs!$D$8+SQRT(B329*(Inputs!$F$8-Inputs!$D$8)*(Inputs!$E$8-Inputs!$D$8)),Inputs!$F$8-SQRT((1-B329)*(Inputs!$F$8-Inputs!$D$8)*(Inputs!$F$8-Inputs!$E$8))),0)</f>
        <v>25</v>
      </c>
      <c r="D329" s="81" t="n">
        <f aca="true">RAND()</f>
        <v>0.973342079337183</v>
      </c>
      <c r="E329" s="83" t="n">
        <f aca="false">IF(D329&lt;(Inputs!$E$10-Inputs!$D$10)/(Inputs!$F$10-Inputs!$D$10),Inputs!$D$10+SQRT(D329*(Inputs!$F$10-Inputs!$D$10)*(Inputs!$E$10-Inputs!$D$10)),Inputs!$F$10-SQRT((1-D329)*(Inputs!$F$10-Inputs!$D$10)*(Inputs!$F$10-Inputs!$E$10)))</f>
        <v>0.171720367401882</v>
      </c>
      <c r="F329" s="81" t="n">
        <f aca="true">RAND()</f>
        <v>0.771378966503134</v>
      </c>
      <c r="G329" s="83" t="n">
        <f aca="false">IF(F329&lt;(Inputs!$E$15-Inputs!$D$15)/(Inputs!$F$15-Inputs!$D$15),Inputs!$D$15+SQRT(F329*(Inputs!$F$15-Inputs!$D$15)*(Inputs!$E$15-Inputs!$D$15)),Inputs!$F$15-SQRT((1-F329)*(Inputs!$F$15-Inputs!$D$15)*(Inputs!$F$15-Inputs!$E$15)))</f>
        <v>0.732380323352316</v>
      </c>
      <c r="H329" s="81" t="n">
        <f aca="true">RAND()</f>
        <v>0.991433769154326</v>
      </c>
      <c r="I329" s="82" t="n">
        <f aca="false">ROUND(IF(H329&lt;(Inputs!$E$17-Inputs!$D$17)/(Inputs!$F$17-Inputs!$D$17),Inputs!$D$17+SQRT(H329*(Inputs!$F$17-Inputs!$D$17)*(Inputs!$E$17-Inputs!$D$17)),Inputs!$F$17-SQRT((1-H329)*(Inputs!$F$17-Inputs!$D$17)*(Inputs!$F$17-Inputs!$E$17))),0)</f>
        <v>114</v>
      </c>
      <c r="J329" s="81" t="n">
        <f aca="true">RAND()</f>
        <v>0.0773597365236774</v>
      </c>
      <c r="K329" s="83" t="n">
        <f aca="false">IF(J329&lt;(Inputs!$E$18-Inputs!$D$18)/(Inputs!$F$18-Inputs!$D$18),Inputs!$D$18+SQRT(J329*(Inputs!$F$18-Inputs!$D$18)*(Inputs!$E$18-Inputs!$D$18)),Inputs!$F$18-SQRT((1-J329)*(Inputs!$F$18-Inputs!$D$18)*(Inputs!$F$18-Inputs!$E$18)))</f>
        <v>0.952034515259861</v>
      </c>
      <c r="L329" s="81" t="n">
        <f aca="true">RAND()</f>
        <v>0.809687933561892</v>
      </c>
      <c r="M329" s="83" t="n">
        <f aca="false">IF(L329&lt;(Inputs!$E$24-Inputs!$D$24)/(Inputs!$F$24-Inputs!$D$24),Inputs!$D$24+SQRT(L329*(Inputs!$F$24-Inputs!$D$24)*(Inputs!$E$24-Inputs!$D$24)),Inputs!$F$24-SQRT((1-L329)*(Inputs!$F$24-Inputs!$D$24)*(Inputs!$F$24-Inputs!$E$24)))</f>
        <v>0.986283140709148</v>
      </c>
      <c r="N329" s="81" t="n">
        <f aca="true">RAND()</f>
        <v>0.475640532675596</v>
      </c>
      <c r="O329" s="83" t="n">
        <f aca="false">IF(N329&lt;(Inputs!$E$26-Inputs!$D$26)/(Inputs!$F$26-Inputs!$D$26),Inputs!$D$26+SQRT(N329*(Inputs!$F$26-Inputs!$D$26)*(Inputs!$E$26-Inputs!$D$26)),Inputs!$F$26-SQRT((1-N329)*(Inputs!$F$26-Inputs!$D$26)*(Inputs!$F$26-Inputs!$E$26)))</f>
        <v>0.581330027969321</v>
      </c>
      <c r="P329" s="81" t="n">
        <f aca="true">RAND()</f>
        <v>0.982497685236855</v>
      </c>
      <c r="Q329" s="82" t="n">
        <f aca="false">IF(P329&lt;(Inputs!$E$27-Inputs!$D$27)/(Inputs!$F$27-Inputs!$D$27),Inputs!$D$27+SQRT(P329*(Inputs!$F$27-Inputs!$D$27)*(Inputs!$E$27-Inputs!$D$27)),Inputs!$F$27-SQRT((1-P329)*(Inputs!$F$27-Inputs!$D$27)*(Inputs!$F$27-Inputs!$E$27)))</f>
        <v>138.542803103569</v>
      </c>
      <c r="R329" s="81" t="n">
        <f aca="true">RAND()</f>
        <v>0.0371519269784805</v>
      </c>
      <c r="S329" s="82" t="n">
        <f aca="false">IF(R329&lt;(Inputs!$E$29-Inputs!$D$29)/(Inputs!$F$29-Inputs!$D$29),Inputs!$D$29+SQRT(R329*(Inputs!$F$29-Inputs!$D$29)*(Inputs!$E$29-Inputs!$D$29)),Inputs!$F$29-SQRT((1-R329)*(Inputs!$F$29-Inputs!$D$29)*(Inputs!$F$29-Inputs!$E$29)))</f>
        <v>3.2037130688668</v>
      </c>
      <c r="T329" s="68" t="n">
        <f aca="false">Inputs!$E$9*(1+E329)+Inputs!$E$5*C329*(Inputs!$E$11*Inputs!$E$14*(G329*I329/Inputs!$E$16+(1-G329))*K329+Inputs!$E$23*M329)*(1+O329)+Inputs!$E$5*(Q329+S329)</f>
        <v>6760.4201121494</v>
      </c>
    </row>
    <row r="330" customFormat="false" ht="15" hidden="false" customHeight="false" outlineLevel="0" collapsed="false">
      <c r="A330" s="1" t="n">
        <v>326</v>
      </c>
      <c r="B330" s="81" t="n">
        <f aca="true">RAND()</f>
        <v>0.807676176912401</v>
      </c>
      <c r="C330" s="82" t="n">
        <f aca="false">ROUND(IF(B330&lt;(Inputs!$E$8-Inputs!$D$8)/(Inputs!$F$8-Inputs!$D$8),Inputs!$D$8+SQRT(B330*(Inputs!$F$8-Inputs!$D$8)*(Inputs!$E$8-Inputs!$D$8)),Inputs!$F$8-SQRT((1-B330)*(Inputs!$F$8-Inputs!$D$8)*(Inputs!$F$8-Inputs!$E$8))),0)</f>
        <v>27</v>
      </c>
      <c r="D330" s="81" t="n">
        <f aca="true">RAND()</f>
        <v>0.452425547397354</v>
      </c>
      <c r="E330" s="83" t="n">
        <f aca="false">IF(D330&lt;(Inputs!$E$10-Inputs!$D$10)/(Inputs!$F$10-Inputs!$D$10),Inputs!$D$10+SQRT(D330*(Inputs!$F$10-Inputs!$D$10)*(Inputs!$E$10-Inputs!$D$10)),Inputs!$F$10-SQRT((1-D330)*(Inputs!$F$10-Inputs!$D$10)*(Inputs!$F$10-Inputs!$E$10)))</f>
        <v>0.0718312300984386</v>
      </c>
      <c r="F330" s="81" t="n">
        <f aca="true">RAND()</f>
        <v>0.969928223072499</v>
      </c>
      <c r="G330" s="83" t="n">
        <f aca="false">IF(F330&lt;(Inputs!$E$15-Inputs!$D$15)/(Inputs!$F$15-Inputs!$D$15),Inputs!$D$15+SQRT(F330*(Inputs!$F$15-Inputs!$D$15)*(Inputs!$E$15-Inputs!$D$15)),Inputs!$F$15-SQRT((1-F330)*(Inputs!$F$15-Inputs!$D$15)*(Inputs!$F$15-Inputs!$E$15)))</f>
        <v>0.775475817270498</v>
      </c>
      <c r="H330" s="81" t="n">
        <f aca="true">RAND()</f>
        <v>0.181491682617617</v>
      </c>
      <c r="I330" s="82" t="n">
        <f aca="false">ROUND(IF(H330&lt;(Inputs!$E$17-Inputs!$D$17)/(Inputs!$F$17-Inputs!$D$17),Inputs!$D$17+SQRT(H330*(Inputs!$F$17-Inputs!$D$17)*(Inputs!$E$17-Inputs!$D$17)),Inputs!$F$17-SQRT((1-H330)*(Inputs!$F$17-Inputs!$D$17)*(Inputs!$F$17-Inputs!$E$17))),0)</f>
        <v>104</v>
      </c>
      <c r="J330" s="81" t="n">
        <f aca="true">RAND()</f>
        <v>0.312819973363572</v>
      </c>
      <c r="K330" s="83" t="n">
        <f aca="false">IF(J330&lt;(Inputs!$E$18-Inputs!$D$18)/(Inputs!$F$18-Inputs!$D$18),Inputs!$D$18+SQRT(J330*(Inputs!$F$18-Inputs!$D$18)*(Inputs!$E$18-Inputs!$D$18)),Inputs!$F$18-SQRT((1-J330)*(Inputs!$F$18-Inputs!$D$18)*(Inputs!$F$18-Inputs!$E$18)))</f>
        <v>1.0047893714973</v>
      </c>
      <c r="L330" s="81" t="n">
        <f aca="true">RAND()</f>
        <v>0.640681441510734</v>
      </c>
      <c r="M330" s="83" t="n">
        <f aca="false">IF(L330&lt;(Inputs!$E$24-Inputs!$D$24)/(Inputs!$F$24-Inputs!$D$24),Inputs!$D$24+SQRT(L330*(Inputs!$F$24-Inputs!$D$24)*(Inputs!$E$24-Inputs!$D$24)),Inputs!$F$24-SQRT((1-L330)*(Inputs!$F$24-Inputs!$D$24)*(Inputs!$F$24-Inputs!$E$24)))</f>
        <v>0.906339559972025</v>
      </c>
      <c r="N330" s="81" t="n">
        <f aca="true">RAND()</f>
        <v>0.89433854274732</v>
      </c>
      <c r="O330" s="83" t="n">
        <f aca="false">IF(N330&lt;(Inputs!$E$26-Inputs!$D$26)/(Inputs!$F$26-Inputs!$D$26),Inputs!$D$26+SQRT(N330*(Inputs!$F$26-Inputs!$D$26)*(Inputs!$E$26-Inputs!$D$26)),Inputs!$F$26-SQRT((1-N330)*(Inputs!$F$26-Inputs!$D$26)*(Inputs!$F$26-Inputs!$E$26)))</f>
        <v>0.715172562969999</v>
      </c>
      <c r="P330" s="81" t="n">
        <f aca="true">RAND()</f>
        <v>0.923773494500331</v>
      </c>
      <c r="Q330" s="82" t="n">
        <f aca="false">IF(P330&lt;(Inputs!$E$27-Inputs!$D$27)/(Inputs!$F$27-Inputs!$D$27),Inputs!$D$27+SQRT(P330*(Inputs!$F$27-Inputs!$D$27)*(Inputs!$E$27-Inputs!$D$27)),Inputs!$F$27-SQRT((1-P330)*(Inputs!$F$27-Inputs!$D$27)*(Inputs!$F$27-Inputs!$E$27)))</f>
        <v>126.089776428324</v>
      </c>
      <c r="R330" s="81" t="n">
        <f aca="true">RAND()</f>
        <v>0.911067263742668</v>
      </c>
      <c r="S330" s="82" t="n">
        <f aca="false">IF(R330&lt;(Inputs!$E$29-Inputs!$D$29)/(Inputs!$F$29-Inputs!$D$29),Inputs!$D$29+SQRT(R330*(Inputs!$F$29-Inputs!$D$29)*(Inputs!$E$29-Inputs!$D$29)),Inputs!$F$29-SQRT((1-R330)*(Inputs!$F$29-Inputs!$D$29)*(Inputs!$F$29-Inputs!$E$29)))</f>
        <v>11.5998153412714</v>
      </c>
      <c r="T330" s="68" t="n">
        <f aca="false">Inputs!$E$9*(1+E330)+Inputs!$E$5*C330*(Inputs!$E$11*Inputs!$E$14*(G330*I330/Inputs!$E$16+(1-G330))*K330+Inputs!$E$23*M330)*(1+O330)+Inputs!$E$5*(Q330+S330)</f>
        <v>6909.63681715307</v>
      </c>
    </row>
    <row r="331" customFormat="false" ht="15" hidden="false" customHeight="false" outlineLevel="0" collapsed="false">
      <c r="A331" s="1" t="n">
        <v>327</v>
      </c>
      <c r="B331" s="81" t="n">
        <f aca="true">RAND()</f>
        <v>0.342613542165324</v>
      </c>
      <c r="C331" s="82" t="n">
        <f aca="false">ROUND(IF(B331&lt;(Inputs!$E$8-Inputs!$D$8)/(Inputs!$F$8-Inputs!$D$8),Inputs!$D$8+SQRT(B331*(Inputs!$F$8-Inputs!$D$8)*(Inputs!$E$8-Inputs!$D$8)),Inputs!$F$8-SQRT((1-B331)*(Inputs!$F$8-Inputs!$D$8)*(Inputs!$F$8-Inputs!$E$8))),0)</f>
        <v>24</v>
      </c>
      <c r="D331" s="81" t="n">
        <f aca="true">RAND()</f>
        <v>0.812041801590791</v>
      </c>
      <c r="E331" s="83" t="n">
        <f aca="false">IF(D331&lt;(Inputs!$E$10-Inputs!$D$10)/(Inputs!$F$10-Inputs!$D$10),Inputs!$D$10+SQRT(D331*(Inputs!$F$10-Inputs!$D$10)*(Inputs!$E$10-Inputs!$D$10)),Inputs!$F$10-SQRT((1-D331)*(Inputs!$F$10-Inputs!$D$10)*(Inputs!$F$10-Inputs!$E$10)))</f>
        <v>0.124908416235398</v>
      </c>
      <c r="F331" s="81" t="n">
        <f aca="true">RAND()</f>
        <v>0.827025879962648</v>
      </c>
      <c r="G331" s="83" t="n">
        <f aca="false">IF(F331&lt;(Inputs!$E$15-Inputs!$D$15)/(Inputs!$F$15-Inputs!$D$15),Inputs!$D$15+SQRT(F331*(Inputs!$F$15-Inputs!$D$15)*(Inputs!$E$15-Inputs!$D$15)),Inputs!$F$15-SQRT((1-F331)*(Inputs!$F$15-Inputs!$D$15)*(Inputs!$F$15-Inputs!$E$15)))</f>
        <v>0.74118263521079</v>
      </c>
      <c r="H331" s="81" t="n">
        <f aca="true">RAND()</f>
        <v>0.399719654622842</v>
      </c>
      <c r="I331" s="82" t="n">
        <f aca="false">ROUND(IF(H331&lt;(Inputs!$E$17-Inputs!$D$17)/(Inputs!$F$17-Inputs!$D$17),Inputs!$D$17+SQRT(H331*(Inputs!$F$17-Inputs!$D$17)*(Inputs!$E$17-Inputs!$D$17)),Inputs!$F$17-SQRT((1-H331)*(Inputs!$F$17-Inputs!$D$17)*(Inputs!$F$17-Inputs!$E$17))),0)</f>
        <v>106</v>
      </c>
      <c r="J331" s="81" t="n">
        <f aca="true">RAND()</f>
        <v>0.0802753286061474</v>
      </c>
      <c r="K331" s="83" t="n">
        <f aca="false">IF(J331&lt;(Inputs!$E$18-Inputs!$D$18)/(Inputs!$F$18-Inputs!$D$18),Inputs!$D$18+SQRT(J331*(Inputs!$F$18-Inputs!$D$18)*(Inputs!$E$18-Inputs!$D$18)),Inputs!$F$18-SQRT((1-J331)*(Inputs!$F$18-Inputs!$D$18)*(Inputs!$F$18-Inputs!$E$18)))</f>
        <v>0.953006004388325</v>
      </c>
      <c r="L331" s="81" t="n">
        <f aca="true">RAND()</f>
        <v>0.781285385859915</v>
      </c>
      <c r="M331" s="83" t="n">
        <f aca="false">IF(L331&lt;(Inputs!$E$24-Inputs!$D$24)/(Inputs!$F$24-Inputs!$D$24),Inputs!$D$24+SQRT(L331*(Inputs!$F$24-Inputs!$D$24)*(Inputs!$E$24-Inputs!$D$24)),Inputs!$F$24-SQRT((1-L331)*(Inputs!$F$24-Inputs!$D$24)*(Inputs!$F$24-Inputs!$E$24)))</f>
        <v>0.970889748388204</v>
      </c>
      <c r="N331" s="81" t="n">
        <f aca="true">RAND()</f>
        <v>0.251950480296172</v>
      </c>
      <c r="O331" s="83" t="n">
        <f aca="false">IF(N331&lt;(Inputs!$E$26-Inputs!$D$26)/(Inputs!$F$26-Inputs!$D$26),Inputs!$D$26+SQRT(N331*(Inputs!$F$26-Inputs!$D$26)*(Inputs!$E$26-Inputs!$D$26)),Inputs!$F$26-SQRT((1-N331)*(Inputs!$F$26-Inputs!$D$26)*(Inputs!$F$26-Inputs!$E$26)))</f>
        <v>0.504754877649552</v>
      </c>
      <c r="P331" s="81" t="n">
        <f aca="true">RAND()</f>
        <v>0.531653283708651</v>
      </c>
      <c r="Q331" s="82" t="n">
        <f aca="false">IF(P331&lt;(Inputs!$E$27-Inputs!$D$27)/(Inputs!$F$27-Inputs!$D$27),Inputs!$D$27+SQRT(P331*(Inputs!$F$27-Inputs!$D$27)*(Inputs!$E$27-Inputs!$D$27)),Inputs!$F$27-SQRT((1-P331)*(Inputs!$F$27-Inputs!$D$27)*(Inputs!$F$27-Inputs!$E$27)))</f>
        <v>90.7328052613833</v>
      </c>
      <c r="R331" s="81" t="n">
        <f aca="true">RAND()</f>
        <v>0.22167077836429</v>
      </c>
      <c r="S331" s="82" t="n">
        <f aca="false">IF(R331&lt;(Inputs!$E$29-Inputs!$D$29)/(Inputs!$F$29-Inputs!$D$29),Inputs!$D$29+SQRT(R331*(Inputs!$F$29-Inputs!$D$29)*(Inputs!$E$29-Inputs!$D$29)),Inputs!$F$29-SQRT((1-R331)*(Inputs!$F$29-Inputs!$D$29)*(Inputs!$F$29-Inputs!$E$29)))</f>
        <v>4.9402653547269</v>
      </c>
      <c r="T331" s="68" t="n">
        <f aca="false">Inputs!$E$9*(1+E331)+Inputs!$E$5*C331*(Inputs!$E$11*Inputs!$E$14*(G331*I331/Inputs!$E$16+(1-G331))*K331+Inputs!$E$23*M331)*(1+O331)+Inputs!$E$5*(Q331+S331)</f>
        <v>6014.83378216627</v>
      </c>
    </row>
    <row r="332" customFormat="false" ht="15" hidden="false" customHeight="false" outlineLevel="0" collapsed="false">
      <c r="A332" s="1" t="n">
        <v>328</v>
      </c>
      <c r="B332" s="81" t="n">
        <f aca="true">RAND()</f>
        <v>0.623390249770969</v>
      </c>
      <c r="C332" s="82" t="n">
        <f aca="false">ROUND(IF(B332&lt;(Inputs!$E$8-Inputs!$D$8)/(Inputs!$F$8-Inputs!$D$8),Inputs!$D$8+SQRT(B332*(Inputs!$F$8-Inputs!$D$8)*(Inputs!$E$8-Inputs!$D$8)),Inputs!$F$8-SQRT((1-B332)*(Inputs!$F$8-Inputs!$D$8)*(Inputs!$F$8-Inputs!$E$8))),0)</f>
        <v>26</v>
      </c>
      <c r="D332" s="81" t="n">
        <f aca="true">RAND()</f>
        <v>0.122538045603641</v>
      </c>
      <c r="E332" s="83" t="n">
        <f aca="false">IF(D332&lt;(Inputs!$E$10-Inputs!$D$10)/(Inputs!$F$10-Inputs!$D$10),Inputs!$D$10+SQRT(D332*(Inputs!$F$10-Inputs!$D$10)*(Inputs!$E$10-Inputs!$D$10)),Inputs!$F$10-SQRT((1-D332)*(Inputs!$F$10-Inputs!$D$10)*(Inputs!$F$10-Inputs!$E$10)))</f>
        <v>0.0350054346642976</v>
      </c>
      <c r="F332" s="81" t="n">
        <f aca="true">RAND()</f>
        <v>0.339643343989519</v>
      </c>
      <c r="G332" s="83" t="n">
        <f aca="false">IF(F332&lt;(Inputs!$E$15-Inputs!$D$15)/(Inputs!$F$15-Inputs!$D$15),Inputs!$D$15+SQRT(F332*(Inputs!$F$15-Inputs!$D$15)*(Inputs!$E$15-Inputs!$D$15)),Inputs!$F$15-SQRT((1-F332)*(Inputs!$F$15-Inputs!$D$15)*(Inputs!$F$15-Inputs!$E$15)))</f>
        <v>0.682418850269768</v>
      </c>
      <c r="H332" s="81" t="n">
        <f aca="true">RAND()</f>
        <v>0.675641302587781</v>
      </c>
      <c r="I332" s="82" t="n">
        <f aca="false">ROUND(IF(H332&lt;(Inputs!$E$17-Inputs!$D$17)/(Inputs!$F$17-Inputs!$D$17),Inputs!$D$17+SQRT(H332*(Inputs!$F$17-Inputs!$D$17)*(Inputs!$E$17-Inputs!$D$17)),Inputs!$F$17-SQRT((1-H332)*(Inputs!$F$17-Inputs!$D$17)*(Inputs!$F$17-Inputs!$E$17))),0)</f>
        <v>108</v>
      </c>
      <c r="J332" s="81" t="n">
        <f aca="true">RAND()</f>
        <v>0.883032503624969</v>
      </c>
      <c r="K332" s="83" t="n">
        <f aca="false">IF(J332&lt;(Inputs!$E$18-Inputs!$D$18)/(Inputs!$F$18-Inputs!$D$18),Inputs!$D$18+SQRT(J332*(Inputs!$F$18-Inputs!$D$18)*(Inputs!$E$18-Inputs!$D$18)),Inputs!$F$18-SQRT((1-J332)*(Inputs!$F$18-Inputs!$D$18)*(Inputs!$F$18-Inputs!$E$18)))</f>
        <v>1.14883352367105</v>
      </c>
      <c r="L332" s="81" t="n">
        <f aca="true">RAND()</f>
        <v>0.639561915839275</v>
      </c>
      <c r="M332" s="83" t="n">
        <f aca="false">IF(L332&lt;(Inputs!$E$24-Inputs!$D$24)/(Inputs!$F$24-Inputs!$D$24),Inputs!$D$24+SQRT(L332*(Inputs!$F$24-Inputs!$D$24)*(Inputs!$E$24-Inputs!$D$24)),Inputs!$F$24-SQRT((1-L332)*(Inputs!$F$24-Inputs!$D$24)*(Inputs!$F$24-Inputs!$E$24)))</f>
        <v>0.905882438133025</v>
      </c>
      <c r="N332" s="81" t="n">
        <f aca="true">RAND()</f>
        <v>0.709869515302861</v>
      </c>
      <c r="O332" s="83" t="n">
        <f aca="false">IF(N332&lt;(Inputs!$E$26-Inputs!$D$26)/(Inputs!$F$26-Inputs!$D$26),Inputs!$D$26+SQRT(N332*(Inputs!$F$26-Inputs!$D$26)*(Inputs!$E$26-Inputs!$D$26)),Inputs!$F$26-SQRT((1-N332)*(Inputs!$F$26-Inputs!$D$26)*(Inputs!$F$26-Inputs!$E$26)))</f>
        <v>0.646294587279203</v>
      </c>
      <c r="P332" s="81" t="n">
        <f aca="true">RAND()</f>
        <v>0.968840426015162</v>
      </c>
      <c r="Q332" s="82" t="n">
        <f aca="false">IF(P332&lt;(Inputs!$E$27-Inputs!$D$27)/(Inputs!$F$27-Inputs!$D$27),Inputs!$D$27+SQRT(P332*(Inputs!$F$27-Inputs!$D$27)*(Inputs!$E$27-Inputs!$D$27)),Inputs!$F$27-SQRT((1-P332)*(Inputs!$F$27-Inputs!$D$27)*(Inputs!$F$27-Inputs!$E$27)))</f>
        <v>134.712854913808</v>
      </c>
      <c r="R332" s="81" t="n">
        <f aca="true">RAND()</f>
        <v>0.515163556426567</v>
      </c>
      <c r="S332" s="82" t="n">
        <f aca="false">IF(R332&lt;(Inputs!$E$29-Inputs!$D$29)/(Inputs!$F$29-Inputs!$D$29),Inputs!$D$29+SQRT(R332*(Inputs!$F$29-Inputs!$D$29)*(Inputs!$E$29-Inputs!$D$29)),Inputs!$F$29-SQRT((1-R332)*(Inputs!$F$29-Inputs!$D$29)*(Inputs!$F$29-Inputs!$E$29)))</f>
        <v>7.06093597049714</v>
      </c>
      <c r="T332" s="68" t="n">
        <f aca="false">Inputs!$E$9*(1+E332)+Inputs!$E$5*C332*(Inputs!$E$11*Inputs!$E$14*(G332*I332/Inputs!$E$16+(1-G332))*K332+Inputs!$E$23*M332)*(1+O332)+Inputs!$E$5*(Q332+S332)</f>
        <v>7079.6573724435</v>
      </c>
    </row>
    <row r="333" customFormat="false" ht="15" hidden="false" customHeight="false" outlineLevel="0" collapsed="false">
      <c r="A333" s="1" t="n">
        <v>329</v>
      </c>
      <c r="B333" s="81" t="n">
        <f aca="true">RAND()</f>
        <v>0.711961422540164</v>
      </c>
      <c r="C333" s="82" t="n">
        <f aca="false">ROUND(IF(B333&lt;(Inputs!$E$8-Inputs!$D$8)/(Inputs!$F$8-Inputs!$D$8),Inputs!$D$8+SQRT(B333*(Inputs!$F$8-Inputs!$D$8)*(Inputs!$E$8-Inputs!$D$8)),Inputs!$F$8-SQRT((1-B333)*(Inputs!$F$8-Inputs!$D$8)*(Inputs!$F$8-Inputs!$E$8))),0)</f>
        <v>26</v>
      </c>
      <c r="D333" s="81" t="n">
        <f aca="true">RAND()</f>
        <v>0.26569157224667</v>
      </c>
      <c r="E333" s="83" t="n">
        <f aca="false">IF(D333&lt;(Inputs!$E$10-Inputs!$D$10)/(Inputs!$F$10-Inputs!$D$10),Inputs!$D$10+SQRT(D333*(Inputs!$F$10-Inputs!$D$10)*(Inputs!$E$10-Inputs!$D$10)),Inputs!$F$10-SQRT((1-D333)*(Inputs!$F$10-Inputs!$D$10)*(Inputs!$F$10-Inputs!$E$10)))</f>
        <v>0.0515774517379522</v>
      </c>
      <c r="F333" s="81" t="n">
        <f aca="true">RAND()</f>
        <v>0.27357757815301</v>
      </c>
      <c r="G333" s="83" t="n">
        <f aca="false">IF(F333&lt;(Inputs!$E$15-Inputs!$D$15)/(Inputs!$F$15-Inputs!$D$15),Inputs!$D$15+SQRT(F333*(Inputs!$F$15-Inputs!$D$15)*(Inputs!$E$15-Inputs!$D$15)),Inputs!$F$15-SQRT((1-F333)*(Inputs!$F$15-Inputs!$D$15)*(Inputs!$F$15-Inputs!$E$15)))</f>
        <v>0.673969936886956</v>
      </c>
      <c r="H333" s="81" t="n">
        <f aca="true">RAND()</f>
        <v>0.244588144014668</v>
      </c>
      <c r="I333" s="82" t="n">
        <f aca="false">ROUND(IF(H333&lt;(Inputs!$E$17-Inputs!$D$17)/(Inputs!$F$17-Inputs!$D$17),Inputs!$D$17+SQRT(H333*(Inputs!$F$17-Inputs!$D$17)*(Inputs!$E$17-Inputs!$D$17)),Inputs!$F$17-SQRT((1-H333)*(Inputs!$F$17-Inputs!$D$17)*(Inputs!$F$17-Inputs!$E$17))),0)</f>
        <v>104</v>
      </c>
      <c r="J333" s="81" t="n">
        <f aca="true">RAND()</f>
        <v>0.230916214696926</v>
      </c>
      <c r="K333" s="83" t="n">
        <f aca="false">IF(J333&lt;(Inputs!$E$18-Inputs!$D$18)/(Inputs!$F$18-Inputs!$D$18),Inputs!$D$18+SQRT(J333*(Inputs!$F$18-Inputs!$D$18)*(Inputs!$E$18-Inputs!$D$18)),Inputs!$F$18-SQRT((1-J333)*(Inputs!$F$18-Inputs!$D$18)*(Inputs!$F$18-Inputs!$E$18)))</f>
        <v>0.989900319879255</v>
      </c>
      <c r="L333" s="81" t="n">
        <f aca="true">RAND()</f>
        <v>0.326979853782953</v>
      </c>
      <c r="M333" s="83" t="n">
        <f aca="false">IF(L333&lt;(Inputs!$E$24-Inputs!$D$24)/(Inputs!$F$24-Inputs!$D$24),Inputs!$D$24+SQRT(L333*(Inputs!$F$24-Inputs!$D$24)*(Inputs!$E$24-Inputs!$D$24)),Inputs!$F$24-SQRT((1-L333)*(Inputs!$F$24-Inputs!$D$24)*(Inputs!$F$24-Inputs!$E$24)))</f>
        <v>0.798084786023446</v>
      </c>
      <c r="N333" s="81" t="n">
        <f aca="true">RAND()</f>
        <v>0.463546879006123</v>
      </c>
      <c r="O333" s="83" t="n">
        <f aca="false">IF(N333&lt;(Inputs!$E$26-Inputs!$D$26)/(Inputs!$F$26-Inputs!$D$26),Inputs!$D$26+SQRT(N333*(Inputs!$F$26-Inputs!$D$26)*(Inputs!$E$26-Inputs!$D$26)),Inputs!$F$26-SQRT((1-N333)*(Inputs!$F$26-Inputs!$D$26)*(Inputs!$F$26-Inputs!$E$26)))</f>
        <v>0.577730446056277</v>
      </c>
      <c r="P333" s="81" t="n">
        <f aca="true">RAND()</f>
        <v>0.770698763342372</v>
      </c>
      <c r="Q333" s="82" t="n">
        <f aca="false">IF(P333&lt;(Inputs!$E$27-Inputs!$D$27)/(Inputs!$F$27-Inputs!$D$27),Inputs!$D$27+SQRT(P333*(Inputs!$F$27-Inputs!$D$27)*(Inputs!$E$27-Inputs!$D$27)),Inputs!$F$27-SQRT((1-P333)*(Inputs!$F$27-Inputs!$D$27)*(Inputs!$F$27-Inputs!$E$27)))</f>
        <v>108.530019593298</v>
      </c>
      <c r="R333" s="81" t="n">
        <f aca="true">RAND()</f>
        <v>0.921941608692652</v>
      </c>
      <c r="S333" s="82" t="n">
        <f aca="false">IF(R333&lt;(Inputs!$E$29-Inputs!$D$29)/(Inputs!$F$29-Inputs!$D$29),Inputs!$D$29+SQRT(R333*(Inputs!$F$29-Inputs!$D$29)*(Inputs!$E$29-Inputs!$D$29)),Inputs!$F$29-SQRT((1-R333)*(Inputs!$F$29-Inputs!$D$29)*(Inputs!$F$29-Inputs!$E$29)))</f>
        <v>11.8144716497957</v>
      </c>
      <c r="T333" s="68" t="n">
        <f aca="false">Inputs!$E$9*(1+E333)+Inputs!$E$5*C333*(Inputs!$E$11*Inputs!$E$14*(G333*I333/Inputs!$E$16+(1-G333))*K333+Inputs!$E$23*M333)*(1+O333)+Inputs!$E$5*(Q333+S333)</f>
        <v>6286.77046192003</v>
      </c>
    </row>
    <row r="334" customFormat="false" ht="15" hidden="false" customHeight="false" outlineLevel="0" collapsed="false">
      <c r="A334" s="1" t="n">
        <v>330</v>
      </c>
      <c r="B334" s="81" t="n">
        <f aca="true">RAND()</f>
        <v>0.751615992455163</v>
      </c>
      <c r="C334" s="82" t="n">
        <f aca="false">ROUND(IF(B334&lt;(Inputs!$E$8-Inputs!$D$8)/(Inputs!$F$8-Inputs!$D$8),Inputs!$D$8+SQRT(B334*(Inputs!$F$8-Inputs!$D$8)*(Inputs!$E$8-Inputs!$D$8)),Inputs!$F$8-SQRT((1-B334)*(Inputs!$F$8-Inputs!$D$8)*(Inputs!$F$8-Inputs!$E$8))),0)</f>
        <v>26</v>
      </c>
      <c r="D334" s="81" t="n">
        <f aca="true">RAND()</f>
        <v>0.337989319475828</v>
      </c>
      <c r="E334" s="83" t="n">
        <f aca="false">IF(D334&lt;(Inputs!$E$10-Inputs!$D$10)/(Inputs!$F$10-Inputs!$D$10),Inputs!$D$10+SQRT(D334*(Inputs!$F$10-Inputs!$D$10)*(Inputs!$E$10-Inputs!$D$10)),Inputs!$F$10-SQRT((1-D334)*(Inputs!$F$10-Inputs!$D$10)*(Inputs!$F$10-Inputs!$E$10)))</f>
        <v>0.059073350938422</v>
      </c>
      <c r="F334" s="81" t="n">
        <f aca="true">RAND()</f>
        <v>0.679572387599553</v>
      </c>
      <c r="G334" s="83" t="n">
        <f aca="false">IF(F334&lt;(Inputs!$E$15-Inputs!$D$15)/(Inputs!$F$15-Inputs!$D$15),Inputs!$D$15+SQRT(F334*(Inputs!$F$15-Inputs!$D$15)*(Inputs!$E$15-Inputs!$D$15)),Inputs!$F$15-SQRT((1-F334)*(Inputs!$F$15-Inputs!$D$15)*(Inputs!$F$15-Inputs!$E$15)))</f>
        <v>0.7199465662947</v>
      </c>
      <c r="H334" s="81" t="n">
        <f aca="true">RAND()</f>
        <v>0.470642837622173</v>
      </c>
      <c r="I334" s="82" t="n">
        <f aca="false">ROUND(IF(H334&lt;(Inputs!$E$17-Inputs!$D$17)/(Inputs!$F$17-Inputs!$D$17),Inputs!$D$17+SQRT(H334*(Inputs!$F$17-Inputs!$D$17)*(Inputs!$E$17-Inputs!$D$17)),Inputs!$F$17-SQRT((1-H334)*(Inputs!$F$17-Inputs!$D$17)*(Inputs!$F$17-Inputs!$E$17))),0)</f>
        <v>106</v>
      </c>
      <c r="J334" s="81" t="n">
        <f aca="true">RAND()</f>
        <v>0.1061176284903</v>
      </c>
      <c r="K334" s="83" t="n">
        <f aca="false">IF(J334&lt;(Inputs!$E$18-Inputs!$D$18)/(Inputs!$F$18-Inputs!$D$18),Inputs!$D$18+SQRT(J334*(Inputs!$F$18-Inputs!$D$18)*(Inputs!$E$18-Inputs!$D$18)),Inputs!$F$18-SQRT((1-J334)*(Inputs!$F$18-Inputs!$D$18)*(Inputs!$F$18-Inputs!$E$18)))</f>
        <v>0.960943555829641</v>
      </c>
      <c r="L334" s="81" t="n">
        <f aca="true">RAND()</f>
        <v>0.306346430779826</v>
      </c>
      <c r="M334" s="83" t="n">
        <f aca="false">IF(L334&lt;(Inputs!$E$24-Inputs!$D$24)/(Inputs!$F$24-Inputs!$D$24),Inputs!$D$24+SQRT(L334*(Inputs!$F$24-Inputs!$D$24)*(Inputs!$E$24-Inputs!$D$24)),Inputs!$F$24-SQRT((1-L334)*(Inputs!$F$24-Inputs!$D$24)*(Inputs!$F$24-Inputs!$E$24)))</f>
        <v>0.791733074073252</v>
      </c>
      <c r="N334" s="81" t="n">
        <f aca="true">RAND()</f>
        <v>0.856129112438927</v>
      </c>
      <c r="O334" s="83" t="n">
        <f aca="false">IF(N334&lt;(Inputs!$E$26-Inputs!$D$26)/(Inputs!$F$26-Inputs!$D$26),Inputs!$D$26+SQRT(N334*(Inputs!$F$26-Inputs!$D$26)*(Inputs!$E$26-Inputs!$D$26)),Inputs!$F$26-SQRT((1-N334)*(Inputs!$F$26-Inputs!$D$26)*(Inputs!$F$26-Inputs!$E$26)))</f>
        <v>0.697678406213982</v>
      </c>
      <c r="P334" s="81" t="n">
        <f aca="true">RAND()</f>
        <v>0.180065250017789</v>
      </c>
      <c r="Q334" s="82" t="n">
        <f aca="false">IF(P334&lt;(Inputs!$E$27-Inputs!$D$27)/(Inputs!$F$27-Inputs!$D$27),Inputs!$D$27+SQRT(P334*(Inputs!$F$27-Inputs!$D$27)*(Inputs!$E$27-Inputs!$D$27)),Inputs!$F$27-SQRT((1-P334)*(Inputs!$F$27-Inputs!$D$27)*(Inputs!$F$27-Inputs!$E$27)))</f>
        <v>71.2170479813869</v>
      </c>
      <c r="R334" s="81" t="n">
        <f aca="true">RAND()</f>
        <v>0.555380374975571</v>
      </c>
      <c r="S334" s="82" t="n">
        <f aca="false">IF(R334&lt;(Inputs!$E$29-Inputs!$D$29)/(Inputs!$F$29-Inputs!$D$29),Inputs!$D$29+SQRT(R334*(Inputs!$F$29-Inputs!$D$29)*(Inputs!$E$29-Inputs!$D$29)),Inputs!$F$29-SQRT((1-R334)*(Inputs!$F$29-Inputs!$D$29)*(Inputs!$F$29-Inputs!$E$29)))</f>
        <v>7.39733262248205</v>
      </c>
      <c r="T334" s="68" t="n">
        <f aca="false">Inputs!$E$9*(1+E334)+Inputs!$E$5*C334*(Inputs!$E$11*Inputs!$E$14*(G334*I334/Inputs!$E$16+(1-G334))*K334+Inputs!$E$23*M334)*(1+O334)+Inputs!$E$5*(Q334+S334)</f>
        <v>6231.22334713081</v>
      </c>
    </row>
    <row r="335" customFormat="false" ht="15" hidden="false" customHeight="false" outlineLevel="0" collapsed="false">
      <c r="A335" s="1" t="n">
        <v>331</v>
      </c>
      <c r="B335" s="81" t="n">
        <f aca="true">RAND()</f>
        <v>0.808338837772151</v>
      </c>
      <c r="C335" s="82" t="n">
        <f aca="false">ROUND(IF(B335&lt;(Inputs!$E$8-Inputs!$D$8)/(Inputs!$F$8-Inputs!$D$8),Inputs!$D$8+SQRT(B335*(Inputs!$F$8-Inputs!$D$8)*(Inputs!$E$8-Inputs!$D$8)),Inputs!$F$8-SQRT((1-B335)*(Inputs!$F$8-Inputs!$D$8)*(Inputs!$F$8-Inputs!$E$8))),0)</f>
        <v>27</v>
      </c>
      <c r="D335" s="81" t="n">
        <f aca="true">RAND()</f>
        <v>0.158761455821275</v>
      </c>
      <c r="E335" s="83" t="n">
        <f aca="false">IF(D335&lt;(Inputs!$E$10-Inputs!$D$10)/(Inputs!$F$10-Inputs!$D$10),Inputs!$D$10+SQRT(D335*(Inputs!$F$10-Inputs!$D$10)*(Inputs!$E$10-Inputs!$D$10)),Inputs!$F$10-SQRT((1-D335)*(Inputs!$F$10-Inputs!$D$10)*(Inputs!$F$10-Inputs!$E$10)))</f>
        <v>0.039844881204651</v>
      </c>
      <c r="F335" s="81" t="n">
        <f aca="true">RAND()</f>
        <v>0.849039363001847</v>
      </c>
      <c r="G335" s="83" t="n">
        <f aca="false">IF(F335&lt;(Inputs!$E$15-Inputs!$D$15)/(Inputs!$F$15-Inputs!$D$15),Inputs!$D$15+SQRT(F335*(Inputs!$F$15-Inputs!$D$15)*(Inputs!$E$15-Inputs!$D$15)),Inputs!$F$15-SQRT((1-F335)*(Inputs!$F$15-Inputs!$D$15)*(Inputs!$F$15-Inputs!$E$15)))</f>
        <v>0.745052636642301</v>
      </c>
      <c r="H335" s="81" t="n">
        <f aca="true">RAND()</f>
        <v>0.523994633556195</v>
      </c>
      <c r="I335" s="82" t="n">
        <f aca="false">ROUND(IF(H335&lt;(Inputs!$E$17-Inputs!$D$17)/(Inputs!$F$17-Inputs!$D$17),Inputs!$D$17+SQRT(H335*(Inputs!$F$17-Inputs!$D$17)*(Inputs!$E$17-Inputs!$D$17)),Inputs!$F$17-SQRT((1-H335)*(Inputs!$F$17-Inputs!$D$17)*(Inputs!$F$17-Inputs!$E$17))),0)</f>
        <v>107</v>
      </c>
      <c r="J335" s="81" t="n">
        <f aca="true">RAND()</f>
        <v>0.0429282787662151</v>
      </c>
      <c r="K335" s="83" t="n">
        <f aca="false">IF(J335&lt;(Inputs!$E$18-Inputs!$D$18)/(Inputs!$F$18-Inputs!$D$18),Inputs!$D$18+SQRT(J335*(Inputs!$F$18-Inputs!$D$18)*(Inputs!$E$18-Inputs!$D$18)),Inputs!$F$18-SQRT((1-J335)*(Inputs!$F$18-Inputs!$D$18)*(Inputs!$F$18-Inputs!$E$18)))</f>
        <v>0.938761962757548</v>
      </c>
      <c r="L335" s="81" t="n">
        <f aca="true">RAND()</f>
        <v>0.417839480798285</v>
      </c>
      <c r="M335" s="83" t="n">
        <f aca="false">IF(L335&lt;(Inputs!$E$24-Inputs!$D$24)/(Inputs!$F$24-Inputs!$D$24),Inputs!$D$24+SQRT(L335*(Inputs!$F$24-Inputs!$D$24)*(Inputs!$E$24-Inputs!$D$24)),Inputs!$F$24-SQRT((1-L335)*(Inputs!$F$24-Inputs!$D$24)*(Inputs!$F$24-Inputs!$E$24)))</f>
        <v>0.826210587886158</v>
      </c>
      <c r="N335" s="81" t="n">
        <f aca="true">RAND()</f>
        <v>0.546995507104627</v>
      </c>
      <c r="O335" s="83" t="n">
        <f aca="false">IF(N335&lt;(Inputs!$E$26-Inputs!$D$26)/(Inputs!$F$26-Inputs!$D$26),Inputs!$D$26+SQRT(N335*(Inputs!$F$26-Inputs!$D$26)*(Inputs!$E$26-Inputs!$D$26)),Inputs!$F$26-SQRT((1-N335)*(Inputs!$F$26-Inputs!$D$26)*(Inputs!$F$26-Inputs!$E$26)))</f>
        <v>0.601695297249079</v>
      </c>
      <c r="P335" s="81" t="n">
        <f aca="true">RAND()</f>
        <v>0.697751471038372</v>
      </c>
      <c r="Q335" s="82" t="n">
        <f aca="false">IF(P335&lt;(Inputs!$E$27-Inputs!$D$27)/(Inputs!$F$27-Inputs!$D$27),Inputs!$D$27+SQRT(P335*(Inputs!$F$27-Inputs!$D$27)*(Inputs!$E$27-Inputs!$D$27)),Inputs!$F$27-SQRT((1-P335)*(Inputs!$F$27-Inputs!$D$27)*(Inputs!$F$27-Inputs!$E$27)))</f>
        <v>102.388405117953</v>
      </c>
      <c r="R335" s="81" t="n">
        <f aca="true">RAND()</f>
        <v>0.540308830743555</v>
      </c>
      <c r="S335" s="82" t="n">
        <f aca="false">IF(R335&lt;(Inputs!$E$29-Inputs!$D$29)/(Inputs!$F$29-Inputs!$D$29),Inputs!$D$29+SQRT(R335*(Inputs!$F$29-Inputs!$D$29)*(Inputs!$E$29-Inputs!$D$29)),Inputs!$F$29-SQRT((1-R335)*(Inputs!$F$29-Inputs!$D$29)*(Inputs!$F$29-Inputs!$E$29)))</f>
        <v>7.26955033627811</v>
      </c>
      <c r="T335" s="68" t="n">
        <f aca="false">Inputs!$E$9*(1+E335)+Inputs!$E$5*C335*(Inputs!$E$11*Inputs!$E$14*(G335*I335/Inputs!$E$16+(1-G335))*K335+Inputs!$E$23*M335)*(1+O335)+Inputs!$E$5*(Q335+S335)</f>
        <v>6254.16049417856</v>
      </c>
    </row>
    <row r="336" customFormat="false" ht="15" hidden="false" customHeight="false" outlineLevel="0" collapsed="false">
      <c r="A336" s="1" t="n">
        <v>332</v>
      </c>
      <c r="B336" s="81" t="n">
        <f aca="true">RAND()</f>
        <v>0.303787736604124</v>
      </c>
      <c r="C336" s="82" t="n">
        <f aca="false">ROUND(IF(B336&lt;(Inputs!$E$8-Inputs!$D$8)/(Inputs!$F$8-Inputs!$D$8),Inputs!$D$8+SQRT(B336*(Inputs!$F$8-Inputs!$D$8)*(Inputs!$E$8-Inputs!$D$8)),Inputs!$F$8-SQRT((1-B336)*(Inputs!$F$8-Inputs!$D$8)*(Inputs!$F$8-Inputs!$E$8))),0)</f>
        <v>24</v>
      </c>
      <c r="D336" s="81" t="n">
        <f aca="true">RAND()</f>
        <v>0.942357191323231</v>
      </c>
      <c r="E336" s="83" t="n">
        <f aca="false">IF(D336&lt;(Inputs!$E$10-Inputs!$D$10)/(Inputs!$F$10-Inputs!$D$10),Inputs!$D$10+SQRT(D336*(Inputs!$F$10-Inputs!$D$10)*(Inputs!$E$10-Inputs!$D$10)),Inputs!$F$10-SQRT((1-D336)*(Inputs!$F$10-Inputs!$D$10)*(Inputs!$F$10-Inputs!$E$10)))</f>
        <v>0.158415336236744</v>
      </c>
      <c r="F336" s="81" t="n">
        <f aca="true">RAND()</f>
        <v>0.336808575363601</v>
      </c>
      <c r="G336" s="83" t="n">
        <f aca="false">IF(F336&lt;(Inputs!$E$15-Inputs!$D$15)/(Inputs!$F$15-Inputs!$D$15),Inputs!$D$15+SQRT(F336*(Inputs!$F$15-Inputs!$D$15)*(Inputs!$E$15-Inputs!$D$15)),Inputs!$F$15-SQRT((1-F336)*(Inputs!$F$15-Inputs!$D$15)*(Inputs!$F$15-Inputs!$E$15)))</f>
        <v>0.682074182952205</v>
      </c>
      <c r="H336" s="81" t="n">
        <f aca="true">RAND()</f>
        <v>0.435138319612109</v>
      </c>
      <c r="I336" s="82" t="n">
        <f aca="false">ROUND(IF(H336&lt;(Inputs!$E$17-Inputs!$D$17)/(Inputs!$F$17-Inputs!$D$17),Inputs!$D$17+SQRT(H336*(Inputs!$F$17-Inputs!$D$17)*(Inputs!$E$17-Inputs!$D$17)),Inputs!$F$17-SQRT((1-H336)*(Inputs!$F$17-Inputs!$D$17)*(Inputs!$F$17-Inputs!$E$17))),0)</f>
        <v>106</v>
      </c>
      <c r="J336" s="81" t="n">
        <f aca="true">RAND()</f>
        <v>0.499874428059375</v>
      </c>
      <c r="K336" s="83" t="n">
        <f aca="false">IF(J336&lt;(Inputs!$E$18-Inputs!$D$18)/(Inputs!$F$18-Inputs!$D$18),Inputs!$D$18+SQRT(J336*(Inputs!$F$18-Inputs!$D$18)*(Inputs!$E$18-Inputs!$D$18)),Inputs!$F$18-SQRT((1-J336)*(Inputs!$F$18-Inputs!$D$18)*(Inputs!$F$18-Inputs!$E$18)))</f>
        <v>1.04080872975957</v>
      </c>
      <c r="L336" s="81" t="n">
        <f aca="true">RAND()</f>
        <v>0.184504913651101</v>
      </c>
      <c r="M336" s="83" t="n">
        <f aca="false">IF(L336&lt;(Inputs!$E$24-Inputs!$D$24)/(Inputs!$F$24-Inputs!$D$24),Inputs!$D$24+SQRT(L336*(Inputs!$F$24-Inputs!$D$24)*(Inputs!$E$24-Inputs!$D$24)),Inputs!$F$24-SQRT((1-L336)*(Inputs!$F$24-Inputs!$D$24)*(Inputs!$F$24-Inputs!$E$24)))</f>
        <v>0.748797142573815</v>
      </c>
      <c r="N336" s="81" t="n">
        <f aca="true">RAND()</f>
        <v>0.799540658211409</v>
      </c>
      <c r="O336" s="83" t="n">
        <f aca="false">IF(N336&lt;(Inputs!$E$26-Inputs!$D$26)/(Inputs!$F$26-Inputs!$D$26),Inputs!$D$26+SQRT(N336*(Inputs!$F$26-Inputs!$D$26)*(Inputs!$E$26-Inputs!$D$26)),Inputs!$F$26-SQRT((1-N336)*(Inputs!$F$26-Inputs!$D$26)*(Inputs!$F$26-Inputs!$E$26)))</f>
        <v>0.675612425929329</v>
      </c>
      <c r="P336" s="81" t="n">
        <f aca="true">RAND()</f>
        <v>0.894958923116673</v>
      </c>
      <c r="Q336" s="82" t="n">
        <f aca="false">IF(P336&lt;(Inputs!$E$27-Inputs!$D$27)/(Inputs!$F$27-Inputs!$D$27),Inputs!$D$27+SQRT(P336*(Inputs!$F$27-Inputs!$D$27)*(Inputs!$E$27-Inputs!$D$27)),Inputs!$F$27-SQRT((1-P336)*(Inputs!$F$27-Inputs!$D$27)*(Inputs!$F$27-Inputs!$E$27)))</f>
        <v>121.932081006513</v>
      </c>
      <c r="R336" s="81" t="n">
        <f aca="true">RAND()</f>
        <v>0.366343956870838</v>
      </c>
      <c r="S336" s="82" t="n">
        <f aca="false">IF(R336&lt;(Inputs!$E$29-Inputs!$D$29)/(Inputs!$F$29-Inputs!$D$29),Inputs!$D$29+SQRT(R336*(Inputs!$F$29-Inputs!$D$29)*(Inputs!$E$29-Inputs!$D$29)),Inputs!$F$29-SQRT((1-R336)*(Inputs!$F$29-Inputs!$D$29)*(Inputs!$F$29-Inputs!$E$29)))</f>
        <v>5.9239168356173</v>
      </c>
      <c r="T336" s="68" t="n">
        <f aca="false">Inputs!$E$9*(1+E336)+Inputs!$E$5*C336*(Inputs!$E$11*Inputs!$E$14*(G336*I336/Inputs!$E$16+(1-G336))*K336+Inputs!$E$23*M336)*(1+O336)+Inputs!$E$5*(Q336+S336)</f>
        <v>6545.9070656662</v>
      </c>
    </row>
    <row r="337" customFormat="false" ht="15" hidden="false" customHeight="false" outlineLevel="0" collapsed="false">
      <c r="A337" s="1" t="n">
        <v>333</v>
      </c>
      <c r="B337" s="81" t="n">
        <f aca="true">RAND()</f>
        <v>0.022197736817321</v>
      </c>
      <c r="C337" s="82" t="n">
        <f aca="false">ROUND(IF(B337&lt;(Inputs!$E$8-Inputs!$D$8)/(Inputs!$F$8-Inputs!$D$8),Inputs!$D$8+SQRT(B337*(Inputs!$F$8-Inputs!$D$8)*(Inputs!$E$8-Inputs!$D$8)),Inputs!$F$8-SQRT((1-B337)*(Inputs!$F$8-Inputs!$D$8)*(Inputs!$F$8-Inputs!$E$8))),0)</f>
        <v>21</v>
      </c>
      <c r="D337" s="81" t="n">
        <f aca="true">RAND()</f>
        <v>0.0225992149568993</v>
      </c>
      <c r="E337" s="83" t="n">
        <f aca="false">IF(D337&lt;(Inputs!$E$10-Inputs!$D$10)/(Inputs!$F$10-Inputs!$D$10),Inputs!$D$10+SQRT(D337*(Inputs!$F$10-Inputs!$D$10)*(Inputs!$E$10-Inputs!$D$10)),Inputs!$F$10-SQRT((1-D337)*(Inputs!$F$10-Inputs!$D$10)*(Inputs!$F$10-Inputs!$E$10)))</f>
        <v>0.0150330352746541</v>
      </c>
      <c r="F337" s="81" t="n">
        <f aca="true">RAND()</f>
        <v>0.148595509675414</v>
      </c>
      <c r="G337" s="83" t="n">
        <f aca="false">IF(F337&lt;(Inputs!$E$15-Inputs!$D$15)/(Inputs!$F$15-Inputs!$D$15),Inputs!$D$15+SQRT(F337*(Inputs!$F$15-Inputs!$D$15)*(Inputs!$E$15-Inputs!$D$15)),Inputs!$F$15-SQRT((1-F337)*(Inputs!$F$15-Inputs!$D$15)*(Inputs!$F$15-Inputs!$E$15)))</f>
        <v>0.654515229005373</v>
      </c>
      <c r="H337" s="81" t="n">
        <f aca="true">RAND()</f>
        <v>0.603596277186469</v>
      </c>
      <c r="I337" s="82" t="n">
        <f aca="false">ROUND(IF(H337&lt;(Inputs!$E$17-Inputs!$D$17)/(Inputs!$F$17-Inputs!$D$17),Inputs!$D$17+SQRT(H337*(Inputs!$F$17-Inputs!$D$17)*(Inputs!$E$17-Inputs!$D$17)),Inputs!$F$17-SQRT((1-H337)*(Inputs!$F$17-Inputs!$D$17)*(Inputs!$F$17-Inputs!$E$17))),0)</f>
        <v>107</v>
      </c>
      <c r="J337" s="81" t="n">
        <f aca="true">RAND()</f>
        <v>0.14219891718591</v>
      </c>
      <c r="K337" s="83" t="n">
        <f aca="false">IF(J337&lt;(Inputs!$E$18-Inputs!$D$18)/(Inputs!$F$18-Inputs!$D$18),Inputs!$D$18+SQRT(J337*(Inputs!$F$18-Inputs!$D$18)*(Inputs!$E$18-Inputs!$D$18)),Inputs!$F$18-SQRT((1-J337)*(Inputs!$F$18-Inputs!$D$18)*(Inputs!$F$18-Inputs!$E$18)))</f>
        <v>0.970547587496008</v>
      </c>
      <c r="L337" s="81" t="n">
        <f aca="true">RAND()</f>
        <v>0.331803108163235</v>
      </c>
      <c r="M337" s="83" t="n">
        <f aca="false">IF(L337&lt;(Inputs!$E$24-Inputs!$D$24)/(Inputs!$F$24-Inputs!$D$24),Inputs!$D$24+SQRT(L337*(Inputs!$F$24-Inputs!$D$24)*(Inputs!$E$24-Inputs!$D$24)),Inputs!$F$24-SQRT((1-L337)*(Inputs!$F$24-Inputs!$D$24)*(Inputs!$F$24-Inputs!$E$24)))</f>
        <v>0.799540404378633</v>
      </c>
      <c r="N337" s="81" t="n">
        <f aca="true">RAND()</f>
        <v>0.103403353019897</v>
      </c>
      <c r="O337" s="83" t="n">
        <f aca="false">IF(N337&lt;(Inputs!$E$26-Inputs!$D$26)/(Inputs!$F$26-Inputs!$D$26),Inputs!$D$26+SQRT(N337*(Inputs!$F$26-Inputs!$D$26)*(Inputs!$E$26-Inputs!$D$26)),Inputs!$F$26-SQRT((1-N337)*(Inputs!$F$26-Inputs!$D$26)*(Inputs!$F$26-Inputs!$E$26)))</f>
        <v>0.431172855204539</v>
      </c>
      <c r="P337" s="81" t="n">
        <f aca="true">RAND()</f>
        <v>0.267793150074461</v>
      </c>
      <c r="Q337" s="82" t="n">
        <f aca="false">IF(P337&lt;(Inputs!$E$27-Inputs!$D$27)/(Inputs!$F$27-Inputs!$D$27),Inputs!$D$27+SQRT(P337*(Inputs!$F$27-Inputs!$D$27)*(Inputs!$E$27-Inputs!$D$27)),Inputs!$F$27-SQRT((1-P337)*(Inputs!$F$27-Inputs!$D$27)*(Inputs!$F$27-Inputs!$E$27)))</f>
        <v>75.894997642254</v>
      </c>
      <c r="R337" s="81" t="n">
        <f aca="true">RAND()</f>
        <v>0.514854370452788</v>
      </c>
      <c r="S337" s="82" t="n">
        <f aca="false">IF(R337&lt;(Inputs!$E$29-Inputs!$D$29)/(Inputs!$F$29-Inputs!$D$29),Inputs!$D$29+SQRT(R337*(Inputs!$F$29-Inputs!$D$29)*(Inputs!$E$29-Inputs!$D$29)),Inputs!$F$29-SQRT((1-R337)*(Inputs!$F$29-Inputs!$D$29)*(Inputs!$F$29-Inputs!$E$29)))</f>
        <v>7.05840495611004</v>
      </c>
      <c r="T337" s="68" t="n">
        <f aca="false">Inputs!$E$9*(1+E337)+Inputs!$E$5*C337*(Inputs!$E$11*Inputs!$E$14*(G337*I337/Inputs!$E$16+(1-G337))*K337+Inputs!$E$23*M337)*(1+O337)+Inputs!$E$5*(Q337+S337)</f>
        <v>5131.03749189173</v>
      </c>
    </row>
    <row r="338" customFormat="false" ht="15" hidden="false" customHeight="false" outlineLevel="0" collapsed="false">
      <c r="A338" s="1" t="n">
        <v>334</v>
      </c>
      <c r="B338" s="81" t="n">
        <f aca="true">RAND()</f>
        <v>0.31418094763792</v>
      </c>
      <c r="C338" s="82" t="n">
        <f aca="false">ROUND(IF(B338&lt;(Inputs!$E$8-Inputs!$D$8)/(Inputs!$F$8-Inputs!$D$8),Inputs!$D$8+SQRT(B338*(Inputs!$F$8-Inputs!$D$8)*(Inputs!$E$8-Inputs!$D$8)),Inputs!$F$8-SQRT((1-B338)*(Inputs!$F$8-Inputs!$D$8)*(Inputs!$F$8-Inputs!$E$8))),0)</f>
        <v>24</v>
      </c>
      <c r="D338" s="81" t="n">
        <f aca="true">RAND()</f>
        <v>0.114359740813725</v>
      </c>
      <c r="E338" s="83" t="n">
        <f aca="false">IF(D338&lt;(Inputs!$E$10-Inputs!$D$10)/(Inputs!$F$10-Inputs!$D$10),Inputs!$D$10+SQRT(D338*(Inputs!$F$10-Inputs!$D$10)*(Inputs!$E$10-Inputs!$D$10)),Inputs!$F$10-SQRT((1-D338)*(Inputs!$F$10-Inputs!$D$10)*(Inputs!$F$10-Inputs!$E$10)))</f>
        <v>0.0338171170879076</v>
      </c>
      <c r="F338" s="81" t="n">
        <f aca="true">RAND()</f>
        <v>0.0100100203081428</v>
      </c>
      <c r="G338" s="83" t="n">
        <f aca="false">IF(F338&lt;(Inputs!$E$15-Inputs!$D$15)/(Inputs!$F$15-Inputs!$D$15),Inputs!$D$15+SQRT(F338*(Inputs!$F$15-Inputs!$D$15)*(Inputs!$E$15-Inputs!$D$15)),Inputs!$F$15-SQRT((1-F338)*(Inputs!$F$15-Inputs!$D$15)*(Inputs!$F$15-Inputs!$E$15)))</f>
        <v>0.614149219277503</v>
      </c>
      <c r="H338" s="81" t="n">
        <f aca="true">RAND()</f>
        <v>0.426226139949972</v>
      </c>
      <c r="I338" s="82" t="n">
        <f aca="false">ROUND(IF(H338&lt;(Inputs!$E$17-Inputs!$D$17)/(Inputs!$F$17-Inputs!$D$17),Inputs!$D$17+SQRT(H338*(Inputs!$F$17-Inputs!$D$17)*(Inputs!$E$17-Inputs!$D$17)),Inputs!$F$17-SQRT((1-H338)*(Inputs!$F$17-Inputs!$D$17)*(Inputs!$F$17-Inputs!$E$17))),0)</f>
        <v>106</v>
      </c>
      <c r="J338" s="81" t="n">
        <f aca="true">RAND()</f>
        <v>0.0819247352698327</v>
      </c>
      <c r="K338" s="83" t="n">
        <f aca="false">IF(J338&lt;(Inputs!$E$18-Inputs!$D$18)/(Inputs!$F$18-Inputs!$D$18),Inputs!$D$18+SQRT(J338*(Inputs!$F$18-Inputs!$D$18)*(Inputs!$E$18-Inputs!$D$18)),Inputs!$F$18-SQRT((1-J338)*(Inputs!$F$18-Inputs!$D$18)*(Inputs!$F$18-Inputs!$E$18)))</f>
        <v>0.953547789258233</v>
      </c>
      <c r="L338" s="81" t="n">
        <f aca="true">RAND()</f>
        <v>0.19147837961426</v>
      </c>
      <c r="M338" s="83" t="n">
        <f aca="false">IF(L338&lt;(Inputs!$E$24-Inputs!$D$24)/(Inputs!$F$24-Inputs!$D$24),Inputs!$D$24+SQRT(L338*(Inputs!$F$24-Inputs!$D$24)*(Inputs!$E$24-Inputs!$D$24)),Inputs!$F$24-SQRT((1-L338)*(Inputs!$F$24-Inputs!$D$24)*(Inputs!$F$24-Inputs!$E$24)))</f>
        <v>0.751582998894042</v>
      </c>
      <c r="N338" s="81" t="n">
        <f aca="true">RAND()</f>
        <v>0.543091957918222</v>
      </c>
      <c r="O338" s="83" t="n">
        <f aca="false">IF(N338&lt;(Inputs!$E$26-Inputs!$D$26)/(Inputs!$F$26-Inputs!$D$26),Inputs!$D$26+SQRT(N338*(Inputs!$F$26-Inputs!$D$26)*(Inputs!$E$26-Inputs!$D$26)),Inputs!$F$26-SQRT((1-N338)*(Inputs!$F$26-Inputs!$D$26)*(Inputs!$F$26-Inputs!$E$26)))</f>
        <v>0.600616868784159</v>
      </c>
      <c r="P338" s="81" t="n">
        <f aca="true">RAND()</f>
        <v>0.0137451765471151</v>
      </c>
      <c r="Q338" s="82" t="n">
        <f aca="false">IF(P338&lt;(Inputs!$E$27-Inputs!$D$27)/(Inputs!$F$27-Inputs!$D$27),Inputs!$D$27+SQRT(P338*(Inputs!$F$27-Inputs!$D$27)*(Inputs!$E$27-Inputs!$D$27)),Inputs!$F$27-SQRT((1-P338)*(Inputs!$F$27-Inputs!$D$27)*(Inputs!$F$27-Inputs!$E$27)))</f>
        <v>55.8619912459665</v>
      </c>
      <c r="R338" s="81" t="n">
        <f aca="true">RAND()</f>
        <v>0.801496160450129</v>
      </c>
      <c r="S338" s="82" t="n">
        <f aca="false">IF(R338&lt;(Inputs!$E$29-Inputs!$D$29)/(Inputs!$F$29-Inputs!$D$29),Inputs!$D$29+SQRT(R338*(Inputs!$F$29-Inputs!$D$29)*(Inputs!$E$29-Inputs!$D$29)),Inputs!$F$29-SQRT((1-R338)*(Inputs!$F$29-Inputs!$D$29)*(Inputs!$F$29-Inputs!$E$29)))</f>
        <v>9.92008866795067</v>
      </c>
      <c r="T338" s="68" t="n">
        <f aca="false">Inputs!$E$9*(1+E338)+Inputs!$E$5*C338*(Inputs!$E$11*Inputs!$E$14*(G338*I338/Inputs!$E$16+(1-G338))*K338+Inputs!$E$23*M338)*(1+O338)+Inputs!$E$5*(Q338+S338)</f>
        <v>5713.79924815568</v>
      </c>
    </row>
    <row r="339" customFormat="false" ht="15" hidden="false" customHeight="false" outlineLevel="0" collapsed="false">
      <c r="A339" s="1" t="n">
        <v>335</v>
      </c>
      <c r="B339" s="81" t="n">
        <f aca="true">RAND()</f>
        <v>0.774239476719459</v>
      </c>
      <c r="C339" s="82" t="n">
        <f aca="false">ROUND(IF(B339&lt;(Inputs!$E$8-Inputs!$D$8)/(Inputs!$F$8-Inputs!$D$8),Inputs!$D$8+SQRT(B339*(Inputs!$F$8-Inputs!$D$8)*(Inputs!$E$8-Inputs!$D$8)),Inputs!$F$8-SQRT((1-B339)*(Inputs!$F$8-Inputs!$D$8)*(Inputs!$F$8-Inputs!$E$8))),0)</f>
        <v>27</v>
      </c>
      <c r="D339" s="81" t="n">
        <f aca="true">RAND()</f>
        <v>0.760367225582122</v>
      </c>
      <c r="E339" s="83" t="n">
        <f aca="false">IF(D339&lt;(Inputs!$E$10-Inputs!$D$10)/(Inputs!$F$10-Inputs!$D$10),Inputs!$D$10+SQRT(D339*(Inputs!$F$10-Inputs!$D$10)*(Inputs!$E$10-Inputs!$D$10)),Inputs!$F$10-SQRT((1-D339)*(Inputs!$F$10-Inputs!$D$10)*(Inputs!$F$10-Inputs!$E$10)))</f>
        <v>0.11521212803392</v>
      </c>
      <c r="F339" s="81" t="n">
        <f aca="true">RAND()</f>
        <v>0.977489462411465</v>
      </c>
      <c r="G339" s="83" t="n">
        <f aca="false">IF(F339&lt;(Inputs!$E$15-Inputs!$D$15)/(Inputs!$F$15-Inputs!$D$15),Inputs!$D$15+SQRT(F339*(Inputs!$F$15-Inputs!$D$15)*(Inputs!$E$15-Inputs!$D$15)),Inputs!$F$15-SQRT((1-F339)*(Inputs!$F$15-Inputs!$D$15)*(Inputs!$F$15-Inputs!$E$15)))</f>
        <v>0.778781829679006</v>
      </c>
      <c r="H339" s="81" t="n">
        <f aca="true">RAND()</f>
        <v>0.352421340826287</v>
      </c>
      <c r="I339" s="82" t="n">
        <f aca="false">ROUND(IF(H339&lt;(Inputs!$E$17-Inputs!$D$17)/(Inputs!$F$17-Inputs!$D$17),Inputs!$D$17+SQRT(H339*(Inputs!$F$17-Inputs!$D$17)*(Inputs!$E$17-Inputs!$D$17)),Inputs!$F$17-SQRT((1-H339)*(Inputs!$F$17-Inputs!$D$17)*(Inputs!$F$17-Inputs!$E$17))),0)</f>
        <v>105</v>
      </c>
      <c r="J339" s="81" t="n">
        <f aca="true">RAND()</f>
        <v>0.103418082338937</v>
      </c>
      <c r="K339" s="83" t="n">
        <f aca="false">IF(J339&lt;(Inputs!$E$18-Inputs!$D$18)/(Inputs!$F$18-Inputs!$D$18),Inputs!$D$18+SQRT(J339*(Inputs!$F$18-Inputs!$D$18)*(Inputs!$E$18-Inputs!$D$18)),Inputs!$F$18-SQRT((1-J339)*(Inputs!$F$18-Inputs!$D$18)*(Inputs!$F$18-Inputs!$E$18)))</f>
        <v>0.960163384893661</v>
      </c>
      <c r="L339" s="81" t="n">
        <f aca="true">RAND()</f>
        <v>0.311237269638118</v>
      </c>
      <c r="M339" s="83" t="n">
        <f aca="false">IF(L339&lt;(Inputs!$E$24-Inputs!$D$24)/(Inputs!$F$24-Inputs!$D$24),Inputs!$D$24+SQRT(L339*(Inputs!$F$24-Inputs!$D$24)*(Inputs!$E$24-Inputs!$D$24)),Inputs!$F$24-SQRT((1-L339)*(Inputs!$F$24-Inputs!$D$24)*(Inputs!$F$24-Inputs!$E$24)))</f>
        <v>0.793257528589636</v>
      </c>
      <c r="N339" s="81" t="n">
        <f aca="true">RAND()</f>
        <v>0.486577264107558</v>
      </c>
      <c r="O339" s="83" t="n">
        <f aca="false">IF(N339&lt;(Inputs!$E$26-Inputs!$D$26)/(Inputs!$F$26-Inputs!$D$26),Inputs!$D$26+SQRT(N339*(Inputs!$F$26-Inputs!$D$26)*(Inputs!$E$26-Inputs!$D$26)),Inputs!$F$26-SQRT((1-N339)*(Inputs!$F$26-Inputs!$D$26)*(Inputs!$F$26-Inputs!$E$26)))</f>
        <v>0.584546053825207</v>
      </c>
      <c r="P339" s="81" t="n">
        <f aca="true">RAND()</f>
        <v>0.328657697993173</v>
      </c>
      <c r="Q339" s="82" t="n">
        <f aca="false">IF(P339&lt;(Inputs!$E$27-Inputs!$D$27)/(Inputs!$F$27-Inputs!$D$27),Inputs!$D$27+SQRT(P339*(Inputs!$F$27-Inputs!$D$27)*(Inputs!$E$27-Inputs!$D$27)),Inputs!$F$27-SQRT((1-P339)*(Inputs!$F$27-Inputs!$D$27)*(Inputs!$F$27-Inputs!$E$27)))</f>
        <v>79.0417921234534</v>
      </c>
      <c r="R339" s="81" t="n">
        <f aca="true">RAND()</f>
        <v>0.530498248987183</v>
      </c>
      <c r="S339" s="82" t="n">
        <f aca="false">IF(R339&lt;(Inputs!$E$29-Inputs!$D$29)/(Inputs!$F$29-Inputs!$D$29),Inputs!$D$29+SQRT(R339*(Inputs!$F$29-Inputs!$D$29)*(Inputs!$E$29-Inputs!$D$29)),Inputs!$F$29-SQRT((1-R339)*(Inputs!$F$29-Inputs!$D$29)*(Inputs!$F$29-Inputs!$E$29)))</f>
        <v>7.1874954315747</v>
      </c>
      <c r="T339" s="68" t="n">
        <f aca="false">Inputs!$E$9*(1+E339)+Inputs!$E$5*C339*(Inputs!$E$11*Inputs!$E$14*(G339*I339/Inputs!$E$16+(1-G339))*K339+Inputs!$E$23*M339)*(1+O339)+Inputs!$E$5*(Q339+S339)</f>
        <v>6192.70383441528</v>
      </c>
    </row>
    <row r="340" customFormat="false" ht="15" hidden="false" customHeight="false" outlineLevel="0" collapsed="false">
      <c r="A340" s="1" t="n">
        <v>336</v>
      </c>
      <c r="B340" s="81" t="n">
        <f aca="true">RAND()</f>
        <v>0.961063425420277</v>
      </c>
      <c r="C340" s="82" t="n">
        <f aca="false">ROUND(IF(B340&lt;(Inputs!$E$8-Inputs!$D$8)/(Inputs!$F$8-Inputs!$D$8),Inputs!$D$8+SQRT(B340*(Inputs!$F$8-Inputs!$D$8)*(Inputs!$E$8-Inputs!$D$8)),Inputs!$F$8-SQRT((1-B340)*(Inputs!$F$8-Inputs!$D$8)*(Inputs!$F$8-Inputs!$E$8))),0)</f>
        <v>29</v>
      </c>
      <c r="D340" s="81" t="n">
        <f aca="true">RAND()</f>
        <v>0.802515661724082</v>
      </c>
      <c r="E340" s="83" t="n">
        <f aca="false">IF(D340&lt;(Inputs!$E$10-Inputs!$D$10)/(Inputs!$F$10-Inputs!$D$10),Inputs!$D$10+SQRT(D340*(Inputs!$F$10-Inputs!$D$10)*(Inputs!$E$10-Inputs!$D$10)),Inputs!$F$10-SQRT((1-D340)*(Inputs!$F$10-Inputs!$D$10)*(Inputs!$F$10-Inputs!$E$10)))</f>
        <v>0.123029030483711</v>
      </c>
      <c r="F340" s="81" t="n">
        <f aca="true">RAND()</f>
        <v>0.983955312177982</v>
      </c>
      <c r="G340" s="83" t="n">
        <f aca="false">IF(F340&lt;(Inputs!$E$15-Inputs!$D$15)/(Inputs!$F$15-Inputs!$D$15),Inputs!$D$15+SQRT(F340*(Inputs!$F$15-Inputs!$D$15)*(Inputs!$E$15-Inputs!$D$15)),Inputs!$F$15-SQRT((1-F340)*(Inputs!$F$15-Inputs!$D$15)*(Inputs!$F$15-Inputs!$E$15)))</f>
        <v>0.782086492346825</v>
      </c>
      <c r="H340" s="81" t="n">
        <f aca="true">RAND()</f>
        <v>0.774216439538618</v>
      </c>
      <c r="I340" s="82" t="n">
        <f aca="false">ROUND(IF(H340&lt;(Inputs!$E$17-Inputs!$D$17)/(Inputs!$F$17-Inputs!$D$17),Inputs!$D$17+SQRT(H340*(Inputs!$F$17-Inputs!$D$17)*(Inputs!$E$17-Inputs!$D$17)),Inputs!$F$17-SQRT((1-H340)*(Inputs!$F$17-Inputs!$D$17)*(Inputs!$F$17-Inputs!$E$17))),0)</f>
        <v>109</v>
      </c>
      <c r="J340" s="81" t="n">
        <f aca="true">RAND()</f>
        <v>0.690898793322672</v>
      </c>
      <c r="K340" s="83" t="n">
        <f aca="false">IF(J340&lt;(Inputs!$E$18-Inputs!$D$18)/(Inputs!$F$18-Inputs!$D$18),Inputs!$D$18+SQRT(J340*(Inputs!$F$18-Inputs!$D$18)*(Inputs!$E$18-Inputs!$D$18)),Inputs!$F$18-SQRT((1-J340)*(Inputs!$F$18-Inputs!$D$18)*(Inputs!$F$18-Inputs!$E$18)))</f>
        <v>1.08554223768923</v>
      </c>
      <c r="L340" s="81" t="n">
        <f aca="true">RAND()</f>
        <v>0.058378059523074</v>
      </c>
      <c r="M340" s="83" t="n">
        <f aca="false">IF(L340&lt;(Inputs!$E$24-Inputs!$D$24)/(Inputs!$F$24-Inputs!$D$24),Inputs!$D$24+SQRT(L340*(Inputs!$F$24-Inputs!$D$24)*(Inputs!$E$24-Inputs!$D$24)),Inputs!$F$24-SQRT((1-L340)*(Inputs!$F$24-Inputs!$D$24)*(Inputs!$F$24-Inputs!$E$24)))</f>
        <v>0.683698071320484</v>
      </c>
      <c r="N340" s="81" t="n">
        <f aca="true">RAND()</f>
        <v>0.30709423404839</v>
      </c>
      <c r="O340" s="83" t="n">
        <f aca="false">IF(N340&lt;(Inputs!$E$26-Inputs!$D$26)/(Inputs!$F$26-Inputs!$D$26),Inputs!$D$26+SQRT(N340*(Inputs!$F$26-Inputs!$D$26)*(Inputs!$E$26-Inputs!$D$26)),Inputs!$F$26-SQRT((1-N340)*(Inputs!$F$26-Inputs!$D$26)*(Inputs!$F$26-Inputs!$E$26)))</f>
        <v>0.526054154011051</v>
      </c>
      <c r="P340" s="81" t="n">
        <f aca="true">RAND()</f>
        <v>0.736093221845732</v>
      </c>
      <c r="Q340" s="82" t="n">
        <f aca="false">IF(P340&lt;(Inputs!$E$27-Inputs!$D$27)/(Inputs!$F$27-Inputs!$D$27),Inputs!$D$27+SQRT(P340*(Inputs!$F$27-Inputs!$D$27)*(Inputs!$E$27-Inputs!$D$27)),Inputs!$F$27-SQRT((1-P340)*(Inputs!$F$27-Inputs!$D$27)*(Inputs!$F$27-Inputs!$E$27)))</f>
        <v>105.510666040533</v>
      </c>
      <c r="R340" s="81" t="n">
        <f aca="true">RAND()</f>
        <v>0.101894233148593</v>
      </c>
      <c r="S340" s="82" t="n">
        <f aca="false">IF(R340&lt;(Inputs!$E$29-Inputs!$D$29)/(Inputs!$F$29-Inputs!$D$29),Inputs!$D$29+SQRT(R340*(Inputs!$F$29-Inputs!$D$29)*(Inputs!$E$29-Inputs!$D$29)),Inputs!$F$29-SQRT((1-R340)*(Inputs!$F$29-Inputs!$D$29)*(Inputs!$F$29-Inputs!$E$29)))</f>
        <v>3.99345807399983</v>
      </c>
      <c r="T340" s="68" t="n">
        <f aca="false">Inputs!$E$9*(1+E340)+Inputs!$E$5*C340*(Inputs!$E$11*Inputs!$E$14*(G340*I340/Inputs!$E$16+(1-G340))*K340+Inputs!$E$23*M340)*(1+O340)+Inputs!$E$5*(Q340+S340)</f>
        <v>6607.98522754032</v>
      </c>
    </row>
    <row r="341" customFormat="false" ht="15" hidden="false" customHeight="false" outlineLevel="0" collapsed="false">
      <c r="A341" s="1" t="n">
        <v>337</v>
      </c>
      <c r="B341" s="81" t="n">
        <f aca="true">RAND()</f>
        <v>0.82346533028449</v>
      </c>
      <c r="C341" s="82" t="n">
        <f aca="false">ROUND(IF(B341&lt;(Inputs!$E$8-Inputs!$D$8)/(Inputs!$F$8-Inputs!$D$8),Inputs!$D$8+SQRT(B341*(Inputs!$F$8-Inputs!$D$8)*(Inputs!$E$8-Inputs!$D$8)),Inputs!$F$8-SQRT((1-B341)*(Inputs!$F$8-Inputs!$D$8)*(Inputs!$F$8-Inputs!$E$8))),0)</f>
        <v>27</v>
      </c>
      <c r="D341" s="81" t="n">
        <f aca="true">RAND()</f>
        <v>0.787972670460168</v>
      </c>
      <c r="E341" s="83" t="n">
        <f aca="false">IF(D341&lt;(Inputs!$E$10-Inputs!$D$10)/(Inputs!$F$10-Inputs!$D$10),Inputs!$D$10+SQRT(D341*(Inputs!$F$10-Inputs!$D$10)*(Inputs!$E$10-Inputs!$D$10)),Inputs!$F$10-SQRT((1-D341)*(Inputs!$F$10-Inputs!$D$10)*(Inputs!$F$10-Inputs!$E$10)))</f>
        <v>0.12024525163857</v>
      </c>
      <c r="F341" s="81" t="n">
        <f aca="true">RAND()</f>
        <v>0.0457148771014541</v>
      </c>
      <c r="G341" s="83" t="n">
        <f aca="false">IF(F341&lt;(Inputs!$E$15-Inputs!$D$15)/(Inputs!$F$15-Inputs!$D$15),Inputs!$D$15+SQRT(F341*(Inputs!$F$15-Inputs!$D$15)*(Inputs!$E$15-Inputs!$D$15)),Inputs!$F$15-SQRT((1-F341)*(Inputs!$F$15-Inputs!$D$15)*(Inputs!$F$15-Inputs!$E$15)))</f>
        <v>0.630237353423028</v>
      </c>
      <c r="H341" s="81" t="n">
        <f aca="true">RAND()</f>
        <v>0.288447829736122</v>
      </c>
      <c r="I341" s="82" t="n">
        <f aca="false">ROUND(IF(H341&lt;(Inputs!$E$17-Inputs!$D$17)/(Inputs!$F$17-Inputs!$D$17),Inputs!$D$17+SQRT(H341*(Inputs!$F$17-Inputs!$D$17)*(Inputs!$E$17-Inputs!$D$17)),Inputs!$F$17-SQRT((1-H341)*(Inputs!$F$17-Inputs!$D$17)*(Inputs!$F$17-Inputs!$E$17))),0)</f>
        <v>105</v>
      </c>
      <c r="J341" s="81" t="n">
        <f aca="true">RAND()</f>
        <v>0.673645004555882</v>
      </c>
      <c r="K341" s="83" t="n">
        <f aca="false">IF(J341&lt;(Inputs!$E$18-Inputs!$D$18)/(Inputs!$F$18-Inputs!$D$18),Inputs!$D$18+SQRT(J341*(Inputs!$F$18-Inputs!$D$18)*(Inputs!$E$18-Inputs!$D$18)),Inputs!$F$18-SQRT((1-J341)*(Inputs!$F$18-Inputs!$D$18)*(Inputs!$F$18-Inputs!$E$18)))</f>
        <v>1.08101460979907</v>
      </c>
      <c r="L341" s="81" t="n">
        <f aca="true">RAND()</f>
        <v>0.583544375155675</v>
      </c>
      <c r="M341" s="83" t="n">
        <f aca="false">IF(L341&lt;(Inputs!$E$24-Inputs!$D$24)/(Inputs!$F$24-Inputs!$D$24),Inputs!$D$24+SQRT(L341*(Inputs!$F$24-Inputs!$D$24)*(Inputs!$E$24-Inputs!$D$24)),Inputs!$F$24-SQRT((1-L341)*(Inputs!$F$24-Inputs!$D$24)*(Inputs!$F$24-Inputs!$E$24)))</f>
        <v>0.883852328867287</v>
      </c>
      <c r="N341" s="81" t="n">
        <f aca="true">RAND()</f>
        <v>0.758246118719811</v>
      </c>
      <c r="O341" s="83" t="n">
        <f aca="false">IF(N341&lt;(Inputs!$E$26-Inputs!$D$26)/(Inputs!$F$26-Inputs!$D$26),Inputs!$D$26+SQRT(N341*(Inputs!$F$26-Inputs!$D$26)*(Inputs!$E$26-Inputs!$D$26)),Inputs!$F$26-SQRT((1-N341)*(Inputs!$F$26-Inputs!$D$26)*(Inputs!$F$26-Inputs!$E$26)))</f>
        <v>0.661436436552594</v>
      </c>
      <c r="P341" s="81" t="n">
        <f aca="true">RAND()</f>
        <v>0.373994509774539</v>
      </c>
      <c r="Q341" s="82" t="n">
        <f aca="false">IF(P341&lt;(Inputs!$E$27-Inputs!$D$27)/(Inputs!$F$27-Inputs!$D$27),Inputs!$D$27+SQRT(P341*(Inputs!$F$27-Inputs!$D$27)*(Inputs!$E$27-Inputs!$D$27)),Inputs!$F$27-SQRT((1-P341)*(Inputs!$F$27-Inputs!$D$27)*(Inputs!$F$27-Inputs!$E$27)))</f>
        <v>81.4796294764035</v>
      </c>
      <c r="R341" s="81" t="n">
        <f aca="true">RAND()</f>
        <v>0.264070718092431</v>
      </c>
      <c r="S341" s="82" t="n">
        <f aca="false">IF(R341&lt;(Inputs!$E$29-Inputs!$D$29)/(Inputs!$F$29-Inputs!$D$29),Inputs!$D$29+SQRT(R341*(Inputs!$F$29-Inputs!$D$29)*(Inputs!$E$29-Inputs!$D$29)),Inputs!$F$29-SQRT((1-R341)*(Inputs!$F$29-Inputs!$D$29)*(Inputs!$F$29-Inputs!$E$29)))</f>
        <v>5.21885453293</v>
      </c>
      <c r="T341" s="68" t="n">
        <f aca="false">Inputs!$E$9*(1+E341)+Inputs!$E$5*C341*(Inputs!$E$11*Inputs!$E$14*(G341*I341/Inputs!$E$16+(1-G341))*K341+Inputs!$E$23*M341)*(1+O341)+Inputs!$E$5*(Q341+S341)</f>
        <v>7028.32670321351</v>
      </c>
    </row>
    <row r="342" customFormat="false" ht="15" hidden="false" customHeight="false" outlineLevel="0" collapsed="false">
      <c r="A342" s="1" t="n">
        <v>338</v>
      </c>
      <c r="B342" s="81" t="n">
        <f aca="true">RAND()</f>
        <v>0.341693666217355</v>
      </c>
      <c r="C342" s="82" t="n">
        <f aca="false">ROUND(IF(B342&lt;(Inputs!$E$8-Inputs!$D$8)/(Inputs!$F$8-Inputs!$D$8),Inputs!$D$8+SQRT(B342*(Inputs!$F$8-Inputs!$D$8)*(Inputs!$E$8-Inputs!$D$8)),Inputs!$F$8-SQRT((1-B342)*(Inputs!$F$8-Inputs!$D$8)*(Inputs!$F$8-Inputs!$E$8))),0)</f>
        <v>24</v>
      </c>
      <c r="D342" s="81" t="n">
        <f aca="true">RAND()</f>
        <v>0.00464903381880938</v>
      </c>
      <c r="E342" s="83" t="n">
        <f aca="false">IF(D342&lt;(Inputs!$E$10-Inputs!$D$10)/(Inputs!$F$10-Inputs!$D$10),Inputs!$D$10+SQRT(D342*(Inputs!$F$10-Inputs!$D$10)*(Inputs!$E$10-Inputs!$D$10)),Inputs!$F$10-SQRT((1-D342)*(Inputs!$F$10-Inputs!$D$10)*(Inputs!$F$10-Inputs!$E$10)))</f>
        <v>0.00681838237326815</v>
      </c>
      <c r="F342" s="81" t="n">
        <f aca="true">RAND()</f>
        <v>0.624100642556276</v>
      </c>
      <c r="G342" s="83" t="n">
        <f aca="false">IF(F342&lt;(Inputs!$E$15-Inputs!$D$15)/(Inputs!$F$15-Inputs!$D$15),Inputs!$D$15+SQRT(F342*(Inputs!$F$15-Inputs!$D$15)*(Inputs!$E$15-Inputs!$D$15)),Inputs!$F$15-SQRT((1-F342)*(Inputs!$F$15-Inputs!$D$15)*(Inputs!$F$15-Inputs!$E$15)))</f>
        <v>0.713293672959383</v>
      </c>
      <c r="H342" s="81" t="n">
        <f aca="true">RAND()</f>
        <v>0.354316588242502</v>
      </c>
      <c r="I342" s="82" t="n">
        <f aca="false">ROUND(IF(H342&lt;(Inputs!$E$17-Inputs!$D$17)/(Inputs!$F$17-Inputs!$D$17),Inputs!$D$17+SQRT(H342*(Inputs!$F$17-Inputs!$D$17)*(Inputs!$E$17-Inputs!$D$17)),Inputs!$F$17-SQRT((1-H342)*(Inputs!$F$17-Inputs!$D$17)*(Inputs!$F$17-Inputs!$E$17))),0)</f>
        <v>105</v>
      </c>
      <c r="J342" s="81" t="n">
        <f aca="true">RAND()</f>
        <v>0.922513458420877</v>
      </c>
      <c r="K342" s="83" t="n">
        <f aca="false">IF(J342&lt;(Inputs!$E$18-Inputs!$D$18)/(Inputs!$F$18-Inputs!$D$18),Inputs!$D$18+SQRT(J342*(Inputs!$F$18-Inputs!$D$18)*(Inputs!$E$18-Inputs!$D$18)),Inputs!$F$18-SQRT((1-J342)*(Inputs!$F$18-Inputs!$D$18)*(Inputs!$F$18-Inputs!$E$18)))</f>
        <v>1.16765880503555</v>
      </c>
      <c r="L342" s="81" t="n">
        <f aca="true">RAND()</f>
        <v>0.217329608755359</v>
      </c>
      <c r="M342" s="83" t="n">
        <f aca="false">IF(L342&lt;(Inputs!$E$24-Inputs!$D$24)/(Inputs!$F$24-Inputs!$D$24),Inputs!$D$24+SQRT(L342*(Inputs!$F$24-Inputs!$D$24)*(Inputs!$E$24-Inputs!$D$24)),Inputs!$F$24-SQRT((1-L342)*(Inputs!$F$24-Inputs!$D$24)*(Inputs!$F$24-Inputs!$E$24)))</f>
        <v>0.761491650095734</v>
      </c>
      <c r="N342" s="81" t="n">
        <f aca="true">RAND()</f>
        <v>0.189555167474045</v>
      </c>
      <c r="O342" s="83" t="n">
        <f aca="false">IF(N342&lt;(Inputs!$E$26-Inputs!$D$26)/(Inputs!$F$26-Inputs!$D$26),Inputs!$D$26+SQRT(N342*(Inputs!$F$26-Inputs!$D$26)*(Inputs!$E$26-Inputs!$D$26)),Inputs!$F$26-SQRT((1-N342)*(Inputs!$F$26-Inputs!$D$26)*(Inputs!$F$26-Inputs!$E$26)))</f>
        <v>0.477600618995771</v>
      </c>
      <c r="P342" s="81" t="n">
        <f aca="true">RAND()</f>
        <v>0.371784366985913</v>
      </c>
      <c r="Q342" s="82" t="n">
        <f aca="false">IF(P342&lt;(Inputs!$E$27-Inputs!$D$27)/(Inputs!$F$27-Inputs!$D$27),Inputs!$D$27+SQRT(P342*(Inputs!$F$27-Inputs!$D$27)*(Inputs!$E$27-Inputs!$D$27)),Inputs!$F$27-SQRT((1-P342)*(Inputs!$F$27-Inputs!$D$27)*(Inputs!$F$27-Inputs!$E$27)))</f>
        <v>81.3587788016148</v>
      </c>
      <c r="R342" s="81" t="n">
        <f aca="true">RAND()</f>
        <v>0.659717112762807</v>
      </c>
      <c r="S342" s="82" t="n">
        <f aca="false">IF(R342&lt;(Inputs!$E$29-Inputs!$D$29)/(Inputs!$F$29-Inputs!$D$29),Inputs!$D$29+SQRT(R342*(Inputs!$F$29-Inputs!$D$29)*(Inputs!$E$29-Inputs!$D$29)),Inputs!$F$29-SQRT((1-R342)*(Inputs!$F$29-Inputs!$D$29)*(Inputs!$F$29-Inputs!$E$29)))</f>
        <v>8.34892675270862</v>
      </c>
      <c r="T342" s="68" t="n">
        <f aca="false">Inputs!$E$9*(1+E342)+Inputs!$E$5*C342*(Inputs!$E$11*Inputs!$E$14*(G342*I342/Inputs!$E$16+(1-G342))*K342+Inputs!$E$23*M342)*(1+O342)+Inputs!$E$5*(Q342+S342)</f>
        <v>5831.58521242409</v>
      </c>
    </row>
    <row r="343" customFormat="false" ht="15" hidden="false" customHeight="false" outlineLevel="0" collapsed="false">
      <c r="A343" s="1" t="n">
        <v>339</v>
      </c>
      <c r="B343" s="81" t="n">
        <f aca="true">RAND()</f>
        <v>0.536925416196794</v>
      </c>
      <c r="C343" s="82" t="n">
        <f aca="false">ROUND(IF(B343&lt;(Inputs!$E$8-Inputs!$D$8)/(Inputs!$F$8-Inputs!$D$8),Inputs!$D$8+SQRT(B343*(Inputs!$F$8-Inputs!$D$8)*(Inputs!$E$8-Inputs!$D$8)),Inputs!$F$8-SQRT((1-B343)*(Inputs!$F$8-Inputs!$D$8)*(Inputs!$F$8-Inputs!$E$8))),0)</f>
        <v>25</v>
      </c>
      <c r="D343" s="81" t="n">
        <f aca="true">RAND()</f>
        <v>0.880926342767013</v>
      </c>
      <c r="E343" s="83" t="n">
        <f aca="false">IF(D343&lt;(Inputs!$E$10-Inputs!$D$10)/(Inputs!$F$10-Inputs!$D$10),Inputs!$D$10+SQRT(D343*(Inputs!$F$10-Inputs!$D$10)*(Inputs!$E$10-Inputs!$D$10)),Inputs!$F$10-SQRT((1-D343)*(Inputs!$F$10-Inputs!$D$10)*(Inputs!$F$10-Inputs!$E$10)))</f>
        <v>0.140232034357947</v>
      </c>
      <c r="F343" s="81" t="n">
        <f aca="true">RAND()</f>
        <v>0.370239252239868</v>
      </c>
      <c r="G343" s="83" t="n">
        <f aca="false">IF(F343&lt;(Inputs!$E$15-Inputs!$D$15)/(Inputs!$F$15-Inputs!$D$15),Inputs!$D$15+SQRT(F343*(Inputs!$F$15-Inputs!$D$15)*(Inputs!$E$15-Inputs!$D$15)),Inputs!$F$15-SQRT((1-F343)*(Inputs!$F$15-Inputs!$D$15)*(Inputs!$F$15-Inputs!$E$15)))</f>
        <v>0.686051060683744</v>
      </c>
      <c r="H343" s="81" t="n">
        <f aca="true">RAND()</f>
        <v>0.986960276760648</v>
      </c>
      <c r="I343" s="82" t="n">
        <f aca="false">ROUND(IF(H343&lt;(Inputs!$E$17-Inputs!$D$17)/(Inputs!$F$17-Inputs!$D$17),Inputs!$D$17+SQRT(H343*(Inputs!$F$17-Inputs!$D$17)*(Inputs!$E$17-Inputs!$D$17)),Inputs!$F$17-SQRT((1-H343)*(Inputs!$F$17-Inputs!$D$17)*(Inputs!$F$17-Inputs!$E$17))),0)</f>
        <v>114</v>
      </c>
      <c r="J343" s="81" t="n">
        <f aca="true">RAND()</f>
        <v>0.0526957450767282</v>
      </c>
      <c r="K343" s="83" t="n">
        <f aca="false">IF(J343&lt;(Inputs!$E$18-Inputs!$D$18)/(Inputs!$F$18-Inputs!$D$18),Inputs!$D$18+SQRT(J343*(Inputs!$F$18-Inputs!$D$18)*(Inputs!$E$18-Inputs!$D$18)),Inputs!$F$18-SQRT((1-J343)*(Inputs!$F$18-Inputs!$D$18)*(Inputs!$F$18-Inputs!$E$18)))</f>
        <v>0.942945908742108</v>
      </c>
      <c r="L343" s="81" t="n">
        <f aca="true">RAND()</f>
        <v>0.266631666948362</v>
      </c>
      <c r="M343" s="83" t="n">
        <f aca="false">IF(L343&lt;(Inputs!$E$24-Inputs!$D$24)/(Inputs!$F$24-Inputs!$D$24),Inputs!$D$24+SQRT(L343*(Inputs!$F$24-Inputs!$D$24)*(Inputs!$E$24-Inputs!$D$24)),Inputs!$F$24-SQRT((1-L343)*(Inputs!$F$24-Inputs!$D$24)*(Inputs!$F$24-Inputs!$E$24)))</f>
        <v>0.778873698552368</v>
      </c>
      <c r="N343" s="81" t="n">
        <f aca="true">RAND()</f>
        <v>0.98250148208703</v>
      </c>
      <c r="O343" s="83" t="n">
        <f aca="false">IF(N343&lt;(Inputs!$E$26-Inputs!$D$26)/(Inputs!$F$26-Inputs!$D$26),Inputs!$D$26+SQRT(N343*(Inputs!$F$26-Inputs!$D$26)*(Inputs!$E$26-Inputs!$D$26)),Inputs!$F$26-SQRT((1-N343)*(Inputs!$F$26-Inputs!$D$26)*(Inputs!$F$26-Inputs!$E$26)))</f>
        <v>0.77734034853695</v>
      </c>
      <c r="P343" s="81" t="n">
        <f aca="true">RAND()</f>
        <v>0.332190475133192</v>
      </c>
      <c r="Q343" s="82" t="n">
        <f aca="false">IF(P343&lt;(Inputs!$E$27-Inputs!$D$27)/(Inputs!$F$27-Inputs!$D$27),Inputs!$D$27+SQRT(P343*(Inputs!$F$27-Inputs!$D$27)*(Inputs!$E$27-Inputs!$D$27)),Inputs!$F$27-SQRT((1-P343)*(Inputs!$F$27-Inputs!$D$27)*(Inputs!$F$27-Inputs!$E$27)))</f>
        <v>79.2287386257595</v>
      </c>
      <c r="R343" s="81" t="n">
        <f aca="true">RAND()</f>
        <v>0.0765788067257872</v>
      </c>
      <c r="S343" s="82" t="n">
        <f aca="false">IF(R343&lt;(Inputs!$E$29-Inputs!$D$29)/(Inputs!$F$29-Inputs!$D$29),Inputs!$D$29+SQRT(R343*(Inputs!$F$29-Inputs!$D$29)*(Inputs!$E$29-Inputs!$D$29)),Inputs!$F$29-SQRT((1-R343)*(Inputs!$F$29-Inputs!$D$29)*(Inputs!$F$29-Inputs!$E$29)))</f>
        <v>3.72817055359293</v>
      </c>
      <c r="T343" s="68" t="n">
        <f aca="false">Inputs!$E$9*(1+E343)+Inputs!$E$5*C343*(Inputs!$E$11*Inputs!$E$14*(G343*I343/Inputs!$E$16+(1-G343))*K343+Inputs!$E$23*M343)*(1+O343)+Inputs!$E$5*(Q343+S343)</f>
        <v>6534.24900640934</v>
      </c>
    </row>
    <row r="344" customFormat="false" ht="15" hidden="false" customHeight="false" outlineLevel="0" collapsed="false">
      <c r="A344" s="1" t="n">
        <v>340</v>
      </c>
      <c r="B344" s="81" t="n">
        <f aca="true">RAND()</f>
        <v>0.861877185588969</v>
      </c>
      <c r="C344" s="82" t="n">
        <f aca="false">ROUND(IF(B344&lt;(Inputs!$E$8-Inputs!$D$8)/(Inputs!$F$8-Inputs!$D$8),Inputs!$D$8+SQRT(B344*(Inputs!$F$8-Inputs!$D$8)*(Inputs!$E$8-Inputs!$D$8)),Inputs!$F$8-SQRT((1-B344)*(Inputs!$F$8-Inputs!$D$8)*(Inputs!$F$8-Inputs!$E$8))),0)</f>
        <v>27</v>
      </c>
      <c r="D344" s="81" t="n">
        <f aca="true">RAND()</f>
        <v>0.204729185363513</v>
      </c>
      <c r="E344" s="83" t="n">
        <f aca="false">IF(D344&lt;(Inputs!$E$10-Inputs!$D$10)/(Inputs!$F$10-Inputs!$D$10),Inputs!$D$10+SQRT(D344*(Inputs!$F$10-Inputs!$D$10)*(Inputs!$E$10-Inputs!$D$10)),Inputs!$F$10-SQRT((1-D344)*(Inputs!$F$10-Inputs!$D$10)*(Inputs!$F$10-Inputs!$E$10)))</f>
        <v>0.0452470093336027</v>
      </c>
      <c r="F344" s="81" t="n">
        <f aca="true">RAND()</f>
        <v>0.395891882828364</v>
      </c>
      <c r="G344" s="83" t="n">
        <f aca="false">IF(F344&lt;(Inputs!$E$15-Inputs!$D$15)/(Inputs!$F$15-Inputs!$D$15),Inputs!$D$15+SQRT(F344*(Inputs!$F$15-Inputs!$D$15)*(Inputs!$E$15-Inputs!$D$15)),Inputs!$F$15-SQRT((1-F344)*(Inputs!$F$15-Inputs!$D$15)*(Inputs!$F$15-Inputs!$E$15)))</f>
        <v>0.688982232252103</v>
      </c>
      <c r="H344" s="81" t="n">
        <f aca="true">RAND()</f>
        <v>0.971475472651155</v>
      </c>
      <c r="I344" s="82" t="n">
        <f aca="false">ROUND(IF(H344&lt;(Inputs!$E$17-Inputs!$D$17)/(Inputs!$F$17-Inputs!$D$17),Inputs!$D$17+SQRT(H344*(Inputs!$F$17-Inputs!$D$17)*(Inputs!$E$17-Inputs!$D$17)),Inputs!$F$17-SQRT((1-H344)*(Inputs!$F$17-Inputs!$D$17)*(Inputs!$F$17-Inputs!$E$17))),0)</f>
        <v>113</v>
      </c>
      <c r="J344" s="81" t="n">
        <f aca="true">RAND()</f>
        <v>0.541131952978796</v>
      </c>
      <c r="K344" s="83" t="n">
        <f aca="false">IF(J344&lt;(Inputs!$E$18-Inputs!$D$18)/(Inputs!$F$18-Inputs!$D$18),Inputs!$D$18+SQRT(J344*(Inputs!$F$18-Inputs!$D$18)*(Inputs!$E$18-Inputs!$D$18)),Inputs!$F$18-SQRT((1-J344)*(Inputs!$F$18-Inputs!$D$18)*(Inputs!$F$18-Inputs!$E$18)))</f>
        <v>1.04962297009299</v>
      </c>
      <c r="L344" s="81" t="n">
        <f aca="true">RAND()</f>
        <v>0.0752925850769634</v>
      </c>
      <c r="M344" s="83" t="n">
        <f aca="false">IF(L344&lt;(Inputs!$E$24-Inputs!$D$24)/(Inputs!$F$24-Inputs!$D$24),Inputs!$D$24+SQRT(L344*(Inputs!$F$24-Inputs!$D$24)*(Inputs!$E$24-Inputs!$D$24)),Inputs!$F$24-SQRT((1-L344)*(Inputs!$F$24-Inputs!$D$24)*(Inputs!$F$24-Inputs!$E$24)))</f>
        <v>0.695053196733385</v>
      </c>
      <c r="N344" s="81" t="n">
        <f aca="true">RAND()</f>
        <v>0.436358718410795</v>
      </c>
      <c r="O344" s="83" t="n">
        <f aca="false">IF(N344&lt;(Inputs!$E$26-Inputs!$D$26)/(Inputs!$F$26-Inputs!$D$26),Inputs!$D$26+SQRT(N344*(Inputs!$F$26-Inputs!$D$26)*(Inputs!$E$26-Inputs!$D$26)),Inputs!$F$26-SQRT((1-N344)*(Inputs!$F$26-Inputs!$D$26)*(Inputs!$F$26-Inputs!$E$26)))</f>
        <v>0.569462596186477</v>
      </c>
      <c r="P344" s="81" t="n">
        <f aca="true">RAND()</f>
        <v>0.682562773622302</v>
      </c>
      <c r="Q344" s="82" t="n">
        <f aca="false">IF(P344&lt;(Inputs!$E$27-Inputs!$D$27)/(Inputs!$F$27-Inputs!$D$27),Inputs!$D$27+SQRT(P344*(Inputs!$F$27-Inputs!$D$27)*(Inputs!$E$27-Inputs!$D$27)),Inputs!$F$27-SQRT((1-P344)*(Inputs!$F$27-Inputs!$D$27)*(Inputs!$F$27-Inputs!$E$27)))</f>
        <v>101.206770983745</v>
      </c>
      <c r="R344" s="81" t="n">
        <f aca="true">RAND()</f>
        <v>0.810650216523238</v>
      </c>
      <c r="S344" s="82" t="n">
        <f aca="false">IF(R344&lt;(Inputs!$E$29-Inputs!$D$29)/(Inputs!$F$29-Inputs!$D$29),Inputs!$D$29+SQRT(R344*(Inputs!$F$29-Inputs!$D$29)*(Inputs!$E$29-Inputs!$D$29)),Inputs!$F$29-SQRT((1-R344)*(Inputs!$F$29-Inputs!$D$29)*(Inputs!$F$29-Inputs!$E$29)))</f>
        <v>10.0386018248906</v>
      </c>
      <c r="T344" s="68" t="n">
        <f aca="false">Inputs!$E$9*(1+E344)+Inputs!$E$5*C344*(Inputs!$E$11*Inputs!$E$14*(G344*I344/Inputs!$E$16+(1-G344))*K344+Inputs!$E$23*M344)*(1+O344)+Inputs!$E$5*(Q344+S344)</f>
        <v>6412.70634591604</v>
      </c>
    </row>
    <row r="345" customFormat="false" ht="15" hidden="false" customHeight="false" outlineLevel="0" collapsed="false">
      <c r="A345" s="1" t="n">
        <v>341</v>
      </c>
      <c r="B345" s="81" t="n">
        <f aca="true">RAND()</f>
        <v>0.980417618516783</v>
      </c>
      <c r="C345" s="82" t="n">
        <f aca="false">ROUND(IF(B345&lt;(Inputs!$E$8-Inputs!$D$8)/(Inputs!$F$8-Inputs!$D$8),Inputs!$D$8+SQRT(B345*(Inputs!$F$8-Inputs!$D$8)*(Inputs!$E$8-Inputs!$D$8)),Inputs!$F$8-SQRT((1-B345)*(Inputs!$F$8-Inputs!$D$8)*(Inputs!$F$8-Inputs!$E$8))),0)</f>
        <v>29</v>
      </c>
      <c r="D345" s="81" t="n">
        <f aca="true">RAND()</f>
        <v>0.70087648967937</v>
      </c>
      <c r="E345" s="83" t="n">
        <f aca="false">IF(D345&lt;(Inputs!$E$10-Inputs!$D$10)/(Inputs!$F$10-Inputs!$D$10),Inputs!$D$10+SQRT(D345*(Inputs!$F$10-Inputs!$D$10)*(Inputs!$E$10-Inputs!$D$10)),Inputs!$F$10-SQRT((1-D345)*(Inputs!$F$10-Inputs!$D$10)*(Inputs!$F$10-Inputs!$E$10)))</f>
        <v>0.105270356753449</v>
      </c>
      <c r="F345" s="81" t="n">
        <f aca="true">RAND()</f>
        <v>0.215100635855056</v>
      </c>
      <c r="G345" s="83" t="n">
        <f aca="false">IF(F345&lt;(Inputs!$E$15-Inputs!$D$15)/(Inputs!$F$15-Inputs!$D$15),Inputs!$D$15+SQRT(F345*(Inputs!$F$15-Inputs!$D$15)*(Inputs!$E$15-Inputs!$D$15)),Inputs!$F$15-SQRT((1-F345)*(Inputs!$F$15-Inputs!$D$15)*(Inputs!$F$15-Inputs!$E$15)))</f>
        <v>0.665589730271599</v>
      </c>
      <c r="H345" s="81" t="n">
        <f aca="true">RAND()</f>
        <v>0.337523495436425</v>
      </c>
      <c r="I345" s="82" t="n">
        <f aca="false">ROUND(IF(H345&lt;(Inputs!$E$17-Inputs!$D$17)/(Inputs!$F$17-Inputs!$D$17),Inputs!$D$17+SQRT(H345*(Inputs!$F$17-Inputs!$D$17)*(Inputs!$E$17-Inputs!$D$17)),Inputs!$F$17-SQRT((1-H345)*(Inputs!$F$17-Inputs!$D$17)*(Inputs!$F$17-Inputs!$E$17))),0)</f>
        <v>105</v>
      </c>
      <c r="J345" s="81" t="n">
        <f aca="true">RAND()</f>
        <v>0.849687458665283</v>
      </c>
      <c r="K345" s="83" t="n">
        <f aca="false">IF(J345&lt;(Inputs!$E$18-Inputs!$D$18)/(Inputs!$F$18-Inputs!$D$18),Inputs!$D$18+SQRT(J345*(Inputs!$F$18-Inputs!$D$18)*(Inputs!$E$18-Inputs!$D$18)),Inputs!$F$18-SQRT((1-J345)*(Inputs!$F$18-Inputs!$D$18)*(Inputs!$F$18-Inputs!$E$18)))</f>
        <v>1.13531631603934</v>
      </c>
      <c r="L345" s="81" t="n">
        <f aca="true">RAND()</f>
        <v>0.441982150799927</v>
      </c>
      <c r="M345" s="83" t="n">
        <f aca="false">IF(L345&lt;(Inputs!$E$24-Inputs!$D$24)/(Inputs!$F$24-Inputs!$D$24),Inputs!$D$24+SQRT(L345*(Inputs!$F$24-Inputs!$D$24)*(Inputs!$E$24-Inputs!$D$24)),Inputs!$F$24-SQRT((1-L345)*(Inputs!$F$24-Inputs!$D$24)*(Inputs!$F$24-Inputs!$E$24)))</f>
        <v>0.834043330696082</v>
      </c>
      <c r="N345" s="81" t="n">
        <f aca="true">RAND()</f>
        <v>0.802552623191584</v>
      </c>
      <c r="O345" s="83" t="n">
        <f aca="false">IF(N345&lt;(Inputs!$E$26-Inputs!$D$26)/(Inputs!$F$26-Inputs!$D$26),Inputs!$D$26+SQRT(N345*(Inputs!$F$26-Inputs!$D$26)*(Inputs!$E$26-Inputs!$D$26)),Inputs!$F$26-SQRT((1-N345)*(Inputs!$F$26-Inputs!$D$26)*(Inputs!$F$26-Inputs!$E$26)))</f>
        <v>0.676701265922984</v>
      </c>
      <c r="P345" s="81" t="n">
        <f aca="true">RAND()</f>
        <v>0.184874312633877</v>
      </c>
      <c r="Q345" s="82" t="n">
        <f aca="false">IF(P345&lt;(Inputs!$E$27-Inputs!$D$27)/(Inputs!$F$27-Inputs!$D$27),Inputs!$D$27+SQRT(P345*(Inputs!$F$27-Inputs!$D$27)*(Inputs!$E$27-Inputs!$D$27)),Inputs!$F$27-SQRT((1-P345)*(Inputs!$F$27-Inputs!$D$27)*(Inputs!$F$27-Inputs!$E$27)))</f>
        <v>71.4985064966079</v>
      </c>
      <c r="R345" s="81" t="n">
        <f aca="true">RAND()</f>
        <v>0.204087139835594</v>
      </c>
      <c r="S345" s="82" t="n">
        <f aca="false">IF(R345&lt;(Inputs!$E$29-Inputs!$D$29)/(Inputs!$F$29-Inputs!$D$29),Inputs!$D$29+SQRT(R345*(Inputs!$F$29-Inputs!$D$29)*(Inputs!$E$29-Inputs!$D$29)),Inputs!$F$29-SQRT((1-R345)*(Inputs!$F$29-Inputs!$D$29)*(Inputs!$F$29-Inputs!$E$29)))</f>
        <v>4.82124058768269</v>
      </c>
      <c r="T345" s="68" t="n">
        <f aca="false">Inputs!$E$9*(1+E345)+Inputs!$E$5*C345*(Inputs!$E$11*Inputs!$E$14*(G345*I345/Inputs!$E$16+(1-G345))*K345+Inputs!$E$23*M345)*(1+O345)+Inputs!$E$5*(Q345+S345)</f>
        <v>7286.78077709778</v>
      </c>
    </row>
    <row r="346" customFormat="false" ht="15" hidden="false" customHeight="false" outlineLevel="0" collapsed="false">
      <c r="A346" s="1" t="n">
        <v>342</v>
      </c>
      <c r="B346" s="81" t="n">
        <f aca="true">RAND()</f>
        <v>0.479554286095769</v>
      </c>
      <c r="C346" s="82" t="n">
        <f aca="false">ROUND(IF(B346&lt;(Inputs!$E$8-Inputs!$D$8)/(Inputs!$F$8-Inputs!$D$8),Inputs!$D$8+SQRT(B346*(Inputs!$F$8-Inputs!$D$8)*(Inputs!$E$8-Inputs!$D$8)),Inputs!$F$8-SQRT((1-B346)*(Inputs!$F$8-Inputs!$D$8)*(Inputs!$F$8-Inputs!$E$8))),0)</f>
        <v>25</v>
      </c>
      <c r="D346" s="81" t="n">
        <f aca="true">RAND()</f>
        <v>0.359102788705758</v>
      </c>
      <c r="E346" s="83" t="n">
        <f aca="false">IF(D346&lt;(Inputs!$E$10-Inputs!$D$10)/(Inputs!$F$10-Inputs!$D$10),Inputs!$D$10+SQRT(D346*(Inputs!$F$10-Inputs!$D$10)*(Inputs!$E$10-Inputs!$D$10)),Inputs!$F$10-SQRT((1-D346)*(Inputs!$F$10-Inputs!$D$10)*(Inputs!$F$10-Inputs!$E$10)))</f>
        <v>0.0613388434390249</v>
      </c>
      <c r="F346" s="81" t="n">
        <f aca="true">RAND()</f>
        <v>0.540560649260081</v>
      </c>
      <c r="G346" s="83" t="n">
        <f aca="false">IF(F346&lt;(Inputs!$E$15-Inputs!$D$15)/(Inputs!$F$15-Inputs!$D$15),Inputs!$D$15+SQRT(F346*(Inputs!$F$15-Inputs!$D$15)*(Inputs!$E$15-Inputs!$D$15)),Inputs!$F$15-SQRT((1-F346)*(Inputs!$F$15-Inputs!$D$15)*(Inputs!$F$15-Inputs!$E$15)))</f>
        <v>0.704141839080867</v>
      </c>
      <c r="H346" s="81" t="n">
        <f aca="true">RAND()</f>
        <v>0.869700043043797</v>
      </c>
      <c r="I346" s="82" t="n">
        <f aca="false">ROUND(IF(H346&lt;(Inputs!$E$17-Inputs!$D$17)/(Inputs!$F$17-Inputs!$D$17),Inputs!$D$17+SQRT(H346*(Inputs!$F$17-Inputs!$D$17)*(Inputs!$E$17-Inputs!$D$17)),Inputs!$F$17-SQRT((1-H346)*(Inputs!$F$17-Inputs!$D$17)*(Inputs!$F$17-Inputs!$E$17))),0)</f>
        <v>111</v>
      </c>
      <c r="J346" s="81" t="n">
        <f aca="true">RAND()</f>
        <v>0.528897189352067</v>
      </c>
      <c r="K346" s="83" t="n">
        <f aca="false">IF(J346&lt;(Inputs!$E$18-Inputs!$D$18)/(Inputs!$F$18-Inputs!$D$18),Inputs!$D$18+SQRT(J346*(Inputs!$F$18-Inputs!$D$18)*(Inputs!$E$18-Inputs!$D$18)),Inputs!$F$18-SQRT((1-J346)*(Inputs!$F$18-Inputs!$D$18)*(Inputs!$F$18-Inputs!$E$18)))</f>
        <v>1.046969224176</v>
      </c>
      <c r="L346" s="81" t="n">
        <f aca="true">RAND()</f>
        <v>0.333269906741404</v>
      </c>
      <c r="M346" s="83" t="n">
        <f aca="false">IF(L346&lt;(Inputs!$E$24-Inputs!$D$24)/(Inputs!$F$24-Inputs!$D$24),Inputs!$D$24+SQRT(L346*(Inputs!$F$24-Inputs!$D$24)*(Inputs!$E$24-Inputs!$D$24)),Inputs!$F$24-SQRT((1-L346)*(Inputs!$F$24-Inputs!$D$24)*(Inputs!$F$24-Inputs!$E$24)))</f>
        <v>0.799980971117175</v>
      </c>
      <c r="N346" s="81" t="n">
        <f aca="true">RAND()</f>
        <v>0.0748885104717412</v>
      </c>
      <c r="O346" s="83" t="n">
        <f aca="false">IF(N346&lt;(Inputs!$E$26-Inputs!$D$26)/(Inputs!$F$26-Inputs!$D$26),Inputs!$D$26+SQRT(N346*(Inputs!$F$26-Inputs!$D$26)*(Inputs!$E$26-Inputs!$D$26)),Inputs!$F$26-SQRT((1-N346)*(Inputs!$F$26-Inputs!$D$26)*(Inputs!$F$26-Inputs!$E$26)))</f>
        <v>0.411630856587674</v>
      </c>
      <c r="P346" s="81" t="n">
        <f aca="true">RAND()</f>
        <v>0.72126467316055</v>
      </c>
      <c r="Q346" s="82" t="n">
        <f aca="false">IF(P346&lt;(Inputs!$E$27-Inputs!$D$27)/(Inputs!$F$27-Inputs!$D$27),Inputs!$D$27+SQRT(P346*(Inputs!$F$27-Inputs!$D$27)*(Inputs!$E$27-Inputs!$D$27)),Inputs!$F$27-SQRT((1-P346)*(Inputs!$F$27-Inputs!$D$27)*(Inputs!$F$27-Inputs!$E$27)))</f>
        <v>104.277850539417</v>
      </c>
      <c r="R346" s="81" t="n">
        <f aca="true">RAND()</f>
        <v>0.756151293403094</v>
      </c>
      <c r="S346" s="82" t="n">
        <f aca="false">IF(R346&lt;(Inputs!$E$29-Inputs!$D$29)/(Inputs!$F$29-Inputs!$D$29),Inputs!$D$29+SQRT(R346*(Inputs!$F$29-Inputs!$D$29)*(Inputs!$E$29-Inputs!$D$29)),Inputs!$F$29-SQRT((1-R346)*(Inputs!$F$29-Inputs!$D$29)*(Inputs!$F$29-Inputs!$E$29)))</f>
        <v>9.36969522515897</v>
      </c>
      <c r="T346" s="68" t="n">
        <f aca="false">Inputs!$E$9*(1+E346)+Inputs!$E$5*C346*(Inputs!$E$11*Inputs!$E$14*(G346*I346/Inputs!$E$16+(1-G346))*K346+Inputs!$E$23*M346)*(1+O346)+Inputs!$E$5*(Q346+S346)</f>
        <v>5953.72788202146</v>
      </c>
    </row>
    <row r="347" customFormat="false" ht="15" hidden="false" customHeight="false" outlineLevel="0" collapsed="false">
      <c r="A347" s="1" t="n">
        <v>343</v>
      </c>
      <c r="B347" s="81" t="n">
        <f aca="true">RAND()</f>
        <v>0.425940120773732</v>
      </c>
      <c r="C347" s="82" t="n">
        <f aca="false">ROUND(IF(B347&lt;(Inputs!$E$8-Inputs!$D$8)/(Inputs!$F$8-Inputs!$D$8),Inputs!$D$8+SQRT(B347*(Inputs!$F$8-Inputs!$D$8)*(Inputs!$E$8-Inputs!$D$8)),Inputs!$F$8-SQRT((1-B347)*(Inputs!$F$8-Inputs!$D$8)*(Inputs!$F$8-Inputs!$E$8))),0)</f>
        <v>25</v>
      </c>
      <c r="D347" s="81" t="n">
        <f aca="true">RAND()</f>
        <v>0.788906136765295</v>
      </c>
      <c r="E347" s="83" t="n">
        <f aca="false">IF(D347&lt;(Inputs!$E$10-Inputs!$D$10)/(Inputs!$F$10-Inputs!$D$10),Inputs!$D$10+SQRT(D347*(Inputs!$F$10-Inputs!$D$10)*(Inputs!$E$10-Inputs!$D$10)),Inputs!$F$10-SQRT((1-D347)*(Inputs!$F$10-Inputs!$D$10)*(Inputs!$F$10-Inputs!$E$10)))</f>
        <v>0.120421008444181</v>
      </c>
      <c r="F347" s="81" t="n">
        <f aca="true">RAND()</f>
        <v>0.0437905245337495</v>
      </c>
      <c r="G347" s="83" t="n">
        <f aca="false">IF(F347&lt;(Inputs!$E$15-Inputs!$D$15)/(Inputs!$F$15-Inputs!$D$15),Inputs!$D$15+SQRT(F347*(Inputs!$F$15-Inputs!$D$15)*(Inputs!$E$15-Inputs!$D$15)),Inputs!$F$15-SQRT((1-F347)*(Inputs!$F$15-Inputs!$D$15)*(Inputs!$F$15-Inputs!$E$15)))</f>
        <v>0.62959409553737</v>
      </c>
      <c r="H347" s="81" t="n">
        <f aca="true">RAND()</f>
        <v>0.910085076394605</v>
      </c>
      <c r="I347" s="82" t="n">
        <f aca="false">ROUND(IF(H347&lt;(Inputs!$E$17-Inputs!$D$17)/(Inputs!$F$17-Inputs!$D$17),Inputs!$D$17+SQRT(H347*(Inputs!$F$17-Inputs!$D$17)*(Inputs!$E$17-Inputs!$D$17)),Inputs!$F$17-SQRT((1-H347)*(Inputs!$F$17-Inputs!$D$17)*(Inputs!$F$17-Inputs!$E$17))),0)</f>
        <v>111</v>
      </c>
      <c r="J347" s="81" t="n">
        <f aca="true">RAND()</f>
        <v>0.607925710589144</v>
      </c>
      <c r="K347" s="83" t="n">
        <f aca="false">IF(J347&lt;(Inputs!$E$18-Inputs!$D$18)/(Inputs!$F$18-Inputs!$D$18),Inputs!$D$18+SQRT(J347*(Inputs!$F$18-Inputs!$D$18)*(Inputs!$E$18-Inputs!$D$18)),Inputs!$F$18-SQRT((1-J347)*(Inputs!$F$18-Inputs!$D$18)*(Inputs!$F$18-Inputs!$E$18)))</f>
        <v>1.06477985983309</v>
      </c>
      <c r="L347" s="81" t="n">
        <f aca="true">RAND()</f>
        <v>0.965796162868594</v>
      </c>
      <c r="M347" s="83" t="n">
        <f aca="false">IF(L347&lt;(Inputs!$E$24-Inputs!$D$24)/(Inputs!$F$24-Inputs!$D$24),Inputs!$D$24+SQRT(L347*(Inputs!$F$24-Inputs!$D$24)*(Inputs!$E$24-Inputs!$D$24)),Inputs!$F$24-SQRT((1-L347)*(Inputs!$F$24-Inputs!$D$24)*(Inputs!$F$24-Inputs!$E$24)))</f>
        <v>1.1093969045146</v>
      </c>
      <c r="N347" s="81" t="n">
        <f aca="true">RAND()</f>
        <v>0.926931781466773</v>
      </c>
      <c r="O347" s="83" t="n">
        <f aca="false">IF(N347&lt;(Inputs!$E$26-Inputs!$D$26)/(Inputs!$F$26-Inputs!$D$26),Inputs!$D$26+SQRT(N347*(Inputs!$F$26-Inputs!$D$26)*(Inputs!$E$26-Inputs!$D$26)),Inputs!$F$26-SQRT((1-N347)*(Inputs!$F$26-Inputs!$D$26)*(Inputs!$F$26-Inputs!$E$26)))</f>
        <v>0.732827213377937</v>
      </c>
      <c r="P347" s="81" t="n">
        <f aca="true">RAND()</f>
        <v>0.0831677826268978</v>
      </c>
      <c r="Q347" s="82" t="n">
        <f aca="false">IF(P347&lt;(Inputs!$E$27-Inputs!$D$27)/(Inputs!$F$27-Inputs!$D$27),Inputs!$D$27+SQRT(P347*(Inputs!$F$27-Inputs!$D$27)*(Inputs!$E$27-Inputs!$D$27)),Inputs!$F$27-SQRT((1-P347)*(Inputs!$F$27-Inputs!$D$27)*(Inputs!$F$27-Inputs!$E$27)))</f>
        <v>64.4194124903633</v>
      </c>
      <c r="R347" s="81" t="n">
        <f aca="true">RAND()</f>
        <v>0.0461673411748459</v>
      </c>
      <c r="S347" s="82" t="n">
        <f aca="false">IF(R347&lt;(Inputs!$E$29-Inputs!$D$29)/(Inputs!$F$29-Inputs!$D$29),Inputs!$D$29+SQRT(R347*(Inputs!$F$29-Inputs!$D$29)*(Inputs!$E$29-Inputs!$D$29)),Inputs!$F$29-SQRT((1-R347)*(Inputs!$F$29-Inputs!$D$29)*(Inputs!$F$29-Inputs!$E$29)))</f>
        <v>3.34183691476237</v>
      </c>
      <c r="T347" s="68" t="n">
        <f aca="false">Inputs!$E$9*(1+E347)+Inputs!$E$5*C347*(Inputs!$E$11*Inputs!$E$14*(G347*I347/Inputs!$E$16+(1-G347))*K347+Inputs!$E$23*M347)*(1+O347)+Inputs!$E$5*(Q347+S347)</f>
        <v>7174.87379747281</v>
      </c>
    </row>
    <row r="348" customFormat="false" ht="15" hidden="false" customHeight="false" outlineLevel="0" collapsed="false">
      <c r="A348" s="1" t="n">
        <v>344</v>
      </c>
      <c r="B348" s="81" t="n">
        <f aca="true">RAND()</f>
        <v>0.0908941729040413</v>
      </c>
      <c r="C348" s="82" t="n">
        <f aca="false">ROUND(IF(B348&lt;(Inputs!$E$8-Inputs!$D$8)/(Inputs!$F$8-Inputs!$D$8),Inputs!$D$8+SQRT(B348*(Inputs!$F$8-Inputs!$D$8)*(Inputs!$E$8-Inputs!$D$8)),Inputs!$F$8-SQRT((1-B348)*(Inputs!$F$8-Inputs!$D$8)*(Inputs!$F$8-Inputs!$E$8))),0)</f>
        <v>22</v>
      </c>
      <c r="D348" s="81" t="n">
        <f aca="true">RAND()</f>
        <v>0.14767360915342</v>
      </c>
      <c r="E348" s="83" t="n">
        <f aca="false">IF(D348&lt;(Inputs!$E$10-Inputs!$D$10)/(Inputs!$F$10-Inputs!$D$10),Inputs!$D$10+SQRT(D348*(Inputs!$F$10-Inputs!$D$10)*(Inputs!$E$10-Inputs!$D$10)),Inputs!$F$10-SQRT((1-D348)*(Inputs!$F$10-Inputs!$D$10)*(Inputs!$F$10-Inputs!$E$10)))</f>
        <v>0.0384283240791763</v>
      </c>
      <c r="F348" s="81" t="n">
        <f aca="true">RAND()</f>
        <v>0.937626330878452</v>
      </c>
      <c r="G348" s="83" t="n">
        <f aca="false">IF(F348&lt;(Inputs!$E$15-Inputs!$D$15)/(Inputs!$F$15-Inputs!$D$15),Inputs!$D$15+SQRT(F348*(Inputs!$F$15-Inputs!$D$15)*(Inputs!$E$15-Inputs!$D$15)),Inputs!$F$15-SQRT((1-F348)*(Inputs!$F$15-Inputs!$D$15)*(Inputs!$F$15-Inputs!$E$15)))</f>
        <v>0.764680410783378</v>
      </c>
      <c r="H348" s="81" t="n">
        <f aca="true">RAND()</f>
        <v>0.635575736267664</v>
      </c>
      <c r="I348" s="82" t="n">
        <f aca="false">ROUND(IF(H348&lt;(Inputs!$E$17-Inputs!$D$17)/(Inputs!$F$17-Inputs!$D$17),Inputs!$D$17+SQRT(H348*(Inputs!$F$17-Inputs!$D$17)*(Inputs!$E$17-Inputs!$D$17)),Inputs!$F$17-SQRT((1-H348)*(Inputs!$F$17-Inputs!$D$17)*(Inputs!$F$17-Inputs!$E$17))),0)</f>
        <v>108</v>
      </c>
      <c r="J348" s="81" t="n">
        <f aca="true">RAND()</f>
        <v>0.680242121595692</v>
      </c>
      <c r="K348" s="83" t="n">
        <f aca="false">IF(J348&lt;(Inputs!$E$18-Inputs!$D$18)/(Inputs!$F$18-Inputs!$D$18),Inputs!$D$18+SQRT(J348*(Inputs!$F$18-Inputs!$D$18)*(Inputs!$E$18-Inputs!$D$18)),Inputs!$F$18-SQRT((1-J348)*(Inputs!$F$18-Inputs!$D$18)*(Inputs!$F$18-Inputs!$E$18)))</f>
        <v>1.08273131087864</v>
      </c>
      <c r="L348" s="81" t="n">
        <f aca="true">RAND()</f>
        <v>0.88099491018537</v>
      </c>
      <c r="M348" s="83" t="n">
        <f aca="false">IF(L348&lt;(Inputs!$E$24-Inputs!$D$24)/(Inputs!$F$24-Inputs!$D$24),Inputs!$D$24+SQRT(L348*(Inputs!$F$24-Inputs!$D$24)*(Inputs!$E$24-Inputs!$D$24)),Inputs!$F$24-SQRT((1-L348)*(Inputs!$F$24-Inputs!$D$24)*(Inputs!$F$24-Inputs!$E$24)))</f>
        <v>1.03099934451159</v>
      </c>
      <c r="N348" s="81" t="n">
        <f aca="true">RAND()</f>
        <v>0.614759354643323</v>
      </c>
      <c r="O348" s="83" t="n">
        <f aca="false">IF(N348&lt;(Inputs!$E$26-Inputs!$D$26)/(Inputs!$F$26-Inputs!$D$26),Inputs!$D$26+SQRT(N348*(Inputs!$F$26-Inputs!$D$26)*(Inputs!$E$26-Inputs!$D$26)),Inputs!$F$26-SQRT((1-N348)*(Inputs!$F$26-Inputs!$D$26)*(Inputs!$F$26-Inputs!$E$26)))</f>
        <v>0.619837390892073</v>
      </c>
      <c r="P348" s="81" t="n">
        <f aca="true">RAND()</f>
        <v>0.440681835475099</v>
      </c>
      <c r="Q348" s="82" t="n">
        <f aca="false">IF(P348&lt;(Inputs!$E$27-Inputs!$D$27)/(Inputs!$F$27-Inputs!$D$27),Inputs!$D$27+SQRT(P348*(Inputs!$F$27-Inputs!$D$27)*(Inputs!$E$27-Inputs!$D$27)),Inputs!$F$27-SQRT((1-P348)*(Inputs!$F$27-Inputs!$D$27)*(Inputs!$F$27-Inputs!$E$27)))</f>
        <v>85.2320585942647</v>
      </c>
      <c r="R348" s="81" t="n">
        <f aca="true">RAND()</f>
        <v>0.367638989279762</v>
      </c>
      <c r="S348" s="82" t="n">
        <f aca="false">IF(R348&lt;(Inputs!$E$29-Inputs!$D$29)/(Inputs!$F$29-Inputs!$D$29),Inputs!$D$29+SQRT(R348*(Inputs!$F$29-Inputs!$D$29)*(Inputs!$E$29-Inputs!$D$29)),Inputs!$F$29-SQRT((1-R348)*(Inputs!$F$29-Inputs!$D$29)*(Inputs!$F$29-Inputs!$E$29)))</f>
        <v>5.93319618643753</v>
      </c>
      <c r="T348" s="68" t="n">
        <f aca="false">Inputs!$E$9*(1+E348)+Inputs!$E$5*C348*(Inputs!$E$11*Inputs!$E$14*(G348*I348/Inputs!$E$16+(1-G348))*K348+Inputs!$E$23*M348)*(1+O348)+Inputs!$E$5*(Q348+S348)</f>
        <v>6075.99855405138</v>
      </c>
    </row>
    <row r="349" customFormat="false" ht="15" hidden="false" customHeight="false" outlineLevel="0" collapsed="false">
      <c r="A349" s="1" t="n">
        <v>345</v>
      </c>
      <c r="B349" s="81" t="n">
        <f aca="true">RAND()</f>
        <v>0.654882738467669</v>
      </c>
      <c r="C349" s="82" t="n">
        <f aca="false">ROUND(IF(B349&lt;(Inputs!$E$8-Inputs!$D$8)/(Inputs!$F$8-Inputs!$D$8),Inputs!$D$8+SQRT(B349*(Inputs!$F$8-Inputs!$D$8)*(Inputs!$E$8-Inputs!$D$8)),Inputs!$F$8-SQRT((1-B349)*(Inputs!$F$8-Inputs!$D$8)*(Inputs!$F$8-Inputs!$E$8))),0)</f>
        <v>26</v>
      </c>
      <c r="D349" s="81" t="n">
        <f aca="true">RAND()</f>
        <v>0.00562488704032587</v>
      </c>
      <c r="E349" s="83" t="n">
        <f aca="false">IF(D349&lt;(Inputs!$E$10-Inputs!$D$10)/(Inputs!$F$10-Inputs!$D$10),Inputs!$D$10+SQRT(D349*(Inputs!$F$10-Inputs!$D$10)*(Inputs!$E$10-Inputs!$D$10)),Inputs!$F$10-SQRT((1-D349)*(Inputs!$F$10-Inputs!$D$10)*(Inputs!$F$10-Inputs!$E$10)))</f>
        <v>0.00749992469317251</v>
      </c>
      <c r="F349" s="81" t="n">
        <f aca="true">RAND()</f>
        <v>0.61575664416984</v>
      </c>
      <c r="G349" s="83" t="n">
        <f aca="false">IF(F349&lt;(Inputs!$E$15-Inputs!$D$15)/(Inputs!$F$15-Inputs!$D$15),Inputs!$D$15+SQRT(F349*(Inputs!$F$15-Inputs!$D$15)*(Inputs!$E$15-Inputs!$D$15)),Inputs!$F$15-SQRT((1-F349)*(Inputs!$F$15-Inputs!$D$15)*(Inputs!$F$15-Inputs!$E$15)))</f>
        <v>0.712336626139515</v>
      </c>
      <c r="H349" s="81" t="n">
        <f aca="true">RAND()</f>
        <v>0.269136575934479</v>
      </c>
      <c r="I349" s="82" t="n">
        <f aca="false">ROUND(IF(H349&lt;(Inputs!$E$17-Inputs!$D$17)/(Inputs!$F$17-Inputs!$D$17),Inputs!$D$17+SQRT(H349*(Inputs!$F$17-Inputs!$D$17)*(Inputs!$E$17-Inputs!$D$17)),Inputs!$F$17-SQRT((1-H349)*(Inputs!$F$17-Inputs!$D$17)*(Inputs!$F$17-Inputs!$E$17))),0)</f>
        <v>104</v>
      </c>
      <c r="J349" s="81" t="n">
        <f aca="true">RAND()</f>
        <v>0.506400004236153</v>
      </c>
      <c r="K349" s="83" t="n">
        <f aca="false">IF(J349&lt;(Inputs!$E$18-Inputs!$D$18)/(Inputs!$F$18-Inputs!$D$18),Inputs!$D$18+SQRT(J349*(Inputs!$F$18-Inputs!$D$18)*(Inputs!$E$18-Inputs!$D$18)),Inputs!$F$18-SQRT((1-J349)*(Inputs!$F$18-Inputs!$D$18)*(Inputs!$F$18-Inputs!$E$18)))</f>
        <v>1.04217796163704</v>
      </c>
      <c r="L349" s="81" t="n">
        <f aca="true">RAND()</f>
        <v>0.831386233732779</v>
      </c>
      <c r="M349" s="83" t="n">
        <f aca="false">IF(L349&lt;(Inputs!$E$24-Inputs!$D$24)/(Inputs!$F$24-Inputs!$D$24),Inputs!$D$24+SQRT(L349*(Inputs!$F$24-Inputs!$D$24)*(Inputs!$E$24-Inputs!$D$24)),Inputs!$F$24-SQRT((1-L349)*(Inputs!$F$24-Inputs!$D$24)*(Inputs!$F$24-Inputs!$E$24)))</f>
        <v>0.998835132530223</v>
      </c>
      <c r="N349" s="81" t="n">
        <f aca="true">RAND()</f>
        <v>0.119419871787564</v>
      </c>
      <c r="O349" s="83" t="n">
        <f aca="false">IF(N349&lt;(Inputs!$E$26-Inputs!$D$26)/(Inputs!$F$26-Inputs!$D$26),Inputs!$D$26+SQRT(N349*(Inputs!$F$26-Inputs!$D$26)*(Inputs!$E$26-Inputs!$D$26)),Inputs!$F$26-SQRT((1-N349)*(Inputs!$F$26-Inputs!$D$26)*(Inputs!$F$26-Inputs!$E$26)))</f>
        <v>0.440966189795463</v>
      </c>
      <c r="P349" s="81" t="n">
        <f aca="true">RAND()</f>
        <v>0.644600719894825</v>
      </c>
      <c r="Q349" s="82" t="n">
        <f aca="false">IF(P349&lt;(Inputs!$E$27-Inputs!$D$27)/(Inputs!$F$27-Inputs!$D$27),Inputs!$D$27+SQRT(P349*(Inputs!$F$27-Inputs!$D$27)*(Inputs!$E$27-Inputs!$D$27)),Inputs!$F$27-SQRT((1-P349)*(Inputs!$F$27-Inputs!$D$27)*(Inputs!$F$27-Inputs!$E$27)))</f>
        <v>98.3715717768901</v>
      </c>
      <c r="R349" s="81" t="n">
        <f aca="true">RAND()</f>
        <v>0.587999486439961</v>
      </c>
      <c r="S349" s="82" t="n">
        <f aca="false">IF(R349&lt;(Inputs!$E$29-Inputs!$D$29)/(Inputs!$F$29-Inputs!$D$29),Inputs!$D$29+SQRT(R349*(Inputs!$F$29-Inputs!$D$29)*(Inputs!$E$29-Inputs!$D$29)),Inputs!$F$29-SQRT((1-R349)*(Inputs!$F$29-Inputs!$D$29)*(Inputs!$F$29-Inputs!$E$29)))</f>
        <v>7.68152565333422</v>
      </c>
      <c r="T349" s="68" t="n">
        <f aca="false">Inputs!$E$9*(1+E349)+Inputs!$E$5*C349*(Inputs!$E$11*Inputs!$E$14*(G349*I349/Inputs!$E$16+(1-G349))*K349+Inputs!$E$23*M349)*(1+O349)+Inputs!$E$5*(Q349+S349)</f>
        <v>6150.03369516244</v>
      </c>
    </row>
    <row r="350" customFormat="false" ht="15" hidden="false" customHeight="false" outlineLevel="0" collapsed="false">
      <c r="A350" s="1" t="n">
        <v>346</v>
      </c>
      <c r="B350" s="81" t="n">
        <f aca="true">RAND()</f>
        <v>0.172151782263623</v>
      </c>
      <c r="C350" s="82" t="n">
        <f aca="false">ROUND(IF(B350&lt;(Inputs!$E$8-Inputs!$D$8)/(Inputs!$F$8-Inputs!$D$8),Inputs!$D$8+SQRT(B350*(Inputs!$F$8-Inputs!$D$8)*(Inputs!$E$8-Inputs!$D$8)),Inputs!$F$8-SQRT((1-B350)*(Inputs!$F$8-Inputs!$D$8)*(Inputs!$F$8-Inputs!$E$8))),0)</f>
        <v>23</v>
      </c>
      <c r="D350" s="81" t="n">
        <f aca="true">RAND()</f>
        <v>0.735277087389649</v>
      </c>
      <c r="E350" s="83" t="n">
        <f aca="false">IF(D350&lt;(Inputs!$E$10-Inputs!$D$10)/(Inputs!$F$10-Inputs!$D$10),Inputs!$D$10+SQRT(D350*(Inputs!$F$10-Inputs!$D$10)*(Inputs!$E$10-Inputs!$D$10)),Inputs!$F$10-SQRT((1-D350)*(Inputs!$F$10-Inputs!$D$10)*(Inputs!$F$10-Inputs!$E$10)))</f>
        <v>0.110883854558725</v>
      </c>
      <c r="F350" s="81" t="n">
        <f aca="true">RAND()</f>
        <v>0.46821116667931</v>
      </c>
      <c r="G350" s="83" t="n">
        <f aca="false">IF(F350&lt;(Inputs!$E$15-Inputs!$D$15)/(Inputs!$F$15-Inputs!$D$15),Inputs!$D$15+SQRT(F350*(Inputs!$F$15-Inputs!$D$15)*(Inputs!$E$15-Inputs!$D$15)),Inputs!$F$15-SQRT((1-F350)*(Inputs!$F$15-Inputs!$D$15)*(Inputs!$F$15-Inputs!$E$15)))</f>
        <v>0.696768917187216</v>
      </c>
      <c r="H350" s="81" t="n">
        <f aca="true">RAND()</f>
        <v>0.664014930638356</v>
      </c>
      <c r="I350" s="82" t="n">
        <f aca="false">ROUND(IF(H350&lt;(Inputs!$E$17-Inputs!$D$17)/(Inputs!$F$17-Inputs!$D$17),Inputs!$D$17+SQRT(H350*(Inputs!$F$17-Inputs!$D$17)*(Inputs!$E$17-Inputs!$D$17)),Inputs!$F$17-SQRT((1-H350)*(Inputs!$F$17-Inputs!$D$17)*(Inputs!$F$17-Inputs!$E$17))),0)</f>
        <v>108</v>
      </c>
      <c r="J350" s="81" t="n">
        <f aca="true">RAND()</f>
        <v>0.14632073612462</v>
      </c>
      <c r="K350" s="83" t="n">
        <f aca="false">IF(J350&lt;(Inputs!$E$18-Inputs!$D$18)/(Inputs!$F$18-Inputs!$D$18),Inputs!$D$18+SQRT(J350*(Inputs!$F$18-Inputs!$D$18)*(Inputs!$E$18-Inputs!$D$18)),Inputs!$F$18-SQRT((1-J350)*(Inputs!$F$18-Inputs!$D$18)*(Inputs!$F$18-Inputs!$E$18)))</f>
        <v>0.971562740056273</v>
      </c>
      <c r="L350" s="81" t="n">
        <f aca="true">RAND()</f>
        <v>0.540050643136702</v>
      </c>
      <c r="M350" s="83" t="n">
        <f aca="false">IF(L350&lt;(Inputs!$E$24-Inputs!$D$24)/(Inputs!$F$24-Inputs!$D$24),Inputs!$D$24+SQRT(L350*(Inputs!$F$24-Inputs!$D$24)*(Inputs!$E$24-Inputs!$D$24)),Inputs!$F$24-SQRT((1-L350)*(Inputs!$F$24-Inputs!$D$24)*(Inputs!$F$24-Inputs!$E$24)))</f>
        <v>0.867753336138357</v>
      </c>
      <c r="N350" s="81" t="n">
        <f aca="true">RAND()</f>
        <v>0.9066015583417</v>
      </c>
      <c r="O350" s="83" t="n">
        <f aca="false">IF(N350&lt;(Inputs!$E$26-Inputs!$D$26)/(Inputs!$F$26-Inputs!$D$26),Inputs!$D$26+SQRT(N350*(Inputs!$F$26-Inputs!$D$26)*(Inputs!$E$26-Inputs!$D$26)),Inputs!$F$26-SQRT((1-N350)*(Inputs!$F$26-Inputs!$D$26)*(Inputs!$F$26-Inputs!$E$26)))</f>
        <v>0.721443224827193</v>
      </c>
      <c r="P350" s="81" t="n">
        <f aca="true">RAND()</f>
        <v>0.933793608494374</v>
      </c>
      <c r="Q350" s="82" t="n">
        <f aca="false">IF(P350&lt;(Inputs!$E$27-Inputs!$D$27)/(Inputs!$F$27-Inputs!$D$27),Inputs!$D$27+SQRT(P350*(Inputs!$F$27-Inputs!$D$27)*(Inputs!$E$27-Inputs!$D$27)),Inputs!$F$27-SQRT((1-P350)*(Inputs!$F$27-Inputs!$D$27)*(Inputs!$F$27-Inputs!$E$27)))</f>
        <v>127.716644411306</v>
      </c>
      <c r="R350" s="81" t="n">
        <f aca="true">RAND()</f>
        <v>0.234607223571908</v>
      </c>
      <c r="S350" s="82" t="n">
        <f aca="false">IF(R350&lt;(Inputs!$E$29-Inputs!$D$29)/(Inputs!$F$29-Inputs!$D$29),Inputs!$D$29+SQRT(R350*(Inputs!$F$29-Inputs!$D$29)*(Inputs!$E$29-Inputs!$D$29)),Inputs!$F$29-SQRT((1-R350)*(Inputs!$F$29-Inputs!$D$29)*(Inputs!$F$29-Inputs!$E$29)))</f>
        <v>5.02497814861281</v>
      </c>
      <c r="T350" s="68" t="n">
        <f aca="false">Inputs!$E$9*(1+E350)+Inputs!$E$5*C350*(Inputs!$E$11*Inputs!$E$14*(G350*I350/Inputs!$E$16+(1-G350))*K350+Inputs!$E$23*M350)*(1+O350)+Inputs!$E$5*(Q350+S350)</f>
        <v>6435.86212754282</v>
      </c>
    </row>
    <row r="351" customFormat="false" ht="15" hidden="false" customHeight="false" outlineLevel="0" collapsed="false">
      <c r="A351" s="1" t="n">
        <v>347</v>
      </c>
      <c r="B351" s="81" t="n">
        <f aca="true">RAND()</f>
        <v>0.920960158317041</v>
      </c>
      <c r="C351" s="82" t="n">
        <f aca="false">ROUND(IF(B351&lt;(Inputs!$E$8-Inputs!$D$8)/(Inputs!$F$8-Inputs!$D$8),Inputs!$D$8+SQRT(B351*(Inputs!$F$8-Inputs!$D$8)*(Inputs!$E$8-Inputs!$D$8)),Inputs!$F$8-SQRT((1-B351)*(Inputs!$F$8-Inputs!$D$8)*(Inputs!$F$8-Inputs!$E$8))),0)</f>
        <v>28</v>
      </c>
      <c r="D351" s="81" t="n">
        <f aca="true">RAND()</f>
        <v>0.484992945812159</v>
      </c>
      <c r="E351" s="83" t="n">
        <f aca="false">IF(D351&lt;(Inputs!$E$10-Inputs!$D$10)/(Inputs!$F$10-Inputs!$D$10),Inputs!$D$10+SQRT(D351*(Inputs!$F$10-Inputs!$D$10)*(Inputs!$E$10-Inputs!$D$10)),Inputs!$F$10-SQRT((1-D351)*(Inputs!$F$10-Inputs!$D$10)*(Inputs!$F$10-Inputs!$E$10)))</f>
        <v>0.0757011197732046</v>
      </c>
      <c r="F351" s="81" t="n">
        <f aca="true">RAND()</f>
        <v>0.130366348221657</v>
      </c>
      <c r="G351" s="83" t="n">
        <f aca="false">IF(F351&lt;(Inputs!$E$15-Inputs!$D$15)/(Inputs!$F$15-Inputs!$D$15),Inputs!$D$15+SQRT(F351*(Inputs!$F$15-Inputs!$D$15)*(Inputs!$E$15-Inputs!$D$15)),Inputs!$F$15-SQRT((1-F351)*(Inputs!$F$15-Inputs!$D$15)*(Inputs!$F$15-Inputs!$E$15)))</f>
        <v>0.651061991387265</v>
      </c>
      <c r="H351" s="81" t="n">
        <f aca="true">RAND()</f>
        <v>0.837586876750403</v>
      </c>
      <c r="I351" s="82" t="n">
        <f aca="false">ROUND(IF(H351&lt;(Inputs!$E$17-Inputs!$D$17)/(Inputs!$F$17-Inputs!$D$17),Inputs!$D$17+SQRT(H351*(Inputs!$F$17-Inputs!$D$17)*(Inputs!$E$17-Inputs!$D$17)),Inputs!$F$17-SQRT((1-H351)*(Inputs!$F$17-Inputs!$D$17)*(Inputs!$F$17-Inputs!$E$17))),0)</f>
        <v>110</v>
      </c>
      <c r="J351" s="81" t="n">
        <f aca="true">RAND()</f>
        <v>0.386080109696381</v>
      </c>
      <c r="K351" s="83" t="n">
        <f aca="false">IF(J351&lt;(Inputs!$E$18-Inputs!$D$18)/(Inputs!$F$18-Inputs!$D$18),Inputs!$D$18+SQRT(J351*(Inputs!$F$18-Inputs!$D$18)*(Inputs!$E$18-Inputs!$D$18)),Inputs!$F$18-SQRT((1-J351)*(Inputs!$F$18-Inputs!$D$18)*(Inputs!$F$18-Inputs!$E$18)))</f>
        <v>1.01822858156889</v>
      </c>
      <c r="L351" s="81" t="n">
        <f aca="true">RAND()</f>
        <v>0.102572963427774</v>
      </c>
      <c r="M351" s="83" t="n">
        <f aca="false">IF(L351&lt;(Inputs!$E$24-Inputs!$D$24)/(Inputs!$F$24-Inputs!$D$24),Inputs!$D$24+SQRT(L351*(Inputs!$F$24-Inputs!$D$24)*(Inputs!$E$24-Inputs!$D$24)),Inputs!$F$24-SQRT((1-L351)*(Inputs!$F$24-Inputs!$D$24)*(Inputs!$F$24-Inputs!$E$24)))</f>
        <v>0.710944831386293</v>
      </c>
      <c r="N351" s="81" t="n">
        <f aca="true">RAND()</f>
        <v>0.17975635960843</v>
      </c>
      <c r="O351" s="83" t="n">
        <f aca="false">IF(N351&lt;(Inputs!$E$26-Inputs!$D$26)/(Inputs!$F$26-Inputs!$D$26),Inputs!$D$26+SQRT(N351*(Inputs!$F$26-Inputs!$D$26)*(Inputs!$E$26-Inputs!$D$26)),Inputs!$F$26-SQRT((1-N351)*(Inputs!$F$26-Inputs!$D$26)*(Inputs!$F$26-Inputs!$E$26)))</f>
        <v>0.472949293837364</v>
      </c>
      <c r="P351" s="81" t="n">
        <f aca="true">RAND()</f>
        <v>0.937234562685682</v>
      </c>
      <c r="Q351" s="82" t="n">
        <f aca="false">IF(P351&lt;(Inputs!$E$27-Inputs!$D$27)/(Inputs!$F$27-Inputs!$D$27),Inputs!$D$27+SQRT(P351*(Inputs!$F$27-Inputs!$D$27)*(Inputs!$E$27-Inputs!$D$27)),Inputs!$F$27-SQRT((1-P351)*(Inputs!$F$27-Inputs!$D$27)*(Inputs!$F$27-Inputs!$E$27)))</f>
        <v>128.303438524564</v>
      </c>
      <c r="R351" s="81" t="n">
        <f aca="true">RAND()</f>
        <v>0.385934184502424</v>
      </c>
      <c r="S351" s="82" t="n">
        <f aca="false">IF(R351&lt;(Inputs!$E$29-Inputs!$D$29)/(Inputs!$F$29-Inputs!$D$29),Inputs!$D$29+SQRT(R351*(Inputs!$F$29-Inputs!$D$29)*(Inputs!$E$29-Inputs!$D$29)),Inputs!$F$29-SQRT((1-R351)*(Inputs!$F$29-Inputs!$D$29)*(Inputs!$F$29-Inputs!$E$29)))</f>
        <v>6.06531724040048</v>
      </c>
      <c r="T351" s="68" t="n">
        <f aca="false">Inputs!$E$9*(1+E351)+Inputs!$E$5*C351*(Inputs!$E$11*Inputs!$E$14*(G351*I351/Inputs!$E$16+(1-G351))*K351+Inputs!$E$23*M351)*(1+O351)+Inputs!$E$5*(Q351+S351)</f>
        <v>6464.20170111765</v>
      </c>
    </row>
    <row r="352" customFormat="false" ht="15" hidden="false" customHeight="false" outlineLevel="0" collapsed="false">
      <c r="A352" s="1" t="n">
        <v>348</v>
      </c>
      <c r="B352" s="81" t="n">
        <f aca="true">RAND()</f>
        <v>0.237329084136884</v>
      </c>
      <c r="C352" s="82" t="n">
        <f aca="false">ROUND(IF(B352&lt;(Inputs!$E$8-Inputs!$D$8)/(Inputs!$F$8-Inputs!$D$8),Inputs!$D$8+SQRT(B352*(Inputs!$F$8-Inputs!$D$8)*(Inputs!$E$8-Inputs!$D$8)),Inputs!$F$8-SQRT((1-B352)*(Inputs!$F$8-Inputs!$D$8)*(Inputs!$F$8-Inputs!$E$8))),0)</f>
        <v>23</v>
      </c>
      <c r="D352" s="81" t="n">
        <f aca="true">RAND()</f>
        <v>0.00272033021566844</v>
      </c>
      <c r="E352" s="83" t="n">
        <f aca="false">IF(D352&lt;(Inputs!$E$10-Inputs!$D$10)/(Inputs!$F$10-Inputs!$D$10),Inputs!$D$10+SQRT(D352*(Inputs!$F$10-Inputs!$D$10)*(Inputs!$E$10-Inputs!$D$10)),Inputs!$F$10-SQRT((1-D352)*(Inputs!$F$10-Inputs!$D$10)*(Inputs!$F$10-Inputs!$E$10)))</f>
        <v>0.00521567849437486</v>
      </c>
      <c r="F352" s="81" t="n">
        <f aca="true">RAND()</f>
        <v>0.970799933837604</v>
      </c>
      <c r="G352" s="83" t="n">
        <f aca="false">IF(F352&lt;(Inputs!$E$15-Inputs!$D$15)/(Inputs!$F$15-Inputs!$D$15),Inputs!$D$15+SQRT(F352*(Inputs!$F$15-Inputs!$D$15)*(Inputs!$E$15-Inputs!$D$15)),Inputs!$F$15-SQRT((1-F352)*(Inputs!$F$15-Inputs!$D$15)*(Inputs!$F$15-Inputs!$E$15)))</f>
        <v>0.775833880674632</v>
      </c>
      <c r="H352" s="81" t="n">
        <f aca="true">RAND()</f>
        <v>0.674164121809777</v>
      </c>
      <c r="I352" s="82" t="n">
        <f aca="false">ROUND(IF(H352&lt;(Inputs!$E$17-Inputs!$D$17)/(Inputs!$F$17-Inputs!$D$17),Inputs!$D$17+SQRT(H352*(Inputs!$F$17-Inputs!$D$17)*(Inputs!$E$17-Inputs!$D$17)),Inputs!$F$17-SQRT((1-H352)*(Inputs!$F$17-Inputs!$D$17)*(Inputs!$F$17-Inputs!$E$17))),0)</f>
        <v>108</v>
      </c>
      <c r="J352" s="81" t="n">
        <f aca="true">RAND()</f>
        <v>0.395386267516771</v>
      </c>
      <c r="K352" s="83" t="n">
        <f aca="false">IF(J352&lt;(Inputs!$E$18-Inputs!$D$18)/(Inputs!$F$18-Inputs!$D$18),Inputs!$D$18+SQRT(J352*(Inputs!$F$18-Inputs!$D$18)*(Inputs!$E$18-Inputs!$D$18)),Inputs!$F$18-SQRT((1-J352)*(Inputs!$F$18-Inputs!$D$18)*(Inputs!$F$18-Inputs!$E$18)))</f>
        <v>1.01999195320102</v>
      </c>
      <c r="L352" s="81" t="n">
        <f aca="true">RAND()</f>
        <v>0.40193206191717</v>
      </c>
      <c r="M352" s="83" t="n">
        <f aca="false">IF(L352&lt;(Inputs!$E$24-Inputs!$D$24)/(Inputs!$F$24-Inputs!$D$24),Inputs!$D$24+SQRT(L352*(Inputs!$F$24-Inputs!$D$24)*(Inputs!$E$24-Inputs!$D$24)),Inputs!$F$24-SQRT((1-L352)*(Inputs!$F$24-Inputs!$D$24)*(Inputs!$F$24-Inputs!$E$24)))</f>
        <v>0.821138145045085</v>
      </c>
      <c r="N352" s="81" t="n">
        <f aca="true">RAND()</f>
        <v>0.000394312848455006</v>
      </c>
      <c r="O352" s="83" t="n">
        <f aca="false">IF(N352&lt;(Inputs!$E$26-Inputs!$D$26)/(Inputs!$F$26-Inputs!$D$26),Inputs!$D$26+SQRT(N352*(Inputs!$F$26-Inputs!$D$26)*(Inputs!$E$26-Inputs!$D$26)),Inputs!$F$26-SQRT((1-N352)*(Inputs!$F$26-Inputs!$D$26)*(Inputs!$F$26-Inputs!$E$26)))</f>
        <v>0.308100225798267</v>
      </c>
      <c r="P352" s="81" t="n">
        <f aca="true">RAND()</f>
        <v>0.487925029376187</v>
      </c>
      <c r="Q352" s="82" t="n">
        <f aca="false">IF(P352&lt;(Inputs!$E$27-Inputs!$D$27)/(Inputs!$F$27-Inputs!$D$27),Inputs!$D$27+SQRT(P352*(Inputs!$F$27-Inputs!$D$27)*(Inputs!$E$27-Inputs!$D$27)),Inputs!$F$27-SQRT((1-P352)*(Inputs!$F$27-Inputs!$D$27)*(Inputs!$F$27-Inputs!$E$27)))</f>
        <v>88.0277297521012</v>
      </c>
      <c r="R352" s="81" t="n">
        <f aca="true">RAND()</f>
        <v>0.796558363131054</v>
      </c>
      <c r="S352" s="82" t="n">
        <f aca="false">IF(R352&lt;(Inputs!$E$29-Inputs!$D$29)/(Inputs!$F$29-Inputs!$D$29),Inputs!$D$29+SQRT(R352*(Inputs!$F$29-Inputs!$D$29)*(Inputs!$E$29-Inputs!$D$29)),Inputs!$F$29-SQRT((1-R352)*(Inputs!$F$29-Inputs!$D$29)*(Inputs!$F$29-Inputs!$E$29)))</f>
        <v>9.85729518706712</v>
      </c>
      <c r="T352" s="68" t="n">
        <f aca="false">Inputs!$E$9*(1+E352)+Inputs!$E$5*C352*(Inputs!$E$11*Inputs!$E$14*(G352*I352/Inputs!$E$16+(1-G352))*K352+Inputs!$E$23*M352)*(1+O352)+Inputs!$E$5*(Q352+S352)</f>
        <v>5181.85448271249</v>
      </c>
    </row>
    <row r="353" customFormat="false" ht="15" hidden="false" customHeight="false" outlineLevel="0" collapsed="false">
      <c r="A353" s="1" t="n">
        <v>349</v>
      </c>
      <c r="B353" s="81" t="n">
        <f aca="true">RAND()</f>
        <v>0.0386786586695395</v>
      </c>
      <c r="C353" s="82" t="n">
        <f aca="false">ROUND(IF(B353&lt;(Inputs!$E$8-Inputs!$D$8)/(Inputs!$F$8-Inputs!$D$8),Inputs!$D$8+SQRT(B353*(Inputs!$F$8-Inputs!$D$8)*(Inputs!$E$8-Inputs!$D$8)),Inputs!$F$8-SQRT((1-B353)*(Inputs!$F$8-Inputs!$D$8)*(Inputs!$F$8-Inputs!$E$8))),0)</f>
        <v>21</v>
      </c>
      <c r="D353" s="81" t="n">
        <f aca="true">RAND()</f>
        <v>0.573036306034328</v>
      </c>
      <c r="E353" s="83" t="n">
        <f aca="false">IF(D353&lt;(Inputs!$E$10-Inputs!$D$10)/(Inputs!$F$10-Inputs!$D$10),Inputs!$D$10+SQRT(D353*(Inputs!$F$10-Inputs!$D$10)*(Inputs!$E$10-Inputs!$D$10)),Inputs!$F$10-SQRT((1-D353)*(Inputs!$F$10-Inputs!$D$10)*(Inputs!$F$10-Inputs!$E$10)))</f>
        <v>0.0868235412333017</v>
      </c>
      <c r="F353" s="81" t="n">
        <f aca="true">RAND()</f>
        <v>0.318025060125661</v>
      </c>
      <c r="G353" s="83" t="n">
        <f aca="false">IF(F353&lt;(Inputs!$E$15-Inputs!$D$15)/(Inputs!$F$15-Inputs!$D$15),Inputs!$D$15+SQRT(F353*(Inputs!$F$15-Inputs!$D$15)*(Inputs!$E$15-Inputs!$D$15)),Inputs!$F$15-SQRT((1-F353)*(Inputs!$F$15-Inputs!$D$15)*(Inputs!$F$15-Inputs!$E$15)))</f>
        <v>0.679752750438547</v>
      </c>
      <c r="H353" s="81" t="n">
        <f aca="true">RAND()</f>
        <v>0.544891883804531</v>
      </c>
      <c r="I353" s="82" t="n">
        <f aca="false">ROUND(IF(H353&lt;(Inputs!$E$17-Inputs!$D$17)/(Inputs!$F$17-Inputs!$D$17),Inputs!$D$17+SQRT(H353*(Inputs!$F$17-Inputs!$D$17)*(Inputs!$E$17-Inputs!$D$17)),Inputs!$F$17-SQRT((1-H353)*(Inputs!$F$17-Inputs!$D$17)*(Inputs!$F$17-Inputs!$E$17))),0)</f>
        <v>107</v>
      </c>
      <c r="J353" s="81" t="n">
        <f aca="true">RAND()</f>
        <v>0.740683584354718</v>
      </c>
      <c r="K353" s="83" t="n">
        <f aca="false">IF(J353&lt;(Inputs!$E$18-Inputs!$D$18)/(Inputs!$F$18-Inputs!$D$18),Inputs!$D$18+SQRT(J353*(Inputs!$F$18-Inputs!$D$18)*(Inputs!$E$18-Inputs!$D$18)),Inputs!$F$18-SQRT((1-J353)*(Inputs!$F$18-Inputs!$D$18)*(Inputs!$F$18-Inputs!$E$18)))</f>
        <v>1.09936737946593</v>
      </c>
      <c r="L353" s="81" t="n">
        <f aca="true">RAND()</f>
        <v>0.823078909109513</v>
      </c>
      <c r="M353" s="83" t="n">
        <f aca="false">IF(L353&lt;(Inputs!$E$24-Inputs!$D$24)/(Inputs!$F$24-Inputs!$D$24),Inputs!$D$24+SQRT(L353*(Inputs!$F$24-Inputs!$D$24)*(Inputs!$E$24-Inputs!$D$24)),Inputs!$F$24-SQRT((1-L353)*(Inputs!$F$24-Inputs!$D$24)*(Inputs!$F$24-Inputs!$E$24)))</f>
        <v>0.993939179333584</v>
      </c>
      <c r="N353" s="81" t="n">
        <f aca="true">RAND()</f>
        <v>0.953869329919604</v>
      </c>
      <c r="O353" s="83" t="n">
        <f aca="false">IF(N353&lt;(Inputs!$E$26-Inputs!$D$26)/(Inputs!$F$26-Inputs!$D$26),Inputs!$D$26+SQRT(N353*(Inputs!$F$26-Inputs!$D$26)*(Inputs!$E$26-Inputs!$D$26)),Inputs!$F$26-SQRT((1-N353)*(Inputs!$F$26-Inputs!$D$26)*(Inputs!$F$26-Inputs!$E$26)))</f>
        <v>0.75073536480742</v>
      </c>
      <c r="P353" s="81" t="n">
        <f aca="true">RAND()</f>
        <v>0.198596563781635</v>
      </c>
      <c r="Q353" s="82" t="n">
        <f aca="false">IF(P353&lt;(Inputs!$E$27-Inputs!$D$27)/(Inputs!$F$27-Inputs!$D$27),Inputs!$D$27+SQRT(P353*(Inputs!$F$27-Inputs!$D$27)*(Inputs!$E$27-Inputs!$D$27)),Inputs!$F$27-SQRT((1-P353)*(Inputs!$F$27-Inputs!$D$27)*(Inputs!$F$27-Inputs!$E$27)))</f>
        <v>72.2820871880102</v>
      </c>
      <c r="R353" s="81" t="n">
        <f aca="true">RAND()</f>
        <v>0.908781761425066</v>
      </c>
      <c r="S353" s="82" t="n">
        <f aca="false">IF(R353&lt;(Inputs!$E$29-Inputs!$D$29)/(Inputs!$F$29-Inputs!$D$29),Inputs!$D$29+SQRT(R353*(Inputs!$F$29-Inputs!$D$29)*(Inputs!$E$29-Inputs!$D$29)),Inputs!$F$29-SQRT((1-R353)*(Inputs!$F$29-Inputs!$D$29)*(Inputs!$F$29-Inputs!$E$29)))</f>
        <v>11.5564014440209</v>
      </c>
      <c r="T353" s="68" t="n">
        <f aca="false">Inputs!$E$9*(1+E353)+Inputs!$E$5*C353*(Inputs!$E$11*Inputs!$E$14*(G353*I353/Inputs!$E$16+(1-G353))*K353+Inputs!$E$23*M353)*(1+O353)+Inputs!$E$5*(Q353+S353)</f>
        <v>6333.64049702269</v>
      </c>
    </row>
    <row r="354" customFormat="false" ht="15" hidden="false" customHeight="false" outlineLevel="0" collapsed="false">
      <c r="A354" s="1" t="n">
        <v>350</v>
      </c>
      <c r="B354" s="81" t="n">
        <f aca="true">RAND()</f>
        <v>0.274548119221415</v>
      </c>
      <c r="C354" s="82" t="n">
        <f aca="false">ROUND(IF(B354&lt;(Inputs!$E$8-Inputs!$D$8)/(Inputs!$F$8-Inputs!$D$8),Inputs!$D$8+SQRT(B354*(Inputs!$F$8-Inputs!$D$8)*(Inputs!$E$8-Inputs!$D$8)),Inputs!$F$8-SQRT((1-B354)*(Inputs!$F$8-Inputs!$D$8)*(Inputs!$F$8-Inputs!$E$8))),0)</f>
        <v>24</v>
      </c>
      <c r="D354" s="81" t="n">
        <f aca="true">RAND()</f>
        <v>0.51802542474203</v>
      </c>
      <c r="E354" s="83" t="n">
        <f aca="false">IF(D354&lt;(Inputs!$E$10-Inputs!$D$10)/(Inputs!$F$10-Inputs!$D$10),Inputs!$D$10+SQRT(D354*(Inputs!$F$10-Inputs!$D$10)*(Inputs!$E$10-Inputs!$D$10)),Inputs!$F$10-SQRT((1-D354)*(Inputs!$F$10-Inputs!$D$10)*(Inputs!$F$10-Inputs!$E$10)))</f>
        <v>0.079753431409711</v>
      </c>
      <c r="F354" s="81" t="n">
        <f aca="true">RAND()</f>
        <v>0.632695329479528</v>
      </c>
      <c r="G354" s="83" t="n">
        <f aca="false">IF(F354&lt;(Inputs!$E$15-Inputs!$D$15)/(Inputs!$F$15-Inputs!$D$15),Inputs!$D$15+SQRT(F354*(Inputs!$F$15-Inputs!$D$15)*(Inputs!$E$15-Inputs!$D$15)),Inputs!$F$15-SQRT((1-F354)*(Inputs!$F$15-Inputs!$D$15)*(Inputs!$F$15-Inputs!$E$15)))</f>
        <v>0.714290645723997</v>
      </c>
      <c r="H354" s="81" t="n">
        <f aca="true">RAND()</f>
        <v>0.0735682991314924</v>
      </c>
      <c r="I354" s="82" t="n">
        <f aca="false">ROUND(IF(H354&lt;(Inputs!$E$17-Inputs!$D$17)/(Inputs!$F$17-Inputs!$D$17),Inputs!$D$17+SQRT(H354*(Inputs!$F$17-Inputs!$D$17)*(Inputs!$E$17-Inputs!$D$17)),Inputs!$F$17-SQRT((1-H354)*(Inputs!$F$17-Inputs!$D$17)*(Inputs!$F$17-Inputs!$E$17))),0)</f>
        <v>102</v>
      </c>
      <c r="J354" s="81" t="n">
        <f aca="true">RAND()</f>
        <v>0.684936293423965</v>
      </c>
      <c r="K354" s="83" t="n">
        <f aca="false">IF(J354&lt;(Inputs!$E$18-Inputs!$D$18)/(Inputs!$F$18-Inputs!$D$18),Inputs!$D$18+SQRT(J354*(Inputs!$F$18-Inputs!$D$18)*(Inputs!$E$18-Inputs!$D$18)),Inputs!$F$18-SQRT((1-J354)*(Inputs!$F$18-Inputs!$D$18)*(Inputs!$F$18-Inputs!$E$18)))</f>
        <v>1.08396363553305</v>
      </c>
      <c r="L354" s="81" t="n">
        <f aca="true">RAND()</f>
        <v>0.837752801938635</v>
      </c>
      <c r="M354" s="83" t="n">
        <f aca="false">IF(L354&lt;(Inputs!$E$24-Inputs!$D$24)/(Inputs!$F$24-Inputs!$D$24),Inputs!$D$24+SQRT(L354*(Inputs!$F$24-Inputs!$D$24)*(Inputs!$E$24-Inputs!$D$24)),Inputs!$F$24-SQRT((1-L354)*(Inputs!$F$24-Inputs!$D$24)*(Inputs!$F$24-Inputs!$E$24)))</f>
        <v>1.00266949669469</v>
      </c>
      <c r="N354" s="81" t="n">
        <f aca="true">RAND()</f>
        <v>0.335289565899544</v>
      </c>
      <c r="O354" s="83" t="n">
        <f aca="false">IF(N354&lt;(Inputs!$E$26-Inputs!$D$26)/(Inputs!$F$26-Inputs!$D$26),Inputs!$D$26+SQRT(N354*(Inputs!$F$26-Inputs!$D$26)*(Inputs!$E$26-Inputs!$D$26)),Inputs!$F$26-SQRT((1-N354)*(Inputs!$F$26-Inputs!$D$26)*(Inputs!$F$26-Inputs!$E$26)))</f>
        <v>0.536203691261767</v>
      </c>
      <c r="P354" s="81" t="n">
        <f aca="true">RAND()</f>
        <v>0.0370994322868742</v>
      </c>
      <c r="Q354" s="82" t="n">
        <f aca="false">IF(P354&lt;(Inputs!$E$27-Inputs!$D$27)/(Inputs!$F$27-Inputs!$D$27),Inputs!$D$27+SQRT(P354*(Inputs!$F$27-Inputs!$D$27)*(Inputs!$E$27-Inputs!$D$27)),Inputs!$F$27-SQRT((1-P354)*(Inputs!$F$27-Inputs!$D$27)*(Inputs!$F$27-Inputs!$E$27)))</f>
        <v>59.6306064563549</v>
      </c>
      <c r="R354" s="81" t="n">
        <f aca="true">RAND()</f>
        <v>0.839068009895677</v>
      </c>
      <c r="S354" s="82" t="n">
        <f aca="false">IF(R354&lt;(Inputs!$E$29-Inputs!$D$29)/(Inputs!$F$29-Inputs!$D$29),Inputs!$D$29+SQRT(R354*(Inputs!$F$29-Inputs!$D$29)*(Inputs!$E$29-Inputs!$D$29)),Inputs!$F$29-SQRT((1-R354)*(Inputs!$F$29-Inputs!$D$29)*(Inputs!$F$29-Inputs!$E$29)))</f>
        <v>10.4260346838261</v>
      </c>
      <c r="T354" s="68" t="n">
        <f aca="false">Inputs!$E$9*(1+E354)+Inputs!$E$5*C354*(Inputs!$E$11*Inputs!$E$14*(G354*I354/Inputs!$E$16+(1-G354))*K354+Inputs!$E$23*M354)*(1+O354)+Inputs!$E$5*(Q354+S354)</f>
        <v>6135.12937771997</v>
      </c>
    </row>
    <row r="355" customFormat="false" ht="15" hidden="false" customHeight="false" outlineLevel="0" collapsed="false">
      <c r="A355" s="1" t="n">
        <v>351</v>
      </c>
      <c r="B355" s="81" t="n">
        <f aca="true">RAND()</f>
        <v>0.230010445656904</v>
      </c>
      <c r="C355" s="82" t="n">
        <f aca="false">ROUND(IF(B355&lt;(Inputs!$E$8-Inputs!$D$8)/(Inputs!$F$8-Inputs!$D$8),Inputs!$D$8+SQRT(B355*(Inputs!$F$8-Inputs!$D$8)*(Inputs!$E$8-Inputs!$D$8)),Inputs!$F$8-SQRT((1-B355)*(Inputs!$F$8-Inputs!$D$8)*(Inputs!$F$8-Inputs!$E$8))),0)</f>
        <v>23</v>
      </c>
      <c r="D355" s="81" t="n">
        <f aca="true">RAND()</f>
        <v>0.521417043650572</v>
      </c>
      <c r="E355" s="83" t="n">
        <f aca="false">IF(D355&lt;(Inputs!$E$10-Inputs!$D$10)/(Inputs!$F$10-Inputs!$D$10),Inputs!$D$10+SQRT(D355*(Inputs!$F$10-Inputs!$D$10)*(Inputs!$E$10-Inputs!$D$10)),Inputs!$F$10-SQRT((1-D355)*(Inputs!$F$10-Inputs!$D$10)*(Inputs!$F$10-Inputs!$E$10)))</f>
        <v>0.0801772613796412</v>
      </c>
      <c r="F355" s="81" t="n">
        <f aca="true">RAND()</f>
        <v>0.361091365793295</v>
      </c>
      <c r="G355" s="83" t="n">
        <f aca="false">IF(F355&lt;(Inputs!$E$15-Inputs!$D$15)/(Inputs!$F$15-Inputs!$D$15),Inputs!$D$15+SQRT(F355*(Inputs!$F$15-Inputs!$D$15)*(Inputs!$E$15-Inputs!$D$15)),Inputs!$F$15-SQRT((1-F355)*(Inputs!$F$15-Inputs!$D$15)*(Inputs!$F$15-Inputs!$E$15)))</f>
        <v>0.684981335102868</v>
      </c>
      <c r="H355" s="81" t="n">
        <f aca="true">RAND()</f>
        <v>0.820814279919665</v>
      </c>
      <c r="I355" s="82" t="n">
        <f aca="false">ROUND(IF(H355&lt;(Inputs!$E$17-Inputs!$D$17)/(Inputs!$F$17-Inputs!$D$17),Inputs!$D$17+SQRT(H355*(Inputs!$F$17-Inputs!$D$17)*(Inputs!$E$17-Inputs!$D$17)),Inputs!$F$17-SQRT((1-H355)*(Inputs!$F$17-Inputs!$D$17)*(Inputs!$F$17-Inputs!$E$17))),0)</f>
        <v>110</v>
      </c>
      <c r="J355" s="81" t="n">
        <f aca="true">RAND()</f>
        <v>0.63686048306764</v>
      </c>
      <c r="K355" s="83" t="n">
        <f aca="false">IF(J355&lt;(Inputs!$E$18-Inputs!$D$18)/(Inputs!$F$18-Inputs!$D$18),Inputs!$D$18+SQRT(J355*(Inputs!$F$18-Inputs!$D$18)*(Inputs!$E$18-Inputs!$D$18)),Inputs!$F$18-SQRT((1-J355)*(Inputs!$F$18-Inputs!$D$18)*(Inputs!$F$18-Inputs!$E$18)))</f>
        <v>1.07174538510439</v>
      </c>
      <c r="L355" s="81" t="n">
        <f aca="true">RAND()</f>
        <v>0.767499827470948</v>
      </c>
      <c r="M355" s="83" t="n">
        <f aca="false">IF(L355&lt;(Inputs!$E$24-Inputs!$D$24)/(Inputs!$F$24-Inputs!$D$24),Inputs!$D$24+SQRT(L355*(Inputs!$F$24-Inputs!$D$24)*(Inputs!$E$24-Inputs!$D$24)),Inputs!$F$24-SQRT((1-L355)*(Inputs!$F$24-Inputs!$D$24)*(Inputs!$F$24-Inputs!$E$24)))</f>
        <v>0.963779676134816</v>
      </c>
      <c r="N355" s="81" t="n">
        <f aca="true">RAND()</f>
        <v>0.689096892770893</v>
      </c>
      <c r="O355" s="83" t="n">
        <f aca="false">IF(N355&lt;(Inputs!$E$26-Inputs!$D$26)/(Inputs!$F$26-Inputs!$D$26),Inputs!$D$26+SQRT(N355*(Inputs!$F$26-Inputs!$D$26)*(Inputs!$E$26-Inputs!$D$26)),Inputs!$F$26-SQRT((1-N355)*(Inputs!$F$26-Inputs!$D$26)*(Inputs!$F$26-Inputs!$E$26)))</f>
        <v>0.640183640477772</v>
      </c>
      <c r="P355" s="81" t="n">
        <f aca="true">RAND()</f>
        <v>0.103551756168137</v>
      </c>
      <c r="Q355" s="82" t="n">
        <f aca="false">IF(P355&lt;(Inputs!$E$27-Inputs!$D$27)/(Inputs!$F$27-Inputs!$D$27),Inputs!$D$27+SQRT(P355*(Inputs!$F$27-Inputs!$D$27)*(Inputs!$E$27-Inputs!$D$27)),Inputs!$F$27-SQRT((1-P355)*(Inputs!$F$27-Inputs!$D$27)*(Inputs!$F$27-Inputs!$E$27)))</f>
        <v>66.0897293457765</v>
      </c>
      <c r="R355" s="81" t="n">
        <f aca="true">RAND()</f>
        <v>0.972932531727239</v>
      </c>
      <c r="S355" s="82" t="n">
        <f aca="false">IF(R355&lt;(Inputs!$E$29-Inputs!$D$29)/(Inputs!$F$29-Inputs!$D$29),Inputs!$D$29+SQRT(R355*(Inputs!$F$29-Inputs!$D$29)*(Inputs!$E$29-Inputs!$D$29)),Inputs!$F$29-SQRT((1-R355)*(Inputs!$F$29-Inputs!$D$29)*(Inputs!$F$29-Inputs!$E$29)))</f>
        <v>13.1241612874613</v>
      </c>
      <c r="T355" s="68" t="n">
        <f aca="false">Inputs!$E$9*(1+E355)+Inputs!$E$5*C355*(Inputs!$E$11*Inputs!$E$14*(G355*I355/Inputs!$E$16+(1-G355))*K355+Inputs!$E$23*M355)*(1+O355)+Inputs!$E$5*(Q355+S355)</f>
        <v>6317.69141725899</v>
      </c>
    </row>
    <row r="356" customFormat="false" ht="15" hidden="false" customHeight="false" outlineLevel="0" collapsed="false">
      <c r="A356" s="1" t="n">
        <v>352</v>
      </c>
      <c r="B356" s="81" t="n">
        <f aca="true">RAND()</f>
        <v>0.912095835728698</v>
      </c>
      <c r="C356" s="82" t="n">
        <f aca="false">ROUND(IF(B356&lt;(Inputs!$E$8-Inputs!$D$8)/(Inputs!$F$8-Inputs!$D$8),Inputs!$D$8+SQRT(B356*(Inputs!$F$8-Inputs!$D$8)*(Inputs!$E$8-Inputs!$D$8)),Inputs!$F$8-SQRT((1-B356)*(Inputs!$F$8-Inputs!$D$8)*(Inputs!$F$8-Inputs!$E$8))),0)</f>
        <v>28</v>
      </c>
      <c r="D356" s="81" t="n">
        <f aca="true">RAND()</f>
        <v>0.901086201984084</v>
      </c>
      <c r="E356" s="83" t="n">
        <f aca="false">IF(D356&lt;(Inputs!$E$10-Inputs!$D$10)/(Inputs!$F$10-Inputs!$D$10),Inputs!$D$10+SQRT(D356*(Inputs!$F$10-Inputs!$D$10)*(Inputs!$E$10-Inputs!$D$10)),Inputs!$F$10-SQRT((1-D356)*(Inputs!$F$10-Inputs!$D$10)*(Inputs!$F$10-Inputs!$E$10)))</f>
        <v>0.145526025108521</v>
      </c>
      <c r="F356" s="81" t="n">
        <f aca="true">RAND()</f>
        <v>0.391947121330148</v>
      </c>
      <c r="G356" s="83" t="n">
        <f aca="false">IF(F356&lt;(Inputs!$E$15-Inputs!$D$15)/(Inputs!$F$15-Inputs!$D$15),Inputs!$D$15+SQRT(F356*(Inputs!$F$15-Inputs!$D$15)*(Inputs!$E$15-Inputs!$D$15)),Inputs!$F$15-SQRT((1-F356)*(Inputs!$F$15-Inputs!$D$15)*(Inputs!$F$15-Inputs!$E$15)))</f>
        <v>0.688537802246289</v>
      </c>
      <c r="H356" s="81" t="n">
        <f aca="true">RAND()</f>
        <v>0.264250208096584</v>
      </c>
      <c r="I356" s="82" t="n">
        <f aca="false">ROUND(IF(H356&lt;(Inputs!$E$17-Inputs!$D$17)/(Inputs!$F$17-Inputs!$D$17),Inputs!$D$17+SQRT(H356*(Inputs!$F$17-Inputs!$D$17)*(Inputs!$E$17-Inputs!$D$17)),Inputs!$F$17-SQRT((1-H356)*(Inputs!$F$17-Inputs!$D$17)*(Inputs!$F$17-Inputs!$E$17))),0)</f>
        <v>104</v>
      </c>
      <c r="J356" s="81" t="n">
        <f aca="true">RAND()</f>
        <v>0.498152369512815</v>
      </c>
      <c r="K356" s="83" t="n">
        <f aca="false">IF(J356&lt;(Inputs!$E$18-Inputs!$D$18)/(Inputs!$F$18-Inputs!$D$18),Inputs!$D$18+SQRT(J356*(Inputs!$F$18-Inputs!$D$18)*(Inputs!$E$18-Inputs!$D$18)),Inputs!$F$18-SQRT((1-J356)*(Inputs!$F$18-Inputs!$D$18)*(Inputs!$F$18-Inputs!$E$18)))</f>
        <v>1.04044889008257</v>
      </c>
      <c r="L356" s="81" t="n">
        <f aca="true">RAND()</f>
        <v>0.417603772744027</v>
      </c>
      <c r="M356" s="83" t="n">
        <f aca="false">IF(L356&lt;(Inputs!$E$24-Inputs!$D$24)/(Inputs!$F$24-Inputs!$D$24),Inputs!$D$24+SQRT(L356*(Inputs!$F$24-Inputs!$D$24)*(Inputs!$E$24-Inputs!$D$24)),Inputs!$F$24-SQRT((1-L356)*(Inputs!$F$24-Inputs!$D$24)*(Inputs!$F$24-Inputs!$E$24)))</f>
        <v>0.826134924683472</v>
      </c>
      <c r="N356" s="81" t="n">
        <f aca="true">RAND()</f>
        <v>0.601278103966655</v>
      </c>
      <c r="O356" s="83" t="n">
        <f aca="false">IF(N356&lt;(Inputs!$E$26-Inputs!$D$26)/(Inputs!$F$26-Inputs!$D$26),Inputs!$D$26+SQRT(N356*(Inputs!$F$26-Inputs!$D$26)*(Inputs!$E$26-Inputs!$D$26)),Inputs!$F$26-SQRT((1-N356)*(Inputs!$F$26-Inputs!$D$26)*(Inputs!$F$26-Inputs!$E$26)))</f>
        <v>0.616311043910976</v>
      </c>
      <c r="P356" s="81" t="n">
        <f aca="true">RAND()</f>
        <v>0.708190728221603</v>
      </c>
      <c r="Q356" s="82" t="n">
        <f aca="false">IF(P356&lt;(Inputs!$E$27-Inputs!$D$27)/(Inputs!$F$27-Inputs!$D$27),Inputs!$D$27+SQRT(P356*(Inputs!$F$27-Inputs!$D$27)*(Inputs!$E$27-Inputs!$D$27)),Inputs!$F$27-SQRT((1-P356)*(Inputs!$F$27-Inputs!$D$27)*(Inputs!$F$27-Inputs!$E$27)))</f>
        <v>103.217850216798</v>
      </c>
      <c r="R356" s="81" t="n">
        <f aca="true">RAND()</f>
        <v>0.411433260569093</v>
      </c>
      <c r="S356" s="82" t="n">
        <f aca="false">IF(R356&lt;(Inputs!$E$29-Inputs!$D$29)/(Inputs!$F$29-Inputs!$D$29),Inputs!$D$29+SQRT(R356*(Inputs!$F$29-Inputs!$D$29)*(Inputs!$E$29-Inputs!$D$29)),Inputs!$F$29-SQRT((1-R356)*(Inputs!$F$29-Inputs!$D$29)*(Inputs!$F$29-Inputs!$E$29)))</f>
        <v>6.2527903805832</v>
      </c>
      <c r="T356" s="68" t="n">
        <f aca="false">Inputs!$E$9*(1+E356)+Inputs!$E$5*C356*(Inputs!$E$11*Inputs!$E$14*(G356*I356/Inputs!$E$16+(1-G356))*K356+Inputs!$E$23*M356)*(1+O356)+Inputs!$E$5*(Q356+S356)</f>
        <v>6933.54630087703</v>
      </c>
    </row>
    <row r="357" customFormat="false" ht="15" hidden="false" customHeight="false" outlineLevel="0" collapsed="false">
      <c r="A357" s="1" t="n">
        <v>353</v>
      </c>
      <c r="B357" s="81" t="n">
        <f aca="true">RAND()</f>
        <v>0.260673654595442</v>
      </c>
      <c r="C357" s="82" t="n">
        <f aca="false">ROUND(IF(B357&lt;(Inputs!$E$8-Inputs!$D$8)/(Inputs!$F$8-Inputs!$D$8),Inputs!$D$8+SQRT(B357*(Inputs!$F$8-Inputs!$D$8)*(Inputs!$E$8-Inputs!$D$8)),Inputs!$F$8-SQRT((1-B357)*(Inputs!$F$8-Inputs!$D$8)*(Inputs!$F$8-Inputs!$E$8))),0)</f>
        <v>24</v>
      </c>
      <c r="D357" s="81" t="n">
        <f aca="true">RAND()</f>
        <v>0.935836426079573</v>
      </c>
      <c r="E357" s="83" t="n">
        <f aca="false">IF(D357&lt;(Inputs!$E$10-Inputs!$D$10)/(Inputs!$F$10-Inputs!$D$10),Inputs!$D$10+SQRT(D357*(Inputs!$F$10-Inputs!$D$10)*(Inputs!$E$10-Inputs!$D$10)),Inputs!$F$10-SQRT((1-D357)*(Inputs!$F$10-Inputs!$D$10)*(Inputs!$F$10-Inputs!$E$10)))</f>
        <v>0.156126235429213</v>
      </c>
      <c r="F357" s="81" t="n">
        <f aca="true">RAND()</f>
        <v>0.0324052725171362</v>
      </c>
      <c r="G357" s="83" t="n">
        <f aca="false">IF(F357&lt;(Inputs!$E$15-Inputs!$D$15)/(Inputs!$F$15-Inputs!$D$15),Inputs!$D$15+SQRT(F357*(Inputs!$F$15-Inputs!$D$15)*(Inputs!$E$15-Inputs!$D$15)),Inputs!$F$15-SQRT((1-F357)*(Inputs!$F$15-Inputs!$D$15)*(Inputs!$F$15-Inputs!$E$15)))</f>
        <v>0.625457915278803</v>
      </c>
      <c r="H357" s="81" t="n">
        <f aca="true">RAND()</f>
        <v>0.699309705389672</v>
      </c>
      <c r="I357" s="82" t="n">
        <f aca="false">ROUND(IF(H357&lt;(Inputs!$E$17-Inputs!$D$17)/(Inputs!$F$17-Inputs!$D$17),Inputs!$D$17+SQRT(H357*(Inputs!$F$17-Inputs!$D$17)*(Inputs!$E$17-Inputs!$D$17)),Inputs!$F$17-SQRT((1-H357)*(Inputs!$F$17-Inputs!$D$17)*(Inputs!$F$17-Inputs!$E$17))),0)</f>
        <v>108</v>
      </c>
      <c r="J357" s="81" t="n">
        <f aca="true">RAND()</f>
        <v>0.0461643628683724</v>
      </c>
      <c r="K357" s="83" t="n">
        <f aca="false">IF(J357&lt;(Inputs!$E$18-Inputs!$D$18)/(Inputs!$F$18-Inputs!$D$18),Inputs!$D$18+SQRT(J357*(Inputs!$F$18-Inputs!$D$18)*(Inputs!$E$18-Inputs!$D$18)),Inputs!$F$18-SQRT((1-J357)*(Inputs!$F$18-Inputs!$D$18)*(Inputs!$F$18-Inputs!$E$18)))</f>
        <v>0.940196426462971</v>
      </c>
      <c r="L357" s="81" t="n">
        <f aca="true">RAND()</f>
        <v>0.58113284646447</v>
      </c>
      <c r="M357" s="83" t="n">
        <f aca="false">IF(L357&lt;(Inputs!$E$24-Inputs!$D$24)/(Inputs!$F$24-Inputs!$D$24),Inputs!$D$24+SQRT(L357*(Inputs!$F$24-Inputs!$D$24)*(Inputs!$E$24-Inputs!$D$24)),Inputs!$F$24-SQRT((1-L357)*(Inputs!$F$24-Inputs!$D$24)*(Inputs!$F$24-Inputs!$E$24)))</f>
        <v>0.882938307503844</v>
      </c>
      <c r="N357" s="81" t="n">
        <f aca="true">RAND()</f>
        <v>0.0604043097743665</v>
      </c>
      <c r="O357" s="83" t="n">
        <f aca="false">IF(N357&lt;(Inputs!$E$26-Inputs!$D$26)/(Inputs!$F$26-Inputs!$D$26),Inputs!$D$26+SQRT(N357*(Inputs!$F$26-Inputs!$D$26)*(Inputs!$E$26-Inputs!$D$26)),Inputs!$F$26-SQRT((1-N357)*(Inputs!$F$26-Inputs!$D$26)*(Inputs!$F$26-Inputs!$E$26)))</f>
        <v>0.400256057904022</v>
      </c>
      <c r="P357" s="81" t="n">
        <f aca="true">RAND()</f>
        <v>0.0140570354190505</v>
      </c>
      <c r="Q357" s="82" t="n">
        <f aca="false">IF(P357&lt;(Inputs!$E$27-Inputs!$D$27)/(Inputs!$F$27-Inputs!$D$27),Inputs!$D$27+SQRT(P357*(Inputs!$F$27-Inputs!$D$27)*(Inputs!$E$27-Inputs!$D$27)),Inputs!$F$27-SQRT((1-P357)*(Inputs!$F$27-Inputs!$D$27)*(Inputs!$F$27-Inputs!$E$27)))</f>
        <v>55.9281184660587</v>
      </c>
      <c r="R357" s="81" t="n">
        <f aca="true">RAND()</f>
        <v>0.365349743589699</v>
      </c>
      <c r="S357" s="82" t="n">
        <f aca="false">IF(R357&lt;(Inputs!$E$29-Inputs!$D$29)/(Inputs!$F$29-Inputs!$D$29),Inputs!$D$29+SQRT(R357*(Inputs!$F$29-Inputs!$D$29)*(Inputs!$E$29-Inputs!$D$29)),Inputs!$F$29-SQRT((1-R357)*(Inputs!$F$29-Inputs!$D$29)*(Inputs!$F$29-Inputs!$E$29)))</f>
        <v>5.91679938934854</v>
      </c>
      <c r="T357" s="68" t="n">
        <f aca="false">Inputs!$E$9*(1+E357)+Inputs!$E$5*C357*(Inputs!$E$11*Inputs!$E$14*(G357*I357/Inputs!$E$16+(1-G357))*K357+Inputs!$E$23*M357)*(1+O357)+Inputs!$E$5*(Q357+S357)</f>
        <v>5710.41915643247</v>
      </c>
    </row>
    <row r="358" customFormat="false" ht="15" hidden="false" customHeight="false" outlineLevel="0" collapsed="false">
      <c r="A358" s="1" t="n">
        <v>354</v>
      </c>
      <c r="B358" s="81" t="n">
        <f aca="true">RAND()</f>
        <v>0.870711827693822</v>
      </c>
      <c r="C358" s="82" t="n">
        <f aca="false">ROUND(IF(B358&lt;(Inputs!$E$8-Inputs!$D$8)/(Inputs!$F$8-Inputs!$D$8),Inputs!$D$8+SQRT(B358*(Inputs!$F$8-Inputs!$D$8)*(Inputs!$E$8-Inputs!$D$8)),Inputs!$F$8-SQRT((1-B358)*(Inputs!$F$8-Inputs!$D$8)*(Inputs!$F$8-Inputs!$E$8))),0)</f>
        <v>27</v>
      </c>
      <c r="D358" s="81" t="n">
        <f aca="true">RAND()</f>
        <v>0.324759084784813</v>
      </c>
      <c r="E358" s="83" t="n">
        <f aca="false">IF(D358&lt;(Inputs!$E$10-Inputs!$D$10)/(Inputs!$F$10-Inputs!$D$10),Inputs!$D$10+SQRT(D358*(Inputs!$F$10-Inputs!$D$10)*(Inputs!$E$10-Inputs!$D$10)),Inputs!$F$10-SQRT((1-D358)*(Inputs!$F$10-Inputs!$D$10)*(Inputs!$F$10-Inputs!$E$10)))</f>
        <v>0.0576721128645</v>
      </c>
      <c r="F358" s="81" t="n">
        <f aca="true">RAND()</f>
        <v>0.881637679769526</v>
      </c>
      <c r="G358" s="83" t="n">
        <f aca="false">IF(F358&lt;(Inputs!$E$15-Inputs!$D$15)/(Inputs!$F$15-Inputs!$D$15),Inputs!$D$15+SQRT(F358*(Inputs!$F$15-Inputs!$D$15)*(Inputs!$E$15-Inputs!$D$15)),Inputs!$F$15-SQRT((1-F358)*(Inputs!$F$15-Inputs!$D$15)*(Inputs!$F$15-Inputs!$E$15)))</f>
        <v>0.751345643518699</v>
      </c>
      <c r="H358" s="81" t="n">
        <f aca="true">RAND()</f>
        <v>0.310167903605272</v>
      </c>
      <c r="I358" s="82" t="n">
        <f aca="false">ROUND(IF(H358&lt;(Inputs!$E$17-Inputs!$D$17)/(Inputs!$F$17-Inputs!$D$17),Inputs!$D$17+SQRT(H358*(Inputs!$F$17-Inputs!$D$17)*(Inputs!$E$17-Inputs!$D$17)),Inputs!$F$17-SQRT((1-H358)*(Inputs!$F$17-Inputs!$D$17)*(Inputs!$F$17-Inputs!$E$17))),0)</f>
        <v>105</v>
      </c>
      <c r="J358" s="81" t="n">
        <f aca="true">RAND()</f>
        <v>0.461907860286506</v>
      </c>
      <c r="K358" s="83" t="n">
        <f aca="false">IF(J358&lt;(Inputs!$E$18-Inputs!$D$18)/(Inputs!$F$18-Inputs!$D$18),Inputs!$D$18+SQRT(J358*(Inputs!$F$18-Inputs!$D$18)*(Inputs!$E$18-Inputs!$D$18)),Inputs!$F$18-SQRT((1-J358)*(Inputs!$F$18-Inputs!$D$18)*(Inputs!$F$18-Inputs!$E$18)))</f>
        <v>1.0330136819407</v>
      </c>
      <c r="L358" s="81" t="n">
        <f aca="true">RAND()</f>
        <v>0.944685820153479</v>
      </c>
      <c r="M358" s="83" t="n">
        <f aca="false">IF(L358&lt;(Inputs!$E$24-Inputs!$D$24)/(Inputs!$F$24-Inputs!$D$24),Inputs!$D$24+SQRT(L358*(Inputs!$F$24-Inputs!$D$24)*(Inputs!$E$24-Inputs!$D$24)),Inputs!$F$24-SQRT((1-L358)*(Inputs!$F$24-Inputs!$D$24)*(Inputs!$F$24-Inputs!$E$24)))</f>
        <v>1.08478106421614</v>
      </c>
      <c r="N358" s="81" t="n">
        <f aca="true">RAND()</f>
        <v>0.165909877489584</v>
      </c>
      <c r="O358" s="83" t="n">
        <f aca="false">IF(N358&lt;(Inputs!$E$26-Inputs!$D$26)/(Inputs!$F$26-Inputs!$D$26),Inputs!$D$26+SQRT(N358*(Inputs!$F$26-Inputs!$D$26)*(Inputs!$E$26-Inputs!$D$26)),Inputs!$F$26-SQRT((1-N358)*(Inputs!$F$26-Inputs!$D$26)*(Inputs!$F$26-Inputs!$E$26)))</f>
        <v>0.466154758024761</v>
      </c>
      <c r="P358" s="81" t="n">
        <f aca="true">RAND()</f>
        <v>0.777730728840552</v>
      </c>
      <c r="Q358" s="82" t="n">
        <f aca="false">IF(P358&lt;(Inputs!$E$27-Inputs!$D$27)/(Inputs!$F$27-Inputs!$D$27),Inputs!$D$27+SQRT(P358*(Inputs!$F$27-Inputs!$D$27)*(Inputs!$E$27-Inputs!$D$27)),Inputs!$F$27-SQRT((1-P358)*(Inputs!$F$27-Inputs!$D$27)*(Inputs!$F$27-Inputs!$E$27)))</f>
        <v>109.170849461496</v>
      </c>
      <c r="R358" s="81" t="n">
        <f aca="true">RAND()</f>
        <v>0.572767660098857</v>
      </c>
      <c r="S358" s="82" t="n">
        <f aca="false">IF(R358&lt;(Inputs!$E$29-Inputs!$D$29)/(Inputs!$F$29-Inputs!$D$29),Inputs!$D$29+SQRT(R358*(Inputs!$F$29-Inputs!$D$29)*(Inputs!$E$29-Inputs!$D$29)),Inputs!$F$29-SQRT((1-R358)*(Inputs!$F$29-Inputs!$D$29)*(Inputs!$F$29-Inputs!$E$29)))</f>
        <v>7.54746994724956</v>
      </c>
      <c r="T358" s="68" t="n">
        <f aca="false">Inputs!$E$9*(1+E358)+Inputs!$E$5*C358*(Inputs!$E$11*Inputs!$E$14*(G358*I358/Inputs!$E$16+(1-G358))*K358+Inputs!$E$23*M358)*(1+O358)+Inputs!$E$5*(Q358+S358)</f>
        <v>6567.4850345948</v>
      </c>
    </row>
    <row r="359" customFormat="false" ht="15" hidden="false" customHeight="false" outlineLevel="0" collapsed="false">
      <c r="A359" s="1" t="n">
        <v>355</v>
      </c>
      <c r="B359" s="81" t="n">
        <f aca="true">RAND()</f>
        <v>0.83935740644526</v>
      </c>
      <c r="C359" s="82" t="n">
        <f aca="false">ROUND(IF(B359&lt;(Inputs!$E$8-Inputs!$D$8)/(Inputs!$F$8-Inputs!$D$8),Inputs!$D$8+SQRT(B359*(Inputs!$F$8-Inputs!$D$8)*(Inputs!$E$8-Inputs!$D$8)),Inputs!$F$8-SQRT((1-B359)*(Inputs!$F$8-Inputs!$D$8)*(Inputs!$F$8-Inputs!$E$8))),0)</f>
        <v>27</v>
      </c>
      <c r="D359" s="81" t="n">
        <f aca="true">RAND()</f>
        <v>0.549702937427654</v>
      </c>
      <c r="E359" s="83" t="n">
        <f aca="false">IF(D359&lt;(Inputs!$E$10-Inputs!$D$10)/(Inputs!$F$10-Inputs!$D$10),Inputs!$D$10+SQRT(D359*(Inputs!$F$10-Inputs!$D$10)*(Inputs!$E$10-Inputs!$D$10)),Inputs!$F$10-SQRT((1-D359)*(Inputs!$F$10-Inputs!$D$10)*(Inputs!$F$10-Inputs!$E$10)))</f>
        <v>0.0837721553276911</v>
      </c>
      <c r="F359" s="81" t="n">
        <f aca="true">RAND()</f>
        <v>0.341626022392304</v>
      </c>
      <c r="G359" s="83" t="n">
        <f aca="false">IF(F359&lt;(Inputs!$E$15-Inputs!$D$15)/(Inputs!$F$15-Inputs!$D$15),Inputs!$D$15+SQRT(F359*(Inputs!$F$15-Inputs!$D$15)*(Inputs!$E$15-Inputs!$D$15)),Inputs!$F$15-SQRT((1-F359)*(Inputs!$F$15-Inputs!$D$15)*(Inputs!$F$15-Inputs!$E$15)))</f>
        <v>0.682659061498701</v>
      </c>
      <c r="H359" s="81" t="n">
        <f aca="true">RAND()</f>
        <v>0.71952868168023</v>
      </c>
      <c r="I359" s="82" t="n">
        <f aca="false">ROUND(IF(H359&lt;(Inputs!$E$17-Inputs!$D$17)/(Inputs!$F$17-Inputs!$D$17),Inputs!$D$17+SQRT(H359*(Inputs!$F$17-Inputs!$D$17)*(Inputs!$E$17-Inputs!$D$17)),Inputs!$F$17-SQRT((1-H359)*(Inputs!$F$17-Inputs!$D$17)*(Inputs!$F$17-Inputs!$E$17))),0)</f>
        <v>109</v>
      </c>
      <c r="J359" s="81" t="n">
        <f aca="true">RAND()</f>
        <v>0.966547890377125</v>
      </c>
      <c r="K359" s="83" t="n">
        <f aca="false">IF(J359&lt;(Inputs!$E$18-Inputs!$D$18)/(Inputs!$F$18-Inputs!$D$18),Inputs!$D$18+SQRT(J359*(Inputs!$F$18-Inputs!$D$18)*(Inputs!$E$18-Inputs!$D$18)),Inputs!$F$18-SQRT((1-J359)*(Inputs!$F$18-Inputs!$D$18)*(Inputs!$F$18-Inputs!$E$18)))</f>
        <v>1.19589769328391</v>
      </c>
      <c r="L359" s="81" t="n">
        <f aca="true">RAND()</f>
        <v>0.166247627789164</v>
      </c>
      <c r="M359" s="83" t="n">
        <f aca="false">IF(L359&lt;(Inputs!$E$24-Inputs!$D$24)/(Inputs!$F$24-Inputs!$D$24),Inputs!$D$24+SQRT(L359*(Inputs!$F$24-Inputs!$D$24)*(Inputs!$E$24-Inputs!$D$24)),Inputs!$F$24-SQRT((1-L359)*(Inputs!$F$24-Inputs!$D$24)*(Inputs!$F$24-Inputs!$E$24)))</f>
        <v>0.741243461210421</v>
      </c>
      <c r="N359" s="81" t="n">
        <f aca="true">RAND()</f>
        <v>0.930795081889896</v>
      </c>
      <c r="O359" s="83" t="n">
        <f aca="false">IF(N359&lt;(Inputs!$E$26-Inputs!$D$26)/(Inputs!$F$26-Inputs!$D$26),Inputs!$D$26+SQRT(N359*(Inputs!$F$26-Inputs!$D$26)*(Inputs!$E$26-Inputs!$D$26)),Inputs!$F$26-SQRT((1-N359)*(Inputs!$F$26-Inputs!$D$26)*(Inputs!$F$26-Inputs!$E$26)))</f>
        <v>0.735163029972477</v>
      </c>
      <c r="P359" s="81" t="n">
        <f aca="true">RAND()</f>
        <v>0.937160325264906</v>
      </c>
      <c r="Q359" s="82" t="n">
        <f aca="false">IF(P359&lt;(Inputs!$E$27-Inputs!$D$27)/(Inputs!$F$27-Inputs!$D$27),Inputs!$D$27+SQRT(P359*(Inputs!$F$27-Inputs!$D$27)*(Inputs!$E$27-Inputs!$D$27)),Inputs!$F$27-SQRT((1-P359)*(Inputs!$F$27-Inputs!$D$27)*(Inputs!$F$27-Inputs!$E$27)))</f>
        <v>128.290611235845</v>
      </c>
      <c r="R359" s="81" t="n">
        <f aca="true">RAND()</f>
        <v>0.975413814544377</v>
      </c>
      <c r="S359" s="82" t="n">
        <f aca="false">IF(R359&lt;(Inputs!$E$29-Inputs!$D$29)/(Inputs!$F$29-Inputs!$D$29),Inputs!$D$29+SQRT(R359*(Inputs!$F$29-Inputs!$D$29)*(Inputs!$E$29-Inputs!$D$29)),Inputs!$F$29-SQRT((1-R359)*(Inputs!$F$29-Inputs!$D$29)*(Inputs!$F$29-Inputs!$E$29)))</f>
        <v>13.2122069165502</v>
      </c>
      <c r="T359" s="68" t="n">
        <f aca="false">Inputs!$E$9*(1+E359)+Inputs!$E$5*C359*(Inputs!$E$11*Inputs!$E$14*(G359*I359/Inputs!$E$16+(1-G359))*K359+Inputs!$E$23*M359)*(1+O359)+Inputs!$E$5*(Q359+S359)</f>
        <v>7434.60511757504</v>
      </c>
    </row>
    <row r="360" customFormat="false" ht="15" hidden="false" customHeight="false" outlineLevel="0" collapsed="false">
      <c r="A360" s="1" t="n">
        <v>356</v>
      </c>
      <c r="B360" s="81" t="n">
        <f aca="true">RAND()</f>
        <v>0.177541314454186</v>
      </c>
      <c r="C360" s="82" t="n">
        <f aca="false">ROUND(IF(B360&lt;(Inputs!$E$8-Inputs!$D$8)/(Inputs!$F$8-Inputs!$D$8),Inputs!$D$8+SQRT(B360*(Inputs!$F$8-Inputs!$D$8)*(Inputs!$E$8-Inputs!$D$8)),Inputs!$F$8-SQRT((1-B360)*(Inputs!$F$8-Inputs!$D$8)*(Inputs!$F$8-Inputs!$E$8))),0)</f>
        <v>23</v>
      </c>
      <c r="D360" s="81" t="n">
        <f aca="true">RAND()</f>
        <v>0.380383507675832</v>
      </c>
      <c r="E360" s="83" t="n">
        <f aca="false">IF(D360&lt;(Inputs!$E$10-Inputs!$D$10)/(Inputs!$F$10-Inputs!$D$10),Inputs!$D$10+SQRT(D360*(Inputs!$F$10-Inputs!$D$10)*(Inputs!$E$10-Inputs!$D$10)),Inputs!$F$10-SQRT((1-D360)*(Inputs!$F$10-Inputs!$D$10)*(Inputs!$F$10-Inputs!$E$10)))</f>
        <v>0.063660369775604</v>
      </c>
      <c r="F360" s="81" t="n">
        <f aca="true">RAND()</f>
        <v>0.214250088905511</v>
      </c>
      <c r="G360" s="83" t="n">
        <f aca="false">IF(F360&lt;(Inputs!$E$15-Inputs!$D$15)/(Inputs!$F$15-Inputs!$D$15),Inputs!$D$15+SQRT(F360*(Inputs!$F$15-Inputs!$D$15)*(Inputs!$E$15-Inputs!$D$15)),Inputs!$F$15-SQRT((1-F360)*(Inputs!$F$15-Inputs!$D$15)*(Inputs!$F$15-Inputs!$E$15)))</f>
        <v>0.665459924977884</v>
      </c>
      <c r="H360" s="81" t="n">
        <f aca="true">RAND()</f>
        <v>0.0452402099920287</v>
      </c>
      <c r="I360" s="82" t="n">
        <f aca="false">ROUND(IF(H360&lt;(Inputs!$E$17-Inputs!$D$17)/(Inputs!$F$17-Inputs!$D$17),Inputs!$D$17+SQRT(H360*(Inputs!$F$17-Inputs!$D$17)*(Inputs!$E$17-Inputs!$D$17)),Inputs!$F$17-SQRT((1-H360)*(Inputs!$F$17-Inputs!$D$17)*(Inputs!$F$17-Inputs!$E$17))),0)</f>
        <v>102</v>
      </c>
      <c r="J360" s="81" t="n">
        <f aca="true">RAND()</f>
        <v>0.425895694549153</v>
      </c>
      <c r="K360" s="83" t="n">
        <f aca="false">IF(J360&lt;(Inputs!$E$18-Inputs!$D$18)/(Inputs!$F$18-Inputs!$D$18),Inputs!$D$18+SQRT(J360*(Inputs!$F$18-Inputs!$D$18)*(Inputs!$E$18-Inputs!$D$18)),Inputs!$F$18-SQRT((1-J360)*(Inputs!$F$18-Inputs!$D$18)*(Inputs!$F$18-Inputs!$E$18)))</f>
        <v>1.0258702903965</v>
      </c>
      <c r="L360" s="81" t="n">
        <f aca="true">RAND()</f>
        <v>0.898484411726421</v>
      </c>
      <c r="M360" s="83" t="n">
        <f aca="false">IF(L360&lt;(Inputs!$E$24-Inputs!$D$24)/(Inputs!$F$24-Inputs!$D$24),Inputs!$D$24+SQRT(L360*(Inputs!$F$24-Inputs!$D$24)*(Inputs!$E$24-Inputs!$D$24)),Inputs!$F$24-SQRT((1-L360)*(Inputs!$F$24-Inputs!$D$24)*(Inputs!$F$24-Inputs!$E$24)))</f>
        <v>1.04391111126778</v>
      </c>
      <c r="N360" s="81" t="n">
        <f aca="true">RAND()</f>
        <v>0.029623456429453</v>
      </c>
      <c r="O360" s="83" t="n">
        <f aca="false">IF(N360&lt;(Inputs!$E$26-Inputs!$D$26)/(Inputs!$F$26-Inputs!$D$26),Inputs!$D$26+SQRT(N360*(Inputs!$F$26-Inputs!$D$26)*(Inputs!$E$26-Inputs!$D$26)),Inputs!$F$26-SQRT((1-N360)*(Inputs!$F$26-Inputs!$D$26)*(Inputs!$F$26-Inputs!$E$26)))</f>
        <v>0.370209281080645</v>
      </c>
      <c r="P360" s="81" t="n">
        <f aca="true">RAND()</f>
        <v>0.385538759054841</v>
      </c>
      <c r="Q360" s="82" t="n">
        <f aca="false">IF(P360&lt;(Inputs!$E$27-Inputs!$D$27)/(Inputs!$F$27-Inputs!$D$27),Inputs!$D$27+SQRT(P360*(Inputs!$F$27-Inputs!$D$27)*(Inputs!$E$27-Inputs!$D$27)),Inputs!$F$27-SQRT((1-P360)*(Inputs!$F$27-Inputs!$D$27)*(Inputs!$F$27-Inputs!$E$27)))</f>
        <v>82.1143659741717</v>
      </c>
      <c r="R360" s="81" t="n">
        <f aca="true">RAND()</f>
        <v>0.373573416418271</v>
      </c>
      <c r="S360" s="82" t="n">
        <f aca="false">IF(R360&lt;(Inputs!$E$29-Inputs!$D$29)/(Inputs!$F$29-Inputs!$D$29),Inputs!$D$29+SQRT(R360*(Inputs!$F$29-Inputs!$D$29)*(Inputs!$E$29-Inputs!$D$29)),Inputs!$F$29-SQRT((1-R360)*(Inputs!$F$29-Inputs!$D$29)*(Inputs!$F$29-Inputs!$E$29)))</f>
        <v>5.9758404343881</v>
      </c>
      <c r="T360" s="68" t="n">
        <f aca="false">Inputs!$E$9*(1+E360)+Inputs!$E$5*C360*(Inputs!$E$11*Inputs!$E$14*(G360*I360/Inputs!$E$16+(1-G360))*K360+Inputs!$E$23*M360)*(1+O360)+Inputs!$E$5*(Q360+S360)</f>
        <v>5699.85640931982</v>
      </c>
    </row>
    <row r="361" customFormat="false" ht="15" hidden="false" customHeight="false" outlineLevel="0" collapsed="false">
      <c r="A361" s="1" t="n">
        <v>357</v>
      </c>
      <c r="B361" s="81" t="n">
        <f aca="true">RAND()</f>
        <v>0.905689008151338</v>
      </c>
      <c r="C361" s="82" t="n">
        <f aca="false">ROUND(IF(B361&lt;(Inputs!$E$8-Inputs!$D$8)/(Inputs!$F$8-Inputs!$D$8),Inputs!$D$8+SQRT(B361*(Inputs!$F$8-Inputs!$D$8)*(Inputs!$E$8-Inputs!$D$8)),Inputs!$F$8-SQRT((1-B361)*(Inputs!$F$8-Inputs!$D$8)*(Inputs!$F$8-Inputs!$E$8))),0)</f>
        <v>28</v>
      </c>
      <c r="D361" s="81" t="n">
        <f aca="true">RAND()</f>
        <v>0.390157552730272</v>
      </c>
      <c r="E361" s="83" t="n">
        <f aca="false">IF(D361&lt;(Inputs!$E$10-Inputs!$D$10)/(Inputs!$F$10-Inputs!$D$10),Inputs!$D$10+SQRT(D361*(Inputs!$F$10-Inputs!$D$10)*(Inputs!$E$10-Inputs!$D$10)),Inputs!$F$10-SQRT((1-D361)*(Inputs!$F$10-Inputs!$D$10)*(Inputs!$F$10-Inputs!$E$10)))</f>
        <v>0.0647399784929345</v>
      </c>
      <c r="F361" s="81" t="n">
        <f aca="true">RAND()</f>
        <v>0.311880342277463</v>
      </c>
      <c r="G361" s="83" t="n">
        <f aca="false">IF(F361&lt;(Inputs!$E$15-Inputs!$D$15)/(Inputs!$F$15-Inputs!$D$15),Inputs!$D$15+SQRT(F361*(Inputs!$F$15-Inputs!$D$15)*(Inputs!$E$15-Inputs!$D$15)),Inputs!$F$15-SQRT((1-F361)*(Inputs!$F$15-Inputs!$D$15)*(Inputs!$F$15-Inputs!$E$15)))</f>
        <v>0.678978521419113</v>
      </c>
      <c r="H361" s="81" t="n">
        <f aca="true">RAND()</f>
        <v>0.816730905773815</v>
      </c>
      <c r="I361" s="82" t="n">
        <f aca="false">ROUND(IF(H361&lt;(Inputs!$E$17-Inputs!$D$17)/(Inputs!$F$17-Inputs!$D$17),Inputs!$D$17+SQRT(H361*(Inputs!$F$17-Inputs!$D$17)*(Inputs!$E$17-Inputs!$D$17)),Inputs!$F$17-SQRT((1-H361)*(Inputs!$F$17-Inputs!$D$17)*(Inputs!$F$17-Inputs!$E$17))),0)</f>
        <v>110</v>
      </c>
      <c r="J361" s="81" t="n">
        <f aca="true">RAND()</f>
        <v>0.0760087374087492</v>
      </c>
      <c r="K361" s="83" t="n">
        <f aca="false">IF(J361&lt;(Inputs!$E$18-Inputs!$D$18)/(Inputs!$F$18-Inputs!$D$18),Inputs!$D$18+SQRT(J361*(Inputs!$F$18-Inputs!$D$18)*(Inputs!$E$18-Inputs!$D$18)),Inputs!$F$18-SQRT((1-J361)*(Inputs!$F$18-Inputs!$D$18)*(Inputs!$F$18-Inputs!$E$18)))</f>
        <v>0.951578152441768</v>
      </c>
      <c r="L361" s="81" t="n">
        <f aca="true">RAND()</f>
        <v>0.756513937369432</v>
      </c>
      <c r="M361" s="83" t="n">
        <f aca="false">IF(L361&lt;(Inputs!$E$24-Inputs!$D$24)/(Inputs!$F$24-Inputs!$D$24),Inputs!$D$24+SQRT(L361*(Inputs!$F$24-Inputs!$D$24)*(Inputs!$E$24-Inputs!$D$24)),Inputs!$F$24-SQRT((1-L361)*(Inputs!$F$24-Inputs!$D$24)*(Inputs!$F$24-Inputs!$E$24)))</f>
        <v>0.958263252625224</v>
      </c>
      <c r="N361" s="81" t="n">
        <f aca="true">RAND()</f>
        <v>0.338283397932354</v>
      </c>
      <c r="O361" s="83" t="n">
        <f aca="false">IF(N361&lt;(Inputs!$E$26-Inputs!$D$26)/(Inputs!$F$26-Inputs!$D$26),Inputs!$D$26+SQRT(N361*(Inputs!$F$26-Inputs!$D$26)*(Inputs!$E$26-Inputs!$D$26)),Inputs!$F$26-SQRT((1-N361)*(Inputs!$F$26-Inputs!$D$26)*(Inputs!$F$26-Inputs!$E$26)))</f>
        <v>0.537255890160695</v>
      </c>
      <c r="P361" s="81" t="n">
        <f aca="true">RAND()</f>
        <v>0.118235744183267</v>
      </c>
      <c r="Q361" s="82" t="n">
        <f aca="false">IF(P361&lt;(Inputs!$E$27-Inputs!$D$27)/(Inputs!$F$27-Inputs!$D$27),Inputs!$D$27+SQRT(P361*(Inputs!$F$27-Inputs!$D$27)*(Inputs!$E$27-Inputs!$D$27)),Inputs!$F$27-SQRT((1-P361)*(Inputs!$F$27-Inputs!$D$27)*(Inputs!$F$27-Inputs!$E$27)))</f>
        <v>67.1927124229473</v>
      </c>
      <c r="R361" s="81" t="n">
        <f aca="true">RAND()</f>
        <v>0.974539368022094</v>
      </c>
      <c r="S361" s="82" t="n">
        <f aca="false">IF(R361&lt;(Inputs!$E$29-Inputs!$D$29)/(Inputs!$F$29-Inputs!$D$29),Inputs!$D$29+SQRT(R361*(Inputs!$F$29-Inputs!$D$29)*(Inputs!$E$29-Inputs!$D$29)),Inputs!$F$29-SQRT((1-R361)*(Inputs!$F$29-Inputs!$D$29)*(Inputs!$F$29-Inputs!$E$29)))</f>
        <v>13.1806918465725</v>
      </c>
      <c r="T361" s="68" t="n">
        <f aca="false">Inputs!$E$9*(1+E361)+Inputs!$E$5*C361*(Inputs!$E$11*Inputs!$E$14*(G361*I361/Inputs!$E$16+(1-G361))*K361+Inputs!$E$23*M361)*(1+O361)+Inputs!$E$5*(Q361+S361)</f>
        <v>6500.87833268728</v>
      </c>
    </row>
    <row r="362" customFormat="false" ht="15" hidden="false" customHeight="false" outlineLevel="0" collapsed="false">
      <c r="A362" s="1" t="n">
        <v>358</v>
      </c>
      <c r="B362" s="81" t="n">
        <f aca="true">RAND()</f>
        <v>0.332264304213697</v>
      </c>
      <c r="C362" s="82" t="n">
        <f aca="false">ROUND(IF(B362&lt;(Inputs!$E$8-Inputs!$D$8)/(Inputs!$F$8-Inputs!$D$8),Inputs!$D$8+SQRT(B362*(Inputs!$F$8-Inputs!$D$8)*(Inputs!$E$8-Inputs!$D$8)),Inputs!$F$8-SQRT((1-B362)*(Inputs!$F$8-Inputs!$D$8)*(Inputs!$F$8-Inputs!$E$8))),0)</f>
        <v>24</v>
      </c>
      <c r="D362" s="81" t="n">
        <f aca="true">RAND()</f>
        <v>0.058063366857397</v>
      </c>
      <c r="E362" s="83" t="n">
        <f aca="false">IF(D362&lt;(Inputs!$E$10-Inputs!$D$10)/(Inputs!$F$10-Inputs!$D$10),Inputs!$D$10+SQRT(D362*(Inputs!$F$10-Inputs!$D$10)*(Inputs!$E$10-Inputs!$D$10)),Inputs!$F$10-SQRT((1-D362)*(Inputs!$F$10-Inputs!$D$10)*(Inputs!$F$10-Inputs!$E$10)))</f>
        <v>0.0240963413939538</v>
      </c>
      <c r="F362" s="81" t="n">
        <f aca="true">RAND()</f>
        <v>0.558788864397849</v>
      </c>
      <c r="G362" s="83" t="n">
        <f aca="false">IF(F362&lt;(Inputs!$E$15-Inputs!$D$15)/(Inputs!$F$15-Inputs!$D$15),Inputs!$D$15+SQRT(F362*(Inputs!$F$15-Inputs!$D$15)*(Inputs!$E$15-Inputs!$D$15)),Inputs!$F$15-SQRT((1-F362)*(Inputs!$F$15-Inputs!$D$15)*(Inputs!$F$15-Inputs!$E$15)))</f>
        <v>0.706062666037177</v>
      </c>
      <c r="H362" s="81" t="n">
        <f aca="true">RAND()</f>
        <v>0.466110326801815</v>
      </c>
      <c r="I362" s="82" t="n">
        <f aca="false">ROUND(IF(H362&lt;(Inputs!$E$17-Inputs!$D$17)/(Inputs!$F$17-Inputs!$D$17),Inputs!$D$17+SQRT(H362*(Inputs!$F$17-Inputs!$D$17)*(Inputs!$E$17-Inputs!$D$17)),Inputs!$F$17-SQRT((1-H362)*(Inputs!$F$17-Inputs!$D$17)*(Inputs!$F$17-Inputs!$E$17))),0)</f>
        <v>106</v>
      </c>
      <c r="J362" s="81" t="n">
        <f aca="true">RAND()</f>
        <v>0.95076652098419</v>
      </c>
      <c r="K362" s="83" t="n">
        <f aca="false">IF(J362&lt;(Inputs!$E$18-Inputs!$D$18)/(Inputs!$F$18-Inputs!$D$18),Inputs!$D$18+SQRT(J362*(Inputs!$F$18-Inputs!$D$18)*(Inputs!$E$18-Inputs!$D$18)),Inputs!$F$18-SQRT((1-J362)*(Inputs!$F$18-Inputs!$D$18)*(Inputs!$F$18-Inputs!$E$18)))</f>
        <v>1.18436518139064</v>
      </c>
      <c r="L362" s="81" t="n">
        <f aca="true">RAND()</f>
        <v>0.60210070513365</v>
      </c>
      <c r="M362" s="83" t="n">
        <f aca="false">IF(L362&lt;(Inputs!$E$24-Inputs!$D$24)/(Inputs!$F$24-Inputs!$D$24),Inputs!$D$24+SQRT(L362*(Inputs!$F$24-Inputs!$D$24)*(Inputs!$E$24-Inputs!$D$24)),Inputs!$F$24-SQRT((1-L362)*(Inputs!$F$24-Inputs!$D$24)*(Inputs!$F$24-Inputs!$E$24)))</f>
        <v>0.890976002925462</v>
      </c>
      <c r="N362" s="81" t="n">
        <f aca="true">RAND()</f>
        <v>0.551655315686417</v>
      </c>
      <c r="O362" s="83" t="n">
        <f aca="false">IF(N362&lt;(Inputs!$E$26-Inputs!$D$26)/(Inputs!$F$26-Inputs!$D$26),Inputs!$D$26+SQRT(N362*(Inputs!$F$26-Inputs!$D$26)*(Inputs!$E$26-Inputs!$D$26)),Inputs!$F$26-SQRT((1-N362)*(Inputs!$F$26-Inputs!$D$26)*(Inputs!$F$26-Inputs!$E$26)))</f>
        <v>0.602977630412246</v>
      </c>
      <c r="P362" s="81" t="n">
        <f aca="true">RAND()</f>
        <v>0.113117702500886</v>
      </c>
      <c r="Q362" s="82" t="n">
        <f aca="false">IF(P362&lt;(Inputs!$E$27-Inputs!$D$27)/(Inputs!$F$27-Inputs!$D$27),Inputs!$D$27+SQRT(P362*(Inputs!$F$27-Inputs!$D$27)*(Inputs!$E$27-Inputs!$D$27)),Inputs!$F$27-SQRT((1-P362)*(Inputs!$F$27-Inputs!$D$27)*(Inputs!$F$27-Inputs!$E$27)))</f>
        <v>66.8164876312569</v>
      </c>
      <c r="R362" s="81" t="n">
        <f aca="true">RAND()</f>
        <v>0.290358792154236</v>
      </c>
      <c r="S362" s="82" t="n">
        <f aca="false">IF(R362&lt;(Inputs!$E$29-Inputs!$D$29)/(Inputs!$F$29-Inputs!$D$29),Inputs!$D$29+SQRT(R362*(Inputs!$F$29-Inputs!$D$29)*(Inputs!$E$29-Inputs!$D$29)),Inputs!$F$29-SQRT((1-R362)*(Inputs!$F$29-Inputs!$D$29)*(Inputs!$F$29-Inputs!$E$29)))</f>
        <v>5.39513888596252</v>
      </c>
      <c r="T362" s="68" t="n">
        <f aca="false">Inputs!$E$9*(1+E362)+Inputs!$E$5*C362*(Inputs!$E$11*Inputs!$E$14*(G362*I362/Inputs!$E$16+(1-G362))*K362+Inputs!$E$23*M362)*(1+O362)+Inputs!$E$5*(Q362+S362)</f>
        <v>6287.12152792199</v>
      </c>
    </row>
    <row r="363" customFormat="false" ht="15" hidden="false" customHeight="false" outlineLevel="0" collapsed="false">
      <c r="A363" s="1" t="n">
        <v>359</v>
      </c>
      <c r="B363" s="81" t="n">
        <f aca="true">RAND()</f>
        <v>0.390730777811129</v>
      </c>
      <c r="C363" s="82" t="n">
        <f aca="false">ROUND(IF(B363&lt;(Inputs!$E$8-Inputs!$D$8)/(Inputs!$F$8-Inputs!$D$8),Inputs!$D$8+SQRT(B363*(Inputs!$F$8-Inputs!$D$8)*(Inputs!$E$8-Inputs!$D$8)),Inputs!$F$8-SQRT((1-B363)*(Inputs!$F$8-Inputs!$D$8)*(Inputs!$F$8-Inputs!$E$8))),0)</f>
        <v>24</v>
      </c>
      <c r="D363" s="81" t="n">
        <f aca="true">RAND()</f>
        <v>0.83329966324303</v>
      </c>
      <c r="E363" s="83" t="n">
        <f aca="false">IF(D363&lt;(Inputs!$E$10-Inputs!$D$10)/(Inputs!$F$10-Inputs!$D$10),Inputs!$D$10+SQRT(D363*(Inputs!$F$10-Inputs!$D$10)*(Inputs!$E$10-Inputs!$D$10)),Inputs!$F$10-SQRT((1-D363)*(Inputs!$F$10-Inputs!$D$10)*(Inputs!$F$10-Inputs!$E$10)))</f>
        <v>0.129282179737289</v>
      </c>
      <c r="F363" s="81" t="n">
        <f aca="true">RAND()</f>
        <v>0.0843146058712125</v>
      </c>
      <c r="G363" s="83" t="n">
        <f aca="false">IF(F363&lt;(Inputs!$E$15-Inputs!$D$15)/(Inputs!$F$15-Inputs!$D$15),Inputs!$D$15+SQRT(F363*(Inputs!$F$15-Inputs!$D$15)*(Inputs!$E$15-Inputs!$D$15)),Inputs!$F$15-SQRT((1-F363)*(Inputs!$F$15-Inputs!$D$15)*(Inputs!$F$15-Inputs!$E$15)))</f>
        <v>0.641064487302586</v>
      </c>
      <c r="H363" s="81" t="n">
        <f aca="true">RAND()</f>
        <v>0.489912271057887</v>
      </c>
      <c r="I363" s="82" t="n">
        <f aca="false">ROUND(IF(H363&lt;(Inputs!$E$17-Inputs!$D$17)/(Inputs!$F$17-Inputs!$D$17),Inputs!$D$17+SQRT(H363*(Inputs!$F$17-Inputs!$D$17)*(Inputs!$E$17-Inputs!$D$17)),Inputs!$F$17-SQRT((1-H363)*(Inputs!$F$17-Inputs!$D$17)*(Inputs!$F$17-Inputs!$E$17))),0)</f>
        <v>106</v>
      </c>
      <c r="J363" s="81" t="n">
        <f aca="true">RAND()</f>
        <v>0.86849188421056</v>
      </c>
      <c r="K363" s="83" t="n">
        <f aca="false">IF(J363&lt;(Inputs!$E$18-Inputs!$D$18)/(Inputs!$F$18-Inputs!$D$18),Inputs!$D$18+SQRT(J363*(Inputs!$F$18-Inputs!$D$18)*(Inputs!$E$18-Inputs!$D$18)),Inputs!$F$18-SQRT((1-J363)*(Inputs!$F$18-Inputs!$D$18)*(Inputs!$F$18-Inputs!$E$18)))</f>
        <v>1.14272950018026</v>
      </c>
      <c r="L363" s="81" t="n">
        <f aca="true">RAND()</f>
        <v>0.24032857450011</v>
      </c>
      <c r="M363" s="83" t="n">
        <f aca="false">IF(L363&lt;(Inputs!$E$24-Inputs!$D$24)/(Inputs!$F$24-Inputs!$D$24),Inputs!$D$24+SQRT(L363*(Inputs!$F$24-Inputs!$D$24)*(Inputs!$E$24-Inputs!$D$24)),Inputs!$F$24-SQRT((1-L363)*(Inputs!$F$24-Inputs!$D$24)*(Inputs!$F$24-Inputs!$E$24)))</f>
        <v>0.769821756380074</v>
      </c>
      <c r="N363" s="81" t="n">
        <f aca="true">RAND()</f>
        <v>0.586550851458742</v>
      </c>
      <c r="O363" s="83" t="n">
        <f aca="false">IF(N363&lt;(Inputs!$E$26-Inputs!$D$26)/(Inputs!$F$26-Inputs!$D$26),Inputs!$D$26+SQRT(N363*(Inputs!$F$26-Inputs!$D$26)*(Inputs!$E$26-Inputs!$D$26)),Inputs!$F$26-SQRT((1-N363)*(Inputs!$F$26-Inputs!$D$26)*(Inputs!$F$26-Inputs!$E$26)))</f>
        <v>0.612413286661651</v>
      </c>
      <c r="P363" s="81" t="n">
        <f aca="true">RAND()</f>
        <v>0.389465970183911</v>
      </c>
      <c r="Q363" s="82" t="n">
        <f aca="false">IF(P363&lt;(Inputs!$E$27-Inputs!$D$27)/(Inputs!$F$27-Inputs!$D$27),Inputs!$D$27+SQRT(P363*(Inputs!$F$27-Inputs!$D$27)*(Inputs!$E$27-Inputs!$D$27)),Inputs!$F$27-SQRT((1-P363)*(Inputs!$F$27-Inputs!$D$27)*(Inputs!$F$27-Inputs!$E$27)))</f>
        <v>82.3316527198967</v>
      </c>
      <c r="R363" s="81" t="n">
        <f aca="true">RAND()</f>
        <v>0.432003269829644</v>
      </c>
      <c r="S363" s="82" t="n">
        <f aca="false">IF(R363&lt;(Inputs!$E$29-Inputs!$D$29)/(Inputs!$F$29-Inputs!$D$29),Inputs!$D$29+SQRT(R363*(Inputs!$F$29-Inputs!$D$29)*(Inputs!$E$29-Inputs!$D$29)),Inputs!$F$29-SQRT((1-R363)*(Inputs!$F$29-Inputs!$D$29)*(Inputs!$F$29-Inputs!$E$29)))</f>
        <v>6.40700431036148</v>
      </c>
      <c r="T363" s="68" t="n">
        <f aca="false">Inputs!$E$9*(1+E363)+Inputs!$E$5*C363*(Inputs!$E$11*Inputs!$E$14*(G363*I363/Inputs!$E$16+(1-G363))*K363+Inputs!$E$23*M363)*(1+O363)+Inputs!$E$5*(Q363+S363)</f>
        <v>6463.49115462912</v>
      </c>
    </row>
    <row r="364" customFormat="false" ht="15" hidden="false" customHeight="false" outlineLevel="0" collapsed="false">
      <c r="A364" s="1" t="n">
        <v>360</v>
      </c>
      <c r="B364" s="81" t="n">
        <f aca="true">RAND()</f>
        <v>0.119674440546682</v>
      </c>
      <c r="C364" s="82" t="n">
        <f aca="false">ROUND(IF(B364&lt;(Inputs!$E$8-Inputs!$D$8)/(Inputs!$F$8-Inputs!$D$8),Inputs!$D$8+SQRT(B364*(Inputs!$F$8-Inputs!$D$8)*(Inputs!$E$8-Inputs!$D$8)),Inputs!$F$8-SQRT((1-B364)*(Inputs!$F$8-Inputs!$D$8)*(Inputs!$F$8-Inputs!$E$8))),0)</f>
        <v>22</v>
      </c>
      <c r="D364" s="81" t="n">
        <f aca="true">RAND()</f>
        <v>0.878899401340746</v>
      </c>
      <c r="E364" s="83" t="n">
        <f aca="false">IF(D364&lt;(Inputs!$E$10-Inputs!$D$10)/(Inputs!$F$10-Inputs!$D$10),Inputs!$D$10+SQRT(D364*(Inputs!$F$10-Inputs!$D$10)*(Inputs!$E$10-Inputs!$D$10)),Inputs!$F$10-SQRT((1-D364)*(Inputs!$F$10-Inputs!$D$10)*(Inputs!$F$10-Inputs!$E$10)))</f>
        <v>0.139725478352976</v>
      </c>
      <c r="F364" s="81" t="n">
        <f aca="true">RAND()</f>
        <v>0.284446456840735</v>
      </c>
      <c r="G364" s="83" t="n">
        <f aca="false">IF(F364&lt;(Inputs!$E$15-Inputs!$D$15)/(Inputs!$F$15-Inputs!$D$15),Inputs!$D$15+SQRT(F364*(Inputs!$F$15-Inputs!$D$15)*(Inputs!$E$15-Inputs!$D$15)),Inputs!$F$15-SQRT((1-F364)*(Inputs!$F$15-Inputs!$D$15)*(Inputs!$F$15-Inputs!$E$15)))</f>
        <v>0.675424990134668</v>
      </c>
      <c r="H364" s="81" t="n">
        <f aca="true">RAND()</f>
        <v>0.246180395341736</v>
      </c>
      <c r="I364" s="82" t="n">
        <f aca="false">ROUND(IF(H364&lt;(Inputs!$E$17-Inputs!$D$17)/(Inputs!$F$17-Inputs!$D$17),Inputs!$D$17+SQRT(H364*(Inputs!$F$17-Inputs!$D$17)*(Inputs!$E$17-Inputs!$D$17)),Inputs!$F$17-SQRT((1-H364)*(Inputs!$F$17-Inputs!$D$17)*(Inputs!$F$17-Inputs!$E$17))),0)</f>
        <v>104</v>
      </c>
      <c r="J364" s="81" t="n">
        <f aca="true">RAND()</f>
        <v>0.0766183618065159</v>
      </c>
      <c r="K364" s="83" t="n">
        <f aca="false">IF(J364&lt;(Inputs!$E$18-Inputs!$D$18)/(Inputs!$F$18-Inputs!$D$18),Inputs!$D$18+SQRT(J364*(Inputs!$F$18-Inputs!$D$18)*(Inputs!$E$18-Inputs!$D$18)),Inputs!$F$18-SQRT((1-J364)*(Inputs!$F$18-Inputs!$D$18)*(Inputs!$F$18-Inputs!$E$18)))</f>
        <v>0.951784579396072</v>
      </c>
      <c r="L364" s="81" t="n">
        <f aca="true">RAND()</f>
        <v>0.45869102430323</v>
      </c>
      <c r="M364" s="83" t="n">
        <f aca="false">IF(L364&lt;(Inputs!$E$24-Inputs!$D$24)/(Inputs!$F$24-Inputs!$D$24),Inputs!$D$24+SQRT(L364*(Inputs!$F$24-Inputs!$D$24)*(Inputs!$E$24-Inputs!$D$24)),Inputs!$F$24-SQRT((1-L364)*(Inputs!$F$24-Inputs!$D$24)*(Inputs!$F$24-Inputs!$E$24)))</f>
        <v>0.839563938864013</v>
      </c>
      <c r="N364" s="81" t="n">
        <f aca="true">RAND()</f>
        <v>0.698106097858327</v>
      </c>
      <c r="O364" s="83" t="n">
        <f aca="false">IF(N364&lt;(Inputs!$E$26-Inputs!$D$26)/(Inputs!$F$26-Inputs!$D$26),Inputs!$D$26+SQRT(N364*(Inputs!$F$26-Inputs!$D$26)*(Inputs!$E$26-Inputs!$D$26)),Inputs!$F$26-SQRT((1-N364)*(Inputs!$F$26-Inputs!$D$26)*(Inputs!$F$26-Inputs!$E$26)))</f>
        <v>0.642808110166594</v>
      </c>
      <c r="P364" s="81" t="n">
        <f aca="true">RAND()</f>
        <v>0.196390323931485</v>
      </c>
      <c r="Q364" s="82" t="n">
        <f aca="false">IF(P364&lt;(Inputs!$E$27-Inputs!$D$27)/(Inputs!$F$27-Inputs!$D$27),Inputs!$D$27+SQRT(P364*(Inputs!$F$27-Inputs!$D$27)*(Inputs!$E$27-Inputs!$D$27)),Inputs!$F$27-SQRT((1-P364)*(Inputs!$F$27-Inputs!$D$27)*(Inputs!$F$27-Inputs!$E$27)))</f>
        <v>72.1579739558632</v>
      </c>
      <c r="R364" s="81" t="n">
        <f aca="true">RAND()</f>
        <v>0.944343380548046</v>
      </c>
      <c r="S364" s="82" t="n">
        <f aca="false">IF(R364&lt;(Inputs!$E$29-Inputs!$D$29)/(Inputs!$F$29-Inputs!$D$29),Inputs!$D$29+SQRT(R364*(Inputs!$F$29-Inputs!$D$29)*(Inputs!$E$29-Inputs!$D$29)),Inputs!$F$29-SQRT((1-R364)*(Inputs!$F$29-Inputs!$D$29)*(Inputs!$F$29-Inputs!$E$29)))</f>
        <v>12.3101374516987</v>
      </c>
      <c r="T364" s="68" t="n">
        <f aca="false">Inputs!$E$9*(1+E364)+Inputs!$E$5*C364*(Inputs!$E$11*Inputs!$E$14*(G364*I364/Inputs!$E$16+(1-G364))*K364+Inputs!$E$23*M364)*(1+O364)+Inputs!$E$5*(Q364+S364)</f>
        <v>5877.25882943123</v>
      </c>
    </row>
    <row r="365" customFormat="false" ht="15" hidden="false" customHeight="false" outlineLevel="0" collapsed="false">
      <c r="A365" s="1" t="n">
        <v>361</v>
      </c>
      <c r="B365" s="81" t="n">
        <f aca="true">RAND()</f>
        <v>0.0600975067743299</v>
      </c>
      <c r="C365" s="82" t="n">
        <f aca="false">ROUND(IF(B365&lt;(Inputs!$E$8-Inputs!$D$8)/(Inputs!$F$8-Inputs!$D$8),Inputs!$D$8+SQRT(B365*(Inputs!$F$8-Inputs!$D$8)*(Inputs!$E$8-Inputs!$D$8)),Inputs!$F$8-SQRT((1-B365)*(Inputs!$F$8-Inputs!$D$8)*(Inputs!$F$8-Inputs!$E$8))),0)</f>
        <v>22</v>
      </c>
      <c r="D365" s="81" t="n">
        <f aca="true">RAND()</f>
        <v>0.757134387723288</v>
      </c>
      <c r="E365" s="83" t="n">
        <f aca="false">IF(D365&lt;(Inputs!$E$10-Inputs!$D$10)/(Inputs!$F$10-Inputs!$D$10),Inputs!$D$10+SQRT(D365*(Inputs!$F$10-Inputs!$D$10)*(Inputs!$E$10-Inputs!$D$10)),Inputs!$F$10-SQRT((1-D365)*(Inputs!$F$10-Inputs!$D$10)*(Inputs!$F$10-Inputs!$E$10)))</f>
        <v>0.114642115956982</v>
      </c>
      <c r="F365" s="81" t="n">
        <f aca="true">RAND()</f>
        <v>0.531192176363263</v>
      </c>
      <c r="G365" s="83" t="n">
        <f aca="false">IF(F365&lt;(Inputs!$E$15-Inputs!$D$15)/(Inputs!$F$15-Inputs!$D$15),Inputs!$D$15+SQRT(F365*(Inputs!$F$15-Inputs!$D$15)*(Inputs!$E$15-Inputs!$D$15)),Inputs!$F$15-SQRT((1-F365)*(Inputs!$F$15-Inputs!$D$15)*(Inputs!$F$15-Inputs!$E$15)))</f>
        <v>0.703169444529453</v>
      </c>
      <c r="H365" s="81" t="n">
        <f aca="true">RAND()</f>
        <v>0.936606203387625</v>
      </c>
      <c r="I365" s="82" t="n">
        <f aca="false">ROUND(IF(H365&lt;(Inputs!$E$17-Inputs!$D$17)/(Inputs!$F$17-Inputs!$D$17),Inputs!$D$17+SQRT(H365*(Inputs!$F$17-Inputs!$D$17)*(Inputs!$E$17-Inputs!$D$17)),Inputs!$F$17-SQRT((1-H365)*(Inputs!$F$17-Inputs!$D$17)*(Inputs!$F$17-Inputs!$E$17))),0)</f>
        <v>112</v>
      </c>
      <c r="J365" s="81" t="n">
        <f aca="true">RAND()</f>
        <v>0.115547093401807</v>
      </c>
      <c r="K365" s="83" t="n">
        <f aca="false">IF(J365&lt;(Inputs!$E$18-Inputs!$D$18)/(Inputs!$F$18-Inputs!$D$18),Inputs!$D$18+SQRT(J365*(Inputs!$F$18-Inputs!$D$18)*(Inputs!$E$18-Inputs!$D$18)),Inputs!$F$18-SQRT((1-J365)*(Inputs!$F$18-Inputs!$D$18)*(Inputs!$F$18-Inputs!$E$18)))</f>
        <v>0.963593618147289</v>
      </c>
      <c r="L365" s="81" t="n">
        <f aca="true">RAND()</f>
        <v>0.876731710151891</v>
      </c>
      <c r="M365" s="83" t="n">
        <f aca="false">IF(L365&lt;(Inputs!$E$24-Inputs!$D$24)/(Inputs!$F$24-Inputs!$D$24),Inputs!$D$24+SQRT(L365*(Inputs!$F$24-Inputs!$D$24)*(Inputs!$E$24-Inputs!$D$24)),Inputs!$F$24-SQRT((1-L365)*(Inputs!$F$24-Inputs!$D$24)*(Inputs!$F$24-Inputs!$E$24)))</f>
        <v>1.02799886755156</v>
      </c>
      <c r="N365" s="81" t="n">
        <f aca="true">RAND()</f>
        <v>0.128315104903773</v>
      </c>
      <c r="O365" s="83" t="n">
        <f aca="false">IF(N365&lt;(Inputs!$E$26-Inputs!$D$26)/(Inputs!$F$26-Inputs!$D$26),Inputs!$D$26+SQRT(N365*(Inputs!$F$26-Inputs!$D$26)*(Inputs!$E$26-Inputs!$D$26)),Inputs!$F$26-SQRT((1-N365)*(Inputs!$F$26-Inputs!$D$26)*(Inputs!$F$26-Inputs!$E$26)))</f>
        <v>0.446121981426437</v>
      </c>
      <c r="P365" s="81" t="n">
        <f aca="true">RAND()</f>
        <v>0.638407213373823</v>
      </c>
      <c r="Q365" s="82" t="n">
        <f aca="false">IF(P365&lt;(Inputs!$E$27-Inputs!$D$27)/(Inputs!$F$27-Inputs!$D$27),Inputs!$D$27+SQRT(P365*(Inputs!$F$27-Inputs!$D$27)*(Inputs!$E$27-Inputs!$D$27)),Inputs!$F$27-SQRT((1-P365)*(Inputs!$F$27-Inputs!$D$27)*(Inputs!$F$27-Inputs!$E$27)))</f>
        <v>97.9236531648357</v>
      </c>
      <c r="R365" s="81" t="n">
        <f aca="true">RAND()</f>
        <v>0.841535807401766</v>
      </c>
      <c r="S365" s="82" t="n">
        <f aca="false">IF(R365&lt;(Inputs!$E$29-Inputs!$D$29)/(Inputs!$F$29-Inputs!$D$29),Inputs!$D$29+SQRT(R365*(Inputs!$F$29-Inputs!$D$29)*(Inputs!$E$29-Inputs!$D$29)),Inputs!$F$29-SQRT((1-R365)*(Inputs!$F$29-Inputs!$D$29)*(Inputs!$F$29-Inputs!$E$29)))</f>
        <v>10.4612397025432</v>
      </c>
      <c r="T365" s="68" t="n">
        <f aca="false">Inputs!$E$9*(1+E365)+Inputs!$E$5*C365*(Inputs!$E$11*Inputs!$E$14*(G365*I365/Inputs!$E$16+(1-G365))*K365+Inputs!$E$23*M365)*(1+O365)+Inputs!$E$5*(Q365+S365)</f>
        <v>5865.98344289577</v>
      </c>
    </row>
    <row r="366" customFormat="false" ht="15" hidden="false" customHeight="false" outlineLevel="0" collapsed="false">
      <c r="A366" s="1" t="n">
        <v>362</v>
      </c>
      <c r="B366" s="81" t="n">
        <f aca="true">RAND()</f>
        <v>0.173347407447068</v>
      </c>
      <c r="C366" s="82" t="n">
        <f aca="false">ROUND(IF(B366&lt;(Inputs!$E$8-Inputs!$D$8)/(Inputs!$F$8-Inputs!$D$8),Inputs!$D$8+SQRT(B366*(Inputs!$F$8-Inputs!$D$8)*(Inputs!$E$8-Inputs!$D$8)),Inputs!$F$8-SQRT((1-B366)*(Inputs!$F$8-Inputs!$D$8)*(Inputs!$F$8-Inputs!$E$8))),0)</f>
        <v>23</v>
      </c>
      <c r="D366" s="81" t="n">
        <f aca="true">RAND()</f>
        <v>0.433229842956167</v>
      </c>
      <c r="E366" s="83" t="n">
        <f aca="false">IF(D366&lt;(Inputs!$E$10-Inputs!$D$10)/(Inputs!$F$10-Inputs!$D$10),Inputs!$D$10+SQRT(D366*(Inputs!$F$10-Inputs!$D$10)*(Inputs!$E$10-Inputs!$D$10)),Inputs!$F$10-SQRT((1-D366)*(Inputs!$F$10-Inputs!$D$10)*(Inputs!$F$10-Inputs!$E$10)))</f>
        <v>0.0696040464151016</v>
      </c>
      <c r="F366" s="81" t="n">
        <f aca="true">RAND()</f>
        <v>0.687858741188359</v>
      </c>
      <c r="G366" s="83" t="n">
        <f aca="false">IF(F366&lt;(Inputs!$E$15-Inputs!$D$15)/(Inputs!$F$15-Inputs!$D$15),Inputs!$D$15+SQRT(F366*(Inputs!$F$15-Inputs!$D$15)*(Inputs!$E$15-Inputs!$D$15)),Inputs!$F$15-SQRT((1-F366)*(Inputs!$F$15-Inputs!$D$15)*(Inputs!$F$15-Inputs!$E$15)))</f>
        <v>0.720988449096143</v>
      </c>
      <c r="H366" s="81" t="n">
        <f aca="true">RAND()</f>
        <v>0.813025988227546</v>
      </c>
      <c r="I366" s="82" t="n">
        <f aca="false">ROUND(IF(H366&lt;(Inputs!$E$17-Inputs!$D$17)/(Inputs!$F$17-Inputs!$D$17),Inputs!$D$17+SQRT(H366*(Inputs!$F$17-Inputs!$D$17)*(Inputs!$E$17-Inputs!$D$17)),Inputs!$F$17-SQRT((1-H366)*(Inputs!$F$17-Inputs!$D$17)*(Inputs!$F$17-Inputs!$E$17))),0)</f>
        <v>110</v>
      </c>
      <c r="J366" s="81" t="n">
        <f aca="true">RAND()</f>
        <v>0.80078993564566</v>
      </c>
      <c r="K366" s="83" t="n">
        <f aca="false">IF(J366&lt;(Inputs!$E$18-Inputs!$D$18)/(Inputs!$F$18-Inputs!$D$18),Inputs!$D$18+SQRT(J366*(Inputs!$F$18-Inputs!$D$18)*(Inputs!$E$18-Inputs!$D$18)),Inputs!$F$18-SQRT((1-J366)*(Inputs!$F$18-Inputs!$D$18)*(Inputs!$F$18-Inputs!$E$18)))</f>
        <v>1.11797393957629</v>
      </c>
      <c r="L366" s="81" t="n">
        <f aca="true">RAND()</f>
        <v>0.619129773912534</v>
      </c>
      <c r="M366" s="83" t="n">
        <f aca="false">IF(L366&lt;(Inputs!$E$24-Inputs!$D$24)/(Inputs!$F$24-Inputs!$D$24),Inputs!$D$24+SQRT(L366*(Inputs!$F$24-Inputs!$D$24)*(Inputs!$E$24-Inputs!$D$24)),Inputs!$F$24-SQRT((1-L366)*(Inputs!$F$24-Inputs!$D$24)*(Inputs!$F$24-Inputs!$E$24)))</f>
        <v>0.897661027551869</v>
      </c>
      <c r="N366" s="81" t="n">
        <f aca="true">RAND()</f>
        <v>0.870470648881102</v>
      </c>
      <c r="O366" s="83" t="n">
        <f aca="false">IF(N366&lt;(Inputs!$E$26-Inputs!$D$26)/(Inputs!$F$26-Inputs!$D$26),Inputs!$D$26+SQRT(N366*(Inputs!$F$26-Inputs!$D$26)*(Inputs!$E$26-Inputs!$D$26)),Inputs!$F$26-SQRT((1-N366)*(Inputs!$F$26-Inputs!$D$26)*(Inputs!$F$26-Inputs!$E$26)))</f>
        <v>0.703935136598687</v>
      </c>
      <c r="P366" s="81" t="n">
        <f aca="true">RAND()</f>
        <v>0.476813042081555</v>
      </c>
      <c r="Q366" s="82" t="n">
        <f aca="false">IF(P366&lt;(Inputs!$E$27-Inputs!$D$27)/(Inputs!$F$27-Inputs!$D$27),Inputs!$D$27+SQRT(P366*(Inputs!$F$27-Inputs!$D$27)*(Inputs!$E$27-Inputs!$D$27)),Inputs!$F$27-SQRT((1-P366)*(Inputs!$F$27-Inputs!$D$27)*(Inputs!$F$27-Inputs!$E$27)))</f>
        <v>87.3589417044353</v>
      </c>
      <c r="R366" s="81" t="n">
        <f aca="true">RAND()</f>
        <v>0.861615441712825</v>
      </c>
      <c r="S366" s="82" t="n">
        <f aca="false">IF(R366&lt;(Inputs!$E$29-Inputs!$D$29)/(Inputs!$F$29-Inputs!$D$29),Inputs!$D$29+SQRT(R366*(Inputs!$F$29-Inputs!$D$29)*(Inputs!$E$29-Inputs!$D$29)),Inputs!$F$29-SQRT((1-R366)*(Inputs!$F$29-Inputs!$D$29)*(Inputs!$F$29-Inputs!$E$29)))</f>
        <v>10.7585388629232</v>
      </c>
      <c r="T366" s="68" t="n">
        <f aca="false">Inputs!$E$9*(1+E366)+Inputs!$E$5*C366*(Inputs!$E$11*Inputs!$E$14*(G366*I366/Inputs!$E$16+(1-G366))*K366+Inputs!$E$23*M366)*(1+O366)+Inputs!$E$5*(Q366+S366)</f>
        <v>6485.88962326205</v>
      </c>
    </row>
    <row r="367" customFormat="false" ht="15" hidden="false" customHeight="false" outlineLevel="0" collapsed="false">
      <c r="A367" s="1" t="n">
        <v>363</v>
      </c>
      <c r="B367" s="81" t="n">
        <f aca="true">RAND()</f>
        <v>0.675919926626075</v>
      </c>
      <c r="C367" s="82" t="n">
        <f aca="false">ROUND(IF(B367&lt;(Inputs!$E$8-Inputs!$D$8)/(Inputs!$F$8-Inputs!$D$8),Inputs!$D$8+SQRT(B367*(Inputs!$F$8-Inputs!$D$8)*(Inputs!$E$8-Inputs!$D$8)),Inputs!$F$8-SQRT((1-B367)*(Inputs!$F$8-Inputs!$D$8)*(Inputs!$F$8-Inputs!$E$8))),0)</f>
        <v>26</v>
      </c>
      <c r="D367" s="81" t="n">
        <f aca="true">RAND()</f>
        <v>0.606711815017431</v>
      </c>
      <c r="E367" s="83" t="n">
        <f aca="false">IF(D367&lt;(Inputs!$E$10-Inputs!$D$10)/(Inputs!$F$10-Inputs!$D$10),Inputs!$D$10+SQRT(D367*(Inputs!$F$10-Inputs!$D$10)*(Inputs!$E$10-Inputs!$D$10)),Inputs!$F$10-SQRT((1-D367)*(Inputs!$F$10-Inputs!$D$10)*(Inputs!$F$10-Inputs!$E$10)))</f>
        <v>0.0913784296307724</v>
      </c>
      <c r="F367" s="81" t="n">
        <f aca="true">RAND()</f>
        <v>0.274119844962101</v>
      </c>
      <c r="G367" s="83" t="n">
        <f aca="false">IF(F367&lt;(Inputs!$E$15-Inputs!$D$15)/(Inputs!$F$15-Inputs!$D$15),Inputs!$D$15+SQRT(F367*(Inputs!$F$15-Inputs!$D$15)*(Inputs!$E$15-Inputs!$D$15)),Inputs!$F$15-SQRT((1-F367)*(Inputs!$F$15-Inputs!$D$15)*(Inputs!$F$15-Inputs!$E$15)))</f>
        <v>0.674043209676796</v>
      </c>
      <c r="H367" s="81" t="n">
        <f aca="true">RAND()</f>
        <v>0.0802102018446883</v>
      </c>
      <c r="I367" s="82" t="n">
        <f aca="false">ROUND(IF(H367&lt;(Inputs!$E$17-Inputs!$D$17)/(Inputs!$F$17-Inputs!$D$17),Inputs!$D$17+SQRT(H367*(Inputs!$F$17-Inputs!$D$17)*(Inputs!$E$17-Inputs!$D$17)),Inputs!$F$17-SQRT((1-H367)*(Inputs!$F$17-Inputs!$D$17)*(Inputs!$F$17-Inputs!$E$17))),0)</f>
        <v>102</v>
      </c>
      <c r="J367" s="81" t="n">
        <f aca="true">RAND()</f>
        <v>0.18957536565215</v>
      </c>
      <c r="K367" s="83" t="n">
        <f aca="false">IF(J367&lt;(Inputs!$E$18-Inputs!$D$18)/(Inputs!$F$18-Inputs!$D$18),Inputs!$D$18+SQRT(J367*(Inputs!$F$18-Inputs!$D$18)*(Inputs!$E$18-Inputs!$D$18)),Inputs!$F$18-SQRT((1-J367)*(Inputs!$F$18-Inputs!$D$18)*(Inputs!$F$18-Inputs!$E$18)))</f>
        <v>0.981456355171498</v>
      </c>
      <c r="L367" s="81" t="n">
        <f aca="true">RAND()</f>
        <v>0.554615186812534</v>
      </c>
      <c r="M367" s="83" t="n">
        <f aca="false">IF(L367&lt;(Inputs!$E$24-Inputs!$D$24)/(Inputs!$F$24-Inputs!$D$24),Inputs!$D$24+SQRT(L367*(Inputs!$F$24-Inputs!$D$24)*(Inputs!$E$24-Inputs!$D$24)),Inputs!$F$24-SQRT((1-L367)*(Inputs!$F$24-Inputs!$D$24)*(Inputs!$F$24-Inputs!$E$24)))</f>
        <v>0.873056036659198</v>
      </c>
      <c r="N367" s="81" t="n">
        <f aca="true">RAND()</f>
        <v>0.390110637048351</v>
      </c>
      <c r="O367" s="83" t="n">
        <f aca="false">IF(N367&lt;(Inputs!$E$26-Inputs!$D$26)/(Inputs!$F$26-Inputs!$D$26),Inputs!$D$26+SQRT(N367*(Inputs!$F$26-Inputs!$D$26)*(Inputs!$E$26-Inputs!$D$26)),Inputs!$F$26-SQRT((1-N367)*(Inputs!$F$26-Inputs!$D$26)*(Inputs!$F$26-Inputs!$E$26)))</f>
        <v>0.554783064595835</v>
      </c>
      <c r="P367" s="81" t="n">
        <f aca="true">RAND()</f>
        <v>0.851580978681253</v>
      </c>
      <c r="Q367" s="82" t="n">
        <f aca="false">IF(P367&lt;(Inputs!$E$27-Inputs!$D$27)/(Inputs!$F$27-Inputs!$D$27),Inputs!$D$27+SQRT(P367*(Inputs!$F$27-Inputs!$D$27)*(Inputs!$E$27-Inputs!$D$27)),Inputs!$F$27-SQRT((1-P367)*(Inputs!$F$27-Inputs!$D$27)*(Inputs!$F$27-Inputs!$E$27)))</f>
        <v>116.636207351522</v>
      </c>
      <c r="R367" s="81" t="n">
        <f aca="true">RAND()</f>
        <v>0.936843535563227</v>
      </c>
      <c r="S367" s="82" t="n">
        <f aca="false">IF(R367&lt;(Inputs!$E$29-Inputs!$D$29)/(Inputs!$F$29-Inputs!$D$29),Inputs!$D$29+SQRT(R367*(Inputs!$F$29-Inputs!$D$29)*(Inputs!$E$29-Inputs!$D$29)),Inputs!$F$29-SQRT((1-R367)*(Inputs!$F$29-Inputs!$D$29)*(Inputs!$F$29-Inputs!$E$29)))</f>
        <v>12.134630848079</v>
      </c>
      <c r="T367" s="68" t="n">
        <f aca="false">Inputs!$E$9*(1+E367)+Inputs!$E$5*C367*(Inputs!$E$11*Inputs!$E$14*(G367*I367/Inputs!$E$16+(1-G367))*K367+Inputs!$E$23*M367)*(1+O367)+Inputs!$E$5*(Q367+S367)</f>
        <v>6434.58074086773</v>
      </c>
    </row>
    <row r="368" customFormat="false" ht="15" hidden="false" customHeight="false" outlineLevel="0" collapsed="false">
      <c r="A368" s="1" t="n">
        <v>364</v>
      </c>
      <c r="B368" s="81" t="n">
        <f aca="true">RAND()</f>
        <v>0.386828001125027</v>
      </c>
      <c r="C368" s="82" t="n">
        <f aca="false">ROUND(IF(B368&lt;(Inputs!$E$8-Inputs!$D$8)/(Inputs!$F$8-Inputs!$D$8),Inputs!$D$8+SQRT(B368*(Inputs!$F$8-Inputs!$D$8)*(Inputs!$E$8-Inputs!$D$8)),Inputs!$F$8-SQRT((1-B368)*(Inputs!$F$8-Inputs!$D$8)*(Inputs!$F$8-Inputs!$E$8))),0)</f>
        <v>24</v>
      </c>
      <c r="D368" s="81" t="n">
        <f aca="true">RAND()</f>
        <v>0.216314308697589</v>
      </c>
      <c r="E368" s="83" t="n">
        <f aca="false">IF(D368&lt;(Inputs!$E$10-Inputs!$D$10)/(Inputs!$F$10-Inputs!$D$10),Inputs!$D$10+SQRT(D368*(Inputs!$F$10-Inputs!$D$10)*(Inputs!$E$10-Inputs!$D$10)),Inputs!$F$10-SQRT((1-D368)*(Inputs!$F$10-Inputs!$D$10)*(Inputs!$F$10-Inputs!$E$10)))</f>
        <v>0.0465096020943621</v>
      </c>
      <c r="F368" s="81" t="n">
        <f aca="true">RAND()</f>
        <v>0.631247836782306</v>
      </c>
      <c r="G368" s="83" t="n">
        <f aca="false">IF(F368&lt;(Inputs!$E$15-Inputs!$D$15)/(Inputs!$F$15-Inputs!$D$15),Inputs!$D$15+SQRT(F368*(Inputs!$F$15-Inputs!$D$15)*(Inputs!$E$15-Inputs!$D$15)),Inputs!$F$15-SQRT((1-F368)*(Inputs!$F$15-Inputs!$D$15)*(Inputs!$F$15-Inputs!$E$15)))</f>
        <v>0.714121927918974</v>
      </c>
      <c r="H368" s="81" t="n">
        <f aca="true">RAND()</f>
        <v>0.255505251964619</v>
      </c>
      <c r="I368" s="82" t="n">
        <f aca="false">ROUND(IF(H368&lt;(Inputs!$E$17-Inputs!$D$17)/(Inputs!$F$17-Inputs!$D$17),Inputs!$D$17+SQRT(H368*(Inputs!$F$17-Inputs!$D$17)*(Inputs!$E$17-Inputs!$D$17)),Inputs!$F$17-SQRT((1-H368)*(Inputs!$F$17-Inputs!$D$17)*(Inputs!$F$17-Inputs!$E$17))),0)</f>
        <v>104</v>
      </c>
      <c r="J368" s="81" t="n">
        <f aca="true">RAND()</f>
        <v>0.291111798689006</v>
      </c>
      <c r="K368" s="83" t="n">
        <f aca="false">IF(J368&lt;(Inputs!$E$18-Inputs!$D$18)/(Inputs!$F$18-Inputs!$D$18),Inputs!$D$18+SQRT(J368*(Inputs!$F$18-Inputs!$D$18)*(Inputs!$E$18-Inputs!$D$18)),Inputs!$F$18-SQRT((1-J368)*(Inputs!$F$18-Inputs!$D$18)*(Inputs!$F$18-Inputs!$E$18)))</f>
        <v>1.00094635594974</v>
      </c>
      <c r="L368" s="81" t="n">
        <f aca="true">RAND()</f>
        <v>0.0682136186410326</v>
      </c>
      <c r="M368" s="83" t="n">
        <f aca="false">IF(L368&lt;(Inputs!$E$24-Inputs!$D$24)/(Inputs!$F$24-Inputs!$D$24),Inputs!$D$24+SQRT(L368*(Inputs!$F$24-Inputs!$D$24)*(Inputs!$E$24-Inputs!$D$24)),Inputs!$F$24-SQRT((1-L368)*(Inputs!$F$24-Inputs!$D$24)*(Inputs!$F$24-Inputs!$E$24)))</f>
        <v>0.690474494952577</v>
      </c>
      <c r="N368" s="81" t="n">
        <f aca="true">RAND()</f>
        <v>0.500506840170445</v>
      </c>
      <c r="O368" s="83" t="n">
        <f aca="false">IF(N368&lt;(Inputs!$E$26-Inputs!$D$26)/(Inputs!$F$26-Inputs!$D$26),Inputs!$D$26+SQRT(N368*(Inputs!$F$26-Inputs!$D$26)*(Inputs!$E$26-Inputs!$D$26)),Inputs!$F$26-SQRT((1-N368)*(Inputs!$F$26-Inputs!$D$26)*(Inputs!$F$26-Inputs!$E$26)))</f>
        <v>0.588590260064962</v>
      </c>
      <c r="P368" s="81" t="n">
        <f aca="true">RAND()</f>
        <v>0.422269012896107</v>
      </c>
      <c r="Q368" s="82" t="n">
        <f aca="false">IF(P368&lt;(Inputs!$E$27-Inputs!$D$27)/(Inputs!$F$27-Inputs!$D$27),Inputs!$D$27+SQRT(P368*(Inputs!$F$27-Inputs!$D$27)*(Inputs!$E$27-Inputs!$D$27)),Inputs!$F$27-SQRT((1-P368)*(Inputs!$F$27-Inputs!$D$27)*(Inputs!$F$27-Inputs!$E$27)))</f>
        <v>84.1746066986365</v>
      </c>
      <c r="R368" s="81" t="n">
        <f aca="true">RAND()</f>
        <v>0.0843891726097757</v>
      </c>
      <c r="S368" s="82" t="n">
        <f aca="false">IF(R368&lt;(Inputs!$E$29-Inputs!$D$29)/(Inputs!$F$29-Inputs!$D$29),Inputs!$D$29+SQRT(R368*(Inputs!$F$29-Inputs!$D$29)*(Inputs!$E$29-Inputs!$D$29)),Inputs!$F$29-SQRT((1-R368)*(Inputs!$F$29-Inputs!$D$29)*(Inputs!$F$29-Inputs!$E$29)))</f>
        <v>3.81416033794735</v>
      </c>
      <c r="T368" s="68" t="n">
        <f aca="false">Inputs!$E$9*(1+E368)+Inputs!$E$5*C368*(Inputs!$E$11*Inputs!$E$14*(G368*I368/Inputs!$E$16+(1-G368))*K368+Inputs!$E$23*M368)*(1+O368)+Inputs!$E$5*(Q368+S368)</f>
        <v>5700.83789725913</v>
      </c>
    </row>
    <row r="369" customFormat="false" ht="15" hidden="false" customHeight="false" outlineLevel="0" collapsed="false">
      <c r="A369" s="1" t="n">
        <v>365</v>
      </c>
      <c r="B369" s="81" t="n">
        <f aca="true">RAND()</f>
        <v>0.521102874691119</v>
      </c>
      <c r="C369" s="82" t="n">
        <f aca="false">ROUND(IF(B369&lt;(Inputs!$E$8-Inputs!$D$8)/(Inputs!$F$8-Inputs!$D$8),Inputs!$D$8+SQRT(B369*(Inputs!$F$8-Inputs!$D$8)*(Inputs!$E$8-Inputs!$D$8)),Inputs!$F$8-SQRT((1-B369)*(Inputs!$F$8-Inputs!$D$8)*(Inputs!$F$8-Inputs!$E$8))),0)</f>
        <v>25</v>
      </c>
      <c r="D369" s="81" t="n">
        <f aca="true">RAND()</f>
        <v>0.817375923410249</v>
      </c>
      <c r="E369" s="83" t="n">
        <f aca="false">IF(D369&lt;(Inputs!$E$10-Inputs!$D$10)/(Inputs!$F$10-Inputs!$D$10),Inputs!$D$10+SQRT(D369*(Inputs!$F$10-Inputs!$D$10)*(Inputs!$E$10-Inputs!$D$10)),Inputs!$F$10-SQRT((1-D369)*(Inputs!$F$10-Inputs!$D$10)*(Inputs!$F$10-Inputs!$E$10)))</f>
        <v>0.125981608382156</v>
      </c>
      <c r="F369" s="81" t="n">
        <f aca="true">RAND()</f>
        <v>0.377803805548622</v>
      </c>
      <c r="G369" s="83" t="n">
        <f aca="false">IF(F369&lt;(Inputs!$E$15-Inputs!$D$15)/(Inputs!$F$15-Inputs!$D$15),Inputs!$D$15+SQRT(F369*(Inputs!$F$15-Inputs!$D$15)*(Inputs!$E$15-Inputs!$D$15)),Inputs!$F$15-SQRT((1-F369)*(Inputs!$F$15-Inputs!$D$15)*(Inputs!$F$15-Inputs!$E$15)))</f>
        <v>0.686925693042808</v>
      </c>
      <c r="H369" s="81" t="n">
        <f aca="true">RAND()</f>
        <v>0.530740420324997</v>
      </c>
      <c r="I369" s="82" t="n">
        <f aca="false">ROUND(IF(H369&lt;(Inputs!$E$17-Inputs!$D$17)/(Inputs!$F$17-Inputs!$D$17),Inputs!$D$17+SQRT(H369*(Inputs!$F$17-Inputs!$D$17)*(Inputs!$E$17-Inputs!$D$17)),Inputs!$F$17-SQRT((1-H369)*(Inputs!$F$17-Inputs!$D$17)*(Inputs!$F$17-Inputs!$E$17))),0)</f>
        <v>107</v>
      </c>
      <c r="J369" s="81" t="n">
        <f aca="true">RAND()</f>
        <v>0.450936547904414</v>
      </c>
      <c r="K369" s="83" t="n">
        <f aca="false">IF(J369&lt;(Inputs!$E$18-Inputs!$D$18)/(Inputs!$F$18-Inputs!$D$18),Inputs!$D$18+SQRT(J369*(Inputs!$F$18-Inputs!$D$18)*(Inputs!$E$18-Inputs!$D$18)),Inputs!$F$18-SQRT((1-J369)*(Inputs!$F$18-Inputs!$D$18)*(Inputs!$F$18-Inputs!$E$18)))</f>
        <v>1.03081274658785</v>
      </c>
      <c r="L369" s="81" t="n">
        <f aca="true">RAND()</f>
        <v>0.490179527863164</v>
      </c>
      <c r="M369" s="83" t="n">
        <f aca="false">IF(L369&lt;(Inputs!$E$24-Inputs!$D$24)/(Inputs!$F$24-Inputs!$D$24),Inputs!$D$24+SQRT(L369*(Inputs!$F$24-Inputs!$D$24)*(Inputs!$E$24-Inputs!$D$24)),Inputs!$F$24-SQRT((1-L369)*(Inputs!$F$24-Inputs!$D$24)*(Inputs!$F$24-Inputs!$E$24)))</f>
        <v>0.85020446927835</v>
      </c>
      <c r="N369" s="81" t="n">
        <f aca="true">RAND()</f>
        <v>0.908426285871542</v>
      </c>
      <c r="O369" s="83" t="n">
        <f aca="false">IF(N369&lt;(Inputs!$E$26-Inputs!$D$26)/(Inputs!$F$26-Inputs!$D$26),Inputs!$D$26+SQRT(N369*(Inputs!$F$26-Inputs!$D$26)*(Inputs!$E$26-Inputs!$D$26)),Inputs!$F$26-SQRT((1-N369)*(Inputs!$F$26-Inputs!$D$26)*(Inputs!$F$26-Inputs!$E$26)))</f>
        <v>0.722410726668554</v>
      </c>
      <c r="P369" s="81" t="n">
        <f aca="true">RAND()</f>
        <v>0.46453202896644</v>
      </c>
      <c r="Q369" s="82" t="n">
        <f aca="false">IF(P369&lt;(Inputs!$E$27-Inputs!$D$27)/(Inputs!$F$27-Inputs!$D$27),Inputs!$D$27+SQRT(P369*(Inputs!$F$27-Inputs!$D$27)*(Inputs!$E$27-Inputs!$D$27)),Inputs!$F$27-SQRT((1-P369)*(Inputs!$F$27-Inputs!$D$27)*(Inputs!$F$27-Inputs!$E$27)))</f>
        <v>86.6280047438011</v>
      </c>
      <c r="R369" s="81" t="n">
        <f aca="true">RAND()</f>
        <v>0.0199999334405166</v>
      </c>
      <c r="S369" s="82" t="n">
        <f aca="false">IF(R369&lt;(Inputs!$E$29-Inputs!$D$29)/(Inputs!$F$29-Inputs!$D$29),Inputs!$D$29+SQRT(R369*(Inputs!$F$29-Inputs!$D$29)*(Inputs!$E$29-Inputs!$D$29)),Inputs!$F$29-SQRT((1-R369)*(Inputs!$F$29-Inputs!$D$29)*(Inputs!$F$29-Inputs!$E$29)))</f>
        <v>2.88317461703796</v>
      </c>
      <c r="T369" s="68" t="n">
        <f aca="false">Inputs!$E$9*(1+E369)+Inputs!$E$5*C369*(Inputs!$E$11*Inputs!$E$14*(G369*I369/Inputs!$E$16+(1-G369))*K369+Inputs!$E$23*M369)*(1+O369)+Inputs!$E$5*(Q369+S369)</f>
        <v>6658.2412375711</v>
      </c>
    </row>
    <row r="370" customFormat="false" ht="15" hidden="false" customHeight="false" outlineLevel="0" collapsed="false">
      <c r="A370" s="1" t="n">
        <v>366</v>
      </c>
      <c r="B370" s="81" t="n">
        <f aca="true">RAND()</f>
        <v>0.641301023015447</v>
      </c>
      <c r="C370" s="82" t="n">
        <f aca="false">ROUND(IF(B370&lt;(Inputs!$E$8-Inputs!$D$8)/(Inputs!$F$8-Inputs!$D$8),Inputs!$D$8+SQRT(B370*(Inputs!$F$8-Inputs!$D$8)*(Inputs!$E$8-Inputs!$D$8)),Inputs!$F$8-SQRT((1-B370)*(Inputs!$F$8-Inputs!$D$8)*(Inputs!$F$8-Inputs!$E$8))),0)</f>
        <v>26</v>
      </c>
      <c r="D370" s="81" t="n">
        <f aca="true">RAND()</f>
        <v>0.776572942038156</v>
      </c>
      <c r="E370" s="83" t="n">
        <f aca="false">IF(D370&lt;(Inputs!$E$10-Inputs!$D$10)/(Inputs!$F$10-Inputs!$D$10),Inputs!$D$10+SQRT(D370*(Inputs!$F$10-Inputs!$D$10)*(Inputs!$E$10-Inputs!$D$10)),Inputs!$F$10-SQRT((1-D370)*(Inputs!$F$10-Inputs!$D$10)*(Inputs!$F$10-Inputs!$E$10)))</f>
        <v>0.118129298654187</v>
      </c>
      <c r="F370" s="81" t="n">
        <f aca="true">RAND()</f>
        <v>0.979605223686897</v>
      </c>
      <c r="G370" s="83" t="n">
        <f aca="false">IF(F370&lt;(Inputs!$E$15-Inputs!$D$15)/(Inputs!$F$15-Inputs!$D$15),Inputs!$D$15+SQRT(F370*(Inputs!$F$15-Inputs!$D$15)*(Inputs!$E$15-Inputs!$D$15)),Inputs!$F$15-SQRT((1-F370)*(Inputs!$F$15-Inputs!$D$15)*(Inputs!$F$15-Inputs!$E$15)))</f>
        <v>0.779803576399222</v>
      </c>
      <c r="H370" s="81" t="n">
        <f aca="true">RAND()</f>
        <v>0.0265046174029407</v>
      </c>
      <c r="I370" s="82" t="n">
        <f aca="false">ROUND(IF(H370&lt;(Inputs!$E$17-Inputs!$D$17)/(Inputs!$F$17-Inputs!$D$17),Inputs!$D$17+SQRT(H370*(Inputs!$F$17-Inputs!$D$17)*(Inputs!$E$17-Inputs!$D$17)),Inputs!$F$17-SQRT((1-H370)*(Inputs!$F$17-Inputs!$D$17)*(Inputs!$F$17-Inputs!$E$17))),0)</f>
        <v>101</v>
      </c>
      <c r="J370" s="81" t="n">
        <f aca="true">RAND()</f>
        <v>0.205974333108459</v>
      </c>
      <c r="K370" s="83" t="n">
        <f aca="false">IF(J370&lt;(Inputs!$E$18-Inputs!$D$18)/(Inputs!$F$18-Inputs!$D$18),Inputs!$D$18+SQRT(J370*(Inputs!$F$18-Inputs!$D$18)*(Inputs!$E$18-Inputs!$D$18)),Inputs!$F$18-SQRT((1-J370)*(Inputs!$F$18-Inputs!$D$18)*(Inputs!$F$18-Inputs!$E$18)))</f>
        <v>0.984906428842556</v>
      </c>
      <c r="L370" s="81" t="n">
        <f aca="true">RAND()</f>
        <v>0.0860482575489639</v>
      </c>
      <c r="M370" s="83" t="n">
        <f aca="false">IF(L370&lt;(Inputs!$E$24-Inputs!$D$24)/(Inputs!$F$24-Inputs!$D$24),Inputs!$D$24+SQRT(L370*(Inputs!$F$24-Inputs!$D$24)*(Inputs!$E$24-Inputs!$D$24)),Inputs!$F$24-SQRT((1-L370)*(Inputs!$F$24-Inputs!$D$24)*(Inputs!$F$24-Inputs!$E$24)))</f>
        <v>0.701615898883372</v>
      </c>
      <c r="N370" s="81" t="n">
        <f aca="true">RAND()</f>
        <v>0.623212812430034</v>
      </c>
      <c r="O370" s="83" t="n">
        <f aca="false">IF(N370&lt;(Inputs!$E$26-Inputs!$D$26)/(Inputs!$F$26-Inputs!$D$26),Inputs!$D$26+SQRT(N370*(Inputs!$F$26-Inputs!$D$26)*(Inputs!$E$26-Inputs!$D$26)),Inputs!$F$26-SQRT((1-N370)*(Inputs!$F$26-Inputs!$D$26)*(Inputs!$F$26-Inputs!$E$26)))</f>
        <v>0.622045794418819</v>
      </c>
      <c r="P370" s="81" t="n">
        <f aca="true">RAND()</f>
        <v>0.951728526281209</v>
      </c>
      <c r="Q370" s="82" t="n">
        <f aca="false">IF(P370&lt;(Inputs!$E$27-Inputs!$D$27)/(Inputs!$F$27-Inputs!$D$27),Inputs!$D$27+SQRT(P370*(Inputs!$F$27-Inputs!$D$27)*(Inputs!$E$27-Inputs!$D$27)),Inputs!$F$27-SQRT((1-P370)*(Inputs!$F$27-Inputs!$D$27)*(Inputs!$F$27-Inputs!$E$27)))</f>
        <v>130.972754984209</v>
      </c>
      <c r="R370" s="81" t="n">
        <f aca="true">RAND()</f>
        <v>0.423352523387841</v>
      </c>
      <c r="S370" s="82" t="n">
        <f aca="false">IF(R370&lt;(Inputs!$E$29-Inputs!$D$29)/(Inputs!$F$29-Inputs!$D$29),Inputs!$D$29+SQRT(R370*(Inputs!$F$29-Inputs!$D$29)*(Inputs!$E$29-Inputs!$D$29)),Inputs!$F$29-SQRT((1-R370)*(Inputs!$F$29-Inputs!$D$29)*(Inputs!$F$29-Inputs!$E$29)))</f>
        <v>6.34181474213096</v>
      </c>
      <c r="T370" s="68" t="n">
        <f aca="false">Inputs!$E$9*(1+E370)+Inputs!$E$5*C370*(Inputs!$E$11*Inputs!$E$14*(G370*I370/Inputs!$E$16+(1-G370))*K370+Inputs!$E$23*M370)*(1+O370)+Inputs!$E$5*(Q370+S370)</f>
        <v>6267.57953231489</v>
      </c>
    </row>
    <row r="371" customFormat="false" ht="15" hidden="false" customHeight="false" outlineLevel="0" collapsed="false">
      <c r="A371" s="1" t="n">
        <v>367</v>
      </c>
      <c r="B371" s="81" t="n">
        <f aca="true">RAND()</f>
        <v>0.673241787027349</v>
      </c>
      <c r="C371" s="82" t="n">
        <f aca="false">ROUND(IF(B371&lt;(Inputs!$E$8-Inputs!$D$8)/(Inputs!$F$8-Inputs!$D$8),Inputs!$D$8+SQRT(B371*(Inputs!$F$8-Inputs!$D$8)*(Inputs!$E$8-Inputs!$D$8)),Inputs!$F$8-SQRT((1-B371)*(Inputs!$F$8-Inputs!$D$8)*(Inputs!$F$8-Inputs!$E$8))),0)</f>
        <v>26</v>
      </c>
      <c r="D371" s="81" t="n">
        <f aca="true">RAND()</f>
        <v>0.449350392878882</v>
      </c>
      <c r="E371" s="83" t="n">
        <f aca="false">IF(D371&lt;(Inputs!$E$10-Inputs!$D$10)/(Inputs!$F$10-Inputs!$D$10),Inputs!$D$10+SQRT(D371*(Inputs!$F$10-Inputs!$D$10)*(Inputs!$E$10-Inputs!$D$10)),Inputs!$F$10-SQRT((1-D371)*(Inputs!$F$10-Inputs!$D$10)*(Inputs!$F$10-Inputs!$E$10)))</f>
        <v>0.0714718388304199</v>
      </c>
      <c r="F371" s="81" t="n">
        <f aca="true">RAND()</f>
        <v>0.589443533717105</v>
      </c>
      <c r="G371" s="83" t="n">
        <f aca="false">IF(F371&lt;(Inputs!$E$15-Inputs!$D$15)/(Inputs!$F$15-Inputs!$D$15),Inputs!$D$15+SQRT(F371*(Inputs!$F$15-Inputs!$D$15)*(Inputs!$E$15-Inputs!$D$15)),Inputs!$F$15-SQRT((1-F371)*(Inputs!$F$15-Inputs!$D$15)*(Inputs!$F$15-Inputs!$E$15)))</f>
        <v>0.709384718034661</v>
      </c>
      <c r="H371" s="81" t="n">
        <f aca="true">RAND()</f>
        <v>0.377283238849286</v>
      </c>
      <c r="I371" s="82" t="n">
        <f aca="false">ROUND(IF(H371&lt;(Inputs!$E$17-Inputs!$D$17)/(Inputs!$F$17-Inputs!$D$17),Inputs!$D$17+SQRT(H371*(Inputs!$F$17-Inputs!$D$17)*(Inputs!$E$17-Inputs!$D$17)),Inputs!$F$17-SQRT((1-H371)*(Inputs!$F$17-Inputs!$D$17)*(Inputs!$F$17-Inputs!$E$17))),0)</f>
        <v>105</v>
      </c>
      <c r="J371" s="81" t="n">
        <f aca="true">RAND()</f>
        <v>0.208577749143501</v>
      </c>
      <c r="K371" s="83" t="n">
        <f aca="false">IF(J371&lt;(Inputs!$E$18-Inputs!$D$18)/(Inputs!$F$18-Inputs!$D$18),Inputs!$D$18+SQRT(J371*(Inputs!$F$18-Inputs!$D$18)*(Inputs!$E$18-Inputs!$D$18)),Inputs!$F$18-SQRT((1-J371)*(Inputs!$F$18-Inputs!$D$18)*(Inputs!$F$18-Inputs!$E$18)))</f>
        <v>0.985441332035629</v>
      </c>
      <c r="L371" s="81" t="n">
        <f aca="true">RAND()</f>
        <v>0.248353955936596</v>
      </c>
      <c r="M371" s="83" t="n">
        <f aca="false">IF(L371&lt;(Inputs!$E$24-Inputs!$D$24)/(Inputs!$F$24-Inputs!$D$24),Inputs!$D$24+SQRT(L371*(Inputs!$F$24-Inputs!$D$24)*(Inputs!$E$24-Inputs!$D$24)),Inputs!$F$24-SQRT((1-L371)*(Inputs!$F$24-Inputs!$D$24)*(Inputs!$F$24-Inputs!$E$24)))</f>
        <v>0.772633932679504</v>
      </c>
      <c r="N371" s="81" t="n">
        <f aca="true">RAND()</f>
        <v>0.133022443955923</v>
      </c>
      <c r="O371" s="83" t="n">
        <f aca="false">IF(N371&lt;(Inputs!$E$26-Inputs!$D$26)/(Inputs!$F$26-Inputs!$D$26),Inputs!$D$26+SQRT(N371*(Inputs!$F$26-Inputs!$D$26)*(Inputs!$E$26-Inputs!$D$26)),Inputs!$F$26-SQRT((1-N371)*(Inputs!$F$26-Inputs!$D$26)*(Inputs!$F$26-Inputs!$E$26)))</f>
        <v>0.448778139100695</v>
      </c>
      <c r="P371" s="81" t="n">
        <f aca="true">RAND()</f>
        <v>0.676096450398195</v>
      </c>
      <c r="Q371" s="82" t="n">
        <f aca="false">IF(P371&lt;(Inputs!$E$27-Inputs!$D$27)/(Inputs!$F$27-Inputs!$D$27),Inputs!$D$27+SQRT(P371*(Inputs!$F$27-Inputs!$D$27)*(Inputs!$E$27-Inputs!$D$27)),Inputs!$F$27-SQRT((1-P371)*(Inputs!$F$27-Inputs!$D$27)*(Inputs!$F$27-Inputs!$E$27)))</f>
        <v>100.71230760105</v>
      </c>
      <c r="R371" s="81" t="n">
        <f aca="true">RAND()</f>
        <v>0.542850286604216</v>
      </c>
      <c r="S371" s="82" t="n">
        <f aca="false">IF(R371&lt;(Inputs!$E$29-Inputs!$D$29)/(Inputs!$F$29-Inputs!$D$29),Inputs!$D$29+SQRT(R371*(Inputs!$F$29-Inputs!$D$29)*(Inputs!$E$29-Inputs!$D$29)),Inputs!$F$29-SQRT((1-R371)*(Inputs!$F$29-Inputs!$D$29)*(Inputs!$F$29-Inputs!$E$29)))</f>
        <v>7.29094929699824</v>
      </c>
      <c r="T371" s="68" t="n">
        <f aca="false">Inputs!$E$9*(1+E371)+Inputs!$E$5*C371*(Inputs!$E$11*Inputs!$E$14*(G371*I371/Inputs!$E$16+(1-G371))*K371+Inputs!$E$23*M371)*(1+O371)+Inputs!$E$5*(Q371+S371)</f>
        <v>5916.60171093904</v>
      </c>
    </row>
    <row r="372" customFormat="false" ht="15" hidden="false" customHeight="false" outlineLevel="0" collapsed="false">
      <c r="A372" s="1" t="n">
        <v>368</v>
      </c>
      <c r="B372" s="81" t="n">
        <f aca="true">RAND()</f>
        <v>0.676163074348718</v>
      </c>
      <c r="C372" s="82" t="n">
        <f aca="false">ROUND(IF(B372&lt;(Inputs!$E$8-Inputs!$D$8)/(Inputs!$F$8-Inputs!$D$8),Inputs!$D$8+SQRT(B372*(Inputs!$F$8-Inputs!$D$8)*(Inputs!$E$8-Inputs!$D$8)),Inputs!$F$8-SQRT((1-B372)*(Inputs!$F$8-Inputs!$D$8)*(Inputs!$F$8-Inputs!$E$8))),0)</f>
        <v>26</v>
      </c>
      <c r="D372" s="81" t="n">
        <f aca="true">RAND()</f>
        <v>0.29380450228329</v>
      </c>
      <c r="E372" s="83" t="n">
        <f aca="false">IF(D372&lt;(Inputs!$E$10-Inputs!$D$10)/(Inputs!$F$10-Inputs!$D$10),Inputs!$D$10+SQRT(D372*(Inputs!$F$10-Inputs!$D$10)*(Inputs!$E$10-Inputs!$D$10)),Inputs!$F$10-SQRT((1-D372)*(Inputs!$F$10-Inputs!$D$10)*(Inputs!$F$10-Inputs!$E$10)))</f>
        <v>0.0544463503325963</v>
      </c>
      <c r="F372" s="81" t="n">
        <f aca="true">RAND()</f>
        <v>0.557935731387619</v>
      </c>
      <c r="G372" s="83" t="n">
        <f aca="false">IF(F372&lt;(Inputs!$E$15-Inputs!$D$15)/(Inputs!$F$15-Inputs!$D$15),Inputs!$D$15+SQRT(F372*(Inputs!$F$15-Inputs!$D$15)*(Inputs!$E$15-Inputs!$D$15)),Inputs!$F$15-SQRT((1-F372)*(Inputs!$F$15-Inputs!$D$15)*(Inputs!$F$15-Inputs!$E$15)))</f>
        <v>0.705971890520719</v>
      </c>
      <c r="H372" s="81" t="n">
        <f aca="true">RAND()</f>
        <v>0.462763508150867</v>
      </c>
      <c r="I372" s="82" t="n">
        <f aca="false">ROUND(IF(H372&lt;(Inputs!$E$17-Inputs!$D$17)/(Inputs!$F$17-Inputs!$D$17),Inputs!$D$17+SQRT(H372*(Inputs!$F$17-Inputs!$D$17)*(Inputs!$E$17-Inputs!$D$17)),Inputs!$F$17-SQRT((1-H372)*(Inputs!$F$17-Inputs!$D$17)*(Inputs!$F$17-Inputs!$E$17))),0)</f>
        <v>106</v>
      </c>
      <c r="J372" s="81" t="n">
        <f aca="true">RAND()</f>
        <v>0.683367155238274</v>
      </c>
      <c r="K372" s="83" t="n">
        <f aca="false">IF(J372&lt;(Inputs!$E$18-Inputs!$D$18)/(Inputs!$F$18-Inputs!$D$18),Inputs!$D$18+SQRT(J372*(Inputs!$F$18-Inputs!$D$18)*(Inputs!$E$18-Inputs!$D$18)),Inputs!$F$18-SQRT((1-J372)*(Inputs!$F$18-Inputs!$D$18)*(Inputs!$F$18-Inputs!$E$18)))</f>
        <v>1.0835506866441</v>
      </c>
      <c r="L372" s="81" t="n">
        <f aca="true">RAND()</f>
        <v>0.300072529112809</v>
      </c>
      <c r="M372" s="83" t="n">
        <f aca="false">IF(L372&lt;(Inputs!$E$24-Inputs!$D$24)/(Inputs!$F$24-Inputs!$D$24),Inputs!$D$24+SQRT(L372*(Inputs!$F$24-Inputs!$D$24)*(Inputs!$E$24-Inputs!$D$24)),Inputs!$F$24-SQRT((1-L372)*(Inputs!$F$24-Inputs!$D$24)*(Inputs!$F$24-Inputs!$E$24)))</f>
        <v>0.789759593943329</v>
      </c>
      <c r="N372" s="81" t="n">
        <f aca="true">RAND()</f>
        <v>0.898963279908621</v>
      </c>
      <c r="O372" s="83" t="n">
        <f aca="false">IF(N372&lt;(Inputs!$E$26-Inputs!$D$26)/(Inputs!$F$26-Inputs!$D$26),Inputs!$D$26+SQRT(N372*(Inputs!$F$26-Inputs!$D$26)*(Inputs!$E$26-Inputs!$D$26)),Inputs!$F$26-SQRT((1-N372)*(Inputs!$F$26-Inputs!$D$26)*(Inputs!$F$26-Inputs!$E$26)))</f>
        <v>0.717492347166158</v>
      </c>
      <c r="P372" s="81" t="n">
        <f aca="true">RAND()</f>
        <v>0.506912148402682</v>
      </c>
      <c r="Q372" s="82" t="n">
        <f aca="false">IF(P372&lt;(Inputs!$E$27-Inputs!$D$27)/(Inputs!$F$27-Inputs!$D$27),Inputs!$D$27+SQRT(P372*(Inputs!$F$27-Inputs!$D$27)*(Inputs!$E$27-Inputs!$D$27)),Inputs!$F$27-SQRT((1-P372)*(Inputs!$F$27-Inputs!$D$27)*(Inputs!$F$27-Inputs!$E$27)))</f>
        <v>89.187510435932</v>
      </c>
      <c r="R372" s="81" t="n">
        <f aca="true">RAND()</f>
        <v>0.394895241805882</v>
      </c>
      <c r="S372" s="82" t="n">
        <f aca="false">IF(R372&lt;(Inputs!$E$29-Inputs!$D$29)/(Inputs!$F$29-Inputs!$D$29),Inputs!$D$29+SQRT(R372*(Inputs!$F$29-Inputs!$D$29)*(Inputs!$E$29-Inputs!$D$29)),Inputs!$F$29-SQRT((1-R372)*(Inputs!$F$29-Inputs!$D$29)*(Inputs!$F$29-Inputs!$E$29)))</f>
        <v>6.13074870323118</v>
      </c>
      <c r="T372" s="68" t="n">
        <f aca="false">Inputs!$E$9*(1+E372)+Inputs!$E$5*C372*(Inputs!$E$11*Inputs!$E$14*(G372*I372/Inputs!$E$16+(1-G372))*K372+Inputs!$E$23*M372)*(1+O372)+Inputs!$E$5*(Q372+S372)</f>
        <v>6656.61764186612</v>
      </c>
    </row>
    <row r="373" customFormat="false" ht="15" hidden="false" customHeight="false" outlineLevel="0" collapsed="false">
      <c r="A373" s="1" t="n">
        <v>369</v>
      </c>
      <c r="B373" s="81" t="n">
        <f aca="true">RAND()</f>
        <v>0.988143637419979</v>
      </c>
      <c r="C373" s="82" t="n">
        <f aca="false">ROUND(IF(B373&lt;(Inputs!$E$8-Inputs!$D$8)/(Inputs!$F$8-Inputs!$D$8),Inputs!$D$8+SQRT(B373*(Inputs!$F$8-Inputs!$D$8)*(Inputs!$E$8-Inputs!$D$8)),Inputs!$F$8-SQRT((1-B373)*(Inputs!$F$8-Inputs!$D$8)*(Inputs!$F$8-Inputs!$E$8))),0)</f>
        <v>29</v>
      </c>
      <c r="D373" s="81" t="n">
        <f aca="true">RAND()</f>
        <v>0.0282073191544941</v>
      </c>
      <c r="E373" s="83" t="n">
        <f aca="false">IF(D373&lt;(Inputs!$E$10-Inputs!$D$10)/(Inputs!$F$10-Inputs!$D$10),Inputs!$D$10+SQRT(D373*(Inputs!$F$10-Inputs!$D$10)*(Inputs!$E$10-Inputs!$D$10)),Inputs!$F$10-SQRT((1-D373)*(Inputs!$F$10-Inputs!$D$10)*(Inputs!$F$10-Inputs!$E$10)))</f>
        <v>0.0167950347288995</v>
      </c>
      <c r="F373" s="81" t="n">
        <f aca="true">RAND()</f>
        <v>0.514240544251051</v>
      </c>
      <c r="G373" s="83" t="n">
        <f aca="false">IF(F373&lt;(Inputs!$E$15-Inputs!$D$15)/(Inputs!$F$15-Inputs!$D$15),Inputs!$D$15+SQRT(F373*(Inputs!$F$15-Inputs!$D$15)*(Inputs!$E$15-Inputs!$D$15)),Inputs!$F$15-SQRT((1-F373)*(Inputs!$F$15-Inputs!$D$15)*(Inputs!$F$15-Inputs!$E$15)))</f>
        <v>0.701434341097018</v>
      </c>
      <c r="H373" s="81" t="n">
        <f aca="true">RAND()</f>
        <v>0.136764134195283</v>
      </c>
      <c r="I373" s="82" t="n">
        <f aca="false">ROUND(IF(H373&lt;(Inputs!$E$17-Inputs!$D$17)/(Inputs!$F$17-Inputs!$D$17),Inputs!$D$17+SQRT(H373*(Inputs!$F$17-Inputs!$D$17)*(Inputs!$E$17-Inputs!$D$17)),Inputs!$F$17-SQRT((1-H373)*(Inputs!$F$17-Inputs!$D$17)*(Inputs!$F$17-Inputs!$E$17))),0)</f>
        <v>103</v>
      </c>
      <c r="J373" s="81" t="n">
        <f aca="true">RAND()</f>
        <v>0.506324959841427</v>
      </c>
      <c r="K373" s="83" t="n">
        <f aca="false">IF(J373&lt;(Inputs!$E$18-Inputs!$D$18)/(Inputs!$F$18-Inputs!$D$18),Inputs!$D$18+SQRT(J373*(Inputs!$F$18-Inputs!$D$18)*(Inputs!$E$18-Inputs!$D$18)),Inputs!$F$18-SQRT((1-J373)*(Inputs!$F$18-Inputs!$D$18)*(Inputs!$F$18-Inputs!$E$18)))</f>
        <v>1.04216216414263</v>
      </c>
      <c r="L373" s="81" t="n">
        <f aca="true">RAND()</f>
        <v>0.91642285491085</v>
      </c>
      <c r="M373" s="83" t="n">
        <f aca="false">IF(L373&lt;(Inputs!$E$24-Inputs!$D$24)/(Inputs!$F$24-Inputs!$D$24),Inputs!$D$24+SQRT(L373*(Inputs!$F$24-Inputs!$D$24)*(Inputs!$E$24-Inputs!$D$24)),Inputs!$F$24-SQRT((1-L373)*(Inputs!$F$24-Inputs!$D$24)*(Inputs!$F$24-Inputs!$E$24)))</f>
        <v>1.05837191372685</v>
      </c>
      <c r="N373" s="81" t="n">
        <f aca="true">RAND()</f>
        <v>0.154307240987448</v>
      </c>
      <c r="O373" s="83" t="n">
        <f aca="false">IF(N373&lt;(Inputs!$E$26-Inputs!$D$26)/(Inputs!$F$26-Inputs!$D$26),Inputs!$D$26+SQRT(N373*(Inputs!$F$26-Inputs!$D$26)*(Inputs!$E$26-Inputs!$D$26)),Inputs!$F$26-SQRT((1-N373)*(Inputs!$F$26-Inputs!$D$26)*(Inputs!$F$26-Inputs!$E$26)))</f>
        <v>0.460239585934036</v>
      </c>
      <c r="P373" s="81" t="n">
        <f aca="true">RAND()</f>
        <v>0.834888092449495</v>
      </c>
      <c r="Q373" s="82" t="n">
        <f aca="false">IF(P373&lt;(Inputs!$E$27-Inputs!$D$27)/(Inputs!$F$27-Inputs!$D$27),Inputs!$D$27+SQRT(P373*(Inputs!$F$27-Inputs!$D$27)*(Inputs!$E$27-Inputs!$D$27)),Inputs!$F$27-SQRT((1-P373)*(Inputs!$F$27-Inputs!$D$27)*(Inputs!$F$27-Inputs!$E$27)))</f>
        <v>114.809954438381</v>
      </c>
      <c r="R373" s="81" t="n">
        <f aca="true">RAND()</f>
        <v>0.752616090248367</v>
      </c>
      <c r="S373" s="82" t="n">
        <f aca="false">IF(R373&lt;(Inputs!$E$29-Inputs!$D$29)/(Inputs!$F$29-Inputs!$D$29),Inputs!$D$29+SQRT(R373*(Inputs!$F$29-Inputs!$D$29)*(Inputs!$E$29-Inputs!$D$29)),Inputs!$F$29-SQRT((1-R373)*(Inputs!$F$29-Inputs!$D$29)*(Inputs!$F$29-Inputs!$E$29)))</f>
        <v>9.32902933637351</v>
      </c>
      <c r="T373" s="68" t="n">
        <f aca="false">Inputs!$E$9*(1+E373)+Inputs!$E$5*C373*(Inputs!$E$11*Inputs!$E$14*(G373*I373/Inputs!$E$16+(1-G373))*K373+Inputs!$E$23*M373)*(1+O373)+Inputs!$E$5*(Q373+S373)</f>
        <v>6797.55569708735</v>
      </c>
    </row>
    <row r="374" customFormat="false" ht="15" hidden="false" customHeight="false" outlineLevel="0" collapsed="false">
      <c r="A374" s="1" t="n">
        <v>370</v>
      </c>
      <c r="B374" s="81" t="n">
        <f aca="true">RAND()</f>
        <v>0.578411019290365</v>
      </c>
      <c r="C374" s="82" t="n">
        <f aca="false">ROUND(IF(B374&lt;(Inputs!$E$8-Inputs!$D$8)/(Inputs!$F$8-Inputs!$D$8),Inputs!$D$8+SQRT(B374*(Inputs!$F$8-Inputs!$D$8)*(Inputs!$E$8-Inputs!$D$8)),Inputs!$F$8-SQRT((1-B374)*(Inputs!$F$8-Inputs!$D$8)*(Inputs!$F$8-Inputs!$E$8))),0)</f>
        <v>25</v>
      </c>
      <c r="D374" s="81" t="n">
        <f aca="true">RAND()</f>
        <v>0.389277346104975</v>
      </c>
      <c r="E374" s="83" t="n">
        <f aca="false">IF(D374&lt;(Inputs!$E$10-Inputs!$D$10)/(Inputs!$F$10-Inputs!$D$10),Inputs!$D$10+SQRT(D374*(Inputs!$F$10-Inputs!$D$10)*(Inputs!$E$10-Inputs!$D$10)),Inputs!$F$10-SQRT((1-D374)*(Inputs!$F$10-Inputs!$D$10)*(Inputs!$F$10-Inputs!$E$10)))</f>
        <v>0.0646424009637776</v>
      </c>
      <c r="F374" s="81" t="n">
        <f aca="true">RAND()</f>
        <v>0.894391749645274</v>
      </c>
      <c r="G374" s="83" t="n">
        <f aca="false">IF(F374&lt;(Inputs!$E$15-Inputs!$D$15)/(Inputs!$F$15-Inputs!$D$15),Inputs!$D$15+SQRT(F374*(Inputs!$F$15-Inputs!$D$15)*(Inputs!$E$15-Inputs!$D$15)),Inputs!$F$15-SQRT((1-F374)*(Inputs!$F$15-Inputs!$D$15)*(Inputs!$F$15-Inputs!$E$15)))</f>
        <v>0.754041703609745</v>
      </c>
      <c r="H374" s="81" t="n">
        <f aca="true">RAND()</f>
        <v>0.456157212778231</v>
      </c>
      <c r="I374" s="82" t="n">
        <f aca="false">ROUND(IF(H374&lt;(Inputs!$E$17-Inputs!$D$17)/(Inputs!$F$17-Inputs!$D$17),Inputs!$D$17+SQRT(H374*(Inputs!$F$17-Inputs!$D$17)*(Inputs!$E$17-Inputs!$D$17)),Inputs!$F$17-SQRT((1-H374)*(Inputs!$F$17-Inputs!$D$17)*(Inputs!$F$17-Inputs!$E$17))),0)</f>
        <v>106</v>
      </c>
      <c r="J374" s="81" t="n">
        <f aca="true">RAND()</f>
        <v>0.426058444462642</v>
      </c>
      <c r="K374" s="83" t="n">
        <f aca="false">IF(J374&lt;(Inputs!$E$18-Inputs!$D$18)/(Inputs!$F$18-Inputs!$D$18),Inputs!$D$18+SQRT(J374*(Inputs!$F$18-Inputs!$D$18)*(Inputs!$E$18-Inputs!$D$18)),Inputs!$F$18-SQRT((1-J374)*(Inputs!$F$18-Inputs!$D$18)*(Inputs!$F$18-Inputs!$E$18)))</f>
        <v>1.02590206134478</v>
      </c>
      <c r="L374" s="81" t="n">
        <f aca="true">RAND()</f>
        <v>0.44051444023813</v>
      </c>
      <c r="M374" s="83" t="n">
        <f aca="false">IF(L374&lt;(Inputs!$E$24-Inputs!$D$24)/(Inputs!$F$24-Inputs!$D$24),Inputs!$D$24+SQRT(L374*(Inputs!$F$24-Inputs!$D$24)*(Inputs!$E$24-Inputs!$D$24)),Inputs!$F$24-SQRT((1-L374)*(Inputs!$F$24-Inputs!$D$24)*(Inputs!$F$24-Inputs!$E$24)))</f>
        <v>0.83356237318904</v>
      </c>
      <c r="N374" s="81" t="n">
        <f aca="true">RAND()</f>
        <v>0.684304438300895</v>
      </c>
      <c r="O374" s="83" t="n">
        <f aca="false">IF(N374&lt;(Inputs!$E$26-Inputs!$D$26)/(Inputs!$F$26-Inputs!$D$26),Inputs!$D$26+SQRT(N374*(Inputs!$F$26-Inputs!$D$26)*(Inputs!$E$26-Inputs!$D$26)),Inputs!$F$26-SQRT((1-N374)*(Inputs!$F$26-Inputs!$D$26)*(Inputs!$F$26-Inputs!$E$26)))</f>
        <v>0.638803039714495</v>
      </c>
      <c r="P374" s="81" t="n">
        <f aca="true">RAND()</f>
        <v>0.329243303231212</v>
      </c>
      <c r="Q374" s="82" t="n">
        <f aca="false">IF(P374&lt;(Inputs!$E$27-Inputs!$D$27)/(Inputs!$F$27-Inputs!$D$27),Inputs!$D$27+SQRT(P374*(Inputs!$F$27-Inputs!$D$27)*(Inputs!$E$27-Inputs!$D$27)),Inputs!$F$27-SQRT((1-P374)*(Inputs!$F$27-Inputs!$D$27)*(Inputs!$F$27-Inputs!$E$27)))</f>
        <v>79.0727469461427</v>
      </c>
      <c r="R374" s="81" t="n">
        <f aca="true">RAND()</f>
        <v>0.389657972175603</v>
      </c>
      <c r="S374" s="82" t="n">
        <f aca="false">IF(R374&lt;(Inputs!$E$29-Inputs!$D$29)/(Inputs!$F$29-Inputs!$D$29),Inputs!$D$29+SQRT(R374*(Inputs!$F$29-Inputs!$D$29)*(Inputs!$E$29-Inputs!$D$29)),Inputs!$F$29-SQRT((1-R374)*(Inputs!$F$29-Inputs!$D$29)*(Inputs!$F$29-Inputs!$E$29)))</f>
        <v>6.09244906738269</v>
      </c>
      <c r="T374" s="68" t="n">
        <f aca="false">Inputs!$E$9*(1+E374)+Inputs!$E$5*C374*(Inputs!$E$11*Inputs!$E$14*(G374*I374/Inputs!$E$16+(1-G374))*K374+Inputs!$E$23*M374)*(1+O374)+Inputs!$E$5*(Q374+S374)</f>
        <v>6180.23005068868</v>
      </c>
    </row>
    <row r="375" customFormat="false" ht="15" hidden="false" customHeight="false" outlineLevel="0" collapsed="false">
      <c r="A375" s="1" t="n">
        <v>371</v>
      </c>
      <c r="B375" s="81" t="n">
        <f aca="true">RAND()</f>
        <v>0.332185826658843</v>
      </c>
      <c r="C375" s="82" t="n">
        <f aca="false">ROUND(IF(B375&lt;(Inputs!$E$8-Inputs!$D$8)/(Inputs!$F$8-Inputs!$D$8),Inputs!$D$8+SQRT(B375*(Inputs!$F$8-Inputs!$D$8)*(Inputs!$E$8-Inputs!$D$8)),Inputs!$F$8-SQRT((1-B375)*(Inputs!$F$8-Inputs!$D$8)*(Inputs!$F$8-Inputs!$E$8))),0)</f>
        <v>24</v>
      </c>
      <c r="D375" s="81" t="n">
        <f aca="true">RAND()</f>
        <v>0.645668967510753</v>
      </c>
      <c r="E375" s="83" t="n">
        <f aca="false">IF(D375&lt;(Inputs!$E$10-Inputs!$D$10)/(Inputs!$F$10-Inputs!$D$10),Inputs!$D$10+SQRT(D375*(Inputs!$F$10-Inputs!$D$10)*(Inputs!$E$10-Inputs!$D$10)),Inputs!$F$10-SQRT((1-D375)*(Inputs!$F$10-Inputs!$D$10)*(Inputs!$F$10-Inputs!$E$10)))</f>
        <v>0.0968984433935287</v>
      </c>
      <c r="F375" s="81" t="n">
        <f aca="true">RAND()</f>
        <v>0.7486396967172</v>
      </c>
      <c r="G375" s="83" t="n">
        <f aca="false">IF(F375&lt;(Inputs!$E$15-Inputs!$D$15)/(Inputs!$F$15-Inputs!$D$15),Inputs!$D$15+SQRT(F375*(Inputs!$F$15-Inputs!$D$15)*(Inputs!$E$15-Inputs!$D$15)),Inputs!$F$15-SQRT((1-F375)*(Inputs!$F$15-Inputs!$D$15)*(Inputs!$F$15-Inputs!$E$15)))</f>
        <v>0.729097206926271</v>
      </c>
      <c r="H375" s="81" t="n">
        <f aca="true">RAND()</f>
        <v>0.214314682332786</v>
      </c>
      <c r="I375" s="82" t="n">
        <f aca="false">ROUND(IF(H375&lt;(Inputs!$E$17-Inputs!$D$17)/(Inputs!$F$17-Inputs!$D$17),Inputs!$D$17+SQRT(H375*(Inputs!$F$17-Inputs!$D$17)*(Inputs!$E$17-Inputs!$D$17)),Inputs!$F$17-SQRT((1-H375)*(Inputs!$F$17-Inputs!$D$17)*(Inputs!$F$17-Inputs!$E$17))),0)</f>
        <v>104</v>
      </c>
      <c r="J375" s="81" t="n">
        <f aca="true">RAND()</f>
        <v>0.372693989632209</v>
      </c>
      <c r="K375" s="83" t="n">
        <f aca="false">IF(J375&lt;(Inputs!$E$18-Inputs!$D$18)/(Inputs!$F$18-Inputs!$D$18),Inputs!$D$18+SQRT(J375*(Inputs!$F$18-Inputs!$D$18)*(Inputs!$E$18-Inputs!$D$18)),Inputs!$F$18-SQRT((1-J375)*(Inputs!$F$18-Inputs!$D$18)*(Inputs!$F$18-Inputs!$E$18)))</f>
        <v>1.01571539549688</v>
      </c>
      <c r="L375" s="81" t="n">
        <f aca="true">RAND()</f>
        <v>0.902679465469418</v>
      </c>
      <c r="M375" s="83" t="n">
        <f aca="false">IF(L375&lt;(Inputs!$E$24-Inputs!$D$24)/(Inputs!$F$24-Inputs!$D$24),Inputs!$D$24+SQRT(L375*(Inputs!$F$24-Inputs!$D$24)*(Inputs!$E$24-Inputs!$D$24)),Inputs!$F$24-SQRT((1-L375)*(Inputs!$F$24-Inputs!$D$24)*(Inputs!$F$24-Inputs!$E$24)))</f>
        <v>1.04717026373333</v>
      </c>
      <c r="N375" s="81" t="n">
        <f aca="true">RAND()</f>
        <v>0.482234448581088</v>
      </c>
      <c r="O375" s="83" t="n">
        <f aca="false">IF(N375&lt;(Inputs!$E$26-Inputs!$D$26)/(Inputs!$F$26-Inputs!$D$26),Inputs!$D$26+SQRT(N375*(Inputs!$F$26-Inputs!$D$26)*(Inputs!$E$26-Inputs!$D$26)),Inputs!$F$26-SQRT((1-N375)*(Inputs!$F$26-Inputs!$D$26)*(Inputs!$F$26-Inputs!$E$26)))</f>
        <v>0.583273387814481</v>
      </c>
      <c r="P375" s="81" t="n">
        <f aca="true">RAND()</f>
        <v>0.761084014508745</v>
      </c>
      <c r="Q375" s="82" t="n">
        <f aca="false">IF(P375&lt;(Inputs!$E$27-Inputs!$D$27)/(Inputs!$F$27-Inputs!$D$27),Inputs!$D$27+SQRT(P375*(Inputs!$F$27-Inputs!$D$27)*(Inputs!$E$27-Inputs!$D$27)),Inputs!$F$27-SQRT((1-P375)*(Inputs!$F$27-Inputs!$D$27)*(Inputs!$F$27-Inputs!$E$27)))</f>
        <v>107.669515816797</v>
      </c>
      <c r="R375" s="81" t="n">
        <f aca="true">RAND()</f>
        <v>0.869768168429589</v>
      </c>
      <c r="S375" s="82" t="n">
        <f aca="false">IF(R375&lt;(Inputs!$E$29-Inputs!$D$29)/(Inputs!$F$29-Inputs!$D$29),Inputs!$D$29+SQRT(R375*(Inputs!$F$29-Inputs!$D$29)*(Inputs!$E$29-Inputs!$D$29)),Inputs!$F$29-SQRT((1-R375)*(Inputs!$F$29-Inputs!$D$29)*(Inputs!$F$29-Inputs!$E$29)))</f>
        <v>10.8853750955703</v>
      </c>
      <c r="T375" s="68" t="n">
        <f aca="false">Inputs!$E$9*(1+E375)+Inputs!$E$5*C375*(Inputs!$E$11*Inputs!$E$14*(G375*I375/Inputs!$E$16+(1-G375))*K375+Inputs!$E$23*M375)*(1+O375)+Inputs!$E$5*(Q375+S375)</f>
        <v>6448.05705249472</v>
      </c>
    </row>
    <row r="376" customFormat="false" ht="15" hidden="false" customHeight="false" outlineLevel="0" collapsed="false">
      <c r="A376" s="1" t="n">
        <v>372</v>
      </c>
      <c r="B376" s="81" t="n">
        <f aca="true">RAND()</f>
        <v>0.221327203072933</v>
      </c>
      <c r="C376" s="82" t="n">
        <f aca="false">ROUND(IF(B376&lt;(Inputs!$E$8-Inputs!$D$8)/(Inputs!$F$8-Inputs!$D$8),Inputs!$D$8+SQRT(B376*(Inputs!$F$8-Inputs!$D$8)*(Inputs!$E$8-Inputs!$D$8)),Inputs!$F$8-SQRT((1-B376)*(Inputs!$F$8-Inputs!$D$8)*(Inputs!$F$8-Inputs!$E$8))),0)</f>
        <v>23</v>
      </c>
      <c r="D376" s="81" t="n">
        <f aca="true">RAND()</f>
        <v>0.59662358227528</v>
      </c>
      <c r="E376" s="83" t="n">
        <f aca="false">IF(D376&lt;(Inputs!$E$10-Inputs!$D$10)/(Inputs!$F$10-Inputs!$D$10),Inputs!$D$10+SQRT(D376*(Inputs!$F$10-Inputs!$D$10)*(Inputs!$E$10-Inputs!$D$10)),Inputs!$F$10-SQRT((1-D376)*(Inputs!$F$10-Inputs!$D$10)*(Inputs!$F$10-Inputs!$E$10)))</f>
        <v>0.0899941250126085</v>
      </c>
      <c r="F376" s="81" t="n">
        <f aca="true">RAND()</f>
        <v>0.320381978703656</v>
      </c>
      <c r="G376" s="83" t="n">
        <f aca="false">IF(F376&lt;(Inputs!$E$15-Inputs!$D$15)/(Inputs!$F$15-Inputs!$D$15),Inputs!$D$15+SQRT(F376*(Inputs!$F$15-Inputs!$D$15)*(Inputs!$E$15-Inputs!$D$15)),Inputs!$F$15-SQRT((1-F376)*(Inputs!$F$15-Inputs!$D$15)*(Inputs!$F$15-Inputs!$E$15)))</f>
        <v>0.680047733097653</v>
      </c>
      <c r="H376" s="81" t="n">
        <f aca="true">RAND()</f>
        <v>0.922400125048247</v>
      </c>
      <c r="I376" s="82" t="n">
        <f aca="false">ROUND(IF(H376&lt;(Inputs!$E$17-Inputs!$D$17)/(Inputs!$F$17-Inputs!$D$17),Inputs!$D$17+SQRT(H376*(Inputs!$F$17-Inputs!$D$17)*(Inputs!$E$17-Inputs!$D$17)),Inputs!$F$17-SQRT((1-H376)*(Inputs!$F$17-Inputs!$D$17)*(Inputs!$F$17-Inputs!$E$17))),0)</f>
        <v>112</v>
      </c>
      <c r="J376" s="81" t="n">
        <f aca="true">RAND()</f>
        <v>0.668053906769236</v>
      </c>
      <c r="K376" s="83" t="n">
        <f aca="false">IF(J376&lt;(Inputs!$E$18-Inputs!$D$18)/(Inputs!$F$18-Inputs!$D$18),Inputs!$D$18+SQRT(J376*(Inputs!$F$18-Inputs!$D$18)*(Inputs!$E$18-Inputs!$D$18)),Inputs!$F$18-SQRT((1-J376)*(Inputs!$F$18-Inputs!$D$18)*(Inputs!$F$18-Inputs!$E$18)))</f>
        <v>1.07957323227353</v>
      </c>
      <c r="L376" s="81" t="n">
        <f aca="true">RAND()</f>
        <v>0.825188689947815</v>
      </c>
      <c r="M376" s="83" t="n">
        <f aca="false">IF(L376&lt;(Inputs!$E$24-Inputs!$D$24)/(Inputs!$F$24-Inputs!$D$24),Inputs!$D$24+SQRT(L376*(Inputs!$F$24-Inputs!$D$24)*(Inputs!$E$24-Inputs!$D$24)),Inputs!$F$24-SQRT((1-L376)*(Inputs!$F$24-Inputs!$D$24)*(Inputs!$F$24-Inputs!$E$24)))</f>
        <v>0.99517149999933</v>
      </c>
      <c r="N376" s="81" t="n">
        <f aca="true">RAND()</f>
        <v>0.210553682901393</v>
      </c>
      <c r="O376" s="83" t="n">
        <f aca="false">IF(N376&lt;(Inputs!$E$26-Inputs!$D$26)/(Inputs!$F$26-Inputs!$D$26),Inputs!$D$26+SQRT(N376*(Inputs!$F$26-Inputs!$D$26)*(Inputs!$E$26-Inputs!$D$26)),Inputs!$F$26-SQRT((1-N376)*(Inputs!$F$26-Inputs!$D$26)*(Inputs!$F$26-Inputs!$E$26)))</f>
        <v>0.487179413490885</v>
      </c>
      <c r="P376" s="81" t="n">
        <f aca="true">RAND()</f>
        <v>0.920120260166022</v>
      </c>
      <c r="Q376" s="82" t="n">
        <f aca="false">IF(P376&lt;(Inputs!$E$27-Inputs!$D$27)/(Inputs!$F$27-Inputs!$D$27),Inputs!$D$27+SQRT(P376*(Inputs!$F$27-Inputs!$D$27)*(Inputs!$E$27-Inputs!$D$27)),Inputs!$F$27-SQRT((1-P376)*(Inputs!$F$27-Inputs!$D$27)*(Inputs!$F$27-Inputs!$E$27)))</f>
        <v>125.523520499164</v>
      </c>
      <c r="R376" s="81" t="n">
        <f aca="true">RAND()</f>
        <v>0.47748909640334</v>
      </c>
      <c r="S376" s="82" t="n">
        <f aca="false">IF(R376&lt;(Inputs!$E$29-Inputs!$D$29)/(Inputs!$F$29-Inputs!$D$29),Inputs!$D$29+SQRT(R376*(Inputs!$F$29-Inputs!$D$29)*(Inputs!$E$29-Inputs!$D$29)),Inputs!$F$29-SQRT((1-R376)*(Inputs!$F$29-Inputs!$D$29)*(Inputs!$F$29-Inputs!$E$29)))</f>
        <v>6.75825155276104</v>
      </c>
      <c r="T376" s="68" t="n">
        <f aca="false">Inputs!$E$9*(1+E376)+Inputs!$E$5*C376*(Inputs!$E$11*Inputs!$E$14*(G376*I376/Inputs!$E$16+(1-G376))*K376+Inputs!$E$23*M376)*(1+O376)+Inputs!$E$5*(Q376+S376)</f>
        <v>6353.68241606793</v>
      </c>
    </row>
    <row r="377" customFormat="false" ht="15" hidden="false" customHeight="false" outlineLevel="0" collapsed="false">
      <c r="A377" s="1" t="n">
        <v>373</v>
      </c>
      <c r="B377" s="81" t="n">
        <f aca="true">RAND()</f>
        <v>0.0597015147664412</v>
      </c>
      <c r="C377" s="82" t="n">
        <f aca="false">ROUND(IF(B377&lt;(Inputs!$E$8-Inputs!$D$8)/(Inputs!$F$8-Inputs!$D$8),Inputs!$D$8+SQRT(B377*(Inputs!$F$8-Inputs!$D$8)*(Inputs!$E$8-Inputs!$D$8)),Inputs!$F$8-SQRT((1-B377)*(Inputs!$F$8-Inputs!$D$8)*(Inputs!$F$8-Inputs!$E$8))),0)</f>
        <v>22</v>
      </c>
      <c r="D377" s="81" t="n">
        <f aca="true">RAND()</f>
        <v>0.468881081922102</v>
      </c>
      <c r="E377" s="83" t="n">
        <f aca="false">IF(D377&lt;(Inputs!$E$10-Inputs!$D$10)/(Inputs!$F$10-Inputs!$D$10),Inputs!$D$10+SQRT(D377*(Inputs!$F$10-Inputs!$D$10)*(Inputs!$E$10-Inputs!$D$10)),Inputs!$F$10-SQRT((1-D377)*(Inputs!$F$10-Inputs!$D$10)*(Inputs!$F$10-Inputs!$E$10)))</f>
        <v>0.0737717640845087</v>
      </c>
      <c r="F377" s="81" t="n">
        <f aca="true">RAND()</f>
        <v>0.0826525385828825</v>
      </c>
      <c r="G377" s="83" t="n">
        <f aca="false">IF(F377&lt;(Inputs!$E$15-Inputs!$D$15)/(Inputs!$F$15-Inputs!$D$15),Inputs!$D$15+SQRT(F377*(Inputs!$F$15-Inputs!$D$15)*(Inputs!$E$15-Inputs!$D$15)),Inputs!$F$15-SQRT((1-F377)*(Inputs!$F$15-Inputs!$D$15)*(Inputs!$F$15-Inputs!$E$15)))</f>
        <v>0.640657727084254</v>
      </c>
      <c r="H377" s="81" t="n">
        <f aca="true">RAND()</f>
        <v>0.5358966901345</v>
      </c>
      <c r="I377" s="82" t="n">
        <f aca="false">ROUND(IF(H377&lt;(Inputs!$E$17-Inputs!$D$17)/(Inputs!$F$17-Inputs!$D$17),Inputs!$D$17+SQRT(H377*(Inputs!$F$17-Inputs!$D$17)*(Inputs!$E$17-Inputs!$D$17)),Inputs!$F$17-SQRT((1-H377)*(Inputs!$F$17-Inputs!$D$17)*(Inputs!$F$17-Inputs!$E$17))),0)</f>
        <v>107</v>
      </c>
      <c r="J377" s="81" t="n">
        <f aca="true">RAND()</f>
        <v>0.31762296637783</v>
      </c>
      <c r="K377" s="83" t="n">
        <f aca="false">IF(J377&lt;(Inputs!$E$18-Inputs!$D$18)/(Inputs!$F$18-Inputs!$D$18),Inputs!$D$18+SQRT(J377*(Inputs!$F$18-Inputs!$D$18)*(Inputs!$E$18-Inputs!$D$18)),Inputs!$F$18-SQRT((1-J377)*(Inputs!$F$18-Inputs!$D$18)*(Inputs!$F$18-Inputs!$E$18)))</f>
        <v>1.00564781473877</v>
      </c>
      <c r="L377" s="81" t="n">
        <f aca="true">RAND()</f>
        <v>0.247845760191821</v>
      </c>
      <c r="M377" s="83" t="n">
        <f aca="false">IF(L377&lt;(Inputs!$E$24-Inputs!$D$24)/(Inputs!$F$24-Inputs!$D$24),Inputs!$D$24+SQRT(L377*(Inputs!$F$24-Inputs!$D$24)*(Inputs!$E$24-Inputs!$D$24)),Inputs!$F$24-SQRT((1-L377)*(Inputs!$F$24-Inputs!$D$24)*(Inputs!$F$24-Inputs!$E$24)))</f>
        <v>0.772457215630482</v>
      </c>
      <c r="N377" s="81" t="n">
        <f aca="true">RAND()</f>
        <v>0.26129946821952</v>
      </c>
      <c r="O377" s="83" t="n">
        <f aca="false">IF(N377&lt;(Inputs!$E$26-Inputs!$D$26)/(Inputs!$F$26-Inputs!$D$26),Inputs!$D$26+SQRT(N377*(Inputs!$F$26-Inputs!$D$26)*(Inputs!$E$26-Inputs!$D$26)),Inputs!$F$26-SQRT((1-N377)*(Inputs!$F$26-Inputs!$D$26)*(Inputs!$F$26-Inputs!$E$26)))</f>
        <v>0.508519139437434</v>
      </c>
      <c r="P377" s="81" t="n">
        <f aca="true">RAND()</f>
        <v>0.962097436880459</v>
      </c>
      <c r="Q377" s="82" t="n">
        <f aca="false">IF(P377&lt;(Inputs!$E$27-Inputs!$D$27)/(Inputs!$F$27-Inputs!$D$27),Inputs!$D$27+SQRT(P377*(Inputs!$F$27-Inputs!$D$27)*(Inputs!$E$27-Inputs!$D$27)),Inputs!$F$27-SQRT((1-P377)*(Inputs!$F$27-Inputs!$D$27)*(Inputs!$F$27-Inputs!$E$27)))</f>
        <v>133.139714611058</v>
      </c>
      <c r="R377" s="81" t="n">
        <f aca="true">RAND()</f>
        <v>0.386184321909708</v>
      </c>
      <c r="S377" s="82" t="n">
        <f aca="false">IF(R377&lt;(Inputs!$E$29-Inputs!$D$29)/(Inputs!$F$29-Inputs!$D$29),Inputs!$D$29+SQRT(R377*(Inputs!$F$29-Inputs!$D$29)*(Inputs!$E$29-Inputs!$D$29)),Inputs!$F$29-SQRT((1-R377)*(Inputs!$F$29-Inputs!$D$29)*(Inputs!$F$29-Inputs!$E$29)))</f>
        <v>6.06713718051498</v>
      </c>
      <c r="T377" s="68" t="n">
        <f aca="false">Inputs!$E$9*(1+E377)+Inputs!$E$5*C377*(Inputs!$E$11*Inputs!$E$14*(G377*I377/Inputs!$E$16+(1-G377))*K377+Inputs!$E$23*M377)*(1+O377)+Inputs!$E$5*(Q377+S377)</f>
        <v>5848.29709579394</v>
      </c>
    </row>
    <row r="378" customFormat="false" ht="15" hidden="false" customHeight="false" outlineLevel="0" collapsed="false">
      <c r="A378" s="1" t="n">
        <v>374</v>
      </c>
      <c r="B378" s="81" t="n">
        <f aca="true">RAND()</f>
        <v>0.604746280866512</v>
      </c>
      <c r="C378" s="82" t="n">
        <f aca="false">ROUND(IF(B378&lt;(Inputs!$E$8-Inputs!$D$8)/(Inputs!$F$8-Inputs!$D$8),Inputs!$D$8+SQRT(B378*(Inputs!$F$8-Inputs!$D$8)*(Inputs!$E$8-Inputs!$D$8)),Inputs!$F$8-SQRT((1-B378)*(Inputs!$F$8-Inputs!$D$8)*(Inputs!$F$8-Inputs!$E$8))),0)</f>
        <v>26</v>
      </c>
      <c r="D378" s="81" t="n">
        <f aca="true">RAND()</f>
        <v>0.815414396267826</v>
      </c>
      <c r="E378" s="83" t="n">
        <f aca="false">IF(D378&lt;(Inputs!$E$10-Inputs!$D$10)/(Inputs!$F$10-Inputs!$D$10),Inputs!$D$10+SQRT(D378*(Inputs!$F$10-Inputs!$D$10)*(Inputs!$E$10-Inputs!$D$10)),Inputs!$F$10-SQRT((1-D378)*(Inputs!$F$10-Inputs!$D$10)*(Inputs!$F$10-Inputs!$E$10)))</f>
        <v>0.125585162017476</v>
      </c>
      <c r="F378" s="81" t="n">
        <f aca="true">RAND()</f>
        <v>0.143790855400091</v>
      </c>
      <c r="G378" s="83" t="n">
        <f aca="false">IF(F378&lt;(Inputs!$E$15-Inputs!$D$15)/(Inputs!$F$15-Inputs!$D$15),Inputs!$D$15+SQRT(F378*(Inputs!$F$15-Inputs!$D$15)*(Inputs!$E$15-Inputs!$D$15)),Inputs!$F$15-SQRT((1-F378)*(Inputs!$F$15-Inputs!$D$15)*(Inputs!$F$15-Inputs!$E$15)))</f>
        <v>0.653626645503908</v>
      </c>
      <c r="H378" s="81" t="n">
        <f aca="true">RAND()</f>
        <v>0.363855271795425</v>
      </c>
      <c r="I378" s="82" t="n">
        <f aca="false">ROUND(IF(H378&lt;(Inputs!$E$17-Inputs!$D$17)/(Inputs!$F$17-Inputs!$D$17),Inputs!$D$17+SQRT(H378*(Inputs!$F$17-Inputs!$D$17)*(Inputs!$E$17-Inputs!$D$17)),Inputs!$F$17-SQRT((1-H378)*(Inputs!$F$17-Inputs!$D$17)*(Inputs!$F$17-Inputs!$E$17))),0)</f>
        <v>105</v>
      </c>
      <c r="J378" s="81" t="n">
        <f aca="true">RAND()</f>
        <v>0.275678101914757</v>
      </c>
      <c r="K378" s="83" t="n">
        <f aca="false">IF(J378&lt;(Inputs!$E$18-Inputs!$D$18)/(Inputs!$F$18-Inputs!$D$18),Inputs!$D$18+SQRT(J378*(Inputs!$F$18-Inputs!$D$18)*(Inputs!$E$18-Inputs!$D$18)),Inputs!$F$18-SQRT((1-J378)*(Inputs!$F$18-Inputs!$D$18)*(Inputs!$F$18-Inputs!$E$18)))</f>
        <v>0.998227967336276</v>
      </c>
      <c r="L378" s="81" t="n">
        <f aca="true">RAND()</f>
        <v>0.517405919687362</v>
      </c>
      <c r="M378" s="83" t="n">
        <f aca="false">IF(L378&lt;(Inputs!$E$24-Inputs!$D$24)/(Inputs!$F$24-Inputs!$D$24),Inputs!$D$24+SQRT(L378*(Inputs!$F$24-Inputs!$D$24)*(Inputs!$E$24-Inputs!$D$24)),Inputs!$F$24-SQRT((1-L378)*(Inputs!$F$24-Inputs!$D$24)*(Inputs!$F$24-Inputs!$E$24)))</f>
        <v>0.85967283494403</v>
      </c>
      <c r="N378" s="81" t="n">
        <f aca="true">RAND()</f>
        <v>0.13633253537872</v>
      </c>
      <c r="O378" s="83" t="n">
        <f aca="false">IF(N378&lt;(Inputs!$E$26-Inputs!$D$26)/(Inputs!$F$26-Inputs!$D$26),Inputs!$D$26+SQRT(N378*(Inputs!$F$26-Inputs!$D$26)*(Inputs!$E$26-Inputs!$D$26)),Inputs!$F$26-SQRT((1-N378)*(Inputs!$F$26-Inputs!$D$26)*(Inputs!$F$26-Inputs!$E$26)))</f>
        <v>0.450617840533647</v>
      </c>
      <c r="P378" s="81" t="n">
        <f aca="true">RAND()</f>
        <v>0.733025798746386</v>
      </c>
      <c r="Q378" s="82" t="n">
        <f aca="false">IF(P378&lt;(Inputs!$E$27-Inputs!$D$27)/(Inputs!$F$27-Inputs!$D$27),Inputs!$D$27+SQRT(P378*(Inputs!$F$27-Inputs!$D$27)*(Inputs!$E$27-Inputs!$D$27)),Inputs!$F$27-SQRT((1-P378)*(Inputs!$F$27-Inputs!$D$27)*(Inputs!$F$27-Inputs!$E$27)))</f>
        <v>105.252860321557</v>
      </c>
      <c r="R378" s="81" t="n">
        <f aca="true">RAND()</f>
        <v>0.570612970342281</v>
      </c>
      <c r="S378" s="82" t="n">
        <f aca="false">IF(R378&lt;(Inputs!$E$29-Inputs!$D$29)/(Inputs!$F$29-Inputs!$D$29),Inputs!$D$29+SQRT(R378*(Inputs!$F$29-Inputs!$D$29)*(Inputs!$E$29-Inputs!$D$29)),Inputs!$F$29-SQRT((1-R378)*(Inputs!$F$29-Inputs!$D$29)*(Inputs!$F$29-Inputs!$E$29)))</f>
        <v>7.52870065815166</v>
      </c>
      <c r="T378" s="68" t="n">
        <f aca="false">Inputs!$E$9*(1+E378)+Inputs!$E$5*C378*(Inputs!$E$11*Inputs!$E$14*(G378*I378/Inputs!$E$16+(1-G378))*K378+Inputs!$E$23*M378)*(1+O378)+Inputs!$E$5*(Q378+S378)</f>
        <v>6276.06971311006</v>
      </c>
    </row>
    <row r="379" customFormat="false" ht="15" hidden="false" customHeight="false" outlineLevel="0" collapsed="false">
      <c r="A379" s="1" t="n">
        <v>375</v>
      </c>
      <c r="B379" s="81" t="n">
        <f aca="true">RAND()</f>
        <v>0.809695060766647</v>
      </c>
      <c r="C379" s="82" t="n">
        <f aca="false">ROUND(IF(B379&lt;(Inputs!$E$8-Inputs!$D$8)/(Inputs!$F$8-Inputs!$D$8),Inputs!$D$8+SQRT(B379*(Inputs!$F$8-Inputs!$D$8)*(Inputs!$E$8-Inputs!$D$8)),Inputs!$F$8-SQRT((1-B379)*(Inputs!$F$8-Inputs!$D$8)*(Inputs!$F$8-Inputs!$E$8))),0)</f>
        <v>27</v>
      </c>
      <c r="D379" s="81" t="n">
        <f aca="true">RAND()</f>
        <v>0.403572724404416</v>
      </c>
      <c r="E379" s="83" t="n">
        <f aca="false">IF(D379&lt;(Inputs!$E$10-Inputs!$D$10)/(Inputs!$F$10-Inputs!$D$10),Inputs!$D$10+SQRT(D379*(Inputs!$F$10-Inputs!$D$10)*(Inputs!$E$10-Inputs!$D$10)),Inputs!$F$10-SQRT((1-D379)*(Inputs!$F$10-Inputs!$D$10)*(Inputs!$F$10-Inputs!$E$10)))</f>
        <v>0.0662359604831421</v>
      </c>
      <c r="F379" s="81" t="n">
        <f aca="true">RAND()</f>
        <v>0.253573684508827</v>
      </c>
      <c r="G379" s="83" t="n">
        <f aca="false">IF(F379&lt;(Inputs!$E$15-Inputs!$D$15)/(Inputs!$F$15-Inputs!$D$15),Inputs!$D$15+SQRT(F379*(Inputs!$F$15-Inputs!$D$15)*(Inputs!$E$15-Inputs!$D$15)),Inputs!$F$15-SQRT((1-F379)*(Inputs!$F$15-Inputs!$D$15)*(Inputs!$F$15-Inputs!$E$15)))</f>
        <v>0.671214280100107</v>
      </c>
      <c r="H379" s="81" t="n">
        <f aca="true">RAND()</f>
        <v>0.936919828443478</v>
      </c>
      <c r="I379" s="82" t="n">
        <f aca="false">ROUND(IF(H379&lt;(Inputs!$E$17-Inputs!$D$17)/(Inputs!$F$17-Inputs!$D$17),Inputs!$D$17+SQRT(H379*(Inputs!$F$17-Inputs!$D$17)*(Inputs!$E$17-Inputs!$D$17)),Inputs!$F$17-SQRT((1-H379)*(Inputs!$F$17-Inputs!$D$17)*(Inputs!$F$17-Inputs!$E$17))),0)</f>
        <v>112</v>
      </c>
      <c r="J379" s="81" t="n">
        <f aca="true">RAND()</f>
        <v>0.276048963658031</v>
      </c>
      <c r="K379" s="83" t="n">
        <f aca="false">IF(J379&lt;(Inputs!$E$18-Inputs!$D$18)/(Inputs!$F$18-Inputs!$D$18),Inputs!$D$18+SQRT(J379*(Inputs!$F$18-Inputs!$D$18)*(Inputs!$E$18-Inputs!$D$18)),Inputs!$F$18-SQRT((1-J379)*(Inputs!$F$18-Inputs!$D$18)*(Inputs!$F$18-Inputs!$E$18)))</f>
        <v>0.998294016745838</v>
      </c>
      <c r="L379" s="81" t="n">
        <f aca="true">RAND()</f>
        <v>0.0594802136633859</v>
      </c>
      <c r="M379" s="83" t="n">
        <f aca="false">IF(L379&lt;(Inputs!$E$24-Inputs!$D$24)/(Inputs!$F$24-Inputs!$D$24),Inputs!$D$24+SQRT(L379*(Inputs!$F$24-Inputs!$D$24)*(Inputs!$E$24-Inputs!$D$24)),Inputs!$F$24-SQRT((1-L379)*(Inputs!$F$24-Inputs!$D$24)*(Inputs!$F$24-Inputs!$E$24)))</f>
        <v>0.684484469813134</v>
      </c>
      <c r="N379" s="81" t="n">
        <f aca="true">RAND()</f>
        <v>0.362996908193702</v>
      </c>
      <c r="O379" s="83" t="n">
        <f aca="false">IF(N379&lt;(Inputs!$E$26-Inputs!$D$26)/(Inputs!$F$26-Inputs!$D$26),Inputs!$D$26+SQRT(N379*(Inputs!$F$26-Inputs!$D$26)*(Inputs!$E$26-Inputs!$D$26)),Inputs!$F$26-SQRT((1-N379)*(Inputs!$F$26-Inputs!$D$26)*(Inputs!$F$26-Inputs!$E$26)))</f>
        <v>0.545769578108097</v>
      </c>
      <c r="P379" s="81" t="n">
        <f aca="true">RAND()</f>
        <v>0.727320888971182</v>
      </c>
      <c r="Q379" s="82" t="n">
        <f aca="false">IF(P379&lt;(Inputs!$E$27-Inputs!$D$27)/(Inputs!$F$27-Inputs!$D$27),Inputs!$D$27+SQRT(P379*(Inputs!$F$27-Inputs!$D$27)*(Inputs!$E$27-Inputs!$D$27)),Inputs!$F$27-SQRT((1-P379)*(Inputs!$F$27-Inputs!$D$27)*(Inputs!$F$27-Inputs!$E$27)))</f>
        <v>104.777291846727</v>
      </c>
      <c r="R379" s="81" t="n">
        <f aca="true">RAND()</f>
        <v>0.50613814096016</v>
      </c>
      <c r="S379" s="82" t="n">
        <f aca="false">IF(R379&lt;(Inputs!$E$29-Inputs!$D$29)/(Inputs!$F$29-Inputs!$D$29),Inputs!$D$29+SQRT(R379*(Inputs!$F$29-Inputs!$D$29)*(Inputs!$E$29-Inputs!$D$29)),Inputs!$F$29-SQRT((1-R379)*(Inputs!$F$29-Inputs!$D$29)*(Inputs!$F$29-Inputs!$E$29)))</f>
        <v>6.98738234562642</v>
      </c>
      <c r="T379" s="68" t="n">
        <f aca="false">Inputs!$E$9*(1+E379)+Inputs!$E$5*C379*(Inputs!$E$11*Inputs!$E$14*(G379*I379/Inputs!$E$16+(1-G379))*K379+Inputs!$E$23*M379)*(1+O379)+Inputs!$E$5*(Q379+S379)</f>
        <v>6281.86145468261</v>
      </c>
    </row>
    <row r="380" customFormat="false" ht="15" hidden="false" customHeight="false" outlineLevel="0" collapsed="false">
      <c r="A380" s="1" t="n">
        <v>376</v>
      </c>
      <c r="B380" s="81" t="n">
        <f aca="true">RAND()</f>
        <v>0.178864657260538</v>
      </c>
      <c r="C380" s="82" t="n">
        <f aca="false">ROUND(IF(B380&lt;(Inputs!$E$8-Inputs!$D$8)/(Inputs!$F$8-Inputs!$D$8),Inputs!$D$8+SQRT(B380*(Inputs!$F$8-Inputs!$D$8)*(Inputs!$E$8-Inputs!$D$8)),Inputs!$F$8-SQRT((1-B380)*(Inputs!$F$8-Inputs!$D$8)*(Inputs!$F$8-Inputs!$E$8))),0)</f>
        <v>23</v>
      </c>
      <c r="D380" s="81" t="n">
        <f aca="true">RAND()</f>
        <v>0.564025106897773</v>
      </c>
      <c r="E380" s="83" t="n">
        <f aca="false">IF(D380&lt;(Inputs!$E$10-Inputs!$D$10)/(Inputs!$F$10-Inputs!$D$10),Inputs!$D$10+SQRT(D380*(Inputs!$F$10-Inputs!$D$10)*(Inputs!$E$10-Inputs!$D$10)),Inputs!$F$10-SQRT((1-D380)*(Inputs!$F$10-Inputs!$D$10)*(Inputs!$F$10-Inputs!$E$10)))</f>
        <v>0.0856354653178407</v>
      </c>
      <c r="F380" s="81" t="n">
        <f aca="true">RAND()</f>
        <v>0.578777580026162</v>
      </c>
      <c r="G380" s="83" t="n">
        <f aca="false">IF(F380&lt;(Inputs!$E$15-Inputs!$D$15)/(Inputs!$F$15-Inputs!$D$15),Inputs!$D$15+SQRT(F380*(Inputs!$F$15-Inputs!$D$15)*(Inputs!$E$15-Inputs!$D$15)),Inputs!$F$15-SQRT((1-F380)*(Inputs!$F$15-Inputs!$D$15)*(Inputs!$F$15-Inputs!$E$15)))</f>
        <v>0.708215206055269</v>
      </c>
      <c r="H380" s="81" t="n">
        <f aca="true">RAND()</f>
        <v>0.304749525570326</v>
      </c>
      <c r="I380" s="82" t="n">
        <f aca="false">ROUND(IF(H380&lt;(Inputs!$E$17-Inputs!$D$17)/(Inputs!$F$17-Inputs!$D$17),Inputs!$D$17+SQRT(H380*(Inputs!$F$17-Inputs!$D$17)*(Inputs!$E$17-Inputs!$D$17)),Inputs!$F$17-SQRT((1-H380)*(Inputs!$F$17-Inputs!$D$17)*(Inputs!$F$17-Inputs!$E$17))),0)</f>
        <v>105</v>
      </c>
      <c r="J380" s="81" t="n">
        <f aca="true">RAND()</f>
        <v>0.689220673623296</v>
      </c>
      <c r="K380" s="83" t="n">
        <f aca="false">IF(J380&lt;(Inputs!$E$18-Inputs!$D$18)/(Inputs!$F$18-Inputs!$D$18),Inputs!$D$18+SQRT(J380*(Inputs!$F$18-Inputs!$D$18)*(Inputs!$E$18-Inputs!$D$18)),Inputs!$F$18-SQRT((1-J380)*(Inputs!$F$18-Inputs!$D$18)*(Inputs!$F$18-Inputs!$E$18)))</f>
        <v>1.08509641890498</v>
      </c>
      <c r="L380" s="81" t="n">
        <f aca="true">RAND()</f>
        <v>0.659750309249719</v>
      </c>
      <c r="M380" s="83" t="n">
        <f aca="false">IF(L380&lt;(Inputs!$E$24-Inputs!$D$24)/(Inputs!$F$24-Inputs!$D$24),Inputs!$D$24+SQRT(L380*(Inputs!$F$24-Inputs!$D$24)*(Inputs!$E$24-Inputs!$D$24)),Inputs!$F$24-SQRT((1-L380)*(Inputs!$F$24-Inputs!$D$24)*(Inputs!$F$24-Inputs!$E$24)))</f>
        <v>0.914237991013383</v>
      </c>
      <c r="N380" s="81" t="n">
        <f aca="true">RAND()</f>
        <v>0.154426104489332</v>
      </c>
      <c r="O380" s="83" t="n">
        <f aca="false">IF(N380&lt;(Inputs!$E$26-Inputs!$D$26)/(Inputs!$F$26-Inputs!$D$26),Inputs!$D$26+SQRT(N380*(Inputs!$F$26-Inputs!$D$26)*(Inputs!$E$26-Inputs!$D$26)),Inputs!$F$26-SQRT((1-N380)*(Inputs!$F$26-Inputs!$D$26)*(Inputs!$F$26-Inputs!$E$26)))</f>
        <v>0.460301290659261</v>
      </c>
      <c r="P380" s="81" t="n">
        <f aca="true">RAND()</f>
        <v>0.352565161543668</v>
      </c>
      <c r="Q380" s="82" t="n">
        <f aca="false">IF(P380&lt;(Inputs!$E$27-Inputs!$D$27)/(Inputs!$F$27-Inputs!$D$27),Inputs!$D$27+SQRT(P380*(Inputs!$F$27-Inputs!$D$27)*(Inputs!$E$27-Inputs!$D$27)),Inputs!$F$27-SQRT((1-P380)*(Inputs!$F$27-Inputs!$D$27)*(Inputs!$F$27-Inputs!$E$27)))</f>
        <v>80.3167072504285</v>
      </c>
      <c r="R380" s="81" t="n">
        <f aca="true">RAND()</f>
        <v>0.926409573002629</v>
      </c>
      <c r="S380" s="82" t="n">
        <f aca="false">IF(R380&lt;(Inputs!$E$29-Inputs!$D$29)/(Inputs!$F$29-Inputs!$D$29),Inputs!$D$29+SQRT(R380*(Inputs!$F$29-Inputs!$D$29)*(Inputs!$E$29-Inputs!$D$29)),Inputs!$F$29-SQRT((1-R380)*(Inputs!$F$29-Inputs!$D$29)*(Inputs!$F$29-Inputs!$E$29)))</f>
        <v>11.9069827821918</v>
      </c>
      <c r="T380" s="68" t="n">
        <f aca="false">Inputs!$E$9*(1+E380)+Inputs!$E$5*C380*(Inputs!$E$11*Inputs!$E$14*(G380*I380/Inputs!$E$16+(1-G380))*K380+Inputs!$E$23*M380)*(1+O380)+Inputs!$E$5*(Q380+S380)</f>
        <v>5891.39683821976</v>
      </c>
    </row>
    <row r="381" customFormat="false" ht="15" hidden="false" customHeight="false" outlineLevel="0" collapsed="false">
      <c r="A381" s="1" t="n">
        <v>377</v>
      </c>
      <c r="B381" s="81" t="n">
        <f aca="true">RAND()</f>
        <v>0.814303023598112</v>
      </c>
      <c r="C381" s="82" t="n">
        <f aca="false">ROUND(IF(B381&lt;(Inputs!$E$8-Inputs!$D$8)/(Inputs!$F$8-Inputs!$D$8),Inputs!$D$8+SQRT(B381*(Inputs!$F$8-Inputs!$D$8)*(Inputs!$E$8-Inputs!$D$8)),Inputs!$F$8-SQRT((1-B381)*(Inputs!$F$8-Inputs!$D$8)*(Inputs!$F$8-Inputs!$E$8))),0)</f>
        <v>27</v>
      </c>
      <c r="D381" s="81" t="n">
        <f aca="true">RAND()</f>
        <v>0.0955929464038609</v>
      </c>
      <c r="E381" s="83" t="n">
        <f aca="false">IF(D381&lt;(Inputs!$E$10-Inputs!$D$10)/(Inputs!$F$10-Inputs!$D$10),Inputs!$D$10+SQRT(D381*(Inputs!$F$10-Inputs!$D$10)*(Inputs!$E$10-Inputs!$D$10)),Inputs!$F$10-SQRT((1-D381)*(Inputs!$F$10-Inputs!$D$10)*(Inputs!$F$10-Inputs!$E$10)))</f>
        <v>0.0309181089984269</v>
      </c>
      <c r="F381" s="81" t="n">
        <f aca="true">RAND()</f>
        <v>0.416995278589224</v>
      </c>
      <c r="G381" s="83" t="n">
        <f aca="false">IF(F381&lt;(Inputs!$E$15-Inputs!$D$15)/(Inputs!$F$15-Inputs!$D$15),Inputs!$D$15+SQRT(F381*(Inputs!$F$15-Inputs!$D$15)*(Inputs!$E$15-Inputs!$D$15)),Inputs!$F$15-SQRT((1-F381)*(Inputs!$F$15-Inputs!$D$15)*(Inputs!$F$15-Inputs!$E$15)))</f>
        <v>0.691323083455304</v>
      </c>
      <c r="H381" s="81" t="n">
        <f aca="true">RAND()</f>
        <v>0.247896197939466</v>
      </c>
      <c r="I381" s="82" t="n">
        <f aca="false">ROUND(IF(H381&lt;(Inputs!$E$17-Inputs!$D$17)/(Inputs!$F$17-Inputs!$D$17),Inputs!$D$17+SQRT(H381*(Inputs!$F$17-Inputs!$D$17)*(Inputs!$E$17-Inputs!$D$17)),Inputs!$F$17-SQRT((1-H381)*(Inputs!$F$17-Inputs!$D$17)*(Inputs!$F$17-Inputs!$E$17))),0)</f>
        <v>104</v>
      </c>
      <c r="J381" s="81" t="n">
        <f aca="true">RAND()</f>
        <v>0.886092706696781</v>
      </c>
      <c r="K381" s="83" t="n">
        <f aca="false">IF(J381&lt;(Inputs!$E$18-Inputs!$D$18)/(Inputs!$F$18-Inputs!$D$18),Inputs!$D$18+SQRT(J381*(Inputs!$F$18-Inputs!$D$18)*(Inputs!$E$18-Inputs!$D$18)),Inputs!$F$18-SQRT((1-J381)*(Inputs!$F$18-Inputs!$D$18)*(Inputs!$F$18-Inputs!$E$18)))</f>
        <v>1.15016569645642</v>
      </c>
      <c r="L381" s="81" t="n">
        <f aca="true">RAND()</f>
        <v>0.622939759676722</v>
      </c>
      <c r="M381" s="83" t="n">
        <f aca="false">IF(L381&lt;(Inputs!$E$24-Inputs!$D$24)/(Inputs!$F$24-Inputs!$D$24),Inputs!$D$24+SQRT(L381*(Inputs!$F$24-Inputs!$D$24)*(Inputs!$E$24-Inputs!$D$24)),Inputs!$F$24-SQRT((1-L381)*(Inputs!$F$24-Inputs!$D$24)*(Inputs!$F$24-Inputs!$E$24)))</f>
        <v>0.899177032662752</v>
      </c>
      <c r="N381" s="81" t="n">
        <f aca="true">RAND()</f>
        <v>0.0267293587456828</v>
      </c>
      <c r="O381" s="83" t="n">
        <f aca="false">IF(N381&lt;(Inputs!$E$26-Inputs!$D$26)/(Inputs!$F$26-Inputs!$D$26),Inputs!$D$26+SQRT(N381*(Inputs!$F$26-Inputs!$D$26)*(Inputs!$E$26-Inputs!$D$26)),Inputs!$F$26-SQRT((1-N381)*(Inputs!$F$26-Inputs!$D$26)*(Inputs!$F$26-Inputs!$E$26)))</f>
        <v>0.366691568397224</v>
      </c>
      <c r="P381" s="81" t="n">
        <f aca="true">RAND()</f>
        <v>0.397975205254115</v>
      </c>
      <c r="Q381" s="82" t="n">
        <f aca="false">IF(P381&lt;(Inputs!$E$27-Inputs!$D$27)/(Inputs!$F$27-Inputs!$D$27),Inputs!$D$27+SQRT(P381*(Inputs!$F$27-Inputs!$D$27)*(Inputs!$E$27-Inputs!$D$27)),Inputs!$F$27-SQRT((1-P381)*(Inputs!$F$27-Inputs!$D$27)*(Inputs!$F$27-Inputs!$E$27)))</f>
        <v>82.8048665408414</v>
      </c>
      <c r="R381" s="81" t="n">
        <f aca="true">RAND()</f>
        <v>0.109290678778791</v>
      </c>
      <c r="S381" s="82" t="n">
        <f aca="false">IF(R381&lt;(Inputs!$E$29-Inputs!$D$29)/(Inputs!$F$29-Inputs!$D$29),Inputs!$D$29+SQRT(R381*(Inputs!$F$29-Inputs!$D$29)*(Inputs!$E$29-Inputs!$D$29)),Inputs!$F$29-SQRT((1-R381)*(Inputs!$F$29-Inputs!$D$29)*(Inputs!$F$29-Inputs!$E$29)))</f>
        <v>4.06454267874821</v>
      </c>
      <c r="T381" s="68" t="n">
        <f aca="false">Inputs!$E$9*(1+E381)+Inputs!$E$5*C381*(Inputs!$E$11*Inputs!$E$14*(G381*I381/Inputs!$E$16+(1-G381))*K381+Inputs!$E$23*M381)*(1+O381)+Inputs!$E$5*(Q381+S381)</f>
        <v>6164.49570009681</v>
      </c>
    </row>
    <row r="382" customFormat="false" ht="15" hidden="false" customHeight="false" outlineLevel="0" collapsed="false">
      <c r="A382" s="1" t="n">
        <v>378</v>
      </c>
      <c r="B382" s="81" t="n">
        <f aca="true">RAND()</f>
        <v>0.0498262623153523</v>
      </c>
      <c r="C382" s="82" t="n">
        <f aca="false">ROUND(IF(B382&lt;(Inputs!$E$8-Inputs!$D$8)/(Inputs!$F$8-Inputs!$D$8),Inputs!$D$8+SQRT(B382*(Inputs!$F$8-Inputs!$D$8)*(Inputs!$E$8-Inputs!$D$8)),Inputs!$F$8-SQRT((1-B382)*(Inputs!$F$8-Inputs!$D$8)*(Inputs!$F$8-Inputs!$E$8))),0)</f>
        <v>22</v>
      </c>
      <c r="D382" s="81" t="n">
        <f aca="true">RAND()</f>
        <v>0.870204458371327</v>
      </c>
      <c r="E382" s="83" t="n">
        <f aca="false">IF(D382&lt;(Inputs!$E$10-Inputs!$D$10)/(Inputs!$F$10-Inputs!$D$10),Inputs!$D$10+SQRT(D382*(Inputs!$F$10-Inputs!$D$10)*(Inputs!$E$10-Inputs!$D$10)),Inputs!$F$10-SQRT((1-D382)*(Inputs!$F$10-Inputs!$D$10)*(Inputs!$F$10-Inputs!$E$10)))</f>
        <v>0.137599148652761</v>
      </c>
      <c r="F382" s="81" t="n">
        <f aca="true">RAND()</f>
        <v>0.0346761842124015</v>
      </c>
      <c r="G382" s="83" t="n">
        <f aca="false">IF(F382&lt;(Inputs!$E$15-Inputs!$D$15)/(Inputs!$F$15-Inputs!$D$15),Inputs!$D$15+SQRT(F382*(Inputs!$F$15-Inputs!$D$15)*(Inputs!$E$15-Inputs!$D$15)),Inputs!$F$15-SQRT((1-F382)*(Inputs!$F$15-Inputs!$D$15)*(Inputs!$F$15-Inputs!$E$15)))</f>
        <v>0.626334837843587</v>
      </c>
      <c r="H382" s="81" t="n">
        <f aca="true">RAND()</f>
        <v>0.699421848756728</v>
      </c>
      <c r="I382" s="82" t="n">
        <f aca="false">ROUND(IF(H382&lt;(Inputs!$E$17-Inputs!$D$17)/(Inputs!$F$17-Inputs!$D$17),Inputs!$D$17+SQRT(H382*(Inputs!$F$17-Inputs!$D$17)*(Inputs!$E$17-Inputs!$D$17)),Inputs!$F$17-SQRT((1-H382)*(Inputs!$F$17-Inputs!$D$17)*(Inputs!$F$17-Inputs!$E$17))),0)</f>
        <v>108</v>
      </c>
      <c r="J382" s="81" t="n">
        <f aca="true">RAND()</f>
        <v>0.9240968478084</v>
      </c>
      <c r="K382" s="83" t="n">
        <f aca="false">IF(J382&lt;(Inputs!$E$18-Inputs!$D$18)/(Inputs!$F$18-Inputs!$D$18),Inputs!$D$18+SQRT(J382*(Inputs!$F$18-Inputs!$D$18)*(Inputs!$E$18-Inputs!$D$18)),Inputs!$F$18-SQRT((1-J382)*(Inputs!$F$18-Inputs!$D$18)*(Inputs!$F$18-Inputs!$E$18)))</f>
        <v>1.16850444296304</v>
      </c>
      <c r="L382" s="81" t="n">
        <f aca="true">RAND()</f>
        <v>0.826034427822263</v>
      </c>
      <c r="M382" s="83" t="n">
        <f aca="false">IF(L382&lt;(Inputs!$E$24-Inputs!$D$24)/(Inputs!$F$24-Inputs!$D$24),Inputs!$D$24+SQRT(L382*(Inputs!$F$24-Inputs!$D$24)*(Inputs!$E$24-Inputs!$D$24)),Inputs!$F$24-SQRT((1-L382)*(Inputs!$F$24-Inputs!$D$24)*(Inputs!$F$24-Inputs!$E$24)))</f>
        <v>0.995667581322354</v>
      </c>
      <c r="N382" s="81" t="n">
        <f aca="true">RAND()</f>
        <v>0.85539781418251</v>
      </c>
      <c r="O382" s="83" t="n">
        <f aca="false">IF(N382&lt;(Inputs!$E$26-Inputs!$D$26)/(Inputs!$F$26-Inputs!$D$26),Inputs!$D$26+SQRT(N382*(Inputs!$F$26-Inputs!$D$26)*(Inputs!$E$26-Inputs!$D$26)),Inputs!$F$26-SQRT((1-N382)*(Inputs!$F$26-Inputs!$D$26)*(Inputs!$F$26-Inputs!$E$26)))</f>
        <v>0.697367918858812</v>
      </c>
      <c r="P382" s="81" t="n">
        <f aca="true">RAND()</f>
        <v>0.635563917035085</v>
      </c>
      <c r="Q382" s="82" t="n">
        <f aca="false">IF(P382&lt;(Inputs!$E$27-Inputs!$D$27)/(Inputs!$F$27-Inputs!$D$27),Inputs!$D$27+SQRT(P382*(Inputs!$F$27-Inputs!$D$27)*(Inputs!$E$27-Inputs!$D$27)),Inputs!$F$27-SQRT((1-P382)*(Inputs!$F$27-Inputs!$D$27)*(Inputs!$F$27-Inputs!$E$27)))</f>
        <v>97.7193092792677</v>
      </c>
      <c r="R382" s="81" t="n">
        <f aca="true">RAND()</f>
        <v>0.379012731805144</v>
      </c>
      <c r="S382" s="82" t="n">
        <f aca="false">IF(R382&lt;(Inputs!$E$29-Inputs!$D$29)/(Inputs!$F$29-Inputs!$D$29),Inputs!$D$29+SQRT(R382*(Inputs!$F$29-Inputs!$D$29)*(Inputs!$E$29-Inputs!$D$29)),Inputs!$F$29-SQRT((1-R382)*(Inputs!$F$29-Inputs!$D$29)*(Inputs!$F$29-Inputs!$E$29)))</f>
        <v>6.01510462691238</v>
      </c>
      <c r="T382" s="68" t="n">
        <f aca="false">Inputs!$E$9*(1+E382)+Inputs!$E$5*C382*(Inputs!$E$11*Inputs!$E$14*(G382*I382/Inputs!$E$16+(1-G382))*K382+Inputs!$E$23*M382)*(1+O382)+Inputs!$E$5*(Q382+S382)</f>
        <v>6831.29322697986</v>
      </c>
    </row>
    <row r="383" customFormat="false" ht="15" hidden="false" customHeight="false" outlineLevel="0" collapsed="false">
      <c r="A383" s="1" t="n">
        <v>379</v>
      </c>
      <c r="B383" s="81" t="n">
        <f aca="true">RAND()</f>
        <v>0.24014748039001</v>
      </c>
      <c r="C383" s="82" t="n">
        <f aca="false">ROUND(IF(B383&lt;(Inputs!$E$8-Inputs!$D$8)/(Inputs!$F$8-Inputs!$D$8),Inputs!$D$8+SQRT(B383*(Inputs!$F$8-Inputs!$D$8)*(Inputs!$E$8-Inputs!$D$8)),Inputs!$F$8-SQRT((1-B383)*(Inputs!$F$8-Inputs!$D$8)*(Inputs!$F$8-Inputs!$E$8))),0)</f>
        <v>23</v>
      </c>
      <c r="D383" s="81" t="n">
        <f aca="true">RAND()</f>
        <v>0.726350185740981</v>
      </c>
      <c r="E383" s="83" t="n">
        <f aca="false">IF(D383&lt;(Inputs!$E$10-Inputs!$D$10)/(Inputs!$F$10-Inputs!$D$10),Inputs!$D$10+SQRT(D383*(Inputs!$F$10-Inputs!$D$10)*(Inputs!$E$10-Inputs!$D$10)),Inputs!$F$10-SQRT((1-D383)*(Inputs!$F$10-Inputs!$D$10)*(Inputs!$F$10-Inputs!$E$10)))</f>
        <v>0.109393739577386</v>
      </c>
      <c r="F383" s="81" t="n">
        <f aca="true">RAND()</f>
        <v>0.521417789910655</v>
      </c>
      <c r="G383" s="83" t="n">
        <f aca="false">IF(F383&lt;(Inputs!$E$15-Inputs!$D$15)/(Inputs!$F$15-Inputs!$D$15),Inputs!$D$15+SQRT(F383*(Inputs!$F$15-Inputs!$D$15)*(Inputs!$E$15-Inputs!$D$15)),Inputs!$F$15-SQRT((1-F383)*(Inputs!$F$15-Inputs!$D$15)*(Inputs!$F$15-Inputs!$E$15)))</f>
        <v>0.702165219876636</v>
      </c>
      <c r="H383" s="81" t="n">
        <f aca="true">RAND()</f>
        <v>0.282019616036476</v>
      </c>
      <c r="I383" s="82" t="n">
        <f aca="false">ROUND(IF(H383&lt;(Inputs!$E$17-Inputs!$D$17)/(Inputs!$F$17-Inputs!$D$17),Inputs!$D$17+SQRT(H383*(Inputs!$F$17-Inputs!$D$17)*(Inputs!$E$17-Inputs!$D$17)),Inputs!$F$17-SQRT((1-H383)*(Inputs!$F$17-Inputs!$D$17)*(Inputs!$F$17-Inputs!$E$17))),0)</f>
        <v>105</v>
      </c>
      <c r="J383" s="81" t="n">
        <f aca="true">RAND()</f>
        <v>0.455909836568283</v>
      </c>
      <c r="K383" s="83" t="n">
        <f aca="false">IF(J383&lt;(Inputs!$E$18-Inputs!$D$18)/(Inputs!$F$18-Inputs!$D$18),Inputs!$D$18+SQRT(J383*(Inputs!$F$18-Inputs!$D$18)*(Inputs!$E$18-Inputs!$D$18)),Inputs!$F$18-SQRT((1-J383)*(Inputs!$F$18-Inputs!$D$18)*(Inputs!$F$18-Inputs!$E$18)))</f>
        <v>1.03180767818212</v>
      </c>
      <c r="L383" s="81" t="n">
        <f aca="true">RAND()</f>
        <v>0.45887305472931</v>
      </c>
      <c r="M383" s="83" t="n">
        <f aca="false">IF(L383&lt;(Inputs!$E$24-Inputs!$D$24)/(Inputs!$F$24-Inputs!$D$24),Inputs!$D$24+SQRT(L383*(Inputs!$F$24-Inputs!$D$24)*(Inputs!$E$24-Inputs!$D$24)),Inputs!$F$24-SQRT((1-L383)*(Inputs!$F$24-Inputs!$D$24)*(Inputs!$F$24-Inputs!$E$24)))</f>
        <v>0.839624547360721</v>
      </c>
      <c r="N383" s="81" t="n">
        <f aca="true">RAND()</f>
        <v>0.853773363081675</v>
      </c>
      <c r="O383" s="83" t="n">
        <f aca="false">IF(N383&lt;(Inputs!$E$26-Inputs!$D$26)/(Inputs!$F$26-Inputs!$D$26),Inputs!$D$26+SQRT(N383*(Inputs!$F$26-Inputs!$D$26)*(Inputs!$E$26-Inputs!$D$26)),Inputs!$F$26-SQRT((1-N383)*(Inputs!$F$26-Inputs!$D$26)*(Inputs!$F$26-Inputs!$E$26)))</f>
        <v>0.69668102238704</v>
      </c>
      <c r="P383" s="81" t="n">
        <f aca="true">RAND()</f>
        <v>0.315643988585552</v>
      </c>
      <c r="Q383" s="82" t="n">
        <f aca="false">IF(P383&lt;(Inputs!$E$27-Inputs!$D$27)/(Inputs!$F$27-Inputs!$D$27),Inputs!$D$27+SQRT(P383*(Inputs!$F$27-Inputs!$D$27)*(Inputs!$E$27-Inputs!$D$27)),Inputs!$F$27-SQRT((1-P383)*(Inputs!$F$27-Inputs!$D$27)*(Inputs!$F$27-Inputs!$E$27)))</f>
        <v>78.3573445103522</v>
      </c>
      <c r="R383" s="81" t="n">
        <f aca="true">RAND()</f>
        <v>0.976245196765821</v>
      </c>
      <c r="S383" s="82" t="n">
        <f aca="false">IF(R383&lt;(Inputs!$E$29-Inputs!$D$29)/(Inputs!$F$29-Inputs!$D$29),Inputs!$D$29+SQRT(R383*(Inputs!$F$29-Inputs!$D$29)*(Inputs!$E$29-Inputs!$D$29)),Inputs!$F$29-SQRT((1-R383)*(Inputs!$F$29-Inputs!$D$29)*(Inputs!$F$29-Inputs!$E$29)))</f>
        <v>13.2426939878202</v>
      </c>
      <c r="T383" s="68" t="n">
        <f aca="false">Inputs!$E$9*(1+E383)+Inputs!$E$5*C383*(Inputs!$E$11*Inputs!$E$14*(G383*I383/Inputs!$E$16+(1-G383))*K383+Inputs!$E$23*M383)*(1+O383)+Inputs!$E$5*(Q383+S383)</f>
        <v>6226.14143683242</v>
      </c>
    </row>
    <row r="384" customFormat="false" ht="15" hidden="false" customHeight="false" outlineLevel="0" collapsed="false">
      <c r="A384" s="1" t="n">
        <v>380</v>
      </c>
      <c r="B384" s="81" t="n">
        <f aca="true">RAND()</f>
        <v>0.01948864258998</v>
      </c>
      <c r="C384" s="82" t="n">
        <f aca="false">ROUND(IF(B384&lt;(Inputs!$E$8-Inputs!$D$8)/(Inputs!$F$8-Inputs!$D$8),Inputs!$D$8+SQRT(B384*(Inputs!$F$8-Inputs!$D$8)*(Inputs!$E$8-Inputs!$D$8)),Inputs!$F$8-SQRT((1-B384)*(Inputs!$F$8-Inputs!$D$8)*(Inputs!$F$8-Inputs!$E$8))),0)</f>
        <v>21</v>
      </c>
      <c r="D384" s="81" t="n">
        <f aca="true">RAND()</f>
        <v>0.675037538469909</v>
      </c>
      <c r="E384" s="83" t="n">
        <f aca="false">IF(D384&lt;(Inputs!$E$10-Inputs!$D$10)/(Inputs!$F$10-Inputs!$D$10),Inputs!$D$10+SQRT(D384*(Inputs!$F$10-Inputs!$D$10)*(Inputs!$E$10-Inputs!$D$10)),Inputs!$F$10-SQRT((1-D384)*(Inputs!$F$10-Inputs!$D$10)*(Inputs!$F$10-Inputs!$E$10)))</f>
        <v>0.101263614376955</v>
      </c>
      <c r="F384" s="81" t="n">
        <f aca="true">RAND()</f>
        <v>0.723877661598881</v>
      </c>
      <c r="G384" s="83" t="n">
        <f aca="false">IF(F384&lt;(Inputs!$E$15-Inputs!$D$15)/(Inputs!$F$15-Inputs!$D$15),Inputs!$D$15+SQRT(F384*(Inputs!$F$15-Inputs!$D$15)*(Inputs!$E$15-Inputs!$D$15)),Inputs!$F$15-SQRT((1-F384)*(Inputs!$F$15-Inputs!$D$15)*(Inputs!$F$15-Inputs!$E$15)))</f>
        <v>0.725686833144978</v>
      </c>
      <c r="H384" s="81" t="n">
        <f aca="true">RAND()</f>
        <v>0.70839551966177</v>
      </c>
      <c r="I384" s="82" t="n">
        <f aca="false">ROUND(IF(H384&lt;(Inputs!$E$17-Inputs!$D$17)/(Inputs!$F$17-Inputs!$D$17),Inputs!$D$17+SQRT(H384*(Inputs!$F$17-Inputs!$D$17)*(Inputs!$E$17-Inputs!$D$17)),Inputs!$F$17-SQRT((1-H384)*(Inputs!$F$17-Inputs!$D$17)*(Inputs!$F$17-Inputs!$E$17))),0)</f>
        <v>108</v>
      </c>
      <c r="J384" s="81" t="n">
        <f aca="true">RAND()</f>
        <v>0.666189220962791</v>
      </c>
      <c r="K384" s="83" t="n">
        <f aca="false">IF(J384&lt;(Inputs!$E$18-Inputs!$D$18)/(Inputs!$F$18-Inputs!$D$18),Inputs!$D$18+SQRT(J384*(Inputs!$F$18-Inputs!$D$18)*(Inputs!$E$18-Inputs!$D$18)),Inputs!$F$18-SQRT((1-J384)*(Inputs!$F$18-Inputs!$D$18)*(Inputs!$F$18-Inputs!$E$18)))</f>
        <v>1.0790952219341</v>
      </c>
      <c r="L384" s="81" t="n">
        <f aca="true">RAND()</f>
        <v>0.461643376570549</v>
      </c>
      <c r="M384" s="83" t="n">
        <f aca="false">IF(L384&lt;(Inputs!$E$24-Inputs!$D$24)/(Inputs!$F$24-Inputs!$D$24),Inputs!$D$24+SQRT(L384*(Inputs!$F$24-Inputs!$D$24)*(Inputs!$E$24-Inputs!$D$24)),Inputs!$F$24-SQRT((1-L384)*(Inputs!$F$24-Inputs!$D$24)*(Inputs!$F$24-Inputs!$E$24)))</f>
        <v>0.840548209598188</v>
      </c>
      <c r="N384" s="81" t="n">
        <f aca="true">RAND()</f>
        <v>0.209291423122259</v>
      </c>
      <c r="O384" s="83" t="n">
        <f aca="false">IF(N384&lt;(Inputs!$E$26-Inputs!$D$26)/(Inputs!$F$26-Inputs!$D$26),Inputs!$D$26+SQRT(N384*(Inputs!$F$26-Inputs!$D$26)*(Inputs!$E$26-Inputs!$D$26)),Inputs!$F$26-SQRT((1-N384)*(Inputs!$F$26-Inputs!$D$26)*(Inputs!$F$26-Inputs!$E$26)))</f>
        <v>0.486617504022382</v>
      </c>
      <c r="P384" s="81" t="n">
        <f aca="true">RAND()</f>
        <v>0.413962064678083</v>
      </c>
      <c r="Q384" s="82" t="n">
        <f aca="false">IF(P384&lt;(Inputs!$E$27-Inputs!$D$27)/(Inputs!$F$27-Inputs!$D$27),Inputs!$D$27+SQRT(P384*(Inputs!$F$27-Inputs!$D$27)*(Inputs!$E$27-Inputs!$D$27)),Inputs!$F$27-SQRT((1-P384)*(Inputs!$F$27-Inputs!$D$27)*(Inputs!$F$27-Inputs!$E$27)))</f>
        <v>83.7030580274295</v>
      </c>
      <c r="R384" s="81" t="n">
        <f aca="true">RAND()</f>
        <v>0.178477848576421</v>
      </c>
      <c r="S384" s="82" t="n">
        <f aca="false">IF(R384&lt;(Inputs!$E$29-Inputs!$D$29)/(Inputs!$F$29-Inputs!$D$29),Inputs!$D$29+SQRT(R384*(Inputs!$F$29-Inputs!$D$29)*(Inputs!$E$29-Inputs!$D$29)),Inputs!$F$29-SQRT((1-R384)*(Inputs!$F$29-Inputs!$D$29)*(Inputs!$F$29-Inputs!$E$29)))</f>
        <v>4.63830174439551</v>
      </c>
      <c r="T384" s="68" t="n">
        <f aca="false">Inputs!$E$9*(1+E384)+Inputs!$E$5*C384*(Inputs!$E$11*Inputs!$E$14*(G384*I384/Inputs!$E$16+(1-G384))*K384+Inputs!$E$23*M384)*(1+O384)+Inputs!$E$5*(Q384+S384)</f>
        <v>5610.80960687264</v>
      </c>
    </row>
    <row r="385" customFormat="false" ht="15" hidden="false" customHeight="false" outlineLevel="0" collapsed="false">
      <c r="A385" s="1" t="n">
        <v>381</v>
      </c>
      <c r="B385" s="81" t="n">
        <f aca="true">RAND()</f>
        <v>0.822472413527933</v>
      </c>
      <c r="C385" s="82" t="n">
        <f aca="false">ROUND(IF(B385&lt;(Inputs!$E$8-Inputs!$D$8)/(Inputs!$F$8-Inputs!$D$8),Inputs!$D$8+SQRT(B385*(Inputs!$F$8-Inputs!$D$8)*(Inputs!$E$8-Inputs!$D$8)),Inputs!$F$8-SQRT((1-B385)*(Inputs!$F$8-Inputs!$D$8)*(Inputs!$F$8-Inputs!$E$8))),0)</f>
        <v>27</v>
      </c>
      <c r="D385" s="81" t="n">
        <f aca="true">RAND()</f>
        <v>0.238848403222207</v>
      </c>
      <c r="E385" s="83" t="n">
        <f aca="false">IF(D385&lt;(Inputs!$E$10-Inputs!$D$10)/(Inputs!$F$10-Inputs!$D$10),Inputs!$D$10+SQRT(D385*(Inputs!$F$10-Inputs!$D$10)*(Inputs!$E$10-Inputs!$D$10)),Inputs!$F$10-SQRT((1-D385)*(Inputs!$F$10-Inputs!$D$10)*(Inputs!$F$10-Inputs!$E$10)))</f>
        <v>0.0488721191705667</v>
      </c>
      <c r="F385" s="81" t="n">
        <f aca="true">RAND()</f>
        <v>0.716656710079212</v>
      </c>
      <c r="G385" s="83" t="n">
        <f aca="false">IF(F385&lt;(Inputs!$E$15-Inputs!$D$15)/(Inputs!$F$15-Inputs!$D$15),Inputs!$D$15+SQRT(F385*(Inputs!$F$15-Inputs!$D$15)*(Inputs!$E$15-Inputs!$D$15)),Inputs!$F$15-SQRT((1-F385)*(Inputs!$F$15-Inputs!$D$15)*(Inputs!$F$15-Inputs!$E$15)))</f>
        <v>0.724721412085403</v>
      </c>
      <c r="H385" s="81" t="n">
        <f aca="true">RAND()</f>
        <v>0.947043157951178</v>
      </c>
      <c r="I385" s="82" t="n">
        <f aca="false">ROUND(IF(H385&lt;(Inputs!$E$17-Inputs!$D$17)/(Inputs!$F$17-Inputs!$D$17),Inputs!$D$17+SQRT(H385*(Inputs!$F$17-Inputs!$D$17)*(Inputs!$E$17-Inputs!$D$17)),Inputs!$F$17-SQRT((1-H385)*(Inputs!$F$17-Inputs!$D$17)*(Inputs!$F$17-Inputs!$E$17))),0)</f>
        <v>112</v>
      </c>
      <c r="J385" s="81" t="n">
        <f aca="true">RAND()</f>
        <v>0.660273536279829</v>
      </c>
      <c r="K385" s="83" t="n">
        <f aca="false">IF(J385&lt;(Inputs!$E$18-Inputs!$D$18)/(Inputs!$F$18-Inputs!$D$18),Inputs!$D$18+SQRT(J385*(Inputs!$F$18-Inputs!$D$18)*(Inputs!$E$18-Inputs!$D$18)),Inputs!$F$18-SQRT((1-J385)*(Inputs!$F$18-Inputs!$D$18)*(Inputs!$F$18-Inputs!$E$18)))</f>
        <v>1.07758751328423</v>
      </c>
      <c r="L385" s="81" t="n">
        <f aca="true">RAND()</f>
        <v>0.0430797752546322</v>
      </c>
      <c r="M385" s="83" t="n">
        <f aca="false">IF(L385&lt;(Inputs!$E$24-Inputs!$D$24)/(Inputs!$F$24-Inputs!$D$24),Inputs!$D$24+SQRT(L385*(Inputs!$F$24-Inputs!$D$24)*(Inputs!$E$24-Inputs!$D$24)),Inputs!$F$24-SQRT((1-L385)*(Inputs!$F$24-Inputs!$D$24)*(Inputs!$F$24-Inputs!$E$24)))</f>
        <v>0.671899742910221</v>
      </c>
      <c r="N385" s="81" t="n">
        <f aca="true">RAND()</f>
        <v>0.330648850485025</v>
      </c>
      <c r="O385" s="83" t="n">
        <f aca="false">IF(N385&lt;(Inputs!$E$26-Inputs!$D$26)/(Inputs!$F$26-Inputs!$D$26),Inputs!$D$26+SQRT(N385*(Inputs!$F$26-Inputs!$D$26)*(Inputs!$E$26-Inputs!$D$26)),Inputs!$F$26-SQRT((1-N385)*(Inputs!$F$26-Inputs!$D$26)*(Inputs!$F$26-Inputs!$E$26)))</f>
        <v>0.534563357583209</v>
      </c>
      <c r="P385" s="81" t="n">
        <f aca="true">RAND()</f>
        <v>0.734429819026512</v>
      </c>
      <c r="Q385" s="82" t="n">
        <f aca="false">IF(P385&lt;(Inputs!$E$27-Inputs!$D$27)/(Inputs!$F$27-Inputs!$D$27),Inputs!$D$27+SQRT(P385*(Inputs!$F$27-Inputs!$D$27)*(Inputs!$E$27-Inputs!$D$27)),Inputs!$F$27-SQRT((1-P385)*(Inputs!$F$27-Inputs!$D$27)*(Inputs!$F$27-Inputs!$E$27)))</f>
        <v>105.370678278724</v>
      </c>
      <c r="R385" s="81" t="n">
        <f aca="true">RAND()</f>
        <v>0.0842376227358044</v>
      </c>
      <c r="S385" s="82" t="n">
        <f aca="false">IF(R385&lt;(Inputs!$E$29-Inputs!$D$29)/(Inputs!$F$29-Inputs!$D$29),Inputs!$D$29+SQRT(R385*(Inputs!$F$29-Inputs!$D$29)*(Inputs!$E$29-Inputs!$D$29)),Inputs!$F$29-SQRT((1-R385)*(Inputs!$F$29-Inputs!$D$29)*(Inputs!$F$29-Inputs!$E$29)))</f>
        <v>3.81253063055397</v>
      </c>
      <c r="T385" s="68" t="n">
        <f aca="false">Inputs!$E$9*(1+E385)+Inputs!$E$5*C385*(Inputs!$E$11*Inputs!$E$14*(G385*I385/Inputs!$E$16+(1-G385))*K385+Inputs!$E$23*M385)*(1+O385)+Inputs!$E$5*(Q385+S385)</f>
        <v>6301.08419062468</v>
      </c>
    </row>
    <row r="386" customFormat="false" ht="15" hidden="false" customHeight="false" outlineLevel="0" collapsed="false">
      <c r="A386" s="1" t="n">
        <v>382</v>
      </c>
      <c r="B386" s="81" t="n">
        <f aca="true">RAND()</f>
        <v>0.925815647519555</v>
      </c>
      <c r="C386" s="82" t="n">
        <f aca="false">ROUND(IF(B386&lt;(Inputs!$E$8-Inputs!$D$8)/(Inputs!$F$8-Inputs!$D$8),Inputs!$D$8+SQRT(B386*(Inputs!$F$8-Inputs!$D$8)*(Inputs!$E$8-Inputs!$D$8)),Inputs!$F$8-SQRT((1-B386)*(Inputs!$F$8-Inputs!$D$8)*(Inputs!$F$8-Inputs!$E$8))),0)</f>
        <v>28</v>
      </c>
      <c r="D386" s="81" t="n">
        <f aca="true">RAND()</f>
        <v>0.158286367540476</v>
      </c>
      <c r="E386" s="83" t="n">
        <f aca="false">IF(D386&lt;(Inputs!$E$10-Inputs!$D$10)/(Inputs!$F$10-Inputs!$D$10),Inputs!$D$10+SQRT(D386*(Inputs!$F$10-Inputs!$D$10)*(Inputs!$E$10-Inputs!$D$10)),Inputs!$F$10-SQRT((1-D386)*(Inputs!$F$10-Inputs!$D$10)*(Inputs!$F$10-Inputs!$E$10)))</f>
        <v>0.0397852193082401</v>
      </c>
      <c r="F386" s="81" t="n">
        <f aca="true">RAND()</f>
        <v>0.00993607680499478</v>
      </c>
      <c r="G386" s="83" t="n">
        <f aca="false">IF(F386&lt;(Inputs!$E$15-Inputs!$D$15)/(Inputs!$F$15-Inputs!$D$15),Inputs!$D$15+SQRT(F386*(Inputs!$F$15-Inputs!$D$15)*(Inputs!$E$15-Inputs!$D$15)),Inputs!$F$15-SQRT((1-F386)*(Inputs!$F$15-Inputs!$D$15)*(Inputs!$F$15-Inputs!$E$15)))</f>
        <v>0.614096862633221</v>
      </c>
      <c r="H386" s="81" t="n">
        <f aca="true">RAND()</f>
        <v>0.578575493785992</v>
      </c>
      <c r="I386" s="82" t="n">
        <f aca="false">ROUND(IF(H386&lt;(Inputs!$E$17-Inputs!$D$17)/(Inputs!$F$17-Inputs!$D$17),Inputs!$D$17+SQRT(H386*(Inputs!$F$17-Inputs!$D$17)*(Inputs!$E$17-Inputs!$D$17)),Inputs!$F$17-SQRT((1-H386)*(Inputs!$F$17-Inputs!$D$17)*(Inputs!$F$17-Inputs!$E$17))),0)</f>
        <v>107</v>
      </c>
      <c r="J386" s="81" t="n">
        <f aca="true">RAND()</f>
        <v>0.0846807506779559</v>
      </c>
      <c r="K386" s="83" t="n">
        <f aca="false">IF(J386&lt;(Inputs!$E$18-Inputs!$D$18)/(Inputs!$F$18-Inputs!$D$18),Inputs!$D$18+SQRT(J386*(Inputs!$F$18-Inputs!$D$18)*(Inputs!$E$18-Inputs!$D$18)),Inputs!$F$18-SQRT((1-J386)*(Inputs!$F$18-Inputs!$D$18)*(Inputs!$F$18-Inputs!$E$18)))</f>
        <v>0.954441034833372</v>
      </c>
      <c r="L386" s="81" t="n">
        <f aca="true">RAND()</f>
        <v>0.417734191035596</v>
      </c>
      <c r="M386" s="83" t="n">
        <f aca="false">IF(L386&lt;(Inputs!$E$24-Inputs!$D$24)/(Inputs!$F$24-Inputs!$D$24),Inputs!$D$24+SQRT(L386*(Inputs!$F$24-Inputs!$D$24)*(Inputs!$E$24-Inputs!$D$24)),Inputs!$F$24-SQRT((1-L386)*(Inputs!$F$24-Inputs!$D$24)*(Inputs!$F$24-Inputs!$E$24)))</f>
        <v>0.826176787570038</v>
      </c>
      <c r="N386" s="81" t="n">
        <f aca="true">RAND()</f>
        <v>0.231697057564746</v>
      </c>
      <c r="O386" s="83" t="n">
        <f aca="false">IF(N386&lt;(Inputs!$E$26-Inputs!$D$26)/(Inputs!$F$26-Inputs!$D$26),Inputs!$D$26+SQRT(N386*(Inputs!$F$26-Inputs!$D$26)*(Inputs!$E$26-Inputs!$D$26)),Inputs!$F$26-SQRT((1-N386)*(Inputs!$F$26-Inputs!$D$26)*(Inputs!$F$26-Inputs!$E$26)))</f>
        <v>0.496352719305778</v>
      </c>
      <c r="P386" s="81" t="n">
        <f aca="true">RAND()</f>
        <v>0.676534889001441</v>
      </c>
      <c r="Q386" s="82" t="n">
        <f aca="false">IF(P386&lt;(Inputs!$E$27-Inputs!$D$27)/(Inputs!$F$27-Inputs!$D$27),Inputs!$D$27+SQRT(P386*(Inputs!$F$27-Inputs!$D$27)*(Inputs!$E$27-Inputs!$D$27)),Inputs!$F$27-SQRT((1-P386)*(Inputs!$F$27-Inputs!$D$27)*(Inputs!$F$27-Inputs!$E$27)))</f>
        <v>100.745677017249</v>
      </c>
      <c r="R386" s="81" t="n">
        <f aca="true">RAND()</f>
        <v>0.196057656199392</v>
      </c>
      <c r="S386" s="82" t="n">
        <f aca="false">IF(R386&lt;(Inputs!$E$29-Inputs!$D$29)/(Inputs!$F$29-Inputs!$D$29),Inputs!$D$29+SQRT(R386*(Inputs!$F$29-Inputs!$D$29)*(Inputs!$E$29-Inputs!$D$29)),Inputs!$F$29-SQRT((1-R386)*(Inputs!$F$29-Inputs!$D$29)*(Inputs!$F$29-Inputs!$E$29)))</f>
        <v>4.76518509177528</v>
      </c>
      <c r="T386" s="68" t="n">
        <f aca="false">Inputs!$E$9*(1+E386)+Inputs!$E$5*C386*(Inputs!$E$11*Inputs!$E$14*(G386*I386/Inputs!$E$16+(1-G386))*K386+Inputs!$E$23*M386)*(1+O386)+Inputs!$E$5*(Q386+S386)</f>
        <v>6331.44164197073</v>
      </c>
    </row>
    <row r="387" customFormat="false" ht="15" hidden="false" customHeight="false" outlineLevel="0" collapsed="false">
      <c r="A387" s="1" t="n">
        <v>383</v>
      </c>
      <c r="B387" s="81" t="n">
        <f aca="true">RAND()</f>
        <v>0.700954097447053</v>
      </c>
      <c r="C387" s="82" t="n">
        <f aca="false">ROUND(IF(B387&lt;(Inputs!$E$8-Inputs!$D$8)/(Inputs!$F$8-Inputs!$D$8),Inputs!$D$8+SQRT(B387*(Inputs!$F$8-Inputs!$D$8)*(Inputs!$E$8-Inputs!$D$8)),Inputs!$F$8-SQRT((1-B387)*(Inputs!$F$8-Inputs!$D$8)*(Inputs!$F$8-Inputs!$E$8))),0)</f>
        <v>26</v>
      </c>
      <c r="D387" s="81" t="n">
        <f aca="true">RAND()</f>
        <v>0.41262807624488</v>
      </c>
      <c r="E387" s="83" t="n">
        <f aca="false">IF(D387&lt;(Inputs!$E$10-Inputs!$D$10)/(Inputs!$F$10-Inputs!$D$10),Inputs!$D$10+SQRT(D387*(Inputs!$F$10-Inputs!$D$10)*(Inputs!$E$10-Inputs!$D$10)),Inputs!$F$10-SQRT((1-D387)*(Inputs!$F$10-Inputs!$D$10)*(Inputs!$F$10-Inputs!$E$10)))</f>
        <v>0.067255291206566</v>
      </c>
      <c r="F387" s="81" t="n">
        <f aca="true">RAND()</f>
        <v>0.0474118849922603</v>
      </c>
      <c r="G387" s="83" t="n">
        <f aca="false">IF(F387&lt;(Inputs!$E$15-Inputs!$D$15)/(Inputs!$F$15-Inputs!$D$15),Inputs!$D$15+SQRT(F387*(Inputs!$F$15-Inputs!$D$15)*(Inputs!$E$15-Inputs!$D$15)),Inputs!$F$15-SQRT((1-F387)*(Inputs!$F$15-Inputs!$D$15)*(Inputs!$F$15-Inputs!$E$15)))</f>
        <v>0.630793468460782</v>
      </c>
      <c r="H387" s="81" t="n">
        <f aca="true">RAND()</f>
        <v>0.163605094999443</v>
      </c>
      <c r="I387" s="82" t="n">
        <f aca="false">ROUND(IF(H387&lt;(Inputs!$E$17-Inputs!$D$17)/(Inputs!$F$17-Inputs!$D$17),Inputs!$D$17+SQRT(H387*(Inputs!$F$17-Inputs!$D$17)*(Inputs!$E$17-Inputs!$D$17)),Inputs!$F$17-SQRT((1-H387)*(Inputs!$F$17-Inputs!$D$17)*(Inputs!$F$17-Inputs!$E$17))),0)</f>
        <v>104</v>
      </c>
      <c r="J387" s="81" t="n">
        <f aca="true">RAND()</f>
        <v>0.0495361488521644</v>
      </c>
      <c r="K387" s="83" t="n">
        <f aca="false">IF(J387&lt;(Inputs!$E$18-Inputs!$D$18)/(Inputs!$F$18-Inputs!$D$18),Inputs!$D$18+SQRT(J387*(Inputs!$F$18-Inputs!$D$18)*(Inputs!$E$18-Inputs!$D$18)),Inputs!$F$18-SQRT((1-J387)*(Inputs!$F$18-Inputs!$D$18)*(Inputs!$F$18-Inputs!$E$18)))</f>
        <v>0.941638506335191</v>
      </c>
      <c r="L387" s="81" t="n">
        <f aca="true">RAND()</f>
        <v>0.548593139206869</v>
      </c>
      <c r="M387" s="83" t="n">
        <f aca="false">IF(L387&lt;(Inputs!$E$24-Inputs!$D$24)/(Inputs!$F$24-Inputs!$D$24),Inputs!$D$24+SQRT(L387*(Inputs!$F$24-Inputs!$D$24)*(Inputs!$E$24-Inputs!$D$24)),Inputs!$F$24-SQRT((1-L387)*(Inputs!$F$24-Inputs!$D$24)*(Inputs!$F$24-Inputs!$E$24)))</f>
        <v>0.870853153455253</v>
      </c>
      <c r="N387" s="81" t="n">
        <f aca="true">RAND()</f>
        <v>0.433168463188858</v>
      </c>
      <c r="O387" s="83" t="n">
        <f aca="false">IF(N387&lt;(Inputs!$E$26-Inputs!$D$26)/(Inputs!$F$26-Inputs!$D$26),Inputs!$D$26+SQRT(N387*(Inputs!$F$26-Inputs!$D$26)*(Inputs!$E$26-Inputs!$D$26)),Inputs!$F$26-SQRT((1-N387)*(Inputs!$F$26-Inputs!$D$26)*(Inputs!$F$26-Inputs!$E$26)))</f>
        <v>0.56847575733132</v>
      </c>
      <c r="P387" s="81" t="n">
        <f aca="true">RAND()</f>
        <v>0.614155179792537</v>
      </c>
      <c r="Q387" s="82" t="n">
        <f aca="false">IF(P387&lt;(Inputs!$E$27-Inputs!$D$27)/(Inputs!$F$27-Inputs!$D$27),Inputs!$D$27+SQRT(P387*(Inputs!$F$27-Inputs!$D$27)*(Inputs!$E$27-Inputs!$D$27)),Inputs!$F$27-SQRT((1-P387)*(Inputs!$F$27-Inputs!$D$27)*(Inputs!$F$27-Inputs!$E$27)))</f>
        <v>96.205612267115</v>
      </c>
      <c r="R387" s="81" t="n">
        <f aca="true">RAND()</f>
        <v>0.0433376803201111</v>
      </c>
      <c r="S387" s="82" t="n">
        <f aca="false">IF(R387&lt;(Inputs!$E$29-Inputs!$D$29)/(Inputs!$F$29-Inputs!$D$29),Inputs!$D$29+SQRT(R387*(Inputs!$F$29-Inputs!$D$29)*(Inputs!$E$29-Inputs!$D$29)),Inputs!$F$29-SQRT((1-R387)*(Inputs!$F$29-Inputs!$D$29)*(Inputs!$F$29-Inputs!$E$29)))</f>
        <v>3.30006520316649</v>
      </c>
      <c r="T387" s="68" t="n">
        <f aca="false">Inputs!$E$9*(1+E387)+Inputs!$E$5*C387*(Inputs!$E$11*Inputs!$E$14*(G387*I387/Inputs!$E$16+(1-G387))*K387+Inputs!$E$23*M387)*(1+O387)+Inputs!$E$5*(Q387+S387)</f>
        <v>6252.14908128907</v>
      </c>
    </row>
    <row r="388" customFormat="false" ht="15" hidden="false" customHeight="false" outlineLevel="0" collapsed="false">
      <c r="A388" s="1" t="n">
        <v>384</v>
      </c>
      <c r="B388" s="81" t="n">
        <f aca="true">RAND()</f>
        <v>0.4874901647631</v>
      </c>
      <c r="C388" s="82" t="n">
        <f aca="false">ROUND(IF(B388&lt;(Inputs!$E$8-Inputs!$D$8)/(Inputs!$F$8-Inputs!$D$8),Inputs!$D$8+SQRT(B388*(Inputs!$F$8-Inputs!$D$8)*(Inputs!$E$8-Inputs!$D$8)),Inputs!$F$8-SQRT((1-B388)*(Inputs!$F$8-Inputs!$D$8)*(Inputs!$F$8-Inputs!$E$8))),0)</f>
        <v>25</v>
      </c>
      <c r="D388" s="81" t="n">
        <f aca="true">RAND()</f>
        <v>0.89177134009649</v>
      </c>
      <c r="E388" s="83" t="n">
        <f aca="false">IF(D388&lt;(Inputs!$E$10-Inputs!$D$10)/(Inputs!$F$10-Inputs!$D$10),Inputs!$D$10+SQRT(D388*(Inputs!$F$10-Inputs!$D$10)*(Inputs!$E$10-Inputs!$D$10)),Inputs!$F$10-SQRT((1-D388)*(Inputs!$F$10-Inputs!$D$10)*(Inputs!$F$10-Inputs!$E$10)))</f>
        <v>0.143018776802307</v>
      </c>
      <c r="F388" s="81" t="n">
        <f aca="true">RAND()</f>
        <v>0.897421839726933</v>
      </c>
      <c r="G388" s="83" t="n">
        <f aca="false">IF(F388&lt;(Inputs!$E$15-Inputs!$D$15)/(Inputs!$F$15-Inputs!$D$15),Inputs!$D$15+SQRT(F388*(Inputs!$F$15-Inputs!$D$15)*(Inputs!$E$15-Inputs!$D$15)),Inputs!$F$15-SQRT((1-F388)*(Inputs!$F$15-Inputs!$D$15)*(Inputs!$F$15-Inputs!$E$15)))</f>
        <v>0.754705814882467</v>
      </c>
      <c r="H388" s="81" t="n">
        <f aca="true">RAND()</f>
        <v>0.615980293184597</v>
      </c>
      <c r="I388" s="82" t="n">
        <f aca="false">ROUND(IF(H388&lt;(Inputs!$E$17-Inputs!$D$17)/(Inputs!$F$17-Inputs!$D$17),Inputs!$D$17+SQRT(H388*(Inputs!$F$17-Inputs!$D$17)*(Inputs!$E$17-Inputs!$D$17)),Inputs!$F$17-SQRT((1-H388)*(Inputs!$F$17-Inputs!$D$17)*(Inputs!$F$17-Inputs!$E$17))),0)</f>
        <v>107</v>
      </c>
      <c r="J388" s="81" t="n">
        <f aca="true">RAND()</f>
        <v>0.854991399630398</v>
      </c>
      <c r="K388" s="83" t="n">
        <f aca="false">IF(J388&lt;(Inputs!$E$18-Inputs!$D$18)/(Inputs!$F$18-Inputs!$D$18),Inputs!$D$18+SQRT(J388*(Inputs!$F$18-Inputs!$D$18)*(Inputs!$E$18-Inputs!$D$18)),Inputs!$F$18-SQRT((1-J388)*(Inputs!$F$18-Inputs!$D$18)*(Inputs!$F$18-Inputs!$E$18)))</f>
        <v>1.13735785632216</v>
      </c>
      <c r="L388" s="81" t="n">
        <f aca="true">RAND()</f>
        <v>0.794720567367231</v>
      </c>
      <c r="M388" s="83" t="n">
        <f aca="false">IF(L388&lt;(Inputs!$E$24-Inputs!$D$24)/(Inputs!$F$24-Inputs!$D$24),Inputs!$D$24+SQRT(L388*(Inputs!$F$24-Inputs!$D$24)*(Inputs!$E$24-Inputs!$D$24)),Inputs!$F$24-SQRT((1-L388)*(Inputs!$F$24-Inputs!$D$24)*(Inputs!$F$24-Inputs!$E$24)))</f>
        <v>0.978038147800428</v>
      </c>
      <c r="N388" s="81" t="n">
        <f aca="true">RAND()</f>
        <v>0.230709949226021</v>
      </c>
      <c r="O388" s="83" t="n">
        <f aca="false">IF(N388&lt;(Inputs!$E$26-Inputs!$D$26)/(Inputs!$F$26-Inputs!$D$26),Inputs!$D$26+SQRT(N388*(Inputs!$F$26-Inputs!$D$26)*(Inputs!$E$26-Inputs!$D$26)),Inputs!$F$26-SQRT((1-N388)*(Inputs!$F$26-Inputs!$D$26)*(Inputs!$F$26-Inputs!$E$26)))</f>
        <v>0.495934008153791</v>
      </c>
      <c r="P388" s="81" t="n">
        <f aca="true">RAND()</f>
        <v>0.567778079853256</v>
      </c>
      <c r="Q388" s="82" t="n">
        <f aca="false">IF(P388&lt;(Inputs!$E$27-Inputs!$D$27)/(Inputs!$F$27-Inputs!$D$27),Inputs!$D$27+SQRT(P388*(Inputs!$F$27-Inputs!$D$27)*(Inputs!$E$27-Inputs!$D$27)),Inputs!$F$27-SQRT((1-P388)*(Inputs!$F$27-Inputs!$D$27)*(Inputs!$F$27-Inputs!$E$27)))</f>
        <v>93.0643837207273</v>
      </c>
      <c r="R388" s="81" t="n">
        <f aca="true">RAND()</f>
        <v>0.959169408049573</v>
      </c>
      <c r="S388" s="82" t="n">
        <f aca="false">IF(R388&lt;(Inputs!$E$29-Inputs!$D$29)/(Inputs!$F$29-Inputs!$D$29),Inputs!$D$29+SQRT(R388*(Inputs!$F$29-Inputs!$D$29)*(Inputs!$E$29-Inputs!$D$29)),Inputs!$F$29-SQRT((1-R388)*(Inputs!$F$29-Inputs!$D$29)*(Inputs!$F$29-Inputs!$E$29)))</f>
        <v>12.6960952811465</v>
      </c>
      <c r="T388" s="68" t="n">
        <f aca="false">Inputs!$E$9*(1+E388)+Inputs!$E$5*C388*(Inputs!$E$11*Inputs!$E$14*(G388*I388/Inputs!$E$16+(1-G388))*K388+Inputs!$E$23*M388)*(1+O388)+Inputs!$E$5*(Q388+S388)</f>
        <v>6580.87325058755</v>
      </c>
    </row>
    <row r="389" customFormat="false" ht="15" hidden="false" customHeight="false" outlineLevel="0" collapsed="false">
      <c r="A389" s="1" t="n">
        <v>385</v>
      </c>
      <c r="B389" s="81" t="n">
        <f aca="true">RAND()</f>
        <v>0.903288714792674</v>
      </c>
      <c r="C389" s="82" t="n">
        <f aca="false">ROUND(IF(B389&lt;(Inputs!$E$8-Inputs!$D$8)/(Inputs!$F$8-Inputs!$D$8),Inputs!$D$8+SQRT(B389*(Inputs!$F$8-Inputs!$D$8)*(Inputs!$E$8-Inputs!$D$8)),Inputs!$F$8-SQRT((1-B389)*(Inputs!$F$8-Inputs!$D$8)*(Inputs!$F$8-Inputs!$E$8))),0)</f>
        <v>28</v>
      </c>
      <c r="D389" s="81" t="n">
        <f aca="true">RAND()</f>
        <v>0.932753930029173</v>
      </c>
      <c r="E389" s="83" t="n">
        <f aca="false">IF(D389&lt;(Inputs!$E$10-Inputs!$D$10)/(Inputs!$F$10-Inputs!$D$10),Inputs!$D$10+SQRT(D389*(Inputs!$F$10-Inputs!$D$10)*(Inputs!$E$10-Inputs!$D$10)),Inputs!$F$10-SQRT((1-D389)*(Inputs!$F$10-Inputs!$D$10)*(Inputs!$F$10-Inputs!$E$10)))</f>
        <v>0.155084723098652</v>
      </c>
      <c r="F389" s="81" t="n">
        <f aca="true">RAND()</f>
        <v>0.498717995849308</v>
      </c>
      <c r="G389" s="83" t="n">
        <f aca="false">IF(F389&lt;(Inputs!$E$15-Inputs!$D$15)/(Inputs!$F$15-Inputs!$D$15),Inputs!$D$15+SQRT(F389*(Inputs!$F$15-Inputs!$D$15)*(Inputs!$E$15-Inputs!$D$15)),Inputs!$F$15-SQRT((1-F389)*(Inputs!$F$15-Inputs!$D$15)*(Inputs!$F$15-Inputs!$E$15)))</f>
        <v>0.699871717302679</v>
      </c>
      <c r="H389" s="81" t="n">
        <f aca="true">RAND()</f>
        <v>0.690139078886089</v>
      </c>
      <c r="I389" s="82" t="n">
        <f aca="false">ROUND(IF(H389&lt;(Inputs!$E$17-Inputs!$D$17)/(Inputs!$F$17-Inputs!$D$17),Inputs!$D$17+SQRT(H389*(Inputs!$F$17-Inputs!$D$17)*(Inputs!$E$17-Inputs!$D$17)),Inputs!$F$17-SQRT((1-H389)*(Inputs!$F$17-Inputs!$D$17)*(Inputs!$F$17-Inputs!$E$17))),0)</f>
        <v>108</v>
      </c>
      <c r="J389" s="81" t="n">
        <f aca="true">RAND()</f>
        <v>0.974543214234762</v>
      </c>
      <c r="K389" s="83" t="n">
        <f aca="false">IF(J389&lt;(Inputs!$E$18-Inputs!$D$18)/(Inputs!$F$18-Inputs!$D$18),Inputs!$D$18+SQRT(J389*(Inputs!$F$18-Inputs!$D$18)*(Inputs!$E$18-Inputs!$D$18)),Inputs!$F$18-SQRT((1-J389)*(Inputs!$F$18-Inputs!$D$18)*(Inputs!$F$18-Inputs!$E$18)))</f>
        <v>1.20280393284967</v>
      </c>
      <c r="L389" s="81" t="n">
        <f aca="true">RAND()</f>
        <v>0.30573511032254</v>
      </c>
      <c r="M389" s="83" t="n">
        <f aca="false">IF(L389&lt;(Inputs!$E$24-Inputs!$D$24)/(Inputs!$F$24-Inputs!$D$24),Inputs!$D$24+SQRT(L389*(Inputs!$F$24-Inputs!$D$24)*(Inputs!$E$24-Inputs!$D$24)),Inputs!$F$24-SQRT((1-L389)*(Inputs!$F$24-Inputs!$D$24)*(Inputs!$F$24-Inputs!$E$24)))</f>
        <v>0.791541674939698</v>
      </c>
      <c r="N389" s="81" t="n">
        <f aca="true">RAND()</f>
        <v>0.655929567106464</v>
      </c>
      <c r="O389" s="83" t="n">
        <f aca="false">IF(N389&lt;(Inputs!$E$26-Inputs!$D$26)/(Inputs!$F$26-Inputs!$D$26),Inputs!$D$26+SQRT(N389*(Inputs!$F$26-Inputs!$D$26)*(Inputs!$E$26-Inputs!$D$26)),Inputs!$F$26-SQRT((1-N389)*(Inputs!$F$26-Inputs!$D$26)*(Inputs!$F$26-Inputs!$E$26)))</f>
        <v>0.630835190849546</v>
      </c>
      <c r="P389" s="81" t="n">
        <f aca="true">RAND()</f>
        <v>0.642250561597603</v>
      </c>
      <c r="Q389" s="82" t="n">
        <f aca="false">IF(P389&lt;(Inputs!$E$27-Inputs!$D$27)/(Inputs!$F$27-Inputs!$D$27),Inputs!$D$27+SQRT(P389*(Inputs!$F$27-Inputs!$D$27)*(Inputs!$E$27-Inputs!$D$27)),Inputs!$F$27-SQRT((1-P389)*(Inputs!$F$27-Inputs!$D$27)*(Inputs!$F$27-Inputs!$E$27)))</f>
        <v>98.2011507075883</v>
      </c>
      <c r="R389" s="81" t="n">
        <f aca="true">RAND()</f>
        <v>0.592448769248734</v>
      </c>
      <c r="S389" s="82" t="n">
        <f aca="false">IF(R389&lt;(Inputs!$E$29-Inputs!$D$29)/(Inputs!$F$29-Inputs!$D$29),Inputs!$D$29+SQRT(R389*(Inputs!$F$29-Inputs!$D$29)*(Inputs!$E$29-Inputs!$D$29)),Inputs!$F$29-SQRT((1-R389)*(Inputs!$F$29-Inputs!$D$29)*(Inputs!$F$29-Inputs!$E$29)))</f>
        <v>7.72114981623715</v>
      </c>
      <c r="T389" s="68" t="n">
        <f aca="false">Inputs!$E$9*(1+E389)+Inputs!$E$5*C389*(Inputs!$E$11*Inputs!$E$14*(G389*I389/Inputs!$E$16+(1-G389))*K389+Inputs!$E$23*M389)*(1+O389)+Inputs!$E$5*(Q389+S389)</f>
        <v>7357.09817567537</v>
      </c>
    </row>
    <row r="390" customFormat="false" ht="15" hidden="false" customHeight="false" outlineLevel="0" collapsed="false">
      <c r="A390" s="1" t="n">
        <v>386</v>
      </c>
      <c r="B390" s="81" t="n">
        <f aca="true">RAND()</f>
        <v>0.814914004964412</v>
      </c>
      <c r="C390" s="82" t="n">
        <f aca="false">ROUND(IF(B390&lt;(Inputs!$E$8-Inputs!$D$8)/(Inputs!$F$8-Inputs!$D$8),Inputs!$D$8+SQRT(B390*(Inputs!$F$8-Inputs!$D$8)*(Inputs!$E$8-Inputs!$D$8)),Inputs!$F$8-SQRT((1-B390)*(Inputs!$F$8-Inputs!$D$8)*(Inputs!$F$8-Inputs!$E$8))),0)</f>
        <v>27</v>
      </c>
      <c r="D390" s="81" t="n">
        <f aca="true">RAND()</f>
        <v>0.534520450154557</v>
      </c>
      <c r="E390" s="83" t="n">
        <f aca="false">IF(D390&lt;(Inputs!$E$10-Inputs!$D$10)/(Inputs!$F$10-Inputs!$D$10),Inputs!$D$10+SQRT(D390*(Inputs!$F$10-Inputs!$D$10)*(Inputs!$E$10-Inputs!$D$10)),Inputs!$F$10-SQRT((1-D390)*(Inputs!$F$10-Inputs!$D$10)*(Inputs!$F$10-Inputs!$E$10)))</f>
        <v>0.0818289946925926</v>
      </c>
      <c r="F390" s="81" t="n">
        <f aca="true">RAND()</f>
        <v>0.386475378492906</v>
      </c>
      <c r="G390" s="83" t="n">
        <f aca="false">IF(F390&lt;(Inputs!$E$15-Inputs!$D$15)/(Inputs!$F$15-Inputs!$D$15),Inputs!$D$15+SQRT(F390*(Inputs!$F$15-Inputs!$D$15)*(Inputs!$E$15-Inputs!$D$15)),Inputs!$F$15-SQRT((1-F390)*(Inputs!$F$15-Inputs!$D$15)*(Inputs!$F$15-Inputs!$E$15)))</f>
        <v>0.687917618085672</v>
      </c>
      <c r="H390" s="81" t="n">
        <f aca="true">RAND()</f>
        <v>0.0169214974976669</v>
      </c>
      <c r="I390" s="82" t="n">
        <f aca="false">ROUND(IF(H390&lt;(Inputs!$E$17-Inputs!$D$17)/(Inputs!$F$17-Inputs!$D$17),Inputs!$D$17+SQRT(H390*(Inputs!$F$17-Inputs!$D$17)*(Inputs!$E$17-Inputs!$D$17)),Inputs!$F$17-SQRT((1-H390)*(Inputs!$F$17-Inputs!$D$17)*(Inputs!$F$17-Inputs!$E$17))),0)</f>
        <v>101</v>
      </c>
      <c r="J390" s="81" t="n">
        <f aca="true">RAND()</f>
        <v>0.412996980701514</v>
      </c>
      <c r="K390" s="83" t="n">
        <f aca="false">IF(J390&lt;(Inputs!$E$18-Inputs!$D$18)/(Inputs!$F$18-Inputs!$D$18),Inputs!$D$18+SQRT(J390*(Inputs!$F$18-Inputs!$D$18)*(Inputs!$E$18-Inputs!$D$18)),Inputs!$F$18-SQRT((1-J390)*(Inputs!$F$18-Inputs!$D$18)*(Inputs!$F$18-Inputs!$E$18)))</f>
        <v>1.02336645396452</v>
      </c>
      <c r="L390" s="81" t="n">
        <f aca="true">RAND()</f>
        <v>0.674492848844512</v>
      </c>
      <c r="M390" s="83" t="n">
        <f aca="false">IF(L390&lt;(Inputs!$E$24-Inputs!$D$24)/(Inputs!$F$24-Inputs!$D$24),Inputs!$D$24+SQRT(L390*(Inputs!$F$24-Inputs!$D$24)*(Inputs!$E$24-Inputs!$D$24)),Inputs!$F$24-SQRT((1-L390)*(Inputs!$F$24-Inputs!$D$24)*(Inputs!$F$24-Inputs!$E$24)))</f>
        <v>0.920497376975963</v>
      </c>
      <c r="N390" s="81" t="n">
        <f aca="true">RAND()</f>
        <v>0.128833255286355</v>
      </c>
      <c r="O390" s="83" t="n">
        <f aca="false">IF(N390&lt;(Inputs!$E$26-Inputs!$D$26)/(Inputs!$F$26-Inputs!$D$26),Inputs!$D$26+SQRT(N390*(Inputs!$F$26-Inputs!$D$26)*(Inputs!$E$26-Inputs!$D$26)),Inputs!$F$26-SQRT((1-N390)*(Inputs!$F$26-Inputs!$D$26)*(Inputs!$F$26-Inputs!$E$26)))</f>
        <v>0.446416712432869</v>
      </c>
      <c r="P390" s="81" t="n">
        <f aca="true">RAND()</f>
        <v>0.192896555551781</v>
      </c>
      <c r="Q390" s="82" t="n">
        <f aca="false">IF(P390&lt;(Inputs!$E$27-Inputs!$D$27)/(Inputs!$F$27-Inputs!$D$27),Inputs!$D$27+SQRT(P390*(Inputs!$F$27-Inputs!$D$27)*(Inputs!$E$27-Inputs!$D$27)),Inputs!$F$27-SQRT((1-P390)*(Inputs!$F$27-Inputs!$D$27)*(Inputs!$F$27-Inputs!$E$27)))</f>
        <v>71.9599951930653</v>
      </c>
      <c r="R390" s="81" t="n">
        <f aca="true">RAND()</f>
        <v>0.965173276678922</v>
      </c>
      <c r="S390" s="82" t="n">
        <f aca="false">IF(R390&lt;(Inputs!$E$29-Inputs!$D$29)/(Inputs!$F$29-Inputs!$D$29),Inputs!$D$29+SQRT(R390*(Inputs!$F$29-Inputs!$D$29)*(Inputs!$E$29-Inputs!$D$29)),Inputs!$F$29-SQRT((1-R390)*(Inputs!$F$29-Inputs!$D$29)*(Inputs!$F$29-Inputs!$E$29)))</f>
        <v>12.8722138190739</v>
      </c>
      <c r="T390" s="68" t="n">
        <f aca="false">Inputs!$E$9*(1+E390)+Inputs!$E$5*C390*(Inputs!$E$11*Inputs!$E$14*(G390*I390/Inputs!$E$16+(1-G390))*K390+Inputs!$E$23*M390)*(1+O390)+Inputs!$E$5*(Q390+S390)</f>
        <v>6202.28688118421</v>
      </c>
    </row>
    <row r="391" customFormat="false" ht="15" hidden="false" customHeight="false" outlineLevel="0" collapsed="false">
      <c r="A391" s="1" t="n">
        <v>387</v>
      </c>
      <c r="B391" s="81" t="n">
        <f aca="true">RAND()</f>
        <v>0.187171872788159</v>
      </c>
      <c r="C391" s="82" t="n">
        <f aca="false">ROUND(IF(B391&lt;(Inputs!$E$8-Inputs!$D$8)/(Inputs!$F$8-Inputs!$D$8),Inputs!$D$8+SQRT(B391*(Inputs!$F$8-Inputs!$D$8)*(Inputs!$E$8-Inputs!$D$8)),Inputs!$F$8-SQRT((1-B391)*(Inputs!$F$8-Inputs!$D$8)*(Inputs!$F$8-Inputs!$E$8))),0)</f>
        <v>23</v>
      </c>
      <c r="D391" s="81" t="n">
        <f aca="true">RAND()</f>
        <v>0.610717100651542</v>
      </c>
      <c r="E391" s="83" t="n">
        <f aca="false">IF(D391&lt;(Inputs!$E$10-Inputs!$D$10)/(Inputs!$F$10-Inputs!$D$10),Inputs!$D$10+SQRT(D391*(Inputs!$F$10-Inputs!$D$10)*(Inputs!$E$10-Inputs!$D$10)),Inputs!$F$10-SQRT((1-D391)*(Inputs!$F$10-Inputs!$D$10)*(Inputs!$F$10-Inputs!$E$10)))</f>
        <v>0.0919329514585794</v>
      </c>
      <c r="F391" s="81" t="n">
        <f aca="true">RAND()</f>
        <v>0.245916504565162</v>
      </c>
      <c r="G391" s="83" t="n">
        <f aca="false">IF(F391&lt;(Inputs!$E$15-Inputs!$D$15)/(Inputs!$F$15-Inputs!$D$15),Inputs!$D$15+SQRT(F391*(Inputs!$F$15-Inputs!$D$15)*(Inputs!$E$15-Inputs!$D$15)),Inputs!$F$15-SQRT((1-F391)*(Inputs!$F$15-Inputs!$D$15)*(Inputs!$F$15-Inputs!$E$15)))</f>
        <v>0.670130807005932</v>
      </c>
      <c r="H391" s="81" t="n">
        <f aca="true">RAND()</f>
        <v>0.934916778253693</v>
      </c>
      <c r="I391" s="82" t="n">
        <f aca="false">ROUND(IF(H391&lt;(Inputs!$E$17-Inputs!$D$17)/(Inputs!$F$17-Inputs!$D$17),Inputs!$D$17+SQRT(H391*(Inputs!$F$17-Inputs!$D$17)*(Inputs!$E$17-Inputs!$D$17)),Inputs!$F$17-SQRT((1-H391)*(Inputs!$F$17-Inputs!$D$17)*(Inputs!$F$17-Inputs!$E$17))),0)</f>
        <v>112</v>
      </c>
      <c r="J391" s="81" t="n">
        <f aca="true">RAND()</f>
        <v>0.926383392884165</v>
      </c>
      <c r="K391" s="83" t="n">
        <f aca="false">IF(J391&lt;(Inputs!$E$18-Inputs!$D$18)/(Inputs!$F$18-Inputs!$D$18),Inputs!$D$18+SQRT(J391*(Inputs!$F$18-Inputs!$D$18)*(Inputs!$E$18-Inputs!$D$18)),Inputs!$F$18-SQRT((1-J391)*(Inputs!$F$18-Inputs!$D$18)*(Inputs!$F$18-Inputs!$E$18)))</f>
        <v>1.16974133615219</v>
      </c>
      <c r="L391" s="81" t="n">
        <f aca="true">RAND()</f>
        <v>0.463609188109032</v>
      </c>
      <c r="M391" s="83" t="n">
        <f aca="false">IF(L391&lt;(Inputs!$E$24-Inputs!$D$24)/(Inputs!$F$24-Inputs!$D$24),Inputs!$D$24+SQRT(L391*(Inputs!$F$24-Inputs!$D$24)*(Inputs!$E$24-Inputs!$D$24)),Inputs!$F$24-SQRT((1-L391)*(Inputs!$F$24-Inputs!$D$24)*(Inputs!$F$24-Inputs!$E$24)))</f>
        <v>0.841205079671085</v>
      </c>
      <c r="N391" s="81" t="n">
        <f aca="true">RAND()</f>
        <v>0.911144057782976</v>
      </c>
      <c r="O391" s="83" t="n">
        <f aca="false">IF(N391&lt;(Inputs!$E$26-Inputs!$D$26)/(Inputs!$F$26-Inputs!$D$26),Inputs!$D$26+SQRT(N391*(Inputs!$F$26-Inputs!$D$26)*(Inputs!$E$26-Inputs!$D$26)),Inputs!$F$26-SQRT((1-N391)*(Inputs!$F$26-Inputs!$D$26)*(Inputs!$F$26-Inputs!$E$26)))</f>
        <v>0.723869786276267</v>
      </c>
      <c r="P391" s="81" t="n">
        <f aca="true">RAND()</f>
        <v>0.377009821668626</v>
      </c>
      <c r="Q391" s="82" t="n">
        <f aca="false">IF(P391&lt;(Inputs!$E$27-Inputs!$D$27)/(Inputs!$F$27-Inputs!$D$27),Inputs!$D$27+SQRT(P391*(Inputs!$F$27-Inputs!$D$27)*(Inputs!$E$27-Inputs!$D$27)),Inputs!$F$27-SQRT((1-P391)*(Inputs!$F$27-Inputs!$D$27)*(Inputs!$F$27-Inputs!$E$27)))</f>
        <v>81.6448514193312</v>
      </c>
      <c r="R391" s="81" t="n">
        <f aca="true">RAND()</f>
        <v>0.455658586735621</v>
      </c>
      <c r="S391" s="82" t="n">
        <f aca="false">IF(R391&lt;(Inputs!$E$29-Inputs!$D$29)/(Inputs!$F$29-Inputs!$D$29),Inputs!$D$29+SQRT(R391*(Inputs!$F$29-Inputs!$D$29)*(Inputs!$E$29-Inputs!$D$29)),Inputs!$F$29-SQRT((1-R391)*(Inputs!$F$29-Inputs!$D$29)*(Inputs!$F$29-Inputs!$E$29)))</f>
        <v>6.58784309915886</v>
      </c>
      <c r="T391" s="68" t="n">
        <f aca="false">Inputs!$E$9*(1+E391)+Inputs!$E$5*C391*(Inputs!$E$11*Inputs!$E$14*(G391*I391/Inputs!$E$16+(1-G391))*K391+Inputs!$E$23*M391)*(1+O391)+Inputs!$E$5*(Q391+S391)</f>
        <v>6659.7826502848</v>
      </c>
    </row>
    <row r="392" customFormat="false" ht="15" hidden="false" customHeight="false" outlineLevel="0" collapsed="false">
      <c r="A392" s="1" t="n">
        <v>388</v>
      </c>
      <c r="B392" s="81" t="n">
        <f aca="true">RAND()</f>
        <v>0.145574305962028</v>
      </c>
      <c r="C392" s="82" t="n">
        <f aca="false">ROUND(IF(B392&lt;(Inputs!$E$8-Inputs!$D$8)/(Inputs!$F$8-Inputs!$D$8),Inputs!$D$8+SQRT(B392*(Inputs!$F$8-Inputs!$D$8)*(Inputs!$E$8-Inputs!$D$8)),Inputs!$F$8-SQRT((1-B392)*(Inputs!$F$8-Inputs!$D$8)*(Inputs!$F$8-Inputs!$E$8))),0)</f>
        <v>23</v>
      </c>
      <c r="D392" s="81" t="n">
        <f aca="true">RAND()</f>
        <v>0.921797082150366</v>
      </c>
      <c r="E392" s="83" t="n">
        <f aca="false">IF(D392&lt;(Inputs!$E$10-Inputs!$D$10)/(Inputs!$F$10-Inputs!$D$10),Inputs!$D$10+SQRT(D392*(Inputs!$F$10-Inputs!$D$10)*(Inputs!$E$10-Inputs!$D$10)),Inputs!$F$10-SQRT((1-D392)*(Inputs!$F$10-Inputs!$D$10)*(Inputs!$F$10-Inputs!$E$10)))</f>
        <v>0.151563572226175</v>
      </c>
      <c r="F392" s="81" t="n">
        <f aca="true">RAND()</f>
        <v>0.633963550824546</v>
      </c>
      <c r="G392" s="83" t="n">
        <f aca="false">IF(F392&lt;(Inputs!$E$15-Inputs!$D$15)/(Inputs!$F$15-Inputs!$D$15),Inputs!$D$15+SQRT(F392*(Inputs!$F$15-Inputs!$D$15)*(Inputs!$E$15-Inputs!$D$15)),Inputs!$F$15-SQRT((1-F392)*(Inputs!$F$15-Inputs!$D$15)*(Inputs!$F$15-Inputs!$E$15)))</f>
        <v>0.71443874133985</v>
      </c>
      <c r="H392" s="81" t="n">
        <f aca="true">RAND()</f>
        <v>0.471513020343186</v>
      </c>
      <c r="I392" s="82" t="n">
        <f aca="false">ROUND(IF(H392&lt;(Inputs!$E$17-Inputs!$D$17)/(Inputs!$F$17-Inputs!$D$17),Inputs!$D$17+SQRT(H392*(Inputs!$F$17-Inputs!$D$17)*(Inputs!$E$17-Inputs!$D$17)),Inputs!$F$17-SQRT((1-H392)*(Inputs!$F$17-Inputs!$D$17)*(Inputs!$F$17-Inputs!$E$17))),0)</f>
        <v>106</v>
      </c>
      <c r="J392" s="81" t="n">
        <f aca="true">RAND()</f>
        <v>0.493836128984528</v>
      </c>
      <c r="K392" s="83" t="n">
        <f aca="false">IF(J392&lt;(Inputs!$E$18-Inputs!$D$18)/(Inputs!$F$18-Inputs!$D$18),Inputs!$D$18+SQRT(J392*(Inputs!$F$18-Inputs!$D$18)*(Inputs!$E$18-Inputs!$D$18)),Inputs!$F$18-SQRT((1-J392)*(Inputs!$F$18-Inputs!$D$18)*(Inputs!$F$18-Inputs!$E$18)))</f>
        <v>1.03954967637503</v>
      </c>
      <c r="L392" s="81" t="n">
        <f aca="true">RAND()</f>
        <v>0.627521515524272</v>
      </c>
      <c r="M392" s="83" t="n">
        <f aca="false">IF(L392&lt;(Inputs!$E$24-Inputs!$D$24)/(Inputs!$F$24-Inputs!$D$24),Inputs!$D$24+SQRT(L392*(Inputs!$F$24-Inputs!$D$24)*(Inputs!$E$24-Inputs!$D$24)),Inputs!$F$24-SQRT((1-L392)*(Inputs!$F$24-Inputs!$D$24)*(Inputs!$F$24-Inputs!$E$24)))</f>
        <v>0.901010307411485</v>
      </c>
      <c r="N392" s="81" t="n">
        <f aca="true">RAND()</f>
        <v>0.137620692110982</v>
      </c>
      <c r="O392" s="83" t="n">
        <f aca="false">IF(N392&lt;(Inputs!$E$26-Inputs!$D$26)/(Inputs!$F$26-Inputs!$D$26),Inputs!$D$26+SQRT(N392*(Inputs!$F$26-Inputs!$D$26)*(Inputs!$E$26-Inputs!$D$26)),Inputs!$F$26-SQRT((1-N392)*(Inputs!$F$26-Inputs!$D$26)*(Inputs!$F$26-Inputs!$E$26)))</f>
        <v>0.451327734296352</v>
      </c>
      <c r="P392" s="81" t="n">
        <f aca="true">RAND()</f>
        <v>0.620300940917142</v>
      </c>
      <c r="Q392" s="82" t="n">
        <f aca="false">IF(P392&lt;(Inputs!$E$27-Inputs!$D$27)/(Inputs!$F$27-Inputs!$D$27),Inputs!$D$27+SQRT(P392*(Inputs!$F$27-Inputs!$D$27)*(Inputs!$E$27-Inputs!$D$27)),Inputs!$F$27-SQRT((1-P392)*(Inputs!$F$27-Inputs!$D$27)*(Inputs!$F$27-Inputs!$E$27)))</f>
        <v>96.6357522012964</v>
      </c>
      <c r="R392" s="81" t="n">
        <f aca="true">RAND()</f>
        <v>0.947266134443261</v>
      </c>
      <c r="S392" s="82" t="n">
        <f aca="false">IF(R392&lt;(Inputs!$E$29-Inputs!$D$29)/(Inputs!$F$29-Inputs!$D$29),Inputs!$D$29+SQRT(R392*(Inputs!$F$29-Inputs!$D$29)*(Inputs!$E$29-Inputs!$D$29)),Inputs!$F$29-SQRT((1-R392)*(Inputs!$F$29-Inputs!$D$29)*(Inputs!$F$29-Inputs!$E$29)))</f>
        <v>12.3817176389136</v>
      </c>
      <c r="T392" s="68" t="n">
        <f aca="false">Inputs!$E$9*(1+E392)+Inputs!$E$5*C392*(Inputs!$E$11*Inputs!$E$14*(G392*I392/Inputs!$E$16+(1-G392))*K392+Inputs!$E$23*M392)*(1+O392)+Inputs!$E$5*(Q392+S392)</f>
        <v>6007.87258604649</v>
      </c>
    </row>
    <row r="393" customFormat="false" ht="15" hidden="false" customHeight="false" outlineLevel="0" collapsed="false">
      <c r="A393" s="1" t="n">
        <v>389</v>
      </c>
      <c r="B393" s="81" t="n">
        <f aca="true">RAND()</f>
        <v>0.213574974135733</v>
      </c>
      <c r="C393" s="82" t="n">
        <f aca="false">ROUND(IF(B393&lt;(Inputs!$E$8-Inputs!$D$8)/(Inputs!$F$8-Inputs!$D$8),Inputs!$D$8+SQRT(B393*(Inputs!$F$8-Inputs!$D$8)*(Inputs!$E$8-Inputs!$D$8)),Inputs!$F$8-SQRT((1-B393)*(Inputs!$F$8-Inputs!$D$8)*(Inputs!$F$8-Inputs!$E$8))),0)</f>
        <v>23</v>
      </c>
      <c r="D393" s="81" t="n">
        <f aca="true">RAND()</f>
        <v>0.872991935750801</v>
      </c>
      <c r="E393" s="83" t="n">
        <f aca="false">IF(D393&lt;(Inputs!$E$10-Inputs!$D$10)/(Inputs!$F$10-Inputs!$D$10),Inputs!$D$10+SQRT(D393*(Inputs!$F$10-Inputs!$D$10)*(Inputs!$E$10-Inputs!$D$10)),Inputs!$F$10-SQRT((1-D393)*(Inputs!$F$10-Inputs!$D$10)*(Inputs!$F$10-Inputs!$E$10)))</f>
        <v>0.138272842868994</v>
      </c>
      <c r="F393" s="81" t="n">
        <f aca="true">RAND()</f>
        <v>0.0297185765266567</v>
      </c>
      <c r="G393" s="83" t="n">
        <f aca="false">IF(F393&lt;(Inputs!$E$15-Inputs!$D$15)/(Inputs!$F$15-Inputs!$D$15),Inputs!$D$15+SQRT(F393*(Inputs!$F$15-Inputs!$D$15)*(Inputs!$E$15-Inputs!$D$15)),Inputs!$F$15-SQRT((1-F393)*(Inputs!$F$15-Inputs!$D$15)*(Inputs!$F$15-Inputs!$E$15)))</f>
        <v>0.624379736063648</v>
      </c>
      <c r="H393" s="81" t="n">
        <f aca="true">RAND()</f>
        <v>0.41403259701195</v>
      </c>
      <c r="I393" s="82" t="n">
        <f aca="false">ROUND(IF(H393&lt;(Inputs!$E$17-Inputs!$D$17)/(Inputs!$F$17-Inputs!$D$17),Inputs!$D$17+SQRT(H393*(Inputs!$F$17-Inputs!$D$17)*(Inputs!$E$17-Inputs!$D$17)),Inputs!$F$17-SQRT((1-H393)*(Inputs!$F$17-Inputs!$D$17)*(Inputs!$F$17-Inputs!$E$17))),0)</f>
        <v>106</v>
      </c>
      <c r="J393" s="81" t="n">
        <f aca="true">RAND()</f>
        <v>0.0659901747448644</v>
      </c>
      <c r="K393" s="83" t="n">
        <f aca="false">IF(J393&lt;(Inputs!$E$18-Inputs!$D$18)/(Inputs!$F$18-Inputs!$D$18),Inputs!$D$18+SQRT(J393*(Inputs!$F$18-Inputs!$D$18)*(Inputs!$E$18-Inputs!$D$18)),Inputs!$F$18-SQRT((1-J393)*(Inputs!$F$18-Inputs!$D$18)*(Inputs!$F$18-Inputs!$E$18)))</f>
        <v>0.948058881760506</v>
      </c>
      <c r="L393" s="81" t="n">
        <f aca="true">RAND()</f>
        <v>0.309480830556857</v>
      </c>
      <c r="M393" s="83" t="n">
        <f aca="false">IF(L393&lt;(Inputs!$E$24-Inputs!$D$24)/(Inputs!$F$24-Inputs!$D$24),Inputs!$D$24+SQRT(L393*(Inputs!$F$24-Inputs!$D$24)*(Inputs!$E$24-Inputs!$D$24)),Inputs!$F$24-SQRT((1-L393)*(Inputs!$F$24-Inputs!$D$24)*(Inputs!$F$24-Inputs!$E$24)))</f>
        <v>0.792711441452818</v>
      </c>
      <c r="N393" s="81" t="n">
        <f aca="true">RAND()</f>
        <v>0.700603911257011</v>
      </c>
      <c r="O393" s="83" t="n">
        <f aca="false">IF(N393&lt;(Inputs!$E$26-Inputs!$D$26)/(Inputs!$F$26-Inputs!$D$26),Inputs!$D$26+SQRT(N393*(Inputs!$F$26-Inputs!$D$26)*(Inputs!$E$26-Inputs!$D$26)),Inputs!$F$26-SQRT((1-N393)*(Inputs!$F$26-Inputs!$D$26)*(Inputs!$F$26-Inputs!$E$26)))</f>
        <v>0.64354265889663</v>
      </c>
      <c r="P393" s="81" t="n">
        <f aca="true">RAND()</f>
        <v>0.293693054637365</v>
      </c>
      <c r="Q393" s="82" t="n">
        <f aca="false">IF(P393&lt;(Inputs!$E$27-Inputs!$D$27)/(Inputs!$F$27-Inputs!$D$27),Inputs!$D$27+SQRT(P393*(Inputs!$F$27-Inputs!$D$27)*(Inputs!$E$27-Inputs!$D$27)),Inputs!$F$27-SQRT((1-P393)*(Inputs!$F$27-Inputs!$D$27)*(Inputs!$F$27-Inputs!$E$27)))</f>
        <v>77.2174327862794</v>
      </c>
      <c r="R393" s="81" t="n">
        <f aca="true">RAND()</f>
        <v>0.511380440495093</v>
      </c>
      <c r="S393" s="82" t="n">
        <f aca="false">IF(R393&lt;(Inputs!$E$29-Inputs!$D$29)/(Inputs!$F$29-Inputs!$D$29),Inputs!$D$29+SQRT(R393*(Inputs!$F$29-Inputs!$D$29)*(Inputs!$E$29-Inputs!$D$29)),Inputs!$F$29-SQRT((1-R393)*(Inputs!$F$29-Inputs!$D$29)*(Inputs!$F$29-Inputs!$E$29)))</f>
        <v>7.03002241310316</v>
      </c>
      <c r="T393" s="68" t="n">
        <f aca="false">Inputs!$E$9*(1+E393)+Inputs!$E$5*C393*(Inputs!$E$11*Inputs!$E$14*(G393*I393/Inputs!$E$16+(1-G393))*K393+Inputs!$E$23*M393)*(1+O393)+Inputs!$E$5*(Q393+S393)</f>
        <v>6017.84912152536</v>
      </c>
    </row>
    <row r="394" customFormat="false" ht="15" hidden="false" customHeight="false" outlineLevel="0" collapsed="false">
      <c r="A394" s="1" t="n">
        <v>390</v>
      </c>
      <c r="B394" s="81" t="n">
        <f aca="true">RAND()</f>
        <v>0.0966834918131883</v>
      </c>
      <c r="C394" s="82" t="n">
        <f aca="false">ROUND(IF(B394&lt;(Inputs!$E$8-Inputs!$D$8)/(Inputs!$F$8-Inputs!$D$8),Inputs!$D$8+SQRT(B394*(Inputs!$F$8-Inputs!$D$8)*(Inputs!$E$8-Inputs!$D$8)),Inputs!$F$8-SQRT((1-B394)*(Inputs!$F$8-Inputs!$D$8)*(Inputs!$F$8-Inputs!$E$8))),0)</f>
        <v>22</v>
      </c>
      <c r="D394" s="81" t="n">
        <f aca="true">RAND()</f>
        <v>0.552688670834335</v>
      </c>
      <c r="E394" s="83" t="n">
        <f aca="false">IF(D394&lt;(Inputs!$E$10-Inputs!$D$10)/(Inputs!$F$10-Inputs!$D$10),Inputs!$D$10+SQRT(D394*(Inputs!$F$10-Inputs!$D$10)*(Inputs!$E$10-Inputs!$D$10)),Inputs!$F$10-SQRT((1-D394)*(Inputs!$F$10-Inputs!$D$10)*(Inputs!$F$10-Inputs!$E$10)))</f>
        <v>0.0841581255548325</v>
      </c>
      <c r="F394" s="81" t="n">
        <f aca="true">RAND()</f>
        <v>0.0817888161255241</v>
      </c>
      <c r="G394" s="83" t="n">
        <f aca="false">IF(F394&lt;(Inputs!$E$15-Inputs!$D$15)/(Inputs!$F$15-Inputs!$D$15),Inputs!$D$15+SQRT(F394*(Inputs!$F$15-Inputs!$D$15)*(Inputs!$E$15-Inputs!$D$15)),Inputs!$F$15-SQRT((1-F394)*(Inputs!$F$15-Inputs!$D$15)*(Inputs!$F$15-Inputs!$E$15)))</f>
        <v>0.640444731702788</v>
      </c>
      <c r="H394" s="81" t="n">
        <f aca="true">RAND()</f>
        <v>0.781103778970488</v>
      </c>
      <c r="I394" s="82" t="n">
        <f aca="false">ROUND(IF(H394&lt;(Inputs!$E$17-Inputs!$D$17)/(Inputs!$F$17-Inputs!$D$17),Inputs!$D$17+SQRT(H394*(Inputs!$F$17-Inputs!$D$17)*(Inputs!$E$17-Inputs!$D$17)),Inputs!$F$17-SQRT((1-H394)*(Inputs!$F$17-Inputs!$D$17)*(Inputs!$F$17-Inputs!$E$17))),0)</f>
        <v>109</v>
      </c>
      <c r="J394" s="81" t="n">
        <f aca="true">RAND()</f>
        <v>0.154974258766052</v>
      </c>
      <c r="K394" s="83" t="n">
        <f aca="false">IF(J394&lt;(Inputs!$E$18-Inputs!$D$18)/(Inputs!$F$18-Inputs!$D$18),Inputs!$D$18+SQRT(J394*(Inputs!$F$18-Inputs!$D$18)*(Inputs!$E$18-Inputs!$D$18)),Inputs!$F$18-SQRT((1-J394)*(Inputs!$F$18-Inputs!$D$18)*(Inputs!$F$18-Inputs!$E$18)))</f>
        <v>0.973648483058457</v>
      </c>
      <c r="L394" s="81" t="n">
        <f aca="true">RAND()</f>
        <v>0.259065094981366</v>
      </c>
      <c r="M394" s="83" t="n">
        <f aca="false">IF(L394&lt;(Inputs!$E$24-Inputs!$D$24)/(Inputs!$F$24-Inputs!$D$24),Inputs!$D$24+SQRT(L394*(Inputs!$F$24-Inputs!$D$24)*(Inputs!$E$24-Inputs!$D$24)),Inputs!$F$24-SQRT((1-L394)*(Inputs!$F$24-Inputs!$D$24)*(Inputs!$F$24-Inputs!$E$24)))</f>
        <v>0.776317359887687</v>
      </c>
      <c r="N394" s="81" t="n">
        <f aca="true">RAND()</f>
        <v>0.622976166419573</v>
      </c>
      <c r="O394" s="83" t="n">
        <f aca="false">IF(N394&lt;(Inputs!$E$26-Inputs!$D$26)/(Inputs!$F$26-Inputs!$D$26),Inputs!$D$26+SQRT(N394*(Inputs!$F$26-Inputs!$D$26)*(Inputs!$E$26-Inputs!$D$26)),Inputs!$F$26-SQRT((1-N394)*(Inputs!$F$26-Inputs!$D$26)*(Inputs!$F$26-Inputs!$E$26)))</f>
        <v>0.621983640341601</v>
      </c>
      <c r="P394" s="81" t="n">
        <f aca="true">RAND()</f>
        <v>0.554798863662909</v>
      </c>
      <c r="Q394" s="82" t="n">
        <f aca="false">IF(P394&lt;(Inputs!$E$27-Inputs!$D$27)/(Inputs!$F$27-Inputs!$D$27),Inputs!$D$27+SQRT(P394*(Inputs!$F$27-Inputs!$D$27)*(Inputs!$E$27-Inputs!$D$27)),Inputs!$F$27-SQRT((1-P394)*(Inputs!$F$27-Inputs!$D$27)*(Inputs!$F$27-Inputs!$E$27)))</f>
        <v>92.2158454026696</v>
      </c>
      <c r="R394" s="81" t="n">
        <f aca="true">RAND()</f>
        <v>0.799170939343571</v>
      </c>
      <c r="S394" s="82" t="n">
        <f aca="false">IF(R394&lt;(Inputs!$E$29-Inputs!$D$29)/(Inputs!$F$29-Inputs!$D$29),Inputs!$D$29+SQRT(R394*(Inputs!$F$29-Inputs!$D$29)*(Inputs!$E$29-Inputs!$D$29)),Inputs!$F$29-SQRT((1-R394)*(Inputs!$F$29-Inputs!$D$29)*(Inputs!$F$29-Inputs!$E$29)))</f>
        <v>9.89042292500291</v>
      </c>
      <c r="T394" s="68" t="n">
        <f aca="false">Inputs!$E$9*(1+E394)+Inputs!$E$5*C394*(Inputs!$E$11*Inputs!$E$14*(G394*I394/Inputs!$E$16+(1-G394))*K394+Inputs!$E$23*M394)*(1+O394)+Inputs!$E$5*(Q394+S394)</f>
        <v>5854.98655667665</v>
      </c>
    </row>
    <row r="395" customFormat="false" ht="15" hidden="false" customHeight="false" outlineLevel="0" collapsed="false">
      <c r="A395" s="1" t="n">
        <v>391</v>
      </c>
      <c r="B395" s="81" t="n">
        <f aca="true">RAND()</f>
        <v>0.691745538479142</v>
      </c>
      <c r="C395" s="82" t="n">
        <f aca="false">ROUND(IF(B395&lt;(Inputs!$E$8-Inputs!$D$8)/(Inputs!$F$8-Inputs!$D$8),Inputs!$D$8+SQRT(B395*(Inputs!$F$8-Inputs!$D$8)*(Inputs!$E$8-Inputs!$D$8)),Inputs!$F$8-SQRT((1-B395)*(Inputs!$F$8-Inputs!$D$8)*(Inputs!$F$8-Inputs!$E$8))),0)</f>
        <v>26</v>
      </c>
      <c r="D395" s="81" t="n">
        <f aca="true">RAND()</f>
        <v>0.377853317565858</v>
      </c>
      <c r="E395" s="83" t="n">
        <f aca="false">IF(D395&lt;(Inputs!$E$10-Inputs!$D$10)/(Inputs!$F$10-Inputs!$D$10),Inputs!$D$10+SQRT(D395*(Inputs!$F$10-Inputs!$D$10)*(Inputs!$E$10-Inputs!$D$10)),Inputs!$F$10-SQRT((1-D395)*(Inputs!$F$10-Inputs!$D$10)*(Inputs!$F$10-Inputs!$E$10)))</f>
        <v>0.0633822834584611</v>
      </c>
      <c r="F395" s="81" t="n">
        <f aca="true">RAND()</f>
        <v>0.420855064710019</v>
      </c>
      <c r="G395" s="83" t="n">
        <f aca="false">IF(F395&lt;(Inputs!$E$15-Inputs!$D$15)/(Inputs!$F$15-Inputs!$D$15),Inputs!$D$15+SQRT(F395*(Inputs!$F$15-Inputs!$D$15)*(Inputs!$E$15-Inputs!$D$15)),Inputs!$F$15-SQRT((1-F395)*(Inputs!$F$15-Inputs!$D$15)*(Inputs!$F$15-Inputs!$E$15)))</f>
        <v>0.691744761671718</v>
      </c>
      <c r="H395" s="81" t="n">
        <f aca="true">RAND()</f>
        <v>0.0545744626580952</v>
      </c>
      <c r="I395" s="82" t="n">
        <f aca="false">ROUND(IF(H395&lt;(Inputs!$E$17-Inputs!$D$17)/(Inputs!$F$17-Inputs!$D$17),Inputs!$D$17+SQRT(H395*(Inputs!$F$17-Inputs!$D$17)*(Inputs!$E$17-Inputs!$D$17)),Inputs!$F$17-SQRT((1-H395)*(Inputs!$F$17-Inputs!$D$17)*(Inputs!$F$17-Inputs!$E$17))),0)</f>
        <v>102</v>
      </c>
      <c r="J395" s="81" t="n">
        <f aca="true">RAND()</f>
        <v>0.432084108893766</v>
      </c>
      <c r="K395" s="83" t="n">
        <f aca="false">IF(J395&lt;(Inputs!$E$18-Inputs!$D$18)/(Inputs!$F$18-Inputs!$D$18),Inputs!$D$18+SQRT(J395*(Inputs!$F$18-Inputs!$D$18)*(Inputs!$E$18-Inputs!$D$18)),Inputs!$F$18-SQRT((1-J395)*(Inputs!$F$18-Inputs!$D$18)*(Inputs!$F$18-Inputs!$E$18)))</f>
        <v>1.02708153851286</v>
      </c>
      <c r="L395" s="81" t="n">
        <f aca="true">RAND()</f>
        <v>0.418339634511516</v>
      </c>
      <c r="M395" s="83" t="n">
        <f aca="false">IF(L395&lt;(Inputs!$E$24-Inputs!$D$24)/(Inputs!$F$24-Inputs!$D$24),Inputs!$D$24+SQRT(L395*(Inputs!$F$24-Inputs!$D$24)*(Inputs!$E$24-Inputs!$D$24)),Inputs!$F$24-SQRT((1-L395)*(Inputs!$F$24-Inputs!$D$24)*(Inputs!$F$24-Inputs!$E$24)))</f>
        <v>0.826371189926103</v>
      </c>
      <c r="N395" s="81" t="n">
        <f aca="true">RAND()</f>
        <v>0.773658404009061</v>
      </c>
      <c r="O395" s="83" t="n">
        <f aca="false">IF(N395&lt;(Inputs!$E$26-Inputs!$D$26)/(Inputs!$F$26-Inputs!$D$26),Inputs!$D$26+SQRT(N395*(Inputs!$F$26-Inputs!$D$26)*(Inputs!$E$26-Inputs!$D$26)),Inputs!$F$26-SQRT((1-N395)*(Inputs!$F$26-Inputs!$D$26)*(Inputs!$F$26-Inputs!$E$26)))</f>
        <v>0.666574037454355</v>
      </c>
      <c r="P395" s="81" t="n">
        <f aca="true">RAND()</f>
        <v>0.760675231372834</v>
      </c>
      <c r="Q395" s="82" t="n">
        <f aca="false">IF(P395&lt;(Inputs!$E$27-Inputs!$D$27)/(Inputs!$F$27-Inputs!$D$27),Inputs!$D$27+SQRT(P395*(Inputs!$F$27-Inputs!$D$27)*(Inputs!$E$27-Inputs!$D$27)),Inputs!$F$27-SQRT((1-P395)*(Inputs!$F$27-Inputs!$D$27)*(Inputs!$F$27-Inputs!$E$27)))</f>
        <v>107.633317751991</v>
      </c>
      <c r="R395" s="81" t="n">
        <f aca="true">RAND()</f>
        <v>0.280942381978488</v>
      </c>
      <c r="S395" s="82" t="n">
        <f aca="false">IF(R395&lt;(Inputs!$E$29-Inputs!$D$29)/(Inputs!$F$29-Inputs!$D$29),Inputs!$D$29+SQRT(R395*(Inputs!$F$29-Inputs!$D$29)*(Inputs!$E$29-Inputs!$D$29)),Inputs!$F$29-SQRT((1-R395)*(Inputs!$F$29-Inputs!$D$29)*(Inputs!$F$29-Inputs!$E$29)))</f>
        <v>5.33162421381975</v>
      </c>
      <c r="T395" s="68" t="n">
        <f aca="false">Inputs!$E$9*(1+E395)+Inputs!$E$5*C395*(Inputs!$E$11*Inputs!$E$14*(G395*I395/Inputs!$E$16+(1-G395))*K395+Inputs!$E$23*M395)*(1+O395)+Inputs!$E$5*(Q395+S395)</f>
        <v>6544.55409491227</v>
      </c>
    </row>
    <row r="396" customFormat="false" ht="15" hidden="false" customHeight="false" outlineLevel="0" collapsed="false">
      <c r="A396" s="1" t="n">
        <v>392</v>
      </c>
      <c r="B396" s="81" t="n">
        <f aca="true">RAND()</f>
        <v>0.964027633202824</v>
      </c>
      <c r="C396" s="82" t="n">
        <f aca="false">ROUND(IF(B396&lt;(Inputs!$E$8-Inputs!$D$8)/(Inputs!$F$8-Inputs!$D$8),Inputs!$D$8+SQRT(B396*(Inputs!$F$8-Inputs!$D$8)*(Inputs!$E$8-Inputs!$D$8)),Inputs!$F$8-SQRT((1-B396)*(Inputs!$F$8-Inputs!$D$8)*(Inputs!$F$8-Inputs!$E$8))),0)</f>
        <v>29</v>
      </c>
      <c r="D396" s="81" t="n">
        <f aca="true">RAND()</f>
        <v>0.80579964850706</v>
      </c>
      <c r="E396" s="83" t="n">
        <f aca="false">IF(D396&lt;(Inputs!$E$10-Inputs!$D$10)/(Inputs!$F$10-Inputs!$D$10),Inputs!$D$10+SQRT(D396*(Inputs!$F$10-Inputs!$D$10)*(Inputs!$E$10-Inputs!$D$10)),Inputs!$F$10-SQRT((1-D396)*(Inputs!$F$10-Inputs!$D$10)*(Inputs!$F$10-Inputs!$E$10)))</f>
        <v>0.12367169237571</v>
      </c>
      <c r="F396" s="81" t="n">
        <f aca="true">RAND()</f>
        <v>0.529107526665823</v>
      </c>
      <c r="G396" s="83" t="n">
        <f aca="false">IF(F396&lt;(Inputs!$E$15-Inputs!$D$15)/(Inputs!$F$15-Inputs!$D$15),Inputs!$D$15+SQRT(F396*(Inputs!$F$15-Inputs!$D$15)*(Inputs!$E$15-Inputs!$D$15)),Inputs!$F$15-SQRT((1-F396)*(Inputs!$F$15-Inputs!$D$15)*(Inputs!$F$15-Inputs!$E$15)))</f>
        <v>0.702954394913095</v>
      </c>
      <c r="H396" s="81" t="n">
        <f aca="true">RAND()</f>
        <v>0.870419648479559</v>
      </c>
      <c r="I396" s="82" t="n">
        <f aca="false">ROUND(IF(H396&lt;(Inputs!$E$17-Inputs!$D$17)/(Inputs!$F$17-Inputs!$D$17),Inputs!$D$17+SQRT(H396*(Inputs!$F$17-Inputs!$D$17)*(Inputs!$E$17-Inputs!$D$17)),Inputs!$F$17-SQRT((1-H396)*(Inputs!$F$17-Inputs!$D$17)*(Inputs!$F$17-Inputs!$E$17))),0)</f>
        <v>111</v>
      </c>
      <c r="J396" s="81" t="n">
        <f aca="true">RAND()</f>
        <v>0.436748754912606</v>
      </c>
      <c r="K396" s="83" t="n">
        <f aca="false">IF(J396&lt;(Inputs!$E$18-Inputs!$D$18)/(Inputs!$F$18-Inputs!$D$18),Inputs!$D$18+SQRT(J396*(Inputs!$F$18-Inputs!$D$18)*(Inputs!$E$18-Inputs!$D$18)),Inputs!$F$18-SQRT((1-J396)*(Inputs!$F$18-Inputs!$D$18)*(Inputs!$F$18-Inputs!$E$18)))</f>
        <v>1.02799891003613</v>
      </c>
      <c r="L396" s="81" t="n">
        <f aca="true">RAND()</f>
        <v>0.650401276983365</v>
      </c>
      <c r="M396" s="83" t="n">
        <f aca="false">IF(L396&lt;(Inputs!$E$24-Inputs!$D$24)/(Inputs!$F$24-Inputs!$D$24),Inputs!$D$24+SQRT(L396*(Inputs!$F$24-Inputs!$D$24)*(Inputs!$E$24-Inputs!$D$24)),Inputs!$F$24-SQRT((1-L396)*(Inputs!$F$24-Inputs!$D$24)*(Inputs!$F$24-Inputs!$E$24)))</f>
        <v>0.910338657180506</v>
      </c>
      <c r="N396" s="81" t="n">
        <f aca="true">RAND()</f>
        <v>0.490182379551875</v>
      </c>
      <c r="O396" s="83" t="n">
        <f aca="false">IF(N396&lt;(Inputs!$E$26-Inputs!$D$26)/(Inputs!$F$26-Inputs!$D$26),Inputs!$D$26+SQRT(N396*(Inputs!$F$26-Inputs!$D$26)*(Inputs!$E$26-Inputs!$D$26)),Inputs!$F$26-SQRT((1-N396)*(Inputs!$F$26-Inputs!$D$26)*(Inputs!$F$26-Inputs!$E$26)))</f>
        <v>0.585598228211297</v>
      </c>
      <c r="P396" s="81" t="n">
        <f aca="true">RAND()</f>
        <v>0.957774190047471</v>
      </c>
      <c r="Q396" s="82" t="n">
        <f aca="false">IF(P396&lt;(Inputs!$E$27-Inputs!$D$27)/(Inputs!$F$27-Inputs!$D$27),Inputs!$D$27+SQRT(P396*(Inputs!$F$27-Inputs!$D$27)*(Inputs!$E$27-Inputs!$D$27)),Inputs!$F$27-SQRT((1-P396)*(Inputs!$F$27-Inputs!$D$27)*(Inputs!$F$27-Inputs!$E$27)))</f>
        <v>132.204113547115</v>
      </c>
      <c r="R396" s="81" t="n">
        <f aca="true">RAND()</f>
        <v>0.801634708980352</v>
      </c>
      <c r="S396" s="82" t="n">
        <f aca="false">IF(R396&lt;(Inputs!$E$29-Inputs!$D$29)/(Inputs!$F$29-Inputs!$D$29),Inputs!$D$29+SQRT(R396*(Inputs!$F$29-Inputs!$D$29)*(Inputs!$E$29-Inputs!$D$29)),Inputs!$F$29-SQRT((1-R396)*(Inputs!$F$29-Inputs!$D$29)*(Inputs!$F$29-Inputs!$E$29)))</f>
        <v>9.92186177496572</v>
      </c>
      <c r="T396" s="68" t="n">
        <f aca="false">Inputs!$E$9*(1+E396)+Inputs!$E$5*C396*(Inputs!$E$11*Inputs!$E$14*(G396*I396/Inputs!$E$16+(1-G396))*K396+Inputs!$E$23*M396)*(1+O396)+Inputs!$E$5*(Q396+S396)</f>
        <v>7291.82149044274</v>
      </c>
    </row>
    <row r="397" customFormat="false" ht="15" hidden="false" customHeight="false" outlineLevel="0" collapsed="false">
      <c r="A397" s="1" t="n">
        <v>393</v>
      </c>
      <c r="B397" s="81" t="n">
        <f aca="true">RAND()</f>
        <v>0.0577408142825942</v>
      </c>
      <c r="C397" s="82" t="n">
        <f aca="false">ROUND(IF(B397&lt;(Inputs!$E$8-Inputs!$D$8)/(Inputs!$F$8-Inputs!$D$8),Inputs!$D$8+SQRT(B397*(Inputs!$F$8-Inputs!$D$8)*(Inputs!$E$8-Inputs!$D$8)),Inputs!$F$8-SQRT((1-B397)*(Inputs!$F$8-Inputs!$D$8)*(Inputs!$F$8-Inputs!$E$8))),0)</f>
        <v>22</v>
      </c>
      <c r="D397" s="81" t="n">
        <f aca="true">RAND()</f>
        <v>0.480351330063188</v>
      </c>
      <c r="E397" s="83" t="n">
        <f aca="false">IF(D397&lt;(Inputs!$E$10-Inputs!$D$10)/(Inputs!$F$10-Inputs!$D$10),Inputs!$D$10+SQRT(D397*(Inputs!$F$10-Inputs!$D$10)*(Inputs!$E$10-Inputs!$D$10)),Inputs!$F$10-SQRT((1-D397)*(Inputs!$F$10-Inputs!$D$10)*(Inputs!$F$10-Inputs!$E$10)))</f>
        <v>0.0751422405370641</v>
      </c>
      <c r="F397" s="81" t="n">
        <f aca="true">RAND()</f>
        <v>0.787172483131719</v>
      </c>
      <c r="G397" s="83" t="n">
        <f aca="false">IF(F397&lt;(Inputs!$E$15-Inputs!$D$15)/(Inputs!$F$15-Inputs!$D$15),Inputs!$D$15+SQRT(F397*(Inputs!$F$15-Inputs!$D$15)*(Inputs!$E$15-Inputs!$D$15)),Inputs!$F$15-SQRT((1-F397)*(Inputs!$F$15-Inputs!$D$15)*(Inputs!$F$15-Inputs!$E$15)))</f>
        <v>0.734757756496534</v>
      </c>
      <c r="H397" s="81" t="n">
        <f aca="true">RAND()</f>
        <v>0.421968099613536</v>
      </c>
      <c r="I397" s="82" t="n">
        <f aca="false">ROUND(IF(H397&lt;(Inputs!$E$17-Inputs!$D$17)/(Inputs!$F$17-Inputs!$D$17),Inputs!$D$17+SQRT(H397*(Inputs!$F$17-Inputs!$D$17)*(Inputs!$E$17-Inputs!$D$17)),Inputs!$F$17-SQRT((1-H397)*(Inputs!$F$17-Inputs!$D$17)*(Inputs!$F$17-Inputs!$E$17))),0)</f>
        <v>106</v>
      </c>
      <c r="J397" s="81" t="n">
        <f aca="true">RAND()</f>
        <v>0.65609701846133</v>
      </c>
      <c r="K397" s="83" t="n">
        <f aca="false">IF(J397&lt;(Inputs!$E$18-Inputs!$D$18)/(Inputs!$F$18-Inputs!$D$18),Inputs!$D$18+SQRT(J397*(Inputs!$F$18-Inputs!$D$18)*(Inputs!$E$18-Inputs!$D$18)),Inputs!$F$18-SQRT((1-J397)*(Inputs!$F$18-Inputs!$D$18)*(Inputs!$F$18-Inputs!$E$18)))</f>
        <v>1.07653095122001</v>
      </c>
      <c r="L397" s="81" t="n">
        <f aca="true">RAND()</f>
        <v>0.875659709638039</v>
      </c>
      <c r="M397" s="83" t="n">
        <f aca="false">IF(L397&lt;(Inputs!$E$24-Inputs!$D$24)/(Inputs!$F$24-Inputs!$D$24),Inputs!$D$24+SQRT(L397*(Inputs!$F$24-Inputs!$D$24)*(Inputs!$E$24-Inputs!$D$24)),Inputs!$F$24-SQRT((1-L397)*(Inputs!$F$24-Inputs!$D$24)*(Inputs!$F$24-Inputs!$E$24)))</f>
        <v>1.02725258413837</v>
      </c>
      <c r="N397" s="81" t="n">
        <f aca="true">RAND()</f>
        <v>0.648741508256511</v>
      </c>
      <c r="O397" s="83" t="n">
        <f aca="false">IF(N397&lt;(Inputs!$E$26-Inputs!$D$26)/(Inputs!$F$26-Inputs!$D$26),Inputs!$D$26+SQRT(N397*(Inputs!$F$26-Inputs!$D$26)*(Inputs!$E$26-Inputs!$D$26)),Inputs!$F$26-SQRT((1-N397)*(Inputs!$F$26-Inputs!$D$26)*(Inputs!$F$26-Inputs!$E$26)))</f>
        <v>0.628869460469231</v>
      </c>
      <c r="P397" s="81" t="n">
        <f aca="true">RAND()</f>
        <v>0.370930554940251</v>
      </c>
      <c r="Q397" s="82" t="n">
        <f aca="false">IF(P397&lt;(Inputs!$E$27-Inputs!$D$27)/(Inputs!$F$27-Inputs!$D$27),Inputs!$D$27+SQRT(P397*(Inputs!$F$27-Inputs!$D$27)*(Inputs!$E$27-Inputs!$D$27)),Inputs!$F$27-SQRT((1-P397)*(Inputs!$F$27-Inputs!$D$27)*(Inputs!$F$27-Inputs!$E$27)))</f>
        <v>81.312149269699</v>
      </c>
      <c r="R397" s="81" t="n">
        <f aca="true">RAND()</f>
        <v>0.940283639738145</v>
      </c>
      <c r="S397" s="82" t="n">
        <f aca="false">IF(R397&lt;(Inputs!$E$29-Inputs!$D$29)/(Inputs!$F$29-Inputs!$D$29),Inputs!$D$29+SQRT(R397*(Inputs!$F$29-Inputs!$D$29)*(Inputs!$E$29-Inputs!$D$29)),Inputs!$F$29-SQRT((1-R397)*(Inputs!$F$29-Inputs!$D$29)*(Inputs!$F$29-Inputs!$E$29)))</f>
        <v>12.2137611670854</v>
      </c>
      <c r="T397" s="68" t="n">
        <f aca="false">Inputs!$E$9*(1+E397)+Inputs!$E$5*C397*(Inputs!$E$11*Inputs!$E$14*(G397*I397/Inputs!$E$16+(1-G397))*K397+Inputs!$E$23*M397)*(1+O397)+Inputs!$E$5*(Q397+S397)</f>
        <v>6184.12139449552</v>
      </c>
    </row>
    <row r="398" customFormat="false" ht="15" hidden="false" customHeight="false" outlineLevel="0" collapsed="false">
      <c r="A398" s="1" t="n">
        <v>394</v>
      </c>
      <c r="B398" s="81" t="n">
        <f aca="true">RAND()</f>
        <v>0.29032513560686</v>
      </c>
      <c r="C398" s="82" t="n">
        <f aca="false">ROUND(IF(B398&lt;(Inputs!$E$8-Inputs!$D$8)/(Inputs!$F$8-Inputs!$D$8),Inputs!$D$8+SQRT(B398*(Inputs!$F$8-Inputs!$D$8)*(Inputs!$E$8-Inputs!$D$8)),Inputs!$F$8-SQRT((1-B398)*(Inputs!$F$8-Inputs!$D$8)*(Inputs!$F$8-Inputs!$E$8))),0)</f>
        <v>24</v>
      </c>
      <c r="D398" s="81" t="n">
        <f aca="true">RAND()</f>
        <v>0.910264201522597</v>
      </c>
      <c r="E398" s="83" t="n">
        <f aca="false">IF(D398&lt;(Inputs!$E$10-Inputs!$D$10)/(Inputs!$F$10-Inputs!$D$10),Inputs!$D$10+SQRT(D398*(Inputs!$F$10-Inputs!$D$10)*(Inputs!$E$10-Inputs!$D$10)),Inputs!$F$10-SQRT((1-D398)*(Inputs!$F$10-Inputs!$D$10)*(Inputs!$F$10-Inputs!$E$10)))</f>
        <v>0.148114800238198</v>
      </c>
      <c r="F398" s="81" t="n">
        <f aca="true">RAND()</f>
        <v>0.951392367030028</v>
      </c>
      <c r="G398" s="83" t="n">
        <f aca="false">IF(F398&lt;(Inputs!$E$15-Inputs!$D$15)/(Inputs!$F$15-Inputs!$D$15),Inputs!$D$15+SQRT(F398*(Inputs!$F$15-Inputs!$D$15)*(Inputs!$E$15-Inputs!$D$15)),Inputs!$F$15-SQRT((1-F398)*(Inputs!$F$15-Inputs!$D$15)*(Inputs!$F$15-Inputs!$E$15)))</f>
        <v>0.768820637283622</v>
      </c>
      <c r="H398" s="81" t="n">
        <f aca="true">RAND()</f>
        <v>0.905854024149203</v>
      </c>
      <c r="I398" s="82" t="n">
        <f aca="false">ROUND(IF(H398&lt;(Inputs!$E$17-Inputs!$D$17)/(Inputs!$F$17-Inputs!$D$17),Inputs!$D$17+SQRT(H398*(Inputs!$F$17-Inputs!$D$17)*(Inputs!$E$17-Inputs!$D$17)),Inputs!$F$17-SQRT((1-H398)*(Inputs!$F$17-Inputs!$D$17)*(Inputs!$F$17-Inputs!$E$17))),0)</f>
        <v>111</v>
      </c>
      <c r="J398" s="81" t="n">
        <f aca="true">RAND()</f>
        <v>0.123733038876507</v>
      </c>
      <c r="K398" s="83" t="n">
        <f aca="false">IF(J398&lt;(Inputs!$E$18-Inputs!$D$18)/(Inputs!$F$18-Inputs!$D$18),Inputs!$D$18+SQRT(J398*(Inputs!$F$18-Inputs!$D$18)*(Inputs!$E$18-Inputs!$D$18)),Inputs!$F$18-SQRT((1-J398)*(Inputs!$F$18-Inputs!$D$18)*(Inputs!$F$18-Inputs!$E$18)))</f>
        <v>0.965807722652267</v>
      </c>
      <c r="L398" s="81" t="n">
        <f aca="true">RAND()</f>
        <v>0.763581765026036</v>
      </c>
      <c r="M398" s="83" t="n">
        <f aca="false">IF(L398&lt;(Inputs!$E$24-Inputs!$D$24)/(Inputs!$F$24-Inputs!$D$24),Inputs!$D$24+SQRT(L398*(Inputs!$F$24-Inputs!$D$24)*(Inputs!$E$24-Inputs!$D$24)),Inputs!$F$24-SQRT((1-L398)*(Inputs!$F$24-Inputs!$D$24)*(Inputs!$F$24-Inputs!$E$24)))</f>
        <v>0.961797614634632</v>
      </c>
      <c r="N398" s="81" t="n">
        <f aca="true">RAND()</f>
        <v>0.420305094215484</v>
      </c>
      <c r="O398" s="83" t="n">
        <f aca="false">IF(N398&lt;(Inputs!$E$26-Inputs!$D$26)/(Inputs!$F$26-Inputs!$D$26),Inputs!$D$26+SQRT(N398*(Inputs!$F$26-Inputs!$D$26)*(Inputs!$E$26-Inputs!$D$26)),Inputs!$F$26-SQRT((1-N398)*(Inputs!$F$26-Inputs!$D$26)*(Inputs!$F$26-Inputs!$E$26)))</f>
        <v>0.564459387576725</v>
      </c>
      <c r="P398" s="81" t="n">
        <f aca="true">RAND()</f>
        <v>0.16749041570402</v>
      </c>
      <c r="Q398" s="82" t="n">
        <f aca="false">IF(P398&lt;(Inputs!$E$27-Inputs!$D$27)/(Inputs!$F$27-Inputs!$D$27),Inputs!$D$27+SQRT(P398*(Inputs!$F$27-Inputs!$D$27)*(Inputs!$E$27-Inputs!$D$27)),Inputs!$F$27-SQRT((1-P398)*(Inputs!$F$27-Inputs!$D$27)*(Inputs!$F$27-Inputs!$E$27)))</f>
        <v>70.4627964672488</v>
      </c>
      <c r="R398" s="81" t="n">
        <f aca="true">RAND()</f>
        <v>0.459430956072189</v>
      </c>
      <c r="S398" s="82" t="n">
        <f aca="false">IF(R398&lt;(Inputs!$E$29-Inputs!$D$29)/(Inputs!$F$29-Inputs!$D$29),Inputs!$D$29+SQRT(R398*(Inputs!$F$29-Inputs!$D$29)*(Inputs!$E$29-Inputs!$D$29)),Inputs!$F$29-SQRT((1-R398)*(Inputs!$F$29-Inputs!$D$29)*(Inputs!$F$29-Inputs!$E$29)))</f>
        <v>6.61704254390997</v>
      </c>
      <c r="T398" s="68" t="n">
        <f aca="false">Inputs!$E$9*(1+E398)+Inputs!$E$5*C398*(Inputs!$E$11*Inputs!$E$14*(G398*I398/Inputs!$E$16+(1-G398))*K398+Inputs!$E$23*M398)*(1+O398)+Inputs!$E$5*(Q398+S398)</f>
        <v>6132.60014840406</v>
      </c>
    </row>
    <row r="399" customFormat="false" ht="15" hidden="false" customHeight="false" outlineLevel="0" collapsed="false">
      <c r="A399" s="1" t="n">
        <v>395</v>
      </c>
      <c r="B399" s="81" t="n">
        <f aca="true">RAND()</f>
        <v>0.371552846027563</v>
      </c>
      <c r="C399" s="82" t="n">
        <f aca="false">ROUND(IF(B399&lt;(Inputs!$E$8-Inputs!$D$8)/(Inputs!$F$8-Inputs!$D$8),Inputs!$D$8+SQRT(B399*(Inputs!$F$8-Inputs!$D$8)*(Inputs!$E$8-Inputs!$D$8)),Inputs!$F$8-SQRT((1-B399)*(Inputs!$F$8-Inputs!$D$8)*(Inputs!$F$8-Inputs!$E$8))),0)</f>
        <v>24</v>
      </c>
      <c r="D399" s="81" t="n">
        <f aca="true">RAND()</f>
        <v>0.868348687178752</v>
      </c>
      <c r="E399" s="83" t="n">
        <f aca="false">IF(D399&lt;(Inputs!$E$10-Inputs!$D$10)/(Inputs!$F$10-Inputs!$D$10),Inputs!$D$10+SQRT(D399*(Inputs!$F$10-Inputs!$D$10)*(Inputs!$E$10-Inputs!$D$10)),Inputs!$F$10-SQRT((1-D399)*(Inputs!$F$10-Inputs!$D$10)*(Inputs!$F$10-Inputs!$E$10)))</f>
        <v>0.137154639116022</v>
      </c>
      <c r="F399" s="81" t="n">
        <f aca="true">RAND()</f>
        <v>0.418516638536666</v>
      </c>
      <c r="G399" s="83" t="n">
        <f aca="false">IF(F399&lt;(Inputs!$E$15-Inputs!$D$15)/(Inputs!$F$15-Inputs!$D$15),Inputs!$D$15+SQRT(F399*(Inputs!$F$15-Inputs!$D$15)*(Inputs!$E$15-Inputs!$D$15)),Inputs!$F$15-SQRT((1-F399)*(Inputs!$F$15-Inputs!$D$15)*(Inputs!$F$15-Inputs!$E$15)))</f>
        <v>0.691489522737488</v>
      </c>
      <c r="H399" s="81" t="n">
        <f aca="true">RAND()</f>
        <v>0.0029624600091087</v>
      </c>
      <c r="I399" s="82" t="n">
        <f aca="false">ROUND(IF(H399&lt;(Inputs!$E$17-Inputs!$D$17)/(Inputs!$F$17-Inputs!$D$17),Inputs!$D$17+SQRT(H399*(Inputs!$F$17-Inputs!$D$17)*(Inputs!$E$17-Inputs!$D$17)),Inputs!$F$17-SQRT((1-H399)*(Inputs!$F$17-Inputs!$D$17)*(Inputs!$F$17-Inputs!$E$17))),0)</f>
        <v>100</v>
      </c>
      <c r="J399" s="81" t="n">
        <f aca="true">RAND()</f>
        <v>0.147424385890029</v>
      </c>
      <c r="K399" s="83" t="n">
        <f aca="false">IF(J399&lt;(Inputs!$E$18-Inputs!$D$18)/(Inputs!$F$18-Inputs!$D$18),Inputs!$D$18+SQRT(J399*(Inputs!$F$18-Inputs!$D$18)*(Inputs!$E$18-Inputs!$D$18)),Inputs!$F$18-SQRT((1-J399)*(Inputs!$F$18-Inputs!$D$18)*(Inputs!$F$18-Inputs!$E$18)))</f>
        <v>0.971832120295527</v>
      </c>
      <c r="L399" s="81" t="n">
        <f aca="true">RAND()</f>
        <v>0.938746792781602</v>
      </c>
      <c r="M399" s="83" t="n">
        <f aca="false">IF(L399&lt;(Inputs!$E$24-Inputs!$D$24)/(Inputs!$F$24-Inputs!$D$24),Inputs!$D$24+SQRT(L399*(Inputs!$F$24-Inputs!$D$24)*(Inputs!$E$24-Inputs!$D$24)),Inputs!$F$24-SQRT((1-L399)*(Inputs!$F$24-Inputs!$D$24)*(Inputs!$F$24-Inputs!$E$24)))</f>
        <v>1.07875326918875</v>
      </c>
      <c r="N399" s="81" t="n">
        <f aca="true">RAND()</f>
        <v>0.0114062659261884</v>
      </c>
      <c r="O399" s="83" t="n">
        <f aca="false">IF(N399&lt;(Inputs!$E$26-Inputs!$D$26)/(Inputs!$F$26-Inputs!$D$26),Inputs!$D$26+SQRT(N399*(Inputs!$F$26-Inputs!$D$26)*(Inputs!$E$26-Inputs!$D$26)),Inputs!$F$26-SQRT((1-N399)*(Inputs!$F$26-Inputs!$D$26)*(Inputs!$F$26-Inputs!$E$26)))</f>
        <v>0.343566072236521</v>
      </c>
      <c r="P399" s="81" t="n">
        <f aca="true">RAND()</f>
        <v>0.259238685498786</v>
      </c>
      <c r="Q399" s="82" t="n">
        <f aca="false">IF(P399&lt;(Inputs!$E$27-Inputs!$D$27)/(Inputs!$F$27-Inputs!$D$27),Inputs!$D$27+SQRT(P399*(Inputs!$F$27-Inputs!$D$27)*(Inputs!$E$27-Inputs!$D$27)),Inputs!$F$27-SQRT((1-P399)*(Inputs!$F$27-Inputs!$D$27)*(Inputs!$F$27-Inputs!$E$27)))</f>
        <v>75.4633656598374</v>
      </c>
      <c r="R399" s="81" t="n">
        <f aca="true">RAND()</f>
        <v>0.641456193925381</v>
      </c>
      <c r="S399" s="82" t="n">
        <f aca="false">IF(R399&lt;(Inputs!$E$29-Inputs!$D$29)/(Inputs!$F$29-Inputs!$D$29),Inputs!$D$29+SQRT(R399*(Inputs!$F$29-Inputs!$D$29)*(Inputs!$E$29-Inputs!$D$29)),Inputs!$F$29-SQRT((1-R399)*(Inputs!$F$29-Inputs!$D$29)*(Inputs!$F$29-Inputs!$E$29)))</f>
        <v>8.17279744040793</v>
      </c>
      <c r="T399" s="68" t="n">
        <f aca="false">Inputs!$E$9*(1+E399)+Inputs!$E$5*C399*(Inputs!$E$11*Inputs!$E$14*(G399*I399/Inputs!$E$16+(1-G399))*K399+Inputs!$E$23*M399)*(1+O399)+Inputs!$E$5*(Q399+S399)</f>
        <v>5806.66897860086</v>
      </c>
    </row>
    <row r="400" customFormat="false" ht="15" hidden="false" customHeight="false" outlineLevel="0" collapsed="false">
      <c r="A400" s="1" t="n">
        <v>396</v>
      </c>
      <c r="B400" s="81" t="n">
        <f aca="true">RAND()</f>
        <v>0.655067586308486</v>
      </c>
      <c r="C400" s="82" t="n">
        <f aca="false">ROUND(IF(B400&lt;(Inputs!$E$8-Inputs!$D$8)/(Inputs!$F$8-Inputs!$D$8),Inputs!$D$8+SQRT(B400*(Inputs!$F$8-Inputs!$D$8)*(Inputs!$E$8-Inputs!$D$8)),Inputs!$F$8-SQRT((1-B400)*(Inputs!$F$8-Inputs!$D$8)*(Inputs!$F$8-Inputs!$E$8))),0)</f>
        <v>26</v>
      </c>
      <c r="D400" s="81" t="n">
        <f aca="true">RAND()</f>
        <v>0.736337604820861</v>
      </c>
      <c r="E400" s="83" t="n">
        <f aca="false">IF(D400&lt;(Inputs!$E$10-Inputs!$D$10)/(Inputs!$F$10-Inputs!$D$10),Inputs!$D$10+SQRT(D400*(Inputs!$F$10-Inputs!$D$10)*(Inputs!$E$10-Inputs!$D$10)),Inputs!$F$10-SQRT((1-D400)*(Inputs!$F$10-Inputs!$D$10)*(Inputs!$F$10-Inputs!$E$10)))</f>
        <v>0.111062539639507</v>
      </c>
      <c r="F400" s="81" t="n">
        <f aca="true">RAND()</f>
        <v>0.388866797741778</v>
      </c>
      <c r="G400" s="83" t="n">
        <f aca="false">IF(F400&lt;(Inputs!$E$15-Inputs!$D$15)/(Inputs!$F$15-Inputs!$D$15),Inputs!$D$15+SQRT(F400*(Inputs!$F$15-Inputs!$D$15)*(Inputs!$E$15-Inputs!$D$15)),Inputs!$F$15-SQRT((1-F400)*(Inputs!$F$15-Inputs!$D$15)*(Inputs!$F$15-Inputs!$E$15)))</f>
        <v>0.688189205432613</v>
      </c>
      <c r="H400" s="81" t="n">
        <f aca="true">RAND()</f>
        <v>0.814875603955292</v>
      </c>
      <c r="I400" s="82" t="n">
        <f aca="false">ROUND(IF(H400&lt;(Inputs!$E$17-Inputs!$D$17)/(Inputs!$F$17-Inputs!$D$17),Inputs!$D$17+SQRT(H400*(Inputs!$F$17-Inputs!$D$17)*(Inputs!$E$17-Inputs!$D$17)),Inputs!$F$17-SQRT((1-H400)*(Inputs!$F$17-Inputs!$D$17)*(Inputs!$F$17-Inputs!$E$17))),0)</f>
        <v>110</v>
      </c>
      <c r="J400" s="81" t="n">
        <f aca="true">RAND()</f>
        <v>0.336707773417604</v>
      </c>
      <c r="K400" s="83" t="n">
        <f aca="false">IF(J400&lt;(Inputs!$E$18-Inputs!$D$18)/(Inputs!$F$18-Inputs!$D$18),Inputs!$D$18+SQRT(J400*(Inputs!$F$18-Inputs!$D$18)*(Inputs!$E$18-Inputs!$D$18)),Inputs!$F$18-SQRT((1-J400)*(Inputs!$F$18-Inputs!$D$18)*(Inputs!$F$18-Inputs!$E$18)))</f>
        <v>1.00908908321548</v>
      </c>
      <c r="L400" s="81" t="n">
        <f aca="true">RAND()</f>
        <v>0.934273273016726</v>
      </c>
      <c r="M400" s="83" t="n">
        <f aca="false">IF(L400&lt;(Inputs!$E$24-Inputs!$D$24)/(Inputs!$F$24-Inputs!$D$24),Inputs!$D$24+SQRT(L400*(Inputs!$F$24-Inputs!$D$24)*(Inputs!$E$24-Inputs!$D$24)),Inputs!$F$24-SQRT((1-L400)*(Inputs!$F$24-Inputs!$D$24)*(Inputs!$F$24-Inputs!$E$24)))</f>
        <v>1.07440376408512</v>
      </c>
      <c r="N400" s="81" t="n">
        <f aca="true">RAND()</f>
        <v>0.598048156798905</v>
      </c>
      <c r="O400" s="83" t="n">
        <f aca="false">IF(N400&lt;(Inputs!$E$26-Inputs!$D$26)/(Inputs!$F$26-Inputs!$D$26),Inputs!$D$26+SQRT(N400*(Inputs!$F$26-Inputs!$D$26)*(Inputs!$E$26-Inputs!$D$26)),Inputs!$F$26-SQRT((1-N400)*(Inputs!$F$26-Inputs!$D$26)*(Inputs!$F$26-Inputs!$E$26)))</f>
        <v>0.615460319677987</v>
      </c>
      <c r="P400" s="81" t="n">
        <f aca="true">RAND()</f>
        <v>0.298851539915176</v>
      </c>
      <c r="Q400" s="82" t="n">
        <f aca="false">IF(P400&lt;(Inputs!$E$27-Inputs!$D$27)/(Inputs!$F$27-Inputs!$D$27),Inputs!$D$27+SQRT(P400*(Inputs!$F$27-Inputs!$D$27)*(Inputs!$E$27-Inputs!$D$27)),Inputs!$F$27-SQRT((1-P400)*(Inputs!$F$27-Inputs!$D$27)*(Inputs!$F$27-Inputs!$E$27)))</f>
        <v>77.4837021722966</v>
      </c>
      <c r="R400" s="81" t="n">
        <f aca="true">RAND()</f>
        <v>0.0490161332530667</v>
      </c>
      <c r="S400" s="82" t="n">
        <f aca="false">IF(R400&lt;(Inputs!$E$29-Inputs!$D$29)/(Inputs!$F$29-Inputs!$D$29),Inputs!$D$29+SQRT(R400*(Inputs!$F$29-Inputs!$D$29)*(Inputs!$E$29-Inputs!$D$29)),Inputs!$F$29-SQRT((1-R400)*(Inputs!$F$29-Inputs!$D$29)*(Inputs!$F$29-Inputs!$E$29)))</f>
        <v>3.38261679321119</v>
      </c>
      <c r="T400" s="68" t="n">
        <f aca="false">Inputs!$E$9*(1+E400)+Inputs!$E$5*C400*(Inputs!$E$11*Inputs!$E$14*(G400*I400/Inputs!$E$16+(1-G400))*K400+Inputs!$E$23*M400)*(1+O400)+Inputs!$E$5*(Q400+S400)</f>
        <v>6810.92923080202</v>
      </c>
    </row>
    <row r="401" customFormat="false" ht="15" hidden="false" customHeight="false" outlineLevel="0" collapsed="false">
      <c r="A401" s="1" t="n">
        <v>397</v>
      </c>
      <c r="B401" s="81" t="n">
        <f aca="true">RAND()</f>
        <v>0.109647476425885</v>
      </c>
      <c r="C401" s="82" t="n">
        <f aca="false">ROUND(IF(B401&lt;(Inputs!$E$8-Inputs!$D$8)/(Inputs!$F$8-Inputs!$D$8),Inputs!$D$8+SQRT(B401*(Inputs!$F$8-Inputs!$D$8)*(Inputs!$E$8-Inputs!$D$8)),Inputs!$F$8-SQRT((1-B401)*(Inputs!$F$8-Inputs!$D$8)*(Inputs!$F$8-Inputs!$E$8))),0)</f>
        <v>22</v>
      </c>
      <c r="D401" s="81" t="n">
        <f aca="true">RAND()</f>
        <v>0.0479626781387716</v>
      </c>
      <c r="E401" s="83" t="n">
        <f aca="false">IF(D401&lt;(Inputs!$E$10-Inputs!$D$10)/(Inputs!$F$10-Inputs!$D$10),Inputs!$D$10+SQRT(D401*(Inputs!$F$10-Inputs!$D$10)*(Inputs!$E$10-Inputs!$D$10)),Inputs!$F$10-SQRT((1-D401)*(Inputs!$F$10-Inputs!$D$10)*(Inputs!$F$10-Inputs!$E$10)))</f>
        <v>0.0219003831333544</v>
      </c>
      <c r="F401" s="81" t="n">
        <f aca="true">RAND()</f>
        <v>0.785200548736515</v>
      </c>
      <c r="G401" s="83" t="n">
        <f aca="false">IF(F401&lt;(Inputs!$E$15-Inputs!$D$15)/(Inputs!$F$15-Inputs!$D$15),Inputs!$D$15+SQRT(F401*(Inputs!$F$15-Inputs!$D$15)*(Inputs!$E$15-Inputs!$D$15)),Inputs!$F$15-SQRT((1-F401)*(Inputs!$F$15-Inputs!$D$15)*(Inputs!$F$15-Inputs!$E$15)))</f>
        <v>0.734456205287841</v>
      </c>
      <c r="H401" s="81" t="n">
        <f aca="true">RAND()</f>
        <v>0.705988698038328</v>
      </c>
      <c r="I401" s="82" t="n">
        <f aca="false">ROUND(IF(H401&lt;(Inputs!$E$17-Inputs!$D$17)/(Inputs!$F$17-Inputs!$D$17),Inputs!$D$17+SQRT(H401*(Inputs!$F$17-Inputs!$D$17)*(Inputs!$E$17-Inputs!$D$17)),Inputs!$F$17-SQRT((1-H401)*(Inputs!$F$17-Inputs!$D$17)*(Inputs!$F$17-Inputs!$E$17))),0)</f>
        <v>108</v>
      </c>
      <c r="J401" s="81" t="n">
        <f aca="true">RAND()</f>
        <v>0.811525255180218</v>
      </c>
      <c r="K401" s="83" t="n">
        <f aca="false">IF(J401&lt;(Inputs!$E$18-Inputs!$D$18)/(Inputs!$F$18-Inputs!$D$18),Inputs!$D$18+SQRT(J401*(Inputs!$F$18-Inputs!$D$18)*(Inputs!$E$18-Inputs!$D$18)),Inputs!$F$18-SQRT((1-J401)*(Inputs!$F$18-Inputs!$D$18)*(Inputs!$F$18-Inputs!$E$18)))</f>
        <v>1.12158060827223</v>
      </c>
      <c r="L401" s="81" t="n">
        <f aca="true">RAND()</f>
        <v>0.860663528477731</v>
      </c>
      <c r="M401" s="83" t="n">
        <f aca="false">IF(L401&lt;(Inputs!$E$24-Inputs!$D$24)/(Inputs!$F$24-Inputs!$D$24),Inputs!$D$24+SQRT(L401*(Inputs!$F$24-Inputs!$D$24)*(Inputs!$E$24-Inputs!$D$24)),Inputs!$F$24-SQRT((1-L401)*(Inputs!$F$24-Inputs!$D$24)*(Inputs!$F$24-Inputs!$E$24)))</f>
        <v>1.01713186946506</v>
      </c>
      <c r="N401" s="81" t="n">
        <f aca="true">RAND()</f>
        <v>0.716339547632583</v>
      </c>
      <c r="O401" s="83" t="n">
        <f aca="false">IF(N401&lt;(Inputs!$E$26-Inputs!$D$26)/(Inputs!$F$26-Inputs!$D$26),Inputs!$D$26+SQRT(N401*(Inputs!$F$26-Inputs!$D$26)*(Inputs!$E$26-Inputs!$D$26)),Inputs!$F$26-SQRT((1-N401)*(Inputs!$F$26-Inputs!$D$26)*(Inputs!$F$26-Inputs!$E$26)))</f>
        <v>0.648242359569621</v>
      </c>
      <c r="P401" s="81" t="n">
        <f aca="true">RAND()</f>
        <v>0.0135694916345892</v>
      </c>
      <c r="Q401" s="82" t="n">
        <f aca="false">IF(P401&lt;(Inputs!$E$27-Inputs!$D$27)/(Inputs!$F$27-Inputs!$D$27),Inputs!$D$27+SQRT(P401*(Inputs!$F$27-Inputs!$D$27)*(Inputs!$E$27-Inputs!$D$27)),Inputs!$F$27-SQRT((1-P401)*(Inputs!$F$27-Inputs!$D$27)*(Inputs!$F$27-Inputs!$E$27)))</f>
        <v>55.824408046014</v>
      </c>
      <c r="R401" s="81" t="n">
        <f aca="true">RAND()</f>
        <v>0.183334227731208</v>
      </c>
      <c r="S401" s="82" t="n">
        <f aca="false">IF(R401&lt;(Inputs!$E$29-Inputs!$D$29)/(Inputs!$F$29-Inputs!$D$29),Inputs!$D$29+SQRT(R401*(Inputs!$F$29-Inputs!$D$29)*(Inputs!$E$29-Inputs!$D$29)),Inputs!$F$29-SQRT((1-R401)*(Inputs!$F$29-Inputs!$D$29)*(Inputs!$F$29-Inputs!$E$29)))</f>
        <v>4.67395491389012</v>
      </c>
      <c r="T401" s="68" t="n">
        <f aca="false">Inputs!$E$9*(1+E401)+Inputs!$E$5*C401*(Inputs!$E$11*Inputs!$E$14*(G401*I401/Inputs!$E$16+(1-G401))*K401+Inputs!$E$23*M401)*(1+O401)+Inputs!$E$5*(Q401+S401)</f>
        <v>6040.22917717709</v>
      </c>
    </row>
    <row r="402" customFormat="false" ht="15" hidden="false" customHeight="false" outlineLevel="0" collapsed="false">
      <c r="A402" s="1" t="n">
        <v>398</v>
      </c>
      <c r="B402" s="81" t="n">
        <f aca="true">RAND()</f>
        <v>0.537231199177215</v>
      </c>
      <c r="C402" s="82" t="n">
        <f aca="false">ROUND(IF(B402&lt;(Inputs!$E$8-Inputs!$D$8)/(Inputs!$F$8-Inputs!$D$8),Inputs!$D$8+SQRT(B402*(Inputs!$F$8-Inputs!$D$8)*(Inputs!$E$8-Inputs!$D$8)),Inputs!$F$8-SQRT((1-B402)*(Inputs!$F$8-Inputs!$D$8)*(Inputs!$F$8-Inputs!$E$8))),0)</f>
        <v>25</v>
      </c>
      <c r="D402" s="81" t="n">
        <f aca="true">RAND()</f>
        <v>0.200338212167238</v>
      </c>
      <c r="E402" s="83" t="n">
        <f aca="false">IF(D402&lt;(Inputs!$E$10-Inputs!$D$10)/(Inputs!$F$10-Inputs!$D$10),Inputs!$D$10+SQRT(D402*(Inputs!$F$10-Inputs!$D$10)*(Inputs!$E$10-Inputs!$D$10)),Inputs!$F$10-SQRT((1-D402)*(Inputs!$F$10-Inputs!$D$10)*(Inputs!$F$10-Inputs!$E$10)))</f>
        <v>0.0447591568472014</v>
      </c>
      <c r="F402" s="81" t="n">
        <f aca="true">RAND()</f>
        <v>0.487711723889812</v>
      </c>
      <c r="G402" s="83" t="n">
        <f aca="false">IF(F402&lt;(Inputs!$E$15-Inputs!$D$15)/(Inputs!$F$15-Inputs!$D$15),Inputs!$D$15+SQRT(F402*(Inputs!$F$15-Inputs!$D$15)*(Inputs!$E$15-Inputs!$D$15)),Inputs!$F$15-SQRT((1-F402)*(Inputs!$F$15-Inputs!$D$15)*(Inputs!$F$15-Inputs!$E$15)))</f>
        <v>0.698763528074873</v>
      </c>
      <c r="H402" s="81" t="n">
        <f aca="true">RAND()</f>
        <v>0.949982121820648</v>
      </c>
      <c r="I402" s="82" t="n">
        <f aca="false">ROUND(IF(H402&lt;(Inputs!$E$17-Inputs!$D$17)/(Inputs!$F$17-Inputs!$D$17),Inputs!$D$17+SQRT(H402*(Inputs!$F$17-Inputs!$D$17)*(Inputs!$E$17-Inputs!$D$17)),Inputs!$F$17-SQRT((1-H402)*(Inputs!$F$17-Inputs!$D$17)*(Inputs!$F$17-Inputs!$E$17))),0)</f>
        <v>112</v>
      </c>
      <c r="J402" s="81" t="n">
        <f aca="true">RAND()</f>
        <v>0.587413275138183</v>
      </c>
      <c r="K402" s="83" t="n">
        <f aca="false">IF(J402&lt;(Inputs!$E$18-Inputs!$D$18)/(Inputs!$F$18-Inputs!$D$18),Inputs!$D$18+SQRT(J402*(Inputs!$F$18-Inputs!$D$18)*(Inputs!$E$18-Inputs!$D$18)),Inputs!$F$18-SQRT((1-J402)*(Inputs!$F$18-Inputs!$D$18)*(Inputs!$F$18-Inputs!$E$18)))</f>
        <v>1.05999647786052</v>
      </c>
      <c r="L402" s="81" t="n">
        <f aca="true">RAND()</f>
        <v>0.733508029999618</v>
      </c>
      <c r="M402" s="83" t="n">
        <f aca="false">IF(L402&lt;(Inputs!$E$24-Inputs!$D$24)/(Inputs!$F$24-Inputs!$D$24),Inputs!$D$24+SQRT(L402*(Inputs!$F$24-Inputs!$D$24)*(Inputs!$E$24-Inputs!$D$24)),Inputs!$F$24-SQRT((1-L402)*(Inputs!$F$24-Inputs!$D$24)*(Inputs!$F$24-Inputs!$E$24)))</f>
        <v>0.947100666667364</v>
      </c>
      <c r="N402" s="81" t="n">
        <f aca="true">RAND()</f>
        <v>0.231313380865691</v>
      </c>
      <c r="O402" s="83" t="n">
        <f aca="false">IF(N402&lt;(Inputs!$E$26-Inputs!$D$26)/(Inputs!$F$26-Inputs!$D$26),Inputs!$D$26+SQRT(N402*(Inputs!$F$26-Inputs!$D$26)*(Inputs!$E$26-Inputs!$D$26)),Inputs!$F$26-SQRT((1-N402)*(Inputs!$F$26-Inputs!$D$26)*(Inputs!$F$26-Inputs!$E$26)))</f>
        <v>0.49619007766972</v>
      </c>
      <c r="P402" s="81" t="n">
        <f aca="true">RAND()</f>
        <v>0.290057070996959</v>
      </c>
      <c r="Q402" s="82" t="n">
        <f aca="false">IF(P402&lt;(Inputs!$E$27-Inputs!$D$27)/(Inputs!$F$27-Inputs!$D$27),Inputs!$D$27+SQRT(P402*(Inputs!$F$27-Inputs!$D$27)*(Inputs!$E$27-Inputs!$D$27)),Inputs!$F$27-SQRT((1-P402)*(Inputs!$F$27-Inputs!$D$27)*(Inputs!$F$27-Inputs!$E$27)))</f>
        <v>77.0303352925148</v>
      </c>
      <c r="R402" s="81" t="n">
        <f aca="true">RAND()</f>
        <v>0.0310624176121452</v>
      </c>
      <c r="S402" s="82" t="n">
        <f aca="false">IF(R402&lt;(Inputs!$E$29-Inputs!$D$29)/(Inputs!$F$29-Inputs!$D$29),Inputs!$D$29+SQRT(R402*(Inputs!$F$29-Inputs!$D$29)*(Inputs!$E$29-Inputs!$D$29)),Inputs!$F$29-SQRT((1-R402)*(Inputs!$F$29-Inputs!$D$29)*(Inputs!$F$29-Inputs!$E$29)))</f>
        <v>3.10065175549474</v>
      </c>
      <c r="T402" s="68" t="n">
        <f aca="false">Inputs!$E$9*(1+E402)+Inputs!$E$5*C402*(Inputs!$E$11*Inputs!$E$14*(G402*I402/Inputs!$E$16+(1-G402))*K402+Inputs!$E$23*M402)*(1+O402)+Inputs!$E$5*(Q402+S402)</f>
        <v>6173.65155768628</v>
      </c>
    </row>
    <row r="403" customFormat="false" ht="15" hidden="false" customHeight="false" outlineLevel="0" collapsed="false">
      <c r="A403" s="1" t="n">
        <v>399</v>
      </c>
      <c r="B403" s="81" t="n">
        <f aca="true">RAND()</f>
        <v>0.533646268477409</v>
      </c>
      <c r="C403" s="82" t="n">
        <f aca="false">ROUND(IF(B403&lt;(Inputs!$E$8-Inputs!$D$8)/(Inputs!$F$8-Inputs!$D$8),Inputs!$D$8+SQRT(B403*(Inputs!$F$8-Inputs!$D$8)*(Inputs!$E$8-Inputs!$D$8)),Inputs!$F$8-SQRT((1-B403)*(Inputs!$F$8-Inputs!$D$8)*(Inputs!$F$8-Inputs!$E$8))),0)</f>
        <v>25</v>
      </c>
      <c r="D403" s="81" t="n">
        <f aca="true">RAND()</f>
        <v>0.079489095135426</v>
      </c>
      <c r="E403" s="83" t="n">
        <f aca="false">IF(D403&lt;(Inputs!$E$10-Inputs!$D$10)/(Inputs!$F$10-Inputs!$D$10),Inputs!$D$10+SQRT(D403*(Inputs!$F$10-Inputs!$D$10)*(Inputs!$E$10-Inputs!$D$10)),Inputs!$F$10-SQRT((1-D403)*(Inputs!$F$10-Inputs!$D$10)*(Inputs!$F$10-Inputs!$E$10)))</f>
        <v>0.028193810514974</v>
      </c>
      <c r="F403" s="81" t="n">
        <f aca="true">RAND()</f>
        <v>0.173423773173067</v>
      </c>
      <c r="G403" s="83" t="n">
        <f aca="false">IF(F403&lt;(Inputs!$E$15-Inputs!$D$15)/(Inputs!$F$15-Inputs!$D$15),Inputs!$D$15+SQRT(F403*(Inputs!$F$15-Inputs!$D$15)*(Inputs!$E$15-Inputs!$D$15)),Inputs!$F$15-SQRT((1-F403)*(Inputs!$F$15-Inputs!$D$15)*(Inputs!$F$15-Inputs!$E$15)))</f>
        <v>0.658893764215419</v>
      </c>
      <c r="H403" s="81" t="n">
        <f aca="true">RAND()</f>
        <v>0.556604100951532</v>
      </c>
      <c r="I403" s="82" t="n">
        <f aca="false">ROUND(IF(H403&lt;(Inputs!$E$17-Inputs!$D$17)/(Inputs!$F$17-Inputs!$D$17),Inputs!$D$17+SQRT(H403*(Inputs!$F$17-Inputs!$D$17)*(Inputs!$E$17-Inputs!$D$17)),Inputs!$F$17-SQRT((1-H403)*(Inputs!$F$17-Inputs!$D$17)*(Inputs!$F$17-Inputs!$E$17))),0)</f>
        <v>107</v>
      </c>
      <c r="J403" s="81" t="n">
        <f aca="true">RAND()</f>
        <v>0.41140785997766</v>
      </c>
      <c r="K403" s="83" t="n">
        <f aca="false">IF(J403&lt;(Inputs!$E$18-Inputs!$D$18)/(Inputs!$F$18-Inputs!$D$18),Inputs!$D$18+SQRT(J403*(Inputs!$F$18-Inputs!$D$18)*(Inputs!$E$18-Inputs!$D$18)),Inputs!$F$18-SQRT((1-J403)*(Inputs!$F$18-Inputs!$D$18)*(Inputs!$F$18-Inputs!$E$18)))</f>
        <v>1.0230598928088</v>
      </c>
      <c r="L403" s="81" t="n">
        <f aca="true">RAND()</f>
        <v>0.00317318449332903</v>
      </c>
      <c r="M403" s="83" t="n">
        <f aca="false">IF(L403&lt;(Inputs!$E$24-Inputs!$D$24)/(Inputs!$F$24-Inputs!$D$24),Inputs!$D$24+SQRT(L403*(Inputs!$F$24-Inputs!$D$24)*(Inputs!$E$24-Inputs!$D$24)),Inputs!$F$24-SQRT((1-L403)*(Inputs!$F$24-Inputs!$D$24)*(Inputs!$F$24-Inputs!$E$24)))</f>
        <v>0.619513639824479</v>
      </c>
      <c r="N403" s="81" t="n">
        <f aca="true">RAND()</f>
        <v>0.886166523389377</v>
      </c>
      <c r="O403" s="83" t="n">
        <f aca="false">IF(N403&lt;(Inputs!$E$26-Inputs!$D$26)/(Inputs!$F$26-Inputs!$D$26),Inputs!$D$26+SQRT(N403*(Inputs!$F$26-Inputs!$D$26)*(Inputs!$E$26-Inputs!$D$26)),Inputs!$F$26-SQRT((1-N403)*(Inputs!$F$26-Inputs!$D$26)*(Inputs!$F$26-Inputs!$E$26)))</f>
        <v>0.711194294416585</v>
      </c>
      <c r="P403" s="81" t="n">
        <f aca="true">RAND()</f>
        <v>0.315587343400546</v>
      </c>
      <c r="Q403" s="82" t="n">
        <f aca="false">IF(P403&lt;(Inputs!$E$27-Inputs!$D$27)/(Inputs!$F$27-Inputs!$D$27),Inputs!$D$27+SQRT(P403*(Inputs!$F$27-Inputs!$D$27)*(Inputs!$E$27-Inputs!$D$27)),Inputs!$F$27-SQRT((1-P403)*(Inputs!$F$27-Inputs!$D$27)*(Inputs!$F$27-Inputs!$E$27)))</f>
        <v>78.3543795860772</v>
      </c>
      <c r="R403" s="81" t="n">
        <f aca="true">RAND()</f>
        <v>0.580977937139468</v>
      </c>
      <c r="S403" s="82" t="n">
        <f aca="false">IF(R403&lt;(Inputs!$E$29-Inputs!$D$29)/(Inputs!$F$29-Inputs!$D$29),Inputs!$D$29+SQRT(R403*(Inputs!$F$29-Inputs!$D$29)*(Inputs!$E$29-Inputs!$D$29)),Inputs!$F$29-SQRT((1-R403)*(Inputs!$F$29-Inputs!$D$29)*(Inputs!$F$29-Inputs!$E$29)))</f>
        <v>7.61942629791768</v>
      </c>
      <c r="T403" s="68" t="n">
        <f aca="false">Inputs!$E$9*(1+E403)+Inputs!$E$5*C403*(Inputs!$E$11*Inputs!$E$14*(G403*I403/Inputs!$E$16+(1-G403))*K403+Inputs!$E$23*M403)*(1+O403)+Inputs!$E$5*(Q403+S403)</f>
        <v>6070.95769447998</v>
      </c>
    </row>
    <row r="404" customFormat="false" ht="15" hidden="false" customHeight="false" outlineLevel="0" collapsed="false">
      <c r="A404" s="1" t="n">
        <v>400</v>
      </c>
      <c r="B404" s="81" t="n">
        <f aca="true">RAND()</f>
        <v>0.576206024670879</v>
      </c>
      <c r="C404" s="82" t="n">
        <f aca="false">ROUND(IF(B404&lt;(Inputs!$E$8-Inputs!$D$8)/(Inputs!$F$8-Inputs!$D$8),Inputs!$D$8+SQRT(B404*(Inputs!$F$8-Inputs!$D$8)*(Inputs!$E$8-Inputs!$D$8)),Inputs!$F$8-SQRT((1-B404)*(Inputs!$F$8-Inputs!$D$8)*(Inputs!$F$8-Inputs!$E$8))),0)</f>
        <v>25</v>
      </c>
      <c r="D404" s="81" t="n">
        <f aca="true">RAND()</f>
        <v>0.708628692755105</v>
      </c>
      <c r="E404" s="83" t="n">
        <f aca="false">IF(D404&lt;(Inputs!$E$10-Inputs!$D$10)/(Inputs!$F$10-Inputs!$D$10),Inputs!$D$10+SQRT(D404*(Inputs!$F$10-Inputs!$D$10)*(Inputs!$E$10-Inputs!$D$10)),Inputs!$F$10-SQRT((1-D404)*(Inputs!$F$10-Inputs!$D$10)*(Inputs!$F$10-Inputs!$E$10)))</f>
        <v>0.106505940202883</v>
      </c>
      <c r="F404" s="81" t="n">
        <f aca="true">RAND()</f>
        <v>0.946839432365204</v>
      </c>
      <c r="G404" s="83" t="n">
        <f aca="false">IF(F404&lt;(Inputs!$E$15-Inputs!$D$15)/(Inputs!$F$15-Inputs!$D$15),Inputs!$D$15+SQRT(F404*(Inputs!$F$15-Inputs!$D$15)*(Inputs!$E$15-Inputs!$D$15)),Inputs!$F$15-SQRT((1-F404)*(Inputs!$F$15-Inputs!$D$15)*(Inputs!$F$15-Inputs!$E$15)))</f>
        <v>0.767393078147486</v>
      </c>
      <c r="H404" s="81" t="n">
        <f aca="true">RAND()</f>
        <v>0.19773974205913</v>
      </c>
      <c r="I404" s="82" t="n">
        <f aca="false">ROUND(IF(H404&lt;(Inputs!$E$17-Inputs!$D$17)/(Inputs!$F$17-Inputs!$D$17),Inputs!$D$17+SQRT(H404*(Inputs!$F$17-Inputs!$D$17)*(Inputs!$E$17-Inputs!$D$17)),Inputs!$F$17-SQRT((1-H404)*(Inputs!$F$17-Inputs!$D$17)*(Inputs!$F$17-Inputs!$E$17))),0)</f>
        <v>104</v>
      </c>
      <c r="J404" s="81" t="n">
        <f aca="true">RAND()</f>
        <v>0.880437044761713</v>
      </c>
      <c r="K404" s="83" t="n">
        <f aca="false">IF(J404&lt;(Inputs!$E$18-Inputs!$D$18)/(Inputs!$F$18-Inputs!$D$18),Inputs!$D$18+SQRT(J404*(Inputs!$F$18-Inputs!$D$18)*(Inputs!$E$18-Inputs!$D$18)),Inputs!$F$18-SQRT((1-J404)*(Inputs!$F$18-Inputs!$D$18)*(Inputs!$F$18-Inputs!$E$18)))</f>
        <v>1.14771726155724</v>
      </c>
      <c r="L404" s="81" t="n">
        <f aca="true">RAND()</f>
        <v>0.781859350355404</v>
      </c>
      <c r="M404" s="83" t="n">
        <f aca="false">IF(L404&lt;(Inputs!$E$24-Inputs!$D$24)/(Inputs!$F$24-Inputs!$D$24),Inputs!$D$24+SQRT(L404*(Inputs!$F$24-Inputs!$D$24)*(Inputs!$E$24-Inputs!$D$24)),Inputs!$F$24-SQRT((1-L404)*(Inputs!$F$24-Inputs!$D$24)*(Inputs!$F$24-Inputs!$E$24)))</f>
        <v>0.971190568562607</v>
      </c>
      <c r="N404" s="81" t="n">
        <f aca="true">RAND()</f>
        <v>0.979123746140197</v>
      </c>
      <c r="O404" s="83" t="n">
        <f aca="false">IF(N404&lt;(Inputs!$E$26-Inputs!$D$26)/(Inputs!$F$26-Inputs!$D$26),Inputs!$D$26+SQRT(N404*(Inputs!$F$26-Inputs!$D$26)*(Inputs!$E$26-Inputs!$D$26)),Inputs!$F$26-SQRT((1-N404)*(Inputs!$F$26-Inputs!$D$26)*(Inputs!$F$26-Inputs!$E$26)))</f>
        <v>0.773404609654822</v>
      </c>
      <c r="P404" s="81" t="n">
        <f aca="true">RAND()</f>
        <v>0.727758928890379</v>
      </c>
      <c r="Q404" s="82" t="n">
        <f aca="false">IF(P404&lt;(Inputs!$E$27-Inputs!$D$27)/(Inputs!$F$27-Inputs!$D$27),Inputs!$D$27+SQRT(P404*(Inputs!$F$27-Inputs!$D$27)*(Inputs!$E$27-Inputs!$D$27)),Inputs!$F$27-SQRT((1-P404)*(Inputs!$F$27-Inputs!$D$27)*(Inputs!$F$27-Inputs!$E$27)))</f>
        <v>104.813630005032</v>
      </c>
      <c r="R404" s="81" t="n">
        <f aca="true">RAND()</f>
        <v>0.360463349283509</v>
      </c>
      <c r="S404" s="82" t="n">
        <f aca="false">IF(R404&lt;(Inputs!$E$29-Inputs!$D$29)/(Inputs!$F$29-Inputs!$D$29),Inputs!$D$29+SQRT(R404*(Inputs!$F$29-Inputs!$D$29)*(Inputs!$E$29-Inputs!$D$29)),Inputs!$F$29-SQRT((1-R404)*(Inputs!$F$29-Inputs!$D$29)*(Inputs!$F$29-Inputs!$E$29)))</f>
        <v>5.88189906871262</v>
      </c>
      <c r="T404" s="68" t="n">
        <f aca="false">Inputs!$E$9*(1+E404)+Inputs!$E$5*C404*(Inputs!$E$11*Inputs!$E$14*(G404*I404/Inputs!$E$16+(1-G404))*K404+Inputs!$E$23*M404)*(1+O404)+Inputs!$E$5*(Q404+S404)</f>
        <v>7124.91890566473</v>
      </c>
    </row>
    <row r="405" customFormat="false" ht="15" hidden="false" customHeight="false" outlineLevel="0" collapsed="false">
      <c r="A405" s="1" t="n">
        <v>401</v>
      </c>
      <c r="B405" s="81" t="n">
        <f aca="true">RAND()</f>
        <v>0.839318682808825</v>
      </c>
      <c r="C405" s="82" t="n">
        <f aca="false">ROUND(IF(B405&lt;(Inputs!$E$8-Inputs!$D$8)/(Inputs!$F$8-Inputs!$D$8),Inputs!$D$8+SQRT(B405*(Inputs!$F$8-Inputs!$D$8)*(Inputs!$E$8-Inputs!$D$8)),Inputs!$F$8-SQRT((1-B405)*(Inputs!$F$8-Inputs!$D$8)*(Inputs!$F$8-Inputs!$E$8))),0)</f>
        <v>27</v>
      </c>
      <c r="D405" s="81" t="n">
        <f aca="true">RAND()</f>
        <v>0.476497542037218</v>
      </c>
      <c r="E405" s="83" t="n">
        <f aca="false">IF(D405&lt;(Inputs!$E$10-Inputs!$D$10)/(Inputs!$F$10-Inputs!$D$10),Inputs!$D$10+SQRT(D405*(Inputs!$F$10-Inputs!$D$10)*(Inputs!$E$10-Inputs!$D$10)),Inputs!$F$10-SQRT((1-D405)*(Inputs!$F$10-Inputs!$D$10)*(Inputs!$F$10-Inputs!$E$10)))</f>
        <v>0.0746801143517779</v>
      </c>
      <c r="F405" s="81" t="n">
        <f aca="true">RAND()</f>
        <v>0.901353386819418</v>
      </c>
      <c r="G405" s="83" t="n">
        <f aca="false">IF(F405&lt;(Inputs!$E$15-Inputs!$D$15)/(Inputs!$F$15-Inputs!$D$15),Inputs!$D$15+SQRT(F405*(Inputs!$F$15-Inputs!$D$15)*(Inputs!$E$15-Inputs!$D$15)),Inputs!$F$15-SQRT((1-F405)*(Inputs!$F$15-Inputs!$D$15)*(Inputs!$F$15-Inputs!$E$15)))</f>
        <v>0.755582297857592</v>
      </c>
      <c r="H405" s="81" t="n">
        <f aca="true">RAND()</f>
        <v>0.219610284186568</v>
      </c>
      <c r="I405" s="82" t="n">
        <f aca="false">ROUND(IF(H405&lt;(Inputs!$E$17-Inputs!$D$17)/(Inputs!$F$17-Inputs!$D$17),Inputs!$D$17+SQRT(H405*(Inputs!$F$17-Inputs!$D$17)*(Inputs!$E$17-Inputs!$D$17)),Inputs!$F$17-SQRT((1-H405)*(Inputs!$F$17-Inputs!$D$17)*(Inputs!$F$17-Inputs!$E$17))),0)</f>
        <v>104</v>
      </c>
      <c r="J405" s="81" t="n">
        <f aca="true">RAND()</f>
        <v>0.807707708585239</v>
      </c>
      <c r="K405" s="83" t="n">
        <f aca="false">IF(J405&lt;(Inputs!$E$18-Inputs!$D$18)/(Inputs!$F$18-Inputs!$D$18),Inputs!$D$18+SQRT(J405*(Inputs!$F$18-Inputs!$D$18)*(Inputs!$E$18-Inputs!$D$18)),Inputs!$F$18-SQRT((1-J405)*(Inputs!$F$18-Inputs!$D$18)*(Inputs!$F$18-Inputs!$E$18)))</f>
        <v>1.12028656392343</v>
      </c>
      <c r="L405" s="81" t="n">
        <f aca="true">RAND()</f>
        <v>0.484960872153574</v>
      </c>
      <c r="M405" s="83" t="n">
        <f aca="false">IF(L405&lt;(Inputs!$E$24-Inputs!$D$24)/(Inputs!$F$24-Inputs!$D$24),Inputs!$D$24+SQRT(L405*(Inputs!$F$24-Inputs!$D$24)*(Inputs!$E$24-Inputs!$D$24)),Inputs!$F$24-SQRT((1-L405)*(Inputs!$F$24-Inputs!$D$24)*(Inputs!$F$24-Inputs!$E$24)))</f>
        <v>0.84841872819625</v>
      </c>
      <c r="N405" s="81" t="n">
        <f aca="true">RAND()</f>
        <v>0.736133204817926</v>
      </c>
      <c r="O405" s="83" t="n">
        <f aca="false">IF(N405&lt;(Inputs!$E$26-Inputs!$D$26)/(Inputs!$F$26-Inputs!$D$26),Inputs!$D$26+SQRT(N405*(Inputs!$F$26-Inputs!$D$26)*(Inputs!$E$26-Inputs!$D$26)),Inputs!$F$26-SQRT((1-N405)*(Inputs!$F$26-Inputs!$D$26)*(Inputs!$F$26-Inputs!$E$26)))</f>
        <v>0.654343286586581</v>
      </c>
      <c r="P405" s="81" t="n">
        <f aca="true">RAND()</f>
        <v>0.747381892208876</v>
      </c>
      <c r="Q405" s="82" t="n">
        <f aca="false">IF(P405&lt;(Inputs!$E$27-Inputs!$D$27)/(Inputs!$F$27-Inputs!$D$27),Inputs!$D$27+SQRT(P405*(Inputs!$F$27-Inputs!$D$27)*(Inputs!$E$27-Inputs!$D$27)),Inputs!$F$27-SQRT((1-P405)*(Inputs!$F$27-Inputs!$D$27)*(Inputs!$F$27-Inputs!$E$27)))</f>
        <v>106.472585553086</v>
      </c>
      <c r="R405" s="81" t="n">
        <f aca="true">RAND()</f>
        <v>0.309433787652187</v>
      </c>
      <c r="S405" s="82" t="n">
        <f aca="false">IF(R405&lt;(Inputs!$E$29-Inputs!$D$29)/(Inputs!$F$29-Inputs!$D$29),Inputs!$D$29+SQRT(R405*(Inputs!$F$29-Inputs!$D$29)*(Inputs!$E$29-Inputs!$D$29)),Inputs!$F$29-SQRT((1-R405)*(Inputs!$F$29-Inputs!$D$29)*(Inputs!$F$29-Inputs!$E$29)))</f>
        <v>5.52510645942575</v>
      </c>
      <c r="T405" s="68" t="n">
        <f aca="false">Inputs!$E$9*(1+E405)+Inputs!$E$5*C405*(Inputs!$E$11*Inputs!$E$14*(G405*I405/Inputs!$E$16+(1-G405))*K405+Inputs!$E$23*M405)*(1+O405)+Inputs!$E$5*(Q405+S405)</f>
        <v>6854.17189011143</v>
      </c>
    </row>
    <row r="406" customFormat="false" ht="15" hidden="false" customHeight="false" outlineLevel="0" collapsed="false">
      <c r="A406" s="1" t="n">
        <v>402</v>
      </c>
      <c r="B406" s="81" t="n">
        <f aca="true">RAND()</f>
        <v>0.974069987252436</v>
      </c>
      <c r="C406" s="82" t="n">
        <f aca="false">ROUND(IF(B406&lt;(Inputs!$E$8-Inputs!$D$8)/(Inputs!$F$8-Inputs!$D$8),Inputs!$D$8+SQRT(B406*(Inputs!$F$8-Inputs!$D$8)*(Inputs!$E$8-Inputs!$D$8)),Inputs!$F$8-SQRT((1-B406)*(Inputs!$F$8-Inputs!$D$8)*(Inputs!$F$8-Inputs!$E$8))),0)</f>
        <v>29</v>
      </c>
      <c r="D406" s="81" t="n">
        <f aca="true">RAND()</f>
        <v>0.0543744915301252</v>
      </c>
      <c r="E406" s="83" t="n">
        <f aca="false">IF(D406&lt;(Inputs!$E$10-Inputs!$D$10)/(Inputs!$F$10-Inputs!$D$10),Inputs!$D$10+SQRT(D406*(Inputs!$F$10-Inputs!$D$10)*(Inputs!$E$10-Inputs!$D$10)),Inputs!$F$10-SQRT((1-D406)*(Inputs!$F$10-Inputs!$D$10)*(Inputs!$F$10-Inputs!$E$10)))</f>
        <v>0.0233183386050819</v>
      </c>
      <c r="F406" s="81" t="n">
        <f aca="true">RAND()</f>
        <v>0.38924619488565</v>
      </c>
      <c r="G406" s="83" t="n">
        <f aca="false">IF(F406&lt;(Inputs!$E$15-Inputs!$D$15)/(Inputs!$F$15-Inputs!$D$15),Inputs!$D$15+SQRT(F406*(Inputs!$F$15-Inputs!$D$15)*(Inputs!$E$15-Inputs!$D$15)),Inputs!$F$15-SQRT((1-F406)*(Inputs!$F$15-Inputs!$D$15)*(Inputs!$F$15-Inputs!$E$15)))</f>
        <v>0.688232215758832</v>
      </c>
      <c r="H406" s="81" t="n">
        <f aca="true">RAND()</f>
        <v>0.381368944533278</v>
      </c>
      <c r="I406" s="82" t="n">
        <f aca="false">ROUND(IF(H406&lt;(Inputs!$E$17-Inputs!$D$17)/(Inputs!$F$17-Inputs!$D$17),Inputs!$D$17+SQRT(H406*(Inputs!$F$17-Inputs!$D$17)*(Inputs!$E$17-Inputs!$D$17)),Inputs!$F$17-SQRT((1-H406)*(Inputs!$F$17-Inputs!$D$17)*(Inputs!$F$17-Inputs!$E$17))),0)</f>
        <v>105</v>
      </c>
      <c r="J406" s="81" t="n">
        <f aca="true">RAND()</f>
        <v>0.994134779544065</v>
      </c>
      <c r="K406" s="83" t="n">
        <f aca="false">IF(J406&lt;(Inputs!$E$18-Inputs!$D$18)/(Inputs!$F$18-Inputs!$D$18),Inputs!$D$18+SQRT(J406*(Inputs!$F$18-Inputs!$D$18)*(Inputs!$E$18-Inputs!$D$18)),Inputs!$F$18-SQRT((1-J406)*(Inputs!$F$18-Inputs!$D$18)*(Inputs!$F$18-Inputs!$E$18)))</f>
        <v>1.2273459321557</v>
      </c>
      <c r="L406" s="81" t="n">
        <f aca="true">RAND()</f>
        <v>0.0792526976987648</v>
      </c>
      <c r="M406" s="83" t="n">
        <f aca="false">IF(L406&lt;(Inputs!$E$24-Inputs!$D$24)/(Inputs!$F$24-Inputs!$D$24),Inputs!$D$24+SQRT(L406*(Inputs!$F$24-Inputs!$D$24)*(Inputs!$E$24-Inputs!$D$24)),Inputs!$F$24-SQRT((1-L406)*(Inputs!$F$24-Inputs!$D$24)*(Inputs!$F$24-Inputs!$E$24)))</f>
        <v>0.697520888653928</v>
      </c>
      <c r="N406" s="81" t="n">
        <f aca="true">RAND()</f>
        <v>0.885827581855219</v>
      </c>
      <c r="O406" s="83" t="n">
        <f aca="false">IF(N406&lt;(Inputs!$E$26-Inputs!$D$26)/(Inputs!$F$26-Inputs!$D$26),Inputs!$D$26+SQRT(N406*(Inputs!$F$26-Inputs!$D$26)*(Inputs!$E$26-Inputs!$D$26)),Inputs!$F$26-SQRT((1-N406)*(Inputs!$F$26-Inputs!$D$26)*(Inputs!$F$26-Inputs!$E$26)))</f>
        <v>0.711032429195392</v>
      </c>
      <c r="P406" s="81" t="n">
        <f aca="true">RAND()</f>
        <v>0.334468280600259</v>
      </c>
      <c r="Q406" s="82" t="n">
        <f aca="false">IF(P406&lt;(Inputs!$E$27-Inputs!$D$27)/(Inputs!$F$27-Inputs!$D$27),Inputs!$D$27+SQRT(P406*(Inputs!$F$27-Inputs!$D$27)*(Inputs!$E$27-Inputs!$D$27)),Inputs!$F$27-SQRT((1-P406)*(Inputs!$F$27-Inputs!$D$27)*(Inputs!$F$27-Inputs!$E$27)))</f>
        <v>79.3495371883661</v>
      </c>
      <c r="R406" s="81" t="n">
        <f aca="true">RAND()</f>
        <v>0.602568393740975</v>
      </c>
      <c r="S406" s="82" t="n">
        <f aca="false">IF(R406&lt;(Inputs!$E$29-Inputs!$D$29)/(Inputs!$F$29-Inputs!$D$29),Inputs!$D$29+SQRT(R406*(Inputs!$F$29-Inputs!$D$29)*(Inputs!$E$29-Inputs!$D$29)),Inputs!$F$29-SQRT((1-R406)*(Inputs!$F$29-Inputs!$D$29)*(Inputs!$F$29-Inputs!$E$29)))</f>
        <v>7.81208592054181</v>
      </c>
      <c r="T406" s="68" t="n">
        <f aca="false">Inputs!$E$9*(1+E406)+Inputs!$E$5*C406*(Inputs!$E$11*Inputs!$E$14*(G406*I406/Inputs!$E$16+(1-G406))*K406+Inputs!$E$23*M406)*(1+O406)+Inputs!$E$5*(Q406+S406)</f>
        <v>7215.31677058403</v>
      </c>
    </row>
    <row r="407" customFormat="false" ht="15" hidden="false" customHeight="false" outlineLevel="0" collapsed="false">
      <c r="A407" s="1" t="n">
        <v>403</v>
      </c>
      <c r="B407" s="81" t="n">
        <f aca="true">RAND()</f>
        <v>0.343168711811299</v>
      </c>
      <c r="C407" s="82" t="n">
        <f aca="false">ROUND(IF(B407&lt;(Inputs!$E$8-Inputs!$D$8)/(Inputs!$F$8-Inputs!$D$8),Inputs!$D$8+SQRT(B407*(Inputs!$F$8-Inputs!$D$8)*(Inputs!$E$8-Inputs!$D$8)),Inputs!$F$8-SQRT((1-B407)*(Inputs!$F$8-Inputs!$D$8)*(Inputs!$F$8-Inputs!$E$8))),0)</f>
        <v>24</v>
      </c>
      <c r="D407" s="81" t="n">
        <f aca="true">RAND()</f>
        <v>0.528802420452595</v>
      </c>
      <c r="E407" s="83" t="n">
        <f aca="false">IF(D407&lt;(Inputs!$E$10-Inputs!$D$10)/(Inputs!$F$10-Inputs!$D$10),Inputs!$D$10+SQRT(D407*(Inputs!$F$10-Inputs!$D$10)*(Inputs!$E$10-Inputs!$D$10)),Inputs!$F$10-SQRT((1-D407)*(Inputs!$F$10-Inputs!$D$10)*(Inputs!$F$10-Inputs!$E$10)))</f>
        <v>0.0811053937875138</v>
      </c>
      <c r="F407" s="81" t="n">
        <f aca="true">RAND()</f>
        <v>0.250504813470408</v>
      </c>
      <c r="G407" s="83" t="n">
        <f aca="false">IF(F407&lt;(Inputs!$E$15-Inputs!$D$15)/(Inputs!$F$15-Inputs!$D$15),Inputs!$D$15+SQRT(F407*(Inputs!$F$15-Inputs!$D$15)*(Inputs!$E$15-Inputs!$D$15)),Inputs!$F$15-SQRT((1-F407)*(Inputs!$F$15-Inputs!$D$15)*(Inputs!$F$15-Inputs!$E$15)))</f>
        <v>0.670782033521284</v>
      </c>
      <c r="H407" s="81" t="n">
        <f aca="true">RAND()</f>
        <v>0.452655044438815</v>
      </c>
      <c r="I407" s="82" t="n">
        <f aca="false">ROUND(IF(H407&lt;(Inputs!$E$17-Inputs!$D$17)/(Inputs!$F$17-Inputs!$D$17),Inputs!$D$17+SQRT(H407*(Inputs!$F$17-Inputs!$D$17)*(Inputs!$E$17-Inputs!$D$17)),Inputs!$F$17-SQRT((1-H407)*(Inputs!$F$17-Inputs!$D$17)*(Inputs!$F$17-Inputs!$E$17))),0)</f>
        <v>106</v>
      </c>
      <c r="J407" s="81" t="n">
        <f aca="true">RAND()</f>
        <v>0.790102513645168</v>
      </c>
      <c r="K407" s="83" t="n">
        <f aca="false">IF(J407&lt;(Inputs!$E$18-Inputs!$D$18)/(Inputs!$F$18-Inputs!$D$18),Inputs!$D$18+SQRT(J407*(Inputs!$F$18-Inputs!$D$18)*(Inputs!$E$18-Inputs!$D$18)),Inputs!$F$18-SQRT((1-J407)*(Inputs!$F$18-Inputs!$D$18)*(Inputs!$F$18-Inputs!$E$18)))</f>
        <v>1.11447867305827</v>
      </c>
      <c r="L407" s="81" t="n">
        <f aca="true">RAND()</f>
        <v>0.438100020871818</v>
      </c>
      <c r="M407" s="83" t="n">
        <f aca="false">IF(L407&lt;(Inputs!$E$24-Inputs!$D$24)/(Inputs!$F$24-Inputs!$D$24),Inputs!$D$24+SQRT(L407*(Inputs!$F$24-Inputs!$D$24)*(Inputs!$E$24-Inputs!$D$24)),Inputs!$F$24-SQRT((1-L407)*(Inputs!$F$24-Inputs!$D$24)*(Inputs!$F$24-Inputs!$E$24)))</f>
        <v>0.832772556865961</v>
      </c>
      <c r="N407" s="81" t="n">
        <f aca="true">RAND()</f>
        <v>0.206325402579234</v>
      </c>
      <c r="O407" s="83" t="n">
        <f aca="false">IF(N407&lt;(Inputs!$E$26-Inputs!$D$26)/(Inputs!$F$26-Inputs!$D$26),Inputs!$D$26+SQRT(N407*(Inputs!$F$26-Inputs!$D$26)*(Inputs!$E$26-Inputs!$D$26)),Inputs!$F$26-SQRT((1-N407)*(Inputs!$F$26-Inputs!$D$26)*(Inputs!$F$26-Inputs!$E$26)))</f>
        <v>0.48529043955149</v>
      </c>
      <c r="P407" s="81" t="n">
        <f aca="true">RAND()</f>
        <v>0.121320199558218</v>
      </c>
      <c r="Q407" s="82" t="n">
        <f aca="false">IF(P407&lt;(Inputs!$E$27-Inputs!$D$27)/(Inputs!$F$27-Inputs!$D$27),Inputs!$D$27+SQRT(P407*(Inputs!$F$27-Inputs!$D$27)*(Inputs!$E$27-Inputs!$D$27)),Inputs!$F$27-SQRT((1-P407)*(Inputs!$F$27-Inputs!$D$27)*(Inputs!$F$27-Inputs!$E$27)))</f>
        <v>67.4155246517452</v>
      </c>
      <c r="R407" s="81" t="n">
        <f aca="true">RAND()</f>
        <v>0.208511393077101</v>
      </c>
      <c r="S407" s="82" t="n">
        <f aca="false">IF(R407&lt;(Inputs!$E$29-Inputs!$D$29)/(Inputs!$F$29-Inputs!$D$29),Inputs!$D$29+SQRT(R407*(Inputs!$F$29-Inputs!$D$29)*(Inputs!$E$29-Inputs!$D$29)),Inputs!$F$29-SQRT((1-R407)*(Inputs!$F$29-Inputs!$D$29)*(Inputs!$F$29-Inputs!$E$29)))</f>
        <v>4.85165641864635</v>
      </c>
      <c r="T407" s="68" t="n">
        <f aca="false">Inputs!$E$9*(1+E407)+Inputs!$E$5*C407*(Inputs!$E$11*Inputs!$E$14*(G407*I407/Inputs!$E$16+(1-G407))*K407+Inputs!$E$23*M407)*(1+O407)+Inputs!$E$5*(Q407+S407)</f>
        <v>5981.26662748863</v>
      </c>
    </row>
    <row r="408" customFormat="false" ht="15" hidden="false" customHeight="false" outlineLevel="0" collapsed="false">
      <c r="A408" s="1" t="n">
        <v>404</v>
      </c>
      <c r="B408" s="81" t="n">
        <f aca="true">RAND()</f>
        <v>0.811024011178475</v>
      </c>
      <c r="C408" s="82" t="n">
        <f aca="false">ROUND(IF(B408&lt;(Inputs!$E$8-Inputs!$D$8)/(Inputs!$F$8-Inputs!$D$8),Inputs!$D$8+SQRT(B408*(Inputs!$F$8-Inputs!$D$8)*(Inputs!$E$8-Inputs!$D$8)),Inputs!$F$8-SQRT((1-B408)*(Inputs!$F$8-Inputs!$D$8)*(Inputs!$F$8-Inputs!$E$8))),0)</f>
        <v>27</v>
      </c>
      <c r="D408" s="81" t="n">
        <f aca="true">RAND()</f>
        <v>0.890169345357566</v>
      </c>
      <c r="E408" s="83" t="n">
        <f aca="false">IF(D408&lt;(Inputs!$E$10-Inputs!$D$10)/(Inputs!$F$10-Inputs!$D$10),Inputs!$D$10+SQRT(D408*(Inputs!$F$10-Inputs!$D$10)*(Inputs!$E$10-Inputs!$D$10)),Inputs!$F$10-SQRT((1-D408)*(Inputs!$F$10-Inputs!$D$10)*(Inputs!$F$10-Inputs!$E$10)))</f>
        <v>0.142598609430842</v>
      </c>
      <c r="F408" s="81" t="n">
        <f aca="true">RAND()</f>
        <v>0.386676746458333</v>
      </c>
      <c r="G408" s="83" t="n">
        <f aca="false">IF(F408&lt;(Inputs!$E$15-Inputs!$D$15)/(Inputs!$F$15-Inputs!$D$15),Inputs!$D$15+SQRT(F408*(Inputs!$F$15-Inputs!$D$15)*(Inputs!$E$15-Inputs!$D$15)),Inputs!$F$15-SQRT((1-F408)*(Inputs!$F$15-Inputs!$D$15)*(Inputs!$F$15-Inputs!$E$15)))</f>
        <v>0.687940519268234</v>
      </c>
      <c r="H408" s="81" t="n">
        <f aca="true">RAND()</f>
        <v>0.331417099810329</v>
      </c>
      <c r="I408" s="82" t="n">
        <f aca="false">ROUND(IF(H408&lt;(Inputs!$E$17-Inputs!$D$17)/(Inputs!$F$17-Inputs!$D$17),Inputs!$D$17+SQRT(H408*(Inputs!$F$17-Inputs!$D$17)*(Inputs!$E$17-Inputs!$D$17)),Inputs!$F$17-SQRT((1-H408)*(Inputs!$F$17-Inputs!$D$17)*(Inputs!$F$17-Inputs!$E$17))),0)</f>
        <v>105</v>
      </c>
      <c r="J408" s="81" t="n">
        <f aca="true">RAND()</f>
        <v>0.162784149479642</v>
      </c>
      <c r="K408" s="83" t="n">
        <f aca="false">IF(J408&lt;(Inputs!$E$18-Inputs!$D$18)/(Inputs!$F$18-Inputs!$D$18),Inputs!$D$18+SQRT(J408*(Inputs!$F$18-Inputs!$D$18)*(Inputs!$E$18-Inputs!$D$18)),Inputs!$F$18-SQRT((1-J408)*(Inputs!$F$18-Inputs!$D$18)*(Inputs!$F$18-Inputs!$E$18)))</f>
        <v>0.975481423090635</v>
      </c>
      <c r="L408" s="81" t="n">
        <f aca="true">RAND()</f>
        <v>0.912976851235236</v>
      </c>
      <c r="M408" s="83" t="n">
        <f aca="false">IF(L408&lt;(Inputs!$E$24-Inputs!$D$24)/(Inputs!$F$24-Inputs!$D$24),Inputs!$D$24+SQRT(L408*(Inputs!$F$24-Inputs!$D$24)*(Inputs!$E$24-Inputs!$D$24)),Inputs!$F$24-SQRT((1-L408)*(Inputs!$F$24-Inputs!$D$24)*(Inputs!$F$24-Inputs!$E$24)))</f>
        <v>1.05548164233031</v>
      </c>
      <c r="N408" s="81" t="n">
        <f aca="true">RAND()</f>
        <v>0.280217785461607</v>
      </c>
      <c r="O408" s="83" t="n">
        <f aca="false">IF(N408&lt;(Inputs!$E$26-Inputs!$D$26)/(Inputs!$F$26-Inputs!$D$26),Inputs!$D$26+SQRT(N408*(Inputs!$F$26-Inputs!$D$26)*(Inputs!$E$26-Inputs!$D$26)),Inputs!$F$26-SQRT((1-N408)*(Inputs!$F$26-Inputs!$D$26)*(Inputs!$F$26-Inputs!$E$26)))</f>
        <v>0.515935730023568</v>
      </c>
      <c r="P408" s="81" t="n">
        <f aca="true">RAND()</f>
        <v>0.271439129822795</v>
      </c>
      <c r="Q408" s="82" t="n">
        <f aca="false">IF(P408&lt;(Inputs!$E$27-Inputs!$D$27)/(Inputs!$F$27-Inputs!$D$27),Inputs!$D$27+SQRT(P408*(Inputs!$F$27-Inputs!$D$27)*(Inputs!$E$27-Inputs!$D$27)),Inputs!$F$27-SQRT((1-P408)*(Inputs!$F$27-Inputs!$D$27)*(Inputs!$F$27-Inputs!$E$27)))</f>
        <v>76.0797285832294</v>
      </c>
      <c r="R408" s="81" t="n">
        <f aca="true">RAND()</f>
        <v>0.296222240030648</v>
      </c>
      <c r="S408" s="82" t="n">
        <f aca="false">IF(R408&lt;(Inputs!$E$29-Inputs!$D$29)/(Inputs!$F$29-Inputs!$D$29),Inputs!$D$29+SQRT(R408*(Inputs!$F$29-Inputs!$D$29)*(Inputs!$E$29-Inputs!$D$29)),Inputs!$F$29-SQRT((1-R408)*(Inputs!$F$29-Inputs!$D$29)*(Inputs!$F$29-Inputs!$E$29)))</f>
        <v>5.4349015271135</v>
      </c>
      <c r="T408" s="68" t="n">
        <f aca="false">Inputs!$E$9*(1+E408)+Inputs!$E$5*C408*(Inputs!$E$11*Inputs!$E$14*(G408*I408/Inputs!$E$16+(1-G408))*K408+Inputs!$E$23*M408)*(1+O408)+Inputs!$E$5*(Q408+S408)</f>
        <v>6621.59818166805</v>
      </c>
    </row>
    <row r="409" customFormat="false" ht="15" hidden="false" customHeight="false" outlineLevel="0" collapsed="false">
      <c r="A409" s="1" t="n">
        <v>405</v>
      </c>
      <c r="B409" s="81" t="n">
        <f aca="true">RAND()</f>
        <v>0.9698673691995</v>
      </c>
      <c r="C409" s="82" t="n">
        <f aca="false">ROUND(IF(B409&lt;(Inputs!$E$8-Inputs!$D$8)/(Inputs!$F$8-Inputs!$D$8),Inputs!$D$8+SQRT(B409*(Inputs!$F$8-Inputs!$D$8)*(Inputs!$E$8-Inputs!$D$8)),Inputs!$F$8-SQRT((1-B409)*(Inputs!$F$8-Inputs!$D$8)*(Inputs!$F$8-Inputs!$E$8))),0)</f>
        <v>29</v>
      </c>
      <c r="D409" s="81" t="n">
        <f aca="true">RAND()</f>
        <v>0.118812128670774</v>
      </c>
      <c r="E409" s="83" t="n">
        <f aca="false">IF(D409&lt;(Inputs!$E$10-Inputs!$D$10)/(Inputs!$F$10-Inputs!$D$10),Inputs!$D$10+SQRT(D409*(Inputs!$F$10-Inputs!$D$10)*(Inputs!$E$10-Inputs!$D$10)),Inputs!$F$10-SQRT((1-D409)*(Inputs!$F$10-Inputs!$D$10)*(Inputs!$F$10-Inputs!$E$10)))</f>
        <v>0.0344691352764722</v>
      </c>
      <c r="F409" s="81" t="n">
        <f aca="true">RAND()</f>
        <v>0.296444072428044</v>
      </c>
      <c r="G409" s="83" t="n">
        <f aca="false">IF(F409&lt;(Inputs!$E$15-Inputs!$D$15)/(Inputs!$F$15-Inputs!$D$15),Inputs!$D$15+SQRT(F409*(Inputs!$F$15-Inputs!$D$15)*(Inputs!$E$15-Inputs!$D$15)),Inputs!$F$15-SQRT((1-F409)*(Inputs!$F$15-Inputs!$D$15)*(Inputs!$F$15-Inputs!$E$15)))</f>
        <v>0.676999230181612</v>
      </c>
      <c r="H409" s="81" t="n">
        <f aca="true">RAND()</f>
        <v>0.181363813272866</v>
      </c>
      <c r="I409" s="82" t="n">
        <f aca="false">ROUND(IF(H409&lt;(Inputs!$E$17-Inputs!$D$17)/(Inputs!$F$17-Inputs!$D$17),Inputs!$D$17+SQRT(H409*(Inputs!$F$17-Inputs!$D$17)*(Inputs!$E$17-Inputs!$D$17)),Inputs!$F$17-SQRT((1-H409)*(Inputs!$F$17-Inputs!$D$17)*(Inputs!$F$17-Inputs!$E$17))),0)</f>
        <v>104</v>
      </c>
      <c r="J409" s="81" t="n">
        <f aca="true">RAND()</f>
        <v>0.155323565845024</v>
      </c>
      <c r="K409" s="83" t="n">
        <f aca="false">IF(J409&lt;(Inputs!$E$18-Inputs!$D$18)/(Inputs!$F$18-Inputs!$D$18),Inputs!$D$18+SQRT(J409*(Inputs!$F$18-Inputs!$D$18)*(Inputs!$E$18-Inputs!$D$18)),Inputs!$F$18-SQRT((1-J409)*(Inputs!$F$18-Inputs!$D$18)*(Inputs!$F$18-Inputs!$E$18)))</f>
        <v>0.973731437016892</v>
      </c>
      <c r="L409" s="81" t="n">
        <f aca="true">RAND()</f>
        <v>0.239095649388083</v>
      </c>
      <c r="M409" s="83" t="n">
        <f aca="false">IF(L409&lt;(Inputs!$E$24-Inputs!$D$24)/(Inputs!$F$24-Inputs!$D$24),Inputs!$D$24+SQRT(L409*(Inputs!$F$24-Inputs!$D$24)*(Inputs!$E$24-Inputs!$D$24)),Inputs!$F$24-SQRT((1-L409)*(Inputs!$F$24-Inputs!$D$24)*(Inputs!$F$24-Inputs!$E$24)))</f>
        <v>0.7693855894891</v>
      </c>
      <c r="N409" s="81" t="n">
        <f aca="true">RAND()</f>
        <v>0.361377200072164</v>
      </c>
      <c r="O409" s="83" t="n">
        <f aca="false">IF(N409&lt;(Inputs!$E$26-Inputs!$D$26)/(Inputs!$F$26-Inputs!$D$26),Inputs!$D$26+SQRT(N409*(Inputs!$F$26-Inputs!$D$26)*(Inputs!$E$26-Inputs!$D$26)),Inputs!$F$26-SQRT((1-N409)*(Inputs!$F$26-Inputs!$D$26)*(Inputs!$F$26-Inputs!$E$26)))</f>
        <v>0.545220647768511</v>
      </c>
      <c r="P409" s="81" t="n">
        <f aca="true">RAND()</f>
        <v>0.136624166180133</v>
      </c>
      <c r="Q409" s="82" t="n">
        <f aca="false">IF(P409&lt;(Inputs!$E$27-Inputs!$D$27)/(Inputs!$F$27-Inputs!$D$27),Inputs!$D$27+SQRT(P409*(Inputs!$F$27-Inputs!$D$27)*(Inputs!$E$27-Inputs!$D$27)),Inputs!$F$27-SQRT((1-P409)*(Inputs!$F$27-Inputs!$D$27)*(Inputs!$F$27-Inputs!$E$27)))</f>
        <v>68.4813531823385</v>
      </c>
      <c r="R409" s="81" t="n">
        <f aca="true">RAND()</f>
        <v>0.329952640541807</v>
      </c>
      <c r="S409" s="82" t="n">
        <f aca="false">IF(R409&lt;(Inputs!$E$29-Inputs!$D$29)/(Inputs!$F$29-Inputs!$D$29),Inputs!$D$29+SQRT(R409*(Inputs!$F$29-Inputs!$D$29)*(Inputs!$E$29-Inputs!$D$29)),Inputs!$F$29-SQRT((1-R409)*(Inputs!$F$29-Inputs!$D$29)*(Inputs!$F$29-Inputs!$E$29)))</f>
        <v>5.66693208373768</v>
      </c>
      <c r="T409" s="68" t="n">
        <f aca="false">Inputs!$E$9*(1+E409)+Inputs!$E$5*C409*(Inputs!$E$11*Inputs!$E$14*(G409*I409/Inputs!$E$16+(1-G409))*K409+Inputs!$E$23*M409)*(1+O409)+Inputs!$E$5*(Q409+S409)</f>
        <v>6240.05021991311</v>
      </c>
    </row>
    <row r="410" customFormat="false" ht="15" hidden="false" customHeight="false" outlineLevel="0" collapsed="false">
      <c r="A410" s="1" t="n">
        <v>406</v>
      </c>
      <c r="B410" s="81" t="n">
        <f aca="true">RAND()</f>
        <v>0.797595437833004</v>
      </c>
      <c r="C410" s="82" t="n">
        <f aca="false">ROUND(IF(B410&lt;(Inputs!$E$8-Inputs!$D$8)/(Inputs!$F$8-Inputs!$D$8),Inputs!$D$8+SQRT(B410*(Inputs!$F$8-Inputs!$D$8)*(Inputs!$E$8-Inputs!$D$8)),Inputs!$F$8-SQRT((1-B410)*(Inputs!$F$8-Inputs!$D$8)*(Inputs!$F$8-Inputs!$E$8))),0)</f>
        <v>27</v>
      </c>
      <c r="D410" s="81" t="n">
        <f aca="true">RAND()</f>
        <v>0.177577317292076</v>
      </c>
      <c r="E410" s="83" t="n">
        <f aca="false">IF(D410&lt;(Inputs!$E$10-Inputs!$D$10)/(Inputs!$F$10-Inputs!$D$10),Inputs!$D$10+SQRT(D410*(Inputs!$F$10-Inputs!$D$10)*(Inputs!$E$10-Inputs!$D$10)),Inputs!$F$10-SQRT((1-D410)*(Inputs!$F$10-Inputs!$D$10)*(Inputs!$F$10-Inputs!$E$10)))</f>
        <v>0.0421399237412784</v>
      </c>
      <c r="F410" s="81" t="n">
        <f aca="true">RAND()</f>
        <v>0.251699904043355</v>
      </c>
      <c r="G410" s="83" t="n">
        <f aca="false">IF(F410&lt;(Inputs!$E$15-Inputs!$D$15)/(Inputs!$F$15-Inputs!$D$15),Inputs!$D$15+SQRT(F410*(Inputs!$F$15-Inputs!$D$15)*(Inputs!$E$15-Inputs!$D$15)),Inputs!$F$15-SQRT((1-F410)*(Inputs!$F$15-Inputs!$D$15)*(Inputs!$F$15-Inputs!$E$15)))</f>
        <v>0.670950673575852</v>
      </c>
      <c r="H410" s="81" t="n">
        <f aca="true">RAND()</f>
        <v>0.714580852388959</v>
      </c>
      <c r="I410" s="82" t="n">
        <f aca="false">ROUND(IF(H410&lt;(Inputs!$E$17-Inputs!$D$17)/(Inputs!$F$17-Inputs!$D$17),Inputs!$D$17+SQRT(H410*(Inputs!$F$17-Inputs!$D$17)*(Inputs!$E$17-Inputs!$D$17)),Inputs!$F$17-SQRT((1-H410)*(Inputs!$F$17-Inputs!$D$17)*(Inputs!$F$17-Inputs!$E$17))),0)</f>
        <v>108</v>
      </c>
      <c r="J410" s="81" t="n">
        <f aca="true">RAND()</f>
        <v>0.113384502107157</v>
      </c>
      <c r="K410" s="83" t="n">
        <f aca="false">IF(J410&lt;(Inputs!$E$18-Inputs!$D$18)/(Inputs!$F$18-Inputs!$D$18),Inputs!$D$18+SQRT(J410*(Inputs!$F$18-Inputs!$D$18)*(Inputs!$E$18-Inputs!$D$18)),Inputs!$F$18-SQRT((1-J410)*(Inputs!$F$18-Inputs!$D$18)*(Inputs!$F$18-Inputs!$E$18)))</f>
        <v>0.96299569488267</v>
      </c>
      <c r="L410" s="81" t="n">
        <f aca="true">RAND()</f>
        <v>0.246030611862877</v>
      </c>
      <c r="M410" s="83" t="n">
        <f aca="false">IF(L410&lt;(Inputs!$E$24-Inputs!$D$24)/(Inputs!$F$24-Inputs!$D$24),Inputs!$D$24+SQRT(L410*(Inputs!$F$24-Inputs!$D$24)*(Inputs!$E$24-Inputs!$D$24)),Inputs!$F$24-SQRT((1-L410)*(Inputs!$F$24-Inputs!$D$24)*(Inputs!$F$24-Inputs!$E$24)))</f>
        <v>0.771824542552993</v>
      </c>
      <c r="N410" s="81" t="n">
        <f aca="true">RAND()</f>
        <v>0.902754339021879</v>
      </c>
      <c r="O410" s="83" t="n">
        <f aca="false">IF(N410&lt;(Inputs!$E$26-Inputs!$D$26)/(Inputs!$F$26-Inputs!$D$26),Inputs!$D$26+SQRT(N410*(Inputs!$F$26-Inputs!$D$26)*(Inputs!$E$26-Inputs!$D$26)),Inputs!$F$26-SQRT((1-N410)*(Inputs!$F$26-Inputs!$D$26)*(Inputs!$F$26-Inputs!$E$26)))</f>
        <v>0.719433858870271</v>
      </c>
      <c r="P410" s="81" t="n">
        <f aca="true">RAND()</f>
        <v>0.0716826880019113</v>
      </c>
      <c r="Q410" s="82" t="n">
        <f aca="false">IF(P410&lt;(Inputs!$E$27-Inputs!$D$27)/(Inputs!$F$27-Inputs!$D$27),Inputs!$D$27+SQRT(P410*(Inputs!$F$27-Inputs!$D$27)*(Inputs!$E$27-Inputs!$D$27)),Inputs!$F$27-SQRT((1-P410)*(Inputs!$F$27-Inputs!$D$27)*(Inputs!$F$27-Inputs!$E$27)))</f>
        <v>63.3868114203786</v>
      </c>
      <c r="R410" s="81" t="n">
        <f aca="true">RAND()</f>
        <v>0.631721782723063</v>
      </c>
      <c r="S410" s="82" t="n">
        <f aca="false">IF(R410&lt;(Inputs!$E$29-Inputs!$D$29)/(Inputs!$F$29-Inputs!$D$29),Inputs!$D$29+SQRT(R410*(Inputs!$F$29-Inputs!$D$29)*(Inputs!$E$29-Inputs!$D$29)),Inputs!$F$29-SQRT((1-R410)*(Inputs!$F$29-Inputs!$D$29)*(Inputs!$F$29-Inputs!$E$29)))</f>
        <v>8.08073932807834</v>
      </c>
      <c r="T410" s="68" t="n">
        <f aca="false">Inputs!$E$9*(1+E410)+Inputs!$E$5*C410*(Inputs!$E$11*Inputs!$E$14*(G410*I410/Inputs!$E$16+(1-G410))*K410+Inputs!$E$23*M410)*(1+O410)+Inputs!$E$5*(Q410+S410)</f>
        <v>6408.99217716457</v>
      </c>
    </row>
    <row r="411" customFormat="false" ht="15" hidden="false" customHeight="false" outlineLevel="0" collapsed="false">
      <c r="A411" s="1" t="n">
        <v>407</v>
      </c>
      <c r="B411" s="81" t="n">
        <f aca="true">RAND()</f>
        <v>0.424034291692466</v>
      </c>
      <c r="C411" s="82" t="n">
        <f aca="false">ROUND(IF(B411&lt;(Inputs!$E$8-Inputs!$D$8)/(Inputs!$F$8-Inputs!$D$8),Inputs!$D$8+SQRT(B411*(Inputs!$F$8-Inputs!$D$8)*(Inputs!$E$8-Inputs!$D$8)),Inputs!$F$8-SQRT((1-B411)*(Inputs!$F$8-Inputs!$D$8)*(Inputs!$F$8-Inputs!$E$8))),0)</f>
        <v>25</v>
      </c>
      <c r="D411" s="81" t="n">
        <f aca="true">RAND()</f>
        <v>0.730329119799367</v>
      </c>
      <c r="E411" s="83" t="n">
        <f aca="false">IF(D411&lt;(Inputs!$E$10-Inputs!$D$10)/(Inputs!$F$10-Inputs!$D$10),Inputs!$D$10+SQRT(D411*(Inputs!$F$10-Inputs!$D$10)*(Inputs!$E$10-Inputs!$D$10)),Inputs!$F$10-SQRT((1-D411)*(Inputs!$F$10-Inputs!$D$10)*(Inputs!$F$10-Inputs!$E$10)))</f>
        <v>0.110054870026115</v>
      </c>
      <c r="F411" s="81" t="n">
        <f aca="true">RAND()</f>
        <v>0.446743370273652</v>
      </c>
      <c r="G411" s="83" t="n">
        <f aca="false">IF(F411&lt;(Inputs!$E$15-Inputs!$D$15)/(Inputs!$F$15-Inputs!$D$15),Inputs!$D$15+SQRT(F411*(Inputs!$F$15-Inputs!$D$15)*(Inputs!$E$15-Inputs!$D$15)),Inputs!$F$15-SQRT((1-F411)*(Inputs!$F$15-Inputs!$D$15)*(Inputs!$F$15-Inputs!$E$15)))</f>
        <v>0.694524427559616</v>
      </c>
      <c r="H411" s="81" t="n">
        <f aca="true">RAND()</f>
        <v>0.0323432990358745</v>
      </c>
      <c r="I411" s="82" t="n">
        <f aca="false">ROUND(IF(H411&lt;(Inputs!$E$17-Inputs!$D$17)/(Inputs!$F$17-Inputs!$D$17),Inputs!$D$17+SQRT(H411*(Inputs!$F$17-Inputs!$D$17)*(Inputs!$E$17-Inputs!$D$17)),Inputs!$F$17-SQRT((1-H411)*(Inputs!$F$17-Inputs!$D$17)*(Inputs!$F$17-Inputs!$E$17))),0)</f>
        <v>102</v>
      </c>
      <c r="J411" s="81" t="n">
        <f aca="true">RAND()</f>
        <v>0.773737936688186</v>
      </c>
      <c r="K411" s="83" t="n">
        <f aca="false">IF(J411&lt;(Inputs!$E$18-Inputs!$D$18)/(Inputs!$F$18-Inputs!$D$18),Inputs!$D$18+SQRT(J411*(Inputs!$F$18-Inputs!$D$18)*(Inputs!$E$18-Inputs!$D$18)),Inputs!$F$18-SQRT((1-J411)*(Inputs!$F$18-Inputs!$D$18)*(Inputs!$F$18-Inputs!$E$18)))</f>
        <v>1.10929488090413</v>
      </c>
      <c r="L411" s="81" t="n">
        <f aca="true">RAND()</f>
        <v>0.342345130010039</v>
      </c>
      <c r="M411" s="83" t="n">
        <f aca="false">IF(L411&lt;(Inputs!$E$24-Inputs!$D$24)/(Inputs!$F$24-Inputs!$D$24),Inputs!$D$24+SQRT(L411*(Inputs!$F$24-Inputs!$D$24)*(Inputs!$E$24-Inputs!$D$24)),Inputs!$F$24-SQRT((1-L411)*(Inputs!$F$24-Inputs!$D$24)*(Inputs!$F$24-Inputs!$E$24)))</f>
        <v>0.802712737685198</v>
      </c>
      <c r="N411" s="81" t="n">
        <f aca="true">RAND()</f>
        <v>0.317294469787089</v>
      </c>
      <c r="O411" s="83" t="n">
        <f aca="false">IF(N411&lt;(Inputs!$E$26-Inputs!$D$26)/(Inputs!$F$26-Inputs!$D$26),Inputs!$D$26+SQRT(N411*(Inputs!$F$26-Inputs!$D$26)*(Inputs!$E$26-Inputs!$D$26)),Inputs!$F$26-SQRT((1-N411)*(Inputs!$F$26-Inputs!$D$26)*(Inputs!$F$26-Inputs!$E$26)))</f>
        <v>0.529777718181228</v>
      </c>
      <c r="P411" s="81" t="n">
        <f aca="true">RAND()</f>
        <v>0.974514838311301</v>
      </c>
      <c r="Q411" s="82" t="n">
        <f aca="false">IF(P411&lt;(Inputs!$E$27-Inputs!$D$27)/(Inputs!$F$27-Inputs!$D$27),Inputs!$D$27+SQRT(P411*(Inputs!$F$27-Inputs!$D$27)*(Inputs!$E$27-Inputs!$D$27)),Inputs!$F$27-SQRT((1-P411)*(Inputs!$F$27-Inputs!$D$27)*(Inputs!$F$27-Inputs!$E$27)))</f>
        <v>136.174707501639</v>
      </c>
      <c r="R411" s="81" t="n">
        <f aca="true">RAND()</f>
        <v>0.391386963574494</v>
      </c>
      <c r="S411" s="82" t="n">
        <f aca="false">IF(R411&lt;(Inputs!$E$29-Inputs!$D$29)/(Inputs!$F$29-Inputs!$D$29),Inputs!$D$29+SQRT(R411*(Inputs!$F$29-Inputs!$D$29)*(Inputs!$E$29-Inputs!$D$29)),Inputs!$F$29-SQRT((1-R411)*(Inputs!$F$29-Inputs!$D$29)*(Inputs!$F$29-Inputs!$E$29)))</f>
        <v>6.10507477629431</v>
      </c>
      <c r="T411" s="68" t="n">
        <f aca="false">Inputs!$E$9*(1+E411)+Inputs!$E$5*C411*(Inputs!$E$11*Inputs!$E$14*(G411*I411/Inputs!$E$16+(1-G411))*K411+Inputs!$E$23*M411)*(1+O411)+Inputs!$E$5*(Q411+S411)</f>
        <v>6497.14740881572</v>
      </c>
    </row>
    <row r="412" customFormat="false" ht="15" hidden="false" customHeight="false" outlineLevel="0" collapsed="false">
      <c r="A412" s="1" t="n">
        <v>408</v>
      </c>
      <c r="B412" s="81" t="n">
        <f aca="true">RAND()</f>
        <v>0.013787668690709</v>
      </c>
      <c r="C412" s="82" t="n">
        <f aca="false">ROUND(IF(B412&lt;(Inputs!$E$8-Inputs!$D$8)/(Inputs!$F$8-Inputs!$D$8),Inputs!$D$8+SQRT(B412*(Inputs!$F$8-Inputs!$D$8)*(Inputs!$E$8-Inputs!$D$8)),Inputs!$F$8-SQRT((1-B412)*(Inputs!$F$8-Inputs!$D$8)*(Inputs!$F$8-Inputs!$E$8))),0)</f>
        <v>21</v>
      </c>
      <c r="D412" s="81" t="n">
        <f aca="true">RAND()</f>
        <v>0.318773405162802</v>
      </c>
      <c r="E412" s="83" t="n">
        <f aca="false">IF(D412&lt;(Inputs!$E$10-Inputs!$D$10)/(Inputs!$F$10-Inputs!$D$10),Inputs!$D$10+SQRT(D412*(Inputs!$F$10-Inputs!$D$10)*(Inputs!$E$10-Inputs!$D$10)),Inputs!$F$10-SQRT((1-D412)*(Inputs!$F$10-Inputs!$D$10)*(Inputs!$F$10-Inputs!$E$10)))</f>
        <v>0.0570426712437731</v>
      </c>
      <c r="F412" s="81" t="n">
        <f aca="true">RAND()</f>
        <v>0.112743328883488</v>
      </c>
      <c r="G412" s="83" t="n">
        <f aca="false">IF(F412&lt;(Inputs!$E$15-Inputs!$D$15)/(Inputs!$F$15-Inputs!$D$15),Inputs!$D$15+SQRT(F412*(Inputs!$F$15-Inputs!$D$15)*(Inputs!$E$15-Inputs!$D$15)),Inputs!$F$15-SQRT((1-F412)*(Inputs!$F$15-Inputs!$D$15)*(Inputs!$F$15-Inputs!$E$15)))</f>
        <v>0.647485435426768</v>
      </c>
      <c r="H412" s="81" t="n">
        <f aca="true">RAND()</f>
        <v>0.392804941039475</v>
      </c>
      <c r="I412" s="82" t="n">
        <f aca="false">ROUND(IF(H412&lt;(Inputs!$E$17-Inputs!$D$17)/(Inputs!$F$17-Inputs!$D$17),Inputs!$D$17+SQRT(H412*(Inputs!$F$17-Inputs!$D$17)*(Inputs!$E$17-Inputs!$D$17)),Inputs!$F$17-SQRT((1-H412)*(Inputs!$F$17-Inputs!$D$17)*(Inputs!$F$17-Inputs!$E$17))),0)</f>
        <v>105</v>
      </c>
      <c r="J412" s="81" t="n">
        <f aca="true">RAND()</f>
        <v>0.43469714627809</v>
      </c>
      <c r="K412" s="83" t="n">
        <f aca="false">IF(J412&lt;(Inputs!$E$18-Inputs!$D$18)/(Inputs!$F$18-Inputs!$D$18),Inputs!$D$18+SQRT(J412*(Inputs!$F$18-Inputs!$D$18)*(Inputs!$E$18-Inputs!$D$18)),Inputs!$F$18-SQRT((1-J412)*(Inputs!$F$18-Inputs!$D$18)*(Inputs!$F$18-Inputs!$E$18)))</f>
        <v>1.02759496475874</v>
      </c>
      <c r="L412" s="81" t="n">
        <f aca="true">RAND()</f>
        <v>0.109661479480038</v>
      </c>
      <c r="M412" s="83" t="n">
        <f aca="false">IF(L412&lt;(Inputs!$E$24-Inputs!$D$24)/(Inputs!$F$24-Inputs!$D$24),Inputs!$D$24+SQRT(L412*(Inputs!$F$24-Inputs!$D$24)*(Inputs!$E$24-Inputs!$D$24)),Inputs!$F$24-SQRT((1-L412)*(Inputs!$F$24-Inputs!$D$24)*(Inputs!$F$24-Inputs!$E$24)))</f>
        <v>0.714714330131874</v>
      </c>
      <c r="N412" s="81" t="n">
        <f aca="true">RAND()</f>
        <v>0.728176923090981</v>
      </c>
      <c r="O412" s="83" t="n">
        <f aca="false">IF(N412&lt;(Inputs!$E$26-Inputs!$D$26)/(Inputs!$F$26-Inputs!$D$26),Inputs!$D$26+SQRT(N412*(Inputs!$F$26-Inputs!$D$26)*(Inputs!$E$26-Inputs!$D$26)),Inputs!$F$26-SQRT((1-N412)*(Inputs!$F$26-Inputs!$D$26)*(Inputs!$F$26-Inputs!$E$26)))</f>
        <v>0.651864340490966</v>
      </c>
      <c r="P412" s="81" t="n">
        <f aca="true">RAND()</f>
        <v>0.347407760797794</v>
      </c>
      <c r="Q412" s="82" t="n">
        <f aca="false">IF(P412&lt;(Inputs!$E$27-Inputs!$D$27)/(Inputs!$F$27-Inputs!$D$27),Inputs!$D$27+SQRT(P412*(Inputs!$F$27-Inputs!$D$27)*(Inputs!$E$27-Inputs!$D$27)),Inputs!$F$27-SQRT((1-P412)*(Inputs!$F$27-Inputs!$D$27)*(Inputs!$F$27-Inputs!$E$27)))</f>
        <v>80.0397127363206</v>
      </c>
      <c r="R412" s="81" t="n">
        <f aca="true">RAND()</f>
        <v>0.934602757272411</v>
      </c>
      <c r="S412" s="82" t="n">
        <f aca="false">IF(R412&lt;(Inputs!$E$29-Inputs!$D$29)/(Inputs!$F$29-Inputs!$D$29),Inputs!$D$29+SQRT(R412*(Inputs!$F$29-Inputs!$D$29)*(Inputs!$E$29-Inputs!$D$29)),Inputs!$F$29-SQRT((1-R412)*(Inputs!$F$29-Inputs!$D$29)*(Inputs!$F$29-Inputs!$E$29)))</f>
        <v>12.0842425418793</v>
      </c>
      <c r="T412" s="68" t="n">
        <f aca="false">Inputs!$E$9*(1+E412)+Inputs!$E$5*C412*(Inputs!$E$11*Inputs!$E$14*(G412*I412/Inputs!$E$16+(1-G412))*K412+Inputs!$E$23*M412)*(1+O412)+Inputs!$E$5*(Q412+S412)</f>
        <v>5646.58828340614</v>
      </c>
    </row>
    <row r="413" customFormat="false" ht="15" hidden="false" customHeight="false" outlineLevel="0" collapsed="false">
      <c r="A413" s="1" t="n">
        <v>409</v>
      </c>
      <c r="B413" s="81" t="n">
        <f aca="true">RAND()</f>
        <v>0.628123797476343</v>
      </c>
      <c r="C413" s="82" t="n">
        <f aca="false">ROUND(IF(B413&lt;(Inputs!$E$8-Inputs!$D$8)/(Inputs!$F$8-Inputs!$D$8),Inputs!$D$8+SQRT(B413*(Inputs!$F$8-Inputs!$D$8)*(Inputs!$E$8-Inputs!$D$8)),Inputs!$F$8-SQRT((1-B413)*(Inputs!$F$8-Inputs!$D$8)*(Inputs!$F$8-Inputs!$E$8))),0)</f>
        <v>26</v>
      </c>
      <c r="D413" s="81" t="n">
        <f aca="true">RAND()</f>
        <v>0.394646231150542</v>
      </c>
      <c r="E413" s="83" t="n">
        <f aca="false">IF(D413&lt;(Inputs!$E$10-Inputs!$D$10)/(Inputs!$F$10-Inputs!$D$10),Inputs!$D$10+SQRT(D413*(Inputs!$F$10-Inputs!$D$10)*(Inputs!$E$10-Inputs!$D$10)),Inputs!$F$10-SQRT((1-D413)*(Inputs!$F$10-Inputs!$D$10)*(Inputs!$F$10-Inputs!$E$10)))</f>
        <v>0.0652386811229434</v>
      </c>
      <c r="F413" s="81" t="n">
        <f aca="true">RAND()</f>
        <v>0.0204064017445519</v>
      </c>
      <c r="G413" s="83" t="n">
        <f aca="false">IF(F413&lt;(Inputs!$E$15-Inputs!$D$15)/(Inputs!$F$15-Inputs!$D$15),Inputs!$D$15+SQRT(F413*(Inputs!$F$15-Inputs!$D$15)*(Inputs!$E$15-Inputs!$D$15)),Inputs!$F$15-SQRT((1-F413)*(Inputs!$F$15-Inputs!$D$15)*(Inputs!$F$15-Inputs!$E$15)))</f>
        <v>0.62020217896394</v>
      </c>
      <c r="H413" s="81" t="n">
        <f aca="true">RAND()</f>
        <v>0.320033181394273</v>
      </c>
      <c r="I413" s="82" t="n">
        <f aca="false">ROUND(IF(H413&lt;(Inputs!$E$17-Inputs!$D$17)/(Inputs!$F$17-Inputs!$D$17),Inputs!$D$17+SQRT(H413*(Inputs!$F$17-Inputs!$D$17)*(Inputs!$E$17-Inputs!$D$17)),Inputs!$F$17-SQRT((1-H413)*(Inputs!$F$17-Inputs!$D$17)*(Inputs!$F$17-Inputs!$E$17))),0)</f>
        <v>105</v>
      </c>
      <c r="J413" s="81" t="n">
        <f aca="true">RAND()</f>
        <v>0.871903177026787</v>
      </c>
      <c r="K413" s="83" t="n">
        <f aca="false">IF(J413&lt;(Inputs!$E$18-Inputs!$D$18)/(Inputs!$F$18-Inputs!$D$18),Inputs!$D$18+SQRT(J413*(Inputs!$F$18-Inputs!$D$18)*(Inputs!$E$18-Inputs!$D$18)),Inputs!$F$18-SQRT((1-J413)*(Inputs!$F$18-Inputs!$D$18)*(Inputs!$F$18-Inputs!$E$18)))</f>
        <v>1.14412992863818</v>
      </c>
      <c r="L413" s="81" t="n">
        <f aca="true">RAND()</f>
        <v>0.612379835897922</v>
      </c>
      <c r="M413" s="83" t="n">
        <f aca="false">IF(L413&lt;(Inputs!$E$24-Inputs!$D$24)/(Inputs!$F$24-Inputs!$D$24),Inputs!$D$24+SQRT(L413*(Inputs!$F$24-Inputs!$D$24)*(Inputs!$E$24-Inputs!$D$24)),Inputs!$F$24-SQRT((1-L413)*(Inputs!$F$24-Inputs!$D$24)*(Inputs!$F$24-Inputs!$E$24)))</f>
        <v>0.894993705991993</v>
      </c>
      <c r="N413" s="81" t="n">
        <f aca="true">RAND()</f>
        <v>0.0978439177056395</v>
      </c>
      <c r="O413" s="83" t="n">
        <f aca="false">IF(N413&lt;(Inputs!$E$26-Inputs!$D$26)/(Inputs!$F$26-Inputs!$D$26),Inputs!$D$26+SQRT(N413*(Inputs!$F$26-Inputs!$D$26)*(Inputs!$E$26-Inputs!$D$26)),Inputs!$F$26-SQRT((1-N413)*(Inputs!$F$26-Inputs!$D$26)*(Inputs!$F$26-Inputs!$E$26)))</f>
        <v>0.427597914975984</v>
      </c>
      <c r="P413" s="81" t="n">
        <f aca="true">RAND()</f>
        <v>0.339643579684967</v>
      </c>
      <c r="Q413" s="82" t="n">
        <f aca="false">IF(P413&lt;(Inputs!$E$27-Inputs!$D$27)/(Inputs!$F$27-Inputs!$D$27),Inputs!$D$27+SQRT(P413*(Inputs!$F$27-Inputs!$D$27)*(Inputs!$E$27-Inputs!$D$27)),Inputs!$F$27-SQRT((1-P413)*(Inputs!$F$27-Inputs!$D$27)*(Inputs!$F$27-Inputs!$E$27)))</f>
        <v>79.6247689001112</v>
      </c>
      <c r="R413" s="81" t="n">
        <f aca="true">RAND()</f>
        <v>0.732742419345556</v>
      </c>
      <c r="S413" s="82" t="n">
        <f aca="false">IF(R413&lt;(Inputs!$E$29-Inputs!$D$29)/(Inputs!$F$29-Inputs!$D$29),Inputs!$D$29+SQRT(R413*(Inputs!$F$29-Inputs!$D$29)*(Inputs!$E$29-Inputs!$D$29)),Inputs!$F$29-SQRT((1-R413)*(Inputs!$F$29-Inputs!$D$29)*(Inputs!$F$29-Inputs!$E$29)))</f>
        <v>9.10563951856711</v>
      </c>
      <c r="T413" s="68" t="n">
        <f aca="false">Inputs!$E$9*(1+E413)+Inputs!$E$5*C413*(Inputs!$E$11*Inputs!$E$14*(G413*I413/Inputs!$E$16+(1-G413))*K413+Inputs!$E$23*M413)*(1+O413)+Inputs!$E$5*(Q413+S413)</f>
        <v>6364.89289836453</v>
      </c>
    </row>
    <row r="414" customFormat="false" ht="15" hidden="false" customHeight="false" outlineLevel="0" collapsed="false">
      <c r="A414" s="1" t="n">
        <v>410</v>
      </c>
      <c r="B414" s="81" t="n">
        <f aca="true">RAND()</f>
        <v>0.76884860651639</v>
      </c>
      <c r="C414" s="82" t="n">
        <f aca="false">ROUND(IF(B414&lt;(Inputs!$E$8-Inputs!$D$8)/(Inputs!$F$8-Inputs!$D$8),Inputs!$D$8+SQRT(B414*(Inputs!$F$8-Inputs!$D$8)*(Inputs!$E$8-Inputs!$D$8)),Inputs!$F$8-SQRT((1-B414)*(Inputs!$F$8-Inputs!$D$8)*(Inputs!$F$8-Inputs!$E$8))),0)</f>
        <v>27</v>
      </c>
      <c r="D414" s="81" t="n">
        <f aca="true">RAND()</f>
        <v>0.476409241720611</v>
      </c>
      <c r="E414" s="83" t="n">
        <f aca="false">IF(D414&lt;(Inputs!$E$10-Inputs!$D$10)/(Inputs!$F$10-Inputs!$D$10),Inputs!$D$10+SQRT(D414*(Inputs!$F$10-Inputs!$D$10)*(Inputs!$E$10-Inputs!$D$10)),Inputs!$F$10-SQRT((1-D414)*(Inputs!$F$10-Inputs!$D$10)*(Inputs!$F$10-Inputs!$E$10)))</f>
        <v>0.0746695458063697</v>
      </c>
      <c r="F414" s="81" t="n">
        <f aca="true">RAND()</f>
        <v>0.467029025019908</v>
      </c>
      <c r="G414" s="83" t="n">
        <f aca="false">IF(F414&lt;(Inputs!$E$15-Inputs!$D$15)/(Inputs!$F$15-Inputs!$D$15),Inputs!$D$15+SQRT(F414*(Inputs!$F$15-Inputs!$D$15)*(Inputs!$E$15-Inputs!$D$15)),Inputs!$F$15-SQRT((1-F414)*(Inputs!$F$15-Inputs!$D$15)*(Inputs!$F$15-Inputs!$E$15)))</f>
        <v>0.696646678682706</v>
      </c>
      <c r="H414" s="81" t="n">
        <f aca="true">RAND()</f>
        <v>0.159132186054693</v>
      </c>
      <c r="I414" s="82" t="n">
        <f aca="false">ROUND(IF(H414&lt;(Inputs!$E$17-Inputs!$D$17)/(Inputs!$F$17-Inputs!$D$17),Inputs!$D$17+SQRT(H414*(Inputs!$F$17-Inputs!$D$17)*(Inputs!$E$17-Inputs!$D$17)),Inputs!$F$17-SQRT((1-H414)*(Inputs!$F$17-Inputs!$D$17)*(Inputs!$F$17-Inputs!$E$17))),0)</f>
        <v>103</v>
      </c>
      <c r="J414" s="81" t="n">
        <f aca="true">RAND()</f>
        <v>0.428658932974662</v>
      </c>
      <c r="K414" s="83" t="n">
        <f aca="false">IF(J414&lt;(Inputs!$E$18-Inputs!$D$18)/(Inputs!$F$18-Inputs!$D$18),Inputs!$D$18+SQRT(J414*(Inputs!$F$18-Inputs!$D$18)*(Inputs!$E$18-Inputs!$D$18)),Inputs!$F$18-SQRT((1-J414)*(Inputs!$F$18-Inputs!$D$18)*(Inputs!$F$18-Inputs!$E$18)))</f>
        <v>1.02641032366248</v>
      </c>
      <c r="L414" s="81" t="n">
        <f aca="true">RAND()</f>
        <v>0.983762939311204</v>
      </c>
      <c r="M414" s="83" t="n">
        <f aca="false">IF(L414&lt;(Inputs!$E$24-Inputs!$D$24)/(Inputs!$F$24-Inputs!$D$24),Inputs!$D$24+SQRT(L414*(Inputs!$F$24-Inputs!$D$24)*(Inputs!$E$24-Inputs!$D$24)),Inputs!$F$24-SQRT((1-L414)*(Inputs!$F$24-Inputs!$D$24)*(Inputs!$F$24-Inputs!$E$24)))</f>
        <v>1.13757488834362</v>
      </c>
      <c r="N414" s="81" t="n">
        <f aca="true">RAND()</f>
        <v>0.959746824676998</v>
      </c>
      <c r="O414" s="83" t="n">
        <f aca="false">IF(N414&lt;(Inputs!$E$26-Inputs!$D$26)/(Inputs!$F$26-Inputs!$D$26),Inputs!$D$26+SQRT(N414*(Inputs!$F$26-Inputs!$D$26)*(Inputs!$E$26-Inputs!$D$26)),Inputs!$F$26-SQRT((1-N414)*(Inputs!$F$26-Inputs!$D$26)*(Inputs!$F$26-Inputs!$E$26)))</f>
        <v>0.755298143507375</v>
      </c>
      <c r="P414" s="81" t="n">
        <f aca="true">RAND()</f>
        <v>0.148551032696401</v>
      </c>
      <c r="Q414" s="82" t="n">
        <f aca="false">IF(P414&lt;(Inputs!$E$27-Inputs!$D$27)/(Inputs!$F$27-Inputs!$D$27),Inputs!$D$27+SQRT(P414*(Inputs!$F$27-Inputs!$D$27)*(Inputs!$E$27-Inputs!$D$27)),Inputs!$F$27-SQRT((1-P414)*(Inputs!$F$27-Inputs!$D$27)*(Inputs!$F$27-Inputs!$E$27)))</f>
        <v>69.2711593252976</v>
      </c>
      <c r="R414" s="81" t="n">
        <f aca="true">RAND()</f>
        <v>0.524764898684711</v>
      </c>
      <c r="S414" s="82" t="n">
        <f aca="false">IF(R414&lt;(Inputs!$E$29-Inputs!$D$29)/(Inputs!$F$29-Inputs!$D$29),Inputs!$D$29+SQRT(R414*(Inputs!$F$29-Inputs!$D$29)*(Inputs!$E$29-Inputs!$D$29)),Inputs!$F$29-SQRT((1-R414)*(Inputs!$F$29-Inputs!$D$29)*(Inputs!$F$29-Inputs!$E$29)))</f>
        <v>7.13993872981975</v>
      </c>
      <c r="T414" s="68" t="n">
        <f aca="false">Inputs!$E$9*(1+E414)+Inputs!$E$5*C414*(Inputs!$E$11*Inputs!$E$14*(G414*I414/Inputs!$E$16+(1-G414))*K414+Inputs!$E$23*M414)*(1+O414)+Inputs!$E$5*(Q414+S414)</f>
        <v>7257.88036915492</v>
      </c>
    </row>
    <row r="415" customFormat="false" ht="15" hidden="false" customHeight="false" outlineLevel="0" collapsed="false">
      <c r="A415" s="1" t="n">
        <v>411</v>
      </c>
      <c r="B415" s="81" t="n">
        <f aca="true">RAND()</f>
        <v>0.032356313667506</v>
      </c>
      <c r="C415" s="82" t="n">
        <f aca="false">ROUND(IF(B415&lt;(Inputs!$E$8-Inputs!$D$8)/(Inputs!$F$8-Inputs!$D$8),Inputs!$D$8+SQRT(B415*(Inputs!$F$8-Inputs!$D$8)*(Inputs!$E$8-Inputs!$D$8)),Inputs!$F$8-SQRT((1-B415)*(Inputs!$F$8-Inputs!$D$8)*(Inputs!$F$8-Inputs!$E$8))),0)</f>
        <v>21</v>
      </c>
      <c r="D415" s="81" t="n">
        <f aca="true">RAND()</f>
        <v>0.199650952118811</v>
      </c>
      <c r="E415" s="83" t="n">
        <f aca="false">IF(D415&lt;(Inputs!$E$10-Inputs!$D$10)/(Inputs!$F$10-Inputs!$D$10),Inputs!$D$10+SQRT(D415*(Inputs!$F$10-Inputs!$D$10)*(Inputs!$E$10-Inputs!$D$10)),Inputs!$F$10-SQRT((1-D415)*(Inputs!$F$10-Inputs!$D$10)*(Inputs!$F$10-Inputs!$E$10)))</f>
        <v>0.0446823177687563</v>
      </c>
      <c r="F415" s="81" t="n">
        <f aca="true">RAND()</f>
        <v>0.731284439150601</v>
      </c>
      <c r="G415" s="83" t="n">
        <f aca="false">IF(F415&lt;(Inputs!$E$15-Inputs!$D$15)/(Inputs!$F$15-Inputs!$D$15),Inputs!$D$15+SQRT(F415*(Inputs!$F$15-Inputs!$D$15)*(Inputs!$E$15-Inputs!$D$15)),Inputs!$F$15-SQRT((1-F415)*(Inputs!$F$15-Inputs!$D$15)*(Inputs!$F$15-Inputs!$E$15)))</f>
        <v>0.726690306118577</v>
      </c>
      <c r="H415" s="81" t="n">
        <f aca="true">RAND()</f>
        <v>0.478929657345501</v>
      </c>
      <c r="I415" s="82" t="n">
        <f aca="false">ROUND(IF(H415&lt;(Inputs!$E$17-Inputs!$D$17)/(Inputs!$F$17-Inputs!$D$17),Inputs!$D$17+SQRT(H415*(Inputs!$F$17-Inputs!$D$17)*(Inputs!$E$17-Inputs!$D$17)),Inputs!$F$17-SQRT((1-H415)*(Inputs!$F$17-Inputs!$D$17)*(Inputs!$F$17-Inputs!$E$17))),0)</f>
        <v>106</v>
      </c>
      <c r="J415" s="81" t="n">
        <f aca="true">RAND()</f>
        <v>0.675174874664554</v>
      </c>
      <c r="K415" s="83" t="n">
        <f aca="false">IF(J415&lt;(Inputs!$E$18-Inputs!$D$18)/(Inputs!$F$18-Inputs!$D$18),Inputs!$D$18+SQRT(J415*(Inputs!$F$18-Inputs!$D$18)*(Inputs!$E$18-Inputs!$D$18)),Inputs!$F$18-SQRT((1-J415)*(Inputs!$F$18-Inputs!$D$18)*(Inputs!$F$18-Inputs!$E$18)))</f>
        <v>1.08141115556819</v>
      </c>
      <c r="L415" s="81" t="n">
        <f aca="true">RAND()</f>
        <v>0.646252690101198</v>
      </c>
      <c r="M415" s="83" t="n">
        <f aca="false">IF(L415&lt;(Inputs!$E$24-Inputs!$D$24)/(Inputs!$F$24-Inputs!$D$24),Inputs!$D$24+SQRT(L415*(Inputs!$F$24-Inputs!$D$24)*(Inputs!$E$24-Inputs!$D$24)),Inputs!$F$24-SQRT((1-L415)*(Inputs!$F$24-Inputs!$D$24)*(Inputs!$F$24-Inputs!$E$24)))</f>
        <v>0.908625062203846</v>
      </c>
      <c r="N415" s="81" t="n">
        <f aca="true">RAND()</f>
        <v>0.736881832938947</v>
      </c>
      <c r="O415" s="83" t="n">
        <f aca="false">IF(N415&lt;(Inputs!$E$26-Inputs!$D$26)/(Inputs!$F$26-Inputs!$D$26),Inputs!$D$26+SQRT(N415*(Inputs!$F$26-Inputs!$D$26)*(Inputs!$E$26-Inputs!$D$26)),Inputs!$F$26-SQRT((1-N415)*(Inputs!$F$26-Inputs!$D$26)*(Inputs!$F$26-Inputs!$E$26)))</f>
        <v>0.654578449486322</v>
      </c>
      <c r="P415" s="81" t="n">
        <f aca="true">RAND()</f>
        <v>0.19894081457397</v>
      </c>
      <c r="Q415" s="82" t="n">
        <f aca="false">IF(P415&lt;(Inputs!$E$27-Inputs!$D$27)/(Inputs!$F$27-Inputs!$D$27),Inputs!$D$27+SQRT(P415*(Inputs!$F$27-Inputs!$D$27)*(Inputs!$E$27-Inputs!$D$27)),Inputs!$F$27-SQRT((1-P415)*(Inputs!$F$27-Inputs!$D$27)*(Inputs!$F$27-Inputs!$E$27)))</f>
        <v>72.3013909080785</v>
      </c>
      <c r="R415" s="81" t="n">
        <f aca="true">RAND()</f>
        <v>0.320123129261676</v>
      </c>
      <c r="S415" s="82" t="n">
        <f aca="false">IF(R415&lt;(Inputs!$E$29-Inputs!$D$29)/(Inputs!$F$29-Inputs!$D$29),Inputs!$D$29+SQRT(R415*(Inputs!$F$29-Inputs!$D$29)*(Inputs!$E$29-Inputs!$D$29)),Inputs!$F$29-SQRT((1-R415)*(Inputs!$F$29-Inputs!$D$29)*(Inputs!$F$29-Inputs!$E$29)))</f>
        <v>5.59872385279625</v>
      </c>
      <c r="T415" s="68" t="n">
        <f aca="false">Inputs!$E$9*(1+E415)+Inputs!$E$5*C415*(Inputs!$E$11*Inputs!$E$14*(G415*I415/Inputs!$E$16+(1-G415))*K415+Inputs!$E$23*M415)*(1+O415)+Inputs!$E$5*(Q415+S415)</f>
        <v>5809.12311362511</v>
      </c>
    </row>
    <row r="416" customFormat="false" ht="15" hidden="false" customHeight="false" outlineLevel="0" collapsed="false">
      <c r="A416" s="1" t="n">
        <v>412</v>
      </c>
      <c r="B416" s="81" t="n">
        <f aca="true">RAND()</f>
        <v>0.570143811649618</v>
      </c>
      <c r="C416" s="82" t="n">
        <f aca="false">ROUND(IF(B416&lt;(Inputs!$E$8-Inputs!$D$8)/(Inputs!$F$8-Inputs!$D$8),Inputs!$D$8+SQRT(B416*(Inputs!$F$8-Inputs!$D$8)*(Inputs!$E$8-Inputs!$D$8)),Inputs!$F$8-SQRT((1-B416)*(Inputs!$F$8-Inputs!$D$8)*(Inputs!$F$8-Inputs!$E$8))),0)</f>
        <v>25</v>
      </c>
      <c r="D416" s="81" t="n">
        <f aca="true">RAND()</f>
        <v>0.745912486871439</v>
      </c>
      <c r="E416" s="83" t="n">
        <f aca="false">IF(D416&lt;(Inputs!$E$10-Inputs!$D$10)/(Inputs!$F$10-Inputs!$D$10),Inputs!$D$10+SQRT(D416*(Inputs!$F$10-Inputs!$D$10)*(Inputs!$E$10-Inputs!$D$10)),Inputs!$F$10-SQRT((1-D416)*(Inputs!$F$10-Inputs!$D$10)*(Inputs!$F$10-Inputs!$E$10)))</f>
        <v>0.112692352031126</v>
      </c>
      <c r="F416" s="81" t="n">
        <f aca="true">RAND()</f>
        <v>0.0400774614074851</v>
      </c>
      <c r="G416" s="83" t="n">
        <f aca="false">IF(F416&lt;(Inputs!$E$15-Inputs!$D$15)/(Inputs!$F$15-Inputs!$D$15),Inputs!$D$15+SQRT(F416*(Inputs!$F$15-Inputs!$D$15)*(Inputs!$E$15-Inputs!$D$15)),Inputs!$F$15-SQRT((1-F416)*(Inputs!$F$15-Inputs!$D$15)*(Inputs!$F$15-Inputs!$E$15)))</f>
        <v>0.628311644744693</v>
      </c>
      <c r="H416" s="81" t="n">
        <f aca="true">RAND()</f>
        <v>0.346134526094886</v>
      </c>
      <c r="I416" s="82" t="n">
        <f aca="false">ROUND(IF(H416&lt;(Inputs!$E$17-Inputs!$D$17)/(Inputs!$F$17-Inputs!$D$17),Inputs!$D$17+SQRT(H416*(Inputs!$F$17-Inputs!$D$17)*(Inputs!$E$17-Inputs!$D$17)),Inputs!$F$17-SQRT((1-H416)*(Inputs!$F$17-Inputs!$D$17)*(Inputs!$F$17-Inputs!$E$17))),0)</f>
        <v>105</v>
      </c>
      <c r="J416" s="81" t="n">
        <f aca="true">RAND()</f>
        <v>0.407250070287926</v>
      </c>
      <c r="K416" s="83" t="n">
        <f aca="false">IF(J416&lt;(Inputs!$E$18-Inputs!$D$18)/(Inputs!$F$18-Inputs!$D$18),Inputs!$D$18+SQRT(J416*(Inputs!$F$18-Inputs!$D$18)*(Inputs!$E$18-Inputs!$D$18)),Inputs!$F$18-SQRT((1-J416)*(Inputs!$F$18-Inputs!$D$18)*(Inputs!$F$18-Inputs!$E$18)))</f>
        <v>1.02225975575273</v>
      </c>
      <c r="L416" s="81" t="n">
        <f aca="true">RAND()</f>
        <v>0.451487830972501</v>
      </c>
      <c r="M416" s="83" t="n">
        <f aca="false">IF(L416&lt;(Inputs!$E$24-Inputs!$D$24)/(Inputs!$F$24-Inputs!$D$24),Inputs!$D$24+SQRT(L416*(Inputs!$F$24-Inputs!$D$24)*(Inputs!$E$24-Inputs!$D$24)),Inputs!$F$24-SQRT((1-L416)*(Inputs!$F$24-Inputs!$D$24)*(Inputs!$F$24-Inputs!$E$24)))</f>
        <v>0.837173704692452</v>
      </c>
      <c r="N416" s="81" t="n">
        <f aca="true">RAND()</f>
        <v>0.704265170514683</v>
      </c>
      <c r="O416" s="83" t="n">
        <f aca="false">IF(N416&lt;(Inputs!$E$26-Inputs!$D$26)/(Inputs!$F$26-Inputs!$D$26),Inputs!$D$26+SQRT(N416*(Inputs!$F$26-Inputs!$D$26)*(Inputs!$E$26-Inputs!$D$26)),Inputs!$F$26-SQRT((1-N416)*(Inputs!$F$26-Inputs!$D$26)*(Inputs!$F$26-Inputs!$E$26)))</f>
        <v>0.644624909789124</v>
      </c>
      <c r="P416" s="81" t="n">
        <f aca="true">RAND()</f>
        <v>0.0666520036928198</v>
      </c>
      <c r="Q416" s="82" t="n">
        <f aca="false">IF(P416&lt;(Inputs!$E$27-Inputs!$D$27)/(Inputs!$F$27-Inputs!$D$27),Inputs!$D$27+SQRT(P416*(Inputs!$F$27-Inputs!$D$27)*(Inputs!$E$27-Inputs!$D$27)),Inputs!$F$27-SQRT((1-P416)*(Inputs!$F$27-Inputs!$D$27)*(Inputs!$F$27-Inputs!$E$27)))</f>
        <v>62.9085246729458</v>
      </c>
      <c r="R416" s="81" t="n">
        <f aca="true">RAND()</f>
        <v>0.577853210240672</v>
      </c>
      <c r="S416" s="82" t="n">
        <f aca="false">IF(R416&lt;(Inputs!$E$29-Inputs!$D$29)/(Inputs!$F$29-Inputs!$D$29),Inputs!$D$29+SQRT(R416*(Inputs!$F$29-Inputs!$D$29)*(Inputs!$E$29-Inputs!$D$29)),Inputs!$F$29-SQRT((1-R416)*(Inputs!$F$29-Inputs!$D$29)*(Inputs!$F$29-Inputs!$E$29)))</f>
        <v>7.59195824332012</v>
      </c>
      <c r="T416" s="68" t="n">
        <f aca="false">Inputs!$E$9*(1+E416)+Inputs!$E$5*C416*(Inputs!$E$11*Inputs!$E$14*(G416*I416/Inputs!$E$16+(1-G416))*K416+Inputs!$E$23*M416)*(1+O416)+Inputs!$E$5*(Q416+S416)</f>
        <v>6385.0084508054</v>
      </c>
    </row>
    <row r="417" customFormat="false" ht="15" hidden="false" customHeight="false" outlineLevel="0" collapsed="false">
      <c r="A417" s="1" t="n">
        <v>413</v>
      </c>
      <c r="B417" s="81" t="n">
        <f aca="true">RAND()</f>
        <v>0.0402243465388698</v>
      </c>
      <c r="C417" s="82" t="n">
        <f aca="false">ROUND(IF(B417&lt;(Inputs!$E$8-Inputs!$D$8)/(Inputs!$F$8-Inputs!$D$8),Inputs!$D$8+SQRT(B417*(Inputs!$F$8-Inputs!$D$8)*(Inputs!$E$8-Inputs!$D$8)),Inputs!$F$8-SQRT((1-B417)*(Inputs!$F$8-Inputs!$D$8)*(Inputs!$F$8-Inputs!$E$8))),0)</f>
        <v>21</v>
      </c>
      <c r="D417" s="81" t="n">
        <f aca="true">RAND()</f>
        <v>0.268731922549546</v>
      </c>
      <c r="E417" s="83" t="n">
        <f aca="false">IF(D417&lt;(Inputs!$E$10-Inputs!$D$10)/(Inputs!$F$10-Inputs!$D$10),Inputs!$D$10+SQRT(D417*(Inputs!$F$10-Inputs!$D$10)*(Inputs!$E$10-Inputs!$D$10)),Inputs!$F$10-SQRT((1-D417)*(Inputs!$F$10-Inputs!$D$10)*(Inputs!$F$10-Inputs!$E$10)))</f>
        <v>0.0518850368007552</v>
      </c>
      <c r="F417" s="81" t="n">
        <f aca="true">RAND()</f>
        <v>0.711510335071654</v>
      </c>
      <c r="G417" s="83" t="n">
        <f aca="false">IF(F417&lt;(Inputs!$E$15-Inputs!$D$15)/(Inputs!$F$15-Inputs!$D$15),Inputs!$D$15+SQRT(F417*(Inputs!$F$15-Inputs!$D$15)*(Inputs!$E$15-Inputs!$D$15)),Inputs!$F$15-SQRT((1-F417)*(Inputs!$F$15-Inputs!$D$15)*(Inputs!$F$15-Inputs!$E$15)))</f>
        <v>0.724040844537562</v>
      </c>
      <c r="H417" s="81" t="n">
        <f aca="true">RAND()</f>
        <v>0.422311421614186</v>
      </c>
      <c r="I417" s="82" t="n">
        <f aca="false">ROUND(IF(H417&lt;(Inputs!$E$17-Inputs!$D$17)/(Inputs!$F$17-Inputs!$D$17),Inputs!$D$17+SQRT(H417*(Inputs!$F$17-Inputs!$D$17)*(Inputs!$E$17-Inputs!$D$17)),Inputs!$F$17-SQRT((1-H417)*(Inputs!$F$17-Inputs!$D$17)*(Inputs!$F$17-Inputs!$E$17))),0)</f>
        <v>106</v>
      </c>
      <c r="J417" s="81" t="n">
        <f aca="true">RAND()</f>
        <v>0.70327078216062</v>
      </c>
      <c r="K417" s="83" t="n">
        <f aca="false">IF(J417&lt;(Inputs!$E$18-Inputs!$D$18)/(Inputs!$F$18-Inputs!$D$18),Inputs!$D$18+SQRT(J417*(Inputs!$F$18-Inputs!$D$18)*(Inputs!$E$18-Inputs!$D$18)),Inputs!$F$18-SQRT((1-J417)*(Inputs!$F$18-Inputs!$D$18)*(Inputs!$F$18-Inputs!$E$18)))</f>
        <v>1.08886711520938</v>
      </c>
      <c r="L417" s="81" t="n">
        <f aca="true">RAND()</f>
        <v>0.801295812634216</v>
      </c>
      <c r="M417" s="83" t="n">
        <f aca="false">IF(L417&lt;(Inputs!$E$24-Inputs!$D$24)/(Inputs!$F$24-Inputs!$D$24),Inputs!$D$24+SQRT(L417*(Inputs!$F$24-Inputs!$D$24)*(Inputs!$E$24-Inputs!$D$24)),Inputs!$F$24-SQRT((1-L417)*(Inputs!$F$24-Inputs!$D$24)*(Inputs!$F$24-Inputs!$E$24)))</f>
        <v>0.981621876169365</v>
      </c>
      <c r="N417" s="81" t="n">
        <f aca="true">RAND()</f>
        <v>0.338411445341761</v>
      </c>
      <c r="O417" s="83" t="n">
        <f aca="false">IF(N417&lt;(Inputs!$E$26-Inputs!$D$26)/(Inputs!$F$26-Inputs!$D$26),Inputs!$D$26+SQRT(N417*(Inputs!$F$26-Inputs!$D$26)*(Inputs!$E$26-Inputs!$D$26)),Inputs!$F$26-SQRT((1-N417)*(Inputs!$F$26-Inputs!$D$26)*(Inputs!$F$26-Inputs!$E$26)))</f>
        <v>0.537300789094493</v>
      </c>
      <c r="P417" s="81" t="n">
        <f aca="true">RAND()</f>
        <v>0.173386519556878</v>
      </c>
      <c r="Q417" s="82" t="n">
        <f aca="false">IF(P417&lt;(Inputs!$E$27-Inputs!$D$27)/(Inputs!$F$27-Inputs!$D$27),Inputs!$D$27+SQRT(P417*(Inputs!$F$27-Inputs!$D$27)*(Inputs!$E$27-Inputs!$D$27)),Inputs!$F$27-SQRT((1-P417)*(Inputs!$F$27-Inputs!$D$27)*(Inputs!$F$27-Inputs!$E$27)))</f>
        <v>70.8198534791241</v>
      </c>
      <c r="R417" s="81" t="n">
        <f aca="true">RAND()</f>
        <v>0.798237993893054</v>
      </c>
      <c r="S417" s="82" t="n">
        <f aca="false">IF(R417&lt;(Inputs!$E$29-Inputs!$D$29)/(Inputs!$F$29-Inputs!$D$29),Inputs!$D$29+SQRT(R417*(Inputs!$F$29-Inputs!$D$29)*(Inputs!$E$29-Inputs!$D$29)),Inputs!$F$29-SQRT((1-R417)*(Inputs!$F$29-Inputs!$D$29)*(Inputs!$F$29-Inputs!$E$29)))</f>
        <v>9.87856848196689</v>
      </c>
      <c r="T417" s="68" t="n">
        <f aca="false">Inputs!$E$9*(1+E417)+Inputs!$E$5*C417*(Inputs!$E$11*Inputs!$E$14*(G417*I417/Inputs!$E$16+(1-G417))*K417+Inputs!$E$23*M417)*(1+O417)+Inputs!$E$5*(Q417+S417)</f>
        <v>5717.58245142285</v>
      </c>
    </row>
    <row r="418" customFormat="false" ht="15" hidden="false" customHeight="false" outlineLevel="0" collapsed="false">
      <c r="A418" s="1" t="n">
        <v>414</v>
      </c>
      <c r="B418" s="81" t="n">
        <f aca="true">RAND()</f>
        <v>0.752016276101618</v>
      </c>
      <c r="C418" s="82" t="n">
        <f aca="false">ROUND(IF(B418&lt;(Inputs!$E$8-Inputs!$D$8)/(Inputs!$F$8-Inputs!$D$8),Inputs!$D$8+SQRT(B418*(Inputs!$F$8-Inputs!$D$8)*(Inputs!$E$8-Inputs!$D$8)),Inputs!$F$8-SQRT((1-B418)*(Inputs!$F$8-Inputs!$D$8)*(Inputs!$F$8-Inputs!$E$8))),0)</f>
        <v>26</v>
      </c>
      <c r="D418" s="81" t="n">
        <f aca="true">RAND()</f>
        <v>0.357986183187899</v>
      </c>
      <c r="E418" s="83" t="n">
        <f aca="false">IF(D418&lt;(Inputs!$E$10-Inputs!$D$10)/(Inputs!$F$10-Inputs!$D$10),Inputs!$D$10+SQRT(D418*(Inputs!$F$10-Inputs!$D$10)*(Inputs!$E$10-Inputs!$D$10)),Inputs!$F$10-SQRT((1-D418)*(Inputs!$F$10-Inputs!$D$10)*(Inputs!$F$10-Inputs!$E$10)))</f>
        <v>0.0612181045511951</v>
      </c>
      <c r="F418" s="81" t="n">
        <f aca="true">RAND()</f>
        <v>0.121522361920477</v>
      </c>
      <c r="G418" s="83" t="n">
        <f aca="false">IF(F418&lt;(Inputs!$E$15-Inputs!$D$15)/(Inputs!$F$15-Inputs!$D$15),Inputs!$D$15+SQRT(F418*(Inputs!$F$15-Inputs!$D$15)*(Inputs!$E$15-Inputs!$D$15)),Inputs!$F$15-SQRT((1-F418)*(Inputs!$F$15-Inputs!$D$15)*(Inputs!$F$15-Inputs!$E$15)))</f>
        <v>0.649299566310562</v>
      </c>
      <c r="H418" s="81" t="n">
        <f aca="true">RAND()</f>
        <v>0.493214976972884</v>
      </c>
      <c r="I418" s="82" t="n">
        <f aca="false">ROUND(IF(H418&lt;(Inputs!$E$17-Inputs!$D$17)/(Inputs!$F$17-Inputs!$D$17),Inputs!$D$17+SQRT(H418*(Inputs!$F$17-Inputs!$D$17)*(Inputs!$E$17-Inputs!$D$17)),Inputs!$F$17-SQRT((1-H418)*(Inputs!$F$17-Inputs!$D$17)*(Inputs!$F$17-Inputs!$E$17))),0)</f>
        <v>106</v>
      </c>
      <c r="J418" s="81" t="n">
        <f aca="true">RAND()</f>
        <v>0.478696148219267</v>
      </c>
      <c r="K418" s="83" t="n">
        <f aca="false">IF(J418&lt;(Inputs!$E$18-Inputs!$D$18)/(Inputs!$F$18-Inputs!$D$18),Inputs!$D$18+SQRT(J418*(Inputs!$F$18-Inputs!$D$18)*(Inputs!$E$18-Inputs!$D$18)),Inputs!$F$18-SQRT((1-J418)*(Inputs!$F$18-Inputs!$D$18)*(Inputs!$F$18-Inputs!$E$18)))</f>
        <v>1.03642545322344</v>
      </c>
      <c r="L418" s="81" t="n">
        <f aca="true">RAND()</f>
        <v>0.958829136256278</v>
      </c>
      <c r="M418" s="83" t="n">
        <f aca="false">IF(L418&lt;(Inputs!$E$24-Inputs!$D$24)/(Inputs!$F$24-Inputs!$D$24),Inputs!$D$24+SQRT(L418*(Inputs!$F$24-Inputs!$D$24)*(Inputs!$E$24-Inputs!$D$24)),Inputs!$F$24-SQRT((1-L418)*(Inputs!$F$24-Inputs!$D$24)*(Inputs!$F$24-Inputs!$E$24)))</f>
        <v>1.10059674402469</v>
      </c>
      <c r="N418" s="81" t="n">
        <f aca="true">RAND()</f>
        <v>0.113675269221758</v>
      </c>
      <c r="O418" s="83" t="n">
        <f aca="false">IF(N418&lt;(Inputs!$E$26-Inputs!$D$26)/(Inputs!$F$26-Inputs!$D$26),Inputs!$D$26+SQRT(N418*(Inputs!$F$26-Inputs!$D$26)*(Inputs!$E$26-Inputs!$D$26)),Inputs!$F$26-SQRT((1-N418)*(Inputs!$F$26-Inputs!$D$26)*(Inputs!$F$26-Inputs!$E$26)))</f>
        <v>0.437533867823531</v>
      </c>
      <c r="P418" s="81" t="n">
        <f aca="true">RAND()</f>
        <v>0.0100194258433243</v>
      </c>
      <c r="Q418" s="82" t="n">
        <f aca="false">IF(P418&lt;(Inputs!$E$27-Inputs!$D$27)/(Inputs!$F$27-Inputs!$D$27),Inputs!$D$27+SQRT(P418*(Inputs!$F$27-Inputs!$D$27)*(Inputs!$E$27-Inputs!$D$27)),Inputs!$F$27-SQRT((1-P418)*(Inputs!$F$27-Inputs!$D$27)*(Inputs!$F$27-Inputs!$E$27)))</f>
        <v>55.0048541045979</v>
      </c>
      <c r="R418" s="81" t="n">
        <f aca="true">RAND()</f>
        <v>0.282768784879512</v>
      </c>
      <c r="S418" s="82" t="n">
        <f aca="false">IF(R418&lt;(Inputs!$E$29-Inputs!$D$29)/(Inputs!$F$29-Inputs!$D$29),Inputs!$D$29+SQRT(R418*(Inputs!$F$29-Inputs!$D$29)*(Inputs!$E$29-Inputs!$D$29)),Inputs!$F$29-SQRT((1-R418)*(Inputs!$F$29-Inputs!$D$29)*(Inputs!$F$29-Inputs!$E$29)))</f>
        <v>5.34391083483259</v>
      </c>
      <c r="T418" s="68" t="n">
        <f aca="false">Inputs!$E$9*(1+E418)+Inputs!$E$5*C418*(Inputs!$E$11*Inputs!$E$14*(G418*I418/Inputs!$E$16+(1-G418))*K418+Inputs!$E$23*M418)*(1+O418)+Inputs!$E$5*(Q418+S418)</f>
        <v>6259.06849702109</v>
      </c>
    </row>
    <row r="419" customFormat="false" ht="15" hidden="false" customHeight="false" outlineLevel="0" collapsed="false">
      <c r="A419" s="1" t="n">
        <v>415</v>
      </c>
      <c r="B419" s="81" t="n">
        <f aca="true">RAND()</f>
        <v>0.611848128853863</v>
      </c>
      <c r="C419" s="82" t="n">
        <f aca="false">ROUND(IF(B419&lt;(Inputs!$E$8-Inputs!$D$8)/(Inputs!$F$8-Inputs!$D$8),Inputs!$D$8+SQRT(B419*(Inputs!$F$8-Inputs!$D$8)*(Inputs!$E$8-Inputs!$D$8)),Inputs!$F$8-SQRT((1-B419)*(Inputs!$F$8-Inputs!$D$8)*(Inputs!$F$8-Inputs!$E$8))),0)</f>
        <v>26</v>
      </c>
      <c r="D419" s="81" t="n">
        <f aca="true">RAND()</f>
        <v>0.59606676893752</v>
      </c>
      <c r="E419" s="83" t="n">
        <f aca="false">IF(D419&lt;(Inputs!$E$10-Inputs!$D$10)/(Inputs!$F$10-Inputs!$D$10),Inputs!$D$10+SQRT(D419*(Inputs!$F$10-Inputs!$D$10)*(Inputs!$E$10-Inputs!$D$10)),Inputs!$F$10-SQRT((1-D419)*(Inputs!$F$10-Inputs!$D$10)*(Inputs!$F$10-Inputs!$E$10)))</f>
        <v>0.0899182261594845</v>
      </c>
      <c r="F419" s="81" t="n">
        <f aca="true">RAND()</f>
        <v>0.651293716616873</v>
      </c>
      <c r="G419" s="83" t="n">
        <f aca="false">IF(F419&lt;(Inputs!$E$15-Inputs!$D$15)/(Inputs!$F$15-Inputs!$D$15),Inputs!$D$15+SQRT(F419*(Inputs!$F$15-Inputs!$D$15)*(Inputs!$E$15-Inputs!$D$15)),Inputs!$F$15-SQRT((1-F419)*(Inputs!$F$15-Inputs!$D$15)*(Inputs!$F$15-Inputs!$E$15)))</f>
        <v>0.716488769212384</v>
      </c>
      <c r="H419" s="81" t="n">
        <f aca="true">RAND()</f>
        <v>0.877095565507354</v>
      </c>
      <c r="I419" s="82" t="n">
        <f aca="false">ROUND(IF(H419&lt;(Inputs!$E$17-Inputs!$D$17)/(Inputs!$F$17-Inputs!$D$17),Inputs!$D$17+SQRT(H419*(Inputs!$F$17-Inputs!$D$17)*(Inputs!$E$17-Inputs!$D$17)),Inputs!$F$17-SQRT((1-H419)*(Inputs!$F$17-Inputs!$D$17)*(Inputs!$F$17-Inputs!$E$17))),0)</f>
        <v>111</v>
      </c>
      <c r="J419" s="81" t="n">
        <f aca="true">RAND()</f>
        <v>0.38191946918759</v>
      </c>
      <c r="K419" s="83" t="n">
        <f aca="false">IF(J419&lt;(Inputs!$E$18-Inputs!$D$18)/(Inputs!$F$18-Inputs!$D$18),Inputs!$D$18+SQRT(J419*(Inputs!$F$18-Inputs!$D$18)*(Inputs!$E$18-Inputs!$D$18)),Inputs!$F$18-SQRT((1-J419)*(Inputs!$F$18-Inputs!$D$18)*(Inputs!$F$18-Inputs!$E$18)))</f>
        <v>1.0174445303888</v>
      </c>
      <c r="L419" s="81" t="n">
        <f aca="true">RAND()</f>
        <v>0.215680366160417</v>
      </c>
      <c r="M419" s="83" t="n">
        <f aca="false">IF(L419&lt;(Inputs!$E$24-Inputs!$D$24)/(Inputs!$F$24-Inputs!$D$24),Inputs!$D$24+SQRT(L419*(Inputs!$F$24-Inputs!$D$24)*(Inputs!$E$24-Inputs!$D$24)),Inputs!$F$24-SQRT((1-L419)*(Inputs!$F$24-Inputs!$D$24)*(Inputs!$F$24-Inputs!$E$24)))</f>
        <v>0.760877729780259</v>
      </c>
      <c r="N419" s="81" t="n">
        <f aca="true">RAND()</f>
        <v>0.072369662147954</v>
      </c>
      <c r="O419" s="83" t="n">
        <f aca="false">IF(N419&lt;(Inputs!$E$26-Inputs!$D$26)/(Inputs!$F$26-Inputs!$D$26),Inputs!$D$26+SQRT(N419*(Inputs!$F$26-Inputs!$D$26)*(Inputs!$E$26-Inputs!$D$26)),Inputs!$F$26-SQRT((1-N419)*(Inputs!$F$26-Inputs!$D$26)*(Inputs!$F$26-Inputs!$E$26)))</f>
        <v>0.409737467536934</v>
      </c>
      <c r="P419" s="81" t="n">
        <f aca="true">RAND()</f>
        <v>0.0675469402799466</v>
      </c>
      <c r="Q419" s="82" t="n">
        <f aca="false">IF(P419&lt;(Inputs!$E$27-Inputs!$D$27)/(Inputs!$F$27-Inputs!$D$27),Inputs!$D$27+SQRT(P419*(Inputs!$F$27-Inputs!$D$27)*(Inputs!$E$27-Inputs!$D$27)),Inputs!$F$27-SQRT((1-P419)*(Inputs!$F$27-Inputs!$D$27)*(Inputs!$F$27-Inputs!$E$27)))</f>
        <v>62.9948971023193</v>
      </c>
      <c r="R419" s="81" t="n">
        <f aca="true">RAND()</f>
        <v>0.282425588057398</v>
      </c>
      <c r="S419" s="82" t="n">
        <f aca="false">IF(R419&lt;(Inputs!$E$29-Inputs!$D$29)/(Inputs!$F$29-Inputs!$D$29),Inputs!$D$29+SQRT(R419*(Inputs!$F$29-Inputs!$D$29)*(Inputs!$E$29-Inputs!$D$29)),Inputs!$F$29-SQRT((1-R419)*(Inputs!$F$29-Inputs!$D$29)*(Inputs!$F$29-Inputs!$E$29)))</f>
        <v>5.34160088044927</v>
      </c>
      <c r="T419" s="68" t="n">
        <f aca="false">Inputs!$E$9*(1+E419)+Inputs!$E$5*C419*(Inputs!$E$11*Inputs!$E$14*(G419*I419/Inputs!$E$16+(1-G419))*K419+Inputs!$E$23*M419)*(1+O419)+Inputs!$E$5*(Q419+S419)</f>
        <v>5782.66452902257</v>
      </c>
    </row>
    <row r="420" customFormat="false" ht="15" hidden="false" customHeight="false" outlineLevel="0" collapsed="false">
      <c r="A420" s="1" t="n">
        <v>416</v>
      </c>
      <c r="B420" s="81" t="n">
        <f aca="true">RAND()</f>
        <v>0.1431759904151</v>
      </c>
      <c r="C420" s="82" t="n">
        <f aca="false">ROUND(IF(B420&lt;(Inputs!$E$8-Inputs!$D$8)/(Inputs!$F$8-Inputs!$D$8),Inputs!$D$8+SQRT(B420*(Inputs!$F$8-Inputs!$D$8)*(Inputs!$E$8-Inputs!$D$8)),Inputs!$F$8-SQRT((1-B420)*(Inputs!$F$8-Inputs!$D$8)*(Inputs!$F$8-Inputs!$E$8))),0)</f>
        <v>23</v>
      </c>
      <c r="D420" s="81" t="n">
        <f aca="true">RAND()</f>
        <v>0.753571096163423</v>
      </c>
      <c r="E420" s="83" t="n">
        <f aca="false">IF(D420&lt;(Inputs!$E$10-Inputs!$D$10)/(Inputs!$F$10-Inputs!$D$10),Inputs!$D$10+SQRT(D420*(Inputs!$F$10-Inputs!$D$10)*(Inputs!$E$10-Inputs!$D$10)),Inputs!$F$10-SQRT((1-D420)*(Inputs!$F$10-Inputs!$D$10)*(Inputs!$F$10-Inputs!$E$10)))</f>
        <v>0.11401821637639</v>
      </c>
      <c r="F420" s="81" t="n">
        <f aca="true">RAND()</f>
        <v>0.019717662575852</v>
      </c>
      <c r="G420" s="83" t="n">
        <f aca="false">IF(F420&lt;(Inputs!$E$15-Inputs!$D$15)/(Inputs!$F$15-Inputs!$D$15),Inputs!$D$15+SQRT(F420*(Inputs!$F$15-Inputs!$D$15)*(Inputs!$E$15-Inputs!$D$15)),Inputs!$F$15-SQRT((1-F420)*(Inputs!$F$15-Inputs!$D$15)*(Inputs!$F$15-Inputs!$E$15)))</f>
        <v>0.619858329524838</v>
      </c>
      <c r="H420" s="81" t="n">
        <f aca="true">RAND()</f>
        <v>0.916930816066444</v>
      </c>
      <c r="I420" s="82" t="n">
        <f aca="false">ROUND(IF(H420&lt;(Inputs!$E$17-Inputs!$D$17)/(Inputs!$F$17-Inputs!$D$17),Inputs!$D$17+SQRT(H420*(Inputs!$F$17-Inputs!$D$17)*(Inputs!$E$17-Inputs!$D$17)),Inputs!$F$17-SQRT((1-H420)*(Inputs!$F$17-Inputs!$D$17)*(Inputs!$F$17-Inputs!$E$17))),0)</f>
        <v>111</v>
      </c>
      <c r="J420" s="81" t="n">
        <f aca="true">RAND()</f>
        <v>0.0807077361340599</v>
      </c>
      <c r="K420" s="83" t="n">
        <f aca="false">IF(J420&lt;(Inputs!$E$18-Inputs!$D$18)/(Inputs!$F$18-Inputs!$D$18),Inputs!$D$18+SQRT(J420*(Inputs!$F$18-Inputs!$D$18)*(Inputs!$E$18-Inputs!$D$18)),Inputs!$F$18-SQRT((1-J420)*(Inputs!$F$18-Inputs!$D$18)*(Inputs!$F$18-Inputs!$E$18)))</f>
        <v>0.953148572555546</v>
      </c>
      <c r="L420" s="81" t="n">
        <f aca="true">RAND()</f>
        <v>0.855287630570964</v>
      </c>
      <c r="M420" s="83" t="n">
        <f aca="false">IF(L420&lt;(Inputs!$E$24-Inputs!$D$24)/(Inputs!$F$24-Inputs!$D$24),Inputs!$D$24+SQRT(L420*(Inputs!$F$24-Inputs!$D$24)*(Inputs!$E$24-Inputs!$D$24)),Inputs!$F$24-SQRT((1-L420)*(Inputs!$F$24-Inputs!$D$24)*(Inputs!$F$24-Inputs!$E$24)))</f>
        <v>1.0136375341895</v>
      </c>
      <c r="N420" s="81" t="n">
        <f aca="true">RAND()</f>
        <v>0.773399002272356</v>
      </c>
      <c r="O420" s="83" t="n">
        <f aca="false">IF(N420&lt;(Inputs!$E$26-Inputs!$D$26)/(Inputs!$F$26-Inputs!$D$26),Inputs!$D$26+SQRT(N420*(Inputs!$F$26-Inputs!$D$26)*(Inputs!$E$26-Inputs!$D$26)),Inputs!$F$26-SQRT((1-N420)*(Inputs!$F$26-Inputs!$D$26)*(Inputs!$F$26-Inputs!$E$26)))</f>
        <v>0.66648614471757</v>
      </c>
      <c r="P420" s="81" t="n">
        <f aca="true">RAND()</f>
        <v>0.134508768918875</v>
      </c>
      <c r="Q420" s="82" t="n">
        <f aca="false">IF(P420&lt;(Inputs!$E$27-Inputs!$D$27)/(Inputs!$F$27-Inputs!$D$27),Inputs!$D$27+SQRT(P420*(Inputs!$F$27-Inputs!$D$27)*(Inputs!$E$27-Inputs!$D$27)),Inputs!$F$27-SQRT((1-P420)*(Inputs!$F$27-Inputs!$D$27)*(Inputs!$F$27-Inputs!$E$27)))</f>
        <v>68.3377185684913</v>
      </c>
      <c r="R420" s="81" t="n">
        <f aca="true">RAND()</f>
        <v>0.952400137343935</v>
      </c>
      <c r="S420" s="82" t="n">
        <f aca="false">IF(R420&lt;(Inputs!$E$29-Inputs!$D$29)/(Inputs!$F$29-Inputs!$D$29),Inputs!$D$29+SQRT(R420*(Inputs!$F$29-Inputs!$D$29)*(Inputs!$E$29-Inputs!$D$29)),Inputs!$F$29-SQRT((1-R420)*(Inputs!$F$29-Inputs!$D$29)*(Inputs!$F$29-Inputs!$E$29)))</f>
        <v>12.5124344942719</v>
      </c>
      <c r="T420" s="68" t="n">
        <f aca="false">Inputs!$E$9*(1+E420)+Inputs!$E$5*C420*(Inputs!$E$11*Inputs!$E$14*(G420*I420/Inputs!$E$16+(1-G420))*K420+Inputs!$E$23*M420)*(1+O420)+Inputs!$E$5*(Q420+S420)</f>
        <v>6356.15100075865</v>
      </c>
    </row>
    <row r="421" customFormat="false" ht="15" hidden="false" customHeight="false" outlineLevel="0" collapsed="false">
      <c r="A421" s="1" t="n">
        <v>417</v>
      </c>
      <c r="B421" s="81" t="n">
        <f aca="true">RAND()</f>
        <v>0.449945440931627</v>
      </c>
      <c r="C421" s="82" t="n">
        <f aca="false">ROUND(IF(B421&lt;(Inputs!$E$8-Inputs!$D$8)/(Inputs!$F$8-Inputs!$D$8),Inputs!$D$8+SQRT(B421*(Inputs!$F$8-Inputs!$D$8)*(Inputs!$E$8-Inputs!$D$8)),Inputs!$F$8-SQRT((1-B421)*(Inputs!$F$8-Inputs!$D$8)*(Inputs!$F$8-Inputs!$E$8))),0)</f>
        <v>25</v>
      </c>
      <c r="D421" s="81" t="n">
        <f aca="true">RAND()</f>
        <v>0.358229258837701</v>
      </c>
      <c r="E421" s="83" t="n">
        <f aca="false">IF(D421&lt;(Inputs!$E$10-Inputs!$D$10)/(Inputs!$F$10-Inputs!$D$10),Inputs!$D$10+SQRT(D421*(Inputs!$F$10-Inputs!$D$10)*(Inputs!$E$10-Inputs!$D$10)),Inputs!$F$10-SQRT((1-D421)*(Inputs!$F$10-Inputs!$D$10)*(Inputs!$F$10-Inputs!$E$10)))</f>
        <v>0.0612443794476455</v>
      </c>
      <c r="F421" s="81" t="n">
        <f aca="true">RAND()</f>
        <v>0.647997837460112</v>
      </c>
      <c r="G421" s="83" t="n">
        <f aca="false">IF(F421&lt;(Inputs!$E$15-Inputs!$D$15)/(Inputs!$F$15-Inputs!$D$15),Inputs!$D$15+SQRT(F421*(Inputs!$F$15-Inputs!$D$15)*(Inputs!$E$15-Inputs!$D$15)),Inputs!$F$15-SQRT((1-F421)*(Inputs!$F$15-Inputs!$D$15)*(Inputs!$F$15-Inputs!$E$15)))</f>
        <v>0.716095034409174</v>
      </c>
      <c r="H421" s="81" t="n">
        <f aca="true">RAND()</f>
        <v>0.58675023774265</v>
      </c>
      <c r="I421" s="82" t="n">
        <f aca="false">ROUND(IF(H421&lt;(Inputs!$E$17-Inputs!$D$17)/(Inputs!$F$17-Inputs!$D$17),Inputs!$D$17+SQRT(H421*(Inputs!$F$17-Inputs!$D$17)*(Inputs!$E$17-Inputs!$D$17)),Inputs!$F$17-SQRT((1-H421)*(Inputs!$F$17-Inputs!$D$17)*(Inputs!$F$17-Inputs!$E$17))),0)</f>
        <v>107</v>
      </c>
      <c r="J421" s="81" t="n">
        <f aca="true">RAND()</f>
        <v>0.331947109020137</v>
      </c>
      <c r="K421" s="83" t="n">
        <f aca="false">IF(J421&lt;(Inputs!$E$18-Inputs!$D$18)/(Inputs!$F$18-Inputs!$D$18),Inputs!$D$18+SQRT(J421*(Inputs!$F$18-Inputs!$D$18)*(Inputs!$E$18-Inputs!$D$18)),Inputs!$F$18-SQRT((1-J421)*(Inputs!$F$18-Inputs!$D$18)*(Inputs!$F$18-Inputs!$E$18)))</f>
        <v>1.00822608089221</v>
      </c>
      <c r="L421" s="81" t="n">
        <f aca="true">RAND()</f>
        <v>0.216482500571873</v>
      </c>
      <c r="M421" s="83" t="n">
        <f aca="false">IF(L421&lt;(Inputs!$E$24-Inputs!$D$24)/(Inputs!$F$24-Inputs!$D$24),Inputs!$D$24+SQRT(L421*(Inputs!$F$24-Inputs!$D$24)*(Inputs!$E$24-Inputs!$D$24)),Inputs!$F$24-SQRT((1-L421)*(Inputs!$F$24-Inputs!$D$24)*(Inputs!$F$24-Inputs!$E$24)))</f>
        <v>0.761176611419352</v>
      </c>
      <c r="N421" s="81" t="n">
        <f aca="true">RAND()</f>
        <v>0.941296767938855</v>
      </c>
      <c r="O421" s="83" t="n">
        <f aca="false">IF(N421&lt;(Inputs!$E$26-Inputs!$D$26)/(Inputs!$F$26-Inputs!$D$26),Inputs!$D$26+SQRT(N421*(Inputs!$F$26-Inputs!$D$26)*(Inputs!$E$26-Inputs!$D$26)),Inputs!$F$26-SQRT((1-N421)*(Inputs!$F$26-Inputs!$D$26)*(Inputs!$F$26-Inputs!$E$26)))</f>
        <v>0.741864629428414</v>
      </c>
      <c r="P421" s="81" t="n">
        <f aca="true">RAND()</f>
        <v>0.0859789081813906</v>
      </c>
      <c r="Q421" s="82" t="n">
        <f aca="false">IF(P421&lt;(Inputs!$E$27-Inputs!$D$27)/(Inputs!$F$27-Inputs!$D$27),Inputs!$D$27+SQRT(P421*(Inputs!$F$27-Inputs!$D$27)*(Inputs!$E$27-Inputs!$D$27)),Inputs!$F$27-SQRT((1-P421)*(Inputs!$F$27-Inputs!$D$27)*(Inputs!$F$27-Inputs!$E$27)))</f>
        <v>64.6610801257437</v>
      </c>
      <c r="R421" s="81" t="n">
        <f aca="true">RAND()</f>
        <v>0.385698333410912</v>
      </c>
      <c r="S421" s="82" t="n">
        <f aca="false">IF(R421&lt;(Inputs!$E$29-Inputs!$D$29)/(Inputs!$F$29-Inputs!$D$29),Inputs!$D$29+SQRT(R421*(Inputs!$F$29-Inputs!$D$29)*(Inputs!$E$29-Inputs!$D$29)),Inputs!$F$29-SQRT((1-R421)*(Inputs!$F$29-Inputs!$D$29)*(Inputs!$F$29-Inputs!$E$29)))</f>
        <v>6.06360158360308</v>
      </c>
      <c r="T421" s="68" t="n">
        <f aca="false">Inputs!$E$9*(1+E421)+Inputs!$E$5*C421*(Inputs!$E$11*Inputs!$E$14*(G421*I421/Inputs!$E$16+(1-G421))*K421+Inputs!$E$23*M421)*(1+O421)+Inputs!$E$5*(Q421+S421)</f>
        <v>6230.4466032525</v>
      </c>
    </row>
    <row r="422" customFormat="false" ht="15" hidden="false" customHeight="false" outlineLevel="0" collapsed="false">
      <c r="A422" s="1" t="n">
        <v>418</v>
      </c>
      <c r="B422" s="81" t="n">
        <f aca="true">RAND()</f>
        <v>0.219855211282108</v>
      </c>
      <c r="C422" s="82" t="n">
        <f aca="false">ROUND(IF(B422&lt;(Inputs!$E$8-Inputs!$D$8)/(Inputs!$F$8-Inputs!$D$8),Inputs!$D$8+SQRT(B422*(Inputs!$F$8-Inputs!$D$8)*(Inputs!$E$8-Inputs!$D$8)),Inputs!$F$8-SQRT((1-B422)*(Inputs!$F$8-Inputs!$D$8)*(Inputs!$F$8-Inputs!$E$8))),0)</f>
        <v>23</v>
      </c>
      <c r="D422" s="81" t="n">
        <f aca="true">RAND()</f>
        <v>0.216446571477967</v>
      </c>
      <c r="E422" s="83" t="n">
        <f aca="false">IF(D422&lt;(Inputs!$E$10-Inputs!$D$10)/(Inputs!$F$10-Inputs!$D$10),Inputs!$D$10+SQRT(D422*(Inputs!$F$10-Inputs!$D$10)*(Inputs!$E$10-Inputs!$D$10)),Inputs!$F$10-SQRT((1-D422)*(Inputs!$F$10-Inputs!$D$10)*(Inputs!$F$10-Inputs!$E$10)))</f>
        <v>0.0465238187897303</v>
      </c>
      <c r="F422" s="81" t="n">
        <f aca="true">RAND()</f>
        <v>0.312229049326136</v>
      </c>
      <c r="G422" s="83" t="n">
        <f aca="false">IF(F422&lt;(Inputs!$E$15-Inputs!$D$15)/(Inputs!$F$15-Inputs!$D$15),Inputs!$D$15+SQRT(F422*(Inputs!$F$15-Inputs!$D$15)*(Inputs!$E$15-Inputs!$D$15)),Inputs!$F$15-SQRT((1-F422)*(Inputs!$F$15-Inputs!$D$15)*(Inputs!$F$15-Inputs!$E$15)))</f>
        <v>0.679022661221467</v>
      </c>
      <c r="H422" s="81" t="n">
        <f aca="true">RAND()</f>
        <v>0.723073382963123</v>
      </c>
      <c r="I422" s="82" t="n">
        <f aca="false">ROUND(IF(H422&lt;(Inputs!$E$17-Inputs!$D$17)/(Inputs!$F$17-Inputs!$D$17),Inputs!$D$17+SQRT(H422*(Inputs!$F$17-Inputs!$D$17)*(Inputs!$E$17-Inputs!$D$17)),Inputs!$F$17-SQRT((1-H422)*(Inputs!$F$17-Inputs!$D$17)*(Inputs!$F$17-Inputs!$E$17))),0)</f>
        <v>109</v>
      </c>
      <c r="J422" s="81" t="n">
        <f aca="true">RAND()</f>
        <v>0.0284205602938608</v>
      </c>
      <c r="K422" s="83" t="n">
        <f aca="false">IF(J422&lt;(Inputs!$E$18-Inputs!$D$18)/(Inputs!$F$18-Inputs!$D$18),Inputs!$D$18+SQRT(J422*(Inputs!$F$18-Inputs!$D$18)*(Inputs!$E$18-Inputs!$D$18)),Inputs!$F$18-SQRT((1-J422)*(Inputs!$F$18-Inputs!$D$18)*(Inputs!$F$18-Inputs!$E$18)))</f>
        <v>0.931539175802248</v>
      </c>
      <c r="L422" s="81" t="n">
        <f aca="true">RAND()</f>
        <v>0.506924994300934</v>
      </c>
      <c r="M422" s="83" t="n">
        <f aca="false">IF(L422&lt;(Inputs!$E$24-Inputs!$D$24)/(Inputs!$F$24-Inputs!$D$24),Inputs!$D$24+SQRT(L422*(Inputs!$F$24-Inputs!$D$24)*(Inputs!$E$24-Inputs!$D$24)),Inputs!$F$24-SQRT((1-L422)*(Inputs!$F$24-Inputs!$D$24)*(Inputs!$F$24-Inputs!$E$24)))</f>
        <v>0.855997091047509</v>
      </c>
      <c r="N422" s="81" t="n">
        <f aca="true">RAND()</f>
        <v>0.509609221859065</v>
      </c>
      <c r="O422" s="83" t="n">
        <f aca="false">IF(N422&lt;(Inputs!$E$26-Inputs!$D$26)/(Inputs!$F$26-Inputs!$D$26),Inputs!$D$26+SQRT(N422*(Inputs!$F$26-Inputs!$D$26)*(Inputs!$E$26-Inputs!$D$26)),Inputs!$F$26-SQRT((1-N422)*(Inputs!$F$26-Inputs!$D$26)*(Inputs!$F$26-Inputs!$E$26)))</f>
        <v>0.591202634804956</v>
      </c>
      <c r="P422" s="81" t="n">
        <f aca="true">RAND()</f>
        <v>0.478835295797825</v>
      </c>
      <c r="Q422" s="82" t="n">
        <f aca="false">IF(P422&lt;(Inputs!$E$27-Inputs!$D$27)/(Inputs!$F$27-Inputs!$D$27),Inputs!$D$27+SQRT(P422*(Inputs!$F$27-Inputs!$D$27)*(Inputs!$E$27-Inputs!$D$27)),Inputs!$F$27-SQRT((1-P422)*(Inputs!$F$27-Inputs!$D$27)*(Inputs!$F$27-Inputs!$E$27)))</f>
        <v>87.4801209092955</v>
      </c>
      <c r="R422" s="81" t="n">
        <f aca="true">RAND()</f>
        <v>0.0254666018289013</v>
      </c>
      <c r="S422" s="82" t="n">
        <f aca="false">IF(R422&lt;(Inputs!$E$29-Inputs!$D$29)/(Inputs!$F$29-Inputs!$D$29),Inputs!$D$29+SQRT(R422*(Inputs!$F$29-Inputs!$D$29)*(Inputs!$E$29-Inputs!$D$29)),Inputs!$F$29-SQRT((1-R422)*(Inputs!$F$29-Inputs!$D$29)*(Inputs!$F$29-Inputs!$E$29)))</f>
        <v>2.99659293160605</v>
      </c>
      <c r="T422" s="68" t="n">
        <f aca="false">Inputs!$E$9*(1+E422)+Inputs!$E$5*C422*(Inputs!$E$11*Inputs!$E$14*(G422*I422/Inputs!$E$16+(1-G422))*K422+Inputs!$E$23*M422)*(1+O422)+Inputs!$E$5*(Q422+S422)</f>
        <v>5764.7398327862</v>
      </c>
    </row>
    <row r="423" customFormat="false" ht="15" hidden="false" customHeight="false" outlineLevel="0" collapsed="false">
      <c r="A423" s="1" t="n">
        <v>419</v>
      </c>
      <c r="B423" s="81" t="n">
        <f aca="true">RAND()</f>
        <v>0.0675880866197897</v>
      </c>
      <c r="C423" s="82" t="n">
        <f aca="false">ROUND(IF(B423&lt;(Inputs!$E$8-Inputs!$D$8)/(Inputs!$F$8-Inputs!$D$8),Inputs!$D$8+SQRT(B423*(Inputs!$F$8-Inputs!$D$8)*(Inputs!$E$8-Inputs!$D$8)),Inputs!$F$8-SQRT((1-B423)*(Inputs!$F$8-Inputs!$D$8)*(Inputs!$F$8-Inputs!$E$8))),0)</f>
        <v>22</v>
      </c>
      <c r="D423" s="81" t="n">
        <f aca="true">RAND()</f>
        <v>0.278330523619037</v>
      </c>
      <c r="E423" s="83" t="n">
        <f aca="false">IF(D423&lt;(Inputs!$E$10-Inputs!$D$10)/(Inputs!$F$10-Inputs!$D$10),Inputs!$D$10+SQRT(D423*(Inputs!$F$10-Inputs!$D$10)*(Inputs!$E$10-Inputs!$D$10)),Inputs!$F$10-SQRT((1-D423)*(Inputs!$F$10-Inputs!$D$10)*(Inputs!$F$10-Inputs!$E$10)))</f>
        <v>0.0528603238707218</v>
      </c>
      <c r="F423" s="81" t="n">
        <f aca="true">RAND()</f>
        <v>0.297766683095312</v>
      </c>
      <c r="G423" s="83" t="n">
        <f aca="false">IF(F423&lt;(Inputs!$E$15-Inputs!$D$15)/(Inputs!$F$15-Inputs!$D$15),Inputs!$D$15+SQRT(F423*(Inputs!$F$15-Inputs!$D$15)*(Inputs!$E$15-Inputs!$D$15)),Inputs!$F$15-SQRT((1-F423)*(Inputs!$F$15-Inputs!$D$15)*(Inputs!$F$15-Inputs!$E$15)))</f>
        <v>0.677170808353329</v>
      </c>
      <c r="H423" s="81" t="n">
        <f aca="true">RAND()</f>
        <v>0.51790560122357</v>
      </c>
      <c r="I423" s="82" t="n">
        <f aca="false">ROUND(IF(H423&lt;(Inputs!$E$17-Inputs!$D$17)/(Inputs!$F$17-Inputs!$D$17),Inputs!$D$17+SQRT(H423*(Inputs!$F$17-Inputs!$D$17)*(Inputs!$E$17-Inputs!$D$17)),Inputs!$F$17-SQRT((1-H423)*(Inputs!$F$17-Inputs!$D$17)*(Inputs!$F$17-Inputs!$E$17))),0)</f>
        <v>106</v>
      </c>
      <c r="J423" s="81" t="n">
        <f aca="true">RAND()</f>
        <v>0.342463881217124</v>
      </c>
      <c r="K423" s="83" t="n">
        <f aca="false">IF(J423&lt;(Inputs!$E$18-Inputs!$D$18)/(Inputs!$F$18-Inputs!$D$18),Inputs!$D$18+SQRT(J423*(Inputs!$F$18-Inputs!$D$18)*(Inputs!$E$18-Inputs!$D$18)),Inputs!$F$18-SQRT((1-J423)*(Inputs!$F$18-Inputs!$D$18)*(Inputs!$F$18-Inputs!$E$18)))</f>
        <v>1.01013668393541</v>
      </c>
      <c r="L423" s="81" t="n">
        <f aca="true">RAND()</f>
        <v>0.509040817382401</v>
      </c>
      <c r="M423" s="83" t="n">
        <f aca="false">IF(L423&lt;(Inputs!$E$24-Inputs!$D$24)/(Inputs!$F$24-Inputs!$D$24),Inputs!$D$24+SQRT(L423*(Inputs!$F$24-Inputs!$D$24)*(Inputs!$E$24-Inputs!$D$24)),Inputs!$F$24-SQRT((1-L423)*(Inputs!$F$24-Inputs!$D$24)*(Inputs!$F$24-Inputs!$E$24)))</f>
        <v>0.85673595610926</v>
      </c>
      <c r="N423" s="81" t="n">
        <f aca="true">RAND()</f>
        <v>0.452611499870866</v>
      </c>
      <c r="O423" s="83" t="n">
        <f aca="false">IF(N423&lt;(Inputs!$E$26-Inputs!$D$26)/(Inputs!$F$26-Inputs!$D$26),Inputs!$D$26+SQRT(N423*(Inputs!$F$26-Inputs!$D$26)*(Inputs!$E$26-Inputs!$D$26)),Inputs!$F$26-SQRT((1-N423)*(Inputs!$F$26-Inputs!$D$26)*(Inputs!$F$26-Inputs!$E$26)))</f>
        <v>0.57443497149327</v>
      </c>
      <c r="P423" s="81" t="n">
        <f aca="true">RAND()</f>
        <v>0.775770739266685</v>
      </c>
      <c r="Q423" s="82" t="n">
        <f aca="false">IF(P423&lt;(Inputs!$E$27-Inputs!$D$27)/(Inputs!$F$27-Inputs!$D$27),Inputs!$D$27+SQRT(P423*(Inputs!$F$27-Inputs!$D$27)*(Inputs!$E$27-Inputs!$D$27)),Inputs!$F$27-SQRT((1-P423)*(Inputs!$F$27-Inputs!$D$27)*(Inputs!$F$27-Inputs!$E$27)))</f>
        <v>108.991227091025</v>
      </c>
      <c r="R423" s="81" t="n">
        <f aca="true">RAND()</f>
        <v>0.491210656711203</v>
      </c>
      <c r="S423" s="82" t="n">
        <f aca="false">IF(R423&lt;(Inputs!$E$29-Inputs!$D$29)/(Inputs!$F$29-Inputs!$D$29),Inputs!$D$29+SQRT(R423*(Inputs!$F$29-Inputs!$D$29)*(Inputs!$E$29-Inputs!$D$29)),Inputs!$F$29-SQRT((1-R423)*(Inputs!$F$29-Inputs!$D$29)*(Inputs!$F$29-Inputs!$E$29)))</f>
        <v>6.86718900824914</v>
      </c>
      <c r="T423" s="68" t="n">
        <f aca="false">Inputs!$E$9*(1+E423)+Inputs!$E$5*C423*(Inputs!$E$11*Inputs!$E$14*(G423*I423/Inputs!$E$16+(1-G423))*K423+Inputs!$E$23*M423)*(1+O423)+Inputs!$E$5*(Q423+S423)</f>
        <v>5868.92818881413</v>
      </c>
    </row>
    <row r="424" customFormat="false" ht="15" hidden="false" customHeight="false" outlineLevel="0" collapsed="false">
      <c r="A424" s="1" t="n">
        <v>420</v>
      </c>
      <c r="B424" s="81" t="n">
        <f aca="true">RAND()</f>
        <v>0.0543318829617429</v>
      </c>
      <c r="C424" s="82" t="n">
        <f aca="false">ROUND(IF(B424&lt;(Inputs!$E$8-Inputs!$D$8)/(Inputs!$F$8-Inputs!$D$8),Inputs!$D$8+SQRT(B424*(Inputs!$F$8-Inputs!$D$8)*(Inputs!$E$8-Inputs!$D$8)),Inputs!$F$8-SQRT((1-B424)*(Inputs!$F$8-Inputs!$D$8)*(Inputs!$F$8-Inputs!$E$8))),0)</f>
        <v>22</v>
      </c>
      <c r="D424" s="81" t="n">
        <f aca="true">RAND()</f>
        <v>0.863513705918233</v>
      </c>
      <c r="E424" s="83" t="n">
        <f aca="false">IF(D424&lt;(Inputs!$E$10-Inputs!$D$10)/(Inputs!$F$10-Inputs!$D$10),Inputs!$D$10+SQRT(D424*(Inputs!$F$10-Inputs!$D$10)*(Inputs!$E$10-Inputs!$D$10)),Inputs!$F$10-SQRT((1-D424)*(Inputs!$F$10-Inputs!$D$10)*(Inputs!$F$10-Inputs!$E$10)))</f>
        <v>0.136011025774333</v>
      </c>
      <c r="F424" s="81" t="n">
        <f aca="true">RAND()</f>
        <v>0.327139535749766</v>
      </c>
      <c r="G424" s="83" t="n">
        <f aca="false">IF(F424&lt;(Inputs!$E$15-Inputs!$D$15)/(Inputs!$F$15-Inputs!$D$15),Inputs!$D$15+SQRT(F424*(Inputs!$F$15-Inputs!$D$15)*(Inputs!$E$15-Inputs!$D$15)),Inputs!$F$15-SQRT((1-F424)*(Inputs!$F$15-Inputs!$D$15)*(Inputs!$F$15-Inputs!$E$15)))</f>
        <v>0.680887518907402</v>
      </c>
      <c r="H424" s="81" t="n">
        <f aca="true">RAND()</f>
        <v>0.765386228662176</v>
      </c>
      <c r="I424" s="82" t="n">
        <f aca="false">ROUND(IF(H424&lt;(Inputs!$E$17-Inputs!$D$17)/(Inputs!$F$17-Inputs!$D$17),Inputs!$D$17+SQRT(H424*(Inputs!$F$17-Inputs!$D$17)*(Inputs!$E$17-Inputs!$D$17)),Inputs!$F$17-SQRT((1-H424)*(Inputs!$F$17-Inputs!$D$17)*(Inputs!$F$17-Inputs!$E$17))),0)</f>
        <v>109</v>
      </c>
      <c r="J424" s="81" t="n">
        <f aca="true">RAND()</f>
        <v>0.848229428154488</v>
      </c>
      <c r="K424" s="83" t="n">
        <f aca="false">IF(J424&lt;(Inputs!$E$18-Inputs!$D$18)/(Inputs!$F$18-Inputs!$D$18),Inputs!$D$18+SQRT(J424*(Inputs!$F$18-Inputs!$D$18)*(Inputs!$E$18-Inputs!$D$18)),Inputs!$F$18-SQRT((1-J424)*(Inputs!$F$18-Inputs!$D$18)*(Inputs!$F$18-Inputs!$E$18)))</f>
        <v>1.13476144292607</v>
      </c>
      <c r="L424" s="81" t="n">
        <f aca="true">RAND()</f>
        <v>0.121174277020265</v>
      </c>
      <c r="M424" s="83" t="n">
        <f aca="false">IF(L424&lt;(Inputs!$E$24-Inputs!$D$24)/(Inputs!$F$24-Inputs!$D$24),Inputs!$D$24+SQRT(L424*(Inputs!$F$24-Inputs!$D$24)*(Inputs!$E$24-Inputs!$D$24)),Inputs!$F$24-SQRT((1-L424)*(Inputs!$F$24-Inputs!$D$24)*(Inputs!$F$24-Inputs!$E$24)))</f>
        <v>0.720585709113608</v>
      </c>
      <c r="N424" s="81" t="n">
        <f aca="true">RAND()</f>
        <v>0.662603638469512</v>
      </c>
      <c r="O424" s="83" t="n">
        <f aca="false">IF(N424&lt;(Inputs!$E$26-Inputs!$D$26)/(Inputs!$F$26-Inputs!$D$26),Inputs!$D$26+SQRT(N424*(Inputs!$F$26-Inputs!$D$26)*(Inputs!$E$26-Inputs!$D$26)),Inputs!$F$26-SQRT((1-N424)*(Inputs!$F$26-Inputs!$D$26)*(Inputs!$F$26-Inputs!$E$26)))</f>
        <v>0.632678827680449</v>
      </c>
      <c r="P424" s="81" t="n">
        <f aca="true">RAND()</f>
        <v>0.251372951074301</v>
      </c>
      <c r="Q424" s="82" t="n">
        <f aca="false">IF(P424&lt;(Inputs!$E$27-Inputs!$D$27)/(Inputs!$F$27-Inputs!$D$27),Inputs!$D$27+SQRT(P424*(Inputs!$F$27-Inputs!$D$27)*(Inputs!$E$27-Inputs!$D$27)),Inputs!$F$27-SQRT((1-P424)*(Inputs!$F$27-Inputs!$D$27)*(Inputs!$F$27-Inputs!$E$27)))</f>
        <v>75.0686789990811</v>
      </c>
      <c r="R424" s="81" t="n">
        <f aca="true">RAND()</f>
        <v>0.609066945643782</v>
      </c>
      <c r="S424" s="82" t="n">
        <f aca="false">IF(R424&lt;(Inputs!$E$29-Inputs!$D$29)/(Inputs!$F$29-Inputs!$D$29),Inputs!$D$29+SQRT(R424*(Inputs!$F$29-Inputs!$D$29)*(Inputs!$E$29-Inputs!$D$29)),Inputs!$F$29-SQRT((1-R424)*(Inputs!$F$29-Inputs!$D$29)*(Inputs!$F$29-Inputs!$E$29)))</f>
        <v>7.87109425884251</v>
      </c>
      <c r="T424" s="68" t="n">
        <f aca="false">Inputs!$E$9*(1+E424)+Inputs!$E$5*C424*(Inputs!$E$11*Inputs!$E$14*(G424*I424/Inputs!$E$16+(1-G424))*K424+Inputs!$E$23*M424)*(1+O424)+Inputs!$E$5*(Q424+S424)</f>
        <v>6097.63826840035</v>
      </c>
    </row>
    <row r="425" customFormat="false" ht="15" hidden="false" customHeight="false" outlineLevel="0" collapsed="false">
      <c r="A425" s="1" t="n">
        <v>421</v>
      </c>
      <c r="B425" s="81" t="n">
        <f aca="true">RAND()</f>
        <v>0.827555750097447</v>
      </c>
      <c r="C425" s="82" t="n">
        <f aca="false">ROUND(IF(B425&lt;(Inputs!$E$8-Inputs!$D$8)/(Inputs!$F$8-Inputs!$D$8),Inputs!$D$8+SQRT(B425*(Inputs!$F$8-Inputs!$D$8)*(Inputs!$E$8-Inputs!$D$8)),Inputs!$F$8-SQRT((1-B425)*(Inputs!$F$8-Inputs!$D$8)*(Inputs!$F$8-Inputs!$E$8))),0)</f>
        <v>27</v>
      </c>
      <c r="D425" s="81" t="n">
        <f aca="true">RAND()</f>
        <v>0.668176084284443</v>
      </c>
      <c r="E425" s="83" t="n">
        <f aca="false">IF(D425&lt;(Inputs!$E$10-Inputs!$D$10)/(Inputs!$F$10-Inputs!$D$10),Inputs!$D$10+SQRT(D425*(Inputs!$F$10-Inputs!$D$10)*(Inputs!$E$10-Inputs!$D$10)),Inputs!$F$10-SQRT((1-D425)*(Inputs!$F$10-Inputs!$D$10)*(Inputs!$F$10-Inputs!$E$10)))</f>
        <v>0.100226669538064</v>
      </c>
      <c r="F425" s="81" t="n">
        <f aca="true">RAND()</f>
        <v>0.170455592354764</v>
      </c>
      <c r="G425" s="83" t="n">
        <f aca="false">IF(F425&lt;(Inputs!$E$15-Inputs!$D$15)/(Inputs!$F$15-Inputs!$D$15),Inputs!$D$15+SQRT(F425*(Inputs!$F$15-Inputs!$D$15)*(Inputs!$E$15-Inputs!$D$15)),Inputs!$F$15-SQRT((1-F425)*(Inputs!$F$15-Inputs!$D$15)*(Inputs!$F$15-Inputs!$E$15)))</f>
        <v>0.658387600114196</v>
      </c>
      <c r="H425" s="81" t="n">
        <f aca="true">RAND()</f>
        <v>0.350872496165373</v>
      </c>
      <c r="I425" s="82" t="n">
        <f aca="false">ROUND(IF(H425&lt;(Inputs!$E$17-Inputs!$D$17)/(Inputs!$F$17-Inputs!$D$17),Inputs!$D$17+SQRT(H425*(Inputs!$F$17-Inputs!$D$17)*(Inputs!$E$17-Inputs!$D$17)),Inputs!$F$17-SQRT((1-H425)*(Inputs!$F$17-Inputs!$D$17)*(Inputs!$F$17-Inputs!$E$17))),0)</f>
        <v>105</v>
      </c>
      <c r="J425" s="81" t="n">
        <f aca="true">RAND()</f>
        <v>0.897314867196287</v>
      </c>
      <c r="K425" s="83" t="n">
        <f aca="false">IF(J425&lt;(Inputs!$E$18-Inputs!$D$18)/(Inputs!$F$18-Inputs!$D$18),Inputs!$D$18+SQRT(J425*(Inputs!$F$18-Inputs!$D$18)*(Inputs!$E$18-Inputs!$D$18)),Inputs!$F$18-SQRT((1-J425)*(Inputs!$F$18-Inputs!$D$18)*(Inputs!$F$18-Inputs!$E$18)))</f>
        <v>1.15521102848788</v>
      </c>
      <c r="L425" s="81" t="n">
        <f aca="true">RAND()</f>
        <v>0.985942984810484</v>
      </c>
      <c r="M425" s="83" t="n">
        <f aca="false">IF(L425&lt;(Inputs!$E$24-Inputs!$D$24)/(Inputs!$F$24-Inputs!$D$24),Inputs!$D$24+SQRT(L425*(Inputs!$F$24-Inputs!$D$24)*(Inputs!$E$24-Inputs!$D$24)),Inputs!$F$24-SQRT((1-L425)*(Inputs!$F$24-Inputs!$D$24)*(Inputs!$F$24-Inputs!$E$24)))</f>
        <v>1.14191658028762</v>
      </c>
      <c r="N425" s="81" t="n">
        <f aca="true">RAND()</f>
        <v>0.239495808872679</v>
      </c>
      <c r="O425" s="83" t="n">
        <f aca="false">IF(N425&lt;(Inputs!$E$26-Inputs!$D$26)/(Inputs!$F$26-Inputs!$D$26),Inputs!$D$26+SQRT(N425*(Inputs!$F$26-Inputs!$D$26)*(Inputs!$E$26-Inputs!$D$26)),Inputs!$F$26-SQRT((1-N425)*(Inputs!$F$26-Inputs!$D$26)*(Inputs!$F$26-Inputs!$E$26)))</f>
        <v>0.499629914082068</v>
      </c>
      <c r="P425" s="81" t="n">
        <f aca="true">RAND()</f>
        <v>0.963254078043634</v>
      </c>
      <c r="Q425" s="82" t="n">
        <f aca="false">IF(P425&lt;(Inputs!$E$27-Inputs!$D$27)/(Inputs!$F$27-Inputs!$D$27),Inputs!$D$27+SQRT(P425*(Inputs!$F$27-Inputs!$D$27)*(Inputs!$E$27-Inputs!$D$27)),Inputs!$F$27-SQRT((1-P425)*(Inputs!$F$27-Inputs!$D$27)*(Inputs!$F$27-Inputs!$E$27)))</f>
        <v>133.398963445834</v>
      </c>
      <c r="R425" s="81" t="n">
        <f aca="true">RAND()</f>
        <v>0.644811502851712</v>
      </c>
      <c r="S425" s="82" t="n">
        <f aca="false">IF(R425&lt;(Inputs!$E$29-Inputs!$D$29)/(Inputs!$F$29-Inputs!$D$29),Inputs!$D$29+SQRT(R425*(Inputs!$F$29-Inputs!$D$29)*(Inputs!$E$29-Inputs!$D$29)),Inputs!$F$29-SQRT((1-R425)*(Inputs!$F$29-Inputs!$D$29)*(Inputs!$F$29-Inputs!$E$29)))</f>
        <v>8.20481754260583</v>
      </c>
      <c r="T425" s="68" t="n">
        <f aca="false">Inputs!$E$9*(1+E425)+Inputs!$E$5*C425*(Inputs!$E$11*Inputs!$E$14*(G425*I425/Inputs!$E$16+(1-G425))*K425+Inputs!$E$23*M425)*(1+O425)+Inputs!$E$5*(Q425+S425)</f>
        <v>7353.54583980841</v>
      </c>
    </row>
    <row r="426" customFormat="false" ht="15" hidden="false" customHeight="false" outlineLevel="0" collapsed="false">
      <c r="A426" s="1" t="n">
        <v>422</v>
      </c>
      <c r="B426" s="81" t="n">
        <f aca="true">RAND()</f>
        <v>0.875230431506308</v>
      </c>
      <c r="C426" s="82" t="n">
        <f aca="false">ROUND(IF(B426&lt;(Inputs!$E$8-Inputs!$D$8)/(Inputs!$F$8-Inputs!$D$8),Inputs!$D$8+SQRT(B426*(Inputs!$F$8-Inputs!$D$8)*(Inputs!$E$8-Inputs!$D$8)),Inputs!$F$8-SQRT((1-B426)*(Inputs!$F$8-Inputs!$D$8)*(Inputs!$F$8-Inputs!$E$8))),0)</f>
        <v>28</v>
      </c>
      <c r="D426" s="81" t="n">
        <f aca="true">RAND()</f>
        <v>0.675490958335114</v>
      </c>
      <c r="E426" s="83" t="n">
        <f aca="false">IF(D426&lt;(Inputs!$E$10-Inputs!$D$10)/(Inputs!$F$10-Inputs!$D$10),Inputs!$D$10+SQRT(D426*(Inputs!$F$10-Inputs!$D$10)*(Inputs!$E$10-Inputs!$D$10)),Inputs!$F$10-SQRT((1-D426)*(Inputs!$F$10-Inputs!$D$10)*(Inputs!$F$10-Inputs!$E$10)))</f>
        <v>0.101332521822302</v>
      </c>
      <c r="F426" s="81" t="n">
        <f aca="true">RAND()</f>
        <v>0.0499632778296693</v>
      </c>
      <c r="G426" s="83" t="n">
        <f aca="false">IF(F426&lt;(Inputs!$E$15-Inputs!$D$15)/(Inputs!$F$15-Inputs!$D$15),Inputs!$D$15+SQRT(F426*(Inputs!$F$15-Inputs!$D$15)*(Inputs!$E$15-Inputs!$D$15)),Inputs!$F$15-SQRT((1-F426)*(Inputs!$F$15-Inputs!$D$15)*(Inputs!$F$15-Inputs!$E$15)))</f>
        <v>0.63161116189882</v>
      </c>
      <c r="H426" s="81" t="n">
        <f aca="true">RAND()</f>
        <v>0.207514050507701</v>
      </c>
      <c r="I426" s="82" t="n">
        <f aca="false">ROUND(IF(H426&lt;(Inputs!$E$17-Inputs!$D$17)/(Inputs!$F$17-Inputs!$D$17),Inputs!$D$17+SQRT(H426*(Inputs!$F$17-Inputs!$D$17)*(Inputs!$E$17-Inputs!$D$17)),Inputs!$F$17-SQRT((1-H426)*(Inputs!$F$17-Inputs!$D$17)*(Inputs!$F$17-Inputs!$E$17))),0)</f>
        <v>104</v>
      </c>
      <c r="J426" s="81" t="n">
        <f aca="true">RAND()</f>
        <v>0.913041538449689</v>
      </c>
      <c r="K426" s="83" t="n">
        <f aca="false">IF(J426&lt;(Inputs!$E$18-Inputs!$D$18)/(Inputs!$F$18-Inputs!$D$18),Inputs!$D$18+SQRT(J426*(Inputs!$F$18-Inputs!$D$18)*(Inputs!$E$18-Inputs!$D$18)),Inputs!$F$18-SQRT((1-J426)*(Inputs!$F$18-Inputs!$D$18)*(Inputs!$F$18-Inputs!$E$18)))</f>
        <v>1.16277118947474</v>
      </c>
      <c r="L426" s="81" t="n">
        <f aca="true">RAND()</f>
        <v>0.881190497808993</v>
      </c>
      <c r="M426" s="83" t="n">
        <f aca="false">IF(L426&lt;(Inputs!$E$24-Inputs!$D$24)/(Inputs!$F$24-Inputs!$D$24),Inputs!$D$24+SQRT(L426*(Inputs!$F$24-Inputs!$D$24)*(Inputs!$E$24-Inputs!$D$24)),Inputs!$F$24-SQRT((1-L426)*(Inputs!$F$24-Inputs!$D$24)*(Inputs!$F$24-Inputs!$E$24)))</f>
        <v>1.03113827986828</v>
      </c>
      <c r="N426" s="81" t="n">
        <f aca="true">RAND()</f>
        <v>0.791875992541173</v>
      </c>
      <c r="O426" s="83" t="n">
        <f aca="false">IF(N426&lt;(Inputs!$E$26-Inputs!$D$26)/(Inputs!$F$26-Inputs!$D$26),Inputs!$D$26+SQRT(N426*(Inputs!$F$26-Inputs!$D$26)*(Inputs!$E$26-Inputs!$D$26)),Inputs!$F$26-SQRT((1-N426)*(Inputs!$F$26-Inputs!$D$26)*(Inputs!$F$26-Inputs!$E$26)))</f>
        <v>0.672877952788448</v>
      </c>
      <c r="P426" s="81" t="n">
        <f aca="true">RAND()</f>
        <v>0.942960442226813</v>
      </c>
      <c r="Q426" s="82" t="n">
        <f aca="false">IF(P426&lt;(Inputs!$E$27-Inputs!$D$27)/(Inputs!$F$27-Inputs!$D$27),Inputs!$D$27+SQRT(P426*(Inputs!$F$27-Inputs!$D$27)*(Inputs!$E$27-Inputs!$D$27)),Inputs!$F$27-SQRT((1-P426)*(Inputs!$F$27-Inputs!$D$27)*(Inputs!$F$27-Inputs!$E$27)))</f>
        <v>129.316753559973</v>
      </c>
      <c r="R426" s="81" t="n">
        <f aca="true">RAND()</f>
        <v>0.843416667789826</v>
      </c>
      <c r="S426" s="82" t="n">
        <f aca="false">IF(R426&lt;(Inputs!$E$29-Inputs!$D$29)/(Inputs!$F$29-Inputs!$D$29),Inputs!$D$29+SQRT(R426*(Inputs!$F$29-Inputs!$D$29)*(Inputs!$E$29-Inputs!$D$29)),Inputs!$F$29-SQRT((1-R426)*(Inputs!$F$29-Inputs!$D$29)*(Inputs!$F$29-Inputs!$E$29)))</f>
        <v>10.4882560813669</v>
      </c>
      <c r="T426" s="68" t="n">
        <f aca="false">Inputs!$E$9*(1+E426)+Inputs!$E$5*C426*(Inputs!$E$11*Inputs!$E$14*(G426*I426/Inputs!$E$16+(1-G426))*K426+Inputs!$E$23*M426)*(1+O426)+Inputs!$E$5*(Q426+S426)</f>
        <v>7878.4128798256</v>
      </c>
    </row>
    <row r="427" customFormat="false" ht="15" hidden="false" customHeight="false" outlineLevel="0" collapsed="false">
      <c r="A427" s="1" t="n">
        <v>423</v>
      </c>
      <c r="B427" s="81" t="n">
        <f aca="true">RAND()</f>
        <v>0.310346569377356</v>
      </c>
      <c r="C427" s="82" t="n">
        <f aca="false">ROUND(IF(B427&lt;(Inputs!$E$8-Inputs!$D$8)/(Inputs!$F$8-Inputs!$D$8),Inputs!$D$8+SQRT(B427*(Inputs!$F$8-Inputs!$D$8)*(Inputs!$E$8-Inputs!$D$8)),Inputs!$F$8-SQRT((1-B427)*(Inputs!$F$8-Inputs!$D$8)*(Inputs!$F$8-Inputs!$E$8))),0)</f>
        <v>24</v>
      </c>
      <c r="D427" s="81" t="n">
        <f aca="true">RAND()</f>
        <v>0.188742169853996</v>
      </c>
      <c r="E427" s="83" t="n">
        <f aca="false">IF(D427&lt;(Inputs!$E$10-Inputs!$D$10)/(Inputs!$F$10-Inputs!$D$10),Inputs!$D$10+SQRT(D427*(Inputs!$F$10-Inputs!$D$10)*(Inputs!$E$10-Inputs!$D$10)),Inputs!$F$10-SQRT((1-D427)*(Inputs!$F$10-Inputs!$D$10)*(Inputs!$F$10-Inputs!$E$10)))</f>
        <v>0.0434444668345689</v>
      </c>
      <c r="F427" s="81" t="n">
        <f aca="true">RAND()</f>
        <v>0.112181848827376</v>
      </c>
      <c r="G427" s="83" t="n">
        <f aca="false">IF(F427&lt;(Inputs!$E$15-Inputs!$D$15)/(Inputs!$F$15-Inputs!$D$15),Inputs!$D$15+SQRT(F427*(Inputs!$F$15-Inputs!$D$15)*(Inputs!$E$15-Inputs!$D$15)),Inputs!$F$15-SQRT((1-F427)*(Inputs!$F$15-Inputs!$D$15)*(Inputs!$F$15-Inputs!$E$15)))</f>
        <v>0.647367045258782</v>
      </c>
      <c r="H427" s="81" t="n">
        <f aca="true">RAND()</f>
        <v>0.646469865596355</v>
      </c>
      <c r="I427" s="82" t="n">
        <f aca="false">ROUND(IF(H427&lt;(Inputs!$E$17-Inputs!$D$17)/(Inputs!$F$17-Inputs!$D$17),Inputs!$D$17+SQRT(H427*(Inputs!$F$17-Inputs!$D$17)*(Inputs!$E$17-Inputs!$D$17)),Inputs!$F$17-SQRT((1-H427)*(Inputs!$F$17-Inputs!$D$17)*(Inputs!$F$17-Inputs!$E$17))),0)</f>
        <v>108</v>
      </c>
      <c r="J427" s="81" t="n">
        <f aca="true">RAND()</f>
        <v>0.300471374963395</v>
      </c>
      <c r="K427" s="83" t="n">
        <f aca="false">IF(J427&lt;(Inputs!$E$18-Inputs!$D$18)/(Inputs!$F$18-Inputs!$D$18),Inputs!$D$18+SQRT(J427*(Inputs!$F$18-Inputs!$D$18)*(Inputs!$E$18-Inputs!$D$18)),Inputs!$F$18-SQRT((1-J427)*(Inputs!$F$18-Inputs!$D$18)*(Inputs!$F$18-Inputs!$E$18)))</f>
        <v>1.00259596872585</v>
      </c>
      <c r="L427" s="81" t="n">
        <f aca="true">RAND()</f>
        <v>0.734839798362078</v>
      </c>
      <c r="M427" s="83" t="n">
        <f aca="false">IF(L427&lt;(Inputs!$E$24-Inputs!$D$24)/(Inputs!$F$24-Inputs!$D$24),Inputs!$D$24+SQRT(L427*(Inputs!$F$24-Inputs!$D$24)*(Inputs!$E$24-Inputs!$D$24)),Inputs!$F$24-SQRT((1-L427)*(Inputs!$F$24-Inputs!$D$24)*(Inputs!$F$24-Inputs!$E$24)))</f>
        <v>0.947733378361105</v>
      </c>
      <c r="N427" s="81" t="n">
        <f aca="true">RAND()</f>
        <v>0.504088316544777</v>
      </c>
      <c r="O427" s="83" t="n">
        <f aca="false">IF(N427&lt;(Inputs!$E$26-Inputs!$D$26)/(Inputs!$F$26-Inputs!$D$26),Inputs!$D$26+SQRT(N427*(Inputs!$F$26-Inputs!$D$26)*(Inputs!$E$26-Inputs!$D$26)),Inputs!$F$26-SQRT((1-N427)*(Inputs!$F$26-Inputs!$D$26)*(Inputs!$F$26-Inputs!$E$26)))</f>
        <v>0.589620952061571</v>
      </c>
      <c r="P427" s="81" t="n">
        <f aca="true">RAND()</f>
        <v>0.383029024280755</v>
      </c>
      <c r="Q427" s="82" t="n">
        <f aca="false">IF(P427&lt;(Inputs!$E$27-Inputs!$D$27)/(Inputs!$F$27-Inputs!$D$27),Inputs!$D$27+SQRT(P427*(Inputs!$F$27-Inputs!$D$27)*(Inputs!$E$27-Inputs!$D$27)),Inputs!$F$27-SQRT((1-P427)*(Inputs!$F$27-Inputs!$D$27)*(Inputs!$F$27-Inputs!$E$27)))</f>
        <v>81.9758695910463</v>
      </c>
      <c r="R427" s="81" t="n">
        <f aca="true">RAND()</f>
        <v>0.432416473575749</v>
      </c>
      <c r="S427" s="82" t="n">
        <f aca="false">IF(R427&lt;(Inputs!$E$29-Inputs!$D$29)/(Inputs!$F$29-Inputs!$D$29),Inputs!$D$29+SQRT(R427*(Inputs!$F$29-Inputs!$D$29)*(Inputs!$E$29-Inputs!$D$29)),Inputs!$F$29-SQRT((1-R427)*(Inputs!$F$29-Inputs!$D$29)*(Inputs!$F$29-Inputs!$E$29)))</f>
        <v>6.41013047624397</v>
      </c>
      <c r="T427" s="68" t="n">
        <f aca="false">Inputs!$E$9*(1+E427)+Inputs!$E$5*C427*(Inputs!$E$11*Inputs!$E$14*(G427*I427/Inputs!$E$16+(1-G427))*K427+Inputs!$E$23*M427)*(1+O427)+Inputs!$E$5*(Q427+S427)</f>
        <v>6178.56766878101</v>
      </c>
    </row>
    <row r="428" customFormat="false" ht="15" hidden="false" customHeight="false" outlineLevel="0" collapsed="false">
      <c r="A428" s="1" t="n">
        <v>424</v>
      </c>
      <c r="B428" s="81" t="n">
        <f aca="true">RAND()</f>
        <v>0.496439836000052</v>
      </c>
      <c r="C428" s="82" t="n">
        <f aca="false">ROUND(IF(B428&lt;(Inputs!$E$8-Inputs!$D$8)/(Inputs!$F$8-Inputs!$D$8),Inputs!$D$8+SQRT(B428*(Inputs!$F$8-Inputs!$D$8)*(Inputs!$E$8-Inputs!$D$8)),Inputs!$F$8-SQRT((1-B428)*(Inputs!$F$8-Inputs!$D$8)*(Inputs!$F$8-Inputs!$E$8))),0)</f>
        <v>25</v>
      </c>
      <c r="D428" s="81" t="n">
        <f aca="true">RAND()</f>
        <v>0.868216478737125</v>
      </c>
      <c r="E428" s="83" t="n">
        <f aca="false">IF(D428&lt;(Inputs!$E$10-Inputs!$D$10)/(Inputs!$F$10-Inputs!$D$10),Inputs!$D$10+SQRT(D428*(Inputs!$F$10-Inputs!$D$10)*(Inputs!$E$10-Inputs!$D$10)),Inputs!$F$10-SQRT((1-D428)*(Inputs!$F$10-Inputs!$D$10)*(Inputs!$F$10-Inputs!$E$10)))</f>
        <v>0.137123091377786</v>
      </c>
      <c r="F428" s="81" t="n">
        <f aca="true">RAND()</f>
        <v>0.729340668147522</v>
      </c>
      <c r="G428" s="83" t="n">
        <f aca="false">IF(F428&lt;(Inputs!$E$15-Inputs!$D$15)/(Inputs!$F$15-Inputs!$D$15),Inputs!$D$15+SQRT(F428*(Inputs!$F$15-Inputs!$D$15)*(Inputs!$E$15-Inputs!$D$15)),Inputs!$F$15-SQRT((1-F428)*(Inputs!$F$15-Inputs!$D$15)*(Inputs!$F$15-Inputs!$E$15)))</f>
        <v>0.726425638724828</v>
      </c>
      <c r="H428" s="81" t="n">
        <f aca="true">RAND()</f>
        <v>0.422443911852561</v>
      </c>
      <c r="I428" s="82" t="n">
        <f aca="false">ROUND(IF(H428&lt;(Inputs!$E$17-Inputs!$D$17)/(Inputs!$F$17-Inputs!$D$17),Inputs!$D$17+SQRT(H428*(Inputs!$F$17-Inputs!$D$17)*(Inputs!$E$17-Inputs!$D$17)),Inputs!$F$17-SQRT((1-H428)*(Inputs!$F$17-Inputs!$D$17)*(Inputs!$F$17-Inputs!$E$17))),0)</f>
        <v>106</v>
      </c>
      <c r="J428" s="81" t="n">
        <f aca="true">RAND()</f>
        <v>0.526896973910962</v>
      </c>
      <c r="K428" s="83" t="n">
        <f aca="false">IF(J428&lt;(Inputs!$E$18-Inputs!$D$18)/(Inputs!$F$18-Inputs!$D$18),Inputs!$D$18+SQRT(J428*(Inputs!$F$18-Inputs!$D$18)*(Inputs!$E$18-Inputs!$D$18)),Inputs!$F$18-SQRT((1-J428)*(Inputs!$F$18-Inputs!$D$18)*(Inputs!$F$18-Inputs!$E$18)))</f>
        <v>1.04653866514055</v>
      </c>
      <c r="L428" s="81" t="n">
        <f aca="true">RAND()</f>
        <v>0.662115266875264</v>
      </c>
      <c r="M428" s="83" t="n">
        <f aca="false">IF(L428&lt;(Inputs!$E$24-Inputs!$D$24)/(Inputs!$F$24-Inputs!$D$24),Inputs!$D$24+SQRT(L428*(Inputs!$F$24-Inputs!$D$24)*(Inputs!$E$24-Inputs!$D$24)),Inputs!$F$24-SQRT((1-L428)*(Inputs!$F$24-Inputs!$D$24)*(Inputs!$F$24-Inputs!$E$24)))</f>
        <v>0.915232839059809</v>
      </c>
      <c r="N428" s="81" t="n">
        <f aca="true">RAND()</f>
        <v>0.164381992190108</v>
      </c>
      <c r="O428" s="83" t="n">
        <f aca="false">IF(N428&lt;(Inputs!$E$26-Inputs!$D$26)/(Inputs!$F$26-Inputs!$D$26),Inputs!$D$26+SQRT(N428*(Inputs!$F$26-Inputs!$D$26)*(Inputs!$E$26-Inputs!$D$26)),Inputs!$F$26-SQRT((1-N428)*(Inputs!$F$26-Inputs!$D$26)*(Inputs!$F$26-Inputs!$E$26)))</f>
        <v>0.465387918242035</v>
      </c>
      <c r="P428" s="81" t="n">
        <f aca="true">RAND()</f>
        <v>0.280520903452829</v>
      </c>
      <c r="Q428" s="82" t="n">
        <f aca="false">IF(P428&lt;(Inputs!$E$27-Inputs!$D$27)/(Inputs!$F$27-Inputs!$D$27),Inputs!$D$27+SQRT(P428*(Inputs!$F$27-Inputs!$D$27)*(Inputs!$E$27-Inputs!$D$27)),Inputs!$F$27-SQRT((1-P428)*(Inputs!$F$27-Inputs!$D$27)*(Inputs!$F$27-Inputs!$E$27)))</f>
        <v>76.5418947691694</v>
      </c>
      <c r="R428" s="81" t="n">
        <f aca="true">RAND()</f>
        <v>0.364671881951491</v>
      </c>
      <c r="S428" s="82" t="n">
        <f aca="false">IF(R428&lt;(Inputs!$E$29-Inputs!$D$29)/(Inputs!$F$29-Inputs!$D$29),Inputs!$D$29+SQRT(R428*(Inputs!$F$29-Inputs!$D$29)*(Inputs!$E$29-Inputs!$D$29)),Inputs!$F$29-SQRT((1-R428)*(Inputs!$F$29-Inputs!$D$29)*(Inputs!$F$29-Inputs!$E$29)))</f>
        <v>5.91194986004665</v>
      </c>
      <c r="T428" s="68" t="n">
        <f aca="false">Inputs!$E$9*(1+E428)+Inputs!$E$5*C428*(Inputs!$E$11*Inputs!$E$14*(G428*I428/Inputs!$E$16+(1-G428))*K428+Inputs!$E$23*M428)*(1+O428)+Inputs!$E$5*(Q428+S428)</f>
        <v>6146.02234833582</v>
      </c>
    </row>
    <row r="429" customFormat="false" ht="15" hidden="false" customHeight="false" outlineLevel="0" collapsed="false">
      <c r="A429" s="1" t="n">
        <v>425</v>
      </c>
      <c r="B429" s="81" t="n">
        <f aca="true">RAND()</f>
        <v>0.914689266373185</v>
      </c>
      <c r="C429" s="82" t="n">
        <f aca="false">ROUND(IF(B429&lt;(Inputs!$E$8-Inputs!$D$8)/(Inputs!$F$8-Inputs!$D$8),Inputs!$D$8+SQRT(B429*(Inputs!$F$8-Inputs!$D$8)*(Inputs!$E$8-Inputs!$D$8)),Inputs!$F$8-SQRT((1-B429)*(Inputs!$F$8-Inputs!$D$8)*(Inputs!$F$8-Inputs!$E$8))),0)</f>
        <v>28</v>
      </c>
      <c r="D429" s="81" t="n">
        <f aca="true">RAND()</f>
        <v>0.861951791837265</v>
      </c>
      <c r="E429" s="83" t="n">
        <f aca="false">IF(D429&lt;(Inputs!$E$10-Inputs!$D$10)/(Inputs!$F$10-Inputs!$D$10),Inputs!$D$10+SQRT(D429*(Inputs!$F$10-Inputs!$D$10)*(Inputs!$E$10-Inputs!$D$10)),Inputs!$F$10-SQRT((1-D429)*(Inputs!$F$10-Inputs!$D$10)*(Inputs!$F$10-Inputs!$E$10)))</f>
        <v>0.135645930626867</v>
      </c>
      <c r="F429" s="81" t="n">
        <f aca="true">RAND()</f>
        <v>0.546043683686962</v>
      </c>
      <c r="G429" s="83" t="n">
        <f aca="false">IF(F429&lt;(Inputs!$E$15-Inputs!$D$15)/(Inputs!$F$15-Inputs!$D$15),Inputs!$D$15+SQRT(F429*(Inputs!$F$15-Inputs!$D$15)*(Inputs!$E$15-Inputs!$D$15)),Inputs!$F$15-SQRT((1-F429)*(Inputs!$F$15-Inputs!$D$15)*(Inputs!$F$15-Inputs!$E$15)))</f>
        <v>0.704715550448876</v>
      </c>
      <c r="H429" s="81" t="n">
        <f aca="true">RAND()</f>
        <v>0.920755715219923</v>
      </c>
      <c r="I429" s="82" t="n">
        <f aca="false">ROUND(IF(H429&lt;(Inputs!$E$17-Inputs!$D$17)/(Inputs!$F$17-Inputs!$D$17),Inputs!$D$17+SQRT(H429*(Inputs!$F$17-Inputs!$D$17)*(Inputs!$E$17-Inputs!$D$17)),Inputs!$F$17-SQRT((1-H429)*(Inputs!$F$17-Inputs!$D$17)*(Inputs!$F$17-Inputs!$E$17))),0)</f>
        <v>112</v>
      </c>
      <c r="J429" s="81" t="n">
        <f aca="true">RAND()</f>
        <v>0.94991933684944</v>
      </c>
      <c r="K429" s="83" t="n">
        <f aca="false">IF(J429&lt;(Inputs!$E$18-Inputs!$D$18)/(Inputs!$F$18-Inputs!$D$18),Inputs!$D$18+SQRT(J429*(Inputs!$F$18-Inputs!$D$18)*(Inputs!$E$18-Inputs!$D$18)),Inputs!$F$18-SQRT((1-J429)*(Inputs!$F$18-Inputs!$D$18)*(Inputs!$F$18-Inputs!$E$18)))</f>
        <v>1.18380288506533</v>
      </c>
      <c r="L429" s="81" t="n">
        <f aca="true">RAND()</f>
        <v>0.114899087768774</v>
      </c>
      <c r="M429" s="83" t="n">
        <f aca="false">IF(L429&lt;(Inputs!$E$24-Inputs!$D$24)/(Inputs!$F$24-Inputs!$D$24),Inputs!$D$24+SQRT(L429*(Inputs!$F$24-Inputs!$D$24)*(Inputs!$E$24-Inputs!$D$24)),Inputs!$F$24-SQRT((1-L429)*(Inputs!$F$24-Inputs!$D$24)*(Inputs!$F$24-Inputs!$E$24)))</f>
        <v>0.717421848615379</v>
      </c>
      <c r="N429" s="81" t="n">
        <f aca="true">RAND()</f>
        <v>0.397429337162898</v>
      </c>
      <c r="O429" s="83" t="n">
        <f aca="false">IF(N429&lt;(Inputs!$E$26-Inputs!$D$26)/(Inputs!$F$26-Inputs!$D$26),Inputs!$D$26+SQRT(N429*(Inputs!$F$26-Inputs!$D$26)*(Inputs!$E$26-Inputs!$D$26)),Inputs!$F$26-SQRT((1-N429)*(Inputs!$F$26-Inputs!$D$26)*(Inputs!$F$26-Inputs!$E$26)))</f>
        <v>0.557161897846291</v>
      </c>
      <c r="P429" s="81" t="n">
        <f aca="true">RAND()</f>
        <v>0.422632320916364</v>
      </c>
      <c r="Q429" s="82" t="n">
        <f aca="false">IF(P429&lt;(Inputs!$E$27-Inputs!$D$27)/(Inputs!$F$27-Inputs!$D$27),Inputs!$D$27+SQRT(P429*(Inputs!$F$27-Inputs!$D$27)*(Inputs!$E$27-Inputs!$D$27)),Inputs!$F$27-SQRT((1-P429)*(Inputs!$F$27-Inputs!$D$27)*(Inputs!$F$27-Inputs!$E$27)))</f>
        <v>84.1953072104483</v>
      </c>
      <c r="R429" s="81" t="n">
        <f aca="true">RAND()</f>
        <v>0.909417104261189</v>
      </c>
      <c r="S429" s="82" t="n">
        <f aca="false">IF(R429&lt;(Inputs!$E$29-Inputs!$D$29)/(Inputs!$F$29-Inputs!$D$29),Inputs!$D$29+SQRT(R429*(Inputs!$F$29-Inputs!$D$29)*(Inputs!$E$29-Inputs!$D$29)),Inputs!$F$29-SQRT((1-R429)*(Inputs!$F$29-Inputs!$D$29)*(Inputs!$F$29-Inputs!$E$29)))</f>
        <v>11.568414878508</v>
      </c>
      <c r="T429" s="68" t="n">
        <f aca="false">Inputs!$E$9*(1+E429)+Inputs!$E$5*C429*(Inputs!$E$11*Inputs!$E$14*(G429*I429/Inputs!$E$16+(1-G429))*K429+Inputs!$E$23*M429)*(1+O429)+Inputs!$E$5*(Q429+S429)</f>
        <v>6962.0285066482</v>
      </c>
    </row>
    <row r="430" customFormat="false" ht="15" hidden="false" customHeight="false" outlineLevel="0" collapsed="false">
      <c r="A430" s="1" t="n">
        <v>426</v>
      </c>
      <c r="B430" s="81" t="n">
        <f aca="true">RAND()</f>
        <v>0.269549794743896</v>
      </c>
      <c r="C430" s="82" t="n">
        <f aca="false">ROUND(IF(B430&lt;(Inputs!$E$8-Inputs!$D$8)/(Inputs!$F$8-Inputs!$D$8),Inputs!$D$8+SQRT(B430*(Inputs!$F$8-Inputs!$D$8)*(Inputs!$E$8-Inputs!$D$8)),Inputs!$F$8-SQRT((1-B430)*(Inputs!$F$8-Inputs!$D$8)*(Inputs!$F$8-Inputs!$E$8))),0)</f>
        <v>24</v>
      </c>
      <c r="D430" s="81" t="n">
        <f aca="true">RAND()</f>
        <v>0.672879349994913</v>
      </c>
      <c r="E430" s="83" t="n">
        <f aca="false">IF(D430&lt;(Inputs!$E$10-Inputs!$D$10)/(Inputs!$F$10-Inputs!$D$10),Inputs!$D$10+SQRT(D430*(Inputs!$F$10-Inputs!$D$10)*(Inputs!$E$10-Inputs!$D$10)),Inputs!$F$10-SQRT((1-D430)*(Inputs!$F$10-Inputs!$D$10)*(Inputs!$F$10-Inputs!$E$10)))</f>
        <v>0.10093628565336</v>
      </c>
      <c r="F430" s="81" t="n">
        <f aca="true">RAND()</f>
        <v>0.428577769605352</v>
      </c>
      <c r="G430" s="83" t="n">
        <f aca="false">IF(F430&lt;(Inputs!$E$15-Inputs!$D$15)/(Inputs!$F$15-Inputs!$D$15),Inputs!$D$15+SQRT(F430*(Inputs!$F$15-Inputs!$D$15)*(Inputs!$E$15-Inputs!$D$15)),Inputs!$F$15-SQRT((1-F430)*(Inputs!$F$15-Inputs!$D$15)*(Inputs!$F$15-Inputs!$E$15)))</f>
        <v>0.692582694884665</v>
      </c>
      <c r="H430" s="81" t="n">
        <f aca="true">RAND()</f>
        <v>0.164539266773226</v>
      </c>
      <c r="I430" s="82" t="n">
        <f aca="false">ROUND(IF(H430&lt;(Inputs!$E$17-Inputs!$D$17)/(Inputs!$F$17-Inputs!$D$17),Inputs!$D$17+SQRT(H430*(Inputs!$F$17-Inputs!$D$17)*(Inputs!$E$17-Inputs!$D$17)),Inputs!$F$17-SQRT((1-H430)*(Inputs!$F$17-Inputs!$D$17)*(Inputs!$F$17-Inputs!$E$17))),0)</f>
        <v>104</v>
      </c>
      <c r="J430" s="81" t="n">
        <f aca="true">RAND()</f>
        <v>0.384621651112519</v>
      </c>
      <c r="K430" s="83" t="n">
        <f aca="false">IF(J430&lt;(Inputs!$E$18-Inputs!$D$18)/(Inputs!$F$18-Inputs!$D$18),Inputs!$D$18+SQRT(J430*(Inputs!$F$18-Inputs!$D$18)*(Inputs!$E$18-Inputs!$D$18)),Inputs!$F$18-SQRT((1-J430)*(Inputs!$F$18-Inputs!$D$18)*(Inputs!$F$18-Inputs!$E$18)))</f>
        <v>1.01795344103466</v>
      </c>
      <c r="L430" s="81" t="n">
        <f aca="true">RAND()</f>
        <v>0.134223445765684</v>
      </c>
      <c r="M430" s="83" t="n">
        <f aca="false">IF(L430&lt;(Inputs!$E$24-Inputs!$D$24)/(Inputs!$F$24-Inputs!$D$24),Inputs!$D$24+SQRT(L430*(Inputs!$F$24-Inputs!$D$24)*(Inputs!$E$24-Inputs!$D$24)),Inputs!$F$24-SQRT((1-L430)*(Inputs!$F$24-Inputs!$D$24)*(Inputs!$F$24-Inputs!$E$24)))</f>
        <v>0.726912621483768</v>
      </c>
      <c r="N430" s="81" t="n">
        <f aca="true">RAND()</f>
        <v>0.0248721609614373</v>
      </c>
      <c r="O430" s="83" t="n">
        <f aca="false">IF(N430&lt;(Inputs!$E$26-Inputs!$D$26)/(Inputs!$F$26-Inputs!$D$26),Inputs!$D$26+SQRT(N430*(Inputs!$F$26-Inputs!$D$26)*(Inputs!$E$26-Inputs!$D$26)),Inputs!$F$26-SQRT((1-N430)*(Inputs!$F$26-Inputs!$D$26)*(Inputs!$F$26-Inputs!$E$26)))</f>
        <v>0.364332943224939</v>
      </c>
      <c r="P430" s="81" t="n">
        <f aca="true">RAND()</f>
        <v>0.666108412235816</v>
      </c>
      <c r="Q430" s="82" t="n">
        <f aca="false">IF(P430&lt;(Inputs!$E$27-Inputs!$D$27)/(Inputs!$F$27-Inputs!$D$27),Inputs!$D$27+SQRT(P430*(Inputs!$F$27-Inputs!$D$27)*(Inputs!$E$27-Inputs!$D$27)),Inputs!$F$27-SQRT((1-P430)*(Inputs!$F$27-Inputs!$D$27)*(Inputs!$F$27-Inputs!$E$27)))</f>
        <v>99.9581484332226</v>
      </c>
      <c r="R430" s="81" t="n">
        <f aca="true">RAND()</f>
        <v>0.826886664813252</v>
      </c>
      <c r="S430" s="82" t="n">
        <f aca="false">IF(R430&lt;(Inputs!$E$29-Inputs!$D$29)/(Inputs!$F$29-Inputs!$D$29),Inputs!$D$29+SQRT(R430*(Inputs!$F$29-Inputs!$D$29)*(Inputs!$E$29-Inputs!$D$29)),Inputs!$F$29-SQRT((1-R430)*(Inputs!$F$29-Inputs!$D$29)*(Inputs!$F$29-Inputs!$E$29)))</f>
        <v>10.2560845734481</v>
      </c>
      <c r="T430" s="68" t="n">
        <f aca="false">Inputs!$E$9*(1+E430)+Inputs!$E$5*C430*(Inputs!$E$11*Inputs!$E$14*(G430*I430/Inputs!$E$16+(1-G430))*K430+Inputs!$E$23*M430)*(1+O430)+Inputs!$E$5*(Q430+S430)</f>
        <v>5610.27205197097</v>
      </c>
    </row>
    <row r="431" customFormat="false" ht="15" hidden="false" customHeight="false" outlineLevel="0" collapsed="false">
      <c r="A431" s="1" t="n">
        <v>427</v>
      </c>
      <c r="B431" s="81" t="n">
        <f aca="true">RAND()</f>
        <v>0.761492233368742</v>
      </c>
      <c r="C431" s="82" t="n">
        <f aca="false">ROUND(IF(B431&lt;(Inputs!$E$8-Inputs!$D$8)/(Inputs!$F$8-Inputs!$D$8),Inputs!$D$8+SQRT(B431*(Inputs!$F$8-Inputs!$D$8)*(Inputs!$E$8-Inputs!$D$8)),Inputs!$F$8-SQRT((1-B431)*(Inputs!$F$8-Inputs!$D$8)*(Inputs!$F$8-Inputs!$E$8))),0)</f>
        <v>27</v>
      </c>
      <c r="D431" s="81" t="n">
        <f aca="true">RAND()</f>
        <v>0.374469484526044</v>
      </c>
      <c r="E431" s="83" t="n">
        <f aca="false">IF(D431&lt;(Inputs!$E$10-Inputs!$D$10)/(Inputs!$F$10-Inputs!$D$10),Inputs!$D$10+SQRT(D431*(Inputs!$F$10-Inputs!$D$10)*(Inputs!$E$10-Inputs!$D$10)),Inputs!$F$10-SQRT((1-D431)*(Inputs!$F$10-Inputs!$D$10)*(Inputs!$F$10-Inputs!$E$10)))</f>
        <v>0.0630112578924141</v>
      </c>
      <c r="F431" s="81" t="n">
        <f aca="true">RAND()</f>
        <v>0.293741013880004</v>
      </c>
      <c r="G431" s="83" t="n">
        <f aca="false">IF(F431&lt;(Inputs!$E$15-Inputs!$D$15)/(Inputs!$F$15-Inputs!$D$15),Inputs!$D$15+SQRT(F431*(Inputs!$F$15-Inputs!$D$15)*(Inputs!$E$15-Inputs!$D$15)),Inputs!$F$15-SQRT((1-F431)*(Inputs!$F$15-Inputs!$D$15)*(Inputs!$F$15-Inputs!$E$15)))</f>
        <v>0.676647376195145</v>
      </c>
      <c r="H431" s="81" t="n">
        <f aca="true">RAND()</f>
        <v>0.931293405823657</v>
      </c>
      <c r="I431" s="82" t="n">
        <f aca="false">ROUND(IF(H431&lt;(Inputs!$E$17-Inputs!$D$17)/(Inputs!$F$17-Inputs!$D$17),Inputs!$D$17+SQRT(H431*(Inputs!$F$17-Inputs!$D$17)*(Inputs!$E$17-Inputs!$D$17)),Inputs!$F$17-SQRT((1-H431)*(Inputs!$F$17-Inputs!$D$17)*(Inputs!$F$17-Inputs!$E$17))),0)</f>
        <v>112</v>
      </c>
      <c r="J431" s="81" t="n">
        <f aca="true">RAND()</f>
        <v>0.591578095184155</v>
      </c>
      <c r="K431" s="83" t="n">
        <f aca="false">IF(J431&lt;(Inputs!$E$18-Inputs!$D$18)/(Inputs!$F$18-Inputs!$D$18),Inputs!$D$18+SQRT(J431*(Inputs!$F$18-Inputs!$D$18)*(Inputs!$E$18-Inputs!$D$18)),Inputs!$F$18-SQRT((1-J431)*(Inputs!$F$18-Inputs!$D$18)*(Inputs!$F$18-Inputs!$E$18)))</f>
        <v>1.0609578970933</v>
      </c>
      <c r="L431" s="81" t="n">
        <f aca="true">RAND()</f>
        <v>0.678146938620898</v>
      </c>
      <c r="M431" s="83" t="n">
        <f aca="false">IF(L431&lt;(Inputs!$E$24-Inputs!$D$24)/(Inputs!$F$24-Inputs!$D$24),Inputs!$D$24+SQRT(L431*(Inputs!$F$24-Inputs!$D$24)*(Inputs!$E$24-Inputs!$D$24)),Inputs!$F$24-SQRT((1-L431)*(Inputs!$F$24-Inputs!$D$24)*(Inputs!$F$24-Inputs!$E$24)))</f>
        <v>0.922070629959724</v>
      </c>
      <c r="N431" s="81" t="n">
        <f aca="true">RAND()</f>
        <v>0.258267916787281</v>
      </c>
      <c r="O431" s="83" t="n">
        <f aca="false">IF(N431&lt;(Inputs!$E$26-Inputs!$D$26)/(Inputs!$F$26-Inputs!$D$26),Inputs!$D$26+SQRT(N431*(Inputs!$F$26-Inputs!$D$26)*(Inputs!$E$26-Inputs!$D$26)),Inputs!$F$26-SQRT((1-N431)*(Inputs!$F$26-Inputs!$D$26)*(Inputs!$F$26-Inputs!$E$26)))</f>
        <v>0.507306008965981</v>
      </c>
      <c r="P431" s="81" t="n">
        <f aca="true">RAND()</f>
        <v>0.371627993335497</v>
      </c>
      <c r="Q431" s="82" t="n">
        <f aca="false">IF(P431&lt;(Inputs!$E$27-Inputs!$D$27)/(Inputs!$F$27-Inputs!$D$27),Inputs!$D$27+SQRT(P431*(Inputs!$F$27-Inputs!$D$27)*(Inputs!$E$27-Inputs!$D$27)),Inputs!$F$27-SQRT((1-P431)*(Inputs!$F$27-Inputs!$D$27)*(Inputs!$F$27-Inputs!$E$27)))</f>
        <v>81.3502363442978</v>
      </c>
      <c r="R431" s="81" t="n">
        <f aca="true">RAND()</f>
        <v>0.474653472402894</v>
      </c>
      <c r="S431" s="82" t="n">
        <f aca="false">IF(R431&lt;(Inputs!$E$29-Inputs!$D$29)/(Inputs!$F$29-Inputs!$D$29),Inputs!$D$29+SQRT(R431*(Inputs!$F$29-Inputs!$D$29)*(Inputs!$E$29-Inputs!$D$29)),Inputs!$F$29-SQRT((1-R431)*(Inputs!$F$29-Inputs!$D$29)*(Inputs!$F$29-Inputs!$E$29)))</f>
        <v>6.73591816427114</v>
      </c>
      <c r="T431" s="68" t="n">
        <f aca="false">Inputs!$E$9*(1+E431)+Inputs!$E$5*C431*(Inputs!$E$11*Inputs!$E$14*(G431*I431/Inputs!$E$16+(1-G431))*K431+Inputs!$E$23*M431)*(1+O431)+Inputs!$E$5*(Q431+S431)</f>
        <v>6554.30825172606</v>
      </c>
    </row>
    <row r="432" customFormat="false" ht="15" hidden="false" customHeight="false" outlineLevel="0" collapsed="false">
      <c r="A432" s="1" t="n">
        <v>428</v>
      </c>
      <c r="B432" s="81" t="n">
        <f aca="true">RAND()</f>
        <v>0.663599142308795</v>
      </c>
      <c r="C432" s="82" t="n">
        <f aca="false">ROUND(IF(B432&lt;(Inputs!$E$8-Inputs!$D$8)/(Inputs!$F$8-Inputs!$D$8),Inputs!$D$8+SQRT(B432*(Inputs!$F$8-Inputs!$D$8)*(Inputs!$E$8-Inputs!$D$8)),Inputs!$F$8-SQRT((1-B432)*(Inputs!$F$8-Inputs!$D$8)*(Inputs!$F$8-Inputs!$E$8))),0)</f>
        <v>26</v>
      </c>
      <c r="D432" s="81" t="n">
        <f aca="true">RAND()</f>
        <v>0.962335857740389</v>
      </c>
      <c r="E432" s="83" t="n">
        <f aca="false">IF(D432&lt;(Inputs!$E$10-Inputs!$D$10)/(Inputs!$F$10-Inputs!$D$10),Inputs!$D$10+SQRT(D432*(Inputs!$F$10-Inputs!$D$10)*(Inputs!$E$10-Inputs!$D$10)),Inputs!$F$10-SQRT((1-D432)*(Inputs!$F$10-Inputs!$D$10)*(Inputs!$F$10-Inputs!$E$10)))</f>
        <v>0.166385653839643</v>
      </c>
      <c r="F432" s="81" t="n">
        <f aca="true">RAND()</f>
        <v>0.762490934801204</v>
      </c>
      <c r="G432" s="83" t="n">
        <f aca="false">IF(F432&lt;(Inputs!$E$15-Inputs!$D$15)/(Inputs!$F$15-Inputs!$D$15),Inputs!$D$15+SQRT(F432*(Inputs!$F$15-Inputs!$D$15)*(Inputs!$E$15-Inputs!$D$15)),Inputs!$F$15-SQRT((1-F432)*(Inputs!$F$15-Inputs!$D$15)*(Inputs!$F$15-Inputs!$E$15)))</f>
        <v>0.731078440934814</v>
      </c>
      <c r="H432" s="81" t="n">
        <f aca="true">RAND()</f>
        <v>0.0849976256618601</v>
      </c>
      <c r="I432" s="82" t="n">
        <f aca="false">ROUND(IF(H432&lt;(Inputs!$E$17-Inputs!$D$17)/(Inputs!$F$17-Inputs!$D$17),Inputs!$D$17+SQRT(H432*(Inputs!$F$17-Inputs!$D$17)*(Inputs!$E$17-Inputs!$D$17)),Inputs!$F$17-SQRT((1-H432)*(Inputs!$F$17-Inputs!$D$17)*(Inputs!$F$17-Inputs!$E$17))),0)</f>
        <v>103</v>
      </c>
      <c r="J432" s="81" t="n">
        <f aca="true">RAND()</f>
        <v>0.330186219033325</v>
      </c>
      <c r="K432" s="83" t="n">
        <f aca="false">IF(J432&lt;(Inputs!$E$18-Inputs!$D$18)/(Inputs!$F$18-Inputs!$D$18),Inputs!$D$18+SQRT(J432*(Inputs!$F$18-Inputs!$D$18)*(Inputs!$E$18-Inputs!$D$18)),Inputs!$F$18-SQRT((1-J432)*(Inputs!$F$18-Inputs!$D$18)*(Inputs!$F$18-Inputs!$E$18)))</f>
        <v>1.00790765019401</v>
      </c>
      <c r="L432" s="81" t="n">
        <f aca="true">RAND()</f>
        <v>0.575526959246234</v>
      </c>
      <c r="M432" s="83" t="n">
        <f aca="false">IF(L432&lt;(Inputs!$E$24-Inputs!$D$24)/(Inputs!$F$24-Inputs!$D$24),Inputs!$D$24+SQRT(L432*(Inputs!$F$24-Inputs!$D$24)*(Inputs!$E$24-Inputs!$D$24)),Inputs!$F$24-SQRT((1-L432)*(Inputs!$F$24-Inputs!$D$24)*(Inputs!$F$24-Inputs!$E$24)))</f>
        <v>0.880823669767158</v>
      </c>
      <c r="N432" s="81" t="n">
        <f aca="true">RAND()</f>
        <v>0.91999579826102</v>
      </c>
      <c r="O432" s="83" t="n">
        <f aca="false">IF(N432&lt;(Inputs!$E$26-Inputs!$D$26)/(Inputs!$F$26-Inputs!$D$26),Inputs!$D$26+SQRT(N432*(Inputs!$F$26-Inputs!$D$26)*(Inputs!$E$26-Inputs!$D$26)),Inputs!$F$26-SQRT((1-N432)*(Inputs!$F$26-Inputs!$D$26)*(Inputs!$F$26-Inputs!$E$26)))</f>
        <v>0.728783570663756</v>
      </c>
      <c r="P432" s="81" t="n">
        <f aca="true">RAND()</f>
        <v>0.242282391979646</v>
      </c>
      <c r="Q432" s="82" t="n">
        <f aca="false">IF(P432&lt;(Inputs!$E$27-Inputs!$D$27)/(Inputs!$F$27-Inputs!$D$27),Inputs!$D$27+SQRT(P432*(Inputs!$F$27-Inputs!$D$27)*(Inputs!$E$27-Inputs!$D$27)),Inputs!$F$27-SQRT((1-P432)*(Inputs!$F$27-Inputs!$D$27)*(Inputs!$F$27-Inputs!$E$27)))</f>
        <v>74.6110946515817</v>
      </c>
      <c r="R432" s="81" t="n">
        <f aca="true">RAND()</f>
        <v>0.0644607883153797</v>
      </c>
      <c r="S432" s="82" t="n">
        <f aca="false">IF(R432&lt;(Inputs!$E$29-Inputs!$D$29)/(Inputs!$F$29-Inputs!$D$29),Inputs!$D$29+SQRT(R432*(Inputs!$F$29-Inputs!$D$29)*(Inputs!$E$29-Inputs!$D$29)),Inputs!$F$29-SQRT((1-R432)*(Inputs!$F$29-Inputs!$D$29)*(Inputs!$F$29-Inputs!$E$29)))</f>
        <v>3.58555061234254</v>
      </c>
      <c r="T432" s="68" t="n">
        <f aca="false">Inputs!$E$9*(1+E432)+Inputs!$E$5*C432*(Inputs!$E$11*Inputs!$E$14*(G432*I432/Inputs!$E$16+(1-G432))*K432+Inputs!$E$23*M432)*(1+O432)+Inputs!$E$5*(Q432+S432)</f>
        <v>6726.90735671806</v>
      </c>
    </row>
    <row r="433" customFormat="false" ht="15" hidden="false" customHeight="false" outlineLevel="0" collapsed="false">
      <c r="A433" s="1" t="n">
        <v>429</v>
      </c>
      <c r="B433" s="81" t="n">
        <f aca="true">RAND()</f>
        <v>0.161083254152724</v>
      </c>
      <c r="C433" s="82" t="n">
        <f aca="false">ROUND(IF(B433&lt;(Inputs!$E$8-Inputs!$D$8)/(Inputs!$F$8-Inputs!$D$8),Inputs!$D$8+SQRT(B433*(Inputs!$F$8-Inputs!$D$8)*(Inputs!$E$8-Inputs!$D$8)),Inputs!$F$8-SQRT((1-B433)*(Inputs!$F$8-Inputs!$D$8)*(Inputs!$F$8-Inputs!$E$8))),0)</f>
        <v>23</v>
      </c>
      <c r="D433" s="81" t="n">
        <f aca="true">RAND()</f>
        <v>0.491236736407973</v>
      </c>
      <c r="E433" s="83" t="n">
        <f aca="false">IF(D433&lt;(Inputs!$E$10-Inputs!$D$10)/(Inputs!$F$10-Inputs!$D$10),Inputs!$D$10+SQRT(D433*(Inputs!$F$10-Inputs!$D$10)*(Inputs!$E$10-Inputs!$D$10)),Inputs!$F$10-SQRT((1-D433)*(Inputs!$F$10-Inputs!$D$10)*(Inputs!$F$10-Inputs!$E$10)))</f>
        <v>0.0764568985828799</v>
      </c>
      <c r="F433" s="81" t="n">
        <f aca="true">RAND()</f>
        <v>0.34680944982443</v>
      </c>
      <c r="G433" s="83" t="n">
        <f aca="false">IF(F433&lt;(Inputs!$E$15-Inputs!$D$15)/(Inputs!$F$15-Inputs!$D$15),Inputs!$D$15+SQRT(F433*(Inputs!$F$15-Inputs!$D$15)*(Inputs!$E$15-Inputs!$D$15)),Inputs!$F$15-SQRT((1-F433)*(Inputs!$F$15-Inputs!$D$15)*(Inputs!$F$15-Inputs!$E$15)))</f>
        <v>0.683283785915919</v>
      </c>
      <c r="H433" s="81" t="n">
        <f aca="true">RAND()</f>
        <v>0.272634538813517</v>
      </c>
      <c r="I433" s="82" t="n">
        <f aca="false">ROUND(IF(H433&lt;(Inputs!$E$17-Inputs!$D$17)/(Inputs!$F$17-Inputs!$D$17),Inputs!$D$17+SQRT(H433*(Inputs!$F$17-Inputs!$D$17)*(Inputs!$E$17-Inputs!$D$17)),Inputs!$F$17-SQRT((1-H433)*(Inputs!$F$17-Inputs!$D$17)*(Inputs!$F$17-Inputs!$E$17))),0)</f>
        <v>105</v>
      </c>
      <c r="J433" s="81" t="n">
        <f aca="true">RAND()</f>
        <v>0.802587206154596</v>
      </c>
      <c r="K433" s="83" t="n">
        <f aca="false">IF(J433&lt;(Inputs!$E$18-Inputs!$D$18)/(Inputs!$F$18-Inputs!$D$18),Inputs!$D$18+SQRT(J433*(Inputs!$F$18-Inputs!$D$18)*(Inputs!$E$18-Inputs!$D$18)),Inputs!$F$18-SQRT((1-J433)*(Inputs!$F$18-Inputs!$D$18)*(Inputs!$F$18-Inputs!$E$18)))</f>
        <v>1.11857085764005</v>
      </c>
      <c r="L433" s="81" t="n">
        <f aca="true">RAND()</f>
        <v>0.987114568126359</v>
      </c>
      <c r="M433" s="83" t="n">
        <f aca="false">IF(L433&lt;(Inputs!$E$24-Inputs!$D$24)/(Inputs!$F$24-Inputs!$D$24),Inputs!$D$24+SQRT(L433*(Inputs!$F$24-Inputs!$D$24)*(Inputs!$E$24-Inputs!$D$24)),Inputs!$F$24-SQRT((1-L433)*(Inputs!$F$24-Inputs!$D$24)*(Inputs!$F$24-Inputs!$E$24)))</f>
        <v>1.14438971633165</v>
      </c>
      <c r="N433" s="81" t="n">
        <f aca="true">RAND()</f>
        <v>0.467596472189324</v>
      </c>
      <c r="O433" s="83" t="n">
        <f aca="false">IF(N433&lt;(Inputs!$E$26-Inputs!$D$26)/(Inputs!$F$26-Inputs!$D$26),Inputs!$D$26+SQRT(N433*(Inputs!$F$26-Inputs!$D$26)*(Inputs!$E$26-Inputs!$D$26)),Inputs!$F$26-SQRT((1-N433)*(Inputs!$F$26-Inputs!$D$26)*(Inputs!$F$26-Inputs!$E$26)))</f>
        <v>0.578940948898335</v>
      </c>
      <c r="P433" s="81" t="n">
        <f aca="true">RAND()</f>
        <v>0.0777892064281986</v>
      </c>
      <c r="Q433" s="82" t="n">
        <f aca="false">IF(P433&lt;(Inputs!$E$27-Inputs!$D$27)/(Inputs!$F$27-Inputs!$D$27),Inputs!$D$27+SQRT(P433*(Inputs!$F$27-Inputs!$D$27)*(Inputs!$E$27-Inputs!$D$27)),Inputs!$F$27-SQRT((1-P433)*(Inputs!$F$27-Inputs!$D$27)*(Inputs!$F$27-Inputs!$E$27)))</f>
        <v>63.9453582266823</v>
      </c>
      <c r="R433" s="81" t="n">
        <f aca="true">RAND()</f>
        <v>0.292513558370195</v>
      </c>
      <c r="S433" s="82" t="n">
        <f aca="false">IF(R433&lt;(Inputs!$E$29-Inputs!$D$29)/(Inputs!$F$29-Inputs!$D$29),Inputs!$D$29+SQRT(R433*(Inputs!$F$29-Inputs!$D$29)*(Inputs!$E$29-Inputs!$D$29)),Inputs!$F$29-SQRT((1-R433)*(Inputs!$F$29-Inputs!$D$29)*(Inputs!$F$29-Inputs!$E$29)))</f>
        <v>5.4097321511923</v>
      </c>
      <c r="T433" s="68" t="n">
        <f aca="false">Inputs!$E$9*(1+E433)+Inputs!$E$5*C433*(Inputs!$E$11*Inputs!$E$14*(G433*I433/Inputs!$E$16+(1-G433))*K433+Inputs!$E$23*M433)*(1+O433)+Inputs!$E$5*(Q433+S433)</f>
        <v>6400.64821887603</v>
      </c>
    </row>
    <row r="434" customFormat="false" ht="15" hidden="false" customHeight="false" outlineLevel="0" collapsed="false">
      <c r="A434" s="1" t="n">
        <v>430</v>
      </c>
      <c r="B434" s="81" t="n">
        <f aca="true">RAND()</f>
        <v>0.163423498202331</v>
      </c>
      <c r="C434" s="82" t="n">
        <f aca="false">ROUND(IF(B434&lt;(Inputs!$E$8-Inputs!$D$8)/(Inputs!$F$8-Inputs!$D$8),Inputs!$D$8+SQRT(B434*(Inputs!$F$8-Inputs!$D$8)*(Inputs!$E$8-Inputs!$D$8)),Inputs!$F$8-SQRT((1-B434)*(Inputs!$F$8-Inputs!$D$8)*(Inputs!$F$8-Inputs!$E$8))),0)</f>
        <v>23</v>
      </c>
      <c r="D434" s="81" t="n">
        <f aca="true">RAND()</f>
        <v>0.938974044708036</v>
      </c>
      <c r="E434" s="83" t="n">
        <f aca="false">IF(D434&lt;(Inputs!$E$10-Inputs!$D$10)/(Inputs!$F$10-Inputs!$D$10),Inputs!$D$10+SQRT(D434*(Inputs!$F$10-Inputs!$D$10)*(Inputs!$E$10-Inputs!$D$10)),Inputs!$F$10-SQRT((1-D434)*(Inputs!$F$10-Inputs!$D$10)*(Inputs!$F$10-Inputs!$E$10)))</f>
        <v>0.157212400642722</v>
      </c>
      <c r="F434" s="81" t="n">
        <f aca="true">RAND()</f>
        <v>0.6581013928309</v>
      </c>
      <c r="G434" s="83" t="n">
        <f aca="false">IF(F434&lt;(Inputs!$E$15-Inputs!$D$15)/(Inputs!$F$15-Inputs!$D$15),Inputs!$D$15+SQRT(F434*(Inputs!$F$15-Inputs!$D$15)*(Inputs!$E$15-Inputs!$D$15)),Inputs!$F$15-SQRT((1-F434)*(Inputs!$F$15-Inputs!$D$15)*(Inputs!$F$15-Inputs!$E$15)))</f>
        <v>0.717307968078043</v>
      </c>
      <c r="H434" s="81" t="n">
        <f aca="true">RAND()</f>
        <v>0.907967959127298</v>
      </c>
      <c r="I434" s="82" t="n">
        <f aca="false">ROUND(IF(H434&lt;(Inputs!$E$17-Inputs!$D$17)/(Inputs!$F$17-Inputs!$D$17),Inputs!$D$17+SQRT(H434*(Inputs!$F$17-Inputs!$D$17)*(Inputs!$E$17-Inputs!$D$17)),Inputs!$F$17-SQRT((1-H434)*(Inputs!$F$17-Inputs!$D$17)*(Inputs!$F$17-Inputs!$E$17))),0)</f>
        <v>111</v>
      </c>
      <c r="J434" s="81" t="n">
        <f aca="true">RAND()</f>
        <v>0.314952495370928</v>
      </c>
      <c r="K434" s="83" t="n">
        <f aca="false">IF(J434&lt;(Inputs!$E$18-Inputs!$D$18)/(Inputs!$F$18-Inputs!$D$18),Inputs!$D$18+SQRT(J434*(Inputs!$F$18-Inputs!$D$18)*(Inputs!$E$18-Inputs!$D$18)),Inputs!$F$18-SQRT((1-J434)*(Inputs!$F$18-Inputs!$D$18)*(Inputs!$F$18-Inputs!$E$18)))</f>
        <v>1.00517014754111</v>
      </c>
      <c r="L434" s="81" t="n">
        <f aca="true">RAND()</f>
        <v>0.90743546145309</v>
      </c>
      <c r="M434" s="83" t="n">
        <f aca="false">IF(L434&lt;(Inputs!$E$24-Inputs!$D$24)/(Inputs!$F$24-Inputs!$D$24),Inputs!$D$24+SQRT(L434*(Inputs!$F$24-Inputs!$D$24)*(Inputs!$E$24-Inputs!$D$24)),Inputs!$F$24-SQRT((1-L434)*(Inputs!$F$24-Inputs!$D$24)*(Inputs!$F$24-Inputs!$E$24)))</f>
        <v>1.050951386282</v>
      </c>
      <c r="N434" s="81" t="n">
        <f aca="true">RAND()</f>
        <v>0.992482117956964</v>
      </c>
      <c r="O434" s="83" t="n">
        <f aca="false">IF(N434&lt;(Inputs!$E$26-Inputs!$D$26)/(Inputs!$F$26-Inputs!$D$26),Inputs!$D$26+SQRT(N434*(Inputs!$F$26-Inputs!$D$26)*(Inputs!$E$26-Inputs!$D$26)),Inputs!$F$26-SQRT((1-N434)*(Inputs!$F$26-Inputs!$D$26)*(Inputs!$F$26-Inputs!$E$26)))</f>
        <v>0.792038245182469</v>
      </c>
      <c r="P434" s="81" t="n">
        <f aca="true">RAND()</f>
        <v>0.182455314856007</v>
      </c>
      <c r="Q434" s="82" t="n">
        <f aca="false">IF(P434&lt;(Inputs!$E$27-Inputs!$D$27)/(Inputs!$F$27-Inputs!$D$27),Inputs!$D$27+SQRT(P434*(Inputs!$F$27-Inputs!$D$27)*(Inputs!$E$27-Inputs!$D$27)),Inputs!$F$27-SQRT((1-P434)*(Inputs!$F$27-Inputs!$D$27)*(Inputs!$F$27-Inputs!$E$27)))</f>
        <v>71.3573942029457</v>
      </c>
      <c r="R434" s="81" t="n">
        <f aca="true">RAND()</f>
        <v>0.220771626664867</v>
      </c>
      <c r="S434" s="82" t="n">
        <f aca="false">IF(R434&lt;(Inputs!$E$29-Inputs!$D$29)/(Inputs!$F$29-Inputs!$D$29),Inputs!$D$29+SQRT(R434*(Inputs!$F$29-Inputs!$D$29)*(Inputs!$E$29-Inputs!$D$29)),Inputs!$F$29-SQRT((1-R434)*(Inputs!$F$29-Inputs!$D$29)*(Inputs!$F$29-Inputs!$E$29)))</f>
        <v>4.93429607230249</v>
      </c>
      <c r="T434" s="68" t="n">
        <f aca="false">Inputs!$E$9*(1+E434)+Inputs!$E$5*C434*(Inputs!$E$11*Inputs!$E$14*(G434*I434/Inputs!$E$16+(1-G434))*K434+Inputs!$E$23*M434)*(1+O434)+Inputs!$E$5*(Q434+S434)</f>
        <v>6746.79957403254</v>
      </c>
    </row>
    <row r="435" customFormat="false" ht="15" hidden="false" customHeight="false" outlineLevel="0" collapsed="false">
      <c r="A435" s="1" t="n">
        <v>431</v>
      </c>
      <c r="B435" s="81" t="n">
        <f aca="true">RAND()</f>
        <v>0.504903820376695</v>
      </c>
      <c r="C435" s="82" t="n">
        <f aca="false">ROUND(IF(B435&lt;(Inputs!$E$8-Inputs!$D$8)/(Inputs!$F$8-Inputs!$D$8),Inputs!$D$8+SQRT(B435*(Inputs!$F$8-Inputs!$D$8)*(Inputs!$E$8-Inputs!$D$8)),Inputs!$F$8-SQRT((1-B435)*(Inputs!$F$8-Inputs!$D$8)*(Inputs!$F$8-Inputs!$E$8))),0)</f>
        <v>25</v>
      </c>
      <c r="D435" s="81" t="n">
        <f aca="true">RAND()</f>
        <v>0.352651314999297</v>
      </c>
      <c r="E435" s="83" t="n">
        <f aca="false">IF(D435&lt;(Inputs!$E$10-Inputs!$D$10)/(Inputs!$F$10-Inputs!$D$10),Inputs!$D$10+SQRT(D435*(Inputs!$F$10-Inputs!$D$10)*(Inputs!$E$10-Inputs!$D$10)),Inputs!$F$10-SQRT((1-D435)*(Inputs!$F$10-Inputs!$D$10)*(Inputs!$F$10-Inputs!$E$10)))</f>
        <v>0.0606426874899595</v>
      </c>
      <c r="F435" s="81" t="n">
        <f aca="true">RAND()</f>
        <v>0.733816176402375</v>
      </c>
      <c r="G435" s="83" t="n">
        <f aca="false">IF(F435&lt;(Inputs!$E$15-Inputs!$D$15)/(Inputs!$F$15-Inputs!$D$15),Inputs!$D$15+SQRT(F435*(Inputs!$F$15-Inputs!$D$15)*(Inputs!$E$15-Inputs!$D$15)),Inputs!$F$15-SQRT((1-F435)*(Inputs!$F$15-Inputs!$D$15)*(Inputs!$F$15-Inputs!$E$15)))</f>
        <v>0.727036471631695</v>
      </c>
      <c r="H435" s="81" t="n">
        <f aca="true">RAND()</f>
        <v>0.216762034408103</v>
      </c>
      <c r="I435" s="82" t="n">
        <f aca="false">ROUND(IF(H435&lt;(Inputs!$E$17-Inputs!$D$17)/(Inputs!$F$17-Inputs!$D$17),Inputs!$D$17+SQRT(H435*(Inputs!$F$17-Inputs!$D$17)*(Inputs!$E$17-Inputs!$D$17)),Inputs!$F$17-SQRT((1-H435)*(Inputs!$F$17-Inputs!$D$17)*(Inputs!$F$17-Inputs!$E$17))),0)</f>
        <v>104</v>
      </c>
      <c r="J435" s="81" t="n">
        <f aca="true">RAND()</f>
        <v>0.771909318831166</v>
      </c>
      <c r="K435" s="83" t="n">
        <f aca="false">IF(J435&lt;(Inputs!$E$18-Inputs!$D$18)/(Inputs!$F$18-Inputs!$D$18),Inputs!$D$18+SQRT(J435*(Inputs!$F$18-Inputs!$D$18)*(Inputs!$E$18-Inputs!$D$18)),Inputs!$F$18-SQRT((1-J435)*(Inputs!$F$18-Inputs!$D$18)*(Inputs!$F$18-Inputs!$E$18)))</f>
        <v>1.10872744568646</v>
      </c>
      <c r="L435" s="81" t="n">
        <f aca="true">RAND()</f>
        <v>0.433093928729683</v>
      </c>
      <c r="M435" s="83" t="n">
        <f aca="false">IF(L435&lt;(Inputs!$E$24-Inputs!$D$24)/(Inputs!$F$24-Inputs!$D$24),Inputs!$D$24+SQRT(L435*(Inputs!$F$24-Inputs!$D$24)*(Inputs!$E$24-Inputs!$D$24)),Inputs!$F$24-SQRT((1-L435)*(Inputs!$F$24-Inputs!$D$24)*(Inputs!$F$24-Inputs!$E$24)))</f>
        <v>0.831140328709039</v>
      </c>
      <c r="N435" s="81" t="n">
        <f aca="true">RAND()</f>
        <v>0.445300178584654</v>
      </c>
      <c r="O435" s="83" t="n">
        <f aca="false">IF(N435&lt;(Inputs!$E$26-Inputs!$D$26)/(Inputs!$F$26-Inputs!$D$26),Inputs!$D$26+SQRT(N435*(Inputs!$F$26-Inputs!$D$26)*(Inputs!$E$26-Inputs!$D$26)),Inputs!$F$26-SQRT((1-N435)*(Inputs!$F$26-Inputs!$D$26)*(Inputs!$F$26-Inputs!$E$26)))</f>
        <v>0.57220938579793</v>
      </c>
      <c r="P435" s="81" t="n">
        <f aca="true">RAND()</f>
        <v>0.3753299626828</v>
      </c>
      <c r="Q435" s="82" t="n">
        <f aca="false">IF(P435&lt;(Inputs!$E$27-Inputs!$D$27)/(Inputs!$F$27-Inputs!$D$27),Inputs!$D$27+SQRT(P435*(Inputs!$F$27-Inputs!$D$27)*(Inputs!$E$27-Inputs!$D$27)),Inputs!$F$27-SQRT((1-P435)*(Inputs!$F$27-Inputs!$D$27)*(Inputs!$F$27-Inputs!$E$27)))</f>
        <v>81.5527554982745</v>
      </c>
      <c r="R435" s="81" t="n">
        <f aca="true">RAND()</f>
        <v>0.172016246790146</v>
      </c>
      <c r="S435" s="82" t="n">
        <f aca="false">IF(R435&lt;(Inputs!$E$29-Inputs!$D$29)/(Inputs!$F$29-Inputs!$D$29),Inputs!$D$29+SQRT(R435*(Inputs!$F$29-Inputs!$D$29)*(Inputs!$E$29-Inputs!$D$29)),Inputs!$F$29-SQRT((1-R435)*(Inputs!$F$29-Inputs!$D$29)*(Inputs!$F$29-Inputs!$E$29)))</f>
        <v>4.59010301432505</v>
      </c>
      <c r="T435" s="68" t="n">
        <f aca="false">Inputs!$E$9*(1+E435)+Inputs!$E$5*C435*(Inputs!$E$11*Inputs!$E$14*(G435*I435/Inputs!$E$16+(1-G435))*K435+Inputs!$E$23*M435)*(1+O435)+Inputs!$E$5*(Q435+S435)</f>
        <v>6216.57629252479</v>
      </c>
    </row>
    <row r="436" customFormat="false" ht="15" hidden="false" customHeight="false" outlineLevel="0" collapsed="false">
      <c r="A436" s="1" t="n">
        <v>432</v>
      </c>
      <c r="B436" s="81" t="n">
        <f aca="true">RAND()</f>
        <v>0.0153044405939992</v>
      </c>
      <c r="C436" s="82" t="n">
        <f aca="false">ROUND(IF(B436&lt;(Inputs!$E$8-Inputs!$D$8)/(Inputs!$F$8-Inputs!$D$8),Inputs!$D$8+SQRT(B436*(Inputs!$F$8-Inputs!$D$8)*(Inputs!$E$8-Inputs!$D$8)),Inputs!$F$8-SQRT((1-B436)*(Inputs!$F$8-Inputs!$D$8)*(Inputs!$F$8-Inputs!$E$8))),0)</f>
        <v>21</v>
      </c>
      <c r="D436" s="81" t="n">
        <f aca="true">RAND()</f>
        <v>0.504222650632737</v>
      </c>
      <c r="E436" s="83" t="n">
        <f aca="false">IF(D436&lt;(Inputs!$E$10-Inputs!$D$10)/(Inputs!$F$10-Inputs!$D$10),Inputs!$D$10+SQRT(D436*(Inputs!$F$10-Inputs!$D$10)*(Inputs!$E$10-Inputs!$D$10)),Inputs!$F$10-SQRT((1-D436)*(Inputs!$F$10-Inputs!$D$10)*(Inputs!$F$10-Inputs!$E$10)))</f>
        <v>0.0780437763743979</v>
      </c>
      <c r="F436" s="81" t="n">
        <f aca="true">RAND()</f>
        <v>0.883034649558879</v>
      </c>
      <c r="G436" s="83" t="n">
        <f aca="false">IF(F436&lt;(Inputs!$E$15-Inputs!$D$15)/(Inputs!$F$15-Inputs!$D$15),Inputs!$D$15+SQRT(F436*(Inputs!$F$15-Inputs!$D$15)*(Inputs!$E$15-Inputs!$D$15)),Inputs!$F$15-SQRT((1-F436)*(Inputs!$F$15-Inputs!$D$15)*(Inputs!$F$15-Inputs!$E$15)))</f>
        <v>0.751633616955344</v>
      </c>
      <c r="H436" s="81" t="n">
        <f aca="true">RAND()</f>
        <v>0.54165466384912</v>
      </c>
      <c r="I436" s="82" t="n">
        <f aca="false">ROUND(IF(H436&lt;(Inputs!$E$17-Inputs!$D$17)/(Inputs!$F$17-Inputs!$D$17),Inputs!$D$17+SQRT(H436*(Inputs!$F$17-Inputs!$D$17)*(Inputs!$E$17-Inputs!$D$17)),Inputs!$F$17-SQRT((1-H436)*(Inputs!$F$17-Inputs!$D$17)*(Inputs!$F$17-Inputs!$E$17))),0)</f>
        <v>107</v>
      </c>
      <c r="J436" s="81" t="n">
        <f aca="true">RAND()</f>
        <v>0.0881980706213799</v>
      </c>
      <c r="K436" s="83" t="n">
        <f aca="false">IF(J436&lt;(Inputs!$E$18-Inputs!$D$18)/(Inputs!$F$18-Inputs!$D$18),Inputs!$D$18+SQRT(J436*(Inputs!$F$18-Inputs!$D$18)*(Inputs!$E$18-Inputs!$D$18)),Inputs!$F$18-SQRT((1-J436)*(Inputs!$F$18-Inputs!$D$18)*(Inputs!$F$18-Inputs!$E$18)))</f>
        <v>0.955560169831889</v>
      </c>
      <c r="L436" s="81" t="n">
        <f aca="true">RAND()</f>
        <v>0.669584539220847</v>
      </c>
      <c r="M436" s="83" t="n">
        <f aca="false">IF(L436&lt;(Inputs!$E$24-Inputs!$D$24)/(Inputs!$F$24-Inputs!$D$24),Inputs!$D$24+SQRT(L436*(Inputs!$F$24-Inputs!$D$24)*(Inputs!$E$24-Inputs!$D$24)),Inputs!$F$24-SQRT((1-L436)*(Inputs!$F$24-Inputs!$D$24)*(Inputs!$F$24-Inputs!$E$24)))</f>
        <v>0.918397957061749</v>
      </c>
      <c r="N436" s="81" t="n">
        <f aca="true">RAND()</f>
        <v>0.613492465818679</v>
      </c>
      <c r="O436" s="83" t="n">
        <f aca="false">IF(N436&lt;(Inputs!$E$26-Inputs!$D$26)/(Inputs!$F$26-Inputs!$D$26),Inputs!$D$26+SQRT(N436*(Inputs!$F$26-Inputs!$D$26)*(Inputs!$E$26-Inputs!$D$26)),Inputs!$F$26-SQRT((1-N436)*(Inputs!$F$26-Inputs!$D$26)*(Inputs!$F$26-Inputs!$E$26)))</f>
        <v>0.61950766236857</v>
      </c>
      <c r="P436" s="81" t="n">
        <f aca="true">RAND()</f>
        <v>0.376200046251805</v>
      </c>
      <c r="Q436" s="82" t="n">
        <f aca="false">IF(P436&lt;(Inputs!$E$27-Inputs!$D$27)/(Inputs!$F$27-Inputs!$D$27),Inputs!$D$27+SQRT(P436*(Inputs!$F$27-Inputs!$D$27)*(Inputs!$E$27-Inputs!$D$27)),Inputs!$F$27-SQRT((1-P436)*(Inputs!$F$27-Inputs!$D$27)*(Inputs!$F$27-Inputs!$E$27)))</f>
        <v>81.6004411336486</v>
      </c>
      <c r="R436" s="81" t="n">
        <f aca="true">RAND()</f>
        <v>0.0774689931857159</v>
      </c>
      <c r="S436" s="82" t="n">
        <f aca="false">IF(R436&lt;(Inputs!$E$29-Inputs!$D$29)/(Inputs!$F$29-Inputs!$D$29),Inputs!$D$29+SQRT(R436*(Inputs!$F$29-Inputs!$D$29)*(Inputs!$E$29-Inputs!$D$29)),Inputs!$F$29-SQRT((1-R436)*(Inputs!$F$29-Inputs!$D$29)*(Inputs!$F$29-Inputs!$E$29)))</f>
        <v>3.73818604707405</v>
      </c>
      <c r="T436" s="68" t="n">
        <f aca="false">Inputs!$E$9*(1+E436)+Inputs!$E$5*C436*(Inputs!$E$11*Inputs!$E$14*(G436*I436/Inputs!$E$16+(1-G436))*K436+Inputs!$E$23*M436)*(1+O436)+Inputs!$E$5*(Q436+S436)</f>
        <v>5621.57383763319</v>
      </c>
    </row>
    <row r="437" customFormat="false" ht="15" hidden="false" customHeight="false" outlineLevel="0" collapsed="false">
      <c r="A437" s="1" t="n">
        <v>433</v>
      </c>
      <c r="B437" s="81" t="n">
        <f aca="true">RAND()</f>
        <v>0.0276987946690407</v>
      </c>
      <c r="C437" s="82" t="n">
        <f aca="false">ROUND(IF(B437&lt;(Inputs!$E$8-Inputs!$D$8)/(Inputs!$F$8-Inputs!$D$8),Inputs!$D$8+SQRT(B437*(Inputs!$F$8-Inputs!$D$8)*(Inputs!$E$8-Inputs!$D$8)),Inputs!$F$8-SQRT((1-B437)*(Inputs!$F$8-Inputs!$D$8)*(Inputs!$F$8-Inputs!$E$8))),0)</f>
        <v>21</v>
      </c>
      <c r="D437" s="81" t="n">
        <f aca="true">RAND()</f>
        <v>0.924283212217945</v>
      </c>
      <c r="E437" s="83" t="n">
        <f aca="false">IF(D437&lt;(Inputs!$E$10-Inputs!$D$10)/(Inputs!$F$10-Inputs!$D$10),Inputs!$D$10+SQRT(D437*(Inputs!$F$10-Inputs!$D$10)*(Inputs!$E$10-Inputs!$D$10)),Inputs!$F$10-SQRT((1-D437)*(Inputs!$F$10-Inputs!$D$10)*(Inputs!$F$10-Inputs!$E$10)))</f>
        <v>0.152339705902485</v>
      </c>
      <c r="F437" s="81" t="n">
        <f aca="true">RAND()</f>
        <v>0.0723848722976649</v>
      </c>
      <c r="G437" s="83" t="n">
        <f aca="false">IF(F437&lt;(Inputs!$E$15-Inputs!$D$15)/(Inputs!$F$15-Inputs!$D$15),Inputs!$D$15+SQRT(F437*(Inputs!$F$15-Inputs!$D$15)*(Inputs!$E$15-Inputs!$D$15)),Inputs!$F$15-SQRT((1-F437)*(Inputs!$F$15-Inputs!$D$15)*(Inputs!$F$15-Inputs!$E$15)))</f>
        <v>0.638048619501281</v>
      </c>
      <c r="H437" s="81" t="n">
        <f aca="true">RAND()</f>
        <v>0.911396708063471</v>
      </c>
      <c r="I437" s="82" t="n">
        <f aca="false">ROUND(IF(H437&lt;(Inputs!$E$17-Inputs!$D$17)/(Inputs!$F$17-Inputs!$D$17),Inputs!$D$17+SQRT(H437*(Inputs!$F$17-Inputs!$D$17)*(Inputs!$E$17-Inputs!$D$17)),Inputs!$F$17-SQRT((1-H437)*(Inputs!$F$17-Inputs!$D$17)*(Inputs!$F$17-Inputs!$E$17))),0)</f>
        <v>111</v>
      </c>
      <c r="J437" s="81" t="n">
        <f aca="true">RAND()</f>
        <v>0.714969287929893</v>
      </c>
      <c r="K437" s="83" t="n">
        <f aca="false">IF(J437&lt;(Inputs!$E$18-Inputs!$D$18)/(Inputs!$F$18-Inputs!$D$18),Inputs!$D$18+SQRT(J437*(Inputs!$F$18-Inputs!$D$18)*(Inputs!$E$18-Inputs!$D$18)),Inputs!$F$18-SQRT((1-J437)*(Inputs!$F$18-Inputs!$D$18)*(Inputs!$F$18-Inputs!$E$18)))</f>
        <v>1.09207537460505</v>
      </c>
      <c r="L437" s="81" t="n">
        <f aca="true">RAND()</f>
        <v>0.291419521285093</v>
      </c>
      <c r="M437" s="83" t="n">
        <f aca="false">IF(L437&lt;(Inputs!$E$24-Inputs!$D$24)/(Inputs!$F$24-Inputs!$D$24),Inputs!$D$24+SQRT(L437*(Inputs!$F$24-Inputs!$D$24)*(Inputs!$E$24-Inputs!$D$24)),Inputs!$F$24-SQRT((1-L437)*(Inputs!$F$24-Inputs!$D$24)*(Inputs!$F$24-Inputs!$E$24)))</f>
        <v>0.787003589682688</v>
      </c>
      <c r="N437" s="81" t="n">
        <f aca="true">RAND()</f>
        <v>0.157838537896323</v>
      </c>
      <c r="O437" s="83" t="n">
        <f aca="false">IF(N437&lt;(Inputs!$E$26-Inputs!$D$26)/(Inputs!$F$26-Inputs!$D$26),Inputs!$D$26+SQRT(N437*(Inputs!$F$26-Inputs!$D$26)*(Inputs!$E$26-Inputs!$D$26)),Inputs!$F$26-SQRT((1-N437)*(Inputs!$F$26-Inputs!$D$26)*(Inputs!$F$26-Inputs!$E$26)))</f>
        <v>0.462062743114968</v>
      </c>
      <c r="P437" s="81" t="n">
        <f aca="true">RAND()</f>
        <v>0.279286269145574</v>
      </c>
      <c r="Q437" s="82" t="n">
        <f aca="false">IF(P437&lt;(Inputs!$E$27-Inputs!$D$27)/(Inputs!$F$27-Inputs!$D$27),Inputs!$D$27+SQRT(P437*(Inputs!$F$27-Inputs!$D$27)*(Inputs!$E$27-Inputs!$D$27)),Inputs!$F$27-SQRT((1-P437)*(Inputs!$F$27-Inputs!$D$27)*(Inputs!$F$27-Inputs!$E$27)))</f>
        <v>76.4788943132096</v>
      </c>
      <c r="R437" s="81" t="n">
        <f aca="true">RAND()</f>
        <v>0.809096339528481</v>
      </c>
      <c r="S437" s="82" t="n">
        <f aca="false">IF(R437&lt;(Inputs!$E$29-Inputs!$D$29)/(Inputs!$F$29-Inputs!$D$29),Inputs!$D$29+SQRT(R437*(Inputs!$F$29-Inputs!$D$29)*(Inputs!$E$29-Inputs!$D$29)),Inputs!$F$29-SQRT((1-R437)*(Inputs!$F$29-Inputs!$D$29)*(Inputs!$F$29-Inputs!$E$29)))</f>
        <v>10.0182858511053</v>
      </c>
      <c r="T437" s="68" t="n">
        <f aca="false">Inputs!$E$9*(1+E437)+Inputs!$E$5*C437*(Inputs!$E$11*Inputs!$E$14*(G437*I437/Inputs!$E$16+(1-G437))*K437+Inputs!$E$23*M437)*(1+O437)+Inputs!$E$5*(Q437+S437)</f>
        <v>5752.31456980568</v>
      </c>
    </row>
    <row r="438" customFormat="false" ht="15" hidden="false" customHeight="false" outlineLevel="0" collapsed="false">
      <c r="A438" s="1" t="n">
        <v>434</v>
      </c>
      <c r="B438" s="81" t="n">
        <f aca="true">RAND()</f>
        <v>0.755802006760479</v>
      </c>
      <c r="C438" s="82" t="n">
        <f aca="false">ROUND(IF(B438&lt;(Inputs!$E$8-Inputs!$D$8)/(Inputs!$F$8-Inputs!$D$8),Inputs!$D$8+SQRT(B438*(Inputs!$F$8-Inputs!$D$8)*(Inputs!$E$8-Inputs!$D$8)),Inputs!$F$8-SQRT((1-B438)*(Inputs!$F$8-Inputs!$D$8)*(Inputs!$F$8-Inputs!$E$8))),0)</f>
        <v>27</v>
      </c>
      <c r="D438" s="81" t="n">
        <f aca="true">RAND()</f>
        <v>0.554546308716814</v>
      </c>
      <c r="E438" s="83" t="n">
        <f aca="false">IF(D438&lt;(Inputs!$E$10-Inputs!$D$10)/(Inputs!$F$10-Inputs!$D$10),Inputs!$D$10+SQRT(D438*(Inputs!$F$10-Inputs!$D$10)*(Inputs!$E$10-Inputs!$D$10)),Inputs!$F$10-SQRT((1-D438)*(Inputs!$F$10-Inputs!$D$10)*(Inputs!$F$10-Inputs!$E$10)))</f>
        <v>0.0843989154960232</v>
      </c>
      <c r="F438" s="81" t="n">
        <f aca="true">RAND()</f>
        <v>0.898294074706111</v>
      </c>
      <c r="G438" s="83" t="n">
        <f aca="false">IF(F438&lt;(Inputs!$E$15-Inputs!$D$15)/(Inputs!$F$15-Inputs!$D$15),Inputs!$D$15+SQRT(F438*(Inputs!$F$15-Inputs!$D$15)*(Inputs!$E$15-Inputs!$D$15)),Inputs!$F$15-SQRT((1-F438)*(Inputs!$F$15-Inputs!$D$15)*(Inputs!$F$15-Inputs!$E$15)))</f>
        <v>0.754898797068395</v>
      </c>
      <c r="H438" s="81" t="n">
        <f aca="true">RAND()</f>
        <v>0.672745672777001</v>
      </c>
      <c r="I438" s="82" t="n">
        <f aca="false">ROUND(IF(H438&lt;(Inputs!$E$17-Inputs!$D$17)/(Inputs!$F$17-Inputs!$D$17),Inputs!$D$17+SQRT(H438*(Inputs!$F$17-Inputs!$D$17)*(Inputs!$E$17-Inputs!$D$17)),Inputs!$F$17-SQRT((1-H438)*(Inputs!$F$17-Inputs!$D$17)*(Inputs!$F$17-Inputs!$E$17))),0)</f>
        <v>108</v>
      </c>
      <c r="J438" s="81" t="n">
        <f aca="true">RAND()</f>
        <v>0.487497740494081</v>
      </c>
      <c r="K438" s="83" t="n">
        <f aca="false">IF(J438&lt;(Inputs!$E$18-Inputs!$D$18)/(Inputs!$F$18-Inputs!$D$18),Inputs!$D$18+SQRT(J438*(Inputs!$F$18-Inputs!$D$18)*(Inputs!$E$18-Inputs!$D$18)),Inputs!$F$18-SQRT((1-J438)*(Inputs!$F$18-Inputs!$D$18)*(Inputs!$F$18-Inputs!$E$18)))</f>
        <v>1.03823610386384</v>
      </c>
      <c r="L438" s="81" t="n">
        <f aca="true">RAND()</f>
        <v>0.523042091051663</v>
      </c>
      <c r="M438" s="83" t="n">
        <f aca="false">IF(L438&lt;(Inputs!$E$24-Inputs!$D$24)/(Inputs!$F$24-Inputs!$D$24),Inputs!$D$24+SQRT(L438*(Inputs!$F$24-Inputs!$D$24)*(Inputs!$E$24-Inputs!$D$24)),Inputs!$F$24-SQRT((1-L438)*(Inputs!$F$24-Inputs!$D$24)*(Inputs!$F$24-Inputs!$E$24)))</f>
        <v>0.861665996170056</v>
      </c>
      <c r="N438" s="81" t="n">
        <f aca="true">RAND()</f>
        <v>0.970853732100527</v>
      </c>
      <c r="O438" s="83" t="n">
        <f aca="false">IF(N438&lt;(Inputs!$E$26-Inputs!$D$26)/(Inputs!$F$26-Inputs!$D$26),Inputs!$D$26+SQRT(N438*(Inputs!$F$26-Inputs!$D$26)*(Inputs!$E$26-Inputs!$D$26)),Inputs!$F$26-SQRT((1-N438)*(Inputs!$F$26-Inputs!$D$26)*(Inputs!$F$26-Inputs!$E$26)))</f>
        <v>0.764943557492831</v>
      </c>
      <c r="P438" s="81" t="n">
        <f aca="true">RAND()</f>
        <v>0.887266300943504</v>
      </c>
      <c r="Q438" s="82" t="n">
        <f aca="false">IF(P438&lt;(Inputs!$E$27-Inputs!$D$27)/(Inputs!$F$27-Inputs!$D$27),Inputs!$D$27+SQRT(P438*(Inputs!$F$27-Inputs!$D$27)*(Inputs!$E$27-Inputs!$D$27)),Inputs!$F$27-SQRT((1-P438)*(Inputs!$F$27-Inputs!$D$27)*(Inputs!$F$27-Inputs!$E$27)))</f>
        <v>120.922470137171</v>
      </c>
      <c r="R438" s="81" t="n">
        <f aca="true">RAND()</f>
        <v>0.796864077433986</v>
      </c>
      <c r="S438" s="82" t="n">
        <f aca="false">IF(R438&lt;(Inputs!$E$29-Inputs!$D$29)/(Inputs!$F$29-Inputs!$D$29),Inputs!$D$29+SQRT(R438*(Inputs!$F$29-Inputs!$D$29)*(Inputs!$E$29-Inputs!$D$29)),Inputs!$F$29-SQRT((1-R438)*(Inputs!$F$29-Inputs!$D$29)*(Inputs!$F$29-Inputs!$E$29)))</f>
        <v>9.86116064333766</v>
      </c>
      <c r="T438" s="68" t="n">
        <f aca="false">Inputs!$E$9*(1+E438)+Inputs!$E$5*C438*(Inputs!$E$11*Inputs!$E$14*(G438*I438/Inputs!$E$16+(1-G438))*K438+Inputs!$E$23*M438)*(1+O438)+Inputs!$E$5*(Q438+S438)</f>
        <v>7116.54971651905</v>
      </c>
    </row>
    <row r="439" customFormat="false" ht="15" hidden="false" customHeight="false" outlineLevel="0" collapsed="false">
      <c r="A439" s="1" t="n">
        <v>435</v>
      </c>
      <c r="B439" s="81" t="n">
        <f aca="true">RAND()</f>
        <v>0.256719227241909</v>
      </c>
      <c r="C439" s="82" t="n">
        <f aca="false">ROUND(IF(B439&lt;(Inputs!$E$8-Inputs!$D$8)/(Inputs!$F$8-Inputs!$D$8),Inputs!$D$8+SQRT(B439*(Inputs!$F$8-Inputs!$D$8)*(Inputs!$E$8-Inputs!$D$8)),Inputs!$F$8-SQRT((1-B439)*(Inputs!$F$8-Inputs!$D$8)*(Inputs!$F$8-Inputs!$E$8))),0)</f>
        <v>24</v>
      </c>
      <c r="D439" s="81" t="n">
        <f aca="true">RAND()</f>
        <v>0.52138519781709</v>
      </c>
      <c r="E439" s="83" t="n">
        <f aca="false">IF(D439&lt;(Inputs!$E$10-Inputs!$D$10)/(Inputs!$F$10-Inputs!$D$10),Inputs!$D$10+SQRT(D439*(Inputs!$F$10-Inputs!$D$10)*(Inputs!$E$10-Inputs!$D$10)),Inputs!$F$10-SQRT((1-D439)*(Inputs!$F$10-Inputs!$D$10)*(Inputs!$F$10-Inputs!$E$10)))</f>
        <v>0.0801732748278277</v>
      </c>
      <c r="F439" s="81" t="n">
        <f aca="true">RAND()</f>
        <v>0.712934672753048</v>
      </c>
      <c r="G439" s="83" t="n">
        <f aca="false">IF(F439&lt;(Inputs!$E$15-Inputs!$D$15)/(Inputs!$F$15-Inputs!$D$15),Inputs!$D$15+SQRT(F439*(Inputs!$F$15-Inputs!$D$15)*(Inputs!$E$15-Inputs!$D$15)),Inputs!$F$15-SQRT((1-F439)*(Inputs!$F$15-Inputs!$D$15)*(Inputs!$F$15-Inputs!$E$15)))</f>
        <v>0.72422859018773</v>
      </c>
      <c r="H439" s="81" t="n">
        <f aca="true">RAND()</f>
        <v>0.731037918025485</v>
      </c>
      <c r="I439" s="82" t="n">
        <f aca="false">ROUND(IF(H439&lt;(Inputs!$E$17-Inputs!$D$17)/(Inputs!$F$17-Inputs!$D$17),Inputs!$D$17+SQRT(H439*(Inputs!$F$17-Inputs!$D$17)*(Inputs!$E$17-Inputs!$D$17)),Inputs!$F$17-SQRT((1-H439)*(Inputs!$F$17-Inputs!$D$17)*(Inputs!$F$17-Inputs!$E$17))),0)</f>
        <v>109</v>
      </c>
      <c r="J439" s="81" t="n">
        <f aca="true">RAND()</f>
        <v>0.579758224702648</v>
      </c>
      <c r="K439" s="83" t="n">
        <f aca="false">IF(J439&lt;(Inputs!$E$18-Inputs!$D$18)/(Inputs!$F$18-Inputs!$D$18),Inputs!$D$18+SQRT(J439*(Inputs!$F$18-Inputs!$D$18)*(Inputs!$E$18-Inputs!$D$18)),Inputs!$F$18-SQRT((1-J439)*(Inputs!$F$18-Inputs!$D$18)*(Inputs!$F$18-Inputs!$E$18)))</f>
        <v>1.05824193540162</v>
      </c>
      <c r="L439" s="81" t="n">
        <f aca="true">RAND()</f>
        <v>0.663915914323279</v>
      </c>
      <c r="M439" s="83" t="n">
        <f aca="false">IF(L439&lt;(Inputs!$E$24-Inputs!$D$24)/(Inputs!$F$24-Inputs!$D$24),Inputs!$D$24+SQRT(L439*(Inputs!$F$24-Inputs!$D$24)*(Inputs!$E$24-Inputs!$D$24)),Inputs!$F$24-SQRT((1-L439)*(Inputs!$F$24-Inputs!$D$24)*(Inputs!$F$24-Inputs!$E$24)))</f>
        <v>0.915992639950277</v>
      </c>
      <c r="N439" s="81" t="n">
        <f aca="true">RAND()</f>
        <v>0.249932775987363</v>
      </c>
      <c r="O439" s="83" t="n">
        <f aca="false">IF(N439&lt;(Inputs!$E$26-Inputs!$D$26)/(Inputs!$F$26-Inputs!$D$26),Inputs!$D$26+SQRT(N439*(Inputs!$F$26-Inputs!$D$26)*(Inputs!$E$26-Inputs!$D$26)),Inputs!$F$26-SQRT((1-N439)*(Inputs!$F$26-Inputs!$D$26)*(Inputs!$F$26-Inputs!$E$26)))</f>
        <v>0.503933356575861</v>
      </c>
      <c r="P439" s="81" t="n">
        <f aca="true">RAND()</f>
        <v>0.494958470774582</v>
      </c>
      <c r="Q439" s="82" t="n">
        <f aca="false">IF(P439&lt;(Inputs!$E$27-Inputs!$D$27)/(Inputs!$F$27-Inputs!$D$27),Inputs!$D$27+SQRT(P439*(Inputs!$F$27-Inputs!$D$27)*(Inputs!$E$27-Inputs!$D$27)),Inputs!$F$27-SQRT((1-P439)*(Inputs!$F$27-Inputs!$D$27)*(Inputs!$F$27-Inputs!$E$27)))</f>
        <v>88.4548014123714</v>
      </c>
      <c r="R439" s="81" t="n">
        <f aca="true">RAND()</f>
        <v>0.667361368050048</v>
      </c>
      <c r="S439" s="82" t="n">
        <f aca="false">IF(R439&lt;(Inputs!$E$29-Inputs!$D$29)/(Inputs!$F$29-Inputs!$D$29),Inputs!$D$29+SQRT(R439*(Inputs!$F$29-Inputs!$D$29)*(Inputs!$E$29-Inputs!$D$29)),Inputs!$F$29-SQRT((1-R439)*(Inputs!$F$29-Inputs!$D$29)*(Inputs!$F$29-Inputs!$E$29)))</f>
        <v>8.42405731826274</v>
      </c>
      <c r="T439" s="68" t="n">
        <f aca="false">Inputs!$E$9*(1+E439)+Inputs!$E$5*C439*(Inputs!$E$11*Inputs!$E$14*(G439*I439/Inputs!$E$16+(1-G439))*K439+Inputs!$E$23*M439)*(1+O439)+Inputs!$E$5*(Q439+S439)</f>
        <v>6105.9151890775</v>
      </c>
    </row>
    <row r="440" customFormat="false" ht="15" hidden="false" customHeight="false" outlineLevel="0" collapsed="false">
      <c r="A440" s="1" t="n">
        <v>436</v>
      </c>
      <c r="B440" s="81" t="n">
        <f aca="true">RAND()</f>
        <v>0.0413099345243577</v>
      </c>
      <c r="C440" s="82" t="n">
        <f aca="false">ROUND(IF(B440&lt;(Inputs!$E$8-Inputs!$D$8)/(Inputs!$F$8-Inputs!$D$8),Inputs!$D$8+SQRT(B440*(Inputs!$F$8-Inputs!$D$8)*(Inputs!$E$8-Inputs!$D$8)),Inputs!$F$8-SQRT((1-B440)*(Inputs!$F$8-Inputs!$D$8)*(Inputs!$F$8-Inputs!$E$8))),0)</f>
        <v>21</v>
      </c>
      <c r="D440" s="81" t="n">
        <f aca="true">RAND()</f>
        <v>0.148511849578458</v>
      </c>
      <c r="E440" s="83" t="n">
        <f aca="false">IF(D440&lt;(Inputs!$E$10-Inputs!$D$10)/(Inputs!$F$10-Inputs!$D$10),Inputs!$D$10+SQRT(D440*(Inputs!$F$10-Inputs!$D$10)*(Inputs!$E$10-Inputs!$D$10)),Inputs!$F$10-SQRT((1-D440)*(Inputs!$F$10-Inputs!$D$10)*(Inputs!$F$10-Inputs!$E$10)))</f>
        <v>0.0385372351860454</v>
      </c>
      <c r="F440" s="81" t="n">
        <f aca="true">RAND()</f>
        <v>0.8210597917037</v>
      </c>
      <c r="G440" s="83" t="n">
        <f aca="false">IF(F440&lt;(Inputs!$E$15-Inputs!$D$15)/(Inputs!$F$15-Inputs!$D$15),Inputs!$D$15+SQRT(F440*(Inputs!$F$15-Inputs!$D$15)*(Inputs!$E$15-Inputs!$D$15)),Inputs!$F$15-SQRT((1-F440)*(Inputs!$F$15-Inputs!$D$15)*(Inputs!$F$15-Inputs!$E$15)))</f>
        <v>0.740176892709205</v>
      </c>
      <c r="H440" s="81" t="n">
        <f aca="true">RAND()</f>
        <v>0.0825297364634429</v>
      </c>
      <c r="I440" s="82" t="n">
        <f aca="false">ROUND(IF(H440&lt;(Inputs!$E$17-Inputs!$D$17)/(Inputs!$F$17-Inputs!$D$17),Inputs!$D$17+SQRT(H440*(Inputs!$F$17-Inputs!$D$17)*(Inputs!$E$17-Inputs!$D$17)),Inputs!$F$17-SQRT((1-H440)*(Inputs!$F$17-Inputs!$D$17)*(Inputs!$F$17-Inputs!$E$17))),0)</f>
        <v>102</v>
      </c>
      <c r="J440" s="81" t="n">
        <f aca="true">RAND()</f>
        <v>0.351567533575727</v>
      </c>
      <c r="K440" s="83" t="n">
        <f aca="false">IF(J440&lt;(Inputs!$E$18-Inputs!$D$18)/(Inputs!$F$18-Inputs!$D$18),Inputs!$D$18+SQRT(J440*(Inputs!$F$18-Inputs!$D$18)*(Inputs!$E$18-Inputs!$D$18)),Inputs!$F$18-SQRT((1-J440)*(Inputs!$F$18-Inputs!$D$18)*(Inputs!$F$18-Inputs!$E$18)))</f>
        <v>1.01180293702037</v>
      </c>
      <c r="L440" s="81" t="n">
        <f aca="true">RAND()</f>
        <v>0.369252594696099</v>
      </c>
      <c r="M440" s="83" t="n">
        <f aca="false">IF(L440&lt;(Inputs!$E$24-Inputs!$D$24)/(Inputs!$F$24-Inputs!$D$24),Inputs!$D$24+SQRT(L440*(Inputs!$F$24-Inputs!$D$24)*(Inputs!$E$24-Inputs!$D$24)),Inputs!$F$24-SQRT((1-L440)*(Inputs!$F$24-Inputs!$D$24)*(Inputs!$F$24-Inputs!$E$24)))</f>
        <v>0.810924972180254</v>
      </c>
      <c r="N440" s="81" t="n">
        <f aca="true">RAND()</f>
        <v>0.313007993209342</v>
      </c>
      <c r="O440" s="83" t="n">
        <f aca="false">IF(N440&lt;(Inputs!$E$26-Inputs!$D$26)/(Inputs!$F$26-Inputs!$D$26),Inputs!$D$26+SQRT(N440*(Inputs!$F$26-Inputs!$D$26)*(Inputs!$E$26-Inputs!$D$26)),Inputs!$F$26-SQRT((1-N440)*(Inputs!$F$26-Inputs!$D$26)*(Inputs!$F$26-Inputs!$E$26)))</f>
        <v>0.528220354197505</v>
      </c>
      <c r="P440" s="81" t="n">
        <f aca="true">RAND()</f>
        <v>0.850363919460049</v>
      </c>
      <c r="Q440" s="82" t="n">
        <f aca="false">IF(P440&lt;(Inputs!$E$27-Inputs!$D$27)/(Inputs!$F$27-Inputs!$D$27),Inputs!$D$27+SQRT(P440*(Inputs!$F$27-Inputs!$D$27)*(Inputs!$E$27-Inputs!$D$27)),Inputs!$F$27-SQRT((1-P440)*(Inputs!$F$27-Inputs!$D$27)*(Inputs!$F$27-Inputs!$E$27)))</f>
        <v>116.499692478283</v>
      </c>
      <c r="R440" s="81" t="n">
        <f aca="true">RAND()</f>
        <v>0.612106050976408</v>
      </c>
      <c r="S440" s="82" t="n">
        <f aca="false">IF(R440&lt;(Inputs!$E$29-Inputs!$D$29)/(Inputs!$F$29-Inputs!$D$29),Inputs!$D$29+SQRT(R440*(Inputs!$F$29-Inputs!$D$29)*(Inputs!$E$29-Inputs!$D$29)),Inputs!$F$29-SQRT((1-R440)*(Inputs!$F$29-Inputs!$D$29)*(Inputs!$F$29-Inputs!$E$29)))</f>
        <v>7.89885830495779</v>
      </c>
      <c r="T440" s="68" t="n">
        <f aca="false">Inputs!$E$9*(1+E440)+Inputs!$E$5*C440*(Inputs!$E$11*Inputs!$E$14*(G440*I440/Inputs!$E$16+(1-G440))*K440+Inputs!$E$23*M440)*(1+O440)+Inputs!$E$5*(Q440+S440)</f>
        <v>5504.8659552151</v>
      </c>
    </row>
    <row r="441" customFormat="false" ht="15" hidden="false" customHeight="false" outlineLevel="0" collapsed="false">
      <c r="A441" s="1" t="n">
        <v>437</v>
      </c>
      <c r="B441" s="81" t="n">
        <f aca="true">RAND()</f>
        <v>0.762908299256086</v>
      </c>
      <c r="C441" s="82" t="n">
        <f aca="false">ROUND(IF(B441&lt;(Inputs!$E$8-Inputs!$D$8)/(Inputs!$F$8-Inputs!$D$8),Inputs!$D$8+SQRT(B441*(Inputs!$F$8-Inputs!$D$8)*(Inputs!$E$8-Inputs!$D$8)),Inputs!$F$8-SQRT((1-B441)*(Inputs!$F$8-Inputs!$D$8)*(Inputs!$F$8-Inputs!$E$8))),0)</f>
        <v>27</v>
      </c>
      <c r="D441" s="81" t="n">
        <f aca="true">RAND()</f>
        <v>0.560916749836497</v>
      </c>
      <c r="E441" s="83" t="n">
        <f aca="false">IF(D441&lt;(Inputs!$E$10-Inputs!$D$10)/(Inputs!$F$10-Inputs!$D$10),Inputs!$D$10+SQRT(D441*(Inputs!$F$10-Inputs!$D$10)*(Inputs!$E$10-Inputs!$D$10)),Inputs!$F$10-SQRT((1-D441)*(Inputs!$F$10-Inputs!$D$10)*(Inputs!$F$10-Inputs!$E$10)))</f>
        <v>0.0852284987250533</v>
      </c>
      <c r="F441" s="81" t="n">
        <f aca="true">RAND()</f>
        <v>0.253820295011306</v>
      </c>
      <c r="G441" s="83" t="n">
        <f aca="false">IF(F441&lt;(Inputs!$E$15-Inputs!$D$15)/(Inputs!$F$15-Inputs!$D$15),Inputs!$D$15+SQRT(F441*(Inputs!$F$15-Inputs!$D$15)*(Inputs!$E$15-Inputs!$D$15)),Inputs!$F$15-SQRT((1-F441)*(Inputs!$F$15-Inputs!$D$15)*(Inputs!$F$15-Inputs!$E$15)))</f>
        <v>0.671248901045743</v>
      </c>
      <c r="H441" s="81" t="n">
        <f aca="true">RAND()</f>
        <v>0.602227225937605</v>
      </c>
      <c r="I441" s="82" t="n">
        <f aca="false">ROUND(IF(H441&lt;(Inputs!$E$17-Inputs!$D$17)/(Inputs!$F$17-Inputs!$D$17),Inputs!$D$17+SQRT(H441*(Inputs!$F$17-Inputs!$D$17)*(Inputs!$E$17-Inputs!$D$17)),Inputs!$F$17-SQRT((1-H441)*(Inputs!$F$17-Inputs!$D$17)*(Inputs!$F$17-Inputs!$E$17))),0)</f>
        <v>107</v>
      </c>
      <c r="J441" s="81" t="n">
        <f aca="true">RAND()</f>
        <v>0.424352468539846</v>
      </c>
      <c r="K441" s="83" t="n">
        <f aca="false">IF(J441&lt;(Inputs!$E$18-Inputs!$D$18)/(Inputs!$F$18-Inputs!$D$18),Inputs!$D$18+SQRT(J441*(Inputs!$F$18-Inputs!$D$18)*(Inputs!$E$18-Inputs!$D$18)),Inputs!$F$18-SQRT((1-J441)*(Inputs!$F$18-Inputs!$D$18)*(Inputs!$F$18-Inputs!$E$18)))</f>
        <v>1.025569255665</v>
      </c>
      <c r="L441" s="81" t="n">
        <f aca="true">RAND()</f>
        <v>0.917989787027292</v>
      </c>
      <c r="M441" s="83" t="n">
        <f aca="false">IF(L441&lt;(Inputs!$E$24-Inputs!$D$24)/(Inputs!$F$24-Inputs!$D$24),Inputs!$D$24+SQRT(L441*(Inputs!$F$24-Inputs!$D$24)*(Inputs!$E$24-Inputs!$D$24)),Inputs!$F$24-SQRT((1-L441)*(Inputs!$F$24-Inputs!$D$24)*(Inputs!$F$24-Inputs!$E$24)))</f>
        <v>1.05970584077215</v>
      </c>
      <c r="N441" s="81" t="n">
        <f aca="true">RAND()</f>
        <v>0.00921101713528997</v>
      </c>
      <c r="O441" s="83" t="n">
        <f aca="false">IF(N441&lt;(Inputs!$E$26-Inputs!$D$26)/(Inputs!$F$26-Inputs!$D$26),Inputs!$D$26+SQRT(N441*(Inputs!$F$26-Inputs!$D$26)*(Inputs!$E$26-Inputs!$D$26)),Inputs!$F$26-SQRT((1-N441)*(Inputs!$F$26-Inputs!$D$26)*(Inputs!$F$26-Inputs!$E$26)))</f>
        <v>0.339149881881204</v>
      </c>
      <c r="P441" s="81" t="n">
        <f aca="true">RAND()</f>
        <v>0.657187762267215</v>
      </c>
      <c r="Q441" s="82" t="n">
        <f aca="false">IF(P441&lt;(Inputs!$E$27-Inputs!$D$27)/(Inputs!$F$27-Inputs!$D$27),Inputs!$D$27+SQRT(P441*(Inputs!$F$27-Inputs!$D$27)*(Inputs!$E$27-Inputs!$D$27)),Inputs!$F$27-SQRT((1-P441)*(Inputs!$F$27-Inputs!$D$27)*(Inputs!$F$27-Inputs!$E$27)))</f>
        <v>99.2940656037591</v>
      </c>
      <c r="R441" s="81" t="n">
        <f aca="true">RAND()</f>
        <v>0.572933812481886</v>
      </c>
      <c r="S441" s="82" t="n">
        <f aca="false">IF(R441&lt;(Inputs!$E$29-Inputs!$D$29)/(Inputs!$F$29-Inputs!$D$29),Inputs!$D$29+SQRT(R441*(Inputs!$F$29-Inputs!$D$29)*(Inputs!$E$29-Inputs!$D$29)),Inputs!$F$29-SQRT((1-R441)*(Inputs!$F$29-Inputs!$D$29)*(Inputs!$F$29-Inputs!$E$29)))</f>
        <v>7.54891924769602</v>
      </c>
      <c r="T441" s="68" t="n">
        <f aca="false">Inputs!$E$9*(1+E441)+Inputs!$E$5*C441*(Inputs!$E$11*Inputs!$E$14*(G441*I441/Inputs!$E$16+(1-G441))*K441+Inputs!$E$23*M441)*(1+O441)+Inputs!$E$5*(Q441+S441)</f>
        <v>6335.26395329277</v>
      </c>
    </row>
    <row r="442" customFormat="false" ht="15" hidden="false" customHeight="false" outlineLevel="0" collapsed="false">
      <c r="A442" s="1" t="n">
        <v>438</v>
      </c>
      <c r="B442" s="81" t="n">
        <f aca="true">RAND()</f>
        <v>0.723874361430962</v>
      </c>
      <c r="C442" s="82" t="n">
        <f aca="false">ROUND(IF(B442&lt;(Inputs!$E$8-Inputs!$D$8)/(Inputs!$F$8-Inputs!$D$8),Inputs!$D$8+SQRT(B442*(Inputs!$F$8-Inputs!$D$8)*(Inputs!$E$8-Inputs!$D$8)),Inputs!$F$8-SQRT((1-B442)*(Inputs!$F$8-Inputs!$D$8)*(Inputs!$F$8-Inputs!$E$8))),0)</f>
        <v>26</v>
      </c>
      <c r="D442" s="81" t="n">
        <f aca="true">RAND()</f>
        <v>0.189293391711776</v>
      </c>
      <c r="E442" s="83" t="n">
        <f aca="false">IF(D442&lt;(Inputs!$E$10-Inputs!$D$10)/(Inputs!$F$10-Inputs!$D$10),Inputs!$D$10+SQRT(D442*(Inputs!$F$10-Inputs!$D$10)*(Inputs!$E$10-Inputs!$D$10)),Inputs!$F$10-SQRT((1-D442)*(Inputs!$F$10-Inputs!$D$10)*(Inputs!$F$10-Inputs!$E$10)))</f>
        <v>0.0435078604061124</v>
      </c>
      <c r="F442" s="81" t="n">
        <f aca="true">RAND()</f>
        <v>0.775156133690621</v>
      </c>
      <c r="G442" s="83" t="n">
        <f aca="false">IF(F442&lt;(Inputs!$E$15-Inputs!$D$15)/(Inputs!$F$15-Inputs!$D$15),Inputs!$D$15+SQRT(F442*(Inputs!$F$15-Inputs!$D$15)*(Inputs!$E$15-Inputs!$D$15)),Inputs!$F$15-SQRT((1-F442)*(Inputs!$F$15-Inputs!$D$15)*(Inputs!$F$15-Inputs!$E$15)))</f>
        <v>0.732941239750592</v>
      </c>
      <c r="H442" s="81" t="n">
        <f aca="true">RAND()</f>
        <v>0.643371600261601</v>
      </c>
      <c r="I442" s="82" t="n">
        <f aca="false">ROUND(IF(H442&lt;(Inputs!$E$17-Inputs!$D$17)/(Inputs!$F$17-Inputs!$D$17),Inputs!$D$17+SQRT(H442*(Inputs!$F$17-Inputs!$D$17)*(Inputs!$E$17-Inputs!$D$17)),Inputs!$F$17-SQRT((1-H442)*(Inputs!$F$17-Inputs!$D$17)*(Inputs!$F$17-Inputs!$E$17))),0)</f>
        <v>108</v>
      </c>
      <c r="J442" s="81" t="n">
        <f aca="true">RAND()</f>
        <v>0.990446753859587</v>
      </c>
      <c r="K442" s="83" t="n">
        <f aca="false">IF(J442&lt;(Inputs!$E$18-Inputs!$D$18)/(Inputs!$F$18-Inputs!$D$18),Inputs!$D$18+SQRT(J442*(Inputs!$F$18-Inputs!$D$18)*(Inputs!$E$18-Inputs!$D$18)),Inputs!$F$18-SQRT((1-J442)*(Inputs!$F$18-Inputs!$D$18)*(Inputs!$F$18-Inputs!$E$18)))</f>
        <v>1.22108790845881</v>
      </c>
      <c r="L442" s="81" t="n">
        <f aca="true">RAND()</f>
        <v>0.233433044660893</v>
      </c>
      <c r="M442" s="83" t="n">
        <f aca="false">IF(L442&lt;(Inputs!$E$24-Inputs!$D$24)/(Inputs!$F$24-Inputs!$D$24),Inputs!$D$24+SQRT(L442*(Inputs!$F$24-Inputs!$D$24)*(Inputs!$E$24-Inputs!$D$24)),Inputs!$F$24-SQRT((1-L442)*(Inputs!$F$24-Inputs!$D$24)*(Inputs!$F$24-Inputs!$E$24)))</f>
        <v>0.767367754837386</v>
      </c>
      <c r="N442" s="81" t="n">
        <f aca="true">RAND()</f>
        <v>0.342326731198873</v>
      </c>
      <c r="O442" s="83" t="n">
        <f aca="false">IF(N442&lt;(Inputs!$E$26-Inputs!$D$26)/(Inputs!$F$26-Inputs!$D$26),Inputs!$D$26+SQRT(N442*(Inputs!$F$26-Inputs!$D$26)*(Inputs!$E$26-Inputs!$D$26)),Inputs!$F$26-SQRT((1-N442)*(Inputs!$F$26-Inputs!$D$26)*(Inputs!$F$26-Inputs!$E$26)))</f>
        <v>0.538669579275392</v>
      </c>
      <c r="P442" s="81" t="n">
        <f aca="true">RAND()</f>
        <v>0.940567234836544</v>
      </c>
      <c r="Q442" s="82" t="n">
        <f aca="false">IF(P442&lt;(Inputs!$E$27-Inputs!$D$27)/(Inputs!$F$27-Inputs!$D$27),Inputs!$D$27+SQRT(P442*(Inputs!$F$27-Inputs!$D$27)*(Inputs!$E$27-Inputs!$D$27)),Inputs!$F$27-SQRT((1-P442)*(Inputs!$F$27-Inputs!$D$27)*(Inputs!$F$27-Inputs!$E$27)))</f>
        <v>128.887308586399</v>
      </c>
      <c r="R442" s="81" t="n">
        <f aca="true">RAND()</f>
        <v>0.736897724723558</v>
      </c>
      <c r="S442" s="82" t="n">
        <f aca="false">IF(R442&lt;(Inputs!$E$29-Inputs!$D$29)/(Inputs!$F$29-Inputs!$D$29),Inputs!$D$29+SQRT(R442*(Inputs!$F$29-Inputs!$D$29)*(Inputs!$E$29-Inputs!$D$29)),Inputs!$F$29-SQRT((1-R442)*(Inputs!$F$29-Inputs!$D$29)*(Inputs!$F$29-Inputs!$E$29)))</f>
        <v>9.15164161615095</v>
      </c>
      <c r="T442" s="68" t="n">
        <f aca="false">Inputs!$E$9*(1+E442)+Inputs!$E$5*C442*(Inputs!$E$11*Inputs!$E$14*(G442*I442/Inputs!$E$16+(1-G442))*K442+Inputs!$E$23*M442)*(1+O442)+Inputs!$E$5*(Q442+S442)</f>
        <v>6694.77582640108</v>
      </c>
    </row>
    <row r="443" customFormat="false" ht="15" hidden="false" customHeight="false" outlineLevel="0" collapsed="false">
      <c r="A443" s="1" t="n">
        <v>439</v>
      </c>
      <c r="B443" s="81" t="n">
        <f aca="true">RAND()</f>
        <v>0.363576094763417</v>
      </c>
      <c r="C443" s="82" t="n">
        <f aca="false">ROUND(IF(B443&lt;(Inputs!$E$8-Inputs!$D$8)/(Inputs!$F$8-Inputs!$D$8),Inputs!$D$8+SQRT(B443*(Inputs!$F$8-Inputs!$D$8)*(Inputs!$E$8-Inputs!$D$8)),Inputs!$F$8-SQRT((1-B443)*(Inputs!$F$8-Inputs!$D$8)*(Inputs!$F$8-Inputs!$E$8))),0)</f>
        <v>24</v>
      </c>
      <c r="D443" s="81" t="n">
        <f aca="true">RAND()</f>
        <v>0.431029049584765</v>
      </c>
      <c r="E443" s="83" t="n">
        <f aca="false">IF(D443&lt;(Inputs!$E$10-Inputs!$D$10)/(Inputs!$F$10-Inputs!$D$10),Inputs!$D$10+SQRT(D443*(Inputs!$F$10-Inputs!$D$10)*(Inputs!$E$10-Inputs!$D$10)),Inputs!$F$10-SQRT((1-D443)*(Inputs!$F$10-Inputs!$D$10)*(Inputs!$F$10-Inputs!$E$10)))</f>
        <v>0.0693511251006843</v>
      </c>
      <c r="F443" s="81" t="n">
        <f aca="true">RAND()</f>
        <v>0.842650666366736</v>
      </c>
      <c r="G443" s="83" t="n">
        <f aca="false">IF(F443&lt;(Inputs!$E$15-Inputs!$D$15)/(Inputs!$F$15-Inputs!$D$15),Inputs!$D$15+SQRT(F443*(Inputs!$F$15-Inputs!$D$15)*(Inputs!$E$15-Inputs!$D$15)),Inputs!$F$15-SQRT((1-F443)*(Inputs!$F$15-Inputs!$D$15)*(Inputs!$F$15-Inputs!$E$15)))</f>
        <v>0.743901990475015</v>
      </c>
      <c r="H443" s="81" t="n">
        <f aca="true">RAND()</f>
        <v>0.686825992424866</v>
      </c>
      <c r="I443" s="82" t="n">
        <f aca="false">ROUND(IF(H443&lt;(Inputs!$E$17-Inputs!$D$17)/(Inputs!$F$17-Inputs!$D$17),Inputs!$D$17+SQRT(H443*(Inputs!$F$17-Inputs!$D$17)*(Inputs!$E$17-Inputs!$D$17)),Inputs!$F$17-SQRT((1-H443)*(Inputs!$F$17-Inputs!$D$17)*(Inputs!$F$17-Inputs!$E$17))),0)</f>
        <v>108</v>
      </c>
      <c r="J443" s="81" t="n">
        <f aca="true">RAND()</f>
        <v>0.165165159657512</v>
      </c>
      <c r="K443" s="83" t="n">
        <f aca="false">IF(J443&lt;(Inputs!$E$18-Inputs!$D$18)/(Inputs!$F$18-Inputs!$D$18),Inputs!$D$18+SQRT(J443*(Inputs!$F$18-Inputs!$D$18)*(Inputs!$E$18-Inputs!$D$18)),Inputs!$F$18-SQRT((1-J443)*(Inputs!$F$18-Inputs!$D$18)*(Inputs!$F$18-Inputs!$E$18)))</f>
        <v>0.976031444731854</v>
      </c>
      <c r="L443" s="81" t="n">
        <f aca="true">RAND()</f>
        <v>0.543263458917055</v>
      </c>
      <c r="M443" s="83" t="n">
        <f aca="false">IF(L443&lt;(Inputs!$E$24-Inputs!$D$24)/(Inputs!$F$24-Inputs!$D$24),Inputs!$D$24+SQRT(L443*(Inputs!$F$24-Inputs!$D$24)*(Inputs!$E$24-Inputs!$D$24)),Inputs!$F$24-SQRT((1-L443)*(Inputs!$F$24-Inputs!$D$24)*(Inputs!$F$24-Inputs!$E$24)))</f>
        <v>0.868915766216652</v>
      </c>
      <c r="N443" s="81" t="n">
        <f aca="true">RAND()</f>
        <v>0.275380404033094</v>
      </c>
      <c r="O443" s="83" t="n">
        <f aca="false">IF(N443&lt;(Inputs!$E$26-Inputs!$D$26)/(Inputs!$F$26-Inputs!$D$26),Inputs!$D$26+SQRT(N443*(Inputs!$F$26-Inputs!$D$26)*(Inputs!$E$26-Inputs!$D$26)),Inputs!$F$26-SQRT((1-N443)*(Inputs!$F$26-Inputs!$D$26)*(Inputs!$F$26-Inputs!$E$26)))</f>
        <v>0.514063773747701</v>
      </c>
      <c r="P443" s="81" t="n">
        <f aca="true">RAND()</f>
        <v>0.90179648680641</v>
      </c>
      <c r="Q443" s="82" t="n">
        <f aca="false">IF(P443&lt;(Inputs!$E$27-Inputs!$D$27)/(Inputs!$F$27-Inputs!$D$27),Inputs!$D$27+SQRT(P443*(Inputs!$F$27-Inputs!$D$27)*(Inputs!$E$27-Inputs!$D$27)),Inputs!$F$27-SQRT((1-P443)*(Inputs!$F$27-Inputs!$D$27)*(Inputs!$F$27-Inputs!$E$27)))</f>
        <v>122.860981061359</v>
      </c>
      <c r="R443" s="81" t="n">
        <f aca="true">RAND()</f>
        <v>0.0577808431741172</v>
      </c>
      <c r="S443" s="82" t="n">
        <f aca="false">IF(R443&lt;(Inputs!$E$29-Inputs!$D$29)/(Inputs!$F$29-Inputs!$D$29),Inputs!$D$29+SQRT(R443*(Inputs!$F$29-Inputs!$D$29)*(Inputs!$E$29-Inputs!$D$29)),Inputs!$F$29-SQRT((1-R443)*(Inputs!$F$29-Inputs!$D$29)*(Inputs!$F$29-Inputs!$E$29)))</f>
        <v>3.50115052003141</v>
      </c>
      <c r="T443" s="68" t="n">
        <f aca="false">Inputs!$E$9*(1+E443)+Inputs!$E$5*C443*(Inputs!$E$11*Inputs!$E$14*(G443*I443/Inputs!$E$16+(1-G443))*K443+Inputs!$E$23*M443)*(1+O443)+Inputs!$E$5*(Q443+S443)</f>
        <v>5995.72306976353</v>
      </c>
    </row>
    <row r="444" customFormat="false" ht="15" hidden="false" customHeight="false" outlineLevel="0" collapsed="false">
      <c r="A444" s="1" t="n">
        <v>440</v>
      </c>
      <c r="B444" s="81" t="n">
        <f aca="true">RAND()</f>
        <v>0.669902186843662</v>
      </c>
      <c r="C444" s="82" t="n">
        <f aca="false">ROUND(IF(B444&lt;(Inputs!$E$8-Inputs!$D$8)/(Inputs!$F$8-Inputs!$D$8),Inputs!$D$8+SQRT(B444*(Inputs!$F$8-Inputs!$D$8)*(Inputs!$E$8-Inputs!$D$8)),Inputs!$F$8-SQRT((1-B444)*(Inputs!$F$8-Inputs!$D$8)*(Inputs!$F$8-Inputs!$E$8))),0)</f>
        <v>26</v>
      </c>
      <c r="D444" s="81" t="n">
        <f aca="true">RAND()</f>
        <v>0.610863329081269</v>
      </c>
      <c r="E444" s="83" t="n">
        <f aca="false">IF(D444&lt;(Inputs!$E$10-Inputs!$D$10)/(Inputs!$F$10-Inputs!$D$10),Inputs!$D$10+SQRT(D444*(Inputs!$F$10-Inputs!$D$10)*(Inputs!$E$10-Inputs!$D$10)),Inputs!$F$10-SQRT((1-D444)*(Inputs!$F$10-Inputs!$D$10)*(Inputs!$F$10-Inputs!$E$10)))</f>
        <v>0.0919532502684049</v>
      </c>
      <c r="F444" s="81" t="n">
        <f aca="true">RAND()</f>
        <v>0.503940218898535</v>
      </c>
      <c r="G444" s="83" t="n">
        <f aca="false">IF(F444&lt;(Inputs!$E$15-Inputs!$D$15)/(Inputs!$F$15-Inputs!$D$15),Inputs!$D$15+SQRT(F444*(Inputs!$F$15-Inputs!$D$15)*(Inputs!$E$15-Inputs!$D$15)),Inputs!$F$15-SQRT((1-F444)*(Inputs!$F$15-Inputs!$D$15)*(Inputs!$F$15-Inputs!$E$15)))</f>
        <v>0.700394801229909</v>
      </c>
      <c r="H444" s="81" t="n">
        <f aca="true">RAND()</f>
        <v>0.00914872878883102</v>
      </c>
      <c r="I444" s="82" t="n">
        <f aca="false">ROUND(IF(H444&lt;(Inputs!$E$17-Inputs!$D$17)/(Inputs!$F$17-Inputs!$D$17),Inputs!$D$17+SQRT(H444*(Inputs!$F$17-Inputs!$D$17)*(Inputs!$E$17-Inputs!$D$17)),Inputs!$F$17-SQRT((1-H444)*(Inputs!$F$17-Inputs!$D$17)*(Inputs!$F$17-Inputs!$E$17))),0)</f>
        <v>101</v>
      </c>
      <c r="J444" s="81" t="n">
        <f aca="true">RAND()</f>
        <v>0.422055268356187</v>
      </c>
      <c r="K444" s="83" t="n">
        <f aca="false">IF(J444&lt;(Inputs!$E$18-Inputs!$D$18)/(Inputs!$F$18-Inputs!$D$18),Inputs!$D$18+SQRT(J444*(Inputs!$F$18-Inputs!$D$18)*(Inputs!$E$18-Inputs!$D$18)),Inputs!$F$18-SQRT((1-J444)*(Inputs!$F$18-Inputs!$D$18)*(Inputs!$F$18-Inputs!$E$18)))</f>
        <v>1.02512189075227</v>
      </c>
      <c r="L444" s="81" t="n">
        <f aca="true">RAND()</f>
        <v>0.0332285776694173</v>
      </c>
      <c r="M444" s="83" t="n">
        <f aca="false">IF(L444&lt;(Inputs!$E$24-Inputs!$D$24)/(Inputs!$F$24-Inputs!$D$24),Inputs!$D$24+SQRT(L444*(Inputs!$F$24-Inputs!$D$24)*(Inputs!$E$24-Inputs!$D$24)),Inputs!$F$24-SQRT((1-L444)*(Inputs!$F$24-Inputs!$D$24)*(Inputs!$F$24-Inputs!$E$24)))</f>
        <v>0.66314609505211</v>
      </c>
      <c r="N444" s="81" t="n">
        <f aca="true">RAND()</f>
        <v>0.304634737279963</v>
      </c>
      <c r="O444" s="83" t="n">
        <f aca="false">IF(N444&lt;(Inputs!$E$26-Inputs!$D$26)/(Inputs!$F$26-Inputs!$D$26),Inputs!$D$26+SQRT(N444*(Inputs!$F$26-Inputs!$D$26)*(Inputs!$E$26-Inputs!$D$26)),Inputs!$F$26-SQRT((1-N444)*(Inputs!$F$26-Inputs!$D$26)*(Inputs!$F$26-Inputs!$E$26)))</f>
        <v>0.525147108094654</v>
      </c>
      <c r="P444" s="81" t="n">
        <f aca="true">RAND()</f>
        <v>0.24088266040121</v>
      </c>
      <c r="Q444" s="82" t="n">
        <f aca="false">IF(P444&lt;(Inputs!$E$27-Inputs!$D$27)/(Inputs!$F$27-Inputs!$D$27),Inputs!$D$27+SQRT(P444*(Inputs!$F$27-Inputs!$D$27)*(Inputs!$E$27-Inputs!$D$27)),Inputs!$F$27-SQRT((1-P444)*(Inputs!$F$27-Inputs!$D$27)*(Inputs!$F$27-Inputs!$E$27)))</f>
        <v>74.5398991644836</v>
      </c>
      <c r="R444" s="81" t="n">
        <f aca="true">RAND()</f>
        <v>0.00410365894529033</v>
      </c>
      <c r="S444" s="82" t="n">
        <f aca="false">IF(R444&lt;(Inputs!$E$29-Inputs!$D$29)/(Inputs!$F$29-Inputs!$D$29),Inputs!$D$29+SQRT(R444*(Inputs!$F$29-Inputs!$D$29)*(Inputs!$E$29-Inputs!$D$29)),Inputs!$F$29-SQRT((1-R444)*(Inputs!$F$29-Inputs!$D$29)*(Inputs!$F$29-Inputs!$E$29)))</f>
        <v>2.40005337002245</v>
      </c>
      <c r="T444" s="68" t="n">
        <f aca="false">Inputs!$E$9*(1+E444)+Inputs!$E$5*C444*(Inputs!$E$11*Inputs!$E$14*(G444*I444/Inputs!$E$16+(1-G444))*K444+Inputs!$E$23*M444)*(1+O444)+Inputs!$E$5*(Q444+S444)</f>
        <v>5859.48446901252</v>
      </c>
    </row>
    <row r="445" customFormat="false" ht="15" hidden="false" customHeight="false" outlineLevel="0" collapsed="false">
      <c r="A445" s="1" t="n">
        <v>441</v>
      </c>
      <c r="B445" s="81" t="n">
        <f aca="true">RAND()</f>
        <v>0.328072879992372</v>
      </c>
      <c r="C445" s="82" t="n">
        <f aca="false">ROUND(IF(B445&lt;(Inputs!$E$8-Inputs!$D$8)/(Inputs!$F$8-Inputs!$D$8),Inputs!$D$8+SQRT(B445*(Inputs!$F$8-Inputs!$D$8)*(Inputs!$E$8-Inputs!$D$8)),Inputs!$F$8-SQRT((1-B445)*(Inputs!$F$8-Inputs!$D$8)*(Inputs!$F$8-Inputs!$E$8))),0)</f>
        <v>24</v>
      </c>
      <c r="D445" s="81" t="n">
        <f aca="true">RAND()</f>
        <v>0.531910012173804</v>
      </c>
      <c r="E445" s="83" t="n">
        <f aca="false">IF(D445&lt;(Inputs!$E$10-Inputs!$D$10)/(Inputs!$F$10-Inputs!$D$10),Inputs!$D$10+SQRT(D445*(Inputs!$F$10-Inputs!$D$10)*(Inputs!$E$10-Inputs!$D$10)),Inputs!$F$10-SQRT((1-D445)*(Inputs!$F$10-Inputs!$D$10)*(Inputs!$F$10-Inputs!$E$10)))</f>
        <v>0.0814981028219975</v>
      </c>
      <c r="F445" s="81" t="n">
        <f aca="true">RAND()</f>
        <v>0.34833695790226</v>
      </c>
      <c r="G445" s="83" t="n">
        <f aca="false">IF(F445&lt;(Inputs!$E$15-Inputs!$D$15)/(Inputs!$F$15-Inputs!$D$15),Inputs!$D$15+SQRT(F445*(Inputs!$F$15-Inputs!$D$15)*(Inputs!$E$15-Inputs!$D$15)),Inputs!$F$15-SQRT((1-F445)*(Inputs!$F$15-Inputs!$D$15)*(Inputs!$F$15-Inputs!$E$15)))</f>
        <v>0.683466994423216</v>
      </c>
      <c r="H445" s="81" t="n">
        <f aca="true">RAND()</f>
        <v>0.173997561399835</v>
      </c>
      <c r="I445" s="82" t="n">
        <f aca="false">ROUND(IF(H445&lt;(Inputs!$E$17-Inputs!$D$17)/(Inputs!$F$17-Inputs!$D$17),Inputs!$D$17+SQRT(H445*(Inputs!$F$17-Inputs!$D$17)*(Inputs!$E$17-Inputs!$D$17)),Inputs!$F$17-SQRT((1-H445)*(Inputs!$F$17-Inputs!$D$17)*(Inputs!$F$17-Inputs!$E$17))),0)</f>
        <v>104</v>
      </c>
      <c r="J445" s="81" t="n">
        <f aca="true">RAND()</f>
        <v>0.501896282718919</v>
      </c>
      <c r="K445" s="83" t="n">
        <f aca="false">IF(J445&lt;(Inputs!$E$18-Inputs!$D$18)/(Inputs!$F$18-Inputs!$D$18),Inputs!$D$18+SQRT(J445*(Inputs!$F$18-Inputs!$D$18)*(Inputs!$E$18-Inputs!$D$18)),Inputs!$F$18-SQRT((1-J445)*(Inputs!$F$18-Inputs!$D$18)*(Inputs!$F$18-Inputs!$E$18)))</f>
        <v>1.04123200613577</v>
      </c>
      <c r="L445" s="81" t="n">
        <f aca="true">RAND()</f>
        <v>0.0269530796165967</v>
      </c>
      <c r="M445" s="83" t="n">
        <f aca="false">IF(L445&lt;(Inputs!$E$24-Inputs!$D$24)/(Inputs!$F$24-Inputs!$D$24),Inputs!$D$24+SQRT(L445*(Inputs!$F$24-Inputs!$D$24)*(Inputs!$E$24-Inputs!$D$24)),Inputs!$F$24-SQRT((1-L445)*(Inputs!$F$24-Inputs!$D$24)*(Inputs!$F$24-Inputs!$E$24)))</f>
        <v>0.656871517950479</v>
      </c>
      <c r="N445" s="81" t="n">
        <f aca="true">RAND()</f>
        <v>0.432134256279607</v>
      </c>
      <c r="O445" s="83" t="n">
        <f aca="false">IF(N445&lt;(Inputs!$E$26-Inputs!$D$26)/(Inputs!$F$26-Inputs!$D$26),Inputs!$D$26+SQRT(N445*(Inputs!$F$26-Inputs!$D$26)*(Inputs!$E$26-Inputs!$D$26)),Inputs!$F$26-SQRT((1-N445)*(Inputs!$F$26-Inputs!$D$26)*(Inputs!$F$26-Inputs!$E$26)))</f>
        <v>0.568155067535422</v>
      </c>
      <c r="P445" s="81" t="n">
        <f aca="true">RAND()</f>
        <v>0.400894591997425</v>
      </c>
      <c r="Q445" s="82" t="n">
        <f aca="false">IF(P445&lt;(Inputs!$E$27-Inputs!$D$27)/(Inputs!$F$27-Inputs!$D$27),Inputs!$D$27+SQRT(P445*(Inputs!$F$27-Inputs!$D$27)*(Inputs!$E$27-Inputs!$D$27)),Inputs!$F$27-SQRT((1-P445)*(Inputs!$F$27-Inputs!$D$27)*(Inputs!$F$27-Inputs!$E$27)))</f>
        <v>82.9679885426424</v>
      </c>
      <c r="R445" s="81" t="n">
        <f aca="true">RAND()</f>
        <v>0.101707757677807</v>
      </c>
      <c r="S445" s="82" t="n">
        <f aca="false">IF(R445&lt;(Inputs!$E$29-Inputs!$D$29)/(Inputs!$F$29-Inputs!$D$29),Inputs!$D$29+SQRT(R445*(Inputs!$F$29-Inputs!$D$29)*(Inputs!$E$29-Inputs!$D$29)),Inputs!$F$29-SQRT((1-R445)*(Inputs!$F$29-Inputs!$D$29)*(Inputs!$F$29-Inputs!$E$29)))</f>
        <v>3.99163313625639</v>
      </c>
      <c r="T445" s="68" t="n">
        <f aca="false">Inputs!$E$9*(1+E445)+Inputs!$E$5*C445*(Inputs!$E$11*Inputs!$E$14*(G445*I445/Inputs!$E$16+(1-G445))*K445+Inputs!$E$23*M445)*(1+O445)+Inputs!$E$5*(Q445+S445)</f>
        <v>5810.28328795665</v>
      </c>
    </row>
    <row r="446" customFormat="false" ht="15" hidden="false" customHeight="false" outlineLevel="0" collapsed="false">
      <c r="A446" s="1" t="n">
        <v>442</v>
      </c>
      <c r="B446" s="81" t="n">
        <f aca="true">RAND()</f>
        <v>0.227027279324792</v>
      </c>
      <c r="C446" s="82" t="n">
        <f aca="false">ROUND(IF(B446&lt;(Inputs!$E$8-Inputs!$D$8)/(Inputs!$F$8-Inputs!$D$8),Inputs!$D$8+SQRT(B446*(Inputs!$F$8-Inputs!$D$8)*(Inputs!$E$8-Inputs!$D$8)),Inputs!$F$8-SQRT((1-B446)*(Inputs!$F$8-Inputs!$D$8)*(Inputs!$F$8-Inputs!$E$8))),0)</f>
        <v>23</v>
      </c>
      <c r="D446" s="81" t="n">
        <f aca="true">RAND()</f>
        <v>0.254510702362805</v>
      </c>
      <c r="E446" s="83" t="n">
        <f aca="false">IF(D446&lt;(Inputs!$E$10-Inputs!$D$10)/(Inputs!$F$10-Inputs!$D$10),Inputs!$D$10+SQRT(D446*(Inputs!$F$10-Inputs!$D$10)*(Inputs!$E$10-Inputs!$D$10)),Inputs!$F$10-SQRT((1-D446)*(Inputs!$F$10-Inputs!$D$10)*(Inputs!$F$10-Inputs!$E$10)))</f>
        <v>0.0504517504979886</v>
      </c>
      <c r="F446" s="81" t="n">
        <f aca="true">RAND()</f>
        <v>0.994882044842741</v>
      </c>
      <c r="G446" s="83" t="n">
        <f aca="false">IF(F446&lt;(Inputs!$E$15-Inputs!$D$15)/(Inputs!$F$15-Inputs!$D$15),Inputs!$D$15+SQRT(F446*(Inputs!$F$15-Inputs!$D$15)*(Inputs!$E$15-Inputs!$D$15)),Inputs!$F$15-SQRT((1-F446)*(Inputs!$F$15-Inputs!$D$15)*(Inputs!$F$15-Inputs!$E$15)))</f>
        <v>0.789882732426926</v>
      </c>
      <c r="H446" s="81" t="n">
        <f aca="true">RAND()</f>
        <v>0.9522601692601</v>
      </c>
      <c r="I446" s="82" t="n">
        <f aca="false">ROUND(IF(H446&lt;(Inputs!$E$17-Inputs!$D$17)/(Inputs!$F$17-Inputs!$D$17),Inputs!$D$17+SQRT(H446*(Inputs!$F$17-Inputs!$D$17)*(Inputs!$E$17-Inputs!$D$17)),Inputs!$F$17-SQRT((1-H446)*(Inputs!$F$17-Inputs!$D$17)*(Inputs!$F$17-Inputs!$E$17))),0)</f>
        <v>112</v>
      </c>
      <c r="J446" s="81" t="n">
        <f aca="true">RAND()</f>
        <v>0.00654197973849842</v>
      </c>
      <c r="K446" s="83" t="n">
        <f aca="false">IF(J446&lt;(Inputs!$E$18-Inputs!$D$18)/(Inputs!$F$18-Inputs!$D$18),Inputs!$D$18+SQRT(J446*(Inputs!$F$18-Inputs!$D$18)*(Inputs!$E$18-Inputs!$D$18)),Inputs!$F$18-SQRT((1-J446)*(Inputs!$F$18-Inputs!$D$18)*(Inputs!$F$18-Inputs!$E$18)))</f>
        <v>0.915131731257442</v>
      </c>
      <c r="L446" s="81" t="n">
        <f aca="true">RAND()</f>
        <v>0.65576291676438</v>
      </c>
      <c r="M446" s="83" t="n">
        <f aca="false">IF(L446&lt;(Inputs!$E$24-Inputs!$D$24)/(Inputs!$F$24-Inputs!$D$24),Inputs!$D$24+SQRT(L446*(Inputs!$F$24-Inputs!$D$24)*(Inputs!$E$24-Inputs!$D$24)),Inputs!$F$24-SQRT((1-L446)*(Inputs!$F$24-Inputs!$D$24)*(Inputs!$F$24-Inputs!$E$24)))</f>
        <v>0.912568442970246</v>
      </c>
      <c r="N446" s="81" t="n">
        <f aca="true">RAND()</f>
        <v>0.319000405055705</v>
      </c>
      <c r="O446" s="83" t="n">
        <f aca="false">IF(N446&lt;(Inputs!$E$26-Inputs!$D$26)/(Inputs!$F$26-Inputs!$D$26),Inputs!$D$26+SQRT(N446*(Inputs!$F$26-Inputs!$D$26)*(Inputs!$E$26-Inputs!$D$26)),Inputs!$F$26-SQRT((1-N446)*(Inputs!$F$26-Inputs!$D$26)*(Inputs!$F$26-Inputs!$E$26)))</f>
        <v>0.53039459065106</v>
      </c>
      <c r="P446" s="81" t="n">
        <f aca="true">RAND()</f>
        <v>0.878867125271749</v>
      </c>
      <c r="Q446" s="82" t="n">
        <f aca="false">IF(P446&lt;(Inputs!$E$27-Inputs!$D$27)/(Inputs!$F$27-Inputs!$D$27),Inputs!$D$27+SQRT(P446*(Inputs!$F$27-Inputs!$D$27)*(Inputs!$E$27-Inputs!$D$27)),Inputs!$F$27-SQRT((1-P446)*(Inputs!$F$27-Inputs!$D$27)*(Inputs!$F$27-Inputs!$E$27)))</f>
        <v>119.858723310684</v>
      </c>
      <c r="R446" s="81" t="n">
        <f aca="true">RAND()</f>
        <v>0.908758965710467</v>
      </c>
      <c r="S446" s="82" t="n">
        <f aca="false">IF(R446&lt;(Inputs!$E$29-Inputs!$D$29)/(Inputs!$F$29-Inputs!$D$29),Inputs!$D$29+SQRT(R446*(Inputs!$F$29-Inputs!$D$29)*(Inputs!$E$29-Inputs!$D$29)),Inputs!$F$29-SQRT((1-R446)*(Inputs!$F$29-Inputs!$D$29)*(Inputs!$F$29-Inputs!$E$29)))</f>
        <v>11.5559711880358</v>
      </c>
      <c r="T446" s="68" t="n">
        <f aca="false">Inputs!$E$9*(1+E446)+Inputs!$E$5*C446*(Inputs!$E$11*Inputs!$E$14*(G446*I446/Inputs!$E$16+(1-G446))*K446+Inputs!$E$23*M446)*(1+O446)+Inputs!$E$5*(Q446+S446)</f>
        <v>5820.76235863314</v>
      </c>
    </row>
    <row r="447" customFormat="false" ht="15" hidden="false" customHeight="false" outlineLevel="0" collapsed="false">
      <c r="A447" s="1" t="n">
        <v>443</v>
      </c>
      <c r="B447" s="81" t="n">
        <f aca="true">RAND()</f>
        <v>0.769527809186948</v>
      </c>
      <c r="C447" s="82" t="n">
        <f aca="false">ROUND(IF(B447&lt;(Inputs!$E$8-Inputs!$D$8)/(Inputs!$F$8-Inputs!$D$8),Inputs!$D$8+SQRT(B447*(Inputs!$F$8-Inputs!$D$8)*(Inputs!$E$8-Inputs!$D$8)),Inputs!$F$8-SQRT((1-B447)*(Inputs!$F$8-Inputs!$D$8)*(Inputs!$F$8-Inputs!$E$8))),0)</f>
        <v>27</v>
      </c>
      <c r="D447" s="81" t="n">
        <f aca="true">RAND()</f>
        <v>0.794022392628756</v>
      </c>
      <c r="E447" s="83" t="n">
        <f aca="false">IF(D447&lt;(Inputs!$E$10-Inputs!$D$10)/(Inputs!$F$10-Inputs!$D$10),Inputs!$D$10+SQRT(D447*(Inputs!$F$10-Inputs!$D$10)*(Inputs!$E$10-Inputs!$D$10)),Inputs!$F$10-SQRT((1-D447)*(Inputs!$F$10-Inputs!$D$10)*(Inputs!$F$10-Inputs!$E$10)))</f>
        <v>0.121391296785042</v>
      </c>
      <c r="F447" s="81" t="n">
        <f aca="true">RAND()</f>
        <v>0.508547439522062</v>
      </c>
      <c r="G447" s="83" t="n">
        <f aca="false">IF(F447&lt;(Inputs!$E$15-Inputs!$D$15)/(Inputs!$F$15-Inputs!$D$15),Inputs!$D$15+SQRT(F447*(Inputs!$F$15-Inputs!$D$15)*(Inputs!$E$15-Inputs!$D$15)),Inputs!$F$15-SQRT((1-F447)*(Inputs!$F$15-Inputs!$D$15)*(Inputs!$F$15-Inputs!$E$15)))</f>
        <v>0.700858428449218</v>
      </c>
      <c r="H447" s="81" t="n">
        <f aca="true">RAND()</f>
        <v>0.799804013762285</v>
      </c>
      <c r="I447" s="82" t="n">
        <f aca="false">ROUND(IF(H447&lt;(Inputs!$E$17-Inputs!$D$17)/(Inputs!$F$17-Inputs!$D$17),Inputs!$D$17+SQRT(H447*(Inputs!$F$17-Inputs!$D$17)*(Inputs!$E$17-Inputs!$D$17)),Inputs!$F$17-SQRT((1-H447)*(Inputs!$F$17-Inputs!$D$17)*(Inputs!$F$17-Inputs!$E$17))),0)</f>
        <v>110</v>
      </c>
      <c r="J447" s="81" t="n">
        <f aca="true">RAND()</f>
        <v>0.69287080173717</v>
      </c>
      <c r="K447" s="83" t="n">
        <f aca="false">IF(J447&lt;(Inputs!$E$18-Inputs!$D$18)/(Inputs!$F$18-Inputs!$D$18),Inputs!$D$18+SQRT(J447*(Inputs!$F$18-Inputs!$D$18)*(Inputs!$E$18-Inputs!$D$18)),Inputs!$F$18-SQRT((1-J447)*(Inputs!$F$18-Inputs!$D$18)*(Inputs!$F$18-Inputs!$E$18)))</f>
        <v>1.08606768211241</v>
      </c>
      <c r="L447" s="81" t="n">
        <f aca="true">RAND()</f>
        <v>0.329632416310259</v>
      </c>
      <c r="M447" s="83" t="n">
        <f aca="false">IF(L447&lt;(Inputs!$E$24-Inputs!$D$24)/(Inputs!$F$24-Inputs!$D$24),Inputs!$D$24+SQRT(L447*(Inputs!$F$24-Inputs!$D$24)*(Inputs!$E$24-Inputs!$D$24)),Inputs!$F$24-SQRT((1-L447)*(Inputs!$F$24-Inputs!$D$24)*(Inputs!$F$24-Inputs!$E$24)))</f>
        <v>0.798886625888296</v>
      </c>
      <c r="N447" s="81" t="n">
        <f aca="true">RAND()</f>
        <v>0.170757710723562</v>
      </c>
      <c r="O447" s="83" t="n">
        <f aca="false">IF(N447&lt;(Inputs!$E$26-Inputs!$D$26)/(Inputs!$F$26-Inputs!$D$26),Inputs!$D$26+SQRT(N447*(Inputs!$F$26-Inputs!$D$26)*(Inputs!$E$26-Inputs!$D$26)),Inputs!$F$26-SQRT((1-N447)*(Inputs!$F$26-Inputs!$D$26)*(Inputs!$F$26-Inputs!$E$26)))</f>
        <v>0.468564774091151</v>
      </c>
      <c r="P447" s="81" t="n">
        <f aca="true">RAND()</f>
        <v>0.913957977101798</v>
      </c>
      <c r="Q447" s="82" t="n">
        <f aca="false">IF(P447&lt;(Inputs!$E$27-Inputs!$D$27)/(Inputs!$F$27-Inputs!$D$27),Inputs!$D$27+SQRT(P447*(Inputs!$F$27-Inputs!$D$27)*(Inputs!$E$27-Inputs!$D$27)),Inputs!$F$27-SQRT((1-P447)*(Inputs!$F$27-Inputs!$D$27)*(Inputs!$F$27-Inputs!$E$27)))</f>
        <v>124.596945621904</v>
      </c>
      <c r="R447" s="81" t="n">
        <f aca="true">RAND()</f>
        <v>0.212443336333418</v>
      </c>
      <c r="S447" s="82" t="n">
        <f aca="false">IF(R447&lt;(Inputs!$E$29-Inputs!$D$29)/(Inputs!$F$29-Inputs!$D$29),Inputs!$D$29+SQRT(R447*(Inputs!$F$29-Inputs!$D$29)*(Inputs!$E$29-Inputs!$D$29)),Inputs!$F$29-SQRT((1-R447)*(Inputs!$F$29-Inputs!$D$29)*(Inputs!$F$29-Inputs!$E$29)))</f>
        <v>4.87841798858389</v>
      </c>
      <c r="T447" s="68" t="n">
        <f aca="false">Inputs!$E$9*(1+E447)+Inputs!$E$5*C447*(Inputs!$E$11*Inputs!$E$14*(G447*I447/Inputs!$E$16+(1-G447))*K447+Inputs!$E$23*M447)*(1+O447)+Inputs!$E$5*(Q447+S447)</f>
        <v>6617.91275357421</v>
      </c>
    </row>
    <row r="448" customFormat="false" ht="15" hidden="false" customHeight="false" outlineLevel="0" collapsed="false">
      <c r="A448" s="1" t="n">
        <v>444</v>
      </c>
      <c r="B448" s="81" t="n">
        <f aca="true">RAND()</f>
        <v>0.705793341473976</v>
      </c>
      <c r="C448" s="82" t="n">
        <f aca="false">ROUND(IF(B448&lt;(Inputs!$E$8-Inputs!$D$8)/(Inputs!$F$8-Inputs!$D$8),Inputs!$D$8+SQRT(B448*(Inputs!$F$8-Inputs!$D$8)*(Inputs!$E$8-Inputs!$D$8)),Inputs!$F$8-SQRT((1-B448)*(Inputs!$F$8-Inputs!$D$8)*(Inputs!$F$8-Inputs!$E$8))),0)</f>
        <v>26</v>
      </c>
      <c r="D448" s="81" t="n">
        <f aca="true">RAND()</f>
        <v>0.481363738600857</v>
      </c>
      <c r="E448" s="83" t="n">
        <f aca="false">IF(D448&lt;(Inputs!$E$10-Inputs!$D$10)/(Inputs!$F$10-Inputs!$D$10),Inputs!$D$10+SQRT(D448*(Inputs!$F$10-Inputs!$D$10)*(Inputs!$E$10-Inputs!$D$10)),Inputs!$F$10-SQRT((1-D448)*(Inputs!$F$10-Inputs!$D$10)*(Inputs!$F$10-Inputs!$E$10)))</f>
        <v>0.0752639272625025</v>
      </c>
      <c r="F448" s="81" t="n">
        <f aca="true">RAND()</f>
        <v>0.677185722990504</v>
      </c>
      <c r="G448" s="83" t="n">
        <f aca="false">IF(F448&lt;(Inputs!$E$15-Inputs!$D$15)/(Inputs!$F$15-Inputs!$D$15),Inputs!$D$15+SQRT(F448*(Inputs!$F$15-Inputs!$D$15)*(Inputs!$E$15-Inputs!$D$15)),Inputs!$F$15-SQRT((1-F448)*(Inputs!$F$15-Inputs!$D$15)*(Inputs!$F$15-Inputs!$E$15)))</f>
        <v>0.719648985443929</v>
      </c>
      <c r="H448" s="81" t="n">
        <f aca="true">RAND()</f>
        <v>0.461129589485951</v>
      </c>
      <c r="I448" s="82" t="n">
        <f aca="false">ROUND(IF(H448&lt;(Inputs!$E$17-Inputs!$D$17)/(Inputs!$F$17-Inputs!$D$17),Inputs!$D$17+SQRT(H448*(Inputs!$F$17-Inputs!$D$17)*(Inputs!$E$17-Inputs!$D$17)),Inputs!$F$17-SQRT((1-H448)*(Inputs!$F$17-Inputs!$D$17)*(Inputs!$F$17-Inputs!$E$17))),0)</f>
        <v>106</v>
      </c>
      <c r="J448" s="81" t="n">
        <f aca="true">RAND()</f>
        <v>0.600571222062172</v>
      </c>
      <c r="K448" s="83" t="n">
        <f aca="false">IF(J448&lt;(Inputs!$E$18-Inputs!$D$18)/(Inputs!$F$18-Inputs!$D$18),Inputs!$D$18+SQRT(J448*(Inputs!$F$18-Inputs!$D$18)*(Inputs!$E$18-Inputs!$D$18)),Inputs!$F$18-SQRT((1-J448)*(Inputs!$F$18-Inputs!$D$18)*(Inputs!$F$18-Inputs!$E$18)))</f>
        <v>1.06305076071414</v>
      </c>
      <c r="L448" s="81" t="n">
        <f aca="true">RAND()</f>
        <v>0.415774549857939</v>
      </c>
      <c r="M448" s="83" t="n">
        <f aca="false">IF(L448&lt;(Inputs!$E$24-Inputs!$D$24)/(Inputs!$F$24-Inputs!$D$24),Inputs!$D$24+SQRT(L448*(Inputs!$F$24-Inputs!$D$24)*(Inputs!$E$24-Inputs!$D$24)),Inputs!$F$24-SQRT((1-L448)*(Inputs!$F$24-Inputs!$D$24)*(Inputs!$F$24-Inputs!$E$24)))</f>
        <v>0.825548256735137</v>
      </c>
      <c r="N448" s="81" t="n">
        <f aca="true">RAND()</f>
        <v>0.125074402002334</v>
      </c>
      <c r="O448" s="83" t="n">
        <f aca="false">IF(N448&lt;(Inputs!$E$26-Inputs!$D$26)/(Inputs!$F$26-Inputs!$D$26),Inputs!$D$26+SQRT(N448*(Inputs!$F$26-Inputs!$D$26)*(Inputs!$E$26-Inputs!$D$26)),Inputs!$F$26-SQRT((1-N448)*(Inputs!$F$26-Inputs!$D$26)*(Inputs!$F$26-Inputs!$E$26)))</f>
        <v>0.444264966271054</v>
      </c>
      <c r="P448" s="81" t="n">
        <f aca="true">RAND()</f>
        <v>0.190031750846877</v>
      </c>
      <c r="Q448" s="82" t="n">
        <f aca="false">IF(P448&lt;(Inputs!$E$27-Inputs!$D$27)/(Inputs!$F$27-Inputs!$D$27),Inputs!$D$27+SQRT(P448*(Inputs!$F$27-Inputs!$D$27)*(Inputs!$E$27-Inputs!$D$27)),Inputs!$F$27-SQRT((1-P448)*(Inputs!$F$27-Inputs!$D$27)*(Inputs!$F$27-Inputs!$E$27)))</f>
        <v>71.7963156775908</v>
      </c>
      <c r="R448" s="81" t="n">
        <f aca="true">RAND()</f>
        <v>0.825709933700194</v>
      </c>
      <c r="S448" s="82" t="n">
        <f aca="false">IF(R448&lt;(Inputs!$E$29-Inputs!$D$29)/(Inputs!$F$29-Inputs!$D$29),Inputs!$D$29+SQRT(R448*(Inputs!$F$29-Inputs!$D$29)*(Inputs!$E$29-Inputs!$D$29)),Inputs!$F$29-SQRT((1-R448)*(Inputs!$F$29-Inputs!$D$29)*(Inputs!$F$29-Inputs!$E$29)))</f>
        <v>10.2399885904575</v>
      </c>
      <c r="T448" s="68" t="n">
        <f aca="false">Inputs!$E$9*(1+E448)+Inputs!$E$5*C448*(Inputs!$E$11*Inputs!$E$14*(G448*I448/Inputs!$E$16+(1-G448))*K448+Inputs!$E$23*M448)*(1+O448)+Inputs!$E$5*(Q448+S448)</f>
        <v>6010.44497968144</v>
      </c>
    </row>
    <row r="449" customFormat="false" ht="15" hidden="false" customHeight="false" outlineLevel="0" collapsed="false">
      <c r="A449" s="1" t="n">
        <v>445</v>
      </c>
      <c r="B449" s="81" t="n">
        <f aca="true">RAND()</f>
        <v>0.187402495886587</v>
      </c>
      <c r="C449" s="82" t="n">
        <f aca="false">ROUND(IF(B449&lt;(Inputs!$E$8-Inputs!$D$8)/(Inputs!$F$8-Inputs!$D$8),Inputs!$D$8+SQRT(B449*(Inputs!$F$8-Inputs!$D$8)*(Inputs!$E$8-Inputs!$D$8)),Inputs!$F$8-SQRT((1-B449)*(Inputs!$F$8-Inputs!$D$8)*(Inputs!$F$8-Inputs!$E$8))),0)</f>
        <v>23</v>
      </c>
      <c r="D449" s="81" t="n">
        <f aca="true">RAND()</f>
        <v>0.395735101490561</v>
      </c>
      <c r="E449" s="83" t="n">
        <f aca="false">IF(D449&lt;(Inputs!$E$10-Inputs!$D$10)/(Inputs!$F$10-Inputs!$D$10),Inputs!$D$10+SQRT(D449*(Inputs!$F$10-Inputs!$D$10)*(Inputs!$E$10-Inputs!$D$10)),Inputs!$F$10-SQRT((1-D449)*(Inputs!$F$10-Inputs!$D$10)*(Inputs!$F$10-Inputs!$E$10)))</f>
        <v>0.0653599355493204</v>
      </c>
      <c r="F449" s="81" t="n">
        <f aca="true">RAND()</f>
        <v>0.72904762277766</v>
      </c>
      <c r="G449" s="83" t="n">
        <f aca="false">IF(F449&lt;(Inputs!$E$15-Inputs!$D$15)/(Inputs!$F$15-Inputs!$D$15),Inputs!$D$15+SQRT(F449*(Inputs!$F$15-Inputs!$D$15)*(Inputs!$E$15-Inputs!$D$15)),Inputs!$F$15-SQRT((1-F449)*(Inputs!$F$15-Inputs!$D$15)*(Inputs!$F$15-Inputs!$E$15)))</f>
        <v>0.726385819678225</v>
      </c>
      <c r="H449" s="81" t="n">
        <f aca="true">RAND()</f>
        <v>0.773742360993925</v>
      </c>
      <c r="I449" s="82" t="n">
        <f aca="false">ROUND(IF(H449&lt;(Inputs!$E$17-Inputs!$D$17)/(Inputs!$F$17-Inputs!$D$17),Inputs!$D$17+SQRT(H449*(Inputs!$F$17-Inputs!$D$17)*(Inputs!$E$17-Inputs!$D$17)),Inputs!$F$17-SQRT((1-H449)*(Inputs!$F$17-Inputs!$D$17)*(Inputs!$F$17-Inputs!$E$17))),0)</f>
        <v>109</v>
      </c>
      <c r="J449" s="81" t="n">
        <f aca="true">RAND()</f>
        <v>0.85699273660088</v>
      </c>
      <c r="K449" s="83" t="n">
        <f aca="false">IF(J449&lt;(Inputs!$E$18-Inputs!$D$18)/(Inputs!$F$18-Inputs!$D$18),Inputs!$D$18+SQRT(J449*(Inputs!$F$18-Inputs!$D$18)*(Inputs!$E$18-Inputs!$D$18)),Inputs!$F$18-SQRT((1-J449)*(Inputs!$F$18-Inputs!$D$18)*(Inputs!$F$18-Inputs!$E$18)))</f>
        <v>1.13813787259567</v>
      </c>
      <c r="L449" s="81" t="n">
        <f aca="true">RAND()</f>
        <v>0.555087420939557</v>
      </c>
      <c r="M449" s="83" t="n">
        <f aca="false">IF(L449&lt;(Inputs!$E$24-Inputs!$D$24)/(Inputs!$F$24-Inputs!$D$24),Inputs!$D$24+SQRT(L449*(Inputs!$F$24-Inputs!$D$24)*(Inputs!$E$24-Inputs!$D$24)),Inputs!$F$24-SQRT((1-L449)*(Inputs!$F$24-Inputs!$D$24)*(Inputs!$F$24-Inputs!$E$24)))</f>
        <v>0.873229409257035</v>
      </c>
      <c r="N449" s="81" t="n">
        <f aca="true">RAND()</f>
        <v>0.074358039010537</v>
      </c>
      <c r="O449" s="83" t="n">
        <f aca="false">IF(N449&lt;(Inputs!$E$26-Inputs!$D$26)/(Inputs!$F$26-Inputs!$D$26),Inputs!$D$26+SQRT(N449*(Inputs!$F$26-Inputs!$D$26)*(Inputs!$E$26-Inputs!$D$26)),Inputs!$F$26-SQRT((1-N449)*(Inputs!$F$26-Inputs!$D$26)*(Inputs!$F$26-Inputs!$E$26)))</f>
        <v>0.411234786336619</v>
      </c>
      <c r="P449" s="81" t="n">
        <f aca="true">RAND()</f>
        <v>0.564473466079275</v>
      </c>
      <c r="Q449" s="82" t="n">
        <f aca="false">IF(P449&lt;(Inputs!$E$27-Inputs!$D$27)/(Inputs!$F$27-Inputs!$D$27),Inputs!$D$27+SQRT(P449*(Inputs!$F$27-Inputs!$D$27)*(Inputs!$E$27-Inputs!$D$27)),Inputs!$F$27-SQRT((1-P449)*(Inputs!$F$27-Inputs!$D$27)*(Inputs!$F$27-Inputs!$E$27)))</f>
        <v>92.8471435149087</v>
      </c>
      <c r="R449" s="81" t="n">
        <f aca="true">RAND()</f>
        <v>0.260069271719661</v>
      </c>
      <c r="S449" s="82" t="n">
        <f aca="false">IF(R449&lt;(Inputs!$E$29-Inputs!$D$29)/(Inputs!$F$29-Inputs!$D$29),Inputs!$D$29+SQRT(R449*(Inputs!$F$29-Inputs!$D$29)*(Inputs!$E$29-Inputs!$D$29)),Inputs!$F$29-SQRT((1-R449)*(Inputs!$F$29-Inputs!$D$29)*(Inputs!$F$29-Inputs!$E$29)))</f>
        <v>5.19229921559369</v>
      </c>
      <c r="T449" s="68" t="n">
        <f aca="false">Inputs!$E$9*(1+E449)+Inputs!$E$5*C449*(Inputs!$E$11*Inputs!$E$14*(G449*I449/Inputs!$E$16+(1-G449))*K449+Inputs!$E$23*M449)*(1+O449)+Inputs!$E$5*(Q449+S449)</f>
        <v>5840.51654933046</v>
      </c>
    </row>
    <row r="450" customFormat="false" ht="15" hidden="false" customHeight="false" outlineLevel="0" collapsed="false">
      <c r="A450" s="1" t="n">
        <v>446</v>
      </c>
      <c r="B450" s="81" t="n">
        <f aca="true">RAND()</f>
        <v>0.676136216497678</v>
      </c>
      <c r="C450" s="82" t="n">
        <f aca="false">ROUND(IF(B450&lt;(Inputs!$E$8-Inputs!$D$8)/(Inputs!$F$8-Inputs!$D$8),Inputs!$D$8+SQRT(B450*(Inputs!$F$8-Inputs!$D$8)*(Inputs!$E$8-Inputs!$D$8)),Inputs!$F$8-SQRT((1-B450)*(Inputs!$F$8-Inputs!$D$8)*(Inputs!$F$8-Inputs!$E$8))),0)</f>
        <v>26</v>
      </c>
      <c r="D450" s="81" t="n">
        <f aca="true">RAND()</f>
        <v>0.0955177316273374</v>
      </c>
      <c r="E450" s="83" t="n">
        <f aca="false">IF(D450&lt;(Inputs!$E$10-Inputs!$D$10)/(Inputs!$F$10-Inputs!$D$10),Inputs!$D$10+SQRT(D450*(Inputs!$F$10-Inputs!$D$10)*(Inputs!$E$10-Inputs!$D$10)),Inputs!$F$10-SQRT((1-D450)*(Inputs!$F$10-Inputs!$D$10)*(Inputs!$F$10-Inputs!$E$10)))</f>
        <v>0.0309059430574991</v>
      </c>
      <c r="F450" s="81" t="n">
        <f aca="true">RAND()</f>
        <v>0.780069651146502</v>
      </c>
      <c r="G450" s="83" t="n">
        <f aca="false">IF(F450&lt;(Inputs!$E$15-Inputs!$D$15)/(Inputs!$F$15-Inputs!$D$15),Inputs!$D$15+SQRT(F450*(Inputs!$F$15-Inputs!$D$15)*(Inputs!$E$15-Inputs!$D$15)),Inputs!$F$15-SQRT((1-F450)*(Inputs!$F$15-Inputs!$D$15)*(Inputs!$F$15-Inputs!$E$15)))</f>
        <v>0.733678005329529</v>
      </c>
      <c r="H450" s="81" t="n">
        <f aca="true">RAND()</f>
        <v>0.625265565083275</v>
      </c>
      <c r="I450" s="82" t="n">
        <f aca="false">ROUND(IF(H450&lt;(Inputs!$E$17-Inputs!$D$17)/(Inputs!$F$17-Inputs!$D$17),Inputs!$D$17+SQRT(H450*(Inputs!$F$17-Inputs!$D$17)*(Inputs!$E$17-Inputs!$D$17)),Inputs!$F$17-SQRT((1-H450)*(Inputs!$F$17-Inputs!$D$17)*(Inputs!$F$17-Inputs!$E$17))),0)</f>
        <v>108</v>
      </c>
      <c r="J450" s="81" t="n">
        <f aca="true">RAND()</f>
        <v>0.705757225197041</v>
      </c>
      <c r="K450" s="83" t="n">
        <f aca="false">IF(J450&lt;(Inputs!$E$18-Inputs!$D$18)/(Inputs!$F$18-Inputs!$D$18),Inputs!$D$18+SQRT(J450*(Inputs!$F$18-Inputs!$D$18)*(Inputs!$E$18-Inputs!$D$18)),Inputs!$F$18-SQRT((1-J450)*(Inputs!$F$18-Inputs!$D$18)*(Inputs!$F$18-Inputs!$E$18)))</f>
        <v>1.08954364208527</v>
      </c>
      <c r="L450" s="81" t="n">
        <f aca="true">RAND()</f>
        <v>0.627554932715627</v>
      </c>
      <c r="M450" s="83" t="n">
        <f aca="false">IF(L450&lt;(Inputs!$E$24-Inputs!$D$24)/(Inputs!$F$24-Inputs!$D$24),Inputs!$D$24+SQRT(L450*(Inputs!$F$24-Inputs!$D$24)*(Inputs!$E$24-Inputs!$D$24)),Inputs!$F$24-SQRT((1-L450)*(Inputs!$F$24-Inputs!$D$24)*(Inputs!$F$24-Inputs!$E$24)))</f>
        <v>0.901023719756484</v>
      </c>
      <c r="N450" s="81" t="n">
        <f aca="true">RAND()</f>
        <v>0.405004714048625</v>
      </c>
      <c r="O450" s="83" t="n">
        <f aca="false">IF(N450&lt;(Inputs!$E$26-Inputs!$D$26)/(Inputs!$F$26-Inputs!$D$26),Inputs!$D$26+SQRT(N450*(Inputs!$F$26-Inputs!$D$26)*(Inputs!$E$26-Inputs!$D$26)),Inputs!$F$26-SQRT((1-N450)*(Inputs!$F$26-Inputs!$D$26)*(Inputs!$F$26-Inputs!$E$26)))</f>
        <v>0.559601202650703</v>
      </c>
      <c r="P450" s="81" t="n">
        <f aca="true">RAND()</f>
        <v>0.61392133890007</v>
      </c>
      <c r="Q450" s="82" t="n">
        <f aca="false">IF(P450&lt;(Inputs!$E$27-Inputs!$D$27)/(Inputs!$F$27-Inputs!$D$27),Inputs!$D$27+SQRT(P450*(Inputs!$F$27-Inputs!$D$27)*(Inputs!$E$27-Inputs!$D$27)),Inputs!$F$27-SQRT((1-P450)*(Inputs!$F$27-Inputs!$D$27)*(Inputs!$F$27-Inputs!$E$27)))</f>
        <v>96.1893137169811</v>
      </c>
      <c r="R450" s="81" t="n">
        <f aca="true">RAND()</f>
        <v>0.654885600596453</v>
      </c>
      <c r="S450" s="82" t="n">
        <f aca="false">IF(R450&lt;(Inputs!$E$29-Inputs!$D$29)/(Inputs!$F$29-Inputs!$D$29),Inputs!$D$29+SQRT(R450*(Inputs!$F$29-Inputs!$D$29)*(Inputs!$E$29-Inputs!$D$29)),Inputs!$F$29-SQRT((1-R450)*(Inputs!$F$29-Inputs!$D$29)*(Inputs!$F$29-Inputs!$E$29)))</f>
        <v>8.3018754921649</v>
      </c>
      <c r="T450" s="68" t="n">
        <f aca="false">Inputs!$E$9*(1+E450)+Inputs!$E$5*C450*(Inputs!$E$11*Inputs!$E$14*(G450*I450/Inputs!$E$16+(1-G450))*K450+Inputs!$E$23*M450)*(1+O450)+Inputs!$E$5*(Q450+S450)</f>
        <v>6456.47084191471</v>
      </c>
    </row>
    <row r="451" customFormat="false" ht="15" hidden="false" customHeight="false" outlineLevel="0" collapsed="false">
      <c r="A451" s="1" t="n">
        <v>447</v>
      </c>
      <c r="B451" s="81" t="n">
        <f aca="true">RAND()</f>
        <v>0.359394024800528</v>
      </c>
      <c r="C451" s="82" t="n">
        <f aca="false">ROUND(IF(B451&lt;(Inputs!$E$8-Inputs!$D$8)/(Inputs!$F$8-Inputs!$D$8),Inputs!$D$8+SQRT(B451*(Inputs!$F$8-Inputs!$D$8)*(Inputs!$E$8-Inputs!$D$8)),Inputs!$F$8-SQRT((1-B451)*(Inputs!$F$8-Inputs!$D$8)*(Inputs!$F$8-Inputs!$E$8))),0)</f>
        <v>24</v>
      </c>
      <c r="D451" s="81" t="n">
        <f aca="true">RAND()</f>
        <v>0.960837384394452</v>
      </c>
      <c r="E451" s="83" t="n">
        <f aca="false">IF(D451&lt;(Inputs!$E$10-Inputs!$D$10)/(Inputs!$F$10-Inputs!$D$10),Inputs!$D$10+SQRT(D451*(Inputs!$F$10-Inputs!$D$10)*(Inputs!$E$10-Inputs!$D$10)),Inputs!$F$10-SQRT((1-D451)*(Inputs!$F$10-Inputs!$D$10)*(Inputs!$F$10-Inputs!$E$10)))</f>
        <v>0.165723499767823</v>
      </c>
      <c r="F451" s="81" t="n">
        <f aca="true">RAND()</f>
        <v>0.541855062918131</v>
      </c>
      <c r="G451" s="83" t="n">
        <f aca="false">IF(F451&lt;(Inputs!$E$15-Inputs!$D$15)/(Inputs!$F$15-Inputs!$D$15),Inputs!$D$15+SQRT(F451*(Inputs!$F$15-Inputs!$D$15)*(Inputs!$E$15-Inputs!$D$15)),Inputs!$F$15-SQRT((1-F451)*(Inputs!$F$15-Inputs!$D$15)*(Inputs!$F$15-Inputs!$E$15)))</f>
        <v>0.704276968593565</v>
      </c>
      <c r="H451" s="81" t="n">
        <f aca="true">RAND()</f>
        <v>0.628215622856593</v>
      </c>
      <c r="I451" s="82" t="n">
        <f aca="false">ROUND(IF(H451&lt;(Inputs!$E$17-Inputs!$D$17)/(Inputs!$F$17-Inputs!$D$17),Inputs!$D$17+SQRT(H451*(Inputs!$F$17-Inputs!$D$17)*(Inputs!$E$17-Inputs!$D$17)),Inputs!$F$17-SQRT((1-H451)*(Inputs!$F$17-Inputs!$D$17)*(Inputs!$F$17-Inputs!$E$17))),0)</f>
        <v>108</v>
      </c>
      <c r="J451" s="81" t="n">
        <f aca="true">RAND()</f>
        <v>0.71505108797991</v>
      </c>
      <c r="K451" s="83" t="n">
        <f aca="false">IF(J451&lt;(Inputs!$E$18-Inputs!$D$18)/(Inputs!$F$18-Inputs!$D$18),Inputs!$D$18+SQRT(J451*(Inputs!$F$18-Inputs!$D$18)*(Inputs!$E$18-Inputs!$D$18)),Inputs!$F$18-SQRT((1-J451)*(Inputs!$F$18-Inputs!$D$18)*(Inputs!$F$18-Inputs!$E$18)))</f>
        <v>1.09209803737205</v>
      </c>
      <c r="L451" s="81" t="n">
        <f aca="true">RAND()</f>
        <v>0.855590665017372</v>
      </c>
      <c r="M451" s="83" t="n">
        <f aca="false">IF(L451&lt;(Inputs!$E$24-Inputs!$D$24)/(Inputs!$F$24-Inputs!$D$24),Inputs!$D$24+SQRT(L451*(Inputs!$F$24-Inputs!$D$24)*(Inputs!$E$24-Inputs!$D$24)),Inputs!$F$24-SQRT((1-L451)*(Inputs!$F$24-Inputs!$D$24)*(Inputs!$F$24-Inputs!$E$24)))</f>
        <v>1.01383276229199</v>
      </c>
      <c r="N451" s="81" t="n">
        <f aca="true">RAND()</f>
        <v>0.531155897577453</v>
      </c>
      <c r="O451" s="83" t="n">
        <f aca="false">IF(N451&lt;(Inputs!$E$26-Inputs!$D$26)/(Inputs!$F$26-Inputs!$D$26),Inputs!$D$26+SQRT(N451*(Inputs!$F$26-Inputs!$D$26)*(Inputs!$E$26-Inputs!$D$26)),Inputs!$F$26-SQRT((1-N451)*(Inputs!$F$26-Inputs!$D$26)*(Inputs!$F$26-Inputs!$E$26)))</f>
        <v>0.597295040922125</v>
      </c>
      <c r="P451" s="81" t="n">
        <f aca="true">RAND()</f>
        <v>0.856007120619286</v>
      </c>
      <c r="Q451" s="82" t="n">
        <f aca="false">IF(P451&lt;(Inputs!$E$27-Inputs!$D$27)/(Inputs!$F$27-Inputs!$D$27),Inputs!$D$27+SQRT(P451*(Inputs!$F$27-Inputs!$D$27)*(Inputs!$E$27-Inputs!$D$27)),Inputs!$F$27-SQRT((1-P451)*(Inputs!$F$27-Inputs!$D$27)*(Inputs!$F$27-Inputs!$E$27)))</f>
        <v>117.137459085528</v>
      </c>
      <c r="R451" s="81" t="n">
        <f aca="true">RAND()</f>
        <v>0.343525046294815</v>
      </c>
      <c r="S451" s="82" t="n">
        <f aca="false">IF(R451&lt;(Inputs!$E$29-Inputs!$D$29)/(Inputs!$F$29-Inputs!$D$29),Inputs!$D$29+SQRT(R451*(Inputs!$F$29-Inputs!$D$29)*(Inputs!$E$29-Inputs!$D$29)),Inputs!$F$29-SQRT((1-R451)*(Inputs!$F$29-Inputs!$D$29)*(Inputs!$F$29-Inputs!$E$29)))</f>
        <v>5.76194046448747</v>
      </c>
      <c r="T451" s="68" t="n">
        <f aca="false">Inputs!$E$9*(1+E451)+Inputs!$E$5*C451*(Inputs!$E$11*Inputs!$E$14*(G451*I451/Inputs!$E$16+(1-G451))*K451+Inputs!$E$23*M451)*(1+O451)+Inputs!$E$5*(Q451+S451)</f>
        <v>6843.76667633934</v>
      </c>
    </row>
    <row r="452" customFormat="false" ht="15" hidden="false" customHeight="false" outlineLevel="0" collapsed="false">
      <c r="A452" s="1" t="n">
        <v>448</v>
      </c>
      <c r="B452" s="81" t="n">
        <f aca="true">RAND()</f>
        <v>0.364869894340163</v>
      </c>
      <c r="C452" s="82" t="n">
        <f aca="false">ROUND(IF(B452&lt;(Inputs!$E$8-Inputs!$D$8)/(Inputs!$F$8-Inputs!$D$8),Inputs!$D$8+SQRT(B452*(Inputs!$F$8-Inputs!$D$8)*(Inputs!$E$8-Inputs!$D$8)),Inputs!$F$8-SQRT((1-B452)*(Inputs!$F$8-Inputs!$D$8)*(Inputs!$F$8-Inputs!$E$8))),0)</f>
        <v>24</v>
      </c>
      <c r="D452" s="81" t="n">
        <f aca="true">RAND()</f>
        <v>0.0250043018361666</v>
      </c>
      <c r="E452" s="83" t="n">
        <f aca="false">IF(D452&lt;(Inputs!$E$10-Inputs!$D$10)/(Inputs!$F$10-Inputs!$D$10),Inputs!$D$10+SQRT(D452*(Inputs!$F$10-Inputs!$D$10)*(Inputs!$E$10-Inputs!$D$10)),Inputs!$F$10-SQRT((1-D452)*(Inputs!$F$10-Inputs!$D$10)*(Inputs!$F$10-Inputs!$E$10)))</f>
        <v>0.0158127486023672</v>
      </c>
      <c r="F452" s="81" t="n">
        <f aca="true">RAND()</f>
        <v>0.213853203571166</v>
      </c>
      <c r="G452" s="83" t="n">
        <f aca="false">IF(F452&lt;(Inputs!$E$15-Inputs!$D$15)/(Inputs!$F$15-Inputs!$D$15),Inputs!$D$15+SQRT(F452*(Inputs!$F$15-Inputs!$D$15)*(Inputs!$E$15-Inputs!$D$15)),Inputs!$F$15-SQRT((1-F452)*(Inputs!$F$15-Inputs!$D$15)*(Inputs!$F$15-Inputs!$E$15)))</f>
        <v>0.665399266596984</v>
      </c>
      <c r="H452" s="81" t="n">
        <f aca="true">RAND()</f>
        <v>0.339438271708744</v>
      </c>
      <c r="I452" s="82" t="n">
        <f aca="false">ROUND(IF(H452&lt;(Inputs!$E$17-Inputs!$D$17)/(Inputs!$F$17-Inputs!$D$17),Inputs!$D$17+SQRT(H452*(Inputs!$F$17-Inputs!$D$17)*(Inputs!$E$17-Inputs!$D$17)),Inputs!$F$17-SQRT((1-H452)*(Inputs!$F$17-Inputs!$D$17)*(Inputs!$F$17-Inputs!$E$17))),0)</f>
        <v>105</v>
      </c>
      <c r="J452" s="81" t="n">
        <f aca="true">RAND()</f>
        <v>0.185404255944769</v>
      </c>
      <c r="K452" s="83" t="n">
        <f aca="false">IF(J452&lt;(Inputs!$E$18-Inputs!$D$18)/(Inputs!$F$18-Inputs!$D$18),Inputs!$D$18+SQRT(J452*(Inputs!$F$18-Inputs!$D$18)*(Inputs!$E$18-Inputs!$D$18)),Inputs!$F$18-SQRT((1-J452)*(Inputs!$F$18-Inputs!$D$18)*(Inputs!$F$18-Inputs!$E$18)))</f>
        <v>0.980555254068663</v>
      </c>
      <c r="L452" s="81" t="n">
        <f aca="true">RAND()</f>
        <v>0.249996238518342</v>
      </c>
      <c r="M452" s="83" t="n">
        <f aca="false">IF(L452&lt;(Inputs!$E$24-Inputs!$D$24)/(Inputs!$F$24-Inputs!$D$24),Inputs!$D$24+SQRT(L452*(Inputs!$F$24-Inputs!$D$24)*(Inputs!$E$24-Inputs!$D$24)),Inputs!$F$24-SQRT((1-L452)*(Inputs!$F$24-Inputs!$D$24)*(Inputs!$F$24-Inputs!$E$24)))</f>
        <v>0.773203777736518</v>
      </c>
      <c r="N452" s="81" t="n">
        <f aca="true">RAND()</f>
        <v>0.0169475411372063</v>
      </c>
      <c r="O452" s="83" t="n">
        <f aca="false">IF(N452&lt;(Inputs!$E$26-Inputs!$D$26)/(Inputs!$F$26-Inputs!$D$26),Inputs!$D$26+SQRT(N452*(Inputs!$F$26-Inputs!$D$26)*(Inputs!$E$26-Inputs!$D$26)),Inputs!$F$26-SQRT((1-N452)*(Inputs!$F$26-Inputs!$D$26)*(Inputs!$F$26-Inputs!$E$26)))</f>
        <v>0.353104339231659</v>
      </c>
      <c r="P452" s="81" t="n">
        <f aca="true">RAND()</f>
        <v>0.956106082098824</v>
      </c>
      <c r="Q452" s="82" t="n">
        <f aca="false">IF(P452&lt;(Inputs!$E$27-Inputs!$D$27)/(Inputs!$F$27-Inputs!$D$27),Inputs!$D$27+SQRT(P452*(Inputs!$F$27-Inputs!$D$27)*(Inputs!$E$27-Inputs!$D$27)),Inputs!$F$27-SQRT((1-P452)*(Inputs!$F$27-Inputs!$D$27)*(Inputs!$F$27-Inputs!$E$27)))</f>
        <v>131.856009693047</v>
      </c>
      <c r="R452" s="81" t="n">
        <f aca="true">RAND()</f>
        <v>0.808896306522946</v>
      </c>
      <c r="S452" s="82" t="n">
        <f aca="false">IF(R452&lt;(Inputs!$E$29-Inputs!$D$29)/(Inputs!$F$29-Inputs!$D$29),Inputs!$D$29+SQRT(R452*(Inputs!$F$29-Inputs!$D$29)*(Inputs!$E$29-Inputs!$D$29)),Inputs!$F$29-SQRT((1-R452)*(Inputs!$F$29-Inputs!$D$29)*(Inputs!$F$29-Inputs!$E$29)))</f>
        <v>10.0156765602524</v>
      </c>
      <c r="T452" s="68" t="n">
        <f aca="false">Inputs!$E$9*(1+E452)+Inputs!$E$5*C452*(Inputs!$E$11*Inputs!$E$14*(G452*I452/Inputs!$E$16+(1-G452))*K452+Inputs!$E$23*M452)*(1+O452)+Inputs!$E$5*(Q452+S452)</f>
        <v>5586.01695908273</v>
      </c>
    </row>
    <row r="453" customFormat="false" ht="15" hidden="false" customHeight="false" outlineLevel="0" collapsed="false">
      <c r="A453" s="1" t="n">
        <v>449</v>
      </c>
      <c r="B453" s="81" t="n">
        <f aca="true">RAND()</f>
        <v>0.229713185980367</v>
      </c>
      <c r="C453" s="82" t="n">
        <f aca="false">ROUND(IF(B453&lt;(Inputs!$E$8-Inputs!$D$8)/(Inputs!$F$8-Inputs!$D$8),Inputs!$D$8+SQRT(B453*(Inputs!$F$8-Inputs!$D$8)*(Inputs!$E$8-Inputs!$D$8)),Inputs!$F$8-SQRT((1-B453)*(Inputs!$F$8-Inputs!$D$8)*(Inputs!$F$8-Inputs!$E$8))),0)</f>
        <v>23</v>
      </c>
      <c r="D453" s="81" t="n">
        <f aca="true">RAND()</f>
        <v>0.898767810009332</v>
      </c>
      <c r="E453" s="83" t="n">
        <f aca="false">IF(D453&lt;(Inputs!$E$10-Inputs!$D$10)/(Inputs!$F$10-Inputs!$D$10),Inputs!$D$10+SQRT(D453*(Inputs!$F$10-Inputs!$D$10)*(Inputs!$E$10-Inputs!$D$10)),Inputs!$F$10-SQRT((1-D453)*(Inputs!$F$10-Inputs!$D$10)*(Inputs!$F$10-Inputs!$E$10)))</f>
        <v>0.144891328271133</v>
      </c>
      <c r="F453" s="81" t="n">
        <f aca="true">RAND()</f>
        <v>0.89062688991155</v>
      </c>
      <c r="G453" s="83" t="n">
        <f aca="false">IF(F453&lt;(Inputs!$E$15-Inputs!$D$15)/(Inputs!$F$15-Inputs!$D$15),Inputs!$D$15+SQRT(F453*(Inputs!$F$15-Inputs!$D$15)*(Inputs!$E$15-Inputs!$D$15)),Inputs!$F$15-SQRT((1-F453)*(Inputs!$F$15-Inputs!$D$15)*(Inputs!$F$15-Inputs!$E$15)))</f>
        <v>0.753229686747158</v>
      </c>
      <c r="H453" s="81" t="n">
        <f aca="true">RAND()</f>
        <v>0.621041634732912</v>
      </c>
      <c r="I453" s="82" t="n">
        <f aca="false">ROUND(IF(H453&lt;(Inputs!$E$17-Inputs!$D$17)/(Inputs!$F$17-Inputs!$D$17),Inputs!$D$17+SQRT(H453*(Inputs!$F$17-Inputs!$D$17)*(Inputs!$E$17-Inputs!$D$17)),Inputs!$F$17-SQRT((1-H453)*(Inputs!$F$17-Inputs!$D$17)*(Inputs!$F$17-Inputs!$E$17))),0)</f>
        <v>107</v>
      </c>
      <c r="J453" s="81" t="n">
        <f aca="true">RAND()</f>
        <v>0.389680910462086</v>
      </c>
      <c r="K453" s="83" t="n">
        <f aca="false">IF(J453&lt;(Inputs!$E$18-Inputs!$D$18)/(Inputs!$F$18-Inputs!$D$18),Inputs!$D$18+SQRT(J453*(Inputs!$F$18-Inputs!$D$18)*(Inputs!$E$18-Inputs!$D$18)),Inputs!$F$18-SQRT((1-J453)*(Inputs!$F$18-Inputs!$D$18)*(Inputs!$F$18-Inputs!$E$18)))</f>
        <v>1.01890928115875</v>
      </c>
      <c r="L453" s="81" t="n">
        <f aca="true">RAND()</f>
        <v>0.554689900877305</v>
      </c>
      <c r="M453" s="83" t="n">
        <f aca="false">IF(L453&lt;(Inputs!$E$24-Inputs!$D$24)/(Inputs!$F$24-Inputs!$D$24),Inputs!$D$24+SQRT(L453*(Inputs!$F$24-Inputs!$D$24)*(Inputs!$E$24-Inputs!$D$24)),Inputs!$F$24-SQRT((1-L453)*(Inputs!$F$24-Inputs!$D$24)*(Inputs!$F$24-Inputs!$E$24)))</f>
        <v>0.873083460514084</v>
      </c>
      <c r="N453" s="81" t="n">
        <f aca="true">RAND()</f>
        <v>0.547479681621759</v>
      </c>
      <c r="O453" s="83" t="n">
        <f aca="false">IF(N453&lt;(Inputs!$E$26-Inputs!$D$26)/(Inputs!$F$26-Inputs!$D$26),Inputs!$D$26+SQRT(N453*(Inputs!$F$26-Inputs!$D$26)*(Inputs!$E$26-Inputs!$D$26)),Inputs!$F$26-SQRT((1-N453)*(Inputs!$F$26-Inputs!$D$26)*(Inputs!$F$26-Inputs!$E$26)))</f>
        <v>0.60182879090945</v>
      </c>
      <c r="P453" s="81" t="n">
        <f aca="true">RAND()</f>
        <v>0.414442789116794</v>
      </c>
      <c r="Q453" s="82" t="n">
        <f aca="false">IF(P453&lt;(Inputs!$E$27-Inputs!$D$27)/(Inputs!$F$27-Inputs!$D$27),Inputs!$D$27+SQRT(P453*(Inputs!$F$27-Inputs!$D$27)*(Inputs!$E$27-Inputs!$D$27)),Inputs!$F$27-SQRT((1-P453)*(Inputs!$F$27-Inputs!$D$27)*(Inputs!$F$27-Inputs!$E$27)))</f>
        <v>83.7302551564891</v>
      </c>
      <c r="R453" s="81" t="n">
        <f aca="true">RAND()</f>
        <v>0.427692685188151</v>
      </c>
      <c r="S453" s="82" t="n">
        <f aca="false">IF(R453&lt;(Inputs!$E$29-Inputs!$D$29)/(Inputs!$F$29-Inputs!$D$29),Inputs!$D$29+SQRT(R453*(Inputs!$F$29-Inputs!$D$29)*(Inputs!$E$29-Inputs!$D$29)),Inputs!$F$29-SQRT((1-R453)*(Inputs!$F$29-Inputs!$D$29)*(Inputs!$F$29-Inputs!$E$29)))</f>
        <v>6.3744593835783</v>
      </c>
      <c r="T453" s="68" t="n">
        <f aca="false">Inputs!$E$9*(1+E453)+Inputs!$E$5*C453*(Inputs!$E$11*Inputs!$E$14*(G453*I453/Inputs!$E$16+(1-G453))*K453+Inputs!$E$23*M453)*(1+O453)+Inputs!$E$5*(Q453+S453)</f>
        <v>6088.90480489033</v>
      </c>
    </row>
    <row r="454" customFormat="false" ht="15" hidden="false" customHeight="false" outlineLevel="0" collapsed="false">
      <c r="A454" s="1" t="n">
        <v>450</v>
      </c>
      <c r="B454" s="81" t="n">
        <f aca="true">RAND()</f>
        <v>0.608378208688136</v>
      </c>
      <c r="C454" s="82" t="n">
        <f aca="false">ROUND(IF(B454&lt;(Inputs!$E$8-Inputs!$D$8)/(Inputs!$F$8-Inputs!$D$8),Inputs!$D$8+SQRT(B454*(Inputs!$F$8-Inputs!$D$8)*(Inputs!$E$8-Inputs!$D$8)),Inputs!$F$8-SQRT((1-B454)*(Inputs!$F$8-Inputs!$D$8)*(Inputs!$F$8-Inputs!$E$8))),0)</f>
        <v>26</v>
      </c>
      <c r="D454" s="81" t="n">
        <f aca="true">RAND()</f>
        <v>0.640169307638877</v>
      </c>
      <c r="E454" s="83" t="n">
        <f aca="false">IF(D454&lt;(Inputs!$E$10-Inputs!$D$10)/(Inputs!$F$10-Inputs!$D$10),Inputs!$D$10+SQRT(D454*(Inputs!$F$10-Inputs!$D$10)*(Inputs!$E$10-Inputs!$D$10)),Inputs!$F$10-SQRT((1-D454)*(Inputs!$F$10-Inputs!$D$10)*(Inputs!$F$10-Inputs!$E$10)))</f>
        <v>0.096101391872491</v>
      </c>
      <c r="F454" s="81" t="n">
        <f aca="true">RAND()</f>
        <v>0.574950411746552</v>
      </c>
      <c r="G454" s="83" t="n">
        <f aca="false">IF(F454&lt;(Inputs!$E$15-Inputs!$D$15)/(Inputs!$F$15-Inputs!$D$15),Inputs!$D$15+SQRT(F454*(Inputs!$F$15-Inputs!$D$15)*(Inputs!$E$15-Inputs!$D$15)),Inputs!$F$15-SQRT((1-F454)*(Inputs!$F$15-Inputs!$D$15)*(Inputs!$F$15-Inputs!$E$15)))</f>
        <v>0.707799176982692</v>
      </c>
      <c r="H454" s="81" t="n">
        <f aca="true">RAND()</f>
        <v>0.0969568311826241</v>
      </c>
      <c r="I454" s="82" t="n">
        <f aca="false">ROUND(IF(H454&lt;(Inputs!$E$17-Inputs!$D$17)/(Inputs!$F$17-Inputs!$D$17),Inputs!$D$17+SQRT(H454*(Inputs!$F$17-Inputs!$D$17)*(Inputs!$E$17-Inputs!$D$17)),Inputs!$F$17-SQRT((1-H454)*(Inputs!$F$17-Inputs!$D$17)*(Inputs!$F$17-Inputs!$E$17))),0)</f>
        <v>103</v>
      </c>
      <c r="J454" s="81" t="n">
        <f aca="true">RAND()</f>
        <v>0.379632400047404</v>
      </c>
      <c r="K454" s="83" t="n">
        <f aca="false">IF(J454&lt;(Inputs!$E$18-Inputs!$D$18)/(Inputs!$F$18-Inputs!$D$18),Inputs!$D$18+SQRT(J454*(Inputs!$F$18-Inputs!$D$18)*(Inputs!$E$18-Inputs!$D$18)),Inputs!$F$18-SQRT((1-J454)*(Inputs!$F$18-Inputs!$D$18)*(Inputs!$F$18-Inputs!$E$18)))</f>
        <v>1.01701466785256</v>
      </c>
      <c r="L454" s="81" t="n">
        <f aca="true">RAND()</f>
        <v>0.555094978876597</v>
      </c>
      <c r="M454" s="83" t="n">
        <f aca="false">IF(L454&lt;(Inputs!$E$24-Inputs!$D$24)/(Inputs!$F$24-Inputs!$D$24),Inputs!$D$24+SQRT(L454*(Inputs!$F$24-Inputs!$D$24)*(Inputs!$E$24-Inputs!$D$24)),Inputs!$F$24-SQRT((1-L454)*(Inputs!$F$24-Inputs!$D$24)*(Inputs!$F$24-Inputs!$E$24)))</f>
        <v>0.873232184770873</v>
      </c>
      <c r="N454" s="81" t="n">
        <f aca="true">RAND()</f>
        <v>0.724878195777745</v>
      </c>
      <c r="O454" s="83" t="n">
        <f aca="false">IF(N454&lt;(Inputs!$E$26-Inputs!$D$26)/(Inputs!$F$26-Inputs!$D$26),Inputs!$D$26+SQRT(N454*(Inputs!$F$26-Inputs!$D$26)*(Inputs!$E$26-Inputs!$D$26)),Inputs!$F$26-SQRT((1-N454)*(Inputs!$F$26-Inputs!$D$26)*(Inputs!$F$26-Inputs!$E$26)))</f>
        <v>0.650847206233197</v>
      </c>
      <c r="P454" s="81" t="n">
        <f aca="true">RAND()</f>
        <v>0.928364600593781</v>
      </c>
      <c r="Q454" s="82" t="n">
        <f aca="false">IF(P454&lt;(Inputs!$E$27-Inputs!$D$27)/(Inputs!$F$27-Inputs!$D$27),Inputs!$D$27+SQRT(P454*(Inputs!$F$27-Inputs!$D$27)*(Inputs!$E$27-Inputs!$D$27)),Inputs!$F$27-SQRT((1-P454)*(Inputs!$F$27-Inputs!$D$27)*(Inputs!$F$27-Inputs!$E$27)))</f>
        <v>126.821011766114</v>
      </c>
      <c r="R454" s="81" t="n">
        <f aca="true">RAND()</f>
        <v>0.409373572268824</v>
      </c>
      <c r="S454" s="82" t="n">
        <f aca="false">IF(R454&lt;(Inputs!$E$29-Inputs!$D$29)/(Inputs!$F$29-Inputs!$D$29),Inputs!$D$29+SQRT(R454*(Inputs!$F$29-Inputs!$D$29)*(Inputs!$E$29-Inputs!$D$29)),Inputs!$F$29-SQRT((1-R454)*(Inputs!$F$29-Inputs!$D$29)*(Inputs!$F$29-Inputs!$E$29)))</f>
        <v>6.23749832496148</v>
      </c>
      <c r="T454" s="68" t="n">
        <f aca="false">Inputs!$E$9*(1+E454)+Inputs!$E$5*C454*(Inputs!$E$11*Inputs!$E$14*(G454*I454/Inputs!$E$16+(1-G454))*K454+Inputs!$E$23*M454)*(1+O454)+Inputs!$E$5*(Q454+S454)</f>
        <v>6720.05907696031</v>
      </c>
    </row>
    <row r="455" customFormat="false" ht="15" hidden="false" customHeight="false" outlineLevel="0" collapsed="false">
      <c r="A455" s="1" t="n">
        <v>451</v>
      </c>
      <c r="B455" s="81" t="n">
        <f aca="true">RAND()</f>
        <v>0.050436603683568</v>
      </c>
      <c r="C455" s="82" t="n">
        <f aca="false">ROUND(IF(B455&lt;(Inputs!$E$8-Inputs!$D$8)/(Inputs!$F$8-Inputs!$D$8),Inputs!$D$8+SQRT(B455*(Inputs!$F$8-Inputs!$D$8)*(Inputs!$E$8-Inputs!$D$8)),Inputs!$F$8-SQRT((1-B455)*(Inputs!$F$8-Inputs!$D$8)*(Inputs!$F$8-Inputs!$E$8))),0)</f>
        <v>22</v>
      </c>
      <c r="D455" s="81" t="n">
        <f aca="true">RAND()</f>
        <v>0.846963696033453</v>
      </c>
      <c r="E455" s="83" t="n">
        <f aca="false">IF(D455&lt;(Inputs!$E$10-Inputs!$D$10)/(Inputs!$F$10-Inputs!$D$10),Inputs!$D$10+SQRT(D455*(Inputs!$F$10-Inputs!$D$10)*(Inputs!$E$10-Inputs!$D$10)),Inputs!$F$10-SQRT((1-D455)*(Inputs!$F$10-Inputs!$D$10)*(Inputs!$F$10-Inputs!$E$10)))</f>
        <v>0.132242423899638</v>
      </c>
      <c r="F455" s="81" t="n">
        <f aca="true">RAND()</f>
        <v>0.642282711425017</v>
      </c>
      <c r="G455" s="83" t="n">
        <f aca="false">IF(F455&lt;(Inputs!$E$15-Inputs!$D$15)/(Inputs!$F$15-Inputs!$D$15),Inputs!$D$15+SQRT(F455*(Inputs!$F$15-Inputs!$D$15)*(Inputs!$E$15-Inputs!$D$15)),Inputs!$F$15-SQRT((1-F455)*(Inputs!$F$15-Inputs!$D$15)*(Inputs!$F$15-Inputs!$E$15)))</f>
        <v>0.71541663419147</v>
      </c>
      <c r="H455" s="81" t="n">
        <f aca="true">RAND()</f>
        <v>0.941618724315531</v>
      </c>
      <c r="I455" s="82" t="n">
        <f aca="false">ROUND(IF(H455&lt;(Inputs!$E$17-Inputs!$D$17)/(Inputs!$F$17-Inputs!$D$17),Inputs!$D$17+SQRT(H455*(Inputs!$F$17-Inputs!$D$17)*(Inputs!$E$17-Inputs!$D$17)),Inputs!$F$17-SQRT((1-H455)*(Inputs!$F$17-Inputs!$D$17)*(Inputs!$F$17-Inputs!$E$17))),0)</f>
        <v>112</v>
      </c>
      <c r="J455" s="81" t="n">
        <f aca="true">RAND()</f>
        <v>0.662340803916223</v>
      </c>
      <c r="K455" s="83" t="n">
        <f aca="false">IF(J455&lt;(Inputs!$E$18-Inputs!$D$18)/(Inputs!$F$18-Inputs!$D$18),Inputs!$D$18+SQRT(J455*(Inputs!$F$18-Inputs!$D$18)*(Inputs!$E$18-Inputs!$D$18)),Inputs!$F$18-SQRT((1-J455)*(Inputs!$F$18-Inputs!$D$18)*(Inputs!$F$18-Inputs!$E$18)))</f>
        <v>1.07811288687825</v>
      </c>
      <c r="L455" s="81" t="n">
        <f aca="true">RAND()</f>
        <v>0.657529906303682</v>
      </c>
      <c r="M455" s="83" t="n">
        <f aca="false">IF(L455&lt;(Inputs!$E$24-Inputs!$D$24)/(Inputs!$F$24-Inputs!$D$24),Inputs!$D$24+SQRT(L455*(Inputs!$F$24-Inputs!$D$24)*(Inputs!$E$24-Inputs!$D$24)),Inputs!$F$24-SQRT((1-L455)*(Inputs!$F$24-Inputs!$D$24)*(Inputs!$F$24-Inputs!$E$24)))</f>
        <v>0.91330709376213</v>
      </c>
      <c r="N455" s="81" t="n">
        <f aca="true">RAND()</f>
        <v>0.447279258073673</v>
      </c>
      <c r="O455" s="83" t="n">
        <f aca="false">IF(N455&lt;(Inputs!$E$26-Inputs!$D$26)/(Inputs!$F$26-Inputs!$D$26),Inputs!$D$26+SQRT(N455*(Inputs!$F$26-Inputs!$D$26)*(Inputs!$E$26-Inputs!$D$26)),Inputs!$F$26-SQRT((1-N455)*(Inputs!$F$26-Inputs!$D$26)*(Inputs!$F$26-Inputs!$E$26)))</f>
        <v>0.572813615025825</v>
      </c>
      <c r="P455" s="81" t="n">
        <f aca="true">RAND()</f>
        <v>0.539705588730133</v>
      </c>
      <c r="Q455" s="82" t="n">
        <f aca="false">IF(P455&lt;(Inputs!$E$27-Inputs!$D$27)/(Inputs!$F$27-Inputs!$D$27),Inputs!$D$27+SQRT(P455*(Inputs!$F$27-Inputs!$D$27)*(Inputs!$E$27-Inputs!$D$27)),Inputs!$F$27-SQRT((1-P455)*(Inputs!$F$27-Inputs!$D$27)*(Inputs!$F$27-Inputs!$E$27)))</f>
        <v>91.2445059205184</v>
      </c>
      <c r="R455" s="81" t="n">
        <f aca="true">RAND()</f>
        <v>0.634744185974425</v>
      </c>
      <c r="S455" s="82" t="n">
        <f aca="false">IF(R455&lt;(Inputs!$E$29-Inputs!$D$29)/(Inputs!$F$29-Inputs!$D$29),Inputs!$D$29+SQRT(R455*(Inputs!$F$29-Inputs!$D$29)*(Inputs!$E$29-Inputs!$D$29)),Inputs!$F$29-SQRT((1-R455)*(Inputs!$F$29-Inputs!$D$29)*(Inputs!$F$29-Inputs!$E$29)))</f>
        <v>8.10919048127691</v>
      </c>
      <c r="T455" s="68" t="n">
        <f aca="false">Inputs!$E$9*(1+E455)+Inputs!$E$5*C455*(Inputs!$E$11*Inputs!$E$14*(G455*I455/Inputs!$E$16+(1-G455))*K455+Inputs!$E$23*M455)*(1+O455)+Inputs!$E$5*(Q455+S455)</f>
        <v>6176.26970652938</v>
      </c>
    </row>
    <row r="456" customFormat="false" ht="15" hidden="false" customHeight="false" outlineLevel="0" collapsed="false">
      <c r="A456" s="1" t="n">
        <v>452</v>
      </c>
      <c r="B456" s="81" t="n">
        <f aca="true">RAND()</f>
        <v>0.321295448794317</v>
      </c>
      <c r="C456" s="82" t="n">
        <f aca="false">ROUND(IF(B456&lt;(Inputs!$E$8-Inputs!$D$8)/(Inputs!$F$8-Inputs!$D$8),Inputs!$D$8+SQRT(B456*(Inputs!$F$8-Inputs!$D$8)*(Inputs!$E$8-Inputs!$D$8)),Inputs!$F$8-SQRT((1-B456)*(Inputs!$F$8-Inputs!$D$8)*(Inputs!$F$8-Inputs!$E$8))),0)</f>
        <v>24</v>
      </c>
      <c r="D456" s="81" t="n">
        <f aca="true">RAND()</f>
        <v>0.528358998912242</v>
      </c>
      <c r="E456" s="83" t="n">
        <f aca="false">IF(D456&lt;(Inputs!$E$10-Inputs!$D$10)/(Inputs!$F$10-Inputs!$D$10),Inputs!$D$10+SQRT(D456*(Inputs!$F$10-Inputs!$D$10)*(Inputs!$E$10-Inputs!$D$10)),Inputs!$F$10-SQRT((1-D456)*(Inputs!$F$10-Inputs!$D$10)*(Inputs!$F$10-Inputs!$E$10)))</f>
        <v>0.0810494639245676</v>
      </c>
      <c r="F456" s="81" t="n">
        <f aca="true">RAND()</f>
        <v>0.745977569181652</v>
      </c>
      <c r="G456" s="83" t="n">
        <f aca="false">IF(F456&lt;(Inputs!$E$15-Inputs!$D$15)/(Inputs!$F$15-Inputs!$D$15),Inputs!$D$15+SQRT(F456*(Inputs!$F$15-Inputs!$D$15)*(Inputs!$E$15-Inputs!$D$15)),Inputs!$F$15-SQRT((1-F456)*(Inputs!$F$15-Inputs!$D$15)*(Inputs!$F$15-Inputs!$E$15)))</f>
        <v>0.728722734224951</v>
      </c>
      <c r="H456" s="81" t="n">
        <f aca="true">RAND()</f>
        <v>0.869674925003751</v>
      </c>
      <c r="I456" s="82" t="n">
        <f aca="false">ROUND(IF(H456&lt;(Inputs!$E$17-Inputs!$D$17)/(Inputs!$F$17-Inputs!$D$17),Inputs!$D$17+SQRT(H456*(Inputs!$F$17-Inputs!$D$17)*(Inputs!$E$17-Inputs!$D$17)),Inputs!$F$17-SQRT((1-H456)*(Inputs!$F$17-Inputs!$D$17)*(Inputs!$F$17-Inputs!$E$17))),0)</f>
        <v>111</v>
      </c>
      <c r="J456" s="81" t="n">
        <f aca="true">RAND()</f>
        <v>0.838608911955901</v>
      </c>
      <c r="K456" s="83" t="n">
        <f aca="false">IF(J456&lt;(Inputs!$E$18-Inputs!$D$18)/(Inputs!$F$18-Inputs!$D$18),Inputs!$D$18+SQRT(J456*(Inputs!$F$18-Inputs!$D$18)*(Inputs!$E$18-Inputs!$D$18)),Inputs!$F$18-SQRT((1-J456)*(Inputs!$F$18-Inputs!$D$18)*(Inputs!$F$18-Inputs!$E$18)))</f>
        <v>1.1311651557671</v>
      </c>
      <c r="L456" s="81" t="n">
        <f aca="true">RAND()</f>
        <v>0.41489446586789</v>
      </c>
      <c r="M456" s="83" t="n">
        <f aca="false">IF(L456&lt;(Inputs!$E$24-Inputs!$D$24)/(Inputs!$F$24-Inputs!$D$24),Inputs!$D$24+SQRT(L456*(Inputs!$F$24-Inputs!$D$24)*(Inputs!$E$24-Inputs!$D$24)),Inputs!$F$24-SQRT((1-L456)*(Inputs!$F$24-Inputs!$D$24)*(Inputs!$F$24-Inputs!$E$24)))</f>
        <v>0.825266323648773</v>
      </c>
      <c r="N456" s="81" t="n">
        <f aca="true">RAND()</f>
        <v>0.0203826526420378</v>
      </c>
      <c r="O456" s="83" t="n">
        <f aca="false">IF(N456&lt;(Inputs!$E$26-Inputs!$D$26)/(Inputs!$F$26-Inputs!$D$26),Inputs!$D$26+SQRT(N456*(Inputs!$F$26-Inputs!$D$26)*(Inputs!$E$26-Inputs!$D$26)),Inputs!$F$26-SQRT((1-N456)*(Inputs!$F$26-Inputs!$D$26)*(Inputs!$F$26-Inputs!$E$26)))</f>
        <v>0.358238075171103</v>
      </c>
      <c r="P456" s="81" t="n">
        <f aca="true">RAND()</f>
        <v>0.866703254575238</v>
      </c>
      <c r="Q456" s="82" t="n">
        <f aca="false">IF(P456&lt;(Inputs!$E$27-Inputs!$D$27)/(Inputs!$F$27-Inputs!$D$27),Inputs!$D$27+SQRT(P456*(Inputs!$F$27-Inputs!$D$27)*(Inputs!$E$27-Inputs!$D$27)),Inputs!$F$27-SQRT((1-P456)*(Inputs!$F$27-Inputs!$D$27)*(Inputs!$F$27-Inputs!$E$27)))</f>
        <v>118.38156248823</v>
      </c>
      <c r="R456" s="81" t="n">
        <f aca="true">RAND()</f>
        <v>0.221877362889867</v>
      </c>
      <c r="S456" s="82" t="n">
        <f aca="false">IF(R456&lt;(Inputs!$E$29-Inputs!$D$29)/(Inputs!$F$29-Inputs!$D$29),Inputs!$D$29+SQRT(R456*(Inputs!$F$29-Inputs!$D$29)*(Inputs!$E$29-Inputs!$D$29)),Inputs!$F$29-SQRT((1-R456)*(Inputs!$F$29-Inputs!$D$29)*(Inputs!$F$29-Inputs!$E$29)))</f>
        <v>4.94163511549356</v>
      </c>
      <c r="T456" s="68" t="n">
        <f aca="false">Inputs!$E$9*(1+E456)+Inputs!$E$5*C456*(Inputs!$E$11*Inputs!$E$14*(G456*I456/Inputs!$E$16+(1-G456))*K456+Inputs!$E$23*M456)*(1+O456)+Inputs!$E$5*(Q456+S456)</f>
        <v>5965.98005995406</v>
      </c>
    </row>
    <row r="457" customFormat="false" ht="15" hidden="false" customHeight="false" outlineLevel="0" collapsed="false">
      <c r="A457" s="1" t="n">
        <v>453</v>
      </c>
      <c r="B457" s="81" t="n">
        <f aca="true">RAND()</f>
        <v>0.0544974507308884</v>
      </c>
      <c r="C457" s="82" t="n">
        <f aca="false">ROUND(IF(B457&lt;(Inputs!$E$8-Inputs!$D$8)/(Inputs!$F$8-Inputs!$D$8),Inputs!$D$8+SQRT(B457*(Inputs!$F$8-Inputs!$D$8)*(Inputs!$E$8-Inputs!$D$8)),Inputs!$F$8-SQRT((1-B457)*(Inputs!$F$8-Inputs!$D$8)*(Inputs!$F$8-Inputs!$E$8))),0)</f>
        <v>22</v>
      </c>
      <c r="D457" s="81" t="n">
        <f aca="true">RAND()</f>
        <v>0.744484926805739</v>
      </c>
      <c r="E457" s="83" t="n">
        <f aca="false">IF(D457&lt;(Inputs!$E$10-Inputs!$D$10)/(Inputs!$F$10-Inputs!$D$10),Inputs!$D$10+SQRT(D457*(Inputs!$F$10-Inputs!$D$10)*(Inputs!$E$10-Inputs!$D$10)),Inputs!$F$10-SQRT((1-D457)*(Inputs!$F$10-Inputs!$D$10)*(Inputs!$F$10-Inputs!$E$10)))</f>
        <v>0.112447431814779</v>
      </c>
      <c r="F457" s="81" t="n">
        <f aca="true">RAND()</f>
        <v>0.896770379164758</v>
      </c>
      <c r="G457" s="83" t="n">
        <f aca="false">IF(F457&lt;(Inputs!$E$15-Inputs!$D$15)/(Inputs!$F$15-Inputs!$D$15),Inputs!$D$15+SQRT(F457*(Inputs!$F$15-Inputs!$D$15)*(Inputs!$E$15-Inputs!$D$15)),Inputs!$F$15-SQRT((1-F457)*(Inputs!$F$15-Inputs!$D$15)*(Inputs!$F$15-Inputs!$E$15)))</f>
        <v>0.754562213778565</v>
      </c>
      <c r="H457" s="81" t="n">
        <f aca="true">RAND()</f>
        <v>0.247879500808939</v>
      </c>
      <c r="I457" s="82" t="n">
        <f aca="false">ROUND(IF(H457&lt;(Inputs!$E$17-Inputs!$D$17)/(Inputs!$F$17-Inputs!$D$17),Inputs!$D$17+SQRT(H457*(Inputs!$F$17-Inputs!$D$17)*(Inputs!$E$17-Inputs!$D$17)),Inputs!$F$17-SQRT((1-H457)*(Inputs!$F$17-Inputs!$D$17)*(Inputs!$F$17-Inputs!$E$17))),0)</f>
        <v>104</v>
      </c>
      <c r="J457" s="81" t="n">
        <f aca="true">RAND()</f>
        <v>0.405084105930314</v>
      </c>
      <c r="K457" s="83" t="n">
        <f aca="false">IF(J457&lt;(Inputs!$E$18-Inputs!$D$18)/(Inputs!$F$18-Inputs!$D$18),Inputs!$D$18+SQRT(J457*(Inputs!$F$18-Inputs!$D$18)*(Inputs!$E$18-Inputs!$D$18)),Inputs!$F$18-SQRT((1-J457)*(Inputs!$F$18-Inputs!$D$18)*(Inputs!$F$18-Inputs!$E$18)))</f>
        <v>1.02184404296382</v>
      </c>
      <c r="L457" s="81" t="n">
        <f aca="true">RAND()</f>
        <v>0.640356174214759</v>
      </c>
      <c r="M457" s="83" t="n">
        <f aca="false">IF(L457&lt;(Inputs!$E$24-Inputs!$D$24)/(Inputs!$F$24-Inputs!$D$24),Inputs!$D$24+SQRT(L457*(Inputs!$F$24-Inputs!$D$24)*(Inputs!$E$24-Inputs!$D$24)),Inputs!$F$24-SQRT((1-L457)*(Inputs!$F$24-Inputs!$D$24)*(Inputs!$F$24-Inputs!$E$24)))</f>
        <v>0.906206674363665</v>
      </c>
      <c r="N457" s="81" t="n">
        <f aca="true">RAND()</f>
        <v>0.506046593627277</v>
      </c>
      <c r="O457" s="83" t="n">
        <f aca="false">IF(N457&lt;(Inputs!$E$26-Inputs!$D$26)/(Inputs!$F$26-Inputs!$D$26),Inputs!$D$26+SQRT(N457*(Inputs!$F$26-Inputs!$D$26)*(Inputs!$E$26-Inputs!$D$26)),Inputs!$F$26-SQRT((1-N457)*(Inputs!$F$26-Inputs!$D$26)*(Inputs!$F$26-Inputs!$E$26)))</f>
        <v>0.590182965005837</v>
      </c>
      <c r="P457" s="81" t="n">
        <f aca="true">RAND()</f>
        <v>0.11155309790778</v>
      </c>
      <c r="Q457" s="82" t="n">
        <f aca="false">IF(P457&lt;(Inputs!$E$27-Inputs!$D$27)/(Inputs!$F$27-Inputs!$D$27),Inputs!$D$27+SQRT(P457*(Inputs!$F$27-Inputs!$D$27)*(Inputs!$E$27-Inputs!$D$27)),Inputs!$F$27-SQRT((1-P457)*(Inputs!$F$27-Inputs!$D$27)*(Inputs!$F$27-Inputs!$E$27)))</f>
        <v>66.6997827761157</v>
      </c>
      <c r="R457" s="81" t="n">
        <f aca="true">RAND()</f>
        <v>0.0226561871738917</v>
      </c>
      <c r="S457" s="82" t="n">
        <f aca="false">IF(R457&lt;(Inputs!$E$29-Inputs!$D$29)/(Inputs!$F$29-Inputs!$D$29),Inputs!$D$29+SQRT(R457*(Inputs!$F$29-Inputs!$D$29)*(Inputs!$E$29-Inputs!$D$29)),Inputs!$F$29-SQRT((1-R457)*(Inputs!$F$29-Inputs!$D$29)*(Inputs!$F$29-Inputs!$E$29)))</f>
        <v>2.93999537221296</v>
      </c>
      <c r="T457" s="68" t="n">
        <f aca="false">Inputs!$E$9*(1+E457)+Inputs!$E$5*C457*(Inputs!$E$11*Inputs!$E$14*(G457*I457/Inputs!$E$16+(1-G457))*K457+Inputs!$E$23*M457)*(1+O457)+Inputs!$E$5*(Q457+S457)</f>
        <v>5769.34798710695</v>
      </c>
    </row>
    <row r="458" customFormat="false" ht="15" hidden="false" customHeight="false" outlineLevel="0" collapsed="false">
      <c r="A458" s="1" t="n">
        <v>454</v>
      </c>
      <c r="B458" s="81" t="n">
        <f aca="true">RAND()</f>
        <v>0.203438414667098</v>
      </c>
      <c r="C458" s="82" t="n">
        <f aca="false">ROUND(IF(B458&lt;(Inputs!$E$8-Inputs!$D$8)/(Inputs!$F$8-Inputs!$D$8),Inputs!$D$8+SQRT(B458*(Inputs!$F$8-Inputs!$D$8)*(Inputs!$E$8-Inputs!$D$8)),Inputs!$F$8-SQRT((1-B458)*(Inputs!$F$8-Inputs!$D$8)*(Inputs!$F$8-Inputs!$E$8))),0)</f>
        <v>23</v>
      </c>
      <c r="D458" s="81" t="n">
        <f aca="true">RAND()</f>
        <v>0.954543748563175</v>
      </c>
      <c r="E458" s="83" t="n">
        <f aca="false">IF(D458&lt;(Inputs!$E$10-Inputs!$D$10)/(Inputs!$F$10-Inputs!$D$10),Inputs!$D$10+SQRT(D458*(Inputs!$F$10-Inputs!$D$10)*(Inputs!$E$10-Inputs!$D$10)),Inputs!$F$10-SQRT((1-D458)*(Inputs!$F$10-Inputs!$D$10)*(Inputs!$F$10-Inputs!$E$10)))</f>
        <v>0.163071859739424</v>
      </c>
      <c r="F458" s="81" t="n">
        <f aca="true">RAND()</f>
        <v>0.845554699522214</v>
      </c>
      <c r="G458" s="83" t="n">
        <f aca="false">IF(F458&lt;(Inputs!$E$15-Inputs!$D$15)/(Inputs!$F$15-Inputs!$D$15),Inputs!$D$15+SQRT(F458*(Inputs!$F$15-Inputs!$D$15)*(Inputs!$E$15-Inputs!$D$15)),Inputs!$F$15-SQRT((1-F458)*(Inputs!$F$15-Inputs!$D$15)*(Inputs!$F$15-Inputs!$E$15)))</f>
        <v>0.744422072640699</v>
      </c>
      <c r="H458" s="81" t="n">
        <f aca="true">RAND()</f>
        <v>0.321101618967757</v>
      </c>
      <c r="I458" s="82" t="n">
        <f aca="false">ROUND(IF(H458&lt;(Inputs!$E$17-Inputs!$D$17)/(Inputs!$F$17-Inputs!$D$17),Inputs!$D$17+SQRT(H458*(Inputs!$F$17-Inputs!$D$17)*(Inputs!$E$17-Inputs!$D$17)),Inputs!$F$17-SQRT((1-H458)*(Inputs!$F$17-Inputs!$D$17)*(Inputs!$F$17-Inputs!$E$17))),0)</f>
        <v>105</v>
      </c>
      <c r="J458" s="81" t="n">
        <f aca="true">RAND()</f>
        <v>0.0841953184837048</v>
      </c>
      <c r="K458" s="83" t="n">
        <f aca="false">IF(J458&lt;(Inputs!$E$18-Inputs!$D$18)/(Inputs!$F$18-Inputs!$D$18),Inputs!$D$18+SQRT(J458*(Inputs!$F$18-Inputs!$D$18)*(Inputs!$E$18-Inputs!$D$18)),Inputs!$F$18-SQRT((1-J458)*(Inputs!$F$18-Inputs!$D$18)*(Inputs!$F$18-Inputs!$E$18)))</f>
        <v>0.954284769014243</v>
      </c>
      <c r="L458" s="81" t="n">
        <f aca="true">RAND()</f>
        <v>0.410102774351328</v>
      </c>
      <c r="M458" s="83" t="n">
        <f aca="false">IF(L458&lt;(Inputs!$E$24-Inputs!$D$24)/(Inputs!$F$24-Inputs!$D$24),Inputs!$D$24+SQRT(L458*(Inputs!$F$24-Inputs!$D$24)*(Inputs!$E$24-Inputs!$D$24)),Inputs!$F$24-SQRT((1-L458)*(Inputs!$F$24-Inputs!$D$24)*(Inputs!$F$24-Inputs!$E$24)))</f>
        <v>0.823735021353726</v>
      </c>
      <c r="N458" s="81" t="n">
        <f aca="true">RAND()</f>
        <v>0.737915213761617</v>
      </c>
      <c r="O458" s="83" t="n">
        <f aca="false">IF(N458&lt;(Inputs!$E$26-Inputs!$D$26)/(Inputs!$F$26-Inputs!$D$26),Inputs!$D$26+SQRT(N458*(Inputs!$F$26-Inputs!$D$26)*(Inputs!$E$26-Inputs!$D$26)),Inputs!$F$26-SQRT((1-N458)*(Inputs!$F$26-Inputs!$D$26)*(Inputs!$F$26-Inputs!$E$26)))</f>
        <v>0.654903610673062</v>
      </c>
      <c r="P458" s="81" t="n">
        <f aca="true">RAND()</f>
        <v>0.13828012627722</v>
      </c>
      <c r="Q458" s="82" t="n">
        <f aca="false">IF(P458&lt;(Inputs!$E$27-Inputs!$D$27)/(Inputs!$F$27-Inputs!$D$27),Inputs!$D$27+SQRT(P458*(Inputs!$F$27-Inputs!$D$27)*(Inputs!$E$27-Inputs!$D$27)),Inputs!$F$27-SQRT((1-P458)*(Inputs!$F$27-Inputs!$D$27)*(Inputs!$F$27-Inputs!$E$27)))</f>
        <v>68.5930179285948</v>
      </c>
      <c r="R458" s="81" t="n">
        <f aca="true">RAND()</f>
        <v>0.998240589732179</v>
      </c>
      <c r="S458" s="82" t="n">
        <f aca="false">IF(R458&lt;(Inputs!$E$29-Inputs!$D$29)/(Inputs!$F$29-Inputs!$D$29),Inputs!$D$29+SQRT(R458*(Inputs!$F$29-Inputs!$D$29)*(Inputs!$E$29-Inputs!$D$29)),Inputs!$F$29-SQRT((1-R458)*(Inputs!$F$29-Inputs!$D$29)*(Inputs!$F$29-Inputs!$E$29)))</f>
        <v>14.5217497152989</v>
      </c>
      <c r="T458" s="68" t="n">
        <f aca="false">Inputs!$E$9*(1+E458)+Inputs!$E$5*C458*(Inputs!$E$11*Inputs!$E$14*(G458*I458/Inputs!$E$16+(1-G458))*K458+Inputs!$E$23*M458)*(1+O458)+Inputs!$E$5*(Q458+S458)</f>
        <v>5988.95319468374</v>
      </c>
    </row>
    <row r="459" customFormat="false" ht="15" hidden="false" customHeight="false" outlineLevel="0" collapsed="false">
      <c r="A459" s="1" t="n">
        <v>455</v>
      </c>
      <c r="B459" s="81" t="n">
        <f aca="true">RAND()</f>
        <v>0.343924639151702</v>
      </c>
      <c r="C459" s="82" t="n">
        <f aca="false">ROUND(IF(B459&lt;(Inputs!$E$8-Inputs!$D$8)/(Inputs!$F$8-Inputs!$D$8),Inputs!$D$8+SQRT(B459*(Inputs!$F$8-Inputs!$D$8)*(Inputs!$E$8-Inputs!$D$8)),Inputs!$F$8-SQRT((1-B459)*(Inputs!$F$8-Inputs!$D$8)*(Inputs!$F$8-Inputs!$E$8))),0)</f>
        <v>24</v>
      </c>
      <c r="D459" s="81" t="n">
        <f aca="true">RAND()</f>
        <v>0.155450089017237</v>
      </c>
      <c r="E459" s="83" t="n">
        <f aca="false">IF(D459&lt;(Inputs!$E$10-Inputs!$D$10)/(Inputs!$F$10-Inputs!$D$10),Inputs!$D$10+SQRT(D459*(Inputs!$F$10-Inputs!$D$10)*(Inputs!$E$10-Inputs!$D$10)),Inputs!$F$10-SQRT((1-D459)*(Inputs!$F$10-Inputs!$D$10)*(Inputs!$F$10-Inputs!$E$10)))</f>
        <v>0.0394271592962563</v>
      </c>
      <c r="F459" s="81" t="n">
        <f aca="true">RAND()</f>
        <v>0.980850830623797</v>
      </c>
      <c r="G459" s="83" t="n">
        <f aca="false">IF(F459&lt;(Inputs!$E$15-Inputs!$D$15)/(Inputs!$F$15-Inputs!$D$15),Inputs!$D$15+SQRT(F459*(Inputs!$F$15-Inputs!$D$15)*(Inputs!$E$15-Inputs!$D$15)),Inputs!$F$15-SQRT((1-F459)*(Inputs!$F$15-Inputs!$D$15)*(Inputs!$F$15-Inputs!$E$15)))</f>
        <v>0.780430038642755</v>
      </c>
      <c r="H459" s="81" t="n">
        <f aca="true">RAND()</f>
        <v>0.690948498570254</v>
      </c>
      <c r="I459" s="82" t="n">
        <f aca="false">ROUND(IF(H459&lt;(Inputs!$E$17-Inputs!$D$17)/(Inputs!$F$17-Inputs!$D$17),Inputs!$D$17+SQRT(H459*(Inputs!$F$17-Inputs!$D$17)*(Inputs!$E$17-Inputs!$D$17)),Inputs!$F$17-SQRT((1-H459)*(Inputs!$F$17-Inputs!$D$17)*(Inputs!$F$17-Inputs!$E$17))),0)</f>
        <v>108</v>
      </c>
      <c r="J459" s="81" t="n">
        <f aca="true">RAND()</f>
        <v>0.892262970831621</v>
      </c>
      <c r="K459" s="83" t="n">
        <f aca="false">IF(J459&lt;(Inputs!$E$18-Inputs!$D$18)/(Inputs!$F$18-Inputs!$D$18),Inputs!$D$18+SQRT(J459*(Inputs!$F$18-Inputs!$D$18)*(Inputs!$E$18-Inputs!$D$18)),Inputs!$F$18-SQRT((1-J459)*(Inputs!$F$18-Inputs!$D$18)*(Inputs!$F$18-Inputs!$E$18)))</f>
        <v>1.15290731205578</v>
      </c>
      <c r="L459" s="81" t="n">
        <f aca="true">RAND()</f>
        <v>0.0905605549806277</v>
      </c>
      <c r="M459" s="83" t="n">
        <f aca="false">IF(L459&lt;(Inputs!$E$24-Inputs!$D$24)/(Inputs!$F$24-Inputs!$D$24),Inputs!$D$24+SQRT(L459*(Inputs!$F$24-Inputs!$D$24)*(Inputs!$E$24-Inputs!$D$24)),Inputs!$F$24-SQRT((1-L459)*(Inputs!$F$24-Inputs!$D$24)*(Inputs!$F$24-Inputs!$E$24)))</f>
        <v>0.704246182652773</v>
      </c>
      <c r="N459" s="81" t="n">
        <f aca="true">RAND()</f>
        <v>0.394668960748736</v>
      </c>
      <c r="O459" s="83" t="n">
        <f aca="false">IF(N459&lt;(Inputs!$E$26-Inputs!$D$26)/(Inputs!$F$26-Inputs!$D$26),Inputs!$D$26+SQRT(N459*(Inputs!$F$26-Inputs!$D$26)*(Inputs!$E$26-Inputs!$D$26)),Inputs!$F$26-SQRT((1-N459)*(Inputs!$F$26-Inputs!$D$26)*(Inputs!$F$26-Inputs!$E$26)))</f>
        <v>0.556267272722425</v>
      </c>
      <c r="P459" s="81" t="n">
        <f aca="true">RAND()</f>
        <v>0.0808220224940603</v>
      </c>
      <c r="Q459" s="82" t="n">
        <f aca="false">IF(P459&lt;(Inputs!$E$27-Inputs!$D$27)/(Inputs!$F$27-Inputs!$D$27),Inputs!$D$27+SQRT(P459*(Inputs!$F$27-Inputs!$D$27)*(Inputs!$E$27-Inputs!$D$27)),Inputs!$F$27-SQRT((1-P459)*(Inputs!$F$27-Inputs!$D$27)*(Inputs!$F$27-Inputs!$E$27)))</f>
        <v>64.2146071431873</v>
      </c>
      <c r="R459" s="81" t="n">
        <f aca="true">RAND()</f>
        <v>0.692847849631702</v>
      </c>
      <c r="S459" s="82" t="n">
        <f aca="false">IF(R459&lt;(Inputs!$E$29-Inputs!$D$29)/(Inputs!$F$29-Inputs!$D$29),Inputs!$D$29+SQRT(R459*(Inputs!$F$29-Inputs!$D$29)*(Inputs!$E$29-Inputs!$D$29)),Inputs!$F$29-SQRT((1-R459)*(Inputs!$F$29-Inputs!$D$29)*(Inputs!$F$29-Inputs!$E$29)))</f>
        <v>8.68099853237248</v>
      </c>
      <c r="T459" s="68" t="n">
        <f aca="false">Inputs!$E$9*(1+E459)+Inputs!$E$5*C459*(Inputs!$E$11*Inputs!$E$14*(G459*I459/Inputs!$E$16+(1-G459))*K459+Inputs!$E$23*M459)*(1+O459)+Inputs!$E$5*(Q459+S459)</f>
        <v>5828.04898176155</v>
      </c>
    </row>
    <row r="460" customFormat="false" ht="15" hidden="false" customHeight="false" outlineLevel="0" collapsed="false">
      <c r="A460" s="1" t="n">
        <v>456</v>
      </c>
      <c r="B460" s="81" t="n">
        <f aca="true">RAND()</f>
        <v>0.737917331458673</v>
      </c>
      <c r="C460" s="82" t="n">
        <f aca="false">ROUND(IF(B460&lt;(Inputs!$E$8-Inputs!$D$8)/(Inputs!$F$8-Inputs!$D$8),Inputs!$D$8+SQRT(B460*(Inputs!$F$8-Inputs!$D$8)*(Inputs!$E$8-Inputs!$D$8)),Inputs!$F$8-SQRT((1-B460)*(Inputs!$F$8-Inputs!$D$8)*(Inputs!$F$8-Inputs!$E$8))),0)</f>
        <v>26</v>
      </c>
      <c r="D460" s="81" t="n">
        <f aca="true">RAND()</f>
        <v>0.0325324442802397</v>
      </c>
      <c r="E460" s="83" t="n">
        <f aca="false">IF(D460&lt;(Inputs!$E$10-Inputs!$D$10)/(Inputs!$F$10-Inputs!$D$10),Inputs!$D$10+SQRT(D460*(Inputs!$F$10-Inputs!$D$10)*(Inputs!$E$10-Inputs!$D$10)),Inputs!$F$10-SQRT((1-D460)*(Inputs!$F$10-Inputs!$D$10)*(Inputs!$F$10-Inputs!$E$10)))</f>
        <v>0.0180367525569986</v>
      </c>
      <c r="F460" s="81" t="n">
        <f aca="true">RAND()</f>
        <v>0.293643550325056</v>
      </c>
      <c r="G460" s="83" t="n">
        <f aca="false">IF(F460&lt;(Inputs!$E$15-Inputs!$D$15)/(Inputs!$F$15-Inputs!$D$15),Inputs!$D$15+SQRT(F460*(Inputs!$F$15-Inputs!$D$15)*(Inputs!$E$15-Inputs!$D$15)),Inputs!$F$15-SQRT((1-F460)*(Inputs!$F$15-Inputs!$D$15)*(Inputs!$F$15-Inputs!$E$15)))</f>
        <v>0.676634659303093</v>
      </c>
      <c r="H460" s="81" t="n">
        <f aca="true">RAND()</f>
        <v>0.332519756318667</v>
      </c>
      <c r="I460" s="82" t="n">
        <f aca="false">ROUND(IF(H460&lt;(Inputs!$E$17-Inputs!$D$17)/(Inputs!$F$17-Inputs!$D$17),Inputs!$D$17+SQRT(H460*(Inputs!$F$17-Inputs!$D$17)*(Inputs!$E$17-Inputs!$D$17)),Inputs!$F$17-SQRT((1-H460)*(Inputs!$F$17-Inputs!$D$17)*(Inputs!$F$17-Inputs!$E$17))),0)</f>
        <v>105</v>
      </c>
      <c r="J460" s="81" t="n">
        <f aca="true">RAND()</f>
        <v>0.649925961600039</v>
      </c>
      <c r="K460" s="83" t="n">
        <f aca="false">IF(J460&lt;(Inputs!$E$18-Inputs!$D$18)/(Inputs!$F$18-Inputs!$D$18),Inputs!$D$18+SQRT(J460*(Inputs!$F$18-Inputs!$D$18)*(Inputs!$E$18-Inputs!$D$18)),Inputs!$F$18-SQRT((1-J460)*(Inputs!$F$18-Inputs!$D$18)*(Inputs!$F$18-Inputs!$E$18)))</f>
        <v>1.07498149137878</v>
      </c>
      <c r="L460" s="81" t="n">
        <f aca="true">RAND()</f>
        <v>0.799439205403999</v>
      </c>
      <c r="M460" s="83" t="n">
        <f aca="false">IF(L460&lt;(Inputs!$E$24-Inputs!$D$24)/(Inputs!$F$24-Inputs!$D$24),Inputs!$D$24+SQRT(L460*(Inputs!$F$24-Inputs!$D$24)*(Inputs!$E$24-Inputs!$D$24)),Inputs!$F$24-SQRT((1-L460)*(Inputs!$F$24-Inputs!$D$24)*(Inputs!$F$24-Inputs!$E$24)))</f>
        <v>0.980604032163214</v>
      </c>
      <c r="N460" s="81" t="n">
        <f aca="true">RAND()</f>
        <v>0.288450328442372</v>
      </c>
      <c r="O460" s="83" t="n">
        <f aca="false">IF(N460&lt;(Inputs!$E$26-Inputs!$D$26)/(Inputs!$F$26-Inputs!$D$26),Inputs!$D$26+SQRT(N460*(Inputs!$F$26-Inputs!$D$26)*(Inputs!$E$26-Inputs!$D$26)),Inputs!$F$26-SQRT((1-N460)*(Inputs!$F$26-Inputs!$D$26)*(Inputs!$F$26-Inputs!$E$26)))</f>
        <v>0.519084765907652</v>
      </c>
      <c r="P460" s="81" t="n">
        <f aca="true">RAND()</f>
        <v>0.397931363001009</v>
      </c>
      <c r="Q460" s="82" t="n">
        <f aca="false">IF(P460&lt;(Inputs!$E$27-Inputs!$D$27)/(Inputs!$F$27-Inputs!$D$27),Inputs!$D$27+SQRT(P460*(Inputs!$F$27-Inputs!$D$27)*(Inputs!$E$27-Inputs!$D$27)),Inputs!$F$27-SQRT((1-P460)*(Inputs!$F$27-Inputs!$D$27)*(Inputs!$F$27-Inputs!$E$27)))</f>
        <v>82.8024198538933</v>
      </c>
      <c r="R460" s="81" t="n">
        <f aca="true">RAND()</f>
        <v>0.0736556281610104</v>
      </c>
      <c r="S460" s="82" t="n">
        <f aca="false">IF(R460&lt;(Inputs!$E$29-Inputs!$D$29)/(Inputs!$F$29-Inputs!$D$29),Inputs!$D$29+SQRT(R460*(Inputs!$F$29-Inputs!$D$29)*(Inputs!$E$29-Inputs!$D$29)),Inputs!$F$29-SQRT((1-R460)*(Inputs!$F$29-Inputs!$D$29)*(Inputs!$F$29-Inputs!$E$29)))</f>
        <v>3.69486562838457</v>
      </c>
      <c r="T460" s="68" t="n">
        <f aca="false">Inputs!$E$9*(1+E460)+Inputs!$E$5*C460*(Inputs!$E$11*Inputs!$E$14*(G460*I460/Inputs!$E$16+(1-G460))*K460+Inputs!$E$23*M460)*(1+O460)+Inputs!$E$5*(Q460+S460)</f>
        <v>6365.99446120425</v>
      </c>
    </row>
    <row r="461" customFormat="false" ht="15" hidden="false" customHeight="false" outlineLevel="0" collapsed="false">
      <c r="A461" s="1" t="n">
        <v>457</v>
      </c>
      <c r="B461" s="81" t="n">
        <f aca="true">RAND()</f>
        <v>0.737320860468567</v>
      </c>
      <c r="C461" s="82" t="n">
        <f aca="false">ROUND(IF(B461&lt;(Inputs!$E$8-Inputs!$D$8)/(Inputs!$F$8-Inputs!$D$8),Inputs!$D$8+SQRT(B461*(Inputs!$F$8-Inputs!$D$8)*(Inputs!$E$8-Inputs!$D$8)),Inputs!$F$8-SQRT((1-B461)*(Inputs!$F$8-Inputs!$D$8)*(Inputs!$F$8-Inputs!$E$8))),0)</f>
        <v>26</v>
      </c>
      <c r="D461" s="81" t="n">
        <f aca="true">RAND()</f>
        <v>0.934786215616654</v>
      </c>
      <c r="E461" s="83" t="n">
        <f aca="false">IF(D461&lt;(Inputs!$E$10-Inputs!$D$10)/(Inputs!$F$10-Inputs!$D$10),Inputs!$D$10+SQRT(D461*(Inputs!$F$10-Inputs!$D$10)*(Inputs!$E$10-Inputs!$D$10)),Inputs!$F$10-SQRT((1-D461)*(Inputs!$F$10-Inputs!$D$10)*(Inputs!$F$10-Inputs!$E$10)))</f>
        <v>0.155768636336867</v>
      </c>
      <c r="F461" s="81" t="n">
        <f aca="true">RAND()</f>
        <v>0.299593116172276</v>
      </c>
      <c r="G461" s="83" t="n">
        <f aca="false">IF(F461&lt;(Inputs!$E$15-Inputs!$D$15)/(Inputs!$F$15-Inputs!$D$15),Inputs!$D$15+SQRT(F461*(Inputs!$F$15-Inputs!$D$15)*(Inputs!$E$15-Inputs!$D$15)),Inputs!$F$15-SQRT((1-F461)*(Inputs!$F$15-Inputs!$D$15)*(Inputs!$F$15-Inputs!$E$15)))</f>
        <v>0.67740712062495</v>
      </c>
      <c r="H461" s="81" t="n">
        <f aca="true">RAND()</f>
        <v>0.794371020432921</v>
      </c>
      <c r="I461" s="82" t="n">
        <f aca="false">ROUND(IF(H461&lt;(Inputs!$E$17-Inputs!$D$17)/(Inputs!$F$17-Inputs!$D$17),Inputs!$D$17+SQRT(H461*(Inputs!$F$17-Inputs!$D$17)*(Inputs!$E$17-Inputs!$D$17)),Inputs!$F$17-SQRT((1-H461)*(Inputs!$F$17-Inputs!$D$17)*(Inputs!$F$17-Inputs!$E$17))),0)</f>
        <v>109</v>
      </c>
      <c r="J461" s="81" t="n">
        <f aca="true">RAND()</f>
        <v>0.530957294397459</v>
      </c>
      <c r="K461" s="83" t="n">
        <f aca="false">IF(J461&lt;(Inputs!$E$18-Inputs!$D$18)/(Inputs!$F$18-Inputs!$D$18),Inputs!$D$18+SQRT(J461*(Inputs!$F$18-Inputs!$D$18)*(Inputs!$E$18-Inputs!$D$18)),Inputs!$F$18-SQRT((1-J461)*(Inputs!$F$18-Inputs!$D$18)*(Inputs!$F$18-Inputs!$E$18)))</f>
        <v>1.04741363140571</v>
      </c>
      <c r="L461" s="81" t="n">
        <f aca="true">RAND()</f>
        <v>0.272937992230695</v>
      </c>
      <c r="M461" s="83" t="n">
        <f aca="false">IF(L461&lt;(Inputs!$E$24-Inputs!$D$24)/(Inputs!$F$24-Inputs!$D$24),Inputs!$D$24+SQRT(L461*(Inputs!$F$24-Inputs!$D$24)*(Inputs!$E$24-Inputs!$D$24)),Inputs!$F$24-SQRT((1-L461)*(Inputs!$F$24-Inputs!$D$24)*(Inputs!$F$24-Inputs!$E$24)))</f>
        <v>0.78097668100527</v>
      </c>
      <c r="N461" s="81" t="n">
        <f aca="true">RAND()</f>
        <v>0.202492028772179</v>
      </c>
      <c r="O461" s="83" t="n">
        <f aca="false">IF(N461&lt;(Inputs!$E$26-Inputs!$D$26)/(Inputs!$F$26-Inputs!$D$26),Inputs!$D$26+SQRT(N461*(Inputs!$F$26-Inputs!$D$26)*(Inputs!$E$26-Inputs!$D$26)),Inputs!$F$26-SQRT((1-N461)*(Inputs!$F$26-Inputs!$D$26)*(Inputs!$F$26-Inputs!$E$26)))</f>
        <v>0.483561089525233</v>
      </c>
      <c r="P461" s="81" t="n">
        <f aca="true">RAND()</f>
        <v>0.408337460323218</v>
      </c>
      <c r="Q461" s="82" t="n">
        <f aca="false">IF(P461&lt;(Inputs!$E$27-Inputs!$D$27)/(Inputs!$F$27-Inputs!$D$27),Inputs!$D$27+SQRT(P461*(Inputs!$F$27-Inputs!$D$27)*(Inputs!$E$27-Inputs!$D$27)),Inputs!$F$27-SQRT((1-P461)*(Inputs!$F$27-Inputs!$D$27)*(Inputs!$F$27-Inputs!$E$27)))</f>
        <v>83.3856693527897</v>
      </c>
      <c r="R461" s="81" t="n">
        <f aca="true">RAND()</f>
        <v>0.290266552507876</v>
      </c>
      <c r="S461" s="82" t="n">
        <f aca="false">IF(R461&lt;(Inputs!$E$29-Inputs!$D$29)/(Inputs!$F$29-Inputs!$D$29),Inputs!$D$29+SQRT(R461*(Inputs!$F$29-Inputs!$D$29)*(Inputs!$E$29-Inputs!$D$29)),Inputs!$F$29-SQRT((1-R461)*(Inputs!$F$29-Inputs!$D$29)*(Inputs!$F$29-Inputs!$E$29)))</f>
        <v>5.39451468305864</v>
      </c>
      <c r="T461" s="68" t="n">
        <f aca="false">Inputs!$E$9*(1+E461)+Inputs!$E$5*C461*(Inputs!$E$11*Inputs!$E$14*(G461*I461/Inputs!$E$16+(1-G461))*K461+Inputs!$E$23*M461)*(1+O461)+Inputs!$E$5*(Q461+S461)</f>
        <v>6306.1192333986</v>
      </c>
    </row>
    <row r="462" customFormat="false" ht="15" hidden="false" customHeight="false" outlineLevel="0" collapsed="false">
      <c r="A462" s="1" t="n">
        <v>458</v>
      </c>
      <c r="B462" s="81" t="n">
        <f aca="true">RAND()</f>
        <v>0.507500145193877</v>
      </c>
      <c r="C462" s="82" t="n">
        <f aca="false">ROUND(IF(B462&lt;(Inputs!$E$8-Inputs!$D$8)/(Inputs!$F$8-Inputs!$D$8),Inputs!$D$8+SQRT(B462*(Inputs!$F$8-Inputs!$D$8)*(Inputs!$E$8-Inputs!$D$8)),Inputs!$F$8-SQRT((1-B462)*(Inputs!$F$8-Inputs!$D$8)*(Inputs!$F$8-Inputs!$E$8))),0)</f>
        <v>25</v>
      </c>
      <c r="D462" s="81" t="n">
        <f aca="true">RAND()</f>
        <v>0.878957450210327</v>
      </c>
      <c r="E462" s="83" t="n">
        <f aca="false">IF(D462&lt;(Inputs!$E$10-Inputs!$D$10)/(Inputs!$F$10-Inputs!$D$10),Inputs!$D$10+SQRT(D462*(Inputs!$F$10-Inputs!$D$10)*(Inputs!$E$10-Inputs!$D$10)),Inputs!$F$10-SQRT((1-D462)*(Inputs!$F$10-Inputs!$D$10)*(Inputs!$F$10-Inputs!$E$10)))</f>
        <v>0.139739926205736</v>
      </c>
      <c r="F462" s="81" t="n">
        <f aca="true">RAND()</f>
        <v>0.269032761757573</v>
      </c>
      <c r="G462" s="83" t="n">
        <f aca="false">IF(F462&lt;(Inputs!$E$15-Inputs!$D$15)/(Inputs!$F$15-Inputs!$D$15),Inputs!$D$15+SQRT(F462*(Inputs!$F$15-Inputs!$D$15)*(Inputs!$E$15-Inputs!$D$15)),Inputs!$F$15-SQRT((1-F462)*(Inputs!$F$15-Inputs!$D$15)*(Inputs!$F$15-Inputs!$E$15)))</f>
        <v>0.673352949737222</v>
      </c>
      <c r="H462" s="81" t="n">
        <f aca="true">RAND()</f>
        <v>0.0662014635770018</v>
      </c>
      <c r="I462" s="82" t="n">
        <f aca="false">ROUND(IF(H462&lt;(Inputs!$E$17-Inputs!$D$17)/(Inputs!$F$17-Inputs!$D$17),Inputs!$D$17+SQRT(H462*(Inputs!$F$17-Inputs!$D$17)*(Inputs!$E$17-Inputs!$D$17)),Inputs!$F$17-SQRT((1-H462)*(Inputs!$F$17-Inputs!$D$17)*(Inputs!$F$17-Inputs!$E$17))),0)</f>
        <v>102</v>
      </c>
      <c r="J462" s="81" t="n">
        <f aca="true">RAND()</f>
        <v>0.200019892511611</v>
      </c>
      <c r="K462" s="83" t="n">
        <f aca="false">IF(J462&lt;(Inputs!$E$18-Inputs!$D$18)/(Inputs!$F$18-Inputs!$D$18),Inputs!$D$18+SQRT(J462*(Inputs!$F$18-Inputs!$D$18)*(Inputs!$E$18-Inputs!$D$18)),Inputs!$F$18-SQRT((1-J462)*(Inputs!$F$18-Inputs!$D$18)*(Inputs!$F$18-Inputs!$E$18)))</f>
        <v>0.983670163367274</v>
      </c>
      <c r="L462" s="81" t="n">
        <f aca="true">RAND()</f>
        <v>0.991911345462784</v>
      </c>
      <c r="M462" s="83" t="n">
        <f aca="false">IF(L462&lt;(Inputs!$E$24-Inputs!$D$24)/(Inputs!$F$24-Inputs!$D$24),Inputs!$D$24+SQRT(L462*(Inputs!$F$24-Inputs!$D$24)*(Inputs!$E$24-Inputs!$D$24)),Inputs!$F$24-SQRT((1-L462)*(Inputs!$F$24-Inputs!$D$24)*(Inputs!$F$24-Inputs!$E$24)))</f>
        <v>1.15594007388872</v>
      </c>
      <c r="N462" s="81" t="n">
        <f aca="true">RAND()</f>
        <v>0.510110934542057</v>
      </c>
      <c r="O462" s="83" t="n">
        <f aca="false">IF(N462&lt;(Inputs!$E$26-Inputs!$D$26)/(Inputs!$F$26-Inputs!$D$26),Inputs!$D$26+SQRT(N462*(Inputs!$F$26-Inputs!$D$26)*(Inputs!$E$26-Inputs!$D$26)),Inputs!$F$26-SQRT((1-N462)*(Inputs!$F$26-Inputs!$D$26)*(Inputs!$F$26-Inputs!$E$26)))</f>
        <v>0.591345944725164</v>
      </c>
      <c r="P462" s="81" t="n">
        <f aca="true">RAND()</f>
        <v>0.839741453784555</v>
      </c>
      <c r="Q462" s="82" t="n">
        <f aca="false">IF(P462&lt;(Inputs!$E$27-Inputs!$D$27)/(Inputs!$F$27-Inputs!$D$27),Inputs!$D$27+SQRT(P462*(Inputs!$F$27-Inputs!$D$27)*(Inputs!$E$27-Inputs!$D$27)),Inputs!$F$27-SQRT((1-P462)*(Inputs!$F$27-Inputs!$D$27)*(Inputs!$F$27-Inputs!$E$27)))</f>
        <v>115.331006697398</v>
      </c>
      <c r="R462" s="81" t="n">
        <f aca="true">RAND()</f>
        <v>0.433811379602368</v>
      </c>
      <c r="S462" s="82" t="n">
        <f aca="false">IF(R462&lt;(Inputs!$E$29-Inputs!$D$29)/(Inputs!$F$29-Inputs!$D$29),Inputs!$D$29+SQRT(R462*(Inputs!$F$29-Inputs!$D$29)*(Inputs!$E$29-Inputs!$D$29)),Inputs!$F$29-SQRT((1-R462)*(Inputs!$F$29-Inputs!$D$29)*(Inputs!$F$29-Inputs!$E$29)))</f>
        <v>6.42069229764475</v>
      </c>
      <c r="T462" s="68" t="n">
        <f aca="false">Inputs!$E$9*(1+E462)+Inputs!$E$5*C462*(Inputs!$E$11*Inputs!$E$14*(G462*I462/Inputs!$E$16+(1-G462))*K462+Inputs!$E$23*M462)*(1+O462)+Inputs!$E$5*(Q462+S462)</f>
        <v>6859.04768477811</v>
      </c>
    </row>
    <row r="463" customFormat="false" ht="15" hidden="false" customHeight="false" outlineLevel="0" collapsed="false">
      <c r="A463" s="1" t="n">
        <v>459</v>
      </c>
      <c r="B463" s="81" t="n">
        <f aca="true">RAND()</f>
        <v>0.217221335181427</v>
      </c>
      <c r="C463" s="82" t="n">
        <f aca="false">ROUND(IF(B463&lt;(Inputs!$E$8-Inputs!$D$8)/(Inputs!$F$8-Inputs!$D$8),Inputs!$D$8+SQRT(B463*(Inputs!$F$8-Inputs!$D$8)*(Inputs!$E$8-Inputs!$D$8)),Inputs!$F$8-SQRT((1-B463)*(Inputs!$F$8-Inputs!$D$8)*(Inputs!$F$8-Inputs!$E$8))),0)</f>
        <v>23</v>
      </c>
      <c r="D463" s="81" t="n">
        <f aca="true">RAND()</f>
        <v>0.558814590249949</v>
      </c>
      <c r="E463" s="83" t="n">
        <f aca="false">IF(D463&lt;(Inputs!$E$10-Inputs!$D$10)/(Inputs!$F$10-Inputs!$D$10),Inputs!$D$10+SQRT(D463*(Inputs!$F$10-Inputs!$D$10)*(Inputs!$E$10-Inputs!$D$10)),Inputs!$F$10-SQRT((1-D463)*(Inputs!$F$10-Inputs!$D$10)*(Inputs!$F$10-Inputs!$E$10)))</f>
        <v>0.0849540861546942</v>
      </c>
      <c r="F463" s="81" t="n">
        <f aca="true">RAND()</f>
        <v>0.498609315050766</v>
      </c>
      <c r="G463" s="83" t="n">
        <f aca="false">IF(F463&lt;(Inputs!$E$15-Inputs!$D$15)/(Inputs!$F$15-Inputs!$D$15),Inputs!$D$15+SQRT(F463*(Inputs!$F$15-Inputs!$D$15)*(Inputs!$E$15-Inputs!$D$15)),Inputs!$F$15-SQRT((1-F463)*(Inputs!$F$15-Inputs!$D$15)*(Inputs!$F$15-Inputs!$E$15)))</f>
        <v>0.699860834670131</v>
      </c>
      <c r="H463" s="81" t="n">
        <f aca="true">RAND()</f>
        <v>0.0537271693554328</v>
      </c>
      <c r="I463" s="82" t="n">
        <f aca="false">ROUND(IF(H463&lt;(Inputs!$E$17-Inputs!$D$17)/(Inputs!$F$17-Inputs!$D$17),Inputs!$D$17+SQRT(H463*(Inputs!$F$17-Inputs!$D$17)*(Inputs!$E$17-Inputs!$D$17)),Inputs!$F$17-SQRT((1-H463)*(Inputs!$F$17-Inputs!$D$17)*(Inputs!$F$17-Inputs!$E$17))),0)</f>
        <v>102</v>
      </c>
      <c r="J463" s="81" t="n">
        <f aca="true">RAND()</f>
        <v>0.608066823643228</v>
      </c>
      <c r="K463" s="83" t="n">
        <f aca="false">IF(J463&lt;(Inputs!$E$18-Inputs!$D$18)/(Inputs!$F$18-Inputs!$D$18),Inputs!$D$18+SQRT(J463*(Inputs!$F$18-Inputs!$D$18)*(Inputs!$E$18-Inputs!$D$18)),Inputs!$F$18-SQRT((1-J463)*(Inputs!$F$18-Inputs!$D$18)*(Inputs!$F$18-Inputs!$E$18)))</f>
        <v>1.06481319450021</v>
      </c>
      <c r="L463" s="81" t="n">
        <f aca="true">RAND()</f>
        <v>0.435129508907101</v>
      </c>
      <c r="M463" s="83" t="n">
        <f aca="false">IF(L463&lt;(Inputs!$E$24-Inputs!$D$24)/(Inputs!$F$24-Inputs!$D$24),Inputs!$D$24+SQRT(L463*(Inputs!$F$24-Inputs!$D$24)*(Inputs!$E$24-Inputs!$D$24)),Inputs!$F$24-SQRT((1-L463)*(Inputs!$F$24-Inputs!$D$24)*(Inputs!$F$24-Inputs!$E$24)))</f>
        <v>0.831803153378121</v>
      </c>
      <c r="N463" s="81" t="n">
        <f aca="true">RAND()</f>
        <v>0.813701659786655</v>
      </c>
      <c r="O463" s="83" t="n">
        <f aca="false">IF(N463&lt;(Inputs!$E$26-Inputs!$D$26)/(Inputs!$F$26-Inputs!$D$26),Inputs!$D$26+SQRT(N463*(Inputs!$F$26-Inputs!$D$26)*(Inputs!$E$26-Inputs!$D$26)),Inputs!$F$26-SQRT((1-N463)*(Inputs!$F$26-Inputs!$D$26)*(Inputs!$F$26-Inputs!$E$26)))</f>
        <v>0.680805792569562</v>
      </c>
      <c r="P463" s="81" t="n">
        <f aca="true">RAND()</f>
        <v>0.955102348447463</v>
      </c>
      <c r="Q463" s="82" t="n">
        <f aca="false">IF(P463&lt;(Inputs!$E$27-Inputs!$D$27)/(Inputs!$F$27-Inputs!$D$27),Inputs!$D$27+SQRT(P463*(Inputs!$F$27-Inputs!$D$27)*(Inputs!$E$27-Inputs!$D$27)),Inputs!$F$27-SQRT((1-P463)*(Inputs!$F$27-Inputs!$D$27)*(Inputs!$F$27-Inputs!$E$27)))</f>
        <v>131.649730611132</v>
      </c>
      <c r="R463" s="81" t="n">
        <f aca="true">RAND()</f>
        <v>0.647128588999062</v>
      </c>
      <c r="S463" s="82" t="n">
        <f aca="false">IF(R463&lt;(Inputs!$E$29-Inputs!$D$29)/(Inputs!$F$29-Inputs!$D$29),Inputs!$D$29+SQRT(R463*(Inputs!$F$29-Inputs!$D$29)*(Inputs!$E$29-Inputs!$D$29)),Inputs!$F$29-SQRT((1-R463)*(Inputs!$F$29-Inputs!$D$29)*(Inputs!$F$29-Inputs!$E$29)))</f>
        <v>8.22701812861411</v>
      </c>
      <c r="T463" s="68" t="n">
        <f aca="false">Inputs!$E$9*(1+E463)+Inputs!$E$5*C463*(Inputs!$E$11*Inputs!$E$14*(G463*I463/Inputs!$E$16+(1-G463))*K463+Inputs!$E$23*M463)*(1+O463)+Inputs!$E$5*(Q463+S463)</f>
        <v>6407.45170490399</v>
      </c>
    </row>
    <row r="464" customFormat="false" ht="15" hidden="false" customHeight="false" outlineLevel="0" collapsed="false">
      <c r="A464" s="1" t="n">
        <v>460</v>
      </c>
      <c r="B464" s="81" t="n">
        <f aca="true">RAND()</f>
        <v>0.976556945363469</v>
      </c>
      <c r="C464" s="82" t="n">
        <f aca="false">ROUND(IF(B464&lt;(Inputs!$E$8-Inputs!$D$8)/(Inputs!$F$8-Inputs!$D$8),Inputs!$D$8+SQRT(B464*(Inputs!$F$8-Inputs!$D$8)*(Inputs!$E$8-Inputs!$D$8)),Inputs!$F$8-SQRT((1-B464)*(Inputs!$F$8-Inputs!$D$8)*(Inputs!$F$8-Inputs!$E$8))),0)</f>
        <v>29</v>
      </c>
      <c r="D464" s="81" t="n">
        <f aca="true">RAND()</f>
        <v>0.259361736855038</v>
      </c>
      <c r="E464" s="83" t="n">
        <f aca="false">IF(D464&lt;(Inputs!$E$10-Inputs!$D$10)/(Inputs!$F$10-Inputs!$D$10),Inputs!$D$10+SQRT(D464*(Inputs!$F$10-Inputs!$D$10)*(Inputs!$E$10-Inputs!$D$10)),Inputs!$F$10-SQRT((1-D464)*(Inputs!$F$10-Inputs!$D$10)*(Inputs!$F$10-Inputs!$E$10)))</f>
        <v>0.0509391134658428</v>
      </c>
      <c r="F464" s="81" t="n">
        <f aca="true">RAND()</f>
        <v>0.292999003258707</v>
      </c>
      <c r="G464" s="83" t="n">
        <f aca="false">IF(F464&lt;(Inputs!$E$15-Inputs!$D$15)/(Inputs!$F$15-Inputs!$D$15),Inputs!$D$15+SQRT(F464*(Inputs!$F$15-Inputs!$D$15)*(Inputs!$E$15-Inputs!$D$15)),Inputs!$F$15-SQRT((1-F464)*(Inputs!$F$15-Inputs!$D$15)*(Inputs!$F$15-Inputs!$E$15)))</f>
        <v>0.676550506629115</v>
      </c>
      <c r="H464" s="81" t="n">
        <f aca="true">RAND()</f>
        <v>0.446372120889057</v>
      </c>
      <c r="I464" s="82" t="n">
        <f aca="false">ROUND(IF(H464&lt;(Inputs!$E$17-Inputs!$D$17)/(Inputs!$F$17-Inputs!$D$17),Inputs!$D$17+SQRT(H464*(Inputs!$F$17-Inputs!$D$17)*(Inputs!$E$17-Inputs!$D$17)),Inputs!$F$17-SQRT((1-H464)*(Inputs!$F$17-Inputs!$D$17)*(Inputs!$F$17-Inputs!$E$17))),0)</f>
        <v>106</v>
      </c>
      <c r="J464" s="81" t="n">
        <f aca="true">RAND()</f>
        <v>0.450506684850389</v>
      </c>
      <c r="K464" s="83" t="n">
        <f aca="false">IF(J464&lt;(Inputs!$E$18-Inputs!$D$18)/(Inputs!$F$18-Inputs!$D$18),Inputs!$D$18+SQRT(J464*(Inputs!$F$18-Inputs!$D$18)*(Inputs!$E$18-Inputs!$D$18)),Inputs!$F$18-SQRT((1-J464)*(Inputs!$F$18-Inputs!$D$18)*(Inputs!$F$18-Inputs!$E$18)))</f>
        <v>1.03072696226943</v>
      </c>
      <c r="L464" s="81" t="n">
        <f aca="true">RAND()</f>
        <v>0.989250122195738</v>
      </c>
      <c r="M464" s="83" t="n">
        <f aca="false">IF(L464&lt;(Inputs!$E$24-Inputs!$D$24)/(Inputs!$F$24-Inputs!$D$24),Inputs!$D$24+SQRT(L464*(Inputs!$F$24-Inputs!$D$24)*(Inputs!$E$24-Inputs!$D$24)),Inputs!$F$24-SQRT((1-L464)*(Inputs!$F$24-Inputs!$D$24)*(Inputs!$F$24-Inputs!$E$24)))</f>
        <v>1.14920658829117</v>
      </c>
      <c r="N464" s="81" t="n">
        <f aca="true">RAND()</f>
        <v>0.918609335152294</v>
      </c>
      <c r="O464" s="83" t="n">
        <f aca="false">IF(N464&lt;(Inputs!$E$26-Inputs!$D$26)/(Inputs!$F$26-Inputs!$D$26),Inputs!$D$26+SQRT(N464*(Inputs!$F$26-Inputs!$D$26)*(Inputs!$E$26-Inputs!$D$26)),Inputs!$F$26-SQRT((1-N464)*(Inputs!$F$26-Inputs!$D$26)*(Inputs!$F$26-Inputs!$E$26)))</f>
        <v>0.727996580801791</v>
      </c>
      <c r="P464" s="81" t="n">
        <f aca="true">RAND()</f>
        <v>0.934682078191497</v>
      </c>
      <c r="Q464" s="82" t="n">
        <f aca="false">IF(P464&lt;(Inputs!$E$27-Inputs!$D$27)/(Inputs!$F$27-Inputs!$D$27),Inputs!$D$27+SQRT(P464*(Inputs!$F$27-Inputs!$D$27)*(Inputs!$E$27-Inputs!$D$27)),Inputs!$F$27-SQRT((1-P464)*(Inputs!$F$27-Inputs!$D$27)*(Inputs!$F$27-Inputs!$E$27)))</f>
        <v>127.866667364272</v>
      </c>
      <c r="R464" s="81" t="n">
        <f aca="true">RAND()</f>
        <v>0.569294184959358</v>
      </c>
      <c r="S464" s="82" t="n">
        <f aca="false">IF(R464&lt;(Inputs!$E$29-Inputs!$D$29)/(Inputs!$F$29-Inputs!$D$29),Inputs!$D$29+SQRT(R464*(Inputs!$F$29-Inputs!$D$29)*(Inputs!$E$29-Inputs!$D$29)),Inputs!$F$29-SQRT((1-R464)*(Inputs!$F$29-Inputs!$D$29)*(Inputs!$F$29-Inputs!$E$29)))</f>
        <v>7.5172360751335</v>
      </c>
      <c r="T464" s="68" t="n">
        <f aca="false">Inputs!$E$9*(1+E464)+Inputs!$E$5*C464*(Inputs!$E$11*Inputs!$E$14*(G464*I464/Inputs!$E$16+(1-G464))*K464+Inputs!$E$23*M464)*(1+O464)+Inputs!$E$5*(Q464+S464)</f>
        <v>7870.72594685081</v>
      </c>
    </row>
    <row r="465" customFormat="false" ht="15" hidden="false" customHeight="false" outlineLevel="0" collapsed="false">
      <c r="A465" s="1" t="n">
        <v>461</v>
      </c>
      <c r="B465" s="81" t="n">
        <f aca="true">RAND()</f>
        <v>0.189526724396121</v>
      </c>
      <c r="C465" s="82" t="n">
        <f aca="false">ROUND(IF(B465&lt;(Inputs!$E$8-Inputs!$D$8)/(Inputs!$F$8-Inputs!$D$8),Inputs!$D$8+SQRT(B465*(Inputs!$F$8-Inputs!$D$8)*(Inputs!$E$8-Inputs!$D$8)),Inputs!$F$8-SQRT((1-B465)*(Inputs!$F$8-Inputs!$D$8)*(Inputs!$F$8-Inputs!$E$8))),0)</f>
        <v>23</v>
      </c>
      <c r="D465" s="81" t="n">
        <f aca="true">RAND()</f>
        <v>0.00394861359164097</v>
      </c>
      <c r="E465" s="83" t="n">
        <f aca="false">IF(D465&lt;(Inputs!$E$10-Inputs!$D$10)/(Inputs!$F$10-Inputs!$D$10),Inputs!$D$10+SQRT(D465*(Inputs!$F$10-Inputs!$D$10)*(Inputs!$E$10-Inputs!$D$10)),Inputs!$F$10-SQRT((1-D465)*(Inputs!$F$10-Inputs!$D$10)*(Inputs!$F$10-Inputs!$E$10)))</f>
        <v>0.00628379948091994</v>
      </c>
      <c r="F465" s="81" t="n">
        <f aca="true">RAND()</f>
        <v>0.18231237029051</v>
      </c>
      <c r="G465" s="83" t="n">
        <f aca="false">IF(F465&lt;(Inputs!$E$15-Inputs!$D$15)/(Inputs!$F$15-Inputs!$D$15),Inputs!$D$15+SQRT(F465*(Inputs!$F$15-Inputs!$D$15)*(Inputs!$E$15-Inputs!$D$15)),Inputs!$F$15-SQRT((1-F465)*(Inputs!$F$15-Inputs!$D$15)*(Inputs!$F$15-Inputs!$E$15)))</f>
        <v>0.660384165190969</v>
      </c>
      <c r="H465" s="81" t="n">
        <f aca="true">RAND()</f>
        <v>0.129930455071233</v>
      </c>
      <c r="I465" s="82" t="n">
        <f aca="false">ROUND(IF(H465&lt;(Inputs!$E$17-Inputs!$D$17)/(Inputs!$F$17-Inputs!$D$17),Inputs!$D$17+SQRT(H465*(Inputs!$F$17-Inputs!$D$17)*(Inputs!$E$17-Inputs!$D$17)),Inputs!$F$17-SQRT((1-H465)*(Inputs!$F$17-Inputs!$D$17)*(Inputs!$F$17-Inputs!$E$17))),0)</f>
        <v>103</v>
      </c>
      <c r="J465" s="81" t="n">
        <f aca="true">RAND()</f>
        <v>0.719053869946615</v>
      </c>
      <c r="K465" s="83" t="n">
        <f aca="false">IF(J465&lt;(Inputs!$E$18-Inputs!$D$18)/(Inputs!$F$18-Inputs!$D$18),Inputs!$D$18+SQRT(J465*(Inputs!$F$18-Inputs!$D$18)*(Inputs!$E$18-Inputs!$D$18)),Inputs!$F$18-SQRT((1-J465)*(Inputs!$F$18-Inputs!$D$18)*(Inputs!$F$18-Inputs!$E$18)))</f>
        <v>1.0932110132067</v>
      </c>
      <c r="L465" s="81" t="n">
        <f aca="true">RAND()</f>
        <v>0.663973503473299</v>
      </c>
      <c r="M465" s="83" t="n">
        <f aca="false">IF(L465&lt;(Inputs!$E$24-Inputs!$D$24)/(Inputs!$F$24-Inputs!$D$24),Inputs!$D$24+SQRT(L465*(Inputs!$F$24-Inputs!$D$24)*(Inputs!$E$24-Inputs!$D$24)),Inputs!$F$24-SQRT((1-L465)*(Inputs!$F$24-Inputs!$D$24)*(Inputs!$F$24-Inputs!$E$24)))</f>
        <v>0.916016973805813</v>
      </c>
      <c r="N465" s="81" t="n">
        <f aca="true">RAND()</f>
        <v>0.0711213758550376</v>
      </c>
      <c r="O465" s="83" t="n">
        <f aca="false">IF(N465&lt;(Inputs!$E$26-Inputs!$D$26)/(Inputs!$F$26-Inputs!$D$26),Inputs!$D$26+SQRT(N465*(Inputs!$F$26-Inputs!$D$26)*(Inputs!$E$26-Inputs!$D$26)),Inputs!$F$26-SQRT((1-N465)*(Inputs!$F$26-Inputs!$D$26)*(Inputs!$F$26-Inputs!$E$26)))</f>
        <v>0.408786933692784</v>
      </c>
      <c r="P465" s="81" t="n">
        <f aca="true">RAND()</f>
        <v>0.07406714300658</v>
      </c>
      <c r="Q465" s="82" t="n">
        <f aca="false">IF(P465&lt;(Inputs!$E$27-Inputs!$D$27)/(Inputs!$F$27-Inputs!$D$27),Inputs!$D$27+SQRT(P465*(Inputs!$F$27-Inputs!$D$27)*(Inputs!$E$27-Inputs!$D$27)),Inputs!$F$27-SQRT((1-P465)*(Inputs!$F$27-Inputs!$D$27)*(Inputs!$F$27-Inputs!$E$27)))</f>
        <v>63.6076396746993</v>
      </c>
      <c r="R465" s="81" t="n">
        <f aca="true">RAND()</f>
        <v>0.218881225722744</v>
      </c>
      <c r="S465" s="82" t="n">
        <f aca="false">IF(R465&lt;(Inputs!$E$29-Inputs!$D$29)/(Inputs!$F$29-Inputs!$D$29),Inputs!$D$29+SQRT(R465*(Inputs!$F$29-Inputs!$D$29)*(Inputs!$E$29-Inputs!$D$29)),Inputs!$F$29-SQRT((1-R465)*(Inputs!$F$29-Inputs!$D$29)*(Inputs!$F$29-Inputs!$E$29)))</f>
        <v>4.92170631706662</v>
      </c>
      <c r="T465" s="68" t="n">
        <f aca="false">Inputs!$E$9*(1+E465)+Inputs!$E$5*C465*(Inputs!$E$11*Inputs!$E$14*(G465*I465/Inputs!$E$16+(1-G465))*K465+Inputs!$E$23*M465)*(1+O465)+Inputs!$E$5*(Q465+S465)</f>
        <v>5544.09567354251</v>
      </c>
    </row>
    <row r="466" customFormat="false" ht="15" hidden="false" customHeight="false" outlineLevel="0" collapsed="false">
      <c r="A466" s="1" t="n">
        <v>462</v>
      </c>
      <c r="B466" s="81" t="n">
        <f aca="true">RAND()</f>
        <v>0.176247031439419</v>
      </c>
      <c r="C466" s="82" t="n">
        <f aca="false">ROUND(IF(B466&lt;(Inputs!$E$8-Inputs!$D$8)/(Inputs!$F$8-Inputs!$D$8),Inputs!$D$8+SQRT(B466*(Inputs!$F$8-Inputs!$D$8)*(Inputs!$E$8-Inputs!$D$8)),Inputs!$F$8-SQRT((1-B466)*(Inputs!$F$8-Inputs!$D$8)*(Inputs!$F$8-Inputs!$E$8))),0)</f>
        <v>23</v>
      </c>
      <c r="D466" s="81" t="n">
        <f aca="true">RAND()</f>
        <v>0.575483217286343</v>
      </c>
      <c r="E466" s="83" t="n">
        <f aca="false">IF(D466&lt;(Inputs!$E$10-Inputs!$D$10)/(Inputs!$F$10-Inputs!$D$10),Inputs!$D$10+SQRT(D466*(Inputs!$F$10-Inputs!$D$10)*(Inputs!$E$10-Inputs!$D$10)),Inputs!$F$10-SQRT((1-D466)*(Inputs!$F$10-Inputs!$D$10)*(Inputs!$F$10-Inputs!$E$10)))</f>
        <v>0.0871483120134674</v>
      </c>
      <c r="F466" s="81" t="n">
        <f aca="true">RAND()</f>
        <v>0.709245754877895</v>
      </c>
      <c r="G466" s="83" t="n">
        <f aca="false">IF(F466&lt;(Inputs!$E$15-Inputs!$D$15)/(Inputs!$F$15-Inputs!$D$15),Inputs!$D$15+SQRT(F466*(Inputs!$F$15-Inputs!$D$15)*(Inputs!$E$15-Inputs!$D$15)),Inputs!$F$15-SQRT((1-F466)*(Inputs!$F$15-Inputs!$D$15)*(Inputs!$F$15-Inputs!$E$15)))</f>
        <v>0.723743296016402</v>
      </c>
      <c r="H466" s="81" t="n">
        <f aca="true">RAND()</f>
        <v>0.857118303420046</v>
      </c>
      <c r="I466" s="82" t="n">
        <f aca="false">ROUND(IF(H466&lt;(Inputs!$E$17-Inputs!$D$17)/(Inputs!$F$17-Inputs!$D$17),Inputs!$D$17+SQRT(H466*(Inputs!$F$17-Inputs!$D$17)*(Inputs!$E$17-Inputs!$D$17)),Inputs!$F$17-SQRT((1-H466)*(Inputs!$F$17-Inputs!$D$17)*(Inputs!$F$17-Inputs!$E$17))),0)</f>
        <v>110</v>
      </c>
      <c r="J466" s="81" t="n">
        <f aca="true">RAND()</f>
        <v>0.798230989486589</v>
      </c>
      <c r="K466" s="83" t="n">
        <f aca="false">IF(J466&lt;(Inputs!$E$18-Inputs!$D$18)/(Inputs!$F$18-Inputs!$D$18),Inputs!$D$18+SQRT(J466*(Inputs!$F$18-Inputs!$D$18)*(Inputs!$E$18-Inputs!$D$18)),Inputs!$F$18-SQRT((1-J466)*(Inputs!$F$18-Inputs!$D$18)*(Inputs!$F$18-Inputs!$E$18)))</f>
        <v>1.11712867721015</v>
      </c>
      <c r="L466" s="81" t="n">
        <f aca="true">RAND()</f>
        <v>0.973233957747102</v>
      </c>
      <c r="M466" s="83" t="n">
        <f aca="false">IF(L466&lt;(Inputs!$E$24-Inputs!$D$24)/(Inputs!$F$24-Inputs!$D$24),Inputs!$D$24+SQRT(L466*(Inputs!$F$24-Inputs!$D$24)*(Inputs!$E$24-Inputs!$D$24)),Inputs!$F$24-SQRT((1-L466)*(Inputs!$F$24-Inputs!$D$24)*(Inputs!$F$24-Inputs!$E$24)))</f>
        <v>1.11985107523681</v>
      </c>
      <c r="N466" s="81" t="n">
        <f aca="true">RAND()</f>
        <v>0.534747210389177</v>
      </c>
      <c r="O466" s="83" t="n">
        <f aca="false">IF(N466&lt;(Inputs!$E$26-Inputs!$D$26)/(Inputs!$F$26-Inputs!$D$26),Inputs!$D$26+SQRT(N466*(Inputs!$F$26-Inputs!$D$26)*(Inputs!$E$26-Inputs!$D$26)),Inputs!$F$26-SQRT((1-N466)*(Inputs!$F$26-Inputs!$D$26)*(Inputs!$F$26-Inputs!$E$26)))</f>
        <v>0.598298400613813</v>
      </c>
      <c r="P466" s="81" t="n">
        <f aca="true">RAND()</f>
        <v>0.588325299876086</v>
      </c>
      <c r="Q466" s="82" t="n">
        <f aca="false">IF(P466&lt;(Inputs!$E$27-Inputs!$D$27)/(Inputs!$F$27-Inputs!$D$27),Inputs!$D$27+SQRT(P466*(Inputs!$F$27-Inputs!$D$27)*(Inputs!$E$27-Inputs!$D$27)),Inputs!$F$27-SQRT((1-P466)*(Inputs!$F$27-Inputs!$D$27)*(Inputs!$F$27-Inputs!$E$27)))</f>
        <v>94.434180911919</v>
      </c>
      <c r="R466" s="81" t="n">
        <f aca="true">RAND()</f>
        <v>0.771080894194312</v>
      </c>
      <c r="S466" s="82" t="n">
        <f aca="false">IF(R466&lt;(Inputs!$E$29-Inputs!$D$29)/(Inputs!$F$29-Inputs!$D$29),Inputs!$D$29+SQRT(R466*(Inputs!$F$29-Inputs!$D$29)*(Inputs!$E$29-Inputs!$D$29)),Inputs!$F$29-SQRT((1-R466)*(Inputs!$F$29-Inputs!$D$29)*(Inputs!$F$29-Inputs!$E$29)))</f>
        <v>9.54477463758467</v>
      </c>
      <c r="T466" s="68" t="n">
        <f aca="false">Inputs!$E$9*(1+E466)+Inputs!$E$5*C466*(Inputs!$E$11*Inputs!$E$14*(G466*I466/Inputs!$E$16+(1-G466))*K466+Inputs!$E$23*M466)*(1+O466)+Inputs!$E$5*(Q466+S466)</f>
        <v>6613.96739903961</v>
      </c>
    </row>
    <row r="467" customFormat="false" ht="15" hidden="false" customHeight="false" outlineLevel="0" collapsed="false">
      <c r="A467" s="1" t="n">
        <v>463</v>
      </c>
      <c r="B467" s="81" t="n">
        <f aca="true">RAND()</f>
        <v>0.134235794704832</v>
      </c>
      <c r="C467" s="82" t="n">
        <f aca="false">ROUND(IF(B467&lt;(Inputs!$E$8-Inputs!$D$8)/(Inputs!$F$8-Inputs!$D$8),Inputs!$D$8+SQRT(B467*(Inputs!$F$8-Inputs!$D$8)*(Inputs!$E$8-Inputs!$D$8)),Inputs!$F$8-SQRT((1-B467)*(Inputs!$F$8-Inputs!$D$8)*(Inputs!$F$8-Inputs!$E$8))),0)</f>
        <v>23</v>
      </c>
      <c r="D467" s="81" t="n">
        <f aca="true">RAND()</f>
        <v>0.737717491291592</v>
      </c>
      <c r="E467" s="83" t="n">
        <f aca="false">IF(D467&lt;(Inputs!$E$10-Inputs!$D$10)/(Inputs!$F$10-Inputs!$D$10),Inputs!$D$10+SQRT(D467*(Inputs!$F$10-Inputs!$D$10)*(Inputs!$E$10-Inputs!$D$10)),Inputs!$F$10-SQRT((1-D467)*(Inputs!$F$10-Inputs!$D$10)*(Inputs!$F$10-Inputs!$E$10)))</f>
        <v>0.111295573609587</v>
      </c>
      <c r="F467" s="81" t="n">
        <f aca="true">RAND()</f>
        <v>0.476793679348507</v>
      </c>
      <c r="G467" s="83" t="n">
        <f aca="false">IF(F467&lt;(Inputs!$E$15-Inputs!$D$15)/(Inputs!$F$15-Inputs!$D$15),Inputs!$D$15+SQRT(F467*(Inputs!$F$15-Inputs!$D$15)*(Inputs!$E$15-Inputs!$D$15)),Inputs!$F$15-SQRT((1-F467)*(Inputs!$F$15-Inputs!$D$15)*(Inputs!$F$15-Inputs!$E$15)))</f>
        <v>0.697651797663792</v>
      </c>
      <c r="H467" s="81" t="n">
        <f aca="true">RAND()</f>
        <v>0.945284631070501</v>
      </c>
      <c r="I467" s="82" t="n">
        <f aca="false">ROUND(IF(H467&lt;(Inputs!$E$17-Inputs!$D$17)/(Inputs!$F$17-Inputs!$D$17),Inputs!$D$17+SQRT(H467*(Inputs!$F$17-Inputs!$D$17)*(Inputs!$E$17-Inputs!$D$17)),Inputs!$F$17-SQRT((1-H467)*(Inputs!$F$17-Inputs!$D$17)*(Inputs!$F$17-Inputs!$E$17))),0)</f>
        <v>112</v>
      </c>
      <c r="J467" s="81" t="n">
        <f aca="true">RAND()</f>
        <v>0.997538350224163</v>
      </c>
      <c r="K467" s="83" t="n">
        <f aca="false">IF(J467&lt;(Inputs!$E$18-Inputs!$D$18)/(Inputs!$F$18-Inputs!$D$18),Inputs!$D$18+SQRT(J467*(Inputs!$F$18-Inputs!$D$18)*(Inputs!$E$18-Inputs!$D$18)),Inputs!$F$18-SQRT((1-J467)*(Inputs!$F$18-Inputs!$D$18)*(Inputs!$F$18-Inputs!$E$18)))</f>
        <v>1.23532368045504</v>
      </c>
      <c r="L467" s="81" t="n">
        <f aca="true">RAND()</f>
        <v>0.00596633070274192</v>
      </c>
      <c r="M467" s="83" t="n">
        <f aca="false">IF(L467&lt;(Inputs!$E$24-Inputs!$D$24)/(Inputs!$F$24-Inputs!$D$24),Inputs!$D$24+SQRT(L467*(Inputs!$F$24-Inputs!$D$24)*(Inputs!$E$24-Inputs!$D$24)),Inputs!$F$24-SQRT((1-L467)*(Inputs!$F$24-Inputs!$D$24)*(Inputs!$F$24-Inputs!$E$24)))</f>
        <v>0.626757422976233</v>
      </c>
      <c r="N467" s="81" t="n">
        <f aca="true">RAND()</f>
        <v>0.56466870944602</v>
      </c>
      <c r="O467" s="83" t="n">
        <f aca="false">IF(N467&lt;(Inputs!$E$26-Inputs!$D$26)/(Inputs!$F$26-Inputs!$D$26),Inputs!$D$26+SQRT(N467*(Inputs!$F$26-Inputs!$D$26)*(Inputs!$E$26-Inputs!$D$26)),Inputs!$F$26-SQRT((1-N467)*(Inputs!$F$26-Inputs!$D$26)*(Inputs!$F$26-Inputs!$E$26)))</f>
        <v>0.606530379003155</v>
      </c>
      <c r="P467" s="81" t="n">
        <f aca="true">RAND()</f>
        <v>0.939457896427537</v>
      </c>
      <c r="Q467" s="82" t="n">
        <f aca="false">IF(P467&lt;(Inputs!$E$27-Inputs!$D$27)/(Inputs!$F$27-Inputs!$D$27),Inputs!$D$27+SQRT(P467*(Inputs!$F$27-Inputs!$D$27)*(Inputs!$E$27-Inputs!$D$27)),Inputs!$F$27-SQRT((1-P467)*(Inputs!$F$27-Inputs!$D$27)*(Inputs!$F$27-Inputs!$E$27)))</f>
        <v>128.691180774302</v>
      </c>
      <c r="R467" s="81" t="n">
        <f aca="true">RAND()</f>
        <v>0.0429855284590778</v>
      </c>
      <c r="S467" s="82" t="n">
        <f aca="false">IF(R467&lt;(Inputs!$E$29-Inputs!$D$29)/(Inputs!$F$29-Inputs!$D$29),Inputs!$D$29+SQRT(R467*(Inputs!$F$29-Inputs!$D$29)*(Inputs!$E$29-Inputs!$D$29)),Inputs!$F$29-SQRT((1-R467)*(Inputs!$F$29-Inputs!$D$29)*(Inputs!$F$29-Inputs!$E$29)))</f>
        <v>3.29477241625856</v>
      </c>
      <c r="T467" s="68" t="n">
        <f aca="false">Inputs!$E$9*(1+E467)+Inputs!$E$5*C467*(Inputs!$E$11*Inputs!$E$14*(G467*I467/Inputs!$E$16+(1-G467))*K467+Inputs!$E$23*M467)*(1+O467)+Inputs!$E$5*(Q467+S467)</f>
        <v>6477.97750445745</v>
      </c>
    </row>
    <row r="468" customFormat="false" ht="15" hidden="false" customHeight="false" outlineLevel="0" collapsed="false">
      <c r="A468" s="1" t="n">
        <v>464</v>
      </c>
      <c r="B468" s="81" t="n">
        <f aca="true">RAND()</f>
        <v>0.645559939018352</v>
      </c>
      <c r="C468" s="82" t="n">
        <f aca="false">ROUND(IF(B468&lt;(Inputs!$E$8-Inputs!$D$8)/(Inputs!$F$8-Inputs!$D$8),Inputs!$D$8+SQRT(B468*(Inputs!$F$8-Inputs!$D$8)*(Inputs!$E$8-Inputs!$D$8)),Inputs!$F$8-SQRT((1-B468)*(Inputs!$F$8-Inputs!$D$8)*(Inputs!$F$8-Inputs!$E$8))),0)</f>
        <v>26</v>
      </c>
      <c r="D468" s="81" t="n">
        <f aca="true">RAND()</f>
        <v>0.813667600977428</v>
      </c>
      <c r="E468" s="83" t="n">
        <f aca="false">IF(D468&lt;(Inputs!$E$10-Inputs!$D$10)/(Inputs!$F$10-Inputs!$D$10),Inputs!$D$10+SQRT(D468*(Inputs!$F$10-Inputs!$D$10)*(Inputs!$E$10-Inputs!$D$10)),Inputs!$F$10-SQRT((1-D468)*(Inputs!$F$10-Inputs!$D$10)*(Inputs!$F$10-Inputs!$E$10)))</f>
        <v>0.125233884876388</v>
      </c>
      <c r="F468" s="81" t="n">
        <f aca="true">RAND()</f>
        <v>0.587601978477247</v>
      </c>
      <c r="G468" s="83" t="n">
        <f aca="false">IF(F468&lt;(Inputs!$E$15-Inputs!$D$15)/(Inputs!$F$15-Inputs!$D$15),Inputs!$D$15+SQRT(F468*(Inputs!$F$15-Inputs!$D$15)*(Inputs!$E$15-Inputs!$D$15)),Inputs!$F$15-SQRT((1-F468)*(Inputs!$F$15-Inputs!$D$15)*(Inputs!$F$15-Inputs!$E$15)))</f>
        <v>0.709181717531903</v>
      </c>
      <c r="H468" s="81" t="n">
        <f aca="true">RAND()</f>
        <v>0.0348591603625763</v>
      </c>
      <c r="I468" s="82" t="n">
        <f aca="false">ROUND(IF(H468&lt;(Inputs!$E$17-Inputs!$D$17)/(Inputs!$F$17-Inputs!$D$17),Inputs!$D$17+SQRT(H468*(Inputs!$F$17-Inputs!$D$17)*(Inputs!$E$17-Inputs!$D$17)),Inputs!$F$17-SQRT((1-H468)*(Inputs!$F$17-Inputs!$D$17)*(Inputs!$F$17-Inputs!$E$17))),0)</f>
        <v>102</v>
      </c>
      <c r="J468" s="81" t="n">
        <f aca="true">RAND()</f>
        <v>0.858231091414958</v>
      </c>
      <c r="K468" s="83" t="n">
        <f aca="false">IF(J468&lt;(Inputs!$E$18-Inputs!$D$18)/(Inputs!$F$18-Inputs!$D$18),Inputs!$D$18+SQRT(J468*(Inputs!$F$18-Inputs!$D$18)*(Inputs!$E$18-Inputs!$D$18)),Inputs!$F$18-SQRT((1-J468)*(Inputs!$F$18-Inputs!$D$18)*(Inputs!$F$18-Inputs!$E$18)))</f>
        <v>1.13862325421709</v>
      </c>
      <c r="L468" s="81" t="n">
        <f aca="true">RAND()</f>
        <v>0.409214507549292</v>
      </c>
      <c r="M468" s="83" t="n">
        <f aca="false">IF(L468&lt;(Inputs!$E$24-Inputs!$D$24)/(Inputs!$F$24-Inputs!$D$24),Inputs!$D$24+SQRT(L468*(Inputs!$F$24-Inputs!$D$24)*(Inputs!$E$24-Inputs!$D$24)),Inputs!$F$24-SQRT((1-L468)*(Inputs!$F$24-Inputs!$D$24)*(Inputs!$F$24-Inputs!$E$24)))</f>
        <v>0.823451838155901</v>
      </c>
      <c r="N468" s="81" t="n">
        <f aca="true">RAND()</f>
        <v>0.796015650411807</v>
      </c>
      <c r="O468" s="83" t="n">
        <f aca="false">IF(N468&lt;(Inputs!$E$26-Inputs!$D$26)/(Inputs!$F$26-Inputs!$D$26),Inputs!$D$26+SQRT(N468*(Inputs!$F$26-Inputs!$D$26)*(Inputs!$E$26-Inputs!$D$26)),Inputs!$F$26-SQRT((1-N468)*(Inputs!$F$26-Inputs!$D$26)*(Inputs!$F$26-Inputs!$E$26)))</f>
        <v>0.674348455699323</v>
      </c>
      <c r="P468" s="81" t="n">
        <f aca="true">RAND()</f>
        <v>0.298954988448069</v>
      </c>
      <c r="Q468" s="82" t="n">
        <f aca="false">IF(P468&lt;(Inputs!$E$27-Inputs!$D$27)/(Inputs!$F$27-Inputs!$D$27),Inputs!$D$27+SQRT(P468*(Inputs!$F$27-Inputs!$D$27)*(Inputs!$E$27-Inputs!$D$27)),Inputs!$F$27-SQRT((1-P468)*(Inputs!$F$27-Inputs!$D$27)*(Inputs!$F$27-Inputs!$E$27)))</f>
        <v>77.4890519532431</v>
      </c>
      <c r="R468" s="81" t="n">
        <f aca="true">RAND()</f>
        <v>0.461840319833129</v>
      </c>
      <c r="S468" s="82" t="n">
        <f aca="false">IF(R468&lt;(Inputs!$E$29-Inputs!$D$29)/(Inputs!$F$29-Inputs!$D$29),Inputs!$D$29+SQRT(R468*(Inputs!$F$29-Inputs!$D$29)*(Inputs!$E$29-Inputs!$D$29)),Inputs!$F$29-SQRT((1-R468)*(Inputs!$F$29-Inputs!$D$29)*(Inputs!$F$29-Inputs!$E$29)))</f>
        <v>6.63574519627163</v>
      </c>
      <c r="T468" s="68" t="n">
        <f aca="false">Inputs!$E$9*(1+E468)+Inputs!$E$5*C468*(Inputs!$E$11*Inputs!$E$14*(G468*I468/Inputs!$E$16+(1-G468))*K468+Inputs!$E$23*M468)*(1+O468)+Inputs!$E$5*(Q468+S468)</f>
        <v>6776.91111239785</v>
      </c>
    </row>
    <row r="469" customFormat="false" ht="15" hidden="false" customHeight="false" outlineLevel="0" collapsed="false">
      <c r="A469" s="1" t="n">
        <v>465</v>
      </c>
      <c r="B469" s="81" t="n">
        <f aca="true">RAND()</f>
        <v>0.175564367595826</v>
      </c>
      <c r="C469" s="82" t="n">
        <f aca="false">ROUND(IF(B469&lt;(Inputs!$E$8-Inputs!$D$8)/(Inputs!$F$8-Inputs!$D$8),Inputs!$D$8+SQRT(B469*(Inputs!$F$8-Inputs!$D$8)*(Inputs!$E$8-Inputs!$D$8)),Inputs!$F$8-SQRT((1-B469)*(Inputs!$F$8-Inputs!$D$8)*(Inputs!$F$8-Inputs!$E$8))),0)</f>
        <v>23</v>
      </c>
      <c r="D469" s="81" t="n">
        <f aca="true">RAND()</f>
        <v>0.520768194644023</v>
      </c>
      <c r="E469" s="83" t="n">
        <f aca="false">IF(D469&lt;(Inputs!$E$10-Inputs!$D$10)/(Inputs!$F$10-Inputs!$D$10),Inputs!$D$10+SQRT(D469*(Inputs!$F$10-Inputs!$D$10)*(Inputs!$E$10-Inputs!$D$10)),Inputs!$F$10-SQRT((1-D469)*(Inputs!$F$10-Inputs!$D$10)*(Inputs!$F$10-Inputs!$E$10)))</f>
        <v>0.0800960627807439</v>
      </c>
      <c r="F469" s="81" t="n">
        <f aca="true">RAND()</f>
        <v>0.513233273461811</v>
      </c>
      <c r="G469" s="83" t="n">
        <f aca="false">IF(F469&lt;(Inputs!$E$15-Inputs!$D$15)/(Inputs!$F$15-Inputs!$D$15),Inputs!$D$15+SQRT(F469*(Inputs!$F$15-Inputs!$D$15)*(Inputs!$E$15-Inputs!$D$15)),Inputs!$F$15-SQRT((1-F469)*(Inputs!$F$15-Inputs!$D$15)*(Inputs!$F$15-Inputs!$E$15)))</f>
        <v>0.701332201145643</v>
      </c>
      <c r="H469" s="81" t="n">
        <f aca="true">RAND()</f>
        <v>0.451261491973614</v>
      </c>
      <c r="I469" s="82" t="n">
        <f aca="false">ROUND(IF(H469&lt;(Inputs!$E$17-Inputs!$D$17)/(Inputs!$F$17-Inputs!$D$17),Inputs!$D$17+SQRT(H469*(Inputs!$F$17-Inputs!$D$17)*(Inputs!$E$17-Inputs!$D$17)),Inputs!$F$17-SQRT((1-H469)*(Inputs!$F$17-Inputs!$D$17)*(Inputs!$F$17-Inputs!$E$17))),0)</f>
        <v>106</v>
      </c>
      <c r="J469" s="81" t="n">
        <f aca="true">RAND()</f>
        <v>0.783016458703352</v>
      </c>
      <c r="K469" s="83" t="n">
        <f aca="false">IF(J469&lt;(Inputs!$E$18-Inputs!$D$18)/(Inputs!$F$18-Inputs!$D$18),Inputs!$D$18+SQRT(J469*(Inputs!$F$18-Inputs!$D$18)*(Inputs!$E$18-Inputs!$D$18)),Inputs!$F$18-SQRT((1-J469)*(Inputs!$F$18-Inputs!$D$18)*(Inputs!$F$18-Inputs!$E$18)))</f>
        <v>1.11221008794742</v>
      </c>
      <c r="L469" s="81" t="n">
        <f aca="true">RAND()</f>
        <v>0.37885701056494</v>
      </c>
      <c r="M469" s="83" t="n">
        <f aca="false">IF(L469&lt;(Inputs!$E$24-Inputs!$D$24)/(Inputs!$F$24-Inputs!$D$24),Inputs!$D$24+SQRT(L469*(Inputs!$F$24-Inputs!$D$24)*(Inputs!$E$24-Inputs!$D$24)),Inputs!$F$24-SQRT((1-L469)*(Inputs!$F$24-Inputs!$D$24)*(Inputs!$F$24-Inputs!$E$24)))</f>
        <v>0.813898565834813</v>
      </c>
      <c r="N469" s="81" t="n">
        <f aca="true">RAND()</f>
        <v>0.127279189647544</v>
      </c>
      <c r="O469" s="83" t="n">
        <f aca="false">IF(N469&lt;(Inputs!$E$26-Inputs!$D$26)/(Inputs!$F$26-Inputs!$D$26),Inputs!$D$26+SQRT(N469*(Inputs!$F$26-Inputs!$D$26)*(Inputs!$E$26-Inputs!$D$26)),Inputs!$F$26-SQRT((1-N469)*(Inputs!$F$26-Inputs!$D$26)*(Inputs!$F$26-Inputs!$E$26)))</f>
        <v>0.445530949139183</v>
      </c>
      <c r="P469" s="81" t="n">
        <f aca="true">RAND()</f>
        <v>0.630687118901089</v>
      </c>
      <c r="Q469" s="82" t="n">
        <f aca="false">IF(P469&lt;(Inputs!$E$27-Inputs!$D$27)/(Inputs!$F$27-Inputs!$D$27),Inputs!$D$27+SQRT(P469*(Inputs!$F$27-Inputs!$D$27)*(Inputs!$E$27-Inputs!$D$27)),Inputs!$F$27-SQRT((1-P469)*(Inputs!$F$27-Inputs!$D$27)*(Inputs!$F$27-Inputs!$E$27)))</f>
        <v>97.370667795973</v>
      </c>
      <c r="R469" s="81" t="n">
        <f aca="true">RAND()</f>
        <v>0.860567628907639</v>
      </c>
      <c r="S469" s="82" t="n">
        <f aca="false">IF(R469&lt;(Inputs!$E$29-Inputs!$D$29)/(Inputs!$F$29-Inputs!$D$29),Inputs!$D$29+SQRT(R469*(Inputs!$F$29-Inputs!$D$29)*(Inputs!$E$29-Inputs!$D$29)),Inputs!$F$29-SQRT((1-R469)*(Inputs!$F$29-Inputs!$D$29)*(Inputs!$F$29-Inputs!$E$29)))</f>
        <v>10.7425115100559</v>
      </c>
      <c r="T469" s="68" t="n">
        <f aca="false">Inputs!$E$9*(1+E469)+Inputs!$E$5*C469*(Inputs!$E$11*Inputs!$E$14*(G469*I469/Inputs!$E$16+(1-G469))*K469+Inputs!$E$23*M469)*(1+O469)+Inputs!$E$5*(Q469+S469)</f>
        <v>5876.39048381194</v>
      </c>
    </row>
    <row r="470" customFormat="false" ht="15" hidden="false" customHeight="false" outlineLevel="0" collapsed="false">
      <c r="A470" s="1" t="n">
        <v>466</v>
      </c>
      <c r="B470" s="81" t="n">
        <f aca="true">RAND()</f>
        <v>0.30680003311928</v>
      </c>
      <c r="C470" s="82" t="n">
        <f aca="false">ROUND(IF(B470&lt;(Inputs!$E$8-Inputs!$D$8)/(Inputs!$F$8-Inputs!$D$8),Inputs!$D$8+SQRT(B470*(Inputs!$F$8-Inputs!$D$8)*(Inputs!$E$8-Inputs!$D$8)),Inputs!$F$8-SQRT((1-B470)*(Inputs!$F$8-Inputs!$D$8)*(Inputs!$F$8-Inputs!$E$8))),0)</f>
        <v>24</v>
      </c>
      <c r="D470" s="81" t="n">
        <f aca="true">RAND()</f>
        <v>0.776320023905741</v>
      </c>
      <c r="E470" s="83" t="n">
        <f aca="false">IF(D470&lt;(Inputs!$E$10-Inputs!$D$10)/(Inputs!$F$10-Inputs!$D$10),Inputs!$D$10+SQRT(D470*(Inputs!$F$10-Inputs!$D$10)*(Inputs!$E$10-Inputs!$D$10)),Inputs!$F$10-SQRT((1-D470)*(Inputs!$F$10-Inputs!$D$10)*(Inputs!$F$10-Inputs!$E$10)))</f>
        <v>0.118082973181226</v>
      </c>
      <c r="F470" s="81" t="n">
        <f aca="true">RAND()</f>
        <v>0.585752776256321</v>
      </c>
      <c r="G470" s="83" t="n">
        <f aca="false">IF(F470&lt;(Inputs!$E$15-Inputs!$D$15)/(Inputs!$F$15-Inputs!$D$15),Inputs!$D$15+SQRT(F470*(Inputs!$F$15-Inputs!$D$15)*(Inputs!$E$15-Inputs!$D$15)),Inputs!$F$15-SQRT((1-F470)*(Inputs!$F$15-Inputs!$D$15)*(Inputs!$F$15-Inputs!$E$15)))</f>
        <v>0.708978329641378</v>
      </c>
      <c r="H470" s="81" t="n">
        <f aca="true">RAND()</f>
        <v>0.0177289849564439</v>
      </c>
      <c r="I470" s="82" t="n">
        <f aca="false">ROUND(IF(H470&lt;(Inputs!$E$17-Inputs!$D$17)/(Inputs!$F$17-Inputs!$D$17),Inputs!$D$17+SQRT(H470*(Inputs!$F$17-Inputs!$D$17)*(Inputs!$E$17-Inputs!$D$17)),Inputs!$F$17-SQRT((1-H470)*(Inputs!$F$17-Inputs!$D$17)*(Inputs!$F$17-Inputs!$E$17))),0)</f>
        <v>101</v>
      </c>
      <c r="J470" s="81" t="n">
        <f aca="true">RAND()</f>
        <v>0.440655943554243</v>
      </c>
      <c r="K470" s="83" t="n">
        <f aca="false">IF(J470&lt;(Inputs!$E$18-Inputs!$D$18)/(Inputs!$F$18-Inputs!$D$18),Inputs!$D$18+SQRT(J470*(Inputs!$F$18-Inputs!$D$18)*(Inputs!$E$18-Inputs!$D$18)),Inputs!$F$18-SQRT((1-J470)*(Inputs!$F$18-Inputs!$D$18)*(Inputs!$F$18-Inputs!$E$18)))</f>
        <v>1.02877024400184</v>
      </c>
      <c r="L470" s="81" t="n">
        <f aca="true">RAND()</f>
        <v>0.397224372264467</v>
      </c>
      <c r="M470" s="83" t="n">
        <f aca="false">IF(L470&lt;(Inputs!$E$24-Inputs!$D$24)/(Inputs!$F$24-Inputs!$D$24),Inputs!$D$24+SQRT(L470*(Inputs!$F$24-Inputs!$D$24)*(Inputs!$E$24-Inputs!$D$24)),Inputs!$F$24-SQRT((1-L470)*(Inputs!$F$24-Inputs!$D$24)*(Inputs!$F$24-Inputs!$E$24)))</f>
        <v>0.819649962986031</v>
      </c>
      <c r="N470" s="81" t="n">
        <f aca="true">RAND()</f>
        <v>0.65092052953403</v>
      </c>
      <c r="O470" s="83" t="n">
        <f aca="false">IF(N470&lt;(Inputs!$E$26-Inputs!$D$26)/(Inputs!$F$26-Inputs!$D$26),Inputs!$D$26+SQRT(N470*(Inputs!$F$26-Inputs!$D$26)*(Inputs!$E$26-Inputs!$D$26)),Inputs!$F$26-SQRT((1-N470)*(Inputs!$F$26-Inputs!$D$26)*(Inputs!$F$26-Inputs!$E$26)))</f>
        <v>0.629463218961637</v>
      </c>
      <c r="P470" s="81" t="n">
        <f aca="true">RAND()</f>
        <v>0.226131595666027</v>
      </c>
      <c r="Q470" s="82" t="n">
        <f aca="false">IF(P470&lt;(Inputs!$E$27-Inputs!$D$27)/(Inputs!$F$27-Inputs!$D$27),Inputs!$D$27+SQRT(P470*(Inputs!$F$27-Inputs!$D$27)*(Inputs!$E$27-Inputs!$D$27)),Inputs!$F$27-SQRT((1-P470)*(Inputs!$F$27-Inputs!$D$27)*(Inputs!$F$27-Inputs!$E$27)))</f>
        <v>73.7766479800048</v>
      </c>
      <c r="R470" s="81" t="n">
        <f aca="true">RAND()</f>
        <v>0.67212481103439</v>
      </c>
      <c r="S470" s="82" t="n">
        <f aca="false">IF(R470&lt;(Inputs!$E$29-Inputs!$D$29)/(Inputs!$F$29-Inputs!$D$29),Inputs!$D$29+SQRT(R470*(Inputs!$F$29-Inputs!$D$29)*(Inputs!$E$29-Inputs!$D$29)),Inputs!$F$29-SQRT((1-R470)*(Inputs!$F$29-Inputs!$D$29)*(Inputs!$F$29-Inputs!$E$29)))</f>
        <v>8.4713114206964</v>
      </c>
      <c r="T470" s="68" t="n">
        <f aca="false">Inputs!$E$9*(1+E470)+Inputs!$E$5*C470*(Inputs!$E$11*Inputs!$E$14*(G470*I470/Inputs!$E$16+(1-G470))*K470+Inputs!$E$23*M470)*(1+O470)+Inputs!$E$5*(Q470+S470)</f>
        <v>6114.76950633422</v>
      </c>
    </row>
    <row r="471" customFormat="false" ht="15" hidden="false" customHeight="false" outlineLevel="0" collapsed="false">
      <c r="A471" s="1" t="n">
        <v>467</v>
      </c>
      <c r="B471" s="81" t="n">
        <f aca="true">RAND()</f>
        <v>0.317134287618639</v>
      </c>
      <c r="C471" s="82" t="n">
        <f aca="false">ROUND(IF(B471&lt;(Inputs!$E$8-Inputs!$D$8)/(Inputs!$F$8-Inputs!$D$8),Inputs!$D$8+SQRT(B471*(Inputs!$F$8-Inputs!$D$8)*(Inputs!$E$8-Inputs!$D$8)),Inputs!$F$8-SQRT((1-B471)*(Inputs!$F$8-Inputs!$D$8)*(Inputs!$F$8-Inputs!$E$8))),0)</f>
        <v>24</v>
      </c>
      <c r="D471" s="81" t="n">
        <f aca="true">RAND()</f>
        <v>0.466300438322384</v>
      </c>
      <c r="E471" s="83" t="n">
        <f aca="false">IF(D471&lt;(Inputs!$E$10-Inputs!$D$10)/(Inputs!$F$10-Inputs!$D$10),Inputs!$D$10+SQRT(D471*(Inputs!$F$10-Inputs!$D$10)*(Inputs!$E$10-Inputs!$D$10)),Inputs!$F$10-SQRT((1-D471)*(Inputs!$F$10-Inputs!$D$10)*(Inputs!$F$10-Inputs!$E$10)))</f>
        <v>0.073465471707014</v>
      </c>
      <c r="F471" s="81" t="n">
        <f aca="true">RAND()</f>
        <v>0.148955620357571</v>
      </c>
      <c r="G471" s="83" t="n">
        <f aca="false">IF(F471&lt;(Inputs!$E$15-Inputs!$D$15)/(Inputs!$F$15-Inputs!$D$15),Inputs!$D$15+SQRT(F471*(Inputs!$F$15-Inputs!$D$15)*(Inputs!$E$15-Inputs!$D$15)),Inputs!$F$15-SQRT((1-F471)*(Inputs!$F$15-Inputs!$D$15)*(Inputs!$F$15-Inputs!$E$15)))</f>
        <v>0.654581245928903</v>
      </c>
      <c r="H471" s="81" t="n">
        <f aca="true">RAND()</f>
        <v>0.392075886014217</v>
      </c>
      <c r="I471" s="82" t="n">
        <f aca="false">ROUND(IF(H471&lt;(Inputs!$E$17-Inputs!$D$17)/(Inputs!$F$17-Inputs!$D$17),Inputs!$D$17+SQRT(H471*(Inputs!$F$17-Inputs!$D$17)*(Inputs!$E$17-Inputs!$D$17)),Inputs!$F$17-SQRT((1-H471)*(Inputs!$F$17-Inputs!$D$17)*(Inputs!$F$17-Inputs!$E$17))),0)</f>
        <v>105</v>
      </c>
      <c r="J471" s="81" t="n">
        <f aca="true">RAND()</f>
        <v>0.557999021960821</v>
      </c>
      <c r="K471" s="83" t="n">
        <f aca="false">IF(J471&lt;(Inputs!$E$18-Inputs!$D$18)/(Inputs!$F$18-Inputs!$D$18),Inputs!$D$18+SQRT(J471*(Inputs!$F$18-Inputs!$D$18)*(Inputs!$E$18-Inputs!$D$18)),Inputs!$F$18-SQRT((1-J471)*(Inputs!$F$18-Inputs!$D$18)*(Inputs!$F$18-Inputs!$E$18)))</f>
        <v>1.05334017802706</v>
      </c>
      <c r="L471" s="81" t="n">
        <f aca="true">RAND()</f>
        <v>0.771000021497514</v>
      </c>
      <c r="M471" s="83" t="n">
        <f aca="false">IF(L471&lt;(Inputs!$E$24-Inputs!$D$24)/(Inputs!$F$24-Inputs!$D$24),Inputs!$D$24+SQRT(L471*(Inputs!$F$24-Inputs!$D$24)*(Inputs!$E$24-Inputs!$D$24)),Inputs!$F$24-SQRT((1-L471)*(Inputs!$F$24-Inputs!$D$24)*(Inputs!$F$24-Inputs!$E$24)))</f>
        <v>0.965564518810406</v>
      </c>
      <c r="N471" s="81" t="n">
        <f aca="true">RAND()</f>
        <v>0.466013852502723</v>
      </c>
      <c r="O471" s="83" t="n">
        <f aca="false">IF(N471&lt;(Inputs!$E$26-Inputs!$D$26)/(Inputs!$F$26-Inputs!$D$26),Inputs!$D$26+SQRT(N471*(Inputs!$F$26-Inputs!$D$26)*(Inputs!$E$26-Inputs!$D$26)),Inputs!$F$26-SQRT((1-N471)*(Inputs!$F$26-Inputs!$D$26)*(Inputs!$F$26-Inputs!$E$26)))</f>
        <v>0.578468499217511</v>
      </c>
      <c r="P471" s="81" t="n">
        <f aca="true">RAND()</f>
        <v>0.948318780493656</v>
      </c>
      <c r="Q471" s="82" t="n">
        <f aca="false">IF(P471&lt;(Inputs!$E$27-Inputs!$D$27)/(Inputs!$F$27-Inputs!$D$27),Inputs!$D$27+SQRT(P471*(Inputs!$F$27-Inputs!$D$27)*(Inputs!$E$27-Inputs!$D$27)),Inputs!$F$27-SQRT((1-P471)*(Inputs!$F$27-Inputs!$D$27)*(Inputs!$F$27-Inputs!$E$27)))</f>
        <v>130.31220819143</v>
      </c>
      <c r="R471" s="81" t="n">
        <f aca="true">RAND()</f>
        <v>0.740594420976081</v>
      </c>
      <c r="S471" s="82" t="n">
        <f aca="false">IF(R471&lt;(Inputs!$E$29-Inputs!$D$29)/(Inputs!$F$29-Inputs!$D$29),Inputs!$D$29+SQRT(R471*(Inputs!$F$29-Inputs!$D$29)*(Inputs!$E$29-Inputs!$D$29)),Inputs!$F$29-SQRT((1-R471)*(Inputs!$F$29-Inputs!$D$29)*(Inputs!$F$29-Inputs!$E$29)))</f>
        <v>9.19287288987838</v>
      </c>
      <c r="T471" s="68" t="n">
        <f aca="false">Inputs!$E$9*(1+E471)+Inputs!$E$5*C471*(Inputs!$E$11*Inputs!$E$14*(G471*I471/Inputs!$E$16+(1-G471))*K471+Inputs!$E$23*M471)*(1+O471)+Inputs!$E$5*(Q471+S471)</f>
        <v>6566.45748667804</v>
      </c>
    </row>
    <row r="472" customFormat="false" ht="15" hidden="false" customHeight="false" outlineLevel="0" collapsed="false">
      <c r="A472" s="1" t="n">
        <v>468</v>
      </c>
      <c r="B472" s="81" t="n">
        <f aca="true">RAND()</f>
        <v>0.0171244178040457</v>
      </c>
      <c r="C472" s="82" t="n">
        <f aca="false">ROUND(IF(B472&lt;(Inputs!$E$8-Inputs!$D$8)/(Inputs!$F$8-Inputs!$D$8),Inputs!$D$8+SQRT(B472*(Inputs!$F$8-Inputs!$D$8)*(Inputs!$E$8-Inputs!$D$8)),Inputs!$F$8-SQRT((1-B472)*(Inputs!$F$8-Inputs!$D$8)*(Inputs!$F$8-Inputs!$E$8))),0)</f>
        <v>21</v>
      </c>
      <c r="D472" s="81" t="n">
        <f aca="true">RAND()</f>
        <v>0.00278881251815143</v>
      </c>
      <c r="E472" s="83" t="n">
        <f aca="false">IF(D472&lt;(Inputs!$E$10-Inputs!$D$10)/(Inputs!$F$10-Inputs!$D$10),Inputs!$D$10+SQRT(D472*(Inputs!$F$10-Inputs!$D$10)*(Inputs!$E$10-Inputs!$D$10)),Inputs!$F$10-SQRT((1-D472)*(Inputs!$F$10-Inputs!$D$10)*(Inputs!$F$10-Inputs!$E$10)))</f>
        <v>0.00528092086491686</v>
      </c>
      <c r="F472" s="81" t="n">
        <f aca="true">RAND()</f>
        <v>0.272415724579938</v>
      </c>
      <c r="G472" s="83" t="n">
        <f aca="false">IF(F472&lt;(Inputs!$E$15-Inputs!$D$15)/(Inputs!$F$15-Inputs!$D$15),Inputs!$D$15+SQRT(F472*(Inputs!$F$15-Inputs!$D$15)*(Inputs!$E$15-Inputs!$D$15)),Inputs!$F$15-SQRT((1-F472)*(Inputs!$F$15-Inputs!$D$15)*(Inputs!$F$15-Inputs!$E$15)))</f>
        <v>0.67381269871505</v>
      </c>
      <c r="H472" s="81" t="n">
        <f aca="true">RAND()</f>
        <v>0.846056764148636</v>
      </c>
      <c r="I472" s="82" t="n">
        <f aca="false">ROUND(IF(H472&lt;(Inputs!$E$17-Inputs!$D$17)/(Inputs!$F$17-Inputs!$D$17),Inputs!$D$17+SQRT(H472*(Inputs!$F$17-Inputs!$D$17)*(Inputs!$E$17-Inputs!$D$17)),Inputs!$F$17-SQRT((1-H472)*(Inputs!$F$17-Inputs!$D$17)*(Inputs!$F$17-Inputs!$E$17))),0)</f>
        <v>110</v>
      </c>
      <c r="J472" s="81" t="n">
        <f aca="true">RAND()</f>
        <v>0.0661895793965532</v>
      </c>
      <c r="K472" s="83" t="n">
        <f aca="false">IF(J472&lt;(Inputs!$E$18-Inputs!$D$18)/(Inputs!$F$18-Inputs!$D$18),Inputs!$D$18+SQRT(J472*(Inputs!$F$18-Inputs!$D$18)*(Inputs!$E$18-Inputs!$D$18)),Inputs!$F$18-SQRT((1-J472)*(Inputs!$F$18-Inputs!$D$18)*(Inputs!$F$18-Inputs!$E$18)))</f>
        <v>0.948131437531819</v>
      </c>
      <c r="L472" s="81" t="n">
        <f aca="true">RAND()</f>
        <v>0.220723931960279</v>
      </c>
      <c r="M472" s="83" t="n">
        <f aca="false">IF(L472&lt;(Inputs!$E$24-Inputs!$D$24)/(Inputs!$F$24-Inputs!$D$24),Inputs!$D$24+SQRT(L472*(Inputs!$F$24-Inputs!$D$24)*(Inputs!$E$24-Inputs!$D$24)),Inputs!$F$24-SQRT((1-L472)*(Inputs!$F$24-Inputs!$D$24)*(Inputs!$F$24-Inputs!$E$24)))</f>
        <v>0.762747878128206</v>
      </c>
      <c r="N472" s="81" t="n">
        <f aca="true">RAND()</f>
        <v>0.336661729056038</v>
      </c>
      <c r="O472" s="83" t="n">
        <f aca="false">IF(N472&lt;(Inputs!$E$26-Inputs!$D$26)/(Inputs!$F$26-Inputs!$D$26),Inputs!$D$26+SQRT(N472*(Inputs!$F$26-Inputs!$D$26)*(Inputs!$E$26-Inputs!$D$26)),Inputs!$F$26-SQRT((1-N472)*(Inputs!$F$26-Inputs!$D$26)*(Inputs!$F$26-Inputs!$E$26)))</f>
        <v>0.536686526264012</v>
      </c>
      <c r="P472" s="81" t="n">
        <f aca="true">RAND()</f>
        <v>0.786088251972626</v>
      </c>
      <c r="Q472" s="82" t="n">
        <f aca="false">IF(P472&lt;(Inputs!$E$27-Inputs!$D$27)/(Inputs!$F$27-Inputs!$D$27),Inputs!$D$27+SQRT(P472*(Inputs!$F$27-Inputs!$D$27)*(Inputs!$E$27-Inputs!$D$27)),Inputs!$F$27-SQRT((1-P472)*(Inputs!$F$27-Inputs!$D$27)*(Inputs!$F$27-Inputs!$E$27)))</f>
        <v>109.945810328939</v>
      </c>
      <c r="R472" s="81" t="n">
        <f aca="true">RAND()</f>
        <v>0.070185638422291</v>
      </c>
      <c r="S472" s="82" t="n">
        <f aca="false">IF(R472&lt;(Inputs!$E$29-Inputs!$D$29)/(Inputs!$F$29-Inputs!$D$29),Inputs!$D$29+SQRT(R472*(Inputs!$F$29-Inputs!$D$29)*(Inputs!$E$29-Inputs!$D$29)),Inputs!$F$29-SQRT((1-R472)*(Inputs!$F$29-Inputs!$D$29)*(Inputs!$F$29-Inputs!$E$29)))</f>
        <v>3.65446060650272</v>
      </c>
      <c r="T472" s="68" t="n">
        <f aca="false">Inputs!$E$9*(1+E472)+Inputs!$E$5*C472*(Inputs!$E$11*Inputs!$E$14*(G472*I472/Inputs!$E$16+(1-G472))*K472+Inputs!$E$23*M472)*(1+O472)+Inputs!$E$5*(Q472+S472)</f>
        <v>5369.80176736525</v>
      </c>
    </row>
    <row r="473" customFormat="false" ht="15" hidden="false" customHeight="false" outlineLevel="0" collapsed="false">
      <c r="A473" s="1" t="n">
        <v>469</v>
      </c>
      <c r="B473" s="81" t="n">
        <f aca="true">RAND()</f>
        <v>0.485814082333561</v>
      </c>
      <c r="C473" s="82" t="n">
        <f aca="false">ROUND(IF(B473&lt;(Inputs!$E$8-Inputs!$D$8)/(Inputs!$F$8-Inputs!$D$8),Inputs!$D$8+SQRT(B473*(Inputs!$F$8-Inputs!$D$8)*(Inputs!$E$8-Inputs!$D$8)),Inputs!$F$8-SQRT((1-B473)*(Inputs!$F$8-Inputs!$D$8)*(Inputs!$F$8-Inputs!$E$8))),0)</f>
        <v>25</v>
      </c>
      <c r="D473" s="81" t="n">
        <f aca="true">RAND()</f>
        <v>0.244303684099903</v>
      </c>
      <c r="E473" s="83" t="n">
        <f aca="false">IF(D473&lt;(Inputs!$E$10-Inputs!$D$10)/(Inputs!$F$10-Inputs!$D$10),Inputs!$D$10+SQRT(D473*(Inputs!$F$10-Inputs!$D$10)*(Inputs!$E$10-Inputs!$D$10)),Inputs!$F$10-SQRT((1-D473)*(Inputs!$F$10-Inputs!$D$10)*(Inputs!$F$10-Inputs!$E$10)))</f>
        <v>0.0494270861066989</v>
      </c>
      <c r="F473" s="81" t="n">
        <f aca="true">RAND()</f>
        <v>0.764723687108459</v>
      </c>
      <c r="G473" s="83" t="n">
        <f aca="false">IF(F473&lt;(Inputs!$E$15-Inputs!$D$15)/(Inputs!$F$15-Inputs!$D$15),Inputs!$D$15+SQRT(F473*(Inputs!$F$15-Inputs!$D$15)*(Inputs!$E$15-Inputs!$D$15)),Inputs!$F$15-SQRT((1-F473)*(Inputs!$F$15-Inputs!$D$15)*(Inputs!$F$15-Inputs!$E$15)))</f>
        <v>0.731403161458921</v>
      </c>
      <c r="H473" s="81" t="n">
        <f aca="true">RAND()</f>
        <v>0.88128695642219</v>
      </c>
      <c r="I473" s="82" t="n">
        <f aca="false">ROUND(IF(H473&lt;(Inputs!$E$17-Inputs!$D$17)/(Inputs!$F$17-Inputs!$D$17),Inputs!$D$17+SQRT(H473*(Inputs!$F$17-Inputs!$D$17)*(Inputs!$E$17-Inputs!$D$17)),Inputs!$F$17-SQRT((1-H473)*(Inputs!$F$17-Inputs!$D$17)*(Inputs!$F$17-Inputs!$E$17))),0)</f>
        <v>111</v>
      </c>
      <c r="J473" s="81" t="n">
        <f aca="true">RAND()</f>
        <v>0.729921959859079</v>
      </c>
      <c r="K473" s="83" t="n">
        <f aca="false">IF(J473&lt;(Inputs!$E$18-Inputs!$D$18)/(Inputs!$F$18-Inputs!$D$18),Inputs!$D$18+SQRT(J473*(Inputs!$F$18-Inputs!$D$18)*(Inputs!$E$18-Inputs!$D$18)),Inputs!$F$18-SQRT((1-J473)*(Inputs!$F$18-Inputs!$D$18)*(Inputs!$F$18-Inputs!$E$18)))</f>
        <v>1.09627352696321</v>
      </c>
      <c r="L473" s="81" t="n">
        <f aca="true">RAND()</f>
        <v>0.0777295038589777</v>
      </c>
      <c r="M473" s="83" t="n">
        <f aca="false">IF(L473&lt;(Inputs!$E$24-Inputs!$D$24)/(Inputs!$F$24-Inputs!$D$24),Inputs!$D$24+SQRT(L473*(Inputs!$F$24-Inputs!$D$24)*(Inputs!$E$24-Inputs!$D$24)),Inputs!$F$24-SQRT((1-L473)*(Inputs!$F$24-Inputs!$D$24)*(Inputs!$F$24-Inputs!$E$24)))</f>
        <v>0.696579192702555</v>
      </c>
      <c r="N473" s="81" t="n">
        <f aca="true">RAND()</f>
        <v>0.151398061277725</v>
      </c>
      <c r="O473" s="83" t="n">
        <f aca="false">IF(N473&lt;(Inputs!$E$26-Inputs!$D$26)/(Inputs!$F$26-Inputs!$D$26),Inputs!$D$26+SQRT(N473*(Inputs!$F$26-Inputs!$D$26)*(Inputs!$E$26-Inputs!$D$26)),Inputs!$F$26-SQRT((1-N473)*(Inputs!$F$26-Inputs!$D$26)*(Inputs!$F$26-Inputs!$E$26)))</f>
        <v>0.458721886948882</v>
      </c>
      <c r="P473" s="81" t="n">
        <f aca="true">RAND()</f>
        <v>0.56387045566457</v>
      </c>
      <c r="Q473" s="82" t="n">
        <f aca="false">IF(P473&lt;(Inputs!$E$27-Inputs!$D$27)/(Inputs!$F$27-Inputs!$D$27),Inputs!$D$27+SQRT(P473*(Inputs!$F$27-Inputs!$D$27)*(Inputs!$E$27-Inputs!$D$27)),Inputs!$F$27-SQRT((1-P473)*(Inputs!$F$27-Inputs!$D$27)*(Inputs!$F$27-Inputs!$E$27)))</f>
        <v>92.8075915657006</v>
      </c>
      <c r="R473" s="81" t="n">
        <f aca="true">RAND()</f>
        <v>0.442773634803075</v>
      </c>
      <c r="S473" s="82" t="n">
        <f aca="false">IF(R473&lt;(Inputs!$E$29-Inputs!$D$29)/(Inputs!$F$29-Inputs!$D$29),Inputs!$D$29+SQRT(R473*(Inputs!$F$29-Inputs!$D$29)*(Inputs!$E$29-Inputs!$D$29)),Inputs!$F$29-SQRT((1-R473)*(Inputs!$F$29-Inputs!$D$29)*(Inputs!$F$29-Inputs!$E$29)))</f>
        <v>6.48886450139582</v>
      </c>
      <c r="T473" s="68" t="n">
        <f aca="false">Inputs!$E$9*(1+E473)+Inputs!$E$5*C473*(Inputs!$E$11*Inputs!$E$14*(G473*I473/Inputs!$E$16+(1-G473))*K473+Inputs!$E$23*M473)*(1+O473)+Inputs!$E$5*(Q473+S473)</f>
        <v>5888.98958439297</v>
      </c>
    </row>
    <row r="474" customFormat="false" ht="15" hidden="false" customHeight="false" outlineLevel="0" collapsed="false">
      <c r="A474" s="1" t="n">
        <v>470</v>
      </c>
      <c r="B474" s="81" t="n">
        <f aca="true">RAND()</f>
        <v>0.0690689545658027</v>
      </c>
      <c r="C474" s="82" t="n">
        <f aca="false">ROUND(IF(B474&lt;(Inputs!$E$8-Inputs!$D$8)/(Inputs!$F$8-Inputs!$D$8),Inputs!$D$8+SQRT(B474*(Inputs!$F$8-Inputs!$D$8)*(Inputs!$E$8-Inputs!$D$8)),Inputs!$F$8-SQRT((1-B474)*(Inputs!$F$8-Inputs!$D$8)*(Inputs!$F$8-Inputs!$E$8))),0)</f>
        <v>22</v>
      </c>
      <c r="D474" s="81" t="n">
        <f aca="true">RAND()</f>
        <v>0.941986054649035</v>
      </c>
      <c r="E474" s="83" t="n">
        <f aca="false">IF(D474&lt;(Inputs!$E$10-Inputs!$D$10)/(Inputs!$F$10-Inputs!$D$10),Inputs!$D$10+SQRT(D474*(Inputs!$F$10-Inputs!$D$10)*(Inputs!$E$10-Inputs!$D$10)),Inputs!$F$10-SQRT((1-D474)*(Inputs!$F$10-Inputs!$D$10)*(Inputs!$F$10-Inputs!$E$10)))</f>
        <v>0.158281678359156</v>
      </c>
      <c r="F474" s="81" t="n">
        <f aca="true">RAND()</f>
        <v>0.562288207579464</v>
      </c>
      <c r="G474" s="83" t="n">
        <f aca="false">IF(F474&lt;(Inputs!$E$15-Inputs!$D$15)/(Inputs!$F$15-Inputs!$D$15),Inputs!$D$15+SQRT(F474*(Inputs!$F$15-Inputs!$D$15)*(Inputs!$E$15-Inputs!$D$15)),Inputs!$F$15-SQRT((1-F474)*(Inputs!$F$15-Inputs!$D$15)*(Inputs!$F$15-Inputs!$E$15)))</f>
        <v>0.70643592650803</v>
      </c>
      <c r="H474" s="81" t="n">
        <f aca="true">RAND()</f>
        <v>0.407820939722621</v>
      </c>
      <c r="I474" s="82" t="n">
        <f aca="false">ROUND(IF(H474&lt;(Inputs!$E$17-Inputs!$D$17)/(Inputs!$F$17-Inputs!$D$17),Inputs!$D$17+SQRT(H474*(Inputs!$F$17-Inputs!$D$17)*(Inputs!$E$17-Inputs!$D$17)),Inputs!$F$17-SQRT((1-H474)*(Inputs!$F$17-Inputs!$D$17)*(Inputs!$F$17-Inputs!$E$17))),0)</f>
        <v>106</v>
      </c>
      <c r="J474" s="81" t="n">
        <f aca="true">RAND()</f>
        <v>0.951829899395876</v>
      </c>
      <c r="K474" s="83" t="n">
        <f aca="false">IF(J474&lt;(Inputs!$E$18-Inputs!$D$18)/(Inputs!$F$18-Inputs!$D$18),Inputs!$D$18+SQRT(J474*(Inputs!$F$18-Inputs!$D$18)*(Inputs!$E$18-Inputs!$D$18)),Inputs!$F$18-SQRT((1-J474)*(Inputs!$F$18-Inputs!$D$18)*(Inputs!$F$18-Inputs!$E$18)))</f>
        <v>1.18507786353746</v>
      </c>
      <c r="L474" s="81" t="n">
        <f aca="true">RAND()</f>
        <v>0.400971092067737</v>
      </c>
      <c r="M474" s="83" t="n">
        <f aca="false">IF(L474&lt;(Inputs!$E$24-Inputs!$D$24)/(Inputs!$F$24-Inputs!$D$24),Inputs!$D$24+SQRT(L474*(Inputs!$F$24-Inputs!$D$24)*(Inputs!$E$24-Inputs!$D$24)),Inputs!$F$24-SQRT((1-L474)*(Inputs!$F$24-Inputs!$D$24)*(Inputs!$F$24-Inputs!$E$24)))</f>
        <v>0.820833891409394</v>
      </c>
      <c r="N474" s="81" t="n">
        <f aca="true">RAND()</f>
        <v>0.745165488782967</v>
      </c>
      <c r="O474" s="83" t="n">
        <f aca="false">IF(N474&lt;(Inputs!$E$26-Inputs!$D$26)/(Inputs!$F$26-Inputs!$D$26),Inputs!$D$26+SQRT(N474*(Inputs!$F$26-Inputs!$D$26)*(Inputs!$E$26-Inputs!$D$26)),Inputs!$F$26-SQRT((1-N474)*(Inputs!$F$26-Inputs!$D$26)*(Inputs!$F$26-Inputs!$E$26)))</f>
        <v>0.657203227407386</v>
      </c>
      <c r="P474" s="81" t="n">
        <f aca="true">RAND()</f>
        <v>0.117234536165338</v>
      </c>
      <c r="Q474" s="82" t="n">
        <f aca="false">IF(P474&lt;(Inputs!$E$27-Inputs!$D$27)/(Inputs!$F$27-Inputs!$D$27),Inputs!$D$27+SQRT(P474*(Inputs!$F$27-Inputs!$D$27)*(Inputs!$E$27-Inputs!$D$27)),Inputs!$F$27-SQRT((1-P474)*(Inputs!$F$27-Inputs!$D$27)*(Inputs!$F$27-Inputs!$E$27)))</f>
        <v>67.1197646132575</v>
      </c>
      <c r="R474" s="81" t="n">
        <f aca="true">RAND()</f>
        <v>0.939521342204583</v>
      </c>
      <c r="S474" s="82" t="n">
        <f aca="false">IF(R474&lt;(Inputs!$E$29-Inputs!$D$29)/(Inputs!$F$29-Inputs!$D$29),Inputs!$D$29+SQRT(R474*(Inputs!$F$29-Inputs!$D$29)*(Inputs!$E$29-Inputs!$D$29)),Inputs!$F$29-SQRT((1-R474)*(Inputs!$F$29-Inputs!$D$29)*(Inputs!$F$29-Inputs!$E$29)))</f>
        <v>12.1960339671451</v>
      </c>
      <c r="T474" s="68" t="n">
        <f aca="false">Inputs!$E$9*(1+E474)+Inputs!$E$5*C474*(Inputs!$E$11*Inputs!$E$14*(G474*I474/Inputs!$E$16+(1-G474))*K474+Inputs!$E$23*M474)*(1+O474)+Inputs!$E$5*(Q474+S474)</f>
        <v>6335.35695556297</v>
      </c>
    </row>
    <row r="475" customFormat="false" ht="15" hidden="false" customHeight="false" outlineLevel="0" collapsed="false">
      <c r="A475" s="1" t="n">
        <v>471</v>
      </c>
      <c r="B475" s="81" t="n">
        <f aca="true">RAND()</f>
        <v>0.365422763418837</v>
      </c>
      <c r="C475" s="82" t="n">
        <f aca="false">ROUND(IF(B475&lt;(Inputs!$E$8-Inputs!$D$8)/(Inputs!$F$8-Inputs!$D$8),Inputs!$D$8+SQRT(B475*(Inputs!$F$8-Inputs!$D$8)*(Inputs!$E$8-Inputs!$D$8)),Inputs!$F$8-SQRT((1-B475)*(Inputs!$F$8-Inputs!$D$8)*(Inputs!$F$8-Inputs!$E$8))),0)</f>
        <v>24</v>
      </c>
      <c r="D475" s="81" t="n">
        <f aca="true">RAND()</f>
        <v>0.945637502837739</v>
      </c>
      <c r="E475" s="83" t="n">
        <f aca="false">IF(D475&lt;(Inputs!$E$10-Inputs!$D$10)/(Inputs!$F$10-Inputs!$D$10),Inputs!$D$10+SQRT(D475*(Inputs!$F$10-Inputs!$D$10)*(Inputs!$E$10-Inputs!$D$10)),Inputs!$F$10-SQRT((1-D475)*(Inputs!$F$10-Inputs!$D$10)*(Inputs!$F$10-Inputs!$E$10)))</f>
        <v>0.159615907650811</v>
      </c>
      <c r="F475" s="81" t="n">
        <f aca="true">RAND()</f>
        <v>0.119833705630287</v>
      </c>
      <c r="G475" s="83" t="n">
        <f aca="false">IF(F475&lt;(Inputs!$E$15-Inputs!$D$15)/(Inputs!$F$15-Inputs!$D$15),Inputs!$D$15+SQRT(F475*(Inputs!$F$15-Inputs!$D$15)*(Inputs!$E$15-Inputs!$D$15)),Inputs!$F$15-SQRT((1-F475)*(Inputs!$F$15-Inputs!$D$15)*(Inputs!$F$15-Inputs!$E$15)))</f>
        <v>0.648955838391409</v>
      </c>
      <c r="H475" s="81" t="n">
        <f aca="true">RAND()</f>
        <v>0.643945212044823</v>
      </c>
      <c r="I475" s="82" t="n">
        <f aca="false">ROUND(IF(H475&lt;(Inputs!$E$17-Inputs!$D$17)/(Inputs!$F$17-Inputs!$D$17),Inputs!$D$17+SQRT(H475*(Inputs!$F$17-Inputs!$D$17)*(Inputs!$E$17-Inputs!$D$17)),Inputs!$F$17-SQRT((1-H475)*(Inputs!$F$17-Inputs!$D$17)*(Inputs!$F$17-Inputs!$E$17))),0)</f>
        <v>108</v>
      </c>
      <c r="J475" s="81" t="n">
        <f aca="true">RAND()</f>
        <v>0.947612038559084</v>
      </c>
      <c r="K475" s="83" t="n">
        <f aca="false">IF(J475&lt;(Inputs!$E$18-Inputs!$D$18)/(Inputs!$F$18-Inputs!$D$18),Inputs!$D$18+SQRT(J475*(Inputs!$F$18-Inputs!$D$18)*(Inputs!$E$18-Inputs!$D$18)),Inputs!$F$18-SQRT((1-J475)*(Inputs!$F$18-Inputs!$D$18)*(Inputs!$F$18-Inputs!$E$18)))</f>
        <v>1.18229515064576</v>
      </c>
      <c r="L475" s="81" t="n">
        <f aca="true">RAND()</f>
        <v>0.982152987616531</v>
      </c>
      <c r="M475" s="83" t="n">
        <f aca="false">IF(L475&lt;(Inputs!$E$24-Inputs!$D$24)/(Inputs!$F$24-Inputs!$D$24),Inputs!$D$24+SQRT(L475*(Inputs!$F$24-Inputs!$D$24)*(Inputs!$E$24-Inputs!$D$24)),Inputs!$F$24-SQRT((1-L475)*(Inputs!$F$24-Inputs!$D$24)*(Inputs!$F$24-Inputs!$E$24)))</f>
        <v>1.13455320502857</v>
      </c>
      <c r="N475" s="81" t="n">
        <f aca="true">RAND()</f>
        <v>0.0790636279988853</v>
      </c>
      <c r="O475" s="83" t="n">
        <f aca="false">IF(N475&lt;(Inputs!$E$26-Inputs!$D$26)/(Inputs!$F$26-Inputs!$D$26),Inputs!$D$26+SQRT(N475*(Inputs!$F$26-Inputs!$D$26)*(Inputs!$E$26-Inputs!$D$26)),Inputs!$F$26-SQRT((1-N475)*(Inputs!$F$26-Inputs!$D$26)*(Inputs!$F$26-Inputs!$E$26)))</f>
        <v>0.414700425888549</v>
      </c>
      <c r="P475" s="81" t="n">
        <f aca="true">RAND()</f>
        <v>0.198811474950392</v>
      </c>
      <c r="Q475" s="82" t="n">
        <f aca="false">IF(P475&lt;(Inputs!$E$27-Inputs!$D$27)/(Inputs!$F$27-Inputs!$D$27),Inputs!$D$27+SQRT(P475*(Inputs!$F$27-Inputs!$D$27)*(Inputs!$E$27-Inputs!$D$27)),Inputs!$F$27-SQRT((1-P475)*(Inputs!$F$27-Inputs!$D$27)*(Inputs!$F$27-Inputs!$E$27)))</f>
        <v>72.2941402026627</v>
      </c>
      <c r="R475" s="81" t="n">
        <f aca="true">RAND()</f>
        <v>0.270860101277277</v>
      </c>
      <c r="S475" s="82" t="n">
        <f aca="false">IF(R475&lt;(Inputs!$E$29-Inputs!$D$29)/(Inputs!$F$29-Inputs!$D$29),Inputs!$D$29+SQRT(R475*(Inputs!$F$29-Inputs!$D$29)*(Inputs!$E$29-Inputs!$D$29)),Inputs!$F$29-SQRT((1-R475)*(Inputs!$F$29-Inputs!$D$29)*(Inputs!$F$29-Inputs!$E$29)))</f>
        <v>5.26407750472746</v>
      </c>
      <c r="T475" s="68" t="n">
        <f aca="false">Inputs!$E$9*(1+E475)+Inputs!$E$5*C475*(Inputs!$E$11*Inputs!$E$14*(G475*I475/Inputs!$E$16+(1-G475))*K475+Inputs!$E$23*M475)*(1+O475)+Inputs!$E$5*(Q475+S475)</f>
        <v>6568.71990229424</v>
      </c>
    </row>
    <row r="476" customFormat="false" ht="15" hidden="false" customHeight="false" outlineLevel="0" collapsed="false">
      <c r="A476" s="1" t="n">
        <v>472</v>
      </c>
      <c r="B476" s="81" t="n">
        <f aca="true">RAND()</f>
        <v>0.962684755643781</v>
      </c>
      <c r="C476" s="82" t="n">
        <f aca="false">ROUND(IF(B476&lt;(Inputs!$E$8-Inputs!$D$8)/(Inputs!$F$8-Inputs!$D$8),Inputs!$D$8+SQRT(B476*(Inputs!$F$8-Inputs!$D$8)*(Inputs!$E$8-Inputs!$D$8)),Inputs!$F$8-SQRT((1-B476)*(Inputs!$F$8-Inputs!$D$8)*(Inputs!$F$8-Inputs!$E$8))),0)</f>
        <v>29</v>
      </c>
      <c r="D476" s="81" t="n">
        <f aca="true">RAND()</f>
        <v>0.698953928214174</v>
      </c>
      <c r="E476" s="83" t="n">
        <f aca="false">IF(D476&lt;(Inputs!$E$10-Inputs!$D$10)/(Inputs!$F$10-Inputs!$D$10),Inputs!$D$10+SQRT(D476*(Inputs!$F$10-Inputs!$D$10)*(Inputs!$E$10-Inputs!$D$10)),Inputs!$F$10-SQRT((1-D476)*(Inputs!$F$10-Inputs!$D$10)*(Inputs!$F$10-Inputs!$E$10)))</f>
        <v>0.104966415654387</v>
      </c>
      <c r="F476" s="81" t="n">
        <f aca="true">RAND()</f>
        <v>0.807952872861745</v>
      </c>
      <c r="G476" s="83" t="n">
        <f aca="false">IF(F476&lt;(Inputs!$E$15-Inputs!$D$15)/(Inputs!$F$15-Inputs!$D$15),Inputs!$D$15+SQRT(F476*(Inputs!$F$15-Inputs!$D$15)*(Inputs!$E$15-Inputs!$D$15)),Inputs!$F$15-SQRT((1-F476)*(Inputs!$F$15-Inputs!$D$15)*(Inputs!$F$15-Inputs!$E$15)))</f>
        <v>0.738024661818066</v>
      </c>
      <c r="H476" s="81" t="n">
        <f aca="true">RAND()</f>
        <v>0.20493279293836</v>
      </c>
      <c r="I476" s="82" t="n">
        <f aca="false">ROUND(IF(H476&lt;(Inputs!$E$17-Inputs!$D$17)/(Inputs!$F$17-Inputs!$D$17),Inputs!$D$17+SQRT(H476*(Inputs!$F$17-Inputs!$D$17)*(Inputs!$E$17-Inputs!$D$17)),Inputs!$F$17-SQRT((1-H476)*(Inputs!$F$17-Inputs!$D$17)*(Inputs!$F$17-Inputs!$E$17))),0)</f>
        <v>104</v>
      </c>
      <c r="J476" s="81" t="n">
        <f aca="true">RAND()</f>
        <v>0.166451950459692</v>
      </c>
      <c r="K476" s="83" t="n">
        <f aca="false">IF(J476&lt;(Inputs!$E$18-Inputs!$D$18)/(Inputs!$F$18-Inputs!$D$18),Inputs!$D$18+SQRT(J476*(Inputs!$F$18-Inputs!$D$18)*(Inputs!$E$18-Inputs!$D$18)),Inputs!$F$18-SQRT((1-J476)*(Inputs!$F$18-Inputs!$D$18)*(Inputs!$F$18-Inputs!$E$18)))</f>
        <v>0.976327048063509</v>
      </c>
      <c r="L476" s="81" t="n">
        <f aca="true">RAND()</f>
        <v>0.69551876797519</v>
      </c>
      <c r="M476" s="83" t="n">
        <f aca="false">IF(L476&lt;(Inputs!$E$24-Inputs!$D$24)/(Inputs!$F$24-Inputs!$D$24),Inputs!$D$24+SQRT(L476*(Inputs!$F$24-Inputs!$D$24)*(Inputs!$E$24-Inputs!$D$24)),Inputs!$F$24-SQRT((1-L476)*(Inputs!$F$24-Inputs!$D$24)*(Inputs!$F$24-Inputs!$E$24)))</f>
        <v>0.929675203346133</v>
      </c>
      <c r="N476" s="81" t="n">
        <f aca="true">RAND()</f>
        <v>0.841024202112436</v>
      </c>
      <c r="O476" s="83" t="n">
        <f aca="false">IF(N476&lt;(Inputs!$E$26-Inputs!$D$26)/(Inputs!$F$26-Inputs!$D$26),Inputs!$D$26+SQRT(N476*(Inputs!$F$26-Inputs!$D$26)*(Inputs!$E$26-Inputs!$D$26)),Inputs!$F$26-SQRT((1-N476)*(Inputs!$F$26-Inputs!$D$26)*(Inputs!$F$26-Inputs!$E$26)))</f>
        <v>0.691417407942184</v>
      </c>
      <c r="P476" s="81" t="n">
        <f aca="true">RAND()</f>
        <v>0.457385090568722</v>
      </c>
      <c r="Q476" s="82" t="n">
        <f aca="false">IF(P476&lt;(Inputs!$E$27-Inputs!$D$27)/(Inputs!$F$27-Inputs!$D$27),Inputs!$D$27+SQRT(P476*(Inputs!$F$27-Inputs!$D$27)*(Inputs!$E$27-Inputs!$D$27)),Inputs!$F$27-SQRT((1-P476)*(Inputs!$F$27-Inputs!$D$27)*(Inputs!$F$27-Inputs!$E$27)))</f>
        <v>86.206490763287</v>
      </c>
      <c r="R476" s="81" t="n">
        <f aca="true">RAND()</f>
        <v>0.320313313637408</v>
      </c>
      <c r="S476" s="82" t="n">
        <f aca="false">IF(R476&lt;(Inputs!$E$29-Inputs!$D$29)/(Inputs!$F$29-Inputs!$D$29),Inputs!$D$29+SQRT(R476*(Inputs!$F$29-Inputs!$D$29)*(Inputs!$E$29-Inputs!$D$29)),Inputs!$F$29-SQRT((1-R476)*(Inputs!$F$29-Inputs!$D$29)*(Inputs!$F$29-Inputs!$E$29)))</f>
        <v>5.60003887097734</v>
      </c>
      <c r="T476" s="68" t="n">
        <f aca="false">Inputs!$E$9*(1+E476)+Inputs!$E$5*C476*(Inputs!$E$11*Inputs!$E$14*(G476*I476/Inputs!$E$16+(1-G476))*K476+Inputs!$E$23*M476)*(1+O476)+Inputs!$E$5*(Q476+S476)</f>
        <v>7012.08304763277</v>
      </c>
    </row>
    <row r="477" customFormat="false" ht="15" hidden="false" customHeight="false" outlineLevel="0" collapsed="false">
      <c r="A477" s="1" t="n">
        <v>473</v>
      </c>
      <c r="B477" s="81" t="n">
        <f aca="true">RAND()</f>
        <v>0.746671923855912</v>
      </c>
      <c r="C477" s="82" t="n">
        <f aca="false">ROUND(IF(B477&lt;(Inputs!$E$8-Inputs!$D$8)/(Inputs!$F$8-Inputs!$D$8),Inputs!$D$8+SQRT(B477*(Inputs!$F$8-Inputs!$D$8)*(Inputs!$E$8-Inputs!$D$8)),Inputs!$F$8-SQRT((1-B477)*(Inputs!$F$8-Inputs!$D$8)*(Inputs!$F$8-Inputs!$E$8))),0)</f>
        <v>26</v>
      </c>
      <c r="D477" s="81" t="n">
        <f aca="true">RAND()</f>
        <v>0.440960108211159</v>
      </c>
      <c r="E477" s="83" t="n">
        <f aca="false">IF(D477&lt;(Inputs!$E$10-Inputs!$D$10)/(Inputs!$F$10-Inputs!$D$10),Inputs!$D$10+SQRT(D477*(Inputs!$F$10-Inputs!$D$10)*(Inputs!$E$10-Inputs!$D$10)),Inputs!$F$10-SQRT((1-D477)*(Inputs!$F$10-Inputs!$D$10)*(Inputs!$F$10-Inputs!$E$10)))</f>
        <v>0.0704963446320328</v>
      </c>
      <c r="F477" s="81" t="n">
        <f aca="true">RAND()</f>
        <v>0.405729730077366</v>
      </c>
      <c r="G477" s="83" t="n">
        <f aca="false">IF(F477&lt;(Inputs!$E$15-Inputs!$D$15)/(Inputs!$F$15-Inputs!$D$15),Inputs!$D$15+SQRT(F477*(Inputs!$F$15-Inputs!$D$15)*(Inputs!$E$15-Inputs!$D$15)),Inputs!$F$15-SQRT((1-F477)*(Inputs!$F$15-Inputs!$D$15)*(Inputs!$F$15-Inputs!$E$15)))</f>
        <v>0.69008104462953</v>
      </c>
      <c r="H477" s="81" t="n">
        <f aca="true">RAND()</f>
        <v>0.976658294001048</v>
      </c>
      <c r="I477" s="82" t="n">
        <f aca="false">ROUND(IF(H477&lt;(Inputs!$E$17-Inputs!$D$17)/(Inputs!$F$17-Inputs!$D$17),Inputs!$D$17+SQRT(H477*(Inputs!$F$17-Inputs!$D$17)*(Inputs!$E$17-Inputs!$D$17)),Inputs!$F$17-SQRT((1-H477)*(Inputs!$F$17-Inputs!$D$17)*(Inputs!$F$17-Inputs!$E$17))),0)</f>
        <v>113</v>
      </c>
      <c r="J477" s="81" t="n">
        <f aca="true">RAND()</f>
        <v>0.58333010150811</v>
      </c>
      <c r="K477" s="83" t="n">
        <f aca="false">IF(J477&lt;(Inputs!$E$18-Inputs!$D$18)/(Inputs!$F$18-Inputs!$D$18),Inputs!$D$18+SQRT(J477*(Inputs!$F$18-Inputs!$D$18)*(Inputs!$E$18-Inputs!$D$18)),Inputs!$F$18-SQRT((1-J477)*(Inputs!$F$18-Inputs!$D$18)*(Inputs!$F$18-Inputs!$E$18)))</f>
        <v>1.05905860554076</v>
      </c>
      <c r="L477" s="81" t="n">
        <f aca="true">RAND()</f>
        <v>0.225376109948061</v>
      </c>
      <c r="M477" s="83" t="n">
        <f aca="false">IF(L477&lt;(Inputs!$E$24-Inputs!$D$24)/(Inputs!$F$24-Inputs!$D$24),Inputs!$D$24+SQRT(L477*(Inputs!$F$24-Inputs!$D$24)*(Inputs!$E$24-Inputs!$D$24)),Inputs!$F$24-SQRT((1-L477)*(Inputs!$F$24-Inputs!$D$24)*(Inputs!$F$24-Inputs!$E$24)))</f>
        <v>0.764454045841893</v>
      </c>
      <c r="N477" s="81" t="n">
        <f aca="true">RAND()</f>
        <v>0.201124538709826</v>
      </c>
      <c r="O477" s="83" t="n">
        <f aca="false">IF(N477&lt;(Inputs!$E$26-Inputs!$D$26)/(Inputs!$F$26-Inputs!$D$26),Inputs!$D$26+SQRT(N477*(Inputs!$F$26-Inputs!$D$26)*(Inputs!$E$26-Inputs!$D$26)),Inputs!$F$26-SQRT((1-N477)*(Inputs!$F$26-Inputs!$D$26)*(Inputs!$F$26-Inputs!$E$26)))</f>
        <v>0.482940217670459</v>
      </c>
      <c r="P477" s="81" t="n">
        <f aca="true">RAND()</f>
        <v>0.538179251321384</v>
      </c>
      <c r="Q477" s="82" t="n">
        <f aca="false">IF(P477&lt;(Inputs!$E$27-Inputs!$D$27)/(Inputs!$F$27-Inputs!$D$27),Inputs!$D$27+SQRT(P477*(Inputs!$F$27-Inputs!$D$27)*(Inputs!$E$27-Inputs!$D$27)),Inputs!$F$27-SQRT((1-P477)*(Inputs!$F$27-Inputs!$D$27)*(Inputs!$F$27-Inputs!$E$27)))</f>
        <v>91.1471698633819</v>
      </c>
      <c r="R477" s="81" t="n">
        <f aca="true">RAND()</f>
        <v>0.280630286208755</v>
      </c>
      <c r="S477" s="82" t="n">
        <f aca="false">IF(R477&lt;(Inputs!$E$29-Inputs!$D$29)/(Inputs!$F$29-Inputs!$D$29),Inputs!$D$29+SQRT(R477*(Inputs!$F$29-Inputs!$D$29)*(Inputs!$E$29-Inputs!$D$29)),Inputs!$F$29-SQRT((1-R477)*(Inputs!$F$29-Inputs!$D$29)*(Inputs!$F$29-Inputs!$E$29)))</f>
        <v>5.32952623741413</v>
      </c>
      <c r="T477" s="68" t="n">
        <f aca="false">Inputs!$E$9*(1+E477)+Inputs!$E$5*C477*(Inputs!$E$11*Inputs!$E$14*(G477*I477/Inputs!$E$16+(1-G477))*K477+Inputs!$E$23*M477)*(1+O477)+Inputs!$E$5*(Q477+S477)</f>
        <v>6188.40458904475</v>
      </c>
    </row>
    <row r="478" customFormat="false" ht="15" hidden="false" customHeight="false" outlineLevel="0" collapsed="false">
      <c r="A478" s="1" t="n">
        <v>474</v>
      </c>
      <c r="B478" s="81" t="n">
        <f aca="true">RAND()</f>
        <v>0.37326080792571</v>
      </c>
      <c r="C478" s="82" t="n">
        <f aca="false">ROUND(IF(B478&lt;(Inputs!$E$8-Inputs!$D$8)/(Inputs!$F$8-Inputs!$D$8),Inputs!$D$8+SQRT(B478*(Inputs!$F$8-Inputs!$D$8)*(Inputs!$E$8-Inputs!$D$8)),Inputs!$F$8-SQRT((1-B478)*(Inputs!$F$8-Inputs!$D$8)*(Inputs!$F$8-Inputs!$E$8))),0)</f>
        <v>24</v>
      </c>
      <c r="D478" s="81" t="n">
        <f aca="true">RAND()</f>
        <v>0.104664237325008</v>
      </c>
      <c r="E478" s="83" t="n">
        <f aca="false">IF(D478&lt;(Inputs!$E$10-Inputs!$D$10)/(Inputs!$F$10-Inputs!$D$10),Inputs!$D$10+SQRT(D478*(Inputs!$F$10-Inputs!$D$10)*(Inputs!$E$10-Inputs!$D$10)),Inputs!$F$10-SQRT((1-D478)*(Inputs!$F$10-Inputs!$D$10)*(Inputs!$F$10-Inputs!$E$10)))</f>
        <v>0.0323518527019718</v>
      </c>
      <c r="F478" s="81" t="n">
        <f aca="true">RAND()</f>
        <v>0.149870814547552</v>
      </c>
      <c r="G478" s="83" t="n">
        <f aca="false">IF(F478&lt;(Inputs!$E$15-Inputs!$D$15)/(Inputs!$F$15-Inputs!$D$15),Inputs!$D$15+SQRT(F478*(Inputs!$F$15-Inputs!$D$15)*(Inputs!$E$15-Inputs!$D$15)),Inputs!$F$15-SQRT((1-F478)*(Inputs!$F$15-Inputs!$D$15)*(Inputs!$F$15-Inputs!$E$15)))</f>
        <v>0.654748664741261</v>
      </c>
      <c r="H478" s="81" t="n">
        <f aca="true">RAND()</f>
        <v>0.120913948174428</v>
      </c>
      <c r="I478" s="82" t="n">
        <f aca="false">ROUND(IF(H478&lt;(Inputs!$E$17-Inputs!$D$17)/(Inputs!$F$17-Inputs!$D$17),Inputs!$D$17+SQRT(H478*(Inputs!$F$17-Inputs!$D$17)*(Inputs!$E$17-Inputs!$D$17)),Inputs!$F$17-SQRT((1-H478)*(Inputs!$F$17-Inputs!$D$17)*(Inputs!$F$17-Inputs!$E$17))),0)</f>
        <v>103</v>
      </c>
      <c r="J478" s="81" t="n">
        <f aca="true">RAND()</f>
        <v>0.000833409150181772</v>
      </c>
      <c r="K478" s="83" t="n">
        <f aca="false">IF(J478&lt;(Inputs!$E$18-Inputs!$D$18)/(Inputs!$F$18-Inputs!$D$18),Inputs!$D$18+SQRT(J478*(Inputs!$F$18-Inputs!$D$18)*(Inputs!$E$18-Inputs!$D$18)),Inputs!$F$18-SQRT((1-J478)*(Inputs!$F$18-Inputs!$D$18)*(Inputs!$F$18-Inputs!$E$18)))</f>
        <v>0.905400862917753</v>
      </c>
      <c r="L478" s="81" t="n">
        <f aca="true">RAND()</f>
        <v>0.0600063158171611</v>
      </c>
      <c r="M478" s="83" t="n">
        <f aca="false">IF(L478&lt;(Inputs!$E$24-Inputs!$D$24)/(Inputs!$F$24-Inputs!$D$24),Inputs!$D$24+SQRT(L478*(Inputs!$F$24-Inputs!$D$24)*(Inputs!$E$24-Inputs!$D$24)),Inputs!$F$24-SQRT((1-L478)*(Inputs!$F$24-Inputs!$D$24)*(Inputs!$F$24-Inputs!$E$24)))</f>
        <v>0.68485727958201</v>
      </c>
      <c r="N478" s="81" t="n">
        <f aca="true">RAND()</f>
        <v>0.75541901735314</v>
      </c>
      <c r="O478" s="83" t="n">
        <f aca="false">IF(N478&lt;(Inputs!$E$26-Inputs!$D$26)/(Inputs!$F$26-Inputs!$D$26),Inputs!$D$26+SQRT(N478*(Inputs!$F$26-Inputs!$D$26)*(Inputs!$E$26-Inputs!$D$26)),Inputs!$F$26-SQRT((1-N478)*(Inputs!$F$26-Inputs!$D$26)*(Inputs!$F$26-Inputs!$E$26)))</f>
        <v>0.660511999839256</v>
      </c>
      <c r="P478" s="81" t="n">
        <f aca="true">RAND()</f>
        <v>0.288318539892349</v>
      </c>
      <c r="Q478" s="82" t="n">
        <f aca="false">IF(P478&lt;(Inputs!$E$27-Inputs!$D$27)/(Inputs!$F$27-Inputs!$D$27),Inputs!$D$27+SQRT(P478*(Inputs!$F$27-Inputs!$D$27)*(Inputs!$E$27-Inputs!$D$27)),Inputs!$F$27-SQRT((1-P478)*(Inputs!$F$27-Inputs!$D$27)*(Inputs!$F$27-Inputs!$E$27)))</f>
        <v>76.9410446912401</v>
      </c>
      <c r="R478" s="81" t="n">
        <f aca="true">RAND()</f>
        <v>0.416729606186394</v>
      </c>
      <c r="S478" s="82" t="n">
        <f aca="false">IF(R478&lt;(Inputs!$E$29-Inputs!$D$29)/(Inputs!$F$29-Inputs!$D$29),Inputs!$D$29+SQRT(R478*(Inputs!$F$29-Inputs!$D$29)*(Inputs!$E$29-Inputs!$D$29)),Inputs!$F$29-SQRT((1-R478)*(Inputs!$F$29-Inputs!$D$29)*(Inputs!$F$29-Inputs!$E$29)))</f>
        <v>6.29223615411116</v>
      </c>
      <c r="T478" s="68" t="n">
        <f aca="false">Inputs!$E$9*(1+E478)+Inputs!$E$5*C478*(Inputs!$E$11*Inputs!$E$14*(G478*I478/Inputs!$E$16+(1-G478))*K478+Inputs!$E$23*M478)*(1+O478)+Inputs!$E$5*(Q478+S478)</f>
        <v>5632.72778431274</v>
      </c>
    </row>
    <row r="479" customFormat="false" ht="15" hidden="false" customHeight="false" outlineLevel="0" collapsed="false">
      <c r="A479" s="1" t="n">
        <v>475</v>
      </c>
      <c r="B479" s="81" t="n">
        <f aca="true">RAND()</f>
        <v>0.71395819415962</v>
      </c>
      <c r="C479" s="82" t="n">
        <f aca="false">ROUND(IF(B479&lt;(Inputs!$E$8-Inputs!$D$8)/(Inputs!$F$8-Inputs!$D$8),Inputs!$D$8+SQRT(B479*(Inputs!$F$8-Inputs!$D$8)*(Inputs!$E$8-Inputs!$D$8)),Inputs!$F$8-SQRT((1-B479)*(Inputs!$F$8-Inputs!$D$8)*(Inputs!$F$8-Inputs!$E$8))),0)</f>
        <v>26</v>
      </c>
      <c r="D479" s="81" t="n">
        <f aca="true">RAND()</f>
        <v>0.285777714884205</v>
      </c>
      <c r="E479" s="83" t="n">
        <f aca="false">IF(D479&lt;(Inputs!$E$10-Inputs!$D$10)/(Inputs!$F$10-Inputs!$D$10),Inputs!$D$10+SQRT(D479*(Inputs!$F$10-Inputs!$D$10)*(Inputs!$E$10-Inputs!$D$10)),Inputs!$F$10-SQRT((1-D479)*(Inputs!$F$10-Inputs!$D$10)*(Inputs!$F$10-Inputs!$E$10)))</f>
        <v>0.0536214887578309</v>
      </c>
      <c r="F479" s="81" t="n">
        <f aca="true">RAND()</f>
        <v>0.280242437272493</v>
      </c>
      <c r="G479" s="83" t="n">
        <f aca="false">IF(F479&lt;(Inputs!$E$15-Inputs!$D$15)/(Inputs!$F$15-Inputs!$D$15),Inputs!$D$15+SQRT(F479*(Inputs!$F$15-Inputs!$D$15)*(Inputs!$E$15-Inputs!$D$15)),Inputs!$F$15-SQRT((1-F479)*(Inputs!$F$15-Inputs!$D$15)*(Inputs!$F$15-Inputs!$E$15)))</f>
        <v>0.674865537769055</v>
      </c>
      <c r="H479" s="81" t="n">
        <f aca="true">RAND()</f>
        <v>0.61491065831644</v>
      </c>
      <c r="I479" s="82" t="n">
        <f aca="false">ROUND(IF(H479&lt;(Inputs!$E$17-Inputs!$D$17)/(Inputs!$F$17-Inputs!$D$17),Inputs!$D$17+SQRT(H479*(Inputs!$F$17-Inputs!$D$17)*(Inputs!$E$17-Inputs!$D$17)),Inputs!$F$17-SQRT((1-H479)*(Inputs!$F$17-Inputs!$D$17)*(Inputs!$F$17-Inputs!$E$17))),0)</f>
        <v>107</v>
      </c>
      <c r="J479" s="81" t="n">
        <f aca="true">RAND()</f>
        <v>0.423394992004618</v>
      </c>
      <c r="K479" s="83" t="n">
        <f aca="false">IF(J479&lt;(Inputs!$E$18-Inputs!$D$18)/(Inputs!$F$18-Inputs!$D$18),Inputs!$D$18+SQRT(J479*(Inputs!$F$18-Inputs!$D$18)*(Inputs!$E$18-Inputs!$D$18)),Inputs!$F$18-SQRT((1-J479)*(Inputs!$F$18-Inputs!$D$18)*(Inputs!$F$18-Inputs!$E$18)))</f>
        <v>1.02538268499602</v>
      </c>
      <c r="L479" s="81" t="n">
        <f aca="true">RAND()</f>
        <v>0.904328932844063</v>
      </c>
      <c r="M479" s="83" t="n">
        <f aca="false">IF(L479&lt;(Inputs!$E$24-Inputs!$D$24)/(Inputs!$F$24-Inputs!$D$24),Inputs!$D$24+SQRT(L479*(Inputs!$F$24-Inputs!$D$24)*(Inputs!$E$24-Inputs!$D$24)),Inputs!$F$24-SQRT((1-L479)*(Inputs!$F$24-Inputs!$D$24)*(Inputs!$F$24-Inputs!$E$24)))</f>
        <v>1.04847093969332</v>
      </c>
      <c r="N479" s="81" t="n">
        <f aca="true">RAND()</f>
        <v>0.452940044065989</v>
      </c>
      <c r="O479" s="83" t="n">
        <f aca="false">IF(N479&lt;(Inputs!$E$26-Inputs!$D$26)/(Inputs!$F$26-Inputs!$D$26),Inputs!$D$26+SQRT(N479*(Inputs!$F$26-Inputs!$D$26)*(Inputs!$E$26-Inputs!$D$26)),Inputs!$F$26-SQRT((1-N479)*(Inputs!$F$26-Inputs!$D$26)*(Inputs!$F$26-Inputs!$E$26)))</f>
        <v>0.574534557629055</v>
      </c>
      <c r="P479" s="81" t="n">
        <f aca="true">RAND()</f>
        <v>0.686786359025043</v>
      </c>
      <c r="Q479" s="82" t="n">
        <f aca="false">IF(P479&lt;(Inputs!$E$27-Inputs!$D$27)/(Inputs!$F$27-Inputs!$D$27),Inputs!$D$27+SQRT(P479*(Inputs!$F$27-Inputs!$D$27)*(Inputs!$E$27-Inputs!$D$27)),Inputs!$F$27-SQRT((1-P479)*(Inputs!$F$27-Inputs!$D$27)*(Inputs!$F$27-Inputs!$E$27)))</f>
        <v>101.532461303341</v>
      </c>
      <c r="R479" s="81" t="n">
        <f aca="true">RAND()</f>
        <v>0.64016618752645</v>
      </c>
      <c r="S479" s="82" t="n">
        <f aca="false">IF(R479&lt;(Inputs!$E$29-Inputs!$D$29)/(Inputs!$F$29-Inputs!$D$29),Inputs!$D$29+SQRT(R479*(Inputs!$F$29-Inputs!$D$29)*(Inputs!$E$29-Inputs!$D$29)),Inputs!$F$29-SQRT((1-R479)*(Inputs!$F$29-Inputs!$D$29)*(Inputs!$F$29-Inputs!$E$29)))</f>
        <v>8.16052665612611</v>
      </c>
      <c r="T479" s="68" t="n">
        <f aca="false">Inputs!$E$9*(1+E479)+Inputs!$E$5*C479*(Inputs!$E$11*Inputs!$E$14*(G479*I479/Inputs!$E$16+(1-G479))*K479+Inputs!$E$23*M479)*(1+O479)+Inputs!$E$5*(Q479+S479)</f>
        <v>6709.58488338392</v>
      </c>
    </row>
    <row r="480" customFormat="false" ht="15" hidden="false" customHeight="false" outlineLevel="0" collapsed="false">
      <c r="A480" s="1" t="n">
        <v>476</v>
      </c>
      <c r="B480" s="81" t="n">
        <f aca="true">RAND()</f>
        <v>0.680405913973819</v>
      </c>
      <c r="C480" s="82" t="n">
        <f aca="false">ROUND(IF(B480&lt;(Inputs!$E$8-Inputs!$D$8)/(Inputs!$F$8-Inputs!$D$8),Inputs!$D$8+SQRT(B480*(Inputs!$F$8-Inputs!$D$8)*(Inputs!$E$8-Inputs!$D$8)),Inputs!$F$8-SQRT((1-B480)*(Inputs!$F$8-Inputs!$D$8)*(Inputs!$F$8-Inputs!$E$8))),0)</f>
        <v>26</v>
      </c>
      <c r="D480" s="81" t="n">
        <f aca="true">RAND()</f>
        <v>0.119706325358535</v>
      </c>
      <c r="E480" s="83" t="n">
        <f aca="false">IF(D480&lt;(Inputs!$E$10-Inputs!$D$10)/(Inputs!$F$10-Inputs!$D$10),Inputs!$D$10+SQRT(D480*(Inputs!$F$10-Inputs!$D$10)*(Inputs!$E$10-Inputs!$D$10)),Inputs!$F$10-SQRT((1-D480)*(Inputs!$F$10-Inputs!$D$10)*(Inputs!$F$10-Inputs!$E$10)))</f>
        <v>0.0345986019021774</v>
      </c>
      <c r="F480" s="81" t="n">
        <f aca="true">RAND()</f>
        <v>0.173618369844701</v>
      </c>
      <c r="G480" s="83" t="n">
        <f aca="false">IF(F480&lt;(Inputs!$E$15-Inputs!$D$15)/(Inputs!$F$15-Inputs!$D$15),Inputs!$D$15+SQRT(F480*(Inputs!$F$15-Inputs!$D$15)*(Inputs!$E$15-Inputs!$D$15)),Inputs!$F$15-SQRT((1-F480)*(Inputs!$F$15-Inputs!$D$15)*(Inputs!$F$15-Inputs!$E$15)))</f>
        <v>0.658926796933942</v>
      </c>
      <c r="H480" s="81" t="n">
        <f aca="true">RAND()</f>
        <v>0.878097548117281</v>
      </c>
      <c r="I480" s="82" t="n">
        <f aca="false">ROUND(IF(H480&lt;(Inputs!$E$17-Inputs!$D$17)/(Inputs!$F$17-Inputs!$D$17),Inputs!$D$17+SQRT(H480*(Inputs!$F$17-Inputs!$D$17)*(Inputs!$E$17-Inputs!$D$17)),Inputs!$F$17-SQRT((1-H480)*(Inputs!$F$17-Inputs!$D$17)*(Inputs!$F$17-Inputs!$E$17))),0)</f>
        <v>111</v>
      </c>
      <c r="J480" s="81" t="n">
        <f aca="true">RAND()</f>
        <v>0.362876393282169</v>
      </c>
      <c r="K480" s="83" t="n">
        <f aca="false">IF(J480&lt;(Inputs!$E$18-Inputs!$D$18)/(Inputs!$F$18-Inputs!$D$18),Inputs!$D$18+SQRT(J480*(Inputs!$F$18-Inputs!$D$18)*(Inputs!$E$18-Inputs!$D$18)),Inputs!$F$18-SQRT((1-J480)*(Inputs!$F$18-Inputs!$D$18)*(Inputs!$F$18-Inputs!$E$18)))</f>
        <v>1.01388918790574</v>
      </c>
      <c r="L480" s="81" t="n">
        <f aca="true">RAND()</f>
        <v>0.115935679134153</v>
      </c>
      <c r="M480" s="83" t="n">
        <f aca="false">IF(L480&lt;(Inputs!$E$24-Inputs!$D$24)/(Inputs!$F$24-Inputs!$D$24),Inputs!$D$24+SQRT(L480*(Inputs!$F$24-Inputs!$D$24)*(Inputs!$E$24-Inputs!$D$24)),Inputs!$F$24-SQRT((1-L480)*(Inputs!$F$24-Inputs!$D$24)*(Inputs!$F$24-Inputs!$E$24)))</f>
        <v>0.71795033487065</v>
      </c>
      <c r="N480" s="81" t="n">
        <f aca="true">RAND()</f>
        <v>0.0939398400051207</v>
      </c>
      <c r="O480" s="83" t="n">
        <f aca="false">IF(N480&lt;(Inputs!$E$26-Inputs!$D$26)/(Inputs!$F$26-Inputs!$D$26),Inputs!$D$26+SQRT(N480*(Inputs!$F$26-Inputs!$D$26)*(Inputs!$E$26-Inputs!$D$26)),Inputs!$F$26-SQRT((1-N480)*(Inputs!$F$26-Inputs!$D$26)*(Inputs!$F$26-Inputs!$E$26)))</f>
        <v>0.425026354729121</v>
      </c>
      <c r="P480" s="81" t="n">
        <f aca="true">RAND()</f>
        <v>0.3660976380205</v>
      </c>
      <c r="Q480" s="82" t="n">
        <f aca="false">IF(P480&lt;(Inputs!$E$27-Inputs!$D$27)/(Inputs!$F$27-Inputs!$D$27),Inputs!$D$27+SQRT(P480*(Inputs!$F$27-Inputs!$D$27)*(Inputs!$E$27-Inputs!$D$27)),Inputs!$F$27-SQRT((1-P480)*(Inputs!$F$27-Inputs!$D$27)*(Inputs!$F$27-Inputs!$E$27)))</f>
        <v>81.048801933206</v>
      </c>
      <c r="R480" s="81" t="n">
        <f aca="true">RAND()</f>
        <v>0.207979198899442</v>
      </c>
      <c r="S480" s="82" t="n">
        <f aca="false">IF(R480&lt;(Inputs!$E$29-Inputs!$D$29)/(Inputs!$F$29-Inputs!$D$29),Inputs!$D$29+SQRT(R480*(Inputs!$F$29-Inputs!$D$29)*(Inputs!$E$29-Inputs!$D$29)),Inputs!$F$29-SQRT((1-R480)*(Inputs!$F$29-Inputs!$D$29)*(Inputs!$F$29-Inputs!$E$29)))</f>
        <v>4.84801488006615</v>
      </c>
      <c r="T480" s="68" t="n">
        <f aca="false">Inputs!$E$9*(1+E480)+Inputs!$E$5*C480*(Inputs!$E$11*Inputs!$E$14*(G480*I480/Inputs!$E$16+(1-G480))*K480+Inputs!$E$23*M480)*(1+O480)+Inputs!$E$5*(Q480+S480)</f>
        <v>5784.43661562649</v>
      </c>
    </row>
    <row r="481" customFormat="false" ht="15" hidden="false" customHeight="false" outlineLevel="0" collapsed="false">
      <c r="A481" s="1" t="n">
        <v>477</v>
      </c>
      <c r="B481" s="81" t="n">
        <f aca="true">RAND()</f>
        <v>0.510145773561553</v>
      </c>
      <c r="C481" s="82" t="n">
        <f aca="false">ROUND(IF(B481&lt;(Inputs!$E$8-Inputs!$D$8)/(Inputs!$F$8-Inputs!$D$8),Inputs!$D$8+SQRT(B481*(Inputs!$F$8-Inputs!$D$8)*(Inputs!$E$8-Inputs!$D$8)),Inputs!$F$8-SQRT((1-B481)*(Inputs!$F$8-Inputs!$D$8)*(Inputs!$F$8-Inputs!$E$8))),0)</f>
        <v>25</v>
      </c>
      <c r="D481" s="81" t="n">
        <f aca="true">RAND()</f>
        <v>0.873695518110609</v>
      </c>
      <c r="E481" s="83" t="n">
        <f aca="false">IF(D481&lt;(Inputs!$E$10-Inputs!$D$10)/(Inputs!$F$10-Inputs!$D$10),Inputs!$D$10+SQRT(D481*(Inputs!$F$10-Inputs!$D$10)*(Inputs!$E$10-Inputs!$D$10)),Inputs!$F$10-SQRT((1-D481)*(Inputs!$F$10-Inputs!$D$10)*(Inputs!$F$10-Inputs!$E$10)))</f>
        <v>0.138444054254022</v>
      </c>
      <c r="F481" s="81" t="n">
        <f aca="true">RAND()</f>
        <v>0.243306338216356</v>
      </c>
      <c r="G481" s="83" t="n">
        <f aca="false">IF(F481&lt;(Inputs!$E$15-Inputs!$D$15)/(Inputs!$F$15-Inputs!$D$15),Inputs!$D$15+SQRT(F481*(Inputs!$F$15-Inputs!$D$15)*(Inputs!$E$15-Inputs!$D$15)),Inputs!$F$15-SQRT((1-F481)*(Inputs!$F$15-Inputs!$D$15)*(Inputs!$F$15-Inputs!$E$15)))</f>
        <v>0.669757628717776</v>
      </c>
      <c r="H481" s="81" t="n">
        <f aca="true">RAND()</f>
        <v>0.459016699100436</v>
      </c>
      <c r="I481" s="82" t="n">
        <f aca="false">ROUND(IF(H481&lt;(Inputs!$E$17-Inputs!$D$17)/(Inputs!$F$17-Inputs!$D$17),Inputs!$D$17+SQRT(H481*(Inputs!$F$17-Inputs!$D$17)*(Inputs!$E$17-Inputs!$D$17)),Inputs!$F$17-SQRT((1-H481)*(Inputs!$F$17-Inputs!$D$17)*(Inputs!$F$17-Inputs!$E$17))),0)</f>
        <v>106</v>
      </c>
      <c r="J481" s="81" t="n">
        <f aca="true">RAND()</f>
        <v>0.810591458835804</v>
      </c>
      <c r="K481" s="83" t="n">
        <f aca="false">IF(J481&lt;(Inputs!$E$18-Inputs!$D$18)/(Inputs!$F$18-Inputs!$D$18),Inputs!$D$18+SQRT(J481*(Inputs!$F$18-Inputs!$D$18)*(Inputs!$E$18-Inputs!$D$18)),Inputs!$F$18-SQRT((1-J481)*(Inputs!$F$18-Inputs!$D$18)*(Inputs!$F$18-Inputs!$E$18)))</f>
        <v>1.12126287500543</v>
      </c>
      <c r="L481" s="81" t="n">
        <f aca="true">RAND()</f>
        <v>0.964469176922657</v>
      </c>
      <c r="M481" s="83" t="n">
        <f aca="false">IF(L481&lt;(Inputs!$E$24-Inputs!$D$24)/(Inputs!$F$24-Inputs!$D$24),Inputs!$D$24+SQRT(L481*(Inputs!$F$24-Inputs!$D$24)*(Inputs!$E$24-Inputs!$D$24)),Inputs!$F$24-SQRT((1-L481)*(Inputs!$F$24-Inputs!$D$24)*(Inputs!$F$24-Inputs!$E$24)))</f>
        <v>1.10765609095039</v>
      </c>
      <c r="N481" s="81" t="n">
        <f aca="true">RAND()</f>
        <v>0.112550330538397</v>
      </c>
      <c r="O481" s="83" t="n">
        <f aca="false">IF(N481&lt;(Inputs!$E$26-Inputs!$D$26)/(Inputs!$F$26-Inputs!$D$26),Inputs!$D$26+SQRT(N481*(Inputs!$F$26-Inputs!$D$26)*(Inputs!$E$26-Inputs!$D$26)),Inputs!$F$26-SQRT((1-N481)*(Inputs!$F$26-Inputs!$D$26)*(Inputs!$F$26-Inputs!$E$26)))</f>
        <v>0.436851653265824</v>
      </c>
      <c r="P481" s="81" t="n">
        <f aca="true">RAND()</f>
        <v>0.0998928285241618</v>
      </c>
      <c r="Q481" s="82" t="n">
        <f aca="false">IF(P481&lt;(Inputs!$E$27-Inputs!$D$27)/(Inputs!$F$27-Inputs!$D$27),Inputs!$D$27+SQRT(P481*(Inputs!$F$27-Inputs!$D$27)*(Inputs!$E$27-Inputs!$D$27)),Inputs!$F$27-SQRT((1-P481)*(Inputs!$F$27-Inputs!$D$27)*(Inputs!$F$27-Inputs!$E$27)))</f>
        <v>65.8029133804626</v>
      </c>
      <c r="R481" s="81" t="n">
        <f aca="true">RAND()</f>
        <v>0.997600633877025</v>
      </c>
      <c r="S481" s="82" t="n">
        <f aca="false">IF(R481&lt;(Inputs!$E$29-Inputs!$D$29)/(Inputs!$F$29-Inputs!$D$29),Inputs!$D$29+SQRT(R481*(Inputs!$F$29-Inputs!$D$29)*(Inputs!$E$29-Inputs!$D$29)),Inputs!$F$29-SQRT((1-R481)*(Inputs!$F$29-Inputs!$D$29)*(Inputs!$F$29-Inputs!$E$29)))</f>
        <v>14.4415041665449</v>
      </c>
      <c r="T481" s="68" t="n">
        <f aca="false">Inputs!$E$9*(1+E481)+Inputs!$E$5*C481*(Inputs!$E$11*Inputs!$E$14*(G481*I481/Inputs!$E$16+(1-G481))*K481+Inputs!$E$23*M481)*(1+O481)+Inputs!$E$5*(Q481+S481)</f>
        <v>6539.02070307019</v>
      </c>
    </row>
    <row r="482" customFormat="false" ht="15" hidden="false" customHeight="false" outlineLevel="0" collapsed="false">
      <c r="A482" s="1" t="n">
        <v>478</v>
      </c>
      <c r="B482" s="81" t="n">
        <f aca="true">RAND()</f>
        <v>0.344078325064322</v>
      </c>
      <c r="C482" s="82" t="n">
        <f aca="false">ROUND(IF(B482&lt;(Inputs!$E$8-Inputs!$D$8)/(Inputs!$F$8-Inputs!$D$8),Inputs!$D$8+SQRT(B482*(Inputs!$F$8-Inputs!$D$8)*(Inputs!$E$8-Inputs!$D$8)),Inputs!$F$8-SQRT((1-B482)*(Inputs!$F$8-Inputs!$D$8)*(Inputs!$F$8-Inputs!$E$8))),0)</f>
        <v>24</v>
      </c>
      <c r="D482" s="81" t="n">
        <f aca="true">RAND()</f>
        <v>0.715622527187496</v>
      </c>
      <c r="E482" s="83" t="n">
        <f aca="false">IF(D482&lt;(Inputs!$E$10-Inputs!$D$10)/(Inputs!$F$10-Inputs!$D$10),Inputs!$D$10+SQRT(D482*(Inputs!$F$10-Inputs!$D$10)*(Inputs!$E$10-Inputs!$D$10)),Inputs!$F$10-SQRT((1-D482)*(Inputs!$F$10-Inputs!$D$10)*(Inputs!$F$10-Inputs!$E$10)))</f>
        <v>0.107634832407584</v>
      </c>
      <c r="F482" s="81" t="n">
        <f aca="true">RAND()</f>
        <v>0.673617974677563</v>
      </c>
      <c r="G482" s="83" t="n">
        <f aca="false">IF(F482&lt;(Inputs!$E$15-Inputs!$D$15)/(Inputs!$F$15-Inputs!$D$15),Inputs!$D$15+SQRT(F482*(Inputs!$F$15-Inputs!$D$15)*(Inputs!$E$15-Inputs!$D$15)),Inputs!$F$15-SQRT((1-F482)*(Inputs!$F$15-Inputs!$D$15)*(Inputs!$F$15-Inputs!$E$15)))</f>
        <v>0.719206185221586</v>
      </c>
      <c r="H482" s="81" t="n">
        <f aca="true">RAND()</f>
        <v>0.765388750422899</v>
      </c>
      <c r="I482" s="82" t="n">
        <f aca="false">ROUND(IF(H482&lt;(Inputs!$E$17-Inputs!$D$17)/(Inputs!$F$17-Inputs!$D$17),Inputs!$D$17+SQRT(H482*(Inputs!$F$17-Inputs!$D$17)*(Inputs!$E$17-Inputs!$D$17)),Inputs!$F$17-SQRT((1-H482)*(Inputs!$F$17-Inputs!$D$17)*(Inputs!$F$17-Inputs!$E$17))),0)</f>
        <v>109</v>
      </c>
      <c r="J482" s="81" t="n">
        <f aca="true">RAND()</f>
        <v>0.932217681071206</v>
      </c>
      <c r="K482" s="83" t="n">
        <f aca="false">IF(J482&lt;(Inputs!$E$18-Inputs!$D$18)/(Inputs!$F$18-Inputs!$D$18),Inputs!$D$18+SQRT(J482*(Inputs!$F$18-Inputs!$D$18)*(Inputs!$E$18-Inputs!$D$18)),Inputs!$F$18-SQRT((1-J482)*(Inputs!$F$18-Inputs!$D$18)*(Inputs!$F$18-Inputs!$E$18)))</f>
        <v>1.17298731983453</v>
      </c>
      <c r="L482" s="81" t="n">
        <f aca="true">RAND()</f>
        <v>0.584200918996691</v>
      </c>
      <c r="M482" s="83" t="n">
        <f aca="false">IF(L482&lt;(Inputs!$E$24-Inputs!$D$24)/(Inputs!$F$24-Inputs!$D$24),Inputs!$D$24+SQRT(L482*(Inputs!$F$24-Inputs!$D$24)*(Inputs!$E$24-Inputs!$D$24)),Inputs!$F$24-SQRT((1-L482)*(Inputs!$F$24-Inputs!$D$24)*(Inputs!$F$24-Inputs!$E$24)))</f>
        <v>0.884101631152052</v>
      </c>
      <c r="N482" s="81" t="n">
        <f aca="true">RAND()</f>
        <v>0.167697391581964</v>
      </c>
      <c r="O482" s="83" t="n">
        <f aca="false">IF(N482&lt;(Inputs!$E$26-Inputs!$D$26)/(Inputs!$F$26-Inputs!$D$26),Inputs!$D$26+SQRT(N482*(Inputs!$F$26-Inputs!$D$26)*(Inputs!$E$26-Inputs!$D$26)),Inputs!$F$26-SQRT((1-N482)*(Inputs!$F$26-Inputs!$D$26)*(Inputs!$F$26-Inputs!$E$26)))</f>
        <v>0.467047436254612</v>
      </c>
      <c r="P482" s="81" t="n">
        <f aca="true">RAND()</f>
        <v>0.272257190857294</v>
      </c>
      <c r="Q482" s="82" t="n">
        <f aca="false">IF(P482&lt;(Inputs!$E$27-Inputs!$D$27)/(Inputs!$F$27-Inputs!$D$27),Inputs!$D$27+SQRT(P482*(Inputs!$F$27-Inputs!$D$27)*(Inputs!$E$27-Inputs!$D$27)),Inputs!$F$27-SQRT((1-P482)*(Inputs!$F$27-Inputs!$D$27)*(Inputs!$F$27-Inputs!$E$27)))</f>
        <v>76.1212407483024</v>
      </c>
      <c r="R482" s="81" t="n">
        <f aca="true">RAND()</f>
        <v>0.500524764131332</v>
      </c>
      <c r="S482" s="82" t="n">
        <f aca="false">IF(R482&lt;(Inputs!$E$29-Inputs!$D$29)/(Inputs!$F$29-Inputs!$D$29),Inputs!$D$29+SQRT(R482*(Inputs!$F$29-Inputs!$D$29)*(Inputs!$E$29-Inputs!$D$29)),Inputs!$F$29-SQRT((1-R482)*(Inputs!$F$29-Inputs!$D$29)*(Inputs!$F$29-Inputs!$E$29)))</f>
        <v>6.94197414604998</v>
      </c>
      <c r="T482" s="68" t="n">
        <f aca="false">Inputs!$E$9*(1+E482)+Inputs!$E$5*C482*(Inputs!$E$11*Inputs!$E$14*(G482*I482/Inputs!$E$16+(1-G482))*K482+Inputs!$E$23*M482)*(1+O482)+Inputs!$E$5*(Q482+S482)</f>
        <v>6202.75917698228</v>
      </c>
    </row>
    <row r="483" customFormat="false" ht="15" hidden="false" customHeight="false" outlineLevel="0" collapsed="false">
      <c r="A483" s="1" t="n">
        <v>479</v>
      </c>
      <c r="B483" s="81" t="n">
        <f aca="true">RAND()</f>
        <v>0.323267761685998</v>
      </c>
      <c r="C483" s="82" t="n">
        <f aca="false">ROUND(IF(B483&lt;(Inputs!$E$8-Inputs!$D$8)/(Inputs!$F$8-Inputs!$D$8),Inputs!$D$8+SQRT(B483*(Inputs!$F$8-Inputs!$D$8)*(Inputs!$E$8-Inputs!$D$8)),Inputs!$F$8-SQRT((1-B483)*(Inputs!$F$8-Inputs!$D$8)*(Inputs!$F$8-Inputs!$E$8))),0)</f>
        <v>24</v>
      </c>
      <c r="D483" s="81" t="n">
        <f aca="true">RAND()</f>
        <v>0.298466132716405</v>
      </c>
      <c r="E483" s="83" t="n">
        <f aca="false">IF(D483&lt;(Inputs!$E$10-Inputs!$D$10)/(Inputs!$F$10-Inputs!$D$10),Inputs!$D$10+SQRT(D483*(Inputs!$F$10-Inputs!$D$10)*(Inputs!$E$10-Inputs!$D$10)),Inputs!$F$10-SQRT((1-D483)*(Inputs!$F$10-Inputs!$D$10)*(Inputs!$F$10-Inputs!$E$10)))</f>
        <v>0.0549275490711354</v>
      </c>
      <c r="F483" s="81" t="n">
        <f aca="true">RAND()</f>
        <v>0.437562664754382</v>
      </c>
      <c r="G483" s="83" t="n">
        <f aca="false">IF(F483&lt;(Inputs!$E$15-Inputs!$D$15)/(Inputs!$F$15-Inputs!$D$15),Inputs!$D$15+SQRT(F483*(Inputs!$F$15-Inputs!$D$15)*(Inputs!$E$15-Inputs!$D$15)),Inputs!$F$15-SQRT((1-F483)*(Inputs!$F$15-Inputs!$D$15)*(Inputs!$F$15-Inputs!$E$15)))</f>
        <v>0.693548133573512</v>
      </c>
      <c r="H483" s="81" t="n">
        <f aca="true">RAND()</f>
        <v>0.238408418025598</v>
      </c>
      <c r="I483" s="82" t="n">
        <f aca="false">ROUND(IF(H483&lt;(Inputs!$E$17-Inputs!$D$17)/(Inputs!$F$17-Inputs!$D$17),Inputs!$D$17+SQRT(H483*(Inputs!$F$17-Inputs!$D$17)*(Inputs!$E$17-Inputs!$D$17)),Inputs!$F$17-SQRT((1-H483)*(Inputs!$F$17-Inputs!$D$17)*(Inputs!$F$17-Inputs!$E$17))),0)</f>
        <v>104</v>
      </c>
      <c r="J483" s="81" t="n">
        <f aca="true">RAND()</f>
        <v>0.31930625319513</v>
      </c>
      <c r="K483" s="83" t="n">
        <f aca="false">IF(J483&lt;(Inputs!$E$18-Inputs!$D$18)/(Inputs!$F$18-Inputs!$D$18),Inputs!$D$18+SQRT(J483*(Inputs!$F$18-Inputs!$D$18)*(Inputs!$E$18-Inputs!$D$18)),Inputs!$F$18-SQRT((1-J483)*(Inputs!$F$18-Inputs!$D$18)*(Inputs!$F$18-Inputs!$E$18)))</f>
        <v>1.00594938466493</v>
      </c>
      <c r="L483" s="81" t="n">
        <f aca="true">RAND()</f>
        <v>0.29162668774362</v>
      </c>
      <c r="M483" s="83" t="n">
        <f aca="false">IF(L483&lt;(Inputs!$E$24-Inputs!$D$24)/(Inputs!$F$24-Inputs!$D$24),Inputs!$D$24+SQRT(L483*(Inputs!$F$24-Inputs!$D$24)*(Inputs!$E$24-Inputs!$D$24)),Inputs!$F$24-SQRT((1-L483)*(Inputs!$F$24-Inputs!$D$24)*(Inputs!$F$24-Inputs!$E$24)))</f>
        <v>0.787070047119346</v>
      </c>
      <c r="N483" s="81" t="n">
        <f aca="true">RAND()</f>
        <v>0.977319504478754</v>
      </c>
      <c r="O483" s="83" t="n">
        <f aca="false">IF(N483&lt;(Inputs!$E$26-Inputs!$D$26)/(Inputs!$F$26-Inputs!$D$26),Inputs!$D$26+SQRT(N483*(Inputs!$F$26-Inputs!$D$26)*(Inputs!$E$26-Inputs!$D$26)),Inputs!$F$26-SQRT((1-N483)*(Inputs!$F$26-Inputs!$D$26)*(Inputs!$F$26-Inputs!$E$26)))</f>
        <v>0.771432814223906</v>
      </c>
      <c r="P483" s="81" t="n">
        <f aca="true">RAND()</f>
        <v>0.364587350911797</v>
      </c>
      <c r="Q483" s="82" t="n">
        <f aca="false">IF(P483&lt;(Inputs!$E$27-Inputs!$D$27)/(Inputs!$F$27-Inputs!$D$27),Inputs!$D$27+SQRT(P483*(Inputs!$F$27-Inputs!$D$27)*(Inputs!$E$27-Inputs!$D$27)),Inputs!$F$27-SQRT((1-P483)*(Inputs!$F$27-Inputs!$D$27)*(Inputs!$F$27-Inputs!$E$27)))</f>
        <v>80.9667118836027</v>
      </c>
      <c r="R483" s="81" t="n">
        <f aca="true">RAND()</f>
        <v>0.133290058415391</v>
      </c>
      <c r="S483" s="82" t="n">
        <f aca="false">IF(R483&lt;(Inputs!$E$29-Inputs!$D$29)/(Inputs!$F$29-Inputs!$D$29),Inputs!$D$29+SQRT(R483*(Inputs!$F$29-Inputs!$D$29)*(Inputs!$E$29-Inputs!$D$29)),Inputs!$F$29-SQRT((1-R483)*(Inputs!$F$29-Inputs!$D$29)*(Inputs!$F$29-Inputs!$E$29)))</f>
        <v>4.27998076268205</v>
      </c>
      <c r="T483" s="68" t="n">
        <f aca="false">Inputs!$E$9*(1+E483)+Inputs!$E$5*C483*(Inputs!$E$11*Inputs!$E$14*(G483*I483/Inputs!$E$16+(1-G483))*K483+Inputs!$E$23*M483)*(1+O483)+Inputs!$E$5*(Q483+S483)</f>
        <v>6233.5087865279</v>
      </c>
    </row>
    <row r="484" customFormat="false" ht="15" hidden="false" customHeight="false" outlineLevel="0" collapsed="false">
      <c r="A484" s="1" t="n">
        <v>480</v>
      </c>
      <c r="B484" s="81" t="n">
        <f aca="true">RAND()</f>
        <v>0.738448490896058</v>
      </c>
      <c r="C484" s="82" t="n">
        <f aca="false">ROUND(IF(B484&lt;(Inputs!$E$8-Inputs!$D$8)/(Inputs!$F$8-Inputs!$D$8),Inputs!$D$8+SQRT(B484*(Inputs!$F$8-Inputs!$D$8)*(Inputs!$E$8-Inputs!$D$8)),Inputs!$F$8-SQRT((1-B484)*(Inputs!$F$8-Inputs!$D$8)*(Inputs!$F$8-Inputs!$E$8))),0)</f>
        <v>26</v>
      </c>
      <c r="D484" s="81" t="n">
        <f aca="true">RAND()</f>
        <v>0.0343694093221882</v>
      </c>
      <c r="E484" s="83" t="n">
        <f aca="false">IF(D484&lt;(Inputs!$E$10-Inputs!$D$10)/(Inputs!$F$10-Inputs!$D$10),Inputs!$D$10+SQRT(D484*(Inputs!$F$10-Inputs!$D$10)*(Inputs!$E$10-Inputs!$D$10)),Inputs!$F$10-SQRT((1-D484)*(Inputs!$F$10-Inputs!$D$10)*(Inputs!$F$10-Inputs!$E$10)))</f>
        <v>0.0185389884627474</v>
      </c>
      <c r="F484" s="81" t="n">
        <f aca="true">RAND()</f>
        <v>0.365119256237295</v>
      </c>
      <c r="G484" s="83" t="n">
        <f aca="false">IF(F484&lt;(Inputs!$E$15-Inputs!$D$15)/(Inputs!$F$15-Inputs!$D$15),Inputs!$D$15+SQRT(F484*(Inputs!$F$15-Inputs!$D$15)*(Inputs!$E$15-Inputs!$D$15)),Inputs!$F$15-SQRT((1-F484)*(Inputs!$F$15-Inputs!$D$15)*(Inputs!$F$15-Inputs!$E$15)))</f>
        <v>0.685453994200072</v>
      </c>
      <c r="H484" s="81" t="n">
        <f aca="true">RAND()</f>
        <v>0.255401449690379</v>
      </c>
      <c r="I484" s="82" t="n">
        <f aca="false">ROUND(IF(H484&lt;(Inputs!$E$17-Inputs!$D$17)/(Inputs!$F$17-Inputs!$D$17),Inputs!$D$17+SQRT(H484*(Inputs!$F$17-Inputs!$D$17)*(Inputs!$E$17-Inputs!$D$17)),Inputs!$F$17-SQRT((1-H484)*(Inputs!$F$17-Inputs!$D$17)*(Inputs!$F$17-Inputs!$E$17))),0)</f>
        <v>104</v>
      </c>
      <c r="J484" s="81" t="n">
        <f aca="true">RAND()</f>
        <v>0.492990440983568</v>
      </c>
      <c r="K484" s="83" t="n">
        <f aca="false">IF(J484&lt;(Inputs!$E$18-Inputs!$D$18)/(Inputs!$F$18-Inputs!$D$18),Inputs!$D$18+SQRT(J484*(Inputs!$F$18-Inputs!$D$18)*(Inputs!$E$18-Inputs!$D$18)),Inputs!$F$18-SQRT((1-J484)*(Inputs!$F$18-Inputs!$D$18)*(Inputs!$F$18-Inputs!$E$18)))</f>
        <v>1.03937394174999</v>
      </c>
      <c r="L484" s="81" t="n">
        <f aca="true">RAND()</f>
        <v>0.981754069382793</v>
      </c>
      <c r="M484" s="83" t="n">
        <f aca="false">IF(L484&lt;(Inputs!$E$24-Inputs!$D$24)/(Inputs!$F$24-Inputs!$D$24),Inputs!$D$24+SQRT(L484*(Inputs!$F$24-Inputs!$D$24)*(Inputs!$E$24-Inputs!$D$24)),Inputs!$F$24-SQRT((1-L484)*(Inputs!$F$24-Inputs!$D$24)*(Inputs!$F$24-Inputs!$E$24)))</f>
        <v>1.13382581055933</v>
      </c>
      <c r="N484" s="81" t="n">
        <f aca="true">RAND()</f>
        <v>0.800266642976849</v>
      </c>
      <c r="O484" s="83" t="n">
        <f aca="false">IF(N484&lt;(Inputs!$E$26-Inputs!$D$26)/(Inputs!$F$26-Inputs!$D$26),Inputs!$D$26+SQRT(N484*(Inputs!$F$26-Inputs!$D$26)*(Inputs!$E$26-Inputs!$D$26)),Inputs!$F$26-SQRT((1-N484)*(Inputs!$F$26-Inputs!$D$26)*(Inputs!$F$26-Inputs!$E$26)))</f>
        <v>0.675874120538996</v>
      </c>
      <c r="P484" s="81" t="n">
        <f aca="true">RAND()</f>
        <v>0.813395416036562</v>
      </c>
      <c r="Q484" s="82" t="n">
        <f aca="false">IF(P484&lt;(Inputs!$E$27-Inputs!$D$27)/(Inputs!$F$27-Inputs!$D$27),Inputs!$D$27+SQRT(P484*(Inputs!$F$27-Inputs!$D$27)*(Inputs!$E$27-Inputs!$D$27)),Inputs!$F$27-SQRT((1-P484)*(Inputs!$F$27-Inputs!$D$27)*(Inputs!$F$27-Inputs!$E$27)))</f>
        <v>112.589648762331</v>
      </c>
      <c r="R484" s="81" t="n">
        <f aca="true">RAND()</f>
        <v>0.651931435268858</v>
      </c>
      <c r="S484" s="82" t="n">
        <f aca="false">IF(R484&lt;(Inputs!$E$29-Inputs!$D$29)/(Inputs!$F$29-Inputs!$D$29),Inputs!$D$29+SQRT(R484*(Inputs!$F$29-Inputs!$D$29)*(Inputs!$E$29-Inputs!$D$29)),Inputs!$F$29-SQRT((1-R484)*(Inputs!$F$29-Inputs!$D$29)*(Inputs!$F$29-Inputs!$E$29)))</f>
        <v>8.27326874217139</v>
      </c>
      <c r="T484" s="68" t="n">
        <f aca="false">Inputs!$E$9*(1+E484)+Inputs!$E$5*C484*(Inputs!$E$11*Inputs!$E$14*(G484*I484/Inputs!$E$16+(1-G484))*K484+Inputs!$E$23*M484)*(1+O484)+Inputs!$E$5*(Q484+S484)</f>
        <v>7047.4496339702</v>
      </c>
    </row>
    <row r="485" customFormat="false" ht="15" hidden="false" customHeight="false" outlineLevel="0" collapsed="false">
      <c r="A485" s="1" t="n">
        <v>481</v>
      </c>
      <c r="B485" s="81" t="n">
        <f aca="true">RAND()</f>
        <v>0.740177786336478</v>
      </c>
      <c r="C485" s="82" t="n">
        <f aca="false">ROUND(IF(B485&lt;(Inputs!$E$8-Inputs!$D$8)/(Inputs!$F$8-Inputs!$D$8),Inputs!$D$8+SQRT(B485*(Inputs!$F$8-Inputs!$D$8)*(Inputs!$E$8-Inputs!$D$8)),Inputs!$F$8-SQRT((1-B485)*(Inputs!$F$8-Inputs!$D$8)*(Inputs!$F$8-Inputs!$E$8))),0)</f>
        <v>26</v>
      </c>
      <c r="D485" s="81" t="n">
        <f aca="true">RAND()</f>
        <v>0.263219184270962</v>
      </c>
      <c r="E485" s="83" t="n">
        <f aca="false">IF(D485&lt;(Inputs!$E$10-Inputs!$D$10)/(Inputs!$F$10-Inputs!$D$10),Inputs!$D$10+SQRT(D485*(Inputs!$F$10-Inputs!$D$10)*(Inputs!$E$10-Inputs!$D$10)),Inputs!$F$10-SQRT((1-D485)*(Inputs!$F$10-Inputs!$D$10)*(Inputs!$F$10-Inputs!$E$10)))</f>
        <v>0.0513277952276515</v>
      </c>
      <c r="F485" s="81" t="n">
        <f aca="true">RAND()</f>
        <v>0.573182295283882</v>
      </c>
      <c r="G485" s="83" t="n">
        <f aca="false">IF(F485&lt;(Inputs!$E$15-Inputs!$D$15)/(Inputs!$F$15-Inputs!$D$15),Inputs!$D$15+SQRT(F485*(Inputs!$F$15-Inputs!$D$15)*(Inputs!$E$15-Inputs!$D$15)),Inputs!$F$15-SQRT((1-F485)*(Inputs!$F$15-Inputs!$D$15)*(Inputs!$F$15-Inputs!$E$15)))</f>
        <v>0.707607608027921</v>
      </c>
      <c r="H485" s="81" t="n">
        <f aca="true">RAND()</f>
        <v>0.382177056979003</v>
      </c>
      <c r="I485" s="82" t="n">
        <f aca="false">ROUND(IF(H485&lt;(Inputs!$E$17-Inputs!$D$17)/(Inputs!$F$17-Inputs!$D$17),Inputs!$D$17+SQRT(H485*(Inputs!$F$17-Inputs!$D$17)*(Inputs!$E$17-Inputs!$D$17)),Inputs!$F$17-SQRT((1-H485)*(Inputs!$F$17-Inputs!$D$17)*(Inputs!$F$17-Inputs!$E$17))),0)</f>
        <v>105</v>
      </c>
      <c r="J485" s="81" t="n">
        <f aca="true">RAND()</f>
        <v>0.155440363192864</v>
      </c>
      <c r="K485" s="83" t="n">
        <f aca="false">IF(J485&lt;(Inputs!$E$18-Inputs!$D$18)/(Inputs!$F$18-Inputs!$D$18),Inputs!$D$18+SQRT(J485*(Inputs!$F$18-Inputs!$D$18)*(Inputs!$E$18-Inputs!$D$18)),Inputs!$F$18-SQRT((1-J485)*(Inputs!$F$18-Inputs!$D$18)*(Inputs!$F$18-Inputs!$E$18)))</f>
        <v>0.973759153409935</v>
      </c>
      <c r="L485" s="81" t="n">
        <f aca="true">RAND()</f>
        <v>0.274181408352046</v>
      </c>
      <c r="M485" s="83" t="n">
        <f aca="false">IF(L485&lt;(Inputs!$E$24-Inputs!$D$24)/(Inputs!$F$24-Inputs!$D$24),Inputs!$D$24+SQRT(L485*(Inputs!$F$24-Inputs!$D$24)*(Inputs!$E$24-Inputs!$D$24)),Inputs!$F$24-SQRT((1-L485)*(Inputs!$F$24-Inputs!$D$24)*(Inputs!$F$24-Inputs!$E$24)))</f>
        <v>0.781388447819164</v>
      </c>
      <c r="N485" s="81" t="n">
        <f aca="true">RAND()</f>
        <v>0.371997136897033</v>
      </c>
      <c r="O485" s="83" t="n">
        <f aca="false">IF(N485&lt;(Inputs!$E$26-Inputs!$D$26)/(Inputs!$F$26-Inputs!$D$26),Inputs!$D$26+SQRT(N485*(Inputs!$F$26-Inputs!$D$26)*(Inputs!$E$26-Inputs!$D$26)),Inputs!$F$26-SQRT((1-N485)*(Inputs!$F$26-Inputs!$D$26)*(Inputs!$F$26-Inputs!$E$26)))</f>
        <v>0.548797756379888</v>
      </c>
      <c r="P485" s="81" t="n">
        <f aca="true">RAND()</f>
        <v>0.853269617145872</v>
      </c>
      <c r="Q485" s="82" t="n">
        <f aca="false">IF(P485&lt;(Inputs!$E$27-Inputs!$D$27)/(Inputs!$F$27-Inputs!$D$27),Inputs!$D$27+SQRT(P485*(Inputs!$F$27-Inputs!$D$27)*(Inputs!$E$27-Inputs!$D$27)),Inputs!$F$27-SQRT((1-P485)*(Inputs!$F$27-Inputs!$D$27)*(Inputs!$F$27-Inputs!$E$27)))</f>
        <v>116.826548696194</v>
      </c>
      <c r="R485" s="81" t="n">
        <f aca="true">RAND()</f>
        <v>0.165011755834986</v>
      </c>
      <c r="S485" s="82" t="n">
        <f aca="false">IF(R485&lt;(Inputs!$E$29-Inputs!$D$29)/(Inputs!$F$29-Inputs!$D$29),Inputs!$D$29+SQRT(R485*(Inputs!$F$29-Inputs!$D$29)*(Inputs!$E$29-Inputs!$D$29)),Inputs!$F$29-SQRT((1-R485)*(Inputs!$F$29-Inputs!$D$29)*(Inputs!$F$29-Inputs!$E$29)))</f>
        <v>4.53682054500599</v>
      </c>
      <c r="T485" s="68" t="n">
        <f aca="false">Inputs!$E$9*(1+E485)+Inputs!$E$5*C485*(Inputs!$E$11*Inputs!$E$14*(G485*I485/Inputs!$E$16+(1-G485))*K485+Inputs!$E$23*M485)*(1+O485)+Inputs!$E$5*(Q485+S485)</f>
        <v>6137.30659735122</v>
      </c>
    </row>
    <row r="486" customFormat="false" ht="15" hidden="false" customHeight="false" outlineLevel="0" collapsed="false">
      <c r="A486" s="1" t="n">
        <v>482</v>
      </c>
      <c r="B486" s="81" t="n">
        <f aca="true">RAND()</f>
        <v>0.198809160853532</v>
      </c>
      <c r="C486" s="82" t="n">
        <f aca="false">ROUND(IF(B486&lt;(Inputs!$E$8-Inputs!$D$8)/(Inputs!$F$8-Inputs!$D$8),Inputs!$D$8+SQRT(B486*(Inputs!$F$8-Inputs!$D$8)*(Inputs!$E$8-Inputs!$D$8)),Inputs!$F$8-SQRT((1-B486)*(Inputs!$F$8-Inputs!$D$8)*(Inputs!$F$8-Inputs!$E$8))),0)</f>
        <v>23</v>
      </c>
      <c r="D486" s="81" t="n">
        <f aca="true">RAND()</f>
        <v>0.493512097839504</v>
      </c>
      <c r="E486" s="83" t="n">
        <f aca="false">IF(D486&lt;(Inputs!$E$10-Inputs!$D$10)/(Inputs!$F$10-Inputs!$D$10),Inputs!$D$10+SQRT(D486*(Inputs!$F$10-Inputs!$D$10)*(Inputs!$E$10-Inputs!$D$10)),Inputs!$F$10-SQRT((1-D486)*(Inputs!$F$10-Inputs!$D$10)*(Inputs!$F$10-Inputs!$E$10)))</f>
        <v>0.0767334714335847</v>
      </c>
      <c r="F486" s="81" t="n">
        <f aca="true">RAND()</f>
        <v>0.273941031872495</v>
      </c>
      <c r="G486" s="83" t="n">
        <f aca="false">IF(F486&lt;(Inputs!$E$15-Inputs!$D$15)/(Inputs!$F$15-Inputs!$D$15),Inputs!$D$15+SQRT(F486*(Inputs!$F$15-Inputs!$D$15)*(Inputs!$E$15-Inputs!$D$15)),Inputs!$F$15-SQRT((1-F486)*(Inputs!$F$15-Inputs!$D$15)*(Inputs!$F$15-Inputs!$E$15)))</f>
        <v>0.674019055907583</v>
      </c>
      <c r="H486" s="81" t="n">
        <f aca="true">RAND()</f>
        <v>0.511480792098388</v>
      </c>
      <c r="I486" s="82" t="n">
        <f aca="false">ROUND(IF(H486&lt;(Inputs!$E$17-Inputs!$D$17)/(Inputs!$F$17-Inputs!$D$17),Inputs!$D$17+SQRT(H486*(Inputs!$F$17-Inputs!$D$17)*(Inputs!$E$17-Inputs!$D$17)),Inputs!$F$17-SQRT((1-H486)*(Inputs!$F$17-Inputs!$D$17)*(Inputs!$F$17-Inputs!$E$17))),0)</f>
        <v>106</v>
      </c>
      <c r="J486" s="81" t="n">
        <f aca="true">RAND()</f>
        <v>0.151974835398894</v>
      </c>
      <c r="K486" s="83" t="n">
        <f aca="false">IF(J486&lt;(Inputs!$E$18-Inputs!$D$18)/(Inputs!$F$18-Inputs!$D$18),Inputs!$D$18+SQRT(J486*(Inputs!$F$18-Inputs!$D$18)*(Inputs!$E$18-Inputs!$D$18)),Inputs!$F$18-SQRT((1-J486)*(Inputs!$F$18-Inputs!$D$18)*(Inputs!$F$18-Inputs!$E$18)))</f>
        <v>0.972932292154856</v>
      </c>
      <c r="L486" s="81" t="n">
        <f aca="true">RAND()</f>
        <v>0.114601941493751</v>
      </c>
      <c r="M486" s="83" t="n">
        <f aca="false">IF(L486&lt;(Inputs!$E$24-Inputs!$D$24)/(Inputs!$F$24-Inputs!$D$24),Inputs!$D$24+SQRT(L486*(Inputs!$F$24-Inputs!$D$24)*(Inputs!$E$24-Inputs!$D$24)),Inputs!$F$24-SQRT((1-L486)*(Inputs!$F$24-Inputs!$D$24)*(Inputs!$F$24-Inputs!$E$24)))</f>
        <v>0.717269915064564</v>
      </c>
      <c r="N486" s="81" t="n">
        <f aca="true">RAND()</f>
        <v>0.625417253762733</v>
      </c>
      <c r="O486" s="83" t="n">
        <f aca="false">IF(N486&lt;(Inputs!$E$26-Inputs!$D$26)/(Inputs!$F$26-Inputs!$D$26),Inputs!$D$26+SQRT(N486*(Inputs!$F$26-Inputs!$D$26)*(Inputs!$E$26-Inputs!$D$26)),Inputs!$F$26-SQRT((1-N486)*(Inputs!$F$26-Inputs!$D$26)*(Inputs!$F$26-Inputs!$E$26)))</f>
        <v>0.622625722018608</v>
      </c>
      <c r="P486" s="81" t="n">
        <f aca="true">RAND()</f>
        <v>0.122348893416273</v>
      </c>
      <c r="Q486" s="82" t="n">
        <f aca="false">IF(P486&lt;(Inputs!$E$27-Inputs!$D$27)/(Inputs!$F$27-Inputs!$D$27),Inputs!$D$27+SQRT(P486*(Inputs!$F$27-Inputs!$D$27)*(Inputs!$E$27-Inputs!$D$27)),Inputs!$F$27-SQRT((1-P486)*(Inputs!$F$27-Inputs!$D$27)*(Inputs!$F$27-Inputs!$E$27)))</f>
        <v>67.4892033420817</v>
      </c>
      <c r="R486" s="81" t="n">
        <f aca="true">RAND()</f>
        <v>0.475033536754097</v>
      </c>
      <c r="S486" s="82" t="n">
        <f aca="false">IF(R486&lt;(Inputs!$E$29-Inputs!$D$29)/(Inputs!$F$29-Inputs!$D$29),Inputs!$D$29+SQRT(R486*(Inputs!$F$29-Inputs!$D$29)*(Inputs!$E$29-Inputs!$D$29)),Inputs!$F$29-SQRT((1-R486)*(Inputs!$F$29-Inputs!$D$29)*(Inputs!$F$29-Inputs!$E$29)))</f>
        <v>6.73890804905506</v>
      </c>
      <c r="T486" s="68" t="n">
        <f aca="false">Inputs!$E$9*(1+E486)+Inputs!$E$5*C486*(Inputs!$E$11*Inputs!$E$14*(G486*I486/Inputs!$E$16+(1-G486))*K486+Inputs!$E$23*M486)*(1+O486)+Inputs!$E$5*(Q486+S486)</f>
        <v>5685.78595166361</v>
      </c>
    </row>
    <row r="487" customFormat="false" ht="15" hidden="false" customHeight="false" outlineLevel="0" collapsed="false">
      <c r="A487" s="1" t="n">
        <v>483</v>
      </c>
      <c r="B487" s="81" t="n">
        <f aca="true">RAND()</f>
        <v>0.464397905174937</v>
      </c>
      <c r="C487" s="82" t="n">
        <f aca="false">ROUND(IF(B487&lt;(Inputs!$E$8-Inputs!$D$8)/(Inputs!$F$8-Inputs!$D$8),Inputs!$D$8+SQRT(B487*(Inputs!$F$8-Inputs!$D$8)*(Inputs!$E$8-Inputs!$D$8)),Inputs!$F$8-SQRT((1-B487)*(Inputs!$F$8-Inputs!$D$8)*(Inputs!$F$8-Inputs!$E$8))),0)</f>
        <v>25</v>
      </c>
      <c r="D487" s="81" t="n">
        <f aca="true">RAND()</f>
        <v>0.214185688937329</v>
      </c>
      <c r="E487" s="83" t="n">
        <f aca="false">IF(D487&lt;(Inputs!$E$10-Inputs!$D$10)/(Inputs!$F$10-Inputs!$D$10),Inputs!$D$10+SQRT(D487*(Inputs!$F$10-Inputs!$D$10)*(Inputs!$E$10-Inputs!$D$10)),Inputs!$F$10-SQRT((1-D487)*(Inputs!$F$10-Inputs!$D$10)*(Inputs!$F$10-Inputs!$E$10)))</f>
        <v>0.0462801997551144</v>
      </c>
      <c r="F487" s="81" t="n">
        <f aca="true">RAND()</f>
        <v>0.644938118373569</v>
      </c>
      <c r="G487" s="83" t="n">
        <f aca="false">IF(F487&lt;(Inputs!$E$15-Inputs!$D$15)/(Inputs!$F$15-Inputs!$D$15),Inputs!$D$15+SQRT(F487*(Inputs!$F$15-Inputs!$D$15)*(Inputs!$E$15-Inputs!$D$15)),Inputs!$F$15-SQRT((1-F487)*(Inputs!$F$15-Inputs!$D$15)*(Inputs!$F$15-Inputs!$E$15)))</f>
        <v>0.715731158590327</v>
      </c>
      <c r="H487" s="81" t="n">
        <f aca="true">RAND()</f>
        <v>0.540336192102345</v>
      </c>
      <c r="I487" s="82" t="n">
        <f aca="false">ROUND(IF(H487&lt;(Inputs!$E$17-Inputs!$D$17)/(Inputs!$F$17-Inputs!$D$17),Inputs!$D$17+SQRT(H487*(Inputs!$F$17-Inputs!$D$17)*(Inputs!$E$17-Inputs!$D$17)),Inputs!$F$17-SQRT((1-H487)*(Inputs!$F$17-Inputs!$D$17)*(Inputs!$F$17-Inputs!$E$17))),0)</f>
        <v>107</v>
      </c>
      <c r="J487" s="81" t="n">
        <f aca="true">RAND()</f>
        <v>0.661146777351227</v>
      </c>
      <c r="K487" s="83" t="n">
        <f aca="false">IF(J487&lt;(Inputs!$E$18-Inputs!$D$18)/(Inputs!$F$18-Inputs!$D$18),Inputs!$D$18+SQRT(J487*(Inputs!$F$18-Inputs!$D$18)*(Inputs!$E$18-Inputs!$D$18)),Inputs!$F$18-SQRT((1-J487)*(Inputs!$F$18-Inputs!$D$18)*(Inputs!$F$18-Inputs!$E$18)))</f>
        <v>1.07780924246125</v>
      </c>
      <c r="L487" s="81" t="n">
        <f aca="true">RAND()</f>
        <v>0.294837555972637</v>
      </c>
      <c r="M487" s="83" t="n">
        <f aca="false">IF(L487&lt;(Inputs!$E$24-Inputs!$D$24)/(Inputs!$F$24-Inputs!$D$24),Inputs!$D$24+SQRT(L487*(Inputs!$F$24-Inputs!$D$24)*(Inputs!$E$24-Inputs!$D$24)),Inputs!$F$24-SQRT((1-L487)*(Inputs!$F$24-Inputs!$D$24)*(Inputs!$F$24-Inputs!$E$24)))</f>
        <v>0.788097067273034</v>
      </c>
      <c r="N487" s="81" t="n">
        <f aca="true">RAND()</f>
        <v>0.787787572589503</v>
      </c>
      <c r="O487" s="83" t="n">
        <f aca="false">IF(N487&lt;(Inputs!$E$26-Inputs!$D$26)/(Inputs!$F$26-Inputs!$D$26),Inputs!$D$26+SQRT(N487*(Inputs!$F$26-Inputs!$D$26)*(Inputs!$E$26-Inputs!$D$26)),Inputs!$F$26-SQRT((1-N487)*(Inputs!$F$26-Inputs!$D$26)*(Inputs!$F$26-Inputs!$E$26)))</f>
        <v>0.671439936555305</v>
      </c>
      <c r="P487" s="81" t="n">
        <f aca="true">RAND()</f>
        <v>0.139656989633996</v>
      </c>
      <c r="Q487" s="82" t="n">
        <f aca="false">IF(P487&lt;(Inputs!$E$27-Inputs!$D$27)/(Inputs!$F$27-Inputs!$D$27),Inputs!$D$27+SQRT(P487*(Inputs!$F$27-Inputs!$D$27)*(Inputs!$E$27-Inputs!$D$27)),Inputs!$F$27-SQRT((1-P487)*(Inputs!$F$27-Inputs!$D$27)*(Inputs!$F$27-Inputs!$E$27)))</f>
        <v>68.6853545346346</v>
      </c>
      <c r="R487" s="81" t="n">
        <f aca="true">RAND()</f>
        <v>0.845939091399799</v>
      </c>
      <c r="S487" s="82" t="n">
        <f aca="false">IF(R487&lt;(Inputs!$E$29-Inputs!$D$29)/(Inputs!$F$29-Inputs!$D$29),Inputs!$D$29+SQRT(R487*(Inputs!$F$29-Inputs!$D$29)*(Inputs!$E$29-Inputs!$D$29)),Inputs!$F$29-SQRT((1-R487)*(Inputs!$F$29-Inputs!$D$29)*(Inputs!$F$29-Inputs!$E$29)))</f>
        <v>10.5247437930297</v>
      </c>
      <c r="T487" s="68" t="n">
        <f aca="false">Inputs!$E$9*(1+E487)+Inputs!$E$5*C487*(Inputs!$E$11*Inputs!$E$14*(G487*I487/Inputs!$E$16+(1-G487))*K487+Inputs!$E$23*M487)*(1+O487)+Inputs!$E$5*(Q487+S487)</f>
        <v>6293.69501839692</v>
      </c>
    </row>
    <row r="488" customFormat="false" ht="15" hidden="false" customHeight="false" outlineLevel="0" collapsed="false">
      <c r="A488" s="1" t="n">
        <v>484</v>
      </c>
      <c r="B488" s="81" t="n">
        <f aca="true">RAND()</f>
        <v>0.362397060754356</v>
      </c>
      <c r="C488" s="82" t="n">
        <f aca="false">ROUND(IF(B488&lt;(Inputs!$E$8-Inputs!$D$8)/(Inputs!$F$8-Inputs!$D$8),Inputs!$D$8+SQRT(B488*(Inputs!$F$8-Inputs!$D$8)*(Inputs!$E$8-Inputs!$D$8)),Inputs!$F$8-SQRT((1-B488)*(Inputs!$F$8-Inputs!$D$8)*(Inputs!$F$8-Inputs!$E$8))),0)</f>
        <v>24</v>
      </c>
      <c r="D488" s="81" t="n">
        <f aca="true">RAND()</f>
        <v>0.033075397183777</v>
      </c>
      <c r="E488" s="83" t="n">
        <f aca="false">IF(D488&lt;(Inputs!$E$10-Inputs!$D$10)/(Inputs!$F$10-Inputs!$D$10),Inputs!$D$10+SQRT(D488*(Inputs!$F$10-Inputs!$D$10)*(Inputs!$E$10-Inputs!$D$10)),Inputs!$F$10-SQRT((1-D488)*(Inputs!$F$10-Inputs!$D$10)*(Inputs!$F$10-Inputs!$E$10)))</f>
        <v>0.0181866426763647</v>
      </c>
      <c r="F488" s="81" t="n">
        <f aca="true">RAND()</f>
        <v>0.714579024531031</v>
      </c>
      <c r="G488" s="83" t="n">
        <f aca="false">IF(F488&lt;(Inputs!$E$15-Inputs!$D$15)/(Inputs!$F$15-Inputs!$D$15),Inputs!$D$15+SQRT(F488*(Inputs!$F$15-Inputs!$D$15)*(Inputs!$E$15-Inputs!$D$15)),Inputs!$F$15-SQRT((1-F488)*(Inputs!$F$15-Inputs!$D$15)*(Inputs!$F$15-Inputs!$E$15)))</f>
        <v>0.72444591665979</v>
      </c>
      <c r="H488" s="81" t="n">
        <f aca="true">RAND()</f>
        <v>0.95671684200592</v>
      </c>
      <c r="I488" s="82" t="n">
        <f aca="false">ROUND(IF(H488&lt;(Inputs!$E$17-Inputs!$D$17)/(Inputs!$F$17-Inputs!$D$17),Inputs!$D$17+SQRT(H488*(Inputs!$F$17-Inputs!$D$17)*(Inputs!$E$17-Inputs!$D$17)),Inputs!$F$17-SQRT((1-H488)*(Inputs!$F$17-Inputs!$D$17)*(Inputs!$F$17-Inputs!$E$17))),0)</f>
        <v>112</v>
      </c>
      <c r="J488" s="81" t="n">
        <f aca="true">RAND()</f>
        <v>0.0938090673503875</v>
      </c>
      <c r="K488" s="83" t="n">
        <f aca="false">IF(J488&lt;(Inputs!$E$18-Inputs!$D$18)/(Inputs!$F$18-Inputs!$D$18),Inputs!$D$18+SQRT(J488*(Inputs!$F$18-Inputs!$D$18)*(Inputs!$E$18-Inputs!$D$18)),Inputs!$F$18-SQRT((1-J488)*(Inputs!$F$18-Inputs!$D$18)*(Inputs!$F$18-Inputs!$E$18)))</f>
        <v>0.95730023871908</v>
      </c>
      <c r="L488" s="81" t="n">
        <f aca="true">RAND()</f>
        <v>0.644527450915288</v>
      </c>
      <c r="M488" s="83" t="n">
        <f aca="false">IF(L488&lt;(Inputs!$E$24-Inputs!$D$24)/(Inputs!$F$24-Inputs!$D$24),Inputs!$D$24+SQRT(L488*(Inputs!$F$24-Inputs!$D$24)*(Inputs!$E$24-Inputs!$D$24)),Inputs!$F$24-SQRT((1-L488)*(Inputs!$F$24-Inputs!$D$24)*(Inputs!$F$24-Inputs!$E$24)))</f>
        <v>0.907915403041634</v>
      </c>
      <c r="N488" s="81" t="n">
        <f aca="true">RAND()</f>
        <v>0.104291723035982</v>
      </c>
      <c r="O488" s="83" t="n">
        <f aca="false">IF(N488&lt;(Inputs!$E$26-Inputs!$D$26)/(Inputs!$F$26-Inputs!$D$26),Inputs!$D$26+SQRT(N488*(Inputs!$F$26-Inputs!$D$26)*(Inputs!$E$26-Inputs!$D$26)),Inputs!$F$26-SQRT((1-N488)*(Inputs!$F$26-Inputs!$D$26)*(Inputs!$F$26-Inputs!$E$26)))</f>
        <v>0.43173512330881</v>
      </c>
      <c r="P488" s="81" t="n">
        <f aca="true">RAND()</f>
        <v>0.080543514308537</v>
      </c>
      <c r="Q488" s="82" t="n">
        <f aca="false">IF(P488&lt;(Inputs!$E$27-Inputs!$D$27)/(Inputs!$F$27-Inputs!$D$27),Inputs!$D$27+SQRT(P488*(Inputs!$F$27-Inputs!$D$27)*(Inputs!$E$27-Inputs!$D$27)),Inputs!$F$27-SQRT((1-P488)*(Inputs!$F$27-Inputs!$D$27)*(Inputs!$F$27-Inputs!$E$27)))</f>
        <v>64.190094635743</v>
      </c>
      <c r="R488" s="81" t="n">
        <f aca="true">RAND()</f>
        <v>0.252283725280781</v>
      </c>
      <c r="S488" s="82" t="n">
        <f aca="false">IF(R488&lt;(Inputs!$E$29-Inputs!$D$29)/(Inputs!$F$29-Inputs!$D$29),Inputs!$D$29+SQRT(R488*(Inputs!$F$29-Inputs!$D$29)*(Inputs!$E$29-Inputs!$D$29)),Inputs!$F$29-SQRT((1-R488)*(Inputs!$F$29-Inputs!$D$29)*(Inputs!$F$29-Inputs!$E$29)))</f>
        <v>5.14083595260235</v>
      </c>
      <c r="T488" s="68" t="n">
        <f aca="false">Inputs!$E$9*(1+E488)+Inputs!$E$5*C488*(Inputs!$E$11*Inputs!$E$14*(G488*I488/Inputs!$E$16+(1-G488))*K488+Inputs!$E$23*M488)*(1+O488)+Inputs!$E$5*(Q488+S488)</f>
        <v>5508.01137864509</v>
      </c>
    </row>
    <row r="489" customFormat="false" ht="15" hidden="false" customHeight="false" outlineLevel="0" collapsed="false">
      <c r="A489" s="1" t="n">
        <v>485</v>
      </c>
      <c r="B489" s="81" t="n">
        <f aca="true">RAND()</f>
        <v>0.807250809741005</v>
      </c>
      <c r="C489" s="82" t="n">
        <f aca="false">ROUND(IF(B489&lt;(Inputs!$E$8-Inputs!$D$8)/(Inputs!$F$8-Inputs!$D$8),Inputs!$D$8+SQRT(B489*(Inputs!$F$8-Inputs!$D$8)*(Inputs!$E$8-Inputs!$D$8)),Inputs!$F$8-SQRT((1-B489)*(Inputs!$F$8-Inputs!$D$8)*(Inputs!$F$8-Inputs!$E$8))),0)</f>
        <v>27</v>
      </c>
      <c r="D489" s="81" t="n">
        <f aca="true">RAND()</f>
        <v>0.523860393974655</v>
      </c>
      <c r="E489" s="83" t="n">
        <f aca="false">IF(D489&lt;(Inputs!$E$10-Inputs!$D$10)/(Inputs!$F$10-Inputs!$D$10),Inputs!$D$10+SQRT(D489*(Inputs!$F$10-Inputs!$D$10)*(Inputs!$E$10-Inputs!$D$10)),Inputs!$F$10-SQRT((1-D489)*(Inputs!$F$10-Inputs!$D$10)*(Inputs!$F$10-Inputs!$E$10)))</f>
        <v>0.0804835233921266</v>
      </c>
      <c r="F489" s="81" t="n">
        <f aca="true">RAND()</f>
        <v>0.87808792938825</v>
      </c>
      <c r="G489" s="83" t="n">
        <f aca="false">IF(F489&lt;(Inputs!$E$15-Inputs!$D$15)/(Inputs!$F$15-Inputs!$D$15),Inputs!$D$15+SQRT(F489*(Inputs!$F$15-Inputs!$D$15)*(Inputs!$E$15-Inputs!$D$15)),Inputs!$F$15-SQRT((1-F489)*(Inputs!$F$15-Inputs!$D$15)*(Inputs!$F$15-Inputs!$E$15)))</f>
        <v>0.750621447851977</v>
      </c>
      <c r="H489" s="81" t="n">
        <f aca="true">RAND()</f>
        <v>0.0632802031428956</v>
      </c>
      <c r="I489" s="82" t="n">
        <f aca="false">ROUND(IF(H489&lt;(Inputs!$E$17-Inputs!$D$17)/(Inputs!$F$17-Inputs!$D$17),Inputs!$D$17+SQRT(H489*(Inputs!$F$17-Inputs!$D$17)*(Inputs!$E$17-Inputs!$D$17)),Inputs!$F$17-SQRT((1-H489)*(Inputs!$F$17-Inputs!$D$17)*(Inputs!$F$17-Inputs!$E$17))),0)</f>
        <v>102</v>
      </c>
      <c r="J489" s="81" t="n">
        <f aca="true">RAND()</f>
        <v>0.536301581154485</v>
      </c>
      <c r="K489" s="83" t="n">
        <f aca="false">IF(J489&lt;(Inputs!$E$18-Inputs!$D$18)/(Inputs!$F$18-Inputs!$D$18),Inputs!$D$18+SQRT(J489*(Inputs!$F$18-Inputs!$D$18)*(Inputs!$E$18-Inputs!$D$18)),Inputs!$F$18-SQRT((1-J489)*(Inputs!$F$18-Inputs!$D$18)*(Inputs!$F$18-Inputs!$E$18)))</f>
        <v>1.04857107544103</v>
      </c>
      <c r="L489" s="81" t="n">
        <f aca="true">RAND()</f>
        <v>0.0591934769189626</v>
      </c>
      <c r="M489" s="83" t="n">
        <f aca="false">IF(L489&lt;(Inputs!$E$24-Inputs!$D$24)/(Inputs!$F$24-Inputs!$D$24),Inputs!$D$24+SQRT(L489*(Inputs!$F$24-Inputs!$D$24)*(Inputs!$E$24-Inputs!$D$24)),Inputs!$F$24-SQRT((1-L489)*(Inputs!$F$24-Inputs!$D$24)*(Inputs!$F$24-Inputs!$E$24)))</f>
        <v>0.684280586319007</v>
      </c>
      <c r="N489" s="81" t="n">
        <f aca="true">RAND()</f>
        <v>0.159183815460477</v>
      </c>
      <c r="O489" s="83" t="n">
        <f aca="false">IF(N489&lt;(Inputs!$E$26-Inputs!$D$26)/(Inputs!$F$26-Inputs!$D$26),Inputs!$D$26+SQRT(N489*(Inputs!$F$26-Inputs!$D$26)*(Inputs!$E$26-Inputs!$D$26)),Inputs!$F$26-SQRT((1-N489)*(Inputs!$F$26-Inputs!$D$26)*(Inputs!$F$26-Inputs!$E$26)))</f>
        <v>0.462751918245603</v>
      </c>
      <c r="P489" s="81" t="n">
        <f aca="true">RAND()</f>
        <v>0.307879907277068</v>
      </c>
      <c r="Q489" s="82" t="n">
        <f aca="false">IF(P489&lt;(Inputs!$E$27-Inputs!$D$27)/(Inputs!$F$27-Inputs!$D$27),Inputs!$D$27+SQRT(P489*(Inputs!$F$27-Inputs!$D$27)*(Inputs!$E$27-Inputs!$D$27)),Inputs!$F$27-SQRT((1-P489)*(Inputs!$F$27-Inputs!$D$27)*(Inputs!$F$27-Inputs!$E$27)))</f>
        <v>77.9520944411151</v>
      </c>
      <c r="R489" s="81" t="n">
        <f aca="true">RAND()</f>
        <v>0.280542562211941</v>
      </c>
      <c r="S489" s="82" t="n">
        <f aca="false">IF(R489&lt;(Inputs!$E$29-Inputs!$D$29)/(Inputs!$F$29-Inputs!$D$29),Inputs!$D$29+SQRT(R489*(Inputs!$F$29-Inputs!$D$29)*(Inputs!$E$29-Inputs!$D$29)),Inputs!$F$29-SQRT((1-R489)*(Inputs!$F$29-Inputs!$D$29)*(Inputs!$F$29-Inputs!$E$29)))</f>
        <v>5.32893661935526</v>
      </c>
      <c r="T489" s="68" t="n">
        <f aca="false">Inputs!$E$9*(1+E489)+Inputs!$E$5*C489*(Inputs!$E$11*Inputs!$E$14*(G489*I489/Inputs!$E$16+(1-G489))*K489+Inputs!$E$23*M489)*(1+O489)+Inputs!$E$5*(Q489+S489)</f>
        <v>5872.20121737474</v>
      </c>
    </row>
    <row r="490" customFormat="false" ht="15" hidden="false" customHeight="false" outlineLevel="0" collapsed="false">
      <c r="A490" s="1" t="n">
        <v>486</v>
      </c>
      <c r="B490" s="81" t="n">
        <f aca="true">RAND()</f>
        <v>0.142039494894109</v>
      </c>
      <c r="C490" s="82" t="n">
        <f aca="false">ROUND(IF(B490&lt;(Inputs!$E$8-Inputs!$D$8)/(Inputs!$F$8-Inputs!$D$8),Inputs!$D$8+SQRT(B490*(Inputs!$F$8-Inputs!$D$8)*(Inputs!$E$8-Inputs!$D$8)),Inputs!$F$8-SQRT((1-B490)*(Inputs!$F$8-Inputs!$D$8)*(Inputs!$F$8-Inputs!$E$8))),0)</f>
        <v>23</v>
      </c>
      <c r="D490" s="81" t="n">
        <f aca="true">RAND()</f>
        <v>0.377281673754533</v>
      </c>
      <c r="E490" s="83" t="n">
        <f aca="false">IF(D490&lt;(Inputs!$E$10-Inputs!$D$10)/(Inputs!$F$10-Inputs!$D$10),Inputs!$D$10+SQRT(D490*(Inputs!$F$10-Inputs!$D$10)*(Inputs!$E$10-Inputs!$D$10)),Inputs!$F$10-SQRT((1-D490)*(Inputs!$F$10-Inputs!$D$10)*(Inputs!$F$10-Inputs!$E$10)))</f>
        <v>0.0633195339949267</v>
      </c>
      <c r="F490" s="81" t="n">
        <f aca="true">RAND()</f>
        <v>0.477517515805863</v>
      </c>
      <c r="G490" s="83" t="n">
        <f aca="false">IF(F490&lt;(Inputs!$E$15-Inputs!$D$15)/(Inputs!$F$15-Inputs!$D$15),Inputs!$D$15+SQRT(F490*(Inputs!$F$15-Inputs!$D$15)*(Inputs!$E$15-Inputs!$D$15)),Inputs!$F$15-SQRT((1-F490)*(Inputs!$F$15-Inputs!$D$15)*(Inputs!$F$15-Inputs!$E$15)))</f>
        <v>0.697725893785205</v>
      </c>
      <c r="H490" s="81" t="n">
        <f aca="true">RAND()</f>
        <v>0.205515716004867</v>
      </c>
      <c r="I490" s="82" t="n">
        <f aca="false">ROUND(IF(H490&lt;(Inputs!$E$17-Inputs!$D$17)/(Inputs!$F$17-Inputs!$D$17),Inputs!$D$17+SQRT(H490*(Inputs!$F$17-Inputs!$D$17)*(Inputs!$E$17-Inputs!$D$17)),Inputs!$F$17-SQRT((1-H490)*(Inputs!$F$17-Inputs!$D$17)*(Inputs!$F$17-Inputs!$E$17))),0)</f>
        <v>104</v>
      </c>
      <c r="J490" s="81" t="n">
        <f aca="true">RAND()</f>
        <v>0.766437601349677</v>
      </c>
      <c r="K490" s="83" t="n">
        <f aca="false">IF(J490&lt;(Inputs!$E$18-Inputs!$D$18)/(Inputs!$F$18-Inputs!$D$18),Inputs!$D$18+SQRT(J490*(Inputs!$F$18-Inputs!$D$18)*(Inputs!$E$18-Inputs!$D$18)),Inputs!$F$18-SQRT((1-J490)*(Inputs!$F$18-Inputs!$D$18)*(Inputs!$F$18-Inputs!$E$18)))</f>
        <v>1.10704297889959</v>
      </c>
      <c r="L490" s="81" t="n">
        <f aca="true">RAND()</f>
        <v>0.701227741429579</v>
      </c>
      <c r="M490" s="83" t="n">
        <f aca="false">IF(L490&lt;(Inputs!$E$24-Inputs!$D$24)/(Inputs!$F$24-Inputs!$D$24),Inputs!$D$24+SQRT(L490*(Inputs!$F$24-Inputs!$D$24)*(Inputs!$E$24-Inputs!$D$24)),Inputs!$F$24-SQRT((1-L490)*(Inputs!$F$24-Inputs!$D$24)*(Inputs!$F$24-Inputs!$E$24)))</f>
        <v>0.932221468267337</v>
      </c>
      <c r="N490" s="81" t="n">
        <f aca="true">RAND()</f>
        <v>0.405049819659841</v>
      </c>
      <c r="O490" s="83" t="n">
        <f aca="false">IF(N490&lt;(Inputs!$E$26-Inputs!$D$26)/(Inputs!$F$26-Inputs!$D$26),Inputs!$D$26+SQRT(N490*(Inputs!$F$26-Inputs!$D$26)*(Inputs!$E$26-Inputs!$D$26)),Inputs!$F$26-SQRT((1-N490)*(Inputs!$F$26-Inputs!$D$26)*(Inputs!$F$26-Inputs!$E$26)))</f>
        <v>0.559615658216907</v>
      </c>
      <c r="P490" s="81" t="n">
        <f aca="true">RAND()</f>
        <v>0.957644126597856</v>
      </c>
      <c r="Q490" s="82" t="n">
        <f aca="false">IF(P490&lt;(Inputs!$E$27-Inputs!$D$27)/(Inputs!$F$27-Inputs!$D$27),Inputs!$D$27+SQRT(P490*(Inputs!$F$27-Inputs!$D$27)*(Inputs!$E$27-Inputs!$D$27)),Inputs!$F$27-SQRT((1-P490)*(Inputs!$F$27-Inputs!$D$27)*(Inputs!$F$27-Inputs!$E$27)))</f>
        <v>132.176727278188</v>
      </c>
      <c r="R490" s="81" t="n">
        <f aca="true">RAND()</f>
        <v>0.0066387722257207</v>
      </c>
      <c r="S490" s="82" t="n">
        <f aca="false">IF(R490&lt;(Inputs!$E$29-Inputs!$D$29)/(Inputs!$F$29-Inputs!$D$29),Inputs!$D$29+SQRT(R490*(Inputs!$F$29-Inputs!$D$29)*(Inputs!$E$29-Inputs!$D$29)),Inputs!$F$29-SQRT((1-R490)*(Inputs!$F$29-Inputs!$D$29)*(Inputs!$F$29-Inputs!$E$29)))</f>
        <v>2.50883407590599</v>
      </c>
      <c r="T490" s="68" t="n">
        <f aca="false">Inputs!$E$9*(1+E490)+Inputs!$E$5*C490*(Inputs!$E$11*Inputs!$E$14*(G490*I490/Inputs!$E$16+(1-G490))*K490+Inputs!$E$23*M490)*(1+O490)+Inputs!$E$5*(Q490+S490)</f>
        <v>6328.88439892022</v>
      </c>
    </row>
    <row r="491" customFormat="false" ht="15" hidden="false" customHeight="false" outlineLevel="0" collapsed="false">
      <c r="A491" s="1" t="n">
        <v>487</v>
      </c>
      <c r="B491" s="81" t="n">
        <f aca="true">RAND()</f>
        <v>0.729518500335634</v>
      </c>
      <c r="C491" s="82" t="n">
        <f aca="false">ROUND(IF(B491&lt;(Inputs!$E$8-Inputs!$D$8)/(Inputs!$F$8-Inputs!$D$8),Inputs!$D$8+SQRT(B491*(Inputs!$F$8-Inputs!$D$8)*(Inputs!$E$8-Inputs!$D$8)),Inputs!$F$8-SQRT((1-B491)*(Inputs!$F$8-Inputs!$D$8)*(Inputs!$F$8-Inputs!$E$8))),0)</f>
        <v>26</v>
      </c>
      <c r="D491" s="81" t="n">
        <f aca="true">RAND()</f>
        <v>0.322693480947849</v>
      </c>
      <c r="E491" s="83" t="n">
        <f aca="false">IF(D491&lt;(Inputs!$E$10-Inputs!$D$10)/(Inputs!$F$10-Inputs!$D$10),Inputs!$D$10+SQRT(D491*(Inputs!$F$10-Inputs!$D$10)*(Inputs!$E$10-Inputs!$D$10)),Inputs!$F$10-SQRT((1-D491)*(Inputs!$F$10-Inputs!$D$10)*(Inputs!$F$10-Inputs!$E$10)))</f>
        <v>0.0574545841790606</v>
      </c>
      <c r="F491" s="81" t="n">
        <f aca="true">RAND()</f>
        <v>0.249439888841537</v>
      </c>
      <c r="G491" s="83" t="n">
        <f aca="false">IF(F491&lt;(Inputs!$E$15-Inputs!$D$15)/(Inputs!$F$15-Inputs!$D$15),Inputs!$D$15+SQRT(F491*(Inputs!$F$15-Inputs!$D$15)*(Inputs!$E$15-Inputs!$D$15)),Inputs!$F$15-SQRT((1-F491)*(Inputs!$F$15-Inputs!$D$15)*(Inputs!$F$15-Inputs!$E$15)))</f>
        <v>0.670631422021865</v>
      </c>
      <c r="H491" s="81" t="n">
        <f aca="true">RAND()</f>
        <v>0.67023871827149</v>
      </c>
      <c r="I491" s="82" t="n">
        <f aca="false">ROUND(IF(H491&lt;(Inputs!$E$17-Inputs!$D$17)/(Inputs!$F$17-Inputs!$D$17),Inputs!$D$17+SQRT(H491*(Inputs!$F$17-Inputs!$D$17)*(Inputs!$E$17-Inputs!$D$17)),Inputs!$F$17-SQRT((1-H491)*(Inputs!$F$17-Inputs!$D$17)*(Inputs!$F$17-Inputs!$E$17))),0)</f>
        <v>108</v>
      </c>
      <c r="J491" s="81" t="n">
        <f aca="true">RAND()</f>
        <v>0.680579208903756</v>
      </c>
      <c r="K491" s="83" t="n">
        <f aca="false">IF(J491&lt;(Inputs!$E$18-Inputs!$D$18)/(Inputs!$F$18-Inputs!$D$18),Inputs!$D$18+SQRT(J491*(Inputs!$F$18-Inputs!$D$18)*(Inputs!$E$18-Inputs!$D$18)),Inputs!$F$18-SQRT((1-J491)*(Inputs!$F$18-Inputs!$D$18)*(Inputs!$F$18-Inputs!$E$18)))</f>
        <v>1.08281950107467</v>
      </c>
      <c r="L491" s="81" t="n">
        <f aca="true">RAND()</f>
        <v>0.730708172287771</v>
      </c>
      <c r="M491" s="83" t="n">
        <f aca="false">IF(L491&lt;(Inputs!$E$24-Inputs!$D$24)/(Inputs!$F$24-Inputs!$D$24),Inputs!$D$24+SQRT(L491*(Inputs!$F$24-Inputs!$D$24)*(Inputs!$E$24-Inputs!$D$24)),Inputs!$F$24-SQRT((1-L491)*(Inputs!$F$24-Inputs!$D$24)*(Inputs!$F$24-Inputs!$E$24)))</f>
        <v>0.945775613579391</v>
      </c>
      <c r="N491" s="81" t="n">
        <f aca="true">RAND()</f>
        <v>0.862614747211467</v>
      </c>
      <c r="O491" s="83" t="n">
        <f aca="false">IF(N491&lt;(Inputs!$E$26-Inputs!$D$26)/(Inputs!$F$26-Inputs!$D$26),Inputs!$D$26+SQRT(N491*(Inputs!$F$26-Inputs!$D$26)*(Inputs!$E$26-Inputs!$D$26)),Inputs!$F$26-SQRT((1-N491)*(Inputs!$F$26-Inputs!$D$26)*(Inputs!$F$26-Inputs!$E$26)))</f>
        <v>0.700467300331636</v>
      </c>
      <c r="P491" s="81" t="n">
        <f aca="true">RAND()</f>
        <v>0.877173157581835</v>
      </c>
      <c r="Q491" s="82" t="n">
        <f aca="false">IF(P491&lt;(Inputs!$E$27-Inputs!$D$27)/(Inputs!$F$27-Inputs!$D$27),Inputs!$D$27+SQRT(P491*(Inputs!$F$27-Inputs!$D$27)*(Inputs!$E$27-Inputs!$D$27)),Inputs!$F$27-SQRT((1-P491)*(Inputs!$F$27-Inputs!$D$27)*(Inputs!$F$27-Inputs!$E$27)))</f>
        <v>119.648701541182</v>
      </c>
      <c r="R491" s="81" t="n">
        <f aca="true">RAND()</f>
        <v>0.899677255085808</v>
      </c>
      <c r="S491" s="82" t="n">
        <f aca="false">IF(R491&lt;(Inputs!$E$29-Inputs!$D$29)/(Inputs!$F$29-Inputs!$D$29),Inputs!$D$29+SQRT(R491*(Inputs!$F$29-Inputs!$D$29)*(Inputs!$E$29-Inputs!$D$29)),Inputs!$F$29-SQRT((1-R491)*(Inputs!$F$29-Inputs!$D$29)*(Inputs!$F$29-Inputs!$E$29)))</f>
        <v>11.388635044911</v>
      </c>
      <c r="T491" s="68" t="n">
        <f aca="false">Inputs!$E$9*(1+E491)+Inputs!$E$5*C491*(Inputs!$E$11*Inputs!$E$14*(G491*I491/Inputs!$E$16+(1-G491))*K491+Inputs!$E$23*M491)*(1+O491)+Inputs!$E$5*(Q491+S491)</f>
        <v>7130.11363703324</v>
      </c>
    </row>
    <row r="492" customFormat="false" ht="15" hidden="false" customHeight="false" outlineLevel="0" collapsed="false">
      <c r="A492" s="1" t="n">
        <v>488</v>
      </c>
      <c r="B492" s="81" t="n">
        <f aca="true">RAND()</f>
        <v>0.987482657405286</v>
      </c>
      <c r="C492" s="82" t="n">
        <f aca="false">ROUND(IF(B492&lt;(Inputs!$E$8-Inputs!$D$8)/(Inputs!$F$8-Inputs!$D$8),Inputs!$D$8+SQRT(B492*(Inputs!$F$8-Inputs!$D$8)*(Inputs!$E$8-Inputs!$D$8)),Inputs!$F$8-SQRT((1-B492)*(Inputs!$F$8-Inputs!$D$8)*(Inputs!$F$8-Inputs!$E$8))),0)</f>
        <v>29</v>
      </c>
      <c r="D492" s="81" t="n">
        <f aca="true">RAND()</f>
        <v>0.366094687849427</v>
      </c>
      <c r="E492" s="83" t="n">
        <f aca="false">IF(D492&lt;(Inputs!$E$10-Inputs!$D$10)/(Inputs!$F$10-Inputs!$D$10),Inputs!$D$10+SQRT(D492*(Inputs!$F$10-Inputs!$D$10)*(Inputs!$E$10-Inputs!$D$10)),Inputs!$F$10-SQRT((1-D492)*(Inputs!$F$10-Inputs!$D$10)*(Inputs!$F$10-Inputs!$E$10)))</f>
        <v>0.062097282969054</v>
      </c>
      <c r="F492" s="81" t="n">
        <f aca="true">RAND()</f>
        <v>0.835576541971521</v>
      </c>
      <c r="G492" s="83" t="n">
        <f aca="false">IF(F492&lt;(Inputs!$E$15-Inputs!$D$15)/(Inputs!$F$15-Inputs!$D$15),Inputs!$D$15+SQRT(F492*(Inputs!$F$15-Inputs!$D$15)*(Inputs!$E$15-Inputs!$D$15)),Inputs!$F$15-SQRT((1-F492)*(Inputs!$F$15-Inputs!$D$15)*(Inputs!$F$15-Inputs!$E$15)))</f>
        <v>0.742654824435097</v>
      </c>
      <c r="H492" s="81" t="n">
        <f aca="true">RAND()</f>
        <v>0.844130555700949</v>
      </c>
      <c r="I492" s="82" t="n">
        <f aca="false">ROUND(IF(H492&lt;(Inputs!$E$17-Inputs!$D$17)/(Inputs!$F$17-Inputs!$D$17),Inputs!$D$17+SQRT(H492*(Inputs!$F$17-Inputs!$D$17)*(Inputs!$E$17-Inputs!$D$17)),Inputs!$F$17-SQRT((1-H492)*(Inputs!$F$17-Inputs!$D$17)*(Inputs!$F$17-Inputs!$E$17))),0)</f>
        <v>110</v>
      </c>
      <c r="J492" s="81" t="n">
        <f aca="true">RAND()</f>
        <v>0.803883879466963</v>
      </c>
      <c r="K492" s="83" t="n">
        <f aca="false">IF(J492&lt;(Inputs!$E$18-Inputs!$D$18)/(Inputs!$F$18-Inputs!$D$18),Inputs!$D$18+SQRT(J492*(Inputs!$F$18-Inputs!$D$18)*(Inputs!$E$18-Inputs!$D$18)),Inputs!$F$18-SQRT((1-J492)*(Inputs!$F$18-Inputs!$D$18)*(Inputs!$F$18-Inputs!$E$18)))</f>
        <v>1.11900320405964</v>
      </c>
      <c r="L492" s="81" t="n">
        <f aca="true">RAND()</f>
        <v>0.50260607508504</v>
      </c>
      <c r="M492" s="83" t="n">
        <f aca="false">IF(L492&lt;(Inputs!$E$24-Inputs!$D$24)/(Inputs!$F$24-Inputs!$D$24),Inputs!$D$24+SQRT(L492*(Inputs!$F$24-Inputs!$D$24)*(Inputs!$E$24-Inputs!$D$24)),Inputs!$F$24-SQRT((1-L492)*(Inputs!$F$24-Inputs!$D$24)*(Inputs!$F$24-Inputs!$E$24)))</f>
        <v>0.854493788797379</v>
      </c>
      <c r="N492" s="81" t="n">
        <f aca="true">RAND()</f>
        <v>0.91274888330579</v>
      </c>
      <c r="O492" s="83" t="n">
        <f aca="false">IF(N492&lt;(Inputs!$E$26-Inputs!$D$26)/(Inputs!$F$26-Inputs!$D$26),Inputs!$D$26+SQRT(N492*(Inputs!$F$26-Inputs!$D$26)*(Inputs!$E$26-Inputs!$D$26)),Inputs!$F$26-SQRT((1-N492)*(Inputs!$F$26-Inputs!$D$26)*(Inputs!$F$26-Inputs!$E$26)))</f>
        <v>0.724741844778529</v>
      </c>
      <c r="P492" s="81" t="n">
        <f aca="true">RAND()</f>
        <v>0.0976621793871893</v>
      </c>
      <c r="Q492" s="82" t="n">
        <f aca="false">IF(P492&lt;(Inputs!$E$27-Inputs!$D$27)/(Inputs!$F$27-Inputs!$D$27),Inputs!$D$27+SQRT(P492*(Inputs!$F$27-Inputs!$D$27)*(Inputs!$E$27-Inputs!$D$27)),Inputs!$F$27-SQRT((1-P492)*(Inputs!$F$27-Inputs!$D$27)*(Inputs!$F$27-Inputs!$E$27)))</f>
        <v>65.6254743437751</v>
      </c>
      <c r="R492" s="81" t="n">
        <f aca="true">RAND()</f>
        <v>0.382426625741286</v>
      </c>
      <c r="S492" s="82" t="n">
        <f aca="false">IF(R492&lt;(Inputs!$E$29-Inputs!$D$29)/(Inputs!$F$29-Inputs!$D$29),Inputs!$D$29+SQRT(R492*(Inputs!$F$29-Inputs!$D$29)*(Inputs!$E$29-Inputs!$D$29)),Inputs!$F$29-SQRT((1-R492)*(Inputs!$F$29-Inputs!$D$29)*(Inputs!$F$29-Inputs!$E$29)))</f>
        <v>6.03983601413273</v>
      </c>
      <c r="T492" s="68" t="n">
        <f aca="false">Inputs!$E$9*(1+E492)+Inputs!$E$5*C492*(Inputs!$E$11*Inputs!$E$14*(G492*I492/Inputs!$E$16+(1-G492))*K492+Inputs!$E$23*M492)*(1+O492)+Inputs!$E$5*(Q492+S492)</f>
        <v>7231.29178250622</v>
      </c>
    </row>
    <row r="493" customFormat="false" ht="15" hidden="false" customHeight="false" outlineLevel="0" collapsed="false">
      <c r="A493" s="1" t="n">
        <v>489</v>
      </c>
      <c r="B493" s="81" t="n">
        <f aca="true">RAND()</f>
        <v>0.304230752583688</v>
      </c>
      <c r="C493" s="82" t="n">
        <f aca="false">ROUND(IF(B493&lt;(Inputs!$E$8-Inputs!$D$8)/(Inputs!$F$8-Inputs!$D$8),Inputs!$D$8+SQRT(B493*(Inputs!$F$8-Inputs!$D$8)*(Inputs!$E$8-Inputs!$D$8)),Inputs!$F$8-SQRT((1-B493)*(Inputs!$F$8-Inputs!$D$8)*(Inputs!$F$8-Inputs!$E$8))),0)</f>
        <v>24</v>
      </c>
      <c r="D493" s="81" t="n">
        <f aca="true">RAND()</f>
        <v>0.139543766768459</v>
      </c>
      <c r="E493" s="83" t="n">
        <f aca="false">IF(D493&lt;(Inputs!$E$10-Inputs!$D$10)/(Inputs!$F$10-Inputs!$D$10),Inputs!$D$10+SQRT(D493*(Inputs!$F$10-Inputs!$D$10)*(Inputs!$E$10-Inputs!$D$10)),Inputs!$F$10-SQRT((1-D493)*(Inputs!$F$10-Inputs!$D$10)*(Inputs!$F$10-Inputs!$E$10)))</f>
        <v>0.0373555573868814</v>
      </c>
      <c r="F493" s="81" t="n">
        <f aca="true">RAND()</f>
        <v>0.21386804327494</v>
      </c>
      <c r="G493" s="83" t="n">
        <f aca="false">IF(F493&lt;(Inputs!$E$15-Inputs!$D$15)/(Inputs!$F$15-Inputs!$D$15),Inputs!$D$15+SQRT(F493*(Inputs!$F$15-Inputs!$D$15)*(Inputs!$E$15-Inputs!$D$15)),Inputs!$F$15-SQRT((1-F493)*(Inputs!$F$15-Inputs!$D$15)*(Inputs!$F$15-Inputs!$E$15)))</f>
        <v>0.665401535650922</v>
      </c>
      <c r="H493" s="81" t="n">
        <f aca="true">RAND()</f>
        <v>0.143336448402687</v>
      </c>
      <c r="I493" s="82" t="n">
        <f aca="false">ROUND(IF(H493&lt;(Inputs!$E$17-Inputs!$D$17)/(Inputs!$F$17-Inputs!$D$17),Inputs!$D$17+SQRT(H493*(Inputs!$F$17-Inputs!$D$17)*(Inputs!$E$17-Inputs!$D$17)),Inputs!$F$17-SQRT((1-H493)*(Inputs!$F$17-Inputs!$D$17)*(Inputs!$F$17-Inputs!$E$17))),0)</f>
        <v>103</v>
      </c>
      <c r="J493" s="81" t="n">
        <f aca="true">RAND()</f>
        <v>0.939492941946524</v>
      </c>
      <c r="K493" s="83" t="n">
        <f aca="false">IF(J493&lt;(Inputs!$E$18-Inputs!$D$18)/(Inputs!$F$18-Inputs!$D$18),Inputs!$D$18+SQRT(J493*(Inputs!$F$18-Inputs!$D$18)*(Inputs!$E$18-Inputs!$D$18)),Inputs!$F$18-SQRT((1-J493)*(Inputs!$F$18-Inputs!$D$18)*(Inputs!$F$18-Inputs!$E$18)))</f>
        <v>1.17723759501172</v>
      </c>
      <c r="L493" s="81" t="n">
        <f aca="true">RAND()</f>
        <v>0.187841482198094</v>
      </c>
      <c r="M493" s="83" t="n">
        <f aca="false">IF(L493&lt;(Inputs!$E$24-Inputs!$D$24)/(Inputs!$F$24-Inputs!$D$24),Inputs!$D$24+SQRT(L493*(Inputs!$F$24-Inputs!$D$24)*(Inputs!$E$24-Inputs!$D$24)),Inputs!$F$24-SQRT((1-L493)*(Inputs!$F$24-Inputs!$D$24)*(Inputs!$F$24-Inputs!$E$24)))</f>
        <v>0.750136530743758</v>
      </c>
      <c r="N493" s="81" t="n">
        <f aca="true">RAND()</f>
        <v>0.166306440535036</v>
      </c>
      <c r="O493" s="83" t="n">
        <f aca="false">IF(N493&lt;(Inputs!$E$26-Inputs!$D$26)/(Inputs!$F$26-Inputs!$D$26),Inputs!$D$26+SQRT(N493*(Inputs!$F$26-Inputs!$D$26)*(Inputs!$E$26-Inputs!$D$26)),Inputs!$F$26-SQRT((1-N493)*(Inputs!$F$26-Inputs!$D$26)*(Inputs!$F$26-Inputs!$E$26)))</f>
        <v>0.466353213690118</v>
      </c>
      <c r="P493" s="81" t="n">
        <f aca="true">RAND()</f>
        <v>0.141234927104817</v>
      </c>
      <c r="Q493" s="82" t="n">
        <f aca="false">IF(P493&lt;(Inputs!$E$27-Inputs!$D$27)/(Inputs!$F$27-Inputs!$D$27),Inputs!$D$27+SQRT(P493*(Inputs!$F$27-Inputs!$D$27)*(Inputs!$E$27-Inputs!$D$27)),Inputs!$F$27-SQRT((1-P493)*(Inputs!$F$27-Inputs!$D$27)*(Inputs!$F$27-Inputs!$E$27)))</f>
        <v>68.7906178121434</v>
      </c>
      <c r="R493" s="81" t="n">
        <f aca="true">RAND()</f>
        <v>0.297243021136891</v>
      </c>
      <c r="S493" s="82" t="n">
        <f aca="false">IF(R493&lt;(Inputs!$E$29-Inputs!$D$29)/(Inputs!$F$29-Inputs!$D$29),Inputs!$D$29+SQRT(R493*(Inputs!$F$29-Inputs!$D$29)*(Inputs!$E$29-Inputs!$D$29)),Inputs!$F$29-SQRT((1-R493)*(Inputs!$F$29-Inputs!$D$29)*(Inputs!$F$29-Inputs!$E$29)))</f>
        <v>5.44184080211026</v>
      </c>
      <c r="T493" s="68" t="n">
        <f aca="false">Inputs!$E$9*(1+E493)+Inputs!$E$5*C493*(Inputs!$E$11*Inputs!$E$14*(G493*I493/Inputs!$E$16+(1-G493))*K493+Inputs!$E$23*M493)*(1+O493)+Inputs!$E$5*(Q493+S493)</f>
        <v>5844.10845914363</v>
      </c>
    </row>
    <row r="494" customFormat="false" ht="15" hidden="false" customHeight="false" outlineLevel="0" collapsed="false">
      <c r="A494" s="1" t="n">
        <v>490</v>
      </c>
      <c r="B494" s="81" t="n">
        <f aca="true">RAND()</f>
        <v>0.992302971240883</v>
      </c>
      <c r="C494" s="82" t="n">
        <f aca="false">ROUND(IF(B494&lt;(Inputs!$E$8-Inputs!$D$8)/(Inputs!$F$8-Inputs!$D$8),Inputs!$D$8+SQRT(B494*(Inputs!$F$8-Inputs!$D$8)*(Inputs!$E$8-Inputs!$D$8)),Inputs!$F$8-SQRT((1-B494)*(Inputs!$F$8-Inputs!$D$8)*(Inputs!$F$8-Inputs!$E$8))),0)</f>
        <v>29</v>
      </c>
      <c r="D494" s="81" t="n">
        <f aca="true">RAND()</f>
        <v>0.815726048289429</v>
      </c>
      <c r="E494" s="83" t="n">
        <f aca="false">IF(D494&lt;(Inputs!$E$10-Inputs!$D$10)/(Inputs!$F$10-Inputs!$D$10),Inputs!$D$10+SQRT(D494*(Inputs!$F$10-Inputs!$D$10)*(Inputs!$E$10-Inputs!$D$10)),Inputs!$F$10-SQRT((1-D494)*(Inputs!$F$10-Inputs!$D$10)*(Inputs!$F$10-Inputs!$E$10)))</f>
        <v>0.12564800909648</v>
      </c>
      <c r="F494" s="81" t="n">
        <f aca="true">RAND()</f>
        <v>0.45087462722581</v>
      </c>
      <c r="G494" s="83" t="n">
        <f aca="false">IF(F494&lt;(Inputs!$E$15-Inputs!$D$15)/(Inputs!$F$15-Inputs!$D$15),Inputs!$D$15+SQRT(F494*(Inputs!$F$15-Inputs!$D$15)*(Inputs!$E$15-Inputs!$D$15)),Inputs!$F$15-SQRT((1-F494)*(Inputs!$F$15-Inputs!$D$15)*(Inputs!$F$15-Inputs!$E$15)))</f>
        <v>0.694960478855765</v>
      </c>
      <c r="H494" s="81" t="n">
        <f aca="true">RAND()</f>
        <v>0.299573681707452</v>
      </c>
      <c r="I494" s="82" t="n">
        <f aca="false">ROUND(IF(H494&lt;(Inputs!$E$17-Inputs!$D$17)/(Inputs!$F$17-Inputs!$D$17),Inputs!$D$17+SQRT(H494*(Inputs!$F$17-Inputs!$D$17)*(Inputs!$E$17-Inputs!$D$17)),Inputs!$F$17-SQRT((1-H494)*(Inputs!$F$17-Inputs!$D$17)*(Inputs!$F$17-Inputs!$E$17))),0)</f>
        <v>105</v>
      </c>
      <c r="J494" s="81" t="n">
        <f aca="true">RAND()</f>
        <v>0.609065568760258</v>
      </c>
      <c r="K494" s="83" t="n">
        <f aca="false">IF(J494&lt;(Inputs!$E$18-Inputs!$D$18)/(Inputs!$F$18-Inputs!$D$18),Inputs!$D$18+SQRT(J494*(Inputs!$F$18-Inputs!$D$18)*(Inputs!$E$18-Inputs!$D$18)),Inputs!$F$18-SQRT((1-J494)*(Inputs!$F$18-Inputs!$D$18)*(Inputs!$F$18-Inputs!$E$18)))</f>
        <v>1.06504929647747</v>
      </c>
      <c r="L494" s="81" t="n">
        <f aca="true">RAND()</f>
        <v>0.49049756814224</v>
      </c>
      <c r="M494" s="83" t="n">
        <f aca="false">IF(L494&lt;(Inputs!$E$24-Inputs!$D$24)/(Inputs!$F$24-Inputs!$D$24),Inputs!$D$24+SQRT(L494*(Inputs!$F$24-Inputs!$D$24)*(Inputs!$E$24-Inputs!$D$24)),Inputs!$F$24-SQRT((1-L494)*(Inputs!$F$24-Inputs!$D$24)*(Inputs!$F$24-Inputs!$E$24)))</f>
        <v>0.850313592420491</v>
      </c>
      <c r="N494" s="81" t="n">
        <f aca="true">RAND()</f>
        <v>0.864109107718838</v>
      </c>
      <c r="O494" s="83" t="n">
        <f aca="false">IF(N494&lt;(Inputs!$E$26-Inputs!$D$26)/(Inputs!$F$26-Inputs!$D$26),Inputs!$D$26+SQRT(N494*(Inputs!$F$26-Inputs!$D$26)*(Inputs!$E$26-Inputs!$D$26)),Inputs!$F$26-SQRT((1-N494)*(Inputs!$F$26-Inputs!$D$26)*(Inputs!$F$26-Inputs!$E$26)))</f>
        <v>0.701119165559621</v>
      </c>
      <c r="P494" s="81" t="n">
        <f aca="true">RAND()</f>
        <v>0.196605064085791</v>
      </c>
      <c r="Q494" s="82" t="n">
        <f aca="false">IF(P494&lt;(Inputs!$E$27-Inputs!$D$27)/(Inputs!$F$27-Inputs!$D$27),Inputs!$D$27+SQRT(P494*(Inputs!$F$27-Inputs!$D$27)*(Inputs!$E$27-Inputs!$D$27)),Inputs!$F$27-SQRT((1-P494)*(Inputs!$F$27-Inputs!$D$27)*(Inputs!$F$27-Inputs!$E$27)))</f>
        <v>72.1700848039532</v>
      </c>
      <c r="R494" s="81" t="n">
        <f aca="true">RAND()</f>
        <v>0.42223440032329</v>
      </c>
      <c r="S494" s="82" t="n">
        <f aca="false">IF(R494&lt;(Inputs!$E$29-Inputs!$D$29)/(Inputs!$F$29-Inputs!$D$29),Inputs!$D$29+SQRT(R494*(Inputs!$F$29-Inputs!$D$29)*(Inputs!$E$29-Inputs!$D$29)),Inputs!$F$29-SQRT((1-R494)*(Inputs!$F$29-Inputs!$D$29)*(Inputs!$F$29-Inputs!$E$29)))</f>
        <v>6.33342466957263</v>
      </c>
      <c r="T494" s="68" t="n">
        <f aca="false">Inputs!$E$9*(1+E494)+Inputs!$E$5*C494*(Inputs!$E$11*Inputs!$E$14*(G494*I494/Inputs!$E$16+(1-G494))*K494+Inputs!$E$23*M494)*(1+O494)+Inputs!$E$5*(Q494+S494)</f>
        <v>7194.78077657443</v>
      </c>
    </row>
    <row r="495" customFormat="false" ht="15" hidden="false" customHeight="false" outlineLevel="0" collapsed="false">
      <c r="A495" s="1" t="n">
        <v>491</v>
      </c>
      <c r="B495" s="81" t="n">
        <f aca="true">RAND()</f>
        <v>0.384512281334835</v>
      </c>
      <c r="C495" s="82" t="n">
        <f aca="false">ROUND(IF(B495&lt;(Inputs!$E$8-Inputs!$D$8)/(Inputs!$F$8-Inputs!$D$8),Inputs!$D$8+SQRT(B495*(Inputs!$F$8-Inputs!$D$8)*(Inputs!$E$8-Inputs!$D$8)),Inputs!$F$8-SQRT((1-B495)*(Inputs!$F$8-Inputs!$D$8)*(Inputs!$F$8-Inputs!$E$8))),0)</f>
        <v>24</v>
      </c>
      <c r="D495" s="81" t="n">
        <f aca="true">RAND()</f>
        <v>0.335943733279406</v>
      </c>
      <c r="E495" s="83" t="n">
        <f aca="false">IF(D495&lt;(Inputs!$E$10-Inputs!$D$10)/(Inputs!$F$10-Inputs!$D$10),Inputs!$D$10+SQRT(D495*(Inputs!$F$10-Inputs!$D$10)*(Inputs!$E$10-Inputs!$D$10)),Inputs!$F$10-SQRT((1-D495)*(Inputs!$F$10-Inputs!$D$10)*(Inputs!$F$10-Inputs!$E$10)))</f>
        <v>0.0588557900528051</v>
      </c>
      <c r="F495" s="81" t="n">
        <f aca="true">RAND()</f>
        <v>0.177630132081145</v>
      </c>
      <c r="G495" s="83" t="n">
        <f aca="false">IF(F495&lt;(Inputs!$E$15-Inputs!$D$15)/(Inputs!$F$15-Inputs!$D$15),Inputs!$D$15+SQRT(F495*(Inputs!$F$15-Inputs!$D$15)*(Inputs!$E$15-Inputs!$D$15)),Inputs!$F$15-SQRT((1-F495)*(Inputs!$F$15-Inputs!$D$15)*(Inputs!$F$15-Inputs!$E$15)))</f>
        <v>0.659603713320756</v>
      </c>
      <c r="H495" s="81" t="n">
        <f aca="true">RAND()</f>
        <v>0.165782923140179</v>
      </c>
      <c r="I495" s="82" t="n">
        <f aca="false">ROUND(IF(H495&lt;(Inputs!$E$17-Inputs!$D$17)/(Inputs!$F$17-Inputs!$D$17),Inputs!$D$17+SQRT(H495*(Inputs!$F$17-Inputs!$D$17)*(Inputs!$E$17-Inputs!$D$17)),Inputs!$F$17-SQRT((1-H495)*(Inputs!$F$17-Inputs!$D$17)*(Inputs!$F$17-Inputs!$E$17))),0)</f>
        <v>104</v>
      </c>
      <c r="J495" s="81" t="n">
        <f aca="true">RAND()</f>
        <v>0.402928669393964</v>
      </c>
      <c r="K495" s="83" t="n">
        <f aca="false">IF(J495&lt;(Inputs!$E$18-Inputs!$D$18)/(Inputs!$F$18-Inputs!$D$18),Inputs!$D$18+SQRT(J495*(Inputs!$F$18-Inputs!$D$18)*(Inputs!$E$18-Inputs!$D$18)),Inputs!$F$18-SQRT((1-J495)*(Inputs!$F$18-Inputs!$D$18)*(Inputs!$F$18-Inputs!$E$18)))</f>
        <v>1.02143110135448</v>
      </c>
      <c r="L495" s="81" t="n">
        <f aca="true">RAND()</f>
        <v>0.217110038185016</v>
      </c>
      <c r="M495" s="83" t="n">
        <f aca="false">IF(L495&lt;(Inputs!$E$24-Inputs!$D$24)/(Inputs!$F$24-Inputs!$D$24),Inputs!$D$24+SQRT(L495*(Inputs!$F$24-Inputs!$D$24)*(Inputs!$E$24-Inputs!$D$24)),Inputs!$F$24-SQRT((1-L495)*(Inputs!$F$24-Inputs!$D$24)*(Inputs!$F$24-Inputs!$E$24)))</f>
        <v>0.761410051056934</v>
      </c>
      <c r="N495" s="81" t="n">
        <f aca="true">RAND()</f>
        <v>0.565212217688142</v>
      </c>
      <c r="O495" s="83" t="n">
        <f aca="false">IF(N495&lt;(Inputs!$E$26-Inputs!$D$26)/(Inputs!$F$26-Inputs!$D$26),Inputs!$D$26+SQRT(N495*(Inputs!$F$26-Inputs!$D$26)*(Inputs!$E$26-Inputs!$D$26)),Inputs!$F$26-SQRT((1-N495)*(Inputs!$F$26-Inputs!$D$26)*(Inputs!$F$26-Inputs!$E$26)))</f>
        <v>0.606677865232082</v>
      </c>
      <c r="P495" s="81" t="n">
        <f aca="true">RAND()</f>
        <v>0.602305907338104</v>
      </c>
      <c r="Q495" s="82" t="n">
        <f aca="false">IF(P495&lt;(Inputs!$E$27-Inputs!$D$27)/(Inputs!$F$27-Inputs!$D$27),Inputs!$D$27+SQRT(P495*(Inputs!$F$27-Inputs!$D$27)*(Inputs!$E$27-Inputs!$D$27)),Inputs!$F$27-SQRT((1-P495)*(Inputs!$F$27-Inputs!$D$27)*(Inputs!$F$27-Inputs!$E$27)))</f>
        <v>95.3858471184967</v>
      </c>
      <c r="R495" s="81" t="n">
        <f aca="true">RAND()</f>
        <v>0.18458359647126</v>
      </c>
      <c r="S495" s="82" t="n">
        <f aca="false">IF(R495&lt;(Inputs!$E$29-Inputs!$D$29)/(Inputs!$F$29-Inputs!$D$29),Inputs!$D$29+SQRT(R495*(Inputs!$F$29-Inputs!$D$29)*(Inputs!$E$29-Inputs!$D$29)),Inputs!$F$29-SQRT((1-R495)*(Inputs!$F$29-Inputs!$D$29)*(Inputs!$F$29-Inputs!$E$29)))</f>
        <v>4.68305055158846</v>
      </c>
      <c r="T495" s="68" t="n">
        <f aca="false">Inputs!$E$9*(1+E495)+Inputs!$E$5*C495*(Inputs!$E$11*Inputs!$E$14*(G495*I495/Inputs!$E$16+(1-G495))*K495+Inputs!$E$23*M495)*(1+O495)+Inputs!$E$5*(Q495+S495)</f>
        <v>6033.81970484685</v>
      </c>
    </row>
    <row r="496" customFormat="false" ht="15" hidden="false" customHeight="false" outlineLevel="0" collapsed="false">
      <c r="A496" s="1" t="n">
        <v>492</v>
      </c>
      <c r="B496" s="81" t="n">
        <f aca="true">RAND()</f>
        <v>0.736700206793556</v>
      </c>
      <c r="C496" s="82" t="n">
        <f aca="false">ROUND(IF(B496&lt;(Inputs!$E$8-Inputs!$D$8)/(Inputs!$F$8-Inputs!$D$8),Inputs!$D$8+SQRT(B496*(Inputs!$F$8-Inputs!$D$8)*(Inputs!$E$8-Inputs!$D$8)),Inputs!$F$8-SQRT((1-B496)*(Inputs!$F$8-Inputs!$D$8)*(Inputs!$F$8-Inputs!$E$8))),0)</f>
        <v>26</v>
      </c>
      <c r="D496" s="81" t="n">
        <f aca="true">RAND()</f>
        <v>0.520219332316741</v>
      </c>
      <c r="E496" s="83" t="n">
        <f aca="false">IF(D496&lt;(Inputs!$E$10-Inputs!$D$10)/(Inputs!$F$10-Inputs!$D$10),Inputs!$D$10+SQRT(D496*(Inputs!$F$10-Inputs!$D$10)*(Inputs!$E$10-Inputs!$D$10)),Inputs!$F$10-SQRT((1-D496)*(Inputs!$F$10-Inputs!$D$10)*(Inputs!$F$10-Inputs!$E$10)))</f>
        <v>0.0800274196722528</v>
      </c>
      <c r="F496" s="81" t="n">
        <f aca="true">RAND()</f>
        <v>0.93159731353035</v>
      </c>
      <c r="G496" s="83" t="n">
        <f aca="false">IF(F496&lt;(Inputs!$E$15-Inputs!$D$15)/(Inputs!$F$15-Inputs!$D$15),Inputs!$D$15+SQRT(F496*(Inputs!$F$15-Inputs!$D$15)*(Inputs!$E$15-Inputs!$D$15)),Inputs!$F$15-SQRT((1-F496)*(Inputs!$F$15-Inputs!$D$15)*(Inputs!$F$15-Inputs!$E$15)))</f>
        <v>0.76301278965111</v>
      </c>
      <c r="H496" s="81" t="n">
        <f aca="true">RAND()</f>
        <v>0.374678372579875</v>
      </c>
      <c r="I496" s="82" t="n">
        <f aca="false">ROUND(IF(H496&lt;(Inputs!$E$17-Inputs!$D$17)/(Inputs!$F$17-Inputs!$D$17),Inputs!$D$17+SQRT(H496*(Inputs!$F$17-Inputs!$D$17)*(Inputs!$E$17-Inputs!$D$17)),Inputs!$F$17-SQRT((1-H496)*(Inputs!$F$17-Inputs!$D$17)*(Inputs!$F$17-Inputs!$E$17))),0)</f>
        <v>105</v>
      </c>
      <c r="J496" s="81" t="n">
        <f aca="true">RAND()</f>
        <v>0.424963023357184</v>
      </c>
      <c r="K496" s="83" t="n">
        <f aca="false">IF(J496&lt;(Inputs!$E$18-Inputs!$D$18)/(Inputs!$F$18-Inputs!$D$18),Inputs!$D$18+SQRT(J496*(Inputs!$F$18-Inputs!$D$18)*(Inputs!$E$18-Inputs!$D$18)),Inputs!$F$18-SQRT((1-J496)*(Inputs!$F$18-Inputs!$D$18)*(Inputs!$F$18-Inputs!$E$18)))</f>
        <v>1.02568830735727</v>
      </c>
      <c r="L496" s="81" t="n">
        <f aca="true">RAND()</f>
        <v>0.510340920494106</v>
      </c>
      <c r="M496" s="83" t="n">
        <f aca="false">IF(L496&lt;(Inputs!$E$24-Inputs!$D$24)/(Inputs!$F$24-Inputs!$D$24),Inputs!$D$24+SQRT(L496*(Inputs!$F$24-Inputs!$D$24)*(Inputs!$E$24-Inputs!$D$24)),Inputs!$F$24-SQRT((1-L496)*(Inputs!$F$24-Inputs!$D$24)*(Inputs!$F$24-Inputs!$E$24)))</f>
        <v>0.857190754089954</v>
      </c>
      <c r="N496" s="81" t="n">
        <f aca="true">RAND()</f>
        <v>0.643991443983889</v>
      </c>
      <c r="O496" s="83" t="n">
        <f aca="false">IF(N496&lt;(Inputs!$E$26-Inputs!$D$26)/(Inputs!$F$26-Inputs!$D$26),Inputs!$D$26+SQRT(N496*(Inputs!$F$26-Inputs!$D$26)*(Inputs!$E$26-Inputs!$D$26)),Inputs!$F$26-SQRT((1-N496)*(Inputs!$F$26-Inputs!$D$26)*(Inputs!$F$26-Inputs!$E$26)))</f>
        <v>0.627581472239091</v>
      </c>
      <c r="P496" s="81" t="n">
        <f aca="true">RAND()</f>
        <v>0.465570679188194</v>
      </c>
      <c r="Q496" s="82" t="n">
        <f aca="false">IF(P496&lt;(Inputs!$E$27-Inputs!$D$27)/(Inputs!$F$27-Inputs!$D$27),Inputs!$D$27+SQRT(P496*(Inputs!$F$27-Inputs!$D$27)*(Inputs!$E$27-Inputs!$D$27)),Inputs!$F$27-SQRT((1-P496)*(Inputs!$F$27-Inputs!$D$27)*(Inputs!$F$27-Inputs!$E$27)))</f>
        <v>86.6894960840735</v>
      </c>
      <c r="R496" s="81" t="n">
        <f aca="true">RAND()</f>
        <v>0.843973848770915</v>
      </c>
      <c r="S496" s="82" t="n">
        <f aca="false">IF(R496&lt;(Inputs!$E$29-Inputs!$D$29)/(Inputs!$F$29-Inputs!$D$29),Inputs!$D$29+SQRT(R496*(Inputs!$F$29-Inputs!$D$29)*(Inputs!$E$29-Inputs!$D$29)),Inputs!$F$29-SQRT((1-R496)*(Inputs!$F$29-Inputs!$D$29)*(Inputs!$F$29-Inputs!$E$29)))</f>
        <v>10.4962904556598</v>
      </c>
      <c r="T496" s="68" t="n">
        <f aca="false">Inputs!$E$9*(1+E496)+Inputs!$E$5*C496*(Inputs!$E$11*Inputs!$E$14*(G496*I496/Inputs!$E$16+(1-G496))*K496+Inputs!$E$23*M496)*(1+O496)+Inputs!$E$5*(Q496+S496)</f>
        <v>6394.95166952344</v>
      </c>
    </row>
    <row r="497" customFormat="false" ht="15" hidden="false" customHeight="false" outlineLevel="0" collapsed="false">
      <c r="A497" s="1" t="n">
        <v>493</v>
      </c>
      <c r="B497" s="81" t="n">
        <f aca="true">RAND()</f>
        <v>0.216129422562786</v>
      </c>
      <c r="C497" s="82" t="n">
        <f aca="false">ROUND(IF(B497&lt;(Inputs!$E$8-Inputs!$D$8)/(Inputs!$F$8-Inputs!$D$8),Inputs!$D$8+SQRT(B497*(Inputs!$F$8-Inputs!$D$8)*(Inputs!$E$8-Inputs!$D$8)),Inputs!$F$8-SQRT((1-B497)*(Inputs!$F$8-Inputs!$D$8)*(Inputs!$F$8-Inputs!$E$8))),0)</f>
        <v>23</v>
      </c>
      <c r="D497" s="81" t="n">
        <f aca="true">RAND()</f>
        <v>0.730452745443076</v>
      </c>
      <c r="E497" s="83" t="n">
        <f aca="false">IF(D497&lt;(Inputs!$E$10-Inputs!$D$10)/(Inputs!$F$10-Inputs!$D$10),Inputs!$D$10+SQRT(D497*(Inputs!$F$10-Inputs!$D$10)*(Inputs!$E$10-Inputs!$D$10)),Inputs!$F$10-SQRT((1-D497)*(Inputs!$F$10-Inputs!$D$10)*(Inputs!$F$10-Inputs!$E$10)))</f>
        <v>0.11007548923287</v>
      </c>
      <c r="F497" s="81" t="n">
        <f aca="true">RAND()</f>
        <v>0.63871978956727</v>
      </c>
      <c r="G497" s="83" t="n">
        <f aca="false">IF(F497&lt;(Inputs!$E$15-Inputs!$D$15)/(Inputs!$F$15-Inputs!$D$15),Inputs!$D$15+SQRT(F497*(Inputs!$F$15-Inputs!$D$15)*(Inputs!$E$15-Inputs!$D$15)),Inputs!$F$15-SQRT((1-F497)*(Inputs!$F$15-Inputs!$D$15)*(Inputs!$F$15-Inputs!$E$15)))</f>
        <v>0.714996445905747</v>
      </c>
      <c r="H497" s="81" t="n">
        <f aca="true">RAND()</f>
        <v>0.925993110852756</v>
      </c>
      <c r="I497" s="82" t="n">
        <f aca="false">ROUND(IF(H497&lt;(Inputs!$E$17-Inputs!$D$17)/(Inputs!$F$17-Inputs!$D$17),Inputs!$D$17+SQRT(H497*(Inputs!$F$17-Inputs!$D$17)*(Inputs!$E$17-Inputs!$D$17)),Inputs!$F$17-SQRT((1-H497)*(Inputs!$F$17-Inputs!$D$17)*(Inputs!$F$17-Inputs!$E$17))),0)</f>
        <v>112</v>
      </c>
      <c r="J497" s="81" t="n">
        <f aca="true">RAND()</f>
        <v>0.360932522174141</v>
      </c>
      <c r="K497" s="83" t="n">
        <f aca="false">IF(J497&lt;(Inputs!$E$18-Inputs!$D$18)/(Inputs!$F$18-Inputs!$D$18),Inputs!$D$18+SQRT(J497*(Inputs!$F$18-Inputs!$D$18)*(Inputs!$E$18-Inputs!$D$18)),Inputs!$F$18-SQRT((1-J497)*(Inputs!$F$18-Inputs!$D$18)*(Inputs!$F$18-Inputs!$E$18)))</f>
        <v>1.01352927388414</v>
      </c>
      <c r="L497" s="81" t="n">
        <f aca="true">RAND()</f>
        <v>0.931002697672295</v>
      </c>
      <c r="M497" s="83" t="n">
        <f aca="false">IF(L497&lt;(Inputs!$E$24-Inputs!$D$24)/(Inputs!$F$24-Inputs!$D$24),Inputs!$D$24+SQRT(L497*(Inputs!$F$24-Inputs!$D$24)*(Inputs!$E$24-Inputs!$D$24)),Inputs!$F$24-SQRT((1-L497)*(Inputs!$F$24-Inputs!$D$24)*(Inputs!$F$24-Inputs!$E$24)))</f>
        <v>1.07131685207981</v>
      </c>
      <c r="N497" s="81" t="n">
        <f aca="true">RAND()</f>
        <v>0.631921978548939</v>
      </c>
      <c r="O497" s="83" t="n">
        <f aca="false">IF(N497&lt;(Inputs!$E$26-Inputs!$D$26)/(Inputs!$F$26-Inputs!$D$26),Inputs!$D$26+SQRT(N497*(Inputs!$F$26-Inputs!$D$26)*(Inputs!$E$26-Inputs!$D$26)),Inputs!$F$26-SQRT((1-N497)*(Inputs!$F$26-Inputs!$D$26)*(Inputs!$F$26-Inputs!$E$26)))</f>
        <v>0.624346954455316</v>
      </c>
      <c r="P497" s="81" t="n">
        <f aca="true">RAND()</f>
        <v>0.651683202661919</v>
      </c>
      <c r="Q497" s="82" t="n">
        <f aca="false">IF(P497&lt;(Inputs!$E$27-Inputs!$D$27)/(Inputs!$F$27-Inputs!$D$27),Inputs!$D$27+SQRT(P497*(Inputs!$F$27-Inputs!$D$27)*(Inputs!$E$27-Inputs!$D$27)),Inputs!$F$27-SQRT((1-P497)*(Inputs!$F$27-Inputs!$D$27)*(Inputs!$F$27-Inputs!$E$27)))</f>
        <v>98.8885924666948</v>
      </c>
      <c r="R497" s="81" t="n">
        <f aca="true">RAND()</f>
        <v>0.861448513737649</v>
      </c>
      <c r="S497" s="82" t="n">
        <f aca="false">IF(R497&lt;(Inputs!$E$29-Inputs!$D$29)/(Inputs!$F$29-Inputs!$D$29),Inputs!$D$29+SQRT(R497*(Inputs!$F$29-Inputs!$D$29)*(Inputs!$E$29-Inputs!$D$29)),Inputs!$F$29-SQRT((1-R497)*(Inputs!$F$29-Inputs!$D$29)*(Inputs!$F$29-Inputs!$E$29)))</f>
        <v>10.7559814781147</v>
      </c>
      <c r="T497" s="68" t="n">
        <f aca="false">Inputs!$E$9*(1+E497)+Inputs!$E$5*C497*(Inputs!$E$11*Inputs!$E$14*(G497*I497/Inputs!$E$16+(1-G497))*K497+Inputs!$E$23*M497)*(1+O497)+Inputs!$E$5*(Q497+S497)</f>
        <v>6510.694895511</v>
      </c>
    </row>
    <row r="498" customFormat="false" ht="15" hidden="false" customHeight="false" outlineLevel="0" collapsed="false">
      <c r="A498" s="1" t="n">
        <v>494</v>
      </c>
      <c r="B498" s="81" t="n">
        <f aca="true">RAND()</f>
        <v>0.746048536058426</v>
      </c>
      <c r="C498" s="82" t="n">
        <f aca="false">ROUND(IF(B498&lt;(Inputs!$E$8-Inputs!$D$8)/(Inputs!$F$8-Inputs!$D$8),Inputs!$D$8+SQRT(B498*(Inputs!$F$8-Inputs!$D$8)*(Inputs!$E$8-Inputs!$D$8)),Inputs!$F$8-SQRT((1-B498)*(Inputs!$F$8-Inputs!$D$8)*(Inputs!$F$8-Inputs!$E$8))),0)</f>
        <v>26</v>
      </c>
      <c r="D498" s="81" t="n">
        <f aca="true">RAND()</f>
        <v>0.552060261028133</v>
      </c>
      <c r="E498" s="83" t="n">
        <f aca="false">IF(D498&lt;(Inputs!$E$10-Inputs!$D$10)/(Inputs!$F$10-Inputs!$D$10),Inputs!$D$10+SQRT(D498*(Inputs!$F$10-Inputs!$D$10)*(Inputs!$E$10-Inputs!$D$10)),Inputs!$F$10-SQRT((1-D498)*(Inputs!$F$10-Inputs!$D$10)*(Inputs!$F$10-Inputs!$E$10)))</f>
        <v>0.0840767833039645</v>
      </c>
      <c r="F498" s="81" t="n">
        <f aca="true">RAND()</f>
        <v>0.643977119646931</v>
      </c>
      <c r="G498" s="83" t="n">
        <f aca="false">IF(F498&lt;(Inputs!$E$15-Inputs!$D$15)/(Inputs!$F$15-Inputs!$D$15),Inputs!$D$15+SQRT(F498*(Inputs!$F$15-Inputs!$D$15)*(Inputs!$E$15-Inputs!$D$15)),Inputs!$F$15-SQRT((1-F498)*(Inputs!$F$15-Inputs!$D$15)*(Inputs!$F$15-Inputs!$E$15)))</f>
        <v>0.71561719602276</v>
      </c>
      <c r="H498" s="81" t="n">
        <f aca="true">RAND()</f>
        <v>0.0112803785015914</v>
      </c>
      <c r="I498" s="82" t="n">
        <f aca="false">ROUND(IF(H498&lt;(Inputs!$E$17-Inputs!$D$17)/(Inputs!$F$17-Inputs!$D$17),Inputs!$D$17+SQRT(H498*(Inputs!$F$17-Inputs!$D$17)*(Inputs!$E$17-Inputs!$D$17)),Inputs!$F$17-SQRT((1-H498)*(Inputs!$F$17-Inputs!$D$17)*(Inputs!$F$17-Inputs!$E$17))),0)</f>
        <v>101</v>
      </c>
      <c r="J498" s="81" t="n">
        <f aca="true">RAND()</f>
        <v>0.162729049807675</v>
      </c>
      <c r="K498" s="83" t="n">
        <f aca="false">IF(J498&lt;(Inputs!$E$18-Inputs!$D$18)/(Inputs!$F$18-Inputs!$D$18),Inputs!$D$18+SQRT(J498*(Inputs!$F$18-Inputs!$D$18)*(Inputs!$E$18-Inputs!$D$18)),Inputs!$F$18-SQRT((1-J498)*(Inputs!$F$18-Inputs!$D$18)*(Inputs!$F$18-Inputs!$E$18)))</f>
        <v>0.975468647419101</v>
      </c>
      <c r="L498" s="81" t="n">
        <f aca="true">RAND()</f>
        <v>0.083497657646049</v>
      </c>
      <c r="M498" s="83" t="n">
        <f aca="false">IF(L498&lt;(Inputs!$E$24-Inputs!$D$24)/(Inputs!$F$24-Inputs!$D$24),Inputs!$D$24+SQRT(L498*(Inputs!$F$24-Inputs!$D$24)*(Inputs!$E$24-Inputs!$D$24)),Inputs!$F$24-SQRT((1-L498)*(Inputs!$F$24-Inputs!$D$24)*(Inputs!$F$24-Inputs!$E$24)))</f>
        <v>0.700098546031028</v>
      </c>
      <c r="N498" s="81" t="n">
        <f aca="true">RAND()</f>
        <v>0.843961620122574</v>
      </c>
      <c r="O498" s="83" t="n">
        <f aca="false">IF(N498&lt;(Inputs!$E$26-Inputs!$D$26)/(Inputs!$F$26-Inputs!$D$26),Inputs!$D$26+SQRT(N498*(Inputs!$F$26-Inputs!$D$26)*(Inputs!$E$26-Inputs!$D$26)),Inputs!$F$26-SQRT((1-N498)*(Inputs!$F$26-Inputs!$D$26)*(Inputs!$F$26-Inputs!$E$26)))</f>
        <v>0.69261086581952</v>
      </c>
      <c r="P498" s="81" t="n">
        <f aca="true">RAND()</f>
        <v>0.297484235234365</v>
      </c>
      <c r="Q498" s="82" t="n">
        <f aca="false">IF(P498&lt;(Inputs!$E$27-Inputs!$D$27)/(Inputs!$F$27-Inputs!$D$27),Inputs!$D$27+SQRT(P498*(Inputs!$F$27-Inputs!$D$27)*(Inputs!$E$27-Inputs!$D$27)),Inputs!$F$27-SQRT((1-P498)*(Inputs!$F$27-Inputs!$D$27)*(Inputs!$F$27-Inputs!$E$27)))</f>
        <v>77.4130298487238</v>
      </c>
      <c r="R498" s="81" t="n">
        <f aca="true">RAND()</f>
        <v>0.317391825411726</v>
      </c>
      <c r="S498" s="82" t="n">
        <f aca="false">IF(R498&lt;(Inputs!$E$29-Inputs!$D$29)/(Inputs!$F$29-Inputs!$D$29),Inputs!$D$29+SQRT(R498*(Inputs!$F$29-Inputs!$D$29)*(Inputs!$E$29-Inputs!$D$29)),Inputs!$F$29-SQRT((1-R498)*(Inputs!$F$29-Inputs!$D$29)*(Inputs!$F$29-Inputs!$E$29)))</f>
        <v>5.57985866897553</v>
      </c>
      <c r="T498" s="68" t="n">
        <f aca="false">Inputs!$E$9*(1+E498)+Inputs!$E$5*C498*(Inputs!$E$11*Inputs!$E$14*(G498*I498/Inputs!$E$16+(1-G498))*K498+Inputs!$E$23*M498)*(1+O498)+Inputs!$E$5*(Q498+S498)</f>
        <v>6130.14551751522</v>
      </c>
    </row>
    <row r="499" customFormat="false" ht="15" hidden="false" customHeight="false" outlineLevel="0" collapsed="false">
      <c r="A499" s="1" t="n">
        <v>495</v>
      </c>
      <c r="B499" s="81" t="n">
        <f aca="true">RAND()</f>
        <v>0.37999706972409</v>
      </c>
      <c r="C499" s="82" t="n">
        <f aca="false">ROUND(IF(B499&lt;(Inputs!$E$8-Inputs!$D$8)/(Inputs!$F$8-Inputs!$D$8),Inputs!$D$8+SQRT(B499*(Inputs!$F$8-Inputs!$D$8)*(Inputs!$E$8-Inputs!$D$8)),Inputs!$F$8-SQRT((1-B499)*(Inputs!$F$8-Inputs!$D$8)*(Inputs!$F$8-Inputs!$E$8))),0)</f>
        <v>24</v>
      </c>
      <c r="D499" s="81" t="n">
        <f aca="true">RAND()</f>
        <v>0.753246031789809</v>
      </c>
      <c r="E499" s="83" t="n">
        <f aca="false">IF(D499&lt;(Inputs!$E$10-Inputs!$D$10)/(Inputs!$F$10-Inputs!$D$10),Inputs!$D$10+SQRT(D499*(Inputs!$F$10-Inputs!$D$10)*(Inputs!$E$10-Inputs!$D$10)),Inputs!$F$10-SQRT((1-D499)*(Inputs!$F$10-Inputs!$D$10)*(Inputs!$F$10-Inputs!$E$10)))</f>
        <v>0.113961525778837</v>
      </c>
      <c r="F499" s="81" t="n">
        <f aca="true">RAND()</f>
        <v>0.695733165687938</v>
      </c>
      <c r="G499" s="83" t="n">
        <f aca="false">IF(F499&lt;(Inputs!$E$15-Inputs!$D$15)/(Inputs!$F$15-Inputs!$D$15),Inputs!$D$15+SQRT(F499*(Inputs!$F$15-Inputs!$D$15)*(Inputs!$E$15-Inputs!$D$15)),Inputs!$F$15-SQRT((1-F499)*(Inputs!$F$15-Inputs!$D$15)*(Inputs!$F$15-Inputs!$E$15)))</f>
        <v>0.721991431969038</v>
      </c>
      <c r="H499" s="81" t="n">
        <f aca="true">RAND()</f>
        <v>0.253824333601526</v>
      </c>
      <c r="I499" s="82" t="n">
        <f aca="false">ROUND(IF(H499&lt;(Inputs!$E$17-Inputs!$D$17)/(Inputs!$F$17-Inputs!$D$17),Inputs!$D$17+SQRT(H499*(Inputs!$F$17-Inputs!$D$17)*(Inputs!$E$17-Inputs!$D$17)),Inputs!$F$17-SQRT((1-H499)*(Inputs!$F$17-Inputs!$D$17)*(Inputs!$F$17-Inputs!$E$17))),0)</f>
        <v>104</v>
      </c>
      <c r="J499" s="81" t="n">
        <f aca="true">RAND()</f>
        <v>0.293046016578418</v>
      </c>
      <c r="K499" s="83" t="n">
        <f aca="false">IF(J499&lt;(Inputs!$E$18-Inputs!$D$18)/(Inputs!$F$18-Inputs!$D$18),Inputs!$D$18+SQRT(J499*(Inputs!$F$18-Inputs!$D$18)*(Inputs!$E$18-Inputs!$D$18)),Inputs!$F$18-SQRT((1-J499)*(Inputs!$F$18-Inputs!$D$18)*(Inputs!$F$18-Inputs!$E$18)))</f>
        <v>1.00128636235745</v>
      </c>
      <c r="L499" s="81" t="n">
        <f aca="true">RAND()</f>
        <v>0.276602750387808</v>
      </c>
      <c r="M499" s="83" t="n">
        <f aca="false">IF(L499&lt;(Inputs!$E$24-Inputs!$D$24)/(Inputs!$F$24-Inputs!$D$24),Inputs!$D$24+SQRT(L499*(Inputs!$F$24-Inputs!$D$24)*(Inputs!$E$24-Inputs!$D$24)),Inputs!$F$24-SQRT((1-L499)*(Inputs!$F$24-Inputs!$D$24)*(Inputs!$F$24-Inputs!$E$24)))</f>
        <v>0.782187623198001</v>
      </c>
      <c r="N499" s="81" t="n">
        <f aca="true">RAND()</f>
        <v>0.443427021048144</v>
      </c>
      <c r="O499" s="83" t="n">
        <f aca="false">IF(N499&lt;(Inputs!$E$26-Inputs!$D$26)/(Inputs!$F$26-Inputs!$D$26),Inputs!$D$26+SQRT(N499*(Inputs!$F$26-Inputs!$D$26)*(Inputs!$E$26-Inputs!$D$26)),Inputs!$F$26-SQRT((1-N499)*(Inputs!$F$26-Inputs!$D$26)*(Inputs!$F$26-Inputs!$E$26)))</f>
        <v>0.571636257341341</v>
      </c>
      <c r="P499" s="81" t="n">
        <f aca="true">RAND()</f>
        <v>0.595704813199329</v>
      </c>
      <c r="Q499" s="82" t="n">
        <f aca="false">IF(P499&lt;(Inputs!$E$27-Inputs!$D$27)/(Inputs!$F$27-Inputs!$D$27),Inputs!$D$27+SQRT(P499*(Inputs!$F$27-Inputs!$D$27)*(Inputs!$E$27-Inputs!$D$27)),Inputs!$F$27-SQRT((1-P499)*(Inputs!$F$27-Inputs!$D$27)*(Inputs!$F$27-Inputs!$E$27)))</f>
        <v>94.9344581339198</v>
      </c>
      <c r="R499" s="81" t="n">
        <f aca="true">RAND()</f>
        <v>0.0303483026107697</v>
      </c>
      <c r="S499" s="82" t="n">
        <f aca="false">IF(R499&lt;(Inputs!$E$29-Inputs!$D$29)/(Inputs!$F$29-Inputs!$D$29),Inputs!$D$29+SQRT(R499*(Inputs!$F$29-Inputs!$D$29)*(Inputs!$E$29-Inputs!$D$29)),Inputs!$F$29-SQRT((1-R499)*(Inputs!$F$29-Inputs!$D$29)*(Inputs!$F$29-Inputs!$E$29)))</f>
        <v>3.08792637702191</v>
      </c>
      <c r="T499" s="68" t="n">
        <f aca="false">Inputs!$E$9*(1+E499)+Inputs!$E$5*C499*(Inputs!$E$11*Inputs!$E$14*(G499*I499/Inputs!$E$16+(1-G499))*K499+Inputs!$E$23*M499)*(1+O499)+Inputs!$E$5*(Q499+S499)</f>
        <v>5981.81353534315</v>
      </c>
    </row>
    <row r="500" customFormat="false" ht="15" hidden="false" customHeight="false" outlineLevel="0" collapsed="false">
      <c r="A500" s="1" t="n">
        <v>496</v>
      </c>
      <c r="B500" s="81" t="n">
        <f aca="true">RAND()</f>
        <v>0.525077499195937</v>
      </c>
      <c r="C500" s="82" t="n">
        <f aca="false">ROUND(IF(B500&lt;(Inputs!$E$8-Inputs!$D$8)/(Inputs!$F$8-Inputs!$D$8),Inputs!$D$8+SQRT(B500*(Inputs!$F$8-Inputs!$D$8)*(Inputs!$E$8-Inputs!$D$8)),Inputs!$F$8-SQRT((1-B500)*(Inputs!$F$8-Inputs!$D$8)*(Inputs!$F$8-Inputs!$E$8))),0)</f>
        <v>25</v>
      </c>
      <c r="D500" s="81" t="n">
        <f aca="true">RAND()</f>
        <v>0.671994471644033</v>
      </c>
      <c r="E500" s="83" t="n">
        <f aca="false">IF(D500&lt;(Inputs!$E$10-Inputs!$D$10)/(Inputs!$F$10-Inputs!$D$10),Inputs!$D$10+SQRT(D500*(Inputs!$F$10-Inputs!$D$10)*(Inputs!$E$10-Inputs!$D$10)),Inputs!$F$10-SQRT((1-D500)*(Inputs!$F$10-Inputs!$D$10)*(Inputs!$F$10-Inputs!$E$10)))</f>
        <v>0.100802389894317</v>
      </c>
      <c r="F500" s="81" t="n">
        <f aca="true">RAND()</f>
        <v>0.467508617033251</v>
      </c>
      <c r="G500" s="83" t="n">
        <f aca="false">IF(F500&lt;(Inputs!$E$15-Inputs!$D$15)/(Inputs!$F$15-Inputs!$D$15),Inputs!$D$15+SQRT(F500*(Inputs!$F$15-Inputs!$D$15)*(Inputs!$E$15-Inputs!$D$15)),Inputs!$F$15-SQRT((1-F500)*(Inputs!$F$15-Inputs!$D$15)*(Inputs!$F$15-Inputs!$E$15)))</f>
        <v>0.696696289177326</v>
      </c>
      <c r="H500" s="81" t="n">
        <f aca="true">RAND()</f>
        <v>0.0854188618665019</v>
      </c>
      <c r="I500" s="82" t="n">
        <f aca="false">ROUND(IF(H500&lt;(Inputs!$E$17-Inputs!$D$17)/(Inputs!$F$17-Inputs!$D$17),Inputs!$D$17+SQRT(H500*(Inputs!$F$17-Inputs!$D$17)*(Inputs!$E$17-Inputs!$D$17)),Inputs!$F$17-SQRT((1-H500)*(Inputs!$F$17-Inputs!$D$17)*(Inputs!$F$17-Inputs!$E$17))),0)</f>
        <v>103</v>
      </c>
      <c r="J500" s="81" t="n">
        <f aca="true">RAND()</f>
        <v>0.488750701365577</v>
      </c>
      <c r="K500" s="83" t="n">
        <f aca="false">IF(J500&lt;(Inputs!$E$18-Inputs!$D$18)/(Inputs!$F$18-Inputs!$D$18),Inputs!$D$18+SQRT(J500*(Inputs!$F$18-Inputs!$D$18)*(Inputs!$E$18-Inputs!$D$18)),Inputs!$F$18-SQRT((1-J500)*(Inputs!$F$18-Inputs!$D$18)*(Inputs!$F$18-Inputs!$E$18)))</f>
        <v>1.03849512149713</v>
      </c>
      <c r="L500" s="81" t="n">
        <f aca="true">RAND()</f>
        <v>0.0146061528096128</v>
      </c>
      <c r="M500" s="83" t="n">
        <f aca="false">IF(L500&lt;(Inputs!$E$24-Inputs!$D$24)/(Inputs!$F$24-Inputs!$D$24),Inputs!$D$24+SQRT(L500*(Inputs!$F$24-Inputs!$D$24)*(Inputs!$E$24-Inputs!$D$24)),Inputs!$F$24-SQRT((1-L500)*(Inputs!$F$24-Inputs!$D$24)*(Inputs!$F$24-Inputs!$E$24)))</f>
        <v>0.641865717922347</v>
      </c>
      <c r="N500" s="81" t="n">
        <f aca="true">RAND()</f>
        <v>0.388296518987175</v>
      </c>
      <c r="O500" s="83" t="n">
        <f aca="false">IF(N500&lt;(Inputs!$E$26-Inputs!$D$26)/(Inputs!$F$26-Inputs!$D$26),Inputs!$D$26+SQRT(N500*(Inputs!$F$26-Inputs!$D$26)*(Inputs!$E$26-Inputs!$D$26)),Inputs!$F$26-SQRT((1-N500)*(Inputs!$F$26-Inputs!$D$26)*(Inputs!$F$26-Inputs!$E$26)))</f>
        <v>0.554189969824669</v>
      </c>
      <c r="P500" s="81" t="n">
        <f aca="true">RAND()</f>
        <v>0.310676782865456</v>
      </c>
      <c r="Q500" s="82" t="n">
        <f aca="false">IF(P500&lt;(Inputs!$E$27-Inputs!$D$27)/(Inputs!$F$27-Inputs!$D$27),Inputs!$D$27+SQRT(P500*(Inputs!$F$27-Inputs!$D$27)*(Inputs!$E$27-Inputs!$D$27)),Inputs!$F$27-SQRT((1-P500)*(Inputs!$F$27-Inputs!$D$27)*(Inputs!$F$27-Inputs!$E$27)))</f>
        <v>78.0978155512012</v>
      </c>
      <c r="R500" s="81" t="n">
        <f aca="true">RAND()</f>
        <v>0.871357311154454</v>
      </c>
      <c r="S500" s="82" t="n">
        <f aca="false">IF(R500&lt;(Inputs!$E$29-Inputs!$D$29)/(Inputs!$F$29-Inputs!$D$29),Inputs!$D$29+SQRT(R500*(Inputs!$F$29-Inputs!$D$29)*(Inputs!$E$29-Inputs!$D$29)),Inputs!$F$29-SQRT((1-R500)*(Inputs!$F$29-Inputs!$D$29)*(Inputs!$F$29-Inputs!$E$29)))</f>
        <v>10.9105563275769</v>
      </c>
      <c r="T500" s="68" t="n">
        <f aca="false">Inputs!$E$9*(1+E500)+Inputs!$E$5*C500*(Inputs!$E$11*Inputs!$E$14*(G500*I500/Inputs!$E$16+(1-G500))*K500+Inputs!$E$23*M500)*(1+O500)+Inputs!$E$5*(Q500+S500)</f>
        <v>5903.81618658781</v>
      </c>
    </row>
    <row r="501" customFormat="false" ht="15" hidden="false" customHeight="false" outlineLevel="0" collapsed="false">
      <c r="A501" s="1" t="n">
        <v>497</v>
      </c>
      <c r="B501" s="81" t="n">
        <f aca="true">RAND()</f>
        <v>0.599645365904628</v>
      </c>
      <c r="C501" s="82" t="n">
        <f aca="false">ROUND(IF(B501&lt;(Inputs!$E$8-Inputs!$D$8)/(Inputs!$F$8-Inputs!$D$8),Inputs!$D$8+SQRT(B501*(Inputs!$F$8-Inputs!$D$8)*(Inputs!$E$8-Inputs!$D$8)),Inputs!$F$8-SQRT((1-B501)*(Inputs!$F$8-Inputs!$D$8)*(Inputs!$F$8-Inputs!$E$8))),0)</f>
        <v>26</v>
      </c>
      <c r="D501" s="81" t="n">
        <f aca="true">RAND()</f>
        <v>0.465960684833668</v>
      </c>
      <c r="E501" s="83" t="n">
        <f aca="false">IF(D501&lt;(Inputs!$E$10-Inputs!$D$10)/(Inputs!$F$10-Inputs!$D$10),Inputs!$D$10+SQRT(D501*(Inputs!$F$10-Inputs!$D$10)*(Inputs!$E$10-Inputs!$D$10)),Inputs!$F$10-SQRT((1-D501)*(Inputs!$F$10-Inputs!$D$10)*(Inputs!$F$10-Inputs!$E$10)))</f>
        <v>0.0734252021333237</v>
      </c>
      <c r="F501" s="81" t="n">
        <f aca="true">RAND()</f>
        <v>0.814120350637586</v>
      </c>
      <c r="G501" s="83" t="n">
        <f aca="false">IF(F501&lt;(Inputs!$E$15-Inputs!$D$15)/(Inputs!$F$15-Inputs!$D$15),Inputs!$D$15+SQRT(F501*(Inputs!$F$15-Inputs!$D$15)*(Inputs!$E$15-Inputs!$D$15)),Inputs!$F$15-SQRT((1-F501)*(Inputs!$F$15-Inputs!$D$15)*(Inputs!$F$15-Inputs!$E$15)))</f>
        <v>0.739027932729419</v>
      </c>
      <c r="H501" s="81" t="n">
        <f aca="true">RAND()</f>
        <v>0.283449539919832</v>
      </c>
      <c r="I501" s="82" t="n">
        <f aca="false">ROUND(IF(H501&lt;(Inputs!$E$17-Inputs!$D$17)/(Inputs!$F$17-Inputs!$D$17),Inputs!$D$17+SQRT(H501*(Inputs!$F$17-Inputs!$D$17)*(Inputs!$E$17-Inputs!$D$17)),Inputs!$F$17-SQRT((1-H501)*(Inputs!$F$17-Inputs!$D$17)*(Inputs!$F$17-Inputs!$E$17))),0)</f>
        <v>105</v>
      </c>
      <c r="J501" s="81" t="n">
        <f aca="true">RAND()</f>
        <v>0.523708386161177</v>
      </c>
      <c r="K501" s="83" t="n">
        <f aca="false">IF(J501&lt;(Inputs!$E$18-Inputs!$D$18)/(Inputs!$F$18-Inputs!$D$18),Inputs!$D$18+SQRT(J501*(Inputs!$F$18-Inputs!$D$18)*(Inputs!$E$18-Inputs!$D$18)),Inputs!$F$18-SQRT((1-J501)*(Inputs!$F$18-Inputs!$D$18)*(Inputs!$F$18-Inputs!$E$18)))</f>
        <v>1.04585417905111</v>
      </c>
      <c r="L501" s="81" t="n">
        <f aca="true">RAND()</f>
        <v>0.504471522171807</v>
      </c>
      <c r="M501" s="83" t="n">
        <f aca="false">IF(L501&lt;(Inputs!$E$24-Inputs!$D$24)/(Inputs!$F$24-Inputs!$D$24),Inputs!$D$24+SQRT(L501*(Inputs!$F$24-Inputs!$D$24)*(Inputs!$E$24-Inputs!$D$24)),Inputs!$F$24-SQRT((1-L501)*(Inputs!$F$24-Inputs!$D$24)*(Inputs!$F$24-Inputs!$E$24)))</f>
        <v>0.855142297927441</v>
      </c>
      <c r="N501" s="81" t="n">
        <f aca="true">RAND()</f>
        <v>0.253693251229285</v>
      </c>
      <c r="O501" s="83" t="n">
        <f aca="false">IF(N501&lt;(Inputs!$E$26-Inputs!$D$26)/(Inputs!$F$26-Inputs!$D$26),Inputs!$D$26+SQRT(N501*(Inputs!$F$26-Inputs!$D$26)*(Inputs!$E$26-Inputs!$D$26)),Inputs!$F$26-SQRT((1-N501)*(Inputs!$F$26-Inputs!$D$26)*(Inputs!$F$26-Inputs!$E$26)))</f>
        <v>0.505461813981462</v>
      </c>
      <c r="P501" s="81" t="n">
        <f aca="true">RAND()</f>
        <v>0.0528052180809243</v>
      </c>
      <c r="Q501" s="82" t="n">
        <f aca="false">IF(P501&lt;(Inputs!$E$27-Inputs!$D$27)/(Inputs!$F$27-Inputs!$D$27),Inputs!$D$27+SQRT(P501*(Inputs!$F$27-Inputs!$D$27)*(Inputs!$E$27-Inputs!$D$27)),Inputs!$F$27-SQRT((1-P501)*(Inputs!$F$27-Inputs!$D$27)*(Inputs!$F$27-Inputs!$E$27)))</f>
        <v>61.4896929986101</v>
      </c>
      <c r="R501" s="81" t="n">
        <f aca="true">RAND()</f>
        <v>0.28678831336521</v>
      </c>
      <c r="S501" s="82" t="n">
        <f aca="false">IF(R501&lt;(Inputs!$E$29-Inputs!$D$29)/(Inputs!$F$29-Inputs!$D$29),Inputs!$D$29+SQRT(R501*(Inputs!$F$29-Inputs!$D$29)*(Inputs!$E$29-Inputs!$D$29)),Inputs!$F$29-SQRT((1-R501)*(Inputs!$F$29-Inputs!$D$29)*(Inputs!$F$29-Inputs!$E$29)))</f>
        <v>5.37100632139979</v>
      </c>
      <c r="T501" s="68" t="n">
        <f aca="false">Inputs!$E$9*(1+E501)+Inputs!$E$5*C501*(Inputs!$E$11*Inputs!$E$14*(G501*I501/Inputs!$E$16+(1-G501))*K501+Inputs!$E$23*M501)*(1+O501)+Inputs!$E$5*(Q501+S501)</f>
        <v>6034.28969580161</v>
      </c>
    </row>
    <row r="502" customFormat="false" ht="15" hidden="false" customHeight="false" outlineLevel="0" collapsed="false">
      <c r="A502" s="1" t="n">
        <v>498</v>
      </c>
      <c r="B502" s="81" t="n">
        <f aca="true">RAND()</f>
        <v>0.83211603324116</v>
      </c>
      <c r="C502" s="82" t="n">
        <f aca="false">ROUND(IF(B502&lt;(Inputs!$E$8-Inputs!$D$8)/(Inputs!$F$8-Inputs!$D$8),Inputs!$D$8+SQRT(B502*(Inputs!$F$8-Inputs!$D$8)*(Inputs!$E$8-Inputs!$D$8)),Inputs!$F$8-SQRT((1-B502)*(Inputs!$F$8-Inputs!$D$8)*(Inputs!$F$8-Inputs!$E$8))),0)</f>
        <v>27</v>
      </c>
      <c r="D502" s="81" t="n">
        <f aca="true">RAND()</f>
        <v>0.483902679499249</v>
      </c>
      <c r="E502" s="83" t="n">
        <f aca="false">IF(D502&lt;(Inputs!$E$10-Inputs!$D$10)/(Inputs!$F$10-Inputs!$D$10),Inputs!$D$10+SQRT(D502*(Inputs!$F$10-Inputs!$D$10)*(Inputs!$E$10-Inputs!$D$10)),Inputs!$F$10-SQRT((1-D502)*(Inputs!$F$10-Inputs!$D$10)*(Inputs!$F$10-Inputs!$E$10)))</f>
        <v>0.0755696194049759</v>
      </c>
      <c r="F502" s="81" t="n">
        <f aca="true">RAND()</f>
        <v>0.148668853053281</v>
      </c>
      <c r="G502" s="83" t="n">
        <f aca="false">IF(F502&lt;(Inputs!$E$15-Inputs!$D$15)/(Inputs!$F$15-Inputs!$D$15),Inputs!$D$15+SQRT(F502*(Inputs!$F$15-Inputs!$D$15)*(Inputs!$E$15-Inputs!$D$15)),Inputs!$F$15-SQRT((1-F502)*(Inputs!$F$15-Inputs!$D$15)*(Inputs!$F$15-Inputs!$E$15)))</f>
        <v>0.654528681086797</v>
      </c>
      <c r="H502" s="81" t="n">
        <f aca="true">RAND()</f>
        <v>0.13331546036235</v>
      </c>
      <c r="I502" s="82" t="n">
        <f aca="false">ROUND(IF(H502&lt;(Inputs!$E$17-Inputs!$D$17)/(Inputs!$F$17-Inputs!$D$17),Inputs!$D$17+SQRT(H502*(Inputs!$F$17-Inputs!$D$17)*(Inputs!$E$17-Inputs!$D$17)),Inputs!$F$17-SQRT((1-H502)*(Inputs!$F$17-Inputs!$D$17)*(Inputs!$F$17-Inputs!$E$17))),0)</f>
        <v>103</v>
      </c>
      <c r="J502" s="81" t="n">
        <f aca="true">RAND()</f>
        <v>0.682171796132828</v>
      </c>
      <c r="K502" s="83" t="n">
        <f aca="false">IF(J502&lt;(Inputs!$E$18-Inputs!$D$18)/(Inputs!$F$18-Inputs!$D$18),Inputs!$D$18+SQRT(J502*(Inputs!$F$18-Inputs!$D$18)*(Inputs!$E$18-Inputs!$D$18)),Inputs!$F$18-SQRT((1-J502)*(Inputs!$F$18-Inputs!$D$18)*(Inputs!$F$18-Inputs!$E$18)))</f>
        <v>1.08323679111274</v>
      </c>
      <c r="L502" s="81" t="n">
        <f aca="true">RAND()</f>
        <v>0.870135500768546</v>
      </c>
      <c r="M502" s="83" t="n">
        <f aca="false">IF(L502&lt;(Inputs!$E$24-Inputs!$D$24)/(Inputs!$F$24-Inputs!$D$24),Inputs!$D$24+SQRT(L502*(Inputs!$F$24-Inputs!$D$24)*(Inputs!$E$24-Inputs!$D$24)),Inputs!$F$24-SQRT((1-L502)*(Inputs!$F$24-Inputs!$D$24)*(Inputs!$F$24-Inputs!$E$24)))</f>
        <v>1.02345686131841</v>
      </c>
      <c r="N502" s="81" t="n">
        <f aca="true">RAND()</f>
        <v>0.718851465701404</v>
      </c>
      <c r="O502" s="83" t="n">
        <f aca="false">IF(N502&lt;(Inputs!$E$26-Inputs!$D$26)/(Inputs!$F$26-Inputs!$D$26),Inputs!$D$26+SQRT(N502*(Inputs!$F$26-Inputs!$D$26)*(Inputs!$E$26-Inputs!$D$26)),Inputs!$F$26-SQRT((1-N502)*(Inputs!$F$26-Inputs!$D$26)*(Inputs!$F$26-Inputs!$E$26)))</f>
        <v>0.64900453933787</v>
      </c>
      <c r="P502" s="81" t="n">
        <f aca="true">RAND()</f>
        <v>0.0860746030959425</v>
      </c>
      <c r="Q502" s="82" t="n">
        <f aca="false">IF(P502&lt;(Inputs!$E$27-Inputs!$D$27)/(Inputs!$F$27-Inputs!$D$27),Inputs!$D$27+SQRT(P502*(Inputs!$F$27-Inputs!$D$27)*(Inputs!$E$27-Inputs!$D$27)),Inputs!$F$27-SQRT((1-P502)*(Inputs!$F$27-Inputs!$D$27)*(Inputs!$F$27-Inputs!$E$27)))</f>
        <v>64.6692367810959</v>
      </c>
      <c r="R502" s="81" t="n">
        <f aca="true">RAND()</f>
        <v>0.488764250883765</v>
      </c>
      <c r="S502" s="82" t="n">
        <f aca="false">IF(R502&lt;(Inputs!$E$29-Inputs!$D$29)/(Inputs!$F$29-Inputs!$D$29),Inputs!$D$29+SQRT(R502*(Inputs!$F$29-Inputs!$D$29)*(Inputs!$E$29-Inputs!$D$29)),Inputs!$F$29-SQRT((1-R502)*(Inputs!$F$29-Inputs!$D$29)*(Inputs!$F$29-Inputs!$E$29)))</f>
        <v>6.84766000554991</v>
      </c>
      <c r="T502" s="68" t="n">
        <f aca="false">Inputs!$E$9*(1+E502)+Inputs!$E$5*C502*(Inputs!$E$11*Inputs!$E$14*(G502*I502/Inputs!$E$16+(1-G502))*K502+Inputs!$E$23*M502)*(1+O502)+Inputs!$E$5*(Q502+S502)</f>
        <v>6985.06888233106</v>
      </c>
    </row>
    <row r="503" customFormat="false" ht="15" hidden="false" customHeight="false" outlineLevel="0" collapsed="false">
      <c r="A503" s="1" t="n">
        <v>499</v>
      </c>
      <c r="B503" s="81" t="n">
        <f aca="true">RAND()</f>
        <v>0.224251355531922</v>
      </c>
      <c r="C503" s="82" t="n">
        <f aca="false">ROUND(IF(B503&lt;(Inputs!$E$8-Inputs!$D$8)/(Inputs!$F$8-Inputs!$D$8),Inputs!$D$8+SQRT(B503*(Inputs!$F$8-Inputs!$D$8)*(Inputs!$E$8-Inputs!$D$8)),Inputs!$F$8-SQRT((1-B503)*(Inputs!$F$8-Inputs!$D$8)*(Inputs!$F$8-Inputs!$E$8))),0)</f>
        <v>23</v>
      </c>
      <c r="D503" s="81" t="n">
        <f aca="true">RAND()</f>
        <v>0.0108509156162673</v>
      </c>
      <c r="E503" s="83" t="n">
        <f aca="false">IF(D503&lt;(Inputs!$E$10-Inputs!$D$10)/(Inputs!$F$10-Inputs!$D$10),Inputs!$D$10+SQRT(D503*(Inputs!$F$10-Inputs!$D$10)*(Inputs!$E$10-Inputs!$D$10)),Inputs!$F$10-SQRT((1-D503)*(Inputs!$F$10-Inputs!$D$10)*(Inputs!$F$10-Inputs!$E$10)))</f>
        <v>0.0104167728286007</v>
      </c>
      <c r="F503" s="81" t="n">
        <f aca="true">RAND()</f>
        <v>0.3177001140121</v>
      </c>
      <c r="G503" s="83" t="n">
        <f aca="false">IF(F503&lt;(Inputs!$E$15-Inputs!$D$15)/(Inputs!$F$15-Inputs!$D$15),Inputs!$D$15+SQRT(F503*(Inputs!$F$15-Inputs!$D$15)*(Inputs!$E$15-Inputs!$D$15)),Inputs!$F$15-SQRT((1-F503)*(Inputs!$F$15-Inputs!$D$15)*(Inputs!$F$15-Inputs!$E$15)))</f>
        <v>0.679711995836524</v>
      </c>
      <c r="H503" s="81" t="n">
        <f aca="true">RAND()</f>
        <v>0.145468990348267</v>
      </c>
      <c r="I503" s="82" t="n">
        <f aca="false">ROUND(IF(H503&lt;(Inputs!$E$17-Inputs!$D$17)/(Inputs!$F$17-Inputs!$D$17),Inputs!$D$17+SQRT(H503*(Inputs!$F$17-Inputs!$D$17)*(Inputs!$E$17-Inputs!$D$17)),Inputs!$F$17-SQRT((1-H503)*(Inputs!$F$17-Inputs!$D$17)*(Inputs!$F$17-Inputs!$E$17))),0)</f>
        <v>103</v>
      </c>
      <c r="J503" s="81" t="n">
        <f aca="true">RAND()</f>
        <v>0.381409085825248</v>
      </c>
      <c r="K503" s="83" t="n">
        <f aca="false">IF(J503&lt;(Inputs!$E$18-Inputs!$D$18)/(Inputs!$F$18-Inputs!$D$18),Inputs!$D$18+SQRT(J503*(Inputs!$F$18-Inputs!$D$18)*(Inputs!$E$18-Inputs!$D$18)),Inputs!$F$18-SQRT((1-J503)*(Inputs!$F$18-Inputs!$D$18)*(Inputs!$F$18-Inputs!$E$18)))</f>
        <v>1.01734853322987</v>
      </c>
      <c r="L503" s="81" t="n">
        <f aca="true">RAND()</f>
        <v>0.0546552835518786</v>
      </c>
      <c r="M503" s="83" t="n">
        <f aca="false">IF(L503&lt;(Inputs!$E$24-Inputs!$D$24)/(Inputs!$F$24-Inputs!$D$24),Inputs!$D$24+SQRT(L503*(Inputs!$F$24-Inputs!$D$24)*(Inputs!$E$24-Inputs!$D$24)),Inputs!$F$24-SQRT((1-L503)*(Inputs!$F$24-Inputs!$D$24)*(Inputs!$F$24-Inputs!$E$24)))</f>
        <v>0.680985393906713</v>
      </c>
      <c r="N503" s="81" t="n">
        <f aca="true">RAND()</f>
        <v>0.0675227648049085</v>
      </c>
      <c r="O503" s="83" t="n">
        <f aca="false">IF(N503&lt;(Inputs!$E$26-Inputs!$D$26)/(Inputs!$F$26-Inputs!$D$26),Inputs!$D$26+SQRT(N503*(Inputs!$F$26-Inputs!$D$26)*(Inputs!$E$26-Inputs!$D$26)),Inputs!$F$26-SQRT((1-N503)*(Inputs!$F$26-Inputs!$D$26)*(Inputs!$F$26-Inputs!$E$26)))</f>
        <v>0.405999000294988</v>
      </c>
      <c r="P503" s="81" t="n">
        <f aca="true">RAND()</f>
        <v>0.151674151080479</v>
      </c>
      <c r="Q503" s="82" t="n">
        <f aca="false">IF(P503&lt;(Inputs!$E$27-Inputs!$D$27)/(Inputs!$F$27-Inputs!$D$27),Inputs!$D$27+SQRT(P503*(Inputs!$F$27-Inputs!$D$27)*(Inputs!$E$27-Inputs!$D$27)),Inputs!$F$27-SQRT((1-P503)*(Inputs!$F$27-Inputs!$D$27)*(Inputs!$F$27-Inputs!$E$27)))</f>
        <v>69.4726828583326</v>
      </c>
      <c r="R503" s="81" t="n">
        <f aca="true">RAND()</f>
        <v>0.632234337014832</v>
      </c>
      <c r="S503" s="82" t="n">
        <f aca="false">IF(R503&lt;(Inputs!$E$29-Inputs!$D$29)/(Inputs!$F$29-Inputs!$D$29),Inputs!$D$29+SQRT(R503*(Inputs!$F$29-Inputs!$D$29)*(Inputs!$E$29-Inputs!$D$29)),Inputs!$F$29-SQRT((1-R503)*(Inputs!$F$29-Inputs!$D$29)*(Inputs!$F$29-Inputs!$E$29)))</f>
        <v>8.08555597404449</v>
      </c>
      <c r="T503" s="68" t="n">
        <f aca="false">Inputs!$E$9*(1+E503)+Inputs!$E$5*C503*(Inputs!$E$11*Inputs!$E$14*(G503*I503/Inputs!$E$16+(1-G503))*K503+Inputs!$E$23*M503)*(1+O503)+Inputs!$E$5*(Q503+S503)</f>
        <v>5166.11935677083</v>
      </c>
    </row>
    <row r="504" customFormat="false" ht="15" hidden="false" customHeight="false" outlineLevel="0" collapsed="false">
      <c r="A504" s="1" t="n">
        <v>500</v>
      </c>
      <c r="B504" s="81" t="n">
        <f aca="true">RAND()</f>
        <v>0.517197798180095</v>
      </c>
      <c r="C504" s="82" t="n">
        <f aca="false">ROUND(IF(B504&lt;(Inputs!$E$8-Inputs!$D$8)/(Inputs!$F$8-Inputs!$D$8),Inputs!$D$8+SQRT(B504*(Inputs!$F$8-Inputs!$D$8)*(Inputs!$E$8-Inputs!$D$8)),Inputs!$F$8-SQRT((1-B504)*(Inputs!$F$8-Inputs!$D$8)*(Inputs!$F$8-Inputs!$E$8))),0)</f>
        <v>25</v>
      </c>
      <c r="D504" s="81" t="n">
        <f aca="true">RAND()</f>
        <v>0.174749231245688</v>
      </c>
      <c r="E504" s="83" t="n">
        <f aca="false">IF(D504&lt;(Inputs!$E$10-Inputs!$D$10)/(Inputs!$F$10-Inputs!$D$10),Inputs!$D$10+SQRT(D504*(Inputs!$F$10-Inputs!$D$10)*(Inputs!$E$10-Inputs!$D$10)),Inputs!$F$10-SQRT((1-D504)*(Inputs!$F$10-Inputs!$D$10)*(Inputs!$F$10-Inputs!$E$10)))</f>
        <v>0.0418030179826395</v>
      </c>
      <c r="F504" s="81" t="n">
        <f aca="true">RAND()</f>
        <v>0.6050762868866</v>
      </c>
      <c r="G504" s="83" t="n">
        <f aca="false">IF(F504&lt;(Inputs!$E$15-Inputs!$D$15)/(Inputs!$F$15-Inputs!$D$15),Inputs!$D$15+SQRT(F504*(Inputs!$F$15-Inputs!$D$15)*(Inputs!$E$15-Inputs!$D$15)),Inputs!$F$15-SQRT((1-F504)*(Inputs!$F$15-Inputs!$D$15)*(Inputs!$F$15-Inputs!$E$15)))</f>
        <v>0.711126639186604</v>
      </c>
      <c r="H504" s="81" t="n">
        <f aca="true">RAND()</f>
        <v>0.932497366729803</v>
      </c>
      <c r="I504" s="82" t="n">
        <f aca="false">ROUND(IF(H504&lt;(Inputs!$E$17-Inputs!$D$17)/(Inputs!$F$17-Inputs!$D$17),Inputs!$D$17+SQRT(H504*(Inputs!$F$17-Inputs!$D$17)*(Inputs!$E$17-Inputs!$D$17)),Inputs!$F$17-SQRT((1-H504)*(Inputs!$F$17-Inputs!$D$17)*(Inputs!$F$17-Inputs!$E$17))),0)</f>
        <v>112</v>
      </c>
      <c r="J504" s="81" t="n">
        <f aca="true">RAND()</f>
        <v>0.908700491871627</v>
      </c>
      <c r="K504" s="83" t="n">
        <f aca="false">IF(J504&lt;(Inputs!$E$18-Inputs!$D$18)/(Inputs!$F$18-Inputs!$D$18),Inputs!$D$18+SQRT(J504*(Inputs!$F$18-Inputs!$D$18)*(Inputs!$E$18-Inputs!$D$18)),Inputs!$F$18-SQRT((1-J504)*(Inputs!$F$18-Inputs!$D$18)*(Inputs!$F$18-Inputs!$E$18)))</f>
        <v>1.16062043320069</v>
      </c>
      <c r="L504" s="81" t="n">
        <f aca="true">RAND()</f>
        <v>0.557155567951939</v>
      </c>
      <c r="M504" s="83" t="n">
        <f aca="false">IF(L504&lt;(Inputs!$E$24-Inputs!$D$24)/(Inputs!$F$24-Inputs!$D$24),Inputs!$D$24+SQRT(L504*(Inputs!$F$24-Inputs!$D$24)*(Inputs!$E$24-Inputs!$D$24)),Inputs!$F$24-SQRT((1-L504)*(Inputs!$F$24-Inputs!$D$24)*(Inputs!$F$24-Inputs!$E$24)))</f>
        <v>0.873989779774415</v>
      </c>
      <c r="N504" s="81" t="n">
        <f aca="true">RAND()</f>
        <v>0.534684899566363</v>
      </c>
      <c r="O504" s="83" t="n">
        <f aca="false">IF(N504&lt;(Inputs!$E$26-Inputs!$D$26)/(Inputs!$F$26-Inputs!$D$26),Inputs!$D$26+SQRT(N504*(Inputs!$F$26-Inputs!$D$26)*(Inputs!$E$26-Inputs!$D$26)),Inputs!$F$26-SQRT((1-N504)*(Inputs!$F$26-Inputs!$D$26)*(Inputs!$F$26-Inputs!$E$26)))</f>
        <v>0.598281020663137</v>
      </c>
      <c r="P504" s="81" t="n">
        <f aca="true">RAND()</f>
        <v>0.598025836942684</v>
      </c>
      <c r="Q504" s="82" t="n">
        <f aca="false">IF(P504&lt;(Inputs!$E$27-Inputs!$D$27)/(Inputs!$F$27-Inputs!$D$27),Inputs!$D$27+SQRT(P504*(Inputs!$F$27-Inputs!$D$27)*(Inputs!$E$27-Inputs!$D$27)),Inputs!$F$27-SQRT((1-P504)*(Inputs!$F$27-Inputs!$D$27)*(Inputs!$F$27-Inputs!$E$27)))</f>
        <v>95.0927489039028</v>
      </c>
      <c r="R504" s="81" t="n">
        <f aca="true">RAND()</f>
        <v>0.118013293269119</v>
      </c>
      <c r="S504" s="82" t="n">
        <f aca="false">IF(R504&lt;(Inputs!$E$29-Inputs!$D$29)/(Inputs!$F$29-Inputs!$D$29),Inputs!$D$29+SQRT(R504*(Inputs!$F$29-Inputs!$D$29)*(Inputs!$E$29-Inputs!$D$29)),Inputs!$F$29-SQRT((1-R504)*(Inputs!$F$29-Inputs!$D$29)*(Inputs!$F$29-Inputs!$E$29)))</f>
        <v>4.14534809238399</v>
      </c>
      <c r="T504" s="68" t="n">
        <f aca="false">Inputs!$E$9*(1+E504)+Inputs!$E$5*C504*(Inputs!$E$11*Inputs!$E$14*(G504*I504/Inputs!$E$16+(1-G504))*K504+Inputs!$E$23*M504)*(1+O504)+Inputs!$E$5*(Q504+S504)</f>
        <v>6602.45529126263</v>
      </c>
    </row>
    <row r="505" customFormat="false" ht="15" hidden="false" customHeight="false" outlineLevel="0" collapsed="false">
      <c r="A505" s="1" t="n">
        <v>501</v>
      </c>
      <c r="B505" s="81" t="n">
        <f aca="true">RAND()</f>
        <v>0.0371960718624194</v>
      </c>
      <c r="C505" s="82" t="n">
        <f aca="false">ROUND(IF(B505&lt;(Inputs!$E$8-Inputs!$D$8)/(Inputs!$F$8-Inputs!$D$8),Inputs!$D$8+SQRT(B505*(Inputs!$F$8-Inputs!$D$8)*(Inputs!$E$8-Inputs!$D$8)),Inputs!$F$8-SQRT((1-B505)*(Inputs!$F$8-Inputs!$D$8)*(Inputs!$F$8-Inputs!$E$8))),0)</f>
        <v>21</v>
      </c>
      <c r="D505" s="81" t="n">
        <f aca="true">RAND()</f>
        <v>0.371738783902512</v>
      </c>
      <c r="E505" s="83" t="n">
        <f aca="false">IF(D505&lt;(Inputs!$E$10-Inputs!$D$10)/(Inputs!$F$10-Inputs!$D$10),Inputs!$D$10+SQRT(D505*(Inputs!$F$10-Inputs!$D$10)*(Inputs!$E$10-Inputs!$D$10)),Inputs!$F$10-SQRT((1-D505)*(Inputs!$F$10-Inputs!$D$10)*(Inputs!$F$10-Inputs!$E$10)))</f>
        <v>0.0627125771131068</v>
      </c>
      <c r="F505" s="81" t="n">
        <f aca="true">RAND()</f>
        <v>0.222209173335012</v>
      </c>
      <c r="G505" s="83" t="n">
        <f aca="false">IF(F505&lt;(Inputs!$E$15-Inputs!$D$15)/(Inputs!$F$15-Inputs!$D$15),Inputs!$D$15+SQRT(F505*(Inputs!$F$15-Inputs!$D$15)*(Inputs!$E$15-Inputs!$D$15)),Inputs!$F$15-SQRT((1-F505)*(Inputs!$F$15-Inputs!$D$15)*(Inputs!$F$15-Inputs!$E$15)))</f>
        <v>0.666664709304851</v>
      </c>
      <c r="H505" s="81" t="n">
        <f aca="true">RAND()</f>
        <v>0.161119214989861</v>
      </c>
      <c r="I505" s="82" t="n">
        <f aca="false">ROUND(IF(H505&lt;(Inputs!$E$17-Inputs!$D$17)/(Inputs!$F$17-Inputs!$D$17),Inputs!$D$17+SQRT(H505*(Inputs!$F$17-Inputs!$D$17)*(Inputs!$E$17-Inputs!$D$17)),Inputs!$F$17-SQRT((1-H505)*(Inputs!$F$17-Inputs!$D$17)*(Inputs!$F$17-Inputs!$E$17))),0)</f>
        <v>103</v>
      </c>
      <c r="J505" s="81" t="n">
        <f aca="true">RAND()</f>
        <v>0.591797926967982</v>
      </c>
      <c r="K505" s="83" t="n">
        <f aca="false">IF(J505&lt;(Inputs!$E$18-Inputs!$D$18)/(Inputs!$F$18-Inputs!$D$18),Inputs!$D$18+SQRT(J505*(Inputs!$F$18-Inputs!$D$18)*(Inputs!$E$18-Inputs!$D$18)),Inputs!$F$18-SQRT((1-J505)*(Inputs!$F$18-Inputs!$D$18)*(Inputs!$F$18-Inputs!$E$18)))</f>
        <v>1.06100877959466</v>
      </c>
      <c r="L505" s="81" t="n">
        <f aca="true">RAND()</f>
        <v>0.929878517113216</v>
      </c>
      <c r="M505" s="83" t="n">
        <f aca="false">IF(L505&lt;(Inputs!$E$24-Inputs!$D$24)/(Inputs!$F$24-Inputs!$D$24),Inputs!$D$24+SQRT(L505*(Inputs!$F$24-Inputs!$D$24)*(Inputs!$E$24-Inputs!$D$24)),Inputs!$F$24-SQRT((1-L505)*(Inputs!$F$24-Inputs!$D$24)*(Inputs!$F$24-Inputs!$E$24)))</f>
        <v>1.07027276348882</v>
      </c>
      <c r="N505" s="81" t="n">
        <f aca="true">RAND()</f>
        <v>0.628555073918642</v>
      </c>
      <c r="O505" s="83" t="n">
        <f aca="false">IF(N505&lt;(Inputs!$E$26-Inputs!$D$26)/(Inputs!$F$26-Inputs!$D$26),Inputs!$D$26+SQRT(N505*(Inputs!$F$26-Inputs!$D$26)*(Inputs!$E$26-Inputs!$D$26)),Inputs!$F$26-SQRT((1-N505)*(Inputs!$F$26-Inputs!$D$26)*(Inputs!$F$26-Inputs!$E$26)))</f>
        <v>0.623454147048427</v>
      </c>
      <c r="P505" s="81" t="n">
        <f aca="true">RAND()</f>
        <v>0.0447642869381737</v>
      </c>
      <c r="Q505" s="82" t="n">
        <f aca="false">IF(P505&lt;(Inputs!$E$27-Inputs!$D$27)/(Inputs!$F$27-Inputs!$D$27),Inputs!$D$27+SQRT(P505*(Inputs!$F$27-Inputs!$D$27)*(Inputs!$E$27-Inputs!$D$27)),Inputs!$F$27-SQRT((1-P505)*(Inputs!$F$27-Inputs!$D$27)*(Inputs!$F$27-Inputs!$E$27)))</f>
        <v>60.5787861943341</v>
      </c>
      <c r="R505" s="81" t="n">
        <f aca="true">RAND()</f>
        <v>0.0297832565454971</v>
      </c>
      <c r="S505" s="82" t="n">
        <f aca="false">IF(R505&lt;(Inputs!$E$29-Inputs!$D$29)/(Inputs!$F$29-Inputs!$D$29),Inputs!$D$29+SQRT(R505*(Inputs!$F$29-Inputs!$D$29)*(Inputs!$E$29-Inputs!$D$29)),Inputs!$F$29-SQRT((1-R505)*(Inputs!$F$29-Inputs!$D$29)*(Inputs!$F$29-Inputs!$E$29)))</f>
        <v>3.07775090130994</v>
      </c>
      <c r="T505" s="68" t="n">
        <f aca="false">Inputs!$E$9*(1+E505)+Inputs!$E$5*C505*(Inputs!$E$11*Inputs!$E$14*(G505*I505/Inputs!$E$16+(1-G505))*K505+Inputs!$E$23*M505)*(1+O505)+Inputs!$E$5*(Q505+S505)</f>
        <v>5919.67624561303</v>
      </c>
    </row>
    <row r="506" customFormat="false" ht="15" hidden="false" customHeight="false" outlineLevel="0" collapsed="false">
      <c r="A506" s="1" t="n">
        <v>502</v>
      </c>
      <c r="B506" s="81" t="n">
        <f aca="true">RAND()</f>
        <v>0.737827511562615</v>
      </c>
      <c r="C506" s="82" t="n">
        <f aca="false">ROUND(IF(B506&lt;(Inputs!$E$8-Inputs!$D$8)/(Inputs!$F$8-Inputs!$D$8),Inputs!$D$8+SQRT(B506*(Inputs!$F$8-Inputs!$D$8)*(Inputs!$E$8-Inputs!$D$8)),Inputs!$F$8-SQRT((1-B506)*(Inputs!$F$8-Inputs!$D$8)*(Inputs!$F$8-Inputs!$E$8))),0)</f>
        <v>26</v>
      </c>
      <c r="D506" s="81" t="n">
        <f aca="true">RAND()</f>
        <v>0.273753517512658</v>
      </c>
      <c r="E506" s="83" t="n">
        <f aca="false">IF(D506&lt;(Inputs!$E$10-Inputs!$D$10)/(Inputs!$F$10-Inputs!$D$10),Inputs!$D$10+SQRT(D506*(Inputs!$F$10-Inputs!$D$10)*(Inputs!$E$10-Inputs!$D$10)),Inputs!$F$10-SQRT((1-D506)*(Inputs!$F$10-Inputs!$D$10)*(Inputs!$F$10-Inputs!$E$10)))</f>
        <v>0.0523944632657018</v>
      </c>
      <c r="F506" s="81" t="n">
        <f aca="true">RAND()</f>
        <v>0.73813543114139</v>
      </c>
      <c r="G506" s="83" t="n">
        <f aca="false">IF(F506&lt;(Inputs!$E$15-Inputs!$D$15)/(Inputs!$F$15-Inputs!$D$15),Inputs!$D$15+SQRT(F506*(Inputs!$F$15-Inputs!$D$15)*(Inputs!$E$15-Inputs!$D$15)),Inputs!$F$15-SQRT((1-F506)*(Inputs!$F$15-Inputs!$D$15)*(Inputs!$F$15-Inputs!$E$15)))</f>
        <v>0.727630867234903</v>
      </c>
      <c r="H506" s="81" t="n">
        <f aca="true">RAND()</f>
        <v>0.130644229829562</v>
      </c>
      <c r="I506" s="82" t="n">
        <f aca="false">ROUND(IF(H506&lt;(Inputs!$E$17-Inputs!$D$17)/(Inputs!$F$17-Inputs!$D$17),Inputs!$D$17+SQRT(H506*(Inputs!$F$17-Inputs!$D$17)*(Inputs!$E$17-Inputs!$D$17)),Inputs!$F$17-SQRT((1-H506)*(Inputs!$F$17-Inputs!$D$17)*(Inputs!$F$17-Inputs!$E$17))),0)</f>
        <v>103</v>
      </c>
      <c r="J506" s="81" t="n">
        <f aca="true">RAND()</f>
        <v>0.811788021168638</v>
      </c>
      <c r="K506" s="83" t="n">
        <f aca="false">IF(J506&lt;(Inputs!$E$18-Inputs!$D$18)/(Inputs!$F$18-Inputs!$D$18),Inputs!$D$18+SQRT(J506*(Inputs!$F$18-Inputs!$D$18)*(Inputs!$E$18-Inputs!$D$18)),Inputs!$F$18-SQRT((1-J506)*(Inputs!$F$18-Inputs!$D$18)*(Inputs!$F$18-Inputs!$E$18)))</f>
        <v>1.12167015877924</v>
      </c>
      <c r="L506" s="81" t="n">
        <f aca="true">RAND()</f>
        <v>0.149734760594703</v>
      </c>
      <c r="M506" s="83" t="n">
        <f aca="false">IF(L506&lt;(Inputs!$E$24-Inputs!$D$24)/(Inputs!$F$24-Inputs!$D$24),Inputs!$D$24+SQRT(L506*(Inputs!$F$24-Inputs!$D$24)*(Inputs!$E$24-Inputs!$D$24)),Inputs!$F$24-SQRT((1-L506)*(Inputs!$F$24-Inputs!$D$24)*(Inputs!$F$24-Inputs!$E$24)))</f>
        <v>0.734045407498222</v>
      </c>
      <c r="N506" s="81" t="n">
        <f aca="true">RAND()</f>
        <v>0.725688507635734</v>
      </c>
      <c r="O506" s="83" t="n">
        <f aca="false">IF(N506&lt;(Inputs!$E$26-Inputs!$D$26)/(Inputs!$F$26-Inputs!$D$26),Inputs!$D$26+SQRT(N506*(Inputs!$F$26-Inputs!$D$26)*(Inputs!$E$26-Inputs!$D$26)),Inputs!$F$26-SQRT((1-N506)*(Inputs!$F$26-Inputs!$D$26)*(Inputs!$F$26-Inputs!$E$26)))</f>
        <v>0.651096491434063</v>
      </c>
      <c r="P506" s="81" t="n">
        <f aca="true">RAND()</f>
        <v>0.0643526550397799</v>
      </c>
      <c r="Q506" s="82" t="n">
        <f aca="false">IF(P506&lt;(Inputs!$E$27-Inputs!$D$27)/(Inputs!$F$27-Inputs!$D$27),Inputs!$D$27+SQRT(P506*(Inputs!$F$27-Inputs!$D$27)*(Inputs!$E$27-Inputs!$D$27)),Inputs!$F$27-SQRT((1-P506)*(Inputs!$F$27-Inputs!$D$27)*(Inputs!$F$27-Inputs!$E$27)))</f>
        <v>62.6839125509225</v>
      </c>
      <c r="R506" s="81" t="n">
        <f aca="true">RAND()</f>
        <v>0.0474275652990872</v>
      </c>
      <c r="S506" s="82" t="n">
        <f aca="false">IF(R506&lt;(Inputs!$E$29-Inputs!$D$29)/(Inputs!$F$29-Inputs!$D$29),Inputs!$D$29+SQRT(R506*(Inputs!$F$29-Inputs!$D$29)*(Inputs!$E$29-Inputs!$D$29)),Inputs!$F$29-SQRT((1-R506)*(Inputs!$F$29-Inputs!$D$29)*(Inputs!$F$29-Inputs!$E$29)))</f>
        <v>3.36002759040558</v>
      </c>
      <c r="T506" s="68" t="n">
        <f aca="false">Inputs!$E$9*(1+E506)+Inputs!$E$5*C506*(Inputs!$E$11*Inputs!$E$14*(G506*I506/Inputs!$E$16+(1-G506))*K506+Inputs!$E$23*M506)*(1+O506)+Inputs!$E$5*(Q506+S506)</f>
        <v>6281.21007436723</v>
      </c>
    </row>
    <row r="507" customFormat="false" ht="15" hidden="false" customHeight="false" outlineLevel="0" collapsed="false">
      <c r="A507" s="1" t="n">
        <v>503</v>
      </c>
      <c r="B507" s="81" t="n">
        <f aca="true">RAND()</f>
        <v>0.824195329088754</v>
      </c>
      <c r="C507" s="82" t="n">
        <f aca="false">ROUND(IF(B507&lt;(Inputs!$E$8-Inputs!$D$8)/(Inputs!$F$8-Inputs!$D$8),Inputs!$D$8+SQRT(B507*(Inputs!$F$8-Inputs!$D$8)*(Inputs!$E$8-Inputs!$D$8)),Inputs!$F$8-SQRT((1-B507)*(Inputs!$F$8-Inputs!$D$8)*(Inputs!$F$8-Inputs!$E$8))),0)</f>
        <v>27</v>
      </c>
      <c r="D507" s="81" t="n">
        <f aca="true">RAND()</f>
        <v>0.816329080438674</v>
      </c>
      <c r="E507" s="83" t="n">
        <f aca="false">IF(D507&lt;(Inputs!$E$10-Inputs!$D$10)/(Inputs!$F$10-Inputs!$D$10),Inputs!$D$10+SQRT(D507*(Inputs!$F$10-Inputs!$D$10)*(Inputs!$E$10-Inputs!$D$10)),Inputs!$F$10-SQRT((1-D507)*(Inputs!$F$10-Inputs!$D$10)*(Inputs!$F$10-Inputs!$E$10)))</f>
        <v>0.125769766356021</v>
      </c>
      <c r="F507" s="81" t="n">
        <f aca="true">RAND()</f>
        <v>0.430462151842231</v>
      </c>
      <c r="G507" s="83" t="n">
        <f aca="false">IF(F507&lt;(Inputs!$E$15-Inputs!$D$15)/(Inputs!$F$15-Inputs!$D$15),Inputs!$D$15+SQRT(F507*(Inputs!$F$15-Inputs!$D$15)*(Inputs!$E$15-Inputs!$D$15)),Inputs!$F$15-SQRT((1-F507)*(Inputs!$F$15-Inputs!$D$15)*(Inputs!$F$15-Inputs!$E$15)))</f>
        <v>0.692786006686594</v>
      </c>
      <c r="H507" s="81" t="n">
        <f aca="true">RAND()</f>
        <v>0.856650715230226</v>
      </c>
      <c r="I507" s="82" t="n">
        <f aca="false">ROUND(IF(H507&lt;(Inputs!$E$17-Inputs!$D$17)/(Inputs!$F$17-Inputs!$D$17),Inputs!$D$17+SQRT(H507*(Inputs!$F$17-Inputs!$D$17)*(Inputs!$E$17-Inputs!$D$17)),Inputs!$F$17-SQRT((1-H507)*(Inputs!$F$17-Inputs!$D$17)*(Inputs!$F$17-Inputs!$E$17))),0)</f>
        <v>110</v>
      </c>
      <c r="J507" s="81" t="n">
        <f aca="true">RAND()</f>
        <v>0.228129198810775</v>
      </c>
      <c r="K507" s="83" t="n">
        <f aca="false">IF(J507&lt;(Inputs!$E$18-Inputs!$D$18)/(Inputs!$F$18-Inputs!$D$18),Inputs!$D$18+SQRT(J507*(Inputs!$F$18-Inputs!$D$18)*(Inputs!$E$18-Inputs!$D$18)),Inputs!$F$18-SQRT((1-J507)*(Inputs!$F$18-Inputs!$D$18)*(Inputs!$F$18-Inputs!$E$18)))</f>
        <v>0.989356152325272</v>
      </c>
      <c r="L507" s="81" t="n">
        <f aca="true">RAND()</f>
        <v>0.941697929576413</v>
      </c>
      <c r="M507" s="83" t="n">
        <f aca="false">IF(L507&lt;(Inputs!$E$24-Inputs!$D$24)/(Inputs!$F$24-Inputs!$D$24),Inputs!$D$24+SQRT(L507*(Inputs!$F$24-Inputs!$D$24)*(Inputs!$E$24-Inputs!$D$24)),Inputs!$F$24-SQRT((1-L507)*(Inputs!$F$24-Inputs!$D$24)*(Inputs!$F$24-Inputs!$E$24)))</f>
        <v>1.08171011496472</v>
      </c>
      <c r="N507" s="81" t="n">
        <f aca="true">RAND()</f>
        <v>0.920122881639017</v>
      </c>
      <c r="O507" s="83" t="n">
        <f aca="false">IF(N507&lt;(Inputs!$E$26-Inputs!$D$26)/(Inputs!$F$26-Inputs!$D$26),Inputs!$D$26+SQRT(N507*(Inputs!$F$26-Inputs!$D$26)*(Inputs!$E$26-Inputs!$D$26)),Inputs!$F$26-SQRT((1-N507)*(Inputs!$F$26-Inputs!$D$26)*(Inputs!$F$26-Inputs!$E$26)))</f>
        <v>0.728856046226081</v>
      </c>
      <c r="P507" s="81" t="n">
        <f aca="true">RAND()</f>
        <v>0.30110174189368</v>
      </c>
      <c r="Q507" s="82" t="n">
        <f aca="false">IF(P507&lt;(Inputs!$E$27-Inputs!$D$27)/(Inputs!$F$27-Inputs!$D$27),Inputs!$D$27+SQRT(P507*(Inputs!$F$27-Inputs!$D$27)*(Inputs!$E$27-Inputs!$D$27)),Inputs!$F$27-SQRT((1-P507)*(Inputs!$F$27-Inputs!$D$27)*(Inputs!$F$27-Inputs!$E$27)))</f>
        <v>77.6001592833424</v>
      </c>
      <c r="R507" s="81" t="n">
        <f aca="true">RAND()</f>
        <v>0.448601289274333</v>
      </c>
      <c r="S507" s="82" t="n">
        <f aca="false">IF(R507&lt;(Inputs!$E$29-Inputs!$D$29)/(Inputs!$F$29-Inputs!$D$29),Inputs!$D$29+SQRT(R507*(Inputs!$F$29-Inputs!$D$29)*(Inputs!$E$29-Inputs!$D$29)),Inputs!$F$29-SQRT((1-R507)*(Inputs!$F$29-Inputs!$D$29)*(Inputs!$F$29-Inputs!$E$29)))</f>
        <v>6.53348758966617</v>
      </c>
      <c r="T507" s="68" t="n">
        <f aca="false">Inputs!$E$9*(1+E507)+Inputs!$E$5*C507*(Inputs!$E$11*Inputs!$E$14*(G507*I507/Inputs!$E$16+(1-G507))*K507+Inputs!$E$23*M507)*(1+O507)+Inputs!$E$5*(Q507+S507)</f>
        <v>7255.22568546548</v>
      </c>
    </row>
    <row r="508" customFormat="false" ht="15" hidden="false" customHeight="false" outlineLevel="0" collapsed="false">
      <c r="A508" s="1" t="n">
        <v>504</v>
      </c>
      <c r="B508" s="81" t="n">
        <f aca="true">RAND()</f>
        <v>0.359232245020749</v>
      </c>
      <c r="C508" s="82" t="n">
        <f aca="false">ROUND(IF(B508&lt;(Inputs!$E$8-Inputs!$D$8)/(Inputs!$F$8-Inputs!$D$8),Inputs!$D$8+SQRT(B508*(Inputs!$F$8-Inputs!$D$8)*(Inputs!$E$8-Inputs!$D$8)),Inputs!$F$8-SQRT((1-B508)*(Inputs!$F$8-Inputs!$D$8)*(Inputs!$F$8-Inputs!$E$8))),0)</f>
        <v>24</v>
      </c>
      <c r="D508" s="81" t="n">
        <f aca="true">RAND()</f>
        <v>0.320140671180875</v>
      </c>
      <c r="E508" s="83" t="n">
        <f aca="false">IF(D508&lt;(Inputs!$E$10-Inputs!$D$10)/(Inputs!$F$10-Inputs!$D$10),Inputs!$D$10+SQRT(D508*(Inputs!$F$10-Inputs!$D$10)*(Inputs!$E$10-Inputs!$D$10)),Inputs!$F$10-SQRT((1-D508)*(Inputs!$F$10-Inputs!$D$10)*(Inputs!$F$10-Inputs!$E$10)))</f>
        <v>0.0571862056222378</v>
      </c>
      <c r="F508" s="81" t="n">
        <f aca="true">RAND()</f>
        <v>0.132530981247417</v>
      </c>
      <c r="G508" s="83" t="n">
        <f aca="false">IF(F508&lt;(Inputs!$E$15-Inputs!$D$15)/(Inputs!$F$15-Inputs!$D$15),Inputs!$D$15+SQRT(F508*(Inputs!$F$15-Inputs!$D$15)*(Inputs!$E$15-Inputs!$D$15)),Inputs!$F$15-SQRT((1-F508)*(Inputs!$F$15-Inputs!$D$15)*(Inputs!$F$15-Inputs!$E$15)))</f>
        <v>0.651484168682696</v>
      </c>
      <c r="H508" s="81" t="n">
        <f aca="true">RAND()</f>
        <v>0.340457961314297</v>
      </c>
      <c r="I508" s="82" t="n">
        <f aca="false">ROUND(IF(H508&lt;(Inputs!$E$17-Inputs!$D$17)/(Inputs!$F$17-Inputs!$D$17),Inputs!$D$17+SQRT(H508*(Inputs!$F$17-Inputs!$D$17)*(Inputs!$E$17-Inputs!$D$17)),Inputs!$F$17-SQRT((1-H508)*(Inputs!$F$17-Inputs!$D$17)*(Inputs!$F$17-Inputs!$E$17))),0)</f>
        <v>105</v>
      </c>
      <c r="J508" s="81" t="n">
        <f aca="true">RAND()</f>
        <v>0.107026514466562</v>
      </c>
      <c r="K508" s="83" t="n">
        <f aca="false">IF(J508&lt;(Inputs!$E$18-Inputs!$D$18)/(Inputs!$F$18-Inputs!$D$18),Inputs!$D$18+SQRT(J508*(Inputs!$F$18-Inputs!$D$18)*(Inputs!$E$18-Inputs!$D$18)),Inputs!$F$18-SQRT((1-J508)*(Inputs!$F$18-Inputs!$D$18)*(Inputs!$F$18-Inputs!$E$18)))</f>
        <v>0.961203986849957</v>
      </c>
      <c r="L508" s="81" t="n">
        <f aca="true">RAND()</f>
        <v>0.727715236846744</v>
      </c>
      <c r="M508" s="83" t="n">
        <f aca="false">IF(L508&lt;(Inputs!$E$24-Inputs!$D$24)/(Inputs!$F$24-Inputs!$D$24),Inputs!$D$24+SQRT(L508*(Inputs!$F$24-Inputs!$D$24)*(Inputs!$E$24-Inputs!$D$24)),Inputs!$F$24-SQRT((1-L508)*(Inputs!$F$24-Inputs!$D$24)*(Inputs!$F$24-Inputs!$E$24)))</f>
        <v>0.944366780021098</v>
      </c>
      <c r="N508" s="81" t="n">
        <f aca="true">RAND()</f>
        <v>0.391860084421017</v>
      </c>
      <c r="O508" s="83" t="n">
        <f aca="false">IF(N508&lt;(Inputs!$E$26-Inputs!$D$26)/(Inputs!$F$26-Inputs!$D$26),Inputs!$D$26+SQRT(N508*(Inputs!$F$26-Inputs!$D$26)*(Inputs!$E$26-Inputs!$D$26)),Inputs!$F$26-SQRT((1-N508)*(Inputs!$F$26-Inputs!$D$26)*(Inputs!$F$26-Inputs!$E$26)))</f>
        <v>0.555353711638694</v>
      </c>
      <c r="P508" s="81" t="n">
        <f aca="true">RAND()</f>
        <v>0.630770668098823</v>
      </c>
      <c r="Q508" s="82" t="n">
        <f aca="false">IF(P508&lt;(Inputs!$E$27-Inputs!$D$27)/(Inputs!$F$27-Inputs!$D$27),Inputs!$D$27+SQRT(P508*(Inputs!$F$27-Inputs!$D$27)*(Inputs!$E$27-Inputs!$D$27)),Inputs!$F$27-SQRT((1-P508)*(Inputs!$F$27-Inputs!$D$27)*(Inputs!$F$27-Inputs!$E$27)))</f>
        <v>97.3766212671704</v>
      </c>
      <c r="R508" s="81" t="n">
        <f aca="true">RAND()</f>
        <v>0.184164806173063</v>
      </c>
      <c r="S508" s="82" t="n">
        <f aca="false">IF(R508&lt;(Inputs!$E$29-Inputs!$D$29)/(Inputs!$F$29-Inputs!$D$29),Inputs!$D$29+SQRT(R508*(Inputs!$F$29-Inputs!$D$29)*(Inputs!$E$29-Inputs!$D$29)),Inputs!$F$29-SQRT((1-R508)*(Inputs!$F$29-Inputs!$D$29)*(Inputs!$F$29-Inputs!$E$29)))</f>
        <v>4.68000511953792</v>
      </c>
      <c r="T508" s="68" t="n">
        <f aca="false">Inputs!$E$9*(1+E508)+Inputs!$E$5*C508*(Inputs!$E$11*Inputs!$E$14*(G508*I508/Inputs!$E$16+(1-G508))*K508+Inputs!$E$23*M508)*(1+O508)+Inputs!$E$5*(Q508+S508)</f>
        <v>6077.63613308444</v>
      </c>
    </row>
    <row r="509" customFormat="false" ht="15" hidden="false" customHeight="false" outlineLevel="0" collapsed="false">
      <c r="A509" s="1" t="n">
        <v>505</v>
      </c>
      <c r="B509" s="81" t="n">
        <f aca="true">RAND()</f>
        <v>0.236963798718662</v>
      </c>
      <c r="C509" s="82" t="n">
        <f aca="false">ROUND(IF(B509&lt;(Inputs!$E$8-Inputs!$D$8)/(Inputs!$F$8-Inputs!$D$8),Inputs!$D$8+SQRT(B509*(Inputs!$F$8-Inputs!$D$8)*(Inputs!$E$8-Inputs!$D$8)),Inputs!$F$8-SQRT((1-B509)*(Inputs!$F$8-Inputs!$D$8)*(Inputs!$F$8-Inputs!$E$8))),0)</f>
        <v>23</v>
      </c>
      <c r="D509" s="81" t="n">
        <f aca="true">RAND()</f>
        <v>0.0805197379134052</v>
      </c>
      <c r="E509" s="83" t="n">
        <f aca="false">IF(D509&lt;(Inputs!$E$10-Inputs!$D$10)/(Inputs!$F$10-Inputs!$D$10),Inputs!$D$10+SQRT(D509*(Inputs!$F$10-Inputs!$D$10)*(Inputs!$E$10-Inputs!$D$10)),Inputs!$F$10-SQRT((1-D509)*(Inputs!$F$10-Inputs!$D$10)*(Inputs!$F$10-Inputs!$E$10)))</f>
        <v>0.0283760000552236</v>
      </c>
      <c r="F509" s="81" t="n">
        <f aca="true">RAND()</f>
        <v>0.658345570403412</v>
      </c>
      <c r="G509" s="83" t="n">
        <f aca="false">IF(F509&lt;(Inputs!$E$15-Inputs!$D$15)/(Inputs!$F$15-Inputs!$D$15),Inputs!$D$15+SQRT(F509*(Inputs!$F$15-Inputs!$D$15)*(Inputs!$E$15-Inputs!$D$15)),Inputs!$F$15-SQRT((1-F509)*(Inputs!$F$15-Inputs!$D$15)*(Inputs!$F$15-Inputs!$E$15)))</f>
        <v>0.717337501901214</v>
      </c>
      <c r="H509" s="81" t="n">
        <f aca="true">RAND()</f>
        <v>0.977860244980202</v>
      </c>
      <c r="I509" s="82" t="n">
        <f aca="false">ROUND(IF(H509&lt;(Inputs!$E$17-Inputs!$D$17)/(Inputs!$F$17-Inputs!$D$17),Inputs!$D$17+SQRT(H509*(Inputs!$F$17-Inputs!$D$17)*(Inputs!$E$17-Inputs!$D$17)),Inputs!$F$17-SQRT((1-H509)*(Inputs!$F$17-Inputs!$D$17)*(Inputs!$F$17-Inputs!$E$17))),0)</f>
        <v>113</v>
      </c>
      <c r="J509" s="81" t="n">
        <f aca="true">RAND()</f>
        <v>0.37751220040984</v>
      </c>
      <c r="K509" s="83" t="n">
        <f aca="false">IF(J509&lt;(Inputs!$E$18-Inputs!$D$18)/(Inputs!$F$18-Inputs!$D$18),Inputs!$D$18+SQRT(J509*(Inputs!$F$18-Inputs!$D$18)*(Inputs!$E$18-Inputs!$D$18)),Inputs!$F$18-SQRT((1-J509)*(Inputs!$F$18-Inputs!$D$18)*(Inputs!$F$18-Inputs!$E$18)))</f>
        <v>1.01661687622251</v>
      </c>
      <c r="L509" s="81" t="n">
        <f aca="true">RAND()</f>
        <v>0.296018613870117</v>
      </c>
      <c r="M509" s="83" t="n">
        <f aca="false">IF(L509&lt;(Inputs!$E$24-Inputs!$D$24)/(Inputs!$F$24-Inputs!$D$24),Inputs!$D$24+SQRT(L509*(Inputs!$F$24-Inputs!$D$24)*(Inputs!$E$24-Inputs!$D$24)),Inputs!$F$24-SQRT((1-L509)*(Inputs!$F$24-Inputs!$D$24)*(Inputs!$F$24-Inputs!$E$24)))</f>
        <v>0.788473429597952</v>
      </c>
      <c r="N509" s="81" t="n">
        <f aca="true">RAND()</f>
        <v>0.0283775412262047</v>
      </c>
      <c r="O509" s="83" t="n">
        <f aca="false">IF(N509&lt;(Inputs!$E$26-Inputs!$D$26)/(Inputs!$F$26-Inputs!$D$26),Inputs!$D$26+SQRT(N509*(Inputs!$F$26-Inputs!$D$26)*(Inputs!$E$26-Inputs!$D$26)),Inputs!$F$26-SQRT((1-N509)*(Inputs!$F$26-Inputs!$D$26)*(Inputs!$F$26-Inputs!$E$26)))</f>
        <v>0.368716976505377</v>
      </c>
      <c r="P509" s="81" t="n">
        <f aca="true">RAND()</f>
        <v>0.388190829735649</v>
      </c>
      <c r="Q509" s="82" t="n">
        <f aca="false">IF(P509&lt;(Inputs!$E$27-Inputs!$D$27)/(Inputs!$F$27-Inputs!$D$27),Inputs!$D$27+SQRT(P509*(Inputs!$F$27-Inputs!$D$27)*(Inputs!$E$27-Inputs!$D$27)),Inputs!$F$27-SQRT((1-P509)*(Inputs!$F$27-Inputs!$D$27)*(Inputs!$F$27-Inputs!$E$27)))</f>
        <v>82.2610246831071</v>
      </c>
      <c r="R509" s="81" t="n">
        <f aca="true">RAND()</f>
        <v>0.633684090113741</v>
      </c>
      <c r="S509" s="82" t="n">
        <f aca="false">IF(R509&lt;(Inputs!$E$29-Inputs!$D$29)/(Inputs!$F$29-Inputs!$D$29),Inputs!$D$29+SQRT(R509*(Inputs!$F$29-Inputs!$D$29)*(Inputs!$E$29-Inputs!$D$29)),Inputs!$F$29-SQRT((1-R509)*(Inputs!$F$29-Inputs!$D$29)*(Inputs!$F$29-Inputs!$E$29)))</f>
        <v>8.09919799695618</v>
      </c>
      <c r="T509" s="68" t="n">
        <f aca="false">Inputs!$E$9*(1+E509)+Inputs!$E$5*C509*(Inputs!$E$11*Inputs!$E$14*(G509*I509/Inputs!$E$16+(1-G509))*K509+Inputs!$E$23*M509)*(1+O509)+Inputs!$E$5*(Q509+S509)</f>
        <v>5375.74038447905</v>
      </c>
    </row>
    <row r="510" customFormat="false" ht="15" hidden="false" customHeight="false" outlineLevel="0" collapsed="false">
      <c r="A510" s="1" t="n">
        <v>506</v>
      </c>
      <c r="B510" s="81" t="n">
        <f aca="true">RAND()</f>
        <v>0.124618432182671</v>
      </c>
      <c r="C510" s="82" t="n">
        <f aca="false">ROUND(IF(B510&lt;(Inputs!$E$8-Inputs!$D$8)/(Inputs!$F$8-Inputs!$D$8),Inputs!$D$8+SQRT(B510*(Inputs!$F$8-Inputs!$D$8)*(Inputs!$E$8-Inputs!$D$8)),Inputs!$F$8-SQRT((1-B510)*(Inputs!$F$8-Inputs!$D$8)*(Inputs!$F$8-Inputs!$E$8))),0)</f>
        <v>22</v>
      </c>
      <c r="D510" s="81" t="n">
        <f aca="true">RAND()</f>
        <v>0.941194164538756</v>
      </c>
      <c r="E510" s="83" t="n">
        <f aca="false">IF(D510&lt;(Inputs!$E$10-Inputs!$D$10)/(Inputs!$F$10-Inputs!$D$10),Inputs!$D$10+SQRT(D510*(Inputs!$F$10-Inputs!$D$10)*(Inputs!$E$10-Inputs!$D$10)),Inputs!$F$10-SQRT((1-D510)*(Inputs!$F$10-Inputs!$D$10)*(Inputs!$F$10-Inputs!$E$10)))</f>
        <v>0.157997915958404</v>
      </c>
      <c r="F510" s="81" t="n">
        <f aca="true">RAND()</f>
        <v>0.183008362168491</v>
      </c>
      <c r="G510" s="83" t="n">
        <f aca="false">IF(F510&lt;(Inputs!$E$15-Inputs!$D$15)/(Inputs!$F$15-Inputs!$D$15),Inputs!$D$15+SQRT(F510*(Inputs!$F$15-Inputs!$D$15)*(Inputs!$E$15-Inputs!$D$15)),Inputs!$F$15-SQRT((1-F510)*(Inputs!$F$15-Inputs!$D$15)*(Inputs!$F$15-Inputs!$E$15)))</f>
        <v>0.660499316057042</v>
      </c>
      <c r="H510" s="81" t="n">
        <f aca="true">RAND()</f>
        <v>0.415903429127875</v>
      </c>
      <c r="I510" s="82" t="n">
        <f aca="false">ROUND(IF(H510&lt;(Inputs!$E$17-Inputs!$D$17)/(Inputs!$F$17-Inputs!$D$17),Inputs!$D$17+SQRT(H510*(Inputs!$F$17-Inputs!$D$17)*(Inputs!$E$17-Inputs!$D$17)),Inputs!$F$17-SQRT((1-H510)*(Inputs!$F$17-Inputs!$D$17)*(Inputs!$F$17-Inputs!$E$17))),0)</f>
        <v>106</v>
      </c>
      <c r="J510" s="81" t="n">
        <f aca="true">RAND()</f>
        <v>0.43442990593282</v>
      </c>
      <c r="K510" s="83" t="n">
        <f aca="false">IF(J510&lt;(Inputs!$E$18-Inputs!$D$18)/(Inputs!$F$18-Inputs!$D$18),Inputs!$D$18+SQRT(J510*(Inputs!$F$18-Inputs!$D$18)*(Inputs!$E$18-Inputs!$D$18)),Inputs!$F$18-SQRT((1-J510)*(Inputs!$F$18-Inputs!$D$18)*(Inputs!$F$18-Inputs!$E$18)))</f>
        <v>1.02754240127413</v>
      </c>
      <c r="L510" s="81" t="n">
        <f aca="true">RAND()</f>
        <v>0.546412575467289</v>
      </c>
      <c r="M510" s="83" t="n">
        <f aca="false">IF(L510&lt;(Inputs!$E$24-Inputs!$D$24)/(Inputs!$F$24-Inputs!$D$24),Inputs!$D$24+SQRT(L510*(Inputs!$F$24-Inputs!$D$24)*(Inputs!$E$24-Inputs!$D$24)),Inputs!$F$24-SQRT((1-L510)*(Inputs!$F$24-Inputs!$D$24)*(Inputs!$F$24-Inputs!$E$24)))</f>
        <v>0.870059123648114</v>
      </c>
      <c r="N510" s="81" t="n">
        <f aca="true">RAND()</f>
        <v>0.594278832946482</v>
      </c>
      <c r="O510" s="83" t="n">
        <f aca="false">IF(N510&lt;(Inputs!$E$26-Inputs!$D$26)/(Inputs!$F$26-Inputs!$D$26),Inputs!$D$26+SQRT(N510*(Inputs!$F$26-Inputs!$D$26)*(Inputs!$E$26-Inputs!$D$26)),Inputs!$F$26-SQRT((1-N510)*(Inputs!$F$26-Inputs!$D$26)*(Inputs!$F$26-Inputs!$E$26)))</f>
        <v>0.614464620907177</v>
      </c>
      <c r="P510" s="81" t="n">
        <f aca="true">RAND()</f>
        <v>0.623306313510073</v>
      </c>
      <c r="Q510" s="82" t="n">
        <f aca="false">IF(P510&lt;(Inputs!$E$27-Inputs!$D$27)/(Inputs!$F$27-Inputs!$D$27),Inputs!$D$27+SQRT(P510*(Inputs!$F$27-Inputs!$D$27)*(Inputs!$E$27-Inputs!$D$27)),Inputs!$F$27-SQRT((1-P510)*(Inputs!$F$27-Inputs!$D$27)*(Inputs!$F$27-Inputs!$E$27)))</f>
        <v>96.8473646121432</v>
      </c>
      <c r="R510" s="81" t="n">
        <f aca="true">RAND()</f>
        <v>0.171524761059312</v>
      </c>
      <c r="S510" s="82" t="n">
        <f aca="false">IF(R510&lt;(Inputs!$E$29-Inputs!$D$29)/(Inputs!$F$29-Inputs!$D$29),Inputs!$D$29+SQRT(R510*(Inputs!$F$29-Inputs!$D$29)*(Inputs!$E$29-Inputs!$D$29)),Inputs!$F$29-SQRT((1-R510)*(Inputs!$F$29-Inputs!$D$29)*(Inputs!$F$29-Inputs!$E$29)))</f>
        <v>4.58640013944346</v>
      </c>
      <c r="T510" s="68" t="n">
        <f aca="false">Inputs!$E$9*(1+E510)+Inputs!$E$5*C510*(Inputs!$E$11*Inputs!$E$14*(G510*I510/Inputs!$E$16+(1-G510))*K510+Inputs!$E$23*M510)*(1+O510)+Inputs!$E$5*(Q510+S510)</f>
        <v>6174.42785476996</v>
      </c>
    </row>
    <row r="511" customFormat="false" ht="15" hidden="false" customHeight="false" outlineLevel="0" collapsed="false">
      <c r="A511" s="1" t="n">
        <v>507</v>
      </c>
      <c r="B511" s="81" t="n">
        <f aca="true">RAND()</f>
        <v>0.241590151563102</v>
      </c>
      <c r="C511" s="82" t="n">
        <f aca="false">ROUND(IF(B511&lt;(Inputs!$E$8-Inputs!$D$8)/(Inputs!$F$8-Inputs!$D$8),Inputs!$D$8+SQRT(B511*(Inputs!$F$8-Inputs!$D$8)*(Inputs!$E$8-Inputs!$D$8)),Inputs!$F$8-SQRT((1-B511)*(Inputs!$F$8-Inputs!$D$8)*(Inputs!$F$8-Inputs!$E$8))),0)</f>
        <v>23</v>
      </c>
      <c r="D511" s="81" t="n">
        <f aca="true">RAND()</f>
        <v>0.720052047259119</v>
      </c>
      <c r="E511" s="83" t="n">
        <f aca="false">IF(D511&lt;(Inputs!$E$10-Inputs!$D$10)/(Inputs!$F$10-Inputs!$D$10),Inputs!$D$10+SQRT(D511*(Inputs!$F$10-Inputs!$D$10)*(Inputs!$E$10-Inputs!$D$10)),Inputs!$F$10-SQRT((1-D511)*(Inputs!$F$10-Inputs!$D$10)*(Inputs!$F$10-Inputs!$E$10)))</f>
        <v>0.108357004729077</v>
      </c>
      <c r="F511" s="81" t="n">
        <f aca="true">RAND()</f>
        <v>0.368148213536991</v>
      </c>
      <c r="G511" s="83" t="n">
        <f aca="false">IF(F511&lt;(Inputs!$E$15-Inputs!$D$15)/(Inputs!$F$15-Inputs!$D$15),Inputs!$D$15+SQRT(F511*(Inputs!$F$15-Inputs!$D$15)*(Inputs!$E$15-Inputs!$D$15)),Inputs!$F$15-SQRT((1-F511)*(Inputs!$F$15-Inputs!$D$15)*(Inputs!$F$15-Inputs!$E$15)))</f>
        <v>0.685807716848427</v>
      </c>
      <c r="H511" s="81" t="n">
        <f aca="true">RAND()</f>
        <v>0.258092644265486</v>
      </c>
      <c r="I511" s="82" t="n">
        <f aca="false">ROUND(IF(H511&lt;(Inputs!$E$17-Inputs!$D$17)/(Inputs!$F$17-Inputs!$D$17),Inputs!$D$17+SQRT(H511*(Inputs!$F$17-Inputs!$D$17)*(Inputs!$E$17-Inputs!$D$17)),Inputs!$F$17-SQRT((1-H511)*(Inputs!$F$17-Inputs!$D$17)*(Inputs!$F$17-Inputs!$E$17))),0)</f>
        <v>104</v>
      </c>
      <c r="J511" s="81" t="n">
        <f aca="true">RAND()</f>
        <v>0.542036321803684</v>
      </c>
      <c r="K511" s="83" t="n">
        <f aca="false">IF(J511&lt;(Inputs!$E$18-Inputs!$D$18)/(Inputs!$F$18-Inputs!$D$18),Inputs!$D$18+SQRT(J511*(Inputs!$F$18-Inputs!$D$18)*(Inputs!$E$18-Inputs!$D$18)),Inputs!$F$18-SQRT((1-J511)*(Inputs!$F$18-Inputs!$D$18)*(Inputs!$F$18-Inputs!$E$18)))</f>
        <v>1.04982052592192</v>
      </c>
      <c r="L511" s="81" t="n">
        <f aca="true">RAND()</f>
        <v>0.296098049128635</v>
      </c>
      <c r="M511" s="83" t="n">
        <f aca="false">IF(L511&lt;(Inputs!$E$24-Inputs!$D$24)/(Inputs!$F$24-Inputs!$D$24),Inputs!$D$24+SQRT(L511*(Inputs!$F$24-Inputs!$D$24)*(Inputs!$E$24-Inputs!$D$24)),Inputs!$F$24-SQRT((1-L511)*(Inputs!$F$24-Inputs!$D$24)*(Inputs!$F$24-Inputs!$E$24)))</f>
        <v>0.78849871589864</v>
      </c>
      <c r="N511" s="81" t="n">
        <f aca="true">RAND()</f>
        <v>0.472644431678065</v>
      </c>
      <c r="O511" s="83" t="n">
        <f aca="false">IF(N511&lt;(Inputs!$E$26-Inputs!$D$26)/(Inputs!$F$26-Inputs!$D$26),Inputs!$D$26+SQRT(N511*(Inputs!$F$26-Inputs!$D$26)*(Inputs!$E$26-Inputs!$D$26)),Inputs!$F$26-SQRT((1-N511)*(Inputs!$F$26-Inputs!$D$26)*(Inputs!$F$26-Inputs!$E$26)))</f>
        <v>0.580442567081444</v>
      </c>
      <c r="P511" s="81" t="n">
        <f aca="true">RAND()</f>
        <v>0.256750392172062</v>
      </c>
      <c r="Q511" s="82" t="n">
        <f aca="false">IF(P511&lt;(Inputs!$E$27-Inputs!$D$27)/(Inputs!$F$27-Inputs!$D$27),Inputs!$D$27+SQRT(P511*(Inputs!$F$27-Inputs!$D$27)*(Inputs!$E$27-Inputs!$D$27)),Inputs!$F$27-SQRT((1-P511)*(Inputs!$F$27-Inputs!$D$27)*(Inputs!$F$27-Inputs!$E$27)))</f>
        <v>75.3382825089756</v>
      </c>
      <c r="R511" s="81" t="n">
        <f aca="true">RAND()</f>
        <v>0.675953888417174</v>
      </c>
      <c r="S511" s="82" t="n">
        <f aca="false">IF(R511&lt;(Inputs!$E$29-Inputs!$D$29)/(Inputs!$F$29-Inputs!$D$29),Inputs!$D$29+SQRT(R511*(Inputs!$F$29-Inputs!$D$29)*(Inputs!$E$29-Inputs!$D$29)),Inputs!$F$29-SQRT((1-R511)*(Inputs!$F$29-Inputs!$D$29)*(Inputs!$F$29-Inputs!$E$29)))</f>
        <v>8.50954589371688</v>
      </c>
      <c r="T511" s="68" t="n">
        <f aca="false">Inputs!$E$9*(1+E511)+Inputs!$E$5*C511*(Inputs!$E$11*Inputs!$E$14*(G511*I511/Inputs!$E$16+(1-G511))*K511+Inputs!$E$23*M511)*(1+O511)+Inputs!$E$5*(Q511+S511)</f>
        <v>5935.88848586362</v>
      </c>
    </row>
    <row r="512" customFormat="false" ht="15" hidden="false" customHeight="false" outlineLevel="0" collapsed="false">
      <c r="A512" s="1" t="n">
        <v>508</v>
      </c>
      <c r="B512" s="81" t="n">
        <f aca="true">RAND()</f>
        <v>0.0982228269470908</v>
      </c>
      <c r="C512" s="82" t="n">
        <f aca="false">ROUND(IF(B512&lt;(Inputs!$E$8-Inputs!$D$8)/(Inputs!$F$8-Inputs!$D$8),Inputs!$D$8+SQRT(B512*(Inputs!$F$8-Inputs!$D$8)*(Inputs!$E$8-Inputs!$D$8)),Inputs!$F$8-SQRT((1-B512)*(Inputs!$F$8-Inputs!$D$8)*(Inputs!$F$8-Inputs!$E$8))),0)</f>
        <v>22</v>
      </c>
      <c r="D512" s="81" t="n">
        <f aca="true">RAND()</f>
        <v>0.342071211777045</v>
      </c>
      <c r="E512" s="83" t="n">
        <f aca="false">IF(D512&lt;(Inputs!$E$10-Inputs!$D$10)/(Inputs!$F$10-Inputs!$D$10),Inputs!$D$10+SQRT(D512*(Inputs!$F$10-Inputs!$D$10)*(Inputs!$E$10-Inputs!$D$10)),Inputs!$F$10-SQRT((1-D512)*(Inputs!$F$10-Inputs!$D$10)*(Inputs!$F$10-Inputs!$E$10)))</f>
        <v>0.0595084926172095</v>
      </c>
      <c r="F512" s="81" t="n">
        <f aca="true">RAND()</f>
        <v>0.966964497274829</v>
      </c>
      <c r="G512" s="83" t="n">
        <f aca="false">IF(F512&lt;(Inputs!$E$15-Inputs!$D$15)/(Inputs!$F$15-Inputs!$D$15),Inputs!$D$15+SQRT(F512*(Inputs!$F$15-Inputs!$D$15)*(Inputs!$E$15-Inputs!$D$15)),Inputs!$F$15-SQRT((1-F512)*(Inputs!$F$15-Inputs!$D$15)*(Inputs!$F$15-Inputs!$E$15)))</f>
        <v>0.774295719140513</v>
      </c>
      <c r="H512" s="81" t="n">
        <f aca="true">RAND()</f>
        <v>0.258730859089743</v>
      </c>
      <c r="I512" s="82" t="n">
        <f aca="false">ROUND(IF(H512&lt;(Inputs!$E$17-Inputs!$D$17)/(Inputs!$F$17-Inputs!$D$17),Inputs!$D$17+SQRT(H512*(Inputs!$F$17-Inputs!$D$17)*(Inputs!$E$17-Inputs!$D$17)),Inputs!$F$17-SQRT((1-H512)*(Inputs!$F$17-Inputs!$D$17)*(Inputs!$F$17-Inputs!$E$17))),0)</f>
        <v>104</v>
      </c>
      <c r="J512" s="81" t="n">
        <f aca="true">RAND()</f>
        <v>0.855011788167609</v>
      </c>
      <c r="K512" s="83" t="n">
        <f aca="false">IF(J512&lt;(Inputs!$E$18-Inputs!$D$18)/(Inputs!$F$18-Inputs!$D$18),Inputs!$D$18+SQRT(J512*(Inputs!$F$18-Inputs!$D$18)*(Inputs!$E$18-Inputs!$D$18)),Inputs!$F$18-SQRT((1-J512)*(Inputs!$F$18-Inputs!$D$18)*(Inputs!$F$18-Inputs!$E$18)))</f>
        <v>1.13736577547062</v>
      </c>
      <c r="L512" s="81" t="n">
        <f aca="true">RAND()</f>
        <v>0.896306498234712</v>
      </c>
      <c r="M512" s="83" t="n">
        <f aca="false">IF(L512&lt;(Inputs!$E$24-Inputs!$D$24)/(Inputs!$F$24-Inputs!$D$24),Inputs!$D$24+SQRT(L512*(Inputs!$F$24-Inputs!$D$24)*(Inputs!$E$24-Inputs!$D$24)),Inputs!$F$24-SQRT((1-L512)*(Inputs!$F$24-Inputs!$D$24)*(Inputs!$F$24-Inputs!$E$24)))</f>
        <v>1.04224563263203</v>
      </c>
      <c r="N512" s="81" t="n">
        <f aca="true">RAND()</f>
        <v>0.954935980619955</v>
      </c>
      <c r="O512" s="83" t="n">
        <f aca="false">IF(N512&lt;(Inputs!$E$26-Inputs!$D$26)/(Inputs!$F$26-Inputs!$D$26),Inputs!$D$26+SQRT(N512*(Inputs!$F$26-Inputs!$D$26)*(Inputs!$E$26-Inputs!$D$26)),Inputs!$F$26-SQRT((1-N512)*(Inputs!$F$26-Inputs!$D$26)*(Inputs!$F$26-Inputs!$E$26)))</f>
        <v>0.751540829573207</v>
      </c>
      <c r="P512" s="81" t="n">
        <f aca="true">RAND()</f>
        <v>0.792738005406318</v>
      </c>
      <c r="Q512" s="82" t="n">
        <f aca="false">IF(P512&lt;(Inputs!$E$27-Inputs!$D$27)/(Inputs!$F$27-Inputs!$D$27),Inputs!$D$27+SQRT(P512*(Inputs!$F$27-Inputs!$D$27)*(Inputs!$E$27-Inputs!$D$27)),Inputs!$F$27-SQRT((1-P512)*(Inputs!$F$27-Inputs!$D$27)*(Inputs!$F$27-Inputs!$E$27)))</f>
        <v>110.573296365881</v>
      </c>
      <c r="R512" s="81" t="n">
        <f aca="true">RAND()</f>
        <v>0.537542021391831</v>
      </c>
      <c r="S512" s="82" t="n">
        <f aca="false">IF(R512&lt;(Inputs!$E$29-Inputs!$D$29)/(Inputs!$F$29-Inputs!$D$29),Inputs!$D$29+SQRT(R512*(Inputs!$F$29-Inputs!$D$29)*(Inputs!$E$29-Inputs!$D$29)),Inputs!$F$29-SQRT((1-R512)*(Inputs!$F$29-Inputs!$D$29)*(Inputs!$F$29-Inputs!$E$29)))</f>
        <v>7.24632105261883</v>
      </c>
      <c r="T512" s="68" t="n">
        <f aca="false">Inputs!$E$9*(1+E512)+Inputs!$E$5*C512*(Inputs!$E$11*Inputs!$E$14*(G512*I512/Inputs!$E$16+(1-G512))*K512+Inputs!$E$23*M512)*(1+O512)+Inputs!$E$5*(Q512+S512)</f>
        <v>6582.82133163349</v>
      </c>
    </row>
    <row r="513" customFormat="false" ht="15" hidden="false" customHeight="false" outlineLevel="0" collapsed="false">
      <c r="A513" s="1" t="n">
        <v>509</v>
      </c>
      <c r="B513" s="81" t="n">
        <f aca="true">RAND()</f>
        <v>0.976479836005072</v>
      </c>
      <c r="C513" s="82" t="n">
        <f aca="false">ROUND(IF(B513&lt;(Inputs!$E$8-Inputs!$D$8)/(Inputs!$F$8-Inputs!$D$8),Inputs!$D$8+SQRT(B513*(Inputs!$F$8-Inputs!$D$8)*(Inputs!$E$8-Inputs!$D$8)),Inputs!$F$8-SQRT((1-B513)*(Inputs!$F$8-Inputs!$D$8)*(Inputs!$F$8-Inputs!$E$8))),0)</f>
        <v>29</v>
      </c>
      <c r="D513" s="81" t="n">
        <f aca="true">RAND()</f>
        <v>0.811004648073721</v>
      </c>
      <c r="E513" s="83" t="n">
        <f aca="false">IF(D513&lt;(Inputs!$E$10-Inputs!$D$10)/(Inputs!$F$10-Inputs!$D$10),Inputs!$D$10+SQRT(D513*(Inputs!$F$10-Inputs!$D$10)*(Inputs!$E$10-Inputs!$D$10)),Inputs!$F$10-SQRT((1-D513)*(Inputs!$F$10-Inputs!$D$10)*(Inputs!$F$10-Inputs!$E$10)))</f>
        <v>0.124701523536074</v>
      </c>
      <c r="F513" s="81" t="n">
        <f aca="true">RAND()</f>
        <v>0.0440104449051814</v>
      </c>
      <c r="G513" s="83" t="n">
        <f aca="false">IF(F513&lt;(Inputs!$E$15-Inputs!$D$15)/(Inputs!$F$15-Inputs!$D$15),Inputs!$D$15+SQRT(F513*(Inputs!$F$15-Inputs!$D$15)*(Inputs!$E$15-Inputs!$D$15)),Inputs!$F$15-SQRT((1-F513)*(Inputs!$F$15-Inputs!$D$15)*(Inputs!$F$15-Inputs!$E$15)))</f>
        <v>0.62966831471627</v>
      </c>
      <c r="H513" s="81" t="n">
        <f aca="true">RAND()</f>
        <v>0.382283921660498</v>
      </c>
      <c r="I513" s="82" t="n">
        <f aca="false">ROUND(IF(H513&lt;(Inputs!$E$17-Inputs!$D$17)/(Inputs!$F$17-Inputs!$D$17),Inputs!$D$17+SQRT(H513*(Inputs!$F$17-Inputs!$D$17)*(Inputs!$E$17-Inputs!$D$17)),Inputs!$F$17-SQRT((1-H513)*(Inputs!$F$17-Inputs!$D$17)*(Inputs!$F$17-Inputs!$E$17))),0)</f>
        <v>105</v>
      </c>
      <c r="J513" s="81" t="n">
        <f aca="true">RAND()</f>
        <v>0.0380610840140079</v>
      </c>
      <c r="K513" s="83" t="n">
        <f aca="false">IF(J513&lt;(Inputs!$E$18-Inputs!$D$18)/(Inputs!$F$18-Inputs!$D$18),Inputs!$D$18+SQRT(J513*(Inputs!$F$18-Inputs!$D$18)*(Inputs!$E$18-Inputs!$D$18)),Inputs!$F$18-SQRT((1-J513)*(Inputs!$F$18-Inputs!$D$18)*(Inputs!$F$18-Inputs!$E$18)))</f>
        <v>0.936498464905942</v>
      </c>
      <c r="L513" s="81" t="n">
        <f aca="true">RAND()</f>
        <v>0.992003919494977</v>
      </c>
      <c r="M513" s="83" t="n">
        <f aca="false">IF(L513&lt;(Inputs!$E$24-Inputs!$D$24)/(Inputs!$F$24-Inputs!$D$24),Inputs!$D$24+SQRT(L513*(Inputs!$F$24-Inputs!$D$24)*(Inputs!$E$24-Inputs!$D$24)),Inputs!$F$24-SQRT((1-L513)*(Inputs!$F$24-Inputs!$D$24)*(Inputs!$F$24-Inputs!$E$24)))</f>
        <v>1.15619293069372</v>
      </c>
      <c r="N513" s="81" t="n">
        <f aca="true">RAND()</f>
        <v>0.322258161150242</v>
      </c>
      <c r="O513" s="83" t="n">
        <f aca="false">IF(N513&lt;(Inputs!$E$26-Inputs!$D$26)/(Inputs!$F$26-Inputs!$D$26),Inputs!$D$26+SQRT(N513*(Inputs!$F$26-Inputs!$D$26)*(Inputs!$E$26-Inputs!$D$26)),Inputs!$F$26-SQRT((1-N513)*(Inputs!$F$26-Inputs!$D$26)*(Inputs!$F$26-Inputs!$E$26)))</f>
        <v>0.531568041869772</v>
      </c>
      <c r="P513" s="81" t="n">
        <f aca="true">RAND()</f>
        <v>0.298589428876058</v>
      </c>
      <c r="Q513" s="82" t="n">
        <f aca="false">IF(P513&lt;(Inputs!$E$27-Inputs!$D$27)/(Inputs!$F$27-Inputs!$D$27),Inputs!$D$27+SQRT(P513*(Inputs!$F$27-Inputs!$D$27)*(Inputs!$E$27-Inputs!$D$27)),Inputs!$F$27-SQRT((1-P513)*(Inputs!$F$27-Inputs!$D$27)*(Inputs!$F$27-Inputs!$E$27)))</f>
        <v>77.4701490182865</v>
      </c>
      <c r="R513" s="81" t="n">
        <f aca="true">RAND()</f>
        <v>0.280035525419745</v>
      </c>
      <c r="S513" s="82" t="n">
        <f aca="false">IF(R513&lt;(Inputs!$E$29-Inputs!$D$29)/(Inputs!$F$29-Inputs!$D$29),Inputs!$D$29+SQRT(R513*(Inputs!$F$29-Inputs!$D$29)*(Inputs!$E$29-Inputs!$D$29)),Inputs!$F$29-SQRT((1-R513)*(Inputs!$F$29-Inputs!$D$29)*(Inputs!$F$29-Inputs!$E$29)))</f>
        <v>5.32552938422814</v>
      </c>
      <c r="T513" s="68" t="n">
        <f aca="false">Inputs!$E$9*(1+E513)+Inputs!$E$5*C513*(Inputs!$E$11*Inputs!$E$14*(G513*I513/Inputs!$E$16+(1-G513))*K513+Inputs!$E$23*M513)*(1+O513)+Inputs!$E$5*(Q513+S513)</f>
        <v>7050.2300698581</v>
      </c>
    </row>
    <row r="514" customFormat="false" ht="15" hidden="false" customHeight="false" outlineLevel="0" collapsed="false">
      <c r="A514" s="1" t="n">
        <v>510</v>
      </c>
      <c r="B514" s="81" t="n">
        <f aca="true">RAND()</f>
        <v>0.0494875781084541</v>
      </c>
      <c r="C514" s="82" t="n">
        <f aca="false">ROUND(IF(B514&lt;(Inputs!$E$8-Inputs!$D$8)/(Inputs!$F$8-Inputs!$D$8),Inputs!$D$8+SQRT(B514*(Inputs!$F$8-Inputs!$D$8)*(Inputs!$E$8-Inputs!$D$8)),Inputs!$F$8-SQRT((1-B514)*(Inputs!$F$8-Inputs!$D$8)*(Inputs!$F$8-Inputs!$E$8))),0)</f>
        <v>22</v>
      </c>
      <c r="D514" s="81" t="n">
        <f aca="true">RAND()</f>
        <v>0.0926835940472592</v>
      </c>
      <c r="E514" s="83" t="n">
        <f aca="false">IF(D514&lt;(Inputs!$E$10-Inputs!$D$10)/(Inputs!$F$10-Inputs!$D$10),Inputs!$D$10+SQRT(D514*(Inputs!$F$10-Inputs!$D$10)*(Inputs!$E$10-Inputs!$D$10)),Inputs!$F$10-SQRT((1-D514)*(Inputs!$F$10-Inputs!$D$10)*(Inputs!$F$10-Inputs!$E$10)))</f>
        <v>0.0304439803651328</v>
      </c>
      <c r="F514" s="81" t="n">
        <f aca="true">RAND()</f>
        <v>0.16028813131591</v>
      </c>
      <c r="G514" s="83" t="n">
        <f aca="false">IF(F514&lt;(Inputs!$E$15-Inputs!$D$15)/(Inputs!$F$15-Inputs!$D$15),Inputs!$D$15+SQRT(F514*(Inputs!$F$15-Inputs!$D$15)*(Inputs!$E$15-Inputs!$D$15)),Inputs!$F$15-SQRT((1-F514)*(Inputs!$F$15-Inputs!$D$15)*(Inputs!$F$15-Inputs!$E$15)))</f>
        <v>0.656619454486229</v>
      </c>
      <c r="H514" s="81" t="n">
        <f aca="true">RAND()</f>
        <v>0.663124902204332</v>
      </c>
      <c r="I514" s="82" t="n">
        <f aca="false">ROUND(IF(H514&lt;(Inputs!$E$17-Inputs!$D$17)/(Inputs!$F$17-Inputs!$D$17),Inputs!$D$17+SQRT(H514*(Inputs!$F$17-Inputs!$D$17)*(Inputs!$E$17-Inputs!$D$17)),Inputs!$F$17-SQRT((1-H514)*(Inputs!$F$17-Inputs!$D$17)*(Inputs!$F$17-Inputs!$E$17))),0)</f>
        <v>108</v>
      </c>
      <c r="J514" s="81" t="n">
        <f aca="true">RAND()</f>
        <v>0.748029923718888</v>
      </c>
      <c r="K514" s="83" t="n">
        <f aca="false">IF(J514&lt;(Inputs!$E$18-Inputs!$D$18)/(Inputs!$F$18-Inputs!$D$18),Inputs!$D$18+SQRT(J514*(Inputs!$F$18-Inputs!$D$18)*(Inputs!$E$18-Inputs!$D$18)),Inputs!$F$18-SQRT((1-J514)*(Inputs!$F$18-Inputs!$D$18)*(Inputs!$F$18-Inputs!$E$18)))</f>
        <v>1.10151639257279</v>
      </c>
      <c r="L514" s="81" t="n">
        <f aca="true">RAND()</f>
        <v>0.435610022406402</v>
      </c>
      <c r="M514" s="83" t="n">
        <f aca="false">IF(L514&lt;(Inputs!$E$24-Inputs!$D$24)/(Inputs!$F$24-Inputs!$D$24),Inputs!$D$24+SQRT(L514*(Inputs!$F$24-Inputs!$D$24)*(Inputs!$E$24-Inputs!$D$24)),Inputs!$F$24-SQRT((1-L514)*(Inputs!$F$24-Inputs!$D$24)*(Inputs!$F$24-Inputs!$E$24)))</f>
        <v>0.8319597921117</v>
      </c>
      <c r="N514" s="81" t="n">
        <f aca="true">RAND()</f>
        <v>0.747987844518279</v>
      </c>
      <c r="O514" s="83" t="n">
        <f aca="false">IF(N514&lt;(Inputs!$E$26-Inputs!$D$26)/(Inputs!$F$26-Inputs!$D$26),Inputs!$D$26+SQRT(N514*(Inputs!$F$26-Inputs!$D$26)*(Inputs!$E$26-Inputs!$D$26)),Inputs!$F$26-SQRT((1-N514)*(Inputs!$F$26-Inputs!$D$26)*(Inputs!$F$26-Inputs!$E$26)))</f>
        <v>0.658107244849873</v>
      </c>
      <c r="P514" s="81" t="n">
        <f aca="true">RAND()</f>
        <v>0.85508175994116</v>
      </c>
      <c r="Q514" s="82" t="n">
        <f aca="false">IF(P514&lt;(Inputs!$E$27-Inputs!$D$27)/(Inputs!$F$27-Inputs!$D$27),Inputs!$D$27+SQRT(P514*(Inputs!$F$27-Inputs!$D$27)*(Inputs!$E$27-Inputs!$D$27)),Inputs!$F$27-SQRT((1-P514)*(Inputs!$F$27-Inputs!$D$27)*(Inputs!$F$27-Inputs!$E$27)))</f>
        <v>117.032033723002</v>
      </c>
      <c r="R514" s="81" t="n">
        <f aca="true">RAND()</f>
        <v>0.570403007215636</v>
      </c>
      <c r="S514" s="82" t="n">
        <f aca="false">IF(R514&lt;(Inputs!$E$29-Inputs!$D$29)/(Inputs!$F$29-Inputs!$D$29),Inputs!$D$29+SQRT(R514*(Inputs!$F$29-Inputs!$D$29)*(Inputs!$E$29-Inputs!$D$29)),Inputs!$F$29-SQRT((1-R514)*(Inputs!$F$29-Inputs!$D$29)*(Inputs!$F$29-Inputs!$E$29)))</f>
        <v>7.52687421074907</v>
      </c>
      <c r="T514" s="68" t="n">
        <f aca="false">Inputs!$E$9*(1+E514)+Inputs!$E$5*C514*(Inputs!$E$11*Inputs!$E$14*(G514*I514/Inputs!$E$16+(1-G514))*K514+Inputs!$E$23*M514)*(1+O514)+Inputs!$E$5*(Q514+S514)</f>
        <v>6220.51127366699</v>
      </c>
    </row>
    <row r="515" customFormat="false" ht="15" hidden="false" customHeight="false" outlineLevel="0" collapsed="false">
      <c r="A515" s="1" t="n">
        <v>511</v>
      </c>
      <c r="B515" s="81" t="n">
        <f aca="true">RAND()</f>
        <v>0.477012205945293</v>
      </c>
      <c r="C515" s="82" t="n">
        <f aca="false">ROUND(IF(B515&lt;(Inputs!$E$8-Inputs!$D$8)/(Inputs!$F$8-Inputs!$D$8),Inputs!$D$8+SQRT(B515*(Inputs!$F$8-Inputs!$D$8)*(Inputs!$E$8-Inputs!$D$8)),Inputs!$F$8-SQRT((1-B515)*(Inputs!$F$8-Inputs!$D$8)*(Inputs!$F$8-Inputs!$E$8))),0)</f>
        <v>25</v>
      </c>
      <c r="D515" s="81" t="n">
        <f aca="true">RAND()</f>
        <v>0.360172330027531</v>
      </c>
      <c r="E515" s="83" t="n">
        <f aca="false">IF(D515&lt;(Inputs!$E$10-Inputs!$D$10)/(Inputs!$F$10-Inputs!$D$10),Inputs!$D$10+SQRT(D515*(Inputs!$F$10-Inputs!$D$10)*(Inputs!$E$10-Inputs!$D$10)),Inputs!$F$10-SQRT((1-D515)*(Inputs!$F$10-Inputs!$D$10)*(Inputs!$F$10-Inputs!$E$10)))</f>
        <v>0.0614545919231746</v>
      </c>
      <c r="F515" s="81" t="n">
        <f aca="true">RAND()</f>
        <v>0.0169442787940516</v>
      </c>
      <c r="G515" s="83" t="n">
        <f aca="false">IF(F515&lt;(Inputs!$E$15-Inputs!$D$15)/(Inputs!$F$15-Inputs!$D$15),Inputs!$D$15+SQRT(F515*(Inputs!$F$15-Inputs!$D$15)*(Inputs!$E$15-Inputs!$D$15)),Inputs!$F$15-SQRT((1-F515)*(Inputs!$F$15-Inputs!$D$15)*(Inputs!$F$15-Inputs!$E$15)))</f>
        <v>0.618408845044734</v>
      </c>
      <c r="H515" s="81" t="n">
        <f aca="true">RAND()</f>
        <v>0.338386827199187</v>
      </c>
      <c r="I515" s="82" t="n">
        <f aca="false">ROUND(IF(H515&lt;(Inputs!$E$17-Inputs!$D$17)/(Inputs!$F$17-Inputs!$D$17),Inputs!$D$17+SQRT(H515*(Inputs!$F$17-Inputs!$D$17)*(Inputs!$E$17-Inputs!$D$17)),Inputs!$F$17-SQRT((1-H515)*(Inputs!$F$17-Inputs!$D$17)*(Inputs!$F$17-Inputs!$E$17))),0)</f>
        <v>105</v>
      </c>
      <c r="J515" s="81" t="n">
        <f aca="true">RAND()</f>
        <v>0.732598257973265</v>
      </c>
      <c r="K515" s="83" t="n">
        <f aca="false">IF(J515&lt;(Inputs!$E$18-Inputs!$D$18)/(Inputs!$F$18-Inputs!$D$18),Inputs!$D$18+SQRT(J515*(Inputs!$F$18-Inputs!$D$18)*(Inputs!$E$18-Inputs!$D$18)),Inputs!$F$18-SQRT((1-J515)*(Inputs!$F$18-Inputs!$D$18)*(Inputs!$F$18-Inputs!$E$18)))</f>
        <v>1.09703708806597</v>
      </c>
      <c r="L515" s="81" t="n">
        <f aca="true">RAND()</f>
        <v>0.266395751042469</v>
      </c>
      <c r="M515" s="83" t="n">
        <f aca="false">IF(L515&lt;(Inputs!$E$24-Inputs!$D$24)/(Inputs!$F$24-Inputs!$D$24),Inputs!$D$24+SQRT(L515*(Inputs!$F$24-Inputs!$D$24)*(Inputs!$E$24-Inputs!$D$24)),Inputs!$F$24-SQRT((1-L515)*(Inputs!$F$24-Inputs!$D$24)*(Inputs!$F$24-Inputs!$E$24)))</f>
        <v>0.778794547246543</v>
      </c>
      <c r="N515" s="81" t="n">
        <f aca="true">RAND()</f>
        <v>0.712332474072664</v>
      </c>
      <c r="O515" s="83" t="n">
        <f aca="false">IF(N515&lt;(Inputs!$E$26-Inputs!$D$26)/(Inputs!$F$26-Inputs!$D$26),Inputs!$D$26+SQRT(N515*(Inputs!$F$26-Inputs!$D$26)*(Inputs!$E$26-Inputs!$D$26)),Inputs!$F$26-SQRT((1-N515)*(Inputs!$F$26-Inputs!$D$26)*(Inputs!$F$26-Inputs!$E$26)))</f>
        <v>0.647033463651367</v>
      </c>
      <c r="P515" s="81" t="n">
        <f aca="true">RAND()</f>
        <v>0.797872164054698</v>
      </c>
      <c r="Q515" s="82" t="n">
        <f aca="false">IF(P515&lt;(Inputs!$E$27-Inputs!$D$27)/(Inputs!$F$27-Inputs!$D$27),Inputs!$D$27+SQRT(P515*(Inputs!$F$27-Inputs!$D$27)*(Inputs!$E$27-Inputs!$D$27)),Inputs!$F$27-SQRT((1-P515)*(Inputs!$F$27-Inputs!$D$27)*(Inputs!$F$27-Inputs!$E$27)))</f>
        <v>111.064684801715</v>
      </c>
      <c r="R515" s="81" t="n">
        <f aca="true">RAND()</f>
        <v>0.89720244249342</v>
      </c>
      <c r="S515" s="82" t="n">
        <f aca="false">IF(R515&lt;(Inputs!$E$29-Inputs!$D$29)/(Inputs!$F$29-Inputs!$D$29),Inputs!$D$29+SQRT(R515*(Inputs!$F$29-Inputs!$D$29)*(Inputs!$E$29-Inputs!$D$29)),Inputs!$F$29-SQRT((1-R515)*(Inputs!$F$29-Inputs!$D$29)*(Inputs!$F$29-Inputs!$E$29)))</f>
        <v>11.3443629179231</v>
      </c>
      <c r="T515" s="68" t="n">
        <f aca="false">Inputs!$E$9*(1+E515)+Inputs!$E$5*C515*(Inputs!$E$11*Inputs!$E$14*(G515*I515/Inputs!$E$16+(1-G515))*K515+Inputs!$E$23*M515)*(1+O515)+Inputs!$E$5*(Q515+S515)</f>
        <v>6638.97134877911</v>
      </c>
    </row>
    <row r="516" customFormat="false" ht="15" hidden="false" customHeight="false" outlineLevel="0" collapsed="false">
      <c r="A516" s="1" t="n">
        <v>512</v>
      </c>
      <c r="B516" s="81" t="n">
        <f aca="true">RAND()</f>
        <v>0.11011656215295</v>
      </c>
      <c r="C516" s="82" t="n">
        <f aca="false">ROUND(IF(B516&lt;(Inputs!$E$8-Inputs!$D$8)/(Inputs!$F$8-Inputs!$D$8),Inputs!$D$8+SQRT(B516*(Inputs!$F$8-Inputs!$D$8)*(Inputs!$E$8-Inputs!$D$8)),Inputs!$F$8-SQRT((1-B516)*(Inputs!$F$8-Inputs!$D$8)*(Inputs!$F$8-Inputs!$E$8))),0)</f>
        <v>22</v>
      </c>
      <c r="D516" s="81" t="n">
        <f aca="true">RAND()</f>
        <v>0.560755420781136</v>
      </c>
      <c r="E516" s="83" t="n">
        <f aca="false">IF(D516&lt;(Inputs!$E$10-Inputs!$D$10)/(Inputs!$F$10-Inputs!$D$10),Inputs!$D$10+SQRT(D516*(Inputs!$F$10-Inputs!$D$10)*(Inputs!$E$10-Inputs!$D$10)),Inputs!$F$10-SQRT((1-D516)*(Inputs!$F$10-Inputs!$D$10)*(Inputs!$F$10-Inputs!$E$10)))</f>
        <v>0.0852074158468156</v>
      </c>
      <c r="F516" s="81" t="n">
        <f aca="true">RAND()</f>
        <v>0.439880046302464</v>
      </c>
      <c r="G516" s="83" t="n">
        <f aca="false">IF(F516&lt;(Inputs!$E$15-Inputs!$D$15)/(Inputs!$F$15-Inputs!$D$15),Inputs!$D$15+SQRT(F516*(Inputs!$F$15-Inputs!$D$15)*(Inputs!$E$15-Inputs!$D$15)),Inputs!$F$15-SQRT((1-F516)*(Inputs!$F$15-Inputs!$D$15)*(Inputs!$F$15-Inputs!$E$15)))</f>
        <v>0.693795527217716</v>
      </c>
      <c r="H516" s="81" t="n">
        <f aca="true">RAND()</f>
        <v>0.920726510008463</v>
      </c>
      <c r="I516" s="82" t="n">
        <f aca="false">ROUND(IF(H516&lt;(Inputs!$E$17-Inputs!$D$17)/(Inputs!$F$17-Inputs!$D$17),Inputs!$D$17+SQRT(H516*(Inputs!$F$17-Inputs!$D$17)*(Inputs!$E$17-Inputs!$D$17)),Inputs!$F$17-SQRT((1-H516)*(Inputs!$F$17-Inputs!$D$17)*(Inputs!$F$17-Inputs!$E$17))),0)</f>
        <v>112</v>
      </c>
      <c r="J516" s="81" t="n">
        <f aca="true">RAND()</f>
        <v>0.971136488850765</v>
      </c>
      <c r="K516" s="83" t="n">
        <f aca="false">IF(J516&lt;(Inputs!$E$18-Inputs!$D$18)/(Inputs!$F$18-Inputs!$D$18),Inputs!$D$18+SQRT(J516*(Inputs!$F$18-Inputs!$D$18)*(Inputs!$E$18-Inputs!$D$18)),Inputs!$F$18-SQRT((1-J516)*(Inputs!$F$18-Inputs!$D$18)*(Inputs!$F$18-Inputs!$E$18)))</f>
        <v>1.19974507759873</v>
      </c>
      <c r="L516" s="81" t="n">
        <f aca="true">RAND()</f>
        <v>0.654171117370563</v>
      </c>
      <c r="M516" s="83" t="n">
        <f aca="false">IF(L516&lt;(Inputs!$E$24-Inputs!$D$24)/(Inputs!$F$24-Inputs!$D$24),Inputs!$D$24+SQRT(L516*(Inputs!$F$24-Inputs!$D$24)*(Inputs!$E$24-Inputs!$D$24)),Inputs!$F$24-SQRT((1-L516)*(Inputs!$F$24-Inputs!$D$24)*(Inputs!$F$24-Inputs!$E$24)))</f>
        <v>0.911904648022456</v>
      </c>
      <c r="N516" s="81" t="n">
        <f aca="true">RAND()</f>
        <v>0.320412826873178</v>
      </c>
      <c r="O516" s="83" t="n">
        <f aca="false">IF(N516&lt;(Inputs!$E$26-Inputs!$D$26)/(Inputs!$F$26-Inputs!$D$26),Inputs!$D$26+SQRT(N516*(Inputs!$F$26-Inputs!$D$26)*(Inputs!$E$26-Inputs!$D$26)),Inputs!$F$26-SQRT((1-N516)*(Inputs!$F$26-Inputs!$D$26)*(Inputs!$F$26-Inputs!$E$26)))</f>
        <v>0.530904080500317</v>
      </c>
      <c r="P516" s="81" t="n">
        <f aca="true">RAND()</f>
        <v>0.0317463127186911</v>
      </c>
      <c r="Q516" s="82" t="n">
        <f aca="false">IF(P516&lt;(Inputs!$E$27-Inputs!$D$27)/(Inputs!$F$27-Inputs!$D$27),Inputs!$D$27+SQRT(P516*(Inputs!$F$27-Inputs!$D$27)*(Inputs!$E$27-Inputs!$D$27)),Inputs!$F$27-SQRT((1-P516)*(Inputs!$F$27-Inputs!$D$27)*(Inputs!$F$27-Inputs!$E$27)))</f>
        <v>58.9087474875387</v>
      </c>
      <c r="R516" s="81" t="n">
        <f aca="true">RAND()</f>
        <v>0.989243377616816</v>
      </c>
      <c r="S516" s="82" t="n">
        <f aca="false">IF(R516&lt;(Inputs!$E$29-Inputs!$D$29)/(Inputs!$F$29-Inputs!$D$29),Inputs!$D$29+SQRT(R516*(Inputs!$F$29-Inputs!$D$29)*(Inputs!$E$29-Inputs!$D$29)),Inputs!$F$29-SQRT((1-R516)*(Inputs!$F$29-Inputs!$D$29)*(Inputs!$F$29-Inputs!$E$29)))</f>
        <v>13.8174768882538</v>
      </c>
      <c r="T516" s="68" t="n">
        <f aca="false">Inputs!$E$9*(1+E516)+Inputs!$E$5*C516*(Inputs!$E$11*Inputs!$E$14*(G516*I516/Inputs!$E$16+(1-G516))*K516+Inputs!$E$23*M516)*(1+O516)+Inputs!$E$5*(Q516+S516)</f>
        <v>6105.98157311323</v>
      </c>
    </row>
    <row r="517" customFormat="false" ht="15" hidden="false" customHeight="false" outlineLevel="0" collapsed="false">
      <c r="A517" s="1" t="n">
        <v>513</v>
      </c>
      <c r="B517" s="81" t="n">
        <f aca="true">RAND()</f>
        <v>0.0896337370491056</v>
      </c>
      <c r="C517" s="82" t="n">
        <f aca="false">ROUND(IF(B517&lt;(Inputs!$E$8-Inputs!$D$8)/(Inputs!$F$8-Inputs!$D$8),Inputs!$D$8+SQRT(B517*(Inputs!$F$8-Inputs!$D$8)*(Inputs!$E$8-Inputs!$D$8)),Inputs!$F$8-SQRT((1-B517)*(Inputs!$F$8-Inputs!$D$8)*(Inputs!$F$8-Inputs!$E$8))),0)</f>
        <v>22</v>
      </c>
      <c r="D517" s="81" t="n">
        <f aca="true">RAND()</f>
        <v>0.03286938756909</v>
      </c>
      <c r="E517" s="83" t="n">
        <f aca="false">IF(D517&lt;(Inputs!$E$10-Inputs!$D$10)/(Inputs!$F$10-Inputs!$D$10),Inputs!$D$10+SQRT(D517*(Inputs!$F$10-Inputs!$D$10)*(Inputs!$E$10-Inputs!$D$10)),Inputs!$F$10-SQRT((1-D517)*(Inputs!$F$10-Inputs!$D$10)*(Inputs!$F$10-Inputs!$E$10)))</f>
        <v>0.0181299165936002</v>
      </c>
      <c r="F517" s="81" t="n">
        <f aca="true">RAND()</f>
        <v>0.606663590183645</v>
      </c>
      <c r="G517" s="83" t="n">
        <f aca="false">IF(F517&lt;(Inputs!$E$15-Inputs!$D$15)/(Inputs!$F$15-Inputs!$D$15),Inputs!$D$15+SQRT(F517*(Inputs!$F$15-Inputs!$D$15)*(Inputs!$E$15-Inputs!$D$15)),Inputs!$F$15-SQRT((1-F517)*(Inputs!$F$15-Inputs!$D$15)*(Inputs!$F$15-Inputs!$E$15)))</f>
        <v>0.711305421832408</v>
      </c>
      <c r="H517" s="81" t="n">
        <f aca="true">RAND()</f>
        <v>0.998038718862163</v>
      </c>
      <c r="I517" s="82" t="n">
        <f aca="false">ROUND(IF(H517&lt;(Inputs!$E$17-Inputs!$D$17)/(Inputs!$F$17-Inputs!$D$17),Inputs!$D$17+SQRT(H517*(Inputs!$F$17-Inputs!$D$17)*(Inputs!$E$17-Inputs!$D$17)),Inputs!$F$17-SQRT((1-H517)*(Inputs!$F$17-Inputs!$D$17)*(Inputs!$F$17-Inputs!$E$17))),0)</f>
        <v>114</v>
      </c>
      <c r="J517" s="81" t="n">
        <f aca="true">RAND()</f>
        <v>0.145426480828555</v>
      </c>
      <c r="K517" s="83" t="n">
        <f aca="false">IF(J517&lt;(Inputs!$E$18-Inputs!$D$18)/(Inputs!$F$18-Inputs!$D$18),Inputs!$D$18+SQRT(J517*(Inputs!$F$18-Inputs!$D$18)*(Inputs!$E$18-Inputs!$D$18)),Inputs!$F$18-SQRT((1-J517)*(Inputs!$F$18-Inputs!$D$18)*(Inputs!$F$18-Inputs!$E$18)))</f>
        <v>0.971343723122637</v>
      </c>
      <c r="L517" s="81" t="n">
        <f aca="true">RAND()</f>
        <v>0.763641380842523</v>
      </c>
      <c r="M517" s="83" t="n">
        <f aca="false">IF(L517&lt;(Inputs!$E$24-Inputs!$D$24)/(Inputs!$F$24-Inputs!$D$24),Inputs!$D$24+SQRT(L517*(Inputs!$F$24-Inputs!$D$24)*(Inputs!$E$24-Inputs!$D$24)),Inputs!$F$24-SQRT((1-L517)*(Inputs!$F$24-Inputs!$D$24)*(Inputs!$F$24-Inputs!$E$24)))</f>
        <v>0.961827649384328</v>
      </c>
      <c r="N517" s="81" t="n">
        <f aca="true">RAND()</f>
        <v>0.237722468681791</v>
      </c>
      <c r="O517" s="83" t="n">
        <f aca="false">IF(N517&lt;(Inputs!$E$26-Inputs!$D$26)/(Inputs!$F$26-Inputs!$D$26),Inputs!$D$26+SQRT(N517*(Inputs!$F$26-Inputs!$D$26)*(Inputs!$E$26-Inputs!$D$26)),Inputs!$F$26-SQRT((1-N517)*(Inputs!$F$26-Inputs!$D$26)*(Inputs!$F$26-Inputs!$E$26)))</f>
        <v>0.498889463744689</v>
      </c>
      <c r="P517" s="81" t="n">
        <f aca="true">RAND()</f>
        <v>0.527723105156712</v>
      </c>
      <c r="Q517" s="82" t="n">
        <f aca="false">IF(P517&lt;(Inputs!$E$27-Inputs!$D$27)/(Inputs!$F$27-Inputs!$D$27),Inputs!$D$27+SQRT(P517*(Inputs!$F$27-Inputs!$D$27)*(Inputs!$E$27-Inputs!$D$27)),Inputs!$F$27-SQRT((1-P517)*(Inputs!$F$27-Inputs!$D$27)*(Inputs!$F$27-Inputs!$E$27)))</f>
        <v>90.48465146431</v>
      </c>
      <c r="R517" s="81" t="n">
        <f aca="true">RAND()</f>
        <v>0.895034925840301</v>
      </c>
      <c r="S517" s="82" t="n">
        <f aca="false">IF(R517&lt;(Inputs!$E$29-Inputs!$D$29)/(Inputs!$F$29-Inputs!$D$29),Inputs!$D$29+SQRT(R517*(Inputs!$F$29-Inputs!$D$29)*(Inputs!$E$29-Inputs!$D$29)),Inputs!$F$29-SQRT((1-R517)*(Inputs!$F$29-Inputs!$D$29)*(Inputs!$F$29-Inputs!$E$29)))</f>
        <v>11.3060238711165</v>
      </c>
      <c r="T517" s="68" t="n">
        <f aca="false">Inputs!$E$9*(1+E517)+Inputs!$E$5*C517*(Inputs!$E$11*Inputs!$E$14*(G517*I517/Inputs!$E$16+(1-G517))*K517+Inputs!$E$23*M517)*(1+O517)+Inputs!$E$5*(Q517+S517)</f>
        <v>5672.95353279458</v>
      </c>
    </row>
    <row r="518" customFormat="false" ht="15" hidden="false" customHeight="false" outlineLevel="0" collapsed="false">
      <c r="A518" s="1" t="n">
        <v>514</v>
      </c>
      <c r="B518" s="81" t="n">
        <f aca="true">RAND()</f>
        <v>0.802741405862908</v>
      </c>
      <c r="C518" s="82" t="n">
        <f aca="false">ROUND(IF(B518&lt;(Inputs!$E$8-Inputs!$D$8)/(Inputs!$F$8-Inputs!$D$8),Inputs!$D$8+SQRT(B518*(Inputs!$F$8-Inputs!$D$8)*(Inputs!$E$8-Inputs!$D$8)),Inputs!$F$8-SQRT((1-B518)*(Inputs!$F$8-Inputs!$D$8)*(Inputs!$F$8-Inputs!$E$8))),0)</f>
        <v>27</v>
      </c>
      <c r="D518" s="81" t="n">
        <f aca="true">RAND()</f>
        <v>0.600441446657677</v>
      </c>
      <c r="E518" s="83" t="n">
        <f aca="false">IF(D518&lt;(Inputs!$E$10-Inputs!$D$10)/(Inputs!$F$10-Inputs!$D$10),Inputs!$D$10+SQRT(D518*(Inputs!$F$10-Inputs!$D$10)*(Inputs!$E$10-Inputs!$D$10)),Inputs!$F$10-SQRT((1-D518)*(Inputs!$F$10-Inputs!$D$10)*(Inputs!$F$10-Inputs!$E$10)))</f>
        <v>0.0905159527589993</v>
      </c>
      <c r="F518" s="81" t="n">
        <f aca="true">RAND()</f>
        <v>0.594548258977097</v>
      </c>
      <c r="G518" s="83" t="n">
        <f aca="false">IF(F518&lt;(Inputs!$E$15-Inputs!$D$15)/(Inputs!$F$15-Inputs!$D$15),Inputs!$D$15+SQRT(F518*(Inputs!$F$15-Inputs!$D$15)*(Inputs!$E$15-Inputs!$D$15)),Inputs!$F$15-SQRT((1-F518)*(Inputs!$F$15-Inputs!$D$15)*(Inputs!$F$15-Inputs!$E$15)))</f>
        <v>0.709949820541778</v>
      </c>
      <c r="H518" s="81" t="n">
        <f aca="true">RAND()</f>
        <v>0.469865006867885</v>
      </c>
      <c r="I518" s="82" t="n">
        <f aca="false">ROUND(IF(H518&lt;(Inputs!$E$17-Inputs!$D$17)/(Inputs!$F$17-Inputs!$D$17),Inputs!$D$17+SQRT(H518*(Inputs!$F$17-Inputs!$D$17)*(Inputs!$E$17-Inputs!$D$17)),Inputs!$F$17-SQRT((1-H518)*(Inputs!$F$17-Inputs!$D$17)*(Inputs!$F$17-Inputs!$E$17))),0)</f>
        <v>106</v>
      </c>
      <c r="J518" s="81" t="n">
        <f aca="true">RAND()</f>
        <v>0.071714157429457</v>
      </c>
      <c r="K518" s="83" t="n">
        <f aca="false">IF(J518&lt;(Inputs!$E$18-Inputs!$D$18)/(Inputs!$F$18-Inputs!$D$18),Inputs!$D$18+SQRT(J518*(Inputs!$F$18-Inputs!$D$18)*(Inputs!$E$18-Inputs!$D$18)),Inputs!$F$18-SQRT((1-J518)*(Inputs!$F$18-Inputs!$D$18)*(Inputs!$F$18-Inputs!$E$18)))</f>
        <v>0.950099855389322</v>
      </c>
      <c r="L518" s="81" t="n">
        <f aca="true">RAND()</f>
        <v>0.543662341761858</v>
      </c>
      <c r="M518" s="83" t="n">
        <f aca="false">IF(L518&lt;(Inputs!$E$24-Inputs!$D$24)/(Inputs!$F$24-Inputs!$D$24),Inputs!$D$24+SQRT(L518*(Inputs!$F$24-Inputs!$D$24)*(Inputs!$E$24-Inputs!$D$24)),Inputs!$F$24-SQRT((1-L518)*(Inputs!$F$24-Inputs!$D$24)*(Inputs!$F$24-Inputs!$E$24)))</f>
        <v>0.869060371098966</v>
      </c>
      <c r="N518" s="81" t="n">
        <f aca="true">RAND()</f>
        <v>0.764393796165392</v>
      </c>
      <c r="O518" s="83" t="n">
        <f aca="false">IF(N518&lt;(Inputs!$E$26-Inputs!$D$26)/(Inputs!$F$26-Inputs!$D$26),Inputs!$D$26+SQRT(N518*(Inputs!$F$26-Inputs!$D$26)*(Inputs!$E$26-Inputs!$D$26)),Inputs!$F$26-SQRT((1-N518)*(Inputs!$F$26-Inputs!$D$26)*(Inputs!$F$26-Inputs!$E$26)))</f>
        <v>0.663465514346521</v>
      </c>
      <c r="P518" s="81" t="n">
        <f aca="true">RAND()</f>
        <v>0.0328343483463946</v>
      </c>
      <c r="Q518" s="82" t="n">
        <f aca="false">IF(P518&lt;(Inputs!$E$27-Inputs!$D$27)/(Inputs!$F$27-Inputs!$D$27),Inputs!$D$27+SQRT(P518*(Inputs!$F$27-Inputs!$D$27)*(Inputs!$E$27-Inputs!$D$27)),Inputs!$F$27-SQRT((1-P518)*(Inputs!$F$27-Inputs!$D$27)*(Inputs!$F$27-Inputs!$E$27)))</f>
        <v>59.0601253228632</v>
      </c>
      <c r="R518" s="81" t="n">
        <f aca="true">RAND()</f>
        <v>0.0496137723009787</v>
      </c>
      <c r="S518" s="82" t="n">
        <f aca="false">IF(R518&lt;(Inputs!$E$29-Inputs!$D$29)/(Inputs!$F$29-Inputs!$D$29),Inputs!$D$29+SQRT(R518*(Inputs!$F$29-Inputs!$D$29)*(Inputs!$E$29-Inputs!$D$29)),Inputs!$F$29-SQRT((1-R518)*(Inputs!$F$29-Inputs!$D$29)*(Inputs!$F$29-Inputs!$E$29)))</f>
        <v>3.39102017229736</v>
      </c>
      <c r="T518" s="68" t="n">
        <f aca="false">Inputs!$E$9*(1+E518)+Inputs!$E$5*C518*(Inputs!$E$11*Inputs!$E$14*(G518*I518/Inputs!$E$16+(1-G518))*K518+Inputs!$E$23*M518)*(1+O518)+Inputs!$E$5*(Q518+S518)</f>
        <v>6392.96434096113</v>
      </c>
    </row>
    <row r="519" customFormat="false" ht="15" hidden="false" customHeight="false" outlineLevel="0" collapsed="false">
      <c r="A519" s="1" t="n">
        <v>515</v>
      </c>
      <c r="B519" s="81" t="n">
        <f aca="true">RAND()</f>
        <v>0.550058217538035</v>
      </c>
      <c r="C519" s="82" t="n">
        <f aca="false">ROUND(IF(B519&lt;(Inputs!$E$8-Inputs!$D$8)/(Inputs!$F$8-Inputs!$D$8),Inputs!$D$8+SQRT(B519*(Inputs!$F$8-Inputs!$D$8)*(Inputs!$E$8-Inputs!$D$8)),Inputs!$F$8-SQRT((1-B519)*(Inputs!$F$8-Inputs!$D$8)*(Inputs!$F$8-Inputs!$E$8))),0)</f>
        <v>25</v>
      </c>
      <c r="D519" s="81" t="n">
        <f aca="true">RAND()</f>
        <v>0.145271243324887</v>
      </c>
      <c r="E519" s="83" t="n">
        <f aca="false">IF(D519&lt;(Inputs!$E$10-Inputs!$D$10)/(Inputs!$F$10-Inputs!$D$10),Inputs!$D$10+SQRT(D519*(Inputs!$F$10-Inputs!$D$10)*(Inputs!$E$10-Inputs!$D$10)),Inputs!$F$10-SQRT((1-D519)*(Inputs!$F$10-Inputs!$D$10)*(Inputs!$F$10-Inputs!$E$10)))</f>
        <v>0.0381144648821004</v>
      </c>
      <c r="F519" s="81" t="n">
        <f aca="true">RAND()</f>
        <v>0.994582743047967</v>
      </c>
      <c r="G519" s="83" t="n">
        <f aca="false">IF(F519&lt;(Inputs!$E$15-Inputs!$D$15)/(Inputs!$F$15-Inputs!$D$15),Inputs!$D$15+SQRT(F519*(Inputs!$F$15-Inputs!$D$15)*(Inputs!$E$15-Inputs!$D$15)),Inputs!$F$15-SQRT((1-F519)*(Inputs!$F$15-Inputs!$D$15)*(Inputs!$F$15-Inputs!$E$15)))</f>
        <v>0.789591102890284</v>
      </c>
      <c r="H519" s="81" t="n">
        <f aca="true">RAND()</f>
        <v>0.956787890654699</v>
      </c>
      <c r="I519" s="82" t="n">
        <f aca="false">ROUND(IF(H519&lt;(Inputs!$E$17-Inputs!$D$17)/(Inputs!$F$17-Inputs!$D$17),Inputs!$D$17+SQRT(H519*(Inputs!$F$17-Inputs!$D$17)*(Inputs!$E$17-Inputs!$D$17)),Inputs!$F$17-SQRT((1-H519)*(Inputs!$F$17-Inputs!$D$17)*(Inputs!$F$17-Inputs!$E$17))),0)</f>
        <v>112</v>
      </c>
      <c r="J519" s="81" t="n">
        <f aca="true">RAND()</f>
        <v>0.783141242417908</v>
      </c>
      <c r="K519" s="83" t="n">
        <f aca="false">IF(J519&lt;(Inputs!$E$18-Inputs!$D$18)/(Inputs!$F$18-Inputs!$D$18),Inputs!$D$18+SQRT(J519*(Inputs!$F$18-Inputs!$D$18)*(Inputs!$E$18-Inputs!$D$18)),Inputs!$F$18-SQRT((1-J519)*(Inputs!$F$18-Inputs!$D$18)*(Inputs!$F$18-Inputs!$E$18)))</f>
        <v>1.11224971401687</v>
      </c>
      <c r="L519" s="81" t="n">
        <f aca="true">RAND()</f>
        <v>0.573304452358453</v>
      </c>
      <c r="M519" s="83" t="n">
        <f aca="false">IF(L519&lt;(Inputs!$E$24-Inputs!$D$24)/(Inputs!$F$24-Inputs!$D$24),Inputs!$D$24+SQRT(L519*(Inputs!$F$24-Inputs!$D$24)*(Inputs!$E$24-Inputs!$D$24)),Inputs!$F$24-SQRT((1-L519)*(Inputs!$F$24-Inputs!$D$24)*(Inputs!$F$24-Inputs!$E$24)))</f>
        <v>0.87998916981769</v>
      </c>
      <c r="N519" s="81" t="n">
        <f aca="true">RAND()</f>
        <v>0.0219960692777592</v>
      </c>
      <c r="O519" s="83" t="n">
        <f aca="false">IF(N519&lt;(Inputs!$E$26-Inputs!$D$26)/(Inputs!$F$26-Inputs!$D$26),Inputs!$D$26+SQRT(N519*(Inputs!$F$26-Inputs!$D$26)*(Inputs!$E$26-Inputs!$D$26)),Inputs!$F$26-SQRT((1-N519)*(Inputs!$F$26-Inputs!$D$26)*(Inputs!$F$26-Inputs!$E$26)))</f>
        <v>0.360499139893218</v>
      </c>
      <c r="P519" s="81" t="n">
        <f aca="true">RAND()</f>
        <v>0.520133609303494</v>
      </c>
      <c r="Q519" s="82" t="n">
        <f aca="false">IF(P519&lt;(Inputs!$E$27-Inputs!$D$27)/(Inputs!$F$27-Inputs!$D$27),Inputs!$D$27+SQRT(P519*(Inputs!$F$27-Inputs!$D$27)*(Inputs!$E$27-Inputs!$D$27)),Inputs!$F$27-SQRT((1-P519)*(Inputs!$F$27-Inputs!$D$27)*(Inputs!$F$27-Inputs!$E$27)))</f>
        <v>90.008351162651</v>
      </c>
      <c r="R519" s="81" t="n">
        <f aca="true">RAND()</f>
        <v>0.407448308356723</v>
      </c>
      <c r="S519" s="82" t="n">
        <f aca="false">IF(R519&lt;(Inputs!$E$29-Inputs!$D$29)/(Inputs!$F$29-Inputs!$D$29),Inputs!$D$29+SQRT(R519*(Inputs!$F$29-Inputs!$D$29)*(Inputs!$E$29-Inputs!$D$29)),Inputs!$F$29-SQRT((1-R519)*(Inputs!$F$29-Inputs!$D$29)*(Inputs!$F$29-Inputs!$E$29)))</f>
        <v>6.22322838888774</v>
      </c>
      <c r="T519" s="68" t="n">
        <f aca="false">Inputs!$E$9*(1+E519)+Inputs!$E$5*C519*(Inputs!$E$11*Inputs!$E$14*(G519*I519/Inputs!$E$16+(1-G519))*K519+Inputs!$E$23*M519)*(1+O519)+Inputs!$E$5*(Q519+S519)</f>
        <v>5837.7640583024</v>
      </c>
    </row>
    <row r="520" customFormat="false" ht="15" hidden="false" customHeight="false" outlineLevel="0" collapsed="false">
      <c r="A520" s="1" t="n">
        <v>516</v>
      </c>
      <c r="B520" s="81" t="n">
        <f aca="true">RAND()</f>
        <v>0.426567573499677</v>
      </c>
      <c r="C520" s="82" t="n">
        <f aca="false">ROUND(IF(B520&lt;(Inputs!$E$8-Inputs!$D$8)/(Inputs!$F$8-Inputs!$D$8),Inputs!$D$8+SQRT(B520*(Inputs!$F$8-Inputs!$D$8)*(Inputs!$E$8-Inputs!$D$8)),Inputs!$F$8-SQRT((1-B520)*(Inputs!$F$8-Inputs!$D$8)*(Inputs!$F$8-Inputs!$E$8))),0)</f>
        <v>25</v>
      </c>
      <c r="D520" s="81" t="n">
        <f aca="true">RAND()</f>
        <v>0.246999596793443</v>
      </c>
      <c r="E520" s="83" t="n">
        <f aca="false">IF(D520&lt;(Inputs!$E$10-Inputs!$D$10)/(Inputs!$F$10-Inputs!$D$10),Inputs!$D$10+SQRT(D520*(Inputs!$F$10-Inputs!$D$10)*(Inputs!$E$10-Inputs!$D$10)),Inputs!$F$10-SQRT((1-D520)*(Inputs!$F$10-Inputs!$D$10)*(Inputs!$F$10-Inputs!$E$10)))</f>
        <v>0.0496990539943612</v>
      </c>
      <c r="F520" s="81" t="n">
        <f aca="true">RAND()</f>
        <v>0.565999380778269</v>
      </c>
      <c r="G520" s="83" t="n">
        <f aca="false">IF(F520&lt;(Inputs!$E$15-Inputs!$D$15)/(Inputs!$F$15-Inputs!$D$15),Inputs!$D$15+SQRT(F520*(Inputs!$F$15-Inputs!$D$15)*(Inputs!$E$15-Inputs!$D$15)),Inputs!$F$15-SQRT((1-F520)*(Inputs!$F$15-Inputs!$D$15)*(Inputs!$F$15-Inputs!$E$15)))</f>
        <v>0.706833415945229</v>
      </c>
      <c r="H520" s="81" t="n">
        <f aca="true">RAND()</f>
        <v>0.398905957338772</v>
      </c>
      <c r="I520" s="82" t="n">
        <f aca="false">ROUND(IF(H520&lt;(Inputs!$E$17-Inputs!$D$17)/(Inputs!$F$17-Inputs!$D$17),Inputs!$D$17+SQRT(H520*(Inputs!$F$17-Inputs!$D$17)*(Inputs!$E$17-Inputs!$D$17)),Inputs!$F$17-SQRT((1-H520)*(Inputs!$F$17-Inputs!$D$17)*(Inputs!$F$17-Inputs!$E$17))),0)</f>
        <v>106</v>
      </c>
      <c r="J520" s="81" t="n">
        <f aca="true">RAND()</f>
        <v>0.995029391988739</v>
      </c>
      <c r="K520" s="83" t="n">
        <f aca="false">IF(J520&lt;(Inputs!$E$18-Inputs!$D$18)/(Inputs!$F$18-Inputs!$D$18),Inputs!$D$18+SQRT(J520*(Inputs!$F$18-Inputs!$D$18)*(Inputs!$E$18-Inputs!$D$18)),Inputs!$F$18-SQRT((1-J520)*(Inputs!$F$18-Inputs!$D$18)*(Inputs!$F$18-Inputs!$E$18)))</f>
        <v>1.22914506770605</v>
      </c>
      <c r="L520" s="81" t="n">
        <f aca="true">RAND()</f>
        <v>0.722852230625277</v>
      </c>
      <c r="M520" s="83" t="n">
        <f aca="false">IF(L520&lt;(Inputs!$E$24-Inputs!$D$24)/(Inputs!$F$24-Inputs!$D$24),Inputs!$D$24+SQRT(L520*(Inputs!$F$24-Inputs!$D$24)*(Inputs!$E$24-Inputs!$D$24)),Inputs!$F$24-SQRT((1-L520)*(Inputs!$F$24-Inputs!$D$24)*(Inputs!$F$24-Inputs!$E$24)))</f>
        <v>0.942094077908371</v>
      </c>
      <c r="N520" s="81" t="n">
        <f aca="true">RAND()</f>
        <v>0.108087785743935</v>
      </c>
      <c r="O520" s="83" t="n">
        <f aca="false">IF(N520&lt;(Inputs!$E$26-Inputs!$D$26)/(Inputs!$F$26-Inputs!$D$26),Inputs!$D$26+SQRT(N520*(Inputs!$F$26-Inputs!$D$26)*(Inputs!$E$26-Inputs!$D$26)),Inputs!$F$26-SQRT((1-N520)*(Inputs!$F$26-Inputs!$D$26)*(Inputs!$F$26-Inputs!$E$26)))</f>
        <v>0.434111176073401</v>
      </c>
      <c r="P520" s="81" t="n">
        <f aca="true">RAND()</f>
        <v>0.329336893950478</v>
      </c>
      <c r="Q520" s="82" t="n">
        <f aca="false">IF(P520&lt;(Inputs!$E$27-Inputs!$D$27)/(Inputs!$F$27-Inputs!$D$27),Inputs!$D$27+SQRT(P520*(Inputs!$F$27-Inputs!$D$27)*(Inputs!$E$27-Inputs!$D$27)),Inputs!$F$27-SQRT((1-P520)*(Inputs!$F$27-Inputs!$D$27)*(Inputs!$F$27-Inputs!$E$27)))</f>
        <v>79.0776953605467</v>
      </c>
      <c r="R520" s="81" t="n">
        <f aca="true">RAND()</f>
        <v>0.287325580906557</v>
      </c>
      <c r="S520" s="82" t="n">
        <f aca="false">IF(R520&lt;(Inputs!$E$29-Inputs!$D$29)/(Inputs!$F$29-Inputs!$D$29),Inputs!$D$29+SQRT(R520*(Inputs!$F$29-Inputs!$D$29)*(Inputs!$E$29-Inputs!$D$29)),Inputs!$F$29-SQRT((1-R520)*(Inputs!$F$29-Inputs!$D$29)*(Inputs!$F$29-Inputs!$E$29)))</f>
        <v>5.37463380010154</v>
      </c>
      <c r="T520" s="68" t="n">
        <f aca="false">Inputs!$E$9*(1+E520)+Inputs!$E$5*C520*(Inputs!$E$11*Inputs!$E$14*(G520*I520/Inputs!$E$16+(1-G520))*K520+Inputs!$E$23*M520)*(1+O520)+Inputs!$E$5*(Q520+S520)</f>
        <v>6305.21847228517</v>
      </c>
    </row>
    <row r="521" customFormat="false" ht="15" hidden="false" customHeight="false" outlineLevel="0" collapsed="false">
      <c r="A521" s="1" t="n">
        <v>517</v>
      </c>
      <c r="B521" s="81" t="n">
        <f aca="true">RAND()</f>
        <v>0.38484055567959</v>
      </c>
      <c r="C521" s="82" t="n">
        <f aca="false">ROUND(IF(B521&lt;(Inputs!$E$8-Inputs!$D$8)/(Inputs!$F$8-Inputs!$D$8),Inputs!$D$8+SQRT(B521*(Inputs!$F$8-Inputs!$D$8)*(Inputs!$E$8-Inputs!$D$8)),Inputs!$F$8-SQRT((1-B521)*(Inputs!$F$8-Inputs!$D$8)*(Inputs!$F$8-Inputs!$E$8))),0)</f>
        <v>24</v>
      </c>
      <c r="D521" s="81" t="n">
        <f aca="true">RAND()</f>
        <v>0.671241625669501</v>
      </c>
      <c r="E521" s="83" t="n">
        <f aca="false">IF(D521&lt;(Inputs!$E$10-Inputs!$D$10)/(Inputs!$F$10-Inputs!$D$10),Inputs!$D$10+SQRT(D521*(Inputs!$F$10-Inputs!$D$10)*(Inputs!$E$10-Inputs!$D$10)),Inputs!$F$10-SQRT((1-D521)*(Inputs!$F$10-Inputs!$D$10)*(Inputs!$F$10-Inputs!$E$10)))</f>
        <v>0.100688614802154</v>
      </c>
      <c r="F521" s="81" t="n">
        <f aca="true">RAND()</f>
        <v>0.508396825517004</v>
      </c>
      <c r="G521" s="83" t="n">
        <f aca="false">IF(F521&lt;(Inputs!$E$15-Inputs!$D$15)/(Inputs!$F$15-Inputs!$D$15),Inputs!$D$15+SQRT(F521*(Inputs!$F$15-Inputs!$D$15)*(Inputs!$E$15-Inputs!$D$15)),Inputs!$F$15-SQRT((1-F521)*(Inputs!$F$15-Inputs!$D$15)*(Inputs!$F$15-Inputs!$E$15)))</f>
        <v>0.700843237801651</v>
      </c>
      <c r="H521" s="81" t="n">
        <f aca="true">RAND()</f>
        <v>0.776747118625031</v>
      </c>
      <c r="I521" s="82" t="n">
        <f aca="false">ROUND(IF(H521&lt;(Inputs!$E$17-Inputs!$D$17)/(Inputs!$F$17-Inputs!$D$17),Inputs!$D$17+SQRT(H521*(Inputs!$F$17-Inputs!$D$17)*(Inputs!$E$17-Inputs!$D$17)),Inputs!$F$17-SQRT((1-H521)*(Inputs!$F$17-Inputs!$D$17)*(Inputs!$F$17-Inputs!$E$17))),0)</f>
        <v>109</v>
      </c>
      <c r="J521" s="81" t="n">
        <f aca="true">RAND()</f>
        <v>0.38327077697057</v>
      </c>
      <c r="K521" s="83" t="n">
        <f aca="false">IF(J521&lt;(Inputs!$E$18-Inputs!$D$18)/(Inputs!$F$18-Inputs!$D$18),Inputs!$D$18+SQRT(J521*(Inputs!$F$18-Inputs!$D$18)*(Inputs!$E$18-Inputs!$D$18)),Inputs!$F$18-SQRT((1-J521)*(Inputs!$F$18-Inputs!$D$18)*(Inputs!$F$18-Inputs!$E$18)))</f>
        <v>1.01769888718503</v>
      </c>
      <c r="L521" s="81" t="n">
        <f aca="true">RAND()</f>
        <v>0.115986564445143</v>
      </c>
      <c r="M521" s="83" t="n">
        <f aca="false">IF(L521&lt;(Inputs!$E$24-Inputs!$D$24)/(Inputs!$F$24-Inputs!$D$24),Inputs!$D$24+SQRT(L521*(Inputs!$F$24-Inputs!$D$24)*(Inputs!$E$24-Inputs!$D$24)),Inputs!$F$24-SQRT((1-L521)*(Inputs!$F$24-Inputs!$D$24)*(Inputs!$F$24-Inputs!$E$24)))</f>
        <v>0.717976216812615</v>
      </c>
      <c r="N521" s="81" t="n">
        <f aca="true">RAND()</f>
        <v>0.317704387332135</v>
      </c>
      <c r="O521" s="83" t="n">
        <f aca="false">IF(N521&lt;(Inputs!$E$26-Inputs!$D$26)/(Inputs!$F$26-Inputs!$D$26),Inputs!$D$26+SQRT(N521*(Inputs!$F$26-Inputs!$D$26)*(Inputs!$E$26-Inputs!$D$26)),Inputs!$F$26-SQRT((1-N521)*(Inputs!$F$26-Inputs!$D$26)*(Inputs!$F$26-Inputs!$E$26)))</f>
        <v>0.529926096935662</v>
      </c>
      <c r="P521" s="81" t="n">
        <f aca="true">RAND()</f>
        <v>0.894911928161627</v>
      </c>
      <c r="Q521" s="82" t="n">
        <f aca="false">IF(P521&lt;(Inputs!$E$27-Inputs!$D$27)/(Inputs!$F$27-Inputs!$D$27),Inputs!$D$27+SQRT(P521*(Inputs!$F$27-Inputs!$D$27)*(Inputs!$E$27-Inputs!$D$27)),Inputs!$F$27-SQRT((1-P521)*(Inputs!$F$27-Inputs!$D$27)*(Inputs!$F$27-Inputs!$E$27)))</f>
        <v>121.925802971629</v>
      </c>
      <c r="R521" s="81" t="n">
        <f aca="true">RAND()</f>
        <v>0.830427840848315</v>
      </c>
      <c r="S521" s="82" t="n">
        <f aca="false">IF(R521&lt;(Inputs!$E$29-Inputs!$D$29)/(Inputs!$F$29-Inputs!$D$29),Inputs!$D$29+SQRT(R521*(Inputs!$F$29-Inputs!$D$29)*(Inputs!$E$29-Inputs!$D$29)),Inputs!$F$29-SQRT((1-R521)*(Inputs!$F$29-Inputs!$D$29)*(Inputs!$F$29-Inputs!$E$29)))</f>
        <v>10.3048556263179</v>
      </c>
      <c r="T521" s="68" t="n">
        <f aca="false">Inputs!$E$9*(1+E521)+Inputs!$E$5*C521*(Inputs!$E$11*Inputs!$E$14*(G521*I521/Inputs!$E$16+(1-G521))*K521+Inputs!$E$23*M521)*(1+O521)+Inputs!$E$5*(Q521+S521)</f>
        <v>6071.78934541006</v>
      </c>
    </row>
    <row r="522" customFormat="false" ht="15" hidden="false" customHeight="false" outlineLevel="0" collapsed="false">
      <c r="A522" s="1" t="n">
        <v>518</v>
      </c>
      <c r="B522" s="81" t="n">
        <f aca="true">RAND()</f>
        <v>0.53653907703408</v>
      </c>
      <c r="C522" s="82" t="n">
        <f aca="false">ROUND(IF(B522&lt;(Inputs!$E$8-Inputs!$D$8)/(Inputs!$F$8-Inputs!$D$8),Inputs!$D$8+SQRT(B522*(Inputs!$F$8-Inputs!$D$8)*(Inputs!$E$8-Inputs!$D$8)),Inputs!$F$8-SQRT((1-B522)*(Inputs!$F$8-Inputs!$D$8)*(Inputs!$F$8-Inputs!$E$8))),0)</f>
        <v>25</v>
      </c>
      <c r="D522" s="81" t="n">
        <f aca="true">RAND()</f>
        <v>0.0256822963582353</v>
      </c>
      <c r="E522" s="83" t="n">
        <f aca="false">IF(D522&lt;(Inputs!$E$10-Inputs!$D$10)/(Inputs!$F$10-Inputs!$D$10),Inputs!$D$10+SQRT(D522*(Inputs!$F$10-Inputs!$D$10)*(Inputs!$E$10-Inputs!$D$10)),Inputs!$F$10-SQRT((1-D522)*(Inputs!$F$10-Inputs!$D$10)*(Inputs!$F$10-Inputs!$E$10)))</f>
        <v>0.0160256969764923</v>
      </c>
      <c r="F522" s="81" t="n">
        <f aca="true">RAND()</f>
        <v>0.0135927192946616</v>
      </c>
      <c r="G522" s="83" t="n">
        <f aca="false">IF(F522&lt;(Inputs!$E$15-Inputs!$D$15)/(Inputs!$F$15-Inputs!$D$15),Inputs!$D$15+SQRT(F522*(Inputs!$F$15-Inputs!$D$15)*(Inputs!$E$15-Inputs!$D$15)),Inputs!$F$15-SQRT((1-F522)*(Inputs!$F$15-Inputs!$D$15)*(Inputs!$F$15-Inputs!$E$15)))</f>
        <v>0.616488007335431</v>
      </c>
      <c r="H522" s="81" t="n">
        <f aca="true">RAND()</f>
        <v>0.458727846862775</v>
      </c>
      <c r="I522" s="82" t="n">
        <f aca="false">ROUND(IF(H522&lt;(Inputs!$E$17-Inputs!$D$17)/(Inputs!$F$17-Inputs!$D$17),Inputs!$D$17+SQRT(H522*(Inputs!$F$17-Inputs!$D$17)*(Inputs!$E$17-Inputs!$D$17)),Inputs!$F$17-SQRT((1-H522)*(Inputs!$F$17-Inputs!$D$17)*(Inputs!$F$17-Inputs!$E$17))),0)</f>
        <v>106</v>
      </c>
      <c r="J522" s="81" t="n">
        <f aca="true">RAND()</f>
        <v>0.00959398064013585</v>
      </c>
      <c r="K522" s="83" t="n">
        <f aca="false">IF(J522&lt;(Inputs!$E$18-Inputs!$D$18)/(Inputs!$F$18-Inputs!$D$18),Inputs!$D$18+SQRT(J522*(Inputs!$F$18-Inputs!$D$18)*(Inputs!$E$18-Inputs!$D$18)),Inputs!$F$18-SQRT((1-J522)*(Inputs!$F$18-Inputs!$D$18)*(Inputs!$F$18-Inputs!$E$18)))</f>
        <v>0.918324555176177</v>
      </c>
      <c r="L522" s="81" t="n">
        <f aca="true">RAND()</f>
        <v>0.362113401039895</v>
      </c>
      <c r="M522" s="83" t="n">
        <f aca="false">IF(L522&lt;(Inputs!$E$24-Inputs!$D$24)/(Inputs!$F$24-Inputs!$D$24),Inputs!$D$24+SQRT(L522*(Inputs!$F$24-Inputs!$D$24)*(Inputs!$E$24-Inputs!$D$24)),Inputs!$F$24-SQRT((1-L522)*(Inputs!$F$24-Inputs!$D$24)*(Inputs!$F$24-Inputs!$E$24)))</f>
        <v>0.80872927051666</v>
      </c>
      <c r="N522" s="81" t="n">
        <f aca="true">RAND()</f>
        <v>0.947372263454138</v>
      </c>
      <c r="O522" s="83" t="n">
        <f aca="false">IF(N522&lt;(Inputs!$E$26-Inputs!$D$26)/(Inputs!$F$26-Inputs!$D$26),Inputs!$D$26+SQRT(N522*(Inputs!$F$26-Inputs!$D$26)*(Inputs!$E$26-Inputs!$D$26)),Inputs!$F$26-SQRT((1-N522)*(Inputs!$F$26-Inputs!$D$26)*(Inputs!$F$26-Inputs!$E$26)))</f>
        <v>0.746018349567142</v>
      </c>
      <c r="P522" s="81" t="n">
        <f aca="true">RAND()</f>
        <v>0.636381200225712</v>
      </c>
      <c r="Q522" s="82" t="n">
        <f aca="false">IF(P522&lt;(Inputs!$E$27-Inputs!$D$27)/(Inputs!$F$27-Inputs!$D$27),Inputs!$D$27+SQRT(P522*(Inputs!$F$27-Inputs!$D$27)*(Inputs!$E$27-Inputs!$D$27)),Inputs!$F$27-SQRT((1-P522)*(Inputs!$F$27-Inputs!$D$27)*(Inputs!$F$27-Inputs!$E$27)))</f>
        <v>97.7779644373454</v>
      </c>
      <c r="R522" s="81" t="n">
        <f aca="true">RAND()</f>
        <v>0.656922335578556</v>
      </c>
      <c r="S522" s="82" t="n">
        <f aca="false">IF(R522&lt;(Inputs!$E$29-Inputs!$D$29)/(Inputs!$F$29-Inputs!$D$29),Inputs!$D$29+SQRT(R522*(Inputs!$F$29-Inputs!$D$29)*(Inputs!$E$29-Inputs!$D$29)),Inputs!$F$29-SQRT((1-R522)*(Inputs!$F$29-Inputs!$D$29)*(Inputs!$F$29-Inputs!$E$29)))</f>
        <v>8.3216696416853</v>
      </c>
      <c r="T522" s="68" t="n">
        <f aca="false">Inputs!$E$9*(1+E522)+Inputs!$E$5*C522*(Inputs!$E$11*Inputs!$E$14*(G522*I522/Inputs!$E$16+(1-G522))*K522+Inputs!$E$23*M522)*(1+O522)+Inputs!$E$5*(Q522+S522)</f>
        <v>6298.67694971697</v>
      </c>
    </row>
    <row r="523" customFormat="false" ht="15" hidden="false" customHeight="false" outlineLevel="0" collapsed="false">
      <c r="A523" s="1" t="n">
        <v>519</v>
      </c>
      <c r="B523" s="81" t="n">
        <f aca="true">RAND()</f>
        <v>0.237958152580872</v>
      </c>
      <c r="C523" s="82" t="n">
        <f aca="false">ROUND(IF(B523&lt;(Inputs!$E$8-Inputs!$D$8)/(Inputs!$F$8-Inputs!$D$8),Inputs!$D$8+SQRT(B523*(Inputs!$F$8-Inputs!$D$8)*(Inputs!$E$8-Inputs!$D$8)),Inputs!$F$8-SQRT((1-B523)*(Inputs!$F$8-Inputs!$D$8)*(Inputs!$F$8-Inputs!$E$8))),0)</f>
        <v>23</v>
      </c>
      <c r="D523" s="81" t="n">
        <f aca="true">RAND()</f>
        <v>0.836347939103349</v>
      </c>
      <c r="E523" s="83" t="n">
        <f aca="false">IF(D523&lt;(Inputs!$E$10-Inputs!$D$10)/(Inputs!$F$10-Inputs!$D$10),Inputs!$D$10+SQRT(D523*(Inputs!$F$10-Inputs!$D$10)*(Inputs!$E$10-Inputs!$D$10)),Inputs!$F$10-SQRT((1-D523)*(Inputs!$F$10-Inputs!$D$10)*(Inputs!$F$10-Inputs!$E$10)))</f>
        <v>0.129931734523398</v>
      </c>
      <c r="F523" s="81" t="n">
        <f aca="true">RAND()</f>
        <v>0.103121970322279</v>
      </c>
      <c r="G523" s="83" t="n">
        <f aca="false">IF(F523&lt;(Inputs!$E$15-Inputs!$D$15)/(Inputs!$F$15-Inputs!$D$15),Inputs!$D$15+SQRT(F523*(Inputs!$F$15-Inputs!$D$15)*(Inputs!$E$15-Inputs!$D$15)),Inputs!$F$15-SQRT((1-F523)*(Inputs!$F$15-Inputs!$D$15)*(Inputs!$F$15-Inputs!$E$15)))</f>
        <v>0.645414088193484</v>
      </c>
      <c r="H523" s="81" t="n">
        <f aca="true">RAND()</f>
        <v>0.971221807925495</v>
      </c>
      <c r="I523" s="82" t="n">
        <f aca="false">ROUND(IF(H523&lt;(Inputs!$E$17-Inputs!$D$17)/(Inputs!$F$17-Inputs!$D$17),Inputs!$D$17+SQRT(H523*(Inputs!$F$17-Inputs!$D$17)*(Inputs!$E$17-Inputs!$D$17)),Inputs!$F$17-SQRT((1-H523)*(Inputs!$F$17-Inputs!$D$17)*(Inputs!$F$17-Inputs!$E$17))),0)</f>
        <v>113</v>
      </c>
      <c r="J523" s="81" t="n">
        <f aca="true">RAND()</f>
        <v>0.130647248684438</v>
      </c>
      <c r="K523" s="83" t="n">
        <f aca="false">IF(J523&lt;(Inputs!$E$18-Inputs!$D$18)/(Inputs!$F$18-Inputs!$D$18),Inputs!$D$18+SQRT(J523*(Inputs!$F$18-Inputs!$D$18)*(Inputs!$E$18-Inputs!$D$18)),Inputs!$F$18-SQRT((1-J523)*(Inputs!$F$18-Inputs!$D$18)*(Inputs!$F$18-Inputs!$E$18)))</f>
        <v>0.967621399748566</v>
      </c>
      <c r="L523" s="81" t="n">
        <f aca="true">RAND()</f>
        <v>0.363101724167731</v>
      </c>
      <c r="M523" s="83" t="n">
        <f aca="false">IF(L523&lt;(Inputs!$E$24-Inputs!$D$24)/(Inputs!$F$24-Inputs!$D$24),Inputs!$D$24+SQRT(L523*(Inputs!$F$24-Inputs!$D$24)*(Inputs!$E$24-Inputs!$D$24)),Inputs!$F$24-SQRT((1-L523)*(Inputs!$F$24-Inputs!$D$24)*(Inputs!$F$24-Inputs!$E$24)))</f>
        <v>0.809032499816488</v>
      </c>
      <c r="N523" s="81" t="n">
        <f aca="true">RAND()</f>
        <v>0.749283388755457</v>
      </c>
      <c r="O523" s="83" t="n">
        <f aca="false">IF(N523&lt;(Inputs!$E$26-Inputs!$D$26)/(Inputs!$F$26-Inputs!$D$26),Inputs!$D$26+SQRT(N523*(Inputs!$F$26-Inputs!$D$26)*(Inputs!$E$26-Inputs!$D$26)),Inputs!$F$26-SQRT((1-N523)*(Inputs!$F$26-Inputs!$D$26)*(Inputs!$F$26-Inputs!$E$26)))</f>
        <v>0.658523910223735</v>
      </c>
      <c r="P523" s="81" t="n">
        <f aca="true">RAND()</f>
        <v>0.81302972444669</v>
      </c>
      <c r="Q523" s="82" t="n">
        <f aca="false">IF(P523&lt;(Inputs!$E$27-Inputs!$D$27)/(Inputs!$F$27-Inputs!$D$27),Inputs!$D$27+SQRT(P523*(Inputs!$F$27-Inputs!$D$27)*(Inputs!$E$27-Inputs!$D$27)),Inputs!$F$27-SQRT((1-P523)*(Inputs!$F$27-Inputs!$D$27)*(Inputs!$F$27-Inputs!$E$27)))</f>
        <v>112.553009912013</v>
      </c>
      <c r="R523" s="81" t="n">
        <f aca="true">RAND()</f>
        <v>0.180698110835686</v>
      </c>
      <c r="S523" s="82" t="n">
        <f aca="false">IF(R523&lt;(Inputs!$E$29-Inputs!$D$29)/(Inputs!$F$29-Inputs!$D$29),Inputs!$D$29+SQRT(R523*(Inputs!$F$29-Inputs!$D$29)*(Inputs!$E$29-Inputs!$D$29)),Inputs!$F$29-SQRT((1-R523)*(Inputs!$F$29-Inputs!$D$29)*(Inputs!$F$29-Inputs!$E$29)))</f>
        <v>4.65466124441363</v>
      </c>
      <c r="T523" s="68" t="n">
        <f aca="false">Inputs!$E$9*(1+E523)+Inputs!$E$5*C523*(Inputs!$E$11*Inputs!$E$14*(G523*I523/Inputs!$E$16+(1-G523))*K523+Inputs!$E$23*M523)*(1+O523)+Inputs!$E$5*(Q523+S523)</f>
        <v>6300.71663846173</v>
      </c>
    </row>
    <row r="524" customFormat="false" ht="15" hidden="false" customHeight="false" outlineLevel="0" collapsed="false">
      <c r="A524" s="1" t="n">
        <v>520</v>
      </c>
      <c r="B524" s="81" t="n">
        <f aca="true">RAND()</f>
        <v>0.0848747269580107</v>
      </c>
      <c r="C524" s="82" t="n">
        <f aca="false">ROUND(IF(B524&lt;(Inputs!$E$8-Inputs!$D$8)/(Inputs!$F$8-Inputs!$D$8),Inputs!$D$8+SQRT(B524*(Inputs!$F$8-Inputs!$D$8)*(Inputs!$E$8-Inputs!$D$8)),Inputs!$F$8-SQRT((1-B524)*(Inputs!$F$8-Inputs!$D$8)*(Inputs!$F$8-Inputs!$E$8))),0)</f>
        <v>22</v>
      </c>
      <c r="D524" s="81" t="n">
        <f aca="true">RAND()</f>
        <v>0.302222326113264</v>
      </c>
      <c r="E524" s="83" t="n">
        <f aca="false">IF(D524&lt;(Inputs!$E$10-Inputs!$D$10)/(Inputs!$F$10-Inputs!$D$10),Inputs!$D$10+SQRT(D524*(Inputs!$F$10-Inputs!$D$10)*(Inputs!$E$10-Inputs!$D$10)),Inputs!$F$10-SQRT((1-D524)*(Inputs!$F$10-Inputs!$D$10)*(Inputs!$F$10-Inputs!$E$10)))</f>
        <v>0.0553164480094504</v>
      </c>
      <c r="F524" s="81" t="n">
        <f aca="true">RAND()</f>
        <v>0.170478381525275</v>
      </c>
      <c r="G524" s="83" t="n">
        <f aca="false">IF(F524&lt;(Inputs!$E$15-Inputs!$D$15)/(Inputs!$F$15-Inputs!$D$15),Inputs!$D$15+SQRT(F524*(Inputs!$F$15-Inputs!$D$15)*(Inputs!$E$15-Inputs!$D$15)),Inputs!$F$15-SQRT((1-F524)*(Inputs!$F$15-Inputs!$D$15)*(Inputs!$F$15-Inputs!$E$15)))</f>
        <v>0.658391503067702</v>
      </c>
      <c r="H524" s="81" t="n">
        <f aca="true">RAND()</f>
        <v>0.925151630509426</v>
      </c>
      <c r="I524" s="82" t="n">
        <f aca="false">ROUND(IF(H524&lt;(Inputs!$E$17-Inputs!$D$17)/(Inputs!$F$17-Inputs!$D$17),Inputs!$D$17+SQRT(H524*(Inputs!$F$17-Inputs!$D$17)*(Inputs!$E$17-Inputs!$D$17)),Inputs!$F$17-SQRT((1-H524)*(Inputs!$F$17-Inputs!$D$17)*(Inputs!$F$17-Inputs!$E$17))),0)</f>
        <v>112</v>
      </c>
      <c r="J524" s="81" t="n">
        <f aca="true">RAND()</f>
        <v>0.0825564569901689</v>
      </c>
      <c r="K524" s="83" t="n">
        <f aca="false">IF(J524&lt;(Inputs!$E$18-Inputs!$D$18)/(Inputs!$F$18-Inputs!$D$18),Inputs!$D$18+SQRT(J524*(Inputs!$F$18-Inputs!$D$18)*(Inputs!$E$18-Inputs!$D$18)),Inputs!$F$18-SQRT((1-J524)*(Inputs!$F$18-Inputs!$D$18)*(Inputs!$F$18-Inputs!$E$18)))</f>
        <v>0.953753846324295</v>
      </c>
      <c r="L524" s="81" t="n">
        <f aca="true">RAND()</f>
        <v>0.305214509488967</v>
      </c>
      <c r="M524" s="83" t="n">
        <f aca="false">IF(L524&lt;(Inputs!$E$24-Inputs!$D$24)/(Inputs!$F$24-Inputs!$D$24),Inputs!$D$24+SQRT(L524*(Inputs!$F$24-Inputs!$D$24)*(Inputs!$E$24-Inputs!$D$24)),Inputs!$F$24-SQRT((1-L524)*(Inputs!$F$24-Inputs!$D$24)*(Inputs!$F$24-Inputs!$E$24)))</f>
        <v>0.791378528416006</v>
      </c>
      <c r="N524" s="81" t="n">
        <f aca="true">RAND()</f>
        <v>0.847197596834769</v>
      </c>
      <c r="O524" s="83" t="n">
        <f aca="false">IF(N524&lt;(Inputs!$E$26-Inputs!$D$26)/(Inputs!$F$26-Inputs!$D$26),Inputs!$D$26+SQRT(N524*(Inputs!$F$26-Inputs!$D$26)*(Inputs!$E$26-Inputs!$D$26)),Inputs!$F$26-SQRT((1-N524)*(Inputs!$F$26-Inputs!$D$26)*(Inputs!$F$26-Inputs!$E$26)))</f>
        <v>0.693938705665918</v>
      </c>
      <c r="P524" s="81" t="n">
        <f aca="true">RAND()</f>
        <v>0.115786091692985</v>
      </c>
      <c r="Q524" s="82" t="n">
        <f aca="false">IF(P524&lt;(Inputs!$E$27-Inputs!$D$27)/(Inputs!$F$27-Inputs!$D$27),Inputs!$D$27+SQRT(P524*(Inputs!$F$27-Inputs!$D$27)*(Inputs!$E$27-Inputs!$D$27)),Inputs!$F$27-SQRT((1-P524)*(Inputs!$F$27-Inputs!$D$27)*(Inputs!$F$27-Inputs!$E$27)))</f>
        <v>67.0136777103735</v>
      </c>
      <c r="R524" s="81" t="n">
        <f aca="true">RAND()</f>
        <v>0.941877796367551</v>
      </c>
      <c r="S524" s="82" t="n">
        <f aca="false">IF(R524&lt;(Inputs!$E$29-Inputs!$D$29)/(Inputs!$F$29-Inputs!$D$29),Inputs!$D$29+SQRT(R524*(Inputs!$F$29-Inputs!$D$29)*(Inputs!$E$29-Inputs!$D$29)),Inputs!$F$29-SQRT((1-R524)*(Inputs!$F$29-Inputs!$D$29)*(Inputs!$F$29-Inputs!$E$29)))</f>
        <v>12.2512027226042</v>
      </c>
      <c r="T524" s="68" t="n">
        <f aca="false">Inputs!$E$9*(1+E524)+Inputs!$E$5*C524*(Inputs!$E$11*Inputs!$E$14*(G524*I524/Inputs!$E$16+(1-G524))*K524+Inputs!$E$23*M524)*(1+O524)+Inputs!$E$5*(Q524+S524)</f>
        <v>5795.58889392279</v>
      </c>
    </row>
    <row r="525" customFormat="false" ht="15" hidden="false" customHeight="false" outlineLevel="0" collapsed="false">
      <c r="A525" s="1" t="n">
        <v>521</v>
      </c>
      <c r="B525" s="81" t="n">
        <f aca="true">RAND()</f>
        <v>0.321430872216311</v>
      </c>
      <c r="C525" s="82" t="n">
        <f aca="false">ROUND(IF(B525&lt;(Inputs!$E$8-Inputs!$D$8)/(Inputs!$F$8-Inputs!$D$8),Inputs!$D$8+SQRT(B525*(Inputs!$F$8-Inputs!$D$8)*(Inputs!$E$8-Inputs!$D$8)),Inputs!$F$8-SQRT((1-B525)*(Inputs!$F$8-Inputs!$D$8)*(Inputs!$F$8-Inputs!$E$8))),0)</f>
        <v>24</v>
      </c>
      <c r="D525" s="81" t="n">
        <f aca="true">RAND()</f>
        <v>0.683548952129354</v>
      </c>
      <c r="E525" s="83" t="n">
        <f aca="false">IF(D525&lt;(Inputs!$E$10-Inputs!$D$10)/(Inputs!$F$10-Inputs!$D$10),Inputs!$D$10+SQRT(D525*(Inputs!$F$10-Inputs!$D$10)*(Inputs!$E$10-Inputs!$D$10)),Inputs!$F$10-SQRT((1-D525)*(Inputs!$F$10-Inputs!$D$10)*(Inputs!$F$10-Inputs!$E$10)))</f>
        <v>0.102565245234981</v>
      </c>
      <c r="F525" s="81" t="n">
        <f aca="true">RAND()</f>
        <v>0.86259233585667</v>
      </c>
      <c r="G525" s="83" t="n">
        <f aca="false">IF(F525&lt;(Inputs!$E$15-Inputs!$D$15)/(Inputs!$F$15-Inputs!$D$15),Inputs!$D$15+SQRT(F525*(Inputs!$F$15-Inputs!$D$15)*(Inputs!$E$15-Inputs!$D$15)),Inputs!$F$15-SQRT((1-F525)*(Inputs!$F$15-Inputs!$D$15)*(Inputs!$F$15-Inputs!$E$15)))</f>
        <v>0.747577168305531</v>
      </c>
      <c r="H525" s="81" t="n">
        <f aca="true">RAND()</f>
        <v>0.253161742269035</v>
      </c>
      <c r="I525" s="82" t="n">
        <f aca="false">ROUND(IF(H525&lt;(Inputs!$E$17-Inputs!$D$17)/(Inputs!$F$17-Inputs!$D$17),Inputs!$D$17+SQRT(H525*(Inputs!$F$17-Inputs!$D$17)*(Inputs!$E$17-Inputs!$D$17)),Inputs!$F$17-SQRT((1-H525)*(Inputs!$F$17-Inputs!$D$17)*(Inputs!$F$17-Inputs!$E$17))),0)</f>
        <v>104</v>
      </c>
      <c r="J525" s="81" t="n">
        <f aca="true">RAND()</f>
        <v>0.664566604955489</v>
      </c>
      <c r="K525" s="83" t="n">
        <f aca="false">IF(J525&lt;(Inputs!$E$18-Inputs!$D$18)/(Inputs!$F$18-Inputs!$D$18),Inputs!$D$18+SQRT(J525*(Inputs!$F$18-Inputs!$D$18)*(Inputs!$E$18-Inputs!$D$18)),Inputs!$F$18-SQRT((1-J525)*(Inputs!$F$18-Inputs!$D$18)*(Inputs!$F$18-Inputs!$E$18)))</f>
        <v>1.0786803511958</v>
      </c>
      <c r="L525" s="81" t="n">
        <f aca="true">RAND()</f>
        <v>0.413657844064149</v>
      </c>
      <c r="M525" s="83" t="n">
        <f aca="false">IF(L525&lt;(Inputs!$E$24-Inputs!$D$24)/(Inputs!$F$24-Inputs!$D$24),Inputs!$D$24+SQRT(L525*(Inputs!$F$24-Inputs!$D$24)*(Inputs!$E$24-Inputs!$D$24)),Inputs!$F$24-SQRT((1-L525)*(Inputs!$F$24-Inputs!$D$24)*(Inputs!$F$24-Inputs!$E$24)))</f>
        <v>0.824870532449656</v>
      </c>
      <c r="N525" s="81" t="n">
        <f aca="true">RAND()</f>
        <v>0.356836386687095</v>
      </c>
      <c r="O525" s="83" t="n">
        <f aca="false">IF(N525&lt;(Inputs!$E$26-Inputs!$D$26)/(Inputs!$F$26-Inputs!$D$26),Inputs!$D$26+SQRT(N525*(Inputs!$F$26-Inputs!$D$26)*(Inputs!$E$26-Inputs!$D$26)),Inputs!$F$26-SQRT((1-N525)*(Inputs!$F$26-Inputs!$D$26)*(Inputs!$F$26-Inputs!$E$26)))</f>
        <v>0.543675141827665</v>
      </c>
      <c r="P525" s="81" t="n">
        <f aca="true">RAND()</f>
        <v>0.0775402399053518</v>
      </c>
      <c r="Q525" s="82" t="n">
        <f aca="false">IF(P525&lt;(Inputs!$E$27-Inputs!$D$27)/(Inputs!$F$27-Inputs!$D$27),Inputs!$D$27+SQRT(P525*(Inputs!$F$27-Inputs!$D$27)*(Inputs!$E$27-Inputs!$D$27)),Inputs!$F$27-SQRT((1-P525)*(Inputs!$F$27-Inputs!$D$27)*(Inputs!$F$27-Inputs!$E$27)))</f>
        <v>63.9230240882999</v>
      </c>
      <c r="R525" s="81" t="n">
        <f aca="true">RAND()</f>
        <v>0.772608016763452</v>
      </c>
      <c r="S525" s="82" t="n">
        <f aca="false">IF(R525&lt;(Inputs!$E$29-Inputs!$D$29)/(Inputs!$F$29-Inputs!$D$29),Inputs!$D$29+SQRT(R525*(Inputs!$F$29-Inputs!$D$29)*(Inputs!$E$29-Inputs!$D$29)),Inputs!$F$29-SQRT((1-R525)*(Inputs!$F$29-Inputs!$D$29)*(Inputs!$F$29-Inputs!$E$29)))</f>
        <v>9.56300102807153</v>
      </c>
      <c r="T525" s="68" t="n">
        <f aca="false">Inputs!$E$9*(1+E525)+Inputs!$E$5*C525*(Inputs!$E$11*Inputs!$E$14*(G525*I525/Inputs!$E$16+(1-G525))*K525+Inputs!$E$23*M525)*(1+O525)+Inputs!$E$5*(Q525+S525)</f>
        <v>5952.87124898988</v>
      </c>
    </row>
    <row r="526" customFormat="false" ht="15" hidden="false" customHeight="false" outlineLevel="0" collapsed="false">
      <c r="A526" s="1" t="n">
        <v>522</v>
      </c>
      <c r="B526" s="81" t="n">
        <f aca="true">RAND()</f>
        <v>0.871017422396516</v>
      </c>
      <c r="C526" s="82" t="n">
        <f aca="false">ROUND(IF(B526&lt;(Inputs!$E$8-Inputs!$D$8)/(Inputs!$F$8-Inputs!$D$8),Inputs!$D$8+SQRT(B526*(Inputs!$F$8-Inputs!$D$8)*(Inputs!$E$8-Inputs!$D$8)),Inputs!$F$8-SQRT((1-B526)*(Inputs!$F$8-Inputs!$D$8)*(Inputs!$F$8-Inputs!$E$8))),0)</f>
        <v>27</v>
      </c>
      <c r="D526" s="81" t="n">
        <f aca="true">RAND()</f>
        <v>0.969269485059292</v>
      </c>
      <c r="E526" s="83" t="n">
        <f aca="false">IF(D526&lt;(Inputs!$E$10-Inputs!$D$10)/(Inputs!$F$10-Inputs!$D$10),Inputs!$D$10+SQRT(D526*(Inputs!$F$10-Inputs!$D$10)*(Inputs!$E$10-Inputs!$D$10)),Inputs!$F$10-SQRT((1-D526)*(Inputs!$F$10-Inputs!$D$10)*(Inputs!$F$10-Inputs!$E$10)))</f>
        <v>0.169636939412812</v>
      </c>
      <c r="F526" s="81" t="n">
        <f aca="true">RAND()</f>
        <v>0.210078567517913</v>
      </c>
      <c r="G526" s="83" t="n">
        <f aca="false">IF(F526&lt;(Inputs!$E$15-Inputs!$D$15)/(Inputs!$F$15-Inputs!$D$15),Inputs!$D$15+SQRT(F526*(Inputs!$F$15-Inputs!$D$15)*(Inputs!$E$15-Inputs!$D$15)),Inputs!$F$15-SQRT((1-F526)*(Inputs!$F$15-Inputs!$D$15)*(Inputs!$F$15-Inputs!$E$15)))</f>
        <v>0.664819529081584</v>
      </c>
      <c r="H526" s="81" t="n">
        <f aca="true">RAND()</f>
        <v>0.0330632612740563</v>
      </c>
      <c r="I526" s="82" t="n">
        <f aca="false">ROUND(IF(H526&lt;(Inputs!$E$17-Inputs!$D$17)/(Inputs!$F$17-Inputs!$D$17),Inputs!$D$17+SQRT(H526*(Inputs!$F$17-Inputs!$D$17)*(Inputs!$E$17-Inputs!$D$17)),Inputs!$F$17-SQRT((1-H526)*(Inputs!$F$17-Inputs!$D$17)*(Inputs!$F$17-Inputs!$E$17))),0)</f>
        <v>102</v>
      </c>
      <c r="J526" s="81" t="n">
        <f aca="true">RAND()</f>
        <v>0.199260806703562</v>
      </c>
      <c r="K526" s="83" t="n">
        <f aca="false">IF(J526&lt;(Inputs!$E$18-Inputs!$D$18)/(Inputs!$F$18-Inputs!$D$18),Inputs!$D$18+SQRT(J526*(Inputs!$F$18-Inputs!$D$18)*(Inputs!$E$18-Inputs!$D$18)),Inputs!$F$18-SQRT((1-J526)*(Inputs!$F$18-Inputs!$D$18)*(Inputs!$F$18-Inputs!$E$18)))</f>
        <v>0.983511246156579</v>
      </c>
      <c r="L526" s="81" t="n">
        <f aca="true">RAND()</f>
        <v>0.468532002981622</v>
      </c>
      <c r="M526" s="83" t="n">
        <f aca="false">IF(L526&lt;(Inputs!$E$24-Inputs!$D$24)/(Inputs!$F$24-Inputs!$D$24),Inputs!$D$24+SQRT(L526*(Inputs!$F$24-Inputs!$D$24)*(Inputs!$E$24-Inputs!$D$24)),Inputs!$F$24-SQRT((1-L526)*(Inputs!$F$24-Inputs!$D$24)*(Inputs!$F$24-Inputs!$E$24)))</f>
        <v>0.842855324435026</v>
      </c>
      <c r="N526" s="81" t="n">
        <f aca="true">RAND()</f>
        <v>0.999620735067729</v>
      </c>
      <c r="O526" s="83" t="n">
        <f aca="false">IF(N526&lt;(Inputs!$E$26-Inputs!$D$26)/(Inputs!$F$26-Inputs!$D$26),Inputs!$D$26+SQRT(N526*(Inputs!$F$26-Inputs!$D$26)*(Inputs!$E$26-Inputs!$D$26)),Inputs!$F$26-SQRT((1-N526)*(Inputs!$F$26-Inputs!$D$26)*(Inputs!$F$26-Inputs!$E$26)))</f>
        <v>0.813719589746185</v>
      </c>
      <c r="P526" s="81" t="n">
        <f aca="true">RAND()</f>
        <v>0.084081261728662</v>
      </c>
      <c r="Q526" s="82" t="n">
        <f aca="false">IF(P526&lt;(Inputs!$E$27-Inputs!$D$27)/(Inputs!$F$27-Inputs!$D$27),Inputs!$D$27+SQRT(P526*(Inputs!$F$27-Inputs!$D$27)*(Inputs!$E$27-Inputs!$D$27)),Inputs!$F$27-SQRT((1-P526)*(Inputs!$F$27-Inputs!$D$27)*(Inputs!$F$27-Inputs!$E$27)))</f>
        <v>64.4983845417914</v>
      </c>
      <c r="R526" s="81" t="n">
        <f aca="true">RAND()</f>
        <v>0.693547696457787</v>
      </c>
      <c r="S526" s="82" t="n">
        <f aca="false">IF(R526&lt;(Inputs!$E$29-Inputs!$D$29)/(Inputs!$F$29-Inputs!$D$29),Inputs!$D$29+SQRT(R526*(Inputs!$F$29-Inputs!$D$29)*(Inputs!$E$29-Inputs!$D$29)),Inputs!$F$29-SQRT((1-R526)*(Inputs!$F$29-Inputs!$D$29)*(Inputs!$F$29-Inputs!$E$29)))</f>
        <v>8.68820156686799</v>
      </c>
      <c r="T526" s="68" t="n">
        <f aca="false">Inputs!$E$9*(1+E526)+Inputs!$E$5*C526*(Inputs!$E$11*Inputs!$E$14*(G526*I526/Inputs!$E$16+(1-G526))*K526+Inputs!$E$23*M526)*(1+O526)+Inputs!$E$5*(Q526+S526)</f>
        <v>7013.46842113495</v>
      </c>
    </row>
    <row r="527" customFormat="false" ht="15" hidden="false" customHeight="false" outlineLevel="0" collapsed="false">
      <c r="A527" s="1" t="n">
        <v>523</v>
      </c>
      <c r="B527" s="81" t="n">
        <f aca="true">RAND()</f>
        <v>0.473205913030081</v>
      </c>
      <c r="C527" s="82" t="n">
        <f aca="false">ROUND(IF(B527&lt;(Inputs!$E$8-Inputs!$D$8)/(Inputs!$F$8-Inputs!$D$8),Inputs!$D$8+SQRT(B527*(Inputs!$F$8-Inputs!$D$8)*(Inputs!$E$8-Inputs!$D$8)),Inputs!$F$8-SQRT((1-B527)*(Inputs!$F$8-Inputs!$D$8)*(Inputs!$F$8-Inputs!$E$8))),0)</f>
        <v>25</v>
      </c>
      <c r="D527" s="81" t="n">
        <f aca="true">RAND()</f>
        <v>0.87445905299258</v>
      </c>
      <c r="E527" s="83" t="n">
        <f aca="false">IF(D527&lt;(Inputs!$E$10-Inputs!$D$10)/(Inputs!$F$10-Inputs!$D$10),Inputs!$D$10+SQRT(D527*(Inputs!$F$10-Inputs!$D$10)*(Inputs!$E$10-Inputs!$D$10)),Inputs!$F$10-SQRT((1-D527)*(Inputs!$F$10-Inputs!$D$10)*(Inputs!$F$10-Inputs!$E$10)))</f>
        <v>0.138630395062192</v>
      </c>
      <c r="F527" s="81" t="n">
        <f aca="true">RAND()</f>
        <v>0.53188427734097</v>
      </c>
      <c r="G527" s="83" t="n">
        <f aca="false">IF(F527&lt;(Inputs!$E$15-Inputs!$D$15)/(Inputs!$F$15-Inputs!$D$15),Inputs!$D$15+SQRT(F527*(Inputs!$F$15-Inputs!$D$15)*(Inputs!$E$15-Inputs!$D$15)),Inputs!$F$15-SQRT((1-F527)*(Inputs!$F$15-Inputs!$D$15)*(Inputs!$F$15-Inputs!$E$15)))</f>
        <v>0.703240946402</v>
      </c>
      <c r="H527" s="81" t="n">
        <f aca="true">RAND()</f>
        <v>0.113398433575137</v>
      </c>
      <c r="I527" s="82" t="n">
        <f aca="false">ROUND(IF(H527&lt;(Inputs!$E$17-Inputs!$D$17)/(Inputs!$F$17-Inputs!$D$17),Inputs!$D$17+SQRT(H527*(Inputs!$F$17-Inputs!$D$17)*(Inputs!$E$17-Inputs!$D$17)),Inputs!$F$17-SQRT((1-H527)*(Inputs!$F$17-Inputs!$D$17)*(Inputs!$F$17-Inputs!$E$17))),0)</f>
        <v>103</v>
      </c>
      <c r="J527" s="81" t="n">
        <f aca="true">RAND()</f>
        <v>0.96077599495005</v>
      </c>
      <c r="K527" s="83" t="n">
        <f aca="false">IF(J527&lt;(Inputs!$E$18-Inputs!$D$18)/(Inputs!$F$18-Inputs!$D$18),Inputs!$D$18+SQRT(J527*(Inputs!$F$18-Inputs!$D$18)*(Inputs!$E$18-Inputs!$D$18)),Inputs!$F$18-SQRT((1-J527)*(Inputs!$F$18-Inputs!$D$18)*(Inputs!$F$18-Inputs!$E$18)))</f>
        <v>1.19141586868553</v>
      </c>
      <c r="L527" s="81" t="n">
        <f aca="true">RAND()</f>
        <v>0.285529548198981</v>
      </c>
      <c r="M527" s="83" t="n">
        <f aca="false">IF(L527&lt;(Inputs!$E$24-Inputs!$D$24)/(Inputs!$F$24-Inputs!$D$24),Inputs!$D$24+SQRT(L527*(Inputs!$F$24-Inputs!$D$24)*(Inputs!$E$24-Inputs!$D$24)),Inputs!$F$24-SQRT((1-L527)*(Inputs!$F$24-Inputs!$D$24)*(Inputs!$F$24-Inputs!$E$24)))</f>
        <v>0.785104148478303</v>
      </c>
      <c r="N527" s="81" t="n">
        <f aca="true">RAND()</f>
        <v>0.660573941490177</v>
      </c>
      <c r="O527" s="83" t="n">
        <f aca="false">IF(N527&lt;(Inputs!$E$26-Inputs!$D$26)/(Inputs!$F$26-Inputs!$D$26),Inputs!$D$26+SQRT(N527*(Inputs!$F$26-Inputs!$D$26)*(Inputs!$E$26-Inputs!$D$26)),Inputs!$F$26-SQRT((1-N527)*(Inputs!$F$26-Inputs!$D$26)*(Inputs!$F$26-Inputs!$E$26)))</f>
        <v>0.632116232513233</v>
      </c>
      <c r="P527" s="81" t="n">
        <f aca="true">RAND()</f>
        <v>0.495392774352964</v>
      </c>
      <c r="Q527" s="82" t="n">
        <f aca="false">IF(P527&lt;(Inputs!$E$27-Inputs!$D$27)/(Inputs!$F$27-Inputs!$D$27),Inputs!$D$27+SQRT(P527*(Inputs!$F$27-Inputs!$D$27)*(Inputs!$E$27-Inputs!$D$27)),Inputs!$F$27-SQRT((1-P527)*(Inputs!$F$27-Inputs!$D$27)*(Inputs!$F$27-Inputs!$E$27)))</f>
        <v>88.4812695811042</v>
      </c>
      <c r="R527" s="81" t="n">
        <f aca="true">RAND()</f>
        <v>0.754742198500279</v>
      </c>
      <c r="S527" s="82" t="n">
        <f aca="false">IF(R527&lt;(Inputs!$E$29-Inputs!$D$29)/(Inputs!$F$29-Inputs!$D$29),Inputs!$D$29+SQRT(R527*(Inputs!$F$29-Inputs!$D$29)*(Inputs!$E$29-Inputs!$D$29)),Inputs!$F$29-SQRT((1-R527)*(Inputs!$F$29-Inputs!$D$29)*(Inputs!$F$29-Inputs!$E$29)))</f>
        <v>9.35345112524794</v>
      </c>
      <c r="T527" s="68" t="n">
        <f aca="false">Inputs!$E$9*(1+E527)+Inputs!$E$5*C527*(Inputs!$E$11*Inputs!$E$14*(G527*I527/Inputs!$E$16+(1-G527))*K527+Inputs!$E$23*M527)*(1+O527)+Inputs!$E$5*(Q527+S527)</f>
        <v>6713.08788776072</v>
      </c>
    </row>
    <row r="528" customFormat="false" ht="15" hidden="false" customHeight="false" outlineLevel="0" collapsed="false">
      <c r="A528" s="1" t="n">
        <v>524</v>
      </c>
      <c r="B528" s="81" t="n">
        <f aca="true">RAND()</f>
        <v>0.264894055369684</v>
      </c>
      <c r="C528" s="82" t="n">
        <f aca="false">ROUND(IF(B528&lt;(Inputs!$E$8-Inputs!$D$8)/(Inputs!$F$8-Inputs!$D$8),Inputs!$D$8+SQRT(B528*(Inputs!$F$8-Inputs!$D$8)*(Inputs!$E$8-Inputs!$D$8)),Inputs!$F$8-SQRT((1-B528)*(Inputs!$F$8-Inputs!$D$8)*(Inputs!$F$8-Inputs!$E$8))),0)</f>
        <v>24</v>
      </c>
      <c r="D528" s="81" t="n">
        <f aca="true">RAND()</f>
        <v>0.290207319776072</v>
      </c>
      <c r="E528" s="83" t="n">
        <f aca="false">IF(D528&lt;(Inputs!$E$10-Inputs!$D$10)/(Inputs!$F$10-Inputs!$D$10),Inputs!$D$10+SQRT(D528*(Inputs!$F$10-Inputs!$D$10)*(Inputs!$E$10-Inputs!$D$10)),Inputs!$F$10-SQRT((1-D528)*(Inputs!$F$10-Inputs!$D$10)*(Inputs!$F$10-Inputs!$E$10)))</f>
        <v>0.0540761143379267</v>
      </c>
      <c r="F528" s="81" t="n">
        <f aca="true">RAND()</f>
        <v>0.455020415181073</v>
      </c>
      <c r="G528" s="83" t="n">
        <f aca="false">IF(F528&lt;(Inputs!$E$15-Inputs!$D$15)/(Inputs!$F$15-Inputs!$D$15),Inputs!$D$15+SQRT(F528*(Inputs!$F$15-Inputs!$D$15)*(Inputs!$E$15-Inputs!$D$15)),Inputs!$F$15-SQRT((1-F528)*(Inputs!$F$15-Inputs!$D$15)*(Inputs!$F$15-Inputs!$E$15)))</f>
        <v>0.695396060210165</v>
      </c>
      <c r="H528" s="81" t="n">
        <f aca="true">RAND()</f>
        <v>0.254303907591323</v>
      </c>
      <c r="I528" s="82" t="n">
        <f aca="false">ROUND(IF(H528&lt;(Inputs!$E$17-Inputs!$D$17)/(Inputs!$F$17-Inputs!$D$17),Inputs!$D$17+SQRT(H528*(Inputs!$F$17-Inputs!$D$17)*(Inputs!$E$17-Inputs!$D$17)),Inputs!$F$17-SQRT((1-H528)*(Inputs!$F$17-Inputs!$D$17)*(Inputs!$F$17-Inputs!$E$17))),0)</f>
        <v>104</v>
      </c>
      <c r="J528" s="81" t="n">
        <f aca="true">RAND()</f>
        <v>0.0818550457173052</v>
      </c>
      <c r="K528" s="83" t="n">
        <f aca="false">IF(J528&lt;(Inputs!$E$18-Inputs!$D$18)/(Inputs!$F$18-Inputs!$D$18),Inputs!$D$18+SQRT(J528*(Inputs!$F$18-Inputs!$D$18)*(Inputs!$E$18-Inputs!$D$18)),Inputs!$F$18-SQRT((1-J528)*(Inputs!$F$18-Inputs!$D$18)*(Inputs!$F$18-Inputs!$E$18)))</f>
        <v>0.95352500910888</v>
      </c>
      <c r="L528" s="81" t="n">
        <f aca="true">RAND()</f>
        <v>0.467690105152306</v>
      </c>
      <c r="M528" s="83" t="n">
        <f aca="false">IF(L528&lt;(Inputs!$E$24-Inputs!$D$24)/(Inputs!$F$24-Inputs!$D$24),Inputs!$D$24+SQRT(L528*(Inputs!$F$24-Inputs!$D$24)*(Inputs!$E$24-Inputs!$D$24)),Inputs!$F$24-SQRT((1-L528)*(Inputs!$F$24-Inputs!$D$24)*(Inputs!$F$24-Inputs!$E$24)))</f>
        <v>0.842572560141997</v>
      </c>
      <c r="N528" s="81" t="n">
        <f aca="true">RAND()</f>
        <v>0.298376498324034</v>
      </c>
      <c r="O528" s="83" t="n">
        <f aca="false">IF(N528&lt;(Inputs!$E$26-Inputs!$D$26)/(Inputs!$F$26-Inputs!$D$26),Inputs!$D$26+SQRT(N528*(Inputs!$F$26-Inputs!$D$26)*(Inputs!$E$26-Inputs!$D$26)),Inputs!$F$26-SQRT((1-N528)*(Inputs!$F$26-Inputs!$D$26)*(Inputs!$F$26-Inputs!$E$26)))</f>
        <v>0.522822461437619</v>
      </c>
      <c r="P528" s="81" t="n">
        <f aca="true">RAND()</f>
        <v>0.387262942922037</v>
      </c>
      <c r="Q528" s="82" t="n">
        <f aca="false">IF(P528&lt;(Inputs!$E$27-Inputs!$D$27)/(Inputs!$F$27-Inputs!$D$27),Inputs!$D$27+SQRT(P528*(Inputs!$F$27-Inputs!$D$27)*(Inputs!$E$27-Inputs!$D$27)),Inputs!$F$27-SQRT((1-P528)*(Inputs!$F$27-Inputs!$D$27)*(Inputs!$F$27-Inputs!$E$27)))</f>
        <v>82.2096767371277</v>
      </c>
      <c r="R528" s="81" t="n">
        <f aca="true">RAND()</f>
        <v>0.320201522915981</v>
      </c>
      <c r="S528" s="82" t="n">
        <f aca="false">IF(R528&lt;(Inputs!$E$29-Inputs!$D$29)/(Inputs!$F$29-Inputs!$D$29),Inputs!$D$29+SQRT(R528*(Inputs!$F$29-Inputs!$D$29)*(Inputs!$E$29-Inputs!$D$29)),Inputs!$F$29-SQRT((1-R528)*(Inputs!$F$29-Inputs!$D$29)*(Inputs!$F$29-Inputs!$E$29)))</f>
        <v>5.59926587861765</v>
      </c>
      <c r="T528" s="68" t="n">
        <f aca="false">Inputs!$E$9*(1+E528)+Inputs!$E$5*C528*(Inputs!$E$11*Inputs!$E$14*(G528*I528/Inputs!$E$16+(1-G528))*K528+Inputs!$E$23*M528)*(1+O528)+Inputs!$E$5*(Q528+S528)</f>
        <v>5722.54488893168</v>
      </c>
    </row>
    <row r="529" customFormat="false" ht="15" hidden="false" customHeight="false" outlineLevel="0" collapsed="false">
      <c r="A529" s="1" t="n">
        <v>525</v>
      </c>
      <c r="B529" s="81" t="n">
        <f aca="true">RAND()</f>
        <v>0.159043719590125</v>
      </c>
      <c r="C529" s="82" t="n">
        <f aca="false">ROUND(IF(B529&lt;(Inputs!$E$8-Inputs!$D$8)/(Inputs!$F$8-Inputs!$D$8),Inputs!$D$8+SQRT(B529*(Inputs!$F$8-Inputs!$D$8)*(Inputs!$E$8-Inputs!$D$8)),Inputs!$F$8-SQRT((1-B529)*(Inputs!$F$8-Inputs!$D$8)*(Inputs!$F$8-Inputs!$E$8))),0)</f>
        <v>23</v>
      </c>
      <c r="D529" s="81" t="n">
        <f aca="true">RAND()</f>
        <v>0.299752455878026</v>
      </c>
      <c r="E529" s="83" t="n">
        <f aca="false">IF(D529&lt;(Inputs!$E$10-Inputs!$D$10)/(Inputs!$F$10-Inputs!$D$10),Inputs!$D$10+SQRT(D529*(Inputs!$F$10-Inputs!$D$10)*(Inputs!$E$10-Inputs!$D$10)),Inputs!$F$10-SQRT((1-D529)*(Inputs!$F$10-Inputs!$D$10)*(Inputs!$F$10-Inputs!$E$10)))</f>
        <v>0.0550606115520725</v>
      </c>
      <c r="F529" s="81" t="n">
        <f aca="true">RAND()</f>
        <v>0.696328994537393</v>
      </c>
      <c r="G529" s="83" t="n">
        <f aca="false">IF(F529&lt;(Inputs!$E$15-Inputs!$D$15)/(Inputs!$F$15-Inputs!$D$15),Inputs!$D$15+SQRT(F529*(Inputs!$F$15-Inputs!$D$15)*(Inputs!$E$15-Inputs!$D$15)),Inputs!$F$15-SQRT((1-F529)*(Inputs!$F$15-Inputs!$D$15)*(Inputs!$F$15-Inputs!$E$15)))</f>
        <v>0.722067849322297</v>
      </c>
      <c r="H529" s="81" t="n">
        <f aca="true">RAND()</f>
        <v>0.905938548905791</v>
      </c>
      <c r="I529" s="82" t="n">
        <f aca="false">ROUND(IF(H529&lt;(Inputs!$E$17-Inputs!$D$17)/(Inputs!$F$17-Inputs!$D$17),Inputs!$D$17+SQRT(H529*(Inputs!$F$17-Inputs!$D$17)*(Inputs!$E$17-Inputs!$D$17)),Inputs!$F$17-SQRT((1-H529)*(Inputs!$F$17-Inputs!$D$17)*(Inputs!$F$17-Inputs!$E$17))),0)</f>
        <v>111</v>
      </c>
      <c r="J529" s="81" t="n">
        <f aca="true">RAND()</f>
        <v>0.291074876798783</v>
      </c>
      <c r="K529" s="83" t="n">
        <f aca="false">IF(J529&lt;(Inputs!$E$18-Inputs!$D$18)/(Inputs!$F$18-Inputs!$D$18),Inputs!$D$18+SQRT(J529*(Inputs!$F$18-Inputs!$D$18)*(Inputs!$E$18-Inputs!$D$18)),Inputs!$F$18-SQRT((1-J529)*(Inputs!$F$18-Inputs!$D$18)*(Inputs!$F$18-Inputs!$E$18)))</f>
        <v>1.00093987015159</v>
      </c>
      <c r="L529" s="81" t="n">
        <f aca="true">RAND()</f>
        <v>0.363209382621835</v>
      </c>
      <c r="M529" s="83" t="n">
        <f aca="false">IF(L529&lt;(Inputs!$E$24-Inputs!$D$24)/(Inputs!$F$24-Inputs!$D$24),Inputs!$D$24+SQRT(L529*(Inputs!$F$24-Inputs!$D$24)*(Inputs!$E$24-Inputs!$D$24)),Inputs!$F$24-SQRT((1-L529)*(Inputs!$F$24-Inputs!$D$24)*(Inputs!$F$24-Inputs!$E$24)))</f>
        <v>0.809065544917361</v>
      </c>
      <c r="N529" s="81" t="n">
        <f aca="true">RAND()</f>
        <v>0.848041567993078</v>
      </c>
      <c r="O529" s="83" t="n">
        <f aca="false">IF(N529&lt;(Inputs!$E$26-Inputs!$D$26)/(Inputs!$F$26-Inputs!$D$26),Inputs!$D$26+SQRT(N529*(Inputs!$F$26-Inputs!$D$26)*(Inputs!$E$26-Inputs!$D$26)),Inputs!$F$26-SQRT((1-N529)*(Inputs!$F$26-Inputs!$D$26)*(Inputs!$F$26-Inputs!$E$26)))</f>
        <v>0.694287323913935</v>
      </c>
      <c r="P529" s="81" t="n">
        <f aca="true">RAND()</f>
        <v>0.882988666581139</v>
      </c>
      <c r="Q529" s="82" t="n">
        <f aca="false">IF(P529&lt;(Inputs!$E$27-Inputs!$D$27)/(Inputs!$F$27-Inputs!$D$27),Inputs!$D$27+SQRT(P529*(Inputs!$F$27-Inputs!$D$27)*(Inputs!$E$27-Inputs!$D$27)),Inputs!$F$27-SQRT((1-P529)*(Inputs!$F$27-Inputs!$D$27)*(Inputs!$F$27-Inputs!$E$27)))</f>
        <v>120.375938822615</v>
      </c>
      <c r="R529" s="81" t="n">
        <f aca="true">RAND()</f>
        <v>0.367790727022997</v>
      </c>
      <c r="S529" s="82" t="n">
        <f aca="false">IF(R529&lt;(Inputs!$E$29-Inputs!$D$29)/(Inputs!$F$29-Inputs!$D$29),Inputs!$D$29+SQRT(R529*(Inputs!$F$29-Inputs!$D$29)*(Inputs!$E$29-Inputs!$D$29)),Inputs!$F$29-SQRT((1-R529)*(Inputs!$F$29-Inputs!$D$29)*(Inputs!$F$29-Inputs!$E$29)))</f>
        <v>5.9342840609795</v>
      </c>
      <c r="T529" s="68" t="n">
        <f aca="false">Inputs!$E$9*(1+E529)+Inputs!$E$5*C529*(Inputs!$E$11*Inputs!$E$14*(G529*I529/Inputs!$E$16+(1-G529))*K529+Inputs!$E$23*M529)*(1+O529)+Inputs!$E$5*(Q529+S529)</f>
        <v>6212.99457708029</v>
      </c>
    </row>
    <row r="530" customFormat="false" ht="15" hidden="false" customHeight="false" outlineLevel="0" collapsed="false">
      <c r="A530" s="1" t="n">
        <v>526</v>
      </c>
      <c r="B530" s="81" t="n">
        <f aca="true">RAND()</f>
        <v>0.0824766802397525</v>
      </c>
      <c r="C530" s="82" t="n">
        <f aca="false">ROUND(IF(B530&lt;(Inputs!$E$8-Inputs!$D$8)/(Inputs!$F$8-Inputs!$D$8),Inputs!$D$8+SQRT(B530*(Inputs!$F$8-Inputs!$D$8)*(Inputs!$E$8-Inputs!$D$8)),Inputs!$F$8-SQRT((1-B530)*(Inputs!$F$8-Inputs!$D$8)*(Inputs!$F$8-Inputs!$E$8))),0)</f>
        <v>22</v>
      </c>
      <c r="D530" s="81" t="n">
        <f aca="true">RAND()</f>
        <v>0.446464887418281</v>
      </c>
      <c r="E530" s="83" t="n">
        <f aca="false">IF(D530&lt;(Inputs!$E$10-Inputs!$D$10)/(Inputs!$F$10-Inputs!$D$10),Inputs!$D$10+SQRT(D530*(Inputs!$F$10-Inputs!$D$10)*(Inputs!$E$10-Inputs!$D$10)),Inputs!$F$10-SQRT((1-D530)*(Inputs!$F$10-Inputs!$D$10)*(Inputs!$F$10-Inputs!$E$10)))</f>
        <v>0.0711355232135265</v>
      </c>
      <c r="F530" s="81" t="n">
        <f aca="true">RAND()</f>
        <v>0.757532079372322</v>
      </c>
      <c r="G530" s="83" t="n">
        <f aca="false">IF(F530&lt;(Inputs!$E$15-Inputs!$D$15)/(Inputs!$F$15-Inputs!$D$15),Inputs!$D$15+SQRT(F530*(Inputs!$F$15-Inputs!$D$15)*(Inputs!$E$15-Inputs!$D$15)),Inputs!$F$15-SQRT((1-F530)*(Inputs!$F$15-Inputs!$D$15)*(Inputs!$F$15-Inputs!$E$15)))</f>
        <v>0.730362665095844</v>
      </c>
      <c r="H530" s="81" t="n">
        <f aca="true">RAND()</f>
        <v>0.609287957314177</v>
      </c>
      <c r="I530" s="82" t="n">
        <f aca="false">ROUND(IF(H530&lt;(Inputs!$E$17-Inputs!$D$17)/(Inputs!$F$17-Inputs!$D$17),Inputs!$D$17+SQRT(H530*(Inputs!$F$17-Inputs!$D$17)*(Inputs!$E$17-Inputs!$D$17)),Inputs!$F$17-SQRT((1-H530)*(Inputs!$F$17-Inputs!$D$17)*(Inputs!$F$17-Inputs!$E$17))),0)</f>
        <v>107</v>
      </c>
      <c r="J530" s="81" t="n">
        <f aca="true">RAND()</f>
        <v>0.531415585535269</v>
      </c>
      <c r="K530" s="83" t="n">
        <f aca="false">IF(J530&lt;(Inputs!$E$18-Inputs!$D$18)/(Inputs!$F$18-Inputs!$D$18),Inputs!$D$18+SQRT(J530*(Inputs!$F$18-Inputs!$D$18)*(Inputs!$E$18-Inputs!$D$18)),Inputs!$F$18-SQRT((1-J530)*(Inputs!$F$18-Inputs!$D$18)*(Inputs!$F$18-Inputs!$E$18)))</f>
        <v>1.04751262689821</v>
      </c>
      <c r="L530" s="81" t="n">
        <f aca="true">RAND()</f>
        <v>0.428212980096515</v>
      </c>
      <c r="M530" s="83" t="n">
        <f aca="false">IF(L530&lt;(Inputs!$E$24-Inputs!$D$24)/(Inputs!$F$24-Inputs!$D$24),Inputs!$D$24+SQRT(L530*(Inputs!$F$24-Inputs!$D$24)*(Inputs!$E$24-Inputs!$D$24)),Inputs!$F$24-SQRT((1-L530)*(Inputs!$F$24-Inputs!$D$24)*(Inputs!$F$24-Inputs!$E$24)))</f>
        <v>0.82955582771916</v>
      </c>
      <c r="N530" s="81" t="n">
        <f aca="true">RAND()</f>
        <v>0.012807496164739</v>
      </c>
      <c r="O530" s="83" t="n">
        <f aca="false">IF(N530&lt;(Inputs!$E$26-Inputs!$D$26)/(Inputs!$F$26-Inputs!$D$26),Inputs!$D$26+SQRT(N530*(Inputs!$F$26-Inputs!$D$26)*(Inputs!$E$26-Inputs!$D$26)),Inputs!$F$26-SQRT((1-N530)*(Inputs!$F$26-Inputs!$D$26)*(Inputs!$F$26-Inputs!$E$26)))</f>
        <v>0.346164568251123</v>
      </c>
      <c r="P530" s="81" t="n">
        <f aca="true">RAND()</f>
        <v>0.713304850947897</v>
      </c>
      <c r="Q530" s="82" t="n">
        <f aca="false">IF(P530&lt;(Inputs!$E$27-Inputs!$D$27)/(Inputs!$F$27-Inputs!$D$27),Inputs!$D$27+SQRT(P530*(Inputs!$F$27-Inputs!$D$27)*(Inputs!$E$27-Inputs!$D$27)),Inputs!$F$27-SQRT((1-P530)*(Inputs!$F$27-Inputs!$D$27)*(Inputs!$F$27-Inputs!$E$27)))</f>
        <v>103.629604078779</v>
      </c>
      <c r="R530" s="81" t="n">
        <f aca="true">RAND()</f>
        <v>0.616180228464041</v>
      </c>
      <c r="S530" s="82" t="n">
        <f aca="false">IF(R530&lt;(Inputs!$E$29-Inputs!$D$29)/(Inputs!$F$29-Inputs!$D$29),Inputs!$D$29+SQRT(R530*(Inputs!$F$29-Inputs!$D$29)*(Inputs!$E$29-Inputs!$D$29)),Inputs!$F$29-SQRT((1-R530)*(Inputs!$F$29-Inputs!$D$29)*(Inputs!$F$29-Inputs!$E$29)))</f>
        <v>7.93624955850827</v>
      </c>
      <c r="T530" s="68" t="n">
        <f aca="false">Inputs!$E$9*(1+E530)+Inputs!$E$5*C530*(Inputs!$E$11*Inputs!$E$14*(G530*I530/Inputs!$E$16+(1-G530))*K530+Inputs!$E$23*M530)*(1+O530)+Inputs!$E$5*(Q530+S530)</f>
        <v>5443.64066717116</v>
      </c>
    </row>
    <row r="531" customFormat="false" ht="15" hidden="false" customHeight="false" outlineLevel="0" collapsed="false">
      <c r="A531" s="1" t="n">
        <v>527</v>
      </c>
      <c r="B531" s="81" t="n">
        <f aca="true">RAND()</f>
        <v>0.699352352494163</v>
      </c>
      <c r="C531" s="82" t="n">
        <f aca="false">ROUND(IF(B531&lt;(Inputs!$E$8-Inputs!$D$8)/(Inputs!$F$8-Inputs!$D$8),Inputs!$D$8+SQRT(B531*(Inputs!$F$8-Inputs!$D$8)*(Inputs!$E$8-Inputs!$D$8)),Inputs!$F$8-SQRT((1-B531)*(Inputs!$F$8-Inputs!$D$8)*(Inputs!$F$8-Inputs!$E$8))),0)</f>
        <v>26</v>
      </c>
      <c r="D531" s="81" t="n">
        <f aca="true">RAND()</f>
        <v>0.684905448014468</v>
      </c>
      <c r="E531" s="83" t="n">
        <f aca="false">IF(D531&lt;(Inputs!$E$10-Inputs!$D$10)/(Inputs!$F$10-Inputs!$D$10),Inputs!$D$10+SQRT(D531*(Inputs!$F$10-Inputs!$D$10)*(Inputs!$E$10-Inputs!$D$10)),Inputs!$F$10-SQRT((1-D531)*(Inputs!$F$10-Inputs!$D$10)*(Inputs!$F$10-Inputs!$E$10)))</f>
        <v>0.102774300930433</v>
      </c>
      <c r="F531" s="81" t="n">
        <f aca="true">RAND()</f>
        <v>0.764841891659567</v>
      </c>
      <c r="G531" s="83" t="n">
        <f aca="false">IF(F531&lt;(Inputs!$E$15-Inputs!$D$15)/(Inputs!$F$15-Inputs!$D$15),Inputs!$D$15+SQRT(F531*(Inputs!$F$15-Inputs!$D$15)*(Inputs!$E$15-Inputs!$D$15)),Inputs!$F$15-SQRT((1-F531)*(Inputs!$F$15-Inputs!$D$15)*(Inputs!$F$15-Inputs!$E$15)))</f>
        <v>0.731420395402068</v>
      </c>
      <c r="H531" s="81" t="n">
        <f aca="true">RAND()</f>
        <v>0.0924040994863411</v>
      </c>
      <c r="I531" s="82" t="n">
        <f aca="false">ROUND(IF(H531&lt;(Inputs!$E$17-Inputs!$D$17)/(Inputs!$F$17-Inputs!$D$17),Inputs!$D$17+SQRT(H531*(Inputs!$F$17-Inputs!$D$17)*(Inputs!$E$17-Inputs!$D$17)),Inputs!$F$17-SQRT((1-H531)*(Inputs!$F$17-Inputs!$D$17)*(Inputs!$F$17-Inputs!$E$17))),0)</f>
        <v>103</v>
      </c>
      <c r="J531" s="81" t="n">
        <f aca="true">RAND()</f>
        <v>0.188804516418974</v>
      </c>
      <c r="K531" s="83" t="n">
        <f aca="false">IF(J531&lt;(Inputs!$E$18-Inputs!$D$18)/(Inputs!$F$18-Inputs!$D$18),Inputs!$D$18+SQRT(J531*(Inputs!$F$18-Inputs!$D$18)*(Inputs!$E$18-Inputs!$D$18)),Inputs!$F$18-SQRT((1-J531)*(Inputs!$F$18-Inputs!$D$18)*(Inputs!$F$18-Inputs!$E$18)))</f>
        <v>0.981290578019006</v>
      </c>
      <c r="L531" s="81" t="n">
        <f aca="true">RAND()</f>
        <v>0.969628571901996</v>
      </c>
      <c r="M531" s="83" t="n">
        <f aca="false">IF(L531&lt;(Inputs!$E$24-Inputs!$D$24)/(Inputs!$F$24-Inputs!$D$24),Inputs!$D$24+SQRT(L531*(Inputs!$F$24-Inputs!$D$24)*(Inputs!$E$24-Inputs!$D$24)),Inputs!$F$24-SQRT((1-L531)*(Inputs!$F$24-Inputs!$D$24)*(Inputs!$F$24-Inputs!$E$24)))</f>
        <v>1.11462352347677</v>
      </c>
      <c r="N531" s="81" t="n">
        <f aca="true">RAND()</f>
        <v>0.175652911754635</v>
      </c>
      <c r="O531" s="83" t="n">
        <f aca="false">IF(N531&lt;(Inputs!$E$26-Inputs!$D$26)/(Inputs!$F$26-Inputs!$D$26),Inputs!$D$26+SQRT(N531*(Inputs!$F$26-Inputs!$D$26)*(Inputs!$E$26-Inputs!$D$26)),Inputs!$F$26-SQRT((1-N531)*(Inputs!$F$26-Inputs!$D$26)*(Inputs!$F$26-Inputs!$E$26)))</f>
        <v>0.470963869036622</v>
      </c>
      <c r="P531" s="81" t="n">
        <f aca="true">RAND()</f>
        <v>0.951064509019875</v>
      </c>
      <c r="Q531" s="82" t="n">
        <f aca="false">IF(P531&lt;(Inputs!$E$27-Inputs!$D$27)/(Inputs!$F$27-Inputs!$D$27),Inputs!$D$27+SQRT(P531*(Inputs!$F$27-Inputs!$D$27)*(Inputs!$E$27-Inputs!$D$27)),Inputs!$F$27-SQRT((1-P531)*(Inputs!$F$27-Inputs!$D$27)*(Inputs!$F$27-Inputs!$E$27)))</f>
        <v>130.842333588066</v>
      </c>
      <c r="R531" s="81" t="n">
        <f aca="true">RAND()</f>
        <v>0.00748440308492883</v>
      </c>
      <c r="S531" s="82" t="n">
        <f aca="false">IF(R531&lt;(Inputs!$E$29-Inputs!$D$29)/(Inputs!$F$29-Inputs!$D$29),Inputs!$D$29+SQRT(R531*(Inputs!$F$29-Inputs!$D$29)*(Inputs!$E$29-Inputs!$D$29)),Inputs!$F$29-SQRT((1-R531)*(Inputs!$F$29-Inputs!$D$29)*(Inputs!$F$29-Inputs!$E$29)))</f>
        <v>2.54027004387827</v>
      </c>
      <c r="T531" s="68" t="n">
        <f aca="false">Inputs!$E$9*(1+E531)+Inputs!$E$5*C531*(Inputs!$E$11*Inputs!$E$14*(G531*I531/Inputs!$E$16+(1-G531))*K531+Inputs!$E$23*M531)*(1+O531)+Inputs!$E$5*(Q531+S531)</f>
        <v>6566.03134918534</v>
      </c>
    </row>
    <row r="532" customFormat="false" ht="15" hidden="false" customHeight="false" outlineLevel="0" collapsed="false">
      <c r="A532" s="1" t="n">
        <v>528</v>
      </c>
      <c r="B532" s="81" t="n">
        <f aca="true">RAND()</f>
        <v>0.433311451153789</v>
      </c>
      <c r="C532" s="82" t="n">
        <f aca="false">ROUND(IF(B532&lt;(Inputs!$E$8-Inputs!$D$8)/(Inputs!$F$8-Inputs!$D$8),Inputs!$D$8+SQRT(B532*(Inputs!$F$8-Inputs!$D$8)*(Inputs!$E$8-Inputs!$D$8)),Inputs!$F$8-SQRT((1-B532)*(Inputs!$F$8-Inputs!$D$8)*(Inputs!$F$8-Inputs!$E$8))),0)</f>
        <v>25</v>
      </c>
      <c r="D532" s="81" t="n">
        <f aca="true">RAND()</f>
        <v>0.964594941721405</v>
      </c>
      <c r="E532" s="83" t="n">
        <f aca="false">IF(D532&lt;(Inputs!$E$10-Inputs!$D$10)/(Inputs!$F$10-Inputs!$D$10),Inputs!$D$10+SQRT(D532*(Inputs!$F$10-Inputs!$D$10)*(Inputs!$E$10-Inputs!$D$10)),Inputs!$F$10-SQRT((1-D532)*(Inputs!$F$10-Inputs!$D$10)*(Inputs!$F$10-Inputs!$E$10)))</f>
        <v>0.167409330348122</v>
      </c>
      <c r="F532" s="81" t="n">
        <f aca="true">RAND()</f>
        <v>0.600869643774001</v>
      </c>
      <c r="G532" s="83" t="n">
        <f aca="false">IF(F532&lt;(Inputs!$E$15-Inputs!$D$15)/(Inputs!$F$15-Inputs!$D$15),Inputs!$D$15+SQRT(F532*(Inputs!$F$15-Inputs!$D$15)*(Inputs!$E$15-Inputs!$D$15)),Inputs!$F$15-SQRT((1-F532)*(Inputs!$F$15-Inputs!$D$15)*(Inputs!$F$15-Inputs!$E$15)))</f>
        <v>0.71065456293397</v>
      </c>
      <c r="H532" s="81" t="n">
        <f aca="true">RAND()</f>
        <v>0.642180443052464</v>
      </c>
      <c r="I532" s="82" t="n">
        <f aca="false">ROUND(IF(H532&lt;(Inputs!$E$17-Inputs!$D$17)/(Inputs!$F$17-Inputs!$D$17),Inputs!$D$17+SQRT(H532*(Inputs!$F$17-Inputs!$D$17)*(Inputs!$E$17-Inputs!$D$17)),Inputs!$F$17-SQRT((1-H532)*(Inputs!$F$17-Inputs!$D$17)*(Inputs!$F$17-Inputs!$E$17))),0)</f>
        <v>108</v>
      </c>
      <c r="J532" s="81" t="n">
        <f aca="true">RAND()</f>
        <v>0.925618773283354</v>
      </c>
      <c r="K532" s="83" t="n">
        <f aca="false">IF(J532&lt;(Inputs!$E$18-Inputs!$D$18)/(Inputs!$F$18-Inputs!$D$18),Inputs!$D$18+SQRT(J532*(Inputs!$F$18-Inputs!$D$18)*(Inputs!$E$18-Inputs!$D$18)),Inputs!$F$18-SQRT((1-J532)*(Inputs!$F$18-Inputs!$D$18)*(Inputs!$F$18-Inputs!$E$18)))</f>
        <v>1.16932560915813</v>
      </c>
      <c r="L532" s="81" t="n">
        <f aca="true">RAND()</f>
        <v>0.905068958625163</v>
      </c>
      <c r="M532" s="83" t="n">
        <f aca="false">IF(L532&lt;(Inputs!$E$24-Inputs!$D$24)/(Inputs!$F$24-Inputs!$D$24),Inputs!$D$24+SQRT(L532*(Inputs!$F$24-Inputs!$D$24)*(Inputs!$E$24-Inputs!$D$24)),Inputs!$F$24-SQRT((1-L532)*(Inputs!$F$24-Inputs!$D$24)*(Inputs!$F$24-Inputs!$E$24)))</f>
        <v>1.04905812400145</v>
      </c>
      <c r="N532" s="81" t="n">
        <f aca="true">RAND()</f>
        <v>0.191649547099054</v>
      </c>
      <c r="O532" s="83" t="n">
        <f aca="false">IF(N532&lt;(Inputs!$E$26-Inputs!$D$26)/(Inputs!$F$26-Inputs!$D$26),Inputs!$D$26+SQRT(N532*(Inputs!$F$26-Inputs!$D$26)*(Inputs!$E$26-Inputs!$D$26)),Inputs!$F$26-SQRT((1-N532)*(Inputs!$F$26-Inputs!$D$26)*(Inputs!$F$26-Inputs!$E$26)))</f>
        <v>0.478579071106562</v>
      </c>
      <c r="P532" s="81" t="n">
        <f aca="true">RAND()</f>
        <v>0.132030308099008</v>
      </c>
      <c r="Q532" s="82" t="n">
        <f aca="false">IF(P532&lt;(Inputs!$E$27-Inputs!$D$27)/(Inputs!$F$27-Inputs!$D$27),Inputs!$D$27+SQRT(P532*(Inputs!$F$27-Inputs!$D$27)*(Inputs!$E$27-Inputs!$D$27)),Inputs!$F$27-SQRT((1-P532)*(Inputs!$F$27-Inputs!$D$27)*(Inputs!$F$27-Inputs!$E$27)))</f>
        <v>68.1679875123119</v>
      </c>
      <c r="R532" s="81" t="n">
        <f aca="true">RAND()</f>
        <v>0.417299349386005</v>
      </c>
      <c r="S532" s="82" t="n">
        <f aca="false">IF(R532&lt;(Inputs!$E$29-Inputs!$D$29)/(Inputs!$F$29-Inputs!$D$29),Inputs!$D$29+SQRT(R532*(Inputs!$F$29-Inputs!$D$29)*(Inputs!$E$29-Inputs!$D$29)),Inputs!$F$29-SQRT((1-R532)*(Inputs!$F$29-Inputs!$D$29)*(Inputs!$F$29-Inputs!$E$29)))</f>
        <v>6.29649009997579</v>
      </c>
      <c r="T532" s="68" t="n">
        <f aca="false">Inputs!$E$9*(1+E532)+Inputs!$E$5*C532*(Inputs!$E$11*Inputs!$E$14*(G532*I532/Inputs!$E$16+(1-G532))*K532+Inputs!$E$23*M532)*(1+O532)+Inputs!$E$5*(Q532+S532)</f>
        <v>6667.26398375058</v>
      </c>
    </row>
    <row r="533" customFormat="false" ht="15" hidden="false" customHeight="false" outlineLevel="0" collapsed="false">
      <c r="A533" s="1" t="n">
        <v>529</v>
      </c>
      <c r="B533" s="81" t="n">
        <f aca="true">RAND()</f>
        <v>0.724950776416802</v>
      </c>
      <c r="C533" s="82" t="n">
        <f aca="false">ROUND(IF(B533&lt;(Inputs!$E$8-Inputs!$D$8)/(Inputs!$F$8-Inputs!$D$8),Inputs!$D$8+SQRT(B533*(Inputs!$F$8-Inputs!$D$8)*(Inputs!$E$8-Inputs!$D$8)),Inputs!$F$8-SQRT((1-B533)*(Inputs!$F$8-Inputs!$D$8)*(Inputs!$F$8-Inputs!$E$8))),0)</f>
        <v>26</v>
      </c>
      <c r="D533" s="81" t="n">
        <f aca="true">RAND()</f>
        <v>0.669478601117724</v>
      </c>
      <c r="E533" s="83" t="n">
        <f aca="false">IF(D533&lt;(Inputs!$E$10-Inputs!$D$10)/(Inputs!$F$10-Inputs!$D$10),Inputs!$D$10+SQRT(D533*(Inputs!$F$10-Inputs!$D$10)*(Inputs!$E$10-Inputs!$D$10)),Inputs!$F$10-SQRT((1-D533)*(Inputs!$F$10-Inputs!$D$10)*(Inputs!$F$10-Inputs!$E$10)))</f>
        <v>0.100422683474256</v>
      </c>
      <c r="F533" s="81" t="n">
        <f aca="true">RAND()</f>
        <v>0.250981304191827</v>
      </c>
      <c r="G533" s="83" t="n">
        <f aca="false">IF(F533&lt;(Inputs!$E$15-Inputs!$D$15)/(Inputs!$F$15-Inputs!$D$15),Inputs!$D$15+SQRT(F533*(Inputs!$F$15-Inputs!$D$15)*(Inputs!$E$15-Inputs!$D$15)),Inputs!$F$15-SQRT((1-F533)*(Inputs!$F$15-Inputs!$D$15)*(Inputs!$F$15-Inputs!$E$15)))</f>
        <v>0.670849319572149</v>
      </c>
      <c r="H533" s="81" t="n">
        <f aca="true">RAND()</f>
        <v>0.777266906353277</v>
      </c>
      <c r="I533" s="82" t="n">
        <f aca="false">ROUND(IF(H533&lt;(Inputs!$E$17-Inputs!$D$17)/(Inputs!$F$17-Inputs!$D$17),Inputs!$D$17+SQRT(H533*(Inputs!$F$17-Inputs!$D$17)*(Inputs!$E$17-Inputs!$D$17)),Inputs!$F$17-SQRT((1-H533)*(Inputs!$F$17-Inputs!$D$17)*(Inputs!$F$17-Inputs!$E$17))),0)</f>
        <v>109</v>
      </c>
      <c r="J533" s="81" t="n">
        <f aca="true">RAND()</f>
        <v>0.818560222528156</v>
      </c>
      <c r="K533" s="83" t="n">
        <f aca="false">IF(J533&lt;(Inputs!$E$18-Inputs!$D$18)/(Inputs!$F$18-Inputs!$D$18),Inputs!$D$18+SQRT(J533*(Inputs!$F$18-Inputs!$D$18)*(Inputs!$E$18-Inputs!$D$18)),Inputs!$F$18-SQRT((1-J533)*(Inputs!$F$18-Inputs!$D$18)*(Inputs!$F$18-Inputs!$E$18)))</f>
        <v>1.12400007726674</v>
      </c>
      <c r="L533" s="81" t="n">
        <f aca="true">RAND()</f>
        <v>0.931634635794989</v>
      </c>
      <c r="M533" s="83" t="n">
        <f aca="false">IF(L533&lt;(Inputs!$E$24-Inputs!$D$24)/(Inputs!$F$24-Inputs!$D$24),Inputs!$D$24+SQRT(L533*(Inputs!$F$24-Inputs!$D$24)*(Inputs!$E$24-Inputs!$D$24)),Inputs!$F$24-SQRT((1-L533)*(Inputs!$F$24-Inputs!$D$24)*(Inputs!$F$24-Inputs!$E$24)))</f>
        <v>1.07190750447742</v>
      </c>
      <c r="N533" s="81" t="n">
        <f aca="true">RAND()</f>
        <v>0.356163899918445</v>
      </c>
      <c r="O533" s="83" t="n">
        <f aca="false">IF(N533&lt;(Inputs!$E$26-Inputs!$D$26)/(Inputs!$F$26-Inputs!$D$26),Inputs!$D$26+SQRT(N533*(Inputs!$F$26-Inputs!$D$26)*(Inputs!$E$26-Inputs!$D$26)),Inputs!$F$26-SQRT((1-N533)*(Inputs!$F$26-Inputs!$D$26)*(Inputs!$F$26-Inputs!$E$26)))</f>
        <v>0.543445420877924</v>
      </c>
      <c r="P533" s="81" t="n">
        <f aca="true">RAND()</f>
        <v>0.0735111309730361</v>
      </c>
      <c r="Q533" s="82" t="n">
        <f aca="false">IF(P533&lt;(Inputs!$E$27-Inputs!$D$27)/(Inputs!$F$27-Inputs!$D$27),Inputs!$D$27+SQRT(P533*(Inputs!$F$27-Inputs!$D$27)*(Inputs!$E$27-Inputs!$D$27)),Inputs!$F$27-SQRT((1-P533)*(Inputs!$F$27-Inputs!$D$27)*(Inputs!$F$27-Inputs!$E$27)))</f>
        <v>63.556468103182</v>
      </c>
      <c r="R533" s="81" t="n">
        <f aca="true">RAND()</f>
        <v>0.314658555901381</v>
      </c>
      <c r="S533" s="82" t="n">
        <f aca="false">IF(R533&lt;(Inputs!$E$29-Inputs!$D$29)/(Inputs!$F$29-Inputs!$D$29),Inputs!$D$29+SQRT(R533*(Inputs!$F$29-Inputs!$D$29)*(Inputs!$E$29-Inputs!$D$29)),Inputs!$F$29-SQRT((1-R533)*(Inputs!$F$29-Inputs!$D$29)*(Inputs!$F$29-Inputs!$E$29)))</f>
        <v>5.56101765374993</v>
      </c>
      <c r="T533" s="68" t="n">
        <f aca="false">Inputs!$E$9*(1+E533)+Inputs!$E$5*C533*(Inputs!$E$11*Inputs!$E$14*(G533*I533/Inputs!$E$16+(1-G533))*K533+Inputs!$E$23*M533)*(1+O533)+Inputs!$E$5*(Q533+S533)</f>
        <v>6816.44688663677</v>
      </c>
    </row>
    <row r="534" customFormat="false" ht="15" hidden="false" customHeight="false" outlineLevel="0" collapsed="false">
      <c r="A534" s="1" t="n">
        <v>530</v>
      </c>
      <c r="B534" s="81" t="n">
        <f aca="true">RAND()</f>
        <v>0.94580526317689</v>
      </c>
      <c r="C534" s="82" t="n">
        <f aca="false">ROUND(IF(B534&lt;(Inputs!$E$8-Inputs!$D$8)/(Inputs!$F$8-Inputs!$D$8),Inputs!$D$8+SQRT(B534*(Inputs!$F$8-Inputs!$D$8)*(Inputs!$E$8-Inputs!$D$8)),Inputs!$F$8-SQRT((1-B534)*(Inputs!$F$8-Inputs!$D$8)*(Inputs!$F$8-Inputs!$E$8))),0)</f>
        <v>28</v>
      </c>
      <c r="D534" s="81" t="n">
        <f aca="true">RAND()</f>
        <v>0.488428098674811</v>
      </c>
      <c r="E534" s="83" t="n">
        <f aca="false">IF(D534&lt;(Inputs!$E$10-Inputs!$D$10)/(Inputs!$F$10-Inputs!$D$10),Inputs!$D$10+SQRT(D534*(Inputs!$F$10-Inputs!$D$10)*(Inputs!$E$10-Inputs!$D$10)),Inputs!$F$10-SQRT((1-D534)*(Inputs!$F$10-Inputs!$D$10)*(Inputs!$F$10-Inputs!$E$10)))</f>
        <v>0.0761163568514565</v>
      </c>
      <c r="F534" s="81" t="n">
        <f aca="true">RAND()</f>
        <v>0.235240668645047</v>
      </c>
      <c r="G534" s="83" t="n">
        <f aca="false">IF(F534&lt;(Inputs!$E$15-Inputs!$D$15)/(Inputs!$F$15-Inputs!$D$15),Inputs!$D$15+SQRT(F534*(Inputs!$F$15-Inputs!$D$15)*(Inputs!$E$15-Inputs!$D$15)),Inputs!$F$15-SQRT((1-F534)*(Inputs!$F$15-Inputs!$D$15)*(Inputs!$F$15-Inputs!$E$15)))</f>
        <v>0.668591642150491</v>
      </c>
      <c r="H534" s="81" t="n">
        <f aca="true">RAND()</f>
        <v>0.00985063415111504</v>
      </c>
      <c r="I534" s="82" t="n">
        <f aca="false">ROUND(IF(H534&lt;(Inputs!$E$17-Inputs!$D$17)/(Inputs!$F$17-Inputs!$D$17),Inputs!$D$17+SQRT(H534*(Inputs!$F$17-Inputs!$D$17)*(Inputs!$E$17-Inputs!$D$17)),Inputs!$F$17-SQRT((1-H534)*(Inputs!$F$17-Inputs!$D$17)*(Inputs!$F$17-Inputs!$E$17))),0)</f>
        <v>101</v>
      </c>
      <c r="J534" s="81" t="n">
        <f aca="true">RAND()</f>
        <v>0.43312586944652</v>
      </c>
      <c r="K534" s="83" t="n">
        <f aca="false">IF(J534&lt;(Inputs!$E$18-Inputs!$D$18)/(Inputs!$F$18-Inputs!$D$18),Inputs!$D$18+SQRT(J534*(Inputs!$F$18-Inputs!$D$18)*(Inputs!$E$18-Inputs!$D$18)),Inputs!$F$18-SQRT((1-J534)*(Inputs!$F$18-Inputs!$D$18)*(Inputs!$F$18-Inputs!$E$18)))</f>
        <v>1.02728608839269</v>
      </c>
      <c r="L534" s="81" t="n">
        <f aca="true">RAND()</f>
        <v>0.0532048253167455</v>
      </c>
      <c r="M534" s="83" t="n">
        <f aca="false">IF(L534&lt;(Inputs!$E$24-Inputs!$D$24)/(Inputs!$F$24-Inputs!$D$24),Inputs!$D$24+SQRT(L534*(Inputs!$F$24-Inputs!$D$24)*(Inputs!$E$24-Inputs!$D$24)),Inputs!$F$24-SQRT((1-L534)*(Inputs!$F$24-Inputs!$D$24)*(Inputs!$F$24-Inputs!$E$24)))</f>
        <v>0.679903560859385</v>
      </c>
      <c r="N534" s="81" t="n">
        <f aca="true">RAND()</f>
        <v>0.851732913009553</v>
      </c>
      <c r="O534" s="83" t="n">
        <f aca="false">IF(N534&lt;(Inputs!$E$26-Inputs!$D$26)/(Inputs!$F$26-Inputs!$D$26),Inputs!$D$26+SQRT(N534*(Inputs!$F$26-Inputs!$D$26)*(Inputs!$E$26-Inputs!$D$26)),Inputs!$F$26-SQRT((1-N534)*(Inputs!$F$26-Inputs!$D$26)*(Inputs!$F$26-Inputs!$E$26)))</f>
        <v>0.695823605113506</v>
      </c>
      <c r="P534" s="81" t="n">
        <f aca="true">RAND()</f>
        <v>0.233760873121983</v>
      </c>
      <c r="Q534" s="82" t="n">
        <f aca="false">IF(P534&lt;(Inputs!$E$27-Inputs!$D$27)/(Inputs!$F$27-Inputs!$D$27),Inputs!$D$27+SQRT(P534*(Inputs!$F$27-Inputs!$D$27)*(Inputs!$E$27-Inputs!$D$27)),Inputs!$F$27-SQRT((1-P534)*(Inputs!$F$27-Inputs!$D$27)*(Inputs!$F$27-Inputs!$E$27)))</f>
        <v>74.174411736482</v>
      </c>
      <c r="R534" s="81" t="n">
        <f aca="true">RAND()</f>
        <v>0.464975323007785</v>
      </c>
      <c r="S534" s="82" t="n">
        <f aca="false">IF(R534&lt;(Inputs!$E$29-Inputs!$D$29)/(Inputs!$F$29-Inputs!$D$29),Inputs!$D$29+SQRT(R534*(Inputs!$F$29-Inputs!$D$29)*(Inputs!$E$29-Inputs!$D$29)),Inputs!$F$29-SQRT((1-R534)*(Inputs!$F$29-Inputs!$D$29)*(Inputs!$F$29-Inputs!$E$29)))</f>
        <v>6.66014340596986</v>
      </c>
      <c r="T534" s="68" t="n">
        <f aca="false">Inputs!$E$9*(1+E534)+Inputs!$E$5*C534*(Inputs!$E$11*Inputs!$E$14*(G534*I534/Inputs!$E$16+(1-G534))*K534+Inputs!$E$23*M534)*(1+O534)+Inputs!$E$5*(Q534+S534)</f>
        <v>6538.75820165796</v>
      </c>
    </row>
    <row r="535" customFormat="false" ht="15" hidden="false" customHeight="false" outlineLevel="0" collapsed="false">
      <c r="A535" s="1" t="n">
        <v>531</v>
      </c>
      <c r="B535" s="81" t="n">
        <f aca="true">RAND()</f>
        <v>0.561622209785216</v>
      </c>
      <c r="C535" s="82" t="n">
        <f aca="false">ROUND(IF(B535&lt;(Inputs!$E$8-Inputs!$D$8)/(Inputs!$F$8-Inputs!$D$8),Inputs!$D$8+SQRT(B535*(Inputs!$F$8-Inputs!$D$8)*(Inputs!$E$8-Inputs!$D$8)),Inputs!$F$8-SQRT((1-B535)*(Inputs!$F$8-Inputs!$D$8)*(Inputs!$F$8-Inputs!$E$8))),0)</f>
        <v>25</v>
      </c>
      <c r="D535" s="81" t="n">
        <f aca="true">RAND()</f>
        <v>0.124088547283836</v>
      </c>
      <c r="E535" s="83" t="n">
        <f aca="false">IF(D535&lt;(Inputs!$E$10-Inputs!$D$10)/(Inputs!$F$10-Inputs!$D$10),Inputs!$D$10+SQRT(D535*(Inputs!$F$10-Inputs!$D$10)*(Inputs!$E$10-Inputs!$D$10)),Inputs!$F$10-SQRT((1-D535)*(Inputs!$F$10-Inputs!$D$10)*(Inputs!$F$10-Inputs!$E$10)))</f>
        <v>0.0352262043490121</v>
      </c>
      <c r="F535" s="81" t="n">
        <f aca="true">RAND()</f>
        <v>0.807553046865537</v>
      </c>
      <c r="G535" s="83" t="n">
        <f aca="false">IF(F535&lt;(Inputs!$E$15-Inputs!$D$15)/(Inputs!$F$15-Inputs!$D$15),Inputs!$D$15+SQRT(F535*(Inputs!$F$15-Inputs!$D$15)*(Inputs!$E$15-Inputs!$D$15)),Inputs!$F$15-SQRT((1-F535)*(Inputs!$F$15-Inputs!$D$15)*(Inputs!$F$15-Inputs!$E$15)))</f>
        <v>0.737960181635588</v>
      </c>
      <c r="H535" s="81" t="n">
        <f aca="true">RAND()</f>
        <v>0.887920372547836</v>
      </c>
      <c r="I535" s="82" t="n">
        <f aca="false">ROUND(IF(H535&lt;(Inputs!$E$17-Inputs!$D$17)/(Inputs!$F$17-Inputs!$D$17),Inputs!$D$17+SQRT(H535*(Inputs!$F$17-Inputs!$D$17)*(Inputs!$E$17-Inputs!$D$17)),Inputs!$F$17-SQRT((1-H535)*(Inputs!$F$17-Inputs!$D$17)*(Inputs!$F$17-Inputs!$E$17))),0)</f>
        <v>111</v>
      </c>
      <c r="J535" s="81" t="n">
        <f aca="true">RAND()</f>
        <v>0.564474888438076</v>
      </c>
      <c r="K535" s="83" t="n">
        <f aca="false">IF(J535&lt;(Inputs!$E$18-Inputs!$D$18)/(Inputs!$F$18-Inputs!$D$18),Inputs!$D$18+SQRT(J535*(Inputs!$F$18-Inputs!$D$18)*(Inputs!$E$18-Inputs!$D$18)),Inputs!$F$18-SQRT((1-J535)*(Inputs!$F$18-Inputs!$D$18)*(Inputs!$F$18-Inputs!$E$18)))</f>
        <v>1.05478614992356</v>
      </c>
      <c r="L535" s="81" t="n">
        <f aca="true">RAND()</f>
        <v>0.858161880787302</v>
      </c>
      <c r="M535" s="83" t="n">
        <f aca="false">IF(L535&lt;(Inputs!$E$24-Inputs!$D$24)/(Inputs!$F$24-Inputs!$D$24),Inputs!$D$24+SQRT(L535*(Inputs!$F$24-Inputs!$D$24)*(Inputs!$E$24-Inputs!$D$24)),Inputs!$F$24-SQRT((1-L535)*(Inputs!$F$24-Inputs!$D$24)*(Inputs!$F$24-Inputs!$E$24)))</f>
        <v>1.01549756475578</v>
      </c>
      <c r="N535" s="81" t="n">
        <f aca="true">RAND()</f>
        <v>0.14246545688008</v>
      </c>
      <c r="O535" s="83" t="n">
        <f aca="false">IF(N535&lt;(Inputs!$E$26-Inputs!$D$26)/(Inputs!$F$26-Inputs!$D$26),Inputs!$D$26+SQRT(N535*(Inputs!$F$26-Inputs!$D$26)*(Inputs!$E$26-Inputs!$D$26)),Inputs!$F$26-SQRT((1-N535)*(Inputs!$F$26-Inputs!$D$26)*(Inputs!$F$26-Inputs!$E$26)))</f>
        <v>0.453968347477153</v>
      </c>
      <c r="P535" s="81" t="n">
        <f aca="true">RAND()</f>
        <v>0.782884689233316</v>
      </c>
      <c r="Q535" s="82" t="n">
        <f aca="false">IF(P535&lt;(Inputs!$E$27-Inputs!$D$27)/(Inputs!$F$27-Inputs!$D$27),Inputs!$D$27+SQRT(P535*(Inputs!$F$27-Inputs!$D$27)*(Inputs!$E$27-Inputs!$D$27)),Inputs!$F$27-SQRT((1-P535)*(Inputs!$F$27-Inputs!$D$27)*(Inputs!$F$27-Inputs!$E$27)))</f>
        <v>109.646997252371</v>
      </c>
      <c r="R535" s="81" t="n">
        <f aca="true">RAND()</f>
        <v>0.706217996042596</v>
      </c>
      <c r="S535" s="82" t="n">
        <f aca="false">IF(R535&lt;(Inputs!$E$29-Inputs!$D$29)/(Inputs!$F$29-Inputs!$D$29),Inputs!$D$29+SQRT(R535*(Inputs!$F$29-Inputs!$D$29)*(Inputs!$E$29-Inputs!$D$29)),Inputs!$F$29-SQRT((1-R535)*(Inputs!$F$29-Inputs!$D$29)*(Inputs!$F$29-Inputs!$E$29)))</f>
        <v>8.82005982921658</v>
      </c>
      <c r="T535" s="68" t="n">
        <f aca="false">Inputs!$E$9*(1+E535)+Inputs!$E$5*C535*(Inputs!$E$11*Inputs!$E$14*(G535*I535/Inputs!$E$16+(1-G535))*K535+Inputs!$E$23*M535)*(1+O535)+Inputs!$E$5*(Q535+S535)</f>
        <v>6266.93486766359</v>
      </c>
    </row>
    <row r="536" customFormat="false" ht="15" hidden="false" customHeight="false" outlineLevel="0" collapsed="false">
      <c r="A536" s="1" t="n">
        <v>532</v>
      </c>
      <c r="B536" s="81" t="n">
        <f aca="true">RAND()</f>
        <v>0.879619348053103</v>
      </c>
      <c r="C536" s="82" t="n">
        <f aca="false">ROUND(IF(B536&lt;(Inputs!$E$8-Inputs!$D$8)/(Inputs!$F$8-Inputs!$D$8),Inputs!$D$8+SQRT(B536*(Inputs!$F$8-Inputs!$D$8)*(Inputs!$E$8-Inputs!$D$8)),Inputs!$F$8-SQRT((1-B536)*(Inputs!$F$8-Inputs!$D$8)*(Inputs!$F$8-Inputs!$E$8))),0)</f>
        <v>28</v>
      </c>
      <c r="D536" s="81" t="n">
        <f aca="true">RAND()</f>
        <v>0.466826153079698</v>
      </c>
      <c r="E536" s="83" t="n">
        <f aca="false">IF(D536&lt;(Inputs!$E$10-Inputs!$D$10)/(Inputs!$F$10-Inputs!$D$10),Inputs!$D$10+SQRT(D536*(Inputs!$F$10-Inputs!$D$10)*(Inputs!$E$10-Inputs!$D$10)),Inputs!$F$10-SQRT((1-D536)*(Inputs!$F$10-Inputs!$D$10)*(Inputs!$F$10-Inputs!$E$10)))</f>
        <v>0.0735278077694189</v>
      </c>
      <c r="F536" s="81" t="n">
        <f aca="true">RAND()</f>
        <v>0.276195651300128</v>
      </c>
      <c r="G536" s="83" t="n">
        <f aca="false">IF(F536&lt;(Inputs!$E$15-Inputs!$D$15)/(Inputs!$F$15-Inputs!$D$15),Inputs!$D$15+SQRT(F536*(Inputs!$F$15-Inputs!$D$15)*(Inputs!$E$15-Inputs!$D$15)),Inputs!$F$15-SQRT((1-F536)*(Inputs!$F$15-Inputs!$D$15)*(Inputs!$F$15-Inputs!$E$15)))</f>
        <v>0.674323031598574</v>
      </c>
      <c r="H536" s="81" t="n">
        <f aca="true">RAND()</f>
        <v>0.919030320599875</v>
      </c>
      <c r="I536" s="82" t="n">
        <f aca="false">ROUND(IF(H536&lt;(Inputs!$E$17-Inputs!$D$17)/(Inputs!$F$17-Inputs!$D$17),Inputs!$D$17+SQRT(H536*(Inputs!$F$17-Inputs!$D$17)*(Inputs!$E$17-Inputs!$D$17)),Inputs!$F$17-SQRT((1-H536)*(Inputs!$F$17-Inputs!$D$17)*(Inputs!$F$17-Inputs!$E$17))),0)</f>
        <v>112</v>
      </c>
      <c r="J536" s="81" t="n">
        <f aca="true">RAND()</f>
        <v>0.397363353461377</v>
      </c>
      <c r="K536" s="83" t="n">
        <f aca="false">IF(J536&lt;(Inputs!$E$18-Inputs!$D$18)/(Inputs!$F$18-Inputs!$D$18),Inputs!$D$18+SQRT(J536*(Inputs!$F$18-Inputs!$D$18)*(Inputs!$E$18-Inputs!$D$18)),Inputs!$F$18-SQRT((1-J536)*(Inputs!$F$18-Inputs!$D$18)*(Inputs!$F$18-Inputs!$E$18)))</f>
        <v>1.02036832410983</v>
      </c>
      <c r="L536" s="81" t="n">
        <f aca="true">RAND()</f>
        <v>0.100754413726353</v>
      </c>
      <c r="M536" s="83" t="n">
        <f aca="false">IF(L536&lt;(Inputs!$E$24-Inputs!$D$24)/(Inputs!$F$24-Inputs!$D$24),Inputs!$D$24+SQRT(L536*(Inputs!$F$24-Inputs!$D$24)*(Inputs!$E$24-Inputs!$D$24)),Inputs!$F$24-SQRT((1-L536)*(Inputs!$F$24-Inputs!$D$24)*(Inputs!$F$24-Inputs!$E$24)))</f>
        <v>0.709956944515398</v>
      </c>
      <c r="N536" s="81" t="n">
        <f aca="true">RAND()</f>
        <v>0.194556286374189</v>
      </c>
      <c r="O536" s="83" t="n">
        <f aca="false">IF(N536&lt;(Inputs!$E$26-Inputs!$D$26)/(Inputs!$F$26-Inputs!$D$26),Inputs!$D$26+SQRT(N536*(Inputs!$F$26-Inputs!$D$26)*(Inputs!$E$26-Inputs!$D$26)),Inputs!$F$26-SQRT((1-N536)*(Inputs!$F$26-Inputs!$D$26)*(Inputs!$F$26-Inputs!$E$26)))</f>
        <v>0.47992822472493</v>
      </c>
      <c r="P536" s="81" t="n">
        <f aca="true">RAND()</f>
        <v>0.973174189164101</v>
      </c>
      <c r="Q536" s="82" t="n">
        <f aca="false">IF(P536&lt;(Inputs!$E$27-Inputs!$D$27)/(Inputs!$F$27-Inputs!$D$27),Inputs!$D$27+SQRT(P536*(Inputs!$F$27-Inputs!$D$27)*(Inputs!$E$27-Inputs!$D$27)),Inputs!$F$27-SQRT((1-P536)*(Inputs!$F$27-Inputs!$D$27)*(Inputs!$F$27-Inputs!$E$27)))</f>
        <v>135.815727679248</v>
      </c>
      <c r="R536" s="81" t="n">
        <f aca="true">RAND()</f>
        <v>0.261193487394564</v>
      </c>
      <c r="S536" s="82" t="n">
        <f aca="false">IF(R536&lt;(Inputs!$E$29-Inputs!$D$29)/(Inputs!$F$29-Inputs!$D$29),Inputs!$D$29+SQRT(R536*(Inputs!$F$29-Inputs!$D$29)*(Inputs!$E$29-Inputs!$D$29)),Inputs!$F$29-SQRT((1-R536)*(Inputs!$F$29-Inputs!$D$29)*(Inputs!$F$29-Inputs!$E$29)))</f>
        <v>5.19975272563459</v>
      </c>
      <c r="T536" s="68" t="n">
        <f aca="false">Inputs!$E$9*(1+E536)+Inputs!$E$5*C536*(Inputs!$E$11*Inputs!$E$14*(G536*I536/Inputs!$E$16+(1-G536))*K536+Inputs!$E$23*M536)*(1+O536)+Inputs!$E$5*(Q536+S536)</f>
        <v>6505.48353672378</v>
      </c>
    </row>
    <row r="537" customFormat="false" ht="15" hidden="false" customHeight="false" outlineLevel="0" collapsed="false">
      <c r="A537" s="1" t="n">
        <v>533</v>
      </c>
      <c r="B537" s="81" t="n">
        <f aca="true">RAND()</f>
        <v>0.0545265234088879</v>
      </c>
      <c r="C537" s="82" t="n">
        <f aca="false">ROUND(IF(B537&lt;(Inputs!$E$8-Inputs!$D$8)/(Inputs!$F$8-Inputs!$D$8),Inputs!$D$8+SQRT(B537*(Inputs!$F$8-Inputs!$D$8)*(Inputs!$E$8-Inputs!$D$8)),Inputs!$F$8-SQRT((1-B537)*(Inputs!$F$8-Inputs!$D$8)*(Inputs!$F$8-Inputs!$E$8))),0)</f>
        <v>22</v>
      </c>
      <c r="D537" s="81" t="n">
        <f aca="true">RAND()</f>
        <v>0.34159192322187</v>
      </c>
      <c r="E537" s="83" t="n">
        <f aca="false">IF(D537&lt;(Inputs!$E$10-Inputs!$D$10)/(Inputs!$F$10-Inputs!$D$10),Inputs!$D$10+SQRT(D537*(Inputs!$F$10-Inputs!$D$10)*(Inputs!$E$10-Inputs!$D$10)),Inputs!$F$10-SQRT((1-D537)*(Inputs!$F$10-Inputs!$D$10)*(Inputs!$F$10-Inputs!$E$10)))</f>
        <v>0.0594573292435927</v>
      </c>
      <c r="F537" s="81" t="n">
        <f aca="true">RAND()</f>
        <v>0.836535879791821</v>
      </c>
      <c r="G537" s="83" t="n">
        <f aca="false">IF(F537&lt;(Inputs!$E$15-Inputs!$D$15)/(Inputs!$F$15-Inputs!$D$15),Inputs!$D$15+SQRT(F537*(Inputs!$F$15-Inputs!$D$15)*(Inputs!$E$15-Inputs!$D$15)),Inputs!$F$15-SQRT((1-F537)*(Inputs!$F$15-Inputs!$D$15)*(Inputs!$F$15-Inputs!$E$15)))</f>
        <v>0.742822360977708</v>
      </c>
      <c r="H537" s="81" t="n">
        <f aca="true">RAND()</f>
        <v>0.472411914283622</v>
      </c>
      <c r="I537" s="82" t="n">
        <f aca="false">ROUND(IF(H537&lt;(Inputs!$E$17-Inputs!$D$17)/(Inputs!$F$17-Inputs!$D$17),Inputs!$D$17+SQRT(H537*(Inputs!$F$17-Inputs!$D$17)*(Inputs!$E$17-Inputs!$D$17)),Inputs!$F$17-SQRT((1-H537)*(Inputs!$F$17-Inputs!$D$17)*(Inputs!$F$17-Inputs!$E$17))),0)</f>
        <v>106</v>
      </c>
      <c r="J537" s="81" t="n">
        <f aca="true">RAND()</f>
        <v>0.695299116807324</v>
      </c>
      <c r="K537" s="83" t="n">
        <f aca="false">IF(J537&lt;(Inputs!$E$18-Inputs!$D$18)/(Inputs!$F$18-Inputs!$D$18),Inputs!$D$18+SQRT(J537*(Inputs!$F$18-Inputs!$D$18)*(Inputs!$E$18-Inputs!$D$18)),Inputs!$F$18-SQRT((1-J537)*(Inputs!$F$18-Inputs!$D$18)*(Inputs!$F$18-Inputs!$E$18)))</f>
        <v>1.08671703310094</v>
      </c>
      <c r="L537" s="81" t="n">
        <f aca="true">RAND()</f>
        <v>0.526798900758602</v>
      </c>
      <c r="M537" s="83" t="n">
        <f aca="false">IF(L537&lt;(Inputs!$E$24-Inputs!$D$24)/(Inputs!$F$24-Inputs!$D$24),Inputs!$D$24+SQRT(L537*(Inputs!$F$24-Inputs!$D$24)*(Inputs!$E$24-Inputs!$D$24)),Inputs!$F$24-SQRT((1-L537)*(Inputs!$F$24-Inputs!$D$24)*(Inputs!$F$24-Inputs!$E$24)))</f>
        <v>0.863001092260026</v>
      </c>
      <c r="N537" s="81" t="n">
        <f aca="true">RAND()</f>
        <v>0.86718357189229</v>
      </c>
      <c r="O537" s="83" t="n">
        <f aca="false">IF(N537&lt;(Inputs!$E$26-Inputs!$D$26)/(Inputs!$F$26-Inputs!$D$26),Inputs!$D$26+SQRT(N537*(Inputs!$F$26-Inputs!$D$26)*(Inputs!$E$26-Inputs!$D$26)),Inputs!$F$26-SQRT((1-N537)*(Inputs!$F$26-Inputs!$D$26)*(Inputs!$F$26-Inputs!$E$26)))</f>
        <v>0.702471669274163</v>
      </c>
      <c r="P537" s="81" t="n">
        <f aca="true">RAND()</f>
        <v>0.561026653173594</v>
      </c>
      <c r="Q537" s="82" t="n">
        <f aca="false">IF(P537&lt;(Inputs!$E$27-Inputs!$D$27)/(Inputs!$F$27-Inputs!$D$27),Inputs!$D$27+SQRT(P537*(Inputs!$F$27-Inputs!$D$27)*(Inputs!$E$27-Inputs!$D$27)),Inputs!$F$27-SQRT((1-P537)*(Inputs!$F$27-Inputs!$D$27)*(Inputs!$F$27-Inputs!$E$27)))</f>
        <v>92.6214316909349</v>
      </c>
      <c r="R537" s="81" t="n">
        <f aca="true">RAND()</f>
        <v>0.582633106577311</v>
      </c>
      <c r="S537" s="82" t="n">
        <f aca="false">IF(R537&lt;(Inputs!$E$29-Inputs!$D$29)/(Inputs!$F$29-Inputs!$D$29),Inputs!$D$29+SQRT(R537*(Inputs!$F$29-Inputs!$D$29)*(Inputs!$E$29-Inputs!$D$29)),Inputs!$F$29-SQRT((1-R537)*(Inputs!$F$29-Inputs!$D$29)*(Inputs!$F$29-Inputs!$E$29)))</f>
        <v>7.63401763883801</v>
      </c>
      <c r="T537" s="68" t="n">
        <f aca="false">Inputs!$E$9*(1+E537)+Inputs!$E$5*C537*(Inputs!$E$11*Inputs!$E$14*(G537*I537/Inputs!$E$16+(1-G537))*K537+Inputs!$E$23*M537)*(1+O537)+Inputs!$E$5*(Q537+S537)</f>
        <v>6124.73067219965</v>
      </c>
    </row>
    <row r="538" customFormat="false" ht="15" hidden="false" customHeight="false" outlineLevel="0" collapsed="false">
      <c r="A538" s="1" t="n">
        <v>534</v>
      </c>
      <c r="B538" s="81" t="n">
        <f aca="true">RAND()</f>
        <v>0.612937681517958</v>
      </c>
      <c r="C538" s="82" t="n">
        <f aca="false">ROUND(IF(B538&lt;(Inputs!$E$8-Inputs!$D$8)/(Inputs!$F$8-Inputs!$D$8),Inputs!$D$8+SQRT(B538*(Inputs!$F$8-Inputs!$D$8)*(Inputs!$E$8-Inputs!$D$8)),Inputs!$F$8-SQRT((1-B538)*(Inputs!$F$8-Inputs!$D$8)*(Inputs!$F$8-Inputs!$E$8))),0)</f>
        <v>26</v>
      </c>
      <c r="D538" s="81" t="n">
        <f aca="true">RAND()</f>
        <v>0.541395075363928</v>
      </c>
      <c r="E538" s="83" t="n">
        <f aca="false">IF(D538&lt;(Inputs!$E$10-Inputs!$D$10)/(Inputs!$F$10-Inputs!$D$10),Inputs!$D$10+SQRT(D538*(Inputs!$F$10-Inputs!$D$10)*(Inputs!$E$10-Inputs!$D$10)),Inputs!$F$10-SQRT((1-D538)*(Inputs!$F$10-Inputs!$D$10)*(Inputs!$F$10-Inputs!$E$10)))</f>
        <v>0.0827048690734259</v>
      </c>
      <c r="F538" s="81" t="n">
        <f aca="true">RAND()</f>
        <v>0.982873260465089</v>
      </c>
      <c r="G538" s="83" t="n">
        <f aca="false">IF(F538&lt;(Inputs!$E$15-Inputs!$D$15)/(Inputs!$F$15-Inputs!$D$15),Inputs!$D$15+SQRT(F538*(Inputs!$F$15-Inputs!$D$15)*(Inputs!$E$15-Inputs!$D$15)),Inputs!$F$15-SQRT((1-F538)*(Inputs!$F$15-Inputs!$D$15)*(Inputs!$F$15-Inputs!$E$15)))</f>
        <v>0.781492304554639</v>
      </c>
      <c r="H538" s="81" t="n">
        <f aca="true">RAND()</f>
        <v>0.727062171740983</v>
      </c>
      <c r="I538" s="82" t="n">
        <f aca="false">ROUND(IF(H538&lt;(Inputs!$E$17-Inputs!$D$17)/(Inputs!$F$17-Inputs!$D$17),Inputs!$D$17+SQRT(H538*(Inputs!$F$17-Inputs!$D$17)*(Inputs!$E$17-Inputs!$D$17)),Inputs!$F$17-SQRT((1-H538)*(Inputs!$F$17-Inputs!$D$17)*(Inputs!$F$17-Inputs!$E$17))),0)</f>
        <v>109</v>
      </c>
      <c r="J538" s="81" t="n">
        <f aca="true">RAND()</f>
        <v>0.0858963381158115</v>
      </c>
      <c r="K538" s="83" t="n">
        <f aca="false">IF(J538&lt;(Inputs!$E$18-Inputs!$D$18)/(Inputs!$F$18-Inputs!$D$18),Inputs!$D$18+SQRT(J538*(Inputs!$F$18-Inputs!$D$18)*(Inputs!$E$18-Inputs!$D$18)),Inputs!$F$18-SQRT((1-J538)*(Inputs!$F$18-Inputs!$D$18)*(Inputs!$F$18-Inputs!$E$18)))</f>
        <v>0.954830391518331</v>
      </c>
      <c r="L538" s="81" t="n">
        <f aca="true">RAND()</f>
        <v>0.346590324514973</v>
      </c>
      <c r="M538" s="83" t="n">
        <f aca="false">IF(L538&lt;(Inputs!$E$24-Inputs!$D$24)/(Inputs!$F$24-Inputs!$D$24),Inputs!$D$24+SQRT(L538*(Inputs!$F$24-Inputs!$D$24)*(Inputs!$E$24-Inputs!$D$24)),Inputs!$F$24-SQRT((1-L538)*(Inputs!$F$24-Inputs!$D$24)*(Inputs!$F$24-Inputs!$E$24)))</f>
        <v>0.803997068045694</v>
      </c>
      <c r="N538" s="81" t="n">
        <f aca="true">RAND()</f>
        <v>0.956994677056891</v>
      </c>
      <c r="O538" s="83" t="n">
        <f aca="false">IF(N538&lt;(Inputs!$E$26-Inputs!$D$26)/(Inputs!$F$26-Inputs!$D$26),Inputs!$D$26+SQRT(N538*(Inputs!$F$26-Inputs!$D$26)*(Inputs!$E$26-Inputs!$D$26)),Inputs!$F$26-SQRT((1-N538)*(Inputs!$F$26-Inputs!$D$26)*(Inputs!$F$26-Inputs!$E$26)))</f>
        <v>0.753122847054593</v>
      </c>
      <c r="P538" s="81" t="n">
        <f aca="true">RAND()</f>
        <v>0.215705431254337</v>
      </c>
      <c r="Q538" s="82" t="n">
        <f aca="false">IF(P538&lt;(Inputs!$E$27-Inputs!$D$27)/(Inputs!$F$27-Inputs!$D$27),Inputs!$D$27+SQRT(P538*(Inputs!$F$27-Inputs!$D$27)*(Inputs!$E$27-Inputs!$D$27)),Inputs!$F$27-SQRT((1-P538)*(Inputs!$F$27-Inputs!$D$27)*(Inputs!$F$27-Inputs!$E$27)))</f>
        <v>73.2220493956895</v>
      </c>
      <c r="R538" s="81" t="n">
        <f aca="true">RAND()</f>
        <v>0.1174501534272</v>
      </c>
      <c r="S538" s="82" t="n">
        <f aca="false">IF(R538&lt;(Inputs!$E$29-Inputs!$D$29)/(Inputs!$F$29-Inputs!$D$29),Inputs!$D$29+SQRT(R538*(Inputs!$F$29-Inputs!$D$29)*(Inputs!$E$29-Inputs!$D$29)),Inputs!$F$29-SQRT((1-R538)*(Inputs!$F$29-Inputs!$D$29)*(Inputs!$F$29-Inputs!$E$29)))</f>
        <v>4.14022334901308</v>
      </c>
      <c r="T538" s="68" t="n">
        <f aca="false">Inputs!$E$9*(1+E538)+Inputs!$E$5*C538*(Inputs!$E$11*Inputs!$E$14*(G538*I538/Inputs!$E$16+(1-G538))*K538+Inputs!$E$23*M538)*(1+O538)+Inputs!$E$5*(Q538+S538)</f>
        <v>6350.98012137212</v>
      </c>
    </row>
    <row r="539" customFormat="false" ht="15" hidden="false" customHeight="false" outlineLevel="0" collapsed="false">
      <c r="A539" s="1" t="n">
        <v>535</v>
      </c>
      <c r="B539" s="81" t="n">
        <f aca="true">RAND()</f>
        <v>0.405303406634449</v>
      </c>
      <c r="C539" s="82" t="n">
        <f aca="false">ROUND(IF(B539&lt;(Inputs!$E$8-Inputs!$D$8)/(Inputs!$F$8-Inputs!$D$8),Inputs!$D$8+SQRT(B539*(Inputs!$F$8-Inputs!$D$8)*(Inputs!$E$8-Inputs!$D$8)),Inputs!$F$8-SQRT((1-B539)*(Inputs!$F$8-Inputs!$D$8)*(Inputs!$F$8-Inputs!$E$8))),0)</f>
        <v>25</v>
      </c>
      <c r="D539" s="81" t="n">
        <f aca="true">RAND()</f>
        <v>0.672300333046834</v>
      </c>
      <c r="E539" s="83" t="n">
        <f aca="false">IF(D539&lt;(Inputs!$E$10-Inputs!$D$10)/(Inputs!$F$10-Inputs!$D$10),Inputs!$D$10+SQRT(D539*(Inputs!$F$10-Inputs!$D$10)*(Inputs!$E$10-Inputs!$D$10)),Inputs!$F$10-SQRT((1-D539)*(Inputs!$F$10-Inputs!$D$10)*(Inputs!$F$10-Inputs!$E$10)))</f>
        <v>0.100848650999621</v>
      </c>
      <c r="F539" s="81" t="n">
        <f aca="true">RAND()</f>
        <v>0.742927328505815</v>
      </c>
      <c r="G539" s="83" t="n">
        <f aca="false">IF(F539&lt;(Inputs!$E$15-Inputs!$D$15)/(Inputs!$F$15-Inputs!$D$15),Inputs!$D$15+SQRT(F539*(Inputs!$F$15-Inputs!$D$15)*(Inputs!$E$15-Inputs!$D$15)),Inputs!$F$15-SQRT((1-F539)*(Inputs!$F$15-Inputs!$D$15)*(Inputs!$F$15-Inputs!$E$15)))</f>
        <v>0.728296071028962</v>
      </c>
      <c r="H539" s="81" t="n">
        <f aca="true">RAND()</f>
        <v>0.760059062454436</v>
      </c>
      <c r="I539" s="82" t="n">
        <f aca="false">ROUND(IF(H539&lt;(Inputs!$E$17-Inputs!$D$17)/(Inputs!$F$17-Inputs!$D$17),Inputs!$D$17+SQRT(H539*(Inputs!$F$17-Inputs!$D$17)*(Inputs!$E$17-Inputs!$D$17)),Inputs!$F$17-SQRT((1-H539)*(Inputs!$F$17-Inputs!$D$17)*(Inputs!$F$17-Inputs!$E$17))),0)</f>
        <v>109</v>
      </c>
      <c r="J539" s="81" t="n">
        <f aca="true">RAND()</f>
        <v>0.64836883017824</v>
      </c>
      <c r="K539" s="83" t="n">
        <f aca="false">IF(J539&lt;(Inputs!$E$18-Inputs!$D$18)/(Inputs!$F$18-Inputs!$D$18),Inputs!$D$18+SQRT(J539*(Inputs!$F$18-Inputs!$D$18)*(Inputs!$E$18-Inputs!$D$18)),Inputs!$F$18-SQRT((1-J539)*(Inputs!$F$18-Inputs!$D$18)*(Inputs!$F$18-Inputs!$E$18)))</f>
        <v>1.07459268156829</v>
      </c>
      <c r="L539" s="81" t="n">
        <f aca="true">RAND()</f>
        <v>0.31987572534815</v>
      </c>
      <c r="M539" s="83" t="n">
        <f aca="false">IF(L539&lt;(Inputs!$E$24-Inputs!$D$24)/(Inputs!$F$24-Inputs!$D$24),Inputs!$D$24+SQRT(L539*(Inputs!$F$24-Inputs!$D$24)*(Inputs!$E$24-Inputs!$D$24)),Inputs!$F$24-SQRT((1-L539)*(Inputs!$F$24-Inputs!$D$24)*(Inputs!$F$24-Inputs!$E$24)))</f>
        <v>0.795921124541939</v>
      </c>
      <c r="N539" s="81" t="n">
        <f aca="true">RAND()</f>
        <v>0.588632577203999</v>
      </c>
      <c r="O539" s="83" t="n">
        <f aca="false">IF(N539&lt;(Inputs!$E$26-Inputs!$D$26)/(Inputs!$F$26-Inputs!$D$26),Inputs!$D$26+SQRT(N539*(Inputs!$F$26-Inputs!$D$26)*(Inputs!$E$26-Inputs!$D$26)),Inputs!$F$26-SQRT((1-N539)*(Inputs!$F$26-Inputs!$D$26)*(Inputs!$F$26-Inputs!$E$26)))</f>
        <v>0.612967188131193</v>
      </c>
      <c r="P539" s="81" t="n">
        <f aca="true">RAND()</f>
        <v>0.955893487742423</v>
      </c>
      <c r="Q539" s="82" t="n">
        <f aca="false">IF(P539&lt;(Inputs!$E$27-Inputs!$D$27)/(Inputs!$F$27-Inputs!$D$27),Inputs!$D$27+SQRT(P539*(Inputs!$F$27-Inputs!$D$27)*(Inputs!$E$27-Inputs!$D$27)),Inputs!$F$27-SQRT((1-P539)*(Inputs!$F$27-Inputs!$D$27)*(Inputs!$F$27-Inputs!$E$27)))</f>
        <v>131.812123765216</v>
      </c>
      <c r="R539" s="81" t="n">
        <f aca="true">RAND()</f>
        <v>0.965841026865175</v>
      </c>
      <c r="S539" s="82" t="n">
        <f aca="false">IF(R539&lt;(Inputs!$E$29-Inputs!$D$29)/(Inputs!$F$29-Inputs!$D$29),Inputs!$D$29+SQRT(R539*(Inputs!$F$29-Inputs!$D$29)*(Inputs!$E$29-Inputs!$D$29)),Inputs!$F$29-SQRT((1-R539)*(Inputs!$F$29-Inputs!$D$29)*(Inputs!$F$29-Inputs!$E$29)))</f>
        <v>12.8927111001272</v>
      </c>
      <c r="T539" s="68" t="n">
        <f aca="false">Inputs!$E$9*(1+E539)+Inputs!$E$5*C539*(Inputs!$E$11*Inputs!$E$14*(G539*I539/Inputs!$E$16+(1-G539))*K539+Inputs!$E$23*M539)*(1+O539)+Inputs!$E$5*(Q539+S539)</f>
        <v>6628.2940503613</v>
      </c>
    </row>
    <row r="540" customFormat="false" ht="15" hidden="false" customHeight="false" outlineLevel="0" collapsed="false">
      <c r="A540" s="1" t="n">
        <v>536</v>
      </c>
      <c r="B540" s="81" t="n">
        <f aca="true">RAND()</f>
        <v>0.681302928037044</v>
      </c>
      <c r="C540" s="82" t="n">
        <f aca="false">ROUND(IF(B540&lt;(Inputs!$E$8-Inputs!$D$8)/(Inputs!$F$8-Inputs!$D$8),Inputs!$D$8+SQRT(B540*(Inputs!$F$8-Inputs!$D$8)*(Inputs!$E$8-Inputs!$D$8)),Inputs!$F$8-SQRT((1-B540)*(Inputs!$F$8-Inputs!$D$8)*(Inputs!$F$8-Inputs!$E$8))),0)</f>
        <v>26</v>
      </c>
      <c r="D540" s="81" t="n">
        <f aca="true">RAND()</f>
        <v>0.88538713156545</v>
      </c>
      <c r="E540" s="83" t="n">
        <f aca="false">IF(D540&lt;(Inputs!$E$10-Inputs!$D$10)/(Inputs!$F$10-Inputs!$D$10),Inputs!$D$10+SQRT(D540*(Inputs!$F$10-Inputs!$D$10)*(Inputs!$E$10-Inputs!$D$10)),Inputs!$F$10-SQRT((1-D540)*(Inputs!$F$10-Inputs!$D$10)*(Inputs!$F$10-Inputs!$E$10)))</f>
        <v>0.141362247203389</v>
      </c>
      <c r="F540" s="81" t="n">
        <f aca="true">RAND()</f>
        <v>0.112845646809946</v>
      </c>
      <c r="G540" s="83" t="n">
        <f aca="false">IF(F540&lt;(Inputs!$E$15-Inputs!$D$15)/(Inputs!$F$15-Inputs!$D$15),Inputs!$D$15+SQRT(F540*(Inputs!$F$15-Inputs!$D$15)*(Inputs!$E$15-Inputs!$D$15)),Inputs!$F$15-SQRT((1-F540)*(Inputs!$F$15-Inputs!$D$15)*(Inputs!$F$15-Inputs!$E$15)))</f>
        <v>0.647506977763261</v>
      </c>
      <c r="H540" s="81" t="n">
        <f aca="true">RAND()</f>
        <v>0.964176906106321</v>
      </c>
      <c r="I540" s="82" t="n">
        <f aca="false">ROUND(IF(H540&lt;(Inputs!$E$17-Inputs!$D$17)/(Inputs!$F$17-Inputs!$D$17),Inputs!$D$17+SQRT(H540*(Inputs!$F$17-Inputs!$D$17)*(Inputs!$E$17-Inputs!$D$17)),Inputs!$F$17-SQRT((1-H540)*(Inputs!$F$17-Inputs!$D$17)*(Inputs!$F$17-Inputs!$E$17))),0)</f>
        <v>113</v>
      </c>
      <c r="J540" s="81" t="n">
        <f aca="true">RAND()</f>
        <v>0.85721153991063</v>
      </c>
      <c r="K540" s="83" t="n">
        <f aca="false">IF(J540&lt;(Inputs!$E$18-Inputs!$D$18)/(Inputs!$F$18-Inputs!$D$18),Inputs!$D$18+SQRT(J540*(Inputs!$F$18-Inputs!$D$18)*(Inputs!$E$18-Inputs!$D$18)),Inputs!$F$18-SQRT((1-J540)*(Inputs!$F$18-Inputs!$D$18)*(Inputs!$F$18-Inputs!$E$18)))</f>
        <v>1.13822348074027</v>
      </c>
      <c r="L540" s="81" t="n">
        <f aca="true">RAND()</f>
        <v>0.207302188800701</v>
      </c>
      <c r="M540" s="83" t="n">
        <f aca="false">IF(L540&lt;(Inputs!$E$24-Inputs!$D$24)/(Inputs!$F$24-Inputs!$D$24),Inputs!$D$24+SQRT(L540*(Inputs!$F$24-Inputs!$D$24)*(Inputs!$E$24-Inputs!$D$24)),Inputs!$F$24-SQRT((1-L540)*(Inputs!$F$24-Inputs!$D$24)*(Inputs!$F$24-Inputs!$E$24)))</f>
        <v>0.757722105793969</v>
      </c>
      <c r="N540" s="81" t="n">
        <f aca="true">RAND()</f>
        <v>0.258945836586328</v>
      </c>
      <c r="O540" s="83" t="n">
        <f aca="false">IF(N540&lt;(Inputs!$E$26-Inputs!$D$26)/(Inputs!$F$26-Inputs!$D$26),Inputs!$D$26+SQRT(N540*(Inputs!$F$26-Inputs!$D$26)*(Inputs!$E$26-Inputs!$D$26)),Inputs!$F$26-SQRT((1-N540)*(Inputs!$F$26-Inputs!$D$26)*(Inputs!$F$26-Inputs!$E$26)))</f>
        <v>0.507577906357986</v>
      </c>
      <c r="P540" s="81" t="n">
        <f aca="true">RAND()</f>
        <v>0.826118767276263</v>
      </c>
      <c r="Q540" s="82" t="n">
        <f aca="false">IF(P540&lt;(Inputs!$E$27-Inputs!$D$27)/(Inputs!$F$27-Inputs!$D$27),Inputs!$D$27+SQRT(P540*(Inputs!$F$27-Inputs!$D$27)*(Inputs!$E$27-Inputs!$D$27)),Inputs!$F$27-SQRT((1-P540)*(Inputs!$F$27-Inputs!$D$27)*(Inputs!$F$27-Inputs!$E$27)))</f>
        <v>113.88754722498</v>
      </c>
      <c r="R540" s="81" t="n">
        <f aca="true">RAND()</f>
        <v>0.393042580844287</v>
      </c>
      <c r="S540" s="82" t="n">
        <f aca="false">IF(R540&lt;(Inputs!$E$29-Inputs!$D$29)/(Inputs!$F$29-Inputs!$D$29),Inputs!$D$29+SQRT(R540*(Inputs!$F$29-Inputs!$D$29)*(Inputs!$E$29-Inputs!$D$29)),Inputs!$F$29-SQRT((1-R540)*(Inputs!$F$29-Inputs!$D$29)*(Inputs!$F$29-Inputs!$E$29)))</f>
        <v>6.11718150077112</v>
      </c>
      <c r="T540" s="68" t="n">
        <f aca="false">Inputs!$E$9*(1+E540)+Inputs!$E$5*C540*(Inputs!$E$11*Inputs!$E$14*(G540*I540/Inputs!$E$16+(1-G540))*K540+Inputs!$E$23*M540)*(1+O540)+Inputs!$E$5*(Q540+S540)</f>
        <v>6739.93629196169</v>
      </c>
    </row>
    <row r="541" customFormat="false" ht="15" hidden="false" customHeight="false" outlineLevel="0" collapsed="false">
      <c r="A541" s="1" t="n">
        <v>537</v>
      </c>
      <c r="B541" s="81" t="n">
        <f aca="true">RAND()</f>
        <v>0.870915979212571</v>
      </c>
      <c r="C541" s="82" t="n">
        <f aca="false">ROUND(IF(B541&lt;(Inputs!$E$8-Inputs!$D$8)/(Inputs!$F$8-Inputs!$D$8),Inputs!$D$8+SQRT(B541*(Inputs!$F$8-Inputs!$D$8)*(Inputs!$E$8-Inputs!$D$8)),Inputs!$F$8-SQRT((1-B541)*(Inputs!$F$8-Inputs!$D$8)*(Inputs!$F$8-Inputs!$E$8))),0)</f>
        <v>27</v>
      </c>
      <c r="D541" s="81" t="n">
        <f aca="true">RAND()</f>
        <v>0.72134732729549</v>
      </c>
      <c r="E541" s="83" t="n">
        <f aca="false">IF(D541&lt;(Inputs!$E$10-Inputs!$D$10)/(Inputs!$F$10-Inputs!$D$10),Inputs!$D$10+SQRT(D541*(Inputs!$F$10-Inputs!$D$10)*(Inputs!$E$10-Inputs!$D$10)),Inputs!$F$10-SQRT((1-D541)*(Inputs!$F$10-Inputs!$D$10)*(Inputs!$F$10-Inputs!$E$10)))</f>
        <v>0.108569260195844</v>
      </c>
      <c r="F541" s="81" t="n">
        <f aca="true">RAND()</f>
        <v>0.275551392856891</v>
      </c>
      <c r="G541" s="83" t="n">
        <f aca="false">IF(F541&lt;(Inputs!$E$15-Inputs!$D$15)/(Inputs!$F$15-Inputs!$D$15),Inputs!$D$15+SQRT(F541*(Inputs!$F$15-Inputs!$D$15)*(Inputs!$E$15-Inputs!$D$15)),Inputs!$F$15-SQRT((1-F541)*(Inputs!$F$15-Inputs!$D$15)*(Inputs!$F$15-Inputs!$E$15)))</f>
        <v>0.674236297436886</v>
      </c>
      <c r="H541" s="81" t="n">
        <f aca="true">RAND()</f>
        <v>0.432463166117754</v>
      </c>
      <c r="I541" s="82" t="n">
        <f aca="false">ROUND(IF(H541&lt;(Inputs!$E$17-Inputs!$D$17)/(Inputs!$F$17-Inputs!$D$17),Inputs!$D$17+SQRT(H541*(Inputs!$F$17-Inputs!$D$17)*(Inputs!$E$17-Inputs!$D$17)),Inputs!$F$17-SQRT((1-H541)*(Inputs!$F$17-Inputs!$D$17)*(Inputs!$F$17-Inputs!$E$17))),0)</f>
        <v>106</v>
      </c>
      <c r="J541" s="81" t="n">
        <f aca="true">RAND()</f>
        <v>0.84208767663807</v>
      </c>
      <c r="K541" s="83" t="n">
        <f aca="false">IF(J541&lt;(Inputs!$E$18-Inputs!$D$18)/(Inputs!$F$18-Inputs!$D$18),Inputs!$D$18+SQRT(J541*(Inputs!$F$18-Inputs!$D$18)*(Inputs!$E$18-Inputs!$D$18)),Inputs!$F$18-SQRT((1-J541)*(Inputs!$F$18-Inputs!$D$18)*(Inputs!$F$18-Inputs!$E$18)))</f>
        <v>1.13245286777565</v>
      </c>
      <c r="L541" s="81" t="n">
        <f aca="true">RAND()</f>
        <v>0.233566809635165</v>
      </c>
      <c r="M541" s="83" t="n">
        <f aca="false">IF(L541&lt;(Inputs!$E$24-Inputs!$D$24)/(Inputs!$F$24-Inputs!$D$24),Inputs!$D$24+SQRT(L541*(Inputs!$F$24-Inputs!$D$24)*(Inputs!$E$24-Inputs!$D$24)),Inputs!$F$24-SQRT((1-L541)*(Inputs!$F$24-Inputs!$D$24)*(Inputs!$F$24-Inputs!$E$24)))</f>
        <v>0.767415701641811</v>
      </c>
      <c r="N541" s="81" t="n">
        <f aca="true">RAND()</f>
        <v>0.740982360871884</v>
      </c>
      <c r="O541" s="83" t="n">
        <f aca="false">IF(N541&lt;(Inputs!$E$26-Inputs!$D$26)/(Inputs!$F$26-Inputs!$D$26),Inputs!$D$26+SQRT(N541*(Inputs!$F$26-Inputs!$D$26)*(Inputs!$E$26-Inputs!$D$26)),Inputs!$F$26-SQRT((1-N541)*(Inputs!$F$26-Inputs!$D$26)*(Inputs!$F$26-Inputs!$E$26)))</f>
        <v>0.655872505443713</v>
      </c>
      <c r="P541" s="81" t="n">
        <f aca="true">RAND()</f>
        <v>0.620442246604014</v>
      </c>
      <c r="Q541" s="82" t="n">
        <f aca="false">IF(P541&lt;(Inputs!$E$27-Inputs!$D$27)/(Inputs!$F$27-Inputs!$D$27),Inputs!$D$27+SQRT(P541*(Inputs!$F$27-Inputs!$D$27)*(Inputs!$E$27-Inputs!$D$27)),Inputs!$F$27-SQRT((1-P541)*(Inputs!$F$27-Inputs!$D$27)*(Inputs!$F$27-Inputs!$E$27)))</f>
        <v>96.6456829256536</v>
      </c>
      <c r="R541" s="81" t="n">
        <f aca="true">RAND()</f>
        <v>0.34552176851089</v>
      </c>
      <c r="S541" s="82" t="n">
        <f aca="false">IF(R541&lt;(Inputs!$E$29-Inputs!$D$29)/(Inputs!$F$29-Inputs!$D$29),Inputs!$D$29+SQRT(R541*(Inputs!$F$29-Inputs!$D$29)*(Inputs!$E$29-Inputs!$D$29)),Inputs!$F$29-SQRT((1-R541)*(Inputs!$F$29-Inputs!$D$29)*(Inputs!$F$29-Inputs!$E$29)))</f>
        <v>5.77600032016565</v>
      </c>
      <c r="T541" s="68" t="n">
        <f aca="false">Inputs!$E$9*(1+E541)+Inputs!$E$5*C541*(Inputs!$E$11*Inputs!$E$14*(G541*I541/Inputs!$E$16+(1-G541))*K541+Inputs!$E$23*M541)*(1+O541)+Inputs!$E$5*(Q541+S541)</f>
        <v>6950.69470336146</v>
      </c>
    </row>
    <row r="542" customFormat="false" ht="15" hidden="false" customHeight="false" outlineLevel="0" collapsed="false">
      <c r="A542" s="1" t="n">
        <v>538</v>
      </c>
      <c r="B542" s="81" t="n">
        <f aca="true">RAND()</f>
        <v>0.615784287505695</v>
      </c>
      <c r="C542" s="82" t="n">
        <f aca="false">ROUND(IF(B542&lt;(Inputs!$E$8-Inputs!$D$8)/(Inputs!$F$8-Inputs!$D$8),Inputs!$D$8+SQRT(B542*(Inputs!$F$8-Inputs!$D$8)*(Inputs!$E$8-Inputs!$D$8)),Inputs!$F$8-SQRT((1-B542)*(Inputs!$F$8-Inputs!$D$8)*(Inputs!$F$8-Inputs!$E$8))),0)</f>
        <v>26</v>
      </c>
      <c r="D542" s="81" t="n">
        <f aca="true">RAND()</f>
        <v>0.617121569948592</v>
      </c>
      <c r="E542" s="83" t="n">
        <f aca="false">IF(D542&lt;(Inputs!$E$10-Inputs!$D$10)/(Inputs!$F$10-Inputs!$D$10),Inputs!$D$10+SQRT(D542*(Inputs!$F$10-Inputs!$D$10)*(Inputs!$E$10-Inputs!$D$10)),Inputs!$F$10-SQRT((1-D542)*(Inputs!$F$10-Inputs!$D$10)*(Inputs!$F$10-Inputs!$E$10)))</f>
        <v>0.0928255958657001</v>
      </c>
      <c r="F542" s="81" t="n">
        <f aca="true">RAND()</f>
        <v>0.34566591004716</v>
      </c>
      <c r="G542" s="83" t="n">
        <f aca="false">IF(F542&lt;(Inputs!$E$15-Inputs!$D$15)/(Inputs!$F$15-Inputs!$D$15),Inputs!$D$15+SQRT(F542*(Inputs!$F$15-Inputs!$D$15)*(Inputs!$E$15-Inputs!$D$15)),Inputs!$F$15-SQRT((1-F542)*(Inputs!$F$15-Inputs!$D$15)*(Inputs!$F$15-Inputs!$E$15)))</f>
        <v>0.683146366131919</v>
      </c>
      <c r="H542" s="81" t="n">
        <f aca="true">RAND()</f>
        <v>0.493866553678938</v>
      </c>
      <c r="I542" s="82" t="n">
        <f aca="false">ROUND(IF(H542&lt;(Inputs!$E$17-Inputs!$D$17)/(Inputs!$F$17-Inputs!$D$17),Inputs!$D$17+SQRT(H542*(Inputs!$F$17-Inputs!$D$17)*(Inputs!$E$17-Inputs!$D$17)),Inputs!$F$17-SQRT((1-H542)*(Inputs!$F$17-Inputs!$D$17)*(Inputs!$F$17-Inputs!$E$17))),0)</f>
        <v>106</v>
      </c>
      <c r="J542" s="81" t="n">
        <f aca="true">RAND()</f>
        <v>0.201223635223165</v>
      </c>
      <c r="K542" s="83" t="n">
        <f aca="false">IF(J542&lt;(Inputs!$E$18-Inputs!$D$18)/(Inputs!$F$18-Inputs!$D$18),Inputs!$D$18+SQRT(J542*(Inputs!$F$18-Inputs!$D$18)*(Inputs!$E$18-Inputs!$D$18)),Inputs!$F$18-SQRT((1-J542)*(Inputs!$F$18-Inputs!$D$18)*(Inputs!$F$18-Inputs!$E$18)))</f>
        <v>0.983921554041919</v>
      </c>
      <c r="L542" s="81" t="n">
        <f aca="true">RAND()</f>
        <v>0.681409690784018</v>
      </c>
      <c r="M542" s="83" t="n">
        <f aca="false">IF(L542&lt;(Inputs!$E$24-Inputs!$D$24)/(Inputs!$F$24-Inputs!$D$24),Inputs!$D$24+SQRT(L542*(Inputs!$F$24-Inputs!$D$24)*(Inputs!$E$24-Inputs!$D$24)),Inputs!$F$24-SQRT((1-L542)*(Inputs!$F$24-Inputs!$D$24)*(Inputs!$F$24-Inputs!$E$24)))</f>
        <v>0.923482958550769</v>
      </c>
      <c r="N542" s="81" t="n">
        <f aca="true">RAND()</f>
        <v>0.0645748144301703</v>
      </c>
      <c r="O542" s="83" t="n">
        <f aca="false">IF(N542&lt;(Inputs!$E$26-Inputs!$D$26)/(Inputs!$F$26-Inputs!$D$26),Inputs!$D$26+SQRT(N542*(Inputs!$F$26-Inputs!$D$26)*(Inputs!$E$26-Inputs!$D$26)),Inputs!$F$26-SQRT((1-N542)*(Inputs!$F$26-Inputs!$D$26)*(Inputs!$F$26-Inputs!$E$26)))</f>
        <v>0.403659293462672</v>
      </c>
      <c r="P542" s="81" t="n">
        <f aca="true">RAND()</f>
        <v>0.676906539447368</v>
      </c>
      <c r="Q542" s="82" t="n">
        <f aca="false">IF(P542&lt;(Inputs!$E$27-Inputs!$D$27)/(Inputs!$F$27-Inputs!$D$27),Inputs!$D$27+SQRT(P542*(Inputs!$F$27-Inputs!$D$27)*(Inputs!$E$27-Inputs!$D$27)),Inputs!$F$27-SQRT((1-P542)*(Inputs!$F$27-Inputs!$D$27)*(Inputs!$F$27-Inputs!$E$27)))</f>
        <v>100.773980923248</v>
      </c>
      <c r="R542" s="81" t="n">
        <f aca="true">RAND()</f>
        <v>0.0693474140840795</v>
      </c>
      <c r="S542" s="82" t="n">
        <f aca="false">IF(R542&lt;(Inputs!$E$29-Inputs!$D$29)/(Inputs!$F$29-Inputs!$D$29),Inputs!$D$29+SQRT(R542*(Inputs!$F$29-Inputs!$D$29)*(Inputs!$E$29-Inputs!$D$29)),Inputs!$F$29-SQRT((1-R542)*(Inputs!$F$29-Inputs!$D$29)*(Inputs!$F$29-Inputs!$E$29)))</f>
        <v>3.64455135197388</v>
      </c>
      <c r="T542" s="68" t="n">
        <f aca="false">Inputs!$E$9*(1+E542)+Inputs!$E$5*C542*(Inputs!$E$11*Inputs!$E$14*(G542*I542/Inputs!$E$16+(1-G542))*K542+Inputs!$E$23*M542)*(1+O542)+Inputs!$E$5*(Q542+S542)</f>
        <v>6086.52404644002</v>
      </c>
    </row>
    <row r="543" customFormat="false" ht="15" hidden="false" customHeight="false" outlineLevel="0" collapsed="false">
      <c r="A543" s="1" t="n">
        <v>539</v>
      </c>
      <c r="B543" s="81" t="n">
        <f aca="true">RAND()</f>
        <v>0.331992255651</v>
      </c>
      <c r="C543" s="82" t="n">
        <f aca="false">ROUND(IF(B543&lt;(Inputs!$E$8-Inputs!$D$8)/(Inputs!$F$8-Inputs!$D$8),Inputs!$D$8+SQRT(B543*(Inputs!$F$8-Inputs!$D$8)*(Inputs!$E$8-Inputs!$D$8)),Inputs!$F$8-SQRT((1-B543)*(Inputs!$F$8-Inputs!$D$8)*(Inputs!$F$8-Inputs!$E$8))),0)</f>
        <v>24</v>
      </c>
      <c r="D543" s="81" t="n">
        <f aca="true">RAND()</f>
        <v>0.380334563796067</v>
      </c>
      <c r="E543" s="83" t="n">
        <f aca="false">IF(D543&lt;(Inputs!$E$10-Inputs!$D$10)/(Inputs!$F$10-Inputs!$D$10),Inputs!$D$10+SQRT(D543*(Inputs!$F$10-Inputs!$D$10)*(Inputs!$E$10-Inputs!$D$10)),Inputs!$F$10-SQRT((1-D543)*(Inputs!$F$10-Inputs!$D$10)*(Inputs!$F$10-Inputs!$E$10)))</f>
        <v>0.0636549851071995</v>
      </c>
      <c r="F543" s="81" t="n">
        <f aca="true">RAND()</f>
        <v>0.760870418755378</v>
      </c>
      <c r="G543" s="83" t="n">
        <f aca="false">IF(F543&lt;(Inputs!$E$15-Inputs!$D$15)/(Inputs!$F$15-Inputs!$D$15),Inputs!$D$15+SQRT(F543*(Inputs!$F$15-Inputs!$D$15)*(Inputs!$E$15-Inputs!$D$15)),Inputs!$F$15-SQRT((1-F543)*(Inputs!$F$15-Inputs!$D$15)*(Inputs!$F$15-Inputs!$E$15)))</f>
        <v>0.730843715940687</v>
      </c>
      <c r="H543" s="81" t="n">
        <f aca="true">RAND()</f>
        <v>0.374062603930804</v>
      </c>
      <c r="I543" s="82" t="n">
        <f aca="false">ROUND(IF(H543&lt;(Inputs!$E$17-Inputs!$D$17)/(Inputs!$F$17-Inputs!$D$17),Inputs!$D$17+SQRT(H543*(Inputs!$F$17-Inputs!$D$17)*(Inputs!$E$17-Inputs!$D$17)),Inputs!$F$17-SQRT((1-H543)*(Inputs!$F$17-Inputs!$D$17)*(Inputs!$F$17-Inputs!$E$17))),0)</f>
        <v>105</v>
      </c>
      <c r="J543" s="81" t="n">
        <f aca="true">RAND()</f>
        <v>0.615298255785557</v>
      </c>
      <c r="K543" s="83" t="n">
        <f aca="false">IF(J543&lt;(Inputs!$E$18-Inputs!$D$18)/(Inputs!$F$18-Inputs!$D$18),Inputs!$D$18+SQRT(J543*(Inputs!$F$18-Inputs!$D$18)*(Inputs!$E$18-Inputs!$D$18)),Inputs!$F$18-SQRT((1-J543)*(Inputs!$F$18-Inputs!$D$18)*(Inputs!$F$18-Inputs!$E$18)))</f>
        <v>1.06652955927789</v>
      </c>
      <c r="L543" s="81" t="n">
        <f aca="true">RAND()</f>
        <v>0.0463166248856427</v>
      </c>
      <c r="M543" s="83" t="n">
        <f aca="false">IF(L543&lt;(Inputs!$E$24-Inputs!$D$24)/(Inputs!$F$24-Inputs!$D$24),Inputs!$D$24+SQRT(L543*(Inputs!$F$24-Inputs!$D$24)*(Inputs!$E$24-Inputs!$D$24)),Inputs!$F$24-SQRT((1-L543)*(Inputs!$F$24-Inputs!$D$24)*(Inputs!$F$24-Inputs!$E$24)))</f>
        <v>0.674551961652777</v>
      </c>
      <c r="N543" s="81" t="n">
        <f aca="true">RAND()</f>
        <v>0.707422224202843</v>
      </c>
      <c r="O543" s="83" t="n">
        <f aca="false">IF(N543&lt;(Inputs!$E$26-Inputs!$D$26)/(Inputs!$F$26-Inputs!$D$26),Inputs!$D$26+SQRT(N543*(Inputs!$F$26-Inputs!$D$26)*(Inputs!$E$26-Inputs!$D$26)),Inputs!$F$26-SQRT((1-N543)*(Inputs!$F$26-Inputs!$D$26)*(Inputs!$F$26-Inputs!$E$26)))</f>
        <v>0.645563511033659</v>
      </c>
      <c r="P543" s="81" t="n">
        <f aca="true">RAND()</f>
        <v>0.423782851409772</v>
      </c>
      <c r="Q543" s="82" t="n">
        <f aca="false">IF(P543&lt;(Inputs!$E$27-Inputs!$D$27)/(Inputs!$F$27-Inputs!$D$27),Inputs!$D$27+SQRT(P543*(Inputs!$F$27-Inputs!$D$27)*(Inputs!$E$27-Inputs!$D$27)),Inputs!$F$27-SQRT((1-P543)*(Inputs!$F$27-Inputs!$D$27)*(Inputs!$F$27-Inputs!$E$27)))</f>
        <v>84.2609049771241</v>
      </c>
      <c r="R543" s="81" t="n">
        <f aca="true">RAND()</f>
        <v>0.110302642094103</v>
      </c>
      <c r="S543" s="82" t="n">
        <f aca="false">IF(R543&lt;(Inputs!$E$29-Inputs!$D$29)/(Inputs!$F$29-Inputs!$D$29),Inputs!$D$29+SQRT(R543*(Inputs!$F$29-Inputs!$D$29)*(Inputs!$E$29-Inputs!$D$29)),Inputs!$F$29-SQRT((1-R543)*(Inputs!$F$29-Inputs!$D$29)*(Inputs!$F$29-Inputs!$E$29)))</f>
        <v>4.07407884171987</v>
      </c>
      <c r="T543" s="68" t="n">
        <f aca="false">Inputs!$E$9*(1+E543)+Inputs!$E$5*C543*(Inputs!$E$11*Inputs!$E$14*(G543*I543/Inputs!$E$16+(1-G543))*K543+Inputs!$E$23*M543)*(1+O543)+Inputs!$E$5*(Q543+S543)</f>
        <v>5950.14378854861</v>
      </c>
    </row>
    <row r="544" customFormat="false" ht="15" hidden="false" customHeight="false" outlineLevel="0" collapsed="false">
      <c r="A544" s="1" t="n">
        <v>540</v>
      </c>
      <c r="B544" s="81" t="n">
        <f aca="true">RAND()</f>
        <v>0.258396114842535</v>
      </c>
      <c r="C544" s="82" t="n">
        <f aca="false">ROUND(IF(B544&lt;(Inputs!$E$8-Inputs!$D$8)/(Inputs!$F$8-Inputs!$D$8),Inputs!$D$8+SQRT(B544*(Inputs!$F$8-Inputs!$D$8)*(Inputs!$E$8-Inputs!$D$8)),Inputs!$F$8-SQRT((1-B544)*(Inputs!$F$8-Inputs!$D$8)*(Inputs!$F$8-Inputs!$E$8))),0)</f>
        <v>24</v>
      </c>
      <c r="D544" s="81" t="n">
        <f aca="true">RAND()</f>
        <v>0.948288698825669</v>
      </c>
      <c r="E544" s="83" t="n">
        <f aca="false">IF(D544&lt;(Inputs!$E$10-Inputs!$D$10)/(Inputs!$F$10-Inputs!$D$10),Inputs!$D$10+SQRT(D544*(Inputs!$F$10-Inputs!$D$10)*(Inputs!$E$10-Inputs!$D$10)),Inputs!$F$10-SQRT((1-D544)*(Inputs!$F$10-Inputs!$D$10)*(Inputs!$F$10-Inputs!$E$10)))</f>
        <v>0.160612958536723</v>
      </c>
      <c r="F544" s="81" t="n">
        <f aca="true">RAND()</f>
        <v>0.999331633106993</v>
      </c>
      <c r="G544" s="83" t="n">
        <f aca="false">IF(F544&lt;(Inputs!$E$15-Inputs!$D$15)/(Inputs!$F$15-Inputs!$D$15),Inputs!$D$15+SQRT(F544*(Inputs!$F$15-Inputs!$D$15)*(Inputs!$E$15-Inputs!$D$15)),Inputs!$F$15-SQRT((1-F544)*(Inputs!$F$15-Inputs!$D$15)*(Inputs!$F$15-Inputs!$E$15)))</f>
        <v>0.796343862986683</v>
      </c>
      <c r="H544" s="81" t="n">
        <f aca="true">RAND()</f>
        <v>0.720630649218898</v>
      </c>
      <c r="I544" s="82" t="n">
        <f aca="false">ROUND(IF(H544&lt;(Inputs!$E$17-Inputs!$D$17)/(Inputs!$F$17-Inputs!$D$17),Inputs!$D$17+SQRT(H544*(Inputs!$F$17-Inputs!$D$17)*(Inputs!$E$17-Inputs!$D$17)),Inputs!$F$17-SQRT((1-H544)*(Inputs!$F$17-Inputs!$D$17)*(Inputs!$F$17-Inputs!$E$17))),0)</f>
        <v>109</v>
      </c>
      <c r="J544" s="81" t="n">
        <f aca="true">RAND()</f>
        <v>0.252147936191338</v>
      </c>
      <c r="K544" s="83" t="n">
        <f aca="false">IF(J544&lt;(Inputs!$E$18-Inputs!$D$18)/(Inputs!$F$18-Inputs!$D$18),Inputs!$D$18+SQRT(J544*(Inputs!$F$18-Inputs!$D$18)*(Inputs!$E$18-Inputs!$D$18)),Inputs!$F$18-SQRT((1-J544)*(Inputs!$F$18-Inputs!$D$18)*(Inputs!$F$18-Inputs!$E$18)))</f>
        <v>0.993942417292173</v>
      </c>
      <c r="L544" s="81" t="n">
        <f aca="true">RAND()</f>
        <v>0.692899814145831</v>
      </c>
      <c r="M544" s="83" t="n">
        <f aca="false">IF(L544&lt;(Inputs!$E$24-Inputs!$D$24)/(Inputs!$F$24-Inputs!$D$24),Inputs!$D$24+SQRT(L544*(Inputs!$F$24-Inputs!$D$24)*(Inputs!$E$24-Inputs!$D$24)),Inputs!$F$24-SQRT((1-L544)*(Inputs!$F$24-Inputs!$D$24)*(Inputs!$F$24-Inputs!$E$24)))</f>
        <v>0.928515111645232</v>
      </c>
      <c r="N544" s="81" t="n">
        <f aca="true">RAND()</f>
        <v>0.873650024904457</v>
      </c>
      <c r="O544" s="83" t="n">
        <f aca="false">IF(N544&lt;(Inputs!$E$26-Inputs!$D$26)/(Inputs!$F$26-Inputs!$D$26),Inputs!$D$26+SQRT(N544*(Inputs!$F$26-Inputs!$D$26)*(Inputs!$E$26-Inputs!$D$26)),Inputs!$F$26-SQRT((1-N544)*(Inputs!$F$26-Inputs!$D$26)*(Inputs!$F$26-Inputs!$E$26)))</f>
        <v>0.705368427516951</v>
      </c>
      <c r="P544" s="81" t="n">
        <f aca="true">RAND()</f>
        <v>0.496627887519203</v>
      </c>
      <c r="Q544" s="82" t="n">
        <f aca="false">IF(P544&lt;(Inputs!$E$27-Inputs!$D$27)/(Inputs!$F$27-Inputs!$D$27),Inputs!$D$27+SQRT(P544*(Inputs!$F$27-Inputs!$D$27)*(Inputs!$E$27-Inputs!$D$27)),Inputs!$F$27-SQRT((1-P544)*(Inputs!$F$27-Inputs!$D$27)*(Inputs!$F$27-Inputs!$E$27)))</f>
        <v>88.5566045566655</v>
      </c>
      <c r="R544" s="81" t="n">
        <f aca="true">RAND()</f>
        <v>0.0992342210323038</v>
      </c>
      <c r="S544" s="82" t="n">
        <f aca="false">IF(R544&lt;(Inputs!$E$29-Inputs!$D$29)/(Inputs!$F$29-Inputs!$D$29),Inputs!$D$29+SQRT(R544*(Inputs!$F$29-Inputs!$D$29)*(Inputs!$E$29-Inputs!$D$29)),Inputs!$F$29-SQRT((1-R544)*(Inputs!$F$29-Inputs!$D$29)*(Inputs!$F$29-Inputs!$E$29)))</f>
        <v>3.96726577265499</v>
      </c>
      <c r="T544" s="68" t="n">
        <f aca="false">Inputs!$E$9*(1+E544)+Inputs!$E$5*C544*(Inputs!$E$11*Inputs!$E$14*(G544*I544/Inputs!$E$16+(1-G544))*K544+Inputs!$E$23*M544)*(1+O544)+Inputs!$E$5*(Q544+S544)</f>
        <v>6478.84048307503</v>
      </c>
    </row>
    <row r="545" customFormat="false" ht="15" hidden="false" customHeight="false" outlineLevel="0" collapsed="false">
      <c r="A545" s="1" t="n">
        <v>541</v>
      </c>
      <c r="B545" s="81" t="n">
        <f aca="true">RAND()</f>
        <v>0.545281084367123</v>
      </c>
      <c r="C545" s="82" t="n">
        <f aca="false">ROUND(IF(B545&lt;(Inputs!$E$8-Inputs!$D$8)/(Inputs!$F$8-Inputs!$D$8),Inputs!$D$8+SQRT(B545*(Inputs!$F$8-Inputs!$D$8)*(Inputs!$E$8-Inputs!$D$8)),Inputs!$F$8-SQRT((1-B545)*(Inputs!$F$8-Inputs!$D$8)*(Inputs!$F$8-Inputs!$E$8))),0)</f>
        <v>25</v>
      </c>
      <c r="D545" s="81" t="n">
        <f aca="true">RAND()</f>
        <v>0.277373381037512</v>
      </c>
      <c r="E545" s="83" t="n">
        <f aca="false">IF(D545&lt;(Inputs!$E$10-Inputs!$D$10)/(Inputs!$F$10-Inputs!$D$10),Inputs!$D$10+SQRT(D545*(Inputs!$F$10-Inputs!$D$10)*(Inputs!$E$10-Inputs!$D$10)),Inputs!$F$10-SQRT((1-D545)*(Inputs!$F$10-Inputs!$D$10)*(Inputs!$F$10-Inputs!$E$10)))</f>
        <v>0.052762781305559</v>
      </c>
      <c r="F545" s="81" t="n">
        <f aca="true">RAND()</f>
        <v>0.546526795995183</v>
      </c>
      <c r="G545" s="83" t="n">
        <f aca="false">IF(F545&lt;(Inputs!$E$15-Inputs!$D$15)/(Inputs!$F$15-Inputs!$D$15),Inputs!$D$15+SQRT(F545*(Inputs!$F$15-Inputs!$D$15)*(Inputs!$E$15-Inputs!$D$15)),Inputs!$F$15-SQRT((1-F545)*(Inputs!$F$15-Inputs!$D$15)*(Inputs!$F$15-Inputs!$E$15)))</f>
        <v>0.704766266060307</v>
      </c>
      <c r="H545" s="81" t="n">
        <f aca="true">RAND()</f>
        <v>0.0114697797494933</v>
      </c>
      <c r="I545" s="82" t="n">
        <f aca="false">ROUND(IF(H545&lt;(Inputs!$E$17-Inputs!$D$17)/(Inputs!$F$17-Inputs!$D$17),Inputs!$D$17+SQRT(H545*(Inputs!$F$17-Inputs!$D$17)*(Inputs!$E$17-Inputs!$D$17)),Inputs!$F$17-SQRT((1-H545)*(Inputs!$F$17-Inputs!$D$17)*(Inputs!$F$17-Inputs!$E$17))),0)</f>
        <v>101</v>
      </c>
      <c r="J545" s="81" t="n">
        <f aca="true">RAND()</f>
        <v>0.817767735554534</v>
      </c>
      <c r="K545" s="83" t="n">
        <f aca="false">IF(J545&lt;(Inputs!$E$18-Inputs!$D$18)/(Inputs!$F$18-Inputs!$D$18),Inputs!$D$18+SQRT(J545*(Inputs!$F$18-Inputs!$D$18)*(Inputs!$E$18-Inputs!$D$18)),Inputs!$F$18-SQRT((1-J545)*(Inputs!$F$18-Inputs!$D$18)*(Inputs!$F$18-Inputs!$E$18)))</f>
        <v>1.12372520782445</v>
      </c>
      <c r="L545" s="81" t="n">
        <f aca="true">RAND()</f>
        <v>0.10217369858716</v>
      </c>
      <c r="M545" s="83" t="n">
        <f aca="false">IF(L545&lt;(Inputs!$E$24-Inputs!$D$24)/(Inputs!$F$24-Inputs!$D$24),Inputs!$D$24+SQRT(L545*(Inputs!$F$24-Inputs!$D$24)*(Inputs!$E$24-Inputs!$D$24)),Inputs!$F$24-SQRT((1-L545)*(Inputs!$F$24-Inputs!$D$24)*(Inputs!$F$24-Inputs!$E$24)))</f>
        <v>0.710728694702228</v>
      </c>
      <c r="N545" s="81" t="n">
        <f aca="true">RAND()</f>
        <v>0.449326036472999</v>
      </c>
      <c r="O545" s="83" t="n">
        <f aca="false">IF(N545&lt;(Inputs!$E$26-Inputs!$D$26)/(Inputs!$F$26-Inputs!$D$26),Inputs!$D$26+SQRT(N545*(Inputs!$F$26-Inputs!$D$26)*(Inputs!$E$26-Inputs!$D$26)),Inputs!$F$26-SQRT((1-N545)*(Inputs!$F$26-Inputs!$D$26)*(Inputs!$F$26-Inputs!$E$26)))</f>
        <v>0.573437108800373</v>
      </c>
      <c r="P545" s="81" t="n">
        <f aca="true">RAND()</f>
        <v>0.991829836132011</v>
      </c>
      <c r="Q545" s="82" t="n">
        <f aca="false">IF(P545&lt;(Inputs!$E$27-Inputs!$D$27)/(Inputs!$F$27-Inputs!$D$27),Inputs!$D$27+SQRT(P545*(Inputs!$F$27-Inputs!$D$27)*(Inputs!$E$27-Inputs!$D$27)),Inputs!$F$27-SQRT((1-P545)*(Inputs!$F$27-Inputs!$D$27)*(Inputs!$F$27-Inputs!$E$27)))</f>
        <v>142.172086548133</v>
      </c>
      <c r="R545" s="81" t="n">
        <f aca="true">RAND()</f>
        <v>0.651361454552803</v>
      </c>
      <c r="S545" s="82" t="n">
        <f aca="false">IF(R545&lt;(Inputs!$E$29-Inputs!$D$29)/(Inputs!$F$29-Inputs!$D$29),Inputs!$D$29+SQRT(R545*(Inputs!$F$29-Inputs!$D$29)*(Inputs!$E$29-Inputs!$D$29)),Inputs!$F$29-SQRT((1-R545)*(Inputs!$F$29-Inputs!$D$29)*(Inputs!$F$29-Inputs!$E$29)))</f>
        <v>8.26776330569582</v>
      </c>
      <c r="T545" s="68" t="n">
        <f aca="false">Inputs!$E$9*(1+E545)+Inputs!$E$5*C545*(Inputs!$E$11*Inputs!$E$14*(G545*I545/Inputs!$E$16+(1-G545))*K545+Inputs!$E$23*M545)*(1+O545)+Inputs!$E$5*(Q545+S545)</f>
        <v>6379.81701939681</v>
      </c>
    </row>
    <row r="546" customFormat="false" ht="15" hidden="false" customHeight="false" outlineLevel="0" collapsed="false">
      <c r="A546" s="1" t="n">
        <v>542</v>
      </c>
      <c r="B546" s="81" t="n">
        <f aca="true">RAND()</f>
        <v>0.993407865870882</v>
      </c>
      <c r="C546" s="82" t="n">
        <f aca="false">ROUND(IF(B546&lt;(Inputs!$E$8-Inputs!$D$8)/(Inputs!$F$8-Inputs!$D$8),Inputs!$D$8+SQRT(B546*(Inputs!$F$8-Inputs!$D$8)*(Inputs!$E$8-Inputs!$D$8)),Inputs!$F$8-SQRT((1-B546)*(Inputs!$F$8-Inputs!$D$8)*(Inputs!$F$8-Inputs!$E$8))),0)</f>
        <v>29</v>
      </c>
      <c r="D546" s="81" t="n">
        <f aca="true">RAND()</f>
        <v>0.0827403103219728</v>
      </c>
      <c r="E546" s="83" t="n">
        <f aca="false">IF(D546&lt;(Inputs!$E$10-Inputs!$D$10)/(Inputs!$F$10-Inputs!$D$10),Inputs!$D$10+SQRT(D546*(Inputs!$F$10-Inputs!$D$10)*(Inputs!$E$10-Inputs!$D$10)),Inputs!$F$10-SQRT((1-D546)*(Inputs!$F$10-Inputs!$D$10)*(Inputs!$F$10-Inputs!$E$10)))</f>
        <v>0.0287646154714387</v>
      </c>
      <c r="F546" s="81" t="n">
        <f aca="true">RAND()</f>
        <v>0.9538683077642</v>
      </c>
      <c r="G546" s="83" t="n">
        <f aca="false">IF(F546&lt;(Inputs!$E$15-Inputs!$D$15)/(Inputs!$F$15-Inputs!$D$15),Inputs!$D$15+SQRT(F546*(Inputs!$F$15-Inputs!$D$15)*(Inputs!$E$15-Inputs!$D$15)),Inputs!$F$15-SQRT((1-F546)*(Inputs!$F$15-Inputs!$D$15)*(Inputs!$F$15-Inputs!$E$15)))</f>
        <v>0.769625111609818</v>
      </c>
      <c r="H546" s="81" t="n">
        <f aca="true">RAND()</f>
        <v>0.355167302887925</v>
      </c>
      <c r="I546" s="82" t="n">
        <f aca="false">ROUND(IF(H546&lt;(Inputs!$E$17-Inputs!$D$17)/(Inputs!$F$17-Inputs!$D$17),Inputs!$D$17+SQRT(H546*(Inputs!$F$17-Inputs!$D$17)*(Inputs!$E$17-Inputs!$D$17)),Inputs!$F$17-SQRT((1-H546)*(Inputs!$F$17-Inputs!$D$17)*(Inputs!$F$17-Inputs!$E$17))),0)</f>
        <v>105</v>
      </c>
      <c r="J546" s="81" t="n">
        <f aca="true">RAND()</f>
        <v>0.120601060524425</v>
      </c>
      <c r="K546" s="83" t="n">
        <f aca="false">IF(J546&lt;(Inputs!$E$18-Inputs!$D$18)/(Inputs!$F$18-Inputs!$D$18),Inputs!$D$18+SQRT(J546*(Inputs!$F$18-Inputs!$D$18)*(Inputs!$E$18-Inputs!$D$18)),Inputs!$F$18-SQRT((1-J546)*(Inputs!$F$18-Inputs!$D$18)*(Inputs!$F$18-Inputs!$E$18)))</f>
        <v>0.964969509143558</v>
      </c>
      <c r="L546" s="81" t="n">
        <f aca="true">RAND()</f>
        <v>0.125152365182548</v>
      </c>
      <c r="M546" s="83" t="n">
        <f aca="false">IF(L546&lt;(Inputs!$E$24-Inputs!$D$24)/(Inputs!$F$24-Inputs!$D$24),Inputs!$D$24+SQRT(L546*(Inputs!$F$24-Inputs!$D$24)*(Inputs!$E$24-Inputs!$D$24)),Inputs!$F$24-SQRT((1-L546)*(Inputs!$F$24-Inputs!$D$24)*(Inputs!$F$24-Inputs!$E$24)))</f>
        <v>0.722549107797265</v>
      </c>
      <c r="N546" s="81" t="n">
        <f aca="true">RAND()</f>
        <v>0.982539929996488</v>
      </c>
      <c r="O546" s="83" t="n">
        <f aca="false">IF(N546&lt;(Inputs!$E$26-Inputs!$D$26)/(Inputs!$F$26-Inputs!$D$26),Inputs!$D$26+SQRT(N546*(Inputs!$F$26-Inputs!$D$26)*(Inputs!$E$26-Inputs!$D$26)),Inputs!$F$26-SQRT((1-N546)*(Inputs!$F$26-Inputs!$D$26)*(Inputs!$F$26-Inputs!$E$26)))</f>
        <v>0.777387240404249</v>
      </c>
      <c r="P546" s="81" t="n">
        <f aca="true">RAND()</f>
        <v>0.932385187197631</v>
      </c>
      <c r="Q546" s="82" t="n">
        <f aca="false">IF(P546&lt;(Inputs!$E$27-Inputs!$D$27)/(Inputs!$F$27-Inputs!$D$27),Inputs!$D$27+SQRT(P546*(Inputs!$F$27-Inputs!$D$27)*(Inputs!$E$27-Inputs!$D$27)),Inputs!$F$27-SQRT((1-P546)*(Inputs!$F$27-Inputs!$D$27)*(Inputs!$F$27-Inputs!$E$27)))</f>
        <v>127.48087266305</v>
      </c>
      <c r="R546" s="81" t="n">
        <f aca="true">RAND()</f>
        <v>0.750417184832634</v>
      </c>
      <c r="S546" s="82" t="n">
        <f aca="false">IF(R546&lt;(Inputs!$E$29-Inputs!$D$29)/(Inputs!$F$29-Inputs!$D$29),Inputs!$D$29+SQRT(R546*(Inputs!$F$29-Inputs!$D$29)*(Inputs!$E$29-Inputs!$D$29)),Inputs!$F$29-SQRT((1-R546)*(Inputs!$F$29-Inputs!$D$29)*(Inputs!$F$29-Inputs!$E$29)))</f>
        <v>9.30388149949832</v>
      </c>
      <c r="T546" s="68" t="n">
        <f aca="false">Inputs!$E$9*(1+E546)+Inputs!$E$5*C546*(Inputs!$E$11*Inputs!$E$14*(G546*I546/Inputs!$E$16+(1-G546))*K546+Inputs!$E$23*M546)*(1+O546)+Inputs!$E$5*(Q546+S546)</f>
        <v>6830.64591594737</v>
      </c>
    </row>
    <row r="547" customFormat="false" ht="15" hidden="false" customHeight="false" outlineLevel="0" collapsed="false">
      <c r="A547" s="1" t="n">
        <v>543</v>
      </c>
      <c r="B547" s="81" t="n">
        <f aca="true">RAND()</f>
        <v>0.408327277580663</v>
      </c>
      <c r="C547" s="82" t="n">
        <f aca="false">ROUND(IF(B547&lt;(Inputs!$E$8-Inputs!$D$8)/(Inputs!$F$8-Inputs!$D$8),Inputs!$D$8+SQRT(B547*(Inputs!$F$8-Inputs!$D$8)*(Inputs!$E$8-Inputs!$D$8)),Inputs!$F$8-SQRT((1-B547)*(Inputs!$F$8-Inputs!$D$8)*(Inputs!$F$8-Inputs!$E$8))),0)</f>
        <v>25</v>
      </c>
      <c r="D547" s="81" t="n">
        <f aca="true">RAND()</f>
        <v>0.959417727541423</v>
      </c>
      <c r="E547" s="83" t="n">
        <f aca="false">IF(D547&lt;(Inputs!$E$10-Inputs!$D$10)/(Inputs!$F$10-Inputs!$D$10),Inputs!$D$10+SQRT(D547*(Inputs!$F$10-Inputs!$D$10)*(Inputs!$E$10-Inputs!$D$10)),Inputs!$F$10-SQRT((1-D547)*(Inputs!$F$10-Inputs!$D$10)*(Inputs!$F$10-Inputs!$E$10)))</f>
        <v>0.165107763417096</v>
      </c>
      <c r="F547" s="81" t="n">
        <f aca="true">RAND()</f>
        <v>0.316843585966619</v>
      </c>
      <c r="G547" s="83" t="n">
        <f aca="false">IF(F547&lt;(Inputs!$E$15-Inputs!$D$15)/(Inputs!$F$15-Inputs!$D$15),Inputs!$D$15+SQRT(F547*(Inputs!$F$15-Inputs!$D$15)*(Inputs!$E$15-Inputs!$D$15)),Inputs!$F$15-SQRT((1-F547)*(Inputs!$F$15-Inputs!$D$15)*(Inputs!$F$15-Inputs!$E$15)))</f>
        <v>0.679604470473287</v>
      </c>
      <c r="H547" s="81" t="n">
        <f aca="true">RAND()</f>
        <v>0.983667100237337</v>
      </c>
      <c r="I547" s="82" t="n">
        <f aca="false">ROUND(IF(H547&lt;(Inputs!$E$17-Inputs!$D$17)/(Inputs!$F$17-Inputs!$D$17),Inputs!$D$17+SQRT(H547*(Inputs!$F$17-Inputs!$D$17)*(Inputs!$E$17-Inputs!$D$17)),Inputs!$F$17-SQRT((1-H547)*(Inputs!$F$17-Inputs!$D$17)*(Inputs!$F$17-Inputs!$E$17))),0)</f>
        <v>113</v>
      </c>
      <c r="J547" s="81" t="n">
        <f aca="true">RAND()</f>
        <v>0.794741335697137</v>
      </c>
      <c r="K547" s="83" t="n">
        <f aca="false">IF(J547&lt;(Inputs!$E$18-Inputs!$D$18)/(Inputs!$F$18-Inputs!$D$18),Inputs!$D$18+SQRT(J547*(Inputs!$F$18-Inputs!$D$18)*(Inputs!$E$18-Inputs!$D$18)),Inputs!$F$18-SQRT((1-J547)*(Inputs!$F$18-Inputs!$D$18)*(Inputs!$F$18-Inputs!$E$18)))</f>
        <v>1.11598457877356</v>
      </c>
      <c r="L547" s="81" t="n">
        <f aca="true">RAND()</f>
        <v>0.468680626518466</v>
      </c>
      <c r="M547" s="83" t="n">
        <f aca="false">IF(L547&lt;(Inputs!$E$24-Inputs!$D$24)/(Inputs!$F$24-Inputs!$D$24),Inputs!$D$24+SQRT(L547*(Inputs!$F$24-Inputs!$D$24)*(Inputs!$E$24-Inputs!$D$24)),Inputs!$F$24-SQRT((1-L547)*(Inputs!$F$24-Inputs!$D$24)*(Inputs!$F$24-Inputs!$E$24)))</f>
        <v>0.842905265180837</v>
      </c>
      <c r="N547" s="81" t="n">
        <f aca="true">RAND()</f>
        <v>0.704440911864976</v>
      </c>
      <c r="O547" s="83" t="n">
        <f aca="false">IF(N547&lt;(Inputs!$E$26-Inputs!$D$26)/(Inputs!$F$26-Inputs!$D$26),Inputs!$D$26+SQRT(N547*(Inputs!$F$26-Inputs!$D$26)*(Inputs!$E$26-Inputs!$D$26)),Inputs!$F$26-SQRT((1-N547)*(Inputs!$F$26-Inputs!$D$26)*(Inputs!$F$26-Inputs!$E$26)))</f>
        <v>0.644677026131649</v>
      </c>
      <c r="P547" s="81" t="n">
        <f aca="true">RAND()</f>
        <v>0.37477032470491</v>
      </c>
      <c r="Q547" s="82" t="n">
        <f aca="false">IF(P547&lt;(Inputs!$E$27-Inputs!$D$27)/(Inputs!$F$27-Inputs!$D$27),Inputs!$D$27+SQRT(P547*(Inputs!$F$27-Inputs!$D$27)*(Inputs!$E$27-Inputs!$D$27)),Inputs!$F$27-SQRT((1-P547)*(Inputs!$F$27-Inputs!$D$27)*(Inputs!$F$27-Inputs!$E$27)))</f>
        <v>81.5221016333505</v>
      </c>
      <c r="R547" s="81" t="n">
        <f aca="true">RAND()</f>
        <v>0.537163576833317</v>
      </c>
      <c r="S547" s="82" t="n">
        <f aca="false">IF(R547&lt;(Inputs!$E$29-Inputs!$D$29)/(Inputs!$F$29-Inputs!$D$29),Inputs!$D$29+SQRT(R547*(Inputs!$F$29-Inputs!$D$29)*(Inputs!$E$29-Inputs!$D$29)),Inputs!$F$29-SQRT((1-R547)*(Inputs!$F$29-Inputs!$D$29)*(Inputs!$F$29-Inputs!$E$29)))</f>
        <v>7.24314915628328</v>
      </c>
      <c r="T547" s="68" t="n">
        <f aca="false">Inputs!$E$9*(1+E547)+Inputs!$E$5*C547*(Inputs!$E$11*Inputs!$E$14*(G547*I547/Inputs!$E$16+(1-G547))*K547+Inputs!$E$23*M547)*(1+O547)+Inputs!$E$5*(Q547+S547)</f>
        <v>6841.77662986564</v>
      </c>
    </row>
    <row r="548" customFormat="false" ht="15" hidden="false" customHeight="false" outlineLevel="0" collapsed="false">
      <c r="A548" s="1" t="n">
        <v>544</v>
      </c>
      <c r="B548" s="81" t="n">
        <f aca="true">RAND()</f>
        <v>0.918290527178794</v>
      </c>
      <c r="C548" s="82" t="n">
        <f aca="false">ROUND(IF(B548&lt;(Inputs!$E$8-Inputs!$D$8)/(Inputs!$F$8-Inputs!$D$8),Inputs!$D$8+SQRT(B548*(Inputs!$F$8-Inputs!$D$8)*(Inputs!$E$8-Inputs!$D$8)),Inputs!$F$8-SQRT((1-B548)*(Inputs!$F$8-Inputs!$D$8)*(Inputs!$F$8-Inputs!$E$8))),0)</f>
        <v>28</v>
      </c>
      <c r="D548" s="81" t="n">
        <f aca="true">RAND()</f>
        <v>0.112742823260284</v>
      </c>
      <c r="E548" s="83" t="n">
        <f aca="false">IF(D548&lt;(Inputs!$E$10-Inputs!$D$10)/(Inputs!$F$10-Inputs!$D$10),Inputs!$D$10+SQRT(D548*(Inputs!$F$10-Inputs!$D$10)*(Inputs!$E$10-Inputs!$D$10)),Inputs!$F$10-SQRT((1-D548)*(Inputs!$F$10-Inputs!$D$10)*(Inputs!$F$10-Inputs!$E$10)))</f>
        <v>0.0335771981053041</v>
      </c>
      <c r="F548" s="81" t="n">
        <f aca="true">RAND()</f>
        <v>0.606903733982387</v>
      </c>
      <c r="G548" s="83" t="n">
        <f aca="false">IF(F548&lt;(Inputs!$E$15-Inputs!$D$15)/(Inputs!$F$15-Inputs!$D$15),Inputs!$D$15+SQRT(F548*(Inputs!$F$15-Inputs!$D$15)*(Inputs!$E$15-Inputs!$D$15)),Inputs!$F$15-SQRT((1-F548)*(Inputs!$F$15-Inputs!$D$15)*(Inputs!$F$15-Inputs!$E$15)))</f>
        <v>0.711332501330238</v>
      </c>
      <c r="H548" s="81" t="n">
        <f aca="true">RAND()</f>
        <v>0.610820259462777</v>
      </c>
      <c r="I548" s="82" t="n">
        <f aca="false">ROUND(IF(H548&lt;(Inputs!$E$17-Inputs!$D$17)/(Inputs!$F$17-Inputs!$D$17),Inputs!$D$17+SQRT(H548*(Inputs!$F$17-Inputs!$D$17)*(Inputs!$E$17-Inputs!$D$17)),Inputs!$F$17-SQRT((1-H548)*(Inputs!$F$17-Inputs!$D$17)*(Inputs!$F$17-Inputs!$E$17))),0)</f>
        <v>107</v>
      </c>
      <c r="J548" s="81" t="n">
        <f aca="true">RAND()</f>
        <v>0.799313362133258</v>
      </c>
      <c r="K548" s="83" t="n">
        <f aca="false">IF(J548&lt;(Inputs!$E$18-Inputs!$D$18)/(Inputs!$F$18-Inputs!$D$18),Inputs!$D$18+SQRT(J548*(Inputs!$F$18-Inputs!$D$18)*(Inputs!$E$18-Inputs!$D$18)),Inputs!$F$18-SQRT((1-J548)*(Inputs!$F$18-Inputs!$D$18)*(Inputs!$F$18-Inputs!$E$18)))</f>
        <v>1.1174855448891</v>
      </c>
      <c r="L548" s="81" t="n">
        <f aca="true">RAND()</f>
        <v>0.959735128713949</v>
      </c>
      <c r="M548" s="83" t="n">
        <f aca="false">IF(L548&lt;(Inputs!$E$24-Inputs!$D$24)/(Inputs!$F$24-Inputs!$D$24),Inputs!$D$24+SQRT(L548*(Inputs!$F$24-Inputs!$D$24)*(Inputs!$E$24-Inputs!$D$24)),Inputs!$F$24-SQRT((1-L548)*(Inputs!$F$24-Inputs!$D$24)*(Inputs!$F$24-Inputs!$E$24)))</f>
        <v>1.10169654579491</v>
      </c>
      <c r="N548" s="81" t="n">
        <f aca="true">RAND()</f>
        <v>0.384732583630619</v>
      </c>
      <c r="O548" s="83" t="n">
        <f aca="false">IF(N548&lt;(Inputs!$E$26-Inputs!$D$26)/(Inputs!$F$26-Inputs!$D$26),Inputs!$D$26+SQRT(N548*(Inputs!$F$26-Inputs!$D$26)*(Inputs!$E$26-Inputs!$D$26)),Inputs!$F$26-SQRT((1-N548)*(Inputs!$F$26-Inputs!$D$26)*(Inputs!$F$26-Inputs!$E$26)))</f>
        <v>0.553020753923734</v>
      </c>
      <c r="P548" s="81" t="n">
        <f aca="true">RAND()</f>
        <v>0.449612328212571</v>
      </c>
      <c r="Q548" s="82" t="n">
        <f aca="false">IF(P548&lt;(Inputs!$E$27-Inputs!$D$27)/(Inputs!$F$27-Inputs!$D$27),Inputs!$D$27+SQRT(P548*(Inputs!$F$27-Inputs!$D$27)*(Inputs!$E$27-Inputs!$D$27)),Inputs!$F$27-SQRT((1-P548)*(Inputs!$F$27-Inputs!$D$27)*(Inputs!$F$27-Inputs!$E$27)))</f>
        <v>85.7512059381212</v>
      </c>
      <c r="R548" s="81" t="n">
        <f aca="true">RAND()</f>
        <v>0.762894155967788</v>
      </c>
      <c r="S548" s="82" t="n">
        <f aca="false">IF(R548&lt;(Inputs!$E$29-Inputs!$D$29)/(Inputs!$F$29-Inputs!$D$29),Inputs!$D$29+SQRT(R548*(Inputs!$F$29-Inputs!$D$29)*(Inputs!$E$29-Inputs!$D$29)),Inputs!$F$29-SQRT((1-R548)*(Inputs!$F$29-Inputs!$D$29)*(Inputs!$F$29-Inputs!$E$29)))</f>
        <v>9.44808503989952</v>
      </c>
      <c r="T548" s="68" t="n">
        <f aca="false">Inputs!$E$9*(1+E548)+Inputs!$E$5*C548*(Inputs!$E$11*Inputs!$E$14*(G548*I548/Inputs!$E$16+(1-G548))*K548+Inputs!$E$23*M548)*(1+O548)+Inputs!$E$5*(Q548+S548)</f>
        <v>7077.74828698126</v>
      </c>
    </row>
    <row r="549" customFormat="false" ht="15" hidden="false" customHeight="false" outlineLevel="0" collapsed="false">
      <c r="A549" s="1" t="n">
        <v>545</v>
      </c>
      <c r="B549" s="81" t="n">
        <f aca="true">RAND()</f>
        <v>0.0894459954353578</v>
      </c>
      <c r="C549" s="82" t="n">
        <f aca="false">ROUND(IF(B549&lt;(Inputs!$E$8-Inputs!$D$8)/(Inputs!$F$8-Inputs!$D$8),Inputs!$D$8+SQRT(B549*(Inputs!$F$8-Inputs!$D$8)*(Inputs!$E$8-Inputs!$D$8)),Inputs!$F$8-SQRT((1-B549)*(Inputs!$F$8-Inputs!$D$8)*(Inputs!$F$8-Inputs!$E$8))),0)</f>
        <v>22</v>
      </c>
      <c r="D549" s="81" t="n">
        <f aca="true">RAND()</f>
        <v>0.488432904768594</v>
      </c>
      <c r="E549" s="83" t="n">
        <f aca="false">IF(D549&lt;(Inputs!$E$10-Inputs!$D$10)/(Inputs!$F$10-Inputs!$D$10),Inputs!$D$10+SQRT(D549*(Inputs!$F$10-Inputs!$D$10)*(Inputs!$E$10-Inputs!$D$10)),Inputs!$F$10-SQRT((1-D549)*(Inputs!$F$10-Inputs!$D$10)*(Inputs!$F$10-Inputs!$E$10)))</f>
        <v>0.076116938781195</v>
      </c>
      <c r="F549" s="81" t="n">
        <f aca="true">RAND()</f>
        <v>0.766193133775764</v>
      </c>
      <c r="G549" s="83" t="n">
        <f aca="false">IF(F549&lt;(Inputs!$E$15-Inputs!$D$15)/(Inputs!$F$15-Inputs!$D$15),Inputs!$D$15+SQRT(F549*(Inputs!$F$15-Inputs!$D$15)*(Inputs!$E$15-Inputs!$D$15)),Inputs!$F$15-SQRT((1-F549)*(Inputs!$F$15-Inputs!$D$15)*(Inputs!$F$15-Inputs!$E$15)))</f>
        <v>0.731617711909554</v>
      </c>
      <c r="H549" s="81" t="n">
        <f aca="true">RAND()</f>
        <v>0.296844308205267</v>
      </c>
      <c r="I549" s="82" t="n">
        <f aca="false">ROUND(IF(H549&lt;(Inputs!$E$17-Inputs!$D$17)/(Inputs!$F$17-Inputs!$D$17),Inputs!$D$17+SQRT(H549*(Inputs!$F$17-Inputs!$D$17)*(Inputs!$E$17-Inputs!$D$17)),Inputs!$F$17-SQRT((1-H549)*(Inputs!$F$17-Inputs!$D$17)*(Inputs!$F$17-Inputs!$E$17))),0)</f>
        <v>105</v>
      </c>
      <c r="J549" s="81" t="n">
        <f aca="true">RAND()</f>
        <v>0.0085083445041095</v>
      </c>
      <c r="K549" s="83" t="n">
        <f aca="false">IF(J549&lt;(Inputs!$E$18-Inputs!$D$18)/(Inputs!$F$18-Inputs!$D$18),Inputs!$D$18+SQRT(J549*(Inputs!$F$18-Inputs!$D$18)*(Inputs!$E$18-Inputs!$D$18)),Inputs!$F$18-SQRT((1-J549)*(Inputs!$F$18-Inputs!$D$18)*(Inputs!$F$18-Inputs!$E$18)))</f>
        <v>0.917256652561949</v>
      </c>
      <c r="L549" s="81" t="n">
        <f aca="true">RAND()</f>
        <v>0.623266131244956</v>
      </c>
      <c r="M549" s="83" t="n">
        <f aca="false">IF(L549&lt;(Inputs!$E$24-Inputs!$D$24)/(Inputs!$F$24-Inputs!$D$24),Inputs!$D$24+SQRT(L549*(Inputs!$F$24-Inputs!$D$24)*(Inputs!$E$24-Inputs!$D$24)),Inputs!$F$24-SQRT((1-L549)*(Inputs!$F$24-Inputs!$D$24)*(Inputs!$F$24-Inputs!$E$24)))</f>
        <v>0.899307252330206</v>
      </c>
      <c r="N549" s="81" t="n">
        <f aca="true">RAND()</f>
        <v>0.670118877856298</v>
      </c>
      <c r="O549" s="83" t="n">
        <f aca="false">IF(N549&lt;(Inputs!$E$26-Inputs!$D$26)/(Inputs!$F$26-Inputs!$D$26),Inputs!$D$26+SQRT(N549*(Inputs!$F$26-Inputs!$D$26)*(Inputs!$E$26-Inputs!$D$26)),Inputs!$F$26-SQRT((1-N549)*(Inputs!$F$26-Inputs!$D$26)*(Inputs!$F$26-Inputs!$E$26)))</f>
        <v>0.634776792212895</v>
      </c>
      <c r="P549" s="81" t="n">
        <f aca="true">RAND()</f>
        <v>0.0500414950981014</v>
      </c>
      <c r="Q549" s="82" t="n">
        <f aca="false">IF(P549&lt;(Inputs!$E$27-Inputs!$D$27)/(Inputs!$F$27-Inputs!$D$27),Inputs!$D$27+SQRT(P549*(Inputs!$F$27-Inputs!$D$27)*(Inputs!$E$27-Inputs!$D$27)),Inputs!$F$27-SQRT((1-P549)*(Inputs!$F$27-Inputs!$D$27)*(Inputs!$F$27-Inputs!$E$27)))</f>
        <v>61.1849782183629</v>
      </c>
      <c r="R549" s="81" t="n">
        <f aca="true">RAND()</f>
        <v>0.67116129014826</v>
      </c>
      <c r="S549" s="82" t="n">
        <f aca="false">IF(R549&lt;(Inputs!$E$29-Inputs!$D$29)/(Inputs!$F$29-Inputs!$D$29),Inputs!$D$29+SQRT(R549*(Inputs!$F$29-Inputs!$D$29)*(Inputs!$E$29-Inputs!$D$29)),Inputs!$F$29-SQRT((1-R549)*(Inputs!$F$29-Inputs!$D$29)*(Inputs!$F$29-Inputs!$E$29)))</f>
        <v>8.46172558845025</v>
      </c>
      <c r="T549" s="68" t="n">
        <f aca="false">Inputs!$E$9*(1+E549)+Inputs!$E$5*C549*(Inputs!$E$11*Inputs!$E$14*(G549*I549/Inputs!$E$16+(1-G549))*K549+Inputs!$E$23*M549)*(1+O549)+Inputs!$E$5*(Q549+S549)</f>
        <v>5605.59475941212</v>
      </c>
    </row>
    <row r="550" customFormat="false" ht="15" hidden="false" customHeight="false" outlineLevel="0" collapsed="false">
      <c r="A550" s="1" t="n">
        <v>546</v>
      </c>
      <c r="B550" s="81" t="n">
        <f aca="true">RAND()</f>
        <v>0.970314423280716</v>
      </c>
      <c r="C550" s="82" t="n">
        <f aca="false">ROUND(IF(B550&lt;(Inputs!$E$8-Inputs!$D$8)/(Inputs!$F$8-Inputs!$D$8),Inputs!$D$8+SQRT(B550*(Inputs!$F$8-Inputs!$D$8)*(Inputs!$E$8-Inputs!$D$8)),Inputs!$F$8-SQRT((1-B550)*(Inputs!$F$8-Inputs!$D$8)*(Inputs!$F$8-Inputs!$E$8))),0)</f>
        <v>29</v>
      </c>
      <c r="D550" s="81" t="n">
        <f aca="true">RAND()</f>
        <v>0.0500932455954291</v>
      </c>
      <c r="E550" s="83" t="n">
        <f aca="false">IF(D550&lt;(Inputs!$E$10-Inputs!$D$10)/(Inputs!$F$10-Inputs!$D$10),Inputs!$D$10+SQRT(D550*(Inputs!$F$10-Inputs!$D$10)*(Inputs!$E$10-Inputs!$D$10)),Inputs!$F$10-SQRT((1-D550)*(Inputs!$F$10-Inputs!$D$10)*(Inputs!$F$10-Inputs!$E$10)))</f>
        <v>0.0223815204120339</v>
      </c>
      <c r="F550" s="81" t="n">
        <f aca="true">RAND()</f>
        <v>0.749117230948756</v>
      </c>
      <c r="G550" s="83" t="n">
        <f aca="false">IF(F550&lt;(Inputs!$E$15-Inputs!$D$15)/(Inputs!$F$15-Inputs!$D$15),Inputs!$D$15+SQRT(F550*(Inputs!$F$15-Inputs!$D$15)*(Inputs!$E$15-Inputs!$D$15)),Inputs!$F$15-SQRT((1-F550)*(Inputs!$F$15-Inputs!$D$15)*(Inputs!$F$15-Inputs!$E$15)))</f>
        <v>0.729164589497732</v>
      </c>
      <c r="H550" s="81" t="n">
        <f aca="true">RAND()</f>
        <v>0.518556188685016</v>
      </c>
      <c r="I550" s="82" t="n">
        <f aca="false">ROUND(IF(H550&lt;(Inputs!$E$17-Inputs!$D$17)/(Inputs!$F$17-Inputs!$D$17),Inputs!$D$17+SQRT(H550*(Inputs!$F$17-Inputs!$D$17)*(Inputs!$E$17-Inputs!$D$17)),Inputs!$F$17-SQRT((1-H550)*(Inputs!$F$17-Inputs!$D$17)*(Inputs!$F$17-Inputs!$E$17))),0)</f>
        <v>107</v>
      </c>
      <c r="J550" s="81" t="n">
        <f aca="true">RAND()</f>
        <v>0.639253971321164</v>
      </c>
      <c r="K550" s="83" t="n">
        <f aca="false">IF(J550&lt;(Inputs!$E$18-Inputs!$D$18)/(Inputs!$F$18-Inputs!$D$18),Inputs!$D$18+SQRT(J550*(Inputs!$F$18-Inputs!$D$18)*(Inputs!$E$18-Inputs!$D$18)),Inputs!$F$18-SQRT((1-J550)*(Inputs!$F$18-Inputs!$D$18)*(Inputs!$F$18-Inputs!$E$18)))</f>
        <v>1.0723338031324</v>
      </c>
      <c r="L550" s="81" t="n">
        <f aca="true">RAND()</f>
        <v>0.784737035491336</v>
      </c>
      <c r="M550" s="83" t="n">
        <f aca="false">IF(L550&lt;(Inputs!$E$24-Inputs!$D$24)/(Inputs!$F$24-Inputs!$D$24),Inputs!$D$24+SQRT(L550*(Inputs!$F$24-Inputs!$D$24)*(Inputs!$E$24-Inputs!$D$24)),Inputs!$F$24-SQRT((1-L550)*(Inputs!$F$24-Inputs!$D$24)*(Inputs!$F$24-Inputs!$E$24)))</f>
        <v>0.972704792214883</v>
      </c>
      <c r="N550" s="81" t="n">
        <f aca="true">RAND()</f>
        <v>0.985594658636451</v>
      </c>
      <c r="O550" s="83" t="n">
        <f aca="false">IF(N550&lt;(Inputs!$E$26-Inputs!$D$26)/(Inputs!$F$26-Inputs!$D$26),Inputs!$D$26+SQRT(N550*(Inputs!$F$26-Inputs!$D$26)*(Inputs!$E$26-Inputs!$D$26)),Inputs!$F$26-SQRT((1-N550)*(Inputs!$F$26-Inputs!$D$26)*(Inputs!$F$26-Inputs!$E$26)))</f>
        <v>0.781293986231994</v>
      </c>
      <c r="P550" s="81" t="n">
        <f aca="true">RAND()</f>
        <v>0.196599194869346</v>
      </c>
      <c r="Q550" s="82" t="n">
        <f aca="false">IF(P550&lt;(Inputs!$E$27-Inputs!$D$27)/(Inputs!$F$27-Inputs!$D$27),Inputs!$D$27+SQRT(P550*(Inputs!$F$27-Inputs!$D$27)*(Inputs!$E$27-Inputs!$D$27)),Inputs!$F$27-SQRT((1-P550)*(Inputs!$F$27-Inputs!$D$27)*(Inputs!$F$27-Inputs!$E$27)))</f>
        <v>72.1697538816597</v>
      </c>
      <c r="R550" s="81" t="n">
        <f aca="true">RAND()</f>
        <v>0.889770758365184</v>
      </c>
      <c r="S550" s="82" t="n">
        <f aca="false">IF(R550&lt;(Inputs!$E$29-Inputs!$D$29)/(Inputs!$F$29-Inputs!$D$29),Inputs!$D$29+SQRT(R550*(Inputs!$F$29-Inputs!$D$29)*(Inputs!$E$29-Inputs!$D$29)),Inputs!$F$29-SQRT((1-R550)*(Inputs!$F$29-Inputs!$D$29)*(Inputs!$F$29-Inputs!$E$29)))</f>
        <v>11.2145275839697</v>
      </c>
      <c r="T550" s="68" t="n">
        <f aca="false">Inputs!$E$9*(1+E550)+Inputs!$E$5*C550*(Inputs!$E$11*Inputs!$E$14*(G550*I550/Inputs!$E$16+(1-G550))*K550+Inputs!$E$23*M550)*(1+O550)+Inputs!$E$5*(Q550+S550)</f>
        <v>7412.08233414655</v>
      </c>
    </row>
    <row r="551" customFormat="false" ht="15" hidden="false" customHeight="false" outlineLevel="0" collapsed="false">
      <c r="A551" s="1" t="n">
        <v>547</v>
      </c>
      <c r="B551" s="81" t="n">
        <f aca="true">RAND()</f>
        <v>0.802059003845515</v>
      </c>
      <c r="C551" s="82" t="n">
        <f aca="false">ROUND(IF(B551&lt;(Inputs!$E$8-Inputs!$D$8)/(Inputs!$F$8-Inputs!$D$8),Inputs!$D$8+SQRT(B551*(Inputs!$F$8-Inputs!$D$8)*(Inputs!$E$8-Inputs!$D$8)),Inputs!$F$8-SQRT((1-B551)*(Inputs!$F$8-Inputs!$D$8)*(Inputs!$F$8-Inputs!$E$8))),0)</f>
        <v>27</v>
      </c>
      <c r="D551" s="81" t="n">
        <f aca="true">RAND()</f>
        <v>0.717469653175131</v>
      </c>
      <c r="E551" s="83" t="n">
        <f aca="false">IF(D551&lt;(Inputs!$E$10-Inputs!$D$10)/(Inputs!$F$10-Inputs!$D$10),Inputs!$D$10+SQRT(D551*(Inputs!$F$10-Inputs!$D$10)*(Inputs!$E$10-Inputs!$D$10)),Inputs!$F$10-SQRT((1-D551)*(Inputs!$F$10-Inputs!$D$10)*(Inputs!$F$10-Inputs!$E$10)))</f>
        <v>0.107935292295331</v>
      </c>
      <c r="F551" s="81" t="n">
        <f aca="true">RAND()</f>
        <v>0.943136053754167</v>
      </c>
      <c r="G551" s="83" t="n">
        <f aca="false">IF(F551&lt;(Inputs!$E$15-Inputs!$D$15)/(Inputs!$F$15-Inputs!$D$15),Inputs!$D$15+SQRT(F551*(Inputs!$F$15-Inputs!$D$15)*(Inputs!$E$15-Inputs!$D$15)),Inputs!$F$15-SQRT((1-F551)*(Inputs!$F$15-Inputs!$D$15)*(Inputs!$F$15-Inputs!$E$15)))</f>
        <v>0.766276433686268</v>
      </c>
      <c r="H551" s="81" t="n">
        <f aca="true">RAND()</f>
        <v>0.879656991545029</v>
      </c>
      <c r="I551" s="82" t="n">
        <f aca="false">ROUND(IF(H551&lt;(Inputs!$E$17-Inputs!$D$17)/(Inputs!$F$17-Inputs!$D$17),Inputs!$D$17+SQRT(H551*(Inputs!$F$17-Inputs!$D$17)*(Inputs!$E$17-Inputs!$D$17)),Inputs!$F$17-SQRT((1-H551)*(Inputs!$F$17-Inputs!$D$17)*(Inputs!$F$17-Inputs!$E$17))),0)</f>
        <v>111</v>
      </c>
      <c r="J551" s="81" t="n">
        <f aca="true">RAND()</f>
        <v>0.751598415735735</v>
      </c>
      <c r="K551" s="83" t="n">
        <f aca="false">IF(J551&lt;(Inputs!$E$18-Inputs!$D$18)/(Inputs!$F$18-Inputs!$D$18),Inputs!$D$18+SQRT(J551*(Inputs!$F$18-Inputs!$D$18)*(Inputs!$E$18-Inputs!$D$18)),Inputs!$F$18-SQRT((1-J551)*(Inputs!$F$18-Inputs!$D$18)*(Inputs!$F$18-Inputs!$E$18)))</f>
        <v>1.10257158135853</v>
      </c>
      <c r="L551" s="81" t="n">
        <f aca="true">RAND()</f>
        <v>0.407092360648692</v>
      </c>
      <c r="M551" s="83" t="n">
        <f aca="false">IF(L551&lt;(Inputs!$E$24-Inputs!$D$24)/(Inputs!$F$24-Inputs!$D$24),Inputs!$D$24+SQRT(L551*(Inputs!$F$24-Inputs!$D$24)*(Inputs!$E$24-Inputs!$D$24)),Inputs!$F$24-SQRT((1-L551)*(Inputs!$F$24-Inputs!$D$24)*(Inputs!$F$24-Inputs!$E$24)))</f>
        <v>0.822776149422768</v>
      </c>
      <c r="N551" s="81" t="n">
        <f aca="true">RAND()</f>
        <v>0.341716728998585</v>
      </c>
      <c r="O551" s="83" t="n">
        <f aca="false">IF(N551&lt;(Inputs!$E$26-Inputs!$D$26)/(Inputs!$F$26-Inputs!$D$26),Inputs!$D$26+SQRT(N551*(Inputs!$F$26-Inputs!$D$26)*(Inputs!$E$26-Inputs!$D$26)),Inputs!$F$26-SQRT((1-N551)*(Inputs!$F$26-Inputs!$D$26)*(Inputs!$F$26-Inputs!$E$26)))</f>
        <v>0.538456838244082</v>
      </c>
      <c r="P551" s="81" t="n">
        <f aca="true">RAND()</f>
        <v>0.457038458136947</v>
      </c>
      <c r="Q551" s="82" t="n">
        <f aca="false">IF(P551&lt;(Inputs!$E$27-Inputs!$D$27)/(Inputs!$F$27-Inputs!$D$27),Inputs!$D$27+SQRT(P551*(Inputs!$F$27-Inputs!$D$27)*(Inputs!$E$27-Inputs!$D$27)),Inputs!$F$27-SQRT((1-P551)*(Inputs!$F$27-Inputs!$D$27)*(Inputs!$F$27-Inputs!$E$27)))</f>
        <v>86.1861177801186</v>
      </c>
      <c r="R551" s="81" t="n">
        <f aca="true">RAND()</f>
        <v>0.367661464558785</v>
      </c>
      <c r="S551" s="82" t="n">
        <f aca="false">IF(R551&lt;(Inputs!$E$29-Inputs!$D$29)/(Inputs!$F$29-Inputs!$D$29),Inputs!$D$29+SQRT(R551*(Inputs!$F$29-Inputs!$D$29)*(Inputs!$E$29-Inputs!$D$29)),Inputs!$F$29-SQRT((1-R551)*(Inputs!$F$29-Inputs!$D$29)*(Inputs!$F$29-Inputs!$E$29)))</f>
        <v>5.93335731335144</v>
      </c>
      <c r="T551" s="68" t="n">
        <f aca="false">Inputs!$E$9*(1+E551)+Inputs!$E$5*C551*(Inputs!$E$11*Inputs!$E$14*(G551*I551/Inputs!$E$16+(1-G551))*K551+Inputs!$E$23*M551)*(1+O551)+Inputs!$E$5*(Q551+S551)</f>
        <v>6562.50848874935</v>
      </c>
    </row>
    <row r="552" customFormat="false" ht="15" hidden="false" customHeight="false" outlineLevel="0" collapsed="false">
      <c r="A552" s="1" t="n">
        <v>548</v>
      </c>
      <c r="B552" s="81" t="n">
        <f aca="true">RAND()</f>
        <v>0.637934513751575</v>
      </c>
      <c r="C552" s="82" t="n">
        <f aca="false">ROUND(IF(B552&lt;(Inputs!$E$8-Inputs!$D$8)/(Inputs!$F$8-Inputs!$D$8),Inputs!$D$8+SQRT(B552*(Inputs!$F$8-Inputs!$D$8)*(Inputs!$E$8-Inputs!$D$8)),Inputs!$F$8-SQRT((1-B552)*(Inputs!$F$8-Inputs!$D$8)*(Inputs!$F$8-Inputs!$E$8))),0)</f>
        <v>26</v>
      </c>
      <c r="D552" s="81" t="n">
        <f aca="true">RAND()</f>
        <v>0.115191127575263</v>
      </c>
      <c r="E552" s="83" t="n">
        <f aca="false">IF(D552&lt;(Inputs!$E$10-Inputs!$D$10)/(Inputs!$F$10-Inputs!$D$10),Inputs!$D$10+SQRT(D552*(Inputs!$F$10-Inputs!$D$10)*(Inputs!$E$10-Inputs!$D$10)),Inputs!$F$10-SQRT((1-D552)*(Inputs!$F$10-Inputs!$D$10)*(Inputs!$F$10-Inputs!$E$10)))</f>
        <v>0.0339398184401836</v>
      </c>
      <c r="F552" s="81" t="n">
        <f aca="true">RAND()</f>
        <v>0.7200946710545</v>
      </c>
      <c r="G552" s="83" t="n">
        <f aca="false">IF(F552&lt;(Inputs!$E$15-Inputs!$D$15)/(Inputs!$F$15-Inputs!$D$15),Inputs!$D$15+SQRT(F552*(Inputs!$F$15-Inputs!$D$15)*(Inputs!$E$15-Inputs!$D$15)),Inputs!$F$15-SQRT((1-F552)*(Inputs!$F$15-Inputs!$D$15)*(Inputs!$F$15-Inputs!$E$15)))</f>
        <v>0.725179504285858</v>
      </c>
      <c r="H552" s="81" t="n">
        <f aca="true">RAND()</f>
        <v>0.122311775493477</v>
      </c>
      <c r="I552" s="82" t="n">
        <f aca="false">ROUND(IF(H552&lt;(Inputs!$E$17-Inputs!$D$17)/(Inputs!$F$17-Inputs!$D$17),Inputs!$D$17+SQRT(H552*(Inputs!$F$17-Inputs!$D$17)*(Inputs!$E$17-Inputs!$D$17)),Inputs!$F$17-SQRT((1-H552)*(Inputs!$F$17-Inputs!$D$17)*(Inputs!$F$17-Inputs!$E$17))),0)</f>
        <v>103</v>
      </c>
      <c r="J552" s="81" t="n">
        <f aca="true">RAND()</f>
        <v>0.239822495694553</v>
      </c>
      <c r="K552" s="83" t="n">
        <f aca="false">IF(J552&lt;(Inputs!$E$18-Inputs!$D$18)/(Inputs!$F$18-Inputs!$D$18),Inputs!$D$18+SQRT(J552*(Inputs!$F$18-Inputs!$D$18)*(Inputs!$E$18-Inputs!$D$18)),Inputs!$F$18-SQRT((1-J552)*(Inputs!$F$18-Inputs!$D$18)*(Inputs!$F$18-Inputs!$E$18)))</f>
        <v>0.991617614841849</v>
      </c>
      <c r="L552" s="81" t="n">
        <f aca="true">RAND()</f>
        <v>0.0925137858445795</v>
      </c>
      <c r="M552" s="83" t="n">
        <f aca="false">IF(L552&lt;(Inputs!$E$24-Inputs!$D$24)/(Inputs!$F$24-Inputs!$D$24),Inputs!$D$24+SQRT(L552*(Inputs!$F$24-Inputs!$D$24)*(Inputs!$E$24-Inputs!$D$24)),Inputs!$F$24-SQRT((1-L552)*(Inputs!$F$24-Inputs!$D$24)*(Inputs!$F$24-Inputs!$E$24)))</f>
        <v>0.705364388202796</v>
      </c>
      <c r="N552" s="81" t="n">
        <f aca="true">RAND()</f>
        <v>0.736943668980401</v>
      </c>
      <c r="O552" s="83" t="n">
        <f aca="false">IF(N552&lt;(Inputs!$E$26-Inputs!$D$26)/(Inputs!$F$26-Inputs!$D$26),Inputs!$D$26+SQRT(N552*(Inputs!$F$26-Inputs!$D$26)*(Inputs!$E$26-Inputs!$D$26)),Inputs!$F$26-SQRT((1-N552)*(Inputs!$F$26-Inputs!$D$26)*(Inputs!$F$26-Inputs!$E$26)))</f>
        <v>0.654597888689297</v>
      </c>
      <c r="P552" s="81" t="n">
        <f aca="true">RAND()</f>
        <v>0.123851420849845</v>
      </c>
      <c r="Q552" s="82" t="n">
        <f aca="false">IF(P552&lt;(Inputs!$E$27-Inputs!$D$27)/(Inputs!$F$27-Inputs!$D$27),Inputs!$D$27+SQRT(P552*(Inputs!$F$27-Inputs!$D$27)*(Inputs!$E$27-Inputs!$D$27)),Inputs!$F$27-SQRT((1-P552)*(Inputs!$F$27-Inputs!$D$27)*(Inputs!$F$27-Inputs!$E$27)))</f>
        <v>67.5962652891064</v>
      </c>
      <c r="R552" s="81" t="n">
        <f aca="true">RAND()</f>
        <v>0.674825178263668</v>
      </c>
      <c r="S552" s="82" t="n">
        <f aca="false">IF(R552&lt;(Inputs!$E$29-Inputs!$D$29)/(Inputs!$F$29-Inputs!$D$29),Inputs!$D$29+SQRT(R552*(Inputs!$F$29-Inputs!$D$29)*(Inputs!$E$29-Inputs!$D$29)),Inputs!$F$29-SQRT((1-R552)*(Inputs!$F$29-Inputs!$D$29)*(Inputs!$F$29-Inputs!$E$29)))</f>
        <v>8.49825201767069</v>
      </c>
      <c r="T552" s="68" t="n">
        <f aca="false">Inputs!$E$9*(1+E552)+Inputs!$E$5*C552*(Inputs!$E$11*Inputs!$E$14*(G552*I552/Inputs!$E$16+(1-G552))*K552+Inputs!$E$23*M552)*(1+O552)+Inputs!$E$5*(Q552+S552)</f>
        <v>5966.24763712302</v>
      </c>
    </row>
    <row r="553" customFormat="false" ht="15" hidden="false" customHeight="false" outlineLevel="0" collapsed="false">
      <c r="A553" s="1" t="n">
        <v>549</v>
      </c>
      <c r="B553" s="81" t="n">
        <f aca="true">RAND()</f>
        <v>0.251657160361817</v>
      </c>
      <c r="C553" s="82" t="n">
        <f aca="false">ROUND(IF(B553&lt;(Inputs!$E$8-Inputs!$D$8)/(Inputs!$F$8-Inputs!$D$8),Inputs!$D$8+SQRT(B553*(Inputs!$F$8-Inputs!$D$8)*(Inputs!$E$8-Inputs!$D$8)),Inputs!$F$8-SQRT((1-B553)*(Inputs!$F$8-Inputs!$D$8)*(Inputs!$F$8-Inputs!$E$8))),0)</f>
        <v>24</v>
      </c>
      <c r="D553" s="81" t="n">
        <f aca="true">RAND()</f>
        <v>0.326819329557211</v>
      </c>
      <c r="E553" s="83" t="n">
        <f aca="false">IF(D553&lt;(Inputs!$E$10-Inputs!$D$10)/(Inputs!$F$10-Inputs!$D$10),Inputs!$D$10+SQRT(D553*(Inputs!$F$10-Inputs!$D$10)*(Inputs!$E$10-Inputs!$D$10)),Inputs!$F$10-SQRT((1-D553)*(Inputs!$F$10-Inputs!$D$10)*(Inputs!$F$10-Inputs!$E$10)))</f>
        <v>0.0578894088630841</v>
      </c>
      <c r="F553" s="81" t="n">
        <f aca="true">RAND()</f>
        <v>0.914998586532415</v>
      </c>
      <c r="G553" s="83" t="n">
        <f aca="false">IF(F553&lt;(Inputs!$E$15-Inputs!$D$15)/(Inputs!$F$15-Inputs!$D$15),Inputs!$D$15+SQRT(F553*(Inputs!$F$15-Inputs!$D$15)*(Inputs!$E$15-Inputs!$D$15)),Inputs!$F$15-SQRT((1-F553)*(Inputs!$F$15-Inputs!$D$15)*(Inputs!$F$15-Inputs!$E$15)))</f>
        <v>0.758768600929004</v>
      </c>
      <c r="H553" s="81" t="n">
        <f aca="true">RAND()</f>
        <v>0.00565978149470347</v>
      </c>
      <c r="I553" s="82" t="n">
        <f aca="false">ROUND(IF(H553&lt;(Inputs!$E$17-Inputs!$D$17)/(Inputs!$F$17-Inputs!$D$17),Inputs!$D$17+SQRT(H553*(Inputs!$F$17-Inputs!$D$17)*(Inputs!$E$17-Inputs!$D$17)),Inputs!$F$17-SQRT((1-H553)*(Inputs!$F$17-Inputs!$D$17)*(Inputs!$F$17-Inputs!$E$17))),0)</f>
        <v>101</v>
      </c>
      <c r="J553" s="81" t="n">
        <f aca="true">RAND()</f>
        <v>0.96455182514049</v>
      </c>
      <c r="K553" s="83" t="n">
        <f aca="false">IF(J553&lt;(Inputs!$E$18-Inputs!$D$18)/(Inputs!$F$18-Inputs!$D$18),Inputs!$D$18+SQRT(J553*(Inputs!$F$18-Inputs!$D$18)*(Inputs!$E$18-Inputs!$D$18)),Inputs!$F$18-SQRT((1-J553)*(Inputs!$F$18-Inputs!$D$18)*(Inputs!$F$18-Inputs!$E$18)))</f>
        <v>1.19430695465135</v>
      </c>
      <c r="L553" s="81" t="n">
        <f aca="true">RAND()</f>
        <v>0.0513849027236624</v>
      </c>
      <c r="M553" s="83" t="n">
        <f aca="false">IF(L553&lt;(Inputs!$E$24-Inputs!$D$24)/(Inputs!$F$24-Inputs!$D$24),Inputs!$D$24+SQRT(L553*(Inputs!$F$24-Inputs!$D$24)*(Inputs!$E$24-Inputs!$D$24)),Inputs!$F$24-SQRT((1-L553)*(Inputs!$F$24-Inputs!$D$24)*(Inputs!$F$24-Inputs!$E$24)))</f>
        <v>0.678525080877637</v>
      </c>
      <c r="N553" s="81" t="n">
        <f aca="true">RAND()</f>
        <v>0.570535142409609</v>
      </c>
      <c r="O553" s="83" t="n">
        <f aca="false">IF(N553&lt;(Inputs!$E$26-Inputs!$D$26)/(Inputs!$F$26-Inputs!$D$26),Inputs!$D$26+SQRT(N553*(Inputs!$F$26-Inputs!$D$26)*(Inputs!$E$26-Inputs!$D$26)),Inputs!$F$26-SQRT((1-N553)*(Inputs!$F$26-Inputs!$D$26)*(Inputs!$F$26-Inputs!$E$26)))</f>
        <v>0.608118561104259</v>
      </c>
      <c r="P553" s="81" t="n">
        <f aca="true">RAND()</f>
        <v>0.777676460549731</v>
      </c>
      <c r="Q553" s="82" t="n">
        <f aca="false">IF(P553&lt;(Inputs!$E$27-Inputs!$D$27)/(Inputs!$F$27-Inputs!$D$27),Inputs!$D$27+SQRT(P553*(Inputs!$F$27-Inputs!$D$27)*(Inputs!$E$27-Inputs!$D$27)),Inputs!$F$27-SQRT((1-P553)*(Inputs!$F$27-Inputs!$D$27)*(Inputs!$F$27-Inputs!$E$27)))</f>
        <v>109.165865432496</v>
      </c>
      <c r="R553" s="81" t="n">
        <f aca="true">RAND()</f>
        <v>0.854867475690821</v>
      </c>
      <c r="S553" s="82" t="n">
        <f aca="false">IF(R553&lt;(Inputs!$E$29-Inputs!$D$29)/(Inputs!$F$29-Inputs!$D$29),Inputs!$D$29+SQRT(R553*(Inputs!$F$29-Inputs!$D$29)*(Inputs!$E$29-Inputs!$D$29)),Inputs!$F$29-SQRT((1-R553)*(Inputs!$F$29-Inputs!$D$29)*(Inputs!$F$29-Inputs!$E$29)))</f>
        <v>10.6563577310979</v>
      </c>
      <c r="T553" s="68" t="n">
        <f aca="false">Inputs!$E$9*(1+E553)+Inputs!$E$5*C553*(Inputs!$E$11*Inputs!$E$14*(G553*I553/Inputs!$E$16+(1-G553))*K553+Inputs!$E$23*M553)*(1+O553)+Inputs!$E$5*(Q553+S553)</f>
        <v>6186.92216244452</v>
      </c>
    </row>
    <row r="554" customFormat="false" ht="15" hidden="false" customHeight="false" outlineLevel="0" collapsed="false">
      <c r="A554" s="1" t="n">
        <v>550</v>
      </c>
      <c r="B554" s="81" t="n">
        <f aca="true">RAND()</f>
        <v>0.536063191111878</v>
      </c>
      <c r="C554" s="82" t="n">
        <f aca="false">ROUND(IF(B554&lt;(Inputs!$E$8-Inputs!$D$8)/(Inputs!$F$8-Inputs!$D$8),Inputs!$D$8+SQRT(B554*(Inputs!$F$8-Inputs!$D$8)*(Inputs!$E$8-Inputs!$D$8)),Inputs!$F$8-SQRT((1-B554)*(Inputs!$F$8-Inputs!$D$8)*(Inputs!$F$8-Inputs!$E$8))),0)</f>
        <v>25</v>
      </c>
      <c r="D554" s="81" t="n">
        <f aca="true">RAND()</f>
        <v>0.875623831809141</v>
      </c>
      <c r="E554" s="83" t="n">
        <f aca="false">IF(D554&lt;(Inputs!$E$10-Inputs!$D$10)/(Inputs!$F$10-Inputs!$D$10),Inputs!$D$10+SQRT(D554*(Inputs!$F$10-Inputs!$D$10)*(Inputs!$E$10-Inputs!$D$10)),Inputs!$F$10-SQRT((1-D554)*(Inputs!$F$10-Inputs!$D$10)*(Inputs!$F$10-Inputs!$E$10)))</f>
        <v>0.138915754521106</v>
      </c>
      <c r="F554" s="81" t="n">
        <f aca="true">RAND()</f>
        <v>0.602309143882046</v>
      </c>
      <c r="G554" s="83" t="n">
        <f aca="false">IF(F554&lt;(Inputs!$E$15-Inputs!$D$15)/(Inputs!$F$15-Inputs!$D$15),Inputs!$D$15+SQRT(F554*(Inputs!$F$15-Inputs!$D$15)*(Inputs!$E$15-Inputs!$D$15)),Inputs!$F$15-SQRT((1-F554)*(Inputs!$F$15-Inputs!$D$15)*(Inputs!$F$15-Inputs!$E$15)))</f>
        <v>0.71081582470887</v>
      </c>
      <c r="H554" s="81" t="n">
        <f aca="true">RAND()</f>
        <v>0.636585952073694</v>
      </c>
      <c r="I554" s="82" t="n">
        <f aca="false">ROUND(IF(H554&lt;(Inputs!$E$17-Inputs!$D$17)/(Inputs!$F$17-Inputs!$D$17),Inputs!$D$17+SQRT(H554*(Inputs!$F$17-Inputs!$D$17)*(Inputs!$E$17-Inputs!$D$17)),Inputs!$F$17-SQRT((1-H554)*(Inputs!$F$17-Inputs!$D$17)*(Inputs!$F$17-Inputs!$E$17))),0)</f>
        <v>108</v>
      </c>
      <c r="J554" s="81" t="n">
        <f aca="true">RAND()</f>
        <v>0.877297876084639</v>
      </c>
      <c r="K554" s="83" t="n">
        <f aca="false">IF(J554&lt;(Inputs!$E$18-Inputs!$D$18)/(Inputs!$F$18-Inputs!$D$18),Inputs!$D$18+SQRT(J554*(Inputs!$F$18-Inputs!$D$18)*(Inputs!$E$18-Inputs!$D$18)),Inputs!$F$18-SQRT((1-J554)*(Inputs!$F$18-Inputs!$D$18)*(Inputs!$F$18-Inputs!$E$18)))</f>
        <v>1.14638322605585</v>
      </c>
      <c r="L554" s="81" t="n">
        <f aca="true">RAND()</f>
        <v>0.175507643290154</v>
      </c>
      <c r="M554" s="83" t="n">
        <f aca="false">IF(L554&lt;(Inputs!$E$24-Inputs!$D$24)/(Inputs!$F$24-Inputs!$D$24),Inputs!$D$24+SQRT(L554*(Inputs!$F$24-Inputs!$D$24)*(Inputs!$E$24-Inputs!$D$24)),Inputs!$F$24-SQRT((1-L554)*(Inputs!$F$24-Inputs!$D$24)*(Inputs!$F$24-Inputs!$E$24)))</f>
        <v>0.74512379954652</v>
      </c>
      <c r="N554" s="81" t="n">
        <f aca="true">RAND()</f>
        <v>0.970274520803524</v>
      </c>
      <c r="O554" s="83" t="n">
        <f aca="false">IF(N554&lt;(Inputs!$E$26-Inputs!$D$26)/(Inputs!$F$26-Inputs!$D$26),Inputs!$D$26+SQRT(N554*(Inputs!$F$26-Inputs!$D$26)*(Inputs!$E$26-Inputs!$D$26)),Inputs!$F$26-SQRT((1-N554)*(Inputs!$F$26-Inputs!$D$26)*(Inputs!$F$26-Inputs!$E$26)))</f>
        <v>0.764399192124273</v>
      </c>
      <c r="P554" s="81" t="n">
        <f aca="true">RAND()</f>
        <v>0.329056328623607</v>
      </c>
      <c r="Q554" s="82" t="n">
        <f aca="false">IF(P554&lt;(Inputs!$E$27-Inputs!$D$27)/(Inputs!$F$27-Inputs!$D$27),Inputs!$D$27+SQRT(P554*(Inputs!$F$27-Inputs!$D$27)*(Inputs!$E$27-Inputs!$D$27)),Inputs!$F$27-SQRT((1-P554)*(Inputs!$F$27-Inputs!$D$27)*(Inputs!$F$27-Inputs!$E$27)))</f>
        <v>79.0628620867535</v>
      </c>
      <c r="R554" s="81" t="n">
        <f aca="true">RAND()</f>
        <v>0.358754117666933</v>
      </c>
      <c r="S554" s="82" t="n">
        <f aca="false">IF(R554&lt;(Inputs!$E$29-Inputs!$D$29)/(Inputs!$F$29-Inputs!$D$29),Inputs!$D$29+SQRT(R554*(Inputs!$F$29-Inputs!$D$29)*(Inputs!$E$29-Inputs!$D$29)),Inputs!$F$29-SQRT((1-R554)*(Inputs!$F$29-Inputs!$D$29)*(Inputs!$F$29-Inputs!$E$29)))</f>
        <v>5.86972263820541</v>
      </c>
      <c r="T554" s="68" t="n">
        <f aca="false">Inputs!$E$9*(1+E554)+Inputs!$E$5*C554*(Inputs!$E$11*Inputs!$E$14*(G554*I554/Inputs!$E$16+(1-G554))*K554+Inputs!$E$23*M554)*(1+O554)+Inputs!$E$5*(Q554+S554)</f>
        <v>6844.19743483848</v>
      </c>
    </row>
    <row r="555" customFormat="false" ht="15" hidden="false" customHeight="false" outlineLevel="0" collapsed="false">
      <c r="A555" s="1" t="n">
        <v>551</v>
      </c>
      <c r="B555" s="81" t="n">
        <f aca="true">RAND()</f>
        <v>0.567150335651138</v>
      </c>
      <c r="C555" s="82" t="n">
        <f aca="false">ROUND(IF(B555&lt;(Inputs!$E$8-Inputs!$D$8)/(Inputs!$F$8-Inputs!$D$8),Inputs!$D$8+SQRT(B555*(Inputs!$F$8-Inputs!$D$8)*(Inputs!$E$8-Inputs!$D$8)),Inputs!$F$8-SQRT((1-B555)*(Inputs!$F$8-Inputs!$D$8)*(Inputs!$F$8-Inputs!$E$8))),0)</f>
        <v>25</v>
      </c>
      <c r="D555" s="81" t="n">
        <f aca="true">RAND()</f>
        <v>0.924726244160508</v>
      </c>
      <c r="E555" s="83" t="n">
        <f aca="false">IF(D555&lt;(Inputs!$E$10-Inputs!$D$10)/(Inputs!$F$10-Inputs!$D$10),Inputs!$D$10+SQRT(D555*(Inputs!$F$10-Inputs!$D$10)*(Inputs!$E$10-Inputs!$D$10)),Inputs!$F$10-SQRT((1-D555)*(Inputs!$F$10-Inputs!$D$10)*(Inputs!$F$10-Inputs!$E$10)))</f>
        <v>0.152479344752153</v>
      </c>
      <c r="F555" s="81" t="n">
        <f aca="true">RAND()</f>
        <v>0.260176434628697</v>
      </c>
      <c r="G555" s="83" t="n">
        <f aca="false">IF(F555&lt;(Inputs!$E$15-Inputs!$D$15)/(Inputs!$F$15-Inputs!$D$15),Inputs!$D$15+SQRT(F555*(Inputs!$F$15-Inputs!$D$15)*(Inputs!$E$15-Inputs!$D$15)),Inputs!$F$15-SQRT((1-F555)*(Inputs!$F$15-Inputs!$D$15)*(Inputs!$F$15-Inputs!$E$15)))</f>
        <v>0.672135488440669</v>
      </c>
      <c r="H555" s="81" t="n">
        <f aca="true">RAND()</f>
        <v>0.54694269510423</v>
      </c>
      <c r="I555" s="82" t="n">
        <f aca="false">ROUND(IF(H555&lt;(Inputs!$E$17-Inputs!$D$17)/(Inputs!$F$17-Inputs!$D$17),Inputs!$D$17+SQRT(H555*(Inputs!$F$17-Inputs!$D$17)*(Inputs!$E$17-Inputs!$D$17)),Inputs!$F$17-SQRT((1-H555)*(Inputs!$F$17-Inputs!$D$17)*(Inputs!$F$17-Inputs!$E$17))),0)</f>
        <v>107</v>
      </c>
      <c r="J555" s="81" t="n">
        <f aca="true">RAND()</f>
        <v>0.769478710877206</v>
      </c>
      <c r="K555" s="83" t="n">
        <f aca="false">IF(J555&lt;(Inputs!$E$18-Inputs!$D$18)/(Inputs!$F$18-Inputs!$D$18),Inputs!$D$18+SQRT(J555*(Inputs!$F$18-Inputs!$D$18)*(Inputs!$E$18-Inputs!$D$18)),Inputs!$F$18-SQRT((1-J555)*(Inputs!$F$18-Inputs!$D$18)*(Inputs!$F$18-Inputs!$E$18)))</f>
        <v>1.10797671740787</v>
      </c>
      <c r="L555" s="81" t="n">
        <f aca="true">RAND()</f>
        <v>0.59786109175045</v>
      </c>
      <c r="M555" s="83" t="n">
        <f aca="false">IF(L555&lt;(Inputs!$E$24-Inputs!$D$24)/(Inputs!$F$24-Inputs!$D$24),Inputs!$D$24+SQRT(L555*(Inputs!$F$24-Inputs!$D$24)*(Inputs!$E$24-Inputs!$D$24)),Inputs!$F$24-SQRT((1-L555)*(Inputs!$F$24-Inputs!$D$24)*(Inputs!$F$24-Inputs!$E$24)))</f>
        <v>0.889334041163355</v>
      </c>
      <c r="N555" s="81" t="n">
        <f aca="true">RAND()</f>
        <v>0.829319239991252</v>
      </c>
      <c r="O555" s="83" t="n">
        <f aca="false">IF(N555&lt;(Inputs!$E$26-Inputs!$D$26)/(Inputs!$F$26-Inputs!$D$26),Inputs!$D$26+SQRT(N555*(Inputs!$F$26-Inputs!$D$26)*(Inputs!$E$26-Inputs!$D$26)),Inputs!$F$26-SQRT((1-N555)*(Inputs!$F$26-Inputs!$D$26)*(Inputs!$F$26-Inputs!$E$26)))</f>
        <v>0.686767875341906</v>
      </c>
      <c r="P555" s="81" t="n">
        <f aca="true">RAND()</f>
        <v>0.465938596367245</v>
      </c>
      <c r="Q555" s="82" t="n">
        <f aca="false">IF(P555&lt;(Inputs!$E$27-Inputs!$D$27)/(Inputs!$F$27-Inputs!$D$27),Inputs!$D$27+SQRT(P555*(Inputs!$F$27-Inputs!$D$27)*(Inputs!$E$27-Inputs!$D$27)),Inputs!$F$27-SQRT((1-P555)*(Inputs!$F$27-Inputs!$D$27)*(Inputs!$F$27-Inputs!$E$27)))</f>
        <v>86.7112922612125</v>
      </c>
      <c r="R555" s="81" t="n">
        <f aca="true">RAND()</f>
        <v>0.675579203434982</v>
      </c>
      <c r="S555" s="82" t="n">
        <f aca="false">IF(R555&lt;(Inputs!$E$29-Inputs!$D$29)/(Inputs!$F$29-Inputs!$D$29),Inputs!$D$29+SQRT(R555*(Inputs!$F$29-Inputs!$D$29)*(Inputs!$E$29-Inputs!$D$29)),Inputs!$F$29-SQRT((1-R555)*(Inputs!$F$29-Inputs!$D$29)*(Inputs!$F$29-Inputs!$E$29)))</f>
        <v>8.50579461724128</v>
      </c>
      <c r="T555" s="68" t="n">
        <f aca="false">Inputs!$E$9*(1+E555)+Inputs!$E$5*C555*(Inputs!$E$11*Inputs!$E$14*(G555*I555/Inputs!$E$16+(1-G555))*K555+Inputs!$E$23*M555)*(1+O555)+Inputs!$E$5*(Q555+S555)</f>
        <v>6927.08728717578</v>
      </c>
    </row>
    <row r="556" customFormat="false" ht="15" hidden="false" customHeight="false" outlineLevel="0" collapsed="false">
      <c r="A556" s="1" t="n">
        <v>552</v>
      </c>
      <c r="B556" s="81" t="n">
        <f aca="true">RAND()</f>
        <v>0.530671998963453</v>
      </c>
      <c r="C556" s="82" t="n">
        <f aca="false">ROUND(IF(B556&lt;(Inputs!$E$8-Inputs!$D$8)/(Inputs!$F$8-Inputs!$D$8),Inputs!$D$8+SQRT(B556*(Inputs!$F$8-Inputs!$D$8)*(Inputs!$E$8-Inputs!$D$8)),Inputs!$F$8-SQRT((1-B556)*(Inputs!$F$8-Inputs!$D$8)*(Inputs!$F$8-Inputs!$E$8))),0)</f>
        <v>25</v>
      </c>
      <c r="D556" s="81" t="n">
        <f aca="true">RAND()</f>
        <v>0.16885835781129</v>
      </c>
      <c r="E556" s="83" t="n">
        <f aca="false">IF(D556&lt;(Inputs!$E$10-Inputs!$D$10)/(Inputs!$F$10-Inputs!$D$10),Inputs!$D$10+SQRT(D556*(Inputs!$F$10-Inputs!$D$10)*(Inputs!$E$10-Inputs!$D$10)),Inputs!$F$10-SQRT((1-D556)*(Inputs!$F$10-Inputs!$D$10)*(Inputs!$F$10-Inputs!$E$10)))</f>
        <v>0.0410923785891363</v>
      </c>
      <c r="F556" s="81" t="n">
        <f aca="true">RAND()</f>
        <v>0.693608045194752</v>
      </c>
      <c r="G556" s="83" t="n">
        <f aca="false">IF(F556&lt;(Inputs!$E$15-Inputs!$D$15)/(Inputs!$F$15-Inputs!$D$15),Inputs!$D$15+SQRT(F556*(Inputs!$F$15-Inputs!$D$15)*(Inputs!$E$15-Inputs!$D$15)),Inputs!$F$15-SQRT((1-F556)*(Inputs!$F$15-Inputs!$D$15)*(Inputs!$F$15-Inputs!$E$15)))</f>
        <v>0.721719484569243</v>
      </c>
      <c r="H556" s="81" t="n">
        <f aca="true">RAND()</f>
        <v>0.518289663812263</v>
      </c>
      <c r="I556" s="82" t="n">
        <f aca="false">ROUND(IF(H556&lt;(Inputs!$E$17-Inputs!$D$17)/(Inputs!$F$17-Inputs!$D$17),Inputs!$D$17+SQRT(H556*(Inputs!$F$17-Inputs!$D$17)*(Inputs!$E$17-Inputs!$D$17)),Inputs!$F$17-SQRT((1-H556)*(Inputs!$F$17-Inputs!$D$17)*(Inputs!$F$17-Inputs!$E$17))),0)</f>
        <v>106</v>
      </c>
      <c r="J556" s="81" t="n">
        <f aca="true">RAND()</f>
        <v>0.120806420626609</v>
      </c>
      <c r="K556" s="83" t="n">
        <f aca="false">IF(J556&lt;(Inputs!$E$18-Inputs!$D$18)/(Inputs!$F$18-Inputs!$D$18),Inputs!$D$18+SQRT(J556*(Inputs!$F$18-Inputs!$D$18)*(Inputs!$E$18-Inputs!$D$18)),Inputs!$F$18-SQRT((1-J556)*(Inputs!$F$18-Inputs!$D$18)*(Inputs!$F$18-Inputs!$E$18)))</f>
        <v>0.965024800821927</v>
      </c>
      <c r="L556" s="81" t="n">
        <f aca="true">RAND()</f>
        <v>0.17521867341995</v>
      </c>
      <c r="M556" s="83" t="n">
        <f aca="false">IF(L556&lt;(Inputs!$E$24-Inputs!$D$24)/(Inputs!$F$24-Inputs!$D$24),Inputs!$D$24+SQRT(L556*(Inputs!$F$24-Inputs!$D$24)*(Inputs!$E$24-Inputs!$D$24)),Inputs!$F$24-SQRT((1-L556)*(Inputs!$F$24-Inputs!$D$24)*(Inputs!$F$24-Inputs!$E$24)))</f>
        <v>0.745004278593406</v>
      </c>
      <c r="N556" s="81" t="n">
        <f aca="true">RAND()</f>
        <v>0.345592436389683</v>
      </c>
      <c r="O556" s="83" t="n">
        <f aca="false">IF(N556&lt;(Inputs!$E$26-Inputs!$D$26)/(Inputs!$F$26-Inputs!$D$26),Inputs!$D$26+SQRT(N556*(Inputs!$F$26-Inputs!$D$26)*(Inputs!$E$26-Inputs!$D$26)),Inputs!$F$26-SQRT((1-N556)*(Inputs!$F$26-Inputs!$D$26)*(Inputs!$F$26-Inputs!$E$26)))</f>
        <v>0.539805298972402</v>
      </c>
      <c r="P556" s="81" t="n">
        <f aca="true">RAND()</f>
        <v>0.68297684905662</v>
      </c>
      <c r="Q556" s="82" t="n">
        <f aca="false">IF(P556&lt;(Inputs!$E$27-Inputs!$D$27)/(Inputs!$F$27-Inputs!$D$27),Inputs!$D$27+SQRT(P556*(Inputs!$F$27-Inputs!$D$27)*(Inputs!$E$27-Inputs!$D$27)),Inputs!$F$27-SQRT((1-P556)*(Inputs!$F$27-Inputs!$D$27)*(Inputs!$F$27-Inputs!$E$27)))</f>
        <v>101.238605105316</v>
      </c>
      <c r="R556" s="81" t="n">
        <f aca="true">RAND()</f>
        <v>0.388656274694467</v>
      </c>
      <c r="S556" s="82" t="n">
        <f aca="false">IF(R556&lt;(Inputs!$E$29-Inputs!$D$29)/(Inputs!$F$29-Inputs!$D$29),Inputs!$D$29+SQRT(R556*(Inputs!$F$29-Inputs!$D$29)*(Inputs!$E$29-Inputs!$D$29)),Inputs!$F$29-SQRT((1-R556)*(Inputs!$F$29-Inputs!$D$29)*(Inputs!$F$29-Inputs!$E$29)))</f>
        <v>6.08514249750904</v>
      </c>
      <c r="T556" s="68" t="n">
        <f aca="false">Inputs!$E$9*(1+E556)+Inputs!$E$5*C556*(Inputs!$E$11*Inputs!$E$14*(G556*I556/Inputs!$E$16+(1-G556))*K556+Inputs!$E$23*M556)*(1+O556)+Inputs!$E$5*(Q556+S556)</f>
        <v>5828.67283413461</v>
      </c>
    </row>
    <row r="557" customFormat="false" ht="15" hidden="false" customHeight="false" outlineLevel="0" collapsed="false">
      <c r="A557" s="1" t="n">
        <v>553</v>
      </c>
      <c r="B557" s="81" t="n">
        <f aca="true">RAND()</f>
        <v>0.240036744487443</v>
      </c>
      <c r="C557" s="82" t="n">
        <f aca="false">ROUND(IF(B557&lt;(Inputs!$E$8-Inputs!$D$8)/(Inputs!$F$8-Inputs!$D$8),Inputs!$D$8+SQRT(B557*(Inputs!$F$8-Inputs!$D$8)*(Inputs!$E$8-Inputs!$D$8)),Inputs!$F$8-SQRT((1-B557)*(Inputs!$F$8-Inputs!$D$8)*(Inputs!$F$8-Inputs!$E$8))),0)</f>
        <v>23</v>
      </c>
      <c r="D557" s="81" t="n">
        <f aca="true">RAND()</f>
        <v>0.998761937497276</v>
      </c>
      <c r="E557" s="83" t="n">
        <f aca="false">IF(D557&lt;(Inputs!$E$10-Inputs!$D$10)/(Inputs!$F$10-Inputs!$D$10),Inputs!$D$10+SQRT(D557*(Inputs!$F$10-Inputs!$D$10)*(Inputs!$E$10-Inputs!$D$10)),Inputs!$F$10-SQRT((1-D557)*(Inputs!$F$10-Inputs!$D$10)*(Inputs!$F$10-Inputs!$E$10)))</f>
        <v>0.193905586567869</v>
      </c>
      <c r="F557" s="81" t="n">
        <f aca="true">RAND()</f>
        <v>0.270038635200531</v>
      </c>
      <c r="G557" s="83" t="n">
        <f aca="false">IF(F557&lt;(Inputs!$E$15-Inputs!$D$15)/(Inputs!$F$15-Inputs!$D$15),Inputs!$D$15+SQRT(F557*(Inputs!$F$15-Inputs!$D$15)*(Inputs!$E$15-Inputs!$D$15)),Inputs!$F$15-SQRT((1-F557)*(Inputs!$F$15-Inputs!$D$15)*(Inputs!$F$15-Inputs!$E$15)))</f>
        <v>0.673489949680284</v>
      </c>
      <c r="H557" s="81" t="n">
        <f aca="true">RAND()</f>
        <v>0.65572723641745</v>
      </c>
      <c r="I557" s="82" t="n">
        <f aca="false">ROUND(IF(H557&lt;(Inputs!$E$17-Inputs!$D$17)/(Inputs!$F$17-Inputs!$D$17),Inputs!$D$17+SQRT(H557*(Inputs!$F$17-Inputs!$D$17)*(Inputs!$E$17-Inputs!$D$17)),Inputs!$F$17-SQRT((1-H557)*(Inputs!$F$17-Inputs!$D$17)*(Inputs!$F$17-Inputs!$E$17))),0)</f>
        <v>108</v>
      </c>
      <c r="J557" s="81" t="n">
        <f aca="true">RAND()</f>
        <v>0.875628598545573</v>
      </c>
      <c r="K557" s="83" t="n">
        <f aca="false">IF(J557&lt;(Inputs!$E$18-Inputs!$D$18)/(Inputs!$F$18-Inputs!$D$18),Inputs!$D$18+SQRT(J557*(Inputs!$F$18-Inputs!$D$18)*(Inputs!$E$18-Inputs!$D$18)),Inputs!$F$18-SQRT((1-J557)*(Inputs!$F$18-Inputs!$D$18)*(Inputs!$F$18-Inputs!$E$18)))</f>
        <v>1.14568078974962</v>
      </c>
      <c r="L557" s="81" t="n">
        <f aca="true">RAND()</f>
        <v>0.61570275804499</v>
      </c>
      <c r="M557" s="83" t="n">
        <f aca="false">IF(L557&lt;(Inputs!$E$24-Inputs!$D$24)/(Inputs!$F$24-Inputs!$D$24),Inputs!$D$24+SQRT(L557*(Inputs!$F$24-Inputs!$D$24)*(Inputs!$E$24-Inputs!$D$24)),Inputs!$F$24-SQRT((1-L557)*(Inputs!$F$24-Inputs!$D$24)*(Inputs!$F$24-Inputs!$E$24)))</f>
        <v>0.896303872153097</v>
      </c>
      <c r="N557" s="81" t="n">
        <f aca="true">RAND()</f>
        <v>0.537994264883384</v>
      </c>
      <c r="O557" s="83" t="n">
        <f aca="false">IF(N557&lt;(Inputs!$E$26-Inputs!$D$26)/(Inputs!$F$26-Inputs!$D$26),Inputs!$D$26+SQRT(N557*(Inputs!$F$26-Inputs!$D$26)*(Inputs!$E$26-Inputs!$D$26)),Inputs!$F$26-SQRT((1-N557)*(Inputs!$F$26-Inputs!$D$26)*(Inputs!$F$26-Inputs!$E$26)))</f>
        <v>0.599202683271048</v>
      </c>
      <c r="P557" s="81" t="n">
        <f aca="true">RAND()</f>
        <v>0.342849037448185</v>
      </c>
      <c r="Q557" s="82" t="n">
        <f aca="false">IF(P557&lt;(Inputs!$E$27-Inputs!$D$27)/(Inputs!$F$27-Inputs!$D$27),Inputs!$D$27+SQRT(P557*(Inputs!$F$27-Inputs!$D$27)*(Inputs!$E$27-Inputs!$D$27)),Inputs!$F$27-SQRT((1-P557)*(Inputs!$F$27-Inputs!$D$27)*(Inputs!$F$27-Inputs!$E$27)))</f>
        <v>79.7957820416849</v>
      </c>
      <c r="R557" s="81" t="n">
        <f aca="true">RAND()</f>
        <v>0.146853092699261</v>
      </c>
      <c r="S557" s="82" t="n">
        <f aca="false">IF(R557&lt;(Inputs!$E$29-Inputs!$D$29)/(Inputs!$F$29-Inputs!$D$29),Inputs!$D$29+SQRT(R557*(Inputs!$F$29-Inputs!$D$29)*(Inputs!$E$29-Inputs!$D$29)),Inputs!$F$29-SQRT((1-R557)*(Inputs!$F$29-Inputs!$D$29)*(Inputs!$F$29-Inputs!$E$29)))</f>
        <v>4.39317166439668</v>
      </c>
      <c r="T557" s="68" t="n">
        <f aca="false">Inputs!$E$9*(1+E557)+Inputs!$E$5*C557*(Inputs!$E$11*Inputs!$E$14*(G557*I557/Inputs!$E$16+(1-G557))*K557+Inputs!$E$23*M557)*(1+O557)+Inputs!$E$5*(Q557+S557)</f>
        <v>6558.47095502523</v>
      </c>
    </row>
    <row r="558" customFormat="false" ht="15" hidden="false" customHeight="false" outlineLevel="0" collapsed="false">
      <c r="A558" s="1" t="n">
        <v>554</v>
      </c>
      <c r="B558" s="81" t="n">
        <f aca="true">RAND()</f>
        <v>0.287856002188745</v>
      </c>
      <c r="C558" s="82" t="n">
        <f aca="false">ROUND(IF(B558&lt;(Inputs!$E$8-Inputs!$D$8)/(Inputs!$F$8-Inputs!$D$8),Inputs!$D$8+SQRT(B558*(Inputs!$F$8-Inputs!$D$8)*(Inputs!$E$8-Inputs!$D$8)),Inputs!$F$8-SQRT((1-B558)*(Inputs!$F$8-Inputs!$D$8)*(Inputs!$F$8-Inputs!$E$8))),0)</f>
        <v>24</v>
      </c>
      <c r="D558" s="81" t="n">
        <f aca="true">RAND()</f>
        <v>0.343069916827001</v>
      </c>
      <c r="E558" s="83" t="n">
        <f aca="false">IF(D558&lt;(Inputs!$E$10-Inputs!$D$10)/(Inputs!$F$10-Inputs!$D$10),Inputs!$D$10+SQRT(D558*(Inputs!$F$10-Inputs!$D$10)*(Inputs!$E$10-Inputs!$D$10)),Inputs!$F$10-SQRT((1-D558)*(Inputs!$F$10-Inputs!$D$10)*(Inputs!$F$10-Inputs!$E$10)))</f>
        <v>0.0596151628729442</v>
      </c>
      <c r="F558" s="81" t="n">
        <f aca="true">RAND()</f>
        <v>0.644943260640197</v>
      </c>
      <c r="G558" s="83" t="n">
        <f aca="false">IF(F558&lt;(Inputs!$E$15-Inputs!$D$15)/(Inputs!$F$15-Inputs!$D$15),Inputs!$D$15+SQRT(F558*(Inputs!$F$15-Inputs!$D$15)*(Inputs!$E$15-Inputs!$D$15)),Inputs!$F$15-SQRT((1-F558)*(Inputs!$F$15-Inputs!$D$15)*(Inputs!$F$15-Inputs!$E$15)))</f>
        <v>0.715731768814125</v>
      </c>
      <c r="H558" s="81" t="n">
        <f aca="true">RAND()</f>
        <v>0.372610972682727</v>
      </c>
      <c r="I558" s="82" t="n">
        <f aca="false">ROUND(IF(H558&lt;(Inputs!$E$17-Inputs!$D$17)/(Inputs!$F$17-Inputs!$D$17),Inputs!$D$17+SQRT(H558*(Inputs!$F$17-Inputs!$D$17)*(Inputs!$E$17-Inputs!$D$17)),Inputs!$F$17-SQRT((1-H558)*(Inputs!$F$17-Inputs!$D$17)*(Inputs!$F$17-Inputs!$E$17))),0)</f>
        <v>105</v>
      </c>
      <c r="J558" s="81" t="n">
        <f aca="true">RAND()</f>
        <v>0.965115936120252</v>
      </c>
      <c r="K558" s="83" t="n">
        <f aca="false">IF(J558&lt;(Inputs!$E$18-Inputs!$D$18)/(Inputs!$F$18-Inputs!$D$18),Inputs!$D$18+SQRT(J558*(Inputs!$F$18-Inputs!$D$18)*(Inputs!$E$18-Inputs!$D$18)),Inputs!$F$18-SQRT((1-J558)*(Inputs!$F$18-Inputs!$D$18)*(Inputs!$F$18-Inputs!$E$18)))</f>
        <v>1.19475187252514</v>
      </c>
      <c r="L558" s="81" t="n">
        <f aca="true">RAND()</f>
        <v>0.366026263436271</v>
      </c>
      <c r="M558" s="83" t="n">
        <f aca="false">IF(L558&lt;(Inputs!$E$24-Inputs!$D$24)/(Inputs!$F$24-Inputs!$D$24),Inputs!$D$24+SQRT(L558*(Inputs!$F$24-Inputs!$D$24)*(Inputs!$E$24-Inputs!$D$24)),Inputs!$F$24-SQRT((1-L558)*(Inputs!$F$24-Inputs!$D$24)*(Inputs!$F$24-Inputs!$E$24)))</f>
        <v>0.809931164055247</v>
      </c>
      <c r="N558" s="81" t="n">
        <f aca="true">RAND()</f>
        <v>0.538918595125907</v>
      </c>
      <c r="O558" s="83" t="n">
        <f aca="false">IF(N558&lt;(Inputs!$E$26-Inputs!$D$26)/(Inputs!$F$26-Inputs!$D$26),Inputs!$D$26+SQRT(N558*(Inputs!$F$26-Inputs!$D$26)*(Inputs!$E$26-Inputs!$D$26)),Inputs!$F$26-SQRT((1-N558)*(Inputs!$F$26-Inputs!$D$26)*(Inputs!$F$26-Inputs!$E$26)))</f>
        <v>0.599459603667925</v>
      </c>
      <c r="P558" s="81" t="n">
        <f aca="true">RAND()</f>
        <v>0.406424313708896</v>
      </c>
      <c r="Q558" s="82" t="n">
        <f aca="false">IF(P558&lt;(Inputs!$E$27-Inputs!$D$27)/(Inputs!$F$27-Inputs!$D$27),Inputs!$D$27+SQRT(P558*(Inputs!$F$27-Inputs!$D$27)*(Inputs!$E$27-Inputs!$D$27)),Inputs!$F$27-SQRT((1-P558)*(Inputs!$F$27-Inputs!$D$27)*(Inputs!$F$27-Inputs!$E$27)))</f>
        <v>83.2780572286502</v>
      </c>
      <c r="R558" s="81" t="n">
        <f aca="true">RAND()</f>
        <v>0.543888871691807</v>
      </c>
      <c r="S558" s="82" t="n">
        <f aca="false">IF(R558&lt;(Inputs!$E$29-Inputs!$D$29)/(Inputs!$F$29-Inputs!$D$29),Inputs!$D$29+SQRT(R558*(Inputs!$F$29-Inputs!$D$29)*(Inputs!$E$29-Inputs!$D$29)),Inputs!$F$29-SQRT((1-R558)*(Inputs!$F$29-Inputs!$D$29)*(Inputs!$F$29-Inputs!$E$29)))</f>
        <v>7.29971125995492</v>
      </c>
      <c r="T558" s="68" t="n">
        <f aca="false">Inputs!$E$9*(1+E558)+Inputs!$E$5*C558*(Inputs!$E$11*Inputs!$E$14*(G558*I558/Inputs!$E$16+(1-G558))*K558+Inputs!$E$23*M558)*(1+O558)+Inputs!$E$5*(Q558+S558)</f>
        <v>6331.31760265796</v>
      </c>
    </row>
    <row r="559" customFormat="false" ht="15" hidden="false" customHeight="false" outlineLevel="0" collapsed="false">
      <c r="A559" s="1" t="n">
        <v>555</v>
      </c>
      <c r="B559" s="81" t="n">
        <f aca="true">RAND()</f>
        <v>0.624055180319008</v>
      </c>
      <c r="C559" s="82" t="n">
        <f aca="false">ROUND(IF(B559&lt;(Inputs!$E$8-Inputs!$D$8)/(Inputs!$F$8-Inputs!$D$8),Inputs!$D$8+SQRT(B559*(Inputs!$F$8-Inputs!$D$8)*(Inputs!$E$8-Inputs!$D$8)),Inputs!$F$8-SQRT((1-B559)*(Inputs!$F$8-Inputs!$D$8)*(Inputs!$F$8-Inputs!$E$8))),0)</f>
        <v>26</v>
      </c>
      <c r="D559" s="81" t="n">
        <f aca="true">RAND()</f>
        <v>0.437076322151974</v>
      </c>
      <c r="E559" s="83" t="n">
        <f aca="false">IF(D559&lt;(Inputs!$E$10-Inputs!$D$10)/(Inputs!$F$10-Inputs!$D$10),Inputs!$D$10+SQRT(D559*(Inputs!$F$10-Inputs!$D$10)*(Inputs!$E$10-Inputs!$D$10)),Inputs!$F$10-SQRT((1-D559)*(Inputs!$F$10-Inputs!$D$10)*(Inputs!$F$10-Inputs!$E$10)))</f>
        <v>0.0700472765370392</v>
      </c>
      <c r="F559" s="81" t="n">
        <f aca="true">RAND()</f>
        <v>0.571112563193642</v>
      </c>
      <c r="G559" s="83" t="n">
        <f aca="false">IF(F559&lt;(Inputs!$E$15-Inputs!$D$15)/(Inputs!$F$15-Inputs!$D$15),Inputs!$D$15+SQRT(F559*(Inputs!$F$15-Inputs!$D$15)*(Inputs!$E$15-Inputs!$D$15)),Inputs!$F$15-SQRT((1-F559)*(Inputs!$F$15-Inputs!$D$15)*(Inputs!$F$15-Inputs!$E$15)))</f>
        <v>0.707383863521916</v>
      </c>
      <c r="H559" s="81" t="n">
        <f aca="true">RAND()</f>
        <v>0.24806899703924</v>
      </c>
      <c r="I559" s="82" t="n">
        <f aca="false">ROUND(IF(H559&lt;(Inputs!$E$17-Inputs!$D$17)/(Inputs!$F$17-Inputs!$D$17),Inputs!$D$17+SQRT(H559*(Inputs!$F$17-Inputs!$D$17)*(Inputs!$E$17-Inputs!$D$17)),Inputs!$F$17-SQRT((1-H559)*(Inputs!$F$17-Inputs!$D$17)*(Inputs!$F$17-Inputs!$E$17))),0)</f>
        <v>104</v>
      </c>
      <c r="J559" s="81" t="n">
        <f aca="true">RAND()</f>
        <v>0.259606951347859</v>
      </c>
      <c r="K559" s="83" t="n">
        <f aca="false">IF(J559&lt;(Inputs!$E$18-Inputs!$D$18)/(Inputs!$F$18-Inputs!$D$18),Inputs!$D$18+SQRT(J559*(Inputs!$F$18-Inputs!$D$18)*(Inputs!$E$18-Inputs!$D$18)),Inputs!$F$18-SQRT((1-J559)*(Inputs!$F$18-Inputs!$D$18)*(Inputs!$F$18-Inputs!$E$18)))</f>
        <v>0.995321788155569</v>
      </c>
      <c r="L559" s="81" t="n">
        <f aca="true">RAND()</f>
        <v>0.588687217091328</v>
      </c>
      <c r="M559" s="83" t="n">
        <f aca="false">IF(L559&lt;(Inputs!$E$24-Inputs!$D$24)/(Inputs!$F$24-Inputs!$D$24),Inputs!$D$24+SQRT(L559*(Inputs!$F$24-Inputs!$D$24)*(Inputs!$E$24-Inputs!$D$24)),Inputs!$F$24-SQRT((1-L559)*(Inputs!$F$24-Inputs!$D$24)*(Inputs!$F$24-Inputs!$E$24)))</f>
        <v>0.885810458643065</v>
      </c>
      <c r="N559" s="81" t="n">
        <f aca="true">RAND()</f>
        <v>0.974032073892974</v>
      </c>
      <c r="O559" s="83" t="n">
        <f aca="false">IF(N559&lt;(Inputs!$E$26-Inputs!$D$26)/(Inputs!$F$26-Inputs!$D$26),Inputs!$D$26+SQRT(N559*(Inputs!$F$26-Inputs!$D$26)*(Inputs!$E$26-Inputs!$D$26)),Inputs!$F$26-SQRT((1-N559)*(Inputs!$F$26-Inputs!$D$26)*(Inputs!$F$26-Inputs!$E$26)))</f>
        <v>0.768032083790759</v>
      </c>
      <c r="P559" s="81" t="n">
        <f aca="true">RAND()</f>
        <v>0.330555467222313</v>
      </c>
      <c r="Q559" s="82" t="n">
        <f aca="false">IF(P559&lt;(Inputs!$E$27-Inputs!$D$27)/(Inputs!$F$27-Inputs!$D$27),Inputs!$D$27+SQRT(P559*(Inputs!$F$27-Inputs!$D$27)*(Inputs!$E$27-Inputs!$D$27)),Inputs!$F$27-SQRT((1-P559)*(Inputs!$F$27-Inputs!$D$27)*(Inputs!$F$27-Inputs!$E$27)))</f>
        <v>79.1421564268807</v>
      </c>
      <c r="R559" s="81" t="n">
        <f aca="true">RAND()</f>
        <v>0.0149625440735272</v>
      </c>
      <c r="S559" s="82" t="n">
        <f aca="false">IF(R559&lt;(Inputs!$E$29-Inputs!$D$29)/(Inputs!$F$29-Inputs!$D$29),Inputs!$D$29+SQRT(R559*(Inputs!$F$29-Inputs!$D$29)*(Inputs!$E$29-Inputs!$D$29)),Inputs!$F$29-SQRT((1-R559)*(Inputs!$F$29-Inputs!$D$29)*(Inputs!$F$29-Inputs!$E$29)))</f>
        <v>2.76389738765594</v>
      </c>
      <c r="T559" s="68" t="n">
        <f aca="false">Inputs!$E$9*(1+E559)+Inputs!$E$5*C559*(Inputs!$E$11*Inputs!$E$14*(G559*I559/Inputs!$E$16+(1-G559))*K559+Inputs!$E$23*M559)*(1+O559)+Inputs!$E$5*(Q559+S559)</f>
        <v>6647.63185936479</v>
      </c>
    </row>
    <row r="560" customFormat="false" ht="15" hidden="false" customHeight="false" outlineLevel="0" collapsed="false">
      <c r="A560" s="1" t="n">
        <v>556</v>
      </c>
      <c r="B560" s="81" t="n">
        <f aca="true">RAND()</f>
        <v>0.746314395052878</v>
      </c>
      <c r="C560" s="82" t="n">
        <f aca="false">ROUND(IF(B560&lt;(Inputs!$E$8-Inputs!$D$8)/(Inputs!$F$8-Inputs!$D$8),Inputs!$D$8+SQRT(B560*(Inputs!$F$8-Inputs!$D$8)*(Inputs!$E$8-Inputs!$D$8)),Inputs!$F$8-SQRT((1-B560)*(Inputs!$F$8-Inputs!$D$8)*(Inputs!$F$8-Inputs!$E$8))),0)</f>
        <v>26</v>
      </c>
      <c r="D560" s="81" t="n">
        <f aca="true">RAND()</f>
        <v>0.21968826938907</v>
      </c>
      <c r="E560" s="83" t="n">
        <f aca="false">IF(D560&lt;(Inputs!$E$10-Inputs!$D$10)/(Inputs!$F$10-Inputs!$D$10),Inputs!$D$10+SQRT(D560*(Inputs!$F$10-Inputs!$D$10)*(Inputs!$E$10-Inputs!$D$10)),Inputs!$F$10-SQRT((1-D560)*(Inputs!$F$10-Inputs!$D$10)*(Inputs!$F$10-Inputs!$E$10)))</f>
        <v>0.0468709152235232</v>
      </c>
      <c r="F560" s="81" t="n">
        <f aca="true">RAND()</f>
        <v>0.146467481100096</v>
      </c>
      <c r="G560" s="83" t="n">
        <f aca="false">IF(F560&lt;(Inputs!$E$15-Inputs!$D$15)/(Inputs!$F$15-Inputs!$D$15),Inputs!$D$15+SQRT(F560*(Inputs!$F$15-Inputs!$D$15)*(Inputs!$E$15-Inputs!$D$15)),Inputs!$F$15-SQRT((1-F560)*(Inputs!$F$15-Inputs!$D$15)*(Inputs!$F$15-Inputs!$E$15)))</f>
        <v>0.654123466463281</v>
      </c>
      <c r="H560" s="81" t="n">
        <f aca="true">RAND()</f>
        <v>0.379257243453638</v>
      </c>
      <c r="I560" s="82" t="n">
        <f aca="false">ROUND(IF(H560&lt;(Inputs!$E$17-Inputs!$D$17)/(Inputs!$F$17-Inputs!$D$17),Inputs!$D$17+SQRT(H560*(Inputs!$F$17-Inputs!$D$17)*(Inputs!$E$17-Inputs!$D$17)),Inputs!$F$17-SQRT((1-H560)*(Inputs!$F$17-Inputs!$D$17)*(Inputs!$F$17-Inputs!$E$17))),0)</f>
        <v>105</v>
      </c>
      <c r="J560" s="81" t="n">
        <f aca="true">RAND()</f>
        <v>0.790626021682405</v>
      </c>
      <c r="K560" s="83" t="n">
        <f aca="false">IF(J560&lt;(Inputs!$E$18-Inputs!$D$18)/(Inputs!$F$18-Inputs!$D$18),Inputs!$D$18+SQRT(J560*(Inputs!$F$18-Inputs!$D$18)*(Inputs!$E$18-Inputs!$D$18)),Inputs!$F$18-SQRT((1-J560)*(Inputs!$F$18-Inputs!$D$18)*(Inputs!$F$18-Inputs!$E$18)))</f>
        <v>1.1146477813156</v>
      </c>
      <c r="L560" s="81" t="n">
        <f aca="true">RAND()</f>
        <v>0.159302892008356</v>
      </c>
      <c r="M560" s="83" t="n">
        <f aca="false">IF(L560&lt;(Inputs!$E$24-Inputs!$D$24)/(Inputs!$F$24-Inputs!$D$24),Inputs!$D$24+SQRT(L560*(Inputs!$F$24-Inputs!$D$24)*(Inputs!$E$24-Inputs!$D$24)),Inputs!$F$24-SQRT((1-L560)*(Inputs!$F$24-Inputs!$D$24)*(Inputs!$F$24-Inputs!$E$24)))</f>
        <v>0.738261878480667</v>
      </c>
      <c r="N560" s="81" t="n">
        <f aca="true">RAND()</f>
        <v>0.523357727713235</v>
      </c>
      <c r="O560" s="83" t="n">
        <f aca="false">IF(N560&lt;(Inputs!$E$26-Inputs!$D$26)/(Inputs!$F$26-Inputs!$D$26),Inputs!$D$26+SQRT(N560*(Inputs!$F$26-Inputs!$D$26)*(Inputs!$E$26-Inputs!$D$26)),Inputs!$F$26-SQRT((1-N560)*(Inputs!$F$26-Inputs!$D$26)*(Inputs!$F$26-Inputs!$E$26)))</f>
        <v>0.595104601610145</v>
      </c>
      <c r="P560" s="81" t="n">
        <f aca="true">RAND()</f>
        <v>0.458283587679063</v>
      </c>
      <c r="Q560" s="82" t="n">
        <f aca="false">IF(P560&lt;(Inputs!$E$27-Inputs!$D$27)/(Inputs!$F$27-Inputs!$D$27),Inputs!$D$27+SQRT(P560*(Inputs!$F$27-Inputs!$D$27)*(Inputs!$E$27-Inputs!$D$27)),Inputs!$F$27-SQRT((1-P560)*(Inputs!$F$27-Inputs!$D$27)*(Inputs!$F$27-Inputs!$E$27)))</f>
        <v>86.2593293696479</v>
      </c>
      <c r="R560" s="81" t="n">
        <f aca="true">RAND()</f>
        <v>0.798967180138478</v>
      </c>
      <c r="S560" s="82" t="n">
        <f aca="false">IF(R560&lt;(Inputs!$E$29-Inputs!$D$29)/(Inputs!$F$29-Inputs!$D$29),Inputs!$D$29+SQRT(R560*(Inputs!$F$29-Inputs!$D$29)*(Inputs!$E$29-Inputs!$D$29)),Inputs!$F$29-SQRT((1-R560)*(Inputs!$F$29-Inputs!$D$29)*(Inputs!$F$29-Inputs!$E$29)))</f>
        <v>9.88783151862169</v>
      </c>
      <c r="T560" s="68" t="n">
        <f aca="false">Inputs!$E$9*(1+E560)+Inputs!$E$5*C560*(Inputs!$E$11*Inputs!$E$14*(G560*I560/Inputs!$E$16+(1-G560))*K560+Inputs!$E$23*M560)*(1+O560)+Inputs!$E$5*(Q560+S560)</f>
        <v>6428.4883069911</v>
      </c>
    </row>
    <row r="561" customFormat="false" ht="15" hidden="false" customHeight="false" outlineLevel="0" collapsed="false">
      <c r="A561" s="1" t="n">
        <v>557</v>
      </c>
      <c r="B561" s="81" t="n">
        <f aca="true">RAND()</f>
        <v>0.597785985714063</v>
      </c>
      <c r="C561" s="82" t="n">
        <f aca="false">ROUND(IF(B561&lt;(Inputs!$E$8-Inputs!$D$8)/(Inputs!$F$8-Inputs!$D$8),Inputs!$D$8+SQRT(B561*(Inputs!$F$8-Inputs!$D$8)*(Inputs!$E$8-Inputs!$D$8)),Inputs!$F$8-SQRT((1-B561)*(Inputs!$F$8-Inputs!$D$8)*(Inputs!$F$8-Inputs!$E$8))),0)</f>
        <v>26</v>
      </c>
      <c r="D561" s="81" t="n">
        <f aca="true">RAND()</f>
        <v>0.75957757575663</v>
      </c>
      <c r="E561" s="83" t="n">
        <f aca="false">IF(D561&lt;(Inputs!$E$10-Inputs!$D$10)/(Inputs!$F$10-Inputs!$D$10),Inputs!$D$10+SQRT(D561*(Inputs!$F$10-Inputs!$D$10)*(Inputs!$E$10-Inputs!$D$10)),Inputs!$F$10-SQRT((1-D561)*(Inputs!$F$10-Inputs!$D$10)*(Inputs!$F$10-Inputs!$E$10)))</f>
        <v>0.115072544325754</v>
      </c>
      <c r="F561" s="81" t="n">
        <f aca="true">RAND()</f>
        <v>0.879570987104258</v>
      </c>
      <c r="G561" s="83" t="n">
        <f aca="false">IF(F561&lt;(Inputs!$E$15-Inputs!$D$15)/(Inputs!$F$15-Inputs!$D$15),Inputs!$D$15+SQRT(F561*(Inputs!$F$15-Inputs!$D$15)*(Inputs!$E$15-Inputs!$D$15)),Inputs!$F$15-SQRT((1-F561)*(Inputs!$F$15-Inputs!$D$15)*(Inputs!$F$15-Inputs!$E$15)))</f>
        <v>0.75092271138383</v>
      </c>
      <c r="H561" s="81" t="n">
        <f aca="true">RAND()</f>
        <v>0.324025569648425</v>
      </c>
      <c r="I561" s="82" t="n">
        <f aca="false">ROUND(IF(H561&lt;(Inputs!$E$17-Inputs!$D$17)/(Inputs!$F$17-Inputs!$D$17),Inputs!$D$17+SQRT(H561*(Inputs!$F$17-Inputs!$D$17)*(Inputs!$E$17-Inputs!$D$17)),Inputs!$F$17-SQRT((1-H561)*(Inputs!$F$17-Inputs!$D$17)*(Inputs!$F$17-Inputs!$E$17))),0)</f>
        <v>105</v>
      </c>
      <c r="J561" s="81" t="n">
        <f aca="true">RAND()</f>
        <v>0.574653162854766</v>
      </c>
      <c r="K561" s="83" t="n">
        <f aca="false">IF(J561&lt;(Inputs!$E$18-Inputs!$D$18)/(Inputs!$F$18-Inputs!$D$18),Inputs!$D$18+SQRT(J561*(Inputs!$F$18-Inputs!$D$18)*(Inputs!$E$18-Inputs!$D$18)),Inputs!$F$18-SQRT((1-J561)*(Inputs!$F$18-Inputs!$D$18)*(Inputs!$F$18-Inputs!$E$18)))</f>
        <v>1.05708072089548</v>
      </c>
      <c r="L561" s="81" t="n">
        <f aca="true">RAND()</f>
        <v>0.542411815680877</v>
      </c>
      <c r="M561" s="83" t="n">
        <f aca="false">IF(L561&lt;(Inputs!$E$24-Inputs!$D$24)/(Inputs!$F$24-Inputs!$D$24),Inputs!$D$24+SQRT(L561*(Inputs!$F$24-Inputs!$D$24)*(Inputs!$E$24-Inputs!$D$24)),Inputs!$F$24-SQRT((1-L561)*(Inputs!$F$24-Inputs!$D$24)*(Inputs!$F$24-Inputs!$E$24)))</f>
        <v>0.868607235690655</v>
      </c>
      <c r="N561" s="81" t="n">
        <f aca="true">RAND()</f>
        <v>0.0011350425019211</v>
      </c>
      <c r="O561" s="83" t="n">
        <f aca="false">IF(N561&lt;(Inputs!$E$26-Inputs!$D$26)/(Inputs!$F$26-Inputs!$D$26),Inputs!$D$26+SQRT(N561*(Inputs!$F$26-Inputs!$D$26)*(Inputs!$E$26-Inputs!$D$26)),Inputs!$F$26-SQRT((1-N561)*(Inputs!$F$26-Inputs!$D$26)*(Inputs!$F$26-Inputs!$E$26)))</f>
        <v>0.313743037230528</v>
      </c>
      <c r="P561" s="81" t="n">
        <f aca="true">RAND()</f>
        <v>0.172843310808486</v>
      </c>
      <c r="Q561" s="82" t="n">
        <f aca="false">IF(P561&lt;(Inputs!$E$27-Inputs!$D$27)/(Inputs!$F$27-Inputs!$D$27),Inputs!$D$27+SQRT(P561*(Inputs!$F$27-Inputs!$D$27)*(Inputs!$E$27-Inputs!$D$27)),Inputs!$F$27-SQRT((1-P561)*(Inputs!$F$27-Inputs!$D$27)*(Inputs!$F$27-Inputs!$E$27)))</f>
        <v>70.7872142679392</v>
      </c>
      <c r="R561" s="81" t="n">
        <f aca="true">RAND()</f>
        <v>0.548502015703228</v>
      </c>
      <c r="S561" s="82" t="n">
        <f aca="false">IF(R561&lt;(Inputs!$E$29-Inputs!$D$29)/(Inputs!$F$29-Inputs!$D$29),Inputs!$D$29+SQRT(R561*(Inputs!$F$29-Inputs!$D$29)*(Inputs!$E$29-Inputs!$D$29)),Inputs!$F$29-SQRT((1-R561)*(Inputs!$F$29-Inputs!$D$29)*(Inputs!$F$29-Inputs!$E$29)))</f>
        <v>7.33875088783948</v>
      </c>
      <c r="T561" s="68" t="n">
        <f aca="false">Inputs!$E$9*(1+E561)+Inputs!$E$5*C561*(Inputs!$E$11*Inputs!$E$14*(G561*I561/Inputs!$E$16+(1-G561))*K561+Inputs!$E$23*M561)*(1+O561)+Inputs!$E$5*(Q561+S561)</f>
        <v>5779.28055959242</v>
      </c>
    </row>
    <row r="562" customFormat="false" ht="15" hidden="false" customHeight="false" outlineLevel="0" collapsed="false">
      <c r="A562" s="1" t="n">
        <v>558</v>
      </c>
      <c r="B562" s="81" t="n">
        <f aca="true">RAND()</f>
        <v>0.582863020526933</v>
      </c>
      <c r="C562" s="82" t="n">
        <f aca="false">ROUND(IF(B562&lt;(Inputs!$E$8-Inputs!$D$8)/(Inputs!$F$8-Inputs!$D$8),Inputs!$D$8+SQRT(B562*(Inputs!$F$8-Inputs!$D$8)*(Inputs!$E$8-Inputs!$D$8)),Inputs!$F$8-SQRT((1-B562)*(Inputs!$F$8-Inputs!$D$8)*(Inputs!$F$8-Inputs!$E$8))),0)</f>
        <v>25</v>
      </c>
      <c r="D562" s="81" t="n">
        <f aca="true">RAND()</f>
        <v>0.730431026026363</v>
      </c>
      <c r="E562" s="83" t="n">
        <f aca="false">IF(D562&lt;(Inputs!$E$10-Inputs!$D$10)/(Inputs!$F$10-Inputs!$D$10),Inputs!$D$10+SQRT(D562*(Inputs!$F$10-Inputs!$D$10)*(Inputs!$E$10-Inputs!$D$10)),Inputs!$F$10-SQRT((1-D562)*(Inputs!$F$10-Inputs!$D$10)*(Inputs!$F$10-Inputs!$E$10)))</f>
        <v>0.110071866364251</v>
      </c>
      <c r="F562" s="81" t="n">
        <f aca="true">RAND()</f>
        <v>0.53943804510988</v>
      </c>
      <c r="G562" s="83" t="n">
        <f aca="false">IF(F562&lt;(Inputs!$E$15-Inputs!$D$15)/(Inputs!$F$15-Inputs!$D$15),Inputs!$D$15+SQRT(F562*(Inputs!$F$15-Inputs!$D$15)*(Inputs!$E$15-Inputs!$D$15)),Inputs!$F$15-SQRT((1-F562)*(Inputs!$F$15-Inputs!$D$15)*(Inputs!$F$15-Inputs!$E$15)))</f>
        <v>0.704024799568835</v>
      </c>
      <c r="H562" s="81" t="n">
        <f aca="true">RAND()</f>
        <v>0.883427687158205</v>
      </c>
      <c r="I562" s="82" t="n">
        <f aca="false">ROUND(IF(H562&lt;(Inputs!$E$17-Inputs!$D$17)/(Inputs!$F$17-Inputs!$D$17),Inputs!$D$17+SQRT(H562*(Inputs!$F$17-Inputs!$D$17)*(Inputs!$E$17-Inputs!$D$17)),Inputs!$F$17-SQRT((1-H562)*(Inputs!$F$17-Inputs!$D$17)*(Inputs!$F$17-Inputs!$E$17))),0)</f>
        <v>111</v>
      </c>
      <c r="J562" s="81" t="n">
        <f aca="true">RAND()</f>
        <v>0.918923743432245</v>
      </c>
      <c r="K562" s="83" t="n">
        <f aca="false">IF(J562&lt;(Inputs!$E$18-Inputs!$D$18)/(Inputs!$F$18-Inputs!$D$18),Inputs!$D$18+SQRT(J562*(Inputs!$F$18-Inputs!$D$18)*(Inputs!$E$18-Inputs!$D$18)),Inputs!$F$18-SQRT((1-J562)*(Inputs!$F$18-Inputs!$D$18)*(Inputs!$F$18-Inputs!$E$18)))</f>
        <v>1.16577308951601</v>
      </c>
      <c r="L562" s="81" t="n">
        <f aca="true">RAND()</f>
        <v>0.519842652832846</v>
      </c>
      <c r="M562" s="83" t="n">
        <f aca="false">IF(L562&lt;(Inputs!$E$24-Inputs!$D$24)/(Inputs!$F$24-Inputs!$D$24),Inputs!$D$24+SQRT(L562*(Inputs!$F$24-Inputs!$D$24)*(Inputs!$E$24-Inputs!$D$24)),Inputs!$F$24-SQRT((1-L562)*(Inputs!$F$24-Inputs!$D$24)*(Inputs!$F$24-Inputs!$E$24)))</f>
        <v>0.860533118964284</v>
      </c>
      <c r="N562" s="81" t="n">
        <f aca="true">RAND()</f>
        <v>0.368690970236644</v>
      </c>
      <c r="O562" s="83" t="n">
        <f aca="false">IF(N562&lt;(Inputs!$E$26-Inputs!$D$26)/(Inputs!$F$26-Inputs!$D$26),Inputs!$D$26+SQRT(N562*(Inputs!$F$26-Inputs!$D$26)*(Inputs!$E$26-Inputs!$D$26)),Inputs!$F$26-SQRT((1-N562)*(Inputs!$F$26-Inputs!$D$26)*(Inputs!$F$26-Inputs!$E$26)))</f>
        <v>0.547689679735304</v>
      </c>
      <c r="P562" s="81" t="n">
        <f aca="true">RAND()</f>
        <v>0.589974153824498</v>
      </c>
      <c r="Q562" s="82" t="n">
        <f aca="false">IF(P562&lt;(Inputs!$E$27-Inputs!$D$27)/(Inputs!$F$27-Inputs!$D$27),Inputs!$D$27+SQRT(P562*(Inputs!$F$27-Inputs!$D$27)*(Inputs!$E$27-Inputs!$D$27)),Inputs!$F$27-SQRT((1-P562)*(Inputs!$F$27-Inputs!$D$27)*(Inputs!$F$27-Inputs!$E$27)))</f>
        <v>94.5455696421263</v>
      </c>
      <c r="R562" s="81" t="n">
        <f aca="true">RAND()</f>
        <v>0.721246416352583</v>
      </c>
      <c r="S562" s="82" t="n">
        <f aca="false">IF(R562&lt;(Inputs!$E$29-Inputs!$D$29)/(Inputs!$F$29-Inputs!$D$29),Inputs!$D$29+SQRT(R562*(Inputs!$F$29-Inputs!$D$29)*(Inputs!$E$29-Inputs!$D$29)),Inputs!$F$29-SQRT((1-R562)*(Inputs!$F$29-Inputs!$D$29)*(Inputs!$F$29-Inputs!$E$29)))</f>
        <v>8.98020217331477</v>
      </c>
      <c r="T562" s="68" t="n">
        <f aca="false">Inputs!$E$9*(1+E562)+Inputs!$E$5*C562*(Inputs!$E$11*Inputs!$E$14*(G562*I562/Inputs!$E$16+(1-G562))*K562+Inputs!$E$23*M562)*(1+O562)+Inputs!$E$5*(Q562+S562)</f>
        <v>6642.34684536769</v>
      </c>
    </row>
    <row r="563" customFormat="false" ht="15" hidden="false" customHeight="false" outlineLevel="0" collapsed="false">
      <c r="A563" s="1" t="n">
        <v>559</v>
      </c>
      <c r="B563" s="81" t="n">
        <f aca="true">RAND()</f>
        <v>0.532763878394975</v>
      </c>
      <c r="C563" s="82" t="n">
        <f aca="false">ROUND(IF(B563&lt;(Inputs!$E$8-Inputs!$D$8)/(Inputs!$F$8-Inputs!$D$8),Inputs!$D$8+SQRT(B563*(Inputs!$F$8-Inputs!$D$8)*(Inputs!$E$8-Inputs!$D$8)),Inputs!$F$8-SQRT((1-B563)*(Inputs!$F$8-Inputs!$D$8)*(Inputs!$F$8-Inputs!$E$8))),0)</f>
        <v>25</v>
      </c>
      <c r="D563" s="81" t="n">
        <f aca="true">RAND()</f>
        <v>0.0977549106790817</v>
      </c>
      <c r="E563" s="83" t="n">
        <f aca="false">IF(D563&lt;(Inputs!$E$10-Inputs!$D$10)/(Inputs!$F$10-Inputs!$D$10),Inputs!$D$10+SQRT(D563*(Inputs!$F$10-Inputs!$D$10)*(Inputs!$E$10-Inputs!$D$10)),Inputs!$F$10-SQRT((1-D563)*(Inputs!$F$10-Inputs!$D$10)*(Inputs!$F$10-Inputs!$E$10)))</f>
        <v>0.0312657817236482</v>
      </c>
      <c r="F563" s="81" t="n">
        <f aca="true">RAND()</f>
        <v>0.37529278406867</v>
      </c>
      <c r="G563" s="83" t="n">
        <f aca="false">IF(F563&lt;(Inputs!$E$15-Inputs!$D$15)/(Inputs!$F$15-Inputs!$D$15),Inputs!$D$15+SQRT(F563*(Inputs!$F$15-Inputs!$D$15)*(Inputs!$E$15-Inputs!$D$15)),Inputs!$F$15-SQRT((1-F563)*(Inputs!$F$15-Inputs!$D$15)*(Inputs!$F$15-Inputs!$E$15)))</f>
        <v>0.686636341574269</v>
      </c>
      <c r="H563" s="81" t="n">
        <f aca="true">RAND()</f>
        <v>0.230899849609461</v>
      </c>
      <c r="I563" s="82" t="n">
        <f aca="false">ROUND(IF(H563&lt;(Inputs!$E$17-Inputs!$D$17)/(Inputs!$F$17-Inputs!$D$17),Inputs!$D$17+SQRT(H563*(Inputs!$F$17-Inputs!$D$17)*(Inputs!$E$17-Inputs!$D$17)),Inputs!$F$17-SQRT((1-H563)*(Inputs!$F$17-Inputs!$D$17)*(Inputs!$F$17-Inputs!$E$17))),0)</f>
        <v>104</v>
      </c>
      <c r="J563" s="81" t="n">
        <f aca="true">RAND()</f>
        <v>0.499734730758221</v>
      </c>
      <c r="K563" s="83" t="n">
        <f aca="false">IF(J563&lt;(Inputs!$E$18-Inputs!$D$18)/(Inputs!$F$18-Inputs!$D$18),Inputs!$D$18+SQRT(J563*(Inputs!$F$18-Inputs!$D$18)*(Inputs!$E$18-Inputs!$D$18)),Inputs!$F$18-SQRT((1-J563)*(Inputs!$F$18-Inputs!$D$18)*(Inputs!$F$18-Inputs!$E$18)))</f>
        <v>1.04077951568105</v>
      </c>
      <c r="L563" s="81" t="n">
        <f aca="true">RAND()</f>
        <v>0.76464181955779</v>
      </c>
      <c r="M563" s="83" t="n">
        <f aca="false">IF(L563&lt;(Inputs!$E$24-Inputs!$D$24)/(Inputs!$F$24-Inputs!$D$24),Inputs!$D$24+SQRT(L563*(Inputs!$F$24-Inputs!$D$24)*(Inputs!$E$24-Inputs!$D$24)),Inputs!$F$24-SQRT((1-L563)*(Inputs!$F$24-Inputs!$D$24)*(Inputs!$F$24-Inputs!$E$24)))</f>
        <v>0.962332241761466</v>
      </c>
      <c r="N563" s="81" t="n">
        <f aca="true">RAND()</f>
        <v>0.0712806603064305</v>
      </c>
      <c r="O563" s="83" t="n">
        <f aca="false">IF(N563&lt;(Inputs!$E$26-Inputs!$D$26)/(Inputs!$F$26-Inputs!$D$26),Inputs!$D$26+SQRT(N563*(Inputs!$F$26-Inputs!$D$26)*(Inputs!$E$26-Inputs!$D$26)),Inputs!$F$26-SQRT((1-N563)*(Inputs!$F$26-Inputs!$D$26)*(Inputs!$F$26-Inputs!$E$26)))</f>
        <v>0.408908685948321</v>
      </c>
      <c r="P563" s="81" t="n">
        <f aca="true">RAND()</f>
        <v>0.650030070386561</v>
      </c>
      <c r="Q563" s="82" t="n">
        <f aca="false">IF(P563&lt;(Inputs!$E$27-Inputs!$D$27)/(Inputs!$F$27-Inputs!$D$27),Inputs!$D$27+SQRT(P563*(Inputs!$F$27-Inputs!$D$27)*(Inputs!$E$27-Inputs!$D$27)),Inputs!$F$27-SQRT((1-P563)*(Inputs!$F$27-Inputs!$D$27)*(Inputs!$F$27-Inputs!$E$27)))</f>
        <v>98.7674471444103</v>
      </c>
      <c r="R563" s="81" t="n">
        <f aca="true">RAND()</f>
        <v>0.429027235604594</v>
      </c>
      <c r="S563" s="82" t="n">
        <f aca="false">IF(R563&lt;(Inputs!$E$29-Inputs!$D$29)/(Inputs!$F$29-Inputs!$D$29),Inputs!$D$29+SQRT(R563*(Inputs!$F$29-Inputs!$D$29)*(Inputs!$E$29-Inputs!$D$29)),Inputs!$F$29-SQRT((1-R563)*(Inputs!$F$29-Inputs!$D$29)*(Inputs!$F$29-Inputs!$E$29)))</f>
        <v>6.38452210429377</v>
      </c>
      <c r="T563" s="68" t="n">
        <f aca="false">Inputs!$E$9*(1+E563)+Inputs!$E$5*C563*(Inputs!$E$11*Inputs!$E$14*(G563*I563/Inputs!$E$16+(1-G563))*K563+Inputs!$E$23*M563)*(1+O563)+Inputs!$E$5*(Q563+S563)</f>
        <v>5977.43649180039</v>
      </c>
    </row>
    <row r="564" customFormat="false" ht="15" hidden="false" customHeight="false" outlineLevel="0" collapsed="false">
      <c r="A564" s="1" t="n">
        <v>560</v>
      </c>
      <c r="B564" s="81" t="n">
        <f aca="true">RAND()</f>
        <v>0.423913685591341</v>
      </c>
      <c r="C564" s="82" t="n">
        <f aca="false">ROUND(IF(B564&lt;(Inputs!$E$8-Inputs!$D$8)/(Inputs!$F$8-Inputs!$D$8),Inputs!$D$8+SQRT(B564*(Inputs!$F$8-Inputs!$D$8)*(Inputs!$E$8-Inputs!$D$8)),Inputs!$F$8-SQRT((1-B564)*(Inputs!$F$8-Inputs!$D$8)*(Inputs!$F$8-Inputs!$E$8))),0)</f>
        <v>25</v>
      </c>
      <c r="D564" s="81" t="n">
        <f aca="true">RAND()</f>
        <v>0.890899459036903</v>
      </c>
      <c r="E564" s="83" t="n">
        <f aca="false">IF(D564&lt;(Inputs!$E$10-Inputs!$D$10)/(Inputs!$F$10-Inputs!$D$10),Inputs!$D$10+SQRT(D564*(Inputs!$F$10-Inputs!$D$10)*(Inputs!$E$10-Inputs!$D$10)),Inputs!$F$10-SQRT((1-D564)*(Inputs!$F$10-Inputs!$D$10)*(Inputs!$F$10-Inputs!$E$10)))</f>
        <v>0.142789719202814</v>
      </c>
      <c r="F564" s="81" t="n">
        <f aca="true">RAND()</f>
        <v>0.980966251450263</v>
      </c>
      <c r="G564" s="83" t="n">
        <f aca="false">IF(F564&lt;(Inputs!$E$15-Inputs!$D$15)/(Inputs!$F$15-Inputs!$D$15),Inputs!$D$15+SQRT(F564*(Inputs!$F$15-Inputs!$D$15)*(Inputs!$E$15-Inputs!$D$15)),Inputs!$F$15-SQRT((1-F564)*(Inputs!$F$15-Inputs!$D$15)*(Inputs!$F$15-Inputs!$E$15)))</f>
        <v>0.780489106350689</v>
      </c>
      <c r="H564" s="81" t="n">
        <f aca="true">RAND()</f>
        <v>0.775974382739871</v>
      </c>
      <c r="I564" s="82" t="n">
        <f aca="false">ROUND(IF(H564&lt;(Inputs!$E$17-Inputs!$D$17)/(Inputs!$F$17-Inputs!$D$17),Inputs!$D$17+SQRT(H564*(Inputs!$F$17-Inputs!$D$17)*(Inputs!$E$17-Inputs!$D$17)),Inputs!$F$17-SQRT((1-H564)*(Inputs!$F$17-Inputs!$D$17)*(Inputs!$F$17-Inputs!$E$17))),0)</f>
        <v>109</v>
      </c>
      <c r="J564" s="81" t="n">
        <f aca="true">RAND()</f>
        <v>0.316081458229853</v>
      </c>
      <c r="K564" s="83" t="n">
        <f aca="false">IF(J564&lt;(Inputs!$E$18-Inputs!$D$18)/(Inputs!$F$18-Inputs!$D$18),Inputs!$D$18+SQRT(J564*(Inputs!$F$18-Inputs!$D$18)*(Inputs!$E$18-Inputs!$D$18)),Inputs!$F$18-SQRT((1-J564)*(Inputs!$F$18-Inputs!$D$18)*(Inputs!$F$18-Inputs!$E$18)))</f>
        <v>1.00537197134243</v>
      </c>
      <c r="L564" s="81" t="n">
        <f aca="true">RAND()</f>
        <v>0.283975573706344</v>
      </c>
      <c r="M564" s="83" t="n">
        <f aca="false">IF(L564&lt;(Inputs!$E$24-Inputs!$D$24)/(Inputs!$F$24-Inputs!$D$24),Inputs!$D$24+SQRT(L564*(Inputs!$F$24-Inputs!$D$24)*(Inputs!$E$24-Inputs!$D$24)),Inputs!$F$24-SQRT((1-L564)*(Inputs!$F$24-Inputs!$D$24)*(Inputs!$F$24-Inputs!$E$24)))</f>
        <v>0.784599753100489</v>
      </c>
      <c r="N564" s="81" t="n">
        <f aca="true">RAND()</f>
        <v>0.36359777691262</v>
      </c>
      <c r="O564" s="83" t="n">
        <f aca="false">IF(N564&lt;(Inputs!$E$26-Inputs!$D$26)/(Inputs!$F$26-Inputs!$D$26),Inputs!$D$26+SQRT(N564*(Inputs!$F$26-Inputs!$D$26)*(Inputs!$E$26-Inputs!$D$26)),Inputs!$F$26-SQRT((1-N564)*(Inputs!$F$26-Inputs!$D$26)*(Inputs!$F$26-Inputs!$E$26)))</f>
        <v>0.545972905170996</v>
      </c>
      <c r="P564" s="81" t="n">
        <f aca="true">RAND()</f>
        <v>0.905299440598236</v>
      </c>
      <c r="Q564" s="82" t="n">
        <f aca="false">IF(P564&lt;(Inputs!$E$27-Inputs!$D$27)/(Inputs!$F$27-Inputs!$D$27),Inputs!$D$27+SQRT(P564*(Inputs!$F$27-Inputs!$D$27)*(Inputs!$E$27-Inputs!$D$27)),Inputs!$F$27-SQRT((1-P564)*(Inputs!$F$27-Inputs!$D$27)*(Inputs!$F$27-Inputs!$E$27)))</f>
        <v>123.349405344097</v>
      </c>
      <c r="R564" s="81" t="n">
        <f aca="true">RAND()</f>
        <v>0.622203110906561</v>
      </c>
      <c r="S564" s="82" t="n">
        <f aca="false">IF(R564&lt;(Inputs!$E$29-Inputs!$D$29)/(Inputs!$F$29-Inputs!$D$29),Inputs!$D$29+SQRT(R564*(Inputs!$F$29-Inputs!$D$29)*(Inputs!$E$29-Inputs!$D$29)),Inputs!$F$29-SQRT((1-R564)*(Inputs!$F$29-Inputs!$D$29)*(Inputs!$F$29-Inputs!$E$29)))</f>
        <v>7.99189072701153</v>
      </c>
      <c r="T564" s="68" t="n">
        <f aca="false">Inputs!$E$9*(1+E564)+Inputs!$E$5*C564*(Inputs!$E$11*Inputs!$E$14*(G564*I564/Inputs!$E$16+(1-G564))*K564+Inputs!$E$23*M564)*(1+O564)+Inputs!$E$5*(Q564+S564)</f>
        <v>6284.93206805463</v>
      </c>
    </row>
    <row r="565" customFormat="false" ht="15" hidden="false" customHeight="false" outlineLevel="0" collapsed="false">
      <c r="A565" s="1" t="n">
        <v>561</v>
      </c>
      <c r="B565" s="81" t="n">
        <f aca="true">RAND()</f>
        <v>0.741803488984307</v>
      </c>
      <c r="C565" s="82" t="n">
        <f aca="false">ROUND(IF(B565&lt;(Inputs!$E$8-Inputs!$D$8)/(Inputs!$F$8-Inputs!$D$8),Inputs!$D$8+SQRT(B565*(Inputs!$F$8-Inputs!$D$8)*(Inputs!$E$8-Inputs!$D$8)),Inputs!$F$8-SQRT((1-B565)*(Inputs!$F$8-Inputs!$D$8)*(Inputs!$F$8-Inputs!$E$8))),0)</f>
        <v>26</v>
      </c>
      <c r="D565" s="81" t="n">
        <f aca="true">RAND()</f>
        <v>0.0883266179704899</v>
      </c>
      <c r="E565" s="83" t="n">
        <f aca="false">IF(D565&lt;(Inputs!$E$10-Inputs!$D$10)/(Inputs!$F$10-Inputs!$D$10),Inputs!$D$10+SQRT(D565*(Inputs!$F$10-Inputs!$D$10)*(Inputs!$E$10-Inputs!$D$10)),Inputs!$F$10-SQRT((1-D565)*(Inputs!$F$10-Inputs!$D$10)*(Inputs!$F$10-Inputs!$E$10)))</f>
        <v>0.0297197944088599</v>
      </c>
      <c r="F565" s="81" t="n">
        <f aca="true">RAND()</f>
        <v>0.913675145651535</v>
      </c>
      <c r="G565" s="83" t="n">
        <f aca="false">IF(F565&lt;(Inputs!$E$15-Inputs!$D$15)/(Inputs!$F$15-Inputs!$D$15),Inputs!$D$15+SQRT(F565*(Inputs!$F$15-Inputs!$D$15)*(Inputs!$E$15-Inputs!$D$15)),Inputs!$F$15-SQRT((1-F565)*(Inputs!$F$15-Inputs!$D$15)*(Inputs!$F$15-Inputs!$E$15)))</f>
        <v>0.758448861784913</v>
      </c>
      <c r="H565" s="81" t="n">
        <f aca="true">RAND()</f>
        <v>0.842927762968131</v>
      </c>
      <c r="I565" s="82" t="n">
        <f aca="false">ROUND(IF(H565&lt;(Inputs!$E$17-Inputs!$D$17)/(Inputs!$F$17-Inputs!$D$17),Inputs!$D$17+SQRT(H565*(Inputs!$F$17-Inputs!$D$17)*(Inputs!$E$17-Inputs!$D$17)),Inputs!$F$17-SQRT((1-H565)*(Inputs!$F$17-Inputs!$D$17)*(Inputs!$F$17-Inputs!$E$17))),0)</f>
        <v>110</v>
      </c>
      <c r="J565" s="81" t="n">
        <f aca="true">RAND()</f>
        <v>0.709017396895642</v>
      </c>
      <c r="K565" s="83" t="n">
        <f aca="false">IF(J565&lt;(Inputs!$E$18-Inputs!$D$18)/(Inputs!$F$18-Inputs!$D$18),Inputs!$D$18+SQRT(J565*(Inputs!$F$18-Inputs!$D$18)*(Inputs!$E$18-Inputs!$D$18)),Inputs!$F$18-SQRT((1-J565)*(Inputs!$F$18-Inputs!$D$18)*(Inputs!$F$18-Inputs!$E$18)))</f>
        <v>1.09043503588936</v>
      </c>
      <c r="L565" s="81" t="n">
        <f aca="true">RAND()</f>
        <v>0.352341201413969</v>
      </c>
      <c r="M565" s="83" t="n">
        <f aca="false">IF(L565&lt;(Inputs!$E$24-Inputs!$D$24)/(Inputs!$F$24-Inputs!$D$24),Inputs!$D$24+SQRT(L565*(Inputs!$F$24-Inputs!$D$24)*(Inputs!$E$24-Inputs!$D$24)),Inputs!$F$24-SQRT((1-L565)*(Inputs!$F$24-Inputs!$D$24)*(Inputs!$F$24-Inputs!$E$24)))</f>
        <v>0.805743596550865</v>
      </c>
      <c r="N565" s="81" t="n">
        <f aca="true">RAND()</f>
        <v>0.547658737587971</v>
      </c>
      <c r="O565" s="83" t="n">
        <f aca="false">IF(N565&lt;(Inputs!$E$26-Inputs!$D$26)/(Inputs!$F$26-Inputs!$D$26),Inputs!$D$26+SQRT(N565*(Inputs!$F$26-Inputs!$D$26)*(Inputs!$E$26-Inputs!$D$26)),Inputs!$F$26-SQRT((1-N565)*(Inputs!$F$26-Inputs!$D$26)*(Inputs!$F$26-Inputs!$E$26)))</f>
        <v>0.601878144181785</v>
      </c>
      <c r="P565" s="81" t="n">
        <f aca="true">RAND()</f>
        <v>0.641476198416155</v>
      </c>
      <c r="Q565" s="82" t="n">
        <f aca="false">IF(P565&lt;(Inputs!$E$27-Inputs!$D$27)/(Inputs!$F$27-Inputs!$D$27),Inputs!$D$27+SQRT(P565*(Inputs!$F$27-Inputs!$D$27)*(Inputs!$E$27-Inputs!$D$27)),Inputs!$F$27-SQRT((1-P565)*(Inputs!$F$27-Inputs!$D$27)*(Inputs!$F$27-Inputs!$E$27)))</f>
        <v>98.1451206550547</v>
      </c>
      <c r="R565" s="81" t="n">
        <f aca="true">RAND()</f>
        <v>0.928334315659182</v>
      </c>
      <c r="S565" s="82" t="n">
        <f aca="false">IF(R565&lt;(Inputs!$E$29-Inputs!$D$29)/(Inputs!$F$29-Inputs!$D$29),Inputs!$D$29+SQRT(R565*(Inputs!$F$29-Inputs!$D$29)*(Inputs!$E$29-Inputs!$D$29)),Inputs!$F$29-SQRT((1-R565)*(Inputs!$F$29-Inputs!$D$29)*(Inputs!$F$29-Inputs!$E$29)))</f>
        <v>11.9476993981086</v>
      </c>
      <c r="T565" s="68" t="n">
        <f aca="false">Inputs!$E$9*(1+E565)+Inputs!$E$5*C565*(Inputs!$E$11*Inputs!$E$14*(G565*I565/Inputs!$E$16+(1-G565))*K565+Inputs!$E$23*M565)*(1+O565)+Inputs!$E$5*(Q565+S565)</f>
        <v>6434.37433262998</v>
      </c>
    </row>
    <row r="566" customFormat="false" ht="15" hidden="false" customHeight="false" outlineLevel="0" collapsed="false">
      <c r="A566" s="1" t="n">
        <v>562</v>
      </c>
      <c r="B566" s="81" t="n">
        <f aca="true">RAND()</f>
        <v>0.820334940602606</v>
      </c>
      <c r="C566" s="82" t="n">
        <f aca="false">ROUND(IF(B566&lt;(Inputs!$E$8-Inputs!$D$8)/(Inputs!$F$8-Inputs!$D$8),Inputs!$D$8+SQRT(B566*(Inputs!$F$8-Inputs!$D$8)*(Inputs!$E$8-Inputs!$D$8)),Inputs!$F$8-SQRT((1-B566)*(Inputs!$F$8-Inputs!$D$8)*(Inputs!$F$8-Inputs!$E$8))),0)</f>
        <v>27</v>
      </c>
      <c r="D566" s="81" t="n">
        <f aca="true">RAND()</f>
        <v>0.102232821358952</v>
      </c>
      <c r="E566" s="83" t="n">
        <f aca="false">IF(D566&lt;(Inputs!$E$10-Inputs!$D$10)/(Inputs!$F$10-Inputs!$D$10),Inputs!$D$10+SQRT(D566*(Inputs!$F$10-Inputs!$D$10)*(Inputs!$E$10-Inputs!$D$10)),Inputs!$F$10-SQRT((1-D566)*(Inputs!$F$10-Inputs!$D$10)*(Inputs!$F$10-Inputs!$E$10)))</f>
        <v>0.0319738676670421</v>
      </c>
      <c r="F566" s="81" t="n">
        <f aca="true">RAND()</f>
        <v>0.811092260646081</v>
      </c>
      <c r="G566" s="83" t="n">
        <f aca="false">IF(F566&lt;(Inputs!$E$15-Inputs!$D$15)/(Inputs!$F$15-Inputs!$D$15),Inputs!$D$15+SQRT(F566*(Inputs!$F$15-Inputs!$D$15)*(Inputs!$E$15-Inputs!$D$15)),Inputs!$F$15-SQRT((1-F566)*(Inputs!$F$15-Inputs!$D$15)*(Inputs!$F$15-Inputs!$E$15)))</f>
        <v>0.738533303431221</v>
      </c>
      <c r="H566" s="81" t="n">
        <f aca="true">RAND()</f>
        <v>0.133751377016192</v>
      </c>
      <c r="I566" s="82" t="n">
        <f aca="false">ROUND(IF(H566&lt;(Inputs!$E$17-Inputs!$D$17)/(Inputs!$F$17-Inputs!$D$17),Inputs!$D$17+SQRT(H566*(Inputs!$F$17-Inputs!$D$17)*(Inputs!$E$17-Inputs!$D$17)),Inputs!$F$17-SQRT((1-H566)*(Inputs!$F$17-Inputs!$D$17)*(Inputs!$F$17-Inputs!$E$17))),0)</f>
        <v>103</v>
      </c>
      <c r="J566" s="81" t="n">
        <f aca="true">RAND()</f>
        <v>0.819471069609524</v>
      </c>
      <c r="K566" s="83" t="n">
        <f aca="false">IF(J566&lt;(Inputs!$E$18-Inputs!$D$18)/(Inputs!$F$18-Inputs!$D$18),Inputs!$D$18+SQRT(J566*(Inputs!$F$18-Inputs!$D$18)*(Inputs!$E$18-Inputs!$D$18)),Inputs!$F$18-SQRT((1-J566)*(Inputs!$F$18-Inputs!$D$18)*(Inputs!$F$18-Inputs!$E$18)))</f>
        <v>1.12431674173078</v>
      </c>
      <c r="L566" s="81" t="n">
        <f aca="true">RAND()</f>
        <v>0.212835692448171</v>
      </c>
      <c r="M566" s="83" t="n">
        <f aca="false">IF(L566&lt;(Inputs!$E$24-Inputs!$D$24)/(Inputs!$F$24-Inputs!$D$24),Inputs!$D$24+SQRT(L566*(Inputs!$F$24-Inputs!$D$24)*(Inputs!$E$24-Inputs!$D$24)),Inputs!$F$24-SQRT((1-L566)*(Inputs!$F$24-Inputs!$D$24)*(Inputs!$F$24-Inputs!$E$24)))</f>
        <v>0.75981327571194</v>
      </c>
      <c r="N566" s="81" t="n">
        <f aca="true">RAND()</f>
        <v>0.950037757007626</v>
      </c>
      <c r="O566" s="83" t="n">
        <f aca="false">IF(N566&lt;(Inputs!$E$26-Inputs!$D$26)/(Inputs!$F$26-Inputs!$D$26),Inputs!$D$26+SQRT(N566*(Inputs!$F$26-Inputs!$D$26)*(Inputs!$E$26-Inputs!$D$26)),Inputs!$F$26-SQRT((1-N566)*(Inputs!$F$26-Inputs!$D$26)*(Inputs!$F$26-Inputs!$E$26)))</f>
        <v>0.747916206598106</v>
      </c>
      <c r="P566" s="81" t="n">
        <f aca="true">RAND()</f>
        <v>0.837494571793714</v>
      </c>
      <c r="Q566" s="82" t="n">
        <f aca="false">IF(P566&lt;(Inputs!$E$27-Inputs!$D$27)/(Inputs!$F$27-Inputs!$D$27),Inputs!$D$27+SQRT(P566*(Inputs!$F$27-Inputs!$D$27)*(Inputs!$E$27-Inputs!$D$27)),Inputs!$F$27-SQRT((1-P566)*(Inputs!$F$27-Inputs!$D$27)*(Inputs!$F$27-Inputs!$E$27)))</f>
        <v>115.088816812558</v>
      </c>
      <c r="R566" s="81" t="n">
        <f aca="true">RAND()</f>
        <v>0.691922615540899</v>
      </c>
      <c r="S566" s="82" t="n">
        <f aca="false">IF(R566&lt;(Inputs!$E$29-Inputs!$D$29)/(Inputs!$F$29-Inputs!$D$29),Inputs!$D$29+SQRT(R566*(Inputs!$F$29-Inputs!$D$29)*(Inputs!$E$29-Inputs!$D$29)),Inputs!$F$29-SQRT((1-R566)*(Inputs!$F$29-Inputs!$D$29)*(Inputs!$F$29-Inputs!$E$29)))</f>
        <v>8.67148832823363</v>
      </c>
      <c r="T566" s="68" t="n">
        <f aca="false">Inputs!$E$9*(1+E566)+Inputs!$E$5*C566*(Inputs!$E$11*Inputs!$E$14*(G566*I566/Inputs!$E$16+(1-G566))*K566+Inputs!$E$23*M566)*(1+O566)+Inputs!$E$5*(Q566+S566)</f>
        <v>6916.22441585354</v>
      </c>
    </row>
    <row r="567" customFormat="false" ht="15" hidden="false" customHeight="false" outlineLevel="0" collapsed="false">
      <c r="A567" s="1" t="n">
        <v>563</v>
      </c>
      <c r="B567" s="81" t="n">
        <f aca="true">RAND()</f>
        <v>0.509141871187968</v>
      </c>
      <c r="C567" s="82" t="n">
        <f aca="false">ROUND(IF(B567&lt;(Inputs!$E$8-Inputs!$D$8)/(Inputs!$F$8-Inputs!$D$8),Inputs!$D$8+SQRT(B567*(Inputs!$F$8-Inputs!$D$8)*(Inputs!$E$8-Inputs!$D$8)),Inputs!$F$8-SQRT((1-B567)*(Inputs!$F$8-Inputs!$D$8)*(Inputs!$F$8-Inputs!$E$8))),0)</f>
        <v>25</v>
      </c>
      <c r="D567" s="81" t="n">
        <f aca="true">RAND()</f>
        <v>0.416093112716241</v>
      </c>
      <c r="E567" s="83" t="n">
        <f aca="false">IF(D567&lt;(Inputs!$E$10-Inputs!$D$10)/(Inputs!$F$10-Inputs!$D$10),Inputs!$D$10+SQRT(D567*(Inputs!$F$10-Inputs!$D$10)*(Inputs!$E$10-Inputs!$D$10)),Inputs!$F$10-SQRT((1-D567)*(Inputs!$F$10-Inputs!$D$10)*(Inputs!$F$10-Inputs!$E$10)))</f>
        <v>0.067647415520086</v>
      </c>
      <c r="F567" s="81" t="n">
        <f aca="true">RAND()</f>
        <v>0.225269251229299</v>
      </c>
      <c r="G567" s="83" t="n">
        <f aca="false">IF(F567&lt;(Inputs!$E$15-Inputs!$D$15)/(Inputs!$F$15-Inputs!$D$15),Inputs!$D$15+SQRT(F567*(Inputs!$F$15-Inputs!$D$15)*(Inputs!$E$15-Inputs!$D$15)),Inputs!$F$15-SQRT((1-F567)*(Inputs!$F$15-Inputs!$D$15)*(Inputs!$F$15-Inputs!$E$15)))</f>
        <v>0.667122164927734</v>
      </c>
      <c r="H567" s="81" t="n">
        <f aca="true">RAND()</f>
        <v>0.559990414227763</v>
      </c>
      <c r="I567" s="82" t="n">
        <f aca="false">ROUND(IF(H567&lt;(Inputs!$E$17-Inputs!$D$17)/(Inputs!$F$17-Inputs!$D$17),Inputs!$D$17+SQRT(H567*(Inputs!$F$17-Inputs!$D$17)*(Inputs!$E$17-Inputs!$D$17)),Inputs!$F$17-SQRT((1-H567)*(Inputs!$F$17-Inputs!$D$17)*(Inputs!$F$17-Inputs!$E$17))),0)</f>
        <v>107</v>
      </c>
      <c r="J567" s="81" t="n">
        <f aca="true">RAND()</f>
        <v>0.845762148499483</v>
      </c>
      <c r="K567" s="83" t="n">
        <f aca="false">IF(J567&lt;(Inputs!$E$18-Inputs!$D$18)/(Inputs!$F$18-Inputs!$D$18),Inputs!$D$18+SQRT(J567*(Inputs!$F$18-Inputs!$D$18)*(Inputs!$E$18-Inputs!$D$18)),Inputs!$F$18-SQRT((1-J567)*(Inputs!$F$18-Inputs!$D$18)*(Inputs!$F$18-Inputs!$E$18)))</f>
        <v>1.13382852326713</v>
      </c>
      <c r="L567" s="81" t="n">
        <f aca="true">RAND()</f>
        <v>0.504843364484137</v>
      </c>
      <c r="M567" s="83" t="n">
        <f aca="false">IF(L567&lt;(Inputs!$E$24-Inputs!$D$24)/(Inputs!$F$24-Inputs!$D$24),Inputs!$D$24+SQRT(L567*(Inputs!$F$24-Inputs!$D$24)*(Inputs!$E$24-Inputs!$D$24)),Inputs!$F$24-SQRT((1-L567)*(Inputs!$F$24-Inputs!$D$24)*(Inputs!$F$24-Inputs!$E$24)))</f>
        <v>0.855271712034235</v>
      </c>
      <c r="N567" s="81" t="n">
        <f aca="true">RAND()</f>
        <v>0.700310874090009</v>
      </c>
      <c r="O567" s="83" t="n">
        <f aca="false">IF(N567&lt;(Inputs!$E$26-Inputs!$D$26)/(Inputs!$F$26-Inputs!$D$26),Inputs!$D$26+SQRT(N567*(Inputs!$F$26-Inputs!$D$26)*(Inputs!$E$26-Inputs!$D$26)),Inputs!$F$26-SQRT((1-N567)*(Inputs!$F$26-Inputs!$D$26)*(Inputs!$F$26-Inputs!$E$26)))</f>
        <v>0.643456325248852</v>
      </c>
      <c r="P567" s="81" t="n">
        <f aca="true">RAND()</f>
        <v>0.27371154425706</v>
      </c>
      <c r="Q567" s="82" t="n">
        <f aca="false">IF(P567&lt;(Inputs!$E$27-Inputs!$D$27)/(Inputs!$F$27-Inputs!$D$27),Inputs!$D$27+SQRT(P567*(Inputs!$F$27-Inputs!$D$27)*(Inputs!$E$27-Inputs!$D$27)),Inputs!$F$27-SQRT((1-P567)*(Inputs!$F$27-Inputs!$D$27)*(Inputs!$F$27-Inputs!$E$27)))</f>
        <v>76.1950989562885</v>
      </c>
      <c r="R567" s="81" t="n">
        <f aca="true">RAND()</f>
        <v>0.0552916189013699</v>
      </c>
      <c r="S567" s="82" t="n">
        <f aca="false">IF(R567&lt;(Inputs!$E$29-Inputs!$D$29)/(Inputs!$F$29-Inputs!$D$29),Inputs!$D$29+SQRT(R567*(Inputs!$F$29-Inputs!$D$29)*(Inputs!$E$29-Inputs!$D$29)),Inputs!$F$29-SQRT((1-R567)*(Inputs!$F$29-Inputs!$D$29)*(Inputs!$F$29-Inputs!$E$29)))</f>
        <v>3.46845944348267</v>
      </c>
      <c r="T567" s="68" t="n">
        <f aca="false">Inputs!$E$9*(1+E567)+Inputs!$E$5*C567*(Inputs!$E$11*Inputs!$E$14*(G567*I567/Inputs!$E$16+(1-G567))*K567+Inputs!$E$23*M567)*(1+O567)+Inputs!$E$5*(Q567+S567)</f>
        <v>6578.45642384693</v>
      </c>
    </row>
    <row r="568" customFormat="false" ht="15" hidden="false" customHeight="false" outlineLevel="0" collapsed="false">
      <c r="A568" s="1" t="n">
        <v>564</v>
      </c>
      <c r="B568" s="81" t="n">
        <f aca="true">RAND()</f>
        <v>0.338650182061186</v>
      </c>
      <c r="C568" s="82" t="n">
        <f aca="false">ROUND(IF(B568&lt;(Inputs!$E$8-Inputs!$D$8)/(Inputs!$F$8-Inputs!$D$8),Inputs!$D$8+SQRT(B568*(Inputs!$F$8-Inputs!$D$8)*(Inputs!$E$8-Inputs!$D$8)),Inputs!$F$8-SQRT((1-B568)*(Inputs!$F$8-Inputs!$D$8)*(Inputs!$F$8-Inputs!$E$8))),0)</f>
        <v>24</v>
      </c>
      <c r="D568" s="81" t="n">
        <f aca="true">RAND()</f>
        <v>0.965257140416654</v>
      </c>
      <c r="E568" s="83" t="n">
        <f aca="false">IF(D568&lt;(Inputs!$E$10-Inputs!$D$10)/(Inputs!$F$10-Inputs!$D$10),Inputs!$D$10+SQRT(D568*(Inputs!$F$10-Inputs!$D$10)*(Inputs!$E$10-Inputs!$D$10)),Inputs!$F$10-SQRT((1-D568)*(Inputs!$F$10-Inputs!$D$10)*(Inputs!$F$10-Inputs!$E$10)))</f>
        <v>0.167715548827642</v>
      </c>
      <c r="F568" s="81" t="n">
        <f aca="true">RAND()</f>
        <v>0.735793068715162</v>
      </c>
      <c r="G568" s="83" t="n">
        <f aca="false">IF(F568&lt;(Inputs!$E$15-Inputs!$D$15)/(Inputs!$F$15-Inputs!$D$15),Inputs!$D$15+SQRT(F568*(Inputs!$F$15-Inputs!$D$15)*(Inputs!$E$15-Inputs!$D$15)),Inputs!$F$15-SQRT((1-F568)*(Inputs!$F$15-Inputs!$D$15)*(Inputs!$F$15-Inputs!$E$15)))</f>
        <v>0.727307919099143</v>
      </c>
      <c r="H568" s="81" t="n">
        <f aca="true">RAND()</f>
        <v>0.198965624655986</v>
      </c>
      <c r="I568" s="82" t="n">
        <f aca="false">ROUND(IF(H568&lt;(Inputs!$E$17-Inputs!$D$17)/(Inputs!$F$17-Inputs!$D$17),Inputs!$D$17+SQRT(H568*(Inputs!$F$17-Inputs!$D$17)*(Inputs!$E$17-Inputs!$D$17)),Inputs!$F$17-SQRT((1-H568)*(Inputs!$F$17-Inputs!$D$17)*(Inputs!$F$17-Inputs!$E$17))),0)</f>
        <v>104</v>
      </c>
      <c r="J568" s="81" t="n">
        <f aca="true">RAND()</f>
        <v>0.303021322330444</v>
      </c>
      <c r="K568" s="83" t="n">
        <f aca="false">IF(J568&lt;(Inputs!$E$18-Inputs!$D$18)/(Inputs!$F$18-Inputs!$D$18),Inputs!$D$18+SQRT(J568*(Inputs!$F$18-Inputs!$D$18)*(Inputs!$E$18-Inputs!$D$18)),Inputs!$F$18-SQRT((1-J568)*(Inputs!$F$18-Inputs!$D$18)*(Inputs!$F$18-Inputs!$E$18)))</f>
        <v>1.00304730352538</v>
      </c>
      <c r="L568" s="81" t="n">
        <f aca="true">RAND()</f>
        <v>0.805678713175774</v>
      </c>
      <c r="M568" s="83" t="n">
        <f aca="false">IF(L568&lt;(Inputs!$E$24-Inputs!$D$24)/(Inputs!$F$24-Inputs!$D$24),Inputs!$D$24+SQRT(L568*(Inputs!$F$24-Inputs!$D$24)*(Inputs!$E$24-Inputs!$D$24)),Inputs!$F$24-SQRT((1-L568)*(Inputs!$F$24-Inputs!$D$24)*(Inputs!$F$24-Inputs!$E$24)))</f>
        <v>0.984043733969551</v>
      </c>
      <c r="N568" s="81" t="n">
        <f aca="true">RAND()</f>
        <v>0.91744068765815</v>
      </c>
      <c r="O568" s="83" t="n">
        <f aca="false">IF(N568&lt;(Inputs!$E$26-Inputs!$D$26)/(Inputs!$F$26-Inputs!$D$26),Inputs!$D$26+SQRT(N568*(Inputs!$F$26-Inputs!$D$26)*(Inputs!$E$26-Inputs!$D$26)),Inputs!$F$26-SQRT((1-N568)*(Inputs!$F$26-Inputs!$D$26)*(Inputs!$F$26-Inputs!$E$26)))</f>
        <v>0.727338419592841</v>
      </c>
      <c r="P568" s="81" t="n">
        <f aca="true">RAND()</f>
        <v>0.380592622841631</v>
      </c>
      <c r="Q568" s="82" t="n">
        <f aca="false">IF(P568&lt;(Inputs!$E$27-Inputs!$D$27)/(Inputs!$F$27-Inputs!$D$27),Inputs!$D$27+SQRT(P568*(Inputs!$F$27-Inputs!$D$27)*(Inputs!$E$27-Inputs!$D$27)),Inputs!$F$27-SQRT((1-P568)*(Inputs!$F$27-Inputs!$D$27)*(Inputs!$F$27-Inputs!$E$27)))</f>
        <v>81.8416892177647</v>
      </c>
      <c r="R568" s="81" t="n">
        <f aca="true">RAND()</f>
        <v>0.685714422327097</v>
      </c>
      <c r="S568" s="82" t="n">
        <f aca="false">IF(R568&lt;(Inputs!$E$29-Inputs!$D$29)/(Inputs!$F$29-Inputs!$D$29),Inputs!$D$29+SQRT(R568*(Inputs!$F$29-Inputs!$D$29)*(Inputs!$E$29-Inputs!$D$29)),Inputs!$F$29-SQRT((1-R568)*(Inputs!$F$29-Inputs!$D$29)*(Inputs!$F$29-Inputs!$E$29)))</f>
        <v>8.60804215459165</v>
      </c>
      <c r="T568" s="68" t="n">
        <f aca="false">Inputs!$E$9*(1+E568)+Inputs!$E$5*C568*(Inputs!$E$11*Inputs!$E$14*(G568*I568/Inputs!$E$16+(1-G568))*K568+Inputs!$E$23*M568)*(1+O568)+Inputs!$E$5*(Q568+S568)</f>
        <v>6658.20842583147</v>
      </c>
    </row>
    <row r="569" customFormat="false" ht="15" hidden="false" customHeight="false" outlineLevel="0" collapsed="false">
      <c r="A569" s="1" t="n">
        <v>565</v>
      </c>
      <c r="B569" s="81" t="n">
        <f aca="true">RAND()</f>
        <v>0.981883243193171</v>
      </c>
      <c r="C569" s="82" t="n">
        <f aca="false">ROUND(IF(B569&lt;(Inputs!$E$8-Inputs!$D$8)/(Inputs!$F$8-Inputs!$D$8),Inputs!$D$8+SQRT(B569*(Inputs!$F$8-Inputs!$D$8)*(Inputs!$E$8-Inputs!$D$8)),Inputs!$F$8-SQRT((1-B569)*(Inputs!$F$8-Inputs!$D$8)*(Inputs!$F$8-Inputs!$E$8))),0)</f>
        <v>29</v>
      </c>
      <c r="D569" s="81" t="n">
        <f aca="true">RAND()</f>
        <v>0.0153263048243536</v>
      </c>
      <c r="E569" s="83" t="n">
        <f aca="false">IF(D569&lt;(Inputs!$E$10-Inputs!$D$10)/(Inputs!$F$10-Inputs!$D$10),Inputs!$D$10+SQRT(D569*(Inputs!$F$10-Inputs!$D$10)*(Inputs!$E$10-Inputs!$D$10)),Inputs!$F$10-SQRT((1-D569)*(Inputs!$F$10-Inputs!$D$10)*(Inputs!$F$10-Inputs!$E$10)))</f>
        <v>0.0123799454055152</v>
      </c>
      <c r="F569" s="81" t="n">
        <f aca="true">RAND()</f>
        <v>0.78060712357184</v>
      </c>
      <c r="G569" s="83" t="n">
        <f aca="false">IF(F569&lt;(Inputs!$E$15-Inputs!$D$15)/(Inputs!$F$15-Inputs!$D$15),Inputs!$D$15+SQRT(F569*(Inputs!$F$15-Inputs!$D$15)*(Inputs!$E$15-Inputs!$D$15)),Inputs!$F$15-SQRT((1-F569)*(Inputs!$F$15-Inputs!$D$15)*(Inputs!$F$15-Inputs!$E$15)))</f>
        <v>0.733759094748311</v>
      </c>
      <c r="H569" s="81" t="n">
        <f aca="true">RAND()</f>
        <v>0.145679774155954</v>
      </c>
      <c r="I569" s="82" t="n">
        <f aca="false">ROUND(IF(H569&lt;(Inputs!$E$17-Inputs!$D$17)/(Inputs!$F$17-Inputs!$D$17),Inputs!$D$17+SQRT(H569*(Inputs!$F$17-Inputs!$D$17)*(Inputs!$E$17-Inputs!$D$17)),Inputs!$F$17-SQRT((1-H569)*(Inputs!$F$17-Inputs!$D$17)*(Inputs!$F$17-Inputs!$E$17))),0)</f>
        <v>103</v>
      </c>
      <c r="J569" s="81" t="n">
        <f aca="true">RAND()</f>
        <v>0.281389598826785</v>
      </c>
      <c r="K569" s="83" t="n">
        <f aca="false">IF(J569&lt;(Inputs!$E$18-Inputs!$D$18)/(Inputs!$F$18-Inputs!$D$18),Inputs!$D$18+SQRT(J569*(Inputs!$F$18-Inputs!$D$18)*(Inputs!$E$18-Inputs!$D$18)),Inputs!$F$18-SQRT((1-J569)*(Inputs!$F$18-Inputs!$D$18)*(Inputs!$F$18-Inputs!$E$18)))</f>
        <v>0.999240294028875</v>
      </c>
      <c r="L569" s="81" t="n">
        <f aca="true">RAND()</f>
        <v>0.274574217019684</v>
      </c>
      <c r="M569" s="83" t="n">
        <f aca="false">IF(L569&lt;(Inputs!$E$24-Inputs!$D$24)/(Inputs!$F$24-Inputs!$D$24),Inputs!$D$24+SQRT(L569*(Inputs!$F$24-Inputs!$D$24)*(Inputs!$E$24-Inputs!$D$24)),Inputs!$F$24-SQRT((1-L569)*(Inputs!$F$24-Inputs!$D$24)*(Inputs!$F$24-Inputs!$E$24)))</f>
        <v>0.781518335278732</v>
      </c>
      <c r="N569" s="81" t="n">
        <f aca="true">RAND()</f>
        <v>0.599579034713571</v>
      </c>
      <c r="O569" s="83" t="n">
        <f aca="false">IF(N569&lt;(Inputs!$E$26-Inputs!$D$26)/(Inputs!$F$26-Inputs!$D$26),Inputs!$D$26+SQRT(N569*(Inputs!$F$26-Inputs!$D$26)*(Inputs!$E$26-Inputs!$D$26)),Inputs!$F$26-SQRT((1-N569)*(Inputs!$F$26-Inputs!$D$26)*(Inputs!$F$26-Inputs!$E$26)))</f>
        <v>0.615863817770156</v>
      </c>
      <c r="P569" s="81" t="n">
        <f aca="true">RAND()</f>
        <v>0.750670868116984</v>
      </c>
      <c r="Q569" s="82" t="n">
        <f aca="false">IF(P569&lt;(Inputs!$E$27-Inputs!$D$27)/(Inputs!$F$27-Inputs!$D$27),Inputs!$D$27+SQRT(P569*(Inputs!$F$27-Inputs!$D$27)*(Inputs!$E$27-Inputs!$D$27)),Inputs!$F$27-SQRT((1-P569)*(Inputs!$F$27-Inputs!$D$27)*(Inputs!$F$27-Inputs!$E$27)))</f>
        <v>106.75686772304</v>
      </c>
      <c r="R569" s="81" t="n">
        <f aca="true">RAND()</f>
        <v>0.156596598287636</v>
      </c>
      <c r="S569" s="82" t="n">
        <f aca="false">IF(R569&lt;(Inputs!$E$29-Inputs!$D$29)/(Inputs!$F$29-Inputs!$D$29),Inputs!$D$29+SQRT(R569*(Inputs!$F$29-Inputs!$D$29)*(Inputs!$E$29-Inputs!$D$29)),Inputs!$F$29-SQRT((1-R569)*(Inputs!$F$29-Inputs!$D$29)*(Inputs!$F$29-Inputs!$E$29)))</f>
        <v>4.47128859771938</v>
      </c>
      <c r="T569" s="68" t="n">
        <f aca="false">Inputs!$E$9*(1+E569)+Inputs!$E$5*C569*(Inputs!$E$11*Inputs!$E$14*(G569*I569/Inputs!$E$16+(1-G569))*K569+Inputs!$E$23*M569)*(1+O569)+Inputs!$E$5*(Q569+S569)</f>
        <v>6522.25678391251</v>
      </c>
    </row>
    <row r="570" customFormat="false" ht="15" hidden="false" customHeight="false" outlineLevel="0" collapsed="false">
      <c r="A570" s="1" t="n">
        <v>566</v>
      </c>
      <c r="B570" s="81" t="n">
        <f aca="true">RAND()</f>
        <v>0.456131756293468</v>
      </c>
      <c r="C570" s="82" t="n">
        <f aca="false">ROUND(IF(B570&lt;(Inputs!$E$8-Inputs!$D$8)/(Inputs!$F$8-Inputs!$D$8),Inputs!$D$8+SQRT(B570*(Inputs!$F$8-Inputs!$D$8)*(Inputs!$E$8-Inputs!$D$8)),Inputs!$F$8-SQRT((1-B570)*(Inputs!$F$8-Inputs!$D$8)*(Inputs!$F$8-Inputs!$E$8))),0)</f>
        <v>25</v>
      </c>
      <c r="D570" s="81" t="n">
        <f aca="true">RAND()</f>
        <v>0.33806309472431</v>
      </c>
      <c r="E570" s="83" t="n">
        <f aca="false">IF(D570&lt;(Inputs!$E$10-Inputs!$D$10)/(Inputs!$F$10-Inputs!$D$10),Inputs!$D$10+SQRT(D570*(Inputs!$F$10-Inputs!$D$10)*(Inputs!$E$10-Inputs!$D$10)),Inputs!$F$10-SQRT((1-D570)*(Inputs!$F$10-Inputs!$D$10)*(Inputs!$F$10-Inputs!$E$10)))</f>
        <v>0.0590812036729283</v>
      </c>
      <c r="F570" s="81" t="n">
        <f aca="true">RAND()</f>
        <v>0.525838754120111</v>
      </c>
      <c r="G570" s="83" t="n">
        <f aca="false">IF(F570&lt;(Inputs!$E$15-Inputs!$D$15)/(Inputs!$F$15-Inputs!$D$15),Inputs!$D$15+SQRT(F570*(Inputs!$F$15-Inputs!$D$15)*(Inputs!$E$15-Inputs!$D$15)),Inputs!$F$15-SQRT((1-F570)*(Inputs!$F$15-Inputs!$D$15)*(Inputs!$F$15-Inputs!$E$15)))</f>
        <v>0.702618148931139</v>
      </c>
      <c r="H570" s="81" t="n">
        <f aca="true">RAND()</f>
        <v>0.002662067058088</v>
      </c>
      <c r="I570" s="82" t="n">
        <f aca="false">ROUND(IF(H570&lt;(Inputs!$E$17-Inputs!$D$17)/(Inputs!$F$17-Inputs!$D$17),Inputs!$D$17+SQRT(H570*(Inputs!$F$17-Inputs!$D$17)*(Inputs!$E$17-Inputs!$D$17)),Inputs!$F$17-SQRT((1-H570)*(Inputs!$F$17-Inputs!$D$17)*(Inputs!$F$17-Inputs!$E$17))),0)</f>
        <v>100</v>
      </c>
      <c r="J570" s="81" t="n">
        <f aca="true">RAND()</f>
        <v>0.262240097263668</v>
      </c>
      <c r="K570" s="83" t="n">
        <f aca="false">IF(J570&lt;(Inputs!$E$18-Inputs!$D$18)/(Inputs!$F$18-Inputs!$D$18),Inputs!$D$18+SQRT(J570*(Inputs!$F$18-Inputs!$D$18)*(Inputs!$E$18-Inputs!$D$18)),Inputs!$F$18-SQRT((1-J570)*(Inputs!$F$18-Inputs!$D$18)*(Inputs!$F$18-Inputs!$E$18)))</f>
        <v>0.995803984281596</v>
      </c>
      <c r="L570" s="81" t="n">
        <f aca="true">RAND()</f>
        <v>0.912366908492968</v>
      </c>
      <c r="M570" s="83" t="n">
        <f aca="false">IF(L570&lt;(Inputs!$E$24-Inputs!$D$24)/(Inputs!$F$24-Inputs!$D$24),Inputs!$D$24+SQRT(L570*(Inputs!$F$24-Inputs!$D$24)*(Inputs!$E$24-Inputs!$D$24)),Inputs!$F$24-SQRT((1-L570)*(Inputs!$F$24-Inputs!$D$24)*(Inputs!$F$24-Inputs!$E$24)))</f>
        <v>1.05497606417668</v>
      </c>
      <c r="N570" s="81" t="n">
        <f aca="true">RAND()</f>
        <v>0.699819582594725</v>
      </c>
      <c r="O570" s="83" t="n">
        <f aca="false">IF(N570&lt;(Inputs!$E$26-Inputs!$D$26)/(Inputs!$F$26-Inputs!$D$26),Inputs!$D$26+SQRT(N570*(Inputs!$F$26-Inputs!$D$26)*(Inputs!$E$26-Inputs!$D$26)),Inputs!$F$26-SQRT((1-N570)*(Inputs!$F$26-Inputs!$D$26)*(Inputs!$F$26-Inputs!$E$26)))</f>
        <v>0.643311677210551</v>
      </c>
      <c r="P570" s="81" t="n">
        <f aca="true">RAND()</f>
        <v>0.647559754541728</v>
      </c>
      <c r="Q570" s="82" t="n">
        <f aca="false">IF(P570&lt;(Inputs!$E$27-Inputs!$D$27)/(Inputs!$F$27-Inputs!$D$27),Inputs!$D$27+SQRT(P570*(Inputs!$F$27-Inputs!$D$27)*(Inputs!$E$27-Inputs!$D$27)),Inputs!$F$27-SQRT((1-P570)*(Inputs!$F$27-Inputs!$D$27)*(Inputs!$F$27-Inputs!$E$27)))</f>
        <v>98.5869487295585</v>
      </c>
      <c r="R570" s="81" t="n">
        <f aca="true">RAND()</f>
        <v>0.241241799825872</v>
      </c>
      <c r="S570" s="82" t="n">
        <f aca="false">IF(R570&lt;(Inputs!$E$29-Inputs!$D$29)/(Inputs!$F$29-Inputs!$D$29),Inputs!$D$29+SQRT(R570*(Inputs!$F$29-Inputs!$D$29)*(Inputs!$E$29-Inputs!$D$29)),Inputs!$F$29-SQRT((1-R570)*(Inputs!$F$29-Inputs!$D$29)*(Inputs!$F$29-Inputs!$E$29)))</f>
        <v>5.06830497736481</v>
      </c>
      <c r="T570" s="68" t="n">
        <f aca="false">Inputs!$E$9*(1+E570)+Inputs!$E$5*C570*(Inputs!$E$11*Inputs!$E$14*(G570*I570/Inputs!$E$16+(1-G570))*K570+Inputs!$E$23*M570)*(1+O570)+Inputs!$E$5*(Q570+S570)</f>
        <v>6526.95581233611</v>
      </c>
    </row>
    <row r="571" customFormat="false" ht="15" hidden="false" customHeight="false" outlineLevel="0" collapsed="false">
      <c r="A571" s="1" t="n">
        <v>567</v>
      </c>
      <c r="B571" s="81" t="n">
        <f aca="true">RAND()</f>
        <v>0.93666425005674</v>
      </c>
      <c r="C571" s="82" t="n">
        <f aca="false">ROUND(IF(B571&lt;(Inputs!$E$8-Inputs!$D$8)/(Inputs!$F$8-Inputs!$D$8),Inputs!$D$8+SQRT(B571*(Inputs!$F$8-Inputs!$D$8)*(Inputs!$E$8-Inputs!$D$8)),Inputs!$F$8-SQRT((1-B571)*(Inputs!$F$8-Inputs!$D$8)*(Inputs!$F$8-Inputs!$E$8))),0)</f>
        <v>28</v>
      </c>
      <c r="D571" s="81" t="n">
        <f aca="true">RAND()</f>
        <v>0.634593345911488</v>
      </c>
      <c r="E571" s="83" t="n">
        <f aca="false">IF(D571&lt;(Inputs!$E$10-Inputs!$D$10)/(Inputs!$F$10-Inputs!$D$10),Inputs!$D$10+SQRT(D571*(Inputs!$F$10-Inputs!$D$10)*(Inputs!$E$10-Inputs!$D$10)),Inputs!$F$10-SQRT((1-D571)*(Inputs!$F$10-Inputs!$D$10)*(Inputs!$F$10-Inputs!$E$10)))</f>
        <v>0.0952994764929259</v>
      </c>
      <c r="F571" s="81" t="n">
        <f aca="true">RAND()</f>
        <v>0.940361447079871</v>
      </c>
      <c r="G571" s="83" t="n">
        <f aca="false">IF(F571&lt;(Inputs!$E$15-Inputs!$D$15)/(Inputs!$F$15-Inputs!$D$15),Inputs!$D$15+SQRT(F571*(Inputs!$F$15-Inputs!$D$15)*(Inputs!$E$15-Inputs!$D$15)),Inputs!$F$15-SQRT((1-F571)*(Inputs!$F$15-Inputs!$D$15)*(Inputs!$F$15-Inputs!$E$15)))</f>
        <v>0.765463482248458</v>
      </c>
      <c r="H571" s="81" t="n">
        <f aca="true">RAND()</f>
        <v>0.274009872814147</v>
      </c>
      <c r="I571" s="82" t="n">
        <f aca="false">ROUND(IF(H571&lt;(Inputs!$E$17-Inputs!$D$17)/(Inputs!$F$17-Inputs!$D$17),Inputs!$D$17+SQRT(H571*(Inputs!$F$17-Inputs!$D$17)*(Inputs!$E$17-Inputs!$D$17)),Inputs!$F$17-SQRT((1-H571)*(Inputs!$F$17-Inputs!$D$17)*(Inputs!$F$17-Inputs!$E$17))),0)</f>
        <v>105</v>
      </c>
      <c r="J571" s="81" t="n">
        <f aca="true">RAND()</f>
        <v>0.479833913225837</v>
      </c>
      <c r="K571" s="83" t="n">
        <f aca="false">IF(J571&lt;(Inputs!$E$18-Inputs!$D$18)/(Inputs!$F$18-Inputs!$D$18),Inputs!$D$18+SQRT(J571*(Inputs!$F$18-Inputs!$D$18)*(Inputs!$E$18-Inputs!$D$18)),Inputs!$F$18-SQRT((1-J571)*(Inputs!$F$18-Inputs!$D$18)*(Inputs!$F$18-Inputs!$E$18)))</f>
        <v>1.03665864771981</v>
      </c>
      <c r="L571" s="81" t="n">
        <f aca="true">RAND()</f>
        <v>0.097922564621099</v>
      </c>
      <c r="M571" s="83" t="n">
        <f aca="false">IF(L571&lt;(Inputs!$E$24-Inputs!$D$24)/(Inputs!$F$24-Inputs!$D$24),Inputs!$D$24+SQRT(L571*(Inputs!$F$24-Inputs!$D$24)*(Inputs!$E$24-Inputs!$D$24)),Inputs!$F$24-SQRT((1-L571)*(Inputs!$F$24-Inputs!$D$24)*(Inputs!$F$24-Inputs!$E$24)))</f>
        <v>0.708400681522451</v>
      </c>
      <c r="N571" s="81" t="n">
        <f aca="true">RAND()</f>
        <v>0.00269506867463823</v>
      </c>
      <c r="O571" s="83" t="n">
        <f aca="false">IF(N571&lt;(Inputs!$E$26-Inputs!$D$26)/(Inputs!$F$26-Inputs!$D$26),Inputs!$D$26+SQRT(N571*(Inputs!$F$26-Inputs!$D$26)*(Inputs!$E$26-Inputs!$D$26)),Inputs!$F$26-SQRT((1-N571)*(Inputs!$F$26-Inputs!$D$26)*(Inputs!$F$26-Inputs!$E$26)))</f>
        <v>0.321176860661104</v>
      </c>
      <c r="P571" s="81" t="n">
        <f aca="true">RAND()</f>
        <v>0.968214742449943</v>
      </c>
      <c r="Q571" s="82" t="n">
        <f aca="false">IF(P571&lt;(Inputs!$E$27-Inputs!$D$27)/(Inputs!$F$27-Inputs!$D$27),Inputs!$D$27+SQRT(P571*(Inputs!$F$27-Inputs!$D$27)*(Inputs!$E$27-Inputs!$D$27)),Inputs!$F$27-SQRT((1-P571)*(Inputs!$F$27-Inputs!$D$27)*(Inputs!$F$27-Inputs!$E$27)))</f>
        <v>134.560134986813</v>
      </c>
      <c r="R571" s="81" t="n">
        <f aca="true">RAND()</f>
        <v>0.270679573813603</v>
      </c>
      <c r="S571" s="82" t="n">
        <f aca="false">IF(R571&lt;(Inputs!$E$29-Inputs!$D$29)/(Inputs!$F$29-Inputs!$D$29),Inputs!$D$29+SQRT(R571*(Inputs!$F$29-Inputs!$D$29)*(Inputs!$E$29-Inputs!$D$29)),Inputs!$F$29-SQRT((1-R571)*(Inputs!$F$29-Inputs!$D$29)*(Inputs!$F$29-Inputs!$E$29)))</f>
        <v>5.26287232269025</v>
      </c>
      <c r="T571" s="68" t="n">
        <f aca="false">Inputs!$E$9*(1+E571)+Inputs!$E$5*C571*(Inputs!$E$11*Inputs!$E$14*(G571*I571/Inputs!$E$16+(1-G571))*K571+Inputs!$E$23*M571)*(1+O571)+Inputs!$E$5*(Q571+S571)</f>
        <v>6018.81254242767</v>
      </c>
    </row>
    <row r="572" customFormat="false" ht="15" hidden="false" customHeight="false" outlineLevel="0" collapsed="false">
      <c r="A572" s="1" t="n">
        <v>568</v>
      </c>
      <c r="B572" s="81" t="n">
        <f aca="true">RAND()</f>
        <v>0.561853121671542</v>
      </c>
      <c r="C572" s="82" t="n">
        <f aca="false">ROUND(IF(B572&lt;(Inputs!$E$8-Inputs!$D$8)/(Inputs!$F$8-Inputs!$D$8),Inputs!$D$8+SQRT(B572*(Inputs!$F$8-Inputs!$D$8)*(Inputs!$E$8-Inputs!$D$8)),Inputs!$F$8-SQRT((1-B572)*(Inputs!$F$8-Inputs!$D$8)*(Inputs!$F$8-Inputs!$E$8))),0)</f>
        <v>25</v>
      </c>
      <c r="D572" s="81" t="n">
        <f aca="true">RAND()</f>
        <v>0.290525359171478</v>
      </c>
      <c r="E572" s="83" t="n">
        <f aca="false">IF(D572&lt;(Inputs!$E$10-Inputs!$D$10)/(Inputs!$F$10-Inputs!$D$10),Inputs!$D$10+SQRT(D572*(Inputs!$F$10-Inputs!$D$10)*(Inputs!$E$10-Inputs!$D$10)),Inputs!$F$10-SQRT((1-D572)*(Inputs!$F$10-Inputs!$D$10)*(Inputs!$F$10-Inputs!$E$10)))</f>
        <v>0.0541088103247641</v>
      </c>
      <c r="F572" s="81" t="n">
        <f aca="true">RAND()</f>
        <v>0.843355935120131</v>
      </c>
      <c r="G572" s="83" t="n">
        <f aca="false">IF(F572&lt;(Inputs!$E$15-Inputs!$D$15)/(Inputs!$F$15-Inputs!$D$15),Inputs!$D$15+SQRT(F572*(Inputs!$F$15-Inputs!$D$15)*(Inputs!$E$15-Inputs!$D$15)),Inputs!$F$15-SQRT((1-F572)*(Inputs!$F$15-Inputs!$D$15)*(Inputs!$F$15-Inputs!$E$15)))</f>
        <v>0.744027852483602</v>
      </c>
      <c r="H572" s="81" t="n">
        <f aca="true">RAND()</f>
        <v>0.651585956310541</v>
      </c>
      <c r="I572" s="82" t="n">
        <f aca="false">ROUND(IF(H572&lt;(Inputs!$E$17-Inputs!$D$17)/(Inputs!$F$17-Inputs!$D$17),Inputs!$D$17+SQRT(H572*(Inputs!$F$17-Inputs!$D$17)*(Inputs!$E$17-Inputs!$D$17)),Inputs!$F$17-SQRT((1-H572)*(Inputs!$F$17-Inputs!$D$17)*(Inputs!$F$17-Inputs!$E$17))),0)</f>
        <v>108</v>
      </c>
      <c r="J572" s="81" t="n">
        <f aca="true">RAND()</f>
        <v>0.346884117424694</v>
      </c>
      <c r="K572" s="83" t="n">
        <f aca="false">IF(J572&lt;(Inputs!$E$18-Inputs!$D$18)/(Inputs!$F$18-Inputs!$D$18),Inputs!$D$18+SQRT(J572*(Inputs!$F$18-Inputs!$D$18)*(Inputs!$E$18-Inputs!$D$18)),Inputs!$F$18-SQRT((1-J572)*(Inputs!$F$18-Inputs!$D$18)*(Inputs!$F$18-Inputs!$E$18)))</f>
        <v>1.01094427485346</v>
      </c>
      <c r="L572" s="81" t="n">
        <f aca="true">RAND()</f>
        <v>0.649649549309556</v>
      </c>
      <c r="M572" s="83" t="n">
        <f aca="false">IF(L572&lt;(Inputs!$E$24-Inputs!$D$24)/(Inputs!$F$24-Inputs!$D$24),Inputs!$D$24+SQRT(L572*(Inputs!$F$24-Inputs!$D$24)*(Inputs!$E$24-Inputs!$D$24)),Inputs!$F$24-SQRT((1-L572)*(Inputs!$F$24-Inputs!$D$24)*(Inputs!$F$24-Inputs!$E$24)))</f>
        <v>0.910027401008808</v>
      </c>
      <c r="N572" s="81" t="n">
        <f aca="true">RAND()</f>
        <v>0.653391084378064</v>
      </c>
      <c r="O572" s="83" t="n">
        <f aca="false">IF(N572&lt;(Inputs!$E$26-Inputs!$D$26)/(Inputs!$F$26-Inputs!$D$26),Inputs!$D$26+SQRT(N572*(Inputs!$F$26-Inputs!$D$26)*(Inputs!$E$26-Inputs!$D$26)),Inputs!$F$26-SQRT((1-N572)*(Inputs!$F$26-Inputs!$D$26)*(Inputs!$F$26-Inputs!$E$26)))</f>
        <v>0.630138663165242</v>
      </c>
      <c r="P572" s="81" t="n">
        <f aca="true">RAND()</f>
        <v>0.314006052803247</v>
      </c>
      <c r="Q572" s="82" t="n">
        <f aca="false">IF(P572&lt;(Inputs!$E$27-Inputs!$D$27)/(Inputs!$F$27-Inputs!$D$27),Inputs!$D$27+SQRT(P572*(Inputs!$F$27-Inputs!$D$27)*(Inputs!$E$27-Inputs!$D$27)),Inputs!$F$27-SQRT((1-P572)*(Inputs!$F$27-Inputs!$D$27)*(Inputs!$F$27-Inputs!$E$27)))</f>
        <v>78.2716610817199</v>
      </c>
      <c r="R572" s="81" t="n">
        <f aca="true">RAND()</f>
        <v>0.295915173920181</v>
      </c>
      <c r="S572" s="82" t="n">
        <f aca="false">IF(R572&lt;(Inputs!$E$29-Inputs!$D$29)/(Inputs!$F$29-Inputs!$D$29),Inputs!$D$29+SQRT(R572*(Inputs!$F$29-Inputs!$D$29)*(Inputs!$E$29-Inputs!$D$29)),Inputs!$F$29-SQRT((1-R572)*(Inputs!$F$29-Inputs!$D$29)*(Inputs!$F$29-Inputs!$E$29)))</f>
        <v>5.43281507493576</v>
      </c>
      <c r="T572" s="68" t="n">
        <f aca="false">Inputs!$E$9*(1+E572)+Inputs!$E$5*C572*(Inputs!$E$11*Inputs!$E$14*(G572*I572/Inputs!$E$16+(1-G572))*K572+Inputs!$E$23*M572)*(1+O572)+Inputs!$E$5*(Q572+S572)</f>
        <v>6250.0698251069</v>
      </c>
    </row>
    <row r="573" customFormat="false" ht="15" hidden="false" customHeight="false" outlineLevel="0" collapsed="false">
      <c r="A573" s="1" t="n">
        <v>569</v>
      </c>
      <c r="B573" s="81" t="n">
        <f aca="true">RAND()</f>
        <v>0.836759342198545</v>
      </c>
      <c r="C573" s="82" t="n">
        <f aca="false">ROUND(IF(B573&lt;(Inputs!$E$8-Inputs!$D$8)/(Inputs!$F$8-Inputs!$D$8),Inputs!$D$8+SQRT(B573*(Inputs!$F$8-Inputs!$D$8)*(Inputs!$E$8-Inputs!$D$8)),Inputs!$F$8-SQRT((1-B573)*(Inputs!$F$8-Inputs!$D$8)*(Inputs!$F$8-Inputs!$E$8))),0)</f>
        <v>27</v>
      </c>
      <c r="D573" s="81" t="n">
        <f aca="true">RAND()</f>
        <v>0.47508773634864</v>
      </c>
      <c r="E573" s="83" t="n">
        <f aca="false">IF(D573&lt;(Inputs!$E$10-Inputs!$D$10)/(Inputs!$F$10-Inputs!$D$10),Inputs!$D$10+SQRT(D573*(Inputs!$F$10-Inputs!$D$10)*(Inputs!$E$10-Inputs!$D$10)),Inputs!$F$10-SQRT((1-D573)*(Inputs!$F$10-Inputs!$D$10)*(Inputs!$F$10-Inputs!$E$10)))</f>
        <v>0.0745114829574402</v>
      </c>
      <c r="F573" s="81" t="n">
        <f aca="true">RAND()</f>
        <v>0.91009599386532</v>
      </c>
      <c r="G573" s="83" t="n">
        <f aca="false">IF(F573&lt;(Inputs!$E$15-Inputs!$D$15)/(Inputs!$F$15-Inputs!$D$15),Inputs!$D$15+SQRT(F573*(Inputs!$F$15-Inputs!$D$15)*(Inputs!$E$15-Inputs!$D$15)),Inputs!$F$15-SQRT((1-F573)*(Inputs!$F$15-Inputs!$D$15)*(Inputs!$F$15-Inputs!$E$15)))</f>
        <v>0.757596225136274</v>
      </c>
      <c r="H573" s="81" t="n">
        <f aca="true">RAND()</f>
        <v>0.523073136173424</v>
      </c>
      <c r="I573" s="82" t="n">
        <f aca="false">ROUND(IF(H573&lt;(Inputs!$E$17-Inputs!$D$17)/(Inputs!$F$17-Inputs!$D$17),Inputs!$D$17+SQRT(H573*(Inputs!$F$17-Inputs!$D$17)*(Inputs!$E$17-Inputs!$D$17)),Inputs!$F$17-SQRT((1-H573)*(Inputs!$F$17-Inputs!$D$17)*(Inputs!$F$17-Inputs!$E$17))),0)</f>
        <v>107</v>
      </c>
      <c r="J573" s="81" t="n">
        <f aca="true">RAND()</f>
        <v>0.105645749685141</v>
      </c>
      <c r="K573" s="83" t="n">
        <f aca="false">IF(J573&lt;(Inputs!$E$18-Inputs!$D$18)/(Inputs!$F$18-Inputs!$D$18),Inputs!$D$18+SQRT(J573*(Inputs!$F$18-Inputs!$D$18)*(Inputs!$E$18-Inputs!$D$18)),Inputs!$F$18-SQRT((1-J573)*(Inputs!$F$18-Inputs!$D$18)*(Inputs!$F$18-Inputs!$E$18)))</f>
        <v>0.960807904412008</v>
      </c>
      <c r="L573" s="81" t="n">
        <f aca="true">RAND()</f>
        <v>0.909466814239822</v>
      </c>
      <c r="M573" s="83" t="n">
        <f aca="false">IF(L573&lt;(Inputs!$E$24-Inputs!$D$24)/(Inputs!$F$24-Inputs!$D$24),Inputs!$D$24+SQRT(L573*(Inputs!$F$24-Inputs!$D$24)*(Inputs!$E$24-Inputs!$D$24)),Inputs!$F$24-SQRT((1-L573)*(Inputs!$F$24-Inputs!$D$24)*(Inputs!$F$24-Inputs!$E$24)))</f>
        <v>1.05259591395608</v>
      </c>
      <c r="N573" s="81" t="n">
        <f aca="true">RAND()</f>
        <v>0.674339483944908</v>
      </c>
      <c r="O573" s="83" t="n">
        <f aca="false">IF(N573&lt;(Inputs!$E$26-Inputs!$D$26)/(Inputs!$F$26-Inputs!$D$26),Inputs!$D$26+SQRT(N573*(Inputs!$F$26-Inputs!$D$26)*(Inputs!$E$26-Inputs!$D$26)),Inputs!$F$26-SQRT((1-N573)*(Inputs!$F$26-Inputs!$D$26)*(Inputs!$F$26-Inputs!$E$26)))</f>
        <v>0.635965509564838</v>
      </c>
      <c r="P573" s="81" t="n">
        <f aca="true">RAND()</f>
        <v>0.54449801723035</v>
      </c>
      <c r="Q573" s="82" t="n">
        <f aca="false">IF(P573&lt;(Inputs!$E$27-Inputs!$D$27)/(Inputs!$F$27-Inputs!$D$27),Inputs!$D$27+SQRT(P573*(Inputs!$F$27-Inputs!$D$27)*(Inputs!$E$27-Inputs!$D$27)),Inputs!$F$27-SQRT((1-P573)*(Inputs!$F$27-Inputs!$D$27)*(Inputs!$F$27-Inputs!$E$27)))</f>
        <v>91.5511773363024</v>
      </c>
      <c r="R573" s="81" t="n">
        <f aca="true">RAND()</f>
        <v>0.523684801748807</v>
      </c>
      <c r="S573" s="82" t="n">
        <f aca="false">IF(R573&lt;(Inputs!$E$29-Inputs!$D$29)/(Inputs!$F$29-Inputs!$D$29),Inputs!$D$29+SQRT(R573*(Inputs!$F$29-Inputs!$D$29)*(Inputs!$E$29-Inputs!$D$29)),Inputs!$F$29-SQRT((1-R573)*(Inputs!$F$29-Inputs!$D$29)*(Inputs!$F$29-Inputs!$E$29)))</f>
        <v>7.13101176944233</v>
      </c>
      <c r="T573" s="68" t="n">
        <f aca="false">Inputs!$E$9*(1+E573)+Inputs!$E$5*C573*(Inputs!$E$11*Inputs!$E$14*(G573*I573/Inputs!$E$16+(1-G573))*K573+Inputs!$E$23*M573)*(1+O573)+Inputs!$E$5*(Q573+S573)</f>
        <v>6739.33957571585</v>
      </c>
    </row>
    <row r="574" customFormat="false" ht="15" hidden="false" customHeight="false" outlineLevel="0" collapsed="false">
      <c r="A574" s="1" t="n">
        <v>570</v>
      </c>
      <c r="B574" s="81" t="n">
        <f aca="true">RAND()</f>
        <v>0.641125891919727</v>
      </c>
      <c r="C574" s="82" t="n">
        <f aca="false">ROUND(IF(B574&lt;(Inputs!$E$8-Inputs!$D$8)/(Inputs!$F$8-Inputs!$D$8),Inputs!$D$8+SQRT(B574*(Inputs!$F$8-Inputs!$D$8)*(Inputs!$E$8-Inputs!$D$8)),Inputs!$F$8-SQRT((1-B574)*(Inputs!$F$8-Inputs!$D$8)*(Inputs!$F$8-Inputs!$E$8))),0)</f>
        <v>26</v>
      </c>
      <c r="D574" s="81" t="n">
        <f aca="true">RAND()</f>
        <v>0.637651754845011</v>
      </c>
      <c r="E574" s="83" t="n">
        <f aca="false">IF(D574&lt;(Inputs!$E$10-Inputs!$D$10)/(Inputs!$F$10-Inputs!$D$10),Inputs!$D$10+SQRT(D574*(Inputs!$F$10-Inputs!$D$10)*(Inputs!$E$10-Inputs!$D$10)),Inputs!$F$10-SQRT((1-D574)*(Inputs!$F$10-Inputs!$D$10)*(Inputs!$F$10-Inputs!$E$10)))</f>
        <v>0.0957385624756225</v>
      </c>
      <c r="F574" s="81" t="n">
        <f aca="true">RAND()</f>
        <v>0.291973324845229</v>
      </c>
      <c r="G574" s="83" t="n">
        <f aca="false">IF(F574&lt;(Inputs!$E$15-Inputs!$D$15)/(Inputs!$F$15-Inputs!$D$15),Inputs!$D$15+SQRT(F574*(Inputs!$F$15-Inputs!$D$15)*(Inputs!$E$15-Inputs!$D$15)),Inputs!$F$15-SQRT((1-F574)*(Inputs!$F$15-Inputs!$D$15)*(Inputs!$F$15-Inputs!$E$15)))</f>
        <v>0.676416402014912</v>
      </c>
      <c r="H574" s="81" t="n">
        <f aca="true">RAND()</f>
        <v>0.36527373710134</v>
      </c>
      <c r="I574" s="82" t="n">
        <f aca="false">ROUND(IF(H574&lt;(Inputs!$E$17-Inputs!$D$17)/(Inputs!$F$17-Inputs!$D$17),Inputs!$D$17+SQRT(H574*(Inputs!$F$17-Inputs!$D$17)*(Inputs!$E$17-Inputs!$D$17)),Inputs!$F$17-SQRT((1-H574)*(Inputs!$F$17-Inputs!$D$17)*(Inputs!$F$17-Inputs!$E$17))),0)</f>
        <v>105</v>
      </c>
      <c r="J574" s="81" t="n">
        <f aca="true">RAND()</f>
        <v>0.366115298975614</v>
      </c>
      <c r="K574" s="83" t="n">
        <f aca="false">IF(J574&lt;(Inputs!$E$18-Inputs!$D$18)/(Inputs!$F$18-Inputs!$D$18),Inputs!$D$18+SQRT(J574*(Inputs!$F$18-Inputs!$D$18)*(Inputs!$E$18-Inputs!$D$18)),Inputs!$F$18-SQRT((1-J574)*(Inputs!$F$18-Inputs!$D$18)*(Inputs!$F$18-Inputs!$E$18)))</f>
        <v>1.01449010352082</v>
      </c>
      <c r="L574" s="81" t="n">
        <f aca="true">RAND()</f>
        <v>0.209096039182695</v>
      </c>
      <c r="M574" s="83" t="n">
        <f aca="false">IF(L574&lt;(Inputs!$E$24-Inputs!$D$24)/(Inputs!$F$24-Inputs!$D$24),Inputs!$D$24+SQRT(L574*(Inputs!$F$24-Inputs!$D$24)*(Inputs!$E$24-Inputs!$D$24)),Inputs!$F$24-SQRT((1-L574)*(Inputs!$F$24-Inputs!$D$24)*(Inputs!$F$24-Inputs!$E$24)))</f>
        <v>0.75840304511569</v>
      </c>
      <c r="N574" s="81" t="n">
        <f aca="true">RAND()</f>
        <v>0.729514233167829</v>
      </c>
      <c r="O574" s="83" t="n">
        <f aca="false">IF(N574&lt;(Inputs!$E$26-Inputs!$D$26)/(Inputs!$F$26-Inputs!$D$26),Inputs!$D$26+SQRT(N574*(Inputs!$F$26-Inputs!$D$26)*(Inputs!$E$26-Inputs!$D$26)),Inputs!$F$26-SQRT((1-N574)*(Inputs!$F$26-Inputs!$D$26)*(Inputs!$F$26-Inputs!$E$26)))</f>
        <v>0.652278445778291</v>
      </c>
      <c r="P574" s="81" t="n">
        <f aca="true">RAND()</f>
        <v>0.438446357652143</v>
      </c>
      <c r="Q574" s="82" t="n">
        <f aca="false">IF(P574&lt;(Inputs!$E$27-Inputs!$D$27)/(Inputs!$F$27-Inputs!$D$27),Inputs!$D$27+SQRT(P574*(Inputs!$F$27-Inputs!$D$27)*(Inputs!$E$27-Inputs!$D$27)),Inputs!$F$27-SQRT((1-P574)*(Inputs!$F$27-Inputs!$D$27)*(Inputs!$F$27-Inputs!$E$27)))</f>
        <v>85.1027557009627</v>
      </c>
      <c r="R574" s="81" t="n">
        <f aca="true">RAND()</f>
        <v>0.639168702428745</v>
      </c>
      <c r="S574" s="82" t="n">
        <f aca="false">IF(R574&lt;(Inputs!$E$29-Inputs!$D$29)/(Inputs!$F$29-Inputs!$D$29),Inputs!$D$29+SQRT(R574*(Inputs!$F$29-Inputs!$D$29)*(Inputs!$E$29-Inputs!$D$29)),Inputs!$F$29-SQRT((1-R574)*(Inputs!$F$29-Inputs!$D$29)*(Inputs!$F$29-Inputs!$E$29)))</f>
        <v>8.15105346171667</v>
      </c>
      <c r="T574" s="68" t="n">
        <f aca="false">Inputs!$E$9*(1+E574)+Inputs!$E$5*C574*(Inputs!$E$11*Inputs!$E$14*(G574*I574/Inputs!$E$16+(1-G574))*K574+Inputs!$E$23*M574)*(1+O574)+Inputs!$E$5*(Q574+S574)</f>
        <v>6413.02701223387</v>
      </c>
    </row>
    <row r="575" customFormat="false" ht="15" hidden="false" customHeight="false" outlineLevel="0" collapsed="false">
      <c r="A575" s="1" t="n">
        <v>571</v>
      </c>
      <c r="B575" s="81" t="n">
        <f aca="true">RAND()</f>
        <v>0.410770639750788</v>
      </c>
      <c r="C575" s="82" t="n">
        <f aca="false">ROUND(IF(B575&lt;(Inputs!$E$8-Inputs!$D$8)/(Inputs!$F$8-Inputs!$D$8),Inputs!$D$8+SQRT(B575*(Inputs!$F$8-Inputs!$D$8)*(Inputs!$E$8-Inputs!$D$8)),Inputs!$F$8-SQRT((1-B575)*(Inputs!$F$8-Inputs!$D$8)*(Inputs!$F$8-Inputs!$E$8))),0)</f>
        <v>25</v>
      </c>
      <c r="D575" s="81" t="n">
        <f aca="true">RAND()</f>
        <v>0.904155095050499</v>
      </c>
      <c r="E575" s="83" t="n">
        <f aca="false">IF(D575&lt;(Inputs!$E$10-Inputs!$D$10)/(Inputs!$F$10-Inputs!$D$10),Inputs!$D$10+SQRT(D575*(Inputs!$F$10-Inputs!$D$10)*(Inputs!$E$10-Inputs!$D$10)),Inputs!$F$10-SQRT((1-D575)*(Inputs!$F$10-Inputs!$D$10)*(Inputs!$F$10-Inputs!$E$10)))</f>
        <v>0.146377736447581</v>
      </c>
      <c r="F575" s="81" t="n">
        <f aca="true">RAND()</f>
        <v>0.0497103062334543</v>
      </c>
      <c r="G575" s="83" t="n">
        <f aca="false">IF(F575&lt;(Inputs!$E$15-Inputs!$D$15)/(Inputs!$F$15-Inputs!$D$15),Inputs!$D$15+SQRT(F575*(Inputs!$F$15-Inputs!$D$15)*(Inputs!$E$15-Inputs!$D$15)),Inputs!$F$15-SQRT((1-F575)*(Inputs!$F$15-Inputs!$D$15)*(Inputs!$F$15-Inputs!$E$15)))</f>
        <v>0.631531034310169</v>
      </c>
      <c r="H575" s="81" t="n">
        <f aca="true">RAND()</f>
        <v>0.150396074468248</v>
      </c>
      <c r="I575" s="82" t="n">
        <f aca="false">ROUND(IF(H575&lt;(Inputs!$E$17-Inputs!$D$17)/(Inputs!$F$17-Inputs!$D$17),Inputs!$D$17+SQRT(H575*(Inputs!$F$17-Inputs!$D$17)*(Inputs!$E$17-Inputs!$D$17)),Inputs!$F$17-SQRT((1-H575)*(Inputs!$F$17-Inputs!$D$17)*(Inputs!$F$17-Inputs!$E$17))),0)</f>
        <v>103</v>
      </c>
      <c r="J575" s="81" t="n">
        <f aca="true">RAND()</f>
        <v>0.588640483200702</v>
      </c>
      <c r="K575" s="83" t="n">
        <f aca="false">IF(J575&lt;(Inputs!$E$18-Inputs!$D$18)/(Inputs!$F$18-Inputs!$D$18),Inputs!$D$18+SQRT(J575*(Inputs!$F$18-Inputs!$D$18)*(Inputs!$E$18-Inputs!$D$18)),Inputs!$F$18-SQRT((1-J575)*(Inputs!$F$18-Inputs!$D$18)*(Inputs!$F$18-Inputs!$E$18)))</f>
        <v>1.06027926386412</v>
      </c>
      <c r="L575" s="81" t="n">
        <f aca="true">RAND()</f>
        <v>0.818539442899763</v>
      </c>
      <c r="M575" s="83" t="n">
        <f aca="false">IF(L575&lt;(Inputs!$E$24-Inputs!$D$24)/(Inputs!$F$24-Inputs!$D$24),Inputs!$D$24+SQRT(L575*(Inputs!$F$24-Inputs!$D$24)*(Inputs!$E$24-Inputs!$D$24)),Inputs!$F$24-SQRT((1-L575)*(Inputs!$F$24-Inputs!$D$24)*(Inputs!$F$24-Inputs!$E$24)))</f>
        <v>0.991312353733967</v>
      </c>
      <c r="N575" s="81" t="n">
        <f aca="true">RAND()</f>
        <v>0.914036520444668</v>
      </c>
      <c r="O575" s="83" t="n">
        <f aca="false">IF(N575&lt;(Inputs!$E$26-Inputs!$D$26)/(Inputs!$F$26-Inputs!$D$26),Inputs!$D$26+SQRT(N575*(Inputs!$F$26-Inputs!$D$26)*(Inputs!$E$26-Inputs!$D$26)),Inputs!$F$26-SQRT((1-N575)*(Inputs!$F$26-Inputs!$D$26)*(Inputs!$F$26-Inputs!$E$26)))</f>
        <v>0.725447359244945</v>
      </c>
      <c r="P575" s="81" t="n">
        <f aca="true">RAND()</f>
        <v>0.629671294041207</v>
      </c>
      <c r="Q575" s="82" t="n">
        <f aca="false">IF(P575&lt;(Inputs!$E$27-Inputs!$D$27)/(Inputs!$F$27-Inputs!$D$27),Inputs!$D$27+SQRT(P575*(Inputs!$F$27-Inputs!$D$27)*(Inputs!$E$27-Inputs!$D$27)),Inputs!$F$27-SQRT((1-P575)*(Inputs!$F$27-Inputs!$D$27)*(Inputs!$F$27-Inputs!$E$27)))</f>
        <v>97.298336888757</v>
      </c>
      <c r="R575" s="81" t="n">
        <f aca="true">RAND()</f>
        <v>0.23568299494262</v>
      </c>
      <c r="S575" s="82" t="n">
        <f aca="false">IF(R575&lt;(Inputs!$E$29-Inputs!$D$29)/(Inputs!$F$29-Inputs!$D$29),Inputs!$D$29+SQRT(R575*(Inputs!$F$29-Inputs!$D$29)*(Inputs!$E$29-Inputs!$D$29)),Inputs!$F$29-SQRT((1-R575)*(Inputs!$F$29-Inputs!$D$29)*(Inputs!$F$29-Inputs!$E$29)))</f>
        <v>5.03199063717036</v>
      </c>
      <c r="T575" s="68" t="n">
        <f aca="false">Inputs!$E$9*(1+E575)+Inputs!$E$5*C575*(Inputs!$E$11*Inputs!$E$14*(G575*I575/Inputs!$E$16+(1-G575))*K575+Inputs!$E$23*M575)*(1+O575)+Inputs!$E$5*(Q575+S575)</f>
        <v>7094.50312130359</v>
      </c>
    </row>
    <row r="576" customFormat="false" ht="15" hidden="false" customHeight="false" outlineLevel="0" collapsed="false">
      <c r="A576" s="1" t="n">
        <v>572</v>
      </c>
      <c r="B576" s="81" t="n">
        <f aca="true">RAND()</f>
        <v>0.615681232973634</v>
      </c>
      <c r="C576" s="82" t="n">
        <f aca="false">ROUND(IF(B576&lt;(Inputs!$E$8-Inputs!$D$8)/(Inputs!$F$8-Inputs!$D$8),Inputs!$D$8+SQRT(B576*(Inputs!$F$8-Inputs!$D$8)*(Inputs!$E$8-Inputs!$D$8)),Inputs!$F$8-SQRT((1-B576)*(Inputs!$F$8-Inputs!$D$8)*(Inputs!$F$8-Inputs!$E$8))),0)</f>
        <v>26</v>
      </c>
      <c r="D576" s="81" t="n">
        <f aca="true">RAND()</f>
        <v>0.772553274735856</v>
      </c>
      <c r="E576" s="83" t="n">
        <f aca="false">IF(D576&lt;(Inputs!$E$10-Inputs!$D$10)/(Inputs!$F$10-Inputs!$D$10),Inputs!$D$10+SQRT(D576*(Inputs!$F$10-Inputs!$D$10)*(Inputs!$E$10-Inputs!$D$10)),Inputs!$F$10-SQRT((1-D576)*(Inputs!$F$10-Inputs!$D$10)*(Inputs!$F$10-Inputs!$E$10)))</f>
        <v>0.117396115358149</v>
      </c>
      <c r="F576" s="81" t="n">
        <f aca="true">RAND()</f>
        <v>0.855008666775459</v>
      </c>
      <c r="G576" s="83" t="n">
        <f aca="false">IF(F576&lt;(Inputs!$E$15-Inputs!$D$15)/(Inputs!$F$15-Inputs!$D$15),Inputs!$D$15+SQRT(F576*(Inputs!$F$15-Inputs!$D$15)*(Inputs!$E$15-Inputs!$D$15)),Inputs!$F$15-SQRT((1-F576)*(Inputs!$F$15-Inputs!$D$15)*(Inputs!$F$15-Inputs!$E$15)))</f>
        <v>0.746149961332504</v>
      </c>
      <c r="H576" s="81" t="n">
        <f aca="true">RAND()</f>
        <v>0.993465696312933</v>
      </c>
      <c r="I576" s="82" t="n">
        <f aca="false">ROUND(IF(H576&lt;(Inputs!$E$17-Inputs!$D$17)/(Inputs!$F$17-Inputs!$D$17),Inputs!$D$17+SQRT(H576*(Inputs!$F$17-Inputs!$D$17)*(Inputs!$E$17-Inputs!$D$17)),Inputs!$F$17-SQRT((1-H576)*(Inputs!$F$17-Inputs!$D$17)*(Inputs!$F$17-Inputs!$E$17))),0)</f>
        <v>114</v>
      </c>
      <c r="J576" s="81" t="n">
        <f aca="true">RAND()</f>
        <v>0.120015742903533</v>
      </c>
      <c r="K576" s="83" t="n">
        <f aca="false">IF(J576&lt;(Inputs!$E$18-Inputs!$D$18)/(Inputs!$F$18-Inputs!$D$18),Inputs!$D$18+SQRT(J576*(Inputs!$F$18-Inputs!$D$18)*(Inputs!$E$18-Inputs!$D$18)),Inputs!$F$18-SQRT((1-J576)*(Inputs!$F$18-Inputs!$D$18)*(Inputs!$F$18-Inputs!$E$18)))</f>
        <v>0.964811657914481</v>
      </c>
      <c r="L576" s="81" t="n">
        <f aca="true">RAND()</f>
        <v>0.9811132866022</v>
      </c>
      <c r="M576" s="83" t="n">
        <f aca="false">IF(L576&lt;(Inputs!$E$24-Inputs!$D$24)/(Inputs!$F$24-Inputs!$D$24),Inputs!$D$24+SQRT(L576*(Inputs!$F$24-Inputs!$D$24)*(Inputs!$E$24-Inputs!$D$24)),Inputs!$F$24-SQRT((1-L576)*(Inputs!$F$24-Inputs!$D$24)*(Inputs!$F$24-Inputs!$E$24)))</f>
        <v>1.13267384449211</v>
      </c>
      <c r="N576" s="81" t="n">
        <f aca="true">RAND()</f>
        <v>0.517164703361465</v>
      </c>
      <c r="O576" s="83" t="n">
        <f aca="false">IF(N576&lt;(Inputs!$E$26-Inputs!$D$26)/(Inputs!$F$26-Inputs!$D$26),Inputs!$D$26+SQRT(N576*(Inputs!$F$26-Inputs!$D$26)*(Inputs!$E$26-Inputs!$D$26)),Inputs!$F$26-SQRT((1-N576)*(Inputs!$F$26-Inputs!$D$26)*(Inputs!$F$26-Inputs!$E$26)))</f>
        <v>0.593353381844062</v>
      </c>
      <c r="P576" s="81" t="n">
        <f aca="true">RAND()</f>
        <v>0.528011671177068</v>
      </c>
      <c r="Q576" s="82" t="n">
        <f aca="false">IF(P576&lt;(Inputs!$E$27-Inputs!$D$27)/(Inputs!$F$27-Inputs!$D$27),Inputs!$D$27+SQRT(P576*(Inputs!$F$27-Inputs!$D$27)*(Inputs!$E$27-Inputs!$D$27)),Inputs!$F$27-SQRT((1-P576)*(Inputs!$F$27-Inputs!$D$27)*(Inputs!$F$27-Inputs!$E$27)))</f>
        <v>90.5028364863333</v>
      </c>
      <c r="R576" s="81" t="n">
        <f aca="true">RAND()</f>
        <v>0.662345818936304</v>
      </c>
      <c r="S576" s="82" t="n">
        <f aca="false">IF(R576&lt;(Inputs!$E$29-Inputs!$D$29)/(Inputs!$F$29-Inputs!$D$29),Inputs!$D$29+SQRT(R576*(Inputs!$F$29-Inputs!$D$29)*(Inputs!$E$29-Inputs!$D$29)),Inputs!$F$29-SQRT((1-R576)*(Inputs!$F$29-Inputs!$D$29)*(Inputs!$F$29-Inputs!$E$29)))</f>
        <v>8.37466653380523</v>
      </c>
      <c r="T576" s="68" t="n">
        <f aca="false">Inputs!$E$9*(1+E576)+Inputs!$E$5*C576*(Inputs!$E$11*Inputs!$E$14*(G576*I576/Inputs!$E$16+(1-G576))*K576+Inputs!$E$23*M576)*(1+O576)+Inputs!$E$5*(Q576+S576)</f>
        <v>6822.2378985403</v>
      </c>
    </row>
    <row r="577" customFormat="false" ht="15" hidden="false" customHeight="false" outlineLevel="0" collapsed="false">
      <c r="A577" s="1" t="n">
        <v>573</v>
      </c>
      <c r="B577" s="81" t="n">
        <f aca="true">RAND()</f>
        <v>0.967669994883259</v>
      </c>
      <c r="C577" s="82" t="n">
        <f aca="false">ROUND(IF(B577&lt;(Inputs!$E$8-Inputs!$D$8)/(Inputs!$F$8-Inputs!$D$8),Inputs!$D$8+SQRT(B577*(Inputs!$F$8-Inputs!$D$8)*(Inputs!$E$8-Inputs!$D$8)),Inputs!$F$8-SQRT((1-B577)*(Inputs!$F$8-Inputs!$D$8)*(Inputs!$F$8-Inputs!$E$8))),0)</f>
        <v>29</v>
      </c>
      <c r="D577" s="81" t="n">
        <f aca="true">RAND()</f>
        <v>0.261126760239879</v>
      </c>
      <c r="E577" s="83" t="n">
        <f aca="false">IF(D577&lt;(Inputs!$E$10-Inputs!$D$10)/(Inputs!$F$10-Inputs!$D$10),Inputs!$D$10+SQRT(D577*(Inputs!$F$10-Inputs!$D$10)*(Inputs!$E$10-Inputs!$D$10)),Inputs!$F$10-SQRT((1-D577)*(Inputs!$F$10-Inputs!$D$10)*(Inputs!$F$10-Inputs!$E$10)))</f>
        <v>0.0511168337494005</v>
      </c>
      <c r="F577" s="81" t="n">
        <f aca="true">RAND()</f>
        <v>0.645151592469502</v>
      </c>
      <c r="G577" s="83" t="n">
        <f aca="false">IF(F577&lt;(Inputs!$E$15-Inputs!$D$15)/(Inputs!$F$15-Inputs!$D$15),Inputs!$D$15+SQRT(F577*(Inputs!$F$15-Inputs!$D$15)*(Inputs!$E$15-Inputs!$D$15)),Inputs!$F$15-SQRT((1-F577)*(Inputs!$F$15-Inputs!$D$15)*(Inputs!$F$15-Inputs!$E$15)))</f>
        <v>0.715756494905483</v>
      </c>
      <c r="H577" s="81" t="n">
        <f aca="true">RAND()</f>
        <v>0.172934934245264</v>
      </c>
      <c r="I577" s="82" t="n">
        <f aca="false">ROUND(IF(H577&lt;(Inputs!$E$17-Inputs!$D$17)/(Inputs!$F$17-Inputs!$D$17),Inputs!$D$17+SQRT(H577*(Inputs!$F$17-Inputs!$D$17)*(Inputs!$E$17-Inputs!$D$17)),Inputs!$F$17-SQRT((1-H577)*(Inputs!$F$17-Inputs!$D$17)*(Inputs!$F$17-Inputs!$E$17))),0)</f>
        <v>104</v>
      </c>
      <c r="J577" s="81" t="n">
        <f aca="true">RAND()</f>
        <v>0.449933058794585</v>
      </c>
      <c r="K577" s="83" t="n">
        <f aca="false">IF(J577&lt;(Inputs!$E$18-Inputs!$D$18)/(Inputs!$F$18-Inputs!$D$18),Inputs!$D$18+SQRT(J577*(Inputs!$F$18-Inputs!$D$18)*(Inputs!$E$18-Inputs!$D$18)),Inputs!$F$18-SQRT((1-J577)*(Inputs!$F$18-Inputs!$D$18)*(Inputs!$F$18-Inputs!$E$18)))</f>
        <v>1.03061254056926</v>
      </c>
      <c r="L577" s="81" t="n">
        <f aca="true">RAND()</f>
        <v>0.900877022931475</v>
      </c>
      <c r="M577" s="83" t="n">
        <f aca="false">IF(L577&lt;(Inputs!$E$24-Inputs!$D$24)/(Inputs!$F$24-Inputs!$D$24),Inputs!$D$24+SQRT(L577*(Inputs!$F$24-Inputs!$D$24)*(Inputs!$E$24-Inputs!$D$24)),Inputs!$F$24-SQRT((1-L577)*(Inputs!$F$24-Inputs!$D$24)*(Inputs!$F$24-Inputs!$E$24)))</f>
        <v>1.04576150125067</v>
      </c>
      <c r="N577" s="81" t="n">
        <f aca="true">RAND()</f>
        <v>0.124632327046022</v>
      </c>
      <c r="O577" s="83" t="n">
        <f aca="false">IF(N577&lt;(Inputs!$E$26-Inputs!$D$26)/(Inputs!$F$26-Inputs!$D$26),Inputs!$D$26+SQRT(N577*(Inputs!$F$26-Inputs!$D$26)*(Inputs!$E$26-Inputs!$D$26)),Inputs!$F$26-SQRT((1-N577)*(Inputs!$F$26-Inputs!$D$26)*(Inputs!$F$26-Inputs!$E$26)))</f>
        <v>0.444009788627225</v>
      </c>
      <c r="P577" s="81" t="n">
        <f aca="true">RAND()</f>
        <v>0.0680612000408277</v>
      </c>
      <c r="Q577" s="82" t="n">
        <f aca="false">IF(P577&lt;(Inputs!$E$27-Inputs!$D$27)/(Inputs!$F$27-Inputs!$D$27),Inputs!$D$27+SQRT(P577*(Inputs!$F$27-Inputs!$D$27)*(Inputs!$E$27-Inputs!$D$27)),Inputs!$F$27-SQRT((1-P577)*(Inputs!$F$27-Inputs!$D$27)*(Inputs!$F$27-Inputs!$E$27)))</f>
        <v>63.0442707769376</v>
      </c>
      <c r="R577" s="81" t="n">
        <f aca="true">RAND()</f>
        <v>0.845553959219908</v>
      </c>
      <c r="S577" s="82" t="n">
        <f aca="false">IF(R577&lt;(Inputs!$E$29-Inputs!$D$29)/(Inputs!$F$29-Inputs!$D$29),Inputs!$D$29+SQRT(R577*(Inputs!$F$29-Inputs!$D$29)*(Inputs!$E$29-Inputs!$D$29)),Inputs!$F$29-SQRT((1-R577)*(Inputs!$F$29-Inputs!$D$29)*(Inputs!$F$29-Inputs!$E$29)))</f>
        <v>10.519153506154</v>
      </c>
      <c r="T577" s="68" t="n">
        <f aca="false">Inputs!$E$9*(1+E577)+Inputs!$E$5*C577*(Inputs!$E$11*Inputs!$E$14*(G577*I577/Inputs!$E$16+(1-G577))*K577+Inputs!$E$23*M577)*(1+O577)+Inputs!$E$5*(Q577+S577)</f>
        <v>6523.66173300568</v>
      </c>
    </row>
    <row r="578" customFormat="false" ht="15" hidden="false" customHeight="false" outlineLevel="0" collapsed="false">
      <c r="A578" s="1" t="n">
        <v>574</v>
      </c>
      <c r="B578" s="81" t="n">
        <f aca="true">RAND()</f>
        <v>0.649811363036505</v>
      </c>
      <c r="C578" s="82" t="n">
        <f aca="false">ROUND(IF(B578&lt;(Inputs!$E$8-Inputs!$D$8)/(Inputs!$F$8-Inputs!$D$8),Inputs!$D$8+SQRT(B578*(Inputs!$F$8-Inputs!$D$8)*(Inputs!$E$8-Inputs!$D$8)),Inputs!$F$8-SQRT((1-B578)*(Inputs!$F$8-Inputs!$D$8)*(Inputs!$F$8-Inputs!$E$8))),0)</f>
        <v>26</v>
      </c>
      <c r="D578" s="81" t="n">
        <f aca="true">RAND()</f>
        <v>0.383723117835551</v>
      </c>
      <c r="E578" s="83" t="n">
        <f aca="false">IF(D578&lt;(Inputs!$E$10-Inputs!$D$10)/(Inputs!$F$10-Inputs!$D$10),Inputs!$D$10+SQRT(D578*(Inputs!$F$10-Inputs!$D$10)*(Inputs!$E$10-Inputs!$D$10)),Inputs!$F$10-SQRT((1-D578)*(Inputs!$F$10-Inputs!$D$10)*(Inputs!$F$10-Inputs!$E$10)))</f>
        <v>0.0640282879973431</v>
      </c>
      <c r="F578" s="81" t="n">
        <f aca="true">RAND()</f>
        <v>0.144019268458317</v>
      </c>
      <c r="G578" s="83" t="n">
        <f aca="false">IF(F578&lt;(Inputs!$E$15-Inputs!$D$15)/(Inputs!$F$15-Inputs!$D$15),Inputs!$D$15+SQRT(F578*(Inputs!$F$15-Inputs!$D$15)*(Inputs!$E$15-Inputs!$D$15)),Inputs!$F$15-SQRT((1-F578)*(Inputs!$F$15-Inputs!$D$15)*(Inputs!$F$15-Inputs!$E$15)))</f>
        <v>0.653669221805112</v>
      </c>
      <c r="H578" s="81" t="n">
        <f aca="true">RAND()</f>
        <v>0.937474343039417</v>
      </c>
      <c r="I578" s="82" t="n">
        <f aca="false">ROUND(IF(H578&lt;(Inputs!$E$17-Inputs!$D$17)/(Inputs!$F$17-Inputs!$D$17),Inputs!$D$17+SQRT(H578*(Inputs!$F$17-Inputs!$D$17)*(Inputs!$E$17-Inputs!$D$17)),Inputs!$F$17-SQRT((1-H578)*(Inputs!$F$17-Inputs!$D$17)*(Inputs!$F$17-Inputs!$E$17))),0)</f>
        <v>112</v>
      </c>
      <c r="J578" s="81" t="n">
        <f aca="true">RAND()</f>
        <v>0.332463819000845</v>
      </c>
      <c r="K578" s="83" t="n">
        <f aca="false">IF(J578&lt;(Inputs!$E$18-Inputs!$D$18)/(Inputs!$F$18-Inputs!$D$18),Inputs!$D$18+SQRT(J578*(Inputs!$F$18-Inputs!$D$18)*(Inputs!$E$18-Inputs!$D$18)),Inputs!$F$18-SQRT((1-J578)*(Inputs!$F$18-Inputs!$D$18)*(Inputs!$F$18-Inputs!$E$18)))</f>
        <v>1.00831959980705</v>
      </c>
      <c r="L578" s="81" t="n">
        <f aca="true">RAND()</f>
        <v>0.0949988978003363</v>
      </c>
      <c r="M578" s="83" t="n">
        <f aca="false">IF(L578&lt;(Inputs!$E$24-Inputs!$D$24)/(Inputs!$F$24-Inputs!$D$24),Inputs!$D$24+SQRT(L578*(Inputs!$F$24-Inputs!$D$24)*(Inputs!$E$24-Inputs!$D$24)),Inputs!$F$24-SQRT((1-L578)*(Inputs!$F$24-Inputs!$D$24)*(Inputs!$F$24-Inputs!$E$24)))</f>
        <v>0.706770163135777</v>
      </c>
      <c r="N578" s="81" t="n">
        <f aca="true">RAND()</f>
        <v>0.584489479011311</v>
      </c>
      <c r="O578" s="83" t="n">
        <f aca="false">IF(N578&lt;(Inputs!$E$26-Inputs!$D$26)/(Inputs!$F$26-Inputs!$D$26),Inputs!$D$26+SQRT(N578*(Inputs!$F$26-Inputs!$D$26)*(Inputs!$E$26-Inputs!$D$26)),Inputs!$F$26-SQRT((1-N578)*(Inputs!$F$26-Inputs!$D$26)*(Inputs!$F$26-Inputs!$E$26)))</f>
        <v>0.6118638313551</v>
      </c>
      <c r="P578" s="81" t="n">
        <f aca="true">RAND()</f>
        <v>0.814429107321898</v>
      </c>
      <c r="Q578" s="82" t="n">
        <f aca="false">IF(P578&lt;(Inputs!$E$27-Inputs!$D$27)/(Inputs!$F$27-Inputs!$D$27),Inputs!$D$27+SQRT(P578*(Inputs!$F$27-Inputs!$D$27)*(Inputs!$E$27-Inputs!$D$27)),Inputs!$F$27-SQRT((1-P578)*(Inputs!$F$27-Inputs!$D$27)*(Inputs!$F$27-Inputs!$E$27)))</f>
        <v>112.693409495295</v>
      </c>
      <c r="R578" s="81" t="n">
        <f aca="true">RAND()</f>
        <v>0.0541499051882112</v>
      </c>
      <c r="S578" s="82" t="n">
        <f aca="false">IF(R578&lt;(Inputs!$E$29-Inputs!$D$29)/(Inputs!$F$29-Inputs!$D$29),Inputs!$D$29+SQRT(R578*(Inputs!$F$29-Inputs!$D$29)*(Inputs!$E$29-Inputs!$D$29)),Inputs!$F$29-SQRT((1-R578)*(Inputs!$F$29-Inputs!$D$29)*(Inputs!$F$29-Inputs!$E$29)))</f>
        <v>3.45321928914401</v>
      </c>
      <c r="T578" s="68" t="n">
        <f aca="false">Inputs!$E$9*(1+E578)+Inputs!$E$5*C578*(Inputs!$E$11*Inputs!$E$14*(G578*I578/Inputs!$E$16+(1-G578))*K578+Inputs!$E$23*M578)*(1+O578)+Inputs!$E$5*(Q578+S578)</f>
        <v>6392.50250278246</v>
      </c>
    </row>
    <row r="579" customFormat="false" ht="15" hidden="false" customHeight="false" outlineLevel="0" collapsed="false">
      <c r="A579" s="1" t="n">
        <v>575</v>
      </c>
      <c r="B579" s="81" t="n">
        <f aca="true">RAND()</f>
        <v>0.847213998957505</v>
      </c>
      <c r="C579" s="82" t="n">
        <f aca="false">ROUND(IF(B579&lt;(Inputs!$E$8-Inputs!$D$8)/(Inputs!$F$8-Inputs!$D$8),Inputs!$D$8+SQRT(B579*(Inputs!$F$8-Inputs!$D$8)*(Inputs!$E$8-Inputs!$D$8)),Inputs!$F$8-SQRT((1-B579)*(Inputs!$F$8-Inputs!$D$8)*(Inputs!$F$8-Inputs!$E$8))),0)</f>
        <v>27</v>
      </c>
      <c r="D579" s="81" t="n">
        <f aca="true">RAND()</f>
        <v>0.829663064897137</v>
      </c>
      <c r="E579" s="83" t="n">
        <f aca="false">IF(D579&lt;(Inputs!$E$10-Inputs!$D$10)/(Inputs!$F$10-Inputs!$D$10),Inputs!$D$10+SQRT(D579*(Inputs!$F$10-Inputs!$D$10)*(Inputs!$E$10-Inputs!$D$10)),Inputs!$F$10-SQRT((1-D579)*(Inputs!$F$10-Inputs!$D$10)*(Inputs!$F$10-Inputs!$E$10)))</f>
        <v>0.128514980219028</v>
      </c>
      <c r="F579" s="81" t="n">
        <f aca="true">RAND()</f>
        <v>0.788451964936849</v>
      </c>
      <c r="G579" s="83" t="n">
        <f aca="false">IF(F579&lt;(Inputs!$E$15-Inputs!$D$15)/(Inputs!$F$15-Inputs!$D$15),Inputs!$D$15+SQRT(F579*(Inputs!$F$15-Inputs!$D$15)*(Inputs!$E$15-Inputs!$D$15)),Inputs!$F$15-SQRT((1-F579)*(Inputs!$F$15-Inputs!$D$15)*(Inputs!$F$15-Inputs!$E$15)))</f>
        <v>0.734954164612459</v>
      </c>
      <c r="H579" s="81" t="n">
        <f aca="true">RAND()</f>
        <v>0.571063431655183</v>
      </c>
      <c r="I579" s="82" t="n">
        <f aca="false">ROUND(IF(H579&lt;(Inputs!$E$17-Inputs!$D$17)/(Inputs!$F$17-Inputs!$D$17),Inputs!$D$17+SQRT(H579*(Inputs!$F$17-Inputs!$D$17)*(Inputs!$E$17-Inputs!$D$17)),Inputs!$F$17-SQRT((1-H579)*(Inputs!$F$17-Inputs!$D$17)*(Inputs!$F$17-Inputs!$E$17))),0)</f>
        <v>107</v>
      </c>
      <c r="J579" s="81" t="n">
        <f aca="true">RAND()</f>
        <v>0.171417497331316</v>
      </c>
      <c r="K579" s="83" t="n">
        <f aca="false">IF(J579&lt;(Inputs!$E$18-Inputs!$D$18)/(Inputs!$F$18-Inputs!$D$18),Inputs!$D$18+SQRT(J579*(Inputs!$F$18-Inputs!$D$18)*(Inputs!$E$18-Inputs!$D$18)),Inputs!$F$18-SQRT((1-J579)*(Inputs!$F$18-Inputs!$D$18)*(Inputs!$F$18-Inputs!$E$18)))</f>
        <v>0.977457164979078</v>
      </c>
      <c r="L579" s="81" t="n">
        <f aca="true">RAND()</f>
        <v>0.0600366878669821</v>
      </c>
      <c r="M579" s="83" t="n">
        <f aca="false">IF(L579&lt;(Inputs!$E$24-Inputs!$D$24)/(Inputs!$F$24-Inputs!$D$24),Inputs!$D$24+SQRT(L579*(Inputs!$F$24-Inputs!$D$24)*(Inputs!$E$24-Inputs!$D$24)),Inputs!$F$24-SQRT((1-L579)*(Inputs!$F$24-Inputs!$D$24)*(Inputs!$F$24-Inputs!$E$24)))</f>
        <v>0.684878752017439</v>
      </c>
      <c r="N579" s="81" t="n">
        <f aca="true">RAND()</f>
        <v>0.951105724298251</v>
      </c>
      <c r="O579" s="83" t="n">
        <f aca="false">IF(N579&lt;(Inputs!$E$26-Inputs!$D$26)/(Inputs!$F$26-Inputs!$D$26),Inputs!$D$26+SQRT(N579*(Inputs!$F$26-Inputs!$D$26)*(Inputs!$E$26-Inputs!$D$26)),Inputs!$F$26-SQRT((1-N579)*(Inputs!$F$26-Inputs!$D$26)*(Inputs!$F$26-Inputs!$E$26)))</f>
        <v>0.748690781290342</v>
      </c>
      <c r="P579" s="81" t="n">
        <f aca="true">RAND()</f>
        <v>0.477474194083416</v>
      </c>
      <c r="Q579" s="82" t="n">
        <f aca="false">IF(P579&lt;(Inputs!$E$27-Inputs!$D$27)/(Inputs!$F$27-Inputs!$D$27),Inputs!$D$27+SQRT(P579*(Inputs!$F$27-Inputs!$D$27)*(Inputs!$E$27-Inputs!$D$27)),Inputs!$F$27-SQRT((1-P579)*(Inputs!$F$27-Inputs!$D$27)*(Inputs!$F$27-Inputs!$E$27)))</f>
        <v>87.3985340077856</v>
      </c>
      <c r="R579" s="81" t="n">
        <f aca="true">RAND()</f>
        <v>0.971997101479812</v>
      </c>
      <c r="S579" s="82" t="n">
        <f aca="false">IF(R579&lt;(Inputs!$E$29-Inputs!$D$29)/(Inputs!$F$29-Inputs!$D$29),Inputs!$D$29+SQRT(R579*(Inputs!$F$29-Inputs!$D$29)*(Inputs!$E$29-Inputs!$D$29)),Inputs!$F$29-SQRT((1-R579)*(Inputs!$F$29-Inputs!$D$29)*(Inputs!$F$29-Inputs!$E$29)))</f>
        <v>13.0920228492919</v>
      </c>
      <c r="T579" s="68" t="n">
        <f aca="false">Inputs!$E$9*(1+E579)+Inputs!$E$5*C579*(Inputs!$E$11*Inputs!$E$14*(G579*I579/Inputs!$E$16+(1-G579))*K579+Inputs!$E$23*M579)*(1+O579)+Inputs!$E$5*(Q579+S579)</f>
        <v>6590.83834147642</v>
      </c>
    </row>
    <row r="580" customFormat="false" ht="15" hidden="false" customHeight="false" outlineLevel="0" collapsed="false">
      <c r="A580" s="1" t="n">
        <v>576</v>
      </c>
      <c r="B580" s="81" t="n">
        <f aca="true">RAND()</f>
        <v>0.456868944931979</v>
      </c>
      <c r="C580" s="82" t="n">
        <f aca="false">ROUND(IF(B580&lt;(Inputs!$E$8-Inputs!$D$8)/(Inputs!$F$8-Inputs!$D$8),Inputs!$D$8+SQRT(B580*(Inputs!$F$8-Inputs!$D$8)*(Inputs!$E$8-Inputs!$D$8)),Inputs!$F$8-SQRT((1-B580)*(Inputs!$F$8-Inputs!$D$8)*(Inputs!$F$8-Inputs!$E$8))),0)</f>
        <v>25</v>
      </c>
      <c r="D580" s="81" t="n">
        <f aca="true">RAND()</f>
        <v>0.363727480425981</v>
      </c>
      <c r="E580" s="83" t="n">
        <f aca="false">IF(D580&lt;(Inputs!$E$10-Inputs!$D$10)/(Inputs!$F$10-Inputs!$D$10),Inputs!$D$10+SQRT(D580*(Inputs!$F$10-Inputs!$D$10)*(Inputs!$E$10-Inputs!$D$10)),Inputs!$F$10-SQRT((1-D580)*(Inputs!$F$10-Inputs!$D$10)*(Inputs!$F$10-Inputs!$E$10)))</f>
        <v>0.0618400362361781</v>
      </c>
      <c r="F580" s="81" t="n">
        <f aca="true">RAND()</f>
        <v>0.600103315332511</v>
      </c>
      <c r="G580" s="83" t="n">
        <f aca="false">IF(F580&lt;(Inputs!$E$15-Inputs!$D$15)/(Inputs!$F$15-Inputs!$D$15),Inputs!$D$15+SQRT(F580*(Inputs!$F$15-Inputs!$D$15)*(Inputs!$E$15-Inputs!$D$15)),Inputs!$F$15-SQRT((1-F580)*(Inputs!$F$15-Inputs!$D$15)*(Inputs!$F$15-Inputs!$E$15)))</f>
        <v>0.710568832651308</v>
      </c>
      <c r="H580" s="81" t="n">
        <f aca="true">RAND()</f>
        <v>0.286674467953605</v>
      </c>
      <c r="I580" s="82" t="n">
        <f aca="false">ROUND(IF(H580&lt;(Inputs!$E$17-Inputs!$D$17)/(Inputs!$F$17-Inputs!$D$17),Inputs!$D$17+SQRT(H580*(Inputs!$F$17-Inputs!$D$17)*(Inputs!$E$17-Inputs!$D$17)),Inputs!$F$17-SQRT((1-H580)*(Inputs!$F$17-Inputs!$D$17)*(Inputs!$F$17-Inputs!$E$17))),0)</f>
        <v>105</v>
      </c>
      <c r="J580" s="81" t="n">
        <f aca="true">RAND()</f>
        <v>0.321032395583193</v>
      </c>
      <c r="K580" s="83" t="n">
        <f aca="false">IF(J580&lt;(Inputs!$E$18-Inputs!$D$18)/(Inputs!$F$18-Inputs!$D$18),Inputs!$D$18+SQRT(J580*(Inputs!$F$18-Inputs!$D$18)*(Inputs!$E$18-Inputs!$D$18)),Inputs!$F$18-SQRT((1-J580)*(Inputs!$F$18-Inputs!$D$18)*(Inputs!$F$18-Inputs!$E$18)))</f>
        <v>1.00625901988695</v>
      </c>
      <c r="L580" s="81" t="n">
        <f aca="true">RAND()</f>
        <v>0.307800093431403</v>
      </c>
      <c r="M580" s="83" t="n">
        <f aca="false">IF(L580&lt;(Inputs!$E$24-Inputs!$D$24)/(Inputs!$F$24-Inputs!$D$24),Inputs!$D$24+SQRT(L580*(Inputs!$F$24-Inputs!$D$24)*(Inputs!$E$24-Inputs!$D$24)),Inputs!$F$24-SQRT((1-L580)*(Inputs!$F$24-Inputs!$D$24)*(Inputs!$F$24-Inputs!$E$24)))</f>
        <v>0.792187437705404</v>
      </c>
      <c r="N580" s="81" t="n">
        <f aca="true">RAND()</f>
        <v>0.185641931165659</v>
      </c>
      <c r="O580" s="83" t="n">
        <f aca="false">IF(N580&lt;(Inputs!$E$26-Inputs!$D$26)/(Inputs!$F$26-Inputs!$D$26),Inputs!$D$26+SQRT(N580*(Inputs!$F$26-Inputs!$D$26)*(Inputs!$E$26-Inputs!$D$26)),Inputs!$F$26-SQRT((1-N580)*(Inputs!$F$26-Inputs!$D$26)*(Inputs!$F$26-Inputs!$E$26)))</f>
        <v>0.475757837224875</v>
      </c>
      <c r="P580" s="81" t="n">
        <f aca="true">RAND()</f>
        <v>0.463230788233114</v>
      </c>
      <c r="Q580" s="82" t="n">
        <f aca="false">IF(P580&lt;(Inputs!$E$27-Inputs!$D$27)/(Inputs!$F$27-Inputs!$D$27),Inputs!$D$27+SQRT(P580*(Inputs!$F$27-Inputs!$D$27)*(Inputs!$E$27-Inputs!$D$27)),Inputs!$F$27-SQRT((1-P580)*(Inputs!$F$27-Inputs!$D$27)*(Inputs!$F$27-Inputs!$E$27)))</f>
        <v>86.5510513227237</v>
      </c>
      <c r="R580" s="81" t="n">
        <f aca="true">RAND()</f>
        <v>0.458281496930606</v>
      </c>
      <c r="S580" s="82" t="n">
        <f aca="false">IF(R580&lt;(Inputs!$E$29-Inputs!$D$29)/(Inputs!$F$29-Inputs!$D$29),Inputs!$D$29+SQRT(R580*(Inputs!$F$29-Inputs!$D$29)*(Inputs!$E$29-Inputs!$D$29)),Inputs!$F$29-SQRT((1-R580)*(Inputs!$F$29-Inputs!$D$29)*(Inputs!$F$29-Inputs!$E$29)))</f>
        <v>6.60813456977406</v>
      </c>
      <c r="T580" s="68" t="n">
        <f aca="false">Inputs!$E$9*(1+E580)+Inputs!$E$5*C580*(Inputs!$E$11*Inputs!$E$14*(G580*I580/Inputs!$E$16+(1-G580))*K580+Inputs!$E$23*M580)*(1+O580)+Inputs!$E$5*(Q580+S580)</f>
        <v>5824.38720642801</v>
      </c>
    </row>
    <row r="581" customFormat="false" ht="15" hidden="false" customHeight="false" outlineLevel="0" collapsed="false">
      <c r="A581" s="1" t="n">
        <v>577</v>
      </c>
      <c r="B581" s="81" t="n">
        <f aca="true">RAND()</f>
        <v>0.622009296024106</v>
      </c>
      <c r="C581" s="82" t="n">
        <f aca="false">ROUND(IF(B581&lt;(Inputs!$E$8-Inputs!$D$8)/(Inputs!$F$8-Inputs!$D$8),Inputs!$D$8+SQRT(B581*(Inputs!$F$8-Inputs!$D$8)*(Inputs!$E$8-Inputs!$D$8)),Inputs!$F$8-SQRT((1-B581)*(Inputs!$F$8-Inputs!$D$8)*(Inputs!$F$8-Inputs!$E$8))),0)</f>
        <v>26</v>
      </c>
      <c r="D581" s="81" t="n">
        <f aca="true">RAND()</f>
        <v>0.945484943845846</v>
      </c>
      <c r="E581" s="83" t="n">
        <f aca="false">IF(D581&lt;(Inputs!$E$10-Inputs!$D$10)/(Inputs!$F$10-Inputs!$D$10),Inputs!$D$10+SQRT(D581*(Inputs!$F$10-Inputs!$D$10)*(Inputs!$E$10-Inputs!$D$10)),Inputs!$F$10-SQRT((1-D581)*(Inputs!$F$10-Inputs!$D$10)*(Inputs!$F$10-Inputs!$E$10)))</f>
        <v>0.159559281848308</v>
      </c>
      <c r="F581" s="81" t="n">
        <f aca="true">RAND()</f>
        <v>0.301528666618409</v>
      </c>
      <c r="G581" s="83" t="n">
        <f aca="false">IF(F581&lt;(Inputs!$E$15-Inputs!$D$15)/(Inputs!$F$15-Inputs!$D$15),Inputs!$D$15+SQRT(F581*(Inputs!$F$15-Inputs!$D$15)*(Inputs!$E$15-Inputs!$D$15)),Inputs!$F$15-SQRT((1-F581)*(Inputs!$F$15-Inputs!$D$15)*(Inputs!$F$15-Inputs!$E$15)))</f>
        <v>0.677656766172486</v>
      </c>
      <c r="H581" s="81" t="n">
        <f aca="true">RAND()</f>
        <v>0.791955446507818</v>
      </c>
      <c r="I581" s="82" t="n">
        <f aca="false">ROUND(IF(H581&lt;(Inputs!$E$17-Inputs!$D$17)/(Inputs!$F$17-Inputs!$D$17),Inputs!$D$17+SQRT(H581*(Inputs!$F$17-Inputs!$D$17)*(Inputs!$E$17-Inputs!$D$17)),Inputs!$F$17-SQRT((1-H581)*(Inputs!$F$17-Inputs!$D$17)*(Inputs!$F$17-Inputs!$E$17))),0)</f>
        <v>109</v>
      </c>
      <c r="J581" s="81" t="n">
        <f aca="true">RAND()</f>
        <v>0.937872249865425</v>
      </c>
      <c r="K581" s="83" t="n">
        <f aca="false">IF(J581&lt;(Inputs!$E$18-Inputs!$D$18)/(Inputs!$F$18-Inputs!$D$18),Inputs!$D$18+SQRT(J581*(Inputs!$F$18-Inputs!$D$18)*(Inputs!$E$18-Inputs!$D$18)),Inputs!$F$18-SQRT((1-J581)*(Inputs!$F$18-Inputs!$D$18)*(Inputs!$F$18-Inputs!$E$18)))</f>
        <v>1.17626955759813</v>
      </c>
      <c r="L581" s="81" t="n">
        <f aca="true">RAND()</f>
        <v>0.555031335304563</v>
      </c>
      <c r="M581" s="83" t="n">
        <f aca="false">IF(L581&lt;(Inputs!$E$24-Inputs!$D$24)/(Inputs!$F$24-Inputs!$D$24),Inputs!$D$24+SQRT(L581*(Inputs!$F$24-Inputs!$D$24)*(Inputs!$E$24-Inputs!$D$24)),Inputs!$F$24-SQRT((1-L581)*(Inputs!$F$24-Inputs!$D$24)*(Inputs!$F$24-Inputs!$E$24)))</f>
        <v>0.873208813572176</v>
      </c>
      <c r="N581" s="81" t="n">
        <f aca="true">RAND()</f>
        <v>0.426807104139119</v>
      </c>
      <c r="O581" s="83" t="n">
        <f aca="false">IF(N581&lt;(Inputs!$E$26-Inputs!$D$26)/(Inputs!$F$26-Inputs!$D$26),Inputs!$D$26+SQRT(N581*(Inputs!$F$26-Inputs!$D$26)*(Inputs!$E$26-Inputs!$D$26)),Inputs!$F$26-SQRT((1-N581)*(Inputs!$F$26-Inputs!$D$26)*(Inputs!$F$26-Inputs!$E$26)))</f>
        <v>0.566497095910536</v>
      </c>
      <c r="P581" s="81" t="n">
        <f aca="true">RAND()</f>
        <v>0.403249932225992</v>
      </c>
      <c r="Q581" s="82" t="n">
        <f aca="false">IF(P581&lt;(Inputs!$E$27-Inputs!$D$27)/(Inputs!$F$27-Inputs!$D$27),Inputs!$D$27+SQRT(P581*(Inputs!$F$27-Inputs!$D$27)*(Inputs!$E$27-Inputs!$D$27)),Inputs!$F$27-SQRT((1-P581)*(Inputs!$F$27-Inputs!$D$27)*(Inputs!$F$27-Inputs!$E$27)))</f>
        <v>83.0998840934856</v>
      </c>
      <c r="R581" s="81" t="n">
        <f aca="true">RAND()</f>
        <v>0.565190295544279</v>
      </c>
      <c r="S581" s="82" t="n">
        <f aca="false">IF(R581&lt;(Inputs!$E$29-Inputs!$D$29)/(Inputs!$F$29-Inputs!$D$29),Inputs!$D$29+SQRT(R581*(Inputs!$F$29-Inputs!$D$29)*(Inputs!$E$29-Inputs!$D$29)),Inputs!$F$29-SQRT((1-R581)*(Inputs!$F$29-Inputs!$D$29)*(Inputs!$F$29-Inputs!$E$29)))</f>
        <v>7.48167162334314</v>
      </c>
      <c r="T581" s="68" t="n">
        <f aca="false">Inputs!$E$9*(1+E581)+Inputs!$E$5*C581*(Inputs!$E$11*Inputs!$E$14*(G581*I581/Inputs!$E$16+(1-G581))*K581+Inputs!$E$23*M581)*(1+O581)+Inputs!$E$5*(Q581+S581)</f>
        <v>6934.28305596177</v>
      </c>
    </row>
    <row r="582" customFormat="false" ht="15" hidden="false" customHeight="false" outlineLevel="0" collapsed="false">
      <c r="A582" s="1" t="n">
        <v>578</v>
      </c>
      <c r="B582" s="81" t="n">
        <f aca="true">RAND()</f>
        <v>0.777471436650083</v>
      </c>
      <c r="C582" s="82" t="n">
        <f aca="false">ROUND(IF(B582&lt;(Inputs!$E$8-Inputs!$D$8)/(Inputs!$F$8-Inputs!$D$8),Inputs!$D$8+SQRT(B582*(Inputs!$F$8-Inputs!$D$8)*(Inputs!$E$8-Inputs!$D$8)),Inputs!$F$8-SQRT((1-B582)*(Inputs!$F$8-Inputs!$D$8)*(Inputs!$F$8-Inputs!$E$8))),0)</f>
        <v>27</v>
      </c>
      <c r="D582" s="81" t="n">
        <f aca="true">RAND()</f>
        <v>0.974261876876935</v>
      </c>
      <c r="E582" s="83" t="n">
        <f aca="false">IF(D582&lt;(Inputs!$E$10-Inputs!$D$10)/(Inputs!$F$10-Inputs!$D$10),Inputs!$D$10+SQRT(D582*(Inputs!$F$10-Inputs!$D$10)*(Inputs!$E$10-Inputs!$D$10)),Inputs!$F$10-SQRT((1-D582)*(Inputs!$F$10-Inputs!$D$10)*(Inputs!$F$10-Inputs!$E$10)))</f>
        <v>0.172212526316847</v>
      </c>
      <c r="F582" s="81" t="n">
        <f aca="true">RAND()</f>
        <v>0.478539888456357</v>
      </c>
      <c r="G582" s="83" t="n">
        <f aca="false">IF(F582&lt;(Inputs!$E$15-Inputs!$D$15)/(Inputs!$F$15-Inputs!$D$15),Inputs!$D$15+SQRT(F582*(Inputs!$F$15-Inputs!$D$15)*(Inputs!$E$15-Inputs!$D$15)),Inputs!$F$15-SQRT((1-F582)*(Inputs!$F$15-Inputs!$D$15)*(Inputs!$F$15-Inputs!$E$15)))</f>
        <v>0.697830454200761</v>
      </c>
      <c r="H582" s="81" t="n">
        <f aca="true">RAND()</f>
        <v>0.972986787180736</v>
      </c>
      <c r="I582" s="82" t="n">
        <f aca="false">ROUND(IF(H582&lt;(Inputs!$E$17-Inputs!$D$17)/(Inputs!$F$17-Inputs!$D$17),Inputs!$D$17+SQRT(H582*(Inputs!$F$17-Inputs!$D$17)*(Inputs!$E$17-Inputs!$D$17)),Inputs!$F$17-SQRT((1-H582)*(Inputs!$F$17-Inputs!$D$17)*(Inputs!$F$17-Inputs!$E$17))),0)</f>
        <v>113</v>
      </c>
      <c r="J582" s="81" t="n">
        <f aca="true">RAND()</f>
        <v>0.366520336281974</v>
      </c>
      <c r="K582" s="83" t="n">
        <f aca="false">IF(J582&lt;(Inputs!$E$18-Inputs!$D$18)/(Inputs!$F$18-Inputs!$D$18),Inputs!$D$18+SQRT(J582*(Inputs!$F$18-Inputs!$D$18)*(Inputs!$E$18-Inputs!$D$18)),Inputs!$F$18-SQRT((1-J582)*(Inputs!$F$18-Inputs!$D$18)*(Inputs!$F$18-Inputs!$E$18)))</f>
        <v>1.01456535816638</v>
      </c>
      <c r="L582" s="81" t="n">
        <f aca="true">RAND()</f>
        <v>0.844773483410121</v>
      </c>
      <c r="M582" s="83" t="n">
        <f aca="false">IF(L582&lt;(Inputs!$E$24-Inputs!$D$24)/(Inputs!$F$24-Inputs!$D$24),Inputs!$D$24+SQRT(L582*(Inputs!$F$24-Inputs!$D$24)*(Inputs!$E$24-Inputs!$D$24)),Inputs!$F$24-SQRT((1-L582)*(Inputs!$F$24-Inputs!$D$24)*(Inputs!$F$24-Inputs!$E$24)))</f>
        <v>1.00698610417493</v>
      </c>
      <c r="N582" s="81" t="n">
        <f aca="true">RAND()</f>
        <v>0.755776257006264</v>
      </c>
      <c r="O582" s="83" t="n">
        <f aca="false">IF(N582&lt;(Inputs!$E$26-Inputs!$D$26)/(Inputs!$F$26-Inputs!$D$26),Inputs!$D$26+SQRT(N582*(Inputs!$F$26-Inputs!$D$26)*(Inputs!$E$26-Inputs!$D$26)),Inputs!$F$26-SQRT((1-N582)*(Inputs!$F$26-Inputs!$D$26)*(Inputs!$F$26-Inputs!$E$26)))</f>
        <v>0.660628518011068</v>
      </c>
      <c r="P582" s="81" t="n">
        <f aca="true">RAND()</f>
        <v>0.352134129716657</v>
      </c>
      <c r="Q582" s="82" t="n">
        <f aca="false">IF(P582&lt;(Inputs!$E$27-Inputs!$D$27)/(Inputs!$F$27-Inputs!$D$27),Inputs!$D$27+SQRT(P582*(Inputs!$F$27-Inputs!$D$27)*(Inputs!$E$27-Inputs!$D$27)),Inputs!$F$27-SQRT((1-P582)*(Inputs!$F$27-Inputs!$D$27)*(Inputs!$F$27-Inputs!$E$27)))</f>
        <v>80.2935151716494</v>
      </c>
      <c r="R582" s="81" t="n">
        <f aca="true">RAND()</f>
        <v>0.331446661745326</v>
      </c>
      <c r="S582" s="82" t="n">
        <f aca="false">IF(R582&lt;(Inputs!$E$29-Inputs!$D$29)/(Inputs!$F$29-Inputs!$D$29),Inputs!$D$29+SQRT(R582*(Inputs!$F$29-Inputs!$D$29)*(Inputs!$E$29-Inputs!$D$29)),Inputs!$F$29-SQRT((1-R582)*(Inputs!$F$29-Inputs!$D$29)*(Inputs!$F$29-Inputs!$E$29)))</f>
        <v>5.67734297675241</v>
      </c>
      <c r="T582" s="68" t="n">
        <f aca="false">Inputs!$E$9*(1+E582)+Inputs!$E$5*C582*(Inputs!$E$11*Inputs!$E$14*(G582*I582/Inputs!$E$16+(1-G582))*K582+Inputs!$E$23*M582)*(1+O582)+Inputs!$E$5*(Q582+S582)</f>
        <v>7170.23932585226</v>
      </c>
    </row>
    <row r="583" customFormat="false" ht="15" hidden="false" customHeight="false" outlineLevel="0" collapsed="false">
      <c r="A583" s="1" t="n">
        <v>579</v>
      </c>
      <c r="B583" s="81" t="n">
        <f aca="true">RAND()</f>
        <v>0.990101097419677</v>
      </c>
      <c r="C583" s="82" t="n">
        <f aca="false">ROUND(IF(B583&lt;(Inputs!$E$8-Inputs!$D$8)/(Inputs!$F$8-Inputs!$D$8),Inputs!$D$8+SQRT(B583*(Inputs!$F$8-Inputs!$D$8)*(Inputs!$E$8-Inputs!$D$8)),Inputs!$F$8-SQRT((1-B583)*(Inputs!$F$8-Inputs!$D$8)*(Inputs!$F$8-Inputs!$E$8))),0)</f>
        <v>29</v>
      </c>
      <c r="D583" s="81" t="n">
        <f aca="true">RAND()</f>
        <v>0.443223217071054</v>
      </c>
      <c r="E583" s="83" t="n">
        <f aca="false">IF(D583&lt;(Inputs!$E$10-Inputs!$D$10)/(Inputs!$F$10-Inputs!$D$10),Inputs!$D$10+SQRT(D583*(Inputs!$F$10-Inputs!$D$10)*(Inputs!$E$10-Inputs!$D$10)),Inputs!$F$10-SQRT((1-D583)*(Inputs!$F$10-Inputs!$D$10)*(Inputs!$F$10-Inputs!$E$10)))</f>
        <v>0.0707587392205245</v>
      </c>
      <c r="F583" s="81" t="n">
        <f aca="true">RAND()</f>
        <v>0.74077232823598</v>
      </c>
      <c r="G583" s="83" t="n">
        <f aca="false">IF(F583&lt;(Inputs!$E$15-Inputs!$D$15)/(Inputs!$F$15-Inputs!$D$15),Inputs!$D$15+SQRT(F583*(Inputs!$F$15-Inputs!$D$15)*(Inputs!$E$15-Inputs!$D$15)),Inputs!$F$15-SQRT((1-F583)*(Inputs!$F$15-Inputs!$D$15)*(Inputs!$F$15-Inputs!$E$15)))</f>
        <v>0.727996156802012</v>
      </c>
      <c r="H583" s="81" t="n">
        <f aca="true">RAND()</f>
        <v>0.509233787795755</v>
      </c>
      <c r="I583" s="82" t="n">
        <f aca="false">ROUND(IF(H583&lt;(Inputs!$E$17-Inputs!$D$17)/(Inputs!$F$17-Inputs!$D$17),Inputs!$D$17+SQRT(H583*(Inputs!$F$17-Inputs!$D$17)*(Inputs!$E$17-Inputs!$D$17)),Inputs!$F$17-SQRT((1-H583)*(Inputs!$F$17-Inputs!$D$17)*(Inputs!$F$17-Inputs!$E$17))),0)</f>
        <v>106</v>
      </c>
      <c r="J583" s="81" t="n">
        <f aca="true">RAND()</f>
        <v>0.338952794593003</v>
      </c>
      <c r="K583" s="83" t="n">
        <f aca="false">IF(J583&lt;(Inputs!$E$18-Inputs!$D$18)/(Inputs!$F$18-Inputs!$D$18),Inputs!$D$18+SQRT(J583*(Inputs!$F$18-Inputs!$D$18)*(Inputs!$E$18-Inputs!$D$18)),Inputs!$F$18-SQRT((1-J583)*(Inputs!$F$18-Inputs!$D$18)*(Inputs!$F$18-Inputs!$E$18)))</f>
        <v>1.00949713001065</v>
      </c>
      <c r="L583" s="81" t="n">
        <f aca="true">RAND()</f>
        <v>0.271281965592545</v>
      </c>
      <c r="M583" s="83" t="n">
        <f aca="false">IF(L583&lt;(Inputs!$E$24-Inputs!$D$24)/(Inputs!$F$24-Inputs!$D$24),Inputs!$D$24+SQRT(L583*(Inputs!$F$24-Inputs!$D$24)*(Inputs!$E$24-Inputs!$D$24)),Inputs!$F$24-SQRT((1-L583)*(Inputs!$F$24-Inputs!$D$24)*(Inputs!$F$24-Inputs!$E$24)))</f>
        <v>0.780426815831532</v>
      </c>
      <c r="N583" s="81" t="n">
        <f aca="true">RAND()</f>
        <v>0.402476722793058</v>
      </c>
      <c r="O583" s="83" t="n">
        <f aca="false">IF(N583&lt;(Inputs!$E$26-Inputs!$D$26)/(Inputs!$F$26-Inputs!$D$26),Inputs!$D$26+SQRT(N583*(Inputs!$F$26-Inputs!$D$26)*(Inputs!$E$26-Inputs!$D$26)),Inputs!$F$26-SQRT((1-N583)*(Inputs!$F$26-Inputs!$D$26)*(Inputs!$F$26-Inputs!$E$26)))</f>
        <v>0.558789734481035</v>
      </c>
      <c r="P583" s="81" t="n">
        <f aca="true">RAND()</f>
        <v>0.155951969656053</v>
      </c>
      <c r="Q583" s="82" t="n">
        <f aca="false">IF(P583&lt;(Inputs!$E$27-Inputs!$D$27)/(Inputs!$F$27-Inputs!$D$27),Inputs!$D$27+SQRT(P583*(Inputs!$F$27-Inputs!$D$27)*(Inputs!$E$27-Inputs!$D$27)),Inputs!$F$27-SQRT((1-P583)*(Inputs!$F$27-Inputs!$D$27)*(Inputs!$F$27-Inputs!$E$27)))</f>
        <v>69.7453772853327</v>
      </c>
      <c r="R583" s="81" t="n">
        <f aca="true">RAND()</f>
        <v>0.860930429998925</v>
      </c>
      <c r="S583" s="82" t="n">
        <f aca="false">IF(R583&lt;(Inputs!$E$29-Inputs!$D$29)/(Inputs!$F$29-Inputs!$D$29),Inputs!$D$29+SQRT(R583*(Inputs!$F$29-Inputs!$D$29)*(Inputs!$E$29-Inputs!$D$29)),Inputs!$F$29-SQRT((1-R583)*(Inputs!$F$29-Inputs!$D$29)*(Inputs!$F$29-Inputs!$E$29)))</f>
        <v>10.7480540807602</v>
      </c>
      <c r="T583" s="68" t="n">
        <f aca="false">Inputs!$E$9*(1+E583)+Inputs!$E$5*C583*(Inputs!$E$11*Inputs!$E$14*(G583*I583/Inputs!$E$16+(1-G583))*K583+Inputs!$E$23*M583)*(1+O583)+Inputs!$E$5*(Q583+S583)</f>
        <v>6437.75612441332</v>
      </c>
    </row>
    <row r="584" customFormat="false" ht="15" hidden="false" customHeight="false" outlineLevel="0" collapsed="false">
      <c r="A584" s="1" t="n">
        <v>580</v>
      </c>
      <c r="B584" s="81" t="n">
        <f aca="true">RAND()</f>
        <v>0.718497122504804</v>
      </c>
      <c r="C584" s="82" t="n">
        <f aca="false">ROUND(IF(B584&lt;(Inputs!$E$8-Inputs!$D$8)/(Inputs!$F$8-Inputs!$D$8),Inputs!$D$8+SQRT(B584*(Inputs!$F$8-Inputs!$D$8)*(Inputs!$E$8-Inputs!$D$8)),Inputs!$F$8-SQRT((1-B584)*(Inputs!$F$8-Inputs!$D$8)*(Inputs!$F$8-Inputs!$E$8))),0)</f>
        <v>26</v>
      </c>
      <c r="D584" s="81" t="n">
        <f aca="true">RAND()</f>
        <v>0.657801166056425</v>
      </c>
      <c r="E584" s="83" t="n">
        <f aca="false">IF(D584&lt;(Inputs!$E$10-Inputs!$D$10)/(Inputs!$F$10-Inputs!$D$10),Inputs!$D$10+SQRT(D584*(Inputs!$F$10-Inputs!$D$10)*(Inputs!$E$10-Inputs!$D$10)),Inputs!$F$10-SQRT((1-D584)*(Inputs!$F$10-Inputs!$D$10)*(Inputs!$F$10-Inputs!$E$10)))</f>
        <v>0.0986789014158096</v>
      </c>
      <c r="F584" s="81" t="n">
        <f aca="true">RAND()</f>
        <v>0.276629291881087</v>
      </c>
      <c r="G584" s="83" t="n">
        <f aca="false">IF(F584&lt;(Inputs!$E$15-Inputs!$D$15)/(Inputs!$F$15-Inputs!$D$15),Inputs!$D$15+SQRT(F584*(Inputs!$F$15-Inputs!$D$15)*(Inputs!$E$15-Inputs!$D$15)),Inputs!$F$15-SQRT((1-F584)*(Inputs!$F$15-Inputs!$D$15)*(Inputs!$F$15-Inputs!$E$15)))</f>
        <v>0.674381354099141</v>
      </c>
      <c r="H584" s="81" t="n">
        <f aca="true">RAND()</f>
        <v>0.962426156014812</v>
      </c>
      <c r="I584" s="82" t="n">
        <f aca="false">ROUND(IF(H584&lt;(Inputs!$E$17-Inputs!$D$17)/(Inputs!$F$17-Inputs!$D$17),Inputs!$D$17+SQRT(H584*(Inputs!$F$17-Inputs!$D$17)*(Inputs!$E$17-Inputs!$D$17)),Inputs!$F$17-SQRT((1-H584)*(Inputs!$F$17-Inputs!$D$17)*(Inputs!$F$17-Inputs!$E$17))),0)</f>
        <v>113</v>
      </c>
      <c r="J584" s="81" t="n">
        <f aca="true">RAND()</f>
        <v>0.69396872628786</v>
      </c>
      <c r="K584" s="83" t="n">
        <f aca="false">IF(J584&lt;(Inputs!$E$18-Inputs!$D$18)/(Inputs!$F$18-Inputs!$D$18),Inputs!$D$18+SQRT(J584*(Inputs!$F$18-Inputs!$D$18)*(Inputs!$E$18-Inputs!$D$18)),Inputs!$F$18-SQRT((1-J584)*(Inputs!$F$18-Inputs!$D$18)*(Inputs!$F$18-Inputs!$E$18)))</f>
        <v>1.08636095682933</v>
      </c>
      <c r="L584" s="81" t="n">
        <f aca="true">RAND()</f>
        <v>0.511503648628411</v>
      </c>
      <c r="M584" s="83" t="n">
        <f aca="false">IF(L584&lt;(Inputs!$E$24-Inputs!$D$24)/(Inputs!$F$24-Inputs!$D$24),Inputs!$D$24+SQRT(L584*(Inputs!$F$24-Inputs!$D$24)*(Inputs!$E$24-Inputs!$D$24)),Inputs!$F$24-SQRT((1-L584)*(Inputs!$F$24-Inputs!$D$24)*(Inputs!$F$24-Inputs!$E$24)))</f>
        <v>0.857598007702669</v>
      </c>
      <c r="N584" s="81" t="n">
        <f aca="true">RAND()</f>
        <v>0.533593790750722</v>
      </c>
      <c r="O584" s="83" t="n">
        <f aca="false">IF(N584&lt;(Inputs!$E$26-Inputs!$D$26)/(Inputs!$F$26-Inputs!$D$26),Inputs!$D$26+SQRT(N584*(Inputs!$F$26-Inputs!$D$26)*(Inputs!$E$26-Inputs!$D$26)),Inputs!$F$26-SQRT((1-N584)*(Inputs!$F$26-Inputs!$D$26)*(Inputs!$F$26-Inputs!$E$26)))</f>
        <v>0.59797652051952</v>
      </c>
      <c r="P584" s="81" t="n">
        <f aca="true">RAND()</f>
        <v>0.392980113730438</v>
      </c>
      <c r="Q584" s="82" t="n">
        <f aca="false">IF(P584&lt;(Inputs!$E$27-Inputs!$D$27)/(Inputs!$F$27-Inputs!$D$27),Inputs!$D$27+SQRT(P584*(Inputs!$F$27-Inputs!$D$27)*(Inputs!$E$27-Inputs!$D$27)),Inputs!$F$27-SQRT((1-P584)*(Inputs!$F$27-Inputs!$D$27)*(Inputs!$F$27-Inputs!$E$27)))</f>
        <v>82.526678257094</v>
      </c>
      <c r="R584" s="81" t="n">
        <f aca="true">RAND()</f>
        <v>0.00995962091109669</v>
      </c>
      <c r="S584" s="82" t="n">
        <f aca="false">IF(R584&lt;(Inputs!$E$29-Inputs!$D$29)/(Inputs!$F$29-Inputs!$D$29),Inputs!$D$29+SQRT(R584*(Inputs!$F$29-Inputs!$D$29)*(Inputs!$E$29-Inputs!$D$29)),Inputs!$F$29-SQRT((1-R584)*(Inputs!$F$29-Inputs!$D$29)*(Inputs!$F$29-Inputs!$E$29)))</f>
        <v>2.62323768783087</v>
      </c>
      <c r="T584" s="68" t="n">
        <f aca="false">Inputs!$E$9*(1+E584)+Inputs!$E$5*C584*(Inputs!$E$11*Inputs!$E$14*(G584*I584/Inputs!$E$16+(1-G584))*K584+Inputs!$E$23*M584)*(1+O584)+Inputs!$E$5*(Q584+S584)</f>
        <v>6676.81693120582</v>
      </c>
    </row>
    <row r="585" customFormat="false" ht="15" hidden="false" customHeight="false" outlineLevel="0" collapsed="false">
      <c r="A585" s="1" t="n">
        <v>581</v>
      </c>
      <c r="B585" s="81" t="n">
        <f aca="true">RAND()</f>
        <v>0.33493100425477</v>
      </c>
      <c r="C585" s="82" t="n">
        <f aca="false">ROUND(IF(B585&lt;(Inputs!$E$8-Inputs!$D$8)/(Inputs!$F$8-Inputs!$D$8),Inputs!$D$8+SQRT(B585*(Inputs!$F$8-Inputs!$D$8)*(Inputs!$E$8-Inputs!$D$8)),Inputs!$F$8-SQRT((1-B585)*(Inputs!$F$8-Inputs!$D$8)*(Inputs!$F$8-Inputs!$E$8))),0)</f>
        <v>24</v>
      </c>
      <c r="D585" s="81" t="n">
        <f aca="true">RAND()</f>
        <v>0.386069091462968</v>
      </c>
      <c r="E585" s="83" t="n">
        <f aca="false">IF(D585&lt;(Inputs!$E$10-Inputs!$D$10)/(Inputs!$F$10-Inputs!$D$10),Inputs!$D$10+SQRT(D585*(Inputs!$F$10-Inputs!$D$10)*(Inputs!$E$10-Inputs!$D$10)),Inputs!$F$10-SQRT((1-D585)*(Inputs!$F$10-Inputs!$D$10)*(Inputs!$F$10-Inputs!$E$10)))</f>
        <v>0.0642873356826602</v>
      </c>
      <c r="F585" s="81" t="n">
        <f aca="true">RAND()</f>
        <v>0.0615792195104355</v>
      </c>
      <c r="G585" s="83" t="n">
        <f aca="false">IF(F585&lt;(Inputs!$E$15-Inputs!$D$15)/(Inputs!$F$15-Inputs!$D$15),Inputs!$D$15+SQRT(F585*(Inputs!$F$15-Inputs!$D$15)*(Inputs!$E$15-Inputs!$D$15)),Inputs!$F$15-SQRT((1-F585)*(Inputs!$F$15-Inputs!$D$15)*(Inputs!$F$15-Inputs!$E$15)))</f>
        <v>0.635093936658755</v>
      </c>
      <c r="H585" s="81" t="n">
        <f aca="true">RAND()</f>
        <v>0.808636304871511</v>
      </c>
      <c r="I585" s="82" t="n">
        <f aca="false">ROUND(IF(H585&lt;(Inputs!$E$17-Inputs!$D$17)/(Inputs!$F$17-Inputs!$D$17),Inputs!$D$17+SQRT(H585*(Inputs!$F$17-Inputs!$D$17)*(Inputs!$E$17-Inputs!$D$17)),Inputs!$F$17-SQRT((1-H585)*(Inputs!$F$17-Inputs!$D$17)*(Inputs!$F$17-Inputs!$E$17))),0)</f>
        <v>110</v>
      </c>
      <c r="J585" s="81" t="n">
        <f aca="true">RAND()</f>
        <v>0.324407498503157</v>
      </c>
      <c r="K585" s="83" t="n">
        <f aca="false">IF(J585&lt;(Inputs!$E$18-Inputs!$D$18)/(Inputs!$F$18-Inputs!$D$18),Inputs!$D$18+SQRT(J585*(Inputs!$F$18-Inputs!$D$18)*(Inputs!$E$18-Inputs!$D$18)),Inputs!$F$18-SQRT((1-J585)*(Inputs!$F$18-Inputs!$D$18)*(Inputs!$F$18-Inputs!$E$18)))</f>
        <v>1.00686558474586</v>
      </c>
      <c r="L585" s="81" t="n">
        <f aca="true">RAND()</f>
        <v>0.0481891340155727</v>
      </c>
      <c r="M585" s="83" t="n">
        <f aca="false">IF(L585&lt;(Inputs!$E$24-Inputs!$D$24)/(Inputs!$F$24-Inputs!$D$24),Inputs!$D$24+SQRT(L585*(Inputs!$F$24-Inputs!$D$24)*(Inputs!$E$24-Inputs!$D$24)),Inputs!$F$24-SQRT((1-L585)*(Inputs!$F$24-Inputs!$D$24)*(Inputs!$F$24-Inputs!$E$24)))</f>
        <v>0.676044040409941</v>
      </c>
      <c r="N585" s="81" t="n">
        <f aca="true">RAND()</f>
        <v>0.490949559343185</v>
      </c>
      <c r="O585" s="83" t="n">
        <f aca="false">IF(N585&lt;(Inputs!$E$26-Inputs!$D$26)/(Inputs!$F$26-Inputs!$D$26),Inputs!$D$26+SQRT(N585*(Inputs!$F$26-Inputs!$D$26)*(Inputs!$E$26-Inputs!$D$26)),Inputs!$F$26-SQRT((1-N585)*(Inputs!$F$26-Inputs!$D$26)*(Inputs!$F$26-Inputs!$E$26)))</f>
        <v>0.585821634371344</v>
      </c>
      <c r="P585" s="81" t="n">
        <f aca="true">RAND()</f>
        <v>0.66398395853099</v>
      </c>
      <c r="Q585" s="82" t="n">
        <f aca="false">IF(P585&lt;(Inputs!$E$27-Inputs!$D$27)/(Inputs!$F$27-Inputs!$D$27),Inputs!$D$27+SQRT(P585*(Inputs!$F$27-Inputs!$D$27)*(Inputs!$E$27-Inputs!$D$27)),Inputs!$F$27-SQRT((1-P585)*(Inputs!$F$27-Inputs!$D$27)*(Inputs!$F$27-Inputs!$E$27)))</f>
        <v>99.7992000958394</v>
      </c>
      <c r="R585" s="81" t="n">
        <f aca="true">RAND()</f>
        <v>0.0911525619819073</v>
      </c>
      <c r="S585" s="82" t="n">
        <f aca="false">IF(R585&lt;(Inputs!$E$29-Inputs!$D$29)/(Inputs!$F$29-Inputs!$D$29),Inputs!$D$29+SQRT(R585*(Inputs!$F$29-Inputs!$D$29)*(Inputs!$E$29-Inputs!$D$29)),Inputs!$F$29-SQRT((1-R585)*(Inputs!$F$29-Inputs!$D$29)*(Inputs!$F$29-Inputs!$E$29)))</f>
        <v>3.88545748222928</v>
      </c>
      <c r="T585" s="68" t="n">
        <f aca="false">Inputs!$E$9*(1+E585)+Inputs!$E$5*C585*(Inputs!$E$11*Inputs!$E$14*(G585*I585/Inputs!$E$16+(1-G585))*K585+Inputs!$E$23*M585)*(1+O585)+Inputs!$E$5*(Q585+S585)</f>
        <v>5968.51984381267</v>
      </c>
    </row>
    <row r="586" customFormat="false" ht="15" hidden="false" customHeight="false" outlineLevel="0" collapsed="false">
      <c r="A586" s="1" t="n">
        <v>582</v>
      </c>
      <c r="B586" s="81" t="n">
        <f aca="true">RAND()</f>
        <v>0.536813492514813</v>
      </c>
      <c r="C586" s="82" t="n">
        <f aca="false">ROUND(IF(B586&lt;(Inputs!$E$8-Inputs!$D$8)/(Inputs!$F$8-Inputs!$D$8),Inputs!$D$8+SQRT(B586*(Inputs!$F$8-Inputs!$D$8)*(Inputs!$E$8-Inputs!$D$8)),Inputs!$F$8-SQRT((1-B586)*(Inputs!$F$8-Inputs!$D$8)*(Inputs!$F$8-Inputs!$E$8))),0)</f>
        <v>25</v>
      </c>
      <c r="D586" s="81" t="n">
        <f aca="true">RAND()</f>
        <v>0.457693444957395</v>
      </c>
      <c r="E586" s="83" t="n">
        <f aca="false">IF(D586&lt;(Inputs!$E$10-Inputs!$D$10)/(Inputs!$F$10-Inputs!$D$10),Inputs!$D$10+SQRT(D586*(Inputs!$F$10-Inputs!$D$10)*(Inputs!$E$10-Inputs!$D$10)),Inputs!$F$10-SQRT((1-D586)*(Inputs!$F$10-Inputs!$D$10)*(Inputs!$F$10-Inputs!$E$10)))</f>
        <v>0.0724492389231717</v>
      </c>
      <c r="F586" s="81" t="n">
        <f aca="true">RAND()</f>
        <v>0.66414075255128</v>
      </c>
      <c r="G586" s="83" t="n">
        <f aca="false">IF(F586&lt;(Inputs!$E$15-Inputs!$D$15)/(Inputs!$F$15-Inputs!$D$15),Inputs!$D$15+SQRT(F586*(Inputs!$F$15-Inputs!$D$15)*(Inputs!$E$15-Inputs!$D$15)),Inputs!$F$15-SQRT((1-F586)*(Inputs!$F$15-Inputs!$D$15)*(Inputs!$F$15-Inputs!$E$15)))</f>
        <v>0.718041565723994</v>
      </c>
      <c r="H586" s="81" t="n">
        <f aca="true">RAND()</f>
        <v>0.403637377757387</v>
      </c>
      <c r="I586" s="82" t="n">
        <f aca="false">ROUND(IF(H586&lt;(Inputs!$E$17-Inputs!$D$17)/(Inputs!$F$17-Inputs!$D$17),Inputs!$D$17+SQRT(H586*(Inputs!$F$17-Inputs!$D$17)*(Inputs!$E$17-Inputs!$D$17)),Inputs!$F$17-SQRT((1-H586)*(Inputs!$F$17-Inputs!$D$17)*(Inputs!$F$17-Inputs!$E$17))),0)</f>
        <v>106</v>
      </c>
      <c r="J586" s="81" t="n">
        <f aca="true">RAND()</f>
        <v>0.549513634435685</v>
      </c>
      <c r="K586" s="83" t="n">
        <f aca="false">IF(J586&lt;(Inputs!$E$18-Inputs!$D$18)/(Inputs!$F$18-Inputs!$D$18),Inputs!$D$18+SQRT(J586*(Inputs!$F$18-Inputs!$D$18)*(Inputs!$E$18-Inputs!$D$18)),Inputs!$F$18-SQRT((1-J586)*(Inputs!$F$18-Inputs!$D$18)*(Inputs!$F$18-Inputs!$E$18)))</f>
        <v>1.05146144710189</v>
      </c>
      <c r="L586" s="81" t="n">
        <f aca="true">RAND()</f>
        <v>0.816794086462722</v>
      </c>
      <c r="M586" s="83" t="n">
        <f aca="false">IF(L586&lt;(Inputs!$E$24-Inputs!$D$24)/(Inputs!$F$24-Inputs!$D$24),Inputs!$D$24+SQRT(L586*(Inputs!$F$24-Inputs!$D$24)*(Inputs!$E$24-Inputs!$D$24)),Inputs!$F$24-SQRT((1-L586)*(Inputs!$F$24-Inputs!$D$24)*(Inputs!$F$24-Inputs!$E$24)))</f>
        <v>0.990311137041219</v>
      </c>
      <c r="N586" s="81" t="n">
        <f aca="true">RAND()</f>
        <v>0.311640447285582</v>
      </c>
      <c r="O586" s="83" t="n">
        <f aca="false">IF(N586&lt;(Inputs!$E$26-Inputs!$D$26)/(Inputs!$F$26-Inputs!$D$26),Inputs!$D$26+SQRT(N586*(Inputs!$F$26-Inputs!$D$26)*(Inputs!$E$26-Inputs!$D$26)),Inputs!$F$26-SQRT((1-N586)*(Inputs!$F$26-Inputs!$D$26)*(Inputs!$F$26-Inputs!$E$26)))</f>
        <v>0.527721255987053</v>
      </c>
      <c r="P586" s="81" t="n">
        <f aca="true">RAND()</f>
        <v>0.309567310066091</v>
      </c>
      <c r="Q586" s="82" t="n">
        <f aca="false">IF(P586&lt;(Inputs!$E$27-Inputs!$D$27)/(Inputs!$F$27-Inputs!$D$27),Inputs!$D$27+SQRT(P586*(Inputs!$F$27-Inputs!$D$27)*(Inputs!$E$27-Inputs!$D$27)),Inputs!$F$27-SQRT((1-P586)*(Inputs!$F$27-Inputs!$D$27)*(Inputs!$F$27-Inputs!$E$27)))</f>
        <v>78.0399751632594</v>
      </c>
      <c r="R586" s="81" t="n">
        <f aca="true">RAND()</f>
        <v>0.538156436728443</v>
      </c>
      <c r="S586" s="82" t="n">
        <f aca="false">IF(R586&lt;(Inputs!$E$29-Inputs!$D$29)/(Inputs!$F$29-Inputs!$D$29),Inputs!$D$29+SQRT(R586*(Inputs!$F$29-Inputs!$D$29)*(Inputs!$E$29-Inputs!$D$29)),Inputs!$F$29-SQRT((1-R586)*(Inputs!$F$29-Inputs!$D$29)*(Inputs!$F$29-Inputs!$E$29)))</f>
        <v>7.2514734803769</v>
      </c>
      <c r="T586" s="68" t="n">
        <f aca="false">Inputs!$E$9*(1+E586)+Inputs!$E$5*C586*(Inputs!$E$11*Inputs!$E$14*(G586*I586/Inputs!$E$16+(1-G586))*K586+Inputs!$E$23*M586)*(1+O586)+Inputs!$E$5*(Q586+S586)</f>
        <v>6278.70137436922</v>
      </c>
    </row>
    <row r="587" customFormat="false" ht="15" hidden="false" customHeight="false" outlineLevel="0" collapsed="false">
      <c r="A587" s="1" t="n">
        <v>583</v>
      </c>
      <c r="B587" s="81" t="n">
        <f aca="true">RAND()</f>
        <v>0.2295660632575</v>
      </c>
      <c r="C587" s="82" t="n">
        <f aca="false">ROUND(IF(B587&lt;(Inputs!$E$8-Inputs!$D$8)/(Inputs!$F$8-Inputs!$D$8),Inputs!$D$8+SQRT(B587*(Inputs!$F$8-Inputs!$D$8)*(Inputs!$E$8-Inputs!$D$8)),Inputs!$F$8-SQRT((1-B587)*(Inputs!$F$8-Inputs!$D$8)*(Inputs!$F$8-Inputs!$E$8))),0)</f>
        <v>23</v>
      </c>
      <c r="D587" s="81" t="n">
        <f aca="true">RAND()</f>
        <v>0.825906094098491</v>
      </c>
      <c r="E587" s="83" t="n">
        <f aca="false">IF(D587&lt;(Inputs!$E$10-Inputs!$D$10)/(Inputs!$F$10-Inputs!$D$10),Inputs!$D$10+SQRT(D587*(Inputs!$F$10-Inputs!$D$10)*(Inputs!$E$10-Inputs!$D$10)),Inputs!$F$10-SQRT((1-D587)*(Inputs!$F$10-Inputs!$D$10)*(Inputs!$F$10-Inputs!$E$10)))</f>
        <v>0.127730939005372</v>
      </c>
      <c r="F587" s="81" t="n">
        <f aca="true">RAND()</f>
        <v>0.481021318492328</v>
      </c>
      <c r="G587" s="83" t="n">
        <f aca="false">IF(F587&lt;(Inputs!$E$15-Inputs!$D$15)/(Inputs!$F$15-Inputs!$D$15),Inputs!$D$15+SQRT(F587*(Inputs!$F$15-Inputs!$D$15)*(Inputs!$E$15-Inputs!$D$15)),Inputs!$F$15-SQRT((1-F587)*(Inputs!$F$15-Inputs!$D$15)*(Inputs!$F$15-Inputs!$E$15)))</f>
        <v>0.69808377220441</v>
      </c>
      <c r="H587" s="81" t="n">
        <f aca="true">RAND()</f>
        <v>0.488767210630153</v>
      </c>
      <c r="I587" s="82" t="n">
        <f aca="false">ROUND(IF(H587&lt;(Inputs!$E$17-Inputs!$D$17)/(Inputs!$F$17-Inputs!$D$17),Inputs!$D$17+SQRT(H587*(Inputs!$F$17-Inputs!$D$17)*(Inputs!$E$17-Inputs!$D$17)),Inputs!$F$17-SQRT((1-H587)*(Inputs!$F$17-Inputs!$D$17)*(Inputs!$F$17-Inputs!$E$17))),0)</f>
        <v>106</v>
      </c>
      <c r="J587" s="81" t="n">
        <f aca="true">RAND()</f>
        <v>0.140227816220123</v>
      </c>
      <c r="K587" s="83" t="n">
        <f aca="false">IF(J587&lt;(Inputs!$E$18-Inputs!$D$18)/(Inputs!$F$18-Inputs!$D$18),Inputs!$D$18+SQRT(J587*(Inputs!$F$18-Inputs!$D$18)*(Inputs!$E$18-Inputs!$D$18)),Inputs!$F$18-SQRT((1-J587)*(Inputs!$F$18-Inputs!$D$18)*(Inputs!$F$18-Inputs!$E$18)))</f>
        <v>0.970056930904118</v>
      </c>
      <c r="L587" s="81" t="n">
        <f aca="true">RAND()</f>
        <v>0.90837971427887</v>
      </c>
      <c r="M587" s="83" t="n">
        <f aca="false">IF(L587&lt;(Inputs!$E$24-Inputs!$D$24)/(Inputs!$F$24-Inputs!$D$24),Inputs!$D$24+SQRT(L587*(Inputs!$F$24-Inputs!$D$24)*(Inputs!$E$24-Inputs!$D$24)),Inputs!$F$24-SQRT((1-L587)*(Inputs!$F$24-Inputs!$D$24)*(Inputs!$F$24-Inputs!$E$24)))</f>
        <v>1.05171355903836</v>
      </c>
      <c r="N587" s="81" t="n">
        <f aca="true">RAND()</f>
        <v>0.308182393481851</v>
      </c>
      <c r="O587" s="83" t="n">
        <f aca="false">IF(N587&lt;(Inputs!$E$26-Inputs!$D$26)/(Inputs!$F$26-Inputs!$D$26),Inputs!$D$26+SQRT(N587*(Inputs!$F$26-Inputs!$D$26)*(Inputs!$E$26-Inputs!$D$26)),Inputs!$F$26-SQRT((1-N587)*(Inputs!$F$26-Inputs!$D$26)*(Inputs!$F$26-Inputs!$E$26)))</f>
        <v>0.526454300633439</v>
      </c>
      <c r="P587" s="81" t="n">
        <f aca="true">RAND()</f>
        <v>0.163763384487891</v>
      </c>
      <c r="Q587" s="82" t="n">
        <f aca="false">IF(P587&lt;(Inputs!$E$27-Inputs!$D$27)/(Inputs!$F$27-Inputs!$D$27),Inputs!$D$27+SQRT(P587*(Inputs!$F$27-Inputs!$D$27)*(Inputs!$E$27-Inputs!$D$27)),Inputs!$F$27-SQRT((1-P587)*(Inputs!$F$27-Inputs!$D$27)*(Inputs!$F$27-Inputs!$E$27)))</f>
        <v>70.2338444498253</v>
      </c>
      <c r="R587" s="81" t="n">
        <f aca="true">RAND()</f>
        <v>0.765377361922093</v>
      </c>
      <c r="S587" s="82" t="n">
        <f aca="false">IF(R587&lt;(Inputs!$E$29-Inputs!$D$29)/(Inputs!$F$29-Inputs!$D$29),Inputs!$D$29+SQRT(R587*(Inputs!$F$29-Inputs!$D$29)*(Inputs!$E$29-Inputs!$D$29)),Inputs!$F$29-SQRT((1-R587)*(Inputs!$F$29-Inputs!$D$29)*(Inputs!$F$29-Inputs!$E$29)))</f>
        <v>9.47723412137289</v>
      </c>
      <c r="T587" s="68" t="n">
        <f aca="false">Inputs!$E$9*(1+E587)+Inputs!$E$5*C587*(Inputs!$E$11*Inputs!$E$14*(G587*I587/Inputs!$E$16+(1-G587))*K587+Inputs!$E$23*M587)*(1+O587)+Inputs!$E$5*(Q587+S587)</f>
        <v>6036.92192526488</v>
      </c>
    </row>
    <row r="588" customFormat="false" ht="15" hidden="false" customHeight="false" outlineLevel="0" collapsed="false">
      <c r="A588" s="1" t="n">
        <v>584</v>
      </c>
      <c r="B588" s="81" t="n">
        <f aca="true">RAND()</f>
        <v>0.610194594535332</v>
      </c>
      <c r="C588" s="82" t="n">
        <f aca="false">ROUND(IF(B588&lt;(Inputs!$E$8-Inputs!$D$8)/(Inputs!$F$8-Inputs!$D$8),Inputs!$D$8+SQRT(B588*(Inputs!$F$8-Inputs!$D$8)*(Inputs!$E$8-Inputs!$D$8)),Inputs!$F$8-SQRT((1-B588)*(Inputs!$F$8-Inputs!$D$8)*(Inputs!$F$8-Inputs!$E$8))),0)</f>
        <v>26</v>
      </c>
      <c r="D588" s="81" t="n">
        <f aca="true">RAND()</f>
        <v>0.300334243933666</v>
      </c>
      <c r="E588" s="83" t="n">
        <f aca="false">IF(D588&lt;(Inputs!$E$10-Inputs!$D$10)/(Inputs!$F$10-Inputs!$D$10),Inputs!$D$10+SQRT(D588*(Inputs!$F$10-Inputs!$D$10)*(Inputs!$E$10-Inputs!$D$10)),Inputs!$F$10-SQRT((1-D588)*(Inputs!$F$10-Inputs!$D$10)*(Inputs!$F$10-Inputs!$E$10)))</f>
        <v>0.0551208342031539</v>
      </c>
      <c r="F588" s="81" t="n">
        <f aca="true">RAND()</f>
        <v>0.692799589808078</v>
      </c>
      <c r="G588" s="83" t="n">
        <f aca="false">IF(F588&lt;(Inputs!$E$15-Inputs!$D$15)/(Inputs!$F$15-Inputs!$D$15),Inputs!$D$15+SQRT(F588*(Inputs!$F$15-Inputs!$D$15)*(Inputs!$E$15-Inputs!$D$15)),Inputs!$F$15-SQRT((1-F588)*(Inputs!$F$15-Inputs!$D$15)*(Inputs!$F$15-Inputs!$E$15)))</f>
        <v>0.721616275899659</v>
      </c>
      <c r="H588" s="81" t="n">
        <f aca="true">RAND()</f>
        <v>0.474702864608336</v>
      </c>
      <c r="I588" s="82" t="n">
        <f aca="false">ROUND(IF(H588&lt;(Inputs!$E$17-Inputs!$D$17)/(Inputs!$F$17-Inputs!$D$17),Inputs!$D$17+SQRT(H588*(Inputs!$F$17-Inputs!$D$17)*(Inputs!$E$17-Inputs!$D$17)),Inputs!$F$17-SQRT((1-H588)*(Inputs!$F$17-Inputs!$D$17)*(Inputs!$F$17-Inputs!$E$17))),0)</f>
        <v>106</v>
      </c>
      <c r="J588" s="81" t="n">
        <f aca="true">RAND()</f>
        <v>0.29681954610406</v>
      </c>
      <c r="K588" s="83" t="n">
        <f aca="false">IF(J588&lt;(Inputs!$E$18-Inputs!$D$18)/(Inputs!$F$18-Inputs!$D$18),Inputs!$D$18+SQRT(J588*(Inputs!$F$18-Inputs!$D$18)*(Inputs!$E$18-Inputs!$D$18)),Inputs!$F$18-SQRT((1-J588)*(Inputs!$F$18-Inputs!$D$18)*(Inputs!$F$18-Inputs!$E$18)))</f>
        <v>1.00195103363268</v>
      </c>
      <c r="L588" s="81" t="n">
        <f aca="true">RAND()</f>
        <v>0.464716398236431</v>
      </c>
      <c r="M588" s="83" t="n">
        <f aca="false">IF(L588&lt;(Inputs!$E$24-Inputs!$D$24)/(Inputs!$F$24-Inputs!$D$24),Inputs!$D$24+SQRT(L588*(Inputs!$F$24-Inputs!$D$24)*(Inputs!$E$24-Inputs!$D$24)),Inputs!$F$24-SQRT((1-L588)*(Inputs!$F$24-Inputs!$D$24)*(Inputs!$F$24-Inputs!$E$24)))</f>
        <v>0.841575580598564</v>
      </c>
      <c r="N588" s="81" t="n">
        <f aca="true">RAND()</f>
        <v>0.508832710237326</v>
      </c>
      <c r="O588" s="83" t="n">
        <f aca="false">IF(N588&lt;(Inputs!$E$26-Inputs!$D$26)/(Inputs!$F$26-Inputs!$D$26),Inputs!$D$26+SQRT(N588*(Inputs!$F$26-Inputs!$D$26)*(Inputs!$E$26-Inputs!$D$26)),Inputs!$F$26-SQRT((1-N588)*(Inputs!$F$26-Inputs!$D$26)*(Inputs!$F$26-Inputs!$E$26)))</f>
        <v>0.590980691770934</v>
      </c>
      <c r="P588" s="81" t="n">
        <f aca="true">RAND()</f>
        <v>0.199783926359985</v>
      </c>
      <c r="Q588" s="82" t="n">
        <f aca="false">IF(P588&lt;(Inputs!$E$27-Inputs!$D$27)/(Inputs!$F$27-Inputs!$D$27),Inputs!$D$27+SQRT(P588*(Inputs!$F$27-Inputs!$D$27)*(Inputs!$E$27-Inputs!$D$27)),Inputs!$F$27-SQRT((1-P588)*(Inputs!$F$27-Inputs!$D$27)*(Inputs!$F$27-Inputs!$E$27)))</f>
        <v>72.3485976271435</v>
      </c>
      <c r="R588" s="81" t="n">
        <f aca="true">RAND()</f>
        <v>0.564926485210252</v>
      </c>
      <c r="S588" s="82" t="n">
        <f aca="false">IF(R588&lt;(Inputs!$E$29-Inputs!$D$29)/(Inputs!$F$29-Inputs!$D$29),Inputs!$D$29+SQRT(R588*(Inputs!$F$29-Inputs!$D$29)*(Inputs!$E$29-Inputs!$D$29)),Inputs!$F$29-SQRT((1-R588)*(Inputs!$F$29-Inputs!$D$29)*(Inputs!$F$29-Inputs!$E$29)))</f>
        <v>7.47939118670122</v>
      </c>
      <c r="T588" s="68" t="n">
        <f aca="false">Inputs!$E$9*(1+E588)+Inputs!$E$5*C588*(Inputs!$E$11*Inputs!$E$14*(G588*I588/Inputs!$E$16+(1-G588))*K588+Inputs!$E$23*M588)*(1+O588)+Inputs!$E$5*(Q588+S588)</f>
        <v>6169.81152812021</v>
      </c>
    </row>
    <row r="589" customFormat="false" ht="15" hidden="false" customHeight="false" outlineLevel="0" collapsed="false">
      <c r="A589" s="1" t="n">
        <v>585</v>
      </c>
      <c r="B589" s="81" t="n">
        <f aca="true">RAND()</f>
        <v>0.987527079222891</v>
      </c>
      <c r="C589" s="82" t="n">
        <f aca="false">ROUND(IF(B589&lt;(Inputs!$E$8-Inputs!$D$8)/(Inputs!$F$8-Inputs!$D$8),Inputs!$D$8+SQRT(B589*(Inputs!$F$8-Inputs!$D$8)*(Inputs!$E$8-Inputs!$D$8)),Inputs!$F$8-SQRT((1-B589)*(Inputs!$F$8-Inputs!$D$8)*(Inputs!$F$8-Inputs!$E$8))),0)</f>
        <v>29</v>
      </c>
      <c r="D589" s="81" t="n">
        <f aca="true">RAND()</f>
        <v>0.290101483162</v>
      </c>
      <c r="E589" s="83" t="n">
        <f aca="false">IF(D589&lt;(Inputs!$E$10-Inputs!$D$10)/(Inputs!$F$10-Inputs!$D$10),Inputs!$D$10+SQRT(D589*(Inputs!$F$10-Inputs!$D$10)*(Inputs!$E$10-Inputs!$D$10)),Inputs!$F$10-SQRT((1-D589)*(Inputs!$F$10-Inputs!$D$10)*(Inputs!$F$10-Inputs!$E$10)))</f>
        <v>0.0540652354469984</v>
      </c>
      <c r="F589" s="81" t="n">
        <f aca="true">RAND()</f>
        <v>0.452816117007236</v>
      </c>
      <c r="G589" s="83" t="n">
        <f aca="false">IF(F589&lt;(Inputs!$E$15-Inputs!$D$15)/(Inputs!$F$15-Inputs!$D$15),Inputs!$D$15+SQRT(F589*(Inputs!$F$15-Inputs!$D$15)*(Inputs!$E$15-Inputs!$D$15)),Inputs!$F$15-SQRT((1-F589)*(Inputs!$F$15-Inputs!$D$15)*(Inputs!$F$15-Inputs!$E$15)))</f>
        <v>0.695164711632751</v>
      </c>
      <c r="H589" s="81" t="n">
        <f aca="true">RAND()</f>
        <v>0.0139265102325929</v>
      </c>
      <c r="I589" s="82" t="n">
        <f aca="false">ROUND(IF(H589&lt;(Inputs!$E$17-Inputs!$D$17)/(Inputs!$F$17-Inputs!$D$17),Inputs!$D$17+SQRT(H589*(Inputs!$F$17-Inputs!$D$17)*(Inputs!$E$17-Inputs!$D$17)),Inputs!$F$17-SQRT((1-H589)*(Inputs!$F$17-Inputs!$D$17)*(Inputs!$F$17-Inputs!$E$17))),0)</f>
        <v>101</v>
      </c>
      <c r="J589" s="81" t="n">
        <f aca="true">RAND()</f>
        <v>0.707047470094526</v>
      </c>
      <c r="K589" s="83" t="n">
        <f aca="false">IF(J589&lt;(Inputs!$E$18-Inputs!$D$18)/(Inputs!$F$18-Inputs!$D$18),Inputs!$D$18+SQRT(J589*(Inputs!$F$18-Inputs!$D$18)*(Inputs!$E$18-Inputs!$D$18)),Inputs!$F$18-SQRT((1-J589)*(Inputs!$F$18-Inputs!$D$18)*(Inputs!$F$18-Inputs!$E$18)))</f>
        <v>1.08989582651683</v>
      </c>
      <c r="L589" s="81" t="n">
        <f aca="true">RAND()</f>
        <v>0.977071426303944</v>
      </c>
      <c r="M589" s="83" t="n">
        <f aca="false">IF(L589&lt;(Inputs!$E$24-Inputs!$D$24)/(Inputs!$F$24-Inputs!$D$24),Inputs!$D$24+SQRT(L589*(Inputs!$F$24-Inputs!$D$24)*(Inputs!$E$24-Inputs!$D$24)),Inputs!$F$24-SQRT((1-L589)*(Inputs!$F$24-Inputs!$D$24)*(Inputs!$F$24-Inputs!$E$24)))</f>
        <v>1.12581875110883</v>
      </c>
      <c r="N589" s="81" t="n">
        <f aca="true">RAND()</f>
        <v>0.645515482785658</v>
      </c>
      <c r="O589" s="83" t="n">
        <f aca="false">IF(N589&lt;(Inputs!$E$26-Inputs!$D$26)/(Inputs!$F$26-Inputs!$D$26),Inputs!$D$26+SQRT(N589*(Inputs!$F$26-Inputs!$D$26)*(Inputs!$E$26-Inputs!$D$26)),Inputs!$F$26-SQRT((1-N589)*(Inputs!$F$26-Inputs!$D$26)*(Inputs!$F$26-Inputs!$E$26)))</f>
        <v>0.627993776688641</v>
      </c>
      <c r="P589" s="81" t="n">
        <f aca="true">RAND()</f>
        <v>0.522315006376465</v>
      </c>
      <c r="Q589" s="82" t="n">
        <f aca="false">IF(P589&lt;(Inputs!$E$27-Inputs!$D$27)/(Inputs!$F$27-Inputs!$D$27),Inputs!$D$27+SQRT(P589*(Inputs!$F$27-Inputs!$D$27)*(Inputs!$E$27-Inputs!$D$27)),Inputs!$F$27-SQRT((1-P589)*(Inputs!$F$27-Inputs!$D$27)*(Inputs!$F$27-Inputs!$E$27)))</f>
        <v>90.1448627753932</v>
      </c>
      <c r="R589" s="81" t="n">
        <f aca="true">RAND()</f>
        <v>0.124254285660773</v>
      </c>
      <c r="S589" s="82" t="n">
        <f aca="false">IF(R589&lt;(Inputs!$E$29-Inputs!$D$29)/(Inputs!$F$29-Inputs!$D$29),Inputs!$D$29+SQRT(R589*(Inputs!$F$29-Inputs!$D$29)*(Inputs!$E$29-Inputs!$D$29)),Inputs!$F$29-SQRT((1-R589)*(Inputs!$F$29-Inputs!$D$29)*(Inputs!$F$29-Inputs!$E$29)))</f>
        <v>4.20134439394887</v>
      </c>
      <c r="T589" s="68" t="n">
        <f aca="false">Inputs!$E$9*(1+E589)+Inputs!$E$5*C589*(Inputs!$E$11*Inputs!$E$14*(G589*I589/Inputs!$E$16+(1-G589))*K589+Inputs!$E$23*M589)*(1+O589)+Inputs!$E$5*(Q589+S589)</f>
        <v>7397.55965924525</v>
      </c>
    </row>
    <row r="590" customFormat="false" ht="15" hidden="false" customHeight="false" outlineLevel="0" collapsed="false">
      <c r="A590" s="1" t="n">
        <v>586</v>
      </c>
      <c r="B590" s="81" t="n">
        <f aca="true">RAND()</f>
        <v>0.745336000007913</v>
      </c>
      <c r="C590" s="82" t="n">
        <f aca="false">ROUND(IF(B590&lt;(Inputs!$E$8-Inputs!$D$8)/(Inputs!$F$8-Inputs!$D$8),Inputs!$D$8+SQRT(B590*(Inputs!$F$8-Inputs!$D$8)*(Inputs!$E$8-Inputs!$D$8)),Inputs!$F$8-SQRT((1-B590)*(Inputs!$F$8-Inputs!$D$8)*(Inputs!$F$8-Inputs!$E$8))),0)</f>
        <v>26</v>
      </c>
      <c r="D590" s="81" t="n">
        <f aca="true">RAND()</f>
        <v>0.979466931687179</v>
      </c>
      <c r="E590" s="83" t="n">
        <f aca="false">IF(D590&lt;(Inputs!$E$10-Inputs!$D$10)/(Inputs!$F$10-Inputs!$D$10),Inputs!$D$10+SQRT(D590*(Inputs!$F$10-Inputs!$D$10)*(Inputs!$E$10-Inputs!$D$10)),Inputs!$F$10-SQRT((1-D590)*(Inputs!$F$10-Inputs!$D$10)*(Inputs!$F$10-Inputs!$E$10)))</f>
        <v>0.175180812878246</v>
      </c>
      <c r="F590" s="81" t="n">
        <f aca="true">RAND()</f>
        <v>0.164044087251234</v>
      </c>
      <c r="G590" s="83" t="n">
        <f aca="false">IF(F590&lt;(Inputs!$E$15-Inputs!$D$15)/(Inputs!$F$15-Inputs!$D$15),Inputs!$D$15+SQRT(F590*(Inputs!$F$15-Inputs!$D$15)*(Inputs!$E$15-Inputs!$D$15)),Inputs!$F$15-SQRT((1-F590)*(Inputs!$F$15-Inputs!$D$15)*(Inputs!$F$15-Inputs!$E$15)))</f>
        <v>0.657278981703804</v>
      </c>
      <c r="H590" s="81" t="n">
        <f aca="true">RAND()</f>
        <v>0.58060601077724</v>
      </c>
      <c r="I590" s="82" t="n">
        <f aca="false">ROUND(IF(H590&lt;(Inputs!$E$17-Inputs!$D$17)/(Inputs!$F$17-Inputs!$D$17),Inputs!$D$17+SQRT(H590*(Inputs!$F$17-Inputs!$D$17)*(Inputs!$E$17-Inputs!$D$17)),Inputs!$F$17-SQRT((1-H590)*(Inputs!$F$17-Inputs!$D$17)*(Inputs!$F$17-Inputs!$E$17))),0)</f>
        <v>107</v>
      </c>
      <c r="J590" s="81" t="n">
        <f aca="true">RAND()</f>
        <v>0.145633389045847</v>
      </c>
      <c r="K590" s="83" t="n">
        <f aca="false">IF(J590&lt;(Inputs!$E$18-Inputs!$D$18)/(Inputs!$F$18-Inputs!$D$18),Inputs!$D$18+SQRT(J590*(Inputs!$F$18-Inputs!$D$18)*(Inputs!$E$18-Inputs!$D$18)),Inputs!$F$18-SQRT((1-J590)*(Inputs!$F$18-Inputs!$D$18)*(Inputs!$F$18-Inputs!$E$18)))</f>
        <v>0.971394457884381</v>
      </c>
      <c r="L590" s="81" t="n">
        <f aca="true">RAND()</f>
        <v>0.625849353548047</v>
      </c>
      <c r="M590" s="83" t="n">
        <f aca="false">IF(L590&lt;(Inputs!$E$24-Inputs!$D$24)/(Inputs!$F$24-Inputs!$D$24),Inputs!$D$24+SQRT(L590*(Inputs!$F$24-Inputs!$D$24)*(Inputs!$E$24-Inputs!$D$24)),Inputs!$F$24-SQRT((1-L590)*(Inputs!$F$24-Inputs!$D$24)*(Inputs!$F$24-Inputs!$E$24)))</f>
        <v>0.900339934011106</v>
      </c>
      <c r="N590" s="81" t="n">
        <f aca="true">RAND()</f>
        <v>0.048844004527946</v>
      </c>
      <c r="O590" s="83" t="n">
        <f aca="false">IF(N590&lt;(Inputs!$E$26-Inputs!$D$26)/(Inputs!$F$26-Inputs!$D$26),Inputs!$D$26+SQRT(N590*(Inputs!$F$26-Inputs!$D$26)*(Inputs!$E$26-Inputs!$D$26)),Inputs!$F$26-SQRT((1-N590)*(Inputs!$F$26-Inputs!$D$26)*(Inputs!$F$26-Inputs!$E$26)))</f>
        <v>0.390153437834895</v>
      </c>
      <c r="P590" s="81" t="n">
        <f aca="true">RAND()</f>
        <v>0.897905220344929</v>
      </c>
      <c r="Q590" s="82" t="n">
        <f aca="false">IF(P590&lt;(Inputs!$E$27-Inputs!$D$27)/(Inputs!$F$27-Inputs!$D$27),Inputs!$D$27+SQRT(P590*(Inputs!$F$27-Inputs!$D$27)*(Inputs!$E$27-Inputs!$D$27)),Inputs!$F$27-SQRT((1-P590)*(Inputs!$F$27-Inputs!$D$27)*(Inputs!$F$27-Inputs!$E$27)))</f>
        <v>122.328519240687</v>
      </c>
      <c r="R590" s="81" t="n">
        <f aca="true">RAND()</f>
        <v>0.516306726645361</v>
      </c>
      <c r="S590" s="82" t="n">
        <f aca="false">IF(R590&lt;(Inputs!$E$29-Inputs!$D$29)/(Inputs!$F$29-Inputs!$D$29),Inputs!$D$29+SQRT(R590*(Inputs!$F$29-Inputs!$D$29)*(Inputs!$E$29-Inputs!$D$29)),Inputs!$F$29-SQRT((1-R590)*(Inputs!$F$29-Inputs!$D$29)*(Inputs!$F$29-Inputs!$E$29)))</f>
        <v>7.07030104379094</v>
      </c>
      <c r="T590" s="68" t="n">
        <f aca="false">Inputs!$E$9*(1+E590)+Inputs!$E$5*C590*(Inputs!$E$11*Inputs!$E$14*(G590*I590/Inputs!$E$16+(1-G590))*K590+Inputs!$E$23*M590)*(1+O590)+Inputs!$E$5*(Q590+S590)</f>
        <v>6347.15473040016</v>
      </c>
    </row>
    <row r="591" customFormat="false" ht="15" hidden="false" customHeight="false" outlineLevel="0" collapsed="false">
      <c r="A591" s="1" t="n">
        <v>587</v>
      </c>
      <c r="B591" s="81" t="n">
        <f aca="true">RAND()</f>
        <v>0.878626451819698</v>
      </c>
      <c r="C591" s="82" t="n">
        <f aca="false">ROUND(IF(B591&lt;(Inputs!$E$8-Inputs!$D$8)/(Inputs!$F$8-Inputs!$D$8),Inputs!$D$8+SQRT(B591*(Inputs!$F$8-Inputs!$D$8)*(Inputs!$E$8-Inputs!$D$8)),Inputs!$F$8-SQRT((1-B591)*(Inputs!$F$8-Inputs!$D$8)*(Inputs!$F$8-Inputs!$E$8))),0)</f>
        <v>28</v>
      </c>
      <c r="D591" s="81" t="n">
        <f aca="true">RAND()</f>
        <v>0.779580350933785</v>
      </c>
      <c r="E591" s="83" t="n">
        <f aca="false">IF(D591&lt;(Inputs!$E$10-Inputs!$D$10)/(Inputs!$F$10-Inputs!$D$10),Inputs!$D$10+SQRT(D591*(Inputs!$F$10-Inputs!$D$10)*(Inputs!$E$10-Inputs!$D$10)),Inputs!$F$10-SQRT((1-D591)*(Inputs!$F$10-Inputs!$D$10)*(Inputs!$F$10-Inputs!$E$10)))</f>
        <v>0.118682170024118</v>
      </c>
      <c r="F591" s="81" t="n">
        <f aca="true">RAND()</f>
        <v>0.181068691902863</v>
      </c>
      <c r="G591" s="83" t="n">
        <f aca="false">IF(F591&lt;(Inputs!$E$15-Inputs!$D$15)/(Inputs!$F$15-Inputs!$D$15),Inputs!$D$15+SQRT(F591*(Inputs!$F$15-Inputs!$D$15)*(Inputs!$E$15-Inputs!$D$15)),Inputs!$F$15-SQRT((1-F591)*(Inputs!$F$15-Inputs!$D$15)*(Inputs!$F$15-Inputs!$E$15)))</f>
        <v>0.660177851723514</v>
      </c>
      <c r="H591" s="81" t="n">
        <f aca="true">RAND()</f>
        <v>0.0538959570757467</v>
      </c>
      <c r="I591" s="82" t="n">
        <f aca="false">ROUND(IF(H591&lt;(Inputs!$E$17-Inputs!$D$17)/(Inputs!$F$17-Inputs!$D$17),Inputs!$D$17+SQRT(H591*(Inputs!$F$17-Inputs!$D$17)*(Inputs!$E$17-Inputs!$D$17)),Inputs!$F$17-SQRT((1-H591)*(Inputs!$F$17-Inputs!$D$17)*(Inputs!$F$17-Inputs!$E$17))),0)</f>
        <v>102</v>
      </c>
      <c r="J591" s="81" t="n">
        <f aca="true">RAND()</f>
        <v>0.970753084379559</v>
      </c>
      <c r="K591" s="83" t="n">
        <f aca="false">IF(J591&lt;(Inputs!$E$18-Inputs!$D$18)/(Inputs!$F$18-Inputs!$D$18),Inputs!$D$18+SQRT(J591*(Inputs!$F$18-Inputs!$D$18)*(Inputs!$E$18-Inputs!$D$18)),Inputs!$F$18-SQRT((1-J591)*(Inputs!$F$18-Inputs!$D$18)*(Inputs!$F$18-Inputs!$E$18)))</f>
        <v>1.19941240155148</v>
      </c>
      <c r="L591" s="81" t="n">
        <f aca="true">RAND()</f>
        <v>0.778810733090313</v>
      </c>
      <c r="M591" s="83" t="n">
        <f aca="false">IF(L591&lt;(Inputs!$E$24-Inputs!$D$24)/(Inputs!$F$24-Inputs!$D$24),Inputs!$D$24+SQRT(L591*(Inputs!$F$24-Inputs!$D$24)*(Inputs!$E$24-Inputs!$D$24)),Inputs!$F$24-SQRT((1-L591)*(Inputs!$F$24-Inputs!$D$24)*(Inputs!$F$24-Inputs!$E$24)))</f>
        <v>0.969597256834202</v>
      </c>
      <c r="N591" s="81" t="n">
        <f aca="true">RAND()</f>
        <v>0.741220013478174</v>
      </c>
      <c r="O591" s="83" t="n">
        <f aca="false">IF(N591&lt;(Inputs!$E$26-Inputs!$D$26)/(Inputs!$F$26-Inputs!$D$26),Inputs!$D$26+SQRT(N591*(Inputs!$F$26-Inputs!$D$26)*(Inputs!$E$26-Inputs!$D$26)),Inputs!$F$26-SQRT((1-N591)*(Inputs!$F$26-Inputs!$D$26)*(Inputs!$F$26-Inputs!$E$26)))</f>
        <v>0.655947817453501</v>
      </c>
      <c r="P591" s="81" t="n">
        <f aca="true">RAND()</f>
        <v>0.643086184947186</v>
      </c>
      <c r="Q591" s="82" t="n">
        <f aca="false">IF(P591&lt;(Inputs!$E$27-Inputs!$D$27)/(Inputs!$F$27-Inputs!$D$27),Inputs!$D$27+SQRT(P591*(Inputs!$F$27-Inputs!$D$27)*(Inputs!$E$27-Inputs!$D$27)),Inputs!$F$27-SQRT((1-P591)*(Inputs!$F$27-Inputs!$D$27)*(Inputs!$F$27-Inputs!$E$27)))</f>
        <v>98.2616813870406</v>
      </c>
      <c r="R591" s="81" t="n">
        <f aca="true">RAND()</f>
        <v>0.167139748695328</v>
      </c>
      <c r="S591" s="82" t="n">
        <f aca="false">IF(R591&lt;(Inputs!$E$29-Inputs!$D$29)/(Inputs!$F$29-Inputs!$D$29),Inputs!$D$29+SQRT(R591*(Inputs!$F$29-Inputs!$D$29)*(Inputs!$E$29-Inputs!$D$29)),Inputs!$F$29-SQRT((1-R591)*(Inputs!$F$29-Inputs!$D$29)*(Inputs!$F$29-Inputs!$E$29)))</f>
        <v>4.55312557449057</v>
      </c>
      <c r="T591" s="68" t="n">
        <f aca="false">Inputs!$E$9*(1+E591)+Inputs!$E$5*C591*(Inputs!$E$11*Inputs!$E$14*(G591*I591/Inputs!$E$16+(1-G591))*K591+Inputs!$E$23*M591)*(1+O591)+Inputs!$E$5*(Q591+S591)</f>
        <v>7592.28509948033</v>
      </c>
    </row>
    <row r="592" customFormat="false" ht="15" hidden="false" customHeight="false" outlineLevel="0" collapsed="false">
      <c r="A592" s="1" t="n">
        <v>588</v>
      </c>
      <c r="B592" s="81" t="n">
        <f aca="true">RAND()</f>
        <v>0.55810194374574</v>
      </c>
      <c r="C592" s="82" t="n">
        <f aca="false">ROUND(IF(B592&lt;(Inputs!$E$8-Inputs!$D$8)/(Inputs!$F$8-Inputs!$D$8),Inputs!$D$8+SQRT(B592*(Inputs!$F$8-Inputs!$D$8)*(Inputs!$E$8-Inputs!$D$8)),Inputs!$F$8-SQRT((1-B592)*(Inputs!$F$8-Inputs!$D$8)*(Inputs!$F$8-Inputs!$E$8))),0)</f>
        <v>25</v>
      </c>
      <c r="D592" s="81" t="n">
        <f aca="true">RAND()</f>
        <v>0.851284478465134</v>
      </c>
      <c r="E592" s="83" t="n">
        <f aca="false">IF(D592&lt;(Inputs!$E$10-Inputs!$D$10)/(Inputs!$F$10-Inputs!$D$10),Inputs!$D$10+SQRT(D592*(Inputs!$F$10-Inputs!$D$10)*(Inputs!$E$10-Inputs!$D$10)),Inputs!$F$10-SQRT((1-D592)*(Inputs!$F$10-Inputs!$D$10)*(Inputs!$F$10-Inputs!$E$10)))</f>
        <v>0.133205796314006</v>
      </c>
      <c r="F592" s="81" t="n">
        <f aca="true">RAND()</f>
        <v>0.759494335539091</v>
      </c>
      <c r="G592" s="83" t="n">
        <f aca="false">IF(F592&lt;(Inputs!$E$15-Inputs!$D$15)/(Inputs!$F$15-Inputs!$D$15),Inputs!$D$15+SQRT(F592*(Inputs!$F$15-Inputs!$D$15)*(Inputs!$E$15-Inputs!$D$15)),Inputs!$F$15-SQRT((1-F592)*(Inputs!$F$15-Inputs!$D$15)*(Inputs!$F$15-Inputs!$E$15)))</f>
        <v>0.730645019723035</v>
      </c>
      <c r="H592" s="81" t="n">
        <f aca="true">RAND()</f>
        <v>0.211467444943679</v>
      </c>
      <c r="I592" s="82" t="n">
        <f aca="false">ROUND(IF(H592&lt;(Inputs!$E$17-Inputs!$D$17)/(Inputs!$F$17-Inputs!$D$17),Inputs!$D$17+SQRT(H592*(Inputs!$F$17-Inputs!$D$17)*(Inputs!$E$17-Inputs!$D$17)),Inputs!$F$17-SQRT((1-H592)*(Inputs!$F$17-Inputs!$D$17)*(Inputs!$F$17-Inputs!$E$17))),0)</f>
        <v>104</v>
      </c>
      <c r="J592" s="81" t="n">
        <f aca="true">RAND()</f>
        <v>0.855200858553966</v>
      </c>
      <c r="K592" s="83" t="n">
        <f aca="false">IF(J592&lt;(Inputs!$E$18-Inputs!$D$18)/(Inputs!$F$18-Inputs!$D$18),Inputs!$D$18+SQRT(J592*(Inputs!$F$18-Inputs!$D$18)*(Inputs!$E$18-Inputs!$D$18)),Inputs!$F$18-SQRT((1-J592)*(Inputs!$F$18-Inputs!$D$18)*(Inputs!$F$18-Inputs!$E$18)))</f>
        <v>1.13743923917933</v>
      </c>
      <c r="L592" s="81" t="n">
        <f aca="true">RAND()</f>
        <v>0.197952320420354</v>
      </c>
      <c r="M592" s="83" t="n">
        <f aca="false">IF(L592&lt;(Inputs!$E$24-Inputs!$D$24)/(Inputs!$F$24-Inputs!$D$24),Inputs!$D$24+SQRT(L592*(Inputs!$F$24-Inputs!$D$24)*(Inputs!$E$24-Inputs!$D$24)),Inputs!$F$24-SQRT((1-L592)*(Inputs!$F$24-Inputs!$D$24)*(Inputs!$F$24-Inputs!$E$24)))</f>
        <v>0.754124230575346</v>
      </c>
      <c r="N592" s="81" t="n">
        <f aca="true">RAND()</f>
        <v>0.667076488158024</v>
      </c>
      <c r="O592" s="83" t="n">
        <f aca="false">IF(N592&lt;(Inputs!$E$26-Inputs!$D$26)/(Inputs!$F$26-Inputs!$D$26),Inputs!$D$26+SQRT(N592*(Inputs!$F$26-Inputs!$D$26)*(Inputs!$E$26-Inputs!$D$26)),Inputs!$F$26-SQRT((1-N592)*(Inputs!$F$26-Inputs!$D$26)*(Inputs!$F$26-Inputs!$E$26)))</f>
        <v>0.633924624865176</v>
      </c>
      <c r="P592" s="81" t="n">
        <f aca="true">RAND()</f>
        <v>0.320343628088296</v>
      </c>
      <c r="Q592" s="82" t="n">
        <f aca="false">IF(P592&lt;(Inputs!$E$27-Inputs!$D$27)/(Inputs!$F$27-Inputs!$D$27),Inputs!$D$27+SQRT(P592*(Inputs!$F$27-Inputs!$D$27)*(Inputs!$E$27-Inputs!$D$27)),Inputs!$F$27-SQRT((1-P592)*(Inputs!$F$27-Inputs!$D$27)*(Inputs!$F$27-Inputs!$E$27)))</f>
        <v>78.6037620785396</v>
      </c>
      <c r="R592" s="81" t="n">
        <f aca="true">RAND()</f>
        <v>0.810886999414906</v>
      </c>
      <c r="S592" s="82" t="n">
        <f aca="false">IF(R592&lt;(Inputs!$E$29-Inputs!$D$29)/(Inputs!$F$29-Inputs!$D$29),Inputs!$D$29+SQRT(R592*(Inputs!$F$29-Inputs!$D$29)*(Inputs!$E$29-Inputs!$D$29)),Inputs!$F$29-SQRT((1-R592)*(Inputs!$F$29-Inputs!$D$29)*(Inputs!$F$29-Inputs!$E$29)))</f>
        <v>10.0417049224494</v>
      </c>
      <c r="T592" s="68" t="n">
        <f aca="false">Inputs!$E$9*(1+E592)+Inputs!$E$5*C592*(Inputs!$E$11*Inputs!$E$14*(G592*I592/Inputs!$E$16+(1-G592))*K592+Inputs!$E$23*M592)*(1+O592)+Inputs!$E$5*(Q592+S592)</f>
        <v>6468.00857097572</v>
      </c>
    </row>
    <row r="593" customFormat="false" ht="15" hidden="false" customHeight="false" outlineLevel="0" collapsed="false">
      <c r="A593" s="1" t="n">
        <v>589</v>
      </c>
      <c r="B593" s="81" t="n">
        <f aca="true">RAND()</f>
        <v>0.935351214031271</v>
      </c>
      <c r="C593" s="82" t="n">
        <f aca="false">ROUND(IF(B593&lt;(Inputs!$E$8-Inputs!$D$8)/(Inputs!$F$8-Inputs!$D$8),Inputs!$D$8+SQRT(B593*(Inputs!$F$8-Inputs!$D$8)*(Inputs!$E$8-Inputs!$D$8)),Inputs!$F$8-SQRT((1-B593)*(Inputs!$F$8-Inputs!$D$8)*(Inputs!$F$8-Inputs!$E$8))),0)</f>
        <v>28</v>
      </c>
      <c r="D593" s="81" t="n">
        <f aca="true">RAND()</f>
        <v>0.718700914319953</v>
      </c>
      <c r="E593" s="83" t="n">
        <f aca="false">IF(D593&lt;(Inputs!$E$10-Inputs!$D$10)/(Inputs!$F$10-Inputs!$D$10),Inputs!$D$10+SQRT(D593*(Inputs!$F$10-Inputs!$D$10)*(Inputs!$E$10-Inputs!$D$10)),Inputs!$F$10-SQRT((1-D593)*(Inputs!$F$10-Inputs!$D$10)*(Inputs!$F$10-Inputs!$E$10)))</f>
        <v>0.108136119337351</v>
      </c>
      <c r="F593" s="81" t="n">
        <f aca="true">RAND()</f>
        <v>0.192281759551472</v>
      </c>
      <c r="G593" s="83" t="n">
        <f aca="false">IF(F593&lt;(Inputs!$E$15-Inputs!$D$15)/(Inputs!$F$15-Inputs!$D$15),Inputs!$D$15+SQRT(F593*(Inputs!$F$15-Inputs!$D$15)*(Inputs!$E$15-Inputs!$D$15)),Inputs!$F$15-SQRT((1-F593)*(Inputs!$F$15-Inputs!$D$15)*(Inputs!$F$15-Inputs!$E$15)))</f>
        <v>0.662013185622329</v>
      </c>
      <c r="H593" s="81" t="n">
        <f aca="true">RAND()</f>
        <v>0.653033812666373</v>
      </c>
      <c r="I593" s="82" t="n">
        <f aca="false">ROUND(IF(H593&lt;(Inputs!$E$17-Inputs!$D$17)/(Inputs!$F$17-Inputs!$D$17),Inputs!$D$17+SQRT(H593*(Inputs!$F$17-Inputs!$D$17)*(Inputs!$E$17-Inputs!$D$17)),Inputs!$F$17-SQRT((1-H593)*(Inputs!$F$17-Inputs!$D$17)*(Inputs!$F$17-Inputs!$E$17))),0)</f>
        <v>108</v>
      </c>
      <c r="J593" s="81" t="n">
        <f aca="true">RAND()</f>
        <v>0.575192543913817</v>
      </c>
      <c r="K593" s="83" t="n">
        <f aca="false">IF(J593&lt;(Inputs!$E$18-Inputs!$D$18)/(Inputs!$F$18-Inputs!$D$18),Inputs!$D$18+SQRT(J593*(Inputs!$F$18-Inputs!$D$18)*(Inputs!$E$18-Inputs!$D$18)),Inputs!$F$18-SQRT((1-J593)*(Inputs!$F$18-Inputs!$D$18)*(Inputs!$F$18-Inputs!$E$18)))</f>
        <v>1.05720307988056</v>
      </c>
      <c r="L593" s="81" t="n">
        <f aca="true">RAND()</f>
        <v>0.761924235981964</v>
      </c>
      <c r="M593" s="83" t="n">
        <f aca="false">IF(L593&lt;(Inputs!$E$24-Inputs!$D$24)/(Inputs!$F$24-Inputs!$D$24),Inputs!$D$24+SQRT(L593*(Inputs!$F$24-Inputs!$D$24)*(Inputs!$E$24-Inputs!$D$24)),Inputs!$F$24-SQRT((1-L593)*(Inputs!$F$24-Inputs!$D$24)*(Inputs!$F$24-Inputs!$E$24)))</f>
        <v>0.960964054242194</v>
      </c>
      <c r="N593" s="81" t="n">
        <f aca="true">RAND()</f>
        <v>0.342471894588153</v>
      </c>
      <c r="O593" s="83" t="n">
        <f aca="false">IF(N593&lt;(Inputs!$E$26-Inputs!$D$26)/(Inputs!$F$26-Inputs!$D$26),Inputs!$D$26+SQRT(N593*(Inputs!$F$26-Inputs!$D$26)*(Inputs!$E$26-Inputs!$D$26)),Inputs!$F$26-SQRT((1-N593)*(Inputs!$F$26-Inputs!$D$26)*(Inputs!$F$26-Inputs!$E$26)))</f>
        <v>0.538720177738432</v>
      </c>
      <c r="P593" s="81" t="n">
        <f aca="true">RAND()</f>
        <v>0.0782024513567604</v>
      </c>
      <c r="Q593" s="82" t="n">
        <f aca="false">IF(P593&lt;(Inputs!$E$27-Inputs!$D$27)/(Inputs!$F$27-Inputs!$D$27),Inputs!$D$27+SQRT(P593*(Inputs!$F$27-Inputs!$D$27)*(Inputs!$E$27-Inputs!$D$27)),Inputs!$F$27-SQRT((1-P593)*(Inputs!$F$27-Inputs!$D$27)*(Inputs!$F$27-Inputs!$E$27)))</f>
        <v>63.9823506032391</v>
      </c>
      <c r="R593" s="81" t="n">
        <f aca="true">RAND()</f>
        <v>0.976765604045455</v>
      </c>
      <c r="S593" s="82" t="n">
        <f aca="false">IF(R593&lt;(Inputs!$E$29-Inputs!$D$29)/(Inputs!$F$29-Inputs!$D$29),Inputs!$D$29+SQRT(R593*(Inputs!$F$29-Inputs!$D$29)*(Inputs!$E$29-Inputs!$D$29)),Inputs!$F$29-SQRT((1-R593)*(Inputs!$F$29-Inputs!$D$29)*(Inputs!$F$29-Inputs!$E$29)))</f>
        <v>13.2620496341693</v>
      </c>
      <c r="T593" s="68" t="n">
        <f aca="false">Inputs!$E$9*(1+E593)+Inputs!$E$5*C593*(Inputs!$E$11*Inputs!$E$14*(G593*I593/Inputs!$E$16+(1-G593))*K593+Inputs!$E$23*M593)*(1+O593)+Inputs!$E$5*(Q593+S593)</f>
        <v>6841.44829217447</v>
      </c>
    </row>
    <row r="594" customFormat="false" ht="15" hidden="false" customHeight="false" outlineLevel="0" collapsed="false">
      <c r="A594" s="1" t="n">
        <v>590</v>
      </c>
      <c r="B594" s="81" t="n">
        <f aca="true">RAND()</f>
        <v>0.97240242091846</v>
      </c>
      <c r="C594" s="82" t="n">
        <f aca="false">ROUND(IF(B594&lt;(Inputs!$E$8-Inputs!$D$8)/(Inputs!$F$8-Inputs!$D$8),Inputs!$D$8+SQRT(B594*(Inputs!$F$8-Inputs!$D$8)*(Inputs!$E$8-Inputs!$D$8)),Inputs!$F$8-SQRT((1-B594)*(Inputs!$F$8-Inputs!$D$8)*(Inputs!$F$8-Inputs!$E$8))),0)</f>
        <v>29</v>
      </c>
      <c r="D594" s="81" t="n">
        <f aca="true">RAND()</f>
        <v>0.727378576409178</v>
      </c>
      <c r="E594" s="83" t="n">
        <f aca="false">IF(D594&lt;(Inputs!$E$10-Inputs!$D$10)/(Inputs!$F$10-Inputs!$D$10),Inputs!$D$10+SQRT(D594*(Inputs!$F$10-Inputs!$D$10)*(Inputs!$E$10-Inputs!$D$10)),Inputs!$F$10-SQRT((1-D594)*(Inputs!$F$10-Inputs!$D$10)*(Inputs!$F$10-Inputs!$E$10)))</f>
        <v>0.109564151423649</v>
      </c>
      <c r="F594" s="81" t="n">
        <f aca="true">RAND()</f>
        <v>0.690642030041025</v>
      </c>
      <c r="G594" s="83" t="n">
        <f aca="false">IF(F594&lt;(Inputs!$E$15-Inputs!$D$15)/(Inputs!$F$15-Inputs!$D$15),Inputs!$D$15+SQRT(F594*(Inputs!$F$15-Inputs!$D$15)*(Inputs!$E$15-Inputs!$D$15)),Inputs!$F$15-SQRT((1-F594)*(Inputs!$F$15-Inputs!$D$15)*(Inputs!$F$15-Inputs!$E$15)))</f>
        <v>0.721341501417968</v>
      </c>
      <c r="H594" s="81" t="n">
        <f aca="true">RAND()</f>
        <v>0.906149315424285</v>
      </c>
      <c r="I594" s="82" t="n">
        <f aca="false">ROUND(IF(H594&lt;(Inputs!$E$17-Inputs!$D$17)/(Inputs!$F$17-Inputs!$D$17),Inputs!$D$17+SQRT(H594*(Inputs!$F$17-Inputs!$D$17)*(Inputs!$E$17-Inputs!$D$17)),Inputs!$F$17-SQRT((1-H594)*(Inputs!$F$17-Inputs!$D$17)*(Inputs!$F$17-Inputs!$E$17))),0)</f>
        <v>111</v>
      </c>
      <c r="J594" s="81" t="n">
        <f aca="true">RAND()</f>
        <v>0.357158517126816</v>
      </c>
      <c r="K594" s="83" t="n">
        <f aca="false">IF(J594&lt;(Inputs!$E$18-Inputs!$D$18)/(Inputs!$F$18-Inputs!$D$18),Inputs!$D$18+SQRT(J594*(Inputs!$F$18-Inputs!$D$18)*(Inputs!$E$18-Inputs!$D$18)),Inputs!$F$18-SQRT((1-J594)*(Inputs!$F$18-Inputs!$D$18)*(Inputs!$F$18-Inputs!$E$18)))</f>
        <v>1.01283206424265</v>
      </c>
      <c r="L594" s="81" t="n">
        <f aca="true">RAND()</f>
        <v>0.237570247302589</v>
      </c>
      <c r="M594" s="83" t="n">
        <f aca="false">IF(L594&lt;(Inputs!$E$24-Inputs!$D$24)/(Inputs!$F$24-Inputs!$D$24),Inputs!$D$24+SQRT(L594*(Inputs!$F$24-Inputs!$D$24)*(Inputs!$E$24-Inputs!$D$24)),Inputs!$F$24-SQRT((1-L594)*(Inputs!$F$24-Inputs!$D$24)*(Inputs!$F$24-Inputs!$E$24)))</f>
        <v>0.768844394861987</v>
      </c>
      <c r="N594" s="81" t="n">
        <f aca="true">RAND()</f>
        <v>0.133825070653151</v>
      </c>
      <c r="O594" s="83" t="n">
        <f aca="false">IF(N594&lt;(Inputs!$E$26-Inputs!$D$26)/(Inputs!$F$26-Inputs!$D$26),Inputs!$D$26+SQRT(N594*(Inputs!$F$26-Inputs!$D$26)*(Inputs!$E$26-Inputs!$D$26)),Inputs!$F$26-SQRT((1-N594)*(Inputs!$F$26-Inputs!$D$26)*(Inputs!$F$26-Inputs!$E$26)))</f>
        <v>0.449226310537667</v>
      </c>
      <c r="P594" s="81" t="n">
        <f aca="true">RAND()</f>
        <v>0.817817305008513</v>
      </c>
      <c r="Q594" s="82" t="n">
        <f aca="false">IF(P594&lt;(Inputs!$E$27-Inputs!$D$27)/(Inputs!$F$27-Inputs!$D$27),Inputs!$D$27+SQRT(P594*(Inputs!$F$27-Inputs!$D$27)*(Inputs!$E$27-Inputs!$D$27)),Inputs!$F$27-SQRT((1-P594)*(Inputs!$F$27-Inputs!$D$27)*(Inputs!$F$27-Inputs!$E$27)))</f>
        <v>113.035554752761</v>
      </c>
      <c r="R594" s="81" t="n">
        <f aca="true">RAND()</f>
        <v>0.193701938317754</v>
      </c>
      <c r="S594" s="82" t="n">
        <f aca="false">IF(R594&lt;(Inputs!$E$29-Inputs!$D$29)/(Inputs!$F$29-Inputs!$D$29),Inputs!$D$29+SQRT(R594*(Inputs!$F$29-Inputs!$D$29)*(Inputs!$E$29-Inputs!$D$29)),Inputs!$F$29-SQRT((1-R594)*(Inputs!$F$29-Inputs!$D$29)*(Inputs!$F$29-Inputs!$E$29)))</f>
        <v>4.74852243840075</v>
      </c>
      <c r="T594" s="68" t="n">
        <f aca="false">Inputs!$E$9*(1+E594)+Inputs!$E$5*C594*(Inputs!$E$11*Inputs!$E$14*(G594*I594/Inputs!$E$16+(1-G594))*K594+Inputs!$E$23*M594)*(1+O594)+Inputs!$E$5*(Q594+S594)</f>
        <v>6514.26003152697</v>
      </c>
    </row>
    <row r="595" customFormat="false" ht="15" hidden="false" customHeight="false" outlineLevel="0" collapsed="false">
      <c r="A595" s="1" t="n">
        <v>591</v>
      </c>
      <c r="B595" s="81" t="n">
        <f aca="true">RAND()</f>
        <v>0.208583795995343</v>
      </c>
      <c r="C595" s="82" t="n">
        <f aca="false">ROUND(IF(B595&lt;(Inputs!$E$8-Inputs!$D$8)/(Inputs!$F$8-Inputs!$D$8),Inputs!$D$8+SQRT(B595*(Inputs!$F$8-Inputs!$D$8)*(Inputs!$E$8-Inputs!$D$8)),Inputs!$F$8-SQRT((1-B595)*(Inputs!$F$8-Inputs!$D$8)*(Inputs!$F$8-Inputs!$E$8))),0)</f>
        <v>23</v>
      </c>
      <c r="D595" s="81" t="n">
        <f aca="true">RAND()</f>
        <v>0.386785575461264</v>
      </c>
      <c r="E595" s="83" t="n">
        <f aca="false">IF(D595&lt;(Inputs!$E$10-Inputs!$D$10)/(Inputs!$F$10-Inputs!$D$10),Inputs!$D$10+SQRT(D595*(Inputs!$F$10-Inputs!$D$10)*(Inputs!$E$10-Inputs!$D$10)),Inputs!$F$10-SQRT((1-D595)*(Inputs!$F$10-Inputs!$D$10)*(Inputs!$F$10-Inputs!$E$10)))</f>
        <v>0.0643665500838304</v>
      </c>
      <c r="F595" s="81" t="n">
        <f aca="true">RAND()</f>
        <v>0.807375522373649</v>
      </c>
      <c r="G595" s="83" t="n">
        <f aca="false">IF(F595&lt;(Inputs!$E$15-Inputs!$D$15)/(Inputs!$F$15-Inputs!$D$15),Inputs!$D$15+SQRT(F595*(Inputs!$F$15-Inputs!$D$15)*(Inputs!$E$15-Inputs!$D$15)),Inputs!$F$15-SQRT((1-F595)*(Inputs!$F$15-Inputs!$D$15)*(Inputs!$F$15-Inputs!$E$15)))</f>
        <v>0.737931573626142</v>
      </c>
      <c r="H595" s="81" t="n">
        <f aca="true">RAND()</f>
        <v>0.598902125069371</v>
      </c>
      <c r="I595" s="82" t="n">
        <f aca="false">ROUND(IF(H595&lt;(Inputs!$E$17-Inputs!$D$17)/(Inputs!$F$17-Inputs!$D$17),Inputs!$D$17+SQRT(H595*(Inputs!$F$17-Inputs!$D$17)*(Inputs!$E$17-Inputs!$D$17)),Inputs!$F$17-SQRT((1-H595)*(Inputs!$F$17-Inputs!$D$17)*(Inputs!$F$17-Inputs!$E$17))),0)</f>
        <v>107</v>
      </c>
      <c r="J595" s="81" t="n">
        <f aca="true">RAND()</f>
        <v>0.992830069675969</v>
      </c>
      <c r="K595" s="83" t="n">
        <f aca="false">IF(J595&lt;(Inputs!$E$18-Inputs!$D$18)/(Inputs!$F$18-Inputs!$D$18),Inputs!$D$18+SQRT(J595*(Inputs!$F$18-Inputs!$D$18)*(Inputs!$E$18-Inputs!$D$18)),Inputs!$F$18-SQRT((1-J595)*(Inputs!$F$18-Inputs!$D$18)*(Inputs!$F$18-Inputs!$E$18)))</f>
        <v>1.22495266674169</v>
      </c>
      <c r="L595" s="81" t="n">
        <f aca="true">RAND()</f>
        <v>0.0340105984382817</v>
      </c>
      <c r="M595" s="83" t="n">
        <f aca="false">IF(L595&lt;(Inputs!$E$24-Inputs!$D$24)/(Inputs!$F$24-Inputs!$D$24),Inputs!$D$24+SQRT(L595*(Inputs!$F$24-Inputs!$D$24)*(Inputs!$E$24-Inputs!$D$24)),Inputs!$F$24-SQRT((1-L595)*(Inputs!$F$24-Inputs!$D$24)*(Inputs!$F$24-Inputs!$E$24)))</f>
        <v>0.663884832414227</v>
      </c>
      <c r="N595" s="81" t="n">
        <f aca="true">RAND()</f>
        <v>0.072801365327503</v>
      </c>
      <c r="O595" s="83" t="n">
        <f aca="false">IF(N595&lt;(Inputs!$E$26-Inputs!$D$26)/(Inputs!$F$26-Inputs!$D$26),Inputs!$D$26+SQRT(N595*(Inputs!$F$26-Inputs!$D$26)*(Inputs!$E$26-Inputs!$D$26)),Inputs!$F$26-SQRT((1-N595)*(Inputs!$F$26-Inputs!$D$26)*(Inputs!$F$26-Inputs!$E$26)))</f>
        <v>0.410064286626028</v>
      </c>
      <c r="P595" s="81" t="n">
        <f aca="true">RAND()</f>
        <v>0.950138476112972</v>
      </c>
      <c r="Q595" s="82" t="n">
        <f aca="false">IF(P595&lt;(Inputs!$E$27-Inputs!$D$27)/(Inputs!$F$27-Inputs!$D$27),Inputs!$D$27+SQRT(P595*(Inputs!$F$27-Inputs!$D$27)*(Inputs!$E$27-Inputs!$D$27)),Inputs!$F$27-SQRT((1-P595)*(Inputs!$F$27-Inputs!$D$27)*(Inputs!$F$27-Inputs!$E$27)))</f>
        <v>130.661917645415</v>
      </c>
      <c r="R595" s="81" t="n">
        <f aca="true">RAND()</f>
        <v>0.542787665484211</v>
      </c>
      <c r="S595" s="82" t="n">
        <f aca="false">IF(R595&lt;(Inputs!$E$29-Inputs!$D$29)/(Inputs!$F$29-Inputs!$D$29),Inputs!$D$29+SQRT(R595*(Inputs!$F$29-Inputs!$D$29)*(Inputs!$E$29-Inputs!$D$29)),Inputs!$F$29-SQRT((1-R595)*(Inputs!$F$29-Inputs!$D$29)*(Inputs!$F$29-Inputs!$E$29)))</f>
        <v>7.29042131585308</v>
      </c>
      <c r="T595" s="68" t="n">
        <f aca="false">Inputs!$E$9*(1+E595)+Inputs!$E$5*C595*(Inputs!$E$11*Inputs!$E$14*(G595*I595/Inputs!$E$16+(1-G595))*K595+Inputs!$E$23*M595)*(1+O595)+Inputs!$E$5*(Q595+S595)</f>
        <v>5906.55937673876</v>
      </c>
    </row>
    <row r="596" customFormat="false" ht="15" hidden="false" customHeight="false" outlineLevel="0" collapsed="false">
      <c r="A596" s="1" t="n">
        <v>592</v>
      </c>
      <c r="B596" s="81" t="n">
        <f aca="true">RAND()</f>
        <v>0.944747146825466</v>
      </c>
      <c r="C596" s="82" t="n">
        <f aca="false">ROUND(IF(B596&lt;(Inputs!$E$8-Inputs!$D$8)/(Inputs!$F$8-Inputs!$D$8),Inputs!$D$8+SQRT(B596*(Inputs!$F$8-Inputs!$D$8)*(Inputs!$E$8-Inputs!$D$8)),Inputs!$F$8-SQRT((1-B596)*(Inputs!$F$8-Inputs!$D$8)*(Inputs!$F$8-Inputs!$E$8))),0)</f>
        <v>28</v>
      </c>
      <c r="D596" s="81" t="n">
        <f aca="true">RAND()</f>
        <v>0.700050033824188</v>
      </c>
      <c r="E596" s="83" t="n">
        <f aca="false">IF(D596&lt;(Inputs!$E$10-Inputs!$D$10)/(Inputs!$F$10-Inputs!$D$10),Inputs!$D$10+SQRT(D596*(Inputs!$F$10-Inputs!$D$10)*(Inputs!$E$10-Inputs!$D$10)),Inputs!$F$10-SQRT((1-D596)*(Inputs!$F$10-Inputs!$D$10)*(Inputs!$F$10-Inputs!$E$10)))</f>
        <v>0.10513958156705</v>
      </c>
      <c r="F596" s="81" t="n">
        <f aca="true">RAND()</f>
        <v>0.527146729245635</v>
      </c>
      <c r="G596" s="83" t="n">
        <f aca="false">IF(F596&lt;(Inputs!$E$15-Inputs!$D$15)/(Inputs!$F$15-Inputs!$D$15),Inputs!$D$15+SQRT(F596*(Inputs!$F$15-Inputs!$D$15)*(Inputs!$E$15-Inputs!$D$15)),Inputs!$F$15-SQRT((1-F596)*(Inputs!$F$15-Inputs!$D$15)*(Inputs!$F$15-Inputs!$E$15)))</f>
        <v>0.702752555740075</v>
      </c>
      <c r="H596" s="81" t="n">
        <f aca="true">RAND()</f>
        <v>0.797330881665935</v>
      </c>
      <c r="I596" s="82" t="n">
        <f aca="false">ROUND(IF(H596&lt;(Inputs!$E$17-Inputs!$D$17)/(Inputs!$F$17-Inputs!$D$17),Inputs!$D$17+SQRT(H596*(Inputs!$F$17-Inputs!$D$17)*(Inputs!$E$17-Inputs!$D$17)),Inputs!$F$17-SQRT((1-H596)*(Inputs!$F$17-Inputs!$D$17)*(Inputs!$F$17-Inputs!$E$17))),0)</f>
        <v>109</v>
      </c>
      <c r="J596" s="81" t="n">
        <f aca="true">RAND()</f>
        <v>0.880401999098202</v>
      </c>
      <c r="K596" s="83" t="n">
        <f aca="false">IF(J596&lt;(Inputs!$E$18-Inputs!$D$18)/(Inputs!$F$18-Inputs!$D$18),Inputs!$D$18+SQRT(J596*(Inputs!$F$18-Inputs!$D$18)*(Inputs!$E$18-Inputs!$D$18)),Inputs!$F$18-SQRT((1-J596)*(Inputs!$F$18-Inputs!$D$18)*(Inputs!$F$18-Inputs!$E$18)))</f>
        <v>1.14770227236684</v>
      </c>
      <c r="L596" s="81" t="n">
        <f aca="true">RAND()</f>
        <v>0.971222819365596</v>
      </c>
      <c r="M596" s="83" t="n">
        <f aca="false">IF(L596&lt;(Inputs!$E$24-Inputs!$D$24)/(Inputs!$F$24-Inputs!$D$24),Inputs!$D$24+SQRT(L596*(Inputs!$F$24-Inputs!$D$24)*(Inputs!$E$24-Inputs!$D$24)),Inputs!$F$24-SQRT((1-L596)*(Inputs!$F$24-Inputs!$D$24)*(Inputs!$F$24-Inputs!$E$24)))</f>
        <v>1.11689450468076</v>
      </c>
      <c r="N596" s="81" t="n">
        <f aca="true">RAND()</f>
        <v>0.464234663953057</v>
      </c>
      <c r="O596" s="83" t="n">
        <f aca="false">IF(N596&lt;(Inputs!$E$26-Inputs!$D$26)/(Inputs!$F$26-Inputs!$D$26),Inputs!$D$26+SQRT(N596*(Inputs!$F$26-Inputs!$D$26)*(Inputs!$E$26-Inputs!$D$26)),Inputs!$F$26-SQRT((1-N596)*(Inputs!$F$26-Inputs!$D$26)*(Inputs!$F$26-Inputs!$E$26)))</f>
        <v>0.577936410140501</v>
      </c>
      <c r="P596" s="81" t="n">
        <f aca="true">RAND()</f>
        <v>0.0164448599692485</v>
      </c>
      <c r="Q596" s="82" t="n">
        <f aca="false">IF(P596&lt;(Inputs!$E$27-Inputs!$D$27)/(Inputs!$F$27-Inputs!$D$27),Inputs!$D$27+SQRT(P596*(Inputs!$F$27-Inputs!$D$27)*(Inputs!$E$27-Inputs!$D$27)),Inputs!$F$27-SQRT((1-P596)*(Inputs!$F$27-Inputs!$D$27)*(Inputs!$F$27-Inputs!$E$27)))</f>
        <v>56.4118756946093</v>
      </c>
      <c r="R596" s="81" t="n">
        <f aca="true">RAND()</f>
        <v>0.766638867071547</v>
      </c>
      <c r="S596" s="82" t="n">
        <f aca="false">IF(R596&lt;(Inputs!$E$29-Inputs!$D$29)/(Inputs!$F$29-Inputs!$D$29),Inputs!$D$29+SQRT(R596*(Inputs!$F$29-Inputs!$D$29)*(Inputs!$E$29-Inputs!$D$29)),Inputs!$F$29-SQRT((1-R596)*(Inputs!$F$29-Inputs!$D$29)*(Inputs!$F$29-Inputs!$E$29)))</f>
        <v>9.49210137341845</v>
      </c>
      <c r="T596" s="68" t="n">
        <f aca="false">Inputs!$E$9*(1+E596)+Inputs!$E$5*C596*(Inputs!$E$11*Inputs!$E$14*(G596*I596/Inputs!$E$16+(1-G596))*K596+Inputs!$E$23*M596)*(1+O596)+Inputs!$E$5*(Q596+S596)</f>
        <v>7297.85678872979</v>
      </c>
    </row>
    <row r="597" customFormat="false" ht="15" hidden="false" customHeight="false" outlineLevel="0" collapsed="false">
      <c r="A597" s="1" t="n">
        <v>593</v>
      </c>
      <c r="B597" s="81" t="n">
        <f aca="true">RAND()</f>
        <v>0.572232853577493</v>
      </c>
      <c r="C597" s="82" t="n">
        <f aca="false">ROUND(IF(B597&lt;(Inputs!$E$8-Inputs!$D$8)/(Inputs!$F$8-Inputs!$D$8),Inputs!$D$8+SQRT(B597*(Inputs!$F$8-Inputs!$D$8)*(Inputs!$E$8-Inputs!$D$8)),Inputs!$F$8-SQRT((1-B597)*(Inputs!$F$8-Inputs!$D$8)*(Inputs!$F$8-Inputs!$E$8))),0)</f>
        <v>25</v>
      </c>
      <c r="D597" s="81" t="n">
        <f aca="true">RAND()</f>
        <v>0.894820743196506</v>
      </c>
      <c r="E597" s="83" t="n">
        <f aca="false">IF(D597&lt;(Inputs!$E$10-Inputs!$D$10)/(Inputs!$F$10-Inputs!$D$10),Inputs!$D$10+SQRT(D597*(Inputs!$F$10-Inputs!$D$10)*(Inputs!$E$10-Inputs!$D$10)),Inputs!$F$10-SQRT((1-D597)*(Inputs!$F$10-Inputs!$D$10)*(Inputs!$F$10-Inputs!$E$10)))</f>
        <v>0.143827251232427</v>
      </c>
      <c r="F597" s="81" t="n">
        <f aca="true">RAND()</f>
        <v>0.576659876501787</v>
      </c>
      <c r="G597" s="83" t="n">
        <f aca="false">IF(F597&lt;(Inputs!$E$15-Inputs!$D$15)/(Inputs!$F$15-Inputs!$D$15),Inputs!$D$15+SQRT(F597*(Inputs!$F$15-Inputs!$D$15)*(Inputs!$E$15-Inputs!$D$15)),Inputs!$F$15-SQRT((1-F597)*(Inputs!$F$15-Inputs!$D$15)*(Inputs!$F$15-Inputs!$E$15)))</f>
        <v>0.707984770445517</v>
      </c>
      <c r="H597" s="81" t="n">
        <f aca="true">RAND()</f>
        <v>0.104704889240886</v>
      </c>
      <c r="I597" s="82" t="n">
        <f aca="false">ROUND(IF(H597&lt;(Inputs!$E$17-Inputs!$D$17)/(Inputs!$F$17-Inputs!$D$17),Inputs!$D$17+SQRT(H597*(Inputs!$F$17-Inputs!$D$17)*(Inputs!$E$17-Inputs!$D$17)),Inputs!$F$17-SQRT((1-H597)*(Inputs!$F$17-Inputs!$D$17)*(Inputs!$F$17-Inputs!$E$17))),0)</f>
        <v>103</v>
      </c>
      <c r="J597" s="81" t="n">
        <f aca="true">RAND()</f>
        <v>0.0790119339612461</v>
      </c>
      <c r="K597" s="83" t="n">
        <f aca="false">IF(J597&lt;(Inputs!$E$18-Inputs!$D$18)/(Inputs!$F$18-Inputs!$D$18),Inputs!$D$18+SQRT(J597*(Inputs!$F$18-Inputs!$D$18)*(Inputs!$E$18-Inputs!$D$18)),Inputs!$F$18-SQRT((1-J597)*(Inputs!$F$18-Inputs!$D$18)*(Inputs!$F$18-Inputs!$E$18)))</f>
        <v>0.952587238838369</v>
      </c>
      <c r="L597" s="81" t="n">
        <f aca="true">RAND()</f>
        <v>0.203137971649945</v>
      </c>
      <c r="M597" s="83" t="n">
        <f aca="false">IF(L597&lt;(Inputs!$E$24-Inputs!$D$24)/(Inputs!$F$24-Inputs!$D$24),Inputs!$D$24+SQRT(L597*(Inputs!$F$24-Inputs!$D$24)*(Inputs!$E$24-Inputs!$D$24)),Inputs!$F$24-SQRT((1-L597)*(Inputs!$F$24-Inputs!$D$24)*(Inputs!$F$24-Inputs!$E$24)))</f>
        <v>0.756129934983633</v>
      </c>
      <c r="N597" s="81" t="n">
        <f aca="true">RAND()</f>
        <v>0.0608999553476321</v>
      </c>
      <c r="O597" s="83" t="n">
        <f aca="false">IF(N597&lt;(Inputs!$E$26-Inputs!$D$26)/(Inputs!$F$26-Inputs!$D$26),Inputs!$D$26+SQRT(N597*(Inputs!$F$26-Inputs!$D$26)*(Inputs!$E$26-Inputs!$D$26)),Inputs!$F$26-SQRT((1-N597)*(Inputs!$F$26-Inputs!$D$26)*(Inputs!$F$26-Inputs!$E$26)))</f>
        <v>0.40066654146163</v>
      </c>
      <c r="P597" s="81" t="n">
        <f aca="true">RAND()</f>
        <v>0.787208007455913</v>
      </c>
      <c r="Q597" s="82" t="n">
        <f aca="false">IF(P597&lt;(Inputs!$E$27-Inputs!$D$27)/(Inputs!$F$27-Inputs!$D$27),Inputs!$D$27+SQRT(P597*(Inputs!$F$27-Inputs!$D$27)*(Inputs!$E$27-Inputs!$D$27)),Inputs!$F$27-SQRT((1-P597)*(Inputs!$F$27-Inputs!$D$27)*(Inputs!$F$27-Inputs!$E$27)))</f>
        <v>110.050782935323</v>
      </c>
      <c r="R597" s="81" t="n">
        <f aca="true">RAND()</f>
        <v>0.444684331458954</v>
      </c>
      <c r="S597" s="82" t="n">
        <f aca="false">IF(R597&lt;(Inputs!$E$29-Inputs!$D$29)/(Inputs!$F$29-Inputs!$D$29),Inputs!$D$29+SQRT(R597*(Inputs!$F$29-Inputs!$D$29)*(Inputs!$E$29-Inputs!$D$29)),Inputs!$F$29-SQRT((1-R597)*(Inputs!$F$29-Inputs!$D$29)*(Inputs!$F$29-Inputs!$E$29)))</f>
        <v>6.50346912497012</v>
      </c>
      <c r="T597" s="68" t="n">
        <f aca="false">Inputs!$E$9*(1+E597)+Inputs!$E$5*C597*(Inputs!$E$11*Inputs!$E$14*(G597*I597/Inputs!$E$16+(1-G597))*K597+Inputs!$E$23*M597)*(1+O597)+Inputs!$E$5*(Q597+S597)</f>
        <v>5805.86869353437</v>
      </c>
    </row>
    <row r="598" customFormat="false" ht="15" hidden="false" customHeight="false" outlineLevel="0" collapsed="false">
      <c r="A598" s="1" t="n">
        <v>594</v>
      </c>
      <c r="B598" s="81" t="n">
        <f aca="true">RAND()</f>
        <v>0.0912081833572338</v>
      </c>
      <c r="C598" s="82" t="n">
        <f aca="false">ROUND(IF(B598&lt;(Inputs!$E$8-Inputs!$D$8)/(Inputs!$F$8-Inputs!$D$8),Inputs!$D$8+SQRT(B598*(Inputs!$F$8-Inputs!$D$8)*(Inputs!$E$8-Inputs!$D$8)),Inputs!$F$8-SQRT((1-B598)*(Inputs!$F$8-Inputs!$D$8)*(Inputs!$F$8-Inputs!$E$8))),0)</f>
        <v>22</v>
      </c>
      <c r="D598" s="81" t="n">
        <f aca="true">RAND()</f>
        <v>0.909360675574404</v>
      </c>
      <c r="E598" s="83" t="n">
        <f aca="false">IF(D598&lt;(Inputs!$E$10-Inputs!$D$10)/(Inputs!$F$10-Inputs!$D$10),Inputs!$D$10+SQRT(D598*(Inputs!$F$10-Inputs!$D$10)*(Inputs!$E$10-Inputs!$D$10)),Inputs!$F$10-SQRT((1-D598)*(Inputs!$F$10-Inputs!$D$10)*(Inputs!$F$10-Inputs!$E$10)))</f>
        <v>0.147854245304456</v>
      </c>
      <c r="F598" s="81" t="n">
        <f aca="true">RAND()</f>
        <v>0.584634966823718</v>
      </c>
      <c r="G598" s="83" t="n">
        <f aca="false">IF(F598&lt;(Inputs!$E$15-Inputs!$D$15)/(Inputs!$F$15-Inputs!$D$15),Inputs!$D$15+SQRT(F598*(Inputs!$F$15-Inputs!$D$15)*(Inputs!$E$15-Inputs!$D$15)),Inputs!$F$15-SQRT((1-F598)*(Inputs!$F$15-Inputs!$D$15)*(Inputs!$F$15-Inputs!$E$15)))</f>
        <v>0.708855605419063</v>
      </c>
      <c r="H598" s="81" t="n">
        <f aca="true">RAND()</f>
        <v>0.719790660809515</v>
      </c>
      <c r="I598" s="82" t="n">
        <f aca="false">ROUND(IF(H598&lt;(Inputs!$E$17-Inputs!$D$17)/(Inputs!$F$17-Inputs!$D$17),Inputs!$D$17+SQRT(H598*(Inputs!$F$17-Inputs!$D$17)*(Inputs!$E$17-Inputs!$D$17)),Inputs!$F$17-SQRT((1-H598)*(Inputs!$F$17-Inputs!$D$17)*(Inputs!$F$17-Inputs!$E$17))),0)</f>
        <v>109</v>
      </c>
      <c r="J598" s="81" t="n">
        <f aca="true">RAND()</f>
        <v>0.8144600862322</v>
      </c>
      <c r="K598" s="83" t="n">
        <f aca="false">IF(J598&lt;(Inputs!$E$18-Inputs!$D$18)/(Inputs!$F$18-Inputs!$D$18),Inputs!$D$18+SQRT(J598*(Inputs!$F$18-Inputs!$D$18)*(Inputs!$E$18-Inputs!$D$18)),Inputs!$F$18-SQRT((1-J598)*(Inputs!$F$18-Inputs!$D$18)*(Inputs!$F$18-Inputs!$E$18)))</f>
        <v>1.12258437123067</v>
      </c>
      <c r="L598" s="81" t="n">
        <f aca="true">RAND()</f>
        <v>0.328821101570536</v>
      </c>
      <c r="M598" s="83" t="n">
        <f aca="false">IF(L598&lt;(Inputs!$E$24-Inputs!$D$24)/(Inputs!$F$24-Inputs!$D$24),Inputs!$D$24+SQRT(L598*(Inputs!$F$24-Inputs!$D$24)*(Inputs!$E$24-Inputs!$D$24)),Inputs!$F$24-SQRT((1-L598)*(Inputs!$F$24-Inputs!$D$24)*(Inputs!$F$24-Inputs!$E$24)))</f>
        <v>0.798641718147181</v>
      </c>
      <c r="N598" s="81" t="n">
        <f aca="true">RAND()</f>
        <v>0.0831540734374281</v>
      </c>
      <c r="O598" s="83" t="n">
        <f aca="false">IF(N598&lt;(Inputs!$E$26-Inputs!$D$26)/(Inputs!$F$26-Inputs!$D$26),Inputs!$D$26+SQRT(N598*(Inputs!$F$26-Inputs!$D$26)*(Inputs!$E$26-Inputs!$D$26)),Inputs!$F$26-SQRT((1-N598)*(Inputs!$F$26-Inputs!$D$26)*(Inputs!$F$26-Inputs!$E$26)))</f>
        <v>0.417630088922809</v>
      </c>
      <c r="P598" s="81" t="n">
        <f aca="true">RAND()</f>
        <v>0.0463252212204191</v>
      </c>
      <c r="Q598" s="82" t="n">
        <f aca="false">IF(P598&lt;(Inputs!$E$27-Inputs!$D$27)/(Inputs!$F$27-Inputs!$D$27),Inputs!$D$27+SQRT(P598*(Inputs!$F$27-Inputs!$D$27)*(Inputs!$E$27-Inputs!$D$27)),Inputs!$F$27-SQRT((1-P598)*(Inputs!$F$27-Inputs!$D$27)*(Inputs!$F$27-Inputs!$E$27)))</f>
        <v>60.7616473205104</v>
      </c>
      <c r="R598" s="81" t="n">
        <f aca="true">RAND()</f>
        <v>0.232122748154777</v>
      </c>
      <c r="S598" s="82" t="n">
        <f aca="false">IF(R598&lt;(Inputs!$E$29-Inputs!$D$29)/(Inputs!$F$29-Inputs!$D$29),Inputs!$D$29+SQRT(R598*(Inputs!$F$29-Inputs!$D$29)*(Inputs!$E$29-Inputs!$D$29)),Inputs!$F$29-SQRT((1-R598)*(Inputs!$F$29-Inputs!$D$29)*(Inputs!$F$29-Inputs!$E$29)))</f>
        <v>5.00880173653435</v>
      </c>
      <c r="T598" s="68" t="n">
        <f aca="false">Inputs!$E$9*(1+E598)+Inputs!$E$5*C598*(Inputs!$E$11*Inputs!$E$14*(G598*I598/Inputs!$E$16+(1-G598))*K598+Inputs!$E$23*M598)*(1+O598)+Inputs!$E$5*(Q598+S598)</f>
        <v>5653.24714564593</v>
      </c>
    </row>
    <row r="599" customFormat="false" ht="15" hidden="false" customHeight="false" outlineLevel="0" collapsed="false">
      <c r="A599" s="1" t="n">
        <v>595</v>
      </c>
      <c r="B599" s="81" t="n">
        <f aca="true">RAND()</f>
        <v>0.587677126377561</v>
      </c>
      <c r="C599" s="82" t="n">
        <f aca="false">ROUND(IF(B599&lt;(Inputs!$E$8-Inputs!$D$8)/(Inputs!$F$8-Inputs!$D$8),Inputs!$D$8+SQRT(B599*(Inputs!$F$8-Inputs!$D$8)*(Inputs!$E$8-Inputs!$D$8)),Inputs!$F$8-SQRT((1-B599)*(Inputs!$F$8-Inputs!$D$8)*(Inputs!$F$8-Inputs!$E$8))),0)</f>
        <v>25</v>
      </c>
      <c r="D599" s="81" t="n">
        <f aca="true">RAND()</f>
        <v>0.318733291772117</v>
      </c>
      <c r="E599" s="83" t="n">
        <f aca="false">IF(D599&lt;(Inputs!$E$10-Inputs!$D$10)/(Inputs!$F$10-Inputs!$D$10),Inputs!$D$10+SQRT(D599*(Inputs!$F$10-Inputs!$D$10)*(Inputs!$E$10-Inputs!$D$10)),Inputs!$F$10-SQRT((1-D599)*(Inputs!$F$10-Inputs!$D$10)*(Inputs!$F$10-Inputs!$E$10)))</f>
        <v>0.0570384623514545</v>
      </c>
      <c r="F599" s="81" t="n">
        <f aca="true">RAND()</f>
        <v>0.629127207243489</v>
      </c>
      <c r="G599" s="83" t="n">
        <f aca="false">IF(F599&lt;(Inputs!$E$15-Inputs!$D$15)/(Inputs!$F$15-Inputs!$D$15),Inputs!$D$15+SQRT(F599*(Inputs!$F$15-Inputs!$D$15)*(Inputs!$E$15-Inputs!$D$15)),Inputs!$F$15-SQRT((1-F599)*(Inputs!$F$15-Inputs!$D$15)*(Inputs!$F$15-Inputs!$E$15)))</f>
        <v>0.713875346995589</v>
      </c>
      <c r="H599" s="81" t="n">
        <f aca="true">RAND()</f>
        <v>0.434017680837027</v>
      </c>
      <c r="I599" s="82" t="n">
        <f aca="false">ROUND(IF(H599&lt;(Inputs!$E$17-Inputs!$D$17)/(Inputs!$F$17-Inputs!$D$17),Inputs!$D$17+SQRT(H599*(Inputs!$F$17-Inputs!$D$17)*(Inputs!$E$17-Inputs!$D$17)),Inputs!$F$17-SQRT((1-H599)*(Inputs!$F$17-Inputs!$D$17)*(Inputs!$F$17-Inputs!$E$17))),0)</f>
        <v>106</v>
      </c>
      <c r="J599" s="81" t="n">
        <f aca="true">RAND()</f>
        <v>0.653051765818643</v>
      </c>
      <c r="K599" s="83" t="n">
        <f aca="false">IF(J599&lt;(Inputs!$E$18-Inputs!$D$18)/(Inputs!$F$18-Inputs!$D$18),Inputs!$D$18+SQRT(J599*(Inputs!$F$18-Inputs!$D$18)*(Inputs!$E$18-Inputs!$D$18)),Inputs!$F$18-SQRT((1-J599)*(Inputs!$F$18-Inputs!$D$18)*(Inputs!$F$18-Inputs!$E$18)))</f>
        <v>1.07576461182966</v>
      </c>
      <c r="L599" s="81" t="n">
        <f aca="true">RAND()</f>
        <v>0.977688250991975</v>
      </c>
      <c r="M599" s="83" t="n">
        <f aca="false">IF(L599&lt;(Inputs!$E$24-Inputs!$D$24)/(Inputs!$F$24-Inputs!$D$24),Inputs!$D$24+SQRT(L599*(Inputs!$F$24-Inputs!$D$24)*(Inputs!$E$24-Inputs!$D$24)),Inputs!$F$24-SQRT((1-L599)*(Inputs!$F$24-Inputs!$D$24)*(Inputs!$F$24-Inputs!$E$24)))</f>
        <v>1.12682336601123</v>
      </c>
      <c r="N599" s="81" t="n">
        <f aca="true">RAND()</f>
        <v>0.703549963900675</v>
      </c>
      <c r="O599" s="83" t="n">
        <f aca="false">IF(N599&lt;(Inputs!$E$26-Inputs!$D$26)/(Inputs!$F$26-Inputs!$D$26),Inputs!$D$26+SQRT(N599*(Inputs!$F$26-Inputs!$D$26)*(Inputs!$E$26-Inputs!$D$26)),Inputs!$F$26-SQRT((1-N599)*(Inputs!$F$26-Inputs!$D$26)*(Inputs!$F$26-Inputs!$E$26)))</f>
        <v>0.644412973843937</v>
      </c>
      <c r="P599" s="81" t="n">
        <f aca="true">RAND()</f>
        <v>0.739528309611334</v>
      </c>
      <c r="Q599" s="82" t="n">
        <f aca="false">IF(P599&lt;(Inputs!$E$27-Inputs!$D$27)/(Inputs!$F$27-Inputs!$D$27),Inputs!$D$27+SQRT(P599*(Inputs!$F$27-Inputs!$D$27)*(Inputs!$E$27-Inputs!$D$27)),Inputs!$F$27-SQRT((1-P599)*(Inputs!$F$27-Inputs!$D$27)*(Inputs!$F$27-Inputs!$E$27)))</f>
        <v>105.801157504806</v>
      </c>
      <c r="R599" s="81" t="n">
        <f aca="true">RAND()</f>
        <v>0.764720432859218</v>
      </c>
      <c r="S599" s="82" t="n">
        <f aca="false">IF(R599&lt;(Inputs!$E$29-Inputs!$D$29)/(Inputs!$F$29-Inputs!$D$29),Inputs!$D$29+SQRT(R599*(Inputs!$F$29-Inputs!$D$29)*(Inputs!$E$29-Inputs!$D$29)),Inputs!$F$29-SQRT((1-R599)*(Inputs!$F$29-Inputs!$D$29)*(Inputs!$F$29-Inputs!$E$29)))</f>
        <v>9.46950782223665</v>
      </c>
      <c r="T599" s="68" t="n">
        <f aca="false">Inputs!$E$9*(1+E599)+Inputs!$E$5*C599*(Inputs!$E$11*Inputs!$E$14*(G599*I599/Inputs!$E$16+(1-G599))*K599+Inputs!$E$23*M599)*(1+O599)+Inputs!$E$5*(Q599+S599)</f>
        <v>6920.977095373</v>
      </c>
    </row>
    <row r="600" customFormat="false" ht="15" hidden="false" customHeight="false" outlineLevel="0" collapsed="false">
      <c r="A600" s="1" t="n">
        <v>596</v>
      </c>
      <c r="B600" s="81" t="n">
        <f aca="true">RAND()</f>
        <v>0.931411008587313</v>
      </c>
      <c r="C600" s="82" t="n">
        <f aca="false">ROUND(IF(B600&lt;(Inputs!$E$8-Inputs!$D$8)/(Inputs!$F$8-Inputs!$D$8),Inputs!$D$8+SQRT(B600*(Inputs!$F$8-Inputs!$D$8)*(Inputs!$E$8-Inputs!$D$8)),Inputs!$F$8-SQRT((1-B600)*(Inputs!$F$8-Inputs!$D$8)*(Inputs!$F$8-Inputs!$E$8))),0)</f>
        <v>28</v>
      </c>
      <c r="D600" s="81" t="n">
        <f aca="true">RAND()</f>
        <v>0.588687894373183</v>
      </c>
      <c r="E600" s="83" t="n">
        <f aca="false">IF(D600&lt;(Inputs!$E$10-Inputs!$D$10)/(Inputs!$F$10-Inputs!$D$10),Inputs!$D$10+SQRT(D600*(Inputs!$F$10-Inputs!$D$10)*(Inputs!$E$10-Inputs!$D$10)),Inputs!$F$10-SQRT((1-D600)*(Inputs!$F$10-Inputs!$D$10)*(Inputs!$F$10-Inputs!$E$10)))</f>
        <v>0.0889173138207196</v>
      </c>
      <c r="F600" s="81" t="n">
        <f aca="true">RAND()</f>
        <v>0.788479611735542</v>
      </c>
      <c r="G600" s="83" t="n">
        <f aca="false">IF(F600&lt;(Inputs!$E$15-Inputs!$D$15)/(Inputs!$F$15-Inputs!$D$15),Inputs!$D$15+SQRT(F600*(Inputs!$F$15-Inputs!$D$15)*(Inputs!$E$15-Inputs!$D$15)),Inputs!$F$15-SQRT((1-F600)*(Inputs!$F$15-Inputs!$D$15)*(Inputs!$F$15-Inputs!$E$15)))</f>
        <v>0.734958415107801</v>
      </c>
      <c r="H600" s="81" t="n">
        <f aca="true">RAND()</f>
        <v>0.180173404108211</v>
      </c>
      <c r="I600" s="82" t="n">
        <f aca="false">ROUND(IF(H600&lt;(Inputs!$E$17-Inputs!$D$17)/(Inputs!$F$17-Inputs!$D$17),Inputs!$D$17+SQRT(H600*(Inputs!$F$17-Inputs!$D$17)*(Inputs!$E$17-Inputs!$D$17)),Inputs!$F$17-SQRT((1-H600)*(Inputs!$F$17-Inputs!$D$17)*(Inputs!$F$17-Inputs!$E$17))),0)</f>
        <v>104</v>
      </c>
      <c r="J600" s="81" t="n">
        <f aca="true">RAND()</f>
        <v>0.524901770598042</v>
      </c>
      <c r="K600" s="83" t="n">
        <f aca="false">IF(J600&lt;(Inputs!$E$18-Inputs!$D$18)/(Inputs!$F$18-Inputs!$D$18),Inputs!$D$18+SQRT(J600*(Inputs!$F$18-Inputs!$D$18)*(Inputs!$E$18-Inputs!$D$18)),Inputs!$F$18-SQRT((1-J600)*(Inputs!$F$18-Inputs!$D$18)*(Inputs!$F$18-Inputs!$E$18)))</f>
        <v>1.04611009080224</v>
      </c>
      <c r="L600" s="81" t="n">
        <f aca="true">RAND()</f>
        <v>0.142765625802258</v>
      </c>
      <c r="M600" s="83" t="n">
        <f aca="false">IF(L600&lt;(Inputs!$E$24-Inputs!$D$24)/(Inputs!$F$24-Inputs!$D$24),Inputs!$D$24+SQRT(L600*(Inputs!$F$24-Inputs!$D$24)*(Inputs!$E$24-Inputs!$D$24)),Inputs!$F$24-SQRT((1-L600)*(Inputs!$F$24-Inputs!$D$24)*(Inputs!$F$24-Inputs!$E$24)))</f>
        <v>0.730888789039669</v>
      </c>
      <c r="N600" s="81" t="n">
        <f aca="true">RAND()</f>
        <v>0.692780432082057</v>
      </c>
      <c r="O600" s="83" t="n">
        <f aca="false">IF(N600&lt;(Inputs!$E$26-Inputs!$D$26)/(Inputs!$F$26-Inputs!$D$26),Inputs!$D$26+SQRT(N600*(Inputs!$F$26-Inputs!$D$26)*(Inputs!$E$26-Inputs!$D$26)),Inputs!$F$26-SQRT((1-N600)*(Inputs!$F$26-Inputs!$D$26)*(Inputs!$F$26-Inputs!$E$26)))</f>
        <v>0.641252034799089</v>
      </c>
      <c r="P600" s="81" t="n">
        <f aca="true">RAND()</f>
        <v>0.649597491353886</v>
      </c>
      <c r="Q600" s="82" t="n">
        <f aca="false">IF(P600&lt;(Inputs!$E$27-Inputs!$D$27)/(Inputs!$F$27-Inputs!$D$27),Inputs!$D$27+SQRT(P600*(Inputs!$F$27-Inputs!$D$27)*(Inputs!$E$27-Inputs!$D$27)),Inputs!$F$27-SQRT((1-P600)*(Inputs!$F$27-Inputs!$D$27)*(Inputs!$F$27-Inputs!$E$27)))</f>
        <v>98.7357940191613</v>
      </c>
      <c r="R600" s="81" t="n">
        <f aca="true">RAND()</f>
        <v>0.707261333718041</v>
      </c>
      <c r="S600" s="82" t="n">
        <f aca="false">IF(R600&lt;(Inputs!$E$29-Inputs!$D$29)/(Inputs!$F$29-Inputs!$D$29),Inputs!$D$29+SQRT(R600*(Inputs!$F$29-Inputs!$D$29)*(Inputs!$E$29-Inputs!$D$29)),Inputs!$F$29-SQRT((1-R600)*(Inputs!$F$29-Inputs!$D$29)*(Inputs!$F$29-Inputs!$E$29)))</f>
        <v>8.83104331214307</v>
      </c>
      <c r="T600" s="68" t="n">
        <f aca="false">Inputs!$E$9*(1+E600)+Inputs!$E$5*C600*(Inputs!$E$11*Inputs!$E$14*(G600*I600/Inputs!$E$16+(1-G600))*K600+Inputs!$E$23*M600)*(1+O600)+Inputs!$E$5*(Q600+S600)</f>
        <v>6641.84342012771</v>
      </c>
    </row>
    <row r="601" customFormat="false" ht="15" hidden="false" customHeight="false" outlineLevel="0" collapsed="false">
      <c r="A601" s="1" t="n">
        <v>597</v>
      </c>
      <c r="B601" s="81" t="n">
        <f aca="true">RAND()</f>
        <v>0.370419514749185</v>
      </c>
      <c r="C601" s="82" t="n">
        <f aca="false">ROUND(IF(B601&lt;(Inputs!$E$8-Inputs!$D$8)/(Inputs!$F$8-Inputs!$D$8),Inputs!$D$8+SQRT(B601*(Inputs!$F$8-Inputs!$D$8)*(Inputs!$E$8-Inputs!$D$8)),Inputs!$F$8-SQRT((1-B601)*(Inputs!$F$8-Inputs!$D$8)*(Inputs!$F$8-Inputs!$E$8))),0)</f>
        <v>24</v>
      </c>
      <c r="D601" s="81" t="n">
        <f aca="true">RAND()</f>
        <v>0.433740964370318</v>
      </c>
      <c r="E601" s="83" t="n">
        <f aca="false">IF(D601&lt;(Inputs!$E$10-Inputs!$D$10)/(Inputs!$F$10-Inputs!$D$10),Inputs!$D$10+SQRT(D601*(Inputs!$F$10-Inputs!$D$10)*(Inputs!$E$10-Inputs!$D$10)),Inputs!$F$10-SQRT((1-D601)*(Inputs!$F$10-Inputs!$D$10)*(Inputs!$F$10-Inputs!$E$10)))</f>
        <v>0.0696628561426541</v>
      </c>
      <c r="F601" s="81" t="n">
        <f aca="true">RAND()</f>
        <v>0.986529591126642</v>
      </c>
      <c r="G601" s="83" t="n">
        <f aca="false">IF(F601&lt;(Inputs!$E$15-Inputs!$D$15)/(Inputs!$F$15-Inputs!$D$15),Inputs!$D$15+SQRT(F601*(Inputs!$F$15-Inputs!$D$15)*(Inputs!$E$15-Inputs!$D$15)),Inputs!$F$15-SQRT((1-F601)*(Inputs!$F$15-Inputs!$D$15)*(Inputs!$F$15-Inputs!$E$15)))</f>
        <v>0.783586341740272</v>
      </c>
      <c r="H601" s="81" t="n">
        <f aca="true">RAND()</f>
        <v>0.48448838164842</v>
      </c>
      <c r="I601" s="82" t="n">
        <f aca="false">ROUND(IF(H601&lt;(Inputs!$E$17-Inputs!$D$17)/(Inputs!$F$17-Inputs!$D$17),Inputs!$D$17+SQRT(H601*(Inputs!$F$17-Inputs!$D$17)*(Inputs!$E$17-Inputs!$D$17)),Inputs!$F$17-SQRT((1-H601)*(Inputs!$F$17-Inputs!$D$17)*(Inputs!$F$17-Inputs!$E$17))),0)</f>
        <v>106</v>
      </c>
      <c r="J601" s="81" t="n">
        <f aca="true">RAND()</f>
        <v>0.21267573602131</v>
      </c>
      <c r="K601" s="83" t="n">
        <f aca="false">IF(J601&lt;(Inputs!$E$18-Inputs!$D$18)/(Inputs!$F$18-Inputs!$D$18),Inputs!$D$18+SQRT(J601*(Inputs!$F$18-Inputs!$D$18)*(Inputs!$E$18-Inputs!$D$18)),Inputs!$F$18-SQRT((1-J601)*(Inputs!$F$18-Inputs!$D$18)*(Inputs!$F$18-Inputs!$E$18)))</f>
        <v>0.986276594512914</v>
      </c>
      <c r="L601" s="81" t="n">
        <f aca="true">RAND()</f>
        <v>0.718475210845747</v>
      </c>
      <c r="M601" s="83" t="n">
        <f aca="false">IF(L601&lt;(Inputs!$E$24-Inputs!$D$24)/(Inputs!$F$24-Inputs!$D$24),Inputs!$D$24+SQRT(L601*(Inputs!$F$24-Inputs!$D$24)*(Inputs!$E$24-Inputs!$D$24)),Inputs!$F$24-SQRT((1-L601)*(Inputs!$F$24-Inputs!$D$24)*(Inputs!$F$24-Inputs!$E$24)))</f>
        <v>0.940065490176813</v>
      </c>
      <c r="N601" s="81" t="n">
        <f aca="true">RAND()</f>
        <v>0.4789641626699</v>
      </c>
      <c r="O601" s="83" t="n">
        <f aca="false">IF(N601&lt;(Inputs!$E$26-Inputs!$D$26)/(Inputs!$F$26-Inputs!$D$26),Inputs!$D$26+SQRT(N601*(Inputs!$F$26-Inputs!$D$26)*(Inputs!$E$26-Inputs!$D$26)),Inputs!$F$26-SQRT((1-N601)*(Inputs!$F$26-Inputs!$D$26)*(Inputs!$F$26-Inputs!$E$26)))</f>
        <v>0.582311240775622</v>
      </c>
      <c r="P601" s="81" t="n">
        <f aca="true">RAND()</f>
        <v>0.173077801130939</v>
      </c>
      <c r="Q601" s="82" t="n">
        <f aca="false">IF(P601&lt;(Inputs!$E$27-Inputs!$D$27)/(Inputs!$F$27-Inputs!$D$27),Inputs!$D$27+SQRT(P601*(Inputs!$F$27-Inputs!$D$27)*(Inputs!$E$27-Inputs!$D$27)),Inputs!$F$27-SQRT((1-P601)*(Inputs!$F$27-Inputs!$D$27)*(Inputs!$F$27-Inputs!$E$27)))</f>
        <v>70.8013101228588</v>
      </c>
      <c r="R601" s="81" t="n">
        <f aca="true">RAND()</f>
        <v>0.123213397887358</v>
      </c>
      <c r="S601" s="82" t="n">
        <f aca="false">IF(R601&lt;(Inputs!$E$29-Inputs!$D$29)/(Inputs!$F$29-Inputs!$D$29),Inputs!$D$29+SQRT(R601*(Inputs!$F$29-Inputs!$D$29)*(Inputs!$E$29-Inputs!$D$29)),Inputs!$F$29-SQRT((1-R601)*(Inputs!$F$29-Inputs!$D$29)*(Inputs!$F$29-Inputs!$E$29)))</f>
        <v>4.19210458637514</v>
      </c>
      <c r="T601" s="68" t="n">
        <f aca="false">Inputs!$E$9*(1+E601)+Inputs!$E$5*C601*(Inputs!$E$11*Inputs!$E$14*(G601*I601/Inputs!$E$16+(1-G601))*K601+Inputs!$E$23*M601)*(1+O601)+Inputs!$E$5*(Q601+S601)</f>
        <v>5920.23955656983</v>
      </c>
    </row>
    <row r="602" customFormat="false" ht="15" hidden="false" customHeight="false" outlineLevel="0" collapsed="false">
      <c r="A602" s="1" t="n">
        <v>598</v>
      </c>
      <c r="B602" s="81" t="n">
        <f aca="true">RAND()</f>
        <v>0.197797349450934</v>
      </c>
      <c r="C602" s="82" t="n">
        <f aca="false">ROUND(IF(B602&lt;(Inputs!$E$8-Inputs!$D$8)/(Inputs!$F$8-Inputs!$D$8),Inputs!$D$8+SQRT(B602*(Inputs!$F$8-Inputs!$D$8)*(Inputs!$E$8-Inputs!$D$8)),Inputs!$F$8-SQRT((1-B602)*(Inputs!$F$8-Inputs!$D$8)*(Inputs!$F$8-Inputs!$E$8))),0)</f>
        <v>23</v>
      </c>
      <c r="D602" s="81" t="n">
        <f aca="true">RAND()</f>
        <v>0.290272658037541</v>
      </c>
      <c r="E602" s="83" t="n">
        <f aca="false">IF(D602&lt;(Inputs!$E$10-Inputs!$D$10)/(Inputs!$F$10-Inputs!$D$10),Inputs!$D$10+SQRT(D602*(Inputs!$F$10-Inputs!$D$10)*(Inputs!$E$10-Inputs!$D$10)),Inputs!$F$10-SQRT((1-D602)*(Inputs!$F$10-Inputs!$D$10)*(Inputs!$F$10-Inputs!$E$10)))</f>
        <v>0.0540828308290153</v>
      </c>
      <c r="F602" s="81" t="n">
        <f aca="true">RAND()</f>
        <v>0.811566200863279</v>
      </c>
      <c r="G602" s="83" t="n">
        <f aca="false">IF(F602&lt;(Inputs!$E$15-Inputs!$D$15)/(Inputs!$F$15-Inputs!$D$15),Inputs!$D$15+SQRT(F602*(Inputs!$F$15-Inputs!$D$15)*(Inputs!$E$15-Inputs!$D$15)),Inputs!$F$15-SQRT((1-F602)*(Inputs!$F$15-Inputs!$D$15)*(Inputs!$F$15-Inputs!$E$15)))</f>
        <v>0.738610457057131</v>
      </c>
      <c r="H602" s="81" t="n">
        <f aca="true">RAND()</f>
        <v>0.838434902333591</v>
      </c>
      <c r="I602" s="82" t="n">
        <f aca="false">ROUND(IF(H602&lt;(Inputs!$E$17-Inputs!$D$17)/(Inputs!$F$17-Inputs!$D$17),Inputs!$D$17+SQRT(H602*(Inputs!$F$17-Inputs!$D$17)*(Inputs!$E$17-Inputs!$D$17)),Inputs!$F$17-SQRT((1-H602)*(Inputs!$F$17-Inputs!$D$17)*(Inputs!$F$17-Inputs!$E$17))),0)</f>
        <v>110</v>
      </c>
      <c r="J602" s="81" t="n">
        <f aca="true">RAND()</f>
        <v>0.739967282773467</v>
      </c>
      <c r="K602" s="83" t="n">
        <f aca="false">IF(J602&lt;(Inputs!$E$18-Inputs!$D$18)/(Inputs!$F$18-Inputs!$D$18),Inputs!$D$18+SQRT(J602*(Inputs!$F$18-Inputs!$D$18)*(Inputs!$E$18-Inputs!$D$18)),Inputs!$F$18-SQRT((1-J602)*(Inputs!$F$18-Inputs!$D$18)*(Inputs!$F$18-Inputs!$E$18)))</f>
        <v>1.09915947906043</v>
      </c>
      <c r="L602" s="81" t="n">
        <f aca="true">RAND()</f>
        <v>0.596832132519995</v>
      </c>
      <c r="M602" s="83" t="n">
        <f aca="false">IF(L602&lt;(Inputs!$E$24-Inputs!$D$24)/(Inputs!$F$24-Inputs!$D$24),Inputs!$D$24+SQRT(L602*(Inputs!$F$24-Inputs!$D$24)*(Inputs!$E$24-Inputs!$D$24)),Inputs!$F$24-SQRT((1-L602)*(Inputs!$F$24-Inputs!$D$24)*(Inputs!$F$24-Inputs!$E$24)))</f>
        <v>0.888936842112086</v>
      </c>
      <c r="N602" s="81" t="n">
        <f aca="true">RAND()</f>
        <v>0.0904138816385859</v>
      </c>
      <c r="O602" s="83" t="n">
        <f aca="false">IF(N602&lt;(Inputs!$E$26-Inputs!$D$26)/(Inputs!$F$26-Inputs!$D$26),Inputs!$D$26+SQRT(N602*(Inputs!$F$26-Inputs!$D$26)*(Inputs!$E$26-Inputs!$D$26)),Inputs!$F$26-SQRT((1-N602)*(Inputs!$F$26-Inputs!$D$26)*(Inputs!$F$26-Inputs!$E$26)))</f>
        <v>0.422657530974094</v>
      </c>
      <c r="P602" s="81" t="n">
        <f aca="true">RAND()</f>
        <v>0.406003275714078</v>
      </c>
      <c r="Q602" s="82" t="n">
        <f aca="false">IF(P602&lt;(Inputs!$E$27-Inputs!$D$27)/(Inputs!$F$27-Inputs!$D$27),Inputs!$D$27+SQRT(P602*(Inputs!$F$27-Inputs!$D$27)*(Inputs!$E$27-Inputs!$D$27)),Inputs!$F$27-SQRT((1-P602)*(Inputs!$F$27-Inputs!$D$27)*(Inputs!$F$27-Inputs!$E$27)))</f>
        <v>83.2543976568912</v>
      </c>
      <c r="R602" s="81" t="n">
        <f aca="true">RAND()</f>
        <v>0.765821212727053</v>
      </c>
      <c r="S602" s="82" t="n">
        <f aca="false">IF(R602&lt;(Inputs!$E$29-Inputs!$D$29)/(Inputs!$F$29-Inputs!$D$29),Inputs!$D$29+SQRT(R602*(Inputs!$F$29-Inputs!$D$29)*(Inputs!$E$29-Inputs!$D$29)),Inputs!$F$29-SQRT((1-R602)*(Inputs!$F$29-Inputs!$D$29)*(Inputs!$F$29-Inputs!$E$29)))</f>
        <v>9.48246048084084</v>
      </c>
      <c r="T602" s="68" t="n">
        <f aca="false">Inputs!$E$9*(1+E602)+Inputs!$E$5*C602*(Inputs!$E$11*Inputs!$E$14*(G602*I602/Inputs!$E$16+(1-G602))*K602+Inputs!$E$23*M602)*(1+O602)+Inputs!$E$5*(Q602+S602)</f>
        <v>5760.08879972409</v>
      </c>
    </row>
    <row r="603" customFormat="false" ht="15" hidden="false" customHeight="false" outlineLevel="0" collapsed="false">
      <c r="A603" s="1" t="n">
        <v>599</v>
      </c>
      <c r="B603" s="81" t="n">
        <f aca="true">RAND()</f>
        <v>0.360773699270739</v>
      </c>
      <c r="C603" s="82" t="n">
        <f aca="false">ROUND(IF(B603&lt;(Inputs!$E$8-Inputs!$D$8)/(Inputs!$F$8-Inputs!$D$8),Inputs!$D$8+SQRT(B603*(Inputs!$F$8-Inputs!$D$8)*(Inputs!$E$8-Inputs!$D$8)),Inputs!$F$8-SQRT((1-B603)*(Inputs!$F$8-Inputs!$D$8)*(Inputs!$F$8-Inputs!$E$8))),0)</f>
        <v>24</v>
      </c>
      <c r="D603" s="81" t="n">
        <f aca="true">RAND()</f>
        <v>0.827549930921667</v>
      </c>
      <c r="E603" s="83" t="n">
        <f aca="false">IF(D603&lt;(Inputs!$E$10-Inputs!$D$10)/(Inputs!$F$10-Inputs!$D$10),Inputs!$D$10+SQRT(D603*(Inputs!$F$10-Inputs!$D$10)*(Inputs!$E$10-Inputs!$D$10)),Inputs!$F$10-SQRT((1-D603)*(Inputs!$F$10-Inputs!$D$10)*(Inputs!$F$10-Inputs!$E$10)))</f>
        <v>0.128072939220694</v>
      </c>
      <c r="F603" s="81" t="n">
        <f aca="true">RAND()</f>
        <v>0.534995028648208</v>
      </c>
      <c r="G603" s="83" t="n">
        <f aca="false">IF(F603&lt;(Inputs!$E$15-Inputs!$D$15)/(Inputs!$F$15-Inputs!$D$15),Inputs!$D$15+SQRT(F603*(Inputs!$F$15-Inputs!$D$15)*(Inputs!$E$15-Inputs!$D$15)),Inputs!$F$15-SQRT((1-F603)*(Inputs!$F$15-Inputs!$D$15)*(Inputs!$F$15-Inputs!$E$15)))</f>
        <v>0.703562976886282</v>
      </c>
      <c r="H603" s="81" t="n">
        <f aca="true">RAND()</f>
        <v>0.880973217061145</v>
      </c>
      <c r="I603" s="82" t="n">
        <f aca="false">ROUND(IF(H603&lt;(Inputs!$E$17-Inputs!$D$17)/(Inputs!$F$17-Inputs!$D$17),Inputs!$D$17+SQRT(H603*(Inputs!$F$17-Inputs!$D$17)*(Inputs!$E$17-Inputs!$D$17)),Inputs!$F$17-SQRT((1-H603)*(Inputs!$F$17-Inputs!$D$17)*(Inputs!$F$17-Inputs!$E$17))),0)</f>
        <v>111</v>
      </c>
      <c r="J603" s="81" t="n">
        <f aca="true">RAND()</f>
        <v>0.328566532285655</v>
      </c>
      <c r="K603" s="83" t="n">
        <f aca="false">IF(J603&lt;(Inputs!$E$18-Inputs!$D$18)/(Inputs!$F$18-Inputs!$D$18),Inputs!$D$18+SQRT(J603*(Inputs!$F$18-Inputs!$D$18)*(Inputs!$E$18-Inputs!$D$18)),Inputs!$F$18-SQRT((1-J603)*(Inputs!$F$18-Inputs!$D$18)*(Inputs!$F$18-Inputs!$E$18)))</f>
        <v>1.00761512335749</v>
      </c>
      <c r="L603" s="81" t="n">
        <f aca="true">RAND()</f>
        <v>0.971708141995961</v>
      </c>
      <c r="M603" s="83" t="n">
        <f aca="false">IF(L603&lt;(Inputs!$E$24-Inputs!$D$24)/(Inputs!$F$24-Inputs!$D$24),Inputs!$D$24+SQRT(L603*(Inputs!$F$24-Inputs!$D$24)*(Inputs!$E$24-Inputs!$D$24)),Inputs!$F$24-SQRT((1-L603)*(Inputs!$F$24-Inputs!$D$24)*(Inputs!$F$24-Inputs!$E$24)))</f>
        <v>1.11759826506093</v>
      </c>
      <c r="N603" s="81" t="n">
        <f aca="true">RAND()</f>
        <v>0.559586872427284</v>
      </c>
      <c r="O603" s="83" t="n">
        <f aca="false">IF(N603&lt;(Inputs!$E$26-Inputs!$D$26)/(Inputs!$F$26-Inputs!$D$26),Inputs!$D$26+SQRT(N603*(Inputs!$F$26-Inputs!$D$26)*(Inputs!$E$26-Inputs!$D$26)),Inputs!$F$26-SQRT((1-N603)*(Inputs!$F$26-Inputs!$D$26)*(Inputs!$F$26-Inputs!$E$26)))</f>
        <v>0.605147924082567</v>
      </c>
      <c r="P603" s="81" t="n">
        <f aca="true">RAND()</f>
        <v>0.791525589847351</v>
      </c>
      <c r="Q603" s="82" t="n">
        <f aca="false">IF(P603&lt;(Inputs!$E$27-Inputs!$D$27)/(Inputs!$F$27-Inputs!$D$27),Inputs!$D$27+SQRT(P603*(Inputs!$F$27-Inputs!$D$27)*(Inputs!$E$27-Inputs!$D$27)),Inputs!$F$27-SQRT((1-P603)*(Inputs!$F$27-Inputs!$D$27)*(Inputs!$F$27-Inputs!$E$27)))</f>
        <v>110.458147790665</v>
      </c>
      <c r="R603" s="81" t="n">
        <f aca="true">RAND()</f>
        <v>0.97532131218597</v>
      </c>
      <c r="S603" s="82" t="n">
        <f aca="false">IF(R603&lt;(Inputs!$E$29-Inputs!$D$29)/(Inputs!$F$29-Inputs!$D$29),Inputs!$D$29+SQRT(R603*(Inputs!$F$29-Inputs!$D$29)*(Inputs!$E$29-Inputs!$D$29)),Inputs!$F$29-SQRT((1-R603)*(Inputs!$F$29-Inputs!$D$29)*(Inputs!$F$29-Inputs!$E$29)))</f>
        <v>13.2088469032983</v>
      </c>
      <c r="T603" s="68" t="n">
        <f aca="false">Inputs!$E$9*(1+E603)+Inputs!$E$5*C603*(Inputs!$E$11*Inputs!$E$14*(G603*I603/Inputs!$E$16+(1-G603))*K603+Inputs!$E$23*M603)*(1+O603)+Inputs!$E$5*(Q603+S603)</f>
        <v>6783.12705663463</v>
      </c>
    </row>
    <row r="604" customFormat="false" ht="15" hidden="false" customHeight="false" outlineLevel="0" collapsed="false">
      <c r="A604" s="1" t="n">
        <v>600</v>
      </c>
      <c r="B604" s="81" t="n">
        <f aca="true">RAND()</f>
        <v>0.370888696239784</v>
      </c>
      <c r="C604" s="82" t="n">
        <f aca="false">ROUND(IF(B604&lt;(Inputs!$E$8-Inputs!$D$8)/(Inputs!$F$8-Inputs!$D$8),Inputs!$D$8+SQRT(B604*(Inputs!$F$8-Inputs!$D$8)*(Inputs!$E$8-Inputs!$D$8)),Inputs!$F$8-SQRT((1-B604)*(Inputs!$F$8-Inputs!$D$8)*(Inputs!$F$8-Inputs!$E$8))),0)</f>
        <v>24</v>
      </c>
      <c r="D604" s="81" t="n">
        <f aca="true">RAND()</f>
        <v>0.467941755604866</v>
      </c>
      <c r="E604" s="83" t="n">
        <f aca="false">IF(D604&lt;(Inputs!$E$10-Inputs!$D$10)/(Inputs!$F$10-Inputs!$D$10),Inputs!$D$10+SQRT(D604*(Inputs!$F$10-Inputs!$D$10)*(Inputs!$E$10-Inputs!$D$10)),Inputs!$F$10-SQRT((1-D604)*(Inputs!$F$10-Inputs!$D$10)*(Inputs!$F$10-Inputs!$E$10)))</f>
        <v>0.0736601910249425</v>
      </c>
      <c r="F604" s="81" t="n">
        <f aca="true">RAND()</f>
        <v>0.835267927075585</v>
      </c>
      <c r="G604" s="83" t="n">
        <f aca="false">IF(F604&lt;(Inputs!$E$15-Inputs!$D$15)/(Inputs!$F$15-Inputs!$D$15),Inputs!$D$15+SQRT(F604*(Inputs!$F$15-Inputs!$D$15)*(Inputs!$E$15-Inputs!$D$15)),Inputs!$F$15-SQRT((1-F604)*(Inputs!$F$15-Inputs!$D$15)*(Inputs!$F$15-Inputs!$E$15)))</f>
        <v>0.742601032600853</v>
      </c>
      <c r="H604" s="81" t="n">
        <f aca="true">RAND()</f>
        <v>0.660525503704397</v>
      </c>
      <c r="I604" s="82" t="n">
        <f aca="false">ROUND(IF(H604&lt;(Inputs!$E$17-Inputs!$D$17)/(Inputs!$F$17-Inputs!$D$17),Inputs!$D$17+SQRT(H604*(Inputs!$F$17-Inputs!$D$17)*(Inputs!$E$17-Inputs!$D$17)),Inputs!$F$17-SQRT((1-H604)*(Inputs!$F$17-Inputs!$D$17)*(Inputs!$F$17-Inputs!$E$17))),0)</f>
        <v>108</v>
      </c>
      <c r="J604" s="81" t="n">
        <f aca="true">RAND()</f>
        <v>0.812009505668769</v>
      </c>
      <c r="K604" s="83" t="n">
        <f aca="false">IF(J604&lt;(Inputs!$E$18-Inputs!$D$18)/(Inputs!$F$18-Inputs!$D$18),Inputs!$D$18+SQRT(J604*(Inputs!$F$18-Inputs!$D$18)*(Inputs!$E$18-Inputs!$D$18)),Inputs!$F$18-SQRT((1-J604)*(Inputs!$F$18-Inputs!$D$18)*(Inputs!$F$18-Inputs!$E$18)))</f>
        <v>1.12174568914074</v>
      </c>
      <c r="L604" s="81" t="n">
        <f aca="true">RAND()</f>
        <v>0.390018024217414</v>
      </c>
      <c r="M604" s="83" t="n">
        <f aca="false">IF(L604&lt;(Inputs!$E$24-Inputs!$D$24)/(Inputs!$F$24-Inputs!$D$24),Inputs!$D$24+SQRT(L604*(Inputs!$F$24-Inputs!$D$24)*(Inputs!$E$24-Inputs!$D$24)),Inputs!$F$24-SQRT((1-L604)*(Inputs!$F$24-Inputs!$D$24)*(Inputs!$F$24-Inputs!$E$24)))</f>
        <v>0.817383123493199</v>
      </c>
      <c r="N604" s="81" t="n">
        <f aca="true">RAND()</f>
        <v>0.389255072075477</v>
      </c>
      <c r="O604" s="83" t="n">
        <f aca="false">IF(N604&lt;(Inputs!$E$26-Inputs!$D$26)/(Inputs!$F$26-Inputs!$D$26),Inputs!$D$26+SQRT(N604*(Inputs!$F$26-Inputs!$D$26)*(Inputs!$E$26-Inputs!$D$26)),Inputs!$F$26-SQRT((1-N604)*(Inputs!$F$26-Inputs!$D$26)*(Inputs!$F$26-Inputs!$E$26)))</f>
        <v>0.554503524520505</v>
      </c>
      <c r="P604" s="81" t="n">
        <f aca="true">RAND()</f>
        <v>0.730001566843377</v>
      </c>
      <c r="Q604" s="82" t="n">
        <f aca="false">IF(P604&lt;(Inputs!$E$27-Inputs!$D$27)/(Inputs!$F$27-Inputs!$D$27),Inputs!$D$27+SQRT(P604*(Inputs!$F$27-Inputs!$D$27)*(Inputs!$E$27-Inputs!$D$27)),Inputs!$F$27-SQRT((1-P604)*(Inputs!$F$27-Inputs!$D$27)*(Inputs!$F$27-Inputs!$E$27)))</f>
        <v>105.000130570471</v>
      </c>
      <c r="R604" s="81" t="n">
        <f aca="true">RAND()</f>
        <v>0.937379504669255</v>
      </c>
      <c r="S604" s="82" t="n">
        <f aca="false">IF(R604&lt;(Inputs!$E$29-Inputs!$D$29)/(Inputs!$F$29-Inputs!$D$29),Inputs!$D$29+SQRT(R604*(Inputs!$F$29-Inputs!$D$29)*(Inputs!$E$29-Inputs!$D$29)),Inputs!$F$29-SQRT((1-R604)*(Inputs!$F$29-Inputs!$D$29)*(Inputs!$F$29-Inputs!$E$29)))</f>
        <v>12.1468150440259</v>
      </c>
      <c r="T604" s="68" t="n">
        <f aca="false">Inputs!$E$9*(1+E604)+Inputs!$E$5*C604*(Inputs!$E$11*Inputs!$E$14*(G604*I604/Inputs!$E$16+(1-G604))*K604+Inputs!$E$23*M604)*(1+O604)+Inputs!$E$5*(Q604+S604)</f>
        <v>6261.79599990285</v>
      </c>
    </row>
    <row r="605" customFormat="false" ht="15" hidden="false" customHeight="false" outlineLevel="0" collapsed="false">
      <c r="A605" s="1" t="n">
        <v>601</v>
      </c>
      <c r="B605" s="81" t="n">
        <f aca="true">RAND()</f>
        <v>0.976109808483038</v>
      </c>
      <c r="C605" s="82" t="n">
        <f aca="false">ROUND(IF(B605&lt;(Inputs!$E$8-Inputs!$D$8)/(Inputs!$F$8-Inputs!$D$8),Inputs!$D$8+SQRT(B605*(Inputs!$F$8-Inputs!$D$8)*(Inputs!$E$8-Inputs!$D$8)),Inputs!$F$8-SQRT((1-B605)*(Inputs!$F$8-Inputs!$D$8)*(Inputs!$F$8-Inputs!$E$8))),0)</f>
        <v>29</v>
      </c>
      <c r="D605" s="81" t="n">
        <f aca="true">RAND()</f>
        <v>0.558037124956734</v>
      </c>
      <c r="E605" s="83" t="n">
        <f aca="false">IF(D605&lt;(Inputs!$E$10-Inputs!$D$10)/(Inputs!$F$10-Inputs!$D$10),Inputs!$D$10+SQRT(D605*(Inputs!$F$10-Inputs!$D$10)*(Inputs!$E$10-Inputs!$D$10)),Inputs!$F$10-SQRT((1-D605)*(Inputs!$F$10-Inputs!$D$10)*(Inputs!$F$10-Inputs!$E$10)))</f>
        <v>0.0848527627283312</v>
      </c>
      <c r="F605" s="81" t="n">
        <f aca="true">RAND()</f>
        <v>0.78293541866634</v>
      </c>
      <c r="G605" s="83" t="n">
        <f aca="false">IF(F605&lt;(Inputs!$E$15-Inputs!$D$15)/(Inputs!$F$15-Inputs!$D$15),Inputs!$D$15+SQRT(F605*(Inputs!$F$15-Inputs!$D$15)*(Inputs!$E$15-Inputs!$D$15)),Inputs!$F$15-SQRT((1-F605)*(Inputs!$F$15-Inputs!$D$15)*(Inputs!$F$15-Inputs!$E$15)))</f>
        <v>0.734111521290341</v>
      </c>
      <c r="H605" s="81" t="n">
        <f aca="true">RAND()</f>
        <v>0.513775365371862</v>
      </c>
      <c r="I605" s="82" t="n">
        <f aca="false">ROUND(IF(H605&lt;(Inputs!$E$17-Inputs!$D$17)/(Inputs!$F$17-Inputs!$D$17),Inputs!$D$17+SQRT(H605*(Inputs!$F$17-Inputs!$D$17)*(Inputs!$E$17-Inputs!$D$17)),Inputs!$F$17-SQRT((1-H605)*(Inputs!$F$17-Inputs!$D$17)*(Inputs!$F$17-Inputs!$E$17))),0)</f>
        <v>106</v>
      </c>
      <c r="J605" s="81" t="n">
        <f aca="true">RAND()</f>
        <v>0.399800531733752</v>
      </c>
      <c r="K605" s="83" t="n">
        <f aca="false">IF(J605&lt;(Inputs!$E$18-Inputs!$D$18)/(Inputs!$F$18-Inputs!$D$18),Inputs!$D$18+SQRT(J605*(Inputs!$F$18-Inputs!$D$18)*(Inputs!$E$18-Inputs!$D$18)),Inputs!$F$18-SQRT((1-J605)*(Inputs!$F$18-Inputs!$D$18)*(Inputs!$F$18-Inputs!$E$18)))</f>
        <v>1.02083313181593</v>
      </c>
      <c r="L605" s="81" t="n">
        <f aca="true">RAND()</f>
        <v>0.20294031418704</v>
      </c>
      <c r="M605" s="83" t="n">
        <f aca="false">IF(L605&lt;(Inputs!$E$24-Inputs!$D$24)/(Inputs!$F$24-Inputs!$D$24),Inputs!$D$24+SQRT(L605*(Inputs!$F$24-Inputs!$D$24)*(Inputs!$E$24-Inputs!$D$24)),Inputs!$F$24-SQRT((1-L605)*(Inputs!$F$24-Inputs!$D$24)*(Inputs!$F$24-Inputs!$E$24)))</f>
        <v>0.756053957663511</v>
      </c>
      <c r="N605" s="81" t="n">
        <f aca="true">RAND()</f>
        <v>0.741386617185715</v>
      </c>
      <c r="O605" s="83" t="n">
        <f aca="false">IF(N605&lt;(Inputs!$E$26-Inputs!$D$26)/(Inputs!$F$26-Inputs!$D$26),Inputs!$D$26+SQRT(N605*(Inputs!$F$26-Inputs!$D$26)*(Inputs!$E$26-Inputs!$D$26)),Inputs!$F$26-SQRT((1-N605)*(Inputs!$F$26-Inputs!$D$26)*(Inputs!$F$26-Inputs!$E$26)))</f>
        <v>0.65600063471865</v>
      </c>
      <c r="P605" s="81" t="n">
        <f aca="true">RAND()</f>
        <v>0.521886169671906</v>
      </c>
      <c r="Q605" s="82" t="n">
        <f aca="false">IF(P605&lt;(Inputs!$E$27-Inputs!$D$27)/(Inputs!$F$27-Inputs!$D$27),Inputs!$D$27+SQRT(P605*(Inputs!$F$27-Inputs!$D$27)*(Inputs!$E$27-Inputs!$D$27)),Inputs!$F$27-SQRT((1-P605)*(Inputs!$F$27-Inputs!$D$27)*(Inputs!$F$27-Inputs!$E$27)))</f>
        <v>90.1180016410549</v>
      </c>
      <c r="R605" s="81" t="n">
        <f aca="true">RAND()</f>
        <v>0.665422246229527</v>
      </c>
      <c r="S605" s="82" t="n">
        <f aca="false">IF(R605&lt;(Inputs!$E$29-Inputs!$D$29)/(Inputs!$F$29-Inputs!$D$29),Inputs!$D$29+SQRT(R605*(Inputs!$F$29-Inputs!$D$29)*(Inputs!$E$29-Inputs!$D$29)),Inputs!$F$29-SQRT((1-R605)*(Inputs!$F$29-Inputs!$D$29)*(Inputs!$F$29-Inputs!$E$29)))</f>
        <v>8.4049178935997</v>
      </c>
      <c r="T605" s="68" t="n">
        <f aca="false">Inputs!$E$9*(1+E605)+Inputs!$E$5*C605*(Inputs!$E$11*Inputs!$E$14*(G605*I605/Inputs!$E$16+(1-G605))*K605+Inputs!$E$23*M605)*(1+O605)+Inputs!$E$5*(Q605+S605)</f>
        <v>6765.68587794044</v>
      </c>
    </row>
    <row r="606" customFormat="false" ht="15" hidden="false" customHeight="false" outlineLevel="0" collapsed="false">
      <c r="A606" s="1" t="n">
        <v>602</v>
      </c>
      <c r="B606" s="81" t="n">
        <f aca="true">RAND()</f>
        <v>0.0511028849081433</v>
      </c>
      <c r="C606" s="82" t="n">
        <f aca="false">ROUND(IF(B606&lt;(Inputs!$E$8-Inputs!$D$8)/(Inputs!$F$8-Inputs!$D$8),Inputs!$D$8+SQRT(B606*(Inputs!$F$8-Inputs!$D$8)*(Inputs!$E$8-Inputs!$D$8)),Inputs!$F$8-SQRT((1-B606)*(Inputs!$F$8-Inputs!$D$8)*(Inputs!$F$8-Inputs!$E$8))),0)</f>
        <v>22</v>
      </c>
      <c r="D606" s="81" t="n">
        <f aca="true">RAND()</f>
        <v>0.487427212062851</v>
      </c>
      <c r="E606" s="83" t="n">
        <f aca="false">IF(D606&lt;(Inputs!$E$10-Inputs!$D$10)/(Inputs!$F$10-Inputs!$D$10),Inputs!$D$10+SQRT(D606*(Inputs!$F$10-Inputs!$D$10)*(Inputs!$E$10-Inputs!$D$10)),Inputs!$F$10-SQRT((1-D606)*(Inputs!$F$10-Inputs!$D$10)*(Inputs!$F$10-Inputs!$E$10)))</f>
        <v>0.0759952273575146</v>
      </c>
      <c r="F606" s="81" t="n">
        <f aca="true">RAND()</f>
        <v>0.690179859477327</v>
      </c>
      <c r="G606" s="83" t="n">
        <f aca="false">IF(F606&lt;(Inputs!$E$15-Inputs!$D$15)/(Inputs!$F$15-Inputs!$D$15),Inputs!$D$15+SQRT(F606*(Inputs!$F$15-Inputs!$D$15)*(Inputs!$E$15-Inputs!$D$15)),Inputs!$F$15-SQRT((1-F606)*(Inputs!$F$15-Inputs!$D$15)*(Inputs!$F$15-Inputs!$E$15)))</f>
        <v>0.721282766750517</v>
      </c>
      <c r="H606" s="81" t="n">
        <f aca="true">RAND()</f>
        <v>0.655559323199872</v>
      </c>
      <c r="I606" s="82" t="n">
        <f aca="false">ROUND(IF(H606&lt;(Inputs!$E$17-Inputs!$D$17)/(Inputs!$F$17-Inputs!$D$17),Inputs!$D$17+SQRT(H606*(Inputs!$F$17-Inputs!$D$17)*(Inputs!$E$17-Inputs!$D$17)),Inputs!$F$17-SQRT((1-H606)*(Inputs!$F$17-Inputs!$D$17)*(Inputs!$F$17-Inputs!$E$17))),0)</f>
        <v>108</v>
      </c>
      <c r="J606" s="81" t="n">
        <f aca="true">RAND()</f>
        <v>0.206788381714422</v>
      </c>
      <c r="K606" s="83" t="n">
        <f aca="false">IF(J606&lt;(Inputs!$E$18-Inputs!$D$18)/(Inputs!$F$18-Inputs!$D$18),Inputs!$D$18+SQRT(J606*(Inputs!$F$18-Inputs!$D$18)*(Inputs!$E$18-Inputs!$D$18)),Inputs!$F$18-SQRT((1-J606)*(Inputs!$F$18-Inputs!$D$18)*(Inputs!$F$18-Inputs!$E$18)))</f>
        <v>0.985074046336146</v>
      </c>
      <c r="L606" s="81" t="n">
        <f aca="true">RAND()</f>
        <v>0.879472235687468</v>
      </c>
      <c r="M606" s="83" t="n">
        <f aca="false">IF(L606&lt;(Inputs!$E$24-Inputs!$D$24)/(Inputs!$F$24-Inputs!$D$24),Inputs!$D$24+SQRT(L606*(Inputs!$F$24-Inputs!$D$24)*(Inputs!$E$24-Inputs!$D$24)),Inputs!$F$24-SQRT((1-L606)*(Inputs!$F$24-Inputs!$D$24)*(Inputs!$F$24-Inputs!$E$24)))</f>
        <v>1.02992159621219</v>
      </c>
      <c r="N606" s="81" t="n">
        <f aca="true">RAND()</f>
        <v>0.694960736834069</v>
      </c>
      <c r="O606" s="83" t="n">
        <f aca="false">IF(N606&lt;(Inputs!$E$26-Inputs!$D$26)/(Inputs!$F$26-Inputs!$D$26),Inputs!$D$26+SQRT(N606*(Inputs!$F$26-Inputs!$D$26)*(Inputs!$E$26-Inputs!$D$26)),Inputs!$F$26-SQRT((1-N606)*(Inputs!$F$26-Inputs!$D$26)*(Inputs!$F$26-Inputs!$E$26)))</f>
        <v>0.641887441854156</v>
      </c>
      <c r="P606" s="81" t="n">
        <f aca="true">RAND()</f>
        <v>0.44838656658596</v>
      </c>
      <c r="Q606" s="82" t="n">
        <f aca="false">IF(P606&lt;(Inputs!$E$27-Inputs!$D$27)/(Inputs!$F$27-Inputs!$D$27),Inputs!$D$27+SQRT(P606*(Inputs!$F$27-Inputs!$D$27)*(Inputs!$E$27-Inputs!$D$27)),Inputs!$F$27-SQRT((1-P606)*(Inputs!$F$27-Inputs!$D$27)*(Inputs!$F$27-Inputs!$E$27)))</f>
        <v>85.6797018772044</v>
      </c>
      <c r="R606" s="81" t="n">
        <f aca="true">RAND()</f>
        <v>0.711883431601417</v>
      </c>
      <c r="S606" s="82" t="n">
        <f aca="false">IF(R606&lt;(Inputs!$E$29-Inputs!$D$29)/(Inputs!$F$29-Inputs!$D$29),Inputs!$D$29+SQRT(R606*(Inputs!$F$29-Inputs!$D$29)*(Inputs!$E$29-Inputs!$D$29)),Inputs!$F$29-SQRT((1-R606)*(Inputs!$F$29-Inputs!$D$29)*(Inputs!$F$29-Inputs!$E$29)))</f>
        <v>8.87993840784132</v>
      </c>
      <c r="T606" s="68" t="n">
        <f aca="false">Inputs!$E$9*(1+E606)+Inputs!$E$5*C606*(Inputs!$E$11*Inputs!$E$14*(G606*I606/Inputs!$E$16+(1-G606))*K606+Inputs!$E$23*M606)*(1+O606)+Inputs!$E$5*(Q606+S606)</f>
        <v>6083.93270986182</v>
      </c>
    </row>
    <row r="607" customFormat="false" ht="15" hidden="false" customHeight="false" outlineLevel="0" collapsed="false">
      <c r="A607" s="1" t="n">
        <v>603</v>
      </c>
      <c r="B607" s="81" t="n">
        <f aca="true">RAND()</f>
        <v>0.735542860484154</v>
      </c>
      <c r="C607" s="82" t="n">
        <f aca="false">ROUND(IF(B607&lt;(Inputs!$E$8-Inputs!$D$8)/(Inputs!$F$8-Inputs!$D$8),Inputs!$D$8+SQRT(B607*(Inputs!$F$8-Inputs!$D$8)*(Inputs!$E$8-Inputs!$D$8)),Inputs!$F$8-SQRT((1-B607)*(Inputs!$F$8-Inputs!$D$8)*(Inputs!$F$8-Inputs!$E$8))),0)</f>
        <v>26</v>
      </c>
      <c r="D607" s="81" t="n">
        <f aca="true">RAND()</f>
        <v>0.518779138735282</v>
      </c>
      <c r="E607" s="83" t="n">
        <f aca="false">IF(D607&lt;(Inputs!$E$10-Inputs!$D$10)/(Inputs!$F$10-Inputs!$D$10),Inputs!$D$10+SQRT(D607*(Inputs!$F$10-Inputs!$D$10)*(Inputs!$E$10-Inputs!$D$10)),Inputs!$F$10-SQRT((1-D607)*(Inputs!$F$10-Inputs!$D$10)*(Inputs!$F$10-Inputs!$E$10)))</f>
        <v>0.0798474892566054</v>
      </c>
      <c r="F607" s="81" t="n">
        <f aca="true">RAND()</f>
        <v>0.984836061682307</v>
      </c>
      <c r="G607" s="83" t="n">
        <f aca="false">IF(F607&lt;(Inputs!$E$15-Inputs!$D$15)/(Inputs!$F$15-Inputs!$D$15),Inputs!$D$15+SQRT(F607*(Inputs!$F$15-Inputs!$D$15)*(Inputs!$E$15-Inputs!$D$15)),Inputs!$F$15-SQRT((1-F607)*(Inputs!$F$15-Inputs!$D$15)*(Inputs!$F$15-Inputs!$E$15)))</f>
        <v>0.782585099301063</v>
      </c>
      <c r="H607" s="81" t="n">
        <f aca="true">RAND()</f>
        <v>0.73891180020573</v>
      </c>
      <c r="I607" s="82" t="n">
        <f aca="false">ROUND(IF(H607&lt;(Inputs!$E$17-Inputs!$D$17)/(Inputs!$F$17-Inputs!$D$17),Inputs!$D$17+SQRT(H607*(Inputs!$F$17-Inputs!$D$17)*(Inputs!$E$17-Inputs!$D$17)),Inputs!$F$17-SQRT((1-H607)*(Inputs!$F$17-Inputs!$D$17)*(Inputs!$F$17-Inputs!$E$17))),0)</f>
        <v>109</v>
      </c>
      <c r="J607" s="81" t="n">
        <f aca="true">RAND()</f>
        <v>0.566530290370717</v>
      </c>
      <c r="K607" s="83" t="n">
        <f aca="false">IF(J607&lt;(Inputs!$E$18-Inputs!$D$18)/(Inputs!$F$18-Inputs!$D$18),Inputs!$D$18+SQRT(J607*(Inputs!$F$18-Inputs!$D$18)*(Inputs!$E$18-Inputs!$D$18)),Inputs!$F$18-SQRT((1-J607)*(Inputs!$F$18-Inputs!$D$18)*(Inputs!$F$18-Inputs!$E$18)))</f>
        <v>1.05524733739288</v>
      </c>
      <c r="L607" s="81" t="n">
        <f aca="true">RAND()</f>
        <v>0.558116640519854</v>
      </c>
      <c r="M607" s="83" t="n">
        <f aca="false">IF(L607&lt;(Inputs!$E$24-Inputs!$D$24)/(Inputs!$F$24-Inputs!$D$24),Inputs!$D$24+SQRT(L607*(Inputs!$F$24-Inputs!$D$24)*(Inputs!$E$24-Inputs!$D$24)),Inputs!$F$24-SQRT((1-L607)*(Inputs!$F$24-Inputs!$D$24)*(Inputs!$F$24-Inputs!$E$24)))</f>
        <v>0.874343729869614</v>
      </c>
      <c r="N607" s="81" t="n">
        <f aca="true">RAND()</f>
        <v>0.562847964922057</v>
      </c>
      <c r="O607" s="83" t="n">
        <f aca="false">IF(N607&lt;(Inputs!$E$26-Inputs!$D$26)/(Inputs!$F$26-Inputs!$D$26),Inputs!$D$26+SQRT(N607*(Inputs!$F$26-Inputs!$D$26)*(Inputs!$E$26-Inputs!$D$26)),Inputs!$F$26-SQRT((1-N607)*(Inputs!$F$26-Inputs!$D$26)*(Inputs!$F$26-Inputs!$E$26)))</f>
        <v>0.606035784448535</v>
      </c>
      <c r="P607" s="81" t="n">
        <f aca="true">RAND()</f>
        <v>0.739079308137374</v>
      </c>
      <c r="Q607" s="82" t="n">
        <f aca="false">IF(P607&lt;(Inputs!$E$27-Inputs!$D$27)/(Inputs!$F$27-Inputs!$D$27),Inputs!$D$27+SQRT(P607*(Inputs!$F$27-Inputs!$D$27)*(Inputs!$E$27-Inputs!$D$27)),Inputs!$F$27-SQRT((1-P607)*(Inputs!$F$27-Inputs!$D$27)*(Inputs!$F$27-Inputs!$E$27)))</f>
        <v>105.763078893647</v>
      </c>
      <c r="R607" s="81" t="n">
        <f aca="true">RAND()</f>
        <v>0.798477402708289</v>
      </c>
      <c r="S607" s="82" t="n">
        <f aca="false">IF(R607&lt;(Inputs!$E$29-Inputs!$D$29)/(Inputs!$F$29-Inputs!$D$29),Inputs!$D$29+SQRT(R607*(Inputs!$F$29-Inputs!$D$29)*(Inputs!$E$29-Inputs!$D$29)),Inputs!$F$29-SQRT((1-R607)*(Inputs!$F$29-Inputs!$D$29)*(Inputs!$F$29-Inputs!$E$29)))</f>
        <v>9.88160790404618</v>
      </c>
      <c r="T607" s="68" t="n">
        <f aca="false">Inputs!$E$9*(1+E607)+Inputs!$E$5*C607*(Inputs!$E$11*Inputs!$E$14*(G607*I607/Inputs!$E$16+(1-G607))*K607+Inputs!$E$23*M607)*(1+O607)+Inputs!$E$5*(Q607+S607)</f>
        <v>6558.00796157836</v>
      </c>
    </row>
    <row r="608" customFormat="false" ht="15" hidden="false" customHeight="false" outlineLevel="0" collapsed="false">
      <c r="A608" s="1" t="n">
        <v>604</v>
      </c>
      <c r="B608" s="81" t="n">
        <f aca="true">RAND()</f>
        <v>0.297706098129077</v>
      </c>
      <c r="C608" s="82" t="n">
        <f aca="false">ROUND(IF(B608&lt;(Inputs!$E$8-Inputs!$D$8)/(Inputs!$F$8-Inputs!$D$8),Inputs!$D$8+SQRT(B608*(Inputs!$F$8-Inputs!$D$8)*(Inputs!$E$8-Inputs!$D$8)),Inputs!$F$8-SQRT((1-B608)*(Inputs!$F$8-Inputs!$D$8)*(Inputs!$F$8-Inputs!$E$8))),0)</f>
        <v>24</v>
      </c>
      <c r="D608" s="81" t="n">
        <f aca="true">RAND()</f>
        <v>0.62396656238259</v>
      </c>
      <c r="E608" s="83" t="n">
        <f aca="false">IF(D608&lt;(Inputs!$E$10-Inputs!$D$10)/(Inputs!$F$10-Inputs!$D$10),Inputs!$D$10+SQRT(D608*(Inputs!$F$10-Inputs!$D$10)*(Inputs!$E$10-Inputs!$D$10)),Inputs!$F$10-SQRT((1-D608)*(Inputs!$F$10-Inputs!$D$10)*(Inputs!$F$10-Inputs!$E$10)))</f>
        <v>0.0937879332254461</v>
      </c>
      <c r="F608" s="81" t="n">
        <f aca="true">RAND()</f>
        <v>0.143544137787009</v>
      </c>
      <c r="G608" s="83" t="n">
        <f aca="false">IF(F608&lt;(Inputs!$E$15-Inputs!$D$15)/(Inputs!$F$15-Inputs!$D$15),Inputs!$D$15+SQRT(F608*(Inputs!$F$15-Inputs!$D$15)*(Inputs!$E$15-Inputs!$D$15)),Inputs!$F$15-SQRT((1-F608)*(Inputs!$F$15-Inputs!$D$15)*(Inputs!$F$15-Inputs!$E$15)))</f>
        <v>0.653580619217588</v>
      </c>
      <c r="H608" s="81" t="n">
        <f aca="true">RAND()</f>
        <v>0.879287704655265</v>
      </c>
      <c r="I608" s="82" t="n">
        <f aca="false">ROUND(IF(H608&lt;(Inputs!$E$17-Inputs!$D$17)/(Inputs!$F$17-Inputs!$D$17),Inputs!$D$17+SQRT(H608*(Inputs!$F$17-Inputs!$D$17)*(Inputs!$E$17-Inputs!$D$17)),Inputs!$F$17-SQRT((1-H608)*(Inputs!$F$17-Inputs!$D$17)*(Inputs!$F$17-Inputs!$E$17))),0)</f>
        <v>111</v>
      </c>
      <c r="J608" s="81" t="n">
        <f aca="true">RAND()</f>
        <v>0.0646507231814938</v>
      </c>
      <c r="K608" s="83" t="n">
        <f aca="false">IF(J608&lt;(Inputs!$E$18-Inputs!$D$18)/(Inputs!$F$18-Inputs!$D$18),Inputs!$D$18+SQRT(J608*(Inputs!$F$18-Inputs!$D$18)*(Inputs!$E$18-Inputs!$D$18)),Inputs!$F$18-SQRT((1-J608)*(Inputs!$F$18-Inputs!$D$18)*(Inputs!$F$18-Inputs!$E$18)))</f>
        <v>0.947568637896752</v>
      </c>
      <c r="L608" s="81" t="n">
        <f aca="true">RAND()</f>
        <v>0.955880087997084</v>
      </c>
      <c r="M608" s="83" t="n">
        <f aca="false">IF(L608&lt;(Inputs!$E$24-Inputs!$D$24)/(Inputs!$F$24-Inputs!$D$24),Inputs!$D$24+SQRT(L608*(Inputs!$F$24-Inputs!$D$24)*(Inputs!$E$24-Inputs!$D$24)),Inputs!$F$24-SQRT((1-L608)*(Inputs!$F$24-Inputs!$D$24)*(Inputs!$F$24-Inputs!$E$24)))</f>
        <v>1.09709820759239</v>
      </c>
      <c r="N608" s="81" t="n">
        <f aca="true">RAND()</f>
        <v>0.52884871067834</v>
      </c>
      <c r="O608" s="83" t="n">
        <f aca="false">IF(N608&lt;(Inputs!$E$26-Inputs!$D$26)/(Inputs!$F$26-Inputs!$D$26),Inputs!$D$26+SQRT(N608*(Inputs!$F$26-Inputs!$D$26)*(Inputs!$E$26-Inputs!$D$26)),Inputs!$F$26-SQRT((1-N608)*(Inputs!$F$26-Inputs!$D$26)*(Inputs!$F$26-Inputs!$E$26)))</f>
        <v>0.596648656590378</v>
      </c>
      <c r="P608" s="81" t="n">
        <f aca="true">RAND()</f>
        <v>0.0260480142538767</v>
      </c>
      <c r="Q608" s="82" t="n">
        <f aca="false">IF(P608&lt;(Inputs!$E$27-Inputs!$D$27)/(Inputs!$F$27-Inputs!$D$27),Inputs!$D$27+SQRT(P608*(Inputs!$F$27-Inputs!$D$27)*(Inputs!$E$27-Inputs!$D$27)),Inputs!$F$27-SQRT((1-P608)*(Inputs!$F$27-Inputs!$D$27)*(Inputs!$F$27-Inputs!$E$27)))</f>
        <v>58.0696986086651</v>
      </c>
      <c r="R608" s="81" t="n">
        <f aca="true">RAND()</f>
        <v>0.35111649603292</v>
      </c>
      <c r="S608" s="82" t="n">
        <f aca="false">IF(R608&lt;(Inputs!$E$29-Inputs!$D$29)/(Inputs!$F$29-Inputs!$D$29),Inputs!$D$29+SQRT(R608*(Inputs!$F$29-Inputs!$D$29)*(Inputs!$E$29-Inputs!$D$29)),Inputs!$F$29-SQRT((1-R608)*(Inputs!$F$29-Inputs!$D$29)*(Inputs!$F$29-Inputs!$E$29)))</f>
        <v>5.81551005685561</v>
      </c>
      <c r="T608" s="68" t="n">
        <f aca="false">Inputs!$E$9*(1+E608)+Inputs!$E$5*C608*(Inputs!$E$11*Inputs!$E$14*(G608*I608/Inputs!$E$16+(1-G608))*K608+Inputs!$E$23*M608)*(1+O608)+Inputs!$E$5*(Q608+S608)</f>
        <v>6289.8576027075</v>
      </c>
    </row>
    <row r="609" customFormat="false" ht="15" hidden="false" customHeight="false" outlineLevel="0" collapsed="false">
      <c r="A609" s="1" t="n">
        <v>605</v>
      </c>
      <c r="B609" s="81" t="n">
        <f aca="true">RAND()</f>
        <v>0.0145509808334546</v>
      </c>
      <c r="C609" s="82" t="n">
        <f aca="false">ROUND(IF(B609&lt;(Inputs!$E$8-Inputs!$D$8)/(Inputs!$F$8-Inputs!$D$8),Inputs!$D$8+SQRT(B609*(Inputs!$F$8-Inputs!$D$8)*(Inputs!$E$8-Inputs!$D$8)),Inputs!$F$8-SQRT((1-B609)*(Inputs!$F$8-Inputs!$D$8)*(Inputs!$F$8-Inputs!$E$8))),0)</f>
        <v>21</v>
      </c>
      <c r="D609" s="81" t="n">
        <f aca="true">RAND()</f>
        <v>0.132759828412128</v>
      </c>
      <c r="E609" s="83" t="n">
        <f aca="false">IF(D609&lt;(Inputs!$E$10-Inputs!$D$10)/(Inputs!$F$10-Inputs!$D$10),Inputs!$D$10+SQRT(D609*(Inputs!$F$10-Inputs!$D$10)*(Inputs!$E$10-Inputs!$D$10)),Inputs!$F$10-SQRT((1-D609)*(Inputs!$F$10-Inputs!$D$10)*(Inputs!$F$10-Inputs!$E$10)))</f>
        <v>0.0364362221439226</v>
      </c>
      <c r="F609" s="81" t="n">
        <f aca="true">RAND()</f>
        <v>0.822106744683483</v>
      </c>
      <c r="G609" s="83" t="n">
        <f aca="false">IF(F609&lt;(Inputs!$E$15-Inputs!$D$15)/(Inputs!$F$15-Inputs!$D$15),Inputs!$D$15+SQRT(F609*(Inputs!$F$15-Inputs!$D$15)*(Inputs!$E$15-Inputs!$D$15)),Inputs!$F$15-SQRT((1-F609)*(Inputs!$F$15-Inputs!$D$15)*(Inputs!$F$15-Inputs!$E$15)))</f>
        <v>0.740352157571876</v>
      </c>
      <c r="H609" s="81" t="n">
        <f aca="true">RAND()</f>
        <v>0.909006630014616</v>
      </c>
      <c r="I609" s="82" t="n">
        <f aca="false">ROUND(IF(H609&lt;(Inputs!$E$17-Inputs!$D$17)/(Inputs!$F$17-Inputs!$D$17),Inputs!$D$17+SQRT(H609*(Inputs!$F$17-Inputs!$D$17)*(Inputs!$E$17-Inputs!$D$17)),Inputs!$F$17-SQRT((1-H609)*(Inputs!$F$17-Inputs!$D$17)*(Inputs!$F$17-Inputs!$E$17))),0)</f>
        <v>111</v>
      </c>
      <c r="J609" s="81" t="n">
        <f aca="true">RAND()</f>
        <v>0.811315030761846</v>
      </c>
      <c r="K609" s="83" t="n">
        <f aca="false">IF(J609&lt;(Inputs!$E$18-Inputs!$D$18)/(Inputs!$F$18-Inputs!$D$18),Inputs!$D$18+SQRT(J609*(Inputs!$F$18-Inputs!$D$18)*(Inputs!$E$18-Inputs!$D$18)),Inputs!$F$18-SQRT((1-J609)*(Inputs!$F$18-Inputs!$D$18)*(Inputs!$F$18-Inputs!$E$18)))</f>
        <v>1.12150900884366</v>
      </c>
      <c r="L609" s="81" t="n">
        <f aca="true">RAND()</f>
        <v>0.201652649503529</v>
      </c>
      <c r="M609" s="83" t="n">
        <f aca="false">IF(L609&lt;(Inputs!$E$24-Inputs!$D$24)/(Inputs!$F$24-Inputs!$D$24),Inputs!$D$24+SQRT(L609*(Inputs!$F$24-Inputs!$D$24)*(Inputs!$E$24-Inputs!$D$24)),Inputs!$F$24-SQRT((1-L609)*(Inputs!$F$24-Inputs!$D$24)*(Inputs!$F$24-Inputs!$E$24)))</f>
        <v>0.755558085422852</v>
      </c>
      <c r="N609" s="81" t="n">
        <f aca="true">RAND()</f>
        <v>0.447446883364581</v>
      </c>
      <c r="O609" s="83" t="n">
        <f aca="false">IF(N609&lt;(Inputs!$E$26-Inputs!$D$26)/(Inputs!$F$26-Inputs!$D$26),Inputs!$D$26+SQRT(N609*(Inputs!$F$26-Inputs!$D$26)*(Inputs!$E$26-Inputs!$D$26)),Inputs!$F$26-SQRT((1-N609)*(Inputs!$F$26-Inputs!$D$26)*(Inputs!$F$26-Inputs!$E$26)))</f>
        <v>0.572864730941663</v>
      </c>
      <c r="P609" s="81" t="n">
        <f aca="true">RAND()</f>
        <v>0.410223274925443</v>
      </c>
      <c r="Q609" s="82" t="n">
        <f aca="false">IF(P609&lt;(Inputs!$E$27-Inputs!$D$27)/(Inputs!$F$27-Inputs!$D$27),Inputs!$D$27+SQRT(P609*(Inputs!$F$27-Inputs!$D$27)*(Inputs!$E$27-Inputs!$D$27)),Inputs!$F$27-SQRT((1-P609)*(Inputs!$F$27-Inputs!$D$27)*(Inputs!$F$27-Inputs!$E$27)))</f>
        <v>83.4919144910999</v>
      </c>
      <c r="R609" s="81" t="n">
        <f aca="true">RAND()</f>
        <v>0.579463159276748</v>
      </c>
      <c r="S609" s="82" t="n">
        <f aca="false">IF(R609&lt;(Inputs!$E$29-Inputs!$D$29)/(Inputs!$F$29-Inputs!$D$29),Inputs!$D$29+SQRT(R609*(Inputs!$F$29-Inputs!$D$29)*(Inputs!$E$29-Inputs!$D$29)),Inputs!$F$29-SQRT((1-R609)*(Inputs!$F$29-Inputs!$D$29)*(Inputs!$F$29-Inputs!$E$29)))</f>
        <v>7.60609783037247</v>
      </c>
      <c r="T609" s="68" t="n">
        <f aca="false">Inputs!$E$9*(1+E609)+Inputs!$E$5*C609*(Inputs!$E$11*Inputs!$E$14*(G609*I609/Inputs!$E$16+(1-G609))*K609+Inputs!$E$23*M609)*(1+O609)+Inputs!$E$5*(Q609+S609)</f>
        <v>5633.35914752445</v>
      </c>
    </row>
    <row r="610" customFormat="false" ht="15" hidden="false" customHeight="false" outlineLevel="0" collapsed="false">
      <c r="A610" s="1" t="n">
        <v>606</v>
      </c>
      <c r="B610" s="81" t="n">
        <f aca="true">RAND()</f>
        <v>0.751386959331704</v>
      </c>
      <c r="C610" s="82" t="n">
        <f aca="false">ROUND(IF(B610&lt;(Inputs!$E$8-Inputs!$D$8)/(Inputs!$F$8-Inputs!$D$8),Inputs!$D$8+SQRT(B610*(Inputs!$F$8-Inputs!$D$8)*(Inputs!$E$8-Inputs!$D$8)),Inputs!$F$8-SQRT((1-B610)*(Inputs!$F$8-Inputs!$D$8)*(Inputs!$F$8-Inputs!$E$8))),0)</f>
        <v>26</v>
      </c>
      <c r="D610" s="81" t="n">
        <f aca="true">RAND()</f>
        <v>0.72711824562745</v>
      </c>
      <c r="E610" s="83" t="n">
        <f aca="false">IF(D610&lt;(Inputs!$E$10-Inputs!$D$10)/(Inputs!$F$10-Inputs!$D$10),Inputs!$D$10+SQRT(D610*(Inputs!$F$10-Inputs!$D$10)*(Inputs!$E$10-Inputs!$D$10)),Inputs!$F$10-SQRT((1-D610)*(Inputs!$F$10-Inputs!$D$10)*(Inputs!$F$10-Inputs!$E$10)))</f>
        <v>0.109520982370626</v>
      </c>
      <c r="F610" s="81" t="n">
        <f aca="true">RAND()</f>
        <v>0.546066183086772</v>
      </c>
      <c r="G610" s="83" t="n">
        <f aca="false">IF(F610&lt;(Inputs!$E$15-Inputs!$D$15)/(Inputs!$F$15-Inputs!$D$15),Inputs!$D$15+SQRT(F610*(Inputs!$F$15-Inputs!$D$15)*(Inputs!$E$15-Inputs!$D$15)),Inputs!$F$15-SQRT((1-F610)*(Inputs!$F$15-Inputs!$D$15)*(Inputs!$F$15-Inputs!$E$15)))</f>
        <v>0.704717911765828</v>
      </c>
      <c r="H610" s="81" t="n">
        <f aca="true">RAND()</f>
        <v>0.208004356334021</v>
      </c>
      <c r="I610" s="82" t="n">
        <f aca="false">ROUND(IF(H610&lt;(Inputs!$E$17-Inputs!$D$17)/(Inputs!$F$17-Inputs!$D$17),Inputs!$D$17+SQRT(H610*(Inputs!$F$17-Inputs!$D$17)*(Inputs!$E$17-Inputs!$D$17)),Inputs!$F$17-SQRT((1-H610)*(Inputs!$F$17-Inputs!$D$17)*(Inputs!$F$17-Inputs!$E$17))),0)</f>
        <v>104</v>
      </c>
      <c r="J610" s="81" t="n">
        <f aca="true">RAND()</f>
        <v>0.649407835321421</v>
      </c>
      <c r="K610" s="83" t="n">
        <f aca="false">IF(J610&lt;(Inputs!$E$18-Inputs!$D$18)/(Inputs!$F$18-Inputs!$D$18),Inputs!$D$18+SQRT(J610*(Inputs!$F$18-Inputs!$D$18)*(Inputs!$E$18-Inputs!$D$18)),Inputs!$F$18-SQRT((1-J610)*(Inputs!$F$18-Inputs!$D$18)*(Inputs!$F$18-Inputs!$E$18)))</f>
        <v>1.07485202139512</v>
      </c>
      <c r="L610" s="81" t="n">
        <f aca="true">RAND()</f>
        <v>0.471715607693942</v>
      </c>
      <c r="M610" s="83" t="n">
        <f aca="false">IF(L610&lt;(Inputs!$E$24-Inputs!$D$24)/(Inputs!$F$24-Inputs!$D$24),Inputs!$D$24+SQRT(L610*(Inputs!$F$24-Inputs!$D$24)*(Inputs!$E$24-Inputs!$D$24)),Inputs!$F$24-SQRT((1-L610)*(Inputs!$F$24-Inputs!$D$24)*(Inputs!$F$24-Inputs!$E$24)))</f>
        <v>0.843926616898351</v>
      </c>
      <c r="N610" s="81" t="n">
        <f aca="true">RAND()</f>
        <v>0.649960416271763</v>
      </c>
      <c r="O610" s="83" t="n">
        <f aca="false">IF(N610&lt;(Inputs!$E$26-Inputs!$D$26)/(Inputs!$F$26-Inputs!$D$26),Inputs!$D$26+SQRT(N610*(Inputs!$F$26-Inputs!$D$26)*(Inputs!$E$26-Inputs!$D$26)),Inputs!$F$26-SQRT((1-N610)*(Inputs!$F$26-Inputs!$D$26)*(Inputs!$F$26-Inputs!$E$26)))</f>
        <v>0.629201371315891</v>
      </c>
      <c r="P610" s="81" t="n">
        <f aca="true">RAND()</f>
        <v>0.775011124529083</v>
      </c>
      <c r="Q610" s="82" t="n">
        <f aca="false">IF(P610&lt;(Inputs!$E$27-Inputs!$D$27)/(Inputs!$F$27-Inputs!$D$27),Inputs!$D$27+SQRT(P610*(Inputs!$F$27-Inputs!$D$27)*(Inputs!$E$27-Inputs!$D$27)),Inputs!$F$27-SQRT((1-P610)*(Inputs!$F$27-Inputs!$D$27)*(Inputs!$F$27-Inputs!$E$27)))</f>
        <v>108.921823725585</v>
      </c>
      <c r="R610" s="81" t="n">
        <f aca="true">RAND()</f>
        <v>0.274237147403692</v>
      </c>
      <c r="S610" s="82" t="n">
        <f aca="false">IF(R610&lt;(Inputs!$E$29-Inputs!$D$29)/(Inputs!$F$29-Inputs!$D$29),Inputs!$D$29+SQRT(R610*(Inputs!$F$29-Inputs!$D$29)*(Inputs!$E$29-Inputs!$D$29)),Inputs!$F$29-SQRT((1-R610)*(Inputs!$F$29-Inputs!$D$29)*(Inputs!$F$29-Inputs!$E$29)))</f>
        <v>5.28664986539042</v>
      </c>
      <c r="T610" s="68" t="n">
        <f aca="false">Inputs!$E$9*(1+E610)+Inputs!$E$5*C610*(Inputs!$E$11*Inputs!$E$14*(G610*I610/Inputs!$E$16+(1-G610))*K610+Inputs!$E$23*M610)*(1+O610)+Inputs!$E$5*(Q610+S610)</f>
        <v>6710.93321826813</v>
      </c>
    </row>
    <row r="611" customFormat="false" ht="15" hidden="false" customHeight="false" outlineLevel="0" collapsed="false">
      <c r="A611" s="1" t="n">
        <v>607</v>
      </c>
      <c r="B611" s="81" t="n">
        <f aca="true">RAND()</f>
        <v>0.656971235703879</v>
      </c>
      <c r="C611" s="82" t="n">
        <f aca="false">ROUND(IF(B611&lt;(Inputs!$E$8-Inputs!$D$8)/(Inputs!$F$8-Inputs!$D$8),Inputs!$D$8+SQRT(B611*(Inputs!$F$8-Inputs!$D$8)*(Inputs!$E$8-Inputs!$D$8)),Inputs!$F$8-SQRT((1-B611)*(Inputs!$F$8-Inputs!$D$8)*(Inputs!$F$8-Inputs!$E$8))),0)</f>
        <v>26</v>
      </c>
      <c r="D611" s="81" t="n">
        <f aca="true">RAND()</f>
        <v>0.764065047334929</v>
      </c>
      <c r="E611" s="83" t="n">
        <f aca="false">IF(D611&lt;(Inputs!$E$10-Inputs!$D$10)/(Inputs!$F$10-Inputs!$D$10),Inputs!$D$10+SQRT(D611*(Inputs!$F$10-Inputs!$D$10)*(Inputs!$E$10-Inputs!$D$10)),Inputs!$F$10-SQRT((1-D611)*(Inputs!$F$10-Inputs!$D$10)*(Inputs!$F$10-Inputs!$E$10)))</f>
        <v>0.115868860818647</v>
      </c>
      <c r="F611" s="81" t="n">
        <f aca="true">RAND()</f>
        <v>0.612975584362738</v>
      </c>
      <c r="G611" s="83" t="n">
        <f aca="false">IF(F611&lt;(Inputs!$E$15-Inputs!$D$15)/(Inputs!$F$15-Inputs!$D$15),Inputs!$D$15+SQRT(F611*(Inputs!$F$15-Inputs!$D$15)*(Inputs!$E$15-Inputs!$D$15)),Inputs!$F$15-SQRT((1-F611)*(Inputs!$F$15-Inputs!$D$15)*(Inputs!$F$15-Inputs!$E$15)))</f>
        <v>0.712019955031012</v>
      </c>
      <c r="H611" s="81" t="n">
        <f aca="true">RAND()</f>
        <v>0.280628751094134</v>
      </c>
      <c r="I611" s="82" t="n">
        <f aca="false">ROUND(IF(H611&lt;(Inputs!$E$17-Inputs!$D$17)/(Inputs!$F$17-Inputs!$D$17),Inputs!$D$17+SQRT(H611*(Inputs!$F$17-Inputs!$D$17)*(Inputs!$E$17-Inputs!$D$17)),Inputs!$F$17-SQRT((1-H611)*(Inputs!$F$17-Inputs!$D$17)*(Inputs!$F$17-Inputs!$E$17))),0)</f>
        <v>105</v>
      </c>
      <c r="J611" s="81" t="n">
        <f aca="true">RAND()</f>
        <v>0.285445076997397</v>
      </c>
      <c r="K611" s="83" t="n">
        <f aca="false">IF(J611&lt;(Inputs!$E$18-Inputs!$D$18)/(Inputs!$F$18-Inputs!$D$18),Inputs!$D$18+SQRT(J611*(Inputs!$F$18-Inputs!$D$18)*(Inputs!$E$18-Inputs!$D$18)),Inputs!$F$18-SQRT((1-J611)*(Inputs!$F$18-Inputs!$D$18)*(Inputs!$F$18-Inputs!$E$18)))</f>
        <v>0.999952877371834</v>
      </c>
      <c r="L611" s="81" t="n">
        <f aca="true">RAND()</f>
        <v>0.162937670612873</v>
      </c>
      <c r="M611" s="83" t="n">
        <f aca="false">IF(L611&lt;(Inputs!$E$24-Inputs!$D$24)/(Inputs!$F$24-Inputs!$D$24),Inputs!$D$24+SQRT(L611*(Inputs!$F$24-Inputs!$D$24)*(Inputs!$E$24-Inputs!$D$24)),Inputs!$F$24-SQRT((1-L611)*(Inputs!$F$24-Inputs!$D$24)*(Inputs!$F$24-Inputs!$E$24)))</f>
        <v>0.739830327445604</v>
      </c>
      <c r="N611" s="81" t="n">
        <f aca="true">RAND()</f>
        <v>0.0145565949714167</v>
      </c>
      <c r="O611" s="83" t="n">
        <f aca="false">IF(N611&lt;(Inputs!$E$26-Inputs!$D$26)/(Inputs!$F$26-Inputs!$D$26),Inputs!$D$26+SQRT(N611*(Inputs!$F$26-Inputs!$D$26)*(Inputs!$E$26-Inputs!$D$26)),Inputs!$F$26-SQRT((1-N611)*(Inputs!$F$26-Inputs!$D$26)*(Inputs!$F$26-Inputs!$E$26)))</f>
        <v>0.349216027910059</v>
      </c>
      <c r="P611" s="81" t="n">
        <f aca="true">RAND()</f>
        <v>0.603376228316897</v>
      </c>
      <c r="Q611" s="82" t="n">
        <f aca="false">IF(P611&lt;(Inputs!$E$27-Inputs!$D$27)/(Inputs!$F$27-Inputs!$D$27),Inputs!$D$27+SQRT(P611*(Inputs!$F$27-Inputs!$D$27)*(Inputs!$E$27-Inputs!$D$27)),Inputs!$F$27-SQRT((1-P611)*(Inputs!$F$27-Inputs!$D$27)*(Inputs!$F$27-Inputs!$E$27)))</f>
        <v>95.4593886390767</v>
      </c>
      <c r="R611" s="81" t="n">
        <f aca="true">RAND()</f>
        <v>0.981888774523811</v>
      </c>
      <c r="S611" s="82" t="n">
        <f aca="false">IF(R611&lt;(Inputs!$E$29-Inputs!$D$29)/(Inputs!$F$29-Inputs!$D$29),Inputs!$D$29+SQRT(R611*(Inputs!$F$29-Inputs!$D$29)*(Inputs!$E$29-Inputs!$D$29)),Inputs!$F$29-SQRT((1-R611)*(Inputs!$F$29-Inputs!$D$29)*(Inputs!$F$29-Inputs!$E$29)))</f>
        <v>13.4655752504914</v>
      </c>
      <c r="T611" s="68" t="n">
        <f aca="false">Inputs!$E$9*(1+E611)+Inputs!$E$5*C611*(Inputs!$E$11*Inputs!$E$14*(G611*I611/Inputs!$E$16+(1-G611))*K611+Inputs!$E$23*M611)*(1+O611)+Inputs!$E$5*(Q611+S611)</f>
        <v>5794.46348317166</v>
      </c>
    </row>
    <row r="612" customFormat="false" ht="15" hidden="false" customHeight="false" outlineLevel="0" collapsed="false">
      <c r="A612" s="1" t="n">
        <v>608</v>
      </c>
      <c r="B612" s="81" t="n">
        <f aca="true">RAND()</f>
        <v>0.564481101544617</v>
      </c>
      <c r="C612" s="82" t="n">
        <f aca="false">ROUND(IF(B612&lt;(Inputs!$E$8-Inputs!$D$8)/(Inputs!$F$8-Inputs!$D$8),Inputs!$D$8+SQRT(B612*(Inputs!$F$8-Inputs!$D$8)*(Inputs!$E$8-Inputs!$D$8)),Inputs!$F$8-SQRT((1-B612)*(Inputs!$F$8-Inputs!$D$8)*(Inputs!$F$8-Inputs!$E$8))),0)</f>
        <v>25</v>
      </c>
      <c r="D612" s="81" t="n">
        <f aca="true">RAND()</f>
        <v>0.562780493446023</v>
      </c>
      <c r="E612" s="83" t="n">
        <f aca="false">IF(D612&lt;(Inputs!$E$10-Inputs!$D$10)/(Inputs!$F$10-Inputs!$D$10),Inputs!$D$10+SQRT(D612*(Inputs!$F$10-Inputs!$D$10)*(Inputs!$E$10-Inputs!$D$10)),Inputs!$F$10-SQRT((1-D612)*(Inputs!$F$10-Inputs!$D$10)*(Inputs!$F$10-Inputs!$E$10)))</f>
        <v>0.0854723387271909</v>
      </c>
      <c r="F612" s="81" t="n">
        <f aca="true">RAND()</f>
        <v>0.00201444575669025</v>
      </c>
      <c r="G612" s="83" t="n">
        <f aca="false">IF(F612&lt;(Inputs!$E$15-Inputs!$D$15)/(Inputs!$F$15-Inputs!$D$15),Inputs!$D$15+SQRT(F612*(Inputs!$F$15-Inputs!$D$15)*(Inputs!$E$15-Inputs!$D$15)),Inputs!$F$15-SQRT((1-F612)*(Inputs!$F$15-Inputs!$D$15)*(Inputs!$F$15-Inputs!$E$15)))</f>
        <v>0.606347354971467</v>
      </c>
      <c r="H612" s="81" t="n">
        <f aca="true">RAND()</f>
        <v>0.507457975777448</v>
      </c>
      <c r="I612" s="82" t="n">
        <f aca="false">ROUND(IF(H612&lt;(Inputs!$E$17-Inputs!$D$17)/(Inputs!$F$17-Inputs!$D$17),Inputs!$D$17+SQRT(H612*(Inputs!$F$17-Inputs!$D$17)*(Inputs!$E$17-Inputs!$D$17)),Inputs!$F$17-SQRT((1-H612)*(Inputs!$F$17-Inputs!$D$17)*(Inputs!$F$17-Inputs!$E$17))),0)</f>
        <v>106</v>
      </c>
      <c r="J612" s="81" t="n">
        <f aca="true">RAND()</f>
        <v>0.810032447937762</v>
      </c>
      <c r="K612" s="83" t="n">
        <f aca="false">IF(J612&lt;(Inputs!$E$18-Inputs!$D$18)/(Inputs!$F$18-Inputs!$D$18),Inputs!$D$18+SQRT(J612*(Inputs!$F$18-Inputs!$D$18)*(Inputs!$E$18-Inputs!$D$18)),Inputs!$F$18-SQRT((1-J612)*(Inputs!$F$18-Inputs!$D$18)*(Inputs!$F$18-Inputs!$E$18)))</f>
        <v>1.12107304081207</v>
      </c>
      <c r="L612" s="81" t="n">
        <f aca="true">RAND()</f>
        <v>0.945684781233109</v>
      </c>
      <c r="M612" s="83" t="n">
        <f aca="false">IF(L612&lt;(Inputs!$E$24-Inputs!$D$24)/(Inputs!$F$24-Inputs!$D$24),Inputs!$D$24+SQRT(L612*(Inputs!$F$24-Inputs!$D$24)*(Inputs!$E$24-Inputs!$D$24)),Inputs!$F$24-SQRT((1-L612)*(Inputs!$F$24-Inputs!$D$24)*(Inputs!$F$24-Inputs!$E$24)))</f>
        <v>1.08582621796553</v>
      </c>
      <c r="N612" s="81" t="n">
        <f aca="true">RAND()</f>
        <v>0.254800223388743</v>
      </c>
      <c r="O612" s="83" t="n">
        <f aca="false">IF(N612&lt;(Inputs!$E$26-Inputs!$D$26)/(Inputs!$F$26-Inputs!$D$26),Inputs!$D$26+SQRT(N612*(Inputs!$F$26-Inputs!$D$26)*(Inputs!$E$26-Inputs!$D$26)),Inputs!$F$26-SQRT((1-N612)*(Inputs!$F$26-Inputs!$D$26)*(Inputs!$F$26-Inputs!$E$26)))</f>
        <v>0.505909584944186</v>
      </c>
      <c r="P612" s="81" t="n">
        <f aca="true">RAND()</f>
        <v>0.970353108274078</v>
      </c>
      <c r="Q612" s="82" t="n">
        <f aca="false">IF(P612&lt;(Inputs!$E$27-Inputs!$D$27)/(Inputs!$F$27-Inputs!$D$27),Inputs!$D$27+SQRT(P612*(Inputs!$F$27-Inputs!$D$27)*(Inputs!$E$27-Inputs!$D$27)),Inputs!$F$27-SQRT((1-P612)*(Inputs!$F$27-Inputs!$D$27)*(Inputs!$F$27-Inputs!$E$27)))</f>
        <v>135.088538369951</v>
      </c>
      <c r="R612" s="81" t="n">
        <f aca="true">RAND()</f>
        <v>0.502197448969989</v>
      </c>
      <c r="S612" s="82" t="n">
        <f aca="false">IF(R612&lt;(Inputs!$E$29-Inputs!$D$29)/(Inputs!$F$29-Inputs!$D$29),Inputs!$D$29+SQRT(R612*(Inputs!$F$29-Inputs!$D$29)*(Inputs!$E$29-Inputs!$D$29)),Inputs!$F$29-SQRT((1-R612)*(Inputs!$F$29-Inputs!$D$29)*(Inputs!$F$29-Inputs!$E$29)))</f>
        <v>6.95547816002086</v>
      </c>
      <c r="T612" s="68" t="n">
        <f aca="false">Inputs!$E$9*(1+E612)+Inputs!$E$5*C612*(Inputs!$E$11*Inputs!$E$14*(G612*I612/Inputs!$E$16+(1-G612))*K612+Inputs!$E$23*M612)*(1+O612)+Inputs!$E$5*(Q612+S612)</f>
        <v>6964.42109690967</v>
      </c>
    </row>
    <row r="613" customFormat="false" ht="15" hidden="false" customHeight="false" outlineLevel="0" collapsed="false">
      <c r="A613" s="1" t="n">
        <v>609</v>
      </c>
      <c r="B613" s="81" t="n">
        <f aca="true">RAND()</f>
        <v>0.745316138068605</v>
      </c>
      <c r="C613" s="82" t="n">
        <f aca="false">ROUND(IF(B613&lt;(Inputs!$E$8-Inputs!$D$8)/(Inputs!$F$8-Inputs!$D$8),Inputs!$D$8+SQRT(B613*(Inputs!$F$8-Inputs!$D$8)*(Inputs!$E$8-Inputs!$D$8)),Inputs!$F$8-SQRT((1-B613)*(Inputs!$F$8-Inputs!$D$8)*(Inputs!$F$8-Inputs!$E$8))),0)</f>
        <v>26</v>
      </c>
      <c r="D613" s="81" t="n">
        <f aca="true">RAND()</f>
        <v>0.456621368569783</v>
      </c>
      <c r="E613" s="83" t="n">
        <f aca="false">IF(D613&lt;(Inputs!$E$10-Inputs!$D$10)/(Inputs!$F$10-Inputs!$D$10),Inputs!$D$10+SQRT(D613*(Inputs!$F$10-Inputs!$D$10)*(Inputs!$E$10-Inputs!$D$10)),Inputs!$F$10-SQRT((1-D613)*(Inputs!$F$10-Inputs!$D$10)*(Inputs!$F$10-Inputs!$E$10)))</f>
        <v>0.0723232247317214</v>
      </c>
      <c r="F613" s="81" t="n">
        <f aca="true">RAND()</f>
        <v>0.445119327160579</v>
      </c>
      <c r="G613" s="83" t="n">
        <f aca="false">IF(F613&lt;(Inputs!$E$15-Inputs!$D$15)/(Inputs!$F$15-Inputs!$D$15),Inputs!$D$15+SQRT(F613*(Inputs!$F$15-Inputs!$D$15)*(Inputs!$E$15-Inputs!$D$15)),Inputs!$F$15-SQRT((1-F613)*(Inputs!$F$15-Inputs!$D$15)*(Inputs!$F$15-Inputs!$E$15)))</f>
        <v>0.694352459126467</v>
      </c>
      <c r="H613" s="81" t="n">
        <f aca="true">RAND()</f>
        <v>0.537943516365332</v>
      </c>
      <c r="I613" s="82" t="n">
        <f aca="false">ROUND(IF(H613&lt;(Inputs!$E$17-Inputs!$D$17)/(Inputs!$F$17-Inputs!$D$17),Inputs!$D$17+SQRT(H613*(Inputs!$F$17-Inputs!$D$17)*(Inputs!$E$17-Inputs!$D$17)),Inputs!$F$17-SQRT((1-H613)*(Inputs!$F$17-Inputs!$D$17)*(Inputs!$F$17-Inputs!$E$17))),0)</f>
        <v>107</v>
      </c>
      <c r="J613" s="81" t="n">
        <f aca="true">RAND()</f>
        <v>0.936789379087883</v>
      </c>
      <c r="K613" s="83" t="n">
        <f aca="false">IF(J613&lt;(Inputs!$E$18-Inputs!$D$18)/(Inputs!$F$18-Inputs!$D$18),Inputs!$D$18+SQRT(J613*(Inputs!$F$18-Inputs!$D$18)*(Inputs!$E$18-Inputs!$D$18)),Inputs!$F$18-SQRT((1-J613)*(Inputs!$F$18-Inputs!$D$18)*(Inputs!$F$18-Inputs!$E$18)))</f>
        <v>1.17562978197013</v>
      </c>
      <c r="L613" s="81" t="n">
        <f aca="true">RAND()</f>
        <v>0.908446593687373</v>
      </c>
      <c r="M613" s="83" t="n">
        <f aca="false">IF(L613&lt;(Inputs!$E$24-Inputs!$D$24)/(Inputs!$F$24-Inputs!$D$24),Inputs!$D$24+SQRT(L613*(Inputs!$F$24-Inputs!$D$24)*(Inputs!$E$24-Inputs!$D$24)),Inputs!$F$24-SQRT((1-L613)*(Inputs!$F$24-Inputs!$D$24)*(Inputs!$F$24-Inputs!$E$24)))</f>
        <v>1.05176769071815</v>
      </c>
      <c r="N613" s="81" t="n">
        <f aca="true">RAND()</f>
        <v>0.778403186418052</v>
      </c>
      <c r="O613" s="83" t="n">
        <f aca="false">IF(N613&lt;(Inputs!$E$26-Inputs!$D$26)/(Inputs!$F$26-Inputs!$D$26),Inputs!$D$26+SQRT(N613*(Inputs!$F$26-Inputs!$D$26)*(Inputs!$E$26-Inputs!$D$26)),Inputs!$F$26-SQRT((1-N613)*(Inputs!$F$26-Inputs!$D$26)*(Inputs!$F$26-Inputs!$E$26)))</f>
        <v>0.668190683380358</v>
      </c>
      <c r="P613" s="81" t="n">
        <f aca="true">RAND()</f>
        <v>0.186179913899086</v>
      </c>
      <c r="Q613" s="82" t="n">
        <f aca="false">IF(P613&lt;(Inputs!$E$27-Inputs!$D$27)/(Inputs!$F$27-Inputs!$D$27),Inputs!$D$27+SQRT(P613*(Inputs!$F$27-Inputs!$D$27)*(Inputs!$E$27-Inputs!$D$27)),Inputs!$F$27-SQRT((1-P613)*(Inputs!$F$27-Inputs!$D$27)*(Inputs!$F$27-Inputs!$E$27)))</f>
        <v>71.5742852662079</v>
      </c>
      <c r="R613" s="81" t="n">
        <f aca="true">RAND()</f>
        <v>0.290625183867892</v>
      </c>
      <c r="S613" s="82" t="n">
        <f aca="false">IF(R613&lt;(Inputs!$E$29-Inputs!$D$29)/(Inputs!$F$29-Inputs!$D$29),Inputs!$D$29+SQRT(R613*(Inputs!$F$29-Inputs!$D$29)*(Inputs!$E$29-Inputs!$D$29)),Inputs!$F$29-SQRT((1-R613)*(Inputs!$F$29-Inputs!$D$29)*(Inputs!$F$29-Inputs!$E$29)))</f>
        <v>5.3969418362079</v>
      </c>
      <c r="T613" s="68" t="n">
        <f aca="false">Inputs!$E$9*(1+E613)+Inputs!$E$5*C613*(Inputs!$E$11*Inputs!$E$14*(G613*I613/Inputs!$E$16+(1-G613))*K613+Inputs!$E$23*M613)*(1+O613)+Inputs!$E$5*(Q613+S613)</f>
        <v>7147.6160017717</v>
      </c>
    </row>
    <row r="614" customFormat="false" ht="15" hidden="false" customHeight="false" outlineLevel="0" collapsed="false">
      <c r="A614" s="1" t="n">
        <v>610</v>
      </c>
      <c r="B614" s="81" t="n">
        <f aca="true">RAND()</f>
        <v>0.775496621925452</v>
      </c>
      <c r="C614" s="82" t="n">
        <f aca="false">ROUND(IF(B614&lt;(Inputs!$E$8-Inputs!$D$8)/(Inputs!$F$8-Inputs!$D$8),Inputs!$D$8+SQRT(B614*(Inputs!$F$8-Inputs!$D$8)*(Inputs!$E$8-Inputs!$D$8)),Inputs!$F$8-SQRT((1-B614)*(Inputs!$F$8-Inputs!$D$8)*(Inputs!$F$8-Inputs!$E$8))),0)</f>
        <v>27</v>
      </c>
      <c r="D614" s="81" t="n">
        <f aca="true">RAND()</f>
        <v>0.1606175949894</v>
      </c>
      <c r="E614" s="83" t="n">
        <f aca="false">IF(D614&lt;(Inputs!$E$10-Inputs!$D$10)/(Inputs!$F$10-Inputs!$D$10),Inputs!$D$10+SQRT(D614*(Inputs!$F$10-Inputs!$D$10)*(Inputs!$E$10-Inputs!$D$10)),Inputs!$F$10-SQRT((1-D614)*(Inputs!$F$10-Inputs!$D$10)*(Inputs!$F$10-Inputs!$E$10)))</f>
        <v>0.0400771250203156</v>
      </c>
      <c r="F614" s="81" t="n">
        <f aca="true">RAND()</f>
        <v>0.482839750344955</v>
      </c>
      <c r="G614" s="83" t="n">
        <f aca="false">IF(F614&lt;(Inputs!$E$15-Inputs!$D$15)/(Inputs!$F$15-Inputs!$D$15),Inputs!$D$15+SQRT(F614*(Inputs!$F$15-Inputs!$D$15)*(Inputs!$E$15-Inputs!$D$15)),Inputs!$F$15-SQRT((1-F614)*(Inputs!$F$15-Inputs!$D$15)*(Inputs!$F$15-Inputs!$E$15)))</f>
        <v>0.698268993110233</v>
      </c>
      <c r="H614" s="81" t="n">
        <f aca="true">RAND()</f>
        <v>0.0265832834433081</v>
      </c>
      <c r="I614" s="82" t="n">
        <f aca="false">ROUND(IF(H614&lt;(Inputs!$E$17-Inputs!$D$17)/(Inputs!$F$17-Inputs!$D$17),Inputs!$D$17+SQRT(H614*(Inputs!$F$17-Inputs!$D$17)*(Inputs!$E$17-Inputs!$D$17)),Inputs!$F$17-SQRT((1-H614)*(Inputs!$F$17-Inputs!$D$17)*(Inputs!$F$17-Inputs!$E$17))),0)</f>
        <v>101</v>
      </c>
      <c r="J614" s="81" t="n">
        <f aca="true">RAND()</f>
        <v>0.921043249111763</v>
      </c>
      <c r="K614" s="83" t="n">
        <f aca="false">IF(J614&lt;(Inputs!$E$18-Inputs!$D$18)/(Inputs!$F$18-Inputs!$D$18),Inputs!$D$18+SQRT(J614*(Inputs!$F$18-Inputs!$D$18)*(Inputs!$E$18-Inputs!$D$18)),Inputs!$F$18-SQRT((1-J614)*(Inputs!$F$18-Inputs!$D$18)*(Inputs!$F$18-Inputs!$E$18)))</f>
        <v>1.1668813155619</v>
      </c>
      <c r="L614" s="81" t="n">
        <f aca="true">RAND()</f>
        <v>0.283858414841829</v>
      </c>
      <c r="M614" s="83" t="n">
        <f aca="false">IF(L614&lt;(Inputs!$E$24-Inputs!$D$24)/(Inputs!$F$24-Inputs!$D$24),Inputs!$D$24+SQRT(L614*(Inputs!$F$24-Inputs!$D$24)*(Inputs!$E$24-Inputs!$D$24)),Inputs!$F$24-SQRT((1-L614)*(Inputs!$F$24-Inputs!$D$24)*(Inputs!$F$24-Inputs!$E$24)))</f>
        <v>0.784561669316843</v>
      </c>
      <c r="N614" s="81" t="n">
        <f aca="true">RAND()</f>
        <v>0.795995226922509</v>
      </c>
      <c r="O614" s="83" t="n">
        <f aca="false">IF(N614&lt;(Inputs!$E$26-Inputs!$D$26)/(Inputs!$F$26-Inputs!$D$26),Inputs!$D$26+SQRT(N614*(Inputs!$F$26-Inputs!$D$26)*(Inputs!$E$26-Inputs!$D$26)),Inputs!$F$26-SQRT((1-N614)*(Inputs!$F$26-Inputs!$D$26)*(Inputs!$F$26-Inputs!$E$26)))</f>
        <v>0.674341164359799</v>
      </c>
      <c r="P614" s="81" t="n">
        <f aca="true">RAND()</f>
        <v>0.819107818972587</v>
      </c>
      <c r="Q614" s="82" t="n">
        <f aca="false">IF(P614&lt;(Inputs!$E$27-Inputs!$D$27)/(Inputs!$F$27-Inputs!$D$27),Inputs!$D$27+SQRT(P614*(Inputs!$F$27-Inputs!$D$27)*(Inputs!$E$27-Inputs!$D$27)),Inputs!$F$27-SQRT((1-P614)*(Inputs!$F$27-Inputs!$D$27)*(Inputs!$F$27-Inputs!$E$27)))</f>
        <v>113.166708568123</v>
      </c>
      <c r="R614" s="81" t="n">
        <f aca="true">RAND()</f>
        <v>0.786945868859833</v>
      </c>
      <c r="S614" s="82" t="n">
        <f aca="false">IF(R614&lt;(Inputs!$E$29-Inputs!$D$29)/(Inputs!$F$29-Inputs!$D$29),Inputs!$D$29+SQRT(R614*(Inputs!$F$29-Inputs!$D$29)*(Inputs!$E$29-Inputs!$D$29)),Inputs!$F$29-SQRT((1-R614)*(Inputs!$F$29-Inputs!$D$29)*(Inputs!$F$29-Inputs!$E$29)))</f>
        <v>9.73720254539264</v>
      </c>
      <c r="T614" s="68" t="n">
        <f aca="false">Inputs!$E$9*(1+E614)+Inputs!$E$5*C614*(Inputs!$E$11*Inputs!$E$14*(G614*I614/Inputs!$E$16+(1-G614))*K614+Inputs!$E$23*M614)*(1+O614)+Inputs!$E$5*(Q614+S614)</f>
        <v>6941.66029776486</v>
      </c>
    </row>
    <row r="615" customFormat="false" ht="15" hidden="false" customHeight="false" outlineLevel="0" collapsed="false">
      <c r="A615" s="1" t="n">
        <v>611</v>
      </c>
      <c r="B615" s="81" t="n">
        <f aca="true">RAND()</f>
        <v>0.700316521597894</v>
      </c>
      <c r="C615" s="82" t="n">
        <f aca="false">ROUND(IF(B615&lt;(Inputs!$E$8-Inputs!$D$8)/(Inputs!$F$8-Inputs!$D$8),Inputs!$D$8+SQRT(B615*(Inputs!$F$8-Inputs!$D$8)*(Inputs!$E$8-Inputs!$D$8)),Inputs!$F$8-SQRT((1-B615)*(Inputs!$F$8-Inputs!$D$8)*(Inputs!$F$8-Inputs!$E$8))),0)</f>
        <v>26</v>
      </c>
      <c r="D615" s="81" t="n">
        <f aca="true">RAND()</f>
        <v>0.759237937390022</v>
      </c>
      <c r="E615" s="83" t="n">
        <f aca="false">IF(D615&lt;(Inputs!$E$10-Inputs!$D$10)/(Inputs!$F$10-Inputs!$D$10),Inputs!$D$10+SQRT(D615*(Inputs!$F$10-Inputs!$D$10)*(Inputs!$E$10-Inputs!$D$10)),Inputs!$F$10-SQRT((1-D615)*(Inputs!$F$10-Inputs!$D$10)*(Inputs!$F$10-Inputs!$E$10)))</f>
        <v>0.115012578117116</v>
      </c>
      <c r="F615" s="81" t="n">
        <f aca="true">RAND()</f>
        <v>0.610585134643753</v>
      </c>
      <c r="G615" s="83" t="n">
        <f aca="false">IF(F615&lt;(Inputs!$E$15-Inputs!$D$15)/(Inputs!$F$15-Inputs!$D$15),Inputs!$D$15+SQRT(F615*(Inputs!$F$15-Inputs!$D$15)*(Inputs!$E$15-Inputs!$D$15)),Inputs!$F$15-SQRT((1-F615)*(Inputs!$F$15-Inputs!$D$15)*(Inputs!$F$15-Inputs!$E$15)))</f>
        <v>0.711748669658045</v>
      </c>
      <c r="H615" s="81" t="n">
        <f aca="true">RAND()</f>
        <v>0.409061275116141</v>
      </c>
      <c r="I615" s="82" t="n">
        <f aca="false">ROUND(IF(H615&lt;(Inputs!$E$17-Inputs!$D$17)/(Inputs!$F$17-Inputs!$D$17),Inputs!$D$17+SQRT(H615*(Inputs!$F$17-Inputs!$D$17)*(Inputs!$E$17-Inputs!$D$17)),Inputs!$F$17-SQRT((1-H615)*(Inputs!$F$17-Inputs!$D$17)*(Inputs!$F$17-Inputs!$E$17))),0)</f>
        <v>106</v>
      </c>
      <c r="J615" s="81" t="n">
        <f aca="true">RAND()</f>
        <v>0.878309052515025</v>
      </c>
      <c r="K615" s="83" t="n">
        <f aca="false">IF(J615&lt;(Inputs!$E$18-Inputs!$D$18)/(Inputs!$F$18-Inputs!$D$18),Inputs!$D$18+SQRT(J615*(Inputs!$F$18-Inputs!$D$18)*(Inputs!$E$18-Inputs!$D$18)),Inputs!$F$18-SQRT((1-J615)*(Inputs!$F$18-Inputs!$D$18)*(Inputs!$F$18-Inputs!$E$18)))</f>
        <v>1.14681105725449</v>
      </c>
      <c r="L615" s="81" t="n">
        <f aca="true">RAND()</f>
        <v>0.243144601592566</v>
      </c>
      <c r="M615" s="83" t="n">
        <f aca="false">IF(L615&lt;(Inputs!$E$24-Inputs!$D$24)/(Inputs!$F$24-Inputs!$D$24),Inputs!$D$24+SQRT(L615*(Inputs!$F$24-Inputs!$D$24)*(Inputs!$E$24-Inputs!$D$24)),Inputs!$F$24-SQRT((1-L615)*(Inputs!$F$24-Inputs!$D$24)*(Inputs!$F$24-Inputs!$E$24)))</f>
        <v>0.770813793913454</v>
      </c>
      <c r="N615" s="81" t="n">
        <f aca="true">RAND()</f>
        <v>0.212405060754079</v>
      </c>
      <c r="O615" s="83" t="n">
        <f aca="false">IF(N615&lt;(Inputs!$E$26-Inputs!$D$26)/(Inputs!$F$26-Inputs!$D$26),Inputs!$D$26+SQRT(N615*(Inputs!$F$26-Inputs!$D$26)*(Inputs!$E$26-Inputs!$D$26)),Inputs!$F$26-SQRT((1-N615)*(Inputs!$F$26-Inputs!$D$26)*(Inputs!$F$26-Inputs!$E$26)))</f>
        <v>0.488000537524441</v>
      </c>
      <c r="P615" s="81" t="n">
        <f aca="true">RAND()</f>
        <v>0.254569485545654</v>
      </c>
      <c r="Q615" s="82" t="n">
        <f aca="false">IF(P615&lt;(Inputs!$E$27-Inputs!$D$27)/(Inputs!$F$27-Inputs!$D$27),Inputs!$D$27+SQRT(P615*(Inputs!$F$27-Inputs!$D$27)*(Inputs!$E$27-Inputs!$D$27)),Inputs!$F$27-SQRT((1-P615)*(Inputs!$F$27-Inputs!$D$27)*(Inputs!$F$27-Inputs!$E$27)))</f>
        <v>75.2288233447701</v>
      </c>
      <c r="R615" s="81" t="n">
        <f aca="true">RAND()</f>
        <v>0.68843027419939</v>
      </c>
      <c r="S615" s="82" t="n">
        <f aca="false">IF(R615&lt;(Inputs!$E$29-Inputs!$D$29)/(Inputs!$F$29-Inputs!$D$29),Inputs!$D$29+SQRT(R615*(Inputs!$F$29-Inputs!$D$29)*(Inputs!$E$29-Inputs!$D$29)),Inputs!$F$29-SQRT((1-R615)*(Inputs!$F$29-Inputs!$D$29)*(Inputs!$F$29-Inputs!$E$29)))</f>
        <v>8.6357196515176</v>
      </c>
      <c r="T615" s="68" t="n">
        <f aca="false">Inputs!$E$9*(1+E615)+Inputs!$E$5*C615*(Inputs!$E$11*Inputs!$E$14*(G615*I615/Inputs!$E$16+(1-G615))*K615+Inputs!$E$23*M615)*(1+O615)+Inputs!$E$5*(Q615+S615)</f>
        <v>6313.88749066577</v>
      </c>
    </row>
    <row r="616" customFormat="false" ht="15" hidden="false" customHeight="false" outlineLevel="0" collapsed="false">
      <c r="A616" s="1" t="n">
        <v>612</v>
      </c>
      <c r="B616" s="81" t="n">
        <f aca="true">RAND()</f>
        <v>0.727595053190438</v>
      </c>
      <c r="C616" s="82" t="n">
        <f aca="false">ROUND(IF(B616&lt;(Inputs!$E$8-Inputs!$D$8)/(Inputs!$F$8-Inputs!$D$8),Inputs!$D$8+SQRT(B616*(Inputs!$F$8-Inputs!$D$8)*(Inputs!$E$8-Inputs!$D$8)),Inputs!$F$8-SQRT((1-B616)*(Inputs!$F$8-Inputs!$D$8)*(Inputs!$F$8-Inputs!$E$8))),0)</f>
        <v>26</v>
      </c>
      <c r="D616" s="81" t="n">
        <f aca="true">RAND()</f>
        <v>0.393235848755107</v>
      </c>
      <c r="E616" s="83" t="n">
        <f aca="false">IF(D616&lt;(Inputs!$E$10-Inputs!$D$10)/(Inputs!$F$10-Inputs!$D$10),Inputs!$D$10+SQRT(D616*(Inputs!$F$10-Inputs!$D$10)*(Inputs!$E$10-Inputs!$D$10)),Inputs!$F$10-SQRT((1-D616)*(Inputs!$F$10-Inputs!$D$10)*(Inputs!$F$10-Inputs!$E$10)))</f>
        <v>0.0650817857465242</v>
      </c>
      <c r="F616" s="81" t="n">
        <f aca="true">RAND()</f>
        <v>0.00837340394372433</v>
      </c>
      <c r="G616" s="83" t="n">
        <f aca="false">IF(F616&lt;(Inputs!$E$15-Inputs!$D$15)/(Inputs!$F$15-Inputs!$D$15),Inputs!$D$15+SQRT(F616*(Inputs!$F$15-Inputs!$D$15)*(Inputs!$E$15-Inputs!$D$15)),Inputs!$F$15-SQRT((1-F616)*(Inputs!$F$15-Inputs!$D$15)*(Inputs!$F$15-Inputs!$E$15)))</f>
        <v>0.612940945826117</v>
      </c>
      <c r="H616" s="81" t="n">
        <f aca="true">RAND()</f>
        <v>0.0765539771123187</v>
      </c>
      <c r="I616" s="82" t="n">
        <f aca="false">ROUND(IF(H616&lt;(Inputs!$E$17-Inputs!$D$17)/(Inputs!$F$17-Inputs!$D$17),Inputs!$D$17+SQRT(H616*(Inputs!$F$17-Inputs!$D$17)*(Inputs!$E$17-Inputs!$D$17)),Inputs!$F$17-SQRT((1-H616)*(Inputs!$F$17-Inputs!$D$17)*(Inputs!$F$17-Inputs!$E$17))),0)</f>
        <v>102</v>
      </c>
      <c r="J616" s="81" t="n">
        <f aca="true">RAND()</f>
        <v>0.341746938103996</v>
      </c>
      <c r="K616" s="83" t="n">
        <f aca="false">IF(J616&lt;(Inputs!$E$18-Inputs!$D$18)/(Inputs!$F$18-Inputs!$D$18),Inputs!$D$18+SQRT(J616*(Inputs!$F$18-Inputs!$D$18)*(Inputs!$E$18-Inputs!$D$18)),Inputs!$F$18-SQRT((1-J616)*(Inputs!$F$18-Inputs!$D$18)*(Inputs!$F$18-Inputs!$E$18)))</f>
        <v>1.01000595233235</v>
      </c>
      <c r="L616" s="81" t="n">
        <f aca="true">RAND()</f>
        <v>0.139403629489877</v>
      </c>
      <c r="M616" s="83" t="n">
        <f aca="false">IF(L616&lt;(Inputs!$E$24-Inputs!$D$24)/(Inputs!$F$24-Inputs!$D$24),Inputs!$D$24+SQRT(L616*(Inputs!$F$24-Inputs!$D$24)*(Inputs!$E$24-Inputs!$D$24)),Inputs!$F$24-SQRT((1-L616)*(Inputs!$F$24-Inputs!$D$24)*(Inputs!$F$24-Inputs!$E$24)))</f>
        <v>0.729338453442065</v>
      </c>
      <c r="N616" s="81" t="n">
        <f aca="true">RAND()</f>
        <v>0.156493204125164</v>
      </c>
      <c r="O616" s="83" t="n">
        <f aca="false">IF(N616&lt;(Inputs!$E$26-Inputs!$D$26)/(Inputs!$F$26-Inputs!$D$26),Inputs!$D$26+SQRT(N616*(Inputs!$F$26-Inputs!$D$26)*(Inputs!$E$26-Inputs!$D$26)),Inputs!$F$26-SQRT((1-N616)*(Inputs!$F$26-Inputs!$D$26)*(Inputs!$F$26-Inputs!$E$26)))</f>
        <v>0.461370595730533</v>
      </c>
      <c r="P616" s="81" t="n">
        <f aca="true">RAND()</f>
        <v>0.981066654187682</v>
      </c>
      <c r="Q616" s="82" t="n">
        <f aca="false">IF(P616&lt;(Inputs!$E$27-Inputs!$D$27)/(Inputs!$F$27-Inputs!$D$27),Inputs!$D$27+SQRT(P616*(Inputs!$F$27-Inputs!$D$27)*(Inputs!$E$27-Inputs!$D$27)),Inputs!$F$27-SQRT((1-P616)*(Inputs!$F$27-Inputs!$D$27)*(Inputs!$F$27-Inputs!$E$27)))</f>
        <v>138.083620785138</v>
      </c>
      <c r="R616" s="81" t="n">
        <f aca="true">RAND()</f>
        <v>0.691773794666126</v>
      </c>
      <c r="S616" s="82" t="n">
        <f aca="false">IF(R616&lt;(Inputs!$E$29-Inputs!$D$29)/(Inputs!$F$29-Inputs!$D$29),Inputs!$D$29+SQRT(R616*(Inputs!$F$29-Inputs!$D$29)*(Inputs!$E$29-Inputs!$D$29)),Inputs!$F$29-SQRT((1-R616)*(Inputs!$F$29-Inputs!$D$29)*(Inputs!$F$29-Inputs!$E$29)))</f>
        <v>8.66995997695088</v>
      </c>
      <c r="T616" s="68" t="n">
        <f aca="false">Inputs!$E$9*(1+E616)+Inputs!$E$5*C616*(Inputs!$E$11*Inputs!$E$14*(G616*I616/Inputs!$E$16+(1-G616))*K616+Inputs!$E$23*M616)*(1+O616)+Inputs!$E$5*(Q616+S616)</f>
        <v>6207.60140584256</v>
      </c>
    </row>
    <row r="617" customFormat="false" ht="15" hidden="false" customHeight="false" outlineLevel="0" collapsed="false">
      <c r="A617" s="1" t="n">
        <v>613</v>
      </c>
      <c r="B617" s="81" t="n">
        <f aca="true">RAND()</f>
        <v>0.344710461933466</v>
      </c>
      <c r="C617" s="82" t="n">
        <f aca="false">ROUND(IF(B617&lt;(Inputs!$E$8-Inputs!$D$8)/(Inputs!$F$8-Inputs!$D$8),Inputs!$D$8+SQRT(B617*(Inputs!$F$8-Inputs!$D$8)*(Inputs!$E$8-Inputs!$D$8)),Inputs!$F$8-SQRT((1-B617)*(Inputs!$F$8-Inputs!$D$8)*(Inputs!$F$8-Inputs!$E$8))),0)</f>
        <v>24</v>
      </c>
      <c r="D617" s="81" t="n">
        <f aca="true">RAND()</f>
        <v>0.511007035730104</v>
      </c>
      <c r="E617" s="83" t="n">
        <f aca="false">IF(D617&lt;(Inputs!$E$10-Inputs!$D$10)/(Inputs!$F$10-Inputs!$D$10),Inputs!$D$10+SQRT(D617*(Inputs!$F$10-Inputs!$D$10)*(Inputs!$E$10-Inputs!$D$10)),Inputs!$F$10-SQRT((1-D617)*(Inputs!$F$10-Inputs!$D$10)*(Inputs!$F$10-Inputs!$E$10)))</f>
        <v>0.0788810959094457</v>
      </c>
      <c r="F617" s="81" t="n">
        <f aca="true">RAND()</f>
        <v>0.142462791118306</v>
      </c>
      <c r="G617" s="83" t="n">
        <f aca="false">IF(F617&lt;(Inputs!$E$15-Inputs!$D$15)/(Inputs!$F$15-Inputs!$D$15),Inputs!$D$15+SQRT(F617*(Inputs!$F$15-Inputs!$D$15)*(Inputs!$E$15-Inputs!$D$15)),Inputs!$F$15-SQRT((1-F617)*(Inputs!$F$15-Inputs!$D$15)*(Inputs!$F$15-Inputs!$E$15)))</f>
        <v>0.653378420942981</v>
      </c>
      <c r="H617" s="81" t="n">
        <f aca="true">RAND()</f>
        <v>0.231293578865601</v>
      </c>
      <c r="I617" s="82" t="n">
        <f aca="false">ROUND(IF(H617&lt;(Inputs!$E$17-Inputs!$D$17)/(Inputs!$F$17-Inputs!$D$17),Inputs!$D$17+SQRT(H617*(Inputs!$F$17-Inputs!$D$17)*(Inputs!$E$17-Inputs!$D$17)),Inputs!$F$17-SQRT((1-H617)*(Inputs!$F$17-Inputs!$D$17)*(Inputs!$F$17-Inputs!$E$17))),0)</f>
        <v>104</v>
      </c>
      <c r="J617" s="81" t="n">
        <f aca="true">RAND()</f>
        <v>0.856345506818169</v>
      </c>
      <c r="K617" s="83" t="n">
        <f aca="false">IF(J617&lt;(Inputs!$E$18-Inputs!$D$18)/(Inputs!$F$18-Inputs!$D$18),Inputs!$D$18+SQRT(J617*(Inputs!$F$18-Inputs!$D$18)*(Inputs!$E$18-Inputs!$D$18)),Inputs!$F$18-SQRT((1-J617)*(Inputs!$F$18-Inputs!$D$18)*(Inputs!$F$18-Inputs!$E$18)))</f>
        <v>1.1378850226178</v>
      </c>
      <c r="L617" s="81" t="n">
        <f aca="true">RAND()</f>
        <v>0.19854560327232</v>
      </c>
      <c r="M617" s="83" t="n">
        <f aca="false">IF(L617&lt;(Inputs!$E$24-Inputs!$D$24)/(Inputs!$F$24-Inputs!$D$24),Inputs!$D$24+SQRT(L617*(Inputs!$F$24-Inputs!$D$24)*(Inputs!$E$24-Inputs!$D$24)),Inputs!$F$24-SQRT((1-L617)*(Inputs!$F$24-Inputs!$D$24)*(Inputs!$F$24-Inputs!$E$24)))</f>
        <v>0.754355020626731</v>
      </c>
      <c r="N617" s="81" t="n">
        <f aca="true">RAND()</f>
        <v>0.29913815885581</v>
      </c>
      <c r="O617" s="83" t="n">
        <f aca="false">IF(N617&lt;(Inputs!$E$26-Inputs!$D$26)/(Inputs!$F$26-Inputs!$D$26),Inputs!$D$26+SQRT(N617*(Inputs!$F$26-Inputs!$D$26)*(Inputs!$E$26-Inputs!$D$26)),Inputs!$F$26-SQRT((1-N617)*(Inputs!$F$26-Inputs!$D$26)*(Inputs!$F$26-Inputs!$E$26)))</f>
        <v>0.523106677698376</v>
      </c>
      <c r="P617" s="81" t="n">
        <f aca="true">RAND()</f>
        <v>0.532881970998927</v>
      </c>
      <c r="Q617" s="82" t="n">
        <f aca="false">IF(P617&lt;(Inputs!$E$27-Inputs!$D$27)/(Inputs!$F$27-Inputs!$D$27),Inputs!$D$27+SQRT(P617*(Inputs!$F$27-Inputs!$D$27)*(Inputs!$E$27-Inputs!$D$27)),Inputs!$F$27-SQRT((1-P617)*(Inputs!$F$27-Inputs!$D$27)*(Inputs!$F$27-Inputs!$E$27)))</f>
        <v>90.8105987738679</v>
      </c>
      <c r="R617" s="81" t="n">
        <f aca="true">RAND()</f>
        <v>0.613218797741159</v>
      </c>
      <c r="S617" s="82" t="n">
        <f aca="false">IF(R617&lt;(Inputs!$E$29-Inputs!$D$29)/(Inputs!$F$29-Inputs!$D$29),Inputs!$D$29+SQRT(R617*(Inputs!$F$29-Inputs!$D$29)*(Inputs!$E$29-Inputs!$D$29)),Inputs!$F$29-SQRT((1-R617)*(Inputs!$F$29-Inputs!$D$29)*(Inputs!$F$29-Inputs!$E$29)))</f>
        <v>7.90905110061782</v>
      </c>
      <c r="T617" s="68" t="n">
        <f aca="false">Inputs!$E$9*(1+E617)+Inputs!$E$5*C617*(Inputs!$E$11*Inputs!$E$14*(G617*I617/Inputs!$E$16+(1-G617))*K617+Inputs!$E$23*M617)*(1+O617)+Inputs!$E$5*(Q617+S617)</f>
        <v>6137.1677602556</v>
      </c>
    </row>
    <row r="618" customFormat="false" ht="15" hidden="false" customHeight="false" outlineLevel="0" collapsed="false">
      <c r="A618" s="1" t="n">
        <v>614</v>
      </c>
      <c r="B618" s="81" t="n">
        <f aca="true">RAND()</f>
        <v>0.446533653191603</v>
      </c>
      <c r="C618" s="82" t="n">
        <f aca="false">ROUND(IF(B618&lt;(Inputs!$E$8-Inputs!$D$8)/(Inputs!$F$8-Inputs!$D$8),Inputs!$D$8+SQRT(B618*(Inputs!$F$8-Inputs!$D$8)*(Inputs!$E$8-Inputs!$D$8)),Inputs!$F$8-SQRT((1-B618)*(Inputs!$F$8-Inputs!$D$8)*(Inputs!$F$8-Inputs!$E$8))),0)</f>
        <v>25</v>
      </c>
      <c r="D618" s="81" t="n">
        <f aca="true">RAND()</f>
        <v>0.0993751207852597</v>
      </c>
      <c r="E618" s="83" t="n">
        <f aca="false">IF(D618&lt;(Inputs!$E$10-Inputs!$D$10)/(Inputs!$F$10-Inputs!$D$10),Inputs!$D$10+SQRT(D618*(Inputs!$F$10-Inputs!$D$10)*(Inputs!$E$10-Inputs!$D$10)),Inputs!$F$10-SQRT((1-D618)*(Inputs!$F$10-Inputs!$D$10)*(Inputs!$F$10-Inputs!$E$10)))</f>
        <v>0.0315238196900788</v>
      </c>
      <c r="F618" s="81" t="n">
        <f aca="true">RAND()</f>
        <v>0.765426820400687</v>
      </c>
      <c r="G618" s="83" t="n">
        <f aca="false">IF(F618&lt;(Inputs!$E$15-Inputs!$D$15)/(Inputs!$F$15-Inputs!$D$15),Inputs!$D$15+SQRT(F618*(Inputs!$F$15-Inputs!$D$15)*(Inputs!$E$15-Inputs!$D$15)),Inputs!$F$15-SQRT((1-F618)*(Inputs!$F$15-Inputs!$D$15)*(Inputs!$F$15-Inputs!$E$15)))</f>
        <v>0.731505740445011</v>
      </c>
      <c r="H618" s="81" t="n">
        <f aca="true">RAND()</f>
        <v>0.7588982733151</v>
      </c>
      <c r="I618" s="82" t="n">
        <f aca="false">ROUND(IF(H618&lt;(Inputs!$E$17-Inputs!$D$17)/(Inputs!$F$17-Inputs!$D$17),Inputs!$D$17+SQRT(H618*(Inputs!$F$17-Inputs!$D$17)*(Inputs!$E$17-Inputs!$D$17)),Inputs!$F$17-SQRT((1-H618)*(Inputs!$F$17-Inputs!$D$17)*(Inputs!$F$17-Inputs!$E$17))),0)</f>
        <v>109</v>
      </c>
      <c r="J618" s="81" t="n">
        <f aca="true">RAND()</f>
        <v>0.783946181734407</v>
      </c>
      <c r="K618" s="83" t="n">
        <f aca="false">IF(J618&lt;(Inputs!$E$18-Inputs!$D$18)/(Inputs!$F$18-Inputs!$D$18),Inputs!$D$18+SQRT(J618*(Inputs!$F$18-Inputs!$D$18)*(Inputs!$E$18-Inputs!$D$18)),Inputs!$F$18-SQRT((1-J618)*(Inputs!$F$18-Inputs!$D$18)*(Inputs!$F$18-Inputs!$E$18)))</f>
        <v>1.1125056033933</v>
      </c>
      <c r="L618" s="81" t="n">
        <f aca="true">RAND()</f>
        <v>0.659489152796938</v>
      </c>
      <c r="M618" s="83" t="n">
        <f aca="false">IF(L618&lt;(Inputs!$E$24-Inputs!$D$24)/(Inputs!$F$24-Inputs!$D$24),Inputs!$D$24+SQRT(L618*(Inputs!$F$24-Inputs!$D$24)*(Inputs!$E$24-Inputs!$D$24)),Inputs!$F$24-SQRT((1-L618)*(Inputs!$F$24-Inputs!$D$24)*(Inputs!$F$24-Inputs!$E$24)))</f>
        <v>0.914128344656672</v>
      </c>
      <c r="N618" s="81" t="n">
        <f aca="true">RAND()</f>
        <v>0.812847636528834</v>
      </c>
      <c r="O618" s="83" t="n">
        <f aca="false">IF(N618&lt;(Inputs!$E$26-Inputs!$D$26)/(Inputs!$F$26-Inputs!$D$26),Inputs!$D$26+SQRT(N618*(Inputs!$F$26-Inputs!$D$26)*(Inputs!$E$26-Inputs!$D$26)),Inputs!$F$26-SQRT((1-N618)*(Inputs!$F$26-Inputs!$D$26)*(Inputs!$F$26-Inputs!$E$26)))</f>
        <v>0.680487112419672</v>
      </c>
      <c r="P618" s="81" t="n">
        <f aca="true">RAND()</f>
        <v>0.397688220009613</v>
      </c>
      <c r="Q618" s="82" t="n">
        <f aca="false">IF(P618&lt;(Inputs!$E$27-Inputs!$D$27)/(Inputs!$F$27-Inputs!$D$27),Inputs!$D$27+SQRT(P618*(Inputs!$F$27-Inputs!$D$27)*(Inputs!$E$27-Inputs!$D$27)),Inputs!$F$27-SQRT((1-P618)*(Inputs!$F$27-Inputs!$D$27)*(Inputs!$F$27-Inputs!$E$27)))</f>
        <v>82.7888524876423</v>
      </c>
      <c r="R618" s="81" t="n">
        <f aca="true">RAND()</f>
        <v>0.952013721746242</v>
      </c>
      <c r="S618" s="82" t="n">
        <f aca="false">IF(R618&lt;(Inputs!$E$29-Inputs!$D$29)/(Inputs!$F$29-Inputs!$D$29),Inputs!$D$29+SQRT(R618*(Inputs!$F$29-Inputs!$D$29)*(Inputs!$E$29-Inputs!$D$29)),Inputs!$F$29-SQRT((1-R618)*(Inputs!$F$29-Inputs!$D$29)*(Inputs!$F$29-Inputs!$E$29)))</f>
        <v>12.5023578773194</v>
      </c>
      <c r="T618" s="68" t="n">
        <f aca="false">Inputs!$E$9*(1+E618)+Inputs!$E$5*C618*(Inputs!$E$11*Inputs!$E$14*(G618*I618/Inputs!$E$16+(1-G618))*K618+Inputs!$E$23*M618)*(1+O618)+Inputs!$E$5*(Q618+S618)</f>
        <v>6632.7775434968</v>
      </c>
    </row>
    <row r="619" customFormat="false" ht="15" hidden="false" customHeight="false" outlineLevel="0" collapsed="false">
      <c r="A619" s="1" t="n">
        <v>615</v>
      </c>
      <c r="B619" s="81" t="n">
        <f aca="true">RAND()</f>
        <v>0.531036741219296</v>
      </c>
      <c r="C619" s="82" t="n">
        <f aca="false">ROUND(IF(B619&lt;(Inputs!$E$8-Inputs!$D$8)/(Inputs!$F$8-Inputs!$D$8),Inputs!$D$8+SQRT(B619*(Inputs!$F$8-Inputs!$D$8)*(Inputs!$E$8-Inputs!$D$8)),Inputs!$F$8-SQRT((1-B619)*(Inputs!$F$8-Inputs!$D$8)*(Inputs!$F$8-Inputs!$E$8))),0)</f>
        <v>25</v>
      </c>
      <c r="D619" s="81" t="n">
        <f aca="true">RAND()</f>
        <v>0.759534483732829</v>
      </c>
      <c r="E619" s="83" t="n">
        <f aca="false">IF(D619&lt;(Inputs!$E$10-Inputs!$D$10)/(Inputs!$F$10-Inputs!$D$10),Inputs!$D$10+SQRT(D619*(Inputs!$F$10-Inputs!$D$10)*(Inputs!$E$10-Inputs!$D$10)),Inputs!$F$10-SQRT((1-D619)*(Inputs!$F$10-Inputs!$D$10)*(Inputs!$F$10-Inputs!$E$10)))</f>
        <v>0.115064933696293</v>
      </c>
      <c r="F619" s="81" t="n">
        <f aca="true">RAND()</f>
        <v>0.0798455098884052</v>
      </c>
      <c r="G619" s="83" t="n">
        <f aca="false">IF(F619&lt;(Inputs!$E$15-Inputs!$D$15)/(Inputs!$F$15-Inputs!$D$15),Inputs!$D$15+SQRT(F619*(Inputs!$F$15-Inputs!$D$15)*(Inputs!$E$15-Inputs!$D$15)),Inputs!$F$15-SQRT((1-F619)*(Inputs!$F$15-Inputs!$D$15)*(Inputs!$F$15-Inputs!$E$15)))</f>
        <v>0.63996135880783</v>
      </c>
      <c r="H619" s="81" t="n">
        <f aca="true">RAND()</f>
        <v>0.845593893328238</v>
      </c>
      <c r="I619" s="82" t="n">
        <f aca="false">ROUND(IF(H619&lt;(Inputs!$E$17-Inputs!$D$17)/(Inputs!$F$17-Inputs!$D$17),Inputs!$D$17+SQRT(H619*(Inputs!$F$17-Inputs!$D$17)*(Inputs!$E$17-Inputs!$D$17)),Inputs!$F$17-SQRT((1-H619)*(Inputs!$F$17-Inputs!$D$17)*(Inputs!$F$17-Inputs!$E$17))),0)</f>
        <v>110</v>
      </c>
      <c r="J619" s="81" t="n">
        <f aca="true">RAND()</f>
        <v>0.678123903955218</v>
      </c>
      <c r="K619" s="83" t="n">
        <f aca="false">IF(J619&lt;(Inputs!$E$18-Inputs!$D$18)/(Inputs!$F$18-Inputs!$D$18),Inputs!$D$18+SQRT(J619*(Inputs!$F$18-Inputs!$D$18)*(Inputs!$E$18-Inputs!$D$18)),Inputs!$F$18-SQRT((1-J619)*(Inputs!$F$18-Inputs!$D$18)*(Inputs!$F$18-Inputs!$E$18)))</f>
        <v>1.08217819449214</v>
      </c>
      <c r="L619" s="81" t="n">
        <f aca="true">RAND()</f>
        <v>0.837146521285613</v>
      </c>
      <c r="M619" s="83" t="n">
        <f aca="false">IF(L619&lt;(Inputs!$E$24-Inputs!$D$24)/(Inputs!$F$24-Inputs!$D$24),Inputs!$D$24+SQRT(L619*(Inputs!$F$24-Inputs!$D$24)*(Inputs!$E$24-Inputs!$D$24)),Inputs!$F$24-SQRT((1-L619)*(Inputs!$F$24-Inputs!$D$24)*(Inputs!$F$24-Inputs!$E$24)))</f>
        <v>1.00230115101131</v>
      </c>
      <c r="N619" s="81" t="n">
        <f aca="true">RAND()</f>
        <v>0.74499262715415</v>
      </c>
      <c r="O619" s="83" t="n">
        <f aca="false">IF(N619&lt;(Inputs!$E$26-Inputs!$D$26)/(Inputs!$F$26-Inputs!$D$26),Inputs!$D$26+SQRT(N619*(Inputs!$F$26-Inputs!$D$26)*(Inputs!$E$26-Inputs!$D$26)),Inputs!$F$26-SQRT((1-N619)*(Inputs!$F$26-Inputs!$D$26)*(Inputs!$F$26-Inputs!$E$26)))</f>
        <v>0.657148021885</v>
      </c>
      <c r="P619" s="81" t="n">
        <f aca="true">RAND()</f>
        <v>0.341225221130851</v>
      </c>
      <c r="Q619" s="82" t="n">
        <f aca="false">IF(P619&lt;(Inputs!$E$27-Inputs!$D$27)/(Inputs!$F$27-Inputs!$D$27),Inputs!$D$27+SQRT(P619*(Inputs!$F$27-Inputs!$D$27)*(Inputs!$E$27-Inputs!$D$27)),Inputs!$F$27-SQRT((1-P619)*(Inputs!$F$27-Inputs!$D$27)*(Inputs!$F$27-Inputs!$E$27)))</f>
        <v>79.7090984442608</v>
      </c>
      <c r="R619" s="81" t="n">
        <f aca="true">RAND()</f>
        <v>0.232981931793633</v>
      </c>
      <c r="S619" s="82" t="n">
        <f aca="false">IF(R619&lt;(Inputs!$E$29-Inputs!$D$29)/(Inputs!$F$29-Inputs!$D$29),Inputs!$D$29+SQRT(R619*(Inputs!$F$29-Inputs!$D$29)*(Inputs!$E$29-Inputs!$D$29)),Inputs!$F$29-SQRT((1-R619)*(Inputs!$F$29-Inputs!$D$29)*(Inputs!$F$29-Inputs!$E$29)))</f>
        <v>5.01439291445795</v>
      </c>
      <c r="T619" s="68" t="n">
        <f aca="false">Inputs!$E$9*(1+E619)+Inputs!$E$5*C619*(Inputs!$E$11*Inputs!$E$14*(G619*I619/Inputs!$E$16+(1-G619))*K619+Inputs!$E$23*M619)*(1+O619)+Inputs!$E$5*(Q619+S619)</f>
        <v>6914.08564815055</v>
      </c>
    </row>
    <row r="620" customFormat="false" ht="15" hidden="false" customHeight="false" outlineLevel="0" collapsed="false">
      <c r="A620" s="1" t="n">
        <v>616</v>
      </c>
      <c r="B620" s="81" t="n">
        <f aca="true">RAND()</f>
        <v>0.825606649289101</v>
      </c>
      <c r="C620" s="82" t="n">
        <f aca="false">ROUND(IF(B620&lt;(Inputs!$E$8-Inputs!$D$8)/(Inputs!$F$8-Inputs!$D$8),Inputs!$D$8+SQRT(B620*(Inputs!$F$8-Inputs!$D$8)*(Inputs!$E$8-Inputs!$D$8)),Inputs!$F$8-SQRT((1-B620)*(Inputs!$F$8-Inputs!$D$8)*(Inputs!$F$8-Inputs!$E$8))),0)</f>
        <v>27</v>
      </c>
      <c r="D620" s="81" t="n">
        <f aca="true">RAND()</f>
        <v>0.0653878029750687</v>
      </c>
      <c r="E620" s="83" t="n">
        <f aca="false">IF(D620&lt;(Inputs!$E$10-Inputs!$D$10)/(Inputs!$F$10-Inputs!$D$10),Inputs!$D$10+SQRT(D620*(Inputs!$F$10-Inputs!$D$10)*(Inputs!$E$10-Inputs!$D$10)),Inputs!$F$10-SQRT((1-D620)*(Inputs!$F$10-Inputs!$D$10)*(Inputs!$F$10-Inputs!$E$10)))</f>
        <v>0.0255710388868088</v>
      </c>
      <c r="F620" s="81" t="n">
        <f aca="true">RAND()</f>
        <v>0.460987263087584</v>
      </c>
      <c r="G620" s="83" t="n">
        <f aca="false">IF(F620&lt;(Inputs!$E$15-Inputs!$D$15)/(Inputs!$F$15-Inputs!$D$15),Inputs!$D$15+SQRT(F620*(Inputs!$F$15-Inputs!$D$15)*(Inputs!$E$15-Inputs!$D$15)),Inputs!$F$15-SQRT((1-F620)*(Inputs!$F$15-Inputs!$D$15)*(Inputs!$F$15-Inputs!$E$15)))</f>
        <v>0.696019504590222</v>
      </c>
      <c r="H620" s="81" t="n">
        <f aca="true">RAND()</f>
        <v>0.211233524155061</v>
      </c>
      <c r="I620" s="82" t="n">
        <f aca="false">ROUND(IF(H620&lt;(Inputs!$E$17-Inputs!$D$17)/(Inputs!$F$17-Inputs!$D$17),Inputs!$D$17+SQRT(H620*(Inputs!$F$17-Inputs!$D$17)*(Inputs!$E$17-Inputs!$D$17)),Inputs!$F$17-SQRT((1-H620)*(Inputs!$F$17-Inputs!$D$17)*(Inputs!$F$17-Inputs!$E$17))),0)</f>
        <v>104</v>
      </c>
      <c r="J620" s="81" t="n">
        <f aca="true">RAND()</f>
        <v>0.910766416577876</v>
      </c>
      <c r="K620" s="83" t="n">
        <f aca="false">IF(J620&lt;(Inputs!$E$18-Inputs!$D$18)/(Inputs!$F$18-Inputs!$D$18),Inputs!$D$18+SQRT(J620*(Inputs!$F$18-Inputs!$D$18)*(Inputs!$E$18-Inputs!$D$18)),Inputs!$F$18-SQRT((1-J620)*(Inputs!$F$18-Inputs!$D$18)*(Inputs!$F$18-Inputs!$E$18)))</f>
        <v>1.16163745958023</v>
      </c>
      <c r="L620" s="81" t="n">
        <f aca="true">RAND()</f>
        <v>0.704543341024822</v>
      </c>
      <c r="M620" s="83" t="n">
        <f aca="false">IF(L620&lt;(Inputs!$E$24-Inputs!$D$24)/(Inputs!$F$24-Inputs!$D$24),Inputs!$D$24+SQRT(L620*(Inputs!$F$24-Inputs!$D$24)*(Inputs!$E$24-Inputs!$D$24)),Inputs!$F$24-SQRT((1-L620)*(Inputs!$F$24-Inputs!$D$24)*(Inputs!$F$24-Inputs!$E$24)))</f>
        <v>0.933711438183983</v>
      </c>
      <c r="N620" s="81" t="n">
        <f aca="true">RAND()</f>
        <v>0.359480652855314</v>
      </c>
      <c r="O620" s="83" t="n">
        <f aca="false">IF(N620&lt;(Inputs!$E$26-Inputs!$D$26)/(Inputs!$F$26-Inputs!$D$26),Inputs!$D$26+SQRT(N620*(Inputs!$F$26-Inputs!$D$26)*(Inputs!$E$26-Inputs!$D$26)),Inputs!$F$26-SQRT((1-N620)*(Inputs!$F$26-Inputs!$D$26)*(Inputs!$F$26-Inputs!$E$26)))</f>
        <v>0.544576328852823</v>
      </c>
      <c r="P620" s="81" t="n">
        <f aca="true">RAND()</f>
        <v>0.197694073154879</v>
      </c>
      <c r="Q620" s="82" t="n">
        <f aca="false">IF(P620&lt;(Inputs!$E$27-Inputs!$D$27)/(Inputs!$F$27-Inputs!$D$27),Inputs!$D$27+SQRT(P620*(Inputs!$F$27-Inputs!$D$27)*(Inputs!$E$27-Inputs!$D$27)),Inputs!$F$27-SQRT((1-P620)*(Inputs!$F$27-Inputs!$D$27)*(Inputs!$F$27-Inputs!$E$27)))</f>
        <v>72.2314008305189</v>
      </c>
      <c r="R620" s="81" t="n">
        <f aca="true">RAND()</f>
        <v>0.888985070503297</v>
      </c>
      <c r="S620" s="82" t="n">
        <f aca="false">IF(R620&lt;(Inputs!$E$29-Inputs!$D$29)/(Inputs!$F$29-Inputs!$D$29),Inputs!$D$29+SQRT(R620*(Inputs!$F$29-Inputs!$D$29)*(Inputs!$E$29-Inputs!$D$29)),Inputs!$F$29-SQRT((1-R620)*(Inputs!$F$29-Inputs!$D$29)*(Inputs!$F$29-Inputs!$E$29)))</f>
        <v>11.2010605645034</v>
      </c>
      <c r="T620" s="68" t="n">
        <f aca="false">Inputs!$E$9*(1+E620)+Inputs!$E$5*C620*(Inputs!$E$11*Inputs!$E$14*(G620*I620/Inputs!$E$16+(1-G620))*K620+Inputs!$E$23*M620)*(1+O620)+Inputs!$E$5*(Q620+S620)</f>
        <v>6655.53406509192</v>
      </c>
    </row>
    <row r="621" customFormat="false" ht="15" hidden="false" customHeight="false" outlineLevel="0" collapsed="false">
      <c r="A621" s="1" t="n">
        <v>617</v>
      </c>
      <c r="B621" s="81" t="n">
        <f aca="true">RAND()</f>
        <v>0.885187576914119</v>
      </c>
      <c r="C621" s="82" t="n">
        <f aca="false">ROUND(IF(B621&lt;(Inputs!$E$8-Inputs!$D$8)/(Inputs!$F$8-Inputs!$D$8),Inputs!$D$8+SQRT(B621*(Inputs!$F$8-Inputs!$D$8)*(Inputs!$E$8-Inputs!$D$8)),Inputs!$F$8-SQRT((1-B621)*(Inputs!$F$8-Inputs!$D$8)*(Inputs!$F$8-Inputs!$E$8))),0)</f>
        <v>28</v>
      </c>
      <c r="D621" s="81" t="n">
        <f aca="true">RAND()</f>
        <v>0.117789689752862</v>
      </c>
      <c r="E621" s="83" t="n">
        <f aca="false">IF(D621&lt;(Inputs!$E$10-Inputs!$D$10)/(Inputs!$F$10-Inputs!$D$10),Inputs!$D$10+SQRT(D621*(Inputs!$F$10-Inputs!$D$10)*(Inputs!$E$10-Inputs!$D$10)),Inputs!$F$10-SQRT((1-D621)*(Inputs!$F$10-Inputs!$D$10)*(Inputs!$F$10-Inputs!$E$10)))</f>
        <v>0.0343205025826928</v>
      </c>
      <c r="F621" s="81" t="n">
        <f aca="true">RAND()</f>
        <v>0.986386535419041</v>
      </c>
      <c r="G621" s="83" t="n">
        <f aca="false">IF(F621&lt;(Inputs!$E$15-Inputs!$D$15)/(Inputs!$F$15-Inputs!$D$15),Inputs!$D$15+SQRT(F621*(Inputs!$F$15-Inputs!$D$15)*(Inputs!$E$15-Inputs!$D$15)),Inputs!$F$15-SQRT((1-F621)*(Inputs!$F$15-Inputs!$D$15)*(Inputs!$F$15-Inputs!$E$15)))</f>
        <v>0.783499415415835</v>
      </c>
      <c r="H621" s="81" t="n">
        <f aca="true">RAND()</f>
        <v>0.10413617390223</v>
      </c>
      <c r="I621" s="82" t="n">
        <f aca="false">ROUND(IF(H621&lt;(Inputs!$E$17-Inputs!$D$17)/(Inputs!$F$17-Inputs!$D$17),Inputs!$D$17+SQRT(H621*(Inputs!$F$17-Inputs!$D$17)*(Inputs!$E$17-Inputs!$D$17)),Inputs!$F$17-SQRT((1-H621)*(Inputs!$F$17-Inputs!$D$17)*(Inputs!$F$17-Inputs!$E$17))),0)</f>
        <v>103</v>
      </c>
      <c r="J621" s="81" t="n">
        <f aca="true">RAND()</f>
        <v>0.329169238899222</v>
      </c>
      <c r="K621" s="83" t="n">
        <f aca="false">IF(J621&lt;(Inputs!$E$18-Inputs!$D$18)/(Inputs!$F$18-Inputs!$D$18),Inputs!$D$18+SQRT(J621*(Inputs!$F$18-Inputs!$D$18)*(Inputs!$E$18-Inputs!$D$18)),Inputs!$F$18-SQRT((1-J621)*(Inputs!$F$18-Inputs!$D$18)*(Inputs!$F$18-Inputs!$E$18)))</f>
        <v>1.00772393515595</v>
      </c>
      <c r="L621" s="81" t="n">
        <f aca="true">RAND()</f>
        <v>0.403969012089033</v>
      </c>
      <c r="M621" s="83" t="n">
        <f aca="false">IF(L621&lt;(Inputs!$E$24-Inputs!$D$24)/(Inputs!$F$24-Inputs!$D$24),Inputs!$D$24+SQRT(L621*(Inputs!$F$24-Inputs!$D$24)*(Inputs!$E$24-Inputs!$D$24)),Inputs!$F$24-SQRT((1-L621)*(Inputs!$F$24-Inputs!$D$24)*(Inputs!$F$24-Inputs!$E$24)))</f>
        <v>0.821783875147248</v>
      </c>
      <c r="N621" s="81" t="n">
        <f aca="true">RAND()</f>
        <v>0.759061228173495</v>
      </c>
      <c r="O621" s="83" t="n">
        <f aca="false">IF(N621&lt;(Inputs!$E$26-Inputs!$D$26)/(Inputs!$F$26-Inputs!$D$26),Inputs!$D$26+SQRT(N621*(Inputs!$F$26-Inputs!$D$26)*(Inputs!$E$26-Inputs!$D$26)),Inputs!$F$26-SQRT((1-N621)*(Inputs!$F$26-Inputs!$D$26)*(Inputs!$F$26-Inputs!$E$26)))</f>
        <v>0.661703972665273</v>
      </c>
      <c r="P621" s="81" t="n">
        <f aca="true">RAND()</f>
        <v>0.290930967400851</v>
      </c>
      <c r="Q621" s="82" t="n">
        <f aca="false">IF(P621&lt;(Inputs!$E$27-Inputs!$D$27)/(Inputs!$F$27-Inputs!$D$27),Inputs!$D$27+SQRT(P621*(Inputs!$F$27-Inputs!$D$27)*(Inputs!$E$27-Inputs!$D$27)),Inputs!$F$27-SQRT((1-P621)*(Inputs!$F$27-Inputs!$D$27)*(Inputs!$F$27-Inputs!$E$27)))</f>
        <v>77.0752597228237</v>
      </c>
      <c r="R621" s="81" t="n">
        <f aca="true">RAND()</f>
        <v>0.0229255066913621</v>
      </c>
      <c r="S621" s="82" t="n">
        <f aca="false">IF(R621&lt;(Inputs!$E$29-Inputs!$D$29)/(Inputs!$F$29-Inputs!$D$29),Inputs!$D$29+SQRT(R621*(Inputs!$F$29-Inputs!$D$29)*(Inputs!$E$29-Inputs!$D$29)),Inputs!$F$29-SQRT((1-R621)*(Inputs!$F$29-Inputs!$D$29)*(Inputs!$F$29-Inputs!$E$29)))</f>
        <v>2.94556584168588</v>
      </c>
      <c r="T621" s="68" t="n">
        <f aca="false">Inputs!$E$9*(1+E621)+Inputs!$E$5*C621*(Inputs!$E$11*Inputs!$E$14*(G621*I621/Inputs!$E$16+(1-G621))*K621+Inputs!$E$23*M621)*(1+O621)+Inputs!$E$5*(Q621+S621)</f>
        <v>6395.66691447487</v>
      </c>
    </row>
    <row r="622" customFormat="false" ht="15" hidden="false" customHeight="false" outlineLevel="0" collapsed="false">
      <c r="A622" s="1" t="n">
        <v>618</v>
      </c>
      <c r="B622" s="81" t="n">
        <f aca="true">RAND()</f>
        <v>0.916321661843622</v>
      </c>
      <c r="C622" s="82" t="n">
        <f aca="false">ROUND(IF(B622&lt;(Inputs!$E$8-Inputs!$D$8)/(Inputs!$F$8-Inputs!$D$8),Inputs!$D$8+SQRT(B622*(Inputs!$F$8-Inputs!$D$8)*(Inputs!$E$8-Inputs!$D$8)),Inputs!$F$8-SQRT((1-B622)*(Inputs!$F$8-Inputs!$D$8)*(Inputs!$F$8-Inputs!$E$8))),0)</f>
        <v>28</v>
      </c>
      <c r="D622" s="81" t="n">
        <f aca="true">RAND()</f>
        <v>0.156300045354404</v>
      </c>
      <c r="E622" s="83" t="n">
        <f aca="false">IF(D622&lt;(Inputs!$E$10-Inputs!$D$10)/(Inputs!$F$10-Inputs!$D$10),Inputs!$D$10+SQRT(D622*(Inputs!$F$10-Inputs!$D$10)*(Inputs!$E$10-Inputs!$D$10)),Inputs!$F$10-SQRT((1-D622)*(Inputs!$F$10-Inputs!$D$10)*(Inputs!$F$10-Inputs!$E$10)))</f>
        <v>0.0395348005375523</v>
      </c>
      <c r="F622" s="81" t="n">
        <f aca="true">RAND()</f>
        <v>0.479351784716515</v>
      </c>
      <c r="G622" s="83" t="n">
        <f aca="false">IF(F622&lt;(Inputs!$E$15-Inputs!$D$15)/(Inputs!$F$15-Inputs!$D$15),Inputs!$D$15+SQRT(F622*(Inputs!$F$15-Inputs!$D$15)*(Inputs!$E$15-Inputs!$D$15)),Inputs!$F$15-SQRT((1-F622)*(Inputs!$F$15-Inputs!$D$15)*(Inputs!$F$15-Inputs!$E$15)))</f>
        <v>0.69791340916509</v>
      </c>
      <c r="H622" s="81" t="n">
        <f aca="true">RAND()</f>
        <v>0.307901587317039</v>
      </c>
      <c r="I622" s="82" t="n">
        <f aca="false">ROUND(IF(H622&lt;(Inputs!$E$17-Inputs!$D$17)/(Inputs!$F$17-Inputs!$D$17),Inputs!$D$17+SQRT(H622*(Inputs!$F$17-Inputs!$D$17)*(Inputs!$E$17-Inputs!$D$17)),Inputs!$F$17-SQRT((1-H622)*(Inputs!$F$17-Inputs!$D$17)*(Inputs!$F$17-Inputs!$E$17))),0)</f>
        <v>105</v>
      </c>
      <c r="J622" s="81" t="n">
        <f aca="true">RAND()</f>
        <v>0.550112342756461</v>
      </c>
      <c r="K622" s="83" t="n">
        <f aca="false">IF(J622&lt;(Inputs!$E$18-Inputs!$D$18)/(Inputs!$F$18-Inputs!$D$18),Inputs!$D$18+SQRT(J622*(Inputs!$F$18-Inputs!$D$18)*(Inputs!$E$18-Inputs!$D$18)),Inputs!$F$18-SQRT((1-J622)*(Inputs!$F$18-Inputs!$D$18)*(Inputs!$F$18-Inputs!$E$18)))</f>
        <v>1.05159342246586</v>
      </c>
      <c r="L622" s="81" t="n">
        <f aca="true">RAND()</f>
        <v>0.731188693260279</v>
      </c>
      <c r="M622" s="83" t="n">
        <f aca="false">IF(L622&lt;(Inputs!$E$24-Inputs!$D$24)/(Inputs!$F$24-Inputs!$D$24),Inputs!$D$24+SQRT(L622*(Inputs!$F$24-Inputs!$D$24)*(Inputs!$E$24-Inputs!$D$24)),Inputs!$F$24-SQRT((1-L622)*(Inputs!$F$24-Inputs!$D$24)*(Inputs!$F$24-Inputs!$E$24)))</f>
        <v>0.946002532261573</v>
      </c>
      <c r="N622" s="81" t="n">
        <f aca="true">RAND()</f>
        <v>0.765580727710463</v>
      </c>
      <c r="O622" s="83" t="n">
        <f aca="false">IF(N622&lt;(Inputs!$E$26-Inputs!$D$26)/(Inputs!$F$26-Inputs!$D$26),Inputs!$D$26+SQRT(N622*(Inputs!$F$26-Inputs!$D$26)*(Inputs!$E$26-Inputs!$D$26)),Inputs!$F$26-SQRT((1-N622)*(Inputs!$F$26-Inputs!$D$26)*(Inputs!$F$26-Inputs!$E$26)))</f>
        <v>0.663860305117142</v>
      </c>
      <c r="P622" s="81" t="n">
        <f aca="true">RAND()</f>
        <v>0.222191275583738</v>
      </c>
      <c r="Q622" s="82" t="n">
        <f aca="false">IF(P622&lt;(Inputs!$E$27-Inputs!$D$27)/(Inputs!$F$27-Inputs!$D$27),Inputs!$D$27+SQRT(P622*(Inputs!$F$27-Inputs!$D$27)*(Inputs!$E$27-Inputs!$D$27)),Inputs!$F$27-SQRT((1-P622)*(Inputs!$F$27-Inputs!$D$27)*(Inputs!$F$27-Inputs!$E$27)))</f>
        <v>73.568584789065</v>
      </c>
      <c r="R622" s="81" t="n">
        <f aca="true">RAND()</f>
        <v>0.298939759622197</v>
      </c>
      <c r="S622" s="82" t="n">
        <f aca="false">IF(R622&lt;(Inputs!$E$29-Inputs!$D$29)/(Inputs!$F$29-Inputs!$D$29),Inputs!$D$29+SQRT(R622*(Inputs!$F$29-Inputs!$D$29)*(Inputs!$E$29-Inputs!$D$29)),Inputs!$F$29-SQRT((1-R622)*(Inputs!$F$29-Inputs!$D$29)*(Inputs!$F$29-Inputs!$E$29)))</f>
        <v>5.45338639887869</v>
      </c>
      <c r="T622" s="68" t="n">
        <f aca="false">Inputs!$E$9*(1+E622)+Inputs!$E$5*C622*(Inputs!$E$11*Inputs!$E$14*(G622*I622/Inputs!$E$16+(1-G622))*K622+Inputs!$E$23*M622)*(1+O622)+Inputs!$E$5*(Q622+S622)</f>
        <v>6887.62356860749</v>
      </c>
    </row>
    <row r="623" customFormat="false" ht="15" hidden="false" customHeight="false" outlineLevel="0" collapsed="false">
      <c r="A623" s="1" t="n">
        <v>619</v>
      </c>
      <c r="B623" s="81" t="n">
        <f aca="true">RAND()</f>
        <v>0.773062933957025</v>
      </c>
      <c r="C623" s="82" t="n">
        <f aca="false">ROUND(IF(B623&lt;(Inputs!$E$8-Inputs!$D$8)/(Inputs!$F$8-Inputs!$D$8),Inputs!$D$8+SQRT(B623*(Inputs!$F$8-Inputs!$D$8)*(Inputs!$E$8-Inputs!$D$8)),Inputs!$F$8-SQRT((1-B623)*(Inputs!$F$8-Inputs!$D$8)*(Inputs!$F$8-Inputs!$E$8))),0)</f>
        <v>27</v>
      </c>
      <c r="D623" s="81" t="n">
        <f aca="true">RAND()</f>
        <v>0.872208726599438</v>
      </c>
      <c r="E623" s="83" t="n">
        <f aca="false">IF(D623&lt;(Inputs!$E$10-Inputs!$D$10)/(Inputs!$F$10-Inputs!$D$10),Inputs!$D$10+SQRT(D623*(Inputs!$F$10-Inputs!$D$10)*(Inputs!$E$10-Inputs!$D$10)),Inputs!$F$10-SQRT((1-D623)*(Inputs!$F$10-Inputs!$D$10)*(Inputs!$F$10-Inputs!$E$10)))</f>
        <v>0.13808281174006</v>
      </c>
      <c r="F623" s="81" t="n">
        <f aca="true">RAND()</f>
        <v>0.537631873983459</v>
      </c>
      <c r="G623" s="83" t="n">
        <f aca="false">IF(F623&lt;(Inputs!$E$15-Inputs!$D$15)/(Inputs!$F$15-Inputs!$D$15),Inputs!$D$15+SQRT(F623*(Inputs!$F$15-Inputs!$D$15)*(Inputs!$E$15-Inputs!$D$15)),Inputs!$F$15-SQRT((1-F623)*(Inputs!$F$15-Inputs!$D$15)*(Inputs!$F$15-Inputs!$E$15)))</f>
        <v>0.70383679227308</v>
      </c>
      <c r="H623" s="81" t="n">
        <f aca="true">RAND()</f>
        <v>0.887699452102733</v>
      </c>
      <c r="I623" s="82" t="n">
        <f aca="false">ROUND(IF(H623&lt;(Inputs!$E$17-Inputs!$D$17)/(Inputs!$F$17-Inputs!$D$17),Inputs!$D$17+SQRT(H623*(Inputs!$F$17-Inputs!$D$17)*(Inputs!$E$17-Inputs!$D$17)),Inputs!$F$17-SQRT((1-H623)*(Inputs!$F$17-Inputs!$D$17)*(Inputs!$F$17-Inputs!$E$17))),0)</f>
        <v>111</v>
      </c>
      <c r="J623" s="81" t="n">
        <f aca="true">RAND()</f>
        <v>0.421228137935001</v>
      </c>
      <c r="K623" s="83" t="n">
        <f aca="false">IF(J623&lt;(Inputs!$E$18-Inputs!$D$18)/(Inputs!$F$18-Inputs!$D$18),Inputs!$D$18+SQRT(J623*(Inputs!$F$18-Inputs!$D$18)*(Inputs!$E$18-Inputs!$D$18)),Inputs!$F$18-SQRT((1-J623)*(Inputs!$F$18-Inputs!$D$18)*(Inputs!$F$18-Inputs!$E$18)))</f>
        <v>1.02496103019546</v>
      </c>
      <c r="L623" s="81" t="n">
        <f aca="true">RAND()</f>
        <v>0.833468024717946</v>
      </c>
      <c r="M623" s="83" t="n">
        <f aca="false">IF(L623&lt;(Inputs!$E$24-Inputs!$D$24)/(Inputs!$F$24-Inputs!$D$24),Inputs!$D$24+SQRT(L623*(Inputs!$F$24-Inputs!$D$24)*(Inputs!$E$24-Inputs!$D$24)),Inputs!$F$24-SQRT((1-L623)*(Inputs!$F$24-Inputs!$D$24)*(Inputs!$F$24-Inputs!$E$24)))</f>
        <v>1.00008083116496</v>
      </c>
      <c r="N623" s="81" t="n">
        <f aca="true">RAND()</f>
        <v>0.469941418784663</v>
      </c>
      <c r="O623" s="83" t="n">
        <f aca="false">IF(N623&lt;(Inputs!$E$26-Inputs!$D$26)/(Inputs!$F$26-Inputs!$D$26),Inputs!$D$26+SQRT(N623*(Inputs!$F$26-Inputs!$D$26)*(Inputs!$E$26-Inputs!$D$26)),Inputs!$F$26-SQRT((1-N623)*(Inputs!$F$26-Inputs!$D$26)*(Inputs!$F$26-Inputs!$E$26)))</f>
        <v>0.579639503800461</v>
      </c>
      <c r="P623" s="81" t="n">
        <f aca="true">RAND()</f>
        <v>0.847085989045492</v>
      </c>
      <c r="Q623" s="82" t="n">
        <f aca="false">IF(P623&lt;(Inputs!$E$27-Inputs!$D$27)/(Inputs!$F$27-Inputs!$D$27),Inputs!$D$27+SQRT(P623*(Inputs!$F$27-Inputs!$D$27)*(Inputs!$E$27-Inputs!$D$27)),Inputs!$F$27-SQRT((1-P623)*(Inputs!$F$27-Inputs!$D$27)*(Inputs!$F$27-Inputs!$E$27)))</f>
        <v>116.13475111329</v>
      </c>
      <c r="R623" s="81" t="n">
        <f aca="true">RAND()</f>
        <v>0.0871949715628094</v>
      </c>
      <c r="S623" s="82" t="n">
        <f aca="false">IF(R623&lt;(Inputs!$E$29-Inputs!$D$29)/(Inputs!$F$29-Inputs!$D$29),Inputs!$D$29+SQRT(R623*(Inputs!$F$29-Inputs!$D$29)*(Inputs!$E$29-Inputs!$D$29)),Inputs!$F$29-SQRT((1-R623)*(Inputs!$F$29-Inputs!$D$29)*(Inputs!$F$29-Inputs!$E$29)))</f>
        <v>3.84407263711318</v>
      </c>
      <c r="T623" s="68" t="n">
        <f aca="false">Inputs!$E$9*(1+E623)+Inputs!$E$5*C623*(Inputs!$E$11*Inputs!$E$14*(G623*I623/Inputs!$E$16+(1-G623))*K623+Inputs!$E$23*M623)*(1+O623)+Inputs!$E$5*(Q623+S623)</f>
        <v>7043.12220219712</v>
      </c>
    </row>
    <row r="624" customFormat="false" ht="15" hidden="false" customHeight="false" outlineLevel="0" collapsed="false">
      <c r="A624" s="1" t="n">
        <v>620</v>
      </c>
      <c r="B624" s="81" t="n">
        <f aca="true">RAND()</f>
        <v>0.0858140601886199</v>
      </c>
      <c r="C624" s="82" t="n">
        <f aca="false">ROUND(IF(B624&lt;(Inputs!$E$8-Inputs!$D$8)/(Inputs!$F$8-Inputs!$D$8),Inputs!$D$8+SQRT(B624*(Inputs!$F$8-Inputs!$D$8)*(Inputs!$E$8-Inputs!$D$8)),Inputs!$F$8-SQRT((1-B624)*(Inputs!$F$8-Inputs!$D$8)*(Inputs!$F$8-Inputs!$E$8))),0)</f>
        <v>22</v>
      </c>
      <c r="D624" s="81" t="n">
        <f aca="true">RAND()</f>
        <v>0.0983936166644535</v>
      </c>
      <c r="E624" s="83" t="n">
        <f aca="false">IF(D624&lt;(Inputs!$E$10-Inputs!$D$10)/(Inputs!$F$10-Inputs!$D$10),Inputs!$D$10+SQRT(D624*(Inputs!$F$10-Inputs!$D$10)*(Inputs!$E$10-Inputs!$D$10)),Inputs!$F$10-SQRT((1-D624)*(Inputs!$F$10-Inputs!$D$10)*(Inputs!$F$10-Inputs!$E$10)))</f>
        <v>0.0313677567996906</v>
      </c>
      <c r="F624" s="81" t="n">
        <f aca="true">RAND()</f>
        <v>0.0258598241928425</v>
      </c>
      <c r="G624" s="83" t="n">
        <f aca="false">IF(F624&lt;(Inputs!$E$15-Inputs!$D$15)/(Inputs!$F$15-Inputs!$D$15),Inputs!$D$15+SQRT(F624*(Inputs!$F$15-Inputs!$D$15)*(Inputs!$E$15-Inputs!$D$15)),Inputs!$F$15-SQRT((1-F624)*(Inputs!$F$15-Inputs!$D$15)*(Inputs!$F$15-Inputs!$E$15)))</f>
        <v>0.62274195426644</v>
      </c>
      <c r="H624" s="81" t="n">
        <f aca="true">RAND()</f>
        <v>0.06941266886423</v>
      </c>
      <c r="I624" s="82" t="n">
        <f aca="false">ROUND(IF(H624&lt;(Inputs!$E$17-Inputs!$D$17)/(Inputs!$F$17-Inputs!$D$17),Inputs!$D$17+SQRT(H624*(Inputs!$F$17-Inputs!$D$17)*(Inputs!$E$17-Inputs!$D$17)),Inputs!$F$17-SQRT((1-H624)*(Inputs!$F$17-Inputs!$D$17)*(Inputs!$F$17-Inputs!$E$17))),0)</f>
        <v>102</v>
      </c>
      <c r="J624" s="81" t="n">
        <f aca="true">RAND()</f>
        <v>0.263512558803467</v>
      </c>
      <c r="K624" s="83" t="n">
        <f aca="false">IF(J624&lt;(Inputs!$E$18-Inputs!$D$18)/(Inputs!$F$18-Inputs!$D$18),Inputs!$D$18+SQRT(J624*(Inputs!$F$18-Inputs!$D$18)*(Inputs!$E$18-Inputs!$D$18)),Inputs!$F$18-SQRT((1-J624)*(Inputs!$F$18-Inputs!$D$18)*(Inputs!$F$18-Inputs!$E$18)))</f>
        <v>0.996036136730511</v>
      </c>
      <c r="L624" s="81" t="n">
        <f aca="true">RAND()</f>
        <v>0.089462353802134</v>
      </c>
      <c r="M624" s="83" t="n">
        <f aca="false">IF(L624&lt;(Inputs!$E$24-Inputs!$D$24)/(Inputs!$F$24-Inputs!$D$24),Inputs!$D$24+SQRT(L624*(Inputs!$F$24-Inputs!$D$24)*(Inputs!$E$24-Inputs!$D$24)),Inputs!$F$24-SQRT((1-L624)*(Inputs!$F$24-Inputs!$D$24)*(Inputs!$F$24-Inputs!$E$24)))</f>
        <v>0.703612173301481</v>
      </c>
      <c r="N624" s="81" t="n">
        <f aca="true">RAND()</f>
        <v>0.341488391084981</v>
      </c>
      <c r="O624" s="83" t="n">
        <f aca="false">IF(N624&lt;(Inputs!$E$26-Inputs!$D$26)/(Inputs!$F$26-Inputs!$D$26),Inputs!$D$26+SQRT(N624*(Inputs!$F$26-Inputs!$D$26)*(Inputs!$E$26-Inputs!$D$26)),Inputs!$F$26-SQRT((1-N624)*(Inputs!$F$26-Inputs!$D$26)*(Inputs!$F$26-Inputs!$E$26)))</f>
        <v>0.538377155525736</v>
      </c>
      <c r="P624" s="81" t="n">
        <f aca="true">RAND()</f>
        <v>0.684049189063157</v>
      </c>
      <c r="Q624" s="82" t="n">
        <f aca="false">IF(P624&lt;(Inputs!$E$27-Inputs!$D$27)/(Inputs!$F$27-Inputs!$D$27),Inputs!$D$27+SQRT(P624*(Inputs!$F$27-Inputs!$D$27)*(Inputs!$E$27-Inputs!$D$27)),Inputs!$F$27-SQRT((1-P624)*(Inputs!$F$27-Inputs!$D$27)*(Inputs!$F$27-Inputs!$E$27)))</f>
        <v>101.321143377989</v>
      </c>
      <c r="R624" s="81" t="n">
        <f aca="true">RAND()</f>
        <v>0.963902637732921</v>
      </c>
      <c r="S624" s="82" t="n">
        <f aca="false">IF(R624&lt;(Inputs!$E$29-Inputs!$D$29)/(Inputs!$F$29-Inputs!$D$29),Inputs!$D$29+SQRT(R624*(Inputs!$F$29-Inputs!$D$29)*(Inputs!$E$29-Inputs!$D$29)),Inputs!$F$29-SQRT((1-R624)*(Inputs!$F$29-Inputs!$D$29)*(Inputs!$F$29-Inputs!$E$29)))</f>
        <v>12.833745837922</v>
      </c>
      <c r="T624" s="68" t="n">
        <f aca="false">Inputs!$E$9*(1+E624)+Inputs!$E$5*C624*(Inputs!$E$11*Inputs!$E$14*(G624*I624/Inputs!$E$16+(1-G624))*K624+Inputs!$E$23*M624)*(1+O624)+Inputs!$E$5*(Q624+S624)</f>
        <v>5559.53187960409</v>
      </c>
    </row>
    <row r="625" customFormat="false" ht="15" hidden="false" customHeight="false" outlineLevel="0" collapsed="false">
      <c r="A625" s="1" t="n">
        <v>621</v>
      </c>
      <c r="B625" s="81" t="n">
        <f aca="true">RAND()</f>
        <v>0.606827719693393</v>
      </c>
      <c r="C625" s="82" t="n">
        <f aca="false">ROUND(IF(B625&lt;(Inputs!$E$8-Inputs!$D$8)/(Inputs!$F$8-Inputs!$D$8),Inputs!$D$8+SQRT(B625*(Inputs!$F$8-Inputs!$D$8)*(Inputs!$E$8-Inputs!$D$8)),Inputs!$F$8-SQRT((1-B625)*(Inputs!$F$8-Inputs!$D$8)*(Inputs!$F$8-Inputs!$E$8))),0)</f>
        <v>26</v>
      </c>
      <c r="D625" s="81" t="n">
        <f aca="true">RAND()</f>
        <v>0.802454187074724</v>
      </c>
      <c r="E625" s="83" t="n">
        <f aca="false">IF(D625&lt;(Inputs!$E$10-Inputs!$D$10)/(Inputs!$F$10-Inputs!$D$10),Inputs!$D$10+SQRT(D625*(Inputs!$F$10-Inputs!$D$10)*(Inputs!$E$10-Inputs!$D$10)),Inputs!$F$10-SQRT((1-D625)*(Inputs!$F$10-Inputs!$D$10)*(Inputs!$F$10-Inputs!$E$10)))</f>
        <v>0.123017051318112</v>
      </c>
      <c r="F625" s="81" t="n">
        <f aca="true">RAND()</f>
        <v>0.114264439224965</v>
      </c>
      <c r="G625" s="83" t="n">
        <f aca="false">IF(F625&lt;(Inputs!$E$15-Inputs!$D$15)/(Inputs!$F$15-Inputs!$D$15),Inputs!$D$15+SQRT(F625*(Inputs!$F$15-Inputs!$D$15)*(Inputs!$E$15-Inputs!$D$15)),Inputs!$F$15-SQRT((1-F625)*(Inputs!$F$15-Inputs!$D$15)*(Inputs!$F$15-Inputs!$E$15)))</f>
        <v>0.647804694168034</v>
      </c>
      <c r="H625" s="81" t="n">
        <f aca="true">RAND()</f>
        <v>0.595810281883925</v>
      </c>
      <c r="I625" s="82" t="n">
        <f aca="false">ROUND(IF(H625&lt;(Inputs!$E$17-Inputs!$D$17)/(Inputs!$F$17-Inputs!$D$17),Inputs!$D$17+SQRT(H625*(Inputs!$F$17-Inputs!$D$17)*(Inputs!$E$17-Inputs!$D$17)),Inputs!$F$17-SQRT((1-H625)*(Inputs!$F$17-Inputs!$D$17)*(Inputs!$F$17-Inputs!$E$17))),0)</f>
        <v>107</v>
      </c>
      <c r="J625" s="81" t="n">
        <f aca="true">RAND()</f>
        <v>0.655221192262321</v>
      </c>
      <c r="K625" s="83" t="n">
        <f aca="false">IF(J625&lt;(Inputs!$E$18-Inputs!$D$18)/(Inputs!$F$18-Inputs!$D$18),Inputs!$D$18+SQRT(J625*(Inputs!$F$18-Inputs!$D$18)*(Inputs!$E$18-Inputs!$D$18)),Inputs!$F$18-SQRT((1-J625)*(Inputs!$F$18-Inputs!$D$18)*(Inputs!$F$18-Inputs!$E$18)))</f>
        <v>1.0763102027261</v>
      </c>
      <c r="L625" s="81" t="n">
        <f aca="true">RAND()</f>
        <v>0.713715710777587</v>
      </c>
      <c r="M625" s="83" t="n">
        <f aca="false">IF(L625&lt;(Inputs!$E$24-Inputs!$D$24)/(Inputs!$F$24-Inputs!$D$24),Inputs!$D$24+SQRT(L625*(Inputs!$F$24-Inputs!$D$24)*(Inputs!$E$24-Inputs!$D$24)),Inputs!$F$24-SQRT((1-L625)*(Inputs!$F$24-Inputs!$D$24)*(Inputs!$F$24-Inputs!$E$24)))</f>
        <v>0.937877453443281</v>
      </c>
      <c r="N625" s="81" t="n">
        <f aca="true">RAND()</f>
        <v>0.440215643196925</v>
      </c>
      <c r="O625" s="83" t="n">
        <f aca="false">IF(N625&lt;(Inputs!$E$26-Inputs!$D$26)/(Inputs!$F$26-Inputs!$D$26),Inputs!$D$26+SQRT(N625*(Inputs!$F$26-Inputs!$D$26)*(Inputs!$E$26-Inputs!$D$26)),Inputs!$F$26-SQRT((1-N625)*(Inputs!$F$26-Inputs!$D$26)*(Inputs!$F$26-Inputs!$E$26)))</f>
        <v>0.570650850780057</v>
      </c>
      <c r="P625" s="81" t="n">
        <f aca="true">RAND()</f>
        <v>0.640171849227044</v>
      </c>
      <c r="Q625" s="82" t="n">
        <f aca="false">IF(P625&lt;(Inputs!$E$27-Inputs!$D$27)/(Inputs!$F$27-Inputs!$D$27),Inputs!$D$27+SQRT(P625*(Inputs!$F$27-Inputs!$D$27)*(Inputs!$E$27-Inputs!$D$27)),Inputs!$F$27-SQRT((1-P625)*(Inputs!$F$27-Inputs!$D$27)*(Inputs!$F$27-Inputs!$E$27)))</f>
        <v>98.0508794030431</v>
      </c>
      <c r="R625" s="81" t="n">
        <f aca="true">RAND()</f>
        <v>0.348528003709837</v>
      </c>
      <c r="S625" s="82" t="n">
        <f aca="false">IF(R625&lt;(Inputs!$E$29-Inputs!$D$29)/(Inputs!$F$29-Inputs!$D$29),Inputs!$D$29+SQRT(R625*(Inputs!$F$29-Inputs!$D$29)*(Inputs!$E$29-Inputs!$D$29)),Inputs!$F$29-SQRT((1-R625)*(Inputs!$F$29-Inputs!$D$29)*(Inputs!$F$29-Inputs!$E$29)))</f>
        <v>5.79720914517117</v>
      </c>
      <c r="T625" s="68" t="n">
        <f aca="false">Inputs!$E$9*(1+E625)+Inputs!$E$5*C625*(Inputs!$E$11*Inputs!$E$14*(G625*I625/Inputs!$E$16+(1-G625))*K625+Inputs!$E$23*M625)*(1+O625)+Inputs!$E$5*(Q625+S625)</f>
        <v>6815.75028442117</v>
      </c>
    </row>
    <row r="626" customFormat="false" ht="15" hidden="false" customHeight="false" outlineLevel="0" collapsed="false">
      <c r="A626" s="1" t="n">
        <v>622</v>
      </c>
      <c r="B626" s="81" t="n">
        <f aca="true">RAND()</f>
        <v>0.817686029616508</v>
      </c>
      <c r="C626" s="82" t="n">
        <f aca="false">ROUND(IF(B626&lt;(Inputs!$E$8-Inputs!$D$8)/(Inputs!$F$8-Inputs!$D$8),Inputs!$D$8+SQRT(B626*(Inputs!$F$8-Inputs!$D$8)*(Inputs!$E$8-Inputs!$D$8)),Inputs!$F$8-SQRT((1-B626)*(Inputs!$F$8-Inputs!$D$8)*(Inputs!$F$8-Inputs!$E$8))),0)</f>
        <v>27</v>
      </c>
      <c r="D626" s="81" t="n">
        <f aca="true">RAND()</f>
        <v>0.202343944488404</v>
      </c>
      <c r="E626" s="83" t="n">
        <f aca="false">IF(D626&lt;(Inputs!$E$10-Inputs!$D$10)/(Inputs!$F$10-Inputs!$D$10),Inputs!$D$10+SQRT(D626*(Inputs!$F$10-Inputs!$D$10)*(Inputs!$E$10-Inputs!$D$10)),Inputs!$F$10-SQRT((1-D626)*(Inputs!$F$10-Inputs!$D$10)*(Inputs!$F$10-Inputs!$E$10)))</f>
        <v>0.0449826571567759</v>
      </c>
      <c r="F626" s="81" t="n">
        <f aca="true">RAND()</f>
        <v>0.516778070546282</v>
      </c>
      <c r="G626" s="83" t="n">
        <f aca="false">IF(F626&lt;(Inputs!$E$15-Inputs!$D$15)/(Inputs!$F$15-Inputs!$D$15),Inputs!$D$15+SQRT(F626*(Inputs!$F$15-Inputs!$D$15)*(Inputs!$E$15-Inputs!$D$15)),Inputs!$F$15-SQRT((1-F626)*(Inputs!$F$15-Inputs!$D$15)*(Inputs!$F$15-Inputs!$E$15)))</f>
        <v>0.70169212346371</v>
      </c>
      <c r="H626" s="81" t="n">
        <f aca="true">RAND()</f>
        <v>0.668615090739484</v>
      </c>
      <c r="I626" s="82" t="n">
        <f aca="false">ROUND(IF(H626&lt;(Inputs!$E$17-Inputs!$D$17)/(Inputs!$F$17-Inputs!$D$17),Inputs!$D$17+SQRT(H626*(Inputs!$F$17-Inputs!$D$17)*(Inputs!$E$17-Inputs!$D$17)),Inputs!$F$17-SQRT((1-H626)*(Inputs!$F$17-Inputs!$D$17)*(Inputs!$F$17-Inputs!$E$17))),0)</f>
        <v>108</v>
      </c>
      <c r="J626" s="81" t="n">
        <f aca="true">RAND()</f>
        <v>0.569140833655204</v>
      </c>
      <c r="K626" s="83" t="n">
        <f aca="false">IF(J626&lt;(Inputs!$E$18-Inputs!$D$18)/(Inputs!$F$18-Inputs!$D$18),Inputs!$D$18+SQRT(J626*(Inputs!$F$18-Inputs!$D$18)*(Inputs!$E$18-Inputs!$D$18)),Inputs!$F$18-SQRT((1-J626)*(Inputs!$F$18-Inputs!$D$18)*(Inputs!$F$18-Inputs!$E$18)))</f>
        <v>1.0558346656708</v>
      </c>
      <c r="L626" s="81" t="n">
        <f aca="true">RAND()</f>
        <v>0.20005062125394</v>
      </c>
      <c r="M626" s="83" t="n">
        <f aca="false">IF(L626&lt;(Inputs!$E$24-Inputs!$D$24)/(Inputs!$F$24-Inputs!$D$24),Inputs!$D$24+SQRT(L626*(Inputs!$F$24-Inputs!$D$24)*(Inputs!$E$24-Inputs!$D$24)),Inputs!$F$24-SQRT((1-L626)*(Inputs!$F$24-Inputs!$D$24)*(Inputs!$F$24-Inputs!$E$24)))</f>
        <v>0.754938938135231</v>
      </c>
      <c r="N626" s="81" t="n">
        <f aca="true">RAND()</f>
        <v>0.792227150944229</v>
      </c>
      <c r="O626" s="83" t="n">
        <f aca="false">IF(N626&lt;(Inputs!$E$26-Inputs!$D$26)/(Inputs!$F$26-Inputs!$D$26),Inputs!$D$26+SQRT(N626*(Inputs!$F$26-Inputs!$D$26)*(Inputs!$E$26-Inputs!$D$26)),Inputs!$F$26-SQRT((1-N626)*(Inputs!$F$26-Inputs!$D$26)*(Inputs!$F$26-Inputs!$E$26)))</f>
        <v>0.673002121437756</v>
      </c>
      <c r="P626" s="81" t="n">
        <f aca="true">RAND()</f>
        <v>0.459104733437249</v>
      </c>
      <c r="Q626" s="82" t="n">
        <f aca="false">IF(P626&lt;(Inputs!$E$27-Inputs!$D$27)/(Inputs!$F$27-Inputs!$D$27),Inputs!$D$27+SQRT(P626*(Inputs!$F$27-Inputs!$D$27)*(Inputs!$E$27-Inputs!$D$27)),Inputs!$F$27-SQRT((1-P626)*(Inputs!$F$27-Inputs!$D$27)*(Inputs!$F$27-Inputs!$E$27)))</f>
        <v>86.3076574522444</v>
      </c>
      <c r="R626" s="81" t="n">
        <f aca="true">RAND()</f>
        <v>0.863084107327454</v>
      </c>
      <c r="S626" s="82" t="n">
        <f aca="false">IF(R626&lt;(Inputs!$E$29-Inputs!$D$29)/(Inputs!$F$29-Inputs!$D$29),Inputs!$D$29+SQRT(R626*(Inputs!$F$29-Inputs!$D$29)*(Inputs!$E$29-Inputs!$D$29)),Inputs!$F$29-SQRT((1-R626)*(Inputs!$F$29-Inputs!$D$29)*(Inputs!$F$29-Inputs!$E$29)))</f>
        <v>10.7811060635006</v>
      </c>
      <c r="T626" s="68" t="n">
        <f aca="false">Inputs!$E$9*(1+E626)+Inputs!$E$5*C626*(Inputs!$E$11*Inputs!$E$14*(G626*I626/Inputs!$E$16+(1-G626))*K626+Inputs!$E$23*M626)*(1+O626)+Inputs!$E$5*(Q626+S626)</f>
        <v>6600.42798349823</v>
      </c>
    </row>
    <row r="627" customFormat="false" ht="15" hidden="false" customHeight="false" outlineLevel="0" collapsed="false">
      <c r="A627" s="1" t="n">
        <v>623</v>
      </c>
      <c r="B627" s="81" t="n">
        <f aca="true">RAND()</f>
        <v>0.817899962764547</v>
      </c>
      <c r="C627" s="82" t="n">
        <f aca="false">ROUND(IF(B627&lt;(Inputs!$E$8-Inputs!$D$8)/(Inputs!$F$8-Inputs!$D$8),Inputs!$D$8+SQRT(B627*(Inputs!$F$8-Inputs!$D$8)*(Inputs!$E$8-Inputs!$D$8)),Inputs!$F$8-SQRT((1-B627)*(Inputs!$F$8-Inputs!$D$8)*(Inputs!$F$8-Inputs!$E$8))),0)</f>
        <v>27</v>
      </c>
      <c r="D627" s="81" t="n">
        <f aca="true">RAND()</f>
        <v>0.406744949387519</v>
      </c>
      <c r="E627" s="83" t="n">
        <f aca="false">IF(D627&lt;(Inputs!$E$10-Inputs!$D$10)/(Inputs!$F$10-Inputs!$D$10),Inputs!$D$10+SQRT(D627*(Inputs!$F$10-Inputs!$D$10)*(Inputs!$E$10-Inputs!$D$10)),Inputs!$F$10-SQRT((1-D627)*(Inputs!$F$10-Inputs!$D$10)*(Inputs!$F$10-Inputs!$E$10)))</f>
        <v>0.0665921609560577</v>
      </c>
      <c r="F627" s="81" t="n">
        <f aca="true">RAND()</f>
        <v>0.53226591295204</v>
      </c>
      <c r="G627" s="83" t="n">
        <f aca="false">IF(F627&lt;(Inputs!$E$15-Inputs!$D$15)/(Inputs!$F$15-Inputs!$D$15),Inputs!$D$15+SQRT(F627*(Inputs!$F$15-Inputs!$D$15)*(Inputs!$E$15-Inputs!$D$15)),Inputs!$F$15-SQRT((1-F627)*(Inputs!$F$15-Inputs!$D$15)*(Inputs!$F$15-Inputs!$E$15)))</f>
        <v>0.703280396294447</v>
      </c>
      <c r="H627" s="81" t="n">
        <f aca="true">RAND()</f>
        <v>0.916122633231981</v>
      </c>
      <c r="I627" s="82" t="n">
        <f aca="false">ROUND(IF(H627&lt;(Inputs!$E$17-Inputs!$D$17)/(Inputs!$F$17-Inputs!$D$17),Inputs!$D$17+SQRT(H627*(Inputs!$F$17-Inputs!$D$17)*(Inputs!$E$17-Inputs!$D$17)),Inputs!$F$17-SQRT((1-H627)*(Inputs!$F$17-Inputs!$D$17)*(Inputs!$F$17-Inputs!$E$17))),0)</f>
        <v>111</v>
      </c>
      <c r="J627" s="81" t="n">
        <f aca="true">RAND()</f>
        <v>0.9259538064295</v>
      </c>
      <c r="K627" s="83" t="n">
        <f aca="false">IF(J627&lt;(Inputs!$E$18-Inputs!$D$18)/(Inputs!$F$18-Inputs!$D$18),Inputs!$D$18+SQRT(J627*(Inputs!$F$18-Inputs!$D$18)*(Inputs!$E$18-Inputs!$D$18)),Inputs!$F$18-SQRT((1-J627)*(Inputs!$F$18-Inputs!$D$18)*(Inputs!$F$18-Inputs!$E$18)))</f>
        <v>1.16950750384403</v>
      </c>
      <c r="L627" s="81" t="n">
        <f aca="true">RAND()</f>
        <v>0.335250701112147</v>
      </c>
      <c r="M627" s="83" t="n">
        <f aca="false">IF(L627&lt;(Inputs!$E$24-Inputs!$D$24)/(Inputs!$F$24-Inputs!$D$24),Inputs!$D$24+SQRT(L627*(Inputs!$F$24-Inputs!$D$24)*(Inputs!$E$24-Inputs!$D$24)),Inputs!$F$24-SQRT((1-L627)*(Inputs!$F$24-Inputs!$D$24)*(Inputs!$F$24-Inputs!$E$24)))</f>
        <v>0.800575624513119</v>
      </c>
      <c r="N627" s="81" t="n">
        <f aca="true">RAND()</f>
        <v>0.0309189414276964</v>
      </c>
      <c r="O627" s="83" t="n">
        <f aca="false">IF(N627&lt;(Inputs!$E$26-Inputs!$D$26)/(Inputs!$F$26-Inputs!$D$26),Inputs!$D$26+SQRT(N627*(Inputs!$F$26-Inputs!$D$26)*(Inputs!$E$26-Inputs!$D$26)),Inputs!$F$26-SQRT((1-N627)*(Inputs!$F$26-Inputs!$D$26)*(Inputs!$F$26-Inputs!$E$26)))</f>
        <v>0.371728040915451</v>
      </c>
      <c r="P627" s="81" t="n">
        <f aca="true">RAND()</f>
        <v>0.00582033551274735</v>
      </c>
      <c r="Q627" s="82" t="n">
        <f aca="false">IF(P627&lt;(Inputs!$E$27-Inputs!$D$27)/(Inputs!$F$27-Inputs!$D$27),Inputs!$D$27+SQRT(P627*(Inputs!$F$27-Inputs!$D$27)*(Inputs!$E$27-Inputs!$D$27)),Inputs!$F$27-SQRT((1-P627)*(Inputs!$F$27-Inputs!$D$27)*(Inputs!$F$27-Inputs!$E$27)))</f>
        <v>53.8145561710202</v>
      </c>
      <c r="R627" s="81" t="n">
        <f aca="true">RAND()</f>
        <v>0.399876353723523</v>
      </c>
      <c r="S627" s="82" t="n">
        <f aca="false">IF(R627&lt;(Inputs!$E$29-Inputs!$D$29)/(Inputs!$F$29-Inputs!$D$29),Inputs!$D$29+SQRT(R627*(Inputs!$F$29-Inputs!$D$29)*(Inputs!$E$29-Inputs!$D$29)),Inputs!$F$29-SQRT((1-R627)*(Inputs!$F$29-Inputs!$D$29)*(Inputs!$F$29-Inputs!$E$29)))</f>
        <v>6.1673291685956</v>
      </c>
      <c r="T627" s="68" t="n">
        <f aca="false">Inputs!$E$9*(1+E627)+Inputs!$E$5*C627*(Inputs!$E$11*Inputs!$E$14*(G627*I627/Inputs!$E$16+(1-G627))*K627+Inputs!$E$23*M627)*(1+O627)+Inputs!$E$5*(Q627+S627)</f>
        <v>6100.87728638606</v>
      </c>
    </row>
    <row r="628" customFormat="false" ht="15" hidden="false" customHeight="false" outlineLevel="0" collapsed="false">
      <c r="A628" s="1" t="n">
        <v>624</v>
      </c>
      <c r="B628" s="81" t="n">
        <f aca="true">RAND()</f>
        <v>0.908353886019787</v>
      </c>
      <c r="C628" s="82" t="n">
        <f aca="false">ROUND(IF(B628&lt;(Inputs!$E$8-Inputs!$D$8)/(Inputs!$F$8-Inputs!$D$8),Inputs!$D$8+SQRT(B628*(Inputs!$F$8-Inputs!$D$8)*(Inputs!$E$8-Inputs!$D$8)),Inputs!$F$8-SQRT((1-B628)*(Inputs!$F$8-Inputs!$D$8)*(Inputs!$F$8-Inputs!$E$8))),0)</f>
        <v>28</v>
      </c>
      <c r="D628" s="81" t="n">
        <f aca="true">RAND()</f>
        <v>0.978441580724651</v>
      </c>
      <c r="E628" s="83" t="n">
        <f aca="false">IF(D628&lt;(Inputs!$E$10-Inputs!$D$10)/(Inputs!$F$10-Inputs!$D$10),Inputs!$D$10+SQRT(D628*(Inputs!$F$10-Inputs!$D$10)*(Inputs!$E$10-Inputs!$D$10)),Inputs!$F$10-SQRT((1-D628)*(Inputs!$F$10-Inputs!$D$10)*(Inputs!$F$10-Inputs!$E$10)))</f>
        <v>0.174568669357258</v>
      </c>
      <c r="F628" s="81" t="n">
        <f aca="true">RAND()</f>
        <v>0.94653044754208</v>
      </c>
      <c r="G628" s="83" t="n">
        <f aca="false">IF(F628&lt;(Inputs!$E$15-Inputs!$D$15)/(Inputs!$F$15-Inputs!$D$15),Inputs!$D$15+SQRT(F628*(Inputs!$F$15-Inputs!$D$15)*(Inputs!$E$15-Inputs!$D$15)),Inputs!$F$15-SQRT((1-F628)*(Inputs!$F$15-Inputs!$D$15)*(Inputs!$F$15-Inputs!$E$15)))</f>
        <v>0.767298454942336</v>
      </c>
      <c r="H628" s="81" t="n">
        <f aca="true">RAND()</f>
        <v>0.743580421929319</v>
      </c>
      <c r="I628" s="82" t="n">
        <f aca="false">ROUND(IF(H628&lt;(Inputs!$E$17-Inputs!$D$17)/(Inputs!$F$17-Inputs!$D$17),Inputs!$D$17+SQRT(H628*(Inputs!$F$17-Inputs!$D$17)*(Inputs!$E$17-Inputs!$D$17)),Inputs!$F$17-SQRT((1-H628)*(Inputs!$F$17-Inputs!$D$17)*(Inputs!$F$17-Inputs!$E$17))),0)</f>
        <v>109</v>
      </c>
      <c r="J628" s="81" t="n">
        <f aca="true">RAND()</f>
        <v>0.875211014455559</v>
      </c>
      <c r="K628" s="83" t="n">
        <f aca="false">IF(J628&lt;(Inputs!$E$18-Inputs!$D$18)/(Inputs!$F$18-Inputs!$D$18),Inputs!$D$18+SQRT(J628*(Inputs!$F$18-Inputs!$D$18)*(Inputs!$E$18-Inputs!$D$18)),Inputs!$F$18-SQRT((1-J628)*(Inputs!$F$18-Inputs!$D$18)*(Inputs!$F$18-Inputs!$E$18)))</f>
        <v>1.14550580764876</v>
      </c>
      <c r="L628" s="81" t="n">
        <f aca="true">RAND()</f>
        <v>0.103962132611528</v>
      </c>
      <c r="M628" s="83" t="n">
        <f aca="false">IF(L628&lt;(Inputs!$E$24-Inputs!$D$24)/(Inputs!$F$24-Inputs!$D$24),Inputs!$D$24+SQRT(L628*(Inputs!$F$24-Inputs!$D$24)*(Inputs!$E$24-Inputs!$D$24)),Inputs!$F$24-SQRT((1-L628)*(Inputs!$F$24-Inputs!$D$24)*(Inputs!$F$24-Inputs!$E$24)))</f>
        <v>0.711693580448401</v>
      </c>
      <c r="N628" s="81" t="n">
        <f aca="true">RAND()</f>
        <v>0.314844457547655</v>
      </c>
      <c r="O628" s="83" t="n">
        <f aca="false">IF(N628&lt;(Inputs!$E$26-Inputs!$D$26)/(Inputs!$F$26-Inputs!$D$26),Inputs!$D$26+SQRT(N628*(Inputs!$F$26-Inputs!$D$26)*(Inputs!$E$26-Inputs!$D$26)),Inputs!$F$26-SQRT((1-N628)*(Inputs!$F$26-Inputs!$D$26)*(Inputs!$F$26-Inputs!$E$26)))</f>
        <v>0.528888876391864</v>
      </c>
      <c r="P628" s="81" t="n">
        <f aca="true">RAND()</f>
        <v>0.810266300277895</v>
      </c>
      <c r="Q628" s="82" t="n">
        <f aca="false">IF(P628&lt;(Inputs!$E$27-Inputs!$D$27)/(Inputs!$F$27-Inputs!$D$27),Inputs!$D$27+SQRT(P628*(Inputs!$F$27-Inputs!$D$27)*(Inputs!$E$27-Inputs!$D$27)),Inputs!$F$27-SQRT((1-P628)*(Inputs!$F$27-Inputs!$D$27)*(Inputs!$F$27-Inputs!$E$27)))</f>
        <v>112.277291349695</v>
      </c>
      <c r="R628" s="81" t="n">
        <f aca="true">RAND()</f>
        <v>0.0582650379763507</v>
      </c>
      <c r="S628" s="82" t="n">
        <f aca="false">IF(R628&lt;(Inputs!$E$29-Inputs!$D$29)/(Inputs!$F$29-Inputs!$D$29),Inputs!$D$29+SQRT(R628*(Inputs!$F$29-Inputs!$D$29)*(Inputs!$E$29-Inputs!$D$29)),Inputs!$F$29-SQRT((1-R628)*(Inputs!$F$29-Inputs!$D$29)*(Inputs!$F$29-Inputs!$E$29)))</f>
        <v>3.50742710638945</v>
      </c>
      <c r="T628" s="68" t="n">
        <f aca="false">Inputs!$E$9*(1+E628)+Inputs!$E$5*C628*(Inputs!$E$11*Inputs!$E$14*(G628*I628/Inputs!$E$16+(1-G628))*K628+Inputs!$E$23*M628)*(1+O628)+Inputs!$E$5*(Q628+S628)</f>
        <v>6835.27046765096</v>
      </c>
    </row>
    <row r="629" customFormat="false" ht="15" hidden="false" customHeight="false" outlineLevel="0" collapsed="false">
      <c r="A629" s="1" t="n">
        <v>625</v>
      </c>
      <c r="B629" s="81" t="n">
        <f aca="true">RAND()</f>
        <v>0.33032141825997</v>
      </c>
      <c r="C629" s="82" t="n">
        <f aca="false">ROUND(IF(B629&lt;(Inputs!$E$8-Inputs!$D$8)/(Inputs!$F$8-Inputs!$D$8),Inputs!$D$8+SQRT(B629*(Inputs!$F$8-Inputs!$D$8)*(Inputs!$E$8-Inputs!$D$8)),Inputs!$F$8-SQRT((1-B629)*(Inputs!$F$8-Inputs!$D$8)*(Inputs!$F$8-Inputs!$E$8))),0)</f>
        <v>24</v>
      </c>
      <c r="D629" s="81" t="n">
        <f aca="true">RAND()</f>
        <v>0.87506426758638</v>
      </c>
      <c r="E629" s="83" t="n">
        <f aca="false">IF(D629&lt;(Inputs!$E$10-Inputs!$D$10)/(Inputs!$F$10-Inputs!$D$10),Inputs!$D$10+SQRT(D629*(Inputs!$F$10-Inputs!$D$10)*(Inputs!$E$10-Inputs!$D$10)),Inputs!$F$10-SQRT((1-D629)*(Inputs!$F$10-Inputs!$D$10)*(Inputs!$F$10-Inputs!$E$10)))</f>
        <v>0.138778500733741</v>
      </c>
      <c r="F629" s="81" t="n">
        <f aca="true">RAND()</f>
        <v>0.375206506037778</v>
      </c>
      <c r="G629" s="83" t="n">
        <f aca="false">IF(F629&lt;(Inputs!$E$15-Inputs!$D$15)/(Inputs!$F$15-Inputs!$D$15),Inputs!$D$15+SQRT(F629*(Inputs!$F$15-Inputs!$D$15)*(Inputs!$E$15-Inputs!$D$15)),Inputs!$F$15-SQRT((1-F629)*(Inputs!$F$15-Inputs!$D$15)*(Inputs!$F$15-Inputs!$E$15)))</f>
        <v>0.686626382359854</v>
      </c>
      <c r="H629" s="81" t="n">
        <f aca="true">RAND()</f>
        <v>0.520616400137194</v>
      </c>
      <c r="I629" s="82" t="n">
        <f aca="false">ROUND(IF(H629&lt;(Inputs!$E$17-Inputs!$D$17)/(Inputs!$F$17-Inputs!$D$17),Inputs!$D$17+SQRT(H629*(Inputs!$F$17-Inputs!$D$17)*(Inputs!$E$17-Inputs!$D$17)),Inputs!$F$17-SQRT((1-H629)*(Inputs!$F$17-Inputs!$D$17)*(Inputs!$F$17-Inputs!$E$17))),0)</f>
        <v>107</v>
      </c>
      <c r="J629" s="81" t="n">
        <f aca="true">RAND()</f>
        <v>0.952507749734003</v>
      </c>
      <c r="K629" s="83" t="n">
        <f aca="false">IF(J629&lt;(Inputs!$E$18-Inputs!$D$18)/(Inputs!$F$18-Inputs!$D$18),Inputs!$D$18+SQRT(J629*(Inputs!$F$18-Inputs!$D$18)*(Inputs!$E$18-Inputs!$D$18)),Inputs!$F$18-SQRT((1-J629)*(Inputs!$F$18-Inputs!$D$18)*(Inputs!$F$18-Inputs!$E$18)))</f>
        <v>1.1855362745548</v>
      </c>
      <c r="L629" s="81" t="n">
        <f aca="true">RAND()</f>
        <v>0.222226898848903</v>
      </c>
      <c r="M629" s="83" t="n">
        <f aca="false">IF(L629&lt;(Inputs!$E$24-Inputs!$D$24)/(Inputs!$F$24-Inputs!$D$24),Inputs!$D$24+SQRT(L629*(Inputs!$F$24-Inputs!$D$24)*(Inputs!$E$24-Inputs!$D$24)),Inputs!$F$24-SQRT((1-L629)*(Inputs!$F$24-Inputs!$D$24)*(Inputs!$F$24-Inputs!$E$24)))</f>
        <v>0.763301034478868</v>
      </c>
      <c r="N629" s="81" t="n">
        <f aca="true">RAND()</f>
        <v>0.915425210717341</v>
      </c>
      <c r="O629" s="83" t="n">
        <f aca="false">IF(N629&lt;(Inputs!$E$26-Inputs!$D$26)/(Inputs!$F$26-Inputs!$D$26),Inputs!$D$26+SQRT(N629*(Inputs!$F$26-Inputs!$D$26)*(Inputs!$E$26-Inputs!$D$26)),Inputs!$F$26-SQRT((1-N629)*(Inputs!$F$26-Inputs!$D$26)*(Inputs!$F$26-Inputs!$E$26)))</f>
        <v>0.726214190383638</v>
      </c>
      <c r="P629" s="81" t="n">
        <f aca="true">RAND()</f>
        <v>0.714106629503191</v>
      </c>
      <c r="Q629" s="82" t="n">
        <f aca="false">IF(P629&lt;(Inputs!$E$27-Inputs!$D$27)/(Inputs!$F$27-Inputs!$D$27),Inputs!$D$27+SQRT(P629*(Inputs!$F$27-Inputs!$D$27)*(Inputs!$E$27-Inputs!$D$27)),Inputs!$F$27-SQRT((1-P629)*(Inputs!$F$27-Inputs!$D$27)*(Inputs!$F$27-Inputs!$E$27)))</f>
        <v>103.694489758496</v>
      </c>
      <c r="R629" s="81" t="n">
        <f aca="true">RAND()</f>
        <v>0.62181900862686</v>
      </c>
      <c r="S629" s="82" t="n">
        <f aca="false">IF(R629&lt;(Inputs!$E$29-Inputs!$D$29)/(Inputs!$F$29-Inputs!$D$29),Inputs!$D$29+SQRT(R629*(Inputs!$F$29-Inputs!$D$29)*(Inputs!$E$29-Inputs!$D$29)),Inputs!$F$29-SQRT((1-R629)*(Inputs!$F$29-Inputs!$D$29)*(Inputs!$F$29-Inputs!$E$29)))</f>
        <v>7.98832909510806</v>
      </c>
      <c r="T629" s="68" t="n">
        <f aca="false">Inputs!$E$9*(1+E629)+Inputs!$E$5*C629*(Inputs!$E$11*Inputs!$E$14*(G629*I629/Inputs!$E$16+(1-G629))*K629+Inputs!$E$23*M629)*(1+O629)+Inputs!$E$5*(Q629+S629)</f>
        <v>6878.62713855383</v>
      </c>
    </row>
    <row r="630" customFormat="false" ht="15" hidden="false" customHeight="false" outlineLevel="0" collapsed="false">
      <c r="A630" s="1" t="n">
        <v>626</v>
      </c>
      <c r="B630" s="81" t="n">
        <f aca="true">RAND()</f>
        <v>0.915034539514836</v>
      </c>
      <c r="C630" s="82" t="n">
        <f aca="false">ROUND(IF(B630&lt;(Inputs!$E$8-Inputs!$D$8)/(Inputs!$F$8-Inputs!$D$8),Inputs!$D$8+SQRT(B630*(Inputs!$F$8-Inputs!$D$8)*(Inputs!$E$8-Inputs!$D$8)),Inputs!$F$8-SQRT((1-B630)*(Inputs!$F$8-Inputs!$D$8)*(Inputs!$F$8-Inputs!$E$8))),0)</f>
        <v>28</v>
      </c>
      <c r="D630" s="81" t="n">
        <f aca="true">RAND()</f>
        <v>0.94447601093753</v>
      </c>
      <c r="E630" s="83" t="n">
        <f aca="false">IF(D630&lt;(Inputs!$E$10-Inputs!$D$10)/(Inputs!$F$10-Inputs!$D$10),Inputs!$D$10+SQRT(D630*(Inputs!$F$10-Inputs!$D$10)*(Inputs!$E$10-Inputs!$D$10)),Inputs!$F$10-SQRT((1-D630)*(Inputs!$F$10-Inputs!$D$10)*(Inputs!$F$10-Inputs!$E$10)))</f>
        <v>0.159186770871761</v>
      </c>
      <c r="F630" s="81" t="n">
        <f aca="true">RAND()</f>
        <v>0.882506410825572</v>
      </c>
      <c r="G630" s="83" t="n">
        <f aca="false">IF(F630&lt;(Inputs!$E$15-Inputs!$D$15)/(Inputs!$F$15-Inputs!$D$15),Inputs!$D$15+SQRT(F630*(Inputs!$F$15-Inputs!$D$15)*(Inputs!$E$15-Inputs!$D$15)),Inputs!$F$15-SQRT((1-F630)*(Inputs!$F$15-Inputs!$D$15)*(Inputs!$F$15-Inputs!$E$15)))</f>
        <v>0.751524523896216</v>
      </c>
      <c r="H630" s="81" t="n">
        <f aca="true">RAND()</f>
        <v>0.656420413172849</v>
      </c>
      <c r="I630" s="82" t="n">
        <f aca="false">ROUND(IF(H630&lt;(Inputs!$E$17-Inputs!$D$17)/(Inputs!$F$17-Inputs!$D$17),Inputs!$D$17+SQRT(H630*(Inputs!$F$17-Inputs!$D$17)*(Inputs!$E$17-Inputs!$D$17)),Inputs!$F$17-SQRT((1-H630)*(Inputs!$F$17-Inputs!$D$17)*(Inputs!$F$17-Inputs!$E$17))),0)</f>
        <v>108</v>
      </c>
      <c r="J630" s="81" t="n">
        <f aca="true">RAND()</f>
        <v>0.491728426568133</v>
      </c>
      <c r="K630" s="83" t="n">
        <f aca="false">IF(J630&lt;(Inputs!$E$18-Inputs!$D$18)/(Inputs!$F$18-Inputs!$D$18),Inputs!$D$18+SQRT(J630*(Inputs!$F$18-Inputs!$D$18)*(Inputs!$E$18-Inputs!$D$18)),Inputs!$F$18-SQRT((1-J630)*(Inputs!$F$18-Inputs!$D$18)*(Inputs!$F$18-Inputs!$E$18)))</f>
        <v>1.03911196649575</v>
      </c>
      <c r="L630" s="81" t="n">
        <f aca="true">RAND()</f>
        <v>0.884159792801833</v>
      </c>
      <c r="M630" s="83" t="n">
        <f aca="false">IF(L630&lt;(Inputs!$E$24-Inputs!$D$24)/(Inputs!$F$24-Inputs!$D$24),Inputs!$D$24+SQRT(L630*(Inputs!$F$24-Inputs!$D$24)*(Inputs!$E$24-Inputs!$D$24)),Inputs!$F$24-SQRT((1-L630)*(Inputs!$F$24-Inputs!$D$24)*(Inputs!$F$24-Inputs!$E$24)))</f>
        <v>1.03326173286387</v>
      </c>
      <c r="N630" s="81" t="n">
        <f aca="true">RAND()</f>
        <v>0.00128981042991386</v>
      </c>
      <c r="O630" s="83" t="n">
        <f aca="false">IF(N630&lt;(Inputs!$E$26-Inputs!$D$26)/(Inputs!$F$26-Inputs!$D$26),Inputs!$D$26+SQRT(N630*(Inputs!$F$26-Inputs!$D$26)*(Inputs!$E$26-Inputs!$D$26)),Inputs!$F$26-SQRT((1-N630)*(Inputs!$F$26-Inputs!$D$26)*(Inputs!$F$26-Inputs!$E$26)))</f>
        <v>0.314650066741748</v>
      </c>
      <c r="P630" s="81" t="n">
        <f aca="true">RAND()</f>
        <v>0.705964277015238</v>
      </c>
      <c r="Q630" s="82" t="n">
        <f aca="false">IF(P630&lt;(Inputs!$E$27-Inputs!$D$27)/(Inputs!$F$27-Inputs!$D$27),Inputs!$D$27+SQRT(P630*(Inputs!$F$27-Inputs!$D$27)*(Inputs!$E$27-Inputs!$D$27)),Inputs!$F$27-SQRT((1-P630)*(Inputs!$F$27-Inputs!$D$27)*(Inputs!$F$27-Inputs!$E$27)))</f>
        <v>103.039719736934</v>
      </c>
      <c r="R630" s="81" t="n">
        <f aca="true">RAND()</f>
        <v>0.124249587268373</v>
      </c>
      <c r="S630" s="82" t="n">
        <f aca="false">IF(R630&lt;(Inputs!$E$29-Inputs!$D$29)/(Inputs!$F$29-Inputs!$D$29),Inputs!$D$29+SQRT(R630*(Inputs!$F$29-Inputs!$D$29)*(Inputs!$E$29-Inputs!$D$29)),Inputs!$F$29-SQRT((1-R630)*(Inputs!$F$29-Inputs!$D$29)*(Inputs!$F$29-Inputs!$E$29)))</f>
        <v>4.20130277414684</v>
      </c>
      <c r="T630" s="68" t="n">
        <f aca="false">Inputs!$E$9*(1+E630)+Inputs!$E$5*C630*(Inputs!$E$11*Inputs!$E$14*(G630*I630/Inputs!$E$16+(1-G630))*K630+Inputs!$E$23*M630)*(1+O630)+Inputs!$E$5*(Q630+S630)</f>
        <v>6466.71425213167</v>
      </c>
    </row>
    <row r="631" customFormat="false" ht="15" hidden="false" customHeight="false" outlineLevel="0" collapsed="false">
      <c r="A631" s="1" t="n">
        <v>627</v>
      </c>
      <c r="B631" s="81" t="n">
        <f aca="true">RAND()</f>
        <v>0.08638624494279</v>
      </c>
      <c r="C631" s="82" t="n">
        <f aca="false">ROUND(IF(B631&lt;(Inputs!$E$8-Inputs!$D$8)/(Inputs!$F$8-Inputs!$D$8),Inputs!$D$8+SQRT(B631*(Inputs!$F$8-Inputs!$D$8)*(Inputs!$E$8-Inputs!$D$8)),Inputs!$F$8-SQRT((1-B631)*(Inputs!$F$8-Inputs!$D$8)*(Inputs!$F$8-Inputs!$E$8))),0)</f>
        <v>22</v>
      </c>
      <c r="D631" s="81" t="n">
        <f aca="true">RAND()</f>
        <v>0.298422973662372</v>
      </c>
      <c r="E631" s="83" t="n">
        <f aca="false">IF(D631&lt;(Inputs!$E$10-Inputs!$D$10)/(Inputs!$F$10-Inputs!$D$10),Inputs!$D$10+SQRT(D631*(Inputs!$F$10-Inputs!$D$10)*(Inputs!$E$10-Inputs!$D$10)),Inputs!$F$10-SQRT((1-D631)*(Inputs!$F$10-Inputs!$D$10)*(Inputs!$F$10-Inputs!$E$10)))</f>
        <v>0.0549230866397798</v>
      </c>
      <c r="F631" s="81" t="n">
        <f aca="true">RAND()</f>
        <v>0.933163552760482</v>
      </c>
      <c r="G631" s="83" t="n">
        <f aca="false">IF(F631&lt;(Inputs!$E$15-Inputs!$D$15)/(Inputs!$F$15-Inputs!$D$15),Inputs!$D$15+SQRT(F631*(Inputs!$F$15-Inputs!$D$15)*(Inputs!$E$15-Inputs!$D$15)),Inputs!$F$15-SQRT((1-F631)*(Inputs!$F$15-Inputs!$D$15)*(Inputs!$F$15-Inputs!$E$15)))</f>
        <v>0.763438696073713</v>
      </c>
      <c r="H631" s="81" t="n">
        <f aca="true">RAND()</f>
        <v>0.368181203974102</v>
      </c>
      <c r="I631" s="82" t="n">
        <f aca="false">ROUND(IF(H631&lt;(Inputs!$E$17-Inputs!$D$17)/(Inputs!$F$17-Inputs!$D$17),Inputs!$D$17+SQRT(H631*(Inputs!$F$17-Inputs!$D$17)*(Inputs!$E$17-Inputs!$D$17)),Inputs!$F$17-SQRT((1-H631)*(Inputs!$F$17-Inputs!$D$17)*(Inputs!$F$17-Inputs!$E$17))),0)</f>
        <v>105</v>
      </c>
      <c r="J631" s="81" t="n">
        <f aca="true">RAND()</f>
        <v>0.175918347484691</v>
      </c>
      <c r="K631" s="83" t="n">
        <f aca="false">IF(J631&lt;(Inputs!$E$18-Inputs!$D$18)/(Inputs!$F$18-Inputs!$D$18),Inputs!$D$18+SQRT(J631*(Inputs!$F$18-Inputs!$D$18)*(Inputs!$E$18-Inputs!$D$18)),Inputs!$F$18-SQRT((1-J631)*(Inputs!$F$18-Inputs!$D$18)*(Inputs!$F$18-Inputs!$E$18)))</f>
        <v>0.978467459255185</v>
      </c>
      <c r="L631" s="81" t="n">
        <f aca="true">RAND()</f>
        <v>0.559446865493308</v>
      </c>
      <c r="M631" s="83" t="n">
        <f aca="false">IF(L631&lt;(Inputs!$E$24-Inputs!$D$24)/(Inputs!$F$24-Inputs!$D$24),Inputs!$D$24+SQRT(L631*(Inputs!$F$24-Inputs!$D$24)*(Inputs!$E$24-Inputs!$D$24)),Inputs!$F$24-SQRT((1-L631)*(Inputs!$F$24-Inputs!$D$24)*(Inputs!$F$24-Inputs!$E$24)))</f>
        <v>0.874834269515365</v>
      </c>
      <c r="N631" s="81" t="n">
        <f aca="true">RAND()</f>
        <v>0.536319677428428</v>
      </c>
      <c r="O631" s="83" t="n">
        <f aca="false">IF(N631&lt;(Inputs!$E$26-Inputs!$D$26)/(Inputs!$F$26-Inputs!$D$26),Inputs!$D$26+SQRT(N631*(Inputs!$F$26-Inputs!$D$26)*(Inputs!$E$26-Inputs!$D$26)),Inputs!$F$26-SQRT((1-N631)*(Inputs!$F$26-Inputs!$D$26)*(Inputs!$F$26-Inputs!$E$26)))</f>
        <v>0.598736663843075</v>
      </c>
      <c r="P631" s="81" t="n">
        <f aca="true">RAND()</f>
        <v>0.406711060047707</v>
      </c>
      <c r="Q631" s="82" t="n">
        <f aca="false">IF(P631&lt;(Inputs!$E$27-Inputs!$D$27)/(Inputs!$F$27-Inputs!$D$27),Inputs!$D$27+SQRT(P631*(Inputs!$F$27-Inputs!$D$27)*(Inputs!$E$27-Inputs!$D$27)),Inputs!$F$27-SQRT((1-P631)*(Inputs!$F$27-Inputs!$D$27)*(Inputs!$F$27-Inputs!$E$27)))</f>
        <v>83.2941752944902</v>
      </c>
      <c r="R631" s="81" t="n">
        <f aca="true">RAND()</f>
        <v>0.499176985791085</v>
      </c>
      <c r="S631" s="82" t="n">
        <f aca="false">IF(R631&lt;(Inputs!$E$29-Inputs!$D$29)/(Inputs!$F$29-Inputs!$D$29),Inputs!$D$29+SQRT(R631*(Inputs!$F$29-Inputs!$D$29)*(Inputs!$E$29-Inputs!$D$29)),Inputs!$F$29-SQRT((1-R631)*(Inputs!$F$29-Inputs!$D$29)*(Inputs!$F$29-Inputs!$E$29)))</f>
        <v>6.93110962726851</v>
      </c>
      <c r="T631" s="68" t="n">
        <f aca="false">Inputs!$E$9*(1+E631)+Inputs!$E$5*C631*(Inputs!$E$11*Inputs!$E$14*(G631*I631/Inputs!$E$16+(1-G631))*K631+Inputs!$E$23*M631)*(1+O631)+Inputs!$E$5*(Q631+S631)</f>
        <v>5644.33872910247</v>
      </c>
    </row>
    <row r="632" customFormat="false" ht="15" hidden="false" customHeight="false" outlineLevel="0" collapsed="false">
      <c r="A632" s="1" t="n">
        <v>628</v>
      </c>
      <c r="B632" s="81" t="n">
        <f aca="true">RAND()</f>
        <v>0.586854598139278</v>
      </c>
      <c r="C632" s="82" t="n">
        <f aca="false">ROUND(IF(B632&lt;(Inputs!$E$8-Inputs!$D$8)/(Inputs!$F$8-Inputs!$D$8),Inputs!$D$8+SQRT(B632*(Inputs!$F$8-Inputs!$D$8)*(Inputs!$E$8-Inputs!$D$8)),Inputs!$F$8-SQRT((1-B632)*(Inputs!$F$8-Inputs!$D$8)*(Inputs!$F$8-Inputs!$E$8))),0)</f>
        <v>25</v>
      </c>
      <c r="D632" s="81" t="n">
        <f aca="true">RAND()</f>
        <v>0.0528096481186441</v>
      </c>
      <c r="E632" s="83" t="n">
        <f aca="false">IF(D632&lt;(Inputs!$E$10-Inputs!$D$10)/(Inputs!$F$10-Inputs!$D$10),Inputs!$D$10+SQRT(D632*(Inputs!$F$10-Inputs!$D$10)*(Inputs!$E$10-Inputs!$D$10)),Inputs!$F$10-SQRT((1-D632)*(Inputs!$F$10-Inputs!$D$10)*(Inputs!$F$10-Inputs!$E$10)))</f>
        <v>0.0229803498926026</v>
      </c>
      <c r="F632" s="81" t="n">
        <f aca="true">RAND()</f>
        <v>0.243244249631551</v>
      </c>
      <c r="G632" s="83" t="n">
        <f aca="false">IF(F632&lt;(Inputs!$E$15-Inputs!$D$15)/(Inputs!$F$15-Inputs!$D$15),Inputs!$D$15+SQRT(F632*(Inputs!$F$15-Inputs!$D$15)*(Inputs!$E$15-Inputs!$D$15)),Inputs!$F$15-SQRT((1-F632)*(Inputs!$F$15-Inputs!$D$15)*(Inputs!$F$15-Inputs!$E$15)))</f>
        <v>0.669748727534135</v>
      </c>
      <c r="H632" s="81" t="n">
        <f aca="true">RAND()</f>
        <v>0.365361142581421</v>
      </c>
      <c r="I632" s="82" t="n">
        <f aca="false">ROUND(IF(H632&lt;(Inputs!$E$17-Inputs!$D$17)/(Inputs!$F$17-Inputs!$D$17),Inputs!$D$17+SQRT(H632*(Inputs!$F$17-Inputs!$D$17)*(Inputs!$E$17-Inputs!$D$17)),Inputs!$F$17-SQRT((1-H632)*(Inputs!$F$17-Inputs!$D$17)*(Inputs!$F$17-Inputs!$E$17))),0)</f>
        <v>105</v>
      </c>
      <c r="J632" s="81" t="n">
        <f aca="true">RAND()</f>
        <v>0.779006060158551</v>
      </c>
      <c r="K632" s="83" t="n">
        <f aca="false">IF(J632&lt;(Inputs!$E$18-Inputs!$D$18)/(Inputs!$F$18-Inputs!$D$18),Inputs!$D$18+SQRT(J632*(Inputs!$F$18-Inputs!$D$18)*(Inputs!$E$18-Inputs!$D$18)),Inputs!$F$18-SQRT((1-J632)*(Inputs!$F$18-Inputs!$D$18)*(Inputs!$F$18-Inputs!$E$18)))</f>
        <v>1.1109425667714</v>
      </c>
      <c r="L632" s="81" t="n">
        <f aca="true">RAND()</f>
        <v>0.520733505831141</v>
      </c>
      <c r="M632" s="83" t="n">
        <f aca="false">IF(L632&lt;(Inputs!$E$24-Inputs!$D$24)/(Inputs!$F$24-Inputs!$D$24),Inputs!$D$24+SQRT(L632*(Inputs!$F$24-Inputs!$D$24)*(Inputs!$E$24-Inputs!$D$24)),Inputs!$F$24-SQRT((1-L632)*(Inputs!$F$24-Inputs!$D$24)*(Inputs!$F$24-Inputs!$E$24)))</f>
        <v>0.860848177654128</v>
      </c>
      <c r="N632" s="81" t="n">
        <f aca="true">RAND()</f>
        <v>0.774984035416559</v>
      </c>
      <c r="O632" s="83" t="n">
        <f aca="false">IF(N632&lt;(Inputs!$E$26-Inputs!$D$26)/(Inputs!$F$26-Inputs!$D$26),Inputs!$D$26+SQRT(N632*(Inputs!$F$26-Inputs!$D$26)*(Inputs!$E$26-Inputs!$D$26)),Inputs!$F$26-SQRT((1-N632)*(Inputs!$F$26-Inputs!$D$26)*(Inputs!$F$26-Inputs!$E$26)))</f>
        <v>0.667023987773645</v>
      </c>
      <c r="P632" s="81" t="n">
        <f aca="true">RAND()</f>
        <v>0.29064800211224</v>
      </c>
      <c r="Q632" s="82" t="n">
        <f aca="false">IF(P632&lt;(Inputs!$E$27-Inputs!$D$27)/(Inputs!$F$27-Inputs!$D$27),Inputs!$D$27+SQRT(P632*(Inputs!$F$27-Inputs!$D$27)*(Inputs!$E$27-Inputs!$D$27)),Inputs!$F$27-SQRT((1-P632)*(Inputs!$F$27-Inputs!$D$27)*(Inputs!$F$27-Inputs!$E$27)))</f>
        <v>77.0607102847978</v>
      </c>
      <c r="R632" s="81" t="n">
        <f aca="true">RAND()</f>
        <v>0.40358928528649</v>
      </c>
      <c r="S632" s="82" t="n">
        <f aca="false">IF(R632&lt;(Inputs!$E$29-Inputs!$D$29)/(Inputs!$F$29-Inputs!$D$29),Inputs!$D$29+SQRT(R632*(Inputs!$F$29-Inputs!$D$29)*(Inputs!$E$29-Inputs!$D$29)),Inputs!$F$29-SQRT((1-R632)*(Inputs!$F$29-Inputs!$D$29)*(Inputs!$F$29-Inputs!$E$29)))</f>
        <v>6.19469518342742</v>
      </c>
      <c r="T632" s="68" t="n">
        <f aca="false">Inputs!$E$9*(1+E632)+Inputs!$E$5*C632*(Inputs!$E$11*Inputs!$E$14*(G632*I632/Inputs!$E$16+(1-G632))*K632+Inputs!$E$23*M632)*(1+O632)+Inputs!$E$5*(Q632+S632)</f>
        <v>6478.8173764574</v>
      </c>
    </row>
    <row r="633" customFormat="false" ht="15" hidden="false" customHeight="false" outlineLevel="0" collapsed="false">
      <c r="A633" s="1" t="n">
        <v>629</v>
      </c>
      <c r="B633" s="81" t="n">
        <f aca="true">RAND()</f>
        <v>0.339455972026572</v>
      </c>
      <c r="C633" s="82" t="n">
        <f aca="false">ROUND(IF(B633&lt;(Inputs!$E$8-Inputs!$D$8)/(Inputs!$F$8-Inputs!$D$8),Inputs!$D$8+SQRT(B633*(Inputs!$F$8-Inputs!$D$8)*(Inputs!$E$8-Inputs!$D$8)),Inputs!$F$8-SQRT((1-B633)*(Inputs!$F$8-Inputs!$D$8)*(Inputs!$F$8-Inputs!$E$8))),0)</f>
        <v>24</v>
      </c>
      <c r="D633" s="81" t="n">
        <f aca="true">RAND()</f>
        <v>0.338896756561659</v>
      </c>
      <c r="E633" s="83" t="n">
        <f aca="false">IF(D633&lt;(Inputs!$E$10-Inputs!$D$10)/(Inputs!$F$10-Inputs!$D$10),Inputs!$D$10+SQRT(D633*(Inputs!$F$10-Inputs!$D$10)*(Inputs!$E$10-Inputs!$D$10)),Inputs!$F$10-SQRT((1-D633)*(Inputs!$F$10-Inputs!$D$10)*(Inputs!$F$10-Inputs!$E$10)))</f>
        <v>0.0591699701656276</v>
      </c>
      <c r="F633" s="81" t="n">
        <f aca="true">RAND()</f>
        <v>0.157768558695613</v>
      </c>
      <c r="G633" s="83" t="n">
        <f aca="false">IF(F633&lt;(Inputs!$E$15-Inputs!$D$15)/(Inputs!$F$15-Inputs!$D$15),Inputs!$D$15+SQRT(F633*(Inputs!$F$15-Inputs!$D$15)*(Inputs!$E$15-Inputs!$D$15)),Inputs!$F$15-SQRT((1-F633)*(Inputs!$F$15-Inputs!$D$15)*(Inputs!$F$15-Inputs!$E$15)))</f>
        <v>0.656172690641559</v>
      </c>
      <c r="H633" s="81" t="n">
        <f aca="true">RAND()</f>
        <v>0.933341942704371</v>
      </c>
      <c r="I633" s="82" t="n">
        <f aca="false">ROUND(IF(H633&lt;(Inputs!$E$17-Inputs!$D$17)/(Inputs!$F$17-Inputs!$D$17),Inputs!$D$17+SQRT(H633*(Inputs!$F$17-Inputs!$D$17)*(Inputs!$E$17-Inputs!$D$17)),Inputs!$F$17-SQRT((1-H633)*(Inputs!$F$17-Inputs!$D$17)*(Inputs!$F$17-Inputs!$E$17))),0)</f>
        <v>112</v>
      </c>
      <c r="J633" s="81" t="n">
        <f aca="true">RAND()</f>
        <v>0.917447764761746</v>
      </c>
      <c r="K633" s="83" t="n">
        <f aca="false">IF(J633&lt;(Inputs!$E$18-Inputs!$D$18)/(Inputs!$F$18-Inputs!$D$18),Inputs!$D$18+SQRT(J633*(Inputs!$F$18-Inputs!$D$18)*(Inputs!$E$18-Inputs!$D$18)),Inputs!$F$18-SQRT((1-J633)*(Inputs!$F$18-Inputs!$D$18)*(Inputs!$F$18-Inputs!$E$18)))</f>
        <v>1.16500987949563</v>
      </c>
      <c r="L633" s="81" t="n">
        <f aca="true">RAND()</f>
        <v>0.277123724798317</v>
      </c>
      <c r="M633" s="83" t="n">
        <f aca="false">IF(L633&lt;(Inputs!$E$24-Inputs!$D$24)/(Inputs!$F$24-Inputs!$D$24),Inputs!$D$24+SQRT(L633*(Inputs!$F$24-Inputs!$D$24)*(Inputs!$E$24-Inputs!$D$24)),Inputs!$F$24-SQRT((1-L633)*(Inputs!$F$24-Inputs!$D$24)*(Inputs!$F$24-Inputs!$E$24)))</f>
        <v>0.782359115417349</v>
      </c>
      <c r="N633" s="81" t="n">
        <f aca="true">RAND()</f>
        <v>0.672273982415407</v>
      </c>
      <c r="O633" s="83" t="n">
        <f aca="false">IF(N633&lt;(Inputs!$E$26-Inputs!$D$26)/(Inputs!$F$26-Inputs!$D$26),Inputs!$D$26+SQRT(N633*(Inputs!$F$26-Inputs!$D$26)*(Inputs!$E$26-Inputs!$D$26)),Inputs!$F$26-SQRT((1-N633)*(Inputs!$F$26-Inputs!$D$26)*(Inputs!$F$26-Inputs!$E$26)))</f>
        <v>0.635382812748115</v>
      </c>
      <c r="P633" s="81" t="n">
        <f aca="true">RAND()</f>
        <v>0.208975391386321</v>
      </c>
      <c r="Q633" s="82" t="n">
        <f aca="false">IF(P633&lt;(Inputs!$E$27-Inputs!$D$27)/(Inputs!$F$27-Inputs!$D$27),Inputs!$D$27+SQRT(P633*(Inputs!$F$27-Inputs!$D$27)*(Inputs!$E$27-Inputs!$D$27)),Inputs!$F$27-SQRT((1-P633)*(Inputs!$F$27-Inputs!$D$27)*(Inputs!$F$27-Inputs!$E$27)))</f>
        <v>72.8569131438565</v>
      </c>
      <c r="R633" s="81" t="n">
        <f aca="true">RAND()</f>
        <v>0.340853406732555</v>
      </c>
      <c r="S633" s="82" t="n">
        <f aca="false">IF(R633&lt;(Inputs!$E$29-Inputs!$D$29)/(Inputs!$F$29-Inputs!$D$29),Inputs!$D$29+SQRT(R633*(Inputs!$F$29-Inputs!$D$29)*(Inputs!$E$29-Inputs!$D$29)),Inputs!$F$29-SQRT((1-R633)*(Inputs!$F$29-Inputs!$D$29)*(Inputs!$F$29-Inputs!$E$29)))</f>
        <v>5.74316160210367</v>
      </c>
      <c r="T633" s="68" t="n">
        <f aca="false">Inputs!$E$9*(1+E633)+Inputs!$E$5*C633*(Inputs!$E$11*Inputs!$E$14*(G633*I633/Inputs!$E$16+(1-G633))*K633+Inputs!$E$23*M633)*(1+O633)+Inputs!$E$5*(Q633+S633)</f>
        <v>6427.58983639866</v>
      </c>
    </row>
    <row r="634" customFormat="false" ht="15" hidden="false" customHeight="false" outlineLevel="0" collapsed="false">
      <c r="A634" s="1" t="n">
        <v>630</v>
      </c>
      <c r="B634" s="81" t="n">
        <f aca="true">RAND()</f>
        <v>0.903404620547767</v>
      </c>
      <c r="C634" s="82" t="n">
        <f aca="false">ROUND(IF(B634&lt;(Inputs!$E$8-Inputs!$D$8)/(Inputs!$F$8-Inputs!$D$8),Inputs!$D$8+SQRT(B634*(Inputs!$F$8-Inputs!$D$8)*(Inputs!$E$8-Inputs!$D$8)),Inputs!$F$8-SQRT((1-B634)*(Inputs!$F$8-Inputs!$D$8)*(Inputs!$F$8-Inputs!$E$8))),0)</f>
        <v>28</v>
      </c>
      <c r="D634" s="81" t="n">
        <f aca="true">RAND()</f>
        <v>0.561809240072329</v>
      </c>
      <c r="E634" s="83" t="n">
        <f aca="false">IF(D634&lt;(Inputs!$E$10-Inputs!$D$10)/(Inputs!$F$10-Inputs!$D$10),Inputs!$D$10+SQRT(D634*(Inputs!$F$10-Inputs!$D$10)*(Inputs!$E$10-Inputs!$D$10)),Inputs!$F$10-SQRT((1-D634)*(Inputs!$F$10-Inputs!$D$10)*(Inputs!$F$10-Inputs!$E$10)))</f>
        <v>0.0853452015926497</v>
      </c>
      <c r="F634" s="81" t="n">
        <f aca="true">RAND()</f>
        <v>0.237781244000693</v>
      </c>
      <c r="G634" s="83" t="n">
        <f aca="false">IF(F634&lt;(Inputs!$E$15-Inputs!$D$15)/(Inputs!$F$15-Inputs!$D$15),Inputs!$D$15+SQRT(F634*(Inputs!$F$15-Inputs!$D$15)*(Inputs!$E$15-Inputs!$D$15)),Inputs!$F$15-SQRT((1-F634)*(Inputs!$F$15-Inputs!$D$15)*(Inputs!$F$15-Inputs!$E$15)))</f>
        <v>0.668961038855385</v>
      </c>
      <c r="H634" s="81" t="n">
        <f aca="true">RAND()</f>
        <v>0.0200180723874552</v>
      </c>
      <c r="I634" s="82" t="n">
        <f aca="false">ROUND(IF(H634&lt;(Inputs!$E$17-Inputs!$D$17)/(Inputs!$F$17-Inputs!$D$17),Inputs!$D$17+SQRT(H634*(Inputs!$F$17-Inputs!$D$17)*(Inputs!$E$17-Inputs!$D$17)),Inputs!$F$17-SQRT((1-H634)*(Inputs!$F$17-Inputs!$D$17)*(Inputs!$F$17-Inputs!$E$17))),0)</f>
        <v>101</v>
      </c>
      <c r="J634" s="81" t="n">
        <f aca="true">RAND()</f>
        <v>0.701578867523353</v>
      </c>
      <c r="K634" s="83" t="n">
        <f aca="false">IF(J634&lt;(Inputs!$E$18-Inputs!$D$18)/(Inputs!$F$18-Inputs!$D$18),Inputs!$D$18+SQRT(J634*(Inputs!$F$18-Inputs!$D$18)*(Inputs!$E$18-Inputs!$D$18)),Inputs!$F$18-SQRT((1-J634)*(Inputs!$F$18-Inputs!$D$18)*(Inputs!$F$18-Inputs!$E$18)))</f>
        <v>1.08840838792899</v>
      </c>
      <c r="L634" s="81" t="n">
        <f aca="true">RAND()</f>
        <v>0.590795452522463</v>
      </c>
      <c r="M634" s="83" t="n">
        <f aca="false">IF(L634&lt;(Inputs!$E$24-Inputs!$D$24)/(Inputs!$F$24-Inputs!$D$24),Inputs!$D$24+SQRT(L634*(Inputs!$F$24-Inputs!$D$24)*(Inputs!$E$24-Inputs!$D$24)),Inputs!$F$24-SQRT((1-L634)*(Inputs!$F$24-Inputs!$D$24)*(Inputs!$F$24-Inputs!$E$24)))</f>
        <v>0.886616702112878</v>
      </c>
      <c r="N634" s="81" t="n">
        <f aca="true">RAND()</f>
        <v>0.836833687162043</v>
      </c>
      <c r="O634" s="83" t="n">
        <f aca="false">IF(N634&lt;(Inputs!$E$26-Inputs!$D$26)/(Inputs!$F$26-Inputs!$D$26),Inputs!$D$26+SQRT(N634*(Inputs!$F$26-Inputs!$D$26)*(Inputs!$E$26-Inputs!$D$26)),Inputs!$F$26-SQRT((1-N634)*(Inputs!$F$26-Inputs!$D$26)*(Inputs!$F$26-Inputs!$E$26)))</f>
        <v>0.689733747520136</v>
      </c>
      <c r="P634" s="81" t="n">
        <f aca="true">RAND()</f>
        <v>0.675269846027836</v>
      </c>
      <c r="Q634" s="82" t="n">
        <f aca="false">IF(P634&lt;(Inputs!$E$27-Inputs!$D$27)/(Inputs!$F$27-Inputs!$D$27),Inputs!$D$27+SQRT(P634*(Inputs!$F$27-Inputs!$D$27)*(Inputs!$E$27-Inputs!$D$27)),Inputs!$F$27-SQRT((1-P634)*(Inputs!$F$27-Inputs!$D$27)*(Inputs!$F$27-Inputs!$E$27)))</f>
        <v>100.649456388088</v>
      </c>
      <c r="R634" s="81" t="n">
        <f aca="true">RAND()</f>
        <v>0.332125393568311</v>
      </c>
      <c r="S634" s="82" t="n">
        <f aca="false">IF(R634&lt;(Inputs!$E$29-Inputs!$D$29)/(Inputs!$F$29-Inputs!$D$29),Inputs!$D$29+SQRT(R634*(Inputs!$F$29-Inputs!$D$29)*(Inputs!$E$29-Inputs!$D$29)),Inputs!$F$29-SQRT((1-R634)*(Inputs!$F$29-Inputs!$D$29)*(Inputs!$F$29-Inputs!$E$29)))</f>
        <v>5.6820764740142</v>
      </c>
      <c r="T634" s="68" t="n">
        <f aca="false">Inputs!$E$9*(1+E634)+Inputs!$E$5*C634*(Inputs!$E$11*Inputs!$E$14*(G634*I634/Inputs!$E$16+(1-G634))*K634+Inputs!$E$23*M634)*(1+O634)+Inputs!$E$5*(Q634+S634)</f>
        <v>7176.12893176673</v>
      </c>
    </row>
    <row r="635" customFormat="false" ht="15" hidden="false" customHeight="false" outlineLevel="0" collapsed="false">
      <c r="A635" s="1" t="n">
        <v>631</v>
      </c>
      <c r="B635" s="81" t="n">
        <f aca="true">RAND()</f>
        <v>0.63255676388923</v>
      </c>
      <c r="C635" s="82" t="n">
        <f aca="false">ROUND(IF(B635&lt;(Inputs!$E$8-Inputs!$D$8)/(Inputs!$F$8-Inputs!$D$8),Inputs!$D$8+SQRT(B635*(Inputs!$F$8-Inputs!$D$8)*(Inputs!$E$8-Inputs!$D$8)),Inputs!$F$8-SQRT((1-B635)*(Inputs!$F$8-Inputs!$D$8)*(Inputs!$F$8-Inputs!$E$8))),0)</f>
        <v>26</v>
      </c>
      <c r="D635" s="81" t="n">
        <f aca="true">RAND()</f>
        <v>0.587469325379086</v>
      </c>
      <c r="E635" s="83" t="n">
        <f aca="false">IF(D635&lt;(Inputs!$E$10-Inputs!$D$10)/(Inputs!$F$10-Inputs!$D$10),Inputs!$D$10+SQRT(D635*(Inputs!$F$10-Inputs!$D$10)*(Inputs!$E$10-Inputs!$D$10)),Inputs!$F$10-SQRT((1-D635)*(Inputs!$F$10-Inputs!$D$10)*(Inputs!$F$10-Inputs!$E$10)))</f>
        <v>0.0887528866054161</v>
      </c>
      <c r="F635" s="81" t="n">
        <f aca="true">RAND()</f>
        <v>0.246457544626596</v>
      </c>
      <c r="G635" s="83" t="n">
        <f aca="false">IF(F635&lt;(Inputs!$E$15-Inputs!$D$15)/(Inputs!$F$15-Inputs!$D$15),Inputs!$D$15+SQRT(F635*(Inputs!$F$15-Inputs!$D$15)*(Inputs!$E$15-Inputs!$D$15)),Inputs!$F$15-SQRT((1-F635)*(Inputs!$F$15-Inputs!$D$15)*(Inputs!$F$15-Inputs!$E$15)))</f>
        <v>0.670207911894116</v>
      </c>
      <c r="H635" s="81" t="n">
        <f aca="true">RAND()</f>
        <v>0.972040757151515</v>
      </c>
      <c r="I635" s="82" t="n">
        <f aca="false">ROUND(IF(H635&lt;(Inputs!$E$17-Inputs!$D$17)/(Inputs!$F$17-Inputs!$D$17),Inputs!$D$17+SQRT(H635*(Inputs!$F$17-Inputs!$D$17)*(Inputs!$E$17-Inputs!$D$17)),Inputs!$F$17-SQRT((1-H635)*(Inputs!$F$17-Inputs!$D$17)*(Inputs!$F$17-Inputs!$E$17))),0)</f>
        <v>113</v>
      </c>
      <c r="J635" s="81" t="n">
        <f aca="true">RAND()</f>
        <v>0.549660134210371</v>
      </c>
      <c r="K635" s="83" t="n">
        <f aca="false">IF(J635&lt;(Inputs!$E$18-Inputs!$D$18)/(Inputs!$F$18-Inputs!$D$18),Inputs!$D$18+SQRT(J635*(Inputs!$F$18-Inputs!$D$18)*(Inputs!$E$18-Inputs!$D$18)),Inputs!$F$18-SQRT((1-J635)*(Inputs!$F$18-Inputs!$D$18)*(Inputs!$F$18-Inputs!$E$18)))</f>
        <v>1.0514937324501</v>
      </c>
      <c r="L635" s="81" t="n">
        <f aca="true">RAND()</f>
        <v>0.627004731076026</v>
      </c>
      <c r="M635" s="83" t="n">
        <f aca="false">IF(L635&lt;(Inputs!$E$24-Inputs!$D$24)/(Inputs!$F$24-Inputs!$D$24),Inputs!$D$24+SQRT(L635*(Inputs!$F$24-Inputs!$D$24)*(Inputs!$E$24-Inputs!$D$24)),Inputs!$F$24-SQRT((1-L635)*(Inputs!$F$24-Inputs!$D$24)*(Inputs!$F$24-Inputs!$E$24)))</f>
        <v>0.900802967023813</v>
      </c>
      <c r="N635" s="81" t="n">
        <f aca="true">RAND()</f>
        <v>0.0723655113395282</v>
      </c>
      <c r="O635" s="83" t="n">
        <f aca="false">IF(N635&lt;(Inputs!$E$26-Inputs!$D$26)/(Inputs!$F$26-Inputs!$D$26),Inputs!$D$26+SQRT(N635*(Inputs!$F$26-Inputs!$D$26)*(Inputs!$E$26-Inputs!$D$26)),Inputs!$F$26-SQRT((1-N635)*(Inputs!$F$26-Inputs!$D$26)*(Inputs!$F$26-Inputs!$E$26)))</f>
        <v>0.409734320460362</v>
      </c>
      <c r="P635" s="81" t="n">
        <f aca="true">RAND()</f>
        <v>0.289294009030662</v>
      </c>
      <c r="Q635" s="82" t="n">
        <f aca="false">IF(P635&lt;(Inputs!$E$27-Inputs!$D$27)/(Inputs!$F$27-Inputs!$D$27),Inputs!$D$27+SQRT(P635*(Inputs!$F$27-Inputs!$D$27)*(Inputs!$E$27-Inputs!$D$27)),Inputs!$F$27-SQRT((1-P635)*(Inputs!$F$27-Inputs!$D$27)*(Inputs!$F$27-Inputs!$E$27)))</f>
        <v>76.9911311396346</v>
      </c>
      <c r="R635" s="81" t="n">
        <f aca="true">RAND()</f>
        <v>0.378278546512779</v>
      </c>
      <c r="S635" s="82" t="n">
        <f aca="false">IF(R635&lt;(Inputs!$E$29-Inputs!$D$29)/(Inputs!$F$29-Inputs!$D$29),Inputs!$D$29+SQRT(R635*(Inputs!$F$29-Inputs!$D$29)*(Inputs!$E$29-Inputs!$D$29)),Inputs!$F$29-SQRT((1-R635)*(Inputs!$F$29-Inputs!$D$29)*(Inputs!$F$29-Inputs!$E$29)))</f>
        <v>6.00979483252252</v>
      </c>
      <c r="T635" s="68" t="n">
        <f aca="false">Inputs!$E$9*(1+E635)+Inputs!$E$5*C635*(Inputs!$E$11*Inputs!$E$14*(G635*I635/Inputs!$E$16+(1-G635))*K635+Inputs!$E$23*M635)*(1+O635)+Inputs!$E$5*(Q635+S635)</f>
        <v>6181.28040313571</v>
      </c>
    </row>
    <row r="636" customFormat="false" ht="15" hidden="false" customHeight="false" outlineLevel="0" collapsed="false">
      <c r="A636" s="1" t="n">
        <v>632</v>
      </c>
      <c r="B636" s="81" t="n">
        <f aca="true">RAND()</f>
        <v>0.454591408299223</v>
      </c>
      <c r="C636" s="82" t="n">
        <f aca="false">ROUND(IF(B636&lt;(Inputs!$E$8-Inputs!$D$8)/(Inputs!$F$8-Inputs!$D$8),Inputs!$D$8+SQRT(B636*(Inputs!$F$8-Inputs!$D$8)*(Inputs!$E$8-Inputs!$D$8)),Inputs!$F$8-SQRT((1-B636)*(Inputs!$F$8-Inputs!$D$8)*(Inputs!$F$8-Inputs!$E$8))),0)</f>
        <v>25</v>
      </c>
      <c r="D636" s="81" t="n">
        <f aca="true">RAND()</f>
        <v>0.404623467905639</v>
      </c>
      <c r="E636" s="83" t="n">
        <f aca="false">IF(D636&lt;(Inputs!$E$10-Inputs!$D$10)/(Inputs!$F$10-Inputs!$D$10),Inputs!$D$10+SQRT(D636*(Inputs!$F$10-Inputs!$D$10)*(Inputs!$E$10-Inputs!$D$10)),Inputs!$F$10-SQRT((1-D636)*(Inputs!$F$10-Inputs!$D$10)*(Inputs!$F$10-Inputs!$E$10)))</f>
        <v>0.0663538404486278</v>
      </c>
      <c r="F636" s="81" t="n">
        <f aca="true">RAND()</f>
        <v>0.835245564484351</v>
      </c>
      <c r="G636" s="83" t="n">
        <f aca="false">IF(F636&lt;(Inputs!$E$15-Inputs!$D$15)/(Inputs!$F$15-Inputs!$D$15),Inputs!$D$15+SQRT(F636*(Inputs!$F$15-Inputs!$D$15)*(Inputs!$E$15-Inputs!$D$15)),Inputs!$F$15-SQRT((1-F636)*(Inputs!$F$15-Inputs!$D$15)*(Inputs!$F$15-Inputs!$E$15)))</f>
        <v>0.742597136741161</v>
      </c>
      <c r="H636" s="81" t="n">
        <f aca="true">RAND()</f>
        <v>0.254077364866744</v>
      </c>
      <c r="I636" s="82" t="n">
        <f aca="false">ROUND(IF(H636&lt;(Inputs!$E$17-Inputs!$D$17)/(Inputs!$F$17-Inputs!$D$17),Inputs!$D$17+SQRT(H636*(Inputs!$F$17-Inputs!$D$17)*(Inputs!$E$17-Inputs!$D$17)),Inputs!$F$17-SQRT((1-H636)*(Inputs!$F$17-Inputs!$D$17)*(Inputs!$F$17-Inputs!$E$17))),0)</f>
        <v>104</v>
      </c>
      <c r="J636" s="81" t="n">
        <f aca="true">RAND()</f>
        <v>0.965932044333112</v>
      </c>
      <c r="K636" s="83" t="n">
        <f aca="false">IF(J636&lt;(Inputs!$E$18-Inputs!$D$18)/(Inputs!$F$18-Inputs!$D$18),Inputs!$D$18+SQRT(J636*(Inputs!$F$18-Inputs!$D$18)*(Inputs!$E$18-Inputs!$D$18)),Inputs!$F$18-SQRT((1-J636)*(Inputs!$F$18-Inputs!$D$18)*(Inputs!$F$18-Inputs!$E$18)))</f>
        <v>1.19540195863538</v>
      </c>
      <c r="L636" s="81" t="n">
        <f aca="true">RAND()</f>
        <v>0.939776462227446</v>
      </c>
      <c r="M636" s="83" t="n">
        <f aca="false">IF(L636&lt;(Inputs!$E$24-Inputs!$D$24)/(Inputs!$F$24-Inputs!$D$24),Inputs!$D$24+SQRT(L636*(Inputs!$F$24-Inputs!$D$24)*(Inputs!$E$24-Inputs!$D$24)),Inputs!$F$24-SQRT((1-L636)*(Inputs!$F$24-Inputs!$D$24)*(Inputs!$F$24-Inputs!$E$24)))</f>
        <v>1.07977667004523</v>
      </c>
      <c r="N636" s="81" t="n">
        <f aca="true">RAND()</f>
        <v>0.716926596406395</v>
      </c>
      <c r="O636" s="83" t="n">
        <f aca="false">IF(N636&lt;(Inputs!$E$26-Inputs!$D$26)/(Inputs!$F$26-Inputs!$D$26),Inputs!$D$26+SQRT(N636*(Inputs!$F$26-Inputs!$D$26)*(Inputs!$E$26-Inputs!$D$26)),Inputs!$F$26-SQRT((1-N636)*(Inputs!$F$26-Inputs!$D$26)*(Inputs!$F$26-Inputs!$E$26)))</f>
        <v>0.648420181916011</v>
      </c>
      <c r="P636" s="81" t="n">
        <f aca="true">RAND()</f>
        <v>0.980775772641736</v>
      </c>
      <c r="Q636" s="82" t="n">
        <f aca="false">IF(P636&lt;(Inputs!$E$27-Inputs!$D$27)/(Inputs!$F$27-Inputs!$D$27),Inputs!$D$27+SQRT(P636*(Inputs!$F$27-Inputs!$D$27)*(Inputs!$E$27-Inputs!$D$27)),Inputs!$F$27-SQRT((1-P636)*(Inputs!$F$27-Inputs!$D$27)*(Inputs!$F$27-Inputs!$E$27)))</f>
        <v>137.992431337403</v>
      </c>
      <c r="R636" s="81" t="n">
        <f aca="true">RAND()</f>
        <v>0.671873924749804</v>
      </c>
      <c r="S636" s="82" t="n">
        <f aca="false">IF(R636&lt;(Inputs!$E$29-Inputs!$D$29)/(Inputs!$F$29-Inputs!$D$29),Inputs!$D$29+SQRT(R636*(Inputs!$F$29-Inputs!$D$29)*(Inputs!$E$29-Inputs!$D$29)),Inputs!$F$29-SQRT((1-R636)*(Inputs!$F$29-Inputs!$D$29)*(Inputs!$F$29-Inputs!$E$29)))</f>
        <v>8.46881406002513</v>
      </c>
      <c r="T636" s="68" t="n">
        <f aca="false">Inputs!$E$9*(1+E636)+Inputs!$E$5*C636*(Inputs!$E$11*Inputs!$E$14*(G636*I636/Inputs!$E$16+(1-G636))*K636+Inputs!$E$23*M636)*(1+O636)+Inputs!$E$5*(Q636+S636)</f>
        <v>7225.05447105518</v>
      </c>
    </row>
    <row r="637" customFormat="false" ht="15" hidden="false" customHeight="false" outlineLevel="0" collapsed="false">
      <c r="A637" s="1" t="n">
        <v>633</v>
      </c>
      <c r="B637" s="81" t="n">
        <f aca="true">RAND()</f>
        <v>0.529790491069822</v>
      </c>
      <c r="C637" s="82" t="n">
        <f aca="false">ROUND(IF(B637&lt;(Inputs!$E$8-Inputs!$D$8)/(Inputs!$F$8-Inputs!$D$8),Inputs!$D$8+SQRT(B637*(Inputs!$F$8-Inputs!$D$8)*(Inputs!$E$8-Inputs!$D$8)),Inputs!$F$8-SQRT((1-B637)*(Inputs!$F$8-Inputs!$D$8)*(Inputs!$F$8-Inputs!$E$8))),0)</f>
        <v>25</v>
      </c>
      <c r="D637" s="81" t="n">
        <f aca="true">RAND()</f>
        <v>0.421418725509265</v>
      </c>
      <c r="E637" s="83" t="n">
        <f aca="false">IF(D637&lt;(Inputs!$E$10-Inputs!$D$10)/(Inputs!$F$10-Inputs!$D$10),Inputs!$D$10+SQRT(D637*(Inputs!$F$10-Inputs!$D$10)*(Inputs!$E$10-Inputs!$D$10)),Inputs!$F$10-SQRT((1-D637)*(Inputs!$F$10-Inputs!$D$10)*(Inputs!$F$10-Inputs!$E$10)))</f>
        <v>0.0682523691494908</v>
      </c>
      <c r="F637" s="81" t="n">
        <f aca="true">RAND()</f>
        <v>0.723305449722667</v>
      </c>
      <c r="G637" s="83" t="n">
        <f aca="false">IF(F637&lt;(Inputs!$E$15-Inputs!$D$15)/(Inputs!$F$15-Inputs!$D$15),Inputs!$D$15+SQRT(F637*(Inputs!$F$15-Inputs!$D$15)*(Inputs!$E$15-Inputs!$D$15)),Inputs!$F$15-SQRT((1-F637)*(Inputs!$F$15-Inputs!$D$15)*(Inputs!$F$15-Inputs!$E$15)))</f>
        <v>0.725609872929624</v>
      </c>
      <c r="H637" s="81" t="n">
        <f aca="true">RAND()</f>
        <v>0.539298241379874</v>
      </c>
      <c r="I637" s="82" t="n">
        <f aca="false">ROUND(IF(H637&lt;(Inputs!$E$17-Inputs!$D$17)/(Inputs!$F$17-Inputs!$D$17),Inputs!$D$17+SQRT(H637*(Inputs!$F$17-Inputs!$D$17)*(Inputs!$E$17-Inputs!$D$17)),Inputs!$F$17-SQRT((1-H637)*(Inputs!$F$17-Inputs!$D$17)*(Inputs!$F$17-Inputs!$E$17))),0)</f>
        <v>107</v>
      </c>
      <c r="J637" s="81" t="n">
        <f aca="true">RAND()</f>
        <v>0.407555310392525</v>
      </c>
      <c r="K637" s="83" t="n">
        <f aca="false">IF(J637&lt;(Inputs!$E$18-Inputs!$D$18)/(Inputs!$F$18-Inputs!$D$18),Inputs!$D$18+SQRT(J637*(Inputs!$F$18-Inputs!$D$18)*(Inputs!$E$18-Inputs!$D$18)),Inputs!$F$18-SQRT((1-J637)*(Inputs!$F$18-Inputs!$D$18)*(Inputs!$F$18-Inputs!$E$18)))</f>
        <v>1.02231840140087</v>
      </c>
      <c r="L637" s="81" t="n">
        <f aca="true">RAND()</f>
        <v>0.409799731401964</v>
      </c>
      <c r="M637" s="83" t="n">
        <f aca="false">IF(L637&lt;(Inputs!$E$24-Inputs!$D$24)/(Inputs!$F$24-Inputs!$D$24),Inputs!$D$24+SQRT(L637*(Inputs!$F$24-Inputs!$D$24)*(Inputs!$E$24-Inputs!$D$24)),Inputs!$F$24-SQRT((1-L637)*(Inputs!$F$24-Inputs!$D$24)*(Inputs!$F$24-Inputs!$E$24)))</f>
        <v>0.823638386038735</v>
      </c>
      <c r="N637" s="81" t="n">
        <f aca="true">RAND()</f>
        <v>0.651773900853512</v>
      </c>
      <c r="O637" s="83" t="n">
        <f aca="false">IF(N637&lt;(Inputs!$E$26-Inputs!$D$26)/(Inputs!$F$26-Inputs!$D$26),Inputs!$D$26+SQRT(N637*(Inputs!$F$26-Inputs!$D$26)*(Inputs!$E$26-Inputs!$D$26)),Inputs!$F$26-SQRT((1-N637)*(Inputs!$F$26-Inputs!$D$26)*(Inputs!$F$26-Inputs!$E$26)))</f>
        <v>0.629696257758197</v>
      </c>
      <c r="P637" s="81" t="n">
        <f aca="true">RAND()</f>
        <v>0.307467848448729</v>
      </c>
      <c r="Q637" s="82" t="n">
        <f aca="false">IF(P637&lt;(Inputs!$E$27-Inputs!$D$27)/(Inputs!$F$27-Inputs!$D$27),Inputs!$D$27+SQRT(P637*(Inputs!$F$27-Inputs!$D$27)*(Inputs!$E$27-Inputs!$D$27)),Inputs!$F$27-SQRT((1-P637)*(Inputs!$F$27-Inputs!$D$27)*(Inputs!$F$27-Inputs!$E$27)))</f>
        <v>77.9306505049856</v>
      </c>
      <c r="R637" s="81" t="n">
        <f aca="true">RAND()</f>
        <v>0.0519984523681355</v>
      </c>
      <c r="S637" s="82" t="n">
        <f aca="false">IF(R637&lt;(Inputs!$E$29-Inputs!$D$29)/(Inputs!$F$29-Inputs!$D$29),Inputs!$D$29+SQRT(R637*(Inputs!$F$29-Inputs!$D$29)*(Inputs!$E$29-Inputs!$D$29)),Inputs!$F$29-SQRT((1-R637)*(Inputs!$F$29-Inputs!$D$29)*(Inputs!$F$29-Inputs!$E$29)))</f>
        <v>3.42405745753368</v>
      </c>
      <c r="T637" s="68" t="n">
        <f aca="false">Inputs!$E$9*(1+E637)+Inputs!$E$5*C637*(Inputs!$E$11*Inputs!$E$14*(G637*I637/Inputs!$E$16+(1-G637))*K637+Inputs!$E$23*M637)*(1+O637)+Inputs!$E$5*(Q637+S637)</f>
        <v>6179.64599011666</v>
      </c>
    </row>
    <row r="638" customFormat="false" ht="15" hidden="false" customHeight="false" outlineLevel="0" collapsed="false">
      <c r="A638" s="1" t="n">
        <v>634</v>
      </c>
      <c r="B638" s="81" t="n">
        <f aca="true">RAND()</f>
        <v>0.68143760653686</v>
      </c>
      <c r="C638" s="82" t="n">
        <f aca="false">ROUND(IF(B638&lt;(Inputs!$E$8-Inputs!$D$8)/(Inputs!$F$8-Inputs!$D$8),Inputs!$D$8+SQRT(B638*(Inputs!$F$8-Inputs!$D$8)*(Inputs!$E$8-Inputs!$D$8)),Inputs!$F$8-SQRT((1-B638)*(Inputs!$F$8-Inputs!$D$8)*(Inputs!$F$8-Inputs!$E$8))),0)</f>
        <v>26</v>
      </c>
      <c r="D638" s="81" t="n">
        <f aca="true">RAND()</f>
        <v>0.569980251808457</v>
      </c>
      <c r="E638" s="83" t="n">
        <f aca="false">IF(D638&lt;(Inputs!$E$10-Inputs!$D$10)/(Inputs!$F$10-Inputs!$D$10),Inputs!$D$10+SQRT(D638*(Inputs!$F$10-Inputs!$D$10)*(Inputs!$E$10-Inputs!$D$10)),Inputs!$F$10-SQRT((1-D638)*(Inputs!$F$10-Inputs!$D$10)*(Inputs!$F$10-Inputs!$E$10)))</f>
        <v>0.0864192250169673</v>
      </c>
      <c r="F638" s="81" t="n">
        <f aca="true">RAND()</f>
        <v>0.583782621354792</v>
      </c>
      <c r="G638" s="83" t="n">
        <f aca="false">IF(F638&lt;(Inputs!$E$15-Inputs!$D$15)/(Inputs!$F$15-Inputs!$D$15),Inputs!$D$15+SQRT(F638*(Inputs!$F$15-Inputs!$D$15)*(Inputs!$E$15-Inputs!$D$15)),Inputs!$F$15-SQRT((1-F638)*(Inputs!$F$15-Inputs!$D$15)*(Inputs!$F$15-Inputs!$E$15)))</f>
        <v>0.708762137394039</v>
      </c>
      <c r="H638" s="81" t="n">
        <f aca="true">RAND()</f>
        <v>0.881339418496649</v>
      </c>
      <c r="I638" s="82" t="n">
        <f aca="false">ROUND(IF(H638&lt;(Inputs!$E$17-Inputs!$D$17)/(Inputs!$F$17-Inputs!$D$17),Inputs!$D$17+SQRT(H638*(Inputs!$F$17-Inputs!$D$17)*(Inputs!$E$17-Inputs!$D$17)),Inputs!$F$17-SQRT((1-H638)*(Inputs!$F$17-Inputs!$D$17)*(Inputs!$F$17-Inputs!$E$17))),0)</f>
        <v>111</v>
      </c>
      <c r="J638" s="81" t="n">
        <f aca="true">RAND()</f>
        <v>0.799456392914272</v>
      </c>
      <c r="K638" s="83" t="n">
        <f aca="false">IF(J638&lt;(Inputs!$E$18-Inputs!$D$18)/(Inputs!$F$18-Inputs!$D$18),Inputs!$D$18+SQRT(J638*(Inputs!$F$18-Inputs!$D$18)*(Inputs!$E$18-Inputs!$D$18)),Inputs!$F$18-SQRT((1-J638)*(Inputs!$F$18-Inputs!$D$18)*(Inputs!$F$18-Inputs!$E$18)))</f>
        <v>1.11753277529894</v>
      </c>
      <c r="L638" s="81" t="n">
        <f aca="true">RAND()</f>
        <v>0.715706847904786</v>
      </c>
      <c r="M638" s="83" t="n">
        <f aca="false">IF(L638&lt;(Inputs!$E$24-Inputs!$D$24)/(Inputs!$F$24-Inputs!$D$24),Inputs!$D$24+SQRT(L638*(Inputs!$F$24-Inputs!$D$24)*(Inputs!$E$24-Inputs!$D$24)),Inputs!$F$24-SQRT((1-L638)*(Inputs!$F$24-Inputs!$D$24)*(Inputs!$F$24-Inputs!$E$24)))</f>
        <v>0.93879058879349</v>
      </c>
      <c r="N638" s="81" t="n">
        <f aca="true">RAND()</f>
        <v>0.189426305485754</v>
      </c>
      <c r="O638" s="83" t="n">
        <f aca="false">IF(N638&lt;(Inputs!$E$26-Inputs!$D$26)/(Inputs!$F$26-Inputs!$D$26),Inputs!$D$26+SQRT(N638*(Inputs!$F$26-Inputs!$D$26)*(Inputs!$E$26-Inputs!$D$26)),Inputs!$F$26-SQRT((1-N638)*(Inputs!$F$26-Inputs!$D$26)*(Inputs!$F$26-Inputs!$E$26)))</f>
        <v>0.477540241164727</v>
      </c>
      <c r="P638" s="81" t="n">
        <f aca="true">RAND()</f>
        <v>0.512305465776309</v>
      </c>
      <c r="Q638" s="82" t="n">
        <f aca="false">IF(P638&lt;(Inputs!$E$27-Inputs!$D$27)/(Inputs!$F$27-Inputs!$D$27),Inputs!$D$27+SQRT(P638*(Inputs!$F$27-Inputs!$D$27)*(Inputs!$E$27-Inputs!$D$27)),Inputs!$F$27-SQRT((1-P638)*(Inputs!$F$27-Inputs!$D$27)*(Inputs!$F$27-Inputs!$E$27)))</f>
        <v>89.5210035906871</v>
      </c>
      <c r="R638" s="81" t="n">
        <f aca="true">RAND()</f>
        <v>0.276939849219095</v>
      </c>
      <c r="S638" s="82" t="n">
        <f aca="false">IF(R638&lt;(Inputs!$E$29-Inputs!$D$29)/(Inputs!$F$29-Inputs!$D$29),Inputs!$D$29+SQRT(R638*(Inputs!$F$29-Inputs!$D$29)*(Inputs!$E$29-Inputs!$D$29)),Inputs!$F$29-SQRT((1-R638)*(Inputs!$F$29-Inputs!$D$29)*(Inputs!$F$29-Inputs!$E$29)))</f>
        <v>5.30475273128541</v>
      </c>
      <c r="T638" s="68" t="n">
        <f aca="false">Inputs!$E$9*(1+E638)+Inputs!$E$5*C638*(Inputs!$E$11*Inputs!$E$14*(G638*I638/Inputs!$E$16+(1-G638))*K638+Inputs!$E$23*M638)*(1+O638)+Inputs!$E$5*(Q638+S638)</f>
        <v>6518.91106726057</v>
      </c>
    </row>
    <row r="639" customFormat="false" ht="15" hidden="false" customHeight="false" outlineLevel="0" collapsed="false">
      <c r="A639" s="1" t="n">
        <v>635</v>
      </c>
      <c r="B639" s="81" t="n">
        <f aca="true">RAND()</f>
        <v>0.90593539595047</v>
      </c>
      <c r="C639" s="82" t="n">
        <f aca="false">ROUND(IF(B639&lt;(Inputs!$E$8-Inputs!$D$8)/(Inputs!$F$8-Inputs!$D$8),Inputs!$D$8+SQRT(B639*(Inputs!$F$8-Inputs!$D$8)*(Inputs!$E$8-Inputs!$D$8)),Inputs!$F$8-SQRT((1-B639)*(Inputs!$F$8-Inputs!$D$8)*(Inputs!$F$8-Inputs!$E$8))),0)</f>
        <v>28</v>
      </c>
      <c r="D639" s="81" t="n">
        <f aca="true">RAND()</f>
        <v>0.819871101391016</v>
      </c>
      <c r="E639" s="83" t="n">
        <f aca="false">IF(D639&lt;(Inputs!$E$10-Inputs!$D$10)/(Inputs!$F$10-Inputs!$D$10),Inputs!$D$10+SQRT(D639*(Inputs!$F$10-Inputs!$D$10)*(Inputs!$E$10-Inputs!$D$10)),Inputs!$F$10-SQRT((1-D639)*(Inputs!$F$10-Inputs!$D$10)*(Inputs!$F$10-Inputs!$E$10)))</f>
        <v>0.126489001106844</v>
      </c>
      <c r="F639" s="81" t="n">
        <f aca="true">RAND()</f>
        <v>0.725576833507867</v>
      </c>
      <c r="G639" s="83" t="n">
        <f aca="false">IF(F639&lt;(Inputs!$E$15-Inputs!$D$15)/(Inputs!$F$15-Inputs!$D$15),Inputs!$D$15+SQRT(F639*(Inputs!$F$15-Inputs!$D$15)*(Inputs!$E$15-Inputs!$D$15)),Inputs!$F$15-SQRT((1-F639)*(Inputs!$F$15-Inputs!$D$15)*(Inputs!$F$15-Inputs!$E$15)))</f>
        <v>0.725915836173696</v>
      </c>
      <c r="H639" s="81" t="n">
        <f aca="true">RAND()</f>
        <v>0.816690343568002</v>
      </c>
      <c r="I639" s="82" t="n">
        <f aca="false">ROUND(IF(H639&lt;(Inputs!$E$17-Inputs!$D$17)/(Inputs!$F$17-Inputs!$D$17),Inputs!$D$17+SQRT(H639*(Inputs!$F$17-Inputs!$D$17)*(Inputs!$E$17-Inputs!$D$17)),Inputs!$F$17-SQRT((1-H639)*(Inputs!$F$17-Inputs!$D$17)*(Inputs!$F$17-Inputs!$E$17))),0)</f>
        <v>110</v>
      </c>
      <c r="J639" s="81" t="n">
        <f aca="true">RAND()</f>
        <v>0.860648657436364</v>
      </c>
      <c r="K639" s="83" t="n">
        <f aca="false">IF(J639&lt;(Inputs!$E$18-Inputs!$D$18)/(Inputs!$F$18-Inputs!$D$18),Inputs!$D$18+SQRT(J639*(Inputs!$F$18-Inputs!$D$18)*(Inputs!$E$18-Inputs!$D$18)),Inputs!$F$18-SQRT((1-J639)*(Inputs!$F$18-Inputs!$D$18)*(Inputs!$F$18-Inputs!$E$18)))</f>
        <v>1.13957698394665</v>
      </c>
      <c r="L639" s="81" t="n">
        <f aca="true">RAND()</f>
        <v>0.383889620433982</v>
      </c>
      <c r="M639" s="83" t="n">
        <f aca="false">IF(L639&lt;(Inputs!$E$24-Inputs!$D$24)/(Inputs!$F$24-Inputs!$D$24),Inputs!$D$24+SQRT(L639*(Inputs!$F$24-Inputs!$D$24)*(Inputs!$E$24-Inputs!$D$24)),Inputs!$F$24-SQRT((1-L639)*(Inputs!$F$24-Inputs!$D$24)*(Inputs!$F$24-Inputs!$E$24)))</f>
        <v>0.815465877852375</v>
      </c>
      <c r="N639" s="81" t="n">
        <f aca="true">RAND()</f>
        <v>0.357309875900032</v>
      </c>
      <c r="O639" s="83" t="n">
        <f aca="false">IF(N639&lt;(Inputs!$E$26-Inputs!$D$26)/(Inputs!$F$26-Inputs!$D$26),Inputs!$D$26+SQRT(N639*(Inputs!$F$26-Inputs!$D$26)*(Inputs!$E$26-Inputs!$D$26)),Inputs!$F$26-SQRT((1-N639)*(Inputs!$F$26-Inputs!$D$26)*(Inputs!$F$26-Inputs!$E$26)))</f>
        <v>0.543836755534857</v>
      </c>
      <c r="P639" s="81" t="n">
        <f aca="true">RAND()</f>
        <v>0.933666460178545</v>
      </c>
      <c r="Q639" s="82" t="n">
        <f aca="false">IF(P639&lt;(Inputs!$E$27-Inputs!$D$27)/(Inputs!$F$27-Inputs!$D$27),Inputs!$D$27+SQRT(P639*(Inputs!$F$27-Inputs!$D$27)*(Inputs!$E$27-Inputs!$D$27)),Inputs!$F$27-SQRT((1-P639)*(Inputs!$F$27-Inputs!$D$27)*(Inputs!$F$27-Inputs!$E$27)))</f>
        <v>127.695257260822</v>
      </c>
      <c r="R639" s="81" t="n">
        <f aca="true">RAND()</f>
        <v>0.233501764357235</v>
      </c>
      <c r="S639" s="82" t="n">
        <f aca="false">IF(R639&lt;(Inputs!$E$29-Inputs!$D$29)/(Inputs!$F$29-Inputs!$D$29),Inputs!$D$29+SQRT(R639*(Inputs!$F$29-Inputs!$D$29)*(Inputs!$E$29-Inputs!$D$29)),Inputs!$F$29-SQRT((1-R639)*(Inputs!$F$29-Inputs!$D$29)*(Inputs!$F$29-Inputs!$E$29)))</f>
        <v>5.01777726988826</v>
      </c>
      <c r="T639" s="68" t="n">
        <f aca="false">Inputs!$E$9*(1+E639)+Inputs!$E$5*C639*(Inputs!$E$11*Inputs!$E$14*(G639*I639/Inputs!$E$16+(1-G639))*K639+Inputs!$E$23*M639)*(1+O639)+Inputs!$E$5*(Q639+S639)</f>
        <v>7075.83138488099</v>
      </c>
    </row>
    <row r="640" customFormat="false" ht="15" hidden="false" customHeight="false" outlineLevel="0" collapsed="false">
      <c r="A640" s="1" t="n">
        <v>636</v>
      </c>
      <c r="B640" s="81" t="n">
        <f aca="true">RAND()</f>
        <v>0.140552470332415</v>
      </c>
      <c r="C640" s="82" t="n">
        <f aca="false">ROUND(IF(B640&lt;(Inputs!$E$8-Inputs!$D$8)/(Inputs!$F$8-Inputs!$D$8),Inputs!$D$8+SQRT(B640*(Inputs!$F$8-Inputs!$D$8)*(Inputs!$E$8-Inputs!$D$8)),Inputs!$F$8-SQRT((1-B640)*(Inputs!$F$8-Inputs!$D$8)*(Inputs!$F$8-Inputs!$E$8))),0)</f>
        <v>23</v>
      </c>
      <c r="D640" s="81" t="n">
        <f aca="true">RAND()</f>
        <v>0.570875912140749</v>
      </c>
      <c r="E640" s="83" t="n">
        <f aca="false">IF(D640&lt;(Inputs!$E$10-Inputs!$D$10)/(Inputs!$F$10-Inputs!$D$10),Inputs!$D$10+SQRT(D640*(Inputs!$F$10-Inputs!$D$10)*(Inputs!$E$10-Inputs!$D$10)),Inputs!$F$10-SQRT((1-D640)*(Inputs!$F$10-Inputs!$D$10)*(Inputs!$F$10-Inputs!$E$10)))</f>
        <v>0.0865375716998022</v>
      </c>
      <c r="F640" s="81" t="n">
        <f aca="true">RAND()</f>
        <v>0.861958779139416</v>
      </c>
      <c r="G640" s="83" t="n">
        <f aca="false">IF(F640&lt;(Inputs!$E$15-Inputs!$D$15)/(Inputs!$F$15-Inputs!$D$15),Inputs!$D$15+SQRT(F640*(Inputs!$F$15-Inputs!$D$15)*(Inputs!$E$15-Inputs!$D$15)),Inputs!$F$15-SQRT((1-F640)*(Inputs!$F$15-Inputs!$D$15)*(Inputs!$F$15-Inputs!$E$15)))</f>
        <v>0.747456452182864</v>
      </c>
      <c r="H640" s="81" t="n">
        <f aca="true">RAND()</f>
        <v>0.41153171994085</v>
      </c>
      <c r="I640" s="82" t="n">
        <f aca="false">ROUND(IF(H640&lt;(Inputs!$E$17-Inputs!$D$17)/(Inputs!$F$17-Inputs!$D$17),Inputs!$D$17+SQRT(H640*(Inputs!$F$17-Inputs!$D$17)*(Inputs!$E$17-Inputs!$D$17)),Inputs!$F$17-SQRT((1-H640)*(Inputs!$F$17-Inputs!$D$17)*(Inputs!$F$17-Inputs!$E$17))),0)</f>
        <v>106</v>
      </c>
      <c r="J640" s="81" t="n">
        <f aca="true">RAND()</f>
        <v>0.947049781681407</v>
      </c>
      <c r="K640" s="83" t="n">
        <f aca="false">IF(J640&lt;(Inputs!$E$18-Inputs!$D$18)/(Inputs!$F$18-Inputs!$D$18),Inputs!$D$18+SQRT(J640*(Inputs!$F$18-Inputs!$D$18)*(Inputs!$E$18-Inputs!$D$18)),Inputs!$F$18-SQRT((1-J640)*(Inputs!$F$18-Inputs!$D$18)*(Inputs!$F$18-Inputs!$E$18)))</f>
        <v>1.18193279715695</v>
      </c>
      <c r="L640" s="81" t="n">
        <f aca="true">RAND()</f>
        <v>0.827231350897546</v>
      </c>
      <c r="M640" s="83" t="n">
        <f aca="false">IF(L640&lt;(Inputs!$E$24-Inputs!$D$24)/(Inputs!$F$24-Inputs!$D$24),Inputs!$D$24+SQRT(L640*(Inputs!$F$24-Inputs!$D$24)*(Inputs!$E$24-Inputs!$D$24)),Inputs!$F$24-SQRT((1-L640)*(Inputs!$F$24-Inputs!$D$24)*(Inputs!$F$24-Inputs!$E$24)))</f>
        <v>0.996371721549808</v>
      </c>
      <c r="N640" s="81" t="n">
        <f aca="true">RAND()</f>
        <v>0.463521637425099</v>
      </c>
      <c r="O640" s="83" t="n">
        <f aca="false">IF(N640&lt;(Inputs!$E$26-Inputs!$D$26)/(Inputs!$F$26-Inputs!$D$26),Inputs!$D$26+SQRT(N640*(Inputs!$F$26-Inputs!$D$26)*(Inputs!$E$26-Inputs!$D$26)),Inputs!$F$26-SQRT((1-N640)*(Inputs!$F$26-Inputs!$D$26)*(Inputs!$F$26-Inputs!$E$26)))</f>
        <v>0.577722884306527</v>
      </c>
      <c r="P640" s="81" t="n">
        <f aca="true">RAND()</f>
        <v>0.67131018694225</v>
      </c>
      <c r="Q640" s="82" t="n">
        <f aca="false">IF(P640&lt;(Inputs!$E$27-Inputs!$D$27)/(Inputs!$F$27-Inputs!$D$27),Inputs!$D$27+SQRT(P640*(Inputs!$F$27-Inputs!$D$27)*(Inputs!$E$27-Inputs!$D$27)),Inputs!$F$27-SQRT((1-P640)*(Inputs!$F$27-Inputs!$D$27)*(Inputs!$F$27-Inputs!$E$27)))</f>
        <v>100.349485421266</v>
      </c>
      <c r="R640" s="81" t="n">
        <f aca="true">RAND()</f>
        <v>0.633353325961798</v>
      </c>
      <c r="S640" s="82" t="n">
        <f aca="false">IF(R640&lt;(Inputs!$E$29-Inputs!$D$29)/(Inputs!$F$29-Inputs!$D$29),Inputs!$D$29+SQRT(R640*(Inputs!$F$29-Inputs!$D$29)*(Inputs!$E$29-Inputs!$D$29)),Inputs!$F$29-SQRT((1-R640)*(Inputs!$F$29-Inputs!$D$29)*(Inputs!$F$29-Inputs!$E$29)))</f>
        <v>8.09608316787012</v>
      </c>
      <c r="T640" s="68" t="n">
        <f aca="false">Inputs!$E$9*(1+E640)+Inputs!$E$5*C640*(Inputs!$E$11*Inputs!$E$14*(G640*I640/Inputs!$E$16+(1-G640))*K640+Inputs!$E$23*M640)*(1+O640)+Inputs!$E$5*(Q640+S640)</f>
        <v>6470.37894075127</v>
      </c>
    </row>
    <row r="641" customFormat="false" ht="15" hidden="false" customHeight="false" outlineLevel="0" collapsed="false">
      <c r="A641" s="1" t="n">
        <v>637</v>
      </c>
      <c r="B641" s="81" t="n">
        <f aca="true">RAND()</f>
        <v>0.599043091763984</v>
      </c>
      <c r="C641" s="82" t="n">
        <f aca="false">ROUND(IF(B641&lt;(Inputs!$E$8-Inputs!$D$8)/(Inputs!$F$8-Inputs!$D$8),Inputs!$D$8+SQRT(B641*(Inputs!$F$8-Inputs!$D$8)*(Inputs!$E$8-Inputs!$D$8)),Inputs!$F$8-SQRT((1-B641)*(Inputs!$F$8-Inputs!$D$8)*(Inputs!$F$8-Inputs!$E$8))),0)</f>
        <v>26</v>
      </c>
      <c r="D641" s="81" t="n">
        <f aca="true">RAND()</f>
        <v>0.5934566573249</v>
      </c>
      <c r="E641" s="83" t="n">
        <f aca="false">IF(D641&lt;(Inputs!$E$10-Inputs!$D$10)/(Inputs!$F$10-Inputs!$D$10),Inputs!$D$10+SQRT(D641*(Inputs!$F$10-Inputs!$D$10)*(Inputs!$E$10-Inputs!$D$10)),Inputs!$F$10-SQRT((1-D641)*(Inputs!$F$10-Inputs!$D$10)*(Inputs!$F$10-Inputs!$E$10)))</f>
        <v>0.089563138942412</v>
      </c>
      <c r="F641" s="81" t="n">
        <f aca="true">RAND()</f>
        <v>0.27419376204603</v>
      </c>
      <c r="G641" s="83" t="n">
        <f aca="false">IF(F641&lt;(Inputs!$E$15-Inputs!$D$15)/(Inputs!$F$15-Inputs!$D$15),Inputs!$D$15+SQRT(F641*(Inputs!$F$15-Inputs!$D$15)*(Inputs!$E$15-Inputs!$D$15)),Inputs!$F$15-SQRT((1-F641)*(Inputs!$F$15-Inputs!$D$15)*(Inputs!$F$15-Inputs!$E$15)))</f>
        <v>0.674053191969831</v>
      </c>
      <c r="H641" s="81" t="n">
        <f aca="true">RAND()</f>
        <v>0.843920560087347</v>
      </c>
      <c r="I641" s="82" t="n">
        <f aca="false">ROUND(IF(H641&lt;(Inputs!$E$17-Inputs!$D$17)/(Inputs!$F$17-Inputs!$D$17),Inputs!$D$17+SQRT(H641*(Inputs!$F$17-Inputs!$D$17)*(Inputs!$E$17-Inputs!$D$17)),Inputs!$F$17-SQRT((1-H641)*(Inputs!$F$17-Inputs!$D$17)*(Inputs!$F$17-Inputs!$E$17))),0)</f>
        <v>110</v>
      </c>
      <c r="J641" s="81" t="n">
        <f aca="true">RAND()</f>
        <v>0.144854472983121</v>
      </c>
      <c r="K641" s="83" t="n">
        <f aca="false">IF(J641&lt;(Inputs!$E$18-Inputs!$D$18)/(Inputs!$F$18-Inputs!$D$18),Inputs!$D$18+SQRT(J641*(Inputs!$F$18-Inputs!$D$18)*(Inputs!$E$18-Inputs!$D$18)),Inputs!$F$18-SQRT((1-J641)*(Inputs!$F$18-Inputs!$D$18)*(Inputs!$F$18-Inputs!$E$18)))</f>
        <v>0.971203276289854</v>
      </c>
      <c r="L641" s="81" t="n">
        <f aca="true">RAND()</f>
        <v>0.802842462122174</v>
      </c>
      <c r="M641" s="83" t="n">
        <f aca="false">IF(L641&lt;(Inputs!$E$24-Inputs!$D$24)/(Inputs!$F$24-Inputs!$D$24),Inputs!$D$24+SQRT(L641*(Inputs!$F$24-Inputs!$D$24)*(Inputs!$E$24-Inputs!$D$24)),Inputs!$F$24-SQRT((1-L641)*(Inputs!$F$24-Inputs!$D$24)*(Inputs!$F$24-Inputs!$E$24)))</f>
        <v>0.982473429000781</v>
      </c>
      <c r="N641" s="81" t="n">
        <f aca="true">RAND()</f>
        <v>0.204160018449946</v>
      </c>
      <c r="O641" s="83" t="n">
        <f aca="false">IF(N641&lt;(Inputs!$E$26-Inputs!$D$26)/(Inputs!$F$26-Inputs!$D$26),Inputs!$D$26+SQRT(N641*(Inputs!$F$26-Inputs!$D$26)*(Inputs!$E$26-Inputs!$D$26)),Inputs!$F$26-SQRT((1-N641)*(Inputs!$F$26-Inputs!$D$26)*(Inputs!$F$26-Inputs!$E$26)))</f>
        <v>0.484315563830272</v>
      </c>
      <c r="P641" s="81" t="n">
        <f aca="true">RAND()</f>
        <v>0.733428140216508</v>
      </c>
      <c r="Q641" s="82" t="n">
        <f aca="false">IF(P641&lt;(Inputs!$E$27-Inputs!$D$27)/(Inputs!$F$27-Inputs!$D$27),Inputs!$D$27+SQRT(P641*(Inputs!$F$27-Inputs!$D$27)*(Inputs!$E$27-Inputs!$D$27)),Inputs!$F$27-SQRT((1-P641)*(Inputs!$F$27-Inputs!$D$27)*(Inputs!$F$27-Inputs!$E$27)))</f>
        <v>105.286590955551</v>
      </c>
      <c r="R641" s="81" t="n">
        <f aca="true">RAND()</f>
        <v>0.294685297655853</v>
      </c>
      <c r="S641" s="82" t="n">
        <f aca="false">IF(R641&lt;(Inputs!$E$29-Inputs!$D$29)/(Inputs!$F$29-Inputs!$D$29),Inputs!$D$29+SQRT(R641*(Inputs!$F$29-Inputs!$D$29)*(Inputs!$E$29-Inputs!$D$29)),Inputs!$F$29-SQRT((1-R641)*(Inputs!$F$29-Inputs!$D$29)*(Inputs!$F$29-Inputs!$E$29)))</f>
        <v>5.42446287121505</v>
      </c>
      <c r="T641" s="68" t="n">
        <f aca="false">Inputs!$E$9*(1+E641)+Inputs!$E$5*C641*(Inputs!$E$11*Inputs!$E$14*(G641*I641/Inputs!$E$16+(1-G641))*K641+Inputs!$E$23*M641)*(1+O641)+Inputs!$E$5*(Q641+S641)</f>
        <v>6400.06671056916</v>
      </c>
    </row>
    <row r="642" customFormat="false" ht="15" hidden="false" customHeight="false" outlineLevel="0" collapsed="false">
      <c r="A642" s="1" t="n">
        <v>638</v>
      </c>
      <c r="B642" s="81" t="n">
        <f aca="true">RAND()</f>
        <v>0.335831809120572</v>
      </c>
      <c r="C642" s="82" t="n">
        <f aca="false">ROUND(IF(B642&lt;(Inputs!$E$8-Inputs!$D$8)/(Inputs!$F$8-Inputs!$D$8),Inputs!$D$8+SQRT(B642*(Inputs!$F$8-Inputs!$D$8)*(Inputs!$E$8-Inputs!$D$8)),Inputs!$F$8-SQRT((1-B642)*(Inputs!$F$8-Inputs!$D$8)*(Inputs!$F$8-Inputs!$E$8))),0)</f>
        <v>24</v>
      </c>
      <c r="D642" s="81" t="n">
        <f aca="true">RAND()</f>
        <v>0.0185787316628378</v>
      </c>
      <c r="E642" s="83" t="n">
        <f aca="false">IF(D642&lt;(Inputs!$E$10-Inputs!$D$10)/(Inputs!$F$10-Inputs!$D$10),Inputs!$D$10+SQRT(D642*(Inputs!$F$10-Inputs!$D$10)*(Inputs!$E$10-Inputs!$D$10)),Inputs!$F$10-SQRT((1-D642)*(Inputs!$F$10-Inputs!$D$10)*(Inputs!$F$10-Inputs!$E$10)))</f>
        <v>0.0136303821160076</v>
      </c>
      <c r="F642" s="81" t="n">
        <f aca="true">RAND()</f>
        <v>0.885505131991848</v>
      </c>
      <c r="G642" s="83" t="n">
        <f aca="false">IF(F642&lt;(Inputs!$E$15-Inputs!$D$15)/(Inputs!$F$15-Inputs!$D$15),Inputs!$D$15+SQRT(F642*(Inputs!$F$15-Inputs!$D$15)*(Inputs!$E$15-Inputs!$D$15)),Inputs!$F$15-SQRT((1-F642)*(Inputs!$F$15-Inputs!$D$15)*(Inputs!$F$15-Inputs!$E$15)))</f>
        <v>0.752147127984174</v>
      </c>
      <c r="H642" s="81" t="n">
        <f aca="true">RAND()</f>
        <v>0.666341249605412</v>
      </c>
      <c r="I642" s="82" t="n">
        <f aca="false">ROUND(IF(H642&lt;(Inputs!$E$17-Inputs!$D$17)/(Inputs!$F$17-Inputs!$D$17),Inputs!$D$17+SQRT(H642*(Inputs!$F$17-Inputs!$D$17)*(Inputs!$E$17-Inputs!$D$17)),Inputs!$F$17-SQRT((1-H642)*(Inputs!$F$17-Inputs!$D$17)*(Inputs!$F$17-Inputs!$E$17))),0)</f>
        <v>108</v>
      </c>
      <c r="J642" s="81" t="n">
        <f aca="true">RAND()</f>
        <v>0.785878781525681</v>
      </c>
      <c r="K642" s="83" t="n">
        <f aca="false">IF(J642&lt;(Inputs!$E$18-Inputs!$D$18)/(Inputs!$F$18-Inputs!$D$18),Inputs!$D$18+SQRT(J642*(Inputs!$F$18-Inputs!$D$18)*(Inputs!$E$18-Inputs!$D$18)),Inputs!$F$18-SQRT((1-J642)*(Inputs!$F$18-Inputs!$D$18)*(Inputs!$F$18-Inputs!$E$18)))</f>
        <v>1.1131219279194</v>
      </c>
      <c r="L642" s="81" t="n">
        <f aca="true">RAND()</f>
        <v>0.802565455031947</v>
      </c>
      <c r="M642" s="83" t="n">
        <f aca="false">IF(L642&lt;(Inputs!$E$24-Inputs!$D$24)/(Inputs!$F$24-Inputs!$D$24),Inputs!$D$24+SQRT(L642*(Inputs!$F$24-Inputs!$D$24)*(Inputs!$E$24-Inputs!$D$24)),Inputs!$F$24-SQRT((1-L642)*(Inputs!$F$24-Inputs!$D$24)*(Inputs!$F$24-Inputs!$E$24)))</f>
        <v>0.98232066980916</v>
      </c>
      <c r="N642" s="81" t="n">
        <f aca="true">RAND()</f>
        <v>0.559425247105152</v>
      </c>
      <c r="O642" s="83" t="n">
        <f aca="false">IF(N642&lt;(Inputs!$E$26-Inputs!$D$26)/(Inputs!$F$26-Inputs!$D$26),Inputs!$D$26+SQRT(N642*(Inputs!$F$26-Inputs!$D$26)*(Inputs!$E$26-Inputs!$D$26)),Inputs!$F$26-SQRT((1-N642)*(Inputs!$F$26-Inputs!$D$26)*(Inputs!$F$26-Inputs!$E$26)))</f>
        <v>0.605103853004673</v>
      </c>
      <c r="P642" s="81" t="n">
        <f aca="true">RAND()</f>
        <v>0.188218932775516</v>
      </c>
      <c r="Q642" s="82" t="n">
        <f aca="false">IF(P642&lt;(Inputs!$E$27-Inputs!$D$27)/(Inputs!$F$27-Inputs!$D$27),Inputs!$D$27+SQRT(P642*(Inputs!$F$27-Inputs!$D$27)*(Inputs!$E$27-Inputs!$D$27)),Inputs!$F$27-SQRT((1-P642)*(Inputs!$F$27-Inputs!$D$27)*(Inputs!$F$27-Inputs!$E$27)))</f>
        <v>71.692102985621</v>
      </c>
      <c r="R642" s="81" t="n">
        <f aca="true">RAND()</f>
        <v>0.378098150466643</v>
      </c>
      <c r="S642" s="82" t="n">
        <f aca="false">IF(R642&lt;(Inputs!$E$29-Inputs!$D$29)/(Inputs!$F$29-Inputs!$D$29),Inputs!$D$29+SQRT(R642*(Inputs!$F$29-Inputs!$D$29)*(Inputs!$E$29-Inputs!$D$29)),Inputs!$F$29-SQRT((1-R642)*(Inputs!$F$29-Inputs!$D$29)*(Inputs!$F$29-Inputs!$E$29)))</f>
        <v>6.00849064731975</v>
      </c>
      <c r="T642" s="68" t="n">
        <f aca="false">Inputs!$E$9*(1+E642)+Inputs!$E$5*C642*(Inputs!$E$11*Inputs!$E$14*(G642*I642/Inputs!$E$16+(1-G642))*K642+Inputs!$E$23*M642)*(1+O642)+Inputs!$E$5*(Q642+S642)</f>
        <v>6236.09763348145</v>
      </c>
    </row>
    <row r="643" customFormat="false" ht="15" hidden="false" customHeight="false" outlineLevel="0" collapsed="false">
      <c r="A643" s="1" t="n">
        <v>639</v>
      </c>
      <c r="B643" s="81" t="n">
        <f aca="true">RAND()</f>
        <v>0.520166634120731</v>
      </c>
      <c r="C643" s="82" t="n">
        <f aca="false">ROUND(IF(B643&lt;(Inputs!$E$8-Inputs!$D$8)/(Inputs!$F$8-Inputs!$D$8),Inputs!$D$8+SQRT(B643*(Inputs!$F$8-Inputs!$D$8)*(Inputs!$E$8-Inputs!$D$8)),Inputs!$F$8-SQRT((1-B643)*(Inputs!$F$8-Inputs!$D$8)*(Inputs!$F$8-Inputs!$E$8))),0)</f>
        <v>25</v>
      </c>
      <c r="D643" s="81" t="n">
        <f aca="true">RAND()</f>
        <v>0.349887917274256</v>
      </c>
      <c r="E643" s="83" t="n">
        <f aca="false">IF(D643&lt;(Inputs!$E$10-Inputs!$D$10)/(Inputs!$F$10-Inputs!$D$10),Inputs!$D$10+SQRT(D643*(Inputs!$F$10-Inputs!$D$10)*(Inputs!$E$10-Inputs!$D$10)),Inputs!$F$10-SQRT((1-D643)*(Inputs!$F$10-Inputs!$D$10)*(Inputs!$F$10-Inputs!$E$10)))</f>
        <v>0.0603455604652243</v>
      </c>
      <c r="F643" s="81" t="n">
        <f aca="true">RAND()</f>
        <v>0.118574992368938</v>
      </c>
      <c r="G643" s="83" t="n">
        <f aca="false">IF(F643&lt;(Inputs!$E$15-Inputs!$D$15)/(Inputs!$F$15-Inputs!$D$15),Inputs!$D$15+SQRT(F643*(Inputs!$F$15-Inputs!$D$15)*(Inputs!$E$15-Inputs!$D$15)),Inputs!$F$15-SQRT((1-F643)*(Inputs!$F$15-Inputs!$D$15)*(Inputs!$F$15-Inputs!$E$15)))</f>
        <v>0.648698047675228</v>
      </c>
      <c r="H643" s="81" t="n">
        <f aca="true">RAND()</f>
        <v>0.2109521405498</v>
      </c>
      <c r="I643" s="82" t="n">
        <f aca="false">ROUND(IF(H643&lt;(Inputs!$E$17-Inputs!$D$17)/(Inputs!$F$17-Inputs!$D$17),Inputs!$D$17+SQRT(H643*(Inputs!$F$17-Inputs!$D$17)*(Inputs!$E$17-Inputs!$D$17)),Inputs!$F$17-SQRT((1-H643)*(Inputs!$F$17-Inputs!$D$17)*(Inputs!$F$17-Inputs!$E$17))),0)</f>
        <v>104</v>
      </c>
      <c r="J643" s="81" t="n">
        <f aca="true">RAND()</f>
        <v>0.908142726945185</v>
      </c>
      <c r="K643" s="83" t="n">
        <f aca="false">IF(J643&lt;(Inputs!$E$18-Inputs!$D$18)/(Inputs!$F$18-Inputs!$D$18),Inputs!$D$18+SQRT(J643*(Inputs!$F$18-Inputs!$D$18)*(Inputs!$E$18-Inputs!$D$18)),Inputs!$F$18-SQRT((1-J643)*(Inputs!$F$18-Inputs!$D$18)*(Inputs!$F$18-Inputs!$E$18)))</f>
        <v>1.16034783107868</v>
      </c>
      <c r="L643" s="81" t="n">
        <f aca="true">RAND()</f>
        <v>0.742076818825912</v>
      </c>
      <c r="M643" s="83" t="n">
        <f aca="false">IF(L643&lt;(Inputs!$E$24-Inputs!$D$24)/(Inputs!$F$24-Inputs!$D$24),Inputs!$D$24+SQRT(L643*(Inputs!$F$24-Inputs!$D$24)*(Inputs!$E$24-Inputs!$D$24)),Inputs!$F$24-SQRT((1-L643)*(Inputs!$F$24-Inputs!$D$24)*(Inputs!$F$24-Inputs!$E$24)))</f>
        <v>0.951199751845419</v>
      </c>
      <c r="N643" s="81" t="n">
        <f aca="true">RAND()</f>
        <v>0.861187870331598</v>
      </c>
      <c r="O643" s="83" t="n">
        <f aca="false">IF(N643&lt;(Inputs!$E$26-Inputs!$D$26)/(Inputs!$F$26-Inputs!$D$26),Inputs!$D$26+SQRT(N643*(Inputs!$F$26-Inputs!$D$26)*(Inputs!$E$26-Inputs!$D$26)),Inputs!$F$26-SQRT((1-N643)*(Inputs!$F$26-Inputs!$D$26)*(Inputs!$F$26-Inputs!$E$26)))</f>
        <v>0.699848173191109</v>
      </c>
      <c r="P643" s="81" t="n">
        <f aca="true">RAND()</f>
        <v>0.237666007855287</v>
      </c>
      <c r="Q643" s="82" t="n">
        <f aca="false">IF(P643&lt;(Inputs!$E$27-Inputs!$D$27)/(Inputs!$F$27-Inputs!$D$27),Inputs!$D$27+SQRT(P643*(Inputs!$F$27-Inputs!$D$27)*(Inputs!$E$27-Inputs!$D$27)),Inputs!$F$27-SQRT((1-P643)*(Inputs!$F$27-Inputs!$D$27)*(Inputs!$F$27-Inputs!$E$27)))</f>
        <v>74.3755003976989</v>
      </c>
      <c r="R643" s="81" t="n">
        <f aca="true">RAND()</f>
        <v>0.71499989361813</v>
      </c>
      <c r="S643" s="82" t="n">
        <f aca="false">IF(R643&lt;(Inputs!$E$29-Inputs!$D$29)/(Inputs!$F$29-Inputs!$D$29),Inputs!$D$29+SQRT(R643*(Inputs!$F$29-Inputs!$D$29)*(Inputs!$E$29-Inputs!$D$29)),Inputs!$F$29-SQRT((1-R643)*(Inputs!$F$29-Inputs!$D$29)*(Inputs!$F$29-Inputs!$E$29)))</f>
        <v>8.91312774656449</v>
      </c>
      <c r="T643" s="68" t="n">
        <f aca="false">Inputs!$E$9*(1+E643)+Inputs!$E$5*C643*(Inputs!$E$11*Inputs!$E$14*(G643*I643/Inputs!$E$16+(1-G643))*K643+Inputs!$E$23*M643)*(1+O643)+Inputs!$E$5*(Q643+S643)</f>
        <v>6909.24783199349</v>
      </c>
    </row>
    <row r="644" customFormat="false" ht="15" hidden="false" customHeight="false" outlineLevel="0" collapsed="false">
      <c r="A644" s="1" t="n">
        <v>640</v>
      </c>
      <c r="B644" s="81" t="n">
        <f aca="true">RAND()</f>
        <v>0.679382511463167</v>
      </c>
      <c r="C644" s="82" t="n">
        <f aca="false">ROUND(IF(B644&lt;(Inputs!$E$8-Inputs!$D$8)/(Inputs!$F$8-Inputs!$D$8),Inputs!$D$8+SQRT(B644*(Inputs!$F$8-Inputs!$D$8)*(Inputs!$E$8-Inputs!$D$8)),Inputs!$F$8-SQRT((1-B644)*(Inputs!$F$8-Inputs!$D$8)*(Inputs!$F$8-Inputs!$E$8))),0)</f>
        <v>26</v>
      </c>
      <c r="D644" s="81" t="n">
        <f aca="true">RAND()</f>
        <v>0.727358600216952</v>
      </c>
      <c r="E644" s="83" t="n">
        <f aca="false">IF(D644&lt;(Inputs!$E$10-Inputs!$D$10)/(Inputs!$F$10-Inputs!$D$10),Inputs!$D$10+SQRT(D644*(Inputs!$F$10-Inputs!$D$10)*(Inputs!$E$10-Inputs!$D$10)),Inputs!$F$10-SQRT((1-D644)*(Inputs!$F$10-Inputs!$D$10)*(Inputs!$F$10-Inputs!$E$10)))</f>
        <v>0.10956083816459</v>
      </c>
      <c r="F644" s="81" t="n">
        <f aca="true">RAND()</f>
        <v>0.349857026478293</v>
      </c>
      <c r="G644" s="83" t="n">
        <f aca="false">IF(F644&lt;(Inputs!$E$15-Inputs!$D$15)/(Inputs!$F$15-Inputs!$D$15),Inputs!$D$15+SQRT(F644*(Inputs!$F$15-Inputs!$D$15)*(Inputs!$E$15-Inputs!$D$15)),Inputs!$F$15-SQRT((1-F644)*(Inputs!$F$15-Inputs!$D$15)*(Inputs!$F$15-Inputs!$E$15)))</f>
        <v>0.683648912303543</v>
      </c>
      <c r="H644" s="81" t="n">
        <f aca="true">RAND()</f>
        <v>0.506728958249752</v>
      </c>
      <c r="I644" s="82" t="n">
        <f aca="false">ROUND(IF(H644&lt;(Inputs!$E$17-Inputs!$D$17)/(Inputs!$F$17-Inputs!$D$17),Inputs!$D$17+SQRT(H644*(Inputs!$F$17-Inputs!$D$17)*(Inputs!$E$17-Inputs!$D$17)),Inputs!$F$17-SQRT((1-H644)*(Inputs!$F$17-Inputs!$D$17)*(Inputs!$F$17-Inputs!$E$17))),0)</f>
        <v>106</v>
      </c>
      <c r="J644" s="81" t="n">
        <f aca="true">RAND()</f>
        <v>0.732807667027516</v>
      </c>
      <c r="K644" s="83" t="n">
        <f aca="false">IF(J644&lt;(Inputs!$E$18-Inputs!$D$18)/(Inputs!$F$18-Inputs!$D$18),Inputs!$D$18+SQRT(J644*(Inputs!$F$18-Inputs!$D$18)*(Inputs!$E$18-Inputs!$D$18)),Inputs!$F$18-SQRT((1-J644)*(Inputs!$F$18-Inputs!$D$18)*(Inputs!$F$18-Inputs!$E$18)))</f>
        <v>1.0970969943556</v>
      </c>
      <c r="L644" s="81" t="n">
        <f aca="true">RAND()</f>
        <v>0.989306200330629</v>
      </c>
      <c r="M644" s="83" t="n">
        <f aca="false">IF(L644&lt;(Inputs!$E$24-Inputs!$D$24)/(Inputs!$F$24-Inputs!$D$24),Inputs!$D$24+SQRT(L644*(Inputs!$F$24-Inputs!$D$24)*(Inputs!$E$24-Inputs!$D$24)),Inputs!$F$24-SQRT((1-L644)*(Inputs!$F$24-Inputs!$D$24)*(Inputs!$F$24-Inputs!$E$24)))</f>
        <v>1.14933924674219</v>
      </c>
      <c r="N644" s="81" t="n">
        <f aca="true">RAND()</f>
        <v>0.426032451553111</v>
      </c>
      <c r="O644" s="83" t="n">
        <f aca="false">IF(N644&lt;(Inputs!$E$26-Inputs!$D$26)/(Inputs!$F$26-Inputs!$D$26),Inputs!$D$26+SQRT(N644*(Inputs!$F$26-Inputs!$D$26)*(Inputs!$E$26-Inputs!$D$26)),Inputs!$F$26-SQRT((1-N644)*(Inputs!$F$26-Inputs!$D$26)*(Inputs!$F$26-Inputs!$E$26)))</f>
        <v>0.566255140679833</v>
      </c>
      <c r="P644" s="81" t="n">
        <f aca="true">RAND()</f>
        <v>0.628885921941161</v>
      </c>
      <c r="Q644" s="82" t="n">
        <f aca="false">IF(P644&lt;(Inputs!$E$27-Inputs!$D$27)/(Inputs!$F$27-Inputs!$D$27),Inputs!$D$27+SQRT(P644*(Inputs!$F$27-Inputs!$D$27)*(Inputs!$E$27-Inputs!$D$27)),Inputs!$F$27-SQRT((1-P644)*(Inputs!$F$27-Inputs!$D$27)*(Inputs!$F$27-Inputs!$E$27)))</f>
        <v>97.2424831380277</v>
      </c>
      <c r="R644" s="81" t="n">
        <f aca="true">RAND()</f>
        <v>0.175642669298538</v>
      </c>
      <c r="S644" s="82" t="n">
        <f aca="false">IF(R644&lt;(Inputs!$E$29-Inputs!$D$29)/(Inputs!$F$29-Inputs!$D$29),Inputs!$D$29+SQRT(R644*(Inputs!$F$29-Inputs!$D$29)*(Inputs!$E$29-Inputs!$D$29)),Inputs!$F$29-SQRT((1-R644)*(Inputs!$F$29-Inputs!$D$29)*(Inputs!$F$29-Inputs!$E$29)))</f>
        <v>4.61726271181228</v>
      </c>
      <c r="T644" s="68" t="n">
        <f aca="false">Inputs!$E$9*(1+E644)+Inputs!$E$5*C644*(Inputs!$E$11*Inputs!$E$14*(G644*I644/Inputs!$E$16+(1-G644))*K644+Inputs!$E$23*M644)*(1+O644)+Inputs!$E$5*(Q644+S644)</f>
        <v>7055.17566619044</v>
      </c>
    </row>
    <row r="645" customFormat="false" ht="15" hidden="false" customHeight="false" outlineLevel="0" collapsed="false">
      <c r="A645" s="1" t="n">
        <v>641</v>
      </c>
      <c r="B645" s="81" t="n">
        <f aca="true">RAND()</f>
        <v>0.0952586029512409</v>
      </c>
      <c r="C645" s="82" t="n">
        <f aca="false">ROUND(IF(B645&lt;(Inputs!$E$8-Inputs!$D$8)/(Inputs!$F$8-Inputs!$D$8),Inputs!$D$8+SQRT(B645*(Inputs!$F$8-Inputs!$D$8)*(Inputs!$E$8-Inputs!$D$8)),Inputs!$F$8-SQRT((1-B645)*(Inputs!$F$8-Inputs!$D$8)*(Inputs!$F$8-Inputs!$E$8))),0)</f>
        <v>22</v>
      </c>
      <c r="D645" s="81" t="n">
        <f aca="true">RAND()</f>
        <v>0.558055465103536</v>
      </c>
      <c r="E645" s="83" t="n">
        <f aca="false">IF(D645&lt;(Inputs!$E$10-Inputs!$D$10)/(Inputs!$F$10-Inputs!$D$10),Inputs!$D$10+SQRT(D645*(Inputs!$F$10-Inputs!$D$10)*(Inputs!$E$10-Inputs!$D$10)),Inputs!$F$10-SQRT((1-D645)*(Inputs!$F$10-Inputs!$D$10)*(Inputs!$F$10-Inputs!$E$10)))</f>
        <v>0.0848551518873123</v>
      </c>
      <c r="F645" s="81" t="n">
        <f aca="true">RAND()</f>
        <v>0.378270900989182</v>
      </c>
      <c r="G645" s="83" t="n">
        <f aca="false">IF(F645&lt;(Inputs!$E$15-Inputs!$D$15)/(Inputs!$F$15-Inputs!$D$15),Inputs!$D$15+SQRT(F645*(Inputs!$F$15-Inputs!$D$15)*(Inputs!$E$15-Inputs!$D$15)),Inputs!$F$15-SQRT((1-F645)*(Inputs!$F$15-Inputs!$D$15)*(Inputs!$F$15-Inputs!$E$15)))</f>
        <v>0.686979411470667</v>
      </c>
      <c r="H645" s="81" t="n">
        <f aca="true">RAND()</f>
        <v>0.318503777539588</v>
      </c>
      <c r="I645" s="82" t="n">
        <f aca="false">ROUND(IF(H645&lt;(Inputs!$E$17-Inputs!$D$17)/(Inputs!$F$17-Inputs!$D$17),Inputs!$D$17+SQRT(H645*(Inputs!$F$17-Inputs!$D$17)*(Inputs!$E$17-Inputs!$D$17)),Inputs!$F$17-SQRT((1-H645)*(Inputs!$F$17-Inputs!$D$17)*(Inputs!$F$17-Inputs!$E$17))),0)</f>
        <v>105</v>
      </c>
      <c r="J645" s="81" t="n">
        <f aca="true">RAND()</f>
        <v>0.245369720286633</v>
      </c>
      <c r="K645" s="83" t="n">
        <f aca="false">IF(J645&lt;(Inputs!$E$18-Inputs!$D$18)/(Inputs!$F$18-Inputs!$D$18),Inputs!$D$18+SQRT(J645*(Inputs!$F$18-Inputs!$D$18)*(Inputs!$E$18-Inputs!$D$18)),Inputs!$F$18-SQRT((1-J645)*(Inputs!$F$18-Inputs!$D$18)*(Inputs!$F$18-Inputs!$E$18)))</f>
        <v>0.992671140114019</v>
      </c>
      <c r="L645" s="81" t="n">
        <f aca="true">RAND()</f>
        <v>0.545242562383644</v>
      </c>
      <c r="M645" s="83" t="n">
        <f aca="false">IF(L645&lt;(Inputs!$E$24-Inputs!$D$24)/(Inputs!$F$24-Inputs!$D$24),Inputs!$D$24+SQRT(L645*(Inputs!$F$24-Inputs!$D$24)*(Inputs!$E$24-Inputs!$D$24)),Inputs!$F$24-SQRT((1-L645)*(Inputs!$F$24-Inputs!$D$24)*(Inputs!$F$24-Inputs!$E$24)))</f>
        <v>0.869633862165134</v>
      </c>
      <c r="N645" s="81" t="n">
        <f aca="true">RAND()</f>
        <v>0.495572678765428</v>
      </c>
      <c r="O645" s="83" t="n">
        <f aca="false">IF(N645&lt;(Inputs!$E$26-Inputs!$D$26)/(Inputs!$F$26-Inputs!$D$26),Inputs!$D$26+SQRT(N645*(Inputs!$F$26-Inputs!$D$26)*(Inputs!$E$26-Inputs!$D$26)),Inputs!$F$26-SQRT((1-N645)*(Inputs!$F$26-Inputs!$D$26)*(Inputs!$F$26-Inputs!$E$26)))</f>
        <v>0.58716422783238</v>
      </c>
      <c r="P645" s="81" t="n">
        <f aca="true">RAND()</f>
        <v>0.803758791199316</v>
      </c>
      <c r="Q645" s="82" t="n">
        <f aca="false">IF(P645&lt;(Inputs!$E$27-Inputs!$D$27)/(Inputs!$F$27-Inputs!$D$27),Inputs!$D$27+SQRT(P645*(Inputs!$F$27-Inputs!$D$27)*(Inputs!$E$27-Inputs!$D$27)),Inputs!$F$27-SQRT((1-P645)*(Inputs!$F$27-Inputs!$D$27)*(Inputs!$F$27-Inputs!$E$27)))</f>
        <v>111.635836174822</v>
      </c>
      <c r="R645" s="81" t="n">
        <f aca="true">RAND()</f>
        <v>0.967734256384403</v>
      </c>
      <c r="S645" s="82" t="n">
        <f aca="false">IF(R645&lt;(Inputs!$E$29-Inputs!$D$29)/(Inputs!$F$29-Inputs!$D$29),Inputs!$D$29+SQRT(R645*(Inputs!$F$29-Inputs!$D$29)*(Inputs!$E$29-Inputs!$D$29)),Inputs!$F$29-SQRT((1-R645)*(Inputs!$F$29-Inputs!$D$29)*(Inputs!$F$29-Inputs!$E$29)))</f>
        <v>12.9519407552447</v>
      </c>
      <c r="T645" s="68" t="n">
        <f aca="false">Inputs!$E$9*(1+E645)+Inputs!$E$5*C645*(Inputs!$E$11*Inputs!$E$14*(G645*I645/Inputs!$E$16+(1-G645))*K645+Inputs!$E$23*M645)*(1+O645)+Inputs!$E$5*(Q645+S645)</f>
        <v>5968.58073107212</v>
      </c>
    </row>
    <row r="646" customFormat="false" ht="15" hidden="false" customHeight="false" outlineLevel="0" collapsed="false">
      <c r="A646" s="1" t="n">
        <v>642</v>
      </c>
      <c r="B646" s="81" t="n">
        <f aca="true">RAND()</f>
        <v>0.231893878020055</v>
      </c>
      <c r="C646" s="82" t="n">
        <f aca="false">ROUND(IF(B646&lt;(Inputs!$E$8-Inputs!$D$8)/(Inputs!$F$8-Inputs!$D$8),Inputs!$D$8+SQRT(B646*(Inputs!$F$8-Inputs!$D$8)*(Inputs!$E$8-Inputs!$D$8)),Inputs!$F$8-SQRT((1-B646)*(Inputs!$F$8-Inputs!$D$8)*(Inputs!$F$8-Inputs!$E$8))),0)</f>
        <v>23</v>
      </c>
      <c r="D646" s="81" t="n">
        <f aca="true">RAND()</f>
        <v>0.492449610349883</v>
      </c>
      <c r="E646" s="83" t="n">
        <f aca="false">IF(D646&lt;(Inputs!$E$10-Inputs!$D$10)/(Inputs!$F$10-Inputs!$D$10),Inputs!$D$10+SQRT(D646*(Inputs!$F$10-Inputs!$D$10)*(Inputs!$E$10-Inputs!$D$10)),Inputs!$F$10-SQRT((1-D646)*(Inputs!$F$10-Inputs!$D$10)*(Inputs!$F$10-Inputs!$E$10)))</f>
        <v>0.0766042476845191</v>
      </c>
      <c r="F646" s="81" t="n">
        <f aca="true">RAND()</f>
        <v>0.478580194742475</v>
      </c>
      <c r="G646" s="83" t="n">
        <f aca="false">IF(F646&lt;(Inputs!$E$15-Inputs!$D$15)/(Inputs!$F$15-Inputs!$D$15),Inputs!$D$15+SQRT(F646*(Inputs!$F$15-Inputs!$D$15)*(Inputs!$E$15-Inputs!$D$15)),Inputs!$F$15-SQRT((1-F646)*(Inputs!$F$15-Inputs!$D$15)*(Inputs!$F$15-Inputs!$E$15)))</f>
        <v>0.697834574128217</v>
      </c>
      <c r="H646" s="81" t="n">
        <f aca="true">RAND()</f>
        <v>0.380621230506087</v>
      </c>
      <c r="I646" s="82" t="n">
        <f aca="false">ROUND(IF(H646&lt;(Inputs!$E$17-Inputs!$D$17)/(Inputs!$F$17-Inputs!$D$17),Inputs!$D$17+SQRT(H646*(Inputs!$F$17-Inputs!$D$17)*(Inputs!$E$17-Inputs!$D$17)),Inputs!$F$17-SQRT((1-H646)*(Inputs!$F$17-Inputs!$D$17)*(Inputs!$F$17-Inputs!$E$17))),0)</f>
        <v>105</v>
      </c>
      <c r="J646" s="81" t="n">
        <f aca="true">RAND()</f>
        <v>0.316811709428985</v>
      </c>
      <c r="K646" s="83" t="n">
        <f aca="false">IF(J646&lt;(Inputs!$E$18-Inputs!$D$18)/(Inputs!$F$18-Inputs!$D$18),Inputs!$D$18+SQRT(J646*(Inputs!$F$18-Inputs!$D$18)*(Inputs!$E$18-Inputs!$D$18)),Inputs!$F$18-SQRT((1-J646)*(Inputs!$F$18-Inputs!$D$18)*(Inputs!$F$18-Inputs!$E$18)))</f>
        <v>1.00550260650681</v>
      </c>
      <c r="L646" s="81" t="n">
        <f aca="true">RAND()</f>
        <v>0.499325729585325</v>
      </c>
      <c r="M646" s="83" t="n">
        <f aca="false">IF(L646&lt;(Inputs!$E$24-Inputs!$D$24)/(Inputs!$F$24-Inputs!$D$24),Inputs!$D$24+SQRT(L646*(Inputs!$F$24-Inputs!$D$24)*(Inputs!$E$24-Inputs!$D$24)),Inputs!$F$24-SQRT((1-L646)*(Inputs!$F$24-Inputs!$D$24)*(Inputs!$F$24-Inputs!$E$24)))</f>
        <v>0.853356343055982</v>
      </c>
      <c r="N646" s="81" t="n">
        <f aca="true">RAND()</f>
        <v>0.809132840355654</v>
      </c>
      <c r="O646" s="83" t="n">
        <f aca="false">IF(N646&lt;(Inputs!$E$26-Inputs!$D$26)/(Inputs!$F$26-Inputs!$D$26),Inputs!$D$26+SQRT(N646*(Inputs!$F$26-Inputs!$D$26)*(Inputs!$E$26-Inputs!$D$26)),Inputs!$F$26-SQRT((1-N646)*(Inputs!$F$26-Inputs!$D$26)*(Inputs!$F$26-Inputs!$E$26)))</f>
        <v>0.679109316833894</v>
      </c>
      <c r="P646" s="81" t="n">
        <f aca="true">RAND()</f>
        <v>0.605038868319153</v>
      </c>
      <c r="Q646" s="82" t="n">
        <f aca="false">IF(P646&lt;(Inputs!$E$27-Inputs!$D$27)/(Inputs!$F$27-Inputs!$D$27),Inputs!$D$27+SQRT(P646*(Inputs!$F$27-Inputs!$D$27)*(Inputs!$E$27-Inputs!$D$27)),Inputs!$F$27-SQRT((1-P646)*(Inputs!$F$27-Inputs!$D$27)*(Inputs!$F$27-Inputs!$E$27)))</f>
        <v>95.5738253447264</v>
      </c>
      <c r="R646" s="81" t="n">
        <f aca="true">RAND()</f>
        <v>0.875182893060446</v>
      </c>
      <c r="S646" s="82" t="n">
        <f aca="false">IF(R646&lt;(Inputs!$E$29-Inputs!$D$29)/(Inputs!$F$29-Inputs!$D$29),Inputs!$D$29+SQRT(R646*(Inputs!$F$29-Inputs!$D$29)*(Inputs!$E$29-Inputs!$D$29)),Inputs!$F$29-SQRT((1-R646)*(Inputs!$F$29-Inputs!$D$29)*(Inputs!$F$29-Inputs!$E$29)))</f>
        <v>10.9718212673539</v>
      </c>
      <c r="T646" s="68" t="n">
        <f aca="false">Inputs!$E$9*(1+E646)+Inputs!$E$5*C646*(Inputs!$E$11*Inputs!$E$14*(G646*I646/Inputs!$E$16+(1-G646))*K646+Inputs!$E$23*M646)*(1+O646)+Inputs!$E$5*(Q646+S646)</f>
        <v>6164.29796356499</v>
      </c>
    </row>
    <row r="647" customFormat="false" ht="15" hidden="false" customHeight="false" outlineLevel="0" collapsed="false">
      <c r="A647" s="1" t="n">
        <v>643</v>
      </c>
      <c r="B647" s="81" t="n">
        <f aca="true">RAND()</f>
        <v>0.706386656445713</v>
      </c>
      <c r="C647" s="82" t="n">
        <f aca="false">ROUND(IF(B647&lt;(Inputs!$E$8-Inputs!$D$8)/(Inputs!$F$8-Inputs!$D$8),Inputs!$D$8+SQRT(B647*(Inputs!$F$8-Inputs!$D$8)*(Inputs!$E$8-Inputs!$D$8)),Inputs!$F$8-SQRT((1-B647)*(Inputs!$F$8-Inputs!$D$8)*(Inputs!$F$8-Inputs!$E$8))),0)</f>
        <v>26</v>
      </c>
      <c r="D647" s="81" t="n">
        <f aca="true">RAND()</f>
        <v>0.679753929095729</v>
      </c>
      <c r="E647" s="83" t="n">
        <f aca="false">IF(D647&lt;(Inputs!$E$10-Inputs!$D$10)/(Inputs!$F$10-Inputs!$D$10),Inputs!$D$10+SQRT(D647*(Inputs!$F$10-Inputs!$D$10)*(Inputs!$E$10-Inputs!$D$10)),Inputs!$F$10-SQRT((1-D647)*(Inputs!$F$10-Inputs!$D$10)*(Inputs!$F$10-Inputs!$E$10)))</f>
        <v>0.101982745768267</v>
      </c>
      <c r="F647" s="81" t="n">
        <f aca="true">RAND()</f>
        <v>0.605809926617751</v>
      </c>
      <c r="G647" s="83" t="n">
        <f aca="false">IF(F647&lt;(Inputs!$E$15-Inputs!$D$15)/(Inputs!$F$15-Inputs!$D$15),Inputs!$D$15+SQRT(F647*(Inputs!$F$15-Inputs!$D$15)*(Inputs!$E$15-Inputs!$D$15)),Inputs!$F$15-SQRT((1-F647)*(Inputs!$F$15-Inputs!$D$15)*(Inputs!$F$15-Inputs!$E$15)))</f>
        <v>0.711209226449788</v>
      </c>
      <c r="H647" s="81" t="n">
        <f aca="true">RAND()</f>
        <v>0.433471861545505</v>
      </c>
      <c r="I647" s="82" t="n">
        <f aca="false">ROUND(IF(H647&lt;(Inputs!$E$17-Inputs!$D$17)/(Inputs!$F$17-Inputs!$D$17),Inputs!$D$17+SQRT(H647*(Inputs!$F$17-Inputs!$D$17)*(Inputs!$E$17-Inputs!$D$17)),Inputs!$F$17-SQRT((1-H647)*(Inputs!$F$17-Inputs!$D$17)*(Inputs!$F$17-Inputs!$E$17))),0)</f>
        <v>106</v>
      </c>
      <c r="J647" s="81" t="n">
        <f aca="true">RAND()</f>
        <v>0.793941004308698</v>
      </c>
      <c r="K647" s="83" t="n">
        <f aca="false">IF(J647&lt;(Inputs!$E$18-Inputs!$D$18)/(Inputs!$F$18-Inputs!$D$18),Inputs!$D$18+SQRT(J647*(Inputs!$F$18-Inputs!$D$18)*(Inputs!$E$18-Inputs!$D$18)),Inputs!$F$18-SQRT((1-J647)*(Inputs!$F$18-Inputs!$D$18)*(Inputs!$F$18-Inputs!$E$18)))</f>
        <v>1.11572356080463</v>
      </c>
      <c r="L647" s="81" t="n">
        <f aca="true">RAND()</f>
        <v>0.157607530358936</v>
      </c>
      <c r="M647" s="83" t="n">
        <f aca="false">IF(L647&lt;(Inputs!$E$24-Inputs!$D$24)/(Inputs!$F$24-Inputs!$D$24),Inputs!$D$24+SQRT(L647*(Inputs!$F$24-Inputs!$D$24)*(Inputs!$E$24-Inputs!$D$24)),Inputs!$F$24-SQRT((1-L647)*(Inputs!$F$24-Inputs!$D$24)*(Inputs!$F$24-Inputs!$E$24)))</f>
        <v>0.73752419293736</v>
      </c>
      <c r="N647" s="81" t="n">
        <f aca="true">RAND()</f>
        <v>0.605840895679863</v>
      </c>
      <c r="O647" s="83" t="n">
        <f aca="false">IF(N647&lt;(Inputs!$E$26-Inputs!$D$26)/(Inputs!$F$26-Inputs!$D$26),Inputs!$D$26+SQRT(N647*(Inputs!$F$26-Inputs!$D$26)*(Inputs!$E$26-Inputs!$D$26)),Inputs!$F$26-SQRT((1-N647)*(Inputs!$F$26-Inputs!$D$26)*(Inputs!$F$26-Inputs!$E$26)))</f>
        <v>0.617508936946867</v>
      </c>
      <c r="P647" s="81" t="n">
        <f aca="true">RAND()</f>
        <v>0.805652167009915</v>
      </c>
      <c r="Q647" s="82" t="n">
        <f aca="false">IF(P647&lt;(Inputs!$E$27-Inputs!$D$27)/(Inputs!$F$27-Inputs!$D$27),Inputs!$D$27+SQRT(P647*(Inputs!$F$27-Inputs!$D$27)*(Inputs!$E$27-Inputs!$D$27)),Inputs!$F$27-SQRT((1-P647)*(Inputs!$F$27-Inputs!$D$27)*(Inputs!$F$27-Inputs!$E$27)))</f>
        <v>111.821357443911</v>
      </c>
      <c r="R647" s="81" t="n">
        <f aca="true">RAND()</f>
        <v>0.355844687725945</v>
      </c>
      <c r="S647" s="82" t="n">
        <f aca="false">IF(R647&lt;(Inputs!$E$29-Inputs!$D$29)/(Inputs!$F$29-Inputs!$D$29),Inputs!$D$29+SQRT(R647*(Inputs!$F$29-Inputs!$D$29)*(Inputs!$E$29-Inputs!$D$29)),Inputs!$F$29-SQRT((1-R647)*(Inputs!$F$29-Inputs!$D$29)*(Inputs!$F$29-Inputs!$E$29)))</f>
        <v>5.84903335184598</v>
      </c>
      <c r="T647" s="68" t="n">
        <f aca="false">Inputs!$E$9*(1+E647)+Inputs!$E$5*C647*(Inputs!$E$11*Inputs!$E$14*(G647*I647/Inputs!$E$16+(1-G647))*K647+Inputs!$E$23*M647)*(1+O647)+Inputs!$E$5*(Q647+S647)</f>
        <v>6634.62262589515</v>
      </c>
    </row>
    <row r="648" customFormat="false" ht="15" hidden="false" customHeight="false" outlineLevel="0" collapsed="false">
      <c r="A648" s="1" t="n">
        <v>644</v>
      </c>
      <c r="B648" s="81" t="n">
        <f aca="true">RAND()</f>
        <v>0.463761893319882</v>
      </c>
      <c r="C648" s="82" t="n">
        <f aca="false">ROUND(IF(B648&lt;(Inputs!$E$8-Inputs!$D$8)/(Inputs!$F$8-Inputs!$D$8),Inputs!$D$8+SQRT(B648*(Inputs!$F$8-Inputs!$D$8)*(Inputs!$E$8-Inputs!$D$8)),Inputs!$F$8-SQRT((1-B648)*(Inputs!$F$8-Inputs!$D$8)*(Inputs!$F$8-Inputs!$E$8))),0)</f>
        <v>25</v>
      </c>
      <c r="D648" s="81" t="n">
        <f aca="true">RAND()</f>
        <v>0.532707409812313</v>
      </c>
      <c r="E648" s="83" t="n">
        <f aca="false">IF(D648&lt;(Inputs!$E$10-Inputs!$D$10)/(Inputs!$F$10-Inputs!$D$10),Inputs!$D$10+SQRT(D648*(Inputs!$F$10-Inputs!$D$10)*(Inputs!$E$10-Inputs!$D$10)),Inputs!$F$10-SQRT((1-D648)*(Inputs!$F$10-Inputs!$D$10)*(Inputs!$F$10-Inputs!$E$10)))</f>
        <v>0.0815990806385753</v>
      </c>
      <c r="F648" s="81" t="n">
        <f aca="true">RAND()</f>
        <v>0.00119341712737656</v>
      </c>
      <c r="G648" s="83" t="n">
        <f aca="false">IF(F648&lt;(Inputs!$E$15-Inputs!$D$15)/(Inputs!$F$15-Inputs!$D$15),Inputs!$D$15+SQRT(F648*(Inputs!$F$15-Inputs!$D$15)*(Inputs!$E$15-Inputs!$D$15)),Inputs!$F$15-SQRT((1-F648)*(Inputs!$F$15-Inputs!$D$15)*(Inputs!$F$15-Inputs!$E$15)))</f>
        <v>0.604885523774124</v>
      </c>
      <c r="H648" s="81" t="n">
        <f aca="true">RAND()</f>
        <v>0.312460510449785</v>
      </c>
      <c r="I648" s="82" t="n">
        <f aca="false">ROUND(IF(H648&lt;(Inputs!$E$17-Inputs!$D$17)/(Inputs!$F$17-Inputs!$D$17),Inputs!$D$17+SQRT(H648*(Inputs!$F$17-Inputs!$D$17)*(Inputs!$E$17-Inputs!$D$17)),Inputs!$F$17-SQRT((1-H648)*(Inputs!$F$17-Inputs!$D$17)*(Inputs!$F$17-Inputs!$E$17))),0)</f>
        <v>105</v>
      </c>
      <c r="J648" s="81" t="n">
        <f aca="true">RAND()</f>
        <v>0.146646893204467</v>
      </c>
      <c r="K648" s="83" t="n">
        <f aca="false">IF(J648&lt;(Inputs!$E$18-Inputs!$D$18)/(Inputs!$F$18-Inputs!$D$18),Inputs!$D$18+SQRT(J648*(Inputs!$F$18-Inputs!$D$18)*(Inputs!$E$18-Inputs!$D$18)),Inputs!$F$18-SQRT((1-J648)*(Inputs!$F$18-Inputs!$D$18)*(Inputs!$F$18-Inputs!$E$18)))</f>
        <v>0.971642454328117</v>
      </c>
      <c r="L648" s="81" t="n">
        <f aca="true">RAND()</f>
        <v>0.232525075920574</v>
      </c>
      <c r="M648" s="83" t="n">
        <f aca="false">IF(L648&lt;(Inputs!$E$24-Inputs!$D$24)/(Inputs!$F$24-Inputs!$D$24),Inputs!$D$24+SQRT(L648*(Inputs!$F$24-Inputs!$D$24)*(Inputs!$E$24-Inputs!$D$24)),Inputs!$F$24-SQRT((1-L648)*(Inputs!$F$24-Inputs!$D$24)*(Inputs!$F$24-Inputs!$E$24)))</f>
        <v>0.767041938178617</v>
      </c>
      <c r="N648" s="81" t="n">
        <f aca="true">RAND()</f>
        <v>0.550294772435006</v>
      </c>
      <c r="O648" s="83" t="n">
        <f aca="false">IF(N648&lt;(Inputs!$E$26-Inputs!$D$26)/(Inputs!$F$26-Inputs!$D$26),Inputs!$D$26+SQRT(N648*(Inputs!$F$26-Inputs!$D$26)*(Inputs!$E$26-Inputs!$D$26)),Inputs!$F$26-SQRT((1-N648)*(Inputs!$F$26-Inputs!$D$26)*(Inputs!$F$26-Inputs!$E$26)))</f>
        <v>0.602603784069507</v>
      </c>
      <c r="P648" s="81" t="n">
        <f aca="true">RAND()</f>
        <v>0.952368107874027</v>
      </c>
      <c r="Q648" s="82" t="n">
        <f aca="false">IF(P648&lt;(Inputs!$E$27-Inputs!$D$27)/(Inputs!$F$27-Inputs!$D$27),Inputs!$D$27+SQRT(P648*(Inputs!$F$27-Inputs!$D$27)*(Inputs!$E$27-Inputs!$D$27)),Inputs!$F$27-SQRT((1-P648)*(Inputs!$F$27-Inputs!$D$27)*(Inputs!$F$27-Inputs!$E$27)))</f>
        <v>131.099227768559</v>
      </c>
      <c r="R648" s="81" t="n">
        <f aca="true">RAND()</f>
        <v>0.119190475058773</v>
      </c>
      <c r="S648" s="82" t="n">
        <f aca="false">IF(R648&lt;(Inputs!$E$29-Inputs!$D$29)/(Inputs!$F$29-Inputs!$D$29),Inputs!$D$29+SQRT(R648*(Inputs!$F$29-Inputs!$D$29)*(Inputs!$E$29-Inputs!$D$29)),Inputs!$F$29-SQRT((1-R648)*(Inputs!$F$29-Inputs!$D$29)*(Inputs!$F$29-Inputs!$E$29)))</f>
        <v>4.15602145798509</v>
      </c>
      <c r="T648" s="68" t="n">
        <f aca="false">Inputs!$E$9*(1+E648)+Inputs!$E$5*C648*(Inputs!$E$11*Inputs!$E$14*(G648*I648/Inputs!$E$16+(1-G648))*K648+Inputs!$E$23*M648)*(1+O648)+Inputs!$E$5*(Q648+S648)</f>
        <v>6365.23883100488</v>
      </c>
    </row>
    <row r="649" customFormat="false" ht="15" hidden="false" customHeight="false" outlineLevel="0" collapsed="false">
      <c r="A649" s="1" t="n">
        <v>645</v>
      </c>
      <c r="B649" s="81" t="n">
        <f aca="true">RAND()</f>
        <v>0.389785334539268</v>
      </c>
      <c r="C649" s="82" t="n">
        <f aca="false">ROUND(IF(B649&lt;(Inputs!$E$8-Inputs!$D$8)/(Inputs!$F$8-Inputs!$D$8),Inputs!$D$8+SQRT(B649*(Inputs!$F$8-Inputs!$D$8)*(Inputs!$E$8-Inputs!$D$8)),Inputs!$F$8-SQRT((1-B649)*(Inputs!$F$8-Inputs!$D$8)*(Inputs!$F$8-Inputs!$E$8))),0)</f>
        <v>24</v>
      </c>
      <c r="D649" s="81" t="n">
        <f aca="true">RAND()</f>
        <v>0.428930189841438</v>
      </c>
      <c r="E649" s="83" t="n">
        <f aca="false">IF(D649&lt;(Inputs!$E$10-Inputs!$D$10)/(Inputs!$F$10-Inputs!$D$10),Inputs!$D$10+SQRT(D649*(Inputs!$F$10-Inputs!$D$10)*(Inputs!$E$10-Inputs!$D$10)),Inputs!$F$10-SQRT((1-D649)*(Inputs!$F$10-Inputs!$D$10)*(Inputs!$F$10-Inputs!$E$10)))</f>
        <v>0.0691103735785113</v>
      </c>
      <c r="F649" s="81" t="n">
        <f aca="true">RAND()</f>
        <v>0.51992299270279</v>
      </c>
      <c r="G649" s="83" t="n">
        <f aca="false">IF(F649&lt;(Inputs!$E$15-Inputs!$D$15)/(Inputs!$F$15-Inputs!$D$15),Inputs!$D$15+SQRT(F649*(Inputs!$F$15-Inputs!$D$15)*(Inputs!$E$15-Inputs!$D$15)),Inputs!$F$15-SQRT((1-F649)*(Inputs!$F$15-Inputs!$D$15)*(Inputs!$F$15-Inputs!$E$15)))</f>
        <v>0.702012551079517</v>
      </c>
      <c r="H649" s="81" t="n">
        <f aca="true">RAND()</f>
        <v>0.435922795275095</v>
      </c>
      <c r="I649" s="82" t="n">
        <f aca="false">ROUND(IF(H649&lt;(Inputs!$E$17-Inputs!$D$17)/(Inputs!$F$17-Inputs!$D$17),Inputs!$D$17+SQRT(H649*(Inputs!$F$17-Inputs!$D$17)*(Inputs!$E$17-Inputs!$D$17)),Inputs!$F$17-SQRT((1-H649)*(Inputs!$F$17-Inputs!$D$17)*(Inputs!$F$17-Inputs!$E$17))),0)</f>
        <v>106</v>
      </c>
      <c r="J649" s="81" t="n">
        <f aca="true">RAND()</f>
        <v>0.431084977117344</v>
      </c>
      <c r="K649" s="83" t="n">
        <f aca="false">IF(J649&lt;(Inputs!$E$18-Inputs!$D$18)/(Inputs!$F$18-Inputs!$D$18),Inputs!$D$18+SQRT(J649*(Inputs!$F$18-Inputs!$D$18)*(Inputs!$E$18-Inputs!$D$18)),Inputs!$F$18-SQRT((1-J649)*(Inputs!$F$18-Inputs!$D$18)*(Inputs!$F$18-Inputs!$E$18)))</f>
        <v>1.0268855349776</v>
      </c>
      <c r="L649" s="81" t="n">
        <f aca="true">RAND()</f>
        <v>0.581393012699376</v>
      </c>
      <c r="M649" s="83" t="n">
        <f aca="false">IF(L649&lt;(Inputs!$E$24-Inputs!$D$24)/(Inputs!$F$24-Inputs!$D$24),Inputs!$D$24+SQRT(L649*(Inputs!$F$24-Inputs!$D$24)*(Inputs!$E$24-Inputs!$D$24)),Inputs!$F$24-SQRT((1-L649)*(Inputs!$F$24-Inputs!$D$24)*(Inputs!$F$24-Inputs!$E$24)))</f>
        <v>0.8830367892765</v>
      </c>
      <c r="N649" s="81" t="n">
        <f aca="true">RAND()</f>
        <v>0.472288961770709</v>
      </c>
      <c r="O649" s="83" t="n">
        <f aca="false">IF(N649&lt;(Inputs!$E$26-Inputs!$D$26)/(Inputs!$F$26-Inputs!$D$26),Inputs!$D$26+SQRT(N649*(Inputs!$F$26-Inputs!$D$26)*(Inputs!$E$26-Inputs!$D$26)),Inputs!$F$26-SQRT((1-N649)*(Inputs!$F$26-Inputs!$D$26)*(Inputs!$F$26-Inputs!$E$26)))</f>
        <v>0.580337088589159</v>
      </c>
      <c r="P649" s="81" t="n">
        <f aca="true">RAND()</f>
        <v>0.743327388031525</v>
      </c>
      <c r="Q649" s="82" t="n">
        <f aca="false">IF(P649&lt;(Inputs!$E$27-Inputs!$D$27)/(Inputs!$F$27-Inputs!$D$27),Inputs!$D$27+SQRT(P649*(Inputs!$F$27-Inputs!$D$27)*(Inputs!$E$27-Inputs!$D$27)),Inputs!$F$27-SQRT((1-P649)*(Inputs!$F$27-Inputs!$D$27)*(Inputs!$F$27-Inputs!$E$27)))</f>
        <v>106.124669918466</v>
      </c>
      <c r="R649" s="81" t="n">
        <f aca="true">RAND()</f>
        <v>0.468951358104799</v>
      </c>
      <c r="S649" s="82" t="n">
        <f aca="false">IF(R649&lt;(Inputs!$E$29-Inputs!$D$29)/(Inputs!$F$29-Inputs!$D$29),Inputs!$D$29+SQRT(R649*(Inputs!$F$29-Inputs!$D$29)*(Inputs!$E$29-Inputs!$D$29)),Inputs!$F$29-SQRT((1-R649)*(Inputs!$F$29-Inputs!$D$29)*(Inputs!$F$29-Inputs!$E$29)))</f>
        <v>6.69119001021349</v>
      </c>
      <c r="T649" s="68" t="n">
        <f aca="false">Inputs!$E$9*(1+E649)+Inputs!$E$5*C649*(Inputs!$E$11*Inputs!$E$14*(G649*I649/Inputs!$E$16+(1-G649))*K649+Inputs!$E$23*M649)*(1+O649)+Inputs!$E$5*(Q649+S649)</f>
        <v>6210.44962536529</v>
      </c>
    </row>
    <row r="650" customFormat="false" ht="15" hidden="false" customHeight="false" outlineLevel="0" collapsed="false">
      <c r="A650" s="1" t="n">
        <v>646</v>
      </c>
      <c r="B650" s="81" t="n">
        <f aca="true">RAND()</f>
        <v>0.101488926722326</v>
      </c>
      <c r="C650" s="82" t="n">
        <f aca="false">ROUND(IF(B650&lt;(Inputs!$E$8-Inputs!$D$8)/(Inputs!$F$8-Inputs!$D$8),Inputs!$D$8+SQRT(B650*(Inputs!$F$8-Inputs!$D$8)*(Inputs!$E$8-Inputs!$D$8)),Inputs!$F$8-SQRT((1-B650)*(Inputs!$F$8-Inputs!$D$8)*(Inputs!$F$8-Inputs!$E$8))),0)</f>
        <v>22</v>
      </c>
      <c r="D650" s="81" t="n">
        <f aca="true">RAND()</f>
        <v>0.497650318456551</v>
      </c>
      <c r="E650" s="83" t="n">
        <f aca="false">IF(D650&lt;(Inputs!$E$10-Inputs!$D$10)/(Inputs!$F$10-Inputs!$D$10),Inputs!$D$10+SQRT(D650*(Inputs!$F$10-Inputs!$D$10)*(Inputs!$E$10-Inputs!$D$10)),Inputs!$F$10-SQRT((1-D650)*(Inputs!$F$10-Inputs!$D$10)*(Inputs!$F$10-Inputs!$E$10)))</f>
        <v>0.0772380741178134</v>
      </c>
      <c r="F650" s="81" t="n">
        <f aca="true">RAND()</f>
        <v>0.592559256623806</v>
      </c>
      <c r="G650" s="83" t="n">
        <f aca="false">IF(F650&lt;(Inputs!$E$15-Inputs!$D$15)/(Inputs!$F$15-Inputs!$D$15),Inputs!$D$15+SQRT(F650*(Inputs!$F$15-Inputs!$D$15)*(Inputs!$E$15-Inputs!$D$15)),Inputs!$F$15-SQRT((1-F650)*(Inputs!$F$15-Inputs!$D$15)*(Inputs!$F$15-Inputs!$E$15)))</f>
        <v>0.709729213654007</v>
      </c>
      <c r="H650" s="81" t="n">
        <f aca="true">RAND()</f>
        <v>0.0725115171455606</v>
      </c>
      <c r="I650" s="82" t="n">
        <f aca="false">ROUND(IF(H650&lt;(Inputs!$E$17-Inputs!$D$17)/(Inputs!$F$17-Inputs!$D$17),Inputs!$D$17+SQRT(H650*(Inputs!$F$17-Inputs!$D$17)*(Inputs!$E$17-Inputs!$D$17)),Inputs!$F$17-SQRT((1-H650)*(Inputs!$F$17-Inputs!$D$17)*(Inputs!$F$17-Inputs!$E$17))),0)</f>
        <v>102</v>
      </c>
      <c r="J650" s="81" t="n">
        <f aca="true">RAND()</f>
        <v>0.764121319498974</v>
      </c>
      <c r="K650" s="83" t="n">
        <f aca="false">IF(J650&lt;(Inputs!$E$18-Inputs!$D$18)/(Inputs!$F$18-Inputs!$D$18),Inputs!$D$18+SQRT(J650*(Inputs!$F$18-Inputs!$D$18)*(Inputs!$E$18-Inputs!$D$18)),Inputs!$F$18-SQRT((1-J650)*(Inputs!$F$18-Inputs!$D$18)*(Inputs!$F$18-Inputs!$E$18)))</f>
        <v>1.10633586201198</v>
      </c>
      <c r="L650" s="81" t="n">
        <f aca="true">RAND()</f>
        <v>0.192591176082267</v>
      </c>
      <c r="M650" s="83" t="n">
        <f aca="false">IF(L650&lt;(Inputs!$E$24-Inputs!$D$24)/(Inputs!$F$24-Inputs!$D$24),Inputs!$D$24+SQRT(L650*(Inputs!$F$24-Inputs!$D$24)*(Inputs!$E$24-Inputs!$D$24)),Inputs!$F$24-SQRT((1-L650)*(Inputs!$F$24-Inputs!$D$24)*(Inputs!$F$24-Inputs!$E$24)))</f>
        <v>0.752022830949407</v>
      </c>
      <c r="N650" s="81" t="n">
        <f aca="true">RAND()</f>
        <v>0.181226478211807</v>
      </c>
      <c r="O650" s="83" t="n">
        <f aca="false">IF(N650&lt;(Inputs!$E$26-Inputs!$D$26)/(Inputs!$F$26-Inputs!$D$26),Inputs!$D$26+SQRT(N650*(Inputs!$F$26-Inputs!$D$26)*(Inputs!$E$26-Inputs!$D$26)),Inputs!$F$26-SQRT((1-N650)*(Inputs!$F$26-Inputs!$D$26)*(Inputs!$F$26-Inputs!$E$26)))</f>
        <v>0.473655077594767</v>
      </c>
      <c r="P650" s="81" t="n">
        <f aca="true">RAND()</f>
        <v>0.545139793574755</v>
      </c>
      <c r="Q650" s="82" t="n">
        <f aca="false">IF(P650&lt;(Inputs!$E$27-Inputs!$D$27)/(Inputs!$F$27-Inputs!$D$27),Inputs!$D$27+SQRT(P650*(Inputs!$F$27-Inputs!$D$27)*(Inputs!$E$27-Inputs!$D$27)),Inputs!$F$27-SQRT((1-P650)*(Inputs!$F$27-Inputs!$D$27)*(Inputs!$F$27-Inputs!$E$27)))</f>
        <v>91.5923673807152</v>
      </c>
      <c r="R650" s="81" t="n">
        <f aca="true">RAND()</f>
        <v>0.655015707295359</v>
      </c>
      <c r="S650" s="82" t="n">
        <f aca="false">IF(R650&lt;(Inputs!$E$29-Inputs!$D$29)/(Inputs!$F$29-Inputs!$D$29),Inputs!$D$29+SQRT(R650*(Inputs!$F$29-Inputs!$D$29)*(Inputs!$E$29-Inputs!$D$29)),Inputs!$F$29-SQRT((1-R650)*(Inputs!$F$29-Inputs!$D$29)*(Inputs!$F$29-Inputs!$E$29)))</f>
        <v>8.30313819378037</v>
      </c>
      <c r="T650" s="68" t="n">
        <f aca="false">Inputs!$E$9*(1+E650)+Inputs!$E$5*C650*(Inputs!$E$11*Inputs!$E$14*(G650*I650/Inputs!$E$16+(1-G650))*K650+Inputs!$E$23*M650)*(1+O650)+Inputs!$E$5*(Q650+S650)</f>
        <v>5621.32848462543</v>
      </c>
    </row>
    <row r="651" customFormat="false" ht="15" hidden="false" customHeight="false" outlineLevel="0" collapsed="false">
      <c r="A651" s="1" t="n">
        <v>647</v>
      </c>
      <c r="B651" s="81" t="n">
        <f aca="true">RAND()</f>
        <v>0.963277747712109</v>
      </c>
      <c r="C651" s="82" t="n">
        <f aca="false">ROUND(IF(B651&lt;(Inputs!$E$8-Inputs!$D$8)/(Inputs!$F$8-Inputs!$D$8),Inputs!$D$8+SQRT(B651*(Inputs!$F$8-Inputs!$D$8)*(Inputs!$E$8-Inputs!$D$8)),Inputs!$F$8-SQRT((1-B651)*(Inputs!$F$8-Inputs!$D$8)*(Inputs!$F$8-Inputs!$E$8))),0)</f>
        <v>29</v>
      </c>
      <c r="D651" s="81" t="n">
        <f aca="true">RAND()</f>
        <v>0.0223994284398918</v>
      </c>
      <c r="E651" s="83" t="n">
        <f aca="false">IF(D651&lt;(Inputs!$E$10-Inputs!$D$10)/(Inputs!$F$10-Inputs!$D$10),Inputs!$D$10+SQRT(D651*(Inputs!$F$10-Inputs!$D$10)*(Inputs!$E$10-Inputs!$D$10)),Inputs!$F$10-SQRT((1-D651)*(Inputs!$F$10-Inputs!$D$10)*(Inputs!$F$10-Inputs!$E$10)))</f>
        <v>0.0149664386010473</v>
      </c>
      <c r="F651" s="81" t="n">
        <f aca="true">RAND()</f>
        <v>0.46536025483919</v>
      </c>
      <c r="G651" s="83" t="n">
        <f aca="false">IF(F651&lt;(Inputs!$E$15-Inputs!$D$15)/(Inputs!$F$15-Inputs!$D$15),Inputs!$D$15+SQRT(F651*(Inputs!$F$15-Inputs!$D$15)*(Inputs!$E$15-Inputs!$D$15)),Inputs!$F$15-SQRT((1-F651)*(Inputs!$F$15-Inputs!$D$15)*(Inputs!$F$15-Inputs!$E$15)))</f>
        <v>0.69647385706389</v>
      </c>
      <c r="H651" s="81" t="n">
        <f aca="true">RAND()</f>
        <v>0.45054866521246</v>
      </c>
      <c r="I651" s="82" t="n">
        <f aca="false">ROUND(IF(H651&lt;(Inputs!$E$17-Inputs!$D$17)/(Inputs!$F$17-Inputs!$D$17),Inputs!$D$17+SQRT(H651*(Inputs!$F$17-Inputs!$D$17)*(Inputs!$E$17-Inputs!$D$17)),Inputs!$F$17-SQRT((1-H651)*(Inputs!$F$17-Inputs!$D$17)*(Inputs!$F$17-Inputs!$E$17))),0)</f>
        <v>106</v>
      </c>
      <c r="J651" s="81" t="n">
        <f aca="true">RAND()</f>
        <v>0.392841141947709</v>
      </c>
      <c r="K651" s="83" t="n">
        <f aca="false">IF(J651&lt;(Inputs!$E$18-Inputs!$D$18)/(Inputs!$F$18-Inputs!$D$18),Inputs!$D$18+SQRT(J651*(Inputs!$F$18-Inputs!$D$18)*(Inputs!$E$18-Inputs!$D$18)),Inputs!$F$18-SQRT((1-J651)*(Inputs!$F$18-Inputs!$D$18)*(Inputs!$F$18-Inputs!$E$18)))</f>
        <v>1.01950835138866</v>
      </c>
      <c r="L651" s="81" t="n">
        <f aca="true">RAND()</f>
        <v>0.946749210981702</v>
      </c>
      <c r="M651" s="83" t="n">
        <f aca="false">IF(L651&lt;(Inputs!$E$24-Inputs!$D$24)/(Inputs!$F$24-Inputs!$D$24),Inputs!$D$24+SQRT(L651*(Inputs!$F$24-Inputs!$D$24)*(Inputs!$E$24-Inputs!$D$24)),Inputs!$F$24-SQRT((1-L651)*(Inputs!$F$24-Inputs!$D$24)*(Inputs!$F$24-Inputs!$E$24)))</f>
        <v>1.08695050037974</v>
      </c>
      <c r="N651" s="81" t="n">
        <f aca="true">RAND()</f>
        <v>0.236703230191528</v>
      </c>
      <c r="O651" s="83" t="n">
        <f aca="false">IF(N651&lt;(Inputs!$E$26-Inputs!$D$26)/(Inputs!$F$26-Inputs!$D$26),Inputs!$D$26+SQRT(N651*(Inputs!$F$26-Inputs!$D$26)*(Inputs!$E$26-Inputs!$D$26)),Inputs!$F$26-SQRT((1-N651)*(Inputs!$F$26-Inputs!$D$26)*(Inputs!$F$26-Inputs!$E$26)))</f>
        <v>0.498462635032064</v>
      </c>
      <c r="P651" s="81" t="n">
        <f aca="true">RAND()</f>
        <v>0.52101391575322</v>
      </c>
      <c r="Q651" s="82" t="n">
        <f aca="false">IF(P651&lt;(Inputs!$E$27-Inputs!$D$27)/(Inputs!$F$27-Inputs!$D$27),Inputs!$D$27+SQRT(P651*(Inputs!$F$27-Inputs!$D$27)*(Inputs!$E$27-Inputs!$D$27)),Inputs!$F$27-SQRT((1-P651)*(Inputs!$F$27-Inputs!$D$27)*(Inputs!$F$27-Inputs!$E$27)))</f>
        <v>90.0634032343273</v>
      </c>
      <c r="R651" s="81" t="n">
        <f aca="true">RAND()</f>
        <v>0.561371009284052</v>
      </c>
      <c r="S651" s="82" t="n">
        <f aca="false">IF(R651&lt;(Inputs!$E$29-Inputs!$D$29)/(Inputs!$F$29-Inputs!$D$29),Inputs!$D$29+SQRT(R651*(Inputs!$F$29-Inputs!$D$29)*(Inputs!$E$29-Inputs!$D$29)),Inputs!$F$29-SQRT((1-R651)*(Inputs!$F$29-Inputs!$D$29)*(Inputs!$F$29-Inputs!$E$29)))</f>
        <v>7.44872402880989</v>
      </c>
      <c r="T651" s="68" t="n">
        <f aca="false">Inputs!$E$9*(1+E651)+Inputs!$E$5*C651*(Inputs!$E$11*Inputs!$E$14*(G651*I651/Inputs!$E$16+(1-G651))*K651+Inputs!$E$23*M651)*(1+O651)+Inputs!$E$5*(Q651+S651)</f>
        <v>6801.59823863415</v>
      </c>
    </row>
    <row r="652" customFormat="false" ht="15" hidden="false" customHeight="false" outlineLevel="0" collapsed="false">
      <c r="A652" s="1" t="n">
        <v>648</v>
      </c>
      <c r="B652" s="81" t="n">
        <f aca="true">RAND()</f>
        <v>0.39992132255588</v>
      </c>
      <c r="C652" s="82" t="n">
        <f aca="false">ROUND(IF(B652&lt;(Inputs!$E$8-Inputs!$D$8)/(Inputs!$F$8-Inputs!$D$8),Inputs!$D$8+SQRT(B652*(Inputs!$F$8-Inputs!$D$8)*(Inputs!$E$8-Inputs!$D$8)),Inputs!$F$8-SQRT((1-B652)*(Inputs!$F$8-Inputs!$D$8)*(Inputs!$F$8-Inputs!$E$8))),0)</f>
        <v>24</v>
      </c>
      <c r="D652" s="81" t="n">
        <f aca="true">RAND()</f>
        <v>0.189771730638722</v>
      </c>
      <c r="E652" s="83" t="n">
        <f aca="false">IF(D652&lt;(Inputs!$E$10-Inputs!$D$10)/(Inputs!$F$10-Inputs!$D$10),Inputs!$D$10+SQRT(D652*(Inputs!$F$10-Inputs!$D$10)*(Inputs!$E$10-Inputs!$D$10)),Inputs!$F$10-SQRT((1-D652)*(Inputs!$F$10-Inputs!$D$10)*(Inputs!$F$10-Inputs!$E$10)))</f>
        <v>0.0435627972745923</v>
      </c>
      <c r="F652" s="81" t="n">
        <f aca="true">RAND()</f>
        <v>0.550677481101675</v>
      </c>
      <c r="G652" s="83" t="n">
        <f aca="false">IF(F652&lt;(Inputs!$E$15-Inputs!$D$15)/(Inputs!$F$15-Inputs!$D$15),Inputs!$D$15+SQRT(F652*(Inputs!$F$15-Inputs!$D$15)*(Inputs!$E$15-Inputs!$D$15)),Inputs!$F$15-SQRT((1-F652)*(Inputs!$F$15-Inputs!$D$15)*(Inputs!$F$15-Inputs!$E$15)))</f>
        <v>0.705203109871861</v>
      </c>
      <c r="H652" s="81" t="n">
        <f aca="true">RAND()</f>
        <v>0.393028692984894</v>
      </c>
      <c r="I652" s="82" t="n">
        <f aca="false">ROUND(IF(H652&lt;(Inputs!$E$17-Inputs!$D$17)/(Inputs!$F$17-Inputs!$D$17),Inputs!$D$17+SQRT(H652*(Inputs!$F$17-Inputs!$D$17)*(Inputs!$E$17-Inputs!$D$17)),Inputs!$F$17-SQRT((1-H652)*(Inputs!$F$17-Inputs!$D$17)*(Inputs!$F$17-Inputs!$E$17))),0)</f>
        <v>105</v>
      </c>
      <c r="J652" s="81" t="n">
        <f aca="true">RAND()</f>
        <v>0.00517365433636575</v>
      </c>
      <c r="K652" s="83" t="n">
        <f aca="false">IF(J652&lt;(Inputs!$E$18-Inputs!$D$18)/(Inputs!$F$18-Inputs!$D$18),Inputs!$D$18+SQRT(J652*(Inputs!$F$18-Inputs!$D$18)*(Inputs!$E$18-Inputs!$D$18)),Inputs!$F$18-SQRT((1-J652)*(Inputs!$F$18-Inputs!$D$18)*(Inputs!$F$18-Inputs!$E$18)))</f>
        <v>0.913456518932205</v>
      </c>
      <c r="L652" s="81" t="n">
        <f aca="true">RAND()</f>
        <v>0.514983196518243</v>
      </c>
      <c r="M652" s="83" t="n">
        <f aca="false">IF(L652&lt;(Inputs!$E$24-Inputs!$D$24)/(Inputs!$F$24-Inputs!$D$24),Inputs!$D$24+SQRT(L652*(Inputs!$F$24-Inputs!$D$24)*(Inputs!$E$24-Inputs!$D$24)),Inputs!$F$24-SQRT((1-L652)*(Inputs!$F$24-Inputs!$D$24)*(Inputs!$F$24-Inputs!$E$24)))</f>
        <v>0.858819647641278</v>
      </c>
      <c r="N652" s="81" t="n">
        <f aca="true">RAND()</f>
        <v>0.0755532908779871</v>
      </c>
      <c r="O652" s="83" t="n">
        <f aca="false">IF(N652&lt;(Inputs!$E$26-Inputs!$D$26)/(Inputs!$F$26-Inputs!$D$26),Inputs!$D$26+SQRT(N652*(Inputs!$F$26-Inputs!$D$26)*(Inputs!$E$26-Inputs!$D$26)),Inputs!$F$26-SQRT((1-N652)*(Inputs!$F$26-Inputs!$D$26)*(Inputs!$F$26-Inputs!$E$26)))</f>
        <v>0.412125231781687</v>
      </c>
      <c r="P652" s="81" t="n">
        <f aca="true">RAND()</f>
        <v>0.413835352939956</v>
      </c>
      <c r="Q652" s="82" t="n">
        <f aca="false">IF(P652&lt;(Inputs!$E$27-Inputs!$D$27)/(Inputs!$F$27-Inputs!$D$27),Inputs!$D$27+SQRT(P652*(Inputs!$F$27-Inputs!$D$27)*(Inputs!$E$27-Inputs!$D$27)),Inputs!$F$27-SQRT((1-P652)*(Inputs!$F$27-Inputs!$D$27)*(Inputs!$F$27-Inputs!$E$27)))</f>
        <v>83.6958911307125</v>
      </c>
      <c r="R652" s="81" t="n">
        <f aca="true">RAND()</f>
        <v>0.30623285144557</v>
      </c>
      <c r="S652" s="82" t="n">
        <f aca="false">IF(R652&lt;(Inputs!$E$29-Inputs!$D$29)/(Inputs!$F$29-Inputs!$D$29),Inputs!$D$29+SQRT(R652*(Inputs!$F$29-Inputs!$D$29)*(Inputs!$E$29-Inputs!$D$29)),Inputs!$F$29-SQRT((1-R652)*(Inputs!$F$29-Inputs!$D$29)*(Inputs!$F$29-Inputs!$E$29)))</f>
        <v>5.50317267125089</v>
      </c>
      <c r="T652" s="68" t="n">
        <f aca="false">Inputs!$E$9*(1+E652)+Inputs!$E$5*C652*(Inputs!$E$11*Inputs!$E$14*(G652*I652/Inputs!$E$16+(1-G652))*K652+Inputs!$E$23*M652)*(1+O652)+Inputs!$E$5*(Q652+S652)</f>
        <v>5436.61123404816</v>
      </c>
    </row>
    <row r="653" customFormat="false" ht="15" hidden="false" customHeight="false" outlineLevel="0" collapsed="false">
      <c r="A653" s="1" t="n">
        <v>649</v>
      </c>
      <c r="B653" s="81" t="n">
        <f aca="true">RAND()</f>
        <v>0.319941685865605</v>
      </c>
      <c r="C653" s="82" t="n">
        <f aca="false">ROUND(IF(B653&lt;(Inputs!$E$8-Inputs!$D$8)/(Inputs!$F$8-Inputs!$D$8),Inputs!$D$8+SQRT(B653*(Inputs!$F$8-Inputs!$D$8)*(Inputs!$E$8-Inputs!$D$8)),Inputs!$F$8-SQRT((1-B653)*(Inputs!$F$8-Inputs!$D$8)*(Inputs!$F$8-Inputs!$E$8))),0)</f>
        <v>24</v>
      </c>
      <c r="D653" s="81" t="n">
        <f aca="true">RAND()</f>
        <v>0.351562508210287</v>
      </c>
      <c r="E653" s="83" t="n">
        <f aca="false">IF(D653&lt;(Inputs!$E$10-Inputs!$D$10)/(Inputs!$F$10-Inputs!$D$10),Inputs!$D$10+SQRT(D653*(Inputs!$F$10-Inputs!$D$10)*(Inputs!$E$10-Inputs!$D$10)),Inputs!$F$10-SQRT((1-D653)*(Inputs!$F$10-Inputs!$D$10)*(Inputs!$F$10-Inputs!$E$10)))</f>
        <v>0.0605255408553544</v>
      </c>
      <c r="F653" s="81" t="n">
        <f aca="true">RAND()</f>
        <v>0.691420596681116</v>
      </c>
      <c r="G653" s="83" t="n">
        <f aca="false">IF(F653&lt;(Inputs!$E$15-Inputs!$D$15)/(Inputs!$F$15-Inputs!$D$15),Inputs!$D$15+SQRT(F653*(Inputs!$F$15-Inputs!$D$15)*(Inputs!$E$15-Inputs!$D$15)),Inputs!$F$15-SQRT((1-F653)*(Inputs!$F$15-Inputs!$D$15)*(Inputs!$F$15-Inputs!$E$15)))</f>
        <v>0.721440544385939</v>
      </c>
      <c r="H653" s="81" t="n">
        <f aca="true">RAND()</f>
        <v>0.372905946421053</v>
      </c>
      <c r="I653" s="82" t="n">
        <f aca="false">ROUND(IF(H653&lt;(Inputs!$E$17-Inputs!$D$17)/(Inputs!$F$17-Inputs!$D$17),Inputs!$D$17+SQRT(H653*(Inputs!$F$17-Inputs!$D$17)*(Inputs!$E$17-Inputs!$D$17)),Inputs!$F$17-SQRT((1-H653)*(Inputs!$F$17-Inputs!$D$17)*(Inputs!$F$17-Inputs!$E$17))),0)</f>
        <v>105</v>
      </c>
      <c r="J653" s="81" t="n">
        <f aca="true">RAND()</f>
        <v>0.537721964633523</v>
      </c>
      <c r="K653" s="83" t="n">
        <f aca="false">IF(J653&lt;(Inputs!$E$18-Inputs!$D$18)/(Inputs!$F$18-Inputs!$D$18),Inputs!$D$18+SQRT(J653*(Inputs!$F$18-Inputs!$D$18)*(Inputs!$E$18-Inputs!$D$18)),Inputs!$F$18-SQRT((1-J653)*(Inputs!$F$18-Inputs!$D$18)*(Inputs!$F$18-Inputs!$E$18)))</f>
        <v>1.04887981678965</v>
      </c>
      <c r="L653" s="81" t="n">
        <f aca="true">RAND()</f>
        <v>0.82300274343487</v>
      </c>
      <c r="M653" s="83" t="n">
        <f aca="false">IF(L653&lt;(Inputs!$E$24-Inputs!$D$24)/(Inputs!$F$24-Inputs!$D$24),Inputs!$D$24+SQRT(L653*(Inputs!$F$24-Inputs!$D$24)*(Inputs!$E$24-Inputs!$D$24)),Inputs!$F$24-SQRT((1-L653)*(Inputs!$F$24-Inputs!$D$24)*(Inputs!$F$24-Inputs!$E$24)))</f>
        <v>0.993894828847913</v>
      </c>
      <c r="N653" s="81" t="n">
        <f aca="true">RAND()</f>
        <v>0.662847774548585</v>
      </c>
      <c r="O653" s="83" t="n">
        <f aca="false">IF(N653&lt;(Inputs!$E$26-Inputs!$D$26)/(Inputs!$F$26-Inputs!$D$26),Inputs!$D$26+SQRT(N653*(Inputs!$F$26-Inputs!$D$26)*(Inputs!$E$26-Inputs!$D$26)),Inputs!$F$26-SQRT((1-N653)*(Inputs!$F$26-Inputs!$D$26)*(Inputs!$F$26-Inputs!$E$26)))</f>
        <v>0.632746611654296</v>
      </c>
      <c r="P653" s="81" t="n">
        <f aca="true">RAND()</f>
        <v>0.349554726822245</v>
      </c>
      <c r="Q653" s="82" t="n">
        <f aca="false">IF(P653&lt;(Inputs!$E$27-Inputs!$D$27)/(Inputs!$F$27-Inputs!$D$27),Inputs!$D$27+SQRT(P653*(Inputs!$F$27-Inputs!$D$27)*(Inputs!$E$27-Inputs!$D$27)),Inputs!$F$27-SQRT((1-P653)*(Inputs!$F$27-Inputs!$D$27)*(Inputs!$F$27-Inputs!$E$27)))</f>
        <v>80.1548888694909</v>
      </c>
      <c r="R653" s="81" t="n">
        <f aca="true">RAND()</f>
        <v>0.157813697338674</v>
      </c>
      <c r="S653" s="82" t="n">
        <f aca="false">IF(R653&lt;(Inputs!$E$29-Inputs!$D$29)/(Inputs!$F$29-Inputs!$D$29),Inputs!$D$29+SQRT(R653*(Inputs!$F$29-Inputs!$D$29)*(Inputs!$E$29-Inputs!$D$29)),Inputs!$F$29-SQRT((1-R653)*(Inputs!$F$29-Inputs!$D$29)*(Inputs!$F$29-Inputs!$E$29)))</f>
        <v>4.48087367598762</v>
      </c>
      <c r="T653" s="68" t="n">
        <f aca="false">Inputs!$E$9*(1+E653)+Inputs!$E$5*C653*(Inputs!$E$11*Inputs!$E$14*(G653*I653/Inputs!$E$16+(1-G653))*K653+Inputs!$E$23*M653)*(1+O653)+Inputs!$E$5*(Q653+S653)</f>
        <v>6322.65957302514</v>
      </c>
    </row>
    <row r="654" customFormat="false" ht="15" hidden="false" customHeight="false" outlineLevel="0" collapsed="false">
      <c r="A654" s="1" t="n">
        <v>650</v>
      </c>
      <c r="B654" s="81" t="n">
        <f aca="true">RAND()</f>
        <v>0.795135032612486</v>
      </c>
      <c r="C654" s="82" t="n">
        <f aca="false">ROUND(IF(B654&lt;(Inputs!$E$8-Inputs!$D$8)/(Inputs!$F$8-Inputs!$D$8),Inputs!$D$8+SQRT(B654*(Inputs!$F$8-Inputs!$D$8)*(Inputs!$E$8-Inputs!$D$8)),Inputs!$F$8-SQRT((1-B654)*(Inputs!$F$8-Inputs!$D$8)*(Inputs!$F$8-Inputs!$E$8))),0)</f>
        <v>27</v>
      </c>
      <c r="D654" s="81" t="n">
        <f aca="true">RAND()</f>
        <v>0.200758105102834</v>
      </c>
      <c r="E654" s="83" t="n">
        <f aca="false">IF(D654&lt;(Inputs!$E$10-Inputs!$D$10)/(Inputs!$F$10-Inputs!$D$10),Inputs!$D$10+SQRT(D654*(Inputs!$F$10-Inputs!$D$10)*(Inputs!$E$10-Inputs!$D$10)),Inputs!$F$10-SQRT((1-D654)*(Inputs!$F$10-Inputs!$D$10)*(Inputs!$F$10-Inputs!$E$10)))</f>
        <v>0.0448060381090355</v>
      </c>
      <c r="F654" s="81" t="n">
        <f aca="true">RAND()</f>
        <v>0.550866740195285</v>
      </c>
      <c r="G654" s="83" t="n">
        <f aca="false">IF(F654&lt;(Inputs!$E$15-Inputs!$D$15)/(Inputs!$F$15-Inputs!$D$15),Inputs!$D$15+SQRT(F654*(Inputs!$F$15-Inputs!$D$15)*(Inputs!$E$15-Inputs!$D$15)),Inputs!$F$15-SQRT((1-F654)*(Inputs!$F$15-Inputs!$D$15)*(Inputs!$F$15-Inputs!$E$15)))</f>
        <v>0.705223076668979</v>
      </c>
      <c r="H654" s="81" t="n">
        <f aca="true">RAND()</f>
        <v>0.0849858144516273</v>
      </c>
      <c r="I654" s="82" t="n">
        <f aca="false">ROUND(IF(H654&lt;(Inputs!$E$17-Inputs!$D$17)/(Inputs!$F$17-Inputs!$D$17),Inputs!$D$17+SQRT(H654*(Inputs!$F$17-Inputs!$D$17)*(Inputs!$E$17-Inputs!$D$17)),Inputs!$F$17-SQRT((1-H654)*(Inputs!$F$17-Inputs!$D$17)*(Inputs!$F$17-Inputs!$E$17))),0)</f>
        <v>103</v>
      </c>
      <c r="J654" s="81" t="n">
        <f aca="true">RAND()</f>
        <v>0.70637836715967</v>
      </c>
      <c r="K654" s="83" t="n">
        <f aca="false">IF(J654&lt;(Inputs!$E$18-Inputs!$D$18)/(Inputs!$F$18-Inputs!$D$18),Inputs!$D$18+SQRT(J654*(Inputs!$F$18-Inputs!$D$18)*(Inputs!$E$18-Inputs!$D$18)),Inputs!$F$18-SQRT((1-J654)*(Inputs!$F$18-Inputs!$D$18)*(Inputs!$F$18-Inputs!$E$18)))</f>
        <v>1.08971309200833</v>
      </c>
      <c r="L654" s="81" t="n">
        <f aca="true">RAND()</f>
        <v>0.684986801312492</v>
      </c>
      <c r="M654" s="83" t="n">
        <f aca="false">IF(L654&lt;(Inputs!$E$24-Inputs!$D$24)/(Inputs!$F$24-Inputs!$D$24),Inputs!$D$24+SQRT(L654*(Inputs!$F$24-Inputs!$D$24)*(Inputs!$E$24-Inputs!$D$24)),Inputs!$F$24-SQRT((1-L654)*(Inputs!$F$24-Inputs!$D$24)*(Inputs!$F$24-Inputs!$E$24)))</f>
        <v>0.925039697983505</v>
      </c>
      <c r="N654" s="81" t="n">
        <f aca="true">RAND()</f>
        <v>0.658161641792628</v>
      </c>
      <c r="O654" s="83" t="n">
        <f aca="false">IF(N654&lt;(Inputs!$E$26-Inputs!$D$26)/(Inputs!$F$26-Inputs!$D$26),Inputs!$D$26+SQRT(N654*(Inputs!$F$26-Inputs!$D$26)*(Inputs!$E$26-Inputs!$D$26)),Inputs!$F$26-SQRT((1-N654)*(Inputs!$F$26-Inputs!$D$26)*(Inputs!$F$26-Inputs!$E$26)))</f>
        <v>0.631449769945601</v>
      </c>
      <c r="P654" s="81" t="n">
        <f aca="true">RAND()</f>
        <v>0.685012775718578</v>
      </c>
      <c r="Q654" s="82" t="n">
        <f aca="false">IF(P654&lt;(Inputs!$E$27-Inputs!$D$27)/(Inputs!$F$27-Inputs!$D$27),Inputs!$D$27+SQRT(P654*(Inputs!$F$27-Inputs!$D$27)*(Inputs!$E$27-Inputs!$D$27)),Inputs!$F$27-SQRT((1-P654)*(Inputs!$F$27-Inputs!$D$27)*(Inputs!$F$27-Inputs!$E$27)))</f>
        <v>101.395430440023</v>
      </c>
      <c r="R654" s="81" t="n">
        <f aca="true">RAND()</f>
        <v>0.0199338013835701</v>
      </c>
      <c r="S654" s="82" t="n">
        <f aca="false">IF(R654&lt;(Inputs!$E$29-Inputs!$D$29)/(Inputs!$F$29-Inputs!$D$29),Inputs!$D$29+SQRT(R654*(Inputs!$F$29-Inputs!$D$29)*(Inputs!$E$29-Inputs!$D$29)),Inputs!$F$29-SQRT((1-R654)*(Inputs!$F$29-Inputs!$D$29)*(Inputs!$F$29-Inputs!$E$29)))</f>
        <v>2.88171324928189</v>
      </c>
      <c r="T654" s="68" t="n">
        <f aca="false">Inputs!$E$9*(1+E654)+Inputs!$E$5*C654*(Inputs!$E$11*Inputs!$E$14*(G654*I654/Inputs!$E$16+(1-G654))*K654+Inputs!$E$23*M654)*(1+O654)+Inputs!$E$5*(Q654+S654)</f>
        <v>6813.80244398047</v>
      </c>
    </row>
    <row r="655" customFormat="false" ht="15" hidden="false" customHeight="false" outlineLevel="0" collapsed="false">
      <c r="A655" s="1" t="n">
        <v>651</v>
      </c>
      <c r="B655" s="81" t="n">
        <f aca="true">RAND()</f>
        <v>0.213604862738067</v>
      </c>
      <c r="C655" s="82" t="n">
        <f aca="false">ROUND(IF(B655&lt;(Inputs!$E$8-Inputs!$D$8)/(Inputs!$F$8-Inputs!$D$8),Inputs!$D$8+SQRT(B655*(Inputs!$F$8-Inputs!$D$8)*(Inputs!$E$8-Inputs!$D$8)),Inputs!$F$8-SQRT((1-B655)*(Inputs!$F$8-Inputs!$D$8)*(Inputs!$F$8-Inputs!$E$8))),0)</f>
        <v>23</v>
      </c>
      <c r="D655" s="81" t="n">
        <f aca="true">RAND()</f>
        <v>0.465126211872458</v>
      </c>
      <c r="E655" s="83" t="n">
        <f aca="false">IF(D655&lt;(Inputs!$E$10-Inputs!$D$10)/(Inputs!$F$10-Inputs!$D$10),Inputs!$D$10+SQRT(D655*(Inputs!$F$10-Inputs!$D$10)*(Inputs!$E$10-Inputs!$D$10)),Inputs!$F$10-SQRT((1-D655)*(Inputs!$F$10-Inputs!$D$10)*(Inputs!$F$10-Inputs!$E$10)))</f>
        <v>0.0733263498440727</v>
      </c>
      <c r="F655" s="81" t="n">
        <f aca="true">RAND()</f>
        <v>0.00961831653181415</v>
      </c>
      <c r="G655" s="83" t="n">
        <f aca="false">IF(F655&lt;(Inputs!$E$15-Inputs!$D$15)/(Inputs!$F$15-Inputs!$D$15),Inputs!$D$15+SQRT(F655*(Inputs!$F$15-Inputs!$D$15)*(Inputs!$E$15-Inputs!$D$15)),Inputs!$F$15-SQRT((1-F655)*(Inputs!$F$15-Inputs!$D$15)*(Inputs!$F$15-Inputs!$E$15)))</f>
        <v>0.613869618979492</v>
      </c>
      <c r="H655" s="81" t="n">
        <f aca="true">RAND()</f>
        <v>0.45433795665071</v>
      </c>
      <c r="I655" s="82" t="n">
        <f aca="false">ROUND(IF(H655&lt;(Inputs!$E$17-Inputs!$D$17)/(Inputs!$F$17-Inputs!$D$17),Inputs!$D$17+SQRT(H655*(Inputs!$F$17-Inputs!$D$17)*(Inputs!$E$17-Inputs!$D$17)),Inputs!$F$17-SQRT((1-H655)*(Inputs!$F$17-Inputs!$D$17)*(Inputs!$F$17-Inputs!$E$17))),0)</f>
        <v>106</v>
      </c>
      <c r="J655" s="81" t="n">
        <f aca="true">RAND()</f>
        <v>0.24511538376544</v>
      </c>
      <c r="K655" s="83" t="n">
        <f aca="false">IF(J655&lt;(Inputs!$E$18-Inputs!$D$18)/(Inputs!$F$18-Inputs!$D$18),Inputs!$D$18+SQRT(J655*(Inputs!$F$18-Inputs!$D$18)*(Inputs!$E$18-Inputs!$D$18)),Inputs!$F$18-SQRT((1-J655)*(Inputs!$F$18-Inputs!$D$18)*(Inputs!$F$18-Inputs!$E$18)))</f>
        <v>0.992623098802569</v>
      </c>
      <c r="L655" s="81" t="n">
        <f aca="true">RAND()</f>
        <v>0.445165213528957</v>
      </c>
      <c r="M655" s="83" t="n">
        <f aca="false">IF(L655&lt;(Inputs!$E$24-Inputs!$D$24)/(Inputs!$F$24-Inputs!$D$24),Inputs!$D$24+SQRT(L655*(Inputs!$F$24-Inputs!$D$24)*(Inputs!$E$24-Inputs!$D$24)),Inputs!$F$24-SQRT((1-L655)*(Inputs!$F$24-Inputs!$D$24)*(Inputs!$F$24-Inputs!$E$24)))</f>
        <v>0.835088574099069</v>
      </c>
      <c r="N655" s="81" t="n">
        <f aca="true">RAND()</f>
        <v>0.299236472810609</v>
      </c>
      <c r="O655" s="83" t="n">
        <f aca="false">IF(N655&lt;(Inputs!$E$26-Inputs!$D$26)/(Inputs!$F$26-Inputs!$D$26),Inputs!$D$26+SQRT(N655*(Inputs!$F$26-Inputs!$D$26)*(Inputs!$E$26-Inputs!$D$26)),Inputs!$F$26-SQRT((1-N655)*(Inputs!$F$26-Inputs!$D$26)*(Inputs!$F$26-Inputs!$E$26)))</f>
        <v>0.523143337511308</v>
      </c>
      <c r="P655" s="81" t="n">
        <f aca="true">RAND()</f>
        <v>0.425238314092602</v>
      </c>
      <c r="Q655" s="82" t="n">
        <f aca="false">IF(P655&lt;(Inputs!$E$27-Inputs!$D$27)/(Inputs!$F$27-Inputs!$D$27),Inputs!$D$27+SQRT(P655*(Inputs!$F$27-Inputs!$D$27)*(Inputs!$E$27-Inputs!$D$27)),Inputs!$F$27-SQRT((1-P655)*(Inputs!$F$27-Inputs!$D$27)*(Inputs!$F$27-Inputs!$E$27)))</f>
        <v>84.3439824212168</v>
      </c>
      <c r="R655" s="81" t="n">
        <f aca="true">RAND()</f>
        <v>0.53190602092952</v>
      </c>
      <c r="S655" s="82" t="n">
        <f aca="false">IF(R655&lt;(Inputs!$E$29-Inputs!$D$29)/(Inputs!$F$29-Inputs!$D$29),Inputs!$D$29+SQRT(R655*(Inputs!$F$29-Inputs!$D$29)*(Inputs!$E$29-Inputs!$D$29)),Inputs!$F$29-SQRT((1-R655)*(Inputs!$F$29-Inputs!$D$29)*(Inputs!$F$29-Inputs!$E$29)))</f>
        <v>7.19921688039192</v>
      </c>
      <c r="T655" s="68" t="n">
        <f aca="false">Inputs!$E$9*(1+E655)+Inputs!$E$5*C655*(Inputs!$E$11*Inputs!$E$14*(G655*I655/Inputs!$E$16+(1-G655))*K655+Inputs!$E$23*M655)*(1+O655)+Inputs!$E$5*(Q655+S655)</f>
        <v>5838.02828524931</v>
      </c>
    </row>
    <row r="656" customFormat="false" ht="15" hidden="false" customHeight="false" outlineLevel="0" collapsed="false">
      <c r="A656" s="1" t="n">
        <v>652</v>
      </c>
      <c r="B656" s="81" t="n">
        <f aca="true">RAND()</f>
        <v>0.101995691132789</v>
      </c>
      <c r="C656" s="82" t="n">
        <f aca="false">ROUND(IF(B656&lt;(Inputs!$E$8-Inputs!$D$8)/(Inputs!$F$8-Inputs!$D$8),Inputs!$D$8+SQRT(B656*(Inputs!$F$8-Inputs!$D$8)*(Inputs!$E$8-Inputs!$D$8)),Inputs!$F$8-SQRT((1-B656)*(Inputs!$F$8-Inputs!$D$8)*(Inputs!$F$8-Inputs!$E$8))),0)</f>
        <v>22</v>
      </c>
      <c r="D656" s="81" t="n">
        <f aca="true">RAND()</f>
        <v>0.374467400587856</v>
      </c>
      <c r="E656" s="83" t="n">
        <f aca="false">IF(D656&lt;(Inputs!$E$10-Inputs!$D$10)/(Inputs!$F$10-Inputs!$D$10),Inputs!$D$10+SQRT(D656*(Inputs!$F$10-Inputs!$D$10)*(Inputs!$E$10-Inputs!$D$10)),Inputs!$F$10-SQRT((1-D656)*(Inputs!$F$10-Inputs!$D$10)*(Inputs!$F$10-Inputs!$E$10)))</f>
        <v>0.0630110297054383</v>
      </c>
      <c r="F656" s="81" t="n">
        <f aca="true">RAND()</f>
        <v>0.444338886656926</v>
      </c>
      <c r="G656" s="83" t="n">
        <f aca="false">IF(F656&lt;(Inputs!$E$15-Inputs!$D$15)/(Inputs!$F$15-Inputs!$D$15),Inputs!$D$15+SQRT(F656*(Inputs!$F$15-Inputs!$D$15)*(Inputs!$E$15-Inputs!$D$15)),Inputs!$F$15-SQRT((1-F656)*(Inputs!$F$15-Inputs!$D$15)*(Inputs!$F$15-Inputs!$E$15)))</f>
        <v>0.694269707399241</v>
      </c>
      <c r="H656" s="81" t="n">
        <f aca="true">RAND()</f>
        <v>0.968214072734374</v>
      </c>
      <c r="I656" s="82" t="n">
        <f aca="false">ROUND(IF(H656&lt;(Inputs!$E$17-Inputs!$D$17)/(Inputs!$F$17-Inputs!$D$17),Inputs!$D$17+SQRT(H656*(Inputs!$F$17-Inputs!$D$17)*(Inputs!$E$17-Inputs!$D$17)),Inputs!$F$17-SQRT((1-H656)*(Inputs!$F$17-Inputs!$D$17)*(Inputs!$F$17-Inputs!$E$17))),0)</f>
        <v>113</v>
      </c>
      <c r="J656" s="81" t="n">
        <f aca="true">RAND()</f>
        <v>0.722048662909242</v>
      </c>
      <c r="K656" s="83" t="n">
        <f aca="false">IF(J656&lt;(Inputs!$E$18-Inputs!$D$18)/(Inputs!$F$18-Inputs!$D$18),Inputs!$D$18+SQRT(J656*(Inputs!$F$18-Inputs!$D$18)*(Inputs!$E$18-Inputs!$D$18)),Inputs!$F$18-SQRT((1-J656)*(Inputs!$F$18-Inputs!$D$18)*(Inputs!$F$18-Inputs!$E$18)))</f>
        <v>1.09404891152851</v>
      </c>
      <c r="L656" s="81" t="n">
        <f aca="true">RAND()</f>
        <v>0.477396948698661</v>
      </c>
      <c r="M656" s="83" t="n">
        <f aca="false">IF(L656&lt;(Inputs!$E$24-Inputs!$D$24)/(Inputs!$F$24-Inputs!$D$24),Inputs!$D$24+SQRT(L656*(Inputs!$F$24-Inputs!$D$24)*(Inputs!$E$24-Inputs!$D$24)),Inputs!$F$24-SQRT((1-L656)*(Inputs!$F$24-Inputs!$D$24)*(Inputs!$F$24-Inputs!$E$24)))</f>
        <v>0.845846456586523</v>
      </c>
      <c r="N656" s="81" t="n">
        <f aca="true">RAND()</f>
        <v>0.415066140199321</v>
      </c>
      <c r="O656" s="83" t="n">
        <f aca="false">IF(N656&lt;(Inputs!$E$26-Inputs!$D$26)/(Inputs!$F$26-Inputs!$D$26),Inputs!$D$26+SQRT(N656*(Inputs!$F$26-Inputs!$D$26)*(Inputs!$E$26-Inputs!$D$26)),Inputs!$F$26-SQRT((1-N656)*(Inputs!$F$26-Inputs!$D$26)*(Inputs!$F$26-Inputs!$E$26)))</f>
        <v>0.562806023007783</v>
      </c>
      <c r="P656" s="81" t="n">
        <f aca="true">RAND()</f>
        <v>0.0524638527406353</v>
      </c>
      <c r="Q656" s="82" t="n">
        <f aca="false">IF(P656&lt;(Inputs!$E$27-Inputs!$D$27)/(Inputs!$F$27-Inputs!$D$27),Inputs!$D$27+SQRT(P656*(Inputs!$F$27-Inputs!$D$27)*(Inputs!$E$27-Inputs!$D$27)),Inputs!$F$27-SQRT((1-P656)*(Inputs!$F$27-Inputs!$D$27)*(Inputs!$F$27-Inputs!$E$27)))</f>
        <v>61.4524945689395</v>
      </c>
      <c r="R656" s="81" t="n">
        <f aca="true">RAND()</f>
        <v>0.532940598546428</v>
      </c>
      <c r="S656" s="82" t="n">
        <f aca="false">IF(R656&lt;(Inputs!$E$29-Inputs!$D$29)/(Inputs!$F$29-Inputs!$D$29),Inputs!$D$29+SQRT(R656*(Inputs!$F$29-Inputs!$D$29)*(Inputs!$E$29-Inputs!$D$29)),Inputs!$F$29-SQRT((1-R656)*(Inputs!$F$29-Inputs!$D$29)*(Inputs!$F$29-Inputs!$E$29)))</f>
        <v>7.20784226359834</v>
      </c>
      <c r="T656" s="68" t="n">
        <f aca="false">Inputs!$E$9*(1+E656)+Inputs!$E$5*C656*(Inputs!$E$11*Inputs!$E$14*(G656*I656/Inputs!$E$16+(1-G656))*K656+Inputs!$E$23*M656)*(1+O656)+Inputs!$E$5*(Q656+S656)</f>
        <v>5832.84265101886</v>
      </c>
    </row>
    <row r="657" customFormat="false" ht="15" hidden="false" customHeight="false" outlineLevel="0" collapsed="false">
      <c r="A657" s="1" t="n">
        <v>653</v>
      </c>
      <c r="B657" s="81" t="n">
        <f aca="true">RAND()</f>
        <v>0.166581647746355</v>
      </c>
      <c r="C657" s="82" t="n">
        <f aca="false">ROUND(IF(B657&lt;(Inputs!$E$8-Inputs!$D$8)/(Inputs!$F$8-Inputs!$D$8),Inputs!$D$8+SQRT(B657*(Inputs!$F$8-Inputs!$D$8)*(Inputs!$E$8-Inputs!$D$8)),Inputs!$F$8-SQRT((1-B657)*(Inputs!$F$8-Inputs!$D$8)*(Inputs!$F$8-Inputs!$E$8))),0)</f>
        <v>23</v>
      </c>
      <c r="D657" s="81" t="n">
        <f aca="true">RAND()</f>
        <v>0.224558722887019</v>
      </c>
      <c r="E657" s="83" t="n">
        <f aca="false">IF(D657&lt;(Inputs!$E$10-Inputs!$D$10)/(Inputs!$F$10-Inputs!$D$10),Inputs!$D$10+SQRT(D657*(Inputs!$F$10-Inputs!$D$10)*(Inputs!$E$10-Inputs!$D$10)),Inputs!$F$10-SQRT((1-D657)*(Inputs!$F$10-Inputs!$D$10)*(Inputs!$F$10-Inputs!$E$10)))</f>
        <v>0.0473876273817353</v>
      </c>
      <c r="F657" s="81" t="n">
        <f aca="true">RAND()</f>
        <v>0.627561836524679</v>
      </c>
      <c r="G657" s="83" t="n">
        <f aca="false">IF(F657&lt;(Inputs!$E$15-Inputs!$D$15)/(Inputs!$F$15-Inputs!$D$15),Inputs!$D$15+SQRT(F657*(Inputs!$F$15-Inputs!$D$15)*(Inputs!$E$15-Inputs!$D$15)),Inputs!$F$15-SQRT((1-F657)*(Inputs!$F$15-Inputs!$D$15)*(Inputs!$F$15-Inputs!$E$15)))</f>
        <v>0.713693781976578</v>
      </c>
      <c r="H657" s="81" t="n">
        <f aca="true">RAND()</f>
        <v>0.932621442608765</v>
      </c>
      <c r="I657" s="82" t="n">
        <f aca="false">ROUND(IF(H657&lt;(Inputs!$E$17-Inputs!$D$17)/(Inputs!$F$17-Inputs!$D$17),Inputs!$D$17+SQRT(H657*(Inputs!$F$17-Inputs!$D$17)*(Inputs!$E$17-Inputs!$D$17)),Inputs!$F$17-SQRT((1-H657)*(Inputs!$F$17-Inputs!$D$17)*(Inputs!$F$17-Inputs!$E$17))),0)</f>
        <v>112</v>
      </c>
      <c r="J657" s="81" t="n">
        <f aca="true">RAND()</f>
        <v>0.0872515359811086</v>
      </c>
      <c r="K657" s="83" t="n">
        <f aca="false">IF(J657&lt;(Inputs!$E$18-Inputs!$D$18)/(Inputs!$F$18-Inputs!$D$18),Inputs!$D$18+SQRT(J657*(Inputs!$F$18-Inputs!$D$18)*(Inputs!$E$18-Inputs!$D$18)),Inputs!$F$18-SQRT((1-J657)*(Inputs!$F$18-Inputs!$D$18)*(Inputs!$F$18-Inputs!$E$18)))</f>
        <v>0.955261231974494</v>
      </c>
      <c r="L657" s="81" t="n">
        <f aca="true">RAND()</f>
        <v>0.469622482178306</v>
      </c>
      <c r="M657" s="83" t="n">
        <f aca="false">IF(L657&lt;(Inputs!$E$24-Inputs!$D$24)/(Inputs!$F$24-Inputs!$D$24),Inputs!$D$24+SQRT(L657*(Inputs!$F$24-Inputs!$D$24)*(Inputs!$E$24-Inputs!$D$24)),Inputs!$F$24-SQRT((1-L657)*(Inputs!$F$24-Inputs!$D$24)*(Inputs!$F$24-Inputs!$E$24)))</f>
        <v>0.843221911719334</v>
      </c>
      <c r="N657" s="81" t="n">
        <f aca="true">RAND()</f>
        <v>0.922870228243121</v>
      </c>
      <c r="O657" s="83" t="n">
        <f aca="false">IF(N657&lt;(Inputs!$E$26-Inputs!$D$26)/(Inputs!$F$26-Inputs!$D$26),Inputs!$D$26+SQRT(N657*(Inputs!$F$26-Inputs!$D$26)*(Inputs!$E$26-Inputs!$D$26)),Inputs!$F$26-SQRT((1-N657)*(Inputs!$F$26-Inputs!$D$26)*(Inputs!$F$26-Inputs!$E$26)))</f>
        <v>0.730437193753682</v>
      </c>
      <c r="P657" s="81" t="n">
        <f aca="true">RAND()</f>
        <v>0.398086315396366</v>
      </c>
      <c r="Q657" s="82" t="n">
        <f aca="false">IF(P657&lt;(Inputs!$E$27-Inputs!$D$27)/(Inputs!$F$27-Inputs!$D$27),Inputs!$D$27+SQRT(P657*(Inputs!$F$27-Inputs!$D$27)*(Inputs!$E$27-Inputs!$D$27)),Inputs!$F$27-SQRT((1-P657)*(Inputs!$F$27-Inputs!$D$27)*(Inputs!$F$27-Inputs!$E$27)))</f>
        <v>82.8110676187867</v>
      </c>
      <c r="R657" s="81" t="n">
        <f aca="true">RAND()</f>
        <v>0.378963452254714</v>
      </c>
      <c r="S657" s="82" t="n">
        <f aca="false">IF(R657&lt;(Inputs!$E$29-Inputs!$D$29)/(Inputs!$F$29-Inputs!$D$29),Inputs!$D$29+SQRT(R657*(Inputs!$F$29-Inputs!$D$29)*(Inputs!$E$29-Inputs!$D$29)),Inputs!$F$29-SQRT((1-R657)*(Inputs!$F$29-Inputs!$D$29)*(Inputs!$F$29-Inputs!$E$29)))</f>
        <v>6.01474812779925</v>
      </c>
      <c r="T657" s="68" t="n">
        <f aca="false">Inputs!$E$9*(1+E657)+Inputs!$E$5*C657*(Inputs!$E$11*Inputs!$E$14*(G657*I657/Inputs!$E$16+(1-G657))*K657+Inputs!$E$23*M657)*(1+O657)+Inputs!$E$5*(Q657+S657)</f>
        <v>6048.25274718017</v>
      </c>
    </row>
    <row r="658" customFormat="false" ht="15" hidden="false" customHeight="false" outlineLevel="0" collapsed="false">
      <c r="A658" s="1" t="n">
        <v>654</v>
      </c>
      <c r="B658" s="81" t="n">
        <f aca="true">RAND()</f>
        <v>0.344717166576879</v>
      </c>
      <c r="C658" s="82" t="n">
        <f aca="false">ROUND(IF(B658&lt;(Inputs!$E$8-Inputs!$D$8)/(Inputs!$F$8-Inputs!$D$8),Inputs!$D$8+SQRT(B658*(Inputs!$F$8-Inputs!$D$8)*(Inputs!$E$8-Inputs!$D$8)),Inputs!$F$8-SQRT((1-B658)*(Inputs!$F$8-Inputs!$D$8)*(Inputs!$F$8-Inputs!$E$8))),0)</f>
        <v>24</v>
      </c>
      <c r="D658" s="81" t="n">
        <f aca="true">RAND()</f>
        <v>0.538125304229882</v>
      </c>
      <c r="E658" s="83" t="n">
        <f aca="false">IF(D658&lt;(Inputs!$E$10-Inputs!$D$10)/(Inputs!$F$10-Inputs!$D$10),Inputs!$D$10+SQRT(D658*(Inputs!$F$10-Inputs!$D$10)*(Inputs!$E$10-Inputs!$D$10)),Inputs!$F$10-SQRT((1-D658)*(Inputs!$F$10-Inputs!$D$10)*(Inputs!$F$10-Inputs!$E$10)))</f>
        <v>0.082287465097792</v>
      </c>
      <c r="F658" s="81" t="n">
        <f aca="true">RAND()</f>
        <v>0.586761362348812</v>
      </c>
      <c r="G658" s="83" t="n">
        <f aca="false">IF(F658&lt;(Inputs!$E$15-Inputs!$D$15)/(Inputs!$F$15-Inputs!$D$15),Inputs!$D$15+SQRT(F658*(Inputs!$F$15-Inputs!$D$15)*(Inputs!$E$15-Inputs!$D$15)),Inputs!$F$15-SQRT((1-F658)*(Inputs!$F$15-Inputs!$D$15)*(Inputs!$F$15-Inputs!$E$15)))</f>
        <v>0.709089204419806</v>
      </c>
      <c r="H658" s="81" t="n">
        <f aca="true">RAND()</f>
        <v>0.610211743209685</v>
      </c>
      <c r="I658" s="82" t="n">
        <f aca="false">ROUND(IF(H658&lt;(Inputs!$E$17-Inputs!$D$17)/(Inputs!$F$17-Inputs!$D$17),Inputs!$D$17+SQRT(H658*(Inputs!$F$17-Inputs!$D$17)*(Inputs!$E$17-Inputs!$D$17)),Inputs!$F$17-SQRT((1-H658)*(Inputs!$F$17-Inputs!$D$17)*(Inputs!$F$17-Inputs!$E$17))),0)</f>
        <v>107</v>
      </c>
      <c r="J658" s="81" t="n">
        <f aca="true">RAND()</f>
        <v>0.139922405292207</v>
      </c>
      <c r="K658" s="83" t="n">
        <f aca="false">IF(J658&lt;(Inputs!$E$18-Inputs!$D$18)/(Inputs!$F$18-Inputs!$D$18),Inputs!$D$18+SQRT(J658*(Inputs!$F$18-Inputs!$D$18)*(Inputs!$E$18-Inputs!$D$18)),Inputs!$F$18-SQRT((1-J658)*(Inputs!$F$18-Inputs!$D$18)*(Inputs!$F$18-Inputs!$E$18)))</f>
        <v>0.969980598634388</v>
      </c>
      <c r="L658" s="81" t="n">
        <f aca="true">RAND()</f>
        <v>0.838966390639231</v>
      </c>
      <c r="M658" s="83" t="n">
        <f aca="false">IF(L658&lt;(Inputs!$E$24-Inputs!$D$24)/(Inputs!$F$24-Inputs!$D$24),Inputs!$D$24+SQRT(L658*(Inputs!$F$24-Inputs!$D$24)*(Inputs!$E$24-Inputs!$D$24)),Inputs!$F$24-SQRT((1-L658)*(Inputs!$F$24-Inputs!$D$24)*(Inputs!$F$24-Inputs!$E$24)))</f>
        <v>1.00340888563675</v>
      </c>
      <c r="N658" s="81" t="n">
        <f aca="true">RAND()</f>
        <v>0.809200523280475</v>
      </c>
      <c r="O658" s="83" t="n">
        <f aca="false">IF(N658&lt;(Inputs!$E$26-Inputs!$D$26)/(Inputs!$F$26-Inputs!$D$26),Inputs!$D$26+SQRT(N658*(Inputs!$F$26-Inputs!$D$26)*(Inputs!$E$26-Inputs!$D$26)),Inputs!$F$26-SQRT((1-N658)*(Inputs!$F$26-Inputs!$D$26)*(Inputs!$F$26-Inputs!$E$26)))</f>
        <v>0.679134299494765</v>
      </c>
      <c r="P658" s="81" t="n">
        <f aca="true">RAND()</f>
        <v>0.542115973836497</v>
      </c>
      <c r="Q658" s="82" t="n">
        <f aca="false">IF(P658&lt;(Inputs!$E$27-Inputs!$D$27)/(Inputs!$F$27-Inputs!$D$27),Inputs!$D$27+SQRT(P658*(Inputs!$F$27-Inputs!$D$27)*(Inputs!$E$27-Inputs!$D$27)),Inputs!$F$27-SQRT((1-P658)*(Inputs!$F$27-Inputs!$D$27)*(Inputs!$F$27-Inputs!$E$27)))</f>
        <v>91.3985478317621</v>
      </c>
      <c r="R658" s="81" t="n">
        <f aca="true">RAND()</f>
        <v>0.871181312166704</v>
      </c>
      <c r="S658" s="82" t="n">
        <f aca="false">IF(R658&lt;(Inputs!$E$29-Inputs!$D$29)/(Inputs!$F$29-Inputs!$D$29),Inputs!$D$29+SQRT(R658*(Inputs!$F$29-Inputs!$D$29)*(Inputs!$E$29-Inputs!$D$29)),Inputs!$F$29-SQRT((1-R658)*(Inputs!$F$29-Inputs!$D$29)*(Inputs!$F$29-Inputs!$E$29)))</f>
        <v>10.907759853292</v>
      </c>
      <c r="T658" s="68" t="n">
        <f aca="false">Inputs!$E$9*(1+E658)+Inputs!$E$5*C658*(Inputs!$E$11*Inputs!$E$14*(G658*I658/Inputs!$E$16+(1-G658))*K658+Inputs!$E$23*M658)*(1+O658)+Inputs!$E$5*(Q658+S658)</f>
        <v>6444.56091375904</v>
      </c>
    </row>
    <row r="659" customFormat="false" ht="15" hidden="false" customHeight="false" outlineLevel="0" collapsed="false">
      <c r="A659" s="1" t="n">
        <v>655</v>
      </c>
      <c r="B659" s="81" t="n">
        <f aca="true">RAND()</f>
        <v>0.880305212623202</v>
      </c>
      <c r="C659" s="82" t="n">
        <f aca="false">ROUND(IF(B659&lt;(Inputs!$E$8-Inputs!$D$8)/(Inputs!$F$8-Inputs!$D$8),Inputs!$D$8+SQRT(B659*(Inputs!$F$8-Inputs!$D$8)*(Inputs!$E$8-Inputs!$D$8)),Inputs!$F$8-SQRT((1-B659)*(Inputs!$F$8-Inputs!$D$8)*(Inputs!$F$8-Inputs!$E$8))),0)</f>
        <v>28</v>
      </c>
      <c r="D659" s="81" t="n">
        <f aca="true">RAND()</f>
        <v>0.674716260341307</v>
      </c>
      <c r="E659" s="83" t="n">
        <f aca="false">IF(D659&lt;(Inputs!$E$10-Inputs!$D$10)/(Inputs!$F$10-Inputs!$D$10),Inputs!$D$10+SQRT(D659*(Inputs!$F$10-Inputs!$D$10)*(Inputs!$E$10-Inputs!$D$10)),Inputs!$F$10-SQRT((1-D659)*(Inputs!$F$10-Inputs!$D$10)*(Inputs!$F$10-Inputs!$E$10)))</f>
        <v>0.101214817964632</v>
      </c>
      <c r="F659" s="81" t="n">
        <f aca="true">RAND()</f>
        <v>0.769523120628375</v>
      </c>
      <c r="G659" s="83" t="n">
        <f aca="false">IF(F659&lt;(Inputs!$E$15-Inputs!$D$15)/(Inputs!$F$15-Inputs!$D$15),Inputs!$D$15+SQRT(F659*(Inputs!$F$15-Inputs!$D$15)*(Inputs!$E$15-Inputs!$D$15)),Inputs!$F$15-SQRT((1-F659)*(Inputs!$F$15-Inputs!$D$15)*(Inputs!$F$15-Inputs!$E$15)))</f>
        <v>0.732106424549649</v>
      </c>
      <c r="H659" s="81" t="n">
        <f aca="true">RAND()</f>
        <v>0.822673144034906</v>
      </c>
      <c r="I659" s="82" t="n">
        <f aca="false">ROUND(IF(H659&lt;(Inputs!$E$17-Inputs!$D$17)/(Inputs!$F$17-Inputs!$D$17),Inputs!$D$17+SQRT(H659*(Inputs!$F$17-Inputs!$D$17)*(Inputs!$E$17-Inputs!$D$17)),Inputs!$F$17-SQRT((1-H659)*(Inputs!$F$17-Inputs!$D$17)*(Inputs!$F$17-Inputs!$E$17))),0)</f>
        <v>110</v>
      </c>
      <c r="J659" s="81" t="n">
        <f aca="true">RAND()</f>
        <v>0.773537370407136</v>
      </c>
      <c r="K659" s="83" t="n">
        <f aca="false">IF(J659&lt;(Inputs!$E$18-Inputs!$D$18)/(Inputs!$F$18-Inputs!$D$18),Inputs!$D$18+SQRT(J659*(Inputs!$F$18-Inputs!$D$18)*(Inputs!$E$18-Inputs!$D$18)),Inputs!$F$18-SQRT((1-J659)*(Inputs!$F$18-Inputs!$D$18)*(Inputs!$F$18-Inputs!$E$18)))</f>
        <v>1.10923253184995</v>
      </c>
      <c r="L659" s="81" t="n">
        <f aca="true">RAND()</f>
        <v>0.278907869259578</v>
      </c>
      <c r="M659" s="83" t="n">
        <f aca="false">IF(L659&lt;(Inputs!$E$24-Inputs!$D$24)/(Inputs!$F$24-Inputs!$D$24),Inputs!$D$24+SQRT(L659*(Inputs!$F$24-Inputs!$D$24)*(Inputs!$E$24-Inputs!$D$24)),Inputs!$F$24-SQRT((1-L659)*(Inputs!$F$24-Inputs!$D$24)*(Inputs!$F$24-Inputs!$E$24)))</f>
        <v>0.782945194829352</v>
      </c>
      <c r="N659" s="81" t="n">
        <f aca="true">RAND()</f>
        <v>0.243633212257835</v>
      </c>
      <c r="O659" s="83" t="n">
        <f aca="false">IF(N659&lt;(Inputs!$E$26-Inputs!$D$26)/(Inputs!$F$26-Inputs!$D$26),Inputs!$D$26+SQRT(N659*(Inputs!$F$26-Inputs!$D$26)*(Inputs!$E$26-Inputs!$D$26)),Inputs!$F$26-SQRT((1-N659)*(Inputs!$F$26-Inputs!$D$26)*(Inputs!$F$26-Inputs!$E$26)))</f>
        <v>0.501346881077666</v>
      </c>
      <c r="P659" s="81" t="n">
        <f aca="true">RAND()</f>
        <v>0.212099092371878</v>
      </c>
      <c r="Q659" s="82" t="n">
        <f aca="false">IF(P659&lt;(Inputs!$E$27-Inputs!$D$27)/(Inputs!$F$27-Inputs!$D$27),Inputs!$D$27+SQRT(P659*(Inputs!$F$27-Inputs!$D$27)*(Inputs!$E$27-Inputs!$D$27)),Inputs!$F$27-SQRT((1-P659)*(Inputs!$F$27-Inputs!$D$27)*(Inputs!$F$27-Inputs!$E$27)))</f>
        <v>73.0271086098471</v>
      </c>
      <c r="R659" s="81" t="n">
        <f aca="true">RAND()</f>
        <v>0.422204294666924</v>
      </c>
      <c r="S659" s="82" t="n">
        <f aca="false">IF(R659&lt;(Inputs!$E$29-Inputs!$D$29)/(Inputs!$F$29-Inputs!$D$29),Inputs!$D$29+SQRT(R659*(Inputs!$F$29-Inputs!$D$29)*(Inputs!$E$29-Inputs!$D$29)),Inputs!$F$29-SQRT((1-R659)*(Inputs!$F$29-Inputs!$D$29)*(Inputs!$F$29-Inputs!$E$29)))</f>
        <v>6.33319887771158</v>
      </c>
      <c r="T659" s="68" t="n">
        <f aca="false">Inputs!$E$9*(1+E659)+Inputs!$E$5*C659*(Inputs!$E$11*Inputs!$E$14*(G659*I659/Inputs!$E$16+(1-G659))*K659+Inputs!$E$23*M659)*(1+O659)+Inputs!$E$5*(Q659+S659)</f>
        <v>6518.11329033116</v>
      </c>
    </row>
    <row r="660" customFormat="false" ht="15" hidden="false" customHeight="false" outlineLevel="0" collapsed="false">
      <c r="A660" s="1" t="n">
        <v>656</v>
      </c>
      <c r="B660" s="81" t="n">
        <f aca="true">RAND()</f>
        <v>0.881642977429224</v>
      </c>
      <c r="C660" s="82" t="n">
        <f aca="false">ROUND(IF(B660&lt;(Inputs!$E$8-Inputs!$D$8)/(Inputs!$F$8-Inputs!$D$8),Inputs!$D$8+SQRT(B660*(Inputs!$F$8-Inputs!$D$8)*(Inputs!$E$8-Inputs!$D$8)),Inputs!$F$8-SQRT((1-B660)*(Inputs!$F$8-Inputs!$D$8)*(Inputs!$F$8-Inputs!$E$8))),0)</f>
        <v>28</v>
      </c>
      <c r="D660" s="81" t="n">
        <f aca="true">RAND()</f>
        <v>0.293302705485348</v>
      </c>
      <c r="E660" s="83" t="n">
        <f aca="false">IF(D660&lt;(Inputs!$E$10-Inputs!$D$10)/(Inputs!$F$10-Inputs!$D$10),Inputs!$D$10+SQRT(D660*(Inputs!$F$10-Inputs!$D$10)*(Inputs!$E$10-Inputs!$D$10)),Inputs!$F$10-SQRT((1-D660)*(Inputs!$F$10-Inputs!$D$10)*(Inputs!$F$10-Inputs!$E$10)))</f>
        <v>0.0543946469547237</v>
      </c>
      <c r="F660" s="81" t="n">
        <f aca="true">RAND()</f>
        <v>0.311147796642919</v>
      </c>
      <c r="G660" s="83" t="n">
        <f aca="false">IF(F660&lt;(Inputs!$E$15-Inputs!$D$15)/(Inputs!$F$15-Inputs!$D$15),Inputs!$D$15+SQRT(F660*(Inputs!$F$15-Inputs!$D$15)*(Inputs!$E$15-Inputs!$D$15)),Inputs!$F$15-SQRT((1-F660)*(Inputs!$F$15-Inputs!$D$15)*(Inputs!$F$15-Inputs!$E$15)))</f>
        <v>0.678885714377563</v>
      </c>
      <c r="H660" s="81" t="n">
        <f aca="true">RAND()</f>
        <v>0.648012558142952</v>
      </c>
      <c r="I660" s="82" t="n">
        <f aca="false">ROUND(IF(H660&lt;(Inputs!$E$17-Inputs!$D$17)/(Inputs!$F$17-Inputs!$D$17),Inputs!$D$17+SQRT(H660*(Inputs!$F$17-Inputs!$D$17)*(Inputs!$E$17-Inputs!$D$17)),Inputs!$F$17-SQRT((1-H660)*(Inputs!$F$17-Inputs!$D$17)*(Inputs!$F$17-Inputs!$E$17))),0)</f>
        <v>108</v>
      </c>
      <c r="J660" s="81" t="n">
        <f aca="true">RAND()</f>
        <v>0.546973039680013</v>
      </c>
      <c r="K660" s="83" t="n">
        <f aca="false">IF(J660&lt;(Inputs!$E$18-Inputs!$D$18)/(Inputs!$F$18-Inputs!$D$18),Inputs!$D$18+SQRT(J660*(Inputs!$F$18-Inputs!$D$18)*(Inputs!$E$18-Inputs!$D$18)),Inputs!$F$18-SQRT((1-J660)*(Inputs!$F$18-Inputs!$D$18)*(Inputs!$F$18-Inputs!$E$18)))</f>
        <v>1.05090238819112</v>
      </c>
      <c r="L660" s="81" t="n">
        <f aca="true">RAND()</f>
        <v>0.892946124342496</v>
      </c>
      <c r="M660" s="83" t="n">
        <f aca="false">IF(L660&lt;(Inputs!$E$24-Inputs!$D$24)/(Inputs!$F$24-Inputs!$D$24),Inputs!$D$24+SQRT(L660*(Inputs!$F$24-Inputs!$D$24)*(Inputs!$E$24-Inputs!$D$24)),Inputs!$F$24-SQRT((1-L660)*(Inputs!$F$24-Inputs!$D$24)*(Inputs!$F$24-Inputs!$E$24)))</f>
        <v>1.03970985632984</v>
      </c>
      <c r="N660" s="81" t="n">
        <f aca="true">RAND()</f>
        <v>0.684459554452288</v>
      </c>
      <c r="O660" s="83" t="n">
        <f aca="false">IF(N660&lt;(Inputs!$E$26-Inputs!$D$26)/(Inputs!$F$26-Inputs!$D$26),Inputs!$D$26+SQRT(N660*(Inputs!$F$26-Inputs!$D$26)*(Inputs!$E$26-Inputs!$D$26)),Inputs!$F$26-SQRT((1-N660)*(Inputs!$F$26-Inputs!$D$26)*(Inputs!$F$26-Inputs!$E$26)))</f>
        <v>0.638847560499556</v>
      </c>
      <c r="P660" s="81" t="n">
        <f aca="true">RAND()</f>
        <v>0.706593913492186</v>
      </c>
      <c r="Q660" s="82" t="n">
        <f aca="false">IF(P660&lt;(Inputs!$E$27-Inputs!$D$27)/(Inputs!$F$27-Inputs!$D$27),Inputs!$D$27+SQRT(P660*(Inputs!$F$27-Inputs!$D$27)*(Inputs!$E$27-Inputs!$D$27)),Inputs!$F$27-SQRT((1-P660)*(Inputs!$F$27-Inputs!$D$27)*(Inputs!$F$27-Inputs!$E$27)))</f>
        <v>103.090026126541</v>
      </c>
      <c r="R660" s="81" t="n">
        <f aca="true">RAND()</f>
        <v>0.269050979547982</v>
      </c>
      <c r="S660" s="82" t="n">
        <f aca="false">IF(R660&lt;(Inputs!$E$29-Inputs!$D$29)/(Inputs!$F$29-Inputs!$D$29),Inputs!$D$29+SQRT(R660*(Inputs!$F$29-Inputs!$D$29)*(Inputs!$E$29-Inputs!$D$29)),Inputs!$F$29-SQRT((1-R660)*(Inputs!$F$29-Inputs!$D$29)*(Inputs!$F$29-Inputs!$E$29)))</f>
        <v>5.25200673683233</v>
      </c>
      <c r="T660" s="68" t="n">
        <f aca="false">Inputs!$E$9*(1+E660)+Inputs!$E$5*C660*(Inputs!$E$11*Inputs!$E$14*(G660*I660/Inputs!$E$16+(1-G660))*K660+Inputs!$E$23*M660)*(1+O660)+Inputs!$E$5*(Q660+S660)</f>
        <v>7226.73406448561</v>
      </c>
    </row>
    <row r="661" customFormat="false" ht="15" hidden="false" customHeight="false" outlineLevel="0" collapsed="false">
      <c r="A661" s="1" t="n">
        <v>657</v>
      </c>
      <c r="B661" s="81" t="n">
        <f aca="true">RAND()</f>
        <v>0.672702768201593</v>
      </c>
      <c r="C661" s="82" t="n">
        <f aca="false">ROUND(IF(B661&lt;(Inputs!$E$8-Inputs!$D$8)/(Inputs!$F$8-Inputs!$D$8),Inputs!$D$8+SQRT(B661*(Inputs!$F$8-Inputs!$D$8)*(Inputs!$E$8-Inputs!$D$8)),Inputs!$F$8-SQRT((1-B661)*(Inputs!$F$8-Inputs!$D$8)*(Inputs!$F$8-Inputs!$E$8))),0)</f>
        <v>26</v>
      </c>
      <c r="D661" s="81" t="n">
        <f aca="true">RAND()</f>
        <v>0.411773146391982</v>
      </c>
      <c r="E661" s="83" t="n">
        <f aca="false">IF(D661&lt;(Inputs!$E$10-Inputs!$D$10)/(Inputs!$F$10-Inputs!$D$10),Inputs!$D$10+SQRT(D661*(Inputs!$F$10-Inputs!$D$10)*(Inputs!$E$10-Inputs!$D$10)),Inputs!$F$10-SQRT((1-D661)*(Inputs!$F$10-Inputs!$D$10)*(Inputs!$F$10-Inputs!$E$10)))</f>
        <v>0.0671587202401281</v>
      </c>
      <c r="F661" s="81" t="n">
        <f aca="true">RAND()</f>
        <v>0.370859950921298</v>
      </c>
      <c r="G661" s="83" t="n">
        <f aca="false">IF(F661&lt;(Inputs!$E$15-Inputs!$D$15)/(Inputs!$F$15-Inputs!$D$15),Inputs!$D$15+SQRT(F661*(Inputs!$F$15-Inputs!$D$15)*(Inputs!$E$15-Inputs!$D$15)),Inputs!$F$15-SQRT((1-F661)*(Inputs!$F$15-Inputs!$D$15)*(Inputs!$F$15-Inputs!$E$15)))</f>
        <v>0.686123161916095</v>
      </c>
      <c r="H661" s="81" t="n">
        <f aca="true">RAND()</f>
        <v>0.821468720504705</v>
      </c>
      <c r="I661" s="82" t="n">
        <f aca="false">ROUND(IF(H661&lt;(Inputs!$E$17-Inputs!$D$17)/(Inputs!$F$17-Inputs!$D$17),Inputs!$D$17+SQRT(H661*(Inputs!$F$17-Inputs!$D$17)*(Inputs!$E$17-Inputs!$D$17)),Inputs!$F$17-SQRT((1-H661)*(Inputs!$F$17-Inputs!$D$17)*(Inputs!$F$17-Inputs!$E$17))),0)</f>
        <v>110</v>
      </c>
      <c r="J661" s="81" t="n">
        <f aca="true">RAND()</f>
        <v>0.655732354978997</v>
      </c>
      <c r="K661" s="83" t="n">
        <f aca="false">IF(J661&lt;(Inputs!$E$18-Inputs!$D$18)/(Inputs!$F$18-Inputs!$D$18),Inputs!$D$18+SQRT(J661*(Inputs!$F$18-Inputs!$D$18)*(Inputs!$E$18-Inputs!$D$18)),Inputs!$F$18-SQRT((1-J661)*(Inputs!$F$18-Inputs!$D$18)*(Inputs!$F$18-Inputs!$E$18)))</f>
        <v>1.07643900513267</v>
      </c>
      <c r="L661" s="81" t="n">
        <f aca="true">RAND()</f>
        <v>0.169501276288711</v>
      </c>
      <c r="M661" s="83" t="n">
        <f aca="false">IF(L661&lt;(Inputs!$E$24-Inputs!$D$24)/(Inputs!$F$24-Inputs!$D$24),Inputs!$D$24+SQRT(L661*(Inputs!$F$24-Inputs!$D$24)*(Inputs!$E$24-Inputs!$D$24)),Inputs!$F$24-SQRT((1-L661)*(Inputs!$F$24-Inputs!$D$24)*(Inputs!$F$24-Inputs!$E$24)))</f>
        <v>0.742618908825742</v>
      </c>
      <c r="N661" s="81" t="n">
        <f aca="true">RAND()</f>
        <v>0.107989055487077</v>
      </c>
      <c r="O661" s="83" t="n">
        <f aca="false">IF(N661&lt;(Inputs!$E$26-Inputs!$D$26)/(Inputs!$F$26-Inputs!$D$26),Inputs!$D$26+SQRT(N661*(Inputs!$F$26-Inputs!$D$26)*(Inputs!$E$26-Inputs!$D$26)),Inputs!$F$26-SQRT((1-N661)*(Inputs!$F$26-Inputs!$D$26)*(Inputs!$F$26-Inputs!$E$26)))</f>
        <v>0.434049911723394</v>
      </c>
      <c r="P661" s="81" t="n">
        <f aca="true">RAND()</f>
        <v>0.395196861904112</v>
      </c>
      <c r="Q661" s="82" t="n">
        <f aca="false">IF(P661&lt;(Inputs!$E$27-Inputs!$D$27)/(Inputs!$F$27-Inputs!$D$27),Inputs!$D$27+SQRT(P661*(Inputs!$F$27-Inputs!$D$27)*(Inputs!$E$27-Inputs!$D$27)),Inputs!$F$27-SQRT((1-P661)*(Inputs!$F$27-Inputs!$D$27)*(Inputs!$F$27-Inputs!$E$27)))</f>
        <v>82.6499923109198</v>
      </c>
      <c r="R661" s="81" t="n">
        <f aca="true">RAND()</f>
        <v>0.299310419947733</v>
      </c>
      <c r="S661" s="82" t="n">
        <f aca="false">IF(R661&lt;(Inputs!$E$29-Inputs!$D$29)/(Inputs!$F$29-Inputs!$D$29),Inputs!$D$29+SQRT(R661*(Inputs!$F$29-Inputs!$D$29)*(Inputs!$E$29-Inputs!$D$29)),Inputs!$F$29-SQRT((1-R661)*(Inputs!$F$29-Inputs!$D$29)*(Inputs!$F$29-Inputs!$E$29)))</f>
        <v>5.45591044641791</v>
      </c>
      <c r="T661" s="68" t="n">
        <f aca="false">Inputs!$E$9*(1+E661)+Inputs!$E$5*C661*(Inputs!$E$11*Inputs!$E$14*(G661*I661/Inputs!$E$16+(1-G661))*K661+Inputs!$E$23*M661)*(1+O661)+Inputs!$E$5*(Q661+S661)</f>
        <v>6006.58147449058</v>
      </c>
    </row>
    <row r="662" customFormat="false" ht="15" hidden="false" customHeight="false" outlineLevel="0" collapsed="false">
      <c r="A662" s="1" t="n">
        <v>658</v>
      </c>
      <c r="B662" s="81" t="n">
        <f aca="true">RAND()</f>
        <v>0.258311396390251</v>
      </c>
      <c r="C662" s="82" t="n">
        <f aca="false">ROUND(IF(B662&lt;(Inputs!$E$8-Inputs!$D$8)/(Inputs!$F$8-Inputs!$D$8),Inputs!$D$8+SQRT(B662*(Inputs!$F$8-Inputs!$D$8)*(Inputs!$E$8-Inputs!$D$8)),Inputs!$F$8-SQRT((1-B662)*(Inputs!$F$8-Inputs!$D$8)*(Inputs!$F$8-Inputs!$E$8))),0)</f>
        <v>24</v>
      </c>
      <c r="D662" s="81" t="n">
        <f aca="true">RAND()</f>
        <v>0.707008170581722</v>
      </c>
      <c r="E662" s="83" t="n">
        <f aca="false">IF(D662&lt;(Inputs!$E$10-Inputs!$D$10)/(Inputs!$F$10-Inputs!$D$10),Inputs!$D$10+SQRT(D662*(Inputs!$F$10-Inputs!$D$10)*(Inputs!$E$10-Inputs!$D$10)),Inputs!$F$10-SQRT((1-D662)*(Inputs!$F$10-Inputs!$D$10)*(Inputs!$F$10-Inputs!$E$10)))</f>
        <v>0.106246307365798</v>
      </c>
      <c r="F662" s="81" t="n">
        <f aca="true">RAND()</f>
        <v>0.754048574287853</v>
      </c>
      <c r="G662" s="83" t="n">
        <f aca="false">IF(F662&lt;(Inputs!$E$15-Inputs!$D$15)/(Inputs!$F$15-Inputs!$D$15),Inputs!$D$15+SQRT(F662*(Inputs!$F$15-Inputs!$D$15)*(Inputs!$E$15-Inputs!$D$15)),Inputs!$F$15-SQRT((1-F662)*(Inputs!$F$15-Inputs!$D$15)*(Inputs!$F$15-Inputs!$E$15)))</f>
        <v>0.729864213740467</v>
      </c>
      <c r="H662" s="81" t="n">
        <f aca="true">RAND()</f>
        <v>0.899401529826442</v>
      </c>
      <c r="I662" s="82" t="n">
        <f aca="false">ROUND(IF(H662&lt;(Inputs!$E$17-Inputs!$D$17)/(Inputs!$F$17-Inputs!$D$17),Inputs!$D$17+SQRT(H662*(Inputs!$F$17-Inputs!$D$17)*(Inputs!$E$17-Inputs!$D$17)),Inputs!$F$17-SQRT((1-H662)*(Inputs!$F$17-Inputs!$D$17)*(Inputs!$F$17-Inputs!$E$17))),0)</f>
        <v>111</v>
      </c>
      <c r="J662" s="81" t="n">
        <f aca="true">RAND()</f>
        <v>0.58730583387519</v>
      </c>
      <c r="K662" s="83" t="n">
        <f aca="false">IF(J662&lt;(Inputs!$E$18-Inputs!$D$18)/(Inputs!$F$18-Inputs!$D$18),Inputs!$D$18+SQRT(J662*(Inputs!$F$18-Inputs!$D$18)*(Inputs!$E$18-Inputs!$D$18)),Inputs!$F$18-SQRT((1-J662)*(Inputs!$F$18-Inputs!$D$18)*(Inputs!$F$18-Inputs!$E$18)))</f>
        <v>1.05997174016499</v>
      </c>
      <c r="L662" s="81" t="n">
        <f aca="true">RAND()</f>
        <v>0.497177050638111</v>
      </c>
      <c r="M662" s="83" t="n">
        <f aca="false">IF(L662&lt;(Inputs!$E$24-Inputs!$D$24)/(Inputs!$F$24-Inputs!$D$24),Inputs!$D$24+SQRT(L662*(Inputs!$F$24-Inputs!$D$24)*(Inputs!$E$24-Inputs!$D$24)),Inputs!$F$24-SQRT((1-L662)*(Inputs!$F$24-Inputs!$D$24)*(Inputs!$F$24-Inputs!$E$24)))</f>
        <v>0.852613316537819</v>
      </c>
      <c r="N662" s="81" t="n">
        <f aca="true">RAND()</f>
        <v>0.725015480258553</v>
      </c>
      <c r="O662" s="83" t="n">
        <f aca="false">IF(N662&lt;(Inputs!$E$26-Inputs!$D$26)/(Inputs!$F$26-Inputs!$D$26),Inputs!$D$26+SQRT(N662*(Inputs!$F$26-Inputs!$D$26)*(Inputs!$E$26-Inputs!$D$26)),Inputs!$F$26-SQRT((1-N662)*(Inputs!$F$26-Inputs!$D$26)*(Inputs!$F$26-Inputs!$E$26)))</f>
        <v>0.650889414721873</v>
      </c>
      <c r="P662" s="81" t="n">
        <f aca="true">RAND()</f>
        <v>0.949368583442855</v>
      </c>
      <c r="Q662" s="82" t="n">
        <f aca="false">IF(P662&lt;(Inputs!$E$27-Inputs!$D$27)/(Inputs!$F$27-Inputs!$D$27),Inputs!$D$27+SQRT(P662*(Inputs!$F$27-Inputs!$D$27)*(Inputs!$E$27-Inputs!$D$27)),Inputs!$F$27-SQRT((1-P662)*(Inputs!$F$27-Inputs!$D$27)*(Inputs!$F$27-Inputs!$E$27)))</f>
        <v>130.513193586978</v>
      </c>
      <c r="R662" s="81" t="n">
        <f aca="true">RAND()</f>
        <v>0.536686915602215</v>
      </c>
      <c r="S662" s="82" t="n">
        <f aca="false">IF(R662&lt;(Inputs!$E$29-Inputs!$D$29)/(Inputs!$F$29-Inputs!$D$29),Inputs!$D$29+SQRT(R662*(Inputs!$F$29-Inputs!$D$29)*(Inputs!$E$29-Inputs!$D$29)),Inputs!$F$29-SQRT((1-R662)*(Inputs!$F$29-Inputs!$D$29)*(Inputs!$F$29-Inputs!$E$29)))</f>
        <v>7.23915591113234</v>
      </c>
      <c r="T662" s="68" t="n">
        <f aca="false">Inputs!$E$9*(1+E662)+Inputs!$E$5*C662*(Inputs!$E$11*Inputs!$E$14*(G662*I662/Inputs!$E$16+(1-G662))*K662+Inputs!$E$23*M662)*(1+O662)+Inputs!$E$5*(Q662+S662)</f>
        <v>6616.95330473287</v>
      </c>
    </row>
    <row r="663" customFormat="false" ht="15" hidden="false" customHeight="false" outlineLevel="0" collapsed="false">
      <c r="A663" s="1" t="n">
        <v>659</v>
      </c>
      <c r="B663" s="81" t="n">
        <f aca="true">RAND()</f>
        <v>0.457960789968109</v>
      </c>
      <c r="C663" s="82" t="n">
        <f aca="false">ROUND(IF(B663&lt;(Inputs!$E$8-Inputs!$D$8)/(Inputs!$F$8-Inputs!$D$8),Inputs!$D$8+SQRT(B663*(Inputs!$F$8-Inputs!$D$8)*(Inputs!$E$8-Inputs!$D$8)),Inputs!$F$8-SQRT((1-B663)*(Inputs!$F$8-Inputs!$D$8)*(Inputs!$F$8-Inputs!$E$8))),0)</f>
        <v>25</v>
      </c>
      <c r="D663" s="81" t="n">
        <f aca="true">RAND()</f>
        <v>0.653562175751434</v>
      </c>
      <c r="E663" s="83" t="n">
        <f aca="false">IF(D663&lt;(Inputs!$E$10-Inputs!$D$10)/(Inputs!$F$10-Inputs!$D$10),Inputs!$D$10+SQRT(D663*(Inputs!$F$10-Inputs!$D$10)*(Inputs!$E$10-Inputs!$D$10)),Inputs!$F$10-SQRT((1-D663)*(Inputs!$F$10-Inputs!$D$10)*(Inputs!$F$10-Inputs!$E$10)))</f>
        <v>0.0980532750528151</v>
      </c>
      <c r="F663" s="81" t="n">
        <f aca="true">RAND()</f>
        <v>0.841111073890176</v>
      </c>
      <c r="G663" s="83" t="n">
        <f aca="false">IF(F663&lt;(Inputs!$E$15-Inputs!$D$15)/(Inputs!$F$15-Inputs!$D$15),Inputs!$D$15+SQRT(F663*(Inputs!$F$15-Inputs!$D$15)*(Inputs!$E$15-Inputs!$D$15)),Inputs!$F$15-SQRT((1-F663)*(Inputs!$F$15-Inputs!$D$15)*(Inputs!$F$15-Inputs!$E$15)))</f>
        <v>0.743628211646281</v>
      </c>
      <c r="H663" s="81" t="n">
        <f aca="true">RAND()</f>
        <v>0.261667418792795</v>
      </c>
      <c r="I663" s="82" t="n">
        <f aca="false">ROUND(IF(H663&lt;(Inputs!$E$17-Inputs!$D$17)/(Inputs!$F$17-Inputs!$D$17),Inputs!$D$17+SQRT(H663*(Inputs!$F$17-Inputs!$D$17)*(Inputs!$E$17-Inputs!$D$17)),Inputs!$F$17-SQRT((1-H663)*(Inputs!$F$17-Inputs!$D$17)*(Inputs!$F$17-Inputs!$E$17))),0)</f>
        <v>104</v>
      </c>
      <c r="J663" s="81" t="n">
        <f aca="true">RAND()</f>
        <v>0.607234767654349</v>
      </c>
      <c r="K663" s="83" t="n">
        <f aca="false">IF(J663&lt;(Inputs!$E$18-Inputs!$D$18)/(Inputs!$F$18-Inputs!$D$18),Inputs!$D$18+SQRT(J663*(Inputs!$F$18-Inputs!$D$18)*(Inputs!$E$18-Inputs!$D$18)),Inputs!$F$18-SQRT((1-J663)*(Inputs!$F$18-Inputs!$D$18)*(Inputs!$F$18-Inputs!$E$18)))</f>
        <v>1.06461672721024</v>
      </c>
      <c r="L663" s="81" t="n">
        <f aca="true">RAND()</f>
        <v>0.125927946807456</v>
      </c>
      <c r="M663" s="83" t="n">
        <f aca="false">IF(L663&lt;(Inputs!$E$24-Inputs!$D$24)/(Inputs!$F$24-Inputs!$D$24),Inputs!$D$24+SQRT(L663*(Inputs!$F$24-Inputs!$D$24)*(Inputs!$E$24-Inputs!$D$24)),Inputs!$F$24-SQRT((1-L663)*(Inputs!$F$24-Inputs!$D$24)*(Inputs!$F$24-Inputs!$E$24)))</f>
        <v>0.722928245805814</v>
      </c>
      <c r="N663" s="81" t="n">
        <f aca="true">RAND()</f>
        <v>0.222948369976546</v>
      </c>
      <c r="O663" s="83" t="n">
        <f aca="false">IF(N663&lt;(Inputs!$E$26-Inputs!$D$26)/(Inputs!$F$26-Inputs!$D$26),Inputs!$D$26+SQRT(N663*(Inputs!$F$26-Inputs!$D$26)*(Inputs!$E$26-Inputs!$D$26)),Inputs!$F$26-SQRT((1-N663)*(Inputs!$F$26-Inputs!$D$26)*(Inputs!$F$26-Inputs!$E$26)))</f>
        <v>0.492609991340266</v>
      </c>
      <c r="P663" s="81" t="n">
        <f aca="true">RAND()</f>
        <v>0.392481904239771</v>
      </c>
      <c r="Q663" s="82" t="n">
        <f aca="false">IF(P663&lt;(Inputs!$E$27-Inputs!$D$27)/(Inputs!$F$27-Inputs!$D$27),Inputs!$D$27+SQRT(P663*(Inputs!$F$27-Inputs!$D$27)*(Inputs!$E$27-Inputs!$D$27)),Inputs!$F$27-SQRT((1-P663)*(Inputs!$F$27-Inputs!$D$27)*(Inputs!$F$27-Inputs!$E$27)))</f>
        <v>82.4989946874736</v>
      </c>
      <c r="R663" s="81" t="n">
        <f aca="true">RAND()</f>
        <v>0.301464810897023</v>
      </c>
      <c r="S663" s="82" t="n">
        <f aca="false">IF(R663&lt;(Inputs!$E$29-Inputs!$D$29)/(Inputs!$F$29-Inputs!$D$29),Inputs!$D$29+SQRT(R663*(Inputs!$F$29-Inputs!$D$29)*(Inputs!$E$29-Inputs!$D$29)),Inputs!$F$29-SQRT((1-R663)*(Inputs!$F$29-Inputs!$D$29)*(Inputs!$F$29-Inputs!$E$29)))</f>
        <v>5.47059421666876</v>
      </c>
      <c r="T663" s="68" t="n">
        <f aca="false">Inputs!$E$9*(1+E663)+Inputs!$E$5*C663*(Inputs!$E$11*Inputs!$E$14*(G663*I663/Inputs!$E$16+(1-G663))*K663+Inputs!$E$23*M663)*(1+O663)+Inputs!$E$5*(Q663+S663)</f>
        <v>5880.62355960436</v>
      </c>
    </row>
    <row r="664" customFormat="false" ht="15" hidden="false" customHeight="false" outlineLevel="0" collapsed="false">
      <c r="A664" s="1" t="n">
        <v>660</v>
      </c>
      <c r="B664" s="81" t="n">
        <f aca="true">RAND()</f>
        <v>0.252908222165598</v>
      </c>
      <c r="C664" s="82" t="n">
        <f aca="false">ROUND(IF(B664&lt;(Inputs!$E$8-Inputs!$D$8)/(Inputs!$F$8-Inputs!$D$8),Inputs!$D$8+SQRT(B664*(Inputs!$F$8-Inputs!$D$8)*(Inputs!$E$8-Inputs!$D$8)),Inputs!$F$8-SQRT((1-B664)*(Inputs!$F$8-Inputs!$D$8)*(Inputs!$F$8-Inputs!$E$8))),0)</f>
        <v>24</v>
      </c>
      <c r="D664" s="81" t="n">
        <f aca="true">RAND()</f>
        <v>0.0740674301182231</v>
      </c>
      <c r="E664" s="83" t="n">
        <f aca="false">IF(D664&lt;(Inputs!$E$10-Inputs!$D$10)/(Inputs!$F$10-Inputs!$D$10),Inputs!$D$10+SQRT(D664*(Inputs!$F$10-Inputs!$D$10)*(Inputs!$E$10-Inputs!$D$10)),Inputs!$F$10-SQRT((1-D664)*(Inputs!$F$10-Inputs!$D$10)*(Inputs!$F$10-Inputs!$E$10)))</f>
        <v>0.0272153320975922</v>
      </c>
      <c r="F664" s="81" t="n">
        <f aca="true">RAND()</f>
        <v>0.661313715040136</v>
      </c>
      <c r="G664" s="83" t="n">
        <f aca="false">IF(F664&lt;(Inputs!$E$15-Inputs!$D$15)/(Inputs!$F$15-Inputs!$D$15),Inputs!$D$15+SQRT(F664*(Inputs!$F$15-Inputs!$D$15)*(Inputs!$E$15-Inputs!$D$15)),Inputs!$F$15-SQRT((1-F664)*(Inputs!$F$15-Inputs!$D$15)*(Inputs!$F$15-Inputs!$E$15)))</f>
        <v>0.717697353024357</v>
      </c>
      <c r="H664" s="81" t="n">
        <f aca="true">RAND()</f>
        <v>0.292172550222124</v>
      </c>
      <c r="I664" s="82" t="n">
        <f aca="false">ROUND(IF(H664&lt;(Inputs!$E$17-Inputs!$D$17)/(Inputs!$F$17-Inputs!$D$17),Inputs!$D$17+SQRT(H664*(Inputs!$F$17-Inputs!$D$17)*(Inputs!$E$17-Inputs!$D$17)),Inputs!$F$17-SQRT((1-H664)*(Inputs!$F$17-Inputs!$D$17)*(Inputs!$F$17-Inputs!$E$17))),0)</f>
        <v>105</v>
      </c>
      <c r="J664" s="81" t="n">
        <f aca="true">RAND()</f>
        <v>0.363211439501282</v>
      </c>
      <c r="K664" s="83" t="n">
        <f aca="false">IF(J664&lt;(Inputs!$E$18-Inputs!$D$18)/(Inputs!$F$18-Inputs!$D$18),Inputs!$D$18+SQRT(J664*(Inputs!$F$18-Inputs!$D$18)*(Inputs!$E$18-Inputs!$D$18)),Inputs!$F$18-SQRT((1-J664)*(Inputs!$F$18-Inputs!$D$18)*(Inputs!$F$18-Inputs!$E$18)))</f>
        <v>1.01395127824189</v>
      </c>
      <c r="L664" s="81" t="n">
        <f aca="true">RAND()</f>
        <v>0.097120908549254</v>
      </c>
      <c r="M664" s="83" t="n">
        <f aca="false">IF(L664&lt;(Inputs!$E$24-Inputs!$D$24)/(Inputs!$F$24-Inputs!$D$24),Inputs!$D$24+SQRT(L664*(Inputs!$F$24-Inputs!$D$24)*(Inputs!$E$24-Inputs!$D$24)),Inputs!$F$24-SQRT((1-L664)*(Inputs!$F$24-Inputs!$D$24)*(Inputs!$F$24-Inputs!$E$24)))</f>
        <v>0.707956051363092</v>
      </c>
      <c r="N664" s="81" t="n">
        <f aca="true">RAND()</f>
        <v>0.548454181178481</v>
      </c>
      <c r="O664" s="83" t="n">
        <f aca="false">IF(N664&lt;(Inputs!$E$26-Inputs!$D$26)/(Inputs!$F$26-Inputs!$D$26),Inputs!$D$26+SQRT(N664*(Inputs!$F$26-Inputs!$D$26)*(Inputs!$E$26-Inputs!$D$26)),Inputs!$F$26-SQRT((1-N664)*(Inputs!$F$26-Inputs!$D$26)*(Inputs!$F$26-Inputs!$E$26)))</f>
        <v>0.602097295168459</v>
      </c>
      <c r="P664" s="81" t="n">
        <f aca="true">RAND()</f>
        <v>0.886994338431851</v>
      </c>
      <c r="Q664" s="82" t="n">
        <f aca="false">IF(P664&lt;(Inputs!$E$27-Inputs!$D$27)/(Inputs!$F$27-Inputs!$D$27),Inputs!$D$27+SQRT(P664*(Inputs!$F$27-Inputs!$D$27)*(Inputs!$E$27-Inputs!$D$27)),Inputs!$F$27-SQRT((1-P664)*(Inputs!$F$27-Inputs!$D$27)*(Inputs!$F$27-Inputs!$E$27)))</f>
        <v>120.88741746665</v>
      </c>
      <c r="R664" s="81" t="n">
        <f aca="true">RAND()</f>
        <v>0.0683982375102803</v>
      </c>
      <c r="S664" s="82" t="n">
        <f aca="false">IF(R664&lt;(Inputs!$E$29-Inputs!$D$29)/(Inputs!$F$29-Inputs!$D$29),Inputs!$D$29+SQRT(R664*(Inputs!$F$29-Inputs!$D$29)*(Inputs!$E$29-Inputs!$D$29)),Inputs!$F$29-SQRT((1-R664)*(Inputs!$F$29-Inputs!$D$29)*(Inputs!$F$29-Inputs!$E$29)))</f>
        <v>3.63325786785214</v>
      </c>
      <c r="T664" s="68" t="n">
        <f aca="false">Inputs!$E$9*(1+E664)+Inputs!$E$5*C664*(Inputs!$E$11*Inputs!$E$14*(G664*I664/Inputs!$E$16+(1-G664))*K664+Inputs!$E$23*M664)*(1+O664)+Inputs!$E$5*(Q664+S664)</f>
        <v>5923.58580977855</v>
      </c>
    </row>
    <row r="665" customFormat="false" ht="15" hidden="false" customHeight="false" outlineLevel="0" collapsed="false">
      <c r="A665" s="1" t="n">
        <v>661</v>
      </c>
      <c r="B665" s="81" t="n">
        <f aca="true">RAND()</f>
        <v>0.30512373748154</v>
      </c>
      <c r="C665" s="82" t="n">
        <f aca="false">ROUND(IF(B665&lt;(Inputs!$E$8-Inputs!$D$8)/(Inputs!$F$8-Inputs!$D$8),Inputs!$D$8+SQRT(B665*(Inputs!$F$8-Inputs!$D$8)*(Inputs!$E$8-Inputs!$D$8)),Inputs!$F$8-SQRT((1-B665)*(Inputs!$F$8-Inputs!$D$8)*(Inputs!$F$8-Inputs!$E$8))),0)</f>
        <v>24</v>
      </c>
      <c r="D665" s="81" t="n">
        <f aca="true">RAND()</f>
        <v>0.198308481080782</v>
      </c>
      <c r="E665" s="83" t="n">
        <f aca="false">IF(D665&lt;(Inputs!$E$10-Inputs!$D$10)/(Inputs!$F$10-Inputs!$D$10),Inputs!$D$10+SQRT(D665*(Inputs!$F$10-Inputs!$D$10)*(Inputs!$E$10-Inputs!$D$10)),Inputs!$F$10-SQRT((1-D665)*(Inputs!$F$10-Inputs!$D$10)*(Inputs!$F$10-Inputs!$E$10)))</f>
        <v>0.0445318404156826</v>
      </c>
      <c r="F665" s="81" t="n">
        <f aca="true">RAND()</f>
        <v>0.869578252826486</v>
      </c>
      <c r="G665" s="83" t="n">
        <f aca="false">IF(F665&lt;(Inputs!$E$15-Inputs!$D$15)/(Inputs!$F$15-Inputs!$D$15),Inputs!$D$15+SQRT(F665*(Inputs!$F$15-Inputs!$D$15)*(Inputs!$E$15-Inputs!$D$15)),Inputs!$F$15-SQRT((1-F665)*(Inputs!$F$15-Inputs!$D$15)*(Inputs!$F$15-Inputs!$E$15)))</f>
        <v>0.74892716041309</v>
      </c>
      <c r="H665" s="81" t="n">
        <f aca="true">RAND()</f>
        <v>0.602519909359945</v>
      </c>
      <c r="I665" s="82" t="n">
        <f aca="false">ROUND(IF(H665&lt;(Inputs!$E$17-Inputs!$D$17)/(Inputs!$F$17-Inputs!$D$17),Inputs!$D$17+SQRT(H665*(Inputs!$F$17-Inputs!$D$17)*(Inputs!$E$17-Inputs!$D$17)),Inputs!$F$17-SQRT((1-H665)*(Inputs!$F$17-Inputs!$D$17)*(Inputs!$F$17-Inputs!$E$17))),0)</f>
        <v>107</v>
      </c>
      <c r="J665" s="81" t="n">
        <f aca="true">RAND()</f>
        <v>0.208881089979451</v>
      </c>
      <c r="K665" s="83" t="n">
        <f aca="false">IF(J665&lt;(Inputs!$E$18-Inputs!$D$18)/(Inputs!$F$18-Inputs!$D$18),Inputs!$D$18+SQRT(J665*(Inputs!$F$18-Inputs!$D$18)*(Inputs!$E$18-Inputs!$D$18)),Inputs!$F$18-SQRT((1-J665)*(Inputs!$F$18-Inputs!$D$18)*(Inputs!$F$18-Inputs!$E$18)))</f>
        <v>0.9855034394003</v>
      </c>
      <c r="L665" s="81" t="n">
        <f aca="true">RAND()</f>
        <v>0.239113161067013</v>
      </c>
      <c r="M665" s="83" t="n">
        <f aca="false">IF(L665&lt;(Inputs!$E$24-Inputs!$D$24)/(Inputs!$F$24-Inputs!$D$24),Inputs!$D$24+SQRT(L665*(Inputs!$F$24-Inputs!$D$24)*(Inputs!$E$24-Inputs!$D$24)),Inputs!$F$24-SQRT((1-L665)*(Inputs!$F$24-Inputs!$D$24)*(Inputs!$F$24-Inputs!$E$24)))</f>
        <v>0.769391792386885</v>
      </c>
      <c r="N665" s="81" t="n">
        <f aca="true">RAND()</f>
        <v>0.0450913729192906</v>
      </c>
      <c r="O665" s="83" t="n">
        <f aca="false">IF(N665&lt;(Inputs!$E$26-Inputs!$D$26)/(Inputs!$F$26-Inputs!$D$26),Inputs!$D$26+SQRT(N665*(Inputs!$F$26-Inputs!$D$26)*(Inputs!$E$26-Inputs!$D$26)),Inputs!$F$26-SQRT((1-N665)*(Inputs!$F$26-Inputs!$D$26)*(Inputs!$F$26-Inputs!$E$26)))</f>
        <v>0.386621039325154</v>
      </c>
      <c r="P665" s="81" t="n">
        <f aca="true">RAND()</f>
        <v>0.257662624723854</v>
      </c>
      <c r="Q665" s="82" t="n">
        <f aca="false">IF(P665&lt;(Inputs!$E$27-Inputs!$D$27)/(Inputs!$F$27-Inputs!$D$27),Inputs!$D$27+SQRT(P665*(Inputs!$F$27-Inputs!$D$27)*(Inputs!$E$27-Inputs!$D$27)),Inputs!$F$27-SQRT((1-P665)*(Inputs!$F$27-Inputs!$D$27)*(Inputs!$F$27-Inputs!$E$27)))</f>
        <v>75.3841148643863</v>
      </c>
      <c r="R665" s="81" t="n">
        <f aca="true">RAND()</f>
        <v>0.566836390664918</v>
      </c>
      <c r="S665" s="82" t="n">
        <f aca="false">IF(R665&lt;(Inputs!$E$29-Inputs!$D$29)/(Inputs!$F$29-Inputs!$D$29),Inputs!$D$29+SQRT(R665*(Inputs!$F$29-Inputs!$D$29)*(Inputs!$E$29-Inputs!$D$29)),Inputs!$F$29-SQRT((1-R665)*(Inputs!$F$29-Inputs!$D$29)*(Inputs!$F$29-Inputs!$E$29)))</f>
        <v>7.49591649742884</v>
      </c>
      <c r="T665" s="68" t="n">
        <f aca="false">Inputs!$E$9*(1+E665)+Inputs!$E$5*C665*(Inputs!$E$11*Inputs!$E$14*(G665*I665/Inputs!$E$16+(1-G665))*K665+Inputs!$E$23*M665)*(1+O665)+Inputs!$E$5*(Q665+S665)</f>
        <v>5353.40996557358</v>
      </c>
    </row>
    <row r="666" customFormat="false" ht="15" hidden="false" customHeight="false" outlineLevel="0" collapsed="false">
      <c r="A666" s="1" t="n">
        <v>662</v>
      </c>
      <c r="B666" s="81" t="n">
        <f aca="true">RAND()</f>
        <v>0.187526653584235</v>
      </c>
      <c r="C666" s="82" t="n">
        <f aca="false">ROUND(IF(B666&lt;(Inputs!$E$8-Inputs!$D$8)/(Inputs!$F$8-Inputs!$D$8),Inputs!$D$8+SQRT(B666*(Inputs!$F$8-Inputs!$D$8)*(Inputs!$E$8-Inputs!$D$8)),Inputs!$F$8-SQRT((1-B666)*(Inputs!$F$8-Inputs!$D$8)*(Inputs!$F$8-Inputs!$E$8))),0)</f>
        <v>23</v>
      </c>
      <c r="D666" s="81" t="n">
        <f aca="true">RAND()</f>
        <v>0.907863419580777</v>
      </c>
      <c r="E666" s="83" t="n">
        <f aca="false">IF(D666&lt;(Inputs!$E$10-Inputs!$D$10)/(Inputs!$F$10-Inputs!$D$10),Inputs!$D$10+SQRT(D666*(Inputs!$F$10-Inputs!$D$10)*(Inputs!$E$10-Inputs!$D$10)),Inputs!$F$10-SQRT((1-D666)*(Inputs!$F$10-Inputs!$D$10)*(Inputs!$F$10-Inputs!$E$10)))</f>
        <v>0.147425315858517</v>
      </c>
      <c r="F666" s="81" t="n">
        <f aca="true">RAND()</f>
        <v>0.149333195175253</v>
      </c>
      <c r="G666" s="83" t="n">
        <f aca="false">IF(F666&lt;(Inputs!$E$15-Inputs!$D$15)/(Inputs!$F$15-Inputs!$D$15),Inputs!$D$15+SQRT(F666*(Inputs!$F$15-Inputs!$D$15)*(Inputs!$E$15-Inputs!$D$15)),Inputs!$F$15-SQRT((1-F666)*(Inputs!$F$15-Inputs!$D$15)*(Inputs!$F$15-Inputs!$E$15)))</f>
        <v>0.654650378804772</v>
      </c>
      <c r="H666" s="81" t="n">
        <f aca="true">RAND()</f>
        <v>0.869665339071308</v>
      </c>
      <c r="I666" s="82" t="n">
        <f aca="false">ROUND(IF(H666&lt;(Inputs!$E$17-Inputs!$D$17)/(Inputs!$F$17-Inputs!$D$17),Inputs!$D$17+SQRT(H666*(Inputs!$F$17-Inputs!$D$17)*(Inputs!$E$17-Inputs!$D$17)),Inputs!$F$17-SQRT((1-H666)*(Inputs!$F$17-Inputs!$D$17)*(Inputs!$F$17-Inputs!$E$17))),0)</f>
        <v>111</v>
      </c>
      <c r="J666" s="81" t="n">
        <f aca="true">RAND()</f>
        <v>0.183728434040267</v>
      </c>
      <c r="K666" s="83" t="n">
        <f aca="false">IF(J666&lt;(Inputs!$E$18-Inputs!$D$18)/(Inputs!$F$18-Inputs!$D$18),Inputs!$D$18+SQRT(J666*(Inputs!$F$18-Inputs!$D$18)*(Inputs!$E$18-Inputs!$D$18)),Inputs!$F$18-SQRT((1-J666)*(Inputs!$F$18-Inputs!$D$18)*(Inputs!$F$18-Inputs!$E$18)))</f>
        <v>0.980190368445402</v>
      </c>
      <c r="L666" s="81" t="n">
        <f aca="true">RAND()</f>
        <v>0.470019746892443</v>
      </c>
      <c r="M666" s="83" t="n">
        <f aca="false">IF(L666&lt;(Inputs!$E$24-Inputs!$D$24)/(Inputs!$F$24-Inputs!$D$24),Inputs!$D$24+SQRT(L666*(Inputs!$F$24-Inputs!$D$24)*(Inputs!$E$24-Inputs!$D$24)),Inputs!$F$24-SQRT((1-L666)*(Inputs!$F$24-Inputs!$D$24)*(Inputs!$F$24-Inputs!$E$24)))</f>
        <v>0.843355554163795</v>
      </c>
      <c r="N666" s="81" t="n">
        <f aca="true">RAND()</f>
        <v>0.971792011417957</v>
      </c>
      <c r="O666" s="83" t="n">
        <f aca="false">IF(N666&lt;(Inputs!$E$26-Inputs!$D$26)/(Inputs!$F$26-Inputs!$D$26),Inputs!$D$26+SQRT(N666*(Inputs!$F$26-Inputs!$D$26)*(Inputs!$E$26-Inputs!$D$26)),Inputs!$F$26-SQRT((1-N666)*(Inputs!$F$26-Inputs!$D$26)*(Inputs!$F$26-Inputs!$E$26)))</f>
        <v>0.765836997751855</v>
      </c>
      <c r="P666" s="81" t="n">
        <f aca="true">RAND()</f>
        <v>0.721761656992837</v>
      </c>
      <c r="Q666" s="82" t="n">
        <f aca="false">IF(P666&lt;(Inputs!$E$27-Inputs!$D$27)/(Inputs!$F$27-Inputs!$D$27),Inputs!$D$27+SQRT(P666*(Inputs!$F$27-Inputs!$D$27)*(Inputs!$E$27-Inputs!$D$27)),Inputs!$F$27-SQRT((1-P666)*(Inputs!$F$27-Inputs!$D$27)*(Inputs!$F$27-Inputs!$E$27)))</f>
        <v>104.318629918163</v>
      </c>
      <c r="R666" s="81" t="n">
        <f aca="true">RAND()</f>
        <v>0.177627620590799</v>
      </c>
      <c r="S666" s="82" t="n">
        <f aca="false">IF(R666&lt;(Inputs!$E$29-Inputs!$D$29)/(Inputs!$F$29-Inputs!$D$29),Inputs!$D$29+SQRT(R666*(Inputs!$F$29-Inputs!$D$29)*(Inputs!$E$29-Inputs!$D$29)),Inputs!$F$29-SQRT((1-R666)*(Inputs!$F$29-Inputs!$D$29)*(Inputs!$F$29-Inputs!$E$29)))</f>
        <v>4.6320101069413</v>
      </c>
      <c r="T666" s="68" t="n">
        <f aca="false">Inputs!$E$9*(1+E666)+Inputs!$E$5*C666*(Inputs!$E$11*Inputs!$E$14*(G666*I666/Inputs!$E$16+(1-G666))*K666+Inputs!$E$23*M666)*(1+O666)+Inputs!$E$5*(Q666+S666)</f>
        <v>6553.25345734417</v>
      </c>
    </row>
    <row r="667" customFormat="false" ht="15" hidden="false" customHeight="false" outlineLevel="0" collapsed="false">
      <c r="A667" s="1" t="n">
        <v>663</v>
      </c>
      <c r="B667" s="81" t="n">
        <f aca="true">RAND()</f>
        <v>0.448778149752392</v>
      </c>
      <c r="C667" s="82" t="n">
        <f aca="false">ROUND(IF(B667&lt;(Inputs!$E$8-Inputs!$D$8)/(Inputs!$F$8-Inputs!$D$8),Inputs!$D$8+SQRT(B667*(Inputs!$F$8-Inputs!$D$8)*(Inputs!$E$8-Inputs!$D$8)),Inputs!$F$8-SQRT((1-B667)*(Inputs!$F$8-Inputs!$D$8)*(Inputs!$F$8-Inputs!$E$8))),0)</f>
        <v>25</v>
      </c>
      <c r="D667" s="81" t="n">
        <f aca="true">RAND()</f>
        <v>0.59381987347014</v>
      </c>
      <c r="E667" s="83" t="n">
        <f aca="false">IF(D667&lt;(Inputs!$E$10-Inputs!$D$10)/(Inputs!$F$10-Inputs!$D$10),Inputs!$D$10+SQRT(D667*(Inputs!$F$10-Inputs!$D$10)*(Inputs!$E$10-Inputs!$D$10)),Inputs!$F$10-SQRT((1-D667)*(Inputs!$F$10-Inputs!$D$10)*(Inputs!$F$10-Inputs!$E$10)))</f>
        <v>0.0896124835142316</v>
      </c>
      <c r="F667" s="81" t="n">
        <f aca="true">RAND()</f>
        <v>0.505764115861548</v>
      </c>
      <c r="G667" s="83" t="n">
        <f aca="false">IF(F667&lt;(Inputs!$E$15-Inputs!$D$15)/(Inputs!$F$15-Inputs!$D$15),Inputs!$D$15+SQRT(F667*(Inputs!$F$15-Inputs!$D$15)*(Inputs!$E$15-Inputs!$D$15)),Inputs!$F$15-SQRT((1-F667)*(Inputs!$F$15-Inputs!$D$15)*(Inputs!$F$15-Inputs!$E$15)))</f>
        <v>0.70057808248294</v>
      </c>
      <c r="H667" s="81" t="n">
        <f aca="true">RAND()</f>
        <v>0.135014773975632</v>
      </c>
      <c r="I667" s="82" t="n">
        <f aca="false">ROUND(IF(H667&lt;(Inputs!$E$17-Inputs!$D$17)/(Inputs!$F$17-Inputs!$D$17),Inputs!$D$17+SQRT(H667*(Inputs!$F$17-Inputs!$D$17)*(Inputs!$E$17-Inputs!$D$17)),Inputs!$F$17-SQRT((1-H667)*(Inputs!$F$17-Inputs!$D$17)*(Inputs!$F$17-Inputs!$E$17))),0)</f>
        <v>103</v>
      </c>
      <c r="J667" s="81" t="n">
        <f aca="true">RAND()</f>
        <v>0.120073415424978</v>
      </c>
      <c r="K667" s="83" t="n">
        <f aca="false">IF(J667&lt;(Inputs!$E$18-Inputs!$D$18)/(Inputs!$F$18-Inputs!$D$18),Inputs!$D$18+SQRT(J667*(Inputs!$F$18-Inputs!$D$18)*(Inputs!$E$18-Inputs!$D$18)),Inputs!$F$18-SQRT((1-J667)*(Inputs!$F$18-Inputs!$D$18)*(Inputs!$F$18-Inputs!$E$18)))</f>
        <v>0.964827228383406</v>
      </c>
      <c r="L667" s="81" t="n">
        <f aca="true">RAND()</f>
        <v>0.940927915961551</v>
      </c>
      <c r="M667" s="83" t="n">
        <f aca="false">IF(L667&lt;(Inputs!$E$24-Inputs!$D$24)/(Inputs!$F$24-Inputs!$D$24),Inputs!$D$24+SQRT(L667*(Inputs!$F$24-Inputs!$D$24)*(Inputs!$E$24-Inputs!$D$24)),Inputs!$F$24-SQRT((1-L667)*(Inputs!$F$24-Inputs!$D$24)*(Inputs!$F$24-Inputs!$E$24)))</f>
        <v>1.08093153159116</v>
      </c>
      <c r="N667" s="81" t="n">
        <f aca="true">RAND()</f>
        <v>0.764940328429583</v>
      </c>
      <c r="O667" s="83" t="n">
        <f aca="false">IF(N667&lt;(Inputs!$E$26-Inputs!$D$26)/(Inputs!$F$26-Inputs!$D$26),Inputs!$D$26+SQRT(N667*(Inputs!$F$26-Inputs!$D$26)*(Inputs!$E$26-Inputs!$D$26)),Inputs!$F$26-SQRT((1-N667)*(Inputs!$F$26-Inputs!$D$26)*(Inputs!$F$26-Inputs!$E$26)))</f>
        <v>0.663647175134814</v>
      </c>
      <c r="P667" s="81" t="n">
        <f aca="true">RAND()</f>
        <v>0.999020335983373</v>
      </c>
      <c r="Q667" s="82" t="n">
        <f aca="false">IF(P667&lt;(Inputs!$E$27-Inputs!$D$27)/(Inputs!$F$27-Inputs!$D$27),Inputs!$D$27+SQRT(P667*(Inputs!$F$27-Inputs!$D$27)*(Inputs!$E$27-Inputs!$D$27)),Inputs!$F$27-SQRT((1-P667)*(Inputs!$F$27-Inputs!$D$27)*(Inputs!$F$27-Inputs!$E$27)))</f>
        <v>147.289376432497</v>
      </c>
      <c r="R667" s="81" t="n">
        <f aca="true">RAND()</f>
        <v>0.551118679953867</v>
      </c>
      <c r="S667" s="82" t="n">
        <f aca="false">IF(R667&lt;(Inputs!$E$29-Inputs!$D$29)/(Inputs!$F$29-Inputs!$D$29),Inputs!$D$29+SQRT(R667*(Inputs!$F$29-Inputs!$D$29)*(Inputs!$E$29-Inputs!$D$29)),Inputs!$F$29-SQRT((1-R667)*(Inputs!$F$29-Inputs!$D$29)*(Inputs!$F$29-Inputs!$E$29)))</f>
        <v>7.36098359695456</v>
      </c>
      <c r="T667" s="68" t="n">
        <f aca="false">Inputs!$E$9*(1+E667)+Inputs!$E$5*C667*(Inputs!$E$11*Inputs!$E$14*(G667*I667/Inputs!$E$16+(1-G667))*K667+Inputs!$E$23*M667)*(1+O667)+Inputs!$E$5*(Q667+S667)</f>
        <v>6903.92594682678</v>
      </c>
    </row>
    <row r="668" customFormat="false" ht="15" hidden="false" customHeight="false" outlineLevel="0" collapsed="false">
      <c r="A668" s="1" t="n">
        <v>664</v>
      </c>
      <c r="B668" s="81" t="n">
        <f aca="true">RAND()</f>
        <v>0.763658455615614</v>
      </c>
      <c r="C668" s="82" t="n">
        <f aca="false">ROUND(IF(B668&lt;(Inputs!$E$8-Inputs!$D$8)/(Inputs!$F$8-Inputs!$D$8),Inputs!$D$8+SQRT(B668*(Inputs!$F$8-Inputs!$D$8)*(Inputs!$E$8-Inputs!$D$8)),Inputs!$F$8-SQRT((1-B668)*(Inputs!$F$8-Inputs!$D$8)*(Inputs!$F$8-Inputs!$E$8))),0)</f>
        <v>27</v>
      </c>
      <c r="D668" s="81" t="n">
        <f aca="true">RAND()</f>
        <v>0.0358086202346322</v>
      </c>
      <c r="E668" s="83" t="n">
        <f aca="false">IF(D668&lt;(Inputs!$E$10-Inputs!$D$10)/(Inputs!$F$10-Inputs!$D$10),Inputs!$D$10+SQRT(D668*(Inputs!$F$10-Inputs!$D$10)*(Inputs!$E$10-Inputs!$D$10)),Inputs!$F$10-SQRT((1-D668)*(Inputs!$F$10-Inputs!$D$10)*(Inputs!$F$10-Inputs!$E$10)))</f>
        <v>0.0189231657590986</v>
      </c>
      <c r="F668" s="81" t="n">
        <f aca="true">RAND()</f>
        <v>0.862383689999192</v>
      </c>
      <c r="G668" s="83" t="n">
        <f aca="false">IF(F668&lt;(Inputs!$E$15-Inputs!$D$15)/(Inputs!$F$15-Inputs!$D$15),Inputs!$D$15+SQRT(F668*(Inputs!$F$15-Inputs!$D$15)*(Inputs!$E$15-Inputs!$D$15)),Inputs!$F$15-SQRT((1-F668)*(Inputs!$F$15-Inputs!$D$15)*(Inputs!$F$15-Inputs!$E$15)))</f>
        <v>0.747537382832953</v>
      </c>
      <c r="H668" s="81" t="n">
        <f aca="true">RAND()</f>
        <v>0.428813486118012</v>
      </c>
      <c r="I668" s="82" t="n">
        <f aca="false">ROUND(IF(H668&lt;(Inputs!$E$17-Inputs!$D$17)/(Inputs!$F$17-Inputs!$D$17),Inputs!$D$17+SQRT(H668*(Inputs!$F$17-Inputs!$D$17)*(Inputs!$E$17-Inputs!$D$17)),Inputs!$F$17-SQRT((1-H668)*(Inputs!$F$17-Inputs!$D$17)*(Inputs!$F$17-Inputs!$E$17))),0)</f>
        <v>106</v>
      </c>
      <c r="J668" s="81" t="n">
        <f aca="true">RAND()</f>
        <v>0.0256815659299359</v>
      </c>
      <c r="K668" s="83" t="n">
        <f aca="false">IF(J668&lt;(Inputs!$E$18-Inputs!$D$18)/(Inputs!$F$18-Inputs!$D$18),Inputs!$D$18+SQRT(J668*(Inputs!$F$18-Inputs!$D$18)*(Inputs!$E$18-Inputs!$D$18)),Inputs!$F$18-SQRT((1-J668)*(Inputs!$F$18-Inputs!$D$18)*(Inputs!$F$18-Inputs!$E$18)))</f>
        <v>0.929980907383663</v>
      </c>
      <c r="L668" s="81" t="n">
        <f aca="true">RAND()</f>
        <v>0.891299421100449</v>
      </c>
      <c r="M668" s="83" t="n">
        <f aca="false">IF(L668&lt;(Inputs!$E$24-Inputs!$D$24)/(Inputs!$F$24-Inputs!$D$24),Inputs!$D$24+SQRT(L668*(Inputs!$F$24-Inputs!$D$24)*(Inputs!$E$24-Inputs!$D$24)),Inputs!$F$24-SQRT((1-L668)*(Inputs!$F$24-Inputs!$D$24)*(Inputs!$F$24-Inputs!$E$24)))</f>
        <v>1.03848176902934</v>
      </c>
      <c r="N668" s="81" t="n">
        <f aca="true">RAND()</f>
        <v>0.707936201899309</v>
      </c>
      <c r="O668" s="83" t="n">
        <f aca="false">IF(N668&lt;(Inputs!$E$26-Inputs!$D$26)/(Inputs!$F$26-Inputs!$D$26),Inputs!$D$26+SQRT(N668*(Inputs!$F$26-Inputs!$D$26)*(Inputs!$E$26-Inputs!$D$26)),Inputs!$F$26-SQRT((1-N668)*(Inputs!$F$26-Inputs!$D$26)*(Inputs!$F$26-Inputs!$E$26)))</f>
        <v>0.645716796556662</v>
      </c>
      <c r="P668" s="81" t="n">
        <f aca="true">RAND()</f>
        <v>0.268640503690112</v>
      </c>
      <c r="Q668" s="82" t="n">
        <f aca="false">IF(P668&lt;(Inputs!$E$27-Inputs!$D$27)/(Inputs!$F$27-Inputs!$D$27),Inputs!$D$27+SQRT(P668*(Inputs!$F$27-Inputs!$D$27)*(Inputs!$E$27-Inputs!$D$27)),Inputs!$F$27-SQRT((1-P668)*(Inputs!$F$27-Inputs!$D$27)*(Inputs!$F$27-Inputs!$E$27)))</f>
        <v>75.9378894283713</v>
      </c>
      <c r="R668" s="81" t="n">
        <f aca="true">RAND()</f>
        <v>0.514351037364744</v>
      </c>
      <c r="S668" s="82" t="n">
        <f aca="false">IF(R668&lt;(Inputs!$E$29-Inputs!$D$29)/(Inputs!$F$29-Inputs!$D$29),Inputs!$D$29+SQRT(R668*(Inputs!$F$29-Inputs!$D$29)*(Inputs!$E$29-Inputs!$D$29)),Inputs!$F$29-SQRT((1-R668)*(Inputs!$F$29-Inputs!$D$29)*(Inputs!$F$29-Inputs!$E$29)))</f>
        <v>7.05428636668907</v>
      </c>
      <c r="T668" s="68" t="n">
        <f aca="false">Inputs!$E$9*(1+E668)+Inputs!$E$5*C668*(Inputs!$E$11*Inputs!$E$14*(G668*I668/Inputs!$E$16+(1-G668))*K668+Inputs!$E$23*M668)*(1+O668)+Inputs!$E$5*(Q668+S668)</f>
        <v>6468.21815932302</v>
      </c>
    </row>
    <row r="669" customFormat="false" ht="15" hidden="false" customHeight="false" outlineLevel="0" collapsed="false">
      <c r="A669" s="1" t="n">
        <v>665</v>
      </c>
      <c r="B669" s="81" t="n">
        <f aca="true">RAND()</f>
        <v>0.0977577982181725</v>
      </c>
      <c r="C669" s="82" t="n">
        <f aca="false">ROUND(IF(B669&lt;(Inputs!$E$8-Inputs!$D$8)/(Inputs!$F$8-Inputs!$D$8),Inputs!$D$8+SQRT(B669*(Inputs!$F$8-Inputs!$D$8)*(Inputs!$E$8-Inputs!$D$8)),Inputs!$F$8-SQRT((1-B669)*(Inputs!$F$8-Inputs!$D$8)*(Inputs!$F$8-Inputs!$E$8))),0)</f>
        <v>22</v>
      </c>
      <c r="D669" s="81" t="n">
        <f aca="true">RAND()</f>
        <v>0.29365200452824</v>
      </c>
      <c r="E669" s="83" t="n">
        <f aca="false">IF(D669&lt;(Inputs!$E$10-Inputs!$D$10)/(Inputs!$F$10-Inputs!$D$10),Inputs!$D$10+SQRT(D669*(Inputs!$F$10-Inputs!$D$10)*(Inputs!$E$10-Inputs!$D$10)),Inputs!$F$10-SQRT((1-D669)*(Inputs!$F$10-Inputs!$D$10)*(Inputs!$F$10-Inputs!$E$10)))</f>
        <v>0.0544306355576394</v>
      </c>
      <c r="F669" s="81" t="n">
        <f aca="true">RAND()</f>
        <v>0.500322207959487</v>
      </c>
      <c r="G669" s="83" t="n">
        <f aca="false">IF(F669&lt;(Inputs!$E$15-Inputs!$D$15)/(Inputs!$F$15-Inputs!$D$15),Inputs!$D$15+SQRT(F669*(Inputs!$F$15-Inputs!$D$15)*(Inputs!$E$15-Inputs!$D$15)),Inputs!$F$15-SQRT((1-F669)*(Inputs!$F$15-Inputs!$D$15)*(Inputs!$F$15-Inputs!$E$15)))</f>
        <v>0.70003222598852</v>
      </c>
      <c r="H669" s="81" t="n">
        <f aca="true">RAND()</f>
        <v>0.92489769718387</v>
      </c>
      <c r="I669" s="82" t="n">
        <f aca="false">ROUND(IF(H669&lt;(Inputs!$E$17-Inputs!$D$17)/(Inputs!$F$17-Inputs!$D$17),Inputs!$D$17+SQRT(H669*(Inputs!$F$17-Inputs!$D$17)*(Inputs!$E$17-Inputs!$D$17)),Inputs!$F$17-SQRT((1-H669)*(Inputs!$F$17-Inputs!$D$17)*(Inputs!$F$17-Inputs!$E$17))),0)</f>
        <v>112</v>
      </c>
      <c r="J669" s="81" t="n">
        <f aca="true">RAND()</f>
        <v>0.442424211563294</v>
      </c>
      <c r="K669" s="83" t="n">
        <f aca="false">IF(J669&lt;(Inputs!$E$18-Inputs!$D$18)/(Inputs!$F$18-Inputs!$D$18),Inputs!$D$18+SQRT(J669*(Inputs!$F$18-Inputs!$D$18)*(Inputs!$E$18-Inputs!$D$18)),Inputs!$F$18-SQRT((1-J669)*(Inputs!$F$18-Inputs!$D$18)*(Inputs!$F$18-Inputs!$E$18)))</f>
        <v>1.02912021032197</v>
      </c>
      <c r="L669" s="81" t="n">
        <f aca="true">RAND()</f>
        <v>0.507699866623827</v>
      </c>
      <c r="M669" s="83" t="n">
        <f aca="false">IF(L669&lt;(Inputs!$E$24-Inputs!$D$24)/(Inputs!$F$24-Inputs!$D$24),Inputs!$D$24+SQRT(L669*(Inputs!$F$24-Inputs!$D$24)*(Inputs!$E$24-Inputs!$D$24)),Inputs!$F$24-SQRT((1-L669)*(Inputs!$F$24-Inputs!$D$24)*(Inputs!$F$24-Inputs!$E$24)))</f>
        <v>0.856267499339557</v>
      </c>
      <c r="N669" s="81" t="n">
        <f aca="true">RAND()</f>
        <v>0.787226483495128</v>
      </c>
      <c r="O669" s="83" t="n">
        <f aca="false">IF(N669&lt;(Inputs!$E$26-Inputs!$D$26)/(Inputs!$F$26-Inputs!$D$26),Inputs!$D$26+SQRT(N669*(Inputs!$F$26-Inputs!$D$26)*(Inputs!$E$26-Inputs!$D$26)),Inputs!$F$26-SQRT((1-N669)*(Inputs!$F$26-Inputs!$D$26)*(Inputs!$F$26-Inputs!$E$26)))</f>
        <v>0.671243669995167</v>
      </c>
      <c r="P669" s="81" t="n">
        <f aca="true">RAND()</f>
        <v>0.551547913472265</v>
      </c>
      <c r="Q669" s="82" t="n">
        <f aca="false">IF(P669&lt;(Inputs!$E$27-Inputs!$D$27)/(Inputs!$F$27-Inputs!$D$27),Inputs!$D$27+SQRT(P669*(Inputs!$F$27-Inputs!$D$27)*(Inputs!$E$27-Inputs!$D$27)),Inputs!$F$27-SQRT((1-P669)*(Inputs!$F$27-Inputs!$D$27)*(Inputs!$F$27-Inputs!$E$27)))</f>
        <v>92.0052532641274</v>
      </c>
      <c r="R669" s="81" t="n">
        <f aca="true">RAND()</f>
        <v>0.125879851497684</v>
      </c>
      <c r="S669" s="82" t="n">
        <f aca="false">IF(R669&lt;(Inputs!$E$29-Inputs!$D$29)/(Inputs!$F$29-Inputs!$D$29),Inputs!$D$29+SQRT(R669*(Inputs!$F$29-Inputs!$D$29)*(Inputs!$E$29-Inputs!$D$29)),Inputs!$F$29-SQRT((1-R669)*(Inputs!$F$29-Inputs!$D$29)*(Inputs!$F$29-Inputs!$E$29)))</f>
        <v>4.21569722850611</v>
      </c>
      <c r="T669" s="68" t="n">
        <f aca="false">Inputs!$E$9*(1+E669)+Inputs!$E$5*C669*(Inputs!$E$11*Inputs!$E$14*(G669*I669/Inputs!$E$16+(1-G669))*K669+Inputs!$E$23*M669)*(1+O669)+Inputs!$E$5*(Q669+S669)</f>
        <v>6032.32608314909</v>
      </c>
    </row>
    <row r="670" customFormat="false" ht="15" hidden="false" customHeight="false" outlineLevel="0" collapsed="false">
      <c r="A670" s="1" t="n">
        <v>666</v>
      </c>
      <c r="B670" s="81" t="n">
        <f aca="true">RAND()</f>
        <v>0.846215093913301</v>
      </c>
      <c r="C670" s="82" t="n">
        <f aca="false">ROUND(IF(B670&lt;(Inputs!$E$8-Inputs!$D$8)/(Inputs!$F$8-Inputs!$D$8),Inputs!$D$8+SQRT(B670*(Inputs!$F$8-Inputs!$D$8)*(Inputs!$E$8-Inputs!$D$8)),Inputs!$F$8-SQRT((1-B670)*(Inputs!$F$8-Inputs!$D$8)*(Inputs!$F$8-Inputs!$E$8))),0)</f>
        <v>27</v>
      </c>
      <c r="D670" s="81" t="n">
        <f aca="true">RAND()</f>
        <v>0.846694128757834</v>
      </c>
      <c r="E670" s="83" t="n">
        <f aca="false">IF(D670&lt;(Inputs!$E$10-Inputs!$D$10)/(Inputs!$F$10-Inputs!$D$10),Inputs!$D$10+SQRT(D670*(Inputs!$F$10-Inputs!$D$10)*(Inputs!$E$10-Inputs!$D$10)),Inputs!$F$10-SQRT((1-D670)*(Inputs!$F$10-Inputs!$D$10)*(Inputs!$F$10-Inputs!$E$10)))</f>
        <v>0.132182774037381</v>
      </c>
      <c r="F670" s="81" t="n">
        <f aca="true">RAND()</f>
        <v>0.310253692237416</v>
      </c>
      <c r="G670" s="83" t="n">
        <f aca="false">IF(F670&lt;(Inputs!$E$15-Inputs!$D$15)/(Inputs!$F$15-Inputs!$D$15),Inputs!$D$15+SQRT(F670*(Inputs!$F$15-Inputs!$D$15)*(Inputs!$E$15-Inputs!$D$15)),Inputs!$F$15-SQRT((1-F670)*(Inputs!$F$15-Inputs!$D$15)*(Inputs!$F$15-Inputs!$E$15)))</f>
        <v>0.678772291097494</v>
      </c>
      <c r="H670" s="81" t="n">
        <f aca="true">RAND()</f>
        <v>0.123734038965192</v>
      </c>
      <c r="I670" s="82" t="n">
        <f aca="false">ROUND(IF(H670&lt;(Inputs!$E$17-Inputs!$D$17)/(Inputs!$F$17-Inputs!$D$17),Inputs!$D$17+SQRT(H670*(Inputs!$F$17-Inputs!$D$17)*(Inputs!$E$17-Inputs!$D$17)),Inputs!$F$17-SQRT((1-H670)*(Inputs!$F$17-Inputs!$D$17)*(Inputs!$F$17-Inputs!$E$17))),0)</f>
        <v>103</v>
      </c>
      <c r="J670" s="81" t="n">
        <f aca="true">RAND()</f>
        <v>0.394231377394628</v>
      </c>
      <c r="K670" s="83" t="n">
        <f aca="false">IF(J670&lt;(Inputs!$E$18-Inputs!$D$18)/(Inputs!$F$18-Inputs!$D$18),Inputs!$D$18+SQRT(J670*(Inputs!$F$18-Inputs!$D$18)*(Inputs!$E$18-Inputs!$D$18)),Inputs!$F$18-SQRT((1-J670)*(Inputs!$F$18-Inputs!$D$18)*(Inputs!$F$18-Inputs!$E$18)))</f>
        <v>1.01977238550085</v>
      </c>
      <c r="L670" s="81" t="n">
        <f aca="true">RAND()</f>
        <v>0.101908092122243</v>
      </c>
      <c r="M670" s="83" t="n">
        <f aca="false">IF(L670&lt;(Inputs!$E$24-Inputs!$D$24)/(Inputs!$F$24-Inputs!$D$24),Inputs!$D$24+SQRT(L670*(Inputs!$F$24-Inputs!$D$24)*(Inputs!$E$24-Inputs!$D$24)),Inputs!$F$24-SQRT((1-L670)*(Inputs!$F$24-Inputs!$D$24)*(Inputs!$F$24-Inputs!$E$24)))</f>
        <v>0.710584678209367</v>
      </c>
      <c r="N670" s="81" t="n">
        <f aca="true">RAND()</f>
        <v>0.461532357492709</v>
      </c>
      <c r="O670" s="83" t="n">
        <f aca="false">IF(N670&lt;(Inputs!$E$26-Inputs!$D$26)/(Inputs!$F$26-Inputs!$D$26),Inputs!$D$26+SQRT(N670*(Inputs!$F$26-Inputs!$D$26)*(Inputs!$E$26-Inputs!$D$26)),Inputs!$F$26-SQRT((1-N670)*(Inputs!$F$26-Inputs!$D$26)*(Inputs!$F$26-Inputs!$E$26)))</f>
        <v>0.577126296635283</v>
      </c>
      <c r="P670" s="81" t="n">
        <f aca="true">RAND()</f>
        <v>0.49626469783878</v>
      </c>
      <c r="Q670" s="82" t="n">
        <f aca="false">IF(P670&lt;(Inputs!$E$27-Inputs!$D$27)/(Inputs!$F$27-Inputs!$D$27),Inputs!$D$27+SQRT(P670*(Inputs!$F$27-Inputs!$D$27)*(Inputs!$E$27-Inputs!$D$27)),Inputs!$F$27-SQRT((1-P670)*(Inputs!$F$27-Inputs!$D$27)*(Inputs!$F$27-Inputs!$E$27)))</f>
        <v>88.5344424396138</v>
      </c>
      <c r="R670" s="81" t="n">
        <f aca="true">RAND()</f>
        <v>0.868436947403023</v>
      </c>
      <c r="S670" s="82" t="n">
        <f aca="false">IF(R670&lt;(Inputs!$E$29-Inputs!$D$29)/(Inputs!$F$29-Inputs!$D$29),Inputs!$D$29+SQRT(R670*(Inputs!$F$29-Inputs!$D$29)*(Inputs!$E$29-Inputs!$D$29)),Inputs!$F$29-SQRT((1-R670)*(Inputs!$F$29-Inputs!$D$29)*(Inputs!$F$29-Inputs!$E$29)))</f>
        <v>10.8643988541438</v>
      </c>
      <c r="T670" s="68" t="n">
        <f aca="false">Inputs!$E$9*(1+E670)+Inputs!$E$5*C670*(Inputs!$E$11*Inputs!$E$14*(G670*I670/Inputs!$E$16+(1-G670))*K670+Inputs!$E$23*M670)*(1+O670)+Inputs!$E$5*(Q670+S670)</f>
        <v>6404.62540207722</v>
      </c>
    </row>
    <row r="671" customFormat="false" ht="15" hidden="false" customHeight="false" outlineLevel="0" collapsed="false">
      <c r="A671" s="1" t="n">
        <v>667</v>
      </c>
      <c r="B671" s="81" t="n">
        <f aca="true">RAND()</f>
        <v>0.267923183372738</v>
      </c>
      <c r="C671" s="82" t="n">
        <f aca="false">ROUND(IF(B671&lt;(Inputs!$E$8-Inputs!$D$8)/(Inputs!$F$8-Inputs!$D$8),Inputs!$D$8+SQRT(B671*(Inputs!$F$8-Inputs!$D$8)*(Inputs!$E$8-Inputs!$D$8)),Inputs!$F$8-SQRT((1-B671)*(Inputs!$F$8-Inputs!$D$8)*(Inputs!$F$8-Inputs!$E$8))),0)</f>
        <v>24</v>
      </c>
      <c r="D671" s="81" t="n">
        <f aca="true">RAND()</f>
        <v>0.925558068261259</v>
      </c>
      <c r="E671" s="83" t="n">
        <f aca="false">IF(D671&lt;(Inputs!$E$10-Inputs!$D$10)/(Inputs!$F$10-Inputs!$D$10),Inputs!$D$10+SQRT(D671*(Inputs!$F$10-Inputs!$D$10)*(Inputs!$E$10-Inputs!$D$10)),Inputs!$F$10-SQRT((1-D671)*(Inputs!$F$10-Inputs!$D$10)*(Inputs!$F$10-Inputs!$E$10)))</f>
        <v>0.152742641290882</v>
      </c>
      <c r="F671" s="81" t="n">
        <f aca="true">RAND()</f>
        <v>0.370843847872965</v>
      </c>
      <c r="G671" s="83" t="n">
        <f aca="false">IF(F671&lt;(Inputs!$E$15-Inputs!$D$15)/(Inputs!$F$15-Inputs!$D$15),Inputs!$D$15+SQRT(F671*(Inputs!$F$15-Inputs!$D$15)*(Inputs!$E$15-Inputs!$D$15)),Inputs!$F$15-SQRT((1-F671)*(Inputs!$F$15-Inputs!$D$15)*(Inputs!$F$15-Inputs!$E$15)))</f>
        <v>0.686121292126043</v>
      </c>
      <c r="H671" s="81" t="n">
        <f aca="true">RAND()</f>
        <v>0.278484419716268</v>
      </c>
      <c r="I671" s="82" t="n">
        <f aca="false">ROUND(IF(H671&lt;(Inputs!$E$17-Inputs!$D$17)/(Inputs!$F$17-Inputs!$D$17),Inputs!$D$17+SQRT(H671*(Inputs!$F$17-Inputs!$D$17)*(Inputs!$E$17-Inputs!$D$17)),Inputs!$F$17-SQRT((1-H671)*(Inputs!$F$17-Inputs!$D$17)*(Inputs!$F$17-Inputs!$E$17))),0)</f>
        <v>105</v>
      </c>
      <c r="J671" s="81" t="n">
        <f aca="true">RAND()</f>
        <v>0.279539770097993</v>
      </c>
      <c r="K671" s="83" t="n">
        <f aca="false">IF(J671&lt;(Inputs!$E$18-Inputs!$D$18)/(Inputs!$F$18-Inputs!$D$18),Inputs!$D$18+SQRT(J671*(Inputs!$F$18-Inputs!$D$18)*(Inputs!$E$18-Inputs!$D$18)),Inputs!$F$18-SQRT((1-J671)*(Inputs!$F$18-Inputs!$D$18)*(Inputs!$F$18-Inputs!$E$18)))</f>
        <v>0.998913557985899</v>
      </c>
      <c r="L671" s="81" t="n">
        <f aca="true">RAND()</f>
        <v>0.2229283292959</v>
      </c>
      <c r="M671" s="83" t="n">
        <f aca="false">IF(L671&lt;(Inputs!$E$24-Inputs!$D$24)/(Inputs!$F$24-Inputs!$D$24),Inputs!$D$24+SQRT(L671*(Inputs!$F$24-Inputs!$D$24)*(Inputs!$E$24-Inputs!$D$24)),Inputs!$F$24-SQRT((1-L671)*(Inputs!$F$24-Inputs!$D$24)*(Inputs!$F$24-Inputs!$E$24)))</f>
        <v>0.763558550725751</v>
      </c>
      <c r="N671" s="81" t="n">
        <f aca="true">RAND()</f>
        <v>0.0826921604898008</v>
      </c>
      <c r="O671" s="83" t="n">
        <f aca="false">IF(N671&lt;(Inputs!$E$26-Inputs!$D$26)/(Inputs!$F$26-Inputs!$D$26),Inputs!$D$26+SQRT(N671*(Inputs!$F$26-Inputs!$D$26)*(Inputs!$E$26-Inputs!$D$26)),Inputs!$F$26-SQRT((1-N671)*(Inputs!$F$26-Inputs!$D$26)*(Inputs!$F$26-Inputs!$E$26)))</f>
        <v>0.417302921981947</v>
      </c>
      <c r="P671" s="81" t="n">
        <f aca="true">RAND()</f>
        <v>0.508150456932528</v>
      </c>
      <c r="Q671" s="82" t="n">
        <f aca="false">IF(P671&lt;(Inputs!$E$27-Inputs!$D$27)/(Inputs!$F$27-Inputs!$D$27),Inputs!$D$27+SQRT(P671*(Inputs!$F$27-Inputs!$D$27)*(Inputs!$E$27-Inputs!$D$27)),Inputs!$F$27-SQRT((1-P671)*(Inputs!$F$27-Inputs!$D$27)*(Inputs!$F$27-Inputs!$E$27)))</f>
        <v>89.2639186890853</v>
      </c>
      <c r="R671" s="81" t="n">
        <f aca="true">RAND()</f>
        <v>0.0156257264493647</v>
      </c>
      <c r="S671" s="82" t="n">
        <f aca="false">IF(R671&lt;(Inputs!$E$29-Inputs!$D$29)/(Inputs!$F$29-Inputs!$D$29),Inputs!$D$29+SQRT(R671*(Inputs!$F$29-Inputs!$D$29)*(Inputs!$E$29-Inputs!$D$29)),Inputs!$F$29-SQRT((1-R671)*(Inputs!$F$29-Inputs!$D$29)*(Inputs!$F$29-Inputs!$E$29)))</f>
        <v>2.7806428962882</v>
      </c>
      <c r="T671" s="68" t="n">
        <f aca="false">Inputs!$E$9*(1+E671)+Inputs!$E$5*C671*(Inputs!$E$11*Inputs!$E$14*(G671*I671/Inputs!$E$16+(1-G671))*K671+Inputs!$E$23*M671)*(1+O671)+Inputs!$E$5*(Q671+S671)</f>
        <v>5762.58015169325</v>
      </c>
    </row>
    <row r="672" customFormat="false" ht="15" hidden="false" customHeight="false" outlineLevel="0" collapsed="false">
      <c r="A672" s="1" t="n">
        <v>668</v>
      </c>
      <c r="B672" s="81" t="n">
        <f aca="true">RAND()</f>
        <v>0.375579046567104</v>
      </c>
      <c r="C672" s="82" t="n">
        <f aca="false">ROUND(IF(B672&lt;(Inputs!$E$8-Inputs!$D$8)/(Inputs!$F$8-Inputs!$D$8),Inputs!$D$8+SQRT(B672*(Inputs!$F$8-Inputs!$D$8)*(Inputs!$E$8-Inputs!$D$8)),Inputs!$F$8-SQRT((1-B672)*(Inputs!$F$8-Inputs!$D$8)*(Inputs!$F$8-Inputs!$E$8))),0)</f>
        <v>24</v>
      </c>
      <c r="D672" s="81" t="n">
        <f aca="true">RAND()</f>
        <v>0.363509321393718</v>
      </c>
      <c r="E672" s="83" t="n">
        <f aca="false">IF(D672&lt;(Inputs!$E$10-Inputs!$D$10)/(Inputs!$F$10-Inputs!$D$10),Inputs!$D$10+SQRT(D672*(Inputs!$F$10-Inputs!$D$10)*(Inputs!$E$10-Inputs!$D$10)),Inputs!$F$10-SQRT((1-D672)*(Inputs!$F$10-Inputs!$D$10)*(Inputs!$F$10-Inputs!$E$10)))</f>
        <v>0.061816352783014</v>
      </c>
      <c r="F672" s="81" t="n">
        <f aca="true">RAND()</f>
        <v>0.968151343812532</v>
      </c>
      <c r="G672" s="83" t="n">
        <f aca="false">IF(F672&lt;(Inputs!$E$15-Inputs!$D$15)/(Inputs!$F$15-Inputs!$D$15),Inputs!$D$15+SQRT(F672*(Inputs!$F$15-Inputs!$D$15)*(Inputs!$E$15-Inputs!$D$15)),Inputs!$F$15-SQRT((1-F672)*(Inputs!$F$15-Inputs!$D$15)*(Inputs!$F$15-Inputs!$E$15)))</f>
        <v>0.774761673515279</v>
      </c>
      <c r="H672" s="81" t="n">
        <f aca="true">RAND()</f>
        <v>0.0575417580748185</v>
      </c>
      <c r="I672" s="82" t="n">
        <f aca="false">ROUND(IF(H672&lt;(Inputs!$E$17-Inputs!$D$17)/(Inputs!$F$17-Inputs!$D$17),Inputs!$D$17+SQRT(H672*(Inputs!$F$17-Inputs!$D$17)*(Inputs!$E$17-Inputs!$D$17)),Inputs!$F$17-SQRT((1-H672)*(Inputs!$F$17-Inputs!$D$17)*(Inputs!$F$17-Inputs!$E$17))),0)</f>
        <v>102</v>
      </c>
      <c r="J672" s="81" t="n">
        <f aca="true">RAND()</f>
        <v>0.348200201391321</v>
      </c>
      <c r="K672" s="83" t="n">
        <f aca="false">IF(J672&lt;(Inputs!$E$18-Inputs!$D$18)/(Inputs!$F$18-Inputs!$D$18),Inputs!$D$18+SQRT(J672*(Inputs!$F$18-Inputs!$D$18)*(Inputs!$E$18-Inputs!$D$18)),Inputs!$F$18-SQRT((1-J672)*(Inputs!$F$18-Inputs!$D$18)*(Inputs!$F$18-Inputs!$E$18)))</f>
        <v>1.0111852551071</v>
      </c>
      <c r="L672" s="81" t="n">
        <f aca="true">RAND()</f>
        <v>0.414997257408631</v>
      </c>
      <c r="M672" s="83" t="n">
        <f aca="false">IF(L672&lt;(Inputs!$E$24-Inputs!$D$24)/(Inputs!$F$24-Inputs!$D$24),Inputs!$D$24+SQRT(L672*(Inputs!$F$24-Inputs!$D$24)*(Inputs!$E$24-Inputs!$D$24)),Inputs!$F$24-SQRT((1-L672)*(Inputs!$F$24-Inputs!$D$24)*(Inputs!$F$24-Inputs!$E$24)))</f>
        <v>0.82529924176494</v>
      </c>
      <c r="N672" s="81" t="n">
        <f aca="true">RAND()</f>
        <v>0.243171571876797</v>
      </c>
      <c r="O672" s="83" t="n">
        <f aca="false">IF(N672&lt;(Inputs!$E$26-Inputs!$D$26)/(Inputs!$F$26-Inputs!$D$26),Inputs!$D$26+SQRT(N672*(Inputs!$F$26-Inputs!$D$26)*(Inputs!$E$26-Inputs!$D$26)),Inputs!$F$26-SQRT((1-N672)*(Inputs!$F$26-Inputs!$D$26)*(Inputs!$F$26-Inputs!$E$26)))</f>
        <v>0.501156032870752</v>
      </c>
      <c r="P672" s="81" t="n">
        <f aca="true">RAND()</f>
        <v>0.0496891250821684</v>
      </c>
      <c r="Q672" s="82" t="n">
        <f aca="false">IF(P672&lt;(Inputs!$E$27-Inputs!$D$27)/(Inputs!$F$27-Inputs!$D$27),Inputs!$D$27+SQRT(P672*(Inputs!$F$27-Inputs!$D$27)*(Inputs!$E$27-Inputs!$D$27)),Inputs!$F$27-SQRT((1-P672)*(Inputs!$F$27-Inputs!$D$27)*(Inputs!$F$27-Inputs!$E$27)))</f>
        <v>61.1455288212548</v>
      </c>
      <c r="R672" s="81" t="n">
        <f aca="true">RAND()</f>
        <v>0.092176286589246</v>
      </c>
      <c r="S672" s="82" t="n">
        <f aca="false">IF(R672&lt;(Inputs!$E$29-Inputs!$D$29)/(Inputs!$F$29-Inputs!$D$29),Inputs!$D$29+SQRT(R672*(Inputs!$F$29-Inputs!$D$29)*(Inputs!$E$29-Inputs!$D$29)),Inputs!$F$29-SQRT((1-R672)*(Inputs!$F$29-Inputs!$D$29)*(Inputs!$F$29-Inputs!$E$29)))</f>
        <v>3.8960156056796</v>
      </c>
      <c r="T672" s="68" t="n">
        <f aca="false">Inputs!$E$9*(1+E672)+Inputs!$E$5*C672*(Inputs!$E$11*Inputs!$E$14*(G672*I672/Inputs!$E$16+(1-G672))*K672+Inputs!$E$23*M672)*(1+O672)+Inputs!$E$5*(Q672+S672)</f>
        <v>5551.65151584631</v>
      </c>
    </row>
    <row r="673" customFormat="false" ht="15" hidden="false" customHeight="false" outlineLevel="0" collapsed="false">
      <c r="A673" s="1" t="n">
        <v>669</v>
      </c>
      <c r="B673" s="81" t="n">
        <f aca="true">RAND()</f>
        <v>0.788422396009733</v>
      </c>
      <c r="C673" s="82" t="n">
        <f aca="false">ROUND(IF(B673&lt;(Inputs!$E$8-Inputs!$D$8)/(Inputs!$F$8-Inputs!$D$8),Inputs!$D$8+SQRT(B673*(Inputs!$F$8-Inputs!$D$8)*(Inputs!$E$8-Inputs!$D$8)),Inputs!$F$8-SQRT((1-B673)*(Inputs!$F$8-Inputs!$D$8)*(Inputs!$F$8-Inputs!$E$8))),0)</f>
        <v>27</v>
      </c>
      <c r="D673" s="81" t="n">
        <f aca="true">RAND()</f>
        <v>0.532995596910889</v>
      </c>
      <c r="E673" s="83" t="n">
        <f aca="false">IF(D673&lt;(Inputs!$E$10-Inputs!$D$10)/(Inputs!$F$10-Inputs!$D$10),Inputs!$D$10+SQRT(D673*(Inputs!$F$10-Inputs!$D$10)*(Inputs!$E$10-Inputs!$D$10)),Inputs!$F$10-SQRT((1-D673)*(Inputs!$F$10-Inputs!$D$10)*(Inputs!$F$10-Inputs!$E$10)))</f>
        <v>0.0816355961757364</v>
      </c>
      <c r="F673" s="81" t="n">
        <f aca="true">RAND()</f>
        <v>0.148437602896795</v>
      </c>
      <c r="G673" s="83" t="n">
        <f aca="false">IF(F673&lt;(Inputs!$E$15-Inputs!$D$15)/(Inputs!$F$15-Inputs!$D$15),Inputs!$D$15+SQRT(F673*(Inputs!$F$15-Inputs!$D$15)*(Inputs!$E$15-Inputs!$D$15)),Inputs!$F$15-SQRT((1-F673)*(Inputs!$F$15-Inputs!$D$15)*(Inputs!$F$15-Inputs!$E$15)))</f>
        <v>0.65448625567917</v>
      </c>
      <c r="H673" s="81" t="n">
        <f aca="true">RAND()</f>
        <v>0.670320934551238</v>
      </c>
      <c r="I673" s="82" t="n">
        <f aca="false">ROUND(IF(H673&lt;(Inputs!$E$17-Inputs!$D$17)/(Inputs!$F$17-Inputs!$D$17),Inputs!$D$17+SQRT(H673*(Inputs!$F$17-Inputs!$D$17)*(Inputs!$E$17-Inputs!$D$17)),Inputs!$F$17-SQRT((1-H673)*(Inputs!$F$17-Inputs!$D$17)*(Inputs!$F$17-Inputs!$E$17))),0)</f>
        <v>108</v>
      </c>
      <c r="J673" s="81" t="n">
        <f aca="true">RAND()</f>
        <v>0.332514247479824</v>
      </c>
      <c r="K673" s="83" t="n">
        <f aca="false">IF(J673&lt;(Inputs!$E$18-Inputs!$D$18)/(Inputs!$F$18-Inputs!$D$18),Inputs!$D$18+SQRT(J673*(Inputs!$F$18-Inputs!$D$18)*(Inputs!$E$18-Inputs!$D$18)),Inputs!$F$18-SQRT((1-J673)*(Inputs!$F$18-Inputs!$D$18)*(Inputs!$F$18-Inputs!$E$18)))</f>
        <v>1.00832872875429</v>
      </c>
      <c r="L673" s="81" t="n">
        <f aca="true">RAND()</f>
        <v>0.581712734408635</v>
      </c>
      <c r="M673" s="83" t="n">
        <f aca="false">IF(L673&lt;(Inputs!$E$24-Inputs!$D$24)/(Inputs!$F$24-Inputs!$D$24),Inputs!$D$24+SQRT(L673*(Inputs!$F$24-Inputs!$D$24)*(Inputs!$E$24-Inputs!$D$24)),Inputs!$F$24-SQRT((1-L673)*(Inputs!$F$24-Inputs!$D$24)*(Inputs!$F$24-Inputs!$E$24)))</f>
        <v>0.88315785674578</v>
      </c>
      <c r="N673" s="81" t="n">
        <f aca="true">RAND()</f>
        <v>0.942020597624938</v>
      </c>
      <c r="O673" s="83" t="n">
        <f aca="false">IF(N673&lt;(Inputs!$E$26-Inputs!$D$26)/(Inputs!$F$26-Inputs!$D$26),Inputs!$D$26+SQRT(N673*(Inputs!$F$26-Inputs!$D$26)*(Inputs!$E$26-Inputs!$D$26)),Inputs!$F$26-SQRT((1-N673)*(Inputs!$F$26-Inputs!$D$26)*(Inputs!$F$26-Inputs!$E$26)))</f>
        <v>0.742347840680336</v>
      </c>
      <c r="P673" s="81" t="n">
        <f aca="true">RAND()</f>
        <v>0.683662750998872</v>
      </c>
      <c r="Q673" s="82" t="n">
        <f aca="false">IF(P673&lt;(Inputs!$E$27-Inputs!$D$27)/(Inputs!$F$27-Inputs!$D$27),Inputs!$D$27+SQRT(P673*(Inputs!$F$27-Inputs!$D$27)*(Inputs!$E$27-Inputs!$D$27)),Inputs!$F$27-SQRT((1-P673)*(Inputs!$F$27-Inputs!$D$27)*(Inputs!$F$27-Inputs!$E$27)))</f>
        <v>101.291383026117</v>
      </c>
      <c r="R673" s="81" t="n">
        <f aca="true">RAND()</f>
        <v>0.760258556012883</v>
      </c>
      <c r="S673" s="82" t="n">
        <f aca="false">IF(R673&lt;(Inputs!$E$29-Inputs!$D$29)/(Inputs!$F$29-Inputs!$D$29),Inputs!$D$29+SQRT(R673*(Inputs!$F$29-Inputs!$D$29)*(Inputs!$E$29-Inputs!$D$29)),Inputs!$F$29-SQRT((1-R673)*(Inputs!$F$29-Inputs!$D$29)*(Inputs!$F$29-Inputs!$E$29)))</f>
        <v>9.41731357513919</v>
      </c>
      <c r="T673" s="68" t="n">
        <f aca="false">Inputs!$E$9*(1+E673)+Inputs!$E$5*C673*(Inputs!$E$11*Inputs!$E$14*(G673*I673/Inputs!$E$16+(1-G673))*K673+Inputs!$E$23*M673)*(1+O673)+Inputs!$E$5*(Q673+S673)</f>
        <v>7072.31334063432</v>
      </c>
    </row>
    <row r="674" customFormat="false" ht="15" hidden="false" customHeight="false" outlineLevel="0" collapsed="false">
      <c r="A674" s="1" t="n">
        <v>670</v>
      </c>
      <c r="B674" s="81" t="n">
        <f aca="true">RAND()</f>
        <v>0.586631540518113</v>
      </c>
      <c r="C674" s="82" t="n">
        <f aca="false">ROUND(IF(B674&lt;(Inputs!$E$8-Inputs!$D$8)/(Inputs!$F$8-Inputs!$D$8),Inputs!$D$8+SQRT(B674*(Inputs!$F$8-Inputs!$D$8)*(Inputs!$E$8-Inputs!$D$8)),Inputs!$F$8-SQRT((1-B674)*(Inputs!$F$8-Inputs!$D$8)*(Inputs!$F$8-Inputs!$E$8))),0)</f>
        <v>25</v>
      </c>
      <c r="D674" s="81" t="n">
        <f aca="true">RAND()</f>
        <v>0.370848138351311</v>
      </c>
      <c r="E674" s="83" t="n">
        <f aca="false">IF(D674&lt;(Inputs!$E$10-Inputs!$D$10)/(Inputs!$F$10-Inputs!$D$10),Inputs!$D$10+SQRT(D674*(Inputs!$F$10-Inputs!$D$10)*(Inputs!$E$10-Inputs!$D$10)),Inputs!$F$10-SQRT((1-D674)*(Inputs!$F$10-Inputs!$D$10)*(Inputs!$F$10-Inputs!$E$10)))</f>
        <v>0.0626152997984832</v>
      </c>
      <c r="F674" s="81" t="n">
        <f aca="true">RAND()</f>
        <v>0.589338220718444</v>
      </c>
      <c r="G674" s="83" t="n">
        <f aca="false">IF(F674&lt;(Inputs!$E$15-Inputs!$D$15)/(Inputs!$F$15-Inputs!$D$15),Inputs!$D$15+SQRT(F674*(Inputs!$F$15-Inputs!$D$15)*(Inputs!$E$15-Inputs!$D$15)),Inputs!$F$15-SQRT((1-F674)*(Inputs!$F$15-Inputs!$D$15)*(Inputs!$F$15-Inputs!$E$15)))</f>
        <v>0.709373096788916</v>
      </c>
      <c r="H674" s="81" t="n">
        <f aca="true">RAND()</f>
        <v>0.41193820751678</v>
      </c>
      <c r="I674" s="82" t="n">
        <f aca="false">ROUND(IF(H674&lt;(Inputs!$E$17-Inputs!$D$17)/(Inputs!$F$17-Inputs!$D$17),Inputs!$D$17+SQRT(H674*(Inputs!$F$17-Inputs!$D$17)*(Inputs!$E$17-Inputs!$D$17)),Inputs!$F$17-SQRT((1-H674)*(Inputs!$F$17-Inputs!$D$17)*(Inputs!$F$17-Inputs!$E$17))),0)</f>
        <v>106</v>
      </c>
      <c r="J674" s="81" t="n">
        <f aca="true">RAND()</f>
        <v>0.549088099951831</v>
      </c>
      <c r="K674" s="83" t="n">
        <f aca="false">IF(J674&lt;(Inputs!$E$18-Inputs!$D$18)/(Inputs!$F$18-Inputs!$D$18),Inputs!$D$18+SQRT(J674*(Inputs!$F$18-Inputs!$D$18)*(Inputs!$E$18-Inputs!$D$18)),Inputs!$F$18-SQRT((1-J674)*(Inputs!$F$18-Inputs!$D$18)*(Inputs!$F$18-Inputs!$E$18)))</f>
        <v>1.05136769836148</v>
      </c>
      <c r="L674" s="81" t="n">
        <f aca="true">RAND()</f>
        <v>0.295310447122468</v>
      </c>
      <c r="M674" s="83" t="n">
        <f aca="false">IF(L674&lt;(Inputs!$E$24-Inputs!$D$24)/(Inputs!$F$24-Inputs!$D$24),Inputs!$D$24+SQRT(L674*(Inputs!$F$24-Inputs!$D$24)*(Inputs!$E$24-Inputs!$D$24)),Inputs!$F$24-SQRT((1-L674)*(Inputs!$F$24-Inputs!$D$24)*(Inputs!$F$24-Inputs!$E$24)))</f>
        <v>0.788247851660241</v>
      </c>
      <c r="N674" s="81" t="n">
        <f aca="true">RAND()</f>
        <v>0.573887195738818</v>
      </c>
      <c r="O674" s="83" t="n">
        <f aca="false">IF(N674&lt;(Inputs!$E$26-Inputs!$D$26)/(Inputs!$F$26-Inputs!$D$26),Inputs!$D$26+SQRT(N674*(Inputs!$F$26-Inputs!$D$26)*(Inputs!$E$26-Inputs!$D$26)),Inputs!$F$26-SQRT((1-N674)*(Inputs!$F$26-Inputs!$D$26)*(Inputs!$F$26-Inputs!$E$26)))</f>
        <v>0.60902237681265</v>
      </c>
      <c r="P674" s="81" t="n">
        <f aca="true">RAND()</f>
        <v>0.746841513015745</v>
      </c>
      <c r="Q674" s="82" t="n">
        <f aca="false">IF(P674&lt;(Inputs!$E$27-Inputs!$D$27)/(Inputs!$F$27-Inputs!$D$27),Inputs!$D$27+SQRT(P674*(Inputs!$F$27-Inputs!$D$27)*(Inputs!$E$27-Inputs!$D$27)),Inputs!$F$27-SQRT((1-P674)*(Inputs!$F$27-Inputs!$D$27)*(Inputs!$F$27-Inputs!$E$27)))</f>
        <v>106.426055349763</v>
      </c>
      <c r="R674" s="81" t="n">
        <f aca="true">RAND()</f>
        <v>0.999506115329083</v>
      </c>
      <c r="S674" s="82" t="n">
        <f aca="false">IF(R674&lt;(Inputs!$E$29-Inputs!$D$29)/(Inputs!$F$29-Inputs!$D$29),Inputs!$D$29+SQRT(R674*(Inputs!$F$29-Inputs!$D$29)*(Inputs!$E$29-Inputs!$D$29)),Inputs!$F$29-SQRT((1-R674)*(Inputs!$F$29-Inputs!$D$29)*(Inputs!$F$29-Inputs!$E$29)))</f>
        <v>14.7466129300474</v>
      </c>
      <c r="T674" s="68" t="n">
        <f aca="false">Inputs!$E$9*(1+E674)+Inputs!$E$5*C674*(Inputs!$E$11*Inputs!$E$14*(G674*I674/Inputs!$E$16+(1-G674))*K674+Inputs!$E$23*M674)*(1+O674)+Inputs!$E$5*(Q674+S674)</f>
        <v>6344.42855325668</v>
      </c>
    </row>
    <row r="675" customFormat="false" ht="15" hidden="false" customHeight="false" outlineLevel="0" collapsed="false">
      <c r="A675" s="1" t="n">
        <v>671</v>
      </c>
      <c r="B675" s="81" t="n">
        <f aca="true">RAND()</f>
        <v>0.961779088943152</v>
      </c>
      <c r="C675" s="82" t="n">
        <f aca="false">ROUND(IF(B675&lt;(Inputs!$E$8-Inputs!$D$8)/(Inputs!$F$8-Inputs!$D$8),Inputs!$D$8+SQRT(B675*(Inputs!$F$8-Inputs!$D$8)*(Inputs!$E$8-Inputs!$D$8)),Inputs!$F$8-SQRT((1-B675)*(Inputs!$F$8-Inputs!$D$8)*(Inputs!$F$8-Inputs!$E$8))),0)</f>
        <v>29</v>
      </c>
      <c r="D675" s="81" t="n">
        <f aca="true">RAND()</f>
        <v>0.541202070136363</v>
      </c>
      <c r="E675" s="83" t="n">
        <f aca="false">IF(D675&lt;(Inputs!$E$10-Inputs!$D$10)/(Inputs!$F$10-Inputs!$D$10),Inputs!$D$10+SQRT(D675*(Inputs!$F$10-Inputs!$D$10)*(Inputs!$E$10-Inputs!$D$10)),Inputs!$F$10-SQRT((1-D675)*(Inputs!$F$10-Inputs!$D$10)*(Inputs!$F$10-Inputs!$E$10)))</f>
        <v>0.0826801896698213</v>
      </c>
      <c r="F675" s="81" t="n">
        <f aca="true">RAND()</f>
        <v>0.170173577660885</v>
      </c>
      <c r="G675" s="83" t="n">
        <f aca="false">IF(F675&lt;(Inputs!$E$15-Inputs!$D$15)/(Inputs!$F$15-Inputs!$D$15),Inputs!$D$15+SQRT(F675*(Inputs!$F$15-Inputs!$D$15)*(Inputs!$E$15-Inputs!$D$15)),Inputs!$F$15-SQRT((1-F675)*(Inputs!$F$15-Inputs!$D$15)*(Inputs!$F$15-Inputs!$E$15)))</f>
        <v>0.658339279676884</v>
      </c>
      <c r="H675" s="81" t="n">
        <f aca="true">RAND()</f>
        <v>0.286600903606053</v>
      </c>
      <c r="I675" s="82" t="n">
        <f aca="false">ROUND(IF(H675&lt;(Inputs!$E$17-Inputs!$D$17)/(Inputs!$F$17-Inputs!$D$17),Inputs!$D$17+SQRT(H675*(Inputs!$F$17-Inputs!$D$17)*(Inputs!$E$17-Inputs!$D$17)),Inputs!$F$17-SQRT((1-H675)*(Inputs!$F$17-Inputs!$D$17)*(Inputs!$F$17-Inputs!$E$17))),0)</f>
        <v>105</v>
      </c>
      <c r="J675" s="81" t="n">
        <f aca="true">RAND()</f>
        <v>0.376557753109803</v>
      </c>
      <c r="K675" s="83" t="n">
        <f aca="false">IF(J675&lt;(Inputs!$E$18-Inputs!$D$18)/(Inputs!$F$18-Inputs!$D$18),Inputs!$D$18+SQRT(J675*(Inputs!$F$18-Inputs!$D$18)*(Inputs!$E$18-Inputs!$D$18)),Inputs!$F$18-SQRT((1-J675)*(Inputs!$F$18-Inputs!$D$18)*(Inputs!$F$18-Inputs!$E$18)))</f>
        <v>1.01643802406451</v>
      </c>
      <c r="L675" s="81" t="n">
        <f aca="true">RAND()</f>
        <v>0.798411355931294</v>
      </c>
      <c r="M675" s="83" t="n">
        <f aca="false">IF(L675&lt;(Inputs!$E$24-Inputs!$D$24)/(Inputs!$F$24-Inputs!$D$24),Inputs!$D$24+SQRT(L675*(Inputs!$F$24-Inputs!$D$24)*(Inputs!$E$24-Inputs!$D$24)),Inputs!$F$24-SQRT((1-L675)*(Inputs!$F$24-Inputs!$D$24)*(Inputs!$F$24-Inputs!$E$24)))</f>
        <v>0.980042561897786</v>
      </c>
      <c r="N675" s="81" t="n">
        <f aca="true">RAND()</f>
        <v>0.628838978477302</v>
      </c>
      <c r="O675" s="83" t="n">
        <f aca="false">IF(N675&lt;(Inputs!$E$26-Inputs!$D$26)/(Inputs!$F$26-Inputs!$D$26),Inputs!$D$26+SQRT(N675*(Inputs!$F$26-Inputs!$D$26)*(Inputs!$E$26-Inputs!$D$26)),Inputs!$F$26-SQRT((1-N675)*(Inputs!$F$26-Inputs!$D$26)*(Inputs!$F$26-Inputs!$E$26)))</f>
        <v>0.623529273838669</v>
      </c>
      <c r="P675" s="81" t="n">
        <f aca="true">RAND()</f>
        <v>0.172268273893832</v>
      </c>
      <c r="Q675" s="82" t="n">
        <f aca="false">IF(P675&lt;(Inputs!$E$27-Inputs!$D$27)/(Inputs!$F$27-Inputs!$D$27),Inputs!$D$27+SQRT(P675*(Inputs!$F$27-Inputs!$D$27)*(Inputs!$E$27-Inputs!$D$27)),Inputs!$F$27-SQRT((1-P675)*(Inputs!$F$27-Inputs!$D$27)*(Inputs!$F$27-Inputs!$E$27)))</f>
        <v>70.7526066973424</v>
      </c>
      <c r="R675" s="81" t="n">
        <f aca="true">RAND()</f>
        <v>0.575754778085276</v>
      </c>
      <c r="S675" s="82" t="n">
        <f aca="false">IF(R675&lt;(Inputs!$E$29-Inputs!$D$29)/(Inputs!$F$29-Inputs!$D$29),Inputs!$D$29+SQRT(R675*(Inputs!$F$29-Inputs!$D$29)*(Inputs!$E$29-Inputs!$D$29)),Inputs!$F$29-SQRT((1-R675)*(Inputs!$F$29-Inputs!$D$29)*(Inputs!$F$29-Inputs!$E$29)))</f>
        <v>7.57356890229808</v>
      </c>
      <c r="T675" s="68" t="n">
        <f aca="false">Inputs!$E$9*(1+E675)+Inputs!$E$5*C675*(Inputs!$E$11*Inputs!$E$14*(G675*I675/Inputs!$E$16+(1-G675))*K675+Inputs!$E$23*M675)*(1+O675)+Inputs!$E$5*(Q675+S675)</f>
        <v>7054.89063792313</v>
      </c>
    </row>
    <row r="676" customFormat="false" ht="15" hidden="false" customHeight="false" outlineLevel="0" collapsed="false">
      <c r="A676" s="1" t="n">
        <v>672</v>
      </c>
      <c r="B676" s="81" t="n">
        <f aca="true">RAND()</f>
        <v>0.401405704650987</v>
      </c>
      <c r="C676" s="82" t="n">
        <f aca="false">ROUND(IF(B676&lt;(Inputs!$E$8-Inputs!$D$8)/(Inputs!$F$8-Inputs!$D$8),Inputs!$D$8+SQRT(B676*(Inputs!$F$8-Inputs!$D$8)*(Inputs!$E$8-Inputs!$D$8)),Inputs!$F$8-SQRT((1-B676)*(Inputs!$F$8-Inputs!$D$8)*(Inputs!$F$8-Inputs!$E$8))),0)</f>
        <v>24</v>
      </c>
      <c r="D676" s="81" t="n">
        <f aca="true">RAND()</f>
        <v>0.434155224852539</v>
      </c>
      <c r="E676" s="83" t="n">
        <f aca="false">IF(D676&lt;(Inputs!$E$10-Inputs!$D$10)/(Inputs!$F$10-Inputs!$D$10),Inputs!$D$10+SQRT(D676*(Inputs!$F$10-Inputs!$D$10)*(Inputs!$E$10-Inputs!$D$10)),Inputs!$F$10-SQRT((1-D676)*(Inputs!$F$10-Inputs!$D$10)*(Inputs!$F$10-Inputs!$E$10)))</f>
        <v>0.0697105405091271</v>
      </c>
      <c r="F676" s="81" t="n">
        <f aca="true">RAND()</f>
        <v>0.181998878533722</v>
      </c>
      <c r="G676" s="83" t="n">
        <f aca="false">IF(F676&lt;(Inputs!$E$15-Inputs!$D$15)/(Inputs!$F$15-Inputs!$D$15),Inputs!$D$15+SQRT(F676*(Inputs!$F$15-Inputs!$D$15)*(Inputs!$E$15-Inputs!$D$15)),Inputs!$F$15-SQRT((1-F676)*(Inputs!$F$15-Inputs!$D$15)*(Inputs!$F$15-Inputs!$E$15)))</f>
        <v>0.660332226634481</v>
      </c>
      <c r="H676" s="81" t="n">
        <f aca="true">RAND()</f>
        <v>0.636262707998345</v>
      </c>
      <c r="I676" s="82" t="n">
        <f aca="false">ROUND(IF(H676&lt;(Inputs!$E$17-Inputs!$D$17)/(Inputs!$F$17-Inputs!$D$17),Inputs!$D$17+SQRT(H676*(Inputs!$F$17-Inputs!$D$17)*(Inputs!$E$17-Inputs!$D$17)),Inputs!$F$17-SQRT((1-H676)*(Inputs!$F$17-Inputs!$D$17)*(Inputs!$F$17-Inputs!$E$17))),0)</f>
        <v>108</v>
      </c>
      <c r="J676" s="81" t="n">
        <f aca="true">RAND()</f>
        <v>0.786422853276348</v>
      </c>
      <c r="K676" s="83" t="n">
        <f aca="false">IF(J676&lt;(Inputs!$E$18-Inputs!$D$18)/(Inputs!$F$18-Inputs!$D$18),Inputs!$D$18+SQRT(J676*(Inputs!$F$18-Inputs!$D$18)*(Inputs!$E$18-Inputs!$D$18)),Inputs!$F$18-SQRT((1-J676)*(Inputs!$F$18-Inputs!$D$18)*(Inputs!$F$18-Inputs!$E$18)))</f>
        <v>1.1132959388375</v>
      </c>
      <c r="L676" s="81" t="n">
        <f aca="true">RAND()</f>
        <v>0.816573544913831</v>
      </c>
      <c r="M676" s="83" t="n">
        <f aca="false">IF(L676&lt;(Inputs!$E$24-Inputs!$D$24)/(Inputs!$F$24-Inputs!$D$24),Inputs!$D$24+SQRT(L676*(Inputs!$F$24-Inputs!$D$24)*(Inputs!$E$24-Inputs!$D$24)),Inputs!$F$24-SQRT((1-L676)*(Inputs!$F$24-Inputs!$D$24)*(Inputs!$F$24-Inputs!$E$24)))</f>
        <v>0.990184964264521</v>
      </c>
      <c r="N676" s="81" t="n">
        <f aca="true">RAND()</f>
        <v>0.413281693918595</v>
      </c>
      <c r="O676" s="83" t="n">
        <f aca="false">IF(N676&lt;(Inputs!$E$26-Inputs!$D$26)/(Inputs!$F$26-Inputs!$D$26),Inputs!$D$26+SQRT(N676*(Inputs!$F$26-Inputs!$D$26)*(Inputs!$E$26-Inputs!$D$26)),Inputs!$F$26-SQRT((1-N676)*(Inputs!$F$26-Inputs!$D$26)*(Inputs!$F$26-Inputs!$E$26)))</f>
        <v>0.562240488613132</v>
      </c>
      <c r="P676" s="81" t="n">
        <f aca="true">RAND()</f>
        <v>0.876915655283612</v>
      </c>
      <c r="Q676" s="82" t="n">
        <f aca="false">IF(P676&lt;(Inputs!$E$27-Inputs!$D$27)/(Inputs!$F$27-Inputs!$D$27),Inputs!$D$27+SQRT(P676*(Inputs!$F$27-Inputs!$D$27)*(Inputs!$E$27-Inputs!$D$27)),Inputs!$F$27-SQRT((1-P676)*(Inputs!$F$27-Inputs!$D$27)*(Inputs!$F$27-Inputs!$E$27)))</f>
        <v>119.616902966075</v>
      </c>
      <c r="R676" s="81" t="n">
        <f aca="true">RAND()</f>
        <v>0.149260552717459</v>
      </c>
      <c r="S676" s="82" t="n">
        <f aca="false">IF(R676&lt;(Inputs!$E$29-Inputs!$D$29)/(Inputs!$F$29-Inputs!$D$29),Inputs!$D$29+SQRT(R676*(Inputs!$F$29-Inputs!$D$29)*(Inputs!$E$29-Inputs!$D$29)),Inputs!$F$29-SQRT((1-R676)*(Inputs!$F$29-Inputs!$D$29)*(Inputs!$F$29-Inputs!$E$29)))</f>
        <v>4.4127083445748</v>
      </c>
      <c r="T676" s="68" t="n">
        <f aca="false">Inputs!$E$9*(1+E676)+Inputs!$E$5*C676*(Inputs!$E$11*Inputs!$E$14*(G676*I676/Inputs!$E$16+(1-G676))*K676+Inputs!$E$23*M676)*(1+O676)+Inputs!$E$5*(Q676+S676)</f>
        <v>6628.21688483416</v>
      </c>
    </row>
    <row r="677" customFormat="false" ht="15" hidden="false" customHeight="false" outlineLevel="0" collapsed="false">
      <c r="A677" s="1" t="n">
        <v>673</v>
      </c>
      <c r="B677" s="81" t="n">
        <f aca="true">RAND()</f>
        <v>0.54482764346403</v>
      </c>
      <c r="C677" s="82" t="n">
        <f aca="false">ROUND(IF(B677&lt;(Inputs!$E$8-Inputs!$D$8)/(Inputs!$F$8-Inputs!$D$8),Inputs!$D$8+SQRT(B677*(Inputs!$F$8-Inputs!$D$8)*(Inputs!$E$8-Inputs!$D$8)),Inputs!$F$8-SQRT((1-B677)*(Inputs!$F$8-Inputs!$D$8)*(Inputs!$F$8-Inputs!$E$8))),0)</f>
        <v>25</v>
      </c>
      <c r="D677" s="81" t="n">
        <f aca="true">RAND()</f>
        <v>0.83181151867198</v>
      </c>
      <c r="E677" s="83" t="n">
        <f aca="false">IF(D677&lt;(Inputs!$E$10-Inputs!$D$10)/(Inputs!$F$10-Inputs!$D$10),Inputs!$D$10+SQRT(D677*(Inputs!$F$10-Inputs!$D$10)*(Inputs!$E$10-Inputs!$D$10)),Inputs!$F$10-SQRT((1-D677)*(Inputs!$F$10-Inputs!$D$10)*(Inputs!$F$10-Inputs!$E$10)))</f>
        <v>0.128967229817213</v>
      </c>
      <c r="F677" s="81" t="n">
        <f aca="true">RAND()</f>
        <v>0.0192353281463</v>
      </c>
      <c r="G677" s="83" t="n">
        <f aca="false">IF(F677&lt;(Inputs!$E$15-Inputs!$D$15)/(Inputs!$F$15-Inputs!$D$15),Inputs!$D$15+SQRT(F677*(Inputs!$F$15-Inputs!$D$15)*(Inputs!$E$15-Inputs!$D$15)),Inputs!$F$15-SQRT((1-F677)*(Inputs!$F$15-Inputs!$D$15)*(Inputs!$F$15-Inputs!$E$15)))</f>
        <v>0.61961393797599</v>
      </c>
      <c r="H677" s="81" t="n">
        <f aca="true">RAND()</f>
        <v>0.0992793146228989</v>
      </c>
      <c r="I677" s="82" t="n">
        <f aca="false">ROUND(IF(H677&lt;(Inputs!$E$17-Inputs!$D$17)/(Inputs!$F$17-Inputs!$D$17),Inputs!$D$17+SQRT(H677*(Inputs!$F$17-Inputs!$D$17)*(Inputs!$E$17-Inputs!$D$17)),Inputs!$F$17-SQRT((1-H677)*(Inputs!$F$17-Inputs!$D$17)*(Inputs!$F$17-Inputs!$E$17))),0)</f>
        <v>103</v>
      </c>
      <c r="J677" s="81" t="n">
        <f aca="true">RAND()</f>
        <v>0.355126068279857</v>
      </c>
      <c r="K677" s="83" t="n">
        <f aca="false">IF(J677&lt;(Inputs!$E$18-Inputs!$D$18)/(Inputs!$F$18-Inputs!$D$18),Inputs!$D$18+SQRT(J677*(Inputs!$F$18-Inputs!$D$18)*(Inputs!$E$18-Inputs!$D$18)),Inputs!$F$18-SQRT((1-J677)*(Inputs!$F$18-Inputs!$D$18)*(Inputs!$F$18-Inputs!$E$18)))</f>
        <v>1.01245743744433</v>
      </c>
      <c r="L677" s="81" t="n">
        <f aca="true">RAND()</f>
        <v>0.694730941856793</v>
      </c>
      <c r="M677" s="83" t="n">
        <f aca="false">IF(L677&lt;(Inputs!$E$24-Inputs!$D$24)/(Inputs!$F$24-Inputs!$D$24),Inputs!$D$24+SQRT(L677*(Inputs!$F$24-Inputs!$D$24)*(Inputs!$E$24-Inputs!$D$24)),Inputs!$F$24-SQRT((1-L677)*(Inputs!$F$24-Inputs!$D$24)*(Inputs!$F$24-Inputs!$E$24)))</f>
        <v>0.929325705035795</v>
      </c>
      <c r="N677" s="81" t="n">
        <f aca="true">RAND()</f>
        <v>0.12035386468989</v>
      </c>
      <c r="O677" s="83" t="n">
        <f aca="false">IF(N677&lt;(Inputs!$E$26-Inputs!$D$26)/(Inputs!$F$26-Inputs!$D$26),Inputs!$D$26+SQRT(N677*(Inputs!$F$26-Inputs!$D$26)*(Inputs!$E$26-Inputs!$D$26)),Inputs!$F$26-SQRT((1-N677)*(Inputs!$F$26-Inputs!$D$26)*(Inputs!$F$26-Inputs!$E$26)))</f>
        <v>0.441516370376002</v>
      </c>
      <c r="P677" s="81" t="n">
        <f aca="true">RAND()</f>
        <v>0.240082422881818</v>
      </c>
      <c r="Q677" s="82" t="n">
        <f aca="false">IF(P677&lt;(Inputs!$E$27-Inputs!$D$27)/(Inputs!$F$27-Inputs!$D$27),Inputs!$D$27+SQRT(P677*(Inputs!$F$27-Inputs!$D$27)*(Inputs!$E$27-Inputs!$D$27)),Inputs!$F$27-SQRT((1-P677)*(Inputs!$F$27-Inputs!$D$27)*(Inputs!$F$27-Inputs!$E$27)))</f>
        <v>74.4991031918425</v>
      </c>
      <c r="R677" s="81" t="n">
        <f aca="true">RAND()</f>
        <v>0.737376432811061</v>
      </c>
      <c r="S677" s="82" t="n">
        <f aca="false">IF(R677&lt;(Inputs!$E$29-Inputs!$D$29)/(Inputs!$F$29-Inputs!$D$29),Inputs!$D$29+SQRT(R677*(Inputs!$F$29-Inputs!$D$29)*(Inputs!$E$29-Inputs!$D$29)),Inputs!$F$29-SQRT((1-R677)*(Inputs!$F$29-Inputs!$D$29)*(Inputs!$F$29-Inputs!$E$29)))</f>
        <v>9.15696451024281</v>
      </c>
      <c r="T677" s="68" t="n">
        <f aca="false">Inputs!$E$9*(1+E677)+Inputs!$E$5*C677*(Inputs!$E$11*Inputs!$E$14*(G677*I677/Inputs!$E$16+(1-G677))*K677+Inputs!$E$23*M677)*(1+O677)+Inputs!$E$5*(Q677+S677)</f>
        <v>6134.2311549966</v>
      </c>
    </row>
    <row r="678" customFormat="false" ht="15" hidden="false" customHeight="false" outlineLevel="0" collapsed="false">
      <c r="A678" s="1" t="n">
        <v>674</v>
      </c>
      <c r="B678" s="81" t="n">
        <f aca="true">RAND()</f>
        <v>0.79675699594345</v>
      </c>
      <c r="C678" s="82" t="n">
        <f aca="false">ROUND(IF(B678&lt;(Inputs!$E$8-Inputs!$D$8)/(Inputs!$F$8-Inputs!$D$8),Inputs!$D$8+SQRT(B678*(Inputs!$F$8-Inputs!$D$8)*(Inputs!$E$8-Inputs!$D$8)),Inputs!$F$8-SQRT((1-B678)*(Inputs!$F$8-Inputs!$D$8)*(Inputs!$F$8-Inputs!$E$8))),0)</f>
        <v>27</v>
      </c>
      <c r="D678" s="81" t="n">
        <f aca="true">RAND()</f>
        <v>0.153686085133846</v>
      </c>
      <c r="E678" s="83" t="n">
        <f aca="false">IF(D678&lt;(Inputs!$E$10-Inputs!$D$10)/(Inputs!$F$10-Inputs!$D$10),Inputs!$D$10+SQRT(D678*(Inputs!$F$10-Inputs!$D$10)*(Inputs!$E$10-Inputs!$D$10)),Inputs!$F$10-SQRT((1-D678)*(Inputs!$F$10-Inputs!$D$10)*(Inputs!$F$10-Inputs!$E$10)))</f>
        <v>0.0392028168801486</v>
      </c>
      <c r="F678" s="81" t="n">
        <f aca="true">RAND()</f>
        <v>0.0819513803879415</v>
      </c>
      <c r="G678" s="83" t="n">
        <f aca="false">IF(F678&lt;(Inputs!$E$15-Inputs!$D$15)/(Inputs!$F$15-Inputs!$D$15),Inputs!$D$15+SQRT(F678*(Inputs!$F$15-Inputs!$D$15)*(Inputs!$E$15-Inputs!$D$15)),Inputs!$F$15-SQRT((1-F678)*(Inputs!$F$15-Inputs!$D$15)*(Inputs!$F$15-Inputs!$E$15)))</f>
        <v>0.640484905925034</v>
      </c>
      <c r="H678" s="81" t="n">
        <f aca="true">RAND()</f>
        <v>0.244955239028332</v>
      </c>
      <c r="I678" s="82" t="n">
        <f aca="false">ROUND(IF(H678&lt;(Inputs!$E$17-Inputs!$D$17)/(Inputs!$F$17-Inputs!$D$17),Inputs!$D$17+SQRT(H678*(Inputs!$F$17-Inputs!$D$17)*(Inputs!$E$17-Inputs!$D$17)),Inputs!$F$17-SQRT((1-H678)*(Inputs!$F$17-Inputs!$D$17)*(Inputs!$F$17-Inputs!$E$17))),0)</f>
        <v>104</v>
      </c>
      <c r="J678" s="81" t="n">
        <f aca="true">RAND()</f>
        <v>0.281988777604628</v>
      </c>
      <c r="K678" s="83" t="n">
        <f aca="false">IF(J678&lt;(Inputs!$E$18-Inputs!$D$18)/(Inputs!$F$18-Inputs!$D$18),Inputs!$D$18+SQRT(J678*(Inputs!$F$18-Inputs!$D$18)*(Inputs!$E$18-Inputs!$D$18)),Inputs!$F$18-SQRT((1-J678)*(Inputs!$F$18-Inputs!$D$18)*(Inputs!$F$18-Inputs!$E$18)))</f>
        <v>0.999345896825999</v>
      </c>
      <c r="L678" s="81" t="n">
        <f aca="true">RAND()</f>
        <v>0.426687953434939</v>
      </c>
      <c r="M678" s="83" t="n">
        <f aca="false">IF(L678&lt;(Inputs!$E$24-Inputs!$D$24)/(Inputs!$F$24-Inputs!$D$24),Inputs!$D$24+SQRT(L678*(Inputs!$F$24-Inputs!$D$24)*(Inputs!$E$24-Inputs!$D$24)),Inputs!$F$24-SQRT((1-L678)*(Inputs!$F$24-Inputs!$D$24)*(Inputs!$F$24-Inputs!$E$24)))</f>
        <v>0.829062146477857</v>
      </c>
      <c r="N678" s="81" t="n">
        <f aca="true">RAND()</f>
        <v>0.048249353456845</v>
      </c>
      <c r="O678" s="83" t="n">
        <f aca="false">IF(N678&lt;(Inputs!$E$26-Inputs!$D$26)/(Inputs!$F$26-Inputs!$D$26),Inputs!$D$26+SQRT(N678*(Inputs!$F$26-Inputs!$D$26)*(Inputs!$E$26-Inputs!$D$26)),Inputs!$F$26-SQRT((1-N678)*(Inputs!$F$26-Inputs!$D$26)*(Inputs!$F$26-Inputs!$E$26)))</f>
        <v>0.389602971017813</v>
      </c>
      <c r="P678" s="81" t="n">
        <f aca="true">RAND()</f>
        <v>0.855983552420164</v>
      </c>
      <c r="Q678" s="82" t="n">
        <f aca="false">IF(P678&lt;(Inputs!$E$27-Inputs!$D$27)/(Inputs!$F$27-Inputs!$D$27),Inputs!$D$27+SQRT(P678*(Inputs!$F$27-Inputs!$D$27)*(Inputs!$E$27-Inputs!$D$27)),Inputs!$F$27-SQRT((1-P678)*(Inputs!$F$27-Inputs!$D$27)*(Inputs!$F$27-Inputs!$E$27)))</f>
        <v>117.134769788593</v>
      </c>
      <c r="R678" s="81" t="n">
        <f aca="true">RAND()</f>
        <v>0.226748590155299</v>
      </c>
      <c r="S678" s="82" t="n">
        <f aca="false">IF(R678&lt;(Inputs!$E$29-Inputs!$D$29)/(Inputs!$F$29-Inputs!$D$29),Inputs!$D$29+SQRT(R678*(Inputs!$F$29-Inputs!$D$29)*(Inputs!$E$29-Inputs!$D$29)),Inputs!$F$29-SQRT((1-R678)*(Inputs!$F$29-Inputs!$D$29)*(Inputs!$F$29-Inputs!$E$29)))</f>
        <v>4.97375100101818</v>
      </c>
      <c r="T678" s="68" t="n">
        <f aca="false">Inputs!$E$9*(1+E678)+Inputs!$E$5*C678*(Inputs!$E$11*Inputs!$E$14*(G678*I678/Inputs!$E$16+(1-G678))*K678+Inputs!$E$23*M678)*(1+O678)+Inputs!$E$5*(Q678+S678)</f>
        <v>6083.56470765826</v>
      </c>
    </row>
    <row r="679" customFormat="false" ht="15" hidden="false" customHeight="false" outlineLevel="0" collapsed="false">
      <c r="A679" s="1" t="n">
        <v>675</v>
      </c>
      <c r="B679" s="81" t="n">
        <f aca="true">RAND()</f>
        <v>0.441819387369361</v>
      </c>
      <c r="C679" s="82" t="n">
        <f aca="false">ROUND(IF(B679&lt;(Inputs!$E$8-Inputs!$D$8)/(Inputs!$F$8-Inputs!$D$8),Inputs!$D$8+SQRT(B679*(Inputs!$F$8-Inputs!$D$8)*(Inputs!$E$8-Inputs!$D$8)),Inputs!$F$8-SQRT((1-B679)*(Inputs!$F$8-Inputs!$D$8)*(Inputs!$F$8-Inputs!$E$8))),0)</f>
        <v>25</v>
      </c>
      <c r="D679" s="81" t="n">
        <f aca="true">RAND()</f>
        <v>0.938976618042947</v>
      </c>
      <c r="E679" s="83" t="n">
        <f aca="false">IF(D679&lt;(Inputs!$E$10-Inputs!$D$10)/(Inputs!$F$10-Inputs!$D$10),Inputs!$D$10+SQRT(D679*(Inputs!$F$10-Inputs!$D$10)*(Inputs!$E$10-Inputs!$D$10)),Inputs!$F$10-SQRT((1-D679)*(Inputs!$F$10-Inputs!$D$10)*(Inputs!$F$10-Inputs!$E$10)))</f>
        <v>0.157213302783323</v>
      </c>
      <c r="F679" s="81" t="n">
        <f aca="true">RAND()</f>
        <v>0.576420563792588</v>
      </c>
      <c r="G679" s="83" t="n">
        <f aca="false">IF(F679&lt;(Inputs!$E$15-Inputs!$D$15)/(Inputs!$F$15-Inputs!$D$15),Inputs!$D$15+SQRT(F679*(Inputs!$F$15-Inputs!$D$15)*(Inputs!$E$15-Inputs!$D$15)),Inputs!$F$15-SQRT((1-F679)*(Inputs!$F$15-Inputs!$D$15)*(Inputs!$F$15-Inputs!$E$15)))</f>
        <v>0.707958766174349</v>
      </c>
      <c r="H679" s="81" t="n">
        <f aca="true">RAND()</f>
        <v>0.63986368618652</v>
      </c>
      <c r="I679" s="82" t="n">
        <f aca="false">ROUND(IF(H679&lt;(Inputs!$E$17-Inputs!$D$17)/(Inputs!$F$17-Inputs!$D$17),Inputs!$D$17+SQRT(H679*(Inputs!$F$17-Inputs!$D$17)*(Inputs!$E$17-Inputs!$D$17)),Inputs!$F$17-SQRT((1-H679)*(Inputs!$F$17-Inputs!$D$17)*(Inputs!$F$17-Inputs!$E$17))),0)</f>
        <v>108</v>
      </c>
      <c r="J679" s="81" t="n">
        <f aca="true">RAND()</f>
        <v>0.659129250912764</v>
      </c>
      <c r="K679" s="83" t="n">
        <f aca="false">IF(J679&lt;(Inputs!$E$18-Inputs!$D$18)/(Inputs!$F$18-Inputs!$D$18),Inputs!$D$18+SQRT(J679*(Inputs!$F$18-Inputs!$D$18)*(Inputs!$E$18-Inputs!$D$18)),Inputs!$F$18-SQRT((1-J679)*(Inputs!$F$18-Inputs!$D$18)*(Inputs!$F$18-Inputs!$E$18)))</f>
        <v>1.07729739276683</v>
      </c>
      <c r="L679" s="81" t="n">
        <f aca="true">RAND()</f>
        <v>0.0873102976105774</v>
      </c>
      <c r="M679" s="83" t="n">
        <f aca="false">IF(L679&lt;(Inputs!$E$24-Inputs!$D$24)/(Inputs!$F$24-Inputs!$D$24),Inputs!$D$24+SQRT(L679*(Inputs!$F$24-Inputs!$D$24)*(Inputs!$E$24-Inputs!$D$24)),Inputs!$F$24-SQRT((1-L679)*(Inputs!$F$24-Inputs!$D$24)*(Inputs!$F$24-Inputs!$E$24)))</f>
        <v>0.702358369043617</v>
      </c>
      <c r="N679" s="81" t="n">
        <f aca="true">RAND()</f>
        <v>0.308951381983996</v>
      </c>
      <c r="O679" s="83" t="n">
        <f aca="false">IF(N679&lt;(Inputs!$E$26-Inputs!$D$26)/(Inputs!$F$26-Inputs!$D$26),Inputs!$D$26+SQRT(N679*(Inputs!$F$26-Inputs!$D$26)*(Inputs!$E$26-Inputs!$D$26)),Inputs!$F$26-SQRT((1-N679)*(Inputs!$F$26-Inputs!$D$26)*(Inputs!$F$26-Inputs!$E$26)))</f>
        <v>0.52673665332746</v>
      </c>
      <c r="P679" s="81" t="n">
        <f aca="true">RAND()</f>
        <v>0.833959381248151</v>
      </c>
      <c r="Q679" s="82" t="n">
        <f aca="false">IF(P679&lt;(Inputs!$E$27-Inputs!$D$27)/(Inputs!$F$27-Inputs!$D$27),Inputs!$D$27+SQRT(P679*(Inputs!$F$27-Inputs!$D$27)*(Inputs!$E$27-Inputs!$D$27)),Inputs!$F$27-SQRT((1-P679)*(Inputs!$F$27-Inputs!$D$27)*(Inputs!$F$27-Inputs!$E$27)))</f>
        <v>114.711125823585</v>
      </c>
      <c r="R679" s="81" t="n">
        <f aca="true">RAND()</f>
        <v>0.0329207783984091</v>
      </c>
      <c r="S679" s="82" t="n">
        <f aca="false">IF(R679&lt;(Inputs!$E$29-Inputs!$D$29)/(Inputs!$F$29-Inputs!$D$29),Inputs!$D$29+SQRT(R679*(Inputs!$F$29-Inputs!$D$29)*(Inputs!$E$29-Inputs!$D$29)),Inputs!$F$29-SQRT((1-R679)*(Inputs!$F$29-Inputs!$D$29)*(Inputs!$F$29-Inputs!$E$29)))</f>
        <v>3.13309768225778</v>
      </c>
      <c r="T679" s="68" t="n">
        <f aca="false">Inputs!$E$9*(1+E679)+Inputs!$E$5*C679*(Inputs!$E$11*Inputs!$E$14*(G679*I679/Inputs!$E$16+(1-G679))*K679+Inputs!$E$23*M679)*(1+O679)+Inputs!$E$5*(Q679+S679)</f>
        <v>6324.38799585604</v>
      </c>
    </row>
    <row r="680" customFormat="false" ht="15" hidden="false" customHeight="false" outlineLevel="0" collapsed="false">
      <c r="A680" s="1" t="n">
        <v>676</v>
      </c>
      <c r="B680" s="81" t="n">
        <f aca="true">RAND()</f>
        <v>0.120348901608198</v>
      </c>
      <c r="C680" s="82" t="n">
        <f aca="false">ROUND(IF(B680&lt;(Inputs!$E$8-Inputs!$D$8)/(Inputs!$F$8-Inputs!$D$8),Inputs!$D$8+SQRT(B680*(Inputs!$F$8-Inputs!$D$8)*(Inputs!$E$8-Inputs!$D$8)),Inputs!$F$8-SQRT((1-B680)*(Inputs!$F$8-Inputs!$D$8)*(Inputs!$F$8-Inputs!$E$8))),0)</f>
        <v>22</v>
      </c>
      <c r="D680" s="81" t="n">
        <f aca="true">RAND()</f>
        <v>0.722045516418589</v>
      </c>
      <c r="E680" s="83" t="n">
        <f aca="false">IF(D680&lt;(Inputs!$E$10-Inputs!$D$10)/(Inputs!$F$10-Inputs!$D$10),Inputs!$D$10+SQRT(D680*(Inputs!$F$10-Inputs!$D$10)*(Inputs!$E$10-Inputs!$D$10)),Inputs!$F$10-SQRT((1-D680)*(Inputs!$F$10-Inputs!$D$10)*(Inputs!$F$10-Inputs!$E$10)))</f>
        <v>0.1086838759723</v>
      </c>
      <c r="F680" s="81" t="n">
        <f aca="true">RAND()</f>
        <v>0.0549201041368642</v>
      </c>
      <c r="G680" s="83" t="n">
        <f aca="false">IF(F680&lt;(Inputs!$E$15-Inputs!$D$15)/(Inputs!$F$15-Inputs!$D$15),Inputs!$D$15+SQRT(F680*(Inputs!$F$15-Inputs!$D$15)*(Inputs!$E$15-Inputs!$D$15)),Inputs!$F$15-SQRT((1-F680)*(Inputs!$F$15-Inputs!$D$15)*(Inputs!$F$15-Inputs!$E$15)))</f>
        <v>0.633142149639655</v>
      </c>
      <c r="H680" s="81" t="n">
        <f aca="true">RAND()</f>
        <v>0.479999154348758</v>
      </c>
      <c r="I680" s="82" t="n">
        <f aca="false">ROUND(IF(H680&lt;(Inputs!$E$17-Inputs!$D$17)/(Inputs!$F$17-Inputs!$D$17),Inputs!$D$17+SQRT(H680*(Inputs!$F$17-Inputs!$D$17)*(Inputs!$E$17-Inputs!$D$17)),Inputs!$F$17-SQRT((1-H680)*(Inputs!$F$17-Inputs!$D$17)*(Inputs!$F$17-Inputs!$E$17))),0)</f>
        <v>106</v>
      </c>
      <c r="J680" s="81" t="n">
        <f aca="true">RAND()</f>
        <v>0.288055880694157</v>
      </c>
      <c r="K680" s="83" t="n">
        <f aca="false">IF(J680&lt;(Inputs!$E$18-Inputs!$D$18)/(Inputs!$F$18-Inputs!$D$18),Inputs!$D$18+SQRT(J680*(Inputs!$F$18-Inputs!$D$18)*(Inputs!$E$18-Inputs!$D$18)),Inputs!$F$18-SQRT((1-J680)*(Inputs!$F$18-Inputs!$D$18)*(Inputs!$F$18-Inputs!$E$18)))</f>
        <v>1.00041011551094</v>
      </c>
      <c r="L680" s="81" t="n">
        <f aca="true">RAND()</f>
        <v>0.991138066619622</v>
      </c>
      <c r="M680" s="83" t="n">
        <f aca="false">IF(L680&lt;(Inputs!$E$24-Inputs!$D$24)/(Inputs!$F$24-Inputs!$D$24),Inputs!$D$24+SQRT(L680*(Inputs!$F$24-Inputs!$D$24)*(Inputs!$E$24-Inputs!$D$24)),Inputs!$F$24-SQRT((1-L680)*(Inputs!$F$24-Inputs!$D$24)*(Inputs!$F$24-Inputs!$E$24)))</f>
        <v>1.15388206410418</v>
      </c>
      <c r="N680" s="81" t="n">
        <f aca="true">RAND()</f>
        <v>0.307009430075814</v>
      </c>
      <c r="O680" s="83" t="n">
        <f aca="false">IF(N680&lt;(Inputs!$E$26-Inputs!$D$26)/(Inputs!$F$26-Inputs!$D$26),Inputs!$D$26+SQRT(N680*(Inputs!$F$26-Inputs!$D$26)*(Inputs!$E$26-Inputs!$D$26)),Inputs!$F$26-SQRT((1-N680)*(Inputs!$F$26-Inputs!$D$26)*(Inputs!$F$26-Inputs!$E$26)))</f>
        <v>0.526022939465479</v>
      </c>
      <c r="P680" s="81" t="n">
        <f aca="true">RAND()</f>
        <v>0.951385363707635</v>
      </c>
      <c r="Q680" s="82" t="n">
        <f aca="false">IF(P680&lt;(Inputs!$E$27-Inputs!$D$27)/(Inputs!$F$27-Inputs!$D$27),Inputs!$D$27+SQRT(P680*(Inputs!$F$27-Inputs!$D$27)*(Inputs!$E$27-Inputs!$D$27)),Inputs!$F$27-SQRT((1-P680)*(Inputs!$F$27-Inputs!$D$27)*(Inputs!$F$27-Inputs!$E$27)))</f>
        <v>130.905242285047</v>
      </c>
      <c r="R680" s="81" t="n">
        <f aca="true">RAND()</f>
        <v>0.934162617017706</v>
      </c>
      <c r="S680" s="82" t="n">
        <f aca="false">IF(R680&lt;(Inputs!$E$29-Inputs!$D$29)/(Inputs!$F$29-Inputs!$D$29),Inputs!$D$29+SQRT(R680*(Inputs!$F$29-Inputs!$D$29)*(Inputs!$E$29-Inputs!$D$29)),Inputs!$F$29-SQRT((1-R680)*(Inputs!$F$29-Inputs!$D$29)*(Inputs!$F$29-Inputs!$E$29)))</f>
        <v>12.0744470970946</v>
      </c>
      <c r="T680" s="68" t="n">
        <f aca="false">Inputs!$E$9*(1+E680)+Inputs!$E$5*C680*(Inputs!$E$11*Inputs!$E$14*(G680*I680/Inputs!$E$16+(1-G680))*K680+Inputs!$E$23*M680)*(1+O680)+Inputs!$E$5*(Q680+S680)</f>
        <v>6422.33193640361</v>
      </c>
    </row>
    <row r="681" customFormat="false" ht="15" hidden="false" customHeight="false" outlineLevel="0" collapsed="false">
      <c r="A681" s="1" t="n">
        <v>677</v>
      </c>
      <c r="B681" s="81" t="n">
        <f aca="true">RAND()</f>
        <v>0.984029761617196</v>
      </c>
      <c r="C681" s="82" t="n">
        <f aca="false">ROUND(IF(B681&lt;(Inputs!$E$8-Inputs!$D$8)/(Inputs!$F$8-Inputs!$D$8),Inputs!$D$8+SQRT(B681*(Inputs!$F$8-Inputs!$D$8)*(Inputs!$E$8-Inputs!$D$8)),Inputs!$F$8-SQRT((1-B681)*(Inputs!$F$8-Inputs!$D$8)*(Inputs!$F$8-Inputs!$E$8))),0)</f>
        <v>29</v>
      </c>
      <c r="D681" s="81" t="n">
        <f aca="true">RAND()</f>
        <v>0.510488692061134</v>
      </c>
      <c r="E681" s="83" t="n">
        <f aca="false">IF(D681&lt;(Inputs!$E$10-Inputs!$D$10)/(Inputs!$F$10-Inputs!$D$10),Inputs!$D$10+SQRT(D681*(Inputs!$F$10-Inputs!$D$10)*(Inputs!$E$10-Inputs!$D$10)),Inputs!$F$10-SQRT((1-D681)*(Inputs!$F$10-Inputs!$D$10)*(Inputs!$F$10-Inputs!$E$10)))</f>
        <v>0.0788169185151409</v>
      </c>
      <c r="F681" s="81" t="n">
        <f aca="true">RAND()</f>
        <v>0.903759517423138</v>
      </c>
      <c r="G681" s="83" t="n">
        <f aca="false">IF(F681&lt;(Inputs!$E$15-Inputs!$D$15)/(Inputs!$F$15-Inputs!$D$15),Inputs!$D$15+SQRT(F681*(Inputs!$F$15-Inputs!$D$15)*(Inputs!$E$15-Inputs!$D$15)),Inputs!$F$15-SQRT((1-F681)*(Inputs!$F$15-Inputs!$D$15)*(Inputs!$F$15-Inputs!$E$15)))</f>
        <v>0.756127347338721</v>
      </c>
      <c r="H681" s="81" t="n">
        <f aca="true">RAND()</f>
        <v>0.0644980067674224</v>
      </c>
      <c r="I681" s="82" t="n">
        <f aca="false">ROUND(IF(H681&lt;(Inputs!$E$17-Inputs!$D$17)/(Inputs!$F$17-Inputs!$D$17),Inputs!$D$17+SQRT(H681*(Inputs!$F$17-Inputs!$D$17)*(Inputs!$E$17-Inputs!$D$17)),Inputs!$F$17-SQRT((1-H681)*(Inputs!$F$17-Inputs!$D$17)*(Inputs!$F$17-Inputs!$E$17))),0)</f>
        <v>102</v>
      </c>
      <c r="J681" s="81" t="n">
        <f aca="true">RAND()</f>
        <v>0.0700638910148018</v>
      </c>
      <c r="K681" s="83" t="n">
        <f aca="false">IF(J681&lt;(Inputs!$E$18-Inputs!$D$18)/(Inputs!$F$18-Inputs!$D$18),Inputs!$D$18+SQRT(J681*(Inputs!$F$18-Inputs!$D$18)*(Inputs!$E$18-Inputs!$D$18)),Inputs!$F$18-SQRT((1-J681)*(Inputs!$F$18-Inputs!$D$18)*(Inputs!$F$18-Inputs!$E$18)))</f>
        <v>0.94952005841594</v>
      </c>
      <c r="L681" s="81" t="n">
        <f aca="true">RAND()</f>
        <v>0.638574385751001</v>
      </c>
      <c r="M681" s="83" t="n">
        <f aca="false">IF(L681&lt;(Inputs!$E$24-Inputs!$D$24)/(Inputs!$F$24-Inputs!$D$24),Inputs!$D$24+SQRT(L681*(Inputs!$F$24-Inputs!$D$24)*(Inputs!$E$24-Inputs!$D$24)),Inputs!$F$24-SQRT((1-L681)*(Inputs!$F$24-Inputs!$D$24)*(Inputs!$F$24-Inputs!$E$24)))</f>
        <v>0.905479801338245</v>
      </c>
      <c r="N681" s="81" t="n">
        <f aca="true">RAND()</f>
        <v>0.773051077705838</v>
      </c>
      <c r="O681" s="83" t="n">
        <f aca="false">IF(N681&lt;(Inputs!$E$26-Inputs!$D$26)/(Inputs!$F$26-Inputs!$D$26),Inputs!$D$26+SQRT(N681*(Inputs!$F$26-Inputs!$D$26)*(Inputs!$E$26-Inputs!$D$26)),Inputs!$F$26-SQRT((1-N681)*(Inputs!$F$26-Inputs!$D$26)*(Inputs!$F$26-Inputs!$E$26)))</f>
        <v>0.666368336861854</v>
      </c>
      <c r="P681" s="81" t="n">
        <f aca="true">RAND()</f>
        <v>0.0881436227296582</v>
      </c>
      <c r="Q681" s="82" t="n">
        <f aca="false">IF(P681&lt;(Inputs!$E$27-Inputs!$D$27)/(Inputs!$F$27-Inputs!$D$27),Inputs!$D$27+SQRT(P681*(Inputs!$F$27-Inputs!$D$27)*(Inputs!$E$27-Inputs!$D$27)),Inputs!$F$27-SQRT((1-P681)*(Inputs!$F$27-Inputs!$D$27)*(Inputs!$F$27-Inputs!$E$27)))</f>
        <v>64.844495842707</v>
      </c>
      <c r="R681" s="81" t="n">
        <f aca="true">RAND()</f>
        <v>0.108267477964235</v>
      </c>
      <c r="S681" s="82" t="n">
        <f aca="false">IF(R681&lt;(Inputs!$E$29-Inputs!$D$29)/(Inputs!$F$29-Inputs!$D$29),Inputs!$D$29+SQRT(R681*(Inputs!$F$29-Inputs!$D$29)*(Inputs!$E$29-Inputs!$D$29)),Inputs!$F$29-SQRT((1-R681)*(Inputs!$F$29-Inputs!$D$29)*(Inputs!$F$29-Inputs!$E$29)))</f>
        <v>4.05485562524601</v>
      </c>
      <c r="T681" s="68" t="n">
        <f aca="false">Inputs!$E$9*(1+E681)+Inputs!$E$5*C681*(Inputs!$E$11*Inputs!$E$14*(G681*I681/Inputs!$E$16+(1-G681))*K681+Inputs!$E$23*M681)*(1+O681)+Inputs!$E$5*(Q681+S681)</f>
        <v>6612.8647147048</v>
      </c>
    </row>
    <row r="682" customFormat="false" ht="15" hidden="false" customHeight="false" outlineLevel="0" collapsed="false">
      <c r="A682" s="1" t="n">
        <v>678</v>
      </c>
      <c r="B682" s="81" t="n">
        <f aca="true">RAND()</f>
        <v>0.265665724637199</v>
      </c>
      <c r="C682" s="82" t="n">
        <f aca="false">ROUND(IF(B682&lt;(Inputs!$E$8-Inputs!$D$8)/(Inputs!$F$8-Inputs!$D$8),Inputs!$D$8+SQRT(B682*(Inputs!$F$8-Inputs!$D$8)*(Inputs!$E$8-Inputs!$D$8)),Inputs!$F$8-SQRT((1-B682)*(Inputs!$F$8-Inputs!$D$8)*(Inputs!$F$8-Inputs!$E$8))),0)</f>
        <v>24</v>
      </c>
      <c r="D682" s="81" t="n">
        <f aca="true">RAND()</f>
        <v>0.909793493837022</v>
      </c>
      <c r="E682" s="83" t="n">
        <f aca="false">IF(D682&lt;(Inputs!$E$10-Inputs!$D$10)/(Inputs!$F$10-Inputs!$D$10),Inputs!$D$10+SQRT(D682*(Inputs!$F$10-Inputs!$D$10)*(Inputs!$E$10-Inputs!$D$10)),Inputs!$F$10-SQRT((1-D682)*(Inputs!$F$10-Inputs!$D$10)*(Inputs!$F$10-Inputs!$E$10)))</f>
        <v>0.147978896735177</v>
      </c>
      <c r="F682" s="81" t="n">
        <f aca="true">RAND()</f>
        <v>0.616819791024038</v>
      </c>
      <c r="G682" s="83" t="n">
        <f aca="false">IF(F682&lt;(Inputs!$E$15-Inputs!$D$15)/(Inputs!$F$15-Inputs!$D$15),Inputs!$D$15+SQRT(F682*(Inputs!$F$15-Inputs!$D$15)*(Inputs!$E$15-Inputs!$D$15)),Inputs!$F$15-SQRT((1-F682)*(Inputs!$F$15-Inputs!$D$15)*(Inputs!$F$15-Inputs!$E$15)))</f>
        <v>0.712457986203656</v>
      </c>
      <c r="H682" s="81" t="n">
        <f aca="true">RAND()</f>
        <v>0.611954940521301</v>
      </c>
      <c r="I682" s="82" t="n">
        <f aca="false">ROUND(IF(H682&lt;(Inputs!$E$17-Inputs!$D$17)/(Inputs!$F$17-Inputs!$D$17),Inputs!$D$17+SQRT(H682*(Inputs!$F$17-Inputs!$D$17)*(Inputs!$E$17-Inputs!$D$17)),Inputs!$F$17-SQRT((1-H682)*(Inputs!$F$17-Inputs!$D$17)*(Inputs!$F$17-Inputs!$E$17))),0)</f>
        <v>107</v>
      </c>
      <c r="J682" s="81" t="n">
        <f aca="true">RAND()</f>
        <v>0.509195098387629</v>
      </c>
      <c r="K682" s="83" t="n">
        <f aca="false">IF(J682&lt;(Inputs!$E$18-Inputs!$D$18)/(Inputs!$F$18-Inputs!$D$18),Inputs!$D$18+SQRT(J682*(Inputs!$F$18-Inputs!$D$18)*(Inputs!$E$18-Inputs!$D$18)),Inputs!$F$18-SQRT((1-J682)*(Inputs!$F$18-Inputs!$D$18)*(Inputs!$F$18-Inputs!$E$18)))</f>
        <v>1.04276721086883</v>
      </c>
      <c r="L682" s="81" t="n">
        <f aca="true">RAND()</f>
        <v>0.0951078197081716</v>
      </c>
      <c r="M682" s="83" t="n">
        <f aca="false">IF(L682&lt;(Inputs!$E$24-Inputs!$D$24)/(Inputs!$F$24-Inputs!$D$24),Inputs!$D$24+SQRT(L682*(Inputs!$F$24-Inputs!$D$24)*(Inputs!$E$24-Inputs!$D$24)),Inputs!$F$24-SQRT((1-L682)*(Inputs!$F$24-Inputs!$D$24)*(Inputs!$F$24-Inputs!$E$24)))</f>
        <v>0.70683135478398</v>
      </c>
      <c r="N682" s="81" t="n">
        <f aca="true">RAND()</f>
        <v>0.254433930245279</v>
      </c>
      <c r="O682" s="83" t="n">
        <f aca="false">IF(N682&lt;(Inputs!$E$26-Inputs!$D$26)/(Inputs!$F$26-Inputs!$D$26),Inputs!$D$26+SQRT(N682*(Inputs!$F$26-Inputs!$D$26)*(Inputs!$E$26-Inputs!$D$26)),Inputs!$F$26-SQRT((1-N682)*(Inputs!$F$26-Inputs!$D$26)*(Inputs!$F$26-Inputs!$E$26)))</f>
        <v>0.505761526998646</v>
      </c>
      <c r="P682" s="81" t="n">
        <f aca="true">RAND()</f>
        <v>0.958740302730174</v>
      </c>
      <c r="Q682" s="82" t="n">
        <f aca="false">IF(P682&lt;(Inputs!$E$27-Inputs!$D$27)/(Inputs!$F$27-Inputs!$D$27),Inputs!$D$27+SQRT(P682*(Inputs!$F$27-Inputs!$D$27)*(Inputs!$E$27-Inputs!$D$27)),Inputs!$F$27-SQRT((1-P682)*(Inputs!$F$27-Inputs!$D$27)*(Inputs!$F$27-Inputs!$E$27)))</f>
        <v>132.408873557282</v>
      </c>
      <c r="R682" s="81" t="n">
        <f aca="true">RAND()</f>
        <v>0.216500887300126</v>
      </c>
      <c r="S682" s="82" t="n">
        <f aca="false">IF(R682&lt;(Inputs!$E$29-Inputs!$D$29)/(Inputs!$F$29-Inputs!$D$29),Inputs!$D$29+SQRT(R682*(Inputs!$F$29-Inputs!$D$29)*(Inputs!$E$29-Inputs!$D$29)),Inputs!$F$29-SQRT((1-R682)*(Inputs!$F$29-Inputs!$D$29)*(Inputs!$F$29-Inputs!$E$29)))</f>
        <v>4.90577607614643</v>
      </c>
      <c r="T682" s="68" t="n">
        <f aca="false">Inputs!$E$9*(1+E682)+Inputs!$E$5*C682*(Inputs!$E$11*Inputs!$E$14*(G682*I682/Inputs!$E$16+(1-G682))*K682+Inputs!$E$23*M682)*(1+O682)+Inputs!$E$5*(Q682+S682)</f>
        <v>6153.15735847377</v>
      </c>
    </row>
    <row r="683" customFormat="false" ht="15" hidden="false" customHeight="false" outlineLevel="0" collapsed="false">
      <c r="A683" s="1" t="n">
        <v>679</v>
      </c>
      <c r="B683" s="81" t="n">
        <f aca="true">RAND()</f>
        <v>0.268563188483516</v>
      </c>
      <c r="C683" s="82" t="n">
        <f aca="false">ROUND(IF(B683&lt;(Inputs!$E$8-Inputs!$D$8)/(Inputs!$F$8-Inputs!$D$8),Inputs!$D$8+SQRT(B683*(Inputs!$F$8-Inputs!$D$8)*(Inputs!$E$8-Inputs!$D$8)),Inputs!$F$8-SQRT((1-B683)*(Inputs!$F$8-Inputs!$D$8)*(Inputs!$F$8-Inputs!$E$8))),0)</f>
        <v>24</v>
      </c>
      <c r="D683" s="81" t="n">
        <f aca="true">RAND()</f>
        <v>0.316416460947907</v>
      </c>
      <c r="E683" s="83" t="n">
        <f aca="false">IF(D683&lt;(Inputs!$E$10-Inputs!$D$10)/(Inputs!$F$10-Inputs!$D$10),Inputs!$D$10+SQRT(D683*(Inputs!$F$10-Inputs!$D$10)*(Inputs!$E$10-Inputs!$D$10)),Inputs!$F$10-SQRT((1-D683)*(Inputs!$F$10-Inputs!$D$10)*(Inputs!$F$10-Inputs!$E$10)))</f>
        <v>0.0567955790781486</v>
      </c>
      <c r="F683" s="81" t="n">
        <f aca="true">RAND()</f>
        <v>0.87233327495037</v>
      </c>
      <c r="G683" s="83" t="n">
        <f aca="false">IF(F683&lt;(Inputs!$E$15-Inputs!$D$15)/(Inputs!$F$15-Inputs!$D$15),Inputs!$D$15+SQRT(F683*(Inputs!$F$15-Inputs!$D$15)*(Inputs!$E$15-Inputs!$D$15)),Inputs!$F$15-SQRT((1-F683)*(Inputs!$F$15-Inputs!$D$15)*(Inputs!$F$15-Inputs!$E$15)))</f>
        <v>0.749469469614969</v>
      </c>
      <c r="H683" s="81" t="n">
        <f aca="true">RAND()</f>
        <v>0.421077708990394</v>
      </c>
      <c r="I683" s="82" t="n">
        <f aca="false">ROUND(IF(H683&lt;(Inputs!$E$17-Inputs!$D$17)/(Inputs!$F$17-Inputs!$D$17),Inputs!$D$17+SQRT(H683*(Inputs!$F$17-Inputs!$D$17)*(Inputs!$E$17-Inputs!$D$17)),Inputs!$F$17-SQRT((1-H683)*(Inputs!$F$17-Inputs!$D$17)*(Inputs!$F$17-Inputs!$E$17))),0)</f>
        <v>106</v>
      </c>
      <c r="J683" s="81" t="n">
        <f aca="true">RAND()</f>
        <v>0.895374338928913</v>
      </c>
      <c r="K683" s="83" t="n">
        <f aca="false">IF(J683&lt;(Inputs!$E$18-Inputs!$D$18)/(Inputs!$F$18-Inputs!$D$18),Inputs!$D$18+SQRT(J683*(Inputs!$F$18-Inputs!$D$18)*(Inputs!$E$18-Inputs!$D$18)),Inputs!$F$18-SQRT((1-J683)*(Inputs!$F$18-Inputs!$D$18)*(Inputs!$F$18-Inputs!$E$18)))</f>
        <v>1.15431956655763</v>
      </c>
      <c r="L683" s="81" t="n">
        <f aca="true">RAND()</f>
        <v>0.140143633786507</v>
      </c>
      <c r="M683" s="83" t="n">
        <f aca="false">IF(L683&lt;(Inputs!$E$24-Inputs!$D$24)/(Inputs!$F$24-Inputs!$D$24),Inputs!$D$24+SQRT(L683*(Inputs!$F$24-Inputs!$D$24)*(Inputs!$E$24-Inputs!$D$24)),Inputs!$F$24-SQRT((1-L683)*(Inputs!$F$24-Inputs!$D$24)*(Inputs!$F$24-Inputs!$E$24)))</f>
        <v>0.729681286446352</v>
      </c>
      <c r="N683" s="81" t="n">
        <f aca="true">RAND()</f>
        <v>0.436830293207144</v>
      </c>
      <c r="O683" s="83" t="n">
        <f aca="false">IF(N683&lt;(Inputs!$E$26-Inputs!$D$26)/(Inputs!$F$26-Inputs!$D$26),Inputs!$D$26+SQRT(N683*(Inputs!$F$26-Inputs!$D$26)*(Inputs!$E$26-Inputs!$D$26)),Inputs!$F$26-SQRT((1-N683)*(Inputs!$F$26-Inputs!$D$26)*(Inputs!$F$26-Inputs!$E$26)))</f>
        <v>0.56960816157837</v>
      </c>
      <c r="P683" s="81" t="n">
        <f aca="true">RAND()</f>
        <v>0.415879861097126</v>
      </c>
      <c r="Q683" s="82" t="n">
        <f aca="false">IF(P683&lt;(Inputs!$E$27-Inputs!$D$27)/(Inputs!$F$27-Inputs!$D$27),Inputs!$D$27+SQRT(P683*(Inputs!$F$27-Inputs!$D$27)*(Inputs!$E$27-Inputs!$D$27)),Inputs!$F$27-SQRT((1-P683)*(Inputs!$F$27-Inputs!$D$27)*(Inputs!$F$27-Inputs!$E$27)))</f>
        <v>83.8116245721988</v>
      </c>
      <c r="R683" s="81" t="n">
        <f aca="true">RAND()</f>
        <v>0.851345003089873</v>
      </c>
      <c r="S683" s="82" t="n">
        <f aca="false">IF(R683&lt;(Inputs!$E$29-Inputs!$D$29)/(Inputs!$F$29-Inputs!$D$29),Inputs!$D$29+SQRT(R683*(Inputs!$F$29-Inputs!$D$29)*(Inputs!$E$29-Inputs!$D$29)),Inputs!$F$29-SQRT((1-R683)*(Inputs!$F$29-Inputs!$D$29)*(Inputs!$F$29-Inputs!$E$29)))</f>
        <v>10.6039620567702</v>
      </c>
      <c r="T683" s="68" t="n">
        <f aca="false">Inputs!$E$9*(1+E683)+Inputs!$E$5*C683*(Inputs!$E$11*Inputs!$E$14*(G683*I683/Inputs!$E$16+(1-G683))*K683+Inputs!$E$23*M683)*(1+O683)+Inputs!$E$5*(Q683+S683)</f>
        <v>6054.0386962533</v>
      </c>
    </row>
    <row r="684" customFormat="false" ht="15" hidden="false" customHeight="false" outlineLevel="0" collapsed="false">
      <c r="A684" s="1" t="n">
        <v>680</v>
      </c>
      <c r="B684" s="81" t="n">
        <f aca="true">RAND()</f>
        <v>0.93885726255053</v>
      </c>
      <c r="C684" s="82" t="n">
        <f aca="false">ROUND(IF(B684&lt;(Inputs!$E$8-Inputs!$D$8)/(Inputs!$F$8-Inputs!$D$8),Inputs!$D$8+SQRT(B684*(Inputs!$F$8-Inputs!$D$8)*(Inputs!$E$8-Inputs!$D$8)),Inputs!$F$8-SQRT((1-B684)*(Inputs!$F$8-Inputs!$D$8)*(Inputs!$F$8-Inputs!$E$8))),0)</f>
        <v>28</v>
      </c>
      <c r="D684" s="81" t="n">
        <f aca="true">RAND()</f>
        <v>0.740964880704114</v>
      </c>
      <c r="E684" s="83" t="n">
        <f aca="false">IF(D684&lt;(Inputs!$E$10-Inputs!$D$10)/(Inputs!$F$10-Inputs!$D$10),Inputs!$D$10+SQRT(D684*(Inputs!$F$10-Inputs!$D$10)*(Inputs!$E$10-Inputs!$D$10)),Inputs!$F$10-SQRT((1-D684)*(Inputs!$F$10-Inputs!$D$10)*(Inputs!$F$10-Inputs!$E$10)))</f>
        <v>0.111846420498787</v>
      </c>
      <c r="F684" s="81" t="n">
        <f aca="true">RAND()</f>
        <v>0.20642993721212</v>
      </c>
      <c r="G684" s="83" t="n">
        <f aca="false">IF(F684&lt;(Inputs!$E$15-Inputs!$D$15)/(Inputs!$F$15-Inputs!$D$15),Inputs!$D$15+SQRT(F684*(Inputs!$F$15-Inputs!$D$15)*(Inputs!$E$15-Inputs!$D$15)),Inputs!$F$15-SQRT((1-F684)*(Inputs!$F$15-Inputs!$D$15)*(Inputs!$F$15-Inputs!$E$15)))</f>
        <v>0.66425417297143</v>
      </c>
      <c r="H684" s="81" t="n">
        <f aca="true">RAND()</f>
        <v>0.185460955677075</v>
      </c>
      <c r="I684" s="82" t="n">
        <f aca="false">ROUND(IF(H684&lt;(Inputs!$E$17-Inputs!$D$17)/(Inputs!$F$17-Inputs!$D$17),Inputs!$D$17+SQRT(H684*(Inputs!$F$17-Inputs!$D$17)*(Inputs!$E$17-Inputs!$D$17)),Inputs!$F$17-SQRT((1-H684)*(Inputs!$F$17-Inputs!$D$17)*(Inputs!$F$17-Inputs!$E$17))),0)</f>
        <v>104</v>
      </c>
      <c r="J684" s="81" t="n">
        <f aca="true">RAND()</f>
        <v>0.760258510150371</v>
      </c>
      <c r="K684" s="83" t="n">
        <f aca="false">IF(J684&lt;(Inputs!$E$18-Inputs!$D$18)/(Inputs!$F$18-Inputs!$D$18),Inputs!$D$18+SQRT(J684*(Inputs!$F$18-Inputs!$D$18)*(Inputs!$E$18-Inputs!$D$18)),Inputs!$F$18-SQRT((1-J684)*(Inputs!$F$18-Inputs!$D$18)*(Inputs!$F$18-Inputs!$E$18)))</f>
        <v>1.10516429873183</v>
      </c>
      <c r="L684" s="81" t="n">
        <f aca="true">RAND()</f>
        <v>0.794021085991896</v>
      </c>
      <c r="M684" s="83" t="n">
        <f aca="false">IF(L684&lt;(Inputs!$E$24-Inputs!$D$24)/(Inputs!$F$24-Inputs!$D$24),Inputs!$D$24+SQRT(L684*(Inputs!$F$24-Inputs!$D$24)*(Inputs!$E$24-Inputs!$D$24)),Inputs!$F$24-SQRT((1-L684)*(Inputs!$F$24-Inputs!$D$24)*(Inputs!$F$24-Inputs!$E$24)))</f>
        <v>0.977660306373457</v>
      </c>
      <c r="N684" s="81" t="n">
        <f aca="true">RAND()</f>
        <v>0.695625865226072</v>
      </c>
      <c r="O684" s="83" t="n">
        <f aca="false">IF(N684&lt;(Inputs!$E$26-Inputs!$D$26)/(Inputs!$F$26-Inputs!$D$26),Inputs!$D$26+SQRT(N684*(Inputs!$F$26-Inputs!$D$26)*(Inputs!$E$26-Inputs!$D$26)),Inputs!$F$26-SQRT((1-N684)*(Inputs!$F$26-Inputs!$D$26)*(Inputs!$F$26-Inputs!$E$26)))</f>
        <v>0.642081732201304</v>
      </c>
      <c r="P684" s="81" t="n">
        <f aca="true">RAND()</f>
        <v>0.109562156523975</v>
      </c>
      <c r="Q684" s="82" t="n">
        <f aca="false">IF(P684&lt;(Inputs!$E$27-Inputs!$D$27)/(Inputs!$F$27-Inputs!$D$27),Inputs!$D$27+SQRT(P684*(Inputs!$F$27-Inputs!$D$27)*(Inputs!$E$27-Inputs!$D$27)),Inputs!$F$27-SQRT((1-P684)*(Inputs!$F$27-Inputs!$D$27)*(Inputs!$F$27-Inputs!$E$27)))</f>
        <v>66.5500873505229</v>
      </c>
      <c r="R684" s="81" t="n">
        <f aca="true">RAND()</f>
        <v>0.132295869280801</v>
      </c>
      <c r="S684" s="82" t="n">
        <f aca="false">IF(R684&lt;(Inputs!$E$29-Inputs!$D$29)/(Inputs!$F$29-Inputs!$D$29),Inputs!$D$29+SQRT(R684*(Inputs!$F$29-Inputs!$D$29)*(Inputs!$E$29-Inputs!$D$29)),Inputs!$F$29-SQRT((1-R684)*(Inputs!$F$29-Inputs!$D$29)*(Inputs!$F$29-Inputs!$E$29)))</f>
        <v>4.27146184250391</v>
      </c>
      <c r="T684" s="68" t="n">
        <f aca="false">Inputs!$E$9*(1+E684)+Inputs!$E$5*C684*(Inputs!$E$11*Inputs!$E$14*(G684*I684/Inputs!$E$16+(1-G684))*K684+Inputs!$E$23*M684)*(1+O684)+Inputs!$E$5*(Q684+S684)</f>
        <v>7177.90233429604</v>
      </c>
    </row>
    <row r="685" customFormat="false" ht="15" hidden="false" customHeight="false" outlineLevel="0" collapsed="false">
      <c r="A685" s="1" t="n">
        <v>681</v>
      </c>
      <c r="B685" s="81" t="n">
        <f aca="true">RAND()</f>
        <v>0.594860636641088</v>
      </c>
      <c r="C685" s="82" t="n">
        <f aca="false">ROUND(IF(B685&lt;(Inputs!$E$8-Inputs!$D$8)/(Inputs!$F$8-Inputs!$D$8),Inputs!$D$8+SQRT(B685*(Inputs!$F$8-Inputs!$D$8)*(Inputs!$E$8-Inputs!$D$8)),Inputs!$F$8-SQRT((1-B685)*(Inputs!$F$8-Inputs!$D$8)*(Inputs!$F$8-Inputs!$E$8))),0)</f>
        <v>25</v>
      </c>
      <c r="D685" s="81" t="n">
        <f aca="true">RAND()</f>
        <v>0.52254305539567</v>
      </c>
      <c r="E685" s="83" t="n">
        <f aca="false">IF(D685&lt;(Inputs!$E$10-Inputs!$D$10)/(Inputs!$F$10-Inputs!$D$10),Inputs!$D$10+SQRT(D685*(Inputs!$F$10-Inputs!$D$10)*(Inputs!$E$10-Inputs!$D$10)),Inputs!$F$10-SQRT((1-D685)*(Inputs!$F$10-Inputs!$D$10)*(Inputs!$F$10-Inputs!$E$10)))</f>
        <v>0.0803183040806578</v>
      </c>
      <c r="F685" s="81" t="n">
        <f aca="true">RAND()</f>
        <v>0.423011223136703</v>
      </c>
      <c r="G685" s="83" t="n">
        <f aca="false">IF(F685&lt;(Inputs!$E$15-Inputs!$D$15)/(Inputs!$F$15-Inputs!$D$15),Inputs!$D$15+SQRT(F685*(Inputs!$F$15-Inputs!$D$15)*(Inputs!$E$15-Inputs!$D$15)),Inputs!$F$15-SQRT((1-F685)*(Inputs!$F$15-Inputs!$D$15)*(Inputs!$F$15-Inputs!$E$15)))</f>
        <v>0.691979478486965</v>
      </c>
      <c r="H685" s="81" t="n">
        <f aca="true">RAND()</f>
        <v>0.979516040349308</v>
      </c>
      <c r="I685" s="82" t="n">
        <f aca="false">ROUND(IF(H685&lt;(Inputs!$E$17-Inputs!$D$17)/(Inputs!$F$17-Inputs!$D$17),Inputs!$D$17+SQRT(H685*(Inputs!$F$17-Inputs!$D$17)*(Inputs!$E$17-Inputs!$D$17)),Inputs!$F$17-SQRT((1-H685)*(Inputs!$F$17-Inputs!$D$17)*(Inputs!$F$17-Inputs!$E$17))),0)</f>
        <v>113</v>
      </c>
      <c r="J685" s="81" t="n">
        <f aca="true">RAND()</f>
        <v>0.0368566892607151</v>
      </c>
      <c r="K685" s="83" t="n">
        <f aca="false">IF(J685&lt;(Inputs!$E$18-Inputs!$D$18)/(Inputs!$F$18-Inputs!$D$18),Inputs!$D$18+SQRT(J685*(Inputs!$F$18-Inputs!$D$18)*(Inputs!$E$18-Inputs!$D$18)),Inputs!$F$18-SQRT((1-J685)*(Inputs!$F$18-Inputs!$D$18)*(Inputs!$F$18-Inputs!$E$18)))</f>
        <v>0.935916348981001</v>
      </c>
      <c r="L685" s="81" t="n">
        <f aca="true">RAND()</f>
        <v>0.248377574209188</v>
      </c>
      <c r="M685" s="83" t="n">
        <f aca="false">IF(L685&lt;(Inputs!$E$24-Inputs!$D$24)/(Inputs!$F$24-Inputs!$D$24),Inputs!$D$24+SQRT(L685*(Inputs!$F$24-Inputs!$D$24)*(Inputs!$E$24-Inputs!$D$24)),Inputs!$F$24-SQRT((1-L685)*(Inputs!$F$24-Inputs!$D$24)*(Inputs!$F$24-Inputs!$E$24)))</f>
        <v>0.772642141162297</v>
      </c>
      <c r="N685" s="81" t="n">
        <f aca="true">RAND()</f>
        <v>0.689534480479236</v>
      </c>
      <c r="O685" s="83" t="n">
        <f aca="false">IF(N685&lt;(Inputs!$E$26-Inputs!$D$26)/(Inputs!$F$26-Inputs!$D$26),Inputs!$D$26+SQRT(N685*(Inputs!$F$26-Inputs!$D$26)*(Inputs!$E$26-Inputs!$D$26)),Inputs!$F$26-SQRT((1-N685)*(Inputs!$F$26-Inputs!$D$26)*(Inputs!$F$26-Inputs!$E$26)))</f>
        <v>0.64031022836522</v>
      </c>
      <c r="P685" s="81" t="n">
        <f aca="true">RAND()</f>
        <v>0.795892112059915</v>
      </c>
      <c r="Q685" s="82" t="n">
        <f aca="false">IF(P685&lt;(Inputs!$E$27-Inputs!$D$27)/(Inputs!$F$27-Inputs!$D$27),Inputs!$D$27+SQRT(P685*(Inputs!$F$27-Inputs!$D$27)*(Inputs!$E$27-Inputs!$D$27)),Inputs!$F$27-SQRT((1-P685)*(Inputs!$F$27-Inputs!$D$27)*(Inputs!$F$27-Inputs!$E$27)))</f>
        <v>110.874443651871</v>
      </c>
      <c r="R685" s="81" t="n">
        <f aca="true">RAND()</f>
        <v>0.109128814675351</v>
      </c>
      <c r="S685" s="82" t="n">
        <f aca="false">IF(R685&lt;(Inputs!$E$29-Inputs!$D$29)/(Inputs!$F$29-Inputs!$D$29),Inputs!$D$29+SQRT(R685*(Inputs!$F$29-Inputs!$D$29)*(Inputs!$E$29-Inputs!$D$29)),Inputs!$F$29-SQRT((1-R685)*(Inputs!$F$29-Inputs!$D$29)*(Inputs!$F$29-Inputs!$E$29)))</f>
        <v>4.06301327488184</v>
      </c>
      <c r="T685" s="68" t="n">
        <f aca="false">Inputs!$E$9*(1+E685)+Inputs!$E$5*C685*(Inputs!$E$11*Inputs!$E$14*(G685*I685/Inputs!$E$16+(1-G685))*K685+Inputs!$E$23*M685)*(1+O685)+Inputs!$E$5*(Q685+S685)</f>
        <v>6240.69670089111</v>
      </c>
    </row>
    <row r="686" customFormat="false" ht="15" hidden="false" customHeight="false" outlineLevel="0" collapsed="false">
      <c r="A686" s="1" t="n">
        <v>682</v>
      </c>
      <c r="B686" s="81" t="n">
        <f aca="true">RAND()</f>
        <v>0.384803685195448</v>
      </c>
      <c r="C686" s="82" t="n">
        <f aca="false">ROUND(IF(B686&lt;(Inputs!$E$8-Inputs!$D$8)/(Inputs!$F$8-Inputs!$D$8),Inputs!$D$8+SQRT(B686*(Inputs!$F$8-Inputs!$D$8)*(Inputs!$E$8-Inputs!$D$8)),Inputs!$F$8-SQRT((1-B686)*(Inputs!$F$8-Inputs!$D$8)*(Inputs!$F$8-Inputs!$E$8))),0)</f>
        <v>24</v>
      </c>
      <c r="D686" s="81" t="n">
        <f aca="true">RAND()</f>
        <v>0.496566182830711</v>
      </c>
      <c r="E686" s="83" t="n">
        <f aca="false">IF(D686&lt;(Inputs!$E$10-Inputs!$D$10)/(Inputs!$F$10-Inputs!$D$10),Inputs!$D$10+SQRT(D686*(Inputs!$F$10-Inputs!$D$10)*(Inputs!$E$10-Inputs!$D$10)),Inputs!$F$10-SQRT((1-D686)*(Inputs!$F$10-Inputs!$D$10)*(Inputs!$F$10-Inputs!$E$10)))</f>
        <v>0.0771056774497753</v>
      </c>
      <c r="F686" s="81" t="n">
        <f aca="true">RAND()</f>
        <v>0.0383277577764331</v>
      </c>
      <c r="G686" s="83" t="n">
        <f aca="false">IF(F686&lt;(Inputs!$E$15-Inputs!$D$15)/(Inputs!$F$15-Inputs!$D$15),Inputs!$D$15+SQRT(F686*(Inputs!$F$15-Inputs!$D$15)*(Inputs!$E$15-Inputs!$D$15)),Inputs!$F$15-SQRT((1-F686)*(Inputs!$F$15-Inputs!$D$15)*(Inputs!$F$15-Inputs!$E$15)))</f>
        <v>0.627686732481979</v>
      </c>
      <c r="H686" s="81" t="n">
        <f aca="true">RAND()</f>
        <v>0.793679158078229</v>
      </c>
      <c r="I686" s="82" t="n">
        <f aca="false">ROUND(IF(H686&lt;(Inputs!$E$17-Inputs!$D$17)/(Inputs!$F$17-Inputs!$D$17),Inputs!$D$17+SQRT(H686*(Inputs!$F$17-Inputs!$D$17)*(Inputs!$E$17-Inputs!$D$17)),Inputs!$F$17-SQRT((1-H686)*(Inputs!$F$17-Inputs!$D$17)*(Inputs!$F$17-Inputs!$E$17))),0)</f>
        <v>109</v>
      </c>
      <c r="J686" s="81" t="n">
        <f aca="true">RAND()</f>
        <v>0.983177428281469</v>
      </c>
      <c r="K686" s="83" t="n">
        <f aca="false">IF(J686&lt;(Inputs!$E$18-Inputs!$D$18)/(Inputs!$F$18-Inputs!$D$18),Inputs!$D$18+SQRT(J686*(Inputs!$F$18-Inputs!$D$18)*(Inputs!$E$18-Inputs!$D$18)),Inputs!$F$18-SQRT((1-J686)*(Inputs!$F$18-Inputs!$D$18)*(Inputs!$F$18-Inputs!$E$18)))</f>
        <v>1.21163367328801</v>
      </c>
      <c r="L686" s="81" t="n">
        <f aca="true">RAND()</f>
        <v>0.772456182928659</v>
      </c>
      <c r="M686" s="83" t="n">
        <f aca="false">IF(L686&lt;(Inputs!$E$24-Inputs!$D$24)/(Inputs!$F$24-Inputs!$D$24),Inputs!$D$24+SQRT(L686*(Inputs!$F$24-Inputs!$D$24)*(Inputs!$E$24-Inputs!$D$24)),Inputs!$F$24-SQRT((1-L686)*(Inputs!$F$24-Inputs!$D$24)*(Inputs!$F$24-Inputs!$E$24)))</f>
        <v>0.966311069801923</v>
      </c>
      <c r="N686" s="81" t="n">
        <f aca="true">RAND()</f>
        <v>0.583691421885466</v>
      </c>
      <c r="O686" s="83" t="n">
        <f aca="false">IF(N686&lt;(Inputs!$E$26-Inputs!$D$26)/(Inputs!$F$26-Inputs!$D$26),Inputs!$D$26+SQRT(N686*(Inputs!$F$26-Inputs!$D$26)*(Inputs!$E$26-Inputs!$D$26)),Inputs!$F$26-SQRT((1-N686)*(Inputs!$F$26-Inputs!$D$26)*(Inputs!$F$26-Inputs!$E$26)))</f>
        <v>0.611650850474921</v>
      </c>
      <c r="P686" s="81" t="n">
        <f aca="true">RAND()</f>
        <v>0.00263267121963963</v>
      </c>
      <c r="Q686" s="82" t="n">
        <f aca="false">IF(P686&lt;(Inputs!$E$27-Inputs!$D$27)/(Inputs!$F$27-Inputs!$D$27),Inputs!$D$27+SQRT(P686*(Inputs!$F$27-Inputs!$D$27)*(Inputs!$E$27-Inputs!$D$27)),Inputs!$F$27-SQRT((1-P686)*(Inputs!$F$27-Inputs!$D$27)*(Inputs!$F$27-Inputs!$E$27)))</f>
        <v>52.5654781326488</v>
      </c>
      <c r="R686" s="81" t="n">
        <f aca="true">RAND()</f>
        <v>0.834640573842558</v>
      </c>
      <c r="S686" s="82" t="n">
        <f aca="false">IF(R686&lt;(Inputs!$E$29-Inputs!$D$29)/(Inputs!$F$29-Inputs!$D$29),Inputs!$D$29+SQRT(R686*(Inputs!$F$29-Inputs!$D$29)*(Inputs!$E$29-Inputs!$D$29)),Inputs!$F$29-SQRT((1-R686)*(Inputs!$F$29-Inputs!$D$29)*(Inputs!$F$29-Inputs!$E$29)))</f>
        <v>10.3635438748471</v>
      </c>
      <c r="T686" s="68" t="n">
        <f aca="false">Inputs!$E$9*(1+E686)+Inputs!$E$5*C686*(Inputs!$E$11*Inputs!$E$14*(G686*I686/Inputs!$E$16+(1-G686))*K686+Inputs!$E$23*M686)*(1+O686)+Inputs!$E$5*(Q686+S686)</f>
        <v>6695.35903118644</v>
      </c>
    </row>
    <row r="687" customFormat="false" ht="15" hidden="false" customHeight="false" outlineLevel="0" collapsed="false">
      <c r="A687" s="1" t="n">
        <v>683</v>
      </c>
      <c r="B687" s="81" t="n">
        <f aca="true">RAND()</f>
        <v>0.5648158487787</v>
      </c>
      <c r="C687" s="82" t="n">
        <f aca="false">ROUND(IF(B687&lt;(Inputs!$E$8-Inputs!$D$8)/(Inputs!$F$8-Inputs!$D$8),Inputs!$D$8+SQRT(B687*(Inputs!$F$8-Inputs!$D$8)*(Inputs!$E$8-Inputs!$D$8)),Inputs!$F$8-SQRT((1-B687)*(Inputs!$F$8-Inputs!$D$8)*(Inputs!$F$8-Inputs!$E$8))),0)</f>
        <v>25</v>
      </c>
      <c r="D687" s="81" t="n">
        <f aca="true">RAND()</f>
        <v>0.838672939135662</v>
      </c>
      <c r="E687" s="83" t="n">
        <f aca="false">IF(D687&lt;(Inputs!$E$10-Inputs!$D$10)/(Inputs!$F$10-Inputs!$D$10),Inputs!$D$10+SQRT(D687*(Inputs!$F$10-Inputs!$D$10)*(Inputs!$E$10-Inputs!$D$10)),Inputs!$F$10-SQRT((1-D687)*(Inputs!$F$10-Inputs!$D$10)*(Inputs!$F$10-Inputs!$E$10)))</f>
        <v>0.13043124389548</v>
      </c>
      <c r="F687" s="81" t="n">
        <f aca="true">RAND()</f>
        <v>0.396503030623793</v>
      </c>
      <c r="G687" s="83" t="n">
        <f aca="false">IF(F687&lt;(Inputs!$E$15-Inputs!$D$15)/(Inputs!$F$15-Inputs!$D$15),Inputs!$D$15+SQRT(F687*(Inputs!$F$15-Inputs!$D$15)*(Inputs!$E$15-Inputs!$D$15)),Inputs!$F$15-SQRT((1-F687)*(Inputs!$F$15-Inputs!$D$15)*(Inputs!$F$15-Inputs!$E$15)))</f>
        <v>0.689050887769162</v>
      </c>
      <c r="H687" s="81" t="n">
        <f aca="true">RAND()</f>
        <v>0.276463732001876</v>
      </c>
      <c r="I687" s="82" t="n">
        <f aca="false">ROUND(IF(H687&lt;(Inputs!$E$17-Inputs!$D$17)/(Inputs!$F$17-Inputs!$D$17),Inputs!$D$17+SQRT(H687*(Inputs!$F$17-Inputs!$D$17)*(Inputs!$E$17-Inputs!$D$17)),Inputs!$F$17-SQRT((1-H687)*(Inputs!$F$17-Inputs!$D$17)*(Inputs!$F$17-Inputs!$E$17))),0)</f>
        <v>105</v>
      </c>
      <c r="J687" s="81" t="n">
        <f aca="true">RAND()</f>
        <v>0.981176745942532</v>
      </c>
      <c r="K687" s="83" t="n">
        <f aca="false">IF(J687&lt;(Inputs!$E$18-Inputs!$D$18)/(Inputs!$F$18-Inputs!$D$18),Inputs!$D$18+SQRT(J687*(Inputs!$F$18-Inputs!$D$18)*(Inputs!$E$18-Inputs!$D$18)),Inputs!$F$18-SQRT((1-J687)*(Inputs!$F$18-Inputs!$D$18)*(Inputs!$F$18-Inputs!$E$18)))</f>
        <v>1.20941632434059</v>
      </c>
      <c r="L687" s="81" t="n">
        <f aca="true">RAND()</f>
        <v>0.583534324388122</v>
      </c>
      <c r="M687" s="83" t="n">
        <f aca="false">IF(L687&lt;(Inputs!$E$24-Inputs!$D$24)/(Inputs!$F$24-Inputs!$D$24),Inputs!$D$24+SQRT(L687*(Inputs!$F$24-Inputs!$D$24)*(Inputs!$E$24-Inputs!$D$24)),Inputs!$F$24-SQRT((1-L687)*(Inputs!$F$24-Inputs!$D$24)*(Inputs!$F$24-Inputs!$E$24)))</f>
        <v>0.883848513925918</v>
      </c>
      <c r="N687" s="81" t="n">
        <f aca="true">RAND()</f>
        <v>0.624971240958891</v>
      </c>
      <c r="O687" s="83" t="n">
        <f aca="false">IF(N687&lt;(Inputs!$E$26-Inputs!$D$26)/(Inputs!$F$26-Inputs!$D$26),Inputs!$D$26+SQRT(N687*(Inputs!$F$26-Inputs!$D$26)*(Inputs!$E$26-Inputs!$D$26)),Inputs!$F$26-SQRT((1-N687)*(Inputs!$F$26-Inputs!$D$26)*(Inputs!$F$26-Inputs!$E$26)))</f>
        <v>0.622508250956463</v>
      </c>
      <c r="P687" s="81" t="n">
        <f aca="true">RAND()</f>
        <v>0.886104770545647</v>
      </c>
      <c r="Q687" s="82" t="n">
        <f aca="false">IF(P687&lt;(Inputs!$E$27-Inputs!$D$27)/(Inputs!$F$27-Inputs!$D$27),Inputs!$D$27+SQRT(P687*(Inputs!$F$27-Inputs!$D$27)*(Inputs!$E$27-Inputs!$D$27)),Inputs!$F$27-SQRT((1-P687)*(Inputs!$F$27-Inputs!$D$27)*(Inputs!$F$27-Inputs!$E$27)))</f>
        <v>120.773056593143</v>
      </c>
      <c r="R687" s="81" t="n">
        <f aca="true">RAND()</f>
        <v>0.748823478420172</v>
      </c>
      <c r="S687" s="82" t="n">
        <f aca="false">IF(R687&lt;(Inputs!$E$29-Inputs!$D$29)/(Inputs!$F$29-Inputs!$D$29),Inputs!$D$29+SQRT(R687*(Inputs!$F$29-Inputs!$D$29)*(Inputs!$E$29-Inputs!$D$29)),Inputs!$F$29-SQRT((1-R687)*(Inputs!$F$29-Inputs!$D$29)*(Inputs!$F$29-Inputs!$E$29)))</f>
        <v>9.28572420989522</v>
      </c>
      <c r="T687" s="68" t="n">
        <f aca="false">Inputs!$E$9*(1+E687)+Inputs!$E$5*C687*(Inputs!$E$11*Inputs!$E$14*(G687*I687/Inputs!$E$16+(1-G687))*K687+Inputs!$E$23*M687)*(1+O687)+Inputs!$E$5*(Q687+S687)</f>
        <v>7067.68234027723</v>
      </c>
    </row>
    <row r="688" customFormat="false" ht="15" hidden="false" customHeight="false" outlineLevel="0" collapsed="false">
      <c r="A688" s="1" t="n">
        <v>684</v>
      </c>
      <c r="B688" s="81" t="n">
        <f aca="true">RAND()</f>
        <v>0.345875509285394</v>
      </c>
      <c r="C688" s="82" t="n">
        <f aca="false">ROUND(IF(B688&lt;(Inputs!$E$8-Inputs!$D$8)/(Inputs!$F$8-Inputs!$D$8),Inputs!$D$8+SQRT(B688*(Inputs!$F$8-Inputs!$D$8)*(Inputs!$E$8-Inputs!$D$8)),Inputs!$F$8-SQRT((1-B688)*(Inputs!$F$8-Inputs!$D$8)*(Inputs!$F$8-Inputs!$E$8))),0)</f>
        <v>24</v>
      </c>
      <c r="D688" s="81" t="n">
        <f aca="true">RAND()</f>
        <v>0.820583237040354</v>
      </c>
      <c r="E688" s="83" t="n">
        <f aca="false">IF(D688&lt;(Inputs!$E$10-Inputs!$D$10)/(Inputs!$F$10-Inputs!$D$10),Inputs!$D$10+SQRT(D688*(Inputs!$F$10-Inputs!$D$10)*(Inputs!$E$10-Inputs!$D$10)),Inputs!$F$10-SQRT((1-D688)*(Inputs!$F$10-Inputs!$D$10)*(Inputs!$F$10-Inputs!$E$10)))</f>
        <v>0.126634457074255</v>
      </c>
      <c r="F688" s="81" t="n">
        <f aca="true">RAND()</f>
        <v>0.917105225683099</v>
      </c>
      <c r="G688" s="83" t="n">
        <f aca="false">IF(F688&lt;(Inputs!$E$15-Inputs!$D$15)/(Inputs!$F$15-Inputs!$D$15),Inputs!$D$15+SQRT(F688*(Inputs!$F$15-Inputs!$D$15)*(Inputs!$E$15-Inputs!$D$15)),Inputs!$F$15-SQRT((1-F688)*(Inputs!$F$15-Inputs!$D$15)*(Inputs!$F$15-Inputs!$E$15)))</f>
        <v>0.759282737244038</v>
      </c>
      <c r="H688" s="81" t="n">
        <f aca="true">RAND()</f>
        <v>0.949803481647417</v>
      </c>
      <c r="I688" s="82" t="n">
        <f aca="false">ROUND(IF(H688&lt;(Inputs!$E$17-Inputs!$D$17)/(Inputs!$F$17-Inputs!$D$17),Inputs!$D$17+SQRT(H688*(Inputs!$F$17-Inputs!$D$17)*(Inputs!$E$17-Inputs!$D$17)),Inputs!$F$17-SQRT((1-H688)*(Inputs!$F$17-Inputs!$D$17)*(Inputs!$F$17-Inputs!$E$17))),0)</f>
        <v>112</v>
      </c>
      <c r="J688" s="81" t="n">
        <f aca="true">RAND()</f>
        <v>0.333832757334977</v>
      </c>
      <c r="K688" s="83" t="n">
        <f aca="false">IF(J688&lt;(Inputs!$E$18-Inputs!$D$18)/(Inputs!$F$18-Inputs!$D$18),Inputs!$D$18+SQRT(J688*(Inputs!$F$18-Inputs!$D$18)*(Inputs!$E$18-Inputs!$D$18)),Inputs!$F$18-SQRT((1-J688)*(Inputs!$F$18-Inputs!$D$18)*(Inputs!$F$18-Inputs!$E$18)))</f>
        <v>1.00856753794655</v>
      </c>
      <c r="L688" s="81" t="n">
        <f aca="true">RAND()</f>
        <v>0.655192034288278</v>
      </c>
      <c r="M688" s="83" t="n">
        <f aca="false">IF(L688&lt;(Inputs!$E$24-Inputs!$D$24)/(Inputs!$F$24-Inputs!$D$24),Inputs!$D$24+SQRT(L688*(Inputs!$F$24-Inputs!$D$24)*(Inputs!$E$24-Inputs!$D$24)),Inputs!$F$24-SQRT((1-L688)*(Inputs!$F$24-Inputs!$D$24)*(Inputs!$F$24-Inputs!$E$24)))</f>
        <v>0.912330203582626</v>
      </c>
      <c r="N688" s="81" t="n">
        <f aca="true">RAND()</f>
        <v>0.657410260262367</v>
      </c>
      <c r="O688" s="83" t="n">
        <f aca="false">IF(N688&lt;(Inputs!$E$26-Inputs!$D$26)/(Inputs!$F$26-Inputs!$D$26),Inputs!$D$26+SQRT(N688*(Inputs!$F$26-Inputs!$D$26)*(Inputs!$E$26-Inputs!$D$26)),Inputs!$F$26-SQRT((1-N688)*(Inputs!$F$26-Inputs!$D$26)*(Inputs!$F$26-Inputs!$E$26)))</f>
        <v>0.631242661248062</v>
      </c>
      <c r="P688" s="81" t="n">
        <f aca="true">RAND()</f>
        <v>0.430048853216187</v>
      </c>
      <c r="Q688" s="82" t="n">
        <f aca="false">IF(P688&lt;(Inputs!$E$27-Inputs!$D$27)/(Inputs!$F$27-Inputs!$D$27),Inputs!$D$27+SQRT(P688*(Inputs!$F$27-Inputs!$D$27)*(Inputs!$E$27-Inputs!$D$27)),Inputs!$F$27-SQRT((1-P688)*(Inputs!$F$27-Inputs!$D$27)*(Inputs!$F$27-Inputs!$E$27)))</f>
        <v>84.6193178310397</v>
      </c>
      <c r="R688" s="81" t="n">
        <f aca="true">RAND()</f>
        <v>0.482613561603708</v>
      </c>
      <c r="S688" s="82" t="n">
        <f aca="false">IF(R688&lt;(Inputs!$E$29-Inputs!$D$29)/(Inputs!$F$29-Inputs!$D$29),Inputs!$D$29+SQRT(R688*(Inputs!$F$29-Inputs!$D$29)*(Inputs!$E$29-Inputs!$D$29)),Inputs!$F$29-SQRT((1-R688)*(Inputs!$F$29-Inputs!$D$29)*(Inputs!$F$29-Inputs!$E$29)))</f>
        <v>6.79876612993399</v>
      </c>
      <c r="T688" s="68" t="n">
        <f aca="false">Inputs!$E$9*(1+E688)+Inputs!$E$5*C688*(Inputs!$E$11*Inputs!$E$14*(G688*I688/Inputs!$E$16+(1-G688))*K688+Inputs!$E$23*M688)*(1+O688)+Inputs!$E$5*(Q688+S688)</f>
        <v>6338.85905240559</v>
      </c>
    </row>
    <row r="689" customFormat="false" ht="15" hidden="false" customHeight="false" outlineLevel="0" collapsed="false">
      <c r="A689" s="1" t="n">
        <v>685</v>
      </c>
      <c r="B689" s="81" t="n">
        <f aca="true">RAND()</f>
        <v>0.66091710271644</v>
      </c>
      <c r="C689" s="82" t="n">
        <f aca="false">ROUND(IF(B689&lt;(Inputs!$E$8-Inputs!$D$8)/(Inputs!$F$8-Inputs!$D$8),Inputs!$D$8+SQRT(B689*(Inputs!$F$8-Inputs!$D$8)*(Inputs!$E$8-Inputs!$D$8)),Inputs!$F$8-SQRT((1-B689)*(Inputs!$F$8-Inputs!$D$8)*(Inputs!$F$8-Inputs!$E$8))),0)</f>
        <v>26</v>
      </c>
      <c r="D689" s="81" t="n">
        <f aca="true">RAND()</f>
        <v>0.600490619428178</v>
      </c>
      <c r="E689" s="83" t="n">
        <f aca="false">IF(D689&lt;(Inputs!$E$10-Inputs!$D$10)/(Inputs!$F$10-Inputs!$D$10),Inputs!$D$10+SQRT(D689*(Inputs!$F$10-Inputs!$D$10)*(Inputs!$E$10-Inputs!$D$10)),Inputs!$F$10-SQRT((1-D689)*(Inputs!$F$10-Inputs!$D$10)*(Inputs!$F$10-Inputs!$E$10)))</f>
        <v>0.0905226899437392</v>
      </c>
      <c r="F689" s="81" t="n">
        <f aca="true">RAND()</f>
        <v>0.689576048398452</v>
      </c>
      <c r="G689" s="83" t="n">
        <f aca="false">IF(F689&lt;(Inputs!$E$15-Inputs!$D$15)/(Inputs!$F$15-Inputs!$D$15),Inputs!$D$15+SQRT(F689*(Inputs!$F$15-Inputs!$D$15)*(Inputs!$E$15-Inputs!$D$15)),Inputs!$F$15-SQRT((1-F689)*(Inputs!$F$15-Inputs!$D$15)*(Inputs!$F$15-Inputs!$E$15)))</f>
        <v>0.721206097748424</v>
      </c>
      <c r="H689" s="81" t="n">
        <f aca="true">RAND()</f>
        <v>0.979843602273926</v>
      </c>
      <c r="I689" s="82" t="n">
        <f aca="false">ROUND(IF(H689&lt;(Inputs!$E$17-Inputs!$D$17)/(Inputs!$F$17-Inputs!$D$17),Inputs!$D$17+SQRT(H689*(Inputs!$F$17-Inputs!$D$17)*(Inputs!$E$17-Inputs!$D$17)),Inputs!$F$17-SQRT((1-H689)*(Inputs!$F$17-Inputs!$D$17)*(Inputs!$F$17-Inputs!$E$17))),0)</f>
        <v>113</v>
      </c>
      <c r="J689" s="81" t="n">
        <f aca="true">RAND()</f>
        <v>0.256212455056647</v>
      </c>
      <c r="K689" s="83" t="n">
        <f aca="false">IF(J689&lt;(Inputs!$E$18-Inputs!$D$18)/(Inputs!$F$18-Inputs!$D$18),Inputs!$D$18+SQRT(J689*(Inputs!$F$18-Inputs!$D$18)*(Inputs!$E$18-Inputs!$D$18)),Inputs!$F$18-SQRT((1-J689)*(Inputs!$F$18-Inputs!$D$18)*(Inputs!$F$18-Inputs!$E$18)))</f>
        <v>0.994696546542008</v>
      </c>
      <c r="L689" s="81" t="n">
        <f aca="true">RAND()</f>
        <v>0.318140732736431</v>
      </c>
      <c r="M689" s="83" t="n">
        <f aca="false">IF(L689&lt;(Inputs!$E$24-Inputs!$D$24)/(Inputs!$F$24-Inputs!$D$24),Inputs!$D$24+SQRT(L689*(Inputs!$F$24-Inputs!$D$24)*(Inputs!$E$24-Inputs!$D$24)),Inputs!$F$24-SQRT((1-L689)*(Inputs!$F$24-Inputs!$D$24)*(Inputs!$F$24-Inputs!$E$24)))</f>
        <v>0.795389068088191</v>
      </c>
      <c r="N689" s="81" t="n">
        <f aca="true">RAND()</f>
        <v>0.102980858679426</v>
      </c>
      <c r="O689" s="83" t="n">
        <f aca="false">IF(N689&lt;(Inputs!$E$26-Inputs!$D$26)/(Inputs!$F$26-Inputs!$D$26),Inputs!$D$26+SQRT(N689*(Inputs!$F$26-Inputs!$D$26)*(Inputs!$E$26-Inputs!$D$26)),Inputs!$F$26-SQRT((1-N689)*(Inputs!$F$26-Inputs!$D$26)*(Inputs!$F$26-Inputs!$E$26)))</f>
        <v>0.430904602227181</v>
      </c>
      <c r="P689" s="81" t="n">
        <f aca="true">RAND()</f>
        <v>0.913657805213133</v>
      </c>
      <c r="Q689" s="82" t="n">
        <f aca="false">IF(P689&lt;(Inputs!$E$27-Inputs!$D$27)/(Inputs!$F$27-Inputs!$D$27),Inputs!$D$27+SQRT(P689*(Inputs!$F$27-Inputs!$D$27)*(Inputs!$E$27-Inputs!$D$27)),Inputs!$F$27-SQRT((1-P689)*(Inputs!$F$27-Inputs!$D$27)*(Inputs!$F$27-Inputs!$E$27)))</f>
        <v>124.552672814193</v>
      </c>
      <c r="R689" s="81" t="n">
        <f aca="true">RAND()</f>
        <v>0.650145305037226</v>
      </c>
      <c r="S689" s="82" t="n">
        <f aca="false">IF(R689&lt;(Inputs!$E$29-Inputs!$D$29)/(Inputs!$F$29-Inputs!$D$29),Inputs!$D$29+SQRT(R689*(Inputs!$F$29-Inputs!$D$29)*(Inputs!$E$29-Inputs!$D$29)),Inputs!$F$29-SQRT((1-R689)*(Inputs!$F$29-Inputs!$D$29)*(Inputs!$F$29-Inputs!$E$29)))</f>
        <v>8.25603155811353</v>
      </c>
      <c r="T689" s="68" t="n">
        <f aca="false">Inputs!$E$9*(1+E689)+Inputs!$E$5*C689*(Inputs!$E$11*Inputs!$E$14*(G689*I689/Inputs!$E$16+(1-G689))*K689+Inputs!$E$23*M689)*(1+O689)+Inputs!$E$5*(Q689+S689)</f>
        <v>6168.16878971156</v>
      </c>
    </row>
    <row r="690" customFormat="false" ht="15" hidden="false" customHeight="false" outlineLevel="0" collapsed="false">
      <c r="A690" s="1" t="n">
        <v>686</v>
      </c>
      <c r="B690" s="81" t="n">
        <f aca="true">RAND()</f>
        <v>0.7725185702555</v>
      </c>
      <c r="C690" s="82" t="n">
        <f aca="false">ROUND(IF(B690&lt;(Inputs!$E$8-Inputs!$D$8)/(Inputs!$F$8-Inputs!$D$8),Inputs!$D$8+SQRT(B690*(Inputs!$F$8-Inputs!$D$8)*(Inputs!$E$8-Inputs!$D$8)),Inputs!$F$8-SQRT((1-B690)*(Inputs!$F$8-Inputs!$D$8)*(Inputs!$F$8-Inputs!$E$8))),0)</f>
        <v>27</v>
      </c>
      <c r="D690" s="81" t="n">
        <f aca="true">RAND()</f>
        <v>0.250875925758476</v>
      </c>
      <c r="E690" s="83" t="n">
        <f aca="false">IF(D690&lt;(Inputs!$E$10-Inputs!$D$10)/(Inputs!$F$10-Inputs!$D$10),Inputs!$D$10+SQRT(D690*(Inputs!$F$10-Inputs!$D$10)*(Inputs!$E$10-Inputs!$D$10)),Inputs!$F$10-SQRT((1-D690)*(Inputs!$F$10-Inputs!$D$10)*(Inputs!$F$10-Inputs!$E$10)))</f>
        <v>0.0500876181656575</v>
      </c>
      <c r="F690" s="81" t="n">
        <f aca="true">RAND()</f>
        <v>0.550225039185039</v>
      </c>
      <c r="G690" s="83" t="n">
        <f aca="false">IF(F690&lt;(Inputs!$E$15-Inputs!$D$15)/(Inputs!$F$15-Inputs!$D$15),Inputs!$D$15+SQRT(F690*(Inputs!$F$15-Inputs!$D$15)*(Inputs!$E$15-Inputs!$D$15)),Inputs!$F$15-SQRT((1-F690)*(Inputs!$F$15-Inputs!$D$15)*(Inputs!$F$15-Inputs!$E$15)))</f>
        <v>0.705155394374275</v>
      </c>
      <c r="H690" s="81" t="n">
        <f aca="true">RAND()</f>
        <v>0.250624722786126</v>
      </c>
      <c r="I690" s="82" t="n">
        <f aca="false">ROUND(IF(H690&lt;(Inputs!$E$17-Inputs!$D$17)/(Inputs!$F$17-Inputs!$D$17),Inputs!$D$17+SQRT(H690*(Inputs!$F$17-Inputs!$D$17)*(Inputs!$E$17-Inputs!$D$17)),Inputs!$F$17-SQRT((1-H690)*(Inputs!$F$17-Inputs!$D$17)*(Inputs!$F$17-Inputs!$E$17))),0)</f>
        <v>104</v>
      </c>
      <c r="J690" s="81" t="n">
        <f aca="true">RAND()</f>
        <v>0.630445782896778</v>
      </c>
      <c r="K690" s="83" t="n">
        <f aca="false">IF(J690&lt;(Inputs!$E$18-Inputs!$D$18)/(Inputs!$F$18-Inputs!$D$18),Inputs!$D$18+SQRT(J690*(Inputs!$F$18-Inputs!$D$18)*(Inputs!$E$18-Inputs!$D$18)),Inputs!$F$18-SQRT((1-J690)*(Inputs!$F$18-Inputs!$D$18)*(Inputs!$F$18-Inputs!$E$18)))</f>
        <v>1.07017788234888</v>
      </c>
      <c r="L690" s="81" t="n">
        <f aca="true">RAND()</f>
        <v>0.00933868031284366</v>
      </c>
      <c r="M690" s="83" t="n">
        <f aca="false">IF(L690&lt;(Inputs!$E$24-Inputs!$D$24)/(Inputs!$F$24-Inputs!$D$24),Inputs!$D$24+SQRT(L690*(Inputs!$F$24-Inputs!$D$24)*(Inputs!$E$24-Inputs!$D$24)),Inputs!$F$24-SQRT((1-L690)*(Inputs!$F$24-Inputs!$D$24)*(Inputs!$F$24-Inputs!$E$24)))</f>
        <v>0.633475985983108</v>
      </c>
      <c r="N690" s="81" t="n">
        <f aca="true">RAND()</f>
        <v>0.454069150942149</v>
      </c>
      <c r="O690" s="83" t="n">
        <f aca="false">IF(N690&lt;(Inputs!$E$26-Inputs!$D$26)/(Inputs!$F$26-Inputs!$D$26),Inputs!$D$26+SQRT(N690*(Inputs!$F$26-Inputs!$D$26)*(Inputs!$E$26-Inputs!$D$26)),Inputs!$F$26-SQRT((1-N690)*(Inputs!$F$26-Inputs!$D$26)*(Inputs!$F$26-Inputs!$E$26)))</f>
        <v>0.574876529948946</v>
      </c>
      <c r="P690" s="81" t="n">
        <f aca="true">RAND()</f>
        <v>0.544962170630857</v>
      </c>
      <c r="Q690" s="82" t="n">
        <f aca="false">IF(P690&lt;(Inputs!$E$27-Inputs!$D$27)/(Inputs!$F$27-Inputs!$D$27),Inputs!$D$27+SQRT(P690*(Inputs!$F$27-Inputs!$D$27)*(Inputs!$E$27-Inputs!$D$27)),Inputs!$F$27-SQRT((1-P690)*(Inputs!$F$27-Inputs!$D$27)*(Inputs!$F$27-Inputs!$E$27)))</f>
        <v>91.5809644014164</v>
      </c>
      <c r="R690" s="81" t="n">
        <f aca="true">RAND()</f>
        <v>0.107471919141858</v>
      </c>
      <c r="S690" s="82" t="n">
        <f aca="false">IF(R690&lt;(Inputs!$E$29-Inputs!$D$29)/(Inputs!$F$29-Inputs!$D$29),Inputs!$D$29+SQRT(R690*(Inputs!$F$29-Inputs!$D$29)*(Inputs!$E$29-Inputs!$D$29)),Inputs!$F$29-SQRT((1-R690)*(Inputs!$F$29-Inputs!$D$29)*(Inputs!$F$29-Inputs!$E$29)))</f>
        <v>4.04729207650801</v>
      </c>
      <c r="T690" s="68" t="n">
        <f aca="false">Inputs!$E$9*(1+E690)+Inputs!$E$5*C690*(Inputs!$E$11*Inputs!$E$14*(G690*I690/Inputs!$E$16+(1-G690))*K690+Inputs!$E$23*M690)*(1+O690)+Inputs!$E$5*(Q690+S690)</f>
        <v>6171.17272977961</v>
      </c>
    </row>
    <row r="691" customFormat="false" ht="15" hidden="false" customHeight="false" outlineLevel="0" collapsed="false">
      <c r="A691" s="1" t="n">
        <v>687</v>
      </c>
      <c r="B691" s="81" t="n">
        <f aca="true">RAND()</f>
        <v>0.319217396673592</v>
      </c>
      <c r="C691" s="82" t="n">
        <f aca="false">ROUND(IF(B691&lt;(Inputs!$E$8-Inputs!$D$8)/(Inputs!$F$8-Inputs!$D$8),Inputs!$D$8+SQRT(B691*(Inputs!$F$8-Inputs!$D$8)*(Inputs!$E$8-Inputs!$D$8)),Inputs!$F$8-SQRT((1-B691)*(Inputs!$F$8-Inputs!$D$8)*(Inputs!$F$8-Inputs!$E$8))),0)</f>
        <v>24</v>
      </c>
      <c r="D691" s="81" t="n">
        <f aca="true">RAND()</f>
        <v>0.968412093217267</v>
      </c>
      <c r="E691" s="83" t="n">
        <f aca="false">IF(D691&lt;(Inputs!$E$10-Inputs!$D$10)/(Inputs!$F$10-Inputs!$D$10),Inputs!$D$10+SQRT(D691*(Inputs!$F$10-Inputs!$D$10)*(Inputs!$E$10-Inputs!$D$10)),Inputs!$F$10-SQRT((1-D691)*(Inputs!$F$10-Inputs!$D$10)*(Inputs!$F$10-Inputs!$E$10)))</f>
        <v>0.169216283468659</v>
      </c>
      <c r="F691" s="81" t="n">
        <f aca="true">RAND()</f>
        <v>0.661057212856933</v>
      </c>
      <c r="G691" s="83" t="n">
        <f aca="false">IF(F691&lt;(Inputs!$E$15-Inputs!$D$15)/(Inputs!$F$15-Inputs!$D$15),Inputs!$D$15+SQRT(F691*(Inputs!$F$15-Inputs!$D$15)*(Inputs!$E$15-Inputs!$D$15)),Inputs!$F$15-SQRT((1-F691)*(Inputs!$F$15-Inputs!$D$15)*(Inputs!$F$15-Inputs!$E$15)))</f>
        <v>0.717666193195861</v>
      </c>
      <c r="H691" s="81" t="n">
        <f aca="true">RAND()</f>
        <v>0.919076246958474</v>
      </c>
      <c r="I691" s="82" t="n">
        <f aca="false">ROUND(IF(H691&lt;(Inputs!$E$17-Inputs!$D$17)/(Inputs!$F$17-Inputs!$D$17),Inputs!$D$17+SQRT(H691*(Inputs!$F$17-Inputs!$D$17)*(Inputs!$E$17-Inputs!$D$17)),Inputs!$F$17-SQRT((1-H691)*(Inputs!$F$17-Inputs!$D$17)*(Inputs!$F$17-Inputs!$E$17))),0)</f>
        <v>112</v>
      </c>
      <c r="J691" s="81" t="n">
        <f aca="true">RAND()</f>
        <v>0.383267465507713</v>
      </c>
      <c r="K691" s="83" t="n">
        <f aca="false">IF(J691&lt;(Inputs!$E$18-Inputs!$D$18)/(Inputs!$F$18-Inputs!$D$18),Inputs!$D$18+SQRT(J691*(Inputs!$F$18-Inputs!$D$18)*(Inputs!$E$18-Inputs!$D$18)),Inputs!$F$18-SQRT((1-J691)*(Inputs!$F$18-Inputs!$D$18)*(Inputs!$F$18-Inputs!$E$18)))</f>
        <v>1.01769826352764</v>
      </c>
      <c r="L691" s="81" t="n">
        <f aca="true">RAND()</f>
        <v>0.848734807892182</v>
      </c>
      <c r="M691" s="83" t="n">
        <f aca="false">IF(L691&lt;(Inputs!$E$24-Inputs!$D$24)/(Inputs!$F$24-Inputs!$D$24),Inputs!$D$24+SQRT(L691*(Inputs!$F$24-Inputs!$D$24)*(Inputs!$E$24-Inputs!$D$24)),Inputs!$F$24-SQRT((1-L691)*(Inputs!$F$24-Inputs!$D$24)*(Inputs!$F$24-Inputs!$E$24)))</f>
        <v>1.00946484286128</v>
      </c>
      <c r="N691" s="81" t="n">
        <f aca="true">RAND()</f>
        <v>0.196505180373323</v>
      </c>
      <c r="O691" s="83" t="n">
        <f aca="false">IF(N691&lt;(Inputs!$E$26-Inputs!$D$26)/(Inputs!$F$26-Inputs!$D$26),Inputs!$D$26+SQRT(N691*(Inputs!$F$26-Inputs!$D$26)*(Inputs!$E$26-Inputs!$D$26)),Inputs!$F$26-SQRT((1-N691)*(Inputs!$F$26-Inputs!$D$26)*(Inputs!$F$26-Inputs!$E$26)))</f>
        <v>0.480827160609575</v>
      </c>
      <c r="P691" s="81" t="n">
        <f aca="true">RAND()</f>
        <v>0.342446918380352</v>
      </c>
      <c r="Q691" s="82" t="n">
        <f aca="false">IF(P691&lt;(Inputs!$E$27-Inputs!$D$27)/(Inputs!$F$27-Inputs!$D$27),Inputs!$D$27+SQRT(P691*(Inputs!$F$27-Inputs!$D$27)*(Inputs!$E$27-Inputs!$D$27)),Inputs!$F$27-SQRT((1-P691)*(Inputs!$F$27-Inputs!$D$27)*(Inputs!$F$27-Inputs!$E$27)))</f>
        <v>79.7743058977175</v>
      </c>
      <c r="R691" s="81" t="n">
        <f aca="true">RAND()</f>
        <v>0.409513963170032</v>
      </c>
      <c r="S691" s="82" t="n">
        <f aca="false">IF(R691&lt;(Inputs!$E$29-Inputs!$D$29)/(Inputs!$F$29-Inputs!$D$29),Inputs!$D$29+SQRT(R691*(Inputs!$F$29-Inputs!$D$29)*(Inputs!$E$29-Inputs!$D$29)),Inputs!$F$29-SQRT((1-R691)*(Inputs!$F$29-Inputs!$D$29)*(Inputs!$F$29-Inputs!$E$29)))</f>
        <v>6.23853980275572</v>
      </c>
      <c r="T691" s="68" t="n">
        <f aca="false">Inputs!$E$9*(1+E691)+Inputs!$E$5*C691*(Inputs!$E$11*Inputs!$E$14*(G691*I691/Inputs!$E$16+(1-G691))*K691+Inputs!$E$23*M691)*(1+O691)+Inputs!$E$5*(Q691+S691)</f>
        <v>6278.02873636946</v>
      </c>
    </row>
    <row r="692" customFormat="false" ht="15" hidden="false" customHeight="false" outlineLevel="0" collapsed="false">
      <c r="A692" s="1" t="n">
        <v>688</v>
      </c>
      <c r="B692" s="81" t="n">
        <f aca="true">RAND()</f>
        <v>0.785796763119126</v>
      </c>
      <c r="C692" s="82" t="n">
        <f aca="false">ROUND(IF(B692&lt;(Inputs!$E$8-Inputs!$D$8)/(Inputs!$F$8-Inputs!$D$8),Inputs!$D$8+SQRT(B692*(Inputs!$F$8-Inputs!$D$8)*(Inputs!$E$8-Inputs!$D$8)),Inputs!$F$8-SQRT((1-B692)*(Inputs!$F$8-Inputs!$D$8)*(Inputs!$F$8-Inputs!$E$8))),0)</f>
        <v>27</v>
      </c>
      <c r="D692" s="81" t="n">
        <f aca="true">RAND()</f>
        <v>0.0291648821918414</v>
      </c>
      <c r="E692" s="83" t="n">
        <f aca="false">IF(D692&lt;(Inputs!$E$10-Inputs!$D$10)/(Inputs!$F$10-Inputs!$D$10),Inputs!$D$10+SQRT(D692*(Inputs!$F$10-Inputs!$D$10)*(Inputs!$E$10-Inputs!$D$10)),Inputs!$F$10-SQRT((1-D692)*(Inputs!$F$10-Inputs!$D$10)*(Inputs!$F$10-Inputs!$E$10)))</f>
        <v>0.0170777288278744</v>
      </c>
      <c r="F692" s="81" t="n">
        <f aca="true">RAND()</f>
        <v>0.479811351371232</v>
      </c>
      <c r="G692" s="83" t="n">
        <f aca="false">IF(F692&lt;(Inputs!$E$15-Inputs!$D$15)/(Inputs!$F$15-Inputs!$D$15),Inputs!$D$15+SQRT(F692*(Inputs!$F$15-Inputs!$D$15)*(Inputs!$E$15-Inputs!$D$15)),Inputs!$F$15-SQRT((1-F692)*(Inputs!$F$15-Inputs!$D$15)*(Inputs!$F$15-Inputs!$E$15)))</f>
        <v>0.697960333949128</v>
      </c>
      <c r="H692" s="81" t="n">
        <f aca="true">RAND()</f>
        <v>0.985651114748377</v>
      </c>
      <c r="I692" s="82" t="n">
        <f aca="false">ROUND(IF(H692&lt;(Inputs!$E$17-Inputs!$D$17)/(Inputs!$F$17-Inputs!$D$17),Inputs!$D$17+SQRT(H692*(Inputs!$F$17-Inputs!$D$17)*(Inputs!$E$17-Inputs!$D$17)),Inputs!$F$17-SQRT((1-H692)*(Inputs!$F$17-Inputs!$D$17)*(Inputs!$F$17-Inputs!$E$17))),0)</f>
        <v>114</v>
      </c>
      <c r="J692" s="81" t="n">
        <f aca="true">RAND()</f>
        <v>0.236532327571923</v>
      </c>
      <c r="K692" s="83" t="n">
        <f aca="false">IF(J692&lt;(Inputs!$E$18-Inputs!$D$18)/(Inputs!$F$18-Inputs!$D$18),Inputs!$D$18+SQRT(J692*(Inputs!$F$18-Inputs!$D$18)*(Inputs!$E$18-Inputs!$D$18)),Inputs!$F$18-SQRT((1-J692)*(Inputs!$F$18-Inputs!$D$18)*(Inputs!$F$18-Inputs!$E$18)))</f>
        <v>0.990986985140828</v>
      </c>
      <c r="L692" s="81" t="n">
        <f aca="true">RAND()</f>
        <v>0.864342566036518</v>
      </c>
      <c r="M692" s="83" t="n">
        <f aca="false">IF(L692&lt;(Inputs!$E$24-Inputs!$D$24)/(Inputs!$F$24-Inputs!$D$24),Inputs!$D$24+SQRT(L692*(Inputs!$F$24-Inputs!$D$24)*(Inputs!$E$24-Inputs!$D$24)),Inputs!$F$24-SQRT((1-L692)*(Inputs!$F$24-Inputs!$D$24)*(Inputs!$F$24-Inputs!$E$24)))</f>
        <v>1.01956224299988</v>
      </c>
      <c r="N692" s="81" t="n">
        <f aca="true">RAND()</f>
        <v>0.745579779406196</v>
      </c>
      <c r="O692" s="83" t="n">
        <f aca="false">IF(N692&lt;(Inputs!$E$26-Inputs!$D$26)/(Inputs!$F$26-Inputs!$D$26),Inputs!$D$26+SQRT(N692*(Inputs!$F$26-Inputs!$D$26)*(Inputs!$E$26-Inputs!$D$26)),Inputs!$F$26-SQRT((1-N692)*(Inputs!$F$26-Inputs!$D$26)*(Inputs!$F$26-Inputs!$E$26)))</f>
        <v>0.657335612558386</v>
      </c>
      <c r="P692" s="81" t="n">
        <f aca="true">RAND()</f>
        <v>0.00795645964630143</v>
      </c>
      <c r="Q692" s="82" t="n">
        <f aca="false">IF(P692&lt;(Inputs!$E$27-Inputs!$D$27)/(Inputs!$F$27-Inputs!$D$27),Inputs!$D$27+SQRT(P692*(Inputs!$F$27-Inputs!$D$27)*(Inputs!$E$27-Inputs!$D$27)),Inputs!$F$27-SQRT((1-P692)*(Inputs!$F$27-Inputs!$D$27)*(Inputs!$F$27-Inputs!$E$27)))</f>
        <v>54.4599494521523</v>
      </c>
      <c r="R692" s="81" t="n">
        <f aca="true">RAND()</f>
        <v>0.245464279027676</v>
      </c>
      <c r="S692" s="82" t="n">
        <f aca="false">IF(R692&lt;(Inputs!$E$29-Inputs!$D$29)/(Inputs!$F$29-Inputs!$D$29),Inputs!$D$29+SQRT(R692*(Inputs!$F$29-Inputs!$D$29)*(Inputs!$E$29-Inputs!$D$29)),Inputs!$F$29-SQRT((1-R692)*(Inputs!$F$29-Inputs!$D$29)*(Inputs!$F$29-Inputs!$E$29)))</f>
        <v>5.09597840640469</v>
      </c>
      <c r="T692" s="68" t="n">
        <f aca="false">Inputs!$E$9*(1+E692)+Inputs!$E$5*C692*(Inputs!$E$11*Inputs!$E$14*(G692*I692/Inputs!$E$16+(1-G692))*K692+Inputs!$E$23*M692)*(1+O692)+Inputs!$E$5*(Q692+S692)</f>
        <v>6662.20406607366</v>
      </c>
    </row>
    <row r="693" customFormat="false" ht="15" hidden="false" customHeight="false" outlineLevel="0" collapsed="false">
      <c r="A693" s="1" t="n">
        <v>689</v>
      </c>
      <c r="B693" s="81" t="n">
        <f aca="true">RAND()</f>
        <v>0.524800954490622</v>
      </c>
      <c r="C693" s="82" t="n">
        <f aca="false">ROUND(IF(B693&lt;(Inputs!$E$8-Inputs!$D$8)/(Inputs!$F$8-Inputs!$D$8),Inputs!$D$8+SQRT(B693*(Inputs!$F$8-Inputs!$D$8)*(Inputs!$E$8-Inputs!$D$8)),Inputs!$F$8-SQRT((1-B693)*(Inputs!$F$8-Inputs!$D$8)*(Inputs!$F$8-Inputs!$E$8))),0)</f>
        <v>25</v>
      </c>
      <c r="D693" s="81" t="n">
        <f aca="true">RAND()</f>
        <v>0.102097977914754</v>
      </c>
      <c r="E693" s="83" t="n">
        <f aca="false">IF(D693&lt;(Inputs!$E$10-Inputs!$D$10)/(Inputs!$F$10-Inputs!$D$10),Inputs!$D$10+SQRT(D693*(Inputs!$F$10-Inputs!$D$10)*(Inputs!$E$10-Inputs!$D$10)),Inputs!$F$10-SQRT((1-D693)*(Inputs!$F$10-Inputs!$D$10)*(Inputs!$F$10-Inputs!$E$10)))</f>
        <v>0.0319527742011166</v>
      </c>
      <c r="F693" s="81" t="n">
        <f aca="true">RAND()</f>
        <v>0.486211081811864</v>
      </c>
      <c r="G693" s="83" t="n">
        <f aca="false">IF(F693&lt;(Inputs!$E$15-Inputs!$D$15)/(Inputs!$F$15-Inputs!$D$15),Inputs!$D$15+SQRT(F693*(Inputs!$F$15-Inputs!$D$15)*(Inputs!$E$15-Inputs!$D$15)),Inputs!$F$15-SQRT((1-F693)*(Inputs!$F$15-Inputs!$D$15)*(Inputs!$F$15-Inputs!$E$15)))</f>
        <v>0.698611468076676</v>
      </c>
      <c r="H693" s="81" t="n">
        <f aca="true">RAND()</f>
        <v>0.130284450529935</v>
      </c>
      <c r="I693" s="82" t="n">
        <f aca="false">ROUND(IF(H693&lt;(Inputs!$E$17-Inputs!$D$17)/(Inputs!$F$17-Inputs!$D$17),Inputs!$D$17+SQRT(H693*(Inputs!$F$17-Inputs!$D$17)*(Inputs!$E$17-Inputs!$D$17)),Inputs!$F$17-SQRT((1-H693)*(Inputs!$F$17-Inputs!$D$17)*(Inputs!$F$17-Inputs!$E$17))),0)</f>
        <v>103</v>
      </c>
      <c r="J693" s="81" t="n">
        <f aca="true">RAND()</f>
        <v>0.906080106084277</v>
      </c>
      <c r="K693" s="83" t="n">
        <f aca="false">IF(J693&lt;(Inputs!$E$18-Inputs!$D$18)/(Inputs!$F$18-Inputs!$D$18),Inputs!$D$18+SQRT(J693*(Inputs!$F$18-Inputs!$D$18)*(Inputs!$E$18-Inputs!$D$18)),Inputs!$F$18-SQRT((1-J693)*(Inputs!$F$18-Inputs!$D$18)*(Inputs!$F$18-Inputs!$E$18)))</f>
        <v>1.15934686592497</v>
      </c>
      <c r="L693" s="81" t="n">
        <f aca="true">RAND()</f>
        <v>0.089768926460591</v>
      </c>
      <c r="M693" s="83" t="n">
        <f aca="false">IF(L693&lt;(Inputs!$E$24-Inputs!$D$24)/(Inputs!$F$24-Inputs!$D$24),Inputs!$D$24+SQRT(L693*(Inputs!$F$24-Inputs!$D$24)*(Inputs!$E$24-Inputs!$D$24)),Inputs!$F$24-SQRT((1-L693)*(Inputs!$F$24-Inputs!$D$24)*(Inputs!$F$24-Inputs!$E$24)))</f>
        <v>0.703789552341606</v>
      </c>
      <c r="N693" s="81" t="n">
        <f aca="true">RAND()</f>
        <v>0.0350307692748804</v>
      </c>
      <c r="O693" s="83" t="n">
        <f aca="false">IF(N693&lt;(Inputs!$E$26-Inputs!$D$26)/(Inputs!$F$26-Inputs!$D$26),Inputs!$D$26+SQRT(N693*(Inputs!$F$26-Inputs!$D$26)*(Inputs!$E$26-Inputs!$D$26)),Inputs!$F$26-SQRT((1-N693)*(Inputs!$F$26-Inputs!$D$26)*(Inputs!$F$26-Inputs!$E$26)))</f>
        <v>0.376348673906887</v>
      </c>
      <c r="P693" s="81" t="n">
        <f aca="true">RAND()</f>
        <v>0.294665341737465</v>
      </c>
      <c r="Q693" s="82" t="n">
        <f aca="false">IF(P693&lt;(Inputs!$E$27-Inputs!$D$27)/(Inputs!$F$27-Inputs!$D$27),Inputs!$D$27+SQRT(P693*(Inputs!$F$27-Inputs!$D$27)*(Inputs!$E$27-Inputs!$D$27)),Inputs!$F$27-SQRT((1-P693)*(Inputs!$F$27-Inputs!$D$27)*(Inputs!$F$27-Inputs!$E$27)))</f>
        <v>77.2675455043004</v>
      </c>
      <c r="R693" s="81" t="n">
        <f aca="true">RAND()</f>
        <v>0.871621865614049</v>
      </c>
      <c r="S693" s="82" t="n">
        <f aca="false">IF(R693&lt;(Inputs!$E$29-Inputs!$D$29)/(Inputs!$F$29-Inputs!$D$29),Inputs!$D$29+SQRT(R693*(Inputs!$F$29-Inputs!$D$29)*(Inputs!$E$29-Inputs!$D$29)),Inputs!$F$29-SQRT((1-R693)*(Inputs!$F$29-Inputs!$D$29)*(Inputs!$F$29-Inputs!$E$29)))</f>
        <v>10.9147634743905</v>
      </c>
      <c r="T693" s="68" t="n">
        <f aca="false">Inputs!$E$9*(1+E693)+Inputs!$E$5*C693*(Inputs!$E$11*Inputs!$E$14*(G693*I693/Inputs!$E$16+(1-G693))*K693+Inputs!$E$23*M693)*(1+O693)+Inputs!$E$5*(Q693+S693)</f>
        <v>5695.40772605003</v>
      </c>
    </row>
    <row r="694" customFormat="false" ht="15" hidden="false" customHeight="false" outlineLevel="0" collapsed="false">
      <c r="A694" s="1" t="n">
        <v>690</v>
      </c>
      <c r="B694" s="81" t="n">
        <f aca="true">RAND()</f>
        <v>0.355157742391434</v>
      </c>
      <c r="C694" s="82" t="n">
        <f aca="false">ROUND(IF(B694&lt;(Inputs!$E$8-Inputs!$D$8)/(Inputs!$F$8-Inputs!$D$8),Inputs!$D$8+SQRT(B694*(Inputs!$F$8-Inputs!$D$8)*(Inputs!$E$8-Inputs!$D$8)),Inputs!$F$8-SQRT((1-B694)*(Inputs!$F$8-Inputs!$D$8)*(Inputs!$F$8-Inputs!$E$8))),0)</f>
        <v>24</v>
      </c>
      <c r="D694" s="81" t="n">
        <f aca="true">RAND()</f>
        <v>0.0819251681389383</v>
      </c>
      <c r="E694" s="83" t="n">
        <f aca="false">IF(D694&lt;(Inputs!$E$10-Inputs!$D$10)/(Inputs!$F$10-Inputs!$D$10),Inputs!$D$10+SQRT(D694*(Inputs!$F$10-Inputs!$D$10)*(Inputs!$E$10-Inputs!$D$10)),Inputs!$F$10-SQRT((1-D694)*(Inputs!$F$10-Inputs!$D$10)*(Inputs!$F$10-Inputs!$E$10)))</f>
        <v>0.0286225729344757</v>
      </c>
      <c r="F694" s="81" t="n">
        <f aca="true">RAND()</f>
        <v>0.0816722155789035</v>
      </c>
      <c r="G694" s="83" t="n">
        <f aca="false">IF(F694&lt;(Inputs!$E$15-Inputs!$D$15)/(Inputs!$F$15-Inputs!$D$15),Inputs!$D$15+SQRT(F694*(Inputs!$F$15-Inputs!$D$15)*(Inputs!$E$15-Inputs!$D$15)),Inputs!$F$15-SQRT((1-F694)*(Inputs!$F$15-Inputs!$D$15)*(Inputs!$F$15-Inputs!$E$15)))</f>
        <v>0.640415891819655</v>
      </c>
      <c r="H694" s="81" t="n">
        <f aca="true">RAND()</f>
        <v>0.213759063061595</v>
      </c>
      <c r="I694" s="82" t="n">
        <f aca="false">ROUND(IF(H694&lt;(Inputs!$E$17-Inputs!$D$17)/(Inputs!$F$17-Inputs!$D$17),Inputs!$D$17+SQRT(H694*(Inputs!$F$17-Inputs!$D$17)*(Inputs!$E$17-Inputs!$D$17)),Inputs!$F$17-SQRT((1-H694)*(Inputs!$F$17-Inputs!$D$17)*(Inputs!$F$17-Inputs!$E$17))),0)</f>
        <v>104</v>
      </c>
      <c r="J694" s="81" t="n">
        <f aca="true">RAND()</f>
        <v>0.287636061736328</v>
      </c>
      <c r="K694" s="83" t="n">
        <f aca="false">IF(J694&lt;(Inputs!$E$18-Inputs!$D$18)/(Inputs!$F$18-Inputs!$D$18),Inputs!$D$18+SQRT(J694*(Inputs!$F$18-Inputs!$D$18)*(Inputs!$E$18-Inputs!$D$18)),Inputs!$F$18-SQRT((1-J694)*(Inputs!$F$18-Inputs!$D$18)*(Inputs!$F$18-Inputs!$E$18)))</f>
        <v>1.00033653731859</v>
      </c>
      <c r="L694" s="81" t="n">
        <f aca="true">RAND()</f>
        <v>0.302602025760482</v>
      </c>
      <c r="M694" s="83" t="n">
        <f aca="false">IF(L694&lt;(Inputs!$E$24-Inputs!$D$24)/(Inputs!$F$24-Inputs!$D$24),Inputs!$D$24+SQRT(L694*(Inputs!$F$24-Inputs!$D$24)*(Inputs!$E$24-Inputs!$D$24)),Inputs!$F$24-SQRT((1-L694)*(Inputs!$F$24-Inputs!$D$24)*(Inputs!$F$24-Inputs!$E$24)))</f>
        <v>0.790557715905859</v>
      </c>
      <c r="N694" s="81" t="n">
        <f aca="true">RAND()</f>
        <v>0.0326474673369761</v>
      </c>
      <c r="O694" s="83" t="n">
        <f aca="false">IF(N694&lt;(Inputs!$E$26-Inputs!$D$26)/(Inputs!$F$26-Inputs!$D$26),Inputs!$D$26+SQRT(N694*(Inputs!$F$26-Inputs!$D$26)*(Inputs!$E$26-Inputs!$D$26)),Inputs!$F$26-SQRT((1-N694)*(Inputs!$F$26-Inputs!$D$26)*(Inputs!$F$26-Inputs!$E$26)))</f>
        <v>0.373705756660337</v>
      </c>
      <c r="P694" s="81" t="n">
        <f aca="true">RAND()</f>
        <v>0.0512806323956973</v>
      </c>
      <c r="Q694" s="82" t="n">
        <f aca="false">IF(P694&lt;(Inputs!$E$27-Inputs!$D$27)/(Inputs!$F$27-Inputs!$D$27),Inputs!$D$27+SQRT(P694*(Inputs!$F$27-Inputs!$D$27)*(Inputs!$E$27-Inputs!$D$27)),Inputs!$F$27-SQRT((1-P694)*(Inputs!$F$27-Inputs!$D$27)*(Inputs!$F$27-Inputs!$E$27)))</f>
        <v>61.3226136995503</v>
      </c>
      <c r="R694" s="81" t="n">
        <f aca="true">RAND()</f>
        <v>0.42579154468024</v>
      </c>
      <c r="S694" s="82" t="n">
        <f aca="false">IF(R694&lt;(Inputs!$E$29-Inputs!$D$29)/(Inputs!$F$29-Inputs!$D$29),Inputs!$D$29+SQRT(R694*(Inputs!$F$29-Inputs!$D$29)*(Inputs!$E$29-Inputs!$D$29)),Inputs!$F$29-SQRT((1-R694)*(Inputs!$F$29-Inputs!$D$29)*(Inputs!$F$29-Inputs!$E$29)))</f>
        <v>6.36014472392224</v>
      </c>
      <c r="T694" s="68" t="n">
        <f aca="false">Inputs!$E$9*(1+E694)+Inputs!$E$5*C694*(Inputs!$E$11*Inputs!$E$14*(G694*I694/Inputs!$E$16+(1-G694))*K694+Inputs!$E$23*M694)*(1+O694)+Inputs!$E$5*(Q694+S694)</f>
        <v>5358.29568811627</v>
      </c>
    </row>
    <row r="695" customFormat="false" ht="15" hidden="false" customHeight="false" outlineLevel="0" collapsed="false">
      <c r="A695" s="1" t="n">
        <v>691</v>
      </c>
      <c r="B695" s="81" t="n">
        <f aca="true">RAND()</f>
        <v>0.435338582207989</v>
      </c>
      <c r="C695" s="82" t="n">
        <f aca="false">ROUND(IF(B695&lt;(Inputs!$E$8-Inputs!$D$8)/(Inputs!$F$8-Inputs!$D$8),Inputs!$D$8+SQRT(B695*(Inputs!$F$8-Inputs!$D$8)*(Inputs!$E$8-Inputs!$D$8)),Inputs!$F$8-SQRT((1-B695)*(Inputs!$F$8-Inputs!$D$8)*(Inputs!$F$8-Inputs!$E$8))),0)</f>
        <v>25</v>
      </c>
      <c r="D695" s="81" t="n">
        <f aca="true">RAND()</f>
        <v>0.799002863253458</v>
      </c>
      <c r="E695" s="83" t="n">
        <f aca="false">IF(D695&lt;(Inputs!$E$10-Inputs!$D$10)/(Inputs!$F$10-Inputs!$D$10),Inputs!$D$10+SQRT(D695*(Inputs!$F$10-Inputs!$D$10)*(Inputs!$E$10-Inputs!$D$10)),Inputs!$F$10-SQRT((1-D695)*(Inputs!$F$10-Inputs!$D$10)*(Inputs!$F$10-Inputs!$E$10)))</f>
        <v>0.122347478454359</v>
      </c>
      <c r="F695" s="81" t="n">
        <f aca="true">RAND()</f>
        <v>0.283271609401089</v>
      </c>
      <c r="G695" s="83" t="n">
        <f aca="false">IF(F695&lt;(Inputs!$E$15-Inputs!$D$15)/(Inputs!$F$15-Inputs!$D$15),Inputs!$D$15+SQRT(F695*(Inputs!$F$15-Inputs!$D$15)*(Inputs!$E$15-Inputs!$D$15)),Inputs!$F$15-SQRT((1-F695)*(Inputs!$F$15-Inputs!$D$15)*(Inputs!$F$15-Inputs!$E$15)))</f>
        <v>0.675269065279315</v>
      </c>
      <c r="H695" s="81" t="n">
        <f aca="true">RAND()</f>
        <v>0.441175756121641</v>
      </c>
      <c r="I695" s="82" t="n">
        <f aca="false">ROUND(IF(H695&lt;(Inputs!$E$17-Inputs!$D$17)/(Inputs!$F$17-Inputs!$D$17),Inputs!$D$17+SQRT(H695*(Inputs!$F$17-Inputs!$D$17)*(Inputs!$E$17-Inputs!$D$17)),Inputs!$F$17-SQRT((1-H695)*(Inputs!$F$17-Inputs!$D$17)*(Inputs!$F$17-Inputs!$E$17))),0)</f>
        <v>106</v>
      </c>
      <c r="J695" s="81" t="n">
        <f aca="true">RAND()</f>
        <v>0.0849074445959022</v>
      </c>
      <c r="K695" s="83" t="n">
        <f aca="false">IF(J695&lt;(Inputs!$E$18-Inputs!$D$18)/(Inputs!$F$18-Inputs!$D$18),Inputs!$D$18+SQRT(J695*(Inputs!$F$18-Inputs!$D$18)*(Inputs!$E$18-Inputs!$D$18)),Inputs!$F$18-SQRT((1-J695)*(Inputs!$F$18-Inputs!$D$18)*(Inputs!$F$18-Inputs!$E$18)))</f>
        <v>0.954513856594967</v>
      </c>
      <c r="L695" s="81" t="n">
        <f aca="true">RAND()</f>
        <v>0.395146128655221</v>
      </c>
      <c r="M695" s="83" t="n">
        <f aca="false">IF(L695&lt;(Inputs!$E$24-Inputs!$D$24)/(Inputs!$F$24-Inputs!$D$24),Inputs!$D$24+SQRT(L695*(Inputs!$F$24-Inputs!$D$24)*(Inputs!$E$24-Inputs!$D$24)),Inputs!$F$24-SQRT((1-L695)*(Inputs!$F$24-Inputs!$D$24)*(Inputs!$F$24-Inputs!$E$24)))</f>
        <v>0.818994843705827</v>
      </c>
      <c r="N695" s="81" t="n">
        <f aca="true">RAND()</f>
        <v>0.641005320518146</v>
      </c>
      <c r="O695" s="83" t="n">
        <f aca="false">IF(N695&lt;(Inputs!$E$26-Inputs!$D$26)/(Inputs!$F$26-Inputs!$D$26),Inputs!$D$26+SQRT(N695*(Inputs!$F$26-Inputs!$D$26)*(Inputs!$E$26-Inputs!$D$26)),Inputs!$F$26-SQRT((1-N695)*(Inputs!$F$26-Inputs!$D$26)*(Inputs!$F$26-Inputs!$E$26)))</f>
        <v>0.626776174693407</v>
      </c>
      <c r="P695" s="81" t="n">
        <f aca="true">RAND()</f>
        <v>0.121846215282144</v>
      </c>
      <c r="Q695" s="82" t="n">
        <f aca="false">IF(P695&lt;(Inputs!$E$27-Inputs!$D$27)/(Inputs!$F$27-Inputs!$D$27),Inputs!$D$27+SQRT(P695*(Inputs!$F$27-Inputs!$D$27)*(Inputs!$E$27-Inputs!$D$27)),Inputs!$F$27-SQRT((1-P695)*(Inputs!$F$27-Inputs!$D$27)*(Inputs!$F$27-Inputs!$E$27)))</f>
        <v>67.453238616525</v>
      </c>
      <c r="R695" s="81" t="n">
        <f aca="true">RAND()</f>
        <v>0.0699712852724498</v>
      </c>
      <c r="S695" s="82" t="n">
        <f aca="false">IF(R695&lt;(Inputs!$E$29-Inputs!$D$29)/(Inputs!$F$29-Inputs!$D$29),Inputs!$D$29+SQRT(R695*(Inputs!$F$29-Inputs!$D$29)*(Inputs!$E$29-Inputs!$D$29)),Inputs!$F$29-SQRT((1-R695)*(Inputs!$F$29-Inputs!$D$29)*(Inputs!$F$29-Inputs!$E$29)))</f>
        <v>3.65193224002244</v>
      </c>
      <c r="T695" s="68" t="n">
        <f aca="false">Inputs!$E$9*(1+E695)+Inputs!$E$5*C695*(Inputs!$E$11*Inputs!$E$14*(G695*I695/Inputs!$E$16+(1-G695))*K695+Inputs!$E$23*M695)*(1+O695)+Inputs!$E$5*(Q695+S695)</f>
        <v>6139.6858021676</v>
      </c>
    </row>
    <row r="696" customFormat="false" ht="15" hidden="false" customHeight="false" outlineLevel="0" collapsed="false">
      <c r="A696" s="1" t="n">
        <v>692</v>
      </c>
      <c r="B696" s="81" t="n">
        <f aca="true">RAND()</f>
        <v>0.12999886847328</v>
      </c>
      <c r="C696" s="82" t="n">
        <f aca="false">ROUND(IF(B696&lt;(Inputs!$E$8-Inputs!$D$8)/(Inputs!$F$8-Inputs!$D$8),Inputs!$D$8+SQRT(B696*(Inputs!$F$8-Inputs!$D$8)*(Inputs!$E$8-Inputs!$D$8)),Inputs!$F$8-SQRT((1-B696)*(Inputs!$F$8-Inputs!$D$8)*(Inputs!$F$8-Inputs!$E$8))),0)</f>
        <v>23</v>
      </c>
      <c r="D696" s="81" t="n">
        <f aca="true">RAND()</f>
        <v>0.264590977816334</v>
      </c>
      <c r="E696" s="83" t="n">
        <f aca="false">IF(D696&lt;(Inputs!$E$10-Inputs!$D$10)/(Inputs!$F$10-Inputs!$D$10),Inputs!$D$10+SQRT(D696*(Inputs!$F$10-Inputs!$D$10)*(Inputs!$E$10-Inputs!$D$10)),Inputs!$F$10-SQRT((1-D696)*(Inputs!$F$10-Inputs!$D$10)*(Inputs!$F$10-Inputs!$E$10)))</f>
        <v>0.051466264217485</v>
      </c>
      <c r="F696" s="81" t="n">
        <f aca="true">RAND()</f>
        <v>0.667611995942548</v>
      </c>
      <c r="G696" s="83" t="n">
        <f aca="false">IF(F696&lt;(Inputs!$E$15-Inputs!$D$15)/(Inputs!$F$15-Inputs!$D$15),Inputs!$D$15+SQRT(F696*(Inputs!$F$15-Inputs!$D$15)*(Inputs!$E$15-Inputs!$D$15)),Inputs!$F$15-SQRT((1-F696)*(Inputs!$F$15-Inputs!$D$15)*(Inputs!$F$15-Inputs!$E$15)))</f>
        <v>0.718466202828833</v>
      </c>
      <c r="H696" s="81" t="n">
        <f aca="true">RAND()</f>
        <v>0.95938259034355</v>
      </c>
      <c r="I696" s="82" t="n">
        <f aca="false">ROUND(IF(H696&lt;(Inputs!$E$17-Inputs!$D$17)/(Inputs!$F$17-Inputs!$D$17),Inputs!$D$17+SQRT(H696*(Inputs!$F$17-Inputs!$D$17)*(Inputs!$E$17-Inputs!$D$17)),Inputs!$F$17-SQRT((1-H696)*(Inputs!$F$17-Inputs!$D$17)*(Inputs!$F$17-Inputs!$E$17))),0)</f>
        <v>113</v>
      </c>
      <c r="J696" s="81" t="n">
        <f aca="true">RAND()</f>
        <v>0.944835323290653</v>
      </c>
      <c r="K696" s="83" t="n">
        <f aca="false">IF(J696&lt;(Inputs!$E$18-Inputs!$D$18)/(Inputs!$F$18-Inputs!$D$18),Inputs!$D$18+SQRT(J696*(Inputs!$F$18-Inputs!$D$18)*(Inputs!$E$18-Inputs!$D$18)),Inputs!$F$18-SQRT((1-J696)*(Inputs!$F$18-Inputs!$D$18)*(Inputs!$F$18-Inputs!$E$18)))</f>
        <v>1.18052403860278</v>
      </c>
      <c r="L696" s="81" t="n">
        <f aca="true">RAND()</f>
        <v>0.192953738183964</v>
      </c>
      <c r="M696" s="83" t="n">
        <f aca="false">IF(L696&lt;(Inputs!$E$24-Inputs!$D$24)/(Inputs!$F$24-Inputs!$D$24),Inputs!$D$24+SQRT(L696*(Inputs!$F$24-Inputs!$D$24)*(Inputs!$E$24-Inputs!$D$24)),Inputs!$F$24-SQRT((1-L696)*(Inputs!$F$24-Inputs!$D$24)*(Inputs!$F$24-Inputs!$E$24)))</f>
        <v>0.752165858792555</v>
      </c>
      <c r="N696" s="81" t="n">
        <f aca="true">RAND()</f>
        <v>0.0495797801217366</v>
      </c>
      <c r="O696" s="83" t="n">
        <f aca="false">IF(N696&lt;(Inputs!$E$26-Inputs!$D$26)/(Inputs!$F$26-Inputs!$D$26),Inputs!$D$26+SQRT(N696*(Inputs!$F$26-Inputs!$D$26)*(Inputs!$E$26-Inputs!$D$26)),Inputs!$F$26-SQRT((1-N696)*(Inputs!$F$26-Inputs!$D$26)*(Inputs!$F$26-Inputs!$E$26)))</f>
        <v>0.390829925752788</v>
      </c>
      <c r="P696" s="81" t="n">
        <f aca="true">RAND()</f>
        <v>0.488542746074048</v>
      </c>
      <c r="Q696" s="82" t="n">
        <f aca="false">IF(P696&lt;(Inputs!$E$27-Inputs!$D$27)/(Inputs!$F$27-Inputs!$D$27),Inputs!$D$27+SQRT(P696*(Inputs!$F$27-Inputs!$D$27)*(Inputs!$E$27-Inputs!$D$27)),Inputs!$F$27-SQRT((1-P696)*(Inputs!$F$27-Inputs!$D$27)*(Inputs!$F$27-Inputs!$E$27)))</f>
        <v>88.0651196461587</v>
      </c>
      <c r="R696" s="81" t="n">
        <f aca="true">RAND()</f>
        <v>0.98877271685446</v>
      </c>
      <c r="S696" s="82" t="n">
        <f aca="false">IF(R696&lt;(Inputs!$E$29-Inputs!$D$29)/(Inputs!$F$29-Inputs!$D$29),Inputs!$D$29+SQRT(R696*(Inputs!$F$29-Inputs!$D$29)*(Inputs!$E$29-Inputs!$D$29)),Inputs!$F$29-SQRT((1-R696)*(Inputs!$F$29-Inputs!$D$29)*(Inputs!$F$29-Inputs!$E$29)))</f>
        <v>13.7918829489986</v>
      </c>
      <c r="T696" s="68" t="n">
        <f aca="false">Inputs!$E$9*(1+E696)+Inputs!$E$5*C696*(Inputs!$E$11*Inputs!$E$14*(G696*I696/Inputs!$E$16+(1-G696))*K696+Inputs!$E$23*M696)*(1+O696)+Inputs!$E$5*(Q696+S696)</f>
        <v>5775.40061009138</v>
      </c>
    </row>
    <row r="697" customFormat="false" ht="15" hidden="false" customHeight="false" outlineLevel="0" collapsed="false">
      <c r="A697" s="1" t="n">
        <v>693</v>
      </c>
      <c r="B697" s="81" t="n">
        <f aca="true">RAND()</f>
        <v>0.990142651859495</v>
      </c>
      <c r="C697" s="82" t="n">
        <f aca="false">ROUND(IF(B697&lt;(Inputs!$E$8-Inputs!$D$8)/(Inputs!$F$8-Inputs!$D$8),Inputs!$D$8+SQRT(B697*(Inputs!$F$8-Inputs!$D$8)*(Inputs!$E$8-Inputs!$D$8)),Inputs!$F$8-SQRT((1-B697)*(Inputs!$F$8-Inputs!$D$8)*(Inputs!$F$8-Inputs!$E$8))),0)</f>
        <v>29</v>
      </c>
      <c r="D697" s="81" t="n">
        <f aca="true">RAND()</f>
        <v>0.47329821341906</v>
      </c>
      <c r="E697" s="83" t="n">
        <f aca="false">IF(D697&lt;(Inputs!$E$10-Inputs!$D$10)/(Inputs!$F$10-Inputs!$D$10),Inputs!$D$10+SQRT(D697*(Inputs!$F$10-Inputs!$D$10)*(Inputs!$E$10-Inputs!$D$10)),Inputs!$F$10-SQRT((1-D697)*(Inputs!$F$10-Inputs!$D$10)*(Inputs!$F$10-Inputs!$E$10)))</f>
        <v>0.0742977581845566</v>
      </c>
      <c r="F697" s="81" t="n">
        <f aca="true">RAND()</f>
        <v>0.662380511687724</v>
      </c>
      <c r="G697" s="83" t="n">
        <f aca="false">IF(F697&lt;(Inputs!$E$15-Inputs!$D$15)/(Inputs!$F$15-Inputs!$D$15),Inputs!$D$15+SQRT(F697*(Inputs!$F$15-Inputs!$D$15)*(Inputs!$E$15-Inputs!$D$15)),Inputs!$F$15-SQRT((1-F697)*(Inputs!$F$15-Inputs!$D$15)*(Inputs!$F$15-Inputs!$E$15)))</f>
        <v>0.717827074007034</v>
      </c>
      <c r="H697" s="81" t="n">
        <f aca="true">RAND()</f>
        <v>0.257095274676896</v>
      </c>
      <c r="I697" s="82" t="n">
        <f aca="false">ROUND(IF(H697&lt;(Inputs!$E$17-Inputs!$D$17)/(Inputs!$F$17-Inputs!$D$17),Inputs!$D$17+SQRT(H697*(Inputs!$F$17-Inputs!$D$17)*(Inputs!$E$17-Inputs!$D$17)),Inputs!$F$17-SQRT((1-H697)*(Inputs!$F$17-Inputs!$D$17)*(Inputs!$F$17-Inputs!$E$17))),0)</f>
        <v>104</v>
      </c>
      <c r="J697" s="81" t="n">
        <f aca="true">RAND()</f>
        <v>0.539263191115591</v>
      </c>
      <c r="K697" s="83" t="n">
        <f aca="false">IF(J697&lt;(Inputs!$E$18-Inputs!$D$18)/(Inputs!$F$18-Inputs!$D$18),Inputs!$D$18+SQRT(J697*(Inputs!$F$18-Inputs!$D$18)*(Inputs!$E$18-Inputs!$D$18)),Inputs!$F$18-SQRT((1-J697)*(Inputs!$F$18-Inputs!$D$18)*(Inputs!$F$18-Inputs!$E$18)))</f>
        <v>1.04921536219774</v>
      </c>
      <c r="L697" s="81" t="n">
        <f aca="true">RAND()</f>
        <v>0.00160580972564225</v>
      </c>
      <c r="M697" s="83" t="n">
        <f aca="false">IF(L697&lt;(Inputs!$E$24-Inputs!$D$24)/(Inputs!$F$24-Inputs!$D$24),Inputs!$D$24+SQRT(L697*(Inputs!$F$24-Inputs!$D$24)*(Inputs!$E$24-Inputs!$D$24)),Inputs!$F$24-SQRT((1-L697)*(Inputs!$F$24-Inputs!$D$24)*(Inputs!$F$24-Inputs!$E$24)))</f>
        <v>0.61388154051527</v>
      </c>
      <c r="N697" s="81" t="n">
        <f aca="true">RAND()</f>
        <v>0.707688477923336</v>
      </c>
      <c r="O697" s="83" t="n">
        <f aca="false">IF(N697&lt;(Inputs!$E$26-Inputs!$D$26)/(Inputs!$F$26-Inputs!$D$26),Inputs!$D$26+SQRT(N697*(Inputs!$F$26-Inputs!$D$26)*(Inputs!$E$26-Inputs!$D$26)),Inputs!$F$26-SQRT((1-N697)*(Inputs!$F$26-Inputs!$D$26)*(Inputs!$F$26-Inputs!$E$26)))</f>
        <v>0.645642900070077</v>
      </c>
      <c r="P697" s="81" t="n">
        <f aca="true">RAND()</f>
        <v>0.747744935315629</v>
      </c>
      <c r="Q697" s="82" t="n">
        <f aca="false">IF(P697&lt;(Inputs!$E$27-Inputs!$D$27)/(Inputs!$F$27-Inputs!$D$27),Inputs!$D$27+SQRT(P697*(Inputs!$F$27-Inputs!$D$27)*(Inputs!$E$27-Inputs!$D$27)),Inputs!$F$27-SQRT((1-P697)*(Inputs!$F$27-Inputs!$D$27)*(Inputs!$F$27-Inputs!$E$27)))</f>
        <v>106.503873906602</v>
      </c>
      <c r="R697" s="81" t="n">
        <f aca="true">RAND()</f>
        <v>0.87292508851748</v>
      </c>
      <c r="S697" s="82" t="n">
        <f aca="false">IF(R697&lt;(Inputs!$E$29-Inputs!$D$29)/(Inputs!$F$29-Inputs!$D$29),Inputs!$D$29+SQRT(R697*(Inputs!$F$29-Inputs!$D$29)*(Inputs!$E$29-Inputs!$D$29)),Inputs!$F$29-SQRT((1-R697)*(Inputs!$F$29-Inputs!$D$29)*(Inputs!$F$29-Inputs!$E$29)))</f>
        <v>10.9355518833761</v>
      </c>
      <c r="T697" s="68" t="n">
        <f aca="false">Inputs!$E$9*(1+E697)+Inputs!$E$5*C697*(Inputs!$E$11*Inputs!$E$14*(G697*I697/Inputs!$E$16+(1-G697))*K697+Inputs!$E$23*M697)*(1+O697)+Inputs!$E$5*(Q697+S697)</f>
        <v>6639.34745437568</v>
      </c>
    </row>
    <row r="698" customFormat="false" ht="15" hidden="false" customHeight="false" outlineLevel="0" collapsed="false">
      <c r="A698" s="1" t="n">
        <v>694</v>
      </c>
      <c r="B698" s="81" t="n">
        <f aca="true">RAND()</f>
        <v>0.893731688792356</v>
      </c>
      <c r="C698" s="82" t="n">
        <f aca="false">ROUND(IF(B698&lt;(Inputs!$E$8-Inputs!$D$8)/(Inputs!$F$8-Inputs!$D$8),Inputs!$D$8+SQRT(B698*(Inputs!$F$8-Inputs!$D$8)*(Inputs!$E$8-Inputs!$D$8)),Inputs!$F$8-SQRT((1-B698)*(Inputs!$F$8-Inputs!$D$8)*(Inputs!$F$8-Inputs!$E$8))),0)</f>
        <v>28</v>
      </c>
      <c r="D698" s="81" t="n">
        <f aca="true">RAND()</f>
        <v>0.379167727310777</v>
      </c>
      <c r="E698" s="83" t="n">
        <f aca="false">IF(D698&lt;(Inputs!$E$10-Inputs!$D$10)/(Inputs!$F$10-Inputs!$D$10),Inputs!$D$10+SQRT(D698*(Inputs!$F$10-Inputs!$D$10)*(Inputs!$E$10-Inputs!$D$10)),Inputs!$F$10-SQRT((1-D698)*(Inputs!$F$10-Inputs!$D$10)*(Inputs!$F$10-Inputs!$E$10)))</f>
        <v>0.0635266759374686</v>
      </c>
      <c r="F698" s="81" t="n">
        <f aca="true">RAND()</f>
        <v>0.325647322333426</v>
      </c>
      <c r="G698" s="83" t="n">
        <f aca="false">IF(F698&lt;(Inputs!$E$15-Inputs!$D$15)/(Inputs!$F$15-Inputs!$D$15),Inputs!$D$15+SQRT(F698*(Inputs!$F$15-Inputs!$D$15)*(Inputs!$E$15-Inputs!$D$15)),Inputs!$F$15-SQRT((1-F698)*(Inputs!$F$15-Inputs!$D$15)*(Inputs!$F$15-Inputs!$E$15)))</f>
        <v>0.680702827996722</v>
      </c>
      <c r="H698" s="81" t="n">
        <f aca="true">RAND()</f>
        <v>0.173897243413126</v>
      </c>
      <c r="I698" s="82" t="n">
        <f aca="false">ROUND(IF(H698&lt;(Inputs!$E$17-Inputs!$D$17)/(Inputs!$F$17-Inputs!$D$17),Inputs!$D$17+SQRT(H698*(Inputs!$F$17-Inputs!$D$17)*(Inputs!$E$17-Inputs!$D$17)),Inputs!$F$17-SQRT((1-H698)*(Inputs!$F$17-Inputs!$D$17)*(Inputs!$F$17-Inputs!$E$17))),0)</f>
        <v>104</v>
      </c>
      <c r="J698" s="81" t="n">
        <f aca="true">RAND()</f>
        <v>0.884029658584931</v>
      </c>
      <c r="K698" s="83" t="n">
        <f aca="false">IF(J698&lt;(Inputs!$E$18-Inputs!$D$18)/(Inputs!$F$18-Inputs!$D$18),Inputs!$D$18+SQRT(J698*(Inputs!$F$18-Inputs!$D$18)*(Inputs!$E$18-Inputs!$D$18)),Inputs!$F$18-SQRT((1-J698)*(Inputs!$F$18-Inputs!$D$18)*(Inputs!$F$18-Inputs!$E$18)))</f>
        <v>1.14926567182029</v>
      </c>
      <c r="L698" s="81" t="n">
        <f aca="true">RAND()</f>
        <v>0.00907042876538754</v>
      </c>
      <c r="M698" s="83" t="n">
        <f aca="false">IF(L698&lt;(Inputs!$E$24-Inputs!$D$24)/(Inputs!$F$24-Inputs!$D$24),Inputs!$D$24+SQRT(L698*(Inputs!$F$24-Inputs!$D$24)*(Inputs!$E$24-Inputs!$D$24)),Inputs!$F$24-SQRT((1-L698)*(Inputs!$F$24-Inputs!$D$24)*(Inputs!$F$24-Inputs!$E$24)))</f>
        <v>0.632991687617436</v>
      </c>
      <c r="N698" s="81" t="n">
        <f aca="true">RAND()</f>
        <v>0.55031230332466</v>
      </c>
      <c r="O698" s="83" t="n">
        <f aca="false">IF(N698&lt;(Inputs!$E$26-Inputs!$D$26)/(Inputs!$F$26-Inputs!$D$26),Inputs!$D$26+SQRT(N698*(Inputs!$F$26-Inputs!$D$26)*(Inputs!$E$26-Inputs!$D$26)),Inputs!$F$26-SQRT((1-N698)*(Inputs!$F$26-Inputs!$D$26)*(Inputs!$F$26-Inputs!$E$26)))</f>
        <v>0.602608604096485</v>
      </c>
      <c r="P698" s="81" t="n">
        <f aca="true">RAND()</f>
        <v>0.441086594737349</v>
      </c>
      <c r="Q698" s="82" t="n">
        <f aca="false">IF(P698&lt;(Inputs!$E$27-Inputs!$D$27)/(Inputs!$F$27-Inputs!$D$27),Inputs!$D$27+SQRT(P698*(Inputs!$F$27-Inputs!$D$27)*(Inputs!$E$27-Inputs!$D$27)),Inputs!$F$27-SQRT((1-P698)*(Inputs!$F$27-Inputs!$D$27)*(Inputs!$F$27-Inputs!$E$27)))</f>
        <v>85.2554979981321</v>
      </c>
      <c r="R698" s="81" t="n">
        <f aca="true">RAND()</f>
        <v>0.309440176338609</v>
      </c>
      <c r="S698" s="82" t="n">
        <f aca="false">IF(R698&lt;(Inputs!$E$29-Inputs!$D$29)/(Inputs!$F$29-Inputs!$D$29),Inputs!$D$29+SQRT(R698*(Inputs!$F$29-Inputs!$D$29)*(Inputs!$E$29-Inputs!$D$29)),Inputs!$F$29-SQRT((1-R698)*(Inputs!$F$29-Inputs!$D$29)*(Inputs!$F$29-Inputs!$E$29)))</f>
        <v>5.52515028741981</v>
      </c>
      <c r="T698" s="68" t="n">
        <f aca="false">Inputs!$E$9*(1+E698)+Inputs!$E$5*C698*(Inputs!$E$11*Inputs!$E$14*(G698*I698/Inputs!$E$16+(1-G698))*K698+Inputs!$E$23*M698)*(1+O698)+Inputs!$E$5*(Q698+S698)</f>
        <v>6594.23942947581</v>
      </c>
    </row>
    <row r="699" customFormat="false" ht="15" hidden="false" customHeight="false" outlineLevel="0" collapsed="false">
      <c r="A699" s="1" t="n">
        <v>695</v>
      </c>
      <c r="B699" s="81" t="n">
        <f aca="true">RAND()</f>
        <v>0.783018293245346</v>
      </c>
      <c r="C699" s="82" t="n">
        <f aca="false">ROUND(IF(B699&lt;(Inputs!$E$8-Inputs!$D$8)/(Inputs!$F$8-Inputs!$D$8),Inputs!$D$8+SQRT(B699*(Inputs!$F$8-Inputs!$D$8)*(Inputs!$E$8-Inputs!$D$8)),Inputs!$F$8-SQRT((1-B699)*(Inputs!$F$8-Inputs!$D$8)*(Inputs!$F$8-Inputs!$E$8))),0)</f>
        <v>27</v>
      </c>
      <c r="D699" s="81" t="n">
        <f aca="true">RAND()</f>
        <v>0.0121626583605094</v>
      </c>
      <c r="E699" s="83" t="n">
        <f aca="false">IF(D699&lt;(Inputs!$E$10-Inputs!$D$10)/(Inputs!$F$10-Inputs!$D$10),Inputs!$D$10+SQRT(D699*(Inputs!$F$10-Inputs!$D$10)*(Inputs!$E$10-Inputs!$D$10)),Inputs!$F$10-SQRT((1-D699)*(Inputs!$F$10-Inputs!$D$10)*(Inputs!$F$10-Inputs!$E$10)))</f>
        <v>0.0110284442966855</v>
      </c>
      <c r="F699" s="81" t="n">
        <f aca="true">RAND()</f>
        <v>0.949089731462996</v>
      </c>
      <c r="G699" s="83" t="n">
        <f aca="false">IF(F699&lt;(Inputs!$E$15-Inputs!$D$15)/(Inputs!$F$15-Inputs!$D$15),Inputs!$D$15+SQRT(F699*(Inputs!$F$15-Inputs!$D$15)*(Inputs!$E$15-Inputs!$D$15)),Inputs!$F$15-SQRT((1-F699)*(Inputs!$F$15-Inputs!$D$15)*(Inputs!$F$15-Inputs!$E$15)))</f>
        <v>0.768090669534757</v>
      </c>
      <c r="H699" s="81" t="n">
        <f aca="true">RAND()</f>
        <v>0.71486488183075</v>
      </c>
      <c r="I699" s="82" t="n">
        <f aca="false">ROUND(IF(H699&lt;(Inputs!$E$17-Inputs!$D$17)/(Inputs!$F$17-Inputs!$D$17),Inputs!$D$17+SQRT(H699*(Inputs!$F$17-Inputs!$D$17)*(Inputs!$E$17-Inputs!$D$17)),Inputs!$F$17-SQRT((1-H699)*(Inputs!$F$17-Inputs!$D$17)*(Inputs!$F$17-Inputs!$E$17))),0)</f>
        <v>108</v>
      </c>
      <c r="J699" s="81" t="n">
        <f aca="true">RAND()</f>
        <v>0.970114288081703</v>
      </c>
      <c r="K699" s="83" t="n">
        <f aca="false">IF(J699&lt;(Inputs!$E$18-Inputs!$D$18)/(Inputs!$F$18-Inputs!$D$18),Inputs!$D$18+SQRT(J699*(Inputs!$F$18-Inputs!$D$18)*(Inputs!$E$18-Inputs!$D$18)),Inputs!$F$18-SQRT((1-J699)*(Inputs!$F$18-Inputs!$D$18)*(Inputs!$F$18-Inputs!$E$18)))</f>
        <v>1.19886293132325</v>
      </c>
      <c r="L699" s="81" t="n">
        <f aca="true">RAND()</f>
        <v>0.0401011706068684</v>
      </c>
      <c r="M699" s="83" t="n">
        <f aca="false">IF(L699&lt;(Inputs!$E$24-Inputs!$D$24)/(Inputs!$F$24-Inputs!$D$24),Inputs!$D$24+SQRT(L699*(Inputs!$F$24-Inputs!$D$24)*(Inputs!$E$24-Inputs!$D$24)),Inputs!$F$24-SQRT((1-L699)*(Inputs!$F$24-Inputs!$D$24)*(Inputs!$F$24-Inputs!$E$24)))</f>
        <v>0.669369593287147</v>
      </c>
      <c r="N699" s="81" t="n">
        <f aca="true">RAND()</f>
        <v>0.193722747639935</v>
      </c>
      <c r="O699" s="83" t="n">
        <f aca="false">IF(N699&lt;(Inputs!$E$26-Inputs!$D$26)/(Inputs!$F$26-Inputs!$D$26),Inputs!$D$26+SQRT(N699*(Inputs!$F$26-Inputs!$D$26)*(Inputs!$E$26-Inputs!$D$26)),Inputs!$F$26-SQRT((1-N699)*(Inputs!$F$26-Inputs!$D$26)*(Inputs!$F$26-Inputs!$E$26)))</f>
        <v>0.479542377190694</v>
      </c>
      <c r="P699" s="81" t="n">
        <f aca="true">RAND()</f>
        <v>0.564238504248292</v>
      </c>
      <c r="Q699" s="82" t="n">
        <f aca="false">IF(P699&lt;(Inputs!$E$27-Inputs!$D$27)/(Inputs!$F$27-Inputs!$D$27),Inputs!$D$27+SQRT(P699*(Inputs!$F$27-Inputs!$D$27)*(Inputs!$E$27-Inputs!$D$27)),Inputs!$F$27-SQRT((1-P699)*(Inputs!$F$27-Inputs!$D$27)*(Inputs!$F$27-Inputs!$E$27)))</f>
        <v>92.8317289212118</v>
      </c>
      <c r="R699" s="81" t="n">
        <f aca="true">RAND()</f>
        <v>0.025781907783007</v>
      </c>
      <c r="S699" s="82" t="n">
        <f aca="false">IF(R699&lt;(Inputs!$E$29-Inputs!$D$29)/(Inputs!$F$29-Inputs!$D$29),Inputs!$D$29+SQRT(R699*(Inputs!$F$29-Inputs!$D$29)*(Inputs!$E$29-Inputs!$D$29)),Inputs!$F$29-SQRT((1-R699)*(Inputs!$F$29-Inputs!$D$29)*(Inputs!$F$29-Inputs!$E$29)))</f>
        <v>3.00274343854112</v>
      </c>
      <c r="T699" s="68" t="n">
        <f aca="false">Inputs!$E$9*(1+E699)+Inputs!$E$5*C699*(Inputs!$E$11*Inputs!$E$14*(G699*I699/Inputs!$E$16+(1-G699))*K699+Inputs!$E$23*M699)*(1+O699)+Inputs!$E$5*(Q699+S699)</f>
        <v>6165.90068395968</v>
      </c>
    </row>
    <row r="700" customFormat="false" ht="15" hidden="false" customHeight="false" outlineLevel="0" collapsed="false">
      <c r="A700" s="1" t="n">
        <v>696</v>
      </c>
      <c r="B700" s="81" t="n">
        <f aca="true">RAND()</f>
        <v>0.992752044942403</v>
      </c>
      <c r="C700" s="82" t="n">
        <f aca="false">ROUND(IF(B700&lt;(Inputs!$E$8-Inputs!$D$8)/(Inputs!$F$8-Inputs!$D$8),Inputs!$D$8+SQRT(B700*(Inputs!$F$8-Inputs!$D$8)*(Inputs!$E$8-Inputs!$D$8)),Inputs!$F$8-SQRT((1-B700)*(Inputs!$F$8-Inputs!$D$8)*(Inputs!$F$8-Inputs!$E$8))),0)</f>
        <v>29</v>
      </c>
      <c r="D700" s="81" t="n">
        <f aca="true">RAND()</f>
        <v>0.16340272511281</v>
      </c>
      <c r="E700" s="83" t="n">
        <f aca="false">IF(D700&lt;(Inputs!$E$10-Inputs!$D$10)/(Inputs!$F$10-Inputs!$D$10),Inputs!$D$10+SQRT(D700*(Inputs!$F$10-Inputs!$D$10)*(Inputs!$E$10-Inputs!$D$10)),Inputs!$F$10-SQRT((1-D700)*(Inputs!$F$10-Inputs!$D$10)*(Inputs!$F$10-Inputs!$E$10)))</f>
        <v>0.0404231029379004</v>
      </c>
      <c r="F700" s="81" t="n">
        <f aca="true">RAND()</f>
        <v>0.0383643449367803</v>
      </c>
      <c r="G700" s="83" t="n">
        <f aca="false">IF(F700&lt;(Inputs!$E$15-Inputs!$D$15)/(Inputs!$F$15-Inputs!$D$15),Inputs!$D$15+SQRT(F700*(Inputs!$F$15-Inputs!$D$15)*(Inputs!$E$15-Inputs!$D$15)),Inputs!$F$15-SQRT((1-F700)*(Inputs!$F$15-Inputs!$D$15)*(Inputs!$F$15-Inputs!$E$15)))</f>
        <v>0.627699944020442</v>
      </c>
      <c r="H700" s="81" t="n">
        <f aca="true">RAND()</f>
        <v>0.846529416004158</v>
      </c>
      <c r="I700" s="82" t="n">
        <f aca="false">ROUND(IF(H700&lt;(Inputs!$E$17-Inputs!$D$17)/(Inputs!$F$17-Inputs!$D$17),Inputs!$D$17+SQRT(H700*(Inputs!$F$17-Inputs!$D$17)*(Inputs!$E$17-Inputs!$D$17)),Inputs!$F$17-SQRT((1-H700)*(Inputs!$F$17-Inputs!$D$17)*(Inputs!$F$17-Inputs!$E$17))),0)</f>
        <v>110</v>
      </c>
      <c r="J700" s="81" t="n">
        <f aca="true">RAND()</f>
        <v>0.416854200243475</v>
      </c>
      <c r="K700" s="83" t="n">
        <f aca="false">IF(J700&lt;(Inputs!$E$18-Inputs!$D$18)/(Inputs!$F$18-Inputs!$D$18),Inputs!$D$18+SQRT(J700*(Inputs!$F$18-Inputs!$D$18)*(Inputs!$E$18-Inputs!$D$18)),Inputs!$F$18-SQRT((1-J700)*(Inputs!$F$18-Inputs!$D$18)*(Inputs!$F$18-Inputs!$E$18)))</f>
        <v>1.02411229011145</v>
      </c>
      <c r="L700" s="81" t="n">
        <f aca="true">RAND()</f>
        <v>0.265569331622175</v>
      </c>
      <c r="M700" s="83" t="n">
        <f aca="false">IF(L700&lt;(Inputs!$E$24-Inputs!$D$24)/(Inputs!$F$24-Inputs!$D$24),Inputs!$D$24+SQRT(L700*(Inputs!$F$24-Inputs!$D$24)*(Inputs!$E$24-Inputs!$D$24)),Inputs!$F$24-SQRT((1-L700)*(Inputs!$F$24-Inputs!$D$24)*(Inputs!$F$24-Inputs!$E$24)))</f>
        <v>0.778517001416282</v>
      </c>
      <c r="N700" s="81" t="n">
        <f aca="true">RAND()</f>
        <v>0.614507942682454</v>
      </c>
      <c r="O700" s="83" t="n">
        <f aca="false">IF(N700&lt;(Inputs!$E$26-Inputs!$D$26)/(Inputs!$F$26-Inputs!$D$26),Inputs!$D$26+SQRT(N700*(Inputs!$F$26-Inputs!$D$26)*(Inputs!$E$26-Inputs!$D$26)),Inputs!$F$26-SQRT((1-N700)*(Inputs!$F$26-Inputs!$D$26)*(Inputs!$F$26-Inputs!$E$26)))</f>
        <v>0.619771983860939</v>
      </c>
      <c r="P700" s="81" t="n">
        <f aca="true">RAND()</f>
        <v>0.239659960733262</v>
      </c>
      <c r="Q700" s="82" t="n">
        <f aca="false">IF(P700&lt;(Inputs!$E$27-Inputs!$D$27)/(Inputs!$F$27-Inputs!$D$27),Inputs!$D$27+SQRT(P700*(Inputs!$F$27-Inputs!$D$27)*(Inputs!$E$27-Inputs!$D$27)),Inputs!$F$27-SQRT((1-P700)*(Inputs!$F$27-Inputs!$D$27)*(Inputs!$F$27-Inputs!$E$27)))</f>
        <v>74.4775387208999</v>
      </c>
      <c r="R700" s="81" t="n">
        <f aca="true">RAND()</f>
        <v>0.499907406128428</v>
      </c>
      <c r="S700" s="82" t="n">
        <f aca="false">IF(R700&lt;(Inputs!$E$29-Inputs!$D$29)/(Inputs!$F$29-Inputs!$D$29),Inputs!$D$29+SQRT(R700*(Inputs!$F$29-Inputs!$D$29)*(Inputs!$E$29-Inputs!$D$29)),Inputs!$F$29-SQRT((1-R700)*(Inputs!$F$29-Inputs!$D$29)*(Inputs!$F$29-Inputs!$E$29)))</f>
        <v>6.93699577060111</v>
      </c>
      <c r="T700" s="68" t="n">
        <f aca="false">Inputs!$E$9*(1+E700)+Inputs!$E$5*C700*(Inputs!$E$11*Inputs!$E$14*(G700*I700/Inputs!$E$16+(1-G700))*K700+Inputs!$E$23*M700)*(1+O700)+Inputs!$E$5*(Q700+S700)</f>
        <v>6761.76455857643</v>
      </c>
    </row>
    <row r="701" customFormat="false" ht="15" hidden="false" customHeight="false" outlineLevel="0" collapsed="false">
      <c r="A701" s="1" t="n">
        <v>697</v>
      </c>
      <c r="B701" s="81" t="n">
        <f aca="true">RAND()</f>
        <v>0.803329350325253</v>
      </c>
      <c r="C701" s="82" t="n">
        <f aca="false">ROUND(IF(B701&lt;(Inputs!$E$8-Inputs!$D$8)/(Inputs!$F$8-Inputs!$D$8),Inputs!$D$8+SQRT(B701*(Inputs!$F$8-Inputs!$D$8)*(Inputs!$E$8-Inputs!$D$8)),Inputs!$F$8-SQRT((1-B701)*(Inputs!$F$8-Inputs!$D$8)*(Inputs!$F$8-Inputs!$E$8))),0)</f>
        <v>27</v>
      </c>
      <c r="D701" s="81" t="n">
        <f aca="true">RAND()</f>
        <v>0.258659728524865</v>
      </c>
      <c r="E701" s="83" t="n">
        <f aca="false">IF(D701&lt;(Inputs!$E$10-Inputs!$D$10)/(Inputs!$F$10-Inputs!$D$10),Inputs!$D$10+SQRT(D701*(Inputs!$F$10-Inputs!$D$10)*(Inputs!$E$10-Inputs!$D$10)),Inputs!$F$10-SQRT((1-D701)*(Inputs!$F$10-Inputs!$D$10)*(Inputs!$F$10-Inputs!$E$10)))</f>
        <v>0.0508684870852105</v>
      </c>
      <c r="F701" s="81" t="n">
        <f aca="true">RAND()</f>
        <v>0.508765787355595</v>
      </c>
      <c r="G701" s="83" t="n">
        <f aca="false">IF(F701&lt;(Inputs!$E$15-Inputs!$D$15)/(Inputs!$F$15-Inputs!$D$15),Inputs!$D$15+SQRT(F701*(Inputs!$F$15-Inputs!$D$15)*(Inputs!$E$15-Inputs!$D$15)),Inputs!$F$15-SQRT((1-F701)*(Inputs!$F$15-Inputs!$D$15)*(Inputs!$F$15-Inputs!$E$15)))</f>
        <v>0.70088045473829</v>
      </c>
      <c r="H701" s="81" t="n">
        <f aca="true">RAND()</f>
        <v>0.40859069873333</v>
      </c>
      <c r="I701" s="82" t="n">
        <f aca="false">ROUND(IF(H701&lt;(Inputs!$E$17-Inputs!$D$17)/(Inputs!$F$17-Inputs!$D$17),Inputs!$D$17+SQRT(H701*(Inputs!$F$17-Inputs!$D$17)*(Inputs!$E$17-Inputs!$D$17)),Inputs!$F$17-SQRT((1-H701)*(Inputs!$F$17-Inputs!$D$17)*(Inputs!$F$17-Inputs!$E$17))),0)</f>
        <v>106</v>
      </c>
      <c r="J701" s="81" t="n">
        <f aca="true">RAND()</f>
        <v>0.0885886021962689</v>
      </c>
      <c r="K701" s="83" t="n">
        <f aca="false">IF(J701&lt;(Inputs!$E$18-Inputs!$D$18)/(Inputs!$F$18-Inputs!$D$18),Inputs!$D$18+SQRT(J701*(Inputs!$F$18-Inputs!$D$18)*(Inputs!$E$18-Inputs!$D$18)),Inputs!$F$18-SQRT((1-J701)*(Inputs!$F$18-Inputs!$D$18)*(Inputs!$F$18-Inputs!$E$18)))</f>
        <v>0.955683041196305</v>
      </c>
      <c r="L701" s="81" t="n">
        <f aca="true">RAND()</f>
        <v>0.165618691731614</v>
      </c>
      <c r="M701" s="83" t="n">
        <f aca="false">IF(L701&lt;(Inputs!$E$24-Inputs!$D$24)/(Inputs!$F$24-Inputs!$D$24),Inputs!$D$24+SQRT(L701*(Inputs!$F$24-Inputs!$D$24)*(Inputs!$E$24-Inputs!$D$24)),Inputs!$F$24-SQRT((1-L701)*(Inputs!$F$24-Inputs!$D$24)*(Inputs!$F$24-Inputs!$E$24)))</f>
        <v>0.740976036998469</v>
      </c>
      <c r="N701" s="81" t="n">
        <f aca="true">RAND()</f>
        <v>0.815677629441382</v>
      </c>
      <c r="O701" s="83" t="n">
        <f aca="false">IF(N701&lt;(Inputs!$E$26-Inputs!$D$26)/(Inputs!$F$26-Inputs!$D$26),Inputs!$D$26+SQRT(N701*(Inputs!$F$26-Inputs!$D$26)*(Inputs!$E$26-Inputs!$D$26)),Inputs!$F$26-SQRT((1-N701)*(Inputs!$F$26-Inputs!$D$26)*(Inputs!$F$26-Inputs!$E$26)))</f>
        <v>0.68154594069477</v>
      </c>
      <c r="P701" s="81" t="n">
        <f aca="true">RAND()</f>
        <v>0.688247183292798</v>
      </c>
      <c r="Q701" s="82" t="n">
        <f aca="false">IF(P701&lt;(Inputs!$E$27-Inputs!$D$27)/(Inputs!$F$27-Inputs!$D$27),Inputs!$D$27+SQRT(P701*(Inputs!$F$27-Inputs!$D$27)*(Inputs!$E$27-Inputs!$D$27)),Inputs!$F$27-SQRT((1-P701)*(Inputs!$F$27-Inputs!$D$27)*(Inputs!$F$27-Inputs!$E$27)))</f>
        <v>101.645619378344</v>
      </c>
      <c r="R701" s="81" t="n">
        <f aca="true">RAND()</f>
        <v>0.895893024574523</v>
      </c>
      <c r="S701" s="82" t="n">
        <f aca="false">IF(R701&lt;(Inputs!$E$29-Inputs!$D$29)/(Inputs!$F$29-Inputs!$D$29),Inputs!$D$29+SQRT(R701*(Inputs!$F$29-Inputs!$D$29)*(Inputs!$E$29-Inputs!$D$29)),Inputs!$F$29-SQRT((1-R701)*(Inputs!$F$29-Inputs!$D$29)*(Inputs!$F$29-Inputs!$E$29)))</f>
        <v>11.3211541476555</v>
      </c>
      <c r="T701" s="68" t="n">
        <f aca="false">Inputs!$E$9*(1+E701)+Inputs!$E$5*C701*(Inputs!$E$11*Inputs!$E$14*(G701*I701/Inputs!$E$16+(1-G701))*K701+Inputs!$E$23*M701)*(1+O701)+Inputs!$E$5*(Q701+S701)</f>
        <v>6417.55565908925</v>
      </c>
    </row>
    <row r="702" customFormat="false" ht="15" hidden="false" customHeight="false" outlineLevel="0" collapsed="false">
      <c r="A702" s="1" t="n">
        <v>698</v>
      </c>
      <c r="B702" s="81" t="n">
        <f aca="true">RAND()</f>
        <v>0.00259106291430881</v>
      </c>
      <c r="C702" s="82" t="n">
        <f aca="false">ROUND(IF(B702&lt;(Inputs!$E$8-Inputs!$D$8)/(Inputs!$F$8-Inputs!$D$8),Inputs!$D$8+SQRT(B702*(Inputs!$F$8-Inputs!$D$8)*(Inputs!$E$8-Inputs!$D$8)),Inputs!$F$8-SQRT((1-B702)*(Inputs!$F$8-Inputs!$D$8)*(Inputs!$F$8-Inputs!$E$8))),0)</f>
        <v>20</v>
      </c>
      <c r="D702" s="81" t="n">
        <f aca="true">RAND()</f>
        <v>0.701983160021191</v>
      </c>
      <c r="E702" s="83" t="n">
        <f aca="false">IF(D702&lt;(Inputs!$E$10-Inputs!$D$10)/(Inputs!$F$10-Inputs!$D$10),Inputs!$D$10+SQRT(D702*(Inputs!$F$10-Inputs!$D$10)*(Inputs!$E$10-Inputs!$D$10)),Inputs!$F$10-SQRT((1-D702)*(Inputs!$F$10-Inputs!$D$10)*(Inputs!$F$10-Inputs!$E$10)))</f>
        <v>0.105445755254646</v>
      </c>
      <c r="F702" s="81" t="n">
        <f aca="true">RAND()</f>
        <v>0.187853176511599</v>
      </c>
      <c r="G702" s="83" t="n">
        <f aca="false">IF(F702&lt;(Inputs!$E$15-Inputs!$D$15)/(Inputs!$F$15-Inputs!$D$15),Inputs!$D$15+SQRT(F702*(Inputs!$F$15-Inputs!$D$15)*(Inputs!$E$15-Inputs!$D$15)),Inputs!$F$15-SQRT((1-F702)*(Inputs!$F$15-Inputs!$D$15)*(Inputs!$F$15-Inputs!$E$15)))</f>
        <v>0.661294889919405</v>
      </c>
      <c r="H702" s="81" t="n">
        <f aca="true">RAND()</f>
        <v>0.538155734560417</v>
      </c>
      <c r="I702" s="82" t="n">
        <f aca="false">ROUND(IF(H702&lt;(Inputs!$E$17-Inputs!$D$17)/(Inputs!$F$17-Inputs!$D$17),Inputs!$D$17+SQRT(H702*(Inputs!$F$17-Inputs!$D$17)*(Inputs!$E$17-Inputs!$D$17)),Inputs!$F$17-SQRT((1-H702)*(Inputs!$F$17-Inputs!$D$17)*(Inputs!$F$17-Inputs!$E$17))),0)</f>
        <v>107</v>
      </c>
      <c r="J702" s="81" t="n">
        <f aca="true">RAND()</f>
        <v>0.978219706825295</v>
      </c>
      <c r="K702" s="83" t="n">
        <f aca="false">IF(J702&lt;(Inputs!$E$18-Inputs!$D$18)/(Inputs!$F$18-Inputs!$D$18),Inputs!$D$18+SQRT(J702*(Inputs!$F$18-Inputs!$D$18)*(Inputs!$E$18-Inputs!$D$18)),Inputs!$F$18-SQRT((1-J702)*(Inputs!$F$18-Inputs!$D$18)*(Inputs!$F$18-Inputs!$E$18)))</f>
        <v>1.20634480955503</v>
      </c>
      <c r="L702" s="81" t="n">
        <f aca="true">RAND()</f>
        <v>0.629625709140541</v>
      </c>
      <c r="M702" s="83" t="n">
        <f aca="false">IF(L702&lt;(Inputs!$E$24-Inputs!$D$24)/(Inputs!$F$24-Inputs!$D$24),Inputs!$D$24+SQRT(L702*(Inputs!$F$24-Inputs!$D$24)*(Inputs!$E$24-Inputs!$D$24)),Inputs!$F$24-SQRT((1-L702)*(Inputs!$F$24-Inputs!$D$24)*(Inputs!$F$24-Inputs!$E$24)))</f>
        <v>0.901856025037784</v>
      </c>
      <c r="N702" s="81" t="n">
        <f aca="true">RAND()</f>
        <v>0.544189582505778</v>
      </c>
      <c r="O702" s="83" t="n">
        <f aca="false">IF(N702&lt;(Inputs!$E$26-Inputs!$D$26)/(Inputs!$F$26-Inputs!$D$26),Inputs!$D$26+SQRT(N702*(Inputs!$F$26-Inputs!$D$26)*(Inputs!$E$26-Inputs!$D$26)),Inputs!$F$26-SQRT((1-N702)*(Inputs!$F$26-Inputs!$D$26)*(Inputs!$F$26-Inputs!$E$26)))</f>
        <v>0.60092049868522</v>
      </c>
      <c r="P702" s="81" t="n">
        <f aca="true">RAND()</f>
        <v>0.156417109228205</v>
      </c>
      <c r="Q702" s="82" t="n">
        <f aca="false">IF(P702&lt;(Inputs!$E$27-Inputs!$D$27)/(Inputs!$F$27-Inputs!$D$27),Inputs!$D$27+SQRT(P702*(Inputs!$F$27-Inputs!$D$27)*(Inputs!$E$27-Inputs!$D$27)),Inputs!$F$27-SQRT((1-P702)*(Inputs!$F$27-Inputs!$D$27)*(Inputs!$F$27-Inputs!$E$27)))</f>
        <v>69.7748014672844</v>
      </c>
      <c r="R702" s="81" t="n">
        <f aca="true">RAND()</f>
        <v>0.912064865166093</v>
      </c>
      <c r="S702" s="82" t="n">
        <f aca="false">IF(R702&lt;(Inputs!$E$29-Inputs!$D$29)/(Inputs!$F$29-Inputs!$D$29),Inputs!$D$29+SQRT(R702*(Inputs!$F$29-Inputs!$D$29)*(Inputs!$E$29-Inputs!$D$29)),Inputs!$F$29-SQRT((1-R702)*(Inputs!$F$29-Inputs!$D$29)*(Inputs!$F$29-Inputs!$E$29)))</f>
        <v>11.6189398809829</v>
      </c>
      <c r="T702" s="68" t="n">
        <f aca="false">Inputs!$E$9*(1+E702)+Inputs!$E$5*C702*(Inputs!$E$11*Inputs!$E$14*(G702*I702/Inputs!$E$16+(1-G702))*K702+Inputs!$E$23*M702)*(1+O702)+Inputs!$E$5*(Q702+S702)</f>
        <v>6013.67278806167</v>
      </c>
    </row>
    <row r="703" customFormat="false" ht="15" hidden="false" customHeight="false" outlineLevel="0" collapsed="false">
      <c r="A703" s="1" t="n">
        <v>699</v>
      </c>
      <c r="B703" s="81" t="n">
        <f aca="true">RAND()</f>
        <v>0.0587842042883761</v>
      </c>
      <c r="C703" s="82" t="n">
        <f aca="false">ROUND(IF(B703&lt;(Inputs!$E$8-Inputs!$D$8)/(Inputs!$F$8-Inputs!$D$8),Inputs!$D$8+SQRT(B703*(Inputs!$F$8-Inputs!$D$8)*(Inputs!$E$8-Inputs!$D$8)),Inputs!$F$8-SQRT((1-B703)*(Inputs!$F$8-Inputs!$D$8)*(Inputs!$F$8-Inputs!$E$8))),0)</f>
        <v>22</v>
      </c>
      <c r="D703" s="81" t="n">
        <f aca="true">RAND()</f>
        <v>0.886877285969987</v>
      </c>
      <c r="E703" s="83" t="n">
        <f aca="false">IF(D703&lt;(Inputs!$E$10-Inputs!$D$10)/(Inputs!$F$10-Inputs!$D$10),Inputs!$D$10+SQRT(D703*(Inputs!$F$10-Inputs!$D$10)*(Inputs!$E$10-Inputs!$D$10)),Inputs!$F$10-SQRT((1-D703)*(Inputs!$F$10-Inputs!$D$10)*(Inputs!$F$10-Inputs!$E$10)))</f>
        <v>0.141744687616489</v>
      </c>
      <c r="F703" s="81" t="n">
        <f aca="true">RAND()</f>
        <v>0.178535423081381</v>
      </c>
      <c r="G703" s="83" t="n">
        <f aca="false">IF(F703&lt;(Inputs!$E$15-Inputs!$D$15)/(Inputs!$F$15-Inputs!$D$15),Inputs!$D$15+SQRT(F703*(Inputs!$F$15-Inputs!$D$15)*(Inputs!$E$15-Inputs!$D$15)),Inputs!$F$15-SQRT((1-F703)*(Inputs!$F$15-Inputs!$D$15)*(Inputs!$F$15-Inputs!$E$15)))</f>
        <v>0.659755405292138</v>
      </c>
      <c r="H703" s="81" t="n">
        <f aca="true">RAND()</f>
        <v>0.343047504189769</v>
      </c>
      <c r="I703" s="82" t="n">
        <f aca="false">ROUND(IF(H703&lt;(Inputs!$E$17-Inputs!$D$17)/(Inputs!$F$17-Inputs!$D$17),Inputs!$D$17+SQRT(H703*(Inputs!$F$17-Inputs!$D$17)*(Inputs!$E$17-Inputs!$D$17)),Inputs!$F$17-SQRT((1-H703)*(Inputs!$F$17-Inputs!$D$17)*(Inputs!$F$17-Inputs!$E$17))),0)</f>
        <v>105</v>
      </c>
      <c r="J703" s="81" t="n">
        <f aca="true">RAND()</f>
        <v>0.141431875673183</v>
      </c>
      <c r="K703" s="83" t="n">
        <f aca="false">IF(J703&lt;(Inputs!$E$18-Inputs!$D$18)/(Inputs!$F$18-Inputs!$D$18),Inputs!$D$18+SQRT(J703*(Inputs!$F$18-Inputs!$D$18)*(Inputs!$E$18-Inputs!$D$18)),Inputs!$F$18-SQRT((1-J703)*(Inputs!$F$18-Inputs!$D$18)*(Inputs!$F$18-Inputs!$E$18)))</f>
        <v>0.970357058271089</v>
      </c>
      <c r="L703" s="81" t="n">
        <f aca="true">RAND()</f>
        <v>0.699360619886317</v>
      </c>
      <c r="M703" s="83" t="n">
        <f aca="false">IF(L703&lt;(Inputs!$E$24-Inputs!$D$24)/(Inputs!$F$24-Inputs!$D$24),Inputs!$D$24+SQRT(L703*(Inputs!$F$24-Inputs!$D$24)*(Inputs!$E$24-Inputs!$D$24)),Inputs!$F$24-SQRT((1-L703)*(Inputs!$F$24-Inputs!$D$24)*(Inputs!$F$24-Inputs!$E$24)))</f>
        <v>0.931386055411704</v>
      </c>
      <c r="N703" s="81" t="n">
        <f aca="true">RAND()</f>
        <v>0.776020250478987</v>
      </c>
      <c r="O703" s="83" t="n">
        <f aca="false">IF(N703&lt;(Inputs!$E$26-Inputs!$D$26)/(Inputs!$F$26-Inputs!$D$26),Inputs!$D$26+SQRT(N703*(Inputs!$F$26-Inputs!$D$26)*(Inputs!$E$26-Inputs!$D$26)),Inputs!$F$26-SQRT((1-N703)*(Inputs!$F$26-Inputs!$D$26)*(Inputs!$F$26-Inputs!$E$26)))</f>
        <v>0.667376627116993</v>
      </c>
      <c r="P703" s="81" t="n">
        <f aca="true">RAND()</f>
        <v>0.41180912629073</v>
      </c>
      <c r="Q703" s="82" t="n">
        <f aca="false">IF(P703&lt;(Inputs!$E$27-Inputs!$D$27)/(Inputs!$F$27-Inputs!$D$27),Inputs!$D$27+SQRT(P703*(Inputs!$F$27-Inputs!$D$27)*(Inputs!$E$27-Inputs!$D$27)),Inputs!$F$27-SQRT((1-P703)*(Inputs!$F$27-Inputs!$D$27)*(Inputs!$F$27-Inputs!$E$27)))</f>
        <v>83.5813915169888</v>
      </c>
      <c r="R703" s="81" t="n">
        <f aca="true">RAND()</f>
        <v>0.661941052226888</v>
      </c>
      <c r="S703" s="82" t="n">
        <f aca="false">IF(R703&lt;(Inputs!$E$29-Inputs!$D$29)/(Inputs!$F$29-Inputs!$D$29),Inputs!$D$29+SQRT(R703*(Inputs!$F$29-Inputs!$D$29)*(Inputs!$E$29-Inputs!$D$29)),Inputs!$F$29-SQRT((1-R703)*(Inputs!$F$29-Inputs!$D$29)*(Inputs!$F$29-Inputs!$E$29)))</f>
        <v>8.37069662705767</v>
      </c>
      <c r="T703" s="68" t="n">
        <f aca="false">Inputs!$E$9*(1+E703)+Inputs!$E$5*C703*(Inputs!$E$11*Inputs!$E$14*(G703*I703/Inputs!$E$16+(1-G703))*K703+Inputs!$E$23*M703)*(1+O703)+Inputs!$E$5*(Q703+S703)</f>
        <v>6148.81894696909</v>
      </c>
    </row>
    <row r="704" customFormat="false" ht="15" hidden="false" customHeight="false" outlineLevel="0" collapsed="false">
      <c r="A704" s="1" t="n">
        <v>700</v>
      </c>
      <c r="B704" s="81" t="n">
        <f aca="true">RAND()</f>
        <v>0.780092388320875</v>
      </c>
      <c r="C704" s="82" t="n">
        <f aca="false">ROUND(IF(B704&lt;(Inputs!$E$8-Inputs!$D$8)/(Inputs!$F$8-Inputs!$D$8),Inputs!$D$8+SQRT(B704*(Inputs!$F$8-Inputs!$D$8)*(Inputs!$E$8-Inputs!$D$8)),Inputs!$F$8-SQRT((1-B704)*(Inputs!$F$8-Inputs!$D$8)*(Inputs!$F$8-Inputs!$E$8))),0)</f>
        <v>27</v>
      </c>
      <c r="D704" s="81" t="n">
        <f aca="true">RAND()</f>
        <v>0.615300565364846</v>
      </c>
      <c r="E704" s="83" t="n">
        <f aca="false">IF(D704&lt;(Inputs!$E$10-Inputs!$D$10)/(Inputs!$F$10-Inputs!$D$10),Inputs!$D$10+SQRT(D704*(Inputs!$F$10-Inputs!$D$10)*(Inputs!$E$10-Inputs!$D$10)),Inputs!$F$10-SQRT((1-D704)*(Inputs!$F$10-Inputs!$D$10)*(Inputs!$F$10-Inputs!$E$10)))</f>
        <v>0.0925710325887164</v>
      </c>
      <c r="F704" s="81" t="n">
        <f aca="true">RAND()</f>
        <v>0.82899016399713</v>
      </c>
      <c r="G704" s="83" t="n">
        <f aca="false">IF(F704&lt;(Inputs!$E$15-Inputs!$D$15)/(Inputs!$F$15-Inputs!$D$15),Inputs!$D$15+SQRT(F704*(Inputs!$F$15-Inputs!$D$15)*(Inputs!$E$15-Inputs!$D$15)),Inputs!$F$15-SQRT((1-F704)*(Inputs!$F$15-Inputs!$D$15)*(Inputs!$F$15-Inputs!$E$15)))</f>
        <v>0.741517552034329</v>
      </c>
      <c r="H704" s="81" t="n">
        <f aca="true">RAND()</f>
        <v>0.967014864907766</v>
      </c>
      <c r="I704" s="82" t="n">
        <f aca="false">ROUND(IF(H704&lt;(Inputs!$E$17-Inputs!$D$17)/(Inputs!$F$17-Inputs!$D$17),Inputs!$D$17+SQRT(H704*(Inputs!$F$17-Inputs!$D$17)*(Inputs!$E$17-Inputs!$D$17)),Inputs!$F$17-SQRT((1-H704)*(Inputs!$F$17-Inputs!$D$17)*(Inputs!$F$17-Inputs!$E$17))),0)</f>
        <v>113</v>
      </c>
      <c r="J704" s="81" t="n">
        <f aca="true">RAND()</f>
        <v>0.512629324297791</v>
      </c>
      <c r="K704" s="83" t="n">
        <f aca="false">IF(J704&lt;(Inputs!$E$18-Inputs!$D$18)/(Inputs!$F$18-Inputs!$D$18),Inputs!$D$18+SQRT(J704*(Inputs!$F$18-Inputs!$D$18)*(Inputs!$E$18-Inputs!$D$18)),Inputs!$F$18-SQRT((1-J704)*(Inputs!$F$18-Inputs!$D$18)*(Inputs!$F$18-Inputs!$E$18)))</f>
        <v>1.04349350101282</v>
      </c>
      <c r="L704" s="81" t="n">
        <f aca="true">RAND()</f>
        <v>0.107308565562853</v>
      </c>
      <c r="M704" s="83" t="n">
        <f aca="false">IF(L704&lt;(Inputs!$E$24-Inputs!$D$24)/(Inputs!$F$24-Inputs!$D$24),Inputs!$D$24+SQRT(L704*(Inputs!$F$24-Inputs!$D$24)*(Inputs!$E$24-Inputs!$D$24)),Inputs!$F$24-SQRT((1-L704)*(Inputs!$F$24-Inputs!$D$24)*(Inputs!$F$24-Inputs!$E$24)))</f>
        <v>0.71347699267932</v>
      </c>
      <c r="N704" s="81" t="n">
        <f aca="true">RAND()</f>
        <v>0.43012518735346</v>
      </c>
      <c r="O704" s="83" t="n">
        <f aca="false">IF(N704&lt;(Inputs!$E$26-Inputs!$D$26)/(Inputs!$F$26-Inputs!$D$26),Inputs!$D$26+SQRT(N704*(Inputs!$F$26-Inputs!$D$26)*(Inputs!$E$26-Inputs!$D$26)),Inputs!$F$26-SQRT((1-N704)*(Inputs!$F$26-Inputs!$D$26)*(Inputs!$F$26-Inputs!$E$26)))</f>
        <v>0.567530991056393</v>
      </c>
      <c r="P704" s="81" t="n">
        <f aca="true">RAND()</f>
        <v>0.712675407720673</v>
      </c>
      <c r="Q704" s="82" t="n">
        <f aca="false">IF(P704&lt;(Inputs!$E$27-Inputs!$D$27)/(Inputs!$F$27-Inputs!$D$27),Inputs!$D$27+SQRT(P704*(Inputs!$F$27-Inputs!$D$27)*(Inputs!$E$27-Inputs!$D$27)),Inputs!$F$27-SQRT((1-P704)*(Inputs!$F$27-Inputs!$D$27)*(Inputs!$F$27-Inputs!$E$27)))</f>
        <v>103.578728560121</v>
      </c>
      <c r="R704" s="81" t="n">
        <f aca="true">RAND()</f>
        <v>0.0636271700388323</v>
      </c>
      <c r="S704" s="82" t="n">
        <f aca="false">IF(R704&lt;(Inputs!$E$29-Inputs!$D$29)/(Inputs!$F$29-Inputs!$D$29),Inputs!$D$29+SQRT(R704*(Inputs!$F$29-Inputs!$D$29)*(Inputs!$E$29-Inputs!$D$29)),Inputs!$F$29-SQRT((1-R704)*(Inputs!$F$29-Inputs!$D$29)*(Inputs!$F$29-Inputs!$E$29)))</f>
        <v>3.57526494010197</v>
      </c>
      <c r="T704" s="68" t="n">
        <f aca="false">Inputs!$E$9*(1+E704)+Inputs!$E$5*C704*(Inputs!$E$11*Inputs!$E$14*(G704*I704/Inputs!$E$16+(1-G704))*K704+Inputs!$E$23*M704)*(1+O704)+Inputs!$E$5*(Q704+S704)</f>
        <v>6435.62145695163</v>
      </c>
    </row>
    <row r="705" customFormat="false" ht="15" hidden="false" customHeight="false" outlineLevel="0" collapsed="false">
      <c r="A705" s="1" t="n">
        <v>701</v>
      </c>
      <c r="B705" s="81" t="n">
        <f aca="true">RAND()</f>
        <v>0.223389590810765</v>
      </c>
      <c r="C705" s="82" t="n">
        <f aca="false">ROUND(IF(B705&lt;(Inputs!$E$8-Inputs!$D$8)/(Inputs!$F$8-Inputs!$D$8),Inputs!$D$8+SQRT(B705*(Inputs!$F$8-Inputs!$D$8)*(Inputs!$E$8-Inputs!$D$8)),Inputs!$F$8-SQRT((1-B705)*(Inputs!$F$8-Inputs!$D$8)*(Inputs!$F$8-Inputs!$E$8))),0)</f>
        <v>23</v>
      </c>
      <c r="D705" s="81" t="n">
        <f aca="true">RAND()</f>
        <v>0.519047387279332</v>
      </c>
      <c r="E705" s="83" t="n">
        <f aca="false">IF(D705&lt;(Inputs!$E$10-Inputs!$D$10)/(Inputs!$F$10-Inputs!$D$10),Inputs!$D$10+SQRT(D705*(Inputs!$F$10-Inputs!$D$10)*(Inputs!$E$10-Inputs!$D$10)),Inputs!$F$10-SQRT((1-D705)*(Inputs!$F$10-Inputs!$D$10)*(Inputs!$F$10-Inputs!$E$10)))</f>
        <v>0.0798809824315066</v>
      </c>
      <c r="F705" s="81" t="n">
        <f aca="true">RAND()</f>
        <v>0.790052207513561</v>
      </c>
      <c r="G705" s="83" t="n">
        <f aca="false">IF(F705&lt;(Inputs!$E$15-Inputs!$D$15)/(Inputs!$F$15-Inputs!$D$15),Inputs!$D$15+SQRT(F705*(Inputs!$F$15-Inputs!$D$15)*(Inputs!$E$15-Inputs!$D$15)),Inputs!$F$15-SQRT((1-F705)*(Inputs!$F$15-Inputs!$D$15)*(Inputs!$F$15-Inputs!$E$15)))</f>
        <v>0.735200649310902</v>
      </c>
      <c r="H705" s="81" t="n">
        <f aca="true">RAND()</f>
        <v>0.811919369213402</v>
      </c>
      <c r="I705" s="82" t="n">
        <f aca="false">ROUND(IF(H705&lt;(Inputs!$E$17-Inputs!$D$17)/(Inputs!$F$17-Inputs!$D$17),Inputs!$D$17+SQRT(H705*(Inputs!$F$17-Inputs!$D$17)*(Inputs!$E$17-Inputs!$D$17)),Inputs!$F$17-SQRT((1-H705)*(Inputs!$F$17-Inputs!$D$17)*(Inputs!$F$17-Inputs!$E$17))),0)</f>
        <v>110</v>
      </c>
      <c r="J705" s="81" t="n">
        <f aca="true">RAND()</f>
        <v>0.753458587059294</v>
      </c>
      <c r="K705" s="83" t="n">
        <f aca="false">IF(J705&lt;(Inputs!$E$18-Inputs!$D$18)/(Inputs!$F$18-Inputs!$D$18),Inputs!$D$18+SQRT(J705*(Inputs!$F$18-Inputs!$D$18)*(Inputs!$E$18-Inputs!$D$18)),Inputs!$F$18-SQRT((1-J705)*(Inputs!$F$18-Inputs!$D$18)*(Inputs!$F$18-Inputs!$E$18)))</f>
        <v>1.10312463231599</v>
      </c>
      <c r="L705" s="81" t="n">
        <f aca="true">RAND()</f>
        <v>0.427423422272538</v>
      </c>
      <c r="M705" s="83" t="n">
        <f aca="false">IF(L705&lt;(Inputs!$E$24-Inputs!$D$24)/(Inputs!$F$24-Inputs!$D$24),Inputs!$D$24+SQRT(L705*(Inputs!$F$24-Inputs!$D$24)*(Inputs!$E$24-Inputs!$D$24)),Inputs!$F$24-SQRT((1-L705)*(Inputs!$F$24-Inputs!$D$24)*(Inputs!$F$24-Inputs!$E$24)))</f>
        <v>0.82930015018267</v>
      </c>
      <c r="N705" s="81" t="n">
        <f aca="true">RAND()</f>
        <v>0.397489340253958</v>
      </c>
      <c r="O705" s="83" t="n">
        <f aca="false">IF(N705&lt;(Inputs!$E$26-Inputs!$D$26)/(Inputs!$F$26-Inputs!$D$26),Inputs!$D$26+SQRT(N705*(Inputs!$F$26-Inputs!$D$26)*(Inputs!$E$26-Inputs!$D$26)),Inputs!$F$26-SQRT((1-N705)*(Inputs!$F$26-Inputs!$D$26)*(Inputs!$F$26-Inputs!$E$26)))</f>
        <v>0.557181310009609</v>
      </c>
      <c r="P705" s="81" t="n">
        <f aca="true">RAND()</f>
        <v>0.863684256117656</v>
      </c>
      <c r="Q705" s="82" t="n">
        <f aca="false">IF(P705&lt;(Inputs!$E$27-Inputs!$D$27)/(Inputs!$F$27-Inputs!$D$27),Inputs!$D$27+SQRT(P705*(Inputs!$F$27-Inputs!$D$27)*(Inputs!$E$27-Inputs!$D$27)),Inputs!$F$27-SQRT((1-P705)*(Inputs!$F$27-Inputs!$D$27)*(Inputs!$F$27-Inputs!$E$27)))</f>
        <v>118.025508931062</v>
      </c>
      <c r="R705" s="81" t="n">
        <f aca="true">RAND()</f>
        <v>0.61377026304715</v>
      </c>
      <c r="S705" s="82" t="n">
        <f aca="false">IF(R705&lt;(Inputs!$E$29-Inputs!$D$29)/(Inputs!$F$29-Inputs!$D$29),Inputs!$D$29+SQRT(R705*(Inputs!$F$29-Inputs!$D$29)*(Inputs!$E$29-Inputs!$D$29)),Inputs!$F$29-SQRT((1-R705)*(Inputs!$F$29-Inputs!$D$29)*(Inputs!$F$29-Inputs!$E$29)))</f>
        <v>7.91410797401834</v>
      </c>
      <c r="T705" s="68" t="n">
        <f aca="false">Inputs!$E$9*(1+E705)+Inputs!$E$5*C705*(Inputs!$E$11*Inputs!$E$14*(G705*I705/Inputs!$E$16+(1-G705))*K705+Inputs!$E$23*M705)*(1+O705)+Inputs!$E$5*(Q705+S705)</f>
        <v>6200.11778489637</v>
      </c>
    </row>
    <row r="706" customFormat="false" ht="15" hidden="false" customHeight="false" outlineLevel="0" collapsed="false">
      <c r="A706" s="1" t="n">
        <v>702</v>
      </c>
      <c r="B706" s="81" t="n">
        <f aca="true">RAND()</f>
        <v>0.783711989571399</v>
      </c>
      <c r="C706" s="82" t="n">
        <f aca="false">ROUND(IF(B706&lt;(Inputs!$E$8-Inputs!$D$8)/(Inputs!$F$8-Inputs!$D$8),Inputs!$D$8+SQRT(B706*(Inputs!$F$8-Inputs!$D$8)*(Inputs!$E$8-Inputs!$D$8)),Inputs!$F$8-SQRT((1-B706)*(Inputs!$F$8-Inputs!$D$8)*(Inputs!$F$8-Inputs!$E$8))),0)</f>
        <v>27</v>
      </c>
      <c r="D706" s="81" t="n">
        <f aca="true">RAND()</f>
        <v>0.135631740476536</v>
      </c>
      <c r="E706" s="83" t="n">
        <f aca="false">IF(D706&lt;(Inputs!$E$10-Inputs!$D$10)/(Inputs!$F$10-Inputs!$D$10),Inputs!$D$10+SQRT(D706*(Inputs!$F$10-Inputs!$D$10)*(Inputs!$E$10-Inputs!$D$10)),Inputs!$F$10-SQRT((1-D706)*(Inputs!$F$10-Inputs!$D$10)*(Inputs!$F$10-Inputs!$E$10)))</f>
        <v>0.0368282147919956</v>
      </c>
      <c r="F706" s="81" t="n">
        <f aca="true">RAND()</f>
        <v>0.374560092349526</v>
      </c>
      <c r="G706" s="83" t="n">
        <f aca="false">IF(F706&lt;(Inputs!$E$15-Inputs!$D$15)/(Inputs!$F$15-Inputs!$D$15),Inputs!$D$15+SQRT(F706*(Inputs!$F$15-Inputs!$D$15)*(Inputs!$E$15-Inputs!$D$15)),Inputs!$F$15-SQRT((1-F706)*(Inputs!$F$15-Inputs!$D$15)*(Inputs!$F$15-Inputs!$E$15)))</f>
        <v>0.686551729312536</v>
      </c>
      <c r="H706" s="81" t="n">
        <f aca="true">RAND()</f>
        <v>0.604228394381738</v>
      </c>
      <c r="I706" s="82" t="n">
        <f aca="false">ROUND(IF(H706&lt;(Inputs!$E$17-Inputs!$D$17)/(Inputs!$F$17-Inputs!$D$17),Inputs!$D$17+SQRT(H706*(Inputs!$F$17-Inputs!$D$17)*(Inputs!$E$17-Inputs!$D$17)),Inputs!$F$17-SQRT((1-H706)*(Inputs!$F$17-Inputs!$D$17)*(Inputs!$F$17-Inputs!$E$17))),0)</f>
        <v>107</v>
      </c>
      <c r="J706" s="81" t="n">
        <f aca="true">RAND()</f>
        <v>0.135716569240036</v>
      </c>
      <c r="K706" s="83" t="n">
        <f aca="false">IF(J706&lt;(Inputs!$E$18-Inputs!$D$18)/(Inputs!$F$18-Inputs!$D$18),Inputs!$D$18+SQRT(J706*(Inputs!$F$18-Inputs!$D$18)*(Inputs!$E$18-Inputs!$D$18)),Inputs!$F$18-SQRT((1-J706)*(Inputs!$F$18-Inputs!$D$18)*(Inputs!$F$18-Inputs!$E$18)))</f>
        <v>0.968920823583306</v>
      </c>
      <c r="L706" s="81" t="n">
        <f aca="true">RAND()</f>
        <v>0.695265623404416</v>
      </c>
      <c r="M706" s="83" t="n">
        <f aca="false">IF(L706&lt;(Inputs!$E$24-Inputs!$D$24)/(Inputs!$F$24-Inputs!$D$24),Inputs!$D$24+SQRT(L706*(Inputs!$F$24-Inputs!$D$24)*(Inputs!$E$24-Inputs!$D$24)),Inputs!$F$24-SQRT((1-L706)*(Inputs!$F$24-Inputs!$D$24)*(Inputs!$F$24-Inputs!$E$24)))</f>
        <v>0.929562853174827</v>
      </c>
      <c r="N706" s="81" t="n">
        <f aca="true">RAND()</f>
        <v>0.685251862292045</v>
      </c>
      <c r="O706" s="83" t="n">
        <f aca="false">IF(N706&lt;(Inputs!$E$26-Inputs!$D$26)/(Inputs!$F$26-Inputs!$D$26),Inputs!$D$26+SQRT(N706*(Inputs!$F$26-Inputs!$D$26)*(Inputs!$E$26-Inputs!$D$26)),Inputs!$F$26-SQRT((1-N706)*(Inputs!$F$26-Inputs!$D$26)*(Inputs!$F$26-Inputs!$E$26)))</f>
        <v>0.639075136253672</v>
      </c>
      <c r="P706" s="81" t="n">
        <f aca="true">RAND()</f>
        <v>0.0720934006995039</v>
      </c>
      <c r="Q706" s="82" t="n">
        <f aca="false">IF(P706&lt;(Inputs!$E$27-Inputs!$D$27)/(Inputs!$F$27-Inputs!$D$27),Inputs!$D$27+SQRT(P706*(Inputs!$F$27-Inputs!$D$27)*(Inputs!$E$27-Inputs!$D$27)),Inputs!$F$27-SQRT((1-P706)*(Inputs!$F$27-Inputs!$D$27)*(Inputs!$F$27-Inputs!$E$27)))</f>
        <v>63.4251071410533</v>
      </c>
      <c r="R706" s="81" t="n">
        <f aca="true">RAND()</f>
        <v>0.753562316964346</v>
      </c>
      <c r="S706" s="82" t="n">
        <f aca="false">IF(R706&lt;(Inputs!$E$29-Inputs!$D$29)/(Inputs!$F$29-Inputs!$D$29),Inputs!$D$29+SQRT(R706*(Inputs!$F$29-Inputs!$D$29)*(Inputs!$E$29-Inputs!$D$29)),Inputs!$F$29-SQRT((1-R706)*(Inputs!$F$29-Inputs!$D$29)*(Inputs!$F$29-Inputs!$E$29)))</f>
        <v>9.33988526665448</v>
      </c>
      <c r="T706" s="68" t="n">
        <f aca="false">Inputs!$E$9*(1+E706)+Inputs!$E$5*C706*(Inputs!$E$11*Inputs!$E$14*(G706*I706/Inputs!$E$16+(1-G706))*K706+Inputs!$E$23*M706)*(1+O706)+Inputs!$E$5*(Q706+S706)</f>
        <v>6457.84674010428</v>
      </c>
    </row>
    <row r="707" customFormat="false" ht="15" hidden="false" customHeight="false" outlineLevel="0" collapsed="false">
      <c r="A707" s="1" t="n">
        <v>703</v>
      </c>
      <c r="B707" s="81" t="n">
        <f aca="true">RAND()</f>
        <v>0.246008492138175</v>
      </c>
      <c r="C707" s="82" t="n">
        <f aca="false">ROUND(IF(B707&lt;(Inputs!$E$8-Inputs!$D$8)/(Inputs!$F$8-Inputs!$D$8),Inputs!$D$8+SQRT(B707*(Inputs!$F$8-Inputs!$D$8)*(Inputs!$E$8-Inputs!$D$8)),Inputs!$F$8-SQRT((1-B707)*(Inputs!$F$8-Inputs!$D$8)*(Inputs!$F$8-Inputs!$E$8))),0)</f>
        <v>24</v>
      </c>
      <c r="D707" s="81" t="n">
        <f aca="true">RAND()</f>
        <v>0.0433840941783415</v>
      </c>
      <c r="E707" s="83" t="n">
        <f aca="false">IF(D707&lt;(Inputs!$E$10-Inputs!$D$10)/(Inputs!$F$10-Inputs!$D$10),Inputs!$D$10+SQRT(D707*(Inputs!$F$10-Inputs!$D$10)*(Inputs!$E$10-Inputs!$D$10)),Inputs!$F$10-SQRT((1-D707)*(Inputs!$F$10-Inputs!$D$10)*(Inputs!$F$10-Inputs!$E$10)))</f>
        <v>0.0208288487868008</v>
      </c>
      <c r="F707" s="81" t="n">
        <f aca="true">RAND()</f>
        <v>0.444629784067486</v>
      </c>
      <c r="G707" s="83" t="n">
        <f aca="false">IF(F707&lt;(Inputs!$E$15-Inputs!$D$15)/(Inputs!$F$15-Inputs!$D$15),Inputs!$D$15+SQRT(F707*(Inputs!$F$15-Inputs!$D$15)*(Inputs!$E$15-Inputs!$D$15)),Inputs!$F$15-SQRT((1-F707)*(Inputs!$F$15-Inputs!$D$15)*(Inputs!$F$15-Inputs!$E$15)))</f>
        <v>0.694300560344834</v>
      </c>
      <c r="H707" s="81" t="n">
        <f aca="true">RAND()</f>
        <v>0.483478420857374</v>
      </c>
      <c r="I707" s="82" t="n">
        <f aca="false">ROUND(IF(H707&lt;(Inputs!$E$17-Inputs!$D$17)/(Inputs!$F$17-Inputs!$D$17),Inputs!$D$17+SQRT(H707*(Inputs!$F$17-Inputs!$D$17)*(Inputs!$E$17-Inputs!$D$17)),Inputs!$F$17-SQRT((1-H707)*(Inputs!$F$17-Inputs!$D$17)*(Inputs!$F$17-Inputs!$E$17))),0)</f>
        <v>106</v>
      </c>
      <c r="J707" s="81" t="n">
        <f aca="true">RAND()</f>
        <v>0.401219115371722</v>
      </c>
      <c r="K707" s="83" t="n">
        <f aca="false">IF(J707&lt;(Inputs!$E$18-Inputs!$D$18)/(Inputs!$F$18-Inputs!$D$18),Inputs!$D$18+SQRT(J707*(Inputs!$F$18-Inputs!$D$18)*(Inputs!$E$18-Inputs!$D$18)),Inputs!$F$18-SQRT((1-J707)*(Inputs!$F$18-Inputs!$D$18)*(Inputs!$F$18-Inputs!$E$18)))</f>
        <v>1.02110411230218</v>
      </c>
      <c r="L707" s="81" t="n">
        <f aca="true">RAND()</f>
        <v>0.596434650372366</v>
      </c>
      <c r="M707" s="83" t="n">
        <f aca="false">IF(L707&lt;(Inputs!$E$24-Inputs!$D$24)/(Inputs!$F$24-Inputs!$D$24),Inputs!$D$24+SQRT(L707*(Inputs!$F$24-Inputs!$D$24)*(Inputs!$E$24-Inputs!$D$24)),Inputs!$F$24-SQRT((1-L707)*(Inputs!$F$24-Inputs!$D$24)*(Inputs!$F$24-Inputs!$E$24)))</f>
        <v>0.888783541709902</v>
      </c>
      <c r="N707" s="81" t="n">
        <f aca="true">RAND()</f>
        <v>0.748820316293981</v>
      </c>
      <c r="O707" s="83" t="n">
        <f aca="false">IF(N707&lt;(Inputs!$E$26-Inputs!$D$26)/(Inputs!$F$26-Inputs!$D$26),Inputs!$D$26+SQRT(N707*(Inputs!$F$26-Inputs!$D$26)*(Inputs!$E$26-Inputs!$D$26)),Inputs!$F$26-SQRT((1-N707)*(Inputs!$F$26-Inputs!$D$26)*(Inputs!$F$26-Inputs!$E$26)))</f>
        <v>0.65837485620911</v>
      </c>
      <c r="P707" s="81" t="n">
        <f aca="true">RAND()</f>
        <v>0.468405993721215</v>
      </c>
      <c r="Q707" s="82" t="n">
        <f aca="false">IF(P707&lt;(Inputs!$E$27-Inputs!$D$27)/(Inputs!$F$27-Inputs!$D$27),Inputs!$D$27+SQRT(P707*(Inputs!$F$27-Inputs!$D$27)*(Inputs!$E$27-Inputs!$D$27)),Inputs!$F$27-SQRT((1-P707)*(Inputs!$F$27-Inputs!$D$27)*(Inputs!$F$27-Inputs!$E$27)))</f>
        <v>86.8576604243168</v>
      </c>
      <c r="R707" s="81" t="n">
        <f aca="true">RAND()</f>
        <v>0.707534792888543</v>
      </c>
      <c r="S707" s="82" t="n">
        <f aca="false">IF(R707&lt;(Inputs!$E$29-Inputs!$D$29)/(Inputs!$F$29-Inputs!$D$29),Inputs!$D$29+SQRT(R707*(Inputs!$F$29-Inputs!$D$29)*(Inputs!$E$29-Inputs!$D$29)),Inputs!$F$29-SQRT((1-R707)*(Inputs!$F$29-Inputs!$D$29)*(Inputs!$F$29-Inputs!$E$29)))</f>
        <v>8.83392532282576</v>
      </c>
      <c r="T707" s="68" t="n">
        <f aca="false">Inputs!$E$9*(1+E707)+Inputs!$E$5*C707*(Inputs!$E$11*Inputs!$E$14*(G707*I707/Inputs!$E$16+(1-G707))*K707+Inputs!$E$23*M707)*(1+O707)+Inputs!$E$5*(Q707+S707)</f>
        <v>6187.33741981805</v>
      </c>
    </row>
    <row r="708" customFormat="false" ht="15" hidden="false" customHeight="false" outlineLevel="0" collapsed="false">
      <c r="A708" s="1" t="n">
        <v>704</v>
      </c>
      <c r="B708" s="81" t="n">
        <f aca="true">RAND()</f>
        <v>0.202985024100444</v>
      </c>
      <c r="C708" s="82" t="n">
        <f aca="false">ROUND(IF(B708&lt;(Inputs!$E$8-Inputs!$D$8)/(Inputs!$F$8-Inputs!$D$8),Inputs!$D$8+SQRT(B708*(Inputs!$F$8-Inputs!$D$8)*(Inputs!$E$8-Inputs!$D$8)),Inputs!$F$8-SQRT((1-B708)*(Inputs!$F$8-Inputs!$D$8)*(Inputs!$F$8-Inputs!$E$8))),0)</f>
        <v>23</v>
      </c>
      <c r="D708" s="81" t="n">
        <f aca="true">RAND()</f>
        <v>0.35397405440088</v>
      </c>
      <c r="E708" s="83" t="n">
        <f aca="false">IF(D708&lt;(Inputs!$E$10-Inputs!$D$10)/(Inputs!$F$10-Inputs!$D$10),Inputs!$D$10+SQRT(D708*(Inputs!$F$10-Inputs!$D$10)*(Inputs!$E$10-Inputs!$D$10)),Inputs!$F$10-SQRT((1-D708)*(Inputs!$F$10-Inputs!$D$10)*(Inputs!$F$10-Inputs!$E$10)))</f>
        <v>0.0607851359661132</v>
      </c>
      <c r="F708" s="81" t="n">
        <f aca="true">RAND()</f>
        <v>0.782926039213661</v>
      </c>
      <c r="G708" s="83" t="n">
        <f aca="false">IF(F708&lt;(Inputs!$E$15-Inputs!$D$15)/(Inputs!$F$15-Inputs!$D$15),Inputs!$D$15+SQRT(F708*(Inputs!$F$15-Inputs!$D$15)*(Inputs!$E$15-Inputs!$D$15)),Inputs!$F$15-SQRT((1-F708)*(Inputs!$F$15-Inputs!$D$15)*(Inputs!$F$15-Inputs!$E$15)))</f>
        <v>0.734110097771155</v>
      </c>
      <c r="H708" s="81" t="n">
        <f aca="true">RAND()</f>
        <v>0.711456967221014</v>
      </c>
      <c r="I708" s="82" t="n">
        <f aca="false">ROUND(IF(H708&lt;(Inputs!$E$17-Inputs!$D$17)/(Inputs!$F$17-Inputs!$D$17),Inputs!$D$17+SQRT(H708*(Inputs!$F$17-Inputs!$D$17)*(Inputs!$E$17-Inputs!$D$17)),Inputs!$F$17-SQRT((1-H708)*(Inputs!$F$17-Inputs!$D$17)*(Inputs!$F$17-Inputs!$E$17))),0)</f>
        <v>108</v>
      </c>
      <c r="J708" s="81" t="n">
        <f aca="true">RAND()</f>
        <v>0.873333436673984</v>
      </c>
      <c r="K708" s="83" t="n">
        <f aca="false">IF(J708&lt;(Inputs!$E$18-Inputs!$D$18)/(Inputs!$F$18-Inputs!$D$18),Inputs!$D$18+SQRT(J708*(Inputs!$F$18-Inputs!$D$18)*(Inputs!$E$18-Inputs!$D$18)),Inputs!$F$18-SQRT((1-J708)*(Inputs!$F$18-Inputs!$D$18)*(Inputs!$F$18-Inputs!$E$18)))</f>
        <v>1.14472263162946</v>
      </c>
      <c r="L708" s="81" t="n">
        <f aca="true">RAND()</f>
        <v>0.07772886251807</v>
      </c>
      <c r="M708" s="83" t="n">
        <f aca="false">IF(L708&lt;(Inputs!$E$24-Inputs!$D$24)/(Inputs!$F$24-Inputs!$D$24),Inputs!$D$24+SQRT(L708*(Inputs!$F$24-Inputs!$D$24)*(Inputs!$E$24-Inputs!$D$24)),Inputs!$F$24-SQRT((1-L708)*(Inputs!$F$24-Inputs!$D$24)*(Inputs!$F$24-Inputs!$E$24)))</f>
        <v>0.696578794267522</v>
      </c>
      <c r="N708" s="81" t="n">
        <f aca="true">RAND()</f>
        <v>0.62244885124557</v>
      </c>
      <c r="O708" s="83" t="n">
        <f aca="false">IF(N708&lt;(Inputs!$E$26-Inputs!$D$26)/(Inputs!$F$26-Inputs!$D$26),Inputs!$D$26+SQRT(N708*(Inputs!$F$26-Inputs!$D$26)*(Inputs!$E$26-Inputs!$D$26)),Inputs!$F$26-SQRT((1-N708)*(Inputs!$F$26-Inputs!$D$26)*(Inputs!$F$26-Inputs!$E$26)))</f>
        <v>0.621845213354659</v>
      </c>
      <c r="P708" s="81" t="n">
        <f aca="true">RAND()</f>
        <v>0.270904292098284</v>
      </c>
      <c r="Q708" s="82" t="n">
        <f aca="false">IF(P708&lt;(Inputs!$E$27-Inputs!$D$27)/(Inputs!$F$27-Inputs!$D$27),Inputs!$D$27+SQRT(P708*(Inputs!$F$27-Inputs!$D$27)*(Inputs!$E$27-Inputs!$D$27)),Inputs!$F$27-SQRT((1-P708)*(Inputs!$F$27-Inputs!$D$27)*(Inputs!$F$27-Inputs!$E$27)))</f>
        <v>76.0526010649268</v>
      </c>
      <c r="R708" s="81" t="n">
        <f aca="true">RAND()</f>
        <v>0.417998982021694</v>
      </c>
      <c r="S708" s="82" t="n">
        <f aca="false">IF(R708&lt;(Inputs!$E$29-Inputs!$D$29)/(Inputs!$F$29-Inputs!$D$29),Inputs!$D$29+SQRT(R708*(Inputs!$F$29-Inputs!$D$29)*(Inputs!$E$29-Inputs!$D$29)),Inputs!$F$29-SQRT((1-R708)*(Inputs!$F$29-Inputs!$D$29)*(Inputs!$F$29-Inputs!$E$29)))</f>
        <v>6.30171670171753</v>
      </c>
      <c r="T708" s="68" t="n">
        <f aca="false">Inputs!$E$9*(1+E708)+Inputs!$E$5*C708*(Inputs!$E$11*Inputs!$E$14*(G708*I708/Inputs!$E$16+(1-G708))*K708+Inputs!$E$23*M708)*(1+O708)+Inputs!$E$5*(Q708+S708)</f>
        <v>5955.57724705273</v>
      </c>
    </row>
    <row r="709" customFormat="false" ht="15" hidden="false" customHeight="false" outlineLevel="0" collapsed="false">
      <c r="A709" s="1" t="n">
        <v>705</v>
      </c>
      <c r="B709" s="81" t="n">
        <f aca="true">RAND()</f>
        <v>0.789830104835931</v>
      </c>
      <c r="C709" s="82" t="n">
        <f aca="false">ROUND(IF(B709&lt;(Inputs!$E$8-Inputs!$D$8)/(Inputs!$F$8-Inputs!$D$8),Inputs!$D$8+SQRT(B709*(Inputs!$F$8-Inputs!$D$8)*(Inputs!$E$8-Inputs!$D$8)),Inputs!$F$8-SQRT((1-B709)*(Inputs!$F$8-Inputs!$D$8)*(Inputs!$F$8-Inputs!$E$8))),0)</f>
        <v>27</v>
      </c>
      <c r="D709" s="81" t="n">
        <f aca="true">RAND()</f>
        <v>0.587736672611899</v>
      </c>
      <c r="E709" s="83" t="n">
        <f aca="false">IF(D709&lt;(Inputs!$E$10-Inputs!$D$10)/(Inputs!$F$10-Inputs!$D$10),Inputs!$D$10+SQRT(D709*(Inputs!$F$10-Inputs!$D$10)*(Inputs!$E$10-Inputs!$D$10)),Inputs!$F$10-SQRT((1-D709)*(Inputs!$F$10-Inputs!$D$10)*(Inputs!$F$10-Inputs!$E$10)))</f>
        <v>0.0887889402008818</v>
      </c>
      <c r="F709" s="81" t="n">
        <f aca="true">RAND()</f>
        <v>0.0670081139110279</v>
      </c>
      <c r="G709" s="83" t="n">
        <f aca="false">IF(F709&lt;(Inputs!$E$15-Inputs!$D$15)/(Inputs!$F$15-Inputs!$D$15),Inputs!$D$15+SQRT(F709*(Inputs!$F$15-Inputs!$D$15)*(Inputs!$E$15-Inputs!$D$15)),Inputs!$F$15-SQRT((1-F709)*(Inputs!$F$15-Inputs!$D$15)*(Inputs!$F$15-Inputs!$E$15)))</f>
        <v>0.636608226919923</v>
      </c>
      <c r="H709" s="81" t="n">
        <f aca="true">RAND()</f>
        <v>0.228198223857002</v>
      </c>
      <c r="I709" s="82" t="n">
        <f aca="false">ROUND(IF(H709&lt;(Inputs!$E$17-Inputs!$D$17)/(Inputs!$F$17-Inputs!$D$17),Inputs!$D$17+SQRT(H709*(Inputs!$F$17-Inputs!$D$17)*(Inputs!$E$17-Inputs!$D$17)),Inputs!$F$17-SQRT((1-H709)*(Inputs!$F$17-Inputs!$D$17)*(Inputs!$F$17-Inputs!$E$17))),0)</f>
        <v>104</v>
      </c>
      <c r="J709" s="81" t="n">
        <f aca="true">RAND()</f>
        <v>0.66228964534974</v>
      </c>
      <c r="K709" s="83" t="n">
        <f aca="false">IF(J709&lt;(Inputs!$E$18-Inputs!$D$18)/(Inputs!$F$18-Inputs!$D$18),Inputs!$D$18+SQRT(J709*(Inputs!$F$18-Inputs!$D$18)*(Inputs!$E$18-Inputs!$D$18)),Inputs!$F$18-SQRT((1-J709)*(Inputs!$F$18-Inputs!$D$18)*(Inputs!$F$18-Inputs!$E$18)))</f>
        <v>1.07809986610855</v>
      </c>
      <c r="L709" s="81" t="n">
        <f aca="true">RAND()</f>
        <v>0.537348305425557</v>
      </c>
      <c r="M709" s="83" t="n">
        <f aca="false">IF(L709&lt;(Inputs!$E$24-Inputs!$D$24)/(Inputs!$F$24-Inputs!$D$24),Inputs!$D$24+SQRT(L709*(Inputs!$F$24-Inputs!$D$24)*(Inputs!$E$24-Inputs!$D$24)),Inputs!$F$24-SQRT((1-L709)*(Inputs!$F$24-Inputs!$D$24)*(Inputs!$F$24-Inputs!$E$24)))</f>
        <v>0.866778742127897</v>
      </c>
      <c r="N709" s="81" t="n">
        <f aca="true">RAND()</f>
        <v>0.346202588983806</v>
      </c>
      <c r="O709" s="83" t="n">
        <f aca="false">IF(N709&lt;(Inputs!$E$26-Inputs!$D$26)/(Inputs!$F$26-Inputs!$D$26),Inputs!$D$26+SQRT(N709*(Inputs!$F$26-Inputs!$D$26)*(Inputs!$E$26-Inputs!$D$26)),Inputs!$F$26-SQRT((1-N709)*(Inputs!$F$26-Inputs!$D$26)*(Inputs!$F$26-Inputs!$E$26)))</f>
        <v>0.540016896919582</v>
      </c>
      <c r="P709" s="81" t="n">
        <f aca="true">RAND()</f>
        <v>0.887897898324121</v>
      </c>
      <c r="Q709" s="82" t="n">
        <f aca="false">IF(P709&lt;(Inputs!$E$27-Inputs!$D$27)/(Inputs!$F$27-Inputs!$D$27),Inputs!$D$27+SQRT(P709*(Inputs!$F$27-Inputs!$D$27)*(Inputs!$E$27-Inputs!$D$27)),Inputs!$F$27-SQRT((1-P709)*(Inputs!$F$27-Inputs!$D$27)*(Inputs!$F$27-Inputs!$E$27)))</f>
        <v>121.004038857643</v>
      </c>
      <c r="R709" s="81" t="n">
        <f aca="true">RAND()</f>
        <v>0.172952601029651</v>
      </c>
      <c r="S709" s="82" t="n">
        <f aca="false">IF(R709&lt;(Inputs!$E$29-Inputs!$D$29)/(Inputs!$F$29-Inputs!$D$29),Inputs!$D$29+SQRT(R709*(Inputs!$F$29-Inputs!$D$29)*(Inputs!$E$29-Inputs!$D$29)),Inputs!$F$29-SQRT((1-R709)*(Inputs!$F$29-Inputs!$D$29)*(Inputs!$F$29-Inputs!$E$29)))</f>
        <v>4.59714293795247</v>
      </c>
      <c r="T709" s="68" t="n">
        <f aca="false">Inputs!$E$9*(1+E709)+Inputs!$E$5*C709*(Inputs!$E$11*Inputs!$E$14*(G709*I709/Inputs!$E$16+(1-G709))*K709+Inputs!$E$23*M709)*(1+O709)+Inputs!$E$5*(Q709+S709)</f>
        <v>6798.29928722611</v>
      </c>
    </row>
    <row r="710" customFormat="false" ht="15" hidden="false" customHeight="false" outlineLevel="0" collapsed="false">
      <c r="A710" s="1" t="n">
        <v>706</v>
      </c>
      <c r="B710" s="81" t="n">
        <f aca="true">RAND()</f>
        <v>0.183657722357197</v>
      </c>
      <c r="C710" s="82" t="n">
        <f aca="false">ROUND(IF(B710&lt;(Inputs!$E$8-Inputs!$D$8)/(Inputs!$F$8-Inputs!$D$8),Inputs!$D$8+SQRT(B710*(Inputs!$F$8-Inputs!$D$8)*(Inputs!$E$8-Inputs!$D$8)),Inputs!$F$8-SQRT((1-B710)*(Inputs!$F$8-Inputs!$D$8)*(Inputs!$F$8-Inputs!$E$8))),0)</f>
        <v>23</v>
      </c>
      <c r="D710" s="81" t="n">
        <f aca="true">RAND()</f>
        <v>0.240435541201996</v>
      </c>
      <c r="E710" s="83" t="n">
        <f aca="false">IF(D710&lt;(Inputs!$E$10-Inputs!$D$10)/(Inputs!$F$10-Inputs!$D$10),Inputs!$D$10+SQRT(D710*(Inputs!$F$10-Inputs!$D$10)*(Inputs!$E$10-Inputs!$D$10)),Inputs!$F$10-SQRT((1-D710)*(Inputs!$F$10-Inputs!$D$10)*(Inputs!$F$10-Inputs!$E$10)))</f>
        <v>0.0490342269442474</v>
      </c>
      <c r="F710" s="81" t="n">
        <f aca="true">RAND()</f>
        <v>0.13046678290544</v>
      </c>
      <c r="G710" s="83" t="n">
        <f aca="false">IF(F710&lt;(Inputs!$E$15-Inputs!$D$15)/(Inputs!$F$15-Inputs!$D$15),Inputs!$D$15+SQRT(F710*(Inputs!$F$15-Inputs!$D$15)*(Inputs!$E$15-Inputs!$D$15)),Inputs!$F$15-SQRT((1-F710)*(Inputs!$F$15-Inputs!$D$15)*(Inputs!$F$15-Inputs!$E$15)))</f>
        <v>0.651081656767462</v>
      </c>
      <c r="H710" s="81" t="n">
        <f aca="true">RAND()</f>
        <v>0.850882735988415</v>
      </c>
      <c r="I710" s="82" t="n">
        <f aca="false">ROUND(IF(H710&lt;(Inputs!$E$17-Inputs!$D$17)/(Inputs!$F$17-Inputs!$D$17),Inputs!$D$17+SQRT(H710*(Inputs!$F$17-Inputs!$D$17)*(Inputs!$E$17-Inputs!$D$17)),Inputs!$F$17-SQRT((1-H710)*(Inputs!$F$17-Inputs!$D$17)*(Inputs!$F$17-Inputs!$E$17))),0)</f>
        <v>110</v>
      </c>
      <c r="J710" s="81" t="n">
        <f aca="true">RAND()</f>
        <v>0.250958101313597</v>
      </c>
      <c r="K710" s="83" t="n">
        <f aca="false">IF(J710&lt;(Inputs!$E$18-Inputs!$D$18)/(Inputs!$F$18-Inputs!$D$18),Inputs!$D$18+SQRT(J710*(Inputs!$F$18-Inputs!$D$18)*(Inputs!$E$18-Inputs!$D$18)),Inputs!$F$18-SQRT((1-J710)*(Inputs!$F$18-Inputs!$D$18)*(Inputs!$F$18-Inputs!$E$18)))</f>
        <v>0.993720507606265</v>
      </c>
      <c r="L710" s="81" t="n">
        <f aca="true">RAND()</f>
        <v>0.0128605413594165</v>
      </c>
      <c r="M710" s="83" t="n">
        <f aca="false">IF(L710&lt;(Inputs!$E$24-Inputs!$D$24)/(Inputs!$F$24-Inputs!$D$24),Inputs!$D$24+SQRT(L710*(Inputs!$F$24-Inputs!$D$24)*(Inputs!$E$24-Inputs!$D$24)),Inputs!$F$24-SQRT((1-L710)*(Inputs!$F$24-Inputs!$D$24)*(Inputs!$F$24-Inputs!$E$24)))</f>
        <v>0.639284411197445</v>
      </c>
      <c r="N710" s="81" t="n">
        <f aca="true">RAND()</f>
        <v>0.354725809959506</v>
      </c>
      <c r="O710" s="83" t="n">
        <f aca="false">IF(N710&lt;(Inputs!$E$26-Inputs!$D$26)/(Inputs!$F$26-Inputs!$D$26),Inputs!$D$26+SQRT(N710*(Inputs!$F$26-Inputs!$D$26)*(Inputs!$E$26-Inputs!$D$26)),Inputs!$F$26-SQRT((1-N710)*(Inputs!$F$26-Inputs!$D$26)*(Inputs!$F$26-Inputs!$E$26)))</f>
        <v>0.542953441583489</v>
      </c>
      <c r="P710" s="81" t="n">
        <f aca="true">RAND()</f>
        <v>0.601473774310387</v>
      </c>
      <c r="Q710" s="82" t="n">
        <f aca="false">IF(P710&lt;(Inputs!$E$27-Inputs!$D$27)/(Inputs!$F$27-Inputs!$D$27),Inputs!$D$27+SQRT(P710*(Inputs!$F$27-Inputs!$D$27)*(Inputs!$E$27-Inputs!$D$27)),Inputs!$F$27-SQRT((1-P710)*(Inputs!$F$27-Inputs!$D$27)*(Inputs!$F$27-Inputs!$E$27)))</f>
        <v>95.3287397925373</v>
      </c>
      <c r="R710" s="81" t="n">
        <f aca="true">RAND()</f>
        <v>0.30313125190696</v>
      </c>
      <c r="S710" s="82" t="n">
        <f aca="false">IF(R710&lt;(Inputs!$E$29-Inputs!$D$29)/(Inputs!$F$29-Inputs!$D$29),Inputs!$D$29+SQRT(R710*(Inputs!$F$29-Inputs!$D$29)*(Inputs!$E$29-Inputs!$D$29)),Inputs!$F$29-SQRT((1-R710)*(Inputs!$F$29-Inputs!$D$29)*(Inputs!$F$29-Inputs!$E$29)))</f>
        <v>5.48196778466813</v>
      </c>
      <c r="T710" s="68" t="n">
        <f aca="false">Inputs!$E$9*(1+E710)+Inputs!$E$5*C710*(Inputs!$E$11*Inputs!$E$14*(G710*I710/Inputs!$E$16+(1-G710))*K710+Inputs!$E$23*M710)*(1+O710)+Inputs!$E$5*(Q710+S710)</f>
        <v>5619.74617208478</v>
      </c>
    </row>
    <row r="711" customFormat="false" ht="15" hidden="false" customHeight="false" outlineLevel="0" collapsed="false">
      <c r="A711" s="1" t="n">
        <v>707</v>
      </c>
      <c r="B711" s="81" t="n">
        <f aca="true">RAND()</f>
        <v>0.322116417851392</v>
      </c>
      <c r="C711" s="82" t="n">
        <f aca="false">ROUND(IF(B711&lt;(Inputs!$E$8-Inputs!$D$8)/(Inputs!$F$8-Inputs!$D$8),Inputs!$D$8+SQRT(B711*(Inputs!$F$8-Inputs!$D$8)*(Inputs!$E$8-Inputs!$D$8)),Inputs!$F$8-SQRT((1-B711)*(Inputs!$F$8-Inputs!$D$8)*(Inputs!$F$8-Inputs!$E$8))),0)</f>
        <v>24</v>
      </c>
      <c r="D711" s="81" t="n">
        <f aca="true">RAND()</f>
        <v>0.602341730741245</v>
      </c>
      <c r="E711" s="83" t="n">
        <f aca="false">IF(D711&lt;(Inputs!$E$10-Inputs!$D$10)/(Inputs!$F$10-Inputs!$D$10),Inputs!$D$10+SQRT(D711*(Inputs!$F$10-Inputs!$D$10)*(Inputs!$E$10-Inputs!$D$10)),Inputs!$F$10-SQRT((1-D711)*(Inputs!$F$10-Inputs!$D$10)*(Inputs!$F$10-Inputs!$E$10)))</f>
        <v>0.0907766138697273</v>
      </c>
      <c r="F711" s="81" t="n">
        <f aca="true">RAND()</f>
        <v>0.565825571252549</v>
      </c>
      <c r="G711" s="83" t="n">
        <f aca="false">IF(F711&lt;(Inputs!$E$15-Inputs!$D$15)/(Inputs!$F$15-Inputs!$D$15),Inputs!$D$15+SQRT(F711*(Inputs!$F$15-Inputs!$D$15)*(Inputs!$E$15-Inputs!$D$15)),Inputs!$F$15-SQRT((1-F711)*(Inputs!$F$15-Inputs!$D$15)*(Inputs!$F$15-Inputs!$E$15)))</f>
        <v>0.706814762033093</v>
      </c>
      <c r="H711" s="81" t="n">
        <f aca="true">RAND()</f>
        <v>0.994554760946673</v>
      </c>
      <c r="I711" s="82" t="n">
        <f aca="false">ROUND(IF(H711&lt;(Inputs!$E$17-Inputs!$D$17)/(Inputs!$F$17-Inputs!$D$17),Inputs!$D$17+SQRT(H711*(Inputs!$F$17-Inputs!$D$17)*(Inputs!$E$17-Inputs!$D$17)),Inputs!$F$17-SQRT((1-H711)*(Inputs!$F$17-Inputs!$D$17)*(Inputs!$F$17-Inputs!$E$17))),0)</f>
        <v>114</v>
      </c>
      <c r="J711" s="81" t="n">
        <f aca="true">RAND()</f>
        <v>0.460772543115036</v>
      </c>
      <c r="K711" s="83" t="n">
        <f aca="false">IF(J711&lt;(Inputs!$E$18-Inputs!$D$18)/(Inputs!$F$18-Inputs!$D$18),Inputs!$D$18+SQRT(J711*(Inputs!$F$18-Inputs!$D$18)*(Inputs!$E$18-Inputs!$D$18)),Inputs!$F$18-SQRT((1-J711)*(Inputs!$F$18-Inputs!$D$18)*(Inputs!$F$18-Inputs!$E$18)))</f>
        <v>1.03278489353308</v>
      </c>
      <c r="L711" s="81" t="n">
        <f aca="true">RAND()</f>
        <v>0.444627957034207</v>
      </c>
      <c r="M711" s="83" t="n">
        <f aca="false">IF(L711&lt;(Inputs!$E$24-Inputs!$D$24)/(Inputs!$F$24-Inputs!$D$24),Inputs!$D$24+SQRT(L711*(Inputs!$F$24-Inputs!$D$24)*(Inputs!$E$24-Inputs!$D$24)),Inputs!$F$24-SQRT((1-L711)*(Inputs!$F$24-Inputs!$D$24)*(Inputs!$F$24-Inputs!$E$24)))</f>
        <v>0.834911941702018</v>
      </c>
      <c r="N711" s="81" t="n">
        <f aca="true">RAND()</f>
        <v>0.213688909513528</v>
      </c>
      <c r="O711" s="83" t="n">
        <f aca="false">IF(N711&lt;(Inputs!$E$26-Inputs!$D$26)/(Inputs!$F$26-Inputs!$D$26),Inputs!$D$26+SQRT(N711*(Inputs!$F$26-Inputs!$D$26)*(Inputs!$E$26-Inputs!$D$26)),Inputs!$F$26-SQRT((1-N711)*(Inputs!$F$26-Inputs!$D$26)*(Inputs!$F$26-Inputs!$E$26)))</f>
        <v>0.488567851297752</v>
      </c>
      <c r="P711" s="81" t="n">
        <f aca="true">RAND()</f>
        <v>0.610454044637867</v>
      </c>
      <c r="Q711" s="82" t="n">
        <f aca="false">IF(P711&lt;(Inputs!$E$27-Inputs!$D$27)/(Inputs!$F$27-Inputs!$D$27),Inputs!$D$27+SQRT(P711*(Inputs!$F$27-Inputs!$D$27)*(Inputs!$E$27-Inputs!$D$27)),Inputs!$F$27-SQRT((1-P711)*(Inputs!$F$27-Inputs!$D$27)*(Inputs!$F$27-Inputs!$E$27)))</f>
        <v>95.9482223676594</v>
      </c>
      <c r="R711" s="81" t="n">
        <f aca="true">RAND()</f>
        <v>0.149286553230028</v>
      </c>
      <c r="S711" s="82" t="n">
        <f aca="false">IF(R711&lt;(Inputs!$E$29-Inputs!$D$29)/(Inputs!$F$29-Inputs!$D$29),Inputs!$D$29+SQRT(R711*(Inputs!$F$29-Inputs!$D$29)*(Inputs!$E$29-Inputs!$D$29)),Inputs!$F$29-SQRT((1-R711)*(Inputs!$F$29-Inputs!$D$29)*(Inputs!$F$29-Inputs!$E$29)))</f>
        <v>4.41291847685973</v>
      </c>
      <c r="T711" s="68" t="n">
        <f aca="false">Inputs!$E$9*(1+E711)+Inputs!$E$5*C711*(Inputs!$E$11*Inputs!$E$14*(G711*I711/Inputs!$E$16+(1-G711))*K711+Inputs!$E$23*M711)*(1+O711)+Inputs!$E$5*(Q711+S711)</f>
        <v>6035.63600574642</v>
      </c>
    </row>
    <row r="712" customFormat="false" ht="15" hidden="false" customHeight="false" outlineLevel="0" collapsed="false">
      <c r="A712" s="1" t="n">
        <v>708</v>
      </c>
      <c r="B712" s="81" t="n">
        <f aca="true">RAND()</f>
        <v>0.184249754324849</v>
      </c>
      <c r="C712" s="82" t="n">
        <f aca="false">ROUND(IF(B712&lt;(Inputs!$E$8-Inputs!$D$8)/(Inputs!$F$8-Inputs!$D$8),Inputs!$D$8+SQRT(B712*(Inputs!$F$8-Inputs!$D$8)*(Inputs!$E$8-Inputs!$D$8)),Inputs!$F$8-SQRT((1-B712)*(Inputs!$F$8-Inputs!$D$8)*(Inputs!$F$8-Inputs!$E$8))),0)</f>
        <v>23</v>
      </c>
      <c r="D712" s="81" t="n">
        <f aca="true">RAND()</f>
        <v>0.668292087341025</v>
      </c>
      <c r="E712" s="83" t="n">
        <f aca="false">IF(D712&lt;(Inputs!$E$10-Inputs!$D$10)/(Inputs!$F$10-Inputs!$D$10),Inputs!$D$10+SQRT(D712*(Inputs!$F$10-Inputs!$D$10)*(Inputs!$E$10-Inputs!$D$10)),Inputs!$F$10-SQRT((1-D712)*(Inputs!$F$10-Inputs!$D$10)*(Inputs!$F$10-Inputs!$E$10)))</f>
        <v>0.100244111052183</v>
      </c>
      <c r="F712" s="81" t="n">
        <f aca="true">RAND()</f>
        <v>0.310057884316949</v>
      </c>
      <c r="G712" s="83" t="n">
        <f aca="false">IF(F712&lt;(Inputs!$E$15-Inputs!$D$15)/(Inputs!$F$15-Inputs!$D$15),Inputs!$D$15+SQRT(F712*(Inputs!$F$15-Inputs!$D$15)*(Inputs!$E$15-Inputs!$D$15)),Inputs!$F$15-SQRT((1-F712)*(Inputs!$F$15-Inputs!$D$15)*(Inputs!$F$15-Inputs!$E$15)))</f>
        <v>0.678747429712588</v>
      </c>
      <c r="H712" s="81" t="n">
        <f aca="true">RAND()</f>
        <v>0.886413892415638</v>
      </c>
      <c r="I712" s="82" t="n">
        <f aca="false">ROUND(IF(H712&lt;(Inputs!$E$17-Inputs!$D$17)/(Inputs!$F$17-Inputs!$D$17),Inputs!$D$17+SQRT(H712*(Inputs!$F$17-Inputs!$D$17)*(Inputs!$E$17-Inputs!$D$17)),Inputs!$F$17-SQRT((1-H712)*(Inputs!$F$17-Inputs!$D$17)*(Inputs!$F$17-Inputs!$E$17))),0)</f>
        <v>111</v>
      </c>
      <c r="J712" s="81" t="n">
        <f aca="true">RAND()</f>
        <v>0.705978674319202</v>
      </c>
      <c r="K712" s="83" t="n">
        <f aca="false">IF(J712&lt;(Inputs!$E$18-Inputs!$D$18)/(Inputs!$F$18-Inputs!$D$18),Inputs!$D$18+SQRT(J712*(Inputs!$F$18-Inputs!$D$18)*(Inputs!$E$18-Inputs!$D$18)),Inputs!$F$18-SQRT((1-J712)*(Inputs!$F$18-Inputs!$D$18)*(Inputs!$F$18-Inputs!$E$18)))</f>
        <v>1.08960403372569</v>
      </c>
      <c r="L712" s="81" t="n">
        <f aca="true">RAND()</f>
        <v>0.90056910156017</v>
      </c>
      <c r="M712" s="83" t="n">
        <f aca="false">IF(L712&lt;(Inputs!$E$24-Inputs!$D$24)/(Inputs!$F$24-Inputs!$D$24),Inputs!$D$24+SQRT(L712*(Inputs!$F$24-Inputs!$D$24)*(Inputs!$E$24-Inputs!$D$24)),Inputs!$F$24-SQRT((1-L712)*(Inputs!$F$24-Inputs!$D$24)*(Inputs!$F$24-Inputs!$E$24)))</f>
        <v>1.04552211930001</v>
      </c>
      <c r="N712" s="81" t="n">
        <f aca="true">RAND()</f>
        <v>0.410467562458102</v>
      </c>
      <c r="O712" s="83" t="n">
        <f aca="false">IF(N712&lt;(Inputs!$E$26-Inputs!$D$26)/(Inputs!$F$26-Inputs!$D$26),Inputs!$D$26+SQRT(N712*(Inputs!$F$26-Inputs!$D$26)*(Inputs!$E$26-Inputs!$D$26)),Inputs!$F$26-SQRT((1-N712)*(Inputs!$F$26-Inputs!$D$26)*(Inputs!$F$26-Inputs!$E$26)))</f>
        <v>0.561346135217317</v>
      </c>
      <c r="P712" s="81" t="n">
        <f aca="true">RAND()</f>
        <v>0.982885119895809</v>
      </c>
      <c r="Q712" s="82" t="n">
        <f aca="false">IF(P712&lt;(Inputs!$E$27-Inputs!$D$27)/(Inputs!$F$27-Inputs!$D$27),Inputs!$D$27+SQRT(P712*(Inputs!$F$27-Inputs!$D$27)*(Inputs!$E$27-Inputs!$D$27)),Inputs!$F$27-SQRT((1-P712)*(Inputs!$F$27-Inputs!$D$27)*(Inputs!$F$27-Inputs!$E$27)))</f>
        <v>138.670322123669</v>
      </c>
      <c r="R712" s="81" t="n">
        <f aca="true">RAND()</f>
        <v>0.684500774936335</v>
      </c>
      <c r="S712" s="82" t="n">
        <f aca="false">IF(R712&lt;(Inputs!$E$29-Inputs!$D$29)/(Inputs!$F$29-Inputs!$D$29),Inputs!$D$29+SQRT(R712*(Inputs!$F$29-Inputs!$D$29)*(Inputs!$E$29-Inputs!$D$29)),Inputs!$F$29-SQRT((1-R712)*(Inputs!$F$29-Inputs!$D$29)*(Inputs!$F$29-Inputs!$E$29)))</f>
        <v>8.59571243163797</v>
      </c>
      <c r="T712" s="68" t="n">
        <f aca="false">Inputs!$E$9*(1+E712)+Inputs!$E$5*C712*(Inputs!$E$11*Inputs!$E$14*(G712*I712/Inputs!$E$16+(1-G712))*K712+Inputs!$E$23*M712)*(1+O712)+Inputs!$E$5*(Q712+S712)</f>
        <v>6690.69230312028</v>
      </c>
    </row>
    <row r="713" customFormat="false" ht="15" hidden="false" customHeight="false" outlineLevel="0" collapsed="false">
      <c r="A713" s="1" t="n">
        <v>709</v>
      </c>
      <c r="B713" s="81" t="n">
        <f aca="true">RAND()</f>
        <v>0.249276296425048</v>
      </c>
      <c r="C713" s="82" t="n">
        <f aca="false">ROUND(IF(B713&lt;(Inputs!$E$8-Inputs!$D$8)/(Inputs!$F$8-Inputs!$D$8),Inputs!$D$8+SQRT(B713*(Inputs!$F$8-Inputs!$D$8)*(Inputs!$E$8-Inputs!$D$8)),Inputs!$F$8-SQRT((1-B713)*(Inputs!$F$8-Inputs!$D$8)*(Inputs!$F$8-Inputs!$E$8))),0)</f>
        <v>24</v>
      </c>
      <c r="D713" s="81" t="n">
        <f aca="true">RAND()</f>
        <v>0.728326804714875</v>
      </c>
      <c r="E713" s="83" t="n">
        <f aca="false">IF(D713&lt;(Inputs!$E$10-Inputs!$D$10)/(Inputs!$F$10-Inputs!$D$10),Inputs!$D$10+SQRT(D713*(Inputs!$F$10-Inputs!$D$10)*(Inputs!$E$10-Inputs!$D$10)),Inputs!$F$10-SQRT((1-D713)*(Inputs!$F$10-Inputs!$D$10)*(Inputs!$F$10-Inputs!$E$10)))</f>
        <v>0.109721564819976</v>
      </c>
      <c r="F713" s="81" t="n">
        <f aca="true">RAND()</f>
        <v>0.691817067435508</v>
      </c>
      <c r="G713" s="83" t="n">
        <f aca="false">IF(F713&lt;(Inputs!$E$15-Inputs!$D$15)/(Inputs!$F$15-Inputs!$D$15),Inputs!$D$15+SQRT(F713*(Inputs!$F$15-Inputs!$D$15)*(Inputs!$E$15-Inputs!$D$15)),Inputs!$F$15-SQRT((1-F713)*(Inputs!$F$15-Inputs!$D$15)*(Inputs!$F$15-Inputs!$E$15)))</f>
        <v>0.721491028211485</v>
      </c>
      <c r="H713" s="81" t="n">
        <f aca="true">RAND()</f>
        <v>0.521760408302095</v>
      </c>
      <c r="I713" s="82" t="n">
        <f aca="false">ROUND(IF(H713&lt;(Inputs!$E$17-Inputs!$D$17)/(Inputs!$F$17-Inputs!$D$17),Inputs!$D$17+SQRT(H713*(Inputs!$F$17-Inputs!$D$17)*(Inputs!$E$17-Inputs!$D$17)),Inputs!$F$17-SQRT((1-H713)*(Inputs!$F$17-Inputs!$D$17)*(Inputs!$F$17-Inputs!$E$17))),0)</f>
        <v>107</v>
      </c>
      <c r="J713" s="81" t="n">
        <f aca="true">RAND()</f>
        <v>0.441619669953256</v>
      </c>
      <c r="K713" s="83" t="n">
        <f aca="false">IF(J713&lt;(Inputs!$E$18-Inputs!$D$18)/(Inputs!$F$18-Inputs!$D$18),Inputs!$D$18+SQRT(J713*(Inputs!$F$18-Inputs!$D$18)*(Inputs!$E$18-Inputs!$D$18)),Inputs!$F$18-SQRT((1-J713)*(Inputs!$F$18-Inputs!$D$18)*(Inputs!$F$18-Inputs!$E$18)))</f>
        <v>1.02896091097028</v>
      </c>
      <c r="L713" s="81" t="n">
        <f aca="true">RAND()</f>
        <v>0.427220924871964</v>
      </c>
      <c r="M713" s="83" t="n">
        <f aca="false">IF(L713&lt;(Inputs!$E$24-Inputs!$D$24)/(Inputs!$F$24-Inputs!$D$24),Inputs!$D$24+SQRT(L713*(Inputs!$F$24-Inputs!$D$24)*(Inputs!$E$24-Inputs!$D$24)),Inputs!$F$24-SQRT((1-L713)*(Inputs!$F$24-Inputs!$D$24)*(Inputs!$F$24-Inputs!$E$24)))</f>
        <v>0.829234605133208</v>
      </c>
      <c r="N713" s="81" t="n">
        <f aca="true">RAND()</f>
        <v>0.346124916741508</v>
      </c>
      <c r="O713" s="83" t="n">
        <f aca="false">IF(N713&lt;(Inputs!$E$26-Inputs!$D$26)/(Inputs!$F$26-Inputs!$D$26),Inputs!$D$26+SQRT(N713*(Inputs!$F$26-Inputs!$D$26)*(Inputs!$E$26-Inputs!$D$26)),Inputs!$F$26-SQRT((1-N713)*(Inputs!$F$26-Inputs!$D$26)*(Inputs!$F$26-Inputs!$E$26)))</f>
        <v>0.53998997092751</v>
      </c>
      <c r="P713" s="81" t="n">
        <f aca="true">RAND()</f>
        <v>0.0406165696815178</v>
      </c>
      <c r="Q713" s="82" t="n">
        <f aca="false">IF(P713&lt;(Inputs!$E$27-Inputs!$D$27)/(Inputs!$F$27-Inputs!$D$27),Inputs!$D$27+SQRT(P713*(Inputs!$F$27-Inputs!$D$27)*(Inputs!$E$27-Inputs!$D$27)),Inputs!$F$27-SQRT((1-P713)*(Inputs!$F$27-Inputs!$D$27)*(Inputs!$F$27-Inputs!$E$27)))</f>
        <v>60.0767764788048</v>
      </c>
      <c r="R713" s="81" t="n">
        <f aca="true">RAND()</f>
        <v>0.197551623975841</v>
      </c>
      <c r="S713" s="82" t="n">
        <f aca="false">IF(R713&lt;(Inputs!$E$29-Inputs!$D$29)/(Inputs!$F$29-Inputs!$D$29),Inputs!$D$29+SQRT(R713*(Inputs!$F$29-Inputs!$D$29)*(Inputs!$E$29-Inputs!$D$29)),Inputs!$F$29-SQRT((1-R713)*(Inputs!$F$29-Inputs!$D$29)*(Inputs!$F$29-Inputs!$E$29)))</f>
        <v>4.77570051249371</v>
      </c>
      <c r="T713" s="68" t="n">
        <f aca="false">Inputs!$E$9*(1+E713)+Inputs!$E$5*C713*(Inputs!$E$11*Inputs!$E$14*(G713*I713/Inputs!$E$16+(1-G713))*K713+Inputs!$E$23*M713)*(1+O713)+Inputs!$E$5*(Q713+S713)</f>
        <v>5896.17455564203</v>
      </c>
    </row>
    <row r="714" customFormat="false" ht="15" hidden="false" customHeight="false" outlineLevel="0" collapsed="false">
      <c r="A714" s="1" t="n">
        <v>710</v>
      </c>
      <c r="B714" s="81" t="n">
        <f aca="true">RAND()</f>
        <v>0.674206753959619</v>
      </c>
      <c r="C714" s="82" t="n">
        <f aca="false">ROUND(IF(B714&lt;(Inputs!$E$8-Inputs!$D$8)/(Inputs!$F$8-Inputs!$D$8),Inputs!$D$8+SQRT(B714*(Inputs!$F$8-Inputs!$D$8)*(Inputs!$E$8-Inputs!$D$8)),Inputs!$F$8-SQRT((1-B714)*(Inputs!$F$8-Inputs!$D$8)*(Inputs!$F$8-Inputs!$E$8))),0)</f>
        <v>26</v>
      </c>
      <c r="D714" s="81" t="n">
        <f aca="true">RAND()</f>
        <v>0.949012057861892</v>
      </c>
      <c r="E714" s="83" t="n">
        <f aca="false">IF(D714&lt;(Inputs!$E$10-Inputs!$D$10)/(Inputs!$F$10-Inputs!$D$10),Inputs!$D$10+SQRT(D714*(Inputs!$F$10-Inputs!$D$10)*(Inputs!$E$10-Inputs!$D$10)),Inputs!$F$10-SQRT((1-D714)*(Inputs!$F$10-Inputs!$D$10)*(Inputs!$F$10-Inputs!$E$10)))</f>
        <v>0.160889409821082</v>
      </c>
      <c r="F714" s="81" t="n">
        <f aca="true">RAND()</f>
        <v>0.687556487702791</v>
      </c>
      <c r="G714" s="83" t="n">
        <f aca="false">IF(F714&lt;(Inputs!$E$15-Inputs!$D$15)/(Inputs!$F$15-Inputs!$D$15),Inputs!$D$15+SQRT(F714*(Inputs!$F$15-Inputs!$D$15)*(Inputs!$E$15-Inputs!$D$15)),Inputs!$F$15-SQRT((1-F714)*(Inputs!$F$15-Inputs!$D$15)*(Inputs!$F$15-Inputs!$E$15)))</f>
        <v>0.720950204010737</v>
      </c>
      <c r="H714" s="81" t="n">
        <f aca="true">RAND()</f>
        <v>0.981329313724019</v>
      </c>
      <c r="I714" s="82" t="n">
        <f aca="false">ROUND(IF(H714&lt;(Inputs!$E$17-Inputs!$D$17)/(Inputs!$F$17-Inputs!$D$17),Inputs!$D$17+SQRT(H714*(Inputs!$F$17-Inputs!$D$17)*(Inputs!$E$17-Inputs!$D$17)),Inputs!$F$17-SQRT((1-H714)*(Inputs!$F$17-Inputs!$D$17)*(Inputs!$F$17-Inputs!$E$17))),0)</f>
        <v>113</v>
      </c>
      <c r="J714" s="81" t="n">
        <f aca="true">RAND()</f>
        <v>0.783171812406703</v>
      </c>
      <c r="K714" s="83" t="n">
        <f aca="false">IF(J714&lt;(Inputs!$E$18-Inputs!$D$18)/(Inputs!$F$18-Inputs!$D$18),Inputs!$D$18+SQRT(J714*(Inputs!$F$18-Inputs!$D$18)*(Inputs!$E$18-Inputs!$D$18)),Inputs!$F$18-SQRT((1-J714)*(Inputs!$F$18-Inputs!$D$18)*(Inputs!$F$18-Inputs!$E$18)))</f>
        <v>1.1122594235005</v>
      </c>
      <c r="L714" s="81" t="n">
        <f aca="true">RAND()</f>
        <v>0.851799247493994</v>
      </c>
      <c r="M714" s="83" t="n">
        <f aca="false">IF(L714&lt;(Inputs!$E$24-Inputs!$D$24)/(Inputs!$F$24-Inputs!$D$24),Inputs!$D$24+SQRT(L714*(Inputs!$F$24-Inputs!$D$24)*(Inputs!$E$24-Inputs!$D$24)),Inputs!$F$24-SQRT((1-L714)*(Inputs!$F$24-Inputs!$D$24)*(Inputs!$F$24-Inputs!$E$24)))</f>
        <v>1.01140471744648</v>
      </c>
      <c r="N714" s="81" t="n">
        <f aca="true">RAND()</f>
        <v>0.252370820182446</v>
      </c>
      <c r="O714" s="83" t="n">
        <f aca="false">IF(N714&lt;(Inputs!$E$26-Inputs!$D$26)/(Inputs!$F$26-Inputs!$D$26),Inputs!$D$26+SQRT(N714*(Inputs!$F$26-Inputs!$D$26)*(Inputs!$E$26-Inputs!$D$26)),Inputs!$F$26-SQRT((1-N714)*(Inputs!$F$26-Inputs!$D$26)*(Inputs!$F$26-Inputs!$E$26)))</f>
        <v>0.504925607180652</v>
      </c>
      <c r="P714" s="81" t="n">
        <f aca="true">RAND()</f>
        <v>0.699275134198833</v>
      </c>
      <c r="Q714" s="82" t="n">
        <f aca="false">IF(P714&lt;(Inputs!$E$27-Inputs!$D$27)/(Inputs!$F$27-Inputs!$D$27),Inputs!$D$27+SQRT(P714*(Inputs!$F$27-Inputs!$D$27)*(Inputs!$E$27-Inputs!$D$27)),Inputs!$F$27-SQRT((1-P714)*(Inputs!$F$27-Inputs!$D$27)*(Inputs!$F$27-Inputs!$E$27)))</f>
        <v>102.508563998245</v>
      </c>
      <c r="R714" s="81" t="n">
        <f aca="true">RAND()</f>
        <v>0.530162834877053</v>
      </c>
      <c r="S714" s="82" t="n">
        <f aca="false">IF(R714&lt;(Inputs!$E$29-Inputs!$D$29)/(Inputs!$F$29-Inputs!$D$29),Inputs!$D$29+SQRT(R714*(Inputs!$F$29-Inputs!$D$29)*(Inputs!$E$29-Inputs!$D$29)),Inputs!$F$29-SQRT((1-R714)*(Inputs!$F$29-Inputs!$D$29)*(Inputs!$F$29-Inputs!$E$29)))</f>
        <v>7.18470528604435</v>
      </c>
      <c r="T714" s="68" t="n">
        <f aca="false">Inputs!$E$9*(1+E714)+Inputs!$E$5*C714*(Inputs!$E$11*Inputs!$E$14*(G714*I714/Inputs!$E$16+(1-G714))*K714+Inputs!$E$23*M714)*(1+O714)+Inputs!$E$5*(Q714+S714)</f>
        <v>6924.51235553444</v>
      </c>
    </row>
    <row r="715" customFormat="false" ht="15" hidden="false" customHeight="false" outlineLevel="0" collapsed="false">
      <c r="A715" s="1" t="n">
        <v>711</v>
      </c>
      <c r="B715" s="81" t="n">
        <f aca="true">RAND()</f>
        <v>0.725644047001565</v>
      </c>
      <c r="C715" s="82" t="n">
        <f aca="false">ROUND(IF(B715&lt;(Inputs!$E$8-Inputs!$D$8)/(Inputs!$F$8-Inputs!$D$8),Inputs!$D$8+SQRT(B715*(Inputs!$F$8-Inputs!$D$8)*(Inputs!$E$8-Inputs!$D$8)),Inputs!$F$8-SQRT((1-B715)*(Inputs!$F$8-Inputs!$D$8)*(Inputs!$F$8-Inputs!$E$8))),0)</f>
        <v>26</v>
      </c>
      <c r="D715" s="81" t="n">
        <f aca="true">RAND()</f>
        <v>0.38430061722264</v>
      </c>
      <c r="E715" s="83" t="n">
        <f aca="false">IF(D715&lt;(Inputs!$E$10-Inputs!$D$10)/(Inputs!$F$10-Inputs!$D$10),Inputs!$D$10+SQRT(D715*(Inputs!$F$10-Inputs!$D$10)*(Inputs!$E$10-Inputs!$D$10)),Inputs!$F$10-SQRT((1-D715)*(Inputs!$F$10-Inputs!$D$10)*(Inputs!$F$10-Inputs!$E$10)))</f>
        <v>0.0640920109657979</v>
      </c>
      <c r="F715" s="81" t="n">
        <f aca="true">RAND()</f>
        <v>0.661482113923477</v>
      </c>
      <c r="G715" s="83" t="n">
        <f aca="false">IF(F715&lt;(Inputs!$E$15-Inputs!$D$15)/(Inputs!$F$15-Inputs!$D$15),Inputs!$D$15+SQRT(F715*(Inputs!$F$15-Inputs!$D$15)*(Inputs!$E$15-Inputs!$D$15)),Inputs!$F$15-SQRT((1-F715)*(Inputs!$F$15-Inputs!$D$15)*(Inputs!$F$15-Inputs!$E$15)))</f>
        <v>0.717717816499983</v>
      </c>
      <c r="H715" s="81" t="n">
        <f aca="true">RAND()</f>
        <v>0.704212022217767</v>
      </c>
      <c r="I715" s="82" t="n">
        <f aca="false">ROUND(IF(H715&lt;(Inputs!$E$17-Inputs!$D$17)/(Inputs!$F$17-Inputs!$D$17),Inputs!$D$17+SQRT(H715*(Inputs!$F$17-Inputs!$D$17)*(Inputs!$E$17-Inputs!$D$17)),Inputs!$F$17-SQRT((1-H715)*(Inputs!$F$17-Inputs!$D$17)*(Inputs!$F$17-Inputs!$E$17))),0)</f>
        <v>108</v>
      </c>
      <c r="J715" s="81" t="n">
        <f aca="true">RAND()</f>
        <v>0.515893004029615</v>
      </c>
      <c r="K715" s="83" t="n">
        <f aca="false">IF(J715&lt;(Inputs!$E$18-Inputs!$D$18)/(Inputs!$F$18-Inputs!$D$18),Inputs!$D$18+SQRT(J715*(Inputs!$F$18-Inputs!$D$18)*(Inputs!$E$18-Inputs!$D$18)),Inputs!$F$18-SQRT((1-J715)*(Inputs!$F$18-Inputs!$D$18)*(Inputs!$F$18-Inputs!$E$18)))</f>
        <v>1.04418609826494</v>
      </c>
      <c r="L715" s="81" t="n">
        <f aca="true">RAND()</f>
        <v>0.279188475383262</v>
      </c>
      <c r="M715" s="83" t="n">
        <f aca="false">IF(L715&lt;(Inputs!$E$24-Inputs!$D$24)/(Inputs!$F$24-Inputs!$D$24),Inputs!$D$24+SQRT(L715*(Inputs!$F$24-Inputs!$D$24)*(Inputs!$E$24-Inputs!$D$24)),Inputs!$F$24-SQRT((1-L715)*(Inputs!$F$24-Inputs!$D$24)*(Inputs!$F$24-Inputs!$E$24)))</f>
        <v>0.783037201262452</v>
      </c>
      <c r="N715" s="81" t="n">
        <f aca="true">RAND()</f>
        <v>0.137112688393554</v>
      </c>
      <c r="O715" s="83" t="n">
        <f aca="false">IF(N715&lt;(Inputs!$E$26-Inputs!$D$26)/(Inputs!$F$26-Inputs!$D$26),Inputs!$D$26+SQRT(N715*(Inputs!$F$26-Inputs!$D$26)*(Inputs!$E$26-Inputs!$D$26)),Inputs!$F$26-SQRT((1-N715)*(Inputs!$F$26-Inputs!$D$26)*(Inputs!$F$26-Inputs!$E$26)))</f>
        <v>0.451048175588742</v>
      </c>
      <c r="P715" s="81" t="n">
        <f aca="true">RAND()</f>
        <v>0.82845896325451</v>
      </c>
      <c r="Q715" s="82" t="n">
        <f aca="false">IF(P715&lt;(Inputs!$E$27-Inputs!$D$27)/(Inputs!$F$27-Inputs!$D$27),Inputs!$D$27+SQRT(P715*(Inputs!$F$27-Inputs!$D$27)*(Inputs!$E$27-Inputs!$D$27)),Inputs!$F$27-SQRT((1-P715)*(Inputs!$F$27-Inputs!$D$27)*(Inputs!$F$27-Inputs!$E$27)))</f>
        <v>114.131381744049</v>
      </c>
      <c r="R715" s="81" t="n">
        <f aca="true">RAND()</f>
        <v>0.935838889451268</v>
      </c>
      <c r="S715" s="82" t="n">
        <f aca="false">IF(R715&lt;(Inputs!$E$29-Inputs!$D$29)/(Inputs!$F$29-Inputs!$D$29),Inputs!$D$29+SQRT(R715*(Inputs!$F$29-Inputs!$D$29)*(Inputs!$E$29-Inputs!$D$29)),Inputs!$F$29-SQRT((1-R715)*(Inputs!$F$29-Inputs!$D$29)*(Inputs!$F$29-Inputs!$E$29)))</f>
        <v>12.1119306844649</v>
      </c>
      <c r="T715" s="68" t="n">
        <f aca="false">Inputs!$E$9*(1+E715)+Inputs!$E$5*C715*(Inputs!$E$11*Inputs!$E$14*(G715*I715/Inputs!$E$16+(1-G715))*K715+Inputs!$E$23*M715)*(1+O715)+Inputs!$E$5*(Q715+S715)</f>
        <v>6152.99022672412</v>
      </c>
    </row>
    <row r="716" customFormat="false" ht="15" hidden="false" customHeight="false" outlineLevel="0" collapsed="false">
      <c r="A716" s="1" t="n">
        <v>712</v>
      </c>
      <c r="B716" s="81" t="n">
        <f aca="true">RAND()</f>
        <v>0.888803049876354</v>
      </c>
      <c r="C716" s="82" t="n">
        <f aca="false">ROUND(IF(B716&lt;(Inputs!$E$8-Inputs!$D$8)/(Inputs!$F$8-Inputs!$D$8),Inputs!$D$8+SQRT(B716*(Inputs!$F$8-Inputs!$D$8)*(Inputs!$E$8-Inputs!$D$8)),Inputs!$F$8-SQRT((1-B716)*(Inputs!$F$8-Inputs!$D$8)*(Inputs!$F$8-Inputs!$E$8))),0)</f>
        <v>28</v>
      </c>
      <c r="D716" s="81" t="n">
        <f aca="true">RAND()</f>
        <v>0.147285804884857</v>
      </c>
      <c r="E716" s="83" t="n">
        <f aca="false">IF(D716&lt;(Inputs!$E$10-Inputs!$D$10)/(Inputs!$F$10-Inputs!$D$10),Inputs!$D$10+SQRT(D716*(Inputs!$F$10-Inputs!$D$10)*(Inputs!$E$10-Inputs!$D$10)),Inputs!$F$10-SQRT((1-D716)*(Inputs!$F$10-Inputs!$D$10)*(Inputs!$F$10-Inputs!$E$10)))</f>
        <v>0.0383778327794649</v>
      </c>
      <c r="F716" s="81" t="n">
        <f aca="true">RAND()</f>
        <v>0.61738139646925</v>
      </c>
      <c r="G716" s="83" t="n">
        <f aca="false">IF(F716&lt;(Inputs!$E$15-Inputs!$D$15)/(Inputs!$F$15-Inputs!$D$15),Inputs!$D$15+SQRT(F716*(Inputs!$F$15-Inputs!$D$15)*(Inputs!$E$15-Inputs!$D$15)),Inputs!$F$15-SQRT((1-F716)*(Inputs!$F$15-Inputs!$D$15)*(Inputs!$F$15-Inputs!$E$15)))</f>
        <v>0.712522162403183</v>
      </c>
      <c r="H716" s="81" t="n">
        <f aca="true">RAND()</f>
        <v>0.954823671041042</v>
      </c>
      <c r="I716" s="82" t="n">
        <f aca="false">ROUND(IF(H716&lt;(Inputs!$E$17-Inputs!$D$17)/(Inputs!$F$17-Inputs!$D$17),Inputs!$D$17+SQRT(H716*(Inputs!$F$17-Inputs!$D$17)*(Inputs!$E$17-Inputs!$D$17)),Inputs!$F$17-SQRT((1-H716)*(Inputs!$F$17-Inputs!$D$17)*(Inputs!$F$17-Inputs!$E$17))),0)</f>
        <v>112</v>
      </c>
      <c r="J716" s="81" t="n">
        <f aca="true">RAND()</f>
        <v>0.687375210509275</v>
      </c>
      <c r="K716" s="83" t="n">
        <f aca="false">IF(J716&lt;(Inputs!$E$18-Inputs!$D$18)/(Inputs!$F$18-Inputs!$D$18),Inputs!$D$18+SQRT(J716*(Inputs!$F$18-Inputs!$D$18)*(Inputs!$E$18-Inputs!$D$18)),Inputs!$F$18-SQRT((1-J716)*(Inputs!$F$18-Inputs!$D$18)*(Inputs!$F$18-Inputs!$E$18)))</f>
        <v>1.084607530158</v>
      </c>
      <c r="L716" s="81" t="n">
        <f aca="true">RAND()</f>
        <v>0.0686892481422795</v>
      </c>
      <c r="M716" s="83" t="n">
        <f aca="false">IF(L716&lt;(Inputs!$E$24-Inputs!$D$24)/(Inputs!$F$24-Inputs!$D$24),Inputs!$D$24+SQRT(L716*(Inputs!$F$24-Inputs!$D$24)*(Inputs!$E$24-Inputs!$D$24)),Inputs!$F$24-SQRT((1-L716)*(Inputs!$F$24-Inputs!$D$24)*(Inputs!$F$24-Inputs!$E$24)))</f>
        <v>0.690789370396944</v>
      </c>
      <c r="N716" s="81" t="n">
        <f aca="true">RAND()</f>
        <v>0.588943143427158</v>
      </c>
      <c r="O716" s="83" t="n">
        <f aca="false">IF(N716&lt;(Inputs!$E$26-Inputs!$D$26)/(Inputs!$F$26-Inputs!$D$26),Inputs!$D$26+SQRT(N716*(Inputs!$F$26-Inputs!$D$26)*(Inputs!$E$26-Inputs!$D$26)),Inputs!$F$26-SQRT((1-N716)*(Inputs!$F$26-Inputs!$D$26)*(Inputs!$F$26-Inputs!$E$26)))</f>
        <v>0.613049738965359</v>
      </c>
      <c r="P716" s="81" t="n">
        <f aca="true">RAND()</f>
        <v>0.653553842536167</v>
      </c>
      <c r="Q716" s="82" t="n">
        <f aca="false">IF(P716&lt;(Inputs!$E$27-Inputs!$D$27)/(Inputs!$F$27-Inputs!$D$27),Inputs!$D$27+SQRT(P716*(Inputs!$F$27-Inputs!$D$27)*(Inputs!$E$27-Inputs!$D$27)),Inputs!$F$27-SQRT((1-P716)*(Inputs!$F$27-Inputs!$D$27)*(Inputs!$F$27-Inputs!$E$27)))</f>
        <v>99.0260244734753</v>
      </c>
      <c r="R716" s="81" t="n">
        <f aca="true">RAND()</f>
        <v>0.0601787043746797</v>
      </c>
      <c r="S716" s="82" t="n">
        <f aca="false">IF(R716&lt;(Inputs!$E$29-Inputs!$D$29)/(Inputs!$F$29-Inputs!$D$29),Inputs!$D$29+SQRT(R716*(Inputs!$F$29-Inputs!$D$29)*(Inputs!$E$29-Inputs!$D$29)),Inputs!$F$29-SQRT((1-R716)*(Inputs!$F$29-Inputs!$D$29)*(Inputs!$F$29-Inputs!$E$29)))</f>
        <v>3.53198220309915</v>
      </c>
      <c r="T716" s="68" t="n">
        <f aca="false">Inputs!$E$9*(1+E716)+Inputs!$E$5*C716*(Inputs!$E$11*Inputs!$E$14*(G716*I716/Inputs!$E$16+(1-G716))*K716+Inputs!$E$23*M716)*(1+O716)+Inputs!$E$5*(Q716+S716)</f>
        <v>6621.43651614394</v>
      </c>
    </row>
    <row r="717" customFormat="false" ht="15" hidden="false" customHeight="false" outlineLevel="0" collapsed="false">
      <c r="A717" s="1" t="n">
        <v>713</v>
      </c>
      <c r="B717" s="81" t="n">
        <f aca="true">RAND()</f>
        <v>0.99934890513688</v>
      </c>
      <c r="C717" s="82" t="n">
        <f aca="false">ROUND(IF(B717&lt;(Inputs!$E$8-Inputs!$D$8)/(Inputs!$F$8-Inputs!$D$8),Inputs!$D$8+SQRT(B717*(Inputs!$F$8-Inputs!$D$8)*(Inputs!$E$8-Inputs!$D$8)),Inputs!$F$8-SQRT((1-B717)*(Inputs!$F$8-Inputs!$D$8)*(Inputs!$F$8-Inputs!$E$8))),0)</f>
        <v>30</v>
      </c>
      <c r="D717" s="81" t="n">
        <f aca="true">RAND()</f>
        <v>0.764141451653997</v>
      </c>
      <c r="E717" s="83" t="n">
        <f aca="false">IF(D717&lt;(Inputs!$E$10-Inputs!$D$10)/(Inputs!$F$10-Inputs!$D$10),Inputs!$D$10+SQRT(D717*(Inputs!$F$10-Inputs!$D$10)*(Inputs!$E$10-Inputs!$D$10)),Inputs!$F$10-SQRT((1-D717)*(Inputs!$F$10-Inputs!$D$10)*(Inputs!$F$10-Inputs!$E$10)))</f>
        <v>0.115882484283117</v>
      </c>
      <c r="F717" s="81" t="n">
        <f aca="true">RAND()</f>
        <v>0.630357660475245</v>
      </c>
      <c r="G717" s="83" t="n">
        <f aca="false">IF(F717&lt;(Inputs!$E$15-Inputs!$D$15)/(Inputs!$F$15-Inputs!$D$15),Inputs!$D$15+SQRT(F717*(Inputs!$F$15-Inputs!$D$15)*(Inputs!$E$15-Inputs!$D$15)),Inputs!$F$15-SQRT((1-F717)*(Inputs!$F$15-Inputs!$D$15)*(Inputs!$F$15-Inputs!$E$15)))</f>
        <v>0.714018334567798</v>
      </c>
      <c r="H717" s="81" t="n">
        <f aca="true">RAND()</f>
        <v>0.347177070835653</v>
      </c>
      <c r="I717" s="82" t="n">
        <f aca="false">ROUND(IF(H717&lt;(Inputs!$E$17-Inputs!$D$17)/(Inputs!$F$17-Inputs!$D$17),Inputs!$D$17+SQRT(H717*(Inputs!$F$17-Inputs!$D$17)*(Inputs!$E$17-Inputs!$D$17)),Inputs!$F$17-SQRT((1-H717)*(Inputs!$F$17-Inputs!$D$17)*(Inputs!$F$17-Inputs!$E$17))),0)</f>
        <v>105</v>
      </c>
      <c r="J717" s="81" t="n">
        <f aca="true">RAND()</f>
        <v>0.184682533429338</v>
      </c>
      <c r="K717" s="83" t="n">
        <f aca="false">IF(J717&lt;(Inputs!$E$18-Inputs!$D$18)/(Inputs!$F$18-Inputs!$D$18),Inputs!$D$18+SQRT(J717*(Inputs!$F$18-Inputs!$D$18)*(Inputs!$E$18-Inputs!$D$18)),Inputs!$F$18-SQRT((1-J717)*(Inputs!$F$18-Inputs!$D$18)*(Inputs!$F$18-Inputs!$E$18)))</f>
        <v>0.980398312606838</v>
      </c>
      <c r="L717" s="81" t="n">
        <f aca="true">RAND()</f>
        <v>0.0503864770179758</v>
      </c>
      <c r="M717" s="83" t="n">
        <f aca="false">IF(L717&lt;(Inputs!$E$24-Inputs!$D$24)/(Inputs!$F$24-Inputs!$D$24),Inputs!$D$24+SQRT(L717*(Inputs!$F$24-Inputs!$D$24)*(Inputs!$E$24-Inputs!$D$24)),Inputs!$F$24-SQRT((1-L717)*(Inputs!$F$24-Inputs!$D$24)*(Inputs!$F$24-Inputs!$E$24)))</f>
        <v>0.67775845447382</v>
      </c>
      <c r="N717" s="81" t="n">
        <f aca="true">RAND()</f>
        <v>0.621550643778613</v>
      </c>
      <c r="O717" s="83" t="n">
        <f aca="false">IF(N717&lt;(Inputs!$E$26-Inputs!$D$26)/(Inputs!$F$26-Inputs!$D$26),Inputs!$D$26+SQRT(N717*(Inputs!$F$26-Inputs!$D$26)*(Inputs!$E$26-Inputs!$D$26)),Inputs!$F$26-SQRT((1-N717)*(Inputs!$F$26-Inputs!$D$26)*(Inputs!$F$26-Inputs!$E$26)))</f>
        <v>0.621609644773179</v>
      </c>
      <c r="P717" s="81" t="n">
        <f aca="true">RAND()</f>
        <v>0.462047559249397</v>
      </c>
      <c r="Q717" s="82" t="n">
        <f aca="false">IF(P717&lt;(Inputs!$E$27-Inputs!$D$27)/(Inputs!$F$27-Inputs!$D$27),Inputs!$D$27+SQRT(P717*(Inputs!$F$27-Inputs!$D$27)*(Inputs!$E$27-Inputs!$D$27)),Inputs!$F$27-SQRT((1-P717)*(Inputs!$F$27-Inputs!$D$27)*(Inputs!$F$27-Inputs!$E$27)))</f>
        <v>86.4811578692628</v>
      </c>
      <c r="R717" s="81" t="n">
        <f aca="true">RAND()</f>
        <v>0.518722820886481</v>
      </c>
      <c r="S717" s="82" t="n">
        <f aca="false">IF(R717&lt;(Inputs!$E$29-Inputs!$D$29)/(Inputs!$F$29-Inputs!$D$29),Inputs!$D$29+SQRT(R717*(Inputs!$F$29-Inputs!$D$29)*(Inputs!$E$29-Inputs!$D$29)),Inputs!$F$29-SQRT((1-R717)*(Inputs!$F$29-Inputs!$D$29)*(Inputs!$F$29-Inputs!$E$29)))</f>
        <v>7.09013064047468</v>
      </c>
      <c r="T717" s="68" t="n">
        <f aca="false">Inputs!$E$9*(1+E717)+Inputs!$E$5*C717*(Inputs!$E$11*Inputs!$E$14*(G717*I717/Inputs!$E$16+(1-G717))*K717+Inputs!$E$23*M717)*(1+O717)+Inputs!$E$5*(Q717+S717)</f>
        <v>6637.25807631229</v>
      </c>
    </row>
    <row r="718" customFormat="false" ht="15" hidden="false" customHeight="false" outlineLevel="0" collapsed="false">
      <c r="A718" s="1" t="n">
        <v>714</v>
      </c>
      <c r="B718" s="81" t="n">
        <f aca="true">RAND()</f>
        <v>0.205100551169298</v>
      </c>
      <c r="C718" s="82" t="n">
        <f aca="false">ROUND(IF(B718&lt;(Inputs!$E$8-Inputs!$D$8)/(Inputs!$F$8-Inputs!$D$8),Inputs!$D$8+SQRT(B718*(Inputs!$F$8-Inputs!$D$8)*(Inputs!$E$8-Inputs!$D$8)),Inputs!$F$8-SQRT((1-B718)*(Inputs!$F$8-Inputs!$D$8)*(Inputs!$F$8-Inputs!$E$8))),0)</f>
        <v>23</v>
      </c>
      <c r="D718" s="81" t="n">
        <f aca="true">RAND()</f>
        <v>0.773041235505339</v>
      </c>
      <c r="E718" s="83" t="n">
        <f aca="false">IF(D718&lt;(Inputs!$E$10-Inputs!$D$10)/(Inputs!$F$10-Inputs!$D$10),Inputs!$D$10+SQRT(D718*(Inputs!$F$10-Inputs!$D$10)*(Inputs!$E$10-Inputs!$D$10)),Inputs!$F$10-SQRT((1-D718)*(Inputs!$F$10-Inputs!$D$10)*(Inputs!$F$10-Inputs!$E$10)))</f>
        <v>0.117484771497379</v>
      </c>
      <c r="F718" s="81" t="n">
        <f aca="true">RAND()</f>
        <v>0.283864953418456</v>
      </c>
      <c r="G718" s="83" t="n">
        <f aca="false">IF(F718&lt;(Inputs!$E$15-Inputs!$D$15)/(Inputs!$F$15-Inputs!$D$15),Inputs!$D$15+SQRT(F718*(Inputs!$F$15-Inputs!$D$15)*(Inputs!$E$15-Inputs!$D$15)),Inputs!$F$15-SQRT((1-F718)*(Inputs!$F$15-Inputs!$D$15)*(Inputs!$F$15-Inputs!$E$15)))</f>
        <v>0.67534785377414</v>
      </c>
      <c r="H718" s="81" t="n">
        <f aca="true">RAND()</f>
        <v>0.877382124637432</v>
      </c>
      <c r="I718" s="82" t="n">
        <f aca="false">ROUND(IF(H718&lt;(Inputs!$E$17-Inputs!$D$17)/(Inputs!$F$17-Inputs!$D$17),Inputs!$D$17+SQRT(H718*(Inputs!$F$17-Inputs!$D$17)*(Inputs!$E$17-Inputs!$D$17)),Inputs!$F$17-SQRT((1-H718)*(Inputs!$F$17-Inputs!$D$17)*(Inputs!$F$17-Inputs!$E$17))),0)</f>
        <v>111</v>
      </c>
      <c r="J718" s="81" t="n">
        <f aca="true">RAND()</f>
        <v>0.767680107567461</v>
      </c>
      <c r="K718" s="83" t="n">
        <f aca="false">IF(J718&lt;(Inputs!$E$18-Inputs!$D$18)/(Inputs!$F$18-Inputs!$D$18),Inputs!$D$18+SQRT(J718*(Inputs!$F$18-Inputs!$D$18)*(Inputs!$E$18-Inputs!$D$18)),Inputs!$F$18-SQRT((1-J718)*(Inputs!$F$18-Inputs!$D$18)*(Inputs!$F$18-Inputs!$E$18)))</f>
        <v>1.10742373764246</v>
      </c>
      <c r="L718" s="81" t="n">
        <f aca="true">RAND()</f>
        <v>0.446798690463766</v>
      </c>
      <c r="M718" s="83" t="n">
        <f aca="false">IF(L718&lt;(Inputs!$E$24-Inputs!$D$24)/(Inputs!$F$24-Inputs!$D$24),Inputs!$D$24+SQRT(L718*(Inputs!$F$24-Inputs!$D$24)*(Inputs!$E$24-Inputs!$D$24)),Inputs!$F$24-SQRT((1-L718)*(Inputs!$F$24-Inputs!$D$24)*(Inputs!$F$24-Inputs!$E$24)))</f>
        <v>0.835626133910929</v>
      </c>
      <c r="N718" s="81" t="n">
        <f aca="true">RAND()</f>
        <v>0.295406216529207</v>
      </c>
      <c r="O718" s="83" t="n">
        <f aca="false">IF(N718&lt;(Inputs!$E$26-Inputs!$D$26)/(Inputs!$F$26-Inputs!$D$26),Inputs!$D$26+SQRT(N718*(Inputs!$F$26-Inputs!$D$26)*(Inputs!$E$26-Inputs!$D$26)),Inputs!$F$26-SQRT((1-N718)*(Inputs!$F$26-Inputs!$D$26)*(Inputs!$F$26-Inputs!$E$26)))</f>
        <v>0.521710609647937</v>
      </c>
      <c r="P718" s="81" t="n">
        <f aca="true">RAND()</f>
        <v>0.332408122517226</v>
      </c>
      <c r="Q718" s="82" t="n">
        <f aca="false">IF(P718&lt;(Inputs!$E$27-Inputs!$D$27)/(Inputs!$F$27-Inputs!$D$27),Inputs!$D$27+SQRT(P718*(Inputs!$F$27-Inputs!$D$27)*(Inputs!$E$27-Inputs!$D$27)),Inputs!$F$27-SQRT((1-P718)*(Inputs!$F$27-Inputs!$D$27)*(Inputs!$F$27-Inputs!$E$27)))</f>
        <v>79.2402721802804</v>
      </c>
      <c r="R718" s="81" t="n">
        <f aca="true">RAND()</f>
        <v>0.461996526657845</v>
      </c>
      <c r="S718" s="82" t="n">
        <f aca="false">IF(R718&lt;(Inputs!$E$29-Inputs!$D$29)/(Inputs!$F$29-Inputs!$D$29),Inputs!$D$29+SQRT(R718*(Inputs!$F$29-Inputs!$D$29)*(Inputs!$E$29-Inputs!$D$29)),Inputs!$F$29-SQRT((1-R718)*(Inputs!$F$29-Inputs!$D$29)*(Inputs!$F$29-Inputs!$E$29)))</f>
        <v>6.63695919330295</v>
      </c>
      <c r="T718" s="68" t="n">
        <f aca="false">Inputs!$E$9*(1+E718)+Inputs!$E$5*C718*(Inputs!$E$11*Inputs!$E$14*(G718*I718/Inputs!$E$16+(1-G718))*K718+Inputs!$E$23*M718)*(1+O718)+Inputs!$E$5*(Q718+S718)</f>
        <v>6109.11554784027</v>
      </c>
    </row>
    <row r="719" customFormat="false" ht="15" hidden="false" customHeight="false" outlineLevel="0" collapsed="false">
      <c r="A719" s="1" t="n">
        <v>715</v>
      </c>
      <c r="B719" s="81" t="n">
        <f aca="true">RAND()</f>
        <v>0.979945817845135</v>
      </c>
      <c r="C719" s="82" t="n">
        <f aca="false">ROUND(IF(B719&lt;(Inputs!$E$8-Inputs!$D$8)/(Inputs!$F$8-Inputs!$D$8),Inputs!$D$8+SQRT(B719*(Inputs!$F$8-Inputs!$D$8)*(Inputs!$E$8-Inputs!$D$8)),Inputs!$F$8-SQRT((1-B719)*(Inputs!$F$8-Inputs!$D$8)*(Inputs!$F$8-Inputs!$E$8))),0)</f>
        <v>29</v>
      </c>
      <c r="D719" s="81" t="n">
        <f aca="true">RAND()</f>
        <v>0.920009182698668</v>
      </c>
      <c r="E719" s="83" t="n">
        <f aca="false">IF(D719&lt;(Inputs!$E$10-Inputs!$D$10)/(Inputs!$F$10-Inputs!$D$10),Inputs!$D$10+SQRT(D719*(Inputs!$F$10-Inputs!$D$10)*(Inputs!$E$10-Inputs!$D$10)),Inputs!$F$10-SQRT((1-D719)*(Inputs!$F$10-Inputs!$D$10)*(Inputs!$F$10-Inputs!$E$10)))</f>
        <v>0.151013016840798</v>
      </c>
      <c r="F719" s="81" t="n">
        <f aca="true">RAND()</f>
        <v>0.921308972939502</v>
      </c>
      <c r="G719" s="83" t="n">
        <f aca="false">IF(F719&lt;(Inputs!$E$15-Inputs!$D$15)/(Inputs!$F$15-Inputs!$D$15),Inputs!$D$15+SQRT(F719*(Inputs!$F$15-Inputs!$D$15)*(Inputs!$E$15-Inputs!$D$15)),Inputs!$F$15-SQRT((1-F719)*(Inputs!$F$15-Inputs!$D$15)*(Inputs!$F$15-Inputs!$E$15)))</f>
        <v>0.760328592901058</v>
      </c>
      <c r="H719" s="81" t="n">
        <f aca="true">RAND()</f>
        <v>0.376052060431604</v>
      </c>
      <c r="I719" s="82" t="n">
        <f aca="false">ROUND(IF(H719&lt;(Inputs!$E$17-Inputs!$D$17)/(Inputs!$F$17-Inputs!$D$17),Inputs!$D$17+SQRT(H719*(Inputs!$F$17-Inputs!$D$17)*(Inputs!$E$17-Inputs!$D$17)),Inputs!$F$17-SQRT((1-H719)*(Inputs!$F$17-Inputs!$D$17)*(Inputs!$F$17-Inputs!$E$17))),0)</f>
        <v>105</v>
      </c>
      <c r="J719" s="81" t="n">
        <f aca="true">RAND()</f>
        <v>0.097916034153134</v>
      </c>
      <c r="K719" s="83" t="n">
        <f aca="false">IF(J719&lt;(Inputs!$E$18-Inputs!$D$18)/(Inputs!$F$18-Inputs!$D$18),Inputs!$D$18+SQRT(J719*(Inputs!$F$18-Inputs!$D$18)*(Inputs!$E$18-Inputs!$D$18)),Inputs!$F$18-SQRT((1-J719)*(Inputs!$F$18-Inputs!$D$18)*(Inputs!$F$18-Inputs!$E$18)))</f>
        <v>0.958541106885331</v>
      </c>
      <c r="L719" s="81" t="n">
        <f aca="true">RAND()</f>
        <v>0.715979364267937</v>
      </c>
      <c r="M719" s="83" t="n">
        <f aca="false">IF(L719&lt;(Inputs!$E$24-Inputs!$D$24)/(Inputs!$F$24-Inputs!$D$24),Inputs!$D$24+SQRT(L719*(Inputs!$F$24-Inputs!$D$24)*(Inputs!$E$24-Inputs!$D$24)),Inputs!$F$24-SQRT((1-L719)*(Inputs!$F$24-Inputs!$D$24)*(Inputs!$F$24-Inputs!$E$24)))</f>
        <v>0.938915813240834</v>
      </c>
      <c r="N719" s="81" t="n">
        <f aca="true">RAND()</f>
        <v>0.00748565441747525</v>
      </c>
      <c r="O719" s="83" t="n">
        <f aca="false">IF(N719&lt;(Inputs!$E$26-Inputs!$D$26)/(Inputs!$F$26-Inputs!$D$26),Inputs!$D$26+SQRT(N719*(Inputs!$F$26-Inputs!$D$26)*(Inputs!$E$26-Inputs!$D$26)),Inputs!$F$26-SQRT((1-N719)*(Inputs!$F$26-Inputs!$D$26)*(Inputs!$F$26-Inputs!$E$26)))</f>
        <v>0.335293241492783</v>
      </c>
      <c r="P719" s="81" t="n">
        <f aca="true">RAND()</f>
        <v>0.15171461475379</v>
      </c>
      <c r="Q719" s="82" t="n">
        <f aca="false">IF(P719&lt;(Inputs!$E$27-Inputs!$D$27)/(Inputs!$F$27-Inputs!$D$27),Inputs!$D$27+SQRT(P719*(Inputs!$F$27-Inputs!$D$27)*(Inputs!$E$27-Inputs!$D$27)),Inputs!$F$27-SQRT((1-P719)*(Inputs!$F$27-Inputs!$D$27)*(Inputs!$F$27-Inputs!$E$27)))</f>
        <v>69.4752801490627</v>
      </c>
      <c r="R719" s="81" t="n">
        <f aca="true">RAND()</f>
        <v>0.154645164795059</v>
      </c>
      <c r="S719" s="82" t="n">
        <f aca="false">IF(R719&lt;(Inputs!$E$29-Inputs!$D$29)/(Inputs!$F$29-Inputs!$D$29),Inputs!$D$29+SQRT(R719*(Inputs!$F$29-Inputs!$D$29)*(Inputs!$E$29-Inputs!$D$29)),Inputs!$F$29-SQRT((1-R719)*(Inputs!$F$29-Inputs!$D$29)*(Inputs!$F$29-Inputs!$E$29)))</f>
        <v>4.45584230499584</v>
      </c>
      <c r="T719" s="68" t="n">
        <f aca="false">Inputs!$E$9*(1+E719)+Inputs!$E$5*C719*(Inputs!$E$11*Inputs!$E$14*(G719*I719/Inputs!$E$16+(1-G719))*K719+Inputs!$E$23*M719)*(1+O719)+Inputs!$E$5*(Q719+S719)</f>
        <v>6116.79305805219</v>
      </c>
    </row>
    <row r="720" customFormat="false" ht="15" hidden="false" customHeight="false" outlineLevel="0" collapsed="false">
      <c r="A720" s="1" t="n">
        <v>716</v>
      </c>
      <c r="B720" s="81" t="n">
        <f aca="true">RAND()</f>
        <v>0.157984770016624</v>
      </c>
      <c r="C720" s="82" t="n">
        <f aca="false">ROUND(IF(B720&lt;(Inputs!$E$8-Inputs!$D$8)/(Inputs!$F$8-Inputs!$D$8),Inputs!$D$8+SQRT(B720*(Inputs!$F$8-Inputs!$D$8)*(Inputs!$E$8-Inputs!$D$8)),Inputs!$F$8-SQRT((1-B720)*(Inputs!$F$8-Inputs!$D$8)*(Inputs!$F$8-Inputs!$E$8))),0)</f>
        <v>23</v>
      </c>
      <c r="D720" s="81" t="n">
        <f aca="true">RAND()</f>
        <v>0.194843754408033</v>
      </c>
      <c r="E720" s="83" t="n">
        <f aca="false">IF(D720&lt;(Inputs!$E$10-Inputs!$D$10)/(Inputs!$F$10-Inputs!$D$10),Inputs!$D$10+SQRT(D720*(Inputs!$F$10-Inputs!$D$10)*(Inputs!$E$10-Inputs!$D$10)),Inputs!$F$10-SQRT((1-D720)*(Inputs!$F$10-Inputs!$D$10)*(Inputs!$F$10-Inputs!$E$10)))</f>
        <v>0.0441411094568355</v>
      </c>
      <c r="F720" s="81" t="n">
        <f aca="true">RAND()</f>
        <v>0.880752265467224</v>
      </c>
      <c r="G720" s="83" t="n">
        <f aca="false">IF(F720&lt;(Inputs!$E$15-Inputs!$D$15)/(Inputs!$F$15-Inputs!$D$15),Inputs!$D$15+SQRT(F720*(Inputs!$F$15-Inputs!$D$15)*(Inputs!$E$15-Inputs!$D$15)),Inputs!$F$15-SQRT((1-F720)*(Inputs!$F$15-Inputs!$D$15)*(Inputs!$F$15-Inputs!$E$15)))</f>
        <v>0.751164002102389</v>
      </c>
      <c r="H720" s="81" t="n">
        <f aca="true">RAND()</f>
        <v>0.335575667349441</v>
      </c>
      <c r="I720" s="82" t="n">
        <f aca="false">ROUND(IF(H720&lt;(Inputs!$E$17-Inputs!$D$17)/(Inputs!$F$17-Inputs!$D$17),Inputs!$D$17+SQRT(H720*(Inputs!$F$17-Inputs!$D$17)*(Inputs!$E$17-Inputs!$D$17)),Inputs!$F$17-SQRT((1-H720)*(Inputs!$F$17-Inputs!$D$17)*(Inputs!$F$17-Inputs!$E$17))),0)</f>
        <v>105</v>
      </c>
      <c r="J720" s="81" t="n">
        <f aca="true">RAND()</f>
        <v>0.33868227880872</v>
      </c>
      <c r="K720" s="83" t="n">
        <f aca="false">IF(J720&lt;(Inputs!$E$18-Inputs!$D$18)/(Inputs!$F$18-Inputs!$D$18),Inputs!$D$18+SQRT(J720*(Inputs!$F$18-Inputs!$D$18)*(Inputs!$E$18-Inputs!$D$18)),Inputs!$F$18-SQRT((1-J720)*(Inputs!$F$18-Inputs!$D$18)*(Inputs!$F$18-Inputs!$E$18)))</f>
        <v>1.00944792537948</v>
      </c>
      <c r="L720" s="81" t="n">
        <f aca="true">RAND()</f>
        <v>0.251162519989808</v>
      </c>
      <c r="M720" s="83" t="n">
        <f aca="false">IF(L720&lt;(Inputs!$E$24-Inputs!$D$24)/(Inputs!$F$24-Inputs!$D$24),Inputs!$D$24+SQRT(L720*(Inputs!$F$24-Inputs!$D$24)*(Inputs!$E$24-Inputs!$D$24)),Inputs!$F$24-SQRT((1-L720)*(Inputs!$F$24-Inputs!$D$24)*(Inputs!$F$24-Inputs!$E$24)))</f>
        <v>0.773607322422693</v>
      </c>
      <c r="N720" s="81" t="n">
        <f aca="true">RAND()</f>
        <v>0.274445267593898</v>
      </c>
      <c r="O720" s="83" t="n">
        <f aca="false">IF(N720&lt;(Inputs!$E$26-Inputs!$D$26)/(Inputs!$F$26-Inputs!$D$26),Inputs!$D$26+SQRT(N720*(Inputs!$F$26-Inputs!$D$26)*(Inputs!$E$26-Inputs!$D$26)),Inputs!$F$26-SQRT((1-N720)*(Inputs!$F$26-Inputs!$D$26)*(Inputs!$F$26-Inputs!$E$26)))</f>
        <v>0.513700005913955</v>
      </c>
      <c r="P720" s="81" t="n">
        <f aca="true">RAND()</f>
        <v>0.202030589038844</v>
      </c>
      <c r="Q720" s="82" t="n">
        <f aca="false">IF(P720&lt;(Inputs!$E$27-Inputs!$D$27)/(Inputs!$F$27-Inputs!$D$27),Inputs!$D$27+SQRT(P720*(Inputs!$F$27-Inputs!$D$27)*(Inputs!$E$27-Inputs!$D$27)),Inputs!$F$27-SQRT((1-P720)*(Inputs!$F$27-Inputs!$D$27)*(Inputs!$F$27-Inputs!$E$27)))</f>
        <v>72.4739064827882</v>
      </c>
      <c r="R720" s="81" t="n">
        <f aca="true">RAND()</f>
        <v>0.411343110516312</v>
      </c>
      <c r="S720" s="82" t="n">
        <f aca="false">IF(R720&lt;(Inputs!$E$29-Inputs!$D$29)/(Inputs!$F$29-Inputs!$D$29),Inputs!$D$29+SQRT(R720*(Inputs!$F$29-Inputs!$D$29)*(Inputs!$E$29-Inputs!$D$29)),Inputs!$F$29-SQRT((1-R720)*(Inputs!$F$29-Inputs!$D$29)*(Inputs!$F$29-Inputs!$E$29)))</f>
        <v>6.25212050649533</v>
      </c>
      <c r="T720" s="68" t="n">
        <f aca="false">Inputs!$E$9*(1+E720)+Inputs!$E$5*C720*(Inputs!$E$11*Inputs!$E$14*(G720*I720/Inputs!$E$16+(1-G720))*K720+Inputs!$E$23*M720)*(1+O720)+Inputs!$E$5*(Q720+S720)</f>
        <v>5478.32279492554</v>
      </c>
    </row>
    <row r="721" customFormat="false" ht="15" hidden="false" customHeight="false" outlineLevel="0" collapsed="false">
      <c r="A721" s="1" t="n">
        <v>717</v>
      </c>
      <c r="B721" s="81" t="n">
        <f aca="true">RAND()</f>
        <v>0.219284470373901</v>
      </c>
      <c r="C721" s="82" t="n">
        <f aca="false">ROUND(IF(B721&lt;(Inputs!$E$8-Inputs!$D$8)/(Inputs!$F$8-Inputs!$D$8),Inputs!$D$8+SQRT(B721*(Inputs!$F$8-Inputs!$D$8)*(Inputs!$E$8-Inputs!$D$8)),Inputs!$F$8-SQRT((1-B721)*(Inputs!$F$8-Inputs!$D$8)*(Inputs!$F$8-Inputs!$E$8))),0)</f>
        <v>23</v>
      </c>
      <c r="D721" s="81" t="n">
        <f aca="true">RAND()</f>
        <v>0.48009322851879</v>
      </c>
      <c r="E721" s="83" t="n">
        <f aca="false">IF(D721&lt;(Inputs!$E$10-Inputs!$D$10)/(Inputs!$F$10-Inputs!$D$10),Inputs!$D$10+SQRT(D721*(Inputs!$F$10-Inputs!$D$10)*(Inputs!$E$10-Inputs!$D$10)),Inputs!$F$10-SQRT((1-D721)*(Inputs!$F$10-Inputs!$D$10)*(Inputs!$F$10-Inputs!$E$10)))</f>
        <v>0.0751112369168615</v>
      </c>
      <c r="F721" s="81" t="n">
        <f aca="true">RAND()</f>
        <v>0.0803654627449813</v>
      </c>
      <c r="G721" s="83" t="n">
        <f aca="false">IF(F721&lt;(Inputs!$E$15-Inputs!$D$15)/(Inputs!$F$15-Inputs!$D$15),Inputs!$D$15+SQRT(F721*(Inputs!$F$15-Inputs!$D$15)*(Inputs!$E$15-Inputs!$D$15)),Inputs!$F$15-SQRT((1-F721)*(Inputs!$F$15-Inputs!$D$15)*(Inputs!$F$15-Inputs!$E$15)))</f>
        <v>0.640091261577801</v>
      </c>
      <c r="H721" s="81" t="n">
        <f aca="true">RAND()</f>
        <v>0.952993728426166</v>
      </c>
      <c r="I721" s="82" t="n">
        <f aca="false">ROUND(IF(H721&lt;(Inputs!$E$17-Inputs!$D$17)/(Inputs!$F$17-Inputs!$D$17),Inputs!$D$17+SQRT(H721*(Inputs!$F$17-Inputs!$D$17)*(Inputs!$E$17-Inputs!$D$17)),Inputs!$F$17-SQRT((1-H721)*(Inputs!$F$17-Inputs!$D$17)*(Inputs!$F$17-Inputs!$E$17))),0)</f>
        <v>112</v>
      </c>
      <c r="J721" s="81" t="n">
        <f aca="true">RAND()</f>
        <v>0.761483805227971</v>
      </c>
      <c r="K721" s="83" t="n">
        <f aca="false">IF(J721&lt;(Inputs!$E$18-Inputs!$D$18)/(Inputs!$F$18-Inputs!$D$18),Inputs!$D$18+SQRT(J721*(Inputs!$F$18-Inputs!$D$18)*(Inputs!$E$18-Inputs!$D$18)),Inputs!$F$18-SQRT((1-J721)*(Inputs!$F$18-Inputs!$D$18)*(Inputs!$F$18-Inputs!$E$18)))</f>
        <v>1.10553489333907</v>
      </c>
      <c r="L721" s="81" t="n">
        <f aca="true">RAND()</f>
        <v>0.177727558057044</v>
      </c>
      <c r="M721" s="83" t="n">
        <f aca="false">IF(L721&lt;(Inputs!$E$24-Inputs!$D$24)/(Inputs!$F$24-Inputs!$D$24),Inputs!$D$24+SQRT(L721*(Inputs!$F$24-Inputs!$D$24)*(Inputs!$E$24-Inputs!$D$24)),Inputs!$F$24-SQRT((1-L721)*(Inputs!$F$24-Inputs!$D$24)*(Inputs!$F$24-Inputs!$E$24)))</f>
        <v>0.746038717355519</v>
      </c>
      <c r="N721" s="81" t="n">
        <f aca="true">RAND()</f>
        <v>0.00514832987726125</v>
      </c>
      <c r="O721" s="83" t="n">
        <f aca="false">IF(N721&lt;(Inputs!$E$26-Inputs!$D$26)/(Inputs!$F$26-Inputs!$D$26),Inputs!$D$26+SQRT(N721*(Inputs!$F$26-Inputs!$D$26)*(Inputs!$E$26-Inputs!$D$26)),Inputs!$F$26-SQRT((1-N721)*(Inputs!$F$26-Inputs!$D$26)*(Inputs!$F$26-Inputs!$E$26)))</f>
        <v>0.329269132060522</v>
      </c>
      <c r="P721" s="81" t="n">
        <f aca="true">RAND()</f>
        <v>0.608590887261712</v>
      </c>
      <c r="Q721" s="82" t="n">
        <f aca="false">IF(P721&lt;(Inputs!$E$27-Inputs!$D$27)/(Inputs!$F$27-Inputs!$D$27),Inputs!$D$27+SQRT(P721*(Inputs!$F$27-Inputs!$D$27)*(Inputs!$E$27-Inputs!$D$27)),Inputs!$F$27-SQRT((1-P721)*(Inputs!$F$27-Inputs!$D$27)*(Inputs!$F$27-Inputs!$E$27)))</f>
        <v>95.8191145740755</v>
      </c>
      <c r="R721" s="81" t="n">
        <f aca="true">RAND()</f>
        <v>0.949057138424673</v>
      </c>
      <c r="S721" s="82" t="n">
        <f aca="false">IF(R721&lt;(Inputs!$E$29-Inputs!$D$29)/(Inputs!$F$29-Inputs!$D$29),Inputs!$D$29+SQRT(R721*(Inputs!$F$29-Inputs!$D$29)*(Inputs!$E$29-Inputs!$D$29)),Inputs!$F$29-SQRT((1-R721)*(Inputs!$F$29-Inputs!$D$29)*(Inputs!$F$29-Inputs!$E$29)))</f>
        <v>12.4265641634592</v>
      </c>
      <c r="T721" s="68" t="n">
        <f aca="false">Inputs!$E$9*(1+E721)+Inputs!$E$5*C721*(Inputs!$E$11*Inputs!$E$14*(G721*I721/Inputs!$E$16+(1-G721))*K721+Inputs!$E$23*M721)*(1+O721)+Inputs!$E$5*(Q721+S721)</f>
        <v>5665.18344488924</v>
      </c>
    </row>
    <row r="722" customFormat="false" ht="15" hidden="false" customHeight="false" outlineLevel="0" collapsed="false">
      <c r="A722" s="1" t="n">
        <v>718</v>
      </c>
      <c r="B722" s="81" t="n">
        <f aca="true">RAND()</f>
        <v>0.871243632388293</v>
      </c>
      <c r="C722" s="82" t="n">
        <f aca="false">ROUND(IF(B722&lt;(Inputs!$E$8-Inputs!$D$8)/(Inputs!$F$8-Inputs!$D$8),Inputs!$D$8+SQRT(B722*(Inputs!$F$8-Inputs!$D$8)*(Inputs!$E$8-Inputs!$D$8)),Inputs!$F$8-SQRT((1-B722)*(Inputs!$F$8-Inputs!$D$8)*(Inputs!$F$8-Inputs!$E$8))),0)</f>
        <v>27</v>
      </c>
      <c r="D722" s="81" t="n">
        <f aca="true">RAND()</f>
        <v>0.301912570016466</v>
      </c>
      <c r="E722" s="83" t="n">
        <f aca="false">IF(D722&lt;(Inputs!$E$10-Inputs!$D$10)/(Inputs!$F$10-Inputs!$D$10),Inputs!$D$10+SQRT(D722*(Inputs!$F$10-Inputs!$D$10)*(Inputs!$E$10-Inputs!$D$10)),Inputs!$F$10-SQRT((1-D722)*(Inputs!$F$10-Inputs!$D$10)*(Inputs!$F$10-Inputs!$E$10)))</f>
        <v>0.0552843377532825</v>
      </c>
      <c r="F722" s="81" t="n">
        <f aca="true">RAND()</f>
        <v>0.736865142370406</v>
      </c>
      <c r="G722" s="83" t="n">
        <f aca="false">IF(F722&lt;(Inputs!$E$15-Inputs!$D$15)/(Inputs!$F$15-Inputs!$D$15),Inputs!$D$15+SQRT(F722*(Inputs!$F$15-Inputs!$D$15)*(Inputs!$E$15-Inputs!$D$15)),Inputs!$F$15-SQRT((1-F722)*(Inputs!$F$15-Inputs!$D$15)*(Inputs!$F$15-Inputs!$E$15)))</f>
        <v>0.727455550504591</v>
      </c>
      <c r="H722" s="81" t="n">
        <f aca="true">RAND()</f>
        <v>0.469814518173465</v>
      </c>
      <c r="I722" s="82" t="n">
        <f aca="false">ROUND(IF(H722&lt;(Inputs!$E$17-Inputs!$D$17)/(Inputs!$F$17-Inputs!$D$17),Inputs!$D$17+SQRT(H722*(Inputs!$F$17-Inputs!$D$17)*(Inputs!$E$17-Inputs!$D$17)),Inputs!$F$17-SQRT((1-H722)*(Inputs!$F$17-Inputs!$D$17)*(Inputs!$F$17-Inputs!$E$17))),0)</f>
        <v>106</v>
      </c>
      <c r="J722" s="81" t="n">
        <f aca="true">RAND()</f>
        <v>0.113248683785387</v>
      </c>
      <c r="K722" s="83" t="n">
        <f aca="false">IF(J722&lt;(Inputs!$E$18-Inputs!$D$18)/(Inputs!$F$18-Inputs!$D$18),Inputs!$D$18+SQRT(J722*(Inputs!$F$18-Inputs!$D$18)*(Inputs!$E$18-Inputs!$D$18)),Inputs!$F$18-SQRT((1-J722)*(Inputs!$F$18-Inputs!$D$18)*(Inputs!$F$18-Inputs!$E$18)))</f>
        <v>0.962957953687271</v>
      </c>
      <c r="L722" s="81" t="n">
        <f aca="true">RAND()</f>
        <v>0.486256080919871</v>
      </c>
      <c r="M722" s="83" t="n">
        <f aca="false">IF(L722&lt;(Inputs!$E$24-Inputs!$D$24)/(Inputs!$F$24-Inputs!$D$24),Inputs!$D$24+SQRT(L722*(Inputs!$F$24-Inputs!$D$24)*(Inputs!$E$24-Inputs!$D$24)),Inputs!$F$24-SQRT((1-L722)*(Inputs!$F$24-Inputs!$D$24)*(Inputs!$F$24-Inputs!$E$24)))</f>
        <v>0.848861080796744</v>
      </c>
      <c r="N722" s="81" t="n">
        <f aca="true">RAND()</f>
        <v>0.12344438791554</v>
      </c>
      <c r="O722" s="83" t="n">
        <f aca="false">IF(N722&lt;(Inputs!$E$26-Inputs!$D$26)/(Inputs!$F$26-Inputs!$D$26),Inputs!$D$26+SQRT(N722*(Inputs!$F$26-Inputs!$D$26)*(Inputs!$E$26-Inputs!$D$26)),Inputs!$F$26-SQRT((1-N722)*(Inputs!$F$26-Inputs!$D$26)*(Inputs!$F$26-Inputs!$E$26)))</f>
        <v>0.443321827190229</v>
      </c>
      <c r="P722" s="81" t="n">
        <f aca="true">RAND()</f>
        <v>0.674323187854719</v>
      </c>
      <c r="Q722" s="82" t="n">
        <f aca="false">IF(P722&lt;(Inputs!$E$27-Inputs!$D$27)/(Inputs!$F$27-Inputs!$D$27),Inputs!$D$27+SQRT(P722*(Inputs!$F$27-Inputs!$D$27)*(Inputs!$E$27-Inputs!$D$27)),Inputs!$F$27-SQRT((1-P722)*(Inputs!$F$27-Inputs!$D$27)*(Inputs!$F$27-Inputs!$E$27)))</f>
        <v>100.577575018119</v>
      </c>
      <c r="R722" s="81" t="n">
        <f aca="true">RAND()</f>
        <v>0.122773294875818</v>
      </c>
      <c r="S722" s="82" t="n">
        <f aca="false">IF(R722&lt;(Inputs!$E$29-Inputs!$D$29)/(Inputs!$F$29-Inputs!$D$29),Inputs!$D$29+SQRT(R722*(Inputs!$F$29-Inputs!$D$29)*(Inputs!$E$29-Inputs!$D$29)),Inputs!$F$29-SQRT((1-R722)*(Inputs!$F$29-Inputs!$D$29)*(Inputs!$F$29-Inputs!$E$29)))</f>
        <v>4.18818612100455</v>
      </c>
      <c r="T722" s="68" t="n">
        <f aca="false">Inputs!$E$9*(1+E722)+Inputs!$E$5*C722*(Inputs!$E$11*Inputs!$E$14*(G722*I722/Inputs!$E$16+(1-G722))*K722+Inputs!$E$23*M722)*(1+O722)+Inputs!$E$5*(Q722+S722)</f>
        <v>6017.02980868097</v>
      </c>
    </row>
    <row r="723" customFormat="false" ht="15" hidden="false" customHeight="false" outlineLevel="0" collapsed="false">
      <c r="A723" s="1" t="n">
        <v>719</v>
      </c>
      <c r="B723" s="81" t="n">
        <f aca="true">RAND()</f>
        <v>0.609921502939927</v>
      </c>
      <c r="C723" s="82" t="n">
        <f aca="false">ROUND(IF(B723&lt;(Inputs!$E$8-Inputs!$D$8)/(Inputs!$F$8-Inputs!$D$8),Inputs!$D$8+SQRT(B723*(Inputs!$F$8-Inputs!$D$8)*(Inputs!$E$8-Inputs!$D$8)),Inputs!$F$8-SQRT((1-B723)*(Inputs!$F$8-Inputs!$D$8)*(Inputs!$F$8-Inputs!$E$8))),0)</f>
        <v>26</v>
      </c>
      <c r="D723" s="81" t="n">
        <f aca="true">RAND()</f>
        <v>0.525963752282483</v>
      </c>
      <c r="E723" s="83" t="n">
        <f aca="false">IF(D723&lt;(Inputs!$E$10-Inputs!$D$10)/(Inputs!$F$10-Inputs!$D$10),Inputs!$D$10+SQRT(D723*(Inputs!$F$10-Inputs!$D$10)*(Inputs!$E$10-Inputs!$D$10)),Inputs!$F$10-SQRT((1-D723)*(Inputs!$F$10-Inputs!$D$10)*(Inputs!$F$10-Inputs!$E$10)))</f>
        <v>0.0807477990495541</v>
      </c>
      <c r="F723" s="81" t="n">
        <f aca="true">RAND()</f>
        <v>0.0305152286313353</v>
      </c>
      <c r="G723" s="83" t="n">
        <f aca="false">IF(F723&lt;(Inputs!$E$15-Inputs!$D$15)/(Inputs!$F$15-Inputs!$D$15),Inputs!$D$15+SQRT(F723*(Inputs!$F$15-Inputs!$D$15)*(Inputs!$E$15-Inputs!$D$15)),Inputs!$F$15-SQRT((1-F723)*(Inputs!$F$15-Inputs!$D$15)*(Inputs!$F$15-Inputs!$E$15)))</f>
        <v>0.624704343193591</v>
      </c>
      <c r="H723" s="81" t="n">
        <f aca="true">RAND()</f>
        <v>0.177455150493143</v>
      </c>
      <c r="I723" s="82" t="n">
        <f aca="false">ROUND(IF(H723&lt;(Inputs!$E$17-Inputs!$D$17)/(Inputs!$F$17-Inputs!$D$17),Inputs!$D$17+SQRT(H723*(Inputs!$F$17-Inputs!$D$17)*(Inputs!$E$17-Inputs!$D$17)),Inputs!$F$17-SQRT((1-H723)*(Inputs!$F$17-Inputs!$D$17)*(Inputs!$F$17-Inputs!$E$17))),0)</f>
        <v>104</v>
      </c>
      <c r="J723" s="81" t="n">
        <f aca="true">RAND()</f>
        <v>0.999819597158808</v>
      </c>
      <c r="K723" s="83" t="n">
        <f aca="false">IF(J723&lt;(Inputs!$E$18-Inputs!$D$18)/(Inputs!$F$18-Inputs!$D$18),Inputs!$D$18+SQRT(J723*(Inputs!$F$18-Inputs!$D$18)*(Inputs!$E$18-Inputs!$D$18)),Inputs!$F$18-SQRT((1-J723)*(Inputs!$F$18-Inputs!$D$18)*(Inputs!$F$18-Inputs!$E$18)))</f>
        <v>1.2460269346086</v>
      </c>
      <c r="L723" s="81" t="n">
        <f aca="true">RAND()</f>
        <v>0.740197443675408</v>
      </c>
      <c r="M723" s="83" t="n">
        <f aca="false">IF(L723&lt;(Inputs!$E$24-Inputs!$D$24)/(Inputs!$F$24-Inputs!$D$24),Inputs!$D$24+SQRT(L723*(Inputs!$F$24-Inputs!$D$24)*(Inputs!$E$24-Inputs!$D$24)),Inputs!$F$24-SQRT((1-L723)*(Inputs!$F$24-Inputs!$D$24)*(Inputs!$F$24-Inputs!$E$24)))</f>
        <v>0.950294946951604</v>
      </c>
      <c r="N723" s="81" t="n">
        <f aca="true">RAND()</f>
        <v>0.97284584329467</v>
      </c>
      <c r="O723" s="83" t="n">
        <f aca="false">IF(N723&lt;(Inputs!$E$26-Inputs!$D$26)/(Inputs!$F$26-Inputs!$D$26),Inputs!$D$26+SQRT(N723*(Inputs!$F$26-Inputs!$D$26)*(Inputs!$E$26-Inputs!$D$26)),Inputs!$F$26-SQRT((1-N723)*(Inputs!$F$26-Inputs!$D$26)*(Inputs!$F$26-Inputs!$E$26)))</f>
        <v>0.766858375096782</v>
      </c>
      <c r="P723" s="81" t="n">
        <f aca="true">RAND()</f>
        <v>0.49488300901611</v>
      </c>
      <c r="Q723" s="82" t="n">
        <f aca="false">IF(P723&lt;(Inputs!$E$27-Inputs!$D$27)/(Inputs!$F$27-Inputs!$D$27),Inputs!$D$27+SQRT(P723*(Inputs!$F$27-Inputs!$D$27)*(Inputs!$E$27-Inputs!$D$27)),Inputs!$F$27-SQRT((1-P723)*(Inputs!$F$27-Inputs!$D$27)*(Inputs!$F$27-Inputs!$E$27)))</f>
        <v>88.4502036365743</v>
      </c>
      <c r="R723" s="81" t="n">
        <f aca="true">RAND()</f>
        <v>0.250838626579178</v>
      </c>
      <c r="S723" s="82" t="n">
        <f aca="false">IF(R723&lt;(Inputs!$E$29-Inputs!$D$29)/(Inputs!$F$29-Inputs!$D$29),Inputs!$D$29+SQRT(R723*(Inputs!$F$29-Inputs!$D$29)*(Inputs!$E$29-Inputs!$D$29)),Inputs!$F$29-SQRT((1-R723)*(Inputs!$F$29-Inputs!$D$29)*(Inputs!$F$29-Inputs!$E$29)))</f>
        <v>5.13131323099639</v>
      </c>
      <c r="T723" s="68" t="n">
        <f aca="false">Inputs!$E$9*(1+E723)+Inputs!$E$5*C723*(Inputs!$E$11*Inputs!$E$14*(G723*I723/Inputs!$E$16+(1-G723))*K723+Inputs!$E$23*M723)*(1+O723)+Inputs!$E$5*(Q723+S723)</f>
        <v>7604.40569908452</v>
      </c>
    </row>
    <row r="724" customFormat="false" ht="15" hidden="false" customHeight="false" outlineLevel="0" collapsed="false">
      <c r="A724" s="1" t="n">
        <v>720</v>
      </c>
      <c r="B724" s="81" t="n">
        <f aca="true">RAND()</f>
        <v>0.870032102460405</v>
      </c>
      <c r="C724" s="82" t="n">
        <f aca="false">ROUND(IF(B724&lt;(Inputs!$E$8-Inputs!$D$8)/(Inputs!$F$8-Inputs!$D$8),Inputs!$D$8+SQRT(B724*(Inputs!$F$8-Inputs!$D$8)*(Inputs!$E$8-Inputs!$D$8)),Inputs!$F$8-SQRT((1-B724)*(Inputs!$F$8-Inputs!$D$8)*(Inputs!$F$8-Inputs!$E$8))),0)</f>
        <v>27</v>
      </c>
      <c r="D724" s="81" t="n">
        <f aca="true">RAND()</f>
        <v>0.855998037255843</v>
      </c>
      <c r="E724" s="83" t="n">
        <f aca="false">IF(D724&lt;(Inputs!$E$10-Inputs!$D$10)/(Inputs!$F$10-Inputs!$D$10),Inputs!$D$10+SQRT(D724*(Inputs!$F$10-Inputs!$D$10)*(Inputs!$E$10-Inputs!$D$10)),Inputs!$F$10-SQRT((1-D724)*(Inputs!$F$10-Inputs!$D$10)*(Inputs!$F$10-Inputs!$E$10)))</f>
        <v>0.134272845167886</v>
      </c>
      <c r="F724" s="81" t="n">
        <f aca="true">RAND()</f>
        <v>0.0414853802236724</v>
      </c>
      <c r="G724" s="83" t="n">
        <f aca="false">IF(F724&lt;(Inputs!$E$15-Inputs!$D$15)/(Inputs!$F$15-Inputs!$D$15),Inputs!$D$15+SQRT(F724*(Inputs!$F$15-Inputs!$D$15)*(Inputs!$E$15-Inputs!$D$15)),Inputs!$F$15-SQRT((1-F724)*(Inputs!$F$15-Inputs!$D$15)*(Inputs!$F$15-Inputs!$E$15)))</f>
        <v>0.628804645536327</v>
      </c>
      <c r="H724" s="81" t="n">
        <f aca="true">RAND()</f>
        <v>0.495866552306935</v>
      </c>
      <c r="I724" s="82" t="n">
        <f aca="false">ROUND(IF(H724&lt;(Inputs!$E$17-Inputs!$D$17)/(Inputs!$F$17-Inputs!$D$17),Inputs!$D$17+SQRT(H724*(Inputs!$F$17-Inputs!$D$17)*(Inputs!$E$17-Inputs!$D$17)),Inputs!$F$17-SQRT((1-H724)*(Inputs!$F$17-Inputs!$D$17)*(Inputs!$F$17-Inputs!$E$17))),0)</f>
        <v>106</v>
      </c>
      <c r="J724" s="81" t="n">
        <f aca="true">RAND()</f>
        <v>0.803030126902073</v>
      </c>
      <c r="K724" s="83" t="n">
        <f aca="false">IF(J724&lt;(Inputs!$E$18-Inputs!$D$18)/(Inputs!$F$18-Inputs!$D$18),Inputs!$D$18+SQRT(J724*(Inputs!$F$18-Inputs!$D$18)*(Inputs!$E$18-Inputs!$D$18)),Inputs!$F$18-SQRT((1-J724)*(Inputs!$F$18-Inputs!$D$18)*(Inputs!$F$18-Inputs!$E$18)))</f>
        <v>1.11871837944301</v>
      </c>
      <c r="L724" s="81" t="n">
        <f aca="true">RAND()</f>
        <v>0.484909871785588</v>
      </c>
      <c r="M724" s="83" t="n">
        <f aca="false">IF(L724&lt;(Inputs!$E$24-Inputs!$D$24)/(Inputs!$F$24-Inputs!$D$24),Inputs!$D$24+SQRT(L724*(Inputs!$F$24-Inputs!$D$24)*(Inputs!$E$24-Inputs!$D$24)),Inputs!$F$24-SQRT((1-L724)*(Inputs!$F$24-Inputs!$D$24)*(Inputs!$F$24-Inputs!$E$24)))</f>
        <v>0.848401321431012</v>
      </c>
      <c r="N724" s="81" t="n">
        <f aca="true">RAND()</f>
        <v>0.564248386505769</v>
      </c>
      <c r="O724" s="83" t="n">
        <f aca="false">IF(N724&lt;(Inputs!$E$26-Inputs!$D$26)/(Inputs!$F$26-Inputs!$D$26),Inputs!$D$26+SQRT(N724*(Inputs!$F$26-Inputs!$D$26)*(Inputs!$E$26-Inputs!$D$26)),Inputs!$F$26-SQRT((1-N724)*(Inputs!$F$26-Inputs!$D$26)*(Inputs!$F$26-Inputs!$E$26)))</f>
        <v>0.606416271621727</v>
      </c>
      <c r="P724" s="81" t="n">
        <f aca="true">RAND()</f>
        <v>0.89849216489616</v>
      </c>
      <c r="Q724" s="82" t="n">
        <f aca="false">IF(P724&lt;(Inputs!$E$27-Inputs!$D$27)/(Inputs!$F$27-Inputs!$D$27),Inputs!$D$27+SQRT(P724*(Inputs!$F$27-Inputs!$D$27)*(Inputs!$E$27-Inputs!$D$27)),Inputs!$F$27-SQRT((1-P724)*(Inputs!$F$27-Inputs!$D$27)*(Inputs!$F$27-Inputs!$E$27)))</f>
        <v>122.408175789216</v>
      </c>
      <c r="R724" s="81" t="n">
        <f aca="true">RAND()</f>
        <v>0.598082291551145</v>
      </c>
      <c r="S724" s="82" t="n">
        <f aca="false">IF(R724&lt;(Inputs!$E$29-Inputs!$D$29)/(Inputs!$F$29-Inputs!$D$29),Inputs!$D$29+SQRT(R724*(Inputs!$F$29-Inputs!$D$29)*(Inputs!$E$29-Inputs!$D$29)),Inputs!$F$29-SQRT((1-R724)*(Inputs!$F$29-Inputs!$D$29)*(Inputs!$F$29-Inputs!$E$29)))</f>
        <v>7.77163212762721</v>
      </c>
      <c r="T724" s="68" t="n">
        <f aca="false">Inputs!$E$9*(1+E724)+Inputs!$E$5*C724*(Inputs!$E$11*Inputs!$E$14*(G724*I724/Inputs!$E$16+(1-G724))*K724+Inputs!$E$23*M724)*(1+O724)+Inputs!$E$5*(Q724+S724)</f>
        <v>7191.63059554003</v>
      </c>
    </row>
    <row r="725" customFormat="false" ht="15" hidden="false" customHeight="false" outlineLevel="0" collapsed="false">
      <c r="A725" s="1" t="n">
        <v>721</v>
      </c>
      <c r="B725" s="81" t="n">
        <f aca="true">RAND()</f>
        <v>0.202072570928977</v>
      </c>
      <c r="C725" s="82" t="n">
        <f aca="false">ROUND(IF(B725&lt;(Inputs!$E$8-Inputs!$D$8)/(Inputs!$F$8-Inputs!$D$8),Inputs!$D$8+SQRT(B725*(Inputs!$F$8-Inputs!$D$8)*(Inputs!$E$8-Inputs!$D$8)),Inputs!$F$8-SQRT((1-B725)*(Inputs!$F$8-Inputs!$D$8)*(Inputs!$F$8-Inputs!$E$8))),0)</f>
        <v>23</v>
      </c>
      <c r="D725" s="81" t="n">
        <f aca="true">RAND()</f>
        <v>0.204481207044411</v>
      </c>
      <c r="E725" s="83" t="n">
        <f aca="false">IF(D725&lt;(Inputs!$E$10-Inputs!$D$10)/(Inputs!$F$10-Inputs!$D$10),Inputs!$D$10+SQRT(D725*(Inputs!$F$10-Inputs!$D$10)*(Inputs!$E$10-Inputs!$D$10)),Inputs!$F$10-SQRT((1-D725)*(Inputs!$F$10-Inputs!$D$10)*(Inputs!$F$10-Inputs!$E$10)))</f>
        <v>0.04521959830034</v>
      </c>
      <c r="F725" s="81" t="n">
        <f aca="true">RAND()</f>
        <v>0.747054997699343</v>
      </c>
      <c r="G725" s="83" t="n">
        <f aca="false">IF(F725&lt;(Inputs!$E$15-Inputs!$D$15)/(Inputs!$F$15-Inputs!$D$15),Inputs!$D$15+SQRT(F725*(Inputs!$F$15-Inputs!$D$15)*(Inputs!$E$15-Inputs!$D$15)),Inputs!$F$15-SQRT((1-F725)*(Inputs!$F$15-Inputs!$D$15)*(Inputs!$F$15-Inputs!$E$15)))</f>
        <v>0.728874055043092</v>
      </c>
      <c r="H725" s="81" t="n">
        <f aca="true">RAND()</f>
        <v>0.371758952219639</v>
      </c>
      <c r="I725" s="82" t="n">
        <f aca="false">ROUND(IF(H725&lt;(Inputs!$E$17-Inputs!$D$17)/(Inputs!$F$17-Inputs!$D$17),Inputs!$D$17+SQRT(H725*(Inputs!$F$17-Inputs!$D$17)*(Inputs!$E$17-Inputs!$D$17)),Inputs!$F$17-SQRT((1-H725)*(Inputs!$F$17-Inputs!$D$17)*(Inputs!$F$17-Inputs!$E$17))),0)</f>
        <v>105</v>
      </c>
      <c r="J725" s="81" t="n">
        <f aca="true">RAND()</f>
        <v>0.0066149058626482</v>
      </c>
      <c r="K725" s="83" t="n">
        <f aca="false">IF(J725&lt;(Inputs!$E$18-Inputs!$D$18)/(Inputs!$F$18-Inputs!$D$18),Inputs!$D$18+SQRT(J725*(Inputs!$F$18-Inputs!$D$18)*(Inputs!$E$18-Inputs!$D$18)),Inputs!$F$18-SQRT((1-J725)*(Inputs!$F$18-Inputs!$D$18)*(Inputs!$F$18-Inputs!$E$18)))</f>
        <v>0.915215837314873</v>
      </c>
      <c r="L725" s="81" t="n">
        <f aca="true">RAND()</f>
        <v>0.966347697977668</v>
      </c>
      <c r="M725" s="83" t="n">
        <f aca="false">IF(L725&lt;(Inputs!$E$24-Inputs!$D$24)/(Inputs!$F$24-Inputs!$D$24),Inputs!$D$24+SQRT(L725*(Inputs!$F$24-Inputs!$D$24)*(Inputs!$E$24-Inputs!$D$24)),Inputs!$F$24-SQRT((1-L725)*(Inputs!$F$24-Inputs!$D$24)*(Inputs!$F$24-Inputs!$E$24)))</f>
        <v>1.11013035837748</v>
      </c>
      <c r="N725" s="81" t="n">
        <f aca="true">RAND()</f>
        <v>0.0363579879072092</v>
      </c>
      <c r="O725" s="83" t="n">
        <f aca="false">IF(N725&lt;(Inputs!$E$26-Inputs!$D$26)/(Inputs!$F$26-Inputs!$D$26),Inputs!$D$26+SQRT(N725*(Inputs!$F$26-Inputs!$D$26)*(Inputs!$E$26-Inputs!$D$26)),Inputs!$F$26-SQRT((1-N725)*(Inputs!$F$26-Inputs!$D$26)*(Inputs!$F$26-Inputs!$E$26)))</f>
        <v>0.377781547861685</v>
      </c>
      <c r="P725" s="81" t="n">
        <f aca="true">RAND()</f>
        <v>0.15711906721316</v>
      </c>
      <c r="Q725" s="82" t="n">
        <f aca="false">IF(P725&lt;(Inputs!$E$27-Inputs!$D$27)/(Inputs!$F$27-Inputs!$D$27),Inputs!$D$27+SQRT(P725*(Inputs!$F$27-Inputs!$D$27)*(Inputs!$E$27-Inputs!$D$27)),Inputs!$F$27-SQRT((1-P725)*(Inputs!$F$27-Inputs!$D$27)*(Inputs!$F$27-Inputs!$E$27)))</f>
        <v>69.8191237957913</v>
      </c>
      <c r="R725" s="81" t="n">
        <f aca="true">RAND()</f>
        <v>0.859918619456148</v>
      </c>
      <c r="S725" s="82" t="n">
        <f aca="false">IF(R725&lt;(Inputs!$E$29-Inputs!$D$29)/(Inputs!$F$29-Inputs!$D$29),Inputs!$D$29+SQRT(R725*(Inputs!$F$29-Inputs!$D$29)*(Inputs!$E$29-Inputs!$D$29)),Inputs!$F$29-SQRT((1-R725)*(Inputs!$F$29-Inputs!$D$29)*(Inputs!$F$29-Inputs!$E$29)))</f>
        <v>10.7326144455064</v>
      </c>
      <c r="T725" s="68" t="n">
        <f aca="false">Inputs!$E$9*(1+E725)+Inputs!$E$5*C725*(Inputs!$E$11*Inputs!$E$14*(G725*I725/Inputs!$E$16+(1-G725))*K725+Inputs!$E$23*M725)*(1+O725)+Inputs!$E$5*(Q725+S725)</f>
        <v>5485.97175951965</v>
      </c>
    </row>
    <row r="726" customFormat="false" ht="15" hidden="false" customHeight="false" outlineLevel="0" collapsed="false">
      <c r="A726" s="1" t="n">
        <v>722</v>
      </c>
      <c r="B726" s="81" t="n">
        <f aca="true">RAND()</f>
        <v>0.929934247241105</v>
      </c>
      <c r="C726" s="82" t="n">
        <f aca="false">ROUND(IF(B726&lt;(Inputs!$E$8-Inputs!$D$8)/(Inputs!$F$8-Inputs!$D$8),Inputs!$D$8+SQRT(B726*(Inputs!$F$8-Inputs!$D$8)*(Inputs!$E$8-Inputs!$D$8)),Inputs!$F$8-SQRT((1-B726)*(Inputs!$F$8-Inputs!$D$8)*(Inputs!$F$8-Inputs!$E$8))),0)</f>
        <v>28</v>
      </c>
      <c r="D726" s="81" t="n">
        <f aca="true">RAND()</f>
        <v>0.453079692526835</v>
      </c>
      <c r="E726" s="83" t="n">
        <f aca="false">IF(D726&lt;(Inputs!$E$10-Inputs!$D$10)/(Inputs!$F$10-Inputs!$D$10),Inputs!$D$10+SQRT(D726*(Inputs!$F$10-Inputs!$D$10)*(Inputs!$E$10-Inputs!$D$10)),Inputs!$F$10-SQRT((1-D726)*(Inputs!$F$10-Inputs!$D$10)*(Inputs!$F$10-Inputs!$E$10)))</f>
        <v>0.0719078096674315</v>
      </c>
      <c r="F726" s="81" t="n">
        <f aca="true">RAND()</f>
        <v>0.440191201959695</v>
      </c>
      <c r="G726" s="83" t="n">
        <f aca="false">IF(F726&lt;(Inputs!$E$15-Inputs!$D$15)/(Inputs!$F$15-Inputs!$D$15),Inputs!$D$15+SQRT(F726*(Inputs!$F$15-Inputs!$D$15)*(Inputs!$E$15-Inputs!$D$15)),Inputs!$F$15-SQRT((1-F726)*(Inputs!$F$15-Inputs!$D$15)*(Inputs!$F$15-Inputs!$E$15)))</f>
        <v>0.693828695180067</v>
      </c>
      <c r="H726" s="81" t="n">
        <f aca="true">RAND()</f>
        <v>0.381881528091077</v>
      </c>
      <c r="I726" s="82" t="n">
        <f aca="false">ROUND(IF(H726&lt;(Inputs!$E$17-Inputs!$D$17)/(Inputs!$F$17-Inputs!$D$17),Inputs!$D$17+SQRT(H726*(Inputs!$F$17-Inputs!$D$17)*(Inputs!$E$17-Inputs!$D$17)),Inputs!$F$17-SQRT((1-H726)*(Inputs!$F$17-Inputs!$D$17)*(Inputs!$F$17-Inputs!$E$17))),0)</f>
        <v>105</v>
      </c>
      <c r="J726" s="81" t="n">
        <f aca="true">RAND()</f>
        <v>0.90016988754219</v>
      </c>
      <c r="K726" s="83" t="n">
        <f aca="false">IF(J726&lt;(Inputs!$E$18-Inputs!$D$18)/(Inputs!$F$18-Inputs!$D$18),Inputs!$D$18+SQRT(J726*(Inputs!$F$18-Inputs!$D$18)*(Inputs!$E$18-Inputs!$D$18)),Inputs!$F$18-SQRT((1-J726)*(Inputs!$F$18-Inputs!$D$18)*(Inputs!$F$18-Inputs!$E$18)))</f>
        <v>1.15653805672864</v>
      </c>
      <c r="L726" s="81" t="n">
        <f aca="true">RAND()</f>
        <v>0.774840383165861</v>
      </c>
      <c r="M726" s="83" t="n">
        <f aca="false">IF(L726&lt;(Inputs!$E$24-Inputs!$D$24)/(Inputs!$F$24-Inputs!$D$24),Inputs!$D$24+SQRT(L726*(Inputs!$F$24-Inputs!$D$24)*(Inputs!$E$24-Inputs!$D$24)),Inputs!$F$24-SQRT((1-L726)*(Inputs!$F$24-Inputs!$D$24)*(Inputs!$F$24-Inputs!$E$24)))</f>
        <v>0.967538588062033</v>
      </c>
      <c r="N726" s="81" t="n">
        <f aca="true">RAND()</f>
        <v>0.572205767990563</v>
      </c>
      <c r="O726" s="83" t="n">
        <f aca="false">IF(N726&lt;(Inputs!$E$26-Inputs!$D$26)/(Inputs!$F$26-Inputs!$D$26),Inputs!$D$26+SQRT(N726*(Inputs!$F$26-Inputs!$D$26)*(Inputs!$E$26-Inputs!$D$26)),Inputs!$F$26-SQRT((1-N726)*(Inputs!$F$26-Inputs!$D$26)*(Inputs!$F$26-Inputs!$E$26)))</f>
        <v>0.608569343573904</v>
      </c>
      <c r="P726" s="81" t="n">
        <f aca="true">RAND()</f>
        <v>0.906905481717345</v>
      </c>
      <c r="Q726" s="82" t="n">
        <f aca="false">IF(P726&lt;(Inputs!$E$27-Inputs!$D$27)/(Inputs!$F$27-Inputs!$D$27),Inputs!$D$27+SQRT(P726*(Inputs!$F$27-Inputs!$D$27)*(Inputs!$E$27-Inputs!$D$27)),Inputs!$F$27-SQRT((1-P726)*(Inputs!$F$27-Inputs!$D$27)*(Inputs!$F$27-Inputs!$E$27)))</f>
        <v>123.576357421432</v>
      </c>
      <c r="R726" s="81" t="n">
        <f aca="true">RAND()</f>
        <v>0.703597263773179</v>
      </c>
      <c r="S726" s="82" t="n">
        <f aca="false">IF(R726&lt;(Inputs!$E$29-Inputs!$D$29)/(Inputs!$F$29-Inputs!$D$29),Inputs!$D$29+SQRT(R726*(Inputs!$F$29-Inputs!$D$29)*(Inputs!$E$29-Inputs!$D$29)),Inputs!$F$29-SQRT((1-R726)*(Inputs!$F$29-Inputs!$D$29)*(Inputs!$F$29-Inputs!$E$29)))</f>
        <v>8.79255642720075</v>
      </c>
      <c r="T726" s="68" t="n">
        <f aca="false">Inputs!$E$9*(1+E726)+Inputs!$E$5*C726*(Inputs!$E$11*Inputs!$E$14*(G726*I726/Inputs!$E$16+(1-G726))*K726+Inputs!$E$23*M726)*(1+O726)+Inputs!$E$5*(Q726+S726)</f>
        <v>7381.64887541403</v>
      </c>
    </row>
    <row r="727" customFormat="false" ht="15" hidden="false" customHeight="false" outlineLevel="0" collapsed="false">
      <c r="A727" s="1" t="n">
        <v>723</v>
      </c>
      <c r="B727" s="81" t="n">
        <f aca="true">RAND()</f>
        <v>0.492930720594238</v>
      </c>
      <c r="C727" s="82" t="n">
        <f aca="false">ROUND(IF(B727&lt;(Inputs!$E$8-Inputs!$D$8)/(Inputs!$F$8-Inputs!$D$8),Inputs!$D$8+SQRT(B727*(Inputs!$F$8-Inputs!$D$8)*(Inputs!$E$8-Inputs!$D$8)),Inputs!$F$8-SQRT((1-B727)*(Inputs!$F$8-Inputs!$D$8)*(Inputs!$F$8-Inputs!$E$8))),0)</f>
        <v>25</v>
      </c>
      <c r="D727" s="81" t="n">
        <f aca="true">RAND()</f>
        <v>0.766012320951469</v>
      </c>
      <c r="E727" s="83" t="n">
        <f aca="false">IF(D727&lt;(Inputs!$E$10-Inputs!$D$10)/(Inputs!$F$10-Inputs!$D$10),Inputs!$D$10+SQRT(D727*(Inputs!$F$10-Inputs!$D$10)*(Inputs!$E$10-Inputs!$D$10)),Inputs!$F$10-SQRT((1-D727)*(Inputs!$F$10-Inputs!$D$10)*(Inputs!$F$10-Inputs!$E$10)))</f>
        <v>0.116216765570575</v>
      </c>
      <c r="F727" s="81" t="n">
        <f aca="true">RAND()</f>
        <v>0.244652961501599</v>
      </c>
      <c r="G727" s="83" t="n">
        <f aca="false">IF(F727&lt;(Inputs!$E$15-Inputs!$D$15)/(Inputs!$F$15-Inputs!$D$15),Inputs!$D$15+SQRT(F727*(Inputs!$F$15-Inputs!$D$15)*(Inputs!$E$15-Inputs!$D$15)),Inputs!$F$15-SQRT((1-F727)*(Inputs!$F$15-Inputs!$D$15)*(Inputs!$F$15-Inputs!$E$15)))</f>
        <v>0.669950405502985</v>
      </c>
      <c r="H727" s="81" t="n">
        <f aca="true">RAND()</f>
        <v>0.684643555359111</v>
      </c>
      <c r="I727" s="82" t="n">
        <f aca="false">ROUND(IF(H727&lt;(Inputs!$E$17-Inputs!$D$17)/(Inputs!$F$17-Inputs!$D$17),Inputs!$D$17+SQRT(H727*(Inputs!$F$17-Inputs!$D$17)*(Inputs!$E$17-Inputs!$D$17)),Inputs!$F$17-SQRT((1-H727)*(Inputs!$F$17-Inputs!$D$17)*(Inputs!$F$17-Inputs!$E$17))),0)</f>
        <v>108</v>
      </c>
      <c r="J727" s="81" t="n">
        <f aca="true">RAND()</f>
        <v>0.994253537741268</v>
      </c>
      <c r="K727" s="83" t="n">
        <f aca="false">IF(J727&lt;(Inputs!$E$18-Inputs!$D$18)/(Inputs!$F$18-Inputs!$D$18),Inputs!$D$18+SQRT(J727*(Inputs!$F$18-Inputs!$D$18)*(Inputs!$E$18-Inputs!$D$18)),Inputs!$F$18-SQRT((1-J727)*(Inputs!$F$18-Inputs!$D$18)*(Inputs!$F$18-Inputs!$E$18)))</f>
        <v>1.22757645327699</v>
      </c>
      <c r="L727" s="81" t="n">
        <f aca="true">RAND()</f>
        <v>0.982297826590883</v>
      </c>
      <c r="M727" s="83" t="n">
        <f aca="false">IF(L727&lt;(Inputs!$E$24-Inputs!$D$24)/(Inputs!$F$24-Inputs!$D$24),Inputs!$D$24+SQRT(L727*(Inputs!$F$24-Inputs!$D$24)*(Inputs!$E$24-Inputs!$D$24)),Inputs!$F$24-SQRT((1-L727)*(Inputs!$F$24-Inputs!$D$24)*(Inputs!$F$24-Inputs!$E$24)))</f>
        <v>1.1348193156051</v>
      </c>
      <c r="N727" s="81" t="n">
        <f aca="true">RAND()</f>
        <v>0.838656870369481</v>
      </c>
      <c r="O727" s="83" t="n">
        <f aca="false">IF(N727&lt;(Inputs!$E$26-Inputs!$D$26)/(Inputs!$F$26-Inputs!$D$26),Inputs!$D$26+SQRT(N727*(Inputs!$F$26-Inputs!$D$26)*(Inputs!$E$26-Inputs!$D$26)),Inputs!$F$26-SQRT((1-N727)*(Inputs!$F$26-Inputs!$D$26)*(Inputs!$F$26-Inputs!$E$26)))</f>
        <v>0.690463574692004</v>
      </c>
      <c r="P727" s="81" t="n">
        <f aca="true">RAND()</f>
        <v>0.90994385164704</v>
      </c>
      <c r="Q727" s="82" t="n">
        <f aca="false">IF(P727&lt;(Inputs!$E$27-Inputs!$D$27)/(Inputs!$F$27-Inputs!$D$27),Inputs!$D$27+SQRT(P727*(Inputs!$F$27-Inputs!$D$27)*(Inputs!$E$27-Inputs!$D$27)),Inputs!$F$27-SQRT((1-P727)*(Inputs!$F$27-Inputs!$D$27)*(Inputs!$F$27-Inputs!$E$27)))</f>
        <v>124.01113483341</v>
      </c>
      <c r="R727" s="81" t="n">
        <f aca="true">RAND()</f>
        <v>0.673500265781946</v>
      </c>
      <c r="S727" s="82" t="n">
        <f aca="false">IF(R727&lt;(Inputs!$E$29-Inputs!$D$29)/(Inputs!$F$29-Inputs!$D$29),Inputs!$D$29+SQRT(R727*(Inputs!$F$29-Inputs!$D$29)*(Inputs!$E$29-Inputs!$D$29)),Inputs!$F$29-SQRT((1-R727)*(Inputs!$F$29-Inputs!$D$29)*(Inputs!$F$29-Inputs!$E$29)))</f>
        <v>8.48501991957404</v>
      </c>
      <c r="T727" s="68" t="n">
        <f aca="false">Inputs!$E$9*(1+E727)+Inputs!$E$5*C727*(Inputs!$E$11*Inputs!$E$14*(G727*I727/Inputs!$E$16+(1-G727))*K727+Inputs!$E$23*M727)*(1+O727)+Inputs!$E$5*(Q727+S727)</f>
        <v>7709.25041343655</v>
      </c>
    </row>
    <row r="728" customFormat="false" ht="15" hidden="false" customHeight="false" outlineLevel="0" collapsed="false">
      <c r="A728" s="1" t="n">
        <v>724</v>
      </c>
      <c r="B728" s="81" t="n">
        <f aca="true">RAND()</f>
        <v>0.308139820762078</v>
      </c>
      <c r="C728" s="82" t="n">
        <f aca="false">ROUND(IF(B728&lt;(Inputs!$E$8-Inputs!$D$8)/(Inputs!$F$8-Inputs!$D$8),Inputs!$D$8+SQRT(B728*(Inputs!$F$8-Inputs!$D$8)*(Inputs!$E$8-Inputs!$D$8)),Inputs!$F$8-SQRT((1-B728)*(Inputs!$F$8-Inputs!$D$8)*(Inputs!$F$8-Inputs!$E$8))),0)</f>
        <v>24</v>
      </c>
      <c r="D728" s="81" t="n">
        <f aca="true">RAND()</f>
        <v>0.0508607223662678</v>
      </c>
      <c r="E728" s="83" t="n">
        <f aca="false">IF(D728&lt;(Inputs!$E$10-Inputs!$D$10)/(Inputs!$F$10-Inputs!$D$10),Inputs!$D$10+SQRT(D728*(Inputs!$F$10-Inputs!$D$10)*(Inputs!$E$10-Inputs!$D$10)),Inputs!$F$10-SQRT((1-D728)*(Inputs!$F$10-Inputs!$D$10)*(Inputs!$F$10-Inputs!$E$10)))</f>
        <v>0.0225523219128913</v>
      </c>
      <c r="F728" s="81" t="n">
        <f aca="true">RAND()</f>
        <v>0.503362994734185</v>
      </c>
      <c r="G728" s="83" t="n">
        <f aca="false">IF(F728&lt;(Inputs!$E$15-Inputs!$D$15)/(Inputs!$F$15-Inputs!$D$15),Inputs!$D$15+SQRT(F728*(Inputs!$F$15-Inputs!$D$15)*(Inputs!$E$15-Inputs!$D$15)),Inputs!$F$15-SQRT((1-F728)*(Inputs!$F$15-Inputs!$D$15)*(Inputs!$F$15-Inputs!$E$15)))</f>
        <v>0.700336866869859</v>
      </c>
      <c r="H728" s="81" t="n">
        <f aca="true">RAND()</f>
        <v>0.00783355965446958</v>
      </c>
      <c r="I728" s="82" t="n">
        <f aca="false">ROUND(IF(H728&lt;(Inputs!$E$17-Inputs!$D$17)/(Inputs!$F$17-Inputs!$D$17),Inputs!$D$17+SQRT(H728*(Inputs!$F$17-Inputs!$D$17)*(Inputs!$E$17-Inputs!$D$17)),Inputs!$F$17-SQRT((1-H728)*(Inputs!$F$17-Inputs!$D$17)*(Inputs!$F$17-Inputs!$E$17))),0)</f>
        <v>101</v>
      </c>
      <c r="J728" s="81" t="n">
        <f aca="true">RAND()</f>
        <v>0.657159753016822</v>
      </c>
      <c r="K728" s="83" t="n">
        <f aca="false">IF(J728&lt;(Inputs!$E$18-Inputs!$D$18)/(Inputs!$F$18-Inputs!$D$18),Inputs!$D$18+SQRT(J728*(Inputs!$F$18-Inputs!$D$18)*(Inputs!$E$18-Inputs!$D$18)),Inputs!$F$18-SQRT((1-J728)*(Inputs!$F$18-Inputs!$D$18)*(Inputs!$F$18-Inputs!$E$18)))</f>
        <v>1.07679918703705</v>
      </c>
      <c r="L728" s="81" t="n">
        <f aca="true">RAND()</f>
        <v>0.289942765901234</v>
      </c>
      <c r="M728" s="83" t="n">
        <f aca="false">IF(L728&lt;(Inputs!$E$24-Inputs!$D$24)/(Inputs!$F$24-Inputs!$D$24),Inputs!$D$24+SQRT(L728*(Inputs!$F$24-Inputs!$D$24)*(Inputs!$E$24-Inputs!$D$24)),Inputs!$F$24-SQRT((1-L728)*(Inputs!$F$24-Inputs!$D$24)*(Inputs!$F$24-Inputs!$E$24)))</f>
        <v>0.786529171735008</v>
      </c>
      <c r="N728" s="81" t="n">
        <f aca="true">RAND()</f>
        <v>0.149472185972812</v>
      </c>
      <c r="O728" s="83" t="n">
        <f aca="false">IF(N728&lt;(Inputs!$E$26-Inputs!$D$26)/(Inputs!$F$26-Inputs!$D$26),Inputs!$D$26+SQRT(N728*(Inputs!$F$26-Inputs!$D$26)*(Inputs!$E$26-Inputs!$D$26)),Inputs!$F$26-SQRT((1-N728)*(Inputs!$F$26-Inputs!$D$26)*(Inputs!$F$26-Inputs!$E$26)))</f>
        <v>0.457709136532656</v>
      </c>
      <c r="P728" s="81" t="n">
        <f aca="true">RAND()</f>
        <v>0.254962916581761</v>
      </c>
      <c r="Q728" s="82" t="n">
        <f aca="false">IF(P728&lt;(Inputs!$E$27-Inputs!$D$27)/(Inputs!$F$27-Inputs!$D$27),Inputs!$D$27+SQRT(P728*(Inputs!$F$27-Inputs!$D$27)*(Inputs!$E$27-Inputs!$D$27)),Inputs!$F$27-SQRT((1-P728)*(Inputs!$F$27-Inputs!$D$27)*(Inputs!$F$27-Inputs!$E$27)))</f>
        <v>75.2485577019627</v>
      </c>
      <c r="R728" s="81" t="n">
        <f aca="true">RAND()</f>
        <v>0.0588446879753584</v>
      </c>
      <c r="S728" s="82" t="n">
        <f aca="false">IF(R728&lt;(Inputs!$E$29-Inputs!$D$29)/(Inputs!$F$29-Inputs!$D$29),Inputs!$D$29+SQRT(R728*(Inputs!$F$29-Inputs!$D$29)*(Inputs!$E$29-Inputs!$D$29)),Inputs!$F$29-SQRT((1-R728)*(Inputs!$F$29-Inputs!$D$29)*(Inputs!$F$29-Inputs!$E$29)))</f>
        <v>3.51490687206804</v>
      </c>
      <c r="T728" s="68" t="n">
        <f aca="false">Inputs!$E$9*(1+E728)+Inputs!$E$5*C728*(Inputs!$E$11*Inputs!$E$14*(G728*I728/Inputs!$E$16+(1-G728))*K728+Inputs!$E$23*M728)*(1+O728)+Inputs!$E$5*(Q728+S728)</f>
        <v>5603.0909172251</v>
      </c>
    </row>
    <row r="729" customFormat="false" ht="15" hidden="false" customHeight="false" outlineLevel="0" collapsed="false">
      <c r="A729" s="1" t="n">
        <v>725</v>
      </c>
      <c r="B729" s="81" t="n">
        <f aca="true">RAND()</f>
        <v>0.398700265797431</v>
      </c>
      <c r="C729" s="82" t="n">
        <f aca="false">ROUND(IF(B729&lt;(Inputs!$E$8-Inputs!$D$8)/(Inputs!$F$8-Inputs!$D$8),Inputs!$D$8+SQRT(B729*(Inputs!$F$8-Inputs!$D$8)*(Inputs!$E$8-Inputs!$D$8)),Inputs!$F$8-SQRT((1-B729)*(Inputs!$F$8-Inputs!$D$8)*(Inputs!$F$8-Inputs!$E$8))),0)</f>
        <v>24</v>
      </c>
      <c r="D729" s="81" t="n">
        <f aca="true">RAND()</f>
        <v>0.655157841802277</v>
      </c>
      <c r="E729" s="83" t="n">
        <f aca="false">IF(D729&lt;(Inputs!$E$10-Inputs!$D$10)/(Inputs!$F$10-Inputs!$D$10),Inputs!$D$10+SQRT(D729*(Inputs!$F$10-Inputs!$D$10)*(Inputs!$E$10-Inputs!$D$10)),Inputs!$F$10-SQRT((1-D729)*(Inputs!$F$10-Inputs!$D$10)*(Inputs!$F$10-Inputs!$E$10)))</f>
        <v>0.0982883254196861</v>
      </c>
      <c r="F729" s="81" t="n">
        <f aca="true">RAND()</f>
        <v>0.640109533679382</v>
      </c>
      <c r="G729" s="83" t="n">
        <f aca="false">IF(F729&lt;(Inputs!$E$15-Inputs!$D$15)/(Inputs!$F$15-Inputs!$D$15),Inputs!$D$15+SQRT(F729*(Inputs!$F$15-Inputs!$D$15)*(Inputs!$E$15-Inputs!$D$15)),Inputs!$F$15-SQRT((1-F729)*(Inputs!$F$15-Inputs!$D$15)*(Inputs!$F$15-Inputs!$E$15)))</f>
        <v>0.715160095907572</v>
      </c>
      <c r="H729" s="81" t="n">
        <f aca="true">RAND()</f>
        <v>0.939416638266102</v>
      </c>
      <c r="I729" s="82" t="n">
        <f aca="false">ROUND(IF(H729&lt;(Inputs!$E$17-Inputs!$D$17)/(Inputs!$F$17-Inputs!$D$17),Inputs!$D$17+SQRT(H729*(Inputs!$F$17-Inputs!$D$17)*(Inputs!$E$17-Inputs!$D$17)),Inputs!$F$17-SQRT((1-H729)*(Inputs!$F$17-Inputs!$D$17)*(Inputs!$F$17-Inputs!$E$17))),0)</f>
        <v>112</v>
      </c>
      <c r="J729" s="81" t="n">
        <f aca="true">RAND()</f>
        <v>0.32412469379057</v>
      </c>
      <c r="K729" s="83" t="n">
        <f aca="false">IF(J729&lt;(Inputs!$E$18-Inputs!$D$18)/(Inputs!$F$18-Inputs!$D$18),Inputs!$D$18+SQRT(J729*(Inputs!$F$18-Inputs!$D$18)*(Inputs!$E$18-Inputs!$D$18)),Inputs!$F$18-SQRT((1-J729)*(Inputs!$F$18-Inputs!$D$18)*(Inputs!$F$18-Inputs!$E$18)))</f>
        <v>1.00681470173276</v>
      </c>
      <c r="L729" s="81" t="n">
        <f aca="true">RAND()</f>
        <v>0.319593619221214</v>
      </c>
      <c r="M729" s="83" t="n">
        <f aca="false">IF(L729&lt;(Inputs!$E$24-Inputs!$D$24)/(Inputs!$F$24-Inputs!$D$24),Inputs!$D$24+SQRT(L729*(Inputs!$F$24-Inputs!$D$24)*(Inputs!$E$24-Inputs!$D$24)),Inputs!$F$24-SQRT((1-L729)*(Inputs!$F$24-Inputs!$D$24)*(Inputs!$F$24-Inputs!$E$24)))</f>
        <v>0.795834711699805</v>
      </c>
      <c r="N729" s="81" t="n">
        <f aca="true">RAND()</f>
        <v>0.507860503257764</v>
      </c>
      <c r="O729" s="83" t="n">
        <f aca="false">IF(N729&lt;(Inputs!$E$26-Inputs!$D$26)/(Inputs!$F$26-Inputs!$D$26),Inputs!$D$26+SQRT(N729*(Inputs!$F$26-Inputs!$D$26)*(Inputs!$E$26-Inputs!$D$26)),Inputs!$F$26-SQRT((1-N729)*(Inputs!$F$26-Inputs!$D$26)*(Inputs!$F$26-Inputs!$E$26)))</f>
        <v>0.590702576084375</v>
      </c>
      <c r="P729" s="81" t="n">
        <f aca="true">RAND()</f>
        <v>0.844246320670969</v>
      </c>
      <c r="Q729" s="82" t="n">
        <f aca="false">IF(P729&lt;(Inputs!$E$27-Inputs!$D$27)/(Inputs!$F$27-Inputs!$D$27),Inputs!$D$27+SQRT(P729*(Inputs!$F$27-Inputs!$D$27)*(Inputs!$E$27-Inputs!$D$27)),Inputs!$F$27-SQRT((1-P729)*(Inputs!$F$27-Inputs!$D$27)*(Inputs!$F$27-Inputs!$E$27)))</f>
        <v>115.821752605382</v>
      </c>
      <c r="R729" s="81" t="n">
        <f aca="true">RAND()</f>
        <v>0.592686823666942</v>
      </c>
      <c r="S729" s="82" t="n">
        <f aca="false">IF(R729&lt;(Inputs!$E$29-Inputs!$D$29)/(Inputs!$F$29-Inputs!$D$29),Inputs!$D$29+SQRT(R729*(Inputs!$F$29-Inputs!$D$29)*(Inputs!$E$29-Inputs!$D$29)),Inputs!$F$29-SQRT((1-R729)*(Inputs!$F$29-Inputs!$D$29)*(Inputs!$F$29-Inputs!$E$29)))</f>
        <v>7.72327594838876</v>
      </c>
      <c r="T729" s="68" t="n">
        <f aca="false">Inputs!$E$9*(1+E729)+Inputs!$E$5*C729*(Inputs!$E$11*Inputs!$E$14*(G729*I729/Inputs!$E$16+(1-G729))*K729+Inputs!$E$23*M729)*(1+O729)+Inputs!$E$5*(Q729+S729)</f>
        <v>6241.92603135782</v>
      </c>
    </row>
    <row r="730" customFormat="false" ht="15" hidden="false" customHeight="false" outlineLevel="0" collapsed="false">
      <c r="A730" s="1" t="n">
        <v>726</v>
      </c>
      <c r="B730" s="81" t="n">
        <f aca="true">RAND()</f>
        <v>0.625973295458792</v>
      </c>
      <c r="C730" s="82" t="n">
        <f aca="false">ROUND(IF(B730&lt;(Inputs!$E$8-Inputs!$D$8)/(Inputs!$F$8-Inputs!$D$8),Inputs!$D$8+SQRT(B730*(Inputs!$F$8-Inputs!$D$8)*(Inputs!$E$8-Inputs!$D$8)),Inputs!$F$8-SQRT((1-B730)*(Inputs!$F$8-Inputs!$D$8)*(Inputs!$F$8-Inputs!$E$8))),0)</f>
        <v>26</v>
      </c>
      <c r="D730" s="81" t="n">
        <f aca="true">RAND()</f>
        <v>0.212266292428116</v>
      </c>
      <c r="E730" s="83" t="n">
        <f aca="false">IF(D730&lt;(Inputs!$E$10-Inputs!$D$10)/(Inputs!$F$10-Inputs!$D$10),Inputs!$D$10+SQRT(D730*(Inputs!$F$10-Inputs!$D$10)*(Inputs!$E$10-Inputs!$D$10)),Inputs!$F$10-SQRT((1-D730)*(Inputs!$F$10-Inputs!$D$10)*(Inputs!$F$10-Inputs!$E$10)))</f>
        <v>0.0460723661675973</v>
      </c>
      <c r="F730" s="81" t="n">
        <f aca="true">RAND()</f>
        <v>0.182077239798388</v>
      </c>
      <c r="G730" s="83" t="n">
        <f aca="false">IF(F730&lt;(Inputs!$E$15-Inputs!$D$15)/(Inputs!$F$15-Inputs!$D$15),Inputs!$D$15+SQRT(F730*(Inputs!$F$15-Inputs!$D$15)*(Inputs!$E$15-Inputs!$D$15)),Inputs!$F$15-SQRT((1-F730)*(Inputs!$F$15-Inputs!$D$15)*(Inputs!$F$15-Inputs!$E$15)))</f>
        <v>0.660345213529888</v>
      </c>
      <c r="H730" s="81" t="n">
        <f aca="true">RAND()</f>
        <v>0.638511548516728</v>
      </c>
      <c r="I730" s="82" t="n">
        <f aca="false">ROUND(IF(H730&lt;(Inputs!$E$17-Inputs!$D$17)/(Inputs!$F$17-Inputs!$D$17),Inputs!$D$17+SQRT(H730*(Inputs!$F$17-Inputs!$D$17)*(Inputs!$E$17-Inputs!$D$17)),Inputs!$F$17-SQRT((1-H730)*(Inputs!$F$17-Inputs!$D$17)*(Inputs!$F$17-Inputs!$E$17))),0)</f>
        <v>108</v>
      </c>
      <c r="J730" s="81" t="n">
        <f aca="true">RAND()</f>
        <v>0.0119615373492848</v>
      </c>
      <c r="K730" s="83" t="n">
        <f aca="false">IF(J730&lt;(Inputs!$E$18-Inputs!$D$18)/(Inputs!$F$18-Inputs!$D$18),Inputs!$D$18+SQRT(J730*(Inputs!$F$18-Inputs!$D$18)*(Inputs!$E$18-Inputs!$D$18)),Inputs!$F$18-SQRT((1-J730)*(Inputs!$F$18-Inputs!$D$18)*(Inputs!$F$18-Inputs!$E$18)))</f>
        <v>0.920461031431112</v>
      </c>
      <c r="L730" s="81" t="n">
        <f aca="true">RAND()</f>
        <v>0.896991207391465</v>
      </c>
      <c r="M730" s="83" t="n">
        <f aca="false">IF(L730&lt;(Inputs!$E$24-Inputs!$D$24)/(Inputs!$F$24-Inputs!$D$24),Inputs!$D$24+SQRT(L730*(Inputs!$F$24-Inputs!$D$24)*(Inputs!$E$24-Inputs!$D$24)),Inputs!$F$24-SQRT((1-L730)*(Inputs!$F$24-Inputs!$D$24)*(Inputs!$F$24-Inputs!$E$24)))</f>
        <v>1.04276733727991</v>
      </c>
      <c r="N730" s="81" t="n">
        <f aca="true">RAND()</f>
        <v>0.772839799510337</v>
      </c>
      <c r="O730" s="83" t="n">
        <f aca="false">IF(N730&lt;(Inputs!$E$26-Inputs!$D$26)/(Inputs!$F$26-Inputs!$D$26),Inputs!$D$26+SQRT(N730*(Inputs!$F$26-Inputs!$D$26)*(Inputs!$E$26-Inputs!$D$26)),Inputs!$F$26-SQRT((1-N730)*(Inputs!$F$26-Inputs!$D$26)*(Inputs!$F$26-Inputs!$E$26)))</f>
        <v>0.666296841766589</v>
      </c>
      <c r="P730" s="81" t="n">
        <f aca="true">RAND()</f>
        <v>0.144326545755657</v>
      </c>
      <c r="Q730" s="82" t="n">
        <f aca="false">IF(P730&lt;(Inputs!$E$27-Inputs!$D$27)/(Inputs!$F$27-Inputs!$D$27),Inputs!$D$27+SQRT(P730*(Inputs!$F$27-Inputs!$D$27)*(Inputs!$E$27-Inputs!$D$27)),Inputs!$F$27-SQRT((1-P730)*(Inputs!$F$27-Inputs!$D$27)*(Inputs!$F$27-Inputs!$E$27)))</f>
        <v>68.9951668692102</v>
      </c>
      <c r="R730" s="81" t="n">
        <f aca="true">RAND()</f>
        <v>0.110121052617446</v>
      </c>
      <c r="S730" s="82" t="n">
        <f aca="false">IF(R730&lt;(Inputs!$E$29-Inputs!$D$29)/(Inputs!$F$29-Inputs!$D$29),Inputs!$D$29+SQRT(R730*(Inputs!$F$29-Inputs!$D$29)*(Inputs!$E$29-Inputs!$D$29)),Inputs!$F$29-SQRT((1-R730)*(Inputs!$F$29-Inputs!$D$29)*(Inputs!$F$29-Inputs!$E$29)))</f>
        <v>4.07237087705854</v>
      </c>
      <c r="T730" s="68" t="n">
        <f aca="false">Inputs!$E$9*(1+E730)+Inputs!$E$5*C730*(Inputs!$E$11*Inputs!$E$14*(G730*I730/Inputs!$E$16+(1-G730))*K730+Inputs!$E$23*M730)*(1+O730)+Inputs!$E$5*(Q730+S730)</f>
        <v>6504.31860595811</v>
      </c>
    </row>
    <row r="731" customFormat="false" ht="15" hidden="false" customHeight="false" outlineLevel="0" collapsed="false">
      <c r="A731" s="1" t="n">
        <v>727</v>
      </c>
      <c r="B731" s="81" t="n">
        <f aca="true">RAND()</f>
        <v>0.348604577175567</v>
      </c>
      <c r="C731" s="82" t="n">
        <f aca="false">ROUND(IF(B731&lt;(Inputs!$E$8-Inputs!$D$8)/(Inputs!$F$8-Inputs!$D$8),Inputs!$D$8+SQRT(B731*(Inputs!$F$8-Inputs!$D$8)*(Inputs!$E$8-Inputs!$D$8)),Inputs!$F$8-SQRT((1-B731)*(Inputs!$F$8-Inputs!$D$8)*(Inputs!$F$8-Inputs!$E$8))),0)</f>
        <v>24</v>
      </c>
      <c r="D731" s="81" t="n">
        <f aca="true">RAND()</f>
        <v>0.3859609522789</v>
      </c>
      <c r="E731" s="83" t="n">
        <f aca="false">IF(D731&lt;(Inputs!$E$10-Inputs!$D$10)/(Inputs!$F$10-Inputs!$D$10),Inputs!$D$10+SQRT(D731*(Inputs!$F$10-Inputs!$D$10)*(Inputs!$E$10-Inputs!$D$10)),Inputs!$F$10-SQRT((1-D731)*(Inputs!$F$10-Inputs!$D$10)*(Inputs!$F$10-Inputs!$E$10)))</f>
        <v>0.0642753838405391</v>
      </c>
      <c r="F731" s="81" t="n">
        <f aca="true">RAND()</f>
        <v>0.541507822137859</v>
      </c>
      <c r="G731" s="83" t="n">
        <f aca="false">IF(F731&lt;(Inputs!$E$15-Inputs!$D$15)/(Inputs!$F$15-Inputs!$D$15),Inputs!$D$15+SQRT(F731*(Inputs!$F$15-Inputs!$D$15)*(Inputs!$E$15-Inputs!$D$15)),Inputs!$F$15-SQRT((1-F731)*(Inputs!$F$15-Inputs!$D$15)*(Inputs!$F$15-Inputs!$E$15)))</f>
        <v>0.704240699891641</v>
      </c>
      <c r="H731" s="81" t="n">
        <f aca="true">RAND()</f>
        <v>0.459314631148097</v>
      </c>
      <c r="I731" s="82" t="n">
        <f aca="false">ROUND(IF(H731&lt;(Inputs!$E$17-Inputs!$D$17)/(Inputs!$F$17-Inputs!$D$17),Inputs!$D$17+SQRT(H731*(Inputs!$F$17-Inputs!$D$17)*(Inputs!$E$17-Inputs!$D$17)),Inputs!$F$17-SQRT((1-H731)*(Inputs!$F$17-Inputs!$D$17)*(Inputs!$F$17-Inputs!$E$17))),0)</f>
        <v>106</v>
      </c>
      <c r="J731" s="81" t="n">
        <f aca="true">RAND()</f>
        <v>0.774215180650204</v>
      </c>
      <c r="K731" s="83" t="n">
        <f aca="false">IF(J731&lt;(Inputs!$E$18-Inputs!$D$18)/(Inputs!$F$18-Inputs!$D$18),Inputs!$D$18+SQRT(J731*(Inputs!$F$18-Inputs!$D$18)*(Inputs!$E$18-Inputs!$D$18)),Inputs!$F$18-SQRT((1-J731)*(Inputs!$F$18-Inputs!$D$18)*(Inputs!$F$18-Inputs!$E$18)))</f>
        <v>1.10944335059092</v>
      </c>
      <c r="L731" s="81" t="n">
        <f aca="true">RAND()</f>
        <v>0.331214582283201</v>
      </c>
      <c r="M731" s="83" t="n">
        <f aca="false">IF(L731&lt;(Inputs!$E$24-Inputs!$D$24)/(Inputs!$F$24-Inputs!$D$24),Inputs!$D$24+SQRT(L731*(Inputs!$F$24-Inputs!$D$24)*(Inputs!$E$24-Inputs!$D$24)),Inputs!$F$24-SQRT((1-L731)*(Inputs!$F$24-Inputs!$D$24)*(Inputs!$F$24-Inputs!$E$24)))</f>
        <v>0.799363361413235</v>
      </c>
      <c r="N731" s="81" t="n">
        <f aca="true">RAND()</f>
        <v>0.202672358271986</v>
      </c>
      <c r="O731" s="83" t="n">
        <f aca="false">IF(N731&lt;(Inputs!$E$26-Inputs!$D$26)/(Inputs!$F$26-Inputs!$D$26),Inputs!$D$26+SQRT(N731*(Inputs!$F$26-Inputs!$D$26)*(Inputs!$E$26-Inputs!$D$26)),Inputs!$F$26-SQRT((1-N731)*(Inputs!$F$26-Inputs!$D$26)*(Inputs!$F$26-Inputs!$E$26)))</f>
        <v>0.483642806601453</v>
      </c>
      <c r="P731" s="81" t="n">
        <f aca="true">RAND()</f>
        <v>0.892978324886894</v>
      </c>
      <c r="Q731" s="82" t="n">
        <f aca="false">IF(P731&lt;(Inputs!$E$27-Inputs!$D$27)/(Inputs!$F$27-Inputs!$D$27),Inputs!$D$27+SQRT(P731*(Inputs!$F$27-Inputs!$D$27)*(Inputs!$E$27-Inputs!$D$27)),Inputs!$F$27-SQRT((1-P731)*(Inputs!$F$27-Inputs!$D$27)*(Inputs!$F$27-Inputs!$E$27)))</f>
        <v>121.668699935437</v>
      </c>
      <c r="R731" s="81" t="n">
        <f aca="true">RAND()</f>
        <v>0.458733807154763</v>
      </c>
      <c r="S731" s="82" t="n">
        <f aca="false">IF(R731&lt;(Inputs!$E$29-Inputs!$D$29)/(Inputs!$F$29-Inputs!$D$29),Inputs!$D$29+SQRT(R731*(Inputs!$F$29-Inputs!$D$29)*(Inputs!$E$29-Inputs!$D$29)),Inputs!$F$29-SQRT((1-R731)*(Inputs!$F$29-Inputs!$D$29)*(Inputs!$F$29-Inputs!$E$29)))</f>
        <v>6.6116387136771</v>
      </c>
      <c r="T731" s="68" t="n">
        <f aca="false">Inputs!$E$9*(1+E731)+Inputs!$E$5*C731*(Inputs!$E$11*Inputs!$E$14*(G731*I731/Inputs!$E$16+(1-G731))*K731+Inputs!$E$23*M731)*(1+O731)+Inputs!$E$5*(Q731+S731)</f>
        <v>6124.97815354435</v>
      </c>
    </row>
    <row r="732" customFormat="false" ht="15" hidden="false" customHeight="false" outlineLevel="0" collapsed="false">
      <c r="A732" s="1" t="n">
        <v>728</v>
      </c>
      <c r="B732" s="81" t="n">
        <f aca="true">RAND()</f>
        <v>0.751561171524901</v>
      </c>
      <c r="C732" s="82" t="n">
        <f aca="false">ROUND(IF(B732&lt;(Inputs!$E$8-Inputs!$D$8)/(Inputs!$F$8-Inputs!$D$8),Inputs!$D$8+SQRT(B732*(Inputs!$F$8-Inputs!$D$8)*(Inputs!$E$8-Inputs!$D$8)),Inputs!$F$8-SQRT((1-B732)*(Inputs!$F$8-Inputs!$D$8)*(Inputs!$F$8-Inputs!$E$8))),0)</f>
        <v>26</v>
      </c>
      <c r="D732" s="81" t="n">
        <f aca="true">RAND()</f>
        <v>0.58721512898774</v>
      </c>
      <c r="E732" s="83" t="n">
        <f aca="false">IF(D732&lt;(Inputs!$E$10-Inputs!$D$10)/(Inputs!$F$10-Inputs!$D$10),Inputs!$D$10+SQRT(D732*(Inputs!$F$10-Inputs!$D$10)*(Inputs!$E$10-Inputs!$D$10)),Inputs!$F$10-SQRT((1-D732)*(Inputs!$F$10-Inputs!$D$10)*(Inputs!$F$10-Inputs!$E$10)))</f>
        <v>0.0887186173236161</v>
      </c>
      <c r="F732" s="81" t="n">
        <f aca="true">RAND()</f>
        <v>0.0109688749371165</v>
      </c>
      <c r="G732" s="83" t="n">
        <f aca="false">IF(F732&lt;(Inputs!$E$15-Inputs!$D$15)/(Inputs!$F$15-Inputs!$D$15),Inputs!$D$15+SQRT(F732*(Inputs!$F$15-Inputs!$D$15)*(Inputs!$E$15-Inputs!$D$15)),Inputs!$F$15-SQRT((1-F732)*(Inputs!$F$15-Inputs!$D$15)*(Inputs!$F$15-Inputs!$E$15)))</f>
        <v>0.614811397595849</v>
      </c>
      <c r="H732" s="81" t="n">
        <f aca="true">RAND()</f>
        <v>0.646000903514735</v>
      </c>
      <c r="I732" s="82" t="n">
        <f aca="false">ROUND(IF(H732&lt;(Inputs!$E$17-Inputs!$D$17)/(Inputs!$F$17-Inputs!$D$17),Inputs!$D$17+SQRT(H732*(Inputs!$F$17-Inputs!$D$17)*(Inputs!$E$17-Inputs!$D$17)),Inputs!$F$17-SQRT((1-H732)*(Inputs!$F$17-Inputs!$D$17)*(Inputs!$F$17-Inputs!$E$17))),0)</f>
        <v>108</v>
      </c>
      <c r="J732" s="81" t="n">
        <f aca="true">RAND()</f>
        <v>0.666467529507033</v>
      </c>
      <c r="K732" s="83" t="n">
        <f aca="false">IF(J732&lt;(Inputs!$E$18-Inputs!$D$18)/(Inputs!$F$18-Inputs!$D$18),Inputs!$D$18+SQRT(J732*(Inputs!$F$18-Inputs!$D$18)*(Inputs!$E$18-Inputs!$D$18)),Inputs!$F$18-SQRT((1-J732)*(Inputs!$F$18-Inputs!$D$18)*(Inputs!$F$18-Inputs!$E$18)))</f>
        <v>1.07916648113402</v>
      </c>
      <c r="L732" s="81" t="n">
        <f aca="true">RAND()</f>
        <v>0.0640422009809988</v>
      </c>
      <c r="M732" s="83" t="n">
        <f aca="false">IF(L732&lt;(Inputs!$E$24-Inputs!$D$24)/(Inputs!$F$24-Inputs!$D$24),Inputs!$D$24+SQRT(L732*(Inputs!$F$24-Inputs!$D$24)*(Inputs!$E$24-Inputs!$D$24)),Inputs!$F$24-SQRT((1-L732)*(Inputs!$F$24-Inputs!$D$24)*(Inputs!$F$24-Inputs!$E$24)))</f>
        <v>0.687664497476001</v>
      </c>
      <c r="N732" s="81" t="n">
        <f aca="true">RAND()</f>
        <v>0.872001105780164</v>
      </c>
      <c r="O732" s="83" t="n">
        <f aca="false">IF(N732&lt;(Inputs!$E$26-Inputs!$D$26)/(Inputs!$F$26-Inputs!$D$26),Inputs!$D$26+SQRT(N732*(Inputs!$F$26-Inputs!$D$26)*(Inputs!$E$26-Inputs!$D$26)),Inputs!$F$26-SQRT((1-N732)*(Inputs!$F$26-Inputs!$D$26)*(Inputs!$F$26-Inputs!$E$26)))</f>
        <v>0.704622857554614</v>
      </c>
      <c r="P732" s="81" t="n">
        <f aca="true">RAND()</f>
        <v>0.0878223443283763</v>
      </c>
      <c r="Q732" s="82" t="n">
        <f aca="false">IF(P732&lt;(Inputs!$E$27-Inputs!$D$27)/(Inputs!$F$27-Inputs!$D$27),Inputs!$D$27+SQRT(P732*(Inputs!$F$27-Inputs!$D$27)*(Inputs!$E$27-Inputs!$D$27)),Inputs!$F$27-SQRT((1-P732)*(Inputs!$F$27-Inputs!$D$27)*(Inputs!$F$27-Inputs!$E$27)))</f>
        <v>64.8174174814959</v>
      </c>
      <c r="R732" s="81" t="n">
        <f aca="true">RAND()</f>
        <v>0.62132927561925</v>
      </c>
      <c r="S732" s="82" t="n">
        <f aca="false">IF(R732&lt;(Inputs!$E$29-Inputs!$D$29)/(Inputs!$F$29-Inputs!$D$29),Inputs!$D$29+SQRT(R732*(Inputs!$F$29-Inputs!$D$29)*(Inputs!$E$29-Inputs!$D$29)),Inputs!$F$29-SQRT((1-R732)*(Inputs!$F$29-Inputs!$D$29)*(Inputs!$F$29-Inputs!$E$29)))</f>
        <v>7.98379061248187</v>
      </c>
      <c r="T732" s="68" t="n">
        <f aca="false">Inputs!$E$9*(1+E732)+Inputs!$E$5*C732*(Inputs!$E$11*Inputs!$E$14*(G732*I732/Inputs!$E$16+(1-G732))*K732+Inputs!$E$23*M732)*(1+O732)+Inputs!$E$5*(Q732+S732)</f>
        <v>6586.60454569329</v>
      </c>
    </row>
    <row r="733" customFormat="false" ht="15" hidden="false" customHeight="false" outlineLevel="0" collapsed="false">
      <c r="A733" s="1" t="n">
        <v>729</v>
      </c>
      <c r="B733" s="81" t="n">
        <f aca="true">RAND()</f>
        <v>0.226825833975755</v>
      </c>
      <c r="C733" s="82" t="n">
        <f aca="false">ROUND(IF(B733&lt;(Inputs!$E$8-Inputs!$D$8)/(Inputs!$F$8-Inputs!$D$8),Inputs!$D$8+SQRT(B733*(Inputs!$F$8-Inputs!$D$8)*(Inputs!$E$8-Inputs!$D$8)),Inputs!$F$8-SQRT((1-B733)*(Inputs!$F$8-Inputs!$D$8)*(Inputs!$F$8-Inputs!$E$8))),0)</f>
        <v>23</v>
      </c>
      <c r="D733" s="81" t="n">
        <f aca="true">RAND()</f>
        <v>0.058579460669168</v>
      </c>
      <c r="E733" s="83" t="n">
        <f aca="false">IF(D733&lt;(Inputs!$E$10-Inputs!$D$10)/(Inputs!$F$10-Inputs!$D$10),Inputs!$D$10+SQRT(D733*(Inputs!$F$10-Inputs!$D$10)*(Inputs!$E$10-Inputs!$D$10)),Inputs!$F$10-SQRT((1-D733)*(Inputs!$F$10-Inputs!$D$10)*(Inputs!$F$10-Inputs!$E$10)))</f>
        <v>0.0242031941423375</v>
      </c>
      <c r="F733" s="81" t="n">
        <f aca="true">RAND()</f>
        <v>0.85391176255067</v>
      </c>
      <c r="G733" s="83" t="n">
        <f aca="false">IF(F733&lt;(Inputs!$E$15-Inputs!$D$15)/(Inputs!$F$15-Inputs!$D$15),Inputs!$D$15+SQRT(F733*(Inputs!$F$15-Inputs!$D$15)*(Inputs!$E$15-Inputs!$D$15)),Inputs!$F$15-SQRT((1-F733)*(Inputs!$F$15-Inputs!$D$15)*(Inputs!$F$15-Inputs!$E$15)))</f>
        <v>0.74594664904942</v>
      </c>
      <c r="H733" s="81" t="n">
        <f aca="true">RAND()</f>
        <v>0.376729348447406</v>
      </c>
      <c r="I733" s="82" t="n">
        <f aca="false">ROUND(IF(H733&lt;(Inputs!$E$17-Inputs!$D$17)/(Inputs!$F$17-Inputs!$D$17),Inputs!$D$17+SQRT(H733*(Inputs!$F$17-Inputs!$D$17)*(Inputs!$E$17-Inputs!$D$17)),Inputs!$F$17-SQRT((1-H733)*(Inputs!$F$17-Inputs!$D$17)*(Inputs!$F$17-Inputs!$E$17))),0)</f>
        <v>105</v>
      </c>
      <c r="J733" s="81" t="n">
        <f aca="true">RAND()</f>
        <v>0.88882843681347</v>
      </c>
      <c r="K733" s="83" t="n">
        <f aca="false">IF(J733&lt;(Inputs!$E$18-Inputs!$D$18)/(Inputs!$F$18-Inputs!$D$18),Inputs!$D$18+SQRT(J733*(Inputs!$F$18-Inputs!$D$18)*(Inputs!$E$18-Inputs!$D$18)),Inputs!$F$18-SQRT((1-J733)*(Inputs!$F$18-Inputs!$D$18)*(Inputs!$F$18-Inputs!$E$18)))</f>
        <v>1.15137185098147</v>
      </c>
      <c r="L733" s="81" t="n">
        <f aca="true">RAND()</f>
        <v>0.186826758094818</v>
      </c>
      <c r="M733" s="83" t="n">
        <f aca="false">IF(L733&lt;(Inputs!$E$24-Inputs!$D$24)/(Inputs!$F$24-Inputs!$D$24),Inputs!$D$24+SQRT(L733*(Inputs!$F$24-Inputs!$D$24)*(Inputs!$E$24-Inputs!$D$24)),Inputs!$F$24-SQRT((1-L733)*(Inputs!$F$24-Inputs!$D$24)*(Inputs!$F$24-Inputs!$E$24)))</f>
        <v>0.749730461067139</v>
      </c>
      <c r="N733" s="81" t="n">
        <f aca="true">RAND()</f>
        <v>0.491784513563294</v>
      </c>
      <c r="O733" s="83" t="n">
        <f aca="false">IF(N733&lt;(Inputs!$E$26-Inputs!$D$26)/(Inputs!$F$26-Inputs!$D$26),Inputs!$D$26+SQRT(N733*(Inputs!$F$26-Inputs!$D$26)*(Inputs!$E$26-Inputs!$D$26)),Inputs!$F$26-SQRT((1-N733)*(Inputs!$F$26-Inputs!$D$26)*(Inputs!$F$26-Inputs!$E$26)))</f>
        <v>0.586064578472995</v>
      </c>
      <c r="P733" s="81" t="n">
        <f aca="true">RAND()</f>
        <v>0.0962996346502687</v>
      </c>
      <c r="Q733" s="82" t="n">
        <f aca="false">IF(P733&lt;(Inputs!$E$27-Inputs!$D$27)/(Inputs!$F$27-Inputs!$D$27),Inputs!$D$27+SQRT(P733*(Inputs!$F$27-Inputs!$D$27)*(Inputs!$E$27-Inputs!$D$27)),Inputs!$F$27-SQRT((1-P733)*(Inputs!$F$27-Inputs!$D$27)*(Inputs!$F$27-Inputs!$E$27)))</f>
        <v>65.5160912160786</v>
      </c>
      <c r="R733" s="81" t="n">
        <f aca="true">RAND()</f>
        <v>0.352528957094146</v>
      </c>
      <c r="S733" s="82" t="n">
        <f aca="false">IF(R733&lt;(Inputs!$E$29-Inputs!$D$29)/(Inputs!$F$29-Inputs!$D$29),Inputs!$D$29+SQRT(R733*(Inputs!$F$29-Inputs!$D$29)*(Inputs!$E$29-Inputs!$D$29)),Inputs!$F$29-SQRT((1-R733)*(Inputs!$F$29-Inputs!$D$29)*(Inputs!$F$29-Inputs!$E$29)))</f>
        <v>5.82551169940465</v>
      </c>
      <c r="T733" s="68" t="n">
        <f aca="false">Inputs!$E$9*(1+E733)+Inputs!$E$5*C733*(Inputs!$E$11*Inputs!$E$14*(G733*I733/Inputs!$E$16+(1-G733))*K733+Inputs!$E$23*M733)*(1+O733)+Inputs!$E$5*(Q733+S733)</f>
        <v>5776.24930294654</v>
      </c>
    </row>
    <row r="734" customFormat="false" ht="15" hidden="false" customHeight="false" outlineLevel="0" collapsed="false">
      <c r="A734" s="1" t="n">
        <v>730</v>
      </c>
      <c r="B734" s="81" t="n">
        <f aca="true">RAND()</f>
        <v>0.812475237533795</v>
      </c>
      <c r="C734" s="82" t="n">
        <f aca="false">ROUND(IF(B734&lt;(Inputs!$E$8-Inputs!$D$8)/(Inputs!$F$8-Inputs!$D$8),Inputs!$D$8+SQRT(B734*(Inputs!$F$8-Inputs!$D$8)*(Inputs!$E$8-Inputs!$D$8)),Inputs!$F$8-SQRT((1-B734)*(Inputs!$F$8-Inputs!$D$8)*(Inputs!$F$8-Inputs!$E$8))),0)</f>
        <v>27</v>
      </c>
      <c r="D734" s="81" t="n">
        <f aca="true">RAND()</f>
        <v>0.695953759880296</v>
      </c>
      <c r="E734" s="83" t="n">
        <f aca="false">IF(D734&lt;(Inputs!$E$10-Inputs!$D$10)/(Inputs!$F$10-Inputs!$D$10),Inputs!$D$10+SQRT(D734*(Inputs!$F$10-Inputs!$D$10)*(Inputs!$E$10-Inputs!$D$10)),Inputs!$F$10-SQRT((1-D734)*(Inputs!$F$10-Inputs!$D$10)*(Inputs!$F$10-Inputs!$E$10)))</f>
        <v>0.104494046240084</v>
      </c>
      <c r="F734" s="81" t="n">
        <f aca="true">RAND()</f>
        <v>0.737064727573332</v>
      </c>
      <c r="G734" s="83" t="n">
        <f aca="false">IF(F734&lt;(Inputs!$E$15-Inputs!$D$15)/(Inputs!$F$15-Inputs!$D$15),Inputs!$D$15+SQRT(F734*(Inputs!$F$15-Inputs!$D$15)*(Inputs!$E$15-Inputs!$D$15)),Inputs!$F$15-SQRT((1-F734)*(Inputs!$F$15-Inputs!$D$15)*(Inputs!$F$15-Inputs!$E$15)))</f>
        <v>0.727483067849409</v>
      </c>
      <c r="H734" s="81" t="n">
        <f aca="true">RAND()</f>
        <v>0.701872864679211</v>
      </c>
      <c r="I734" s="82" t="n">
        <f aca="false">ROUND(IF(H734&lt;(Inputs!$E$17-Inputs!$D$17)/(Inputs!$F$17-Inputs!$D$17),Inputs!$D$17+SQRT(H734*(Inputs!$F$17-Inputs!$D$17)*(Inputs!$E$17-Inputs!$D$17)),Inputs!$F$17-SQRT((1-H734)*(Inputs!$F$17-Inputs!$D$17)*(Inputs!$F$17-Inputs!$E$17))),0)</f>
        <v>108</v>
      </c>
      <c r="J734" s="81" t="n">
        <f aca="true">RAND()</f>
        <v>0.990908408761601</v>
      </c>
      <c r="K734" s="83" t="n">
        <f aca="false">IF(J734&lt;(Inputs!$E$18-Inputs!$D$18)/(Inputs!$F$18-Inputs!$D$18),Inputs!$D$18+SQRT(J734*(Inputs!$F$18-Inputs!$D$18)*(Inputs!$E$18-Inputs!$D$18)),Inputs!$F$18-SQRT((1-J734)*(Inputs!$F$18-Inputs!$D$18)*(Inputs!$F$18-Inputs!$E$18)))</f>
        <v>1.2217951381255</v>
      </c>
      <c r="L734" s="81" t="n">
        <f aca="true">RAND()</f>
        <v>0.164831977970097</v>
      </c>
      <c r="M734" s="83" t="n">
        <f aca="false">IF(L734&lt;(Inputs!$E$24-Inputs!$D$24)/(Inputs!$F$24-Inputs!$D$24),Inputs!$D$24+SQRT(L734*(Inputs!$F$24-Inputs!$D$24)*(Inputs!$E$24-Inputs!$D$24)),Inputs!$F$24-SQRT((1-L734)*(Inputs!$F$24-Inputs!$D$24)*(Inputs!$F$24-Inputs!$E$24)))</f>
        <v>0.740640809711874</v>
      </c>
      <c r="N734" s="81" t="n">
        <f aca="true">RAND()</f>
        <v>0.507812516963231</v>
      </c>
      <c r="O734" s="83" t="n">
        <f aca="false">IF(N734&lt;(Inputs!$E$26-Inputs!$D$26)/(Inputs!$F$26-Inputs!$D$26),Inputs!$D$26+SQRT(N734*(Inputs!$F$26-Inputs!$D$26)*(Inputs!$E$26-Inputs!$D$26)),Inputs!$F$26-SQRT((1-N734)*(Inputs!$F$26-Inputs!$D$26)*(Inputs!$F$26-Inputs!$E$26)))</f>
        <v>0.590688841930133</v>
      </c>
      <c r="P734" s="81" t="n">
        <f aca="true">RAND()</f>
        <v>0.113511218702032</v>
      </c>
      <c r="Q734" s="82" t="n">
        <f aca="false">IF(P734&lt;(Inputs!$E$27-Inputs!$D$27)/(Inputs!$F$27-Inputs!$D$27),Inputs!$D$27+SQRT(P734*(Inputs!$F$27-Inputs!$D$27)*(Inputs!$E$27-Inputs!$D$27)),Inputs!$F$27-SQRT((1-P734)*(Inputs!$F$27-Inputs!$D$27)*(Inputs!$F$27-Inputs!$E$27)))</f>
        <v>66.8457130082131</v>
      </c>
      <c r="R734" s="81" t="n">
        <f aca="true">RAND()</f>
        <v>0.392184550932415</v>
      </c>
      <c r="S734" s="82" t="n">
        <f aca="false">IF(R734&lt;(Inputs!$E$29-Inputs!$D$29)/(Inputs!$F$29-Inputs!$D$29),Inputs!$D$29+SQRT(R734*(Inputs!$F$29-Inputs!$D$29)*(Inputs!$E$29-Inputs!$D$29)),Inputs!$F$29-SQRT((1-R734)*(Inputs!$F$29-Inputs!$D$29)*(Inputs!$F$29-Inputs!$E$29)))</f>
        <v>6.11090508663643</v>
      </c>
      <c r="T734" s="68" t="n">
        <f aca="false">Inputs!$E$9*(1+E734)+Inputs!$E$5*C734*(Inputs!$E$11*Inputs!$E$14*(G734*I734/Inputs!$E$16+(1-G734))*K734+Inputs!$E$23*M734)*(1+O734)+Inputs!$E$5*(Q734+S734)</f>
        <v>6746.27656317278</v>
      </c>
    </row>
    <row r="735" customFormat="false" ht="15" hidden="false" customHeight="false" outlineLevel="0" collapsed="false">
      <c r="A735" s="1" t="n">
        <v>731</v>
      </c>
      <c r="B735" s="81" t="n">
        <f aca="true">RAND()</f>
        <v>0.33167015307821</v>
      </c>
      <c r="C735" s="82" t="n">
        <f aca="false">ROUND(IF(B735&lt;(Inputs!$E$8-Inputs!$D$8)/(Inputs!$F$8-Inputs!$D$8),Inputs!$D$8+SQRT(B735*(Inputs!$F$8-Inputs!$D$8)*(Inputs!$E$8-Inputs!$D$8)),Inputs!$F$8-SQRT((1-B735)*(Inputs!$F$8-Inputs!$D$8)*(Inputs!$F$8-Inputs!$E$8))),0)</f>
        <v>24</v>
      </c>
      <c r="D735" s="81" t="n">
        <f aca="true">RAND()</f>
        <v>0.511879583778453</v>
      </c>
      <c r="E735" s="83" t="n">
        <f aca="false">IF(D735&lt;(Inputs!$E$10-Inputs!$D$10)/(Inputs!$F$10-Inputs!$D$10),Inputs!$D$10+SQRT(D735*(Inputs!$F$10-Inputs!$D$10)*(Inputs!$E$10-Inputs!$D$10)),Inputs!$F$10-SQRT((1-D735)*(Inputs!$F$10-Inputs!$D$10)*(Inputs!$F$10-Inputs!$E$10)))</f>
        <v>0.0789892050821647</v>
      </c>
      <c r="F735" s="81" t="n">
        <f aca="true">RAND()</f>
        <v>0.512398561431365</v>
      </c>
      <c r="G735" s="83" t="n">
        <f aca="false">IF(F735&lt;(Inputs!$E$15-Inputs!$D$15)/(Inputs!$F$15-Inputs!$D$15),Inputs!$D$15+SQRT(F735*(Inputs!$F$15-Inputs!$D$15)*(Inputs!$E$15-Inputs!$D$15)),Inputs!$F$15-SQRT((1-F735)*(Inputs!$F$15-Inputs!$D$15)*(Inputs!$F$15-Inputs!$E$15)))</f>
        <v>0.701247639160511</v>
      </c>
      <c r="H735" s="81" t="n">
        <f aca="true">RAND()</f>
        <v>0.269212512222122</v>
      </c>
      <c r="I735" s="82" t="n">
        <f aca="false">ROUND(IF(H735&lt;(Inputs!$E$17-Inputs!$D$17)/(Inputs!$F$17-Inputs!$D$17),Inputs!$D$17+SQRT(H735*(Inputs!$F$17-Inputs!$D$17)*(Inputs!$E$17-Inputs!$D$17)),Inputs!$F$17-SQRT((1-H735)*(Inputs!$F$17-Inputs!$D$17)*(Inputs!$F$17-Inputs!$E$17))),0)</f>
        <v>104</v>
      </c>
      <c r="J735" s="81" t="n">
        <f aca="true">RAND()</f>
        <v>0.827346231991621</v>
      </c>
      <c r="K735" s="83" t="n">
        <f aca="false">IF(J735&lt;(Inputs!$E$18-Inputs!$D$18)/(Inputs!$F$18-Inputs!$D$18),Inputs!$D$18+SQRT(J735*(Inputs!$F$18-Inputs!$D$18)*(Inputs!$E$18-Inputs!$D$18)),Inputs!$F$18-SQRT((1-J735)*(Inputs!$F$18-Inputs!$D$18)*(Inputs!$F$18-Inputs!$E$18)))</f>
        <v>1.12708863071004</v>
      </c>
      <c r="L735" s="81" t="n">
        <f aca="true">RAND()</f>
        <v>0.239580530542025</v>
      </c>
      <c r="M735" s="83" t="n">
        <f aca="false">IF(L735&lt;(Inputs!$E$24-Inputs!$D$24)/(Inputs!$F$24-Inputs!$D$24),Inputs!$D$24+SQRT(L735*(Inputs!$F$24-Inputs!$D$24)*(Inputs!$E$24-Inputs!$D$24)),Inputs!$F$24-SQRT((1-L735)*(Inputs!$F$24-Inputs!$D$24)*(Inputs!$F$24-Inputs!$E$24)))</f>
        <v>0.769557257777551</v>
      </c>
      <c r="N735" s="81" t="n">
        <f aca="true">RAND()</f>
        <v>0.828403498679632</v>
      </c>
      <c r="O735" s="83" t="n">
        <f aca="false">IF(N735&lt;(Inputs!$E$26-Inputs!$D$26)/(Inputs!$F$26-Inputs!$D$26),Inputs!$D$26+SQRT(N735*(Inputs!$F$26-Inputs!$D$26)*(Inputs!$E$26-Inputs!$D$26)),Inputs!$F$26-SQRT((1-N735)*(Inputs!$F$26-Inputs!$D$26)*(Inputs!$F$26-Inputs!$E$26)))</f>
        <v>0.686410943048024</v>
      </c>
      <c r="P735" s="81" t="n">
        <f aca="true">RAND()</f>
        <v>0.862305664981812</v>
      </c>
      <c r="Q735" s="82" t="n">
        <f aca="false">IF(P735&lt;(Inputs!$E$27-Inputs!$D$27)/(Inputs!$F$27-Inputs!$D$27),Inputs!$D$27+SQRT(P735*(Inputs!$F$27-Inputs!$D$27)*(Inputs!$E$27-Inputs!$D$27)),Inputs!$F$27-SQRT((1-P735)*(Inputs!$F$27-Inputs!$D$27)*(Inputs!$F$27-Inputs!$E$27)))</f>
        <v>117.864233125124</v>
      </c>
      <c r="R735" s="81" t="n">
        <f aca="true">RAND()</f>
        <v>0.219577333462158</v>
      </c>
      <c r="S735" s="82" t="n">
        <f aca="false">IF(R735&lt;(Inputs!$E$29-Inputs!$D$29)/(Inputs!$F$29-Inputs!$D$29),Inputs!$D$29+SQRT(R735*(Inputs!$F$29-Inputs!$D$29)*(Inputs!$E$29-Inputs!$D$29)),Inputs!$F$29-SQRT((1-R735)*(Inputs!$F$29-Inputs!$D$29)*(Inputs!$F$29-Inputs!$E$29)))</f>
        <v>4.92634857886482</v>
      </c>
      <c r="T735" s="68" t="n">
        <f aca="false">Inputs!$E$9*(1+E735)+Inputs!$E$5*C735*(Inputs!$E$11*Inputs!$E$14*(G735*I735/Inputs!$E$16+(1-G735))*K735+Inputs!$E$23*M735)*(1+O735)+Inputs!$E$5*(Q735+S735)</f>
        <v>6532.64554750598</v>
      </c>
    </row>
    <row r="736" customFormat="false" ht="15" hidden="false" customHeight="false" outlineLevel="0" collapsed="false">
      <c r="A736" s="1" t="n">
        <v>732</v>
      </c>
      <c r="B736" s="81" t="n">
        <f aca="true">RAND()</f>
        <v>0.746099412540258</v>
      </c>
      <c r="C736" s="82" t="n">
        <f aca="false">ROUND(IF(B736&lt;(Inputs!$E$8-Inputs!$D$8)/(Inputs!$F$8-Inputs!$D$8),Inputs!$D$8+SQRT(B736*(Inputs!$F$8-Inputs!$D$8)*(Inputs!$E$8-Inputs!$D$8)),Inputs!$F$8-SQRT((1-B736)*(Inputs!$F$8-Inputs!$D$8)*(Inputs!$F$8-Inputs!$E$8))),0)</f>
        <v>26</v>
      </c>
      <c r="D736" s="81" t="n">
        <f aca="true">RAND()</f>
        <v>0.490340311868076</v>
      </c>
      <c r="E736" s="83" t="n">
        <f aca="false">IF(D736&lt;(Inputs!$E$10-Inputs!$D$10)/(Inputs!$F$10-Inputs!$D$10),Inputs!$D$10+SQRT(D736*(Inputs!$F$10-Inputs!$D$10)*(Inputs!$E$10-Inputs!$D$10)),Inputs!$F$10-SQRT((1-D736)*(Inputs!$F$10-Inputs!$D$10)*(Inputs!$F$10-Inputs!$E$10)))</f>
        <v>0.0763481069940387</v>
      </c>
      <c r="F736" s="81" t="n">
        <f aca="true">RAND()</f>
        <v>0.108237119998666</v>
      </c>
      <c r="G736" s="83" t="n">
        <f aca="false">IF(F736&lt;(Inputs!$E$15-Inputs!$D$15)/(Inputs!$F$15-Inputs!$D$15),Inputs!$D$15+SQRT(F736*(Inputs!$F$15-Inputs!$D$15)*(Inputs!$E$15-Inputs!$D$15)),Inputs!$F$15-SQRT((1-F736)*(Inputs!$F$15-Inputs!$D$15)*(Inputs!$F$15-Inputs!$E$15)))</f>
        <v>0.64652679228115</v>
      </c>
      <c r="H736" s="81" t="n">
        <f aca="true">RAND()</f>
        <v>0.924385986332061</v>
      </c>
      <c r="I736" s="82" t="n">
        <f aca="false">ROUND(IF(H736&lt;(Inputs!$E$17-Inputs!$D$17)/(Inputs!$F$17-Inputs!$D$17),Inputs!$D$17+SQRT(H736*(Inputs!$F$17-Inputs!$D$17)*(Inputs!$E$17-Inputs!$D$17)),Inputs!$F$17-SQRT((1-H736)*(Inputs!$F$17-Inputs!$D$17)*(Inputs!$F$17-Inputs!$E$17))),0)</f>
        <v>112</v>
      </c>
      <c r="J736" s="81" t="n">
        <f aca="true">RAND()</f>
        <v>0.684468637616802</v>
      </c>
      <c r="K736" s="83" t="n">
        <f aca="false">IF(J736&lt;(Inputs!$E$18-Inputs!$D$18)/(Inputs!$F$18-Inputs!$D$18),Inputs!$D$18+SQRT(J736*(Inputs!$F$18-Inputs!$D$18)*(Inputs!$E$18-Inputs!$D$18)),Inputs!$F$18-SQRT((1-J736)*(Inputs!$F$18-Inputs!$D$18)*(Inputs!$F$18-Inputs!$E$18)))</f>
        <v>1.08384045555994</v>
      </c>
      <c r="L736" s="81" t="n">
        <f aca="true">RAND()</f>
        <v>0.664847263559952</v>
      </c>
      <c r="M736" s="83" t="n">
        <f aca="false">IF(L736&lt;(Inputs!$E$24-Inputs!$D$24)/(Inputs!$F$24-Inputs!$D$24),Inputs!$D$24+SQRT(L736*(Inputs!$F$24-Inputs!$D$24)*(Inputs!$E$24-Inputs!$D$24)),Inputs!$F$24-SQRT((1-L736)*(Inputs!$F$24-Inputs!$D$24)*(Inputs!$F$24-Inputs!$E$24)))</f>
        <v>0.916386430603874</v>
      </c>
      <c r="N736" s="81" t="n">
        <f aca="true">RAND()</f>
        <v>0.637896707946038</v>
      </c>
      <c r="O736" s="83" t="n">
        <f aca="false">IF(N736&lt;(Inputs!$E$26-Inputs!$D$26)/(Inputs!$F$26-Inputs!$D$26),Inputs!$D$26+SQRT(N736*(Inputs!$F$26-Inputs!$D$26)*(Inputs!$E$26-Inputs!$D$26)),Inputs!$F$26-SQRT((1-N736)*(Inputs!$F$26-Inputs!$D$26)*(Inputs!$F$26-Inputs!$E$26)))</f>
        <v>0.625941394487098</v>
      </c>
      <c r="P736" s="81" t="n">
        <f aca="true">RAND()</f>
        <v>0.986698708985659</v>
      </c>
      <c r="Q736" s="82" t="n">
        <f aca="false">IF(P736&lt;(Inputs!$E$27-Inputs!$D$27)/(Inputs!$F$27-Inputs!$D$27),Inputs!$D$27+SQRT(P736*(Inputs!$F$27-Inputs!$D$27)*(Inputs!$E$27-Inputs!$D$27)),Inputs!$F$27-SQRT((1-P736)*(Inputs!$F$27-Inputs!$D$27)*(Inputs!$F$27-Inputs!$E$27)))</f>
        <v>140.012023097365</v>
      </c>
      <c r="R736" s="81" t="n">
        <f aca="true">RAND()</f>
        <v>0.692829615429523</v>
      </c>
      <c r="S736" s="82" t="n">
        <f aca="false">IF(R736&lt;(Inputs!$E$29-Inputs!$D$29)/(Inputs!$F$29-Inputs!$D$29),Inputs!$D$29+SQRT(R736*(Inputs!$F$29-Inputs!$D$29)*(Inputs!$E$29-Inputs!$D$29)),Inputs!$F$29-SQRT((1-R736)*(Inputs!$F$29-Inputs!$D$29)*(Inputs!$F$29-Inputs!$E$29)))</f>
        <v>8.68081097021445</v>
      </c>
      <c r="T736" s="68" t="n">
        <f aca="false">Inputs!$E$9*(1+E736)+Inputs!$E$5*C736*(Inputs!$E$11*Inputs!$E$14*(G736*I736/Inputs!$E$16+(1-G736))*K736+Inputs!$E$23*M736)*(1+O736)+Inputs!$E$5*(Q736+S736)</f>
        <v>7120.97081384544</v>
      </c>
    </row>
    <row r="737" customFormat="false" ht="15" hidden="false" customHeight="false" outlineLevel="0" collapsed="false">
      <c r="A737" s="1" t="n">
        <v>733</v>
      </c>
      <c r="B737" s="81" t="n">
        <f aca="true">RAND()</f>
        <v>0.308040668040671</v>
      </c>
      <c r="C737" s="82" t="n">
        <f aca="false">ROUND(IF(B737&lt;(Inputs!$E$8-Inputs!$D$8)/(Inputs!$F$8-Inputs!$D$8),Inputs!$D$8+SQRT(B737*(Inputs!$F$8-Inputs!$D$8)*(Inputs!$E$8-Inputs!$D$8)),Inputs!$F$8-SQRT((1-B737)*(Inputs!$F$8-Inputs!$D$8)*(Inputs!$F$8-Inputs!$E$8))),0)</f>
        <v>24</v>
      </c>
      <c r="D737" s="81" t="n">
        <f aca="true">RAND()</f>
        <v>0.256791858214639</v>
      </c>
      <c r="E737" s="83" t="n">
        <f aca="false">IF(D737&lt;(Inputs!$E$10-Inputs!$D$10)/(Inputs!$F$10-Inputs!$D$10),Inputs!$D$10+SQRT(D737*(Inputs!$F$10-Inputs!$D$10)*(Inputs!$E$10-Inputs!$D$10)),Inputs!$F$10-SQRT((1-D737)*(Inputs!$F$10-Inputs!$D$10)*(Inputs!$F$10-Inputs!$E$10)))</f>
        <v>0.050680730468031</v>
      </c>
      <c r="F737" s="81" t="n">
        <f aca="true">RAND()</f>
        <v>0.264934868772725</v>
      </c>
      <c r="G737" s="83" t="n">
        <f aca="false">IF(F737&lt;(Inputs!$E$15-Inputs!$D$15)/(Inputs!$F$15-Inputs!$D$15),Inputs!$D$15+SQRT(F737*(Inputs!$F$15-Inputs!$D$15)*(Inputs!$E$15-Inputs!$D$15)),Inputs!$F$15-SQRT((1-F737)*(Inputs!$F$15-Inputs!$D$15)*(Inputs!$F$15-Inputs!$E$15)))</f>
        <v>0.672792151880917</v>
      </c>
      <c r="H737" s="81" t="n">
        <f aca="true">RAND()</f>
        <v>0.688923849750733</v>
      </c>
      <c r="I737" s="82" t="n">
        <f aca="false">ROUND(IF(H737&lt;(Inputs!$E$17-Inputs!$D$17)/(Inputs!$F$17-Inputs!$D$17),Inputs!$D$17+SQRT(H737*(Inputs!$F$17-Inputs!$D$17)*(Inputs!$E$17-Inputs!$D$17)),Inputs!$F$17-SQRT((1-H737)*(Inputs!$F$17-Inputs!$D$17)*(Inputs!$F$17-Inputs!$E$17))),0)</f>
        <v>108</v>
      </c>
      <c r="J737" s="81" t="n">
        <f aca="true">RAND()</f>
        <v>0.776188804319186</v>
      </c>
      <c r="K737" s="83" t="n">
        <f aca="false">IF(J737&lt;(Inputs!$E$18-Inputs!$D$18)/(Inputs!$F$18-Inputs!$D$18),Inputs!$D$18+SQRT(J737*(Inputs!$F$18-Inputs!$D$18)*(Inputs!$E$18-Inputs!$D$18)),Inputs!$F$18-SQRT((1-J737)*(Inputs!$F$18-Inputs!$D$18)*(Inputs!$F$18-Inputs!$E$18)))</f>
        <v>1.1100590137877</v>
      </c>
      <c r="L737" s="81" t="n">
        <f aca="true">RAND()</f>
        <v>0.845219389637056</v>
      </c>
      <c r="M737" s="83" t="n">
        <f aca="false">IF(L737&lt;(Inputs!$E$24-Inputs!$D$24)/(Inputs!$F$24-Inputs!$D$24),Inputs!$D$24+SQRT(L737*(Inputs!$F$24-Inputs!$D$24)*(Inputs!$E$24-Inputs!$D$24)),Inputs!$F$24-SQRT((1-L737)*(Inputs!$F$24-Inputs!$D$24)*(Inputs!$F$24-Inputs!$E$24)))</f>
        <v>1.00726353098828</v>
      </c>
      <c r="N737" s="81" t="n">
        <f aca="true">RAND()</f>
        <v>0.198358118831143</v>
      </c>
      <c r="O737" s="83" t="n">
        <f aca="false">IF(N737&lt;(Inputs!$E$26-Inputs!$D$26)/(Inputs!$F$26-Inputs!$D$26),Inputs!$D$26+SQRT(N737*(Inputs!$F$26-Inputs!$D$26)*(Inputs!$E$26-Inputs!$D$26)),Inputs!$F$26-SQRT((1-N737)*(Inputs!$F$26-Inputs!$D$26)*(Inputs!$F$26-Inputs!$E$26)))</f>
        <v>0.481677711823719</v>
      </c>
      <c r="P737" s="81" t="n">
        <f aca="true">RAND()</f>
        <v>0.814184765256855</v>
      </c>
      <c r="Q737" s="82" t="n">
        <f aca="false">IF(P737&lt;(Inputs!$E$27-Inputs!$D$27)/(Inputs!$F$27-Inputs!$D$27),Inputs!$D$27+SQRT(P737*(Inputs!$F$27-Inputs!$D$27)*(Inputs!$E$27-Inputs!$D$27)),Inputs!$F$27-SQRT((1-P737)*(Inputs!$F$27-Inputs!$D$27)*(Inputs!$F$27-Inputs!$E$27)))</f>
        <v>112.668856693458</v>
      </c>
      <c r="R737" s="81" t="n">
        <f aca="true">RAND()</f>
        <v>0.0866301696098524</v>
      </c>
      <c r="S737" s="82" t="n">
        <f aca="false">IF(R737&lt;(Inputs!$E$29-Inputs!$D$29)/(Inputs!$F$29-Inputs!$D$29),Inputs!$D$29+SQRT(R737*(Inputs!$F$29-Inputs!$D$29)*(Inputs!$E$29-Inputs!$D$29)),Inputs!$F$29-SQRT((1-R737)*(Inputs!$F$29-Inputs!$D$29)*(Inputs!$F$29-Inputs!$E$29)))</f>
        <v>3.83809048057604</v>
      </c>
      <c r="T737" s="68" t="n">
        <f aca="false">Inputs!$E$9*(1+E737)+Inputs!$E$5*C737*(Inputs!$E$11*Inputs!$E$14*(G737*I737/Inputs!$E$16+(1-G737))*K737+Inputs!$E$23*M737)*(1+O737)+Inputs!$E$5*(Q737+S737)</f>
        <v>6359.72754689278</v>
      </c>
    </row>
    <row r="738" customFormat="false" ht="15" hidden="false" customHeight="false" outlineLevel="0" collapsed="false">
      <c r="A738" s="1" t="n">
        <v>734</v>
      </c>
      <c r="B738" s="81" t="n">
        <f aca="true">RAND()</f>
        <v>0.606117472107308</v>
      </c>
      <c r="C738" s="82" t="n">
        <f aca="false">ROUND(IF(B738&lt;(Inputs!$E$8-Inputs!$D$8)/(Inputs!$F$8-Inputs!$D$8),Inputs!$D$8+SQRT(B738*(Inputs!$F$8-Inputs!$D$8)*(Inputs!$E$8-Inputs!$D$8)),Inputs!$F$8-SQRT((1-B738)*(Inputs!$F$8-Inputs!$D$8)*(Inputs!$F$8-Inputs!$E$8))),0)</f>
        <v>26</v>
      </c>
      <c r="D738" s="81" t="n">
        <f aca="true">RAND()</f>
        <v>0.592153497306211</v>
      </c>
      <c r="E738" s="83" t="n">
        <f aca="false">IF(D738&lt;(Inputs!$E$10-Inputs!$D$10)/(Inputs!$F$10-Inputs!$D$10),Inputs!$D$10+SQRT(D738*(Inputs!$F$10-Inputs!$D$10)*(Inputs!$E$10-Inputs!$D$10)),Inputs!$F$10-SQRT((1-D738)*(Inputs!$F$10-Inputs!$D$10)*(Inputs!$F$10-Inputs!$E$10)))</f>
        <v>0.089386279870833</v>
      </c>
      <c r="F738" s="81" t="n">
        <f aca="true">RAND()</f>
        <v>0.722957393187662</v>
      </c>
      <c r="G738" s="83" t="n">
        <f aca="false">IF(F738&lt;(Inputs!$E$15-Inputs!$D$15)/(Inputs!$F$15-Inputs!$D$15),Inputs!$D$15+SQRT(F738*(Inputs!$F$15-Inputs!$D$15)*(Inputs!$E$15-Inputs!$D$15)),Inputs!$F$15-SQRT((1-F738)*(Inputs!$F$15-Inputs!$D$15)*(Inputs!$F$15-Inputs!$E$15)))</f>
        <v>0.725563099633</v>
      </c>
      <c r="H738" s="81" t="n">
        <f aca="true">RAND()</f>
        <v>0.616998185053877</v>
      </c>
      <c r="I738" s="82" t="n">
        <f aca="false">ROUND(IF(H738&lt;(Inputs!$E$17-Inputs!$D$17)/(Inputs!$F$17-Inputs!$D$17),Inputs!$D$17+SQRT(H738*(Inputs!$F$17-Inputs!$D$17)*(Inputs!$E$17-Inputs!$D$17)),Inputs!$F$17-SQRT((1-H738)*(Inputs!$F$17-Inputs!$D$17)*(Inputs!$F$17-Inputs!$E$17))),0)</f>
        <v>107</v>
      </c>
      <c r="J738" s="81" t="n">
        <f aca="true">RAND()</f>
        <v>0.093084658222439</v>
      </c>
      <c r="K738" s="83" t="n">
        <f aca="false">IF(J738&lt;(Inputs!$E$18-Inputs!$D$18)/(Inputs!$F$18-Inputs!$D$18),Inputs!$D$18+SQRT(J738*(Inputs!$F$18-Inputs!$D$18)*(Inputs!$E$18-Inputs!$D$18)),Inputs!$F$18-SQRT((1-J738)*(Inputs!$F$18-Inputs!$D$18)*(Inputs!$F$18-Inputs!$E$18)))</f>
        <v>0.957078568988591</v>
      </c>
      <c r="L738" s="81" t="n">
        <f aca="true">RAND()</f>
        <v>0.675860159399103</v>
      </c>
      <c r="M738" s="83" t="n">
        <f aca="false">IF(L738&lt;(Inputs!$E$24-Inputs!$D$24)/(Inputs!$F$24-Inputs!$D$24),Inputs!$D$24+SQRT(L738*(Inputs!$F$24-Inputs!$D$24)*(Inputs!$E$24-Inputs!$D$24)),Inputs!$F$24-SQRT((1-L738)*(Inputs!$F$24-Inputs!$D$24)*(Inputs!$F$24-Inputs!$E$24)))</f>
        <v>0.921085027751798</v>
      </c>
      <c r="N738" s="81" t="n">
        <f aca="true">RAND()</f>
        <v>0.626404169841008</v>
      </c>
      <c r="O738" s="83" t="n">
        <f aca="false">IF(N738&lt;(Inputs!$E$26-Inputs!$D$26)/(Inputs!$F$26-Inputs!$D$26),Inputs!$D$26+SQRT(N738*(Inputs!$F$26-Inputs!$D$26)*(Inputs!$E$26-Inputs!$D$26)),Inputs!$F$26-SQRT((1-N738)*(Inputs!$F$26-Inputs!$D$26)*(Inputs!$F$26-Inputs!$E$26)))</f>
        <v>0.622885905281903</v>
      </c>
      <c r="P738" s="81" t="n">
        <f aca="true">RAND()</f>
        <v>0.9588355323897</v>
      </c>
      <c r="Q738" s="82" t="n">
        <f aca="false">IF(P738&lt;(Inputs!$E$27-Inputs!$D$27)/(Inputs!$F$27-Inputs!$D$27),Inputs!$D$27+SQRT(P738*(Inputs!$F$27-Inputs!$D$27)*(Inputs!$E$27-Inputs!$D$27)),Inputs!$F$27-SQRT((1-P738)*(Inputs!$F$27-Inputs!$D$27)*(Inputs!$F$27-Inputs!$E$27)))</f>
        <v>132.42918593015</v>
      </c>
      <c r="R738" s="81" t="n">
        <f aca="true">RAND()</f>
        <v>0.00932899209205619</v>
      </c>
      <c r="S738" s="82" t="n">
        <f aca="false">IF(R738&lt;(Inputs!$E$29-Inputs!$D$29)/(Inputs!$F$29-Inputs!$D$29),Inputs!$D$29+SQRT(R738*(Inputs!$F$29-Inputs!$D$29)*(Inputs!$E$29-Inputs!$D$29)),Inputs!$F$29-SQRT((1-R738)*(Inputs!$F$29-Inputs!$D$29)*(Inputs!$F$29-Inputs!$E$29)))</f>
        <v>2.60318379586175</v>
      </c>
      <c r="T738" s="68" t="n">
        <f aca="false">Inputs!$E$9*(1+E738)+Inputs!$E$5*C738*(Inputs!$E$11*Inputs!$E$14*(G738*I738/Inputs!$E$16+(1-G738))*K738+Inputs!$E$23*M738)*(1+O738)+Inputs!$E$5*(Q738+S738)</f>
        <v>6616.07224758291</v>
      </c>
    </row>
    <row r="739" customFormat="false" ht="15" hidden="false" customHeight="false" outlineLevel="0" collapsed="false">
      <c r="A739" s="1" t="n">
        <v>735</v>
      </c>
      <c r="B739" s="81" t="n">
        <f aca="true">RAND()</f>
        <v>0.261006335671256</v>
      </c>
      <c r="C739" s="82" t="n">
        <f aca="false">ROUND(IF(B739&lt;(Inputs!$E$8-Inputs!$D$8)/(Inputs!$F$8-Inputs!$D$8),Inputs!$D$8+SQRT(B739*(Inputs!$F$8-Inputs!$D$8)*(Inputs!$E$8-Inputs!$D$8)),Inputs!$F$8-SQRT((1-B739)*(Inputs!$F$8-Inputs!$D$8)*(Inputs!$F$8-Inputs!$E$8))),0)</f>
        <v>24</v>
      </c>
      <c r="D739" s="81" t="n">
        <f aca="true">RAND()</f>
        <v>0.921956910440729</v>
      </c>
      <c r="E739" s="83" t="n">
        <f aca="false">IF(D739&lt;(Inputs!$E$10-Inputs!$D$10)/(Inputs!$F$10-Inputs!$D$10),Inputs!$D$10+SQRT(D739*(Inputs!$F$10-Inputs!$D$10)*(Inputs!$E$10-Inputs!$D$10)),Inputs!$F$10-SQRT((1-D739)*(Inputs!$F$10-Inputs!$D$10)*(Inputs!$F$10-Inputs!$E$10)))</f>
        <v>0.151613093849905</v>
      </c>
      <c r="F739" s="81" t="n">
        <f aca="true">RAND()</f>
        <v>0.489390201649724</v>
      </c>
      <c r="G739" s="83" t="n">
        <f aca="false">IF(F739&lt;(Inputs!$E$15-Inputs!$D$15)/(Inputs!$F$15-Inputs!$D$15),Inputs!$D$15+SQRT(F739*(Inputs!$F$15-Inputs!$D$15)*(Inputs!$E$15-Inputs!$D$15)),Inputs!$F$15-SQRT((1-F739)*(Inputs!$F$15-Inputs!$D$15)*(Inputs!$F$15-Inputs!$E$15)))</f>
        <v>0.698933331253903</v>
      </c>
      <c r="H739" s="81" t="n">
        <f aca="true">RAND()</f>
        <v>0.756073537327158</v>
      </c>
      <c r="I739" s="82" t="n">
        <f aca="false">ROUND(IF(H739&lt;(Inputs!$E$17-Inputs!$D$17)/(Inputs!$F$17-Inputs!$D$17),Inputs!$D$17+SQRT(H739*(Inputs!$F$17-Inputs!$D$17)*(Inputs!$E$17-Inputs!$D$17)),Inputs!$F$17-SQRT((1-H739)*(Inputs!$F$17-Inputs!$D$17)*(Inputs!$F$17-Inputs!$E$17))),0)</f>
        <v>109</v>
      </c>
      <c r="J739" s="81" t="n">
        <f aca="true">RAND()</f>
        <v>0.517071690032602</v>
      </c>
      <c r="K739" s="83" t="n">
        <f aca="false">IF(J739&lt;(Inputs!$E$18-Inputs!$D$18)/(Inputs!$F$18-Inputs!$D$18),Inputs!$D$18+SQRT(J739*(Inputs!$F$18-Inputs!$D$18)*(Inputs!$E$18-Inputs!$D$18)),Inputs!$F$18-SQRT((1-J739)*(Inputs!$F$18-Inputs!$D$18)*(Inputs!$F$18-Inputs!$E$18)))</f>
        <v>1.04443680504004</v>
      </c>
      <c r="L739" s="81" t="n">
        <f aca="true">RAND()</f>
        <v>0.753545067019002</v>
      </c>
      <c r="M739" s="83" t="n">
        <f aca="false">IF(L739&lt;(Inputs!$E$24-Inputs!$D$24)/(Inputs!$F$24-Inputs!$D$24),Inputs!$D$24+SQRT(L739*(Inputs!$F$24-Inputs!$D$24)*(Inputs!$E$24-Inputs!$D$24)),Inputs!$F$24-SQRT((1-L739)*(Inputs!$F$24-Inputs!$D$24)*(Inputs!$F$24-Inputs!$E$24)))</f>
        <v>0.956793947617582</v>
      </c>
      <c r="N739" s="81" t="n">
        <f aca="true">RAND()</f>
        <v>0.488288179299948</v>
      </c>
      <c r="O739" s="83" t="n">
        <f aca="false">IF(N739&lt;(Inputs!$E$26-Inputs!$D$26)/(Inputs!$F$26-Inputs!$D$26),Inputs!$D$26+SQRT(N739*(Inputs!$F$26-Inputs!$D$26)*(Inputs!$E$26-Inputs!$D$26)),Inputs!$F$26-SQRT((1-N739)*(Inputs!$F$26-Inputs!$D$26)*(Inputs!$F$26-Inputs!$E$26)))</f>
        <v>0.585045878825693</v>
      </c>
      <c r="P739" s="81" t="n">
        <f aca="true">RAND()</f>
        <v>0.958032421392849</v>
      </c>
      <c r="Q739" s="82" t="n">
        <f aca="false">IF(P739&lt;(Inputs!$E$27-Inputs!$D$27)/(Inputs!$F$27-Inputs!$D$27),Inputs!$D$27+SQRT(P739*(Inputs!$F$27-Inputs!$D$27)*(Inputs!$E$27-Inputs!$D$27)),Inputs!$F$27-SQRT((1-P739)*(Inputs!$F$27-Inputs!$D$27)*(Inputs!$F$27-Inputs!$E$27)))</f>
        <v>132.258612242735</v>
      </c>
      <c r="R739" s="81" t="n">
        <f aca="true">RAND()</f>
        <v>0.0100989177781268</v>
      </c>
      <c r="S739" s="82" t="n">
        <f aca="false">IF(R739&lt;(Inputs!$E$29-Inputs!$D$29)/(Inputs!$F$29-Inputs!$D$29),Inputs!$D$29+SQRT(R739*(Inputs!$F$29-Inputs!$D$29)*(Inputs!$E$29-Inputs!$D$29)),Inputs!$F$29-SQRT((1-R739)*(Inputs!$F$29-Inputs!$D$29)*(Inputs!$F$29-Inputs!$E$29)))</f>
        <v>2.62758090581768</v>
      </c>
      <c r="T739" s="68" t="n">
        <f aca="false">Inputs!$E$9*(1+E739)+Inputs!$E$5*C739*(Inputs!$E$11*Inputs!$E$14*(G739*I739/Inputs!$E$16+(1-G739))*K739+Inputs!$E$23*M739)*(1+O739)+Inputs!$E$5*(Q739+S739)</f>
        <v>6686.8624092204</v>
      </c>
    </row>
    <row r="740" customFormat="false" ht="15" hidden="false" customHeight="false" outlineLevel="0" collapsed="false">
      <c r="A740" s="1" t="n">
        <v>736</v>
      </c>
      <c r="B740" s="81" t="n">
        <f aca="true">RAND()</f>
        <v>0.0432027438466638</v>
      </c>
      <c r="C740" s="82" t="n">
        <f aca="false">ROUND(IF(B740&lt;(Inputs!$E$8-Inputs!$D$8)/(Inputs!$F$8-Inputs!$D$8),Inputs!$D$8+SQRT(B740*(Inputs!$F$8-Inputs!$D$8)*(Inputs!$E$8-Inputs!$D$8)),Inputs!$F$8-SQRT((1-B740)*(Inputs!$F$8-Inputs!$D$8)*(Inputs!$F$8-Inputs!$E$8))),0)</f>
        <v>21</v>
      </c>
      <c r="D740" s="81" t="n">
        <f aca="true">RAND()</f>
        <v>0.24512434137914</v>
      </c>
      <c r="E740" s="83" t="n">
        <f aca="false">IF(D740&lt;(Inputs!$E$10-Inputs!$D$10)/(Inputs!$F$10-Inputs!$D$10),Inputs!$D$10+SQRT(D740*(Inputs!$F$10-Inputs!$D$10)*(Inputs!$E$10-Inputs!$D$10)),Inputs!$F$10-SQRT((1-D740)*(Inputs!$F$10-Inputs!$D$10)*(Inputs!$F$10-Inputs!$E$10)))</f>
        <v>0.0495100334658684</v>
      </c>
      <c r="F740" s="81" t="n">
        <f aca="true">RAND()</f>
        <v>0.429633968151671</v>
      </c>
      <c r="G740" s="83" t="n">
        <f aca="false">IF(F740&lt;(Inputs!$E$15-Inputs!$D$15)/(Inputs!$F$15-Inputs!$D$15),Inputs!$D$15+SQRT(F740*(Inputs!$F$15-Inputs!$D$15)*(Inputs!$E$15-Inputs!$D$15)),Inputs!$F$15-SQRT((1-F740)*(Inputs!$F$15-Inputs!$D$15)*(Inputs!$F$15-Inputs!$E$15)))</f>
        <v>0.692696706322466</v>
      </c>
      <c r="H740" s="81" t="n">
        <f aca="true">RAND()</f>
        <v>0.563239846344638</v>
      </c>
      <c r="I740" s="82" t="n">
        <f aca="false">ROUND(IF(H740&lt;(Inputs!$E$17-Inputs!$D$17)/(Inputs!$F$17-Inputs!$D$17),Inputs!$D$17+SQRT(H740*(Inputs!$F$17-Inputs!$D$17)*(Inputs!$E$17-Inputs!$D$17)),Inputs!$F$17-SQRT((1-H740)*(Inputs!$F$17-Inputs!$D$17)*(Inputs!$F$17-Inputs!$E$17))),0)</f>
        <v>107</v>
      </c>
      <c r="J740" s="81" t="n">
        <f aca="true">RAND()</f>
        <v>0.523492452538973</v>
      </c>
      <c r="K740" s="83" t="n">
        <f aca="false">IF(J740&lt;(Inputs!$E$18-Inputs!$D$18)/(Inputs!$F$18-Inputs!$D$18),Inputs!$D$18+SQRT(J740*(Inputs!$F$18-Inputs!$D$18)*(Inputs!$E$18-Inputs!$D$18)),Inputs!$F$18-SQRT((1-J740)*(Inputs!$F$18-Inputs!$D$18)*(Inputs!$F$18-Inputs!$E$18)))</f>
        <v>1.04580790807957</v>
      </c>
      <c r="L740" s="81" t="n">
        <f aca="true">RAND()</f>
        <v>0.260356594169943</v>
      </c>
      <c r="M740" s="83" t="n">
        <f aca="false">IF(L740&lt;(Inputs!$E$24-Inputs!$D$24)/(Inputs!$F$24-Inputs!$D$24),Inputs!$D$24+SQRT(L740*(Inputs!$F$24-Inputs!$D$24)*(Inputs!$E$24-Inputs!$D$24)),Inputs!$F$24-SQRT((1-L740)*(Inputs!$F$24-Inputs!$D$24)*(Inputs!$F$24-Inputs!$E$24)))</f>
        <v>0.776756304839157</v>
      </c>
      <c r="N740" s="81" t="n">
        <f aca="true">RAND()</f>
        <v>0.0291369274651291</v>
      </c>
      <c r="O740" s="83" t="n">
        <f aca="false">IF(N740&lt;(Inputs!$E$26-Inputs!$D$26)/(Inputs!$F$26-Inputs!$D$26),Inputs!$D$26+SQRT(N740*(Inputs!$F$26-Inputs!$D$26)*(Inputs!$E$26-Inputs!$D$26)),Inputs!$F$26-SQRT((1-N740)*(Inputs!$F$26-Inputs!$D$26)*(Inputs!$F$26-Inputs!$E$26)))</f>
        <v>0.369630343458851</v>
      </c>
      <c r="P740" s="81" t="n">
        <f aca="true">RAND()</f>
        <v>0.703014867061347</v>
      </c>
      <c r="Q740" s="82" t="n">
        <f aca="false">IF(P740&lt;(Inputs!$E$27-Inputs!$D$27)/(Inputs!$F$27-Inputs!$D$27),Inputs!$D$27+SQRT(P740*(Inputs!$F$27-Inputs!$D$27)*(Inputs!$E$27-Inputs!$D$27)),Inputs!$F$27-SQRT((1-P740)*(Inputs!$F$27-Inputs!$D$27)*(Inputs!$F$27-Inputs!$E$27)))</f>
        <v>102.804783112694</v>
      </c>
      <c r="R740" s="81" t="n">
        <f aca="true">RAND()</f>
        <v>0.0690869046539445</v>
      </c>
      <c r="S740" s="82" t="n">
        <f aca="false">IF(R740&lt;(Inputs!$E$29-Inputs!$D$29)/(Inputs!$F$29-Inputs!$D$29),Inputs!$D$29+SQRT(R740*(Inputs!$F$29-Inputs!$D$29)*(Inputs!$E$29-Inputs!$D$29)),Inputs!$F$29-SQRT((1-R740)*(Inputs!$F$29-Inputs!$D$29)*(Inputs!$F$29-Inputs!$E$29)))</f>
        <v>3.64145949736929</v>
      </c>
      <c r="T740" s="68" t="n">
        <f aca="false">Inputs!$E$9*(1+E740)+Inputs!$E$5*C740*(Inputs!$E$11*Inputs!$E$14*(G740*I740/Inputs!$E$16+(1-G740))*K740+Inputs!$E$23*M740)*(1+O740)+Inputs!$E$5*(Q740+S740)</f>
        <v>5277.61688222516</v>
      </c>
    </row>
    <row r="741" customFormat="false" ht="15" hidden="false" customHeight="false" outlineLevel="0" collapsed="false">
      <c r="A741" s="1" t="n">
        <v>737</v>
      </c>
      <c r="B741" s="81" t="n">
        <f aca="true">RAND()</f>
        <v>0.892429076917067</v>
      </c>
      <c r="C741" s="82" t="n">
        <f aca="false">ROUND(IF(B741&lt;(Inputs!$E$8-Inputs!$D$8)/(Inputs!$F$8-Inputs!$D$8),Inputs!$D$8+SQRT(B741*(Inputs!$F$8-Inputs!$D$8)*(Inputs!$E$8-Inputs!$D$8)),Inputs!$F$8-SQRT((1-B741)*(Inputs!$F$8-Inputs!$D$8)*(Inputs!$F$8-Inputs!$E$8))),0)</f>
        <v>28</v>
      </c>
      <c r="D741" s="81" t="n">
        <f aca="true">RAND()</f>
        <v>0.724378952388801</v>
      </c>
      <c r="E741" s="83" t="n">
        <f aca="false">IF(D741&lt;(Inputs!$E$10-Inputs!$D$10)/(Inputs!$F$10-Inputs!$D$10),Inputs!$D$10+SQRT(D741*(Inputs!$F$10-Inputs!$D$10)*(Inputs!$E$10-Inputs!$D$10)),Inputs!$F$10-SQRT((1-D741)*(Inputs!$F$10-Inputs!$D$10)*(Inputs!$F$10-Inputs!$E$10)))</f>
        <v>0.109067984580039</v>
      </c>
      <c r="F741" s="81" t="n">
        <f aca="true">RAND()</f>
        <v>0.210552037357845</v>
      </c>
      <c r="G741" s="83" t="n">
        <f aca="false">IF(F741&lt;(Inputs!$E$15-Inputs!$D$15)/(Inputs!$F$15-Inputs!$D$15),Inputs!$D$15+SQRT(F741*(Inputs!$F$15-Inputs!$D$15)*(Inputs!$E$15-Inputs!$D$15)),Inputs!$F$15-SQRT((1-F741)*(Inputs!$F$15-Inputs!$D$15)*(Inputs!$F$15-Inputs!$E$15)))</f>
        <v>0.664892532291142</v>
      </c>
      <c r="H741" s="81" t="n">
        <f aca="true">RAND()</f>
        <v>0.103137080558429</v>
      </c>
      <c r="I741" s="82" t="n">
        <f aca="false">ROUND(IF(H741&lt;(Inputs!$E$17-Inputs!$D$17)/(Inputs!$F$17-Inputs!$D$17),Inputs!$D$17+SQRT(H741*(Inputs!$F$17-Inputs!$D$17)*(Inputs!$E$17-Inputs!$D$17)),Inputs!$F$17-SQRT((1-H741)*(Inputs!$F$17-Inputs!$D$17)*(Inputs!$F$17-Inputs!$E$17))),0)</f>
        <v>103</v>
      </c>
      <c r="J741" s="81" t="n">
        <f aca="true">RAND()</f>
        <v>0.579129128198324</v>
      </c>
      <c r="K741" s="83" t="n">
        <f aca="false">IF(J741&lt;(Inputs!$E$18-Inputs!$D$18)/(Inputs!$F$18-Inputs!$D$18),Inputs!$D$18+SQRT(J741*(Inputs!$F$18-Inputs!$D$18)*(Inputs!$E$18-Inputs!$D$18)),Inputs!$F$18-SQRT((1-J741)*(Inputs!$F$18-Inputs!$D$18)*(Inputs!$F$18-Inputs!$E$18)))</f>
        <v>1.05809845940523</v>
      </c>
      <c r="L741" s="81" t="n">
        <f aca="true">RAND()</f>
        <v>0.880788449115894</v>
      </c>
      <c r="M741" s="83" t="n">
        <f aca="false">IF(L741&lt;(Inputs!$E$24-Inputs!$D$24)/(Inputs!$F$24-Inputs!$D$24),Inputs!$D$24+SQRT(L741*(Inputs!$F$24-Inputs!$D$24)*(Inputs!$E$24-Inputs!$D$24)),Inputs!$F$24-SQRT((1-L741)*(Inputs!$F$24-Inputs!$D$24)*(Inputs!$F$24-Inputs!$E$24)))</f>
        <v>1.03085280903253</v>
      </c>
      <c r="N741" s="81" t="n">
        <f aca="true">RAND()</f>
        <v>0.036352880110423</v>
      </c>
      <c r="O741" s="83" t="n">
        <f aca="false">IF(N741&lt;(Inputs!$E$26-Inputs!$D$26)/(Inputs!$F$26-Inputs!$D$26),Inputs!$D$26+SQRT(N741*(Inputs!$F$26-Inputs!$D$26)*(Inputs!$E$26-Inputs!$D$26)),Inputs!$F$26-SQRT((1-N741)*(Inputs!$F$26-Inputs!$D$26)*(Inputs!$F$26-Inputs!$E$26)))</f>
        <v>0.377776084051425</v>
      </c>
      <c r="P741" s="81" t="n">
        <f aca="true">RAND()</f>
        <v>0.0795662378205893</v>
      </c>
      <c r="Q741" s="82" t="n">
        <f aca="false">IF(P741&lt;(Inputs!$E$27-Inputs!$D$27)/(Inputs!$F$27-Inputs!$D$27),Inputs!$D$27+SQRT(P741*(Inputs!$F$27-Inputs!$D$27)*(Inputs!$E$27-Inputs!$D$27)),Inputs!$F$27-SQRT((1-P741)*(Inputs!$F$27-Inputs!$D$27)*(Inputs!$F$27-Inputs!$E$27)))</f>
        <v>64.1037439905677</v>
      </c>
      <c r="R741" s="81" t="n">
        <f aca="true">RAND()</f>
        <v>0.228282868132534</v>
      </c>
      <c r="S741" s="82" t="n">
        <f aca="false">IF(R741&lt;(Inputs!$E$29-Inputs!$D$29)/(Inputs!$F$29-Inputs!$D$29),Inputs!$D$29+SQRT(R741*(Inputs!$F$29-Inputs!$D$29)*(Inputs!$E$29-Inputs!$D$29)),Inputs!$F$29-SQRT((1-R741)*(Inputs!$F$29-Inputs!$D$29)*(Inputs!$F$29-Inputs!$E$29)))</f>
        <v>4.98379487518308</v>
      </c>
      <c r="T741" s="68" t="n">
        <f aca="false">Inputs!$E$9*(1+E741)+Inputs!$E$5*C741*(Inputs!$E$11*Inputs!$E$14*(G741*I741/Inputs!$E$16+(1-G741))*K741+Inputs!$E$23*M741)*(1+O741)+Inputs!$E$5*(Q741+S741)</f>
        <v>6420.30886328118</v>
      </c>
    </row>
    <row r="742" customFormat="false" ht="15" hidden="false" customHeight="false" outlineLevel="0" collapsed="false">
      <c r="A742" s="1" t="n">
        <v>738</v>
      </c>
      <c r="B742" s="81" t="n">
        <f aca="true">RAND()</f>
        <v>0.530756145947467</v>
      </c>
      <c r="C742" s="82" t="n">
        <f aca="false">ROUND(IF(B742&lt;(Inputs!$E$8-Inputs!$D$8)/(Inputs!$F$8-Inputs!$D$8),Inputs!$D$8+SQRT(B742*(Inputs!$F$8-Inputs!$D$8)*(Inputs!$E$8-Inputs!$D$8)),Inputs!$F$8-SQRT((1-B742)*(Inputs!$F$8-Inputs!$D$8)*(Inputs!$F$8-Inputs!$E$8))),0)</f>
        <v>25</v>
      </c>
      <c r="D742" s="81" t="n">
        <f aca="true">RAND()</f>
        <v>0.963983136983217</v>
      </c>
      <c r="E742" s="83" t="n">
        <f aca="false">IF(D742&lt;(Inputs!$E$10-Inputs!$D$10)/(Inputs!$F$10-Inputs!$D$10),Inputs!$D$10+SQRT(D742*(Inputs!$F$10-Inputs!$D$10)*(Inputs!$E$10-Inputs!$D$10)),Inputs!$F$10-SQRT((1-D742)*(Inputs!$F$10-Inputs!$D$10)*(Inputs!$F$10-Inputs!$E$10)))</f>
        <v>0.167128950571917</v>
      </c>
      <c r="F742" s="81" t="n">
        <f aca="true">RAND()</f>
        <v>0.90599608758197</v>
      </c>
      <c r="G742" s="83" t="n">
        <f aca="false">IF(F742&lt;(Inputs!$E$15-Inputs!$D$15)/(Inputs!$F$15-Inputs!$D$15),Inputs!$D$15+SQRT(F742*(Inputs!$F$15-Inputs!$D$15)*(Inputs!$E$15-Inputs!$D$15)),Inputs!$F$15-SQRT((1-F742)*(Inputs!$F$15-Inputs!$D$15)*(Inputs!$F$15-Inputs!$E$15)))</f>
        <v>0.756640130900098</v>
      </c>
      <c r="H742" s="81" t="n">
        <f aca="true">RAND()</f>
        <v>0.115392609846102</v>
      </c>
      <c r="I742" s="82" t="n">
        <f aca="false">ROUND(IF(H742&lt;(Inputs!$E$17-Inputs!$D$17)/(Inputs!$F$17-Inputs!$D$17),Inputs!$D$17+SQRT(H742*(Inputs!$F$17-Inputs!$D$17)*(Inputs!$E$17-Inputs!$D$17)),Inputs!$F$17-SQRT((1-H742)*(Inputs!$F$17-Inputs!$D$17)*(Inputs!$F$17-Inputs!$E$17))),0)</f>
        <v>103</v>
      </c>
      <c r="J742" s="81" t="n">
        <f aca="true">RAND()</f>
        <v>0.347545447148993</v>
      </c>
      <c r="K742" s="83" t="n">
        <f aca="false">IF(J742&lt;(Inputs!$E$18-Inputs!$D$18)/(Inputs!$F$18-Inputs!$D$18),Inputs!$D$18+SQRT(J742*(Inputs!$F$18-Inputs!$D$18)*(Inputs!$E$18-Inputs!$D$18)),Inputs!$F$18-SQRT((1-J742)*(Inputs!$F$18-Inputs!$D$18)*(Inputs!$F$18-Inputs!$E$18)))</f>
        <v>1.01106533659918</v>
      </c>
      <c r="L742" s="81" t="n">
        <f aca="true">RAND()</f>
        <v>0.824358965943416</v>
      </c>
      <c r="M742" s="83" t="n">
        <f aca="false">IF(L742&lt;(Inputs!$E$24-Inputs!$D$24)/(Inputs!$F$24-Inputs!$D$24),Inputs!$D$24+SQRT(L742*(Inputs!$F$24-Inputs!$D$24)*(Inputs!$E$24-Inputs!$D$24)),Inputs!$F$24-SQRT((1-L742)*(Inputs!$F$24-Inputs!$D$24)*(Inputs!$F$24-Inputs!$E$24)))</f>
        <v>0.994685976675776</v>
      </c>
      <c r="N742" s="81" t="n">
        <f aca="true">RAND()</f>
        <v>0.37097500901527</v>
      </c>
      <c r="O742" s="83" t="n">
        <f aca="false">IF(N742&lt;(Inputs!$E$26-Inputs!$D$26)/(Inputs!$F$26-Inputs!$D$26),Inputs!$D$26+SQRT(N742*(Inputs!$F$26-Inputs!$D$26)*(Inputs!$E$26-Inputs!$D$26)),Inputs!$F$26-SQRT((1-N742)*(Inputs!$F$26-Inputs!$D$26)*(Inputs!$F$26-Inputs!$E$26)))</f>
        <v>0.548455713357815</v>
      </c>
      <c r="P742" s="81" t="n">
        <f aca="true">RAND()</f>
        <v>0.616311775255711</v>
      </c>
      <c r="Q742" s="82" t="n">
        <f aca="false">IF(P742&lt;(Inputs!$E$27-Inputs!$D$27)/(Inputs!$F$27-Inputs!$D$27),Inputs!$D$27+SQRT(P742*(Inputs!$F$27-Inputs!$D$27)*(Inputs!$E$27-Inputs!$D$27)),Inputs!$F$27-SQRT((1-P742)*(Inputs!$F$27-Inputs!$D$27)*(Inputs!$F$27-Inputs!$E$27)))</f>
        <v>96.3561589221823</v>
      </c>
      <c r="R742" s="81" t="n">
        <f aca="true">RAND()</f>
        <v>0.979253600679177</v>
      </c>
      <c r="S742" s="82" t="n">
        <f aca="false">IF(R742&lt;(Inputs!$E$29-Inputs!$D$29)/(Inputs!$F$29-Inputs!$D$29),Inputs!$D$29+SQRT(R742*(Inputs!$F$29-Inputs!$D$29)*(Inputs!$E$29-Inputs!$D$29)),Inputs!$F$29-SQRT((1-R742)*(Inputs!$F$29-Inputs!$D$29)*(Inputs!$F$29-Inputs!$E$29)))</f>
        <v>13.3577357363363</v>
      </c>
      <c r="T742" s="68" t="n">
        <f aca="false">Inputs!$E$9*(1+E742)+Inputs!$E$5*C742*(Inputs!$E$11*Inputs!$E$14*(G742*I742/Inputs!$E$16+(1-G742))*K742+Inputs!$E$23*M742)*(1+O742)+Inputs!$E$5*(Q742+S742)</f>
        <v>6492.38103967494</v>
      </c>
    </row>
    <row r="743" customFormat="false" ht="15" hidden="false" customHeight="false" outlineLevel="0" collapsed="false">
      <c r="A743" s="1" t="n">
        <v>739</v>
      </c>
      <c r="B743" s="81" t="n">
        <f aca="true">RAND()</f>
        <v>0.20397834114121</v>
      </c>
      <c r="C743" s="82" t="n">
        <f aca="false">ROUND(IF(B743&lt;(Inputs!$E$8-Inputs!$D$8)/(Inputs!$F$8-Inputs!$D$8),Inputs!$D$8+SQRT(B743*(Inputs!$F$8-Inputs!$D$8)*(Inputs!$E$8-Inputs!$D$8)),Inputs!$F$8-SQRT((1-B743)*(Inputs!$F$8-Inputs!$D$8)*(Inputs!$F$8-Inputs!$E$8))),0)</f>
        <v>23</v>
      </c>
      <c r="D743" s="81" t="n">
        <f aca="true">RAND()</f>
        <v>0.0389546330288984</v>
      </c>
      <c r="E743" s="83" t="n">
        <f aca="false">IF(D743&lt;(Inputs!$E$10-Inputs!$D$10)/(Inputs!$F$10-Inputs!$D$10),Inputs!$D$10+SQRT(D743*(Inputs!$F$10-Inputs!$D$10)*(Inputs!$E$10-Inputs!$D$10)),Inputs!$F$10-SQRT((1-D743)*(Inputs!$F$10-Inputs!$D$10)*(Inputs!$F$10-Inputs!$E$10)))</f>
        <v>0.0197369280864319</v>
      </c>
      <c r="F743" s="81" t="n">
        <f aca="true">RAND()</f>
        <v>0.807161845805541</v>
      </c>
      <c r="G743" s="83" t="n">
        <f aca="false">IF(F743&lt;(Inputs!$E$15-Inputs!$D$15)/(Inputs!$F$15-Inputs!$D$15),Inputs!$D$15+SQRT(F743*(Inputs!$F$15-Inputs!$D$15)*(Inputs!$E$15-Inputs!$D$15)),Inputs!$F$15-SQRT((1-F743)*(Inputs!$F$15-Inputs!$D$15)*(Inputs!$F$15-Inputs!$E$15)))</f>
        <v>0.737897157199616</v>
      </c>
      <c r="H743" s="81" t="n">
        <f aca="true">RAND()</f>
        <v>0.444980014380231</v>
      </c>
      <c r="I743" s="82" t="n">
        <f aca="false">ROUND(IF(H743&lt;(Inputs!$E$17-Inputs!$D$17)/(Inputs!$F$17-Inputs!$D$17),Inputs!$D$17+SQRT(H743*(Inputs!$F$17-Inputs!$D$17)*(Inputs!$E$17-Inputs!$D$17)),Inputs!$F$17-SQRT((1-H743)*(Inputs!$F$17-Inputs!$D$17)*(Inputs!$F$17-Inputs!$E$17))),0)</f>
        <v>106</v>
      </c>
      <c r="J743" s="81" t="n">
        <f aca="true">RAND()</f>
        <v>0.838768028056636</v>
      </c>
      <c r="K743" s="83" t="n">
        <f aca="false">IF(J743&lt;(Inputs!$E$18-Inputs!$D$18)/(Inputs!$F$18-Inputs!$D$18),Inputs!$D$18+SQRT(J743*(Inputs!$F$18-Inputs!$D$18)*(Inputs!$E$18-Inputs!$D$18)),Inputs!$F$18-SQRT((1-J743)*(Inputs!$F$18-Inputs!$D$18)*(Inputs!$F$18-Inputs!$E$18)))</f>
        <v>1.13122375008006</v>
      </c>
      <c r="L743" s="81" t="n">
        <f aca="true">RAND()</f>
        <v>0.580047862988871</v>
      </c>
      <c r="M743" s="83" t="n">
        <f aca="false">IF(L743&lt;(Inputs!$E$24-Inputs!$D$24)/(Inputs!$F$24-Inputs!$D$24),Inputs!$D$24+SQRT(L743*(Inputs!$F$24-Inputs!$D$24)*(Inputs!$E$24-Inputs!$D$24)),Inputs!$F$24-SQRT((1-L743)*(Inputs!$F$24-Inputs!$D$24)*(Inputs!$F$24-Inputs!$E$24)))</f>
        <v>0.88252793369704</v>
      </c>
      <c r="N743" s="81" t="n">
        <f aca="true">RAND()</f>
        <v>0.789349018906034</v>
      </c>
      <c r="O743" s="83" t="n">
        <f aca="false">IF(N743&lt;(Inputs!$E$26-Inputs!$D$26)/(Inputs!$F$26-Inputs!$D$26),Inputs!$D$26+SQRT(N743*(Inputs!$F$26-Inputs!$D$26)*(Inputs!$E$26-Inputs!$D$26)),Inputs!$F$26-SQRT((1-N743)*(Inputs!$F$26-Inputs!$D$26)*(Inputs!$F$26-Inputs!$E$26)))</f>
        <v>0.671987493657554</v>
      </c>
      <c r="P743" s="81" t="n">
        <f aca="true">RAND()</f>
        <v>0.19544523628285</v>
      </c>
      <c r="Q743" s="82" t="n">
        <f aca="false">IF(P743&lt;(Inputs!$E$27-Inputs!$D$27)/(Inputs!$F$27-Inputs!$D$27),Inputs!$D$27+SQRT(P743*(Inputs!$F$27-Inputs!$D$27)*(Inputs!$E$27-Inputs!$D$27)),Inputs!$F$27-SQRT((1-P743)*(Inputs!$F$27-Inputs!$D$27)*(Inputs!$F$27-Inputs!$E$27)))</f>
        <v>72.1045943348238</v>
      </c>
      <c r="R743" s="81" t="n">
        <f aca="true">RAND()</f>
        <v>0.109172087102908</v>
      </c>
      <c r="S743" s="82" t="n">
        <f aca="false">IF(R743&lt;(Inputs!$E$29-Inputs!$D$29)/(Inputs!$F$29-Inputs!$D$29),Inputs!$D$29+SQRT(R743*(Inputs!$F$29-Inputs!$D$29)*(Inputs!$E$29-Inputs!$D$29)),Inputs!$F$29-SQRT((1-R743)*(Inputs!$F$29-Inputs!$D$29)*(Inputs!$F$29-Inputs!$E$29)))</f>
        <v>4.06342225368765</v>
      </c>
      <c r="T743" s="68" t="n">
        <f aca="false">Inputs!$E$9*(1+E743)+Inputs!$E$5*C743*(Inputs!$E$11*Inputs!$E$14*(G743*I743/Inputs!$E$16+(1-G743))*K743+Inputs!$E$23*M743)*(1+O743)+Inputs!$E$5*(Q743+S743)</f>
        <v>6128.75337439062</v>
      </c>
    </row>
    <row r="744" customFormat="false" ht="15" hidden="false" customHeight="false" outlineLevel="0" collapsed="false">
      <c r="A744" s="1" t="n">
        <v>740</v>
      </c>
      <c r="B744" s="81" t="n">
        <f aca="true">RAND()</f>
        <v>0.104376030528454</v>
      </c>
      <c r="C744" s="82" t="n">
        <f aca="false">ROUND(IF(B744&lt;(Inputs!$E$8-Inputs!$D$8)/(Inputs!$F$8-Inputs!$D$8),Inputs!$D$8+SQRT(B744*(Inputs!$F$8-Inputs!$D$8)*(Inputs!$E$8-Inputs!$D$8)),Inputs!$F$8-SQRT((1-B744)*(Inputs!$F$8-Inputs!$D$8)*(Inputs!$F$8-Inputs!$E$8))),0)</f>
        <v>22</v>
      </c>
      <c r="D744" s="81" t="n">
        <f aca="true">RAND()</f>
        <v>0.828533723257282</v>
      </c>
      <c r="E744" s="83" t="n">
        <f aca="false">IF(D744&lt;(Inputs!$E$10-Inputs!$D$10)/(Inputs!$F$10-Inputs!$D$10),Inputs!$D$10+SQRT(D744*(Inputs!$F$10-Inputs!$D$10)*(Inputs!$E$10-Inputs!$D$10)),Inputs!$F$10-SQRT((1-D744)*(Inputs!$F$10-Inputs!$D$10)*(Inputs!$F$10-Inputs!$E$10)))</f>
        <v>0.128278397241267</v>
      </c>
      <c r="F744" s="81" t="n">
        <f aca="true">RAND()</f>
        <v>0.55381910818304</v>
      </c>
      <c r="G744" s="83" t="n">
        <f aca="false">IF(F744&lt;(Inputs!$E$15-Inputs!$D$15)/(Inputs!$F$15-Inputs!$D$15),Inputs!$D$15+SQRT(F744*(Inputs!$F$15-Inputs!$D$15)*(Inputs!$E$15-Inputs!$D$15)),Inputs!$F$15-SQRT((1-F744)*(Inputs!$F$15-Inputs!$D$15)*(Inputs!$F$15-Inputs!$E$15)))</f>
        <v>0.7055350973306</v>
      </c>
      <c r="H744" s="81" t="n">
        <f aca="true">RAND()</f>
        <v>0.481136080335102</v>
      </c>
      <c r="I744" s="82" t="n">
        <f aca="false">ROUND(IF(H744&lt;(Inputs!$E$17-Inputs!$D$17)/(Inputs!$F$17-Inputs!$D$17),Inputs!$D$17+SQRT(H744*(Inputs!$F$17-Inputs!$D$17)*(Inputs!$E$17-Inputs!$D$17)),Inputs!$F$17-SQRT((1-H744)*(Inputs!$F$17-Inputs!$D$17)*(Inputs!$F$17-Inputs!$E$17))),0)</f>
        <v>106</v>
      </c>
      <c r="J744" s="81" t="n">
        <f aca="true">RAND()</f>
        <v>0.687680271044424</v>
      </c>
      <c r="K744" s="83" t="n">
        <f aca="false">IF(J744&lt;(Inputs!$E$18-Inputs!$D$18)/(Inputs!$F$18-Inputs!$D$18),Inputs!$D$18+SQRT(J744*(Inputs!$F$18-Inputs!$D$18)*(Inputs!$E$18-Inputs!$D$18)),Inputs!$F$18-SQRT((1-J744)*(Inputs!$F$18-Inputs!$D$18)*(Inputs!$F$18-Inputs!$E$18)))</f>
        <v>1.08468824517412</v>
      </c>
      <c r="L744" s="81" t="n">
        <f aca="true">RAND()</f>
        <v>0.68677954779019</v>
      </c>
      <c r="M744" s="83" t="n">
        <f aca="false">IF(L744&lt;(Inputs!$E$24-Inputs!$D$24)/(Inputs!$F$24-Inputs!$D$24),Inputs!$D$24+SQRT(L744*(Inputs!$F$24-Inputs!$D$24)*(Inputs!$E$24-Inputs!$D$24)),Inputs!$F$24-SQRT((1-L744)*(Inputs!$F$24-Inputs!$D$24)*(Inputs!$F$24-Inputs!$E$24)))</f>
        <v>0.925823216645985</v>
      </c>
      <c r="N744" s="81" t="n">
        <f aca="true">RAND()</f>
        <v>0.916358858017832</v>
      </c>
      <c r="O744" s="83" t="n">
        <f aca="false">IF(N744&lt;(Inputs!$E$26-Inputs!$D$26)/(Inputs!$F$26-Inputs!$D$26),Inputs!$D$26+SQRT(N744*(Inputs!$F$26-Inputs!$D$26)*(Inputs!$E$26-Inputs!$D$26)),Inputs!$F$26-SQRT((1-N744)*(Inputs!$F$26-Inputs!$D$26)*(Inputs!$F$26-Inputs!$E$26)))</f>
        <v>0.726733292294917</v>
      </c>
      <c r="P744" s="81" t="n">
        <f aca="true">RAND()</f>
        <v>0.802721211602086</v>
      </c>
      <c r="Q744" s="82" t="n">
        <f aca="false">IF(P744&lt;(Inputs!$E$27-Inputs!$D$27)/(Inputs!$F$27-Inputs!$D$27),Inputs!$D$27+SQRT(P744*(Inputs!$F$27-Inputs!$D$27)*(Inputs!$E$27-Inputs!$D$27)),Inputs!$F$27-SQRT((1-P744)*(Inputs!$F$27-Inputs!$D$27)*(Inputs!$F$27-Inputs!$E$27)))</f>
        <v>111.534549099428</v>
      </c>
      <c r="R744" s="81" t="n">
        <f aca="true">RAND()</f>
        <v>0.366396883498345</v>
      </c>
      <c r="S744" s="82" t="n">
        <f aca="false">IF(R744&lt;(Inputs!$E$29-Inputs!$D$29)/(Inputs!$F$29-Inputs!$D$29),Inputs!$D$29+SQRT(R744*(Inputs!$F$29-Inputs!$D$29)*(Inputs!$E$29-Inputs!$D$29)),Inputs!$F$29-SQRT((1-R744)*(Inputs!$F$29-Inputs!$D$29)*(Inputs!$F$29-Inputs!$E$29)))</f>
        <v>5.92429588708319</v>
      </c>
      <c r="T744" s="68" t="n">
        <f aca="false">Inputs!$E$9*(1+E744)+Inputs!$E$5*C744*(Inputs!$E$11*Inputs!$E$14*(G744*I744/Inputs!$E$16+(1-G744))*K744+Inputs!$E$23*M744)*(1+O744)+Inputs!$E$5*(Q744+S744)</f>
        <v>6540.63419242795</v>
      </c>
    </row>
    <row r="745" customFormat="false" ht="15" hidden="false" customHeight="false" outlineLevel="0" collapsed="false">
      <c r="A745" s="1" t="n">
        <v>741</v>
      </c>
      <c r="B745" s="81" t="n">
        <f aca="true">RAND()</f>
        <v>0.0845684807961118</v>
      </c>
      <c r="C745" s="82" t="n">
        <f aca="false">ROUND(IF(B745&lt;(Inputs!$E$8-Inputs!$D$8)/(Inputs!$F$8-Inputs!$D$8),Inputs!$D$8+SQRT(B745*(Inputs!$F$8-Inputs!$D$8)*(Inputs!$E$8-Inputs!$D$8)),Inputs!$F$8-SQRT((1-B745)*(Inputs!$F$8-Inputs!$D$8)*(Inputs!$F$8-Inputs!$E$8))),0)</f>
        <v>22</v>
      </c>
      <c r="D745" s="81" t="n">
        <f aca="true">RAND()</f>
        <v>0.738204212729806</v>
      </c>
      <c r="E745" s="83" t="n">
        <f aca="false">IF(D745&lt;(Inputs!$E$10-Inputs!$D$10)/(Inputs!$F$10-Inputs!$D$10),Inputs!$D$10+SQRT(D745*(Inputs!$F$10-Inputs!$D$10)*(Inputs!$E$10-Inputs!$D$10)),Inputs!$F$10-SQRT((1-D745)*(Inputs!$F$10-Inputs!$D$10)*(Inputs!$F$10-Inputs!$E$10)))</f>
        <v>0.111377916871099</v>
      </c>
      <c r="F745" s="81" t="n">
        <f aca="true">RAND()</f>
        <v>0.157058401596254</v>
      </c>
      <c r="G745" s="83" t="n">
        <f aca="false">IF(F745&lt;(Inputs!$E$15-Inputs!$D$15)/(Inputs!$F$15-Inputs!$D$15),Inputs!$D$15+SQRT(F745*(Inputs!$F$15-Inputs!$D$15)*(Inputs!$E$15-Inputs!$D$15)),Inputs!$F$15-SQRT((1-F745)*(Inputs!$F$15-Inputs!$D$15)*(Inputs!$F$15-Inputs!$E$15)))</f>
        <v>0.656046124147215</v>
      </c>
      <c r="H745" s="81" t="n">
        <f aca="true">RAND()</f>
        <v>0.130421947688198</v>
      </c>
      <c r="I745" s="82" t="n">
        <f aca="false">ROUND(IF(H745&lt;(Inputs!$E$17-Inputs!$D$17)/(Inputs!$F$17-Inputs!$D$17),Inputs!$D$17+SQRT(H745*(Inputs!$F$17-Inputs!$D$17)*(Inputs!$E$17-Inputs!$D$17)),Inputs!$F$17-SQRT((1-H745)*(Inputs!$F$17-Inputs!$D$17)*(Inputs!$F$17-Inputs!$E$17))),0)</f>
        <v>103</v>
      </c>
      <c r="J745" s="81" t="n">
        <f aca="true">RAND()</f>
        <v>0.861056448588488</v>
      </c>
      <c r="K745" s="83" t="n">
        <f aca="false">IF(J745&lt;(Inputs!$E$18-Inputs!$D$18)/(Inputs!$F$18-Inputs!$D$18),Inputs!$D$18+SQRT(J745*(Inputs!$F$18-Inputs!$D$18)*(Inputs!$E$18-Inputs!$D$18)),Inputs!$F$18-SQRT((1-J745)*(Inputs!$F$18-Inputs!$D$18)*(Inputs!$F$18-Inputs!$E$18)))</f>
        <v>1.1397386706569</v>
      </c>
      <c r="L745" s="81" t="n">
        <f aca="true">RAND()</f>
        <v>0.649707503630575</v>
      </c>
      <c r="M745" s="83" t="n">
        <f aca="false">IF(L745&lt;(Inputs!$E$24-Inputs!$D$24)/(Inputs!$F$24-Inputs!$D$24),Inputs!$D$24+SQRT(L745*(Inputs!$F$24-Inputs!$D$24)*(Inputs!$E$24-Inputs!$D$24)),Inputs!$F$24-SQRT((1-L745)*(Inputs!$F$24-Inputs!$D$24)*(Inputs!$F$24-Inputs!$E$24)))</f>
        <v>0.910051385365162</v>
      </c>
      <c r="N745" s="81" t="n">
        <f aca="true">RAND()</f>
        <v>0.856281491490453</v>
      </c>
      <c r="O745" s="83" t="n">
        <f aca="false">IF(N745&lt;(Inputs!$E$26-Inputs!$D$26)/(Inputs!$F$26-Inputs!$D$26),Inputs!$D$26+SQRT(N745*(Inputs!$F$26-Inputs!$D$26)*(Inputs!$E$26-Inputs!$D$26)),Inputs!$F$26-SQRT((1-N745)*(Inputs!$F$26-Inputs!$D$26)*(Inputs!$F$26-Inputs!$E$26)))</f>
        <v>0.697743201068436</v>
      </c>
      <c r="P745" s="81" t="n">
        <f aca="true">RAND()</f>
        <v>0.547275100345115</v>
      </c>
      <c r="Q745" s="82" t="n">
        <f aca="false">IF(P745&lt;(Inputs!$E$27-Inputs!$D$27)/(Inputs!$F$27-Inputs!$D$27),Inputs!$D$27+SQRT(P745*(Inputs!$F$27-Inputs!$D$27)*(Inputs!$E$27-Inputs!$D$27)),Inputs!$F$27-SQRT((1-P745)*(Inputs!$F$27-Inputs!$D$27)*(Inputs!$F$27-Inputs!$E$27)))</f>
        <v>91.7296237577649</v>
      </c>
      <c r="R745" s="81" t="n">
        <f aca="true">RAND()</f>
        <v>0.636372311044337</v>
      </c>
      <c r="S745" s="82" t="n">
        <f aca="false">IF(R745&lt;(Inputs!$E$29-Inputs!$D$29)/(Inputs!$F$29-Inputs!$D$29),Inputs!$D$29+SQRT(R745*(Inputs!$F$29-Inputs!$D$29)*(Inputs!$E$29-Inputs!$D$29)),Inputs!$F$29-SQRT((1-R745)*(Inputs!$F$29-Inputs!$D$29)*(Inputs!$F$29-Inputs!$E$29)))</f>
        <v>8.12456549996757</v>
      </c>
      <c r="T745" s="68" t="n">
        <f aca="false">Inputs!$E$9*(1+E745)+Inputs!$E$5*C745*(Inputs!$E$11*Inputs!$E$14*(G745*I745/Inputs!$E$16+(1-G745))*K745+Inputs!$E$23*M745)*(1+O745)+Inputs!$E$5*(Q745+S745)</f>
        <v>6481.19809662419</v>
      </c>
    </row>
    <row r="746" customFormat="false" ht="15" hidden="false" customHeight="false" outlineLevel="0" collapsed="false">
      <c r="A746" s="1" t="n">
        <v>742</v>
      </c>
      <c r="B746" s="81" t="n">
        <f aca="true">RAND()</f>
        <v>0.0164499661502296</v>
      </c>
      <c r="C746" s="82" t="n">
        <f aca="false">ROUND(IF(B746&lt;(Inputs!$E$8-Inputs!$D$8)/(Inputs!$F$8-Inputs!$D$8),Inputs!$D$8+SQRT(B746*(Inputs!$F$8-Inputs!$D$8)*(Inputs!$E$8-Inputs!$D$8)),Inputs!$F$8-SQRT((1-B746)*(Inputs!$F$8-Inputs!$D$8)*(Inputs!$F$8-Inputs!$E$8))),0)</f>
        <v>21</v>
      </c>
      <c r="D746" s="81" t="n">
        <f aca="true">RAND()</f>
        <v>0.234052708668657</v>
      </c>
      <c r="E746" s="83" t="n">
        <f aca="false">IF(D746&lt;(Inputs!$E$10-Inputs!$D$10)/(Inputs!$F$10-Inputs!$D$10),Inputs!$D$10+SQRT(D746*(Inputs!$F$10-Inputs!$D$10)*(Inputs!$E$10-Inputs!$D$10)),Inputs!$F$10-SQRT((1-D746)*(Inputs!$F$10-Inputs!$D$10)*(Inputs!$F$10-Inputs!$E$10)))</f>
        <v>0.0483789942711355</v>
      </c>
      <c r="F746" s="81" t="n">
        <f aca="true">RAND()</f>
        <v>0.754449809060964</v>
      </c>
      <c r="G746" s="83" t="n">
        <f aca="false">IF(F746&lt;(Inputs!$E$15-Inputs!$D$15)/(Inputs!$F$15-Inputs!$D$15),Inputs!$D$15+SQRT(F746*(Inputs!$F$15-Inputs!$D$15)*(Inputs!$E$15-Inputs!$D$15)),Inputs!$F$15-SQRT((1-F746)*(Inputs!$F$15-Inputs!$D$15)*(Inputs!$F$15-Inputs!$E$15)))</f>
        <v>0.729921445371778</v>
      </c>
      <c r="H746" s="81" t="n">
        <f aca="true">RAND()</f>
        <v>0.0411213493473488</v>
      </c>
      <c r="I746" s="82" t="n">
        <f aca="false">ROUND(IF(H746&lt;(Inputs!$E$17-Inputs!$D$17)/(Inputs!$F$17-Inputs!$D$17),Inputs!$D$17+SQRT(H746*(Inputs!$F$17-Inputs!$D$17)*(Inputs!$E$17-Inputs!$D$17)),Inputs!$F$17-SQRT((1-H746)*(Inputs!$F$17-Inputs!$D$17)*(Inputs!$F$17-Inputs!$E$17))),0)</f>
        <v>102</v>
      </c>
      <c r="J746" s="81" t="n">
        <f aca="true">RAND()</f>
        <v>0.986279559894339</v>
      </c>
      <c r="K746" s="83" t="n">
        <f aca="false">IF(J746&lt;(Inputs!$E$18-Inputs!$D$18)/(Inputs!$F$18-Inputs!$D$18),Inputs!$D$18+SQRT(J746*(Inputs!$F$18-Inputs!$D$18)*(Inputs!$E$18-Inputs!$D$18)),Inputs!$F$18-SQRT((1-J746)*(Inputs!$F$18-Inputs!$D$18)*(Inputs!$F$18-Inputs!$E$18)))</f>
        <v>1.215351212009</v>
      </c>
      <c r="L746" s="81" t="n">
        <f aca="true">RAND()</f>
        <v>0.51255156072463</v>
      </c>
      <c r="M746" s="83" t="n">
        <f aca="false">IF(L746&lt;(Inputs!$E$24-Inputs!$D$24)/(Inputs!$F$24-Inputs!$D$24),Inputs!$D$24+SQRT(L746*(Inputs!$F$24-Inputs!$D$24)*(Inputs!$E$24-Inputs!$D$24)),Inputs!$F$24-SQRT((1-L746)*(Inputs!$F$24-Inputs!$D$24)*(Inputs!$F$24-Inputs!$E$24)))</f>
        <v>0.857965461647382</v>
      </c>
      <c r="N746" s="81" t="n">
        <f aca="true">RAND()</f>
        <v>0.946330147347238</v>
      </c>
      <c r="O746" s="83" t="n">
        <f aca="false">IF(N746&lt;(Inputs!$E$26-Inputs!$D$26)/(Inputs!$F$26-Inputs!$D$26),Inputs!$D$26+SQRT(N746*(Inputs!$F$26-Inputs!$D$26)*(Inputs!$E$26-Inputs!$D$26)),Inputs!$F$26-SQRT((1-N746)*(Inputs!$F$26-Inputs!$D$26)*(Inputs!$F$26-Inputs!$E$26)))</f>
        <v>0.745289460744235</v>
      </c>
      <c r="P746" s="81" t="n">
        <f aca="true">RAND()</f>
        <v>0.622941069223603</v>
      </c>
      <c r="Q746" s="82" t="n">
        <f aca="false">IF(P746&lt;(Inputs!$E$27-Inputs!$D$27)/(Inputs!$F$27-Inputs!$D$27),Inputs!$D$27+SQRT(P746*(Inputs!$F$27-Inputs!$D$27)*(Inputs!$E$27-Inputs!$D$27)),Inputs!$F$27-SQRT((1-P746)*(Inputs!$F$27-Inputs!$D$27)*(Inputs!$F$27-Inputs!$E$27)))</f>
        <v>96.8216023104966</v>
      </c>
      <c r="R746" s="81" t="n">
        <f aca="true">RAND()</f>
        <v>0.355387738437258</v>
      </c>
      <c r="S746" s="82" t="n">
        <f aca="false">IF(R746&lt;(Inputs!$E$29-Inputs!$D$29)/(Inputs!$F$29-Inputs!$D$29),Inputs!$D$29+SQRT(R746*(Inputs!$F$29-Inputs!$D$29)*(Inputs!$E$29-Inputs!$D$29)),Inputs!$F$29-SQRT((1-R746)*(Inputs!$F$29-Inputs!$D$29)*(Inputs!$F$29-Inputs!$E$29)))</f>
        <v>5.84578818230884</v>
      </c>
      <c r="T746" s="68" t="n">
        <f aca="false">Inputs!$E$9*(1+E746)+Inputs!$E$5*C746*(Inputs!$E$11*Inputs!$E$14*(G746*I746/Inputs!$E$16+(1-G746))*K746+Inputs!$E$23*M746)*(1+O746)+Inputs!$E$5*(Q746+S746)</f>
        <v>6247.88854234372</v>
      </c>
    </row>
    <row r="747" customFormat="false" ht="15" hidden="false" customHeight="false" outlineLevel="0" collapsed="false">
      <c r="A747" s="1" t="n">
        <v>743</v>
      </c>
      <c r="B747" s="81" t="n">
        <f aca="true">RAND()</f>
        <v>0.507347325449322</v>
      </c>
      <c r="C747" s="82" t="n">
        <f aca="false">ROUND(IF(B747&lt;(Inputs!$E$8-Inputs!$D$8)/(Inputs!$F$8-Inputs!$D$8),Inputs!$D$8+SQRT(B747*(Inputs!$F$8-Inputs!$D$8)*(Inputs!$E$8-Inputs!$D$8)),Inputs!$F$8-SQRT((1-B747)*(Inputs!$F$8-Inputs!$D$8)*(Inputs!$F$8-Inputs!$E$8))),0)</f>
        <v>25</v>
      </c>
      <c r="D747" s="81" t="n">
        <f aca="true">RAND()</f>
        <v>0.0850562277177848</v>
      </c>
      <c r="E747" s="83" t="n">
        <f aca="false">IF(D747&lt;(Inputs!$E$10-Inputs!$D$10)/(Inputs!$F$10-Inputs!$D$10),Inputs!$D$10+SQRT(D747*(Inputs!$F$10-Inputs!$D$10)*(Inputs!$E$10-Inputs!$D$10)),Inputs!$F$10-SQRT((1-D747)*(Inputs!$F$10-Inputs!$D$10)*(Inputs!$F$10-Inputs!$E$10)))</f>
        <v>0.0291644008540866</v>
      </c>
      <c r="F747" s="81" t="n">
        <f aca="true">RAND()</f>
        <v>0.487350603510253</v>
      </c>
      <c r="G747" s="83" t="n">
        <f aca="false">IF(F747&lt;(Inputs!$E$15-Inputs!$D$15)/(Inputs!$F$15-Inputs!$D$15),Inputs!$D$15+SQRT(F747*(Inputs!$F$15-Inputs!$D$15)*(Inputs!$E$15-Inputs!$D$15)),Inputs!$F$15-SQRT((1-F747)*(Inputs!$F$15-Inputs!$D$15)*(Inputs!$F$15-Inputs!$E$15)))</f>
        <v>0.698726957160672</v>
      </c>
      <c r="H747" s="81" t="n">
        <f aca="true">RAND()</f>
        <v>0.556859786512851</v>
      </c>
      <c r="I747" s="82" t="n">
        <f aca="false">ROUND(IF(H747&lt;(Inputs!$E$17-Inputs!$D$17)/(Inputs!$F$17-Inputs!$D$17),Inputs!$D$17+SQRT(H747*(Inputs!$F$17-Inputs!$D$17)*(Inputs!$E$17-Inputs!$D$17)),Inputs!$F$17-SQRT((1-H747)*(Inputs!$F$17-Inputs!$D$17)*(Inputs!$F$17-Inputs!$E$17))),0)</f>
        <v>107</v>
      </c>
      <c r="J747" s="81" t="n">
        <f aca="true">RAND()</f>
        <v>0.836322615175544</v>
      </c>
      <c r="K747" s="83" t="n">
        <f aca="false">IF(J747&lt;(Inputs!$E$18-Inputs!$D$18)/(Inputs!$F$18-Inputs!$D$18),Inputs!$D$18+SQRT(J747*(Inputs!$F$18-Inputs!$D$18)*(Inputs!$E$18-Inputs!$D$18)),Inputs!$F$18-SQRT((1-J747)*(Inputs!$F$18-Inputs!$D$18)*(Inputs!$F$18-Inputs!$E$18)))</f>
        <v>1.1303263973462</v>
      </c>
      <c r="L747" s="81" t="n">
        <f aca="true">RAND()</f>
        <v>0.913674010776042</v>
      </c>
      <c r="M747" s="83" t="n">
        <f aca="false">IF(L747&lt;(Inputs!$E$24-Inputs!$D$24)/(Inputs!$F$24-Inputs!$D$24),Inputs!$D$24+SQRT(L747*(Inputs!$F$24-Inputs!$D$24)*(Inputs!$E$24-Inputs!$D$24)),Inputs!$F$24-SQRT((1-L747)*(Inputs!$F$24-Inputs!$D$24)*(Inputs!$F$24-Inputs!$E$24)))</f>
        <v>1.0560616888603</v>
      </c>
      <c r="N747" s="81" t="n">
        <f aca="true">RAND()</f>
        <v>0.130622718109022</v>
      </c>
      <c r="O747" s="83" t="n">
        <f aca="false">IF(N747&lt;(Inputs!$E$26-Inputs!$D$26)/(Inputs!$F$26-Inputs!$D$26),Inputs!$D$26+SQRT(N747*(Inputs!$F$26-Inputs!$D$26)*(Inputs!$E$26-Inputs!$D$26)),Inputs!$F$26-SQRT((1-N747)*(Inputs!$F$26-Inputs!$D$26)*(Inputs!$F$26-Inputs!$E$26)))</f>
        <v>0.447430052205584</v>
      </c>
      <c r="P747" s="81" t="n">
        <f aca="true">RAND()</f>
        <v>0.226981025161996</v>
      </c>
      <c r="Q747" s="82" t="n">
        <f aca="false">IF(P747&lt;(Inputs!$E$27-Inputs!$D$27)/(Inputs!$F$27-Inputs!$D$27),Inputs!$D$27+SQRT(P747*(Inputs!$F$27-Inputs!$D$27)*(Inputs!$E$27-Inputs!$D$27)),Inputs!$F$27-SQRT((1-P747)*(Inputs!$F$27-Inputs!$D$27)*(Inputs!$F$27-Inputs!$E$27)))</f>
        <v>73.8212628318691</v>
      </c>
      <c r="R747" s="81" t="n">
        <f aca="true">RAND()</f>
        <v>0.812320615467722</v>
      </c>
      <c r="S747" s="82" t="n">
        <f aca="false">IF(R747&lt;(Inputs!$E$29-Inputs!$D$29)/(Inputs!$F$29-Inputs!$D$29),Inputs!$D$29+SQRT(R747*(Inputs!$F$29-Inputs!$D$29)*(Inputs!$E$29-Inputs!$D$29)),Inputs!$F$29-SQRT((1-R747)*(Inputs!$F$29-Inputs!$D$29)*(Inputs!$F$29-Inputs!$E$29)))</f>
        <v>10.0605344429588</v>
      </c>
      <c r="T747" s="68" t="n">
        <f aca="false">Inputs!$E$9*(1+E747)+Inputs!$E$5*C747*(Inputs!$E$11*Inputs!$E$14*(G747*I747/Inputs!$E$16+(1-G747))*K747+Inputs!$E$23*M747)*(1+O747)+Inputs!$E$5*(Q747+S747)</f>
        <v>6267.9441946245</v>
      </c>
    </row>
    <row r="748" customFormat="false" ht="15" hidden="false" customHeight="false" outlineLevel="0" collapsed="false">
      <c r="A748" s="1" t="n">
        <v>744</v>
      </c>
      <c r="B748" s="81" t="n">
        <f aca="true">RAND()</f>
        <v>0.861448440631886</v>
      </c>
      <c r="C748" s="82" t="n">
        <f aca="false">ROUND(IF(B748&lt;(Inputs!$E$8-Inputs!$D$8)/(Inputs!$F$8-Inputs!$D$8),Inputs!$D$8+SQRT(B748*(Inputs!$F$8-Inputs!$D$8)*(Inputs!$E$8-Inputs!$D$8)),Inputs!$F$8-SQRT((1-B748)*(Inputs!$F$8-Inputs!$D$8)*(Inputs!$F$8-Inputs!$E$8))),0)</f>
        <v>27</v>
      </c>
      <c r="D748" s="81" t="n">
        <f aca="true">RAND()</f>
        <v>0.763429919327566</v>
      </c>
      <c r="E748" s="83" t="n">
        <f aca="false">IF(D748&lt;(Inputs!$E$10-Inputs!$D$10)/(Inputs!$F$10-Inputs!$D$10),Inputs!$D$10+SQRT(D748*(Inputs!$F$10-Inputs!$D$10)*(Inputs!$E$10-Inputs!$D$10)),Inputs!$F$10-SQRT((1-D748)*(Inputs!$F$10-Inputs!$D$10)*(Inputs!$F$10-Inputs!$E$10)))</f>
        <v>0.115755697995811</v>
      </c>
      <c r="F748" s="81" t="n">
        <f aca="true">RAND()</f>
        <v>0.0964546215600021</v>
      </c>
      <c r="G748" s="83" t="n">
        <f aca="false">IF(F748&lt;(Inputs!$E$15-Inputs!$D$15)/(Inputs!$F$15-Inputs!$D$15),Inputs!$D$15+SQRT(F748*(Inputs!$F$15-Inputs!$D$15)*(Inputs!$E$15-Inputs!$D$15)),Inputs!$F$15-SQRT((1-F748)*(Inputs!$F$15-Inputs!$D$15)*(Inputs!$F$15-Inputs!$E$15)))</f>
        <v>0.643921434757986</v>
      </c>
      <c r="H748" s="81" t="n">
        <f aca="true">RAND()</f>
        <v>0.765346096218719</v>
      </c>
      <c r="I748" s="82" t="n">
        <f aca="false">ROUND(IF(H748&lt;(Inputs!$E$17-Inputs!$D$17)/(Inputs!$F$17-Inputs!$D$17),Inputs!$D$17+SQRT(H748*(Inputs!$F$17-Inputs!$D$17)*(Inputs!$E$17-Inputs!$D$17)),Inputs!$F$17-SQRT((1-H748)*(Inputs!$F$17-Inputs!$D$17)*(Inputs!$F$17-Inputs!$E$17))),0)</f>
        <v>109</v>
      </c>
      <c r="J748" s="81" t="n">
        <f aca="true">RAND()</f>
        <v>0.0481536767038059</v>
      </c>
      <c r="K748" s="83" t="n">
        <f aca="false">IF(J748&lt;(Inputs!$E$18-Inputs!$D$18)/(Inputs!$F$18-Inputs!$D$18),Inputs!$D$18+SQRT(J748*(Inputs!$F$18-Inputs!$D$18)*(Inputs!$E$18-Inputs!$D$18)),Inputs!$F$18-SQRT((1-J748)*(Inputs!$F$18-Inputs!$D$18)*(Inputs!$F$18-Inputs!$E$18)))</f>
        <v>0.941053363865014</v>
      </c>
      <c r="L748" s="81" t="n">
        <f aca="true">RAND()</f>
        <v>0.419198237379158</v>
      </c>
      <c r="M748" s="83" t="n">
        <f aca="false">IF(L748&lt;(Inputs!$E$24-Inputs!$D$24)/(Inputs!$F$24-Inputs!$D$24),Inputs!$D$24+SQRT(L748*(Inputs!$F$24-Inputs!$D$24)*(Inputs!$E$24-Inputs!$D$24)),Inputs!$F$24-SQRT((1-L748)*(Inputs!$F$24-Inputs!$D$24)*(Inputs!$F$24-Inputs!$E$24)))</f>
        <v>0.826647053006137</v>
      </c>
      <c r="N748" s="81" t="n">
        <f aca="true">RAND()</f>
        <v>0.538821267314361</v>
      </c>
      <c r="O748" s="83" t="n">
        <f aca="false">IF(N748&lt;(Inputs!$E$26-Inputs!$D$26)/(Inputs!$F$26-Inputs!$D$26),Inputs!$D$26+SQRT(N748*(Inputs!$F$26-Inputs!$D$26)*(Inputs!$E$26-Inputs!$D$26)),Inputs!$F$26-SQRT((1-N748)*(Inputs!$F$26-Inputs!$D$26)*(Inputs!$F$26-Inputs!$E$26)))</f>
        <v>0.59943256149108</v>
      </c>
      <c r="P748" s="81" t="n">
        <f aca="true">RAND()</f>
        <v>0.489865574946358</v>
      </c>
      <c r="Q748" s="82" t="n">
        <f aca="false">IF(P748&lt;(Inputs!$E$27-Inputs!$D$27)/(Inputs!$F$27-Inputs!$D$27),Inputs!$D$27+SQRT(P748*(Inputs!$F$27-Inputs!$D$27)*(Inputs!$E$27-Inputs!$D$27)),Inputs!$F$27-SQRT((1-P748)*(Inputs!$F$27-Inputs!$D$27)*(Inputs!$F$27-Inputs!$E$27)))</f>
        <v>88.1452654366514</v>
      </c>
      <c r="R748" s="81" t="n">
        <f aca="true">RAND()</f>
        <v>0.39118705788433</v>
      </c>
      <c r="S748" s="82" t="n">
        <f aca="false">IF(R748&lt;(Inputs!$E$29-Inputs!$D$29)/(Inputs!$F$29-Inputs!$D$29),Inputs!$D$29+SQRT(R748*(Inputs!$F$29-Inputs!$D$29)*(Inputs!$E$29-Inputs!$D$29)),Inputs!$F$29-SQRT((1-R748)*(Inputs!$F$29-Inputs!$D$29)*(Inputs!$F$29-Inputs!$E$29)))</f>
        <v>6.10361407789449</v>
      </c>
      <c r="T748" s="68" t="n">
        <f aca="false">Inputs!$E$9*(1+E748)+Inputs!$E$5*C748*(Inputs!$E$11*Inputs!$E$14*(G748*I748/Inputs!$E$16+(1-G748))*K748+Inputs!$E$23*M748)*(1+O748)+Inputs!$E$5*(Q748+S748)</f>
        <v>6500.4238625625</v>
      </c>
    </row>
    <row r="749" customFormat="false" ht="15" hidden="false" customHeight="false" outlineLevel="0" collapsed="false">
      <c r="A749" s="1" t="n">
        <v>745</v>
      </c>
      <c r="B749" s="81" t="n">
        <f aca="true">RAND()</f>
        <v>0.14752073228073</v>
      </c>
      <c r="C749" s="82" t="n">
        <f aca="false">ROUND(IF(B749&lt;(Inputs!$E$8-Inputs!$D$8)/(Inputs!$F$8-Inputs!$D$8),Inputs!$D$8+SQRT(B749*(Inputs!$F$8-Inputs!$D$8)*(Inputs!$E$8-Inputs!$D$8)),Inputs!$F$8-SQRT((1-B749)*(Inputs!$F$8-Inputs!$D$8)*(Inputs!$F$8-Inputs!$E$8))),0)</f>
        <v>23</v>
      </c>
      <c r="D749" s="81" t="n">
        <f aca="true">RAND()</f>
        <v>0.276977727534487</v>
      </c>
      <c r="E749" s="83" t="n">
        <f aca="false">IF(D749&lt;(Inputs!$E$10-Inputs!$D$10)/(Inputs!$F$10-Inputs!$D$10),Inputs!$D$10+SQRT(D749*(Inputs!$F$10-Inputs!$D$10)*(Inputs!$E$10-Inputs!$D$10)),Inputs!$F$10-SQRT((1-D749)*(Inputs!$F$10-Inputs!$D$10)*(Inputs!$F$10-Inputs!$E$10)))</f>
        <v>0.0527224790609056</v>
      </c>
      <c r="F749" s="81" t="n">
        <f aca="true">RAND()</f>
        <v>0.97003064927792</v>
      </c>
      <c r="G749" s="83" t="n">
        <f aca="false">IF(F749&lt;(Inputs!$E$15-Inputs!$D$15)/(Inputs!$F$15-Inputs!$D$15),Inputs!$D$15+SQRT(F749*(Inputs!$F$15-Inputs!$D$15)*(Inputs!$E$15-Inputs!$D$15)),Inputs!$F$15-SQRT((1-F749)*(Inputs!$F$15-Inputs!$D$15)*(Inputs!$F$15-Inputs!$E$15)))</f>
        <v>0.775517618284946</v>
      </c>
      <c r="H749" s="81" t="n">
        <f aca="true">RAND()</f>
        <v>0.981667516604287</v>
      </c>
      <c r="I749" s="82" t="n">
        <f aca="false">ROUND(IF(H749&lt;(Inputs!$E$17-Inputs!$D$17)/(Inputs!$F$17-Inputs!$D$17),Inputs!$D$17+SQRT(H749*(Inputs!$F$17-Inputs!$D$17)*(Inputs!$E$17-Inputs!$D$17)),Inputs!$F$17-SQRT((1-H749)*(Inputs!$F$17-Inputs!$D$17)*(Inputs!$F$17-Inputs!$E$17))),0)</f>
        <v>113</v>
      </c>
      <c r="J749" s="81" t="n">
        <f aca="true">RAND()</f>
        <v>0.701380481513091</v>
      </c>
      <c r="K749" s="83" t="n">
        <f aca="false">IF(J749&lt;(Inputs!$E$18-Inputs!$D$18)/(Inputs!$F$18-Inputs!$D$18),Inputs!$D$18+SQRT(J749*(Inputs!$F$18-Inputs!$D$18)*(Inputs!$E$18-Inputs!$D$18)),Inputs!$F$18-SQRT((1-J749)*(Inputs!$F$18-Inputs!$D$18)*(Inputs!$F$18-Inputs!$E$18)))</f>
        <v>1.08835468498096</v>
      </c>
      <c r="L749" s="81" t="n">
        <f aca="true">RAND()</f>
        <v>0.288754066969889</v>
      </c>
      <c r="M749" s="83" t="n">
        <f aca="false">IF(L749&lt;(Inputs!$E$24-Inputs!$D$24)/(Inputs!$F$24-Inputs!$D$24),Inputs!$D$24+SQRT(L749*(Inputs!$F$24-Inputs!$D$24)*(Inputs!$E$24-Inputs!$D$24)),Inputs!$F$24-SQRT((1-L749)*(Inputs!$F$24-Inputs!$D$24)*(Inputs!$F$24-Inputs!$E$24)))</f>
        <v>0.786146415588339</v>
      </c>
      <c r="N749" s="81" t="n">
        <f aca="true">RAND()</f>
        <v>0.490911613752394</v>
      </c>
      <c r="O749" s="83" t="n">
        <f aca="false">IF(N749&lt;(Inputs!$E$26-Inputs!$D$26)/(Inputs!$F$26-Inputs!$D$26),Inputs!$D$26+SQRT(N749*(Inputs!$F$26-Inputs!$D$26)*(Inputs!$E$26-Inputs!$D$26)),Inputs!$F$26-SQRT((1-N749)*(Inputs!$F$26-Inputs!$D$26)*(Inputs!$F$26-Inputs!$E$26)))</f>
        <v>0.585810588551926</v>
      </c>
      <c r="P749" s="81" t="n">
        <f aca="true">RAND()</f>
        <v>0.938723787926114</v>
      </c>
      <c r="Q749" s="82" t="n">
        <f aca="false">IF(P749&lt;(Inputs!$E$27-Inputs!$D$27)/(Inputs!$F$27-Inputs!$D$27),Inputs!$D$27+SQRT(P749*(Inputs!$F$27-Inputs!$D$27)*(Inputs!$E$27-Inputs!$D$27)),Inputs!$F$27-SQRT((1-P749)*(Inputs!$F$27-Inputs!$D$27)*(Inputs!$F$27-Inputs!$E$27)))</f>
        <v>128.562379083626</v>
      </c>
      <c r="R749" s="81" t="n">
        <f aca="true">RAND()</f>
        <v>0.472859515699103</v>
      </c>
      <c r="S749" s="82" t="n">
        <f aca="false">IF(R749&lt;(Inputs!$E$29-Inputs!$D$29)/(Inputs!$F$29-Inputs!$D$29),Inputs!$D$29+SQRT(R749*(Inputs!$F$29-Inputs!$D$29)*(Inputs!$E$29-Inputs!$D$29)),Inputs!$F$29-SQRT((1-R749)*(Inputs!$F$29-Inputs!$D$29)*(Inputs!$F$29-Inputs!$E$29)))</f>
        <v>6.72182006965803</v>
      </c>
      <c r="T749" s="68" t="n">
        <f aca="false">Inputs!$E$9*(1+E749)+Inputs!$E$5*C749*(Inputs!$E$11*Inputs!$E$14*(G749*I749/Inputs!$E$16+(1-G749))*K749+Inputs!$E$23*M749)*(1+O749)+Inputs!$E$5*(Q749+S749)</f>
        <v>6149.06911290992</v>
      </c>
    </row>
    <row r="750" customFormat="false" ht="15" hidden="false" customHeight="false" outlineLevel="0" collapsed="false">
      <c r="A750" s="1" t="n">
        <v>746</v>
      </c>
      <c r="B750" s="81" t="n">
        <f aca="true">RAND()</f>
        <v>0.166948453079808</v>
      </c>
      <c r="C750" s="82" t="n">
        <f aca="false">ROUND(IF(B750&lt;(Inputs!$E$8-Inputs!$D$8)/(Inputs!$F$8-Inputs!$D$8),Inputs!$D$8+SQRT(B750*(Inputs!$F$8-Inputs!$D$8)*(Inputs!$E$8-Inputs!$D$8)),Inputs!$F$8-SQRT((1-B750)*(Inputs!$F$8-Inputs!$D$8)*(Inputs!$F$8-Inputs!$E$8))),0)</f>
        <v>23</v>
      </c>
      <c r="D750" s="81" t="n">
        <f aca="true">RAND()</f>
        <v>0.1077468086465</v>
      </c>
      <c r="E750" s="83" t="n">
        <f aca="false">IF(D750&lt;(Inputs!$E$10-Inputs!$D$10)/(Inputs!$F$10-Inputs!$D$10),Inputs!$D$10+SQRT(D750*(Inputs!$F$10-Inputs!$D$10)*(Inputs!$E$10-Inputs!$D$10)),Inputs!$F$10-SQRT((1-D750)*(Inputs!$F$10-Inputs!$D$10)*(Inputs!$F$10-Inputs!$E$10)))</f>
        <v>0.0328248090088122</v>
      </c>
      <c r="F750" s="81" t="n">
        <f aca="true">RAND()</f>
        <v>0.957008649729678</v>
      </c>
      <c r="G750" s="83" t="n">
        <f aca="false">IF(F750&lt;(Inputs!$E$15-Inputs!$D$15)/(Inputs!$F$15-Inputs!$D$15),Inputs!$D$15+SQRT(F750*(Inputs!$F$15-Inputs!$D$15)*(Inputs!$E$15-Inputs!$D$15)),Inputs!$F$15-SQRT((1-F750)*(Inputs!$F$15-Inputs!$D$15)*(Inputs!$F$15-Inputs!$E$15)))</f>
        <v>0.770677193084453</v>
      </c>
      <c r="H750" s="81" t="n">
        <f aca="true">RAND()</f>
        <v>0.721081950490563</v>
      </c>
      <c r="I750" s="82" t="n">
        <f aca="false">ROUND(IF(H750&lt;(Inputs!$E$17-Inputs!$D$17)/(Inputs!$F$17-Inputs!$D$17),Inputs!$D$17+SQRT(H750*(Inputs!$F$17-Inputs!$D$17)*(Inputs!$E$17-Inputs!$D$17)),Inputs!$F$17-SQRT((1-H750)*(Inputs!$F$17-Inputs!$D$17)*(Inputs!$F$17-Inputs!$E$17))),0)</f>
        <v>109</v>
      </c>
      <c r="J750" s="81" t="n">
        <f aca="true">RAND()</f>
        <v>0.827355823461438</v>
      </c>
      <c r="K750" s="83" t="n">
        <f aca="false">IF(J750&lt;(Inputs!$E$18-Inputs!$D$18)/(Inputs!$F$18-Inputs!$D$18),Inputs!$D$18+SQRT(J750*(Inputs!$F$18-Inputs!$D$18)*(Inputs!$E$18-Inputs!$D$18)),Inputs!$F$18-SQRT((1-J750)*(Inputs!$F$18-Inputs!$D$18)*(Inputs!$F$18-Inputs!$E$18)))</f>
        <v>1.12709204481758</v>
      </c>
      <c r="L750" s="81" t="n">
        <f aca="true">RAND()</f>
        <v>0.579707251726299</v>
      </c>
      <c r="M750" s="83" t="n">
        <f aca="false">IF(L750&lt;(Inputs!$E$24-Inputs!$D$24)/(Inputs!$F$24-Inputs!$D$24),Inputs!$D$24+SQRT(L750*(Inputs!$F$24-Inputs!$D$24)*(Inputs!$E$24-Inputs!$D$24)),Inputs!$F$24-SQRT((1-L750)*(Inputs!$F$24-Inputs!$D$24)*(Inputs!$F$24-Inputs!$E$24)))</f>
        <v>0.882399213499576</v>
      </c>
      <c r="N750" s="81" t="n">
        <f aca="true">RAND()</f>
        <v>0.218734333824782</v>
      </c>
      <c r="O750" s="83" t="n">
        <f aca="false">IF(N750&lt;(Inputs!$E$26-Inputs!$D$26)/(Inputs!$F$26-Inputs!$D$26),Inputs!$D$26+SQRT(N750*(Inputs!$F$26-Inputs!$D$26)*(Inputs!$E$26-Inputs!$D$26)),Inputs!$F$26-SQRT((1-N750)*(Inputs!$F$26-Inputs!$D$26)*(Inputs!$F$26-Inputs!$E$26)))</f>
        <v>0.490781008353672</v>
      </c>
      <c r="P750" s="81" t="n">
        <f aca="true">RAND()</f>
        <v>0.591519389144179</v>
      </c>
      <c r="Q750" s="82" t="n">
        <f aca="false">IF(P750&lt;(Inputs!$E$27-Inputs!$D$27)/(Inputs!$F$27-Inputs!$D$27),Inputs!$D$27+SQRT(P750*(Inputs!$F$27-Inputs!$D$27)*(Inputs!$E$27-Inputs!$D$27)),Inputs!$F$27-SQRT((1-P750)*(Inputs!$F$27-Inputs!$D$27)*(Inputs!$F$27-Inputs!$E$27)))</f>
        <v>94.6501618663735</v>
      </c>
      <c r="R750" s="81" t="n">
        <f aca="true">RAND()</f>
        <v>0.245673275404527</v>
      </c>
      <c r="S750" s="82" t="n">
        <f aca="false">IF(R750&lt;(Inputs!$E$29-Inputs!$D$29)/(Inputs!$F$29-Inputs!$D$29),Inputs!$D$29+SQRT(R750*(Inputs!$F$29-Inputs!$D$29)*(Inputs!$E$29-Inputs!$D$29)),Inputs!$F$29-SQRT((1-R750)*(Inputs!$F$29-Inputs!$D$29)*(Inputs!$F$29-Inputs!$E$29)))</f>
        <v>5.09735014264305</v>
      </c>
      <c r="T750" s="68" t="n">
        <f aca="false">Inputs!$E$9*(1+E750)+Inputs!$E$5*C750*(Inputs!$E$11*Inputs!$E$14*(G750*I750/Inputs!$E$16+(1-G750))*K750+Inputs!$E$23*M750)*(1+O750)+Inputs!$E$5*(Q750+S750)</f>
        <v>5883.53924289298</v>
      </c>
    </row>
    <row r="751" customFormat="false" ht="15" hidden="false" customHeight="false" outlineLevel="0" collapsed="false">
      <c r="A751" s="1" t="n">
        <v>747</v>
      </c>
      <c r="B751" s="81" t="n">
        <f aca="true">RAND()</f>
        <v>0.212329728040369</v>
      </c>
      <c r="C751" s="82" t="n">
        <f aca="false">ROUND(IF(B751&lt;(Inputs!$E$8-Inputs!$D$8)/(Inputs!$F$8-Inputs!$D$8),Inputs!$D$8+SQRT(B751*(Inputs!$F$8-Inputs!$D$8)*(Inputs!$E$8-Inputs!$D$8)),Inputs!$F$8-SQRT((1-B751)*(Inputs!$F$8-Inputs!$D$8)*(Inputs!$F$8-Inputs!$E$8))),0)</f>
        <v>23</v>
      </c>
      <c r="D751" s="81" t="n">
        <f aca="true">RAND()</f>
        <v>0.504768520703432</v>
      </c>
      <c r="E751" s="83" t="n">
        <f aca="false">IF(D751&lt;(Inputs!$E$10-Inputs!$D$10)/(Inputs!$F$10-Inputs!$D$10),Inputs!$D$10+SQRT(D751*(Inputs!$F$10-Inputs!$D$10)*(Inputs!$E$10-Inputs!$D$10)),Inputs!$F$10-SQRT((1-D751)*(Inputs!$F$10-Inputs!$D$10)*(Inputs!$F$10-Inputs!$E$10)))</f>
        <v>0.0781109341290325</v>
      </c>
      <c r="F751" s="81" t="n">
        <f aca="true">RAND()</f>
        <v>0.580685447268738</v>
      </c>
      <c r="G751" s="83" t="n">
        <f aca="false">IF(F751&lt;(Inputs!$E$15-Inputs!$D$15)/(Inputs!$F$15-Inputs!$D$15),Inputs!$D$15+SQRT(F751*(Inputs!$F$15-Inputs!$D$15)*(Inputs!$E$15-Inputs!$D$15)),Inputs!$F$15-SQRT((1-F751)*(Inputs!$F$15-Inputs!$D$15)*(Inputs!$F$15-Inputs!$E$15)))</f>
        <v>0.708423305068237</v>
      </c>
      <c r="H751" s="81" t="n">
        <f aca="true">RAND()</f>
        <v>0.535007982551085</v>
      </c>
      <c r="I751" s="82" t="n">
        <f aca="false">ROUND(IF(H751&lt;(Inputs!$E$17-Inputs!$D$17)/(Inputs!$F$17-Inputs!$D$17),Inputs!$D$17+SQRT(H751*(Inputs!$F$17-Inputs!$D$17)*(Inputs!$E$17-Inputs!$D$17)),Inputs!$F$17-SQRT((1-H751)*(Inputs!$F$17-Inputs!$D$17)*(Inputs!$F$17-Inputs!$E$17))),0)</f>
        <v>107</v>
      </c>
      <c r="J751" s="81" t="n">
        <f aca="true">RAND()</f>
        <v>0.372718993425862</v>
      </c>
      <c r="K751" s="83" t="n">
        <f aca="false">IF(J751&lt;(Inputs!$E$18-Inputs!$D$18)/(Inputs!$F$18-Inputs!$D$18),Inputs!$D$18+SQRT(J751*(Inputs!$F$18-Inputs!$D$18)*(Inputs!$E$18-Inputs!$D$18)),Inputs!$F$18-SQRT((1-J751)*(Inputs!$F$18-Inputs!$D$18)*(Inputs!$F$18-Inputs!$E$18)))</f>
        <v>1.01572006471907</v>
      </c>
      <c r="L751" s="81" t="n">
        <f aca="true">RAND()</f>
        <v>0.749052167348322</v>
      </c>
      <c r="M751" s="83" t="n">
        <f aca="false">IF(L751&lt;(Inputs!$E$24-Inputs!$D$24)/(Inputs!$F$24-Inputs!$D$24),Inputs!$D$24+SQRT(L751*(Inputs!$F$24-Inputs!$D$24)*(Inputs!$E$24-Inputs!$D$24)),Inputs!$F$24-SQRT((1-L751)*(Inputs!$F$24-Inputs!$D$24)*(Inputs!$F$24-Inputs!$E$24)))</f>
        <v>0.954587123735524</v>
      </c>
      <c r="N751" s="81" t="n">
        <f aca="true">RAND()</f>
        <v>0.932678157047791</v>
      </c>
      <c r="O751" s="83" t="n">
        <f aca="false">IF(N751&lt;(Inputs!$E$26-Inputs!$D$26)/(Inputs!$F$26-Inputs!$D$26),Inputs!$D$26+SQRT(N751*(Inputs!$F$26-Inputs!$D$26)*(Inputs!$E$26-Inputs!$D$26)),Inputs!$F$26-SQRT((1-N751)*(Inputs!$F$26-Inputs!$D$26)*(Inputs!$F$26-Inputs!$E$26)))</f>
        <v>0.736325202916113</v>
      </c>
      <c r="P751" s="81" t="n">
        <f aca="true">RAND()</f>
        <v>0.909233585310759</v>
      </c>
      <c r="Q751" s="82" t="n">
        <f aca="false">IF(P751&lt;(Inputs!$E$27-Inputs!$D$27)/(Inputs!$F$27-Inputs!$D$27),Inputs!$D$27+SQRT(P751*(Inputs!$F$27-Inputs!$D$27)*(Inputs!$E$27-Inputs!$D$27)),Inputs!$F$27-SQRT((1-P751)*(Inputs!$F$27-Inputs!$D$27)*(Inputs!$F$27-Inputs!$E$27)))</f>
        <v>123.908849964609</v>
      </c>
      <c r="R751" s="81" t="n">
        <f aca="true">RAND()</f>
        <v>0.21168371043746</v>
      </c>
      <c r="S751" s="82" t="n">
        <f aca="false">IF(R751&lt;(Inputs!$E$29-Inputs!$D$29)/(Inputs!$F$29-Inputs!$D$29),Inputs!$D$29+SQRT(R751*(Inputs!$F$29-Inputs!$D$29)*(Inputs!$E$29-Inputs!$D$29)),Inputs!$F$29-SQRT((1-R751)*(Inputs!$F$29-Inputs!$D$29)*(Inputs!$F$29-Inputs!$E$29)))</f>
        <v>4.87326725298239</v>
      </c>
      <c r="T751" s="68" t="n">
        <f aca="false">Inputs!$E$9*(1+E751)+Inputs!$E$5*C751*(Inputs!$E$11*Inputs!$E$14*(G751*I751/Inputs!$E$16+(1-G751))*K751+Inputs!$E$23*M751)*(1+O751)+Inputs!$E$5*(Q751+S751)</f>
        <v>6565.67397409128</v>
      </c>
    </row>
    <row r="752" customFormat="false" ht="15" hidden="false" customHeight="false" outlineLevel="0" collapsed="false">
      <c r="A752" s="1" t="n">
        <v>748</v>
      </c>
      <c r="B752" s="81" t="n">
        <f aca="true">RAND()</f>
        <v>0.890462202710002</v>
      </c>
      <c r="C752" s="82" t="n">
        <f aca="false">ROUND(IF(B752&lt;(Inputs!$E$8-Inputs!$D$8)/(Inputs!$F$8-Inputs!$D$8),Inputs!$D$8+SQRT(B752*(Inputs!$F$8-Inputs!$D$8)*(Inputs!$E$8-Inputs!$D$8)),Inputs!$F$8-SQRT((1-B752)*(Inputs!$F$8-Inputs!$D$8)*(Inputs!$F$8-Inputs!$E$8))),0)</f>
        <v>28</v>
      </c>
      <c r="D752" s="81" t="n">
        <f aca="true">RAND()</f>
        <v>0.713778555212714</v>
      </c>
      <c r="E752" s="83" t="n">
        <f aca="false">IF(D752&lt;(Inputs!$E$10-Inputs!$D$10)/(Inputs!$F$10-Inputs!$D$10),Inputs!$D$10+SQRT(D752*(Inputs!$F$10-Inputs!$D$10)*(Inputs!$E$10-Inputs!$D$10)),Inputs!$F$10-SQRT((1-D752)*(Inputs!$F$10-Inputs!$D$10)*(Inputs!$F$10-Inputs!$E$10)))</f>
        <v>0.107335857293025</v>
      </c>
      <c r="F752" s="81" t="n">
        <f aca="true">RAND()</f>
        <v>0.676217798451516</v>
      </c>
      <c r="G752" s="83" t="n">
        <f aca="false">IF(F752&lt;(Inputs!$E$15-Inputs!$D$15)/(Inputs!$F$15-Inputs!$D$15),Inputs!$D$15+SQRT(F752*(Inputs!$F$15-Inputs!$D$15)*(Inputs!$E$15-Inputs!$D$15)),Inputs!$F$15-SQRT((1-F752)*(Inputs!$F$15-Inputs!$D$15)*(Inputs!$F$15-Inputs!$E$15)))</f>
        <v>0.71952861358862</v>
      </c>
      <c r="H752" s="81" t="n">
        <f aca="true">RAND()</f>
        <v>0.740940450885698</v>
      </c>
      <c r="I752" s="82" t="n">
        <f aca="false">ROUND(IF(H752&lt;(Inputs!$E$17-Inputs!$D$17)/(Inputs!$F$17-Inputs!$D$17),Inputs!$D$17+SQRT(H752*(Inputs!$F$17-Inputs!$D$17)*(Inputs!$E$17-Inputs!$D$17)),Inputs!$F$17-SQRT((1-H752)*(Inputs!$F$17-Inputs!$D$17)*(Inputs!$F$17-Inputs!$E$17))),0)</f>
        <v>109</v>
      </c>
      <c r="J752" s="81" t="n">
        <f aca="true">RAND()</f>
        <v>0.919954034912873</v>
      </c>
      <c r="K752" s="83" t="n">
        <f aca="false">IF(J752&lt;(Inputs!$E$18-Inputs!$D$18)/(Inputs!$F$18-Inputs!$D$18),Inputs!$D$18+SQRT(J752*(Inputs!$F$18-Inputs!$D$18)*(Inputs!$E$18-Inputs!$D$18)),Inputs!$F$18-SQRT((1-J752)*(Inputs!$F$18-Inputs!$D$18)*(Inputs!$F$18-Inputs!$E$18)))</f>
        <v>1.16630996507873</v>
      </c>
      <c r="L752" s="81" t="n">
        <f aca="true">RAND()</f>
        <v>0.0767967382834653</v>
      </c>
      <c r="M752" s="83" t="n">
        <f aca="false">IF(L752&lt;(Inputs!$E$24-Inputs!$D$24)/(Inputs!$F$24-Inputs!$D$24),Inputs!$D$24+SQRT(L752*(Inputs!$F$24-Inputs!$D$24)*(Inputs!$E$24-Inputs!$D$24)),Inputs!$F$24-SQRT((1-L752)*(Inputs!$F$24-Inputs!$D$24)*(Inputs!$F$24-Inputs!$E$24)))</f>
        <v>0.695997961405521</v>
      </c>
      <c r="N752" s="81" t="n">
        <f aca="true">RAND()</f>
        <v>0.459717566938883</v>
      </c>
      <c r="O752" s="83" t="n">
        <f aca="false">IF(N752&lt;(Inputs!$E$26-Inputs!$D$26)/(Inputs!$F$26-Inputs!$D$26),Inputs!$D$26+SQRT(N752*(Inputs!$F$26-Inputs!$D$26)*(Inputs!$E$26-Inputs!$D$26)),Inputs!$F$26-SQRT((1-N752)*(Inputs!$F$26-Inputs!$D$26)*(Inputs!$F$26-Inputs!$E$26)))</f>
        <v>0.576580916078153</v>
      </c>
      <c r="P752" s="81" t="n">
        <f aca="true">RAND()</f>
        <v>0.111000288479183</v>
      </c>
      <c r="Q752" s="82" t="n">
        <f aca="false">IF(P752&lt;(Inputs!$E$27-Inputs!$D$27)/(Inputs!$F$27-Inputs!$D$27),Inputs!$D$27+SQRT(P752*(Inputs!$F$27-Inputs!$D$27)*(Inputs!$E$27-Inputs!$D$27)),Inputs!$F$27-SQRT((1-P752)*(Inputs!$F$27-Inputs!$D$27)*(Inputs!$F$27-Inputs!$E$27)))</f>
        <v>66.6583528957084</v>
      </c>
      <c r="R752" s="81" t="n">
        <f aca="true">RAND()</f>
        <v>0.3290064020282</v>
      </c>
      <c r="S752" s="82" t="n">
        <f aca="false">IF(R752&lt;(Inputs!$E$29-Inputs!$D$29)/(Inputs!$F$29-Inputs!$D$29),Inputs!$D$29+SQRT(R752*(Inputs!$F$29-Inputs!$D$29)*(Inputs!$E$29-Inputs!$D$29)),Inputs!$F$29-SQRT((1-R752)*(Inputs!$F$29-Inputs!$D$29)*(Inputs!$F$29-Inputs!$E$29)))</f>
        <v>5.66034434594433</v>
      </c>
      <c r="T752" s="68" t="n">
        <f aca="false">Inputs!$E$9*(1+E752)+Inputs!$E$5*C752*(Inputs!$E$11*Inputs!$E$14*(G752*I752/Inputs!$E$16+(1-G752))*K752+Inputs!$E$23*M752)*(1+O752)+Inputs!$E$5*(Q752+S752)</f>
        <v>6686.1240627097</v>
      </c>
    </row>
    <row r="753" customFormat="false" ht="15" hidden="false" customHeight="false" outlineLevel="0" collapsed="false">
      <c r="A753" s="1" t="n">
        <v>749</v>
      </c>
      <c r="B753" s="81" t="n">
        <f aca="true">RAND()</f>
        <v>0.0700147585942305</v>
      </c>
      <c r="C753" s="82" t="n">
        <f aca="false">ROUND(IF(B753&lt;(Inputs!$E$8-Inputs!$D$8)/(Inputs!$F$8-Inputs!$D$8),Inputs!$D$8+SQRT(B753*(Inputs!$F$8-Inputs!$D$8)*(Inputs!$E$8-Inputs!$D$8)),Inputs!$F$8-SQRT((1-B753)*(Inputs!$F$8-Inputs!$D$8)*(Inputs!$F$8-Inputs!$E$8))),0)</f>
        <v>22</v>
      </c>
      <c r="D753" s="81" t="n">
        <f aca="true">RAND()</f>
        <v>0.751247509496288</v>
      </c>
      <c r="E753" s="83" t="n">
        <f aca="false">IF(D753&lt;(Inputs!$E$10-Inputs!$D$10)/(Inputs!$F$10-Inputs!$D$10),Inputs!$D$10+SQRT(D753*(Inputs!$F$10-Inputs!$D$10)*(Inputs!$E$10-Inputs!$D$10)),Inputs!$F$10-SQRT((1-D753)*(Inputs!$F$10-Inputs!$D$10)*(Inputs!$F$10-Inputs!$E$10)))</f>
        <v>0.11361380483485</v>
      </c>
      <c r="F753" s="81" t="n">
        <f aca="true">RAND()</f>
        <v>0.594024084114983</v>
      </c>
      <c r="G753" s="83" t="n">
        <f aca="false">IF(F753&lt;(Inputs!$E$15-Inputs!$D$15)/(Inputs!$F$15-Inputs!$D$15),Inputs!$D$15+SQRT(F753*(Inputs!$F$15-Inputs!$D$15)*(Inputs!$E$15-Inputs!$D$15)),Inputs!$F$15-SQRT((1-F753)*(Inputs!$F$15-Inputs!$D$15)*(Inputs!$F$15-Inputs!$E$15)))</f>
        <v>0.709891630146249</v>
      </c>
      <c r="H753" s="81" t="n">
        <f aca="true">RAND()</f>
        <v>0.436294559156137</v>
      </c>
      <c r="I753" s="82" t="n">
        <f aca="false">ROUND(IF(H753&lt;(Inputs!$E$17-Inputs!$D$17)/(Inputs!$F$17-Inputs!$D$17),Inputs!$D$17+SQRT(H753*(Inputs!$F$17-Inputs!$D$17)*(Inputs!$E$17-Inputs!$D$17)),Inputs!$F$17-SQRT((1-H753)*(Inputs!$F$17-Inputs!$D$17)*(Inputs!$F$17-Inputs!$E$17))),0)</f>
        <v>106</v>
      </c>
      <c r="J753" s="81" t="n">
        <f aca="true">RAND()</f>
        <v>0.63291544369782</v>
      </c>
      <c r="K753" s="83" t="n">
        <f aca="false">IF(J753&lt;(Inputs!$E$18-Inputs!$D$18)/(Inputs!$F$18-Inputs!$D$18),Inputs!$D$18+SQRT(J753*(Inputs!$F$18-Inputs!$D$18)*(Inputs!$E$18-Inputs!$D$18)),Inputs!$F$18-SQRT((1-J753)*(Inputs!$F$18-Inputs!$D$18)*(Inputs!$F$18-Inputs!$E$18)))</f>
        <v>1.0707797481409</v>
      </c>
      <c r="L753" s="81" t="n">
        <f aca="true">RAND()</f>
        <v>0.522933682778683</v>
      </c>
      <c r="M753" s="83" t="n">
        <f aca="false">IF(L753&lt;(Inputs!$E$24-Inputs!$D$24)/(Inputs!$F$24-Inputs!$D$24),Inputs!$D$24+SQRT(L753*(Inputs!$F$24-Inputs!$D$24)*(Inputs!$E$24-Inputs!$D$24)),Inputs!$F$24-SQRT((1-L753)*(Inputs!$F$24-Inputs!$D$24)*(Inputs!$F$24-Inputs!$E$24)))</f>
        <v>0.861627548205951</v>
      </c>
      <c r="N753" s="81" t="n">
        <f aca="true">RAND()</f>
        <v>0.590842520957696</v>
      </c>
      <c r="O753" s="83" t="n">
        <f aca="false">IF(N753&lt;(Inputs!$E$26-Inputs!$D$26)/(Inputs!$F$26-Inputs!$D$26),Inputs!$D$26+SQRT(N753*(Inputs!$F$26-Inputs!$D$26)*(Inputs!$E$26-Inputs!$D$26)),Inputs!$F$26-SQRT((1-N753)*(Inputs!$F$26-Inputs!$D$26)*(Inputs!$F$26-Inputs!$E$26)))</f>
        <v>0.613554134859294</v>
      </c>
      <c r="P753" s="81" t="n">
        <f aca="true">RAND()</f>
        <v>0.468957752127238</v>
      </c>
      <c r="Q753" s="82" t="n">
        <f aca="false">IF(P753&lt;(Inputs!$E$27-Inputs!$D$27)/(Inputs!$F$27-Inputs!$D$27),Inputs!$D$27+SQRT(P753*(Inputs!$F$27-Inputs!$D$27)*(Inputs!$E$27-Inputs!$D$27)),Inputs!$F$27-SQRT((1-P753)*(Inputs!$F$27-Inputs!$D$27)*(Inputs!$F$27-Inputs!$E$27)))</f>
        <v>86.8904376576282</v>
      </c>
      <c r="R753" s="81" t="n">
        <f aca="true">RAND()</f>
        <v>0.732003010918884</v>
      </c>
      <c r="S753" s="82" t="n">
        <f aca="false">IF(R753&lt;(Inputs!$E$29-Inputs!$D$29)/(Inputs!$F$29-Inputs!$D$29),Inputs!$D$29+SQRT(R753*(Inputs!$F$29-Inputs!$D$29)*(Inputs!$E$29-Inputs!$D$29)),Inputs!$F$29-SQRT((1-R753)*(Inputs!$F$29-Inputs!$D$29)*(Inputs!$F$29-Inputs!$E$29)))</f>
        <v>9.09749133159933</v>
      </c>
      <c r="T753" s="68" t="n">
        <f aca="false">Inputs!$E$9*(1+E753)+Inputs!$E$5*C753*(Inputs!$E$11*Inputs!$E$14*(G753*I753/Inputs!$E$16+(1-G753))*K753+Inputs!$E$23*M753)*(1+O753)+Inputs!$E$5*(Q753+S753)</f>
        <v>6060.24465002338</v>
      </c>
    </row>
    <row r="754" customFormat="false" ht="15" hidden="false" customHeight="false" outlineLevel="0" collapsed="false">
      <c r="A754" s="1" t="n">
        <v>750</v>
      </c>
      <c r="B754" s="81" t="n">
        <f aca="true">RAND()</f>
        <v>0.660191061843332</v>
      </c>
      <c r="C754" s="82" t="n">
        <f aca="false">ROUND(IF(B754&lt;(Inputs!$E$8-Inputs!$D$8)/(Inputs!$F$8-Inputs!$D$8),Inputs!$D$8+SQRT(B754*(Inputs!$F$8-Inputs!$D$8)*(Inputs!$E$8-Inputs!$D$8)),Inputs!$F$8-SQRT((1-B754)*(Inputs!$F$8-Inputs!$D$8)*(Inputs!$F$8-Inputs!$E$8))),0)</f>
        <v>26</v>
      </c>
      <c r="D754" s="81" t="n">
        <f aca="true">RAND()</f>
        <v>0.54721364624147</v>
      </c>
      <c r="E754" s="83" t="n">
        <f aca="false">IF(D754&lt;(Inputs!$E$10-Inputs!$D$10)/(Inputs!$F$10-Inputs!$D$10),Inputs!$D$10+SQRT(D754*(Inputs!$F$10-Inputs!$D$10)*(Inputs!$E$10-Inputs!$D$10)),Inputs!$F$10-SQRT((1-D754)*(Inputs!$F$10-Inputs!$D$10)*(Inputs!$F$10-Inputs!$E$10)))</f>
        <v>0.0834513380052954</v>
      </c>
      <c r="F754" s="81" t="n">
        <f aca="true">RAND()</f>
        <v>0.407933085300588</v>
      </c>
      <c r="G754" s="83" t="n">
        <f aca="false">IF(F754&lt;(Inputs!$E$15-Inputs!$D$15)/(Inputs!$F$15-Inputs!$D$15),Inputs!$D$15+SQRT(F754*(Inputs!$F$15-Inputs!$D$15)*(Inputs!$E$15-Inputs!$D$15)),Inputs!$F$15-SQRT((1-F754)*(Inputs!$F$15-Inputs!$D$15)*(Inputs!$F$15-Inputs!$E$15)))</f>
        <v>0.690325310439609</v>
      </c>
      <c r="H754" s="81" t="n">
        <f aca="true">RAND()</f>
        <v>0.467637881187521</v>
      </c>
      <c r="I754" s="82" t="n">
        <f aca="false">ROUND(IF(H754&lt;(Inputs!$E$17-Inputs!$D$17)/(Inputs!$F$17-Inputs!$D$17),Inputs!$D$17+SQRT(H754*(Inputs!$F$17-Inputs!$D$17)*(Inputs!$E$17-Inputs!$D$17)),Inputs!$F$17-SQRT((1-H754)*(Inputs!$F$17-Inputs!$D$17)*(Inputs!$F$17-Inputs!$E$17))),0)</f>
        <v>106</v>
      </c>
      <c r="J754" s="81" t="n">
        <f aca="true">RAND()</f>
        <v>0.275220995017217</v>
      </c>
      <c r="K754" s="83" t="n">
        <f aca="false">IF(J754&lt;(Inputs!$E$18-Inputs!$D$18)/(Inputs!$F$18-Inputs!$D$18),Inputs!$D$18+SQRT(J754*(Inputs!$F$18-Inputs!$D$18)*(Inputs!$E$18-Inputs!$D$18)),Inputs!$F$18-SQRT((1-J754)*(Inputs!$F$18-Inputs!$D$18)*(Inputs!$F$18-Inputs!$E$18)))</f>
        <v>0.998146496756647</v>
      </c>
      <c r="L754" s="81" t="n">
        <f aca="true">RAND()</f>
        <v>0.408345887118258</v>
      </c>
      <c r="M754" s="83" t="n">
        <f aca="false">IF(L754&lt;(Inputs!$E$24-Inputs!$D$24)/(Inputs!$F$24-Inputs!$D$24),Inputs!$D$24+SQRT(L754*(Inputs!$F$24-Inputs!$D$24)*(Inputs!$E$24-Inputs!$D$24)),Inputs!$F$24-SQRT((1-L754)*(Inputs!$F$24-Inputs!$D$24)*(Inputs!$F$24-Inputs!$E$24)))</f>
        <v>0.823175124107208</v>
      </c>
      <c r="N754" s="81" t="n">
        <f aca="true">RAND()</f>
        <v>0.32158403108543</v>
      </c>
      <c r="O754" s="83" t="n">
        <f aca="false">IF(N754&lt;(Inputs!$E$26-Inputs!$D$26)/(Inputs!$F$26-Inputs!$D$26),Inputs!$D$26+SQRT(N754*(Inputs!$F$26-Inputs!$D$26)*(Inputs!$E$26-Inputs!$D$26)),Inputs!$F$26-SQRT((1-N754)*(Inputs!$F$26-Inputs!$D$26)*(Inputs!$F$26-Inputs!$E$26)))</f>
        <v>0.53132570711578</v>
      </c>
      <c r="P754" s="81" t="n">
        <f aca="true">RAND()</f>
        <v>0.305362074741753</v>
      </c>
      <c r="Q754" s="82" t="n">
        <f aca="false">IF(P754&lt;(Inputs!$E$27-Inputs!$D$27)/(Inputs!$F$27-Inputs!$D$27),Inputs!$D$27+SQRT(P754*(Inputs!$F$27-Inputs!$D$27)*(Inputs!$E$27-Inputs!$D$27)),Inputs!$F$27-SQRT((1-P754)*(Inputs!$F$27-Inputs!$D$27)*(Inputs!$F$27-Inputs!$E$27)))</f>
        <v>77.8211634934668</v>
      </c>
      <c r="R754" s="81" t="n">
        <f aca="true">RAND()</f>
        <v>0.374743909789568</v>
      </c>
      <c r="S754" s="82" t="n">
        <f aca="false">IF(R754&lt;(Inputs!$E$29-Inputs!$D$29)/(Inputs!$F$29-Inputs!$D$29),Inputs!$D$29+SQRT(R754*(Inputs!$F$29-Inputs!$D$29)*(Inputs!$E$29-Inputs!$D$29)),Inputs!$F$29-SQRT((1-R754)*(Inputs!$F$29-Inputs!$D$29)*(Inputs!$F$29-Inputs!$E$29)))</f>
        <v>5.98427530769954</v>
      </c>
      <c r="T754" s="68" t="n">
        <f aca="false">Inputs!$E$9*(1+E754)+Inputs!$E$5*C754*(Inputs!$E$11*Inputs!$E$14*(G754*I754/Inputs!$E$16+(1-G754))*K754+Inputs!$E$23*M754)*(1+O754)+Inputs!$E$5*(Q754+S754)</f>
        <v>6129.39366852407</v>
      </c>
    </row>
    <row r="755" customFormat="false" ht="15" hidden="false" customHeight="false" outlineLevel="0" collapsed="false">
      <c r="A755" s="1" t="n">
        <v>751</v>
      </c>
      <c r="B755" s="81" t="n">
        <f aca="true">RAND()</f>
        <v>0.721248794771963</v>
      </c>
      <c r="C755" s="82" t="n">
        <f aca="false">ROUND(IF(B755&lt;(Inputs!$E$8-Inputs!$D$8)/(Inputs!$F$8-Inputs!$D$8),Inputs!$D$8+SQRT(B755*(Inputs!$F$8-Inputs!$D$8)*(Inputs!$E$8-Inputs!$D$8)),Inputs!$F$8-SQRT((1-B755)*(Inputs!$F$8-Inputs!$D$8)*(Inputs!$F$8-Inputs!$E$8))),0)</f>
        <v>26</v>
      </c>
      <c r="D755" s="81" t="n">
        <f aca="true">RAND()</f>
        <v>0.959604979371162</v>
      </c>
      <c r="E755" s="83" t="n">
        <f aca="false">IF(D755&lt;(Inputs!$E$10-Inputs!$D$10)/(Inputs!$F$10-Inputs!$D$10),Inputs!$D$10+SQRT(D755*(Inputs!$F$10-Inputs!$D$10)*(Inputs!$E$10-Inputs!$D$10)),Inputs!$F$10-SQRT((1-D755)*(Inputs!$F$10-Inputs!$D$10)*(Inputs!$F$10-Inputs!$E$10)))</f>
        <v>0.165188355125545</v>
      </c>
      <c r="F755" s="81" t="n">
        <f aca="true">RAND()</f>
        <v>0.543755155698554</v>
      </c>
      <c r="G755" s="83" t="n">
        <f aca="false">IF(F755&lt;(Inputs!$E$15-Inputs!$D$15)/(Inputs!$F$15-Inputs!$D$15),Inputs!$D$15+SQRT(F755*(Inputs!$F$15-Inputs!$D$15)*(Inputs!$E$15-Inputs!$D$15)),Inputs!$F$15-SQRT((1-F755)*(Inputs!$F$15-Inputs!$D$15)*(Inputs!$F$15-Inputs!$E$15)))</f>
        <v>0.704475673852003</v>
      </c>
      <c r="H755" s="81" t="n">
        <f aca="true">RAND()</f>
        <v>0.726065647934721</v>
      </c>
      <c r="I755" s="82" t="n">
        <f aca="false">ROUND(IF(H755&lt;(Inputs!$E$17-Inputs!$D$17)/(Inputs!$F$17-Inputs!$D$17),Inputs!$D$17+SQRT(H755*(Inputs!$F$17-Inputs!$D$17)*(Inputs!$E$17-Inputs!$D$17)),Inputs!$F$17-SQRT((1-H755)*(Inputs!$F$17-Inputs!$D$17)*(Inputs!$F$17-Inputs!$E$17))),0)</f>
        <v>109</v>
      </c>
      <c r="J755" s="81" t="n">
        <f aca="true">RAND()</f>
        <v>0.58401791974602</v>
      </c>
      <c r="K755" s="83" t="n">
        <f aca="false">IF(J755&lt;(Inputs!$E$18-Inputs!$D$18)/(Inputs!$F$18-Inputs!$D$18),Inputs!$D$18+SQRT(J755*(Inputs!$F$18-Inputs!$D$18)*(Inputs!$E$18-Inputs!$D$18)),Inputs!$F$18-SQRT((1-J755)*(Inputs!$F$18-Inputs!$D$18)*(Inputs!$F$18-Inputs!$E$18)))</f>
        <v>1.05921626897918</v>
      </c>
      <c r="L755" s="81" t="n">
        <f aca="true">RAND()</f>
        <v>0.930748033167492</v>
      </c>
      <c r="M755" s="83" t="n">
        <f aca="false">IF(L755&lt;(Inputs!$E$24-Inputs!$D$24)/(Inputs!$F$24-Inputs!$D$24),Inputs!$D$24+SQRT(L755*(Inputs!$F$24-Inputs!$D$24)*(Inputs!$E$24-Inputs!$D$24)),Inputs!$F$24-SQRT((1-L755)*(Inputs!$F$24-Inputs!$D$24)*(Inputs!$F$24-Inputs!$E$24)))</f>
        <v>1.07107959028997</v>
      </c>
      <c r="N755" s="81" t="n">
        <f aca="true">RAND()</f>
        <v>0.394356188516201</v>
      </c>
      <c r="O755" s="83" t="n">
        <f aca="false">IF(N755&lt;(Inputs!$E$26-Inputs!$D$26)/(Inputs!$F$26-Inputs!$D$26),Inputs!$D$26+SQRT(N755*(Inputs!$F$26-Inputs!$D$26)*(Inputs!$E$26-Inputs!$D$26)),Inputs!$F$26-SQRT((1-N755)*(Inputs!$F$26-Inputs!$D$26)*(Inputs!$F$26-Inputs!$E$26)))</f>
        <v>0.556165707636865</v>
      </c>
      <c r="P755" s="81" t="n">
        <f aca="true">RAND()</f>
        <v>0.704960120922155</v>
      </c>
      <c r="Q755" s="82" t="n">
        <f aca="false">IF(P755&lt;(Inputs!$E$27-Inputs!$D$27)/(Inputs!$F$27-Inputs!$D$27),Inputs!$D$27+SQRT(P755*(Inputs!$F$27-Inputs!$D$27)*(Inputs!$E$27-Inputs!$D$27)),Inputs!$F$27-SQRT((1-P755)*(Inputs!$F$27-Inputs!$D$27)*(Inputs!$F$27-Inputs!$E$27)))</f>
        <v>102.959601478263</v>
      </c>
      <c r="R755" s="81" t="n">
        <f aca="true">RAND()</f>
        <v>0.451143527124725</v>
      </c>
      <c r="S755" s="82" t="n">
        <f aca="false">IF(R755&lt;(Inputs!$E$29-Inputs!$D$29)/(Inputs!$F$29-Inputs!$D$29),Inputs!$D$29+SQRT(R755*(Inputs!$F$29-Inputs!$D$29)*(Inputs!$E$29-Inputs!$D$29)),Inputs!$F$29-SQRT((1-R755)*(Inputs!$F$29-Inputs!$D$29)*(Inputs!$F$29-Inputs!$E$29)))</f>
        <v>6.55302767414349</v>
      </c>
      <c r="T755" s="68" t="n">
        <f aca="false">Inputs!$E$9*(1+E755)+Inputs!$E$5*C755*(Inputs!$E$11*Inputs!$E$14*(G755*I755/Inputs!$E$16+(1-G755))*K755+Inputs!$E$23*M755)*(1+O755)+Inputs!$E$5*(Q755+S755)</f>
        <v>7001.26641802477</v>
      </c>
    </row>
    <row r="756" customFormat="false" ht="15" hidden="false" customHeight="false" outlineLevel="0" collapsed="false">
      <c r="A756" s="1" t="n">
        <v>752</v>
      </c>
      <c r="B756" s="81" t="n">
        <f aca="true">RAND()</f>
        <v>0.673169658985325</v>
      </c>
      <c r="C756" s="82" t="n">
        <f aca="false">ROUND(IF(B756&lt;(Inputs!$E$8-Inputs!$D$8)/(Inputs!$F$8-Inputs!$D$8),Inputs!$D$8+SQRT(B756*(Inputs!$F$8-Inputs!$D$8)*(Inputs!$E$8-Inputs!$D$8)),Inputs!$F$8-SQRT((1-B756)*(Inputs!$F$8-Inputs!$D$8)*(Inputs!$F$8-Inputs!$E$8))),0)</f>
        <v>26</v>
      </c>
      <c r="D756" s="81" t="n">
        <f aca="true">RAND()</f>
        <v>0.338048887873956</v>
      </c>
      <c r="E756" s="83" t="n">
        <f aca="false">IF(D756&lt;(Inputs!$E$10-Inputs!$D$10)/(Inputs!$F$10-Inputs!$D$10),Inputs!$D$10+SQRT(D756*(Inputs!$F$10-Inputs!$D$10)*(Inputs!$E$10-Inputs!$D$10)),Inputs!$F$10-SQRT((1-D756)*(Inputs!$F$10-Inputs!$D$10)*(Inputs!$F$10-Inputs!$E$10)))</f>
        <v>0.0590796914430666</v>
      </c>
      <c r="F756" s="81" t="n">
        <f aca="true">RAND()</f>
        <v>0.552037444244853</v>
      </c>
      <c r="G756" s="83" t="n">
        <f aca="false">IF(F756&lt;(Inputs!$E$15-Inputs!$D$15)/(Inputs!$F$15-Inputs!$D$15),Inputs!$D$15+SQRT(F756*(Inputs!$F$15-Inputs!$D$15)*(Inputs!$E$15-Inputs!$D$15)),Inputs!$F$15-SQRT((1-F756)*(Inputs!$F$15-Inputs!$D$15)*(Inputs!$F$15-Inputs!$E$15)))</f>
        <v>0.705346679323423</v>
      </c>
      <c r="H756" s="81" t="n">
        <f aca="true">RAND()</f>
        <v>0.743884435203117</v>
      </c>
      <c r="I756" s="82" t="n">
        <f aca="false">ROUND(IF(H756&lt;(Inputs!$E$17-Inputs!$D$17)/(Inputs!$F$17-Inputs!$D$17),Inputs!$D$17+SQRT(H756*(Inputs!$F$17-Inputs!$D$17)*(Inputs!$E$17-Inputs!$D$17)),Inputs!$F$17-SQRT((1-H756)*(Inputs!$F$17-Inputs!$D$17)*(Inputs!$F$17-Inputs!$E$17))),0)</f>
        <v>109</v>
      </c>
      <c r="J756" s="81" t="n">
        <f aca="true">RAND()</f>
        <v>0.181844424584205</v>
      </c>
      <c r="K756" s="83" t="n">
        <f aca="false">IF(J756&lt;(Inputs!$E$18-Inputs!$D$18)/(Inputs!$F$18-Inputs!$D$18),Inputs!$D$18+SQRT(J756*(Inputs!$F$18-Inputs!$D$18)*(Inputs!$E$18-Inputs!$D$18)),Inputs!$F$18-SQRT((1-J756)*(Inputs!$F$18-Inputs!$D$18)*(Inputs!$F$18-Inputs!$E$18)))</f>
        <v>0.97977816029746</v>
      </c>
      <c r="L756" s="81" t="n">
        <f aca="true">RAND()</f>
        <v>0.160845389038752</v>
      </c>
      <c r="M756" s="83" t="n">
        <f aca="false">IF(L756&lt;(Inputs!$E$24-Inputs!$D$24)/(Inputs!$F$24-Inputs!$D$24),Inputs!$D$24+SQRT(L756*(Inputs!$F$24-Inputs!$D$24)*(Inputs!$E$24-Inputs!$D$24)),Inputs!$F$24-SQRT((1-L756)*(Inputs!$F$24-Inputs!$D$24)*(Inputs!$F$24-Inputs!$E$24)))</f>
        <v>0.738929646528918</v>
      </c>
      <c r="N756" s="81" t="n">
        <f aca="true">RAND()</f>
        <v>0.792152856396337</v>
      </c>
      <c r="O756" s="83" t="n">
        <f aca="false">IF(N756&lt;(Inputs!$E$26-Inputs!$D$26)/(Inputs!$F$26-Inputs!$D$26),Inputs!$D$26+SQRT(N756*(Inputs!$F$26-Inputs!$D$26)*(Inputs!$E$26-Inputs!$D$26)),Inputs!$F$26-SQRT((1-N756)*(Inputs!$F$26-Inputs!$D$26)*(Inputs!$F$26-Inputs!$E$26)))</f>
        <v>0.672975842342896</v>
      </c>
      <c r="P756" s="81" t="n">
        <f aca="true">RAND()</f>
        <v>0.488292304751328</v>
      </c>
      <c r="Q756" s="82" t="n">
        <f aca="false">IF(P756&lt;(Inputs!$E$27-Inputs!$D$27)/(Inputs!$F$27-Inputs!$D$27),Inputs!$D$27+SQRT(P756*(Inputs!$F$27-Inputs!$D$27)*(Inputs!$E$27-Inputs!$D$27)),Inputs!$F$27-SQRT((1-P756)*(Inputs!$F$27-Inputs!$D$27)*(Inputs!$F$27-Inputs!$E$27)))</f>
        <v>88.0499579147436</v>
      </c>
      <c r="R756" s="81" t="n">
        <f aca="true">RAND()</f>
        <v>0.61410882020746</v>
      </c>
      <c r="S756" s="82" t="n">
        <f aca="false">IF(R756&lt;(Inputs!$E$29-Inputs!$D$29)/(Inputs!$F$29-Inputs!$D$29),Inputs!$D$29+SQRT(R756*(Inputs!$F$29-Inputs!$D$29)*(Inputs!$E$29-Inputs!$D$29)),Inputs!$F$29-SQRT((1-R756)*(Inputs!$F$29-Inputs!$D$29)*(Inputs!$F$29-Inputs!$E$29)))</f>
        <v>7.9172142928767</v>
      </c>
      <c r="T756" s="68" t="n">
        <f aca="false">Inputs!$E$9*(1+E756)+Inputs!$E$5*C756*(Inputs!$E$11*Inputs!$E$14*(G756*I756/Inputs!$E$16+(1-G756))*K756+Inputs!$E$23*M756)*(1+O756)+Inputs!$E$5*(Q756+S756)</f>
        <v>6286.76857563782</v>
      </c>
    </row>
    <row r="757" customFormat="false" ht="15" hidden="false" customHeight="false" outlineLevel="0" collapsed="false">
      <c r="A757" s="1" t="n">
        <v>753</v>
      </c>
      <c r="B757" s="81" t="n">
        <f aca="true">RAND()</f>
        <v>0.481990838612238</v>
      </c>
      <c r="C757" s="82" t="n">
        <f aca="false">ROUND(IF(B757&lt;(Inputs!$E$8-Inputs!$D$8)/(Inputs!$F$8-Inputs!$D$8),Inputs!$D$8+SQRT(B757*(Inputs!$F$8-Inputs!$D$8)*(Inputs!$E$8-Inputs!$D$8)),Inputs!$F$8-SQRT((1-B757)*(Inputs!$F$8-Inputs!$D$8)*(Inputs!$F$8-Inputs!$E$8))),0)</f>
        <v>25</v>
      </c>
      <c r="D757" s="81" t="n">
        <f aca="true">RAND()</f>
        <v>0.255498028120129</v>
      </c>
      <c r="E757" s="83" t="n">
        <f aca="false">IF(D757&lt;(Inputs!$E$10-Inputs!$D$10)/(Inputs!$F$10-Inputs!$D$10),Inputs!$D$10+SQRT(D757*(Inputs!$F$10-Inputs!$D$10)*(Inputs!$E$10-Inputs!$D$10)),Inputs!$F$10-SQRT((1-D757)*(Inputs!$F$10-Inputs!$D$10)*(Inputs!$F$10-Inputs!$E$10)))</f>
        <v>0.0505508141327089</v>
      </c>
      <c r="F757" s="81" t="n">
        <f aca="true">RAND()</f>
        <v>0.832641396228384</v>
      </c>
      <c r="G757" s="83" t="n">
        <f aca="false">IF(F757&lt;(Inputs!$E$15-Inputs!$D$15)/(Inputs!$F$15-Inputs!$D$15),Inputs!$D$15+SQRT(F757*(Inputs!$F$15-Inputs!$D$15)*(Inputs!$E$15-Inputs!$D$15)),Inputs!$F$15-SQRT((1-F757)*(Inputs!$F$15-Inputs!$D$15)*(Inputs!$F$15-Inputs!$E$15)))</f>
        <v>0.742145250191256</v>
      </c>
      <c r="H757" s="81" t="n">
        <f aca="true">RAND()</f>
        <v>0.412181636457317</v>
      </c>
      <c r="I757" s="82" t="n">
        <f aca="false">ROUND(IF(H757&lt;(Inputs!$E$17-Inputs!$D$17)/(Inputs!$F$17-Inputs!$D$17),Inputs!$D$17+SQRT(H757*(Inputs!$F$17-Inputs!$D$17)*(Inputs!$E$17-Inputs!$D$17)),Inputs!$F$17-SQRT((1-H757)*(Inputs!$F$17-Inputs!$D$17)*(Inputs!$F$17-Inputs!$E$17))),0)</f>
        <v>106</v>
      </c>
      <c r="J757" s="81" t="n">
        <f aca="true">RAND()</f>
        <v>0.565203528381539</v>
      </c>
      <c r="K757" s="83" t="n">
        <f aca="false">IF(J757&lt;(Inputs!$E$18-Inputs!$D$18)/(Inputs!$F$18-Inputs!$D$18),Inputs!$D$18+SQRT(J757*(Inputs!$F$18-Inputs!$D$18)*(Inputs!$E$18-Inputs!$D$18)),Inputs!$F$18-SQRT((1-J757)*(Inputs!$F$18-Inputs!$D$18)*(Inputs!$F$18-Inputs!$E$18)))</f>
        <v>1.05494951610771</v>
      </c>
      <c r="L757" s="81" t="n">
        <f aca="true">RAND()</f>
        <v>0.193156690166351</v>
      </c>
      <c r="M757" s="83" t="n">
        <f aca="false">IF(L757&lt;(Inputs!$E$24-Inputs!$D$24)/(Inputs!$F$24-Inputs!$D$24),Inputs!$D$24+SQRT(L757*(Inputs!$F$24-Inputs!$D$24)*(Inputs!$E$24-Inputs!$D$24)),Inputs!$F$24-SQRT((1-L757)*(Inputs!$F$24-Inputs!$D$24)*(Inputs!$F$24-Inputs!$E$24)))</f>
        <v>0.75224586306354</v>
      </c>
      <c r="N757" s="81" t="n">
        <f aca="true">RAND()</f>
        <v>0.124100470971381</v>
      </c>
      <c r="O757" s="83" t="n">
        <f aca="false">IF(N757&lt;(Inputs!$E$26-Inputs!$D$26)/(Inputs!$F$26-Inputs!$D$26),Inputs!$D$26+SQRT(N757*(Inputs!$F$26-Inputs!$D$26)*(Inputs!$E$26-Inputs!$D$26)),Inputs!$F$26-SQRT((1-N757)*(Inputs!$F$26-Inputs!$D$26)*(Inputs!$F$26-Inputs!$E$26)))</f>
        <v>0.443702186377375</v>
      </c>
      <c r="P757" s="81" t="n">
        <f aca="true">RAND()</f>
        <v>0.768772984048983</v>
      </c>
      <c r="Q757" s="82" t="n">
        <f aca="false">IF(P757&lt;(Inputs!$E$27-Inputs!$D$27)/(Inputs!$F$27-Inputs!$D$27),Inputs!$D$27+SQRT(P757*(Inputs!$F$27-Inputs!$D$27)*(Inputs!$E$27-Inputs!$D$27)),Inputs!$F$27-SQRT((1-P757)*(Inputs!$F$27-Inputs!$D$27)*(Inputs!$F$27-Inputs!$E$27)))</f>
        <v>108.3562415285</v>
      </c>
      <c r="R757" s="81" t="n">
        <f aca="true">RAND()</f>
        <v>0.964983297867397</v>
      </c>
      <c r="S757" s="82" t="n">
        <f aca="false">IF(R757&lt;(Inputs!$E$29-Inputs!$D$29)/(Inputs!$F$29-Inputs!$D$29),Inputs!$D$29+SQRT(R757*(Inputs!$F$29-Inputs!$D$29)*(Inputs!$E$29-Inputs!$D$29)),Inputs!$F$29-SQRT((1-R757)*(Inputs!$F$29-Inputs!$D$29)*(Inputs!$F$29-Inputs!$E$29)))</f>
        <v>12.8664182046993</v>
      </c>
      <c r="T757" s="68" t="n">
        <f aca="false">Inputs!$E$9*(1+E757)+Inputs!$E$5*C757*(Inputs!$E$11*Inputs!$E$14*(G757*I757/Inputs!$E$16+(1-G757))*K757+Inputs!$E$23*M757)*(1+O757)+Inputs!$E$5*(Q757+S757)</f>
        <v>5888.29559141924</v>
      </c>
    </row>
    <row r="758" customFormat="false" ht="15" hidden="false" customHeight="false" outlineLevel="0" collapsed="false">
      <c r="A758" s="1" t="n">
        <v>754</v>
      </c>
      <c r="B758" s="81" t="n">
        <f aca="true">RAND()</f>
        <v>0.626804350796619</v>
      </c>
      <c r="C758" s="82" t="n">
        <f aca="false">ROUND(IF(B758&lt;(Inputs!$E$8-Inputs!$D$8)/(Inputs!$F$8-Inputs!$D$8),Inputs!$D$8+SQRT(B758*(Inputs!$F$8-Inputs!$D$8)*(Inputs!$E$8-Inputs!$D$8)),Inputs!$F$8-SQRT((1-B758)*(Inputs!$F$8-Inputs!$D$8)*(Inputs!$F$8-Inputs!$E$8))),0)</f>
        <v>26</v>
      </c>
      <c r="D758" s="81" t="n">
        <f aca="true">RAND()</f>
        <v>0.0974710646900601</v>
      </c>
      <c r="E758" s="83" t="n">
        <f aca="false">IF(D758&lt;(Inputs!$E$10-Inputs!$D$10)/(Inputs!$F$10-Inputs!$D$10),Inputs!$D$10+SQRT(D758*(Inputs!$F$10-Inputs!$D$10)*(Inputs!$E$10-Inputs!$D$10)),Inputs!$F$10-SQRT((1-D758)*(Inputs!$F$10-Inputs!$D$10)*(Inputs!$F$10-Inputs!$E$10)))</f>
        <v>0.0312203562904173</v>
      </c>
      <c r="F758" s="81" t="n">
        <f aca="true">RAND()</f>
        <v>0.395567101917673</v>
      </c>
      <c r="G758" s="83" t="n">
        <f aca="false">IF(F758&lt;(Inputs!$E$15-Inputs!$D$15)/(Inputs!$F$15-Inputs!$D$15),Inputs!$D$15+SQRT(F758*(Inputs!$F$15-Inputs!$D$15)*(Inputs!$E$15-Inputs!$D$15)),Inputs!$F$15-SQRT((1-F758)*(Inputs!$F$15-Inputs!$D$15)*(Inputs!$F$15-Inputs!$E$15)))</f>
        <v>0.688945725239347</v>
      </c>
      <c r="H758" s="81" t="n">
        <f aca="true">RAND()</f>
        <v>0.256263708853904</v>
      </c>
      <c r="I758" s="82" t="n">
        <f aca="false">ROUND(IF(H758&lt;(Inputs!$E$17-Inputs!$D$17)/(Inputs!$F$17-Inputs!$D$17),Inputs!$D$17+SQRT(H758*(Inputs!$F$17-Inputs!$D$17)*(Inputs!$E$17-Inputs!$D$17)),Inputs!$F$17-SQRT((1-H758)*(Inputs!$F$17-Inputs!$D$17)*(Inputs!$F$17-Inputs!$E$17))),0)</f>
        <v>104</v>
      </c>
      <c r="J758" s="81" t="n">
        <f aca="true">RAND()</f>
        <v>0.0404828575235519</v>
      </c>
      <c r="K758" s="83" t="n">
        <f aca="false">IF(J758&lt;(Inputs!$E$18-Inputs!$D$18)/(Inputs!$F$18-Inputs!$D$18),Inputs!$D$18+SQRT(J758*(Inputs!$F$18-Inputs!$D$18)*(Inputs!$E$18-Inputs!$D$18)),Inputs!$F$18-SQRT((1-J758)*(Inputs!$F$18-Inputs!$D$18)*(Inputs!$F$18-Inputs!$E$18)))</f>
        <v>0.93764173233692</v>
      </c>
      <c r="L758" s="81" t="n">
        <f aca="true">RAND()</f>
        <v>0.970186198910951</v>
      </c>
      <c r="M758" s="83" t="n">
        <f aca="false">IF(L758&lt;(Inputs!$E$24-Inputs!$D$24)/(Inputs!$F$24-Inputs!$D$24),Inputs!$D$24+SQRT(L758*(Inputs!$F$24-Inputs!$D$24)*(Inputs!$E$24-Inputs!$D$24)),Inputs!$F$24-SQRT((1-L758)*(Inputs!$F$24-Inputs!$D$24)*(Inputs!$F$24-Inputs!$E$24)))</f>
        <v>1.11541092114598</v>
      </c>
      <c r="N758" s="81" t="n">
        <f aca="true">RAND()</f>
        <v>0.186410856581438</v>
      </c>
      <c r="O758" s="83" t="n">
        <f aca="false">IF(N758&lt;(Inputs!$E$26-Inputs!$D$26)/(Inputs!$F$26-Inputs!$D$26),Inputs!$D$26+SQRT(N758*(Inputs!$F$26-Inputs!$D$26)*(Inputs!$E$26-Inputs!$D$26)),Inputs!$F$26-SQRT((1-N758)*(Inputs!$F$26-Inputs!$D$26)*(Inputs!$F$26-Inputs!$E$26)))</f>
        <v>0.476121453932084</v>
      </c>
      <c r="P758" s="81" t="n">
        <f aca="true">RAND()</f>
        <v>0.822097834718933</v>
      </c>
      <c r="Q758" s="82" t="n">
        <f aca="false">IF(P758&lt;(Inputs!$E$27-Inputs!$D$27)/(Inputs!$F$27-Inputs!$D$27),Inputs!$D$27+SQRT(P758*(Inputs!$F$27-Inputs!$D$27)*(Inputs!$E$27-Inputs!$D$27)),Inputs!$F$27-SQRT((1-P758)*(Inputs!$F$27-Inputs!$D$27)*(Inputs!$F$27-Inputs!$E$27)))</f>
        <v>113.472390721428</v>
      </c>
      <c r="R758" s="81" t="n">
        <f aca="true">RAND()</f>
        <v>0.384842869907019</v>
      </c>
      <c r="S758" s="82" t="n">
        <f aca="false">IF(R758&lt;(Inputs!$E$29-Inputs!$D$29)/(Inputs!$F$29-Inputs!$D$29),Inputs!$D$29+SQRT(R758*(Inputs!$F$29-Inputs!$D$29)*(Inputs!$E$29-Inputs!$D$29)),Inputs!$F$29-SQRT((1-R758)*(Inputs!$F$29-Inputs!$D$29)*(Inputs!$F$29-Inputs!$E$29)))</f>
        <v>6.05738142868167</v>
      </c>
      <c r="T758" s="68" t="n">
        <f aca="false">Inputs!$E$9*(1+E758)+Inputs!$E$5*C758*(Inputs!$E$11*Inputs!$E$14*(G758*I758/Inputs!$E$16+(1-G758))*K758+Inputs!$E$23*M758)*(1+O758)+Inputs!$E$5*(Q758+S758)</f>
        <v>6327.91271166947</v>
      </c>
    </row>
    <row r="759" customFormat="false" ht="15" hidden="false" customHeight="false" outlineLevel="0" collapsed="false">
      <c r="A759" s="1" t="n">
        <v>755</v>
      </c>
      <c r="B759" s="81" t="n">
        <f aca="true">RAND()</f>
        <v>0.687491364221094</v>
      </c>
      <c r="C759" s="82" t="n">
        <f aca="false">ROUND(IF(B759&lt;(Inputs!$E$8-Inputs!$D$8)/(Inputs!$F$8-Inputs!$D$8),Inputs!$D$8+SQRT(B759*(Inputs!$F$8-Inputs!$D$8)*(Inputs!$E$8-Inputs!$D$8)),Inputs!$F$8-SQRT((1-B759)*(Inputs!$F$8-Inputs!$D$8)*(Inputs!$F$8-Inputs!$E$8))),0)</f>
        <v>26</v>
      </c>
      <c r="D759" s="81" t="n">
        <f aca="true">RAND()</f>
        <v>0.864109730255915</v>
      </c>
      <c r="E759" s="83" t="n">
        <f aca="false">IF(D759&lt;(Inputs!$E$10-Inputs!$D$10)/(Inputs!$F$10-Inputs!$D$10),Inputs!$D$10+SQRT(D759*(Inputs!$F$10-Inputs!$D$10)*(Inputs!$E$10-Inputs!$D$10)),Inputs!$F$10-SQRT((1-D759)*(Inputs!$F$10-Inputs!$D$10)*(Inputs!$F$10-Inputs!$E$10)))</f>
        <v>0.136150895916054</v>
      </c>
      <c r="F759" s="81" t="n">
        <f aca="true">RAND()</f>
        <v>0.958133715118721</v>
      </c>
      <c r="G759" s="83" t="n">
        <f aca="false">IF(F759&lt;(Inputs!$E$15-Inputs!$D$15)/(Inputs!$F$15-Inputs!$D$15),Inputs!$D$15+SQRT(F759*(Inputs!$F$15-Inputs!$D$15)*(Inputs!$E$15-Inputs!$D$15)),Inputs!$F$15-SQRT((1-F759)*(Inputs!$F$15-Inputs!$D$15)*(Inputs!$F$15-Inputs!$E$15)))</f>
        <v>0.771063419386085</v>
      </c>
      <c r="H759" s="81" t="n">
        <f aca="true">RAND()</f>
        <v>0.75639700982186</v>
      </c>
      <c r="I759" s="82" t="n">
        <f aca="false">ROUND(IF(H759&lt;(Inputs!$E$17-Inputs!$D$17)/(Inputs!$F$17-Inputs!$D$17),Inputs!$D$17+SQRT(H759*(Inputs!$F$17-Inputs!$D$17)*(Inputs!$E$17-Inputs!$D$17)),Inputs!$F$17-SQRT((1-H759)*(Inputs!$F$17-Inputs!$D$17)*(Inputs!$F$17-Inputs!$E$17))),0)</f>
        <v>109</v>
      </c>
      <c r="J759" s="81" t="n">
        <f aca="true">RAND()</f>
        <v>0.836027531301245</v>
      </c>
      <c r="K759" s="83" t="n">
        <f aca="false">IF(J759&lt;(Inputs!$E$18-Inputs!$D$18)/(Inputs!$F$18-Inputs!$D$18),Inputs!$D$18+SQRT(J759*(Inputs!$F$18-Inputs!$D$18)*(Inputs!$E$18-Inputs!$D$18)),Inputs!$F$18-SQRT((1-J759)*(Inputs!$F$18-Inputs!$D$18)*(Inputs!$F$18-Inputs!$E$18)))</f>
        <v>1.13021856984014</v>
      </c>
      <c r="L759" s="81" t="n">
        <f aca="true">RAND()</f>
        <v>0.104128372481848</v>
      </c>
      <c r="M759" s="83" t="n">
        <f aca="false">IF(L759&lt;(Inputs!$E$24-Inputs!$D$24)/(Inputs!$F$24-Inputs!$D$24),Inputs!$D$24+SQRT(L759*(Inputs!$F$24-Inputs!$D$24)*(Inputs!$E$24-Inputs!$D$24)),Inputs!$F$24-SQRT((1-L759)*(Inputs!$F$24-Inputs!$D$24)*(Inputs!$F$24-Inputs!$E$24)))</f>
        <v>0.711782846169803</v>
      </c>
      <c r="N759" s="81" t="n">
        <f aca="true">RAND()</f>
        <v>0.207339027997366</v>
      </c>
      <c r="O759" s="83" t="n">
        <f aca="false">IF(N759&lt;(Inputs!$E$26-Inputs!$D$26)/(Inputs!$F$26-Inputs!$D$26),Inputs!$D$26+SQRT(N759*(Inputs!$F$26-Inputs!$D$26)*(Inputs!$E$26-Inputs!$D$26)),Inputs!$F$26-SQRT((1-N759)*(Inputs!$F$26-Inputs!$D$26)*(Inputs!$F$26-Inputs!$E$26)))</f>
        <v>0.485745024856015</v>
      </c>
      <c r="P759" s="81" t="n">
        <f aca="true">RAND()</f>
        <v>0.347065865442354</v>
      </c>
      <c r="Q759" s="82" t="n">
        <f aca="false">IF(P759&lt;(Inputs!$E$27-Inputs!$D$27)/(Inputs!$F$27-Inputs!$D$27),Inputs!$D$27+SQRT(P759*(Inputs!$F$27-Inputs!$D$27)*(Inputs!$E$27-Inputs!$D$27)),Inputs!$F$27-SQRT((1-P759)*(Inputs!$F$27-Inputs!$D$27)*(Inputs!$F$27-Inputs!$E$27)))</f>
        <v>80.0213889164529</v>
      </c>
      <c r="R759" s="81" t="n">
        <f aca="true">RAND()</f>
        <v>0.911942549453608</v>
      </c>
      <c r="S759" s="82" t="n">
        <f aca="false">IF(R759&lt;(Inputs!$E$29-Inputs!$D$29)/(Inputs!$F$29-Inputs!$D$29),Inputs!$D$29+SQRT(R759*(Inputs!$F$29-Inputs!$D$29)*(Inputs!$E$29-Inputs!$D$29)),Inputs!$F$29-SQRT((1-R759)*(Inputs!$F$29-Inputs!$D$29)*(Inputs!$F$29-Inputs!$E$29)))</f>
        <v>11.6165892104223</v>
      </c>
      <c r="T759" s="68" t="n">
        <f aca="false">Inputs!$E$9*(1+E759)+Inputs!$E$5*C759*(Inputs!$E$11*Inputs!$E$14*(G759*I759/Inputs!$E$16+(1-G759))*K759+Inputs!$E$23*M759)*(1+O759)+Inputs!$E$5*(Q759+S759)</f>
        <v>6235.26337877801</v>
      </c>
    </row>
    <row r="760" customFormat="false" ht="15" hidden="false" customHeight="false" outlineLevel="0" collapsed="false">
      <c r="A760" s="1" t="n">
        <v>756</v>
      </c>
      <c r="B760" s="81" t="n">
        <f aca="true">RAND()</f>
        <v>0.655362068718862</v>
      </c>
      <c r="C760" s="82" t="n">
        <f aca="false">ROUND(IF(B760&lt;(Inputs!$E$8-Inputs!$D$8)/(Inputs!$F$8-Inputs!$D$8),Inputs!$D$8+SQRT(B760*(Inputs!$F$8-Inputs!$D$8)*(Inputs!$E$8-Inputs!$D$8)),Inputs!$F$8-SQRT((1-B760)*(Inputs!$F$8-Inputs!$D$8)*(Inputs!$F$8-Inputs!$E$8))),0)</f>
        <v>26</v>
      </c>
      <c r="D760" s="81" t="n">
        <f aca="true">RAND()</f>
        <v>0.508350493872491</v>
      </c>
      <c r="E760" s="83" t="n">
        <f aca="false">IF(D760&lt;(Inputs!$E$10-Inputs!$D$10)/(Inputs!$F$10-Inputs!$D$10),Inputs!$D$10+SQRT(D760*(Inputs!$F$10-Inputs!$D$10)*(Inputs!$E$10-Inputs!$D$10)),Inputs!$F$10-SQRT((1-D760)*(Inputs!$F$10-Inputs!$D$10)*(Inputs!$F$10-Inputs!$E$10)))</f>
        <v>0.078552541468233</v>
      </c>
      <c r="F760" s="81" t="n">
        <f aca="true">RAND()</f>
        <v>0.623861568413887</v>
      </c>
      <c r="G760" s="83" t="n">
        <f aca="false">IF(F760&lt;(Inputs!$E$15-Inputs!$D$15)/(Inputs!$F$15-Inputs!$D$15),Inputs!$D$15+SQRT(F760*(Inputs!$F$15-Inputs!$D$15)*(Inputs!$E$15-Inputs!$D$15)),Inputs!$F$15-SQRT((1-F760)*(Inputs!$F$15-Inputs!$D$15)*(Inputs!$F$15-Inputs!$E$15)))</f>
        <v>0.713266104482029</v>
      </c>
      <c r="H760" s="81" t="n">
        <f aca="true">RAND()</f>
        <v>0.696170077391894</v>
      </c>
      <c r="I760" s="82" t="n">
        <f aca="false">ROUND(IF(H760&lt;(Inputs!$E$17-Inputs!$D$17)/(Inputs!$F$17-Inputs!$D$17),Inputs!$D$17+SQRT(H760*(Inputs!$F$17-Inputs!$D$17)*(Inputs!$E$17-Inputs!$D$17)),Inputs!$F$17-SQRT((1-H760)*(Inputs!$F$17-Inputs!$D$17)*(Inputs!$F$17-Inputs!$E$17))),0)</f>
        <v>108</v>
      </c>
      <c r="J760" s="81" t="n">
        <f aca="true">RAND()</f>
        <v>0.703361452207837</v>
      </c>
      <c r="K760" s="83" t="n">
        <f aca="false">IF(J760&lt;(Inputs!$E$18-Inputs!$D$18)/(Inputs!$F$18-Inputs!$D$18),Inputs!$D$18+SQRT(J760*(Inputs!$F$18-Inputs!$D$18)*(Inputs!$E$18-Inputs!$D$18)),Inputs!$F$18-SQRT((1-J760)*(Inputs!$F$18-Inputs!$D$18)*(Inputs!$F$18-Inputs!$E$18)))</f>
        <v>1.08889173537086</v>
      </c>
      <c r="L760" s="81" t="n">
        <f aca="true">RAND()</f>
        <v>0.82358556016487</v>
      </c>
      <c r="M760" s="83" t="n">
        <f aca="false">IF(L760&lt;(Inputs!$E$24-Inputs!$D$24)/(Inputs!$F$24-Inputs!$D$24),Inputs!$D$24+SQRT(L760*(Inputs!$F$24-Inputs!$D$24)*(Inputs!$E$24-Inputs!$D$24)),Inputs!$F$24-SQRT((1-L760)*(Inputs!$F$24-Inputs!$D$24)*(Inputs!$F$24-Inputs!$E$24)))</f>
        <v>0.994234440295682</v>
      </c>
      <c r="N760" s="81" t="n">
        <f aca="true">RAND()</f>
        <v>0.975992609684512</v>
      </c>
      <c r="O760" s="83" t="n">
        <f aca="false">IF(N760&lt;(Inputs!$E$26-Inputs!$D$26)/(Inputs!$F$26-Inputs!$D$26),Inputs!$D$26+SQRT(N760*(Inputs!$F$26-Inputs!$D$26)*(Inputs!$E$26-Inputs!$D$26)),Inputs!$F$26-SQRT((1-N760)*(Inputs!$F$26-Inputs!$D$26)*(Inputs!$F$26-Inputs!$E$26)))</f>
        <v>0.770032324520639</v>
      </c>
      <c r="P760" s="81" t="n">
        <f aca="true">RAND()</f>
        <v>0.144574513148583</v>
      </c>
      <c r="Q760" s="82" t="n">
        <f aca="false">IF(P760&lt;(Inputs!$E$27-Inputs!$D$27)/(Inputs!$F$27-Inputs!$D$27),Inputs!$D$27+SQRT(P760*(Inputs!$F$27-Inputs!$D$27)*(Inputs!$E$27-Inputs!$D$27)),Inputs!$F$27-SQRT((1-P760)*(Inputs!$F$27-Inputs!$D$27)*(Inputs!$F$27-Inputs!$E$27)))</f>
        <v>69.0114776614407</v>
      </c>
      <c r="R760" s="81" t="n">
        <f aca="true">RAND()</f>
        <v>0.29676059267185</v>
      </c>
      <c r="S760" s="82" t="n">
        <f aca="false">IF(R760&lt;(Inputs!$E$29-Inputs!$D$29)/(Inputs!$F$29-Inputs!$D$29),Inputs!$D$29+SQRT(R760*(Inputs!$F$29-Inputs!$D$29)*(Inputs!$E$29-Inputs!$D$29)),Inputs!$F$29-SQRT((1-R760)*(Inputs!$F$29-Inputs!$D$29)*(Inputs!$F$29-Inputs!$E$29)))</f>
        <v>5.43856062338628</v>
      </c>
      <c r="T760" s="68" t="n">
        <f aca="false">Inputs!$E$9*(1+E760)+Inputs!$E$5*C760*(Inputs!$E$11*Inputs!$E$14*(G760*I760/Inputs!$E$16+(1-G760))*K760+Inputs!$E$23*M760)*(1+O760)+Inputs!$E$5*(Q760+S760)</f>
        <v>7089.84428245323</v>
      </c>
    </row>
    <row r="761" customFormat="false" ht="15" hidden="false" customHeight="false" outlineLevel="0" collapsed="false">
      <c r="A761" s="1" t="n">
        <v>757</v>
      </c>
      <c r="B761" s="81" t="n">
        <f aca="true">RAND()</f>
        <v>0.599913431735419</v>
      </c>
      <c r="C761" s="82" t="n">
        <f aca="false">ROUND(IF(B761&lt;(Inputs!$E$8-Inputs!$D$8)/(Inputs!$F$8-Inputs!$D$8),Inputs!$D$8+SQRT(B761*(Inputs!$F$8-Inputs!$D$8)*(Inputs!$E$8-Inputs!$D$8)),Inputs!$F$8-SQRT((1-B761)*(Inputs!$F$8-Inputs!$D$8)*(Inputs!$F$8-Inputs!$E$8))),0)</f>
        <v>26</v>
      </c>
      <c r="D761" s="81" t="n">
        <f aca="true">RAND()</f>
        <v>0.0427825794770416</v>
      </c>
      <c r="E761" s="83" t="n">
        <f aca="false">IF(D761&lt;(Inputs!$E$10-Inputs!$D$10)/(Inputs!$F$10-Inputs!$D$10),Inputs!$D$10+SQRT(D761*(Inputs!$F$10-Inputs!$D$10)*(Inputs!$E$10-Inputs!$D$10)),Inputs!$F$10-SQRT((1-D761)*(Inputs!$F$10-Inputs!$D$10)*(Inputs!$F$10-Inputs!$E$10)))</f>
        <v>0.0206839501732724</v>
      </c>
      <c r="F761" s="81" t="n">
        <f aca="true">RAND()</f>
        <v>0.75396986075706</v>
      </c>
      <c r="G761" s="83" t="n">
        <f aca="false">IF(F761&lt;(Inputs!$E$15-Inputs!$D$15)/(Inputs!$F$15-Inputs!$D$15),Inputs!$D$15+SQRT(F761*(Inputs!$F$15-Inputs!$D$15)*(Inputs!$E$15-Inputs!$D$15)),Inputs!$F$15-SQRT((1-F761)*(Inputs!$F$15-Inputs!$D$15)*(Inputs!$F$15-Inputs!$E$15)))</f>
        <v>0.72985299161861</v>
      </c>
      <c r="H761" s="81" t="n">
        <f aca="true">RAND()</f>
        <v>0.123519415700649</v>
      </c>
      <c r="I761" s="82" t="n">
        <f aca="false">ROUND(IF(H761&lt;(Inputs!$E$17-Inputs!$D$17)/(Inputs!$F$17-Inputs!$D$17),Inputs!$D$17+SQRT(H761*(Inputs!$F$17-Inputs!$D$17)*(Inputs!$E$17-Inputs!$D$17)),Inputs!$F$17-SQRT((1-H761)*(Inputs!$F$17-Inputs!$D$17)*(Inputs!$F$17-Inputs!$E$17))),0)</f>
        <v>103</v>
      </c>
      <c r="J761" s="81" t="n">
        <f aca="true">RAND()</f>
        <v>0.218326369030939</v>
      </c>
      <c r="K761" s="83" t="n">
        <f aca="false">IF(J761&lt;(Inputs!$E$18-Inputs!$D$18)/(Inputs!$F$18-Inputs!$D$18),Inputs!$D$18+SQRT(J761*(Inputs!$F$18-Inputs!$D$18)*(Inputs!$E$18-Inputs!$D$18)),Inputs!$F$18-SQRT((1-J761)*(Inputs!$F$18-Inputs!$D$18)*(Inputs!$F$18-Inputs!$E$18)))</f>
        <v>0.98741523274626</v>
      </c>
      <c r="L761" s="81" t="n">
        <f aca="true">RAND()</f>
        <v>0.302164500099771</v>
      </c>
      <c r="M761" s="83" t="n">
        <f aca="false">IF(L761&lt;(Inputs!$E$24-Inputs!$D$24)/(Inputs!$F$24-Inputs!$D$24),Inputs!$D$24+SQRT(L761*(Inputs!$F$24-Inputs!$D$24)*(Inputs!$E$24-Inputs!$D$24)),Inputs!$F$24-SQRT((1-L761)*(Inputs!$F$24-Inputs!$D$24)*(Inputs!$F$24-Inputs!$E$24)))</f>
        <v>0.790419904453217</v>
      </c>
      <c r="N761" s="81" t="n">
        <f aca="true">RAND()</f>
        <v>0.516671602165863</v>
      </c>
      <c r="O761" s="83" t="n">
        <f aca="false">IF(N761&lt;(Inputs!$E$26-Inputs!$D$26)/(Inputs!$F$26-Inputs!$D$26),Inputs!$D$26+SQRT(N761*(Inputs!$F$26-Inputs!$D$26)*(Inputs!$E$26-Inputs!$D$26)),Inputs!$F$26-SQRT((1-N761)*(Inputs!$F$26-Inputs!$D$26)*(Inputs!$F$26-Inputs!$E$26)))</f>
        <v>0.593213496620465</v>
      </c>
      <c r="P761" s="81" t="n">
        <f aca="true">RAND()</f>
        <v>0.951408152900141</v>
      </c>
      <c r="Q761" s="82" t="n">
        <f aca="false">IF(P761&lt;(Inputs!$E$27-Inputs!$D$27)/(Inputs!$F$27-Inputs!$D$27),Inputs!$D$27+SQRT(P761*(Inputs!$F$27-Inputs!$D$27)*(Inputs!$E$27-Inputs!$D$27)),Inputs!$F$27-SQRT((1-P761)*(Inputs!$F$27-Inputs!$D$27)*(Inputs!$F$27-Inputs!$E$27)))</f>
        <v>130.909718355955</v>
      </c>
      <c r="R761" s="81" t="n">
        <f aca="true">RAND()</f>
        <v>0.0244951472581358</v>
      </c>
      <c r="S761" s="82" t="n">
        <f aca="false">IF(R761&lt;(Inputs!$E$29-Inputs!$D$29)/(Inputs!$F$29-Inputs!$D$29),Inputs!$D$29+SQRT(R761*(Inputs!$F$29-Inputs!$D$29)*(Inputs!$E$29-Inputs!$D$29)),Inputs!$F$29-SQRT((1-R761)*(Inputs!$F$29-Inputs!$D$29)*(Inputs!$F$29-Inputs!$E$29)))</f>
        <v>2.97739999133789</v>
      </c>
      <c r="T761" s="68" t="n">
        <f aca="false">Inputs!$E$9*(1+E761)+Inputs!$E$5*C761*(Inputs!$E$11*Inputs!$E$14*(G761*I761/Inputs!$E$16+(1-G761))*K761+Inputs!$E$23*M761)*(1+O761)+Inputs!$E$5*(Q761+S761)</f>
        <v>6213.19691256964</v>
      </c>
    </row>
    <row r="762" customFormat="false" ht="15" hidden="false" customHeight="false" outlineLevel="0" collapsed="false">
      <c r="A762" s="1" t="n">
        <v>758</v>
      </c>
      <c r="B762" s="81" t="n">
        <f aca="true">RAND()</f>
        <v>0.946544526582305</v>
      </c>
      <c r="C762" s="82" t="n">
        <f aca="false">ROUND(IF(B762&lt;(Inputs!$E$8-Inputs!$D$8)/(Inputs!$F$8-Inputs!$D$8),Inputs!$D$8+SQRT(B762*(Inputs!$F$8-Inputs!$D$8)*(Inputs!$E$8-Inputs!$D$8)),Inputs!$F$8-SQRT((1-B762)*(Inputs!$F$8-Inputs!$D$8)*(Inputs!$F$8-Inputs!$E$8))),0)</f>
        <v>28</v>
      </c>
      <c r="D762" s="81" t="n">
        <f aca="true">RAND()</f>
        <v>0.47123453127103</v>
      </c>
      <c r="E762" s="83" t="n">
        <f aca="false">IF(D762&lt;(Inputs!$E$10-Inputs!$D$10)/(Inputs!$F$10-Inputs!$D$10),Inputs!$D$10+SQRT(D762*(Inputs!$F$10-Inputs!$D$10)*(Inputs!$E$10-Inputs!$D$10)),Inputs!$F$10-SQRT((1-D762)*(Inputs!$F$10-Inputs!$D$10)*(Inputs!$F$10-Inputs!$E$10)))</f>
        <v>0.0740517405365636</v>
      </c>
      <c r="F762" s="81" t="n">
        <f aca="true">RAND()</f>
        <v>0.223942436770175</v>
      </c>
      <c r="G762" s="83" t="n">
        <f aca="false">IF(F762&lt;(Inputs!$E$15-Inputs!$D$15)/(Inputs!$F$15-Inputs!$D$15),Inputs!$D$15+SQRT(F762*(Inputs!$F$15-Inputs!$D$15)*(Inputs!$E$15-Inputs!$D$15)),Inputs!$F$15-SQRT((1-F762)*(Inputs!$F$15-Inputs!$D$15)*(Inputs!$F$15-Inputs!$E$15)))</f>
        <v>0.666924201417749</v>
      </c>
      <c r="H762" s="81" t="n">
        <f aca="true">RAND()</f>
        <v>0.566529863852421</v>
      </c>
      <c r="I762" s="82" t="n">
        <f aca="false">ROUND(IF(H762&lt;(Inputs!$E$17-Inputs!$D$17)/(Inputs!$F$17-Inputs!$D$17),Inputs!$D$17+SQRT(H762*(Inputs!$F$17-Inputs!$D$17)*(Inputs!$E$17-Inputs!$D$17)),Inputs!$F$17-SQRT((1-H762)*(Inputs!$F$17-Inputs!$D$17)*(Inputs!$F$17-Inputs!$E$17))),0)</f>
        <v>107</v>
      </c>
      <c r="J762" s="81" t="n">
        <f aca="true">RAND()</f>
        <v>0.604594334815214</v>
      </c>
      <c r="K762" s="83" t="n">
        <f aca="false">IF(J762&lt;(Inputs!$E$18-Inputs!$D$18)/(Inputs!$F$18-Inputs!$D$18),Inputs!$D$18+SQRT(J762*(Inputs!$F$18-Inputs!$D$18)*(Inputs!$E$18-Inputs!$D$18)),Inputs!$F$18-SQRT((1-J762)*(Inputs!$F$18-Inputs!$D$18)*(Inputs!$F$18-Inputs!$E$18)))</f>
        <v>1.06399463528256</v>
      </c>
      <c r="L762" s="81" t="n">
        <f aca="true">RAND()</f>
        <v>0.137017847688105</v>
      </c>
      <c r="M762" s="83" t="n">
        <f aca="false">IF(L762&lt;(Inputs!$E$24-Inputs!$D$24)/(Inputs!$F$24-Inputs!$D$24),Inputs!$D$24+SQRT(L762*(Inputs!$F$24-Inputs!$D$24)*(Inputs!$E$24-Inputs!$D$24)),Inputs!$F$24-SQRT((1-L762)*(Inputs!$F$24-Inputs!$D$24)*(Inputs!$F$24-Inputs!$E$24)))</f>
        <v>0.728226914969411</v>
      </c>
      <c r="N762" s="81" t="n">
        <f aca="true">RAND()</f>
        <v>0.0566309239565639</v>
      </c>
      <c r="O762" s="83" t="n">
        <f aca="false">IF(N762&lt;(Inputs!$E$26-Inputs!$D$26)/(Inputs!$F$26-Inputs!$D$26),Inputs!$D$26+SQRT(N762*(Inputs!$F$26-Inputs!$D$26)*(Inputs!$E$26-Inputs!$D$26)),Inputs!$F$26-SQRT((1-N762)*(Inputs!$F$26-Inputs!$D$26)*(Inputs!$F$26-Inputs!$E$26)))</f>
        <v>0.397074125009563</v>
      </c>
      <c r="P762" s="81" t="n">
        <f aca="true">RAND()</f>
        <v>0.416145671832439</v>
      </c>
      <c r="Q762" s="82" t="n">
        <f aca="false">IF(P762&lt;(Inputs!$E$27-Inputs!$D$27)/(Inputs!$F$27-Inputs!$D$27),Inputs!$D$27+SQRT(P762*(Inputs!$F$27-Inputs!$D$27)*(Inputs!$E$27-Inputs!$D$27)),Inputs!$F$27-SQRT((1-P762)*(Inputs!$F$27-Inputs!$D$27)*(Inputs!$F$27-Inputs!$E$27)))</f>
        <v>83.8266861850133</v>
      </c>
      <c r="R762" s="81" t="n">
        <f aca="true">RAND()</f>
        <v>0.344478507550638</v>
      </c>
      <c r="S762" s="82" t="n">
        <f aca="false">IF(R762&lt;(Inputs!$E$29-Inputs!$D$29)/(Inputs!$F$29-Inputs!$D$29),Inputs!$D$29+SQRT(R762*(Inputs!$F$29-Inputs!$D$29)*(Inputs!$E$29-Inputs!$D$29)),Inputs!$F$29-SQRT((1-R762)*(Inputs!$F$29-Inputs!$D$29)*(Inputs!$F$29-Inputs!$E$29)))</f>
        <v>5.76865156012313</v>
      </c>
      <c r="T762" s="68" t="n">
        <f aca="false">Inputs!$E$9*(1+E762)+Inputs!$E$5*C762*(Inputs!$E$11*Inputs!$E$14*(G762*I762/Inputs!$E$16+(1-G762))*K762+Inputs!$E$23*M762)*(1+O762)+Inputs!$E$5*(Q762+S762)</f>
        <v>6130.54020150107</v>
      </c>
    </row>
    <row r="763" customFormat="false" ht="15" hidden="false" customHeight="false" outlineLevel="0" collapsed="false">
      <c r="A763" s="1" t="n">
        <v>759</v>
      </c>
      <c r="B763" s="81" t="n">
        <f aca="true">RAND()</f>
        <v>0.554341206022603</v>
      </c>
      <c r="C763" s="82" t="n">
        <f aca="false">ROUND(IF(B763&lt;(Inputs!$E$8-Inputs!$D$8)/(Inputs!$F$8-Inputs!$D$8),Inputs!$D$8+SQRT(B763*(Inputs!$F$8-Inputs!$D$8)*(Inputs!$E$8-Inputs!$D$8)),Inputs!$F$8-SQRT((1-B763)*(Inputs!$F$8-Inputs!$D$8)*(Inputs!$F$8-Inputs!$E$8))),0)</f>
        <v>25</v>
      </c>
      <c r="D763" s="81" t="n">
        <f aca="true">RAND()</f>
        <v>0.484058559429189</v>
      </c>
      <c r="E763" s="83" t="n">
        <f aca="false">IF(D763&lt;(Inputs!$E$10-Inputs!$D$10)/(Inputs!$F$10-Inputs!$D$10),Inputs!$D$10+SQRT(D763*(Inputs!$F$10-Inputs!$D$10)*(Inputs!$E$10-Inputs!$D$10)),Inputs!$F$10-SQRT((1-D763)*(Inputs!$F$10-Inputs!$D$10)*(Inputs!$F$10-Inputs!$E$10)))</f>
        <v>0.0755884120464483</v>
      </c>
      <c r="F763" s="81" t="n">
        <f aca="true">RAND()</f>
        <v>0.922810602815451</v>
      </c>
      <c r="G763" s="83" t="n">
        <f aca="false">IF(F763&lt;(Inputs!$E$15-Inputs!$D$15)/(Inputs!$F$15-Inputs!$D$15),Inputs!$D$15+SQRT(F763*(Inputs!$F$15-Inputs!$D$15)*(Inputs!$E$15-Inputs!$D$15)),Inputs!$F$15-SQRT((1-F763)*(Inputs!$F$15-Inputs!$D$15)*(Inputs!$F$15-Inputs!$E$15)))</f>
        <v>0.760708933029364</v>
      </c>
      <c r="H763" s="81" t="n">
        <f aca="true">RAND()</f>
        <v>0.737225066875836</v>
      </c>
      <c r="I763" s="82" t="n">
        <f aca="false">ROUND(IF(H763&lt;(Inputs!$E$17-Inputs!$D$17)/(Inputs!$F$17-Inputs!$D$17),Inputs!$D$17+SQRT(H763*(Inputs!$F$17-Inputs!$D$17)*(Inputs!$E$17-Inputs!$D$17)),Inputs!$F$17-SQRT((1-H763)*(Inputs!$F$17-Inputs!$D$17)*(Inputs!$F$17-Inputs!$E$17))),0)</f>
        <v>109</v>
      </c>
      <c r="J763" s="81" t="n">
        <f aca="true">RAND()</f>
        <v>0.304399666406111</v>
      </c>
      <c r="K763" s="83" t="n">
        <f aca="false">IF(J763&lt;(Inputs!$E$18-Inputs!$D$18)/(Inputs!$F$18-Inputs!$D$18),Inputs!$D$18+SQRT(J763*(Inputs!$F$18-Inputs!$D$18)*(Inputs!$E$18-Inputs!$D$18)),Inputs!$F$18-SQRT((1-J763)*(Inputs!$F$18-Inputs!$D$18)*(Inputs!$F$18-Inputs!$E$18)))</f>
        <v>1.00329161102738</v>
      </c>
      <c r="L763" s="81" t="n">
        <f aca="true">RAND()</f>
        <v>0.421770088493954</v>
      </c>
      <c r="M763" s="83" t="n">
        <f aca="false">IF(L763&lt;(Inputs!$E$24-Inputs!$D$24)/(Inputs!$F$24-Inputs!$D$24),Inputs!$D$24+SQRT(L763*(Inputs!$F$24-Inputs!$D$24)*(Inputs!$E$24-Inputs!$D$24)),Inputs!$F$24-SQRT((1-L763)*(Inputs!$F$24-Inputs!$D$24)*(Inputs!$F$24-Inputs!$E$24)))</f>
        <v>0.827474593132964</v>
      </c>
      <c r="N763" s="81" t="n">
        <f aca="true">RAND()</f>
        <v>0.385056803692357</v>
      </c>
      <c r="O763" s="83" t="n">
        <f aca="false">IF(N763&lt;(Inputs!$E$26-Inputs!$D$26)/(Inputs!$F$26-Inputs!$D$26),Inputs!$D$26+SQRT(N763*(Inputs!$F$26-Inputs!$D$26)*(Inputs!$E$26-Inputs!$D$26)),Inputs!$F$26-SQRT((1-N763)*(Inputs!$F$26-Inputs!$D$26)*(Inputs!$F$26-Inputs!$E$26)))</f>
        <v>0.553127343711438</v>
      </c>
      <c r="P763" s="81" t="n">
        <f aca="true">RAND()</f>
        <v>0.530378769164549</v>
      </c>
      <c r="Q763" s="82" t="n">
        <f aca="false">IF(P763&lt;(Inputs!$E$27-Inputs!$D$27)/(Inputs!$F$27-Inputs!$D$27),Inputs!$D$27+SQRT(P763*(Inputs!$F$27-Inputs!$D$27)*(Inputs!$E$27-Inputs!$D$27)),Inputs!$F$27-SQRT((1-P763)*(Inputs!$F$27-Inputs!$D$27)*(Inputs!$F$27-Inputs!$E$27)))</f>
        <v>90.6522179751772</v>
      </c>
      <c r="R763" s="81" t="n">
        <f aca="true">RAND()</f>
        <v>0.128079202378755</v>
      </c>
      <c r="S763" s="82" t="n">
        <f aca="false">IF(R763&lt;(Inputs!$E$29-Inputs!$D$29)/(Inputs!$F$29-Inputs!$D$29),Inputs!$D$29+SQRT(R763*(Inputs!$F$29-Inputs!$D$29)*(Inputs!$E$29-Inputs!$D$29)),Inputs!$F$29-SQRT((1-R763)*(Inputs!$F$29-Inputs!$D$29)*(Inputs!$F$29-Inputs!$E$29)))</f>
        <v>4.23496955074816</v>
      </c>
      <c r="T763" s="68" t="n">
        <f aca="false">Inputs!$E$9*(1+E763)+Inputs!$E$5*C763*(Inputs!$E$11*Inputs!$E$14*(G763*I763/Inputs!$E$16+(1-G763))*K763+Inputs!$E$23*M763)*(1+O763)+Inputs!$E$5*(Q763+S763)</f>
        <v>6048.7332309516</v>
      </c>
    </row>
    <row r="764" customFormat="false" ht="15" hidden="false" customHeight="false" outlineLevel="0" collapsed="false">
      <c r="A764" s="1" t="n">
        <v>760</v>
      </c>
      <c r="B764" s="81" t="n">
        <f aca="true">RAND()</f>
        <v>0.295177004376296</v>
      </c>
      <c r="C764" s="82" t="n">
        <f aca="false">ROUND(IF(B764&lt;(Inputs!$E$8-Inputs!$D$8)/(Inputs!$F$8-Inputs!$D$8),Inputs!$D$8+SQRT(B764*(Inputs!$F$8-Inputs!$D$8)*(Inputs!$E$8-Inputs!$D$8)),Inputs!$F$8-SQRT((1-B764)*(Inputs!$F$8-Inputs!$D$8)*(Inputs!$F$8-Inputs!$E$8))),0)</f>
        <v>24</v>
      </c>
      <c r="D764" s="81" t="n">
        <f aca="true">RAND()</f>
        <v>0.209582764989871</v>
      </c>
      <c r="E764" s="83" t="n">
        <f aca="false">IF(D764&lt;(Inputs!$E$10-Inputs!$D$10)/(Inputs!$F$10-Inputs!$D$10),Inputs!$D$10+SQRT(D764*(Inputs!$F$10-Inputs!$D$10)*(Inputs!$E$10-Inputs!$D$10)),Inputs!$F$10-SQRT((1-D764)*(Inputs!$F$10-Inputs!$D$10)*(Inputs!$F$10-Inputs!$E$10)))</f>
        <v>0.0457802102430593</v>
      </c>
      <c r="F764" s="81" t="n">
        <f aca="true">RAND()</f>
        <v>0.936361133681425</v>
      </c>
      <c r="G764" s="83" t="n">
        <f aca="false">IF(F764&lt;(Inputs!$E$15-Inputs!$D$15)/(Inputs!$F$15-Inputs!$D$15),Inputs!$D$15+SQRT(F764*(Inputs!$F$15-Inputs!$D$15)*(Inputs!$E$15-Inputs!$D$15)),Inputs!$F$15-SQRT((1-F764)*(Inputs!$F$15-Inputs!$D$15)*(Inputs!$F$15-Inputs!$E$15)))</f>
        <v>0.764323995089535</v>
      </c>
      <c r="H764" s="81" t="n">
        <f aca="true">RAND()</f>
        <v>0.327655073485396</v>
      </c>
      <c r="I764" s="82" t="n">
        <f aca="false">ROUND(IF(H764&lt;(Inputs!$E$17-Inputs!$D$17)/(Inputs!$F$17-Inputs!$D$17),Inputs!$D$17+SQRT(H764*(Inputs!$F$17-Inputs!$D$17)*(Inputs!$E$17-Inputs!$D$17)),Inputs!$F$17-SQRT((1-H764)*(Inputs!$F$17-Inputs!$D$17)*(Inputs!$F$17-Inputs!$E$17))),0)</f>
        <v>105</v>
      </c>
      <c r="J764" s="81" t="n">
        <f aca="true">RAND()</f>
        <v>0.264073012580992</v>
      </c>
      <c r="K764" s="83" t="n">
        <f aca="false">IF(J764&lt;(Inputs!$E$18-Inputs!$D$18)/(Inputs!$F$18-Inputs!$D$18),Inputs!$D$18+SQRT(J764*(Inputs!$F$18-Inputs!$D$18)*(Inputs!$E$18-Inputs!$D$18)),Inputs!$F$18-SQRT((1-J764)*(Inputs!$F$18-Inputs!$D$18)*(Inputs!$F$18-Inputs!$E$18)))</f>
        <v>0.996138210095335</v>
      </c>
      <c r="L764" s="81" t="n">
        <f aca="true">RAND()</f>
        <v>0.884812693227707</v>
      </c>
      <c r="M764" s="83" t="n">
        <f aca="false">IF(L764&lt;(Inputs!$E$24-Inputs!$D$24)/(Inputs!$F$24-Inputs!$D$24),Inputs!$D$24+SQRT(L764*(Inputs!$F$24-Inputs!$D$24)*(Inputs!$E$24-Inputs!$D$24)),Inputs!$F$24-SQRT((1-L764)*(Inputs!$F$24-Inputs!$D$24)*(Inputs!$F$24-Inputs!$E$24)))</f>
        <v>1.03373228327378</v>
      </c>
      <c r="N764" s="81" t="n">
        <f aca="true">RAND()</f>
        <v>0.256088651125786</v>
      </c>
      <c r="O764" s="83" t="n">
        <f aca="false">IF(N764&lt;(Inputs!$E$26-Inputs!$D$26)/(Inputs!$F$26-Inputs!$D$26),Inputs!$D$26+SQRT(N764*(Inputs!$F$26-Inputs!$D$26)*(Inputs!$E$26-Inputs!$D$26)),Inputs!$F$26-SQRT((1-N764)*(Inputs!$F$26-Inputs!$D$26)*(Inputs!$F$26-Inputs!$E$26)))</f>
        <v>0.506429531674445</v>
      </c>
      <c r="P764" s="81" t="n">
        <f aca="true">RAND()</f>
        <v>0.119384005350447</v>
      </c>
      <c r="Q764" s="82" t="n">
        <f aca="false">IF(P764&lt;(Inputs!$E$27-Inputs!$D$27)/(Inputs!$F$27-Inputs!$D$27),Inputs!$D$27+SQRT(P764*(Inputs!$F$27-Inputs!$D$27)*(Inputs!$E$27-Inputs!$D$27)),Inputs!$F$27-SQRT((1-P764)*(Inputs!$F$27-Inputs!$D$27)*(Inputs!$F$27-Inputs!$E$27)))</f>
        <v>67.2759952933577</v>
      </c>
      <c r="R764" s="81" t="n">
        <f aca="true">RAND()</f>
        <v>0.71765405966977</v>
      </c>
      <c r="S764" s="82" t="n">
        <f aca="false">IF(R764&lt;(Inputs!$E$29-Inputs!$D$29)/(Inputs!$F$29-Inputs!$D$29),Inputs!$D$29+SQRT(R764*(Inputs!$F$29-Inputs!$D$29)*(Inputs!$E$29-Inputs!$D$29)),Inputs!$F$29-SQRT((1-R764)*(Inputs!$F$29-Inputs!$D$29)*(Inputs!$F$29-Inputs!$E$29)))</f>
        <v>8.94153713860274</v>
      </c>
      <c r="T764" s="68" t="n">
        <f aca="false">Inputs!$E$9*(1+E764)+Inputs!$E$5*C764*(Inputs!$E$11*Inputs!$E$14*(G764*I764/Inputs!$E$16+(1-G764))*K764+Inputs!$E$23*M764)*(1+O764)+Inputs!$E$5*(Q764+S764)</f>
        <v>5871.09907919804</v>
      </c>
    </row>
    <row r="765" customFormat="false" ht="15" hidden="false" customHeight="false" outlineLevel="0" collapsed="false">
      <c r="A765" s="1" t="n">
        <v>761</v>
      </c>
      <c r="B765" s="81" t="n">
        <f aca="true">RAND()</f>
        <v>0.208298783145878</v>
      </c>
      <c r="C765" s="82" t="n">
        <f aca="false">ROUND(IF(B765&lt;(Inputs!$E$8-Inputs!$D$8)/(Inputs!$F$8-Inputs!$D$8),Inputs!$D$8+SQRT(B765*(Inputs!$F$8-Inputs!$D$8)*(Inputs!$E$8-Inputs!$D$8)),Inputs!$F$8-SQRT((1-B765)*(Inputs!$F$8-Inputs!$D$8)*(Inputs!$F$8-Inputs!$E$8))),0)</f>
        <v>23</v>
      </c>
      <c r="D765" s="81" t="n">
        <f aca="true">RAND()</f>
        <v>0.0666563652657718</v>
      </c>
      <c r="E765" s="83" t="n">
        <f aca="false">IF(D765&lt;(Inputs!$E$10-Inputs!$D$10)/(Inputs!$F$10-Inputs!$D$10),Inputs!$D$10+SQRT(D765*(Inputs!$F$10-Inputs!$D$10)*(Inputs!$E$10-Inputs!$D$10)),Inputs!$F$10-SQRT((1-D765)*(Inputs!$F$10-Inputs!$D$10)*(Inputs!$F$10-Inputs!$E$10)))</f>
        <v>0.0258178940399429</v>
      </c>
      <c r="F765" s="81" t="n">
        <f aca="true">RAND()</f>
        <v>0.0678835085884301</v>
      </c>
      <c r="G765" s="83" t="n">
        <f aca="false">IF(F765&lt;(Inputs!$E$15-Inputs!$D$15)/(Inputs!$F$15-Inputs!$D$15),Inputs!$D$15+SQRT(F765*(Inputs!$F$15-Inputs!$D$15)*(Inputs!$E$15-Inputs!$D$15)),Inputs!$F$15-SQRT((1-F765)*(Inputs!$F$15-Inputs!$D$15)*(Inputs!$F$15-Inputs!$E$15)))</f>
        <v>0.636846576120022</v>
      </c>
      <c r="H765" s="81" t="n">
        <f aca="true">RAND()</f>
        <v>0.739253354916302</v>
      </c>
      <c r="I765" s="82" t="n">
        <f aca="false">ROUND(IF(H765&lt;(Inputs!$E$17-Inputs!$D$17)/(Inputs!$F$17-Inputs!$D$17),Inputs!$D$17+SQRT(H765*(Inputs!$F$17-Inputs!$D$17)*(Inputs!$E$17-Inputs!$D$17)),Inputs!$F$17-SQRT((1-H765)*(Inputs!$F$17-Inputs!$D$17)*(Inputs!$F$17-Inputs!$E$17))),0)</f>
        <v>109</v>
      </c>
      <c r="J765" s="81" t="n">
        <f aca="true">RAND()</f>
        <v>0.709169425982147</v>
      </c>
      <c r="K765" s="83" t="n">
        <f aca="false">IF(J765&lt;(Inputs!$E$18-Inputs!$D$18)/(Inputs!$F$18-Inputs!$D$18),Inputs!$D$18+SQRT(J765*(Inputs!$F$18-Inputs!$D$18)*(Inputs!$E$18-Inputs!$D$18)),Inputs!$F$18-SQRT((1-J765)*(Inputs!$F$18-Inputs!$D$18)*(Inputs!$F$18-Inputs!$E$18)))</f>
        <v>1.09047672512589</v>
      </c>
      <c r="L765" s="81" t="n">
        <f aca="true">RAND()</f>
        <v>0.172395364701665</v>
      </c>
      <c r="M765" s="83" t="n">
        <f aca="false">IF(L765&lt;(Inputs!$E$24-Inputs!$D$24)/(Inputs!$F$24-Inputs!$D$24),Inputs!$D$24+SQRT(L765*(Inputs!$F$24-Inputs!$D$24)*(Inputs!$E$24-Inputs!$D$24)),Inputs!$F$24-SQRT((1-L765)*(Inputs!$F$24-Inputs!$D$24)*(Inputs!$F$24-Inputs!$E$24)))</f>
        <v>0.743831303144343</v>
      </c>
      <c r="N765" s="81" t="n">
        <f aca="true">RAND()</f>
        <v>0.392435200550902</v>
      </c>
      <c r="O765" s="83" t="n">
        <f aca="false">IF(N765&lt;(Inputs!$E$26-Inputs!$D$26)/(Inputs!$F$26-Inputs!$D$26),Inputs!$D$26+SQRT(N765*(Inputs!$F$26-Inputs!$D$26)*(Inputs!$E$26-Inputs!$D$26)),Inputs!$F$26-SQRT((1-N765)*(Inputs!$F$26-Inputs!$D$26)*(Inputs!$F$26-Inputs!$E$26)))</f>
        <v>0.555541028744251</v>
      </c>
      <c r="P765" s="81" t="n">
        <f aca="true">RAND()</f>
        <v>0.879215344002938</v>
      </c>
      <c r="Q765" s="82" t="n">
        <f aca="false">IF(P765&lt;(Inputs!$E$27-Inputs!$D$27)/(Inputs!$F$27-Inputs!$D$27),Inputs!$D$27+SQRT(P765*(Inputs!$F$27-Inputs!$D$27)*(Inputs!$E$27-Inputs!$D$27)),Inputs!$F$27-SQRT((1-P765)*(Inputs!$F$27-Inputs!$D$27)*(Inputs!$F$27-Inputs!$E$27)))</f>
        <v>119.902077812946</v>
      </c>
      <c r="R765" s="81" t="n">
        <f aca="true">RAND()</f>
        <v>0.863367087880257</v>
      </c>
      <c r="S765" s="82" t="n">
        <f aca="false">IF(R765&lt;(Inputs!$E$29-Inputs!$D$29)/(Inputs!$F$29-Inputs!$D$29),Inputs!$D$29+SQRT(R765*(Inputs!$F$29-Inputs!$D$29)*(Inputs!$E$29-Inputs!$D$29)),Inputs!$F$29-SQRT((1-R765)*(Inputs!$F$29-Inputs!$D$29)*(Inputs!$F$29-Inputs!$E$29)))</f>
        <v>10.7854681665022</v>
      </c>
      <c r="T765" s="68" t="n">
        <f aca="false">Inputs!$E$9*(1+E765)+Inputs!$E$5*C765*(Inputs!$E$11*Inputs!$E$14*(G765*I765/Inputs!$E$16+(1-G765))*K765+Inputs!$E$23*M765)*(1+O765)+Inputs!$E$5*(Q765+S765)</f>
        <v>6077.53434429189</v>
      </c>
    </row>
    <row r="766" customFormat="false" ht="15" hidden="false" customHeight="false" outlineLevel="0" collapsed="false">
      <c r="A766" s="1" t="n">
        <v>762</v>
      </c>
      <c r="B766" s="81" t="n">
        <f aca="true">RAND()</f>
        <v>0.987137695036817</v>
      </c>
      <c r="C766" s="82" t="n">
        <f aca="false">ROUND(IF(B766&lt;(Inputs!$E$8-Inputs!$D$8)/(Inputs!$F$8-Inputs!$D$8),Inputs!$D$8+SQRT(B766*(Inputs!$F$8-Inputs!$D$8)*(Inputs!$E$8-Inputs!$D$8)),Inputs!$F$8-SQRT((1-B766)*(Inputs!$F$8-Inputs!$D$8)*(Inputs!$F$8-Inputs!$E$8))),0)</f>
        <v>29</v>
      </c>
      <c r="D766" s="81" t="n">
        <f aca="true">RAND()</f>
        <v>0.71118191837792</v>
      </c>
      <c r="E766" s="83" t="n">
        <f aca="false">IF(D766&lt;(Inputs!$E$10-Inputs!$D$10)/(Inputs!$F$10-Inputs!$D$10),Inputs!$D$10+SQRT(D766*(Inputs!$F$10-Inputs!$D$10)*(Inputs!$E$10-Inputs!$D$10)),Inputs!$F$10-SQRT((1-D766)*(Inputs!$F$10-Inputs!$D$10)*(Inputs!$F$10-Inputs!$E$10)))</f>
        <v>0.106916475954859</v>
      </c>
      <c r="F766" s="81" t="n">
        <f aca="true">RAND()</f>
        <v>0.639359618063313</v>
      </c>
      <c r="G766" s="83" t="n">
        <f aca="false">IF(F766&lt;(Inputs!$E$15-Inputs!$D$15)/(Inputs!$F$15-Inputs!$D$15),Inputs!$D$15+SQRT(F766*(Inputs!$F$15-Inputs!$D$15)*(Inputs!$E$15-Inputs!$D$15)),Inputs!$F$15-SQRT((1-F766)*(Inputs!$F$15-Inputs!$D$15)*(Inputs!$F$15-Inputs!$E$15)))</f>
        <v>0.715071750054921</v>
      </c>
      <c r="H766" s="81" t="n">
        <f aca="true">RAND()</f>
        <v>0.350900993227978</v>
      </c>
      <c r="I766" s="82" t="n">
        <f aca="false">ROUND(IF(H766&lt;(Inputs!$E$17-Inputs!$D$17)/(Inputs!$F$17-Inputs!$D$17),Inputs!$D$17+SQRT(H766*(Inputs!$F$17-Inputs!$D$17)*(Inputs!$E$17-Inputs!$D$17)),Inputs!$F$17-SQRT((1-H766)*(Inputs!$F$17-Inputs!$D$17)*(Inputs!$F$17-Inputs!$E$17))),0)</f>
        <v>105</v>
      </c>
      <c r="J766" s="81" t="n">
        <f aca="true">RAND()</f>
        <v>0.318539737340587</v>
      </c>
      <c r="K766" s="83" t="n">
        <f aca="false">IF(J766&lt;(Inputs!$E$18-Inputs!$D$18)/(Inputs!$F$18-Inputs!$D$18),Inputs!$D$18+SQRT(J766*(Inputs!$F$18-Inputs!$D$18)*(Inputs!$E$18-Inputs!$D$18)),Inputs!$F$18-SQRT((1-J766)*(Inputs!$F$18-Inputs!$D$18)*(Inputs!$F$18-Inputs!$E$18)))</f>
        <v>1.00581201302542</v>
      </c>
      <c r="L766" s="81" t="n">
        <f aca="true">RAND()</f>
        <v>0.860237295265072</v>
      </c>
      <c r="M766" s="83" t="n">
        <f aca="false">IF(L766&lt;(Inputs!$E$24-Inputs!$D$24)/(Inputs!$F$24-Inputs!$D$24),Inputs!$D$24+SQRT(L766*(Inputs!$F$24-Inputs!$D$24)*(Inputs!$E$24-Inputs!$D$24)),Inputs!$F$24-SQRT((1-L766)*(Inputs!$F$24-Inputs!$D$24)*(Inputs!$F$24-Inputs!$E$24)))</f>
        <v>1.01685238430058</v>
      </c>
      <c r="N766" s="81" t="n">
        <f aca="true">RAND()</f>
        <v>0.968992899253955</v>
      </c>
      <c r="O766" s="83" t="n">
        <f aca="false">IF(N766&lt;(Inputs!$E$26-Inputs!$D$26)/(Inputs!$F$26-Inputs!$D$26),Inputs!$D$26+SQRT(N766*(Inputs!$F$26-Inputs!$D$26)*(Inputs!$E$26-Inputs!$D$26)),Inputs!$F$26-SQRT((1-N766)*(Inputs!$F$26-Inputs!$D$26)*(Inputs!$F$26-Inputs!$E$26)))</f>
        <v>0.76321321916512</v>
      </c>
      <c r="P766" s="81" t="n">
        <f aca="true">RAND()</f>
        <v>0.298498632568701</v>
      </c>
      <c r="Q766" s="82" t="n">
        <f aca="false">IF(P766&lt;(Inputs!$E$27-Inputs!$D$27)/(Inputs!$F$27-Inputs!$D$27),Inputs!$D$27+SQRT(P766*(Inputs!$F$27-Inputs!$D$27)*(Inputs!$E$27-Inputs!$D$27)),Inputs!$F$27-SQRT((1-P766)*(Inputs!$F$27-Inputs!$D$27)*(Inputs!$F$27-Inputs!$E$27)))</f>
        <v>77.4654547423454</v>
      </c>
      <c r="R766" s="81" t="n">
        <f aca="true">RAND()</f>
        <v>0.383466572994476</v>
      </c>
      <c r="S766" s="82" t="n">
        <f aca="false">IF(R766&lt;(Inputs!$E$29-Inputs!$D$29)/(Inputs!$F$29-Inputs!$D$29),Inputs!$D$29+SQRT(R766*(Inputs!$F$29-Inputs!$D$29)*(Inputs!$E$29-Inputs!$D$29)),Inputs!$F$29-SQRT((1-R766)*(Inputs!$F$29-Inputs!$D$29)*(Inputs!$F$29-Inputs!$E$29)))</f>
        <v>6.04738331487837</v>
      </c>
      <c r="T766" s="68" t="n">
        <f aca="false">Inputs!$E$9*(1+E766)+Inputs!$E$5*C766*(Inputs!$E$11*Inputs!$E$14*(G766*I766/Inputs!$E$16+(1-G766))*K766+Inputs!$E$23*M766)*(1+O766)+Inputs!$E$5*(Q766+S766)</f>
        <v>7442.50258351149</v>
      </c>
    </row>
    <row r="767" customFormat="false" ht="15" hidden="false" customHeight="false" outlineLevel="0" collapsed="false">
      <c r="A767" s="1" t="n">
        <v>763</v>
      </c>
      <c r="B767" s="81" t="n">
        <f aca="true">RAND()</f>
        <v>0.487139699033679</v>
      </c>
      <c r="C767" s="82" t="n">
        <f aca="false">ROUND(IF(B767&lt;(Inputs!$E$8-Inputs!$D$8)/(Inputs!$F$8-Inputs!$D$8),Inputs!$D$8+SQRT(B767*(Inputs!$F$8-Inputs!$D$8)*(Inputs!$E$8-Inputs!$D$8)),Inputs!$F$8-SQRT((1-B767)*(Inputs!$F$8-Inputs!$D$8)*(Inputs!$F$8-Inputs!$E$8))),0)</f>
        <v>25</v>
      </c>
      <c r="D767" s="81" t="n">
        <f aca="true">RAND()</f>
        <v>0.425695542355367</v>
      </c>
      <c r="E767" s="83" t="n">
        <f aca="false">IF(D767&lt;(Inputs!$E$10-Inputs!$D$10)/(Inputs!$F$10-Inputs!$D$10),Inputs!$D$10+SQRT(D767*(Inputs!$F$10-Inputs!$D$10)*(Inputs!$E$10-Inputs!$D$10)),Inputs!$F$10-SQRT((1-D767)*(Inputs!$F$10-Inputs!$D$10)*(Inputs!$F$10-Inputs!$E$10)))</f>
        <v>0.0687402052060915</v>
      </c>
      <c r="F767" s="81" t="n">
        <f aca="true">RAND()</f>
        <v>0.0480718944332555</v>
      </c>
      <c r="G767" s="83" t="n">
        <f aca="false">IF(F767&lt;(Inputs!$E$15-Inputs!$D$15)/(Inputs!$F$15-Inputs!$D$15),Inputs!$D$15+SQRT(F767*(Inputs!$F$15-Inputs!$D$15)*(Inputs!$E$15-Inputs!$D$15)),Inputs!$F$15-SQRT((1-F767)*(Inputs!$F$15-Inputs!$D$15)*(Inputs!$F$15-Inputs!$E$15)))</f>
        <v>0.63100706191604</v>
      </c>
      <c r="H767" s="81" t="n">
        <f aca="true">RAND()</f>
        <v>0.48333068710517</v>
      </c>
      <c r="I767" s="82" t="n">
        <f aca="false">ROUND(IF(H767&lt;(Inputs!$E$17-Inputs!$D$17)/(Inputs!$F$17-Inputs!$D$17),Inputs!$D$17+SQRT(H767*(Inputs!$F$17-Inputs!$D$17)*(Inputs!$E$17-Inputs!$D$17)),Inputs!$F$17-SQRT((1-H767)*(Inputs!$F$17-Inputs!$D$17)*(Inputs!$F$17-Inputs!$E$17))),0)</f>
        <v>106</v>
      </c>
      <c r="J767" s="81" t="n">
        <f aca="true">RAND()</f>
        <v>0.256927656160671</v>
      </c>
      <c r="K767" s="83" t="n">
        <f aca="false">IF(J767&lt;(Inputs!$E$18-Inputs!$D$18)/(Inputs!$F$18-Inputs!$D$18),Inputs!$D$18+SQRT(J767*(Inputs!$F$18-Inputs!$D$18)*(Inputs!$E$18-Inputs!$D$18)),Inputs!$F$18-SQRT((1-J767)*(Inputs!$F$18-Inputs!$D$18)*(Inputs!$F$18-Inputs!$E$18)))</f>
        <v>0.994828624189237</v>
      </c>
      <c r="L767" s="81" t="n">
        <f aca="true">RAND()</f>
        <v>0.0247406387207837</v>
      </c>
      <c r="M767" s="83" t="n">
        <f aca="false">IF(L767&lt;(Inputs!$E$24-Inputs!$D$24)/(Inputs!$F$24-Inputs!$D$24),Inputs!$D$24+SQRT(L767*(Inputs!$F$24-Inputs!$D$24)*(Inputs!$E$24-Inputs!$D$24)),Inputs!$F$24-SQRT((1-L767)*(Inputs!$F$24-Inputs!$D$24)*(Inputs!$F$24-Inputs!$E$24)))</f>
        <v>0.654487398969799</v>
      </c>
      <c r="N767" s="81" t="n">
        <f aca="true">RAND()</f>
        <v>0.746932092502793</v>
      </c>
      <c r="O767" s="83" t="n">
        <f aca="false">IF(N767&lt;(Inputs!$E$26-Inputs!$D$26)/(Inputs!$F$26-Inputs!$D$26),Inputs!$D$26+SQRT(N767*(Inputs!$F$26-Inputs!$D$26)*(Inputs!$E$26-Inputs!$D$26)),Inputs!$F$26-SQRT((1-N767)*(Inputs!$F$26-Inputs!$D$26)*(Inputs!$F$26-Inputs!$E$26)))</f>
        <v>0.657768491409007</v>
      </c>
      <c r="P767" s="81" t="n">
        <f aca="true">RAND()</f>
        <v>0.158857798259007</v>
      </c>
      <c r="Q767" s="82" t="n">
        <f aca="false">IF(P767&lt;(Inputs!$E$27-Inputs!$D$27)/(Inputs!$F$27-Inputs!$D$27),Inputs!$D$27+SQRT(P767*(Inputs!$F$27-Inputs!$D$27)*(Inputs!$E$27-Inputs!$D$27)),Inputs!$F$27-SQRT((1-P767)*(Inputs!$F$27-Inputs!$D$27)*(Inputs!$F$27-Inputs!$E$27)))</f>
        <v>69.9284845296253</v>
      </c>
      <c r="R767" s="81" t="n">
        <f aca="true">RAND()</f>
        <v>0.404392569469496</v>
      </c>
      <c r="S767" s="82" t="n">
        <f aca="false">IF(R767&lt;(Inputs!$E$29-Inputs!$D$29)/(Inputs!$F$29-Inputs!$D$29),Inputs!$D$29+SQRT(R767*(Inputs!$F$29-Inputs!$D$29)*(Inputs!$E$29-Inputs!$D$29)),Inputs!$F$29-SQRT((1-R767)*(Inputs!$F$29-Inputs!$D$29)*(Inputs!$F$29-Inputs!$E$29)))</f>
        <v>6.20062695591524</v>
      </c>
      <c r="T767" s="68" t="n">
        <f aca="false">Inputs!$E$9*(1+E767)+Inputs!$E$5*C767*(Inputs!$E$11*Inputs!$E$14*(G767*I767/Inputs!$E$16+(1-G767))*K767+Inputs!$E$23*M767)*(1+O767)+Inputs!$E$5*(Q767+S767)</f>
        <v>6018.54125340494</v>
      </c>
    </row>
    <row r="768" customFormat="false" ht="15" hidden="false" customHeight="false" outlineLevel="0" collapsed="false">
      <c r="A768" s="1" t="n">
        <v>764</v>
      </c>
      <c r="B768" s="81" t="n">
        <f aca="true">RAND()</f>
        <v>0.301616410553611</v>
      </c>
      <c r="C768" s="82" t="n">
        <f aca="false">ROUND(IF(B768&lt;(Inputs!$E$8-Inputs!$D$8)/(Inputs!$F$8-Inputs!$D$8),Inputs!$D$8+SQRT(B768*(Inputs!$F$8-Inputs!$D$8)*(Inputs!$E$8-Inputs!$D$8)),Inputs!$F$8-SQRT((1-B768)*(Inputs!$F$8-Inputs!$D$8)*(Inputs!$F$8-Inputs!$E$8))),0)</f>
        <v>24</v>
      </c>
      <c r="D768" s="81" t="n">
        <f aca="true">RAND()</f>
        <v>0.558632550058805</v>
      </c>
      <c r="E768" s="83" t="n">
        <f aca="false">IF(D768&lt;(Inputs!$E$10-Inputs!$D$10)/(Inputs!$F$10-Inputs!$D$10),Inputs!$D$10+SQRT(D768*(Inputs!$F$10-Inputs!$D$10)*(Inputs!$E$10-Inputs!$D$10)),Inputs!$F$10-SQRT((1-D768)*(Inputs!$F$10-Inputs!$D$10)*(Inputs!$F$10-Inputs!$E$10)))</f>
        <v>0.0849303537059584</v>
      </c>
      <c r="F768" s="81" t="n">
        <f aca="true">RAND()</f>
        <v>0.0151529666239319</v>
      </c>
      <c r="G768" s="83" t="n">
        <f aca="false">IF(F768&lt;(Inputs!$E$15-Inputs!$D$15)/(Inputs!$F$15-Inputs!$D$15),Inputs!$D$15+SQRT(F768*(Inputs!$F$15-Inputs!$D$15)*(Inputs!$E$15-Inputs!$D$15)),Inputs!$F$15-SQRT((1-F768)*(Inputs!$F$15-Inputs!$D$15)*(Inputs!$F$15-Inputs!$E$15)))</f>
        <v>0.617408599383024</v>
      </c>
      <c r="H768" s="81" t="n">
        <f aca="true">RAND()</f>
        <v>0.912744781322056</v>
      </c>
      <c r="I768" s="82" t="n">
        <f aca="false">ROUND(IF(H768&lt;(Inputs!$E$17-Inputs!$D$17)/(Inputs!$F$17-Inputs!$D$17),Inputs!$D$17+SQRT(H768*(Inputs!$F$17-Inputs!$D$17)*(Inputs!$E$17-Inputs!$D$17)),Inputs!$F$17-SQRT((1-H768)*(Inputs!$F$17-Inputs!$D$17)*(Inputs!$F$17-Inputs!$E$17))),0)</f>
        <v>111</v>
      </c>
      <c r="J768" s="81" t="n">
        <f aca="true">RAND()</f>
        <v>0.0932750278685526</v>
      </c>
      <c r="K768" s="83" t="n">
        <f aca="false">IF(J768&lt;(Inputs!$E$18-Inputs!$D$18)/(Inputs!$F$18-Inputs!$D$18),Inputs!$D$18+SQRT(J768*(Inputs!$F$18-Inputs!$D$18)*(Inputs!$E$18-Inputs!$D$18)),Inputs!$F$18-SQRT((1-J768)*(Inputs!$F$18-Inputs!$D$18)*(Inputs!$F$18-Inputs!$E$18)))</f>
        <v>0.957136905546235</v>
      </c>
      <c r="L768" s="81" t="n">
        <f aca="true">RAND()</f>
        <v>0.0950740660145267</v>
      </c>
      <c r="M768" s="83" t="n">
        <f aca="false">IF(L768&lt;(Inputs!$E$24-Inputs!$D$24)/(Inputs!$F$24-Inputs!$D$24),Inputs!$D$24+SQRT(L768*(Inputs!$F$24-Inputs!$D$24)*(Inputs!$E$24-Inputs!$D$24)),Inputs!$F$24-SQRT((1-L768)*(Inputs!$F$24-Inputs!$D$24)*(Inputs!$F$24-Inputs!$E$24)))</f>
        <v>0.706812395917998</v>
      </c>
      <c r="N768" s="81" t="n">
        <f aca="true">RAND()</f>
        <v>0.212008471507912</v>
      </c>
      <c r="O768" s="83" t="n">
        <f aca="false">IF(N768&lt;(Inputs!$E$26-Inputs!$D$26)/(Inputs!$F$26-Inputs!$D$26),Inputs!$D$26+SQRT(N768*(Inputs!$F$26-Inputs!$D$26)*(Inputs!$E$26-Inputs!$D$26)),Inputs!$F$26-SQRT((1-N768)*(Inputs!$F$26-Inputs!$D$26)*(Inputs!$F$26-Inputs!$E$26)))</f>
        <v>0.487824944187178</v>
      </c>
      <c r="P768" s="81" t="n">
        <f aca="true">RAND()</f>
        <v>0.91002106389003</v>
      </c>
      <c r="Q768" s="82" t="n">
        <f aca="false">IF(P768&lt;(Inputs!$E$27-Inputs!$D$27)/(Inputs!$F$27-Inputs!$D$27),Inputs!$D$27+SQRT(P768*(Inputs!$F$27-Inputs!$D$27)*(Inputs!$E$27-Inputs!$D$27)),Inputs!$F$27-SQRT((1-P768)*(Inputs!$F$27-Inputs!$D$27)*(Inputs!$F$27-Inputs!$E$27)))</f>
        <v>124.022278375023</v>
      </c>
      <c r="R768" s="81" t="n">
        <f aca="true">RAND()</f>
        <v>0.371875015792271</v>
      </c>
      <c r="S768" s="82" t="n">
        <f aca="false">IF(R768&lt;(Inputs!$E$29-Inputs!$D$29)/(Inputs!$F$29-Inputs!$D$29),Inputs!$D$29+SQRT(R768*(Inputs!$F$29-Inputs!$D$29)*(Inputs!$E$29-Inputs!$D$29)),Inputs!$F$29-SQRT((1-R768)*(Inputs!$F$29-Inputs!$D$29)*(Inputs!$F$29-Inputs!$E$29)))</f>
        <v>5.96361532763214</v>
      </c>
      <c r="T768" s="68" t="n">
        <f aca="false">Inputs!$E$9*(1+E768)+Inputs!$E$5*C768*(Inputs!$E$11*Inputs!$E$14*(G768*I768/Inputs!$E$16+(1-G768))*K768+Inputs!$E$23*M768)*(1+O768)+Inputs!$E$5*(Q768+S768)</f>
        <v>5918.62202153242</v>
      </c>
    </row>
    <row r="769" customFormat="false" ht="15" hidden="false" customHeight="false" outlineLevel="0" collapsed="false">
      <c r="A769" s="1" t="n">
        <v>765</v>
      </c>
      <c r="B769" s="81" t="n">
        <f aca="true">RAND()</f>
        <v>0.336114437592978</v>
      </c>
      <c r="C769" s="82" t="n">
        <f aca="false">ROUND(IF(B769&lt;(Inputs!$E$8-Inputs!$D$8)/(Inputs!$F$8-Inputs!$D$8),Inputs!$D$8+SQRT(B769*(Inputs!$F$8-Inputs!$D$8)*(Inputs!$E$8-Inputs!$D$8)),Inputs!$F$8-SQRT((1-B769)*(Inputs!$F$8-Inputs!$D$8)*(Inputs!$F$8-Inputs!$E$8))),0)</f>
        <v>24</v>
      </c>
      <c r="D769" s="81" t="n">
        <f aca="true">RAND()</f>
        <v>0.0176700816103505</v>
      </c>
      <c r="E769" s="83" t="n">
        <f aca="false">IF(D769&lt;(Inputs!$E$10-Inputs!$D$10)/(Inputs!$F$10-Inputs!$D$10),Inputs!$D$10+SQRT(D769*(Inputs!$F$10-Inputs!$D$10)*(Inputs!$E$10-Inputs!$D$10)),Inputs!$F$10-SQRT((1-D769)*(Inputs!$F$10-Inputs!$D$10)*(Inputs!$F$10-Inputs!$E$10)))</f>
        <v>0.0132928859208038</v>
      </c>
      <c r="F769" s="81" t="n">
        <f aca="true">RAND()</f>
        <v>0.183627846073086</v>
      </c>
      <c r="G769" s="83" t="n">
        <f aca="false">IF(F769&lt;(Inputs!$E$15-Inputs!$D$15)/(Inputs!$F$15-Inputs!$D$15),Inputs!$D$15+SQRT(F769*(Inputs!$F$15-Inputs!$D$15)*(Inputs!$E$15-Inputs!$D$15)),Inputs!$F$15-SQRT((1-F769)*(Inputs!$F$15-Inputs!$D$15)*(Inputs!$F$15-Inputs!$E$15)))</f>
        <v>0.660601624742755</v>
      </c>
      <c r="H769" s="81" t="n">
        <f aca="true">RAND()</f>
        <v>0.558720283409902</v>
      </c>
      <c r="I769" s="82" t="n">
        <f aca="false">ROUND(IF(H769&lt;(Inputs!$E$17-Inputs!$D$17)/(Inputs!$F$17-Inputs!$D$17),Inputs!$D$17+SQRT(H769*(Inputs!$F$17-Inputs!$D$17)*(Inputs!$E$17-Inputs!$D$17)),Inputs!$F$17-SQRT((1-H769)*(Inputs!$F$17-Inputs!$D$17)*(Inputs!$F$17-Inputs!$E$17))),0)</f>
        <v>107</v>
      </c>
      <c r="J769" s="81" t="n">
        <f aca="true">RAND()</f>
        <v>0.321343493308572</v>
      </c>
      <c r="K769" s="83" t="n">
        <f aca="false">IF(J769&lt;(Inputs!$E$18-Inputs!$D$18)/(Inputs!$F$18-Inputs!$D$18),Inputs!$D$18+SQRT(J769*(Inputs!$F$18-Inputs!$D$18)*(Inputs!$E$18-Inputs!$D$18)),Inputs!$F$18-SQRT((1-J769)*(Inputs!$F$18-Inputs!$D$18)*(Inputs!$F$18-Inputs!$E$18)))</f>
        <v>1.00631486640441</v>
      </c>
      <c r="L769" s="81" t="n">
        <f aca="true">RAND()</f>
        <v>0.369450934247695</v>
      </c>
      <c r="M769" s="83" t="n">
        <f aca="false">IF(L769&lt;(Inputs!$E$24-Inputs!$D$24)/(Inputs!$F$24-Inputs!$D$24),Inputs!$D$24+SQRT(L769*(Inputs!$F$24-Inputs!$D$24)*(Inputs!$E$24-Inputs!$D$24)),Inputs!$F$24-SQRT((1-L769)*(Inputs!$F$24-Inputs!$D$24)*(Inputs!$F$24-Inputs!$E$24)))</f>
        <v>0.810986149628894</v>
      </c>
      <c r="N769" s="81" t="n">
        <f aca="true">RAND()</f>
        <v>0.843182734838575</v>
      </c>
      <c r="O769" s="83" t="n">
        <f aca="false">IF(N769&lt;(Inputs!$E$26-Inputs!$D$26)/(Inputs!$F$26-Inputs!$D$26),Inputs!$D$26+SQRT(N769*(Inputs!$F$26-Inputs!$D$26)*(Inputs!$E$26-Inputs!$D$26)),Inputs!$F$26-SQRT((1-N769)*(Inputs!$F$26-Inputs!$D$26)*(Inputs!$F$26-Inputs!$E$26)))</f>
        <v>0.692293322113571</v>
      </c>
      <c r="P769" s="81" t="n">
        <f aca="true">RAND()</f>
        <v>0.1690587346179</v>
      </c>
      <c r="Q769" s="82" t="n">
        <f aca="false">IF(P769&lt;(Inputs!$E$27-Inputs!$D$27)/(Inputs!$F$27-Inputs!$D$27),Inputs!$D$27+SQRT(P769*(Inputs!$F$27-Inputs!$D$27)*(Inputs!$E$27-Inputs!$D$27)),Inputs!$F$27-SQRT((1-P769)*(Inputs!$F$27-Inputs!$D$27)*(Inputs!$F$27-Inputs!$E$27)))</f>
        <v>70.5583763110016</v>
      </c>
      <c r="R769" s="81" t="n">
        <f aca="true">RAND()</f>
        <v>0.259880878245636</v>
      </c>
      <c r="S769" s="82" t="n">
        <f aca="false">IF(R769&lt;(Inputs!$E$29-Inputs!$D$29)/(Inputs!$F$29-Inputs!$D$29),Inputs!$D$29+SQRT(R769*(Inputs!$F$29-Inputs!$D$29)*(Inputs!$E$29-Inputs!$D$29)),Inputs!$F$29-SQRT((1-R769)*(Inputs!$F$29-Inputs!$D$29)*(Inputs!$F$29-Inputs!$E$29)))</f>
        <v>5.1910507276229</v>
      </c>
      <c r="T769" s="68" t="n">
        <f aca="false">Inputs!$E$9*(1+E769)+Inputs!$E$5*C769*(Inputs!$E$11*Inputs!$E$14*(G769*I769/Inputs!$E$16+(1-G769))*K769+Inputs!$E$23*M769)*(1+O769)+Inputs!$E$5*(Q769+S769)</f>
        <v>6053.21830859192</v>
      </c>
    </row>
    <row r="770" customFormat="false" ht="15" hidden="false" customHeight="false" outlineLevel="0" collapsed="false">
      <c r="A770" s="1" t="n">
        <v>766</v>
      </c>
      <c r="B770" s="81" t="n">
        <f aca="true">RAND()</f>
        <v>0.63583075916232</v>
      </c>
      <c r="C770" s="82" t="n">
        <f aca="false">ROUND(IF(B770&lt;(Inputs!$E$8-Inputs!$D$8)/(Inputs!$F$8-Inputs!$D$8),Inputs!$D$8+SQRT(B770*(Inputs!$F$8-Inputs!$D$8)*(Inputs!$E$8-Inputs!$D$8)),Inputs!$F$8-SQRT((1-B770)*(Inputs!$F$8-Inputs!$D$8)*(Inputs!$F$8-Inputs!$E$8))),0)</f>
        <v>26</v>
      </c>
      <c r="D770" s="81" t="n">
        <f aca="true">RAND()</f>
        <v>0.37913005134737</v>
      </c>
      <c r="E770" s="83" t="n">
        <f aca="false">IF(D770&lt;(Inputs!$E$10-Inputs!$D$10)/(Inputs!$F$10-Inputs!$D$10),Inputs!$D$10+SQRT(D770*(Inputs!$F$10-Inputs!$D$10)*(Inputs!$E$10-Inputs!$D$10)),Inputs!$F$10-SQRT((1-D770)*(Inputs!$F$10-Inputs!$D$10)*(Inputs!$F$10-Inputs!$E$10)))</f>
        <v>0.0635225349752608</v>
      </c>
      <c r="F770" s="81" t="n">
        <f aca="true">RAND()</f>
        <v>0.0735893827549675</v>
      </c>
      <c r="G770" s="83" t="n">
        <f aca="false">IF(F770&lt;(Inputs!$E$15-Inputs!$D$15)/(Inputs!$F$15-Inputs!$D$15),Inputs!$D$15+SQRT(F770*(Inputs!$F$15-Inputs!$D$15)*(Inputs!$E$15-Inputs!$D$15)),Inputs!$F$15-SQRT((1-F770)*(Inputs!$F$15-Inputs!$D$15)*(Inputs!$F$15-Inputs!$E$15)))</f>
        <v>0.638363884775911</v>
      </c>
      <c r="H770" s="81" t="n">
        <f aca="true">RAND()</f>
        <v>0.623540259679266</v>
      </c>
      <c r="I770" s="82" t="n">
        <f aca="false">ROUND(IF(H770&lt;(Inputs!$E$17-Inputs!$D$17)/(Inputs!$F$17-Inputs!$D$17),Inputs!$D$17+SQRT(H770*(Inputs!$F$17-Inputs!$D$17)*(Inputs!$E$17-Inputs!$D$17)),Inputs!$F$17-SQRT((1-H770)*(Inputs!$F$17-Inputs!$D$17)*(Inputs!$F$17-Inputs!$E$17))),0)</f>
        <v>107</v>
      </c>
      <c r="J770" s="81" t="n">
        <f aca="true">RAND()</f>
        <v>0.844318611161191</v>
      </c>
      <c r="K770" s="83" t="n">
        <f aca="false">IF(J770&lt;(Inputs!$E$18-Inputs!$D$18)/(Inputs!$F$18-Inputs!$D$18),Inputs!$D$18+SQRT(J770*(Inputs!$F$18-Inputs!$D$18)*(Inputs!$E$18-Inputs!$D$18)),Inputs!$F$18-SQRT((1-J770)*(Inputs!$F$18-Inputs!$D$18)*(Inputs!$F$18-Inputs!$E$18)))</f>
        <v>1.13328615539108</v>
      </c>
      <c r="L770" s="81" t="n">
        <f aca="true">RAND()</f>
        <v>0.421482675355944</v>
      </c>
      <c r="M770" s="83" t="n">
        <f aca="false">IF(L770&lt;(Inputs!$E$24-Inputs!$D$24)/(Inputs!$F$24-Inputs!$D$24),Inputs!$D$24+SQRT(L770*(Inputs!$F$24-Inputs!$D$24)*(Inputs!$E$24-Inputs!$D$24)),Inputs!$F$24-SQRT((1-L770)*(Inputs!$F$24-Inputs!$D$24)*(Inputs!$F$24-Inputs!$E$24)))</f>
        <v>0.827382021482359</v>
      </c>
      <c r="N770" s="81" t="n">
        <f aca="true">RAND()</f>
        <v>0.0514038275238232</v>
      </c>
      <c r="O770" s="83" t="n">
        <f aca="false">IF(N770&lt;(Inputs!$E$26-Inputs!$D$26)/(Inputs!$F$26-Inputs!$D$26),Inputs!$D$26+SQRT(N770*(Inputs!$F$26-Inputs!$D$26)*(Inputs!$E$26-Inputs!$D$26)),Inputs!$F$26-SQRT((1-N770)*(Inputs!$F$26-Inputs!$D$26)*(Inputs!$F$26-Inputs!$E$26)))</f>
        <v>0.392485657806842</v>
      </c>
      <c r="P770" s="81" t="n">
        <f aca="true">RAND()</f>
        <v>0.196811125434921</v>
      </c>
      <c r="Q770" s="82" t="n">
        <f aca="false">IF(P770&lt;(Inputs!$E$27-Inputs!$D$27)/(Inputs!$F$27-Inputs!$D$27),Inputs!$D$27+SQRT(P770*(Inputs!$F$27-Inputs!$D$27)*(Inputs!$E$27-Inputs!$D$27)),Inputs!$F$27-SQRT((1-P770)*(Inputs!$F$27-Inputs!$D$27)*(Inputs!$F$27-Inputs!$E$27)))</f>
        <v>72.1816999706358</v>
      </c>
      <c r="R770" s="81" t="n">
        <f aca="true">RAND()</f>
        <v>0.751500826119676</v>
      </c>
      <c r="S770" s="82" t="n">
        <f aca="false">IF(R770&lt;(Inputs!$E$29-Inputs!$D$29)/(Inputs!$F$29-Inputs!$D$29),Inputs!$D$29+SQRT(R770*(Inputs!$F$29-Inputs!$D$29)*(Inputs!$E$29-Inputs!$D$29)),Inputs!$F$29-SQRT((1-R770)*(Inputs!$F$29-Inputs!$D$29)*(Inputs!$F$29-Inputs!$E$29)))</f>
        <v>9.31626068468635</v>
      </c>
      <c r="T770" s="68" t="n">
        <f aca="false">Inputs!$E$9*(1+E770)+Inputs!$E$5*C770*(Inputs!$E$11*Inputs!$E$14*(G770*I770/Inputs!$E$16+(1-G770))*K770+Inputs!$E$23*M770)*(1+O770)+Inputs!$E$5*(Q770+S770)</f>
        <v>6124.55468093369</v>
      </c>
    </row>
    <row r="771" customFormat="false" ht="15" hidden="false" customHeight="false" outlineLevel="0" collapsed="false">
      <c r="A771" s="1" t="n">
        <v>767</v>
      </c>
      <c r="B771" s="81" t="n">
        <f aca="true">RAND()</f>
        <v>0.502305589114325</v>
      </c>
      <c r="C771" s="82" t="n">
        <f aca="false">ROUND(IF(B771&lt;(Inputs!$E$8-Inputs!$D$8)/(Inputs!$F$8-Inputs!$D$8),Inputs!$D$8+SQRT(B771*(Inputs!$F$8-Inputs!$D$8)*(Inputs!$E$8-Inputs!$D$8)),Inputs!$F$8-SQRT((1-B771)*(Inputs!$F$8-Inputs!$D$8)*(Inputs!$F$8-Inputs!$E$8))),0)</f>
        <v>25</v>
      </c>
      <c r="D771" s="81" t="n">
        <f aca="true">RAND()</f>
        <v>0.497330901771071</v>
      </c>
      <c r="E771" s="83" t="n">
        <f aca="false">IF(D771&lt;(Inputs!$E$10-Inputs!$D$10)/(Inputs!$F$10-Inputs!$D$10),Inputs!$D$10+SQRT(D771*(Inputs!$F$10-Inputs!$D$10)*(Inputs!$E$10-Inputs!$D$10)),Inputs!$F$10-SQRT((1-D771)*(Inputs!$F$10-Inputs!$D$10)*(Inputs!$F$10-Inputs!$E$10)))</f>
        <v>0.0771990515229306</v>
      </c>
      <c r="F771" s="81" t="n">
        <f aca="true">RAND()</f>
        <v>0.539848589346976</v>
      </c>
      <c r="G771" s="83" t="n">
        <f aca="false">IF(F771&lt;(Inputs!$E$15-Inputs!$D$15)/(Inputs!$F$15-Inputs!$D$15),Inputs!$D$15+SQRT(F771*(Inputs!$F$15-Inputs!$D$15)*(Inputs!$E$15-Inputs!$D$15)),Inputs!$F$15-SQRT((1-F771)*(Inputs!$F$15-Inputs!$D$15)*(Inputs!$F$15-Inputs!$E$15)))</f>
        <v>0.704067585180709</v>
      </c>
      <c r="H771" s="81" t="n">
        <f aca="true">RAND()</f>
        <v>0.227805823071126</v>
      </c>
      <c r="I771" s="82" t="n">
        <f aca="false">ROUND(IF(H771&lt;(Inputs!$E$17-Inputs!$D$17)/(Inputs!$F$17-Inputs!$D$17),Inputs!$D$17+SQRT(H771*(Inputs!$F$17-Inputs!$D$17)*(Inputs!$E$17-Inputs!$D$17)),Inputs!$F$17-SQRT((1-H771)*(Inputs!$F$17-Inputs!$D$17)*(Inputs!$F$17-Inputs!$E$17))),0)</f>
        <v>104</v>
      </c>
      <c r="J771" s="81" t="n">
        <f aca="true">RAND()</f>
        <v>0.964296365365547</v>
      </c>
      <c r="K771" s="83" t="n">
        <f aca="false">IF(J771&lt;(Inputs!$E$18-Inputs!$D$18)/(Inputs!$F$18-Inputs!$D$18),Inputs!$D$18+SQRT(J771*(Inputs!$F$18-Inputs!$D$18)*(Inputs!$E$18-Inputs!$D$18)),Inputs!$F$18-SQRT((1-J771)*(Inputs!$F$18-Inputs!$D$18)*(Inputs!$F$18-Inputs!$E$18)))</f>
        <v>1.19410663697258</v>
      </c>
      <c r="L771" s="81" t="n">
        <f aca="true">RAND()</f>
        <v>0.708540281179545</v>
      </c>
      <c r="M771" s="83" t="n">
        <f aca="false">IF(L771&lt;(Inputs!$E$24-Inputs!$D$24)/(Inputs!$F$24-Inputs!$D$24),Inputs!$D$24+SQRT(L771*(Inputs!$F$24-Inputs!$D$24)*(Inputs!$E$24-Inputs!$D$24)),Inputs!$F$24-SQRT((1-L771)*(Inputs!$F$24-Inputs!$D$24)*(Inputs!$F$24-Inputs!$E$24)))</f>
        <v>0.935518748269543</v>
      </c>
      <c r="N771" s="81" t="n">
        <f aca="true">RAND()</f>
        <v>0.908776039492056</v>
      </c>
      <c r="O771" s="83" t="n">
        <f aca="false">IF(N771&lt;(Inputs!$E$26-Inputs!$D$26)/(Inputs!$F$26-Inputs!$D$26),Inputs!$D$26+SQRT(N771*(Inputs!$F$26-Inputs!$D$26)*(Inputs!$E$26-Inputs!$D$26)),Inputs!$F$26-SQRT((1-N771)*(Inputs!$F$26-Inputs!$D$26)*(Inputs!$F$26-Inputs!$E$26)))</f>
        <v>0.722597269582284</v>
      </c>
      <c r="P771" s="81" t="n">
        <f aca="true">RAND()</f>
        <v>0.66536107746055</v>
      </c>
      <c r="Q771" s="82" t="n">
        <f aca="false">IF(P771&lt;(Inputs!$E$27-Inputs!$D$27)/(Inputs!$F$27-Inputs!$D$27),Inputs!$D$27+SQRT(P771*(Inputs!$F$27-Inputs!$D$27)*(Inputs!$E$27-Inputs!$D$27)),Inputs!$F$27-SQRT((1-P771)*(Inputs!$F$27-Inputs!$D$27)*(Inputs!$F$27-Inputs!$E$27)))</f>
        <v>99.9021765039051</v>
      </c>
      <c r="R771" s="81" t="n">
        <f aca="true">RAND()</f>
        <v>0.0269725181168689</v>
      </c>
      <c r="S771" s="82" t="n">
        <f aca="false">IF(R771&lt;(Inputs!$E$29-Inputs!$D$29)/(Inputs!$F$29-Inputs!$D$29),Inputs!$D$29+SQRT(R771*(Inputs!$F$29-Inputs!$D$29)*(Inputs!$E$29-Inputs!$D$29)),Inputs!$F$29-SQRT((1-R771)*(Inputs!$F$29-Inputs!$D$29)*(Inputs!$F$29-Inputs!$E$29)))</f>
        <v>3.02563551350267</v>
      </c>
      <c r="T771" s="68" t="n">
        <f aca="false">Inputs!$E$9*(1+E771)+Inputs!$E$5*C771*(Inputs!$E$11*Inputs!$E$14*(G771*I771/Inputs!$E$16+(1-G771))*K771+Inputs!$E$23*M771)*(1+O771)+Inputs!$E$5*(Q771+S771)</f>
        <v>7060.27310375917</v>
      </c>
    </row>
    <row r="772" customFormat="false" ht="15" hidden="false" customHeight="false" outlineLevel="0" collapsed="false">
      <c r="A772" s="1" t="n">
        <v>768</v>
      </c>
      <c r="B772" s="81" t="n">
        <f aca="true">RAND()</f>
        <v>0.586387113530692</v>
      </c>
      <c r="C772" s="82" t="n">
        <f aca="false">ROUND(IF(B772&lt;(Inputs!$E$8-Inputs!$D$8)/(Inputs!$F$8-Inputs!$D$8),Inputs!$D$8+SQRT(B772*(Inputs!$F$8-Inputs!$D$8)*(Inputs!$E$8-Inputs!$D$8)),Inputs!$F$8-SQRT((1-B772)*(Inputs!$F$8-Inputs!$D$8)*(Inputs!$F$8-Inputs!$E$8))),0)</f>
        <v>25</v>
      </c>
      <c r="D772" s="81" t="n">
        <f aca="true">RAND()</f>
        <v>0.760422808541121</v>
      </c>
      <c r="E772" s="83" t="n">
        <f aca="false">IF(D772&lt;(Inputs!$E$10-Inputs!$D$10)/(Inputs!$F$10-Inputs!$D$10),Inputs!$D$10+SQRT(D772*(Inputs!$F$10-Inputs!$D$10)*(Inputs!$E$10-Inputs!$D$10)),Inputs!$F$10-SQRT((1-D772)*(Inputs!$F$10-Inputs!$D$10)*(Inputs!$F$10-Inputs!$E$10)))</f>
        <v>0.115221961901879</v>
      </c>
      <c r="F772" s="81" t="n">
        <f aca="true">RAND()</f>
        <v>0.34711948021549</v>
      </c>
      <c r="G772" s="83" t="n">
        <f aca="false">IF(F772&lt;(Inputs!$E$15-Inputs!$D$15)/(Inputs!$F$15-Inputs!$D$15),Inputs!$D$15+SQRT(F772*(Inputs!$F$15-Inputs!$D$15)*(Inputs!$E$15-Inputs!$D$15)),Inputs!$F$15-SQRT((1-F772)*(Inputs!$F$15-Inputs!$D$15)*(Inputs!$F$15-Inputs!$E$15)))</f>
        <v>0.683321003380359</v>
      </c>
      <c r="H772" s="81" t="n">
        <f aca="true">RAND()</f>
        <v>0.874572619577865</v>
      </c>
      <c r="I772" s="82" t="n">
        <f aca="false">ROUND(IF(H772&lt;(Inputs!$E$17-Inputs!$D$17)/(Inputs!$F$17-Inputs!$D$17),Inputs!$D$17+SQRT(H772*(Inputs!$F$17-Inputs!$D$17)*(Inputs!$E$17-Inputs!$D$17)),Inputs!$F$17-SQRT((1-H772)*(Inputs!$F$17-Inputs!$D$17)*(Inputs!$F$17-Inputs!$E$17))),0)</f>
        <v>111</v>
      </c>
      <c r="J772" s="81" t="n">
        <f aca="true">RAND()</f>
        <v>0.942518443442028</v>
      </c>
      <c r="K772" s="83" t="n">
        <f aca="false">IF(J772&lt;(Inputs!$E$18-Inputs!$D$18)/(Inputs!$F$18-Inputs!$D$18),Inputs!$D$18+SQRT(J772*(Inputs!$F$18-Inputs!$D$18)*(Inputs!$E$18-Inputs!$D$18)),Inputs!$F$18-SQRT((1-J772)*(Inputs!$F$18-Inputs!$D$18)*(Inputs!$F$18-Inputs!$E$18)))</f>
        <v>1.17908007192035</v>
      </c>
      <c r="L772" s="81" t="n">
        <f aca="true">RAND()</f>
        <v>0.786601276251606</v>
      </c>
      <c r="M772" s="83" t="n">
        <f aca="false">IF(L772&lt;(Inputs!$E$24-Inputs!$D$24)/(Inputs!$F$24-Inputs!$D$24),Inputs!$D$24+SQRT(L772*(Inputs!$F$24-Inputs!$D$24)*(Inputs!$E$24-Inputs!$D$24)),Inputs!$F$24-SQRT((1-L772)*(Inputs!$F$24-Inputs!$D$24)*(Inputs!$F$24-Inputs!$E$24)))</f>
        <v>0.973691154172855</v>
      </c>
      <c r="N772" s="81" t="n">
        <f aca="true">RAND()</f>
        <v>0.432738990078814</v>
      </c>
      <c r="O772" s="83" t="n">
        <f aca="false">IF(N772&lt;(Inputs!$E$26-Inputs!$D$26)/(Inputs!$F$26-Inputs!$D$26),Inputs!$D$26+SQRT(N772*(Inputs!$F$26-Inputs!$D$26)*(Inputs!$E$26-Inputs!$D$26)),Inputs!$F$26-SQRT((1-N772)*(Inputs!$F$26-Inputs!$D$26)*(Inputs!$F$26-Inputs!$E$26)))</f>
        <v>0.568342631628138</v>
      </c>
      <c r="P772" s="81" t="n">
        <f aca="true">RAND()</f>
        <v>0.22117842942853</v>
      </c>
      <c r="Q772" s="82" t="n">
        <f aca="false">IF(P772&lt;(Inputs!$E$27-Inputs!$D$27)/(Inputs!$F$27-Inputs!$D$27),Inputs!$D$27+SQRT(P772*(Inputs!$F$27-Inputs!$D$27)*(Inputs!$E$27-Inputs!$D$27)),Inputs!$F$27-SQRT((1-P772)*(Inputs!$F$27-Inputs!$D$27)*(Inputs!$F$27-Inputs!$E$27)))</f>
        <v>73.514805412151</v>
      </c>
      <c r="R772" s="81" t="n">
        <f aca="true">RAND()</f>
        <v>0.436749859566363</v>
      </c>
      <c r="S772" s="82" t="n">
        <f aca="false">IF(R772&lt;(Inputs!$E$29-Inputs!$D$29)/(Inputs!$F$29-Inputs!$D$29),Inputs!$D$29+SQRT(R772*(Inputs!$F$29-Inputs!$D$29)*(Inputs!$E$29-Inputs!$D$29)),Inputs!$F$29-SQRT((1-R772)*(Inputs!$F$29-Inputs!$D$29)*(Inputs!$F$29-Inputs!$E$29)))</f>
        <v>6.44298426690866</v>
      </c>
      <c r="T772" s="68" t="n">
        <f aca="false">Inputs!$E$9*(1+E772)+Inputs!$E$5*C772*(Inputs!$E$11*Inputs!$E$14*(G772*I772/Inputs!$E$16+(1-G772))*K772+Inputs!$E$23*M772)*(1+O772)+Inputs!$E$5*(Q772+S772)</f>
        <v>6801.50623510017</v>
      </c>
    </row>
    <row r="773" customFormat="false" ht="15" hidden="false" customHeight="false" outlineLevel="0" collapsed="false">
      <c r="A773" s="1" t="n">
        <v>769</v>
      </c>
      <c r="B773" s="81" t="n">
        <f aca="true">RAND()</f>
        <v>0.650023288635791</v>
      </c>
      <c r="C773" s="82" t="n">
        <f aca="false">ROUND(IF(B773&lt;(Inputs!$E$8-Inputs!$D$8)/(Inputs!$F$8-Inputs!$D$8),Inputs!$D$8+SQRT(B773*(Inputs!$F$8-Inputs!$D$8)*(Inputs!$E$8-Inputs!$D$8)),Inputs!$F$8-SQRT((1-B773)*(Inputs!$F$8-Inputs!$D$8)*(Inputs!$F$8-Inputs!$E$8))),0)</f>
        <v>26</v>
      </c>
      <c r="D773" s="81" t="n">
        <f aca="true">RAND()</f>
        <v>0.870654469272464</v>
      </c>
      <c r="E773" s="83" t="n">
        <f aca="false">IF(D773&lt;(Inputs!$E$10-Inputs!$D$10)/(Inputs!$F$10-Inputs!$D$10),Inputs!$D$10+SQRT(D773*(Inputs!$F$10-Inputs!$D$10)*(Inputs!$E$10-Inputs!$D$10)),Inputs!$F$10-SQRT((1-D773)*(Inputs!$F$10-Inputs!$D$10)*(Inputs!$F$10-Inputs!$E$10)))</f>
        <v>0.13770741679922</v>
      </c>
      <c r="F773" s="81" t="n">
        <f aca="true">RAND()</f>
        <v>0.14152914288104</v>
      </c>
      <c r="G773" s="83" t="n">
        <f aca="false">IF(F773&lt;(Inputs!$E$15-Inputs!$D$15)/(Inputs!$F$15-Inputs!$D$15),Inputs!$D$15+SQRT(F773*(Inputs!$F$15-Inputs!$D$15)*(Inputs!$E$15-Inputs!$D$15)),Inputs!$F$15-SQRT((1-F773)*(Inputs!$F$15-Inputs!$D$15)*(Inputs!$F$15-Inputs!$E$15)))</f>
        <v>0.653203222248477</v>
      </c>
      <c r="H773" s="81" t="n">
        <f aca="true">RAND()</f>
        <v>0.387836976161204</v>
      </c>
      <c r="I773" s="82" t="n">
        <f aca="false">ROUND(IF(H773&lt;(Inputs!$E$17-Inputs!$D$17)/(Inputs!$F$17-Inputs!$D$17),Inputs!$D$17+SQRT(H773*(Inputs!$F$17-Inputs!$D$17)*(Inputs!$E$17-Inputs!$D$17)),Inputs!$F$17-SQRT((1-H773)*(Inputs!$F$17-Inputs!$D$17)*(Inputs!$F$17-Inputs!$E$17))),0)</f>
        <v>105</v>
      </c>
      <c r="J773" s="81" t="n">
        <f aca="true">RAND()</f>
        <v>0.822403265025441</v>
      </c>
      <c r="K773" s="83" t="n">
        <f aca="false">IF(J773&lt;(Inputs!$E$18-Inputs!$D$18)/(Inputs!$F$18-Inputs!$D$18),Inputs!$D$18+SQRT(J773*(Inputs!$F$18-Inputs!$D$18)*(Inputs!$E$18-Inputs!$D$18)),Inputs!$F$18-SQRT((1-J773)*(Inputs!$F$18-Inputs!$D$18)*(Inputs!$F$18-Inputs!$E$18)))</f>
        <v>1.12534160954724</v>
      </c>
      <c r="L773" s="81" t="n">
        <f aca="true">RAND()</f>
        <v>0.361139692470284</v>
      </c>
      <c r="M773" s="83" t="n">
        <f aca="false">IF(L773&lt;(Inputs!$E$24-Inputs!$D$24)/(Inputs!$F$24-Inputs!$D$24),Inputs!$D$24+SQRT(L773*(Inputs!$F$24-Inputs!$D$24)*(Inputs!$E$24-Inputs!$D$24)),Inputs!$F$24-SQRT((1-L773)*(Inputs!$F$24-Inputs!$D$24)*(Inputs!$F$24-Inputs!$E$24)))</f>
        <v>0.808430754773652</v>
      </c>
      <c r="N773" s="81" t="n">
        <f aca="true">RAND()</f>
        <v>0.336581655570305</v>
      </c>
      <c r="O773" s="83" t="n">
        <f aca="false">IF(N773&lt;(Inputs!$E$26-Inputs!$D$26)/(Inputs!$F$26-Inputs!$D$26),Inputs!$D$26+SQRT(N773*(Inputs!$F$26-Inputs!$D$26)*(Inputs!$E$26-Inputs!$D$26)),Inputs!$F$26-SQRT((1-N773)*(Inputs!$F$26-Inputs!$D$26)*(Inputs!$F$26-Inputs!$E$26)))</f>
        <v>0.536658377174565</v>
      </c>
      <c r="P773" s="81" t="n">
        <f aca="true">RAND()</f>
        <v>0.673881182770572</v>
      </c>
      <c r="Q773" s="82" t="n">
        <f aca="false">IF(P773&lt;(Inputs!$E$27-Inputs!$D$27)/(Inputs!$F$27-Inputs!$D$27),Inputs!$D$27+SQRT(P773*(Inputs!$F$27-Inputs!$D$27)*(Inputs!$E$27-Inputs!$D$27)),Inputs!$F$27-SQRT((1-P773)*(Inputs!$F$27-Inputs!$D$27)*(Inputs!$F$27-Inputs!$E$27)))</f>
        <v>100.544048596547</v>
      </c>
      <c r="R773" s="81" t="n">
        <f aca="true">RAND()</f>
        <v>0.597983844594444</v>
      </c>
      <c r="S773" s="82" t="n">
        <f aca="false">IF(R773&lt;(Inputs!$E$29-Inputs!$D$29)/(Inputs!$F$29-Inputs!$D$29),Inputs!$D$29+SQRT(R773*(Inputs!$F$29-Inputs!$D$29)*(Inputs!$E$29-Inputs!$D$29)),Inputs!$F$29-SQRT((1-R773)*(Inputs!$F$29-Inputs!$D$29)*(Inputs!$F$29-Inputs!$E$29)))</f>
        <v>7.77074691252808</v>
      </c>
      <c r="T773" s="68" t="n">
        <f aca="false">Inputs!$E$9*(1+E773)+Inputs!$E$5*C773*(Inputs!$E$11*Inputs!$E$14*(G773*I773/Inputs!$E$16+(1-G773))*K773+Inputs!$E$23*M773)*(1+O773)+Inputs!$E$5*(Q773+S773)</f>
        <v>6680.54577188479</v>
      </c>
    </row>
    <row r="774" customFormat="false" ht="15" hidden="false" customHeight="false" outlineLevel="0" collapsed="false">
      <c r="A774" s="1" t="n">
        <v>770</v>
      </c>
      <c r="B774" s="81" t="n">
        <f aca="true">RAND()</f>
        <v>0.393353128836303</v>
      </c>
      <c r="C774" s="82" t="n">
        <f aca="false">ROUND(IF(B774&lt;(Inputs!$E$8-Inputs!$D$8)/(Inputs!$F$8-Inputs!$D$8),Inputs!$D$8+SQRT(B774*(Inputs!$F$8-Inputs!$D$8)*(Inputs!$E$8-Inputs!$D$8)),Inputs!$F$8-SQRT((1-B774)*(Inputs!$F$8-Inputs!$D$8)*(Inputs!$F$8-Inputs!$E$8))),0)</f>
        <v>24</v>
      </c>
      <c r="D774" s="81" t="n">
        <f aca="true">RAND()</f>
        <v>0.321812028734545</v>
      </c>
      <c r="E774" s="83" t="n">
        <f aca="false">IF(D774&lt;(Inputs!$E$10-Inputs!$D$10)/(Inputs!$F$10-Inputs!$D$10),Inputs!$D$10+SQRT(D774*(Inputs!$F$10-Inputs!$D$10)*(Inputs!$E$10-Inputs!$D$10)),Inputs!$F$10-SQRT((1-D774)*(Inputs!$F$10-Inputs!$D$10)*(Inputs!$F$10-Inputs!$E$10)))</f>
        <v>0.0573618594556012</v>
      </c>
      <c r="F774" s="81" t="n">
        <f aca="true">RAND()</f>
        <v>0.828184830336856</v>
      </c>
      <c r="G774" s="83" t="n">
        <f aca="false">IF(F774&lt;(Inputs!$E$15-Inputs!$D$15)/(Inputs!$F$15-Inputs!$D$15),Inputs!$D$15+SQRT(F774*(Inputs!$F$15-Inputs!$D$15)*(Inputs!$E$15-Inputs!$D$15)),Inputs!$F$15-SQRT((1-F774)*(Inputs!$F$15-Inputs!$D$15)*(Inputs!$F$15-Inputs!$E$15)))</f>
        <v>0.741380008586977</v>
      </c>
      <c r="H774" s="81" t="n">
        <f aca="true">RAND()</f>
        <v>0.0910003037484731</v>
      </c>
      <c r="I774" s="82" t="n">
        <f aca="false">ROUND(IF(H774&lt;(Inputs!$E$17-Inputs!$D$17)/(Inputs!$F$17-Inputs!$D$17),Inputs!$D$17+SQRT(H774*(Inputs!$F$17-Inputs!$D$17)*(Inputs!$E$17-Inputs!$D$17)),Inputs!$F$17-SQRT((1-H774)*(Inputs!$F$17-Inputs!$D$17)*(Inputs!$F$17-Inputs!$E$17))),0)</f>
        <v>103</v>
      </c>
      <c r="J774" s="81" t="n">
        <f aca="true">RAND()</f>
        <v>0.131764255956183</v>
      </c>
      <c r="K774" s="83" t="n">
        <f aca="false">IF(J774&lt;(Inputs!$E$18-Inputs!$D$18)/(Inputs!$F$18-Inputs!$D$18),Inputs!$D$18+SQRT(J774*(Inputs!$F$18-Inputs!$D$18)*(Inputs!$E$18-Inputs!$D$18)),Inputs!$F$18-SQRT((1-J774)*(Inputs!$F$18-Inputs!$D$18)*(Inputs!$F$18-Inputs!$E$18)))</f>
        <v>0.967909859066754</v>
      </c>
      <c r="L774" s="81" t="n">
        <f aca="true">RAND()</f>
        <v>0.675275298686216</v>
      </c>
      <c r="M774" s="83" t="n">
        <f aca="false">IF(L774&lt;(Inputs!$E$24-Inputs!$D$24)/(Inputs!$F$24-Inputs!$D$24),Inputs!$D$24+SQRT(L774*(Inputs!$F$24-Inputs!$D$24)*(Inputs!$E$24-Inputs!$D$24)),Inputs!$F$24-SQRT((1-L774)*(Inputs!$F$24-Inputs!$D$24)*(Inputs!$F$24-Inputs!$E$24)))</f>
        <v>0.920833511475127</v>
      </c>
      <c r="N774" s="81" t="n">
        <f aca="true">RAND()</f>
        <v>0.905349392765257</v>
      </c>
      <c r="O774" s="83" t="n">
        <f aca="false">IF(N774&lt;(Inputs!$E$26-Inputs!$D$26)/(Inputs!$F$26-Inputs!$D$26),Inputs!$D$26+SQRT(N774*(Inputs!$F$26-Inputs!$D$26)*(Inputs!$E$26-Inputs!$D$26)),Inputs!$F$26-SQRT((1-N774)*(Inputs!$F$26-Inputs!$D$26)*(Inputs!$F$26-Inputs!$E$26)))</f>
        <v>0.720784763506741</v>
      </c>
      <c r="P774" s="81" t="n">
        <f aca="true">RAND()</f>
        <v>0.862298956230934</v>
      </c>
      <c r="Q774" s="82" t="n">
        <f aca="false">IF(P774&lt;(Inputs!$E$27-Inputs!$D$27)/(Inputs!$F$27-Inputs!$D$27),Inputs!$D$27+SQRT(P774*(Inputs!$F$27-Inputs!$D$27)*(Inputs!$E$27-Inputs!$D$27)),Inputs!$F$27-SQRT((1-P774)*(Inputs!$F$27-Inputs!$D$27)*(Inputs!$F$27-Inputs!$E$27)))</f>
        <v>117.863450274368</v>
      </c>
      <c r="R774" s="81" t="n">
        <f aca="true">RAND()</f>
        <v>0.696880271189964</v>
      </c>
      <c r="S774" s="82" t="n">
        <f aca="false">IF(R774&lt;(Inputs!$E$29-Inputs!$D$29)/(Inputs!$F$29-Inputs!$D$29),Inputs!$D$29+SQRT(R774*(Inputs!$F$29-Inputs!$D$29)*(Inputs!$E$29-Inputs!$D$29)),Inputs!$F$29-SQRT((1-R774)*(Inputs!$F$29-Inputs!$D$29)*(Inputs!$F$29-Inputs!$E$29)))</f>
        <v>8.7226148162388</v>
      </c>
      <c r="T774" s="68" t="n">
        <f aca="false">Inputs!$E$9*(1+E774)+Inputs!$E$5*C774*(Inputs!$E$11*Inputs!$E$14*(G774*I774/Inputs!$E$16+(1-G774))*K774+Inputs!$E$23*M774)*(1+O774)+Inputs!$E$5*(Q774+S774)</f>
        <v>6381.77255752139</v>
      </c>
    </row>
    <row r="775" customFormat="false" ht="15" hidden="false" customHeight="false" outlineLevel="0" collapsed="false">
      <c r="A775" s="1" t="n">
        <v>771</v>
      </c>
      <c r="B775" s="81" t="n">
        <f aca="true">RAND()</f>
        <v>0.977017785888752</v>
      </c>
      <c r="C775" s="82" t="n">
        <f aca="false">ROUND(IF(B775&lt;(Inputs!$E$8-Inputs!$D$8)/(Inputs!$F$8-Inputs!$D$8),Inputs!$D$8+SQRT(B775*(Inputs!$F$8-Inputs!$D$8)*(Inputs!$E$8-Inputs!$D$8)),Inputs!$F$8-SQRT((1-B775)*(Inputs!$F$8-Inputs!$D$8)*(Inputs!$F$8-Inputs!$E$8))),0)</f>
        <v>29</v>
      </c>
      <c r="D775" s="81" t="n">
        <f aca="true">RAND()</f>
        <v>0.702001800181283</v>
      </c>
      <c r="E775" s="83" t="n">
        <f aca="false">IF(D775&lt;(Inputs!$E$10-Inputs!$D$10)/(Inputs!$F$10-Inputs!$D$10),Inputs!$D$10+SQRT(D775*(Inputs!$F$10-Inputs!$D$10)*(Inputs!$E$10-Inputs!$D$10)),Inputs!$F$10-SQRT((1-D775)*(Inputs!$F$10-Inputs!$D$10)*(Inputs!$F$10-Inputs!$E$10)))</f>
        <v>0.105448712359051</v>
      </c>
      <c r="F775" s="81" t="n">
        <f aca="true">RAND()</f>
        <v>0.764941067762039</v>
      </c>
      <c r="G775" s="83" t="n">
        <f aca="false">IF(F775&lt;(Inputs!$E$15-Inputs!$D$15)/(Inputs!$F$15-Inputs!$D$15),Inputs!$D$15+SQRT(F775*(Inputs!$F$15-Inputs!$D$15)*(Inputs!$E$15-Inputs!$D$15)),Inputs!$F$15-SQRT((1-F775)*(Inputs!$F$15-Inputs!$D$15)*(Inputs!$F$15-Inputs!$E$15)))</f>
        <v>0.731434858384459</v>
      </c>
      <c r="H775" s="81" t="n">
        <f aca="true">RAND()</f>
        <v>0.574319220113255</v>
      </c>
      <c r="I775" s="82" t="n">
        <f aca="false">ROUND(IF(H775&lt;(Inputs!$E$17-Inputs!$D$17)/(Inputs!$F$17-Inputs!$D$17),Inputs!$D$17+SQRT(H775*(Inputs!$F$17-Inputs!$D$17)*(Inputs!$E$17-Inputs!$D$17)),Inputs!$F$17-SQRT((1-H775)*(Inputs!$F$17-Inputs!$D$17)*(Inputs!$F$17-Inputs!$E$17))),0)</f>
        <v>107</v>
      </c>
      <c r="J775" s="81" t="n">
        <f aca="true">RAND()</f>
        <v>0.775207453182079</v>
      </c>
      <c r="K775" s="83" t="n">
        <f aca="false">IF(J775&lt;(Inputs!$E$18-Inputs!$D$18)/(Inputs!$F$18-Inputs!$D$18),Inputs!$D$18+SQRT(J775*(Inputs!$F$18-Inputs!$D$18)*(Inputs!$E$18-Inputs!$D$18)),Inputs!$F$18-SQRT((1-J775)*(Inputs!$F$18-Inputs!$D$18)*(Inputs!$F$18-Inputs!$E$18)))</f>
        <v>1.10975254780721</v>
      </c>
      <c r="L775" s="81" t="n">
        <f aca="true">RAND()</f>
        <v>0.539007354212979</v>
      </c>
      <c r="M775" s="83" t="n">
        <f aca="false">IF(L775&lt;(Inputs!$E$24-Inputs!$D$24)/(Inputs!$F$24-Inputs!$D$24),Inputs!$D$24+SQRT(L775*(Inputs!$F$24-Inputs!$D$24)*(Inputs!$E$24-Inputs!$D$24)),Inputs!$F$24-SQRT((1-L775)*(Inputs!$F$24-Inputs!$D$24)*(Inputs!$F$24-Inputs!$E$24)))</f>
        <v>0.867376737150143</v>
      </c>
      <c r="N775" s="81" t="n">
        <f aca="true">RAND()</f>
        <v>0.869773232183982</v>
      </c>
      <c r="O775" s="83" t="n">
        <f aca="false">IF(N775&lt;(Inputs!$E$26-Inputs!$D$26)/(Inputs!$F$26-Inputs!$D$26),Inputs!$D$26+SQRT(N775*(Inputs!$F$26-Inputs!$D$26)*(Inputs!$E$26-Inputs!$D$26)),Inputs!$F$26-SQRT((1-N775)*(Inputs!$F$26-Inputs!$D$26)*(Inputs!$F$26-Inputs!$E$26)))</f>
        <v>0.703623095706812</v>
      </c>
      <c r="P775" s="81" t="n">
        <f aca="true">RAND()</f>
        <v>0.659294387537644</v>
      </c>
      <c r="Q775" s="82" t="n">
        <f aca="false">IF(P775&lt;(Inputs!$E$27-Inputs!$D$27)/(Inputs!$F$27-Inputs!$D$27),Inputs!$D$27+SQRT(P775*(Inputs!$F$27-Inputs!$D$27)*(Inputs!$E$27-Inputs!$D$27)),Inputs!$F$27-SQRT((1-P775)*(Inputs!$F$27-Inputs!$D$27)*(Inputs!$F$27-Inputs!$E$27)))</f>
        <v>99.4501029331645</v>
      </c>
      <c r="R775" s="81" t="n">
        <f aca="true">RAND()</f>
        <v>0.9848099430664</v>
      </c>
      <c r="S775" s="82" t="n">
        <f aca="false">IF(R775&lt;(Inputs!$E$29-Inputs!$D$29)/(Inputs!$F$29-Inputs!$D$29),Inputs!$D$29+SQRT(R775*(Inputs!$F$29-Inputs!$D$29)*(Inputs!$E$29-Inputs!$D$29)),Inputs!$F$29-SQRT((1-R775)*(Inputs!$F$29-Inputs!$D$29)*(Inputs!$F$29-Inputs!$E$29)))</f>
        <v>13.594757173522</v>
      </c>
      <c r="T775" s="68" t="n">
        <f aca="false">Inputs!$E$9*(1+E775)+Inputs!$E$5*C775*(Inputs!$E$11*Inputs!$E$14*(G775*I775/Inputs!$E$16+(1-G775))*K775+Inputs!$E$23*M775)*(1+O775)+Inputs!$E$5*(Q775+S775)</f>
        <v>7445.23242782275</v>
      </c>
    </row>
    <row r="776" customFormat="false" ht="15" hidden="false" customHeight="false" outlineLevel="0" collapsed="false">
      <c r="A776" s="1" t="n">
        <v>772</v>
      </c>
      <c r="B776" s="81" t="n">
        <f aca="true">RAND()</f>
        <v>0.475413356743058</v>
      </c>
      <c r="C776" s="82" t="n">
        <f aca="false">ROUND(IF(B776&lt;(Inputs!$E$8-Inputs!$D$8)/(Inputs!$F$8-Inputs!$D$8),Inputs!$D$8+SQRT(B776*(Inputs!$F$8-Inputs!$D$8)*(Inputs!$E$8-Inputs!$D$8)),Inputs!$F$8-SQRT((1-B776)*(Inputs!$F$8-Inputs!$D$8)*(Inputs!$F$8-Inputs!$E$8))),0)</f>
        <v>25</v>
      </c>
      <c r="D776" s="81" t="n">
        <f aca="true">RAND()</f>
        <v>0.414944360155446</v>
      </c>
      <c r="E776" s="83" t="n">
        <f aca="false">IF(D776&lt;(Inputs!$E$10-Inputs!$D$10)/(Inputs!$F$10-Inputs!$D$10),Inputs!$D$10+SQRT(D776*(Inputs!$F$10-Inputs!$D$10)*(Inputs!$E$10-Inputs!$D$10)),Inputs!$F$10-SQRT((1-D776)*(Inputs!$F$10-Inputs!$D$10)*(Inputs!$F$10-Inputs!$E$10)))</f>
        <v>0.0675172871830569</v>
      </c>
      <c r="F776" s="81" t="n">
        <f aca="true">RAND()</f>
        <v>0.560183793639415</v>
      </c>
      <c r="G776" s="83" t="n">
        <f aca="false">IF(F776&lt;(Inputs!$E$15-Inputs!$D$15)/(Inputs!$F$15-Inputs!$D$15),Inputs!$D$15+SQRT(F776*(Inputs!$F$15-Inputs!$D$15)*(Inputs!$E$15-Inputs!$D$15)),Inputs!$F$15-SQRT((1-F776)*(Inputs!$F$15-Inputs!$D$15)*(Inputs!$F$15-Inputs!$E$15)))</f>
        <v>0.706211279317758</v>
      </c>
      <c r="H776" s="81" t="n">
        <f aca="true">RAND()</f>
        <v>0.34996928349703</v>
      </c>
      <c r="I776" s="82" t="n">
        <f aca="false">ROUND(IF(H776&lt;(Inputs!$E$17-Inputs!$D$17)/(Inputs!$F$17-Inputs!$D$17),Inputs!$D$17+SQRT(H776*(Inputs!$F$17-Inputs!$D$17)*(Inputs!$E$17-Inputs!$D$17)),Inputs!$F$17-SQRT((1-H776)*(Inputs!$F$17-Inputs!$D$17)*(Inputs!$F$17-Inputs!$E$17))),0)</f>
        <v>105</v>
      </c>
      <c r="J776" s="81" t="n">
        <f aca="true">RAND()</f>
        <v>0.323779671314027</v>
      </c>
      <c r="K776" s="83" t="n">
        <f aca="false">IF(J776&lt;(Inputs!$E$18-Inputs!$D$18)/(Inputs!$F$18-Inputs!$D$18),Inputs!$D$18+SQRT(J776*(Inputs!$F$18-Inputs!$D$18)*(Inputs!$E$18-Inputs!$D$18)),Inputs!$F$18-SQRT((1-J776)*(Inputs!$F$18-Inputs!$D$18)*(Inputs!$F$18-Inputs!$E$18)))</f>
        <v>1.00675263873986</v>
      </c>
      <c r="L776" s="81" t="n">
        <f aca="true">RAND()</f>
        <v>0.604430613352403</v>
      </c>
      <c r="M776" s="83" t="n">
        <f aca="false">IF(L776&lt;(Inputs!$E$24-Inputs!$D$24)/(Inputs!$F$24-Inputs!$D$24),Inputs!$D$24+SQRT(L776*(Inputs!$F$24-Inputs!$D$24)*(Inputs!$E$24-Inputs!$D$24)),Inputs!$F$24-SQRT((1-L776)*(Inputs!$F$24-Inputs!$D$24)*(Inputs!$F$24-Inputs!$E$24)))</f>
        <v>0.89188207972365</v>
      </c>
      <c r="N776" s="81" t="n">
        <f aca="true">RAND()</f>
        <v>0.105667703912172</v>
      </c>
      <c r="O776" s="83" t="n">
        <f aca="false">IF(N776&lt;(Inputs!$E$26-Inputs!$D$26)/(Inputs!$F$26-Inputs!$D$26),Inputs!$D$26+SQRT(N776*(Inputs!$F$26-Inputs!$D$26)*(Inputs!$E$26-Inputs!$D$26)),Inputs!$F$26-SQRT((1-N776)*(Inputs!$F$26-Inputs!$D$26)*(Inputs!$F$26-Inputs!$E$26)))</f>
        <v>0.432601304409064</v>
      </c>
      <c r="P776" s="81" t="n">
        <f aca="true">RAND()</f>
        <v>0.2221906053087</v>
      </c>
      <c r="Q776" s="82" t="n">
        <f aca="false">IF(P776&lt;(Inputs!$E$27-Inputs!$D$27)/(Inputs!$F$27-Inputs!$D$27),Inputs!$D$27+SQRT(P776*(Inputs!$F$27-Inputs!$D$27)*(Inputs!$E$27-Inputs!$D$27)),Inputs!$F$27-SQRT((1-P776)*(Inputs!$F$27-Inputs!$D$27)*(Inputs!$F$27-Inputs!$E$27)))</f>
        <v>73.5685492398609</v>
      </c>
      <c r="R776" s="81" t="n">
        <f aca="true">RAND()</f>
        <v>0.817797087731406</v>
      </c>
      <c r="S776" s="82" t="n">
        <f aca="false">IF(R776&lt;(Inputs!$E$29-Inputs!$D$29)/(Inputs!$F$29-Inputs!$D$29),Inputs!$D$29+SQRT(R776*(Inputs!$F$29-Inputs!$D$29)*(Inputs!$E$29-Inputs!$D$29)),Inputs!$F$29-SQRT((1-R776)*(Inputs!$F$29-Inputs!$D$29)*(Inputs!$F$29-Inputs!$E$29)))</f>
        <v>10.1331346233004</v>
      </c>
      <c r="T776" s="68" t="n">
        <f aca="false">Inputs!$E$9*(1+E776)+Inputs!$E$5*C776*(Inputs!$E$11*Inputs!$E$14*(G776*I776/Inputs!$E$16+(1-G776))*K776+Inputs!$E$23*M776)*(1+O776)+Inputs!$E$5*(Q776+S776)</f>
        <v>5834.67125430172</v>
      </c>
    </row>
    <row r="777" customFormat="false" ht="15" hidden="false" customHeight="false" outlineLevel="0" collapsed="false">
      <c r="A777" s="1" t="n">
        <v>773</v>
      </c>
      <c r="B777" s="81" t="n">
        <f aca="true">RAND()</f>
        <v>0.117051378239036</v>
      </c>
      <c r="C777" s="82" t="n">
        <f aca="false">ROUND(IF(B777&lt;(Inputs!$E$8-Inputs!$D$8)/(Inputs!$F$8-Inputs!$D$8),Inputs!$D$8+SQRT(B777*(Inputs!$F$8-Inputs!$D$8)*(Inputs!$E$8-Inputs!$D$8)),Inputs!$F$8-SQRT((1-B777)*(Inputs!$F$8-Inputs!$D$8)*(Inputs!$F$8-Inputs!$E$8))),0)</f>
        <v>22</v>
      </c>
      <c r="D777" s="81" t="n">
        <f aca="true">RAND()</f>
        <v>0.344804374156127</v>
      </c>
      <c r="E777" s="83" t="n">
        <f aca="false">IF(D777&lt;(Inputs!$E$10-Inputs!$D$10)/(Inputs!$F$10-Inputs!$D$10),Inputs!$D$10+SQRT(D777*(Inputs!$F$10-Inputs!$D$10)*(Inputs!$E$10-Inputs!$D$10)),Inputs!$F$10-SQRT((1-D777)*(Inputs!$F$10-Inputs!$D$10)*(Inputs!$F$10-Inputs!$E$10)))</f>
        <v>0.0598006106457086</v>
      </c>
      <c r="F777" s="81" t="n">
        <f aca="true">RAND()</f>
        <v>0.638221175223325</v>
      </c>
      <c r="G777" s="83" t="n">
        <f aca="false">IF(F777&lt;(Inputs!$E$15-Inputs!$D$15)/(Inputs!$F$15-Inputs!$D$15),Inputs!$D$15+SQRT(F777*(Inputs!$F$15-Inputs!$D$15)*(Inputs!$E$15-Inputs!$D$15)),Inputs!$F$15-SQRT((1-F777)*(Inputs!$F$15-Inputs!$D$15)*(Inputs!$F$15-Inputs!$E$15)))</f>
        <v>0.714937808072367</v>
      </c>
      <c r="H777" s="81" t="n">
        <f aca="true">RAND()</f>
        <v>0.860631514520542</v>
      </c>
      <c r="I777" s="82" t="n">
        <f aca="false">ROUND(IF(H777&lt;(Inputs!$E$17-Inputs!$D$17)/(Inputs!$F$17-Inputs!$D$17),Inputs!$D$17+SQRT(H777*(Inputs!$F$17-Inputs!$D$17)*(Inputs!$E$17-Inputs!$D$17)),Inputs!$F$17-SQRT((1-H777)*(Inputs!$F$17-Inputs!$D$17)*(Inputs!$F$17-Inputs!$E$17))),0)</f>
        <v>110</v>
      </c>
      <c r="J777" s="81" t="n">
        <f aca="true">RAND()</f>
        <v>0.0366824939805839</v>
      </c>
      <c r="K777" s="83" t="n">
        <f aca="false">IF(J777&lt;(Inputs!$E$18-Inputs!$D$18)/(Inputs!$F$18-Inputs!$D$18),Inputs!$D$18+SQRT(J777*(Inputs!$F$18-Inputs!$D$18)*(Inputs!$E$18-Inputs!$D$18)),Inputs!$F$18-SQRT((1-J777)*(Inputs!$F$18-Inputs!$D$18)*(Inputs!$F$18-Inputs!$E$18)))</f>
        <v>0.935831372975654</v>
      </c>
      <c r="L777" s="81" t="n">
        <f aca="true">RAND()</f>
        <v>0.926949184226702</v>
      </c>
      <c r="M777" s="83" t="n">
        <f aca="false">IF(L777&lt;(Inputs!$E$24-Inputs!$D$24)/(Inputs!$F$24-Inputs!$D$24),Inputs!$D$24+SQRT(L777*(Inputs!$F$24-Inputs!$D$24)*(Inputs!$E$24-Inputs!$D$24)),Inputs!$F$24-SQRT((1-L777)*(Inputs!$F$24-Inputs!$D$24)*(Inputs!$F$24-Inputs!$E$24)))</f>
        <v>1.06759080173345</v>
      </c>
      <c r="N777" s="81" t="n">
        <f aca="true">RAND()</f>
        <v>0.91031320622843</v>
      </c>
      <c r="O777" s="83" t="n">
        <f aca="false">IF(N777&lt;(Inputs!$E$26-Inputs!$D$26)/(Inputs!$F$26-Inputs!$D$26),Inputs!$D$26+SQRT(N777*(Inputs!$F$26-Inputs!$D$26)*(Inputs!$E$26-Inputs!$D$26)),Inputs!$F$26-SQRT((1-N777)*(Inputs!$F$26-Inputs!$D$26)*(Inputs!$F$26-Inputs!$E$26)))</f>
        <v>0.72342139702686</v>
      </c>
      <c r="P777" s="81" t="n">
        <f aca="true">RAND()</f>
        <v>0.853474829795524</v>
      </c>
      <c r="Q777" s="82" t="n">
        <f aca="false">IF(P777&lt;(Inputs!$E$27-Inputs!$D$27)/(Inputs!$F$27-Inputs!$D$27),Inputs!$D$27+SQRT(P777*(Inputs!$F$27-Inputs!$D$27)*(Inputs!$E$27-Inputs!$D$27)),Inputs!$F$27-SQRT((1-P777)*(Inputs!$F$27-Inputs!$D$27)*(Inputs!$F$27-Inputs!$E$27)))</f>
        <v>116.849754502665</v>
      </c>
      <c r="R777" s="81" t="n">
        <f aca="true">RAND()</f>
        <v>0.0489056857800659</v>
      </c>
      <c r="S777" s="82" t="n">
        <f aca="false">IF(R777&lt;(Inputs!$E$29-Inputs!$D$29)/(Inputs!$F$29-Inputs!$D$29),Inputs!$D$29+SQRT(R777*(Inputs!$F$29-Inputs!$D$29)*(Inputs!$E$29-Inputs!$D$29)),Inputs!$F$29-SQRT((1-R777)*(Inputs!$F$29-Inputs!$D$29)*(Inputs!$F$29-Inputs!$E$29)))</f>
        <v>3.38105819769573</v>
      </c>
      <c r="T777" s="68" t="n">
        <f aca="false">Inputs!$E$9*(1+E777)+Inputs!$E$5*C777*(Inputs!$E$11*Inputs!$E$14*(G777*I777/Inputs!$E$16+(1-G777))*K777+Inputs!$E$23*M777)*(1+O777)+Inputs!$E$5*(Q777+S777)</f>
        <v>6316.38586306584</v>
      </c>
    </row>
    <row r="778" customFormat="false" ht="15" hidden="false" customHeight="false" outlineLevel="0" collapsed="false">
      <c r="A778" s="1" t="n">
        <v>774</v>
      </c>
      <c r="B778" s="81" t="n">
        <f aca="true">RAND()</f>
        <v>0.0691000126049789</v>
      </c>
      <c r="C778" s="82" t="n">
        <f aca="false">ROUND(IF(B778&lt;(Inputs!$E$8-Inputs!$D$8)/(Inputs!$F$8-Inputs!$D$8),Inputs!$D$8+SQRT(B778*(Inputs!$F$8-Inputs!$D$8)*(Inputs!$E$8-Inputs!$D$8)),Inputs!$F$8-SQRT((1-B778)*(Inputs!$F$8-Inputs!$D$8)*(Inputs!$F$8-Inputs!$E$8))),0)</f>
        <v>22</v>
      </c>
      <c r="D778" s="81" t="n">
        <f aca="true">RAND()</f>
        <v>0.878812960443639</v>
      </c>
      <c r="E778" s="83" t="n">
        <f aca="false">IF(D778&lt;(Inputs!$E$10-Inputs!$D$10)/(Inputs!$F$10-Inputs!$D$10),Inputs!$D$10+SQRT(D778*(Inputs!$F$10-Inputs!$D$10)*(Inputs!$E$10-Inputs!$D$10)),Inputs!$F$10-SQRT((1-D778)*(Inputs!$F$10-Inputs!$D$10)*(Inputs!$F$10-Inputs!$E$10)))</f>
        <v>0.139703970390325</v>
      </c>
      <c r="F778" s="81" t="n">
        <f aca="true">RAND()</f>
        <v>0.294627002135032</v>
      </c>
      <c r="G778" s="83" t="n">
        <f aca="false">IF(F778&lt;(Inputs!$E$15-Inputs!$D$15)/(Inputs!$F$15-Inputs!$D$15),Inputs!$D$15+SQRT(F778*(Inputs!$F$15-Inputs!$D$15)*(Inputs!$E$15-Inputs!$D$15)),Inputs!$F$15-SQRT((1-F778)*(Inputs!$F$15-Inputs!$D$15)*(Inputs!$F$15-Inputs!$E$15)))</f>
        <v>0.676762881933267</v>
      </c>
      <c r="H778" s="81" t="n">
        <f aca="true">RAND()</f>
        <v>0.0198044860401295</v>
      </c>
      <c r="I778" s="82" t="n">
        <f aca="false">ROUND(IF(H778&lt;(Inputs!$E$17-Inputs!$D$17)/(Inputs!$F$17-Inputs!$D$17),Inputs!$D$17+SQRT(H778*(Inputs!$F$17-Inputs!$D$17)*(Inputs!$E$17-Inputs!$D$17)),Inputs!$F$17-SQRT((1-H778)*(Inputs!$F$17-Inputs!$D$17)*(Inputs!$F$17-Inputs!$E$17))),0)</f>
        <v>101</v>
      </c>
      <c r="J778" s="81" t="n">
        <f aca="true">RAND()</f>
        <v>0.6576564577908</v>
      </c>
      <c r="K778" s="83" t="n">
        <f aca="false">IF(J778&lt;(Inputs!$E$18-Inputs!$D$18)/(Inputs!$F$18-Inputs!$D$18),Inputs!$D$18+SQRT(J778*(Inputs!$F$18-Inputs!$D$18)*(Inputs!$E$18-Inputs!$D$18)),Inputs!$F$18-SQRT((1-J778)*(Inputs!$F$18-Inputs!$D$18)*(Inputs!$F$18-Inputs!$E$18)))</f>
        <v>1.07692469863292</v>
      </c>
      <c r="L778" s="81" t="n">
        <f aca="true">RAND()</f>
        <v>0.030457208537826</v>
      </c>
      <c r="M778" s="83" t="n">
        <f aca="false">IF(L778&lt;(Inputs!$E$24-Inputs!$D$24)/(Inputs!$F$24-Inputs!$D$24),Inputs!$D$24+SQRT(L778*(Inputs!$F$24-Inputs!$D$24)*(Inputs!$E$24-Inputs!$D$24)),Inputs!$F$24-SQRT((1-L778)*(Inputs!$F$24-Inputs!$D$24)*(Inputs!$F$24-Inputs!$E$24)))</f>
        <v>0.660455479689927</v>
      </c>
      <c r="N778" s="81" t="n">
        <f aca="true">RAND()</f>
        <v>0.768727067086252</v>
      </c>
      <c r="O778" s="83" t="n">
        <f aca="false">IF(N778&lt;(Inputs!$E$26-Inputs!$D$26)/(Inputs!$F$26-Inputs!$D$26),Inputs!$D$26+SQRT(N778*(Inputs!$F$26-Inputs!$D$26)*(Inputs!$E$26-Inputs!$D$26)),Inputs!$F$26-SQRT((1-N778)*(Inputs!$F$26-Inputs!$D$26)*(Inputs!$F$26-Inputs!$E$26)))</f>
        <v>0.664911686375053</v>
      </c>
      <c r="P778" s="81" t="n">
        <f aca="true">RAND()</f>
        <v>0.66179101219555</v>
      </c>
      <c r="Q778" s="82" t="n">
        <f aca="false">IF(P778&lt;(Inputs!$E$27-Inputs!$D$27)/(Inputs!$F$27-Inputs!$D$27),Inputs!$D$27+SQRT(P778*(Inputs!$F$27-Inputs!$D$27)*(Inputs!$E$27-Inputs!$D$27)),Inputs!$F$27-SQRT((1-P778)*(Inputs!$F$27-Inputs!$D$27)*(Inputs!$F$27-Inputs!$E$27)))</f>
        <v>99.635653399122</v>
      </c>
      <c r="R778" s="81" t="n">
        <f aca="true">RAND()</f>
        <v>0.260807210889663</v>
      </c>
      <c r="S778" s="82" t="n">
        <f aca="false">IF(R778&lt;(Inputs!$E$29-Inputs!$D$29)/(Inputs!$F$29-Inputs!$D$29),Inputs!$D$29+SQRT(R778*(Inputs!$F$29-Inputs!$D$29)*(Inputs!$E$29-Inputs!$D$29)),Inputs!$F$29-SQRT((1-R778)*(Inputs!$F$29-Inputs!$D$29)*(Inputs!$F$29-Inputs!$E$29)))</f>
        <v>5.19719108702287</v>
      </c>
      <c r="T778" s="68" t="n">
        <f aca="false">Inputs!$E$9*(1+E778)+Inputs!$E$5*C778*(Inputs!$E$11*Inputs!$E$14*(G778*I778/Inputs!$E$16+(1-G778))*K778+Inputs!$E$23*M778)*(1+O778)+Inputs!$E$5*(Q778+S778)</f>
        <v>5998.29389165446</v>
      </c>
    </row>
    <row r="779" customFormat="false" ht="15" hidden="false" customHeight="false" outlineLevel="0" collapsed="false">
      <c r="A779" s="1" t="n">
        <v>775</v>
      </c>
      <c r="B779" s="81" t="n">
        <f aca="true">RAND()</f>
        <v>0.624529994517901</v>
      </c>
      <c r="C779" s="82" t="n">
        <f aca="false">ROUND(IF(B779&lt;(Inputs!$E$8-Inputs!$D$8)/(Inputs!$F$8-Inputs!$D$8),Inputs!$D$8+SQRT(B779*(Inputs!$F$8-Inputs!$D$8)*(Inputs!$E$8-Inputs!$D$8)),Inputs!$F$8-SQRT((1-B779)*(Inputs!$F$8-Inputs!$D$8)*(Inputs!$F$8-Inputs!$E$8))),0)</f>
        <v>26</v>
      </c>
      <c r="D779" s="81" t="n">
        <f aca="true">RAND()</f>
        <v>0.126076307112298</v>
      </c>
      <c r="E779" s="83" t="n">
        <f aca="false">IF(D779&lt;(Inputs!$E$10-Inputs!$D$10)/(Inputs!$F$10-Inputs!$D$10),Inputs!$D$10+SQRT(D779*(Inputs!$F$10-Inputs!$D$10)*(Inputs!$E$10-Inputs!$D$10)),Inputs!$F$10-SQRT((1-D779)*(Inputs!$F$10-Inputs!$D$10)*(Inputs!$F$10-Inputs!$E$10)))</f>
        <v>0.0355072256184988</v>
      </c>
      <c r="F779" s="81" t="n">
        <f aca="true">RAND()</f>
        <v>0.213255444694309</v>
      </c>
      <c r="G779" s="83" t="n">
        <f aca="false">IF(F779&lt;(Inputs!$E$15-Inputs!$D$15)/(Inputs!$F$15-Inputs!$D$15),Inputs!$D$15+SQRT(F779*(Inputs!$F$15-Inputs!$D$15)*(Inputs!$E$15-Inputs!$D$15)),Inputs!$F$15-SQRT((1-F779)*(Inputs!$F$15-Inputs!$D$15)*(Inputs!$F$15-Inputs!$E$15)))</f>
        <v>0.66530780117173</v>
      </c>
      <c r="H779" s="81" t="n">
        <f aca="true">RAND()</f>
        <v>0.994796782582649</v>
      </c>
      <c r="I779" s="82" t="n">
        <f aca="false">ROUND(IF(H779&lt;(Inputs!$E$17-Inputs!$D$17)/(Inputs!$F$17-Inputs!$D$17),Inputs!$D$17+SQRT(H779*(Inputs!$F$17-Inputs!$D$17)*(Inputs!$E$17-Inputs!$D$17)),Inputs!$F$17-SQRT((1-H779)*(Inputs!$F$17-Inputs!$D$17)*(Inputs!$F$17-Inputs!$E$17))),0)</f>
        <v>114</v>
      </c>
      <c r="J779" s="81" t="n">
        <f aca="true">RAND()</f>
        <v>0.777933129969889</v>
      </c>
      <c r="K779" s="83" t="n">
        <f aca="false">IF(J779&lt;(Inputs!$E$18-Inputs!$D$18)/(Inputs!$F$18-Inputs!$D$18),Inputs!$D$18+SQRT(J779*(Inputs!$F$18-Inputs!$D$18)*(Inputs!$E$18-Inputs!$D$18)),Inputs!$F$18-SQRT((1-J779)*(Inputs!$F$18-Inputs!$D$18)*(Inputs!$F$18-Inputs!$E$18)))</f>
        <v>1.11060541212933</v>
      </c>
      <c r="L779" s="81" t="n">
        <f aca="true">RAND()</f>
        <v>0.966853777163935</v>
      </c>
      <c r="M779" s="83" t="n">
        <f aca="false">IF(L779&lt;(Inputs!$E$24-Inputs!$D$24)/(Inputs!$F$24-Inputs!$D$24),Inputs!$D$24+SQRT(L779*(Inputs!$F$24-Inputs!$D$24)*(Inputs!$E$24-Inputs!$D$24)),Inputs!$F$24-SQRT((1-L779)*(Inputs!$F$24-Inputs!$D$24)*(Inputs!$F$24-Inputs!$E$24)))</f>
        <v>1.11080866925168</v>
      </c>
      <c r="N779" s="81" t="n">
        <f aca="true">RAND()</f>
        <v>0.85625741267612</v>
      </c>
      <c r="O779" s="83" t="n">
        <f aca="false">IF(N779&lt;(Inputs!$E$26-Inputs!$D$26)/(Inputs!$F$26-Inputs!$D$26),Inputs!$D$26+SQRT(N779*(Inputs!$F$26-Inputs!$D$26)*(Inputs!$E$26-Inputs!$D$26)),Inputs!$F$26-SQRT((1-N779)*(Inputs!$F$26-Inputs!$D$26)*(Inputs!$F$26-Inputs!$E$26)))</f>
        <v>0.6977329599537</v>
      </c>
      <c r="P779" s="81" t="n">
        <f aca="true">RAND()</f>
        <v>0.498149097274568</v>
      </c>
      <c r="Q779" s="82" t="n">
        <f aca="false">IF(P779&lt;(Inputs!$E$27-Inputs!$D$27)/(Inputs!$F$27-Inputs!$D$27),Inputs!$D$27+SQRT(P779*(Inputs!$F$27-Inputs!$D$27)*(Inputs!$E$27-Inputs!$D$27)),Inputs!$F$27-SQRT((1-P779)*(Inputs!$F$27-Inputs!$D$27)*(Inputs!$F$27-Inputs!$E$27)))</f>
        <v>88.649516950225</v>
      </c>
      <c r="R779" s="81" t="n">
        <f aca="true">RAND()</f>
        <v>0.99967521640728</v>
      </c>
      <c r="S779" s="82" t="n">
        <f aca="false">IF(R779&lt;(Inputs!$E$29-Inputs!$D$29)/(Inputs!$F$29-Inputs!$D$29),Inputs!$D$29+SQRT(R779*(Inputs!$F$29-Inputs!$D$29)*(Inputs!$E$29-Inputs!$D$29)),Inputs!$F$29-SQRT((1-R779)*(Inputs!$F$29-Inputs!$D$29)*(Inputs!$F$29-Inputs!$E$29)))</f>
        <v>14.7945203974756</v>
      </c>
      <c r="T779" s="68" t="n">
        <f aca="false">Inputs!$E$9*(1+E779)+Inputs!$E$5*C779*(Inputs!$E$11*Inputs!$E$14*(G779*I779/Inputs!$E$16+(1-G779))*K779+Inputs!$E$23*M779)*(1+O779)+Inputs!$E$5*(Q779+S779)</f>
        <v>7354.82384385769</v>
      </c>
    </row>
    <row r="780" customFormat="false" ht="15" hidden="false" customHeight="false" outlineLevel="0" collapsed="false">
      <c r="A780" s="1" t="n">
        <v>776</v>
      </c>
      <c r="B780" s="81" t="n">
        <f aca="true">RAND()</f>
        <v>0.503987314839226</v>
      </c>
      <c r="C780" s="82" t="n">
        <f aca="false">ROUND(IF(B780&lt;(Inputs!$E$8-Inputs!$D$8)/(Inputs!$F$8-Inputs!$D$8),Inputs!$D$8+SQRT(B780*(Inputs!$F$8-Inputs!$D$8)*(Inputs!$E$8-Inputs!$D$8)),Inputs!$F$8-SQRT((1-B780)*(Inputs!$F$8-Inputs!$D$8)*(Inputs!$F$8-Inputs!$E$8))),0)</f>
        <v>25</v>
      </c>
      <c r="D780" s="81" t="n">
        <f aca="true">RAND()</f>
        <v>0.883960386664082</v>
      </c>
      <c r="E780" s="83" t="n">
        <f aca="false">IF(D780&lt;(Inputs!$E$10-Inputs!$D$10)/(Inputs!$F$10-Inputs!$D$10),Inputs!$D$10+SQRT(D780*(Inputs!$F$10-Inputs!$D$10)*(Inputs!$E$10-Inputs!$D$10)),Inputs!$F$10-SQRT((1-D780)*(Inputs!$F$10-Inputs!$D$10)*(Inputs!$F$10-Inputs!$E$10)))</f>
        <v>0.140998403410776</v>
      </c>
      <c r="F780" s="81" t="n">
        <f aca="true">RAND()</f>
        <v>0.698273067858145</v>
      </c>
      <c r="G780" s="83" t="n">
        <f aca="false">IF(F780&lt;(Inputs!$E$15-Inputs!$D$15)/(Inputs!$F$15-Inputs!$D$15),Inputs!$D$15+SQRT(F780*(Inputs!$F$15-Inputs!$D$15)*(Inputs!$E$15-Inputs!$D$15)),Inputs!$F$15-SQRT((1-F780)*(Inputs!$F$15-Inputs!$D$15)*(Inputs!$F$15-Inputs!$E$15)))</f>
        <v>0.722317707018671</v>
      </c>
      <c r="H780" s="81" t="n">
        <f aca="true">RAND()</f>
        <v>0.384379377962443</v>
      </c>
      <c r="I780" s="82" t="n">
        <f aca="false">ROUND(IF(H780&lt;(Inputs!$E$17-Inputs!$D$17)/(Inputs!$F$17-Inputs!$D$17),Inputs!$D$17+SQRT(H780*(Inputs!$F$17-Inputs!$D$17)*(Inputs!$E$17-Inputs!$D$17)),Inputs!$F$17-SQRT((1-H780)*(Inputs!$F$17-Inputs!$D$17)*(Inputs!$F$17-Inputs!$E$17))),0)</f>
        <v>105</v>
      </c>
      <c r="J780" s="81" t="n">
        <f aca="true">RAND()</f>
        <v>0.586799000822344</v>
      </c>
      <c r="K780" s="83" t="n">
        <f aca="false">IF(J780&lt;(Inputs!$E$18-Inputs!$D$18)/(Inputs!$F$18-Inputs!$D$18),Inputs!$D$18+SQRT(J780*(Inputs!$F$18-Inputs!$D$18)*(Inputs!$E$18-Inputs!$D$18)),Inputs!$F$18-SQRT((1-J780)*(Inputs!$F$18-Inputs!$D$18)*(Inputs!$F$18-Inputs!$E$18)))</f>
        <v>1.05985508834564</v>
      </c>
      <c r="L780" s="81" t="n">
        <f aca="true">RAND()</f>
        <v>0.119683472029946</v>
      </c>
      <c r="M780" s="83" t="n">
        <f aca="false">IF(L780&lt;(Inputs!$E$24-Inputs!$D$24)/(Inputs!$F$24-Inputs!$D$24),Inputs!$D$24+SQRT(L780*(Inputs!$F$24-Inputs!$D$24)*(Inputs!$E$24-Inputs!$D$24)),Inputs!$F$24-SQRT((1-L780)*(Inputs!$F$24-Inputs!$D$24)*(Inputs!$F$24-Inputs!$E$24)))</f>
        <v>0.719841631512566</v>
      </c>
      <c r="N780" s="81" t="n">
        <f aca="true">RAND()</f>
        <v>0.406984868634254</v>
      </c>
      <c r="O780" s="83" t="n">
        <f aca="false">IF(N780&lt;(Inputs!$E$26-Inputs!$D$26)/(Inputs!$F$26-Inputs!$D$26),Inputs!$D$26+SQRT(N780*(Inputs!$F$26-Inputs!$D$26)*(Inputs!$E$26-Inputs!$D$26)),Inputs!$F$26-SQRT((1-N780)*(Inputs!$F$26-Inputs!$D$26)*(Inputs!$F$26-Inputs!$E$26)))</f>
        <v>0.560235051714291</v>
      </c>
      <c r="P780" s="81" t="n">
        <f aca="true">RAND()</f>
        <v>0.0768778058179177</v>
      </c>
      <c r="Q780" s="82" t="n">
        <f aca="false">IF(P780&lt;(Inputs!$E$27-Inputs!$D$27)/(Inputs!$F$27-Inputs!$D$27),Inputs!$D$27+SQRT(P780*(Inputs!$F$27-Inputs!$D$27)*(Inputs!$E$27-Inputs!$D$27)),Inputs!$F$27-SQRT((1-P780)*(Inputs!$F$27-Inputs!$D$27)*(Inputs!$F$27-Inputs!$E$27)))</f>
        <v>63.863423622785</v>
      </c>
      <c r="R780" s="81" t="n">
        <f aca="true">RAND()</f>
        <v>0.131079288055847</v>
      </c>
      <c r="S780" s="82" t="n">
        <f aca="false">IF(R780&lt;(Inputs!$E$29-Inputs!$D$29)/(Inputs!$F$29-Inputs!$D$29),Inputs!$D$29+SQRT(R780*(Inputs!$F$29-Inputs!$D$29)*(Inputs!$E$29-Inputs!$D$29)),Inputs!$F$29-SQRT((1-R780)*(Inputs!$F$29-Inputs!$D$29)*(Inputs!$F$29-Inputs!$E$29)))</f>
        <v>4.26099363868589</v>
      </c>
      <c r="T780" s="68" t="n">
        <f aca="false">Inputs!$E$9*(1+E780)+Inputs!$E$5*C780*(Inputs!$E$11*Inputs!$E$14*(G780*I780/Inputs!$E$16+(1-G780))*K780+Inputs!$E$23*M780)*(1+O780)+Inputs!$E$5*(Q780+S780)</f>
        <v>6041.12985454037</v>
      </c>
    </row>
    <row r="781" customFormat="false" ht="15" hidden="false" customHeight="false" outlineLevel="0" collapsed="false">
      <c r="A781" s="1" t="n">
        <v>777</v>
      </c>
      <c r="B781" s="81" t="n">
        <f aca="true">RAND()</f>
        <v>0.610145128994637</v>
      </c>
      <c r="C781" s="82" t="n">
        <f aca="false">ROUND(IF(B781&lt;(Inputs!$E$8-Inputs!$D$8)/(Inputs!$F$8-Inputs!$D$8),Inputs!$D$8+SQRT(B781*(Inputs!$F$8-Inputs!$D$8)*(Inputs!$E$8-Inputs!$D$8)),Inputs!$F$8-SQRT((1-B781)*(Inputs!$F$8-Inputs!$D$8)*(Inputs!$F$8-Inputs!$E$8))),0)</f>
        <v>26</v>
      </c>
      <c r="D781" s="81" t="n">
        <f aca="true">RAND()</f>
        <v>0.651088703464559</v>
      </c>
      <c r="E781" s="83" t="n">
        <f aca="false">IF(D781&lt;(Inputs!$E$10-Inputs!$D$10)/(Inputs!$F$10-Inputs!$D$10),Inputs!$D$10+SQRT(D781*(Inputs!$F$10-Inputs!$D$10)*(Inputs!$E$10-Inputs!$D$10)),Inputs!$F$10-SQRT((1-D781)*(Inputs!$F$10-Inputs!$D$10)*(Inputs!$F$10-Inputs!$E$10)))</f>
        <v>0.0976899863353385</v>
      </c>
      <c r="F781" s="81" t="n">
        <f aca="true">RAND()</f>
        <v>0.951604389161889</v>
      </c>
      <c r="G781" s="83" t="n">
        <f aca="false">IF(F781&lt;(Inputs!$E$15-Inputs!$D$15)/(Inputs!$F$15-Inputs!$D$15),Inputs!$D$15+SQRT(F781*(Inputs!$F$15-Inputs!$D$15)*(Inputs!$E$15-Inputs!$D$15)),Inputs!$F$15-SQRT((1-F781)*(Inputs!$F$15-Inputs!$D$15)*(Inputs!$F$15-Inputs!$E$15)))</f>
        <v>0.768888712389838</v>
      </c>
      <c r="H781" s="81" t="n">
        <f aca="true">RAND()</f>
        <v>0.00663433574070439</v>
      </c>
      <c r="I781" s="82" t="n">
        <f aca="false">ROUND(IF(H781&lt;(Inputs!$E$17-Inputs!$D$17)/(Inputs!$F$17-Inputs!$D$17),Inputs!$D$17+SQRT(H781*(Inputs!$F$17-Inputs!$D$17)*(Inputs!$E$17-Inputs!$D$17)),Inputs!$F$17-SQRT((1-H781)*(Inputs!$F$17-Inputs!$D$17)*(Inputs!$F$17-Inputs!$E$17))),0)</f>
        <v>101</v>
      </c>
      <c r="J781" s="81" t="n">
        <f aca="true">RAND()</f>
        <v>0.0816786574979328</v>
      </c>
      <c r="K781" s="83" t="n">
        <f aca="false">IF(J781&lt;(Inputs!$E$18-Inputs!$D$18)/(Inputs!$F$18-Inputs!$D$18),Inputs!$D$18+SQRT(J781*(Inputs!$F$18-Inputs!$D$18)*(Inputs!$E$18-Inputs!$D$18)),Inputs!$F$18-SQRT((1-J781)*(Inputs!$F$18-Inputs!$D$18)*(Inputs!$F$18-Inputs!$E$18)))</f>
        <v>0.95346730788461</v>
      </c>
      <c r="L781" s="81" t="n">
        <f aca="true">RAND()</f>
        <v>0.313040920369779</v>
      </c>
      <c r="M781" s="83" t="n">
        <f aca="false">IF(L781&lt;(Inputs!$E$24-Inputs!$D$24)/(Inputs!$F$24-Inputs!$D$24),Inputs!$D$24+SQRT(L781*(Inputs!$F$24-Inputs!$D$24)*(Inputs!$E$24-Inputs!$D$24)),Inputs!$F$24-SQRT((1-L781)*(Inputs!$F$24-Inputs!$D$24)*(Inputs!$F$24-Inputs!$E$24)))</f>
        <v>0.793816692894017</v>
      </c>
      <c r="N781" s="81" t="n">
        <f aca="true">RAND()</f>
        <v>0.82809947840149</v>
      </c>
      <c r="O781" s="83" t="n">
        <f aca="false">IF(N781&lt;(Inputs!$E$26-Inputs!$D$26)/(Inputs!$F$26-Inputs!$D$26),Inputs!$D$26+SQRT(N781*(Inputs!$F$26-Inputs!$D$26)*(Inputs!$E$26-Inputs!$D$26)),Inputs!$F$26-SQRT((1-N781)*(Inputs!$F$26-Inputs!$D$26)*(Inputs!$F$26-Inputs!$E$26)))</f>
        <v>0.686292654479101</v>
      </c>
      <c r="P781" s="81" t="n">
        <f aca="true">RAND()</f>
        <v>0.937928867888346</v>
      </c>
      <c r="Q781" s="82" t="n">
        <f aca="false">IF(P781&lt;(Inputs!$E$27-Inputs!$D$27)/(Inputs!$F$27-Inputs!$D$27),Inputs!$D$27+SQRT(P781*(Inputs!$F$27-Inputs!$D$27)*(Inputs!$E$27-Inputs!$D$27)),Inputs!$F$27-SQRT((1-P781)*(Inputs!$F$27-Inputs!$D$27)*(Inputs!$F$27-Inputs!$E$27)))</f>
        <v>128.423774870534</v>
      </c>
      <c r="R781" s="81" t="n">
        <f aca="true">RAND()</f>
        <v>0.355393074929298</v>
      </c>
      <c r="S781" s="82" t="n">
        <f aca="false">IF(R781&lt;(Inputs!$E$29-Inputs!$D$29)/(Inputs!$F$29-Inputs!$D$29),Inputs!$D$29+SQRT(R781*(Inputs!$F$29-Inputs!$D$29)*(Inputs!$E$29-Inputs!$D$29)),Inputs!$F$29-SQRT((1-R781)*(Inputs!$F$29-Inputs!$D$29)*(Inputs!$F$29-Inputs!$E$29)))</f>
        <v>5.84582607445154</v>
      </c>
      <c r="T781" s="68" t="n">
        <f aca="false">Inputs!$E$9*(1+E781)+Inputs!$E$5*C781*(Inputs!$E$11*Inputs!$E$14*(G781*I781/Inputs!$E$16+(1-G781))*K781+Inputs!$E$23*M781)*(1+O781)+Inputs!$E$5*(Q781+S781)</f>
        <v>6422.51667907103</v>
      </c>
    </row>
    <row r="782" customFormat="false" ht="15" hidden="false" customHeight="false" outlineLevel="0" collapsed="false">
      <c r="A782" s="1" t="n">
        <v>778</v>
      </c>
      <c r="B782" s="81" t="n">
        <f aca="true">RAND()</f>
        <v>0.662656704736027</v>
      </c>
      <c r="C782" s="82" t="n">
        <f aca="false">ROUND(IF(B782&lt;(Inputs!$E$8-Inputs!$D$8)/(Inputs!$F$8-Inputs!$D$8),Inputs!$D$8+SQRT(B782*(Inputs!$F$8-Inputs!$D$8)*(Inputs!$E$8-Inputs!$D$8)),Inputs!$F$8-SQRT((1-B782)*(Inputs!$F$8-Inputs!$D$8)*(Inputs!$F$8-Inputs!$E$8))),0)</f>
        <v>26</v>
      </c>
      <c r="D782" s="81" t="n">
        <f aca="true">RAND()</f>
        <v>0.520264431005256</v>
      </c>
      <c r="E782" s="83" t="n">
        <f aca="false">IF(D782&lt;(Inputs!$E$10-Inputs!$D$10)/(Inputs!$F$10-Inputs!$D$10),Inputs!$D$10+SQRT(D782*(Inputs!$F$10-Inputs!$D$10)*(Inputs!$E$10-Inputs!$D$10)),Inputs!$F$10-SQRT((1-D782)*(Inputs!$F$10-Inputs!$D$10)*(Inputs!$F$10-Inputs!$E$10)))</f>
        <v>0.0800330584292393</v>
      </c>
      <c r="F782" s="81" t="n">
        <f aca="true">RAND()</f>
        <v>0.802325728131188</v>
      </c>
      <c r="G782" s="83" t="n">
        <f aca="false">IF(F782&lt;(Inputs!$E$15-Inputs!$D$15)/(Inputs!$F$15-Inputs!$D$15),Inputs!$D$15+SQRT(F782*(Inputs!$F$15-Inputs!$D$15)*(Inputs!$E$15-Inputs!$D$15)),Inputs!$F$15-SQRT((1-F782)*(Inputs!$F$15-Inputs!$D$15)*(Inputs!$F$15-Inputs!$E$15)))</f>
        <v>0.737123252013354</v>
      </c>
      <c r="H782" s="81" t="n">
        <f aca="true">RAND()</f>
        <v>0.911961853930546</v>
      </c>
      <c r="I782" s="82" t="n">
        <f aca="false">ROUND(IF(H782&lt;(Inputs!$E$17-Inputs!$D$17)/(Inputs!$F$17-Inputs!$D$17),Inputs!$D$17+SQRT(H782*(Inputs!$F$17-Inputs!$D$17)*(Inputs!$E$17-Inputs!$D$17)),Inputs!$F$17-SQRT((1-H782)*(Inputs!$F$17-Inputs!$D$17)*(Inputs!$F$17-Inputs!$E$17))),0)</f>
        <v>111</v>
      </c>
      <c r="J782" s="81" t="n">
        <f aca="true">RAND()</f>
        <v>0.491109574120532</v>
      </c>
      <c r="K782" s="83" t="n">
        <f aca="false">IF(J782&lt;(Inputs!$E$18-Inputs!$D$18)/(Inputs!$F$18-Inputs!$D$18),Inputs!$D$18+SQRT(J782*(Inputs!$F$18-Inputs!$D$18)*(Inputs!$E$18-Inputs!$D$18)),Inputs!$F$18-SQRT((1-J782)*(Inputs!$F$18-Inputs!$D$18)*(Inputs!$F$18-Inputs!$E$18)))</f>
        <v>1.03898362086214</v>
      </c>
      <c r="L782" s="81" t="n">
        <f aca="true">RAND()</f>
        <v>0.288822174669097</v>
      </c>
      <c r="M782" s="83" t="n">
        <f aca="false">IF(L782&lt;(Inputs!$E$24-Inputs!$D$24)/(Inputs!$F$24-Inputs!$D$24),Inputs!$D$24+SQRT(L782*(Inputs!$F$24-Inputs!$D$24)*(Inputs!$E$24-Inputs!$D$24)),Inputs!$F$24-SQRT((1-L782)*(Inputs!$F$24-Inputs!$D$24)*(Inputs!$F$24-Inputs!$E$24)))</f>
        <v>0.786168367238614</v>
      </c>
      <c r="N782" s="81" t="n">
        <f aca="true">RAND()</f>
        <v>0.155302190555691</v>
      </c>
      <c r="O782" s="83" t="n">
        <f aca="false">IF(N782&lt;(Inputs!$E$26-Inputs!$D$26)/(Inputs!$F$26-Inputs!$D$26),Inputs!$D$26+SQRT(N782*(Inputs!$F$26-Inputs!$D$26)*(Inputs!$E$26-Inputs!$D$26)),Inputs!$F$26-SQRT((1-N782)*(Inputs!$F$26-Inputs!$D$26)*(Inputs!$F$26-Inputs!$E$26)))</f>
        <v>0.460755356080185</v>
      </c>
      <c r="P782" s="81" t="n">
        <f aca="true">RAND()</f>
        <v>0.214271931406587</v>
      </c>
      <c r="Q782" s="82" t="n">
        <f aca="false">IF(P782&lt;(Inputs!$E$27-Inputs!$D$27)/(Inputs!$F$27-Inputs!$D$27),Inputs!$D$27+SQRT(P782*(Inputs!$F$27-Inputs!$D$27)*(Inputs!$E$27-Inputs!$D$27)),Inputs!$F$27-SQRT((1-P782)*(Inputs!$F$27-Inputs!$D$27)*(Inputs!$F$27-Inputs!$E$27)))</f>
        <v>73.1447581217966</v>
      </c>
      <c r="R782" s="81" t="n">
        <f aca="true">RAND()</f>
        <v>0.612034836510831</v>
      </c>
      <c r="S782" s="82" t="n">
        <f aca="false">IF(R782&lt;(Inputs!$E$29-Inputs!$D$29)/(Inputs!$F$29-Inputs!$D$29),Inputs!$D$29+SQRT(R782*(Inputs!$F$29-Inputs!$D$29)*(Inputs!$E$29-Inputs!$D$29)),Inputs!$F$29-SQRT((1-R782)*(Inputs!$F$29-Inputs!$D$29)*(Inputs!$F$29-Inputs!$E$29)))</f>
        <v>7.89820647627714</v>
      </c>
      <c r="T782" s="68" t="n">
        <f aca="false">Inputs!$E$9*(1+E782)+Inputs!$E$5*C782*(Inputs!$E$11*Inputs!$E$14*(G782*I782/Inputs!$E$16+(1-G782))*K782+Inputs!$E$23*M782)*(1+O782)+Inputs!$E$5*(Q782+S782)</f>
        <v>5988.68639103148</v>
      </c>
    </row>
    <row r="783" customFormat="false" ht="15" hidden="false" customHeight="false" outlineLevel="0" collapsed="false">
      <c r="A783" s="1" t="n">
        <v>779</v>
      </c>
      <c r="B783" s="81" t="n">
        <f aca="true">RAND()</f>
        <v>0.772532716498671</v>
      </c>
      <c r="C783" s="82" t="n">
        <f aca="false">ROUND(IF(B783&lt;(Inputs!$E$8-Inputs!$D$8)/(Inputs!$F$8-Inputs!$D$8),Inputs!$D$8+SQRT(B783*(Inputs!$F$8-Inputs!$D$8)*(Inputs!$E$8-Inputs!$D$8)),Inputs!$F$8-SQRT((1-B783)*(Inputs!$F$8-Inputs!$D$8)*(Inputs!$F$8-Inputs!$E$8))),0)</f>
        <v>27</v>
      </c>
      <c r="D783" s="81" t="n">
        <f aca="true">RAND()</f>
        <v>0.181877586234477</v>
      </c>
      <c r="E783" s="83" t="n">
        <f aca="false">IF(D783&lt;(Inputs!$E$10-Inputs!$D$10)/(Inputs!$F$10-Inputs!$D$10),Inputs!$D$10+SQRT(D783*(Inputs!$F$10-Inputs!$D$10)*(Inputs!$E$10-Inputs!$D$10)),Inputs!$F$10-SQRT((1-D783)*(Inputs!$F$10-Inputs!$D$10)*(Inputs!$F$10-Inputs!$E$10)))</f>
        <v>0.0426471084875021</v>
      </c>
      <c r="F783" s="81" t="n">
        <f aca="true">RAND()</f>
        <v>0.251378346994673</v>
      </c>
      <c r="G783" s="83" t="n">
        <f aca="false">IF(F783&lt;(Inputs!$E$15-Inputs!$D$15)/(Inputs!$F$15-Inputs!$D$15),Inputs!$D$15+SQRT(F783*(Inputs!$F$15-Inputs!$D$15)*(Inputs!$E$15-Inputs!$D$15)),Inputs!$F$15-SQRT((1-F783)*(Inputs!$F$15-Inputs!$D$15)*(Inputs!$F$15-Inputs!$E$15)))</f>
        <v>0.670905337880116</v>
      </c>
      <c r="H783" s="81" t="n">
        <f aca="true">RAND()</f>
        <v>0.458520862815072</v>
      </c>
      <c r="I783" s="82" t="n">
        <f aca="false">ROUND(IF(H783&lt;(Inputs!$E$17-Inputs!$D$17)/(Inputs!$F$17-Inputs!$D$17),Inputs!$D$17+SQRT(H783*(Inputs!$F$17-Inputs!$D$17)*(Inputs!$E$17-Inputs!$D$17)),Inputs!$F$17-SQRT((1-H783)*(Inputs!$F$17-Inputs!$D$17)*(Inputs!$F$17-Inputs!$E$17))),0)</f>
        <v>106</v>
      </c>
      <c r="J783" s="81" t="n">
        <f aca="true">RAND()</f>
        <v>0.651935175125567</v>
      </c>
      <c r="K783" s="83" t="n">
        <f aca="false">IF(J783&lt;(Inputs!$E$18-Inputs!$D$18)/(Inputs!$F$18-Inputs!$D$18),Inputs!$D$18+SQRT(J783*(Inputs!$F$18-Inputs!$D$18)*(Inputs!$E$18-Inputs!$D$18)),Inputs!$F$18-SQRT((1-J783)*(Inputs!$F$18-Inputs!$D$18)*(Inputs!$F$18-Inputs!$E$18)))</f>
        <v>1.07548446436918</v>
      </c>
      <c r="L783" s="81" t="n">
        <f aca="true">RAND()</f>
        <v>0.0648423010408231</v>
      </c>
      <c r="M783" s="83" t="n">
        <f aca="false">IF(L783&lt;(Inputs!$E$24-Inputs!$D$24)/(Inputs!$F$24-Inputs!$D$24),Inputs!$D$24+SQRT(L783*(Inputs!$F$24-Inputs!$D$24)*(Inputs!$E$24-Inputs!$D$24)),Inputs!$F$24-SQRT((1-L783)*(Inputs!$F$24-Inputs!$D$24)*(Inputs!$F$24-Inputs!$E$24)))</f>
        <v>0.688210408257182</v>
      </c>
      <c r="N783" s="81" t="n">
        <f aca="true">RAND()</f>
        <v>0.19562623902537</v>
      </c>
      <c r="O783" s="83" t="n">
        <f aca="false">IF(N783&lt;(Inputs!$E$26-Inputs!$D$26)/(Inputs!$F$26-Inputs!$D$26),Inputs!$D$26+SQRT(N783*(Inputs!$F$26-Inputs!$D$26)*(Inputs!$E$26-Inputs!$D$26)),Inputs!$F$26-SQRT((1-N783)*(Inputs!$F$26-Inputs!$D$26)*(Inputs!$F$26-Inputs!$E$26)))</f>
        <v>0.480422299546984</v>
      </c>
      <c r="P783" s="81" t="n">
        <f aca="true">RAND()</f>
        <v>0.676939975492569</v>
      </c>
      <c r="Q783" s="82" t="n">
        <f aca="false">IF(P783&lt;(Inputs!$E$27-Inputs!$D$27)/(Inputs!$F$27-Inputs!$D$27),Inputs!$D$27+SQRT(P783*(Inputs!$F$27-Inputs!$D$27)*(Inputs!$E$27-Inputs!$D$27)),Inputs!$F$27-SQRT((1-P783)*(Inputs!$F$27-Inputs!$D$27)*(Inputs!$F$27-Inputs!$E$27)))</f>
        <v>100.776528121172</v>
      </c>
      <c r="R783" s="81" t="n">
        <f aca="true">RAND()</f>
        <v>0.0530246981304425</v>
      </c>
      <c r="S783" s="82" t="n">
        <f aca="false">IF(R783&lt;(Inputs!$E$29-Inputs!$D$29)/(Inputs!$F$29-Inputs!$D$29),Inputs!$D$29+SQRT(R783*(Inputs!$F$29-Inputs!$D$29)*(Inputs!$E$29-Inputs!$D$29)),Inputs!$F$29-SQRT((1-R783)*(Inputs!$F$29-Inputs!$D$29)*(Inputs!$F$29-Inputs!$E$29)))</f>
        <v>3.43804145527424</v>
      </c>
      <c r="T783" s="68" t="n">
        <f aca="false">Inputs!$E$9*(1+E783)+Inputs!$E$5*C783*(Inputs!$E$11*Inputs!$E$14*(G783*I783/Inputs!$E$16+(1-G783))*K783+Inputs!$E$23*M783)*(1+O783)+Inputs!$E$5*(Q783+S783)</f>
        <v>6157.79671699349</v>
      </c>
    </row>
    <row r="784" customFormat="false" ht="15" hidden="false" customHeight="false" outlineLevel="0" collapsed="false">
      <c r="A784" s="1" t="n">
        <v>780</v>
      </c>
      <c r="B784" s="81" t="n">
        <f aca="true">RAND()</f>
        <v>0.428812884584483</v>
      </c>
      <c r="C784" s="82" t="n">
        <f aca="false">ROUND(IF(B784&lt;(Inputs!$E$8-Inputs!$D$8)/(Inputs!$F$8-Inputs!$D$8),Inputs!$D$8+SQRT(B784*(Inputs!$F$8-Inputs!$D$8)*(Inputs!$E$8-Inputs!$D$8)),Inputs!$F$8-SQRT((1-B784)*(Inputs!$F$8-Inputs!$D$8)*(Inputs!$F$8-Inputs!$E$8))),0)</f>
        <v>25</v>
      </c>
      <c r="D784" s="81" t="n">
        <f aca="true">RAND()</f>
        <v>0.596059625697056</v>
      </c>
      <c r="E784" s="83" t="n">
        <f aca="false">IF(D784&lt;(Inputs!$E$10-Inputs!$D$10)/(Inputs!$F$10-Inputs!$D$10),Inputs!$D$10+SQRT(D784*(Inputs!$F$10-Inputs!$D$10)*(Inputs!$E$10-Inputs!$D$10)),Inputs!$F$10-SQRT((1-D784)*(Inputs!$F$10-Inputs!$D$10)*(Inputs!$F$10-Inputs!$E$10)))</f>
        <v>0.089917252809133</v>
      </c>
      <c r="F784" s="81" t="n">
        <f aca="true">RAND()</f>
        <v>0.83943135948615</v>
      </c>
      <c r="G784" s="83" t="n">
        <f aca="false">IF(F784&lt;(Inputs!$E$15-Inputs!$D$15)/(Inputs!$F$15-Inputs!$D$15),Inputs!$D$15+SQRT(F784*(Inputs!$F$15-Inputs!$D$15)*(Inputs!$E$15-Inputs!$D$15)),Inputs!$F$15-SQRT((1-F784)*(Inputs!$F$15-Inputs!$D$15)*(Inputs!$F$15-Inputs!$E$15)))</f>
        <v>0.743331024270091</v>
      </c>
      <c r="H784" s="81" t="n">
        <f aca="true">RAND()</f>
        <v>0.414559797547592</v>
      </c>
      <c r="I784" s="82" t="n">
        <f aca="false">ROUND(IF(H784&lt;(Inputs!$E$17-Inputs!$D$17)/(Inputs!$F$17-Inputs!$D$17),Inputs!$D$17+SQRT(H784*(Inputs!$F$17-Inputs!$D$17)*(Inputs!$E$17-Inputs!$D$17)),Inputs!$F$17-SQRT((1-H784)*(Inputs!$F$17-Inputs!$D$17)*(Inputs!$F$17-Inputs!$E$17))),0)</f>
        <v>106</v>
      </c>
      <c r="J784" s="81" t="n">
        <f aca="true">RAND()</f>
        <v>0.0897945366645578</v>
      </c>
      <c r="K784" s="83" t="n">
        <f aca="false">IF(J784&lt;(Inputs!$E$18-Inputs!$D$18)/(Inputs!$F$18-Inputs!$D$18),Inputs!$D$18+SQRT(J784*(Inputs!$F$18-Inputs!$D$18)*(Inputs!$E$18-Inputs!$D$18)),Inputs!$F$18-SQRT((1-J784)*(Inputs!$F$18-Inputs!$D$18)*(Inputs!$F$18-Inputs!$E$18)))</f>
        <v>0.95606075974565</v>
      </c>
      <c r="L784" s="81" t="n">
        <f aca="true">RAND()</f>
        <v>0.944032637316765</v>
      </c>
      <c r="M784" s="83" t="n">
        <f aca="false">IF(L784&lt;(Inputs!$E$24-Inputs!$D$24)/(Inputs!$F$24-Inputs!$D$24),Inputs!$D$24+SQRT(L784*(Inputs!$F$24-Inputs!$D$24)*(Inputs!$E$24-Inputs!$D$24)),Inputs!$F$24-SQRT((1-L784)*(Inputs!$F$24-Inputs!$D$24)*(Inputs!$F$24-Inputs!$E$24)))</f>
        <v>1.08410277378653</v>
      </c>
      <c r="N784" s="81" t="n">
        <f aca="true">RAND()</f>
        <v>0.949551824392469</v>
      </c>
      <c r="O784" s="83" t="n">
        <f aca="false">IF(N784&lt;(Inputs!$E$26-Inputs!$D$26)/(Inputs!$F$26-Inputs!$D$26),Inputs!$D$26+SQRT(N784*(Inputs!$F$26-Inputs!$D$26)*(Inputs!$E$26-Inputs!$D$26)),Inputs!$F$26-SQRT((1-N784)*(Inputs!$F$26-Inputs!$D$26)*(Inputs!$F$26-Inputs!$E$26)))</f>
        <v>0.747566511452345</v>
      </c>
      <c r="P784" s="81" t="n">
        <f aca="true">RAND()</f>
        <v>0.532467897400466</v>
      </c>
      <c r="Q784" s="82" t="n">
        <f aca="false">IF(P784&lt;(Inputs!$E$27-Inputs!$D$27)/(Inputs!$F$27-Inputs!$D$27),Inputs!$D$27+SQRT(P784*(Inputs!$F$27-Inputs!$D$27)*(Inputs!$E$27-Inputs!$D$27)),Inputs!$F$27-SQRT((1-P784)*(Inputs!$F$27-Inputs!$D$27)*(Inputs!$F$27-Inputs!$E$27)))</f>
        <v>90.7843705640436</v>
      </c>
      <c r="R784" s="81" t="n">
        <f aca="true">RAND()</f>
        <v>0.952533319056088</v>
      </c>
      <c r="S784" s="82" t="n">
        <f aca="false">IF(R784&lt;(Inputs!$E$29-Inputs!$D$29)/(Inputs!$F$29-Inputs!$D$29),Inputs!$D$29+SQRT(R784*(Inputs!$F$29-Inputs!$D$29)*(Inputs!$E$29-Inputs!$D$29)),Inputs!$F$29-SQRT((1-R784)*(Inputs!$F$29-Inputs!$D$29)*(Inputs!$F$29-Inputs!$E$29)))</f>
        <v>12.5159169654159</v>
      </c>
      <c r="T784" s="68" t="n">
        <f aca="false">Inputs!$E$9*(1+E784)+Inputs!$E$5*C784*(Inputs!$E$11*Inputs!$E$14*(G784*I784/Inputs!$E$16+(1-G784))*K784+Inputs!$E$23*M784)*(1+O784)+Inputs!$E$5*(Q784+S784)</f>
        <v>6798.59663183663</v>
      </c>
    </row>
    <row r="785" customFormat="false" ht="15" hidden="false" customHeight="false" outlineLevel="0" collapsed="false">
      <c r="A785" s="1" t="n">
        <v>781</v>
      </c>
      <c r="B785" s="81" t="n">
        <f aca="true">RAND()</f>
        <v>0.592599370912947</v>
      </c>
      <c r="C785" s="82" t="n">
        <f aca="false">ROUND(IF(B785&lt;(Inputs!$E$8-Inputs!$D$8)/(Inputs!$F$8-Inputs!$D$8),Inputs!$D$8+SQRT(B785*(Inputs!$F$8-Inputs!$D$8)*(Inputs!$E$8-Inputs!$D$8)),Inputs!$F$8-SQRT((1-B785)*(Inputs!$F$8-Inputs!$D$8)*(Inputs!$F$8-Inputs!$E$8))),0)</f>
        <v>25</v>
      </c>
      <c r="D785" s="81" t="n">
        <f aca="true">RAND()</f>
        <v>0.0844693479718921</v>
      </c>
      <c r="E785" s="83" t="n">
        <f aca="false">IF(D785&lt;(Inputs!$E$10-Inputs!$D$10)/(Inputs!$F$10-Inputs!$D$10),Inputs!$D$10+SQRT(D785*(Inputs!$F$10-Inputs!$D$10)*(Inputs!$E$10-Inputs!$D$10)),Inputs!$F$10-SQRT((1-D785)*(Inputs!$F$10-Inputs!$D$10)*(Inputs!$F$10-Inputs!$E$10)))</f>
        <v>0.0290636109201682</v>
      </c>
      <c r="F785" s="81" t="n">
        <f aca="true">RAND()</f>
        <v>0.147891880122453</v>
      </c>
      <c r="G785" s="83" t="n">
        <f aca="false">IF(F785&lt;(Inputs!$E$15-Inputs!$D$15)/(Inputs!$F$15-Inputs!$D$15),Inputs!$D$15+SQRT(F785*(Inputs!$F$15-Inputs!$D$15)*(Inputs!$E$15-Inputs!$D$15)),Inputs!$F$15-SQRT((1-F785)*(Inputs!$F$15-Inputs!$D$15)*(Inputs!$F$15-Inputs!$E$15)))</f>
        <v>0.654386005575415</v>
      </c>
      <c r="H785" s="81" t="n">
        <f aca="true">RAND()</f>
        <v>0.240448630633258</v>
      </c>
      <c r="I785" s="82" t="n">
        <f aca="false">ROUND(IF(H785&lt;(Inputs!$E$17-Inputs!$D$17)/(Inputs!$F$17-Inputs!$D$17),Inputs!$D$17+SQRT(H785*(Inputs!$F$17-Inputs!$D$17)*(Inputs!$E$17-Inputs!$D$17)),Inputs!$F$17-SQRT((1-H785)*(Inputs!$F$17-Inputs!$D$17)*(Inputs!$F$17-Inputs!$E$17))),0)</f>
        <v>104</v>
      </c>
      <c r="J785" s="81" t="n">
        <f aca="true">RAND()</f>
        <v>0.666768454974191</v>
      </c>
      <c r="K785" s="83" t="n">
        <f aca="false">IF(J785&lt;(Inputs!$E$18-Inputs!$D$18)/(Inputs!$F$18-Inputs!$D$18),Inputs!$D$18+SQRT(J785*(Inputs!$F$18-Inputs!$D$18)*(Inputs!$E$18-Inputs!$D$18)),Inputs!$F$18-SQRT((1-J785)*(Inputs!$F$18-Inputs!$D$18)*(Inputs!$F$18-Inputs!$E$18)))</f>
        <v>1.07924356471934</v>
      </c>
      <c r="L785" s="81" t="n">
        <f aca="true">RAND()</f>
        <v>0.145814366039893</v>
      </c>
      <c r="M785" s="83" t="n">
        <f aca="false">IF(L785&lt;(Inputs!$E$24-Inputs!$D$24)/(Inputs!$F$24-Inputs!$D$24),Inputs!$D$24+SQRT(L785*(Inputs!$F$24-Inputs!$D$24)*(Inputs!$E$24-Inputs!$D$24)),Inputs!$F$24-SQRT((1-L785)*(Inputs!$F$24-Inputs!$D$24)*(Inputs!$F$24-Inputs!$E$24)))</f>
        <v>0.732278962517806</v>
      </c>
      <c r="N785" s="81" t="n">
        <f aca="true">RAND()</f>
        <v>0.181645708183085</v>
      </c>
      <c r="O785" s="83" t="n">
        <f aca="false">IF(N785&lt;(Inputs!$E$26-Inputs!$D$26)/(Inputs!$F$26-Inputs!$D$26),Inputs!$D$26+SQRT(N785*(Inputs!$F$26-Inputs!$D$26)*(Inputs!$E$26-Inputs!$D$26)),Inputs!$F$26-SQRT((1-N785)*(Inputs!$F$26-Inputs!$D$26)*(Inputs!$F$26-Inputs!$E$26)))</f>
        <v>0.473855819119365</v>
      </c>
      <c r="P785" s="81" t="n">
        <f aca="true">RAND()</f>
        <v>0.744520330855569</v>
      </c>
      <c r="Q785" s="82" t="n">
        <f aca="false">IF(P785&lt;(Inputs!$E$27-Inputs!$D$27)/(Inputs!$F$27-Inputs!$D$27),Inputs!$D$27+SQRT(P785*(Inputs!$F$27-Inputs!$D$27)*(Inputs!$E$27-Inputs!$D$27)),Inputs!$F$27-SQRT((1-P785)*(Inputs!$F$27-Inputs!$D$27)*(Inputs!$F$27-Inputs!$E$27)))</f>
        <v>106.226748823246</v>
      </c>
      <c r="R785" s="81" t="n">
        <f aca="true">RAND()</f>
        <v>0.296127073953506</v>
      </c>
      <c r="S785" s="82" t="n">
        <f aca="false">IF(R785&lt;(Inputs!$E$29-Inputs!$D$29)/(Inputs!$F$29-Inputs!$D$29),Inputs!$D$29+SQRT(R785*(Inputs!$F$29-Inputs!$D$29)*(Inputs!$E$29-Inputs!$D$29)),Inputs!$F$29-SQRT((1-R785)*(Inputs!$F$29-Inputs!$D$29)*(Inputs!$F$29-Inputs!$E$29)))</f>
        <v>5.43425484418259</v>
      </c>
      <c r="T785" s="68" t="n">
        <f aca="false">Inputs!$E$9*(1+E785)+Inputs!$E$5*C785*(Inputs!$E$11*Inputs!$E$14*(G785*I785/Inputs!$E$16+(1-G785))*K785+Inputs!$E$23*M785)*(1+O785)+Inputs!$E$5*(Q785+S785)</f>
        <v>5969.23240006151</v>
      </c>
    </row>
    <row r="786" customFormat="false" ht="15" hidden="false" customHeight="false" outlineLevel="0" collapsed="false">
      <c r="A786" s="1" t="n">
        <v>782</v>
      </c>
      <c r="B786" s="81" t="n">
        <f aca="true">RAND()</f>
        <v>0.642801210772656</v>
      </c>
      <c r="C786" s="82" t="n">
        <f aca="false">ROUND(IF(B786&lt;(Inputs!$E$8-Inputs!$D$8)/(Inputs!$F$8-Inputs!$D$8),Inputs!$D$8+SQRT(B786*(Inputs!$F$8-Inputs!$D$8)*(Inputs!$E$8-Inputs!$D$8)),Inputs!$F$8-SQRT((1-B786)*(Inputs!$F$8-Inputs!$D$8)*(Inputs!$F$8-Inputs!$E$8))),0)</f>
        <v>26</v>
      </c>
      <c r="D786" s="81" t="n">
        <f aca="true">RAND()</f>
        <v>0.784219005365191</v>
      </c>
      <c r="E786" s="83" t="n">
        <f aca="false">IF(D786&lt;(Inputs!$E$10-Inputs!$D$10)/(Inputs!$F$10-Inputs!$D$10),Inputs!$D$10+SQRT(D786*(Inputs!$F$10-Inputs!$D$10)*(Inputs!$E$10-Inputs!$D$10)),Inputs!$F$10-SQRT((1-D786)*(Inputs!$F$10-Inputs!$D$10)*(Inputs!$F$10-Inputs!$E$10)))</f>
        <v>0.119542372399851</v>
      </c>
      <c r="F786" s="81" t="n">
        <f aca="true">RAND()</f>
        <v>0.186482638016901</v>
      </c>
      <c r="G786" s="83" t="n">
        <f aca="false">IF(F786&lt;(Inputs!$E$15-Inputs!$D$15)/(Inputs!$F$15-Inputs!$D$15),Inputs!$D$15+SQRT(F786*(Inputs!$F$15-Inputs!$D$15)*(Inputs!$E$15-Inputs!$D$15)),Inputs!$F$15-SQRT((1-F786)*(Inputs!$F$15-Inputs!$D$15)*(Inputs!$F$15-Inputs!$E$15)))</f>
        <v>0.661070883081367</v>
      </c>
      <c r="H786" s="81" t="n">
        <f aca="true">RAND()</f>
        <v>0.768748366540992</v>
      </c>
      <c r="I786" s="82" t="n">
        <f aca="false">ROUND(IF(H786&lt;(Inputs!$E$17-Inputs!$D$17)/(Inputs!$F$17-Inputs!$D$17),Inputs!$D$17+SQRT(H786*(Inputs!$F$17-Inputs!$D$17)*(Inputs!$E$17-Inputs!$D$17)),Inputs!$F$17-SQRT((1-H786)*(Inputs!$F$17-Inputs!$D$17)*(Inputs!$F$17-Inputs!$E$17))),0)</f>
        <v>109</v>
      </c>
      <c r="J786" s="81" t="n">
        <f aca="true">RAND()</f>
        <v>0.452311600160249</v>
      </c>
      <c r="K786" s="83" t="n">
        <f aca="false">IF(J786&lt;(Inputs!$E$18-Inputs!$D$18)/(Inputs!$F$18-Inputs!$D$18),Inputs!$D$18+SQRT(J786*(Inputs!$F$18-Inputs!$D$18)*(Inputs!$E$18-Inputs!$D$18)),Inputs!$F$18-SQRT((1-J786)*(Inputs!$F$18-Inputs!$D$18)*(Inputs!$F$18-Inputs!$E$18)))</f>
        <v>1.03108738047801</v>
      </c>
      <c r="L786" s="81" t="n">
        <f aca="true">RAND()</f>
        <v>4.51507945821255E-005</v>
      </c>
      <c r="M786" s="83" t="n">
        <f aca="false">IF(L786&lt;(Inputs!$E$24-Inputs!$D$24)/(Inputs!$F$24-Inputs!$D$24),Inputs!$D$24+SQRT(L786*(Inputs!$F$24-Inputs!$D$24)*(Inputs!$E$24-Inputs!$D$24)),Inputs!$F$24-SQRT((1-L786)*(Inputs!$F$24-Inputs!$D$24)*(Inputs!$F$24-Inputs!$E$24)))</f>
        <v>0.602327680250777</v>
      </c>
      <c r="N786" s="81" t="n">
        <f aca="true">RAND()</f>
        <v>0.664124841769276</v>
      </c>
      <c r="O786" s="83" t="n">
        <f aca="false">IF(N786&lt;(Inputs!$E$26-Inputs!$D$26)/(Inputs!$F$26-Inputs!$D$26),Inputs!$D$26+SQRT(N786*(Inputs!$F$26-Inputs!$D$26)*(Inputs!$E$26-Inputs!$D$26)),Inputs!$F$26-SQRT((1-N786)*(Inputs!$F$26-Inputs!$D$26)*(Inputs!$F$26-Inputs!$E$26)))</f>
        <v>0.633101587871926</v>
      </c>
      <c r="P786" s="81" t="n">
        <f aca="true">RAND()</f>
        <v>0.678916779765732</v>
      </c>
      <c r="Q786" s="82" t="n">
        <f aca="false">IF(P786&lt;(Inputs!$E$27-Inputs!$D$27)/(Inputs!$F$27-Inputs!$D$27),Inputs!$D$27+SQRT(P786*(Inputs!$F$27-Inputs!$D$27)*(Inputs!$E$27-Inputs!$D$27)),Inputs!$F$27-SQRT((1-P786)*(Inputs!$F$27-Inputs!$D$27)*(Inputs!$F$27-Inputs!$E$27)))</f>
        <v>100.927358418799</v>
      </c>
      <c r="R786" s="81" t="n">
        <f aca="true">RAND()</f>
        <v>0.137477244840696</v>
      </c>
      <c r="S786" s="82" t="n">
        <f aca="false">IF(R786&lt;(Inputs!$E$29-Inputs!$D$29)/(Inputs!$F$29-Inputs!$D$29),Inputs!$D$29+SQRT(R786*(Inputs!$F$29-Inputs!$D$29)*(Inputs!$E$29-Inputs!$D$29)),Inputs!$F$29-SQRT((1-R786)*(Inputs!$F$29-Inputs!$D$29)*(Inputs!$F$29-Inputs!$E$29)))</f>
        <v>4.31551561186427</v>
      </c>
      <c r="T786" s="68" t="n">
        <f aca="false">Inputs!$E$9*(1+E786)+Inputs!$E$5*C786*(Inputs!$E$11*Inputs!$E$14*(G786*I786/Inputs!$E$16+(1-G786))*K786+Inputs!$E$23*M786)*(1+O786)+Inputs!$E$5*(Q786+S786)</f>
        <v>6356.99888293564</v>
      </c>
    </row>
    <row r="787" customFormat="false" ht="15" hidden="false" customHeight="false" outlineLevel="0" collapsed="false">
      <c r="A787" s="1" t="n">
        <v>783</v>
      </c>
      <c r="B787" s="81" t="n">
        <f aca="true">RAND()</f>
        <v>0.700653543369913</v>
      </c>
      <c r="C787" s="82" t="n">
        <f aca="false">ROUND(IF(B787&lt;(Inputs!$E$8-Inputs!$D$8)/(Inputs!$F$8-Inputs!$D$8),Inputs!$D$8+SQRT(B787*(Inputs!$F$8-Inputs!$D$8)*(Inputs!$E$8-Inputs!$D$8)),Inputs!$F$8-SQRT((1-B787)*(Inputs!$F$8-Inputs!$D$8)*(Inputs!$F$8-Inputs!$E$8))),0)</f>
        <v>26</v>
      </c>
      <c r="D787" s="81" t="n">
        <f aca="true">RAND()</f>
        <v>0.693056081813585</v>
      </c>
      <c r="E787" s="83" t="n">
        <f aca="false">IF(D787&lt;(Inputs!$E$10-Inputs!$D$10)/(Inputs!$F$10-Inputs!$D$10),Inputs!$D$10+SQRT(D787*(Inputs!$F$10-Inputs!$D$10)*(Inputs!$E$10-Inputs!$D$10)),Inputs!$F$10-SQRT((1-D787)*(Inputs!$F$10-Inputs!$D$10)*(Inputs!$F$10-Inputs!$E$10)))</f>
        <v>0.104040021125511</v>
      </c>
      <c r="F787" s="81" t="n">
        <f aca="true">RAND()</f>
        <v>0.304647296575621</v>
      </c>
      <c r="G787" s="83" t="n">
        <f aca="false">IF(F787&lt;(Inputs!$E$15-Inputs!$D$15)/(Inputs!$F$15-Inputs!$D$15),Inputs!$D$15+SQRT(F787*(Inputs!$F$15-Inputs!$D$15)*(Inputs!$E$15-Inputs!$D$15)),Inputs!$F$15-SQRT((1-F787)*(Inputs!$F$15-Inputs!$D$15)*(Inputs!$F$15-Inputs!$E$15)))</f>
        <v>0.67805732464998</v>
      </c>
      <c r="H787" s="81" t="n">
        <f aca="true">RAND()</f>
        <v>0.842813552466607</v>
      </c>
      <c r="I787" s="82" t="n">
        <f aca="false">ROUND(IF(H787&lt;(Inputs!$E$17-Inputs!$D$17)/(Inputs!$F$17-Inputs!$D$17),Inputs!$D$17+SQRT(H787*(Inputs!$F$17-Inputs!$D$17)*(Inputs!$E$17-Inputs!$D$17)),Inputs!$F$17-SQRT((1-H787)*(Inputs!$F$17-Inputs!$D$17)*(Inputs!$F$17-Inputs!$E$17))),0)</f>
        <v>110</v>
      </c>
      <c r="J787" s="81" t="n">
        <f aca="true">RAND()</f>
        <v>0.876925035093152</v>
      </c>
      <c r="K787" s="83" t="n">
        <f aca="false">IF(J787&lt;(Inputs!$E$18-Inputs!$D$18)/(Inputs!$F$18-Inputs!$D$18),Inputs!$D$18+SQRT(J787*(Inputs!$F$18-Inputs!$D$18)*(Inputs!$E$18-Inputs!$D$18)),Inputs!$F$18-SQRT((1-J787)*(Inputs!$F$18-Inputs!$D$18)*(Inputs!$F$18-Inputs!$E$18)))</f>
        <v>1.14622592120694</v>
      </c>
      <c r="L787" s="81" t="n">
        <f aca="true">RAND()</f>
        <v>0.98359445058034</v>
      </c>
      <c r="M787" s="83" t="n">
        <f aca="false">IF(L787&lt;(Inputs!$E$24-Inputs!$D$24)/(Inputs!$F$24-Inputs!$D$24),Inputs!$D$24+SQRT(L787*(Inputs!$F$24-Inputs!$D$24)*(Inputs!$E$24-Inputs!$D$24)),Inputs!$F$24-SQRT((1-L787)*(Inputs!$F$24-Inputs!$D$24)*(Inputs!$F$24-Inputs!$E$24)))</f>
        <v>1.13725183779011</v>
      </c>
      <c r="N787" s="81" t="n">
        <f aca="true">RAND()</f>
        <v>0.373222469227648</v>
      </c>
      <c r="O787" s="83" t="n">
        <f aca="false">IF(N787&lt;(Inputs!$E$26-Inputs!$D$26)/(Inputs!$F$26-Inputs!$D$26),Inputs!$D$26+SQRT(N787*(Inputs!$F$26-Inputs!$D$26)*(Inputs!$E$26-Inputs!$D$26)),Inputs!$F$26-SQRT((1-N787)*(Inputs!$F$26-Inputs!$D$26)*(Inputs!$F$26-Inputs!$E$26)))</f>
        <v>0.549207180633867</v>
      </c>
      <c r="P787" s="81" t="n">
        <f aca="true">RAND()</f>
        <v>0.695552451196046</v>
      </c>
      <c r="Q787" s="82" t="n">
        <f aca="false">IF(P787&lt;(Inputs!$E$27-Inputs!$D$27)/(Inputs!$F$27-Inputs!$D$27),Inputs!$D$27+SQRT(P787*(Inputs!$F$27-Inputs!$D$27)*(Inputs!$E$27-Inputs!$D$27)),Inputs!$F$27-SQRT((1-P787)*(Inputs!$F$27-Inputs!$D$27)*(Inputs!$F$27-Inputs!$E$27)))</f>
        <v>102.215519087996</v>
      </c>
      <c r="R787" s="81" t="n">
        <f aca="true">RAND()</f>
        <v>0.0438622102083096</v>
      </c>
      <c r="S787" s="82" t="n">
        <f aca="false">IF(R787&lt;(Inputs!$E$29-Inputs!$D$29)/(Inputs!$F$29-Inputs!$D$29),Inputs!$D$29+SQRT(R787*(Inputs!$F$29-Inputs!$D$29)*(Inputs!$E$29-Inputs!$D$29)),Inputs!$F$29-SQRT((1-R787)*(Inputs!$F$29-Inputs!$D$29)*(Inputs!$F$29-Inputs!$E$29)))</f>
        <v>3.30790909398325</v>
      </c>
      <c r="T787" s="68" t="n">
        <f aca="false">Inputs!$E$9*(1+E787)+Inputs!$E$5*C787*(Inputs!$E$11*Inputs!$E$14*(G787*I787/Inputs!$E$16+(1-G787))*K787+Inputs!$E$23*M787)*(1+O787)+Inputs!$E$5*(Q787+S787)</f>
        <v>7167.83670120034</v>
      </c>
    </row>
    <row r="788" customFormat="false" ht="15" hidden="false" customHeight="false" outlineLevel="0" collapsed="false">
      <c r="A788" s="1" t="n">
        <v>784</v>
      </c>
      <c r="B788" s="81" t="n">
        <f aca="true">RAND()</f>
        <v>0.4973025373534</v>
      </c>
      <c r="C788" s="82" t="n">
        <f aca="false">ROUND(IF(B788&lt;(Inputs!$E$8-Inputs!$D$8)/(Inputs!$F$8-Inputs!$D$8),Inputs!$D$8+SQRT(B788*(Inputs!$F$8-Inputs!$D$8)*(Inputs!$E$8-Inputs!$D$8)),Inputs!$F$8-SQRT((1-B788)*(Inputs!$F$8-Inputs!$D$8)*(Inputs!$F$8-Inputs!$E$8))),0)</f>
        <v>25</v>
      </c>
      <c r="D788" s="81" t="n">
        <f aca="true">RAND()</f>
        <v>0.347809137163042</v>
      </c>
      <c r="E788" s="83" t="n">
        <f aca="false">IF(D788&lt;(Inputs!$E$10-Inputs!$D$10)/(Inputs!$F$10-Inputs!$D$10),Inputs!$D$10+SQRT(D788*(Inputs!$F$10-Inputs!$D$10)*(Inputs!$E$10-Inputs!$D$10)),Inputs!$F$10-SQRT((1-D788)*(Inputs!$F$10-Inputs!$D$10)*(Inputs!$F$10-Inputs!$E$10)))</f>
        <v>0.0601224611129123</v>
      </c>
      <c r="F788" s="81" t="n">
        <f aca="true">RAND()</f>
        <v>0.469457063685997</v>
      </c>
      <c r="G788" s="83" t="n">
        <f aca="false">IF(F788&lt;(Inputs!$E$15-Inputs!$D$15)/(Inputs!$F$15-Inputs!$D$15),Inputs!$D$15+SQRT(F788*(Inputs!$F$15-Inputs!$D$15)*(Inputs!$E$15-Inputs!$D$15)),Inputs!$F$15-SQRT((1-F788)*(Inputs!$F$15-Inputs!$D$15)*(Inputs!$F$15-Inputs!$E$15)))</f>
        <v>0.696897581361559</v>
      </c>
      <c r="H788" s="81" t="n">
        <f aca="true">RAND()</f>
        <v>0.133591000278562</v>
      </c>
      <c r="I788" s="82" t="n">
        <f aca="false">ROUND(IF(H788&lt;(Inputs!$E$17-Inputs!$D$17)/(Inputs!$F$17-Inputs!$D$17),Inputs!$D$17+SQRT(H788*(Inputs!$F$17-Inputs!$D$17)*(Inputs!$E$17-Inputs!$D$17)),Inputs!$F$17-SQRT((1-H788)*(Inputs!$F$17-Inputs!$D$17)*(Inputs!$F$17-Inputs!$E$17))),0)</f>
        <v>103</v>
      </c>
      <c r="J788" s="81" t="n">
        <f aca="true">RAND()</f>
        <v>0.745492137328091</v>
      </c>
      <c r="K788" s="83" t="n">
        <f aca="false">IF(J788&lt;(Inputs!$E$18-Inputs!$D$18)/(Inputs!$F$18-Inputs!$D$18),Inputs!$D$18+SQRT(J788*(Inputs!$F$18-Inputs!$D$18)*(Inputs!$E$18-Inputs!$D$18)),Inputs!$F$18-SQRT((1-J788)*(Inputs!$F$18-Inputs!$D$18)*(Inputs!$F$18-Inputs!$E$18)))</f>
        <v>1.10077051905273</v>
      </c>
      <c r="L788" s="81" t="n">
        <f aca="true">RAND()</f>
        <v>0.466281673616049</v>
      </c>
      <c r="M788" s="83" t="n">
        <f aca="false">IF(L788&lt;(Inputs!$E$24-Inputs!$D$24)/(Inputs!$F$24-Inputs!$D$24),Inputs!$D$24+SQRT(L788*(Inputs!$F$24-Inputs!$D$24)*(Inputs!$E$24-Inputs!$D$24)),Inputs!$F$24-SQRT((1-L788)*(Inputs!$F$24-Inputs!$D$24)*(Inputs!$F$24-Inputs!$E$24)))</f>
        <v>0.842100016300436</v>
      </c>
      <c r="N788" s="81" t="n">
        <f aca="true">RAND()</f>
        <v>0.0851908724079012</v>
      </c>
      <c r="O788" s="83" t="n">
        <f aca="false">IF(N788&lt;(Inputs!$E$26-Inputs!$D$26)/(Inputs!$F$26-Inputs!$D$26),Inputs!$D$26+SQRT(N788*(Inputs!$F$26-Inputs!$D$26)*(Inputs!$E$26-Inputs!$D$26)),Inputs!$F$26-SQRT((1-N788)*(Inputs!$F$26-Inputs!$D$26)*(Inputs!$F$26-Inputs!$E$26)))</f>
        <v>0.419062005562962</v>
      </c>
      <c r="P788" s="81" t="n">
        <f aca="true">RAND()</f>
        <v>0.0353687827276922</v>
      </c>
      <c r="Q788" s="82" t="n">
        <f aca="false">IF(P788&lt;(Inputs!$E$27-Inputs!$D$27)/(Inputs!$F$27-Inputs!$D$27),Inputs!$D$27+SQRT(P788*(Inputs!$F$27-Inputs!$D$27)*(Inputs!$E$27-Inputs!$D$27)),Inputs!$F$27-SQRT((1-P788)*(Inputs!$F$27-Inputs!$D$27)*(Inputs!$F$27-Inputs!$E$27)))</f>
        <v>59.4032949979904</v>
      </c>
      <c r="R788" s="81" t="n">
        <f aca="true">RAND()</f>
        <v>0.250490641864529</v>
      </c>
      <c r="S788" s="82" t="n">
        <f aca="false">IF(R788&lt;(Inputs!$E$29-Inputs!$D$29)/(Inputs!$F$29-Inputs!$D$29),Inputs!$D$29+SQRT(R788*(Inputs!$F$29-Inputs!$D$29)*(Inputs!$E$29-Inputs!$D$29)),Inputs!$F$29-SQRT((1-R788)*(Inputs!$F$29-Inputs!$D$29)*(Inputs!$F$29-Inputs!$E$29)))</f>
        <v>5.12902149948592</v>
      </c>
      <c r="T788" s="68" t="n">
        <f aca="false">Inputs!$E$9*(1+E788)+Inputs!$E$5*C788*(Inputs!$E$11*Inputs!$E$14*(G788*I788/Inputs!$E$16+(1-G788))*K788+Inputs!$E$23*M788)*(1+O788)+Inputs!$E$5*(Q788+S788)</f>
        <v>5798.47907822872</v>
      </c>
    </row>
    <row r="789" customFormat="false" ht="15" hidden="false" customHeight="false" outlineLevel="0" collapsed="false">
      <c r="A789" s="1" t="n">
        <v>785</v>
      </c>
      <c r="B789" s="81" t="n">
        <f aca="true">RAND()</f>
        <v>0.852840128999375</v>
      </c>
      <c r="C789" s="82" t="n">
        <f aca="false">ROUND(IF(B789&lt;(Inputs!$E$8-Inputs!$D$8)/(Inputs!$F$8-Inputs!$D$8),Inputs!$D$8+SQRT(B789*(Inputs!$F$8-Inputs!$D$8)*(Inputs!$E$8-Inputs!$D$8)),Inputs!$F$8-SQRT((1-B789)*(Inputs!$F$8-Inputs!$D$8)*(Inputs!$F$8-Inputs!$E$8))),0)</f>
        <v>27</v>
      </c>
      <c r="D789" s="81" t="n">
        <f aca="true">RAND()</f>
        <v>0.0599014610024263</v>
      </c>
      <c r="E789" s="83" t="n">
        <f aca="false">IF(D789&lt;(Inputs!$E$10-Inputs!$D$10)/(Inputs!$F$10-Inputs!$D$10),Inputs!$D$10+SQRT(D789*(Inputs!$F$10-Inputs!$D$10)*(Inputs!$E$10-Inputs!$D$10)),Inputs!$F$10-SQRT((1-D789)*(Inputs!$F$10-Inputs!$D$10)*(Inputs!$F$10-Inputs!$E$10)))</f>
        <v>0.0244747749739249</v>
      </c>
      <c r="F789" s="81" t="n">
        <f aca="true">RAND()</f>
        <v>0.722862290952301</v>
      </c>
      <c r="G789" s="83" t="n">
        <f aca="false">IF(F789&lt;(Inputs!$E$15-Inputs!$D$15)/(Inputs!$F$15-Inputs!$D$15),Inputs!$D$15+SQRT(F789*(Inputs!$F$15-Inputs!$D$15)*(Inputs!$E$15-Inputs!$D$15)),Inputs!$F$15-SQRT((1-F789)*(Inputs!$F$15-Inputs!$D$15)*(Inputs!$F$15-Inputs!$E$15)))</f>
        <v>0.725550324507396</v>
      </c>
      <c r="H789" s="81" t="n">
        <f aca="true">RAND()</f>
        <v>0.152946185060998</v>
      </c>
      <c r="I789" s="82" t="n">
        <f aca="false">ROUND(IF(H789&lt;(Inputs!$E$17-Inputs!$D$17)/(Inputs!$F$17-Inputs!$D$17),Inputs!$D$17+SQRT(H789*(Inputs!$F$17-Inputs!$D$17)*(Inputs!$E$17-Inputs!$D$17)),Inputs!$F$17-SQRT((1-H789)*(Inputs!$F$17-Inputs!$D$17)*(Inputs!$F$17-Inputs!$E$17))),0)</f>
        <v>103</v>
      </c>
      <c r="J789" s="81" t="n">
        <f aca="true">RAND()</f>
        <v>0.265936086624411</v>
      </c>
      <c r="K789" s="83" t="n">
        <f aca="false">IF(J789&lt;(Inputs!$E$18-Inputs!$D$18)/(Inputs!$F$18-Inputs!$D$18),Inputs!$D$18+SQRT(J789*(Inputs!$F$18-Inputs!$D$18)*(Inputs!$E$18-Inputs!$D$18)),Inputs!$F$18-SQRT((1-J789)*(Inputs!$F$18-Inputs!$D$18)*(Inputs!$F$18-Inputs!$E$18)))</f>
        <v>0.99647674865922</v>
      </c>
      <c r="L789" s="81" t="n">
        <f aca="true">RAND()</f>
        <v>0.566719648962567</v>
      </c>
      <c r="M789" s="83" t="n">
        <f aca="false">IF(L789&lt;(Inputs!$E$24-Inputs!$D$24)/(Inputs!$F$24-Inputs!$D$24),Inputs!$D$24+SQRT(L789*(Inputs!$F$24-Inputs!$D$24)*(Inputs!$E$24-Inputs!$D$24)),Inputs!$F$24-SQRT((1-L789)*(Inputs!$F$24-Inputs!$D$24)*(Inputs!$F$24-Inputs!$E$24)))</f>
        <v>0.877529405605745</v>
      </c>
      <c r="N789" s="81" t="n">
        <f aca="true">RAND()</f>
        <v>0.368750192800311</v>
      </c>
      <c r="O789" s="83" t="n">
        <f aca="false">IF(N789&lt;(Inputs!$E$26-Inputs!$D$26)/(Inputs!$F$26-Inputs!$D$26),Inputs!$D$26+SQRT(N789*(Inputs!$F$26-Inputs!$D$26)*(Inputs!$E$26-Inputs!$D$26)),Inputs!$F$26-SQRT((1-N789)*(Inputs!$F$26-Inputs!$D$26)*(Inputs!$F$26-Inputs!$E$26)))</f>
        <v>0.547709572043496</v>
      </c>
      <c r="P789" s="81" t="n">
        <f aca="true">RAND()</f>
        <v>0.46008138530133</v>
      </c>
      <c r="Q789" s="82" t="n">
        <f aca="false">IF(P789&lt;(Inputs!$E$27-Inputs!$D$27)/(Inputs!$F$27-Inputs!$D$27),Inputs!$D$27+SQRT(P789*(Inputs!$F$27-Inputs!$D$27)*(Inputs!$E$27-Inputs!$D$27)),Inputs!$F$27-SQRT((1-P789)*(Inputs!$F$27-Inputs!$D$27)*(Inputs!$F$27-Inputs!$E$27)))</f>
        <v>86.3651855487892</v>
      </c>
      <c r="R789" s="81" t="n">
        <f aca="true">RAND()</f>
        <v>0.00518439803862882</v>
      </c>
      <c r="S789" s="82" t="n">
        <f aca="false">IF(R789&lt;(Inputs!$E$29-Inputs!$D$29)/(Inputs!$F$29-Inputs!$D$29),Inputs!$D$29+SQRT(R789*(Inputs!$F$29-Inputs!$D$29)*(Inputs!$E$29-Inputs!$D$29)),Inputs!$F$29-SQRT((1-R789)*(Inputs!$F$29-Inputs!$D$29)*(Inputs!$F$29-Inputs!$E$29)))</f>
        <v>2.44965711770918</v>
      </c>
      <c r="T789" s="68" t="n">
        <f aca="false">Inputs!$E$9*(1+E789)+Inputs!$E$5*C789*(Inputs!$E$11*Inputs!$E$14*(G789*I789/Inputs!$E$16+(1-G789))*K789+Inputs!$E$23*M789)*(1+O789)+Inputs!$E$5*(Q789+S789)</f>
        <v>6180.82693127537</v>
      </c>
    </row>
    <row r="790" customFormat="false" ht="15" hidden="false" customHeight="false" outlineLevel="0" collapsed="false">
      <c r="A790" s="1" t="n">
        <v>786</v>
      </c>
      <c r="B790" s="81" t="n">
        <f aca="true">RAND()</f>
        <v>0.00291461813913867</v>
      </c>
      <c r="C790" s="82" t="n">
        <f aca="false">ROUND(IF(B790&lt;(Inputs!$E$8-Inputs!$D$8)/(Inputs!$F$8-Inputs!$D$8),Inputs!$D$8+SQRT(B790*(Inputs!$F$8-Inputs!$D$8)*(Inputs!$E$8-Inputs!$D$8)),Inputs!$F$8-SQRT((1-B790)*(Inputs!$F$8-Inputs!$D$8)*(Inputs!$F$8-Inputs!$E$8))),0)</f>
        <v>20</v>
      </c>
      <c r="D790" s="81" t="n">
        <f aca="true">RAND()</f>
        <v>0.882778233665566</v>
      </c>
      <c r="E790" s="83" t="n">
        <f aca="false">IF(D790&lt;(Inputs!$E$10-Inputs!$D$10)/(Inputs!$F$10-Inputs!$D$10),Inputs!$D$10+SQRT(D790*(Inputs!$F$10-Inputs!$D$10)*(Inputs!$E$10-Inputs!$D$10)),Inputs!$F$10-SQRT((1-D790)*(Inputs!$F$10-Inputs!$D$10)*(Inputs!$F$10-Inputs!$E$10)))</f>
        <v>0.140698625732341</v>
      </c>
      <c r="F790" s="81" t="n">
        <f aca="true">RAND()</f>
        <v>0.273004291453806</v>
      </c>
      <c r="G790" s="83" t="n">
        <f aca="false">IF(F790&lt;(Inputs!$E$15-Inputs!$D$15)/(Inputs!$F$15-Inputs!$D$15),Inputs!$D$15+SQRT(F790*(Inputs!$F$15-Inputs!$D$15)*(Inputs!$E$15-Inputs!$D$15)),Inputs!$F$15-SQRT((1-F790)*(Inputs!$F$15-Inputs!$D$15)*(Inputs!$F$15-Inputs!$E$15)))</f>
        <v>0.67389239358064</v>
      </c>
      <c r="H790" s="81" t="n">
        <f aca="true">RAND()</f>
        <v>0.97511149663079</v>
      </c>
      <c r="I790" s="82" t="n">
        <f aca="false">ROUND(IF(H790&lt;(Inputs!$E$17-Inputs!$D$17)/(Inputs!$F$17-Inputs!$D$17),Inputs!$D$17+SQRT(H790*(Inputs!$F$17-Inputs!$D$17)*(Inputs!$E$17-Inputs!$D$17)),Inputs!$F$17-SQRT((1-H790)*(Inputs!$F$17-Inputs!$D$17)*(Inputs!$F$17-Inputs!$E$17))),0)</f>
        <v>113</v>
      </c>
      <c r="J790" s="81" t="n">
        <f aca="true">RAND()</f>
        <v>0.0019179713648372</v>
      </c>
      <c r="K790" s="83" t="n">
        <f aca="false">IF(J790&lt;(Inputs!$E$18-Inputs!$D$18)/(Inputs!$F$18-Inputs!$D$18),Inputs!$D$18+SQRT(J790*(Inputs!$F$18-Inputs!$D$18)*(Inputs!$E$18-Inputs!$D$18)),Inputs!$F$18-SQRT((1-J790)*(Inputs!$F$18-Inputs!$D$18)*(Inputs!$F$18-Inputs!$E$18)))</f>
        <v>0.908193228775599</v>
      </c>
      <c r="L790" s="81" t="n">
        <f aca="true">RAND()</f>
        <v>0.77031018771039</v>
      </c>
      <c r="M790" s="83" t="n">
        <f aca="false">IF(L790&lt;(Inputs!$E$24-Inputs!$D$24)/(Inputs!$F$24-Inputs!$D$24),Inputs!$D$24+SQRT(L790*(Inputs!$F$24-Inputs!$D$24)*(Inputs!$E$24-Inputs!$D$24)),Inputs!$F$24-SQRT((1-L790)*(Inputs!$F$24-Inputs!$D$24)*(Inputs!$F$24-Inputs!$E$24)))</f>
        <v>0.965211680551382</v>
      </c>
      <c r="N790" s="81" t="n">
        <f aca="true">RAND()</f>
        <v>0.248906178935147</v>
      </c>
      <c r="O790" s="83" t="n">
        <f aca="false">IF(N790&lt;(Inputs!$E$26-Inputs!$D$26)/(Inputs!$F$26-Inputs!$D$26),Inputs!$D$26+SQRT(N790*(Inputs!$F$26-Inputs!$D$26)*(Inputs!$E$26-Inputs!$D$26)),Inputs!$F$26-SQRT((1-N790)*(Inputs!$F$26-Inputs!$D$26)*(Inputs!$F$26-Inputs!$E$26)))</f>
        <v>0.50351409822125</v>
      </c>
      <c r="P790" s="81" t="n">
        <f aca="true">RAND()</f>
        <v>0.687539844680431</v>
      </c>
      <c r="Q790" s="82" t="n">
        <f aca="false">IF(P790&lt;(Inputs!$E$27-Inputs!$D$27)/(Inputs!$F$27-Inputs!$D$27),Inputs!$D$27+SQRT(P790*(Inputs!$F$27-Inputs!$D$27)*(Inputs!$E$27-Inputs!$D$27)),Inputs!$F$27-SQRT((1-P790)*(Inputs!$F$27-Inputs!$D$27)*(Inputs!$F$27-Inputs!$E$27)))</f>
        <v>101.590794626468</v>
      </c>
      <c r="R790" s="81" t="n">
        <f aca="true">RAND()</f>
        <v>0.0778979551971171</v>
      </c>
      <c r="S790" s="82" t="n">
        <f aca="false">IF(R790&lt;(Inputs!$E$29-Inputs!$D$29)/(Inputs!$F$29-Inputs!$D$29),Inputs!$D$29+SQRT(R790*(Inputs!$F$29-Inputs!$D$29)*(Inputs!$E$29-Inputs!$D$29)),Inputs!$F$29-SQRT((1-R790)*(Inputs!$F$29-Inputs!$D$29)*(Inputs!$F$29-Inputs!$E$29)))</f>
        <v>3.74299175347664</v>
      </c>
      <c r="T790" s="68" t="n">
        <f aca="false">Inputs!$E$9*(1+E790)+Inputs!$E$5*C790*(Inputs!$E$11*Inputs!$E$14*(G790*I790/Inputs!$E$16+(1-G790))*K790+Inputs!$E$23*M790)*(1+O790)+Inputs!$E$5*(Q790+S790)</f>
        <v>5622.53821544944</v>
      </c>
    </row>
    <row r="791" customFormat="false" ht="15" hidden="false" customHeight="false" outlineLevel="0" collapsed="false">
      <c r="A791" s="1" t="n">
        <v>787</v>
      </c>
      <c r="B791" s="81" t="n">
        <f aca="true">RAND()</f>
        <v>0.211528853844704</v>
      </c>
      <c r="C791" s="82" t="n">
        <f aca="false">ROUND(IF(B791&lt;(Inputs!$E$8-Inputs!$D$8)/(Inputs!$F$8-Inputs!$D$8),Inputs!$D$8+SQRT(B791*(Inputs!$F$8-Inputs!$D$8)*(Inputs!$E$8-Inputs!$D$8)),Inputs!$F$8-SQRT((1-B791)*(Inputs!$F$8-Inputs!$D$8)*(Inputs!$F$8-Inputs!$E$8))),0)</f>
        <v>23</v>
      </c>
      <c r="D791" s="81" t="n">
        <f aca="true">RAND()</f>
        <v>0.24088997042546</v>
      </c>
      <c r="E791" s="83" t="n">
        <f aca="false">IF(D791&lt;(Inputs!$E$10-Inputs!$D$10)/(Inputs!$F$10-Inputs!$D$10),Inputs!$D$10+SQRT(D791*(Inputs!$F$10-Inputs!$D$10)*(Inputs!$E$10-Inputs!$D$10)),Inputs!$F$10-SQRT((1-D791)*(Inputs!$F$10-Inputs!$D$10)*(Inputs!$F$10-Inputs!$E$10)))</f>
        <v>0.0490805430313745</v>
      </c>
      <c r="F791" s="81" t="n">
        <f aca="true">RAND()</f>
        <v>0.446655625256581</v>
      </c>
      <c r="G791" s="83" t="n">
        <f aca="false">IF(F791&lt;(Inputs!$E$15-Inputs!$D$15)/(Inputs!$F$15-Inputs!$D$15),Inputs!$D$15+SQRT(F791*(Inputs!$F$15-Inputs!$D$15)*(Inputs!$E$15-Inputs!$D$15)),Inputs!$F$15-SQRT((1-F791)*(Inputs!$F$15-Inputs!$D$15)*(Inputs!$F$15-Inputs!$E$15)))</f>
        <v>0.694515144316303</v>
      </c>
      <c r="H791" s="81" t="n">
        <f aca="true">RAND()</f>
        <v>0.0767564353011194</v>
      </c>
      <c r="I791" s="82" t="n">
        <f aca="false">ROUND(IF(H791&lt;(Inputs!$E$17-Inputs!$D$17)/(Inputs!$F$17-Inputs!$D$17),Inputs!$D$17+SQRT(H791*(Inputs!$F$17-Inputs!$D$17)*(Inputs!$E$17-Inputs!$D$17)),Inputs!$F$17-SQRT((1-H791)*(Inputs!$F$17-Inputs!$D$17)*(Inputs!$F$17-Inputs!$E$17))),0)</f>
        <v>102</v>
      </c>
      <c r="J791" s="81" t="n">
        <f aca="true">RAND()</f>
        <v>0.591842529712596</v>
      </c>
      <c r="K791" s="83" t="n">
        <f aca="false">IF(J791&lt;(Inputs!$E$18-Inputs!$D$18)/(Inputs!$F$18-Inputs!$D$18),Inputs!$D$18+SQRT(J791*(Inputs!$F$18-Inputs!$D$18)*(Inputs!$E$18-Inputs!$D$18)),Inputs!$F$18-SQRT((1-J791)*(Inputs!$F$18-Inputs!$D$18)*(Inputs!$F$18-Inputs!$E$18)))</f>
        <v>1.06101910506576</v>
      </c>
      <c r="L791" s="81" t="n">
        <f aca="true">RAND()</f>
        <v>0.809162029884755</v>
      </c>
      <c r="M791" s="83" t="n">
        <f aca="false">IF(L791&lt;(Inputs!$E$24-Inputs!$D$24)/(Inputs!$F$24-Inputs!$D$24),Inputs!$D$24+SQRT(L791*(Inputs!$F$24-Inputs!$D$24)*(Inputs!$E$24-Inputs!$D$24)),Inputs!$F$24-SQRT((1-L791)*(Inputs!$F$24-Inputs!$D$24)*(Inputs!$F$24-Inputs!$E$24)))</f>
        <v>0.985988054474385</v>
      </c>
      <c r="N791" s="81" t="n">
        <f aca="true">RAND()</f>
        <v>0.0535425356790066</v>
      </c>
      <c r="O791" s="83" t="n">
        <f aca="false">IF(N791&lt;(Inputs!$E$26-Inputs!$D$26)/(Inputs!$F$26-Inputs!$D$26),Inputs!$D$26+SQRT(N791*(Inputs!$F$26-Inputs!$D$26)*(Inputs!$E$26-Inputs!$D$26)),Inputs!$F$26-SQRT((1-N791)*(Inputs!$F$26-Inputs!$D$26)*(Inputs!$F$26-Inputs!$E$26)))</f>
        <v>0.394390030919513</v>
      </c>
      <c r="P791" s="81" t="n">
        <f aca="true">RAND()</f>
        <v>0.541637749718157</v>
      </c>
      <c r="Q791" s="82" t="n">
        <f aca="false">IF(P791&lt;(Inputs!$E$27-Inputs!$D$27)/(Inputs!$F$27-Inputs!$D$27),Inputs!$D$27+SQRT(P791*(Inputs!$F$27-Inputs!$D$27)*(Inputs!$E$27-Inputs!$D$27)),Inputs!$F$27-SQRT((1-P791)*(Inputs!$F$27-Inputs!$D$27)*(Inputs!$F$27-Inputs!$E$27)))</f>
        <v>91.3679534971375</v>
      </c>
      <c r="R791" s="81" t="n">
        <f aca="true">RAND()</f>
        <v>0.632149145276123</v>
      </c>
      <c r="S791" s="82" t="n">
        <f aca="false">IF(R791&lt;(Inputs!$E$29-Inputs!$D$29)/(Inputs!$F$29-Inputs!$D$29),Inputs!$D$29+SQRT(R791*(Inputs!$F$29-Inputs!$D$29)*(Inputs!$E$29-Inputs!$D$29)),Inputs!$F$29-SQRT((1-R791)*(Inputs!$F$29-Inputs!$D$29)*(Inputs!$F$29-Inputs!$E$29)))</f>
        <v>8.08475516600432</v>
      </c>
      <c r="T791" s="68" t="n">
        <f aca="false">Inputs!$E$9*(1+E791)+Inputs!$E$5*C791*(Inputs!$E$11*Inputs!$E$14*(G791*I791/Inputs!$E$16+(1-G791))*K791+Inputs!$E$23*M791)*(1+O791)+Inputs!$E$5*(Q791+S791)</f>
        <v>5736.61800521485</v>
      </c>
    </row>
    <row r="792" customFormat="false" ht="15" hidden="false" customHeight="false" outlineLevel="0" collapsed="false">
      <c r="A792" s="1" t="n">
        <v>788</v>
      </c>
      <c r="B792" s="81" t="n">
        <f aca="true">RAND()</f>
        <v>0.729565907167859</v>
      </c>
      <c r="C792" s="82" t="n">
        <f aca="false">ROUND(IF(B792&lt;(Inputs!$E$8-Inputs!$D$8)/(Inputs!$F$8-Inputs!$D$8),Inputs!$D$8+SQRT(B792*(Inputs!$F$8-Inputs!$D$8)*(Inputs!$E$8-Inputs!$D$8)),Inputs!$F$8-SQRT((1-B792)*(Inputs!$F$8-Inputs!$D$8)*(Inputs!$F$8-Inputs!$E$8))),0)</f>
        <v>26</v>
      </c>
      <c r="D792" s="81" t="n">
        <f aca="true">RAND()</f>
        <v>0.592486183612367</v>
      </c>
      <c r="E792" s="83" t="n">
        <f aca="false">IF(D792&lt;(Inputs!$E$10-Inputs!$D$10)/(Inputs!$F$10-Inputs!$D$10),Inputs!$D$10+SQRT(D792*(Inputs!$F$10-Inputs!$D$10)*(Inputs!$E$10-Inputs!$D$10)),Inputs!$F$10-SQRT((1-D792)*(Inputs!$F$10-Inputs!$D$10)*(Inputs!$F$10-Inputs!$E$10)))</f>
        <v>0.0894314036824696</v>
      </c>
      <c r="F792" s="81" t="n">
        <f aca="true">RAND()</f>
        <v>0.0335194783218707</v>
      </c>
      <c r="G792" s="83" t="n">
        <f aca="false">IF(F792&lt;(Inputs!$E$15-Inputs!$D$15)/(Inputs!$F$15-Inputs!$D$15),Inputs!$D$15+SQRT(F792*(Inputs!$F$15-Inputs!$D$15)*(Inputs!$E$15-Inputs!$D$15)),Inputs!$F$15-SQRT((1-F792)*(Inputs!$F$15-Inputs!$D$15)*(Inputs!$F$15-Inputs!$E$15)))</f>
        <v>0.625891882249798</v>
      </c>
      <c r="H792" s="81" t="n">
        <f aca="true">RAND()</f>
        <v>0.849224170065722</v>
      </c>
      <c r="I792" s="82" t="n">
        <f aca="false">ROUND(IF(H792&lt;(Inputs!$E$17-Inputs!$D$17)/(Inputs!$F$17-Inputs!$D$17),Inputs!$D$17+SQRT(H792*(Inputs!$F$17-Inputs!$D$17)*(Inputs!$E$17-Inputs!$D$17)),Inputs!$F$17-SQRT((1-H792)*(Inputs!$F$17-Inputs!$D$17)*(Inputs!$F$17-Inputs!$E$17))),0)</f>
        <v>110</v>
      </c>
      <c r="J792" s="81" t="n">
        <f aca="true">RAND()</f>
        <v>0.813654513399723</v>
      </c>
      <c r="K792" s="83" t="n">
        <f aca="false">IF(J792&lt;(Inputs!$E$18-Inputs!$D$18)/(Inputs!$F$18-Inputs!$D$18),Inputs!$D$18+SQRT(J792*(Inputs!$F$18-Inputs!$D$18)*(Inputs!$E$18-Inputs!$D$18)),Inputs!$F$18-SQRT((1-J792)*(Inputs!$F$18-Inputs!$D$18)*(Inputs!$F$18-Inputs!$E$18)))</f>
        <v>1.12230806573035</v>
      </c>
      <c r="L792" s="81" t="n">
        <f aca="true">RAND()</f>
        <v>0.44266805216906</v>
      </c>
      <c r="M792" s="83" t="n">
        <f aca="false">IF(L792&lt;(Inputs!$E$24-Inputs!$D$24)/(Inputs!$F$24-Inputs!$D$24),Inputs!$D$24+SQRT(L792*(Inputs!$F$24-Inputs!$D$24)*(Inputs!$E$24-Inputs!$D$24)),Inputs!$F$24-SQRT((1-L792)*(Inputs!$F$24-Inputs!$D$24)*(Inputs!$F$24-Inputs!$E$24)))</f>
        <v>0.83426831217486</v>
      </c>
      <c r="N792" s="81" t="n">
        <f aca="true">RAND()</f>
        <v>0.272400533673275</v>
      </c>
      <c r="O792" s="83" t="n">
        <f aca="false">IF(N792&lt;(Inputs!$E$26-Inputs!$D$26)/(Inputs!$F$26-Inputs!$D$26),Inputs!$D$26+SQRT(N792*(Inputs!$F$26-Inputs!$D$26)*(Inputs!$E$26-Inputs!$D$26)),Inputs!$F$26-SQRT((1-N792)*(Inputs!$F$26-Inputs!$D$26)*(Inputs!$F$26-Inputs!$E$26)))</f>
        <v>0.51290243963664</v>
      </c>
      <c r="P792" s="81" t="n">
        <f aca="true">RAND()</f>
        <v>0.169311911940741</v>
      </c>
      <c r="Q792" s="82" t="n">
        <f aca="false">IF(P792&lt;(Inputs!$E$27-Inputs!$D$27)/(Inputs!$F$27-Inputs!$D$27),Inputs!$D$27+SQRT(P792*(Inputs!$F$27-Inputs!$D$27)*(Inputs!$E$27-Inputs!$D$27)),Inputs!$F$27-SQRT((1-P792)*(Inputs!$F$27-Inputs!$D$27)*(Inputs!$F$27-Inputs!$E$27)))</f>
        <v>70.5737643578382</v>
      </c>
      <c r="R792" s="81" t="n">
        <f aca="true">RAND()</f>
        <v>0.043137296287371</v>
      </c>
      <c r="S792" s="82" t="n">
        <f aca="false">IF(R792&lt;(Inputs!$E$29-Inputs!$D$29)/(Inputs!$F$29-Inputs!$D$29),Inputs!$D$29+SQRT(R792*(Inputs!$F$29-Inputs!$D$29)*(Inputs!$E$29-Inputs!$D$29)),Inputs!$F$29-SQRT((1-R792)*(Inputs!$F$29-Inputs!$D$29)*(Inputs!$F$29-Inputs!$E$29)))</f>
        <v>3.2970561110482</v>
      </c>
      <c r="T792" s="68" t="n">
        <f aca="false">Inputs!$E$9*(1+E792)+Inputs!$E$5*C792*(Inputs!$E$11*Inputs!$E$14*(G792*I792/Inputs!$E$16+(1-G792))*K792+Inputs!$E$23*M792)*(1+O792)+Inputs!$E$5*(Q792+S792)</f>
        <v>6473.21227281905</v>
      </c>
    </row>
    <row r="793" customFormat="false" ht="15" hidden="false" customHeight="false" outlineLevel="0" collapsed="false">
      <c r="A793" s="1" t="n">
        <v>789</v>
      </c>
      <c r="B793" s="81" t="n">
        <f aca="true">RAND()</f>
        <v>0.242013954867579</v>
      </c>
      <c r="C793" s="82" t="n">
        <f aca="false">ROUND(IF(B793&lt;(Inputs!$E$8-Inputs!$D$8)/(Inputs!$F$8-Inputs!$D$8),Inputs!$D$8+SQRT(B793*(Inputs!$F$8-Inputs!$D$8)*(Inputs!$E$8-Inputs!$D$8)),Inputs!$F$8-SQRT((1-B793)*(Inputs!$F$8-Inputs!$D$8)*(Inputs!$F$8-Inputs!$E$8))),0)</f>
        <v>23</v>
      </c>
      <c r="D793" s="81" t="n">
        <f aca="true">RAND()</f>
        <v>0.283104707258576</v>
      </c>
      <c r="E793" s="83" t="n">
        <f aca="false">IF(D793&lt;(Inputs!$E$10-Inputs!$D$10)/(Inputs!$F$10-Inputs!$D$10),Inputs!$D$10+SQRT(D793*(Inputs!$F$10-Inputs!$D$10)*(Inputs!$E$10-Inputs!$D$10)),Inputs!$F$10-SQRT((1-D793)*(Inputs!$F$10-Inputs!$D$10)*(Inputs!$F$10-Inputs!$E$10)))</f>
        <v>0.0533478306255148</v>
      </c>
      <c r="F793" s="81" t="n">
        <f aca="true">RAND()</f>
        <v>0.72620056417207</v>
      </c>
      <c r="G793" s="83" t="n">
        <f aca="false">IF(F793&lt;(Inputs!$E$15-Inputs!$D$15)/(Inputs!$F$15-Inputs!$D$15),Inputs!$D$15+SQRT(F793*(Inputs!$F$15-Inputs!$D$15)*(Inputs!$E$15-Inputs!$D$15)),Inputs!$F$15-SQRT((1-F793)*(Inputs!$F$15-Inputs!$D$15)*(Inputs!$F$15-Inputs!$E$15)))</f>
        <v>0.726000076239508</v>
      </c>
      <c r="H793" s="81" t="n">
        <f aca="true">RAND()</f>
        <v>0.0934950813248943</v>
      </c>
      <c r="I793" s="82" t="n">
        <f aca="false">ROUND(IF(H793&lt;(Inputs!$E$17-Inputs!$D$17)/(Inputs!$F$17-Inputs!$D$17),Inputs!$D$17+SQRT(H793*(Inputs!$F$17-Inputs!$D$17)*(Inputs!$E$17-Inputs!$D$17)),Inputs!$F$17-SQRT((1-H793)*(Inputs!$F$17-Inputs!$D$17)*(Inputs!$F$17-Inputs!$E$17))),0)</f>
        <v>103</v>
      </c>
      <c r="J793" s="81" t="n">
        <f aca="true">RAND()</f>
        <v>0.779448863346106</v>
      </c>
      <c r="K793" s="83" t="n">
        <f aca="false">IF(J793&lt;(Inputs!$E$18-Inputs!$D$18)/(Inputs!$F$18-Inputs!$D$18),Inputs!$D$18+SQRT(J793*(Inputs!$F$18-Inputs!$D$18)*(Inputs!$E$18-Inputs!$D$18)),Inputs!$F$18-SQRT((1-J793)*(Inputs!$F$18-Inputs!$D$18)*(Inputs!$F$18-Inputs!$E$18)))</f>
        <v>1.11108195057079</v>
      </c>
      <c r="L793" s="81" t="n">
        <f aca="true">RAND()</f>
        <v>0.704966058136994</v>
      </c>
      <c r="M793" s="83" t="n">
        <f aca="false">IF(L793&lt;(Inputs!$E$24-Inputs!$D$24)/(Inputs!$F$24-Inputs!$D$24),Inputs!$D$24+SQRT(L793*(Inputs!$F$24-Inputs!$D$24)*(Inputs!$E$24-Inputs!$D$24)),Inputs!$F$24-SQRT((1-L793)*(Inputs!$F$24-Inputs!$D$24)*(Inputs!$F$24-Inputs!$E$24)))</f>
        <v>0.933901999167372</v>
      </c>
      <c r="N793" s="81" t="n">
        <f aca="true">RAND()</f>
        <v>0.927730770311807</v>
      </c>
      <c r="O793" s="83" t="n">
        <f aca="false">IF(N793&lt;(Inputs!$E$26-Inputs!$D$26)/(Inputs!$F$26-Inputs!$D$26),Inputs!$D$26+SQRT(N793*(Inputs!$F$26-Inputs!$D$26)*(Inputs!$E$26-Inputs!$D$26)),Inputs!$F$26-SQRT((1-N793)*(Inputs!$F$26-Inputs!$D$26)*(Inputs!$F$26-Inputs!$E$26)))</f>
        <v>0.733305133441638</v>
      </c>
      <c r="P793" s="81" t="n">
        <f aca="true">RAND()</f>
        <v>0.255056537680959</v>
      </c>
      <c r="Q793" s="82" t="n">
        <f aca="false">IF(P793&lt;(Inputs!$E$27-Inputs!$D$27)/(Inputs!$F$27-Inputs!$D$27),Inputs!$D$27+SQRT(P793*(Inputs!$F$27-Inputs!$D$27)*(Inputs!$E$27-Inputs!$D$27)),Inputs!$F$27-SQRT((1-P793)*(Inputs!$F$27-Inputs!$D$27)*(Inputs!$F$27-Inputs!$E$27)))</f>
        <v>75.253254469557</v>
      </c>
      <c r="R793" s="81" t="n">
        <f aca="true">RAND()</f>
        <v>0.932175038012595</v>
      </c>
      <c r="S793" s="82" t="n">
        <f aca="false">IF(R793&lt;(Inputs!$E$29-Inputs!$D$29)/(Inputs!$F$29-Inputs!$D$29),Inputs!$D$29+SQRT(R793*(Inputs!$F$29-Inputs!$D$29)*(Inputs!$E$29-Inputs!$D$29)),Inputs!$F$29-SQRT((1-R793)*(Inputs!$F$29-Inputs!$D$29)*(Inputs!$F$29-Inputs!$E$29)))</f>
        <v>12.0306153737916</v>
      </c>
      <c r="T793" s="68" t="n">
        <f aca="false">Inputs!$E$9*(1+E793)+Inputs!$E$5*C793*(Inputs!$E$11*Inputs!$E$14*(G793*I793/Inputs!$E$16+(1-G793))*K793+Inputs!$E$23*M793)*(1+O793)+Inputs!$E$5*(Q793+S793)</f>
        <v>6394.63247674567</v>
      </c>
    </row>
    <row r="794" customFormat="false" ht="15" hidden="false" customHeight="false" outlineLevel="0" collapsed="false">
      <c r="A794" s="1" t="n">
        <v>790</v>
      </c>
      <c r="B794" s="81" t="n">
        <f aca="true">RAND()</f>
        <v>0.349619472642529</v>
      </c>
      <c r="C794" s="82" t="n">
        <f aca="false">ROUND(IF(B794&lt;(Inputs!$E$8-Inputs!$D$8)/(Inputs!$F$8-Inputs!$D$8),Inputs!$D$8+SQRT(B794*(Inputs!$F$8-Inputs!$D$8)*(Inputs!$E$8-Inputs!$D$8)),Inputs!$F$8-SQRT((1-B794)*(Inputs!$F$8-Inputs!$D$8)*(Inputs!$F$8-Inputs!$E$8))),0)</f>
        <v>24</v>
      </c>
      <c r="D794" s="81" t="n">
        <f aca="true">RAND()</f>
        <v>0.108092369340876</v>
      </c>
      <c r="E794" s="83" t="n">
        <f aca="false">IF(D794&lt;(Inputs!$E$10-Inputs!$D$10)/(Inputs!$F$10-Inputs!$D$10),Inputs!$D$10+SQRT(D794*(Inputs!$F$10-Inputs!$D$10)*(Inputs!$E$10-Inputs!$D$10)),Inputs!$F$10-SQRT((1-D794)*(Inputs!$F$10-Inputs!$D$10)*(Inputs!$F$10-Inputs!$E$10)))</f>
        <v>0.0328774039943661</v>
      </c>
      <c r="F794" s="81" t="n">
        <f aca="true">RAND()</f>
        <v>0.45995924802629</v>
      </c>
      <c r="G794" s="83" t="n">
        <f aca="false">IF(F794&lt;(Inputs!$E$15-Inputs!$D$15)/(Inputs!$F$15-Inputs!$D$15),Inputs!$D$15+SQRT(F794*(Inputs!$F$15-Inputs!$D$15)*(Inputs!$E$15-Inputs!$D$15)),Inputs!$F$15-SQRT((1-F794)*(Inputs!$F$15-Inputs!$D$15)*(Inputs!$F$15-Inputs!$E$15)))</f>
        <v>0.695912381685191</v>
      </c>
      <c r="H794" s="81" t="n">
        <f aca="true">RAND()</f>
        <v>0.24078985297702</v>
      </c>
      <c r="I794" s="82" t="n">
        <f aca="false">ROUND(IF(H794&lt;(Inputs!$E$17-Inputs!$D$17)/(Inputs!$F$17-Inputs!$D$17),Inputs!$D$17+SQRT(H794*(Inputs!$F$17-Inputs!$D$17)*(Inputs!$E$17-Inputs!$D$17)),Inputs!$F$17-SQRT((1-H794)*(Inputs!$F$17-Inputs!$D$17)*(Inputs!$F$17-Inputs!$E$17))),0)</f>
        <v>104</v>
      </c>
      <c r="J794" s="81" t="n">
        <f aca="true">RAND()</f>
        <v>0.260029712729768</v>
      </c>
      <c r="K794" s="83" t="n">
        <f aca="false">IF(J794&lt;(Inputs!$E$18-Inputs!$D$18)/(Inputs!$F$18-Inputs!$D$18),Inputs!$D$18+SQRT(J794*(Inputs!$F$18-Inputs!$D$18)*(Inputs!$E$18-Inputs!$D$18)),Inputs!$F$18-SQRT((1-J794)*(Inputs!$F$18-Inputs!$D$18)*(Inputs!$F$18-Inputs!$E$18)))</f>
        <v>0.995399370781687</v>
      </c>
      <c r="L794" s="81" t="n">
        <f aca="true">RAND()</f>
        <v>0.36541462467297</v>
      </c>
      <c r="M794" s="83" t="n">
        <f aca="false">IF(L794&lt;(Inputs!$E$24-Inputs!$D$24)/(Inputs!$F$24-Inputs!$D$24),Inputs!$D$24+SQRT(L794*(Inputs!$F$24-Inputs!$D$24)*(Inputs!$E$24-Inputs!$D$24)),Inputs!$F$24-SQRT((1-L794)*(Inputs!$F$24-Inputs!$D$24)*(Inputs!$F$24-Inputs!$E$24)))</f>
        <v>0.809743046085675</v>
      </c>
      <c r="N794" s="81" t="n">
        <f aca="true">RAND()</f>
        <v>0.111794786502313</v>
      </c>
      <c r="O794" s="83" t="n">
        <f aca="false">IF(N794&lt;(Inputs!$E$26-Inputs!$D$26)/(Inputs!$F$26-Inputs!$D$26),Inputs!$D$26+SQRT(N794*(Inputs!$F$26-Inputs!$D$26)*(Inputs!$E$26-Inputs!$D$26)),Inputs!$F$26-SQRT((1-N794)*(Inputs!$F$26-Inputs!$D$26)*(Inputs!$F$26-Inputs!$E$26)))</f>
        <v>0.436391541064631</v>
      </c>
      <c r="P794" s="81" t="n">
        <f aca="true">RAND()</f>
        <v>0.319762158547447</v>
      </c>
      <c r="Q794" s="82" t="n">
        <f aca="false">IF(P794&lt;(Inputs!$E$27-Inputs!$D$27)/(Inputs!$F$27-Inputs!$D$27),Inputs!$D$27+SQRT(P794*(Inputs!$F$27-Inputs!$D$27)*(Inputs!$E$27-Inputs!$D$27)),Inputs!$F$27-SQRT((1-P794)*(Inputs!$F$27-Inputs!$D$27)*(Inputs!$F$27-Inputs!$E$27)))</f>
        <v>78.5732276321116</v>
      </c>
      <c r="R794" s="81" t="n">
        <f aca="true">RAND()</f>
        <v>0.342569485381125</v>
      </c>
      <c r="S794" s="82" t="n">
        <f aca="false">IF(R794&lt;(Inputs!$E$29-Inputs!$D$29)/(Inputs!$F$29-Inputs!$D$29),Inputs!$D$29+SQRT(R794*(Inputs!$F$29-Inputs!$D$29)*(Inputs!$E$29-Inputs!$D$29)),Inputs!$F$29-SQRT((1-R794)*(Inputs!$F$29-Inputs!$D$29)*(Inputs!$F$29-Inputs!$E$29)))</f>
        <v>5.75521947797279</v>
      </c>
      <c r="T794" s="68" t="n">
        <f aca="false">Inputs!$E$9*(1+E794)+Inputs!$E$5*C794*(Inputs!$E$11*Inputs!$E$14*(G794*I794/Inputs!$E$16+(1-G794))*K794+Inputs!$E$23*M794)*(1+O794)+Inputs!$E$5*(Q794+S794)</f>
        <v>5526.62423424791</v>
      </c>
    </row>
    <row r="795" customFormat="false" ht="15" hidden="false" customHeight="false" outlineLevel="0" collapsed="false">
      <c r="A795" s="1" t="n">
        <v>791</v>
      </c>
      <c r="B795" s="81" t="n">
        <f aca="true">RAND()</f>
        <v>0.816033103791249</v>
      </c>
      <c r="C795" s="82" t="n">
        <f aca="false">ROUND(IF(B795&lt;(Inputs!$E$8-Inputs!$D$8)/(Inputs!$F$8-Inputs!$D$8),Inputs!$D$8+SQRT(B795*(Inputs!$F$8-Inputs!$D$8)*(Inputs!$E$8-Inputs!$D$8)),Inputs!$F$8-SQRT((1-B795)*(Inputs!$F$8-Inputs!$D$8)*(Inputs!$F$8-Inputs!$E$8))),0)</f>
        <v>27</v>
      </c>
      <c r="D795" s="81" t="n">
        <f aca="true">RAND()</f>
        <v>0.328833169892889</v>
      </c>
      <c r="E795" s="83" t="n">
        <f aca="false">IF(D795&lt;(Inputs!$E$10-Inputs!$D$10)/(Inputs!$F$10-Inputs!$D$10),Inputs!$D$10+SQRT(D795*(Inputs!$F$10-Inputs!$D$10)*(Inputs!$E$10-Inputs!$D$10)),Inputs!$F$10-SQRT((1-D795)*(Inputs!$F$10-Inputs!$D$10)*(Inputs!$F$10-Inputs!$E$10)))</f>
        <v>0.0581021321400024</v>
      </c>
      <c r="F795" s="81" t="n">
        <f aca="true">RAND()</f>
        <v>0.312354862828777</v>
      </c>
      <c r="G795" s="83" t="n">
        <f aca="false">IF(F795&lt;(Inputs!$E$15-Inputs!$D$15)/(Inputs!$F$15-Inputs!$D$15),Inputs!$D$15+SQRT(F795*(Inputs!$F$15-Inputs!$D$15)*(Inputs!$E$15-Inputs!$D$15)),Inputs!$F$15-SQRT((1-F795)*(Inputs!$F$15-Inputs!$D$15)*(Inputs!$F$15-Inputs!$E$15)))</f>
        <v>0.679038580810738</v>
      </c>
      <c r="H795" s="81" t="n">
        <f aca="true">RAND()</f>
        <v>0.996826733139689</v>
      </c>
      <c r="I795" s="82" t="n">
        <f aca="false">ROUND(IF(H795&lt;(Inputs!$E$17-Inputs!$D$17)/(Inputs!$F$17-Inputs!$D$17),Inputs!$D$17+SQRT(H795*(Inputs!$F$17-Inputs!$D$17)*(Inputs!$E$17-Inputs!$D$17)),Inputs!$F$17-SQRT((1-H795)*(Inputs!$F$17-Inputs!$D$17)*(Inputs!$F$17-Inputs!$E$17))),0)</f>
        <v>114</v>
      </c>
      <c r="J795" s="81" t="n">
        <f aca="true">RAND()</f>
        <v>0.409925238255302</v>
      </c>
      <c r="K795" s="83" t="n">
        <f aca="false">IF(J795&lt;(Inputs!$E$18-Inputs!$D$18)/(Inputs!$F$18-Inputs!$D$18),Inputs!$D$18+SQRT(J795*(Inputs!$F$18-Inputs!$D$18)*(Inputs!$E$18-Inputs!$D$18)),Inputs!$F$18-SQRT((1-J795)*(Inputs!$F$18-Inputs!$D$18)*(Inputs!$F$18-Inputs!$E$18)))</f>
        <v>1.0227742495828</v>
      </c>
      <c r="L795" s="81" t="n">
        <f aca="true">RAND()</f>
        <v>0.190432102909174</v>
      </c>
      <c r="M795" s="83" t="n">
        <f aca="false">IF(L795&lt;(Inputs!$E$24-Inputs!$D$24)/(Inputs!$F$24-Inputs!$D$24),Inputs!$D$24+SQRT(L795*(Inputs!$F$24-Inputs!$D$24)*(Inputs!$E$24-Inputs!$D$24)),Inputs!$F$24-SQRT((1-L795)*(Inputs!$F$24-Inputs!$D$24)*(Inputs!$F$24-Inputs!$E$24)))</f>
        <v>0.751168291480392</v>
      </c>
      <c r="N795" s="81" t="n">
        <f aca="true">RAND()</f>
        <v>0.603153854777529</v>
      </c>
      <c r="O795" s="83" t="n">
        <f aca="false">IF(N795&lt;(Inputs!$E$26-Inputs!$D$26)/(Inputs!$F$26-Inputs!$D$26),Inputs!$D$26+SQRT(N795*(Inputs!$F$26-Inputs!$D$26)*(Inputs!$E$26-Inputs!$D$26)),Inputs!$F$26-SQRT((1-N795)*(Inputs!$F$26-Inputs!$D$26)*(Inputs!$F$26-Inputs!$E$26)))</f>
        <v>0.616804042643052</v>
      </c>
      <c r="P795" s="81" t="n">
        <f aca="true">RAND()</f>
        <v>0.541191022423777</v>
      </c>
      <c r="Q795" s="82" t="n">
        <f aca="false">IF(P795&lt;(Inputs!$E$27-Inputs!$D$27)/(Inputs!$F$27-Inputs!$D$27),Inputs!$D$27+SQRT(P795*(Inputs!$F$27-Inputs!$D$27)*(Inputs!$E$27-Inputs!$D$27)),Inputs!$F$27-SQRT((1-P795)*(Inputs!$F$27-Inputs!$D$27)*(Inputs!$F$27-Inputs!$E$27)))</f>
        <v>91.339388582954</v>
      </c>
      <c r="R795" s="81" t="n">
        <f aca="true">RAND()</f>
        <v>0.755783583337103</v>
      </c>
      <c r="S795" s="82" t="n">
        <f aca="false">IF(R795&lt;(Inputs!$E$29-Inputs!$D$29)/(Inputs!$F$29-Inputs!$D$29),Inputs!$D$29+SQRT(R795*(Inputs!$F$29-Inputs!$D$29)*(Inputs!$E$29-Inputs!$D$29)),Inputs!$F$29-SQRT((1-R795)*(Inputs!$F$29-Inputs!$D$29)*(Inputs!$F$29-Inputs!$E$29)))</f>
        <v>9.36545173361904</v>
      </c>
      <c r="T795" s="68" t="n">
        <f aca="false">Inputs!$E$9*(1+E795)+Inputs!$E$5*C795*(Inputs!$E$11*Inputs!$E$14*(G795*I795/Inputs!$E$16+(1-G795))*K795+Inputs!$E$23*M795)*(1+O795)+Inputs!$E$5*(Q795+S795)</f>
        <v>6542.77839656096</v>
      </c>
    </row>
    <row r="796" customFormat="false" ht="15" hidden="false" customHeight="false" outlineLevel="0" collapsed="false">
      <c r="A796" s="1" t="n">
        <v>792</v>
      </c>
      <c r="B796" s="81" t="n">
        <f aca="true">RAND()</f>
        <v>0.518018860546285</v>
      </c>
      <c r="C796" s="82" t="n">
        <f aca="false">ROUND(IF(B796&lt;(Inputs!$E$8-Inputs!$D$8)/(Inputs!$F$8-Inputs!$D$8),Inputs!$D$8+SQRT(B796*(Inputs!$F$8-Inputs!$D$8)*(Inputs!$E$8-Inputs!$D$8)),Inputs!$F$8-SQRT((1-B796)*(Inputs!$F$8-Inputs!$D$8)*(Inputs!$F$8-Inputs!$E$8))),0)</f>
        <v>25</v>
      </c>
      <c r="D796" s="81" t="n">
        <f aca="true">RAND()</f>
        <v>0.526847817158127</v>
      </c>
      <c r="E796" s="83" t="n">
        <f aca="false">IF(D796&lt;(Inputs!$E$10-Inputs!$D$10)/(Inputs!$F$10-Inputs!$D$10),Inputs!$D$10+SQRT(D796*(Inputs!$F$10-Inputs!$D$10)*(Inputs!$E$10-Inputs!$D$10)),Inputs!$F$10-SQRT((1-D796)*(Inputs!$F$10-Inputs!$D$10)*(Inputs!$F$10-Inputs!$E$10)))</f>
        <v>0.0808590520213298</v>
      </c>
      <c r="F796" s="81" t="n">
        <f aca="true">RAND()</f>
        <v>0.538327311194904</v>
      </c>
      <c r="G796" s="83" t="n">
        <f aca="false">IF(F796&lt;(Inputs!$E$15-Inputs!$D$15)/(Inputs!$F$15-Inputs!$D$15),Inputs!$D$15+SQRT(F796*(Inputs!$F$15-Inputs!$D$15)*(Inputs!$E$15-Inputs!$D$15)),Inputs!$F$15-SQRT((1-F796)*(Inputs!$F$15-Inputs!$D$15)*(Inputs!$F$15-Inputs!$E$15)))</f>
        <v>0.703909137915711</v>
      </c>
      <c r="H796" s="81" t="n">
        <f aca="true">RAND()</f>
        <v>0.316041491766433</v>
      </c>
      <c r="I796" s="82" t="n">
        <f aca="false">ROUND(IF(H796&lt;(Inputs!$E$17-Inputs!$D$17)/(Inputs!$F$17-Inputs!$D$17),Inputs!$D$17+SQRT(H796*(Inputs!$F$17-Inputs!$D$17)*(Inputs!$E$17-Inputs!$D$17)),Inputs!$F$17-SQRT((1-H796)*(Inputs!$F$17-Inputs!$D$17)*(Inputs!$F$17-Inputs!$E$17))),0)</f>
        <v>105</v>
      </c>
      <c r="J796" s="81" t="n">
        <f aca="true">RAND()</f>
        <v>0.549272282834507</v>
      </c>
      <c r="K796" s="83" t="n">
        <f aca="false">IF(J796&lt;(Inputs!$E$18-Inputs!$D$18)/(Inputs!$F$18-Inputs!$D$18),Inputs!$D$18+SQRT(J796*(Inputs!$F$18-Inputs!$D$18)*(Inputs!$E$18-Inputs!$D$18)),Inputs!$F$18-SQRT((1-J796)*(Inputs!$F$18-Inputs!$D$18)*(Inputs!$F$18-Inputs!$E$18)))</f>
        <v>1.05140826993054</v>
      </c>
      <c r="L796" s="81" t="n">
        <f aca="true">RAND()</f>
        <v>0.969138436713139</v>
      </c>
      <c r="M796" s="83" t="n">
        <f aca="false">IF(L796&lt;(Inputs!$E$24-Inputs!$D$24)/(Inputs!$F$24-Inputs!$D$24),Inputs!$D$24+SQRT(L796*(Inputs!$F$24-Inputs!$D$24)*(Inputs!$E$24-Inputs!$D$24)),Inputs!$F$24-SQRT((1-L796)*(Inputs!$F$24-Inputs!$D$24)*(Inputs!$F$24-Inputs!$E$24)))</f>
        <v>1.11393737635392</v>
      </c>
      <c r="N796" s="81" t="n">
        <f aca="true">RAND()</f>
        <v>0.883598027418021</v>
      </c>
      <c r="O796" s="83" t="n">
        <f aca="false">IF(N796&lt;(Inputs!$E$26-Inputs!$D$26)/(Inputs!$F$26-Inputs!$D$26),Inputs!$D$26+SQRT(N796*(Inputs!$F$26-Inputs!$D$26)*(Inputs!$E$26-Inputs!$D$26)),Inputs!$F$26-SQRT((1-N796)*(Inputs!$F$26-Inputs!$D$26)*(Inputs!$F$26-Inputs!$E$26)))</f>
        <v>0.709973616125378</v>
      </c>
      <c r="P796" s="81" t="n">
        <f aca="true">RAND()</f>
        <v>0.532302125091796</v>
      </c>
      <c r="Q796" s="82" t="n">
        <f aca="false">IF(P796&lt;(Inputs!$E$27-Inputs!$D$27)/(Inputs!$F$27-Inputs!$D$27),Inputs!$D$27+SQRT(P796*(Inputs!$F$27-Inputs!$D$27)*(Inputs!$E$27-Inputs!$D$27)),Inputs!$F$27-SQRT((1-P796)*(Inputs!$F$27-Inputs!$D$27)*(Inputs!$F$27-Inputs!$E$27)))</f>
        <v>90.7738734863445</v>
      </c>
      <c r="R796" s="81" t="n">
        <f aca="true">RAND()</f>
        <v>0.194913340396637</v>
      </c>
      <c r="S796" s="82" t="n">
        <f aca="false">IF(R796&lt;(Inputs!$E$29-Inputs!$D$29)/(Inputs!$F$29-Inputs!$D$29),Inputs!$D$29+SQRT(R796*(Inputs!$F$29-Inputs!$D$29)*(Inputs!$E$29-Inputs!$D$29)),Inputs!$F$29-SQRT((1-R796)*(Inputs!$F$29-Inputs!$D$29)*(Inputs!$F$29-Inputs!$E$29)))</f>
        <v>4.75710360259981</v>
      </c>
      <c r="T796" s="68" t="n">
        <f aca="false">Inputs!$E$9*(1+E796)+Inputs!$E$5*C796*(Inputs!$E$11*Inputs!$E$14*(G796*I796/Inputs!$E$16+(1-G796))*K796+Inputs!$E$23*M796)*(1+O796)+Inputs!$E$5*(Q796+S796)</f>
        <v>6961.10124269128</v>
      </c>
    </row>
    <row r="797" customFormat="false" ht="15" hidden="false" customHeight="false" outlineLevel="0" collapsed="false">
      <c r="A797" s="1" t="n">
        <v>793</v>
      </c>
      <c r="B797" s="81" t="n">
        <f aca="true">RAND()</f>
        <v>0.74382388506401</v>
      </c>
      <c r="C797" s="82" t="n">
        <f aca="false">ROUND(IF(B797&lt;(Inputs!$E$8-Inputs!$D$8)/(Inputs!$F$8-Inputs!$D$8),Inputs!$D$8+SQRT(B797*(Inputs!$F$8-Inputs!$D$8)*(Inputs!$E$8-Inputs!$D$8)),Inputs!$F$8-SQRT((1-B797)*(Inputs!$F$8-Inputs!$D$8)*(Inputs!$F$8-Inputs!$E$8))),0)</f>
        <v>26</v>
      </c>
      <c r="D797" s="81" t="n">
        <f aca="true">RAND()</f>
        <v>0.503867308528511</v>
      </c>
      <c r="E797" s="83" t="n">
        <f aca="false">IF(D797&lt;(Inputs!$E$10-Inputs!$D$10)/(Inputs!$F$10-Inputs!$D$10),Inputs!$D$10+SQRT(D797*(Inputs!$F$10-Inputs!$D$10)*(Inputs!$E$10-Inputs!$D$10)),Inputs!$F$10-SQRT((1-D797)*(Inputs!$F$10-Inputs!$D$10)*(Inputs!$F$10-Inputs!$E$10)))</f>
        <v>0.0780000789174653</v>
      </c>
      <c r="F797" s="81" t="n">
        <f aca="true">RAND()</f>
        <v>0.506588923114882</v>
      </c>
      <c r="G797" s="83" t="n">
        <f aca="false">IF(F797&lt;(Inputs!$E$15-Inputs!$D$15)/(Inputs!$F$15-Inputs!$D$15),Inputs!$D$15+SQRT(F797*(Inputs!$F$15-Inputs!$D$15)*(Inputs!$E$15-Inputs!$D$15)),Inputs!$F$15-SQRT((1-F797)*(Inputs!$F$15-Inputs!$D$15)*(Inputs!$F$15-Inputs!$E$15)))</f>
        <v>0.700661077428319</v>
      </c>
      <c r="H797" s="81" t="n">
        <f aca="true">RAND()</f>
        <v>0.548689418220591</v>
      </c>
      <c r="I797" s="82" t="n">
        <f aca="false">ROUND(IF(H797&lt;(Inputs!$E$17-Inputs!$D$17)/(Inputs!$F$17-Inputs!$D$17),Inputs!$D$17+SQRT(H797*(Inputs!$F$17-Inputs!$D$17)*(Inputs!$E$17-Inputs!$D$17)),Inputs!$F$17-SQRT((1-H797)*(Inputs!$F$17-Inputs!$D$17)*(Inputs!$F$17-Inputs!$E$17))),0)</f>
        <v>107</v>
      </c>
      <c r="J797" s="81" t="n">
        <f aca="true">RAND()</f>
        <v>0.551599040048191</v>
      </c>
      <c r="K797" s="83" t="n">
        <f aca="false">IF(J797&lt;(Inputs!$E$18-Inputs!$D$18)/(Inputs!$F$18-Inputs!$D$18),Inputs!$D$18+SQRT(J797*(Inputs!$F$18-Inputs!$D$18)*(Inputs!$E$18-Inputs!$D$18)),Inputs!$F$18-SQRT((1-J797)*(Inputs!$F$18-Inputs!$D$18)*(Inputs!$F$18-Inputs!$E$18)))</f>
        <v>1.05192152061422</v>
      </c>
      <c r="L797" s="81" t="n">
        <f aca="true">RAND()</f>
        <v>0.669221399152316</v>
      </c>
      <c r="M797" s="83" t="n">
        <f aca="false">IF(L797&lt;(Inputs!$E$24-Inputs!$D$24)/(Inputs!$F$24-Inputs!$D$24),Inputs!$D$24+SQRT(L797*(Inputs!$F$24-Inputs!$D$24)*(Inputs!$E$24-Inputs!$D$24)),Inputs!$F$24-SQRT((1-L797)*(Inputs!$F$24-Inputs!$D$24)*(Inputs!$F$24-Inputs!$E$24)))</f>
        <v>0.918243253490809</v>
      </c>
      <c r="N797" s="81" t="n">
        <f aca="true">RAND()</f>
        <v>0.712544506547572</v>
      </c>
      <c r="O797" s="83" t="n">
        <f aca="false">IF(N797&lt;(Inputs!$E$26-Inputs!$D$26)/(Inputs!$F$26-Inputs!$D$26),Inputs!$D$26+SQRT(N797*(Inputs!$F$26-Inputs!$D$26)*(Inputs!$E$26-Inputs!$D$26)),Inputs!$F$26-SQRT((1-N797)*(Inputs!$F$26-Inputs!$D$26)*(Inputs!$F$26-Inputs!$E$26)))</f>
        <v>0.647097220036656</v>
      </c>
      <c r="P797" s="81" t="n">
        <f aca="true">RAND()</f>
        <v>0.348650372581012</v>
      </c>
      <c r="Q797" s="82" t="n">
        <f aca="false">IF(P797&lt;(Inputs!$E$27-Inputs!$D$27)/(Inputs!$F$27-Inputs!$D$27),Inputs!$D$27+SQRT(P797*(Inputs!$F$27-Inputs!$D$27)*(Inputs!$E$27-Inputs!$D$27)),Inputs!$F$27-SQRT((1-P797)*(Inputs!$F$27-Inputs!$D$27)*(Inputs!$F$27-Inputs!$E$27)))</f>
        <v>80.1063507488526</v>
      </c>
      <c r="R797" s="81" t="n">
        <f aca="true">RAND()</f>
        <v>0.000864379695016019</v>
      </c>
      <c r="S797" s="82" t="n">
        <f aca="false">IF(R797&lt;(Inputs!$E$29-Inputs!$D$29)/(Inputs!$F$29-Inputs!$D$29),Inputs!$D$29+SQRT(R797*(Inputs!$F$29-Inputs!$D$29)*(Inputs!$E$29-Inputs!$D$29)),Inputs!$F$29-SQRT((1-R797)*(Inputs!$F$29-Inputs!$D$29)*(Inputs!$F$29-Inputs!$E$29)))</f>
        <v>2.18360503289841</v>
      </c>
      <c r="T797" s="68" t="n">
        <f aca="false">Inputs!$E$9*(1+E797)+Inputs!$E$5*C797*(Inputs!$E$11*Inputs!$E$14*(G797*I797/Inputs!$E$16+(1-G797))*K797+Inputs!$E$23*M797)*(1+O797)+Inputs!$E$5*(Q797+S797)</f>
        <v>6629.37831985698</v>
      </c>
    </row>
    <row r="798" customFormat="false" ht="15" hidden="false" customHeight="false" outlineLevel="0" collapsed="false">
      <c r="A798" s="1" t="n">
        <v>794</v>
      </c>
      <c r="B798" s="81" t="n">
        <f aca="true">RAND()</f>
        <v>0.939705894982708</v>
      </c>
      <c r="C798" s="82" t="n">
        <f aca="false">ROUND(IF(B798&lt;(Inputs!$E$8-Inputs!$D$8)/(Inputs!$F$8-Inputs!$D$8),Inputs!$D$8+SQRT(B798*(Inputs!$F$8-Inputs!$D$8)*(Inputs!$E$8-Inputs!$D$8)),Inputs!$F$8-SQRT((1-B798)*(Inputs!$F$8-Inputs!$D$8)*(Inputs!$F$8-Inputs!$E$8))),0)</f>
        <v>28</v>
      </c>
      <c r="D798" s="81" t="n">
        <f aca="true">RAND()</f>
        <v>0.885793118105824</v>
      </c>
      <c r="E798" s="83" t="n">
        <f aca="false">IF(D798&lt;(Inputs!$E$10-Inputs!$D$10)/(Inputs!$F$10-Inputs!$D$10),Inputs!$D$10+SQRT(D798*(Inputs!$F$10-Inputs!$D$10)*(Inputs!$E$10-Inputs!$D$10)),Inputs!$F$10-SQRT((1-D798)*(Inputs!$F$10-Inputs!$D$10)*(Inputs!$F$10-Inputs!$E$10)))</f>
        <v>0.141466193897669</v>
      </c>
      <c r="F798" s="81" t="n">
        <f aca="true">RAND()</f>
        <v>0.66552560650379</v>
      </c>
      <c r="G798" s="83" t="n">
        <f aca="false">IF(F798&lt;(Inputs!$E$15-Inputs!$D$15)/(Inputs!$F$15-Inputs!$D$15),Inputs!$D$15+SQRT(F798*(Inputs!$F$15-Inputs!$D$15)*(Inputs!$E$15-Inputs!$D$15)),Inputs!$F$15-SQRT((1-F798)*(Inputs!$F$15-Inputs!$D$15)*(Inputs!$F$15-Inputs!$E$15)))</f>
        <v>0.718210710542735</v>
      </c>
      <c r="H798" s="81" t="n">
        <f aca="true">RAND()</f>
        <v>0.451373597518426</v>
      </c>
      <c r="I798" s="82" t="n">
        <f aca="false">ROUND(IF(H798&lt;(Inputs!$E$17-Inputs!$D$17)/(Inputs!$F$17-Inputs!$D$17),Inputs!$D$17+SQRT(H798*(Inputs!$F$17-Inputs!$D$17)*(Inputs!$E$17-Inputs!$D$17)),Inputs!$F$17-SQRT((1-H798)*(Inputs!$F$17-Inputs!$D$17)*(Inputs!$F$17-Inputs!$E$17))),0)</f>
        <v>106</v>
      </c>
      <c r="J798" s="81" t="n">
        <f aca="true">RAND()</f>
        <v>0.345156343375431</v>
      </c>
      <c r="K798" s="83" t="n">
        <f aca="false">IF(J798&lt;(Inputs!$E$18-Inputs!$D$18)/(Inputs!$F$18-Inputs!$D$18),Inputs!$D$18+SQRT(J798*(Inputs!$F$18-Inputs!$D$18)*(Inputs!$E$18-Inputs!$D$18)),Inputs!$F$18-SQRT((1-J798)*(Inputs!$F$18-Inputs!$D$18)*(Inputs!$F$18-Inputs!$E$18)))</f>
        <v>1.01062828079606</v>
      </c>
      <c r="L798" s="81" t="n">
        <f aca="true">RAND()</f>
        <v>0.981644726190497</v>
      </c>
      <c r="M798" s="83" t="n">
        <f aca="false">IF(L798&lt;(Inputs!$E$24-Inputs!$D$24)/(Inputs!$F$24-Inputs!$D$24),Inputs!$D$24+SQRT(L798*(Inputs!$F$24-Inputs!$D$24)*(Inputs!$E$24-Inputs!$D$24)),Inputs!$F$24-SQRT((1-L798)*(Inputs!$F$24-Inputs!$D$24)*(Inputs!$F$24-Inputs!$E$24)))</f>
        <v>1.1336278242463</v>
      </c>
      <c r="N798" s="81" t="n">
        <f aca="true">RAND()</f>
        <v>0.311856381440252</v>
      </c>
      <c r="O798" s="83" t="n">
        <f aca="false">IF(N798&lt;(Inputs!$E$26-Inputs!$D$26)/(Inputs!$F$26-Inputs!$D$26),Inputs!$D$26+SQRT(N798*(Inputs!$F$26-Inputs!$D$26)*(Inputs!$E$26-Inputs!$D$26)),Inputs!$F$26-SQRT((1-N798)*(Inputs!$F$26-Inputs!$D$26)*(Inputs!$F$26-Inputs!$E$26)))</f>
        <v>0.527800135802545</v>
      </c>
      <c r="P798" s="81" t="n">
        <f aca="true">RAND()</f>
        <v>0.0792973809131262</v>
      </c>
      <c r="Q798" s="82" t="n">
        <f aca="false">IF(P798&lt;(Inputs!$E$27-Inputs!$D$27)/(Inputs!$F$27-Inputs!$D$27),Inputs!$D$27+SQRT(P798*(Inputs!$F$27-Inputs!$D$27)*(Inputs!$E$27-Inputs!$D$27)),Inputs!$F$27-SQRT((1-P798)*(Inputs!$F$27-Inputs!$D$27)*(Inputs!$F$27-Inputs!$E$27)))</f>
        <v>64.079895322154</v>
      </c>
      <c r="R798" s="81" t="n">
        <f aca="true">RAND()</f>
        <v>0.782254413173138</v>
      </c>
      <c r="S798" s="82" t="n">
        <f aca="false">IF(R798&lt;(Inputs!$E$29-Inputs!$D$29)/(Inputs!$F$29-Inputs!$D$29),Inputs!$D$29+SQRT(R798*(Inputs!$F$29-Inputs!$D$29)*(Inputs!$E$29-Inputs!$D$29)),Inputs!$F$29-SQRT((1-R798)*(Inputs!$F$29-Inputs!$D$29)*(Inputs!$F$29-Inputs!$E$29)))</f>
        <v>9.67957461404711</v>
      </c>
      <c r="T798" s="68" t="n">
        <f aca="false">Inputs!$E$9*(1+E798)+Inputs!$E$5*C798*(Inputs!$E$11*Inputs!$E$14*(G798*I798/Inputs!$E$16+(1-G798))*K798+Inputs!$E$23*M798)*(1+O798)+Inputs!$E$5*(Q798+S798)</f>
        <v>6917.28184973663</v>
      </c>
    </row>
    <row r="799" customFormat="false" ht="15" hidden="false" customHeight="false" outlineLevel="0" collapsed="false">
      <c r="A799" s="1" t="n">
        <v>795</v>
      </c>
      <c r="B799" s="81" t="n">
        <f aca="true">RAND()</f>
        <v>0.931851309184172</v>
      </c>
      <c r="C799" s="82" t="n">
        <f aca="false">ROUND(IF(B799&lt;(Inputs!$E$8-Inputs!$D$8)/(Inputs!$F$8-Inputs!$D$8),Inputs!$D$8+SQRT(B799*(Inputs!$F$8-Inputs!$D$8)*(Inputs!$E$8-Inputs!$D$8)),Inputs!$F$8-SQRT((1-B799)*(Inputs!$F$8-Inputs!$D$8)*(Inputs!$F$8-Inputs!$E$8))),0)</f>
        <v>28</v>
      </c>
      <c r="D799" s="81" t="n">
        <f aca="true">RAND()</f>
        <v>0.0721022959676862</v>
      </c>
      <c r="E799" s="83" t="n">
        <f aca="false">IF(D799&lt;(Inputs!$E$10-Inputs!$D$10)/(Inputs!$F$10-Inputs!$D$10),Inputs!$D$10+SQRT(D799*(Inputs!$F$10-Inputs!$D$10)*(Inputs!$E$10-Inputs!$D$10)),Inputs!$F$10-SQRT((1-D799)*(Inputs!$F$10-Inputs!$D$10)*(Inputs!$F$10-Inputs!$E$10)))</f>
        <v>0.026851870692316</v>
      </c>
      <c r="F799" s="81" t="n">
        <f aca="true">RAND()</f>
        <v>0.196005870860214</v>
      </c>
      <c r="G799" s="83" t="n">
        <f aca="false">IF(F799&lt;(Inputs!$E$15-Inputs!$D$15)/(Inputs!$F$15-Inputs!$D$15),Inputs!$D$15+SQRT(F799*(Inputs!$F$15-Inputs!$D$15)*(Inputs!$E$15-Inputs!$D$15)),Inputs!$F$15-SQRT((1-F799)*(Inputs!$F$15-Inputs!$D$15)*(Inputs!$F$15-Inputs!$E$15)))</f>
        <v>0.662610841051724</v>
      </c>
      <c r="H799" s="81" t="n">
        <f aca="true">RAND()</f>
        <v>0.991701034581572</v>
      </c>
      <c r="I799" s="82" t="n">
        <f aca="false">ROUND(IF(H799&lt;(Inputs!$E$17-Inputs!$D$17)/(Inputs!$F$17-Inputs!$D$17),Inputs!$D$17+SQRT(H799*(Inputs!$F$17-Inputs!$D$17)*(Inputs!$E$17-Inputs!$D$17)),Inputs!$F$17-SQRT((1-H799)*(Inputs!$F$17-Inputs!$D$17)*(Inputs!$F$17-Inputs!$E$17))),0)</f>
        <v>114</v>
      </c>
      <c r="J799" s="81" t="n">
        <f aca="true">RAND()</f>
        <v>0.826850057010251</v>
      </c>
      <c r="K799" s="83" t="n">
        <f aca="false">IF(J799&lt;(Inputs!$E$18-Inputs!$D$18)/(Inputs!$F$18-Inputs!$D$18),Inputs!$D$18+SQRT(J799*(Inputs!$F$18-Inputs!$D$18)*(Inputs!$E$18-Inputs!$D$18)),Inputs!$F$18-SQRT((1-J799)*(Inputs!$F$18-Inputs!$D$18)*(Inputs!$F$18-Inputs!$E$18)))</f>
        <v>1.12691214514989</v>
      </c>
      <c r="L799" s="81" t="n">
        <f aca="true">RAND()</f>
        <v>0.543967406958913</v>
      </c>
      <c r="M799" s="83" t="n">
        <f aca="false">IF(L799&lt;(Inputs!$E$24-Inputs!$D$24)/(Inputs!$F$24-Inputs!$D$24),Inputs!$D$24+SQRT(L799*(Inputs!$F$24-Inputs!$D$24)*(Inputs!$E$24-Inputs!$D$24)),Inputs!$F$24-SQRT((1-L799)*(Inputs!$F$24-Inputs!$D$24)*(Inputs!$F$24-Inputs!$E$24)))</f>
        <v>0.869171007422474</v>
      </c>
      <c r="N799" s="81" t="n">
        <f aca="true">RAND()</f>
        <v>0.426013275566728</v>
      </c>
      <c r="O799" s="83" t="n">
        <f aca="false">IF(N799&lt;(Inputs!$E$26-Inputs!$D$26)/(Inputs!$F$26-Inputs!$D$26),Inputs!$D$26+SQRT(N799*(Inputs!$F$26-Inputs!$D$26)*(Inputs!$E$26-Inputs!$D$26)),Inputs!$F$26-SQRT((1-N799)*(Inputs!$F$26-Inputs!$D$26)*(Inputs!$F$26-Inputs!$E$26)))</f>
        <v>0.566249148457424</v>
      </c>
      <c r="P799" s="81" t="n">
        <f aca="true">RAND()</f>
        <v>0.755256601547898</v>
      </c>
      <c r="Q799" s="82" t="n">
        <f aca="false">IF(P799&lt;(Inputs!$E$27-Inputs!$D$27)/(Inputs!$F$27-Inputs!$D$27),Inputs!$D$27+SQRT(P799*(Inputs!$F$27-Inputs!$D$27)*(Inputs!$E$27-Inputs!$D$27)),Inputs!$F$27-SQRT((1-P799)*(Inputs!$F$27-Inputs!$D$27)*(Inputs!$F$27-Inputs!$E$27)))</f>
        <v>107.15638334138</v>
      </c>
      <c r="R799" s="81" t="n">
        <f aca="true">RAND()</f>
        <v>0.659826480478076</v>
      </c>
      <c r="S799" s="82" t="n">
        <f aca="false">IF(R799&lt;(Inputs!$E$29-Inputs!$D$29)/(Inputs!$F$29-Inputs!$D$29),Inputs!$D$29+SQRT(R799*(Inputs!$F$29-Inputs!$D$29)*(Inputs!$E$29-Inputs!$D$29)),Inputs!$F$29-SQRT((1-R799)*(Inputs!$F$29-Inputs!$D$29)*(Inputs!$F$29-Inputs!$E$29)))</f>
        <v>8.34999567384726</v>
      </c>
      <c r="T799" s="68" t="n">
        <f aca="false">Inputs!$E$9*(1+E799)+Inputs!$E$5*C799*(Inputs!$E$11*Inputs!$E$14*(G799*I799/Inputs!$E$16+(1-G799))*K799+Inputs!$E$23*M799)*(1+O799)+Inputs!$E$5*(Q799+S799)</f>
        <v>7033.69498784304</v>
      </c>
    </row>
    <row r="800" customFormat="false" ht="15" hidden="false" customHeight="false" outlineLevel="0" collapsed="false">
      <c r="A800" s="1" t="n">
        <v>796</v>
      </c>
      <c r="B800" s="81" t="n">
        <f aca="true">RAND()</f>
        <v>0.939126664636711</v>
      </c>
      <c r="C800" s="82" t="n">
        <f aca="false">ROUND(IF(B800&lt;(Inputs!$E$8-Inputs!$D$8)/(Inputs!$F$8-Inputs!$D$8),Inputs!$D$8+SQRT(B800*(Inputs!$F$8-Inputs!$D$8)*(Inputs!$E$8-Inputs!$D$8)),Inputs!$F$8-SQRT((1-B800)*(Inputs!$F$8-Inputs!$D$8)*(Inputs!$F$8-Inputs!$E$8))),0)</f>
        <v>28</v>
      </c>
      <c r="D800" s="81" t="n">
        <f aca="true">RAND()</f>
        <v>0.412215490853048</v>
      </c>
      <c r="E800" s="83" t="n">
        <f aca="false">IF(D800&lt;(Inputs!$E$10-Inputs!$D$10)/(Inputs!$F$10-Inputs!$D$10),Inputs!$D$10+SQRT(D800*(Inputs!$F$10-Inputs!$D$10)*(Inputs!$E$10-Inputs!$D$10)),Inputs!$F$10-SQRT((1-D800)*(Inputs!$F$10-Inputs!$D$10)*(Inputs!$F$10-Inputs!$E$10)))</f>
        <v>0.06720867771421</v>
      </c>
      <c r="F800" s="81" t="n">
        <f aca="true">RAND()</f>
        <v>0.347279494945656</v>
      </c>
      <c r="G800" s="83" t="n">
        <f aca="false">IF(F800&lt;(Inputs!$E$15-Inputs!$D$15)/(Inputs!$F$15-Inputs!$D$15),Inputs!$D$15+SQRT(F800*(Inputs!$F$15-Inputs!$D$15)*(Inputs!$E$15-Inputs!$D$15)),Inputs!$F$15-SQRT((1-F800)*(Inputs!$F$15-Inputs!$D$15)*(Inputs!$F$15-Inputs!$E$15)))</f>
        <v>0.683340205776763</v>
      </c>
      <c r="H800" s="81" t="n">
        <f aca="true">RAND()</f>
        <v>0.895500020958672</v>
      </c>
      <c r="I800" s="82" t="n">
        <f aca="false">ROUND(IF(H800&lt;(Inputs!$E$17-Inputs!$D$17)/(Inputs!$F$17-Inputs!$D$17),Inputs!$D$17+SQRT(H800*(Inputs!$F$17-Inputs!$D$17)*(Inputs!$E$17-Inputs!$D$17)),Inputs!$F$17-SQRT((1-H800)*(Inputs!$F$17-Inputs!$D$17)*(Inputs!$F$17-Inputs!$E$17))),0)</f>
        <v>111</v>
      </c>
      <c r="J800" s="81" t="n">
        <f aca="true">RAND()</f>
        <v>0.0540842225532735</v>
      </c>
      <c r="K800" s="83" t="n">
        <f aca="false">IF(J800&lt;(Inputs!$E$18-Inputs!$D$18)/(Inputs!$F$18-Inputs!$D$18),Inputs!$D$18+SQRT(J800*(Inputs!$F$18-Inputs!$D$18)*(Inputs!$E$18-Inputs!$D$18)),Inputs!$F$18-SQRT((1-J800)*(Inputs!$F$18-Inputs!$D$18)*(Inputs!$F$18-Inputs!$E$18)))</f>
        <v>0.943508019828126</v>
      </c>
      <c r="L800" s="81" t="n">
        <f aca="true">RAND()</f>
        <v>0.273489116280161</v>
      </c>
      <c r="M800" s="83" t="n">
        <f aca="false">IF(L800&lt;(Inputs!$E$24-Inputs!$D$24)/(Inputs!$F$24-Inputs!$D$24),Inputs!$D$24+SQRT(L800*(Inputs!$F$24-Inputs!$D$24)*(Inputs!$E$24-Inputs!$D$24)),Inputs!$F$24-SQRT((1-L800)*(Inputs!$F$24-Inputs!$D$24)*(Inputs!$F$24-Inputs!$E$24)))</f>
        <v>0.78115930545688</v>
      </c>
      <c r="N800" s="81" t="n">
        <f aca="true">RAND()</f>
        <v>0.396384175417724</v>
      </c>
      <c r="O800" s="83" t="n">
        <f aca="false">IF(N800&lt;(Inputs!$E$26-Inputs!$D$26)/(Inputs!$F$26-Inputs!$D$26),Inputs!$D$26+SQRT(N800*(Inputs!$F$26-Inputs!$D$26)*(Inputs!$E$26-Inputs!$D$26)),Inputs!$F$26-SQRT((1-N800)*(Inputs!$F$26-Inputs!$D$26)*(Inputs!$F$26-Inputs!$E$26)))</f>
        <v>0.556823532390451</v>
      </c>
      <c r="P800" s="81" t="n">
        <f aca="true">RAND()</f>
        <v>0.981929276298575</v>
      </c>
      <c r="Q800" s="82" t="n">
        <f aca="false">IF(P800&lt;(Inputs!$E$27-Inputs!$D$27)/(Inputs!$F$27-Inputs!$D$27),Inputs!$D$27+SQRT(P800*(Inputs!$F$27-Inputs!$D$27)*(Inputs!$E$27-Inputs!$D$27)),Inputs!$F$27-SQRT((1-P800)*(Inputs!$F$27-Inputs!$D$27)*(Inputs!$F$27-Inputs!$E$27)))</f>
        <v>138.358246362309</v>
      </c>
      <c r="R800" s="81" t="n">
        <f aca="true">RAND()</f>
        <v>0.418804051846064</v>
      </c>
      <c r="S800" s="82" t="n">
        <f aca="false">IF(R800&lt;(Inputs!$E$29-Inputs!$D$29)/(Inputs!$F$29-Inputs!$D$29),Inputs!$D$29+SQRT(R800*(Inputs!$F$29-Inputs!$D$29)*(Inputs!$E$29-Inputs!$D$29)),Inputs!$F$29-SQRT((1-R800)*(Inputs!$F$29-Inputs!$D$29)*(Inputs!$F$29-Inputs!$E$29)))</f>
        <v>6.30773486023282</v>
      </c>
      <c r="T800" s="68" t="n">
        <f aca="false">Inputs!$E$9*(1+E800)+Inputs!$E$5*C800*(Inputs!$E$11*Inputs!$E$14*(G800*I800/Inputs!$E$16+(1-G800))*K800+Inputs!$E$23*M800)*(1+O800)+Inputs!$E$5*(Q800+S800)</f>
        <v>6586.81895898202</v>
      </c>
    </row>
    <row r="801" customFormat="false" ht="15" hidden="false" customHeight="false" outlineLevel="0" collapsed="false">
      <c r="A801" s="1" t="n">
        <v>797</v>
      </c>
      <c r="B801" s="81" t="n">
        <f aca="true">RAND()</f>
        <v>0.606074546629721</v>
      </c>
      <c r="C801" s="82" t="n">
        <f aca="false">ROUND(IF(B801&lt;(Inputs!$E$8-Inputs!$D$8)/(Inputs!$F$8-Inputs!$D$8),Inputs!$D$8+SQRT(B801*(Inputs!$F$8-Inputs!$D$8)*(Inputs!$E$8-Inputs!$D$8)),Inputs!$F$8-SQRT((1-B801)*(Inputs!$F$8-Inputs!$D$8)*(Inputs!$F$8-Inputs!$E$8))),0)</f>
        <v>26</v>
      </c>
      <c r="D801" s="81" t="n">
        <f aca="true">RAND()</f>
        <v>0.968972604687092</v>
      </c>
      <c r="E801" s="83" t="n">
        <f aca="false">IF(D801&lt;(Inputs!$E$10-Inputs!$D$10)/(Inputs!$F$10-Inputs!$D$10),Inputs!$D$10+SQRT(D801*(Inputs!$F$10-Inputs!$D$10)*(Inputs!$E$10-Inputs!$D$10)),Inputs!$F$10-SQRT((1-D801)*(Inputs!$F$10-Inputs!$D$10)*(Inputs!$F$10-Inputs!$E$10)))</f>
        <v>0.169490626696255</v>
      </c>
      <c r="F801" s="81" t="n">
        <f aca="true">RAND()</f>
        <v>0.574416554443123</v>
      </c>
      <c r="G801" s="83" t="n">
        <f aca="false">IF(F801&lt;(Inputs!$E$15-Inputs!$D$15)/(Inputs!$F$15-Inputs!$D$15),Inputs!$D$15+SQRT(F801*(Inputs!$F$15-Inputs!$D$15)*(Inputs!$E$15-Inputs!$D$15)),Inputs!$F$15-SQRT((1-F801)*(Inputs!$F$15-Inputs!$D$15)*(Inputs!$F$15-Inputs!$E$15)))</f>
        <v>0.707741293575416</v>
      </c>
      <c r="H801" s="81" t="n">
        <f aca="true">RAND()</f>
        <v>0.689191048384759</v>
      </c>
      <c r="I801" s="82" t="n">
        <f aca="false">ROUND(IF(H801&lt;(Inputs!$E$17-Inputs!$D$17)/(Inputs!$F$17-Inputs!$D$17),Inputs!$D$17+SQRT(H801*(Inputs!$F$17-Inputs!$D$17)*(Inputs!$E$17-Inputs!$D$17)),Inputs!$F$17-SQRT((1-H801)*(Inputs!$F$17-Inputs!$D$17)*(Inputs!$F$17-Inputs!$E$17))),0)</f>
        <v>108</v>
      </c>
      <c r="J801" s="81" t="n">
        <f aca="true">RAND()</f>
        <v>0.345934581590897</v>
      </c>
      <c r="K801" s="83" t="n">
        <f aca="false">IF(J801&lt;(Inputs!$E$18-Inputs!$D$18)/(Inputs!$F$18-Inputs!$D$18),Inputs!$D$18+SQRT(J801*(Inputs!$F$18-Inputs!$D$18)*(Inputs!$E$18-Inputs!$D$18)),Inputs!$F$18-SQRT((1-J801)*(Inputs!$F$18-Inputs!$D$18)*(Inputs!$F$18-Inputs!$E$18)))</f>
        <v>1.01077056178054</v>
      </c>
      <c r="L801" s="81" t="n">
        <f aca="true">RAND()</f>
        <v>0.822845142230031</v>
      </c>
      <c r="M801" s="83" t="n">
        <f aca="false">IF(L801&lt;(Inputs!$E$24-Inputs!$D$24)/(Inputs!$F$24-Inputs!$D$24),Inputs!$D$24+SQRT(L801*(Inputs!$F$24-Inputs!$D$24)*(Inputs!$E$24-Inputs!$D$24)),Inputs!$F$24-SQRT((1-L801)*(Inputs!$F$24-Inputs!$D$24)*(Inputs!$F$24-Inputs!$E$24)))</f>
        <v>0.993803089584755</v>
      </c>
      <c r="N801" s="81" t="n">
        <f aca="true">RAND()</f>
        <v>0.611565146157232</v>
      </c>
      <c r="O801" s="83" t="n">
        <f aca="false">IF(N801&lt;(Inputs!$E$26-Inputs!$D$26)/(Inputs!$F$26-Inputs!$D$26),Inputs!$D$26+SQRT(N801*(Inputs!$F$26-Inputs!$D$26)*(Inputs!$E$26-Inputs!$D$26)),Inputs!$F$26-SQRT((1-N801)*(Inputs!$F$26-Inputs!$D$26)*(Inputs!$F$26-Inputs!$E$26)))</f>
        <v>0.619005392306405</v>
      </c>
      <c r="P801" s="81" t="n">
        <f aca="true">RAND()</f>
        <v>0.0330804978913869</v>
      </c>
      <c r="Q801" s="82" t="n">
        <f aca="false">IF(P801&lt;(Inputs!$E$27-Inputs!$D$27)/(Inputs!$F$27-Inputs!$D$27),Inputs!$D$27+SQRT(P801*(Inputs!$F$27-Inputs!$D$27)*(Inputs!$E$27-Inputs!$D$27)),Inputs!$F$27-SQRT((1-P801)*(Inputs!$F$27-Inputs!$D$27)*(Inputs!$F$27-Inputs!$E$27)))</f>
        <v>59.0940224723973</v>
      </c>
      <c r="R801" s="81" t="n">
        <f aca="true">RAND()</f>
        <v>0.145048682417616</v>
      </c>
      <c r="S801" s="82" t="n">
        <f aca="false">IF(R801&lt;(Inputs!$E$29-Inputs!$D$29)/(Inputs!$F$29-Inputs!$D$29),Inputs!$D$29+SQRT(R801*(Inputs!$F$29-Inputs!$D$29)*(Inputs!$E$29-Inputs!$D$29)),Inputs!$F$29-SQRT((1-R801)*(Inputs!$F$29-Inputs!$D$29)*(Inputs!$F$29-Inputs!$E$29)))</f>
        <v>4.37842355653635</v>
      </c>
      <c r="T801" s="68" t="n">
        <f aca="false">Inputs!$E$9*(1+E801)+Inputs!$E$5*C801*(Inputs!$E$11*Inputs!$E$14*(G801*I801/Inputs!$E$16+(1-G801))*K801+Inputs!$E$23*M801)*(1+O801)+Inputs!$E$5*(Q801+S801)</f>
        <v>6693.1243227681</v>
      </c>
    </row>
    <row r="802" customFormat="false" ht="15" hidden="false" customHeight="false" outlineLevel="0" collapsed="false">
      <c r="A802" s="1" t="n">
        <v>798</v>
      </c>
      <c r="B802" s="81" t="n">
        <f aca="true">RAND()</f>
        <v>0.468081111308328</v>
      </c>
      <c r="C802" s="82" t="n">
        <f aca="false">ROUND(IF(B802&lt;(Inputs!$E$8-Inputs!$D$8)/(Inputs!$F$8-Inputs!$D$8),Inputs!$D$8+SQRT(B802*(Inputs!$F$8-Inputs!$D$8)*(Inputs!$E$8-Inputs!$D$8)),Inputs!$F$8-SQRT((1-B802)*(Inputs!$F$8-Inputs!$D$8)*(Inputs!$F$8-Inputs!$E$8))),0)</f>
        <v>25</v>
      </c>
      <c r="D802" s="81" t="n">
        <f aca="true">RAND()</f>
        <v>0.391112645096236</v>
      </c>
      <c r="E802" s="83" t="n">
        <f aca="false">IF(D802&lt;(Inputs!$E$10-Inputs!$D$10)/(Inputs!$F$10-Inputs!$D$10),Inputs!$D$10+SQRT(D802*(Inputs!$F$10-Inputs!$D$10)*(Inputs!$E$10-Inputs!$D$10)),Inputs!$F$10-SQRT((1-D802)*(Inputs!$F$10-Inputs!$D$10)*(Inputs!$F$10-Inputs!$E$10)))</f>
        <v>0.0648459373636407</v>
      </c>
      <c r="F802" s="81" t="n">
        <f aca="true">RAND()</f>
        <v>0.411748971030365</v>
      </c>
      <c r="G802" s="83" t="n">
        <f aca="false">IF(F802&lt;(Inputs!$E$15-Inputs!$D$15)/(Inputs!$F$15-Inputs!$D$15),Inputs!$D$15+SQRT(F802*(Inputs!$F$15-Inputs!$D$15)*(Inputs!$E$15-Inputs!$D$15)),Inputs!$F$15-SQRT((1-F802)*(Inputs!$F$15-Inputs!$D$15)*(Inputs!$F$15-Inputs!$E$15)))</f>
        <v>0.690746787384498</v>
      </c>
      <c r="H802" s="81" t="n">
        <f aca="true">RAND()</f>
        <v>0.260497019475986</v>
      </c>
      <c r="I802" s="82" t="n">
        <f aca="false">ROUND(IF(H802&lt;(Inputs!$E$17-Inputs!$D$17)/(Inputs!$F$17-Inputs!$D$17),Inputs!$D$17+SQRT(H802*(Inputs!$F$17-Inputs!$D$17)*(Inputs!$E$17-Inputs!$D$17)),Inputs!$F$17-SQRT((1-H802)*(Inputs!$F$17-Inputs!$D$17)*(Inputs!$F$17-Inputs!$E$17))),0)</f>
        <v>104</v>
      </c>
      <c r="J802" s="81" t="n">
        <f aca="true">RAND()</f>
        <v>0.46350702497128</v>
      </c>
      <c r="K802" s="83" t="n">
        <f aca="false">IF(J802&lt;(Inputs!$E$18-Inputs!$D$18)/(Inputs!$F$18-Inputs!$D$18),Inputs!$D$18+SQRT(J802*(Inputs!$F$18-Inputs!$D$18)*(Inputs!$E$18-Inputs!$D$18)),Inputs!$F$18-SQRT((1-J802)*(Inputs!$F$18-Inputs!$D$18)*(Inputs!$F$18-Inputs!$E$18)))</f>
        <v>1.03333635442231</v>
      </c>
      <c r="L802" s="81" t="n">
        <f aca="true">RAND()</f>
        <v>0.381391315480915</v>
      </c>
      <c r="M802" s="83" t="n">
        <f aca="false">IF(L802&lt;(Inputs!$E$24-Inputs!$D$24)/(Inputs!$F$24-Inputs!$D$24),Inputs!$D$24+SQRT(L802*(Inputs!$F$24-Inputs!$D$24)*(Inputs!$E$24-Inputs!$D$24)),Inputs!$F$24-SQRT((1-L802)*(Inputs!$F$24-Inputs!$D$24)*(Inputs!$F$24-Inputs!$E$24)))</f>
        <v>0.814687030734001</v>
      </c>
      <c r="N802" s="81" t="n">
        <f aca="true">RAND()</f>
        <v>0.434124074003625</v>
      </c>
      <c r="O802" s="83" t="n">
        <f aca="false">IF(N802&lt;(Inputs!$E$26-Inputs!$D$26)/(Inputs!$F$26-Inputs!$D$26),Inputs!$D$26+SQRT(N802*(Inputs!$F$26-Inputs!$D$26)*(Inputs!$E$26-Inputs!$D$26)),Inputs!$F$26-SQRT((1-N802)*(Inputs!$F$26-Inputs!$D$26)*(Inputs!$F$26-Inputs!$E$26)))</f>
        <v>0.568771735705604</v>
      </c>
      <c r="P802" s="81" t="n">
        <f aca="true">RAND()</f>
        <v>0.980071739312447</v>
      </c>
      <c r="Q802" s="82" t="n">
        <f aca="false">IF(P802&lt;(Inputs!$E$27-Inputs!$D$27)/(Inputs!$F$27-Inputs!$D$27),Inputs!$D$27+SQRT(P802*(Inputs!$F$27-Inputs!$D$27)*(Inputs!$E$27-Inputs!$D$27)),Inputs!$F$27-SQRT((1-P802)*(Inputs!$F$27-Inputs!$D$27)*(Inputs!$F$27-Inputs!$E$27)))</f>
        <v>137.774536607693</v>
      </c>
      <c r="R802" s="81" t="n">
        <f aca="true">RAND()</f>
        <v>0.558143716666071</v>
      </c>
      <c r="S802" s="82" t="n">
        <f aca="false">IF(R802&lt;(Inputs!$E$29-Inputs!$D$29)/(Inputs!$F$29-Inputs!$D$29),Inputs!$D$29+SQRT(R802*(Inputs!$F$29-Inputs!$D$29)*(Inputs!$E$29-Inputs!$D$29)),Inputs!$F$29-SQRT((1-R802)*(Inputs!$F$29-Inputs!$D$29)*(Inputs!$F$29-Inputs!$E$29)))</f>
        <v>7.42099499713777</v>
      </c>
      <c r="T802" s="68" t="n">
        <f aca="false">Inputs!$E$9*(1+E802)+Inputs!$E$5*C802*(Inputs!$E$11*Inputs!$E$14*(G802*I802/Inputs!$E$16+(1-G802))*K802+Inputs!$E$23*M802)*(1+O802)+Inputs!$E$5*(Q802+S802)</f>
        <v>6384.89918851737</v>
      </c>
    </row>
    <row r="803" customFormat="false" ht="15" hidden="false" customHeight="false" outlineLevel="0" collapsed="false">
      <c r="A803" s="1" t="n">
        <v>799</v>
      </c>
      <c r="B803" s="81" t="n">
        <f aca="true">RAND()</f>
        <v>0.507289739129117</v>
      </c>
      <c r="C803" s="82" t="n">
        <f aca="false">ROUND(IF(B803&lt;(Inputs!$E$8-Inputs!$D$8)/(Inputs!$F$8-Inputs!$D$8),Inputs!$D$8+SQRT(B803*(Inputs!$F$8-Inputs!$D$8)*(Inputs!$E$8-Inputs!$D$8)),Inputs!$F$8-SQRT((1-B803)*(Inputs!$F$8-Inputs!$D$8)*(Inputs!$F$8-Inputs!$E$8))),0)</f>
        <v>25</v>
      </c>
      <c r="D803" s="81" t="n">
        <f aca="true">RAND()</f>
        <v>0.565823970842778</v>
      </c>
      <c r="E803" s="83" t="n">
        <f aca="false">IF(D803&lt;(Inputs!$E$10-Inputs!$D$10)/(Inputs!$F$10-Inputs!$D$10),Inputs!$D$10+SQRT(D803*(Inputs!$F$10-Inputs!$D$10)*(Inputs!$E$10-Inputs!$D$10)),Inputs!$F$10-SQRT((1-D803)*(Inputs!$F$10-Inputs!$D$10)*(Inputs!$F$10-Inputs!$E$10)))</f>
        <v>0.0858716473670251</v>
      </c>
      <c r="F803" s="81" t="n">
        <f aca="true">RAND()</f>
        <v>0.0387231233205055</v>
      </c>
      <c r="G803" s="83" t="n">
        <f aca="false">IF(F803&lt;(Inputs!$E$15-Inputs!$D$15)/(Inputs!$F$15-Inputs!$D$15),Inputs!$D$15+SQRT(F803*(Inputs!$F$15-Inputs!$D$15)*(Inputs!$E$15-Inputs!$D$15)),Inputs!$F$15-SQRT((1-F803)*(Inputs!$F$15-Inputs!$D$15)*(Inputs!$F$15-Inputs!$E$15)))</f>
        <v>0.627829165751242</v>
      </c>
      <c r="H803" s="81" t="n">
        <f aca="true">RAND()</f>
        <v>0.0406967969405898</v>
      </c>
      <c r="I803" s="82" t="n">
        <f aca="false">ROUND(IF(H803&lt;(Inputs!$E$17-Inputs!$D$17)/(Inputs!$F$17-Inputs!$D$17),Inputs!$D$17+SQRT(H803*(Inputs!$F$17-Inputs!$D$17)*(Inputs!$E$17-Inputs!$D$17)),Inputs!$F$17-SQRT((1-H803)*(Inputs!$F$17-Inputs!$D$17)*(Inputs!$F$17-Inputs!$E$17))),0)</f>
        <v>102</v>
      </c>
      <c r="J803" s="81" t="n">
        <f aca="true">RAND()</f>
        <v>0.926366234310324</v>
      </c>
      <c r="K803" s="83" t="n">
        <f aca="false">IF(J803&lt;(Inputs!$E$18-Inputs!$D$18)/(Inputs!$F$18-Inputs!$D$18),Inputs!$D$18+SQRT(J803*(Inputs!$F$18-Inputs!$D$18)*(Inputs!$E$18-Inputs!$D$18)),Inputs!$F$18-SQRT((1-J803)*(Inputs!$F$18-Inputs!$D$18)*(Inputs!$F$18-Inputs!$E$18)))</f>
        <v>1.16973198334426</v>
      </c>
      <c r="L803" s="81" t="n">
        <f aca="true">RAND()</f>
        <v>0.206339812961114</v>
      </c>
      <c r="M803" s="83" t="n">
        <f aca="false">IF(L803&lt;(Inputs!$E$24-Inputs!$D$24)/(Inputs!$F$24-Inputs!$D$24),Inputs!$D$24+SQRT(L803*(Inputs!$F$24-Inputs!$D$24)*(Inputs!$E$24-Inputs!$D$24)),Inputs!$F$24-SQRT((1-L803)*(Inputs!$F$24-Inputs!$D$24)*(Inputs!$F$24-Inputs!$E$24)))</f>
        <v>0.757355576816755</v>
      </c>
      <c r="N803" s="81" t="n">
        <f aca="true">RAND()</f>
        <v>0.736985934397929</v>
      </c>
      <c r="O803" s="83" t="n">
        <f aca="false">IF(N803&lt;(Inputs!$E$26-Inputs!$D$26)/(Inputs!$F$26-Inputs!$D$26),Inputs!$D$26+SQRT(N803*(Inputs!$F$26-Inputs!$D$26)*(Inputs!$E$26-Inputs!$D$26)),Inputs!$F$26-SQRT((1-N803)*(Inputs!$F$26-Inputs!$D$26)*(Inputs!$F$26-Inputs!$E$26)))</f>
        <v>0.654611176850987</v>
      </c>
      <c r="P803" s="81" t="n">
        <f aca="true">RAND()</f>
        <v>0.102744240889852</v>
      </c>
      <c r="Q803" s="82" t="n">
        <f aca="false">IF(P803&lt;(Inputs!$E$27-Inputs!$D$27)/(Inputs!$F$27-Inputs!$D$27),Inputs!$D$27+SQRT(P803*(Inputs!$F$27-Inputs!$D$27)*(Inputs!$E$27-Inputs!$D$27)),Inputs!$F$27-SQRT((1-P803)*(Inputs!$F$27-Inputs!$D$27)*(Inputs!$F$27-Inputs!$E$27)))</f>
        <v>66.0268712550089</v>
      </c>
      <c r="R803" s="81" t="n">
        <f aca="true">RAND()</f>
        <v>0.518501857486654</v>
      </c>
      <c r="S803" s="82" t="n">
        <f aca="false">IF(R803&lt;(Inputs!$E$29-Inputs!$D$29)/(Inputs!$F$29-Inputs!$D$29),Inputs!$D$29+SQRT(R803*(Inputs!$F$29-Inputs!$D$29)*(Inputs!$E$29-Inputs!$D$29)),Inputs!$F$29-SQRT((1-R803)*(Inputs!$F$29-Inputs!$D$29)*(Inputs!$F$29-Inputs!$E$29)))</f>
        <v>7.088315063987</v>
      </c>
      <c r="T803" s="68" t="n">
        <f aca="false">Inputs!$E$9*(1+E803)+Inputs!$E$5*C803*(Inputs!$E$11*Inputs!$E$14*(G803*I803/Inputs!$E$16+(1-G803))*K803+Inputs!$E$23*M803)*(1+O803)+Inputs!$E$5*(Q803+S803)</f>
        <v>6548.12067042054</v>
      </c>
    </row>
    <row r="804" customFormat="false" ht="15" hidden="false" customHeight="false" outlineLevel="0" collapsed="false">
      <c r="A804" s="1" t="n">
        <v>800</v>
      </c>
      <c r="B804" s="81" t="n">
        <f aca="true">RAND()</f>
        <v>0.0516754203117408</v>
      </c>
      <c r="C804" s="82" t="n">
        <f aca="false">ROUND(IF(B804&lt;(Inputs!$E$8-Inputs!$D$8)/(Inputs!$F$8-Inputs!$D$8),Inputs!$D$8+SQRT(B804*(Inputs!$F$8-Inputs!$D$8)*(Inputs!$E$8-Inputs!$D$8)),Inputs!$F$8-SQRT((1-B804)*(Inputs!$F$8-Inputs!$D$8)*(Inputs!$F$8-Inputs!$E$8))),0)</f>
        <v>22</v>
      </c>
      <c r="D804" s="81" t="n">
        <f aca="true">RAND()</f>
        <v>0.512906094934042</v>
      </c>
      <c r="E804" s="83" t="n">
        <f aca="false">IF(D804&lt;(Inputs!$E$10-Inputs!$D$10)/(Inputs!$F$10-Inputs!$D$10),Inputs!$D$10+SQRT(D804*(Inputs!$F$10-Inputs!$D$10)*(Inputs!$E$10-Inputs!$D$10)),Inputs!$F$10-SQRT((1-D804)*(Inputs!$F$10-Inputs!$D$10)*(Inputs!$F$10-Inputs!$E$10)))</f>
        <v>0.079116514146974</v>
      </c>
      <c r="F804" s="81" t="n">
        <f aca="true">RAND()</f>
        <v>0.159930849935624</v>
      </c>
      <c r="G804" s="83" t="n">
        <f aca="false">IF(F804&lt;(Inputs!$E$15-Inputs!$D$15)/(Inputs!$F$15-Inputs!$D$15),Inputs!$D$15+SQRT(F804*(Inputs!$F$15-Inputs!$D$15)*(Inputs!$E$15-Inputs!$D$15)),Inputs!$F$15-SQRT((1-F804)*(Inputs!$F$15-Inputs!$D$15)*(Inputs!$F$15-Inputs!$E$15)))</f>
        <v>0.656556317053999</v>
      </c>
      <c r="H804" s="81" t="n">
        <f aca="true">RAND()</f>
        <v>0.414320258514407</v>
      </c>
      <c r="I804" s="82" t="n">
        <f aca="false">ROUND(IF(H804&lt;(Inputs!$E$17-Inputs!$D$17)/(Inputs!$F$17-Inputs!$D$17),Inputs!$D$17+SQRT(H804*(Inputs!$F$17-Inputs!$D$17)*(Inputs!$E$17-Inputs!$D$17)),Inputs!$F$17-SQRT((1-H804)*(Inputs!$F$17-Inputs!$D$17)*(Inputs!$F$17-Inputs!$E$17))),0)</f>
        <v>106</v>
      </c>
      <c r="J804" s="81" t="n">
        <f aca="true">RAND()</f>
        <v>0.520182766396659</v>
      </c>
      <c r="K804" s="83" t="n">
        <f aca="false">IF(J804&lt;(Inputs!$E$18-Inputs!$D$18)/(Inputs!$F$18-Inputs!$D$18),Inputs!$D$18+SQRT(J804*(Inputs!$F$18-Inputs!$D$18)*(Inputs!$E$18-Inputs!$D$18)),Inputs!$F$18-SQRT((1-J804)*(Inputs!$F$18-Inputs!$D$18)*(Inputs!$F$18-Inputs!$E$18)))</f>
        <v>1.04510000502613</v>
      </c>
      <c r="L804" s="81" t="n">
        <f aca="true">RAND()</f>
        <v>0.0507295269347374</v>
      </c>
      <c r="M804" s="83" t="n">
        <f aca="false">IF(L804&lt;(Inputs!$E$24-Inputs!$D$24)/(Inputs!$F$24-Inputs!$D$24),Inputs!$D$24+SQRT(L804*(Inputs!$F$24-Inputs!$D$24)*(Inputs!$E$24-Inputs!$D$24)),Inputs!$F$24-SQRT((1-L804)*(Inputs!$F$24-Inputs!$D$24)*(Inputs!$F$24-Inputs!$E$24)))</f>
        <v>0.67802270972075</v>
      </c>
      <c r="N804" s="81" t="n">
        <f aca="true">RAND()</f>
        <v>0.415677956314791</v>
      </c>
      <c r="O804" s="83" t="n">
        <f aca="false">IF(N804&lt;(Inputs!$E$26-Inputs!$D$26)/(Inputs!$F$26-Inputs!$D$26),Inputs!$D$26+SQRT(N804*(Inputs!$F$26-Inputs!$D$26)*(Inputs!$E$26-Inputs!$D$26)),Inputs!$F$26-SQRT((1-N804)*(Inputs!$F$26-Inputs!$D$26)*(Inputs!$F$26-Inputs!$E$26)))</f>
        <v>0.562999642453714</v>
      </c>
      <c r="P804" s="81" t="n">
        <f aca="true">RAND()</f>
        <v>0.411148485525403</v>
      </c>
      <c r="Q804" s="82" t="n">
        <f aca="false">IF(P804&lt;(Inputs!$E$27-Inputs!$D$27)/(Inputs!$F$27-Inputs!$D$27),Inputs!$D$27+SQRT(P804*(Inputs!$F$27-Inputs!$D$27)*(Inputs!$E$27-Inputs!$D$27)),Inputs!$F$27-SQRT((1-P804)*(Inputs!$F$27-Inputs!$D$27)*(Inputs!$F$27-Inputs!$E$27)))</f>
        <v>83.5441021536878</v>
      </c>
      <c r="R804" s="81" t="n">
        <f aca="true">RAND()</f>
        <v>0.468557085031337</v>
      </c>
      <c r="S804" s="82" t="n">
        <f aca="false">IF(R804&lt;(Inputs!$E$29-Inputs!$D$29)/(Inputs!$F$29-Inputs!$D$29),Inputs!$D$29+SQRT(R804*(Inputs!$F$29-Inputs!$D$29)*(Inputs!$E$29-Inputs!$D$29)),Inputs!$F$29-SQRT((1-R804)*(Inputs!$F$29-Inputs!$D$29)*(Inputs!$F$29-Inputs!$E$29)))</f>
        <v>6.68810617573069</v>
      </c>
      <c r="T804" s="68" t="n">
        <f aca="false">Inputs!$E$9*(1+E804)+Inputs!$E$5*C804*(Inputs!$E$11*Inputs!$E$14*(G804*I804/Inputs!$E$16+(1-G804))*K804+Inputs!$E$23*M804)*(1+O804)+Inputs!$E$5*(Q804+S804)</f>
        <v>5648.05535890643</v>
      </c>
    </row>
    <row r="805" customFormat="false" ht="15" hidden="false" customHeight="false" outlineLevel="0" collapsed="false">
      <c r="A805" s="1" t="n">
        <v>801</v>
      </c>
      <c r="B805" s="81" t="n">
        <f aca="true">RAND()</f>
        <v>0.209457282084878</v>
      </c>
      <c r="C805" s="82" t="n">
        <f aca="false">ROUND(IF(B805&lt;(Inputs!$E$8-Inputs!$D$8)/(Inputs!$F$8-Inputs!$D$8),Inputs!$D$8+SQRT(B805*(Inputs!$F$8-Inputs!$D$8)*(Inputs!$E$8-Inputs!$D$8)),Inputs!$F$8-SQRT((1-B805)*(Inputs!$F$8-Inputs!$D$8)*(Inputs!$F$8-Inputs!$E$8))),0)</f>
        <v>23</v>
      </c>
      <c r="D805" s="81" t="n">
        <f aca="true">RAND()</f>
        <v>0.321163727677826</v>
      </c>
      <c r="E805" s="83" t="n">
        <f aca="false">IF(D805&lt;(Inputs!$E$10-Inputs!$D$10)/(Inputs!$F$10-Inputs!$D$10),Inputs!$D$10+SQRT(D805*(Inputs!$F$10-Inputs!$D$10)*(Inputs!$E$10-Inputs!$D$10)),Inputs!$F$10-SQRT((1-D805)*(Inputs!$F$10-Inputs!$D$10)*(Inputs!$F$10-Inputs!$E$10)))</f>
        <v>0.0572936996146798</v>
      </c>
      <c r="F805" s="81" t="n">
        <f aca="true">RAND()</f>
        <v>0.997623154264225</v>
      </c>
      <c r="G805" s="83" t="n">
        <f aca="false">IF(F805&lt;(Inputs!$E$15-Inputs!$D$15)/(Inputs!$F$15-Inputs!$D$15),Inputs!$D$15+SQRT(F805*(Inputs!$F$15-Inputs!$D$15)*(Inputs!$E$15-Inputs!$D$15)),Inputs!$F$15-SQRT((1-F805)*(Inputs!$F$15-Inputs!$D$15)*(Inputs!$F$15-Inputs!$E$15)))</f>
        <v>0.793105298069133</v>
      </c>
      <c r="H805" s="81" t="n">
        <f aca="true">RAND()</f>
        <v>0.370016277727681</v>
      </c>
      <c r="I805" s="82" t="n">
        <f aca="false">ROUND(IF(H805&lt;(Inputs!$E$17-Inputs!$D$17)/(Inputs!$F$17-Inputs!$D$17),Inputs!$D$17+SQRT(H805*(Inputs!$F$17-Inputs!$D$17)*(Inputs!$E$17-Inputs!$D$17)),Inputs!$F$17-SQRT((1-H805)*(Inputs!$F$17-Inputs!$D$17)*(Inputs!$F$17-Inputs!$E$17))),0)</f>
        <v>105</v>
      </c>
      <c r="J805" s="81" t="n">
        <f aca="true">RAND()</f>
        <v>0.64385124973459</v>
      </c>
      <c r="K805" s="83" t="n">
        <f aca="false">IF(J805&lt;(Inputs!$E$18-Inputs!$D$18)/(Inputs!$F$18-Inputs!$D$18),Inputs!$D$18+SQRT(J805*(Inputs!$F$18-Inputs!$D$18)*(Inputs!$E$18-Inputs!$D$18)),Inputs!$F$18-SQRT((1-J805)*(Inputs!$F$18-Inputs!$D$18)*(Inputs!$F$18-Inputs!$E$18)))</f>
        <v>1.07346950504736</v>
      </c>
      <c r="L805" s="81" t="n">
        <f aca="true">RAND()</f>
        <v>0.840577998023376</v>
      </c>
      <c r="M805" s="83" t="n">
        <f aca="false">IF(L805&lt;(Inputs!$E$24-Inputs!$D$24)/(Inputs!$F$24-Inputs!$D$24),Inputs!$D$24+SQRT(L805*(Inputs!$F$24-Inputs!$D$24)*(Inputs!$E$24-Inputs!$D$24)),Inputs!$F$24-SQRT((1-L805)*(Inputs!$F$24-Inputs!$D$24)*(Inputs!$F$24-Inputs!$E$24)))</f>
        <v>1.00439509087349</v>
      </c>
      <c r="N805" s="81" t="n">
        <f aca="true">RAND()</f>
        <v>0.193752481861693</v>
      </c>
      <c r="O805" s="83" t="n">
        <f aca="false">IF(N805&lt;(Inputs!$E$26-Inputs!$D$26)/(Inputs!$F$26-Inputs!$D$26),Inputs!$D$26+SQRT(N805*(Inputs!$F$26-Inputs!$D$26)*(Inputs!$E$26-Inputs!$D$26)),Inputs!$F$26-SQRT((1-N805)*(Inputs!$F$26-Inputs!$D$26)*(Inputs!$F$26-Inputs!$E$26)))</f>
        <v>0.479556155510709</v>
      </c>
      <c r="P805" s="81" t="n">
        <f aca="true">RAND()</f>
        <v>0.979371146061095</v>
      </c>
      <c r="Q805" s="82" t="n">
        <f aca="false">IF(P805&lt;(Inputs!$E$27-Inputs!$D$27)/(Inputs!$F$27-Inputs!$D$27),Inputs!$D$27+SQRT(P805*(Inputs!$F$27-Inputs!$D$27)*(Inputs!$E$27-Inputs!$D$27)),Inputs!$F$27-SQRT((1-P805)*(Inputs!$F$27-Inputs!$D$27)*(Inputs!$F$27-Inputs!$E$27)))</f>
        <v>137.561495084144</v>
      </c>
      <c r="R805" s="81" t="n">
        <f aca="true">RAND()</f>
        <v>0.947825471341303</v>
      </c>
      <c r="S805" s="82" t="n">
        <f aca="false">IF(R805&lt;(Inputs!$E$29-Inputs!$D$29)/(Inputs!$F$29-Inputs!$D$29),Inputs!$D$29+SQRT(R805*(Inputs!$F$29-Inputs!$D$29)*(Inputs!$E$29-Inputs!$D$29)),Inputs!$F$29-SQRT((1-R805)*(Inputs!$F$29-Inputs!$D$29)*(Inputs!$F$29-Inputs!$E$29)))</f>
        <v>12.3956404384896</v>
      </c>
      <c r="T805" s="68" t="n">
        <f aca="false">Inputs!$E$9*(1+E805)+Inputs!$E$5*C805*(Inputs!$E$11*Inputs!$E$14*(G805*I805/Inputs!$E$16+(1-G805))*K805+Inputs!$E$23*M805)*(1+O805)+Inputs!$E$5*(Q805+S805)</f>
        <v>6142.78925894614</v>
      </c>
    </row>
    <row r="806" customFormat="false" ht="15" hidden="false" customHeight="false" outlineLevel="0" collapsed="false">
      <c r="A806" s="1" t="n">
        <v>802</v>
      </c>
      <c r="B806" s="81" t="n">
        <f aca="true">RAND()</f>
        <v>0.0926179460601875</v>
      </c>
      <c r="C806" s="82" t="n">
        <f aca="false">ROUND(IF(B806&lt;(Inputs!$E$8-Inputs!$D$8)/(Inputs!$F$8-Inputs!$D$8),Inputs!$D$8+SQRT(B806*(Inputs!$F$8-Inputs!$D$8)*(Inputs!$E$8-Inputs!$D$8)),Inputs!$F$8-SQRT((1-B806)*(Inputs!$F$8-Inputs!$D$8)*(Inputs!$F$8-Inputs!$E$8))),0)</f>
        <v>22</v>
      </c>
      <c r="D806" s="81" t="n">
        <f aca="true">RAND()</f>
        <v>0.0727207387591749</v>
      </c>
      <c r="E806" s="83" t="n">
        <f aca="false">IF(D806&lt;(Inputs!$E$10-Inputs!$D$10)/(Inputs!$F$10-Inputs!$D$10),Inputs!$D$10+SQRT(D806*(Inputs!$F$10-Inputs!$D$10)*(Inputs!$E$10-Inputs!$D$10)),Inputs!$F$10-SQRT((1-D806)*(Inputs!$F$10-Inputs!$D$10)*(Inputs!$F$10-Inputs!$E$10)))</f>
        <v>0.0269667830412111</v>
      </c>
      <c r="F806" s="81" t="n">
        <f aca="true">RAND()</f>
        <v>0.734258336741431</v>
      </c>
      <c r="G806" s="83" t="n">
        <f aca="false">IF(F806&lt;(Inputs!$E$15-Inputs!$D$15)/(Inputs!$F$15-Inputs!$D$15),Inputs!$D$15+SQRT(F806*(Inputs!$F$15-Inputs!$D$15)*(Inputs!$E$15-Inputs!$D$15)),Inputs!$F$15-SQRT((1-F806)*(Inputs!$F$15-Inputs!$D$15)*(Inputs!$F$15-Inputs!$E$15)))</f>
        <v>0.727097097004499</v>
      </c>
      <c r="H806" s="81" t="n">
        <f aca="true">RAND()</f>
        <v>0.698140575308879</v>
      </c>
      <c r="I806" s="82" t="n">
        <f aca="false">ROUND(IF(H806&lt;(Inputs!$E$17-Inputs!$D$17)/(Inputs!$F$17-Inputs!$D$17),Inputs!$D$17+SQRT(H806*(Inputs!$F$17-Inputs!$D$17)*(Inputs!$E$17-Inputs!$D$17)),Inputs!$F$17-SQRT((1-H806)*(Inputs!$F$17-Inputs!$D$17)*(Inputs!$F$17-Inputs!$E$17))),0)</f>
        <v>108</v>
      </c>
      <c r="J806" s="81" t="n">
        <f aca="true">RAND()</f>
        <v>0.224548165997548</v>
      </c>
      <c r="K806" s="83" t="n">
        <f aca="false">IF(J806&lt;(Inputs!$E$18-Inputs!$D$18)/(Inputs!$F$18-Inputs!$D$18),Inputs!$D$18+SQRT(J806*(Inputs!$F$18-Inputs!$D$18)*(Inputs!$E$18-Inputs!$D$18)),Inputs!$F$18-SQRT((1-J806)*(Inputs!$F$18-Inputs!$D$18)*(Inputs!$F$18-Inputs!$E$18)))</f>
        <v>0.988652049101609</v>
      </c>
      <c r="L806" s="81" t="n">
        <f aca="true">RAND()</f>
        <v>0.942980787015429</v>
      </c>
      <c r="M806" s="83" t="n">
        <f aca="false">IF(L806&lt;(Inputs!$E$24-Inputs!$D$24)/(Inputs!$F$24-Inputs!$D$24),Inputs!$D$24+SQRT(L806*(Inputs!$F$24-Inputs!$D$24)*(Inputs!$E$24-Inputs!$D$24)),Inputs!$F$24-SQRT((1-L806)*(Inputs!$F$24-Inputs!$D$24)*(Inputs!$F$24-Inputs!$E$24)))</f>
        <v>1.08301875741685</v>
      </c>
      <c r="N806" s="81" t="n">
        <f aca="true">RAND()</f>
        <v>0.0860890182282201</v>
      </c>
      <c r="O806" s="83" t="n">
        <f aca="false">IF(N806&lt;(Inputs!$E$26-Inputs!$D$26)/(Inputs!$F$26-Inputs!$D$26),Inputs!$D$26+SQRT(N806*(Inputs!$F$26-Inputs!$D$26)*(Inputs!$E$26-Inputs!$D$26)),Inputs!$F$26-SQRT((1-N806)*(Inputs!$F$26-Inputs!$D$26)*(Inputs!$F$26-Inputs!$E$26)))</f>
        <v>0.419687980320397</v>
      </c>
      <c r="P806" s="81" t="n">
        <f aca="true">RAND()</f>
        <v>0.742148588827267</v>
      </c>
      <c r="Q806" s="82" t="n">
        <f aca="false">IF(P806&lt;(Inputs!$E$27-Inputs!$D$27)/(Inputs!$F$27-Inputs!$D$27),Inputs!$D$27+SQRT(P806*(Inputs!$F$27-Inputs!$D$27)*(Inputs!$E$27-Inputs!$D$27)),Inputs!$F$27-SQRT((1-P806)*(Inputs!$F$27-Inputs!$D$27)*(Inputs!$F$27-Inputs!$E$27)))</f>
        <v>106.024034020894</v>
      </c>
      <c r="R806" s="81" t="n">
        <f aca="true">RAND()</f>
        <v>0.0773182554843469</v>
      </c>
      <c r="S806" s="82" t="n">
        <f aca="false">IF(R806&lt;(Inputs!$E$29-Inputs!$D$29)/(Inputs!$F$29-Inputs!$D$29),Inputs!$D$29+SQRT(R806*(Inputs!$F$29-Inputs!$D$29)*(Inputs!$E$29-Inputs!$D$29)),Inputs!$F$29-SQRT((1-R806)*(Inputs!$F$29-Inputs!$D$29)*(Inputs!$F$29-Inputs!$E$29)))</f>
        <v>3.73649415889877</v>
      </c>
      <c r="T806" s="68" t="n">
        <f aca="false">Inputs!$E$9*(1+E806)+Inputs!$E$5*C806*(Inputs!$E$11*Inputs!$E$14*(G806*I806/Inputs!$E$16+(1-G806))*K806+Inputs!$E$23*M806)*(1+O806)+Inputs!$E$5*(Q806+S806)</f>
        <v>5672.45774461552</v>
      </c>
    </row>
    <row r="807" customFormat="false" ht="15" hidden="false" customHeight="false" outlineLevel="0" collapsed="false">
      <c r="A807" s="1" t="n">
        <v>803</v>
      </c>
      <c r="B807" s="81" t="n">
        <f aca="true">RAND()</f>
        <v>0.148897265769469</v>
      </c>
      <c r="C807" s="82" t="n">
        <f aca="false">ROUND(IF(B807&lt;(Inputs!$E$8-Inputs!$D$8)/(Inputs!$F$8-Inputs!$D$8),Inputs!$D$8+SQRT(B807*(Inputs!$F$8-Inputs!$D$8)*(Inputs!$E$8-Inputs!$D$8)),Inputs!$F$8-SQRT((1-B807)*(Inputs!$F$8-Inputs!$D$8)*(Inputs!$F$8-Inputs!$E$8))),0)</f>
        <v>23</v>
      </c>
      <c r="D807" s="81" t="n">
        <f aca="true">RAND()</f>
        <v>0.0401735645360292</v>
      </c>
      <c r="E807" s="83" t="n">
        <f aca="false">IF(D807&lt;(Inputs!$E$10-Inputs!$D$10)/(Inputs!$F$10-Inputs!$D$10),Inputs!$D$10+SQRT(D807*(Inputs!$F$10-Inputs!$D$10)*(Inputs!$E$10-Inputs!$D$10)),Inputs!$F$10-SQRT((1-D807)*(Inputs!$F$10-Inputs!$D$10)*(Inputs!$F$10-Inputs!$E$10)))</f>
        <v>0.0200433441660889</v>
      </c>
      <c r="F807" s="81" t="n">
        <f aca="true">RAND()</f>
        <v>0.695528645617324</v>
      </c>
      <c r="G807" s="83" t="n">
        <f aca="false">IF(F807&lt;(Inputs!$E$15-Inputs!$D$15)/(Inputs!$F$15-Inputs!$D$15),Inputs!$D$15+SQRT(F807*(Inputs!$F$15-Inputs!$D$15)*(Inputs!$E$15-Inputs!$D$15)),Inputs!$F$15-SQRT((1-F807)*(Inputs!$F$15-Inputs!$D$15)*(Inputs!$F$15-Inputs!$E$15)))</f>
        <v>0.721965218731302</v>
      </c>
      <c r="H807" s="81" t="n">
        <f aca="true">RAND()</f>
        <v>0.61343096393721</v>
      </c>
      <c r="I807" s="82" t="n">
        <f aca="false">ROUND(IF(H807&lt;(Inputs!$E$17-Inputs!$D$17)/(Inputs!$F$17-Inputs!$D$17),Inputs!$D$17+SQRT(H807*(Inputs!$F$17-Inputs!$D$17)*(Inputs!$E$17-Inputs!$D$17)),Inputs!$F$17-SQRT((1-H807)*(Inputs!$F$17-Inputs!$D$17)*(Inputs!$F$17-Inputs!$E$17))),0)</f>
        <v>107</v>
      </c>
      <c r="J807" s="81" t="n">
        <f aca="true">RAND()</f>
        <v>0.073203222533997</v>
      </c>
      <c r="K807" s="83" t="n">
        <f aca="false">IF(J807&lt;(Inputs!$E$18-Inputs!$D$18)/(Inputs!$F$18-Inputs!$D$18),Inputs!$D$18+SQRT(J807*(Inputs!$F$18-Inputs!$D$18)*(Inputs!$E$18-Inputs!$D$18)),Inputs!$F$18-SQRT((1-J807)*(Inputs!$F$18-Inputs!$D$18)*(Inputs!$F$18-Inputs!$E$18)))</f>
        <v>0.950617317083088</v>
      </c>
      <c r="L807" s="81" t="n">
        <f aca="true">RAND()</f>
        <v>0.265351094374992</v>
      </c>
      <c r="M807" s="83" t="n">
        <f aca="false">IF(L807&lt;(Inputs!$E$24-Inputs!$D$24)/(Inputs!$F$24-Inputs!$D$24),Inputs!$D$24+SQRT(L807*(Inputs!$F$24-Inputs!$D$24)*(Inputs!$E$24-Inputs!$D$24)),Inputs!$F$24-SQRT((1-L807)*(Inputs!$F$24-Inputs!$D$24)*(Inputs!$F$24-Inputs!$E$24)))</f>
        <v>0.778443636269269</v>
      </c>
      <c r="N807" s="81" t="n">
        <f aca="true">RAND()</f>
        <v>0.677193377971925</v>
      </c>
      <c r="O807" s="83" t="n">
        <f aca="false">IF(N807&lt;(Inputs!$E$26-Inputs!$D$26)/(Inputs!$F$26-Inputs!$D$26),Inputs!$D$26+SQRT(N807*(Inputs!$F$26-Inputs!$D$26)*(Inputs!$E$26-Inputs!$D$26)),Inputs!$F$26-SQRT((1-N807)*(Inputs!$F$26-Inputs!$D$26)*(Inputs!$F$26-Inputs!$E$26)))</f>
        <v>0.636773668128951</v>
      </c>
      <c r="P807" s="81" t="n">
        <f aca="true">RAND()</f>
        <v>0.766688102782501</v>
      </c>
      <c r="Q807" s="82" t="n">
        <f aca="false">IF(P807&lt;(Inputs!$E$27-Inputs!$D$27)/(Inputs!$F$27-Inputs!$D$27),Inputs!$D$27+SQRT(P807*(Inputs!$F$27-Inputs!$D$27)*(Inputs!$E$27-Inputs!$D$27)),Inputs!$F$27-SQRT((1-P807)*(Inputs!$F$27-Inputs!$D$27)*(Inputs!$F$27-Inputs!$E$27)))</f>
        <v>108.168920296851</v>
      </c>
      <c r="R807" s="81" t="n">
        <f aca="true">RAND()</f>
        <v>0.890882678820251</v>
      </c>
      <c r="S807" s="82" t="n">
        <f aca="false">IF(R807&lt;(Inputs!$E$29-Inputs!$D$29)/(Inputs!$F$29-Inputs!$D$29),Inputs!$D$29+SQRT(R807*(Inputs!$F$29-Inputs!$D$29)*(Inputs!$E$29-Inputs!$D$29)),Inputs!$F$29-SQRT((1-R807)*(Inputs!$F$29-Inputs!$D$29)*(Inputs!$F$29-Inputs!$E$29)))</f>
        <v>11.2336686612345</v>
      </c>
      <c r="T807" s="68" t="n">
        <f aca="false">Inputs!$E$9*(1+E807)+Inputs!$E$5*C807*(Inputs!$E$11*Inputs!$E$14*(G807*I807/Inputs!$E$16+(1-G807))*K807+Inputs!$E$23*M807)*(1+O807)+Inputs!$E$5*(Q807+S807)</f>
        <v>5802.98154406914</v>
      </c>
    </row>
    <row r="808" customFormat="false" ht="15" hidden="false" customHeight="false" outlineLevel="0" collapsed="false">
      <c r="A808" s="1" t="n">
        <v>804</v>
      </c>
      <c r="B808" s="81" t="n">
        <f aca="true">RAND()</f>
        <v>0.224951795425136</v>
      </c>
      <c r="C808" s="82" t="n">
        <f aca="false">ROUND(IF(B808&lt;(Inputs!$E$8-Inputs!$D$8)/(Inputs!$F$8-Inputs!$D$8),Inputs!$D$8+SQRT(B808*(Inputs!$F$8-Inputs!$D$8)*(Inputs!$E$8-Inputs!$D$8)),Inputs!$F$8-SQRT((1-B808)*(Inputs!$F$8-Inputs!$D$8)*(Inputs!$F$8-Inputs!$E$8))),0)</f>
        <v>23</v>
      </c>
      <c r="D808" s="81" t="n">
        <f aca="true">RAND()</f>
        <v>0.929386156982862</v>
      </c>
      <c r="E808" s="83" t="n">
        <f aca="false">IF(D808&lt;(Inputs!$E$10-Inputs!$D$10)/(Inputs!$F$10-Inputs!$D$10),Inputs!$D$10+SQRT(D808*(Inputs!$F$10-Inputs!$D$10)*(Inputs!$E$10-Inputs!$D$10)),Inputs!$F$10-SQRT((1-D808)*(Inputs!$F$10-Inputs!$D$10)*(Inputs!$F$10-Inputs!$E$10)))</f>
        <v>0.153973754329577</v>
      </c>
      <c r="F808" s="81" t="n">
        <f aca="true">RAND()</f>
        <v>0.143184438142684</v>
      </c>
      <c r="G808" s="83" t="n">
        <f aca="false">IF(F808&lt;(Inputs!$E$15-Inputs!$D$15)/(Inputs!$F$15-Inputs!$D$15),Inputs!$D$15+SQRT(F808*(Inputs!$F$15-Inputs!$D$15)*(Inputs!$E$15-Inputs!$D$15)),Inputs!$F$15-SQRT((1-F808)*(Inputs!$F$15-Inputs!$D$15)*(Inputs!$F$15-Inputs!$E$15)))</f>
        <v>0.653513444692467</v>
      </c>
      <c r="H808" s="81" t="n">
        <f aca="true">RAND()</f>
        <v>0.539937834972462</v>
      </c>
      <c r="I808" s="82" t="n">
        <f aca="false">ROUND(IF(H808&lt;(Inputs!$E$17-Inputs!$D$17)/(Inputs!$F$17-Inputs!$D$17),Inputs!$D$17+SQRT(H808*(Inputs!$F$17-Inputs!$D$17)*(Inputs!$E$17-Inputs!$D$17)),Inputs!$F$17-SQRT((1-H808)*(Inputs!$F$17-Inputs!$D$17)*(Inputs!$F$17-Inputs!$E$17))),0)</f>
        <v>107</v>
      </c>
      <c r="J808" s="81" t="n">
        <f aca="true">RAND()</f>
        <v>0.119635732145022</v>
      </c>
      <c r="K808" s="83" t="n">
        <f aca="false">IF(J808&lt;(Inputs!$E$18-Inputs!$D$18)/(Inputs!$F$18-Inputs!$D$18),Inputs!$D$18+SQRT(J808*(Inputs!$F$18-Inputs!$D$18)*(Inputs!$E$18-Inputs!$D$18)),Inputs!$F$18-SQRT((1-J808)*(Inputs!$F$18-Inputs!$D$18)*(Inputs!$F$18-Inputs!$E$18)))</f>
        <v>0.96470896866027</v>
      </c>
      <c r="L808" s="81" t="n">
        <f aca="true">RAND()</f>
        <v>0.721068764335168</v>
      </c>
      <c r="M808" s="83" t="n">
        <f aca="false">IF(L808&lt;(Inputs!$E$24-Inputs!$D$24)/(Inputs!$F$24-Inputs!$D$24),Inputs!$D$24+SQRT(L808*(Inputs!$F$24-Inputs!$D$24)*(Inputs!$E$24-Inputs!$D$24)),Inputs!$F$24-SQRT((1-L808)*(Inputs!$F$24-Inputs!$D$24)*(Inputs!$F$24-Inputs!$E$24)))</f>
        <v>0.941265586827806</v>
      </c>
      <c r="N808" s="81" t="n">
        <f aca="true">RAND()</f>
        <v>0.050046620874382</v>
      </c>
      <c r="O808" s="83" t="n">
        <f aca="false">IF(N808&lt;(Inputs!$E$26-Inputs!$D$26)/(Inputs!$F$26-Inputs!$D$26),Inputs!$D$26+SQRT(N808*(Inputs!$F$26-Inputs!$D$26)*(Inputs!$E$26-Inputs!$D$26)),Inputs!$F$26-SQRT((1-N808)*(Inputs!$F$26-Inputs!$D$26)*(Inputs!$F$26-Inputs!$E$26)))</f>
        <v>0.391256548880051</v>
      </c>
      <c r="P808" s="81" t="n">
        <f aca="true">RAND()</f>
        <v>0.467713448688606</v>
      </c>
      <c r="Q808" s="82" t="n">
        <f aca="false">IF(P808&lt;(Inputs!$E$27-Inputs!$D$27)/(Inputs!$F$27-Inputs!$D$27),Inputs!$D$27+SQRT(P808*(Inputs!$F$27-Inputs!$D$27)*(Inputs!$E$27-Inputs!$D$27)),Inputs!$F$27-SQRT((1-P808)*(Inputs!$F$27-Inputs!$D$27)*(Inputs!$F$27-Inputs!$E$27)))</f>
        <v>86.8165438201149</v>
      </c>
      <c r="R808" s="81" t="n">
        <f aca="true">RAND()</f>
        <v>0.326476982854222</v>
      </c>
      <c r="S808" s="82" t="n">
        <f aca="false">IF(R808&lt;(Inputs!$E$29-Inputs!$D$29)/(Inputs!$F$29-Inputs!$D$29),Inputs!$D$29+SQRT(R808*(Inputs!$F$29-Inputs!$D$29)*(Inputs!$E$29-Inputs!$D$29)),Inputs!$F$29-SQRT((1-R808)*(Inputs!$F$29-Inputs!$D$29)*(Inputs!$F$29-Inputs!$E$29)))</f>
        <v>5.64275723148367</v>
      </c>
      <c r="T808" s="68" t="n">
        <f aca="false">Inputs!$E$9*(1+E808)+Inputs!$E$5*C808*(Inputs!$E$11*Inputs!$E$14*(G808*I808/Inputs!$E$16+(1-G808))*K808+Inputs!$E$23*M808)*(1+O808)+Inputs!$E$5*(Q808+S808)</f>
        <v>5797.14554018817</v>
      </c>
    </row>
    <row r="809" customFormat="false" ht="15" hidden="false" customHeight="false" outlineLevel="0" collapsed="false">
      <c r="A809" s="1" t="n">
        <v>805</v>
      </c>
      <c r="B809" s="81" t="n">
        <f aca="true">RAND()</f>
        <v>0.802897169721623</v>
      </c>
      <c r="C809" s="82" t="n">
        <f aca="false">ROUND(IF(B809&lt;(Inputs!$E$8-Inputs!$D$8)/(Inputs!$F$8-Inputs!$D$8),Inputs!$D$8+SQRT(B809*(Inputs!$F$8-Inputs!$D$8)*(Inputs!$E$8-Inputs!$D$8)),Inputs!$F$8-SQRT((1-B809)*(Inputs!$F$8-Inputs!$D$8)*(Inputs!$F$8-Inputs!$E$8))),0)</f>
        <v>27</v>
      </c>
      <c r="D809" s="81" t="n">
        <f aca="true">RAND()</f>
        <v>0.418453169114363</v>
      </c>
      <c r="E809" s="83" t="n">
        <f aca="false">IF(D809&lt;(Inputs!$E$10-Inputs!$D$10)/(Inputs!$F$10-Inputs!$D$10),Inputs!$D$10+SQRT(D809*(Inputs!$F$10-Inputs!$D$10)*(Inputs!$E$10-Inputs!$D$10)),Inputs!$F$10-SQRT((1-D809)*(Inputs!$F$10-Inputs!$D$10)*(Inputs!$F$10-Inputs!$E$10)))</f>
        <v>0.0679151601183197</v>
      </c>
      <c r="F809" s="81" t="n">
        <f aca="true">RAND()</f>
        <v>0.510136254961124</v>
      </c>
      <c r="G809" s="83" t="n">
        <f aca="false">IF(F809&lt;(Inputs!$E$15-Inputs!$D$15)/(Inputs!$F$15-Inputs!$D$15),Inputs!$D$15+SQRT(F809*(Inputs!$F$15-Inputs!$D$15)*(Inputs!$E$15-Inputs!$D$15)),Inputs!$F$15-SQRT((1-F809)*(Inputs!$F$15-Inputs!$D$15)*(Inputs!$F$15-Inputs!$E$15)))</f>
        <v>0.701018815420417</v>
      </c>
      <c r="H809" s="81" t="n">
        <f aca="true">RAND()</f>
        <v>0.953690184696193</v>
      </c>
      <c r="I809" s="82" t="n">
        <f aca="false">ROUND(IF(H809&lt;(Inputs!$E$17-Inputs!$D$17)/(Inputs!$F$17-Inputs!$D$17),Inputs!$D$17+SQRT(H809*(Inputs!$F$17-Inputs!$D$17)*(Inputs!$E$17-Inputs!$D$17)),Inputs!$F$17-SQRT((1-H809)*(Inputs!$F$17-Inputs!$D$17)*(Inputs!$F$17-Inputs!$E$17))),0)</f>
        <v>112</v>
      </c>
      <c r="J809" s="81" t="n">
        <f aca="true">RAND()</f>
        <v>0.119122957039633</v>
      </c>
      <c r="K809" s="83" t="n">
        <f aca="false">IF(J809&lt;(Inputs!$E$18-Inputs!$D$18)/(Inputs!$F$18-Inputs!$D$18),Inputs!$D$18+SQRT(J809*(Inputs!$F$18-Inputs!$D$18)*(Inputs!$E$18-Inputs!$D$18)),Inputs!$F$18-SQRT((1-J809)*(Inputs!$F$18-Inputs!$D$18)*(Inputs!$F$18-Inputs!$E$18)))</f>
        <v>0.964570144001599</v>
      </c>
      <c r="L809" s="81" t="n">
        <f aca="true">RAND()</f>
        <v>0.298285577711326</v>
      </c>
      <c r="M809" s="83" t="n">
        <f aca="false">IF(L809&lt;(Inputs!$E$24-Inputs!$D$24)/(Inputs!$F$24-Inputs!$D$24),Inputs!$D$24+SQRT(L809*(Inputs!$F$24-Inputs!$D$24)*(Inputs!$E$24-Inputs!$D$24)),Inputs!$F$24-SQRT((1-L809)*(Inputs!$F$24-Inputs!$D$24)*(Inputs!$F$24-Inputs!$E$24)))</f>
        <v>0.789193734899862</v>
      </c>
      <c r="N809" s="81" t="n">
        <f aca="true">RAND()</f>
        <v>0.512901471424688</v>
      </c>
      <c r="O809" s="83" t="n">
        <f aca="false">IF(N809&lt;(Inputs!$E$26-Inputs!$D$26)/(Inputs!$F$26-Inputs!$D$26),Inputs!$D$26+SQRT(N809*(Inputs!$F$26-Inputs!$D$26)*(Inputs!$E$26-Inputs!$D$26)),Inputs!$F$26-SQRT((1-N809)*(Inputs!$F$26-Inputs!$D$26)*(Inputs!$F$26-Inputs!$E$26)))</f>
        <v>0.592141754710052</v>
      </c>
      <c r="P809" s="81" t="n">
        <f aca="true">RAND()</f>
        <v>0.654159997721468</v>
      </c>
      <c r="Q809" s="82" t="n">
        <f aca="false">IF(P809&lt;(Inputs!$E$27-Inputs!$D$27)/(Inputs!$F$27-Inputs!$D$27),Inputs!$D$27+SQRT(P809*(Inputs!$F$27-Inputs!$D$27)*(Inputs!$E$27-Inputs!$D$27)),Inputs!$F$27-SQRT((1-P809)*(Inputs!$F$27-Inputs!$D$27)*(Inputs!$F$27-Inputs!$E$27)))</f>
        <v>99.0706369852421</v>
      </c>
      <c r="R809" s="81" t="n">
        <f aca="true">RAND()</f>
        <v>0.252294887994312</v>
      </c>
      <c r="S809" s="82" t="n">
        <f aca="false">IF(R809&lt;(Inputs!$E$29-Inputs!$D$29)/(Inputs!$F$29-Inputs!$D$29),Inputs!$D$29+SQRT(R809*(Inputs!$F$29-Inputs!$D$29)*(Inputs!$E$29-Inputs!$D$29)),Inputs!$F$29-SQRT((1-R809)*(Inputs!$F$29-Inputs!$D$29)*(Inputs!$F$29-Inputs!$E$29)))</f>
        <v>5.1409095469846</v>
      </c>
      <c r="T809" s="68" t="n">
        <f aca="false">Inputs!$E$9*(1+E809)+Inputs!$E$5*C809*(Inputs!$E$11*Inputs!$E$14*(G809*I809/Inputs!$E$16+(1-G809))*K809+Inputs!$E$23*M809)*(1+O809)+Inputs!$E$5*(Q809+S809)</f>
        <v>6389.95174829924</v>
      </c>
    </row>
    <row r="810" customFormat="false" ht="15" hidden="false" customHeight="false" outlineLevel="0" collapsed="false">
      <c r="A810" s="1" t="n">
        <v>806</v>
      </c>
      <c r="B810" s="81" t="n">
        <f aca="true">RAND()</f>
        <v>0.519060745111536</v>
      </c>
      <c r="C810" s="82" t="n">
        <f aca="false">ROUND(IF(B810&lt;(Inputs!$E$8-Inputs!$D$8)/(Inputs!$F$8-Inputs!$D$8),Inputs!$D$8+SQRT(B810*(Inputs!$F$8-Inputs!$D$8)*(Inputs!$E$8-Inputs!$D$8)),Inputs!$F$8-SQRT((1-B810)*(Inputs!$F$8-Inputs!$D$8)*(Inputs!$F$8-Inputs!$E$8))),0)</f>
        <v>25</v>
      </c>
      <c r="D810" s="81" t="n">
        <f aca="true">RAND()</f>
        <v>0.495941611618896</v>
      </c>
      <c r="E810" s="83" t="n">
        <f aca="false">IF(D810&lt;(Inputs!$E$10-Inputs!$D$10)/(Inputs!$F$10-Inputs!$D$10),Inputs!$D$10+SQRT(D810*(Inputs!$F$10-Inputs!$D$10)*(Inputs!$E$10-Inputs!$D$10)),Inputs!$F$10-SQRT((1-D810)*(Inputs!$F$10-Inputs!$D$10)*(Inputs!$F$10-Inputs!$E$10)))</f>
        <v>0.0770294683615903</v>
      </c>
      <c r="F810" s="81" t="n">
        <f aca="true">RAND()</f>
        <v>0.791835180852641</v>
      </c>
      <c r="G810" s="83" t="n">
        <f aca="false">IF(F810&lt;(Inputs!$E$15-Inputs!$D$15)/(Inputs!$F$15-Inputs!$D$15),Inputs!$D$15+SQRT(F810*(Inputs!$F$15-Inputs!$D$15)*(Inputs!$E$15-Inputs!$D$15)),Inputs!$F$15-SQRT((1-F810)*(Inputs!$F$15-Inputs!$D$15)*(Inputs!$F$15-Inputs!$E$15)))</f>
        <v>0.73547638894988</v>
      </c>
      <c r="H810" s="81" t="n">
        <f aca="true">RAND()</f>
        <v>0.587954266046272</v>
      </c>
      <c r="I810" s="82" t="n">
        <f aca="false">ROUND(IF(H810&lt;(Inputs!$E$17-Inputs!$D$17)/(Inputs!$F$17-Inputs!$D$17),Inputs!$D$17+SQRT(H810*(Inputs!$F$17-Inputs!$D$17)*(Inputs!$E$17-Inputs!$D$17)),Inputs!$F$17-SQRT((1-H810)*(Inputs!$F$17-Inputs!$D$17)*(Inputs!$F$17-Inputs!$E$17))),0)</f>
        <v>107</v>
      </c>
      <c r="J810" s="81" t="n">
        <f aca="true">RAND()</f>
        <v>0.080145507289801</v>
      </c>
      <c r="K810" s="83" t="n">
        <f aca="false">IF(J810&lt;(Inputs!$E$18-Inputs!$D$18)/(Inputs!$F$18-Inputs!$D$18),Inputs!$D$18+SQRT(J810*(Inputs!$F$18-Inputs!$D$18)*(Inputs!$E$18-Inputs!$D$18)),Inputs!$F$18-SQRT((1-J810)*(Inputs!$F$18-Inputs!$D$18)*(Inputs!$F$18-Inputs!$E$18)))</f>
        <v>0.95296312637244</v>
      </c>
      <c r="L810" s="81" t="n">
        <f aca="true">RAND()</f>
        <v>0.786802756468719</v>
      </c>
      <c r="M810" s="83" t="n">
        <f aca="false">IF(L810&lt;(Inputs!$E$24-Inputs!$D$24)/(Inputs!$F$24-Inputs!$D$24),Inputs!$D$24+SQRT(L810*(Inputs!$F$24-Inputs!$D$24)*(Inputs!$E$24-Inputs!$D$24)),Inputs!$F$24-SQRT((1-L810)*(Inputs!$F$24-Inputs!$D$24)*(Inputs!$F$24-Inputs!$E$24)))</f>
        <v>0.973798014050479</v>
      </c>
      <c r="N810" s="81" t="n">
        <f aca="true">RAND()</f>
        <v>0.302445424889274</v>
      </c>
      <c r="O810" s="83" t="n">
        <f aca="false">IF(N810&lt;(Inputs!$E$26-Inputs!$D$26)/(Inputs!$F$26-Inputs!$D$26),Inputs!$D$26+SQRT(N810*(Inputs!$F$26-Inputs!$D$26)*(Inputs!$E$26-Inputs!$D$26)),Inputs!$F$26-SQRT((1-N810)*(Inputs!$F$26-Inputs!$D$26)*(Inputs!$F$26-Inputs!$E$26)))</f>
        <v>0.524336619172116</v>
      </c>
      <c r="P810" s="81" t="n">
        <f aca="true">RAND()</f>
        <v>0.274820657918953</v>
      </c>
      <c r="Q810" s="82" t="n">
        <f aca="false">IF(P810&lt;(Inputs!$E$27-Inputs!$D$27)/(Inputs!$F$27-Inputs!$D$27),Inputs!$D$27+SQRT(P810*(Inputs!$F$27-Inputs!$D$27)*(Inputs!$E$27-Inputs!$D$27)),Inputs!$F$27-SQRT((1-P810)*(Inputs!$F$27-Inputs!$D$27)*(Inputs!$F$27-Inputs!$E$27)))</f>
        <v>76.2514741462051</v>
      </c>
      <c r="R810" s="81" t="n">
        <f aca="true">RAND()</f>
        <v>0.0563975705896064</v>
      </c>
      <c r="S810" s="82" t="n">
        <f aca="false">IF(R810&lt;(Inputs!$E$29-Inputs!$D$29)/(Inputs!$F$29-Inputs!$D$29),Inputs!$D$29+SQRT(R810*(Inputs!$F$29-Inputs!$D$29)*(Inputs!$E$29-Inputs!$D$29)),Inputs!$F$29-SQRT((1-R810)*(Inputs!$F$29-Inputs!$D$29)*(Inputs!$F$29-Inputs!$E$29)))</f>
        <v>3.48307290886006</v>
      </c>
      <c r="T810" s="68" t="n">
        <f aca="false">Inputs!$E$9*(1+E810)+Inputs!$E$5*C810*(Inputs!$E$11*Inputs!$E$14*(G810*I810/Inputs!$E$16+(1-G810))*K810+Inputs!$E$23*M810)*(1+O810)+Inputs!$E$5*(Q810+S810)</f>
        <v>6020.67832053202</v>
      </c>
    </row>
    <row r="811" customFormat="false" ht="15" hidden="false" customHeight="false" outlineLevel="0" collapsed="false">
      <c r="A811" s="1" t="n">
        <v>807</v>
      </c>
      <c r="B811" s="81" t="n">
        <f aca="true">RAND()</f>
        <v>0.449751967768175</v>
      </c>
      <c r="C811" s="82" t="n">
        <f aca="false">ROUND(IF(B811&lt;(Inputs!$E$8-Inputs!$D$8)/(Inputs!$F$8-Inputs!$D$8),Inputs!$D$8+SQRT(B811*(Inputs!$F$8-Inputs!$D$8)*(Inputs!$E$8-Inputs!$D$8)),Inputs!$F$8-SQRT((1-B811)*(Inputs!$F$8-Inputs!$D$8)*(Inputs!$F$8-Inputs!$E$8))),0)</f>
        <v>25</v>
      </c>
      <c r="D811" s="81" t="n">
        <f aca="true">RAND()</f>
        <v>0.169870016849269</v>
      </c>
      <c r="E811" s="83" t="n">
        <f aca="false">IF(D811&lt;(Inputs!$E$10-Inputs!$D$10)/(Inputs!$F$10-Inputs!$D$10),Inputs!$D$10+SQRT(D811*(Inputs!$F$10-Inputs!$D$10)*(Inputs!$E$10-Inputs!$D$10)),Inputs!$F$10-SQRT((1-D811)*(Inputs!$F$10-Inputs!$D$10)*(Inputs!$F$10-Inputs!$E$10)))</f>
        <v>0.0412152904695901</v>
      </c>
      <c r="F811" s="81" t="n">
        <f aca="true">RAND()</f>
        <v>0.00527830407834297</v>
      </c>
      <c r="G811" s="83" t="n">
        <f aca="false">IF(F811&lt;(Inputs!$E$15-Inputs!$D$15)/(Inputs!$F$15-Inputs!$D$15),Inputs!$D$15+SQRT(F811*(Inputs!$F$15-Inputs!$D$15)*(Inputs!$E$15-Inputs!$D$15)),Inputs!$F$15-SQRT((1-F811)*(Inputs!$F$15-Inputs!$D$15)*(Inputs!$F$15-Inputs!$E$15)))</f>
        <v>0.610274535588865</v>
      </c>
      <c r="H811" s="81" t="n">
        <f aca="true">RAND()</f>
        <v>0.505443297234242</v>
      </c>
      <c r="I811" s="82" t="n">
        <f aca="false">ROUND(IF(H811&lt;(Inputs!$E$17-Inputs!$D$17)/(Inputs!$F$17-Inputs!$D$17),Inputs!$D$17+SQRT(H811*(Inputs!$F$17-Inputs!$D$17)*(Inputs!$E$17-Inputs!$D$17)),Inputs!$F$17-SQRT((1-H811)*(Inputs!$F$17-Inputs!$D$17)*(Inputs!$F$17-Inputs!$E$17))),0)</f>
        <v>106</v>
      </c>
      <c r="J811" s="81" t="n">
        <f aca="true">RAND()</f>
        <v>0.531874015234878</v>
      </c>
      <c r="K811" s="83" t="n">
        <f aca="false">IF(J811&lt;(Inputs!$E$18-Inputs!$D$18)/(Inputs!$F$18-Inputs!$D$18),Inputs!$D$18+SQRT(J811*(Inputs!$F$18-Inputs!$D$18)*(Inputs!$E$18-Inputs!$D$18)),Inputs!$F$18-SQRT((1-J811)*(Inputs!$F$18-Inputs!$D$18)*(Inputs!$F$18-Inputs!$E$18)))</f>
        <v>1.04761170076571</v>
      </c>
      <c r="L811" s="81" t="n">
        <f aca="true">RAND()</f>
        <v>0.506937614993965</v>
      </c>
      <c r="M811" s="83" t="n">
        <f aca="false">IF(L811&lt;(Inputs!$E$24-Inputs!$D$24)/(Inputs!$F$24-Inputs!$D$24),Inputs!$D$24+SQRT(L811*(Inputs!$F$24-Inputs!$D$24)*(Inputs!$E$24-Inputs!$D$24)),Inputs!$F$24-SQRT((1-L811)*(Inputs!$F$24-Inputs!$D$24)*(Inputs!$F$24-Inputs!$E$24)))</f>
        <v>0.856001493605789</v>
      </c>
      <c r="N811" s="81" t="n">
        <f aca="true">RAND()</f>
        <v>0.700807972878514</v>
      </c>
      <c r="O811" s="83" t="n">
        <f aca="false">IF(N811&lt;(Inputs!$E$26-Inputs!$D$26)/(Inputs!$F$26-Inputs!$D$26),Inputs!$D$26+SQRT(N811*(Inputs!$F$26-Inputs!$D$26)*(Inputs!$E$26-Inputs!$D$26)),Inputs!$F$26-SQRT((1-N811)*(Inputs!$F$26-Inputs!$D$26)*(Inputs!$F$26-Inputs!$E$26)))</f>
        <v>0.64360280381867</v>
      </c>
      <c r="P811" s="81" t="n">
        <f aca="true">RAND()</f>
        <v>0.460091561076834</v>
      </c>
      <c r="Q811" s="82" t="n">
        <f aca="false">IF(P811&lt;(Inputs!$E$27-Inputs!$D$27)/(Inputs!$F$27-Inputs!$D$27),Inputs!$D$27+SQRT(P811*(Inputs!$F$27-Inputs!$D$27)*(Inputs!$E$27-Inputs!$D$27)),Inputs!$F$27-SQRT((1-P811)*(Inputs!$F$27-Inputs!$D$27)*(Inputs!$F$27-Inputs!$E$27)))</f>
        <v>86.3657852101266</v>
      </c>
      <c r="R811" s="81" t="n">
        <f aca="true">RAND()</f>
        <v>0.407118339369581</v>
      </c>
      <c r="S811" s="82" t="n">
        <f aca="false">IF(R811&lt;(Inputs!$E$29-Inputs!$D$29)/(Inputs!$F$29-Inputs!$D$29),Inputs!$D$29+SQRT(R811*(Inputs!$F$29-Inputs!$D$29)*(Inputs!$E$29-Inputs!$D$29)),Inputs!$F$29-SQRT((1-R811)*(Inputs!$F$29-Inputs!$D$29)*(Inputs!$F$29-Inputs!$E$29)))</f>
        <v>6.22078500764706</v>
      </c>
      <c r="T811" s="68" t="n">
        <f aca="false">Inputs!$E$9*(1+E811)+Inputs!$E$5*C811*(Inputs!$E$11*Inputs!$E$14*(G811*I811/Inputs!$E$16+(1-G811))*K811+Inputs!$E$23*M811)*(1+O811)+Inputs!$E$5*(Q811+S811)</f>
        <v>6458.76357222204</v>
      </c>
    </row>
    <row r="812" customFormat="false" ht="15" hidden="false" customHeight="false" outlineLevel="0" collapsed="false">
      <c r="A812" s="1" t="n">
        <v>808</v>
      </c>
      <c r="B812" s="81" t="n">
        <f aca="true">RAND()</f>
        <v>0.055476485134416</v>
      </c>
      <c r="C812" s="82" t="n">
        <f aca="false">ROUND(IF(B812&lt;(Inputs!$E$8-Inputs!$D$8)/(Inputs!$F$8-Inputs!$D$8),Inputs!$D$8+SQRT(B812*(Inputs!$F$8-Inputs!$D$8)*(Inputs!$E$8-Inputs!$D$8)),Inputs!$F$8-SQRT((1-B812)*(Inputs!$F$8-Inputs!$D$8)*(Inputs!$F$8-Inputs!$E$8))),0)</f>
        <v>22</v>
      </c>
      <c r="D812" s="81" t="n">
        <f aca="true">RAND()</f>
        <v>0.397337450445983</v>
      </c>
      <c r="E812" s="83" t="n">
        <f aca="false">IF(D812&lt;(Inputs!$E$10-Inputs!$D$10)/(Inputs!$F$10-Inputs!$D$10),Inputs!$D$10+SQRT(D812*(Inputs!$F$10-Inputs!$D$10)*(Inputs!$E$10-Inputs!$D$10)),Inputs!$F$10-SQRT((1-D812)*(Inputs!$F$10-Inputs!$D$10)*(Inputs!$F$10-Inputs!$E$10)))</f>
        <v>0.0655385687766915</v>
      </c>
      <c r="F812" s="81" t="n">
        <f aca="true">RAND()</f>
        <v>0.365840567419132</v>
      </c>
      <c r="G812" s="83" t="n">
        <f aca="false">IF(F812&lt;(Inputs!$E$15-Inputs!$D$15)/(Inputs!$F$15-Inputs!$D$15),Inputs!$D$15+SQRT(F812*(Inputs!$F$15-Inputs!$D$15)*(Inputs!$E$15-Inputs!$D$15)),Inputs!$F$15-SQRT((1-F812)*(Inputs!$F$15-Inputs!$D$15)*(Inputs!$F$15-Inputs!$E$15)))</f>
        <v>0.685538361852345</v>
      </c>
      <c r="H812" s="81" t="n">
        <f aca="true">RAND()</f>
        <v>0.0782686215237437</v>
      </c>
      <c r="I812" s="82" t="n">
        <f aca="false">ROUND(IF(H812&lt;(Inputs!$E$17-Inputs!$D$17)/(Inputs!$F$17-Inputs!$D$17),Inputs!$D$17+SQRT(H812*(Inputs!$F$17-Inputs!$D$17)*(Inputs!$E$17-Inputs!$D$17)),Inputs!$F$17-SQRT((1-H812)*(Inputs!$F$17-Inputs!$D$17)*(Inputs!$F$17-Inputs!$E$17))),0)</f>
        <v>102</v>
      </c>
      <c r="J812" s="81" t="n">
        <f aca="true">RAND()</f>
        <v>0.891157107250828</v>
      </c>
      <c r="K812" s="83" t="n">
        <f aca="false">IF(J812&lt;(Inputs!$E$18-Inputs!$D$18)/(Inputs!$F$18-Inputs!$D$18),Inputs!$D$18+SQRT(J812*(Inputs!$F$18-Inputs!$D$18)*(Inputs!$E$18-Inputs!$D$18)),Inputs!$F$18-SQRT((1-J812)*(Inputs!$F$18-Inputs!$D$18)*(Inputs!$F$18-Inputs!$E$18)))</f>
        <v>1.15241028171189</v>
      </c>
      <c r="L812" s="81" t="n">
        <f aca="true">RAND()</f>
        <v>0.650145256765955</v>
      </c>
      <c r="M812" s="83" t="n">
        <f aca="false">IF(L812&lt;(Inputs!$E$24-Inputs!$D$24)/(Inputs!$F$24-Inputs!$D$24),Inputs!$D$24+SQRT(L812*(Inputs!$F$24-Inputs!$D$24)*(Inputs!$E$24-Inputs!$D$24)),Inputs!$F$24-SQRT((1-L812)*(Inputs!$F$24-Inputs!$D$24)*(Inputs!$F$24-Inputs!$E$24)))</f>
        <v>0.910232613332399</v>
      </c>
      <c r="N812" s="81" t="n">
        <f aca="true">RAND()</f>
        <v>0.463628673294535</v>
      </c>
      <c r="O812" s="83" t="n">
        <f aca="false">IF(N812&lt;(Inputs!$E$26-Inputs!$D$26)/(Inputs!$F$26-Inputs!$D$26),Inputs!$D$26+SQRT(N812*(Inputs!$F$26-Inputs!$D$26)*(Inputs!$E$26-Inputs!$D$26)),Inputs!$F$26-SQRT((1-N812)*(Inputs!$F$26-Inputs!$D$26)*(Inputs!$F$26-Inputs!$E$26)))</f>
        <v>0.577754948175925</v>
      </c>
      <c r="P812" s="81" t="n">
        <f aca="true">RAND()</f>
        <v>0.853929322335327</v>
      </c>
      <c r="Q812" s="82" t="n">
        <f aca="false">IF(P812&lt;(Inputs!$E$27-Inputs!$D$27)/(Inputs!$F$27-Inputs!$D$27),Inputs!$D$27+SQRT(P812*(Inputs!$F$27-Inputs!$D$27)*(Inputs!$E$27-Inputs!$D$27)),Inputs!$F$27-SQRT((1-P812)*(Inputs!$F$27-Inputs!$D$27)*(Inputs!$F$27-Inputs!$E$27)))</f>
        <v>116.901207235232</v>
      </c>
      <c r="R812" s="81" t="n">
        <f aca="true">RAND()</f>
        <v>0.951792268125019</v>
      </c>
      <c r="S812" s="82" t="n">
        <f aca="false">IF(R812&lt;(Inputs!$E$29-Inputs!$D$29)/(Inputs!$F$29-Inputs!$D$29),Inputs!$D$29+SQRT(R812*(Inputs!$F$29-Inputs!$D$29)*(Inputs!$E$29-Inputs!$D$29)),Inputs!$F$29-SQRT((1-R812)*(Inputs!$F$29-Inputs!$D$29)*(Inputs!$F$29-Inputs!$E$29)))</f>
        <v>12.496601281508</v>
      </c>
      <c r="T812" s="68" t="n">
        <f aca="false">Inputs!$E$9*(1+E812)+Inputs!$E$5*C812*(Inputs!$E$11*Inputs!$E$14*(G812*I812/Inputs!$E$16+(1-G812))*K812+Inputs!$E$23*M812)*(1+O812)+Inputs!$E$5*(Q812+S812)</f>
        <v>6250.66124094925</v>
      </c>
    </row>
    <row r="813" customFormat="false" ht="15" hidden="false" customHeight="false" outlineLevel="0" collapsed="false">
      <c r="A813" s="1" t="n">
        <v>809</v>
      </c>
      <c r="B813" s="81" t="n">
        <f aca="true">RAND()</f>
        <v>0.110636093204516</v>
      </c>
      <c r="C813" s="82" t="n">
        <f aca="false">ROUND(IF(B813&lt;(Inputs!$E$8-Inputs!$D$8)/(Inputs!$F$8-Inputs!$D$8),Inputs!$D$8+SQRT(B813*(Inputs!$F$8-Inputs!$D$8)*(Inputs!$E$8-Inputs!$D$8)),Inputs!$F$8-SQRT((1-B813)*(Inputs!$F$8-Inputs!$D$8)*(Inputs!$F$8-Inputs!$E$8))),0)</f>
        <v>22</v>
      </c>
      <c r="D813" s="81" t="n">
        <f aca="true">RAND()</f>
        <v>0.509745970809044</v>
      </c>
      <c r="E813" s="83" t="n">
        <f aca="false">IF(D813&lt;(Inputs!$E$10-Inputs!$D$10)/(Inputs!$F$10-Inputs!$D$10),Inputs!$D$10+SQRT(D813*(Inputs!$F$10-Inputs!$D$10)*(Inputs!$E$10-Inputs!$D$10)),Inputs!$F$10-SQRT((1-D813)*(Inputs!$F$10-Inputs!$D$10)*(Inputs!$F$10-Inputs!$E$10)))</f>
        <v>0.0787250195805884</v>
      </c>
      <c r="F813" s="81" t="n">
        <f aca="true">RAND()</f>
        <v>0.500210250379664</v>
      </c>
      <c r="G813" s="83" t="n">
        <f aca="false">IF(F813&lt;(Inputs!$E$15-Inputs!$D$15)/(Inputs!$F$15-Inputs!$D$15),Inputs!$D$15+SQRT(F813*(Inputs!$F$15-Inputs!$D$15)*(Inputs!$E$15-Inputs!$D$15)),Inputs!$F$15-SQRT((1-F813)*(Inputs!$F$15-Inputs!$D$15)*(Inputs!$F$15-Inputs!$E$15)))</f>
        <v>0.700021027248692</v>
      </c>
      <c r="H813" s="81" t="n">
        <f aca="true">RAND()</f>
        <v>0.162679062185234</v>
      </c>
      <c r="I813" s="82" t="n">
        <f aca="false">ROUND(IF(H813&lt;(Inputs!$E$17-Inputs!$D$17)/(Inputs!$F$17-Inputs!$D$17),Inputs!$D$17+SQRT(H813*(Inputs!$F$17-Inputs!$D$17)*(Inputs!$E$17-Inputs!$D$17)),Inputs!$F$17-SQRT((1-H813)*(Inputs!$F$17-Inputs!$D$17)*(Inputs!$F$17-Inputs!$E$17))),0)</f>
        <v>103</v>
      </c>
      <c r="J813" s="81" t="n">
        <f aca="true">RAND()</f>
        <v>0.588079050777839</v>
      </c>
      <c r="K813" s="83" t="n">
        <f aca="false">IF(J813&lt;(Inputs!$E$18-Inputs!$D$18)/(Inputs!$F$18-Inputs!$D$18),Inputs!$D$18+SQRT(J813*(Inputs!$F$18-Inputs!$D$18)*(Inputs!$E$18-Inputs!$D$18)),Inputs!$F$18-SQRT((1-J813)*(Inputs!$F$18-Inputs!$D$18)*(Inputs!$F$18-Inputs!$E$18)))</f>
        <v>1.06014984051379</v>
      </c>
      <c r="L813" s="81" t="n">
        <f aca="true">RAND()</f>
        <v>0.418612702902479</v>
      </c>
      <c r="M813" s="83" t="n">
        <f aca="false">IF(L813&lt;(Inputs!$E$24-Inputs!$D$24)/(Inputs!$F$24-Inputs!$D$24),Inputs!$D$24+SQRT(L813*(Inputs!$F$24-Inputs!$D$24)*(Inputs!$E$24-Inputs!$D$24)),Inputs!$F$24-SQRT((1-L813)*(Inputs!$F$24-Inputs!$D$24)*(Inputs!$F$24-Inputs!$E$24)))</f>
        <v>0.826458902791935</v>
      </c>
      <c r="N813" s="81" t="n">
        <f aca="true">RAND()</f>
        <v>0.885587454234746</v>
      </c>
      <c r="O813" s="83" t="n">
        <f aca="false">IF(N813&lt;(Inputs!$E$26-Inputs!$D$26)/(Inputs!$F$26-Inputs!$D$26),Inputs!$D$26+SQRT(N813*(Inputs!$F$26-Inputs!$D$26)*(Inputs!$E$26-Inputs!$D$26)),Inputs!$F$26-SQRT((1-N813)*(Inputs!$F$26-Inputs!$D$26)*(Inputs!$F$26-Inputs!$E$26)))</f>
        <v>0.71091789899536</v>
      </c>
      <c r="P813" s="81" t="n">
        <f aca="true">RAND()</f>
        <v>0.38365430739484</v>
      </c>
      <c r="Q813" s="82" t="n">
        <f aca="false">IF(P813&lt;(Inputs!$E$27-Inputs!$D$27)/(Inputs!$F$27-Inputs!$D$27),Inputs!$D$27+SQRT(P813*(Inputs!$F$27-Inputs!$D$27)*(Inputs!$E$27-Inputs!$D$27)),Inputs!$F$27-SQRT((1-P813)*(Inputs!$F$27-Inputs!$D$27)*(Inputs!$F$27-Inputs!$E$27)))</f>
        <v>82.0103486217299</v>
      </c>
      <c r="R813" s="81" t="n">
        <f aca="true">RAND()</f>
        <v>0.83196082850235</v>
      </c>
      <c r="S813" s="82" t="n">
        <f aca="false">IF(R813&lt;(Inputs!$E$29-Inputs!$D$29)/(Inputs!$F$29-Inputs!$D$29),Inputs!$D$29+SQRT(R813*(Inputs!$F$29-Inputs!$D$29)*(Inputs!$E$29-Inputs!$D$29)),Inputs!$F$29-SQRT((1-R813)*(Inputs!$F$29-Inputs!$D$29)*(Inputs!$F$29-Inputs!$E$29)))</f>
        <v>10.3261266282991</v>
      </c>
      <c r="T813" s="68" t="n">
        <f aca="false">Inputs!$E$9*(1+E813)+Inputs!$E$5*C813*(Inputs!$E$11*Inputs!$E$14*(G813*I813/Inputs!$E$16+(1-G813))*K813+Inputs!$E$23*M813)*(1+O813)+Inputs!$E$5*(Q813+S813)</f>
        <v>6063.52294421155</v>
      </c>
    </row>
    <row r="814" customFormat="false" ht="15" hidden="false" customHeight="false" outlineLevel="0" collapsed="false">
      <c r="A814" s="1" t="n">
        <v>810</v>
      </c>
      <c r="B814" s="81" t="n">
        <f aca="true">RAND()</f>
        <v>0.761581513818564</v>
      </c>
      <c r="C814" s="82" t="n">
        <f aca="false">ROUND(IF(B814&lt;(Inputs!$E$8-Inputs!$D$8)/(Inputs!$F$8-Inputs!$D$8),Inputs!$D$8+SQRT(B814*(Inputs!$F$8-Inputs!$D$8)*(Inputs!$E$8-Inputs!$D$8)),Inputs!$F$8-SQRT((1-B814)*(Inputs!$F$8-Inputs!$D$8)*(Inputs!$F$8-Inputs!$E$8))),0)</f>
        <v>27</v>
      </c>
      <c r="D814" s="81" t="n">
        <f aca="true">RAND()</f>
        <v>0.649847251561401</v>
      </c>
      <c r="E814" s="83" t="n">
        <f aca="false">IF(D814&lt;(Inputs!$E$10-Inputs!$D$10)/(Inputs!$F$10-Inputs!$D$10),Inputs!$D$10+SQRT(D814*(Inputs!$F$10-Inputs!$D$10)*(Inputs!$E$10-Inputs!$D$10)),Inputs!$F$10-SQRT((1-D814)*(Inputs!$F$10-Inputs!$D$10)*(Inputs!$F$10-Inputs!$E$10)))</f>
        <v>0.0975081346976358</v>
      </c>
      <c r="F814" s="81" t="n">
        <f aca="true">RAND()</f>
        <v>0.382928185696517</v>
      </c>
      <c r="G814" s="83" t="n">
        <f aca="false">IF(F814&lt;(Inputs!$E$15-Inputs!$D$15)/(Inputs!$F$15-Inputs!$D$15),Inputs!$D$15+SQRT(F814*(Inputs!$F$15-Inputs!$D$15)*(Inputs!$E$15-Inputs!$D$15)),Inputs!$F$15-SQRT((1-F814)*(Inputs!$F$15-Inputs!$D$15)*(Inputs!$F$15-Inputs!$E$15)))</f>
        <v>0.687513220223749</v>
      </c>
      <c r="H814" s="81" t="n">
        <f aca="true">RAND()</f>
        <v>0.264595084651966</v>
      </c>
      <c r="I814" s="82" t="n">
        <f aca="false">ROUND(IF(H814&lt;(Inputs!$E$17-Inputs!$D$17)/(Inputs!$F$17-Inputs!$D$17),Inputs!$D$17+SQRT(H814*(Inputs!$F$17-Inputs!$D$17)*(Inputs!$E$17-Inputs!$D$17)),Inputs!$F$17-SQRT((1-H814)*(Inputs!$F$17-Inputs!$D$17)*(Inputs!$F$17-Inputs!$E$17))),0)</f>
        <v>104</v>
      </c>
      <c r="J814" s="81" t="n">
        <f aca="true">RAND()</f>
        <v>0.562364019887073</v>
      </c>
      <c r="K814" s="83" t="n">
        <f aca="false">IF(J814&lt;(Inputs!$E$18-Inputs!$D$18)/(Inputs!$F$18-Inputs!$D$18),Inputs!$D$18+SQRT(J814*(Inputs!$F$18-Inputs!$D$18)*(Inputs!$E$18-Inputs!$D$18)),Inputs!$F$18-SQRT((1-J814)*(Inputs!$F$18-Inputs!$D$18)*(Inputs!$F$18-Inputs!$E$18)))</f>
        <v>1.05431364825343</v>
      </c>
      <c r="L814" s="81" t="n">
        <f aca="true">RAND()</f>
        <v>0.48269292426453</v>
      </c>
      <c r="M814" s="83" t="n">
        <f aca="false">IF(L814&lt;(Inputs!$E$24-Inputs!$D$24)/(Inputs!$F$24-Inputs!$D$24),Inputs!$D$24+SQRT(L814*(Inputs!$F$24-Inputs!$D$24)*(Inputs!$E$24-Inputs!$D$24)),Inputs!$F$24-SQRT((1-L814)*(Inputs!$F$24-Inputs!$D$24)*(Inputs!$F$24-Inputs!$E$24)))</f>
        <v>0.847645493605499</v>
      </c>
      <c r="N814" s="81" t="n">
        <f aca="true">RAND()</f>
        <v>0.50665771280228</v>
      </c>
      <c r="O814" s="83" t="n">
        <f aca="false">IF(N814&lt;(Inputs!$E$26-Inputs!$D$26)/(Inputs!$F$26-Inputs!$D$26),Inputs!$D$26+SQRT(N814*(Inputs!$F$26-Inputs!$D$26)*(Inputs!$E$26-Inputs!$D$26)),Inputs!$F$26-SQRT((1-N814)*(Inputs!$F$26-Inputs!$D$26)*(Inputs!$F$26-Inputs!$E$26)))</f>
        <v>0.590358129575012</v>
      </c>
      <c r="P814" s="81" t="n">
        <f aca="true">RAND()</f>
        <v>0.574426519366598</v>
      </c>
      <c r="Q814" s="82" t="n">
        <f aca="false">IF(P814&lt;(Inputs!$E$27-Inputs!$D$27)/(Inputs!$F$27-Inputs!$D$27),Inputs!$D$27+SQRT(P814*(Inputs!$F$27-Inputs!$D$27)*(Inputs!$E$27-Inputs!$D$27)),Inputs!$F$27-SQRT((1-P814)*(Inputs!$F$27-Inputs!$D$27)*(Inputs!$F$27-Inputs!$E$27)))</f>
        <v>93.503972663996</v>
      </c>
      <c r="R814" s="81" t="n">
        <f aca="true">RAND()</f>
        <v>0.196670188841303</v>
      </c>
      <c r="S814" s="82" t="n">
        <f aca="false">IF(R814&lt;(Inputs!$E$29-Inputs!$D$29)/(Inputs!$F$29-Inputs!$D$29),Inputs!$D$29+SQRT(R814*(Inputs!$F$29-Inputs!$D$29)*(Inputs!$E$29-Inputs!$D$29)),Inputs!$F$29-SQRT((1-R814)*(Inputs!$F$29-Inputs!$D$29)*(Inputs!$F$29-Inputs!$E$29)))</f>
        <v>4.76950128449344</v>
      </c>
      <c r="T814" s="68" t="n">
        <f aca="false">Inputs!$E$9*(1+E814)+Inputs!$E$5*C814*(Inputs!$E$11*Inputs!$E$14*(G814*I814/Inputs!$E$16+(1-G814))*K814+Inputs!$E$23*M814)*(1+O814)+Inputs!$E$5*(Q814+S814)</f>
        <v>6640.50988829423</v>
      </c>
    </row>
    <row r="815" customFormat="false" ht="15" hidden="false" customHeight="false" outlineLevel="0" collapsed="false">
      <c r="A815" s="1" t="n">
        <v>811</v>
      </c>
      <c r="B815" s="81" t="n">
        <f aca="true">RAND()</f>
        <v>0.754025741780579</v>
      </c>
      <c r="C815" s="82" t="n">
        <f aca="false">ROUND(IF(B815&lt;(Inputs!$E$8-Inputs!$D$8)/(Inputs!$F$8-Inputs!$D$8),Inputs!$D$8+SQRT(B815*(Inputs!$F$8-Inputs!$D$8)*(Inputs!$E$8-Inputs!$D$8)),Inputs!$F$8-SQRT((1-B815)*(Inputs!$F$8-Inputs!$D$8)*(Inputs!$F$8-Inputs!$E$8))),0)</f>
        <v>26</v>
      </c>
      <c r="D815" s="81" t="n">
        <f aca="true">RAND()</f>
        <v>0.898402974999352</v>
      </c>
      <c r="E815" s="83" t="n">
        <f aca="false">IF(D815&lt;(Inputs!$E$10-Inputs!$D$10)/(Inputs!$F$10-Inputs!$D$10),Inputs!$D$10+SQRT(D815*(Inputs!$F$10-Inputs!$D$10)*(Inputs!$E$10-Inputs!$D$10)),Inputs!$F$10-SQRT((1-D815)*(Inputs!$F$10-Inputs!$D$10)*(Inputs!$F$10-Inputs!$E$10)))</f>
        <v>0.144792113334964</v>
      </c>
      <c r="F815" s="81" t="n">
        <f aca="true">RAND()</f>
        <v>0.877947786555475</v>
      </c>
      <c r="G815" s="83" t="n">
        <f aca="false">IF(F815&lt;(Inputs!$E$15-Inputs!$D$15)/(Inputs!$F$15-Inputs!$D$15),Inputs!$D$15+SQRT(F815*(Inputs!$F$15-Inputs!$D$15)*(Inputs!$E$15-Inputs!$D$15)),Inputs!$F$15-SQRT((1-F815)*(Inputs!$F$15-Inputs!$D$15)*(Inputs!$F$15-Inputs!$E$15)))</f>
        <v>0.750593074686938</v>
      </c>
      <c r="H815" s="81" t="n">
        <f aca="true">RAND()</f>
        <v>0.26425686331147</v>
      </c>
      <c r="I815" s="82" t="n">
        <f aca="false">ROUND(IF(H815&lt;(Inputs!$E$17-Inputs!$D$17)/(Inputs!$F$17-Inputs!$D$17),Inputs!$D$17+SQRT(H815*(Inputs!$F$17-Inputs!$D$17)*(Inputs!$E$17-Inputs!$D$17)),Inputs!$F$17-SQRT((1-H815)*(Inputs!$F$17-Inputs!$D$17)*(Inputs!$F$17-Inputs!$E$17))),0)</f>
        <v>104</v>
      </c>
      <c r="J815" s="81" t="n">
        <f aca="true">RAND()</f>
        <v>0.834162339958127</v>
      </c>
      <c r="K815" s="83" t="n">
        <f aca="false">IF(J815&lt;(Inputs!$E$18-Inputs!$D$18)/(Inputs!$F$18-Inputs!$D$18),Inputs!$D$18+SQRT(J815*(Inputs!$F$18-Inputs!$D$18)*(Inputs!$E$18-Inputs!$D$18)),Inputs!$F$18-SQRT((1-J815)*(Inputs!$F$18-Inputs!$D$18)*(Inputs!$F$18-Inputs!$E$18)))</f>
        <v>1.12953923770097</v>
      </c>
      <c r="L815" s="81" t="n">
        <f aca="true">RAND()</f>
        <v>0.546908972759869</v>
      </c>
      <c r="M815" s="83" t="n">
        <f aca="false">IF(L815&lt;(Inputs!$E$24-Inputs!$D$24)/(Inputs!$F$24-Inputs!$D$24),Inputs!$D$24+SQRT(L815*(Inputs!$F$24-Inputs!$D$24)*(Inputs!$E$24-Inputs!$D$24)),Inputs!$F$24-SQRT((1-L815)*(Inputs!$F$24-Inputs!$D$24)*(Inputs!$F$24-Inputs!$E$24)))</f>
        <v>0.870239713522639</v>
      </c>
      <c r="N815" s="81" t="n">
        <f aca="true">RAND()</f>
        <v>0.110998251861931</v>
      </c>
      <c r="O815" s="83" t="n">
        <f aca="false">IF(N815&lt;(Inputs!$E$26-Inputs!$D$26)/(Inputs!$F$26-Inputs!$D$26),Inputs!$D$26+SQRT(N815*(Inputs!$F$26-Inputs!$D$26)*(Inputs!$E$26-Inputs!$D$26)),Inputs!$F$26-SQRT((1-N815)*(Inputs!$F$26-Inputs!$D$26)*(Inputs!$F$26-Inputs!$E$26)))</f>
        <v>0.435904779569467</v>
      </c>
      <c r="P815" s="81" t="n">
        <f aca="true">RAND()</f>
        <v>0.00498061794818475</v>
      </c>
      <c r="Q815" s="82" t="n">
        <f aca="false">IF(P815&lt;(Inputs!$E$27-Inputs!$D$27)/(Inputs!$F$27-Inputs!$D$27),Inputs!$D$27+SQRT(P815*(Inputs!$F$27-Inputs!$D$27)*(Inputs!$E$27-Inputs!$D$27)),Inputs!$F$27-SQRT((1-P815)*(Inputs!$F$27-Inputs!$D$27)*(Inputs!$F$27-Inputs!$E$27)))</f>
        <v>53.5286746620313</v>
      </c>
      <c r="R815" s="81" t="n">
        <f aca="true">RAND()</f>
        <v>0.670604518125574</v>
      </c>
      <c r="S815" s="82" t="n">
        <f aca="false">IF(R815&lt;(Inputs!$E$29-Inputs!$D$29)/(Inputs!$F$29-Inputs!$D$29),Inputs!$D$29+SQRT(R815*(Inputs!$F$29-Inputs!$D$29)*(Inputs!$E$29-Inputs!$D$29)),Inputs!$F$29-SQRT((1-R815)*(Inputs!$F$29-Inputs!$D$29)*(Inputs!$F$29-Inputs!$E$29)))</f>
        <v>8.45619280207039</v>
      </c>
      <c r="T815" s="68" t="n">
        <f aca="false">Inputs!$E$9*(1+E815)+Inputs!$E$5*C815*(Inputs!$E$11*Inputs!$E$14*(G815*I815/Inputs!$E$16+(1-G815))*K815+Inputs!$E$23*M815)*(1+O815)+Inputs!$E$5*(Q815+S815)</f>
        <v>6167.06123869968</v>
      </c>
    </row>
    <row r="816" customFormat="false" ht="15" hidden="false" customHeight="false" outlineLevel="0" collapsed="false">
      <c r="A816" s="1" t="n">
        <v>812</v>
      </c>
      <c r="B816" s="81" t="n">
        <f aca="true">RAND()</f>
        <v>0.12683666402563</v>
      </c>
      <c r="C816" s="82" t="n">
        <f aca="false">ROUND(IF(B816&lt;(Inputs!$E$8-Inputs!$D$8)/(Inputs!$F$8-Inputs!$D$8),Inputs!$D$8+SQRT(B816*(Inputs!$F$8-Inputs!$D$8)*(Inputs!$E$8-Inputs!$D$8)),Inputs!$F$8-SQRT((1-B816)*(Inputs!$F$8-Inputs!$D$8)*(Inputs!$F$8-Inputs!$E$8))),0)</f>
        <v>23</v>
      </c>
      <c r="D816" s="81" t="n">
        <f aca="true">RAND()</f>
        <v>0.766875367259628</v>
      </c>
      <c r="E816" s="83" t="n">
        <f aca="false">IF(D816&lt;(Inputs!$E$10-Inputs!$D$10)/(Inputs!$F$10-Inputs!$D$10),Inputs!$D$10+SQRT(D816*(Inputs!$F$10-Inputs!$D$10)*(Inputs!$E$10-Inputs!$D$10)),Inputs!$F$10-SQRT((1-D816)*(Inputs!$F$10-Inputs!$D$10)*(Inputs!$F$10-Inputs!$E$10)))</f>
        <v>0.116371422454934</v>
      </c>
      <c r="F816" s="81" t="n">
        <f aca="true">RAND()</f>
        <v>0.203838533053389</v>
      </c>
      <c r="G816" s="83" t="n">
        <f aca="false">IF(F816&lt;(Inputs!$E$15-Inputs!$D$15)/(Inputs!$F$15-Inputs!$D$15),Inputs!$D$15+SQRT(F816*(Inputs!$F$15-Inputs!$D$15)*(Inputs!$E$15-Inputs!$D$15)),Inputs!$F$15-SQRT((1-F816)*(Inputs!$F$15-Inputs!$D$15)*(Inputs!$F$15-Inputs!$E$15)))</f>
        <v>0.663849594055622</v>
      </c>
      <c r="H816" s="81" t="n">
        <f aca="true">RAND()</f>
        <v>0.667188792693265</v>
      </c>
      <c r="I816" s="82" t="n">
        <f aca="false">ROUND(IF(H816&lt;(Inputs!$E$17-Inputs!$D$17)/(Inputs!$F$17-Inputs!$D$17),Inputs!$D$17+SQRT(H816*(Inputs!$F$17-Inputs!$D$17)*(Inputs!$E$17-Inputs!$D$17)),Inputs!$F$17-SQRT((1-H816)*(Inputs!$F$17-Inputs!$D$17)*(Inputs!$F$17-Inputs!$E$17))),0)</f>
        <v>108</v>
      </c>
      <c r="J816" s="81" t="n">
        <f aca="true">RAND()</f>
        <v>0.8189224740186</v>
      </c>
      <c r="K816" s="83" t="n">
        <f aca="false">IF(J816&lt;(Inputs!$E$18-Inputs!$D$18)/(Inputs!$F$18-Inputs!$D$18),Inputs!$D$18+SQRT(J816*(Inputs!$F$18-Inputs!$D$18)*(Inputs!$E$18-Inputs!$D$18)),Inputs!$F$18-SQRT((1-J816)*(Inputs!$F$18-Inputs!$D$18)*(Inputs!$F$18-Inputs!$E$18)))</f>
        <v>1.12412592195622</v>
      </c>
      <c r="L816" s="81" t="n">
        <f aca="true">RAND()</f>
        <v>0.253741202793754</v>
      </c>
      <c r="M816" s="83" t="n">
        <f aca="false">IF(L816&lt;(Inputs!$E$24-Inputs!$D$24)/(Inputs!$F$24-Inputs!$D$24),Inputs!$D$24+SQRT(L816*(Inputs!$F$24-Inputs!$D$24)*(Inputs!$E$24-Inputs!$D$24)),Inputs!$F$24-SQRT((1-L816)*(Inputs!$F$24-Inputs!$D$24)*(Inputs!$F$24-Inputs!$E$24)))</f>
        <v>0.774496258800154</v>
      </c>
      <c r="N816" s="81" t="n">
        <f aca="true">RAND()</f>
        <v>0.982965731785016</v>
      </c>
      <c r="O816" s="83" t="n">
        <f aca="false">IF(N816&lt;(Inputs!$E$26-Inputs!$D$26)/(Inputs!$F$26-Inputs!$D$26),Inputs!$D$26+SQRT(N816*(Inputs!$F$26-Inputs!$D$26)*(Inputs!$E$26-Inputs!$D$26)),Inputs!$F$26-SQRT((1-N816)*(Inputs!$F$26-Inputs!$D$26)*(Inputs!$F$26-Inputs!$E$26)))</f>
        <v>0.777910049960135</v>
      </c>
      <c r="P816" s="81" t="n">
        <f aca="true">RAND()</f>
        <v>0.775256596466897</v>
      </c>
      <c r="Q816" s="82" t="n">
        <f aca="false">IF(P816&lt;(Inputs!$E$27-Inputs!$D$27)/(Inputs!$F$27-Inputs!$D$27),Inputs!$D$27+SQRT(P816*(Inputs!$F$27-Inputs!$D$27)*(Inputs!$E$27-Inputs!$D$27)),Inputs!$F$27-SQRT((1-P816)*(Inputs!$F$27-Inputs!$D$27)*(Inputs!$F$27-Inputs!$E$27)))</f>
        <v>108.944238814774</v>
      </c>
      <c r="R816" s="81" t="n">
        <f aca="true">RAND()</f>
        <v>0.435964788015296</v>
      </c>
      <c r="S816" s="82" t="n">
        <f aca="false">IF(R816&lt;(Inputs!$E$29-Inputs!$D$29)/(Inputs!$F$29-Inputs!$D$29),Inputs!$D$29+SQRT(R816*(Inputs!$F$29-Inputs!$D$29)*(Inputs!$E$29-Inputs!$D$29)),Inputs!$F$29-SQRT((1-R816)*(Inputs!$F$29-Inputs!$D$29)*(Inputs!$F$29-Inputs!$E$29)))</f>
        <v>6.43702285662215</v>
      </c>
      <c r="T816" s="68" t="n">
        <f aca="false">Inputs!$E$9*(1+E816)+Inputs!$E$5*C816*(Inputs!$E$11*Inputs!$E$14*(G816*I816/Inputs!$E$16+(1-G816))*K816+Inputs!$E$23*M816)*(1+O816)+Inputs!$E$5*(Q816+S816)</f>
        <v>6723.97028702082</v>
      </c>
    </row>
    <row r="817" customFormat="false" ht="15" hidden="false" customHeight="false" outlineLevel="0" collapsed="false">
      <c r="A817" s="1" t="n">
        <v>813</v>
      </c>
      <c r="B817" s="81" t="n">
        <f aca="true">RAND()</f>
        <v>0.851838947804075</v>
      </c>
      <c r="C817" s="82" t="n">
        <f aca="false">ROUND(IF(B817&lt;(Inputs!$E$8-Inputs!$D$8)/(Inputs!$F$8-Inputs!$D$8),Inputs!$D$8+SQRT(B817*(Inputs!$F$8-Inputs!$D$8)*(Inputs!$E$8-Inputs!$D$8)),Inputs!$F$8-SQRT((1-B817)*(Inputs!$F$8-Inputs!$D$8)*(Inputs!$F$8-Inputs!$E$8))),0)</f>
        <v>27</v>
      </c>
      <c r="D817" s="81" t="n">
        <f aca="true">RAND()</f>
        <v>0.696437391009942</v>
      </c>
      <c r="E817" s="83" t="n">
        <f aca="false">IF(D817&lt;(Inputs!$E$10-Inputs!$D$10)/(Inputs!$F$10-Inputs!$D$10),Inputs!$D$10+SQRT(D817*(Inputs!$F$10-Inputs!$D$10)*(Inputs!$E$10-Inputs!$D$10)),Inputs!$F$10-SQRT((1-D817)*(Inputs!$F$10-Inputs!$D$10)*(Inputs!$F$10-Inputs!$E$10)))</f>
        <v>0.104570034739073</v>
      </c>
      <c r="F817" s="81" t="n">
        <f aca="true">RAND()</f>
        <v>0.0556005614506363</v>
      </c>
      <c r="G817" s="83" t="n">
        <f aca="false">IF(F817&lt;(Inputs!$E$15-Inputs!$D$15)/(Inputs!$F$15-Inputs!$D$15),Inputs!$D$15+SQRT(F817*(Inputs!$F$15-Inputs!$D$15)*(Inputs!$E$15-Inputs!$D$15)),Inputs!$F$15-SQRT((1-F817)*(Inputs!$F$15-Inputs!$D$15)*(Inputs!$F$15-Inputs!$E$15)))</f>
        <v>0.633346832368498</v>
      </c>
      <c r="H817" s="81" t="n">
        <f aca="true">RAND()</f>
        <v>0.974893821131861</v>
      </c>
      <c r="I817" s="82" t="n">
        <f aca="false">ROUND(IF(H817&lt;(Inputs!$E$17-Inputs!$D$17)/(Inputs!$F$17-Inputs!$D$17),Inputs!$D$17+SQRT(H817*(Inputs!$F$17-Inputs!$D$17)*(Inputs!$E$17-Inputs!$D$17)),Inputs!$F$17-SQRT((1-H817)*(Inputs!$F$17-Inputs!$D$17)*(Inputs!$F$17-Inputs!$E$17))),0)</f>
        <v>113</v>
      </c>
      <c r="J817" s="81" t="n">
        <f aca="true">RAND()</f>
        <v>0.471404327950908</v>
      </c>
      <c r="K817" s="83" t="n">
        <f aca="false">IF(J817&lt;(Inputs!$E$18-Inputs!$D$18)/(Inputs!$F$18-Inputs!$D$18),Inputs!$D$18+SQRT(J817*(Inputs!$F$18-Inputs!$D$18)*(Inputs!$E$18-Inputs!$D$18)),Inputs!$F$18-SQRT((1-J817)*(Inputs!$F$18-Inputs!$D$18)*(Inputs!$F$18-Inputs!$E$18)))</f>
        <v>1.03493693644818</v>
      </c>
      <c r="L817" s="81" t="n">
        <f aca="true">RAND()</f>
        <v>0.444695818684549</v>
      </c>
      <c r="M817" s="83" t="n">
        <f aca="false">IF(L817&lt;(Inputs!$E$24-Inputs!$D$24)/(Inputs!$F$24-Inputs!$D$24),Inputs!$D$24+SQRT(L817*(Inputs!$F$24-Inputs!$D$24)*(Inputs!$E$24-Inputs!$D$24)),Inputs!$F$24-SQRT((1-L817)*(Inputs!$F$24-Inputs!$D$24)*(Inputs!$F$24-Inputs!$E$24)))</f>
        <v>0.834934247681725</v>
      </c>
      <c r="N817" s="81" t="n">
        <f aca="true">RAND()</f>
        <v>0.748597344876777</v>
      </c>
      <c r="O817" s="83" t="n">
        <f aca="false">IF(N817&lt;(Inputs!$E$26-Inputs!$D$26)/(Inputs!$F$26-Inputs!$D$26),Inputs!$D$26+SQRT(N817*(Inputs!$F$26-Inputs!$D$26)*(Inputs!$E$26-Inputs!$D$26)),Inputs!$F$26-SQRT((1-N817)*(Inputs!$F$26-Inputs!$D$26)*(Inputs!$F$26-Inputs!$E$26)))</f>
        <v>0.6583031350557</v>
      </c>
      <c r="P817" s="81" t="n">
        <f aca="true">RAND()</f>
        <v>0.0277536438248412</v>
      </c>
      <c r="Q817" s="82" t="n">
        <f aca="false">IF(P817&lt;(Inputs!$E$27-Inputs!$D$27)/(Inputs!$F$27-Inputs!$D$27),Inputs!$D$27+SQRT(P817*(Inputs!$F$27-Inputs!$D$27)*(Inputs!$E$27-Inputs!$D$27)),Inputs!$F$27-SQRT((1-P817)*(Inputs!$F$27-Inputs!$D$27)*(Inputs!$F$27-Inputs!$E$27)))</f>
        <v>58.3297124537467</v>
      </c>
      <c r="R817" s="81" t="n">
        <f aca="true">RAND()</f>
        <v>0.836294683167819</v>
      </c>
      <c r="S817" s="82" t="n">
        <f aca="false">IF(R817&lt;(Inputs!$E$29-Inputs!$D$29)/(Inputs!$F$29-Inputs!$D$29),Inputs!$D$29+SQRT(R817*(Inputs!$F$29-Inputs!$D$29)*(Inputs!$E$29-Inputs!$D$29)),Inputs!$F$29-SQRT((1-R817)*(Inputs!$F$29-Inputs!$D$29)*(Inputs!$F$29-Inputs!$E$29)))</f>
        <v>10.3867916600067</v>
      </c>
      <c r="T817" s="68" t="n">
        <f aca="false">Inputs!$E$9*(1+E817)+Inputs!$E$5*C817*(Inputs!$E$11*Inputs!$E$14*(G817*I817/Inputs!$E$16+(1-G817))*K817+Inputs!$E$23*M817)*(1+O817)+Inputs!$E$5*(Q817+S817)</f>
        <v>6795.41262335006</v>
      </c>
    </row>
    <row r="818" customFormat="false" ht="15" hidden="false" customHeight="false" outlineLevel="0" collapsed="false">
      <c r="A818" s="1" t="n">
        <v>814</v>
      </c>
      <c r="B818" s="81" t="n">
        <f aca="true">RAND()</f>
        <v>0.759307534852036</v>
      </c>
      <c r="C818" s="82" t="n">
        <f aca="false">ROUND(IF(B818&lt;(Inputs!$E$8-Inputs!$D$8)/(Inputs!$F$8-Inputs!$D$8),Inputs!$D$8+SQRT(B818*(Inputs!$F$8-Inputs!$D$8)*(Inputs!$E$8-Inputs!$D$8)),Inputs!$F$8-SQRT((1-B818)*(Inputs!$F$8-Inputs!$D$8)*(Inputs!$F$8-Inputs!$E$8))),0)</f>
        <v>27</v>
      </c>
      <c r="D818" s="81" t="n">
        <f aca="true">RAND()</f>
        <v>0.499930000040933</v>
      </c>
      <c r="E818" s="83" t="n">
        <f aca="false">IF(D818&lt;(Inputs!$E$10-Inputs!$D$10)/(Inputs!$F$10-Inputs!$D$10),Inputs!$D$10+SQRT(D818*(Inputs!$F$10-Inputs!$D$10)*(Inputs!$E$10-Inputs!$D$10)),Inputs!$F$10-SQRT((1-D818)*(Inputs!$F$10-Inputs!$D$10)*(Inputs!$F$10-Inputs!$E$10)))</f>
        <v>0.0775169399517957</v>
      </c>
      <c r="F818" s="81" t="n">
        <f aca="true">RAND()</f>
        <v>0.440638511182605</v>
      </c>
      <c r="G818" s="83" t="n">
        <f aca="false">IF(F818&lt;(Inputs!$E$15-Inputs!$D$15)/(Inputs!$F$15-Inputs!$D$15),Inputs!$D$15+SQRT(F818*(Inputs!$F$15-Inputs!$D$15)*(Inputs!$E$15-Inputs!$D$15)),Inputs!$F$15-SQRT((1-F818)*(Inputs!$F$15-Inputs!$D$15)*(Inputs!$F$15-Inputs!$E$15)))</f>
        <v>0.693876356041615</v>
      </c>
      <c r="H818" s="81" t="n">
        <f aca="true">RAND()</f>
        <v>0.933129521106728</v>
      </c>
      <c r="I818" s="82" t="n">
        <f aca="false">ROUND(IF(H818&lt;(Inputs!$E$17-Inputs!$D$17)/(Inputs!$F$17-Inputs!$D$17),Inputs!$D$17+SQRT(H818*(Inputs!$F$17-Inputs!$D$17)*(Inputs!$E$17-Inputs!$D$17)),Inputs!$F$17-SQRT((1-H818)*(Inputs!$F$17-Inputs!$D$17)*(Inputs!$F$17-Inputs!$E$17))),0)</f>
        <v>112</v>
      </c>
      <c r="J818" s="81" t="n">
        <f aca="true">RAND()</f>
        <v>0.790956983858438</v>
      </c>
      <c r="K818" s="83" t="n">
        <f aca="false">IF(J818&lt;(Inputs!$E$18-Inputs!$D$18)/(Inputs!$F$18-Inputs!$D$18),Inputs!$D$18+SQRT(J818*(Inputs!$F$18-Inputs!$D$18)*(Inputs!$E$18-Inputs!$D$18)),Inputs!$F$18-SQRT((1-J818)*(Inputs!$F$18-Inputs!$D$18)*(Inputs!$F$18-Inputs!$E$18)))</f>
        <v>1.11475480077878</v>
      </c>
      <c r="L818" s="81" t="n">
        <f aca="true">RAND()</f>
        <v>0.0552626289559883</v>
      </c>
      <c r="M818" s="83" t="n">
        <f aca="false">IF(L818&lt;(Inputs!$E$24-Inputs!$D$24)/(Inputs!$F$24-Inputs!$D$24),Inputs!$D$24+SQRT(L818*(Inputs!$F$24-Inputs!$D$24)*(Inputs!$E$24-Inputs!$D$24)),Inputs!$F$24-SQRT((1-L818)*(Inputs!$F$24-Inputs!$D$24)*(Inputs!$F$24-Inputs!$E$24)))</f>
        <v>0.68143411738773</v>
      </c>
      <c r="N818" s="81" t="n">
        <f aca="true">RAND()</f>
        <v>0.778025644452484</v>
      </c>
      <c r="O818" s="83" t="n">
        <f aca="false">IF(N818&lt;(Inputs!$E$26-Inputs!$D$26)/(Inputs!$F$26-Inputs!$D$26),Inputs!$D$26+SQRT(N818*(Inputs!$F$26-Inputs!$D$26)*(Inputs!$E$26-Inputs!$D$26)),Inputs!$F$26-SQRT((1-N818)*(Inputs!$F$26-Inputs!$D$26)*(Inputs!$F$26-Inputs!$E$26)))</f>
        <v>0.668061417089201</v>
      </c>
      <c r="P818" s="81" t="n">
        <f aca="true">RAND()</f>
        <v>0.882755693876413</v>
      </c>
      <c r="Q818" s="82" t="n">
        <f aca="false">IF(P818&lt;(Inputs!$E$27-Inputs!$D$27)/(Inputs!$F$27-Inputs!$D$27),Inputs!$D$27+SQRT(P818*(Inputs!$F$27-Inputs!$D$27)*(Inputs!$E$27-Inputs!$D$27)),Inputs!$F$27-SQRT((1-P818)*(Inputs!$F$27-Inputs!$D$27)*(Inputs!$F$27-Inputs!$E$27)))</f>
        <v>120.346462337068</v>
      </c>
      <c r="R818" s="81" t="n">
        <f aca="true">RAND()</f>
        <v>0.826467685880765</v>
      </c>
      <c r="S818" s="82" t="n">
        <f aca="false">IF(R818&lt;(Inputs!$E$29-Inputs!$D$29)/(Inputs!$F$29-Inputs!$D$29),Inputs!$D$29+SQRT(R818*(Inputs!$F$29-Inputs!$D$29)*(Inputs!$E$29-Inputs!$D$29)),Inputs!$F$29-SQRT((1-R818)*(Inputs!$F$29-Inputs!$D$29)*(Inputs!$F$29-Inputs!$E$29)))</f>
        <v>10.2503472931697</v>
      </c>
      <c r="T818" s="68" t="n">
        <f aca="false">Inputs!$E$9*(1+E818)+Inputs!$E$5*C818*(Inputs!$E$11*Inputs!$E$14*(G818*I818/Inputs!$E$16+(1-G818))*K818+Inputs!$E$23*M818)*(1+O818)+Inputs!$E$5*(Q818+S818)</f>
        <v>6925.51300953769</v>
      </c>
    </row>
    <row r="819" customFormat="false" ht="15" hidden="false" customHeight="false" outlineLevel="0" collapsed="false">
      <c r="A819" s="1" t="n">
        <v>815</v>
      </c>
      <c r="B819" s="81" t="n">
        <f aca="true">RAND()</f>
        <v>0.595386595532161</v>
      </c>
      <c r="C819" s="82" t="n">
        <f aca="false">ROUND(IF(B819&lt;(Inputs!$E$8-Inputs!$D$8)/(Inputs!$F$8-Inputs!$D$8),Inputs!$D$8+SQRT(B819*(Inputs!$F$8-Inputs!$D$8)*(Inputs!$E$8-Inputs!$D$8)),Inputs!$F$8-SQRT((1-B819)*(Inputs!$F$8-Inputs!$D$8)*(Inputs!$F$8-Inputs!$E$8))),0)</f>
        <v>26</v>
      </c>
      <c r="D819" s="81" t="n">
        <f aca="true">RAND()</f>
        <v>0.0502129931102265</v>
      </c>
      <c r="E819" s="83" t="n">
        <f aca="false">IF(D819&lt;(Inputs!$E$10-Inputs!$D$10)/(Inputs!$F$10-Inputs!$D$10),Inputs!$D$10+SQRT(D819*(Inputs!$F$10-Inputs!$D$10)*(Inputs!$E$10-Inputs!$D$10)),Inputs!$F$10-SQRT((1-D819)*(Inputs!$F$10-Inputs!$D$10)*(Inputs!$F$10-Inputs!$E$10)))</f>
        <v>0.0224082558692609</v>
      </c>
      <c r="F819" s="81" t="n">
        <f aca="true">RAND()</f>
        <v>0.323210522791318</v>
      </c>
      <c r="G819" s="83" t="n">
        <f aca="false">IF(F819&lt;(Inputs!$E$15-Inputs!$D$15)/(Inputs!$F$15-Inputs!$D$15),Inputs!$D$15+SQRT(F819*(Inputs!$F$15-Inputs!$D$15)*(Inputs!$E$15-Inputs!$D$15)),Inputs!$F$15-SQRT((1-F819)*(Inputs!$F$15-Inputs!$D$15)*(Inputs!$F$15-Inputs!$E$15)))</f>
        <v>0.680400313779402</v>
      </c>
      <c r="H819" s="81" t="n">
        <f aca="true">RAND()</f>
        <v>0.498607875552155</v>
      </c>
      <c r="I819" s="82" t="n">
        <f aca="false">ROUND(IF(H819&lt;(Inputs!$E$17-Inputs!$D$17)/(Inputs!$F$17-Inputs!$D$17),Inputs!$D$17+SQRT(H819*(Inputs!$F$17-Inputs!$D$17)*(Inputs!$E$17-Inputs!$D$17)),Inputs!$F$17-SQRT((1-H819)*(Inputs!$F$17-Inputs!$D$17)*(Inputs!$F$17-Inputs!$E$17))),0)</f>
        <v>106</v>
      </c>
      <c r="J819" s="81" t="n">
        <f aca="true">RAND()</f>
        <v>0.517871471612751</v>
      </c>
      <c r="K819" s="83" t="n">
        <f aca="false">IF(J819&lt;(Inputs!$E$18-Inputs!$D$18)/(Inputs!$F$18-Inputs!$D$18),Inputs!$D$18+SQRT(J819*(Inputs!$F$18-Inputs!$D$18)*(Inputs!$E$18-Inputs!$D$18)),Inputs!$F$18-SQRT((1-J819)*(Inputs!$F$18-Inputs!$D$18)*(Inputs!$F$18-Inputs!$E$18)))</f>
        <v>1.04460709302928</v>
      </c>
      <c r="L819" s="81" t="n">
        <f aca="true">RAND()</f>
        <v>0.200280015210534</v>
      </c>
      <c r="M819" s="83" t="n">
        <f aca="false">IF(L819&lt;(Inputs!$E$24-Inputs!$D$24)/(Inputs!$F$24-Inputs!$D$24),Inputs!$D$24+SQRT(L819*(Inputs!$F$24-Inputs!$D$24)*(Inputs!$E$24-Inputs!$D$24)),Inputs!$F$24-SQRT((1-L819)*(Inputs!$F$24-Inputs!$D$24)*(Inputs!$F$24-Inputs!$E$24)))</f>
        <v>0.755027745340194</v>
      </c>
      <c r="N819" s="81" t="n">
        <f aca="true">RAND()</f>
        <v>0.448661861669555</v>
      </c>
      <c r="O819" s="83" t="n">
        <f aca="false">IF(N819&lt;(Inputs!$E$26-Inputs!$D$26)/(Inputs!$F$26-Inputs!$D$26),Inputs!$D$26+SQRT(N819*(Inputs!$F$26-Inputs!$D$26)*(Inputs!$E$26-Inputs!$D$26)),Inputs!$F$26-SQRT((1-N819)*(Inputs!$F$26-Inputs!$D$26)*(Inputs!$F$26-Inputs!$E$26)))</f>
        <v>0.573234942461271</v>
      </c>
      <c r="P819" s="81" t="n">
        <f aca="true">RAND()</f>
        <v>0.7138477860379</v>
      </c>
      <c r="Q819" s="82" t="n">
        <f aca="false">IF(P819&lt;(Inputs!$E$27-Inputs!$D$27)/(Inputs!$F$27-Inputs!$D$27),Inputs!$D$27+SQRT(P819*(Inputs!$F$27-Inputs!$D$27)*(Inputs!$E$27-Inputs!$D$27)),Inputs!$F$27-SQRT((1-P819)*(Inputs!$F$27-Inputs!$D$27)*(Inputs!$F$27-Inputs!$E$27)))</f>
        <v>103.673532352275</v>
      </c>
      <c r="R819" s="81" t="n">
        <f aca="true">RAND()</f>
        <v>0.0407737418312351</v>
      </c>
      <c r="S819" s="82" t="n">
        <f aca="false">IF(R819&lt;(Inputs!$E$29-Inputs!$D$29)/(Inputs!$F$29-Inputs!$D$29),Inputs!$D$29+SQRT(R819*(Inputs!$F$29-Inputs!$D$29)*(Inputs!$E$29-Inputs!$D$29)),Inputs!$F$29-SQRT((1-R819)*(Inputs!$F$29-Inputs!$D$29)*(Inputs!$F$29-Inputs!$E$29)))</f>
        <v>3.26102178070728</v>
      </c>
      <c r="T819" s="68" t="n">
        <f aca="false">Inputs!$E$9*(1+E819)+Inputs!$E$5*C819*(Inputs!$E$11*Inputs!$E$14*(G819*I819/Inputs!$E$16+(1-G819))*K819+Inputs!$E$23*M819)*(1+O819)+Inputs!$E$5*(Q819+S819)</f>
        <v>6219.57162556981</v>
      </c>
    </row>
    <row r="820" customFormat="false" ht="15" hidden="false" customHeight="false" outlineLevel="0" collapsed="false">
      <c r="A820" s="1" t="n">
        <v>816</v>
      </c>
      <c r="B820" s="81" t="n">
        <f aca="true">RAND()</f>
        <v>0.596294295275367</v>
      </c>
      <c r="C820" s="82" t="n">
        <f aca="false">ROUND(IF(B820&lt;(Inputs!$E$8-Inputs!$D$8)/(Inputs!$F$8-Inputs!$D$8),Inputs!$D$8+SQRT(B820*(Inputs!$F$8-Inputs!$D$8)*(Inputs!$E$8-Inputs!$D$8)),Inputs!$F$8-SQRT((1-B820)*(Inputs!$F$8-Inputs!$D$8)*(Inputs!$F$8-Inputs!$E$8))),0)</f>
        <v>26</v>
      </c>
      <c r="D820" s="81" t="n">
        <f aca="true">RAND()</f>
        <v>0.62957169267971</v>
      </c>
      <c r="E820" s="83" t="n">
        <f aca="false">IF(D820&lt;(Inputs!$E$10-Inputs!$D$10)/(Inputs!$F$10-Inputs!$D$10),Inputs!$D$10+SQRT(D820*(Inputs!$F$10-Inputs!$D$10)*(Inputs!$E$10-Inputs!$D$10)),Inputs!$F$10-SQRT((1-D820)*(Inputs!$F$10-Inputs!$D$10)*(Inputs!$F$10-Inputs!$E$10)))</f>
        <v>0.0945825004109437</v>
      </c>
      <c r="F820" s="81" t="n">
        <f aca="true">RAND()</f>
        <v>0.281344867165196</v>
      </c>
      <c r="G820" s="83" t="n">
        <f aca="false">IF(F820&lt;(Inputs!$E$15-Inputs!$D$15)/(Inputs!$F$15-Inputs!$D$15),Inputs!$D$15+SQRT(F820*(Inputs!$F$15-Inputs!$D$15)*(Inputs!$E$15-Inputs!$D$15)),Inputs!$F$15-SQRT((1-F820)*(Inputs!$F$15-Inputs!$D$15)*(Inputs!$F$15-Inputs!$E$15)))</f>
        <v>0.675012647888899</v>
      </c>
      <c r="H820" s="81" t="n">
        <f aca="true">RAND()</f>
        <v>0.925435875734832</v>
      </c>
      <c r="I820" s="82" t="n">
        <f aca="false">ROUND(IF(H820&lt;(Inputs!$E$17-Inputs!$D$17)/(Inputs!$F$17-Inputs!$D$17),Inputs!$D$17+SQRT(H820*(Inputs!$F$17-Inputs!$D$17)*(Inputs!$E$17-Inputs!$D$17)),Inputs!$F$17-SQRT((1-H820)*(Inputs!$F$17-Inputs!$D$17)*(Inputs!$F$17-Inputs!$E$17))),0)</f>
        <v>112</v>
      </c>
      <c r="J820" s="81" t="n">
        <f aca="true">RAND()</f>
        <v>0.425547517782006</v>
      </c>
      <c r="K820" s="83" t="n">
        <f aca="false">IF(J820&lt;(Inputs!$E$18-Inputs!$D$18)/(Inputs!$F$18-Inputs!$D$18),Inputs!$D$18+SQRT(J820*(Inputs!$F$18-Inputs!$D$18)*(Inputs!$E$18-Inputs!$D$18)),Inputs!$F$18-SQRT((1-J820)*(Inputs!$F$18-Inputs!$D$18)*(Inputs!$F$18-Inputs!$E$18)))</f>
        <v>1.02580233677829</v>
      </c>
      <c r="L820" s="81" t="n">
        <f aca="true">RAND()</f>
        <v>0.524732451371143</v>
      </c>
      <c r="M820" s="83" t="n">
        <f aca="false">IF(L820&lt;(Inputs!$E$24-Inputs!$D$24)/(Inputs!$F$24-Inputs!$D$24),Inputs!$D$24+SQRT(L820*(Inputs!$F$24-Inputs!$D$24)*(Inputs!$E$24-Inputs!$D$24)),Inputs!$F$24-SQRT((1-L820)*(Inputs!$F$24-Inputs!$D$24)*(Inputs!$F$24-Inputs!$E$24)))</f>
        <v>0.862266063785521</v>
      </c>
      <c r="N820" s="81" t="n">
        <f aca="true">RAND()</f>
        <v>0.0579388779597958</v>
      </c>
      <c r="O820" s="83" t="n">
        <f aca="false">IF(N820&lt;(Inputs!$E$26-Inputs!$D$26)/(Inputs!$F$26-Inputs!$D$26),Inputs!$D$26+SQRT(N820*(Inputs!$F$26-Inputs!$D$26)*(Inputs!$E$26-Inputs!$D$26)),Inputs!$F$26-SQRT((1-N820)*(Inputs!$F$26-Inputs!$D$26)*(Inputs!$F$26-Inputs!$E$26)))</f>
        <v>0.398188743206694</v>
      </c>
      <c r="P820" s="81" t="n">
        <f aca="true">RAND()</f>
        <v>0.243689252642944</v>
      </c>
      <c r="Q820" s="82" t="n">
        <f aca="false">IF(P820&lt;(Inputs!$E$27-Inputs!$D$27)/(Inputs!$F$27-Inputs!$D$27),Inputs!$D$27+SQRT(P820*(Inputs!$F$27-Inputs!$D$27)*(Inputs!$E$27-Inputs!$D$27)),Inputs!$F$27-SQRT((1-P820)*(Inputs!$F$27-Inputs!$D$27)*(Inputs!$F$27-Inputs!$E$27)))</f>
        <v>74.6824458189897</v>
      </c>
      <c r="R820" s="81" t="n">
        <f aca="true">RAND()</f>
        <v>0.748921775614765</v>
      </c>
      <c r="S820" s="82" t="n">
        <f aca="false">IF(R820&lt;(Inputs!$E$29-Inputs!$D$29)/(Inputs!$F$29-Inputs!$D$29),Inputs!$D$29+SQRT(R820*(Inputs!$F$29-Inputs!$D$29)*(Inputs!$E$29-Inputs!$D$29)),Inputs!$F$29-SQRT((1-R820)*(Inputs!$F$29-Inputs!$D$29)*(Inputs!$F$29-Inputs!$E$29)))</f>
        <v>9.28684245184149</v>
      </c>
      <c r="T820" s="68" t="n">
        <f aca="false">Inputs!$E$9*(1+E820)+Inputs!$E$5*C820*(Inputs!$E$11*Inputs!$E$14*(G820*I820/Inputs!$E$16+(1-G820))*K820+Inputs!$E$23*M820)*(1+O820)+Inputs!$E$5*(Q820+S820)</f>
        <v>6052.37978190555</v>
      </c>
    </row>
    <row r="821" customFormat="false" ht="15" hidden="false" customHeight="false" outlineLevel="0" collapsed="false">
      <c r="A821" s="1" t="n">
        <v>817</v>
      </c>
      <c r="B821" s="81" t="n">
        <f aca="true">RAND()</f>
        <v>0.275860819923118</v>
      </c>
      <c r="C821" s="82" t="n">
        <f aca="false">ROUND(IF(B821&lt;(Inputs!$E$8-Inputs!$D$8)/(Inputs!$F$8-Inputs!$D$8),Inputs!$D$8+SQRT(B821*(Inputs!$F$8-Inputs!$D$8)*(Inputs!$E$8-Inputs!$D$8)),Inputs!$F$8-SQRT((1-B821)*(Inputs!$F$8-Inputs!$D$8)*(Inputs!$F$8-Inputs!$E$8))),0)</f>
        <v>24</v>
      </c>
      <c r="D821" s="81" t="n">
        <f aca="true">RAND()</f>
        <v>0.712733554003484</v>
      </c>
      <c r="E821" s="83" t="n">
        <f aca="false">IF(D821&lt;(Inputs!$E$10-Inputs!$D$10)/(Inputs!$F$10-Inputs!$D$10),Inputs!$D$10+SQRT(D821*(Inputs!$F$10-Inputs!$D$10)*(Inputs!$E$10-Inputs!$D$10)),Inputs!$F$10-SQRT((1-D821)*(Inputs!$F$10-Inputs!$D$10)*(Inputs!$F$10-Inputs!$E$10)))</f>
        <v>0.107166851933722</v>
      </c>
      <c r="F821" s="81" t="n">
        <f aca="true">RAND()</f>
        <v>0.176247199700212</v>
      </c>
      <c r="G821" s="83" t="n">
        <f aca="false">IF(F821&lt;(Inputs!$E$15-Inputs!$D$15)/(Inputs!$F$15-Inputs!$D$15),Inputs!$D$15+SQRT(F821*(Inputs!$F$15-Inputs!$D$15)*(Inputs!$E$15-Inputs!$D$15)),Inputs!$F$15-SQRT((1-F821)*(Inputs!$F$15-Inputs!$D$15)*(Inputs!$F$15-Inputs!$E$15)))</f>
        <v>0.659371238777747</v>
      </c>
      <c r="H821" s="81" t="n">
        <f aca="true">RAND()</f>
        <v>0.194747835328035</v>
      </c>
      <c r="I821" s="82" t="n">
        <f aca="false">ROUND(IF(H821&lt;(Inputs!$E$17-Inputs!$D$17)/(Inputs!$F$17-Inputs!$D$17),Inputs!$D$17+SQRT(H821*(Inputs!$F$17-Inputs!$D$17)*(Inputs!$E$17-Inputs!$D$17)),Inputs!$F$17-SQRT((1-H821)*(Inputs!$F$17-Inputs!$D$17)*(Inputs!$F$17-Inputs!$E$17))),0)</f>
        <v>104</v>
      </c>
      <c r="J821" s="81" t="n">
        <f aca="true">RAND()</f>
        <v>0.552220287088007</v>
      </c>
      <c r="K821" s="83" t="n">
        <f aca="false">IF(J821&lt;(Inputs!$E$18-Inputs!$D$18)/(Inputs!$F$18-Inputs!$D$18),Inputs!$D$18+SQRT(J821*(Inputs!$F$18-Inputs!$D$18)*(Inputs!$E$18-Inputs!$D$18)),Inputs!$F$18-SQRT((1-J821)*(Inputs!$F$18-Inputs!$D$18)*(Inputs!$F$18-Inputs!$E$18)))</f>
        <v>1.0520587842823</v>
      </c>
      <c r="L821" s="81" t="n">
        <f aca="true">RAND()</f>
        <v>0.0573097762443596</v>
      </c>
      <c r="M821" s="83" t="n">
        <f aca="false">IF(L821&lt;(Inputs!$E$24-Inputs!$D$24)/(Inputs!$F$24-Inputs!$D$24),Inputs!$D$24+SQRT(L821*(Inputs!$F$24-Inputs!$D$24)*(Inputs!$E$24-Inputs!$D$24)),Inputs!$F$24-SQRT((1-L821)*(Inputs!$F$24-Inputs!$D$24)*(Inputs!$F$24-Inputs!$E$24)))</f>
        <v>0.682928723306965</v>
      </c>
      <c r="N821" s="81" t="n">
        <f aca="true">RAND()</f>
        <v>0.663123257488024</v>
      </c>
      <c r="O821" s="83" t="n">
        <f aca="false">IF(N821&lt;(Inputs!$E$26-Inputs!$D$26)/(Inputs!$F$26-Inputs!$D$26),Inputs!$D$26+SQRT(N821*(Inputs!$F$26-Inputs!$D$26)*(Inputs!$E$26-Inputs!$D$26)),Inputs!$F$26-SQRT((1-N821)*(Inputs!$F$26-Inputs!$D$26)*(Inputs!$F$26-Inputs!$E$26)))</f>
        <v>0.632823128508767</v>
      </c>
      <c r="P821" s="81" t="n">
        <f aca="true">RAND()</f>
        <v>0.2212047979767</v>
      </c>
      <c r="Q821" s="82" t="n">
        <f aca="false">IF(P821&lt;(Inputs!$E$27-Inputs!$D$27)/(Inputs!$F$27-Inputs!$D$27),Inputs!$D$27+SQRT(P821*(Inputs!$F$27-Inputs!$D$27)*(Inputs!$E$27-Inputs!$D$27)),Inputs!$F$27-SQRT((1-P821)*(Inputs!$F$27-Inputs!$D$27)*(Inputs!$F$27-Inputs!$E$27)))</f>
        <v>73.5162070696308</v>
      </c>
      <c r="R821" s="81" t="n">
        <f aca="true">RAND()</f>
        <v>0.536464420329069</v>
      </c>
      <c r="S821" s="82" t="n">
        <f aca="false">IF(R821&lt;(Inputs!$E$29-Inputs!$D$29)/(Inputs!$F$29-Inputs!$D$29),Inputs!$D$29+SQRT(R821*(Inputs!$F$29-Inputs!$D$29)*(Inputs!$E$29-Inputs!$D$29)),Inputs!$F$29-SQRT((1-R821)*(Inputs!$F$29-Inputs!$D$29)*(Inputs!$F$29-Inputs!$E$29)))</f>
        <v>7.23729265286775</v>
      </c>
      <c r="T821" s="68" t="n">
        <f aca="false">Inputs!$E$9*(1+E821)+Inputs!$E$5*C821*(Inputs!$E$11*Inputs!$E$14*(G821*I821/Inputs!$E$16+(1-G821))*K821+Inputs!$E$23*M821)*(1+O821)+Inputs!$E$5*(Q821+S821)</f>
        <v>6052.08004360299</v>
      </c>
    </row>
    <row r="822" customFormat="false" ht="15" hidden="false" customHeight="false" outlineLevel="0" collapsed="false">
      <c r="A822" s="1" t="n">
        <v>818</v>
      </c>
      <c r="B822" s="81" t="n">
        <f aca="true">RAND()</f>
        <v>0.303454465746451</v>
      </c>
      <c r="C822" s="82" t="n">
        <f aca="false">ROUND(IF(B822&lt;(Inputs!$E$8-Inputs!$D$8)/(Inputs!$F$8-Inputs!$D$8),Inputs!$D$8+SQRT(B822*(Inputs!$F$8-Inputs!$D$8)*(Inputs!$E$8-Inputs!$D$8)),Inputs!$F$8-SQRT((1-B822)*(Inputs!$F$8-Inputs!$D$8)*(Inputs!$F$8-Inputs!$E$8))),0)</f>
        <v>24</v>
      </c>
      <c r="D822" s="81" t="n">
        <f aca="true">RAND()</f>
        <v>0.916113021219306</v>
      </c>
      <c r="E822" s="83" t="n">
        <f aca="false">IF(D822&lt;(Inputs!$E$10-Inputs!$D$10)/(Inputs!$F$10-Inputs!$D$10),Inputs!$D$10+SQRT(D822*(Inputs!$F$10-Inputs!$D$10)*(Inputs!$E$10-Inputs!$D$10)),Inputs!$F$10-SQRT((1-D822)*(Inputs!$F$10-Inputs!$D$10)*(Inputs!$F$10-Inputs!$E$10)))</f>
        <v>0.149834181324125</v>
      </c>
      <c r="F822" s="81" t="n">
        <f aca="true">RAND()</f>
        <v>0.964468791651823</v>
      </c>
      <c r="G822" s="83" t="n">
        <f aca="false">IF(F822&lt;(Inputs!$E$15-Inputs!$D$15)/(Inputs!$F$15-Inputs!$D$15),Inputs!$D$15+SQRT(F822*(Inputs!$F$15-Inputs!$D$15)*(Inputs!$E$15-Inputs!$D$15)),Inputs!$F$15-SQRT((1-F822)*(Inputs!$F$15-Inputs!$D$15)*(Inputs!$F$15-Inputs!$E$15)))</f>
        <v>0.773342465099647</v>
      </c>
      <c r="H822" s="81" t="n">
        <f aca="true">RAND()</f>
        <v>0.273035971604195</v>
      </c>
      <c r="I822" s="82" t="n">
        <f aca="false">ROUND(IF(H822&lt;(Inputs!$E$17-Inputs!$D$17)/(Inputs!$F$17-Inputs!$D$17),Inputs!$D$17+SQRT(H822*(Inputs!$F$17-Inputs!$D$17)*(Inputs!$E$17-Inputs!$D$17)),Inputs!$F$17-SQRT((1-H822)*(Inputs!$F$17-Inputs!$D$17)*(Inputs!$F$17-Inputs!$E$17))),0)</f>
        <v>105</v>
      </c>
      <c r="J822" s="81" t="n">
        <f aca="true">RAND()</f>
        <v>0.544625049547459</v>
      </c>
      <c r="K822" s="83" t="n">
        <f aca="false">IF(J822&lt;(Inputs!$E$18-Inputs!$D$18)/(Inputs!$F$18-Inputs!$D$18),Inputs!$D$18+SQRT(J822*(Inputs!$F$18-Inputs!$D$18)*(Inputs!$E$18-Inputs!$D$18)),Inputs!$F$18-SQRT((1-J822)*(Inputs!$F$18-Inputs!$D$18)*(Inputs!$F$18-Inputs!$E$18)))</f>
        <v>1.05038710421269</v>
      </c>
      <c r="L822" s="81" t="n">
        <f aca="true">RAND()</f>
        <v>0.909699942026351</v>
      </c>
      <c r="M822" s="83" t="n">
        <f aca="false">IF(L822&lt;(Inputs!$E$24-Inputs!$D$24)/(Inputs!$F$24-Inputs!$D$24),Inputs!$D$24+SQRT(L822*(Inputs!$F$24-Inputs!$D$24)*(Inputs!$E$24-Inputs!$D$24)),Inputs!$F$24-SQRT((1-L822)*(Inputs!$F$24-Inputs!$D$24)*(Inputs!$F$24-Inputs!$E$24)))</f>
        <v>1.05278582298679</v>
      </c>
      <c r="N822" s="81" t="n">
        <f aca="true">RAND()</f>
        <v>0.455660505163443</v>
      </c>
      <c r="O822" s="83" t="n">
        <f aca="false">IF(N822&lt;(Inputs!$E$26-Inputs!$D$26)/(Inputs!$F$26-Inputs!$D$26),Inputs!$D$26+SQRT(N822*(Inputs!$F$26-Inputs!$D$26)*(Inputs!$E$26-Inputs!$D$26)),Inputs!$F$26-SQRT((1-N822)*(Inputs!$F$26-Inputs!$D$26)*(Inputs!$F$26-Inputs!$E$26)))</f>
        <v>0.575357781911456</v>
      </c>
      <c r="P822" s="81" t="n">
        <f aca="true">RAND()</f>
        <v>0.662585250566259</v>
      </c>
      <c r="Q822" s="82" t="n">
        <f aca="false">IF(P822&lt;(Inputs!$E$27-Inputs!$D$27)/(Inputs!$F$27-Inputs!$D$27),Inputs!$D$27+SQRT(P822*(Inputs!$F$27-Inputs!$D$27)*(Inputs!$E$27-Inputs!$D$27)),Inputs!$F$27-SQRT((1-P822)*(Inputs!$F$27-Inputs!$D$27)*(Inputs!$F$27-Inputs!$E$27)))</f>
        <v>99.6948251096067</v>
      </c>
      <c r="R822" s="81" t="n">
        <f aca="true">RAND()</f>
        <v>0.550175745547156</v>
      </c>
      <c r="S822" s="82" t="n">
        <f aca="false">IF(R822&lt;(Inputs!$E$29-Inputs!$D$29)/(Inputs!$F$29-Inputs!$D$29),Inputs!$D$29+SQRT(R822*(Inputs!$F$29-Inputs!$D$29)*(Inputs!$E$29-Inputs!$D$29)),Inputs!$F$29-SQRT((1-R822)*(Inputs!$F$29-Inputs!$D$29)*(Inputs!$F$29-Inputs!$E$29)))</f>
        <v>7.35296442542147</v>
      </c>
      <c r="T822" s="68" t="n">
        <f aca="false">Inputs!$E$9*(1+E822)+Inputs!$E$5*C822*(Inputs!$E$11*Inputs!$E$14*(G822*I822/Inputs!$E$16+(1-G822))*K822+Inputs!$E$23*M822)*(1+O822)+Inputs!$E$5*(Q822+S822)</f>
        <v>6519.60403829097</v>
      </c>
    </row>
    <row r="823" customFormat="false" ht="15" hidden="false" customHeight="false" outlineLevel="0" collapsed="false">
      <c r="A823" s="1" t="n">
        <v>819</v>
      </c>
      <c r="B823" s="81" t="n">
        <f aca="true">RAND()</f>
        <v>0.0298315278578363</v>
      </c>
      <c r="C823" s="82" t="n">
        <f aca="false">ROUND(IF(B823&lt;(Inputs!$E$8-Inputs!$D$8)/(Inputs!$F$8-Inputs!$D$8),Inputs!$D$8+SQRT(B823*(Inputs!$F$8-Inputs!$D$8)*(Inputs!$E$8-Inputs!$D$8)),Inputs!$F$8-SQRT((1-B823)*(Inputs!$F$8-Inputs!$D$8)*(Inputs!$F$8-Inputs!$E$8))),0)</f>
        <v>21</v>
      </c>
      <c r="D823" s="81" t="n">
        <f aca="true">RAND()</f>
        <v>0.174168674049691</v>
      </c>
      <c r="E823" s="83" t="n">
        <f aca="false">IF(D823&lt;(Inputs!$E$10-Inputs!$D$10)/(Inputs!$F$10-Inputs!$D$10),Inputs!$D$10+SQRT(D823*(Inputs!$F$10-Inputs!$D$10)*(Inputs!$E$10-Inputs!$D$10)),Inputs!$F$10-SQRT((1-D823)*(Inputs!$F$10-Inputs!$D$10)*(Inputs!$F$10-Inputs!$E$10)))</f>
        <v>0.041733520585938</v>
      </c>
      <c r="F823" s="81" t="n">
        <f aca="true">RAND()</f>
        <v>0.827009377411653</v>
      </c>
      <c r="G823" s="83" t="n">
        <f aca="false">IF(F823&lt;(Inputs!$E$15-Inputs!$D$15)/(Inputs!$F$15-Inputs!$D$15),Inputs!$D$15+SQRT(F823*(Inputs!$F$15-Inputs!$D$15)*(Inputs!$E$15-Inputs!$D$15)),Inputs!$F$15-SQRT((1-F823)*(Inputs!$F$15-Inputs!$D$15)*(Inputs!$F$15-Inputs!$E$15)))</f>
        <v>0.741179829550001</v>
      </c>
      <c r="H823" s="81" t="n">
        <f aca="true">RAND()</f>
        <v>0.850696977023162</v>
      </c>
      <c r="I823" s="82" t="n">
        <f aca="false">ROUND(IF(H823&lt;(Inputs!$E$17-Inputs!$D$17)/(Inputs!$F$17-Inputs!$D$17),Inputs!$D$17+SQRT(H823*(Inputs!$F$17-Inputs!$D$17)*(Inputs!$E$17-Inputs!$D$17)),Inputs!$F$17-SQRT((1-H823)*(Inputs!$F$17-Inputs!$D$17)*(Inputs!$F$17-Inputs!$E$17))),0)</f>
        <v>110</v>
      </c>
      <c r="J823" s="81" t="n">
        <f aca="true">RAND()</f>
        <v>0.439754769068997</v>
      </c>
      <c r="K823" s="83" t="n">
        <f aca="false">IF(J823&lt;(Inputs!$E$18-Inputs!$D$18)/(Inputs!$F$18-Inputs!$D$18),Inputs!$D$18+SQRT(J823*(Inputs!$F$18-Inputs!$D$18)*(Inputs!$E$18-Inputs!$D$18)),Inputs!$F$18-SQRT((1-J823)*(Inputs!$F$18-Inputs!$D$18)*(Inputs!$F$18-Inputs!$E$18)))</f>
        <v>1.02859210107482</v>
      </c>
      <c r="L823" s="81" t="n">
        <f aca="true">RAND()</f>
        <v>0.297130756396345</v>
      </c>
      <c r="M823" s="83" t="n">
        <f aca="false">IF(L823&lt;(Inputs!$E$24-Inputs!$D$24)/(Inputs!$F$24-Inputs!$D$24),Inputs!$D$24+SQRT(L823*(Inputs!$F$24-Inputs!$D$24)*(Inputs!$E$24-Inputs!$D$24)),Inputs!$F$24-SQRT((1-L823)*(Inputs!$F$24-Inputs!$D$24)*(Inputs!$F$24-Inputs!$E$24)))</f>
        <v>0.788827145208419</v>
      </c>
      <c r="N823" s="81" t="n">
        <f aca="true">RAND()</f>
        <v>0.422528715017834</v>
      </c>
      <c r="O823" s="83" t="n">
        <f aca="false">IF(N823&lt;(Inputs!$E$26-Inputs!$D$26)/(Inputs!$F$26-Inputs!$D$26),Inputs!$D$26+SQRT(N823*(Inputs!$F$26-Inputs!$D$26)*(Inputs!$E$26-Inputs!$D$26)),Inputs!$F$26-SQRT((1-N823)*(Inputs!$F$26-Inputs!$D$26)*(Inputs!$F$26-Inputs!$E$26)))</f>
        <v>0.565158024919042</v>
      </c>
      <c r="P823" s="81" t="n">
        <f aca="true">RAND()</f>
        <v>0.960298138488024</v>
      </c>
      <c r="Q823" s="82" t="n">
        <f aca="false">IF(P823&lt;(Inputs!$E$27-Inputs!$D$27)/(Inputs!$F$27-Inputs!$D$27),Inputs!$D$27+SQRT(P823*(Inputs!$F$27-Inputs!$D$27)*(Inputs!$E$27-Inputs!$D$27)),Inputs!$F$27-SQRT((1-P823)*(Inputs!$F$27-Inputs!$D$27)*(Inputs!$F$27-Inputs!$E$27)))</f>
        <v>132.744161528925</v>
      </c>
      <c r="R823" s="81" t="n">
        <f aca="true">RAND()</f>
        <v>0.82693283541859</v>
      </c>
      <c r="S823" s="82" t="n">
        <f aca="false">IF(R823&lt;(Inputs!$E$29-Inputs!$D$29)/(Inputs!$F$29-Inputs!$D$29),Inputs!$D$29+SQRT(R823*(Inputs!$F$29-Inputs!$D$29)*(Inputs!$E$29-Inputs!$D$29)),Inputs!$F$29-SQRT((1-R823)*(Inputs!$F$29-Inputs!$D$29)*(Inputs!$F$29-Inputs!$E$29)))</f>
        <v>10.2567172342793</v>
      </c>
      <c r="T823" s="68" t="n">
        <f aca="false">Inputs!$E$9*(1+E823)+Inputs!$E$5*C823*(Inputs!$E$11*Inputs!$E$14*(G823*I823/Inputs!$E$16+(1-G823))*K823+Inputs!$E$23*M823)*(1+O823)+Inputs!$E$5*(Q823+S823)</f>
        <v>5752.47502342544</v>
      </c>
    </row>
    <row r="824" customFormat="false" ht="15" hidden="false" customHeight="false" outlineLevel="0" collapsed="false">
      <c r="A824" s="1" t="n">
        <v>820</v>
      </c>
      <c r="B824" s="81" t="n">
        <f aca="true">RAND()</f>
        <v>0.530729825992878</v>
      </c>
      <c r="C824" s="82" t="n">
        <f aca="false">ROUND(IF(B824&lt;(Inputs!$E$8-Inputs!$D$8)/(Inputs!$F$8-Inputs!$D$8),Inputs!$D$8+SQRT(B824*(Inputs!$F$8-Inputs!$D$8)*(Inputs!$E$8-Inputs!$D$8)),Inputs!$F$8-SQRT((1-B824)*(Inputs!$F$8-Inputs!$D$8)*(Inputs!$F$8-Inputs!$E$8))),0)</f>
        <v>25</v>
      </c>
      <c r="D824" s="81" t="n">
        <f aca="true">RAND()</f>
        <v>0.929438971616538</v>
      </c>
      <c r="E824" s="83" t="n">
        <f aca="false">IF(D824&lt;(Inputs!$E$10-Inputs!$D$10)/(Inputs!$F$10-Inputs!$D$10),Inputs!$D$10+SQRT(D824*(Inputs!$F$10-Inputs!$D$10)*(Inputs!$E$10-Inputs!$D$10)),Inputs!$F$10-SQRT((1-D824)*(Inputs!$F$10-Inputs!$D$10)*(Inputs!$F$10-Inputs!$E$10)))</f>
        <v>0.153990969891728</v>
      </c>
      <c r="F824" s="81" t="n">
        <f aca="true">RAND()</f>
        <v>0.949291076460629</v>
      </c>
      <c r="G824" s="83" t="n">
        <f aca="false">IF(F824&lt;(Inputs!$E$15-Inputs!$D$15)/(Inputs!$F$15-Inputs!$D$15),Inputs!$D$15+SQRT(F824*(Inputs!$F$15-Inputs!$D$15)*(Inputs!$E$15-Inputs!$D$15)),Inputs!$F$15-SQRT((1-F824)*(Inputs!$F$15-Inputs!$D$15)*(Inputs!$F$15-Inputs!$E$15)))</f>
        <v>0.768153831144274</v>
      </c>
      <c r="H824" s="81" t="n">
        <f aca="true">RAND()</f>
        <v>0.794282289477143</v>
      </c>
      <c r="I824" s="82" t="n">
        <f aca="false">ROUND(IF(H824&lt;(Inputs!$E$17-Inputs!$D$17)/(Inputs!$F$17-Inputs!$D$17),Inputs!$D$17+SQRT(H824*(Inputs!$F$17-Inputs!$D$17)*(Inputs!$E$17-Inputs!$D$17)),Inputs!$F$17-SQRT((1-H824)*(Inputs!$F$17-Inputs!$D$17)*(Inputs!$F$17-Inputs!$E$17))),0)</f>
        <v>109</v>
      </c>
      <c r="J824" s="81" t="n">
        <f aca="true">RAND()</f>
        <v>0.575410106430967</v>
      </c>
      <c r="K824" s="83" t="n">
        <f aca="false">IF(J824&lt;(Inputs!$E$18-Inputs!$D$18)/(Inputs!$F$18-Inputs!$D$18),Inputs!$D$18+SQRT(J824*(Inputs!$F$18-Inputs!$D$18)*(Inputs!$E$18-Inputs!$D$18)),Inputs!$F$18-SQRT((1-J824)*(Inputs!$F$18-Inputs!$D$18)*(Inputs!$F$18-Inputs!$E$18)))</f>
        <v>1.05725245607975</v>
      </c>
      <c r="L824" s="81" t="n">
        <f aca="true">RAND()</f>
        <v>0.0436043228035465</v>
      </c>
      <c r="M824" s="83" t="n">
        <f aca="false">IF(L824&lt;(Inputs!$E$24-Inputs!$D$24)/(Inputs!$F$24-Inputs!$D$24),Inputs!$D$24+SQRT(L824*(Inputs!$F$24-Inputs!$D$24)*(Inputs!$E$24-Inputs!$D$24)),Inputs!$F$24-SQRT((1-L824)*(Inputs!$F$24-Inputs!$D$24)*(Inputs!$F$24-Inputs!$E$24)))</f>
        <v>0.672336150964961</v>
      </c>
      <c r="N824" s="81" t="n">
        <f aca="true">RAND()</f>
        <v>0.171729571292717</v>
      </c>
      <c r="O824" s="83" t="n">
        <f aca="false">IF(N824&lt;(Inputs!$E$26-Inputs!$D$26)/(Inputs!$F$26-Inputs!$D$26),Inputs!$D$26+SQRT(N824*(Inputs!$F$26-Inputs!$D$26)*(Inputs!$E$26-Inputs!$D$26)),Inputs!$F$26-SQRT((1-N824)*(Inputs!$F$26-Inputs!$D$26)*(Inputs!$F$26-Inputs!$E$26)))</f>
        <v>0.469043783272583</v>
      </c>
      <c r="P824" s="81" t="n">
        <f aca="true">RAND()</f>
        <v>0.157344971786837</v>
      </c>
      <c r="Q824" s="82" t="n">
        <f aca="false">IF(P824&lt;(Inputs!$E$27-Inputs!$D$27)/(Inputs!$F$27-Inputs!$D$27),Inputs!$D$27+SQRT(P824*(Inputs!$F$27-Inputs!$D$27)*(Inputs!$E$27-Inputs!$D$27)),Inputs!$F$27-SQRT((1-P824)*(Inputs!$F$27-Inputs!$D$27)*(Inputs!$F$27-Inputs!$E$27)))</f>
        <v>69.8333665691706</v>
      </c>
      <c r="R824" s="81" t="n">
        <f aca="true">RAND()</f>
        <v>0.303787129611344</v>
      </c>
      <c r="S824" s="82" t="n">
        <f aca="false">IF(R824&lt;(Inputs!$E$29-Inputs!$D$29)/(Inputs!$F$29-Inputs!$D$29),Inputs!$D$29+SQRT(R824*(Inputs!$F$29-Inputs!$D$29)*(Inputs!$E$29-Inputs!$D$29)),Inputs!$F$29-SQRT((1-R824)*(Inputs!$F$29-Inputs!$D$29)*(Inputs!$F$29-Inputs!$E$29)))</f>
        <v>5.48644792148982</v>
      </c>
      <c r="T824" s="68" t="n">
        <f aca="false">Inputs!$E$9*(1+E824)+Inputs!$E$5*C824*(Inputs!$E$11*Inputs!$E$14*(G824*I824/Inputs!$E$16+(1-G824))*K824+Inputs!$E$23*M824)*(1+O824)+Inputs!$E$5*(Q824+S824)</f>
        <v>5842.35744844176</v>
      </c>
    </row>
    <row r="825" customFormat="false" ht="15" hidden="false" customHeight="false" outlineLevel="0" collapsed="false">
      <c r="A825" s="1" t="n">
        <v>821</v>
      </c>
      <c r="B825" s="81" t="n">
        <f aca="true">RAND()</f>
        <v>0.834603374412329</v>
      </c>
      <c r="C825" s="82" t="n">
        <f aca="false">ROUND(IF(B825&lt;(Inputs!$E$8-Inputs!$D$8)/(Inputs!$F$8-Inputs!$D$8),Inputs!$D$8+SQRT(B825*(Inputs!$F$8-Inputs!$D$8)*(Inputs!$E$8-Inputs!$D$8)),Inputs!$F$8-SQRT((1-B825)*(Inputs!$F$8-Inputs!$D$8)*(Inputs!$F$8-Inputs!$E$8))),0)</f>
        <v>27</v>
      </c>
      <c r="D825" s="81" t="n">
        <f aca="true">RAND()</f>
        <v>0.449212008365857</v>
      </c>
      <c r="E825" s="83" t="n">
        <f aca="false">IF(D825&lt;(Inputs!$E$10-Inputs!$D$10)/(Inputs!$F$10-Inputs!$D$10),Inputs!$D$10+SQRT(D825*(Inputs!$F$10-Inputs!$D$10)*(Inputs!$E$10-Inputs!$D$10)),Inputs!$F$10-SQRT((1-D825)*(Inputs!$F$10-Inputs!$D$10)*(Inputs!$F$10-Inputs!$E$10)))</f>
        <v>0.0714556895501622</v>
      </c>
      <c r="F825" s="81" t="n">
        <f aca="true">RAND()</f>
        <v>0.494063009269219</v>
      </c>
      <c r="G825" s="83" t="n">
        <f aca="false">IF(F825&lt;(Inputs!$E$15-Inputs!$D$15)/(Inputs!$F$15-Inputs!$D$15),Inputs!$D$15+SQRT(F825*(Inputs!$F$15-Inputs!$D$15)*(Inputs!$E$15-Inputs!$D$15)),Inputs!$F$15-SQRT((1-F825)*(Inputs!$F$15-Inputs!$D$15)*(Inputs!$F$15-Inputs!$E$15)))</f>
        <v>0.699404527992363</v>
      </c>
      <c r="H825" s="81" t="n">
        <f aca="true">RAND()</f>
        <v>0.202180169332903</v>
      </c>
      <c r="I825" s="82" t="n">
        <f aca="false">ROUND(IF(H825&lt;(Inputs!$E$17-Inputs!$D$17)/(Inputs!$F$17-Inputs!$D$17),Inputs!$D$17+SQRT(H825*(Inputs!$F$17-Inputs!$D$17)*(Inputs!$E$17-Inputs!$D$17)),Inputs!$F$17-SQRT((1-H825)*(Inputs!$F$17-Inputs!$D$17)*(Inputs!$F$17-Inputs!$E$17))),0)</f>
        <v>104</v>
      </c>
      <c r="J825" s="81" t="n">
        <f aca="true">RAND()</f>
        <v>0.0778297145508664</v>
      </c>
      <c r="K825" s="83" t="n">
        <f aca="false">IF(J825&lt;(Inputs!$E$18-Inputs!$D$18)/(Inputs!$F$18-Inputs!$D$18),Inputs!$D$18+SQRT(J825*(Inputs!$F$18-Inputs!$D$18)*(Inputs!$E$18-Inputs!$D$18)),Inputs!$F$18-SQRT((1-J825)*(Inputs!$F$18-Inputs!$D$18)*(Inputs!$F$18-Inputs!$E$18)))</f>
        <v>0.952192336691131</v>
      </c>
      <c r="L825" s="81" t="n">
        <f aca="true">RAND()</f>
        <v>0.0830707948200316</v>
      </c>
      <c r="M825" s="83" t="n">
        <f aca="false">IF(L825&lt;(Inputs!$E$24-Inputs!$D$24)/(Inputs!$F$24-Inputs!$D$24),Inputs!$D$24+SQRT(L825*(Inputs!$F$24-Inputs!$D$24)*(Inputs!$E$24-Inputs!$D$24)),Inputs!$F$24-SQRT((1-L825)*(Inputs!$F$24-Inputs!$D$24)*(Inputs!$F$24-Inputs!$E$24)))</f>
        <v>0.69984235262855</v>
      </c>
      <c r="N825" s="81" t="n">
        <f aca="true">RAND()</f>
        <v>0.769035420423719</v>
      </c>
      <c r="O825" s="83" t="n">
        <f aca="false">IF(N825&lt;(Inputs!$E$26-Inputs!$D$26)/(Inputs!$F$26-Inputs!$D$26),Inputs!$D$26+SQRT(N825*(Inputs!$F$26-Inputs!$D$26)*(Inputs!$E$26-Inputs!$D$26)),Inputs!$F$26-SQRT((1-N825)*(Inputs!$F$26-Inputs!$D$26)*(Inputs!$F$26-Inputs!$E$26)))</f>
        <v>0.665015109523756</v>
      </c>
      <c r="P825" s="81" t="n">
        <f aca="true">RAND()</f>
        <v>0.0123399533985381</v>
      </c>
      <c r="Q825" s="82" t="n">
        <f aca="false">IF(P825&lt;(Inputs!$E$27-Inputs!$D$27)/(Inputs!$F$27-Inputs!$D$27),Inputs!$D$27+SQRT(P825*(Inputs!$F$27-Inputs!$D$27)*(Inputs!$E$27-Inputs!$D$27)),Inputs!$F$27-SQRT((1-P825)*(Inputs!$F$27-Inputs!$D$27)*(Inputs!$F$27-Inputs!$E$27)))</f>
        <v>55.5542671430483</v>
      </c>
      <c r="R825" s="81" t="n">
        <f aca="true">RAND()</f>
        <v>0.254865800852269</v>
      </c>
      <c r="S825" s="82" t="n">
        <f aca="false">IF(R825&lt;(Inputs!$E$29-Inputs!$D$29)/(Inputs!$F$29-Inputs!$D$29),Inputs!$D$29+SQRT(R825*(Inputs!$F$29-Inputs!$D$29)*(Inputs!$E$29-Inputs!$D$29)),Inputs!$F$29-SQRT((1-R825)*(Inputs!$F$29-Inputs!$D$29)*(Inputs!$F$29-Inputs!$E$29)))</f>
        <v>5.15787391417866</v>
      </c>
      <c r="T825" s="68" t="n">
        <f aca="false">Inputs!$E$9*(1+E825)+Inputs!$E$5*C825*(Inputs!$E$11*Inputs!$E$14*(G825*I825/Inputs!$E$16+(1-G825))*K825+Inputs!$E$23*M825)*(1+O825)+Inputs!$E$5*(Q825+S825)</f>
        <v>6069.52287717812</v>
      </c>
    </row>
    <row r="826" customFormat="false" ht="15" hidden="false" customHeight="false" outlineLevel="0" collapsed="false">
      <c r="A826" s="1" t="n">
        <v>822</v>
      </c>
      <c r="B826" s="81" t="n">
        <f aca="true">RAND()</f>
        <v>0.0137469710287839</v>
      </c>
      <c r="C826" s="82" t="n">
        <f aca="false">ROUND(IF(B826&lt;(Inputs!$E$8-Inputs!$D$8)/(Inputs!$F$8-Inputs!$D$8),Inputs!$D$8+SQRT(B826*(Inputs!$F$8-Inputs!$D$8)*(Inputs!$E$8-Inputs!$D$8)),Inputs!$F$8-SQRT((1-B826)*(Inputs!$F$8-Inputs!$D$8)*(Inputs!$F$8-Inputs!$E$8))),0)</f>
        <v>21</v>
      </c>
      <c r="D826" s="81" t="n">
        <f aca="true">RAND()</f>
        <v>0.797093267113327</v>
      </c>
      <c r="E826" s="83" t="n">
        <f aca="false">IF(D826&lt;(Inputs!$E$10-Inputs!$D$10)/(Inputs!$F$10-Inputs!$D$10),Inputs!$D$10+SQRT(D826*(Inputs!$F$10-Inputs!$D$10)*(Inputs!$E$10-Inputs!$D$10)),Inputs!$F$10-SQRT((1-D826)*(Inputs!$F$10-Inputs!$D$10)*(Inputs!$F$10-Inputs!$E$10)))</f>
        <v>0.121979477144791</v>
      </c>
      <c r="F826" s="81" t="n">
        <f aca="true">RAND()</f>
        <v>0.190902822180798</v>
      </c>
      <c r="G826" s="83" t="n">
        <f aca="false">IF(F826&lt;(Inputs!$E$15-Inputs!$D$15)/(Inputs!$F$15-Inputs!$D$15),Inputs!$D$15+SQRT(F826*(Inputs!$F$15-Inputs!$D$15)*(Inputs!$E$15-Inputs!$D$15)),Inputs!$F$15-SQRT((1-F826)*(Inputs!$F$15-Inputs!$D$15)*(Inputs!$F$15-Inputs!$E$15)))</f>
        <v>0.661790423559124</v>
      </c>
      <c r="H826" s="81" t="n">
        <f aca="true">RAND()</f>
        <v>0.0532836663253901</v>
      </c>
      <c r="I826" s="82" t="n">
        <f aca="false">ROUND(IF(H826&lt;(Inputs!$E$17-Inputs!$D$17)/(Inputs!$F$17-Inputs!$D$17),Inputs!$D$17+SQRT(H826*(Inputs!$F$17-Inputs!$D$17)*(Inputs!$E$17-Inputs!$D$17)),Inputs!$F$17-SQRT((1-H826)*(Inputs!$F$17-Inputs!$D$17)*(Inputs!$F$17-Inputs!$E$17))),0)</f>
        <v>102</v>
      </c>
      <c r="J826" s="81" t="n">
        <f aca="true">RAND()</f>
        <v>0.913220385367368</v>
      </c>
      <c r="K826" s="83" t="n">
        <f aca="false">IF(J826&lt;(Inputs!$E$18-Inputs!$D$18)/(Inputs!$F$18-Inputs!$D$18),Inputs!$D$18+SQRT(J826*(Inputs!$F$18-Inputs!$D$18)*(Inputs!$E$18-Inputs!$D$18)),Inputs!$F$18-SQRT((1-J826)*(Inputs!$F$18-Inputs!$D$18)*(Inputs!$F$18-Inputs!$E$18)))</f>
        <v>1.16286093711569</v>
      </c>
      <c r="L826" s="81" t="n">
        <f aca="true">RAND()</f>
        <v>0.0228326263022933</v>
      </c>
      <c r="M826" s="83" t="n">
        <f aca="false">IF(L826&lt;(Inputs!$E$24-Inputs!$D$24)/(Inputs!$F$24-Inputs!$D$24),Inputs!$D$24+SQRT(L826*(Inputs!$F$24-Inputs!$D$24)*(Inputs!$E$24-Inputs!$D$24)),Inputs!$F$24-SQRT((1-L826)*(Inputs!$F$24-Inputs!$D$24)*(Inputs!$F$24-Inputs!$E$24)))</f>
        <v>0.652344198878913</v>
      </c>
      <c r="N826" s="81" t="n">
        <f aca="true">RAND()</f>
        <v>0.374792346233649</v>
      </c>
      <c r="O826" s="83" t="n">
        <f aca="false">IF(N826&lt;(Inputs!$E$26-Inputs!$D$26)/(Inputs!$F$26-Inputs!$D$26),Inputs!$D$26+SQRT(N826*(Inputs!$F$26-Inputs!$D$26)*(Inputs!$E$26-Inputs!$D$26)),Inputs!$F$26-SQRT((1-N826)*(Inputs!$F$26-Inputs!$D$26)*(Inputs!$F$26-Inputs!$E$26)))</f>
        <v>0.5497307478331</v>
      </c>
      <c r="P826" s="81" t="n">
        <f aca="true">RAND()</f>
        <v>0.336823689654536</v>
      </c>
      <c r="Q826" s="82" t="n">
        <f aca="false">IF(P826&lt;(Inputs!$E$27-Inputs!$D$27)/(Inputs!$F$27-Inputs!$D$27),Inputs!$D$27+SQRT(P826*(Inputs!$F$27-Inputs!$D$27)*(Inputs!$E$27-Inputs!$D$27)),Inputs!$F$27-SQRT((1-P826)*(Inputs!$F$27-Inputs!$D$27)*(Inputs!$F$27-Inputs!$E$27)))</f>
        <v>79.4746688941414</v>
      </c>
      <c r="R826" s="81" t="n">
        <f aca="true">RAND()</f>
        <v>0.813815000164058</v>
      </c>
      <c r="S826" s="82" t="n">
        <f aca="false">IF(R826&lt;(Inputs!$E$29-Inputs!$D$29)/(Inputs!$F$29-Inputs!$D$29),Inputs!$D$29+SQRT(R826*(Inputs!$F$29-Inputs!$D$29)*(Inputs!$E$29-Inputs!$D$29)),Inputs!$F$29-SQRT((1-R826)*(Inputs!$F$29-Inputs!$D$29)*(Inputs!$F$29-Inputs!$E$29)))</f>
        <v>10.0802388291023</v>
      </c>
      <c r="T826" s="68" t="n">
        <f aca="false">Inputs!$E$9*(1+E826)+Inputs!$E$5*C826*(Inputs!$E$11*Inputs!$E$14*(G826*I826/Inputs!$E$16+(1-G826))*K826+Inputs!$E$23*M826)*(1+O826)+Inputs!$E$5*(Q826+S826)</f>
        <v>5722.16737757573</v>
      </c>
    </row>
    <row r="827" customFormat="false" ht="15" hidden="false" customHeight="false" outlineLevel="0" collapsed="false">
      <c r="A827" s="1" t="n">
        <v>823</v>
      </c>
      <c r="B827" s="81" t="n">
        <f aca="true">RAND()</f>
        <v>0.624522173689036</v>
      </c>
      <c r="C827" s="82" t="n">
        <f aca="false">ROUND(IF(B827&lt;(Inputs!$E$8-Inputs!$D$8)/(Inputs!$F$8-Inputs!$D$8),Inputs!$D$8+SQRT(B827*(Inputs!$F$8-Inputs!$D$8)*(Inputs!$E$8-Inputs!$D$8)),Inputs!$F$8-SQRT((1-B827)*(Inputs!$F$8-Inputs!$D$8)*(Inputs!$F$8-Inputs!$E$8))),0)</f>
        <v>26</v>
      </c>
      <c r="D827" s="81" t="n">
        <f aca="true">RAND()</f>
        <v>0.507449545630547</v>
      </c>
      <c r="E827" s="83" t="n">
        <f aca="false">IF(D827&lt;(Inputs!$E$10-Inputs!$D$10)/(Inputs!$F$10-Inputs!$D$10),Inputs!$D$10+SQRT(D827*(Inputs!$F$10-Inputs!$D$10)*(Inputs!$E$10-Inputs!$D$10)),Inputs!$F$10-SQRT((1-D827)*(Inputs!$F$10-Inputs!$D$10)*(Inputs!$F$10-Inputs!$E$10)))</f>
        <v>0.0784413161017133</v>
      </c>
      <c r="F827" s="81" t="n">
        <f aca="true">RAND()</f>
        <v>0.735311086021592</v>
      </c>
      <c r="G827" s="83" t="n">
        <f aca="false">IF(F827&lt;(Inputs!$E$15-Inputs!$D$15)/(Inputs!$F$15-Inputs!$D$15),Inputs!$D$15+SQRT(F827*(Inputs!$F$15-Inputs!$D$15)*(Inputs!$E$15-Inputs!$D$15)),Inputs!$F$15-SQRT((1-F827)*(Inputs!$F$15-Inputs!$D$15)*(Inputs!$F$15-Inputs!$E$15)))</f>
        <v>0.727241644606491</v>
      </c>
      <c r="H827" s="81" t="n">
        <f aca="true">RAND()</f>
        <v>0.0333324223239981</v>
      </c>
      <c r="I827" s="82" t="n">
        <f aca="false">ROUND(IF(H827&lt;(Inputs!$E$17-Inputs!$D$17)/(Inputs!$F$17-Inputs!$D$17),Inputs!$D$17+SQRT(H827*(Inputs!$F$17-Inputs!$D$17)*(Inputs!$E$17-Inputs!$D$17)),Inputs!$F$17-SQRT((1-H827)*(Inputs!$F$17-Inputs!$D$17)*(Inputs!$F$17-Inputs!$E$17))),0)</f>
        <v>102</v>
      </c>
      <c r="J827" s="81" t="n">
        <f aca="true">RAND()</f>
        <v>0.564140302482802</v>
      </c>
      <c r="K827" s="83" t="n">
        <f aca="false">IF(J827&lt;(Inputs!$E$18-Inputs!$D$18)/(Inputs!$F$18-Inputs!$D$18),Inputs!$D$18+SQRT(J827*(Inputs!$F$18-Inputs!$D$18)*(Inputs!$E$18-Inputs!$D$18)),Inputs!$F$18-SQRT((1-J827)*(Inputs!$F$18-Inputs!$D$18)*(Inputs!$F$18-Inputs!$E$18)))</f>
        <v>1.05471117919155</v>
      </c>
      <c r="L827" s="81" t="n">
        <f aca="true">RAND()</f>
        <v>0.629221299970052</v>
      </c>
      <c r="M827" s="83" t="n">
        <f aca="false">IF(L827&lt;(Inputs!$E$24-Inputs!$D$24)/(Inputs!$F$24-Inputs!$D$24),Inputs!$D$24+SQRT(L827*(Inputs!$F$24-Inputs!$D$24)*(Inputs!$E$24-Inputs!$D$24)),Inputs!$F$24-SQRT((1-L827)*(Inputs!$F$24-Inputs!$D$24)*(Inputs!$F$24-Inputs!$E$24)))</f>
        <v>0.901693298755815</v>
      </c>
      <c r="N827" s="81" t="n">
        <f aca="true">RAND()</f>
        <v>0.969280993838319</v>
      </c>
      <c r="O827" s="83" t="n">
        <f aca="false">IF(N827&lt;(Inputs!$E$26-Inputs!$D$26)/(Inputs!$F$26-Inputs!$D$26),Inputs!$D$26+SQRT(N827*(Inputs!$F$26-Inputs!$D$26)*(Inputs!$E$26-Inputs!$D$26)),Inputs!$F$26-SQRT((1-N827)*(Inputs!$F$26-Inputs!$D$26)*(Inputs!$F$26-Inputs!$E$26)))</f>
        <v>0.763477644769394</v>
      </c>
      <c r="P827" s="81" t="n">
        <f aca="true">RAND()</f>
        <v>0.0390507588096301</v>
      </c>
      <c r="Q827" s="82" t="n">
        <f aca="false">IF(P827&lt;(Inputs!$E$27-Inputs!$D$27)/(Inputs!$F$27-Inputs!$D$27),Inputs!$D$27+SQRT(P827*(Inputs!$F$27-Inputs!$D$27)*(Inputs!$E$27-Inputs!$D$27)),Inputs!$F$27-SQRT((1-P827)*(Inputs!$F$27-Inputs!$D$27)*(Inputs!$F$27-Inputs!$E$27)))</f>
        <v>59.880632420249</v>
      </c>
      <c r="R827" s="81" t="n">
        <f aca="true">RAND()</f>
        <v>0.954425460360564</v>
      </c>
      <c r="S827" s="82" t="n">
        <f aca="false">IF(R827&lt;(Inputs!$E$29-Inputs!$D$29)/(Inputs!$F$29-Inputs!$D$29),Inputs!$D$29+SQRT(R827*(Inputs!$F$29-Inputs!$D$29)*(Inputs!$E$29-Inputs!$D$29)),Inputs!$F$29-SQRT((1-R827)*(Inputs!$F$29-Inputs!$D$29)*(Inputs!$F$29-Inputs!$E$29)))</f>
        <v>12.5659313581728</v>
      </c>
      <c r="T827" s="68" t="n">
        <f aca="false">Inputs!$E$9*(1+E827)+Inputs!$E$5*C827*(Inputs!$E$11*Inputs!$E$14*(G827*I827/Inputs!$E$16+(1-G827))*K827+Inputs!$E$23*M827)*(1+O827)+Inputs!$E$5*(Q827+S827)</f>
        <v>6717.85491016852</v>
      </c>
    </row>
    <row r="828" customFormat="false" ht="15" hidden="false" customHeight="false" outlineLevel="0" collapsed="false">
      <c r="A828" s="1" t="n">
        <v>824</v>
      </c>
      <c r="B828" s="81" t="n">
        <f aca="true">RAND()</f>
        <v>0.360215487757933</v>
      </c>
      <c r="C828" s="82" t="n">
        <f aca="false">ROUND(IF(B828&lt;(Inputs!$E$8-Inputs!$D$8)/(Inputs!$F$8-Inputs!$D$8),Inputs!$D$8+SQRT(B828*(Inputs!$F$8-Inputs!$D$8)*(Inputs!$E$8-Inputs!$D$8)),Inputs!$F$8-SQRT((1-B828)*(Inputs!$F$8-Inputs!$D$8)*(Inputs!$F$8-Inputs!$E$8))),0)</f>
        <v>24</v>
      </c>
      <c r="D828" s="81" t="n">
        <f aca="true">RAND()</f>
        <v>0.636546655873761</v>
      </c>
      <c r="E828" s="83" t="n">
        <f aca="false">IF(D828&lt;(Inputs!$E$10-Inputs!$D$10)/(Inputs!$F$10-Inputs!$D$10),Inputs!$D$10+SQRT(D828*(Inputs!$F$10-Inputs!$D$10)*(Inputs!$E$10-Inputs!$D$10)),Inputs!$F$10-SQRT((1-D828)*(Inputs!$F$10-Inputs!$D$10)*(Inputs!$F$10-Inputs!$E$10)))</f>
        <v>0.0955796939106805</v>
      </c>
      <c r="F828" s="81" t="n">
        <f aca="true">RAND()</f>
        <v>0.470692826306816</v>
      </c>
      <c r="G828" s="83" t="n">
        <f aca="false">IF(F828&lt;(Inputs!$E$15-Inputs!$D$15)/(Inputs!$F$15-Inputs!$D$15),Inputs!$D$15+SQRT(F828*(Inputs!$F$15-Inputs!$D$15)*(Inputs!$E$15-Inputs!$D$15)),Inputs!$F$15-SQRT((1-F828)*(Inputs!$F$15-Inputs!$D$15)*(Inputs!$F$15-Inputs!$E$15)))</f>
        <v>0.697025030410386</v>
      </c>
      <c r="H828" s="81" t="n">
        <f aca="true">RAND()</f>
        <v>0.0482620139535449</v>
      </c>
      <c r="I828" s="82" t="n">
        <f aca="false">ROUND(IF(H828&lt;(Inputs!$E$17-Inputs!$D$17)/(Inputs!$F$17-Inputs!$D$17),Inputs!$D$17+SQRT(H828*(Inputs!$F$17-Inputs!$D$17)*(Inputs!$E$17-Inputs!$D$17)),Inputs!$F$17-SQRT((1-H828)*(Inputs!$F$17-Inputs!$D$17)*(Inputs!$F$17-Inputs!$E$17))),0)</f>
        <v>102</v>
      </c>
      <c r="J828" s="81" t="n">
        <f aca="true">RAND()</f>
        <v>0.11909582205407</v>
      </c>
      <c r="K828" s="83" t="n">
        <f aca="false">IF(J828&lt;(Inputs!$E$18-Inputs!$D$18)/(Inputs!$F$18-Inputs!$D$18),Inputs!$D$18+SQRT(J828*(Inputs!$F$18-Inputs!$D$18)*(Inputs!$E$18-Inputs!$D$18)),Inputs!$F$18-SQRT((1-J828)*(Inputs!$F$18-Inputs!$D$18)*(Inputs!$F$18-Inputs!$E$18)))</f>
        <v>0.964562789375092</v>
      </c>
      <c r="L828" s="81" t="n">
        <f aca="true">RAND()</f>
        <v>0.452376322347679</v>
      </c>
      <c r="M828" s="83" t="n">
        <f aca="false">IF(L828&lt;(Inputs!$E$24-Inputs!$D$24)/(Inputs!$F$24-Inputs!$D$24),Inputs!$D$24+SQRT(L828*(Inputs!$F$24-Inputs!$D$24)*(Inputs!$E$24-Inputs!$D$24)),Inputs!$F$24-SQRT((1-L828)*(Inputs!$F$24-Inputs!$D$24)*(Inputs!$F$24-Inputs!$E$24)))</f>
        <v>0.837467680562743</v>
      </c>
      <c r="N828" s="81" t="n">
        <f aca="true">RAND()</f>
        <v>0.696599948462501</v>
      </c>
      <c r="O828" s="83" t="n">
        <f aca="false">IF(N828&lt;(Inputs!$E$26-Inputs!$D$26)/(Inputs!$F$26-Inputs!$D$26),Inputs!$D$26+SQRT(N828*(Inputs!$F$26-Inputs!$D$26)*(Inputs!$E$26-Inputs!$D$26)),Inputs!$F$26-SQRT((1-N828)*(Inputs!$F$26-Inputs!$D$26)*(Inputs!$F$26-Inputs!$E$26)))</f>
        <v>0.642366654707232</v>
      </c>
      <c r="P828" s="81" t="n">
        <f aca="true">RAND()</f>
        <v>0.389839633540776</v>
      </c>
      <c r="Q828" s="82" t="n">
        <f aca="false">IF(P828&lt;(Inputs!$E$27-Inputs!$D$27)/(Inputs!$F$27-Inputs!$D$27),Inputs!$D$27+SQRT(P828*(Inputs!$F$27-Inputs!$D$27)*(Inputs!$E$27-Inputs!$D$27)),Inputs!$F$27-SQRT((1-P828)*(Inputs!$F$27-Inputs!$D$27)*(Inputs!$F$27-Inputs!$E$27)))</f>
        <v>82.3523633195943</v>
      </c>
      <c r="R828" s="81" t="n">
        <f aca="true">RAND()</f>
        <v>0.860020072983886</v>
      </c>
      <c r="S828" s="82" t="n">
        <f aca="false">IF(R828&lt;(Inputs!$E$29-Inputs!$D$29)/(Inputs!$F$29-Inputs!$D$29),Inputs!$D$29+SQRT(R828*(Inputs!$F$29-Inputs!$D$29)*(Inputs!$E$29-Inputs!$D$29)),Inputs!$F$29-SQRT((1-R828)*(Inputs!$F$29-Inputs!$D$29)*(Inputs!$F$29-Inputs!$E$29)))</f>
        <v>10.7341600461228</v>
      </c>
      <c r="T828" s="68" t="n">
        <f aca="false">Inputs!$E$9*(1+E828)+Inputs!$E$5*C828*(Inputs!$E$11*Inputs!$E$14*(G828*I828/Inputs!$E$16+(1-G828))*K828+Inputs!$E$23*M828)*(1+O828)+Inputs!$E$5*(Q828+S828)</f>
        <v>6064.9402760398</v>
      </c>
    </row>
    <row r="829" customFormat="false" ht="15" hidden="false" customHeight="false" outlineLevel="0" collapsed="false">
      <c r="A829" s="1" t="n">
        <v>825</v>
      </c>
      <c r="B829" s="81" t="n">
        <f aca="true">RAND()</f>
        <v>0.333829963711812</v>
      </c>
      <c r="C829" s="82" t="n">
        <f aca="false">ROUND(IF(B829&lt;(Inputs!$E$8-Inputs!$D$8)/(Inputs!$F$8-Inputs!$D$8),Inputs!$D$8+SQRT(B829*(Inputs!$F$8-Inputs!$D$8)*(Inputs!$E$8-Inputs!$D$8)),Inputs!$F$8-SQRT((1-B829)*(Inputs!$F$8-Inputs!$D$8)*(Inputs!$F$8-Inputs!$E$8))),0)</f>
        <v>24</v>
      </c>
      <c r="D829" s="81" t="n">
        <f aca="true">RAND()</f>
        <v>0.324463516133139</v>
      </c>
      <c r="E829" s="83" t="n">
        <f aca="false">IF(D829&lt;(Inputs!$E$10-Inputs!$D$10)/(Inputs!$F$10-Inputs!$D$10),Inputs!$D$10+SQRT(D829*(Inputs!$F$10-Inputs!$D$10)*(Inputs!$E$10-Inputs!$D$10)),Inputs!$F$10-SQRT((1-D829)*(Inputs!$F$10-Inputs!$D$10)*(Inputs!$F$10-Inputs!$E$10)))</f>
        <v>0.0576409661594817</v>
      </c>
      <c r="F829" s="81" t="n">
        <f aca="true">RAND()</f>
        <v>0.129129951652488</v>
      </c>
      <c r="G829" s="83" t="n">
        <f aca="false">IF(F829&lt;(Inputs!$E$15-Inputs!$D$15)/(Inputs!$F$15-Inputs!$D$15),Inputs!$D$15+SQRT(F829*(Inputs!$F$15-Inputs!$D$15)*(Inputs!$E$15-Inputs!$D$15)),Inputs!$F$15-SQRT((1-F829)*(Inputs!$F$15-Inputs!$D$15)*(Inputs!$F$15-Inputs!$E$15)))</f>
        <v>0.650819278163407</v>
      </c>
      <c r="H829" s="81" t="n">
        <f aca="true">RAND()</f>
        <v>0.775892437988513</v>
      </c>
      <c r="I829" s="82" t="n">
        <f aca="false">ROUND(IF(H829&lt;(Inputs!$E$17-Inputs!$D$17)/(Inputs!$F$17-Inputs!$D$17),Inputs!$D$17+SQRT(H829*(Inputs!$F$17-Inputs!$D$17)*(Inputs!$E$17-Inputs!$D$17)),Inputs!$F$17-SQRT((1-H829)*(Inputs!$F$17-Inputs!$D$17)*(Inputs!$F$17-Inputs!$E$17))),0)</f>
        <v>109</v>
      </c>
      <c r="J829" s="81" t="n">
        <f aca="true">RAND()</f>
        <v>0.797658679646407</v>
      </c>
      <c r="K829" s="83" t="n">
        <f aca="false">IF(J829&lt;(Inputs!$E$18-Inputs!$D$18)/(Inputs!$F$18-Inputs!$D$18),Inputs!$D$18+SQRT(J829*(Inputs!$F$18-Inputs!$D$18)*(Inputs!$E$18-Inputs!$D$18)),Inputs!$F$18-SQRT((1-J829)*(Inputs!$F$18-Inputs!$D$18)*(Inputs!$F$18-Inputs!$E$18)))</f>
        <v>1.11694036851494</v>
      </c>
      <c r="L829" s="81" t="n">
        <f aca="true">RAND()</f>
        <v>0.81488564865033</v>
      </c>
      <c r="M829" s="83" t="n">
        <f aca="false">IF(L829&lt;(Inputs!$E$24-Inputs!$D$24)/(Inputs!$F$24-Inputs!$D$24),Inputs!$D$24+SQRT(L829*(Inputs!$F$24-Inputs!$D$24)*(Inputs!$E$24-Inputs!$D$24)),Inputs!$F$24-SQRT((1-L829)*(Inputs!$F$24-Inputs!$D$24)*(Inputs!$F$24-Inputs!$E$24)))</f>
        <v>0.989221812504422</v>
      </c>
      <c r="N829" s="81" t="n">
        <f aca="true">RAND()</f>
        <v>0.835531944328298</v>
      </c>
      <c r="O829" s="83" t="n">
        <f aca="false">IF(N829&lt;(Inputs!$E$26-Inputs!$D$26)/(Inputs!$F$26-Inputs!$D$26),Inputs!$D$26+SQRT(N829*(Inputs!$F$26-Inputs!$D$26)*(Inputs!$E$26-Inputs!$D$26)),Inputs!$F$26-SQRT((1-N829)*(Inputs!$F$26-Inputs!$D$26)*(Inputs!$F$26-Inputs!$E$26)))</f>
        <v>0.689215146940263</v>
      </c>
      <c r="P829" s="81" t="n">
        <f aca="true">RAND()</f>
        <v>0.899419011252787</v>
      </c>
      <c r="Q829" s="82" t="n">
        <f aca="false">IF(P829&lt;(Inputs!$E$27-Inputs!$D$27)/(Inputs!$F$27-Inputs!$D$27),Inputs!$D$27+SQRT(P829*(Inputs!$F$27-Inputs!$D$27)*(Inputs!$E$27-Inputs!$D$27)),Inputs!$F$27-SQRT((1-P829)*(Inputs!$F$27-Inputs!$D$27)*(Inputs!$F$27-Inputs!$E$27)))</f>
        <v>122.534432181291</v>
      </c>
      <c r="R829" s="81" t="n">
        <f aca="true">RAND()</f>
        <v>0.432166694019155</v>
      </c>
      <c r="S829" s="82" t="n">
        <f aca="false">IF(R829&lt;(Inputs!$E$29-Inputs!$D$29)/(Inputs!$F$29-Inputs!$D$29),Inputs!$D$29+SQRT(R829*(Inputs!$F$29-Inputs!$D$29)*(Inputs!$E$29-Inputs!$D$29)),Inputs!$F$29-SQRT((1-R829)*(Inputs!$F$29-Inputs!$D$29)*(Inputs!$F$29-Inputs!$E$29)))</f>
        <v>6.40824058894164</v>
      </c>
      <c r="T829" s="68" t="n">
        <f aca="false">Inputs!$E$9*(1+E829)+Inputs!$E$5*C829*(Inputs!$E$11*Inputs!$E$14*(G829*I829/Inputs!$E$16+(1-G829))*K829+Inputs!$E$23*M829)*(1+O829)+Inputs!$E$5*(Q829+S829)</f>
        <v>6956.20856970627</v>
      </c>
    </row>
    <row r="830" customFormat="false" ht="15" hidden="false" customHeight="false" outlineLevel="0" collapsed="false">
      <c r="A830" s="1" t="n">
        <v>826</v>
      </c>
      <c r="B830" s="81" t="n">
        <f aca="true">RAND()</f>
        <v>0.522497461732977</v>
      </c>
      <c r="C830" s="82" t="n">
        <f aca="false">ROUND(IF(B830&lt;(Inputs!$E$8-Inputs!$D$8)/(Inputs!$F$8-Inputs!$D$8),Inputs!$D$8+SQRT(B830*(Inputs!$F$8-Inputs!$D$8)*(Inputs!$E$8-Inputs!$D$8)),Inputs!$F$8-SQRT((1-B830)*(Inputs!$F$8-Inputs!$D$8)*(Inputs!$F$8-Inputs!$E$8))),0)</f>
        <v>25</v>
      </c>
      <c r="D830" s="81" t="n">
        <f aca="true">RAND()</f>
        <v>0.495795676099451</v>
      </c>
      <c r="E830" s="83" t="n">
        <f aca="false">IF(D830&lt;(Inputs!$E$10-Inputs!$D$10)/(Inputs!$F$10-Inputs!$D$10),Inputs!$D$10+SQRT(D830*(Inputs!$F$10-Inputs!$D$10)*(Inputs!$E$10-Inputs!$D$10)),Inputs!$F$10-SQRT((1-D830)*(Inputs!$F$10-Inputs!$D$10)*(Inputs!$F$10-Inputs!$E$10)))</f>
        <v>0.077011668370465</v>
      </c>
      <c r="F830" s="81" t="n">
        <f aca="true">RAND()</f>
        <v>0.717129099523678</v>
      </c>
      <c r="G830" s="83" t="n">
        <f aca="false">IF(F830&lt;(Inputs!$E$15-Inputs!$D$15)/(Inputs!$F$15-Inputs!$D$15),Inputs!$D$15+SQRT(F830*(Inputs!$F$15-Inputs!$D$15)*(Inputs!$E$15-Inputs!$D$15)),Inputs!$F$15-SQRT((1-F830)*(Inputs!$F$15-Inputs!$D$15)*(Inputs!$F$15-Inputs!$E$15)))</f>
        <v>0.724784190428299</v>
      </c>
      <c r="H830" s="81" t="n">
        <f aca="true">RAND()</f>
        <v>0.681170524679901</v>
      </c>
      <c r="I830" s="82" t="n">
        <f aca="false">ROUND(IF(H830&lt;(Inputs!$E$17-Inputs!$D$17)/(Inputs!$F$17-Inputs!$D$17),Inputs!$D$17+SQRT(H830*(Inputs!$F$17-Inputs!$D$17)*(Inputs!$E$17-Inputs!$D$17)),Inputs!$F$17-SQRT((1-H830)*(Inputs!$F$17-Inputs!$D$17)*(Inputs!$F$17-Inputs!$E$17))),0)</f>
        <v>108</v>
      </c>
      <c r="J830" s="81" t="n">
        <f aca="true">RAND()</f>
        <v>0.326964674937367</v>
      </c>
      <c r="K830" s="83" t="n">
        <f aca="false">IF(J830&lt;(Inputs!$E$18-Inputs!$D$18)/(Inputs!$F$18-Inputs!$D$18),Inputs!$D$18+SQRT(J830*(Inputs!$F$18-Inputs!$D$18)*(Inputs!$E$18-Inputs!$D$18)),Inputs!$F$18-SQRT((1-J830)*(Inputs!$F$18-Inputs!$D$18)*(Inputs!$F$18-Inputs!$E$18)))</f>
        <v>1.00732616345601</v>
      </c>
      <c r="L830" s="81" t="n">
        <f aca="true">RAND()</f>
        <v>0.604674232050172</v>
      </c>
      <c r="M830" s="83" t="n">
        <f aca="false">IF(L830&lt;(Inputs!$E$24-Inputs!$D$24)/(Inputs!$F$24-Inputs!$D$24),Inputs!$D$24+SQRT(L830*(Inputs!$F$24-Inputs!$D$24)*(Inputs!$E$24-Inputs!$D$24)),Inputs!$F$24-SQRT((1-L830)*(Inputs!$F$24-Inputs!$D$24)*(Inputs!$F$24-Inputs!$E$24)))</f>
        <v>0.891976974386721</v>
      </c>
      <c r="N830" s="81" t="n">
        <f aca="true">RAND()</f>
        <v>0.988593407475182</v>
      </c>
      <c r="O830" s="83" t="n">
        <f aca="false">IF(N830&lt;(Inputs!$E$26-Inputs!$D$26)/(Inputs!$F$26-Inputs!$D$26),Inputs!$D$26+SQRT(N830*(Inputs!$F$26-Inputs!$D$26)*(Inputs!$E$26-Inputs!$D$26)),Inputs!$F$26-SQRT((1-N830)*(Inputs!$F$26-Inputs!$D$26)*(Inputs!$F$26-Inputs!$E$26)))</f>
        <v>0.785557502666312</v>
      </c>
      <c r="P830" s="81" t="n">
        <f aca="true">RAND()</f>
        <v>0.0837736275351174</v>
      </c>
      <c r="Q830" s="82" t="n">
        <f aca="false">IF(P830&lt;(Inputs!$E$27-Inputs!$D$27)/(Inputs!$F$27-Inputs!$D$27),Inputs!$D$27+SQRT(P830*(Inputs!$F$27-Inputs!$D$27)*(Inputs!$E$27-Inputs!$D$27)),Inputs!$F$27-SQRT((1-P830)*(Inputs!$F$27-Inputs!$D$27)*(Inputs!$F$27-Inputs!$E$27)))</f>
        <v>64.471837092705</v>
      </c>
      <c r="R830" s="81" t="n">
        <f aca="true">RAND()</f>
        <v>0.484643369944581</v>
      </c>
      <c r="S830" s="82" t="n">
        <f aca="false">IF(R830&lt;(Inputs!$E$29-Inputs!$D$29)/(Inputs!$F$29-Inputs!$D$29),Inputs!$D$29+SQRT(R830*(Inputs!$F$29-Inputs!$D$29)*(Inputs!$E$29-Inputs!$D$29)),Inputs!$F$29-SQRT((1-R830)*(Inputs!$F$29-Inputs!$D$29)*(Inputs!$F$29-Inputs!$E$29)))</f>
        <v>6.81486946303209</v>
      </c>
      <c r="T830" s="68" t="n">
        <f aca="false">Inputs!$E$9*(1+E830)+Inputs!$E$5*C830*(Inputs!$E$11*Inputs!$E$14*(G830*I830/Inputs!$E$16+(1-G830))*K830+Inputs!$E$23*M830)*(1+O830)+Inputs!$E$5*(Q830+S830)</f>
        <v>6563.67669323954</v>
      </c>
    </row>
    <row r="831" customFormat="false" ht="15" hidden="false" customHeight="false" outlineLevel="0" collapsed="false">
      <c r="A831" s="1" t="n">
        <v>827</v>
      </c>
      <c r="B831" s="81" t="n">
        <f aca="true">RAND()</f>
        <v>0.288474682057227</v>
      </c>
      <c r="C831" s="82" t="n">
        <f aca="false">ROUND(IF(B831&lt;(Inputs!$E$8-Inputs!$D$8)/(Inputs!$F$8-Inputs!$D$8),Inputs!$D$8+SQRT(B831*(Inputs!$F$8-Inputs!$D$8)*(Inputs!$E$8-Inputs!$D$8)),Inputs!$F$8-SQRT((1-B831)*(Inputs!$F$8-Inputs!$D$8)*(Inputs!$F$8-Inputs!$E$8))),0)</f>
        <v>24</v>
      </c>
      <c r="D831" s="81" t="n">
        <f aca="true">RAND()</f>
        <v>0.146609324685978</v>
      </c>
      <c r="E831" s="83" t="n">
        <f aca="false">IF(D831&lt;(Inputs!$E$10-Inputs!$D$10)/(Inputs!$F$10-Inputs!$D$10),Inputs!$D$10+SQRT(D831*(Inputs!$F$10-Inputs!$D$10)*(Inputs!$E$10-Inputs!$D$10)),Inputs!$F$10-SQRT((1-D831)*(Inputs!$F$10-Inputs!$D$10)*(Inputs!$F$10-Inputs!$E$10)))</f>
        <v>0.0382895971101783</v>
      </c>
      <c r="F831" s="81" t="n">
        <f aca="true">RAND()</f>
        <v>0.261780064172925</v>
      </c>
      <c r="G831" s="83" t="n">
        <f aca="false">IF(F831&lt;(Inputs!$E$15-Inputs!$D$15)/(Inputs!$F$15-Inputs!$D$15),Inputs!$D$15+SQRT(F831*(Inputs!$F$15-Inputs!$D$15)*(Inputs!$E$15-Inputs!$D$15)),Inputs!$F$15-SQRT((1-F831)*(Inputs!$F$15-Inputs!$D$15)*(Inputs!$F$15-Inputs!$E$15)))</f>
        <v>0.672357454926625</v>
      </c>
      <c r="H831" s="81" t="n">
        <f aca="true">RAND()</f>
        <v>0.0891997271618288</v>
      </c>
      <c r="I831" s="82" t="n">
        <f aca="false">ROUND(IF(H831&lt;(Inputs!$E$17-Inputs!$D$17)/(Inputs!$F$17-Inputs!$D$17),Inputs!$D$17+SQRT(H831*(Inputs!$F$17-Inputs!$D$17)*(Inputs!$E$17-Inputs!$D$17)),Inputs!$F$17-SQRT((1-H831)*(Inputs!$F$17-Inputs!$D$17)*(Inputs!$F$17-Inputs!$E$17))),0)</f>
        <v>103</v>
      </c>
      <c r="J831" s="81" t="n">
        <f aca="true">RAND()</f>
        <v>0.986131865336315</v>
      </c>
      <c r="K831" s="83" t="n">
        <f aca="false">IF(J831&lt;(Inputs!$E$18-Inputs!$D$18)/(Inputs!$F$18-Inputs!$D$18),Inputs!$D$18+SQRT(J831*(Inputs!$F$18-Inputs!$D$18)*(Inputs!$E$18-Inputs!$D$18)),Inputs!$F$18-SQRT((1-J831)*(Inputs!$F$18-Inputs!$D$18)*(Inputs!$F$18-Inputs!$E$18)))</f>
        <v>1.21516522164456</v>
      </c>
      <c r="L831" s="81" t="n">
        <f aca="true">RAND()</f>
        <v>0.616092653797026</v>
      </c>
      <c r="M831" s="83" t="n">
        <f aca="false">IF(L831&lt;(Inputs!$E$24-Inputs!$D$24)/(Inputs!$F$24-Inputs!$D$24),Inputs!$D$24+SQRT(L831*(Inputs!$F$24-Inputs!$D$24)*(Inputs!$E$24-Inputs!$D$24)),Inputs!$F$24-SQRT((1-L831)*(Inputs!$F$24-Inputs!$D$24)*(Inputs!$F$24-Inputs!$E$24)))</f>
        <v>0.896457971462412</v>
      </c>
      <c r="N831" s="81" t="n">
        <f aca="true">RAND()</f>
        <v>0.0853501654655664</v>
      </c>
      <c r="O831" s="83" t="n">
        <f aca="false">IF(N831&lt;(Inputs!$E$26-Inputs!$D$26)/(Inputs!$F$26-Inputs!$D$26),Inputs!$D$26+SQRT(N831*(Inputs!$F$26-Inputs!$D$26)*(Inputs!$E$26-Inputs!$D$26)),Inputs!$F$26-SQRT((1-N831)*(Inputs!$F$26-Inputs!$D$26)*(Inputs!$F$26-Inputs!$E$26)))</f>
        <v>0.419173266857422</v>
      </c>
      <c r="P831" s="81" t="n">
        <f aca="true">RAND()</f>
        <v>0.928677631854021</v>
      </c>
      <c r="Q831" s="82" t="n">
        <f aca="false">IF(P831&lt;(Inputs!$E$27-Inputs!$D$27)/(Inputs!$F$27-Inputs!$D$27),Inputs!$D$27+SQRT(P831*(Inputs!$F$27-Inputs!$D$27)*(Inputs!$E$27-Inputs!$D$27)),Inputs!$F$27-SQRT((1-P831)*(Inputs!$F$27-Inputs!$D$27)*(Inputs!$F$27-Inputs!$E$27)))</f>
        <v>126.871710804842</v>
      </c>
      <c r="R831" s="81" t="n">
        <f aca="true">RAND()</f>
        <v>0.349790112037799</v>
      </c>
      <c r="S831" s="82" t="n">
        <f aca="false">IF(R831&lt;(Inputs!$E$29-Inputs!$D$29)/(Inputs!$F$29-Inputs!$D$29),Inputs!$D$29+SQRT(R831*(Inputs!$F$29-Inputs!$D$29)*(Inputs!$E$29-Inputs!$D$29)),Inputs!$F$29-SQRT((1-R831)*(Inputs!$F$29-Inputs!$D$29)*(Inputs!$F$29-Inputs!$E$29)))</f>
        <v>5.80612783235018</v>
      </c>
      <c r="T831" s="68" t="n">
        <f aca="false">Inputs!$E$9*(1+E831)+Inputs!$E$5*C831*(Inputs!$E$11*Inputs!$E$14*(G831*I831/Inputs!$E$16+(1-G831))*K831+Inputs!$E$23*M831)*(1+O831)+Inputs!$E$5*(Q831+S831)</f>
        <v>6273.72181950842</v>
      </c>
    </row>
    <row r="832" customFormat="false" ht="15" hidden="false" customHeight="false" outlineLevel="0" collapsed="false">
      <c r="A832" s="1" t="n">
        <v>828</v>
      </c>
      <c r="B832" s="81" t="n">
        <f aca="true">RAND()</f>
        <v>0.384424725450662</v>
      </c>
      <c r="C832" s="82" t="n">
        <f aca="false">ROUND(IF(B832&lt;(Inputs!$E$8-Inputs!$D$8)/(Inputs!$F$8-Inputs!$D$8),Inputs!$D$8+SQRT(B832*(Inputs!$F$8-Inputs!$D$8)*(Inputs!$E$8-Inputs!$D$8)),Inputs!$F$8-SQRT((1-B832)*(Inputs!$F$8-Inputs!$D$8)*(Inputs!$F$8-Inputs!$E$8))),0)</f>
        <v>24</v>
      </c>
      <c r="D832" s="81" t="n">
        <f aca="true">RAND()</f>
        <v>0.926578728905804</v>
      </c>
      <c r="E832" s="83" t="n">
        <f aca="false">IF(D832&lt;(Inputs!$E$10-Inputs!$D$10)/(Inputs!$F$10-Inputs!$D$10),Inputs!$D$10+SQRT(D832*(Inputs!$F$10-Inputs!$D$10)*(Inputs!$E$10-Inputs!$D$10)),Inputs!$F$10-SQRT((1-D832)*(Inputs!$F$10-Inputs!$D$10)*(Inputs!$F$10-Inputs!$E$10)))</f>
        <v>0.153067728237109</v>
      </c>
      <c r="F832" s="81" t="n">
        <f aca="true">RAND()</f>
        <v>0.121315184525266</v>
      </c>
      <c r="G832" s="83" t="n">
        <f aca="false">IF(F832&lt;(Inputs!$E$15-Inputs!$D$15)/(Inputs!$F$15-Inputs!$D$15),Inputs!$D$15+SQRT(F832*(Inputs!$F$15-Inputs!$D$15)*(Inputs!$E$15-Inputs!$D$15)),Inputs!$F$15-SQRT((1-F832)*(Inputs!$F$15-Inputs!$D$15)*(Inputs!$F$15-Inputs!$E$15)))</f>
        <v>0.649257524201946</v>
      </c>
      <c r="H832" s="81" t="n">
        <f aca="true">RAND()</f>
        <v>0.892443484240513</v>
      </c>
      <c r="I832" s="82" t="n">
        <f aca="false">ROUND(IF(H832&lt;(Inputs!$E$17-Inputs!$D$17)/(Inputs!$F$17-Inputs!$D$17),Inputs!$D$17+SQRT(H832*(Inputs!$F$17-Inputs!$D$17)*(Inputs!$E$17-Inputs!$D$17)),Inputs!$F$17-SQRT((1-H832)*(Inputs!$F$17-Inputs!$D$17)*(Inputs!$F$17-Inputs!$E$17))),0)</f>
        <v>111</v>
      </c>
      <c r="J832" s="81" t="n">
        <f aca="true">RAND()</f>
        <v>0.799886126283016</v>
      </c>
      <c r="K832" s="83" t="n">
        <f aca="false">IF(J832&lt;(Inputs!$E$18-Inputs!$D$18)/(Inputs!$F$18-Inputs!$D$18),Inputs!$D$18+SQRT(J832*(Inputs!$F$18-Inputs!$D$18)*(Inputs!$E$18-Inputs!$D$18)),Inputs!$F$18-SQRT((1-J832)*(Inputs!$F$18-Inputs!$D$18)*(Inputs!$F$18-Inputs!$E$18)))</f>
        <v>1.11767477961388</v>
      </c>
      <c r="L832" s="81" t="n">
        <f aca="true">RAND()</f>
        <v>6.07445890232487E-005</v>
      </c>
      <c r="M832" s="83" t="n">
        <f aca="false">IF(L832&lt;(Inputs!$E$24-Inputs!$D$24)/(Inputs!$F$24-Inputs!$D$24),Inputs!$D$24+SQRT(L832*(Inputs!$F$24-Inputs!$D$24)*(Inputs!$E$24-Inputs!$D$24)),Inputs!$F$24-SQRT((1-L832)*(Inputs!$F$24-Inputs!$D$24)*(Inputs!$F$24-Inputs!$E$24)))</f>
        <v>0.602699879753395</v>
      </c>
      <c r="N832" s="81" t="n">
        <f aca="true">RAND()</f>
        <v>0.940856536827746</v>
      </c>
      <c r="O832" s="83" t="n">
        <f aca="false">IF(N832&lt;(Inputs!$E$26-Inputs!$D$26)/(Inputs!$F$26-Inputs!$D$26),Inputs!$D$26+SQRT(N832*(Inputs!$F$26-Inputs!$D$26)*(Inputs!$E$26-Inputs!$D$26)),Inputs!$F$26-SQRT((1-N832)*(Inputs!$F$26-Inputs!$D$26)*(Inputs!$F$26-Inputs!$E$26)))</f>
        <v>0.741572197723547</v>
      </c>
      <c r="P832" s="81" t="n">
        <f aca="true">RAND()</f>
        <v>0.680251984262575</v>
      </c>
      <c r="Q832" s="82" t="n">
        <f aca="false">IF(P832&lt;(Inputs!$E$27-Inputs!$D$27)/(Inputs!$F$27-Inputs!$D$27),Inputs!$D$27+SQRT(P832*(Inputs!$F$27-Inputs!$D$27)*(Inputs!$E$27-Inputs!$D$27)),Inputs!$F$27-SQRT((1-P832)*(Inputs!$F$27-Inputs!$D$27)*(Inputs!$F$27-Inputs!$E$27)))</f>
        <v>101.029497470103</v>
      </c>
      <c r="R832" s="81" t="n">
        <f aca="true">RAND()</f>
        <v>0.72106074552605</v>
      </c>
      <c r="S832" s="82" t="n">
        <f aca="false">IF(R832&lt;(Inputs!$E$29-Inputs!$D$29)/(Inputs!$F$29-Inputs!$D$29),Inputs!$D$29+SQRT(R832*(Inputs!$F$29-Inputs!$D$29)*(Inputs!$E$29-Inputs!$D$29)),Inputs!$F$29-SQRT((1-R832)*(Inputs!$F$29-Inputs!$D$29)*(Inputs!$F$29-Inputs!$E$29)))</f>
        <v>8.97819768826529</v>
      </c>
      <c r="T832" s="68" t="n">
        <f aca="false">Inputs!$E$9*(1+E832)+Inputs!$E$5*C832*(Inputs!$E$11*Inputs!$E$14*(G832*I832/Inputs!$E$16+(1-G832))*K832+Inputs!$E$23*M832)*(1+O832)+Inputs!$E$5*(Q832+S832)</f>
        <v>6648.29355965661</v>
      </c>
    </row>
    <row r="833" customFormat="false" ht="15" hidden="false" customHeight="false" outlineLevel="0" collapsed="false">
      <c r="A833" s="1" t="n">
        <v>829</v>
      </c>
      <c r="B833" s="81" t="n">
        <f aca="true">RAND()</f>
        <v>0.89414563277661</v>
      </c>
      <c r="C833" s="82" t="n">
        <f aca="false">ROUND(IF(B833&lt;(Inputs!$E$8-Inputs!$D$8)/(Inputs!$F$8-Inputs!$D$8),Inputs!$D$8+SQRT(B833*(Inputs!$F$8-Inputs!$D$8)*(Inputs!$E$8-Inputs!$D$8)),Inputs!$F$8-SQRT((1-B833)*(Inputs!$F$8-Inputs!$D$8)*(Inputs!$F$8-Inputs!$E$8))),0)</f>
        <v>28</v>
      </c>
      <c r="D833" s="81" t="n">
        <f aca="true">RAND()</f>
        <v>0.753047729760956</v>
      </c>
      <c r="E833" s="83" t="n">
        <f aca="false">IF(D833&lt;(Inputs!$E$10-Inputs!$D$10)/(Inputs!$F$10-Inputs!$D$10),Inputs!$D$10+SQRT(D833*(Inputs!$F$10-Inputs!$D$10)*(Inputs!$E$10-Inputs!$D$10)),Inputs!$F$10-SQRT((1-D833)*(Inputs!$F$10-Inputs!$D$10)*(Inputs!$F$10-Inputs!$E$10)))</f>
        <v>0.113926960625459</v>
      </c>
      <c r="F833" s="81" t="n">
        <f aca="true">RAND()</f>
        <v>0.458148279280833</v>
      </c>
      <c r="G833" s="83" t="n">
        <f aca="false">IF(F833&lt;(Inputs!$E$15-Inputs!$D$15)/(Inputs!$F$15-Inputs!$D$15),Inputs!$D$15+SQRT(F833*(Inputs!$F$15-Inputs!$D$15)*(Inputs!$E$15-Inputs!$D$15)),Inputs!$F$15-SQRT((1-F833)*(Inputs!$F$15-Inputs!$D$15)*(Inputs!$F$15-Inputs!$E$15)))</f>
        <v>0.695723380558862</v>
      </c>
      <c r="H833" s="81" t="n">
        <f aca="true">RAND()</f>
        <v>0.501640215460717</v>
      </c>
      <c r="I833" s="82" t="n">
        <f aca="false">ROUND(IF(H833&lt;(Inputs!$E$17-Inputs!$D$17)/(Inputs!$F$17-Inputs!$D$17),Inputs!$D$17+SQRT(H833*(Inputs!$F$17-Inputs!$D$17)*(Inputs!$E$17-Inputs!$D$17)),Inputs!$F$17-SQRT((1-H833)*(Inputs!$F$17-Inputs!$D$17)*(Inputs!$F$17-Inputs!$E$17))),0)</f>
        <v>106</v>
      </c>
      <c r="J833" s="81" t="n">
        <f aca="true">RAND()</f>
        <v>0.797998692865288</v>
      </c>
      <c r="K833" s="83" t="n">
        <f aca="false">IF(J833&lt;(Inputs!$E$18-Inputs!$D$18)/(Inputs!$F$18-Inputs!$D$18),Inputs!$D$18+SQRT(J833*(Inputs!$F$18-Inputs!$D$18)*(Inputs!$E$18-Inputs!$D$18)),Inputs!$F$18-SQRT((1-J833)*(Inputs!$F$18-Inputs!$D$18)*(Inputs!$F$18-Inputs!$E$18)))</f>
        <v>1.11705221184883</v>
      </c>
      <c r="L833" s="81" t="n">
        <f aca="true">RAND()</f>
        <v>0.533558997077223</v>
      </c>
      <c r="M833" s="83" t="n">
        <f aca="false">IF(L833&lt;(Inputs!$E$24-Inputs!$D$24)/(Inputs!$F$24-Inputs!$D$24),Inputs!$D$24+SQRT(L833*(Inputs!$F$24-Inputs!$D$24)*(Inputs!$E$24-Inputs!$D$24)),Inputs!$F$24-SQRT((1-L833)*(Inputs!$F$24-Inputs!$D$24)*(Inputs!$F$24-Inputs!$E$24)))</f>
        <v>0.865416915099603</v>
      </c>
      <c r="N833" s="81" t="n">
        <f aca="true">RAND()</f>
        <v>0.284842158764151</v>
      </c>
      <c r="O833" s="83" t="n">
        <f aca="false">IF(N833&lt;(Inputs!$E$26-Inputs!$D$26)/(Inputs!$F$26-Inputs!$D$26),Inputs!$D$26+SQRT(N833*(Inputs!$F$26-Inputs!$D$26)*(Inputs!$E$26-Inputs!$D$26)),Inputs!$F$26-SQRT((1-N833)*(Inputs!$F$26-Inputs!$D$26)*(Inputs!$F$26-Inputs!$E$26)))</f>
        <v>0.517710209265332</v>
      </c>
      <c r="P833" s="81" t="n">
        <f aca="true">RAND()</f>
        <v>0.654767676214574</v>
      </c>
      <c r="Q833" s="82" t="n">
        <f aca="false">IF(P833&lt;(Inputs!$E$27-Inputs!$D$27)/(Inputs!$F$27-Inputs!$D$27),Inputs!$D$27+SQRT(P833*(Inputs!$F$27-Inputs!$D$27)*(Inputs!$E$27-Inputs!$D$27)),Inputs!$F$27-SQRT((1-P833)*(Inputs!$F$27-Inputs!$D$27)*(Inputs!$F$27-Inputs!$E$27)))</f>
        <v>99.115400872261</v>
      </c>
      <c r="R833" s="81" t="n">
        <f aca="true">RAND()</f>
        <v>0.250209778711084</v>
      </c>
      <c r="S833" s="82" t="n">
        <f aca="false">IF(R833&lt;(Inputs!$E$29-Inputs!$D$29)/(Inputs!$F$29-Inputs!$D$29),Inputs!$D$29+SQRT(R833*(Inputs!$F$29-Inputs!$D$29)*(Inputs!$E$29-Inputs!$D$29)),Inputs!$F$29-SQRT((1-R833)*(Inputs!$F$29-Inputs!$D$29)*(Inputs!$F$29-Inputs!$E$29)))</f>
        <v>5.12717220004526</v>
      </c>
      <c r="T833" s="68" t="n">
        <f aca="false">Inputs!$E$9*(1+E833)+Inputs!$E$5*C833*(Inputs!$E$11*Inputs!$E$14*(G833*I833/Inputs!$E$16+(1-G833))*K833+Inputs!$E$23*M833)*(1+O833)+Inputs!$E$5*(Q833+S833)</f>
        <v>6852.67696985044</v>
      </c>
    </row>
    <row r="834" customFormat="false" ht="15" hidden="false" customHeight="false" outlineLevel="0" collapsed="false">
      <c r="A834" s="1" t="n">
        <v>830</v>
      </c>
      <c r="B834" s="81" t="n">
        <f aca="true">RAND()</f>
        <v>0.749165967422821</v>
      </c>
      <c r="C834" s="82" t="n">
        <f aca="false">ROUND(IF(B834&lt;(Inputs!$E$8-Inputs!$D$8)/(Inputs!$F$8-Inputs!$D$8),Inputs!$D$8+SQRT(B834*(Inputs!$F$8-Inputs!$D$8)*(Inputs!$E$8-Inputs!$D$8)),Inputs!$F$8-SQRT((1-B834)*(Inputs!$F$8-Inputs!$D$8)*(Inputs!$F$8-Inputs!$E$8))),0)</f>
        <v>26</v>
      </c>
      <c r="D834" s="81" t="n">
        <f aca="true">RAND()</f>
        <v>0.130181406283046</v>
      </c>
      <c r="E834" s="83" t="n">
        <f aca="false">IF(D834&lt;(Inputs!$E$10-Inputs!$D$10)/(Inputs!$F$10-Inputs!$D$10),Inputs!$D$10+SQRT(D834*(Inputs!$F$10-Inputs!$D$10)*(Inputs!$E$10-Inputs!$D$10)),Inputs!$F$10-SQRT((1-D834)*(Inputs!$F$10-Inputs!$D$10)*(Inputs!$F$10-Inputs!$E$10)))</f>
        <v>0.0360806605098973</v>
      </c>
      <c r="F834" s="81" t="n">
        <f aca="true">RAND()</f>
        <v>0.591192543405923</v>
      </c>
      <c r="G834" s="83" t="n">
        <f aca="false">IF(F834&lt;(Inputs!$E$15-Inputs!$D$15)/(Inputs!$F$15-Inputs!$D$15),Inputs!$D$15+SQRT(F834*(Inputs!$F$15-Inputs!$D$15)*(Inputs!$E$15-Inputs!$D$15)),Inputs!$F$15-SQRT((1-F834)*(Inputs!$F$15-Inputs!$D$15)*(Inputs!$F$15-Inputs!$E$15)))</f>
        <v>0.709577938909348</v>
      </c>
      <c r="H834" s="81" t="n">
        <f aca="true">RAND()</f>
        <v>0.132331244175995</v>
      </c>
      <c r="I834" s="82" t="n">
        <f aca="false">ROUND(IF(H834&lt;(Inputs!$E$17-Inputs!$D$17)/(Inputs!$F$17-Inputs!$D$17),Inputs!$D$17+SQRT(H834*(Inputs!$F$17-Inputs!$D$17)*(Inputs!$E$17-Inputs!$D$17)),Inputs!$F$17-SQRT((1-H834)*(Inputs!$F$17-Inputs!$D$17)*(Inputs!$F$17-Inputs!$E$17))),0)</f>
        <v>103</v>
      </c>
      <c r="J834" s="81" t="n">
        <f aca="true">RAND()</f>
        <v>0.301721088685212</v>
      </c>
      <c r="K834" s="83" t="n">
        <f aca="false">IF(J834&lt;(Inputs!$E$18-Inputs!$D$18)/(Inputs!$F$18-Inputs!$D$18),Inputs!$D$18+SQRT(J834*(Inputs!$F$18-Inputs!$D$18)*(Inputs!$E$18-Inputs!$D$18)),Inputs!$F$18-SQRT((1-J834)*(Inputs!$F$18-Inputs!$D$18)*(Inputs!$F$18-Inputs!$E$18)))</f>
        <v>1.00281706219878</v>
      </c>
      <c r="L834" s="81" t="n">
        <f aca="true">RAND()</f>
        <v>0.742856908262002</v>
      </c>
      <c r="M834" s="83" t="n">
        <f aca="false">IF(L834&lt;(Inputs!$E$24-Inputs!$D$24)/(Inputs!$F$24-Inputs!$D$24),Inputs!$D$24+SQRT(L834*(Inputs!$F$24-Inputs!$D$24)*(Inputs!$E$24-Inputs!$D$24)),Inputs!$F$24-SQRT((1-L834)*(Inputs!$F$24-Inputs!$D$24)*(Inputs!$F$24-Inputs!$E$24)))</f>
        <v>0.95157628531656</v>
      </c>
      <c r="N834" s="81" t="n">
        <f aca="true">RAND()</f>
        <v>0.549308299753983</v>
      </c>
      <c r="O834" s="83" t="n">
        <f aca="false">IF(N834&lt;(Inputs!$E$26-Inputs!$D$26)/(Inputs!$F$26-Inputs!$D$26),Inputs!$D$26+SQRT(N834*(Inputs!$F$26-Inputs!$D$26)*(Inputs!$E$26-Inputs!$D$26)),Inputs!$F$26-SQRT((1-N834)*(Inputs!$F$26-Inputs!$D$26)*(Inputs!$F$26-Inputs!$E$26)))</f>
        <v>0.602332434712293</v>
      </c>
      <c r="P834" s="81" t="n">
        <f aca="true">RAND()</f>
        <v>0.435632767332277</v>
      </c>
      <c r="Q834" s="82" t="n">
        <f aca="false">IF(P834&lt;(Inputs!$E$27-Inputs!$D$27)/(Inputs!$F$27-Inputs!$D$27),Inputs!$D$27+SQRT(P834*(Inputs!$F$27-Inputs!$D$27)*(Inputs!$E$27-Inputs!$D$27)),Inputs!$F$27-SQRT((1-P834)*(Inputs!$F$27-Inputs!$D$27)*(Inputs!$F$27-Inputs!$E$27)))</f>
        <v>84.9403793047645</v>
      </c>
      <c r="R834" s="81" t="n">
        <f aca="true">RAND()</f>
        <v>0.626102417152842</v>
      </c>
      <c r="S834" s="82" t="n">
        <f aca="false">IF(R834&lt;(Inputs!$E$29-Inputs!$D$29)/(Inputs!$F$29-Inputs!$D$29),Inputs!$D$29+SQRT(R834*(Inputs!$F$29-Inputs!$D$29)*(Inputs!$E$29-Inputs!$D$29)),Inputs!$F$29-SQRT((1-R834)*(Inputs!$F$29-Inputs!$D$29)*(Inputs!$F$29-Inputs!$E$29)))</f>
        <v>8.02815047708784</v>
      </c>
      <c r="T834" s="68" t="n">
        <f aca="false">Inputs!$E$9*(1+E834)+Inputs!$E$5*C834*(Inputs!$E$11*Inputs!$E$14*(G834*I834/Inputs!$E$16+(1-G834))*K834+Inputs!$E$23*M834)*(1+O834)+Inputs!$E$5*(Q834+S834)</f>
        <v>6363.05806779923</v>
      </c>
    </row>
    <row r="835" customFormat="false" ht="15" hidden="false" customHeight="false" outlineLevel="0" collapsed="false">
      <c r="A835" s="1" t="n">
        <v>831</v>
      </c>
      <c r="B835" s="81" t="n">
        <f aca="true">RAND()</f>
        <v>0.729332914661029</v>
      </c>
      <c r="C835" s="82" t="n">
        <f aca="false">ROUND(IF(B835&lt;(Inputs!$E$8-Inputs!$D$8)/(Inputs!$F$8-Inputs!$D$8),Inputs!$D$8+SQRT(B835*(Inputs!$F$8-Inputs!$D$8)*(Inputs!$E$8-Inputs!$D$8)),Inputs!$F$8-SQRT((1-B835)*(Inputs!$F$8-Inputs!$D$8)*(Inputs!$F$8-Inputs!$E$8))),0)</f>
        <v>26</v>
      </c>
      <c r="D835" s="81" t="n">
        <f aca="true">RAND()</f>
        <v>0.301693714518696</v>
      </c>
      <c r="E835" s="83" t="n">
        <f aca="false">IF(D835&lt;(Inputs!$E$10-Inputs!$D$10)/(Inputs!$F$10-Inputs!$D$10),Inputs!$D$10+SQRT(D835*(Inputs!$F$10-Inputs!$D$10)*(Inputs!$E$10-Inputs!$D$10)),Inputs!$F$10-SQRT((1-D835)*(Inputs!$F$10-Inputs!$D$10)*(Inputs!$F$10-Inputs!$E$10)))</f>
        <v>0.0552616548234743</v>
      </c>
      <c r="F835" s="81" t="n">
        <f aca="true">RAND()</f>
        <v>0.492097707669718</v>
      </c>
      <c r="G835" s="83" t="n">
        <f aca="false">IF(F835&lt;(Inputs!$E$15-Inputs!$D$15)/(Inputs!$F$15-Inputs!$D$15),Inputs!$D$15+SQRT(F835*(Inputs!$F$15-Inputs!$D$15)*(Inputs!$E$15-Inputs!$D$15)),Inputs!$F$15-SQRT((1-F835)*(Inputs!$F$15-Inputs!$D$15)*(Inputs!$F$15-Inputs!$E$15)))</f>
        <v>0.699206623535903</v>
      </c>
      <c r="H835" s="81" t="n">
        <f aca="true">RAND()</f>
        <v>0.655316885832137</v>
      </c>
      <c r="I835" s="82" t="n">
        <f aca="false">ROUND(IF(H835&lt;(Inputs!$E$17-Inputs!$D$17)/(Inputs!$F$17-Inputs!$D$17),Inputs!$D$17+SQRT(H835*(Inputs!$F$17-Inputs!$D$17)*(Inputs!$E$17-Inputs!$D$17)),Inputs!$F$17-SQRT((1-H835)*(Inputs!$F$17-Inputs!$D$17)*(Inputs!$F$17-Inputs!$E$17))),0)</f>
        <v>108</v>
      </c>
      <c r="J835" s="81" t="n">
        <f aca="true">RAND()</f>
        <v>0.241511726735791</v>
      </c>
      <c r="K835" s="83" t="n">
        <f aca="false">IF(J835&lt;(Inputs!$E$18-Inputs!$D$18)/(Inputs!$F$18-Inputs!$D$18),Inputs!$D$18+SQRT(J835*(Inputs!$F$18-Inputs!$D$18)*(Inputs!$E$18-Inputs!$D$18)),Inputs!$F$18-SQRT((1-J835)*(Inputs!$F$18-Inputs!$D$18)*(Inputs!$F$18-Inputs!$E$18)))</f>
        <v>0.991939710874859</v>
      </c>
      <c r="L835" s="81" t="n">
        <f aca="true">RAND()</f>
        <v>0.112841717163208</v>
      </c>
      <c r="M835" s="83" t="n">
        <f aca="false">IF(L835&lt;(Inputs!$E$24-Inputs!$D$24)/(Inputs!$F$24-Inputs!$D$24),Inputs!$D$24+SQRT(L835*(Inputs!$F$24-Inputs!$D$24)*(Inputs!$E$24-Inputs!$D$24)),Inputs!$F$24-SQRT((1-L835)*(Inputs!$F$24-Inputs!$D$24)*(Inputs!$F$24-Inputs!$E$24)))</f>
        <v>0.716365828573447</v>
      </c>
      <c r="N835" s="81" t="n">
        <f aca="true">RAND()</f>
        <v>0.108300256610595</v>
      </c>
      <c r="O835" s="83" t="n">
        <f aca="false">IF(N835&lt;(Inputs!$E$26-Inputs!$D$26)/(Inputs!$F$26-Inputs!$D$26),Inputs!$D$26+SQRT(N835*(Inputs!$F$26-Inputs!$D$26)*(Inputs!$E$26-Inputs!$D$26)),Inputs!$F$26-SQRT((1-N835)*(Inputs!$F$26-Inputs!$D$26)*(Inputs!$F$26-Inputs!$E$26)))</f>
        <v>0.434242924208328</v>
      </c>
      <c r="P835" s="81" t="n">
        <f aca="true">RAND()</f>
        <v>0.390036706109017</v>
      </c>
      <c r="Q835" s="82" t="n">
        <f aca="false">IF(P835&lt;(Inputs!$E$27-Inputs!$D$27)/(Inputs!$F$27-Inputs!$D$27),Inputs!$D$27+SQRT(P835*(Inputs!$F$27-Inputs!$D$27)*(Inputs!$E$27-Inputs!$D$27)),Inputs!$F$27-SQRT((1-P835)*(Inputs!$F$27-Inputs!$D$27)*(Inputs!$F$27-Inputs!$E$27)))</f>
        <v>82.3632887835136</v>
      </c>
      <c r="R835" s="81" t="n">
        <f aca="true">RAND()</f>
        <v>0.258737033175227</v>
      </c>
      <c r="S835" s="82" t="n">
        <f aca="false">IF(R835&lt;(Inputs!$E$29-Inputs!$D$29)/(Inputs!$F$29-Inputs!$D$29),Inputs!$D$29+SQRT(R835*(Inputs!$F$29-Inputs!$D$29)*(Inputs!$E$29-Inputs!$D$29)),Inputs!$F$29-SQRT((1-R835)*(Inputs!$F$29-Inputs!$D$29)*(Inputs!$F$29-Inputs!$E$29)))</f>
        <v>5.18347384828928</v>
      </c>
      <c r="T835" s="68" t="n">
        <f aca="false">Inputs!$E$9*(1+E835)+Inputs!$E$5*C835*(Inputs!$E$11*Inputs!$E$14*(G835*I835/Inputs!$E$16+(1-G835))*K835+Inputs!$E$23*M835)*(1+O835)+Inputs!$E$5*(Q835+S835)</f>
        <v>5731.33342770264</v>
      </c>
    </row>
    <row r="836" customFormat="false" ht="15" hidden="false" customHeight="false" outlineLevel="0" collapsed="false">
      <c r="A836" s="1" t="n">
        <v>832</v>
      </c>
      <c r="B836" s="81" t="n">
        <f aca="true">RAND()</f>
        <v>0.573497184091813</v>
      </c>
      <c r="C836" s="82" t="n">
        <f aca="false">ROUND(IF(B836&lt;(Inputs!$E$8-Inputs!$D$8)/(Inputs!$F$8-Inputs!$D$8),Inputs!$D$8+SQRT(B836*(Inputs!$F$8-Inputs!$D$8)*(Inputs!$E$8-Inputs!$D$8)),Inputs!$F$8-SQRT((1-B836)*(Inputs!$F$8-Inputs!$D$8)*(Inputs!$F$8-Inputs!$E$8))),0)</f>
        <v>25</v>
      </c>
      <c r="D836" s="81" t="n">
        <f aca="true">RAND()</f>
        <v>0.0447355989089933</v>
      </c>
      <c r="E836" s="83" t="n">
        <f aca="false">IF(D836&lt;(Inputs!$E$10-Inputs!$D$10)/(Inputs!$F$10-Inputs!$D$10),Inputs!$D$10+SQRT(D836*(Inputs!$F$10-Inputs!$D$10)*(Inputs!$E$10-Inputs!$D$10)),Inputs!$F$10-SQRT((1-D836)*(Inputs!$F$10-Inputs!$D$10)*(Inputs!$F$10-Inputs!$E$10)))</f>
        <v>0.0211507916894364</v>
      </c>
      <c r="F836" s="81" t="n">
        <f aca="true">RAND()</f>
        <v>0.319510298358931</v>
      </c>
      <c r="G836" s="83" t="n">
        <f aca="false">IF(F836&lt;(Inputs!$E$15-Inputs!$D$15)/(Inputs!$F$15-Inputs!$D$15),Inputs!$D$15+SQRT(F836*(Inputs!$F$15-Inputs!$D$15)*(Inputs!$E$15-Inputs!$D$15)),Inputs!$F$15-SQRT((1-F836)*(Inputs!$F$15-Inputs!$D$15)*(Inputs!$F$15-Inputs!$E$15)))</f>
        <v>0.67993876385821</v>
      </c>
      <c r="H836" s="81" t="n">
        <f aca="true">RAND()</f>
        <v>0.271890047685347</v>
      </c>
      <c r="I836" s="82" t="n">
        <f aca="false">ROUND(IF(H836&lt;(Inputs!$E$17-Inputs!$D$17)/(Inputs!$F$17-Inputs!$D$17),Inputs!$D$17+SQRT(H836*(Inputs!$F$17-Inputs!$D$17)*(Inputs!$E$17-Inputs!$D$17)),Inputs!$F$17-SQRT((1-H836)*(Inputs!$F$17-Inputs!$D$17)*(Inputs!$F$17-Inputs!$E$17))),0)</f>
        <v>105</v>
      </c>
      <c r="J836" s="81" t="n">
        <f aca="true">RAND()</f>
        <v>0.0417974685649671</v>
      </c>
      <c r="K836" s="83" t="n">
        <f aca="false">IF(J836&lt;(Inputs!$E$18-Inputs!$D$18)/(Inputs!$F$18-Inputs!$D$18),Inputs!$D$18+SQRT(J836*(Inputs!$F$18-Inputs!$D$18)*(Inputs!$E$18-Inputs!$D$18)),Inputs!$F$18-SQRT((1-J836)*(Inputs!$F$18-Inputs!$D$18)*(Inputs!$F$18-Inputs!$E$18)))</f>
        <v>0.938248024782645</v>
      </c>
      <c r="L836" s="81" t="n">
        <f aca="true">RAND()</f>
        <v>0.342666764028901</v>
      </c>
      <c r="M836" s="83" t="n">
        <f aca="false">IF(L836&lt;(Inputs!$E$24-Inputs!$D$24)/(Inputs!$F$24-Inputs!$D$24),Inputs!$D$24+SQRT(L836*(Inputs!$F$24-Inputs!$D$24)*(Inputs!$E$24-Inputs!$D$24)),Inputs!$F$24-SQRT((1-L836)*(Inputs!$F$24-Inputs!$D$24)*(Inputs!$F$24-Inputs!$E$24)))</f>
        <v>0.802809898621499</v>
      </c>
      <c r="N836" s="81" t="n">
        <f aca="true">RAND()</f>
        <v>0.0927905350102178</v>
      </c>
      <c r="O836" s="83" t="n">
        <f aca="false">IF(N836&lt;(Inputs!$E$26-Inputs!$D$26)/(Inputs!$F$26-Inputs!$D$26),Inputs!$D$26+SQRT(N836*(Inputs!$F$26-Inputs!$D$26)*(Inputs!$E$26-Inputs!$D$26)),Inputs!$F$26-SQRT((1-N836)*(Inputs!$F$26-Inputs!$D$26)*(Inputs!$F$26-Inputs!$E$26)))</f>
        <v>0.424259184874601</v>
      </c>
      <c r="P836" s="81" t="n">
        <f aca="true">RAND()</f>
        <v>0.613761964128713</v>
      </c>
      <c r="Q836" s="82" t="n">
        <f aca="false">IF(P836&lt;(Inputs!$E$27-Inputs!$D$27)/(Inputs!$F$27-Inputs!$D$27),Inputs!$D$27+SQRT(P836*(Inputs!$F$27-Inputs!$D$27)*(Inputs!$E$27-Inputs!$D$27)),Inputs!$F$27-SQRT((1-P836)*(Inputs!$F$27-Inputs!$D$27)*(Inputs!$F$27-Inputs!$E$27)))</f>
        <v>96.1782082327738</v>
      </c>
      <c r="R836" s="81" t="n">
        <f aca="true">RAND()</f>
        <v>0.335672159707636</v>
      </c>
      <c r="S836" s="82" t="n">
        <f aca="false">IF(R836&lt;(Inputs!$E$29-Inputs!$D$29)/(Inputs!$F$29-Inputs!$D$29),Inputs!$D$29+SQRT(R836*(Inputs!$F$29-Inputs!$D$29)*(Inputs!$E$29-Inputs!$D$29)),Inputs!$F$29-SQRT((1-R836)*(Inputs!$F$29-Inputs!$D$29)*(Inputs!$F$29-Inputs!$E$29)))</f>
        <v>5.70685095148005</v>
      </c>
      <c r="T836" s="68" t="n">
        <f aca="false">Inputs!$E$9*(1+E836)+Inputs!$E$5*C836*(Inputs!$E$11*Inputs!$E$14*(G836*I836/Inputs!$E$16+(1-G836))*K836+Inputs!$E$23*M836)*(1+O836)+Inputs!$E$5*(Q836+S836)</f>
        <v>5591.39605885079</v>
      </c>
    </row>
    <row r="837" customFormat="false" ht="15" hidden="false" customHeight="false" outlineLevel="0" collapsed="false">
      <c r="A837" s="1" t="n">
        <v>833</v>
      </c>
      <c r="B837" s="81" t="n">
        <f aca="true">RAND()</f>
        <v>0.467320024412609</v>
      </c>
      <c r="C837" s="82" t="n">
        <f aca="false">ROUND(IF(B837&lt;(Inputs!$E$8-Inputs!$D$8)/(Inputs!$F$8-Inputs!$D$8),Inputs!$D$8+SQRT(B837*(Inputs!$F$8-Inputs!$D$8)*(Inputs!$E$8-Inputs!$D$8)),Inputs!$F$8-SQRT((1-B837)*(Inputs!$F$8-Inputs!$D$8)*(Inputs!$F$8-Inputs!$E$8))),0)</f>
        <v>25</v>
      </c>
      <c r="D837" s="81" t="n">
        <f aca="true">RAND()</f>
        <v>0.472444267528523</v>
      </c>
      <c r="E837" s="83" t="n">
        <f aca="false">IF(D837&lt;(Inputs!$E$10-Inputs!$D$10)/(Inputs!$F$10-Inputs!$D$10),Inputs!$D$10+SQRT(D837*(Inputs!$F$10-Inputs!$D$10)*(Inputs!$E$10-Inputs!$D$10)),Inputs!$F$10-SQRT((1-D837)*(Inputs!$F$10-Inputs!$D$10)*(Inputs!$F$10-Inputs!$E$10)))</f>
        <v>0.0741958984208213</v>
      </c>
      <c r="F837" s="81" t="n">
        <f aca="true">RAND()</f>
        <v>0.19379433010492</v>
      </c>
      <c r="G837" s="83" t="n">
        <f aca="false">IF(F837&lt;(Inputs!$E$15-Inputs!$D$15)/(Inputs!$F$15-Inputs!$D$15),Inputs!$D$15+SQRT(F837*(Inputs!$F$15-Inputs!$D$15)*(Inputs!$E$15-Inputs!$D$15)),Inputs!$F$15-SQRT((1-F837)*(Inputs!$F$15-Inputs!$D$15)*(Inputs!$F$15-Inputs!$E$15)))</f>
        <v>0.662256618942072</v>
      </c>
      <c r="H837" s="81" t="n">
        <f aca="true">RAND()</f>
        <v>0.625136555483689</v>
      </c>
      <c r="I837" s="82" t="n">
        <f aca="false">ROUND(IF(H837&lt;(Inputs!$E$17-Inputs!$D$17)/(Inputs!$F$17-Inputs!$D$17),Inputs!$D$17+SQRT(H837*(Inputs!$F$17-Inputs!$D$17)*(Inputs!$E$17-Inputs!$D$17)),Inputs!$F$17-SQRT((1-H837)*(Inputs!$F$17-Inputs!$D$17)*(Inputs!$F$17-Inputs!$E$17))),0)</f>
        <v>108</v>
      </c>
      <c r="J837" s="81" t="n">
        <f aca="true">RAND()</f>
        <v>0.280422212344255</v>
      </c>
      <c r="K837" s="83" t="n">
        <f aca="false">IF(J837&lt;(Inputs!$E$18-Inputs!$D$18)/(Inputs!$F$18-Inputs!$D$18),Inputs!$D$18+SQRT(J837*(Inputs!$F$18-Inputs!$D$18)*(Inputs!$E$18-Inputs!$D$18)),Inputs!$F$18-SQRT((1-J837)*(Inputs!$F$18-Inputs!$D$18)*(Inputs!$F$18-Inputs!$E$18)))</f>
        <v>0.999069558553821</v>
      </c>
      <c r="L837" s="81" t="n">
        <f aca="true">RAND()</f>
        <v>0.915943184630035</v>
      </c>
      <c r="M837" s="83" t="n">
        <f aca="false">IF(L837&lt;(Inputs!$E$24-Inputs!$D$24)/(Inputs!$F$24-Inputs!$D$24),Inputs!$D$24+SQRT(L837*(Inputs!$F$24-Inputs!$D$24)*(Inputs!$E$24-Inputs!$D$24)),Inputs!$F$24-SQRT((1-L837)*(Inputs!$F$24-Inputs!$D$24)*(Inputs!$F$24-Inputs!$E$24)))</f>
        <v>1.05796607557069</v>
      </c>
      <c r="N837" s="81" t="n">
        <f aca="true">RAND()</f>
        <v>0.00466272273826968</v>
      </c>
      <c r="O837" s="83" t="n">
        <f aca="false">IF(N837&lt;(Inputs!$E$26-Inputs!$D$26)/(Inputs!$F$26-Inputs!$D$26),Inputs!$D$26+SQRT(N837*(Inputs!$F$26-Inputs!$D$26)*(Inputs!$E$26-Inputs!$D$26)),Inputs!$F$26-SQRT((1-N837)*(Inputs!$F$26-Inputs!$D$26)*(Inputs!$F$26-Inputs!$E$26)))</f>
        <v>0.327854569888047</v>
      </c>
      <c r="P837" s="81" t="n">
        <f aca="true">RAND()</f>
        <v>0.609565853205359</v>
      </c>
      <c r="Q837" s="82" t="n">
        <f aca="false">IF(P837&lt;(Inputs!$E$27-Inputs!$D$27)/(Inputs!$F$27-Inputs!$D$27),Inputs!$D$27+SQRT(P837*(Inputs!$F$27-Inputs!$D$27)*(Inputs!$E$27-Inputs!$D$27)),Inputs!$F$27-SQRT((1-P837)*(Inputs!$F$27-Inputs!$D$27)*(Inputs!$F$27-Inputs!$E$27)))</f>
        <v>95.8866365769064</v>
      </c>
      <c r="R837" s="81" t="n">
        <f aca="true">RAND()</f>
        <v>0.558412806191336</v>
      </c>
      <c r="S837" s="82" t="n">
        <f aca="false">IF(R837&lt;(Inputs!$E$29-Inputs!$D$29)/(Inputs!$F$29-Inputs!$D$29),Inputs!$D$29+SQRT(R837*(Inputs!$F$29-Inputs!$D$29)*(Inputs!$E$29-Inputs!$D$29)),Inputs!$F$29-SQRT((1-R837)*(Inputs!$F$29-Inputs!$D$29)*(Inputs!$F$29-Inputs!$E$29)))</f>
        <v>7.42330314747077</v>
      </c>
      <c r="T837" s="68" t="n">
        <f aca="false">Inputs!$E$9*(1+E837)+Inputs!$E$5*C837*(Inputs!$E$11*Inputs!$E$14*(G837*I837/Inputs!$E$16+(1-G837))*K837+Inputs!$E$23*M837)*(1+O837)+Inputs!$E$5*(Q837+S837)</f>
        <v>5982.00624586611</v>
      </c>
    </row>
    <row r="838" customFormat="false" ht="15" hidden="false" customHeight="false" outlineLevel="0" collapsed="false">
      <c r="A838" s="1" t="n">
        <v>834</v>
      </c>
      <c r="B838" s="81" t="n">
        <f aca="true">RAND()</f>
        <v>0.538878356415207</v>
      </c>
      <c r="C838" s="82" t="n">
        <f aca="false">ROUND(IF(B838&lt;(Inputs!$E$8-Inputs!$D$8)/(Inputs!$F$8-Inputs!$D$8),Inputs!$D$8+SQRT(B838*(Inputs!$F$8-Inputs!$D$8)*(Inputs!$E$8-Inputs!$D$8)),Inputs!$F$8-SQRT((1-B838)*(Inputs!$F$8-Inputs!$D$8)*(Inputs!$F$8-Inputs!$E$8))),0)</f>
        <v>25</v>
      </c>
      <c r="D838" s="81" t="n">
        <f aca="true">RAND()</f>
        <v>0.732416776989633</v>
      </c>
      <c r="E838" s="83" t="n">
        <f aca="false">IF(D838&lt;(Inputs!$E$10-Inputs!$D$10)/(Inputs!$F$10-Inputs!$D$10),Inputs!$D$10+SQRT(D838*(Inputs!$F$10-Inputs!$D$10)*(Inputs!$E$10-Inputs!$D$10)),Inputs!$F$10-SQRT((1-D838)*(Inputs!$F$10-Inputs!$D$10)*(Inputs!$F$10-Inputs!$E$10)))</f>
        <v>0.110403701581421</v>
      </c>
      <c r="F838" s="81" t="n">
        <f aca="true">RAND()</f>
        <v>0.610238680437381</v>
      </c>
      <c r="G838" s="83" t="n">
        <f aca="false">IF(F838&lt;(Inputs!$E$15-Inputs!$D$15)/(Inputs!$F$15-Inputs!$D$15),Inputs!$D$15+SQRT(F838*(Inputs!$F$15-Inputs!$D$15)*(Inputs!$E$15-Inputs!$D$15)),Inputs!$F$15-SQRT((1-F838)*(Inputs!$F$15-Inputs!$D$15)*(Inputs!$F$15-Inputs!$E$15)))</f>
        <v>0.711709420710631</v>
      </c>
      <c r="H838" s="81" t="n">
        <f aca="true">RAND()</f>
        <v>0.814265973182908</v>
      </c>
      <c r="I838" s="82" t="n">
        <f aca="false">ROUND(IF(H838&lt;(Inputs!$E$17-Inputs!$D$17)/(Inputs!$F$17-Inputs!$D$17),Inputs!$D$17+SQRT(H838*(Inputs!$F$17-Inputs!$D$17)*(Inputs!$E$17-Inputs!$D$17)),Inputs!$F$17-SQRT((1-H838)*(Inputs!$F$17-Inputs!$D$17)*(Inputs!$F$17-Inputs!$E$17))),0)</f>
        <v>110</v>
      </c>
      <c r="J838" s="81" t="n">
        <f aca="true">RAND()</f>
        <v>0.936156242101068</v>
      </c>
      <c r="K838" s="83" t="n">
        <f aca="false">IF(J838&lt;(Inputs!$E$18-Inputs!$D$18)/(Inputs!$F$18-Inputs!$D$18),Inputs!$D$18+SQRT(J838*(Inputs!$F$18-Inputs!$D$18)*(Inputs!$E$18-Inputs!$D$18)),Inputs!$F$18-SQRT((1-J838)*(Inputs!$F$18-Inputs!$D$18)*(Inputs!$F$18-Inputs!$E$18)))</f>
        <v>1.17525825252139</v>
      </c>
      <c r="L838" s="81" t="n">
        <f aca="true">RAND()</f>
        <v>0.533628384832123</v>
      </c>
      <c r="M838" s="83" t="n">
        <f aca="false">IF(L838&lt;(Inputs!$E$24-Inputs!$D$24)/(Inputs!$F$24-Inputs!$D$24),Inputs!$D$24+SQRT(L838*(Inputs!$F$24-Inputs!$D$24)*(Inputs!$E$24-Inputs!$D$24)),Inputs!$F$24-SQRT((1-L838)*(Inputs!$F$24-Inputs!$D$24)*(Inputs!$F$24-Inputs!$E$24)))</f>
        <v>0.865441802311929</v>
      </c>
      <c r="N838" s="81" t="n">
        <f aca="true">RAND()</f>
        <v>0.341956040919637</v>
      </c>
      <c r="O838" s="83" t="n">
        <f aca="false">IF(N838&lt;(Inputs!$E$26-Inputs!$D$26)/(Inputs!$F$26-Inputs!$D$26),Inputs!$D$26+SQRT(N838*(Inputs!$F$26-Inputs!$D$26)*(Inputs!$E$26-Inputs!$D$26)),Inputs!$F$26-SQRT((1-N838)*(Inputs!$F$26-Inputs!$D$26)*(Inputs!$F$26-Inputs!$E$26)))</f>
        <v>0.538540321977287</v>
      </c>
      <c r="P838" s="81" t="n">
        <f aca="true">RAND()</f>
        <v>0.265772766447905</v>
      </c>
      <c r="Q838" s="82" t="n">
        <f aca="false">IF(P838&lt;(Inputs!$E$27-Inputs!$D$27)/(Inputs!$F$27-Inputs!$D$27),Inputs!$D$27+SQRT(P838*(Inputs!$F$27-Inputs!$D$27)*(Inputs!$E$27-Inputs!$D$27)),Inputs!$F$27-SQRT((1-P838)*(Inputs!$F$27-Inputs!$D$27)*(Inputs!$F$27-Inputs!$E$27)))</f>
        <v>75.7928288395204</v>
      </c>
      <c r="R838" s="81" t="n">
        <f aca="true">RAND()</f>
        <v>0.493934632792777</v>
      </c>
      <c r="S838" s="82" t="n">
        <f aca="false">IF(R838&lt;(Inputs!$E$29-Inputs!$D$29)/(Inputs!$F$29-Inputs!$D$29),Inputs!$D$29+SQRT(R838*(Inputs!$F$29-Inputs!$D$29)*(Inputs!$E$29-Inputs!$D$29)),Inputs!$F$29-SQRT((1-R838)*(Inputs!$F$29-Inputs!$D$29)*(Inputs!$F$29-Inputs!$E$29)))</f>
        <v>6.88898910511526</v>
      </c>
      <c r="T838" s="68" t="n">
        <f aca="false">Inputs!$E$9*(1+E838)+Inputs!$E$5*C838*(Inputs!$E$11*Inputs!$E$14*(G838*I838/Inputs!$E$16+(1-G838))*K838+Inputs!$E$23*M838)*(1+O838)+Inputs!$E$5*(Q838+S838)</f>
        <v>6519.90884385312</v>
      </c>
    </row>
    <row r="839" customFormat="false" ht="15" hidden="false" customHeight="false" outlineLevel="0" collapsed="false">
      <c r="A839" s="1" t="n">
        <v>835</v>
      </c>
      <c r="B839" s="81" t="n">
        <f aca="true">RAND()</f>
        <v>0.187491016039783</v>
      </c>
      <c r="C839" s="82" t="n">
        <f aca="false">ROUND(IF(B839&lt;(Inputs!$E$8-Inputs!$D$8)/(Inputs!$F$8-Inputs!$D$8),Inputs!$D$8+SQRT(B839*(Inputs!$F$8-Inputs!$D$8)*(Inputs!$E$8-Inputs!$D$8)),Inputs!$F$8-SQRT((1-B839)*(Inputs!$F$8-Inputs!$D$8)*(Inputs!$F$8-Inputs!$E$8))),0)</f>
        <v>23</v>
      </c>
      <c r="D839" s="81" t="n">
        <f aca="true">RAND()</f>
        <v>0.0671576681214651</v>
      </c>
      <c r="E839" s="83" t="n">
        <f aca="false">IF(D839&lt;(Inputs!$E$10-Inputs!$D$10)/(Inputs!$F$10-Inputs!$D$10),Inputs!$D$10+SQRT(D839*(Inputs!$F$10-Inputs!$D$10)*(Inputs!$E$10-Inputs!$D$10)),Inputs!$F$10-SQRT((1-D839)*(Inputs!$F$10-Inputs!$D$10)*(Inputs!$F$10-Inputs!$E$10)))</f>
        <v>0.0259147965690385</v>
      </c>
      <c r="F839" s="81" t="n">
        <f aca="true">RAND()</f>
        <v>0.508369687719805</v>
      </c>
      <c r="G839" s="83" t="n">
        <f aca="false">IF(F839&lt;(Inputs!$E$15-Inputs!$D$15)/(Inputs!$F$15-Inputs!$D$15),Inputs!$D$15+SQRT(F839*(Inputs!$F$15-Inputs!$D$15)*(Inputs!$E$15-Inputs!$D$15)),Inputs!$F$15-SQRT((1-F839)*(Inputs!$F$15-Inputs!$D$15)*(Inputs!$F$15-Inputs!$E$15)))</f>
        <v>0.70084050098148</v>
      </c>
      <c r="H839" s="81" t="n">
        <f aca="true">RAND()</f>
        <v>0.581230003549643</v>
      </c>
      <c r="I839" s="82" t="n">
        <f aca="false">ROUND(IF(H839&lt;(Inputs!$E$17-Inputs!$D$17)/(Inputs!$F$17-Inputs!$D$17),Inputs!$D$17+SQRT(H839*(Inputs!$F$17-Inputs!$D$17)*(Inputs!$E$17-Inputs!$D$17)),Inputs!$F$17-SQRT((1-H839)*(Inputs!$F$17-Inputs!$D$17)*(Inputs!$F$17-Inputs!$E$17))),0)</f>
        <v>107</v>
      </c>
      <c r="J839" s="81" t="n">
        <f aca="true">RAND()</f>
        <v>0.656982843560651</v>
      </c>
      <c r="K839" s="83" t="n">
        <f aca="false">IF(J839&lt;(Inputs!$E$18-Inputs!$D$18)/(Inputs!$F$18-Inputs!$D$18),Inputs!$D$18+SQRT(J839*(Inputs!$F$18-Inputs!$D$18)*(Inputs!$E$18-Inputs!$D$18)),Inputs!$F$18-SQRT((1-J839)*(Inputs!$F$18-Inputs!$D$18)*(Inputs!$F$18-Inputs!$E$18)))</f>
        <v>1.07675450600826</v>
      </c>
      <c r="L839" s="81" t="n">
        <f aca="true">RAND()</f>
        <v>0.25541155112986</v>
      </c>
      <c r="M839" s="83" t="n">
        <f aca="false">IF(L839&lt;(Inputs!$E$24-Inputs!$D$24)/(Inputs!$F$24-Inputs!$D$24),Inputs!$D$24+SQRT(L839*(Inputs!$F$24-Inputs!$D$24)*(Inputs!$E$24-Inputs!$D$24)),Inputs!$F$24-SQRT((1-L839)*(Inputs!$F$24-Inputs!$D$24)*(Inputs!$F$24-Inputs!$E$24)))</f>
        <v>0.775069660808443</v>
      </c>
      <c r="N839" s="81" t="n">
        <f aca="true">RAND()</f>
        <v>0.355764204000874</v>
      </c>
      <c r="O839" s="83" t="n">
        <f aca="false">IF(N839&lt;(Inputs!$E$26-Inputs!$D$26)/(Inputs!$F$26-Inputs!$D$26),Inputs!$D$26+SQRT(N839*(Inputs!$F$26-Inputs!$D$26)*(Inputs!$E$26-Inputs!$D$26)),Inputs!$F$26-SQRT((1-N839)*(Inputs!$F$26-Inputs!$D$26)*(Inputs!$F$26-Inputs!$E$26)))</f>
        <v>0.543308782302952</v>
      </c>
      <c r="P839" s="81" t="n">
        <f aca="true">RAND()</f>
        <v>0.0753129989263999</v>
      </c>
      <c r="Q839" s="82" t="n">
        <f aca="false">IF(P839&lt;(Inputs!$E$27-Inputs!$D$27)/(Inputs!$F$27-Inputs!$D$27),Inputs!$D$27+SQRT(P839*(Inputs!$F$27-Inputs!$D$27)*(Inputs!$E$27-Inputs!$D$27)),Inputs!$F$27-SQRT((1-P839)*(Inputs!$F$27-Inputs!$D$27)*(Inputs!$F$27-Inputs!$E$27)))</f>
        <v>63.7216069509369</v>
      </c>
      <c r="R839" s="81" t="n">
        <f aca="true">RAND()</f>
        <v>0.706024968358529</v>
      </c>
      <c r="S839" s="82" t="n">
        <f aca="false">IF(R839&lt;(Inputs!$E$29-Inputs!$D$29)/(Inputs!$F$29-Inputs!$D$29),Inputs!$D$29+SQRT(R839*(Inputs!$F$29-Inputs!$D$29)*(Inputs!$E$29-Inputs!$D$29)),Inputs!$F$29-SQRT((1-R839)*(Inputs!$F$29-Inputs!$D$29)*(Inputs!$F$29-Inputs!$E$29)))</f>
        <v>8.81802991649173</v>
      </c>
      <c r="T839" s="68" t="n">
        <f aca="false">Inputs!$E$9*(1+E839)+Inputs!$E$5*C839*(Inputs!$E$11*Inputs!$E$14*(G839*I839/Inputs!$E$16+(1-G839))*K839+Inputs!$E$23*M839)*(1+O839)+Inputs!$E$5*(Q839+S839)</f>
        <v>5674.25218119158</v>
      </c>
    </row>
    <row r="840" customFormat="false" ht="15" hidden="false" customHeight="false" outlineLevel="0" collapsed="false">
      <c r="A840" s="1" t="n">
        <v>836</v>
      </c>
      <c r="B840" s="81" t="n">
        <f aca="true">RAND()</f>
        <v>0.902536689648912</v>
      </c>
      <c r="C840" s="82" t="n">
        <f aca="false">ROUND(IF(B840&lt;(Inputs!$E$8-Inputs!$D$8)/(Inputs!$F$8-Inputs!$D$8),Inputs!$D$8+SQRT(B840*(Inputs!$F$8-Inputs!$D$8)*(Inputs!$E$8-Inputs!$D$8)),Inputs!$F$8-SQRT((1-B840)*(Inputs!$F$8-Inputs!$D$8)*(Inputs!$F$8-Inputs!$E$8))),0)</f>
        <v>28</v>
      </c>
      <c r="D840" s="81" t="n">
        <f aca="true">RAND()</f>
        <v>0.417507724521895</v>
      </c>
      <c r="E840" s="83" t="n">
        <f aca="false">IF(D840&lt;(Inputs!$E$10-Inputs!$D$10)/(Inputs!$F$10-Inputs!$D$10),Inputs!$D$10+SQRT(D840*(Inputs!$F$10-Inputs!$D$10)*(Inputs!$E$10-Inputs!$D$10)),Inputs!$F$10-SQRT((1-D840)*(Inputs!$F$10-Inputs!$D$10)*(Inputs!$F$10-Inputs!$E$10)))</f>
        <v>0.0678078358436358</v>
      </c>
      <c r="F840" s="81" t="n">
        <f aca="true">RAND()</f>
        <v>0.339224993072536</v>
      </c>
      <c r="G840" s="83" t="n">
        <f aca="false">IF(F840&lt;(Inputs!$E$15-Inputs!$D$15)/(Inputs!$F$15-Inputs!$D$15),Inputs!$D$15+SQRT(F840*(Inputs!$F$15-Inputs!$D$15)*(Inputs!$E$15-Inputs!$D$15)),Inputs!$F$15-SQRT((1-F840)*(Inputs!$F$15-Inputs!$D$15)*(Inputs!$F$15-Inputs!$E$15)))</f>
        <v>0.682368075499254</v>
      </c>
      <c r="H840" s="81" t="n">
        <f aca="true">RAND()</f>
        <v>0.0026279189644713</v>
      </c>
      <c r="I840" s="82" t="n">
        <f aca="false">ROUND(IF(H840&lt;(Inputs!$E$17-Inputs!$D$17)/(Inputs!$F$17-Inputs!$D$17),Inputs!$D$17+SQRT(H840*(Inputs!$F$17-Inputs!$D$17)*(Inputs!$E$17-Inputs!$D$17)),Inputs!$F$17-SQRT((1-H840)*(Inputs!$F$17-Inputs!$D$17)*(Inputs!$F$17-Inputs!$E$17))),0)</f>
        <v>100</v>
      </c>
      <c r="J840" s="81" t="n">
        <f aca="true">RAND()</f>
        <v>0.212001422085311</v>
      </c>
      <c r="K840" s="83" t="n">
        <f aca="false">IF(J840&lt;(Inputs!$E$18-Inputs!$D$18)/(Inputs!$F$18-Inputs!$D$18),Inputs!$D$18+SQRT(J840*(Inputs!$F$18-Inputs!$D$18)*(Inputs!$E$18-Inputs!$D$18)),Inputs!$F$18-SQRT((1-J840)*(Inputs!$F$18-Inputs!$D$18)*(Inputs!$F$18-Inputs!$E$18)))</f>
        <v>0.986139710778397</v>
      </c>
      <c r="L840" s="81" t="n">
        <f aca="true">RAND()</f>
        <v>0.617946357084781</v>
      </c>
      <c r="M840" s="83" t="n">
        <f aca="false">IF(L840&lt;(Inputs!$E$24-Inputs!$D$24)/(Inputs!$F$24-Inputs!$D$24),Inputs!$D$24+SQRT(L840*(Inputs!$F$24-Inputs!$D$24)*(Inputs!$E$24-Inputs!$D$24)),Inputs!$F$24-SQRT((1-L840)*(Inputs!$F$24-Inputs!$D$24)*(Inputs!$F$24-Inputs!$E$24)))</f>
        <v>0.897191687201866</v>
      </c>
      <c r="N840" s="81" t="n">
        <f aca="true">RAND()</f>
        <v>0.228909430458661</v>
      </c>
      <c r="O840" s="83" t="n">
        <f aca="false">IF(N840&lt;(Inputs!$E$26-Inputs!$D$26)/(Inputs!$F$26-Inputs!$D$26),Inputs!$D$26+SQRT(N840*(Inputs!$F$26-Inputs!$D$26)*(Inputs!$E$26-Inputs!$D$26)),Inputs!$F$26-SQRT((1-N840)*(Inputs!$F$26-Inputs!$D$26)*(Inputs!$F$26-Inputs!$E$26)))</f>
        <v>0.495167951335052</v>
      </c>
      <c r="P840" s="81" t="n">
        <f aca="true">RAND()</f>
        <v>0.262917227067847</v>
      </c>
      <c r="Q840" s="82" t="n">
        <f aca="false">IF(P840&lt;(Inputs!$E$27-Inputs!$D$27)/(Inputs!$F$27-Inputs!$D$27),Inputs!$D$27+SQRT(P840*(Inputs!$F$27-Inputs!$D$27)*(Inputs!$E$27-Inputs!$D$27)),Inputs!$F$27-SQRT((1-P840)*(Inputs!$F$27-Inputs!$D$27)*(Inputs!$F$27-Inputs!$E$27)))</f>
        <v>75.648666474695</v>
      </c>
      <c r="R840" s="81" t="n">
        <f aca="true">RAND()</f>
        <v>0.855665637997499</v>
      </c>
      <c r="S840" s="82" t="n">
        <f aca="false">IF(R840&lt;(Inputs!$E$29-Inputs!$D$29)/(Inputs!$F$29-Inputs!$D$29),Inputs!$D$29+SQRT(R840*(Inputs!$F$29-Inputs!$D$29)*(Inputs!$E$29-Inputs!$D$29)),Inputs!$F$29-SQRT((1-R840)*(Inputs!$F$29-Inputs!$D$29)*(Inputs!$F$29-Inputs!$E$29)))</f>
        <v>10.6683182180214</v>
      </c>
      <c r="T840" s="68" t="n">
        <f aca="false">Inputs!$E$9*(1+E840)+Inputs!$E$5*C840*(Inputs!$E$11*Inputs!$E$14*(G840*I840/Inputs!$E$16+(1-G840))*K840+Inputs!$E$23*M840)*(1+O840)+Inputs!$E$5*(Q840+S840)</f>
        <v>6302.46036371938</v>
      </c>
    </row>
    <row r="841" customFormat="false" ht="15" hidden="false" customHeight="false" outlineLevel="0" collapsed="false">
      <c r="A841" s="1" t="n">
        <v>837</v>
      </c>
      <c r="B841" s="81" t="n">
        <f aca="true">RAND()</f>
        <v>0.82078570287616</v>
      </c>
      <c r="C841" s="82" t="n">
        <f aca="false">ROUND(IF(B841&lt;(Inputs!$E$8-Inputs!$D$8)/(Inputs!$F$8-Inputs!$D$8),Inputs!$D$8+SQRT(B841*(Inputs!$F$8-Inputs!$D$8)*(Inputs!$E$8-Inputs!$D$8)),Inputs!$F$8-SQRT((1-B841)*(Inputs!$F$8-Inputs!$D$8)*(Inputs!$F$8-Inputs!$E$8))),0)</f>
        <v>27</v>
      </c>
      <c r="D841" s="81" t="n">
        <f aca="true">RAND()</f>
        <v>0.235815269627611</v>
      </c>
      <c r="E841" s="83" t="n">
        <f aca="false">IF(D841&lt;(Inputs!$E$10-Inputs!$D$10)/(Inputs!$F$10-Inputs!$D$10),Inputs!$D$10+SQRT(D841*(Inputs!$F$10-Inputs!$D$10)*(Inputs!$E$10-Inputs!$D$10)),Inputs!$F$10-SQRT((1-D841)*(Inputs!$F$10-Inputs!$D$10)*(Inputs!$F$10-Inputs!$E$10)))</f>
        <v>0.0485608144111701</v>
      </c>
      <c r="F841" s="81" t="n">
        <f aca="true">RAND()</f>
        <v>0.450487767442135</v>
      </c>
      <c r="G841" s="83" t="n">
        <f aca="false">IF(F841&lt;(Inputs!$E$15-Inputs!$D$15)/(Inputs!$F$15-Inputs!$D$15),Inputs!$D$15+SQRT(F841*(Inputs!$F$15-Inputs!$D$15)*(Inputs!$E$15-Inputs!$D$15)),Inputs!$F$15-SQRT((1-F841)*(Inputs!$F$15-Inputs!$D$15)*(Inputs!$F$15-Inputs!$E$15)))</f>
        <v>0.694919731082861</v>
      </c>
      <c r="H841" s="81" t="n">
        <f aca="true">RAND()</f>
        <v>0.342214135088551</v>
      </c>
      <c r="I841" s="82" t="n">
        <f aca="false">ROUND(IF(H841&lt;(Inputs!$E$17-Inputs!$D$17)/(Inputs!$F$17-Inputs!$D$17),Inputs!$D$17+SQRT(H841*(Inputs!$F$17-Inputs!$D$17)*(Inputs!$E$17-Inputs!$D$17)),Inputs!$F$17-SQRT((1-H841)*(Inputs!$F$17-Inputs!$D$17)*(Inputs!$F$17-Inputs!$E$17))),0)</f>
        <v>105</v>
      </c>
      <c r="J841" s="81" t="n">
        <f aca="true">RAND()</f>
        <v>0.372996813280423</v>
      </c>
      <c r="K841" s="83" t="n">
        <f aca="false">IF(J841&lt;(Inputs!$E$18-Inputs!$D$18)/(Inputs!$F$18-Inputs!$D$18),Inputs!$D$18+SQRT(J841*(Inputs!$F$18-Inputs!$D$18)*(Inputs!$E$18-Inputs!$D$18)),Inputs!$F$18-SQRT((1-J841)*(Inputs!$F$18-Inputs!$D$18)*(Inputs!$F$18-Inputs!$E$18)))</f>
        <v>1.01577195121429</v>
      </c>
      <c r="L841" s="81" t="n">
        <f aca="true">RAND()</f>
        <v>0.420209103875763</v>
      </c>
      <c r="M841" s="83" t="n">
        <f aca="false">IF(L841&lt;(Inputs!$E$24-Inputs!$D$24)/(Inputs!$F$24-Inputs!$D$24),Inputs!$D$24+SQRT(L841*(Inputs!$F$24-Inputs!$D$24)*(Inputs!$E$24-Inputs!$D$24)),Inputs!$F$24-SQRT((1-L841)*(Inputs!$F$24-Inputs!$D$24)*(Inputs!$F$24-Inputs!$E$24)))</f>
        <v>0.826972098805174</v>
      </c>
      <c r="N841" s="81" t="n">
        <f aca="true">RAND()</f>
        <v>0.487572675989567</v>
      </c>
      <c r="O841" s="83" t="n">
        <f aca="false">IF(N841&lt;(Inputs!$E$26-Inputs!$D$26)/(Inputs!$F$26-Inputs!$D$26),Inputs!$D$26+SQRT(N841*(Inputs!$F$26-Inputs!$D$26)*(Inputs!$E$26-Inputs!$D$26)),Inputs!$F$26-SQRT((1-N841)*(Inputs!$F$26-Inputs!$D$26)*(Inputs!$F$26-Inputs!$E$26)))</f>
        <v>0.584836959126908</v>
      </c>
      <c r="P841" s="81" t="n">
        <f aca="true">RAND()</f>
        <v>0.779086792659202</v>
      </c>
      <c r="Q841" s="82" t="n">
        <f aca="false">IF(P841&lt;(Inputs!$E$27-Inputs!$D$27)/(Inputs!$F$27-Inputs!$D$27),Inputs!$D$27+SQRT(P841*(Inputs!$F$27-Inputs!$D$27)*(Inputs!$E$27-Inputs!$D$27)),Inputs!$F$27-SQRT((1-P841)*(Inputs!$F$27-Inputs!$D$27)*(Inputs!$F$27-Inputs!$E$27)))</f>
        <v>109.295589243228</v>
      </c>
      <c r="R841" s="81" t="n">
        <f aca="true">RAND()</f>
        <v>0.155791855823472</v>
      </c>
      <c r="S841" s="82" t="n">
        <f aca="false">IF(R841&lt;(Inputs!$E$29-Inputs!$D$29)/(Inputs!$F$29-Inputs!$D$29),Inputs!$D$29+SQRT(R841*(Inputs!$F$29-Inputs!$D$29)*(Inputs!$E$29-Inputs!$D$29)),Inputs!$F$29-SQRT((1-R841)*(Inputs!$F$29-Inputs!$D$29)*(Inputs!$F$29-Inputs!$E$29)))</f>
        <v>4.46493050147776</v>
      </c>
      <c r="T841" s="68" t="n">
        <f aca="false">Inputs!$E$9*(1+E841)+Inputs!$E$5*C841*(Inputs!$E$11*Inputs!$E$14*(G841*I841/Inputs!$E$16+(1-G841))*K841+Inputs!$E$23*M841)*(1+O841)+Inputs!$E$5*(Q841+S841)</f>
        <v>6478.69822518024</v>
      </c>
    </row>
    <row r="842" customFormat="false" ht="15" hidden="false" customHeight="false" outlineLevel="0" collapsed="false">
      <c r="A842" s="1" t="n">
        <v>838</v>
      </c>
      <c r="B842" s="81" t="n">
        <f aca="true">RAND()</f>
        <v>0.814419677544977</v>
      </c>
      <c r="C842" s="82" t="n">
        <f aca="false">ROUND(IF(B842&lt;(Inputs!$E$8-Inputs!$D$8)/(Inputs!$F$8-Inputs!$D$8),Inputs!$D$8+SQRT(B842*(Inputs!$F$8-Inputs!$D$8)*(Inputs!$E$8-Inputs!$D$8)),Inputs!$F$8-SQRT((1-B842)*(Inputs!$F$8-Inputs!$D$8)*(Inputs!$F$8-Inputs!$E$8))),0)</f>
        <v>27</v>
      </c>
      <c r="D842" s="81" t="n">
        <f aca="true">RAND()</f>
        <v>0.325131903721897</v>
      </c>
      <c r="E842" s="83" t="n">
        <f aca="false">IF(D842&lt;(Inputs!$E$10-Inputs!$D$10)/(Inputs!$F$10-Inputs!$D$10),Inputs!$D$10+SQRT(D842*(Inputs!$F$10-Inputs!$D$10)*(Inputs!$E$10-Inputs!$D$10)),Inputs!$F$10-SQRT((1-D842)*(Inputs!$F$10-Inputs!$D$10)*(Inputs!$F$10-Inputs!$E$10)))</f>
        <v>0.05771140984484</v>
      </c>
      <c r="F842" s="81" t="n">
        <f aca="true">RAND()</f>
        <v>0.959272905201638</v>
      </c>
      <c r="G842" s="83" t="n">
        <f aca="false">IF(F842&lt;(Inputs!$E$15-Inputs!$D$15)/(Inputs!$F$15-Inputs!$D$15),Inputs!$D$15+SQRT(F842*(Inputs!$F$15-Inputs!$D$15)*(Inputs!$E$15-Inputs!$D$15)),Inputs!$F$15-SQRT((1-F842)*(Inputs!$F$15-Inputs!$D$15)*(Inputs!$F$15-Inputs!$E$15)))</f>
        <v>0.771459819622728</v>
      </c>
      <c r="H842" s="81" t="n">
        <f aca="true">RAND()</f>
        <v>0.747745070107942</v>
      </c>
      <c r="I842" s="82" t="n">
        <f aca="false">ROUND(IF(H842&lt;(Inputs!$E$17-Inputs!$D$17)/(Inputs!$F$17-Inputs!$D$17),Inputs!$D$17+SQRT(H842*(Inputs!$F$17-Inputs!$D$17)*(Inputs!$E$17-Inputs!$D$17)),Inputs!$F$17-SQRT((1-H842)*(Inputs!$F$17-Inputs!$D$17)*(Inputs!$F$17-Inputs!$E$17))),0)</f>
        <v>109</v>
      </c>
      <c r="J842" s="81" t="n">
        <f aca="true">RAND()</f>
        <v>0.846643987458637</v>
      </c>
      <c r="K842" s="83" t="n">
        <f aca="false">IF(J842&lt;(Inputs!$E$18-Inputs!$D$18)/(Inputs!$F$18-Inputs!$D$18),Inputs!$D$18+SQRT(J842*(Inputs!$F$18-Inputs!$D$18)*(Inputs!$E$18-Inputs!$D$18)),Inputs!$F$18-SQRT((1-J842)*(Inputs!$F$18-Inputs!$D$18)*(Inputs!$F$18-Inputs!$E$18)))</f>
        <v>1.13416109851449</v>
      </c>
      <c r="L842" s="81" t="n">
        <f aca="true">RAND()</f>
        <v>0.582523382742054</v>
      </c>
      <c r="M842" s="83" t="n">
        <f aca="false">IF(L842&lt;(Inputs!$E$24-Inputs!$D$24)/(Inputs!$F$24-Inputs!$D$24),Inputs!$D$24+SQRT(L842*(Inputs!$F$24-Inputs!$D$24)*(Inputs!$E$24-Inputs!$D$24)),Inputs!$F$24-SQRT((1-L842)*(Inputs!$F$24-Inputs!$D$24)*(Inputs!$F$24-Inputs!$E$24)))</f>
        <v>0.88346502856413</v>
      </c>
      <c r="N842" s="81" t="n">
        <f aca="true">RAND()</f>
        <v>0.0640548419067871</v>
      </c>
      <c r="O842" s="83" t="n">
        <f aca="false">IF(N842&lt;(Inputs!$E$26-Inputs!$D$26)/(Inputs!$F$26-Inputs!$D$26),Inputs!$D$26+SQRT(N842*(Inputs!$F$26-Inputs!$D$26)*(Inputs!$E$26-Inputs!$D$26)),Inputs!$F$26-SQRT((1-N842)*(Inputs!$F$26-Inputs!$D$26)*(Inputs!$F$26-Inputs!$E$26)))</f>
        <v>0.403241104669068</v>
      </c>
      <c r="P842" s="81" t="n">
        <f aca="true">RAND()</f>
        <v>0.702174064854138</v>
      </c>
      <c r="Q842" s="82" t="n">
        <f aca="false">IF(P842&lt;(Inputs!$E$27-Inputs!$D$27)/(Inputs!$F$27-Inputs!$D$27),Inputs!$D$27+SQRT(P842*(Inputs!$F$27-Inputs!$D$27)*(Inputs!$E$27-Inputs!$D$27)),Inputs!$F$27-SQRT((1-P842)*(Inputs!$F$27-Inputs!$D$27)*(Inputs!$F$27-Inputs!$E$27)))</f>
        <v>102.738022538261</v>
      </c>
      <c r="R842" s="81" t="n">
        <f aca="true">RAND()</f>
        <v>0.0014316929377145</v>
      </c>
      <c r="S842" s="82" t="n">
        <f aca="false">IF(R842&lt;(Inputs!$E$29-Inputs!$D$29)/(Inputs!$F$29-Inputs!$D$29),Inputs!$D$29+SQRT(R842*(Inputs!$F$29-Inputs!$D$29)*(Inputs!$E$29-Inputs!$D$29)),Inputs!$F$29-SQRT((1-R842)*(Inputs!$F$29-Inputs!$D$29)*(Inputs!$F$29-Inputs!$E$29)))</f>
        <v>2.23629647600179</v>
      </c>
      <c r="T842" s="68" t="n">
        <f aca="false">Inputs!$E$9*(1+E842)+Inputs!$E$5*C842*(Inputs!$E$11*Inputs!$E$14*(G842*I842/Inputs!$E$16+(1-G842))*K842+Inputs!$E$23*M842)*(1+O842)+Inputs!$E$5*(Q842+S842)</f>
        <v>6305.65439274695</v>
      </c>
    </row>
    <row r="843" customFormat="false" ht="15" hidden="false" customHeight="false" outlineLevel="0" collapsed="false">
      <c r="A843" s="1" t="n">
        <v>839</v>
      </c>
      <c r="B843" s="81" t="n">
        <f aca="true">RAND()</f>
        <v>0.992723194961061</v>
      </c>
      <c r="C843" s="82" t="n">
        <f aca="false">ROUND(IF(B843&lt;(Inputs!$E$8-Inputs!$D$8)/(Inputs!$F$8-Inputs!$D$8),Inputs!$D$8+SQRT(B843*(Inputs!$F$8-Inputs!$D$8)*(Inputs!$E$8-Inputs!$D$8)),Inputs!$F$8-SQRT((1-B843)*(Inputs!$F$8-Inputs!$D$8)*(Inputs!$F$8-Inputs!$E$8))),0)</f>
        <v>29</v>
      </c>
      <c r="D843" s="81" t="n">
        <f aca="true">RAND()</f>
        <v>0.254628997310373</v>
      </c>
      <c r="E843" s="83" t="n">
        <f aca="false">IF(D843&lt;(Inputs!$E$10-Inputs!$D$10)/(Inputs!$F$10-Inputs!$D$10),Inputs!$D$10+SQRT(D843*(Inputs!$F$10-Inputs!$D$10)*(Inputs!$E$10-Inputs!$D$10)),Inputs!$F$10-SQRT((1-D843)*(Inputs!$F$10-Inputs!$D$10)*(Inputs!$F$10-Inputs!$E$10)))</f>
        <v>0.050463616197633</v>
      </c>
      <c r="F843" s="81" t="n">
        <f aca="true">RAND()</f>
        <v>0.725044259584261</v>
      </c>
      <c r="G843" s="83" t="n">
        <f aca="false">IF(F843&lt;(Inputs!$E$15-Inputs!$D$15)/(Inputs!$F$15-Inputs!$D$15),Inputs!$D$15+SQRT(F843*(Inputs!$F$15-Inputs!$D$15)*(Inputs!$E$15-Inputs!$D$15)),Inputs!$F$15-SQRT((1-F843)*(Inputs!$F$15-Inputs!$D$15)*(Inputs!$F$15-Inputs!$E$15)))</f>
        <v>0.725843983330314</v>
      </c>
      <c r="H843" s="81" t="n">
        <f aca="true">RAND()</f>
        <v>0.396861063637478</v>
      </c>
      <c r="I843" s="82" t="n">
        <f aca="false">ROUND(IF(H843&lt;(Inputs!$E$17-Inputs!$D$17)/(Inputs!$F$17-Inputs!$D$17),Inputs!$D$17+SQRT(H843*(Inputs!$F$17-Inputs!$D$17)*(Inputs!$E$17-Inputs!$D$17)),Inputs!$F$17-SQRT((1-H843)*(Inputs!$F$17-Inputs!$D$17)*(Inputs!$F$17-Inputs!$E$17))),0)</f>
        <v>105</v>
      </c>
      <c r="J843" s="81" t="n">
        <f aca="true">RAND()</f>
        <v>0.937275716998959</v>
      </c>
      <c r="K843" s="83" t="n">
        <f aca="false">IF(J843&lt;(Inputs!$E$18-Inputs!$D$18)/(Inputs!$F$18-Inputs!$D$18),Inputs!$D$18+SQRT(J843*(Inputs!$F$18-Inputs!$D$18)*(Inputs!$E$18-Inputs!$D$18)),Inputs!$F$18-SQRT((1-J843)*(Inputs!$F$18-Inputs!$D$18)*(Inputs!$F$18-Inputs!$E$18)))</f>
        <v>1.17591643392364</v>
      </c>
      <c r="L843" s="81" t="n">
        <f aca="true">RAND()</f>
        <v>0.0792246689131387</v>
      </c>
      <c r="M843" s="83" t="n">
        <f aca="false">IF(L843&lt;(Inputs!$E$24-Inputs!$D$24)/(Inputs!$F$24-Inputs!$D$24),Inputs!$D$24+SQRT(L843*(Inputs!$F$24-Inputs!$D$24)*(Inputs!$E$24-Inputs!$D$24)),Inputs!$F$24-SQRT((1-L843)*(Inputs!$F$24-Inputs!$D$24)*(Inputs!$F$24-Inputs!$E$24)))</f>
        <v>0.697503642340051</v>
      </c>
      <c r="N843" s="81" t="n">
        <f aca="true">RAND()</f>
        <v>0.520829062098123</v>
      </c>
      <c r="O843" s="83" t="n">
        <f aca="false">IF(N843&lt;(Inputs!$E$26-Inputs!$D$26)/(Inputs!$F$26-Inputs!$D$26),Inputs!$D$26+SQRT(N843*(Inputs!$F$26-Inputs!$D$26)*(Inputs!$E$26-Inputs!$D$26)),Inputs!$F$26-SQRT((1-N843)*(Inputs!$F$26-Inputs!$D$26)*(Inputs!$F$26-Inputs!$E$26)))</f>
        <v>0.594390821754225</v>
      </c>
      <c r="P843" s="81" t="n">
        <f aca="true">RAND()</f>
        <v>0.8961803984115</v>
      </c>
      <c r="Q843" s="82" t="n">
        <f aca="false">IF(P843&lt;(Inputs!$E$27-Inputs!$D$27)/(Inputs!$F$27-Inputs!$D$27),Inputs!$D$27+SQRT(P843*(Inputs!$F$27-Inputs!$D$27)*(Inputs!$E$27-Inputs!$D$27)),Inputs!$F$27-SQRT((1-P843)*(Inputs!$F$27-Inputs!$D$27)*(Inputs!$F$27-Inputs!$E$27)))</f>
        <v>122.095752797939</v>
      </c>
      <c r="R843" s="81" t="n">
        <f aca="true">RAND()</f>
        <v>0.780930457768487</v>
      </c>
      <c r="S843" s="82" t="n">
        <f aca="false">IF(R843&lt;(Inputs!$E$29-Inputs!$D$29)/(Inputs!$F$29-Inputs!$D$29),Inputs!$D$29+SQRT(R843*(Inputs!$F$29-Inputs!$D$29)*(Inputs!$E$29-Inputs!$D$29)),Inputs!$F$29-SQRT((1-R843)*(Inputs!$F$29-Inputs!$D$29)*(Inputs!$F$29-Inputs!$E$29)))</f>
        <v>9.66342427299147</v>
      </c>
      <c r="T843" s="68" t="n">
        <f aca="false">Inputs!$E$9*(1+E843)+Inputs!$E$5*C843*(Inputs!$E$11*Inputs!$E$14*(G843*I843/Inputs!$E$16+(1-G843))*K843+Inputs!$E$23*M843)*(1+O843)+Inputs!$E$5*(Q843+S843)</f>
        <v>6992.57259705539</v>
      </c>
    </row>
    <row r="844" customFormat="false" ht="15" hidden="false" customHeight="false" outlineLevel="0" collapsed="false">
      <c r="A844" s="1" t="n">
        <v>840</v>
      </c>
      <c r="B844" s="81" t="n">
        <f aca="true">RAND()</f>
        <v>0.0363594535676438</v>
      </c>
      <c r="C844" s="82" t="n">
        <f aca="false">ROUND(IF(B844&lt;(Inputs!$E$8-Inputs!$D$8)/(Inputs!$F$8-Inputs!$D$8),Inputs!$D$8+SQRT(B844*(Inputs!$F$8-Inputs!$D$8)*(Inputs!$E$8-Inputs!$D$8)),Inputs!$F$8-SQRT((1-B844)*(Inputs!$F$8-Inputs!$D$8)*(Inputs!$F$8-Inputs!$E$8))),0)</f>
        <v>21</v>
      </c>
      <c r="D844" s="81" t="n">
        <f aca="true">RAND()</f>
        <v>0.50535462503383</v>
      </c>
      <c r="E844" s="83" t="n">
        <f aca="false">IF(D844&lt;(Inputs!$E$10-Inputs!$D$10)/(Inputs!$F$10-Inputs!$D$10),Inputs!$D$10+SQRT(D844*(Inputs!$F$10-Inputs!$D$10)*(Inputs!$E$10-Inputs!$D$10)),Inputs!$F$10-SQRT((1-D844)*(Inputs!$F$10-Inputs!$D$10)*(Inputs!$F$10-Inputs!$E$10)))</f>
        <v>0.0781830830755224</v>
      </c>
      <c r="F844" s="81" t="n">
        <f aca="true">RAND()</f>
        <v>0.937466684901514</v>
      </c>
      <c r="G844" s="83" t="n">
        <f aca="false">IF(F844&lt;(Inputs!$E$15-Inputs!$D$15)/(Inputs!$F$15-Inputs!$D$15),Inputs!$D$15+SQRT(F844*(Inputs!$F$15-Inputs!$D$15)*(Inputs!$E$15-Inputs!$D$15)),Inputs!$F$15-SQRT((1-F844)*(Inputs!$F$15-Inputs!$D$15)*(Inputs!$F$15-Inputs!$E$15)))</f>
        <v>0.76463523926322</v>
      </c>
      <c r="H844" s="81" t="n">
        <f aca="true">RAND()</f>
        <v>0.386338217979209</v>
      </c>
      <c r="I844" s="82" t="n">
        <f aca="false">ROUND(IF(H844&lt;(Inputs!$E$17-Inputs!$D$17)/(Inputs!$F$17-Inputs!$D$17),Inputs!$D$17+SQRT(H844*(Inputs!$F$17-Inputs!$D$17)*(Inputs!$E$17-Inputs!$D$17)),Inputs!$F$17-SQRT((1-H844)*(Inputs!$F$17-Inputs!$D$17)*(Inputs!$F$17-Inputs!$E$17))),0)</f>
        <v>105</v>
      </c>
      <c r="J844" s="81" t="n">
        <f aca="true">RAND()</f>
        <v>0.278157526340699</v>
      </c>
      <c r="K844" s="83" t="n">
        <f aca="false">IF(J844&lt;(Inputs!$E$18-Inputs!$D$18)/(Inputs!$F$18-Inputs!$D$18),Inputs!$D$18+SQRT(J844*(Inputs!$F$18-Inputs!$D$18)*(Inputs!$E$18-Inputs!$D$18)),Inputs!$F$18-SQRT((1-J844)*(Inputs!$F$18-Inputs!$D$18)*(Inputs!$F$18-Inputs!$E$18)))</f>
        <v>0.998668705382834</v>
      </c>
      <c r="L844" s="81" t="n">
        <f aca="true">RAND()</f>
        <v>0.820046636921849</v>
      </c>
      <c r="M844" s="83" t="n">
        <f aca="false">IF(L844&lt;(Inputs!$E$24-Inputs!$D$24)/(Inputs!$F$24-Inputs!$D$24),Inputs!$D$24+SQRT(L844*(Inputs!$F$24-Inputs!$D$24)*(Inputs!$E$24-Inputs!$D$24)),Inputs!$F$24-SQRT((1-L844)*(Inputs!$F$24-Inputs!$D$24)*(Inputs!$F$24-Inputs!$E$24)))</f>
        <v>0.992180830675425</v>
      </c>
      <c r="N844" s="81" t="n">
        <f aca="true">RAND()</f>
        <v>0.421210481029558</v>
      </c>
      <c r="O844" s="83" t="n">
        <f aca="false">IF(N844&lt;(Inputs!$E$26-Inputs!$D$26)/(Inputs!$F$26-Inputs!$D$26),Inputs!$D$26+SQRT(N844*(Inputs!$F$26-Inputs!$D$26)*(Inputs!$E$26-Inputs!$D$26)),Inputs!$F$26-SQRT((1-N844)*(Inputs!$F$26-Inputs!$D$26)*(Inputs!$F$26-Inputs!$E$26)))</f>
        <v>0.564744072725564</v>
      </c>
      <c r="P844" s="81" t="n">
        <f aca="true">RAND()</f>
        <v>0.0683770486703191</v>
      </c>
      <c r="Q844" s="82" t="n">
        <f aca="false">IF(P844&lt;(Inputs!$E$27-Inputs!$D$27)/(Inputs!$F$27-Inputs!$D$27),Inputs!$D$27+SQRT(P844*(Inputs!$F$27-Inputs!$D$27)*(Inputs!$E$27-Inputs!$D$27)),Inputs!$F$27-SQRT((1-P844)*(Inputs!$F$27-Inputs!$D$27)*(Inputs!$F$27-Inputs!$E$27)))</f>
        <v>63.0745027314922</v>
      </c>
      <c r="R844" s="81" t="n">
        <f aca="true">RAND()</f>
        <v>0.646958260035647</v>
      </c>
      <c r="S844" s="82" t="n">
        <f aca="false">IF(R844&lt;(Inputs!$E$29-Inputs!$D$29)/(Inputs!$F$29-Inputs!$D$29),Inputs!$D$29+SQRT(R844*(Inputs!$F$29-Inputs!$D$29)*(Inputs!$E$29-Inputs!$D$29)),Inputs!$F$29-SQRT((1-R844)*(Inputs!$F$29-Inputs!$D$29)*(Inputs!$F$29-Inputs!$E$29)))</f>
        <v>8.22538368648335</v>
      </c>
      <c r="T844" s="68" t="n">
        <f aca="false">Inputs!$E$9*(1+E844)+Inputs!$E$5*C844*(Inputs!$E$11*Inputs!$E$14*(G844*I844/Inputs!$E$16+(1-G844))*K844+Inputs!$E$23*M844)*(1+O844)+Inputs!$E$5*(Q844+S844)</f>
        <v>5582.4315746631</v>
      </c>
    </row>
    <row r="845" customFormat="false" ht="15" hidden="false" customHeight="false" outlineLevel="0" collapsed="false">
      <c r="A845" s="1" t="n">
        <v>841</v>
      </c>
      <c r="B845" s="81" t="n">
        <f aca="true">RAND()</f>
        <v>0.489733179259969</v>
      </c>
      <c r="C845" s="82" t="n">
        <f aca="false">ROUND(IF(B845&lt;(Inputs!$E$8-Inputs!$D$8)/(Inputs!$F$8-Inputs!$D$8),Inputs!$D$8+SQRT(B845*(Inputs!$F$8-Inputs!$D$8)*(Inputs!$E$8-Inputs!$D$8)),Inputs!$F$8-SQRT((1-B845)*(Inputs!$F$8-Inputs!$D$8)*(Inputs!$F$8-Inputs!$E$8))),0)</f>
        <v>25</v>
      </c>
      <c r="D845" s="81" t="n">
        <f aca="true">RAND()</f>
        <v>0.76534815085546</v>
      </c>
      <c r="E845" s="83" t="n">
        <f aca="false">IF(D845&lt;(Inputs!$E$10-Inputs!$D$10)/(Inputs!$F$10-Inputs!$D$10),Inputs!$D$10+SQRT(D845*(Inputs!$F$10-Inputs!$D$10)*(Inputs!$E$10-Inputs!$D$10)),Inputs!$F$10-SQRT((1-D845)*(Inputs!$F$10-Inputs!$D$10)*(Inputs!$F$10-Inputs!$E$10)))</f>
        <v>0.116097941179395</v>
      </c>
      <c r="F845" s="81" t="n">
        <f aca="true">RAND()</f>
        <v>0.634453851493976</v>
      </c>
      <c r="G845" s="83" t="n">
        <f aca="false">IF(F845&lt;(Inputs!$E$15-Inputs!$D$15)/(Inputs!$F$15-Inputs!$D$15),Inputs!$D$15+SQRT(F845*(Inputs!$F$15-Inputs!$D$15)*(Inputs!$E$15-Inputs!$D$15)),Inputs!$F$15-SQRT((1-F845)*(Inputs!$F$15-Inputs!$D$15)*(Inputs!$F$15-Inputs!$E$15)))</f>
        <v>0.714496064592789</v>
      </c>
      <c r="H845" s="81" t="n">
        <f aca="true">RAND()</f>
        <v>0.180590044164077</v>
      </c>
      <c r="I845" s="82" t="n">
        <f aca="false">ROUND(IF(H845&lt;(Inputs!$E$17-Inputs!$D$17)/(Inputs!$F$17-Inputs!$D$17),Inputs!$D$17+SQRT(H845*(Inputs!$F$17-Inputs!$D$17)*(Inputs!$E$17-Inputs!$D$17)),Inputs!$F$17-SQRT((1-H845)*(Inputs!$F$17-Inputs!$D$17)*(Inputs!$F$17-Inputs!$E$17))),0)</f>
        <v>104</v>
      </c>
      <c r="J845" s="81" t="n">
        <f aca="true">RAND()</f>
        <v>0.26427975692736</v>
      </c>
      <c r="K845" s="83" t="n">
        <f aca="false">IF(J845&lt;(Inputs!$E$18-Inputs!$D$18)/(Inputs!$F$18-Inputs!$D$18),Inputs!$D$18+SQRT(J845*(Inputs!$F$18-Inputs!$D$18)*(Inputs!$E$18-Inputs!$D$18)),Inputs!$F$18-SQRT((1-J845)*(Inputs!$F$18-Inputs!$D$18)*(Inputs!$F$18-Inputs!$E$18)))</f>
        <v>0.996175836323151</v>
      </c>
      <c r="L845" s="81" t="n">
        <f aca="true">RAND()</f>
        <v>0.80521071409145</v>
      </c>
      <c r="M845" s="83" t="n">
        <f aca="false">IF(L845&lt;(Inputs!$E$24-Inputs!$D$24)/(Inputs!$F$24-Inputs!$D$24),Inputs!$D$24+SQRT(L845*(Inputs!$F$24-Inputs!$D$24)*(Inputs!$E$24-Inputs!$D$24)),Inputs!$F$24-SQRT((1-L845)*(Inputs!$F$24-Inputs!$D$24)*(Inputs!$F$24-Inputs!$E$24)))</f>
        <v>0.983783838212653</v>
      </c>
      <c r="N845" s="81" t="n">
        <f aca="true">RAND()</f>
        <v>0.241946795269221</v>
      </c>
      <c r="O845" s="83" t="n">
        <f aca="false">IF(N845&lt;(Inputs!$E$26-Inputs!$D$26)/(Inputs!$F$26-Inputs!$D$26),Inputs!$D$26+SQRT(N845*(Inputs!$F$26-Inputs!$D$26)*(Inputs!$E$26-Inputs!$D$26)),Inputs!$F$26-SQRT((1-N845)*(Inputs!$F$26-Inputs!$D$26)*(Inputs!$F$26-Inputs!$E$26)))</f>
        <v>0.500648814431579</v>
      </c>
      <c r="P845" s="81" t="n">
        <f aca="true">RAND()</f>
        <v>0.130380414344472</v>
      </c>
      <c r="Q845" s="82" t="n">
        <f aca="false">IF(P845&lt;(Inputs!$E$27-Inputs!$D$27)/(Inputs!$F$27-Inputs!$D$27),Inputs!$D$27+SQRT(P845*(Inputs!$F$27-Inputs!$D$27)*(Inputs!$E$27-Inputs!$D$27)),Inputs!$F$27-SQRT((1-P845)*(Inputs!$F$27-Inputs!$D$27)*(Inputs!$F$27-Inputs!$E$27)))</f>
        <v>68.0541140979329</v>
      </c>
      <c r="R845" s="81" t="n">
        <f aca="true">RAND()</f>
        <v>0.18765847476949</v>
      </c>
      <c r="S845" s="82" t="n">
        <f aca="false">IF(R845&lt;(Inputs!$E$29-Inputs!$D$29)/(Inputs!$F$29-Inputs!$D$29),Inputs!$D$29+SQRT(R845*(Inputs!$F$29-Inputs!$D$29)*(Inputs!$E$29-Inputs!$D$29)),Inputs!$F$29-SQRT((1-R845)*(Inputs!$F$29-Inputs!$D$29)*(Inputs!$F$29-Inputs!$E$29)))</f>
        <v>4.70530599304591</v>
      </c>
      <c r="T845" s="68" t="n">
        <f aca="false">Inputs!$E$9*(1+E845)+Inputs!$E$5*C845*(Inputs!$E$11*Inputs!$E$14*(G845*I845/Inputs!$E$16+(1-G845))*K845+Inputs!$E$23*M845)*(1+O845)+Inputs!$E$5*(Q845+S845)</f>
        <v>6112.81320700261</v>
      </c>
    </row>
    <row r="846" customFormat="false" ht="15" hidden="false" customHeight="false" outlineLevel="0" collapsed="false">
      <c r="A846" s="1" t="n">
        <v>842</v>
      </c>
      <c r="B846" s="81" t="n">
        <f aca="true">RAND()</f>
        <v>0.404546617229285</v>
      </c>
      <c r="C846" s="82" t="n">
        <f aca="false">ROUND(IF(B846&lt;(Inputs!$E$8-Inputs!$D$8)/(Inputs!$F$8-Inputs!$D$8),Inputs!$D$8+SQRT(B846*(Inputs!$F$8-Inputs!$D$8)*(Inputs!$E$8-Inputs!$D$8)),Inputs!$F$8-SQRT((1-B846)*(Inputs!$F$8-Inputs!$D$8)*(Inputs!$F$8-Inputs!$E$8))),0)</f>
        <v>24</v>
      </c>
      <c r="D846" s="81" t="n">
        <f aca="true">RAND()</f>
        <v>0.786962719416211</v>
      </c>
      <c r="E846" s="83" t="n">
        <f aca="false">IF(D846&lt;(Inputs!$E$10-Inputs!$D$10)/(Inputs!$F$10-Inputs!$D$10),Inputs!$D$10+SQRT(D846*(Inputs!$F$10-Inputs!$D$10)*(Inputs!$E$10-Inputs!$D$10)),Inputs!$F$10-SQRT((1-D846)*(Inputs!$F$10-Inputs!$D$10)*(Inputs!$F$10-Inputs!$E$10)))</f>
        <v>0.120055529162339</v>
      </c>
      <c r="F846" s="81" t="n">
        <f aca="true">RAND()</f>
        <v>0.726009284924001</v>
      </c>
      <c r="G846" s="83" t="n">
        <f aca="false">IF(F846&lt;(Inputs!$E$15-Inputs!$D$15)/(Inputs!$F$15-Inputs!$D$15),Inputs!$D$15+SQRT(F846*(Inputs!$F$15-Inputs!$D$15)*(Inputs!$E$15-Inputs!$D$15)),Inputs!$F$15-SQRT((1-F846)*(Inputs!$F$15-Inputs!$D$15)*(Inputs!$F$15-Inputs!$E$15)))</f>
        <v>0.725974232178788</v>
      </c>
      <c r="H846" s="81" t="n">
        <f aca="true">RAND()</f>
        <v>0.0555418691791443</v>
      </c>
      <c r="I846" s="82" t="n">
        <f aca="false">ROUND(IF(H846&lt;(Inputs!$E$17-Inputs!$D$17)/(Inputs!$F$17-Inputs!$D$17),Inputs!$D$17+SQRT(H846*(Inputs!$F$17-Inputs!$D$17)*(Inputs!$E$17-Inputs!$D$17)),Inputs!$F$17-SQRT((1-H846)*(Inputs!$F$17-Inputs!$D$17)*(Inputs!$F$17-Inputs!$E$17))),0)</f>
        <v>102</v>
      </c>
      <c r="J846" s="81" t="n">
        <f aca="true">RAND()</f>
        <v>0.0462517212822524</v>
      </c>
      <c r="K846" s="83" t="n">
        <f aca="false">IF(J846&lt;(Inputs!$E$18-Inputs!$D$18)/(Inputs!$F$18-Inputs!$D$18),Inputs!$D$18+SQRT(J846*(Inputs!$F$18-Inputs!$D$18)*(Inputs!$E$18-Inputs!$D$18)),Inputs!$F$18-SQRT((1-J846)*(Inputs!$F$18-Inputs!$D$18)*(Inputs!$F$18-Inputs!$E$18)))</f>
        <v>0.940234441028537</v>
      </c>
      <c r="L846" s="81" t="n">
        <f aca="true">RAND()</f>
        <v>0.101432150995501</v>
      </c>
      <c r="M846" s="83" t="n">
        <f aca="false">IF(L846&lt;(Inputs!$E$24-Inputs!$D$24)/(Inputs!$F$24-Inputs!$D$24),Inputs!$D$24+SQRT(L846*(Inputs!$F$24-Inputs!$D$24)*(Inputs!$E$24-Inputs!$D$24)),Inputs!$F$24-SQRT((1-L846)*(Inputs!$F$24-Inputs!$D$24)*(Inputs!$F$24-Inputs!$E$24)))</f>
        <v>0.710326144315208</v>
      </c>
      <c r="N846" s="81" t="n">
        <f aca="true">RAND()</f>
        <v>0.805731407114313</v>
      </c>
      <c r="O846" s="83" t="n">
        <f aca="false">IF(N846&lt;(Inputs!$E$26-Inputs!$D$26)/(Inputs!$F$26-Inputs!$D$26),Inputs!$D$26+SQRT(N846*(Inputs!$F$26-Inputs!$D$26)*(Inputs!$E$26-Inputs!$D$26)),Inputs!$F$26-SQRT((1-N846)*(Inputs!$F$26-Inputs!$D$26)*(Inputs!$F$26-Inputs!$E$26)))</f>
        <v>0.67785945807015</v>
      </c>
      <c r="P846" s="81" t="n">
        <f aca="true">RAND()</f>
        <v>0.0536675653478896</v>
      </c>
      <c r="Q846" s="82" t="n">
        <f aca="false">IF(P846&lt;(Inputs!$E$27-Inputs!$D$27)/(Inputs!$F$27-Inputs!$D$27),Inputs!$D$27+SQRT(P846*(Inputs!$F$27-Inputs!$D$27)*(Inputs!$E$27-Inputs!$D$27)),Inputs!$F$27-SQRT((1-P846)*(Inputs!$F$27-Inputs!$D$27)*(Inputs!$F$27-Inputs!$E$27)))</f>
        <v>61.5831305513546</v>
      </c>
      <c r="R846" s="81" t="n">
        <f aca="true">RAND()</f>
        <v>0.0725906141788722</v>
      </c>
      <c r="S846" s="82" t="n">
        <f aca="false">IF(R846&lt;(Inputs!$E$29-Inputs!$D$29)/(Inputs!$F$29-Inputs!$D$29),Inputs!$D$29+SQRT(R846*(Inputs!$F$29-Inputs!$D$29)*(Inputs!$E$29-Inputs!$D$29)),Inputs!$F$29-SQRT((1-R846)*(Inputs!$F$29-Inputs!$D$29)*(Inputs!$F$29-Inputs!$E$29)))</f>
        <v>3.68256766668566</v>
      </c>
      <c r="T846" s="68" t="n">
        <f aca="false">Inputs!$E$9*(1+E846)+Inputs!$E$5*C846*(Inputs!$E$11*Inputs!$E$14*(G846*I846/Inputs!$E$16+(1-G846))*K846+Inputs!$E$23*M846)*(1+O846)+Inputs!$E$5*(Q846+S846)</f>
        <v>5776.35152004017</v>
      </c>
    </row>
    <row r="847" customFormat="false" ht="15" hidden="false" customHeight="false" outlineLevel="0" collapsed="false">
      <c r="A847" s="1" t="n">
        <v>843</v>
      </c>
      <c r="B847" s="81" t="n">
        <f aca="true">RAND()</f>
        <v>0.764175768631032</v>
      </c>
      <c r="C847" s="82" t="n">
        <f aca="false">ROUND(IF(B847&lt;(Inputs!$E$8-Inputs!$D$8)/(Inputs!$F$8-Inputs!$D$8),Inputs!$D$8+SQRT(B847*(Inputs!$F$8-Inputs!$D$8)*(Inputs!$E$8-Inputs!$D$8)),Inputs!$F$8-SQRT((1-B847)*(Inputs!$F$8-Inputs!$D$8)*(Inputs!$F$8-Inputs!$E$8))),0)</f>
        <v>27</v>
      </c>
      <c r="D847" s="81" t="n">
        <f aca="true">RAND()</f>
        <v>0.208928103664059</v>
      </c>
      <c r="E847" s="83" t="n">
        <f aca="false">IF(D847&lt;(Inputs!$E$10-Inputs!$D$10)/(Inputs!$F$10-Inputs!$D$10),Inputs!$D$10+SQRT(D847*(Inputs!$F$10-Inputs!$D$10)*(Inputs!$E$10-Inputs!$D$10)),Inputs!$F$10-SQRT((1-D847)*(Inputs!$F$10-Inputs!$D$10)*(Inputs!$F$10-Inputs!$E$10)))</f>
        <v>0.0457086538484847</v>
      </c>
      <c r="F847" s="81" t="n">
        <f aca="true">RAND()</f>
        <v>0.374084460420097</v>
      </c>
      <c r="G847" s="83" t="n">
        <f aca="false">IF(F847&lt;(Inputs!$E$15-Inputs!$D$15)/(Inputs!$F$15-Inputs!$D$15),Inputs!$D$15+SQRT(F847*(Inputs!$F$15-Inputs!$D$15)*(Inputs!$E$15-Inputs!$D$15)),Inputs!$F$15-SQRT((1-F847)*(Inputs!$F$15-Inputs!$D$15)*(Inputs!$F$15-Inputs!$E$15)))</f>
        <v>0.686496758369328</v>
      </c>
      <c r="H847" s="81" t="n">
        <f aca="true">RAND()</f>
        <v>0.483950594602636</v>
      </c>
      <c r="I847" s="82" t="n">
        <f aca="false">ROUND(IF(H847&lt;(Inputs!$E$17-Inputs!$D$17)/(Inputs!$F$17-Inputs!$D$17),Inputs!$D$17+SQRT(H847*(Inputs!$F$17-Inputs!$D$17)*(Inputs!$E$17-Inputs!$D$17)),Inputs!$F$17-SQRT((1-H847)*(Inputs!$F$17-Inputs!$D$17)*(Inputs!$F$17-Inputs!$E$17))),0)</f>
        <v>106</v>
      </c>
      <c r="J847" s="81" t="n">
        <f aca="true">RAND()</f>
        <v>0.03198431983201</v>
      </c>
      <c r="K847" s="83" t="n">
        <f aca="false">IF(J847&lt;(Inputs!$E$18-Inputs!$D$18)/(Inputs!$F$18-Inputs!$D$18),Inputs!$D$18+SQRT(J847*(Inputs!$F$18-Inputs!$D$18)*(Inputs!$E$18-Inputs!$D$18)),Inputs!$F$18-SQRT((1-J847)*(Inputs!$F$18-Inputs!$D$18)*(Inputs!$F$18-Inputs!$E$18)))</f>
        <v>0.933458200700581</v>
      </c>
      <c r="L847" s="81" t="n">
        <f aca="true">RAND()</f>
        <v>0.596967816084268</v>
      </c>
      <c r="M847" s="83" t="n">
        <f aca="false">IF(L847&lt;(Inputs!$E$24-Inputs!$D$24)/(Inputs!$F$24-Inputs!$D$24),Inputs!$D$24+SQRT(L847*(Inputs!$F$24-Inputs!$D$24)*(Inputs!$E$24-Inputs!$D$24)),Inputs!$F$24-SQRT((1-L847)*(Inputs!$F$24-Inputs!$D$24)*(Inputs!$F$24-Inputs!$E$24)))</f>
        <v>0.888989189673774</v>
      </c>
      <c r="N847" s="81" t="n">
        <f aca="true">RAND()</f>
        <v>0.67566227520474</v>
      </c>
      <c r="O847" s="83" t="n">
        <f aca="false">IF(N847&lt;(Inputs!$E$26-Inputs!$D$26)/(Inputs!$F$26-Inputs!$D$26),Inputs!$D$26+SQRT(N847*(Inputs!$F$26-Inputs!$D$26)*(Inputs!$E$26-Inputs!$D$26)),Inputs!$F$26-SQRT((1-N847)*(Inputs!$F$26-Inputs!$D$26)*(Inputs!$F$26-Inputs!$E$26)))</f>
        <v>0.636339652132783</v>
      </c>
      <c r="P847" s="81" t="n">
        <f aca="true">RAND()</f>
        <v>0.395616287025957</v>
      </c>
      <c r="Q847" s="82" t="n">
        <f aca="false">IF(P847&lt;(Inputs!$E$27-Inputs!$D$27)/(Inputs!$F$27-Inputs!$D$27),Inputs!$D$27+SQRT(P847*(Inputs!$F$27-Inputs!$D$27)*(Inputs!$E$27-Inputs!$D$27)),Inputs!$F$27-SQRT((1-P847)*(Inputs!$F$27-Inputs!$D$27)*(Inputs!$F$27-Inputs!$E$27)))</f>
        <v>82.6733496503404</v>
      </c>
      <c r="R847" s="81" t="n">
        <f aca="true">RAND()</f>
        <v>0.277687069933673</v>
      </c>
      <c r="S847" s="82" t="n">
        <f aca="false">IF(R847&lt;(Inputs!$E$29-Inputs!$D$29)/(Inputs!$F$29-Inputs!$D$29),Inputs!$D$29+SQRT(R847*(Inputs!$F$29-Inputs!$D$29)*(Inputs!$E$29-Inputs!$D$29)),Inputs!$F$29-SQRT((1-R847)*(Inputs!$F$29-Inputs!$D$29)*(Inputs!$F$29-Inputs!$E$29)))</f>
        <v>5.30976362988898</v>
      </c>
      <c r="T847" s="68" t="n">
        <f aca="false">Inputs!$E$9*(1+E847)+Inputs!$E$5*C847*(Inputs!$E$11*Inputs!$E$14*(G847*I847/Inputs!$E$16+(1-G847))*K847+Inputs!$E$23*M847)*(1+O847)+Inputs!$E$5*(Q847+S847)</f>
        <v>6385.75565051611</v>
      </c>
    </row>
    <row r="848" customFormat="false" ht="15" hidden="false" customHeight="false" outlineLevel="0" collapsed="false">
      <c r="A848" s="1" t="n">
        <v>844</v>
      </c>
      <c r="B848" s="81" t="n">
        <f aca="true">RAND()</f>
        <v>0.41397889929307</v>
      </c>
      <c r="C848" s="82" t="n">
        <f aca="false">ROUND(IF(B848&lt;(Inputs!$E$8-Inputs!$D$8)/(Inputs!$F$8-Inputs!$D$8),Inputs!$D$8+SQRT(B848*(Inputs!$F$8-Inputs!$D$8)*(Inputs!$E$8-Inputs!$D$8)),Inputs!$F$8-SQRT((1-B848)*(Inputs!$F$8-Inputs!$D$8)*(Inputs!$F$8-Inputs!$E$8))),0)</f>
        <v>25</v>
      </c>
      <c r="D848" s="81" t="n">
        <f aca="true">RAND()</f>
        <v>0.962483406158682</v>
      </c>
      <c r="E848" s="83" t="n">
        <f aca="false">IF(D848&lt;(Inputs!$E$10-Inputs!$D$10)/(Inputs!$F$10-Inputs!$D$10),Inputs!$D$10+SQRT(D848*(Inputs!$F$10-Inputs!$D$10)*(Inputs!$E$10-Inputs!$D$10)),Inputs!$F$10-SQRT((1-D848)*(Inputs!$F$10-Inputs!$D$10)*(Inputs!$F$10-Inputs!$E$10)))</f>
        <v>0.166451560166834</v>
      </c>
      <c r="F848" s="81" t="n">
        <f aca="true">RAND()</f>
        <v>0.489086271521825</v>
      </c>
      <c r="G848" s="83" t="n">
        <f aca="false">IF(F848&lt;(Inputs!$E$15-Inputs!$D$15)/(Inputs!$F$15-Inputs!$D$15),Inputs!$D$15+SQRT(F848*(Inputs!$F$15-Inputs!$D$15)*(Inputs!$E$15-Inputs!$D$15)),Inputs!$F$15-SQRT((1-F848)*(Inputs!$F$15-Inputs!$D$15)*(Inputs!$F$15-Inputs!$E$15)))</f>
        <v>0.698902605781832</v>
      </c>
      <c r="H848" s="81" t="n">
        <f aca="true">RAND()</f>
        <v>0.737399055923469</v>
      </c>
      <c r="I848" s="82" t="n">
        <f aca="false">ROUND(IF(H848&lt;(Inputs!$E$17-Inputs!$D$17)/(Inputs!$F$17-Inputs!$D$17),Inputs!$D$17+SQRT(H848*(Inputs!$F$17-Inputs!$D$17)*(Inputs!$E$17-Inputs!$D$17)),Inputs!$F$17-SQRT((1-H848)*(Inputs!$F$17-Inputs!$D$17)*(Inputs!$F$17-Inputs!$E$17))),0)</f>
        <v>109</v>
      </c>
      <c r="J848" s="81" t="n">
        <f aca="true">RAND()</f>
        <v>0.926735475860823</v>
      </c>
      <c r="K848" s="83" t="n">
        <f aca="false">IF(J848&lt;(Inputs!$E$18-Inputs!$D$18)/(Inputs!$F$18-Inputs!$D$18),Inputs!$D$18+SQRT(J848*(Inputs!$F$18-Inputs!$D$18)*(Inputs!$E$18-Inputs!$D$18)),Inputs!$F$18-SQRT((1-J848)*(Inputs!$F$18-Inputs!$D$18)*(Inputs!$F$18-Inputs!$E$18)))</f>
        <v>1.16993349100793</v>
      </c>
      <c r="L848" s="81" t="n">
        <f aca="true">RAND()</f>
        <v>0.339053126043158</v>
      </c>
      <c r="M848" s="83" t="n">
        <f aca="false">IF(L848&lt;(Inputs!$E$24-Inputs!$D$24)/(Inputs!$F$24-Inputs!$D$24),Inputs!$D$24+SQRT(L848*(Inputs!$F$24-Inputs!$D$24)*(Inputs!$E$24-Inputs!$D$24)),Inputs!$F$24-SQRT((1-L848)*(Inputs!$F$24-Inputs!$D$24)*(Inputs!$F$24-Inputs!$E$24)))</f>
        <v>0.801719634240348</v>
      </c>
      <c r="N848" s="81" t="n">
        <f aca="true">RAND()</f>
        <v>0.128062043846432</v>
      </c>
      <c r="O848" s="83" t="n">
        <f aca="false">IF(N848&lt;(Inputs!$E$26-Inputs!$D$26)/(Inputs!$F$26-Inputs!$D$26),Inputs!$D$26+SQRT(N848*(Inputs!$F$26-Inputs!$D$26)*(Inputs!$E$26-Inputs!$D$26)),Inputs!$F$26-SQRT((1-N848)*(Inputs!$F$26-Inputs!$D$26)*(Inputs!$F$26-Inputs!$E$26)))</f>
        <v>0.445977820562051</v>
      </c>
      <c r="P848" s="81" t="n">
        <f aca="true">RAND()</f>
        <v>0.723661503834579</v>
      </c>
      <c r="Q848" s="82" t="n">
        <f aca="false">IF(P848&lt;(Inputs!$E$27-Inputs!$D$27)/(Inputs!$F$27-Inputs!$D$27),Inputs!$D$27+SQRT(P848*(Inputs!$F$27-Inputs!$D$27)*(Inputs!$E$27-Inputs!$D$27)),Inputs!$F$27-SQRT((1-P848)*(Inputs!$F$27-Inputs!$D$27)*(Inputs!$F$27-Inputs!$E$27)))</f>
        <v>104.474856164525</v>
      </c>
      <c r="R848" s="81" t="n">
        <f aca="true">RAND()</f>
        <v>0.0303483743494043</v>
      </c>
      <c r="S848" s="82" t="n">
        <f aca="false">IF(R848&lt;(Inputs!$E$29-Inputs!$D$29)/(Inputs!$F$29-Inputs!$D$29),Inputs!$D$29+SQRT(R848*(Inputs!$F$29-Inputs!$D$29)*(Inputs!$E$29-Inputs!$D$29)),Inputs!$F$29-SQRT((1-R848)*(Inputs!$F$29-Inputs!$D$29)*(Inputs!$F$29-Inputs!$E$29)))</f>
        <v>3.08792766286494</v>
      </c>
      <c r="T848" s="68" t="n">
        <f aca="false">Inputs!$E$9*(1+E848)+Inputs!$E$5*C848*(Inputs!$E$11*Inputs!$E$14*(G848*I848/Inputs!$E$16+(1-G848))*K848+Inputs!$E$23*M848)*(1+O848)+Inputs!$E$5*(Q848+S848)</f>
        <v>6459.14178334467</v>
      </c>
    </row>
    <row r="849" customFormat="false" ht="15" hidden="false" customHeight="false" outlineLevel="0" collapsed="false">
      <c r="A849" s="1" t="n">
        <v>845</v>
      </c>
      <c r="B849" s="81" t="n">
        <f aca="true">RAND()</f>
        <v>0.86473884420056</v>
      </c>
      <c r="C849" s="82" t="n">
        <f aca="false">ROUND(IF(B849&lt;(Inputs!$E$8-Inputs!$D$8)/(Inputs!$F$8-Inputs!$D$8),Inputs!$D$8+SQRT(B849*(Inputs!$F$8-Inputs!$D$8)*(Inputs!$E$8-Inputs!$D$8)),Inputs!$F$8-SQRT((1-B849)*(Inputs!$F$8-Inputs!$D$8)*(Inputs!$F$8-Inputs!$E$8))),0)</f>
        <v>27</v>
      </c>
      <c r="D849" s="81" t="n">
        <f aca="true">RAND()</f>
        <v>0.777193672174816</v>
      </c>
      <c r="E849" s="83" t="n">
        <f aca="false">IF(D849&lt;(Inputs!$E$10-Inputs!$D$10)/(Inputs!$F$10-Inputs!$D$10),Inputs!$D$10+SQRT(D849*(Inputs!$F$10-Inputs!$D$10)*(Inputs!$E$10-Inputs!$D$10)),Inputs!$F$10-SQRT((1-D849)*(Inputs!$F$10-Inputs!$D$10)*(Inputs!$F$10-Inputs!$E$10)))</f>
        <v>0.118243105276952</v>
      </c>
      <c r="F849" s="81" t="n">
        <f aca="true">RAND()</f>
        <v>0.156421976443961</v>
      </c>
      <c r="G849" s="83" t="n">
        <f aca="false">IF(F849&lt;(Inputs!$E$15-Inputs!$D$15)/(Inputs!$F$15-Inputs!$D$15),Inputs!$D$15+SQRT(F849*(Inputs!$F$15-Inputs!$D$15)*(Inputs!$E$15-Inputs!$D$15)),Inputs!$F$15-SQRT((1-F849)*(Inputs!$F$15-Inputs!$D$15)*(Inputs!$F$15-Inputs!$E$15)))</f>
        <v>0.655932455058572</v>
      </c>
      <c r="H849" s="81" t="n">
        <f aca="true">RAND()</f>
        <v>0.663434706237084</v>
      </c>
      <c r="I849" s="82" t="n">
        <f aca="false">ROUND(IF(H849&lt;(Inputs!$E$17-Inputs!$D$17)/(Inputs!$F$17-Inputs!$D$17),Inputs!$D$17+SQRT(H849*(Inputs!$F$17-Inputs!$D$17)*(Inputs!$E$17-Inputs!$D$17)),Inputs!$F$17-SQRT((1-H849)*(Inputs!$F$17-Inputs!$D$17)*(Inputs!$F$17-Inputs!$E$17))),0)</f>
        <v>108</v>
      </c>
      <c r="J849" s="81" t="n">
        <f aca="true">RAND()</f>
        <v>0.0599740085646767</v>
      </c>
      <c r="K849" s="83" t="n">
        <f aca="false">IF(J849&lt;(Inputs!$E$18-Inputs!$D$18)/(Inputs!$F$18-Inputs!$D$18),Inputs!$D$18+SQRT(J849*(Inputs!$F$18-Inputs!$D$18)*(Inputs!$E$18-Inputs!$D$18)),Inputs!$F$18-SQRT((1-J849)*(Inputs!$F$18-Inputs!$D$18)*(Inputs!$F$18-Inputs!$E$18)))</f>
        <v>0.945815830231086</v>
      </c>
      <c r="L849" s="81" t="n">
        <f aca="true">RAND()</f>
        <v>0.969076119549797</v>
      </c>
      <c r="M849" s="83" t="n">
        <f aca="false">IF(L849&lt;(Inputs!$E$24-Inputs!$D$24)/(Inputs!$F$24-Inputs!$D$24),Inputs!$D$24+SQRT(L849*(Inputs!$F$24-Inputs!$D$24)*(Inputs!$E$24-Inputs!$D$24)),Inputs!$F$24-SQRT((1-L849)*(Inputs!$F$24-Inputs!$D$24)*(Inputs!$F$24-Inputs!$E$24)))</f>
        <v>1.11385052926426</v>
      </c>
      <c r="N849" s="81" t="n">
        <f aca="true">RAND()</f>
        <v>0.0727109830474286</v>
      </c>
      <c r="O849" s="83" t="n">
        <f aca="false">IF(N849&lt;(Inputs!$E$26-Inputs!$D$26)/(Inputs!$F$26-Inputs!$D$26),Inputs!$D$26+SQRT(N849*(Inputs!$F$26-Inputs!$D$26)*(Inputs!$E$26-Inputs!$D$26)),Inputs!$F$26-SQRT((1-N849)*(Inputs!$F$26-Inputs!$D$26)*(Inputs!$F$26-Inputs!$E$26)))</f>
        <v>0.40999594346653</v>
      </c>
      <c r="P849" s="81" t="n">
        <f aca="true">RAND()</f>
        <v>0.658747322537755</v>
      </c>
      <c r="Q849" s="82" t="n">
        <f aca="false">IF(P849&lt;(Inputs!$E$27-Inputs!$D$27)/(Inputs!$F$27-Inputs!$D$27),Inputs!$D$27+SQRT(P849*(Inputs!$F$27-Inputs!$D$27)*(Inputs!$E$27-Inputs!$D$27)),Inputs!$F$27-SQRT((1-P849)*(Inputs!$F$27-Inputs!$D$27)*(Inputs!$F$27-Inputs!$E$27)))</f>
        <v>99.4095356715632</v>
      </c>
      <c r="R849" s="81" t="n">
        <f aca="true">RAND()</f>
        <v>0.914610778850361</v>
      </c>
      <c r="S849" s="82" t="n">
        <f aca="false">IF(R849&lt;(Inputs!$E$29-Inputs!$D$29)/(Inputs!$F$29-Inputs!$D$29),Inputs!$D$29+SQRT(R849*(Inputs!$F$29-Inputs!$D$29)*(Inputs!$E$29-Inputs!$D$29)),Inputs!$F$29-SQRT((1-R849)*(Inputs!$F$29-Inputs!$D$29)*(Inputs!$F$29-Inputs!$E$29)))</f>
        <v>11.6682438940623</v>
      </c>
      <c r="T849" s="68" t="n">
        <f aca="false">Inputs!$E$9*(1+E849)+Inputs!$E$5*C849*(Inputs!$E$11*Inputs!$E$14*(G849*I849/Inputs!$E$16+(1-G849))*K849+Inputs!$E$23*M849)*(1+O849)+Inputs!$E$5*(Q849+S849)</f>
        <v>6543.23669546373</v>
      </c>
    </row>
    <row r="850" customFormat="false" ht="15" hidden="false" customHeight="false" outlineLevel="0" collapsed="false">
      <c r="A850" s="1" t="n">
        <v>846</v>
      </c>
      <c r="B850" s="81" t="n">
        <f aca="true">RAND()</f>
        <v>0.352901302866421</v>
      </c>
      <c r="C850" s="82" t="n">
        <f aca="false">ROUND(IF(B850&lt;(Inputs!$E$8-Inputs!$D$8)/(Inputs!$F$8-Inputs!$D$8),Inputs!$D$8+SQRT(B850*(Inputs!$F$8-Inputs!$D$8)*(Inputs!$E$8-Inputs!$D$8)),Inputs!$F$8-SQRT((1-B850)*(Inputs!$F$8-Inputs!$D$8)*(Inputs!$F$8-Inputs!$E$8))),0)</f>
        <v>24</v>
      </c>
      <c r="D850" s="81" t="n">
        <f aca="true">RAND()</f>
        <v>0.149182979172435</v>
      </c>
      <c r="E850" s="83" t="n">
        <f aca="false">IF(D850&lt;(Inputs!$E$10-Inputs!$D$10)/(Inputs!$F$10-Inputs!$D$10),Inputs!$D$10+SQRT(D850*(Inputs!$F$10-Inputs!$D$10)*(Inputs!$E$10-Inputs!$D$10)),Inputs!$F$10-SQRT((1-D850)*(Inputs!$F$10-Inputs!$D$10)*(Inputs!$F$10-Inputs!$E$10)))</f>
        <v>0.0386242125062032</v>
      </c>
      <c r="F850" s="81" t="n">
        <f aca="true">RAND()</f>
        <v>0.704446666181635</v>
      </c>
      <c r="G850" s="83" t="n">
        <f aca="false">IF(F850&lt;(Inputs!$E$15-Inputs!$D$15)/(Inputs!$F$15-Inputs!$D$15),Inputs!$D$15+SQRT(F850*(Inputs!$F$15-Inputs!$D$15)*(Inputs!$E$15-Inputs!$D$15)),Inputs!$F$15-SQRT((1-F850)*(Inputs!$F$15-Inputs!$D$15)*(Inputs!$F$15-Inputs!$E$15)))</f>
        <v>0.723116538342975</v>
      </c>
      <c r="H850" s="81" t="n">
        <f aca="true">RAND()</f>
        <v>0.272617285933086</v>
      </c>
      <c r="I850" s="82" t="n">
        <f aca="false">ROUND(IF(H850&lt;(Inputs!$E$17-Inputs!$D$17)/(Inputs!$F$17-Inputs!$D$17),Inputs!$D$17+SQRT(H850*(Inputs!$F$17-Inputs!$D$17)*(Inputs!$E$17-Inputs!$D$17)),Inputs!$F$17-SQRT((1-H850)*(Inputs!$F$17-Inputs!$D$17)*(Inputs!$F$17-Inputs!$E$17))),0)</f>
        <v>105</v>
      </c>
      <c r="J850" s="81" t="n">
        <f aca="true">RAND()</f>
        <v>0.583595774720214</v>
      </c>
      <c r="K850" s="83" t="n">
        <f aca="false">IF(J850&lt;(Inputs!$E$18-Inputs!$D$18)/(Inputs!$F$18-Inputs!$D$18),Inputs!$D$18+SQRT(J850*(Inputs!$F$18-Inputs!$D$18)*(Inputs!$E$18-Inputs!$D$18)),Inputs!$F$18-SQRT((1-J850)*(Inputs!$F$18-Inputs!$D$18)*(Inputs!$F$18-Inputs!$E$18)))</f>
        <v>1.05911948839135</v>
      </c>
      <c r="L850" s="81" t="n">
        <f aca="true">RAND()</f>
        <v>0.596912477926856</v>
      </c>
      <c r="M850" s="83" t="n">
        <f aca="false">IF(L850&lt;(Inputs!$E$24-Inputs!$D$24)/(Inputs!$F$24-Inputs!$D$24),Inputs!$D$24+SQRT(L850*(Inputs!$F$24-Inputs!$D$24)*(Inputs!$E$24-Inputs!$D$24)),Inputs!$F$24-SQRT((1-L850)*(Inputs!$F$24-Inputs!$D$24)*(Inputs!$F$24-Inputs!$E$24)))</f>
        <v>0.888967838805125</v>
      </c>
      <c r="N850" s="81" t="n">
        <f aca="true">RAND()</f>
        <v>0.424967591816722</v>
      </c>
      <c r="O850" s="83" t="n">
        <f aca="false">IF(N850&lt;(Inputs!$E$26-Inputs!$D$26)/(Inputs!$F$26-Inputs!$D$26),Inputs!$D$26+SQRT(N850*(Inputs!$F$26-Inputs!$D$26)*(Inputs!$E$26-Inputs!$D$26)),Inputs!$F$26-SQRT((1-N850)*(Inputs!$F$26-Inputs!$D$26)*(Inputs!$F$26-Inputs!$E$26)))</f>
        <v>0.565922182749583</v>
      </c>
      <c r="P850" s="81" t="n">
        <f aca="true">RAND()</f>
        <v>0.712805122977234</v>
      </c>
      <c r="Q850" s="82" t="n">
        <f aca="false">IF(P850&lt;(Inputs!$E$27-Inputs!$D$27)/(Inputs!$F$27-Inputs!$D$27),Inputs!$D$27+SQRT(P850*(Inputs!$F$27-Inputs!$D$27)*(Inputs!$E$27-Inputs!$D$27)),Inputs!$F$27-SQRT((1-P850)*(Inputs!$F$27-Inputs!$D$27)*(Inputs!$F$27-Inputs!$E$27)))</f>
        <v>103.589208392113</v>
      </c>
      <c r="R850" s="81" t="n">
        <f aca="true">RAND()</f>
        <v>0.331375881206143</v>
      </c>
      <c r="S850" s="82" t="n">
        <f aca="false">IF(R850&lt;(Inputs!$E$29-Inputs!$D$29)/(Inputs!$F$29-Inputs!$D$29),Inputs!$D$29+SQRT(R850*(Inputs!$F$29-Inputs!$D$29)*(Inputs!$E$29-Inputs!$D$29)),Inputs!$F$29-SQRT((1-R850)*(Inputs!$F$29-Inputs!$D$29)*(Inputs!$F$29-Inputs!$E$29)))</f>
        <v>5.67684948940534</v>
      </c>
      <c r="T850" s="68" t="n">
        <f aca="false">Inputs!$E$9*(1+E850)+Inputs!$E$5*C850*(Inputs!$E$11*Inputs!$E$14*(G850*I850/Inputs!$E$16+(1-G850))*K850+Inputs!$E$23*M850)*(1+O850)+Inputs!$E$5*(Q850+S850)</f>
        <v>6129.24856242987</v>
      </c>
    </row>
    <row r="851" customFormat="false" ht="15" hidden="false" customHeight="false" outlineLevel="0" collapsed="false">
      <c r="A851" s="1" t="n">
        <v>847</v>
      </c>
      <c r="B851" s="81" t="n">
        <f aca="true">RAND()</f>
        <v>0.0814909616807001</v>
      </c>
      <c r="C851" s="82" t="n">
        <f aca="false">ROUND(IF(B851&lt;(Inputs!$E$8-Inputs!$D$8)/(Inputs!$F$8-Inputs!$D$8),Inputs!$D$8+SQRT(B851*(Inputs!$F$8-Inputs!$D$8)*(Inputs!$E$8-Inputs!$D$8)),Inputs!$F$8-SQRT((1-B851)*(Inputs!$F$8-Inputs!$D$8)*(Inputs!$F$8-Inputs!$E$8))),0)</f>
        <v>22</v>
      </c>
      <c r="D851" s="81" t="n">
        <f aca="true">RAND()</f>
        <v>0.0705362554667158</v>
      </c>
      <c r="E851" s="83" t="n">
        <f aca="false">IF(D851&lt;(Inputs!$E$10-Inputs!$D$10)/(Inputs!$F$10-Inputs!$D$10),Inputs!$D$10+SQRT(D851*(Inputs!$F$10-Inputs!$D$10)*(Inputs!$E$10-Inputs!$D$10)),Inputs!$F$10-SQRT((1-D851)*(Inputs!$F$10-Inputs!$D$10)*(Inputs!$F$10-Inputs!$E$10)))</f>
        <v>0.0265586625165342</v>
      </c>
      <c r="F851" s="81" t="n">
        <f aca="true">RAND()</f>
        <v>0.605098508388992</v>
      </c>
      <c r="G851" s="83" t="n">
        <f aca="false">IF(F851&lt;(Inputs!$E$15-Inputs!$D$15)/(Inputs!$F$15-Inputs!$D$15),Inputs!$D$15+SQRT(F851*(Inputs!$F$15-Inputs!$D$15)*(Inputs!$E$15-Inputs!$D$15)),Inputs!$F$15-SQRT((1-F851)*(Inputs!$F$15-Inputs!$D$15)*(Inputs!$F$15-Inputs!$E$15)))</f>
        <v>0.711129139577586</v>
      </c>
      <c r="H851" s="81" t="n">
        <f aca="true">RAND()</f>
        <v>0.434225348459618</v>
      </c>
      <c r="I851" s="82" t="n">
        <f aca="false">ROUND(IF(H851&lt;(Inputs!$E$17-Inputs!$D$17)/(Inputs!$F$17-Inputs!$D$17),Inputs!$D$17+SQRT(H851*(Inputs!$F$17-Inputs!$D$17)*(Inputs!$E$17-Inputs!$D$17)),Inputs!$F$17-SQRT((1-H851)*(Inputs!$F$17-Inputs!$D$17)*(Inputs!$F$17-Inputs!$E$17))),0)</f>
        <v>106</v>
      </c>
      <c r="J851" s="81" t="n">
        <f aca="true">RAND()</f>
        <v>0.777867343171574</v>
      </c>
      <c r="K851" s="83" t="n">
        <f aca="false">IF(J851&lt;(Inputs!$E$18-Inputs!$D$18)/(Inputs!$F$18-Inputs!$D$18),Inputs!$D$18+SQRT(J851*(Inputs!$F$18-Inputs!$D$18)*(Inputs!$E$18-Inputs!$D$18)),Inputs!$F$18-SQRT((1-J851)*(Inputs!$F$18-Inputs!$D$18)*(Inputs!$F$18-Inputs!$E$18)))</f>
        <v>1.11058476599565</v>
      </c>
      <c r="L851" s="81" t="n">
        <f aca="true">RAND()</f>
        <v>0.241242327945395</v>
      </c>
      <c r="M851" s="83" t="n">
        <f aca="false">IF(L851&lt;(Inputs!$E$24-Inputs!$D$24)/(Inputs!$F$24-Inputs!$D$24),Inputs!$D$24+SQRT(L851*(Inputs!$F$24-Inputs!$D$24)*(Inputs!$E$24-Inputs!$D$24)),Inputs!$F$24-SQRT((1-L851)*(Inputs!$F$24-Inputs!$D$24)*(Inputs!$F$24-Inputs!$E$24)))</f>
        <v>0.770144289805587</v>
      </c>
      <c r="N851" s="81" t="n">
        <f aca="true">RAND()</f>
        <v>0.428963450736355</v>
      </c>
      <c r="O851" s="83" t="n">
        <f aca="false">IF(N851&lt;(Inputs!$E$26-Inputs!$D$26)/(Inputs!$F$26-Inputs!$D$26),Inputs!$D$26+SQRT(N851*(Inputs!$F$26-Inputs!$D$26)*(Inputs!$E$26-Inputs!$D$26)),Inputs!$F$26-SQRT((1-N851)*(Inputs!$F$26-Inputs!$D$26)*(Inputs!$F$26-Inputs!$E$26)))</f>
        <v>0.567169455968547</v>
      </c>
      <c r="P851" s="81" t="n">
        <f aca="true">RAND()</f>
        <v>0.677649321554534</v>
      </c>
      <c r="Q851" s="82" t="n">
        <f aca="false">IF(P851&lt;(Inputs!$E$27-Inputs!$D$27)/(Inputs!$F$27-Inputs!$D$27),Inputs!$D$27+SQRT(P851*(Inputs!$F$27-Inputs!$D$27)*(Inputs!$E$27-Inputs!$D$27)),Inputs!$F$27-SQRT((1-P851)*(Inputs!$F$27-Inputs!$D$27)*(Inputs!$F$27-Inputs!$E$27)))</f>
        <v>100.830598047759</v>
      </c>
      <c r="R851" s="81" t="n">
        <f aca="true">RAND()</f>
        <v>0.694471428185784</v>
      </c>
      <c r="S851" s="82" t="n">
        <f aca="false">IF(R851&lt;(Inputs!$E$29-Inputs!$D$29)/(Inputs!$F$29-Inputs!$D$29),Inputs!$D$29+SQRT(R851*(Inputs!$F$29-Inputs!$D$29)*(Inputs!$E$29-Inputs!$D$29)),Inputs!$F$29-SQRT((1-R851)*(Inputs!$F$29-Inputs!$D$29)*(Inputs!$F$29-Inputs!$E$29)))</f>
        <v>8.69772149648653</v>
      </c>
      <c r="T851" s="68" t="n">
        <f aca="false">Inputs!$E$9*(1+E851)+Inputs!$E$5*C851*(Inputs!$E$11*Inputs!$E$14*(G851*I851/Inputs!$E$16+(1-G851))*K851+Inputs!$E$23*M851)*(1+O851)+Inputs!$E$5*(Q851+S851)</f>
        <v>5806.08069682114</v>
      </c>
    </row>
    <row r="852" customFormat="false" ht="15" hidden="false" customHeight="false" outlineLevel="0" collapsed="false">
      <c r="A852" s="1" t="n">
        <v>848</v>
      </c>
      <c r="B852" s="81" t="n">
        <f aca="true">RAND()</f>
        <v>0.0280445431893583</v>
      </c>
      <c r="C852" s="82" t="n">
        <f aca="false">ROUND(IF(B852&lt;(Inputs!$E$8-Inputs!$D$8)/(Inputs!$F$8-Inputs!$D$8),Inputs!$D$8+SQRT(B852*(Inputs!$F$8-Inputs!$D$8)*(Inputs!$E$8-Inputs!$D$8)),Inputs!$F$8-SQRT((1-B852)*(Inputs!$F$8-Inputs!$D$8)*(Inputs!$F$8-Inputs!$E$8))),0)</f>
        <v>21</v>
      </c>
      <c r="D852" s="81" t="n">
        <f aca="true">RAND()</f>
        <v>0.442585303034383</v>
      </c>
      <c r="E852" s="83" t="n">
        <f aca="false">IF(D852&lt;(Inputs!$E$10-Inputs!$D$10)/(Inputs!$F$10-Inputs!$D$10),Inputs!$D$10+SQRT(D852*(Inputs!$F$10-Inputs!$D$10)*(Inputs!$E$10-Inputs!$D$10)),Inputs!$F$10-SQRT((1-D852)*(Inputs!$F$10-Inputs!$D$10)*(Inputs!$F$10-Inputs!$E$10)))</f>
        <v>0.0706847228322635</v>
      </c>
      <c r="F852" s="81" t="n">
        <f aca="true">RAND()</f>
        <v>0.958151766941462</v>
      </c>
      <c r="G852" s="83" t="n">
        <f aca="false">IF(F852&lt;(Inputs!$E$15-Inputs!$D$15)/(Inputs!$F$15-Inputs!$D$15),Inputs!$D$15+SQRT(F852*(Inputs!$F$15-Inputs!$D$15)*(Inputs!$E$15-Inputs!$D$15)),Inputs!$F$15-SQRT((1-F852)*(Inputs!$F$15-Inputs!$D$15)*(Inputs!$F$15-Inputs!$E$15)))</f>
        <v>0.771069658467782</v>
      </c>
      <c r="H852" s="81" t="n">
        <f aca="true">RAND()</f>
        <v>0.477623547672814</v>
      </c>
      <c r="I852" s="82" t="n">
        <f aca="false">ROUND(IF(H852&lt;(Inputs!$E$17-Inputs!$D$17)/(Inputs!$F$17-Inputs!$D$17),Inputs!$D$17+SQRT(H852*(Inputs!$F$17-Inputs!$D$17)*(Inputs!$E$17-Inputs!$D$17)),Inputs!$F$17-SQRT((1-H852)*(Inputs!$F$17-Inputs!$D$17)*(Inputs!$F$17-Inputs!$E$17))),0)</f>
        <v>106</v>
      </c>
      <c r="J852" s="81" t="n">
        <f aca="true">RAND()</f>
        <v>0.588178636493626</v>
      </c>
      <c r="K852" s="83" t="n">
        <f aca="false">IF(J852&lt;(Inputs!$E$18-Inputs!$D$18)/(Inputs!$F$18-Inputs!$D$18),Inputs!$D$18+SQRT(J852*(Inputs!$F$18-Inputs!$D$18)*(Inputs!$E$18-Inputs!$D$18)),Inputs!$F$18-SQRT((1-J852)*(Inputs!$F$18-Inputs!$D$18)*(Inputs!$F$18-Inputs!$E$18)))</f>
        <v>1.06017279092078</v>
      </c>
      <c r="L852" s="81" t="n">
        <f aca="true">RAND()</f>
        <v>0.620504055831526</v>
      </c>
      <c r="M852" s="83" t="n">
        <f aca="false">IF(L852&lt;(Inputs!$E$24-Inputs!$D$24)/(Inputs!$F$24-Inputs!$D$24),Inputs!$D$24+SQRT(L852*(Inputs!$F$24-Inputs!$D$24)*(Inputs!$E$24-Inputs!$D$24)),Inputs!$F$24-SQRT((1-L852)*(Inputs!$F$24-Inputs!$D$24)*(Inputs!$F$24-Inputs!$E$24)))</f>
        <v>0.89820698053064</v>
      </c>
      <c r="N852" s="81" t="n">
        <f aca="true">RAND()</f>
        <v>0.118963776520441</v>
      </c>
      <c r="O852" s="83" t="n">
        <f aca="false">IF(N852&lt;(Inputs!$E$26-Inputs!$D$26)/(Inputs!$F$26-Inputs!$D$26),Inputs!$D$26+SQRT(N852*(Inputs!$F$26-Inputs!$D$26)*(Inputs!$E$26-Inputs!$D$26)),Inputs!$F$26-SQRT((1-N852)*(Inputs!$F$26-Inputs!$D$26)*(Inputs!$F$26-Inputs!$E$26)))</f>
        <v>0.440696739169752</v>
      </c>
      <c r="P852" s="81" t="n">
        <f aca="true">RAND()</f>
        <v>0.739873053978473</v>
      </c>
      <c r="Q852" s="82" t="n">
        <f aca="false">IF(P852&lt;(Inputs!$E$27-Inputs!$D$27)/(Inputs!$F$27-Inputs!$D$27),Inputs!$D$27+SQRT(P852*(Inputs!$F$27-Inputs!$D$27)*(Inputs!$E$27-Inputs!$D$27)),Inputs!$F$27-SQRT((1-P852)*(Inputs!$F$27-Inputs!$D$27)*(Inputs!$F$27-Inputs!$E$27)))</f>
        <v>105.830416629071</v>
      </c>
      <c r="R852" s="81" t="n">
        <f aca="true">RAND()</f>
        <v>0.183786553458485</v>
      </c>
      <c r="S852" s="82" t="n">
        <f aca="false">IF(R852&lt;(Inputs!$E$29-Inputs!$D$29)/(Inputs!$F$29-Inputs!$D$29),Inputs!$D$29+SQRT(R852*(Inputs!$F$29-Inputs!$D$29)*(Inputs!$E$29-Inputs!$D$29)),Inputs!$F$29-SQRT((1-R852)*(Inputs!$F$29-Inputs!$D$29)*(Inputs!$F$29-Inputs!$E$29)))</f>
        <v>4.67725149824982</v>
      </c>
      <c r="T852" s="68" t="n">
        <f aca="false">Inputs!$E$9*(1+E852)+Inputs!$E$5*C852*(Inputs!$E$11*Inputs!$E$14*(G852*I852/Inputs!$E$16+(1-G852))*K852+Inputs!$E$23*M852)*(1+O852)+Inputs!$E$5*(Q852+S852)</f>
        <v>5533.70449119705</v>
      </c>
    </row>
    <row r="853" customFormat="false" ht="15" hidden="false" customHeight="false" outlineLevel="0" collapsed="false">
      <c r="A853" s="1" t="n">
        <v>849</v>
      </c>
      <c r="B853" s="81" t="n">
        <f aca="true">RAND()</f>
        <v>0.239244971584856</v>
      </c>
      <c r="C853" s="82" t="n">
        <f aca="false">ROUND(IF(B853&lt;(Inputs!$E$8-Inputs!$D$8)/(Inputs!$F$8-Inputs!$D$8),Inputs!$D$8+SQRT(B853*(Inputs!$F$8-Inputs!$D$8)*(Inputs!$E$8-Inputs!$D$8)),Inputs!$F$8-SQRT((1-B853)*(Inputs!$F$8-Inputs!$D$8)*(Inputs!$F$8-Inputs!$E$8))),0)</f>
        <v>23</v>
      </c>
      <c r="D853" s="81" t="n">
        <f aca="true">RAND()</f>
        <v>0.487497528068612</v>
      </c>
      <c r="E853" s="83" t="n">
        <f aca="false">IF(D853&lt;(Inputs!$E$10-Inputs!$D$10)/(Inputs!$F$10-Inputs!$D$10),Inputs!$D$10+SQRT(D853*(Inputs!$F$10-Inputs!$D$10)*(Inputs!$E$10-Inputs!$D$10)),Inputs!$F$10-SQRT((1-D853)*(Inputs!$F$10-Inputs!$D$10)*(Inputs!$F$10-Inputs!$E$10)))</f>
        <v>0.0760037332903057</v>
      </c>
      <c r="F853" s="81" t="n">
        <f aca="true">RAND()</f>
        <v>0.561482001659356</v>
      </c>
      <c r="G853" s="83" t="n">
        <f aca="false">IF(F853&lt;(Inputs!$E$15-Inputs!$D$15)/(Inputs!$F$15-Inputs!$D$15),Inputs!$D$15+SQRT(F853*(Inputs!$F$15-Inputs!$D$15)*(Inputs!$E$15-Inputs!$D$15)),Inputs!$F$15-SQRT((1-F853)*(Inputs!$F$15-Inputs!$D$15)*(Inputs!$F$15-Inputs!$E$15)))</f>
        <v>0.70634979996384</v>
      </c>
      <c r="H853" s="81" t="n">
        <f aca="true">RAND()</f>
        <v>0.3267424687868</v>
      </c>
      <c r="I853" s="82" t="n">
        <f aca="false">ROUND(IF(H853&lt;(Inputs!$E$17-Inputs!$D$17)/(Inputs!$F$17-Inputs!$D$17),Inputs!$D$17+SQRT(H853*(Inputs!$F$17-Inputs!$D$17)*(Inputs!$E$17-Inputs!$D$17)),Inputs!$F$17-SQRT((1-H853)*(Inputs!$F$17-Inputs!$D$17)*(Inputs!$F$17-Inputs!$E$17))),0)</f>
        <v>105</v>
      </c>
      <c r="J853" s="81" t="n">
        <f aca="true">RAND()</f>
        <v>0.483681725110512</v>
      </c>
      <c r="K853" s="83" t="n">
        <f aca="false">IF(J853&lt;(Inputs!$E$18-Inputs!$D$18)/(Inputs!$F$18-Inputs!$D$18),Inputs!$D$18+SQRT(J853*(Inputs!$F$18-Inputs!$D$18)*(Inputs!$E$18-Inputs!$D$18)),Inputs!$F$18-SQRT((1-J853)*(Inputs!$F$18-Inputs!$D$18)*(Inputs!$F$18-Inputs!$E$18)))</f>
        <v>1.03744918477496</v>
      </c>
      <c r="L853" s="81" t="n">
        <f aca="true">RAND()</f>
        <v>0.0146319262893854</v>
      </c>
      <c r="M853" s="83" t="n">
        <f aca="false">IF(L853&lt;(Inputs!$E$24-Inputs!$D$24)/(Inputs!$F$24-Inputs!$D$24),Inputs!$D$24+SQRT(L853*(Inputs!$F$24-Inputs!$D$24)*(Inputs!$E$24-Inputs!$D$24)),Inputs!$F$24-SQRT((1-L853)*(Inputs!$F$24-Inputs!$D$24)*(Inputs!$F$24-Inputs!$E$24)))</f>
        <v>0.641902638994773</v>
      </c>
      <c r="N853" s="81" t="n">
        <f aca="true">RAND()</f>
        <v>0.514112197844298</v>
      </c>
      <c r="O853" s="83" t="n">
        <f aca="false">IF(N853&lt;(Inputs!$E$26-Inputs!$D$26)/(Inputs!$F$26-Inputs!$D$26),Inputs!$D$26+SQRT(N853*(Inputs!$F$26-Inputs!$D$26)*(Inputs!$E$26-Inputs!$D$26)),Inputs!$F$26-SQRT((1-N853)*(Inputs!$F$26-Inputs!$D$26)*(Inputs!$F$26-Inputs!$E$26)))</f>
        <v>0.592486358179815</v>
      </c>
      <c r="P853" s="81" t="n">
        <f aca="true">RAND()</f>
        <v>0.228555517022355</v>
      </c>
      <c r="Q853" s="82" t="n">
        <f aca="false">IF(P853&lt;(Inputs!$E$27-Inputs!$D$27)/(Inputs!$F$27-Inputs!$D$27),Inputs!$D$27+SQRT(P853*(Inputs!$F$27-Inputs!$D$27)*(Inputs!$E$27-Inputs!$D$27)),Inputs!$F$27-SQRT((1-P853)*(Inputs!$F$27-Inputs!$D$27)*(Inputs!$F$27-Inputs!$E$27)))</f>
        <v>73.9037401373904</v>
      </c>
      <c r="R853" s="81" t="n">
        <f aca="true">RAND()</f>
        <v>0.955260369601006</v>
      </c>
      <c r="S853" s="82" t="n">
        <f aca="false">IF(R853&lt;(Inputs!$E$29-Inputs!$D$29)/(Inputs!$F$29-Inputs!$D$29),Inputs!$D$29+SQRT(R853*(Inputs!$F$29-Inputs!$D$29)*(Inputs!$E$29-Inputs!$D$29)),Inputs!$F$29-SQRT((1-R853)*(Inputs!$F$29-Inputs!$D$29)*(Inputs!$F$29-Inputs!$E$29)))</f>
        <v>12.5883300491425</v>
      </c>
      <c r="T853" s="68" t="n">
        <f aca="false">Inputs!$E$9*(1+E853)+Inputs!$E$5*C853*(Inputs!$E$11*Inputs!$E$14*(G853*I853/Inputs!$E$16+(1-G853))*K853+Inputs!$E$23*M853)*(1+O853)+Inputs!$E$5*(Q853+S853)</f>
        <v>5670.39821156952</v>
      </c>
    </row>
    <row r="854" customFormat="false" ht="15" hidden="false" customHeight="false" outlineLevel="0" collapsed="false">
      <c r="A854" s="1" t="n">
        <v>850</v>
      </c>
      <c r="B854" s="81" t="n">
        <f aca="true">RAND()</f>
        <v>0.926383974478052</v>
      </c>
      <c r="C854" s="82" t="n">
        <f aca="false">ROUND(IF(B854&lt;(Inputs!$E$8-Inputs!$D$8)/(Inputs!$F$8-Inputs!$D$8),Inputs!$D$8+SQRT(B854*(Inputs!$F$8-Inputs!$D$8)*(Inputs!$E$8-Inputs!$D$8)),Inputs!$F$8-SQRT((1-B854)*(Inputs!$F$8-Inputs!$D$8)*(Inputs!$F$8-Inputs!$E$8))),0)</f>
        <v>28</v>
      </c>
      <c r="D854" s="81" t="n">
        <f aca="true">RAND()</f>
        <v>0.753065549685482</v>
      </c>
      <c r="E854" s="83" t="n">
        <f aca="false">IF(D854&lt;(Inputs!$E$10-Inputs!$D$10)/(Inputs!$F$10-Inputs!$D$10),Inputs!$D$10+SQRT(D854*(Inputs!$F$10-Inputs!$D$10)*(Inputs!$E$10-Inputs!$D$10)),Inputs!$F$10-SQRT((1-D854)*(Inputs!$F$10-Inputs!$D$10)*(Inputs!$F$10-Inputs!$E$10)))</f>
        <v>0.113930066170378</v>
      </c>
      <c r="F854" s="81" t="n">
        <f aca="true">RAND()</f>
        <v>0.552113596538513</v>
      </c>
      <c r="G854" s="83" t="n">
        <f aca="false">IF(F854&lt;(Inputs!$E$15-Inputs!$D$15)/(Inputs!$F$15-Inputs!$D$15),Inputs!$D$15+SQRT(F854*(Inputs!$F$15-Inputs!$D$15)*(Inputs!$E$15-Inputs!$D$15)),Inputs!$F$15-SQRT((1-F854)*(Inputs!$F$15-Inputs!$D$15)*(Inputs!$F$15-Inputs!$E$15)))</f>
        <v>0.705354725055977</v>
      </c>
      <c r="H854" s="81" t="n">
        <f aca="true">RAND()</f>
        <v>0.556579399251675</v>
      </c>
      <c r="I854" s="82" t="n">
        <f aca="false">ROUND(IF(H854&lt;(Inputs!$E$17-Inputs!$D$17)/(Inputs!$F$17-Inputs!$D$17),Inputs!$D$17+SQRT(H854*(Inputs!$F$17-Inputs!$D$17)*(Inputs!$E$17-Inputs!$D$17)),Inputs!$F$17-SQRT((1-H854)*(Inputs!$F$17-Inputs!$D$17)*(Inputs!$F$17-Inputs!$E$17))),0)</f>
        <v>107</v>
      </c>
      <c r="J854" s="81" t="n">
        <f aca="true">RAND()</f>
        <v>0.880757708712222</v>
      </c>
      <c r="K854" s="83" t="n">
        <f aca="false">IF(J854&lt;(Inputs!$E$18-Inputs!$D$18)/(Inputs!$F$18-Inputs!$D$18),Inputs!$D$18+SQRT(J854*(Inputs!$F$18-Inputs!$D$18)*(Inputs!$E$18-Inputs!$D$18)),Inputs!$F$18-SQRT((1-J854)*(Inputs!$F$18-Inputs!$D$18)*(Inputs!$F$18-Inputs!$E$18)))</f>
        <v>1.14785451313112</v>
      </c>
      <c r="L854" s="81" t="n">
        <f aca="true">RAND()</f>
        <v>0.962516899604347</v>
      </c>
      <c r="M854" s="83" t="n">
        <f aca="false">IF(L854&lt;(Inputs!$E$24-Inputs!$D$24)/(Inputs!$F$24-Inputs!$D$24),Inputs!$D$24+SQRT(L854*(Inputs!$F$24-Inputs!$D$24)*(Inputs!$E$24-Inputs!$D$24)),Inputs!$F$24-SQRT((1-L854)*(Inputs!$F$24-Inputs!$D$24)*(Inputs!$F$24-Inputs!$E$24)))</f>
        <v>1.10515304910037</v>
      </c>
      <c r="N854" s="81" t="n">
        <f aca="true">RAND()</f>
        <v>0.986066316701141</v>
      </c>
      <c r="O854" s="83" t="n">
        <f aca="false">IF(N854&lt;(Inputs!$E$26-Inputs!$D$26)/(Inputs!$F$26-Inputs!$D$26),Inputs!$D$26+SQRT(N854*(Inputs!$F$26-Inputs!$D$26)*(Inputs!$E$26-Inputs!$D$26)),Inputs!$F$26-SQRT((1-N854)*(Inputs!$F$26-Inputs!$D$26)*(Inputs!$F$26-Inputs!$E$26)))</f>
        <v>0.781932913651274</v>
      </c>
      <c r="P854" s="81" t="n">
        <f aca="true">RAND()</f>
        <v>0.899186654434046</v>
      </c>
      <c r="Q854" s="82" t="n">
        <f aca="false">IF(P854&lt;(Inputs!$E$27-Inputs!$D$27)/(Inputs!$F$27-Inputs!$D$27),Inputs!$D$27+SQRT(P854*(Inputs!$F$27-Inputs!$D$27)*(Inputs!$E$27-Inputs!$D$27)),Inputs!$F$27-SQRT((1-P854)*(Inputs!$F$27-Inputs!$D$27)*(Inputs!$F$27-Inputs!$E$27)))</f>
        <v>122.502725739727</v>
      </c>
      <c r="R854" s="81" t="n">
        <f aca="true">RAND()</f>
        <v>0.235375604440614</v>
      </c>
      <c r="S854" s="82" t="n">
        <f aca="false">IF(R854&lt;(Inputs!$E$29-Inputs!$D$29)/(Inputs!$F$29-Inputs!$D$29),Inputs!$D$29+SQRT(R854*(Inputs!$F$29-Inputs!$D$29)*(Inputs!$E$29-Inputs!$D$29)),Inputs!$F$29-SQRT((1-R854)*(Inputs!$F$29-Inputs!$D$29)*(Inputs!$F$29-Inputs!$E$29)))</f>
        <v>5.02998638803737</v>
      </c>
      <c r="T854" s="68" t="n">
        <f aca="false">Inputs!$E$9*(1+E854)+Inputs!$E$5*C854*(Inputs!$E$11*Inputs!$E$14*(G854*I854/Inputs!$E$16+(1-G854))*K854+Inputs!$E$23*M854)*(1+O854)+Inputs!$E$5*(Q854+S854)</f>
        <v>8153.07196101628</v>
      </c>
    </row>
    <row r="855" customFormat="false" ht="15" hidden="false" customHeight="false" outlineLevel="0" collapsed="false">
      <c r="A855" s="1" t="n">
        <v>851</v>
      </c>
      <c r="B855" s="81" t="n">
        <f aca="true">RAND()</f>
        <v>0.684883150267532</v>
      </c>
      <c r="C855" s="82" t="n">
        <f aca="false">ROUND(IF(B855&lt;(Inputs!$E$8-Inputs!$D$8)/(Inputs!$F$8-Inputs!$D$8),Inputs!$D$8+SQRT(B855*(Inputs!$F$8-Inputs!$D$8)*(Inputs!$E$8-Inputs!$D$8)),Inputs!$F$8-SQRT((1-B855)*(Inputs!$F$8-Inputs!$D$8)*(Inputs!$F$8-Inputs!$E$8))),0)</f>
        <v>26</v>
      </c>
      <c r="D855" s="81" t="n">
        <f aca="true">RAND()</f>
        <v>0.46104439420676</v>
      </c>
      <c r="E855" s="83" t="n">
        <f aca="false">IF(D855&lt;(Inputs!$E$10-Inputs!$D$10)/(Inputs!$F$10-Inputs!$D$10),Inputs!$D$10+SQRT(D855*(Inputs!$F$10-Inputs!$D$10)*(Inputs!$E$10-Inputs!$D$10)),Inputs!$F$10-SQRT((1-D855)*(Inputs!$F$10-Inputs!$D$10)*(Inputs!$F$10-Inputs!$E$10)))</f>
        <v>0.0728439219942782</v>
      </c>
      <c r="F855" s="81" t="n">
        <f aca="true">RAND()</f>
        <v>0.970428838375937</v>
      </c>
      <c r="G855" s="83" t="n">
        <f aca="false">IF(F855&lt;(Inputs!$E$15-Inputs!$D$15)/(Inputs!$F$15-Inputs!$D$15),Inputs!$D$15+SQRT(F855*(Inputs!$F$15-Inputs!$D$15)*(Inputs!$E$15-Inputs!$D$15)),Inputs!$F$15-SQRT((1-F855)*(Inputs!$F$15-Inputs!$D$15)*(Inputs!$F$15-Inputs!$E$15)))</f>
        <v>0.775680805266595</v>
      </c>
      <c r="H855" s="81" t="n">
        <f aca="true">RAND()</f>
        <v>0.114346620543489</v>
      </c>
      <c r="I855" s="82" t="n">
        <f aca="false">ROUND(IF(H855&lt;(Inputs!$E$17-Inputs!$D$17)/(Inputs!$F$17-Inputs!$D$17),Inputs!$D$17+SQRT(H855*(Inputs!$F$17-Inputs!$D$17)*(Inputs!$E$17-Inputs!$D$17)),Inputs!$F$17-SQRT((1-H855)*(Inputs!$F$17-Inputs!$D$17)*(Inputs!$F$17-Inputs!$E$17))),0)</f>
        <v>103</v>
      </c>
      <c r="J855" s="81" t="n">
        <f aca="true">RAND()</f>
        <v>0.559950512106106</v>
      </c>
      <c r="K855" s="83" t="n">
        <f aca="false">IF(J855&lt;(Inputs!$E$18-Inputs!$D$18)/(Inputs!$F$18-Inputs!$D$18),Inputs!$D$18+SQRT(J855*(Inputs!$F$18-Inputs!$D$18)*(Inputs!$E$18-Inputs!$D$18)),Inputs!$F$18-SQRT((1-J855)*(Inputs!$F$18-Inputs!$D$18)*(Inputs!$F$18-Inputs!$E$18)))</f>
        <v>1.05377479725908</v>
      </c>
      <c r="L855" s="81" t="n">
        <f aca="true">RAND()</f>
        <v>0.754733632676497</v>
      </c>
      <c r="M855" s="83" t="n">
        <f aca="false">IF(L855&lt;(Inputs!$E$24-Inputs!$D$24)/(Inputs!$F$24-Inputs!$D$24),Inputs!$D$24+SQRT(L855*(Inputs!$F$24-Inputs!$D$24)*(Inputs!$E$24-Inputs!$D$24)),Inputs!$F$24-SQRT((1-L855)*(Inputs!$F$24-Inputs!$D$24)*(Inputs!$F$24-Inputs!$E$24)))</f>
        <v>0.957381105110009</v>
      </c>
      <c r="N855" s="81" t="n">
        <f aca="true">RAND()</f>
        <v>0.306913005199487</v>
      </c>
      <c r="O855" s="83" t="n">
        <f aca="false">IF(N855&lt;(Inputs!$E$26-Inputs!$D$26)/(Inputs!$F$26-Inputs!$D$26),Inputs!$D$26+SQRT(N855*(Inputs!$F$26-Inputs!$D$26)*(Inputs!$E$26-Inputs!$D$26)),Inputs!$F$26-SQRT((1-N855)*(Inputs!$F$26-Inputs!$D$26)*(Inputs!$F$26-Inputs!$E$26)))</f>
        <v>0.525987442273226</v>
      </c>
      <c r="P855" s="81" t="n">
        <f aca="true">RAND()</f>
        <v>0.238198583654724</v>
      </c>
      <c r="Q855" s="82" t="n">
        <f aca="false">IF(P855&lt;(Inputs!$E$27-Inputs!$D$27)/(Inputs!$F$27-Inputs!$D$27),Inputs!$D$27+SQRT(P855*(Inputs!$F$27-Inputs!$D$27)*(Inputs!$E$27-Inputs!$D$27)),Inputs!$F$27-SQRT((1-P855)*(Inputs!$F$27-Inputs!$D$27)*(Inputs!$F$27-Inputs!$E$27)))</f>
        <v>74.4027961335747</v>
      </c>
      <c r="R855" s="81" t="n">
        <f aca="true">RAND()</f>
        <v>0.554854472480722</v>
      </c>
      <c r="S855" s="82" t="n">
        <f aca="false">IF(R855&lt;(Inputs!$E$29-Inputs!$D$29)/(Inputs!$F$29-Inputs!$D$29),Inputs!$D$29+SQRT(R855*(Inputs!$F$29-Inputs!$D$29)*(Inputs!$E$29-Inputs!$D$29)),Inputs!$F$29-SQRT((1-R855)*(Inputs!$F$29-Inputs!$D$29)*(Inputs!$F$29-Inputs!$E$29)))</f>
        <v>7.39283767903522</v>
      </c>
      <c r="T855" s="68" t="n">
        <f aca="false">Inputs!$E$9*(1+E855)+Inputs!$E$5*C855*(Inputs!$E$11*Inputs!$E$14*(G855*I855/Inputs!$E$16+(1-G855))*K855+Inputs!$E$23*M855)*(1+O855)+Inputs!$E$5*(Q855+S855)</f>
        <v>6236.25158466637</v>
      </c>
    </row>
    <row r="856" customFormat="false" ht="15" hidden="false" customHeight="false" outlineLevel="0" collapsed="false">
      <c r="A856" s="1" t="n">
        <v>852</v>
      </c>
      <c r="B856" s="81" t="n">
        <f aca="true">RAND()</f>
        <v>0.130242848360942</v>
      </c>
      <c r="C856" s="82" t="n">
        <f aca="false">ROUND(IF(B856&lt;(Inputs!$E$8-Inputs!$D$8)/(Inputs!$F$8-Inputs!$D$8),Inputs!$D$8+SQRT(B856*(Inputs!$F$8-Inputs!$D$8)*(Inputs!$E$8-Inputs!$D$8)),Inputs!$F$8-SQRT((1-B856)*(Inputs!$F$8-Inputs!$D$8)*(Inputs!$F$8-Inputs!$E$8))),0)</f>
        <v>23</v>
      </c>
      <c r="D856" s="81" t="n">
        <f aca="true">RAND()</f>
        <v>0.295366066214555</v>
      </c>
      <c r="E856" s="83" t="n">
        <f aca="false">IF(D856&lt;(Inputs!$E$10-Inputs!$D$10)/(Inputs!$F$10-Inputs!$D$10),Inputs!$D$10+SQRT(D856*(Inputs!$F$10-Inputs!$D$10)*(Inputs!$E$10-Inputs!$D$10)),Inputs!$F$10-SQRT((1-D856)*(Inputs!$F$10-Inputs!$D$10)*(Inputs!$F$10-Inputs!$E$10)))</f>
        <v>0.0546073660271492</v>
      </c>
      <c r="F856" s="81" t="n">
        <f aca="true">RAND()</f>
        <v>0.819282740356803</v>
      </c>
      <c r="G856" s="83" t="n">
        <f aca="false">IF(F856&lt;(Inputs!$E$15-Inputs!$D$15)/(Inputs!$F$15-Inputs!$D$15),Inputs!$D$15+SQRT(F856*(Inputs!$F$15-Inputs!$D$15)*(Inputs!$E$15-Inputs!$D$15)),Inputs!$F$15-SQRT((1-F856)*(Inputs!$F$15-Inputs!$D$15)*(Inputs!$F$15-Inputs!$E$15)))</f>
        <v>0.739880575577739</v>
      </c>
      <c r="H856" s="81" t="n">
        <f aca="true">RAND()</f>
        <v>0.965476345177843</v>
      </c>
      <c r="I856" s="82" t="n">
        <f aca="false">ROUND(IF(H856&lt;(Inputs!$E$17-Inputs!$D$17)/(Inputs!$F$17-Inputs!$D$17),Inputs!$D$17+SQRT(H856*(Inputs!$F$17-Inputs!$D$17)*(Inputs!$E$17-Inputs!$D$17)),Inputs!$F$17-SQRT((1-H856)*(Inputs!$F$17-Inputs!$D$17)*(Inputs!$F$17-Inputs!$E$17))),0)</f>
        <v>113</v>
      </c>
      <c r="J856" s="81" t="n">
        <f aca="true">RAND()</f>
        <v>0.56678998474863</v>
      </c>
      <c r="K856" s="83" t="n">
        <f aca="false">IF(J856&lt;(Inputs!$E$18-Inputs!$D$18)/(Inputs!$F$18-Inputs!$D$18),Inputs!$D$18+SQRT(J856*(Inputs!$F$18-Inputs!$D$18)*(Inputs!$E$18-Inputs!$D$18)),Inputs!$F$18-SQRT((1-J856)*(Inputs!$F$18-Inputs!$D$18)*(Inputs!$F$18-Inputs!$E$18)))</f>
        <v>1.05530568489426</v>
      </c>
      <c r="L856" s="81" t="n">
        <f aca="true">RAND()</f>
        <v>0.976933286845503</v>
      </c>
      <c r="M856" s="83" t="n">
        <f aca="false">IF(L856&lt;(Inputs!$E$24-Inputs!$D$24)/(Inputs!$F$24-Inputs!$D$24),Inputs!$D$24+SQRT(L856*(Inputs!$F$24-Inputs!$D$24)*(Inputs!$E$24-Inputs!$D$24)),Inputs!$F$24-SQRT((1-L856)*(Inputs!$F$24-Inputs!$D$24)*(Inputs!$F$24-Inputs!$E$24)))</f>
        <v>1.12559562407305</v>
      </c>
      <c r="N856" s="81" t="n">
        <f aca="true">RAND()</f>
        <v>0.299304997074417</v>
      </c>
      <c r="O856" s="83" t="n">
        <f aca="false">IF(N856&lt;(Inputs!$E$26-Inputs!$D$26)/(Inputs!$F$26-Inputs!$D$26),Inputs!$D$26+SQRT(N856*(Inputs!$F$26-Inputs!$D$26)*(Inputs!$E$26-Inputs!$D$26)),Inputs!$F$26-SQRT((1-N856)*(Inputs!$F$26-Inputs!$D$26)*(Inputs!$F$26-Inputs!$E$26)))</f>
        <v>0.523168885629657</v>
      </c>
      <c r="P856" s="81" t="n">
        <f aca="true">RAND()</f>
        <v>0.486407438336105</v>
      </c>
      <c r="Q856" s="82" t="n">
        <f aca="false">IF(P856&lt;(Inputs!$E$27-Inputs!$D$27)/(Inputs!$F$27-Inputs!$D$27),Inputs!$D$27+SQRT(P856*(Inputs!$F$27-Inputs!$D$27)*(Inputs!$E$27-Inputs!$D$27)),Inputs!$F$27-SQRT((1-P856)*(Inputs!$F$27-Inputs!$D$27)*(Inputs!$F$27-Inputs!$E$27)))</f>
        <v>87.9359668368288</v>
      </c>
      <c r="R856" s="81" t="n">
        <f aca="true">RAND()</f>
        <v>0.294472633825531</v>
      </c>
      <c r="S856" s="82" t="n">
        <f aca="false">IF(R856&lt;(Inputs!$E$29-Inputs!$D$29)/(Inputs!$F$29-Inputs!$D$29),Inputs!$D$29+SQRT(R856*(Inputs!$F$29-Inputs!$D$29)*(Inputs!$E$29-Inputs!$D$29)),Inputs!$F$29-SQRT((1-R856)*(Inputs!$F$29-Inputs!$D$29)*(Inputs!$F$29-Inputs!$E$29)))</f>
        <v>5.42301939008536</v>
      </c>
      <c r="T856" s="68" t="n">
        <f aca="false">Inputs!$E$9*(1+E856)+Inputs!$E$5*C856*(Inputs!$E$11*Inputs!$E$14*(G856*I856/Inputs!$E$16+(1-G856))*K856+Inputs!$E$23*M856)*(1+O856)+Inputs!$E$5*(Q856+S856)</f>
        <v>6220.09722826935</v>
      </c>
    </row>
    <row r="857" customFormat="false" ht="15" hidden="false" customHeight="false" outlineLevel="0" collapsed="false">
      <c r="A857" s="1" t="n">
        <v>853</v>
      </c>
      <c r="B857" s="81" t="n">
        <f aca="true">RAND()</f>
        <v>0.538624351874714</v>
      </c>
      <c r="C857" s="82" t="n">
        <f aca="false">ROUND(IF(B857&lt;(Inputs!$E$8-Inputs!$D$8)/(Inputs!$F$8-Inputs!$D$8),Inputs!$D$8+SQRT(B857*(Inputs!$F$8-Inputs!$D$8)*(Inputs!$E$8-Inputs!$D$8)),Inputs!$F$8-SQRT((1-B857)*(Inputs!$F$8-Inputs!$D$8)*(Inputs!$F$8-Inputs!$E$8))),0)</f>
        <v>25</v>
      </c>
      <c r="D857" s="81" t="n">
        <f aca="true">RAND()</f>
        <v>0.621429851547958</v>
      </c>
      <c r="E857" s="83" t="n">
        <f aca="false">IF(D857&lt;(Inputs!$E$10-Inputs!$D$10)/(Inputs!$F$10-Inputs!$D$10),Inputs!$D$10+SQRT(D857*(Inputs!$F$10-Inputs!$D$10)*(Inputs!$E$10-Inputs!$D$10)),Inputs!$F$10-SQRT((1-D857)*(Inputs!$F$10-Inputs!$D$10)*(Inputs!$F$10-Inputs!$E$10)))</f>
        <v>0.0934302836000712</v>
      </c>
      <c r="F857" s="81" t="n">
        <f aca="true">RAND()</f>
        <v>0.626424413324011</v>
      </c>
      <c r="G857" s="83" t="n">
        <f aca="false">IF(F857&lt;(Inputs!$E$15-Inputs!$D$15)/(Inputs!$F$15-Inputs!$D$15),Inputs!$D$15+SQRT(F857*(Inputs!$F$15-Inputs!$D$15)*(Inputs!$E$15-Inputs!$D$15)),Inputs!$F$15-SQRT((1-F857)*(Inputs!$F$15-Inputs!$D$15)*(Inputs!$F$15-Inputs!$E$15)))</f>
        <v>0.713562093191009</v>
      </c>
      <c r="H857" s="81" t="n">
        <f aca="true">RAND()</f>
        <v>0.472714451477019</v>
      </c>
      <c r="I857" s="82" t="n">
        <f aca="false">ROUND(IF(H857&lt;(Inputs!$E$17-Inputs!$D$17)/(Inputs!$F$17-Inputs!$D$17),Inputs!$D$17+SQRT(H857*(Inputs!$F$17-Inputs!$D$17)*(Inputs!$E$17-Inputs!$D$17)),Inputs!$F$17-SQRT((1-H857)*(Inputs!$F$17-Inputs!$D$17)*(Inputs!$F$17-Inputs!$E$17))),0)</f>
        <v>106</v>
      </c>
      <c r="J857" s="81" t="n">
        <f aca="true">RAND()</f>
        <v>0.331593098493305</v>
      </c>
      <c r="K857" s="83" t="n">
        <f aca="false">IF(J857&lt;(Inputs!$E$18-Inputs!$D$18)/(Inputs!$F$18-Inputs!$D$18),Inputs!$D$18+SQRT(J857*(Inputs!$F$18-Inputs!$D$18)*(Inputs!$E$18-Inputs!$D$18)),Inputs!$F$18-SQRT((1-J857)*(Inputs!$F$18-Inputs!$D$18)*(Inputs!$F$18-Inputs!$E$18)))</f>
        <v>1.00816202969377</v>
      </c>
      <c r="L857" s="81" t="n">
        <f aca="true">RAND()</f>
        <v>0.979684917177603</v>
      </c>
      <c r="M857" s="83" t="n">
        <f aca="false">IF(L857&lt;(Inputs!$E$24-Inputs!$D$24)/(Inputs!$F$24-Inputs!$D$24),Inputs!$D$24+SQRT(L857*(Inputs!$F$24-Inputs!$D$24)*(Inputs!$E$24-Inputs!$D$24)),Inputs!$F$24-SQRT((1-L857)*(Inputs!$F$24-Inputs!$D$24)*(Inputs!$F$24-Inputs!$E$24)))</f>
        <v>1.13017436088817</v>
      </c>
      <c r="N857" s="81" t="n">
        <f aca="true">RAND()</f>
        <v>0.424354664310989</v>
      </c>
      <c r="O857" s="83" t="n">
        <f aca="false">IF(N857&lt;(Inputs!$E$26-Inputs!$D$26)/(Inputs!$F$26-Inputs!$D$26),Inputs!$D$26+SQRT(N857*(Inputs!$F$26-Inputs!$D$26)*(Inputs!$E$26-Inputs!$D$26)),Inputs!$F$26-SQRT((1-N857)*(Inputs!$F$26-Inputs!$D$26)*(Inputs!$F$26-Inputs!$E$26)))</f>
        <v>0.565730344788375</v>
      </c>
      <c r="P857" s="81" t="n">
        <f aca="true">RAND()</f>
        <v>0.43057300203121</v>
      </c>
      <c r="Q857" s="82" t="n">
        <f aca="false">IF(P857&lt;(Inputs!$E$27-Inputs!$D$27)/(Inputs!$F$27-Inputs!$D$27),Inputs!$D$27+SQRT(P857*(Inputs!$F$27-Inputs!$D$27)*(Inputs!$E$27-Inputs!$D$27)),Inputs!$F$27-SQRT((1-P857)*(Inputs!$F$27-Inputs!$D$27)*(Inputs!$F$27-Inputs!$E$27)))</f>
        <v>84.6493880306701</v>
      </c>
      <c r="R857" s="81" t="n">
        <f aca="true">RAND()</f>
        <v>0.52511103447682</v>
      </c>
      <c r="S857" s="82" t="n">
        <f aca="false">IF(R857&lt;(Inputs!$E$29-Inputs!$D$29)/(Inputs!$F$29-Inputs!$D$29),Inputs!$D$29+SQRT(R857*(Inputs!$F$29-Inputs!$D$29)*(Inputs!$E$29-Inputs!$D$29)),Inputs!$F$29-SQRT((1-R857)*(Inputs!$F$29-Inputs!$D$29)*(Inputs!$F$29-Inputs!$E$29)))</f>
        <v>7.14280167502351</v>
      </c>
      <c r="T857" s="68" t="n">
        <f aca="false">Inputs!$E$9*(1+E857)+Inputs!$E$5*C857*(Inputs!$E$11*Inputs!$E$14*(G857*I857/Inputs!$E$16+(1-G857))*K857+Inputs!$E$23*M857)*(1+O857)+Inputs!$E$5*(Q857+S857)</f>
        <v>6554.7547627994</v>
      </c>
    </row>
    <row r="858" customFormat="false" ht="15" hidden="false" customHeight="false" outlineLevel="0" collapsed="false">
      <c r="A858" s="1" t="n">
        <v>854</v>
      </c>
      <c r="B858" s="81" t="n">
        <f aca="true">RAND()</f>
        <v>0.351424752092033</v>
      </c>
      <c r="C858" s="82" t="n">
        <f aca="false">ROUND(IF(B858&lt;(Inputs!$E$8-Inputs!$D$8)/(Inputs!$F$8-Inputs!$D$8),Inputs!$D$8+SQRT(B858*(Inputs!$F$8-Inputs!$D$8)*(Inputs!$E$8-Inputs!$D$8)),Inputs!$F$8-SQRT((1-B858)*(Inputs!$F$8-Inputs!$D$8)*(Inputs!$F$8-Inputs!$E$8))),0)</f>
        <v>24</v>
      </c>
      <c r="D858" s="81" t="n">
        <f aca="true">RAND()</f>
        <v>0.431678050324571</v>
      </c>
      <c r="E858" s="83" t="n">
        <f aca="false">IF(D858&lt;(Inputs!$E$10-Inputs!$D$10)/(Inputs!$F$10-Inputs!$D$10),Inputs!$D$10+SQRT(D858*(Inputs!$F$10-Inputs!$D$10)*(Inputs!$E$10-Inputs!$D$10)),Inputs!$F$10-SQRT((1-D858)*(Inputs!$F$10-Inputs!$D$10)*(Inputs!$F$10-Inputs!$E$10)))</f>
        <v>0.0694256591429125</v>
      </c>
      <c r="F858" s="81" t="n">
        <f aca="true">RAND()</f>
        <v>0.945522940400527</v>
      </c>
      <c r="G858" s="83" t="n">
        <f aca="false">IF(F858&lt;(Inputs!$E$15-Inputs!$D$15)/(Inputs!$F$15-Inputs!$D$15),Inputs!$D$15+SQRT(F858*(Inputs!$F$15-Inputs!$D$15)*(Inputs!$E$15-Inputs!$D$15)),Inputs!$F$15-SQRT((1-F858)*(Inputs!$F$15-Inputs!$D$15)*(Inputs!$F$15-Inputs!$E$15)))</f>
        <v>0.766991801139877</v>
      </c>
      <c r="H858" s="81" t="n">
        <f aca="true">RAND()</f>
        <v>0.790639460913242</v>
      </c>
      <c r="I858" s="82" t="n">
        <f aca="false">ROUND(IF(H858&lt;(Inputs!$E$17-Inputs!$D$17)/(Inputs!$F$17-Inputs!$D$17),Inputs!$D$17+SQRT(H858*(Inputs!$F$17-Inputs!$D$17)*(Inputs!$E$17-Inputs!$D$17)),Inputs!$F$17-SQRT((1-H858)*(Inputs!$F$17-Inputs!$D$17)*(Inputs!$F$17-Inputs!$E$17))),0)</f>
        <v>109</v>
      </c>
      <c r="J858" s="81" t="n">
        <f aca="true">RAND()</f>
        <v>0.257095842984249</v>
      </c>
      <c r="K858" s="83" t="n">
        <f aca="false">IF(J858&lt;(Inputs!$E$18-Inputs!$D$18)/(Inputs!$F$18-Inputs!$D$18),Inputs!$D$18+SQRT(J858*(Inputs!$F$18-Inputs!$D$18)*(Inputs!$E$18-Inputs!$D$18)),Inputs!$F$18-SQRT((1-J858)*(Inputs!$F$18-Inputs!$D$18)*(Inputs!$F$18-Inputs!$E$18)))</f>
        <v>0.994859656885573</v>
      </c>
      <c r="L858" s="81" t="n">
        <f aca="true">RAND()</f>
        <v>0.647653259250072</v>
      </c>
      <c r="M858" s="83" t="n">
        <f aca="false">IF(L858&lt;(Inputs!$E$24-Inputs!$D$24)/(Inputs!$F$24-Inputs!$D$24),Inputs!$D$24+SQRT(L858*(Inputs!$F$24-Inputs!$D$24)*(Inputs!$E$24-Inputs!$D$24)),Inputs!$F$24-SQRT((1-L858)*(Inputs!$F$24-Inputs!$D$24)*(Inputs!$F$24-Inputs!$E$24)))</f>
        <v>0.909202445367946</v>
      </c>
      <c r="N858" s="81" t="n">
        <f aca="true">RAND()</f>
        <v>0.535147717148596</v>
      </c>
      <c r="O858" s="83" t="n">
        <f aca="false">IF(N858&lt;(Inputs!$E$26-Inputs!$D$26)/(Inputs!$F$26-Inputs!$D$26),Inputs!$D$26+SQRT(N858*(Inputs!$F$26-Inputs!$D$26)*(Inputs!$E$26-Inputs!$D$26)),Inputs!$F$26-SQRT((1-N858)*(Inputs!$F$26-Inputs!$D$26)*(Inputs!$F$26-Inputs!$E$26)))</f>
        <v>0.59841008718461</v>
      </c>
      <c r="P858" s="81" t="n">
        <f aca="true">RAND()</f>
        <v>0.826095708179155</v>
      </c>
      <c r="Q858" s="82" t="n">
        <f aca="false">IF(P858&lt;(Inputs!$E$27-Inputs!$D$27)/(Inputs!$F$27-Inputs!$D$27),Inputs!$D$27+SQRT(P858*(Inputs!$F$27-Inputs!$D$27)*(Inputs!$E$27-Inputs!$D$27)),Inputs!$F$27-SQRT((1-P858)*(Inputs!$F$27-Inputs!$D$27)*(Inputs!$F$27-Inputs!$E$27)))</f>
        <v>113.885152794781</v>
      </c>
      <c r="R858" s="81" t="n">
        <f aca="true">RAND()</f>
        <v>0.811791344810748</v>
      </c>
      <c r="S858" s="82" t="n">
        <f aca="false">IF(R858&lt;(Inputs!$E$29-Inputs!$D$29)/(Inputs!$F$29-Inputs!$D$29),Inputs!$D$29+SQRT(R858*(Inputs!$F$29-Inputs!$D$29)*(Inputs!$E$29-Inputs!$D$29)),Inputs!$F$29-SQRT((1-R858)*(Inputs!$F$29-Inputs!$D$29)*(Inputs!$F$29-Inputs!$E$29)))</f>
        <v>10.0535745053016</v>
      </c>
      <c r="T858" s="68" t="n">
        <f aca="false">Inputs!$E$9*(1+E858)+Inputs!$E$5*C858*(Inputs!$E$11*Inputs!$E$14*(G858*I858/Inputs!$E$16+(1-G858))*K858+Inputs!$E$23*M858)*(1+O858)+Inputs!$E$5*(Q858+S858)</f>
        <v>6228.9670727374</v>
      </c>
    </row>
    <row r="859" customFormat="false" ht="15" hidden="false" customHeight="false" outlineLevel="0" collapsed="false">
      <c r="A859" s="1" t="n">
        <v>855</v>
      </c>
      <c r="B859" s="81" t="n">
        <f aca="true">RAND()</f>
        <v>0.121163008972164</v>
      </c>
      <c r="C859" s="82" t="n">
        <f aca="false">ROUND(IF(B859&lt;(Inputs!$E$8-Inputs!$D$8)/(Inputs!$F$8-Inputs!$D$8),Inputs!$D$8+SQRT(B859*(Inputs!$F$8-Inputs!$D$8)*(Inputs!$E$8-Inputs!$D$8)),Inputs!$F$8-SQRT((1-B859)*(Inputs!$F$8-Inputs!$D$8)*(Inputs!$F$8-Inputs!$E$8))),0)</f>
        <v>22</v>
      </c>
      <c r="D859" s="81" t="n">
        <f aca="true">RAND()</f>
        <v>0.0983154212844608</v>
      </c>
      <c r="E859" s="83" t="n">
        <f aca="false">IF(D859&lt;(Inputs!$E$10-Inputs!$D$10)/(Inputs!$F$10-Inputs!$D$10),Inputs!$D$10+SQRT(D859*(Inputs!$F$10-Inputs!$D$10)*(Inputs!$E$10-Inputs!$D$10)),Inputs!$F$10-SQRT((1-D859)*(Inputs!$F$10-Inputs!$D$10)*(Inputs!$F$10-Inputs!$E$10)))</f>
        <v>0.0313552900296682</v>
      </c>
      <c r="F859" s="81" t="n">
        <f aca="true">RAND()</f>
        <v>0.894778619548146</v>
      </c>
      <c r="G859" s="83" t="n">
        <f aca="false">IF(F859&lt;(Inputs!$E$15-Inputs!$D$15)/(Inputs!$F$15-Inputs!$D$15),Inputs!$D$15+SQRT(F859*(Inputs!$F$15-Inputs!$D$15)*(Inputs!$E$15-Inputs!$D$15)),Inputs!$F$15-SQRT((1-F859)*(Inputs!$F$15-Inputs!$D$15)*(Inputs!$F$15-Inputs!$E$15)))</f>
        <v>0.754125959312079</v>
      </c>
      <c r="H859" s="81" t="n">
        <f aca="true">RAND()</f>
        <v>0.0872618985980593</v>
      </c>
      <c r="I859" s="82" t="n">
        <f aca="false">ROUND(IF(H859&lt;(Inputs!$E$17-Inputs!$D$17)/(Inputs!$F$17-Inputs!$D$17),Inputs!$D$17+SQRT(H859*(Inputs!$F$17-Inputs!$D$17)*(Inputs!$E$17-Inputs!$D$17)),Inputs!$F$17-SQRT((1-H859)*(Inputs!$F$17-Inputs!$D$17)*(Inputs!$F$17-Inputs!$E$17))),0)</f>
        <v>103</v>
      </c>
      <c r="J859" s="81" t="n">
        <f aca="true">RAND()</f>
        <v>0.359855525251917</v>
      </c>
      <c r="K859" s="83" t="n">
        <f aca="false">IF(J859&lt;(Inputs!$E$18-Inputs!$D$18)/(Inputs!$F$18-Inputs!$D$18),Inputs!$D$18+SQRT(J859*(Inputs!$F$18-Inputs!$D$18)*(Inputs!$E$18-Inputs!$D$18)),Inputs!$F$18-SQRT((1-J859)*(Inputs!$F$18-Inputs!$D$18)*(Inputs!$F$18-Inputs!$E$18)))</f>
        <v>1.01333010005398</v>
      </c>
      <c r="L859" s="81" t="n">
        <f aca="true">RAND()</f>
        <v>0.478597660076704</v>
      </c>
      <c r="M859" s="83" t="n">
        <f aca="false">IF(L859&lt;(Inputs!$E$24-Inputs!$D$24)/(Inputs!$F$24-Inputs!$D$24),Inputs!$D$24+SQRT(L859*(Inputs!$F$24-Inputs!$D$24)*(Inputs!$E$24-Inputs!$D$24)),Inputs!$F$24-SQRT((1-L859)*(Inputs!$F$24-Inputs!$D$24)*(Inputs!$F$24-Inputs!$E$24)))</f>
        <v>0.846253534884671</v>
      </c>
      <c r="N859" s="81" t="n">
        <f aca="true">RAND()</f>
        <v>0.924699554370946</v>
      </c>
      <c r="O859" s="83" t="n">
        <f aca="false">IF(N859&lt;(Inputs!$E$26-Inputs!$D$26)/(Inputs!$F$26-Inputs!$D$26),Inputs!$D$26+SQRT(N859*(Inputs!$F$26-Inputs!$D$26)*(Inputs!$E$26-Inputs!$D$26)),Inputs!$F$26-SQRT((1-N859)*(Inputs!$F$26-Inputs!$D$26)*(Inputs!$F$26-Inputs!$E$26)))</f>
        <v>0.731505670546517</v>
      </c>
      <c r="P859" s="81" t="n">
        <f aca="true">RAND()</f>
        <v>0.947387788606696</v>
      </c>
      <c r="Q859" s="82" t="n">
        <f aca="false">IF(P859&lt;(Inputs!$E$27-Inputs!$D$27)/(Inputs!$F$27-Inputs!$D$27),Inputs!$D$27+SQRT(P859*(Inputs!$F$27-Inputs!$D$27)*(Inputs!$E$27-Inputs!$D$27)),Inputs!$F$27-SQRT((1-P859)*(Inputs!$F$27-Inputs!$D$27)*(Inputs!$F$27-Inputs!$E$27)))</f>
        <v>130.135670526047</v>
      </c>
      <c r="R859" s="81" t="n">
        <f aca="true">RAND()</f>
        <v>0.157394495073577</v>
      </c>
      <c r="S859" s="82" t="n">
        <f aca="false">IF(R859&lt;(Inputs!$E$29-Inputs!$D$29)/(Inputs!$F$29-Inputs!$D$29),Inputs!$D$29+SQRT(R859*(Inputs!$F$29-Inputs!$D$29)*(Inputs!$E$29-Inputs!$D$29)),Inputs!$F$29-SQRT((1-R859)*(Inputs!$F$29-Inputs!$D$29)*(Inputs!$F$29-Inputs!$E$29)))</f>
        <v>4.47757649889353</v>
      </c>
      <c r="T859" s="68" t="n">
        <f aca="false">Inputs!$E$9*(1+E859)+Inputs!$E$5*C859*(Inputs!$E$11*Inputs!$E$14*(G859*I859/Inputs!$E$16+(1-G859))*K859+Inputs!$E$23*M859)*(1+O859)+Inputs!$E$5*(Q859+S859)</f>
        <v>6070.40067102386</v>
      </c>
    </row>
    <row r="860" customFormat="false" ht="15" hidden="false" customHeight="false" outlineLevel="0" collapsed="false">
      <c r="A860" s="1" t="n">
        <v>856</v>
      </c>
      <c r="B860" s="81" t="n">
        <f aca="true">RAND()</f>
        <v>0.4579423327929</v>
      </c>
      <c r="C860" s="82" t="n">
        <f aca="false">ROUND(IF(B860&lt;(Inputs!$E$8-Inputs!$D$8)/(Inputs!$F$8-Inputs!$D$8),Inputs!$D$8+SQRT(B860*(Inputs!$F$8-Inputs!$D$8)*(Inputs!$E$8-Inputs!$D$8)),Inputs!$F$8-SQRT((1-B860)*(Inputs!$F$8-Inputs!$D$8)*(Inputs!$F$8-Inputs!$E$8))),0)</f>
        <v>25</v>
      </c>
      <c r="D860" s="81" t="n">
        <f aca="true">RAND()</f>
        <v>0.894260117642639</v>
      </c>
      <c r="E860" s="83" t="n">
        <f aca="false">IF(D860&lt;(Inputs!$E$10-Inputs!$D$10)/(Inputs!$F$10-Inputs!$D$10),Inputs!$D$10+SQRT(D860*(Inputs!$F$10-Inputs!$D$10)*(Inputs!$E$10-Inputs!$D$10)),Inputs!$F$10-SQRT((1-D860)*(Inputs!$F$10-Inputs!$D$10)*(Inputs!$F$10-Inputs!$E$10)))</f>
        <v>0.143677744445727</v>
      </c>
      <c r="F860" s="81" t="n">
        <f aca="true">RAND()</f>
        <v>0.284356145903954</v>
      </c>
      <c r="G860" s="83" t="n">
        <f aca="false">IF(F860&lt;(Inputs!$E$15-Inputs!$D$15)/(Inputs!$F$15-Inputs!$D$15),Inputs!$D$15+SQRT(F860*(Inputs!$F$15-Inputs!$D$15)*(Inputs!$E$15-Inputs!$D$15)),Inputs!$F$15-SQRT((1-F860)*(Inputs!$F$15-Inputs!$D$15)*(Inputs!$F$15-Inputs!$E$15)))</f>
        <v>0.675413015574761</v>
      </c>
      <c r="H860" s="81" t="n">
        <f aca="true">RAND()</f>
        <v>0.324751018894345</v>
      </c>
      <c r="I860" s="82" t="n">
        <f aca="false">ROUND(IF(H860&lt;(Inputs!$E$17-Inputs!$D$17)/(Inputs!$F$17-Inputs!$D$17),Inputs!$D$17+SQRT(H860*(Inputs!$F$17-Inputs!$D$17)*(Inputs!$E$17-Inputs!$D$17)),Inputs!$F$17-SQRT((1-H860)*(Inputs!$F$17-Inputs!$D$17)*(Inputs!$F$17-Inputs!$E$17))),0)</f>
        <v>105</v>
      </c>
      <c r="J860" s="81" t="n">
        <f aca="true">RAND()</f>
        <v>0.000127801190075339</v>
      </c>
      <c r="K860" s="83" t="n">
        <f aca="false">IF(J860&lt;(Inputs!$E$18-Inputs!$D$18)/(Inputs!$F$18-Inputs!$D$18),Inputs!$D$18+SQRT(J860*(Inputs!$F$18-Inputs!$D$18)*(Inputs!$E$18-Inputs!$D$18)),Inputs!$F$18-SQRT((1-J860)*(Inputs!$F$18-Inputs!$D$18)*(Inputs!$F$18-Inputs!$E$18)))</f>
        <v>0.902114956655026</v>
      </c>
      <c r="L860" s="81" t="n">
        <f aca="true">RAND()</f>
        <v>0.992733584224291</v>
      </c>
      <c r="M860" s="83" t="n">
        <f aca="false">IF(L860&lt;(Inputs!$E$24-Inputs!$D$24)/(Inputs!$F$24-Inputs!$D$24),Inputs!$D$24+SQRT(L860*(Inputs!$F$24-Inputs!$D$24)*(Inputs!$E$24-Inputs!$D$24)),Inputs!$F$24-SQRT((1-L860)*(Inputs!$F$24-Inputs!$D$24)*(Inputs!$F$24-Inputs!$E$24)))</f>
        <v>1.15823949490044</v>
      </c>
      <c r="N860" s="81" t="n">
        <f aca="true">RAND()</f>
        <v>0.468980417824242</v>
      </c>
      <c r="O860" s="83" t="n">
        <f aca="false">IF(N860&lt;(Inputs!$E$26-Inputs!$D$26)/(Inputs!$F$26-Inputs!$D$26),Inputs!$D$26+SQRT(N860*(Inputs!$F$26-Inputs!$D$26)*(Inputs!$E$26-Inputs!$D$26)),Inputs!$F$26-SQRT((1-N860)*(Inputs!$F$26-Inputs!$D$26)*(Inputs!$F$26-Inputs!$E$26)))</f>
        <v>0.5793534347846</v>
      </c>
      <c r="P860" s="81" t="n">
        <f aca="true">RAND()</f>
        <v>0.9196686020482</v>
      </c>
      <c r="Q860" s="82" t="n">
        <f aca="false">IF(P860&lt;(Inputs!$E$27-Inputs!$D$27)/(Inputs!$F$27-Inputs!$D$27),Inputs!$D$27+SQRT(P860*(Inputs!$F$27-Inputs!$D$27)*(Inputs!$E$27-Inputs!$D$27)),Inputs!$F$27-SQRT((1-P860)*(Inputs!$F$27-Inputs!$D$27)*(Inputs!$F$27-Inputs!$E$27)))</f>
        <v>125.454420262734</v>
      </c>
      <c r="R860" s="81" t="n">
        <f aca="true">RAND()</f>
        <v>0.746723000035624</v>
      </c>
      <c r="S860" s="82" t="n">
        <f aca="false">IF(R860&lt;(Inputs!$E$29-Inputs!$D$29)/(Inputs!$F$29-Inputs!$D$29),Inputs!$D$29+SQRT(R860*(Inputs!$F$29-Inputs!$D$29)*(Inputs!$E$29-Inputs!$D$29)),Inputs!$F$29-SQRT((1-R860)*(Inputs!$F$29-Inputs!$D$29)*(Inputs!$F$29-Inputs!$E$29)))</f>
        <v>9.26188097061687</v>
      </c>
      <c r="T860" s="68" t="n">
        <f aca="false">Inputs!$E$9*(1+E860)+Inputs!$E$5*C860*(Inputs!$E$11*Inputs!$E$14*(G860*I860/Inputs!$E$16+(1-G860))*K860+Inputs!$E$23*M860)*(1+O860)+Inputs!$E$5*(Q860+S860)</f>
        <v>6762.00154344714</v>
      </c>
    </row>
    <row r="861" customFormat="false" ht="15" hidden="false" customHeight="false" outlineLevel="0" collapsed="false">
      <c r="A861" s="1" t="n">
        <v>857</v>
      </c>
      <c r="B861" s="81" t="n">
        <f aca="true">RAND()</f>
        <v>0.652024079559518</v>
      </c>
      <c r="C861" s="82" t="n">
        <f aca="false">ROUND(IF(B861&lt;(Inputs!$E$8-Inputs!$D$8)/(Inputs!$F$8-Inputs!$D$8),Inputs!$D$8+SQRT(B861*(Inputs!$F$8-Inputs!$D$8)*(Inputs!$E$8-Inputs!$D$8)),Inputs!$F$8-SQRT((1-B861)*(Inputs!$F$8-Inputs!$D$8)*(Inputs!$F$8-Inputs!$E$8))),0)</f>
        <v>26</v>
      </c>
      <c r="D861" s="81" t="n">
        <f aca="true">RAND()</f>
        <v>0.284567825279861</v>
      </c>
      <c r="E861" s="83" t="n">
        <f aca="false">IF(D861&lt;(Inputs!$E$10-Inputs!$D$10)/(Inputs!$F$10-Inputs!$D$10),Inputs!$D$10+SQRT(D861*(Inputs!$F$10-Inputs!$D$10)*(Inputs!$E$10-Inputs!$D$10)),Inputs!$F$10-SQRT((1-D861)*(Inputs!$F$10-Inputs!$D$10)*(Inputs!$F$10-Inputs!$E$10)))</f>
        <v>0.0534975589227122</v>
      </c>
      <c r="F861" s="81" t="n">
        <f aca="true">RAND()</f>
        <v>0.30676184466705</v>
      </c>
      <c r="G861" s="83" t="n">
        <f aca="false">IF(F861&lt;(Inputs!$E$15-Inputs!$D$15)/(Inputs!$F$15-Inputs!$D$15),Inputs!$D$15+SQRT(F861*(Inputs!$F$15-Inputs!$D$15)*(Inputs!$E$15-Inputs!$D$15)),Inputs!$F$15-SQRT((1-F861)*(Inputs!$F$15-Inputs!$D$15)*(Inputs!$F$15-Inputs!$E$15)))</f>
        <v>0.678327753021142</v>
      </c>
      <c r="H861" s="81" t="n">
        <f aca="true">RAND()</f>
        <v>0.526553036004084</v>
      </c>
      <c r="I861" s="82" t="n">
        <f aca="false">ROUND(IF(H861&lt;(Inputs!$E$17-Inputs!$D$17)/(Inputs!$F$17-Inputs!$D$17),Inputs!$D$17+SQRT(H861*(Inputs!$F$17-Inputs!$D$17)*(Inputs!$E$17-Inputs!$D$17)),Inputs!$F$17-SQRT((1-H861)*(Inputs!$F$17-Inputs!$D$17)*(Inputs!$F$17-Inputs!$E$17))),0)</f>
        <v>107</v>
      </c>
      <c r="J861" s="81" t="n">
        <f aca="true">RAND()</f>
        <v>0.625112198353996</v>
      </c>
      <c r="K861" s="83" t="n">
        <f aca="false">IF(J861&lt;(Inputs!$E$18-Inputs!$D$18)/(Inputs!$F$18-Inputs!$D$18),Inputs!$D$18+SQRT(J861*(Inputs!$F$18-Inputs!$D$18)*(Inputs!$E$18-Inputs!$D$18)),Inputs!$F$18-SQRT((1-J861)*(Inputs!$F$18-Inputs!$D$18)*(Inputs!$F$18-Inputs!$E$18)))</f>
        <v>1.06888489117684</v>
      </c>
      <c r="L861" s="81" t="n">
        <f aca="true">RAND()</f>
        <v>0.807455581183874</v>
      </c>
      <c r="M861" s="83" t="n">
        <f aca="false">IF(L861&lt;(Inputs!$E$24-Inputs!$D$24)/(Inputs!$F$24-Inputs!$D$24),Inputs!$D$24+SQRT(L861*(Inputs!$F$24-Inputs!$D$24)*(Inputs!$E$24-Inputs!$D$24)),Inputs!$F$24-SQRT((1-L861)*(Inputs!$F$24-Inputs!$D$24)*(Inputs!$F$24-Inputs!$E$24)))</f>
        <v>0.98503335022411</v>
      </c>
      <c r="N861" s="81" t="n">
        <f aca="true">RAND()</f>
        <v>0.229036166247145</v>
      </c>
      <c r="O861" s="83" t="n">
        <f aca="false">IF(N861&lt;(Inputs!$E$26-Inputs!$D$26)/(Inputs!$F$26-Inputs!$D$26),Inputs!$D$26+SQRT(N861*(Inputs!$F$26-Inputs!$D$26)*(Inputs!$E$26-Inputs!$D$26)),Inputs!$F$26-SQRT((1-N861)*(Inputs!$F$26-Inputs!$D$26)*(Inputs!$F$26-Inputs!$E$26)))</f>
        <v>0.495221971262266</v>
      </c>
      <c r="P861" s="81" t="n">
        <f aca="true">RAND()</f>
        <v>0.508475406938131</v>
      </c>
      <c r="Q861" s="82" t="n">
        <f aca="false">IF(P861&lt;(Inputs!$E$27-Inputs!$D$27)/(Inputs!$F$27-Inputs!$D$27),Inputs!$D$27+SQRT(P861*(Inputs!$F$27-Inputs!$D$27)*(Inputs!$E$27-Inputs!$D$27)),Inputs!$F$27-SQRT((1-P861)*(Inputs!$F$27-Inputs!$D$27)*(Inputs!$F$27-Inputs!$E$27)))</f>
        <v>89.2839852430677</v>
      </c>
      <c r="R861" s="81" t="n">
        <f aca="true">RAND()</f>
        <v>0.635994310236211</v>
      </c>
      <c r="S861" s="82" t="n">
        <f aca="false">IF(R861&lt;(Inputs!$E$29-Inputs!$D$29)/(Inputs!$F$29-Inputs!$D$29),Inputs!$D$29+SQRT(R861*(Inputs!$F$29-Inputs!$D$29)*(Inputs!$E$29-Inputs!$D$29)),Inputs!$F$29-SQRT((1-R861)*(Inputs!$F$29-Inputs!$D$29)*(Inputs!$F$29-Inputs!$E$29)))</f>
        <v>8.12099282822786</v>
      </c>
      <c r="T861" s="68" t="n">
        <f aca="false">Inputs!$E$9*(1+E861)+Inputs!$E$5*C861*(Inputs!$E$11*Inputs!$E$14*(G861*I861/Inputs!$E$16+(1-G861))*K861+Inputs!$E$23*M861)*(1+O861)+Inputs!$E$5*(Q861+S861)</f>
        <v>6454.87316329412</v>
      </c>
    </row>
    <row r="862" customFormat="false" ht="15" hidden="false" customHeight="false" outlineLevel="0" collapsed="false">
      <c r="A862" s="1" t="n">
        <v>858</v>
      </c>
      <c r="B862" s="81" t="n">
        <f aca="true">RAND()</f>
        <v>0.307091810975182</v>
      </c>
      <c r="C862" s="82" t="n">
        <f aca="false">ROUND(IF(B862&lt;(Inputs!$E$8-Inputs!$D$8)/(Inputs!$F$8-Inputs!$D$8),Inputs!$D$8+SQRT(B862*(Inputs!$F$8-Inputs!$D$8)*(Inputs!$E$8-Inputs!$D$8)),Inputs!$F$8-SQRT((1-B862)*(Inputs!$F$8-Inputs!$D$8)*(Inputs!$F$8-Inputs!$E$8))),0)</f>
        <v>24</v>
      </c>
      <c r="D862" s="81" t="n">
        <f aca="true">RAND()</f>
        <v>0.448010499443423</v>
      </c>
      <c r="E862" s="83" t="n">
        <f aca="false">IF(D862&lt;(Inputs!$E$10-Inputs!$D$10)/(Inputs!$F$10-Inputs!$D$10),Inputs!$D$10+SQRT(D862*(Inputs!$F$10-Inputs!$D$10)*(Inputs!$E$10-Inputs!$D$10)),Inputs!$F$10-SQRT((1-D862)*(Inputs!$F$10-Inputs!$D$10)*(Inputs!$F$10-Inputs!$E$10)))</f>
        <v>0.0713155603163409</v>
      </c>
      <c r="F862" s="81" t="n">
        <f aca="true">RAND()</f>
        <v>0.00131652262215094</v>
      </c>
      <c r="G862" s="83" t="n">
        <f aca="false">IF(F862&lt;(Inputs!$E$15-Inputs!$D$15)/(Inputs!$F$15-Inputs!$D$15),Inputs!$D$15+SQRT(F862*(Inputs!$F$15-Inputs!$D$15)*(Inputs!$E$15-Inputs!$D$15)),Inputs!$F$15-SQRT((1-F862)*(Inputs!$F$15-Inputs!$D$15)*(Inputs!$F$15-Inputs!$E$15)))</f>
        <v>0.605131320730866</v>
      </c>
      <c r="H862" s="81" t="n">
        <f aca="true">RAND()</f>
        <v>0.580253267091374</v>
      </c>
      <c r="I862" s="82" t="n">
        <f aca="false">ROUND(IF(H862&lt;(Inputs!$E$17-Inputs!$D$17)/(Inputs!$F$17-Inputs!$D$17),Inputs!$D$17+SQRT(H862*(Inputs!$F$17-Inputs!$D$17)*(Inputs!$E$17-Inputs!$D$17)),Inputs!$F$17-SQRT((1-H862)*(Inputs!$F$17-Inputs!$D$17)*(Inputs!$F$17-Inputs!$E$17))),0)</f>
        <v>107</v>
      </c>
      <c r="J862" s="81" t="n">
        <f aca="true">RAND()</f>
        <v>0.782032235957704</v>
      </c>
      <c r="K862" s="83" t="n">
        <f aca="false">IF(J862&lt;(Inputs!$E$18-Inputs!$D$18)/(Inputs!$F$18-Inputs!$D$18),Inputs!$D$18+SQRT(J862*(Inputs!$F$18-Inputs!$D$18)*(Inputs!$E$18-Inputs!$D$18)),Inputs!$F$18-SQRT((1-J862)*(Inputs!$F$18-Inputs!$D$18)*(Inputs!$F$18-Inputs!$E$18)))</f>
        <v>1.11189793863341</v>
      </c>
      <c r="L862" s="81" t="n">
        <f aca="true">RAND()</f>
        <v>0.507141129693302</v>
      </c>
      <c r="M862" s="83" t="n">
        <f aca="false">IF(L862&lt;(Inputs!$E$24-Inputs!$D$24)/(Inputs!$F$24-Inputs!$D$24),Inputs!$D$24+SQRT(L862*(Inputs!$F$24-Inputs!$D$24)*(Inputs!$E$24-Inputs!$D$24)),Inputs!$F$24-SQRT((1-L862)*(Inputs!$F$24-Inputs!$D$24)*(Inputs!$F$24-Inputs!$E$24)))</f>
        <v>0.856072494741105</v>
      </c>
      <c r="N862" s="81" t="n">
        <f aca="true">RAND()</f>
        <v>0.848449917704287</v>
      </c>
      <c r="O862" s="83" t="n">
        <f aca="false">IF(N862&lt;(Inputs!$E$26-Inputs!$D$26)/(Inputs!$F$26-Inputs!$D$26),Inputs!$D$26+SQRT(N862*(Inputs!$F$26-Inputs!$D$26)*(Inputs!$E$26-Inputs!$D$26)),Inputs!$F$26-SQRT((1-N862)*(Inputs!$F$26-Inputs!$D$26)*(Inputs!$F$26-Inputs!$E$26)))</f>
        <v>0.694456347994994</v>
      </c>
      <c r="P862" s="81" t="n">
        <f aca="true">RAND()</f>
        <v>0.107830129400665</v>
      </c>
      <c r="Q862" s="82" t="n">
        <f aca="false">IF(P862&lt;(Inputs!$E$27-Inputs!$D$27)/(Inputs!$F$27-Inputs!$D$27),Inputs!$D$27+SQRT(P862*(Inputs!$F$27-Inputs!$D$27)*(Inputs!$E$27-Inputs!$D$27)),Inputs!$F$27-SQRT((1-P862)*(Inputs!$F$27-Inputs!$D$27)*(Inputs!$F$27-Inputs!$E$27)))</f>
        <v>66.4187491454636</v>
      </c>
      <c r="R862" s="81" t="n">
        <f aca="true">RAND()</f>
        <v>0.889936583200712</v>
      </c>
      <c r="S862" s="82" t="n">
        <f aca="false">IF(R862&lt;(Inputs!$E$29-Inputs!$D$29)/(Inputs!$F$29-Inputs!$D$29),Inputs!$D$29+SQRT(R862*(Inputs!$F$29-Inputs!$D$29)*(Inputs!$E$29-Inputs!$D$29)),Inputs!$F$29-SQRT((1-R862)*(Inputs!$F$29-Inputs!$D$29)*(Inputs!$F$29-Inputs!$E$29)))</f>
        <v>11.2173760186998</v>
      </c>
      <c r="T862" s="68" t="n">
        <f aca="false">Inputs!$E$9*(1+E862)+Inputs!$E$5*C862*(Inputs!$E$11*Inputs!$E$14*(G862*I862/Inputs!$E$16+(1-G862))*K862+Inputs!$E$23*M862)*(1+O862)+Inputs!$E$5*(Q862+S862)</f>
        <v>6580.08716856103</v>
      </c>
    </row>
    <row r="863" customFormat="false" ht="15" hidden="false" customHeight="false" outlineLevel="0" collapsed="false">
      <c r="A863" s="1" t="n">
        <v>859</v>
      </c>
      <c r="B863" s="81" t="n">
        <f aca="true">RAND()</f>
        <v>0.582531873080856</v>
      </c>
      <c r="C863" s="82" t="n">
        <f aca="false">ROUND(IF(B863&lt;(Inputs!$E$8-Inputs!$D$8)/(Inputs!$F$8-Inputs!$D$8),Inputs!$D$8+SQRT(B863*(Inputs!$F$8-Inputs!$D$8)*(Inputs!$E$8-Inputs!$D$8)),Inputs!$F$8-SQRT((1-B863)*(Inputs!$F$8-Inputs!$D$8)*(Inputs!$F$8-Inputs!$E$8))),0)</f>
        <v>25</v>
      </c>
      <c r="D863" s="81" t="n">
        <f aca="true">RAND()</f>
        <v>0.523463575469542</v>
      </c>
      <c r="E863" s="83" t="n">
        <f aca="false">IF(D863&lt;(Inputs!$E$10-Inputs!$D$10)/(Inputs!$F$10-Inputs!$D$10),Inputs!$D$10+SQRT(D863*(Inputs!$F$10-Inputs!$D$10)*(Inputs!$E$10-Inputs!$D$10)),Inputs!$F$10-SQRT((1-D863)*(Inputs!$F$10-Inputs!$D$10)*(Inputs!$F$10-Inputs!$E$10)))</f>
        <v>0.0804337307769715</v>
      </c>
      <c r="F863" s="81" t="n">
        <f aca="true">RAND()</f>
        <v>0.238078774648881</v>
      </c>
      <c r="G863" s="83" t="n">
        <f aca="false">IF(F863&lt;(Inputs!$E$15-Inputs!$D$15)/(Inputs!$F$15-Inputs!$D$15),Inputs!$D$15+SQRT(F863*(Inputs!$F$15-Inputs!$D$15)*(Inputs!$E$15-Inputs!$D$15)),Inputs!$F$15-SQRT((1-F863)*(Inputs!$F$15-Inputs!$D$15)*(Inputs!$F$15-Inputs!$E$15)))</f>
        <v>0.669004170112955</v>
      </c>
      <c r="H863" s="81" t="n">
        <f aca="true">RAND()</f>
        <v>0.620638943947686</v>
      </c>
      <c r="I863" s="82" t="n">
        <f aca="false">ROUND(IF(H863&lt;(Inputs!$E$17-Inputs!$D$17)/(Inputs!$F$17-Inputs!$D$17),Inputs!$D$17+SQRT(H863*(Inputs!$F$17-Inputs!$D$17)*(Inputs!$E$17-Inputs!$D$17)),Inputs!$F$17-SQRT((1-H863)*(Inputs!$F$17-Inputs!$D$17)*(Inputs!$F$17-Inputs!$E$17))),0)</f>
        <v>107</v>
      </c>
      <c r="J863" s="81" t="n">
        <f aca="true">RAND()</f>
        <v>0.841460824645178</v>
      </c>
      <c r="K863" s="83" t="n">
        <f aca="false">IF(J863&lt;(Inputs!$E$18-Inputs!$D$18)/(Inputs!$F$18-Inputs!$D$18),Inputs!$D$18+SQRT(J863*(Inputs!$F$18-Inputs!$D$18)*(Inputs!$E$18-Inputs!$D$18)),Inputs!$F$18-SQRT((1-J863)*(Inputs!$F$18-Inputs!$D$18)*(Inputs!$F$18-Inputs!$E$18)))</f>
        <v>1.1322197901023</v>
      </c>
      <c r="L863" s="81" t="n">
        <f aca="true">RAND()</f>
        <v>0.225334663920401</v>
      </c>
      <c r="M863" s="83" t="n">
        <f aca="false">IF(L863&lt;(Inputs!$E$24-Inputs!$D$24)/(Inputs!$F$24-Inputs!$D$24),Inputs!$D$24+SQRT(L863*(Inputs!$F$24-Inputs!$D$24)*(Inputs!$E$24-Inputs!$D$24)),Inputs!$F$24-SQRT((1-L863)*(Inputs!$F$24-Inputs!$D$24)*(Inputs!$F$24-Inputs!$E$24)))</f>
        <v>0.764438923830242</v>
      </c>
      <c r="N863" s="81" t="n">
        <f aca="true">RAND()</f>
        <v>0.150907644267218</v>
      </c>
      <c r="O863" s="83" t="n">
        <f aca="false">IF(N863&lt;(Inputs!$E$26-Inputs!$D$26)/(Inputs!$F$26-Inputs!$D$26),Inputs!$D$26+SQRT(N863*(Inputs!$F$26-Inputs!$D$26)*(Inputs!$E$26-Inputs!$D$26)),Inputs!$F$26-SQRT((1-N863)*(Inputs!$F$26-Inputs!$D$26)*(Inputs!$F$26-Inputs!$E$26)))</f>
        <v>0.458464608055127</v>
      </c>
      <c r="P863" s="81" t="n">
        <f aca="true">RAND()</f>
        <v>0.867477905844735</v>
      </c>
      <c r="Q863" s="82" t="n">
        <f aca="false">IF(P863&lt;(Inputs!$E$27-Inputs!$D$27)/(Inputs!$F$27-Inputs!$D$27),Inputs!$D$27+SQRT(P863*(Inputs!$F$27-Inputs!$D$27)*(Inputs!$E$27-Inputs!$D$27)),Inputs!$F$27-SQRT((1-P863)*(Inputs!$F$27-Inputs!$D$27)*(Inputs!$F$27-Inputs!$E$27)))</f>
        <v>118.473571306529</v>
      </c>
      <c r="R863" s="81" t="n">
        <f aca="true">RAND()</f>
        <v>0.662315631124454</v>
      </c>
      <c r="S863" s="82" t="n">
        <f aca="false">IF(R863&lt;(Inputs!$E$29-Inputs!$D$29)/(Inputs!$F$29-Inputs!$D$29),Inputs!$D$29+SQRT(R863*(Inputs!$F$29-Inputs!$D$29)*(Inputs!$E$29-Inputs!$D$29)),Inputs!$F$29-SQRT((1-R863)*(Inputs!$F$29-Inputs!$D$29)*(Inputs!$F$29-Inputs!$E$29)))</f>
        <v>8.3743703730271</v>
      </c>
      <c r="T863" s="68" t="n">
        <f aca="false">Inputs!$E$9*(1+E863)+Inputs!$E$5*C863*(Inputs!$E$11*Inputs!$E$14*(G863*I863/Inputs!$E$16+(1-G863))*K863+Inputs!$E$23*M863)*(1+O863)+Inputs!$E$5*(Q863+S863)</f>
        <v>6287.40146591375</v>
      </c>
    </row>
    <row r="864" customFormat="false" ht="15" hidden="false" customHeight="false" outlineLevel="0" collapsed="false">
      <c r="A864" s="1" t="n">
        <v>860</v>
      </c>
      <c r="B864" s="81" t="n">
        <f aca="true">RAND()</f>
        <v>0.712904148706413</v>
      </c>
      <c r="C864" s="82" t="n">
        <f aca="false">ROUND(IF(B864&lt;(Inputs!$E$8-Inputs!$D$8)/(Inputs!$F$8-Inputs!$D$8),Inputs!$D$8+SQRT(B864*(Inputs!$F$8-Inputs!$D$8)*(Inputs!$E$8-Inputs!$D$8)),Inputs!$F$8-SQRT((1-B864)*(Inputs!$F$8-Inputs!$D$8)*(Inputs!$F$8-Inputs!$E$8))),0)</f>
        <v>26</v>
      </c>
      <c r="D864" s="81" t="n">
        <f aca="true">RAND()</f>
        <v>0.732501845795852</v>
      </c>
      <c r="E864" s="83" t="n">
        <f aca="false">IF(D864&lt;(Inputs!$E$10-Inputs!$D$10)/(Inputs!$F$10-Inputs!$D$10),Inputs!$D$10+SQRT(D864*(Inputs!$F$10-Inputs!$D$10)*(Inputs!$E$10-Inputs!$D$10)),Inputs!$F$10-SQRT((1-D864)*(Inputs!$F$10-Inputs!$D$10)*(Inputs!$F$10-Inputs!$E$10)))</f>
        <v>0.110417944731523</v>
      </c>
      <c r="F864" s="81" t="n">
        <f aca="true">RAND()</f>
        <v>0.964613351245196</v>
      </c>
      <c r="G864" s="83" t="n">
        <f aca="false">IF(F864&lt;(Inputs!$E$15-Inputs!$D$15)/(Inputs!$F$15-Inputs!$D$15),Inputs!$D$15+SQRT(F864*(Inputs!$F$15-Inputs!$D$15)*(Inputs!$E$15-Inputs!$D$15)),Inputs!$F$15-SQRT((1-F864)*(Inputs!$F$15-Inputs!$D$15)*(Inputs!$F$15-Inputs!$E$15)))</f>
        <v>0.773396748787111</v>
      </c>
      <c r="H864" s="81" t="n">
        <f aca="true">RAND()</f>
        <v>0.205782212862</v>
      </c>
      <c r="I864" s="82" t="n">
        <f aca="false">ROUND(IF(H864&lt;(Inputs!$E$17-Inputs!$D$17)/(Inputs!$F$17-Inputs!$D$17),Inputs!$D$17+SQRT(H864*(Inputs!$F$17-Inputs!$D$17)*(Inputs!$E$17-Inputs!$D$17)),Inputs!$F$17-SQRT((1-H864)*(Inputs!$F$17-Inputs!$D$17)*(Inputs!$F$17-Inputs!$E$17))),0)</f>
        <v>104</v>
      </c>
      <c r="J864" s="81" t="n">
        <f aca="true">RAND()</f>
        <v>0.235081732235273</v>
      </c>
      <c r="K864" s="83" t="n">
        <f aca="false">IF(J864&lt;(Inputs!$E$18-Inputs!$D$18)/(Inputs!$F$18-Inputs!$D$18),Inputs!$D$18+SQRT(J864*(Inputs!$F$18-Inputs!$D$18)*(Inputs!$E$18-Inputs!$D$18)),Inputs!$F$18-SQRT((1-J864)*(Inputs!$F$18-Inputs!$D$18)*(Inputs!$F$18-Inputs!$E$18)))</f>
        <v>0.990707555519012</v>
      </c>
      <c r="L864" s="81" t="n">
        <f aca="true">RAND()</f>
        <v>0.99165781748399</v>
      </c>
      <c r="M864" s="83" t="n">
        <f aca="false">IF(L864&lt;(Inputs!$E$24-Inputs!$D$24)/(Inputs!$F$24-Inputs!$D$24),Inputs!$D$24+SQRT(L864*(Inputs!$F$24-Inputs!$D$24)*(Inputs!$E$24-Inputs!$D$24)),Inputs!$F$24-SQRT((1-L864)*(Inputs!$F$24-Inputs!$D$24)*(Inputs!$F$24-Inputs!$E$24)))</f>
        <v>1.15525490190152</v>
      </c>
      <c r="N864" s="81" t="n">
        <f aca="true">RAND()</f>
        <v>0.640240178961524</v>
      </c>
      <c r="O864" s="83" t="n">
        <f aca="false">IF(N864&lt;(Inputs!$E$26-Inputs!$D$26)/(Inputs!$F$26-Inputs!$D$26),Inputs!$D$26+SQRT(N864*(Inputs!$F$26-Inputs!$D$26)*(Inputs!$E$26-Inputs!$D$26)),Inputs!$F$26-SQRT((1-N864)*(Inputs!$F$26-Inputs!$D$26)*(Inputs!$F$26-Inputs!$E$26)))</f>
        <v>0.626570370966593</v>
      </c>
      <c r="P864" s="81" t="n">
        <f aca="true">RAND()</f>
        <v>0.557031789850526</v>
      </c>
      <c r="Q864" s="82" t="n">
        <f aca="false">IF(P864&lt;(Inputs!$E$27-Inputs!$D$27)/(Inputs!$F$27-Inputs!$D$27),Inputs!$D$27+SQRT(P864*(Inputs!$F$27-Inputs!$D$27)*(Inputs!$E$27-Inputs!$D$27)),Inputs!$F$27-SQRT((1-P864)*(Inputs!$F$27-Inputs!$D$27)*(Inputs!$F$27-Inputs!$E$27)))</f>
        <v>92.3609370641658</v>
      </c>
      <c r="R864" s="81" t="n">
        <f aca="true">RAND()</f>
        <v>0.264710456414889</v>
      </c>
      <c r="S864" s="82" t="n">
        <f aca="false">IF(R864&lt;(Inputs!$E$29-Inputs!$D$29)/(Inputs!$F$29-Inputs!$D$29),Inputs!$D$29+SQRT(R864*(Inputs!$F$29-Inputs!$D$29)*(Inputs!$E$29-Inputs!$D$29)),Inputs!$F$29-SQRT((1-R864)*(Inputs!$F$29-Inputs!$D$29)*(Inputs!$F$29-Inputs!$E$29)))</f>
        <v>5.22310679888215</v>
      </c>
      <c r="T864" s="68" t="n">
        <f aca="false">Inputs!$E$9*(1+E864)+Inputs!$E$5*C864*(Inputs!$E$11*Inputs!$E$14*(G864*I864/Inputs!$E$16+(1-G864))*K864+Inputs!$E$23*M864)*(1+O864)+Inputs!$E$5*(Q864+S864)</f>
        <v>6806.69199334133</v>
      </c>
    </row>
    <row r="865" customFormat="false" ht="15" hidden="false" customHeight="false" outlineLevel="0" collapsed="false">
      <c r="A865" s="1" t="n">
        <v>861</v>
      </c>
      <c r="B865" s="81" t="n">
        <f aca="true">RAND()</f>
        <v>0.909092729970867</v>
      </c>
      <c r="C865" s="82" t="n">
        <f aca="false">ROUND(IF(B865&lt;(Inputs!$E$8-Inputs!$D$8)/(Inputs!$F$8-Inputs!$D$8),Inputs!$D$8+SQRT(B865*(Inputs!$F$8-Inputs!$D$8)*(Inputs!$E$8-Inputs!$D$8)),Inputs!$F$8-SQRT((1-B865)*(Inputs!$F$8-Inputs!$D$8)*(Inputs!$F$8-Inputs!$E$8))),0)</f>
        <v>28</v>
      </c>
      <c r="D865" s="81" t="n">
        <f aca="true">RAND()</f>
        <v>0.856251875520262</v>
      </c>
      <c r="E865" s="83" t="n">
        <f aca="false">IF(D865&lt;(Inputs!$E$10-Inputs!$D$10)/(Inputs!$F$10-Inputs!$D$10),Inputs!$D$10+SQRT(D865*(Inputs!$F$10-Inputs!$D$10)*(Inputs!$E$10-Inputs!$D$10)),Inputs!$F$10-SQRT((1-D865)*(Inputs!$F$10-Inputs!$D$10)*(Inputs!$F$10-Inputs!$E$10)))</f>
        <v>0.134330800717596</v>
      </c>
      <c r="F865" s="81" t="n">
        <f aca="true">RAND()</f>
        <v>0.811667648347494</v>
      </c>
      <c r="G865" s="83" t="n">
        <f aca="false">IF(F865&lt;(Inputs!$E$15-Inputs!$D$15)/(Inputs!$F$15-Inputs!$D$15),Inputs!$D$15+SQRT(F865*(Inputs!$F$15-Inputs!$D$15)*(Inputs!$E$15-Inputs!$D$15)),Inputs!$F$15-SQRT((1-F865)*(Inputs!$F$15-Inputs!$D$15)*(Inputs!$F$15-Inputs!$E$15)))</f>
        <v>0.738626984487887</v>
      </c>
      <c r="H865" s="81" t="n">
        <f aca="true">RAND()</f>
        <v>0.161410965184371</v>
      </c>
      <c r="I865" s="82" t="n">
        <f aca="false">ROUND(IF(H865&lt;(Inputs!$E$17-Inputs!$D$17)/(Inputs!$F$17-Inputs!$D$17),Inputs!$D$17+SQRT(H865*(Inputs!$F$17-Inputs!$D$17)*(Inputs!$E$17-Inputs!$D$17)),Inputs!$F$17-SQRT((1-H865)*(Inputs!$F$17-Inputs!$D$17)*(Inputs!$F$17-Inputs!$E$17))),0)</f>
        <v>103</v>
      </c>
      <c r="J865" s="81" t="n">
        <f aca="true">RAND()</f>
        <v>0.695168614574756</v>
      </c>
      <c r="K865" s="83" t="n">
        <f aca="false">IF(J865&lt;(Inputs!$E$18-Inputs!$D$18)/(Inputs!$F$18-Inputs!$D$18),Inputs!$D$18+SQRT(J865*(Inputs!$F$18-Inputs!$D$18)*(Inputs!$E$18-Inputs!$D$18)),Inputs!$F$18-SQRT((1-J865)*(Inputs!$F$18-Inputs!$D$18)*(Inputs!$F$18-Inputs!$E$18)))</f>
        <v>1.08668207010647</v>
      </c>
      <c r="L865" s="81" t="n">
        <f aca="true">RAND()</f>
        <v>0.606625738397854</v>
      </c>
      <c r="M865" s="83" t="n">
        <f aca="false">IF(L865&lt;(Inputs!$E$24-Inputs!$D$24)/(Inputs!$F$24-Inputs!$D$24),Inputs!$D$24+SQRT(L865*(Inputs!$F$24-Inputs!$D$24)*(Inputs!$E$24-Inputs!$D$24)),Inputs!$F$24-SQRT((1-L865)*(Inputs!$F$24-Inputs!$D$24)*(Inputs!$F$24-Inputs!$E$24)))</f>
        <v>0.892738185280834</v>
      </c>
      <c r="N865" s="81" t="n">
        <f aca="true">RAND()</f>
        <v>0.157671205134559</v>
      </c>
      <c r="O865" s="83" t="n">
        <f aca="false">IF(N865&lt;(Inputs!$E$26-Inputs!$D$26)/(Inputs!$F$26-Inputs!$D$26),Inputs!$D$26+SQRT(N865*(Inputs!$F$26-Inputs!$D$26)*(Inputs!$E$26-Inputs!$D$26)),Inputs!$F$26-SQRT((1-N865)*(Inputs!$F$26-Inputs!$D$26)*(Inputs!$F$26-Inputs!$E$26)))</f>
        <v>0.461976814805054</v>
      </c>
      <c r="P865" s="81" t="n">
        <f aca="true">RAND()</f>
        <v>0.782235413125031</v>
      </c>
      <c r="Q865" s="82" t="n">
        <f aca="false">IF(P865&lt;(Inputs!$E$27-Inputs!$D$27)/(Inputs!$F$27-Inputs!$D$27),Inputs!$D$27+SQRT(P865*(Inputs!$F$27-Inputs!$D$27)*(Inputs!$E$27-Inputs!$D$27)),Inputs!$F$27-SQRT((1-P865)*(Inputs!$F$27-Inputs!$D$27)*(Inputs!$F$27-Inputs!$E$27)))</f>
        <v>109.586705138503</v>
      </c>
      <c r="R865" s="81" t="n">
        <f aca="true">RAND()</f>
        <v>0.37944218597692</v>
      </c>
      <c r="S865" s="82" t="n">
        <f aca="false">IF(R865&lt;(Inputs!$E$29-Inputs!$D$29)/(Inputs!$F$29-Inputs!$D$29),Inputs!$D$29+SQRT(R865*(Inputs!$F$29-Inputs!$D$29)*(Inputs!$E$29-Inputs!$D$29)),Inputs!$F$29-SQRT((1-R865)*(Inputs!$F$29-Inputs!$D$29)*(Inputs!$F$29-Inputs!$E$29)))</f>
        <v>6.01821199186931</v>
      </c>
      <c r="T865" s="68" t="n">
        <f aca="false">Inputs!$E$9*(1+E865)+Inputs!$E$5*C865*(Inputs!$E$11*Inputs!$E$14*(G865*I865/Inputs!$E$16+(1-G865))*K865+Inputs!$E$23*M865)*(1+O865)+Inputs!$E$5*(Q865+S865)</f>
        <v>6680.64256653023</v>
      </c>
    </row>
    <row r="866" customFormat="false" ht="15" hidden="false" customHeight="false" outlineLevel="0" collapsed="false">
      <c r="A866" s="1" t="n">
        <v>862</v>
      </c>
      <c r="B866" s="81" t="n">
        <f aca="true">RAND()</f>
        <v>0.72223540800757</v>
      </c>
      <c r="C866" s="82" t="n">
        <f aca="false">ROUND(IF(B866&lt;(Inputs!$E$8-Inputs!$D$8)/(Inputs!$F$8-Inputs!$D$8),Inputs!$D$8+SQRT(B866*(Inputs!$F$8-Inputs!$D$8)*(Inputs!$E$8-Inputs!$D$8)),Inputs!$F$8-SQRT((1-B866)*(Inputs!$F$8-Inputs!$D$8)*(Inputs!$F$8-Inputs!$E$8))),0)</f>
        <v>26</v>
      </c>
      <c r="D866" s="81" t="n">
        <f aca="true">RAND()</f>
        <v>0.0893606116805051</v>
      </c>
      <c r="E866" s="83" t="n">
        <f aca="false">IF(D866&lt;(Inputs!$E$10-Inputs!$D$10)/(Inputs!$F$10-Inputs!$D$10),Inputs!$D$10+SQRT(D866*(Inputs!$F$10-Inputs!$D$10)*(Inputs!$E$10-Inputs!$D$10)),Inputs!$F$10-SQRT((1-D866)*(Inputs!$F$10-Inputs!$D$10)*(Inputs!$F$10-Inputs!$E$10)))</f>
        <v>0.0298932453374513</v>
      </c>
      <c r="F866" s="81" t="n">
        <f aca="true">RAND()</f>
        <v>0.76394852566715</v>
      </c>
      <c r="G866" s="83" t="n">
        <f aca="false">IF(F866&lt;(Inputs!$E$15-Inputs!$D$15)/(Inputs!$F$15-Inputs!$D$15),Inputs!$D$15+SQRT(F866*(Inputs!$F$15-Inputs!$D$15)*(Inputs!$E$15-Inputs!$D$15)),Inputs!$F$15-SQRT((1-F866)*(Inputs!$F$15-Inputs!$D$15)*(Inputs!$F$15-Inputs!$E$15)))</f>
        <v>0.731290251880414</v>
      </c>
      <c r="H866" s="81" t="n">
        <f aca="true">RAND()</f>
        <v>0.284231412172932</v>
      </c>
      <c r="I866" s="82" t="n">
        <f aca="false">ROUND(IF(H866&lt;(Inputs!$E$17-Inputs!$D$17)/(Inputs!$F$17-Inputs!$D$17),Inputs!$D$17+SQRT(H866*(Inputs!$F$17-Inputs!$D$17)*(Inputs!$E$17-Inputs!$D$17)),Inputs!$F$17-SQRT((1-H866)*(Inputs!$F$17-Inputs!$D$17)*(Inputs!$F$17-Inputs!$E$17))),0)</f>
        <v>105</v>
      </c>
      <c r="J866" s="81" t="n">
        <f aca="true">RAND()</f>
        <v>0.0803190021297908</v>
      </c>
      <c r="K866" s="83" t="n">
        <f aca="false">IF(J866&lt;(Inputs!$E$18-Inputs!$D$18)/(Inputs!$F$18-Inputs!$D$18),Inputs!$D$18+SQRT(J866*(Inputs!$F$18-Inputs!$D$18)*(Inputs!$E$18-Inputs!$D$18)),Inputs!$F$18-SQRT((1-J866)*(Inputs!$F$18-Inputs!$D$18)*(Inputs!$F$18-Inputs!$E$18)))</f>
        <v>0.953020421297295</v>
      </c>
      <c r="L866" s="81" t="n">
        <f aca="true">RAND()</f>
        <v>0.117123338908799</v>
      </c>
      <c r="M866" s="83" t="n">
        <f aca="false">IF(L866&lt;(Inputs!$E$24-Inputs!$D$24)/(Inputs!$F$24-Inputs!$D$24),Inputs!$D$24+SQRT(L866*(Inputs!$F$24-Inputs!$D$24)*(Inputs!$E$24-Inputs!$D$24)),Inputs!$F$24-SQRT((1-L866)*(Inputs!$F$24-Inputs!$D$24)*(Inputs!$F$24-Inputs!$E$24)))</f>
        <v>0.718552944581971</v>
      </c>
      <c r="N866" s="81" t="n">
        <f aca="true">RAND()</f>
        <v>0.616905612728525</v>
      </c>
      <c r="O866" s="83" t="n">
        <f aca="false">IF(N866&lt;(Inputs!$E$26-Inputs!$D$26)/(Inputs!$F$26-Inputs!$D$26),Inputs!$D$26+SQRT(N866*(Inputs!$F$26-Inputs!$D$26)*(Inputs!$E$26-Inputs!$D$26)),Inputs!$F$26-SQRT((1-N866)*(Inputs!$F$26-Inputs!$D$26)*(Inputs!$F$26-Inputs!$E$26)))</f>
        <v>0.62039585105456</v>
      </c>
      <c r="P866" s="81" t="n">
        <f aca="true">RAND()</f>
        <v>0.468327758523594</v>
      </c>
      <c r="Q866" s="82" t="n">
        <f aca="false">IF(P866&lt;(Inputs!$E$27-Inputs!$D$27)/(Inputs!$F$27-Inputs!$D$27),Inputs!$D$27+SQRT(P866*(Inputs!$F$27-Inputs!$D$27)*(Inputs!$E$27-Inputs!$D$27)),Inputs!$F$27-SQRT((1-P866)*(Inputs!$F$27-Inputs!$D$27)*(Inputs!$F$27-Inputs!$E$27)))</f>
        <v>86.8530142360457</v>
      </c>
      <c r="R866" s="81" t="n">
        <f aca="true">RAND()</f>
        <v>0.163627131023373</v>
      </c>
      <c r="S866" s="82" t="n">
        <f aca="false">IF(R866&lt;(Inputs!$E$29-Inputs!$D$29)/(Inputs!$F$29-Inputs!$D$29),Inputs!$D$29+SQRT(R866*(Inputs!$F$29-Inputs!$D$29)*(Inputs!$E$29-Inputs!$D$29)),Inputs!$F$29-SQRT((1-R866)*(Inputs!$F$29-Inputs!$D$29)*(Inputs!$F$29-Inputs!$E$29)))</f>
        <v>4.52615480719444</v>
      </c>
      <c r="T866" s="68" t="n">
        <f aca="false">Inputs!$E$9*(1+E866)+Inputs!$E$5*C866*(Inputs!$E$11*Inputs!$E$14*(G866*I866/Inputs!$E$16+(1-G866))*K866+Inputs!$E$23*M866)*(1+O866)+Inputs!$E$5*(Q866+S866)</f>
        <v>5916.22714382897</v>
      </c>
    </row>
    <row r="867" customFormat="false" ht="15" hidden="false" customHeight="false" outlineLevel="0" collapsed="false">
      <c r="A867" s="1" t="n">
        <v>863</v>
      </c>
      <c r="B867" s="81" t="n">
        <f aca="true">RAND()</f>
        <v>0.498985633599769</v>
      </c>
      <c r="C867" s="82" t="n">
        <f aca="false">ROUND(IF(B867&lt;(Inputs!$E$8-Inputs!$D$8)/(Inputs!$F$8-Inputs!$D$8),Inputs!$D$8+SQRT(B867*(Inputs!$F$8-Inputs!$D$8)*(Inputs!$E$8-Inputs!$D$8)),Inputs!$F$8-SQRT((1-B867)*(Inputs!$F$8-Inputs!$D$8)*(Inputs!$F$8-Inputs!$E$8))),0)</f>
        <v>25</v>
      </c>
      <c r="D867" s="81" t="n">
        <f aca="true">RAND()</f>
        <v>0.814244673389411</v>
      </c>
      <c r="E867" s="83" t="n">
        <f aca="false">IF(D867&lt;(Inputs!$E$10-Inputs!$D$10)/(Inputs!$F$10-Inputs!$D$10),Inputs!$D$10+SQRT(D867*(Inputs!$F$10-Inputs!$D$10)*(Inputs!$E$10-Inputs!$D$10)),Inputs!$F$10-SQRT((1-D867)*(Inputs!$F$10-Inputs!$D$10)*(Inputs!$F$10-Inputs!$E$10)))</f>
        <v>0.125349750179134</v>
      </c>
      <c r="F867" s="81" t="n">
        <f aca="true">RAND()</f>
        <v>0.287936262114429</v>
      </c>
      <c r="G867" s="83" t="n">
        <f aca="false">IF(F867&lt;(Inputs!$E$15-Inputs!$D$15)/(Inputs!$F$15-Inputs!$D$15),Inputs!$D$15+SQRT(F867*(Inputs!$F$15-Inputs!$D$15)*(Inputs!$E$15-Inputs!$D$15)),Inputs!$F$15-SQRT((1-F867)*(Inputs!$F$15-Inputs!$D$15)*(Inputs!$F$15-Inputs!$E$15)))</f>
        <v>0.675886265175515</v>
      </c>
      <c r="H867" s="81" t="n">
        <f aca="true">RAND()</f>
        <v>0.623449368827863</v>
      </c>
      <c r="I867" s="82" t="n">
        <f aca="false">ROUND(IF(H867&lt;(Inputs!$E$17-Inputs!$D$17)/(Inputs!$F$17-Inputs!$D$17),Inputs!$D$17+SQRT(H867*(Inputs!$F$17-Inputs!$D$17)*(Inputs!$E$17-Inputs!$D$17)),Inputs!$F$17-SQRT((1-H867)*(Inputs!$F$17-Inputs!$D$17)*(Inputs!$F$17-Inputs!$E$17))),0)</f>
        <v>107</v>
      </c>
      <c r="J867" s="81" t="n">
        <f aca="true">RAND()</f>
        <v>0.250897535921187</v>
      </c>
      <c r="K867" s="83" t="n">
        <f aca="false">IF(J867&lt;(Inputs!$E$18-Inputs!$D$18)/(Inputs!$F$18-Inputs!$D$18),Inputs!$D$18+SQRT(J867*(Inputs!$F$18-Inputs!$D$18)*(Inputs!$E$18-Inputs!$D$18)),Inputs!$F$18-SQRT((1-J867)*(Inputs!$F$18-Inputs!$D$18)*(Inputs!$F$18-Inputs!$E$18)))</f>
        <v>0.993709197826262</v>
      </c>
      <c r="L867" s="81" t="n">
        <f aca="true">RAND()</f>
        <v>0.284867807771594</v>
      </c>
      <c r="M867" s="83" t="n">
        <f aca="false">IF(L867&lt;(Inputs!$E$24-Inputs!$D$24)/(Inputs!$F$24-Inputs!$D$24),Inputs!$D$24+SQRT(L867*(Inputs!$F$24-Inputs!$D$24)*(Inputs!$E$24-Inputs!$D$24)),Inputs!$F$24-SQRT((1-L867)*(Inputs!$F$24-Inputs!$D$24)*(Inputs!$F$24-Inputs!$E$24)))</f>
        <v>0.784889526292301</v>
      </c>
      <c r="N867" s="81" t="n">
        <f aca="true">RAND()</f>
        <v>0.345855091615463</v>
      </c>
      <c r="O867" s="83" t="n">
        <f aca="false">IF(N867&lt;(Inputs!$E$26-Inputs!$D$26)/(Inputs!$F$26-Inputs!$D$26),Inputs!$D$26+SQRT(N867*(Inputs!$F$26-Inputs!$D$26)*(Inputs!$E$26-Inputs!$D$26)),Inputs!$F$26-SQRT((1-N867)*(Inputs!$F$26-Inputs!$D$26)*(Inputs!$F$26-Inputs!$E$26)))</f>
        <v>0.539896409403753</v>
      </c>
      <c r="P867" s="81" t="n">
        <f aca="true">RAND()</f>
        <v>0.00340151127213626</v>
      </c>
      <c r="Q867" s="82" t="n">
        <f aca="false">IF(P867&lt;(Inputs!$E$27-Inputs!$D$27)/(Inputs!$F$27-Inputs!$D$27),Inputs!$D$27+SQRT(P867*(Inputs!$F$27-Inputs!$D$27)*(Inputs!$E$27-Inputs!$D$27)),Inputs!$F$27-SQRT((1-P867)*(Inputs!$F$27-Inputs!$D$27)*(Inputs!$F$27-Inputs!$E$27)))</f>
        <v>52.9161238280191</v>
      </c>
      <c r="R867" s="81" t="n">
        <f aca="true">RAND()</f>
        <v>0.848989103410171</v>
      </c>
      <c r="S867" s="82" t="n">
        <f aca="false">IF(R867&lt;(Inputs!$E$29-Inputs!$D$29)/(Inputs!$F$29-Inputs!$D$29),Inputs!$D$29+SQRT(R867*(Inputs!$F$29-Inputs!$D$29)*(Inputs!$E$29-Inputs!$D$29)),Inputs!$F$29-SQRT((1-R867)*(Inputs!$F$29-Inputs!$D$29)*(Inputs!$F$29-Inputs!$E$29)))</f>
        <v>10.5692645580358</v>
      </c>
      <c r="T867" s="68" t="n">
        <f aca="false">Inputs!$E$9*(1+E867)+Inputs!$E$5*C867*(Inputs!$E$11*Inputs!$E$14*(G867*I867/Inputs!$E$16+(1-G867))*K867+Inputs!$E$23*M867)*(1+O867)+Inputs!$E$5*(Q867+S867)</f>
        <v>5977.0254113355</v>
      </c>
    </row>
    <row r="868" customFormat="false" ht="15" hidden="false" customHeight="false" outlineLevel="0" collapsed="false">
      <c r="A868" s="1" t="n">
        <v>864</v>
      </c>
      <c r="B868" s="81" t="n">
        <f aca="true">RAND()</f>
        <v>0.655045625239575</v>
      </c>
      <c r="C868" s="82" t="n">
        <f aca="false">ROUND(IF(B868&lt;(Inputs!$E$8-Inputs!$D$8)/(Inputs!$F$8-Inputs!$D$8),Inputs!$D$8+SQRT(B868*(Inputs!$F$8-Inputs!$D$8)*(Inputs!$E$8-Inputs!$D$8)),Inputs!$F$8-SQRT((1-B868)*(Inputs!$F$8-Inputs!$D$8)*(Inputs!$F$8-Inputs!$E$8))),0)</f>
        <v>26</v>
      </c>
      <c r="D868" s="81" t="n">
        <f aca="true">RAND()</f>
        <v>0.370449170786769</v>
      </c>
      <c r="E868" s="83" t="n">
        <f aca="false">IF(D868&lt;(Inputs!$E$10-Inputs!$D$10)/(Inputs!$F$10-Inputs!$D$10),Inputs!$D$10+SQRT(D868*(Inputs!$F$10-Inputs!$D$10)*(Inputs!$E$10-Inputs!$D$10)),Inputs!$F$10-SQRT((1-D868)*(Inputs!$F$10-Inputs!$D$10)*(Inputs!$F$10-Inputs!$E$10)))</f>
        <v>0.0625717464405629</v>
      </c>
      <c r="F868" s="81" t="n">
        <f aca="true">RAND()</f>
        <v>0.39981461460585</v>
      </c>
      <c r="G868" s="83" t="n">
        <f aca="false">IF(F868&lt;(Inputs!$E$15-Inputs!$D$15)/(Inputs!$F$15-Inputs!$D$15),Inputs!$D$15+SQRT(F868*(Inputs!$F$15-Inputs!$D$15)*(Inputs!$E$15-Inputs!$D$15)),Inputs!$F$15-SQRT((1-F868)*(Inputs!$F$15-Inputs!$D$15)*(Inputs!$F$15-Inputs!$E$15)))</f>
        <v>0.689421989980748</v>
      </c>
      <c r="H868" s="81" t="n">
        <f aca="true">RAND()</f>
        <v>0.896540077068803</v>
      </c>
      <c r="I868" s="82" t="n">
        <f aca="false">ROUND(IF(H868&lt;(Inputs!$E$17-Inputs!$D$17)/(Inputs!$F$17-Inputs!$D$17),Inputs!$D$17+SQRT(H868*(Inputs!$F$17-Inputs!$D$17)*(Inputs!$E$17-Inputs!$D$17)),Inputs!$F$17-SQRT((1-H868)*(Inputs!$F$17-Inputs!$D$17)*(Inputs!$F$17-Inputs!$E$17))),0)</f>
        <v>111</v>
      </c>
      <c r="J868" s="81" t="n">
        <f aca="true">RAND()</f>
        <v>0.113768419593217</v>
      </c>
      <c r="K868" s="83" t="n">
        <f aca="false">IF(J868&lt;(Inputs!$E$18-Inputs!$D$18)/(Inputs!$F$18-Inputs!$D$18),Inputs!$D$18+SQRT(J868*(Inputs!$F$18-Inputs!$D$18)*(Inputs!$E$18-Inputs!$D$18)),Inputs!$F$18-SQRT((1-J868)*(Inputs!$F$18-Inputs!$D$18)*(Inputs!$F$18-Inputs!$E$18)))</f>
        <v>0.96310225578981</v>
      </c>
      <c r="L868" s="81" t="n">
        <f aca="true">RAND()</f>
        <v>0.325874491504706</v>
      </c>
      <c r="M868" s="83" t="n">
        <f aca="false">IF(L868&lt;(Inputs!$E$24-Inputs!$D$24)/(Inputs!$F$24-Inputs!$D$24),Inputs!$D$24+SQRT(L868*(Inputs!$F$24-Inputs!$D$24)*(Inputs!$E$24-Inputs!$D$24)),Inputs!$F$24-SQRT((1-L868)*(Inputs!$F$24-Inputs!$D$24)*(Inputs!$F$24-Inputs!$E$24)))</f>
        <v>0.797749687687654</v>
      </c>
      <c r="N868" s="81" t="n">
        <f aca="true">RAND()</f>
        <v>0.442668648782062</v>
      </c>
      <c r="O868" s="83" t="n">
        <f aca="false">IF(N868&lt;(Inputs!$E$26-Inputs!$D$26)/(Inputs!$F$26-Inputs!$D$26),Inputs!$D$26+SQRT(N868*(Inputs!$F$26-Inputs!$D$26)*(Inputs!$E$26-Inputs!$D$26)),Inputs!$F$26-SQRT((1-N868)*(Inputs!$F$26-Inputs!$D$26)*(Inputs!$F$26-Inputs!$E$26)))</f>
        <v>0.571403874617396</v>
      </c>
      <c r="P868" s="81" t="n">
        <f aca="true">RAND()</f>
        <v>0.644612801177173</v>
      </c>
      <c r="Q868" s="82" t="n">
        <f aca="false">IF(P868&lt;(Inputs!$E$27-Inputs!$D$27)/(Inputs!$F$27-Inputs!$D$27),Inputs!$D$27+SQRT(P868*(Inputs!$F$27-Inputs!$D$27)*(Inputs!$E$27-Inputs!$D$27)),Inputs!$F$27-SQRT((1-P868)*(Inputs!$F$27-Inputs!$D$27)*(Inputs!$F$27-Inputs!$E$27)))</f>
        <v>98.372449301064</v>
      </c>
      <c r="R868" s="81" t="n">
        <f aca="true">RAND()</f>
        <v>0.629906972147137</v>
      </c>
      <c r="S868" s="82" t="n">
        <f aca="false">IF(R868&lt;(Inputs!$E$29-Inputs!$D$29)/(Inputs!$F$29-Inputs!$D$29),Inputs!$D$29+SQRT(R868*(Inputs!$F$29-Inputs!$D$29)*(Inputs!$E$29-Inputs!$D$29)),Inputs!$F$29-SQRT((1-R868)*(Inputs!$F$29-Inputs!$D$29)*(Inputs!$F$29-Inputs!$E$29)))</f>
        <v>8.06371182685782</v>
      </c>
      <c r="T868" s="68" t="n">
        <f aca="false">Inputs!$E$9*(1+E868)+Inputs!$E$5*C868*(Inputs!$E$11*Inputs!$E$14*(G868*I868/Inputs!$E$16+(1-G868))*K868+Inputs!$E$23*M868)*(1+O868)+Inputs!$E$5*(Q868+S868)</f>
        <v>6226.51989501897</v>
      </c>
    </row>
    <row r="869" customFormat="false" ht="15" hidden="false" customHeight="false" outlineLevel="0" collapsed="false">
      <c r="A869" s="1" t="n">
        <v>865</v>
      </c>
      <c r="B869" s="81" t="n">
        <f aca="true">RAND()</f>
        <v>0.460987247371214</v>
      </c>
      <c r="C869" s="82" t="n">
        <f aca="false">ROUND(IF(B869&lt;(Inputs!$E$8-Inputs!$D$8)/(Inputs!$F$8-Inputs!$D$8),Inputs!$D$8+SQRT(B869*(Inputs!$F$8-Inputs!$D$8)*(Inputs!$E$8-Inputs!$D$8)),Inputs!$F$8-SQRT((1-B869)*(Inputs!$F$8-Inputs!$D$8)*(Inputs!$F$8-Inputs!$E$8))),0)</f>
        <v>25</v>
      </c>
      <c r="D869" s="81" t="n">
        <f aca="true">RAND()</f>
        <v>0.0922494244282739</v>
      </c>
      <c r="E869" s="83" t="n">
        <f aca="false">IF(D869&lt;(Inputs!$E$10-Inputs!$D$10)/(Inputs!$F$10-Inputs!$D$10),Inputs!$D$10+SQRT(D869*(Inputs!$F$10-Inputs!$D$10)*(Inputs!$E$10-Inputs!$D$10)),Inputs!$F$10-SQRT((1-D869)*(Inputs!$F$10-Inputs!$D$10)*(Inputs!$F$10-Inputs!$E$10)))</f>
        <v>0.0303725903452889</v>
      </c>
      <c r="F869" s="81" t="n">
        <f aca="true">RAND()</f>
        <v>0.887074810601777</v>
      </c>
      <c r="G869" s="83" t="n">
        <f aca="false">IF(F869&lt;(Inputs!$E$15-Inputs!$D$15)/(Inputs!$F$15-Inputs!$D$15),Inputs!$D$15+SQRT(F869*(Inputs!$F$15-Inputs!$D$15)*(Inputs!$E$15-Inputs!$D$15)),Inputs!$F$15-SQRT((1-F869)*(Inputs!$F$15-Inputs!$D$15)*(Inputs!$F$15-Inputs!$E$15)))</f>
        <v>0.752476281837755</v>
      </c>
      <c r="H869" s="81" t="n">
        <f aca="true">RAND()</f>
        <v>0.374610658095719</v>
      </c>
      <c r="I869" s="82" t="n">
        <f aca="false">ROUND(IF(H869&lt;(Inputs!$E$17-Inputs!$D$17)/(Inputs!$F$17-Inputs!$D$17),Inputs!$D$17+SQRT(H869*(Inputs!$F$17-Inputs!$D$17)*(Inputs!$E$17-Inputs!$D$17)),Inputs!$F$17-SQRT((1-H869)*(Inputs!$F$17-Inputs!$D$17)*(Inputs!$F$17-Inputs!$E$17))),0)</f>
        <v>105</v>
      </c>
      <c r="J869" s="81" t="n">
        <f aca="true">RAND()</f>
        <v>0.291128772398991</v>
      </c>
      <c r="K869" s="83" t="n">
        <f aca="false">IF(J869&lt;(Inputs!$E$18-Inputs!$D$18)/(Inputs!$F$18-Inputs!$D$18),Inputs!$D$18+SQRT(J869*(Inputs!$F$18-Inputs!$D$18)*(Inputs!$E$18-Inputs!$D$18)),Inputs!$F$18-SQRT((1-J869)*(Inputs!$F$18-Inputs!$D$18)*(Inputs!$F$18-Inputs!$E$18)))</f>
        <v>1.00094933765379</v>
      </c>
      <c r="L869" s="81" t="n">
        <f aca="true">RAND()</f>
        <v>0.109593209105931</v>
      </c>
      <c r="M869" s="83" t="n">
        <f aca="false">IF(L869&lt;(Inputs!$E$24-Inputs!$D$24)/(Inputs!$F$24-Inputs!$D$24),Inputs!$D$24+SQRT(L869*(Inputs!$F$24-Inputs!$D$24)*(Inputs!$E$24-Inputs!$D$24)),Inputs!$F$24-SQRT((1-L869)*(Inputs!$F$24-Inputs!$D$24)*(Inputs!$F$24-Inputs!$E$24)))</f>
        <v>0.71467861654516</v>
      </c>
      <c r="N869" s="81" t="n">
        <f aca="true">RAND()</f>
        <v>0.848508180908329</v>
      </c>
      <c r="O869" s="83" t="n">
        <f aca="false">IF(N869&lt;(Inputs!$E$26-Inputs!$D$26)/(Inputs!$F$26-Inputs!$D$26),Inputs!$D$26+SQRT(N869*(Inputs!$F$26-Inputs!$D$26)*(Inputs!$E$26-Inputs!$D$26)),Inputs!$F$26-SQRT((1-N869)*(Inputs!$F$26-Inputs!$D$26)*(Inputs!$F$26-Inputs!$E$26)))</f>
        <v>0.694480482850141</v>
      </c>
      <c r="P869" s="81" t="n">
        <f aca="true">RAND()</f>
        <v>0.232256817037538</v>
      </c>
      <c r="Q869" s="82" t="n">
        <f aca="false">IF(P869&lt;(Inputs!$E$27-Inputs!$D$27)/(Inputs!$F$27-Inputs!$D$27),Inputs!$D$27+SQRT(P869*(Inputs!$F$27-Inputs!$D$27)*(Inputs!$E$27-Inputs!$D$27)),Inputs!$F$27-SQRT((1-P869)*(Inputs!$F$27-Inputs!$D$27)*(Inputs!$F$27-Inputs!$E$27)))</f>
        <v>74.0965151545581</v>
      </c>
      <c r="R869" s="81" t="n">
        <f aca="true">RAND()</f>
        <v>0.178893549609639</v>
      </c>
      <c r="S869" s="82" t="n">
        <f aca="false">IF(R869&lt;(Inputs!$E$29-Inputs!$D$29)/(Inputs!$F$29-Inputs!$D$29),Inputs!$D$29+SQRT(R869*(Inputs!$F$29-Inputs!$D$29)*(Inputs!$E$29-Inputs!$D$29)),Inputs!$F$29-SQRT((1-R869)*(Inputs!$F$29-Inputs!$D$29)*(Inputs!$F$29-Inputs!$E$29)))</f>
        <v>4.64137245286913</v>
      </c>
      <c r="T869" s="68" t="n">
        <f aca="false">Inputs!$E$9*(1+E869)+Inputs!$E$5*C869*(Inputs!$E$11*Inputs!$E$14*(G869*I869/Inputs!$E$16+(1-G869))*K869+Inputs!$E$23*M869)*(1+O869)+Inputs!$E$5*(Q869+S869)</f>
        <v>5942.78794288825</v>
      </c>
    </row>
    <row r="870" customFormat="false" ht="15" hidden="false" customHeight="false" outlineLevel="0" collapsed="false">
      <c r="A870" s="1" t="n">
        <v>866</v>
      </c>
      <c r="B870" s="81" t="n">
        <f aca="true">RAND()</f>
        <v>0.991489769308367</v>
      </c>
      <c r="C870" s="82" t="n">
        <f aca="false">ROUND(IF(B870&lt;(Inputs!$E$8-Inputs!$D$8)/(Inputs!$F$8-Inputs!$D$8),Inputs!$D$8+SQRT(B870*(Inputs!$F$8-Inputs!$D$8)*(Inputs!$E$8-Inputs!$D$8)),Inputs!$F$8-SQRT((1-B870)*(Inputs!$F$8-Inputs!$D$8)*(Inputs!$F$8-Inputs!$E$8))),0)</f>
        <v>29</v>
      </c>
      <c r="D870" s="81" t="n">
        <f aca="true">RAND()</f>
        <v>0.596833115536133</v>
      </c>
      <c r="E870" s="83" t="n">
        <f aca="false">IF(D870&lt;(Inputs!$E$10-Inputs!$D$10)/(Inputs!$F$10-Inputs!$D$10),Inputs!$D$10+SQRT(D870*(Inputs!$F$10-Inputs!$D$10)*(Inputs!$E$10-Inputs!$D$10)),Inputs!$F$10-SQRT((1-D870)*(Inputs!$F$10-Inputs!$D$10)*(Inputs!$F$10-Inputs!$E$10)))</f>
        <v>0.0900226999153188</v>
      </c>
      <c r="F870" s="81" t="n">
        <f aca="true">RAND()</f>
        <v>0.633333840611033</v>
      </c>
      <c r="G870" s="83" t="n">
        <f aca="false">IF(F870&lt;(Inputs!$E$15-Inputs!$D$15)/(Inputs!$F$15-Inputs!$D$15),Inputs!$D$15+SQRT(F870*(Inputs!$F$15-Inputs!$D$15)*(Inputs!$E$15-Inputs!$D$15)),Inputs!$F$15-SQRT((1-F870)*(Inputs!$F$15-Inputs!$D$15)*(Inputs!$F$15-Inputs!$E$15)))</f>
        <v>0.714365175379526</v>
      </c>
      <c r="H870" s="81" t="n">
        <f aca="true">RAND()</f>
        <v>0.498383424863546</v>
      </c>
      <c r="I870" s="82" t="n">
        <f aca="false">ROUND(IF(H870&lt;(Inputs!$E$17-Inputs!$D$17)/(Inputs!$F$17-Inputs!$D$17),Inputs!$D$17+SQRT(H870*(Inputs!$F$17-Inputs!$D$17)*(Inputs!$E$17-Inputs!$D$17)),Inputs!$F$17-SQRT((1-H870)*(Inputs!$F$17-Inputs!$D$17)*(Inputs!$F$17-Inputs!$E$17))),0)</f>
        <v>106</v>
      </c>
      <c r="J870" s="81" t="n">
        <f aca="true">RAND()</f>
        <v>0.632187940686602</v>
      </c>
      <c r="K870" s="83" t="n">
        <f aca="false">IF(J870&lt;(Inputs!$E$18-Inputs!$D$18)/(Inputs!$F$18-Inputs!$D$18),Inputs!$D$18+SQRT(J870*(Inputs!$F$18-Inputs!$D$18)*(Inputs!$E$18-Inputs!$D$18)),Inputs!$F$18-SQRT((1-J870)*(Inputs!$F$18-Inputs!$D$18)*(Inputs!$F$18-Inputs!$E$18)))</f>
        <v>1.07060224307444</v>
      </c>
      <c r="L870" s="81" t="n">
        <f aca="true">RAND()</f>
        <v>0.57836857533974</v>
      </c>
      <c r="M870" s="83" t="n">
        <f aca="false">IF(L870&lt;(Inputs!$E$24-Inputs!$D$24)/(Inputs!$F$24-Inputs!$D$24),Inputs!$D$24+SQRT(L870*(Inputs!$F$24-Inputs!$D$24)*(Inputs!$E$24-Inputs!$D$24)),Inputs!$F$24-SQRT((1-L870)*(Inputs!$F$24-Inputs!$D$24)*(Inputs!$F$24-Inputs!$E$24)))</f>
        <v>0.8818938197418</v>
      </c>
      <c r="N870" s="81" t="n">
        <f aca="true">RAND()</f>
        <v>0.152582224488832</v>
      </c>
      <c r="O870" s="83" t="n">
        <f aca="false">IF(N870&lt;(Inputs!$E$26-Inputs!$D$26)/(Inputs!$F$26-Inputs!$D$26),Inputs!$D$26+SQRT(N870*(Inputs!$F$26-Inputs!$D$26)*(Inputs!$E$26-Inputs!$D$26)),Inputs!$F$26-SQRT((1-N870)*(Inputs!$F$26-Inputs!$D$26)*(Inputs!$F$26-Inputs!$E$26)))</f>
        <v>0.459341401258247</v>
      </c>
      <c r="P870" s="81" t="n">
        <f aca="true">RAND()</f>
        <v>0.908460887516545</v>
      </c>
      <c r="Q870" s="82" t="n">
        <f aca="false">IF(P870&lt;(Inputs!$E$27-Inputs!$D$27)/(Inputs!$F$27-Inputs!$D$27),Inputs!$D$27+SQRT(P870*(Inputs!$F$27-Inputs!$D$27)*(Inputs!$E$27-Inputs!$D$27)),Inputs!$F$27-SQRT((1-P870)*(Inputs!$F$27-Inputs!$D$27)*(Inputs!$F$27-Inputs!$E$27)))</f>
        <v>123.798027867622</v>
      </c>
      <c r="R870" s="81" t="n">
        <f aca="true">RAND()</f>
        <v>0.746205450730227</v>
      </c>
      <c r="S870" s="82" t="n">
        <f aca="false">IF(R870&lt;(Inputs!$E$29-Inputs!$D$29)/(Inputs!$F$29-Inputs!$D$29),Inputs!$D$29+SQRT(R870*(Inputs!$F$29-Inputs!$D$29)*(Inputs!$E$29-Inputs!$D$29)),Inputs!$F$29-SQRT((1-R870)*(Inputs!$F$29-Inputs!$D$29)*(Inputs!$F$29-Inputs!$E$29)))</f>
        <v>9.25602129138081</v>
      </c>
      <c r="T870" s="68" t="n">
        <f aca="false">Inputs!$E$9*(1+E870)+Inputs!$E$5*C870*(Inputs!$E$11*Inputs!$E$14*(G870*I870/Inputs!$E$16+(1-G870))*K870+Inputs!$E$23*M870)*(1+O870)+Inputs!$E$5*(Q870+S870)</f>
        <v>6818.83412263182</v>
      </c>
    </row>
    <row r="871" customFormat="false" ht="15" hidden="false" customHeight="false" outlineLevel="0" collapsed="false">
      <c r="A871" s="1" t="n">
        <v>867</v>
      </c>
      <c r="B871" s="81" t="n">
        <f aca="true">RAND()</f>
        <v>0.0165077811869246</v>
      </c>
      <c r="C871" s="82" t="n">
        <f aca="false">ROUND(IF(B871&lt;(Inputs!$E$8-Inputs!$D$8)/(Inputs!$F$8-Inputs!$D$8),Inputs!$D$8+SQRT(B871*(Inputs!$F$8-Inputs!$D$8)*(Inputs!$E$8-Inputs!$D$8)),Inputs!$F$8-SQRT((1-B871)*(Inputs!$F$8-Inputs!$D$8)*(Inputs!$F$8-Inputs!$E$8))),0)</f>
        <v>21</v>
      </c>
      <c r="D871" s="81" t="n">
        <f aca="true">RAND()</f>
        <v>0.979914579361666</v>
      </c>
      <c r="E871" s="83" t="n">
        <f aca="false">IF(D871&lt;(Inputs!$E$10-Inputs!$D$10)/(Inputs!$F$10-Inputs!$D$10),Inputs!$D$10+SQRT(D871*(Inputs!$F$10-Inputs!$D$10)*(Inputs!$E$10-Inputs!$D$10)),Inputs!$F$10-SQRT((1-D871)*(Inputs!$F$10-Inputs!$D$10)*(Inputs!$F$10-Inputs!$E$10)))</f>
        <v>0.175452849062467</v>
      </c>
      <c r="F871" s="81" t="n">
        <f aca="true">RAND()</f>
        <v>0.11295138690733</v>
      </c>
      <c r="G871" s="83" t="n">
        <f aca="false">IF(F871&lt;(Inputs!$E$15-Inputs!$D$15)/(Inputs!$F$15-Inputs!$D$15),Inputs!$D$15+SQRT(F871*(Inputs!$F$15-Inputs!$D$15)*(Inputs!$E$15-Inputs!$D$15)),Inputs!$F$15-SQRT((1-F871)*(Inputs!$F$15-Inputs!$D$15)*(Inputs!$F$15-Inputs!$E$15)))</f>
        <v>0.647529230355084</v>
      </c>
      <c r="H871" s="81" t="n">
        <f aca="true">RAND()</f>
        <v>0.761651488165649</v>
      </c>
      <c r="I871" s="82" t="n">
        <f aca="false">ROUND(IF(H871&lt;(Inputs!$E$17-Inputs!$D$17)/(Inputs!$F$17-Inputs!$D$17),Inputs!$D$17+SQRT(H871*(Inputs!$F$17-Inputs!$D$17)*(Inputs!$E$17-Inputs!$D$17)),Inputs!$F$17-SQRT((1-H871)*(Inputs!$F$17-Inputs!$D$17)*(Inputs!$F$17-Inputs!$E$17))),0)</f>
        <v>109</v>
      </c>
      <c r="J871" s="81" t="n">
        <f aca="true">RAND()</f>
        <v>0.141053266189294</v>
      </c>
      <c r="K871" s="83" t="n">
        <f aca="false">IF(J871&lt;(Inputs!$E$18-Inputs!$D$18)/(Inputs!$F$18-Inputs!$D$18),Inputs!$D$18+SQRT(J871*(Inputs!$F$18-Inputs!$D$18)*(Inputs!$E$18-Inputs!$D$18)),Inputs!$F$18-SQRT((1-J871)*(Inputs!$F$18-Inputs!$D$18)*(Inputs!$F$18-Inputs!$E$18)))</f>
        <v>0.970262823147275</v>
      </c>
      <c r="L871" s="81" t="n">
        <f aca="true">RAND()</f>
        <v>0.47072997199424</v>
      </c>
      <c r="M871" s="83" t="n">
        <f aca="false">IF(L871&lt;(Inputs!$E$24-Inputs!$D$24)/(Inputs!$F$24-Inputs!$D$24),Inputs!$D$24+SQRT(L871*(Inputs!$F$24-Inputs!$D$24)*(Inputs!$E$24-Inputs!$D$24)),Inputs!$F$24-SQRT((1-L871)*(Inputs!$F$24-Inputs!$D$24)*(Inputs!$F$24-Inputs!$E$24)))</f>
        <v>0.843594603405922</v>
      </c>
      <c r="N871" s="81" t="n">
        <f aca="true">RAND()</f>
        <v>0.317398090746586</v>
      </c>
      <c r="O871" s="83" t="n">
        <f aca="false">IF(N871&lt;(Inputs!$E$26-Inputs!$D$26)/(Inputs!$F$26-Inputs!$D$26),Inputs!$D$26+SQRT(N871*(Inputs!$F$26-Inputs!$D$26)*(Inputs!$E$26-Inputs!$D$26)),Inputs!$F$26-SQRT((1-N871)*(Inputs!$F$26-Inputs!$D$26)*(Inputs!$F$26-Inputs!$E$26)))</f>
        <v>0.529815235135167</v>
      </c>
      <c r="P871" s="81" t="n">
        <f aca="true">RAND()</f>
        <v>0.268719969328218</v>
      </c>
      <c r="Q871" s="82" t="n">
        <f aca="false">IF(P871&lt;(Inputs!$E$27-Inputs!$D$27)/(Inputs!$F$27-Inputs!$D$27),Inputs!$D$27+SQRT(P871*(Inputs!$F$27-Inputs!$D$27)*(Inputs!$E$27-Inputs!$D$27)),Inputs!$F$27-SQRT((1-P871)*(Inputs!$F$27-Inputs!$D$27)*(Inputs!$F$27-Inputs!$E$27)))</f>
        <v>75.9419131354424</v>
      </c>
      <c r="R871" s="81" t="n">
        <f aca="true">RAND()</f>
        <v>0.0835121358736634</v>
      </c>
      <c r="S871" s="82" t="n">
        <f aca="false">IF(R871&lt;(Inputs!$E$29-Inputs!$D$29)/(Inputs!$F$29-Inputs!$D$29),Inputs!$D$29+SQRT(R871*(Inputs!$F$29-Inputs!$D$29)*(Inputs!$E$29-Inputs!$D$29)),Inputs!$F$29-SQRT((1-R871)*(Inputs!$F$29-Inputs!$D$29)*(Inputs!$F$29-Inputs!$E$29)))</f>
        <v>3.80470864658894</v>
      </c>
      <c r="T871" s="68" t="n">
        <f aca="false">Inputs!$E$9*(1+E871)+Inputs!$E$5*C871*(Inputs!$E$11*Inputs!$E$14*(G871*I871/Inputs!$E$16+(1-G871))*K871+Inputs!$E$23*M871)*(1+O871)+Inputs!$E$5*(Q871+S871)</f>
        <v>5712.90180265571</v>
      </c>
    </row>
    <row r="872" customFormat="false" ht="15" hidden="false" customHeight="false" outlineLevel="0" collapsed="false">
      <c r="A872" s="1" t="n">
        <v>868</v>
      </c>
      <c r="B872" s="81" t="n">
        <f aca="true">RAND()</f>
        <v>0.0193324372430759</v>
      </c>
      <c r="C872" s="82" t="n">
        <f aca="false">ROUND(IF(B872&lt;(Inputs!$E$8-Inputs!$D$8)/(Inputs!$F$8-Inputs!$D$8),Inputs!$D$8+SQRT(B872*(Inputs!$F$8-Inputs!$D$8)*(Inputs!$E$8-Inputs!$D$8)),Inputs!$F$8-SQRT((1-B872)*(Inputs!$F$8-Inputs!$D$8)*(Inputs!$F$8-Inputs!$E$8))),0)</f>
        <v>21</v>
      </c>
      <c r="D872" s="81" t="n">
        <f aca="true">RAND()</f>
        <v>0.263597216738425</v>
      </c>
      <c r="E872" s="83" t="n">
        <f aca="false">IF(D872&lt;(Inputs!$E$10-Inputs!$D$10)/(Inputs!$F$10-Inputs!$D$10),Inputs!$D$10+SQRT(D872*(Inputs!$F$10-Inputs!$D$10)*(Inputs!$E$10-Inputs!$D$10)),Inputs!$F$10-SQRT((1-D872)*(Inputs!$F$10-Inputs!$D$10)*(Inputs!$F$10-Inputs!$E$10)))</f>
        <v>0.0513659409898012</v>
      </c>
      <c r="F872" s="81" t="n">
        <f aca="true">RAND()</f>
        <v>0.43688364412148</v>
      </c>
      <c r="G872" s="83" t="n">
        <f aca="false">IF(F872&lt;(Inputs!$E$15-Inputs!$D$15)/(Inputs!$F$15-Inputs!$D$15),Inputs!$D$15+SQRT(F872*(Inputs!$F$15-Inputs!$D$15)*(Inputs!$E$15-Inputs!$D$15)),Inputs!$F$15-SQRT((1-F872)*(Inputs!$F$15-Inputs!$D$15)*(Inputs!$F$15-Inputs!$E$15)))</f>
        <v>0.693475520230858</v>
      </c>
      <c r="H872" s="81" t="n">
        <f aca="true">RAND()</f>
        <v>0.634962150151369</v>
      </c>
      <c r="I872" s="82" t="n">
        <f aca="false">ROUND(IF(H872&lt;(Inputs!$E$17-Inputs!$D$17)/(Inputs!$F$17-Inputs!$D$17),Inputs!$D$17+SQRT(H872*(Inputs!$F$17-Inputs!$D$17)*(Inputs!$E$17-Inputs!$D$17)),Inputs!$F$17-SQRT((1-H872)*(Inputs!$F$17-Inputs!$D$17)*(Inputs!$F$17-Inputs!$E$17))),0)</f>
        <v>108</v>
      </c>
      <c r="J872" s="81" t="n">
        <f aca="true">RAND()</f>
        <v>0.853696226953699</v>
      </c>
      <c r="K872" s="83" t="n">
        <f aca="false">IF(J872&lt;(Inputs!$E$18-Inputs!$D$18)/(Inputs!$F$18-Inputs!$D$18),Inputs!$D$18+SQRT(J872*(Inputs!$F$18-Inputs!$D$18)*(Inputs!$E$18-Inputs!$D$18)),Inputs!$F$18-SQRT((1-J872)*(Inputs!$F$18-Inputs!$D$18)*(Inputs!$F$18-Inputs!$E$18)))</f>
        <v>1.13685593192062</v>
      </c>
      <c r="L872" s="81" t="n">
        <f aca="true">RAND()</f>
        <v>0.976084736461688</v>
      </c>
      <c r="M872" s="83" t="n">
        <f aca="false">IF(L872&lt;(Inputs!$E$24-Inputs!$D$24)/(Inputs!$F$24-Inputs!$D$24),Inputs!$D$24+SQRT(L872*(Inputs!$F$24-Inputs!$D$24)*(Inputs!$E$24-Inputs!$D$24)),Inputs!$F$24-SQRT((1-L872)*(Inputs!$F$24-Inputs!$D$24)*(Inputs!$F$24-Inputs!$E$24)))</f>
        <v>1.12423943473551</v>
      </c>
      <c r="N872" s="81" t="n">
        <f aca="true">RAND()</f>
        <v>0.896926378065989</v>
      </c>
      <c r="O872" s="83" t="n">
        <f aca="false">IF(N872&lt;(Inputs!$E$26-Inputs!$D$26)/(Inputs!$F$26-Inputs!$D$26),Inputs!$D$26+SQRT(N872*(Inputs!$F$26-Inputs!$D$26)*(Inputs!$E$26-Inputs!$D$26)),Inputs!$F$26-SQRT((1-N872)*(Inputs!$F$26-Inputs!$D$26)*(Inputs!$F$26-Inputs!$E$26)))</f>
        <v>0.716464225114518</v>
      </c>
      <c r="P872" s="81" t="n">
        <f aca="true">RAND()</f>
        <v>0.474959362081467</v>
      </c>
      <c r="Q872" s="82" t="n">
        <f aca="false">IF(P872&lt;(Inputs!$E$27-Inputs!$D$27)/(Inputs!$F$27-Inputs!$D$27),Inputs!$D$27+SQRT(P872*(Inputs!$F$27-Inputs!$D$27)*(Inputs!$E$27-Inputs!$D$27)),Inputs!$F$27-SQRT((1-P872)*(Inputs!$F$27-Inputs!$D$27)*(Inputs!$F$27-Inputs!$E$27)))</f>
        <v>87.2480694767962</v>
      </c>
      <c r="R872" s="81" t="n">
        <f aca="true">RAND()</f>
        <v>0.94525056599031</v>
      </c>
      <c r="S872" s="82" t="n">
        <f aca="false">IF(R872&lt;(Inputs!$E$29-Inputs!$D$29)/(Inputs!$F$29-Inputs!$D$29),Inputs!$D$29+SQRT(R872*(Inputs!$F$29-Inputs!$D$29)*(Inputs!$E$29-Inputs!$D$29)),Inputs!$F$29-SQRT((1-R872)*(Inputs!$F$29-Inputs!$D$29)*(Inputs!$F$29-Inputs!$E$29)))</f>
        <v>12.3321494754654</v>
      </c>
      <c r="T872" s="68" t="n">
        <f aca="false">Inputs!$E$9*(1+E872)+Inputs!$E$5*C872*(Inputs!$E$11*Inputs!$E$14*(G872*I872/Inputs!$E$16+(1-G872))*K872+Inputs!$E$23*M872)*(1+O872)+Inputs!$E$5*(Q872+S872)</f>
        <v>6500.62931720789</v>
      </c>
    </row>
    <row r="873" customFormat="false" ht="15" hidden="false" customHeight="false" outlineLevel="0" collapsed="false">
      <c r="A873" s="1" t="n">
        <v>869</v>
      </c>
      <c r="B873" s="81" t="n">
        <f aca="true">RAND()</f>
        <v>0.831157874050153</v>
      </c>
      <c r="C873" s="82" t="n">
        <f aca="false">ROUND(IF(B873&lt;(Inputs!$E$8-Inputs!$D$8)/(Inputs!$F$8-Inputs!$D$8),Inputs!$D$8+SQRT(B873*(Inputs!$F$8-Inputs!$D$8)*(Inputs!$E$8-Inputs!$D$8)),Inputs!$F$8-SQRT((1-B873)*(Inputs!$F$8-Inputs!$D$8)*(Inputs!$F$8-Inputs!$E$8))),0)</f>
        <v>27</v>
      </c>
      <c r="D873" s="81" t="n">
        <f aca="true">RAND()</f>
        <v>0.79071109038203</v>
      </c>
      <c r="E873" s="83" t="n">
        <f aca="false">IF(D873&lt;(Inputs!$E$10-Inputs!$D$10)/(Inputs!$F$10-Inputs!$D$10),Inputs!$D$10+SQRT(D873*(Inputs!$F$10-Inputs!$D$10)*(Inputs!$E$10-Inputs!$D$10)),Inputs!$F$10-SQRT((1-D873)*(Inputs!$F$10-Inputs!$D$10)*(Inputs!$F$10-Inputs!$E$10)))</f>
        <v>0.12076195807228</v>
      </c>
      <c r="F873" s="81" t="n">
        <f aca="true">RAND()</f>
        <v>0.281903165060479</v>
      </c>
      <c r="G873" s="83" t="n">
        <f aca="false">IF(F873&lt;(Inputs!$E$15-Inputs!$D$15)/(Inputs!$F$15-Inputs!$D$15),Inputs!$D$15+SQRT(F873*(Inputs!$F$15-Inputs!$D$15)*(Inputs!$E$15-Inputs!$D$15)),Inputs!$F$15-SQRT((1-F873)*(Inputs!$F$15-Inputs!$D$15)*(Inputs!$F$15-Inputs!$E$15)))</f>
        <v>0.675087038170443</v>
      </c>
      <c r="H873" s="81" t="n">
        <f aca="true">RAND()</f>
        <v>0.240867697004802</v>
      </c>
      <c r="I873" s="82" t="n">
        <f aca="false">ROUND(IF(H873&lt;(Inputs!$E$17-Inputs!$D$17)/(Inputs!$F$17-Inputs!$D$17),Inputs!$D$17+SQRT(H873*(Inputs!$F$17-Inputs!$D$17)*(Inputs!$E$17-Inputs!$D$17)),Inputs!$F$17-SQRT((1-H873)*(Inputs!$F$17-Inputs!$D$17)*(Inputs!$F$17-Inputs!$E$17))),0)</f>
        <v>104</v>
      </c>
      <c r="J873" s="81" t="n">
        <f aca="true">RAND()</f>
        <v>0.590811024602622</v>
      </c>
      <c r="K873" s="83" t="n">
        <f aca="false">IF(J873&lt;(Inputs!$E$18-Inputs!$D$18)/(Inputs!$F$18-Inputs!$D$18),Inputs!$D$18+SQRT(J873*(Inputs!$F$18-Inputs!$D$18)*(Inputs!$E$18-Inputs!$D$18)),Inputs!$F$18-SQRT((1-J873)*(Inputs!$F$18-Inputs!$D$18)*(Inputs!$F$18-Inputs!$E$18)))</f>
        <v>1.06078045727972</v>
      </c>
      <c r="L873" s="81" t="n">
        <f aca="true">RAND()</f>
        <v>0.294448744088254</v>
      </c>
      <c r="M873" s="83" t="n">
        <f aca="false">IF(L873&lt;(Inputs!$E$24-Inputs!$D$24)/(Inputs!$F$24-Inputs!$D$24),Inputs!$D$24+SQRT(L873*(Inputs!$F$24-Inputs!$D$24)*(Inputs!$E$24-Inputs!$D$24)),Inputs!$F$24-SQRT((1-L873)*(Inputs!$F$24-Inputs!$D$24)*(Inputs!$F$24-Inputs!$E$24)))</f>
        <v>0.787973001493806</v>
      </c>
      <c r="N873" s="81" t="n">
        <f aca="true">RAND()</f>
        <v>0.348482449119817</v>
      </c>
      <c r="O873" s="83" t="n">
        <f aca="false">IF(N873&lt;(Inputs!$E$26-Inputs!$D$26)/(Inputs!$F$26-Inputs!$D$26),Inputs!$D$26+SQRT(N873*(Inputs!$F$26-Inputs!$D$26)*(Inputs!$E$26-Inputs!$D$26)),Inputs!$F$26-SQRT((1-N873)*(Inputs!$F$26-Inputs!$D$26)*(Inputs!$F$26-Inputs!$E$26)))</f>
        <v>0.540805895969217</v>
      </c>
      <c r="P873" s="81" t="n">
        <f aca="true">RAND()</f>
        <v>0.757748681136296</v>
      </c>
      <c r="Q873" s="82" t="n">
        <f aca="false">IF(P873&lt;(Inputs!$E$27-Inputs!$D$27)/(Inputs!$F$27-Inputs!$D$27),Inputs!$D$27+SQRT(P873*(Inputs!$F$27-Inputs!$D$27)*(Inputs!$E$27-Inputs!$D$27)),Inputs!$F$27-SQRT((1-P873)*(Inputs!$F$27-Inputs!$D$27)*(Inputs!$F$27-Inputs!$E$27)))</f>
        <v>107.375067255446</v>
      </c>
      <c r="R873" s="81" t="n">
        <f aca="true">RAND()</f>
        <v>0.362876380291825</v>
      </c>
      <c r="S873" s="82" t="n">
        <f aca="false">IF(R873&lt;(Inputs!$E$29-Inputs!$D$29)/(Inputs!$F$29-Inputs!$D$29),Inputs!$D$29+SQRT(R873*(Inputs!$F$29-Inputs!$D$29)*(Inputs!$E$29-Inputs!$D$29)),Inputs!$F$29-SQRT((1-R873)*(Inputs!$F$29-Inputs!$D$29)*(Inputs!$F$29-Inputs!$E$29)))</f>
        <v>5.89911704492016</v>
      </c>
      <c r="T873" s="68" t="n">
        <f aca="false">Inputs!$E$9*(1+E873)+Inputs!$E$5*C873*(Inputs!$E$11*Inputs!$E$14*(G873*I873/Inputs!$E$16+(1-G873))*K873+Inputs!$E$23*M873)*(1+O873)+Inputs!$E$5*(Q873+S873)</f>
        <v>6594.77705090104</v>
      </c>
    </row>
    <row r="874" customFormat="false" ht="15" hidden="false" customHeight="false" outlineLevel="0" collapsed="false">
      <c r="A874" s="1" t="n">
        <v>870</v>
      </c>
      <c r="B874" s="81" t="n">
        <f aca="true">RAND()</f>
        <v>0.97143547280307</v>
      </c>
      <c r="C874" s="82" t="n">
        <f aca="false">ROUND(IF(B874&lt;(Inputs!$E$8-Inputs!$D$8)/(Inputs!$F$8-Inputs!$D$8),Inputs!$D$8+SQRT(B874*(Inputs!$F$8-Inputs!$D$8)*(Inputs!$E$8-Inputs!$D$8)),Inputs!$F$8-SQRT((1-B874)*(Inputs!$F$8-Inputs!$D$8)*(Inputs!$F$8-Inputs!$E$8))),0)</f>
        <v>29</v>
      </c>
      <c r="D874" s="81" t="n">
        <f aca="true">RAND()</f>
        <v>0.469767145114118</v>
      </c>
      <c r="E874" s="83" t="n">
        <f aca="false">IF(D874&lt;(Inputs!$E$10-Inputs!$D$10)/(Inputs!$F$10-Inputs!$D$10),Inputs!$D$10+SQRT(D874*(Inputs!$F$10-Inputs!$D$10)*(Inputs!$E$10-Inputs!$D$10)),Inputs!$F$10-SQRT((1-D874)*(Inputs!$F$10-Inputs!$D$10)*(Inputs!$F$10-Inputs!$E$10)))</f>
        <v>0.073877101022152</v>
      </c>
      <c r="F874" s="81" t="n">
        <f aca="true">RAND()</f>
        <v>0.885054162784326</v>
      </c>
      <c r="G874" s="83" t="n">
        <f aca="false">IF(F874&lt;(Inputs!$E$15-Inputs!$D$15)/(Inputs!$F$15-Inputs!$D$15),Inputs!$D$15+SQRT(F874*(Inputs!$F$15-Inputs!$D$15)*(Inputs!$E$15-Inputs!$D$15)),Inputs!$F$15-SQRT((1-F874)*(Inputs!$F$15-Inputs!$D$15)*(Inputs!$F$15-Inputs!$E$15)))</f>
        <v>0.752052979818205</v>
      </c>
      <c r="H874" s="81" t="n">
        <f aca="true">RAND()</f>
        <v>0.000589496103642656</v>
      </c>
      <c r="I874" s="82" t="n">
        <f aca="false">ROUND(IF(H874&lt;(Inputs!$E$17-Inputs!$D$17)/(Inputs!$F$17-Inputs!$D$17),Inputs!$D$17+SQRT(H874*(Inputs!$F$17-Inputs!$D$17)*(Inputs!$E$17-Inputs!$D$17)),Inputs!$F$17-SQRT((1-H874)*(Inputs!$F$17-Inputs!$D$17)*(Inputs!$F$17-Inputs!$E$17))),0)</f>
        <v>100</v>
      </c>
      <c r="J874" s="81" t="n">
        <f aca="true">RAND()</f>
        <v>0.909829219629518</v>
      </c>
      <c r="K874" s="83" t="n">
        <f aca="false">IF(J874&lt;(Inputs!$E$18-Inputs!$D$18)/(Inputs!$F$18-Inputs!$D$18),Inputs!$D$18+SQRT(J874*(Inputs!$F$18-Inputs!$D$18)*(Inputs!$E$18-Inputs!$D$18)),Inputs!$F$18-SQRT((1-J874)*(Inputs!$F$18-Inputs!$D$18)*(Inputs!$F$18-Inputs!$E$18)))</f>
        <v>1.16117464729922</v>
      </c>
      <c r="L874" s="81" t="n">
        <f aca="true">RAND()</f>
        <v>0.55633970437356</v>
      </c>
      <c r="M874" s="83" t="n">
        <f aca="false">IF(L874&lt;(Inputs!$E$24-Inputs!$D$24)/(Inputs!$F$24-Inputs!$D$24),Inputs!$D$24+SQRT(L874*(Inputs!$F$24-Inputs!$D$24)*(Inputs!$E$24-Inputs!$D$24)),Inputs!$F$24-SQRT((1-L874)*(Inputs!$F$24-Inputs!$D$24)*(Inputs!$F$24-Inputs!$E$24)))</f>
        <v>0.873689609496808</v>
      </c>
      <c r="N874" s="81" t="n">
        <f aca="true">RAND()</f>
        <v>0.454239478233345</v>
      </c>
      <c r="O874" s="83" t="n">
        <f aca="false">IF(N874&lt;(Inputs!$E$26-Inputs!$D$26)/(Inputs!$F$26-Inputs!$D$26),Inputs!$D$26+SQRT(N874*(Inputs!$F$26-Inputs!$D$26)*(Inputs!$E$26-Inputs!$D$26)),Inputs!$F$26-SQRT((1-N874)*(Inputs!$F$26-Inputs!$D$26)*(Inputs!$F$26-Inputs!$E$26)))</f>
        <v>0.574928080010079</v>
      </c>
      <c r="P874" s="81" t="n">
        <f aca="true">RAND()</f>
        <v>0.263158064625277</v>
      </c>
      <c r="Q874" s="82" t="n">
        <f aca="false">IF(P874&lt;(Inputs!$E$27-Inputs!$D$27)/(Inputs!$F$27-Inputs!$D$27),Inputs!$D$27+SQRT(P874*(Inputs!$F$27-Inputs!$D$27)*(Inputs!$E$27-Inputs!$D$27)),Inputs!$F$27-SQRT((1-P874)*(Inputs!$F$27-Inputs!$D$27)*(Inputs!$F$27-Inputs!$E$27)))</f>
        <v>75.6608144024269</v>
      </c>
      <c r="R874" s="81" t="n">
        <f aca="true">RAND()</f>
        <v>0.354325059840401</v>
      </c>
      <c r="S874" s="82" t="n">
        <f aca="false">IF(R874&lt;(Inputs!$E$29-Inputs!$D$29)/(Inputs!$F$29-Inputs!$D$29),Inputs!$D$29+SQRT(R874*(Inputs!$F$29-Inputs!$D$29)*(Inputs!$E$29-Inputs!$D$29)),Inputs!$F$29-SQRT((1-R874)*(Inputs!$F$29-Inputs!$D$29)*(Inputs!$F$29-Inputs!$E$29)))</f>
        <v>5.8382456799613</v>
      </c>
      <c r="T874" s="68" t="n">
        <f aca="false">Inputs!$E$9*(1+E874)+Inputs!$E$5*C874*(Inputs!$E$11*Inputs!$E$14*(G874*I874/Inputs!$E$16+(1-G874))*K874+Inputs!$E$23*M874)*(1+O874)+Inputs!$E$5*(Q874+S874)</f>
        <v>6865.67763573927</v>
      </c>
    </row>
    <row r="875" customFormat="false" ht="15" hidden="false" customHeight="false" outlineLevel="0" collapsed="false">
      <c r="A875" s="1" t="n">
        <v>871</v>
      </c>
      <c r="B875" s="81" t="n">
        <f aca="true">RAND()</f>
        <v>0.0353073210974707</v>
      </c>
      <c r="C875" s="82" t="n">
        <f aca="false">ROUND(IF(B875&lt;(Inputs!$E$8-Inputs!$D$8)/(Inputs!$F$8-Inputs!$D$8),Inputs!$D$8+SQRT(B875*(Inputs!$F$8-Inputs!$D$8)*(Inputs!$E$8-Inputs!$D$8)),Inputs!$F$8-SQRT((1-B875)*(Inputs!$F$8-Inputs!$D$8)*(Inputs!$F$8-Inputs!$E$8))),0)</f>
        <v>21</v>
      </c>
      <c r="D875" s="81" t="n">
        <f aca="true">RAND()</f>
        <v>0.00190192761247378</v>
      </c>
      <c r="E875" s="83" t="n">
        <f aca="false">IF(D875&lt;(Inputs!$E$10-Inputs!$D$10)/(Inputs!$F$10-Inputs!$D$10),Inputs!$D$10+SQRT(D875*(Inputs!$F$10-Inputs!$D$10)*(Inputs!$E$10-Inputs!$D$10)),Inputs!$F$10-SQRT((1-D875)*(Inputs!$F$10-Inputs!$D$10)*(Inputs!$F$10-Inputs!$E$10)))</f>
        <v>0.00436110950616214</v>
      </c>
      <c r="F875" s="81" t="n">
        <f aca="true">RAND()</f>
        <v>0.588773782130802</v>
      </c>
      <c r="G875" s="83" t="n">
        <f aca="false">IF(F875&lt;(Inputs!$E$15-Inputs!$D$15)/(Inputs!$F$15-Inputs!$D$15),Inputs!$D$15+SQRT(F875*(Inputs!$F$15-Inputs!$D$15)*(Inputs!$E$15-Inputs!$D$15)),Inputs!$F$15-SQRT((1-F875)*(Inputs!$F$15-Inputs!$D$15)*(Inputs!$F$15-Inputs!$E$15)))</f>
        <v>0.709310836604454</v>
      </c>
      <c r="H875" s="81" t="n">
        <f aca="true">RAND()</f>
        <v>0.99038731866989</v>
      </c>
      <c r="I875" s="82" t="n">
        <f aca="false">ROUND(IF(H875&lt;(Inputs!$E$17-Inputs!$D$17)/(Inputs!$F$17-Inputs!$D$17),Inputs!$D$17+SQRT(H875*(Inputs!$F$17-Inputs!$D$17)*(Inputs!$E$17-Inputs!$D$17)),Inputs!$F$17-SQRT((1-H875)*(Inputs!$F$17-Inputs!$D$17)*(Inputs!$F$17-Inputs!$E$17))),0)</f>
        <v>114</v>
      </c>
      <c r="J875" s="81" t="n">
        <f aca="true">RAND()</f>
        <v>0.117717271947848</v>
      </c>
      <c r="K875" s="83" t="n">
        <f aca="false">IF(J875&lt;(Inputs!$E$18-Inputs!$D$18)/(Inputs!$F$18-Inputs!$D$18),Inputs!$D$18+SQRT(J875*(Inputs!$F$18-Inputs!$D$18)*(Inputs!$E$18-Inputs!$D$18)),Inputs!$F$18-SQRT((1-J875)*(Inputs!$F$18-Inputs!$D$18)*(Inputs!$F$18-Inputs!$E$18)))</f>
        <v>0.964188040304832</v>
      </c>
      <c r="L875" s="81" t="n">
        <f aca="true">RAND()</f>
        <v>0.0583306319162489</v>
      </c>
      <c r="M875" s="83" t="n">
        <f aca="false">IF(L875&lt;(Inputs!$E$24-Inputs!$D$24)/(Inputs!$F$24-Inputs!$D$24),Inputs!$D$24+SQRT(L875*(Inputs!$F$24-Inputs!$D$24)*(Inputs!$E$24-Inputs!$D$24)),Inputs!$F$24-SQRT((1-L875)*(Inputs!$F$24-Inputs!$D$24)*(Inputs!$F$24-Inputs!$E$24)))</f>
        <v>0.683664065344387</v>
      </c>
      <c r="N875" s="81" t="n">
        <f aca="true">RAND()</f>
        <v>0.217715574594269</v>
      </c>
      <c r="O875" s="83" t="n">
        <f aca="false">IF(N875&lt;(Inputs!$E$26-Inputs!$D$26)/(Inputs!$F$26-Inputs!$D$26),Inputs!$D$26+SQRT(N875*(Inputs!$F$26-Inputs!$D$26)*(Inputs!$E$26-Inputs!$D$26)),Inputs!$F$26-SQRT((1-N875)*(Inputs!$F$26-Inputs!$D$26)*(Inputs!$F$26-Inputs!$E$26)))</f>
        <v>0.490336206782857</v>
      </c>
      <c r="P875" s="81" t="n">
        <f aca="true">RAND()</f>
        <v>0.412813318907104</v>
      </c>
      <c r="Q875" s="82" t="n">
        <f aca="false">IF(P875&lt;(Inputs!$E$27-Inputs!$D$27)/(Inputs!$F$27-Inputs!$D$27),Inputs!$D$27+SQRT(P875*(Inputs!$F$27-Inputs!$D$27)*(Inputs!$E$27-Inputs!$D$27)),Inputs!$F$27-SQRT((1-P875)*(Inputs!$F$27-Inputs!$D$27)*(Inputs!$F$27-Inputs!$E$27)))</f>
        <v>83.6381125328949</v>
      </c>
      <c r="R875" s="81" t="n">
        <f aca="true">RAND()</f>
        <v>0.830287521060864</v>
      </c>
      <c r="S875" s="82" t="n">
        <f aca="false">IF(R875&lt;(Inputs!$E$29-Inputs!$D$29)/(Inputs!$F$29-Inputs!$D$29),Inputs!$D$29+SQRT(R875*(Inputs!$F$29-Inputs!$D$29)*(Inputs!$E$29-Inputs!$D$29)),Inputs!$F$29-SQRT((1-R875)*(Inputs!$F$29-Inputs!$D$29)*(Inputs!$F$29-Inputs!$E$29)))</f>
        <v>10.3029134282954</v>
      </c>
      <c r="T875" s="68" t="n">
        <f aca="false">Inputs!$E$9*(1+E875)+Inputs!$E$5*C875*(Inputs!$E$11*Inputs!$E$14*(G875*I875/Inputs!$E$16+(1-G875))*K875+Inputs!$E$23*M875)*(1+O875)+Inputs!$E$5*(Q875+S875)</f>
        <v>5133.44056254866</v>
      </c>
    </row>
    <row r="876" customFormat="false" ht="15" hidden="false" customHeight="false" outlineLevel="0" collapsed="false">
      <c r="A876" s="1" t="n">
        <v>872</v>
      </c>
      <c r="B876" s="81" t="n">
        <f aca="true">RAND()</f>
        <v>0.0491998363483385</v>
      </c>
      <c r="C876" s="82" t="n">
        <f aca="false">ROUND(IF(B876&lt;(Inputs!$E$8-Inputs!$D$8)/(Inputs!$F$8-Inputs!$D$8),Inputs!$D$8+SQRT(B876*(Inputs!$F$8-Inputs!$D$8)*(Inputs!$E$8-Inputs!$D$8)),Inputs!$F$8-SQRT((1-B876)*(Inputs!$F$8-Inputs!$D$8)*(Inputs!$F$8-Inputs!$E$8))),0)</f>
        <v>22</v>
      </c>
      <c r="D876" s="81" t="n">
        <f aca="true">RAND()</f>
        <v>0.69326614117215</v>
      </c>
      <c r="E876" s="83" t="n">
        <f aca="false">IF(D876&lt;(Inputs!$E$10-Inputs!$D$10)/(Inputs!$F$10-Inputs!$D$10),Inputs!$D$10+SQRT(D876*(Inputs!$F$10-Inputs!$D$10)*(Inputs!$E$10-Inputs!$D$10)),Inputs!$F$10-SQRT((1-D876)*(Inputs!$F$10-Inputs!$D$10)*(Inputs!$F$10-Inputs!$E$10)))</f>
        <v>0.104072862208677</v>
      </c>
      <c r="F876" s="81" t="n">
        <f aca="true">RAND()</f>
        <v>0.813001523041773</v>
      </c>
      <c r="G876" s="83" t="n">
        <f aca="false">IF(F876&lt;(Inputs!$E$15-Inputs!$D$15)/(Inputs!$F$15-Inputs!$D$15),Inputs!$D$15+SQRT(F876*(Inputs!$F$15-Inputs!$D$15)*(Inputs!$E$15-Inputs!$D$15)),Inputs!$F$15-SQRT((1-F876)*(Inputs!$F$15-Inputs!$D$15)*(Inputs!$F$15-Inputs!$E$15)))</f>
        <v>0.738844709638785</v>
      </c>
      <c r="H876" s="81" t="n">
        <f aca="true">RAND()</f>
        <v>0.622287373008867</v>
      </c>
      <c r="I876" s="82" t="n">
        <f aca="false">ROUND(IF(H876&lt;(Inputs!$E$17-Inputs!$D$17)/(Inputs!$F$17-Inputs!$D$17),Inputs!$D$17+SQRT(H876*(Inputs!$F$17-Inputs!$D$17)*(Inputs!$E$17-Inputs!$D$17)),Inputs!$F$17-SQRT((1-H876)*(Inputs!$F$17-Inputs!$D$17)*(Inputs!$F$17-Inputs!$E$17))),0)</f>
        <v>107</v>
      </c>
      <c r="J876" s="81" t="n">
        <f aca="true">RAND()</f>
        <v>0.340610887647946</v>
      </c>
      <c r="K876" s="83" t="n">
        <f aca="false">IF(J876&lt;(Inputs!$E$18-Inputs!$D$18)/(Inputs!$F$18-Inputs!$D$18),Inputs!$D$18+SQRT(J876*(Inputs!$F$18-Inputs!$D$18)*(Inputs!$E$18-Inputs!$D$18)),Inputs!$F$18-SQRT((1-J876)*(Inputs!$F$18-Inputs!$D$18)*(Inputs!$F$18-Inputs!$E$18)))</f>
        <v>1.00979894394319</v>
      </c>
      <c r="L876" s="81" t="n">
        <f aca="true">RAND()</f>
        <v>0.358028854403662</v>
      </c>
      <c r="M876" s="83" t="n">
        <f aca="false">IF(L876&lt;(Inputs!$E$24-Inputs!$D$24)/(Inputs!$F$24-Inputs!$D$24),Inputs!$D$24+SQRT(L876*(Inputs!$F$24-Inputs!$D$24)*(Inputs!$E$24-Inputs!$D$24)),Inputs!$F$24-SQRT((1-L876)*(Inputs!$F$24-Inputs!$D$24)*(Inputs!$F$24-Inputs!$E$24)))</f>
        <v>0.807478567536598</v>
      </c>
      <c r="N876" s="81" t="n">
        <f aca="true">RAND()</f>
        <v>0.0549529999050142</v>
      </c>
      <c r="O876" s="83" t="n">
        <f aca="false">IF(N876&lt;(Inputs!$E$26-Inputs!$D$26)/(Inputs!$F$26-Inputs!$D$26),Inputs!$D$26+SQRT(N876*(Inputs!$F$26-Inputs!$D$26)*(Inputs!$E$26-Inputs!$D$26)),Inputs!$F$26-SQRT((1-N876)*(Inputs!$F$26-Inputs!$D$26)*(Inputs!$F$26-Inputs!$E$26)))</f>
        <v>0.39562520161649</v>
      </c>
      <c r="P876" s="81" t="n">
        <f aca="true">RAND()</f>
        <v>0.852037502377019</v>
      </c>
      <c r="Q876" s="82" t="n">
        <f aca="false">IF(P876&lt;(Inputs!$E$27-Inputs!$D$27)/(Inputs!$F$27-Inputs!$D$27),Inputs!$D$27+SQRT(P876*(Inputs!$F$27-Inputs!$D$27)*(Inputs!$E$27-Inputs!$D$27)),Inputs!$F$27-SQRT((1-P876)*(Inputs!$F$27-Inputs!$D$27)*(Inputs!$F$27-Inputs!$E$27)))</f>
        <v>116.687558898028</v>
      </c>
      <c r="R876" s="81" t="n">
        <f aca="true">RAND()</f>
        <v>0.641354523279322</v>
      </c>
      <c r="S876" s="82" t="n">
        <f aca="false">IF(R876&lt;(Inputs!$E$29-Inputs!$D$29)/(Inputs!$F$29-Inputs!$D$29),Inputs!$D$29+SQRT(R876*(Inputs!$F$29-Inputs!$D$29)*(Inputs!$E$29-Inputs!$D$29)),Inputs!$F$29-SQRT((1-R876)*(Inputs!$F$29-Inputs!$D$29)*(Inputs!$F$29-Inputs!$E$29)))</f>
        <v>8.17182952953808</v>
      </c>
      <c r="T876" s="68" t="n">
        <f aca="false">Inputs!$E$9*(1+E876)+Inputs!$E$5*C876*(Inputs!$E$11*Inputs!$E$14*(G876*I876/Inputs!$E$16+(1-G876))*K876+Inputs!$E$23*M876)*(1+O876)+Inputs!$E$5*(Q876+S876)</f>
        <v>5581.08071845707</v>
      </c>
    </row>
    <row r="877" customFormat="false" ht="15" hidden="false" customHeight="false" outlineLevel="0" collapsed="false">
      <c r="A877" s="1" t="n">
        <v>873</v>
      </c>
      <c r="B877" s="81" t="n">
        <f aca="true">RAND()</f>
        <v>0.215860586063631</v>
      </c>
      <c r="C877" s="82" t="n">
        <f aca="false">ROUND(IF(B877&lt;(Inputs!$E$8-Inputs!$D$8)/(Inputs!$F$8-Inputs!$D$8),Inputs!$D$8+SQRT(B877*(Inputs!$F$8-Inputs!$D$8)*(Inputs!$E$8-Inputs!$D$8)),Inputs!$F$8-SQRT((1-B877)*(Inputs!$F$8-Inputs!$D$8)*(Inputs!$F$8-Inputs!$E$8))),0)</f>
        <v>23</v>
      </c>
      <c r="D877" s="81" t="n">
        <f aca="true">RAND()</f>
        <v>0.270471465938546</v>
      </c>
      <c r="E877" s="83" t="n">
        <f aca="false">IF(D877&lt;(Inputs!$E$10-Inputs!$D$10)/(Inputs!$F$10-Inputs!$D$10),Inputs!$D$10+SQRT(D877*(Inputs!$F$10-Inputs!$D$10)*(Inputs!$E$10-Inputs!$D$10)),Inputs!$F$10-SQRT((1-D877)*(Inputs!$F$10-Inputs!$D$10)*(Inputs!$F$10-Inputs!$E$10)))</f>
        <v>0.0520613099225101</v>
      </c>
      <c r="F877" s="81" t="n">
        <f aca="true">RAND()</f>
        <v>0.358813150956554</v>
      </c>
      <c r="G877" s="83" t="n">
        <f aca="false">IF(F877&lt;(Inputs!$E$15-Inputs!$D$15)/(Inputs!$F$15-Inputs!$D$15),Inputs!$D$15+SQRT(F877*(Inputs!$F$15-Inputs!$D$15)*(Inputs!$E$15-Inputs!$D$15)),Inputs!$F$15-SQRT((1-F877)*(Inputs!$F$15-Inputs!$D$15)*(Inputs!$F$15-Inputs!$E$15)))</f>
        <v>0.684712826768625</v>
      </c>
      <c r="H877" s="81" t="n">
        <f aca="true">RAND()</f>
        <v>0.325405671414966</v>
      </c>
      <c r="I877" s="82" t="n">
        <f aca="false">ROUND(IF(H877&lt;(Inputs!$E$17-Inputs!$D$17)/(Inputs!$F$17-Inputs!$D$17),Inputs!$D$17+SQRT(H877*(Inputs!$F$17-Inputs!$D$17)*(Inputs!$E$17-Inputs!$D$17)),Inputs!$F$17-SQRT((1-H877)*(Inputs!$F$17-Inputs!$D$17)*(Inputs!$F$17-Inputs!$E$17))),0)</f>
        <v>105</v>
      </c>
      <c r="J877" s="81" t="n">
        <f aca="true">RAND()</f>
        <v>0.952614406668387</v>
      </c>
      <c r="K877" s="83" t="n">
        <f aca="false">IF(J877&lt;(Inputs!$E$18-Inputs!$D$18)/(Inputs!$F$18-Inputs!$D$18),Inputs!$D$18+SQRT(J877*(Inputs!$F$18-Inputs!$D$18)*(Inputs!$E$18-Inputs!$D$18)),Inputs!$F$18-SQRT((1-J877)*(Inputs!$F$18-Inputs!$D$18)*(Inputs!$F$18-Inputs!$E$18)))</f>
        <v>1.18560870077009</v>
      </c>
      <c r="L877" s="81" t="n">
        <f aca="true">RAND()</f>
        <v>0.752923620956342</v>
      </c>
      <c r="M877" s="83" t="n">
        <f aca="false">IF(L877&lt;(Inputs!$E$24-Inputs!$D$24)/(Inputs!$F$24-Inputs!$D$24),Inputs!$D$24+SQRT(L877*(Inputs!$F$24-Inputs!$D$24)*(Inputs!$E$24-Inputs!$D$24)),Inputs!$F$24-SQRT((1-L877)*(Inputs!$F$24-Inputs!$D$24)*(Inputs!$F$24-Inputs!$E$24)))</f>
        <v>0.956487513727781</v>
      </c>
      <c r="N877" s="81" t="n">
        <f aca="true">RAND()</f>
        <v>0.790954723566693</v>
      </c>
      <c r="O877" s="83" t="n">
        <f aca="false">IF(N877&lt;(Inputs!$E$26-Inputs!$D$26)/(Inputs!$F$26-Inputs!$D$26),Inputs!$D$26+SQRT(N877*(Inputs!$F$26-Inputs!$D$26)*(Inputs!$E$26-Inputs!$D$26)),Inputs!$F$26-SQRT((1-N877)*(Inputs!$F$26-Inputs!$D$26)*(Inputs!$F$26-Inputs!$E$26)))</f>
        <v>0.672552691618111</v>
      </c>
      <c r="P877" s="81" t="n">
        <f aca="true">RAND()</f>
        <v>0.178413264814376</v>
      </c>
      <c r="Q877" s="82" t="n">
        <f aca="false">IF(P877&lt;(Inputs!$E$27-Inputs!$D$27)/(Inputs!$F$27-Inputs!$D$27),Inputs!$D$27+SQRT(P877*(Inputs!$F$27-Inputs!$D$27)*(Inputs!$E$27-Inputs!$D$27)),Inputs!$F$27-SQRT((1-P877)*(Inputs!$F$27-Inputs!$D$27)*(Inputs!$F$27-Inputs!$E$27)))</f>
        <v>71.1194972013053</v>
      </c>
      <c r="R877" s="81" t="n">
        <f aca="true">RAND()</f>
        <v>0.176484214669841</v>
      </c>
      <c r="S877" s="82" t="n">
        <f aca="false">IF(R877&lt;(Inputs!$E$29-Inputs!$D$29)/(Inputs!$F$29-Inputs!$D$29),Inputs!$D$29+SQRT(R877*(Inputs!$F$29-Inputs!$D$29)*(Inputs!$E$29-Inputs!$D$29)),Inputs!$F$29-SQRT((1-R877)*(Inputs!$F$29-Inputs!$D$29)*(Inputs!$F$29-Inputs!$E$29)))</f>
        <v>4.62352518038684</v>
      </c>
      <c r="T877" s="68" t="n">
        <f aca="false">Inputs!$E$9*(1+E877)+Inputs!$E$5*C877*(Inputs!$E$11*Inputs!$E$14*(G877*I877/Inputs!$E$16+(1-G877))*K877+Inputs!$E$23*M877)*(1+O877)+Inputs!$E$5*(Q877+S877)</f>
        <v>6477.48169259623</v>
      </c>
    </row>
    <row r="878" customFormat="false" ht="15" hidden="false" customHeight="false" outlineLevel="0" collapsed="false">
      <c r="A878" s="1" t="n">
        <v>874</v>
      </c>
      <c r="B878" s="81" t="n">
        <f aca="true">RAND()</f>
        <v>0.00149346373505344</v>
      </c>
      <c r="C878" s="82" t="n">
        <f aca="false">ROUND(IF(B878&lt;(Inputs!$E$8-Inputs!$D$8)/(Inputs!$F$8-Inputs!$D$8),Inputs!$D$8+SQRT(B878*(Inputs!$F$8-Inputs!$D$8)*(Inputs!$E$8-Inputs!$D$8)),Inputs!$F$8-SQRT((1-B878)*(Inputs!$F$8-Inputs!$D$8)*(Inputs!$F$8-Inputs!$E$8))),0)</f>
        <v>20</v>
      </c>
      <c r="D878" s="81" t="n">
        <f aca="true">RAND()</f>
        <v>0.870249276409666</v>
      </c>
      <c r="E878" s="83" t="n">
        <f aca="false">IF(D878&lt;(Inputs!$E$10-Inputs!$D$10)/(Inputs!$F$10-Inputs!$D$10),Inputs!$D$10+SQRT(D878*(Inputs!$F$10-Inputs!$D$10)*(Inputs!$E$10-Inputs!$D$10)),Inputs!$F$10-SQRT((1-D878)*(Inputs!$F$10-Inputs!$D$10)*(Inputs!$F$10-Inputs!$E$10)))</f>
        <v>0.137609923002852</v>
      </c>
      <c r="F878" s="81" t="n">
        <f aca="true">RAND()</f>
        <v>0.937825560497121</v>
      </c>
      <c r="G878" s="83" t="n">
        <f aca="false">IF(F878&lt;(Inputs!$E$15-Inputs!$D$15)/(Inputs!$F$15-Inputs!$D$15),Inputs!$D$15+SQRT(F878*(Inputs!$F$15-Inputs!$D$15)*(Inputs!$E$15-Inputs!$D$15)),Inputs!$F$15-SQRT((1-F878)*(Inputs!$F$15-Inputs!$D$15)*(Inputs!$F$15-Inputs!$E$15)))</f>
        <v>0.764736863581673</v>
      </c>
      <c r="H878" s="81" t="n">
        <f aca="true">RAND()</f>
        <v>0.90829020351396</v>
      </c>
      <c r="I878" s="82" t="n">
        <f aca="false">ROUND(IF(H878&lt;(Inputs!$E$17-Inputs!$D$17)/(Inputs!$F$17-Inputs!$D$17),Inputs!$D$17+SQRT(H878*(Inputs!$F$17-Inputs!$D$17)*(Inputs!$E$17-Inputs!$D$17)),Inputs!$F$17-SQRT((1-H878)*(Inputs!$F$17-Inputs!$D$17)*(Inputs!$F$17-Inputs!$E$17))),0)</f>
        <v>111</v>
      </c>
      <c r="J878" s="81" t="n">
        <f aca="true">RAND()</f>
        <v>0.257968391554081</v>
      </c>
      <c r="K878" s="83" t="n">
        <f aca="false">IF(J878&lt;(Inputs!$E$18-Inputs!$D$18)/(Inputs!$F$18-Inputs!$D$18),Inputs!$D$18+SQRT(J878*(Inputs!$F$18-Inputs!$D$18)*(Inputs!$E$18-Inputs!$D$18)),Inputs!$F$18-SQRT((1-J878)*(Inputs!$F$18-Inputs!$D$18)*(Inputs!$F$18-Inputs!$E$18)))</f>
        <v>0.995020490971121</v>
      </c>
      <c r="L878" s="81" t="n">
        <f aca="true">RAND()</f>
        <v>0.215169728178275</v>
      </c>
      <c r="M878" s="83" t="n">
        <f aca="false">IF(L878&lt;(Inputs!$E$24-Inputs!$D$24)/(Inputs!$F$24-Inputs!$D$24),Inputs!$D$24+SQRT(L878*(Inputs!$F$24-Inputs!$D$24)*(Inputs!$E$24-Inputs!$D$24)),Inputs!$F$24-SQRT((1-L878)*(Inputs!$F$24-Inputs!$D$24)*(Inputs!$F$24-Inputs!$E$24)))</f>
        <v>0.760687172423293</v>
      </c>
      <c r="N878" s="81" t="n">
        <f aca="true">RAND()</f>
        <v>0.976001516083133</v>
      </c>
      <c r="O878" s="83" t="n">
        <f aca="false">IF(N878&lt;(Inputs!$E$26-Inputs!$D$26)/(Inputs!$F$26-Inputs!$D$26),Inputs!$D$26+SQRT(N878*(Inputs!$F$26-Inputs!$D$26)*(Inputs!$E$26-Inputs!$D$26)),Inputs!$F$26-SQRT((1-N878)*(Inputs!$F$26-Inputs!$D$26)*(Inputs!$F$26-Inputs!$E$26)))</f>
        <v>0.77004159402709</v>
      </c>
      <c r="P878" s="81" t="n">
        <f aca="true">RAND()</f>
        <v>0.0116827382161144</v>
      </c>
      <c r="Q878" s="82" t="n">
        <f aca="false">IF(P878&lt;(Inputs!$E$27-Inputs!$D$27)/(Inputs!$F$27-Inputs!$D$27),Inputs!$D$27+SQRT(P878*(Inputs!$F$27-Inputs!$D$27)*(Inputs!$E$27-Inputs!$D$27)),Inputs!$F$27-SQRT((1-P878)*(Inputs!$F$27-Inputs!$D$27)*(Inputs!$F$27-Inputs!$E$27)))</f>
        <v>55.4043358093559</v>
      </c>
      <c r="R878" s="81" t="n">
        <f aca="true">RAND()</f>
        <v>0.937157296847341</v>
      </c>
      <c r="S878" s="82" t="n">
        <f aca="false">IF(R878&lt;(Inputs!$E$29-Inputs!$D$29)/(Inputs!$F$29-Inputs!$D$29),Inputs!$D$29+SQRT(R878*(Inputs!$F$29-Inputs!$D$29)*(Inputs!$E$29-Inputs!$D$29)),Inputs!$F$29-SQRT((1-R878)*(Inputs!$F$29-Inputs!$D$29)*(Inputs!$F$29-Inputs!$E$29)))</f>
        <v>12.1417572864003</v>
      </c>
      <c r="T878" s="68" t="n">
        <f aca="false">Inputs!$E$9*(1+E878)+Inputs!$E$5*C878*(Inputs!$E$11*Inputs!$E$14*(G878*I878/Inputs!$E$16+(1-G878))*K878+Inputs!$E$23*M878)*(1+O878)+Inputs!$E$5*(Q878+S878)</f>
        <v>5683.44952436178</v>
      </c>
    </row>
    <row r="879" customFormat="false" ht="15" hidden="false" customHeight="false" outlineLevel="0" collapsed="false">
      <c r="A879" s="1" t="n">
        <v>875</v>
      </c>
      <c r="B879" s="81" t="n">
        <f aca="true">RAND()</f>
        <v>0.658710427425324</v>
      </c>
      <c r="C879" s="82" t="n">
        <f aca="false">ROUND(IF(B879&lt;(Inputs!$E$8-Inputs!$D$8)/(Inputs!$F$8-Inputs!$D$8),Inputs!$D$8+SQRT(B879*(Inputs!$F$8-Inputs!$D$8)*(Inputs!$E$8-Inputs!$D$8)),Inputs!$F$8-SQRT((1-B879)*(Inputs!$F$8-Inputs!$D$8)*(Inputs!$F$8-Inputs!$E$8))),0)</f>
        <v>26</v>
      </c>
      <c r="D879" s="81" t="n">
        <f aca="true">RAND()</f>
        <v>0.0968707109510443</v>
      </c>
      <c r="E879" s="83" t="n">
        <f aca="false">IF(D879&lt;(Inputs!$E$10-Inputs!$D$10)/(Inputs!$F$10-Inputs!$D$10),Inputs!$D$10+SQRT(D879*(Inputs!$F$10-Inputs!$D$10)*(Inputs!$E$10-Inputs!$D$10)),Inputs!$F$10-SQRT((1-D879)*(Inputs!$F$10-Inputs!$D$10)*(Inputs!$F$10-Inputs!$E$10)))</f>
        <v>0.0311240599779406</v>
      </c>
      <c r="F879" s="81" t="n">
        <f aca="true">RAND()</f>
        <v>0.517857440740069</v>
      </c>
      <c r="G879" s="83" t="n">
        <f aca="false">IF(F879&lt;(Inputs!$E$15-Inputs!$D$15)/(Inputs!$F$15-Inputs!$D$15),Inputs!$D$15+SQRT(F879*(Inputs!$F$15-Inputs!$D$15)*(Inputs!$E$15-Inputs!$D$15)),Inputs!$F$15-SQRT((1-F879)*(Inputs!$F$15-Inputs!$D$15)*(Inputs!$F$15-Inputs!$E$15)))</f>
        <v>0.701801979728721</v>
      </c>
      <c r="H879" s="81" t="n">
        <f aca="true">RAND()</f>
        <v>0.748963585979725</v>
      </c>
      <c r="I879" s="82" t="n">
        <f aca="false">ROUND(IF(H879&lt;(Inputs!$E$17-Inputs!$D$17)/(Inputs!$F$17-Inputs!$D$17),Inputs!$D$17+SQRT(H879*(Inputs!$F$17-Inputs!$D$17)*(Inputs!$E$17-Inputs!$D$17)),Inputs!$F$17-SQRT((1-H879)*(Inputs!$F$17-Inputs!$D$17)*(Inputs!$F$17-Inputs!$E$17))),0)</f>
        <v>109</v>
      </c>
      <c r="J879" s="81" t="n">
        <f aca="true">RAND()</f>
        <v>0.7515855201987</v>
      </c>
      <c r="K879" s="83" t="n">
        <f aca="false">IF(J879&lt;(Inputs!$E$18-Inputs!$D$18)/(Inputs!$F$18-Inputs!$D$18),Inputs!$D$18+SQRT(J879*(Inputs!$F$18-Inputs!$D$18)*(Inputs!$E$18-Inputs!$D$18)),Inputs!$F$18-SQRT((1-J879)*(Inputs!$F$18-Inputs!$D$18)*(Inputs!$F$18-Inputs!$E$18)))</f>
        <v>1.10256775460364</v>
      </c>
      <c r="L879" s="81" t="n">
        <f aca="true">RAND()</f>
        <v>0.509252280592209</v>
      </c>
      <c r="M879" s="83" t="n">
        <f aca="false">IF(L879&lt;(Inputs!$E$24-Inputs!$D$24)/(Inputs!$F$24-Inputs!$D$24),Inputs!$D$24+SQRT(L879*(Inputs!$F$24-Inputs!$D$24)*(Inputs!$E$24-Inputs!$D$24)),Inputs!$F$24-SQRT((1-L879)*(Inputs!$F$24-Inputs!$D$24)*(Inputs!$F$24-Inputs!$E$24)))</f>
        <v>0.85680988846141</v>
      </c>
      <c r="N879" s="81" t="n">
        <f aca="true">RAND()</f>
        <v>0.639108951688314</v>
      </c>
      <c r="O879" s="83" t="n">
        <f aca="false">IF(N879&lt;(Inputs!$E$26-Inputs!$D$26)/(Inputs!$F$26-Inputs!$D$26),Inputs!$D$26+SQRT(N879*(Inputs!$F$26-Inputs!$D$26)*(Inputs!$E$26-Inputs!$D$26)),Inputs!$F$26-SQRT((1-N879)*(Inputs!$F$26-Inputs!$D$26)*(Inputs!$F$26-Inputs!$E$26)))</f>
        <v>0.626266499994411</v>
      </c>
      <c r="P879" s="81" t="n">
        <f aca="true">RAND()</f>
        <v>0.57866460954977</v>
      </c>
      <c r="Q879" s="82" t="n">
        <f aca="false">IF(P879&lt;(Inputs!$E$27-Inputs!$D$27)/(Inputs!$F$27-Inputs!$D$27),Inputs!$D$27+SQRT(P879*(Inputs!$F$27-Inputs!$D$27)*(Inputs!$E$27-Inputs!$D$27)),Inputs!$F$27-SQRT((1-P879)*(Inputs!$F$27-Inputs!$D$27)*(Inputs!$F$27-Inputs!$E$27)))</f>
        <v>93.7859854806942</v>
      </c>
      <c r="R879" s="81" t="n">
        <f aca="true">RAND()</f>
        <v>0.362334395538941</v>
      </c>
      <c r="S879" s="82" t="n">
        <f aca="false">IF(R879&lt;(Inputs!$E$29-Inputs!$D$29)/(Inputs!$F$29-Inputs!$D$29),Inputs!$D$29+SQRT(R879*(Inputs!$F$29-Inputs!$D$29)*(Inputs!$E$29-Inputs!$D$29)),Inputs!$F$29-SQRT((1-R879)*(Inputs!$F$29-Inputs!$D$29)*(Inputs!$F$29-Inputs!$E$29)))</f>
        <v>5.89524692372508</v>
      </c>
      <c r="T879" s="68" t="n">
        <f aca="false">Inputs!$E$9*(1+E879)+Inputs!$E$5*C879*(Inputs!$E$11*Inputs!$E$14*(G879*I879/Inputs!$E$16+(1-G879))*K879+Inputs!$E$23*M879)*(1+O879)+Inputs!$E$5*(Q879+S879)</f>
        <v>6613.66850554405</v>
      </c>
    </row>
    <row r="880" customFormat="false" ht="15" hidden="false" customHeight="false" outlineLevel="0" collapsed="false">
      <c r="A880" s="1" t="n">
        <v>876</v>
      </c>
      <c r="B880" s="81" t="n">
        <f aca="true">RAND()</f>
        <v>0.645015831134622</v>
      </c>
      <c r="C880" s="82" t="n">
        <f aca="false">ROUND(IF(B880&lt;(Inputs!$E$8-Inputs!$D$8)/(Inputs!$F$8-Inputs!$D$8),Inputs!$D$8+SQRT(B880*(Inputs!$F$8-Inputs!$D$8)*(Inputs!$E$8-Inputs!$D$8)),Inputs!$F$8-SQRT((1-B880)*(Inputs!$F$8-Inputs!$D$8)*(Inputs!$F$8-Inputs!$E$8))),0)</f>
        <v>26</v>
      </c>
      <c r="D880" s="81" t="n">
        <f aca="true">RAND()</f>
        <v>0.677366322031505</v>
      </c>
      <c r="E880" s="83" t="n">
        <f aca="false">IF(D880&lt;(Inputs!$E$10-Inputs!$D$10)/(Inputs!$F$10-Inputs!$D$10),Inputs!$D$10+SQRT(D880*(Inputs!$F$10-Inputs!$D$10)*(Inputs!$E$10-Inputs!$D$10)),Inputs!$F$10-SQRT((1-D880)*(Inputs!$F$10-Inputs!$D$10)*(Inputs!$F$10-Inputs!$E$10)))</f>
        <v>0.101618038548447</v>
      </c>
      <c r="F880" s="81" t="n">
        <f aca="true">RAND()</f>
        <v>0.889504173092764</v>
      </c>
      <c r="G880" s="83" t="n">
        <f aca="false">IF(F880&lt;(Inputs!$E$15-Inputs!$D$15)/(Inputs!$F$15-Inputs!$D$15),Inputs!$D$15+SQRT(F880*(Inputs!$F$15-Inputs!$D$15)*(Inputs!$E$15-Inputs!$D$15)),Inputs!$F$15-SQRT((1-F880)*(Inputs!$F$15-Inputs!$D$15)*(Inputs!$F$15-Inputs!$E$15)))</f>
        <v>0.752990250605383</v>
      </c>
      <c r="H880" s="81" t="n">
        <f aca="true">RAND()</f>
        <v>0.458295827150765</v>
      </c>
      <c r="I880" s="82" t="n">
        <f aca="false">ROUND(IF(H880&lt;(Inputs!$E$17-Inputs!$D$17)/(Inputs!$F$17-Inputs!$D$17),Inputs!$D$17+SQRT(H880*(Inputs!$F$17-Inputs!$D$17)*(Inputs!$E$17-Inputs!$D$17)),Inputs!$F$17-SQRT((1-H880)*(Inputs!$F$17-Inputs!$D$17)*(Inputs!$F$17-Inputs!$E$17))),0)</f>
        <v>106</v>
      </c>
      <c r="J880" s="81" t="n">
        <f aca="true">RAND()</f>
        <v>0.274210740492799</v>
      </c>
      <c r="K880" s="83" t="n">
        <f aca="false">IF(J880&lt;(Inputs!$E$18-Inputs!$D$18)/(Inputs!$F$18-Inputs!$D$18),Inputs!$D$18+SQRT(J880*(Inputs!$F$18-Inputs!$D$18)*(Inputs!$E$18-Inputs!$D$18)),Inputs!$F$18-SQRT((1-J880)*(Inputs!$F$18-Inputs!$D$18)*(Inputs!$F$18-Inputs!$E$18)))</f>
        <v>0.997966197829904</v>
      </c>
      <c r="L880" s="81" t="n">
        <f aca="true">RAND()</f>
        <v>0.548529849389064</v>
      </c>
      <c r="M880" s="83" t="n">
        <f aca="false">IF(L880&lt;(Inputs!$E$24-Inputs!$D$24)/(Inputs!$F$24-Inputs!$D$24),Inputs!$D$24+SQRT(L880*(Inputs!$F$24-Inputs!$D$24)*(Inputs!$E$24-Inputs!$D$24)),Inputs!$F$24-SQRT((1-L880)*(Inputs!$F$24-Inputs!$D$24)*(Inputs!$F$24-Inputs!$E$24)))</f>
        <v>0.870830080130908</v>
      </c>
      <c r="N880" s="81" t="n">
        <f aca="true">RAND()</f>
        <v>0.34546180634966</v>
      </c>
      <c r="O880" s="83" t="n">
        <f aca="false">IF(N880&lt;(Inputs!$E$26-Inputs!$D$26)/(Inputs!$F$26-Inputs!$D$26),Inputs!$D$26+SQRT(N880*(Inputs!$F$26-Inputs!$D$26)*(Inputs!$E$26-Inputs!$D$26)),Inputs!$F$26-SQRT((1-N880)*(Inputs!$F$26-Inputs!$D$26)*(Inputs!$F$26-Inputs!$E$26)))</f>
        <v>0.539759972840721</v>
      </c>
      <c r="P880" s="81" t="n">
        <f aca="true">RAND()</f>
        <v>0.652808533541514</v>
      </c>
      <c r="Q880" s="82" t="n">
        <f aca="false">IF(P880&lt;(Inputs!$E$27-Inputs!$D$27)/(Inputs!$F$27-Inputs!$D$27),Inputs!$D$27+SQRT(P880*(Inputs!$F$27-Inputs!$D$27)*(Inputs!$E$27-Inputs!$D$27)),Inputs!$F$27-SQRT((1-P880)*(Inputs!$F$27-Inputs!$D$27)*(Inputs!$F$27-Inputs!$E$27)))</f>
        <v>98.971223819901</v>
      </c>
      <c r="R880" s="81" t="n">
        <f aca="true">RAND()</f>
        <v>0.782945849406704</v>
      </c>
      <c r="S880" s="82" t="n">
        <f aca="false">IF(R880&lt;(Inputs!$E$29-Inputs!$D$29)/(Inputs!$F$29-Inputs!$D$29),Inputs!$D$29+SQRT(R880*(Inputs!$F$29-Inputs!$D$29)*(Inputs!$E$29-Inputs!$D$29)),Inputs!$F$29-SQRT((1-R880)*(Inputs!$F$29-Inputs!$D$29)*(Inputs!$F$29-Inputs!$E$29)))</f>
        <v>9.68802865433853</v>
      </c>
      <c r="T880" s="68" t="n">
        <f aca="false">Inputs!$E$9*(1+E880)+Inputs!$E$5*C880*(Inputs!$E$11*Inputs!$E$14*(G880*I880/Inputs!$E$16+(1-G880))*K880+Inputs!$E$23*M880)*(1+O880)+Inputs!$E$5*(Q880+S880)</f>
        <v>6297.24222342809</v>
      </c>
    </row>
    <row r="881" customFormat="false" ht="15" hidden="false" customHeight="false" outlineLevel="0" collapsed="false">
      <c r="A881" s="1" t="n">
        <v>877</v>
      </c>
      <c r="B881" s="81" t="n">
        <f aca="true">RAND()</f>
        <v>0.423488269978865</v>
      </c>
      <c r="C881" s="82" t="n">
        <f aca="false">ROUND(IF(B881&lt;(Inputs!$E$8-Inputs!$D$8)/(Inputs!$F$8-Inputs!$D$8),Inputs!$D$8+SQRT(B881*(Inputs!$F$8-Inputs!$D$8)*(Inputs!$E$8-Inputs!$D$8)),Inputs!$F$8-SQRT((1-B881)*(Inputs!$F$8-Inputs!$D$8)*(Inputs!$F$8-Inputs!$E$8))),0)</f>
        <v>25</v>
      </c>
      <c r="D881" s="81" t="n">
        <f aca="true">RAND()</f>
        <v>0.512209236783764</v>
      </c>
      <c r="E881" s="83" t="n">
        <f aca="false">IF(D881&lt;(Inputs!$E$10-Inputs!$D$10)/(Inputs!$F$10-Inputs!$D$10),Inputs!$D$10+SQRT(D881*(Inputs!$F$10-Inputs!$D$10)*(Inputs!$E$10-Inputs!$D$10)),Inputs!$F$10-SQRT((1-D881)*(Inputs!$F$10-Inputs!$D$10)*(Inputs!$F$10-Inputs!$E$10)))</f>
        <v>0.0790300744131539</v>
      </c>
      <c r="F881" s="81" t="n">
        <f aca="true">RAND()</f>
        <v>0.878127484882188</v>
      </c>
      <c r="G881" s="83" t="n">
        <f aca="false">IF(F881&lt;(Inputs!$E$15-Inputs!$D$15)/(Inputs!$F$15-Inputs!$D$15),Inputs!$D$15+SQRT(F881*(Inputs!$F$15-Inputs!$D$15)*(Inputs!$E$15-Inputs!$D$15)),Inputs!$F$15-SQRT((1-F881)*(Inputs!$F$15-Inputs!$D$15)*(Inputs!$F$15-Inputs!$E$15)))</f>
        <v>0.75062945916484</v>
      </c>
      <c r="H881" s="81" t="n">
        <f aca="true">RAND()</f>
        <v>0.970021911792473</v>
      </c>
      <c r="I881" s="82" t="n">
        <f aca="false">ROUND(IF(H881&lt;(Inputs!$E$17-Inputs!$D$17)/(Inputs!$F$17-Inputs!$D$17),Inputs!$D$17+SQRT(H881*(Inputs!$F$17-Inputs!$D$17)*(Inputs!$E$17-Inputs!$D$17)),Inputs!$F$17-SQRT((1-H881)*(Inputs!$F$17-Inputs!$D$17)*(Inputs!$F$17-Inputs!$E$17))),0)</f>
        <v>113</v>
      </c>
      <c r="J881" s="81" t="n">
        <f aca="true">RAND()</f>
        <v>0.58569540571783</v>
      </c>
      <c r="K881" s="83" t="n">
        <f aca="false">IF(J881&lt;(Inputs!$E$18-Inputs!$D$18)/(Inputs!$F$18-Inputs!$D$18),Inputs!$D$18+SQRT(J881*(Inputs!$F$18-Inputs!$D$18)*(Inputs!$E$18-Inputs!$D$18)),Inputs!$F$18-SQRT((1-J881)*(Inputs!$F$18-Inputs!$D$18)*(Inputs!$F$18-Inputs!$E$18)))</f>
        <v>1.0596013340391</v>
      </c>
      <c r="L881" s="81" t="n">
        <f aca="true">RAND()</f>
        <v>0.558026771140095</v>
      </c>
      <c r="M881" s="83" t="n">
        <f aca="false">IF(L881&lt;(Inputs!$E$24-Inputs!$D$24)/(Inputs!$F$24-Inputs!$D$24),Inputs!$D$24+SQRT(L881*(Inputs!$F$24-Inputs!$D$24)*(Inputs!$E$24-Inputs!$D$24)),Inputs!$F$24-SQRT((1-L881)*(Inputs!$F$24-Inputs!$D$24)*(Inputs!$F$24-Inputs!$E$24)))</f>
        <v>0.874310615883205</v>
      </c>
      <c r="N881" s="81" t="n">
        <f aca="true">RAND()</f>
        <v>0.0405245213509521</v>
      </c>
      <c r="O881" s="83" t="n">
        <f aca="false">IF(N881&lt;(Inputs!$E$26-Inputs!$D$26)/(Inputs!$F$26-Inputs!$D$26),Inputs!$D$26+SQRT(N881*(Inputs!$F$26-Inputs!$D$26)*(Inputs!$E$26-Inputs!$D$26)),Inputs!$F$26-SQRT((1-N881)*(Inputs!$F$26-Inputs!$D$26)*(Inputs!$F$26-Inputs!$E$26)))</f>
        <v>0.382117478972497</v>
      </c>
      <c r="P881" s="81" t="n">
        <f aca="true">RAND()</f>
        <v>0.0970457372895523</v>
      </c>
      <c r="Q881" s="82" t="n">
        <f aca="false">IF(P881&lt;(Inputs!$E$27-Inputs!$D$27)/(Inputs!$F$27-Inputs!$D$27),Inputs!$D$27+SQRT(P881*(Inputs!$F$27-Inputs!$D$27)*(Inputs!$E$27-Inputs!$D$27)),Inputs!$F$27-SQRT((1-P881)*(Inputs!$F$27-Inputs!$D$27)*(Inputs!$F$27-Inputs!$E$27)))</f>
        <v>65.5760824093827</v>
      </c>
      <c r="R881" s="81" t="n">
        <f aca="true">RAND()</f>
        <v>0.100049394042678</v>
      </c>
      <c r="S881" s="82" t="n">
        <f aca="false">IF(R881&lt;(Inputs!$E$29-Inputs!$D$29)/(Inputs!$F$29-Inputs!$D$29),Inputs!$D$29+SQRT(R881*(Inputs!$F$29-Inputs!$D$29)*(Inputs!$E$29-Inputs!$D$29)),Inputs!$F$29-SQRT((1-R881)*(Inputs!$F$29-Inputs!$D$29)*(Inputs!$F$29-Inputs!$E$29)))</f>
        <v>3.9753294326933</v>
      </c>
      <c r="T881" s="68" t="n">
        <f aca="false">Inputs!$E$9*(1+E881)+Inputs!$E$5*C881*(Inputs!$E$11*Inputs!$E$14*(G881*I881/Inputs!$E$16+(1-G881))*K881+Inputs!$E$23*M881)*(1+O881)+Inputs!$E$5*(Q881+S881)</f>
        <v>5794.54997988653</v>
      </c>
    </row>
    <row r="882" customFormat="false" ht="15" hidden="false" customHeight="false" outlineLevel="0" collapsed="false">
      <c r="A882" s="1" t="n">
        <v>878</v>
      </c>
      <c r="B882" s="81" t="n">
        <f aca="true">RAND()</f>
        <v>0.808850828497505</v>
      </c>
      <c r="C882" s="82" t="n">
        <f aca="false">ROUND(IF(B882&lt;(Inputs!$E$8-Inputs!$D$8)/(Inputs!$F$8-Inputs!$D$8),Inputs!$D$8+SQRT(B882*(Inputs!$F$8-Inputs!$D$8)*(Inputs!$E$8-Inputs!$D$8)),Inputs!$F$8-SQRT((1-B882)*(Inputs!$F$8-Inputs!$D$8)*(Inputs!$F$8-Inputs!$E$8))),0)</f>
        <v>27</v>
      </c>
      <c r="D882" s="81" t="n">
        <f aca="true">RAND()</f>
        <v>0.849381197715549</v>
      </c>
      <c r="E882" s="83" t="n">
        <f aca="false">IF(D882&lt;(Inputs!$E$10-Inputs!$D$10)/(Inputs!$F$10-Inputs!$D$10),Inputs!$D$10+SQRT(D882*(Inputs!$F$10-Inputs!$D$10)*(Inputs!$E$10-Inputs!$D$10)),Inputs!$F$10-SQRT((1-D882)*(Inputs!$F$10-Inputs!$D$10)*(Inputs!$F$10-Inputs!$E$10)))</f>
        <v>0.132779734688611</v>
      </c>
      <c r="F882" s="81" t="n">
        <f aca="true">RAND()</f>
        <v>0.0504399723096111</v>
      </c>
      <c r="G882" s="83" t="n">
        <f aca="false">IF(F882&lt;(Inputs!$E$15-Inputs!$D$15)/(Inputs!$F$15-Inputs!$D$15),Inputs!$D$15+SQRT(F882*(Inputs!$F$15-Inputs!$D$15)*(Inputs!$E$15-Inputs!$D$15)),Inputs!$F$15-SQRT((1-F882)*(Inputs!$F$15-Inputs!$D$15)*(Inputs!$F$15-Inputs!$E$15)))</f>
        <v>0.631761603331574</v>
      </c>
      <c r="H882" s="81" t="n">
        <f aca="true">RAND()</f>
        <v>0.715001893808195</v>
      </c>
      <c r="I882" s="82" t="n">
        <f aca="false">ROUND(IF(H882&lt;(Inputs!$E$17-Inputs!$D$17)/(Inputs!$F$17-Inputs!$D$17),Inputs!$D$17+SQRT(H882*(Inputs!$F$17-Inputs!$D$17)*(Inputs!$E$17-Inputs!$D$17)),Inputs!$F$17-SQRT((1-H882)*(Inputs!$F$17-Inputs!$D$17)*(Inputs!$F$17-Inputs!$E$17))),0)</f>
        <v>108</v>
      </c>
      <c r="J882" s="81" t="n">
        <f aca="true">RAND()</f>
        <v>0.77863389505759</v>
      </c>
      <c r="K882" s="83" t="n">
        <f aca="false">IF(J882&lt;(Inputs!$E$18-Inputs!$D$18)/(Inputs!$F$18-Inputs!$D$18),Inputs!$D$18+SQRT(J882*(Inputs!$F$18-Inputs!$D$18)*(Inputs!$E$18-Inputs!$D$18)),Inputs!$F$18-SQRT((1-J882)*(Inputs!$F$18-Inputs!$D$18)*(Inputs!$F$18-Inputs!$E$18)))</f>
        <v>1.11082552611035</v>
      </c>
      <c r="L882" s="81" t="n">
        <f aca="true">RAND()</f>
        <v>0.657252750543945</v>
      </c>
      <c r="M882" s="83" t="n">
        <f aca="false">IF(L882&lt;(Inputs!$E$24-Inputs!$D$24)/(Inputs!$F$24-Inputs!$D$24),Inputs!$D$24+SQRT(L882*(Inputs!$F$24-Inputs!$D$24)*(Inputs!$E$24-Inputs!$D$24)),Inputs!$F$24-SQRT((1-L882)*(Inputs!$F$24-Inputs!$D$24)*(Inputs!$F$24-Inputs!$E$24)))</f>
        <v>0.913191109152012</v>
      </c>
      <c r="N882" s="81" t="n">
        <f aca="true">RAND()</f>
        <v>0.670372908512778</v>
      </c>
      <c r="O882" s="83" t="n">
        <f aca="false">IF(N882&lt;(Inputs!$E$26-Inputs!$D$26)/(Inputs!$F$26-Inputs!$D$26),Inputs!$D$26+SQRT(N882*(Inputs!$F$26-Inputs!$D$26)*(Inputs!$E$26-Inputs!$D$26)),Inputs!$F$26-SQRT((1-N882)*(Inputs!$F$26-Inputs!$D$26)*(Inputs!$F$26-Inputs!$E$26)))</f>
        <v>0.634848123113291</v>
      </c>
      <c r="P882" s="81" t="n">
        <f aca="true">RAND()</f>
        <v>0.823232231823858</v>
      </c>
      <c r="Q882" s="82" t="n">
        <f aca="false">IF(P882&lt;(Inputs!$E$27-Inputs!$D$27)/(Inputs!$F$27-Inputs!$D$27),Inputs!$D$27+SQRT(P882*(Inputs!$F$27-Inputs!$D$27)*(Inputs!$E$27-Inputs!$D$27)),Inputs!$F$27-SQRT((1-P882)*(Inputs!$F$27-Inputs!$D$27)*(Inputs!$F$27-Inputs!$E$27)))</f>
        <v>113.589036523032</v>
      </c>
      <c r="R882" s="81" t="n">
        <f aca="true">RAND()</f>
        <v>0.539841225202832</v>
      </c>
      <c r="S882" s="82" t="n">
        <f aca="false">IF(R882&lt;(Inputs!$E$29-Inputs!$D$29)/(Inputs!$F$29-Inputs!$D$29),Inputs!$D$29+SQRT(R882*(Inputs!$F$29-Inputs!$D$29)*(Inputs!$E$29-Inputs!$D$29)),Inputs!$F$29-SQRT((1-R882)*(Inputs!$F$29-Inputs!$D$29)*(Inputs!$F$29-Inputs!$E$29)))</f>
        <v>7.26561956433278</v>
      </c>
      <c r="T882" s="68" t="n">
        <f aca="false">Inputs!$E$9*(1+E882)+Inputs!$E$5*C882*(Inputs!$E$11*Inputs!$E$14*(G882*I882/Inputs!$E$16+(1-G882))*K882+Inputs!$E$23*M882)*(1+O882)+Inputs!$E$5*(Q882+S882)</f>
        <v>7316.67302009763</v>
      </c>
    </row>
    <row r="883" customFormat="false" ht="15" hidden="false" customHeight="false" outlineLevel="0" collapsed="false">
      <c r="A883" s="1" t="n">
        <v>879</v>
      </c>
      <c r="B883" s="81" t="n">
        <f aca="true">RAND()</f>
        <v>0.512225543094484</v>
      </c>
      <c r="C883" s="82" t="n">
        <f aca="false">ROUND(IF(B883&lt;(Inputs!$E$8-Inputs!$D$8)/(Inputs!$F$8-Inputs!$D$8),Inputs!$D$8+SQRT(B883*(Inputs!$F$8-Inputs!$D$8)*(Inputs!$E$8-Inputs!$D$8)),Inputs!$F$8-SQRT((1-B883)*(Inputs!$F$8-Inputs!$D$8)*(Inputs!$F$8-Inputs!$E$8))),0)</f>
        <v>25</v>
      </c>
      <c r="D883" s="81" t="n">
        <f aca="true">RAND()</f>
        <v>0.117112231015275</v>
      </c>
      <c r="E883" s="83" t="n">
        <f aca="false">IF(D883&lt;(Inputs!$E$10-Inputs!$D$10)/(Inputs!$F$10-Inputs!$D$10),Inputs!$D$10+SQRT(D883*(Inputs!$F$10-Inputs!$D$10)*(Inputs!$E$10-Inputs!$D$10)),Inputs!$F$10-SQRT((1-D883)*(Inputs!$F$10-Inputs!$D$10)*(Inputs!$F$10-Inputs!$E$10)))</f>
        <v>0.0342216643393151</v>
      </c>
      <c r="F883" s="81" t="n">
        <f aca="true">RAND()</f>
        <v>0.677368645902196</v>
      </c>
      <c r="G883" s="83" t="n">
        <f aca="false">IF(F883&lt;(Inputs!$E$15-Inputs!$D$15)/(Inputs!$F$15-Inputs!$D$15),Inputs!$D$15+SQRT(F883*(Inputs!$F$15-Inputs!$D$15)*(Inputs!$E$15-Inputs!$D$15)),Inputs!$F$15-SQRT((1-F883)*(Inputs!$F$15-Inputs!$D$15)*(Inputs!$F$15-Inputs!$E$15)))</f>
        <v>0.719671754146153</v>
      </c>
      <c r="H883" s="81" t="n">
        <f aca="true">RAND()</f>
        <v>0.282329045136833</v>
      </c>
      <c r="I883" s="82" t="n">
        <f aca="false">ROUND(IF(H883&lt;(Inputs!$E$17-Inputs!$D$17)/(Inputs!$F$17-Inputs!$D$17),Inputs!$D$17+SQRT(H883*(Inputs!$F$17-Inputs!$D$17)*(Inputs!$E$17-Inputs!$D$17)),Inputs!$F$17-SQRT((1-H883)*(Inputs!$F$17-Inputs!$D$17)*(Inputs!$F$17-Inputs!$E$17))),0)</f>
        <v>105</v>
      </c>
      <c r="J883" s="81" t="n">
        <f aca="true">RAND()</f>
        <v>0.976809207405683</v>
      </c>
      <c r="K883" s="83" t="n">
        <f aca="false">IF(J883&lt;(Inputs!$E$18-Inputs!$D$18)/(Inputs!$F$18-Inputs!$D$18),Inputs!$D$18+SQRT(J883*(Inputs!$F$18-Inputs!$D$18)*(Inputs!$E$18-Inputs!$D$18)),Inputs!$F$18-SQRT((1-J883)*(Inputs!$F$18-Inputs!$D$18)*(Inputs!$F$18-Inputs!$E$18)))</f>
        <v>1.20495342019639</v>
      </c>
      <c r="L883" s="81" t="n">
        <f aca="true">RAND()</f>
        <v>0.696497806117902</v>
      </c>
      <c r="M883" s="83" t="n">
        <f aca="false">IF(L883&lt;(Inputs!$E$24-Inputs!$D$24)/(Inputs!$F$24-Inputs!$D$24),Inputs!$D$24+SQRT(L883*(Inputs!$F$24-Inputs!$D$24)*(Inputs!$E$24-Inputs!$D$24)),Inputs!$F$24-SQRT((1-L883)*(Inputs!$F$24-Inputs!$D$24)*(Inputs!$F$24-Inputs!$E$24)))</f>
        <v>0.930110158524439</v>
      </c>
      <c r="N883" s="81" t="n">
        <f aca="true">RAND()</f>
        <v>0.727062005952877</v>
      </c>
      <c r="O883" s="83" t="n">
        <f aca="false">IF(N883&lt;(Inputs!$E$26-Inputs!$D$26)/(Inputs!$F$26-Inputs!$D$26),Inputs!$D$26+SQRT(N883*(Inputs!$F$26-Inputs!$D$26)*(Inputs!$E$26-Inputs!$D$26)),Inputs!$F$26-SQRT((1-N883)*(Inputs!$F$26-Inputs!$D$26)*(Inputs!$F$26-Inputs!$E$26)))</f>
        <v>0.651519878380561</v>
      </c>
      <c r="P883" s="81" t="n">
        <f aca="true">RAND()</f>
        <v>0.36296409435553</v>
      </c>
      <c r="Q883" s="82" t="n">
        <f aca="false">IF(P883&lt;(Inputs!$E$27-Inputs!$D$27)/(Inputs!$F$27-Inputs!$D$27),Inputs!$D$27+SQRT(P883*(Inputs!$F$27-Inputs!$D$27)*(Inputs!$E$27-Inputs!$D$27)),Inputs!$F$27-SQRT((1-P883)*(Inputs!$F$27-Inputs!$D$27)*(Inputs!$F$27-Inputs!$E$27)))</f>
        <v>80.878590202937</v>
      </c>
      <c r="R883" s="81" t="n">
        <f aca="true">RAND()</f>
        <v>0.742974259781744</v>
      </c>
      <c r="S883" s="82" t="n">
        <f aca="false">IF(R883&lt;(Inputs!$E$29-Inputs!$D$29)/(Inputs!$F$29-Inputs!$D$29),Inputs!$D$29+SQRT(R883*(Inputs!$F$29-Inputs!$D$29)*(Inputs!$E$29-Inputs!$D$29)),Inputs!$F$29-SQRT((1-R883)*(Inputs!$F$29-Inputs!$D$29)*(Inputs!$F$29-Inputs!$E$29)))</f>
        <v>9.21957214140915</v>
      </c>
      <c r="T883" s="68" t="n">
        <f aca="false">Inputs!$E$9*(1+E883)+Inputs!$E$5*C883*(Inputs!$E$11*Inputs!$E$14*(G883*I883/Inputs!$E$16+(1-G883))*K883+Inputs!$E$23*M883)*(1+O883)+Inputs!$E$5*(Q883+S883)</f>
        <v>6733.89819331738</v>
      </c>
    </row>
    <row r="884" customFormat="false" ht="15" hidden="false" customHeight="false" outlineLevel="0" collapsed="false">
      <c r="A884" s="1" t="n">
        <v>880</v>
      </c>
      <c r="B884" s="81" t="n">
        <f aca="true">RAND()</f>
        <v>0.998726889032211</v>
      </c>
      <c r="C884" s="82" t="n">
        <f aca="false">ROUND(IF(B884&lt;(Inputs!$E$8-Inputs!$D$8)/(Inputs!$F$8-Inputs!$D$8),Inputs!$D$8+SQRT(B884*(Inputs!$F$8-Inputs!$D$8)*(Inputs!$E$8-Inputs!$D$8)),Inputs!$F$8-SQRT((1-B884)*(Inputs!$F$8-Inputs!$D$8)*(Inputs!$F$8-Inputs!$E$8))),0)</f>
        <v>30</v>
      </c>
      <c r="D884" s="81" t="n">
        <f aca="true">RAND()</f>
        <v>0.702607667551248</v>
      </c>
      <c r="E884" s="83" t="n">
        <f aca="false">IF(D884&lt;(Inputs!$E$10-Inputs!$D$10)/(Inputs!$F$10-Inputs!$D$10),Inputs!$D$10+SQRT(D884*(Inputs!$F$10-Inputs!$D$10)*(Inputs!$E$10-Inputs!$D$10)),Inputs!$F$10-SQRT((1-D884)*(Inputs!$F$10-Inputs!$D$10)*(Inputs!$F$10-Inputs!$E$10)))</f>
        <v>0.105544878521795</v>
      </c>
      <c r="F884" s="81" t="n">
        <f aca="true">RAND()</f>
        <v>0.619565959768301</v>
      </c>
      <c r="G884" s="83" t="n">
        <f aca="false">IF(F884&lt;(Inputs!$E$15-Inputs!$D$15)/(Inputs!$F$15-Inputs!$D$15),Inputs!$D$15+SQRT(F884*(Inputs!$F$15-Inputs!$D$15)*(Inputs!$E$15-Inputs!$D$15)),Inputs!$F$15-SQRT((1-F884)*(Inputs!$F$15-Inputs!$D$15)*(Inputs!$F$15-Inputs!$E$15)))</f>
        <v>0.712772247508984</v>
      </c>
      <c r="H884" s="81" t="n">
        <f aca="true">RAND()</f>
        <v>0.044876597293542</v>
      </c>
      <c r="I884" s="82" t="n">
        <f aca="false">ROUND(IF(H884&lt;(Inputs!$E$17-Inputs!$D$17)/(Inputs!$F$17-Inputs!$D$17),Inputs!$D$17+SQRT(H884*(Inputs!$F$17-Inputs!$D$17)*(Inputs!$E$17-Inputs!$D$17)),Inputs!$F$17-SQRT((1-H884)*(Inputs!$F$17-Inputs!$D$17)*(Inputs!$F$17-Inputs!$E$17))),0)</f>
        <v>102</v>
      </c>
      <c r="J884" s="81" t="n">
        <f aca="true">RAND()</f>
        <v>0.712584775292722</v>
      </c>
      <c r="K884" s="83" t="n">
        <f aca="false">IF(J884&lt;(Inputs!$E$18-Inputs!$D$18)/(Inputs!$F$18-Inputs!$D$18),Inputs!$D$18+SQRT(J884*(Inputs!$F$18-Inputs!$D$18)*(Inputs!$E$18-Inputs!$D$18)),Inputs!$F$18-SQRT((1-J884)*(Inputs!$F$18-Inputs!$D$18)*(Inputs!$F$18-Inputs!$E$18)))</f>
        <v>1.09141616677011</v>
      </c>
      <c r="L884" s="81" t="n">
        <f aca="true">RAND()</f>
        <v>0.423920538032319</v>
      </c>
      <c r="M884" s="83" t="n">
        <f aca="false">IF(L884&lt;(Inputs!$E$24-Inputs!$D$24)/(Inputs!$F$24-Inputs!$D$24),Inputs!$D$24+SQRT(L884*(Inputs!$F$24-Inputs!$D$24)*(Inputs!$E$24-Inputs!$D$24)),Inputs!$F$24-SQRT((1-L884)*(Inputs!$F$24-Inputs!$D$24)*(Inputs!$F$24-Inputs!$E$24)))</f>
        <v>0.828167953408742</v>
      </c>
      <c r="N884" s="81" t="n">
        <f aca="true">RAND()</f>
        <v>0.248349949061224</v>
      </c>
      <c r="O884" s="83" t="n">
        <f aca="false">IF(N884&lt;(Inputs!$E$26-Inputs!$D$26)/(Inputs!$F$26-Inputs!$D$26),Inputs!$D$26+SQRT(N884*(Inputs!$F$26-Inputs!$D$26)*(Inputs!$E$26-Inputs!$D$26)),Inputs!$F$26-SQRT((1-N884)*(Inputs!$F$26-Inputs!$D$26)*(Inputs!$F$26-Inputs!$E$26)))</f>
        <v>0.503286574873472</v>
      </c>
      <c r="P884" s="81" t="n">
        <f aca="true">RAND()</f>
        <v>0.997587181499985</v>
      </c>
      <c r="Q884" s="82" t="n">
        <f aca="false">IF(P884&lt;(Inputs!$E$27-Inputs!$D$27)/(Inputs!$F$27-Inputs!$D$27),Inputs!$D$27+SQRT(P884*(Inputs!$F$27-Inputs!$D$27)*(Inputs!$E$27-Inputs!$D$27)),Inputs!$F$27-SQRT((1-P884)*(Inputs!$F$27-Inputs!$D$27)*(Inputs!$F$27-Inputs!$E$27)))</f>
        <v>145.746044340838</v>
      </c>
      <c r="R884" s="81" t="n">
        <f aca="true">RAND()</f>
        <v>0.32377442443102</v>
      </c>
      <c r="S884" s="82" t="n">
        <f aca="false">IF(R884&lt;(Inputs!$E$29-Inputs!$D$29)/(Inputs!$F$29-Inputs!$D$29),Inputs!$D$29+SQRT(R884*(Inputs!$F$29-Inputs!$D$29)*(Inputs!$E$29-Inputs!$D$29)),Inputs!$F$29-SQRT((1-R884)*(Inputs!$F$29-Inputs!$D$29)*(Inputs!$F$29-Inputs!$E$29)))</f>
        <v>5.6240027290977</v>
      </c>
      <c r="T884" s="68" t="n">
        <f aca="false">Inputs!$E$9*(1+E884)+Inputs!$E$5*C884*(Inputs!$E$11*Inputs!$E$14*(G884*I884/Inputs!$E$16+(1-G884))*K884+Inputs!$E$23*M884)*(1+O884)+Inputs!$E$5*(Q884+S884)</f>
        <v>7099.06791376273</v>
      </c>
    </row>
    <row r="885" customFormat="false" ht="15" hidden="false" customHeight="false" outlineLevel="0" collapsed="false">
      <c r="A885" s="1" t="n">
        <v>881</v>
      </c>
      <c r="B885" s="81" t="n">
        <f aca="true">RAND()</f>
        <v>0.682095971152666</v>
      </c>
      <c r="C885" s="82" t="n">
        <f aca="false">ROUND(IF(B885&lt;(Inputs!$E$8-Inputs!$D$8)/(Inputs!$F$8-Inputs!$D$8),Inputs!$D$8+SQRT(B885*(Inputs!$F$8-Inputs!$D$8)*(Inputs!$E$8-Inputs!$D$8)),Inputs!$F$8-SQRT((1-B885)*(Inputs!$F$8-Inputs!$D$8)*(Inputs!$F$8-Inputs!$E$8))),0)</f>
        <v>26</v>
      </c>
      <c r="D885" s="81" t="n">
        <f aca="true">RAND()</f>
        <v>0.503680798922258</v>
      </c>
      <c r="E885" s="83" t="n">
        <f aca="false">IF(D885&lt;(Inputs!$E$10-Inputs!$D$10)/(Inputs!$F$10-Inputs!$D$10),Inputs!$D$10+SQRT(D885*(Inputs!$F$10-Inputs!$D$10)*(Inputs!$E$10-Inputs!$D$10)),Inputs!$F$10-SQRT((1-D885)*(Inputs!$F$10-Inputs!$D$10)*(Inputs!$F$10-Inputs!$E$10)))</f>
        <v>0.0779771495484053</v>
      </c>
      <c r="F885" s="81" t="n">
        <f aca="true">RAND()</f>
        <v>0.364186664149245</v>
      </c>
      <c r="G885" s="83" t="n">
        <f aca="false">IF(F885&lt;(Inputs!$E$15-Inputs!$D$15)/(Inputs!$F$15-Inputs!$D$15),Inputs!$D$15+SQRT(F885*(Inputs!$F$15-Inputs!$D$15)*(Inputs!$E$15-Inputs!$D$15)),Inputs!$F$15-SQRT((1-F885)*(Inputs!$F$15-Inputs!$D$15)*(Inputs!$F$15-Inputs!$E$15)))</f>
        <v>0.685344790602502</v>
      </c>
      <c r="H885" s="81" t="n">
        <f aca="true">RAND()</f>
        <v>0.0353785094320152</v>
      </c>
      <c r="I885" s="82" t="n">
        <f aca="false">ROUND(IF(H885&lt;(Inputs!$E$17-Inputs!$D$17)/(Inputs!$F$17-Inputs!$D$17),Inputs!$D$17+SQRT(H885*(Inputs!$F$17-Inputs!$D$17)*(Inputs!$E$17-Inputs!$D$17)),Inputs!$F$17-SQRT((1-H885)*(Inputs!$F$17-Inputs!$D$17)*(Inputs!$F$17-Inputs!$E$17))),0)</f>
        <v>102</v>
      </c>
      <c r="J885" s="81" t="n">
        <f aca="true">RAND()</f>
        <v>0.247161272677068</v>
      </c>
      <c r="K885" s="83" t="n">
        <f aca="false">IF(J885&lt;(Inputs!$E$18-Inputs!$D$18)/(Inputs!$F$18-Inputs!$D$18),Inputs!$D$18+SQRT(J885*(Inputs!$F$18-Inputs!$D$18)*(Inputs!$E$18-Inputs!$D$18)),Inputs!$F$18-SQRT((1-J885)*(Inputs!$F$18-Inputs!$D$18)*(Inputs!$F$18-Inputs!$E$18)))</f>
        <v>0.993008841212529</v>
      </c>
      <c r="L885" s="81" t="n">
        <f aca="true">RAND()</f>
        <v>0.350527272307249</v>
      </c>
      <c r="M885" s="83" t="n">
        <f aca="false">IF(L885&lt;(Inputs!$E$24-Inputs!$D$24)/(Inputs!$F$24-Inputs!$D$24),Inputs!$D$24+SQRT(L885*(Inputs!$F$24-Inputs!$D$24)*(Inputs!$E$24-Inputs!$D$24)),Inputs!$F$24-SQRT((1-L885)*(Inputs!$F$24-Inputs!$D$24)*(Inputs!$F$24-Inputs!$E$24)))</f>
        <v>0.805191876164813</v>
      </c>
      <c r="N885" s="81" t="n">
        <f aca="true">RAND()</f>
        <v>0.373421066480577</v>
      </c>
      <c r="O885" s="83" t="n">
        <f aca="false">IF(N885&lt;(Inputs!$E$26-Inputs!$D$26)/(Inputs!$F$26-Inputs!$D$26),Inputs!$D$26+SQRT(N885*(Inputs!$F$26-Inputs!$D$26)*(Inputs!$E$26-Inputs!$D$26)),Inputs!$F$26-SQRT((1-N885)*(Inputs!$F$26-Inputs!$D$26)*(Inputs!$F$26-Inputs!$E$26)))</f>
        <v>0.549273475248306</v>
      </c>
      <c r="P885" s="81" t="n">
        <f aca="true">RAND()</f>
        <v>0.727541111939485</v>
      </c>
      <c r="Q885" s="82" t="n">
        <f aca="false">IF(P885&lt;(Inputs!$E$27-Inputs!$D$27)/(Inputs!$F$27-Inputs!$D$27),Inputs!$D$27+SQRT(P885*(Inputs!$F$27-Inputs!$D$27)*(Inputs!$E$27-Inputs!$D$27)),Inputs!$F$27-SQRT((1-P885)*(Inputs!$F$27-Inputs!$D$27)*(Inputs!$F$27-Inputs!$E$27)))</f>
        <v>104.795557071745</v>
      </c>
      <c r="R885" s="81" t="n">
        <f aca="true">RAND()</f>
        <v>0.994236842246756</v>
      </c>
      <c r="S885" s="82" t="n">
        <f aca="false">IF(R885&lt;(Inputs!$E$29-Inputs!$D$29)/(Inputs!$F$29-Inputs!$D$29),Inputs!$D$29+SQRT(R885*(Inputs!$F$29-Inputs!$D$29)*(Inputs!$E$29-Inputs!$D$29)),Inputs!$F$29-SQRT((1-R885)*(Inputs!$F$29-Inputs!$D$29)*(Inputs!$F$29-Inputs!$E$29)))</f>
        <v>14.1344305296963</v>
      </c>
      <c r="T885" s="68" t="n">
        <f aca="false">Inputs!$E$9*(1+E885)+Inputs!$E$5*C885*(Inputs!$E$11*Inputs!$E$14*(G885*I885/Inputs!$E$16+(1-G885))*K885+Inputs!$E$23*M885)*(1+O885)+Inputs!$E$5*(Q885+S885)</f>
        <v>6255.80393550234</v>
      </c>
    </row>
    <row r="886" customFormat="false" ht="15" hidden="false" customHeight="false" outlineLevel="0" collapsed="false">
      <c r="A886" s="1" t="n">
        <v>882</v>
      </c>
      <c r="B886" s="81" t="n">
        <f aca="true">RAND()</f>
        <v>0.325522781098813</v>
      </c>
      <c r="C886" s="82" t="n">
        <f aca="false">ROUND(IF(B886&lt;(Inputs!$E$8-Inputs!$D$8)/(Inputs!$F$8-Inputs!$D$8),Inputs!$D$8+SQRT(B886*(Inputs!$F$8-Inputs!$D$8)*(Inputs!$E$8-Inputs!$D$8)),Inputs!$F$8-SQRT((1-B886)*(Inputs!$F$8-Inputs!$D$8)*(Inputs!$F$8-Inputs!$E$8))),0)</f>
        <v>24</v>
      </c>
      <c r="D886" s="81" t="n">
        <f aca="true">RAND()</f>
        <v>0.149831603977409</v>
      </c>
      <c r="E886" s="83" t="n">
        <f aca="false">IF(D886&lt;(Inputs!$E$10-Inputs!$D$10)/(Inputs!$F$10-Inputs!$D$10),Inputs!$D$10+SQRT(D886*(Inputs!$F$10-Inputs!$D$10)*(Inputs!$E$10-Inputs!$D$10)),Inputs!$F$10-SQRT((1-D886)*(Inputs!$F$10-Inputs!$D$10)*(Inputs!$F$10-Inputs!$E$10)))</f>
        <v>0.0387080875241091</v>
      </c>
      <c r="F886" s="81" t="n">
        <f aca="true">RAND()</f>
        <v>0.0308762266322411</v>
      </c>
      <c r="G886" s="83" t="n">
        <f aca="false">IF(F886&lt;(Inputs!$E$15-Inputs!$D$15)/(Inputs!$F$15-Inputs!$D$15),Inputs!$D$15+SQRT(F886*(Inputs!$F$15-Inputs!$D$15)*(Inputs!$E$15-Inputs!$D$15)),Inputs!$F$15-SQRT((1-F886)*(Inputs!$F$15-Inputs!$D$15)*(Inputs!$F$15-Inputs!$E$15)))</f>
        <v>0.624850040898253</v>
      </c>
      <c r="H886" s="81" t="n">
        <f aca="true">RAND()</f>
        <v>0.631484057818774</v>
      </c>
      <c r="I886" s="82" t="n">
        <f aca="false">ROUND(IF(H886&lt;(Inputs!$E$17-Inputs!$D$17)/(Inputs!$F$17-Inputs!$D$17),Inputs!$D$17+SQRT(H886*(Inputs!$F$17-Inputs!$D$17)*(Inputs!$E$17-Inputs!$D$17)),Inputs!$F$17-SQRT((1-H886)*(Inputs!$F$17-Inputs!$D$17)*(Inputs!$F$17-Inputs!$E$17))),0)</f>
        <v>108</v>
      </c>
      <c r="J886" s="81" t="n">
        <f aca="true">RAND()</f>
        <v>0.321139962212642</v>
      </c>
      <c r="K886" s="83" t="n">
        <f aca="false">IF(J886&lt;(Inputs!$E$18-Inputs!$D$18)/(Inputs!$F$18-Inputs!$D$18),Inputs!$D$18+SQRT(J886*(Inputs!$F$18-Inputs!$D$18)*(Inputs!$E$18-Inputs!$D$18)),Inputs!$F$18-SQRT((1-J886)*(Inputs!$F$18-Inputs!$D$18)*(Inputs!$F$18-Inputs!$E$18)))</f>
        <v>1.00627832819711</v>
      </c>
      <c r="L886" s="81" t="n">
        <f aca="true">RAND()</f>
        <v>0.147447021081436</v>
      </c>
      <c r="M886" s="83" t="n">
        <f aca="false">IF(L886&lt;(Inputs!$E$24-Inputs!$D$24)/(Inputs!$F$24-Inputs!$D$24),Inputs!$D$24+SQRT(L886*(Inputs!$F$24-Inputs!$D$24)*(Inputs!$E$24-Inputs!$D$24)),Inputs!$F$24-SQRT((1-L886)*(Inputs!$F$24-Inputs!$D$24)*(Inputs!$F$24-Inputs!$E$24)))</f>
        <v>0.73301745197444</v>
      </c>
      <c r="N886" s="81" t="n">
        <f aca="true">RAND()</f>
        <v>0.723896423541638</v>
      </c>
      <c r="O886" s="83" t="n">
        <f aca="false">IF(N886&lt;(Inputs!$E$26-Inputs!$D$26)/(Inputs!$F$26-Inputs!$D$26),Inputs!$D$26+SQRT(N886*(Inputs!$F$26-Inputs!$D$26)*(Inputs!$E$26-Inputs!$D$26)),Inputs!$F$26-SQRT((1-N886)*(Inputs!$F$26-Inputs!$D$26)*(Inputs!$F$26-Inputs!$E$26)))</f>
        <v>0.650545664110741</v>
      </c>
      <c r="P886" s="81" t="n">
        <f aca="true">RAND()</f>
        <v>0.648724851799021</v>
      </c>
      <c r="Q886" s="82" t="n">
        <f aca="false">IF(P886&lt;(Inputs!$E$27-Inputs!$D$27)/(Inputs!$F$27-Inputs!$D$27),Inputs!$D$27+SQRT(P886*(Inputs!$F$27-Inputs!$D$27)*(Inputs!$E$27-Inputs!$D$27)),Inputs!$F$27-SQRT((1-P886)*(Inputs!$F$27-Inputs!$D$27)*(Inputs!$F$27-Inputs!$E$27)))</f>
        <v>98.6719997320435</v>
      </c>
      <c r="R886" s="81" t="n">
        <f aca="true">RAND()</f>
        <v>0.286749922865239</v>
      </c>
      <c r="S886" s="82" t="n">
        <f aca="false">IF(R886&lt;(Inputs!$E$29-Inputs!$D$29)/(Inputs!$F$29-Inputs!$D$29),Inputs!$D$29+SQRT(R886*(Inputs!$F$29-Inputs!$D$29)*(Inputs!$E$29-Inputs!$D$29)),Inputs!$F$29-SQRT((1-R886)*(Inputs!$F$29-Inputs!$D$29)*(Inputs!$F$29-Inputs!$E$29)))</f>
        <v>5.37074717189756</v>
      </c>
      <c r="T886" s="68" t="n">
        <f aca="false">Inputs!$E$9*(1+E886)+Inputs!$E$5*C886*(Inputs!$E$11*Inputs!$E$14*(G886*I886/Inputs!$E$16+(1-G886))*K886+Inputs!$E$23*M886)*(1+O886)+Inputs!$E$5*(Q886+S886)</f>
        <v>6112.05657234631</v>
      </c>
    </row>
    <row r="887" customFormat="false" ht="15" hidden="false" customHeight="false" outlineLevel="0" collapsed="false">
      <c r="A887" s="1" t="n">
        <v>883</v>
      </c>
      <c r="B887" s="81" t="n">
        <f aca="true">RAND()</f>
        <v>0.568111244688605</v>
      </c>
      <c r="C887" s="82" t="n">
        <f aca="false">ROUND(IF(B887&lt;(Inputs!$E$8-Inputs!$D$8)/(Inputs!$F$8-Inputs!$D$8),Inputs!$D$8+SQRT(B887*(Inputs!$F$8-Inputs!$D$8)*(Inputs!$E$8-Inputs!$D$8)),Inputs!$F$8-SQRT((1-B887)*(Inputs!$F$8-Inputs!$D$8)*(Inputs!$F$8-Inputs!$E$8))),0)</f>
        <v>25</v>
      </c>
      <c r="D887" s="81" t="n">
        <f aca="true">RAND()</f>
        <v>0.482605425463571</v>
      </c>
      <c r="E887" s="83" t="n">
        <f aca="false">IF(D887&lt;(Inputs!$E$10-Inputs!$D$10)/(Inputs!$F$10-Inputs!$D$10),Inputs!$D$10+SQRT(D887*(Inputs!$F$10-Inputs!$D$10)*(Inputs!$E$10-Inputs!$D$10)),Inputs!$F$10-SQRT((1-D887)*(Inputs!$F$10-Inputs!$D$10)*(Inputs!$F$10-Inputs!$E$10)))</f>
        <v>0.0754133344370559</v>
      </c>
      <c r="F887" s="81" t="n">
        <f aca="true">RAND()</f>
        <v>0.187456121080871</v>
      </c>
      <c r="G887" s="83" t="n">
        <f aca="false">IF(F887&lt;(Inputs!$E$15-Inputs!$D$15)/(Inputs!$F$15-Inputs!$D$15),Inputs!$D$15+SQRT(F887*(Inputs!$F$15-Inputs!$D$15)*(Inputs!$E$15-Inputs!$D$15)),Inputs!$F$15-SQRT((1-F887)*(Inputs!$F$15-Inputs!$D$15)*(Inputs!$F$15-Inputs!$E$15)))</f>
        <v>0.661230077752829</v>
      </c>
      <c r="H887" s="81" t="n">
        <f aca="true">RAND()</f>
        <v>0.197409097700567</v>
      </c>
      <c r="I887" s="82" t="n">
        <f aca="false">ROUND(IF(H887&lt;(Inputs!$E$17-Inputs!$D$17)/(Inputs!$F$17-Inputs!$D$17),Inputs!$D$17+SQRT(H887*(Inputs!$F$17-Inputs!$D$17)*(Inputs!$E$17-Inputs!$D$17)),Inputs!$F$17-SQRT((1-H887)*(Inputs!$F$17-Inputs!$D$17)*(Inputs!$F$17-Inputs!$E$17))),0)</f>
        <v>104</v>
      </c>
      <c r="J887" s="81" t="n">
        <f aca="true">RAND()</f>
        <v>0.308361037161012</v>
      </c>
      <c r="K887" s="83" t="n">
        <f aca="false">IF(J887&lt;(Inputs!$E$18-Inputs!$D$18)/(Inputs!$F$18-Inputs!$D$18),Inputs!$D$18+SQRT(J887*(Inputs!$F$18-Inputs!$D$18)*(Inputs!$E$18-Inputs!$D$18)),Inputs!$F$18-SQRT((1-J887)*(Inputs!$F$18-Inputs!$D$18)*(Inputs!$F$18-Inputs!$E$18)))</f>
        <v>1.00399510320237</v>
      </c>
      <c r="L887" s="81" t="n">
        <f aca="true">RAND()</f>
        <v>0.202533810514872</v>
      </c>
      <c r="M887" s="83" t="n">
        <f aca="false">IF(L887&lt;(Inputs!$E$24-Inputs!$D$24)/(Inputs!$F$24-Inputs!$D$24),Inputs!$D$24+SQRT(L887*(Inputs!$F$24-Inputs!$D$24)*(Inputs!$E$24-Inputs!$D$24)),Inputs!$F$24-SQRT((1-L887)*(Inputs!$F$24-Inputs!$D$24)*(Inputs!$F$24-Inputs!$E$24)))</f>
        <v>0.755897585811278</v>
      </c>
      <c r="N887" s="81" t="n">
        <f aca="true">RAND()</f>
        <v>0.890603202082897</v>
      </c>
      <c r="O887" s="83" t="n">
        <f aca="false">IF(N887&lt;(Inputs!$E$26-Inputs!$D$26)/(Inputs!$F$26-Inputs!$D$26),Inputs!$D$26+SQRT(N887*(Inputs!$F$26-Inputs!$D$26)*(Inputs!$E$26-Inputs!$D$26)),Inputs!$F$26-SQRT((1-N887)*(Inputs!$F$26-Inputs!$D$26)*(Inputs!$F$26-Inputs!$E$26)))</f>
        <v>0.713335727708952</v>
      </c>
      <c r="P887" s="81" t="n">
        <f aca="true">RAND()</f>
        <v>0.384005681412283</v>
      </c>
      <c r="Q887" s="82" t="n">
        <f aca="false">IF(P887&lt;(Inputs!$E$27-Inputs!$D$27)/(Inputs!$F$27-Inputs!$D$27),Inputs!$D$27+SQRT(P887*(Inputs!$F$27-Inputs!$D$27)*(Inputs!$E$27-Inputs!$D$27)),Inputs!$F$27-SQRT((1-P887)*(Inputs!$F$27-Inputs!$D$27)*(Inputs!$F$27-Inputs!$E$27)))</f>
        <v>82.0297315776385</v>
      </c>
      <c r="R887" s="81" t="n">
        <f aca="true">RAND()</f>
        <v>0.11107264065077</v>
      </c>
      <c r="S887" s="82" t="n">
        <f aca="false">IF(R887&lt;(Inputs!$E$29-Inputs!$D$29)/(Inputs!$F$29-Inputs!$D$29),Inputs!$D$29+SQRT(R887*(Inputs!$F$29-Inputs!$D$29)*(Inputs!$E$29-Inputs!$D$29)),Inputs!$F$29-SQRT((1-R887)*(Inputs!$F$29-Inputs!$D$29)*(Inputs!$F$29-Inputs!$E$29)))</f>
        <v>4.08130559634573</v>
      </c>
      <c r="T887" s="68" t="n">
        <f aca="false">Inputs!$E$9*(1+E887)+Inputs!$E$5*C887*(Inputs!$E$11*Inputs!$E$14*(G887*I887/Inputs!$E$16+(1-G887))*K887+Inputs!$E$23*M887)*(1+O887)+Inputs!$E$5*(Q887+S887)</f>
        <v>6303.83126293175</v>
      </c>
    </row>
    <row r="888" customFormat="false" ht="15" hidden="false" customHeight="false" outlineLevel="0" collapsed="false">
      <c r="A888" s="1" t="n">
        <v>884</v>
      </c>
      <c r="B888" s="81" t="n">
        <f aca="true">RAND()</f>
        <v>0.408989869753665</v>
      </c>
      <c r="C888" s="82" t="n">
        <f aca="false">ROUND(IF(B888&lt;(Inputs!$E$8-Inputs!$D$8)/(Inputs!$F$8-Inputs!$D$8),Inputs!$D$8+SQRT(B888*(Inputs!$F$8-Inputs!$D$8)*(Inputs!$E$8-Inputs!$D$8)),Inputs!$F$8-SQRT((1-B888)*(Inputs!$F$8-Inputs!$D$8)*(Inputs!$F$8-Inputs!$E$8))),0)</f>
        <v>25</v>
      </c>
      <c r="D888" s="81" t="n">
        <f aca="true">RAND()</f>
        <v>0.4740316205687</v>
      </c>
      <c r="E888" s="83" t="n">
        <f aca="false">IF(D888&lt;(Inputs!$E$10-Inputs!$D$10)/(Inputs!$F$10-Inputs!$D$10),Inputs!$D$10+SQRT(D888*(Inputs!$F$10-Inputs!$D$10)*(Inputs!$E$10-Inputs!$D$10)),Inputs!$F$10-SQRT((1-D888)*(Inputs!$F$10-Inputs!$D$10)*(Inputs!$F$10-Inputs!$E$10)))</f>
        <v>0.0743853058637685</v>
      </c>
      <c r="F888" s="81" t="n">
        <f aca="true">RAND()</f>
        <v>0.710093794289651</v>
      </c>
      <c r="G888" s="83" t="n">
        <f aca="false">IF(F888&lt;(Inputs!$E$15-Inputs!$D$15)/(Inputs!$F$15-Inputs!$D$15),Inputs!$D$15+SQRT(F888*(Inputs!$F$15-Inputs!$D$15)*(Inputs!$E$15-Inputs!$D$15)),Inputs!$F$15-SQRT((1-F888)*(Inputs!$F$15-Inputs!$D$15)*(Inputs!$F$15-Inputs!$E$15)))</f>
        <v>0.723854585730939</v>
      </c>
      <c r="H888" s="81" t="n">
        <f aca="true">RAND()</f>
        <v>0.469872478087642</v>
      </c>
      <c r="I888" s="82" t="n">
        <f aca="false">ROUND(IF(H888&lt;(Inputs!$E$17-Inputs!$D$17)/(Inputs!$F$17-Inputs!$D$17),Inputs!$D$17+SQRT(H888*(Inputs!$F$17-Inputs!$D$17)*(Inputs!$E$17-Inputs!$D$17)),Inputs!$F$17-SQRT((1-H888)*(Inputs!$F$17-Inputs!$D$17)*(Inputs!$F$17-Inputs!$E$17))),0)</f>
        <v>106</v>
      </c>
      <c r="J888" s="81" t="n">
        <f aca="true">RAND()</f>
        <v>0.193088708065089</v>
      </c>
      <c r="K888" s="83" t="n">
        <f aca="false">IF(J888&lt;(Inputs!$E$18-Inputs!$D$18)/(Inputs!$F$18-Inputs!$D$18),Inputs!$D$18+SQRT(J888*(Inputs!$F$18-Inputs!$D$18)*(Inputs!$E$18-Inputs!$D$18)),Inputs!$F$18-SQRT((1-J888)*(Inputs!$F$18-Inputs!$D$18)*(Inputs!$F$18-Inputs!$E$18)))</f>
        <v>0.982207692962874</v>
      </c>
      <c r="L888" s="81" t="n">
        <f aca="true">RAND()</f>
        <v>0.64237612273776</v>
      </c>
      <c r="M888" s="83" t="n">
        <f aca="false">IF(L888&lt;(Inputs!$E$24-Inputs!$D$24)/(Inputs!$F$24-Inputs!$D$24),Inputs!$D$24+SQRT(L888*(Inputs!$F$24-Inputs!$D$24)*(Inputs!$E$24-Inputs!$D$24)),Inputs!$F$24-SQRT((1-L888)*(Inputs!$F$24-Inputs!$D$24)*(Inputs!$F$24-Inputs!$E$24)))</f>
        <v>0.907032884877948</v>
      </c>
      <c r="N888" s="81" t="n">
        <f aca="true">RAND()</f>
        <v>0.769409345122618</v>
      </c>
      <c r="O888" s="83" t="n">
        <f aca="false">IF(N888&lt;(Inputs!$E$26-Inputs!$D$26)/(Inputs!$F$26-Inputs!$D$26),Inputs!$D$26+SQRT(N888*(Inputs!$F$26-Inputs!$D$26)*(Inputs!$E$26-Inputs!$D$26)),Inputs!$F$26-SQRT((1-N888)*(Inputs!$F$26-Inputs!$D$26)*(Inputs!$F$26-Inputs!$E$26)))</f>
        <v>0.665140618278234</v>
      </c>
      <c r="P888" s="81" t="n">
        <f aca="true">RAND()</f>
        <v>0.725808675391672</v>
      </c>
      <c r="Q888" s="82" t="n">
        <f aca="false">IF(P888&lt;(Inputs!$E$27-Inputs!$D$27)/(Inputs!$F$27-Inputs!$D$27),Inputs!$D$27+SQRT(P888*(Inputs!$F$27-Inputs!$D$27)*(Inputs!$E$27-Inputs!$D$27)),Inputs!$F$27-SQRT((1-P888)*(Inputs!$F$27-Inputs!$D$27)*(Inputs!$F$27-Inputs!$E$27)))</f>
        <v>104.65206802331</v>
      </c>
      <c r="R888" s="81" t="n">
        <f aca="true">RAND()</f>
        <v>0.594486813115353</v>
      </c>
      <c r="S888" s="82" t="n">
        <f aca="false">IF(R888&lt;(Inputs!$E$29-Inputs!$D$29)/(Inputs!$F$29-Inputs!$D$29),Inputs!$D$29+SQRT(R888*(Inputs!$F$29-Inputs!$D$29)*(Inputs!$E$29-Inputs!$D$29)),Inputs!$F$29-SQRT((1-R888)*(Inputs!$F$29-Inputs!$D$29)*(Inputs!$F$29-Inputs!$E$29)))</f>
        <v>7.73937232086618</v>
      </c>
      <c r="T888" s="68" t="n">
        <f aca="false">Inputs!$E$9*(1+E888)+Inputs!$E$5*C888*(Inputs!$E$11*Inputs!$E$14*(G888*I888/Inputs!$E$16+(1-G888))*K888+Inputs!$E$23*M888)*(1+O888)+Inputs!$E$5*(Q888+S888)</f>
        <v>6447.28900033558</v>
      </c>
    </row>
    <row r="889" customFormat="false" ht="15" hidden="false" customHeight="false" outlineLevel="0" collapsed="false">
      <c r="A889" s="1" t="n">
        <v>885</v>
      </c>
      <c r="B889" s="81" t="n">
        <f aca="true">RAND()</f>
        <v>0.738034869706789</v>
      </c>
      <c r="C889" s="82" t="n">
        <f aca="false">ROUND(IF(B889&lt;(Inputs!$E$8-Inputs!$D$8)/(Inputs!$F$8-Inputs!$D$8),Inputs!$D$8+SQRT(B889*(Inputs!$F$8-Inputs!$D$8)*(Inputs!$E$8-Inputs!$D$8)),Inputs!$F$8-SQRT((1-B889)*(Inputs!$F$8-Inputs!$D$8)*(Inputs!$F$8-Inputs!$E$8))),0)</f>
        <v>26</v>
      </c>
      <c r="D889" s="81" t="n">
        <f aca="true">RAND()</f>
        <v>0.351564606710593</v>
      </c>
      <c r="E889" s="83" t="n">
        <f aca="false">IF(D889&lt;(Inputs!$E$10-Inputs!$D$10)/(Inputs!$F$10-Inputs!$D$10),Inputs!$D$10+SQRT(D889*(Inputs!$F$10-Inputs!$D$10)*(Inputs!$E$10-Inputs!$D$10)),Inputs!$F$10-SQRT((1-D889)*(Inputs!$F$10-Inputs!$D$10)*(Inputs!$F$10-Inputs!$E$10)))</f>
        <v>0.0605257665420519</v>
      </c>
      <c r="F889" s="81" t="n">
        <f aca="true">RAND()</f>
        <v>0.830476642690518</v>
      </c>
      <c r="G889" s="83" t="n">
        <f aca="false">IF(F889&lt;(Inputs!$E$15-Inputs!$D$15)/(Inputs!$F$15-Inputs!$D$15),Inputs!$D$15+SQRT(F889*(Inputs!$F$15-Inputs!$D$15)*(Inputs!$E$15-Inputs!$D$15)),Inputs!$F$15-SQRT((1-F889)*(Inputs!$F$15-Inputs!$D$15)*(Inputs!$F$15-Inputs!$E$15)))</f>
        <v>0.741772281976797</v>
      </c>
      <c r="H889" s="81" t="n">
        <f aca="true">RAND()</f>
        <v>0.656343454404224</v>
      </c>
      <c r="I889" s="82" t="n">
        <f aca="false">ROUND(IF(H889&lt;(Inputs!$E$17-Inputs!$D$17)/(Inputs!$F$17-Inputs!$D$17),Inputs!$D$17+SQRT(H889*(Inputs!$F$17-Inputs!$D$17)*(Inputs!$E$17-Inputs!$D$17)),Inputs!$F$17-SQRT((1-H889)*(Inputs!$F$17-Inputs!$D$17)*(Inputs!$F$17-Inputs!$E$17))),0)</f>
        <v>108</v>
      </c>
      <c r="J889" s="81" t="n">
        <f aca="true">RAND()</f>
        <v>0.901987600812504</v>
      </c>
      <c r="K889" s="83" t="n">
        <f aca="false">IF(J889&lt;(Inputs!$E$18-Inputs!$D$18)/(Inputs!$F$18-Inputs!$D$18),Inputs!$D$18+SQRT(J889*(Inputs!$F$18-Inputs!$D$18)*(Inputs!$E$18-Inputs!$D$18)),Inputs!$F$18-SQRT((1-J889)*(Inputs!$F$18-Inputs!$D$18)*(Inputs!$F$18-Inputs!$E$18)))</f>
        <v>1.15739284623256</v>
      </c>
      <c r="L889" s="81" t="n">
        <f aca="true">RAND()</f>
        <v>0.602203246677995</v>
      </c>
      <c r="M889" s="83" t="n">
        <f aca="false">IF(L889&lt;(Inputs!$E$24-Inputs!$D$24)/(Inputs!$F$24-Inputs!$D$24),Inputs!$D$24+SQRT(L889*(Inputs!$F$24-Inputs!$D$24)*(Inputs!$E$24-Inputs!$D$24)),Inputs!$F$24-SQRT((1-L889)*(Inputs!$F$24-Inputs!$D$24)*(Inputs!$F$24-Inputs!$E$24)))</f>
        <v>0.891015824357814</v>
      </c>
      <c r="N889" s="81" t="n">
        <f aca="true">RAND()</f>
        <v>0.06873061596344</v>
      </c>
      <c r="O889" s="83" t="n">
        <f aca="false">IF(N889&lt;(Inputs!$E$26-Inputs!$D$26)/(Inputs!$F$26-Inputs!$D$26),Inputs!$D$26+SQRT(N889*(Inputs!$F$26-Inputs!$D$26)*(Inputs!$E$26-Inputs!$D$26)),Inputs!$F$26-SQRT((1-N889)*(Inputs!$F$26-Inputs!$D$26)*(Inputs!$F$26-Inputs!$E$26)))</f>
        <v>0.406942856219181</v>
      </c>
      <c r="P889" s="81" t="n">
        <f aca="true">RAND()</f>
        <v>0.388972572365155</v>
      </c>
      <c r="Q889" s="82" t="n">
        <f aca="false">IF(P889&lt;(Inputs!$E$27-Inputs!$D$27)/(Inputs!$F$27-Inputs!$D$27),Inputs!$D$27+SQRT(P889*(Inputs!$F$27-Inputs!$D$27)*(Inputs!$E$27-Inputs!$D$27)),Inputs!$F$27-SQRT((1-P889)*(Inputs!$F$27-Inputs!$D$27)*(Inputs!$F$27-Inputs!$E$27)))</f>
        <v>82.3043154458031</v>
      </c>
      <c r="R889" s="81" t="n">
        <f aca="true">RAND()</f>
        <v>0.32143334834914</v>
      </c>
      <c r="S889" s="82" t="n">
        <f aca="false">IF(R889&lt;(Inputs!$E$29-Inputs!$D$29)/(Inputs!$F$29-Inputs!$D$29),Inputs!$D$29+SQRT(R889*(Inputs!$F$29-Inputs!$D$29)*(Inputs!$E$29-Inputs!$D$29)),Inputs!$F$29-SQRT((1-R889)*(Inputs!$F$29-Inputs!$D$29)*(Inputs!$F$29-Inputs!$E$29)))</f>
        <v>5.60778701718217</v>
      </c>
      <c r="T889" s="68" t="n">
        <f aca="false">Inputs!$E$9*(1+E889)+Inputs!$E$5*C889*(Inputs!$E$11*Inputs!$E$14*(G889*I889/Inputs!$E$16+(1-G889))*K889+Inputs!$E$23*M889)*(1+O889)+Inputs!$E$5*(Q889+S889)</f>
        <v>6188.63451938837</v>
      </c>
    </row>
    <row r="890" customFormat="false" ht="15" hidden="false" customHeight="false" outlineLevel="0" collapsed="false">
      <c r="A890" s="1" t="n">
        <v>886</v>
      </c>
      <c r="B890" s="81" t="n">
        <f aca="true">RAND()</f>
        <v>0.489192725453001</v>
      </c>
      <c r="C890" s="82" t="n">
        <f aca="false">ROUND(IF(B890&lt;(Inputs!$E$8-Inputs!$D$8)/(Inputs!$F$8-Inputs!$D$8),Inputs!$D$8+SQRT(B890*(Inputs!$F$8-Inputs!$D$8)*(Inputs!$E$8-Inputs!$D$8)),Inputs!$F$8-SQRT((1-B890)*(Inputs!$F$8-Inputs!$D$8)*(Inputs!$F$8-Inputs!$E$8))),0)</f>
        <v>25</v>
      </c>
      <c r="D890" s="81" t="n">
        <f aca="true">RAND()</f>
        <v>0.21087050911576</v>
      </c>
      <c r="E890" s="83" t="n">
        <f aca="false">IF(D890&lt;(Inputs!$E$10-Inputs!$D$10)/(Inputs!$F$10-Inputs!$D$10),Inputs!$D$10+SQRT(D890*(Inputs!$F$10-Inputs!$D$10)*(Inputs!$E$10-Inputs!$D$10)),Inputs!$F$10-SQRT((1-D890)*(Inputs!$F$10-Inputs!$D$10)*(Inputs!$F$10-Inputs!$E$10)))</f>
        <v>0.045920639054325</v>
      </c>
      <c r="F890" s="81" t="n">
        <f aca="true">RAND()</f>
        <v>0.0599316667607333</v>
      </c>
      <c r="G890" s="83" t="n">
        <f aca="false">IF(F890&lt;(Inputs!$E$15-Inputs!$D$15)/(Inputs!$F$15-Inputs!$D$15),Inputs!$D$15+SQRT(F890*(Inputs!$F$15-Inputs!$D$15)*(Inputs!$E$15-Inputs!$D$15)),Inputs!$F$15-SQRT((1-F890)*(Inputs!$F$15-Inputs!$D$15)*(Inputs!$F$15-Inputs!$E$15)))</f>
        <v>0.634621284424681</v>
      </c>
      <c r="H890" s="81" t="n">
        <f aca="true">RAND()</f>
        <v>0.0222344539345685</v>
      </c>
      <c r="I890" s="82" t="n">
        <f aca="false">ROUND(IF(H890&lt;(Inputs!$E$17-Inputs!$D$17)/(Inputs!$F$17-Inputs!$D$17),Inputs!$D$17+SQRT(H890*(Inputs!$F$17-Inputs!$D$17)*(Inputs!$E$17-Inputs!$D$17)),Inputs!$F$17-SQRT((1-H890)*(Inputs!$F$17-Inputs!$D$17)*(Inputs!$F$17-Inputs!$E$17))),0)</f>
        <v>101</v>
      </c>
      <c r="J890" s="81" t="n">
        <f aca="true">RAND()</f>
        <v>0.578697657222492</v>
      </c>
      <c r="K890" s="83" t="n">
        <f aca="false">IF(J890&lt;(Inputs!$E$18-Inputs!$D$18)/(Inputs!$F$18-Inputs!$D$18),Inputs!$D$18+SQRT(J890*(Inputs!$F$18-Inputs!$D$18)*(Inputs!$E$18-Inputs!$D$18)),Inputs!$F$18-SQRT((1-J890)*(Inputs!$F$18-Inputs!$D$18)*(Inputs!$F$18-Inputs!$E$18)))</f>
        <v>1.05800011720568</v>
      </c>
      <c r="L890" s="81" t="n">
        <f aca="true">RAND()</f>
        <v>0.153890994327858</v>
      </c>
      <c r="M890" s="83" t="n">
        <f aca="false">IF(L890&lt;(Inputs!$E$24-Inputs!$D$24)/(Inputs!$F$24-Inputs!$D$24),Inputs!$D$24+SQRT(L890*(Inputs!$F$24-Inputs!$D$24)*(Inputs!$E$24-Inputs!$D$24)),Inputs!$F$24-SQRT((1-L890)*(Inputs!$F$24-Inputs!$D$24)*(Inputs!$F$24-Inputs!$E$24)))</f>
        <v>0.735893043675322</v>
      </c>
      <c r="N890" s="81" t="n">
        <f aca="true">RAND()</f>
        <v>0.197551688498857</v>
      </c>
      <c r="O890" s="83" t="n">
        <f aca="false">IF(N890&lt;(Inputs!$E$26-Inputs!$D$26)/(Inputs!$F$26-Inputs!$D$26),Inputs!$D$26+SQRT(N890*(Inputs!$F$26-Inputs!$D$26)*(Inputs!$E$26-Inputs!$D$26)),Inputs!$F$26-SQRT((1-N890)*(Inputs!$F$26-Inputs!$D$26)*(Inputs!$F$26-Inputs!$E$26)))</f>
        <v>0.481308027859248</v>
      </c>
      <c r="P890" s="81" t="n">
        <f aca="true">RAND()</f>
        <v>0.967686035606684</v>
      </c>
      <c r="Q890" s="82" t="n">
        <f aca="false">IF(P890&lt;(Inputs!$E$27-Inputs!$D$27)/(Inputs!$F$27-Inputs!$D$27),Inputs!$D$27+SQRT(P890*(Inputs!$F$27-Inputs!$D$27)*(Inputs!$E$27-Inputs!$D$27)),Inputs!$F$27-SQRT((1-P890)*(Inputs!$F$27-Inputs!$D$27)*(Inputs!$F$27-Inputs!$E$27)))</f>
        <v>134.432253440209</v>
      </c>
      <c r="R890" s="81" t="n">
        <f aca="true">RAND()</f>
        <v>0.882272993193336</v>
      </c>
      <c r="S890" s="82" t="n">
        <f aca="false">IF(R890&lt;(Inputs!$E$29-Inputs!$D$29)/(Inputs!$F$29-Inputs!$D$29),Inputs!$D$29+SQRT(R890*(Inputs!$F$29-Inputs!$D$29)*(Inputs!$E$29-Inputs!$D$29)),Inputs!$F$29-SQRT((1-R890)*(Inputs!$F$29-Inputs!$D$29)*(Inputs!$F$29-Inputs!$E$29)))</f>
        <v>11.087901984246</v>
      </c>
      <c r="T890" s="68" t="n">
        <f aca="false">Inputs!$E$9*(1+E890)+Inputs!$E$5*C890*(Inputs!$E$11*Inputs!$E$14*(G890*I890/Inputs!$E$16+(1-G890))*K890+Inputs!$E$23*M890)*(1+O890)+Inputs!$E$5*(Q890+S890)</f>
        <v>6148.12938175854</v>
      </c>
    </row>
    <row r="891" customFormat="false" ht="15" hidden="false" customHeight="false" outlineLevel="0" collapsed="false">
      <c r="A891" s="1" t="n">
        <v>887</v>
      </c>
      <c r="B891" s="81" t="n">
        <f aca="true">RAND()</f>
        <v>0.868675572870163</v>
      </c>
      <c r="C891" s="82" t="n">
        <f aca="false">ROUND(IF(B891&lt;(Inputs!$E$8-Inputs!$D$8)/(Inputs!$F$8-Inputs!$D$8),Inputs!$D$8+SQRT(B891*(Inputs!$F$8-Inputs!$D$8)*(Inputs!$E$8-Inputs!$D$8)),Inputs!$F$8-SQRT((1-B891)*(Inputs!$F$8-Inputs!$D$8)*(Inputs!$F$8-Inputs!$E$8))),0)</f>
        <v>27</v>
      </c>
      <c r="D891" s="81" t="n">
        <f aca="true">RAND()</f>
        <v>0.91426595410895</v>
      </c>
      <c r="E891" s="83" t="n">
        <f aca="false">IF(D891&lt;(Inputs!$E$10-Inputs!$D$10)/(Inputs!$F$10-Inputs!$D$10),Inputs!$D$10+SQRT(D891*(Inputs!$F$10-Inputs!$D$10)*(Inputs!$E$10-Inputs!$D$10)),Inputs!$F$10-SQRT((1-D891)*(Inputs!$F$10-Inputs!$D$10)*(Inputs!$F$10-Inputs!$E$10)))</f>
        <v>0.149284899914015</v>
      </c>
      <c r="F891" s="81" t="n">
        <f aca="true">RAND()</f>
        <v>0.580216397324989</v>
      </c>
      <c r="G891" s="83" t="n">
        <f aca="false">IF(F891&lt;(Inputs!$E$15-Inputs!$D$15)/(Inputs!$F$15-Inputs!$D$15),Inputs!$D$15+SQRT(F891*(Inputs!$F$15-Inputs!$D$15)*(Inputs!$E$15-Inputs!$D$15)),Inputs!$F$15-SQRT((1-F891)*(Inputs!$F$15-Inputs!$D$15)*(Inputs!$F$15-Inputs!$E$15)))</f>
        <v>0.708372100026792</v>
      </c>
      <c r="H891" s="81" t="n">
        <f aca="true">RAND()</f>
        <v>0.302591891005253</v>
      </c>
      <c r="I891" s="82" t="n">
        <f aca="false">ROUND(IF(H891&lt;(Inputs!$E$17-Inputs!$D$17)/(Inputs!$F$17-Inputs!$D$17),Inputs!$D$17+SQRT(H891*(Inputs!$F$17-Inputs!$D$17)*(Inputs!$E$17-Inputs!$D$17)),Inputs!$F$17-SQRT((1-H891)*(Inputs!$F$17-Inputs!$D$17)*(Inputs!$F$17-Inputs!$E$17))),0)</f>
        <v>105</v>
      </c>
      <c r="J891" s="81" t="n">
        <f aca="true">RAND()</f>
        <v>0.22273229081503</v>
      </c>
      <c r="K891" s="83" t="n">
        <f aca="false">IF(J891&lt;(Inputs!$E$18-Inputs!$D$18)/(Inputs!$F$18-Inputs!$D$18),Inputs!$D$18+SQRT(J891*(Inputs!$F$18-Inputs!$D$18)*(Inputs!$E$18-Inputs!$D$18)),Inputs!$F$18-SQRT((1-J891)*(Inputs!$F$18-Inputs!$D$18)*(Inputs!$F$18-Inputs!$E$18)))</f>
        <v>0.988292865954878</v>
      </c>
      <c r="L891" s="81" t="n">
        <f aca="true">RAND()</f>
        <v>0.523238687121312</v>
      </c>
      <c r="M891" s="83" t="n">
        <f aca="false">IF(L891&lt;(Inputs!$E$24-Inputs!$D$24)/(Inputs!$F$24-Inputs!$D$24),Inputs!$D$24+SQRT(L891*(Inputs!$F$24-Inputs!$D$24)*(Inputs!$E$24-Inputs!$D$24)),Inputs!$F$24-SQRT((1-L891)*(Inputs!$F$24-Inputs!$D$24)*(Inputs!$F$24-Inputs!$E$24)))</f>
        <v>0.861735731873901</v>
      </c>
      <c r="N891" s="81" t="n">
        <f aca="true">RAND()</f>
        <v>0.653249278432478</v>
      </c>
      <c r="O891" s="83" t="n">
        <f aca="false">IF(N891&lt;(Inputs!$E$26-Inputs!$D$26)/(Inputs!$F$26-Inputs!$D$26),Inputs!$D$26+SQRT(N891*(Inputs!$F$26-Inputs!$D$26)*(Inputs!$E$26-Inputs!$D$26)),Inputs!$F$26-SQRT((1-N891)*(Inputs!$F$26-Inputs!$D$26)*(Inputs!$F$26-Inputs!$E$26)))</f>
        <v>0.630099828744094</v>
      </c>
      <c r="P891" s="81" t="n">
        <f aca="true">RAND()</f>
        <v>0.0633972232981525</v>
      </c>
      <c r="Q891" s="82" t="n">
        <f aca="false">IF(P891&lt;(Inputs!$E$27-Inputs!$D$27)/(Inputs!$F$27-Inputs!$D$27),Inputs!$D$27+SQRT(P891*(Inputs!$F$27-Inputs!$D$27)*(Inputs!$E$27-Inputs!$D$27)),Inputs!$F$27-SQRT((1-P891)*(Inputs!$F$27-Inputs!$D$27)*(Inputs!$F$27-Inputs!$E$27)))</f>
        <v>62.5894026167003</v>
      </c>
      <c r="R891" s="81" t="n">
        <f aca="true">RAND()</f>
        <v>0.613512707966907</v>
      </c>
      <c r="S891" s="82" t="n">
        <f aca="false">IF(R891&lt;(Inputs!$E$29-Inputs!$D$29)/(Inputs!$F$29-Inputs!$D$29),Inputs!$D$29+SQRT(R891*(Inputs!$F$29-Inputs!$D$29)*(Inputs!$E$29-Inputs!$D$29)),Inputs!$F$29-SQRT((1-R891)*(Inputs!$F$29-Inputs!$D$29)*(Inputs!$F$29-Inputs!$E$29)))</f>
        <v>7.9117457745717</v>
      </c>
      <c r="T891" s="68" t="n">
        <f aca="false">Inputs!$E$9*(1+E891)+Inputs!$E$5*C891*(Inputs!$E$11*Inputs!$E$14*(G891*I891/Inputs!$E$16+(1-G891))*K891+Inputs!$E$23*M891)*(1+O891)+Inputs!$E$5*(Q891+S891)</f>
        <v>6556.8074670555</v>
      </c>
    </row>
    <row r="892" customFormat="false" ht="15" hidden="false" customHeight="false" outlineLevel="0" collapsed="false">
      <c r="A892" s="1" t="n">
        <v>888</v>
      </c>
      <c r="B892" s="81" t="n">
        <f aca="true">RAND()</f>
        <v>0.131822405947417</v>
      </c>
      <c r="C892" s="82" t="n">
        <f aca="false">ROUND(IF(B892&lt;(Inputs!$E$8-Inputs!$D$8)/(Inputs!$F$8-Inputs!$D$8),Inputs!$D$8+SQRT(B892*(Inputs!$F$8-Inputs!$D$8)*(Inputs!$E$8-Inputs!$D$8)),Inputs!$F$8-SQRT((1-B892)*(Inputs!$F$8-Inputs!$D$8)*(Inputs!$F$8-Inputs!$E$8))),0)</f>
        <v>23</v>
      </c>
      <c r="D892" s="81" t="n">
        <f aca="true">RAND()</f>
        <v>0.724699249641495</v>
      </c>
      <c r="E892" s="83" t="n">
        <f aca="false">IF(D892&lt;(Inputs!$E$10-Inputs!$D$10)/(Inputs!$F$10-Inputs!$D$10),Inputs!$D$10+SQRT(D892*(Inputs!$F$10-Inputs!$D$10)*(Inputs!$E$10-Inputs!$D$10)),Inputs!$F$10-SQRT((1-D892)*(Inputs!$F$10-Inputs!$D$10)*(Inputs!$F$10-Inputs!$E$10)))</f>
        <v>0.109120835662099</v>
      </c>
      <c r="F892" s="81" t="n">
        <f aca="true">RAND()</f>
        <v>0.214733777854665</v>
      </c>
      <c r="G892" s="83" t="n">
        <f aca="false">IF(F892&lt;(Inputs!$E$15-Inputs!$D$15)/(Inputs!$F$15-Inputs!$D$15),Inputs!$D$15+SQRT(F892*(Inputs!$F$15-Inputs!$D$15)*(Inputs!$E$15-Inputs!$D$15)),Inputs!$F$15-SQRT((1-F892)*(Inputs!$F$15-Inputs!$D$15)*(Inputs!$F$15-Inputs!$E$15)))</f>
        <v>0.665533774170982</v>
      </c>
      <c r="H892" s="81" t="n">
        <f aca="true">RAND()</f>
        <v>0.371912805091756</v>
      </c>
      <c r="I892" s="82" t="n">
        <f aca="false">ROUND(IF(H892&lt;(Inputs!$E$17-Inputs!$D$17)/(Inputs!$F$17-Inputs!$D$17),Inputs!$D$17+SQRT(H892*(Inputs!$F$17-Inputs!$D$17)*(Inputs!$E$17-Inputs!$D$17)),Inputs!$F$17-SQRT((1-H892)*(Inputs!$F$17-Inputs!$D$17)*(Inputs!$F$17-Inputs!$E$17))),0)</f>
        <v>105</v>
      </c>
      <c r="J892" s="81" t="n">
        <f aca="true">RAND()</f>
        <v>0.68354691645096</v>
      </c>
      <c r="K892" s="83" t="n">
        <f aca="false">IF(J892&lt;(Inputs!$E$18-Inputs!$D$18)/(Inputs!$F$18-Inputs!$D$18),Inputs!$D$18+SQRT(J892*(Inputs!$F$18-Inputs!$D$18)*(Inputs!$E$18-Inputs!$D$18)),Inputs!$F$18-SQRT((1-J892)*(Inputs!$F$18-Inputs!$D$18)*(Inputs!$F$18-Inputs!$E$18)))</f>
        <v>1.08359794228874</v>
      </c>
      <c r="L892" s="81" t="n">
        <f aca="true">RAND()</f>
        <v>0.683216473363871</v>
      </c>
      <c r="M892" s="83" t="n">
        <f aca="false">IF(L892&lt;(Inputs!$E$24-Inputs!$D$24)/(Inputs!$F$24-Inputs!$D$24),Inputs!$D$24+SQRT(L892*(Inputs!$F$24-Inputs!$D$24)*(Inputs!$E$24-Inputs!$D$24)),Inputs!$F$24-SQRT((1-L892)*(Inputs!$F$24-Inputs!$D$24)*(Inputs!$F$24-Inputs!$E$24)))</f>
        <v>0.924268162170795</v>
      </c>
      <c r="N892" s="81" t="n">
        <f aca="true">RAND()</f>
        <v>0.427345133676383</v>
      </c>
      <c r="O892" s="83" t="n">
        <f aca="false">IF(N892&lt;(Inputs!$E$26-Inputs!$D$26)/(Inputs!$F$26-Inputs!$D$26),Inputs!$D$26+SQRT(N892*(Inputs!$F$26-Inputs!$D$26)*(Inputs!$E$26-Inputs!$D$26)),Inputs!$F$26-SQRT((1-N892)*(Inputs!$F$26-Inputs!$D$26)*(Inputs!$F$26-Inputs!$E$26)))</f>
        <v>0.56666501503525</v>
      </c>
      <c r="P892" s="81" t="n">
        <f aca="true">RAND()</f>
        <v>0.107840790250357</v>
      </c>
      <c r="Q892" s="82" t="n">
        <f aca="false">IF(P892&lt;(Inputs!$E$27-Inputs!$D$27)/(Inputs!$F$27-Inputs!$D$27),Inputs!$D$27+SQRT(P892*(Inputs!$F$27-Inputs!$D$27)*(Inputs!$E$27-Inputs!$D$27)),Inputs!$F$27-SQRT((1-P892)*(Inputs!$F$27-Inputs!$D$27)*(Inputs!$F$27-Inputs!$E$27)))</f>
        <v>66.4195607622705</v>
      </c>
      <c r="R892" s="81" t="n">
        <f aca="true">RAND()</f>
        <v>0.947965394975396</v>
      </c>
      <c r="S892" s="82" t="n">
        <f aca="false">IF(R892&lt;(Inputs!$E$29-Inputs!$D$29)/(Inputs!$F$29-Inputs!$D$29),Inputs!$D$29+SQRT(R892*(Inputs!$F$29-Inputs!$D$29)*(Inputs!$E$29-Inputs!$D$29)),Inputs!$F$29-SQRT((1-R892)*(Inputs!$F$29-Inputs!$D$29)*(Inputs!$F$29-Inputs!$E$29)))</f>
        <v>12.3991350182683</v>
      </c>
      <c r="T892" s="68" t="n">
        <f aca="false">Inputs!$E$9*(1+E892)+Inputs!$E$5*C892*(Inputs!$E$11*Inputs!$E$14*(G892*I892/Inputs!$E$16+(1-G892))*K892+Inputs!$E$23*M892)*(1+O892)+Inputs!$E$5*(Q892+S892)</f>
        <v>6163.10064979829</v>
      </c>
    </row>
    <row r="893" customFormat="false" ht="15" hidden="false" customHeight="false" outlineLevel="0" collapsed="false">
      <c r="A893" s="1" t="n">
        <v>889</v>
      </c>
      <c r="B893" s="81" t="n">
        <f aca="true">RAND()</f>
        <v>0.590198109309091</v>
      </c>
      <c r="C893" s="82" t="n">
        <f aca="false">ROUND(IF(B893&lt;(Inputs!$E$8-Inputs!$D$8)/(Inputs!$F$8-Inputs!$D$8),Inputs!$D$8+SQRT(B893*(Inputs!$F$8-Inputs!$D$8)*(Inputs!$E$8-Inputs!$D$8)),Inputs!$F$8-SQRT((1-B893)*(Inputs!$F$8-Inputs!$D$8)*(Inputs!$F$8-Inputs!$E$8))),0)</f>
        <v>25</v>
      </c>
      <c r="D893" s="81" t="n">
        <f aca="true">RAND()</f>
        <v>0.647260891556384</v>
      </c>
      <c r="E893" s="83" t="n">
        <f aca="false">IF(D893&lt;(Inputs!$E$10-Inputs!$D$10)/(Inputs!$F$10-Inputs!$D$10),Inputs!$D$10+SQRT(D893*(Inputs!$F$10-Inputs!$D$10)*(Inputs!$E$10-Inputs!$D$10)),Inputs!$F$10-SQRT((1-D893)*(Inputs!$F$10-Inputs!$D$10)*(Inputs!$F$10-Inputs!$E$10)))</f>
        <v>0.0971303093554351</v>
      </c>
      <c r="F893" s="81" t="n">
        <f aca="true">RAND()</f>
        <v>0.723658903558025</v>
      </c>
      <c r="G893" s="83" t="n">
        <f aca="false">IF(F893&lt;(Inputs!$E$15-Inputs!$D$15)/(Inputs!$F$15-Inputs!$D$15),Inputs!$D$15+SQRT(F893*(Inputs!$F$15-Inputs!$D$15)*(Inputs!$E$15-Inputs!$D$15)),Inputs!$F$15-SQRT((1-F893)*(Inputs!$F$15-Inputs!$D$15)*(Inputs!$F$15-Inputs!$E$15)))</f>
        <v>0.725657401653968</v>
      </c>
      <c r="H893" s="81" t="n">
        <f aca="true">RAND()</f>
        <v>0.506763051855532</v>
      </c>
      <c r="I893" s="82" t="n">
        <f aca="false">ROUND(IF(H893&lt;(Inputs!$E$17-Inputs!$D$17)/(Inputs!$F$17-Inputs!$D$17),Inputs!$D$17+SQRT(H893*(Inputs!$F$17-Inputs!$D$17)*(Inputs!$E$17-Inputs!$D$17)),Inputs!$F$17-SQRT((1-H893)*(Inputs!$F$17-Inputs!$D$17)*(Inputs!$F$17-Inputs!$E$17))),0)</f>
        <v>106</v>
      </c>
      <c r="J893" s="81" t="n">
        <f aca="true">RAND()</f>
        <v>0.640936685660455</v>
      </c>
      <c r="K893" s="83" t="n">
        <f aca="false">IF(J893&lt;(Inputs!$E$18-Inputs!$D$18)/(Inputs!$F$18-Inputs!$D$18),Inputs!$D$18+SQRT(J893*(Inputs!$F$18-Inputs!$D$18)*(Inputs!$E$18-Inputs!$D$18)),Inputs!$F$18-SQRT((1-J893)*(Inputs!$F$18-Inputs!$D$18)*(Inputs!$F$18-Inputs!$E$18)))</f>
        <v>1.07274865302427</v>
      </c>
      <c r="L893" s="81" t="n">
        <f aca="true">RAND()</f>
        <v>0.0644891331357254</v>
      </c>
      <c r="M893" s="83" t="n">
        <f aca="false">IF(L893&lt;(Inputs!$E$24-Inputs!$D$24)/(Inputs!$F$24-Inputs!$D$24),Inputs!$D$24+SQRT(L893*(Inputs!$F$24-Inputs!$D$24)*(Inputs!$E$24-Inputs!$D$24)),Inputs!$F$24-SQRT((1-L893)*(Inputs!$F$24-Inputs!$D$24)*(Inputs!$F$24-Inputs!$E$24)))</f>
        <v>0.687969858339587</v>
      </c>
      <c r="N893" s="81" t="n">
        <f aca="true">RAND()</f>
        <v>0.636333138716223</v>
      </c>
      <c r="O893" s="83" t="n">
        <f aca="false">IF(N893&lt;(Inputs!$E$26-Inputs!$D$26)/(Inputs!$F$26-Inputs!$D$26),Inputs!$D$26+SQRT(N893*(Inputs!$F$26-Inputs!$D$26)*(Inputs!$E$26-Inputs!$D$26)),Inputs!$F$26-SQRT((1-N893)*(Inputs!$F$26-Inputs!$D$26)*(Inputs!$F$26-Inputs!$E$26)))</f>
        <v>0.625522871335695</v>
      </c>
      <c r="P893" s="81" t="n">
        <f aca="true">RAND()</f>
        <v>0.356786825547505</v>
      </c>
      <c r="Q893" s="82" t="n">
        <f aca="false">IF(P893&lt;(Inputs!$E$27-Inputs!$D$27)/(Inputs!$F$27-Inputs!$D$27),Inputs!$D$27+SQRT(P893*(Inputs!$F$27-Inputs!$D$27)*(Inputs!$E$27-Inputs!$D$27)),Inputs!$F$27-SQRT((1-P893)*(Inputs!$F$27-Inputs!$D$27)*(Inputs!$F$27-Inputs!$E$27)))</f>
        <v>80.5442672748051</v>
      </c>
      <c r="R893" s="81" t="n">
        <f aca="true">RAND()</f>
        <v>0.349893623871836</v>
      </c>
      <c r="S893" s="82" t="n">
        <f aca="false">IF(R893&lt;(Inputs!$E$29-Inputs!$D$29)/(Inputs!$F$29-Inputs!$D$29),Inputs!$D$29+SQRT(R893*(Inputs!$F$29-Inputs!$D$29)*(Inputs!$E$29-Inputs!$D$29)),Inputs!$F$29-SQRT((1-R893)*(Inputs!$F$29-Inputs!$D$29)*(Inputs!$F$29-Inputs!$E$29)))</f>
        <v>5.80685968253169</v>
      </c>
      <c r="T893" s="68" t="n">
        <f aca="false">Inputs!$E$9*(1+E893)+Inputs!$E$5*C893*(Inputs!$E$11*Inputs!$E$14*(G893*I893/Inputs!$E$16+(1-G893))*K893+Inputs!$E$23*M893)*(1+O893)+Inputs!$E$5*(Q893+S893)</f>
        <v>6159.14401272545</v>
      </c>
    </row>
    <row r="894" customFormat="false" ht="15" hidden="false" customHeight="false" outlineLevel="0" collapsed="false">
      <c r="A894" s="1" t="n">
        <v>890</v>
      </c>
      <c r="B894" s="81" t="n">
        <f aca="true">RAND()</f>
        <v>0.462904226400828</v>
      </c>
      <c r="C894" s="82" t="n">
        <f aca="false">ROUND(IF(B894&lt;(Inputs!$E$8-Inputs!$D$8)/(Inputs!$F$8-Inputs!$D$8),Inputs!$D$8+SQRT(B894*(Inputs!$F$8-Inputs!$D$8)*(Inputs!$E$8-Inputs!$D$8)),Inputs!$F$8-SQRT((1-B894)*(Inputs!$F$8-Inputs!$D$8)*(Inputs!$F$8-Inputs!$E$8))),0)</f>
        <v>25</v>
      </c>
      <c r="D894" s="81" t="n">
        <f aca="true">RAND()</f>
        <v>0.393224205112739</v>
      </c>
      <c r="E894" s="83" t="n">
        <f aca="false">IF(D894&lt;(Inputs!$E$10-Inputs!$D$10)/(Inputs!$F$10-Inputs!$D$10),Inputs!$D$10+SQRT(D894*(Inputs!$F$10-Inputs!$D$10)*(Inputs!$E$10-Inputs!$D$10)),Inputs!$F$10-SQRT((1-D894)*(Inputs!$F$10-Inputs!$D$10)*(Inputs!$F$10-Inputs!$E$10)))</f>
        <v>0.0650804912304457</v>
      </c>
      <c r="F894" s="81" t="n">
        <f aca="true">RAND()</f>
        <v>0.94000651021792</v>
      </c>
      <c r="G894" s="83" t="n">
        <f aca="false">IF(F894&lt;(Inputs!$E$15-Inputs!$D$15)/(Inputs!$F$15-Inputs!$D$15),Inputs!$D$15+SQRT(F894*(Inputs!$F$15-Inputs!$D$15)*(Inputs!$E$15-Inputs!$D$15)),Inputs!$F$15-SQRT((1-F894)*(Inputs!$F$15-Inputs!$D$15)*(Inputs!$F$15-Inputs!$E$15)))</f>
        <v>0.765360863237638</v>
      </c>
      <c r="H894" s="81" t="n">
        <f aca="true">RAND()</f>
        <v>0.770677583547021</v>
      </c>
      <c r="I894" s="82" t="n">
        <f aca="false">ROUND(IF(H894&lt;(Inputs!$E$17-Inputs!$D$17)/(Inputs!$F$17-Inputs!$D$17),Inputs!$D$17+SQRT(H894*(Inputs!$F$17-Inputs!$D$17)*(Inputs!$E$17-Inputs!$D$17)),Inputs!$F$17-SQRT((1-H894)*(Inputs!$F$17-Inputs!$D$17)*(Inputs!$F$17-Inputs!$E$17))),0)</f>
        <v>109</v>
      </c>
      <c r="J894" s="81" t="n">
        <f aca="true">RAND()</f>
        <v>0.518879695481399</v>
      </c>
      <c r="K894" s="83" t="n">
        <f aca="false">IF(J894&lt;(Inputs!$E$18-Inputs!$D$18)/(Inputs!$F$18-Inputs!$D$18),Inputs!$D$18+SQRT(J894*(Inputs!$F$18-Inputs!$D$18)*(Inputs!$E$18-Inputs!$D$18)),Inputs!$F$18-SQRT((1-J894)*(Inputs!$F$18-Inputs!$D$18)*(Inputs!$F$18-Inputs!$E$18)))</f>
        <v>1.0448219635405</v>
      </c>
      <c r="L894" s="81" t="n">
        <f aca="true">RAND()</f>
        <v>0.227514583287093</v>
      </c>
      <c r="M894" s="83" t="n">
        <f aca="false">IF(L894&lt;(Inputs!$E$24-Inputs!$D$24)/(Inputs!$F$24-Inputs!$D$24),Inputs!$D$24+SQRT(L894*(Inputs!$F$24-Inputs!$D$24)*(Inputs!$E$24-Inputs!$D$24)),Inputs!$F$24-SQRT((1-L894)*(Inputs!$F$24-Inputs!$D$24)*(Inputs!$F$24-Inputs!$E$24)))</f>
        <v>0.765232412057838</v>
      </c>
      <c r="N894" s="81" t="n">
        <f aca="true">RAND()</f>
        <v>0.738568575438712</v>
      </c>
      <c r="O894" s="83" t="n">
        <f aca="false">IF(N894&lt;(Inputs!$E$26-Inputs!$D$26)/(Inputs!$F$26-Inputs!$D$26),Inputs!$D$26+SQRT(N894*(Inputs!$F$26-Inputs!$D$26)*(Inputs!$E$26-Inputs!$D$26)),Inputs!$F$26-SQRT((1-N894)*(Inputs!$F$26-Inputs!$D$26)*(Inputs!$F$26-Inputs!$E$26)))</f>
        <v>0.655109526793165</v>
      </c>
      <c r="P894" s="81" t="n">
        <f aca="true">RAND()</f>
        <v>0.460671031248962</v>
      </c>
      <c r="Q894" s="82" t="n">
        <f aca="false">IF(P894&lt;(Inputs!$E$27-Inputs!$D$27)/(Inputs!$F$27-Inputs!$D$27),Inputs!$D$27+SQRT(P894*(Inputs!$F$27-Inputs!$D$27)*(Inputs!$E$27-Inputs!$D$27)),Inputs!$F$27-SQRT((1-P894)*(Inputs!$F$27-Inputs!$D$27)*(Inputs!$F$27-Inputs!$E$27)))</f>
        <v>86.399942880271</v>
      </c>
      <c r="R894" s="81" t="n">
        <f aca="true">RAND()</f>
        <v>0.442986055394277</v>
      </c>
      <c r="S894" s="82" t="n">
        <f aca="false">IF(R894&lt;(Inputs!$E$29-Inputs!$D$29)/(Inputs!$F$29-Inputs!$D$29),Inputs!$D$29+SQRT(R894*(Inputs!$F$29-Inputs!$D$29)*(Inputs!$E$29-Inputs!$D$29)),Inputs!$F$29-SQRT((1-R894)*(Inputs!$F$29-Inputs!$D$29)*(Inputs!$F$29-Inputs!$E$29)))</f>
        <v>6.49048692352236</v>
      </c>
      <c r="T894" s="68" t="n">
        <f aca="false">Inputs!$E$9*(1+E894)+Inputs!$E$5*C894*(Inputs!$E$11*Inputs!$E$14*(G894*I894/Inputs!$E$16+(1-G894))*K894+Inputs!$E$23*M894)*(1+O894)+Inputs!$E$5*(Q894+S894)</f>
        <v>6219.07949656726</v>
      </c>
    </row>
    <row r="895" customFormat="false" ht="15" hidden="false" customHeight="false" outlineLevel="0" collapsed="false">
      <c r="A895" s="1" t="n">
        <v>891</v>
      </c>
      <c r="B895" s="81" t="n">
        <f aca="true">RAND()</f>
        <v>0.303982880131194</v>
      </c>
      <c r="C895" s="82" t="n">
        <f aca="false">ROUND(IF(B895&lt;(Inputs!$E$8-Inputs!$D$8)/(Inputs!$F$8-Inputs!$D$8),Inputs!$D$8+SQRT(B895*(Inputs!$F$8-Inputs!$D$8)*(Inputs!$E$8-Inputs!$D$8)),Inputs!$F$8-SQRT((1-B895)*(Inputs!$F$8-Inputs!$D$8)*(Inputs!$F$8-Inputs!$E$8))),0)</f>
        <v>24</v>
      </c>
      <c r="D895" s="81" t="n">
        <f aca="true">RAND()</f>
        <v>0.800466432116411</v>
      </c>
      <c r="E895" s="83" t="n">
        <f aca="false">IF(D895&lt;(Inputs!$E$10-Inputs!$D$10)/(Inputs!$F$10-Inputs!$D$10),Inputs!$D$10+SQRT(D895*(Inputs!$F$10-Inputs!$D$10)*(Inputs!$E$10-Inputs!$D$10)),Inputs!$F$10-SQRT((1-D895)*(Inputs!$F$10-Inputs!$D$10)*(Inputs!$F$10-Inputs!$E$10)))</f>
        <v>0.122630709990929</v>
      </c>
      <c r="F895" s="81" t="n">
        <f aca="true">RAND()</f>
        <v>0.0351776640500423</v>
      </c>
      <c r="G895" s="83" t="n">
        <f aca="false">IF(F895&lt;(Inputs!$E$15-Inputs!$D$15)/(Inputs!$F$15-Inputs!$D$15),Inputs!$D$15+SQRT(F895*(Inputs!$F$15-Inputs!$D$15)*(Inputs!$E$15-Inputs!$D$15)),Inputs!$F$15-SQRT((1-F895)*(Inputs!$F$15-Inputs!$D$15)*(Inputs!$F$15-Inputs!$E$15)))</f>
        <v>0.626524578809113</v>
      </c>
      <c r="H895" s="81" t="n">
        <f aca="true">RAND()</f>
        <v>0.372228737265304</v>
      </c>
      <c r="I895" s="82" t="n">
        <f aca="false">ROUND(IF(H895&lt;(Inputs!$E$17-Inputs!$D$17)/(Inputs!$F$17-Inputs!$D$17),Inputs!$D$17+SQRT(H895*(Inputs!$F$17-Inputs!$D$17)*(Inputs!$E$17-Inputs!$D$17)),Inputs!$F$17-SQRT((1-H895)*(Inputs!$F$17-Inputs!$D$17)*(Inputs!$F$17-Inputs!$E$17))),0)</f>
        <v>105</v>
      </c>
      <c r="J895" s="81" t="n">
        <f aca="true">RAND()</f>
        <v>0.264257076229293</v>
      </c>
      <c r="K895" s="83" t="n">
        <f aca="false">IF(J895&lt;(Inputs!$E$18-Inputs!$D$18)/(Inputs!$F$18-Inputs!$D$18),Inputs!$D$18+SQRT(J895*(Inputs!$F$18-Inputs!$D$18)*(Inputs!$E$18-Inputs!$D$18)),Inputs!$F$18-SQRT((1-J895)*(Inputs!$F$18-Inputs!$D$18)*(Inputs!$F$18-Inputs!$E$18)))</f>
        <v>0.996171709291378</v>
      </c>
      <c r="L895" s="81" t="n">
        <f aca="true">RAND()</f>
        <v>0.846633486502044</v>
      </c>
      <c r="M895" s="83" t="n">
        <f aca="false">IF(L895&lt;(Inputs!$E$24-Inputs!$D$24)/(Inputs!$F$24-Inputs!$D$24),Inputs!$D$24+SQRT(L895*(Inputs!$F$24-Inputs!$D$24)*(Inputs!$E$24-Inputs!$D$24)),Inputs!$F$24-SQRT((1-L895)*(Inputs!$F$24-Inputs!$D$24)*(Inputs!$F$24-Inputs!$E$24)))</f>
        <v>1.00814598456246</v>
      </c>
      <c r="N895" s="81" t="n">
        <f aca="true">RAND()</f>
        <v>0.552894517578173</v>
      </c>
      <c r="O895" s="83" t="n">
        <f aca="false">IF(N895&lt;(Inputs!$E$26-Inputs!$D$26)/(Inputs!$F$26-Inputs!$D$26),Inputs!$D$26+SQRT(N895*(Inputs!$F$26-Inputs!$D$26)*(Inputs!$E$26-Inputs!$D$26)),Inputs!$F$26-SQRT((1-N895)*(Inputs!$F$26-Inputs!$D$26)*(Inputs!$F$26-Inputs!$E$26)))</f>
        <v>0.60331773394414</v>
      </c>
      <c r="P895" s="81" t="n">
        <f aca="true">RAND()</f>
        <v>0.774395722644693</v>
      </c>
      <c r="Q895" s="82" t="n">
        <f aca="false">IF(P895&lt;(Inputs!$E$27-Inputs!$D$27)/(Inputs!$F$27-Inputs!$D$27),Inputs!$D$27+SQRT(P895*(Inputs!$F$27-Inputs!$D$27)*(Inputs!$E$27-Inputs!$D$27)),Inputs!$F$27-SQRT((1-P895)*(Inputs!$F$27-Inputs!$D$27)*(Inputs!$F$27-Inputs!$E$27)))</f>
        <v>108.865682451695</v>
      </c>
      <c r="R895" s="81" t="n">
        <f aca="true">RAND()</f>
        <v>0.181607173236529</v>
      </c>
      <c r="S895" s="82" t="n">
        <f aca="false">IF(R895&lt;(Inputs!$E$29-Inputs!$D$29)/(Inputs!$F$29-Inputs!$D$29),Inputs!$D$29+SQRT(R895*(Inputs!$F$29-Inputs!$D$29)*(Inputs!$E$29-Inputs!$D$29)),Inputs!$F$29-SQRT((1-R895)*(Inputs!$F$29-Inputs!$D$29)*(Inputs!$F$29-Inputs!$E$29)))</f>
        <v>4.66133044852093</v>
      </c>
      <c r="T895" s="68" t="n">
        <f aca="false">Inputs!$E$9*(1+E895)+Inputs!$E$5*C895*(Inputs!$E$11*Inputs!$E$14*(G895*I895/Inputs!$E$16+(1-G895))*K895+Inputs!$E$23*M895)*(1+O895)+Inputs!$E$5*(Q895+S895)</f>
        <v>6572.71782955094</v>
      </c>
    </row>
    <row r="896" customFormat="false" ht="15" hidden="false" customHeight="false" outlineLevel="0" collapsed="false">
      <c r="A896" s="1" t="n">
        <v>892</v>
      </c>
      <c r="B896" s="81" t="n">
        <f aca="true">RAND()</f>
        <v>0.301170485986628</v>
      </c>
      <c r="C896" s="82" t="n">
        <f aca="false">ROUND(IF(B896&lt;(Inputs!$E$8-Inputs!$D$8)/(Inputs!$F$8-Inputs!$D$8),Inputs!$D$8+SQRT(B896*(Inputs!$F$8-Inputs!$D$8)*(Inputs!$E$8-Inputs!$D$8)),Inputs!$F$8-SQRT((1-B896)*(Inputs!$F$8-Inputs!$D$8)*(Inputs!$F$8-Inputs!$E$8))),0)</f>
        <v>24</v>
      </c>
      <c r="D896" s="81" t="n">
        <f aca="true">RAND()</f>
        <v>0.0917425882422362</v>
      </c>
      <c r="E896" s="83" t="n">
        <f aca="false">IF(D896&lt;(Inputs!$E$10-Inputs!$D$10)/(Inputs!$F$10-Inputs!$D$10),Inputs!$D$10+SQRT(D896*(Inputs!$F$10-Inputs!$D$10)*(Inputs!$E$10-Inputs!$D$10)),Inputs!$F$10-SQRT((1-D896)*(Inputs!$F$10-Inputs!$D$10)*(Inputs!$F$10-Inputs!$E$10)))</f>
        <v>0.0302890389814923</v>
      </c>
      <c r="F896" s="81" t="n">
        <f aca="true">RAND()</f>
        <v>0.412758962640343</v>
      </c>
      <c r="G896" s="83" t="n">
        <f aca="false">IF(F896&lt;(Inputs!$E$15-Inputs!$D$15)/(Inputs!$F$15-Inputs!$D$15),Inputs!$D$15+SQRT(F896*(Inputs!$F$15-Inputs!$D$15)*(Inputs!$E$15-Inputs!$D$15)),Inputs!$F$15-SQRT((1-F896)*(Inputs!$F$15-Inputs!$D$15)*(Inputs!$F$15-Inputs!$E$15)))</f>
        <v>0.690858016997989</v>
      </c>
      <c r="H896" s="81" t="n">
        <f aca="true">RAND()</f>
        <v>0.262783160365201</v>
      </c>
      <c r="I896" s="82" t="n">
        <f aca="false">ROUND(IF(H896&lt;(Inputs!$E$17-Inputs!$D$17)/(Inputs!$F$17-Inputs!$D$17),Inputs!$D$17+SQRT(H896*(Inputs!$F$17-Inputs!$D$17)*(Inputs!$E$17-Inputs!$D$17)),Inputs!$F$17-SQRT((1-H896)*(Inputs!$F$17-Inputs!$D$17)*(Inputs!$F$17-Inputs!$E$17))),0)</f>
        <v>104</v>
      </c>
      <c r="J896" s="81" t="n">
        <f aca="true">RAND()</f>
        <v>0.824329689209798</v>
      </c>
      <c r="K896" s="83" t="n">
        <f aca="false">IF(J896&lt;(Inputs!$E$18-Inputs!$D$18)/(Inputs!$F$18-Inputs!$D$18),Inputs!$D$18+SQRT(J896*(Inputs!$F$18-Inputs!$D$18)*(Inputs!$E$18-Inputs!$D$18)),Inputs!$F$18-SQRT((1-J896)*(Inputs!$F$18-Inputs!$D$18)*(Inputs!$F$18-Inputs!$E$18)))</f>
        <v>1.12601954914527</v>
      </c>
      <c r="L896" s="81" t="n">
        <f aca="true">RAND()</f>
        <v>0.727187839612232</v>
      </c>
      <c r="M896" s="83" t="n">
        <f aca="false">IF(L896&lt;(Inputs!$E$24-Inputs!$D$24)/(Inputs!$F$24-Inputs!$D$24),Inputs!$D$24+SQRT(L896*(Inputs!$F$24-Inputs!$D$24)*(Inputs!$E$24-Inputs!$D$24)),Inputs!$F$24-SQRT((1-L896)*(Inputs!$F$24-Inputs!$D$24)*(Inputs!$F$24-Inputs!$E$24)))</f>
        <v>0.944119327628943</v>
      </c>
      <c r="N896" s="81" t="n">
        <f aca="true">RAND()</f>
        <v>0.667686267312236</v>
      </c>
      <c r="O896" s="83" t="n">
        <f aca="false">IF(N896&lt;(Inputs!$E$26-Inputs!$D$26)/(Inputs!$F$26-Inputs!$D$26),Inputs!$D$26+SQRT(N896*(Inputs!$F$26-Inputs!$D$26)*(Inputs!$E$26-Inputs!$D$26)),Inputs!$F$26-SQRT((1-N896)*(Inputs!$F$26-Inputs!$D$26)*(Inputs!$F$26-Inputs!$E$26)))</f>
        <v>0.634095109802008</v>
      </c>
      <c r="P896" s="81" t="n">
        <f aca="true">RAND()</f>
        <v>0.699525386311029</v>
      </c>
      <c r="Q896" s="82" t="n">
        <f aca="false">IF(P896&lt;(Inputs!$E$27-Inputs!$D$27)/(Inputs!$F$27-Inputs!$D$27),Inputs!$D$27+SQRT(P896*(Inputs!$F$27-Inputs!$D$27)*(Inputs!$E$27-Inputs!$D$27)),Inputs!$F$27-SQRT((1-P896)*(Inputs!$F$27-Inputs!$D$27)*(Inputs!$F$27-Inputs!$E$27)))</f>
        <v>102.528328419285</v>
      </c>
      <c r="R896" s="81" t="n">
        <f aca="true">RAND()</f>
        <v>0.903253657166575</v>
      </c>
      <c r="S896" s="82" t="n">
        <f aca="false">IF(R896&lt;(Inputs!$E$29-Inputs!$D$29)/(Inputs!$F$29-Inputs!$D$29),Inputs!$D$29+SQRT(R896*(Inputs!$F$29-Inputs!$D$29)*(Inputs!$E$29-Inputs!$D$29)),Inputs!$F$29-SQRT((1-R896)*(Inputs!$F$29-Inputs!$D$29)*(Inputs!$F$29-Inputs!$E$29)))</f>
        <v>11.4535899040938</v>
      </c>
      <c r="T896" s="68" t="n">
        <f aca="false">Inputs!$E$9*(1+E896)+Inputs!$E$5*C896*(Inputs!$E$11*Inputs!$E$14*(G896*I896/Inputs!$E$16+(1-G896))*K896+Inputs!$E$23*M896)*(1+O896)+Inputs!$E$5*(Q896+S896)</f>
        <v>6528.79572551085</v>
      </c>
    </row>
    <row r="897" customFormat="false" ht="15" hidden="false" customHeight="false" outlineLevel="0" collapsed="false">
      <c r="A897" s="1" t="n">
        <v>893</v>
      </c>
      <c r="B897" s="81" t="n">
        <f aca="true">RAND()</f>
        <v>0.947706650618367</v>
      </c>
      <c r="C897" s="82" t="n">
        <f aca="false">ROUND(IF(B897&lt;(Inputs!$E$8-Inputs!$D$8)/(Inputs!$F$8-Inputs!$D$8),Inputs!$D$8+SQRT(B897*(Inputs!$F$8-Inputs!$D$8)*(Inputs!$E$8-Inputs!$D$8)),Inputs!$F$8-SQRT((1-B897)*(Inputs!$F$8-Inputs!$D$8)*(Inputs!$F$8-Inputs!$E$8))),0)</f>
        <v>28</v>
      </c>
      <c r="D897" s="81" t="n">
        <f aca="true">RAND()</f>
        <v>0.758636029238415</v>
      </c>
      <c r="E897" s="83" t="n">
        <f aca="false">IF(D897&lt;(Inputs!$E$10-Inputs!$D$10)/(Inputs!$F$10-Inputs!$D$10),Inputs!$D$10+SQRT(D897*(Inputs!$F$10-Inputs!$D$10)*(Inputs!$E$10-Inputs!$D$10)),Inputs!$F$10-SQRT((1-D897)*(Inputs!$F$10-Inputs!$D$10)*(Inputs!$F$10-Inputs!$E$10)))</f>
        <v>0.114906409625357</v>
      </c>
      <c r="F897" s="81" t="n">
        <f aca="true">RAND()</f>
        <v>0.32687709326493</v>
      </c>
      <c r="G897" s="83" t="n">
        <f aca="false">IF(F897&lt;(Inputs!$E$15-Inputs!$D$15)/(Inputs!$F$15-Inputs!$D$15),Inputs!$D$15+SQRT(F897*(Inputs!$F$15-Inputs!$D$15)*(Inputs!$E$15-Inputs!$D$15)),Inputs!$F$15-SQRT((1-F897)*(Inputs!$F$15-Inputs!$D$15)*(Inputs!$F$15-Inputs!$E$15)))</f>
        <v>0.680855067035397</v>
      </c>
      <c r="H897" s="81" t="n">
        <f aca="true">RAND()</f>
        <v>0.862477338315018</v>
      </c>
      <c r="I897" s="82" t="n">
        <f aca="false">ROUND(IF(H897&lt;(Inputs!$E$17-Inputs!$D$17)/(Inputs!$F$17-Inputs!$D$17),Inputs!$D$17+SQRT(H897*(Inputs!$F$17-Inputs!$D$17)*(Inputs!$E$17-Inputs!$D$17)),Inputs!$F$17-SQRT((1-H897)*(Inputs!$F$17-Inputs!$D$17)*(Inputs!$F$17-Inputs!$E$17))),0)</f>
        <v>110</v>
      </c>
      <c r="J897" s="81" t="n">
        <f aca="true">RAND()</f>
        <v>0.0333802432127576</v>
      </c>
      <c r="K897" s="83" t="n">
        <f aca="false">IF(J897&lt;(Inputs!$E$18-Inputs!$D$18)/(Inputs!$F$18-Inputs!$D$18),Inputs!$D$18+SQRT(J897*(Inputs!$F$18-Inputs!$D$18)*(Inputs!$E$18-Inputs!$D$18)),Inputs!$F$18-SQRT((1-J897)*(Inputs!$F$18-Inputs!$D$18)*(Inputs!$F$18-Inputs!$E$18)))</f>
        <v>0.934180528264591</v>
      </c>
      <c r="L897" s="81" t="n">
        <f aca="true">RAND()</f>
        <v>0.939292261586225</v>
      </c>
      <c r="M897" s="83" t="n">
        <f aca="false">IF(L897&lt;(Inputs!$E$24-Inputs!$D$24)/(Inputs!$F$24-Inputs!$D$24),Inputs!$D$24+SQRT(L897*(Inputs!$F$24-Inputs!$D$24)*(Inputs!$E$24-Inputs!$D$24)),Inputs!$F$24-SQRT((1-L897)*(Inputs!$F$24-Inputs!$D$24)*(Inputs!$F$24-Inputs!$E$24)))</f>
        <v>1.07929433642407</v>
      </c>
      <c r="N897" s="81" t="n">
        <f aca="true">RAND()</f>
        <v>0.46850266079416</v>
      </c>
      <c r="O897" s="83" t="n">
        <f aca="false">IF(N897&lt;(Inputs!$E$26-Inputs!$D$26)/(Inputs!$F$26-Inputs!$D$26),Inputs!$D$26+SQRT(N897*(Inputs!$F$26-Inputs!$D$26)*(Inputs!$E$26-Inputs!$D$26)),Inputs!$F$26-SQRT((1-N897)*(Inputs!$F$26-Inputs!$D$26)*(Inputs!$F$26-Inputs!$E$26)))</f>
        <v>0.579211107866697</v>
      </c>
      <c r="P897" s="81" t="n">
        <f aca="true">RAND()</f>
        <v>0.630110621475559</v>
      </c>
      <c r="Q897" s="82" t="n">
        <f aca="false">IF(P897&lt;(Inputs!$E$27-Inputs!$D$27)/(Inputs!$F$27-Inputs!$D$27),Inputs!$D$27+SQRT(P897*(Inputs!$F$27-Inputs!$D$27)*(Inputs!$E$27-Inputs!$D$27)),Inputs!$F$27-SQRT((1-P897)*(Inputs!$F$27-Inputs!$D$27)*(Inputs!$F$27-Inputs!$E$27)))</f>
        <v>97.329606618772</v>
      </c>
      <c r="R897" s="81" t="n">
        <f aca="true">RAND()</f>
        <v>0.502264924363417</v>
      </c>
      <c r="S897" s="82" t="n">
        <f aca="false">IF(R897&lt;(Inputs!$E$29-Inputs!$D$29)/(Inputs!$F$29-Inputs!$D$29),Inputs!$D$29+SQRT(R897*(Inputs!$F$29-Inputs!$D$29)*(Inputs!$E$29-Inputs!$D$29)),Inputs!$F$29-SQRT((1-R897)*(Inputs!$F$29-Inputs!$D$29)*(Inputs!$F$29-Inputs!$E$29)))</f>
        <v>6.95602338188656</v>
      </c>
      <c r="T897" s="68" t="n">
        <f aca="false">Inputs!$E$9*(1+E897)+Inputs!$E$5*C897*(Inputs!$E$11*Inputs!$E$14*(G897*I897/Inputs!$E$16+(1-G897))*K897+Inputs!$E$23*M897)*(1+O897)+Inputs!$E$5*(Q897+S897)</f>
        <v>6978.77204407044</v>
      </c>
    </row>
    <row r="898" customFormat="false" ht="15" hidden="false" customHeight="false" outlineLevel="0" collapsed="false">
      <c r="A898" s="1" t="n">
        <v>894</v>
      </c>
      <c r="B898" s="81" t="n">
        <f aca="true">RAND()</f>
        <v>0.660996936977416</v>
      </c>
      <c r="C898" s="82" t="n">
        <f aca="false">ROUND(IF(B898&lt;(Inputs!$E$8-Inputs!$D$8)/(Inputs!$F$8-Inputs!$D$8),Inputs!$D$8+SQRT(B898*(Inputs!$F$8-Inputs!$D$8)*(Inputs!$E$8-Inputs!$D$8)),Inputs!$F$8-SQRT((1-B898)*(Inputs!$F$8-Inputs!$D$8)*(Inputs!$F$8-Inputs!$E$8))),0)</f>
        <v>26</v>
      </c>
      <c r="D898" s="81" t="n">
        <f aca="true">RAND()</f>
        <v>0.779637931619993</v>
      </c>
      <c r="E898" s="83" t="n">
        <f aca="false">IF(D898&lt;(Inputs!$E$10-Inputs!$D$10)/(Inputs!$F$10-Inputs!$D$10),Inputs!$D$10+SQRT(D898*(Inputs!$F$10-Inputs!$D$10)*(Inputs!$E$10-Inputs!$D$10)),Inputs!$F$10-SQRT((1-D898)*(Inputs!$F$10-Inputs!$D$10)*(Inputs!$F$10-Inputs!$E$10)))</f>
        <v>0.118692792131323</v>
      </c>
      <c r="F898" s="81" t="n">
        <f aca="true">RAND()</f>
        <v>0.851366984742255</v>
      </c>
      <c r="G898" s="83" t="n">
        <f aca="false">IF(F898&lt;(Inputs!$E$15-Inputs!$D$15)/(Inputs!$F$15-Inputs!$D$15),Inputs!$D$15+SQRT(F898*(Inputs!$F$15-Inputs!$D$15)*(Inputs!$E$15-Inputs!$D$15)),Inputs!$F$15-SQRT((1-F898)*(Inputs!$F$15-Inputs!$D$15)*(Inputs!$F$15-Inputs!$E$15)))</f>
        <v>0.745477891592906</v>
      </c>
      <c r="H898" s="81" t="n">
        <f aca="true">RAND()</f>
        <v>0.678492688420706</v>
      </c>
      <c r="I898" s="82" t="n">
        <f aca="false">ROUND(IF(H898&lt;(Inputs!$E$17-Inputs!$D$17)/(Inputs!$F$17-Inputs!$D$17),Inputs!$D$17+SQRT(H898*(Inputs!$F$17-Inputs!$D$17)*(Inputs!$E$17-Inputs!$D$17)),Inputs!$F$17-SQRT((1-H898)*(Inputs!$F$17-Inputs!$D$17)*(Inputs!$F$17-Inputs!$E$17))),0)</f>
        <v>108</v>
      </c>
      <c r="J898" s="81" t="n">
        <f aca="true">RAND()</f>
        <v>0.0684343505748245</v>
      </c>
      <c r="K898" s="83" t="n">
        <f aca="false">IF(J898&lt;(Inputs!$E$18-Inputs!$D$18)/(Inputs!$F$18-Inputs!$D$18),Inputs!$D$18+SQRT(J898*(Inputs!$F$18-Inputs!$D$18)*(Inputs!$E$18-Inputs!$D$18)),Inputs!$F$18-SQRT((1-J898)*(Inputs!$F$18-Inputs!$D$18)*(Inputs!$F$18-Inputs!$E$18)))</f>
        <v>0.948940803733887</v>
      </c>
      <c r="L898" s="81" t="n">
        <f aca="true">RAND()</f>
        <v>0.75855428546114</v>
      </c>
      <c r="M898" s="83" t="n">
        <f aca="false">IF(L898&lt;(Inputs!$E$24-Inputs!$D$24)/(Inputs!$F$24-Inputs!$D$24),Inputs!$D$24+SQRT(L898*(Inputs!$F$24-Inputs!$D$24)*(Inputs!$E$24-Inputs!$D$24)),Inputs!$F$24-SQRT((1-L898)*(Inputs!$F$24-Inputs!$D$24)*(Inputs!$F$24-Inputs!$E$24)))</f>
        <v>0.959278228052952</v>
      </c>
      <c r="N898" s="81" t="n">
        <f aca="true">RAND()</f>
        <v>0.744289504762148</v>
      </c>
      <c r="O898" s="83" t="n">
        <f aca="false">IF(N898&lt;(Inputs!$E$26-Inputs!$D$26)/(Inputs!$F$26-Inputs!$D$26),Inputs!$D$26+SQRT(N898*(Inputs!$F$26-Inputs!$D$26)*(Inputs!$E$26-Inputs!$D$26)),Inputs!$F$26-SQRT((1-N898)*(Inputs!$F$26-Inputs!$D$26)*(Inputs!$F$26-Inputs!$E$26)))</f>
        <v>0.656923663565995</v>
      </c>
      <c r="P898" s="81" t="n">
        <f aca="true">RAND()</f>
        <v>0.415969231116164</v>
      </c>
      <c r="Q898" s="82" t="n">
        <f aca="false">IF(P898&lt;(Inputs!$E$27-Inputs!$D$27)/(Inputs!$F$27-Inputs!$D$27),Inputs!$D$27+SQRT(P898*(Inputs!$F$27-Inputs!$D$27)*(Inputs!$E$27-Inputs!$D$27)),Inputs!$F$27-SQRT((1-P898)*(Inputs!$F$27-Inputs!$D$27)*(Inputs!$F$27-Inputs!$E$27)))</f>
        <v>83.816688156086</v>
      </c>
      <c r="R898" s="81" t="n">
        <f aca="true">RAND()</f>
        <v>0.726547503502028</v>
      </c>
      <c r="S898" s="82" t="n">
        <f aca="false">IF(R898&lt;(Inputs!$E$29-Inputs!$D$29)/(Inputs!$F$29-Inputs!$D$29),Inputs!$D$29+SQRT(R898*(Inputs!$F$29-Inputs!$D$29)*(Inputs!$E$29-Inputs!$D$29)),Inputs!$F$29-SQRT((1-R898)*(Inputs!$F$29-Inputs!$D$29)*(Inputs!$F$29-Inputs!$E$29)))</f>
        <v>9.03771649913086</v>
      </c>
      <c r="T898" s="68" t="n">
        <f aca="false">Inputs!$E$9*(1+E898)+Inputs!$E$5*C898*(Inputs!$E$11*Inputs!$E$14*(G898*I898/Inputs!$E$16+(1-G898))*K898+Inputs!$E$23*M898)*(1+O898)+Inputs!$E$5*(Q898+S898)</f>
        <v>6570.16466584511</v>
      </c>
    </row>
    <row r="899" customFormat="false" ht="15" hidden="false" customHeight="false" outlineLevel="0" collapsed="false">
      <c r="A899" s="1" t="n">
        <v>895</v>
      </c>
      <c r="B899" s="81" t="n">
        <f aca="true">RAND()</f>
        <v>0.0568563815068413</v>
      </c>
      <c r="C899" s="82" t="n">
        <f aca="false">ROUND(IF(B899&lt;(Inputs!$E$8-Inputs!$D$8)/(Inputs!$F$8-Inputs!$D$8),Inputs!$D$8+SQRT(B899*(Inputs!$F$8-Inputs!$D$8)*(Inputs!$E$8-Inputs!$D$8)),Inputs!$F$8-SQRT((1-B899)*(Inputs!$F$8-Inputs!$D$8)*(Inputs!$F$8-Inputs!$E$8))),0)</f>
        <v>22</v>
      </c>
      <c r="D899" s="81" t="n">
        <f aca="true">RAND()</f>
        <v>0.326065481532225</v>
      </c>
      <c r="E899" s="83" t="n">
        <f aca="false">IF(D899&lt;(Inputs!$E$10-Inputs!$D$10)/(Inputs!$F$10-Inputs!$D$10),Inputs!$D$10+SQRT(D899*(Inputs!$F$10-Inputs!$D$10)*(Inputs!$E$10-Inputs!$D$10)),Inputs!$F$10-SQRT((1-D899)*(Inputs!$F$10-Inputs!$D$10)*(Inputs!$F$10-Inputs!$E$10)))</f>
        <v>0.0578098612630494</v>
      </c>
      <c r="F899" s="81" t="n">
        <f aca="true">RAND()</f>
        <v>0.567568350921595</v>
      </c>
      <c r="G899" s="83" t="n">
        <f aca="false">IF(F899&lt;(Inputs!$E$15-Inputs!$D$15)/(Inputs!$F$15-Inputs!$D$15),Inputs!$D$15+SQRT(F899*(Inputs!$F$15-Inputs!$D$15)*(Inputs!$E$15-Inputs!$D$15)),Inputs!$F$15-SQRT((1-F899)*(Inputs!$F$15-Inputs!$D$15)*(Inputs!$F$15-Inputs!$E$15)))</f>
        <v>0.70700197323831</v>
      </c>
      <c r="H899" s="81" t="n">
        <f aca="true">RAND()</f>
        <v>0.776519661722978</v>
      </c>
      <c r="I899" s="82" t="n">
        <f aca="false">ROUND(IF(H899&lt;(Inputs!$E$17-Inputs!$D$17)/(Inputs!$F$17-Inputs!$D$17),Inputs!$D$17+SQRT(H899*(Inputs!$F$17-Inputs!$D$17)*(Inputs!$E$17-Inputs!$D$17)),Inputs!$F$17-SQRT((1-H899)*(Inputs!$F$17-Inputs!$D$17)*(Inputs!$F$17-Inputs!$E$17))),0)</f>
        <v>109</v>
      </c>
      <c r="J899" s="81" t="n">
        <f aca="true">RAND()</f>
        <v>0.113999571573494</v>
      </c>
      <c r="K899" s="83" t="n">
        <f aca="false">IF(J899&lt;(Inputs!$E$18-Inputs!$D$18)/(Inputs!$F$18-Inputs!$D$18),Inputs!$D$18+SQRT(J899*(Inputs!$F$18-Inputs!$D$18)*(Inputs!$E$18-Inputs!$D$18)),Inputs!$F$18-SQRT((1-J899)*(Inputs!$F$18-Inputs!$D$18)*(Inputs!$F$18-Inputs!$E$18)))</f>
        <v>0.963166328095531</v>
      </c>
      <c r="L899" s="81" t="n">
        <f aca="true">RAND()</f>
        <v>0.937330264019952</v>
      </c>
      <c r="M899" s="83" t="n">
        <f aca="false">IF(L899&lt;(Inputs!$E$24-Inputs!$D$24)/(Inputs!$F$24-Inputs!$D$24),Inputs!$D$24+SQRT(L899*(Inputs!$F$24-Inputs!$D$24)*(Inputs!$E$24-Inputs!$D$24)),Inputs!$F$24-SQRT((1-L899)*(Inputs!$F$24-Inputs!$D$24)*(Inputs!$F$24-Inputs!$E$24)))</f>
        <v>1.0773593190038</v>
      </c>
      <c r="N899" s="81" t="n">
        <f aca="true">RAND()</f>
        <v>0.390314143424202</v>
      </c>
      <c r="O899" s="83" t="n">
        <f aca="false">IF(N899&lt;(Inputs!$E$26-Inputs!$D$26)/(Inputs!$F$26-Inputs!$D$26),Inputs!$D$26+SQRT(N899*(Inputs!$F$26-Inputs!$D$26)*(Inputs!$E$26-Inputs!$D$26)),Inputs!$F$26-SQRT((1-N899)*(Inputs!$F$26-Inputs!$D$26)*(Inputs!$F$26-Inputs!$E$26)))</f>
        <v>0.554849511409748</v>
      </c>
      <c r="P899" s="81" t="n">
        <f aca="true">RAND()</f>
        <v>0.550531108567281</v>
      </c>
      <c r="Q899" s="82" t="n">
        <f aca="false">IF(P899&lt;(Inputs!$E$27-Inputs!$D$27)/(Inputs!$F$27-Inputs!$D$27),Inputs!$D$27+SQRT(P899*(Inputs!$F$27-Inputs!$D$27)*(Inputs!$E$27-Inputs!$D$27)),Inputs!$F$27-SQRT((1-P899)*(Inputs!$F$27-Inputs!$D$27)*(Inputs!$F$27-Inputs!$E$27)))</f>
        <v>91.9395428389908</v>
      </c>
      <c r="R899" s="81" t="n">
        <f aca="true">RAND()</f>
        <v>0.817525099456955</v>
      </c>
      <c r="S899" s="82" t="n">
        <f aca="false">IF(R899&lt;(Inputs!$E$29-Inputs!$D$29)/(Inputs!$F$29-Inputs!$D$29),Inputs!$D$29+SQRT(R899*(Inputs!$F$29-Inputs!$D$29)*(Inputs!$E$29-Inputs!$D$29)),Inputs!$F$29-SQRT((1-R899)*(Inputs!$F$29-Inputs!$D$29)*(Inputs!$F$29-Inputs!$E$29)))</f>
        <v>10.1295034061611</v>
      </c>
      <c r="T899" s="68" t="n">
        <f aca="false">Inputs!$E$9*(1+E899)+Inputs!$E$5*C899*(Inputs!$E$11*Inputs!$E$14*(G899*I899/Inputs!$E$16+(1-G899))*K899+Inputs!$E$23*M899)*(1+O899)+Inputs!$E$5*(Q899+S899)</f>
        <v>5951.75033968661</v>
      </c>
    </row>
    <row r="900" customFormat="false" ht="15" hidden="false" customHeight="false" outlineLevel="0" collapsed="false">
      <c r="A900" s="1" t="n">
        <v>896</v>
      </c>
      <c r="B900" s="81" t="n">
        <f aca="true">RAND()</f>
        <v>0.0256835147641077</v>
      </c>
      <c r="C900" s="82" t="n">
        <f aca="false">ROUND(IF(B900&lt;(Inputs!$E$8-Inputs!$D$8)/(Inputs!$F$8-Inputs!$D$8),Inputs!$D$8+SQRT(B900*(Inputs!$F$8-Inputs!$D$8)*(Inputs!$E$8-Inputs!$D$8)),Inputs!$F$8-SQRT((1-B900)*(Inputs!$F$8-Inputs!$D$8)*(Inputs!$F$8-Inputs!$E$8))),0)</f>
        <v>21</v>
      </c>
      <c r="D900" s="81" t="n">
        <f aca="true">RAND()</f>
        <v>0.6918944331544</v>
      </c>
      <c r="E900" s="83" t="n">
        <f aca="false">IF(D900&lt;(Inputs!$E$10-Inputs!$D$10)/(Inputs!$F$10-Inputs!$D$10),Inputs!$D$10+SQRT(D900*(Inputs!$F$10-Inputs!$D$10)*(Inputs!$E$10-Inputs!$D$10)),Inputs!$F$10-SQRT((1-D900)*(Inputs!$F$10-Inputs!$D$10)*(Inputs!$F$10-Inputs!$E$10)))</f>
        <v>0.103858609301883</v>
      </c>
      <c r="F900" s="81" t="n">
        <f aca="true">RAND()</f>
        <v>0.197644984909869</v>
      </c>
      <c r="G900" s="83" t="n">
        <f aca="false">IF(F900&lt;(Inputs!$E$15-Inputs!$D$15)/(Inputs!$F$15-Inputs!$D$15),Inputs!$D$15+SQRT(F900*(Inputs!$F$15-Inputs!$D$15)*(Inputs!$E$15-Inputs!$D$15)),Inputs!$F$15-SQRT((1-F900)*(Inputs!$F$15-Inputs!$D$15)*(Inputs!$F$15-Inputs!$E$15)))</f>
        <v>0.662872089977965</v>
      </c>
      <c r="H900" s="81" t="n">
        <f aca="true">RAND()</f>
        <v>0.733847616347352</v>
      </c>
      <c r="I900" s="82" t="n">
        <f aca="false">ROUND(IF(H900&lt;(Inputs!$E$17-Inputs!$D$17)/(Inputs!$F$17-Inputs!$D$17),Inputs!$D$17+SQRT(H900*(Inputs!$F$17-Inputs!$D$17)*(Inputs!$E$17-Inputs!$D$17)),Inputs!$F$17-SQRT((1-H900)*(Inputs!$F$17-Inputs!$D$17)*(Inputs!$F$17-Inputs!$E$17))),0)</f>
        <v>109</v>
      </c>
      <c r="J900" s="81" t="n">
        <f aca="true">RAND()</f>
        <v>0.30742853872091</v>
      </c>
      <c r="K900" s="83" t="n">
        <f aca="false">IF(J900&lt;(Inputs!$E$18-Inputs!$D$18)/(Inputs!$F$18-Inputs!$D$18),Inputs!$D$18+SQRT(J900*(Inputs!$F$18-Inputs!$D$18)*(Inputs!$E$18-Inputs!$D$18)),Inputs!$F$18-SQRT((1-J900)*(Inputs!$F$18-Inputs!$D$18)*(Inputs!$F$18-Inputs!$E$18)))</f>
        <v>1.0038293216853</v>
      </c>
      <c r="L900" s="81" t="n">
        <f aca="true">RAND()</f>
        <v>0.959273203342868</v>
      </c>
      <c r="M900" s="83" t="n">
        <f aca="false">IF(L900&lt;(Inputs!$E$24-Inputs!$D$24)/(Inputs!$F$24-Inputs!$D$24),Inputs!$D$24+SQRT(L900*(Inputs!$F$24-Inputs!$D$24)*(Inputs!$E$24-Inputs!$D$24)),Inputs!$F$24-SQRT((1-L900)*(Inputs!$F$24-Inputs!$D$24)*(Inputs!$F$24-Inputs!$E$24)))</f>
        <v>1.10113427693224</v>
      </c>
      <c r="N900" s="81" t="n">
        <f aca="true">RAND()</f>
        <v>0.827166160906193</v>
      </c>
      <c r="O900" s="83" t="n">
        <f aca="false">IF(N900&lt;(Inputs!$E$26-Inputs!$D$26)/(Inputs!$F$26-Inputs!$D$26),Inputs!$D$26+SQRT(N900*(Inputs!$F$26-Inputs!$D$26)*(Inputs!$E$26-Inputs!$D$26)),Inputs!$F$26-SQRT((1-N900)*(Inputs!$F$26-Inputs!$D$26)*(Inputs!$F$26-Inputs!$E$26)))</f>
        <v>0.685930170188234</v>
      </c>
      <c r="P900" s="81" t="n">
        <f aca="true">RAND()</f>
        <v>0.247780654247721</v>
      </c>
      <c r="Q900" s="82" t="n">
        <f aca="false">IF(P900&lt;(Inputs!$E$27-Inputs!$D$27)/(Inputs!$F$27-Inputs!$D$27),Inputs!$D$27+SQRT(P900*(Inputs!$F$27-Inputs!$D$27)*(Inputs!$E$27-Inputs!$D$27)),Inputs!$F$27-SQRT((1-P900)*(Inputs!$F$27-Inputs!$D$27)*(Inputs!$F$27-Inputs!$E$27)))</f>
        <v>74.8887853383668</v>
      </c>
      <c r="R900" s="81" t="n">
        <f aca="true">RAND()</f>
        <v>0.554775081733599</v>
      </c>
      <c r="S900" s="82" t="n">
        <f aca="false">IF(R900&lt;(Inputs!$E$29-Inputs!$D$29)/(Inputs!$F$29-Inputs!$D$29),Inputs!$D$29+SQRT(R900*(Inputs!$F$29-Inputs!$D$29)*(Inputs!$E$29-Inputs!$D$29)),Inputs!$F$29-SQRT((1-R900)*(Inputs!$F$29-Inputs!$D$29)*(Inputs!$F$29-Inputs!$E$29)))</f>
        <v>7.39215934876183</v>
      </c>
      <c r="T900" s="68" t="n">
        <f aca="false">Inputs!$E$9*(1+E900)+Inputs!$E$5*C900*(Inputs!$E$11*Inputs!$E$14*(G900*I900/Inputs!$E$16+(1-G900))*K900+Inputs!$E$23*M900)*(1+O900)+Inputs!$E$5*(Q900+S900)</f>
        <v>6221.46888694567</v>
      </c>
    </row>
    <row r="901" customFormat="false" ht="15" hidden="false" customHeight="false" outlineLevel="0" collapsed="false">
      <c r="A901" s="1" t="n">
        <v>897</v>
      </c>
      <c r="B901" s="81" t="n">
        <f aca="true">RAND()</f>
        <v>0.546471966455616</v>
      </c>
      <c r="C901" s="82" t="n">
        <f aca="false">ROUND(IF(B901&lt;(Inputs!$E$8-Inputs!$D$8)/(Inputs!$F$8-Inputs!$D$8),Inputs!$D$8+SQRT(B901*(Inputs!$F$8-Inputs!$D$8)*(Inputs!$E$8-Inputs!$D$8)),Inputs!$F$8-SQRT((1-B901)*(Inputs!$F$8-Inputs!$D$8)*(Inputs!$F$8-Inputs!$E$8))),0)</f>
        <v>25</v>
      </c>
      <c r="D901" s="81" t="n">
        <f aca="true">RAND()</f>
        <v>0.293103941711366</v>
      </c>
      <c r="E901" s="83" t="n">
        <f aca="false">IF(D901&lt;(Inputs!$E$10-Inputs!$D$10)/(Inputs!$F$10-Inputs!$D$10),Inputs!$D$10+SQRT(D901*(Inputs!$F$10-Inputs!$D$10)*(Inputs!$E$10-Inputs!$D$10)),Inputs!$F$10-SQRT((1-D901)*(Inputs!$F$10-Inputs!$D$10)*(Inputs!$F$10-Inputs!$E$10)))</f>
        <v>0.0543741721099618</v>
      </c>
      <c r="F901" s="81" t="n">
        <f aca="true">RAND()</f>
        <v>0.656528620822085</v>
      </c>
      <c r="G901" s="83" t="n">
        <f aca="false">IF(F901&lt;(Inputs!$E$15-Inputs!$D$15)/(Inputs!$F$15-Inputs!$D$15),Inputs!$D$15+SQRT(F901*(Inputs!$F$15-Inputs!$D$15)*(Inputs!$E$15-Inputs!$D$15)),Inputs!$F$15-SQRT((1-F901)*(Inputs!$F$15-Inputs!$D$15)*(Inputs!$F$15-Inputs!$E$15)))</f>
        <v>0.717117989988428</v>
      </c>
      <c r="H901" s="81" t="n">
        <f aca="true">RAND()</f>
        <v>0.695881713917639</v>
      </c>
      <c r="I901" s="82" t="n">
        <f aca="false">ROUND(IF(H901&lt;(Inputs!$E$17-Inputs!$D$17)/(Inputs!$F$17-Inputs!$D$17),Inputs!$D$17+SQRT(H901*(Inputs!$F$17-Inputs!$D$17)*(Inputs!$E$17-Inputs!$D$17)),Inputs!$F$17-SQRT((1-H901)*(Inputs!$F$17-Inputs!$D$17)*(Inputs!$F$17-Inputs!$E$17))),0)</f>
        <v>108</v>
      </c>
      <c r="J901" s="81" t="n">
        <f aca="true">RAND()</f>
        <v>0.560753336202347</v>
      </c>
      <c r="K901" s="83" t="n">
        <f aca="false">IF(J901&lt;(Inputs!$E$18-Inputs!$D$18)/(Inputs!$F$18-Inputs!$D$18),Inputs!$D$18+SQRT(J901*(Inputs!$F$18-Inputs!$D$18)*(Inputs!$E$18-Inputs!$D$18)),Inputs!$F$18-SQRT((1-J901)*(Inputs!$F$18-Inputs!$D$18)*(Inputs!$F$18-Inputs!$E$18)))</f>
        <v>1.05395387511533</v>
      </c>
      <c r="L901" s="81" t="n">
        <f aca="true">RAND()</f>
        <v>0.924702819142154</v>
      </c>
      <c r="M901" s="83" t="n">
        <f aca="false">IF(L901&lt;(Inputs!$E$24-Inputs!$D$24)/(Inputs!$F$24-Inputs!$D$24),Inputs!$D$24+SQRT(L901*(Inputs!$F$24-Inputs!$D$24)*(Inputs!$E$24-Inputs!$D$24)),Inputs!$F$24-SQRT((1-L901)*(Inputs!$F$24-Inputs!$D$24)*(Inputs!$F$24-Inputs!$E$24)))</f>
        <v>1.06557037749855</v>
      </c>
      <c r="N901" s="81" t="n">
        <f aca="true">RAND()</f>
        <v>0.342266910937064</v>
      </c>
      <c r="O901" s="83" t="n">
        <f aca="false">IF(N901&lt;(Inputs!$E$26-Inputs!$D$26)/(Inputs!$F$26-Inputs!$D$26),Inputs!$D$26+SQRT(N901*(Inputs!$F$26-Inputs!$D$26)*(Inputs!$E$26-Inputs!$D$26)),Inputs!$F$26-SQRT((1-N901)*(Inputs!$F$26-Inputs!$D$26)*(Inputs!$F$26-Inputs!$E$26)))</f>
        <v>0.53864872507501</v>
      </c>
      <c r="P901" s="81" t="n">
        <f aca="true">RAND()</f>
        <v>0.616232905631387</v>
      </c>
      <c r="Q901" s="82" t="n">
        <f aca="false">IF(P901&lt;(Inputs!$E$27-Inputs!$D$27)/(Inputs!$F$27-Inputs!$D$27),Inputs!$D$27+SQRT(P901*(Inputs!$F$27-Inputs!$D$27)*(Inputs!$E$27-Inputs!$D$27)),Inputs!$F$27-SQRT((1-P901)*(Inputs!$F$27-Inputs!$D$27)*(Inputs!$F$27-Inputs!$E$27)))</f>
        <v>96.3506457842725</v>
      </c>
      <c r="R901" s="81" t="n">
        <f aca="true">RAND()</f>
        <v>0.221440508507551</v>
      </c>
      <c r="S901" s="82" t="n">
        <f aca="false">IF(R901&lt;(Inputs!$E$29-Inputs!$D$29)/(Inputs!$F$29-Inputs!$D$29),Inputs!$D$29+SQRT(R901*(Inputs!$F$29-Inputs!$D$29)*(Inputs!$E$29-Inputs!$D$29)),Inputs!$F$29-SQRT((1-R901)*(Inputs!$F$29-Inputs!$D$29)*(Inputs!$F$29-Inputs!$E$29)))</f>
        <v>4.93873779568618</v>
      </c>
      <c r="T901" s="68" t="n">
        <f aca="false">Inputs!$E$9*(1+E901)+Inputs!$E$5*C901*(Inputs!$E$11*Inputs!$E$14*(G901*I901/Inputs!$E$16+(1-G901))*K901+Inputs!$E$23*M901)*(1+O901)+Inputs!$E$5*(Q901+S901)</f>
        <v>6477.67475225374</v>
      </c>
    </row>
    <row r="902" customFormat="false" ht="15" hidden="false" customHeight="false" outlineLevel="0" collapsed="false">
      <c r="A902" s="1" t="n">
        <v>898</v>
      </c>
      <c r="B902" s="81" t="n">
        <f aca="true">RAND()</f>
        <v>0.559349265648298</v>
      </c>
      <c r="C902" s="82" t="n">
        <f aca="false">ROUND(IF(B902&lt;(Inputs!$E$8-Inputs!$D$8)/(Inputs!$F$8-Inputs!$D$8),Inputs!$D$8+SQRT(B902*(Inputs!$F$8-Inputs!$D$8)*(Inputs!$E$8-Inputs!$D$8)),Inputs!$F$8-SQRT((1-B902)*(Inputs!$F$8-Inputs!$D$8)*(Inputs!$F$8-Inputs!$E$8))),0)</f>
        <v>25</v>
      </c>
      <c r="D902" s="81" t="n">
        <f aca="true">RAND()</f>
        <v>0.217512599850293</v>
      </c>
      <c r="E902" s="83" t="n">
        <f aca="false">IF(D902&lt;(Inputs!$E$10-Inputs!$D$10)/(Inputs!$F$10-Inputs!$D$10),Inputs!$D$10+SQRT(D902*(Inputs!$F$10-Inputs!$D$10)*(Inputs!$E$10-Inputs!$D$10)),Inputs!$F$10-SQRT((1-D902)*(Inputs!$F$10-Inputs!$D$10)*(Inputs!$F$10-Inputs!$E$10)))</f>
        <v>0.0466382460916245</v>
      </c>
      <c r="F902" s="81" t="n">
        <f aca="true">RAND()</f>
        <v>0.017880749277878</v>
      </c>
      <c r="G902" s="83" t="n">
        <f aca="false">IF(F902&lt;(Inputs!$E$15-Inputs!$D$15)/(Inputs!$F$15-Inputs!$D$15),Inputs!$D$15+SQRT(F902*(Inputs!$F$15-Inputs!$D$15)*(Inputs!$E$15-Inputs!$D$15)),Inputs!$F$15-SQRT((1-F902)*(Inputs!$F$15-Inputs!$D$15)*(Inputs!$F$15-Inputs!$E$15)))</f>
        <v>0.618910710868647</v>
      </c>
      <c r="H902" s="81" t="n">
        <f aca="true">RAND()</f>
        <v>0.337714716357886</v>
      </c>
      <c r="I902" s="82" t="n">
        <f aca="false">ROUND(IF(H902&lt;(Inputs!$E$17-Inputs!$D$17)/(Inputs!$F$17-Inputs!$D$17),Inputs!$D$17+SQRT(H902*(Inputs!$F$17-Inputs!$D$17)*(Inputs!$E$17-Inputs!$D$17)),Inputs!$F$17-SQRT((1-H902)*(Inputs!$F$17-Inputs!$D$17)*(Inputs!$F$17-Inputs!$E$17))),0)</f>
        <v>105</v>
      </c>
      <c r="J902" s="81" t="n">
        <f aca="true">RAND()</f>
        <v>0.732015489523409</v>
      </c>
      <c r="K902" s="83" t="n">
        <f aca="false">IF(J902&lt;(Inputs!$E$18-Inputs!$D$18)/(Inputs!$F$18-Inputs!$D$18),Inputs!$D$18+SQRT(J902*(Inputs!$F$18-Inputs!$D$18)*(Inputs!$E$18-Inputs!$D$18)),Inputs!$F$18-SQRT((1-J902)*(Inputs!$F$18-Inputs!$D$18)*(Inputs!$F$18-Inputs!$E$18)))</f>
        <v>1.0968704970729</v>
      </c>
      <c r="L902" s="81" t="n">
        <f aca="true">RAND()</f>
        <v>0.266302260471849</v>
      </c>
      <c r="M902" s="83" t="n">
        <f aca="false">IF(L902&lt;(Inputs!$E$24-Inputs!$D$24)/(Inputs!$F$24-Inputs!$D$24),Inputs!$D$24+SQRT(L902*(Inputs!$F$24-Inputs!$D$24)*(Inputs!$E$24-Inputs!$D$24)),Inputs!$F$24-SQRT((1-L902)*(Inputs!$F$24-Inputs!$D$24)*(Inputs!$F$24-Inputs!$E$24)))</f>
        <v>0.778763170861959</v>
      </c>
      <c r="N902" s="81" t="n">
        <f aca="true">RAND()</f>
        <v>0.70198554512245</v>
      </c>
      <c r="O902" s="83" t="n">
        <f aca="false">IF(N902&lt;(Inputs!$E$26-Inputs!$D$26)/(Inputs!$F$26-Inputs!$D$26),Inputs!$D$26+SQRT(N902*(Inputs!$F$26-Inputs!$D$26)*(Inputs!$E$26-Inputs!$D$26)),Inputs!$F$26-SQRT((1-N902)*(Inputs!$F$26-Inputs!$D$26)*(Inputs!$F$26-Inputs!$E$26)))</f>
        <v>0.643950281717734</v>
      </c>
      <c r="P902" s="81" t="n">
        <f aca="true">RAND()</f>
        <v>0.460158528663997</v>
      </c>
      <c r="Q902" s="82" t="n">
        <f aca="false">IF(P902&lt;(Inputs!$E$27-Inputs!$D$27)/(Inputs!$F$27-Inputs!$D$27),Inputs!$D$27+SQRT(P902*(Inputs!$F$27-Inputs!$D$27)*(Inputs!$E$27-Inputs!$D$27)),Inputs!$F$27-SQRT((1-P902)*(Inputs!$F$27-Inputs!$D$27)*(Inputs!$F$27-Inputs!$E$27)))</f>
        <v>86.3697317700135</v>
      </c>
      <c r="R902" s="81" t="n">
        <f aca="true">RAND()</f>
        <v>0.423851631414742</v>
      </c>
      <c r="S902" s="82" t="n">
        <f aca="false">IF(R902&lt;(Inputs!$E$29-Inputs!$D$29)/(Inputs!$F$29-Inputs!$D$29),Inputs!$D$29+SQRT(R902*(Inputs!$F$29-Inputs!$D$29)*(Inputs!$E$29-Inputs!$D$29)),Inputs!$F$29-SQRT((1-R902)*(Inputs!$F$29-Inputs!$D$29)*(Inputs!$F$29-Inputs!$E$29)))</f>
        <v>6.3455625303499</v>
      </c>
      <c r="T902" s="68" t="n">
        <f aca="false">Inputs!$E$9*(1+E902)+Inputs!$E$5*C902*(Inputs!$E$11*Inputs!$E$14*(G902*I902/Inputs!$E$16+(1-G902))*K902+Inputs!$E$23*M902)*(1+O902)+Inputs!$E$5*(Q902+S902)</f>
        <v>6449.810162976</v>
      </c>
    </row>
    <row r="903" customFormat="false" ht="15" hidden="false" customHeight="false" outlineLevel="0" collapsed="false">
      <c r="A903" s="1" t="n">
        <v>899</v>
      </c>
      <c r="B903" s="81" t="n">
        <f aca="true">RAND()</f>
        <v>0.657732931063935</v>
      </c>
      <c r="C903" s="82" t="n">
        <f aca="false">ROUND(IF(B903&lt;(Inputs!$E$8-Inputs!$D$8)/(Inputs!$F$8-Inputs!$D$8),Inputs!$D$8+SQRT(B903*(Inputs!$F$8-Inputs!$D$8)*(Inputs!$E$8-Inputs!$D$8)),Inputs!$F$8-SQRT((1-B903)*(Inputs!$F$8-Inputs!$D$8)*(Inputs!$F$8-Inputs!$E$8))),0)</f>
        <v>26</v>
      </c>
      <c r="D903" s="81" t="n">
        <f aca="true">RAND()</f>
        <v>0.739573250224435</v>
      </c>
      <c r="E903" s="83" t="n">
        <f aca="false">IF(D903&lt;(Inputs!$E$10-Inputs!$D$10)/(Inputs!$F$10-Inputs!$D$10),Inputs!$D$10+SQRT(D903*(Inputs!$F$10-Inputs!$D$10)*(Inputs!$E$10-Inputs!$D$10)),Inputs!$F$10-SQRT((1-D903)*(Inputs!$F$10-Inputs!$D$10)*(Inputs!$F$10-Inputs!$E$10)))</f>
        <v>0.111609941207922</v>
      </c>
      <c r="F903" s="81" t="n">
        <f aca="true">RAND()</f>
        <v>0.923935894160643</v>
      </c>
      <c r="G903" s="83" t="n">
        <f aca="false">IF(F903&lt;(Inputs!$E$15-Inputs!$D$15)/(Inputs!$F$15-Inputs!$D$15),Inputs!$D$15+SQRT(F903*(Inputs!$F$15-Inputs!$D$15)*(Inputs!$E$15-Inputs!$D$15)),Inputs!$F$15-SQRT((1-F903)*(Inputs!$F$15-Inputs!$D$15)*(Inputs!$F$15-Inputs!$E$15)))</f>
        <v>0.760996383285814</v>
      </c>
      <c r="H903" s="81" t="n">
        <f aca="true">RAND()</f>
        <v>0.693494259879097</v>
      </c>
      <c r="I903" s="82" t="n">
        <f aca="false">ROUND(IF(H903&lt;(Inputs!$E$17-Inputs!$D$17)/(Inputs!$F$17-Inputs!$D$17),Inputs!$D$17+SQRT(H903*(Inputs!$F$17-Inputs!$D$17)*(Inputs!$E$17-Inputs!$D$17)),Inputs!$F$17-SQRT((1-H903)*(Inputs!$F$17-Inputs!$D$17)*(Inputs!$F$17-Inputs!$E$17))),0)</f>
        <v>108</v>
      </c>
      <c r="J903" s="81" t="n">
        <f aca="true">RAND()</f>
        <v>0.642603201819792</v>
      </c>
      <c r="K903" s="83" t="n">
        <f aca="false">IF(J903&lt;(Inputs!$E$18-Inputs!$D$18)/(Inputs!$F$18-Inputs!$D$18),Inputs!$D$18+SQRT(J903*(Inputs!$F$18-Inputs!$D$18)*(Inputs!$E$18-Inputs!$D$18)),Inputs!$F$18-SQRT((1-J903)*(Inputs!$F$18-Inputs!$D$18)*(Inputs!$F$18-Inputs!$E$18)))</f>
        <v>1.0731604686707</v>
      </c>
      <c r="L903" s="81" t="n">
        <f aca="true">RAND()</f>
        <v>0.173017419464327</v>
      </c>
      <c r="M903" s="83" t="n">
        <f aca="false">IF(L903&lt;(Inputs!$E$24-Inputs!$D$24)/(Inputs!$F$24-Inputs!$D$24),Inputs!$D$24+SQRT(L903*(Inputs!$F$24-Inputs!$D$24)*(Inputs!$E$24-Inputs!$D$24)),Inputs!$F$24-SQRT((1-L903)*(Inputs!$F$24-Inputs!$D$24)*(Inputs!$F$24-Inputs!$E$24)))</f>
        <v>0.744090562965516</v>
      </c>
      <c r="N903" s="81" t="n">
        <f aca="true">RAND()</f>
        <v>0.0101508332752902</v>
      </c>
      <c r="O903" s="83" t="n">
        <f aca="false">IF(N903&lt;(Inputs!$E$26-Inputs!$D$26)/(Inputs!$F$26-Inputs!$D$26),Inputs!$D$26+SQRT(N903*(Inputs!$F$26-Inputs!$D$26)*(Inputs!$E$26-Inputs!$D$26)),Inputs!$F$26-SQRT((1-N903)*(Inputs!$F$26-Inputs!$D$26)*(Inputs!$F$26-Inputs!$E$26)))</f>
        <v>0.341098645440066</v>
      </c>
      <c r="P903" s="81" t="n">
        <f aca="true">RAND()</f>
        <v>0.469959103098853</v>
      </c>
      <c r="Q903" s="82" t="n">
        <f aca="false">IF(P903&lt;(Inputs!$E$27-Inputs!$D$27)/(Inputs!$F$27-Inputs!$D$27),Inputs!$D$27+SQRT(P903*(Inputs!$F$27-Inputs!$D$27)*(Inputs!$E$27-Inputs!$D$27)),Inputs!$F$27-SQRT((1-P903)*(Inputs!$F$27-Inputs!$D$27)*(Inputs!$F$27-Inputs!$E$27)))</f>
        <v>86.9499664809082</v>
      </c>
      <c r="R903" s="81" t="n">
        <f aca="true">RAND()</f>
        <v>0.122172835263626</v>
      </c>
      <c r="S903" s="82" t="n">
        <f aca="false">IF(R903&lt;(Inputs!$E$29-Inputs!$D$29)/(Inputs!$F$29-Inputs!$D$29),Inputs!$D$29+SQRT(R903*(Inputs!$F$29-Inputs!$D$29)*(Inputs!$E$29-Inputs!$D$29)),Inputs!$F$29-SQRT((1-R903)*(Inputs!$F$29-Inputs!$D$29)*(Inputs!$F$29-Inputs!$E$29)))</f>
        <v>4.18282857212411</v>
      </c>
      <c r="T903" s="68" t="n">
        <f aca="false">Inputs!$E$9*(1+E903)+Inputs!$E$5*C903*(Inputs!$E$11*Inputs!$E$14*(G903*I903/Inputs!$E$16+(1-G903))*K903+Inputs!$E$23*M903)*(1+O903)+Inputs!$E$5*(Q903+S903)</f>
        <v>5795.19966904134</v>
      </c>
    </row>
    <row r="904" customFormat="false" ht="15" hidden="false" customHeight="false" outlineLevel="0" collapsed="false">
      <c r="A904" s="1" t="n">
        <v>900</v>
      </c>
      <c r="B904" s="81" t="n">
        <f aca="true">RAND()</f>
        <v>0.92904674751082</v>
      </c>
      <c r="C904" s="82" t="n">
        <f aca="false">ROUND(IF(B904&lt;(Inputs!$E$8-Inputs!$D$8)/(Inputs!$F$8-Inputs!$D$8),Inputs!$D$8+SQRT(B904*(Inputs!$F$8-Inputs!$D$8)*(Inputs!$E$8-Inputs!$D$8)),Inputs!$F$8-SQRT((1-B904)*(Inputs!$F$8-Inputs!$D$8)*(Inputs!$F$8-Inputs!$E$8))),0)</f>
        <v>28</v>
      </c>
      <c r="D904" s="81" t="n">
        <f aca="true">RAND()</f>
        <v>0.0533462209547637</v>
      </c>
      <c r="E904" s="83" t="n">
        <f aca="false">IF(D904&lt;(Inputs!$E$10-Inputs!$D$10)/(Inputs!$F$10-Inputs!$D$10),Inputs!$D$10+SQRT(D904*(Inputs!$F$10-Inputs!$D$10)*(Inputs!$E$10-Inputs!$D$10)),Inputs!$F$10-SQRT((1-D904)*(Inputs!$F$10-Inputs!$D$10)*(Inputs!$F$10-Inputs!$E$10)))</f>
        <v>0.0230968008509325</v>
      </c>
      <c r="F904" s="81" t="n">
        <f aca="true">RAND()</f>
        <v>0.380999368530593</v>
      </c>
      <c r="G904" s="83" t="n">
        <f aca="false">IF(F904&lt;(Inputs!$E$15-Inputs!$D$15)/(Inputs!$F$15-Inputs!$D$15),Inputs!$D$15+SQRT(F904*(Inputs!$F$15-Inputs!$D$15)*(Inputs!$E$15-Inputs!$D$15)),Inputs!$F$15-SQRT((1-F904)*(Inputs!$F$15-Inputs!$D$15)*(Inputs!$F$15-Inputs!$E$15)))</f>
        <v>0.687292539031763</v>
      </c>
      <c r="H904" s="81" t="n">
        <f aca="true">RAND()</f>
        <v>0.4163619440497</v>
      </c>
      <c r="I904" s="82" t="n">
        <f aca="false">ROUND(IF(H904&lt;(Inputs!$E$17-Inputs!$D$17)/(Inputs!$F$17-Inputs!$D$17),Inputs!$D$17+SQRT(H904*(Inputs!$F$17-Inputs!$D$17)*(Inputs!$E$17-Inputs!$D$17)),Inputs!$F$17-SQRT((1-H904)*(Inputs!$F$17-Inputs!$D$17)*(Inputs!$F$17-Inputs!$E$17))),0)</f>
        <v>106</v>
      </c>
      <c r="J904" s="81" t="n">
        <f aca="true">RAND()</f>
        <v>0.273334854970624</v>
      </c>
      <c r="K904" s="83" t="n">
        <f aca="false">IF(J904&lt;(Inputs!$E$18-Inputs!$D$18)/(Inputs!$F$18-Inputs!$D$18),Inputs!$D$18+SQRT(J904*(Inputs!$F$18-Inputs!$D$18)*(Inputs!$E$18-Inputs!$D$18)),Inputs!$F$18-SQRT((1-J904)*(Inputs!$F$18-Inputs!$D$18)*(Inputs!$F$18-Inputs!$E$18)))</f>
        <v>0.997809610591045</v>
      </c>
      <c r="L904" s="81" t="n">
        <f aca="true">RAND()</f>
        <v>0.0869663441024744</v>
      </c>
      <c r="M904" s="83" t="n">
        <f aca="false">IF(L904&lt;(Inputs!$E$24-Inputs!$D$24)/(Inputs!$F$24-Inputs!$D$24),Inputs!$D$24+SQRT(L904*(Inputs!$F$24-Inputs!$D$24)*(Inputs!$E$24-Inputs!$D$24)),Inputs!$F$24-SQRT((1-L904)*(Inputs!$F$24-Inputs!$D$24)*(Inputs!$F$24-Inputs!$E$24)))</f>
        <v>0.702156552860289</v>
      </c>
      <c r="N904" s="81" t="n">
        <f aca="true">RAND()</f>
        <v>0.363054797947846</v>
      </c>
      <c r="O904" s="83" t="n">
        <f aca="false">IF(N904&lt;(Inputs!$E$26-Inputs!$D$26)/(Inputs!$F$26-Inputs!$D$26),Inputs!$D$26+SQRT(N904*(Inputs!$F$26-Inputs!$D$26)*(Inputs!$E$26-Inputs!$D$26)),Inputs!$F$26-SQRT((1-N904)*(Inputs!$F$26-Inputs!$D$26)*(Inputs!$F$26-Inputs!$E$26)))</f>
        <v>0.545789174656903</v>
      </c>
      <c r="P904" s="81" t="n">
        <f aca="true">RAND()</f>
        <v>0.167937555444096</v>
      </c>
      <c r="Q904" s="82" t="n">
        <f aca="false">IF(P904&lt;(Inputs!$E$27-Inputs!$D$27)/(Inputs!$F$27-Inputs!$D$27),Inputs!$D$27+SQRT(P904*(Inputs!$F$27-Inputs!$D$27)*(Inputs!$E$27-Inputs!$D$27)),Inputs!$F$27-SQRT((1-P904)*(Inputs!$F$27-Inputs!$D$27)*(Inputs!$F$27-Inputs!$E$27)))</f>
        <v>70.4900924500169</v>
      </c>
      <c r="R904" s="81" t="n">
        <f aca="true">RAND()</f>
        <v>0.150167988099186</v>
      </c>
      <c r="S904" s="82" t="n">
        <f aca="false">IF(R904&lt;(Inputs!$E$29-Inputs!$D$29)/(Inputs!$F$29-Inputs!$D$29),Inputs!$D$29+SQRT(R904*(Inputs!$F$29-Inputs!$D$29)*(Inputs!$E$29-Inputs!$D$29)),Inputs!$F$29-SQRT((1-R904)*(Inputs!$F$29-Inputs!$D$29)*(Inputs!$F$29-Inputs!$E$29)))</f>
        <v>4.42003130886116</v>
      </c>
      <c r="T904" s="68" t="n">
        <f aca="false">Inputs!$E$9*(1+E904)+Inputs!$E$5*C904*(Inputs!$E$11*Inputs!$E$14*(G904*I904/Inputs!$E$16+(1-G904))*K904+Inputs!$E$23*M904)*(1+O904)+Inputs!$E$5*(Q904+S904)</f>
        <v>6058.65645194849</v>
      </c>
    </row>
    <row r="905" customFormat="false" ht="15" hidden="false" customHeight="false" outlineLevel="0" collapsed="false">
      <c r="A905" s="1" t="n">
        <v>901</v>
      </c>
      <c r="B905" s="81" t="n">
        <f aca="true">RAND()</f>
        <v>0.990946819713748</v>
      </c>
      <c r="C905" s="82" t="n">
        <f aca="false">ROUND(IF(B905&lt;(Inputs!$E$8-Inputs!$D$8)/(Inputs!$F$8-Inputs!$D$8),Inputs!$D$8+SQRT(B905*(Inputs!$F$8-Inputs!$D$8)*(Inputs!$E$8-Inputs!$D$8)),Inputs!$F$8-SQRT((1-B905)*(Inputs!$F$8-Inputs!$D$8)*(Inputs!$F$8-Inputs!$E$8))),0)</f>
        <v>29</v>
      </c>
      <c r="D905" s="81" t="n">
        <f aca="true">RAND()</f>
        <v>0.93437847642385</v>
      </c>
      <c r="E905" s="83" t="n">
        <f aca="false">IF(D905&lt;(Inputs!$E$10-Inputs!$D$10)/(Inputs!$F$10-Inputs!$D$10),Inputs!$D$10+SQRT(D905*(Inputs!$F$10-Inputs!$D$10)*(Inputs!$E$10-Inputs!$D$10)),Inputs!$F$10-SQRT((1-D905)*(Inputs!$F$10-Inputs!$D$10)*(Inputs!$F$10-Inputs!$E$10)))</f>
        <v>0.155630576888081</v>
      </c>
      <c r="F905" s="81" t="n">
        <f aca="true">RAND()</f>
        <v>0.763041284313067</v>
      </c>
      <c r="G905" s="83" t="n">
        <f aca="false">IF(F905&lt;(Inputs!$E$15-Inputs!$D$15)/(Inputs!$F$15-Inputs!$D$15),Inputs!$D$15+SQRT(F905*(Inputs!$F$15-Inputs!$D$15)*(Inputs!$E$15-Inputs!$D$15)),Inputs!$F$15-SQRT((1-F905)*(Inputs!$F$15-Inputs!$D$15)*(Inputs!$F$15-Inputs!$E$15)))</f>
        <v>0.731158338822057</v>
      </c>
      <c r="H905" s="81" t="n">
        <f aca="true">RAND()</f>
        <v>0.948184436927798</v>
      </c>
      <c r="I905" s="82" t="n">
        <f aca="false">ROUND(IF(H905&lt;(Inputs!$E$17-Inputs!$D$17)/(Inputs!$F$17-Inputs!$D$17),Inputs!$D$17+SQRT(H905*(Inputs!$F$17-Inputs!$D$17)*(Inputs!$E$17-Inputs!$D$17)),Inputs!$F$17-SQRT((1-H905)*(Inputs!$F$17-Inputs!$D$17)*(Inputs!$F$17-Inputs!$E$17))),0)</f>
        <v>112</v>
      </c>
      <c r="J905" s="81" t="n">
        <f aca="true">RAND()</f>
        <v>0.194170275185874</v>
      </c>
      <c r="K905" s="83" t="n">
        <f aca="false">IF(J905&lt;(Inputs!$E$18-Inputs!$D$18)/(Inputs!$F$18-Inputs!$D$18),Inputs!$D$18+SQRT(J905*(Inputs!$F$18-Inputs!$D$18)*(Inputs!$E$18-Inputs!$D$18)),Inputs!$F$18-SQRT((1-J905)*(Inputs!$F$18-Inputs!$D$18)*(Inputs!$F$18-Inputs!$E$18)))</f>
        <v>0.982437610539763</v>
      </c>
      <c r="L905" s="81" t="n">
        <f aca="true">RAND()</f>
        <v>0.625391670562892</v>
      </c>
      <c r="M905" s="83" t="n">
        <f aca="false">IF(L905&lt;(Inputs!$E$24-Inputs!$D$24)/(Inputs!$F$24-Inputs!$D$24),Inputs!$D$24+SQRT(L905*(Inputs!$F$24-Inputs!$D$24)*(Inputs!$E$24-Inputs!$D$24)),Inputs!$F$24-SQRT((1-L905)*(Inputs!$F$24-Inputs!$D$24)*(Inputs!$F$24-Inputs!$E$24)))</f>
        <v>0.900156709154755</v>
      </c>
      <c r="N905" s="81" t="n">
        <f aca="true">RAND()</f>
        <v>0.680733376238571</v>
      </c>
      <c r="O905" s="83" t="n">
        <f aca="false">IF(N905&lt;(Inputs!$E$26-Inputs!$D$26)/(Inputs!$F$26-Inputs!$D$26),Inputs!$D$26+SQRT(N905*(Inputs!$F$26-Inputs!$D$26)*(Inputs!$E$26-Inputs!$D$26)),Inputs!$F$26-SQRT((1-N905)*(Inputs!$F$26-Inputs!$D$26)*(Inputs!$F$26-Inputs!$E$26)))</f>
        <v>0.637781096284747</v>
      </c>
      <c r="P905" s="81" t="n">
        <f aca="true">RAND()</f>
        <v>0.770670502530156</v>
      </c>
      <c r="Q905" s="82" t="n">
        <f aca="false">IF(P905&lt;(Inputs!$E$27-Inputs!$D$27)/(Inputs!$F$27-Inputs!$D$27),Inputs!$D$27+SQRT(P905*(Inputs!$F$27-Inputs!$D$27)*(Inputs!$E$27-Inputs!$D$27)),Inputs!$F$27-SQRT((1-P905)*(Inputs!$F$27-Inputs!$D$27)*(Inputs!$F$27-Inputs!$E$27)))</f>
        <v>108.527464135601</v>
      </c>
      <c r="R905" s="81" t="n">
        <f aca="true">RAND()</f>
        <v>0.0199565139146747</v>
      </c>
      <c r="S905" s="82" t="n">
        <f aca="false">IF(R905&lt;(Inputs!$E$29-Inputs!$D$29)/(Inputs!$F$29-Inputs!$D$29),Inputs!$D$29+SQRT(R905*(Inputs!$F$29-Inputs!$D$29)*(Inputs!$E$29-Inputs!$D$29)),Inputs!$F$29-SQRT((1-R905)*(Inputs!$F$29-Inputs!$D$29)*(Inputs!$F$29-Inputs!$E$29)))</f>
        <v>2.8822154173853</v>
      </c>
      <c r="T905" s="68" t="n">
        <f aca="false">Inputs!$E$9*(1+E905)+Inputs!$E$5*C905*(Inputs!$E$11*Inputs!$E$14*(G905*I905/Inputs!$E$16+(1-G905))*K905+Inputs!$E$23*M905)*(1+O905)+Inputs!$E$5*(Q905+S905)</f>
        <v>7180.41085651978</v>
      </c>
    </row>
    <row r="906" customFormat="false" ht="15" hidden="false" customHeight="false" outlineLevel="0" collapsed="false">
      <c r="A906" s="1" t="n">
        <v>902</v>
      </c>
      <c r="B906" s="81" t="n">
        <f aca="true">RAND()</f>
        <v>0.654853995617472</v>
      </c>
      <c r="C906" s="82" t="n">
        <f aca="false">ROUND(IF(B906&lt;(Inputs!$E$8-Inputs!$D$8)/(Inputs!$F$8-Inputs!$D$8),Inputs!$D$8+SQRT(B906*(Inputs!$F$8-Inputs!$D$8)*(Inputs!$E$8-Inputs!$D$8)),Inputs!$F$8-SQRT((1-B906)*(Inputs!$F$8-Inputs!$D$8)*(Inputs!$F$8-Inputs!$E$8))),0)</f>
        <v>26</v>
      </c>
      <c r="D906" s="81" t="n">
        <f aca="true">RAND()</f>
        <v>0.668389987287603</v>
      </c>
      <c r="E906" s="83" t="n">
        <f aca="false">IF(D906&lt;(Inputs!$E$10-Inputs!$D$10)/(Inputs!$F$10-Inputs!$D$10),Inputs!$D$10+SQRT(D906*(Inputs!$F$10-Inputs!$D$10)*(Inputs!$E$10-Inputs!$D$10)),Inputs!$F$10-SQRT((1-D906)*(Inputs!$F$10-Inputs!$D$10)*(Inputs!$F$10-Inputs!$E$10)))</f>
        <v>0.100258833065921</v>
      </c>
      <c r="F906" s="81" t="n">
        <f aca="true">RAND()</f>
        <v>0.0334861345128562</v>
      </c>
      <c r="G906" s="83" t="n">
        <f aca="false">IF(F906&lt;(Inputs!$E$15-Inputs!$D$15)/(Inputs!$F$15-Inputs!$D$15),Inputs!$D$15+SQRT(F906*(Inputs!$F$15-Inputs!$D$15)*(Inputs!$E$15-Inputs!$D$15)),Inputs!$F$15-SQRT((1-F906)*(Inputs!$F$15-Inputs!$D$15)*(Inputs!$F$15-Inputs!$E$15)))</f>
        <v>0.625879000951681</v>
      </c>
      <c r="H906" s="81" t="n">
        <f aca="true">RAND()</f>
        <v>0.121056720811781</v>
      </c>
      <c r="I906" s="82" t="n">
        <f aca="false">ROUND(IF(H906&lt;(Inputs!$E$17-Inputs!$D$17)/(Inputs!$F$17-Inputs!$D$17),Inputs!$D$17+SQRT(H906*(Inputs!$F$17-Inputs!$D$17)*(Inputs!$E$17-Inputs!$D$17)),Inputs!$F$17-SQRT((1-H906)*(Inputs!$F$17-Inputs!$D$17)*(Inputs!$F$17-Inputs!$E$17))),0)</f>
        <v>103</v>
      </c>
      <c r="J906" s="81" t="n">
        <f aca="true">RAND()</f>
        <v>0.112880093796235</v>
      </c>
      <c r="K906" s="83" t="n">
        <f aca="false">IF(J906&lt;(Inputs!$E$18-Inputs!$D$18)/(Inputs!$F$18-Inputs!$D$18),Inputs!$D$18+SQRT(J906*(Inputs!$F$18-Inputs!$D$18)*(Inputs!$E$18-Inputs!$D$18)),Inputs!$F$18-SQRT((1-J906)*(Inputs!$F$18-Inputs!$D$18)*(Inputs!$F$18-Inputs!$E$18)))</f>
        <v>0.962855415700385</v>
      </c>
      <c r="L906" s="81" t="n">
        <f aca="true">RAND()</f>
        <v>0.055892635543202</v>
      </c>
      <c r="M906" s="83" t="n">
        <f aca="false">IF(L906&lt;(Inputs!$E$24-Inputs!$D$24)/(Inputs!$F$24-Inputs!$D$24),Inputs!$D$24+SQRT(L906*(Inputs!$F$24-Inputs!$D$24)*(Inputs!$E$24-Inputs!$D$24)),Inputs!$F$24-SQRT((1-L906)*(Inputs!$F$24-Inputs!$D$24)*(Inputs!$F$24-Inputs!$E$24)))</f>
        <v>0.681896985690465</v>
      </c>
      <c r="N906" s="81" t="n">
        <f aca="true">RAND()</f>
        <v>0.167371848988523</v>
      </c>
      <c r="O906" s="83" t="n">
        <f aca="false">IF(N906&lt;(Inputs!$E$26-Inputs!$D$26)/(Inputs!$F$26-Inputs!$D$26),Inputs!$D$26+SQRT(N906*(Inputs!$F$26-Inputs!$D$26)*(Inputs!$E$26-Inputs!$D$26)),Inputs!$F$26-SQRT((1-N906)*(Inputs!$F$26-Inputs!$D$26)*(Inputs!$F$26-Inputs!$E$26)))</f>
        <v>0.466885217055587</v>
      </c>
      <c r="P906" s="81" t="n">
        <f aca="true">RAND()</f>
        <v>0.452245010935863</v>
      </c>
      <c r="Q906" s="82" t="n">
        <f aca="false">IF(P906&lt;(Inputs!$E$27-Inputs!$D$27)/(Inputs!$F$27-Inputs!$D$27),Inputs!$D$27+SQRT(P906*(Inputs!$F$27-Inputs!$D$27)*(Inputs!$E$27-Inputs!$D$27)),Inputs!$F$27-SQRT((1-P906)*(Inputs!$F$27-Inputs!$D$27)*(Inputs!$F$27-Inputs!$E$27)))</f>
        <v>85.9050515408505</v>
      </c>
      <c r="R906" s="81" t="n">
        <f aca="true">RAND()</f>
        <v>0.171021386929213</v>
      </c>
      <c r="S906" s="82" t="n">
        <f aca="false">IF(R906&lt;(Inputs!$E$29-Inputs!$D$29)/(Inputs!$F$29-Inputs!$D$29),Inputs!$D$29+SQRT(R906*(Inputs!$F$29-Inputs!$D$29)*(Inputs!$E$29-Inputs!$D$29)),Inputs!$F$29-SQRT((1-R906)*(Inputs!$F$29-Inputs!$D$29)*(Inputs!$F$29-Inputs!$E$29)))</f>
        <v>4.58260219357131</v>
      </c>
      <c r="T906" s="68" t="n">
        <f aca="false">Inputs!$E$9*(1+E906)+Inputs!$E$5*C906*(Inputs!$E$11*Inputs!$E$14*(G906*I906/Inputs!$E$16+(1-G906))*K906+Inputs!$E$23*M906)*(1+O906)+Inputs!$E$5*(Q906+S906)</f>
        <v>5843.71447386217</v>
      </c>
    </row>
    <row r="907" customFormat="false" ht="15" hidden="false" customHeight="false" outlineLevel="0" collapsed="false">
      <c r="A907" s="1" t="n">
        <v>903</v>
      </c>
      <c r="B907" s="81" t="n">
        <f aca="true">RAND()</f>
        <v>0.706046194125703</v>
      </c>
      <c r="C907" s="82" t="n">
        <f aca="false">ROUND(IF(B907&lt;(Inputs!$E$8-Inputs!$D$8)/(Inputs!$F$8-Inputs!$D$8),Inputs!$D$8+SQRT(B907*(Inputs!$F$8-Inputs!$D$8)*(Inputs!$E$8-Inputs!$D$8)),Inputs!$F$8-SQRT((1-B907)*(Inputs!$F$8-Inputs!$D$8)*(Inputs!$F$8-Inputs!$E$8))),0)</f>
        <v>26</v>
      </c>
      <c r="D907" s="81" t="n">
        <f aca="true">RAND()</f>
        <v>0.289142844673344</v>
      </c>
      <c r="E907" s="83" t="n">
        <f aca="false">IF(D907&lt;(Inputs!$E$10-Inputs!$D$10)/(Inputs!$F$10-Inputs!$D$10),Inputs!$D$10+SQRT(D907*(Inputs!$F$10-Inputs!$D$10)*(Inputs!$E$10-Inputs!$D$10)),Inputs!$F$10-SQRT((1-D907)*(Inputs!$F$10-Inputs!$D$10)*(Inputs!$F$10-Inputs!$E$10)))</f>
        <v>0.0539667344068494</v>
      </c>
      <c r="F907" s="81" t="n">
        <f aca="true">RAND()</f>
        <v>0.772352860867047</v>
      </c>
      <c r="G907" s="83" t="n">
        <f aca="false">IF(F907&lt;(Inputs!$E$15-Inputs!$D$15)/(Inputs!$F$15-Inputs!$D$15),Inputs!$D$15+SQRT(F907*(Inputs!$F$15-Inputs!$D$15)*(Inputs!$E$15-Inputs!$D$15)),Inputs!$F$15-SQRT((1-F907)*(Inputs!$F$15-Inputs!$D$15)*(Inputs!$F$15-Inputs!$E$15)))</f>
        <v>0.73252450235338</v>
      </c>
      <c r="H907" s="81" t="n">
        <f aca="true">RAND()</f>
        <v>0.0492726952023349</v>
      </c>
      <c r="I907" s="82" t="n">
        <f aca="false">ROUND(IF(H907&lt;(Inputs!$E$17-Inputs!$D$17)/(Inputs!$F$17-Inputs!$D$17),Inputs!$D$17+SQRT(H907*(Inputs!$F$17-Inputs!$D$17)*(Inputs!$E$17-Inputs!$D$17)),Inputs!$F$17-SQRT((1-H907)*(Inputs!$F$17-Inputs!$D$17)*(Inputs!$F$17-Inputs!$E$17))),0)</f>
        <v>102</v>
      </c>
      <c r="J907" s="81" t="n">
        <f aca="true">RAND()</f>
        <v>0.204460099009832</v>
      </c>
      <c r="K907" s="83" t="n">
        <f aca="false">IF(J907&lt;(Inputs!$E$18-Inputs!$D$18)/(Inputs!$F$18-Inputs!$D$18),Inputs!$D$18+SQRT(J907*(Inputs!$F$18-Inputs!$D$18)*(Inputs!$E$18-Inputs!$D$18)),Inputs!$F$18-SQRT((1-J907)*(Inputs!$F$18-Inputs!$D$18)*(Inputs!$F$18-Inputs!$E$18)))</f>
        <v>0.984593755474882</v>
      </c>
      <c r="L907" s="81" t="n">
        <f aca="true">RAND()</f>
        <v>0.846556997010932</v>
      </c>
      <c r="M907" s="83" t="n">
        <f aca="false">IF(L907&lt;(Inputs!$E$24-Inputs!$D$24)/(Inputs!$F$24-Inputs!$D$24),Inputs!$D$24+SQRT(L907*(Inputs!$F$24-Inputs!$D$24)*(Inputs!$E$24-Inputs!$D$24)),Inputs!$F$24-SQRT((1-L907)*(Inputs!$F$24-Inputs!$D$24)*(Inputs!$F$24-Inputs!$E$24)))</f>
        <v>1.00809814821796</v>
      </c>
      <c r="N907" s="81" t="n">
        <f aca="true">RAND()</f>
        <v>0.8089347976231</v>
      </c>
      <c r="O907" s="83" t="n">
        <f aca="false">IF(N907&lt;(Inputs!$E$26-Inputs!$D$26)/(Inputs!$F$26-Inputs!$D$26),Inputs!$D$26+SQRT(N907*(Inputs!$F$26-Inputs!$D$26)*(Inputs!$E$26-Inputs!$D$26)),Inputs!$F$26-SQRT((1-N907)*(Inputs!$F$26-Inputs!$D$26)*(Inputs!$F$26-Inputs!$E$26)))</f>
        <v>0.679036242079045</v>
      </c>
      <c r="P907" s="81" t="n">
        <f aca="true">RAND()</f>
        <v>0.0903681025801079</v>
      </c>
      <c r="Q907" s="82" t="n">
        <f aca="false">IF(P907&lt;(Inputs!$E$27-Inputs!$D$27)/(Inputs!$F$27-Inputs!$D$27),Inputs!$D$27+SQRT(P907*(Inputs!$F$27-Inputs!$D$27)*(Inputs!$E$27-Inputs!$D$27)),Inputs!$F$27-SQRT((1-P907)*(Inputs!$F$27-Inputs!$D$27)*(Inputs!$F$27-Inputs!$E$27)))</f>
        <v>65.0306439133615</v>
      </c>
      <c r="R907" s="81" t="n">
        <f aca="true">RAND()</f>
        <v>0.405005165888654</v>
      </c>
      <c r="S907" s="82" t="n">
        <f aca="false">IF(R907&lt;(Inputs!$E$29-Inputs!$D$29)/(Inputs!$F$29-Inputs!$D$29),Inputs!$D$29+SQRT(R907*(Inputs!$F$29-Inputs!$D$29)*(Inputs!$E$29-Inputs!$D$29)),Inputs!$F$29-SQRT((1-R907)*(Inputs!$F$29-Inputs!$D$29)*(Inputs!$F$29-Inputs!$E$29)))</f>
        <v>6.20515330238923</v>
      </c>
      <c r="T907" s="68" t="n">
        <f aca="false">Inputs!$E$9*(1+E907)+Inputs!$E$5*C907*(Inputs!$E$11*Inputs!$E$14*(G907*I907/Inputs!$E$16+(1-G907))*K907+Inputs!$E$23*M907)*(1+O907)+Inputs!$E$5*(Q907+S907)</f>
        <v>6466.17498761962</v>
      </c>
    </row>
    <row r="908" customFormat="false" ht="15" hidden="false" customHeight="false" outlineLevel="0" collapsed="false">
      <c r="A908" s="1" t="n">
        <v>904</v>
      </c>
      <c r="B908" s="81" t="n">
        <f aca="true">RAND()</f>
        <v>0.759566112654961</v>
      </c>
      <c r="C908" s="82" t="n">
        <f aca="false">ROUND(IF(B908&lt;(Inputs!$E$8-Inputs!$D$8)/(Inputs!$F$8-Inputs!$D$8),Inputs!$D$8+SQRT(B908*(Inputs!$F$8-Inputs!$D$8)*(Inputs!$E$8-Inputs!$D$8)),Inputs!$F$8-SQRT((1-B908)*(Inputs!$F$8-Inputs!$D$8)*(Inputs!$F$8-Inputs!$E$8))),0)</f>
        <v>27</v>
      </c>
      <c r="D908" s="81" t="n">
        <f aca="true">RAND()</f>
        <v>0.951548203287885</v>
      </c>
      <c r="E908" s="83" t="n">
        <f aca="false">IF(D908&lt;(Inputs!$E$10-Inputs!$D$10)/(Inputs!$F$10-Inputs!$D$10),Inputs!$D$10+SQRT(D908*(Inputs!$F$10-Inputs!$D$10)*(Inputs!$E$10-Inputs!$D$10)),Inputs!$F$10-SQRT((1-D908)*(Inputs!$F$10-Inputs!$D$10)*(Inputs!$F$10-Inputs!$E$10)))</f>
        <v>0.16187449801821</v>
      </c>
      <c r="F908" s="81" t="n">
        <f aca="true">RAND()</f>
        <v>0.429306120831664</v>
      </c>
      <c r="G908" s="83" t="n">
        <f aca="false">IF(F908&lt;(Inputs!$E$15-Inputs!$D$15)/(Inputs!$F$15-Inputs!$D$15),Inputs!$D$15+SQRT(F908*(Inputs!$F$15-Inputs!$D$15)*(Inputs!$E$15-Inputs!$D$15)),Inputs!$F$15-SQRT((1-F908)*(Inputs!$F$15-Inputs!$D$15)*(Inputs!$F$15-Inputs!$E$15)))</f>
        <v>0.692661331830669</v>
      </c>
      <c r="H908" s="81" t="n">
        <f aca="true">RAND()</f>
        <v>0.871308979981735</v>
      </c>
      <c r="I908" s="82" t="n">
        <f aca="false">ROUND(IF(H908&lt;(Inputs!$E$17-Inputs!$D$17)/(Inputs!$F$17-Inputs!$D$17),Inputs!$D$17+SQRT(H908*(Inputs!$F$17-Inputs!$D$17)*(Inputs!$E$17-Inputs!$D$17)),Inputs!$F$17-SQRT((1-H908)*(Inputs!$F$17-Inputs!$D$17)*(Inputs!$F$17-Inputs!$E$17))),0)</f>
        <v>111</v>
      </c>
      <c r="J908" s="81" t="n">
        <f aca="true">RAND()</f>
        <v>0.78459418053164</v>
      </c>
      <c r="K908" s="83" t="n">
        <f aca="false">IF(J908&lt;(Inputs!$E$18-Inputs!$D$18)/(Inputs!$F$18-Inputs!$D$18),Inputs!$D$18+SQRT(J908*(Inputs!$F$18-Inputs!$D$18)*(Inputs!$E$18-Inputs!$D$18)),Inputs!$F$18-SQRT((1-J908)*(Inputs!$F$18-Inputs!$D$18)*(Inputs!$F$18-Inputs!$E$18)))</f>
        <v>1.11271194806728</v>
      </c>
      <c r="L908" s="81" t="n">
        <f aca="true">RAND()</f>
        <v>0.480589299505794</v>
      </c>
      <c r="M908" s="83" t="n">
        <f aca="false">IF(L908&lt;(Inputs!$E$24-Inputs!$D$24)/(Inputs!$F$24-Inputs!$D$24),Inputs!$D$24+SQRT(L908*(Inputs!$F$24-Inputs!$D$24)*(Inputs!$E$24-Inputs!$D$24)),Inputs!$F$24-SQRT((1-L908)*(Inputs!$F$24-Inputs!$D$24)*(Inputs!$F$24-Inputs!$E$24)))</f>
        <v>0.846929797181057</v>
      </c>
      <c r="N908" s="81" t="n">
        <f aca="true">RAND()</f>
        <v>0.760283917373004</v>
      </c>
      <c r="O908" s="83" t="n">
        <f aca="false">IF(N908&lt;(Inputs!$E$26-Inputs!$D$26)/(Inputs!$F$26-Inputs!$D$26),Inputs!$D$26+SQRT(N908*(Inputs!$F$26-Inputs!$D$26)*(Inputs!$E$26-Inputs!$D$26)),Inputs!$F$26-SQRT((1-N908)*(Inputs!$F$26-Inputs!$D$26)*(Inputs!$F$26-Inputs!$E$26)))</f>
        <v>0.662106135036197</v>
      </c>
      <c r="P908" s="81" t="n">
        <f aca="true">RAND()</f>
        <v>0.045541298356312</v>
      </c>
      <c r="Q908" s="82" t="n">
        <f aca="false">IF(P908&lt;(Inputs!$E$27-Inputs!$D$27)/(Inputs!$F$27-Inputs!$D$27),Inputs!$D$27+SQRT(P908*(Inputs!$F$27-Inputs!$D$27)*(Inputs!$E$27-Inputs!$D$27)),Inputs!$F$27-SQRT((1-P908)*(Inputs!$F$27-Inputs!$D$27)*(Inputs!$F$27-Inputs!$E$27)))</f>
        <v>60.6702036480463</v>
      </c>
      <c r="R908" s="81" t="n">
        <f aca="true">RAND()</f>
        <v>0.626956160708685</v>
      </c>
      <c r="S908" s="82" t="n">
        <f aca="false">IF(R908&lt;(Inputs!$E$29-Inputs!$D$29)/(Inputs!$F$29-Inputs!$D$29),Inputs!$D$29+SQRT(R908*(Inputs!$F$29-Inputs!$D$29)*(Inputs!$E$29-Inputs!$D$29)),Inputs!$F$29-SQRT((1-R908)*(Inputs!$F$29-Inputs!$D$29)*(Inputs!$F$29-Inputs!$E$29)))</f>
        <v>8.03611465431323</v>
      </c>
      <c r="T908" s="68" t="n">
        <f aca="false">Inputs!$E$9*(1+E908)+Inputs!$E$5*C908*(Inputs!$E$11*Inputs!$E$14*(G908*I908/Inputs!$E$16+(1-G908))*K908+Inputs!$E$23*M908)*(1+O908)+Inputs!$E$5*(Q908+S908)</f>
        <v>7034.81573289547</v>
      </c>
    </row>
    <row r="909" customFormat="false" ht="15" hidden="false" customHeight="false" outlineLevel="0" collapsed="false">
      <c r="A909" s="1" t="n">
        <v>905</v>
      </c>
      <c r="B909" s="81" t="n">
        <f aca="true">RAND()</f>
        <v>0.751724532917557</v>
      </c>
      <c r="C909" s="82" t="n">
        <f aca="false">ROUND(IF(B909&lt;(Inputs!$E$8-Inputs!$D$8)/(Inputs!$F$8-Inputs!$D$8),Inputs!$D$8+SQRT(B909*(Inputs!$F$8-Inputs!$D$8)*(Inputs!$E$8-Inputs!$D$8)),Inputs!$F$8-SQRT((1-B909)*(Inputs!$F$8-Inputs!$D$8)*(Inputs!$F$8-Inputs!$E$8))),0)</f>
        <v>26</v>
      </c>
      <c r="D909" s="81" t="n">
        <f aca="true">RAND()</f>
        <v>0.610943169346538</v>
      </c>
      <c r="E909" s="83" t="n">
        <f aca="false">IF(D909&lt;(Inputs!$E$10-Inputs!$D$10)/(Inputs!$F$10-Inputs!$D$10),Inputs!$D$10+SQRT(D909*(Inputs!$F$10-Inputs!$D$10)*(Inputs!$E$10-Inputs!$D$10)),Inputs!$F$10-SQRT((1-D909)*(Inputs!$F$10-Inputs!$D$10)*(Inputs!$F$10-Inputs!$E$10)))</f>
        <v>0.0919643349647726</v>
      </c>
      <c r="F909" s="81" t="n">
        <f aca="true">RAND()</f>
        <v>0.969296208497672</v>
      </c>
      <c r="G909" s="83" t="n">
        <f aca="false">IF(F909&lt;(Inputs!$E$15-Inputs!$D$15)/(Inputs!$F$15-Inputs!$D$15),Inputs!$D$15+SQRT(F909*(Inputs!$F$15-Inputs!$D$15)*(Inputs!$E$15-Inputs!$D$15)),Inputs!$F$15-SQRT((1-F909)*(Inputs!$F$15-Inputs!$D$15)*(Inputs!$F$15-Inputs!$E$15)))</f>
        <v>0.775219446534701</v>
      </c>
      <c r="H909" s="81" t="n">
        <f aca="true">RAND()</f>
        <v>0.568733643607108</v>
      </c>
      <c r="I909" s="82" t="n">
        <f aca="false">ROUND(IF(H909&lt;(Inputs!$E$17-Inputs!$D$17)/(Inputs!$F$17-Inputs!$D$17),Inputs!$D$17+SQRT(H909*(Inputs!$F$17-Inputs!$D$17)*(Inputs!$E$17-Inputs!$D$17)),Inputs!$F$17-SQRT((1-H909)*(Inputs!$F$17-Inputs!$D$17)*(Inputs!$F$17-Inputs!$E$17))),0)</f>
        <v>107</v>
      </c>
      <c r="J909" s="81" t="n">
        <f aca="true">RAND()</f>
        <v>0.794578035405574</v>
      </c>
      <c r="K909" s="83" t="n">
        <f aca="false">IF(J909&lt;(Inputs!$E$18-Inputs!$D$18)/(Inputs!$F$18-Inputs!$D$18),Inputs!$D$18+SQRT(J909*(Inputs!$F$18-Inputs!$D$18)*(Inputs!$E$18-Inputs!$D$18)),Inputs!$F$18-SQRT((1-J909)*(Inputs!$F$18-Inputs!$D$18)*(Inputs!$F$18-Inputs!$E$18)))</f>
        <v>1.11593127918111</v>
      </c>
      <c r="L909" s="81" t="n">
        <f aca="true">RAND()</f>
        <v>0.115045181677553</v>
      </c>
      <c r="M909" s="83" t="n">
        <f aca="false">IF(L909&lt;(Inputs!$E$24-Inputs!$D$24)/(Inputs!$F$24-Inputs!$D$24),Inputs!$D$24+SQRT(L909*(Inputs!$F$24-Inputs!$D$24)*(Inputs!$E$24-Inputs!$D$24)),Inputs!$F$24-SQRT((1-L909)*(Inputs!$F$24-Inputs!$D$24)*(Inputs!$F$24-Inputs!$E$24)))</f>
        <v>0.717496475697386</v>
      </c>
      <c r="N909" s="81" t="n">
        <f aca="true">RAND()</f>
        <v>0.411109749605369</v>
      </c>
      <c r="O909" s="83" t="n">
        <f aca="false">IF(N909&lt;(Inputs!$E$26-Inputs!$D$26)/(Inputs!$F$26-Inputs!$D$26),Inputs!$D$26+SQRT(N909*(Inputs!$F$26-Inputs!$D$26)*(Inputs!$E$26-Inputs!$D$26)),Inputs!$F$26-SQRT((1-N909)*(Inputs!$F$26-Inputs!$D$26)*(Inputs!$F$26-Inputs!$E$26)))</f>
        <v>0.561550496719722</v>
      </c>
      <c r="P909" s="81" t="n">
        <f aca="true">RAND()</f>
        <v>0.716227806509041</v>
      </c>
      <c r="Q909" s="82" t="n">
        <f aca="false">IF(P909&lt;(Inputs!$E$27-Inputs!$D$27)/(Inputs!$F$27-Inputs!$D$27),Inputs!$D$27+SQRT(P909*(Inputs!$F$27-Inputs!$D$27)*(Inputs!$E$27-Inputs!$D$27)),Inputs!$F$27-SQRT((1-P909)*(Inputs!$F$27-Inputs!$D$27)*(Inputs!$F$27-Inputs!$E$27)))</f>
        <v>103.866590726652</v>
      </c>
      <c r="R909" s="81" t="n">
        <f aca="true">RAND()</f>
        <v>0.722595258091168</v>
      </c>
      <c r="S909" s="82" t="n">
        <f aca="false">IF(R909&lt;(Inputs!$E$29-Inputs!$D$29)/(Inputs!$F$29-Inputs!$D$29),Inputs!$D$29+SQRT(R909*(Inputs!$F$29-Inputs!$D$29)*(Inputs!$E$29-Inputs!$D$29)),Inputs!$F$29-SQRT((1-R909)*(Inputs!$F$29-Inputs!$D$29)*(Inputs!$F$29-Inputs!$E$29)))</f>
        <v>8.99478422967599</v>
      </c>
      <c r="T909" s="68" t="n">
        <f aca="false">Inputs!$E$9*(1+E909)+Inputs!$E$5*C909*(Inputs!$E$11*Inputs!$E$14*(G909*I909/Inputs!$E$16+(1-G909))*K909+Inputs!$E$23*M909)*(1+O909)+Inputs!$E$5*(Q909+S909)</f>
        <v>6353.94496412366</v>
      </c>
    </row>
    <row r="910" customFormat="false" ht="15" hidden="false" customHeight="false" outlineLevel="0" collapsed="false">
      <c r="A910" s="1" t="n">
        <v>906</v>
      </c>
      <c r="B910" s="81" t="n">
        <f aca="true">RAND()</f>
        <v>0.0800243711756181</v>
      </c>
      <c r="C910" s="82" t="n">
        <f aca="false">ROUND(IF(B910&lt;(Inputs!$E$8-Inputs!$D$8)/(Inputs!$F$8-Inputs!$D$8),Inputs!$D$8+SQRT(B910*(Inputs!$F$8-Inputs!$D$8)*(Inputs!$E$8-Inputs!$D$8)),Inputs!$F$8-SQRT((1-B910)*(Inputs!$F$8-Inputs!$D$8)*(Inputs!$F$8-Inputs!$E$8))),0)</f>
        <v>22</v>
      </c>
      <c r="D910" s="81" t="n">
        <f aca="true">RAND()</f>
        <v>0.823748846666957</v>
      </c>
      <c r="E910" s="83" t="n">
        <f aca="false">IF(D910&lt;(Inputs!$E$10-Inputs!$D$10)/(Inputs!$F$10-Inputs!$D$10),Inputs!$D$10+SQRT(D910*(Inputs!$F$10-Inputs!$D$10)*(Inputs!$E$10-Inputs!$D$10)),Inputs!$F$10-SQRT((1-D910)*(Inputs!$F$10-Inputs!$D$10)*(Inputs!$F$10-Inputs!$E$10)))</f>
        <v>0.127284564224703</v>
      </c>
      <c r="F910" s="81" t="n">
        <f aca="true">RAND()</f>
        <v>0.105330211908033</v>
      </c>
      <c r="G910" s="83" t="n">
        <f aca="false">IF(F910&lt;(Inputs!$E$15-Inputs!$D$15)/(Inputs!$F$15-Inputs!$D$15),Inputs!$D$15+SQRT(F910*(Inputs!$F$15-Inputs!$D$15)*(Inputs!$E$15-Inputs!$D$15)),Inputs!$F$15-SQRT((1-F910)*(Inputs!$F$15-Inputs!$D$15)*(Inputs!$F$15-Inputs!$E$15)))</f>
        <v>0.645897758530898</v>
      </c>
      <c r="H910" s="81" t="n">
        <f aca="true">RAND()</f>
        <v>0.571493390436477</v>
      </c>
      <c r="I910" s="82" t="n">
        <f aca="false">ROUND(IF(H910&lt;(Inputs!$E$17-Inputs!$D$17)/(Inputs!$F$17-Inputs!$D$17),Inputs!$D$17+SQRT(H910*(Inputs!$F$17-Inputs!$D$17)*(Inputs!$E$17-Inputs!$D$17)),Inputs!$F$17-SQRT((1-H910)*(Inputs!$F$17-Inputs!$D$17)*(Inputs!$F$17-Inputs!$E$17))),0)</f>
        <v>107</v>
      </c>
      <c r="J910" s="81" t="n">
        <f aca="true">RAND()</f>
        <v>0.763140306525139</v>
      </c>
      <c r="K910" s="83" t="n">
        <f aca="false">IF(J910&lt;(Inputs!$E$18-Inputs!$D$18)/(Inputs!$F$18-Inputs!$D$18),Inputs!$D$18+SQRT(J910*(Inputs!$F$18-Inputs!$D$18)*(Inputs!$E$18-Inputs!$D$18)),Inputs!$F$18-SQRT((1-J910)*(Inputs!$F$18-Inputs!$D$18)*(Inputs!$F$18-Inputs!$E$18)))</f>
        <v>1.10603742438033</v>
      </c>
      <c r="L910" s="81" t="n">
        <f aca="true">RAND()</f>
        <v>0.0375017680429551</v>
      </c>
      <c r="M910" s="83" t="n">
        <f aca="false">IF(L910&lt;(Inputs!$E$24-Inputs!$D$24)/(Inputs!$F$24-Inputs!$D$24),Inputs!$D$24+SQRT(L910*(Inputs!$F$24-Inputs!$D$24)*(Inputs!$E$24-Inputs!$D$24)),Inputs!$F$24-SQRT((1-L910)*(Inputs!$F$24-Inputs!$D$24)*(Inputs!$F$24-Inputs!$E$24)))</f>
        <v>0.667083620692048</v>
      </c>
      <c r="N910" s="81" t="n">
        <f aca="true">RAND()</f>
        <v>0.552534110353354</v>
      </c>
      <c r="O910" s="83" t="n">
        <f aca="false">IF(N910&lt;(Inputs!$E$26-Inputs!$D$26)/(Inputs!$F$26-Inputs!$D$26),Inputs!$D$26+SQRT(N910*(Inputs!$F$26-Inputs!$D$26)*(Inputs!$E$26-Inputs!$D$26)),Inputs!$F$26-SQRT((1-N910)*(Inputs!$F$26-Inputs!$D$26)*(Inputs!$F$26-Inputs!$E$26)))</f>
        <v>0.603218858191238</v>
      </c>
      <c r="P910" s="81" t="n">
        <f aca="true">RAND()</f>
        <v>0.311767506476161</v>
      </c>
      <c r="Q910" s="82" t="n">
        <f aca="false">IF(P910&lt;(Inputs!$E$27-Inputs!$D$27)/(Inputs!$F$27-Inputs!$D$27),Inputs!$D$27+SQRT(P910*(Inputs!$F$27-Inputs!$D$27)*(Inputs!$E$27-Inputs!$D$27)),Inputs!$F$27-SQRT((1-P910)*(Inputs!$F$27-Inputs!$D$27)*(Inputs!$F$27-Inputs!$E$27)))</f>
        <v>78.154723875339</v>
      </c>
      <c r="R910" s="81" t="n">
        <f aca="true">RAND()</f>
        <v>0.844744883178689</v>
      </c>
      <c r="S910" s="82" t="n">
        <f aca="false">IF(R910&lt;(Inputs!$E$29-Inputs!$D$29)/(Inputs!$F$29-Inputs!$D$29),Inputs!$D$29+SQRT(R910*(Inputs!$F$29-Inputs!$D$29)*(Inputs!$E$29-Inputs!$D$29)),Inputs!$F$29-SQRT((1-R910)*(Inputs!$F$29-Inputs!$D$29)*(Inputs!$F$29-Inputs!$E$29)))</f>
        <v>10.5074322279157</v>
      </c>
      <c r="T910" s="68" t="n">
        <f aca="false">Inputs!$E$9*(1+E910)+Inputs!$E$5*C910*(Inputs!$E$11*Inputs!$E$14*(G910*I910/Inputs!$E$16+(1-G910))*K910+Inputs!$E$23*M910)*(1+O910)+Inputs!$E$5*(Q910+S910)</f>
        <v>5948.33638539859</v>
      </c>
    </row>
    <row r="911" customFormat="false" ht="15" hidden="false" customHeight="false" outlineLevel="0" collapsed="false">
      <c r="A911" s="1" t="n">
        <v>907</v>
      </c>
      <c r="B911" s="81" t="n">
        <f aca="true">RAND()</f>
        <v>0.126637886812023</v>
      </c>
      <c r="C911" s="82" t="n">
        <f aca="false">ROUND(IF(B911&lt;(Inputs!$E$8-Inputs!$D$8)/(Inputs!$F$8-Inputs!$D$8),Inputs!$D$8+SQRT(B911*(Inputs!$F$8-Inputs!$D$8)*(Inputs!$E$8-Inputs!$D$8)),Inputs!$F$8-SQRT((1-B911)*(Inputs!$F$8-Inputs!$D$8)*(Inputs!$F$8-Inputs!$E$8))),0)</f>
        <v>23</v>
      </c>
      <c r="D911" s="81" t="n">
        <f aca="true">RAND()</f>
        <v>0.932659714924313</v>
      </c>
      <c r="E911" s="83" t="n">
        <f aca="false">IF(D911&lt;(Inputs!$E$10-Inputs!$D$10)/(Inputs!$F$10-Inputs!$D$10),Inputs!$D$10+SQRT(D911*(Inputs!$F$10-Inputs!$D$10)*(Inputs!$E$10-Inputs!$D$10)),Inputs!$F$10-SQRT((1-D911)*(Inputs!$F$10-Inputs!$D$10)*(Inputs!$F$10-Inputs!$E$10)))</f>
        <v>0.155053269837834</v>
      </c>
      <c r="F911" s="81" t="n">
        <f aca="true">RAND()</f>
        <v>0.378176692526139</v>
      </c>
      <c r="G911" s="83" t="n">
        <f aca="false">IF(F911&lt;(Inputs!$E$15-Inputs!$D$15)/(Inputs!$F$15-Inputs!$D$15),Inputs!$D$15+SQRT(F911*(Inputs!$F$15-Inputs!$D$15)*(Inputs!$E$15-Inputs!$D$15)),Inputs!$F$15-SQRT((1-F911)*(Inputs!$F$15-Inputs!$D$15)*(Inputs!$F$15-Inputs!$E$15)))</f>
        <v>0.686968579674057</v>
      </c>
      <c r="H911" s="81" t="n">
        <f aca="true">RAND()</f>
        <v>0.276667598543931</v>
      </c>
      <c r="I911" s="82" t="n">
        <f aca="false">ROUND(IF(H911&lt;(Inputs!$E$17-Inputs!$D$17)/(Inputs!$F$17-Inputs!$D$17),Inputs!$D$17+SQRT(H911*(Inputs!$F$17-Inputs!$D$17)*(Inputs!$E$17-Inputs!$D$17)),Inputs!$F$17-SQRT((1-H911)*(Inputs!$F$17-Inputs!$D$17)*(Inputs!$F$17-Inputs!$E$17))),0)</f>
        <v>105</v>
      </c>
      <c r="J911" s="81" t="n">
        <f aca="true">RAND()</f>
        <v>0.112367726830079</v>
      </c>
      <c r="K911" s="83" t="n">
        <f aca="false">IF(J911&lt;(Inputs!$E$18-Inputs!$D$18)/(Inputs!$F$18-Inputs!$D$18),Inputs!$D$18+SQRT(J911*(Inputs!$F$18-Inputs!$D$18)*(Inputs!$E$18-Inputs!$D$18)),Inputs!$F$18-SQRT((1-J911)*(Inputs!$F$18-Inputs!$D$18)*(Inputs!$F$18-Inputs!$E$18)))</f>
        <v>0.962712601915825</v>
      </c>
      <c r="L911" s="81" t="n">
        <f aca="true">RAND()</f>
        <v>0.567406888174213</v>
      </c>
      <c r="M911" s="83" t="n">
        <f aca="false">IF(L911&lt;(Inputs!$E$24-Inputs!$D$24)/(Inputs!$F$24-Inputs!$D$24),Inputs!$D$24+SQRT(L911*(Inputs!$F$24-Inputs!$D$24)*(Inputs!$E$24-Inputs!$D$24)),Inputs!$F$24-SQRT((1-L911)*(Inputs!$F$24-Inputs!$D$24)*(Inputs!$F$24-Inputs!$E$24)))</f>
        <v>0.877785247330001</v>
      </c>
      <c r="N911" s="81" t="n">
        <f aca="true">RAND()</f>
        <v>0.339904778683551</v>
      </c>
      <c r="O911" s="83" t="n">
        <f aca="false">IF(N911&lt;(Inputs!$E$26-Inputs!$D$26)/(Inputs!$F$26-Inputs!$D$26),Inputs!$D$26+SQRT(N911*(Inputs!$F$26-Inputs!$D$26)*(Inputs!$E$26-Inputs!$D$26)),Inputs!$F$26-SQRT((1-N911)*(Inputs!$F$26-Inputs!$D$26)*(Inputs!$F$26-Inputs!$E$26)))</f>
        <v>0.537823790174454</v>
      </c>
      <c r="P911" s="81" t="n">
        <f aca="true">RAND()</f>
        <v>0.0168186880560034</v>
      </c>
      <c r="Q911" s="82" t="n">
        <f aca="false">IF(P911&lt;(Inputs!$E$27-Inputs!$D$27)/(Inputs!$F$27-Inputs!$D$27),Inputs!$D$27+SQRT(P911*(Inputs!$F$27-Inputs!$D$27)*(Inputs!$E$27-Inputs!$D$27)),Inputs!$F$27-SQRT((1-P911)*(Inputs!$F$27-Inputs!$D$27)*(Inputs!$F$27-Inputs!$E$27)))</f>
        <v>56.4843442336144</v>
      </c>
      <c r="R911" s="81" t="n">
        <f aca="true">RAND()</f>
        <v>0.146896278376876</v>
      </c>
      <c r="S911" s="82" t="n">
        <f aca="false">IF(R911&lt;(Inputs!$E$29-Inputs!$D$29)/(Inputs!$F$29-Inputs!$D$29),Inputs!$D$29+SQRT(R911*(Inputs!$F$29-Inputs!$D$29)*(Inputs!$E$29-Inputs!$D$29)),Inputs!$F$29-SQRT((1-R911)*(Inputs!$F$29-Inputs!$D$29)*(Inputs!$F$29-Inputs!$E$29)))</f>
        <v>4.3935235233225</v>
      </c>
      <c r="T911" s="68" t="n">
        <f aca="false">Inputs!$E$9*(1+E911)+Inputs!$E$5*C911*(Inputs!$E$11*Inputs!$E$14*(G911*I911/Inputs!$E$16+(1-G911))*K911+Inputs!$E$23*M911)*(1+O911)+Inputs!$E$5*(Q911+S911)</f>
        <v>5795.72719767893</v>
      </c>
    </row>
    <row r="912" customFormat="false" ht="15" hidden="false" customHeight="false" outlineLevel="0" collapsed="false">
      <c r="A912" s="1" t="n">
        <v>908</v>
      </c>
      <c r="B912" s="81" t="n">
        <f aca="true">RAND()</f>
        <v>0.114155296566817</v>
      </c>
      <c r="C912" s="82" t="n">
        <f aca="false">ROUND(IF(B912&lt;(Inputs!$E$8-Inputs!$D$8)/(Inputs!$F$8-Inputs!$D$8),Inputs!$D$8+SQRT(B912*(Inputs!$F$8-Inputs!$D$8)*(Inputs!$E$8-Inputs!$D$8)),Inputs!$F$8-SQRT((1-B912)*(Inputs!$F$8-Inputs!$D$8)*(Inputs!$F$8-Inputs!$E$8))),0)</f>
        <v>22</v>
      </c>
      <c r="D912" s="81" t="n">
        <f aca="true">RAND()</f>
        <v>0.785499996168938</v>
      </c>
      <c r="E912" s="83" t="n">
        <f aca="false">IF(D912&lt;(Inputs!$E$10-Inputs!$D$10)/(Inputs!$F$10-Inputs!$D$10),Inputs!$D$10+SQRT(D912*(Inputs!$F$10-Inputs!$D$10)*(Inputs!$E$10-Inputs!$D$10)),Inputs!$F$10-SQRT((1-D912)*(Inputs!$F$10-Inputs!$D$10)*(Inputs!$F$10-Inputs!$E$10)))</f>
        <v>0.119781547540906</v>
      </c>
      <c r="F912" s="81" t="n">
        <f aca="true">RAND()</f>
        <v>0.756028216192996</v>
      </c>
      <c r="G912" s="83" t="n">
        <f aca="false">IF(F912&lt;(Inputs!$E$15-Inputs!$D$15)/(Inputs!$F$15-Inputs!$D$15),Inputs!$D$15+SQRT(F912*(Inputs!$F$15-Inputs!$D$15)*(Inputs!$E$15-Inputs!$D$15)),Inputs!$F$15-SQRT((1-F912)*(Inputs!$F$15-Inputs!$D$15)*(Inputs!$F$15-Inputs!$E$15)))</f>
        <v>0.730147042466764</v>
      </c>
      <c r="H912" s="81" t="n">
        <f aca="true">RAND()</f>
        <v>0.983249859730905</v>
      </c>
      <c r="I912" s="82" t="n">
        <f aca="false">ROUND(IF(H912&lt;(Inputs!$E$17-Inputs!$D$17)/(Inputs!$F$17-Inputs!$D$17),Inputs!$D$17+SQRT(H912*(Inputs!$F$17-Inputs!$D$17)*(Inputs!$E$17-Inputs!$D$17)),Inputs!$F$17-SQRT((1-H912)*(Inputs!$F$17-Inputs!$D$17)*(Inputs!$F$17-Inputs!$E$17))),0)</f>
        <v>113</v>
      </c>
      <c r="J912" s="81" t="n">
        <f aca="true">RAND()</f>
        <v>0.207548409282225</v>
      </c>
      <c r="K912" s="83" t="n">
        <f aca="false">IF(J912&lt;(Inputs!$E$18-Inputs!$D$18)/(Inputs!$F$18-Inputs!$D$18),Inputs!$D$18+SQRT(J912*(Inputs!$F$18-Inputs!$D$18)*(Inputs!$E$18-Inputs!$D$18)),Inputs!$F$18-SQRT((1-J912)*(Inputs!$F$18-Inputs!$D$18)*(Inputs!$F$18-Inputs!$E$18)))</f>
        <v>0.985230243017827</v>
      </c>
      <c r="L912" s="81" t="n">
        <f aca="true">RAND()</f>
        <v>0.594097843432113</v>
      </c>
      <c r="M912" s="83" t="n">
        <f aca="false">IF(L912&lt;(Inputs!$E$24-Inputs!$D$24)/(Inputs!$F$24-Inputs!$D$24),Inputs!$D$24+SQRT(L912*(Inputs!$F$24-Inputs!$D$24)*(Inputs!$E$24-Inputs!$D$24)),Inputs!$F$24-SQRT((1-L912)*(Inputs!$F$24-Inputs!$D$24)*(Inputs!$F$24-Inputs!$E$24)))</f>
        <v>0.887883807571134</v>
      </c>
      <c r="N912" s="81" t="n">
        <f aca="true">RAND()</f>
        <v>0.907193151112578</v>
      </c>
      <c r="O912" s="83" t="n">
        <f aca="false">IF(N912&lt;(Inputs!$E$26-Inputs!$D$26)/(Inputs!$F$26-Inputs!$D$26),Inputs!$D$26+SQRT(N912*(Inputs!$F$26-Inputs!$D$26)*(Inputs!$E$26-Inputs!$D$26)),Inputs!$F$26-SQRT((1-N912)*(Inputs!$F$26-Inputs!$D$26)*(Inputs!$F$26-Inputs!$E$26)))</f>
        <v>0.721755853689434</v>
      </c>
      <c r="P912" s="81" t="n">
        <f aca="true">RAND()</f>
        <v>0.540957474927282</v>
      </c>
      <c r="Q912" s="82" t="n">
        <f aca="false">IF(P912&lt;(Inputs!$E$27-Inputs!$D$27)/(Inputs!$F$27-Inputs!$D$27),Inputs!$D$27+SQRT(P912*(Inputs!$F$27-Inputs!$D$27)*(Inputs!$E$27-Inputs!$D$27)),Inputs!$F$27-SQRT((1-P912)*(Inputs!$F$27-Inputs!$D$27)*(Inputs!$F$27-Inputs!$E$27)))</f>
        <v>91.3244604792987</v>
      </c>
      <c r="R912" s="81" t="n">
        <f aca="true">RAND()</f>
        <v>0.0306256278333295</v>
      </c>
      <c r="S912" s="82" t="n">
        <f aca="false">IF(R912&lt;(Inputs!$E$29-Inputs!$D$29)/(Inputs!$F$29-Inputs!$D$29),Inputs!$D$29+SQRT(R912*(Inputs!$F$29-Inputs!$D$29)*(Inputs!$E$29-Inputs!$D$29)),Inputs!$F$29-SQRT((1-R912)*(Inputs!$F$29-Inputs!$D$29)*(Inputs!$F$29-Inputs!$E$29)))</f>
        <v>3.09288585199912</v>
      </c>
      <c r="T912" s="68" t="n">
        <f aca="false">Inputs!$E$9*(1+E912)+Inputs!$E$5*C912*(Inputs!$E$11*Inputs!$E$14*(G912*I912/Inputs!$E$16+(1-G912))*K912+Inputs!$E$23*M912)*(1+O912)+Inputs!$E$5*(Q912+S912)</f>
        <v>6191.96897834134</v>
      </c>
    </row>
    <row r="913" customFormat="false" ht="15" hidden="false" customHeight="false" outlineLevel="0" collapsed="false">
      <c r="A913" s="1" t="n">
        <v>909</v>
      </c>
      <c r="B913" s="81" t="n">
        <f aca="true">RAND()</f>
        <v>0.240060109312833</v>
      </c>
      <c r="C913" s="82" t="n">
        <f aca="false">ROUND(IF(B913&lt;(Inputs!$E$8-Inputs!$D$8)/(Inputs!$F$8-Inputs!$D$8),Inputs!$D$8+SQRT(B913*(Inputs!$F$8-Inputs!$D$8)*(Inputs!$E$8-Inputs!$D$8)),Inputs!$F$8-SQRT((1-B913)*(Inputs!$F$8-Inputs!$D$8)*(Inputs!$F$8-Inputs!$E$8))),0)</f>
        <v>23</v>
      </c>
      <c r="D913" s="81" t="n">
        <f aca="true">RAND()</f>
        <v>0.144802326156227</v>
      </c>
      <c r="E913" s="83" t="n">
        <f aca="false">IF(D913&lt;(Inputs!$E$10-Inputs!$D$10)/(Inputs!$F$10-Inputs!$D$10),Inputs!$D$10+SQRT(D913*(Inputs!$F$10-Inputs!$D$10)*(Inputs!$E$10-Inputs!$D$10)),Inputs!$F$10-SQRT((1-D913)*(Inputs!$F$10-Inputs!$D$10)*(Inputs!$F$10-Inputs!$E$10)))</f>
        <v>0.0380529008297958</v>
      </c>
      <c r="F913" s="81" t="n">
        <f aca="true">RAND()</f>
        <v>0.975053213595291</v>
      </c>
      <c r="G913" s="83" t="n">
        <f aca="false">IF(F913&lt;(Inputs!$E$15-Inputs!$D$15)/(Inputs!$F$15-Inputs!$D$15),Inputs!$D$15+SQRT(F913*(Inputs!$F$15-Inputs!$D$15)*(Inputs!$E$15-Inputs!$D$15)),Inputs!$F$15-SQRT((1-F913)*(Inputs!$F$15-Inputs!$D$15)*(Inputs!$F$15-Inputs!$E$15)))</f>
        <v>0.777663130745465</v>
      </c>
      <c r="H913" s="81" t="n">
        <f aca="true">RAND()</f>
        <v>0.0873920496672381</v>
      </c>
      <c r="I913" s="82" t="n">
        <f aca="false">ROUND(IF(H913&lt;(Inputs!$E$17-Inputs!$D$17)/(Inputs!$F$17-Inputs!$D$17),Inputs!$D$17+SQRT(H913*(Inputs!$F$17-Inputs!$D$17)*(Inputs!$E$17-Inputs!$D$17)),Inputs!$F$17-SQRT((1-H913)*(Inputs!$F$17-Inputs!$D$17)*(Inputs!$F$17-Inputs!$E$17))),0)</f>
        <v>103</v>
      </c>
      <c r="J913" s="81" t="n">
        <f aca="true">RAND()</f>
        <v>0.805962629543105</v>
      </c>
      <c r="K913" s="83" t="n">
        <f aca="false">IF(J913&lt;(Inputs!$E$18-Inputs!$D$18)/(Inputs!$F$18-Inputs!$D$18),Inputs!$D$18+SQRT(J913*(Inputs!$F$18-Inputs!$D$18)*(Inputs!$E$18-Inputs!$D$18)),Inputs!$F$18-SQRT((1-J913)*(Inputs!$F$18-Inputs!$D$18)*(Inputs!$F$18-Inputs!$E$18)))</f>
        <v>1.11969930961435</v>
      </c>
      <c r="L913" s="81" t="n">
        <f aca="true">RAND()</f>
        <v>0.436944213249316</v>
      </c>
      <c r="M913" s="83" t="n">
        <f aca="false">IF(L913&lt;(Inputs!$E$24-Inputs!$D$24)/(Inputs!$F$24-Inputs!$D$24),Inputs!$D$24+SQRT(L913*(Inputs!$F$24-Inputs!$D$24)*(Inputs!$E$24-Inputs!$D$24)),Inputs!$F$24-SQRT((1-L913)*(Inputs!$F$24-Inputs!$D$24)*(Inputs!$F$24-Inputs!$E$24)))</f>
        <v>0.832395064205927</v>
      </c>
      <c r="N913" s="81" t="n">
        <f aca="true">RAND()</f>
        <v>0.53667539943852</v>
      </c>
      <c r="O913" s="83" t="n">
        <f aca="false">IF(N913&lt;(Inputs!$E$26-Inputs!$D$26)/(Inputs!$F$26-Inputs!$D$26),Inputs!$D$26+SQRT(N913*(Inputs!$F$26-Inputs!$D$26)*(Inputs!$E$26-Inputs!$D$26)),Inputs!$F$26-SQRT((1-N913)*(Inputs!$F$26-Inputs!$D$26)*(Inputs!$F$26-Inputs!$E$26)))</f>
        <v>0.598835718190731</v>
      </c>
      <c r="P913" s="81" t="n">
        <f aca="true">RAND()</f>
        <v>0.717766008283803</v>
      </c>
      <c r="Q913" s="82" t="n">
        <f aca="false">IF(P913&lt;(Inputs!$E$27-Inputs!$D$27)/(Inputs!$F$27-Inputs!$D$27),Inputs!$D$27+SQRT(P913*(Inputs!$F$27-Inputs!$D$27)*(Inputs!$E$27-Inputs!$D$27)),Inputs!$F$27-SQRT((1-P913)*(Inputs!$F$27-Inputs!$D$27)*(Inputs!$F$27-Inputs!$E$27)))</f>
        <v>103.991794885353</v>
      </c>
      <c r="R913" s="81" t="n">
        <f aca="true">RAND()</f>
        <v>0.165974389518042</v>
      </c>
      <c r="S913" s="82" t="n">
        <f aca="false">IF(R913&lt;(Inputs!$E$29-Inputs!$D$29)/(Inputs!$F$29-Inputs!$D$29),Inputs!$D$29+SQRT(R913*(Inputs!$F$29-Inputs!$D$29)*(Inputs!$E$29-Inputs!$D$29)),Inputs!$F$29-SQRT((1-R913)*(Inputs!$F$29-Inputs!$D$29)*(Inputs!$F$29-Inputs!$E$29)))</f>
        <v>4.5442093450036</v>
      </c>
      <c r="T913" s="68" t="n">
        <f aca="false">Inputs!$E$9*(1+E913)+Inputs!$E$5*C913*(Inputs!$E$11*Inputs!$E$14*(G913*I913/Inputs!$E$16+(1-G913))*K913+Inputs!$E$23*M913)*(1+O913)+Inputs!$E$5*(Q913+S913)</f>
        <v>5995.64827680718</v>
      </c>
    </row>
    <row r="914" customFormat="false" ht="15" hidden="false" customHeight="false" outlineLevel="0" collapsed="false">
      <c r="A914" s="1" t="n">
        <v>910</v>
      </c>
      <c r="B914" s="81" t="n">
        <f aca="true">RAND()</f>
        <v>0.0583924540799263</v>
      </c>
      <c r="C914" s="82" t="n">
        <f aca="false">ROUND(IF(B914&lt;(Inputs!$E$8-Inputs!$D$8)/(Inputs!$F$8-Inputs!$D$8),Inputs!$D$8+SQRT(B914*(Inputs!$F$8-Inputs!$D$8)*(Inputs!$E$8-Inputs!$D$8)),Inputs!$F$8-SQRT((1-B914)*(Inputs!$F$8-Inputs!$D$8)*(Inputs!$F$8-Inputs!$E$8))),0)</f>
        <v>22</v>
      </c>
      <c r="D914" s="81" t="n">
        <f aca="true">RAND()</f>
        <v>0.00946814424255293</v>
      </c>
      <c r="E914" s="83" t="n">
        <f aca="false">IF(D914&lt;(Inputs!$E$10-Inputs!$D$10)/(Inputs!$F$10-Inputs!$D$10),Inputs!$D$10+SQRT(D914*(Inputs!$F$10-Inputs!$D$10)*(Inputs!$E$10-Inputs!$D$10)),Inputs!$F$10-SQRT((1-D914)*(Inputs!$F$10-Inputs!$D$10)*(Inputs!$F$10-Inputs!$E$10)))</f>
        <v>0.00973043896366086</v>
      </c>
      <c r="F914" s="81" t="n">
        <f aca="true">RAND()</f>
        <v>0.882568129010214</v>
      </c>
      <c r="G914" s="83" t="n">
        <f aca="false">IF(F914&lt;(Inputs!$E$15-Inputs!$D$15)/(Inputs!$F$15-Inputs!$D$15),Inputs!$D$15+SQRT(F914*(Inputs!$F$15-Inputs!$D$15)*(Inputs!$E$15-Inputs!$D$15)),Inputs!$F$15-SQRT((1-F914)*(Inputs!$F$15-Inputs!$D$15)*(Inputs!$F$15-Inputs!$E$15)))</f>
        <v>0.751537257405346</v>
      </c>
      <c r="H914" s="81" t="n">
        <f aca="true">RAND()</f>
        <v>0.103273442961549</v>
      </c>
      <c r="I914" s="82" t="n">
        <f aca="false">ROUND(IF(H914&lt;(Inputs!$E$17-Inputs!$D$17)/(Inputs!$F$17-Inputs!$D$17),Inputs!$D$17+SQRT(H914*(Inputs!$F$17-Inputs!$D$17)*(Inputs!$E$17-Inputs!$D$17)),Inputs!$F$17-SQRT((1-H914)*(Inputs!$F$17-Inputs!$D$17)*(Inputs!$F$17-Inputs!$E$17))),0)</f>
        <v>103</v>
      </c>
      <c r="J914" s="81" t="n">
        <f aca="true">RAND()</f>
        <v>0.0746478433313721</v>
      </c>
      <c r="K914" s="83" t="n">
        <f aca="false">IF(J914&lt;(Inputs!$E$18-Inputs!$D$18)/(Inputs!$F$18-Inputs!$D$18),Inputs!$D$18+SQRT(J914*(Inputs!$F$18-Inputs!$D$18)*(Inputs!$E$18-Inputs!$D$18)),Inputs!$F$18-SQRT((1-J914)*(Inputs!$F$18-Inputs!$D$18)*(Inputs!$F$18-Inputs!$E$18)))</f>
        <v>0.951114327899309</v>
      </c>
      <c r="L914" s="81" t="n">
        <f aca="true">RAND()</f>
        <v>0.827548902198073</v>
      </c>
      <c r="M914" s="83" t="n">
        <f aca="false">IF(L914&lt;(Inputs!$E$24-Inputs!$D$24)/(Inputs!$F$24-Inputs!$D$24),Inputs!$D$24+SQRT(L914*(Inputs!$F$24-Inputs!$D$24)*(Inputs!$E$24-Inputs!$D$24)),Inputs!$F$24-SQRT((1-L914)*(Inputs!$F$24-Inputs!$D$24)*(Inputs!$F$24-Inputs!$E$24)))</f>
        <v>0.996558943493545</v>
      </c>
      <c r="N914" s="81" t="n">
        <f aca="true">RAND()</f>
        <v>0.227796813053898</v>
      </c>
      <c r="O914" s="83" t="n">
        <f aca="false">IF(N914&lt;(Inputs!$E$26-Inputs!$D$26)/(Inputs!$F$26-Inputs!$D$26),Inputs!$D$26+SQRT(N914*(Inputs!$F$26-Inputs!$D$26)*(Inputs!$E$26-Inputs!$D$26)),Inputs!$F$26-SQRT((1-N914)*(Inputs!$F$26-Inputs!$D$26)*(Inputs!$F$26-Inputs!$E$26)))</f>
        <v>0.494693065341754</v>
      </c>
      <c r="P914" s="81" t="n">
        <f aca="true">RAND()</f>
        <v>0.602162665830411</v>
      </c>
      <c r="Q914" s="82" t="n">
        <f aca="false">IF(P914&lt;(Inputs!$E$27-Inputs!$D$27)/(Inputs!$F$27-Inputs!$D$27),Inputs!$D$27+SQRT(P914*(Inputs!$F$27-Inputs!$D$27)*(Inputs!$E$27-Inputs!$D$27)),Inputs!$F$27-SQRT((1-P914)*(Inputs!$F$27-Inputs!$D$27)*(Inputs!$F$27-Inputs!$E$27)))</f>
        <v>95.3760125377878</v>
      </c>
      <c r="R914" s="81" t="n">
        <f aca="true">RAND()</f>
        <v>0.452477228972679</v>
      </c>
      <c r="S914" s="82" t="n">
        <f aca="false">IF(R914&lt;(Inputs!$E$29-Inputs!$D$29)/(Inputs!$F$29-Inputs!$D$29),Inputs!$D$29+SQRT(R914*(Inputs!$F$29-Inputs!$D$29)*(Inputs!$E$29-Inputs!$D$29)),Inputs!$F$29-SQRT((1-R914)*(Inputs!$F$29-Inputs!$D$29)*(Inputs!$F$29-Inputs!$E$29)))</f>
        <v>6.56329683860148</v>
      </c>
      <c r="T914" s="68" t="n">
        <f aca="false">Inputs!$E$9*(1+E914)+Inputs!$E$5*C914*(Inputs!$E$11*Inputs!$E$14*(G914*I914/Inputs!$E$16+(1-G914))*K914+Inputs!$E$23*M914)*(1+O914)+Inputs!$E$5*(Q914+S914)</f>
        <v>5505.68229502569</v>
      </c>
    </row>
    <row r="915" customFormat="false" ht="15" hidden="false" customHeight="false" outlineLevel="0" collapsed="false">
      <c r="A915" s="1" t="n">
        <v>911</v>
      </c>
      <c r="B915" s="81" t="n">
        <f aca="true">RAND()</f>
        <v>0.776981221822077</v>
      </c>
      <c r="C915" s="82" t="n">
        <f aca="false">ROUND(IF(B915&lt;(Inputs!$E$8-Inputs!$D$8)/(Inputs!$F$8-Inputs!$D$8),Inputs!$D$8+SQRT(B915*(Inputs!$F$8-Inputs!$D$8)*(Inputs!$E$8-Inputs!$D$8)),Inputs!$F$8-SQRT((1-B915)*(Inputs!$F$8-Inputs!$D$8)*(Inputs!$F$8-Inputs!$E$8))),0)</f>
        <v>27</v>
      </c>
      <c r="D915" s="81" t="n">
        <f aca="true">RAND()</f>
        <v>0.809740949917606</v>
      </c>
      <c r="E915" s="83" t="n">
        <f aca="false">IF(D915&lt;(Inputs!$E$10-Inputs!$D$10)/(Inputs!$F$10-Inputs!$D$10),Inputs!$D$10+SQRT(D915*(Inputs!$F$10-Inputs!$D$10)*(Inputs!$E$10-Inputs!$D$10)),Inputs!$F$10-SQRT((1-D915)*(Inputs!$F$10-Inputs!$D$10)*(Inputs!$F$10-Inputs!$E$10)))</f>
        <v>0.124450205146064</v>
      </c>
      <c r="F915" s="81" t="n">
        <f aca="true">RAND()</f>
        <v>0.444010356022809</v>
      </c>
      <c r="G915" s="83" t="n">
        <f aca="false">IF(F915&lt;(Inputs!$E$15-Inputs!$D$15)/(Inputs!$F$15-Inputs!$D$15),Inputs!$D$15+SQRT(F915*(Inputs!$F$15-Inputs!$D$15)*(Inputs!$E$15-Inputs!$D$15)),Inputs!$F$15-SQRT((1-F915)*(Inputs!$F$15-Inputs!$D$15)*(Inputs!$F$15-Inputs!$E$15)))</f>
        <v>0.694234850880426</v>
      </c>
      <c r="H915" s="81" t="n">
        <f aca="true">RAND()</f>
        <v>0.268847163195909</v>
      </c>
      <c r="I915" s="82" t="n">
        <f aca="false">ROUND(IF(H915&lt;(Inputs!$E$17-Inputs!$D$17)/(Inputs!$F$17-Inputs!$D$17),Inputs!$D$17+SQRT(H915*(Inputs!$F$17-Inputs!$D$17)*(Inputs!$E$17-Inputs!$D$17)),Inputs!$F$17-SQRT((1-H915)*(Inputs!$F$17-Inputs!$D$17)*(Inputs!$F$17-Inputs!$E$17))),0)</f>
        <v>104</v>
      </c>
      <c r="J915" s="81" t="n">
        <f aca="true">RAND()</f>
        <v>0.632141914904165</v>
      </c>
      <c r="K915" s="83" t="n">
        <f aca="false">IF(J915&lt;(Inputs!$E$18-Inputs!$D$18)/(Inputs!$F$18-Inputs!$D$18),Inputs!$D$18+SQRT(J915*(Inputs!$F$18-Inputs!$D$18)*(Inputs!$E$18-Inputs!$D$18)),Inputs!$F$18-SQRT((1-J915)*(Inputs!$F$18-Inputs!$D$18)*(Inputs!$F$18-Inputs!$E$18)))</f>
        <v>1.07059101904897</v>
      </c>
      <c r="L915" s="81" t="n">
        <f aca="true">RAND()</f>
        <v>0.619878132174552</v>
      </c>
      <c r="M915" s="83" t="n">
        <f aca="false">IF(L915&lt;(Inputs!$E$24-Inputs!$D$24)/(Inputs!$F$24-Inputs!$D$24),Inputs!$D$24+SQRT(L915*(Inputs!$F$24-Inputs!$D$24)*(Inputs!$E$24-Inputs!$D$24)),Inputs!$F$24-SQRT((1-L915)*(Inputs!$F$24-Inputs!$D$24)*(Inputs!$F$24-Inputs!$E$24)))</f>
        <v>0.897958201107682</v>
      </c>
      <c r="N915" s="81" t="n">
        <f aca="true">RAND()</f>
        <v>0.908002782831565</v>
      </c>
      <c r="O915" s="83" t="n">
        <f aca="false">IF(N915&lt;(Inputs!$E$26-Inputs!$D$26)/(Inputs!$F$26-Inputs!$D$26),Inputs!$D$26+SQRT(N915*(Inputs!$F$26-Inputs!$D$26)*(Inputs!$E$26-Inputs!$D$26)),Inputs!$F$26-SQRT((1-N915)*(Inputs!$F$26-Inputs!$D$26)*(Inputs!$F$26-Inputs!$E$26)))</f>
        <v>0.722185325305876</v>
      </c>
      <c r="P915" s="81" t="n">
        <f aca="true">RAND()</f>
        <v>0.030066543846653</v>
      </c>
      <c r="Q915" s="82" t="n">
        <f aca="false">IF(P915&lt;(Inputs!$E$27-Inputs!$D$27)/(Inputs!$F$27-Inputs!$D$27),Inputs!$D$27+SQRT(P915*(Inputs!$F$27-Inputs!$D$27)*(Inputs!$E$27-Inputs!$D$27)),Inputs!$F$27-SQRT((1-P915)*(Inputs!$F$27-Inputs!$D$27)*(Inputs!$F$27-Inputs!$E$27)))</f>
        <v>58.6698534945311</v>
      </c>
      <c r="R915" s="81" t="n">
        <f aca="true">RAND()</f>
        <v>0.383147322241588</v>
      </c>
      <c r="S915" s="82" t="n">
        <f aca="false">IF(R915&lt;(Inputs!$E$29-Inputs!$D$29)/(Inputs!$F$29-Inputs!$D$29),Inputs!$D$29+SQRT(R915*(Inputs!$F$29-Inputs!$D$29)*(Inputs!$E$29-Inputs!$D$29)),Inputs!$F$29-SQRT((1-R915)*(Inputs!$F$29-Inputs!$D$29)*(Inputs!$F$29-Inputs!$E$29)))</f>
        <v>6.04506571165407</v>
      </c>
      <c r="T915" s="68" t="n">
        <f aca="false">Inputs!$E$9*(1+E915)+Inputs!$E$5*C915*(Inputs!$E$11*Inputs!$E$14*(G915*I915/Inputs!$E$16+(1-G915))*K915+Inputs!$E$23*M915)*(1+O915)+Inputs!$E$5*(Q915+S915)</f>
        <v>6954.42506392958</v>
      </c>
    </row>
    <row r="916" customFormat="false" ht="15" hidden="false" customHeight="false" outlineLevel="0" collapsed="false">
      <c r="A916" s="1" t="n">
        <v>912</v>
      </c>
      <c r="B916" s="81" t="n">
        <f aca="true">RAND()</f>
        <v>0.541931629708353</v>
      </c>
      <c r="C916" s="82" t="n">
        <f aca="false">ROUND(IF(B916&lt;(Inputs!$E$8-Inputs!$D$8)/(Inputs!$F$8-Inputs!$D$8),Inputs!$D$8+SQRT(B916*(Inputs!$F$8-Inputs!$D$8)*(Inputs!$E$8-Inputs!$D$8)),Inputs!$F$8-SQRT((1-B916)*(Inputs!$F$8-Inputs!$D$8)*(Inputs!$F$8-Inputs!$E$8))),0)</f>
        <v>25</v>
      </c>
      <c r="D916" s="81" t="n">
        <f aca="true">RAND()</f>
        <v>0.991191652638079</v>
      </c>
      <c r="E916" s="83" t="n">
        <f aca="false">IF(D916&lt;(Inputs!$E$10-Inputs!$D$10)/(Inputs!$F$10-Inputs!$D$10),Inputs!$D$10+SQRT(D916*(Inputs!$F$10-Inputs!$D$10)*(Inputs!$E$10-Inputs!$D$10)),Inputs!$F$10-SQRT((1-D916)*(Inputs!$F$10-Inputs!$D$10)*(Inputs!$F$10-Inputs!$E$10)))</f>
        <v>0.183744218848126</v>
      </c>
      <c r="F916" s="81" t="n">
        <f aca="true">RAND()</f>
        <v>0.573486482215308</v>
      </c>
      <c r="G916" s="83" t="n">
        <f aca="false">IF(F916&lt;(Inputs!$E$15-Inputs!$D$15)/(Inputs!$F$15-Inputs!$D$15),Inputs!$D$15+SQRT(F916*(Inputs!$F$15-Inputs!$D$15)*(Inputs!$E$15-Inputs!$D$15)),Inputs!$F$15-SQRT((1-F916)*(Inputs!$F$15-Inputs!$D$15)*(Inputs!$F$15-Inputs!$E$15)))</f>
        <v>0.707640537270435</v>
      </c>
      <c r="H916" s="81" t="n">
        <f aca="true">RAND()</f>
        <v>0.303603437056542</v>
      </c>
      <c r="I916" s="82" t="n">
        <f aca="false">ROUND(IF(H916&lt;(Inputs!$E$17-Inputs!$D$17)/(Inputs!$F$17-Inputs!$D$17),Inputs!$D$17+SQRT(H916*(Inputs!$F$17-Inputs!$D$17)*(Inputs!$E$17-Inputs!$D$17)),Inputs!$F$17-SQRT((1-H916)*(Inputs!$F$17-Inputs!$D$17)*(Inputs!$F$17-Inputs!$E$17))),0)</f>
        <v>105</v>
      </c>
      <c r="J916" s="81" t="n">
        <f aca="true">RAND()</f>
        <v>0.26536049139357</v>
      </c>
      <c r="K916" s="83" t="n">
        <f aca="false">IF(J916&lt;(Inputs!$E$18-Inputs!$D$18)/(Inputs!$F$18-Inputs!$D$18),Inputs!$D$18+SQRT(J916*(Inputs!$F$18-Inputs!$D$18)*(Inputs!$E$18-Inputs!$D$18)),Inputs!$F$18-SQRT((1-J916)*(Inputs!$F$18-Inputs!$D$18)*(Inputs!$F$18-Inputs!$E$18)))</f>
        <v>0.996372284391182</v>
      </c>
      <c r="L916" s="81" t="n">
        <f aca="true">RAND()</f>
        <v>0.407942758565726</v>
      </c>
      <c r="M916" s="83" t="n">
        <f aca="false">IF(L916&lt;(Inputs!$E$24-Inputs!$D$24)/(Inputs!$F$24-Inputs!$D$24),Inputs!$D$24+SQRT(L916*(Inputs!$F$24-Inputs!$D$24)*(Inputs!$E$24-Inputs!$D$24)),Inputs!$F$24-SQRT((1-L916)*(Inputs!$F$24-Inputs!$D$24)*(Inputs!$F$24-Inputs!$E$24)))</f>
        <v>0.82304676955327</v>
      </c>
      <c r="N916" s="81" t="n">
        <f aca="true">RAND()</f>
        <v>0.261960756543909</v>
      </c>
      <c r="O916" s="83" t="n">
        <f aca="false">IF(N916&lt;(Inputs!$E$26-Inputs!$D$26)/(Inputs!$F$26-Inputs!$D$26),Inputs!$D$26+SQRT(N916*(Inputs!$F$26-Inputs!$D$26)*(Inputs!$E$26-Inputs!$D$26)),Inputs!$F$26-SQRT((1-N916)*(Inputs!$F$26-Inputs!$D$26)*(Inputs!$F$26-Inputs!$E$26)))</f>
        <v>0.50878282948774</v>
      </c>
      <c r="P916" s="81" t="n">
        <f aca="true">RAND()</f>
        <v>0.15980809566327</v>
      </c>
      <c r="Q916" s="82" t="n">
        <f aca="false">IF(P916&lt;(Inputs!$E$27-Inputs!$D$27)/(Inputs!$F$27-Inputs!$D$27),Inputs!$D$27+SQRT(P916*(Inputs!$F$27-Inputs!$D$27)*(Inputs!$E$27-Inputs!$D$27)),Inputs!$F$27-SQRT((1-P916)*(Inputs!$F$27-Inputs!$D$27)*(Inputs!$F$27-Inputs!$E$27)))</f>
        <v>69.9880023803825</v>
      </c>
      <c r="R916" s="81" t="n">
        <f aca="true">RAND()</f>
        <v>0.628218251676191</v>
      </c>
      <c r="S916" s="82" t="n">
        <f aca="false">IF(R916&lt;(Inputs!$E$29-Inputs!$D$29)/(Inputs!$F$29-Inputs!$D$29),Inputs!$D$29+SQRT(R916*(Inputs!$F$29-Inputs!$D$29)*(Inputs!$E$29-Inputs!$D$29)),Inputs!$F$29-SQRT((1-R916)*(Inputs!$F$29-Inputs!$D$29)*(Inputs!$F$29-Inputs!$E$29)))</f>
        <v>8.04790482788856</v>
      </c>
      <c r="T916" s="68" t="n">
        <f aca="false">Inputs!$E$9*(1+E916)+Inputs!$E$5*C916*(Inputs!$E$11*Inputs!$E$14*(G916*I916/Inputs!$E$16+(1-G916))*K916+Inputs!$E$23*M916)*(1+O916)+Inputs!$E$5*(Q916+S916)</f>
        <v>6109.86799937728</v>
      </c>
    </row>
    <row r="917" customFormat="false" ht="15" hidden="false" customHeight="false" outlineLevel="0" collapsed="false">
      <c r="A917" s="1" t="n">
        <v>913</v>
      </c>
      <c r="B917" s="81" t="n">
        <f aca="true">RAND()</f>
        <v>0.102283737328857</v>
      </c>
      <c r="C917" s="82" t="n">
        <f aca="false">ROUND(IF(B917&lt;(Inputs!$E$8-Inputs!$D$8)/(Inputs!$F$8-Inputs!$D$8),Inputs!$D$8+SQRT(B917*(Inputs!$F$8-Inputs!$D$8)*(Inputs!$E$8-Inputs!$D$8)),Inputs!$F$8-SQRT((1-B917)*(Inputs!$F$8-Inputs!$D$8)*(Inputs!$F$8-Inputs!$E$8))),0)</f>
        <v>22</v>
      </c>
      <c r="D917" s="81" t="n">
        <f aca="true">RAND()</f>
        <v>0.947796628592143</v>
      </c>
      <c r="E917" s="83" t="n">
        <f aca="false">IF(D917&lt;(Inputs!$E$10-Inputs!$D$10)/(Inputs!$F$10-Inputs!$D$10),Inputs!$D$10+SQRT(D917*(Inputs!$F$10-Inputs!$D$10)*(Inputs!$E$10-Inputs!$D$10)),Inputs!$F$10-SQRT((1-D917)*(Inputs!$F$10-Inputs!$D$10)*(Inputs!$F$10-Inputs!$E$10)))</f>
        <v>0.160426004216965</v>
      </c>
      <c r="F917" s="81" t="n">
        <f aca="true">RAND()</f>
        <v>0.273916226961551</v>
      </c>
      <c r="G917" s="83" t="n">
        <f aca="false">IF(F917&lt;(Inputs!$E$15-Inputs!$D$15)/(Inputs!$F$15-Inputs!$D$15),Inputs!$D$15+SQRT(F917*(Inputs!$F$15-Inputs!$D$15)*(Inputs!$E$15-Inputs!$D$15)),Inputs!$F$15-SQRT((1-F917)*(Inputs!$F$15-Inputs!$D$15)*(Inputs!$F$15-Inputs!$E$15)))</f>
        <v>0.67401570467969</v>
      </c>
      <c r="H917" s="81" t="n">
        <f aca="true">RAND()</f>
        <v>0.713225528674736</v>
      </c>
      <c r="I917" s="82" t="n">
        <f aca="false">ROUND(IF(H917&lt;(Inputs!$E$17-Inputs!$D$17)/(Inputs!$F$17-Inputs!$D$17),Inputs!$D$17+SQRT(H917*(Inputs!$F$17-Inputs!$D$17)*(Inputs!$E$17-Inputs!$D$17)),Inputs!$F$17-SQRT((1-H917)*(Inputs!$F$17-Inputs!$D$17)*(Inputs!$F$17-Inputs!$E$17))),0)</f>
        <v>108</v>
      </c>
      <c r="J917" s="81" t="n">
        <f aca="true">RAND()</f>
        <v>0.245810422606702</v>
      </c>
      <c r="K917" s="83" t="n">
        <f aca="false">IF(J917&lt;(Inputs!$E$18-Inputs!$D$18)/(Inputs!$F$18-Inputs!$D$18),Inputs!$D$18+SQRT(J917*(Inputs!$F$18-Inputs!$D$18)*(Inputs!$E$18-Inputs!$D$18)),Inputs!$F$18-SQRT((1-J917)*(Inputs!$F$18-Inputs!$D$18)*(Inputs!$F$18-Inputs!$E$18)))</f>
        <v>0.992754324919297</v>
      </c>
      <c r="L917" s="81" t="n">
        <f aca="true">RAND()</f>
        <v>0.929475139362265</v>
      </c>
      <c r="M917" s="83" t="n">
        <f aca="false">IF(L917&lt;(Inputs!$E$24-Inputs!$D$24)/(Inputs!$F$24-Inputs!$D$24),Inputs!$D$24+SQRT(L917*(Inputs!$F$24-Inputs!$D$24)*(Inputs!$E$24-Inputs!$D$24)),Inputs!$F$24-SQRT((1-L917)*(Inputs!$F$24-Inputs!$D$24)*(Inputs!$F$24-Inputs!$E$24)))</f>
        <v>1.06990016697529</v>
      </c>
      <c r="N917" s="81" t="n">
        <f aca="true">RAND()</f>
        <v>0.196647973278624</v>
      </c>
      <c r="O917" s="83" t="n">
        <f aca="false">IF(N917&lt;(Inputs!$E$26-Inputs!$D$26)/(Inputs!$F$26-Inputs!$D$26),Inputs!$D$26+SQRT(N917*(Inputs!$F$26-Inputs!$D$26)*(Inputs!$E$26-Inputs!$D$26)),Inputs!$F$26-SQRT((1-N917)*(Inputs!$F$26-Inputs!$D$26)*(Inputs!$F$26-Inputs!$E$26)))</f>
        <v>0.480892848818197</v>
      </c>
      <c r="P917" s="81" t="n">
        <f aca="true">RAND()</f>
        <v>0.307800054888566</v>
      </c>
      <c r="Q917" s="82" t="n">
        <f aca="false">IF(P917&lt;(Inputs!$E$27-Inputs!$D$27)/(Inputs!$F$27-Inputs!$D$27),Inputs!$D$27+SQRT(P917*(Inputs!$F$27-Inputs!$D$27)*(Inputs!$E$27-Inputs!$D$27)),Inputs!$F$27-SQRT((1-P917)*(Inputs!$F$27-Inputs!$D$27)*(Inputs!$F$27-Inputs!$E$27)))</f>
        <v>77.9479383477769</v>
      </c>
      <c r="R917" s="81" t="n">
        <f aca="true">RAND()</f>
        <v>0.79546764660247</v>
      </c>
      <c r="S917" s="82" t="n">
        <f aca="false">IF(R917&lt;(Inputs!$E$29-Inputs!$D$29)/(Inputs!$F$29-Inputs!$D$29),Inputs!$D$29+SQRT(R917*(Inputs!$F$29-Inputs!$D$29)*(Inputs!$E$29-Inputs!$D$29)),Inputs!$F$29-SQRT((1-R917)*(Inputs!$F$29-Inputs!$D$29)*(Inputs!$F$29-Inputs!$E$29)))</f>
        <v>9.84352776195984</v>
      </c>
      <c r="T917" s="68" t="n">
        <f aca="false">Inputs!$E$9*(1+E917)+Inputs!$E$5*C917*(Inputs!$E$11*Inputs!$E$14*(G917*I917/Inputs!$E$16+(1-G917))*K917+Inputs!$E$23*M917)*(1+O917)+Inputs!$E$5*(Q917+S917)</f>
        <v>6026.67999070419</v>
      </c>
    </row>
    <row r="918" customFormat="false" ht="15" hidden="false" customHeight="false" outlineLevel="0" collapsed="false">
      <c r="A918" s="1" t="n">
        <v>914</v>
      </c>
      <c r="B918" s="81" t="n">
        <f aca="true">RAND()</f>
        <v>0.101832858655014</v>
      </c>
      <c r="C918" s="82" t="n">
        <f aca="false">ROUND(IF(B918&lt;(Inputs!$E$8-Inputs!$D$8)/(Inputs!$F$8-Inputs!$D$8),Inputs!$D$8+SQRT(B918*(Inputs!$F$8-Inputs!$D$8)*(Inputs!$E$8-Inputs!$D$8)),Inputs!$F$8-SQRT((1-B918)*(Inputs!$F$8-Inputs!$D$8)*(Inputs!$F$8-Inputs!$E$8))),0)</f>
        <v>22</v>
      </c>
      <c r="D918" s="81" t="n">
        <f aca="true">RAND()</f>
        <v>0.719978117645749</v>
      </c>
      <c r="E918" s="83" t="n">
        <f aca="false">IF(D918&lt;(Inputs!$E$10-Inputs!$D$10)/(Inputs!$F$10-Inputs!$D$10),Inputs!$D$10+SQRT(D918*(Inputs!$F$10-Inputs!$D$10)*(Inputs!$E$10-Inputs!$D$10)),Inputs!$F$10-SQRT((1-D918)*(Inputs!$F$10-Inputs!$D$10)*(Inputs!$F$10-Inputs!$E$10)))</f>
        <v>0.108344904829968</v>
      </c>
      <c r="F918" s="81" t="n">
        <f aca="true">RAND()</f>
        <v>0.696121103186157</v>
      </c>
      <c r="G918" s="83" t="n">
        <f aca="false">IF(F918&lt;(Inputs!$E$15-Inputs!$D$15)/(Inputs!$F$15-Inputs!$D$15),Inputs!$D$15+SQRT(F918*(Inputs!$F$15-Inputs!$D$15)*(Inputs!$E$15-Inputs!$D$15)),Inputs!$F$15-SQRT((1-F918)*(Inputs!$F$15-Inputs!$D$15)*(Inputs!$F$15-Inputs!$E$15)))</f>
        <v>0.722041177944527</v>
      </c>
      <c r="H918" s="81" t="n">
        <f aca="true">RAND()</f>
        <v>0.312555770057776</v>
      </c>
      <c r="I918" s="82" t="n">
        <f aca="false">ROUND(IF(H918&lt;(Inputs!$E$17-Inputs!$D$17)/(Inputs!$F$17-Inputs!$D$17),Inputs!$D$17+SQRT(H918*(Inputs!$F$17-Inputs!$D$17)*(Inputs!$E$17-Inputs!$D$17)),Inputs!$F$17-SQRT((1-H918)*(Inputs!$F$17-Inputs!$D$17)*(Inputs!$F$17-Inputs!$E$17))),0)</f>
        <v>105</v>
      </c>
      <c r="J918" s="81" t="n">
        <f aca="true">RAND()</f>
        <v>0.569301043476583</v>
      </c>
      <c r="K918" s="83" t="n">
        <f aca="false">IF(J918&lt;(Inputs!$E$18-Inputs!$D$18)/(Inputs!$F$18-Inputs!$D$18),Inputs!$D$18+SQRT(J918*(Inputs!$F$18-Inputs!$D$18)*(Inputs!$E$18-Inputs!$D$18)),Inputs!$F$18-SQRT((1-J918)*(Inputs!$F$18-Inputs!$D$18)*(Inputs!$F$18-Inputs!$E$18)))</f>
        <v>1.05587076805437</v>
      </c>
      <c r="L918" s="81" t="n">
        <f aca="true">RAND()</f>
        <v>0.379076056180749</v>
      </c>
      <c r="M918" s="83" t="n">
        <f aca="false">IF(L918&lt;(Inputs!$E$24-Inputs!$D$24)/(Inputs!$F$24-Inputs!$D$24),Inputs!$D$24+SQRT(L918*(Inputs!$F$24-Inputs!$D$24)*(Inputs!$E$24-Inputs!$D$24)),Inputs!$F$24-SQRT((1-L918)*(Inputs!$F$24-Inputs!$D$24)*(Inputs!$F$24-Inputs!$E$24)))</f>
        <v>0.813966651030484</v>
      </c>
      <c r="N918" s="81" t="n">
        <f aca="true">RAND()</f>
        <v>0.52304153885239</v>
      </c>
      <c r="O918" s="83" t="n">
        <f aca="false">IF(N918&lt;(Inputs!$E$26-Inputs!$D$26)/(Inputs!$F$26-Inputs!$D$26),Inputs!$D$26+SQRT(N918*(Inputs!$F$26-Inputs!$D$26)*(Inputs!$E$26-Inputs!$D$26)),Inputs!$F$26-SQRT((1-N918)*(Inputs!$F$26-Inputs!$D$26)*(Inputs!$F$26-Inputs!$E$26)))</f>
        <v>0.595015443773776</v>
      </c>
      <c r="P918" s="81" t="n">
        <f aca="true">RAND()</f>
        <v>0.153122433580977</v>
      </c>
      <c r="Q918" s="82" t="n">
        <f aca="false">IF(P918&lt;(Inputs!$E$27-Inputs!$D$27)/(Inputs!$F$27-Inputs!$D$27),Inputs!$D$27+SQRT(P918*(Inputs!$F$27-Inputs!$D$27)*(Inputs!$E$27-Inputs!$D$27)),Inputs!$F$27-SQRT((1-P918)*(Inputs!$F$27-Inputs!$D$27)*(Inputs!$F$27-Inputs!$E$27)))</f>
        <v>69.5654308399392</v>
      </c>
      <c r="R918" s="81" t="n">
        <f aca="true">RAND()</f>
        <v>0.972860321285897</v>
      </c>
      <c r="S918" s="82" t="n">
        <f aca="false">IF(R918&lt;(Inputs!$E$29-Inputs!$D$29)/(Inputs!$F$29-Inputs!$D$29),Inputs!$D$29+SQRT(R918*(Inputs!$F$29-Inputs!$D$29)*(Inputs!$E$29-Inputs!$D$29)),Inputs!$F$29-SQRT((1-R918)*(Inputs!$F$29-Inputs!$D$29)*(Inputs!$F$29-Inputs!$E$29)))</f>
        <v>13.1216607780187</v>
      </c>
      <c r="T918" s="68" t="n">
        <f aca="false">Inputs!$E$9*(1+E918)+Inputs!$E$5*C918*(Inputs!$E$11*Inputs!$E$14*(G918*I918/Inputs!$E$16+(1-G918))*K918+Inputs!$E$23*M918)*(1+O918)+Inputs!$E$5*(Q918+S918)</f>
        <v>5832.54154387178</v>
      </c>
    </row>
    <row r="919" customFormat="false" ht="15" hidden="false" customHeight="false" outlineLevel="0" collapsed="false">
      <c r="A919" s="1" t="n">
        <v>915</v>
      </c>
      <c r="B919" s="81" t="n">
        <f aca="true">RAND()</f>
        <v>0.0252684727510832</v>
      </c>
      <c r="C919" s="82" t="n">
        <f aca="false">ROUND(IF(B919&lt;(Inputs!$E$8-Inputs!$D$8)/(Inputs!$F$8-Inputs!$D$8),Inputs!$D$8+SQRT(B919*(Inputs!$F$8-Inputs!$D$8)*(Inputs!$E$8-Inputs!$D$8)),Inputs!$F$8-SQRT((1-B919)*(Inputs!$F$8-Inputs!$D$8)*(Inputs!$F$8-Inputs!$E$8))),0)</f>
        <v>21</v>
      </c>
      <c r="D919" s="81" t="n">
        <f aca="true">RAND()</f>
        <v>0.696958907332541</v>
      </c>
      <c r="E919" s="83" t="n">
        <f aca="false">IF(D919&lt;(Inputs!$E$10-Inputs!$D$10)/(Inputs!$F$10-Inputs!$D$10),Inputs!$D$10+SQRT(D919*(Inputs!$F$10-Inputs!$D$10)*(Inputs!$E$10-Inputs!$D$10)),Inputs!$F$10-SQRT((1-D919)*(Inputs!$F$10-Inputs!$D$10)*(Inputs!$F$10-Inputs!$E$10)))</f>
        <v>0.104652043650512</v>
      </c>
      <c r="F919" s="81" t="n">
        <f aca="true">RAND()</f>
        <v>0.791405461119238</v>
      </c>
      <c r="G919" s="83" t="n">
        <f aca="false">IF(F919&lt;(Inputs!$E$15-Inputs!$D$15)/(Inputs!$F$15-Inputs!$D$15),Inputs!$D$15+SQRT(F919*(Inputs!$F$15-Inputs!$D$15)*(Inputs!$E$15-Inputs!$D$15)),Inputs!$F$15-SQRT((1-F919)*(Inputs!$F$15-Inputs!$D$15)*(Inputs!$F$15-Inputs!$E$15)))</f>
        <v>0.735409824449726</v>
      </c>
      <c r="H919" s="81" t="n">
        <f aca="true">RAND()</f>
        <v>0.367372051943386</v>
      </c>
      <c r="I919" s="82" t="n">
        <f aca="false">ROUND(IF(H919&lt;(Inputs!$E$17-Inputs!$D$17)/(Inputs!$F$17-Inputs!$D$17),Inputs!$D$17+SQRT(H919*(Inputs!$F$17-Inputs!$D$17)*(Inputs!$E$17-Inputs!$D$17)),Inputs!$F$17-SQRT((1-H919)*(Inputs!$F$17-Inputs!$D$17)*(Inputs!$F$17-Inputs!$E$17))),0)</f>
        <v>105</v>
      </c>
      <c r="J919" s="81" t="n">
        <f aca="true">RAND()</f>
        <v>0.307913448172534</v>
      </c>
      <c r="K919" s="83" t="n">
        <f aca="false">IF(J919&lt;(Inputs!$E$18-Inputs!$D$18)/(Inputs!$F$18-Inputs!$D$18),Inputs!$D$18+SQRT(J919*(Inputs!$F$18-Inputs!$D$18)*(Inputs!$E$18-Inputs!$D$18)),Inputs!$F$18-SQRT((1-J919)*(Inputs!$F$18-Inputs!$D$18)*(Inputs!$F$18-Inputs!$E$18)))</f>
        <v>1.00391551596067</v>
      </c>
      <c r="L919" s="81" t="n">
        <f aca="true">RAND()</f>
        <v>0.167450713800967</v>
      </c>
      <c r="M919" s="83" t="n">
        <f aca="false">IF(L919&lt;(Inputs!$E$24-Inputs!$D$24)/(Inputs!$F$24-Inputs!$D$24),Inputs!$D$24+SQRT(L919*(Inputs!$F$24-Inputs!$D$24)*(Inputs!$E$24-Inputs!$D$24)),Inputs!$F$24-SQRT((1-L919)*(Inputs!$F$24-Inputs!$D$24)*(Inputs!$F$24-Inputs!$E$24)))</f>
        <v>0.74175360897034</v>
      </c>
      <c r="N919" s="81" t="n">
        <f aca="true">RAND()</f>
        <v>0.923695932138483</v>
      </c>
      <c r="O919" s="83" t="n">
        <f aca="false">IF(N919&lt;(Inputs!$E$26-Inputs!$D$26)/(Inputs!$F$26-Inputs!$D$26),Inputs!$D$26+SQRT(N919*(Inputs!$F$26-Inputs!$D$26)*(Inputs!$E$26-Inputs!$D$26)),Inputs!$F$26-SQRT((1-N919)*(Inputs!$F$26-Inputs!$D$26)*(Inputs!$F$26-Inputs!$E$26)))</f>
        <v>0.73091788587153</v>
      </c>
      <c r="P919" s="81" t="n">
        <f aca="true">RAND()</f>
        <v>0.291617278949188</v>
      </c>
      <c r="Q919" s="82" t="n">
        <f aca="false">IF(P919&lt;(Inputs!$E$27-Inputs!$D$27)/(Inputs!$F$27-Inputs!$D$27),Inputs!$D$27+SQRT(P919*(Inputs!$F$27-Inputs!$D$27)*(Inputs!$E$27-Inputs!$D$27)),Inputs!$F$27-SQRT((1-P919)*(Inputs!$F$27-Inputs!$D$27)*(Inputs!$F$27-Inputs!$E$27)))</f>
        <v>77.1105603816226</v>
      </c>
      <c r="R919" s="81" t="n">
        <f aca="true">RAND()</f>
        <v>0.0831437020953354</v>
      </c>
      <c r="S919" s="82" t="n">
        <f aca="false">IF(R919&lt;(Inputs!$E$29-Inputs!$D$29)/(Inputs!$F$29-Inputs!$D$29),Inputs!$D$29+SQRT(R919*(Inputs!$F$29-Inputs!$D$29)*(Inputs!$E$29-Inputs!$D$29)),Inputs!$F$29-SQRT((1-R919)*(Inputs!$F$29-Inputs!$D$29)*(Inputs!$F$29-Inputs!$E$29)))</f>
        <v>3.8007232940455</v>
      </c>
      <c r="T919" s="68" t="n">
        <f aca="false">Inputs!$E$9*(1+E919)+Inputs!$E$5*C919*(Inputs!$E$11*Inputs!$E$14*(G919*I919/Inputs!$E$16+(1-G919))*K919+Inputs!$E$23*M919)*(1+O919)+Inputs!$E$5*(Q919+S919)</f>
        <v>5712.62141670992</v>
      </c>
    </row>
    <row r="920" customFormat="false" ht="15" hidden="false" customHeight="false" outlineLevel="0" collapsed="false">
      <c r="A920" s="1" t="n">
        <v>916</v>
      </c>
      <c r="B920" s="81" t="n">
        <f aca="true">RAND()</f>
        <v>0.732503328751624</v>
      </c>
      <c r="C920" s="82" t="n">
        <f aca="false">ROUND(IF(B920&lt;(Inputs!$E$8-Inputs!$D$8)/(Inputs!$F$8-Inputs!$D$8),Inputs!$D$8+SQRT(B920*(Inputs!$F$8-Inputs!$D$8)*(Inputs!$E$8-Inputs!$D$8)),Inputs!$F$8-SQRT((1-B920)*(Inputs!$F$8-Inputs!$D$8)*(Inputs!$F$8-Inputs!$E$8))),0)</f>
        <v>26</v>
      </c>
      <c r="D920" s="81" t="n">
        <f aca="true">RAND()</f>
        <v>0.412225378248129</v>
      </c>
      <c r="E920" s="83" t="n">
        <f aca="false">IF(D920&lt;(Inputs!$E$10-Inputs!$D$10)/(Inputs!$F$10-Inputs!$D$10),Inputs!$D$10+SQRT(D920*(Inputs!$F$10-Inputs!$D$10)*(Inputs!$E$10-Inputs!$D$10)),Inputs!$F$10-SQRT((1-D920)*(Inputs!$F$10-Inputs!$D$10)*(Inputs!$F$10-Inputs!$E$10)))</f>
        <v>0.0672097945910312</v>
      </c>
      <c r="F920" s="81" t="n">
        <f aca="true">RAND()</f>
        <v>0.281828084467182</v>
      </c>
      <c r="G920" s="83" t="n">
        <f aca="false">IF(F920&lt;(Inputs!$E$15-Inputs!$D$15)/(Inputs!$F$15-Inputs!$D$15),Inputs!$D$15+SQRT(F920*(Inputs!$F$15-Inputs!$D$15)*(Inputs!$E$15-Inputs!$D$15)),Inputs!$F$15-SQRT((1-F920)*(Inputs!$F$15-Inputs!$D$15)*(Inputs!$F$15-Inputs!$E$15)))</f>
        <v>0.675077038362895</v>
      </c>
      <c r="H920" s="81" t="n">
        <f aca="true">RAND()</f>
        <v>0.248204006518092</v>
      </c>
      <c r="I920" s="82" t="n">
        <f aca="false">ROUND(IF(H920&lt;(Inputs!$E$17-Inputs!$D$17)/(Inputs!$F$17-Inputs!$D$17),Inputs!$D$17+SQRT(H920*(Inputs!$F$17-Inputs!$D$17)*(Inputs!$E$17-Inputs!$D$17)),Inputs!$F$17-SQRT((1-H920)*(Inputs!$F$17-Inputs!$D$17)*(Inputs!$F$17-Inputs!$E$17))),0)</f>
        <v>104</v>
      </c>
      <c r="J920" s="81" t="n">
        <f aca="true">RAND()</f>
        <v>0.849109551528509</v>
      </c>
      <c r="K920" s="83" t="n">
        <f aca="false">IF(J920&lt;(Inputs!$E$18-Inputs!$D$18)/(Inputs!$F$18-Inputs!$D$18),Inputs!$D$18+SQRT(J920*(Inputs!$F$18-Inputs!$D$18)*(Inputs!$E$18-Inputs!$D$18)),Inputs!$F$18-SQRT((1-J920)*(Inputs!$F$18-Inputs!$D$18)*(Inputs!$F$18-Inputs!$E$18)))</f>
        <v>1.135096065162</v>
      </c>
      <c r="L920" s="81" t="n">
        <f aca="true">RAND()</f>
        <v>0.989922579661466</v>
      </c>
      <c r="M920" s="83" t="n">
        <f aca="false">IF(L920&lt;(Inputs!$E$24-Inputs!$D$24)/(Inputs!$F$24-Inputs!$D$24),Inputs!$D$24+SQRT(L920*(Inputs!$F$24-Inputs!$D$24)*(Inputs!$E$24-Inputs!$D$24)),Inputs!$F$24-SQRT((1-L920)*(Inputs!$F$24-Inputs!$D$24)*(Inputs!$F$24-Inputs!$E$24)))</f>
        <v>1.15082093045565</v>
      </c>
      <c r="N920" s="81" t="n">
        <f aca="true">RAND()</f>
        <v>0.577167293991439</v>
      </c>
      <c r="O920" s="83" t="n">
        <f aca="false">IF(N920&lt;(Inputs!$E$26-Inputs!$D$26)/(Inputs!$F$26-Inputs!$D$26),Inputs!$D$26+SQRT(N920*(Inputs!$F$26-Inputs!$D$26)*(Inputs!$E$26-Inputs!$D$26)),Inputs!$F$26-SQRT((1-N920)*(Inputs!$F$26-Inputs!$D$26)*(Inputs!$F$26-Inputs!$E$26)))</f>
        <v>0.609904239596969</v>
      </c>
      <c r="P920" s="81" t="n">
        <f aca="true">RAND()</f>
        <v>0.256390282658058</v>
      </c>
      <c r="Q920" s="82" t="n">
        <f aca="false">IF(P920&lt;(Inputs!$E$27-Inputs!$D$27)/(Inputs!$F$27-Inputs!$D$27),Inputs!$D$27+SQRT(P920*(Inputs!$F$27-Inputs!$D$27)*(Inputs!$E$27-Inputs!$D$27)),Inputs!$F$27-SQRT((1-P920)*(Inputs!$F$27-Inputs!$D$27)*(Inputs!$F$27-Inputs!$E$27)))</f>
        <v>75.3201976431073</v>
      </c>
      <c r="R920" s="81" t="n">
        <f aca="true">RAND()</f>
        <v>0.920933235895148</v>
      </c>
      <c r="S920" s="82" t="n">
        <f aca="false">IF(R920&lt;(Inputs!$E$29-Inputs!$D$29)/(Inputs!$F$29-Inputs!$D$29),Inputs!$D$29+SQRT(R920*(Inputs!$F$29-Inputs!$D$29)*(Inputs!$E$29-Inputs!$D$29)),Inputs!$F$29-SQRT((1-R920)*(Inputs!$F$29-Inputs!$D$29)*(Inputs!$F$29-Inputs!$E$29)))</f>
        <v>11.7939620505005</v>
      </c>
      <c r="T920" s="68" t="n">
        <f aca="false">Inputs!$E$9*(1+E920)+Inputs!$E$5*C920*(Inputs!$E$11*Inputs!$E$14*(G920*I920/Inputs!$E$16+(1-G920))*K920+Inputs!$E$23*M920)*(1+O920)+Inputs!$E$5*(Q920+S920)</f>
        <v>7078.30362560062</v>
      </c>
    </row>
    <row r="921" customFormat="false" ht="15" hidden="false" customHeight="false" outlineLevel="0" collapsed="false">
      <c r="A921" s="1" t="n">
        <v>917</v>
      </c>
      <c r="B921" s="81" t="n">
        <f aca="true">RAND()</f>
        <v>0.685795498718811</v>
      </c>
      <c r="C921" s="82" t="n">
        <f aca="false">ROUND(IF(B921&lt;(Inputs!$E$8-Inputs!$D$8)/(Inputs!$F$8-Inputs!$D$8),Inputs!$D$8+SQRT(B921*(Inputs!$F$8-Inputs!$D$8)*(Inputs!$E$8-Inputs!$D$8)),Inputs!$F$8-SQRT((1-B921)*(Inputs!$F$8-Inputs!$D$8)*(Inputs!$F$8-Inputs!$E$8))),0)</f>
        <v>26</v>
      </c>
      <c r="D921" s="81" t="n">
        <f aca="true">RAND()</f>
        <v>0.458525601523082</v>
      </c>
      <c r="E921" s="83" t="n">
        <f aca="false">IF(D921&lt;(Inputs!$E$10-Inputs!$D$10)/(Inputs!$F$10-Inputs!$D$10),Inputs!$D$10+SQRT(D921*(Inputs!$F$10-Inputs!$D$10)*(Inputs!$E$10-Inputs!$D$10)),Inputs!$F$10-SQRT((1-D921)*(Inputs!$F$10-Inputs!$D$10)*(Inputs!$F$10-Inputs!$E$10)))</f>
        <v>0.0725471383047538</v>
      </c>
      <c r="F921" s="81" t="n">
        <f aca="true">RAND()</f>
        <v>0.924742064104652</v>
      </c>
      <c r="G921" s="83" t="n">
        <f aca="false">IF(F921&lt;(Inputs!$E$15-Inputs!$D$15)/(Inputs!$F$15-Inputs!$D$15),Inputs!$D$15+SQRT(F921*(Inputs!$F$15-Inputs!$D$15)*(Inputs!$E$15-Inputs!$D$15)),Inputs!$F$15-SQRT((1-F921)*(Inputs!$F$15-Inputs!$D$15)*(Inputs!$F$15-Inputs!$E$15)))</f>
        <v>0.761203624938572</v>
      </c>
      <c r="H921" s="81" t="n">
        <f aca="true">RAND()</f>
        <v>0.0916228958510086</v>
      </c>
      <c r="I921" s="82" t="n">
        <f aca="false">ROUND(IF(H921&lt;(Inputs!$E$17-Inputs!$D$17)/(Inputs!$F$17-Inputs!$D$17),Inputs!$D$17+SQRT(H921*(Inputs!$F$17-Inputs!$D$17)*(Inputs!$E$17-Inputs!$D$17)),Inputs!$F$17-SQRT((1-H921)*(Inputs!$F$17-Inputs!$D$17)*(Inputs!$F$17-Inputs!$E$17))),0)</f>
        <v>103</v>
      </c>
      <c r="J921" s="81" t="n">
        <f aca="true">RAND()</f>
        <v>0.434956626329039</v>
      </c>
      <c r="K921" s="83" t="n">
        <f aca="false">IF(J921&lt;(Inputs!$E$18-Inputs!$D$18)/(Inputs!$F$18-Inputs!$D$18),Inputs!$D$18+SQRT(J921*(Inputs!$F$18-Inputs!$D$18)*(Inputs!$E$18-Inputs!$D$18)),Inputs!$F$18-SQRT((1-J921)*(Inputs!$F$18-Inputs!$D$18)*(Inputs!$F$18-Inputs!$E$18)))</f>
        <v>1.02764601376137</v>
      </c>
      <c r="L921" s="81" t="n">
        <f aca="true">RAND()</f>
        <v>0.540118987044223</v>
      </c>
      <c r="M921" s="83" t="n">
        <f aca="false">IF(L921&lt;(Inputs!$E$24-Inputs!$D$24)/(Inputs!$F$24-Inputs!$D$24),Inputs!$D$24+SQRT(L921*(Inputs!$F$24-Inputs!$D$24)*(Inputs!$E$24-Inputs!$D$24)),Inputs!$F$24-SQRT((1-L921)*(Inputs!$F$24-Inputs!$D$24)*(Inputs!$F$24-Inputs!$E$24)))</f>
        <v>0.867778021333045</v>
      </c>
      <c r="N921" s="81" t="n">
        <f aca="true">RAND()</f>
        <v>0.110262919509489</v>
      </c>
      <c r="O921" s="83" t="n">
        <f aca="false">IF(N921&lt;(Inputs!$E$26-Inputs!$D$26)/(Inputs!$F$26-Inputs!$D$26),Inputs!$D$26+SQRT(N921*(Inputs!$F$26-Inputs!$D$26)*(Inputs!$E$26-Inputs!$D$26)),Inputs!$F$26-SQRT((1-N921)*(Inputs!$F$26-Inputs!$D$26)*(Inputs!$F$26-Inputs!$E$26)))</f>
        <v>0.435453865970591</v>
      </c>
      <c r="P921" s="81" t="n">
        <f aca="true">RAND()</f>
        <v>0.962173136232034</v>
      </c>
      <c r="Q921" s="82" t="n">
        <f aca="false">IF(P921&lt;(Inputs!$E$27-Inputs!$D$27)/(Inputs!$F$27-Inputs!$D$27),Inputs!$D$27+SQRT(P921*(Inputs!$F$27-Inputs!$D$27)*(Inputs!$E$27-Inputs!$D$27)),Inputs!$F$27-SQRT((1-P921)*(Inputs!$F$27-Inputs!$D$27)*(Inputs!$F$27-Inputs!$E$27)))</f>
        <v>133.156559785491</v>
      </c>
      <c r="R921" s="81" t="n">
        <f aca="true">RAND()</f>
        <v>0.894094864458598</v>
      </c>
      <c r="S921" s="82" t="n">
        <f aca="false">IF(R921&lt;(Inputs!$E$29-Inputs!$D$29)/(Inputs!$F$29-Inputs!$D$29),Inputs!$D$29+SQRT(R921*(Inputs!$F$29-Inputs!$D$29)*(Inputs!$E$29-Inputs!$D$29)),Inputs!$F$29-SQRT((1-R921)*(Inputs!$F$29-Inputs!$D$29)*(Inputs!$F$29-Inputs!$E$29)))</f>
        <v>11.28951921978</v>
      </c>
      <c r="T921" s="68" t="n">
        <f aca="false">Inputs!$E$9*(1+E921)+Inputs!$E$5*C921*(Inputs!$E$11*Inputs!$E$14*(G921*I921/Inputs!$E$16+(1-G921))*K921+Inputs!$E$23*M921)*(1+O921)+Inputs!$E$5*(Q921+S921)</f>
        <v>6193.6101098441</v>
      </c>
    </row>
    <row r="922" customFormat="false" ht="15" hidden="false" customHeight="false" outlineLevel="0" collapsed="false">
      <c r="A922" s="1" t="n">
        <v>918</v>
      </c>
      <c r="B922" s="81" t="n">
        <f aca="true">RAND()</f>
        <v>0.583034562374193</v>
      </c>
      <c r="C922" s="82" t="n">
        <f aca="false">ROUND(IF(B922&lt;(Inputs!$E$8-Inputs!$D$8)/(Inputs!$F$8-Inputs!$D$8),Inputs!$D$8+SQRT(B922*(Inputs!$F$8-Inputs!$D$8)*(Inputs!$E$8-Inputs!$D$8)),Inputs!$F$8-SQRT((1-B922)*(Inputs!$F$8-Inputs!$D$8)*(Inputs!$F$8-Inputs!$E$8))),0)</f>
        <v>25</v>
      </c>
      <c r="D922" s="81" t="n">
        <f aca="true">RAND()</f>
        <v>0.19445643978004</v>
      </c>
      <c r="E922" s="83" t="n">
        <f aca="false">IF(D922&lt;(Inputs!$E$10-Inputs!$D$10)/(Inputs!$F$10-Inputs!$D$10),Inputs!$D$10+SQRT(D922*(Inputs!$F$10-Inputs!$D$10)*(Inputs!$E$10-Inputs!$D$10)),Inputs!$F$10-SQRT((1-D922)*(Inputs!$F$10-Inputs!$D$10)*(Inputs!$F$10-Inputs!$E$10)))</f>
        <v>0.0440972153066426</v>
      </c>
      <c r="F922" s="81" t="n">
        <f aca="true">RAND()</f>
        <v>0.0495894104843657</v>
      </c>
      <c r="G922" s="83" t="n">
        <f aca="false">IF(F922&lt;(Inputs!$E$15-Inputs!$D$15)/(Inputs!$F$15-Inputs!$D$15),Inputs!$D$15+SQRT(F922*(Inputs!$F$15-Inputs!$D$15)*(Inputs!$E$15-Inputs!$D$15)),Inputs!$F$15-SQRT((1-F922)*(Inputs!$F$15-Inputs!$D$15)*(Inputs!$F$15-Inputs!$E$15)))</f>
        <v>0.631492669141997</v>
      </c>
      <c r="H922" s="81" t="n">
        <f aca="true">RAND()</f>
        <v>0.79553035081931</v>
      </c>
      <c r="I922" s="82" t="n">
        <f aca="false">ROUND(IF(H922&lt;(Inputs!$E$17-Inputs!$D$17)/(Inputs!$F$17-Inputs!$D$17),Inputs!$D$17+SQRT(H922*(Inputs!$F$17-Inputs!$D$17)*(Inputs!$E$17-Inputs!$D$17)),Inputs!$F$17-SQRT((1-H922)*(Inputs!$F$17-Inputs!$D$17)*(Inputs!$F$17-Inputs!$E$17))),0)</f>
        <v>109</v>
      </c>
      <c r="J922" s="81" t="n">
        <f aca="true">RAND()</f>
        <v>0.628739691978204</v>
      </c>
      <c r="K922" s="83" t="n">
        <f aca="false">IF(J922&lt;(Inputs!$E$18-Inputs!$D$18)/(Inputs!$F$18-Inputs!$D$18),Inputs!$D$18+SQRT(J922*(Inputs!$F$18-Inputs!$D$18)*(Inputs!$E$18-Inputs!$D$18)),Inputs!$F$18-SQRT((1-J922)*(Inputs!$F$18-Inputs!$D$18)*(Inputs!$F$18-Inputs!$E$18)))</f>
        <v>1.06976327524085</v>
      </c>
      <c r="L922" s="81" t="n">
        <f aca="true">RAND()</f>
        <v>0.54177355465306</v>
      </c>
      <c r="M922" s="83" t="n">
        <f aca="false">IF(L922&lt;(Inputs!$E$24-Inputs!$D$24)/(Inputs!$F$24-Inputs!$D$24),Inputs!$D$24+SQRT(L922*(Inputs!$F$24-Inputs!$D$24)*(Inputs!$E$24-Inputs!$D$24)),Inputs!$F$24-SQRT((1-L922)*(Inputs!$F$24-Inputs!$D$24)*(Inputs!$F$24-Inputs!$E$24)))</f>
        <v>0.868376196748084</v>
      </c>
      <c r="N922" s="81" t="n">
        <f aca="true">RAND()</f>
        <v>0.705229810480627</v>
      </c>
      <c r="O922" s="83" t="n">
        <f aca="false">IF(N922&lt;(Inputs!$E$26-Inputs!$D$26)/(Inputs!$F$26-Inputs!$D$26),Inputs!$D$26+SQRT(N922*(Inputs!$F$26-Inputs!$D$26)*(Inputs!$E$26-Inputs!$D$26)),Inputs!$F$26-SQRT((1-N922)*(Inputs!$F$26-Inputs!$D$26)*(Inputs!$F$26-Inputs!$E$26)))</f>
        <v>0.644911166232638</v>
      </c>
      <c r="P922" s="81" t="n">
        <f aca="true">RAND()</f>
        <v>0.640561409991185</v>
      </c>
      <c r="Q922" s="82" t="n">
        <f aca="false">IF(P922&lt;(Inputs!$E$27-Inputs!$D$27)/(Inputs!$F$27-Inputs!$D$27),Inputs!$D$27+SQRT(P922*(Inputs!$F$27-Inputs!$D$27)*(Inputs!$E$27-Inputs!$D$27)),Inputs!$F$27-SQRT((1-P922)*(Inputs!$F$27-Inputs!$D$27)*(Inputs!$F$27-Inputs!$E$27)))</f>
        <v>98.0790078574561</v>
      </c>
      <c r="R922" s="81" t="n">
        <f aca="true">RAND()</f>
        <v>0.460045035663555</v>
      </c>
      <c r="S922" s="82" t="n">
        <f aca="false">IF(R922&lt;(Inputs!$E$29-Inputs!$D$29)/(Inputs!$F$29-Inputs!$D$29),Inputs!$D$29+SQRT(R922*(Inputs!$F$29-Inputs!$D$29)*(Inputs!$E$29-Inputs!$D$29)),Inputs!$F$29-SQRT((1-R922)*(Inputs!$F$29-Inputs!$D$29)*(Inputs!$F$29-Inputs!$E$29)))</f>
        <v>6.6218053636993</v>
      </c>
      <c r="T922" s="68" t="n">
        <f aca="false">Inputs!$E$9*(1+E922)+Inputs!$E$5*C922*(Inputs!$E$11*Inputs!$E$14*(G922*I922/Inputs!$E$16+(1-G922))*K922+Inputs!$E$23*M922)*(1+O922)+Inputs!$E$5*(Q922+S922)</f>
        <v>6602.63465998566</v>
      </c>
    </row>
    <row r="923" customFormat="false" ht="15" hidden="false" customHeight="false" outlineLevel="0" collapsed="false">
      <c r="A923" s="1" t="n">
        <v>919</v>
      </c>
      <c r="B923" s="81" t="n">
        <f aca="true">RAND()</f>
        <v>0.623467308457394</v>
      </c>
      <c r="C923" s="82" t="n">
        <f aca="false">ROUND(IF(B923&lt;(Inputs!$E$8-Inputs!$D$8)/(Inputs!$F$8-Inputs!$D$8),Inputs!$D$8+SQRT(B923*(Inputs!$F$8-Inputs!$D$8)*(Inputs!$E$8-Inputs!$D$8)),Inputs!$F$8-SQRT((1-B923)*(Inputs!$F$8-Inputs!$D$8)*(Inputs!$F$8-Inputs!$E$8))),0)</f>
        <v>26</v>
      </c>
      <c r="D923" s="81" t="n">
        <f aca="true">RAND()</f>
        <v>0.397501537495262</v>
      </c>
      <c r="E923" s="83" t="n">
        <f aca="false">IF(D923&lt;(Inputs!$E$10-Inputs!$D$10)/(Inputs!$F$10-Inputs!$D$10),Inputs!$D$10+SQRT(D923*(Inputs!$F$10-Inputs!$D$10)*(Inputs!$E$10-Inputs!$D$10)),Inputs!$F$10-SQRT((1-D923)*(Inputs!$F$10-Inputs!$D$10)*(Inputs!$F$10-Inputs!$E$10)))</f>
        <v>0.0655568749428141</v>
      </c>
      <c r="F923" s="81" t="n">
        <f aca="true">RAND()</f>
        <v>0.439140165219575</v>
      </c>
      <c r="G923" s="83" t="n">
        <f aca="false">IF(F923&lt;(Inputs!$E$15-Inputs!$D$15)/(Inputs!$F$15-Inputs!$D$15),Inputs!$D$15+SQRT(F923*(Inputs!$F$15-Inputs!$D$15)*(Inputs!$E$15-Inputs!$D$15)),Inputs!$F$15-SQRT((1-F923)*(Inputs!$F$15-Inputs!$D$15)*(Inputs!$F$15-Inputs!$E$15)))</f>
        <v>0.693716611677928</v>
      </c>
      <c r="H923" s="81" t="n">
        <f aca="true">RAND()</f>
        <v>0.689710811948404</v>
      </c>
      <c r="I923" s="82" t="n">
        <f aca="false">ROUND(IF(H923&lt;(Inputs!$E$17-Inputs!$D$17)/(Inputs!$F$17-Inputs!$D$17),Inputs!$D$17+SQRT(H923*(Inputs!$F$17-Inputs!$D$17)*(Inputs!$E$17-Inputs!$D$17)),Inputs!$F$17-SQRT((1-H923)*(Inputs!$F$17-Inputs!$D$17)*(Inputs!$F$17-Inputs!$E$17))),0)</f>
        <v>108</v>
      </c>
      <c r="J923" s="81" t="n">
        <f aca="true">RAND()</f>
        <v>0.961071984000648</v>
      </c>
      <c r="K923" s="83" t="n">
        <f aca="false">IF(J923&lt;(Inputs!$E$18-Inputs!$D$18)/(Inputs!$F$18-Inputs!$D$18),Inputs!$D$18+SQRT(J923*(Inputs!$F$18-Inputs!$D$18)*(Inputs!$E$18-Inputs!$D$18)),Inputs!$F$18-SQRT((1-J923)*(Inputs!$F$18-Inputs!$D$18)*(Inputs!$F$18-Inputs!$E$18)))</f>
        <v>1.19163732871138</v>
      </c>
      <c r="L923" s="81" t="n">
        <f aca="true">RAND()</f>
        <v>0.991891414897685</v>
      </c>
      <c r="M923" s="83" t="n">
        <f aca="false">IF(L923&lt;(Inputs!$E$24-Inputs!$D$24)/(Inputs!$F$24-Inputs!$D$24),Inputs!$D$24+SQRT(L923*(Inputs!$F$24-Inputs!$D$24)*(Inputs!$E$24-Inputs!$D$24)),Inputs!$F$24-SQRT((1-L923)*(Inputs!$F$24-Inputs!$D$24)*(Inputs!$F$24-Inputs!$E$24)))</f>
        <v>1.15588582512893</v>
      </c>
      <c r="N923" s="81" t="n">
        <f aca="true">RAND()</f>
        <v>0.681677422980032</v>
      </c>
      <c r="O923" s="83" t="n">
        <f aca="false">IF(N923&lt;(Inputs!$E$26-Inputs!$D$26)/(Inputs!$F$26-Inputs!$D$26),Inputs!$D$26+SQRT(N923*(Inputs!$F$26-Inputs!$D$26)*(Inputs!$E$26-Inputs!$D$26)),Inputs!$F$26-SQRT((1-N923)*(Inputs!$F$26-Inputs!$D$26)*(Inputs!$F$26-Inputs!$E$26)))</f>
        <v>0.638050699341612</v>
      </c>
      <c r="P923" s="81" t="n">
        <f aca="true">RAND()</f>
        <v>0.324504671551024</v>
      </c>
      <c r="Q923" s="82" t="n">
        <f aca="false">IF(P923&lt;(Inputs!$E$27-Inputs!$D$27)/(Inputs!$F$27-Inputs!$D$27),Inputs!$D$27+SQRT(P923*(Inputs!$F$27-Inputs!$D$27)*(Inputs!$E$27-Inputs!$D$27)),Inputs!$F$27-SQRT((1-P923)*(Inputs!$F$27-Inputs!$D$27)*(Inputs!$F$27-Inputs!$E$27)))</f>
        <v>78.822651332272</v>
      </c>
      <c r="R923" s="81" t="n">
        <f aca="true">RAND()</f>
        <v>0.145814685423408</v>
      </c>
      <c r="S923" s="82" t="n">
        <f aca="false">IF(R923&lt;(Inputs!$E$29-Inputs!$D$29)/(Inputs!$F$29-Inputs!$D$29),Inputs!$D$29+SQRT(R923*(Inputs!$F$29-Inputs!$D$29)*(Inputs!$E$29-Inputs!$D$29)),Inputs!$F$29-SQRT((1-R923)*(Inputs!$F$29-Inputs!$D$29)*(Inputs!$F$29-Inputs!$E$29)))</f>
        <v>4.38469552176225</v>
      </c>
      <c r="T923" s="68" t="n">
        <f aca="false">Inputs!$E$9*(1+E923)+Inputs!$E$5*C923*(Inputs!$E$11*Inputs!$E$14*(G923*I923/Inputs!$E$16+(1-G923))*K923+Inputs!$E$23*M923)*(1+O923)+Inputs!$E$5*(Q923+S923)</f>
        <v>7295.27462788006</v>
      </c>
    </row>
    <row r="924" customFormat="false" ht="15" hidden="false" customHeight="false" outlineLevel="0" collapsed="false">
      <c r="A924" s="1" t="n">
        <v>920</v>
      </c>
      <c r="B924" s="81" t="n">
        <f aca="true">RAND()</f>
        <v>0.775388961539076</v>
      </c>
      <c r="C924" s="82" t="n">
        <f aca="false">ROUND(IF(B924&lt;(Inputs!$E$8-Inputs!$D$8)/(Inputs!$F$8-Inputs!$D$8),Inputs!$D$8+SQRT(B924*(Inputs!$F$8-Inputs!$D$8)*(Inputs!$E$8-Inputs!$D$8)),Inputs!$F$8-SQRT((1-B924)*(Inputs!$F$8-Inputs!$D$8)*(Inputs!$F$8-Inputs!$E$8))),0)</f>
        <v>27</v>
      </c>
      <c r="D924" s="81" t="n">
        <f aca="true">RAND()</f>
        <v>0.59521819401885</v>
      </c>
      <c r="E924" s="83" t="n">
        <f aca="false">IF(D924&lt;(Inputs!$E$10-Inputs!$D$10)/(Inputs!$F$10-Inputs!$D$10),Inputs!$D$10+SQRT(D924*(Inputs!$F$10-Inputs!$D$10)*(Inputs!$E$10-Inputs!$D$10)),Inputs!$F$10-SQRT((1-D924)*(Inputs!$F$10-Inputs!$D$10)*(Inputs!$F$10-Inputs!$E$10)))</f>
        <v>0.0898026580201023</v>
      </c>
      <c r="F924" s="81" t="n">
        <f aca="true">RAND()</f>
        <v>0.286407665727118</v>
      </c>
      <c r="G924" s="83" t="n">
        <f aca="false">IF(F924&lt;(Inputs!$E$15-Inputs!$D$15)/(Inputs!$F$15-Inputs!$D$15),Inputs!$D$15+SQRT(F924*(Inputs!$F$15-Inputs!$D$15)*(Inputs!$E$15-Inputs!$D$15)),Inputs!$F$15-SQRT((1-F924)*(Inputs!$F$15-Inputs!$D$15)*(Inputs!$F$15-Inputs!$E$15)))</f>
        <v>0.675684564572589</v>
      </c>
      <c r="H924" s="81" t="n">
        <f aca="true">RAND()</f>
        <v>0.429567358043106</v>
      </c>
      <c r="I924" s="82" t="n">
        <f aca="false">ROUND(IF(H924&lt;(Inputs!$E$17-Inputs!$D$17)/(Inputs!$F$17-Inputs!$D$17),Inputs!$D$17+SQRT(H924*(Inputs!$F$17-Inputs!$D$17)*(Inputs!$E$17-Inputs!$D$17)),Inputs!$F$17-SQRT((1-H924)*(Inputs!$F$17-Inputs!$D$17)*(Inputs!$F$17-Inputs!$E$17))),0)</f>
        <v>106</v>
      </c>
      <c r="J924" s="81" t="n">
        <f aca="true">RAND()</f>
        <v>0.981100995392318</v>
      </c>
      <c r="K924" s="83" t="n">
        <f aca="false">IF(J924&lt;(Inputs!$E$18-Inputs!$D$18)/(Inputs!$F$18-Inputs!$D$18),Inputs!$D$18+SQRT(J924*(Inputs!$F$18-Inputs!$D$18)*(Inputs!$E$18-Inputs!$D$18)),Inputs!$F$18-SQRT((1-J924)*(Inputs!$F$18-Inputs!$D$18)*(Inputs!$F$18-Inputs!$E$18)))</f>
        <v>1.20933474575055</v>
      </c>
      <c r="L924" s="81" t="n">
        <f aca="true">RAND()</f>
        <v>0.402672894962803</v>
      </c>
      <c r="M924" s="83" t="n">
        <f aca="false">IF(L924&lt;(Inputs!$E$24-Inputs!$D$24)/(Inputs!$F$24-Inputs!$D$24),Inputs!$D$24+SQRT(L924*(Inputs!$F$24-Inputs!$D$24)*(Inputs!$E$24-Inputs!$D$24)),Inputs!$F$24-SQRT((1-L924)*(Inputs!$F$24-Inputs!$D$24)*(Inputs!$F$24-Inputs!$E$24)))</f>
        <v>0.821372867838387</v>
      </c>
      <c r="N924" s="81" t="n">
        <f aca="true">RAND()</f>
        <v>0.401439177067185</v>
      </c>
      <c r="O924" s="83" t="n">
        <f aca="false">IF(N924&lt;(Inputs!$E$26-Inputs!$D$26)/(Inputs!$F$26-Inputs!$D$26),Inputs!$D$26+SQRT(N924*(Inputs!$F$26-Inputs!$D$26)*(Inputs!$E$26-Inputs!$D$26)),Inputs!$F$26-SQRT((1-N924)*(Inputs!$F$26-Inputs!$D$26)*(Inputs!$F$26-Inputs!$E$26)))</f>
        <v>0.558455951883449</v>
      </c>
      <c r="P924" s="81" t="n">
        <f aca="true">RAND()</f>
        <v>0.874449181304882</v>
      </c>
      <c r="Q924" s="82" t="n">
        <f aca="false">IF(P924&lt;(Inputs!$E$27-Inputs!$D$27)/(Inputs!$F$27-Inputs!$D$27),Inputs!$D$27+SQRT(P924*(Inputs!$F$27-Inputs!$D$27)*(Inputs!$E$27-Inputs!$D$27)),Inputs!$F$27-SQRT((1-P924)*(Inputs!$F$27-Inputs!$D$27)*(Inputs!$F$27-Inputs!$E$27)))</f>
        <v>119.313991132547</v>
      </c>
      <c r="R924" s="81" t="n">
        <f aca="true">RAND()</f>
        <v>0.149516547846581</v>
      </c>
      <c r="S924" s="82" t="n">
        <f aca="false">IF(R924&lt;(Inputs!$E$29-Inputs!$D$29)/(Inputs!$F$29-Inputs!$D$29),Inputs!$D$29+SQRT(R924*(Inputs!$F$29-Inputs!$D$29)*(Inputs!$E$29-Inputs!$D$29)),Inputs!$F$29-SQRT((1-R924)*(Inputs!$F$29-Inputs!$D$29)*(Inputs!$F$29-Inputs!$E$29)))</f>
        <v>4.41477646294987</v>
      </c>
      <c r="T924" s="68" t="n">
        <f aca="false">Inputs!$E$9*(1+E924)+Inputs!$E$5*C924*(Inputs!$E$11*Inputs!$E$14*(G924*I924/Inputs!$E$16+(1-G924))*K924+Inputs!$E$23*M924)*(1+O924)+Inputs!$E$5*(Q924+S924)</f>
        <v>7036.56412742751</v>
      </c>
    </row>
    <row r="925" customFormat="false" ht="15" hidden="false" customHeight="false" outlineLevel="0" collapsed="false">
      <c r="A925" s="1" t="n">
        <v>921</v>
      </c>
      <c r="B925" s="81" t="n">
        <f aca="true">RAND()</f>
        <v>0.356776713521887</v>
      </c>
      <c r="C925" s="82" t="n">
        <f aca="false">ROUND(IF(B925&lt;(Inputs!$E$8-Inputs!$D$8)/(Inputs!$F$8-Inputs!$D$8),Inputs!$D$8+SQRT(B925*(Inputs!$F$8-Inputs!$D$8)*(Inputs!$E$8-Inputs!$D$8)),Inputs!$F$8-SQRT((1-B925)*(Inputs!$F$8-Inputs!$D$8)*(Inputs!$F$8-Inputs!$E$8))),0)</f>
        <v>24</v>
      </c>
      <c r="D925" s="81" t="n">
        <f aca="true">RAND()</f>
        <v>0.426530428074648</v>
      </c>
      <c r="E925" s="83" t="n">
        <f aca="false">IF(D925&lt;(Inputs!$E$10-Inputs!$D$10)/(Inputs!$F$10-Inputs!$D$10),Inputs!$D$10+SQRT(D925*(Inputs!$F$10-Inputs!$D$10)*(Inputs!$E$10-Inputs!$D$10)),Inputs!$F$10-SQRT((1-D925)*(Inputs!$F$10-Inputs!$D$10)*(Inputs!$F$10-Inputs!$E$10)))</f>
        <v>0.0688356482966482</v>
      </c>
      <c r="F925" s="81" t="n">
        <f aca="true">RAND()</f>
        <v>0.764844677953737</v>
      </c>
      <c r="G925" s="83" t="n">
        <f aca="false">IF(F925&lt;(Inputs!$E$15-Inputs!$D$15)/(Inputs!$F$15-Inputs!$D$15),Inputs!$D$15+SQRT(F925*(Inputs!$F$15-Inputs!$D$15)*(Inputs!$E$15-Inputs!$D$15)),Inputs!$F$15-SQRT((1-F925)*(Inputs!$F$15-Inputs!$D$15)*(Inputs!$F$15-Inputs!$E$15)))</f>
        <v>0.731420801689395</v>
      </c>
      <c r="H925" s="81" t="n">
        <f aca="true">RAND()</f>
        <v>0.0789837669751223</v>
      </c>
      <c r="I925" s="82" t="n">
        <f aca="false">ROUND(IF(H925&lt;(Inputs!$E$17-Inputs!$D$17)/(Inputs!$F$17-Inputs!$D$17),Inputs!$D$17+SQRT(H925*(Inputs!$F$17-Inputs!$D$17)*(Inputs!$E$17-Inputs!$D$17)),Inputs!$F$17-SQRT((1-H925)*(Inputs!$F$17-Inputs!$D$17)*(Inputs!$F$17-Inputs!$E$17))),0)</f>
        <v>102</v>
      </c>
      <c r="J925" s="81" t="n">
        <f aca="true">RAND()</f>
        <v>0.991969825952836</v>
      </c>
      <c r="K925" s="83" t="n">
        <f aca="false">IF(J925&lt;(Inputs!$E$18-Inputs!$D$18)/(Inputs!$F$18-Inputs!$D$18),Inputs!$D$18+SQRT(J925*(Inputs!$F$18-Inputs!$D$18)*(Inputs!$E$18-Inputs!$D$18)),Inputs!$F$18-SQRT((1-J925)*(Inputs!$F$18-Inputs!$D$18)*(Inputs!$F$18-Inputs!$E$18)))</f>
        <v>1.22349263820885</v>
      </c>
      <c r="L925" s="81" t="n">
        <f aca="true">RAND()</f>
        <v>0.276951029464117</v>
      </c>
      <c r="M925" s="83" t="n">
        <f aca="false">IF(L925&lt;(Inputs!$E$24-Inputs!$D$24)/(Inputs!$F$24-Inputs!$D$24),Inputs!$D$24+SQRT(L925*(Inputs!$F$24-Inputs!$D$24)*(Inputs!$E$24-Inputs!$D$24)),Inputs!$F$24-SQRT((1-L925)*(Inputs!$F$24-Inputs!$D$24)*(Inputs!$F$24-Inputs!$E$24)))</f>
        <v>0.782302286150487</v>
      </c>
      <c r="N925" s="81" t="n">
        <f aca="true">RAND()</f>
        <v>0.795704806068034</v>
      </c>
      <c r="O925" s="83" t="n">
        <f aca="false">IF(N925&lt;(Inputs!$E$26-Inputs!$D$26)/(Inputs!$F$26-Inputs!$D$26),Inputs!$D$26+SQRT(N925*(Inputs!$F$26-Inputs!$D$26)*(Inputs!$E$26-Inputs!$D$26)),Inputs!$F$26-SQRT((1-N925)*(Inputs!$F$26-Inputs!$D$26)*(Inputs!$F$26-Inputs!$E$26)))</f>
        <v>0.67423752139551</v>
      </c>
      <c r="P925" s="81" t="n">
        <f aca="true">RAND()</f>
        <v>0.809344027287274</v>
      </c>
      <c r="Q925" s="82" t="n">
        <f aca="false">IF(P925&lt;(Inputs!$E$27-Inputs!$D$27)/(Inputs!$F$27-Inputs!$D$27),Inputs!$D$27+SQRT(P925*(Inputs!$F$27-Inputs!$D$27)*(Inputs!$E$27-Inputs!$D$27)),Inputs!$F$27-SQRT((1-P925)*(Inputs!$F$27-Inputs!$D$27)*(Inputs!$F$27-Inputs!$E$27)))</f>
        <v>112.185719690235</v>
      </c>
      <c r="R925" s="81" t="n">
        <f aca="true">RAND()</f>
        <v>0.413930800559995</v>
      </c>
      <c r="S925" s="82" t="n">
        <f aca="false">IF(R925&lt;(Inputs!$E$29-Inputs!$D$29)/(Inputs!$F$29-Inputs!$D$29),Inputs!$D$29+SQRT(R925*(Inputs!$F$29-Inputs!$D$29)*(Inputs!$E$29-Inputs!$D$29)),Inputs!$F$29-SQRT((1-R925)*(Inputs!$F$29-Inputs!$D$29)*(Inputs!$F$29-Inputs!$E$29)))</f>
        <v>6.27136918370352</v>
      </c>
      <c r="T925" s="68" t="n">
        <f aca="false">Inputs!$E$9*(1+E925)+Inputs!$E$5*C925*(Inputs!$E$11*Inputs!$E$14*(G925*I925/Inputs!$E$16+(1-G925))*K925+Inputs!$E$23*M925)*(1+O925)+Inputs!$E$5*(Q925+S925)</f>
        <v>6608.08041979678</v>
      </c>
    </row>
    <row r="926" customFormat="false" ht="15" hidden="false" customHeight="false" outlineLevel="0" collapsed="false">
      <c r="A926" s="1" t="n">
        <v>922</v>
      </c>
      <c r="B926" s="81" t="n">
        <f aca="true">RAND()</f>
        <v>0.0329097402210514</v>
      </c>
      <c r="C926" s="82" t="n">
        <f aca="false">ROUND(IF(B926&lt;(Inputs!$E$8-Inputs!$D$8)/(Inputs!$F$8-Inputs!$D$8),Inputs!$D$8+SQRT(B926*(Inputs!$F$8-Inputs!$D$8)*(Inputs!$E$8-Inputs!$D$8)),Inputs!$F$8-SQRT((1-B926)*(Inputs!$F$8-Inputs!$D$8)*(Inputs!$F$8-Inputs!$E$8))),0)</f>
        <v>21</v>
      </c>
      <c r="D926" s="81" t="n">
        <f aca="true">RAND()</f>
        <v>0.513030376214749</v>
      </c>
      <c r="E926" s="83" t="n">
        <f aca="false">IF(D926&lt;(Inputs!$E$10-Inputs!$D$10)/(Inputs!$F$10-Inputs!$D$10),Inputs!$D$10+SQRT(D926*(Inputs!$F$10-Inputs!$D$10)*(Inputs!$E$10-Inputs!$D$10)),Inputs!$F$10-SQRT((1-D926)*(Inputs!$F$10-Inputs!$D$10)*(Inputs!$F$10-Inputs!$E$10)))</f>
        <v>0.0791319367510278</v>
      </c>
      <c r="F926" s="81" t="n">
        <f aca="true">RAND()</f>
        <v>0.00428576880186063</v>
      </c>
      <c r="G926" s="83" t="n">
        <f aca="false">IF(F926&lt;(Inputs!$E$15-Inputs!$D$15)/(Inputs!$F$15-Inputs!$D$15),Inputs!$D$15+SQRT(F926*(Inputs!$F$15-Inputs!$D$15)*(Inputs!$E$15-Inputs!$D$15)),Inputs!$F$15-SQRT((1-F926)*(Inputs!$F$15-Inputs!$D$15)*(Inputs!$F$15-Inputs!$E$15)))</f>
        <v>0.609258259881706</v>
      </c>
      <c r="H926" s="81" t="n">
        <f aca="true">RAND()</f>
        <v>0.410247219096263</v>
      </c>
      <c r="I926" s="82" t="n">
        <f aca="false">ROUND(IF(H926&lt;(Inputs!$E$17-Inputs!$D$17)/(Inputs!$F$17-Inputs!$D$17),Inputs!$D$17+SQRT(H926*(Inputs!$F$17-Inputs!$D$17)*(Inputs!$E$17-Inputs!$D$17)),Inputs!$F$17-SQRT((1-H926)*(Inputs!$F$17-Inputs!$D$17)*(Inputs!$F$17-Inputs!$E$17))),0)</f>
        <v>106</v>
      </c>
      <c r="J926" s="81" t="n">
        <f aca="true">RAND()</f>
        <v>0.472527997410741</v>
      </c>
      <c r="K926" s="83" t="n">
        <f aca="false">IF(J926&lt;(Inputs!$E$18-Inputs!$D$18)/(Inputs!$F$18-Inputs!$D$18),Inputs!$D$18+SQRT(J926*(Inputs!$F$18-Inputs!$D$18)*(Inputs!$E$18-Inputs!$D$18)),Inputs!$F$18-SQRT((1-J926)*(Inputs!$F$18-Inputs!$D$18)*(Inputs!$F$18-Inputs!$E$18)))</f>
        <v>1.03516564467814</v>
      </c>
      <c r="L926" s="81" t="n">
        <f aca="true">RAND()</f>
        <v>0.97217637833419</v>
      </c>
      <c r="M926" s="83" t="n">
        <f aca="false">IF(L926&lt;(Inputs!$E$24-Inputs!$D$24)/(Inputs!$F$24-Inputs!$D$24),Inputs!$D$24+SQRT(L926*(Inputs!$F$24-Inputs!$D$24)*(Inputs!$E$24-Inputs!$D$24)),Inputs!$F$24-SQRT((1-L926)*(Inputs!$F$24-Inputs!$D$24)*(Inputs!$F$24-Inputs!$E$24)))</f>
        <v>1.11828299320341</v>
      </c>
      <c r="N926" s="81" t="n">
        <f aca="true">RAND()</f>
        <v>0.664306891670598</v>
      </c>
      <c r="O926" s="83" t="n">
        <f aca="false">IF(N926&lt;(Inputs!$E$26-Inputs!$D$26)/(Inputs!$F$26-Inputs!$D$26),Inputs!$D$26+SQRT(N926*(Inputs!$F$26-Inputs!$D$26)*(Inputs!$E$26-Inputs!$D$26)),Inputs!$F$26-SQRT((1-N926)*(Inputs!$F$26-Inputs!$D$26)*(Inputs!$F$26-Inputs!$E$26)))</f>
        <v>0.63315224575538</v>
      </c>
      <c r="P926" s="81" t="n">
        <f aca="true">RAND()</f>
        <v>0.673509883300807</v>
      </c>
      <c r="Q926" s="82" t="n">
        <f aca="false">IF(P926&lt;(Inputs!$E$27-Inputs!$D$27)/(Inputs!$F$27-Inputs!$D$27),Inputs!$D$27+SQRT(P926*(Inputs!$F$27-Inputs!$D$27)*(Inputs!$E$27-Inputs!$D$27)),Inputs!$F$27-SQRT((1-P926)*(Inputs!$F$27-Inputs!$D$27)*(Inputs!$F$27-Inputs!$E$27)))</f>
        <v>100.515902804598</v>
      </c>
      <c r="R926" s="81" t="n">
        <f aca="true">RAND()</f>
        <v>0.119455755787528</v>
      </c>
      <c r="S926" s="82" t="n">
        <f aca="false">IF(R926&lt;(Inputs!$E$29-Inputs!$D$29)/(Inputs!$F$29-Inputs!$D$29),Inputs!$D$29+SQRT(R926*(Inputs!$F$29-Inputs!$D$29)*(Inputs!$E$29-Inputs!$D$29)),Inputs!$F$29-SQRT((1-R926)*(Inputs!$F$29-Inputs!$D$29)*(Inputs!$F$29-Inputs!$E$29)))</f>
        <v>4.15841943924567</v>
      </c>
      <c r="T926" s="68" t="n">
        <f aca="false">Inputs!$E$9*(1+E926)+Inputs!$E$5*C926*(Inputs!$E$11*Inputs!$E$14*(G926*I926/Inputs!$E$16+(1-G926))*K926+Inputs!$E$23*M926)*(1+O926)+Inputs!$E$5*(Q926+S926)</f>
        <v>6287.57959955671</v>
      </c>
    </row>
    <row r="927" customFormat="false" ht="15" hidden="false" customHeight="false" outlineLevel="0" collapsed="false">
      <c r="A927" s="1" t="n">
        <v>923</v>
      </c>
      <c r="B927" s="81" t="n">
        <f aca="true">RAND()</f>
        <v>0.245770374801215</v>
      </c>
      <c r="C927" s="82" t="n">
        <f aca="false">ROUND(IF(B927&lt;(Inputs!$E$8-Inputs!$D$8)/(Inputs!$F$8-Inputs!$D$8),Inputs!$D$8+SQRT(B927*(Inputs!$F$8-Inputs!$D$8)*(Inputs!$E$8-Inputs!$D$8)),Inputs!$F$8-SQRT((1-B927)*(Inputs!$F$8-Inputs!$D$8)*(Inputs!$F$8-Inputs!$E$8))),0)</f>
        <v>24</v>
      </c>
      <c r="D927" s="81" t="n">
        <f aca="true">RAND()</f>
        <v>0.742411843958287</v>
      </c>
      <c r="E927" s="83" t="n">
        <f aca="false">IF(D927&lt;(Inputs!$E$10-Inputs!$D$10)/(Inputs!$F$10-Inputs!$D$10),Inputs!$D$10+SQRT(D927*(Inputs!$F$10-Inputs!$D$10)*(Inputs!$E$10-Inputs!$D$10)),Inputs!$F$10-SQRT((1-D927)*(Inputs!$F$10-Inputs!$D$10)*(Inputs!$F$10-Inputs!$E$10)))</f>
        <v>0.112092977065246</v>
      </c>
      <c r="F927" s="81" t="n">
        <f aca="true">RAND()</f>
        <v>0.950043364557429</v>
      </c>
      <c r="G927" s="83" t="n">
        <f aca="false">IF(F927&lt;(Inputs!$E$15-Inputs!$D$15)/(Inputs!$F$15-Inputs!$D$15),Inputs!$D$15+SQRT(F927*(Inputs!$F$15-Inputs!$D$15)*(Inputs!$E$15-Inputs!$D$15)),Inputs!$F$15-SQRT((1-F927)*(Inputs!$F$15-Inputs!$D$15)*(Inputs!$F$15-Inputs!$E$15)))</f>
        <v>0.768390939450034</v>
      </c>
      <c r="H927" s="81" t="n">
        <f aca="true">RAND()</f>
        <v>0.285182036056763</v>
      </c>
      <c r="I927" s="82" t="n">
        <f aca="false">ROUND(IF(H927&lt;(Inputs!$E$17-Inputs!$D$17)/(Inputs!$F$17-Inputs!$D$17),Inputs!$D$17+SQRT(H927*(Inputs!$F$17-Inputs!$D$17)*(Inputs!$E$17-Inputs!$D$17)),Inputs!$F$17-SQRT((1-H927)*(Inputs!$F$17-Inputs!$D$17)*(Inputs!$F$17-Inputs!$E$17))),0)</f>
        <v>105</v>
      </c>
      <c r="J927" s="81" t="n">
        <f aca="true">RAND()</f>
        <v>0.104797549607808</v>
      </c>
      <c r="K927" s="83" t="n">
        <f aca="false">IF(J927&lt;(Inputs!$E$18-Inputs!$D$18)/(Inputs!$F$18-Inputs!$D$18),Inputs!$D$18+SQRT(J927*(Inputs!$F$18-Inputs!$D$18)*(Inputs!$E$18-Inputs!$D$18)),Inputs!$F$18-SQRT((1-J927)*(Inputs!$F$18-Inputs!$D$18)*(Inputs!$F$18-Inputs!$E$18)))</f>
        <v>0.960563307672825</v>
      </c>
      <c r="L927" s="81" t="n">
        <f aca="true">RAND()</f>
        <v>0.911489687913128</v>
      </c>
      <c r="M927" s="83" t="n">
        <f aca="false">IF(L927&lt;(Inputs!$E$24-Inputs!$D$24)/(Inputs!$F$24-Inputs!$D$24),Inputs!$D$24+SQRT(L927*(Inputs!$F$24-Inputs!$D$24)*(Inputs!$E$24-Inputs!$D$24)),Inputs!$F$24-SQRT((1-L927)*(Inputs!$F$24-Inputs!$D$24)*(Inputs!$F$24-Inputs!$E$24)))</f>
        <v>1.05425201579147</v>
      </c>
      <c r="N927" s="81" t="n">
        <f aca="true">RAND()</f>
        <v>0.0337465794437262</v>
      </c>
      <c r="O927" s="83" t="n">
        <f aca="false">IF(N927&lt;(Inputs!$E$26-Inputs!$D$26)/(Inputs!$F$26-Inputs!$D$26),Inputs!$D$26+SQRT(N927*(Inputs!$F$26-Inputs!$D$26)*(Inputs!$E$26-Inputs!$D$26)),Inputs!$F$26-SQRT((1-N927)*(Inputs!$F$26-Inputs!$D$26)*(Inputs!$F$26-Inputs!$E$26)))</f>
        <v>0.374936178308185</v>
      </c>
      <c r="P927" s="81" t="n">
        <f aca="true">RAND()</f>
        <v>0.389265720721008</v>
      </c>
      <c r="Q927" s="82" t="n">
        <f aca="false">IF(P927&lt;(Inputs!$E$27-Inputs!$D$27)/(Inputs!$F$27-Inputs!$D$27),Inputs!$D$27+SQRT(P927*(Inputs!$F$27-Inputs!$D$27)*(Inputs!$E$27-Inputs!$D$27)),Inputs!$F$27-SQRT((1-P927)*(Inputs!$F$27-Inputs!$D$27)*(Inputs!$F$27-Inputs!$E$27)))</f>
        <v>82.3205563365623</v>
      </c>
      <c r="R927" s="81" t="n">
        <f aca="true">RAND()</f>
        <v>0.394679132341409</v>
      </c>
      <c r="S927" s="82" t="n">
        <f aca="false">IF(R927&lt;(Inputs!$E$29-Inputs!$D$29)/(Inputs!$F$29-Inputs!$D$29),Inputs!$D$29+SQRT(R927*(Inputs!$F$29-Inputs!$D$29)*(Inputs!$E$29-Inputs!$D$29)),Inputs!$F$29-SQRT((1-R927)*(Inputs!$F$29-Inputs!$D$29)*(Inputs!$F$29-Inputs!$E$29)))</f>
        <v>6.12916504518223</v>
      </c>
      <c r="T927" s="68" t="n">
        <f aca="false">Inputs!$E$9*(1+E927)+Inputs!$E$5*C927*(Inputs!$E$11*Inputs!$E$14*(G927*I927/Inputs!$E$16+(1-G927))*K927+Inputs!$E$23*M927)*(1+O927)+Inputs!$E$5*(Q927+S927)</f>
        <v>5759.08264118842</v>
      </c>
    </row>
    <row r="928" customFormat="false" ht="15" hidden="false" customHeight="false" outlineLevel="0" collapsed="false">
      <c r="A928" s="1" t="n">
        <v>924</v>
      </c>
      <c r="B928" s="81" t="n">
        <f aca="true">RAND()</f>
        <v>0.308512204367398</v>
      </c>
      <c r="C928" s="82" t="n">
        <f aca="false">ROUND(IF(B928&lt;(Inputs!$E$8-Inputs!$D$8)/(Inputs!$F$8-Inputs!$D$8),Inputs!$D$8+SQRT(B928*(Inputs!$F$8-Inputs!$D$8)*(Inputs!$E$8-Inputs!$D$8)),Inputs!$F$8-SQRT((1-B928)*(Inputs!$F$8-Inputs!$D$8)*(Inputs!$F$8-Inputs!$E$8))),0)</f>
        <v>24</v>
      </c>
      <c r="D928" s="81" t="n">
        <f aca="true">RAND()</f>
        <v>0.694154692968924</v>
      </c>
      <c r="E928" s="83" t="n">
        <f aca="false">IF(D928&lt;(Inputs!$E$10-Inputs!$D$10)/(Inputs!$F$10-Inputs!$D$10),Inputs!$D$10+SQRT(D928*(Inputs!$F$10-Inputs!$D$10)*(Inputs!$E$10-Inputs!$D$10)),Inputs!$F$10-SQRT((1-D928)*(Inputs!$F$10-Inputs!$D$10)*(Inputs!$F$10-Inputs!$E$10)))</f>
        <v>0.104211904649209</v>
      </c>
      <c r="F928" s="81" t="n">
        <f aca="true">RAND()</f>
        <v>0.843658852159846</v>
      </c>
      <c r="G928" s="83" t="n">
        <f aca="false">IF(F928&lt;(Inputs!$E$15-Inputs!$D$15)/(Inputs!$F$15-Inputs!$D$15),Inputs!$D$15+SQRT(F928*(Inputs!$F$15-Inputs!$D$15)*(Inputs!$E$15-Inputs!$D$15)),Inputs!$F$15-SQRT((1-F928)*(Inputs!$F$15-Inputs!$D$15)*(Inputs!$F$15-Inputs!$E$15)))</f>
        <v>0.744081997918353</v>
      </c>
      <c r="H928" s="81" t="n">
        <f aca="true">RAND()</f>
        <v>0.159267699600426</v>
      </c>
      <c r="I928" s="82" t="n">
        <f aca="false">ROUND(IF(H928&lt;(Inputs!$E$17-Inputs!$D$17)/(Inputs!$F$17-Inputs!$D$17),Inputs!$D$17+SQRT(H928*(Inputs!$F$17-Inputs!$D$17)*(Inputs!$E$17-Inputs!$D$17)),Inputs!$F$17-SQRT((1-H928)*(Inputs!$F$17-Inputs!$D$17)*(Inputs!$F$17-Inputs!$E$17))),0)</f>
        <v>103</v>
      </c>
      <c r="J928" s="81" t="n">
        <f aca="true">RAND()</f>
        <v>0.667513153633504</v>
      </c>
      <c r="K928" s="83" t="n">
        <f aca="false">IF(J928&lt;(Inputs!$E$18-Inputs!$D$18)/(Inputs!$F$18-Inputs!$D$18),Inputs!$D$18+SQRT(J928*(Inputs!$F$18-Inputs!$D$18)*(Inputs!$E$18-Inputs!$D$18)),Inputs!$F$18-SQRT((1-J928)*(Inputs!$F$18-Inputs!$D$18)*(Inputs!$F$18-Inputs!$E$18)))</f>
        <v>1.07943447283502</v>
      </c>
      <c r="L928" s="81" t="n">
        <f aca="true">RAND()</f>
        <v>0.383751852275917</v>
      </c>
      <c r="M928" s="83" t="n">
        <f aca="false">IF(L928&lt;(Inputs!$E$24-Inputs!$D$24)/(Inputs!$F$24-Inputs!$D$24),Inputs!$D$24+SQRT(L928*(Inputs!$F$24-Inputs!$D$24)*(Inputs!$E$24-Inputs!$D$24)),Inputs!$F$24-SQRT((1-L928)*(Inputs!$F$24-Inputs!$D$24)*(Inputs!$F$24-Inputs!$E$24)))</f>
        <v>0.815422887506576</v>
      </c>
      <c r="N928" s="81" t="n">
        <f aca="true">RAND()</f>
        <v>0.537767479537308</v>
      </c>
      <c r="O928" s="83" t="n">
        <f aca="false">IF(N928&lt;(Inputs!$E$26-Inputs!$D$26)/(Inputs!$F$26-Inputs!$D$26),Inputs!$D$26+SQRT(N928*(Inputs!$F$26-Inputs!$D$26)*(Inputs!$E$26-Inputs!$D$26)),Inputs!$F$26-SQRT((1-N928)*(Inputs!$F$26-Inputs!$D$26)*(Inputs!$F$26-Inputs!$E$26)))</f>
        <v>0.599139613884567</v>
      </c>
      <c r="P928" s="81" t="n">
        <f aca="true">RAND()</f>
        <v>0.938614866384526</v>
      </c>
      <c r="Q928" s="82" t="n">
        <f aca="false">IF(P928&lt;(Inputs!$E$27-Inputs!$D$27)/(Inputs!$F$27-Inputs!$D$27),Inputs!$D$27+SQRT(P928*(Inputs!$F$27-Inputs!$D$27)*(Inputs!$E$27-Inputs!$D$27)),Inputs!$F$27-SQRT((1-P928)*(Inputs!$F$27-Inputs!$D$27)*(Inputs!$F$27-Inputs!$E$27)))</f>
        <v>128.543334319703</v>
      </c>
      <c r="R928" s="81" t="n">
        <f aca="true">RAND()</f>
        <v>0.987356764559847</v>
      </c>
      <c r="S928" s="82" t="n">
        <f aca="false">IF(R928&lt;(Inputs!$E$29-Inputs!$D$29)/(Inputs!$F$29-Inputs!$D$29),Inputs!$D$29+SQRT(R928*(Inputs!$F$29-Inputs!$D$29)*(Inputs!$E$29-Inputs!$D$29)),Inputs!$F$29-SQRT((1-R928)*(Inputs!$F$29-Inputs!$D$29)*(Inputs!$F$29-Inputs!$E$29)))</f>
        <v>13.7179623222308</v>
      </c>
      <c r="T928" s="68" t="n">
        <f aca="false">Inputs!$E$9*(1+E928)+Inputs!$E$5*C928*(Inputs!$E$11*Inputs!$E$14*(G928*I928/Inputs!$E$16+(1-G928))*K928+Inputs!$E$23*M928)*(1+O928)+Inputs!$E$5*(Q928+S928)</f>
        <v>6394.52472946726</v>
      </c>
    </row>
    <row r="929" customFormat="false" ht="15" hidden="false" customHeight="false" outlineLevel="0" collapsed="false">
      <c r="A929" s="1" t="n">
        <v>925</v>
      </c>
      <c r="B929" s="81" t="n">
        <f aca="true">RAND()</f>
        <v>0.320709243740453</v>
      </c>
      <c r="C929" s="82" t="n">
        <f aca="false">ROUND(IF(B929&lt;(Inputs!$E$8-Inputs!$D$8)/(Inputs!$F$8-Inputs!$D$8),Inputs!$D$8+SQRT(B929*(Inputs!$F$8-Inputs!$D$8)*(Inputs!$E$8-Inputs!$D$8)),Inputs!$F$8-SQRT((1-B929)*(Inputs!$F$8-Inputs!$D$8)*(Inputs!$F$8-Inputs!$E$8))),0)</f>
        <v>24</v>
      </c>
      <c r="D929" s="81" t="n">
        <f aca="true">RAND()</f>
        <v>0.358846745237828</v>
      </c>
      <c r="E929" s="83" t="n">
        <f aca="false">IF(D929&lt;(Inputs!$E$10-Inputs!$D$10)/(Inputs!$F$10-Inputs!$D$10),Inputs!$D$10+SQRT(D929*(Inputs!$F$10-Inputs!$D$10)*(Inputs!$E$10-Inputs!$D$10)),Inputs!$F$10-SQRT((1-D929)*(Inputs!$F$10-Inputs!$D$10)*(Inputs!$F$10-Inputs!$E$10)))</f>
        <v>0.061311148094502</v>
      </c>
      <c r="F929" s="81" t="n">
        <f aca="true">RAND()</f>
        <v>0.00508936559951632</v>
      </c>
      <c r="G929" s="83" t="n">
        <f aca="false">IF(F929&lt;(Inputs!$E$15-Inputs!$D$15)/(Inputs!$F$15-Inputs!$D$15),Inputs!$D$15+SQRT(F929*(Inputs!$F$15-Inputs!$D$15)*(Inputs!$E$15-Inputs!$D$15)),Inputs!$F$15-SQRT((1-F929)*(Inputs!$F$15-Inputs!$D$15)*(Inputs!$F$15-Inputs!$E$15)))</f>
        <v>0.61008896981809</v>
      </c>
      <c r="H929" s="81" t="n">
        <f aca="true">RAND()</f>
        <v>0.368102829940796</v>
      </c>
      <c r="I929" s="82" t="n">
        <f aca="false">ROUND(IF(H929&lt;(Inputs!$E$17-Inputs!$D$17)/(Inputs!$F$17-Inputs!$D$17),Inputs!$D$17+SQRT(H929*(Inputs!$F$17-Inputs!$D$17)*(Inputs!$E$17-Inputs!$D$17)),Inputs!$F$17-SQRT((1-H929)*(Inputs!$F$17-Inputs!$D$17)*(Inputs!$F$17-Inputs!$E$17))),0)</f>
        <v>105</v>
      </c>
      <c r="J929" s="81" t="n">
        <f aca="true">RAND()</f>
        <v>0.719722582003907</v>
      </c>
      <c r="K929" s="83" t="n">
        <f aca="false">IF(J929&lt;(Inputs!$E$18-Inputs!$D$18)/(Inputs!$F$18-Inputs!$D$18),Inputs!$D$18+SQRT(J929*(Inputs!$F$18-Inputs!$D$18)*(Inputs!$E$18-Inputs!$D$18)),Inputs!$F$18-SQRT((1-J929)*(Inputs!$F$18-Inputs!$D$18)*(Inputs!$F$18-Inputs!$E$18)))</f>
        <v>1.09339772008474</v>
      </c>
      <c r="L929" s="81" t="n">
        <f aca="true">RAND()</f>
        <v>0.783701976393516</v>
      </c>
      <c r="M929" s="83" t="n">
        <f aca="false">IF(L929&lt;(Inputs!$E$24-Inputs!$D$24)/(Inputs!$F$24-Inputs!$D$24),Inputs!$D$24+SQRT(L929*(Inputs!$F$24-Inputs!$D$24)*(Inputs!$E$24-Inputs!$D$24)),Inputs!$F$24-SQRT((1-L929)*(Inputs!$F$24-Inputs!$D$24)*(Inputs!$F$24-Inputs!$E$24)))</f>
        <v>0.972158990378036</v>
      </c>
      <c r="N929" s="81" t="n">
        <f aca="true">RAND()</f>
        <v>0.0725140959927116</v>
      </c>
      <c r="O929" s="83" t="n">
        <f aca="false">IF(N929&lt;(Inputs!$E$26-Inputs!$D$26)/(Inputs!$F$26-Inputs!$D$26),Inputs!$D$26+SQRT(N929*(Inputs!$F$26-Inputs!$D$26)*(Inputs!$E$26-Inputs!$D$26)),Inputs!$F$26-SQRT((1-N929)*(Inputs!$F$26-Inputs!$D$26)*(Inputs!$F$26-Inputs!$E$26)))</f>
        <v>0.409846918815173</v>
      </c>
      <c r="P929" s="81" t="n">
        <f aca="true">RAND()</f>
        <v>0.160901332730703</v>
      </c>
      <c r="Q929" s="82" t="n">
        <f aca="false">IF(P929&lt;(Inputs!$E$27-Inputs!$D$27)/(Inputs!$F$27-Inputs!$D$27),Inputs!$D$27+SQRT(P929*(Inputs!$F$27-Inputs!$D$27)*(Inputs!$E$27-Inputs!$D$27)),Inputs!$F$27-SQRT((1-P929)*(Inputs!$F$27-Inputs!$D$27)*(Inputs!$F$27-Inputs!$E$27)))</f>
        <v>70.0562541823432</v>
      </c>
      <c r="R929" s="81" t="n">
        <f aca="true">RAND()</f>
        <v>0.850087526928627</v>
      </c>
      <c r="S929" s="82" t="n">
        <f aca="false">IF(R929&lt;(Inputs!$E$29-Inputs!$D$29)/(Inputs!$F$29-Inputs!$D$29),Inputs!$D$29+SQRT(R929*(Inputs!$F$29-Inputs!$D$29)*(Inputs!$E$29-Inputs!$D$29)),Inputs!$F$29-SQRT((1-R929)*(Inputs!$F$29-Inputs!$D$29)*(Inputs!$F$29-Inputs!$E$29)))</f>
        <v>10.5854081163398</v>
      </c>
      <c r="T929" s="68" t="n">
        <f aca="false">Inputs!$E$9*(1+E929)+Inputs!$E$5*C929*(Inputs!$E$11*Inputs!$E$14*(G929*I929/Inputs!$E$16+(1-G929))*K929+Inputs!$E$23*M929)*(1+O929)+Inputs!$E$5*(Q929+S929)</f>
        <v>6008.33808855533</v>
      </c>
    </row>
    <row r="930" customFormat="false" ht="15" hidden="false" customHeight="false" outlineLevel="0" collapsed="false">
      <c r="A930" s="1" t="n">
        <v>926</v>
      </c>
      <c r="B930" s="81" t="n">
        <f aca="true">RAND()</f>
        <v>0.790616394777785</v>
      </c>
      <c r="C930" s="82" t="n">
        <f aca="false">ROUND(IF(B930&lt;(Inputs!$E$8-Inputs!$D$8)/(Inputs!$F$8-Inputs!$D$8),Inputs!$D$8+SQRT(B930*(Inputs!$F$8-Inputs!$D$8)*(Inputs!$E$8-Inputs!$D$8)),Inputs!$F$8-SQRT((1-B930)*(Inputs!$F$8-Inputs!$D$8)*(Inputs!$F$8-Inputs!$E$8))),0)</f>
        <v>27</v>
      </c>
      <c r="D930" s="81" t="n">
        <f aca="true">RAND()</f>
        <v>0.454405504555329</v>
      </c>
      <c r="E930" s="83" t="n">
        <f aca="false">IF(D930&lt;(Inputs!$E$10-Inputs!$D$10)/(Inputs!$F$10-Inputs!$D$10),Inputs!$D$10+SQRT(D930*(Inputs!$F$10-Inputs!$D$10)*(Inputs!$E$10-Inputs!$D$10)),Inputs!$F$10-SQRT((1-D930)*(Inputs!$F$10-Inputs!$D$10)*(Inputs!$F$10-Inputs!$E$10)))</f>
        <v>0.0720631606481537</v>
      </c>
      <c r="F930" s="81" t="n">
        <f aca="true">RAND()</f>
        <v>0.349512568073651</v>
      </c>
      <c r="G930" s="83" t="n">
        <f aca="false">IF(F930&lt;(Inputs!$E$15-Inputs!$D$15)/(Inputs!$F$15-Inputs!$D$15),Inputs!$D$15+SQRT(F930*(Inputs!$F$15-Inputs!$D$15)*(Inputs!$E$15-Inputs!$D$15)),Inputs!$F$15-SQRT((1-F930)*(Inputs!$F$15-Inputs!$D$15)*(Inputs!$F$15-Inputs!$E$15)))</f>
        <v>0.68360772309705</v>
      </c>
      <c r="H930" s="81" t="n">
        <f aca="true">RAND()</f>
        <v>0.672435917665916</v>
      </c>
      <c r="I930" s="82" t="n">
        <f aca="false">ROUND(IF(H930&lt;(Inputs!$E$17-Inputs!$D$17)/(Inputs!$F$17-Inputs!$D$17),Inputs!$D$17+SQRT(H930*(Inputs!$F$17-Inputs!$D$17)*(Inputs!$E$17-Inputs!$D$17)),Inputs!$F$17-SQRT((1-H930)*(Inputs!$F$17-Inputs!$D$17)*(Inputs!$F$17-Inputs!$E$17))),0)</f>
        <v>108</v>
      </c>
      <c r="J930" s="81" t="n">
        <f aca="true">RAND()</f>
        <v>0.883214565655329</v>
      </c>
      <c r="K930" s="83" t="n">
        <f aca="false">IF(J930&lt;(Inputs!$E$18-Inputs!$D$18)/(Inputs!$F$18-Inputs!$D$18),Inputs!$D$18+SQRT(J930*(Inputs!$F$18-Inputs!$D$18)*(Inputs!$E$18-Inputs!$D$18)),Inputs!$F$18-SQRT((1-J930)*(Inputs!$F$18-Inputs!$D$18)*(Inputs!$F$18-Inputs!$E$18)))</f>
        <v>1.14891228806052</v>
      </c>
      <c r="L930" s="81" t="n">
        <f aca="true">RAND()</f>
        <v>0.936148360605661</v>
      </c>
      <c r="M930" s="83" t="n">
        <f aca="false">IF(L930&lt;(Inputs!$E$24-Inputs!$D$24)/(Inputs!$F$24-Inputs!$D$24),Inputs!$D$24+SQRT(L930*(Inputs!$F$24-Inputs!$D$24)*(Inputs!$E$24-Inputs!$D$24)),Inputs!$F$24-SQRT((1-L930)*(Inputs!$F$24-Inputs!$D$24)*(Inputs!$F$24-Inputs!$E$24)))</f>
        <v>1.07620826580647</v>
      </c>
      <c r="N930" s="81" t="n">
        <f aca="true">RAND()</f>
        <v>0.266433158619883</v>
      </c>
      <c r="O930" s="83" t="n">
        <f aca="false">IF(N930&lt;(Inputs!$E$26-Inputs!$D$26)/(Inputs!$F$26-Inputs!$D$26),Inputs!$D$26+SQRT(N930*(Inputs!$F$26-Inputs!$D$26)*(Inputs!$E$26-Inputs!$D$26)),Inputs!$F$26-SQRT((1-N930)*(Inputs!$F$26-Inputs!$D$26)*(Inputs!$F$26-Inputs!$E$26)))</f>
        <v>0.510557539865825</v>
      </c>
      <c r="P930" s="81" t="n">
        <f aca="true">RAND()</f>
        <v>0.399986923071843</v>
      </c>
      <c r="Q930" s="82" t="n">
        <f aca="false">IF(P930&lt;(Inputs!$E$27-Inputs!$D$27)/(Inputs!$F$27-Inputs!$D$27),Inputs!$D$27+SQRT(P930*(Inputs!$F$27-Inputs!$D$27)*(Inputs!$E$27-Inputs!$D$27)),Inputs!$F$27-SQRT((1-P930)*(Inputs!$F$27-Inputs!$D$27)*(Inputs!$F$27-Inputs!$E$27)))</f>
        <v>82.917229656482</v>
      </c>
      <c r="R930" s="81" t="n">
        <f aca="true">RAND()</f>
        <v>0.98982828940028</v>
      </c>
      <c r="S930" s="82" t="n">
        <f aca="false">IF(R930&lt;(Inputs!$E$29-Inputs!$D$29)/(Inputs!$F$29-Inputs!$D$29),Inputs!$D$29+SQRT(R930*(Inputs!$F$29-Inputs!$D$29)*(Inputs!$E$29-Inputs!$D$29)),Inputs!$F$29-SQRT((1-R930)*(Inputs!$F$29-Inputs!$D$29)*(Inputs!$F$29-Inputs!$E$29)))</f>
        <v>13.8500772295656</v>
      </c>
      <c r="T930" s="68" t="n">
        <f aca="false">Inputs!$E$9*(1+E930)+Inputs!$E$5*C930*(Inputs!$E$11*Inputs!$E$14*(G930*I930/Inputs!$E$16+(1-G930))*K930+Inputs!$E$23*M930)*(1+O930)+Inputs!$E$5*(Q930+S930)</f>
        <v>6989.14441534315</v>
      </c>
    </row>
    <row r="931" customFormat="false" ht="15" hidden="false" customHeight="false" outlineLevel="0" collapsed="false">
      <c r="A931" s="1" t="n">
        <v>927</v>
      </c>
      <c r="B931" s="81" t="n">
        <f aca="true">RAND()</f>
        <v>0.690672464049897</v>
      </c>
      <c r="C931" s="82" t="n">
        <f aca="false">ROUND(IF(B931&lt;(Inputs!$E$8-Inputs!$D$8)/(Inputs!$F$8-Inputs!$D$8),Inputs!$D$8+SQRT(B931*(Inputs!$F$8-Inputs!$D$8)*(Inputs!$E$8-Inputs!$D$8)),Inputs!$F$8-SQRT((1-B931)*(Inputs!$F$8-Inputs!$D$8)*(Inputs!$F$8-Inputs!$E$8))),0)</f>
        <v>26</v>
      </c>
      <c r="D931" s="81" t="n">
        <f aca="true">RAND()</f>
        <v>0.873457418746579</v>
      </c>
      <c r="E931" s="83" t="n">
        <f aca="false">IF(D931&lt;(Inputs!$E$10-Inputs!$D$10)/(Inputs!$F$10-Inputs!$D$10),Inputs!$D$10+SQRT(D931*(Inputs!$F$10-Inputs!$D$10)*(Inputs!$E$10-Inputs!$D$10)),Inputs!$F$10-SQRT((1-D931)*(Inputs!$F$10-Inputs!$D$10)*(Inputs!$F$10-Inputs!$E$10)))</f>
        <v>0.138386061336718</v>
      </c>
      <c r="F931" s="81" t="n">
        <f aca="true">RAND()</f>
        <v>0.655432155459392</v>
      </c>
      <c r="G931" s="83" t="n">
        <f aca="false">IF(F931&lt;(Inputs!$E$15-Inputs!$D$15)/(Inputs!$F$15-Inputs!$D$15),Inputs!$D$15+SQRT(F931*(Inputs!$F$15-Inputs!$D$15)*(Inputs!$E$15-Inputs!$D$15)),Inputs!$F$15-SQRT((1-F931)*(Inputs!$F$15-Inputs!$D$15)*(Inputs!$F$15-Inputs!$E$15)))</f>
        <v>0.71698580307675</v>
      </c>
      <c r="H931" s="81" t="n">
        <f aca="true">RAND()</f>
        <v>0.65011574202871</v>
      </c>
      <c r="I931" s="82" t="n">
        <f aca="false">ROUND(IF(H931&lt;(Inputs!$E$17-Inputs!$D$17)/(Inputs!$F$17-Inputs!$D$17),Inputs!$D$17+SQRT(H931*(Inputs!$F$17-Inputs!$D$17)*(Inputs!$E$17-Inputs!$D$17)),Inputs!$F$17-SQRT((1-H931)*(Inputs!$F$17-Inputs!$D$17)*(Inputs!$F$17-Inputs!$E$17))),0)</f>
        <v>108</v>
      </c>
      <c r="J931" s="81" t="n">
        <f aca="true">RAND()</f>
        <v>0.023020559435346</v>
      </c>
      <c r="K931" s="83" t="n">
        <f aca="false">IF(J931&lt;(Inputs!$E$18-Inputs!$D$18)/(Inputs!$F$18-Inputs!$D$18),Inputs!$D$18+SQRT(J931*(Inputs!$F$18-Inputs!$D$18)*(Inputs!$E$18-Inputs!$D$18)),Inputs!$F$18-SQRT((1-J931)*(Inputs!$F$18-Inputs!$D$18)*(Inputs!$F$18-Inputs!$E$18)))</f>
        <v>0.928385200021087</v>
      </c>
      <c r="L931" s="81" t="n">
        <f aca="true">RAND()</f>
        <v>0.354720098923718</v>
      </c>
      <c r="M931" s="83" t="n">
        <f aca="false">IF(L931&lt;(Inputs!$E$24-Inputs!$D$24)/(Inputs!$F$24-Inputs!$D$24),Inputs!$D$24+SQRT(L931*(Inputs!$F$24-Inputs!$D$24)*(Inputs!$E$24-Inputs!$D$24)),Inputs!$F$24-SQRT((1-L931)*(Inputs!$F$24-Inputs!$D$24)*(Inputs!$F$24-Inputs!$E$24)))</f>
        <v>0.806468328773518</v>
      </c>
      <c r="N931" s="81" t="n">
        <f aca="true">RAND()</f>
        <v>0.539341076149872</v>
      </c>
      <c r="O931" s="83" t="n">
        <f aca="false">IF(N931&lt;(Inputs!$E$26-Inputs!$D$26)/(Inputs!$F$26-Inputs!$D$26),Inputs!$D$26+SQRT(N931*(Inputs!$F$26-Inputs!$D$26)*(Inputs!$E$26-Inputs!$D$26)),Inputs!$F$26-SQRT((1-N931)*(Inputs!$F$26-Inputs!$D$26)*(Inputs!$F$26-Inputs!$E$26)))</f>
        <v>0.599576960181084</v>
      </c>
      <c r="P931" s="81" t="n">
        <f aca="true">RAND()</f>
        <v>0.744045812381107</v>
      </c>
      <c r="Q931" s="82" t="n">
        <f aca="false">IF(P931&lt;(Inputs!$E$27-Inputs!$D$27)/(Inputs!$F$27-Inputs!$D$27),Inputs!$D$27+SQRT(P931*(Inputs!$F$27-Inputs!$D$27)*(Inputs!$E$27-Inputs!$D$27)),Inputs!$F$27-SQRT((1-P931)*(Inputs!$F$27-Inputs!$D$27)*(Inputs!$F$27-Inputs!$E$27)))</f>
        <v>106.186116274157</v>
      </c>
      <c r="R931" s="81" t="n">
        <f aca="true">RAND()</f>
        <v>0.686630180012071</v>
      </c>
      <c r="S931" s="82" t="n">
        <f aca="false">IF(R931&lt;(Inputs!$E$29-Inputs!$D$29)/(Inputs!$F$29-Inputs!$D$29),Inputs!$D$29+SQRT(R931*(Inputs!$F$29-Inputs!$D$29)*(Inputs!$E$29-Inputs!$D$29)),Inputs!$F$29-SQRT((1-R931)*(Inputs!$F$29-Inputs!$D$29)*(Inputs!$F$29-Inputs!$E$29)))</f>
        <v>8.61736131381145</v>
      </c>
      <c r="T931" s="68" t="n">
        <f aca="false">Inputs!$E$9*(1+E931)+Inputs!$E$5*C931*(Inputs!$E$11*Inputs!$E$14*(G931*I931/Inputs!$E$16+(1-G931))*K931+Inputs!$E$23*M931)*(1+O931)+Inputs!$E$5*(Q931+S931)</f>
        <v>6360.36888397335</v>
      </c>
    </row>
    <row r="932" customFormat="false" ht="15" hidden="false" customHeight="false" outlineLevel="0" collapsed="false">
      <c r="A932" s="1" t="n">
        <v>928</v>
      </c>
      <c r="B932" s="81" t="n">
        <f aca="true">RAND()</f>
        <v>0.370262619606518</v>
      </c>
      <c r="C932" s="82" t="n">
        <f aca="false">ROUND(IF(B932&lt;(Inputs!$E$8-Inputs!$D$8)/(Inputs!$F$8-Inputs!$D$8),Inputs!$D$8+SQRT(B932*(Inputs!$F$8-Inputs!$D$8)*(Inputs!$E$8-Inputs!$D$8)),Inputs!$F$8-SQRT((1-B932)*(Inputs!$F$8-Inputs!$D$8)*(Inputs!$F$8-Inputs!$E$8))),0)</f>
        <v>24</v>
      </c>
      <c r="D932" s="81" t="n">
        <f aca="true">RAND()</f>
        <v>0.873675322605609</v>
      </c>
      <c r="E932" s="83" t="n">
        <f aca="false">IF(D932&lt;(Inputs!$E$10-Inputs!$D$10)/(Inputs!$F$10-Inputs!$D$10),Inputs!$D$10+SQRT(D932*(Inputs!$F$10-Inputs!$D$10)*(Inputs!$E$10-Inputs!$D$10)),Inputs!$F$10-SQRT((1-D932)*(Inputs!$F$10-Inputs!$D$10)*(Inputs!$F$10-Inputs!$E$10)))</f>
        <v>0.138439133194604</v>
      </c>
      <c r="F932" s="81" t="n">
        <f aca="true">RAND()</f>
        <v>0.0496775479881979</v>
      </c>
      <c r="G932" s="83" t="n">
        <f aca="false">IF(F932&lt;(Inputs!$E$15-Inputs!$D$15)/(Inputs!$F$15-Inputs!$D$15),Inputs!$D$15+SQRT(F932*(Inputs!$F$15-Inputs!$D$15)*(Inputs!$E$15-Inputs!$D$15)),Inputs!$F$15-SQRT((1-F932)*(Inputs!$F$15-Inputs!$D$15)*(Inputs!$F$15-Inputs!$E$15)))</f>
        <v>0.631520643390704</v>
      </c>
      <c r="H932" s="81" t="n">
        <f aca="true">RAND()</f>
        <v>0.239729140539611</v>
      </c>
      <c r="I932" s="82" t="n">
        <f aca="false">ROUND(IF(H932&lt;(Inputs!$E$17-Inputs!$D$17)/(Inputs!$F$17-Inputs!$D$17),Inputs!$D$17+SQRT(H932*(Inputs!$F$17-Inputs!$D$17)*(Inputs!$E$17-Inputs!$D$17)),Inputs!$F$17-SQRT((1-H932)*(Inputs!$F$17-Inputs!$D$17)*(Inputs!$F$17-Inputs!$E$17))),0)</f>
        <v>104</v>
      </c>
      <c r="J932" s="81" t="n">
        <f aca="true">RAND()</f>
        <v>0.886981465051459</v>
      </c>
      <c r="K932" s="83" t="n">
        <f aca="false">IF(J932&lt;(Inputs!$E$18-Inputs!$D$18)/(Inputs!$F$18-Inputs!$D$18),Inputs!$D$18+SQRT(J932*(Inputs!$F$18-Inputs!$D$18)*(Inputs!$E$18-Inputs!$D$18)),Inputs!$F$18-SQRT((1-J932)*(Inputs!$F$18-Inputs!$D$18)*(Inputs!$F$18-Inputs!$E$18)))</f>
        <v>1.15055593628578</v>
      </c>
      <c r="L932" s="81" t="n">
        <f aca="true">RAND()</f>
        <v>0.810775564144135</v>
      </c>
      <c r="M932" s="83" t="n">
        <f aca="false">IF(L932&lt;(Inputs!$E$24-Inputs!$D$24)/(Inputs!$F$24-Inputs!$D$24),Inputs!$D$24+SQRT(L932*(Inputs!$F$24-Inputs!$D$24)*(Inputs!$E$24-Inputs!$D$24)),Inputs!$F$24-SQRT((1-L932)*(Inputs!$F$24-Inputs!$D$24)*(Inputs!$F$24-Inputs!$E$24)))</f>
        <v>0.986894710048278</v>
      </c>
      <c r="N932" s="81" t="n">
        <f aca="true">RAND()</f>
        <v>0.968630217074611</v>
      </c>
      <c r="O932" s="83" t="n">
        <f aca="false">IF(N932&lt;(Inputs!$E$26-Inputs!$D$26)/(Inputs!$F$26-Inputs!$D$26),Inputs!$D$26+SQRT(N932*(Inputs!$F$26-Inputs!$D$26)*(Inputs!$E$26-Inputs!$D$26)),Inputs!$F$26-SQRT((1-N932)*(Inputs!$F$26-Inputs!$D$26)*(Inputs!$F$26-Inputs!$E$26)))</f>
        <v>0.762882074405311</v>
      </c>
      <c r="P932" s="81" t="n">
        <f aca="true">RAND()</f>
        <v>0.630018755218876</v>
      </c>
      <c r="Q932" s="82" t="n">
        <f aca="false">IF(P932&lt;(Inputs!$E$27-Inputs!$D$27)/(Inputs!$F$27-Inputs!$D$27),Inputs!$D$27+SQRT(P932*(Inputs!$F$27-Inputs!$D$27)*(Inputs!$E$27-Inputs!$D$27)),Inputs!$F$27-SQRT((1-P932)*(Inputs!$F$27-Inputs!$D$27)*(Inputs!$F$27-Inputs!$E$27)))</f>
        <v>97.3230663776029</v>
      </c>
      <c r="R932" s="81" t="n">
        <f aca="true">RAND()</f>
        <v>0.442267444906591</v>
      </c>
      <c r="S932" s="82" t="n">
        <f aca="false">IF(R932&lt;(Inputs!$E$29-Inputs!$D$29)/(Inputs!$F$29-Inputs!$D$29),Inputs!$D$29+SQRT(R932*(Inputs!$F$29-Inputs!$D$29)*(Inputs!$E$29-Inputs!$D$29)),Inputs!$F$29-SQRT((1-R932)*(Inputs!$F$29-Inputs!$D$29)*(Inputs!$F$29-Inputs!$E$29)))</f>
        <v>6.48499957943964</v>
      </c>
      <c r="T932" s="68" t="n">
        <f aca="false">Inputs!$E$9*(1+E932)+Inputs!$E$5*C932*(Inputs!$E$11*Inputs!$E$14*(G932*I932/Inputs!$E$16+(1-G932))*K932+Inputs!$E$23*M932)*(1+O932)+Inputs!$E$5*(Q932+S932)</f>
        <v>7224.53518973558</v>
      </c>
    </row>
    <row r="933" customFormat="false" ht="15" hidden="false" customHeight="false" outlineLevel="0" collapsed="false">
      <c r="A933" s="1" t="n">
        <v>929</v>
      </c>
      <c r="B933" s="81" t="n">
        <f aca="true">RAND()</f>
        <v>0.540186120587411</v>
      </c>
      <c r="C933" s="82" t="n">
        <f aca="false">ROUND(IF(B933&lt;(Inputs!$E$8-Inputs!$D$8)/(Inputs!$F$8-Inputs!$D$8),Inputs!$D$8+SQRT(B933*(Inputs!$F$8-Inputs!$D$8)*(Inputs!$E$8-Inputs!$D$8)),Inputs!$F$8-SQRT((1-B933)*(Inputs!$F$8-Inputs!$D$8)*(Inputs!$F$8-Inputs!$E$8))),0)</f>
        <v>25</v>
      </c>
      <c r="D933" s="81" t="n">
        <f aca="true">RAND()</f>
        <v>0.868890227831262</v>
      </c>
      <c r="E933" s="83" t="n">
        <f aca="false">IF(D933&lt;(Inputs!$E$10-Inputs!$D$10)/(Inputs!$F$10-Inputs!$D$10),Inputs!$D$10+SQRT(D933*(Inputs!$F$10-Inputs!$D$10)*(Inputs!$E$10-Inputs!$D$10)),Inputs!$F$10-SQRT((1-D933)*(Inputs!$F$10-Inputs!$D$10)*(Inputs!$F$10-Inputs!$E$10)))</f>
        <v>0.137284027831324</v>
      </c>
      <c r="F933" s="81" t="n">
        <f aca="true">RAND()</f>
        <v>0.243436678235841</v>
      </c>
      <c r="G933" s="83" t="n">
        <f aca="false">IF(F933&lt;(Inputs!$E$15-Inputs!$D$15)/(Inputs!$F$15-Inputs!$D$15),Inputs!$D$15+SQRT(F933*(Inputs!$F$15-Inputs!$D$15)*(Inputs!$E$15-Inputs!$D$15)),Inputs!$F$15-SQRT((1-F933)*(Inputs!$F$15-Inputs!$D$15)*(Inputs!$F$15-Inputs!$E$15)))</f>
        <v>0.669776310913639</v>
      </c>
      <c r="H933" s="81" t="n">
        <f aca="true">RAND()</f>
        <v>0.38158487728007</v>
      </c>
      <c r="I933" s="82" t="n">
        <f aca="false">ROUND(IF(H933&lt;(Inputs!$E$17-Inputs!$D$17)/(Inputs!$F$17-Inputs!$D$17),Inputs!$D$17+SQRT(H933*(Inputs!$F$17-Inputs!$D$17)*(Inputs!$E$17-Inputs!$D$17)),Inputs!$F$17-SQRT((1-H933)*(Inputs!$F$17-Inputs!$D$17)*(Inputs!$F$17-Inputs!$E$17))),0)</f>
        <v>105</v>
      </c>
      <c r="J933" s="81" t="n">
        <f aca="true">RAND()</f>
        <v>0.146445573527003</v>
      </c>
      <c r="K933" s="83" t="n">
        <f aca="false">IF(J933&lt;(Inputs!$E$18-Inputs!$D$18)/(Inputs!$F$18-Inputs!$D$18),Inputs!$D$18+SQRT(J933*(Inputs!$F$18-Inputs!$D$18)*(Inputs!$E$18-Inputs!$D$18)),Inputs!$F$18-SQRT((1-J933)*(Inputs!$F$18-Inputs!$D$18)*(Inputs!$F$18-Inputs!$E$18)))</f>
        <v>0.971593261368966</v>
      </c>
      <c r="L933" s="81" t="n">
        <f aca="true">RAND()</f>
        <v>0.267608976138888</v>
      </c>
      <c r="M933" s="83" t="n">
        <f aca="false">IF(L933&lt;(Inputs!$E$24-Inputs!$D$24)/(Inputs!$F$24-Inputs!$D$24),Inputs!$D$24+SQRT(L933*(Inputs!$F$24-Inputs!$D$24)*(Inputs!$E$24-Inputs!$D$24)),Inputs!$F$24-SQRT((1-L933)*(Inputs!$F$24-Inputs!$D$24)*(Inputs!$F$24-Inputs!$E$24)))</f>
        <v>0.779201219685209</v>
      </c>
      <c r="N933" s="81" t="n">
        <f aca="true">RAND()</f>
        <v>0.38198623676549</v>
      </c>
      <c r="O933" s="83" t="n">
        <f aca="false">IF(N933&lt;(Inputs!$E$26-Inputs!$D$26)/(Inputs!$F$26-Inputs!$D$26),Inputs!$D$26+SQRT(N933*(Inputs!$F$26-Inputs!$D$26)*(Inputs!$E$26-Inputs!$D$26)),Inputs!$F$26-SQRT((1-N933)*(Inputs!$F$26-Inputs!$D$26)*(Inputs!$F$26-Inputs!$E$26)))</f>
        <v>0.55211606414066</v>
      </c>
      <c r="P933" s="81" t="n">
        <f aca="true">RAND()</f>
        <v>0.458456179571625</v>
      </c>
      <c r="Q933" s="82" t="n">
        <f aca="false">IF(P933&lt;(Inputs!$E$27-Inputs!$D$27)/(Inputs!$F$27-Inputs!$D$27),Inputs!$D$27+SQRT(P933*(Inputs!$F$27-Inputs!$D$27)*(Inputs!$E$27-Inputs!$D$27)),Inputs!$F$27-SQRT((1-P933)*(Inputs!$F$27-Inputs!$D$27)*(Inputs!$F$27-Inputs!$E$27)))</f>
        <v>86.2694841287723</v>
      </c>
      <c r="R933" s="81" t="n">
        <f aca="true">RAND()</f>
        <v>0.743436191188938</v>
      </c>
      <c r="S933" s="82" t="n">
        <f aca="false">IF(R933&lt;(Inputs!$E$29-Inputs!$D$29)/(Inputs!$F$29-Inputs!$D$29),Inputs!$D$29+SQRT(R933*(Inputs!$F$29-Inputs!$D$29)*(Inputs!$E$29-Inputs!$D$29)),Inputs!$F$29-SQRT((1-R933)*(Inputs!$F$29-Inputs!$D$29)*(Inputs!$F$29-Inputs!$E$29)))</f>
        <v>9.22476882320387</v>
      </c>
      <c r="T933" s="68" t="n">
        <f aca="false">Inputs!$E$9*(1+E933)+Inputs!$E$5*C933*(Inputs!$E$11*Inputs!$E$14*(G933*I933/Inputs!$E$16+(1-G933))*K933+Inputs!$E$23*M933)*(1+O933)+Inputs!$E$5*(Q933+S933)</f>
        <v>6119.92137992845</v>
      </c>
    </row>
    <row r="934" customFormat="false" ht="15" hidden="false" customHeight="false" outlineLevel="0" collapsed="false">
      <c r="A934" s="1" t="n">
        <v>930</v>
      </c>
      <c r="B934" s="81" t="n">
        <f aca="true">RAND()</f>
        <v>0.226693226128809</v>
      </c>
      <c r="C934" s="82" t="n">
        <f aca="false">ROUND(IF(B934&lt;(Inputs!$E$8-Inputs!$D$8)/(Inputs!$F$8-Inputs!$D$8),Inputs!$D$8+SQRT(B934*(Inputs!$F$8-Inputs!$D$8)*(Inputs!$E$8-Inputs!$D$8)),Inputs!$F$8-SQRT((1-B934)*(Inputs!$F$8-Inputs!$D$8)*(Inputs!$F$8-Inputs!$E$8))),0)</f>
        <v>23</v>
      </c>
      <c r="D934" s="81" t="n">
        <f aca="true">RAND()</f>
        <v>0.549590006349743</v>
      </c>
      <c r="E934" s="83" t="n">
        <f aca="false">IF(D934&lt;(Inputs!$E$10-Inputs!$D$10)/(Inputs!$F$10-Inputs!$D$10),Inputs!$D$10+SQRT(D934*(Inputs!$F$10-Inputs!$D$10)*(Inputs!$E$10-Inputs!$D$10)),Inputs!$F$10-SQRT((1-D934)*(Inputs!$F$10-Inputs!$D$10)*(Inputs!$F$10-Inputs!$E$10)))</f>
        <v>0.0837575817117189</v>
      </c>
      <c r="F934" s="81" t="n">
        <f aca="true">RAND()</f>
        <v>0.372554812182078</v>
      </c>
      <c r="G934" s="83" t="n">
        <f aca="false">IF(F934&lt;(Inputs!$E$15-Inputs!$D$15)/(Inputs!$F$15-Inputs!$D$15),Inputs!$D$15+SQRT(F934*(Inputs!$F$15-Inputs!$D$15)*(Inputs!$E$15-Inputs!$D$15)),Inputs!$F$15-SQRT((1-F934)*(Inputs!$F$15-Inputs!$D$15)*(Inputs!$F$15-Inputs!$E$15)))</f>
        <v>0.686319732643478</v>
      </c>
      <c r="H934" s="81" t="n">
        <f aca="true">RAND()</f>
        <v>0.761080475128116</v>
      </c>
      <c r="I934" s="82" t="n">
        <f aca="false">ROUND(IF(H934&lt;(Inputs!$E$17-Inputs!$D$17)/(Inputs!$F$17-Inputs!$D$17),Inputs!$D$17+SQRT(H934*(Inputs!$F$17-Inputs!$D$17)*(Inputs!$E$17-Inputs!$D$17)),Inputs!$F$17-SQRT((1-H934)*(Inputs!$F$17-Inputs!$D$17)*(Inputs!$F$17-Inputs!$E$17))),0)</f>
        <v>109</v>
      </c>
      <c r="J934" s="81" t="n">
        <f aca="true">RAND()</f>
        <v>0.384618131208173</v>
      </c>
      <c r="K934" s="83" t="n">
        <f aca="false">IF(J934&lt;(Inputs!$E$18-Inputs!$D$18)/(Inputs!$F$18-Inputs!$D$18),Inputs!$D$18+SQRT(J934*(Inputs!$F$18-Inputs!$D$18)*(Inputs!$E$18-Inputs!$D$18)),Inputs!$F$18-SQRT((1-J934)*(Inputs!$F$18-Inputs!$D$18)*(Inputs!$F$18-Inputs!$E$18)))</f>
        <v>1.01795277739373</v>
      </c>
      <c r="L934" s="81" t="n">
        <f aca="true">RAND()</f>
        <v>0.671474927236301</v>
      </c>
      <c r="M934" s="83" t="n">
        <f aca="false">IF(L934&lt;(Inputs!$E$24-Inputs!$D$24)/(Inputs!$F$24-Inputs!$D$24),Inputs!$D$24+SQRT(L934*(Inputs!$F$24-Inputs!$D$24)*(Inputs!$E$24-Inputs!$D$24)),Inputs!$F$24-SQRT((1-L934)*(Inputs!$F$24-Inputs!$D$24)*(Inputs!$F$24-Inputs!$E$24)))</f>
        <v>0.919204669797933</v>
      </c>
      <c r="N934" s="81" t="n">
        <f aca="true">RAND()</f>
        <v>0.708769947913148</v>
      </c>
      <c r="O934" s="83" t="n">
        <f aca="false">IF(N934&lt;(Inputs!$E$26-Inputs!$D$26)/(Inputs!$F$26-Inputs!$D$26),Inputs!$D$26+SQRT(N934*(Inputs!$F$26-Inputs!$D$26)*(Inputs!$E$26-Inputs!$D$26)),Inputs!$F$26-SQRT((1-N934)*(Inputs!$F$26-Inputs!$D$26)*(Inputs!$F$26-Inputs!$E$26)))</f>
        <v>0.645965734934087</v>
      </c>
      <c r="P934" s="81" t="n">
        <f aca="true">RAND()</f>
        <v>0.540074019016139</v>
      </c>
      <c r="Q934" s="82" t="n">
        <f aca="false">IF(P934&lt;(Inputs!$E$27-Inputs!$D$27)/(Inputs!$F$27-Inputs!$D$27),Inputs!$D$27+SQRT(P934*(Inputs!$F$27-Inputs!$D$27)*(Inputs!$E$27-Inputs!$D$27)),Inputs!$F$27-SQRT((1-P934)*(Inputs!$F$27-Inputs!$D$27)*(Inputs!$F$27-Inputs!$E$27)))</f>
        <v>91.2680252555819</v>
      </c>
      <c r="R934" s="81" t="n">
        <f aca="true">RAND()</f>
        <v>0.524134156468686</v>
      </c>
      <c r="S934" s="82" t="n">
        <f aca="false">IF(R934&lt;(Inputs!$E$29-Inputs!$D$29)/(Inputs!$F$29-Inputs!$D$29),Inputs!$D$29+SQRT(R934*(Inputs!$F$29-Inputs!$D$29)*(Inputs!$E$29-Inputs!$D$29)),Inputs!$F$29-SQRT((1-R934)*(Inputs!$F$29-Inputs!$D$29)*(Inputs!$F$29-Inputs!$E$29)))</f>
        <v>7.13472443845285</v>
      </c>
      <c r="T934" s="68" t="n">
        <f aca="false">Inputs!$E$9*(1+E934)+Inputs!$E$5*C934*(Inputs!$E$11*Inputs!$E$14*(G934*I934/Inputs!$E$16+(1-G934))*K934+Inputs!$E$23*M934)*(1+O934)+Inputs!$E$5*(Q934+S934)</f>
        <v>6247.94865007825</v>
      </c>
    </row>
    <row r="935" customFormat="false" ht="15" hidden="false" customHeight="false" outlineLevel="0" collapsed="false">
      <c r="A935" s="1" t="n">
        <v>931</v>
      </c>
      <c r="B935" s="81" t="n">
        <f aca="true">RAND()</f>
        <v>0.228858697676676</v>
      </c>
      <c r="C935" s="82" t="n">
        <f aca="false">ROUND(IF(B935&lt;(Inputs!$E$8-Inputs!$D$8)/(Inputs!$F$8-Inputs!$D$8),Inputs!$D$8+SQRT(B935*(Inputs!$F$8-Inputs!$D$8)*(Inputs!$E$8-Inputs!$D$8)),Inputs!$F$8-SQRT((1-B935)*(Inputs!$F$8-Inputs!$D$8)*(Inputs!$F$8-Inputs!$E$8))),0)</f>
        <v>23</v>
      </c>
      <c r="D935" s="81" t="n">
        <f aca="true">RAND()</f>
        <v>0.402053641296458</v>
      </c>
      <c r="E935" s="83" t="n">
        <f aca="false">IF(D935&lt;(Inputs!$E$10-Inputs!$D$10)/(Inputs!$F$10-Inputs!$D$10),Inputs!$D$10+SQRT(D935*(Inputs!$F$10-Inputs!$D$10)*(Inputs!$E$10-Inputs!$D$10)),Inputs!$F$10-SQRT((1-D935)*(Inputs!$F$10-Inputs!$D$10)*(Inputs!$F$10-Inputs!$E$10)))</f>
        <v>0.0660657222324835</v>
      </c>
      <c r="F935" s="81" t="n">
        <f aca="true">RAND()</f>
        <v>0.147355841482331</v>
      </c>
      <c r="G935" s="83" t="n">
        <f aca="false">IF(F935&lt;(Inputs!$E$15-Inputs!$D$15)/(Inputs!$F$15-Inputs!$D$15),Inputs!$D$15+SQRT(F935*(Inputs!$F$15-Inputs!$D$15)*(Inputs!$E$15-Inputs!$D$15)),Inputs!$F$15-SQRT((1-F935)*(Inputs!$F$15-Inputs!$D$15)*(Inputs!$F$15-Inputs!$E$15)))</f>
        <v>0.654287354233252</v>
      </c>
      <c r="H935" s="81" t="n">
        <f aca="true">RAND()</f>
        <v>0.855192254245585</v>
      </c>
      <c r="I935" s="82" t="n">
        <f aca="false">ROUND(IF(H935&lt;(Inputs!$E$17-Inputs!$D$17)/(Inputs!$F$17-Inputs!$D$17),Inputs!$D$17+SQRT(H935*(Inputs!$F$17-Inputs!$D$17)*(Inputs!$E$17-Inputs!$D$17)),Inputs!$F$17-SQRT((1-H935)*(Inputs!$F$17-Inputs!$D$17)*(Inputs!$F$17-Inputs!$E$17))),0)</f>
        <v>110</v>
      </c>
      <c r="J935" s="81" t="n">
        <f aca="true">RAND()</f>
        <v>0.169529091168963</v>
      </c>
      <c r="K935" s="83" t="n">
        <f aca="false">IF(J935&lt;(Inputs!$E$18-Inputs!$D$18)/(Inputs!$F$18-Inputs!$D$18),Inputs!$D$18+SQRT(J935*(Inputs!$F$18-Inputs!$D$18)*(Inputs!$E$18-Inputs!$D$18)),Inputs!$F$18-SQRT((1-J935)*(Inputs!$F$18-Inputs!$D$18)*(Inputs!$F$18-Inputs!$E$18)))</f>
        <v>0.977029333314743</v>
      </c>
      <c r="L935" s="81" t="n">
        <f aca="true">RAND()</f>
        <v>0.471304568713552</v>
      </c>
      <c r="M935" s="83" t="n">
        <f aca="false">IF(L935&lt;(Inputs!$E$24-Inputs!$D$24)/(Inputs!$F$24-Inputs!$D$24),Inputs!$D$24+SQRT(L935*(Inputs!$F$24-Inputs!$D$24)*(Inputs!$E$24-Inputs!$D$24)),Inputs!$F$24-SQRT((1-L935)*(Inputs!$F$24-Inputs!$D$24)*(Inputs!$F$24-Inputs!$E$24)))</f>
        <v>0.843788119921938</v>
      </c>
      <c r="N935" s="81" t="n">
        <f aca="true">RAND()</f>
        <v>0.891959806536069</v>
      </c>
      <c r="O935" s="83" t="n">
        <f aca="false">IF(N935&lt;(Inputs!$E$26-Inputs!$D$26)/(Inputs!$F$26-Inputs!$D$26),Inputs!$D$26+SQRT(N935*(Inputs!$F$26-Inputs!$D$26)*(Inputs!$E$26-Inputs!$D$26)),Inputs!$F$26-SQRT((1-N935)*(Inputs!$F$26-Inputs!$D$26)*(Inputs!$F$26-Inputs!$E$26)))</f>
        <v>0.71399915037959</v>
      </c>
      <c r="P935" s="81" t="n">
        <f aca="true">RAND()</f>
        <v>0.425733838825214</v>
      </c>
      <c r="Q935" s="82" t="n">
        <f aca="false">IF(P935&lt;(Inputs!$E$27-Inputs!$D$27)/(Inputs!$F$27-Inputs!$D$27),Inputs!$D$27+SQRT(P935*(Inputs!$F$27-Inputs!$D$27)*(Inputs!$E$27-Inputs!$D$27)),Inputs!$F$27-SQRT((1-P935)*(Inputs!$F$27-Inputs!$D$27)*(Inputs!$F$27-Inputs!$E$27)))</f>
        <v>84.3722908459323</v>
      </c>
      <c r="R935" s="81" t="n">
        <f aca="true">RAND()</f>
        <v>0.70033162223242</v>
      </c>
      <c r="S935" s="82" t="n">
        <f aca="false">IF(R935&lt;(Inputs!$E$29-Inputs!$D$29)/(Inputs!$F$29-Inputs!$D$29),Inputs!$D$29+SQRT(R935*(Inputs!$F$29-Inputs!$D$29)*(Inputs!$E$29-Inputs!$D$29)),Inputs!$F$29-SQRT((1-R935)*(Inputs!$F$29-Inputs!$D$29)*(Inputs!$F$29-Inputs!$E$29)))</f>
        <v>8.75845458962402</v>
      </c>
      <c r="T935" s="68" t="n">
        <f aca="false">Inputs!$E$9*(1+E935)+Inputs!$E$5*C935*(Inputs!$E$11*Inputs!$E$14*(G935*I935/Inputs!$E$16+(1-G935))*K935+Inputs!$E$23*M935)*(1+O935)+Inputs!$E$5*(Q935+S935)</f>
        <v>6176.34605163337</v>
      </c>
    </row>
    <row r="936" customFormat="false" ht="15" hidden="false" customHeight="false" outlineLevel="0" collapsed="false">
      <c r="A936" s="1" t="n">
        <v>932</v>
      </c>
      <c r="B936" s="81" t="n">
        <f aca="true">RAND()</f>
        <v>0.525095840772503</v>
      </c>
      <c r="C936" s="82" t="n">
        <f aca="false">ROUND(IF(B936&lt;(Inputs!$E$8-Inputs!$D$8)/(Inputs!$F$8-Inputs!$D$8),Inputs!$D$8+SQRT(B936*(Inputs!$F$8-Inputs!$D$8)*(Inputs!$E$8-Inputs!$D$8)),Inputs!$F$8-SQRT((1-B936)*(Inputs!$F$8-Inputs!$D$8)*(Inputs!$F$8-Inputs!$E$8))),0)</f>
        <v>25</v>
      </c>
      <c r="D936" s="81" t="n">
        <f aca="true">RAND()</f>
        <v>0.530254868991997</v>
      </c>
      <c r="E936" s="83" t="n">
        <f aca="false">IF(D936&lt;(Inputs!$E$10-Inputs!$D$10)/(Inputs!$F$10-Inputs!$D$10),Inputs!$D$10+SQRT(D936*(Inputs!$F$10-Inputs!$D$10)*(Inputs!$E$10-Inputs!$D$10)),Inputs!$F$10-SQRT((1-D936)*(Inputs!$F$10-Inputs!$D$10)*(Inputs!$F$10-Inputs!$E$10)))</f>
        <v>0.081288779257224</v>
      </c>
      <c r="F936" s="81" t="n">
        <f aca="true">RAND()</f>
        <v>0.463139868521966</v>
      </c>
      <c r="G936" s="83" t="n">
        <f aca="false">IF(F936&lt;(Inputs!$E$15-Inputs!$D$15)/(Inputs!$F$15-Inputs!$D$15),Inputs!$D$15+SQRT(F936*(Inputs!$F$15-Inputs!$D$15)*(Inputs!$E$15-Inputs!$D$15)),Inputs!$F$15-SQRT((1-F936)*(Inputs!$F$15-Inputs!$D$15)*(Inputs!$F$15-Inputs!$E$15)))</f>
        <v>0.696243427673994</v>
      </c>
      <c r="H936" s="81" t="n">
        <f aca="true">RAND()</f>
        <v>0.777213299087971</v>
      </c>
      <c r="I936" s="82" t="n">
        <f aca="false">ROUND(IF(H936&lt;(Inputs!$E$17-Inputs!$D$17)/(Inputs!$F$17-Inputs!$D$17),Inputs!$D$17+SQRT(H936*(Inputs!$F$17-Inputs!$D$17)*(Inputs!$E$17-Inputs!$D$17)),Inputs!$F$17-SQRT((1-H936)*(Inputs!$F$17-Inputs!$D$17)*(Inputs!$F$17-Inputs!$E$17))),0)</f>
        <v>109</v>
      </c>
      <c r="J936" s="81" t="n">
        <f aca="true">RAND()</f>
        <v>0.162721301413156</v>
      </c>
      <c r="K936" s="83" t="n">
        <f aca="false">IF(J936&lt;(Inputs!$E$18-Inputs!$D$18)/(Inputs!$F$18-Inputs!$D$18),Inputs!$D$18+SQRT(J936*(Inputs!$F$18-Inputs!$D$18)*(Inputs!$E$18-Inputs!$D$18)),Inputs!$F$18-SQRT((1-J936)*(Inputs!$F$18-Inputs!$D$18)*(Inputs!$F$18-Inputs!$E$18)))</f>
        <v>0.975466850666107</v>
      </c>
      <c r="L936" s="81" t="n">
        <f aca="true">RAND()</f>
        <v>0.0628720220634633</v>
      </c>
      <c r="M936" s="83" t="n">
        <f aca="false">IF(L936&lt;(Inputs!$E$24-Inputs!$D$24)/(Inputs!$F$24-Inputs!$D$24),Inputs!$D$24+SQRT(L936*(Inputs!$F$24-Inputs!$D$24)*(Inputs!$E$24-Inputs!$D$24)),Inputs!$F$24-SQRT((1-L936)*(Inputs!$F$24-Inputs!$D$24)*(Inputs!$F$24-Inputs!$E$24)))</f>
        <v>0.686859902415416</v>
      </c>
      <c r="N936" s="81" t="n">
        <f aca="true">RAND()</f>
        <v>0.0988945282531822</v>
      </c>
      <c r="O936" s="83" t="n">
        <f aca="false">IF(N936&lt;(Inputs!$E$26-Inputs!$D$26)/(Inputs!$F$26-Inputs!$D$26),Inputs!$D$26+SQRT(N936*(Inputs!$F$26-Inputs!$D$26)*(Inputs!$E$26-Inputs!$D$26)),Inputs!$F$26-SQRT((1-N936)*(Inputs!$F$26-Inputs!$D$26)*(Inputs!$F$26-Inputs!$E$26)))</f>
        <v>0.428281134627542</v>
      </c>
      <c r="P936" s="81" t="n">
        <f aca="true">RAND()</f>
        <v>0.240296730321578</v>
      </c>
      <c r="Q936" s="82" t="n">
        <f aca="false">IF(P936&lt;(Inputs!$E$27-Inputs!$D$27)/(Inputs!$F$27-Inputs!$D$27),Inputs!$D$27+SQRT(P936*(Inputs!$F$27-Inputs!$D$27)*(Inputs!$E$27-Inputs!$D$27)),Inputs!$F$27-SQRT((1-P936)*(Inputs!$F$27-Inputs!$D$27)*(Inputs!$F$27-Inputs!$E$27)))</f>
        <v>74.5100352060935</v>
      </c>
      <c r="R936" s="81" t="n">
        <f aca="true">RAND()</f>
        <v>0.10580143426192</v>
      </c>
      <c r="S936" s="82" t="n">
        <f aca="false">IF(R936&lt;(Inputs!$E$29-Inputs!$D$29)/(Inputs!$F$29-Inputs!$D$29),Inputs!$D$29+SQRT(R936*(Inputs!$F$29-Inputs!$D$29)*(Inputs!$E$29-Inputs!$D$29)),Inputs!$F$29-SQRT((1-R936)*(Inputs!$F$29-Inputs!$D$29)*(Inputs!$F$29-Inputs!$E$29)))</f>
        <v>4.03131876775037</v>
      </c>
      <c r="T936" s="68" t="n">
        <f aca="false">Inputs!$E$9*(1+E936)+Inputs!$E$5*C936*(Inputs!$E$11*Inputs!$E$14*(G936*I936/Inputs!$E$16+(1-G936))*K936+Inputs!$E$23*M936)*(1+O936)+Inputs!$E$5*(Q936+S936)</f>
        <v>5561.10519343594</v>
      </c>
    </row>
    <row r="937" customFormat="false" ht="15" hidden="false" customHeight="false" outlineLevel="0" collapsed="false">
      <c r="A937" s="1" t="n">
        <v>933</v>
      </c>
      <c r="B937" s="81" t="n">
        <f aca="true">RAND()</f>
        <v>0.951983101522181</v>
      </c>
      <c r="C937" s="82" t="n">
        <f aca="false">ROUND(IF(B937&lt;(Inputs!$E$8-Inputs!$D$8)/(Inputs!$F$8-Inputs!$D$8),Inputs!$D$8+SQRT(B937*(Inputs!$F$8-Inputs!$D$8)*(Inputs!$E$8-Inputs!$D$8)),Inputs!$F$8-SQRT((1-B937)*(Inputs!$F$8-Inputs!$D$8)*(Inputs!$F$8-Inputs!$E$8))),0)</f>
        <v>28</v>
      </c>
      <c r="D937" s="81" t="n">
        <f aca="true">RAND()</f>
        <v>0.112913205005181</v>
      </c>
      <c r="E937" s="83" t="n">
        <f aca="false">IF(D937&lt;(Inputs!$E$10-Inputs!$D$10)/(Inputs!$F$10-Inputs!$D$10),Inputs!$D$10+SQRT(D937*(Inputs!$F$10-Inputs!$D$10)*(Inputs!$E$10-Inputs!$D$10)),Inputs!$F$10-SQRT((1-D937)*(Inputs!$F$10-Inputs!$D$10)*(Inputs!$F$10-Inputs!$E$10)))</f>
        <v>0.0336025601710913</v>
      </c>
      <c r="F937" s="81" t="n">
        <f aca="true">RAND()</f>
        <v>0.803627530086197</v>
      </c>
      <c r="G937" s="83" t="n">
        <f aca="false">IF(F937&lt;(Inputs!$E$15-Inputs!$D$15)/(Inputs!$F$15-Inputs!$D$15),Inputs!$D$15+SQRT(F937*(Inputs!$F$15-Inputs!$D$15)*(Inputs!$E$15-Inputs!$D$15)),Inputs!$F$15-SQRT((1-F937)*(Inputs!$F$15-Inputs!$D$15)*(Inputs!$F$15-Inputs!$E$15)))</f>
        <v>0.737330634291737</v>
      </c>
      <c r="H937" s="81" t="n">
        <f aca="true">RAND()</f>
        <v>0.24666956522807</v>
      </c>
      <c r="I937" s="82" t="n">
        <f aca="false">ROUND(IF(H937&lt;(Inputs!$E$17-Inputs!$D$17)/(Inputs!$F$17-Inputs!$D$17),Inputs!$D$17+SQRT(H937*(Inputs!$F$17-Inputs!$D$17)*(Inputs!$E$17-Inputs!$D$17)),Inputs!$F$17-SQRT((1-H937)*(Inputs!$F$17-Inputs!$D$17)*(Inputs!$F$17-Inputs!$E$17))),0)</f>
        <v>104</v>
      </c>
      <c r="J937" s="81" t="n">
        <f aca="true">RAND()</f>
        <v>0.354052369113751</v>
      </c>
      <c r="K937" s="83" t="n">
        <f aca="false">IF(J937&lt;(Inputs!$E$18-Inputs!$D$18)/(Inputs!$F$18-Inputs!$D$18),Inputs!$D$18+SQRT(J937*(Inputs!$F$18-Inputs!$D$18)*(Inputs!$E$18-Inputs!$D$18)),Inputs!$F$18-SQRT((1-J937)*(Inputs!$F$18-Inputs!$D$18)*(Inputs!$F$18-Inputs!$E$18)))</f>
        <v>1.01225976843928</v>
      </c>
      <c r="L937" s="81" t="n">
        <f aca="true">RAND()</f>
        <v>0.00246377762930825</v>
      </c>
      <c r="M937" s="83" t="n">
        <f aca="false">IF(L937&lt;(Inputs!$E$24-Inputs!$D$24)/(Inputs!$F$24-Inputs!$D$24),Inputs!$D$24+SQRT(L937*(Inputs!$F$24-Inputs!$D$24)*(Inputs!$E$24-Inputs!$D$24)),Inputs!$F$24-SQRT((1-L937)*(Inputs!$F$24-Inputs!$D$24)*(Inputs!$F$24-Inputs!$E$24)))</f>
        <v>0.617194572269091</v>
      </c>
      <c r="N937" s="81" t="n">
        <f aca="true">RAND()</f>
        <v>0.399116682349553</v>
      </c>
      <c r="O937" s="83" t="n">
        <f aca="false">IF(N937&lt;(Inputs!$E$26-Inputs!$D$26)/(Inputs!$F$26-Inputs!$D$26),Inputs!$D$26+SQRT(N937*(Inputs!$F$26-Inputs!$D$26)*(Inputs!$E$26-Inputs!$D$26)),Inputs!$F$26-SQRT((1-N937)*(Inputs!$F$26-Inputs!$D$26)*(Inputs!$F$26-Inputs!$E$26)))</f>
        <v>0.55770722912438</v>
      </c>
      <c r="P937" s="81" t="n">
        <f aca="true">RAND()</f>
        <v>0.16081010351393</v>
      </c>
      <c r="Q937" s="82" t="n">
        <f aca="false">IF(P937&lt;(Inputs!$E$27-Inputs!$D$27)/(Inputs!$F$27-Inputs!$D$27),Inputs!$D$27+SQRT(P937*(Inputs!$F$27-Inputs!$D$27)*(Inputs!$E$27-Inputs!$D$27)),Inputs!$F$27-SQRT((1-P937)*(Inputs!$F$27-Inputs!$D$27)*(Inputs!$F$27-Inputs!$E$27)))</f>
        <v>70.0505675427113</v>
      </c>
      <c r="R937" s="81" t="n">
        <f aca="true">RAND()</f>
        <v>0.137375142267314</v>
      </c>
      <c r="S937" s="82" t="n">
        <f aca="false">IF(R937&lt;(Inputs!$E$29-Inputs!$D$29)/(Inputs!$F$29-Inputs!$D$29),Inputs!$D$29+SQRT(R937*(Inputs!$F$29-Inputs!$D$29)*(Inputs!$E$29-Inputs!$D$29)),Inputs!$F$29-SQRT((1-R937)*(Inputs!$F$29-Inputs!$D$29)*(Inputs!$F$29-Inputs!$E$29)))</f>
        <v>4.31465560039183</v>
      </c>
      <c r="T937" s="68" t="n">
        <f aca="false">Inputs!$E$9*(1+E937)+Inputs!$E$5*C937*(Inputs!$E$11*Inputs!$E$14*(G937*I937/Inputs!$E$16+(1-G937))*K937+Inputs!$E$23*M937)*(1+O937)+Inputs!$E$5*(Q937+S937)</f>
        <v>5907.93830215584</v>
      </c>
    </row>
    <row r="938" customFormat="false" ht="15" hidden="false" customHeight="false" outlineLevel="0" collapsed="false">
      <c r="A938" s="1" t="n">
        <v>934</v>
      </c>
      <c r="B938" s="81" t="n">
        <f aca="true">RAND()</f>
        <v>0.849564982758043</v>
      </c>
      <c r="C938" s="82" t="n">
        <f aca="false">ROUND(IF(B938&lt;(Inputs!$E$8-Inputs!$D$8)/(Inputs!$F$8-Inputs!$D$8),Inputs!$D$8+SQRT(B938*(Inputs!$F$8-Inputs!$D$8)*(Inputs!$E$8-Inputs!$D$8)),Inputs!$F$8-SQRT((1-B938)*(Inputs!$F$8-Inputs!$D$8)*(Inputs!$F$8-Inputs!$E$8))),0)</f>
        <v>27</v>
      </c>
      <c r="D938" s="81" t="n">
        <f aca="true">RAND()</f>
        <v>0.754244991927461</v>
      </c>
      <c r="E938" s="83" t="n">
        <f aca="false">IF(D938&lt;(Inputs!$E$10-Inputs!$D$10)/(Inputs!$F$10-Inputs!$D$10),Inputs!$D$10+SQRT(D938*(Inputs!$F$10-Inputs!$D$10)*(Inputs!$E$10-Inputs!$D$10)),Inputs!$F$10-SQRT((1-D938)*(Inputs!$F$10-Inputs!$D$10)*(Inputs!$F$10-Inputs!$E$10)))</f>
        <v>0.114135861722276</v>
      </c>
      <c r="F938" s="81" t="n">
        <f aca="true">RAND()</f>
        <v>0.83733083970129</v>
      </c>
      <c r="G938" s="83" t="n">
        <f aca="false">IF(F938&lt;(Inputs!$E$15-Inputs!$D$15)/(Inputs!$F$15-Inputs!$D$15),Inputs!$D$15+SQRT(F938*(Inputs!$F$15-Inputs!$D$15)*(Inputs!$E$15-Inputs!$D$15)),Inputs!$F$15-SQRT((1-F938)*(Inputs!$F$15-Inputs!$D$15)*(Inputs!$F$15-Inputs!$E$15)))</f>
        <v>0.742961563783934</v>
      </c>
      <c r="H938" s="81" t="n">
        <f aca="true">RAND()</f>
        <v>0.395663579718032</v>
      </c>
      <c r="I938" s="82" t="n">
        <f aca="false">ROUND(IF(H938&lt;(Inputs!$E$17-Inputs!$D$17)/(Inputs!$F$17-Inputs!$D$17),Inputs!$D$17+SQRT(H938*(Inputs!$F$17-Inputs!$D$17)*(Inputs!$E$17-Inputs!$D$17)),Inputs!$F$17-SQRT((1-H938)*(Inputs!$F$17-Inputs!$D$17)*(Inputs!$F$17-Inputs!$E$17))),0)</f>
        <v>105</v>
      </c>
      <c r="J938" s="81" t="n">
        <f aca="true">RAND()</f>
        <v>0.763826283539624</v>
      </c>
      <c r="K938" s="83" t="n">
        <f aca="false">IF(J938&lt;(Inputs!$E$18-Inputs!$D$18)/(Inputs!$F$18-Inputs!$D$18),Inputs!$D$18+SQRT(J938*(Inputs!$F$18-Inputs!$D$18)*(Inputs!$E$18-Inputs!$D$18)),Inputs!$F$18-SQRT((1-J938)*(Inputs!$F$18-Inputs!$D$18)*(Inputs!$F$18-Inputs!$E$18)))</f>
        <v>1.10624604287087</v>
      </c>
      <c r="L938" s="81" t="n">
        <f aca="true">RAND()</f>
        <v>0.293941464676788</v>
      </c>
      <c r="M938" s="83" t="n">
        <f aca="false">IF(L938&lt;(Inputs!$E$24-Inputs!$D$24)/(Inputs!$F$24-Inputs!$D$24),Inputs!$D$24+SQRT(L938*(Inputs!$F$24-Inputs!$D$24)*(Inputs!$E$24-Inputs!$D$24)),Inputs!$F$24-SQRT((1-L938)*(Inputs!$F$24-Inputs!$D$24)*(Inputs!$F$24-Inputs!$E$24)))</f>
        <v>0.787811010756065</v>
      </c>
      <c r="N938" s="81" t="n">
        <f aca="true">RAND()</f>
        <v>0.151790806240728</v>
      </c>
      <c r="O938" s="83" t="n">
        <f aca="false">IF(N938&lt;(Inputs!$E$26-Inputs!$D$26)/(Inputs!$F$26-Inputs!$D$26),Inputs!$D$26+SQRT(N938*(Inputs!$F$26-Inputs!$D$26)*(Inputs!$E$26-Inputs!$D$26)),Inputs!$F$26-SQRT((1-N938)*(Inputs!$F$26-Inputs!$D$26)*(Inputs!$F$26-Inputs!$E$26)))</f>
        <v>0.458927625535831</v>
      </c>
      <c r="P938" s="81" t="n">
        <f aca="true">RAND()</f>
        <v>0.946267035578773</v>
      </c>
      <c r="Q938" s="82" t="n">
        <f aca="false">IF(P938&lt;(Inputs!$E$27-Inputs!$D$27)/(Inputs!$F$27-Inputs!$D$27),Inputs!$D$27+SQRT(P938*(Inputs!$F$27-Inputs!$D$27)*(Inputs!$E$27-Inputs!$D$27)),Inputs!$F$27-SQRT((1-P938)*(Inputs!$F$27-Inputs!$D$27)*(Inputs!$F$27-Inputs!$E$27)))</f>
        <v>129.925209013312</v>
      </c>
      <c r="R938" s="81" t="n">
        <f aca="true">RAND()</f>
        <v>0.364941230550852</v>
      </c>
      <c r="S938" s="82" t="n">
        <f aca="false">IF(R938&lt;(Inputs!$E$29-Inputs!$D$29)/(Inputs!$F$29-Inputs!$D$29),Inputs!$D$29+SQRT(R938*(Inputs!$F$29-Inputs!$D$29)*(Inputs!$E$29-Inputs!$D$29)),Inputs!$F$29-SQRT((1-R938)*(Inputs!$F$29-Inputs!$D$29)*(Inputs!$F$29-Inputs!$E$29)))</f>
        <v>5.9138765125941</v>
      </c>
      <c r="T938" s="68" t="n">
        <f aca="false">Inputs!$E$9*(1+E938)+Inputs!$E$5*C938*(Inputs!$E$11*Inputs!$E$14*(G938*I938/Inputs!$E$16+(1-G938))*K938+Inputs!$E$23*M938)*(1+O938)+Inputs!$E$5*(Q938+S938)</f>
        <v>6514.37680349969</v>
      </c>
    </row>
    <row r="939" customFormat="false" ht="15" hidden="false" customHeight="false" outlineLevel="0" collapsed="false">
      <c r="A939" s="1" t="n">
        <v>935</v>
      </c>
      <c r="B939" s="81" t="n">
        <f aca="true">RAND()</f>
        <v>0.53836069704272</v>
      </c>
      <c r="C939" s="82" t="n">
        <f aca="false">ROUND(IF(B939&lt;(Inputs!$E$8-Inputs!$D$8)/(Inputs!$F$8-Inputs!$D$8),Inputs!$D$8+SQRT(B939*(Inputs!$F$8-Inputs!$D$8)*(Inputs!$E$8-Inputs!$D$8)),Inputs!$F$8-SQRT((1-B939)*(Inputs!$F$8-Inputs!$D$8)*(Inputs!$F$8-Inputs!$E$8))),0)</f>
        <v>25</v>
      </c>
      <c r="D939" s="81" t="n">
        <f aca="true">RAND()</f>
        <v>0.209014782770577</v>
      </c>
      <c r="E939" s="83" t="n">
        <f aca="false">IF(D939&lt;(Inputs!$E$10-Inputs!$D$10)/(Inputs!$F$10-Inputs!$D$10),Inputs!$D$10+SQRT(D939*(Inputs!$F$10-Inputs!$D$10)*(Inputs!$E$10-Inputs!$D$10)),Inputs!$F$10-SQRT((1-D939)*(Inputs!$F$10-Inputs!$D$10)*(Inputs!$F$10-Inputs!$E$10)))</f>
        <v>0.0457181345606508</v>
      </c>
      <c r="F939" s="81" t="n">
        <f aca="true">RAND()</f>
        <v>0.0633085561629862</v>
      </c>
      <c r="G939" s="83" t="n">
        <f aca="false">IF(F939&lt;(Inputs!$E$15-Inputs!$D$15)/(Inputs!$F$15-Inputs!$D$15),Inputs!$D$15+SQRT(F939*(Inputs!$F$15-Inputs!$D$15)*(Inputs!$E$15-Inputs!$D$15)),Inputs!$F$15-SQRT((1-F939)*(Inputs!$F$15-Inputs!$D$15)*(Inputs!$F$15-Inputs!$E$15)))</f>
        <v>0.635583298375217</v>
      </c>
      <c r="H939" s="81" t="n">
        <f aca="true">RAND()</f>
        <v>0.653105184208889</v>
      </c>
      <c r="I939" s="82" t="n">
        <f aca="false">ROUND(IF(H939&lt;(Inputs!$E$17-Inputs!$D$17)/(Inputs!$F$17-Inputs!$D$17),Inputs!$D$17+SQRT(H939*(Inputs!$F$17-Inputs!$D$17)*(Inputs!$E$17-Inputs!$D$17)),Inputs!$F$17-SQRT((1-H939)*(Inputs!$F$17-Inputs!$D$17)*(Inputs!$F$17-Inputs!$E$17))),0)</f>
        <v>108</v>
      </c>
      <c r="J939" s="81" t="n">
        <f aca="true">RAND()</f>
        <v>0.144239216943408</v>
      </c>
      <c r="K939" s="83" t="n">
        <f aca="false">IF(J939&lt;(Inputs!$E$18-Inputs!$D$18)/(Inputs!$F$18-Inputs!$D$18),Inputs!$D$18+SQRT(J939*(Inputs!$F$18-Inputs!$D$18)*(Inputs!$E$18-Inputs!$D$18)),Inputs!$F$18-SQRT((1-J939)*(Inputs!$F$18-Inputs!$D$18)*(Inputs!$F$18-Inputs!$E$18)))</f>
        <v>0.971051900699554</v>
      </c>
      <c r="L939" s="81" t="n">
        <f aca="true">RAND()</f>
        <v>0.274962082985529</v>
      </c>
      <c r="M939" s="83" t="n">
        <f aca="false">IF(L939&lt;(Inputs!$E$24-Inputs!$D$24)/(Inputs!$F$24-Inputs!$D$24),Inputs!$D$24+SQRT(L939*(Inputs!$F$24-Inputs!$D$24)*(Inputs!$E$24-Inputs!$D$24)),Inputs!$F$24-SQRT((1-L939)*(Inputs!$F$24-Inputs!$D$24)*(Inputs!$F$24-Inputs!$E$24)))</f>
        <v>0.781646497236428</v>
      </c>
      <c r="N939" s="81" t="n">
        <f aca="true">RAND()</f>
        <v>0.683902411532632</v>
      </c>
      <c r="O939" s="83" t="n">
        <f aca="false">IF(N939&lt;(Inputs!$E$26-Inputs!$D$26)/(Inputs!$F$26-Inputs!$D$26),Inputs!$D$26+SQRT(N939*(Inputs!$F$26-Inputs!$D$26)*(Inputs!$E$26-Inputs!$D$26)),Inputs!$F$26-SQRT((1-N939)*(Inputs!$F$26-Inputs!$D$26)*(Inputs!$F$26-Inputs!$E$26)))</f>
        <v>0.638687702566521</v>
      </c>
      <c r="P939" s="81" t="n">
        <f aca="true">RAND()</f>
        <v>0.737525251344734</v>
      </c>
      <c r="Q939" s="82" t="n">
        <f aca="false">IF(P939&lt;(Inputs!$E$27-Inputs!$D$27)/(Inputs!$F$27-Inputs!$D$27),Inputs!$D$27+SQRT(P939*(Inputs!$F$27-Inputs!$D$27)*(Inputs!$E$27-Inputs!$D$27)),Inputs!$F$27-SQRT((1-P939)*(Inputs!$F$27-Inputs!$D$27)*(Inputs!$F$27-Inputs!$E$27)))</f>
        <v>105.631535806223</v>
      </c>
      <c r="R939" s="81" t="n">
        <f aca="true">RAND()</f>
        <v>0.980879259722693</v>
      </c>
      <c r="S939" s="82" t="n">
        <f aca="false">IF(R939&lt;(Inputs!$E$29-Inputs!$D$29)/(Inputs!$F$29-Inputs!$D$29),Inputs!$D$29+SQRT(R939*(Inputs!$F$29-Inputs!$D$29)*(Inputs!$E$29-Inputs!$D$29)),Inputs!$F$29-SQRT((1-R939)*(Inputs!$F$29-Inputs!$D$29)*(Inputs!$F$29-Inputs!$E$29)))</f>
        <v>13.423390905757</v>
      </c>
      <c r="T939" s="68" t="n">
        <f aca="false">Inputs!$E$9*(1+E939)+Inputs!$E$5*C939*(Inputs!$E$11*Inputs!$E$14*(G939*I939/Inputs!$E$16+(1-G939))*K939+Inputs!$E$23*M939)*(1+O939)+Inputs!$E$5*(Q939+S939)</f>
        <v>6290.67591651782</v>
      </c>
    </row>
    <row r="940" customFormat="false" ht="15" hidden="false" customHeight="false" outlineLevel="0" collapsed="false">
      <c r="A940" s="1" t="n">
        <v>936</v>
      </c>
      <c r="B940" s="81" t="n">
        <f aca="true">RAND()</f>
        <v>0.755739220664812</v>
      </c>
      <c r="C940" s="82" t="n">
        <f aca="false">ROUND(IF(B940&lt;(Inputs!$E$8-Inputs!$D$8)/(Inputs!$F$8-Inputs!$D$8),Inputs!$D$8+SQRT(B940*(Inputs!$F$8-Inputs!$D$8)*(Inputs!$E$8-Inputs!$D$8)),Inputs!$F$8-SQRT((1-B940)*(Inputs!$F$8-Inputs!$D$8)*(Inputs!$F$8-Inputs!$E$8))),0)</f>
        <v>27</v>
      </c>
      <c r="D940" s="81" t="n">
        <f aca="true">RAND()</f>
        <v>0.576317342815942</v>
      </c>
      <c r="E940" s="83" t="n">
        <f aca="false">IF(D940&lt;(Inputs!$E$10-Inputs!$D$10)/(Inputs!$F$10-Inputs!$D$10),Inputs!$D$10+SQRT(D940*(Inputs!$F$10-Inputs!$D$10)*(Inputs!$E$10-Inputs!$D$10)),Inputs!$F$10-SQRT((1-D940)*(Inputs!$F$10-Inputs!$D$10)*(Inputs!$F$10-Inputs!$E$10)))</f>
        <v>0.0872592366731459</v>
      </c>
      <c r="F940" s="81" t="n">
        <f aca="true">RAND()</f>
        <v>0.112294455167639</v>
      </c>
      <c r="G940" s="83" t="n">
        <f aca="false">IF(F940&lt;(Inputs!$E$15-Inputs!$D$15)/(Inputs!$F$15-Inputs!$D$15),Inputs!$D$15+SQRT(F940*(Inputs!$F$15-Inputs!$D$15)*(Inputs!$E$15-Inputs!$D$15)),Inputs!$F$15-SQRT((1-F940)*(Inputs!$F$15-Inputs!$D$15)*(Inputs!$F$15-Inputs!$E$15)))</f>
        <v>0.647390812436091</v>
      </c>
      <c r="H940" s="81" t="n">
        <f aca="true">RAND()</f>
        <v>0.0340209202120286</v>
      </c>
      <c r="I940" s="82" t="n">
        <f aca="false">ROUND(IF(H940&lt;(Inputs!$E$17-Inputs!$D$17)/(Inputs!$F$17-Inputs!$D$17),Inputs!$D$17+SQRT(H940*(Inputs!$F$17-Inputs!$D$17)*(Inputs!$E$17-Inputs!$D$17)),Inputs!$F$17-SQRT((1-H940)*(Inputs!$F$17-Inputs!$D$17)*(Inputs!$F$17-Inputs!$E$17))),0)</f>
        <v>102</v>
      </c>
      <c r="J940" s="81" t="n">
        <f aca="true">RAND()</f>
        <v>0.342015686182079</v>
      </c>
      <c r="K940" s="83" t="n">
        <f aca="false">IF(J940&lt;(Inputs!$E$18-Inputs!$D$18)/(Inputs!$F$18-Inputs!$D$18),Inputs!$D$18+SQRT(J940*(Inputs!$F$18-Inputs!$D$18)*(Inputs!$E$18-Inputs!$D$18)),Inputs!$F$18-SQRT((1-J940)*(Inputs!$F$18-Inputs!$D$18)*(Inputs!$F$18-Inputs!$E$18)))</f>
        <v>1.01005494908403</v>
      </c>
      <c r="L940" s="81" t="n">
        <f aca="true">RAND()</f>
        <v>0.88074275965093</v>
      </c>
      <c r="M940" s="83" t="n">
        <f aca="false">IF(L940&lt;(Inputs!$E$24-Inputs!$D$24)/(Inputs!$F$24-Inputs!$D$24),Inputs!$D$24+SQRT(L940*(Inputs!$F$24-Inputs!$D$24)*(Inputs!$E$24-Inputs!$D$24)),Inputs!$F$24-SQRT((1-L940)*(Inputs!$F$24-Inputs!$D$24)*(Inputs!$F$24-Inputs!$E$24)))</f>
        <v>1.03082039814512</v>
      </c>
      <c r="N940" s="81" t="n">
        <f aca="true">RAND()</f>
        <v>0.367245273319003</v>
      </c>
      <c r="O940" s="83" t="n">
        <f aca="false">IF(N940&lt;(Inputs!$E$26-Inputs!$D$26)/(Inputs!$F$26-Inputs!$D$26),Inputs!$D$26+SQRT(N940*(Inputs!$F$26-Inputs!$D$26)*(Inputs!$E$26-Inputs!$D$26)),Inputs!$F$26-SQRT((1-N940)*(Inputs!$F$26-Inputs!$D$26)*(Inputs!$F$26-Inputs!$E$26)))</f>
        <v>0.547203587110467</v>
      </c>
      <c r="P940" s="81" t="n">
        <f aca="true">RAND()</f>
        <v>0.152167655311389</v>
      </c>
      <c r="Q940" s="82" t="n">
        <f aca="false">IF(P940&lt;(Inputs!$E$27-Inputs!$D$27)/(Inputs!$F$27-Inputs!$D$27),Inputs!$D$27+SQRT(P940*(Inputs!$F$27-Inputs!$D$27)*(Inputs!$E$27-Inputs!$D$27)),Inputs!$F$27-SQRT((1-P940)*(Inputs!$F$27-Inputs!$D$27)*(Inputs!$F$27-Inputs!$E$27)))</f>
        <v>69.5043363967727</v>
      </c>
      <c r="R940" s="81" t="n">
        <f aca="true">RAND()</f>
        <v>0.859861596414214</v>
      </c>
      <c r="S940" s="82" t="n">
        <f aca="false">IF(R940&lt;(Inputs!$E$29-Inputs!$D$29)/(Inputs!$F$29-Inputs!$D$29),Inputs!$D$29+SQRT(R940*(Inputs!$F$29-Inputs!$D$29)*(Inputs!$E$29-Inputs!$D$29)),Inputs!$F$29-SQRT((1-R940)*(Inputs!$F$29-Inputs!$D$29)*(Inputs!$F$29-Inputs!$E$29)))</f>
        <v>10.7317459698195</v>
      </c>
      <c r="T940" s="68" t="n">
        <f aca="false">Inputs!$E$9*(1+E940)+Inputs!$E$5*C940*(Inputs!$E$11*Inputs!$E$14*(G940*I940/Inputs!$E$16+(1-G940))*K940+Inputs!$E$23*M940)*(1+O940)+Inputs!$E$5*(Q940+S940)</f>
        <v>6634.05855461941</v>
      </c>
    </row>
    <row r="941" customFormat="false" ht="15" hidden="false" customHeight="false" outlineLevel="0" collapsed="false">
      <c r="A941" s="1" t="n">
        <v>937</v>
      </c>
      <c r="B941" s="81" t="n">
        <f aca="true">RAND()</f>
        <v>0.205822504004101</v>
      </c>
      <c r="C941" s="82" t="n">
        <f aca="false">ROUND(IF(B941&lt;(Inputs!$E$8-Inputs!$D$8)/(Inputs!$F$8-Inputs!$D$8),Inputs!$D$8+SQRT(B941*(Inputs!$F$8-Inputs!$D$8)*(Inputs!$E$8-Inputs!$D$8)),Inputs!$F$8-SQRT((1-B941)*(Inputs!$F$8-Inputs!$D$8)*(Inputs!$F$8-Inputs!$E$8))),0)</f>
        <v>23</v>
      </c>
      <c r="D941" s="81" t="n">
        <f aca="true">RAND()</f>
        <v>0.381266136790976</v>
      </c>
      <c r="E941" s="83" t="n">
        <f aca="false">IF(D941&lt;(Inputs!$E$10-Inputs!$D$10)/(Inputs!$F$10-Inputs!$D$10),Inputs!$D$10+SQRT(D941*(Inputs!$F$10-Inputs!$D$10)*(Inputs!$E$10-Inputs!$D$10)),Inputs!$F$10-SQRT((1-D941)*(Inputs!$F$10-Inputs!$D$10)*(Inputs!$F$10-Inputs!$E$10)))</f>
        <v>0.0637575106794114</v>
      </c>
      <c r="F941" s="81" t="n">
        <f aca="true">RAND()</f>
        <v>0.485369760926162</v>
      </c>
      <c r="G941" s="83" t="n">
        <f aca="false">IF(F941&lt;(Inputs!$E$15-Inputs!$D$15)/(Inputs!$F$15-Inputs!$D$15),Inputs!$D$15+SQRT(F941*(Inputs!$F$15-Inputs!$D$15)*(Inputs!$E$15-Inputs!$D$15)),Inputs!$F$15-SQRT((1-F941)*(Inputs!$F$15-Inputs!$D$15)*(Inputs!$F$15-Inputs!$E$15)))</f>
        <v>0.698526114398789</v>
      </c>
      <c r="H941" s="81" t="n">
        <f aca="true">RAND()</f>
        <v>0.164731643211559</v>
      </c>
      <c r="I941" s="82" t="n">
        <f aca="false">ROUND(IF(H941&lt;(Inputs!$E$17-Inputs!$D$17)/(Inputs!$F$17-Inputs!$D$17),Inputs!$D$17+SQRT(H941*(Inputs!$F$17-Inputs!$D$17)*(Inputs!$E$17-Inputs!$D$17)),Inputs!$F$17-SQRT((1-H941)*(Inputs!$F$17-Inputs!$D$17)*(Inputs!$F$17-Inputs!$E$17))),0)</f>
        <v>104</v>
      </c>
      <c r="J941" s="81" t="n">
        <f aca="true">RAND()</f>
        <v>0.058709421492449</v>
      </c>
      <c r="K941" s="83" t="n">
        <f aca="false">IF(J941&lt;(Inputs!$E$18-Inputs!$D$18)/(Inputs!$F$18-Inputs!$D$18),Inputs!$D$18+SQRT(J941*(Inputs!$F$18-Inputs!$D$18)*(Inputs!$E$18-Inputs!$D$18)),Inputs!$F$18-SQRT((1-J941)*(Inputs!$F$18-Inputs!$D$18)*(Inputs!$F$18-Inputs!$E$18)))</f>
        <v>0.945330230004223</v>
      </c>
      <c r="L941" s="81" t="n">
        <f aca="true">RAND()</f>
        <v>0.708427439820206</v>
      </c>
      <c r="M941" s="83" t="n">
        <f aca="false">IF(L941&lt;(Inputs!$E$24-Inputs!$D$24)/(Inputs!$F$24-Inputs!$D$24),Inputs!$D$24+SQRT(L941*(Inputs!$F$24-Inputs!$D$24)*(Inputs!$E$24-Inputs!$D$24)),Inputs!$F$24-SQRT((1-L941)*(Inputs!$F$24-Inputs!$D$24)*(Inputs!$F$24-Inputs!$E$24)))</f>
        <v>0.935467555027459</v>
      </c>
      <c r="N941" s="81" t="n">
        <f aca="true">RAND()</f>
        <v>0.0782067764375515</v>
      </c>
      <c r="O941" s="83" t="n">
        <f aca="false">IF(N941&lt;(Inputs!$E$26-Inputs!$D$26)/(Inputs!$F$26-Inputs!$D$26),Inputs!$D$26+SQRT(N941*(Inputs!$F$26-Inputs!$D$26)*(Inputs!$E$26-Inputs!$D$26)),Inputs!$F$26-SQRT((1-N941)*(Inputs!$F$26-Inputs!$D$26)*(Inputs!$F$26-Inputs!$E$26)))</f>
        <v>0.414077200172552</v>
      </c>
      <c r="P941" s="81" t="n">
        <f aca="true">RAND()</f>
        <v>0.906487517790153</v>
      </c>
      <c r="Q941" s="82" t="n">
        <f aca="false">IF(P941&lt;(Inputs!$E$27-Inputs!$D$27)/(Inputs!$F$27-Inputs!$D$27),Inputs!$D$27+SQRT(P941*(Inputs!$F$27-Inputs!$D$27)*(Inputs!$E$27-Inputs!$D$27)),Inputs!$F$27-SQRT((1-P941)*(Inputs!$F$27-Inputs!$D$27)*(Inputs!$F$27-Inputs!$E$27)))</f>
        <v>123.517107095828</v>
      </c>
      <c r="R941" s="81" t="n">
        <f aca="true">RAND()</f>
        <v>0.464956911178234</v>
      </c>
      <c r="S941" s="82" t="n">
        <f aca="false">IF(R941&lt;(Inputs!$E$29-Inputs!$D$29)/(Inputs!$F$29-Inputs!$D$29),Inputs!$D$29+SQRT(R941*(Inputs!$F$29-Inputs!$D$29)*(Inputs!$E$29-Inputs!$D$29)),Inputs!$F$29-SQRT((1-R941)*(Inputs!$F$29-Inputs!$D$29)*(Inputs!$F$29-Inputs!$E$29)))</f>
        <v>6.65999990726441</v>
      </c>
      <c r="T941" s="68" t="n">
        <f aca="false">Inputs!$E$9*(1+E941)+Inputs!$E$5*C941*(Inputs!$E$11*Inputs!$E$14*(G941*I941/Inputs!$E$16+(1-G941))*K941+Inputs!$E$23*M941)*(1+O941)+Inputs!$E$5*(Q941+S941)</f>
        <v>5719.47762435</v>
      </c>
    </row>
    <row r="942" customFormat="false" ht="15" hidden="false" customHeight="false" outlineLevel="0" collapsed="false">
      <c r="A942" s="1" t="n">
        <v>938</v>
      </c>
      <c r="B942" s="81" t="n">
        <f aca="true">RAND()</f>
        <v>0.548955969316844</v>
      </c>
      <c r="C942" s="82" t="n">
        <f aca="false">ROUND(IF(B942&lt;(Inputs!$E$8-Inputs!$D$8)/(Inputs!$F$8-Inputs!$D$8),Inputs!$D$8+SQRT(B942*(Inputs!$F$8-Inputs!$D$8)*(Inputs!$E$8-Inputs!$D$8)),Inputs!$F$8-SQRT((1-B942)*(Inputs!$F$8-Inputs!$D$8)*(Inputs!$F$8-Inputs!$E$8))),0)</f>
        <v>25</v>
      </c>
      <c r="D942" s="81" t="n">
        <f aca="true">RAND()</f>
        <v>0.532422736186488</v>
      </c>
      <c r="E942" s="83" t="n">
        <f aca="false">IF(D942&lt;(Inputs!$E$10-Inputs!$D$10)/(Inputs!$F$10-Inputs!$D$10),Inputs!$D$10+SQRT(D942*(Inputs!$F$10-Inputs!$D$10)*(Inputs!$E$10-Inputs!$D$10)),Inputs!$F$10-SQRT((1-D942)*(Inputs!$F$10-Inputs!$D$10)*(Inputs!$F$10-Inputs!$E$10)))</f>
        <v>0.0815630213387501</v>
      </c>
      <c r="F942" s="81" t="n">
        <f aca="true">RAND()</f>
        <v>0.685218908667907</v>
      </c>
      <c r="G942" s="83" t="n">
        <f aca="false">IF(F942&lt;(Inputs!$E$15-Inputs!$D$15)/(Inputs!$F$15-Inputs!$D$15),Inputs!$D$15+SQRT(F942*(Inputs!$F$15-Inputs!$D$15)*(Inputs!$E$15-Inputs!$D$15)),Inputs!$F$15-SQRT((1-F942)*(Inputs!$F$15-Inputs!$D$15)*(Inputs!$F$15-Inputs!$E$15)))</f>
        <v>0.720655045361146</v>
      </c>
      <c r="H942" s="81" t="n">
        <f aca="true">RAND()</f>
        <v>0.72007748151987</v>
      </c>
      <c r="I942" s="82" t="n">
        <f aca="false">ROUND(IF(H942&lt;(Inputs!$E$17-Inputs!$D$17)/(Inputs!$F$17-Inputs!$D$17),Inputs!$D$17+SQRT(H942*(Inputs!$F$17-Inputs!$D$17)*(Inputs!$E$17-Inputs!$D$17)),Inputs!$F$17-SQRT((1-H942)*(Inputs!$F$17-Inputs!$D$17)*(Inputs!$F$17-Inputs!$E$17))),0)</f>
        <v>109</v>
      </c>
      <c r="J942" s="81" t="n">
        <f aca="true">RAND()</f>
        <v>0.104699595430246</v>
      </c>
      <c r="K942" s="83" t="n">
        <f aca="false">IF(J942&lt;(Inputs!$E$18-Inputs!$D$18)/(Inputs!$F$18-Inputs!$D$18),Inputs!$D$18+SQRT(J942*(Inputs!$F$18-Inputs!$D$18)*(Inputs!$E$18-Inputs!$D$18)),Inputs!$F$18-SQRT((1-J942)*(Inputs!$F$18-Inputs!$D$18)*(Inputs!$F$18-Inputs!$E$18)))</f>
        <v>0.960534996820506</v>
      </c>
      <c r="L942" s="81" t="n">
        <f aca="true">RAND()</f>
        <v>0.271172910887385</v>
      </c>
      <c r="M942" s="83" t="n">
        <f aca="false">IF(L942&lt;(Inputs!$E$24-Inputs!$D$24)/(Inputs!$F$24-Inputs!$D$24),Inputs!$D$24+SQRT(L942*(Inputs!$F$24-Inputs!$D$24)*(Inputs!$E$24-Inputs!$D$24)),Inputs!$F$24-SQRT((1-L942)*(Inputs!$F$24-Inputs!$D$24)*(Inputs!$F$24-Inputs!$E$24)))</f>
        <v>0.780390546610642</v>
      </c>
      <c r="N942" s="81" t="n">
        <f aca="true">RAND()</f>
        <v>0.386143970390917</v>
      </c>
      <c r="O942" s="83" t="n">
        <f aca="false">IF(N942&lt;(Inputs!$E$26-Inputs!$D$26)/(Inputs!$F$26-Inputs!$D$26),Inputs!$D$26+SQRT(N942*(Inputs!$F$26-Inputs!$D$26)*(Inputs!$E$26-Inputs!$D$26)),Inputs!$F$26-SQRT((1-N942)*(Inputs!$F$26-Inputs!$D$26)*(Inputs!$F$26-Inputs!$E$26)))</f>
        <v>0.553484430829684</v>
      </c>
      <c r="P942" s="81" t="n">
        <f aca="true">RAND()</f>
        <v>0.697908542268602</v>
      </c>
      <c r="Q942" s="82" t="n">
        <f aca="false">IF(P942&lt;(Inputs!$E$27-Inputs!$D$27)/(Inputs!$F$27-Inputs!$D$27),Inputs!$D$27+SQRT(P942*(Inputs!$F$27-Inputs!$D$27)*(Inputs!$E$27-Inputs!$D$27)),Inputs!$F$27-SQRT((1-P942)*(Inputs!$F$27-Inputs!$D$27)*(Inputs!$F$27-Inputs!$E$27)))</f>
        <v>102.400778021217</v>
      </c>
      <c r="R942" s="81" t="n">
        <f aca="true">RAND()</f>
        <v>0.450016422265485</v>
      </c>
      <c r="S942" s="82" t="n">
        <f aca="false">IF(R942&lt;(Inputs!$E$29-Inputs!$D$29)/(Inputs!$F$29-Inputs!$D$29),Inputs!$D$29+SQRT(R942*(Inputs!$F$29-Inputs!$D$29)*(Inputs!$E$29-Inputs!$D$29)),Inputs!$F$29-SQRT((1-R942)*(Inputs!$F$29-Inputs!$D$29)*(Inputs!$F$29-Inputs!$E$29)))</f>
        <v>6.54435897725743</v>
      </c>
      <c r="T942" s="68" t="n">
        <f aca="false">Inputs!$E$9*(1+E942)+Inputs!$E$5*C942*(Inputs!$E$11*Inputs!$E$14*(G942*I942/Inputs!$E$16+(1-G942))*K942+Inputs!$E$23*M942)*(1+O942)+Inputs!$E$5*(Q942+S942)</f>
        <v>6027.0661581157</v>
      </c>
    </row>
    <row r="943" customFormat="false" ht="15" hidden="false" customHeight="false" outlineLevel="0" collapsed="false">
      <c r="A943" s="1" t="n">
        <v>939</v>
      </c>
      <c r="B943" s="81" t="n">
        <f aca="true">RAND()</f>
        <v>0.190105945873513</v>
      </c>
      <c r="C943" s="82" t="n">
        <f aca="false">ROUND(IF(B943&lt;(Inputs!$E$8-Inputs!$D$8)/(Inputs!$F$8-Inputs!$D$8),Inputs!$D$8+SQRT(B943*(Inputs!$F$8-Inputs!$D$8)*(Inputs!$E$8-Inputs!$D$8)),Inputs!$F$8-SQRT((1-B943)*(Inputs!$F$8-Inputs!$D$8)*(Inputs!$F$8-Inputs!$E$8))),0)</f>
        <v>23</v>
      </c>
      <c r="D943" s="81" t="n">
        <f aca="true">RAND()</f>
        <v>0.342763228559297</v>
      </c>
      <c r="E943" s="83" t="n">
        <f aca="false">IF(D943&lt;(Inputs!$E$10-Inputs!$D$10)/(Inputs!$F$10-Inputs!$D$10),Inputs!$D$10+SQRT(D943*(Inputs!$F$10-Inputs!$D$10)*(Inputs!$E$10-Inputs!$D$10)),Inputs!$F$10-SQRT((1-D943)*(Inputs!$F$10-Inputs!$D$10)*(Inputs!$F$10-Inputs!$E$10)))</f>
        <v>0.0595823973170703</v>
      </c>
      <c r="F943" s="81" t="n">
        <f aca="true">RAND()</f>
        <v>0.107781672953088</v>
      </c>
      <c r="G943" s="83" t="n">
        <f aca="false">IF(F943&lt;(Inputs!$E$15-Inputs!$D$15)/(Inputs!$F$15-Inputs!$D$15),Inputs!$D$15+SQRT(F943*(Inputs!$F$15-Inputs!$D$15)*(Inputs!$E$15-Inputs!$D$15)),Inputs!$F$15-SQRT((1-F943)*(Inputs!$F$15-Inputs!$D$15)*(Inputs!$F$15-Inputs!$E$15)))</f>
        <v>0.646428799888235</v>
      </c>
      <c r="H943" s="81" t="n">
        <f aca="true">RAND()</f>
        <v>0.408747042146652</v>
      </c>
      <c r="I943" s="82" t="n">
        <f aca="false">ROUND(IF(H943&lt;(Inputs!$E$17-Inputs!$D$17)/(Inputs!$F$17-Inputs!$D$17),Inputs!$D$17+SQRT(H943*(Inputs!$F$17-Inputs!$D$17)*(Inputs!$E$17-Inputs!$D$17)),Inputs!$F$17-SQRT((1-H943)*(Inputs!$F$17-Inputs!$D$17)*(Inputs!$F$17-Inputs!$E$17))),0)</f>
        <v>106</v>
      </c>
      <c r="J943" s="81" t="n">
        <f aca="true">RAND()</f>
        <v>0.125180580411163</v>
      </c>
      <c r="K943" s="83" t="n">
        <f aca="false">IF(J943&lt;(Inputs!$E$18-Inputs!$D$18)/(Inputs!$F$18-Inputs!$D$18),Inputs!$D$18+SQRT(J943*(Inputs!$F$18-Inputs!$D$18)*(Inputs!$E$18-Inputs!$D$18)),Inputs!$F$18-SQRT((1-J943)*(Inputs!$F$18-Inputs!$D$18)*(Inputs!$F$18-Inputs!$E$18)))</f>
        <v>0.966191542619814</v>
      </c>
      <c r="L943" s="81" t="n">
        <f aca="true">RAND()</f>
        <v>0.754873508813581</v>
      </c>
      <c r="M943" s="83" t="n">
        <f aca="false">IF(L943&lt;(Inputs!$E$24-Inputs!$D$24)/(Inputs!$F$24-Inputs!$D$24),Inputs!$D$24+SQRT(L943*(Inputs!$F$24-Inputs!$D$24)*(Inputs!$E$24-Inputs!$D$24)),Inputs!$F$24-SQRT((1-L943)*(Inputs!$F$24-Inputs!$D$24)*(Inputs!$F$24-Inputs!$E$24)))</f>
        <v>0.957450298114509</v>
      </c>
      <c r="N943" s="81" t="n">
        <f aca="true">RAND()</f>
        <v>0.632155110292902</v>
      </c>
      <c r="O943" s="83" t="n">
        <f aca="false">IF(N943&lt;(Inputs!$E$26-Inputs!$D$26)/(Inputs!$F$26-Inputs!$D$26),Inputs!$D$26+SQRT(N943*(Inputs!$F$26-Inputs!$D$26)*(Inputs!$E$26-Inputs!$D$26)),Inputs!$F$26-SQRT((1-N943)*(Inputs!$F$26-Inputs!$D$26)*(Inputs!$F$26-Inputs!$E$26)))</f>
        <v>0.624408925230372</v>
      </c>
      <c r="P943" s="81" t="n">
        <f aca="true">RAND()</f>
        <v>0.135527037445751</v>
      </c>
      <c r="Q943" s="82" t="n">
        <f aca="false">IF(P943&lt;(Inputs!$E$27-Inputs!$D$27)/(Inputs!$F$27-Inputs!$D$27),Inputs!$D$27+SQRT(P943*(Inputs!$F$27-Inputs!$D$27)*(Inputs!$E$27-Inputs!$D$27)),Inputs!$F$27-SQRT((1-P943)*(Inputs!$F$27-Inputs!$D$27)*(Inputs!$F$27-Inputs!$E$27)))</f>
        <v>68.4069984955282</v>
      </c>
      <c r="R943" s="81" t="n">
        <f aca="true">RAND()</f>
        <v>0.258388026679398</v>
      </c>
      <c r="S943" s="82" t="n">
        <f aca="false">IF(R943&lt;(Inputs!$E$29-Inputs!$D$29)/(Inputs!$F$29-Inputs!$D$29),Inputs!$D$29+SQRT(R943*(Inputs!$F$29-Inputs!$D$29)*(Inputs!$E$29-Inputs!$D$29)),Inputs!$F$29-SQRT((1-R943)*(Inputs!$F$29-Inputs!$D$29)*(Inputs!$F$29-Inputs!$E$29)))</f>
        <v>5.18116317827421</v>
      </c>
      <c r="T943" s="68" t="n">
        <f aca="false">Inputs!$E$9*(1+E943)+Inputs!$E$5*C943*(Inputs!$E$11*Inputs!$E$14*(G943*I943/Inputs!$E$16+(1-G943))*K943+Inputs!$E$23*M943)*(1+O943)+Inputs!$E$5*(Q943+S943)</f>
        <v>5986.95005784701</v>
      </c>
    </row>
    <row r="944" customFormat="false" ht="15" hidden="false" customHeight="false" outlineLevel="0" collapsed="false">
      <c r="A944" s="1" t="n">
        <v>940</v>
      </c>
      <c r="B944" s="81" t="n">
        <f aca="true">RAND()</f>
        <v>0.919847055417013</v>
      </c>
      <c r="C944" s="82" t="n">
        <f aca="false">ROUND(IF(B944&lt;(Inputs!$E$8-Inputs!$D$8)/(Inputs!$F$8-Inputs!$D$8),Inputs!$D$8+SQRT(B944*(Inputs!$F$8-Inputs!$D$8)*(Inputs!$E$8-Inputs!$D$8)),Inputs!$F$8-SQRT((1-B944)*(Inputs!$F$8-Inputs!$D$8)*(Inputs!$F$8-Inputs!$E$8))),0)</f>
        <v>28</v>
      </c>
      <c r="D944" s="81" t="n">
        <f aca="true">RAND()</f>
        <v>0.501615605207908</v>
      </c>
      <c r="E944" s="83" t="n">
        <f aca="false">IF(D944&lt;(Inputs!$E$10-Inputs!$D$10)/(Inputs!$F$10-Inputs!$D$10),Inputs!$D$10+SQRT(D944*(Inputs!$F$10-Inputs!$D$10)*(Inputs!$E$10-Inputs!$D$10)),Inputs!$F$10-SQRT((1-D944)*(Inputs!$F$10-Inputs!$D$10)*(Inputs!$F$10-Inputs!$E$10)))</f>
        <v>0.0777235433791003</v>
      </c>
      <c r="F944" s="81" t="n">
        <f aca="true">RAND()</f>
        <v>0.0660147253789043</v>
      </c>
      <c r="G944" s="83" t="n">
        <f aca="false">IF(F944&lt;(Inputs!$E$15-Inputs!$D$15)/(Inputs!$F$15-Inputs!$D$15),Inputs!$D$15+SQRT(F944*(Inputs!$F$15-Inputs!$D$15)*(Inputs!$E$15-Inputs!$D$15)),Inputs!$F$15-SQRT((1-F944)*(Inputs!$F$15-Inputs!$D$15)*(Inputs!$F$15-Inputs!$E$15)))</f>
        <v>0.636335857050276</v>
      </c>
      <c r="H944" s="81" t="n">
        <f aca="true">RAND()</f>
        <v>0.148211584243483</v>
      </c>
      <c r="I944" s="82" t="n">
        <f aca="false">ROUND(IF(H944&lt;(Inputs!$E$17-Inputs!$D$17)/(Inputs!$F$17-Inputs!$D$17),Inputs!$D$17+SQRT(H944*(Inputs!$F$17-Inputs!$D$17)*(Inputs!$E$17-Inputs!$D$17)),Inputs!$F$17-SQRT((1-H944)*(Inputs!$F$17-Inputs!$D$17)*(Inputs!$F$17-Inputs!$E$17))),0)</f>
        <v>103</v>
      </c>
      <c r="J944" s="81" t="n">
        <f aca="true">RAND()</f>
        <v>0.734365228161148</v>
      </c>
      <c r="K944" s="83" t="n">
        <f aca="false">IF(J944&lt;(Inputs!$E$18-Inputs!$D$18)/(Inputs!$F$18-Inputs!$D$18),Inputs!$D$18+SQRT(J944*(Inputs!$F$18-Inputs!$D$18)*(Inputs!$E$18-Inputs!$D$18)),Inputs!$F$18-SQRT((1-J944)*(Inputs!$F$18-Inputs!$D$18)*(Inputs!$F$18-Inputs!$E$18)))</f>
        <v>1.09754330931081</v>
      </c>
      <c r="L944" s="81" t="n">
        <f aca="true">RAND()</f>
        <v>0.527013923515167</v>
      </c>
      <c r="M944" s="83" t="n">
        <f aca="false">IF(L944&lt;(Inputs!$E$24-Inputs!$D$24)/(Inputs!$F$24-Inputs!$D$24),Inputs!$D$24+SQRT(L944*(Inputs!$F$24-Inputs!$D$24)*(Inputs!$E$24-Inputs!$D$24)),Inputs!$F$24-SQRT((1-L944)*(Inputs!$F$24-Inputs!$D$24)*(Inputs!$F$24-Inputs!$E$24)))</f>
        <v>0.863077667174822</v>
      </c>
      <c r="N944" s="81" t="n">
        <f aca="true">RAND()</f>
        <v>0.266867913236716</v>
      </c>
      <c r="O944" s="83" t="n">
        <f aca="false">IF(N944&lt;(Inputs!$E$26-Inputs!$D$26)/(Inputs!$F$26-Inputs!$D$26),Inputs!$D$26+SQRT(N944*(Inputs!$F$26-Inputs!$D$26)*(Inputs!$E$26-Inputs!$D$26)),Inputs!$F$26-SQRT((1-N944)*(Inputs!$F$26-Inputs!$D$26)*(Inputs!$F$26-Inputs!$E$26)))</f>
        <v>0.510729259388889</v>
      </c>
      <c r="P944" s="81" t="n">
        <f aca="true">RAND()</f>
        <v>0.450196972295708</v>
      </c>
      <c r="Q944" s="82" t="n">
        <f aca="false">IF(P944&lt;(Inputs!$E$27-Inputs!$D$27)/(Inputs!$F$27-Inputs!$D$27),Inputs!$D$27+SQRT(P944*(Inputs!$F$27-Inputs!$D$27)*(Inputs!$E$27-Inputs!$D$27)),Inputs!$F$27-SQRT((1-P944)*(Inputs!$F$27-Inputs!$D$27)*(Inputs!$F$27-Inputs!$E$27)))</f>
        <v>85.7853388408676</v>
      </c>
      <c r="R944" s="81" t="n">
        <f aca="true">RAND()</f>
        <v>0.747403216212844</v>
      </c>
      <c r="S944" s="82" t="n">
        <f aca="false">IF(R944&lt;(Inputs!$E$29-Inputs!$D$29)/(Inputs!$F$29-Inputs!$D$29),Inputs!$D$29+SQRT(R944*(Inputs!$F$29-Inputs!$D$29)*(Inputs!$E$29-Inputs!$D$29)),Inputs!$F$29-SQRT((1-R944)*(Inputs!$F$29-Inputs!$D$29)*(Inputs!$F$29-Inputs!$E$29)))</f>
        <v>9.26959147247508</v>
      </c>
      <c r="T944" s="68" t="n">
        <f aca="false">Inputs!$E$9*(1+E944)+Inputs!$E$5*C944*(Inputs!$E$11*Inputs!$E$14*(G944*I944/Inputs!$E$16+(1-G944))*K944+Inputs!$E$23*M944)*(1+O944)+Inputs!$E$5*(Q944+S944)</f>
        <v>6714.81922967605</v>
      </c>
    </row>
    <row r="945" customFormat="false" ht="15" hidden="false" customHeight="false" outlineLevel="0" collapsed="false">
      <c r="A945" s="1" t="n">
        <v>941</v>
      </c>
      <c r="B945" s="81" t="n">
        <f aca="true">RAND()</f>
        <v>0.176573379025911</v>
      </c>
      <c r="C945" s="82" t="n">
        <f aca="false">ROUND(IF(B945&lt;(Inputs!$E$8-Inputs!$D$8)/(Inputs!$F$8-Inputs!$D$8),Inputs!$D$8+SQRT(B945*(Inputs!$F$8-Inputs!$D$8)*(Inputs!$E$8-Inputs!$D$8)),Inputs!$F$8-SQRT((1-B945)*(Inputs!$F$8-Inputs!$D$8)*(Inputs!$F$8-Inputs!$E$8))),0)</f>
        <v>23</v>
      </c>
      <c r="D945" s="81" t="n">
        <f aca="true">RAND()</f>
        <v>0.216494263713017</v>
      </c>
      <c r="E945" s="83" t="n">
        <f aca="false">IF(D945&lt;(Inputs!$E$10-Inputs!$D$10)/(Inputs!$F$10-Inputs!$D$10),Inputs!$D$10+SQRT(D945*(Inputs!$F$10-Inputs!$D$10)*(Inputs!$E$10-Inputs!$D$10)),Inputs!$F$10-SQRT((1-D945)*(Inputs!$F$10-Inputs!$D$10)*(Inputs!$F$10-Inputs!$E$10)))</f>
        <v>0.0465289440792521</v>
      </c>
      <c r="F945" s="81" t="n">
        <f aca="true">RAND()</f>
        <v>0.593546801343992</v>
      </c>
      <c r="G945" s="83" t="n">
        <f aca="false">IF(F945&lt;(Inputs!$E$15-Inputs!$D$15)/(Inputs!$F$15-Inputs!$D$15),Inputs!$D$15+SQRT(F945*(Inputs!$F$15-Inputs!$D$15)*(Inputs!$E$15-Inputs!$D$15)),Inputs!$F$15-SQRT((1-F945)*(Inputs!$F$15-Inputs!$D$15)*(Inputs!$F$15-Inputs!$E$15)))</f>
        <v>0.709838678064704</v>
      </c>
      <c r="H945" s="81" t="n">
        <f aca="true">RAND()</f>
        <v>0.48579228073463</v>
      </c>
      <c r="I945" s="82" t="n">
        <f aca="false">ROUND(IF(H945&lt;(Inputs!$E$17-Inputs!$D$17)/(Inputs!$F$17-Inputs!$D$17),Inputs!$D$17+SQRT(H945*(Inputs!$F$17-Inputs!$D$17)*(Inputs!$E$17-Inputs!$D$17)),Inputs!$F$17-SQRT((1-H945)*(Inputs!$F$17-Inputs!$D$17)*(Inputs!$F$17-Inputs!$E$17))),0)</f>
        <v>106</v>
      </c>
      <c r="J945" s="81" t="n">
        <f aca="true">RAND()</f>
        <v>0.847640625142946</v>
      </c>
      <c r="K945" s="83" t="n">
        <f aca="false">IF(J945&lt;(Inputs!$E$18-Inputs!$D$18)/(Inputs!$F$18-Inputs!$D$18),Inputs!$D$18+SQRT(J945*(Inputs!$F$18-Inputs!$D$18)*(Inputs!$E$18-Inputs!$D$18)),Inputs!$F$18-SQRT((1-J945)*(Inputs!$F$18-Inputs!$D$18)*(Inputs!$F$18-Inputs!$E$18)))</f>
        <v>1.13453812187569</v>
      </c>
      <c r="L945" s="81" t="n">
        <f aca="true">RAND()</f>
        <v>0.547673117136807</v>
      </c>
      <c r="M945" s="83" t="n">
        <f aca="false">IF(L945&lt;(Inputs!$E$24-Inputs!$D$24)/(Inputs!$F$24-Inputs!$D$24),Inputs!$D$24+SQRT(L945*(Inputs!$F$24-Inputs!$D$24)*(Inputs!$E$24-Inputs!$D$24)),Inputs!$F$24-SQRT((1-L945)*(Inputs!$F$24-Inputs!$D$24)*(Inputs!$F$24-Inputs!$E$24)))</f>
        <v>0.870517903540775</v>
      </c>
      <c r="N945" s="81" t="n">
        <f aca="true">RAND()</f>
        <v>0.873801642285597</v>
      </c>
      <c r="O945" s="83" t="n">
        <f aca="false">IF(N945&lt;(Inputs!$E$26-Inputs!$D$26)/(Inputs!$F$26-Inputs!$D$26),Inputs!$D$26+SQRT(N945*(Inputs!$F$26-Inputs!$D$26)*(Inputs!$E$26-Inputs!$D$26)),Inputs!$F$26-SQRT((1-N945)*(Inputs!$F$26-Inputs!$D$26)*(Inputs!$F$26-Inputs!$E$26)))</f>
        <v>0.705437225931379</v>
      </c>
      <c r="P945" s="81" t="n">
        <f aca="true">RAND()</f>
        <v>0.380231030985701</v>
      </c>
      <c r="Q945" s="82" t="n">
        <f aca="false">IF(P945&lt;(Inputs!$E$27-Inputs!$D$27)/(Inputs!$F$27-Inputs!$D$27),Inputs!$D$27+SQRT(P945*(Inputs!$F$27-Inputs!$D$27)*(Inputs!$E$27-Inputs!$D$27)),Inputs!$F$27-SQRT((1-P945)*(Inputs!$F$27-Inputs!$D$27)*(Inputs!$F$27-Inputs!$E$27)))</f>
        <v>81.8217977091854</v>
      </c>
      <c r="R945" s="81" t="n">
        <f aca="true">RAND()</f>
        <v>0.96397641169936</v>
      </c>
      <c r="S945" s="82" t="n">
        <f aca="false">IF(R945&lt;(Inputs!$E$29-Inputs!$D$29)/(Inputs!$F$29-Inputs!$D$29),Inputs!$D$29+SQRT(R945*(Inputs!$F$29-Inputs!$D$29)*(Inputs!$E$29-Inputs!$D$29)),Inputs!$F$29-SQRT((1-R945)*(Inputs!$F$29-Inputs!$D$29)*(Inputs!$F$29-Inputs!$E$29)))</f>
        <v>12.8359606105518</v>
      </c>
      <c r="T945" s="68" t="n">
        <f aca="false">Inputs!$E$9*(1+E945)+Inputs!$E$5*C945*(Inputs!$E$11*Inputs!$E$14*(G945*I945/Inputs!$E$16+(1-G945))*K945+Inputs!$E$23*M945)*(1+O945)+Inputs!$E$5*(Q945+S945)</f>
        <v>6381.3815013611</v>
      </c>
    </row>
    <row r="946" customFormat="false" ht="15" hidden="false" customHeight="false" outlineLevel="0" collapsed="false">
      <c r="A946" s="1" t="n">
        <v>942</v>
      </c>
      <c r="B946" s="81" t="n">
        <f aca="true">RAND()</f>
        <v>0.314382079350194</v>
      </c>
      <c r="C946" s="82" t="n">
        <f aca="false">ROUND(IF(B946&lt;(Inputs!$E$8-Inputs!$D$8)/(Inputs!$F$8-Inputs!$D$8),Inputs!$D$8+SQRT(B946*(Inputs!$F$8-Inputs!$D$8)*(Inputs!$E$8-Inputs!$D$8)),Inputs!$F$8-SQRT((1-B946)*(Inputs!$F$8-Inputs!$D$8)*(Inputs!$F$8-Inputs!$E$8))),0)</f>
        <v>24</v>
      </c>
      <c r="D946" s="81" t="n">
        <f aca="true">RAND()</f>
        <v>0.96207655649291</v>
      </c>
      <c r="E946" s="83" t="n">
        <f aca="false">IF(D946&lt;(Inputs!$E$10-Inputs!$D$10)/(Inputs!$F$10-Inputs!$D$10),Inputs!$D$10+SQRT(D946*(Inputs!$F$10-Inputs!$D$10)*(Inputs!$E$10-Inputs!$D$10)),Inputs!$F$10-SQRT((1-D946)*(Inputs!$F$10-Inputs!$D$10)*(Inputs!$F$10-Inputs!$E$10)))</f>
        <v>0.166270142229581</v>
      </c>
      <c r="F946" s="81" t="n">
        <f aca="true">RAND()</f>
        <v>0.601672241448425</v>
      </c>
      <c r="G946" s="83" t="n">
        <f aca="false">IF(F946&lt;(Inputs!$E$15-Inputs!$D$15)/(Inputs!$F$15-Inputs!$D$15),Inputs!$D$15+SQRT(F946*(Inputs!$F$15-Inputs!$D$15)*(Inputs!$E$15-Inputs!$D$15)),Inputs!$F$15-SQRT((1-F946)*(Inputs!$F$15-Inputs!$D$15)*(Inputs!$F$15-Inputs!$E$15)))</f>
        <v>0.710744438990999</v>
      </c>
      <c r="H946" s="81" t="n">
        <f aca="true">RAND()</f>
        <v>0.600624083385665</v>
      </c>
      <c r="I946" s="82" t="n">
        <f aca="false">ROUND(IF(H946&lt;(Inputs!$E$17-Inputs!$D$17)/(Inputs!$F$17-Inputs!$D$17),Inputs!$D$17+SQRT(H946*(Inputs!$F$17-Inputs!$D$17)*(Inputs!$E$17-Inputs!$D$17)),Inputs!$F$17-SQRT((1-H946)*(Inputs!$F$17-Inputs!$D$17)*(Inputs!$F$17-Inputs!$E$17))),0)</f>
        <v>107</v>
      </c>
      <c r="J946" s="81" t="n">
        <f aca="true">RAND()</f>
        <v>0.381078932004722</v>
      </c>
      <c r="K946" s="83" t="n">
        <f aca="false">IF(J946&lt;(Inputs!$E$18-Inputs!$D$18)/(Inputs!$F$18-Inputs!$D$18),Inputs!$D$18+SQRT(J946*(Inputs!$F$18-Inputs!$D$18)*(Inputs!$E$18-Inputs!$D$18)),Inputs!$F$18-SQRT((1-J946)*(Inputs!$F$18-Inputs!$D$18)*(Inputs!$F$18-Inputs!$E$18)))</f>
        <v>1.01728645623946</v>
      </c>
      <c r="L946" s="81" t="n">
        <f aca="true">RAND()</f>
        <v>0.111220957834698</v>
      </c>
      <c r="M946" s="83" t="n">
        <f aca="false">IF(L946&lt;(Inputs!$E$24-Inputs!$D$24)/(Inputs!$F$24-Inputs!$D$24),Inputs!$D$24+SQRT(L946*(Inputs!$F$24-Inputs!$D$24)*(Inputs!$E$24-Inputs!$D$24)),Inputs!$F$24-SQRT((1-L946)*(Inputs!$F$24-Inputs!$D$24)*(Inputs!$F$24-Inputs!$E$24)))</f>
        <v>0.715527117769655</v>
      </c>
      <c r="N946" s="81" t="n">
        <f aca="true">RAND()</f>
        <v>0.873002092282354</v>
      </c>
      <c r="O946" s="83" t="n">
        <f aca="false">IF(N946&lt;(Inputs!$E$26-Inputs!$D$26)/(Inputs!$F$26-Inputs!$D$26),Inputs!$D$26+SQRT(N946*(Inputs!$F$26-Inputs!$D$26)*(Inputs!$E$26-Inputs!$D$26)),Inputs!$F$26-SQRT((1-N946)*(Inputs!$F$26-Inputs!$D$26)*(Inputs!$F$26-Inputs!$E$26)))</f>
        <v>0.70507488349958</v>
      </c>
      <c r="P946" s="81" t="n">
        <f aca="true">RAND()</f>
        <v>0.741982539471885</v>
      </c>
      <c r="Q946" s="82" t="n">
        <f aca="false">IF(P946&lt;(Inputs!$E$27-Inputs!$D$27)/(Inputs!$F$27-Inputs!$D$27),Inputs!$D$27+SQRT(P946*(Inputs!$F$27-Inputs!$D$27)*(Inputs!$E$27-Inputs!$D$27)),Inputs!$F$27-SQRT((1-P946)*(Inputs!$F$27-Inputs!$D$27)*(Inputs!$F$27-Inputs!$E$27)))</f>
        <v>106.00987663167</v>
      </c>
      <c r="R946" s="81" t="n">
        <f aca="true">RAND()</f>
        <v>0.443790707126928</v>
      </c>
      <c r="S946" s="82" t="n">
        <f aca="false">IF(R946&lt;(Inputs!$E$29-Inputs!$D$29)/(Inputs!$F$29-Inputs!$D$29),Inputs!$D$29+SQRT(R946*(Inputs!$F$29-Inputs!$D$29)*(Inputs!$E$29-Inputs!$D$29)),Inputs!$F$29-SQRT((1-R946)*(Inputs!$F$29-Inputs!$D$29)*(Inputs!$F$29-Inputs!$E$29)))</f>
        <v>6.49663548508595</v>
      </c>
      <c r="T946" s="68" t="n">
        <f aca="false">Inputs!$E$9*(1+E946)+Inputs!$E$5*C946*(Inputs!$E$11*Inputs!$E$14*(G946*I946/Inputs!$E$16+(1-G946))*K946+Inputs!$E$23*M946)*(1+O946)+Inputs!$E$5*(Q946+S946)</f>
        <v>6417.47544277907</v>
      </c>
    </row>
    <row r="947" customFormat="false" ht="15" hidden="false" customHeight="false" outlineLevel="0" collapsed="false">
      <c r="A947" s="1" t="n">
        <v>943</v>
      </c>
      <c r="B947" s="81" t="n">
        <f aca="true">RAND()</f>
        <v>0.176711301526474</v>
      </c>
      <c r="C947" s="82" t="n">
        <f aca="false">ROUND(IF(B947&lt;(Inputs!$E$8-Inputs!$D$8)/(Inputs!$F$8-Inputs!$D$8),Inputs!$D$8+SQRT(B947*(Inputs!$F$8-Inputs!$D$8)*(Inputs!$E$8-Inputs!$D$8)),Inputs!$F$8-SQRT((1-B947)*(Inputs!$F$8-Inputs!$D$8)*(Inputs!$F$8-Inputs!$E$8))),0)</f>
        <v>23</v>
      </c>
      <c r="D947" s="81" t="n">
        <f aca="true">RAND()</f>
        <v>0.249279123084992</v>
      </c>
      <c r="E947" s="83" t="n">
        <f aca="false">IF(D947&lt;(Inputs!$E$10-Inputs!$D$10)/(Inputs!$F$10-Inputs!$D$10),Inputs!$D$10+SQRT(D947*(Inputs!$F$10-Inputs!$D$10)*(Inputs!$E$10-Inputs!$D$10)),Inputs!$F$10-SQRT((1-D947)*(Inputs!$F$10-Inputs!$D$10)*(Inputs!$F$10-Inputs!$E$10)))</f>
        <v>0.0499278602670886</v>
      </c>
      <c r="F947" s="81" t="n">
        <f aca="true">RAND()</f>
        <v>0.571030719873383</v>
      </c>
      <c r="G947" s="83" t="n">
        <f aca="false">IF(F947&lt;(Inputs!$E$15-Inputs!$D$15)/(Inputs!$F$15-Inputs!$D$15),Inputs!$D$15+SQRT(F947*(Inputs!$F$15-Inputs!$D$15)*(Inputs!$E$15-Inputs!$D$15)),Inputs!$F$15-SQRT((1-F947)*(Inputs!$F$15-Inputs!$D$15)*(Inputs!$F$15-Inputs!$E$15)))</f>
        <v>0.70737502711184</v>
      </c>
      <c r="H947" s="81" t="n">
        <f aca="true">RAND()</f>
        <v>0.191765055916487</v>
      </c>
      <c r="I947" s="82" t="n">
        <f aca="false">ROUND(IF(H947&lt;(Inputs!$E$17-Inputs!$D$17)/(Inputs!$F$17-Inputs!$D$17),Inputs!$D$17+SQRT(H947*(Inputs!$F$17-Inputs!$D$17)*(Inputs!$E$17-Inputs!$D$17)),Inputs!$F$17-SQRT((1-H947)*(Inputs!$F$17-Inputs!$D$17)*(Inputs!$F$17-Inputs!$E$17))),0)</f>
        <v>104</v>
      </c>
      <c r="J947" s="81" t="n">
        <f aca="true">RAND()</f>
        <v>0.487421123419139</v>
      </c>
      <c r="K947" s="83" t="n">
        <f aca="false">IF(J947&lt;(Inputs!$E$18-Inputs!$D$18)/(Inputs!$F$18-Inputs!$D$18),Inputs!$D$18+SQRT(J947*(Inputs!$F$18-Inputs!$D$18)*(Inputs!$E$18-Inputs!$D$18)),Inputs!$F$18-SQRT((1-J947)*(Inputs!$F$18-Inputs!$D$18)*(Inputs!$F$18-Inputs!$E$18)))</f>
        <v>1.03822027552</v>
      </c>
      <c r="L947" s="81" t="n">
        <f aca="true">RAND()</f>
        <v>0.81862486393368</v>
      </c>
      <c r="M947" s="83" t="n">
        <f aca="false">IF(L947&lt;(Inputs!$E$24-Inputs!$D$24)/(Inputs!$F$24-Inputs!$D$24),Inputs!$D$24+SQRT(L947*(Inputs!$F$24-Inputs!$D$24)*(Inputs!$E$24-Inputs!$D$24)),Inputs!$F$24-SQRT((1-L947)*(Inputs!$F$24-Inputs!$D$24)*(Inputs!$F$24-Inputs!$E$24)))</f>
        <v>0.991361478494702</v>
      </c>
      <c r="N947" s="81" t="n">
        <f aca="true">RAND()</f>
        <v>0.069266562071308</v>
      </c>
      <c r="O947" s="83" t="n">
        <f aca="false">IF(N947&lt;(Inputs!$E$26-Inputs!$D$26)/(Inputs!$F$26-Inputs!$D$26),Inputs!$D$26+SQRT(N947*(Inputs!$F$26-Inputs!$D$26)*(Inputs!$E$26-Inputs!$D$26)),Inputs!$F$26-SQRT((1-N947)*(Inputs!$F$26-Inputs!$D$26)*(Inputs!$F$26-Inputs!$E$26)))</f>
        <v>0.407359004879263</v>
      </c>
      <c r="P947" s="81" t="n">
        <f aca="true">RAND()</f>
        <v>0.475500634954033</v>
      </c>
      <c r="Q947" s="82" t="n">
        <f aca="false">IF(P947&lt;(Inputs!$E$27-Inputs!$D$27)/(Inputs!$F$27-Inputs!$D$27),Inputs!$D$27+SQRT(P947*(Inputs!$F$27-Inputs!$D$27)*(Inputs!$E$27-Inputs!$D$27)),Inputs!$F$27-SQRT((1-P947)*(Inputs!$F$27-Inputs!$D$27)*(Inputs!$F$27-Inputs!$E$27)))</f>
        <v>87.2804238068787</v>
      </c>
      <c r="R947" s="81" t="n">
        <f aca="true">RAND()</f>
        <v>0.743360911830224</v>
      </c>
      <c r="S947" s="82" t="n">
        <f aca="false">IF(R947&lt;(Inputs!$E$29-Inputs!$D$29)/(Inputs!$F$29-Inputs!$D$29),Inputs!$D$29+SQRT(R947*(Inputs!$F$29-Inputs!$D$29)*(Inputs!$E$29-Inputs!$D$29)),Inputs!$F$29-SQRT((1-R947)*(Inputs!$F$29-Inputs!$D$29)*(Inputs!$F$29-Inputs!$E$29)))</f>
        <v>9.22392161911987</v>
      </c>
      <c r="T947" s="68" t="n">
        <f aca="false">Inputs!$E$9*(1+E947)+Inputs!$E$5*C947*(Inputs!$E$11*Inputs!$E$14*(G947*I947/Inputs!$E$16+(1-G947))*K947+Inputs!$E$23*M947)*(1+O947)+Inputs!$E$5*(Q947+S947)</f>
        <v>5722.94056239483</v>
      </c>
    </row>
    <row r="948" customFormat="false" ht="15" hidden="false" customHeight="false" outlineLevel="0" collapsed="false">
      <c r="A948" s="1" t="n">
        <v>944</v>
      </c>
      <c r="B948" s="81" t="n">
        <f aca="true">RAND()</f>
        <v>0.7446490705909</v>
      </c>
      <c r="C948" s="82" t="n">
        <f aca="false">ROUND(IF(B948&lt;(Inputs!$E$8-Inputs!$D$8)/(Inputs!$F$8-Inputs!$D$8),Inputs!$D$8+SQRT(B948*(Inputs!$F$8-Inputs!$D$8)*(Inputs!$E$8-Inputs!$D$8)),Inputs!$F$8-SQRT((1-B948)*(Inputs!$F$8-Inputs!$D$8)*(Inputs!$F$8-Inputs!$E$8))),0)</f>
        <v>26</v>
      </c>
      <c r="D948" s="81" t="n">
        <f aca="true">RAND()</f>
        <v>0.951397124916343</v>
      </c>
      <c r="E948" s="83" t="n">
        <f aca="false">IF(D948&lt;(Inputs!$E$10-Inputs!$D$10)/(Inputs!$F$10-Inputs!$D$10),Inputs!$D$10+SQRT(D948*(Inputs!$F$10-Inputs!$D$10)*(Inputs!$E$10-Inputs!$D$10)),Inputs!$F$10-SQRT((1-D948)*(Inputs!$F$10-Inputs!$D$10)*(Inputs!$F$10-Inputs!$E$10)))</f>
        <v>0.161815104393102</v>
      </c>
      <c r="F948" s="81" t="n">
        <f aca="true">RAND()</f>
        <v>0.031629277524922</v>
      </c>
      <c r="G948" s="83" t="n">
        <f aca="false">IF(F948&lt;(Inputs!$E$15-Inputs!$D$15)/(Inputs!$F$15-Inputs!$D$15),Inputs!$D$15+SQRT(F948*(Inputs!$F$15-Inputs!$D$15)*(Inputs!$E$15-Inputs!$D$15)),Inputs!$F$15-SQRT((1-F948)*(Inputs!$F$15-Inputs!$D$15)*(Inputs!$F$15-Inputs!$E$15)))</f>
        <v>0.625151253457799</v>
      </c>
      <c r="H948" s="81" t="n">
        <f aca="true">RAND()</f>
        <v>0.356686641276423</v>
      </c>
      <c r="I948" s="82" t="n">
        <f aca="false">ROUND(IF(H948&lt;(Inputs!$E$17-Inputs!$D$17)/(Inputs!$F$17-Inputs!$D$17),Inputs!$D$17+SQRT(H948*(Inputs!$F$17-Inputs!$D$17)*(Inputs!$E$17-Inputs!$D$17)),Inputs!$F$17-SQRT((1-H948)*(Inputs!$F$17-Inputs!$D$17)*(Inputs!$F$17-Inputs!$E$17))),0)</f>
        <v>105</v>
      </c>
      <c r="J948" s="81" t="n">
        <f aca="true">RAND()</f>
        <v>0.470972573509852</v>
      </c>
      <c r="K948" s="83" t="n">
        <f aca="false">IF(J948&lt;(Inputs!$E$18-Inputs!$D$18)/(Inputs!$F$18-Inputs!$D$18),Inputs!$D$18+SQRT(J948*(Inputs!$F$18-Inputs!$D$18)*(Inputs!$E$18-Inputs!$D$18)),Inputs!$F$18-SQRT((1-J948)*(Inputs!$F$18-Inputs!$D$18)*(Inputs!$F$18-Inputs!$E$18)))</f>
        <v>1.0348491231301</v>
      </c>
      <c r="L948" s="81" t="n">
        <f aca="true">RAND()</f>
        <v>0.997692817727442</v>
      </c>
      <c r="M948" s="83" t="n">
        <f aca="false">IF(L948&lt;(Inputs!$E$24-Inputs!$D$24)/(Inputs!$F$24-Inputs!$D$24),Inputs!$D$24+SQRT(L948*(Inputs!$F$24-Inputs!$D$24)*(Inputs!$E$24-Inputs!$D$24)),Inputs!$F$24-SQRT((1-L948)*(Inputs!$F$24-Inputs!$D$24)*(Inputs!$F$24-Inputs!$E$24)))</f>
        <v>1.17646866460623</v>
      </c>
      <c r="N948" s="81" t="n">
        <f aca="true">RAND()</f>
        <v>0.804913146999259</v>
      </c>
      <c r="O948" s="83" t="n">
        <f aca="false">IF(N948&lt;(Inputs!$E$26-Inputs!$D$26)/(Inputs!$F$26-Inputs!$D$26),Inputs!$D$26+SQRT(N948*(Inputs!$F$26-Inputs!$D$26)*(Inputs!$E$26-Inputs!$D$26)),Inputs!$F$26-SQRT((1-N948)*(Inputs!$F$26-Inputs!$D$26)*(Inputs!$F$26-Inputs!$E$26)))</f>
        <v>0.677560424347455</v>
      </c>
      <c r="P948" s="81" t="n">
        <f aca="true">RAND()</f>
        <v>0.0928660344338231</v>
      </c>
      <c r="Q948" s="82" t="n">
        <f aca="false">IF(P948&lt;(Inputs!$E$27-Inputs!$D$27)/(Inputs!$F$27-Inputs!$D$27),Inputs!$D$27+SQRT(P948*(Inputs!$F$27-Inputs!$D$27)*(Inputs!$E$27-Inputs!$D$27)),Inputs!$F$27-SQRT((1-P948)*(Inputs!$F$27-Inputs!$D$27)*(Inputs!$F$27-Inputs!$E$27)))</f>
        <v>65.2369644642415</v>
      </c>
      <c r="R948" s="81" t="n">
        <f aca="true">RAND()</f>
        <v>0.630374562221499</v>
      </c>
      <c r="S948" s="82" t="n">
        <f aca="false">IF(R948&lt;(Inputs!$E$29-Inputs!$D$29)/(Inputs!$F$29-Inputs!$D$29),Inputs!$D$29+SQRT(R948*(Inputs!$F$29-Inputs!$D$29)*(Inputs!$E$29-Inputs!$D$29)),Inputs!$F$29-SQRT((1-R948)*(Inputs!$F$29-Inputs!$D$29)*(Inputs!$F$29-Inputs!$E$29)))</f>
        <v>8.06809500128535</v>
      </c>
      <c r="T948" s="68" t="n">
        <f aca="false">Inputs!$E$9*(1+E948)+Inputs!$E$5*C948*(Inputs!$E$11*Inputs!$E$14*(G948*I948/Inputs!$E$16+(1-G948))*K948+Inputs!$E$23*M948)*(1+O948)+Inputs!$E$5*(Q948+S948)</f>
        <v>7288.29291464394</v>
      </c>
    </row>
    <row r="949" customFormat="false" ht="15" hidden="false" customHeight="false" outlineLevel="0" collapsed="false">
      <c r="A949" s="1" t="n">
        <v>945</v>
      </c>
      <c r="B949" s="81" t="n">
        <f aca="true">RAND()</f>
        <v>0.0874710360459391</v>
      </c>
      <c r="C949" s="82" t="n">
        <f aca="false">ROUND(IF(B949&lt;(Inputs!$E$8-Inputs!$D$8)/(Inputs!$F$8-Inputs!$D$8),Inputs!$D$8+SQRT(B949*(Inputs!$F$8-Inputs!$D$8)*(Inputs!$E$8-Inputs!$D$8)),Inputs!$F$8-SQRT((1-B949)*(Inputs!$F$8-Inputs!$D$8)*(Inputs!$F$8-Inputs!$E$8))),0)</f>
        <v>22</v>
      </c>
      <c r="D949" s="81" t="n">
        <f aca="true">RAND()</f>
        <v>0.978424638299777</v>
      </c>
      <c r="E949" s="83" t="n">
        <f aca="false">IF(D949&lt;(Inputs!$E$10-Inputs!$D$10)/(Inputs!$F$10-Inputs!$D$10),Inputs!$D$10+SQRT(D949*(Inputs!$F$10-Inputs!$D$10)*(Inputs!$E$10-Inputs!$D$10)),Inputs!$F$10-SQRT((1-D949)*(Inputs!$F$10-Inputs!$D$10)*(Inputs!$F$10-Inputs!$E$10)))</f>
        <v>0.174558678277128</v>
      </c>
      <c r="F949" s="81" t="n">
        <f aca="true">RAND()</f>
        <v>0.96247477006754</v>
      </c>
      <c r="G949" s="83" t="n">
        <f aca="false">IF(F949&lt;(Inputs!$E$15-Inputs!$D$15)/(Inputs!$F$15-Inputs!$D$15),Inputs!$D$15+SQRT(F949*(Inputs!$F$15-Inputs!$D$15)*(Inputs!$E$15-Inputs!$D$15)),Inputs!$F$15-SQRT((1-F949)*(Inputs!$F$15-Inputs!$D$15)*(Inputs!$F$15-Inputs!$E$15)))</f>
        <v>0.772604661005032</v>
      </c>
      <c r="H949" s="81" t="n">
        <f aca="true">RAND()</f>
        <v>0.52426133651531</v>
      </c>
      <c r="I949" s="82" t="n">
        <f aca="false">ROUND(IF(H949&lt;(Inputs!$E$17-Inputs!$D$17)/(Inputs!$F$17-Inputs!$D$17),Inputs!$D$17+SQRT(H949*(Inputs!$F$17-Inputs!$D$17)*(Inputs!$E$17-Inputs!$D$17)),Inputs!$F$17-SQRT((1-H949)*(Inputs!$F$17-Inputs!$D$17)*(Inputs!$F$17-Inputs!$E$17))),0)</f>
        <v>107</v>
      </c>
      <c r="J949" s="81" t="n">
        <f aca="true">RAND()</f>
        <v>0.986505642162038</v>
      </c>
      <c r="K949" s="83" t="n">
        <f aca="false">IF(J949&lt;(Inputs!$E$18-Inputs!$D$18)/(Inputs!$F$18-Inputs!$D$18),Inputs!$D$18+SQRT(J949*(Inputs!$F$18-Inputs!$D$18)*(Inputs!$E$18-Inputs!$D$18)),Inputs!$F$18-SQRT((1-J949)*(Inputs!$F$18-Inputs!$D$18)*(Inputs!$F$18-Inputs!$E$18)))</f>
        <v>1.21563786515914</v>
      </c>
      <c r="L949" s="81" t="n">
        <f aca="true">RAND()</f>
        <v>0.233490095714437</v>
      </c>
      <c r="M949" s="83" t="n">
        <f aca="false">IF(L949&lt;(Inputs!$E$24-Inputs!$D$24)/(Inputs!$F$24-Inputs!$D$24),Inputs!$D$24+SQRT(L949*(Inputs!$F$24-Inputs!$D$24)*(Inputs!$E$24-Inputs!$D$24)),Inputs!$F$24-SQRT((1-L949)*(Inputs!$F$24-Inputs!$D$24)*(Inputs!$F$24-Inputs!$E$24)))</f>
        <v>0.767388205933789</v>
      </c>
      <c r="N949" s="81" t="n">
        <f aca="true">RAND()</f>
        <v>0.0855278134552693</v>
      </c>
      <c r="O949" s="83" t="n">
        <f aca="false">IF(N949&lt;(Inputs!$E$26-Inputs!$D$26)/(Inputs!$F$26-Inputs!$D$26),Inputs!$D$26+SQRT(N949*(Inputs!$F$26-Inputs!$D$26)*(Inputs!$E$26-Inputs!$D$26)),Inputs!$F$26-SQRT((1-N949)*(Inputs!$F$26-Inputs!$D$26)*(Inputs!$F$26-Inputs!$E$26)))</f>
        <v>0.419297226115936</v>
      </c>
      <c r="P949" s="81" t="n">
        <f aca="true">RAND()</f>
        <v>0.941763658869196</v>
      </c>
      <c r="Q949" s="82" t="n">
        <f aca="false">IF(P949&lt;(Inputs!$E$27-Inputs!$D$27)/(Inputs!$F$27-Inputs!$D$27),Inputs!$D$27+SQRT(P949*(Inputs!$F$27-Inputs!$D$27)*(Inputs!$E$27-Inputs!$D$27)),Inputs!$F$27-SQRT((1-P949)*(Inputs!$F$27-Inputs!$D$27)*(Inputs!$F$27-Inputs!$E$27)))</f>
        <v>129.100895749314</v>
      </c>
      <c r="R949" s="81" t="n">
        <f aca="true">RAND()</f>
        <v>0.922065725556325</v>
      </c>
      <c r="S949" s="82" t="n">
        <f aca="false">IF(R949&lt;(Inputs!$E$29-Inputs!$D$29)/(Inputs!$F$29-Inputs!$D$29),Inputs!$D$29+SQRT(R949*(Inputs!$F$29-Inputs!$D$29)*(Inputs!$E$29-Inputs!$D$29)),Inputs!$F$29-SQRT((1-R949)*(Inputs!$F$29-Inputs!$D$29)*(Inputs!$F$29-Inputs!$E$29)))</f>
        <v>11.817005234425</v>
      </c>
      <c r="T949" s="68" t="n">
        <f aca="false">Inputs!$E$9*(1+E949)+Inputs!$E$5*C949*(Inputs!$E$11*Inputs!$E$14*(G949*I949/Inputs!$E$16+(1-G949))*K949+Inputs!$E$23*M949)*(1+O949)+Inputs!$E$5*(Q949+S949)</f>
        <v>6113.86521227243</v>
      </c>
    </row>
    <row r="950" customFormat="false" ht="15" hidden="false" customHeight="false" outlineLevel="0" collapsed="false">
      <c r="A950" s="1" t="n">
        <v>946</v>
      </c>
      <c r="B950" s="81" t="n">
        <f aca="true">RAND()</f>
        <v>0.645386373702895</v>
      </c>
      <c r="C950" s="82" t="n">
        <f aca="false">ROUND(IF(B950&lt;(Inputs!$E$8-Inputs!$D$8)/(Inputs!$F$8-Inputs!$D$8),Inputs!$D$8+SQRT(B950*(Inputs!$F$8-Inputs!$D$8)*(Inputs!$E$8-Inputs!$D$8)),Inputs!$F$8-SQRT((1-B950)*(Inputs!$F$8-Inputs!$D$8)*(Inputs!$F$8-Inputs!$E$8))),0)</f>
        <v>26</v>
      </c>
      <c r="D950" s="81" t="n">
        <f aca="true">RAND()</f>
        <v>0.182515454456695</v>
      </c>
      <c r="E950" s="83" t="n">
        <f aca="false">IF(D950&lt;(Inputs!$E$10-Inputs!$D$10)/(Inputs!$F$10-Inputs!$D$10),Inputs!$D$10+SQRT(D950*(Inputs!$F$10-Inputs!$D$10)*(Inputs!$E$10-Inputs!$D$10)),Inputs!$F$10-SQRT((1-D950)*(Inputs!$F$10-Inputs!$D$10)*(Inputs!$F$10-Inputs!$E$10)))</f>
        <v>0.0427218274956368</v>
      </c>
      <c r="F950" s="81" t="n">
        <f aca="true">RAND()</f>
        <v>0.972385786651477</v>
      </c>
      <c r="G950" s="83" t="n">
        <f aca="false">IF(F950&lt;(Inputs!$E$15-Inputs!$D$15)/(Inputs!$F$15-Inputs!$D$15),Inputs!$D$15+SQRT(F950*(Inputs!$F$15-Inputs!$D$15)*(Inputs!$E$15-Inputs!$D$15)),Inputs!$F$15-SQRT((1-F950)*(Inputs!$F$15-Inputs!$D$15)*(Inputs!$F$15-Inputs!$E$15)))</f>
        <v>0.776499270926832</v>
      </c>
      <c r="H950" s="81" t="n">
        <f aca="true">RAND()</f>
        <v>0.585112403077985</v>
      </c>
      <c r="I950" s="82" t="n">
        <f aca="false">ROUND(IF(H950&lt;(Inputs!$E$17-Inputs!$D$17)/(Inputs!$F$17-Inputs!$D$17),Inputs!$D$17+SQRT(H950*(Inputs!$F$17-Inputs!$D$17)*(Inputs!$E$17-Inputs!$D$17)),Inputs!$F$17-SQRT((1-H950)*(Inputs!$F$17-Inputs!$D$17)*(Inputs!$F$17-Inputs!$E$17))),0)</f>
        <v>107</v>
      </c>
      <c r="J950" s="81" t="n">
        <f aca="true">RAND()</f>
        <v>0.883069288977346</v>
      </c>
      <c r="K950" s="83" t="n">
        <f aca="false">IF(J950&lt;(Inputs!$E$18-Inputs!$D$18)/(Inputs!$F$18-Inputs!$D$18),Inputs!$D$18+SQRT(J950*(Inputs!$F$18-Inputs!$D$18)*(Inputs!$E$18-Inputs!$D$18)),Inputs!$F$18-SQRT((1-J950)*(Inputs!$F$18-Inputs!$D$18)*(Inputs!$F$18-Inputs!$E$18)))</f>
        <v>1.14884943295027</v>
      </c>
      <c r="L950" s="81" t="n">
        <f aca="true">RAND()</f>
        <v>0.308134363281871</v>
      </c>
      <c r="M950" s="83" t="n">
        <f aca="false">IF(L950&lt;(Inputs!$E$24-Inputs!$D$24)/(Inputs!$F$24-Inputs!$D$24),Inputs!$D$24+SQRT(L950*(Inputs!$F$24-Inputs!$D$24)*(Inputs!$E$24-Inputs!$D$24)),Inputs!$F$24-SQRT((1-L950)*(Inputs!$F$24-Inputs!$D$24)*(Inputs!$F$24-Inputs!$E$24)))</f>
        <v>0.792291766838376</v>
      </c>
      <c r="N950" s="81" t="n">
        <f aca="true">RAND()</f>
        <v>0.557052945692815</v>
      </c>
      <c r="O950" s="83" t="n">
        <f aca="false">IF(N950&lt;(Inputs!$E$26-Inputs!$D$26)/(Inputs!$F$26-Inputs!$D$26),Inputs!$D$26+SQRT(N950*(Inputs!$F$26-Inputs!$D$26)*(Inputs!$E$26-Inputs!$D$26)),Inputs!$F$26-SQRT((1-N950)*(Inputs!$F$26-Inputs!$D$26)*(Inputs!$F$26-Inputs!$E$26)))</f>
        <v>0.604456253283266</v>
      </c>
      <c r="P950" s="81" t="n">
        <f aca="true">RAND()</f>
        <v>0.520392488330452</v>
      </c>
      <c r="Q950" s="82" t="n">
        <f aca="false">IF(P950&lt;(Inputs!$E$27-Inputs!$D$27)/(Inputs!$F$27-Inputs!$D$27),Inputs!$D$27+SQRT(P950*(Inputs!$F$27-Inputs!$D$27)*(Inputs!$E$27-Inputs!$D$27)),Inputs!$F$27-SQRT((1-P950)*(Inputs!$F$27-Inputs!$D$27)*(Inputs!$F$27-Inputs!$E$27)))</f>
        <v>90.0245355372582</v>
      </c>
      <c r="R950" s="81" t="n">
        <f aca="true">RAND()</f>
        <v>0.717169904395058</v>
      </c>
      <c r="S950" s="82" t="n">
        <f aca="false">IF(R950&lt;(Inputs!$E$29-Inputs!$D$29)/(Inputs!$F$29-Inputs!$D$29),Inputs!$D$29+SQRT(R950*(Inputs!$F$29-Inputs!$D$29)*(Inputs!$E$29-Inputs!$D$29)),Inputs!$F$29-SQRT((1-R950)*(Inputs!$F$29-Inputs!$D$29)*(Inputs!$F$29-Inputs!$E$29)))</f>
        <v>8.93634496127605</v>
      </c>
      <c r="T950" s="68" t="n">
        <f aca="false">Inputs!$E$9*(1+E950)+Inputs!$E$5*C950*(Inputs!$E$11*Inputs!$E$14*(G950*I950/Inputs!$E$16+(1-G950))*K950+Inputs!$E$23*M950)*(1+O950)+Inputs!$E$5*(Q950+S950)</f>
        <v>6449.61517017131</v>
      </c>
    </row>
    <row r="951" customFormat="false" ht="15" hidden="false" customHeight="false" outlineLevel="0" collapsed="false">
      <c r="A951" s="1" t="n">
        <v>947</v>
      </c>
      <c r="B951" s="81" t="n">
        <f aca="true">RAND()</f>
        <v>0.887206112870928</v>
      </c>
      <c r="C951" s="82" t="n">
        <f aca="false">ROUND(IF(B951&lt;(Inputs!$E$8-Inputs!$D$8)/(Inputs!$F$8-Inputs!$D$8),Inputs!$D$8+SQRT(B951*(Inputs!$F$8-Inputs!$D$8)*(Inputs!$E$8-Inputs!$D$8)),Inputs!$F$8-SQRT((1-B951)*(Inputs!$F$8-Inputs!$D$8)*(Inputs!$F$8-Inputs!$E$8))),0)</f>
        <v>28</v>
      </c>
      <c r="D951" s="81" t="n">
        <f aca="true">RAND()</f>
        <v>0.846412983148622</v>
      </c>
      <c r="E951" s="83" t="n">
        <f aca="false">IF(D951&lt;(Inputs!$E$10-Inputs!$D$10)/(Inputs!$F$10-Inputs!$D$10),Inputs!$D$10+SQRT(D951*(Inputs!$F$10-Inputs!$D$10)*(Inputs!$E$10-Inputs!$D$10)),Inputs!$F$10-SQRT((1-D951)*(Inputs!$F$10-Inputs!$D$10)*(Inputs!$F$10-Inputs!$E$10)))</f>
        <v>0.132120617964353</v>
      </c>
      <c r="F951" s="81" t="n">
        <f aca="true">RAND()</f>
        <v>0.0786776277652374</v>
      </c>
      <c r="G951" s="83" t="n">
        <f aca="false">IF(F951&lt;(Inputs!$E$15-Inputs!$D$15)/(Inputs!$F$15-Inputs!$D$15),Inputs!$D$15+SQRT(F951*(Inputs!$F$15-Inputs!$D$15)*(Inputs!$E$15-Inputs!$D$15)),Inputs!$F$15-SQRT((1-F951)*(Inputs!$F$15-Inputs!$D$15)*(Inputs!$F$15-Inputs!$E$15)))</f>
        <v>0.639668029385196</v>
      </c>
      <c r="H951" s="81" t="n">
        <f aca="true">RAND()</f>
        <v>0.752096703993909</v>
      </c>
      <c r="I951" s="82" t="n">
        <f aca="false">ROUND(IF(H951&lt;(Inputs!$E$17-Inputs!$D$17)/(Inputs!$F$17-Inputs!$D$17),Inputs!$D$17+SQRT(H951*(Inputs!$F$17-Inputs!$D$17)*(Inputs!$E$17-Inputs!$D$17)),Inputs!$F$17-SQRT((1-H951)*(Inputs!$F$17-Inputs!$D$17)*(Inputs!$F$17-Inputs!$E$17))),0)</f>
        <v>109</v>
      </c>
      <c r="J951" s="81" t="n">
        <f aca="true">RAND()</f>
        <v>0.388111645179059</v>
      </c>
      <c r="K951" s="83" t="n">
        <f aca="false">IF(J951&lt;(Inputs!$E$18-Inputs!$D$18)/(Inputs!$F$18-Inputs!$D$18),Inputs!$D$18+SQRT(J951*(Inputs!$F$18-Inputs!$D$18)*(Inputs!$E$18-Inputs!$D$18)),Inputs!$F$18-SQRT((1-J951)*(Inputs!$F$18-Inputs!$D$18)*(Inputs!$F$18-Inputs!$E$18)))</f>
        <v>1.01861237922734</v>
      </c>
      <c r="L951" s="81" t="n">
        <f aca="true">RAND()</f>
        <v>0.796416626027404</v>
      </c>
      <c r="M951" s="83" t="n">
        <f aca="false">IF(L951&lt;(Inputs!$E$24-Inputs!$D$24)/(Inputs!$F$24-Inputs!$D$24),Inputs!$D$24+SQRT(L951*(Inputs!$F$24-Inputs!$D$24)*(Inputs!$E$24-Inputs!$D$24)),Inputs!$F$24-SQRT((1-L951)*(Inputs!$F$24-Inputs!$D$24)*(Inputs!$F$24-Inputs!$E$24)))</f>
        <v>0.978956995692189</v>
      </c>
      <c r="N951" s="81" t="n">
        <f aca="true">RAND()</f>
        <v>0.10308660833172</v>
      </c>
      <c r="O951" s="83" t="n">
        <f aca="false">IF(N951&lt;(Inputs!$E$26-Inputs!$D$26)/(Inputs!$F$26-Inputs!$D$26),Inputs!$D$26+SQRT(N951*(Inputs!$F$26-Inputs!$D$26)*(Inputs!$E$26-Inputs!$D$26)),Inputs!$F$26-SQRT((1-N951)*(Inputs!$F$26-Inputs!$D$26)*(Inputs!$F$26-Inputs!$E$26)))</f>
        <v>0.430971797064857</v>
      </c>
      <c r="P951" s="81" t="n">
        <f aca="true">RAND()</f>
        <v>0.254894907477455</v>
      </c>
      <c r="Q951" s="82" t="n">
        <f aca="false">IF(P951&lt;(Inputs!$E$27-Inputs!$D$27)/(Inputs!$F$27-Inputs!$D$27),Inputs!$D$27+SQRT(P951*(Inputs!$F$27-Inputs!$D$27)*(Inputs!$E$27-Inputs!$D$27)),Inputs!$F$27-SQRT((1-P951)*(Inputs!$F$27-Inputs!$D$27)*(Inputs!$F$27-Inputs!$E$27)))</f>
        <v>75.2451460176726</v>
      </c>
      <c r="R951" s="81" t="n">
        <f aca="true">RAND()</f>
        <v>0.93613377271816</v>
      </c>
      <c r="S951" s="82" t="n">
        <f aca="false">IF(R951&lt;(Inputs!$E$29-Inputs!$D$29)/(Inputs!$F$29-Inputs!$D$29),Inputs!$D$29+SQRT(R951*(Inputs!$F$29-Inputs!$D$29)*(Inputs!$E$29-Inputs!$D$29)),Inputs!$F$29-SQRT((1-R951)*(Inputs!$F$29-Inputs!$D$29)*(Inputs!$F$29-Inputs!$E$29)))</f>
        <v>12.1185750839838</v>
      </c>
      <c r="T951" s="68" t="n">
        <f aca="false">Inputs!$E$9*(1+E951)+Inputs!$E$5*C951*(Inputs!$E$11*Inputs!$E$14*(G951*I951/Inputs!$E$16+(1-G951))*K951+Inputs!$E$23*M951)*(1+O951)+Inputs!$E$5*(Q951+S951)</f>
        <v>6643.03352978533</v>
      </c>
    </row>
    <row r="952" customFormat="false" ht="15" hidden="false" customHeight="false" outlineLevel="0" collapsed="false">
      <c r="A952" s="1" t="n">
        <v>948</v>
      </c>
      <c r="B952" s="81" t="n">
        <f aca="true">RAND()</f>
        <v>0.515247866138782</v>
      </c>
      <c r="C952" s="82" t="n">
        <f aca="false">ROUND(IF(B952&lt;(Inputs!$E$8-Inputs!$D$8)/(Inputs!$F$8-Inputs!$D$8),Inputs!$D$8+SQRT(B952*(Inputs!$F$8-Inputs!$D$8)*(Inputs!$E$8-Inputs!$D$8)),Inputs!$F$8-SQRT((1-B952)*(Inputs!$F$8-Inputs!$D$8)*(Inputs!$F$8-Inputs!$E$8))),0)</f>
        <v>25</v>
      </c>
      <c r="D952" s="81" t="n">
        <f aca="true">RAND()</f>
        <v>0.524393550867939</v>
      </c>
      <c r="E952" s="83" t="n">
        <f aca="false">IF(D952&lt;(Inputs!$E$10-Inputs!$D$10)/(Inputs!$F$10-Inputs!$D$10),Inputs!$D$10+SQRT(D952*(Inputs!$F$10-Inputs!$D$10)*(Inputs!$E$10-Inputs!$D$10)),Inputs!$F$10-SQRT((1-D952)*(Inputs!$F$10-Inputs!$D$10)*(Inputs!$F$10-Inputs!$E$10)))</f>
        <v>0.0805504563677122</v>
      </c>
      <c r="F952" s="81" t="n">
        <f aca="true">RAND()</f>
        <v>0.705709870059823</v>
      </c>
      <c r="G952" s="83" t="n">
        <f aca="false">IF(F952&lt;(Inputs!$E$15-Inputs!$D$15)/(Inputs!$F$15-Inputs!$D$15),Inputs!$D$15+SQRT(F952*(Inputs!$F$15-Inputs!$D$15)*(Inputs!$E$15-Inputs!$D$15)),Inputs!$F$15-SQRT((1-F952)*(Inputs!$F$15-Inputs!$D$15)*(Inputs!$F$15-Inputs!$E$15)))</f>
        <v>0.723281015395122</v>
      </c>
      <c r="H952" s="81" t="n">
        <f aca="true">RAND()</f>
        <v>0.0111581689944006</v>
      </c>
      <c r="I952" s="82" t="n">
        <f aca="false">ROUND(IF(H952&lt;(Inputs!$E$17-Inputs!$D$17)/(Inputs!$F$17-Inputs!$D$17),Inputs!$D$17+SQRT(H952*(Inputs!$F$17-Inputs!$D$17)*(Inputs!$E$17-Inputs!$D$17)),Inputs!$F$17-SQRT((1-H952)*(Inputs!$F$17-Inputs!$D$17)*(Inputs!$F$17-Inputs!$E$17))),0)</f>
        <v>101</v>
      </c>
      <c r="J952" s="81" t="n">
        <f aca="true">RAND()</f>
        <v>0.651193710025141</v>
      </c>
      <c r="K952" s="83" t="n">
        <f aca="false">IF(J952&lt;(Inputs!$E$18-Inputs!$D$18)/(Inputs!$F$18-Inputs!$D$18),Inputs!$D$18+SQRT(J952*(Inputs!$F$18-Inputs!$D$18)*(Inputs!$E$18-Inputs!$D$18)),Inputs!$F$18-SQRT((1-J952)*(Inputs!$F$18-Inputs!$D$18)*(Inputs!$F$18-Inputs!$E$18)))</f>
        <v>1.07529868239535</v>
      </c>
      <c r="L952" s="81" t="n">
        <f aca="true">RAND()</f>
        <v>0.817799941982415</v>
      </c>
      <c r="M952" s="83" t="n">
        <f aca="false">IF(L952&lt;(Inputs!$E$24-Inputs!$D$24)/(Inputs!$F$24-Inputs!$D$24),Inputs!$D$24+SQRT(L952*(Inputs!$F$24-Inputs!$D$24)*(Inputs!$E$24-Inputs!$D$24)),Inputs!$F$24-SQRT((1-L952)*(Inputs!$F$24-Inputs!$D$24)*(Inputs!$F$24-Inputs!$E$24)))</f>
        <v>0.990887556744654</v>
      </c>
      <c r="N952" s="81" t="n">
        <f aca="true">RAND()</f>
        <v>0.15434484763584</v>
      </c>
      <c r="O952" s="83" t="n">
        <f aca="false">IF(N952&lt;(Inputs!$E$26-Inputs!$D$26)/(Inputs!$F$26-Inputs!$D$26),Inputs!$D$26+SQRT(N952*(Inputs!$F$26-Inputs!$D$26)*(Inputs!$E$26-Inputs!$D$26)),Inputs!$F$26-SQRT((1-N952)*(Inputs!$F$26-Inputs!$D$26)*(Inputs!$F$26-Inputs!$E$26)))</f>
        <v>0.460259110962852</v>
      </c>
      <c r="P952" s="81" t="n">
        <f aca="true">RAND()</f>
        <v>0.157367150546971</v>
      </c>
      <c r="Q952" s="82" t="n">
        <f aca="false">IF(P952&lt;(Inputs!$E$27-Inputs!$D$27)/(Inputs!$F$27-Inputs!$D$27),Inputs!$D$27+SQRT(P952*(Inputs!$F$27-Inputs!$D$27)*(Inputs!$E$27-Inputs!$D$27)),Inputs!$F$27-SQRT((1-P952)*(Inputs!$F$27-Inputs!$D$27)*(Inputs!$F$27-Inputs!$E$27)))</f>
        <v>69.8347643385907</v>
      </c>
      <c r="R952" s="81" t="n">
        <f aca="true">RAND()</f>
        <v>0.555935680011996</v>
      </c>
      <c r="S952" s="82" t="n">
        <f aca="false">IF(R952&lt;(Inputs!$E$29-Inputs!$D$29)/(Inputs!$F$29-Inputs!$D$29),Inputs!$D$29+SQRT(R952*(Inputs!$F$29-Inputs!$D$29)*(Inputs!$E$29-Inputs!$D$29)),Inputs!$F$29-SQRT((1-R952)*(Inputs!$F$29-Inputs!$D$29)*(Inputs!$F$29-Inputs!$E$29)))</f>
        <v>7.40208175889997</v>
      </c>
      <c r="T952" s="68" t="n">
        <f aca="false">Inputs!$E$9*(1+E952)+Inputs!$E$5*C952*(Inputs!$E$11*Inputs!$E$14*(G952*I952/Inputs!$E$16+(1-G952))*K952+Inputs!$E$23*M952)*(1+O952)+Inputs!$E$5*(Q952+S952)</f>
        <v>6083.36866113575</v>
      </c>
    </row>
    <row r="953" customFormat="false" ht="15" hidden="false" customHeight="false" outlineLevel="0" collapsed="false">
      <c r="A953" s="1" t="n">
        <v>949</v>
      </c>
      <c r="B953" s="81" t="n">
        <f aca="true">RAND()</f>
        <v>0.153302020228856</v>
      </c>
      <c r="C953" s="82" t="n">
        <f aca="false">ROUND(IF(B953&lt;(Inputs!$E$8-Inputs!$D$8)/(Inputs!$F$8-Inputs!$D$8),Inputs!$D$8+SQRT(B953*(Inputs!$F$8-Inputs!$D$8)*(Inputs!$E$8-Inputs!$D$8)),Inputs!$F$8-SQRT((1-B953)*(Inputs!$F$8-Inputs!$D$8)*(Inputs!$F$8-Inputs!$E$8))),0)</f>
        <v>23</v>
      </c>
      <c r="D953" s="81" t="n">
        <f aca="true">RAND()</f>
        <v>0.166763746960831</v>
      </c>
      <c r="E953" s="83" t="n">
        <f aca="false">IF(D953&lt;(Inputs!$E$10-Inputs!$D$10)/(Inputs!$F$10-Inputs!$D$10),Inputs!$D$10+SQRT(D953*(Inputs!$F$10-Inputs!$D$10)*(Inputs!$E$10-Inputs!$D$10)),Inputs!$F$10-SQRT((1-D953)*(Inputs!$F$10-Inputs!$D$10)*(Inputs!$F$10-Inputs!$E$10)))</f>
        <v>0.040836717174723</v>
      </c>
      <c r="F953" s="81" t="n">
        <f aca="true">RAND()</f>
        <v>0.739825453877929</v>
      </c>
      <c r="G953" s="83" t="n">
        <f aca="false">IF(F953&lt;(Inputs!$E$15-Inputs!$D$15)/(Inputs!$F$15-Inputs!$D$15),Inputs!$D$15+SQRT(F953*(Inputs!$F$15-Inputs!$D$15)*(Inputs!$E$15-Inputs!$D$15)),Inputs!$F$15-SQRT((1-F953)*(Inputs!$F$15-Inputs!$D$15)*(Inputs!$F$15-Inputs!$E$15)))</f>
        <v>0.727864773359742</v>
      </c>
      <c r="H953" s="81" t="n">
        <f aca="true">RAND()</f>
        <v>0.455727684223794</v>
      </c>
      <c r="I953" s="82" t="n">
        <f aca="false">ROUND(IF(H953&lt;(Inputs!$E$17-Inputs!$D$17)/(Inputs!$F$17-Inputs!$D$17),Inputs!$D$17+SQRT(H953*(Inputs!$F$17-Inputs!$D$17)*(Inputs!$E$17-Inputs!$D$17)),Inputs!$F$17-SQRT((1-H953)*(Inputs!$F$17-Inputs!$D$17)*(Inputs!$F$17-Inputs!$E$17))),0)</f>
        <v>106</v>
      </c>
      <c r="J953" s="81" t="n">
        <f aca="true">RAND()</f>
        <v>0.995701789728859</v>
      </c>
      <c r="K953" s="83" t="n">
        <f aca="false">IF(J953&lt;(Inputs!$E$18-Inputs!$D$18)/(Inputs!$F$18-Inputs!$D$18),Inputs!$D$18+SQRT(J953*(Inputs!$F$18-Inputs!$D$18)*(Inputs!$E$18-Inputs!$D$18)),Inputs!$F$18-SQRT((1-J953)*(Inputs!$F$18-Inputs!$D$18)*(Inputs!$F$18-Inputs!$E$18)))</f>
        <v>1.23060687238415</v>
      </c>
      <c r="L953" s="81" t="n">
        <f aca="true">RAND()</f>
        <v>0.472208684236273</v>
      </c>
      <c r="M953" s="83" t="n">
        <f aca="false">IF(L953&lt;(Inputs!$E$24-Inputs!$D$24)/(Inputs!$F$24-Inputs!$D$24),Inputs!$D$24+SQRT(L953*(Inputs!$F$24-Inputs!$D$24)*(Inputs!$E$24-Inputs!$D$24)),Inputs!$F$24-SQRT((1-L953)*(Inputs!$F$24-Inputs!$D$24)*(Inputs!$F$24-Inputs!$E$24)))</f>
        <v>0.844092827013427</v>
      </c>
      <c r="N953" s="81" t="n">
        <f aca="true">RAND()</f>
        <v>0.743877551153345</v>
      </c>
      <c r="O953" s="83" t="n">
        <f aca="false">IF(N953&lt;(Inputs!$E$26-Inputs!$D$26)/(Inputs!$F$26-Inputs!$D$26),Inputs!$D$26+SQRT(N953*(Inputs!$F$26-Inputs!$D$26)*(Inputs!$E$26-Inputs!$D$26)),Inputs!$F$26-SQRT((1-N953)*(Inputs!$F$26-Inputs!$D$26)*(Inputs!$F$26-Inputs!$E$26)))</f>
        <v>0.656792357164096</v>
      </c>
      <c r="P953" s="81" t="n">
        <f aca="true">RAND()</f>
        <v>0.208116534083817</v>
      </c>
      <c r="Q953" s="82" t="n">
        <f aca="false">IF(P953&lt;(Inputs!$E$27-Inputs!$D$27)/(Inputs!$F$27-Inputs!$D$27),Inputs!$D$27+SQRT(P953*(Inputs!$F$27-Inputs!$D$27)*(Inputs!$E$27-Inputs!$D$27)),Inputs!$F$27-SQRT((1-P953)*(Inputs!$F$27-Inputs!$D$27)*(Inputs!$F$27-Inputs!$E$27)))</f>
        <v>72.8098955545514</v>
      </c>
      <c r="R953" s="81" t="n">
        <f aca="true">RAND()</f>
        <v>0.676335854102631</v>
      </c>
      <c r="S953" s="82" t="n">
        <f aca="false">IF(R953&lt;(Inputs!$E$29-Inputs!$D$29)/(Inputs!$F$29-Inputs!$D$29),Inputs!$D$29+SQRT(R953*(Inputs!$F$29-Inputs!$D$29)*(Inputs!$E$29-Inputs!$D$29)),Inputs!$F$29-SQRT((1-R953)*(Inputs!$F$29-Inputs!$D$29)*(Inputs!$F$29-Inputs!$E$29)))</f>
        <v>8.51337229628076</v>
      </c>
      <c r="T953" s="68" t="n">
        <f aca="false">Inputs!$E$9*(1+E953)+Inputs!$E$5*C953*(Inputs!$E$11*Inputs!$E$14*(G953*I953/Inputs!$E$16+(1-G953))*K953+Inputs!$E$23*M953)*(1+O953)+Inputs!$E$5*(Q953+S953)</f>
        <v>6332.10980498254</v>
      </c>
    </row>
    <row r="954" customFormat="false" ht="15" hidden="false" customHeight="false" outlineLevel="0" collapsed="false">
      <c r="A954" s="1" t="n">
        <v>950</v>
      </c>
      <c r="B954" s="81" t="n">
        <f aca="true">RAND()</f>
        <v>0.698877951884502</v>
      </c>
      <c r="C954" s="82" t="n">
        <f aca="false">ROUND(IF(B954&lt;(Inputs!$E$8-Inputs!$D$8)/(Inputs!$F$8-Inputs!$D$8),Inputs!$D$8+SQRT(B954*(Inputs!$F$8-Inputs!$D$8)*(Inputs!$E$8-Inputs!$D$8)),Inputs!$F$8-SQRT((1-B954)*(Inputs!$F$8-Inputs!$D$8)*(Inputs!$F$8-Inputs!$E$8))),0)</f>
        <v>26</v>
      </c>
      <c r="D954" s="81" t="n">
        <f aca="true">RAND()</f>
        <v>0.829947305570552</v>
      </c>
      <c r="E954" s="83" t="n">
        <f aca="false">IF(D954&lt;(Inputs!$E$10-Inputs!$D$10)/(Inputs!$F$10-Inputs!$D$10),Inputs!$D$10+SQRT(D954*(Inputs!$F$10-Inputs!$D$10)*(Inputs!$E$10-Inputs!$D$10)),Inputs!$F$10-SQRT((1-D954)*(Inputs!$F$10-Inputs!$D$10)*(Inputs!$F$10-Inputs!$E$10)))</f>
        <v>0.128574648528107</v>
      </c>
      <c r="F954" s="81" t="n">
        <f aca="true">RAND()</f>
        <v>0.423315633715766</v>
      </c>
      <c r="G954" s="83" t="n">
        <f aca="false">IF(F954&lt;(Inputs!$E$15-Inputs!$D$15)/(Inputs!$F$15-Inputs!$D$15),Inputs!$D$15+SQRT(F954*(Inputs!$F$15-Inputs!$D$15)*(Inputs!$E$15-Inputs!$D$15)),Inputs!$F$15-SQRT((1-F954)*(Inputs!$F$15-Inputs!$D$15)*(Inputs!$F$15-Inputs!$E$15)))</f>
        <v>0.692012568023696</v>
      </c>
      <c r="H954" s="81" t="n">
        <f aca="true">RAND()</f>
        <v>0.218655281581323</v>
      </c>
      <c r="I954" s="82" t="n">
        <f aca="false">ROUND(IF(H954&lt;(Inputs!$E$17-Inputs!$D$17)/(Inputs!$F$17-Inputs!$D$17),Inputs!$D$17+SQRT(H954*(Inputs!$F$17-Inputs!$D$17)*(Inputs!$E$17-Inputs!$D$17)),Inputs!$F$17-SQRT((1-H954)*(Inputs!$F$17-Inputs!$D$17)*(Inputs!$F$17-Inputs!$E$17))),0)</f>
        <v>104</v>
      </c>
      <c r="J954" s="81" t="n">
        <f aca="true">RAND()</f>
        <v>0.378305949358574</v>
      </c>
      <c r="K954" s="83" t="n">
        <f aca="false">IF(J954&lt;(Inputs!$E$18-Inputs!$D$18)/(Inputs!$F$18-Inputs!$D$18),Inputs!$D$18+SQRT(J954*(Inputs!$F$18-Inputs!$D$18)*(Inputs!$E$18-Inputs!$D$18)),Inputs!$F$18-SQRT((1-J954)*(Inputs!$F$18-Inputs!$D$18)*(Inputs!$F$18-Inputs!$E$18)))</f>
        <v>1.01676571986279</v>
      </c>
      <c r="L954" s="81" t="n">
        <f aca="true">RAND()</f>
        <v>0.694897180812864</v>
      </c>
      <c r="M954" s="83" t="n">
        <f aca="false">IF(L954&lt;(Inputs!$E$24-Inputs!$D$24)/(Inputs!$F$24-Inputs!$D$24),Inputs!$D$24+SQRT(L954*(Inputs!$F$24-Inputs!$D$24)*(Inputs!$E$24-Inputs!$D$24)),Inputs!$F$24-SQRT((1-L954)*(Inputs!$F$24-Inputs!$D$24)*(Inputs!$F$24-Inputs!$E$24)))</f>
        <v>0.929399414995251</v>
      </c>
      <c r="N954" s="81" t="n">
        <f aca="true">RAND()</f>
        <v>0.866238207169434</v>
      </c>
      <c r="O954" s="83" t="n">
        <f aca="false">IF(N954&lt;(Inputs!$E$26-Inputs!$D$26)/(Inputs!$F$26-Inputs!$D$26),Inputs!$D$26+SQRT(N954*(Inputs!$F$26-Inputs!$D$26)*(Inputs!$E$26-Inputs!$D$26)),Inputs!$F$26-SQRT((1-N954)*(Inputs!$F$26-Inputs!$D$26)*(Inputs!$F$26-Inputs!$E$26)))</f>
        <v>0.702054137612298</v>
      </c>
      <c r="P954" s="81" t="n">
        <f aca="true">RAND()</f>
        <v>0.0513617405473286</v>
      </c>
      <c r="Q954" s="82" t="n">
        <f aca="false">IF(P954&lt;(Inputs!$E$27-Inputs!$D$27)/(Inputs!$F$27-Inputs!$D$27),Inputs!$D$27+SQRT(P954*(Inputs!$F$27-Inputs!$D$27)*(Inputs!$E$27-Inputs!$D$27)),Inputs!$F$27-SQRT((1-P954)*(Inputs!$F$27-Inputs!$D$27)*(Inputs!$F$27-Inputs!$E$27)))</f>
        <v>61.3315643830992</v>
      </c>
      <c r="R954" s="81" t="n">
        <f aca="true">RAND()</f>
        <v>0.766278276925044</v>
      </c>
      <c r="S954" s="82" t="n">
        <f aca="false">IF(R954&lt;(Inputs!$E$29-Inputs!$D$29)/(Inputs!$F$29-Inputs!$D$29),Inputs!$D$29+SQRT(R954*(Inputs!$F$29-Inputs!$D$29)*(Inputs!$E$29-Inputs!$D$29)),Inputs!$F$29-SQRT((1-R954)*(Inputs!$F$29-Inputs!$D$29)*(Inputs!$F$29-Inputs!$E$29)))</f>
        <v>9.48784760735479</v>
      </c>
      <c r="T954" s="68" t="n">
        <f aca="false">Inputs!$E$9*(1+E954)+Inputs!$E$5*C954*(Inputs!$E$11*Inputs!$E$14*(G954*I954/Inputs!$E$16+(1-G954))*K954+Inputs!$E$23*M954)*(1+O954)+Inputs!$E$5*(Q954+S954)</f>
        <v>6718.55796237914</v>
      </c>
    </row>
    <row r="955" customFormat="false" ht="15" hidden="false" customHeight="false" outlineLevel="0" collapsed="false">
      <c r="A955" s="1" t="n">
        <v>951</v>
      </c>
      <c r="B955" s="81" t="n">
        <f aca="true">RAND()</f>
        <v>0.927931161076807</v>
      </c>
      <c r="C955" s="82" t="n">
        <f aca="false">ROUND(IF(B955&lt;(Inputs!$E$8-Inputs!$D$8)/(Inputs!$F$8-Inputs!$D$8),Inputs!$D$8+SQRT(B955*(Inputs!$F$8-Inputs!$D$8)*(Inputs!$E$8-Inputs!$D$8)),Inputs!$F$8-SQRT((1-B955)*(Inputs!$F$8-Inputs!$D$8)*(Inputs!$F$8-Inputs!$E$8))),0)</f>
        <v>28</v>
      </c>
      <c r="D955" s="81" t="n">
        <f aca="true">RAND()</f>
        <v>0.631525943419386</v>
      </c>
      <c r="E955" s="83" t="n">
        <f aca="false">IF(D955&lt;(Inputs!$E$10-Inputs!$D$10)/(Inputs!$F$10-Inputs!$D$10),Inputs!$D$10+SQRT(D955*(Inputs!$F$10-Inputs!$D$10)*(Inputs!$E$10-Inputs!$D$10)),Inputs!$F$10-SQRT((1-D955)*(Inputs!$F$10-Inputs!$D$10)*(Inputs!$F$10-Inputs!$E$10)))</f>
        <v>0.0948609411426067</v>
      </c>
      <c r="F955" s="81" t="n">
        <f aca="true">RAND()</f>
        <v>0.131798648016737</v>
      </c>
      <c r="G955" s="83" t="n">
        <f aca="false">IF(F955&lt;(Inputs!$E$15-Inputs!$D$15)/(Inputs!$F$15-Inputs!$D$15),Inputs!$D$15+SQRT(F955*(Inputs!$F$15-Inputs!$D$15)*(Inputs!$E$15-Inputs!$D$15)),Inputs!$F$15-SQRT((1-F955)*(Inputs!$F$15-Inputs!$D$15)*(Inputs!$F$15-Inputs!$E$15)))</f>
        <v>0.651341727282346</v>
      </c>
      <c r="H955" s="81" t="n">
        <f aca="true">RAND()</f>
        <v>0.0557728710954398</v>
      </c>
      <c r="I955" s="82" t="n">
        <f aca="false">ROUND(IF(H955&lt;(Inputs!$E$17-Inputs!$D$17)/(Inputs!$F$17-Inputs!$D$17),Inputs!$D$17+SQRT(H955*(Inputs!$F$17-Inputs!$D$17)*(Inputs!$E$17-Inputs!$D$17)),Inputs!$F$17-SQRT((1-H955)*(Inputs!$F$17-Inputs!$D$17)*(Inputs!$F$17-Inputs!$E$17))),0)</f>
        <v>102</v>
      </c>
      <c r="J955" s="81" t="n">
        <f aca="true">RAND()</f>
        <v>0.20281593340841</v>
      </c>
      <c r="K955" s="83" t="n">
        <f aca="false">IF(J955&lt;(Inputs!$E$18-Inputs!$D$18)/(Inputs!$F$18-Inputs!$D$18),Inputs!$D$18+SQRT(J955*(Inputs!$F$18-Inputs!$D$18)*(Inputs!$E$18-Inputs!$D$18)),Inputs!$F$18-SQRT((1-J955)*(Inputs!$F$18-Inputs!$D$18)*(Inputs!$F$18-Inputs!$E$18)))</f>
        <v>0.984252938638924</v>
      </c>
      <c r="L955" s="81" t="n">
        <f aca="true">RAND()</f>
        <v>0.212860661079331</v>
      </c>
      <c r="M955" s="83" t="n">
        <f aca="false">IF(L955&lt;(Inputs!$E$24-Inputs!$D$24)/(Inputs!$F$24-Inputs!$D$24),Inputs!$D$24+SQRT(L955*(Inputs!$F$24-Inputs!$D$24)*(Inputs!$E$24-Inputs!$D$24)),Inputs!$F$24-SQRT((1-L955)*(Inputs!$F$24-Inputs!$D$24)*(Inputs!$F$24-Inputs!$E$24)))</f>
        <v>0.759822649613626</v>
      </c>
      <c r="N955" s="81" t="n">
        <f aca="true">RAND()</f>
        <v>0.314809571897288</v>
      </c>
      <c r="O955" s="83" t="n">
        <f aca="false">IF(N955&lt;(Inputs!$E$26-Inputs!$D$26)/(Inputs!$F$26-Inputs!$D$26),Inputs!$D$26+SQRT(N955*(Inputs!$F$26-Inputs!$D$26)*(Inputs!$E$26-Inputs!$D$26)),Inputs!$F$26-SQRT((1-N955)*(Inputs!$F$26-Inputs!$D$26)*(Inputs!$F$26-Inputs!$E$26)))</f>
        <v>0.528876195275325</v>
      </c>
      <c r="P955" s="81" t="n">
        <f aca="true">RAND()</f>
        <v>0.996486563295862</v>
      </c>
      <c r="Q955" s="82" t="n">
        <f aca="false">IF(P955&lt;(Inputs!$E$27-Inputs!$D$27)/(Inputs!$F$27-Inputs!$D$27),Inputs!$D$27+SQRT(P955*(Inputs!$F$27-Inputs!$D$27)*(Inputs!$E$27-Inputs!$D$27)),Inputs!$F$27-SQRT((1-P955)*(Inputs!$F$27-Inputs!$D$27)*(Inputs!$F$27-Inputs!$E$27)))</f>
        <v>144.866699377493</v>
      </c>
      <c r="R955" s="81" t="n">
        <f aca="true">RAND()</f>
        <v>0.0778658025132057</v>
      </c>
      <c r="S955" s="82" t="n">
        <f aca="false">IF(R955&lt;(Inputs!$E$29-Inputs!$D$29)/(Inputs!$F$29-Inputs!$D$29),Inputs!$D$29+SQRT(R955*(Inputs!$F$29-Inputs!$D$29)*(Inputs!$E$29-Inputs!$D$29)),Inputs!$F$29-SQRT((1-R955)*(Inputs!$F$29-Inputs!$D$29)*(Inputs!$F$29-Inputs!$E$29)))</f>
        <v>3.7426320030388</v>
      </c>
      <c r="T955" s="68" t="n">
        <f aca="false">Inputs!$E$9*(1+E955)+Inputs!$E$5*C955*(Inputs!$E$11*Inputs!$E$14*(G955*I955/Inputs!$E$16+(1-G955))*K955+Inputs!$E$23*M955)*(1+O955)+Inputs!$E$5*(Q955+S955)</f>
        <v>6608.01934587353</v>
      </c>
    </row>
    <row r="956" customFormat="false" ht="15" hidden="false" customHeight="false" outlineLevel="0" collapsed="false">
      <c r="A956" s="1" t="n">
        <v>952</v>
      </c>
      <c r="B956" s="81" t="n">
        <f aca="true">RAND()</f>
        <v>0.856498318242094</v>
      </c>
      <c r="C956" s="82" t="n">
        <f aca="false">ROUND(IF(B956&lt;(Inputs!$E$8-Inputs!$D$8)/(Inputs!$F$8-Inputs!$D$8),Inputs!$D$8+SQRT(B956*(Inputs!$F$8-Inputs!$D$8)*(Inputs!$E$8-Inputs!$D$8)),Inputs!$F$8-SQRT((1-B956)*(Inputs!$F$8-Inputs!$D$8)*(Inputs!$F$8-Inputs!$E$8))),0)</f>
        <v>27</v>
      </c>
      <c r="D956" s="81" t="n">
        <f aca="true">RAND()</f>
        <v>0.67231390146637</v>
      </c>
      <c r="E956" s="83" t="n">
        <f aca="false">IF(D956&lt;(Inputs!$E$10-Inputs!$D$10)/(Inputs!$F$10-Inputs!$D$10),Inputs!$D$10+SQRT(D956*(Inputs!$F$10-Inputs!$D$10)*(Inputs!$E$10-Inputs!$D$10)),Inputs!$F$10-SQRT((1-D956)*(Inputs!$F$10-Inputs!$D$10)*(Inputs!$F$10-Inputs!$E$10)))</f>
        <v>0.100850703703915</v>
      </c>
      <c r="F956" s="81" t="n">
        <f aca="true">RAND()</f>
        <v>0.229350332096484</v>
      </c>
      <c r="G956" s="83" t="n">
        <f aca="false">IF(F956&lt;(Inputs!$E$15-Inputs!$D$15)/(Inputs!$F$15-Inputs!$D$15),Inputs!$D$15+SQRT(F956*(Inputs!$F$15-Inputs!$D$15)*(Inputs!$E$15-Inputs!$D$15)),Inputs!$F$15-SQRT((1-F956)*(Inputs!$F$15-Inputs!$D$15)*(Inputs!$F$15-Inputs!$E$15)))</f>
        <v>0.667727443787062</v>
      </c>
      <c r="H956" s="81" t="n">
        <f aca="true">RAND()</f>
        <v>0.534532003805959</v>
      </c>
      <c r="I956" s="82" t="n">
        <f aca="false">ROUND(IF(H956&lt;(Inputs!$E$17-Inputs!$D$17)/(Inputs!$F$17-Inputs!$D$17),Inputs!$D$17+SQRT(H956*(Inputs!$F$17-Inputs!$D$17)*(Inputs!$E$17-Inputs!$D$17)),Inputs!$F$17-SQRT((1-H956)*(Inputs!$F$17-Inputs!$D$17)*(Inputs!$F$17-Inputs!$E$17))),0)</f>
        <v>107</v>
      </c>
      <c r="J956" s="81" t="n">
        <f aca="true">RAND()</f>
        <v>0.344909879959025</v>
      </c>
      <c r="K956" s="83" t="n">
        <f aca="false">IF(J956&lt;(Inputs!$E$18-Inputs!$D$18)/(Inputs!$F$18-Inputs!$D$18),Inputs!$D$18+SQRT(J956*(Inputs!$F$18-Inputs!$D$18)*(Inputs!$E$18-Inputs!$D$18)),Inputs!$F$18-SQRT((1-J956)*(Inputs!$F$18-Inputs!$D$18)*(Inputs!$F$18-Inputs!$E$18)))</f>
        <v>1.01058323888335</v>
      </c>
      <c r="L956" s="81" t="n">
        <f aca="true">RAND()</f>
        <v>0.379778549327994</v>
      </c>
      <c r="M956" s="83" t="n">
        <f aca="false">IF(L956&lt;(Inputs!$E$24-Inputs!$D$24)/(Inputs!$F$24-Inputs!$D$24),Inputs!$D$24+SQRT(L956*(Inputs!$F$24-Inputs!$D$24)*(Inputs!$E$24-Inputs!$D$24)),Inputs!$F$24-SQRT((1-L956)*(Inputs!$F$24-Inputs!$D$24)*(Inputs!$F$24-Inputs!$E$24)))</f>
        <v>0.814185085615808</v>
      </c>
      <c r="N956" s="81" t="n">
        <f aca="true">RAND()</f>
        <v>0.478743989346918</v>
      </c>
      <c r="O956" s="83" t="n">
        <f aca="false">IF(N956&lt;(Inputs!$E$26-Inputs!$D$26)/(Inputs!$F$26-Inputs!$D$26),Inputs!$D$26+SQRT(N956*(Inputs!$F$26-Inputs!$D$26)*(Inputs!$E$26-Inputs!$D$26)),Inputs!$F$26-SQRT((1-N956)*(Inputs!$F$26-Inputs!$D$26)*(Inputs!$F$26-Inputs!$E$26)))</f>
        <v>0.582246345994642</v>
      </c>
      <c r="P956" s="81" t="n">
        <f aca="true">RAND()</f>
        <v>0.231200421858334</v>
      </c>
      <c r="Q956" s="82" t="n">
        <f aca="false">IF(P956&lt;(Inputs!$E$27-Inputs!$D$27)/(Inputs!$F$27-Inputs!$D$27),Inputs!$D$27+SQRT(P956*(Inputs!$F$27-Inputs!$D$27)*(Inputs!$E$27-Inputs!$D$27)),Inputs!$F$27-SQRT((1-P956)*(Inputs!$F$27-Inputs!$D$27)*(Inputs!$F$27-Inputs!$E$27)))</f>
        <v>74.0416524940744</v>
      </c>
      <c r="R956" s="81" t="n">
        <f aca="true">RAND()</f>
        <v>0.381251529687214</v>
      </c>
      <c r="S956" s="82" t="n">
        <f aca="false">IF(R956&lt;(Inputs!$E$29-Inputs!$D$29)/(Inputs!$F$29-Inputs!$D$29),Inputs!$D$29+SQRT(R956*(Inputs!$F$29-Inputs!$D$29)*(Inputs!$E$29-Inputs!$D$29)),Inputs!$F$29-SQRT((1-R956)*(Inputs!$F$29-Inputs!$D$29)*(Inputs!$F$29-Inputs!$E$29)))</f>
        <v>6.03131552898296</v>
      </c>
      <c r="T956" s="68" t="n">
        <f aca="false">Inputs!$E$9*(1+E956)+Inputs!$E$5*C956*(Inputs!$E$11*Inputs!$E$14*(G956*I956/Inputs!$E$16+(1-G956))*K956+Inputs!$E$23*M956)*(1+O956)+Inputs!$E$5*(Q956+S956)</f>
        <v>6451.08934968562</v>
      </c>
    </row>
    <row r="957" customFormat="false" ht="15" hidden="false" customHeight="false" outlineLevel="0" collapsed="false">
      <c r="A957" s="1" t="n">
        <v>953</v>
      </c>
      <c r="B957" s="81" t="n">
        <f aca="true">RAND()</f>
        <v>0.79176581081234</v>
      </c>
      <c r="C957" s="82" t="n">
        <f aca="false">ROUND(IF(B957&lt;(Inputs!$E$8-Inputs!$D$8)/(Inputs!$F$8-Inputs!$D$8),Inputs!$D$8+SQRT(B957*(Inputs!$F$8-Inputs!$D$8)*(Inputs!$E$8-Inputs!$D$8)),Inputs!$F$8-SQRT((1-B957)*(Inputs!$F$8-Inputs!$D$8)*(Inputs!$F$8-Inputs!$E$8))),0)</f>
        <v>27</v>
      </c>
      <c r="D957" s="81" t="n">
        <f aca="true">RAND()</f>
        <v>0.733340861955729</v>
      </c>
      <c r="E957" s="83" t="n">
        <f aca="false">IF(D957&lt;(Inputs!$E$10-Inputs!$D$10)/(Inputs!$F$10-Inputs!$D$10),Inputs!$D$10+SQRT(D957*(Inputs!$F$10-Inputs!$D$10)*(Inputs!$E$10-Inputs!$D$10)),Inputs!$F$10-SQRT((1-D957)*(Inputs!$F$10-Inputs!$D$10)*(Inputs!$F$10-Inputs!$E$10)))</f>
        <v>0.110558543497279</v>
      </c>
      <c r="F957" s="81" t="n">
        <f aca="true">RAND()</f>
        <v>0.650498212726582</v>
      </c>
      <c r="G957" s="83" t="n">
        <f aca="false">IF(F957&lt;(Inputs!$E$15-Inputs!$D$15)/(Inputs!$F$15-Inputs!$D$15),Inputs!$D$15+SQRT(F957*(Inputs!$F$15-Inputs!$D$15)*(Inputs!$E$15-Inputs!$D$15)),Inputs!$F$15-SQRT((1-F957)*(Inputs!$F$15-Inputs!$D$15)*(Inputs!$F$15-Inputs!$E$15)))</f>
        <v>0.716393566363178</v>
      </c>
      <c r="H957" s="81" t="n">
        <f aca="true">RAND()</f>
        <v>0.0636081733519996</v>
      </c>
      <c r="I957" s="82" t="n">
        <f aca="false">ROUND(IF(H957&lt;(Inputs!$E$17-Inputs!$D$17)/(Inputs!$F$17-Inputs!$D$17),Inputs!$D$17+SQRT(H957*(Inputs!$F$17-Inputs!$D$17)*(Inputs!$E$17-Inputs!$D$17)),Inputs!$F$17-SQRT((1-H957)*(Inputs!$F$17-Inputs!$D$17)*(Inputs!$F$17-Inputs!$E$17))),0)</f>
        <v>102</v>
      </c>
      <c r="J957" s="81" t="n">
        <f aca="true">RAND()</f>
        <v>0.245987917032689</v>
      </c>
      <c r="K957" s="83" t="n">
        <f aca="false">IF(J957&lt;(Inputs!$E$18-Inputs!$D$18)/(Inputs!$F$18-Inputs!$D$18),Inputs!$D$18+SQRT(J957*(Inputs!$F$18-Inputs!$D$18)*(Inputs!$E$18-Inputs!$D$18)),Inputs!$F$18-SQRT((1-J957)*(Inputs!$F$18-Inputs!$D$18)*(Inputs!$F$18-Inputs!$E$18)))</f>
        <v>0.992787806829045</v>
      </c>
      <c r="L957" s="81" t="n">
        <f aca="true">RAND()</f>
        <v>0.944460650082832</v>
      </c>
      <c r="M957" s="83" t="n">
        <f aca="false">IF(L957&lt;(Inputs!$E$24-Inputs!$D$24)/(Inputs!$F$24-Inputs!$D$24),Inputs!$D$24+SQRT(L957*(Inputs!$F$24-Inputs!$D$24)*(Inputs!$E$24-Inputs!$D$24)),Inputs!$F$24-SQRT((1-L957)*(Inputs!$F$24-Inputs!$D$24)*(Inputs!$F$24-Inputs!$E$24)))</f>
        <v>1.08454678878385</v>
      </c>
      <c r="N957" s="81" t="n">
        <f aca="true">RAND()</f>
        <v>0.461834051226241</v>
      </c>
      <c r="O957" s="83" t="n">
        <f aca="false">IF(N957&lt;(Inputs!$E$26-Inputs!$D$26)/(Inputs!$F$26-Inputs!$D$26),Inputs!$D$26+SQRT(N957*(Inputs!$F$26-Inputs!$D$26)*(Inputs!$E$26-Inputs!$D$26)),Inputs!$F$26-SQRT((1-N957)*(Inputs!$F$26-Inputs!$D$26)*(Inputs!$F$26-Inputs!$E$26)))</f>
        <v>0.577216857575521</v>
      </c>
      <c r="P957" s="81" t="n">
        <f aca="true">RAND()</f>
        <v>0.470673453174299</v>
      </c>
      <c r="Q957" s="82" t="n">
        <f aca="false">IF(P957&lt;(Inputs!$E$27-Inputs!$D$27)/(Inputs!$F$27-Inputs!$D$27),Inputs!$D$27+SQRT(P957*(Inputs!$F$27-Inputs!$D$27)*(Inputs!$E$27-Inputs!$D$27)),Inputs!$F$27-SQRT((1-P957)*(Inputs!$F$27-Inputs!$D$27)*(Inputs!$F$27-Inputs!$E$27)))</f>
        <v>86.9924679011092</v>
      </c>
      <c r="R957" s="81" t="n">
        <f aca="true">RAND()</f>
        <v>0.142295985182488</v>
      </c>
      <c r="S957" s="82" t="n">
        <f aca="false">IF(R957&lt;(Inputs!$E$29-Inputs!$D$29)/(Inputs!$F$29-Inputs!$D$29),Inputs!$D$29+SQRT(R957*(Inputs!$F$29-Inputs!$D$29)*(Inputs!$E$29-Inputs!$D$29)),Inputs!$F$29-SQRT((1-R957)*(Inputs!$F$29-Inputs!$D$29)*(Inputs!$F$29-Inputs!$E$29)))</f>
        <v>4.355746892626</v>
      </c>
      <c r="T957" s="68" t="n">
        <f aca="false">Inputs!$E$9*(1+E957)+Inputs!$E$5*C957*(Inputs!$E$11*Inputs!$E$14*(G957*I957/Inputs!$E$16+(1-G957))*K957+Inputs!$E$23*M957)*(1+O957)+Inputs!$E$5*(Q957+S957)</f>
        <v>6755.97606864318</v>
      </c>
    </row>
    <row r="958" customFormat="false" ht="15" hidden="false" customHeight="false" outlineLevel="0" collapsed="false">
      <c r="A958" s="1" t="n">
        <v>954</v>
      </c>
      <c r="B958" s="81" t="n">
        <f aca="true">RAND()</f>
        <v>0.00249261234058692</v>
      </c>
      <c r="C958" s="82" t="n">
        <f aca="false">ROUND(IF(B958&lt;(Inputs!$E$8-Inputs!$D$8)/(Inputs!$F$8-Inputs!$D$8),Inputs!$D$8+SQRT(B958*(Inputs!$F$8-Inputs!$D$8)*(Inputs!$E$8-Inputs!$D$8)),Inputs!$F$8-SQRT((1-B958)*(Inputs!$F$8-Inputs!$D$8)*(Inputs!$F$8-Inputs!$E$8))),0)</f>
        <v>20</v>
      </c>
      <c r="D958" s="81" t="n">
        <f aca="true">RAND()</f>
        <v>0.565927715514165</v>
      </c>
      <c r="E958" s="83" t="n">
        <f aca="false">IF(D958&lt;(Inputs!$E$10-Inputs!$D$10)/(Inputs!$F$10-Inputs!$D$10),Inputs!$D$10+SQRT(D958*(Inputs!$F$10-Inputs!$D$10)*(Inputs!$E$10-Inputs!$D$10)),Inputs!$F$10-SQRT((1-D958)*(Inputs!$F$10-Inputs!$D$10)*(Inputs!$F$10-Inputs!$E$10)))</f>
        <v>0.0858852834443556</v>
      </c>
      <c r="F958" s="81" t="n">
        <f aca="true">RAND()</f>
        <v>0.813429848348808</v>
      </c>
      <c r="G958" s="83" t="n">
        <f aca="false">IF(F958&lt;(Inputs!$E$15-Inputs!$D$15)/(Inputs!$F$15-Inputs!$D$15),Inputs!$D$15+SQRT(F958*(Inputs!$F$15-Inputs!$D$15)*(Inputs!$E$15-Inputs!$D$15)),Inputs!$F$15-SQRT((1-F958)*(Inputs!$F$15-Inputs!$D$15)*(Inputs!$F$15-Inputs!$E$15)))</f>
        <v>0.738914788753547</v>
      </c>
      <c r="H958" s="81" t="n">
        <f aca="true">RAND()</f>
        <v>0.861036044625928</v>
      </c>
      <c r="I958" s="82" t="n">
        <f aca="false">ROUND(IF(H958&lt;(Inputs!$E$17-Inputs!$D$17)/(Inputs!$F$17-Inputs!$D$17),Inputs!$D$17+SQRT(H958*(Inputs!$F$17-Inputs!$D$17)*(Inputs!$E$17-Inputs!$D$17)),Inputs!$F$17-SQRT((1-H958)*(Inputs!$F$17-Inputs!$D$17)*(Inputs!$F$17-Inputs!$E$17))),0)</f>
        <v>110</v>
      </c>
      <c r="J958" s="81" t="n">
        <f aca="true">RAND()</f>
        <v>0.694177065417618</v>
      </c>
      <c r="K958" s="83" t="n">
        <f aca="false">IF(J958&lt;(Inputs!$E$18-Inputs!$D$18)/(Inputs!$F$18-Inputs!$D$18),Inputs!$D$18+SQRT(J958*(Inputs!$F$18-Inputs!$D$18)*(Inputs!$E$18-Inputs!$D$18)),Inputs!$F$18-SQRT((1-J958)*(Inputs!$F$18-Inputs!$D$18)*(Inputs!$F$18-Inputs!$E$18)))</f>
        <v>1.08641666718165</v>
      </c>
      <c r="L958" s="81" t="n">
        <f aca="true">RAND()</f>
        <v>0.621574242381356</v>
      </c>
      <c r="M958" s="83" t="n">
        <f aca="false">IF(L958&lt;(Inputs!$E$24-Inputs!$D$24)/(Inputs!$F$24-Inputs!$D$24),Inputs!$D$24+SQRT(L958*(Inputs!$F$24-Inputs!$D$24)*(Inputs!$E$24-Inputs!$D$24)),Inputs!$F$24-SQRT((1-L958)*(Inputs!$F$24-Inputs!$D$24)*(Inputs!$F$24-Inputs!$E$24)))</f>
        <v>0.898632812289602</v>
      </c>
      <c r="N958" s="81" t="n">
        <f aca="true">RAND()</f>
        <v>0.342563871651653</v>
      </c>
      <c r="O958" s="83" t="n">
        <f aca="false">IF(N958&lt;(Inputs!$E$26-Inputs!$D$26)/(Inputs!$F$26-Inputs!$D$26),Inputs!$D$26+SQRT(N958*(Inputs!$F$26-Inputs!$D$26)*(Inputs!$E$26-Inputs!$D$26)),Inputs!$F$26-SQRT((1-N958)*(Inputs!$F$26-Inputs!$D$26)*(Inputs!$F$26-Inputs!$E$26)))</f>
        <v>0.538752231911735</v>
      </c>
      <c r="P958" s="81" t="n">
        <f aca="true">RAND()</f>
        <v>0.535845383742387</v>
      </c>
      <c r="Q958" s="82" t="n">
        <f aca="false">IF(P958&lt;(Inputs!$E$27-Inputs!$D$27)/(Inputs!$F$27-Inputs!$D$27),Inputs!$D$27+SQRT(P958*(Inputs!$F$27-Inputs!$D$27)*(Inputs!$E$27-Inputs!$D$27)),Inputs!$F$27-SQRT((1-P958)*(Inputs!$F$27-Inputs!$D$27)*(Inputs!$F$27-Inputs!$E$27)))</f>
        <v>90.9986472872689</v>
      </c>
      <c r="R958" s="81" t="n">
        <f aca="true">RAND()</f>
        <v>0.983039705683707</v>
      </c>
      <c r="S958" s="82" t="n">
        <f aca="false">IF(R958&lt;(Inputs!$E$29-Inputs!$D$29)/(Inputs!$F$29-Inputs!$D$29),Inputs!$D$29+SQRT(R958*(Inputs!$F$29-Inputs!$D$29)*(Inputs!$E$29-Inputs!$D$29)),Inputs!$F$29-SQRT((1-R958)*(Inputs!$F$29-Inputs!$D$29)*(Inputs!$F$29-Inputs!$E$29)))</f>
        <v>13.5151302208213</v>
      </c>
      <c r="T958" s="68" t="n">
        <f aca="false">Inputs!$E$9*(1+E958)+Inputs!$E$5*C958*(Inputs!$E$11*Inputs!$E$14*(G958*I958/Inputs!$E$16+(1-G958))*K958+Inputs!$E$23*M958)*(1+O958)+Inputs!$E$5*(Q958+S958)</f>
        <v>5701.02016419545</v>
      </c>
    </row>
    <row r="959" customFormat="false" ht="15" hidden="false" customHeight="false" outlineLevel="0" collapsed="false">
      <c r="A959" s="1" t="n">
        <v>955</v>
      </c>
      <c r="B959" s="81" t="n">
        <f aca="true">RAND()</f>
        <v>0.971405689468808</v>
      </c>
      <c r="C959" s="82" t="n">
        <f aca="false">ROUND(IF(B959&lt;(Inputs!$E$8-Inputs!$D$8)/(Inputs!$F$8-Inputs!$D$8),Inputs!$D$8+SQRT(B959*(Inputs!$F$8-Inputs!$D$8)*(Inputs!$E$8-Inputs!$D$8)),Inputs!$F$8-SQRT((1-B959)*(Inputs!$F$8-Inputs!$D$8)*(Inputs!$F$8-Inputs!$E$8))),0)</f>
        <v>29</v>
      </c>
      <c r="D959" s="81" t="n">
        <f aca="true">RAND()</f>
        <v>0.990586835267676</v>
      </c>
      <c r="E959" s="83" t="n">
        <f aca="false">IF(D959&lt;(Inputs!$E$10-Inputs!$D$10)/(Inputs!$F$10-Inputs!$D$10),Inputs!$D$10+SQRT(D959*(Inputs!$F$10-Inputs!$D$10)*(Inputs!$E$10-Inputs!$D$10)),Inputs!$F$10-SQRT((1-D959)*(Inputs!$F$10-Inputs!$D$10)*(Inputs!$F$10-Inputs!$E$10)))</f>
        <v>0.183195389264558</v>
      </c>
      <c r="F959" s="81" t="n">
        <f aca="true">RAND()</f>
        <v>0.626997832528417</v>
      </c>
      <c r="G959" s="83" t="n">
        <f aca="false">IF(F959&lt;(Inputs!$E$15-Inputs!$D$15)/(Inputs!$F$15-Inputs!$D$15),Inputs!$D$15+SQRT(F959*(Inputs!$F$15-Inputs!$D$15)*(Inputs!$E$15-Inputs!$D$15)),Inputs!$F$15-SQRT((1-F959)*(Inputs!$F$15-Inputs!$D$15)*(Inputs!$F$15-Inputs!$E$15)))</f>
        <v>0.713628457525458</v>
      </c>
      <c r="H959" s="81" t="n">
        <f aca="true">RAND()</f>
        <v>0.974472071081262</v>
      </c>
      <c r="I959" s="82" t="n">
        <f aca="false">ROUND(IF(H959&lt;(Inputs!$E$17-Inputs!$D$17)/(Inputs!$F$17-Inputs!$D$17),Inputs!$D$17+SQRT(H959*(Inputs!$F$17-Inputs!$D$17)*(Inputs!$E$17-Inputs!$D$17)),Inputs!$F$17-SQRT((1-H959)*(Inputs!$F$17-Inputs!$D$17)*(Inputs!$F$17-Inputs!$E$17))),0)</f>
        <v>113</v>
      </c>
      <c r="J959" s="81" t="n">
        <f aca="true">RAND()</f>
        <v>0.616230358905074</v>
      </c>
      <c r="K959" s="83" t="n">
        <f aca="false">IF(J959&lt;(Inputs!$E$18-Inputs!$D$18)/(Inputs!$F$18-Inputs!$D$18),Inputs!$D$18+SQRT(J959*(Inputs!$F$18-Inputs!$D$18)*(Inputs!$E$18-Inputs!$D$18)),Inputs!$F$18-SQRT((1-J959)*(Inputs!$F$18-Inputs!$D$18)*(Inputs!$F$18-Inputs!$E$18)))</f>
        <v>1.06675196154991</v>
      </c>
      <c r="L959" s="81" t="n">
        <f aca="true">RAND()</f>
        <v>0.428167733070684</v>
      </c>
      <c r="M959" s="83" t="n">
        <f aca="false">IF(L959&lt;(Inputs!$E$24-Inputs!$D$24)/(Inputs!$F$24-Inputs!$D$24),Inputs!$D$24+SQRT(L959*(Inputs!$F$24-Inputs!$D$24)*(Inputs!$E$24-Inputs!$D$24)),Inputs!$F$24-SQRT((1-L959)*(Inputs!$F$24-Inputs!$D$24)*(Inputs!$F$24-Inputs!$E$24)))</f>
        <v>0.829541170893396</v>
      </c>
      <c r="N959" s="81" t="n">
        <f aca="true">RAND()</f>
        <v>0.937366391059387</v>
      </c>
      <c r="O959" s="83" t="n">
        <f aca="false">IF(N959&lt;(Inputs!$E$26-Inputs!$D$26)/(Inputs!$F$26-Inputs!$D$26),Inputs!$D$26+SQRT(N959*(Inputs!$F$26-Inputs!$D$26)*(Inputs!$E$26-Inputs!$D$26)),Inputs!$F$26-SQRT((1-N959)*(Inputs!$F$26-Inputs!$D$26)*(Inputs!$F$26-Inputs!$E$26)))</f>
        <v>0.739291293345614</v>
      </c>
      <c r="P959" s="81" t="n">
        <f aca="true">RAND()</f>
        <v>0.172371088857831</v>
      </c>
      <c r="Q959" s="82" t="n">
        <f aca="false">IF(P959&lt;(Inputs!$E$27-Inputs!$D$27)/(Inputs!$F$27-Inputs!$D$27),Inputs!$D$27+SQRT(P959*(Inputs!$F$27-Inputs!$D$27)*(Inputs!$E$27-Inputs!$D$27)),Inputs!$F$27-SQRT((1-P959)*(Inputs!$F$27-Inputs!$D$27)*(Inputs!$F$27-Inputs!$E$27)))</f>
        <v>70.758798668145</v>
      </c>
      <c r="R959" s="81" t="n">
        <f aca="true">RAND()</f>
        <v>0.318765125476136</v>
      </c>
      <c r="S959" s="82" t="n">
        <f aca="false">IF(R959&lt;(Inputs!$E$29-Inputs!$D$29)/(Inputs!$F$29-Inputs!$D$29),Inputs!$D$29+SQRT(R959*(Inputs!$F$29-Inputs!$D$29)*(Inputs!$E$29-Inputs!$D$29)),Inputs!$F$29-SQRT((1-R959)*(Inputs!$F$29-Inputs!$D$29)*(Inputs!$F$29-Inputs!$E$29)))</f>
        <v>5.58933935963567</v>
      </c>
      <c r="T959" s="68" t="n">
        <f aca="false">Inputs!$E$9*(1+E959)+Inputs!$E$5*C959*(Inputs!$E$11*Inputs!$E$14*(G959*I959/Inputs!$E$16+(1-G959))*K959+Inputs!$E$23*M959)*(1+O959)+Inputs!$E$5*(Q959+S959)</f>
        <v>7469.37361827426</v>
      </c>
    </row>
    <row r="960" customFormat="false" ht="15" hidden="false" customHeight="false" outlineLevel="0" collapsed="false">
      <c r="A960" s="1" t="n">
        <v>956</v>
      </c>
      <c r="B960" s="81" t="n">
        <f aca="true">RAND()</f>
        <v>0.771606420997666</v>
      </c>
      <c r="C960" s="82" t="n">
        <f aca="false">ROUND(IF(B960&lt;(Inputs!$E$8-Inputs!$D$8)/(Inputs!$F$8-Inputs!$D$8),Inputs!$D$8+SQRT(B960*(Inputs!$F$8-Inputs!$D$8)*(Inputs!$E$8-Inputs!$D$8)),Inputs!$F$8-SQRT((1-B960)*(Inputs!$F$8-Inputs!$D$8)*(Inputs!$F$8-Inputs!$E$8))),0)</f>
        <v>27</v>
      </c>
      <c r="D960" s="81" t="n">
        <f aca="true">RAND()</f>
        <v>0.00672600395185935</v>
      </c>
      <c r="E960" s="83" t="n">
        <f aca="false">IF(D960&lt;(Inputs!$E$10-Inputs!$D$10)/(Inputs!$F$10-Inputs!$D$10),Inputs!$D$10+SQRT(D960*(Inputs!$F$10-Inputs!$D$10)*(Inputs!$E$10-Inputs!$D$10)),Inputs!$F$10-SQRT((1-D960)*(Inputs!$F$10-Inputs!$D$10)*(Inputs!$F$10-Inputs!$E$10)))</f>
        <v>0.00820122183083676</v>
      </c>
      <c r="F960" s="81" t="n">
        <f aca="true">RAND()</f>
        <v>0.271292612572526</v>
      </c>
      <c r="G960" s="83" t="n">
        <f aca="false">IF(F960&lt;(Inputs!$E$15-Inputs!$D$15)/(Inputs!$F$15-Inputs!$D$15),Inputs!$D$15+SQRT(F960*(Inputs!$F$15-Inputs!$D$15)*(Inputs!$E$15-Inputs!$D$15)),Inputs!$F$15-SQRT((1-F960)*(Inputs!$F$15-Inputs!$D$15)*(Inputs!$F$15-Inputs!$E$15)))</f>
        <v>0.673660384545905</v>
      </c>
      <c r="H960" s="81" t="n">
        <f aca="true">RAND()</f>
        <v>0.365559151858225</v>
      </c>
      <c r="I960" s="82" t="n">
        <f aca="false">ROUND(IF(H960&lt;(Inputs!$E$17-Inputs!$D$17)/(Inputs!$F$17-Inputs!$D$17),Inputs!$D$17+SQRT(H960*(Inputs!$F$17-Inputs!$D$17)*(Inputs!$E$17-Inputs!$D$17)),Inputs!$F$17-SQRT((1-H960)*(Inputs!$F$17-Inputs!$D$17)*(Inputs!$F$17-Inputs!$E$17))),0)</f>
        <v>105</v>
      </c>
      <c r="J960" s="81" t="n">
        <f aca="true">RAND()</f>
        <v>0.260809092785114</v>
      </c>
      <c r="K960" s="83" t="n">
        <f aca="false">IF(J960&lt;(Inputs!$E$18-Inputs!$D$18)/(Inputs!$F$18-Inputs!$D$18),Inputs!$D$18+SQRT(J960*(Inputs!$F$18-Inputs!$D$18)*(Inputs!$E$18-Inputs!$D$18)),Inputs!$F$18-SQRT((1-J960)*(Inputs!$F$18-Inputs!$D$18)*(Inputs!$F$18-Inputs!$E$18)))</f>
        <v>0.995542232795131</v>
      </c>
      <c r="L960" s="81" t="n">
        <f aca="true">RAND()</f>
        <v>0.467741573361097</v>
      </c>
      <c r="M960" s="83" t="n">
        <f aca="false">IF(L960&lt;(Inputs!$E$24-Inputs!$D$24)/(Inputs!$F$24-Inputs!$D$24),Inputs!$D$24+SQRT(L960*(Inputs!$F$24-Inputs!$D$24)*(Inputs!$E$24-Inputs!$D$24)),Inputs!$F$24-SQRT((1-L960)*(Inputs!$F$24-Inputs!$D$24)*(Inputs!$F$24-Inputs!$E$24)))</f>
        <v>0.842589840108963</v>
      </c>
      <c r="N960" s="81" t="n">
        <f aca="true">RAND()</f>
        <v>0.853201190396531</v>
      </c>
      <c r="O960" s="83" t="n">
        <f aca="false">IF(N960&lt;(Inputs!$E$26-Inputs!$D$26)/(Inputs!$F$26-Inputs!$D$26),Inputs!$D$26+SQRT(N960*(Inputs!$F$26-Inputs!$D$26)*(Inputs!$E$26-Inputs!$D$26)),Inputs!$F$26-SQRT((1-N960)*(Inputs!$F$26-Inputs!$D$26)*(Inputs!$F$26-Inputs!$E$26)))</f>
        <v>0.696439989483811</v>
      </c>
      <c r="P960" s="81" t="n">
        <f aca="true">RAND()</f>
        <v>0.669691991326483</v>
      </c>
      <c r="Q960" s="82" t="n">
        <f aca="false">IF(P960&lt;(Inputs!$E$27-Inputs!$D$27)/(Inputs!$F$27-Inputs!$D$27),Inputs!$D$27+SQRT(P960*(Inputs!$F$27-Inputs!$D$27)*(Inputs!$E$27-Inputs!$D$27)),Inputs!$F$27-SQRT((1-P960)*(Inputs!$F$27-Inputs!$D$27)*(Inputs!$F$27-Inputs!$E$27)))</f>
        <v>100.227416532278</v>
      </c>
      <c r="R960" s="81" t="n">
        <f aca="true">RAND()</f>
        <v>0.822198175773833</v>
      </c>
      <c r="S960" s="82" t="n">
        <f aca="false">IF(R960&lt;(Inputs!$E$29-Inputs!$D$29)/(Inputs!$F$29-Inputs!$D$29),Inputs!$D$29+SQRT(R960*(Inputs!$F$29-Inputs!$D$29)*(Inputs!$E$29-Inputs!$D$29)),Inputs!$F$29-SQRT((1-R960)*(Inputs!$F$29-Inputs!$D$29)*(Inputs!$F$29-Inputs!$E$29)))</f>
        <v>10.1922731827399</v>
      </c>
      <c r="T960" s="68" t="n">
        <f aca="false">Inputs!$E$9*(1+E960)+Inputs!$E$5*C960*(Inputs!$E$11*Inputs!$E$14*(G960*I960/Inputs!$E$16+(1-G960))*K960+Inputs!$E$23*M960)*(1+O960)+Inputs!$E$5*(Q960+S960)</f>
        <v>6634.79989189613</v>
      </c>
    </row>
    <row r="961" customFormat="false" ht="15" hidden="false" customHeight="false" outlineLevel="0" collapsed="false">
      <c r="A961" s="1" t="n">
        <v>957</v>
      </c>
      <c r="B961" s="81" t="n">
        <f aca="true">RAND()</f>
        <v>0.474448179772687</v>
      </c>
      <c r="C961" s="82" t="n">
        <f aca="false">ROUND(IF(B961&lt;(Inputs!$E$8-Inputs!$D$8)/(Inputs!$F$8-Inputs!$D$8),Inputs!$D$8+SQRT(B961*(Inputs!$F$8-Inputs!$D$8)*(Inputs!$E$8-Inputs!$D$8)),Inputs!$F$8-SQRT((1-B961)*(Inputs!$F$8-Inputs!$D$8)*(Inputs!$F$8-Inputs!$E$8))),0)</f>
        <v>25</v>
      </c>
      <c r="D961" s="81" t="n">
        <f aca="true">RAND()</f>
        <v>0.954939806263147</v>
      </c>
      <c r="E961" s="83" t="n">
        <f aca="false">IF(D961&lt;(Inputs!$E$10-Inputs!$D$10)/(Inputs!$F$10-Inputs!$D$10),Inputs!$D$10+SQRT(D961*(Inputs!$F$10-Inputs!$D$10)*(Inputs!$E$10-Inputs!$D$10)),Inputs!$F$10-SQRT((1-D961)*(Inputs!$F$10-Inputs!$D$10)*(Inputs!$F$10-Inputs!$E$10)))</f>
        <v>0.163233088080373</v>
      </c>
      <c r="F961" s="81" t="n">
        <f aca="true">RAND()</f>
        <v>0.525350924862358</v>
      </c>
      <c r="G961" s="83" t="n">
        <f aca="false">IF(F961&lt;(Inputs!$E$15-Inputs!$D$15)/(Inputs!$F$15-Inputs!$D$15),Inputs!$D$15+SQRT(F961*(Inputs!$F$15-Inputs!$D$15)*(Inputs!$E$15-Inputs!$D$15)),Inputs!$F$15-SQRT((1-F961)*(Inputs!$F$15-Inputs!$D$15)*(Inputs!$F$15-Inputs!$E$15)))</f>
        <v>0.702568067335432</v>
      </c>
      <c r="H961" s="81" t="n">
        <f aca="true">RAND()</f>
        <v>0.996795723330122</v>
      </c>
      <c r="I961" s="82" t="n">
        <f aca="false">ROUND(IF(H961&lt;(Inputs!$E$17-Inputs!$D$17)/(Inputs!$F$17-Inputs!$D$17),Inputs!$D$17+SQRT(H961*(Inputs!$F$17-Inputs!$D$17)*(Inputs!$E$17-Inputs!$D$17)),Inputs!$F$17-SQRT((1-H961)*(Inputs!$F$17-Inputs!$D$17)*(Inputs!$F$17-Inputs!$E$17))),0)</f>
        <v>114</v>
      </c>
      <c r="J961" s="81" t="n">
        <f aca="true">RAND()</f>
        <v>0.962868973600379</v>
      </c>
      <c r="K961" s="83" t="n">
        <f aca="false">IF(J961&lt;(Inputs!$E$18-Inputs!$D$18)/(Inputs!$F$18-Inputs!$D$18),Inputs!$D$18+SQRT(J961*(Inputs!$F$18-Inputs!$D$18)*(Inputs!$E$18-Inputs!$D$18)),Inputs!$F$18-SQRT((1-J961)*(Inputs!$F$18-Inputs!$D$18)*(Inputs!$F$18-Inputs!$E$18)))</f>
        <v>1.19300030868534</v>
      </c>
      <c r="L961" s="81" t="n">
        <f aca="true">RAND()</f>
        <v>0.210223629307521</v>
      </c>
      <c r="M961" s="83" t="n">
        <f aca="false">IF(L961&lt;(Inputs!$E$24-Inputs!$D$24)/(Inputs!$F$24-Inputs!$D$24),Inputs!$D$24+SQRT(L961*(Inputs!$F$24-Inputs!$D$24)*(Inputs!$E$24-Inputs!$D$24)),Inputs!$F$24-SQRT((1-L961)*(Inputs!$F$24-Inputs!$D$24)*(Inputs!$F$24-Inputs!$E$24)))</f>
        <v>0.758829580106801</v>
      </c>
      <c r="N961" s="81" t="n">
        <f aca="true">RAND()</f>
        <v>0.65193714842577</v>
      </c>
      <c r="O961" s="83" t="n">
        <f aca="false">IF(N961&lt;(Inputs!$E$26-Inputs!$D$26)/(Inputs!$F$26-Inputs!$D$26),Inputs!$D$26+SQRT(N961*(Inputs!$F$26-Inputs!$D$26)*(Inputs!$E$26-Inputs!$D$26)),Inputs!$F$26-SQRT((1-N961)*(Inputs!$F$26-Inputs!$D$26)*(Inputs!$F$26-Inputs!$E$26)))</f>
        <v>0.629740869959626</v>
      </c>
      <c r="P961" s="81" t="n">
        <f aca="true">RAND()</f>
        <v>0.367961592988219</v>
      </c>
      <c r="Q961" s="82" t="n">
        <f aca="false">IF(P961&lt;(Inputs!$E$27-Inputs!$D$27)/(Inputs!$F$27-Inputs!$D$27),Inputs!$D$27+SQRT(P961*(Inputs!$F$27-Inputs!$D$27)*(Inputs!$E$27-Inputs!$D$27)),Inputs!$F$27-SQRT((1-P961)*(Inputs!$F$27-Inputs!$D$27)*(Inputs!$F$27-Inputs!$E$27)))</f>
        <v>81.1502501632115</v>
      </c>
      <c r="R961" s="81" t="n">
        <f aca="true">RAND()</f>
        <v>0.70965466372941</v>
      </c>
      <c r="S961" s="82" t="n">
        <f aca="false">IF(R961&lt;(Inputs!$E$29-Inputs!$D$29)/(Inputs!$F$29-Inputs!$D$29),Inputs!$D$29+SQRT(R961*(Inputs!$F$29-Inputs!$D$29)*(Inputs!$E$29-Inputs!$D$29)),Inputs!$F$29-SQRT((1-R961)*(Inputs!$F$29-Inputs!$D$29)*(Inputs!$F$29-Inputs!$E$29)))</f>
        <v>8.85631269389655</v>
      </c>
      <c r="T961" s="68" t="n">
        <f aca="false">Inputs!$E$9*(1+E961)+Inputs!$E$5*C961*(Inputs!$E$11*Inputs!$E$14*(G961*I961/Inputs!$E$16+(1-G961))*K961+Inputs!$E$23*M961)*(1+O961)+Inputs!$E$5*(Q961+S961)</f>
        <v>6845.40901140919</v>
      </c>
    </row>
    <row r="962" customFormat="false" ht="15" hidden="false" customHeight="false" outlineLevel="0" collapsed="false">
      <c r="A962" s="1" t="n">
        <v>958</v>
      </c>
      <c r="B962" s="81" t="n">
        <f aca="true">RAND()</f>
        <v>0.526254643676956</v>
      </c>
      <c r="C962" s="82" t="n">
        <f aca="false">ROUND(IF(B962&lt;(Inputs!$E$8-Inputs!$D$8)/(Inputs!$F$8-Inputs!$D$8),Inputs!$D$8+SQRT(B962*(Inputs!$F$8-Inputs!$D$8)*(Inputs!$E$8-Inputs!$D$8)),Inputs!$F$8-SQRT((1-B962)*(Inputs!$F$8-Inputs!$D$8)*(Inputs!$F$8-Inputs!$E$8))),0)</f>
        <v>25</v>
      </c>
      <c r="D962" s="81" t="n">
        <f aca="true">RAND()</f>
        <v>0.236470476192085</v>
      </c>
      <c r="E962" s="83" t="n">
        <f aca="false">IF(D962&lt;(Inputs!$E$10-Inputs!$D$10)/(Inputs!$F$10-Inputs!$D$10),Inputs!$D$10+SQRT(D962*(Inputs!$F$10-Inputs!$D$10)*(Inputs!$E$10-Inputs!$D$10)),Inputs!$F$10-SQRT((1-D962)*(Inputs!$F$10-Inputs!$D$10)*(Inputs!$F$10-Inputs!$E$10)))</f>
        <v>0.048628230092415</v>
      </c>
      <c r="F962" s="81" t="n">
        <f aca="true">RAND()</f>
        <v>0.564264065098372</v>
      </c>
      <c r="G962" s="83" t="n">
        <f aca="false">IF(F962&lt;(Inputs!$E$15-Inputs!$D$15)/(Inputs!$F$15-Inputs!$D$15),Inputs!$D$15+SQRT(F962*(Inputs!$F$15-Inputs!$D$15)*(Inputs!$E$15-Inputs!$D$15)),Inputs!$F$15-SQRT((1-F962)*(Inputs!$F$15-Inputs!$D$15)*(Inputs!$F$15-Inputs!$E$15)))</f>
        <v>0.706647342308681</v>
      </c>
      <c r="H962" s="81" t="n">
        <f aca="true">RAND()</f>
        <v>0.731224214221705</v>
      </c>
      <c r="I962" s="82" t="n">
        <f aca="false">ROUND(IF(H962&lt;(Inputs!$E$17-Inputs!$D$17)/(Inputs!$F$17-Inputs!$D$17),Inputs!$D$17+SQRT(H962*(Inputs!$F$17-Inputs!$D$17)*(Inputs!$E$17-Inputs!$D$17)),Inputs!$F$17-SQRT((1-H962)*(Inputs!$F$17-Inputs!$D$17)*(Inputs!$F$17-Inputs!$E$17))),0)</f>
        <v>109</v>
      </c>
      <c r="J962" s="81" t="n">
        <f aca="true">RAND()</f>
        <v>0.619301830445586</v>
      </c>
      <c r="K962" s="83" t="n">
        <f aca="false">IF(J962&lt;(Inputs!$E$18-Inputs!$D$18)/(Inputs!$F$18-Inputs!$D$18),Inputs!$D$18+SQRT(J962*(Inputs!$F$18-Inputs!$D$18)*(Inputs!$E$18-Inputs!$D$18)),Inputs!$F$18-SQRT((1-J962)*(Inputs!$F$18-Inputs!$D$18)*(Inputs!$F$18-Inputs!$E$18)))</f>
        <v>1.06748674065698</v>
      </c>
      <c r="L962" s="81" t="n">
        <f aca="true">RAND()</f>
        <v>0.888971503425068</v>
      </c>
      <c r="M962" s="83" t="n">
        <f aca="false">IF(L962&lt;(Inputs!$E$24-Inputs!$D$24)/(Inputs!$F$24-Inputs!$D$24),Inputs!$D$24+SQRT(L962*(Inputs!$F$24-Inputs!$D$24)*(Inputs!$E$24-Inputs!$D$24)),Inputs!$F$24-SQRT((1-L962)*(Inputs!$F$24-Inputs!$D$24)*(Inputs!$F$24-Inputs!$E$24)))</f>
        <v>1.0367614041411</v>
      </c>
      <c r="N962" s="81" t="n">
        <f aca="true">RAND()</f>
        <v>0.1342236210966</v>
      </c>
      <c r="O962" s="83" t="n">
        <f aca="false">IF(N962&lt;(Inputs!$E$26-Inputs!$D$26)/(Inputs!$F$26-Inputs!$D$26),Inputs!$D$26+SQRT(N962*(Inputs!$F$26-Inputs!$D$26)*(Inputs!$E$26-Inputs!$D$26)),Inputs!$F$26-SQRT((1-N962)*(Inputs!$F$26-Inputs!$D$26)*(Inputs!$F$26-Inputs!$E$26)))</f>
        <v>0.44944835412434</v>
      </c>
      <c r="P962" s="81" t="n">
        <f aca="true">RAND()</f>
        <v>0.375073886899489</v>
      </c>
      <c r="Q962" s="82" t="n">
        <f aca="false">IF(P962&lt;(Inputs!$E$27-Inputs!$D$27)/(Inputs!$F$27-Inputs!$D$27),Inputs!$D$27+SQRT(P962*(Inputs!$F$27-Inputs!$D$27)*(Inputs!$E$27-Inputs!$D$27)),Inputs!$F$27-SQRT((1-P962)*(Inputs!$F$27-Inputs!$D$27)*(Inputs!$F$27-Inputs!$E$27)))</f>
        <v>81.5387273836234</v>
      </c>
      <c r="R962" s="81" t="n">
        <f aca="true">RAND()</f>
        <v>0.451649262623185</v>
      </c>
      <c r="S962" s="82" t="n">
        <f aca="false">IF(R962&lt;(Inputs!$E$29-Inputs!$D$29)/(Inputs!$F$29-Inputs!$D$29),Inputs!$D$29+SQRT(R962*(Inputs!$F$29-Inputs!$D$29)*(Inputs!$E$29-Inputs!$D$29)),Inputs!$F$29-SQRT((1-R962)*(Inputs!$F$29-Inputs!$D$29)*(Inputs!$F$29-Inputs!$E$29)))</f>
        <v>6.55692023850385</v>
      </c>
      <c r="T962" s="68" t="n">
        <f aca="false">Inputs!$E$9*(1+E962)+Inputs!$E$5*C962*(Inputs!$E$11*Inputs!$E$14*(G962*I962/Inputs!$E$16+(1-G962))*K962+Inputs!$E$23*M962)*(1+O962)+Inputs!$E$5*(Q962+S962)</f>
        <v>6201.00683304975</v>
      </c>
    </row>
    <row r="963" customFormat="false" ht="15" hidden="false" customHeight="false" outlineLevel="0" collapsed="false">
      <c r="A963" s="1" t="n">
        <v>959</v>
      </c>
      <c r="B963" s="81" t="n">
        <f aca="true">RAND()</f>
        <v>0.670027181252435</v>
      </c>
      <c r="C963" s="82" t="n">
        <f aca="false">ROUND(IF(B963&lt;(Inputs!$E$8-Inputs!$D$8)/(Inputs!$F$8-Inputs!$D$8),Inputs!$D$8+SQRT(B963*(Inputs!$F$8-Inputs!$D$8)*(Inputs!$E$8-Inputs!$D$8)),Inputs!$F$8-SQRT((1-B963)*(Inputs!$F$8-Inputs!$D$8)*(Inputs!$F$8-Inputs!$E$8))),0)</f>
        <v>26</v>
      </c>
      <c r="D963" s="81" t="n">
        <f aca="true">RAND()</f>
        <v>0.0321220416210424</v>
      </c>
      <c r="E963" s="83" t="n">
        <f aca="false">IF(D963&lt;(Inputs!$E$10-Inputs!$D$10)/(Inputs!$F$10-Inputs!$D$10),Inputs!$D$10+SQRT(D963*(Inputs!$F$10-Inputs!$D$10)*(Inputs!$E$10-Inputs!$D$10)),Inputs!$F$10-SQRT((1-D963)*(Inputs!$F$10-Inputs!$D$10)*(Inputs!$F$10-Inputs!$E$10)))</f>
        <v>0.0179226230281849</v>
      </c>
      <c r="F963" s="81" t="n">
        <f aca="true">RAND()</f>
        <v>0.669036025373656</v>
      </c>
      <c r="G963" s="83" t="n">
        <f aca="false">IF(F963&lt;(Inputs!$E$15-Inputs!$D$15)/(Inputs!$F$15-Inputs!$D$15),Inputs!$D$15+SQRT(F963*(Inputs!$F$15-Inputs!$D$15)*(Inputs!$E$15-Inputs!$D$15)),Inputs!$F$15-SQRT((1-F963)*(Inputs!$F$15-Inputs!$D$15)*(Inputs!$F$15-Inputs!$E$15)))</f>
        <v>0.718641045406625</v>
      </c>
      <c r="H963" s="81" t="n">
        <f aca="true">RAND()</f>
        <v>0.856313386336954</v>
      </c>
      <c r="I963" s="82" t="n">
        <f aca="false">ROUND(IF(H963&lt;(Inputs!$E$17-Inputs!$D$17)/(Inputs!$F$17-Inputs!$D$17),Inputs!$D$17+SQRT(H963*(Inputs!$F$17-Inputs!$D$17)*(Inputs!$E$17-Inputs!$D$17)),Inputs!$F$17-SQRT((1-H963)*(Inputs!$F$17-Inputs!$D$17)*(Inputs!$F$17-Inputs!$E$17))),0)</f>
        <v>110</v>
      </c>
      <c r="J963" s="81" t="n">
        <f aca="true">RAND()</f>
        <v>0.140785668469166</v>
      </c>
      <c r="K963" s="83" t="n">
        <f aca="false">IF(J963&lt;(Inputs!$E$18-Inputs!$D$18)/(Inputs!$F$18-Inputs!$D$18),Inputs!$D$18+SQRT(J963*(Inputs!$F$18-Inputs!$D$18)*(Inputs!$E$18-Inputs!$D$18)),Inputs!$F$18-SQRT((1-J963)*(Inputs!$F$18-Inputs!$D$18)*(Inputs!$F$18-Inputs!$E$18)))</f>
        <v>0.970196142318655</v>
      </c>
      <c r="L963" s="81" t="n">
        <f aca="true">RAND()</f>
        <v>0.803447198051433</v>
      </c>
      <c r="M963" s="83" t="n">
        <f aca="false">IF(L963&lt;(Inputs!$E$24-Inputs!$D$24)/(Inputs!$F$24-Inputs!$D$24),Inputs!$D$24+SQRT(L963*(Inputs!$F$24-Inputs!$D$24)*(Inputs!$E$24-Inputs!$D$24)),Inputs!$F$24-SQRT((1-L963)*(Inputs!$F$24-Inputs!$D$24)*(Inputs!$F$24-Inputs!$E$24)))</f>
        <v>0.982807291863525</v>
      </c>
      <c r="N963" s="81" t="n">
        <f aca="true">RAND()</f>
        <v>0.853980330781683</v>
      </c>
      <c r="O963" s="83" t="n">
        <f aca="false">IF(N963&lt;(Inputs!$E$26-Inputs!$D$26)/(Inputs!$F$26-Inputs!$D$26),Inputs!$D$26+SQRT(N963*(Inputs!$F$26-Inputs!$D$26)*(Inputs!$E$26-Inputs!$D$26)),Inputs!$F$26-SQRT((1-N963)*(Inputs!$F$26-Inputs!$D$26)*(Inputs!$F$26-Inputs!$E$26)))</f>
        <v>0.696768325505554</v>
      </c>
      <c r="P963" s="81" t="n">
        <f aca="true">RAND()</f>
        <v>0.319434147811025</v>
      </c>
      <c r="Q963" s="82" t="n">
        <f aca="false">IF(P963&lt;(Inputs!$E$27-Inputs!$D$27)/(Inputs!$F$27-Inputs!$D$27),Inputs!$D$27+SQRT(P963*(Inputs!$F$27-Inputs!$D$27)*(Inputs!$E$27-Inputs!$D$27)),Inputs!$F$27-SQRT((1-P963)*(Inputs!$F$27-Inputs!$D$27)*(Inputs!$F$27-Inputs!$E$27)))</f>
        <v>78.5560087101979</v>
      </c>
      <c r="R963" s="81" t="n">
        <f aca="true">RAND()</f>
        <v>0.46397124452685</v>
      </c>
      <c r="S963" s="82" t="n">
        <f aca="false">IF(R963&lt;(Inputs!$E$29-Inputs!$D$29)/(Inputs!$F$29-Inputs!$D$29),Inputs!$D$29+SQRT(R963*(Inputs!$F$29-Inputs!$D$29)*(Inputs!$E$29-Inputs!$D$29)),Inputs!$F$29-SQRT((1-R963)*(Inputs!$F$29-Inputs!$D$29)*(Inputs!$F$29-Inputs!$E$29)))</f>
        <v>6.6523213878642</v>
      </c>
      <c r="T963" s="68" t="n">
        <f aca="false">Inputs!$E$9*(1+E963)+Inputs!$E$5*C963*(Inputs!$E$11*Inputs!$E$14*(G963*I963/Inputs!$E$16+(1-G963))*K963+Inputs!$E$23*M963)*(1+O963)+Inputs!$E$5*(Q963+S963)</f>
        <v>6547.12859629772</v>
      </c>
    </row>
    <row r="964" customFormat="false" ht="15" hidden="false" customHeight="false" outlineLevel="0" collapsed="false">
      <c r="A964" s="1" t="n">
        <v>960</v>
      </c>
      <c r="B964" s="81" t="n">
        <f aca="true">RAND()</f>
        <v>0.694046511135011</v>
      </c>
      <c r="C964" s="82" t="n">
        <f aca="false">ROUND(IF(B964&lt;(Inputs!$E$8-Inputs!$D$8)/(Inputs!$F$8-Inputs!$D$8),Inputs!$D$8+SQRT(B964*(Inputs!$F$8-Inputs!$D$8)*(Inputs!$E$8-Inputs!$D$8)),Inputs!$F$8-SQRT((1-B964)*(Inputs!$F$8-Inputs!$D$8)*(Inputs!$F$8-Inputs!$E$8))),0)</f>
        <v>26</v>
      </c>
      <c r="D964" s="81" t="n">
        <f aca="true">RAND()</f>
        <v>0.789241998383877</v>
      </c>
      <c r="E964" s="83" t="n">
        <f aca="false">IF(D964&lt;(Inputs!$E$10-Inputs!$D$10)/(Inputs!$F$10-Inputs!$D$10),Inputs!$D$10+SQRT(D964*(Inputs!$F$10-Inputs!$D$10)*(Inputs!$E$10-Inputs!$D$10)),Inputs!$F$10-SQRT((1-D964)*(Inputs!$F$10-Inputs!$D$10)*(Inputs!$F$10-Inputs!$E$10)))</f>
        <v>0.120484340859906</v>
      </c>
      <c r="F964" s="81" t="n">
        <f aca="true">RAND()</f>
        <v>0.489555548268081</v>
      </c>
      <c r="G964" s="83" t="n">
        <f aca="false">IF(F964&lt;(Inputs!$E$15-Inputs!$D$15)/(Inputs!$F$15-Inputs!$D$15),Inputs!$D$15+SQRT(F964*(Inputs!$F$15-Inputs!$D$15)*(Inputs!$E$15-Inputs!$D$15)),Inputs!$F$15-SQRT((1-F964)*(Inputs!$F$15-Inputs!$D$15)*(Inputs!$F$15-Inputs!$E$15)))</f>
        <v>0.698950042775946</v>
      </c>
      <c r="H964" s="81" t="n">
        <f aca="true">RAND()</f>
        <v>0.763040146500119</v>
      </c>
      <c r="I964" s="82" t="n">
        <f aca="false">ROUND(IF(H964&lt;(Inputs!$E$17-Inputs!$D$17)/(Inputs!$F$17-Inputs!$D$17),Inputs!$D$17+SQRT(H964*(Inputs!$F$17-Inputs!$D$17)*(Inputs!$E$17-Inputs!$D$17)),Inputs!$F$17-SQRT((1-H964)*(Inputs!$F$17-Inputs!$D$17)*(Inputs!$F$17-Inputs!$E$17))),0)</f>
        <v>109</v>
      </c>
      <c r="J964" s="81" t="n">
        <f aca="true">RAND()</f>
        <v>0.0599201074036385</v>
      </c>
      <c r="K964" s="83" t="n">
        <f aca="false">IF(J964&lt;(Inputs!$E$18-Inputs!$D$18)/(Inputs!$F$18-Inputs!$D$18),Inputs!$D$18+SQRT(J964*(Inputs!$F$18-Inputs!$D$18)*(Inputs!$E$18-Inputs!$D$18)),Inputs!$F$18-SQRT((1-J964)*(Inputs!$F$18-Inputs!$D$18)*(Inputs!$F$18-Inputs!$E$18)))</f>
        <v>0.945795237297424</v>
      </c>
      <c r="L964" s="81" t="n">
        <f aca="true">RAND()</f>
        <v>0.359241815178249</v>
      </c>
      <c r="M964" s="83" t="n">
        <f aca="false">IF(L964&lt;(Inputs!$E$24-Inputs!$D$24)/(Inputs!$F$24-Inputs!$D$24),Inputs!$D$24+SQRT(L964*(Inputs!$F$24-Inputs!$D$24)*(Inputs!$E$24-Inputs!$D$24)),Inputs!$F$24-SQRT((1-L964)*(Inputs!$F$24-Inputs!$D$24)*(Inputs!$F$24-Inputs!$E$24)))</f>
        <v>0.807849564124659</v>
      </c>
      <c r="N964" s="81" t="n">
        <f aca="true">RAND()</f>
        <v>0.462783448059633</v>
      </c>
      <c r="O964" s="83" t="n">
        <f aca="false">IF(N964&lt;(Inputs!$E$26-Inputs!$D$26)/(Inputs!$F$26-Inputs!$D$26),Inputs!$D$26+SQRT(N964*(Inputs!$F$26-Inputs!$D$26)*(Inputs!$E$26-Inputs!$D$26)),Inputs!$F$26-SQRT((1-N964)*(Inputs!$F$26-Inputs!$D$26)*(Inputs!$F$26-Inputs!$E$26)))</f>
        <v>0.577501650007929</v>
      </c>
      <c r="P964" s="81" t="n">
        <f aca="true">RAND()</f>
        <v>0.146006813919461</v>
      </c>
      <c r="Q964" s="82" t="n">
        <f aca="false">IF(P964&lt;(Inputs!$E$27-Inputs!$D$27)/(Inputs!$F$27-Inputs!$D$27),Inputs!$D$27+SQRT(P964*(Inputs!$F$27-Inputs!$D$27)*(Inputs!$E$27-Inputs!$D$27)),Inputs!$F$27-SQRT((1-P964)*(Inputs!$F$27-Inputs!$D$27)*(Inputs!$F$27-Inputs!$E$27)))</f>
        <v>69.1054189903978</v>
      </c>
      <c r="R964" s="81" t="n">
        <f aca="true">RAND()</f>
        <v>0.122139587689448</v>
      </c>
      <c r="S964" s="82" t="n">
        <f aca="false">IF(R964&lt;(Inputs!$E$29-Inputs!$D$29)/(Inputs!$F$29-Inputs!$D$29),Inputs!$D$29+SQRT(R964*(Inputs!$F$29-Inputs!$D$29)*(Inputs!$E$29-Inputs!$D$29)),Inputs!$F$29-SQRT((1-R964)*(Inputs!$F$29-Inputs!$D$29)*(Inputs!$F$29-Inputs!$E$29)))</f>
        <v>4.18253153926547</v>
      </c>
      <c r="T964" s="68" t="n">
        <f aca="false">Inputs!$E$9*(1+E964)+Inputs!$E$5*C964*(Inputs!$E$11*Inputs!$E$14*(G964*I964/Inputs!$E$16+(1-G964))*K964+Inputs!$E$23*M964)*(1+O964)+Inputs!$E$5*(Q964+S964)</f>
        <v>6142.42922882607</v>
      </c>
    </row>
    <row r="965" customFormat="false" ht="15" hidden="false" customHeight="false" outlineLevel="0" collapsed="false">
      <c r="A965" s="1" t="n">
        <v>961</v>
      </c>
      <c r="B965" s="81" t="n">
        <f aca="true">RAND()</f>
        <v>0.843391393638371</v>
      </c>
      <c r="C965" s="82" t="n">
        <f aca="false">ROUND(IF(B965&lt;(Inputs!$E$8-Inputs!$D$8)/(Inputs!$F$8-Inputs!$D$8),Inputs!$D$8+SQRT(B965*(Inputs!$F$8-Inputs!$D$8)*(Inputs!$E$8-Inputs!$D$8)),Inputs!$F$8-SQRT((1-B965)*(Inputs!$F$8-Inputs!$D$8)*(Inputs!$F$8-Inputs!$E$8))),0)</f>
        <v>27</v>
      </c>
      <c r="D965" s="81" t="n">
        <f aca="true">RAND()</f>
        <v>0.380785294011887</v>
      </c>
      <c r="E965" s="83" t="n">
        <f aca="false">IF(D965&lt;(Inputs!$E$10-Inputs!$D$10)/(Inputs!$F$10-Inputs!$D$10),Inputs!$D$10+SQRT(D965*(Inputs!$F$10-Inputs!$D$10)*(Inputs!$E$10-Inputs!$D$10)),Inputs!$F$10-SQRT((1-D965)*(Inputs!$F$10-Inputs!$D$10)*(Inputs!$F$10-Inputs!$E$10)))</f>
        <v>0.0637045812228328</v>
      </c>
      <c r="F965" s="81" t="n">
        <f aca="true">RAND()</f>
        <v>0.0532879934888125</v>
      </c>
      <c r="G965" s="83" t="n">
        <f aca="false">IF(F965&lt;(Inputs!$E$15-Inputs!$D$15)/(Inputs!$F$15-Inputs!$D$15),Inputs!$D$15+SQRT(F965*(Inputs!$F$15-Inputs!$D$15)*(Inputs!$E$15-Inputs!$D$15)),Inputs!$F$15-SQRT((1-F965)*(Inputs!$F$15-Inputs!$D$15)*(Inputs!$F$15-Inputs!$E$15)))</f>
        <v>0.632645977849901</v>
      </c>
      <c r="H965" s="81" t="n">
        <f aca="true">RAND()</f>
        <v>0.7225232306413</v>
      </c>
      <c r="I965" s="82" t="n">
        <f aca="false">ROUND(IF(H965&lt;(Inputs!$E$17-Inputs!$D$17)/(Inputs!$F$17-Inputs!$D$17),Inputs!$D$17+SQRT(H965*(Inputs!$F$17-Inputs!$D$17)*(Inputs!$E$17-Inputs!$D$17)),Inputs!$F$17-SQRT((1-H965)*(Inputs!$F$17-Inputs!$D$17)*(Inputs!$F$17-Inputs!$E$17))),0)</f>
        <v>109</v>
      </c>
      <c r="J965" s="81" t="n">
        <f aca="true">RAND()</f>
        <v>0.753229668944877</v>
      </c>
      <c r="K965" s="83" t="n">
        <f aca="false">IF(J965&lt;(Inputs!$E$18-Inputs!$D$18)/(Inputs!$F$18-Inputs!$D$18),Inputs!$D$18+SQRT(J965*(Inputs!$F$18-Inputs!$D$18)*(Inputs!$E$18-Inputs!$D$18)),Inputs!$F$18-SQRT((1-J965)*(Inputs!$F$18-Inputs!$D$18)*(Inputs!$F$18-Inputs!$E$18)))</f>
        <v>1.10305645993334</v>
      </c>
      <c r="L965" s="81" t="n">
        <f aca="true">RAND()</f>
        <v>0.401858144634905</v>
      </c>
      <c r="M965" s="83" t="n">
        <f aca="false">IF(L965&lt;(Inputs!$E$24-Inputs!$D$24)/(Inputs!$F$24-Inputs!$D$24),Inputs!$D$24+SQRT(L965*(Inputs!$F$24-Inputs!$D$24)*(Inputs!$E$24-Inputs!$D$24)),Inputs!$F$24-SQRT((1-L965)*(Inputs!$F$24-Inputs!$D$24)*(Inputs!$F$24-Inputs!$E$24)))</f>
        <v>0.821114733345802</v>
      </c>
      <c r="N965" s="81" t="n">
        <f aca="true">RAND()</f>
        <v>0.270816891927789</v>
      </c>
      <c r="O965" s="83" t="n">
        <f aca="false">IF(N965&lt;(Inputs!$E$26-Inputs!$D$26)/(Inputs!$F$26-Inputs!$D$26),Inputs!$D$26+SQRT(N965*(Inputs!$F$26-Inputs!$D$26)*(Inputs!$E$26-Inputs!$D$26)),Inputs!$F$26-SQRT((1-N965)*(Inputs!$F$26-Inputs!$D$26)*(Inputs!$F$26-Inputs!$E$26)))</f>
        <v>0.512282667254734</v>
      </c>
      <c r="P965" s="81" t="n">
        <f aca="true">RAND()</f>
        <v>0.460965465133438</v>
      </c>
      <c r="Q965" s="82" t="n">
        <f aca="false">IF(P965&lt;(Inputs!$E$27-Inputs!$D$27)/(Inputs!$F$27-Inputs!$D$27),Inputs!$D$27+SQRT(P965*(Inputs!$F$27-Inputs!$D$27)*(Inputs!$E$27-Inputs!$D$27)),Inputs!$F$27-SQRT((1-P965)*(Inputs!$F$27-Inputs!$D$27)*(Inputs!$F$27-Inputs!$E$27)))</f>
        <v>86.4173057231827</v>
      </c>
      <c r="R965" s="81" t="n">
        <f aca="true">RAND()</f>
        <v>0.459503727154971</v>
      </c>
      <c r="S965" s="82" t="n">
        <f aca="false">IF(R965&lt;(Inputs!$E$29-Inputs!$D$29)/(Inputs!$F$29-Inputs!$D$29),Inputs!$D$29+SQRT(R965*(Inputs!$F$29-Inputs!$D$29)*(Inputs!$E$29-Inputs!$D$29)),Inputs!$F$29-SQRT((1-R965)*(Inputs!$F$29-Inputs!$D$29)*(Inputs!$F$29-Inputs!$E$29)))</f>
        <v>6.61760681727147</v>
      </c>
      <c r="T965" s="68" t="n">
        <f aca="false">Inputs!$E$9*(1+E965)+Inputs!$E$5*C965*(Inputs!$E$11*Inputs!$E$14*(G965*I965/Inputs!$E$16+(1-G965))*K965+Inputs!$E$23*M965)*(1+O965)+Inputs!$E$5*(Q965+S965)</f>
        <v>6567.75408540133</v>
      </c>
    </row>
    <row r="966" customFormat="false" ht="15" hidden="false" customHeight="false" outlineLevel="0" collapsed="false">
      <c r="A966" s="1" t="n">
        <v>962</v>
      </c>
      <c r="B966" s="81" t="n">
        <f aca="true">RAND()</f>
        <v>0.224825668058647</v>
      </c>
      <c r="C966" s="82" t="n">
        <f aca="false">ROUND(IF(B966&lt;(Inputs!$E$8-Inputs!$D$8)/(Inputs!$F$8-Inputs!$D$8),Inputs!$D$8+SQRT(B966*(Inputs!$F$8-Inputs!$D$8)*(Inputs!$E$8-Inputs!$D$8)),Inputs!$F$8-SQRT((1-B966)*(Inputs!$F$8-Inputs!$D$8)*(Inputs!$F$8-Inputs!$E$8))),0)</f>
        <v>23</v>
      </c>
      <c r="D966" s="81" t="n">
        <f aca="true">RAND()</f>
        <v>0.549823489251226</v>
      </c>
      <c r="E966" s="83" t="n">
        <f aca="false">IF(D966&lt;(Inputs!$E$10-Inputs!$D$10)/(Inputs!$F$10-Inputs!$D$10),Inputs!$D$10+SQRT(D966*(Inputs!$F$10-Inputs!$D$10)*(Inputs!$E$10-Inputs!$D$10)),Inputs!$F$10-SQRT((1-D966)*(Inputs!$F$10-Inputs!$D$10)*(Inputs!$F$10-Inputs!$E$10)))</f>
        <v>0.0837877144082295</v>
      </c>
      <c r="F966" s="81" t="n">
        <f aca="true">RAND()</f>
        <v>0.317670568708596</v>
      </c>
      <c r="G966" s="83" t="n">
        <f aca="false">IF(F966&lt;(Inputs!$E$15-Inputs!$D$15)/(Inputs!$F$15-Inputs!$D$15),Inputs!$D$15+SQRT(F966*(Inputs!$F$15-Inputs!$D$15)*(Inputs!$E$15-Inputs!$D$15)),Inputs!$F$15-SQRT((1-F966)*(Inputs!$F$15-Inputs!$D$15)*(Inputs!$F$15-Inputs!$E$15)))</f>
        <v>0.679708289243792</v>
      </c>
      <c r="H966" s="81" t="n">
        <f aca="true">RAND()</f>
        <v>0.353321299248719</v>
      </c>
      <c r="I966" s="82" t="n">
        <f aca="false">ROUND(IF(H966&lt;(Inputs!$E$17-Inputs!$D$17)/(Inputs!$F$17-Inputs!$D$17),Inputs!$D$17+SQRT(H966*(Inputs!$F$17-Inputs!$D$17)*(Inputs!$E$17-Inputs!$D$17)),Inputs!$F$17-SQRT((1-H966)*(Inputs!$F$17-Inputs!$D$17)*(Inputs!$F$17-Inputs!$E$17))),0)</f>
        <v>105</v>
      </c>
      <c r="J966" s="81" t="n">
        <f aca="true">RAND()</f>
        <v>0.0450854259932347</v>
      </c>
      <c r="K966" s="83" t="n">
        <f aca="false">IF(J966&lt;(Inputs!$E$18-Inputs!$D$18)/(Inputs!$F$18-Inputs!$D$18),Inputs!$D$18+SQRT(J966*(Inputs!$F$18-Inputs!$D$18)*(Inputs!$E$18-Inputs!$D$18)),Inputs!$F$18-SQRT((1-J966)*(Inputs!$F$18-Inputs!$D$18)*(Inputs!$F$18-Inputs!$E$18)))</f>
        <v>0.939723921127744</v>
      </c>
      <c r="L966" s="81" t="n">
        <f aca="true">RAND()</f>
        <v>0.699333997541673</v>
      </c>
      <c r="M966" s="83" t="n">
        <f aca="false">IF(L966&lt;(Inputs!$E$24-Inputs!$D$24)/(Inputs!$F$24-Inputs!$D$24),Inputs!$D$24+SQRT(L966*(Inputs!$F$24-Inputs!$D$24)*(Inputs!$E$24-Inputs!$D$24)),Inputs!$F$24-SQRT((1-L966)*(Inputs!$F$24-Inputs!$D$24)*(Inputs!$F$24-Inputs!$E$24)))</f>
        <v>0.931374162467572</v>
      </c>
      <c r="N966" s="81" t="n">
        <f aca="true">RAND()</f>
        <v>0.561931484659076</v>
      </c>
      <c r="O966" s="83" t="n">
        <f aca="false">IF(N966&lt;(Inputs!$E$26-Inputs!$D$26)/(Inputs!$F$26-Inputs!$D$26),Inputs!$D$26+SQRT(N966*(Inputs!$F$26-Inputs!$D$26)*(Inputs!$E$26-Inputs!$D$26)),Inputs!$F$26-SQRT((1-N966)*(Inputs!$F$26-Inputs!$D$26)*(Inputs!$F$26-Inputs!$E$26)))</f>
        <v>0.605786525287283</v>
      </c>
      <c r="P966" s="81" t="n">
        <f aca="true">RAND()</f>
        <v>0.89572178732553</v>
      </c>
      <c r="Q966" s="82" t="n">
        <f aca="false">IF(P966&lt;(Inputs!$E$27-Inputs!$D$27)/(Inputs!$F$27-Inputs!$D$27),Inputs!$D$27+SQRT(P966*(Inputs!$F$27-Inputs!$D$27)*(Inputs!$E$27-Inputs!$D$27)),Inputs!$F$27-SQRT((1-P966)*(Inputs!$F$27-Inputs!$D$27)*(Inputs!$F$27-Inputs!$E$27)))</f>
        <v>122.034188818157</v>
      </c>
      <c r="R966" s="81" t="n">
        <f aca="true">RAND()</f>
        <v>0.0826070173301435</v>
      </c>
      <c r="S966" s="82" t="n">
        <f aca="false">IF(R966&lt;(Inputs!$E$29-Inputs!$D$29)/(Inputs!$F$29-Inputs!$D$29),Inputs!$D$29+SQRT(R966*(Inputs!$F$29-Inputs!$D$29)*(Inputs!$E$29-Inputs!$D$29)),Inputs!$F$29-SQRT((1-R966)*(Inputs!$F$29-Inputs!$D$29)*(Inputs!$F$29-Inputs!$E$29)))</f>
        <v>3.79490213545909</v>
      </c>
      <c r="T966" s="68" t="n">
        <f aca="false">Inputs!$E$9*(1+E966)+Inputs!$E$5*C966*(Inputs!$E$11*Inputs!$E$14*(G966*I966/Inputs!$E$16+(1-G966))*K966+Inputs!$E$23*M966)*(1+O966)+Inputs!$E$5*(Q966+S966)</f>
        <v>6127.07219055581</v>
      </c>
    </row>
    <row r="967" customFormat="false" ht="15" hidden="false" customHeight="false" outlineLevel="0" collapsed="false">
      <c r="A967" s="1" t="n">
        <v>963</v>
      </c>
      <c r="B967" s="81" t="n">
        <f aca="true">RAND()</f>
        <v>0.322362675790533</v>
      </c>
      <c r="C967" s="82" t="n">
        <f aca="false">ROUND(IF(B967&lt;(Inputs!$E$8-Inputs!$D$8)/(Inputs!$F$8-Inputs!$D$8),Inputs!$D$8+SQRT(B967*(Inputs!$F$8-Inputs!$D$8)*(Inputs!$E$8-Inputs!$D$8)),Inputs!$F$8-SQRT((1-B967)*(Inputs!$F$8-Inputs!$D$8)*(Inputs!$F$8-Inputs!$E$8))),0)</f>
        <v>24</v>
      </c>
      <c r="D967" s="81" t="n">
        <f aca="true">RAND()</f>
        <v>0.426556924368394</v>
      </c>
      <c r="E967" s="83" t="n">
        <f aca="false">IF(D967&lt;(Inputs!$E$10-Inputs!$D$10)/(Inputs!$F$10-Inputs!$D$10),Inputs!$D$10+SQRT(D967*(Inputs!$F$10-Inputs!$D$10)*(Inputs!$E$10-Inputs!$D$10)),Inputs!$F$10-SQRT((1-D967)*(Inputs!$F$10-Inputs!$D$10)*(Inputs!$F$10-Inputs!$E$10)))</f>
        <v>0.0688386784568401</v>
      </c>
      <c r="F967" s="81" t="n">
        <f aca="true">RAND()</f>
        <v>0.601653577744467</v>
      </c>
      <c r="G967" s="83" t="n">
        <f aca="false">IF(F967&lt;(Inputs!$E$15-Inputs!$D$15)/(Inputs!$F$15-Inputs!$D$15),Inputs!$D$15+SQRT(F967*(Inputs!$F$15-Inputs!$D$15)*(Inputs!$E$15-Inputs!$D$15)),Inputs!$F$15-SQRT((1-F967)*(Inputs!$F$15-Inputs!$D$15)*(Inputs!$F$15-Inputs!$E$15)))</f>
        <v>0.71074234797447</v>
      </c>
      <c r="H967" s="81" t="n">
        <f aca="true">RAND()</f>
        <v>0.092750603389446</v>
      </c>
      <c r="I967" s="82" t="n">
        <f aca="false">ROUND(IF(H967&lt;(Inputs!$E$17-Inputs!$D$17)/(Inputs!$F$17-Inputs!$D$17),Inputs!$D$17+SQRT(H967*(Inputs!$F$17-Inputs!$D$17)*(Inputs!$E$17-Inputs!$D$17)),Inputs!$F$17-SQRT((1-H967)*(Inputs!$F$17-Inputs!$D$17)*(Inputs!$F$17-Inputs!$E$17))),0)</f>
        <v>103</v>
      </c>
      <c r="J967" s="81" t="n">
        <f aca="true">RAND()</f>
        <v>0.616106235213481</v>
      </c>
      <c r="K967" s="83" t="n">
        <f aca="false">IF(J967&lt;(Inputs!$E$18-Inputs!$D$18)/(Inputs!$F$18-Inputs!$D$18),Inputs!$D$18+SQRT(J967*(Inputs!$F$18-Inputs!$D$18)*(Inputs!$E$18-Inputs!$D$18)),Inputs!$F$18-SQRT((1-J967)*(Inputs!$F$18-Inputs!$D$18)*(Inputs!$F$18-Inputs!$E$18)))</f>
        <v>1.06672232973212</v>
      </c>
      <c r="L967" s="81" t="n">
        <f aca="true">RAND()</f>
        <v>0.0467191136717611</v>
      </c>
      <c r="M967" s="83" t="n">
        <f aca="false">IF(L967&lt;(Inputs!$E$24-Inputs!$D$24)/(Inputs!$F$24-Inputs!$D$24),Inputs!$D$24+SQRT(L967*(Inputs!$F$24-Inputs!$D$24)*(Inputs!$E$24-Inputs!$D$24)),Inputs!$F$24-SQRT((1-L967)*(Inputs!$F$24-Inputs!$D$24)*(Inputs!$F$24-Inputs!$E$24)))</f>
        <v>0.674875187082313</v>
      </c>
      <c r="N967" s="81" t="n">
        <f aca="true">RAND()</f>
        <v>0.554012945345968</v>
      </c>
      <c r="O967" s="83" t="n">
        <f aca="false">IF(N967&lt;(Inputs!$E$26-Inputs!$D$26)/(Inputs!$F$26-Inputs!$D$26),Inputs!$D$26+SQRT(N967*(Inputs!$F$26-Inputs!$D$26)*(Inputs!$E$26-Inputs!$D$26)),Inputs!$F$26-SQRT((1-N967)*(Inputs!$F$26-Inputs!$D$26)*(Inputs!$F$26-Inputs!$E$26)))</f>
        <v>0.603624363491419</v>
      </c>
      <c r="P967" s="81" t="n">
        <f aca="true">RAND()</f>
        <v>0.949146230701265</v>
      </c>
      <c r="Q967" s="82" t="n">
        <f aca="false">IF(P967&lt;(Inputs!$E$27-Inputs!$D$27)/(Inputs!$F$27-Inputs!$D$27),Inputs!$D$27+SQRT(P967*(Inputs!$F$27-Inputs!$D$27)*(Inputs!$E$27-Inputs!$D$27)),Inputs!$F$27-SQRT((1-P967)*(Inputs!$F$27-Inputs!$D$27)*(Inputs!$F$27-Inputs!$E$27)))</f>
        <v>130.470451368746</v>
      </c>
      <c r="R967" s="81" t="n">
        <f aca="true">RAND()</f>
        <v>0.506837562212693</v>
      </c>
      <c r="S967" s="82" t="n">
        <f aca="false">IF(R967&lt;(Inputs!$E$29-Inputs!$D$29)/(Inputs!$F$29-Inputs!$D$29),Inputs!$D$29+SQRT(R967*(Inputs!$F$29-Inputs!$D$29)*(Inputs!$E$29-Inputs!$D$29)),Inputs!$F$29-SQRT((1-R967)*(Inputs!$F$29-Inputs!$D$29)*(Inputs!$F$29-Inputs!$E$29)))</f>
        <v>6.9930582047607</v>
      </c>
      <c r="T967" s="68" t="n">
        <f aca="false">Inputs!$E$9*(1+E967)+Inputs!$E$5*C967*(Inputs!$E$11*Inputs!$E$14*(G967*I967/Inputs!$E$16+(1-G967))*K967+Inputs!$E$23*M967)*(1+O967)+Inputs!$E$5*(Q967+S967)</f>
        <v>6130.46318390165</v>
      </c>
    </row>
    <row r="968" customFormat="false" ht="15" hidden="false" customHeight="false" outlineLevel="0" collapsed="false">
      <c r="A968" s="1" t="n">
        <v>964</v>
      </c>
      <c r="B968" s="81" t="n">
        <f aca="true">RAND()</f>
        <v>0.143814962209342</v>
      </c>
      <c r="C968" s="82" t="n">
        <f aca="false">ROUND(IF(B968&lt;(Inputs!$E$8-Inputs!$D$8)/(Inputs!$F$8-Inputs!$D$8),Inputs!$D$8+SQRT(B968*(Inputs!$F$8-Inputs!$D$8)*(Inputs!$E$8-Inputs!$D$8)),Inputs!$F$8-SQRT((1-B968)*(Inputs!$F$8-Inputs!$D$8)*(Inputs!$F$8-Inputs!$E$8))),0)</f>
        <v>23</v>
      </c>
      <c r="D968" s="81" t="n">
        <f aca="true">RAND()</f>
        <v>0.0581183493239723</v>
      </c>
      <c r="E968" s="83" t="n">
        <f aca="false">IF(D968&lt;(Inputs!$E$10-Inputs!$D$10)/(Inputs!$F$10-Inputs!$D$10),Inputs!$D$10+SQRT(D968*(Inputs!$F$10-Inputs!$D$10)*(Inputs!$E$10-Inputs!$D$10)),Inputs!$F$10-SQRT((1-D968)*(Inputs!$F$10-Inputs!$D$10)*(Inputs!$F$10-Inputs!$E$10)))</f>
        <v>0.02410774757707</v>
      </c>
      <c r="F968" s="81" t="n">
        <f aca="true">RAND()</f>
        <v>0.256717787154806</v>
      </c>
      <c r="G968" s="83" t="n">
        <f aca="false">IF(F968&lt;(Inputs!$E$15-Inputs!$D$15)/(Inputs!$F$15-Inputs!$D$15),Inputs!$D$15+SQRT(F968*(Inputs!$F$15-Inputs!$D$15)*(Inputs!$E$15-Inputs!$D$15)),Inputs!$F$15-SQRT((1-F968)*(Inputs!$F$15-Inputs!$D$15)*(Inputs!$F$15-Inputs!$E$15)))</f>
        <v>0.671654418866502</v>
      </c>
      <c r="H968" s="81" t="n">
        <f aca="true">RAND()</f>
        <v>0.504245574667626</v>
      </c>
      <c r="I968" s="82" t="n">
        <f aca="false">ROUND(IF(H968&lt;(Inputs!$E$17-Inputs!$D$17)/(Inputs!$F$17-Inputs!$D$17),Inputs!$D$17+SQRT(H968*(Inputs!$F$17-Inputs!$D$17)*(Inputs!$E$17-Inputs!$D$17)),Inputs!$F$17-SQRT((1-H968)*(Inputs!$F$17-Inputs!$D$17)*(Inputs!$F$17-Inputs!$E$17))),0)</f>
        <v>106</v>
      </c>
      <c r="J968" s="81" t="n">
        <f aca="true">RAND()</f>
        <v>0.262185666343563</v>
      </c>
      <c r="K968" s="83" t="n">
        <f aca="false">IF(J968&lt;(Inputs!$E$18-Inputs!$D$18)/(Inputs!$F$18-Inputs!$D$18),Inputs!$D$18+SQRT(J968*(Inputs!$F$18-Inputs!$D$18)*(Inputs!$E$18-Inputs!$D$18)),Inputs!$F$18-SQRT((1-J968)*(Inputs!$F$18-Inputs!$D$18)*(Inputs!$F$18-Inputs!$E$18)))</f>
        <v>0.995794041161362</v>
      </c>
      <c r="L968" s="81" t="n">
        <f aca="true">RAND()</f>
        <v>0.780010395760972</v>
      </c>
      <c r="M968" s="83" t="n">
        <f aca="false">IF(L968&lt;(Inputs!$E$24-Inputs!$D$24)/(Inputs!$F$24-Inputs!$D$24),Inputs!$D$24+SQRT(L968*(Inputs!$F$24-Inputs!$D$24)*(Inputs!$E$24-Inputs!$D$24)),Inputs!$F$24-SQRT((1-L968)*(Inputs!$F$24-Inputs!$D$24)*(Inputs!$F$24-Inputs!$E$24)))</f>
        <v>0.970222923211721</v>
      </c>
      <c r="N968" s="81" t="n">
        <f aca="true">RAND()</f>
        <v>0.442256334285132</v>
      </c>
      <c r="O968" s="83" t="n">
        <f aca="false">IF(N968&lt;(Inputs!$E$26-Inputs!$D$26)/(Inputs!$F$26-Inputs!$D$26),Inputs!$D$26+SQRT(N968*(Inputs!$F$26-Inputs!$D$26)*(Inputs!$E$26-Inputs!$D$26)),Inputs!$F$26-SQRT((1-N968)*(Inputs!$F$26-Inputs!$D$26)*(Inputs!$F$26-Inputs!$E$26)))</f>
        <v>0.571277448426967</v>
      </c>
      <c r="P968" s="81" t="n">
        <f aca="true">RAND()</f>
        <v>0.388652282274574</v>
      </c>
      <c r="Q968" s="82" t="n">
        <f aca="false">IF(P968&lt;(Inputs!$E$27-Inputs!$D$27)/(Inputs!$F$27-Inputs!$D$27),Inputs!$D$27+SQRT(P968*(Inputs!$F$27-Inputs!$D$27)*(Inputs!$E$27-Inputs!$D$27)),Inputs!$F$27-SQRT((1-P968)*(Inputs!$F$27-Inputs!$D$27)*(Inputs!$F$27-Inputs!$E$27)))</f>
        <v>82.2865753122714</v>
      </c>
      <c r="R968" s="81" t="n">
        <f aca="true">RAND()</f>
        <v>0.0269628539348471</v>
      </c>
      <c r="S968" s="82" t="n">
        <f aca="false">IF(R968&lt;(Inputs!$E$29-Inputs!$D$29)/(Inputs!$F$29-Inputs!$D$29),Inputs!$D$29+SQRT(R968*(Inputs!$F$29-Inputs!$D$29)*(Inputs!$E$29-Inputs!$D$29)),Inputs!$F$29-SQRT((1-R968)*(Inputs!$F$29-Inputs!$D$29)*(Inputs!$F$29-Inputs!$E$29)))</f>
        <v>3.02545175579304</v>
      </c>
      <c r="T968" s="68" t="n">
        <f aca="false">Inputs!$E$9*(1+E968)+Inputs!$E$5*C968*(Inputs!$E$11*Inputs!$E$14*(G968*I968/Inputs!$E$16+(1-G968))*K968+Inputs!$E$23*M968)*(1+O968)+Inputs!$E$5*(Q968+S968)</f>
        <v>5906.23136106799</v>
      </c>
    </row>
    <row r="969" customFormat="false" ht="15" hidden="false" customHeight="false" outlineLevel="0" collapsed="false">
      <c r="A969" s="1" t="n">
        <v>965</v>
      </c>
      <c r="B969" s="81" t="n">
        <f aca="true">RAND()</f>
        <v>0.367827844082546</v>
      </c>
      <c r="C969" s="82" t="n">
        <f aca="false">ROUND(IF(B969&lt;(Inputs!$E$8-Inputs!$D$8)/(Inputs!$F$8-Inputs!$D$8),Inputs!$D$8+SQRT(B969*(Inputs!$F$8-Inputs!$D$8)*(Inputs!$E$8-Inputs!$D$8)),Inputs!$F$8-SQRT((1-B969)*(Inputs!$F$8-Inputs!$D$8)*(Inputs!$F$8-Inputs!$E$8))),0)</f>
        <v>24</v>
      </c>
      <c r="D969" s="81" t="n">
        <f aca="true">RAND()</f>
        <v>0.72695283379201</v>
      </c>
      <c r="E969" s="83" t="n">
        <f aca="false">IF(D969&lt;(Inputs!$E$10-Inputs!$D$10)/(Inputs!$F$10-Inputs!$D$10),Inputs!$D$10+SQRT(D969*(Inputs!$F$10-Inputs!$D$10)*(Inputs!$E$10-Inputs!$D$10)),Inputs!$F$10-SQRT((1-D969)*(Inputs!$F$10-Inputs!$D$10)*(Inputs!$F$10-Inputs!$E$10)))</f>
        <v>0.109493563840798</v>
      </c>
      <c r="F969" s="81" t="n">
        <f aca="true">RAND()</f>
        <v>0.135433309309317</v>
      </c>
      <c r="G969" s="83" t="n">
        <f aca="false">IF(F969&lt;(Inputs!$E$15-Inputs!$D$15)/(Inputs!$F$15-Inputs!$D$15),Inputs!$D$15+SQRT(F969*(Inputs!$F$15-Inputs!$D$15)*(Inputs!$E$15-Inputs!$D$15)),Inputs!$F$15-SQRT((1-F969)*(Inputs!$F$15-Inputs!$D$15)*(Inputs!$F$15-Inputs!$E$15)))</f>
        <v>0.652044847835173</v>
      </c>
      <c r="H969" s="81" t="n">
        <f aca="true">RAND()</f>
        <v>0.460823339666368</v>
      </c>
      <c r="I969" s="82" t="n">
        <f aca="false">ROUND(IF(H969&lt;(Inputs!$E$17-Inputs!$D$17)/(Inputs!$F$17-Inputs!$D$17),Inputs!$D$17+SQRT(H969*(Inputs!$F$17-Inputs!$D$17)*(Inputs!$E$17-Inputs!$D$17)),Inputs!$F$17-SQRT((1-H969)*(Inputs!$F$17-Inputs!$D$17)*(Inputs!$F$17-Inputs!$E$17))),0)</f>
        <v>106</v>
      </c>
      <c r="J969" s="81" t="n">
        <f aca="true">RAND()</f>
        <v>0.245384548378582</v>
      </c>
      <c r="K969" s="83" t="n">
        <f aca="false">IF(J969&lt;(Inputs!$E$18-Inputs!$D$18)/(Inputs!$F$18-Inputs!$D$18),Inputs!$D$18+SQRT(J969*(Inputs!$F$18-Inputs!$D$18)*(Inputs!$E$18-Inputs!$D$18)),Inputs!$F$18-SQRT((1-J969)*(Inputs!$F$18-Inputs!$D$18)*(Inputs!$F$18-Inputs!$E$18)))</f>
        <v>0.992673940205704</v>
      </c>
      <c r="L969" s="81" t="n">
        <f aca="true">RAND()</f>
        <v>0.302765345398717</v>
      </c>
      <c r="M969" s="83" t="n">
        <f aca="false">IF(L969&lt;(Inputs!$E$24-Inputs!$D$24)/(Inputs!$F$24-Inputs!$D$24),Inputs!$D$24+SQRT(L969*(Inputs!$F$24-Inputs!$D$24)*(Inputs!$E$24-Inputs!$D$24)),Inputs!$F$24-SQRT((1-L969)*(Inputs!$F$24-Inputs!$D$24)*(Inputs!$F$24-Inputs!$E$24)))</f>
        <v>0.790609132645438</v>
      </c>
      <c r="N969" s="81" t="n">
        <f aca="true">RAND()</f>
        <v>0.909335504705965</v>
      </c>
      <c r="O969" s="83" t="n">
        <f aca="false">IF(N969&lt;(Inputs!$E$26-Inputs!$D$26)/(Inputs!$F$26-Inputs!$D$26),Inputs!$D$26+SQRT(N969*(Inputs!$F$26-Inputs!$D$26)*(Inputs!$E$26-Inputs!$D$26)),Inputs!$F$26-SQRT((1-N969)*(Inputs!$F$26-Inputs!$D$26)*(Inputs!$F$26-Inputs!$E$26)))</f>
        <v>0.722896408353864</v>
      </c>
      <c r="P969" s="81" t="n">
        <f aca="true">RAND()</f>
        <v>0.273112748277739</v>
      </c>
      <c r="Q969" s="82" t="n">
        <f aca="false">IF(P969&lt;(Inputs!$E$27-Inputs!$D$27)/(Inputs!$F$27-Inputs!$D$27),Inputs!$D$27+SQRT(P969*(Inputs!$F$27-Inputs!$D$27)*(Inputs!$E$27-Inputs!$D$27)),Inputs!$F$27-SQRT((1-P969)*(Inputs!$F$27-Inputs!$D$27)*(Inputs!$F$27-Inputs!$E$27)))</f>
        <v>76.1646806202008</v>
      </c>
      <c r="R969" s="81" t="n">
        <f aca="true">RAND()</f>
        <v>0.973121482143973</v>
      </c>
      <c r="S969" s="82" t="n">
        <f aca="false">IF(R969&lt;(Inputs!$E$29-Inputs!$D$29)/(Inputs!$F$29-Inputs!$D$29),Inputs!$D$29+SQRT(R969*(Inputs!$F$29-Inputs!$D$29)*(Inputs!$E$29-Inputs!$D$29)),Inputs!$F$29-SQRT((1-R969)*(Inputs!$F$29-Inputs!$D$29)*(Inputs!$F$29-Inputs!$E$29)))</f>
        <v>13.1307201062218</v>
      </c>
      <c r="T969" s="68" t="n">
        <f aca="false">Inputs!$E$9*(1+E969)+Inputs!$E$5*C969*(Inputs!$E$11*Inputs!$E$14*(G969*I969/Inputs!$E$16+(1-G969))*K969+Inputs!$E$23*M969)*(1+O969)+Inputs!$E$5*(Q969+S969)</f>
        <v>6333.77620540325</v>
      </c>
    </row>
    <row r="970" customFormat="false" ht="15" hidden="false" customHeight="false" outlineLevel="0" collapsed="false">
      <c r="A970" s="1" t="n">
        <v>966</v>
      </c>
      <c r="B970" s="81" t="n">
        <f aca="true">RAND()</f>
        <v>0.0933583830528692</v>
      </c>
      <c r="C970" s="82" t="n">
        <f aca="false">ROUND(IF(B970&lt;(Inputs!$E$8-Inputs!$D$8)/(Inputs!$F$8-Inputs!$D$8),Inputs!$D$8+SQRT(B970*(Inputs!$F$8-Inputs!$D$8)*(Inputs!$E$8-Inputs!$D$8)),Inputs!$F$8-SQRT((1-B970)*(Inputs!$F$8-Inputs!$D$8)*(Inputs!$F$8-Inputs!$E$8))),0)</f>
        <v>22</v>
      </c>
      <c r="D970" s="81" t="n">
        <f aca="true">RAND()</f>
        <v>0.755117601949081</v>
      </c>
      <c r="E970" s="83" t="n">
        <f aca="false">IF(D970&lt;(Inputs!$E$10-Inputs!$D$10)/(Inputs!$F$10-Inputs!$D$10),Inputs!$D$10+SQRT(D970*(Inputs!$F$10-Inputs!$D$10)*(Inputs!$E$10-Inputs!$D$10)),Inputs!$F$10-SQRT((1-D970)*(Inputs!$F$10-Inputs!$D$10)*(Inputs!$F$10-Inputs!$E$10)))</f>
        <v>0.114288437527207</v>
      </c>
      <c r="F970" s="81" t="n">
        <f aca="true">RAND()</f>
        <v>0.0431879225616899</v>
      </c>
      <c r="G970" s="83" t="n">
        <f aca="false">IF(F970&lt;(Inputs!$E$15-Inputs!$D$15)/(Inputs!$F$15-Inputs!$D$15),Inputs!$D$15+SQRT(F970*(Inputs!$F$15-Inputs!$D$15)*(Inputs!$E$15-Inputs!$D$15)),Inputs!$F$15-SQRT((1-F970)*(Inputs!$F$15-Inputs!$D$15)*(Inputs!$F$15-Inputs!$E$15)))</f>
        <v>0.629389767798229</v>
      </c>
      <c r="H970" s="81" t="n">
        <f aca="true">RAND()</f>
        <v>0.823702440728091</v>
      </c>
      <c r="I970" s="82" t="n">
        <f aca="false">ROUND(IF(H970&lt;(Inputs!$E$17-Inputs!$D$17)/(Inputs!$F$17-Inputs!$D$17),Inputs!$D$17+SQRT(H970*(Inputs!$F$17-Inputs!$D$17)*(Inputs!$E$17-Inputs!$D$17)),Inputs!$F$17-SQRT((1-H970)*(Inputs!$F$17-Inputs!$D$17)*(Inputs!$F$17-Inputs!$E$17))),0)</f>
        <v>110</v>
      </c>
      <c r="J970" s="81" t="n">
        <f aca="true">RAND()</f>
        <v>0.668528936480114</v>
      </c>
      <c r="K970" s="83" t="n">
        <f aca="false">IF(J970&lt;(Inputs!$E$18-Inputs!$D$18)/(Inputs!$F$18-Inputs!$D$18),Inputs!$D$18+SQRT(J970*(Inputs!$F$18-Inputs!$D$18)*(Inputs!$E$18-Inputs!$D$18)),Inputs!$F$18-SQRT((1-J970)*(Inputs!$F$18-Inputs!$D$18)*(Inputs!$F$18-Inputs!$E$18)))</f>
        <v>1.07969522009647</v>
      </c>
      <c r="L970" s="81" t="n">
        <f aca="true">RAND()</f>
        <v>0.16111864659696</v>
      </c>
      <c r="M970" s="83" t="n">
        <f aca="false">IF(L970&lt;(Inputs!$E$24-Inputs!$D$24)/(Inputs!$F$24-Inputs!$D$24),Inputs!$D$24+SQRT(L970*(Inputs!$F$24-Inputs!$D$24)*(Inputs!$E$24-Inputs!$D$24)),Inputs!$F$24-SQRT((1-L970)*(Inputs!$F$24-Inputs!$D$24)*(Inputs!$F$24-Inputs!$E$24)))</f>
        <v>0.739047609082771</v>
      </c>
      <c r="N970" s="81" t="n">
        <f aca="true">RAND()</f>
        <v>0.645367921150293</v>
      </c>
      <c r="O970" s="83" t="n">
        <f aca="false">IF(N970&lt;(Inputs!$E$26-Inputs!$D$26)/(Inputs!$F$26-Inputs!$D$26),Inputs!$D$26+SQRT(N970*(Inputs!$F$26-Inputs!$D$26)*(Inputs!$E$26-Inputs!$D$26)),Inputs!$F$26-SQRT((1-N970)*(Inputs!$F$26-Inputs!$D$26)*(Inputs!$F$26-Inputs!$E$26)))</f>
        <v>0.627953817532424</v>
      </c>
      <c r="P970" s="81" t="n">
        <f aca="true">RAND()</f>
        <v>0.941953535600441</v>
      </c>
      <c r="Q970" s="82" t="n">
        <f aca="false">IF(P970&lt;(Inputs!$E$27-Inputs!$D$27)/(Inputs!$F$27-Inputs!$D$27),Inputs!$D$27+SQRT(P970*(Inputs!$F$27-Inputs!$D$27)*(Inputs!$E$27-Inputs!$D$27)),Inputs!$F$27-SQRT((1-P970)*(Inputs!$F$27-Inputs!$D$27)*(Inputs!$F$27-Inputs!$E$27)))</f>
        <v>129.134993817478</v>
      </c>
      <c r="R970" s="81" t="n">
        <f aca="true">RAND()</f>
        <v>0.776297091184361</v>
      </c>
      <c r="S970" s="82" t="n">
        <f aca="false">IF(R970&lt;(Inputs!$E$29-Inputs!$D$29)/(Inputs!$F$29-Inputs!$D$29),Inputs!$D$29+SQRT(R970*(Inputs!$F$29-Inputs!$D$29)*(Inputs!$E$29-Inputs!$D$29)),Inputs!$F$29-SQRT((1-R970)*(Inputs!$F$29-Inputs!$D$29)*(Inputs!$F$29-Inputs!$E$29)))</f>
        <v>9.60728471491095</v>
      </c>
      <c r="T970" s="68" t="n">
        <f aca="false">Inputs!$E$9*(1+E970)+Inputs!$E$5*C970*(Inputs!$E$11*Inputs!$E$14*(G970*I970/Inputs!$E$16+(1-G970))*K970+Inputs!$E$23*M970)*(1+O970)+Inputs!$E$5*(Q970+S970)</f>
        <v>6306.95515002561</v>
      </c>
    </row>
    <row r="971" customFormat="false" ht="15" hidden="false" customHeight="false" outlineLevel="0" collapsed="false">
      <c r="A971" s="1" t="n">
        <v>967</v>
      </c>
      <c r="B971" s="81" t="n">
        <f aca="true">RAND()</f>
        <v>0.0642552544826563</v>
      </c>
      <c r="C971" s="82" t="n">
        <f aca="false">ROUND(IF(B971&lt;(Inputs!$E$8-Inputs!$D$8)/(Inputs!$F$8-Inputs!$D$8),Inputs!$D$8+SQRT(B971*(Inputs!$F$8-Inputs!$D$8)*(Inputs!$E$8-Inputs!$D$8)),Inputs!$F$8-SQRT((1-B971)*(Inputs!$F$8-Inputs!$D$8)*(Inputs!$F$8-Inputs!$E$8))),0)</f>
        <v>22</v>
      </c>
      <c r="D971" s="81" t="n">
        <f aca="true">RAND()</f>
        <v>0.95922272069586</v>
      </c>
      <c r="E971" s="83" t="n">
        <f aca="false">IF(D971&lt;(Inputs!$E$10-Inputs!$D$10)/(Inputs!$F$10-Inputs!$D$10),Inputs!$D$10+SQRT(D971*(Inputs!$F$10-Inputs!$D$10)*(Inputs!$E$10-Inputs!$D$10)),Inputs!$F$10-SQRT((1-D971)*(Inputs!$F$10-Inputs!$D$10)*(Inputs!$F$10-Inputs!$E$10)))</f>
        <v>0.165024031405489</v>
      </c>
      <c r="F971" s="81" t="n">
        <f aca="true">RAND()</f>
        <v>0.189282893807961</v>
      </c>
      <c r="G971" s="83" t="n">
        <f aca="false">IF(F971&lt;(Inputs!$E$15-Inputs!$D$15)/(Inputs!$F$15-Inputs!$D$15),Inputs!$D$15+SQRT(F971*(Inputs!$F$15-Inputs!$D$15)*(Inputs!$E$15-Inputs!$D$15)),Inputs!$F$15-SQRT((1-F971)*(Inputs!$F$15-Inputs!$D$15)*(Inputs!$F$15-Inputs!$E$15)))</f>
        <v>0.661527700072075</v>
      </c>
      <c r="H971" s="81" t="n">
        <f aca="true">RAND()</f>
        <v>0.859895515591354</v>
      </c>
      <c r="I971" s="82" t="n">
        <f aca="false">ROUND(IF(H971&lt;(Inputs!$E$17-Inputs!$D$17)/(Inputs!$F$17-Inputs!$D$17),Inputs!$D$17+SQRT(H971*(Inputs!$F$17-Inputs!$D$17)*(Inputs!$E$17-Inputs!$D$17)),Inputs!$F$17-SQRT((1-H971)*(Inputs!$F$17-Inputs!$D$17)*(Inputs!$F$17-Inputs!$E$17))),0)</f>
        <v>110</v>
      </c>
      <c r="J971" s="81" t="n">
        <f aca="true">RAND()</f>
        <v>0.46596633460912</v>
      </c>
      <c r="K971" s="83" t="n">
        <f aca="false">IF(J971&lt;(Inputs!$E$18-Inputs!$D$18)/(Inputs!$F$18-Inputs!$D$18),Inputs!$D$18+SQRT(J971*(Inputs!$F$18-Inputs!$D$18)*(Inputs!$E$18-Inputs!$D$18)),Inputs!$F$18-SQRT((1-J971)*(Inputs!$F$18-Inputs!$D$18)*(Inputs!$F$18-Inputs!$E$18)))</f>
        <v>1.03383352313159</v>
      </c>
      <c r="L971" s="81" t="n">
        <f aca="true">RAND()</f>
        <v>0.298090468080753</v>
      </c>
      <c r="M971" s="83" t="n">
        <f aca="false">IF(L971&lt;(Inputs!$E$24-Inputs!$D$24)/(Inputs!$F$24-Inputs!$D$24),Inputs!$D$24+SQRT(L971*(Inputs!$F$24-Inputs!$D$24)*(Inputs!$E$24-Inputs!$D$24)),Inputs!$F$24-SQRT((1-L971)*(Inputs!$F$24-Inputs!$D$24)*(Inputs!$F$24-Inputs!$E$24)))</f>
        <v>0.789131848639224</v>
      </c>
      <c r="N971" s="81" t="n">
        <f aca="true">RAND()</f>
        <v>0.793607162372624</v>
      </c>
      <c r="O971" s="83" t="n">
        <f aca="false">IF(N971&lt;(Inputs!$E$26-Inputs!$D$26)/(Inputs!$F$26-Inputs!$D$26),Inputs!$D$26+SQRT(N971*(Inputs!$F$26-Inputs!$D$26)*(Inputs!$E$26-Inputs!$D$26)),Inputs!$F$26-SQRT((1-N971)*(Inputs!$F$26-Inputs!$D$26)*(Inputs!$F$26-Inputs!$E$26)))</f>
        <v>0.673491109098297</v>
      </c>
      <c r="P971" s="81" t="n">
        <f aca="true">RAND()</f>
        <v>0.0206331107425238</v>
      </c>
      <c r="Q971" s="82" t="n">
        <f aca="false">IF(P971&lt;(Inputs!$E$27-Inputs!$D$27)/(Inputs!$F$27-Inputs!$D$27),Inputs!$D$27+SQRT(P971*(Inputs!$F$27-Inputs!$D$27)*(Inputs!$E$27-Inputs!$D$27)),Inputs!$F$27-SQRT((1-P971)*(Inputs!$F$27-Inputs!$D$27)*(Inputs!$F$27-Inputs!$E$27)))</f>
        <v>57.1821150684398</v>
      </c>
      <c r="R971" s="81" t="n">
        <f aca="true">RAND()</f>
        <v>0.336868187583077</v>
      </c>
      <c r="S971" s="82" t="n">
        <f aca="false">IF(R971&lt;(Inputs!$E$29-Inputs!$D$29)/(Inputs!$F$29-Inputs!$D$29),Inputs!$D$29+SQRT(R971*(Inputs!$F$29-Inputs!$D$29)*(Inputs!$E$29-Inputs!$D$29)),Inputs!$F$29-SQRT((1-R971)*(Inputs!$F$29-Inputs!$D$29)*(Inputs!$F$29-Inputs!$E$29)))</f>
        <v>5.71522021724802</v>
      </c>
      <c r="T971" s="68" t="n">
        <f aca="false">Inputs!$E$9*(1+E971)+Inputs!$E$5*C971*(Inputs!$E$11*Inputs!$E$14*(G971*I971/Inputs!$E$16+(1-G971))*K971+Inputs!$E$23*M971)*(1+O971)+Inputs!$E$5*(Q971+S971)</f>
        <v>6058.48434947269</v>
      </c>
    </row>
    <row r="972" customFormat="false" ht="15" hidden="false" customHeight="false" outlineLevel="0" collapsed="false">
      <c r="A972" s="1" t="n">
        <v>968</v>
      </c>
      <c r="B972" s="81" t="n">
        <f aca="true">RAND()</f>
        <v>0.0418460261294943</v>
      </c>
      <c r="C972" s="82" t="n">
        <f aca="false">ROUND(IF(B972&lt;(Inputs!$E$8-Inputs!$D$8)/(Inputs!$F$8-Inputs!$D$8),Inputs!$D$8+SQRT(B972*(Inputs!$F$8-Inputs!$D$8)*(Inputs!$E$8-Inputs!$D$8)),Inputs!$F$8-SQRT((1-B972)*(Inputs!$F$8-Inputs!$D$8)*(Inputs!$F$8-Inputs!$E$8))),0)</f>
        <v>21</v>
      </c>
      <c r="D972" s="81" t="n">
        <f aca="true">RAND()</f>
        <v>0.0292046919089531</v>
      </c>
      <c r="E972" s="83" t="n">
        <f aca="false">IF(D972&lt;(Inputs!$E$10-Inputs!$D$10)/(Inputs!$F$10-Inputs!$D$10),Inputs!$D$10+SQRT(D972*(Inputs!$F$10-Inputs!$D$10)*(Inputs!$E$10-Inputs!$D$10)),Inputs!$F$10-SQRT((1-D972)*(Inputs!$F$10-Inputs!$D$10)*(Inputs!$F$10-Inputs!$E$10)))</f>
        <v>0.0170893803015069</v>
      </c>
      <c r="F972" s="81" t="n">
        <f aca="true">RAND()</f>
        <v>0.916472562409817</v>
      </c>
      <c r="G972" s="83" t="n">
        <f aca="false">IF(F972&lt;(Inputs!$E$15-Inputs!$D$15)/(Inputs!$F$15-Inputs!$D$15),Inputs!$D$15+SQRT(F972*(Inputs!$F$15-Inputs!$D$15)*(Inputs!$E$15-Inputs!$D$15)),Inputs!$F$15-SQRT((1-F972)*(Inputs!$F$15-Inputs!$D$15)*(Inputs!$F$15-Inputs!$E$15)))</f>
        <v>0.759127652969231</v>
      </c>
      <c r="H972" s="81" t="n">
        <f aca="true">RAND()</f>
        <v>0.185239970418715</v>
      </c>
      <c r="I972" s="82" t="n">
        <f aca="false">ROUND(IF(H972&lt;(Inputs!$E$17-Inputs!$D$17)/(Inputs!$F$17-Inputs!$D$17),Inputs!$D$17+SQRT(H972*(Inputs!$F$17-Inputs!$D$17)*(Inputs!$E$17-Inputs!$D$17)),Inputs!$F$17-SQRT((1-H972)*(Inputs!$F$17-Inputs!$D$17)*(Inputs!$F$17-Inputs!$E$17))),0)</f>
        <v>104</v>
      </c>
      <c r="J972" s="81" t="n">
        <f aca="true">RAND()</f>
        <v>0.580322940095037</v>
      </c>
      <c r="K972" s="83" t="n">
        <f aca="false">IF(J972&lt;(Inputs!$E$18-Inputs!$D$18)/(Inputs!$F$18-Inputs!$D$18),Inputs!$D$18+SQRT(J972*(Inputs!$F$18-Inputs!$D$18)*(Inputs!$E$18-Inputs!$D$18)),Inputs!$F$18-SQRT((1-J972)*(Inputs!$F$18-Inputs!$D$18)*(Inputs!$F$18-Inputs!$E$18)))</f>
        <v>1.058370819702</v>
      </c>
      <c r="L972" s="81" t="n">
        <f aca="true">RAND()</f>
        <v>0.592372078627336</v>
      </c>
      <c r="M972" s="83" t="n">
        <f aca="false">IF(L972&lt;(Inputs!$E$24-Inputs!$D$24)/(Inputs!$F$24-Inputs!$D$24),Inputs!$D$24+SQRT(L972*(Inputs!$F$24-Inputs!$D$24)*(Inputs!$E$24-Inputs!$D$24)),Inputs!$F$24-SQRT((1-L972)*(Inputs!$F$24-Inputs!$D$24)*(Inputs!$F$24-Inputs!$E$24)))</f>
        <v>0.887221002736054</v>
      </c>
      <c r="N972" s="81" t="n">
        <f aca="true">RAND()</f>
        <v>0.737102920993335</v>
      </c>
      <c r="O972" s="83" t="n">
        <f aca="false">IF(N972&lt;(Inputs!$E$26-Inputs!$D$26)/(Inputs!$F$26-Inputs!$D$26),Inputs!$D$26+SQRT(N972*(Inputs!$F$26-Inputs!$D$26)*(Inputs!$E$26-Inputs!$D$26)),Inputs!$F$26-SQRT((1-N972)*(Inputs!$F$26-Inputs!$D$26)*(Inputs!$F$26-Inputs!$E$26)))</f>
        <v>0.654647962768241</v>
      </c>
      <c r="P972" s="81" t="n">
        <f aca="true">RAND()</f>
        <v>0.0703031011716556</v>
      </c>
      <c r="Q972" s="82" t="n">
        <f aca="false">IF(P972&lt;(Inputs!$E$27-Inputs!$D$27)/(Inputs!$F$27-Inputs!$D$27),Inputs!$D$27+SQRT(P972*(Inputs!$F$27-Inputs!$D$27)*(Inputs!$E$27-Inputs!$D$27)),Inputs!$F$27-SQRT((1-P972)*(Inputs!$F$27-Inputs!$D$27)*(Inputs!$F$27-Inputs!$E$27)))</f>
        <v>63.2573659875987</v>
      </c>
      <c r="R972" s="81" t="n">
        <f aca="true">RAND()</f>
        <v>0.307240796425936</v>
      </c>
      <c r="S972" s="82" t="n">
        <f aca="false">IF(R972&lt;(Inputs!$E$29-Inputs!$D$29)/(Inputs!$F$29-Inputs!$D$29),Inputs!$D$29+SQRT(R972*(Inputs!$F$29-Inputs!$D$29)*(Inputs!$E$29-Inputs!$D$29)),Inputs!$F$29-SQRT((1-R972)*(Inputs!$F$29-Inputs!$D$29)*(Inputs!$F$29-Inputs!$E$29)))</f>
        <v>5.51007394841096</v>
      </c>
      <c r="T972" s="68" t="n">
        <f aca="false">Inputs!$E$9*(1+E972)+Inputs!$E$5*C972*(Inputs!$E$11*Inputs!$E$14*(G972*I972/Inputs!$E$16+(1-G972))*K972+Inputs!$E$23*M972)*(1+O972)+Inputs!$E$5*(Q972+S972)</f>
        <v>5571.37412830311</v>
      </c>
    </row>
    <row r="973" customFormat="false" ht="15" hidden="false" customHeight="false" outlineLevel="0" collapsed="false">
      <c r="A973" s="1" t="n">
        <v>969</v>
      </c>
      <c r="B973" s="81" t="n">
        <f aca="true">RAND()</f>
        <v>0.66570739388803</v>
      </c>
      <c r="C973" s="82" t="n">
        <f aca="false">ROUND(IF(B973&lt;(Inputs!$E$8-Inputs!$D$8)/(Inputs!$F$8-Inputs!$D$8),Inputs!$D$8+SQRT(B973*(Inputs!$F$8-Inputs!$D$8)*(Inputs!$E$8-Inputs!$D$8)),Inputs!$F$8-SQRT((1-B973)*(Inputs!$F$8-Inputs!$D$8)*(Inputs!$F$8-Inputs!$E$8))),0)</f>
        <v>26</v>
      </c>
      <c r="D973" s="81" t="n">
        <f aca="true">RAND()</f>
        <v>0.871398723605879</v>
      </c>
      <c r="E973" s="83" t="n">
        <f aca="false">IF(D973&lt;(Inputs!$E$10-Inputs!$D$10)/(Inputs!$F$10-Inputs!$D$10),Inputs!$D$10+SQRT(D973*(Inputs!$F$10-Inputs!$D$10)*(Inputs!$E$10-Inputs!$D$10)),Inputs!$F$10-SQRT((1-D973)*(Inputs!$F$10-Inputs!$D$10)*(Inputs!$F$10-Inputs!$E$10)))</f>
        <v>0.137886891143466</v>
      </c>
      <c r="F973" s="81" t="n">
        <f aca="true">RAND()</f>
        <v>0.716159350482014</v>
      </c>
      <c r="G973" s="83" t="n">
        <f aca="false">IF(F973&lt;(Inputs!$E$15-Inputs!$D$15)/(Inputs!$F$15-Inputs!$D$15),Inputs!$D$15+SQRT(F973*(Inputs!$F$15-Inputs!$D$15)*(Inputs!$E$15-Inputs!$D$15)),Inputs!$F$15-SQRT((1-F973)*(Inputs!$F$15-Inputs!$D$15)*(Inputs!$F$15-Inputs!$E$15)))</f>
        <v>0.724655371854659</v>
      </c>
      <c r="H973" s="81" t="n">
        <f aca="true">RAND()</f>
        <v>0.256973102586297</v>
      </c>
      <c r="I973" s="82" t="n">
        <f aca="false">ROUND(IF(H973&lt;(Inputs!$E$17-Inputs!$D$17)/(Inputs!$F$17-Inputs!$D$17),Inputs!$D$17+SQRT(H973*(Inputs!$F$17-Inputs!$D$17)*(Inputs!$E$17-Inputs!$D$17)),Inputs!$F$17-SQRT((1-H973)*(Inputs!$F$17-Inputs!$D$17)*(Inputs!$F$17-Inputs!$E$17))),0)</f>
        <v>104</v>
      </c>
      <c r="J973" s="81" t="n">
        <f aca="true">RAND()</f>
        <v>0.311805541962437</v>
      </c>
      <c r="K973" s="83" t="n">
        <f aca="false">IF(J973&lt;(Inputs!$E$18-Inputs!$D$18)/(Inputs!$F$18-Inputs!$D$18),Inputs!$D$18+SQRT(J973*(Inputs!$F$18-Inputs!$D$18)*(Inputs!$E$18-Inputs!$D$18)),Inputs!$F$18-SQRT((1-J973)*(Inputs!$F$18-Inputs!$D$18)*(Inputs!$F$18-Inputs!$E$18)))</f>
        <v>1.00460844538109</v>
      </c>
      <c r="L973" s="81" t="n">
        <f aca="true">RAND()</f>
        <v>0.0966896900332029</v>
      </c>
      <c r="M973" s="83" t="n">
        <f aca="false">IF(L973&lt;(Inputs!$E$24-Inputs!$D$24)/(Inputs!$F$24-Inputs!$D$24),Inputs!$D$24+SQRT(L973*(Inputs!$F$24-Inputs!$D$24)*(Inputs!$E$24-Inputs!$D$24)),Inputs!$F$24-SQRT((1-L973)*(Inputs!$F$24-Inputs!$D$24)*(Inputs!$F$24-Inputs!$E$24)))</f>
        <v>0.707716121374585</v>
      </c>
      <c r="N973" s="81" t="n">
        <f aca="true">RAND()</f>
        <v>0.63648811569031</v>
      </c>
      <c r="O973" s="83" t="n">
        <f aca="false">IF(N973&lt;(Inputs!$E$26-Inputs!$D$26)/(Inputs!$F$26-Inputs!$D$26),Inputs!$D$26+SQRT(N973*(Inputs!$F$26-Inputs!$D$26)*(Inputs!$E$26-Inputs!$D$26)),Inputs!$F$26-SQRT((1-N973)*(Inputs!$F$26-Inputs!$D$26)*(Inputs!$F$26-Inputs!$E$26)))</f>
        <v>0.625564314056787</v>
      </c>
      <c r="P973" s="81" t="n">
        <f aca="true">RAND()</f>
        <v>0.792262941846106</v>
      </c>
      <c r="Q973" s="82" t="n">
        <f aca="false">IF(P973&lt;(Inputs!$E$27-Inputs!$D$27)/(Inputs!$F$27-Inputs!$D$27),Inputs!$D$27+SQRT(P973*(Inputs!$F$27-Inputs!$D$27)*(Inputs!$E$27-Inputs!$D$27)),Inputs!$F$27-SQRT((1-P973)*(Inputs!$F$27-Inputs!$D$27)*(Inputs!$F$27-Inputs!$E$27)))</f>
        <v>110.528137412149</v>
      </c>
      <c r="R973" s="81" t="n">
        <f aca="true">RAND()</f>
        <v>0.0396529170011038</v>
      </c>
      <c r="S973" s="82" t="n">
        <f aca="false">IF(R973&lt;(Inputs!$E$29-Inputs!$D$29)/(Inputs!$F$29-Inputs!$D$29),Inputs!$D$29+SQRT(R973*(Inputs!$F$29-Inputs!$D$29)*(Inputs!$E$29-Inputs!$D$29)),Inputs!$F$29-SQRT((1-R973)*(Inputs!$F$29-Inputs!$D$29)*(Inputs!$F$29-Inputs!$E$29)))</f>
        <v>3.24356896191689</v>
      </c>
      <c r="T973" s="68" t="n">
        <f aca="false">Inputs!$E$9*(1+E973)+Inputs!$E$5*C973*(Inputs!$E$11*Inputs!$E$14*(G973*I973/Inputs!$E$16+(1-G973))*K973+Inputs!$E$23*M973)*(1+O973)+Inputs!$E$5*(Q973+S973)</f>
        <v>6371.02066052826</v>
      </c>
    </row>
    <row r="974" customFormat="false" ht="15" hidden="false" customHeight="false" outlineLevel="0" collapsed="false">
      <c r="A974" s="1" t="n">
        <v>970</v>
      </c>
      <c r="B974" s="81" t="n">
        <f aca="true">RAND()</f>
        <v>0.0590570779257158</v>
      </c>
      <c r="C974" s="82" t="n">
        <f aca="false">ROUND(IF(B974&lt;(Inputs!$E$8-Inputs!$D$8)/(Inputs!$F$8-Inputs!$D$8),Inputs!$D$8+SQRT(B974*(Inputs!$F$8-Inputs!$D$8)*(Inputs!$E$8-Inputs!$D$8)),Inputs!$F$8-SQRT((1-B974)*(Inputs!$F$8-Inputs!$D$8)*(Inputs!$F$8-Inputs!$E$8))),0)</f>
        <v>22</v>
      </c>
      <c r="D974" s="81" t="n">
        <f aca="true">RAND()</f>
        <v>0.876567748226414</v>
      </c>
      <c r="E974" s="83" t="n">
        <f aca="false">IF(D974&lt;(Inputs!$E$10-Inputs!$D$10)/(Inputs!$F$10-Inputs!$D$10),Inputs!$D$10+SQRT(D974*(Inputs!$F$10-Inputs!$D$10)*(Inputs!$E$10-Inputs!$D$10)),Inputs!$F$10-SQRT((1-D974)*(Inputs!$F$10-Inputs!$D$10)*(Inputs!$F$10-Inputs!$E$10)))</f>
        <v>0.139147986449029</v>
      </c>
      <c r="F974" s="81" t="n">
        <f aca="true">RAND()</f>
        <v>0.221772059246806</v>
      </c>
      <c r="G974" s="83" t="n">
        <f aca="false">IF(F974&lt;(Inputs!$E$15-Inputs!$D$15)/(Inputs!$F$15-Inputs!$D$15),Inputs!$D$15+SQRT(F974*(Inputs!$F$15-Inputs!$D$15)*(Inputs!$E$15-Inputs!$D$15)),Inputs!$F$15-SQRT((1-F974)*(Inputs!$F$15-Inputs!$D$15)*(Inputs!$F$15-Inputs!$E$15)))</f>
        <v>0.666599107989042</v>
      </c>
      <c r="H974" s="81" t="n">
        <f aca="true">RAND()</f>
        <v>0.010066569856378</v>
      </c>
      <c r="I974" s="82" t="n">
        <f aca="false">ROUND(IF(H974&lt;(Inputs!$E$17-Inputs!$D$17)/(Inputs!$F$17-Inputs!$D$17),Inputs!$D$17+SQRT(H974*(Inputs!$F$17-Inputs!$D$17)*(Inputs!$E$17-Inputs!$D$17)),Inputs!$F$17-SQRT((1-H974)*(Inputs!$F$17-Inputs!$D$17)*(Inputs!$F$17-Inputs!$E$17))),0)</f>
        <v>101</v>
      </c>
      <c r="J974" s="81" t="n">
        <f aca="true">RAND()</f>
        <v>0.620424925308716</v>
      </c>
      <c r="K974" s="83" t="n">
        <f aca="false">IF(J974&lt;(Inputs!$E$18-Inputs!$D$18)/(Inputs!$F$18-Inputs!$D$18),Inputs!$D$18+SQRT(J974*(Inputs!$F$18-Inputs!$D$18)*(Inputs!$E$18-Inputs!$D$18)),Inputs!$F$18-SQRT((1-J974)*(Inputs!$F$18-Inputs!$D$18)*(Inputs!$F$18-Inputs!$E$18)))</f>
        <v>1.06775615501343</v>
      </c>
      <c r="L974" s="81" t="n">
        <f aca="true">RAND()</f>
        <v>0.912596130526548</v>
      </c>
      <c r="M974" s="83" t="n">
        <f aca="false">IF(L974&lt;(Inputs!$E$24-Inputs!$D$24)/(Inputs!$F$24-Inputs!$D$24),Inputs!$D$24+SQRT(L974*(Inputs!$F$24-Inputs!$D$24)*(Inputs!$E$24-Inputs!$D$24)),Inputs!$F$24-SQRT((1-L974)*(Inputs!$F$24-Inputs!$D$24)*(Inputs!$F$24-Inputs!$E$24)))</f>
        <v>1.05516585805264</v>
      </c>
      <c r="N974" s="81" t="n">
        <f aca="true">RAND()</f>
        <v>0.801245665070838</v>
      </c>
      <c r="O974" s="83" t="n">
        <f aca="false">IF(N974&lt;(Inputs!$E$26-Inputs!$D$26)/(Inputs!$F$26-Inputs!$D$26),Inputs!$D$26+SQRT(N974*(Inputs!$F$26-Inputs!$D$26)*(Inputs!$E$26-Inputs!$D$26)),Inputs!$F$26-SQRT((1-N974)*(Inputs!$F$26-Inputs!$D$26)*(Inputs!$F$26-Inputs!$E$26)))</f>
        <v>0.676227781429677</v>
      </c>
      <c r="P974" s="81" t="n">
        <f aca="true">RAND()</f>
        <v>0.640756091513241</v>
      </c>
      <c r="Q974" s="82" t="n">
        <f aca="false">IF(P974&lt;(Inputs!$E$27-Inputs!$D$27)/(Inputs!$F$27-Inputs!$D$27),Inputs!$D$27+SQRT(P974*(Inputs!$F$27-Inputs!$D$27)*(Inputs!$E$27-Inputs!$D$27)),Inputs!$F$27-SQRT((1-P974)*(Inputs!$F$27-Inputs!$D$27)*(Inputs!$F$27-Inputs!$E$27)))</f>
        <v>98.0930706586231</v>
      </c>
      <c r="R974" s="81" t="n">
        <f aca="true">RAND()</f>
        <v>0.109635561484233</v>
      </c>
      <c r="S974" s="82" t="n">
        <f aca="false">IF(R974&lt;(Inputs!$E$29-Inputs!$D$29)/(Inputs!$F$29-Inputs!$D$29),Inputs!$D$29+SQRT(R974*(Inputs!$F$29-Inputs!$D$29)*(Inputs!$E$29-Inputs!$D$29)),Inputs!$F$29-SQRT((1-R974)*(Inputs!$F$29-Inputs!$D$29)*(Inputs!$F$29-Inputs!$E$29)))</f>
        <v>4.06779759596656</v>
      </c>
      <c r="T974" s="68" t="n">
        <f aca="false">Inputs!$E$9*(1+E974)+Inputs!$E$5*C974*(Inputs!$E$11*Inputs!$E$14*(G974*I974/Inputs!$E$16+(1-G974))*K974+Inputs!$E$23*M974)*(1+O974)+Inputs!$E$5*(Q974+S974)</f>
        <v>6518.76670687062</v>
      </c>
    </row>
    <row r="975" customFormat="false" ht="15" hidden="false" customHeight="false" outlineLevel="0" collapsed="false">
      <c r="A975" s="1" t="n">
        <v>971</v>
      </c>
      <c r="B975" s="81" t="n">
        <f aca="true">RAND()</f>
        <v>0.428738321413333</v>
      </c>
      <c r="C975" s="82" t="n">
        <f aca="false">ROUND(IF(B975&lt;(Inputs!$E$8-Inputs!$D$8)/(Inputs!$F$8-Inputs!$D$8),Inputs!$D$8+SQRT(B975*(Inputs!$F$8-Inputs!$D$8)*(Inputs!$E$8-Inputs!$D$8)),Inputs!$F$8-SQRT((1-B975)*(Inputs!$F$8-Inputs!$D$8)*(Inputs!$F$8-Inputs!$E$8))),0)</f>
        <v>25</v>
      </c>
      <c r="D975" s="81" t="n">
        <f aca="true">RAND()</f>
        <v>0.430287856031121</v>
      </c>
      <c r="E975" s="83" t="n">
        <f aca="false">IF(D975&lt;(Inputs!$E$10-Inputs!$D$10)/(Inputs!$F$10-Inputs!$D$10),Inputs!$D$10+SQRT(D975*(Inputs!$F$10-Inputs!$D$10)*(Inputs!$E$10-Inputs!$D$10)),Inputs!$F$10-SQRT((1-D975)*(Inputs!$F$10-Inputs!$D$10)*(Inputs!$F$10-Inputs!$E$10)))</f>
        <v>0.0692660552149275</v>
      </c>
      <c r="F975" s="81" t="n">
        <f aca="true">RAND()</f>
        <v>0.179074625439412</v>
      </c>
      <c r="G975" s="83" t="n">
        <f aca="false">IF(F975&lt;(Inputs!$E$15-Inputs!$D$15)/(Inputs!$F$15-Inputs!$D$15),Inputs!$D$15+SQRT(F975*(Inputs!$F$15-Inputs!$D$15)*(Inputs!$E$15-Inputs!$D$15)),Inputs!$F$15-SQRT((1-F975)*(Inputs!$F$15-Inputs!$D$15)*(Inputs!$F$15-Inputs!$E$15)))</f>
        <v>0.659845572173622</v>
      </c>
      <c r="H975" s="81" t="n">
        <f aca="true">RAND()</f>
        <v>0.57790679014502</v>
      </c>
      <c r="I975" s="82" t="n">
        <f aca="false">ROUND(IF(H975&lt;(Inputs!$E$17-Inputs!$D$17)/(Inputs!$F$17-Inputs!$D$17),Inputs!$D$17+SQRT(H975*(Inputs!$F$17-Inputs!$D$17)*(Inputs!$E$17-Inputs!$D$17)),Inputs!$F$17-SQRT((1-H975)*(Inputs!$F$17-Inputs!$D$17)*(Inputs!$F$17-Inputs!$E$17))),0)</f>
        <v>107</v>
      </c>
      <c r="J975" s="81" t="n">
        <f aca="true">RAND()</f>
        <v>0.104069732369553</v>
      </c>
      <c r="K975" s="83" t="n">
        <f aca="false">IF(J975&lt;(Inputs!$E$18-Inputs!$D$18)/(Inputs!$F$18-Inputs!$D$18),Inputs!$D$18+SQRT(J975*(Inputs!$F$18-Inputs!$D$18)*(Inputs!$E$18-Inputs!$D$18)),Inputs!$F$18-SQRT((1-J975)*(Inputs!$F$18-Inputs!$D$18)*(Inputs!$F$18-Inputs!$E$18)))</f>
        <v>0.960352635675125</v>
      </c>
      <c r="L975" s="81" t="n">
        <f aca="true">RAND()</f>
        <v>0.973878220843767</v>
      </c>
      <c r="M975" s="83" t="n">
        <f aca="false">IF(L975&lt;(Inputs!$E$24-Inputs!$D$24)/(Inputs!$F$24-Inputs!$D$24),Inputs!$D$24+SQRT(L975*(Inputs!$F$24-Inputs!$D$24)*(Inputs!$E$24-Inputs!$D$24)),Inputs!$F$24-SQRT((1-L975)*(Inputs!$F$24-Inputs!$D$24)*(Inputs!$F$24-Inputs!$E$24)))</f>
        <v>1.12082154966472</v>
      </c>
      <c r="N975" s="81" t="n">
        <f aca="true">RAND()</f>
        <v>0.779378780031383</v>
      </c>
      <c r="O975" s="83" t="n">
        <f aca="false">IF(N975&lt;(Inputs!$E$26-Inputs!$D$26)/(Inputs!$F$26-Inputs!$D$26),Inputs!$D$26+SQRT(N975*(Inputs!$F$26-Inputs!$D$26)*(Inputs!$E$26-Inputs!$D$26)),Inputs!$F$26-SQRT((1-N975)*(Inputs!$F$26-Inputs!$D$26)*(Inputs!$F$26-Inputs!$E$26)))</f>
        <v>0.668525226929577</v>
      </c>
      <c r="P975" s="81" t="n">
        <f aca="true">RAND()</f>
        <v>0.968133592226748</v>
      </c>
      <c r="Q975" s="82" t="n">
        <f aca="false">IF(P975&lt;(Inputs!$E$27-Inputs!$D$27)/(Inputs!$F$27-Inputs!$D$27),Inputs!$D$27+SQRT(P975*(Inputs!$F$27-Inputs!$D$27)*(Inputs!$E$27-Inputs!$D$27)),Inputs!$F$27-SQRT((1-P975)*(Inputs!$F$27-Inputs!$D$27)*(Inputs!$F$27-Inputs!$E$27)))</f>
        <v>134.540437965473</v>
      </c>
      <c r="R975" s="81" t="n">
        <f aca="true">RAND()</f>
        <v>0.782595800404277</v>
      </c>
      <c r="S975" s="82" t="n">
        <f aca="false">IF(R975&lt;(Inputs!$E$29-Inputs!$D$29)/(Inputs!$F$29-Inputs!$D$29),Inputs!$D$29+SQRT(R975*(Inputs!$F$29-Inputs!$D$29)*(Inputs!$E$29-Inputs!$D$29)),Inputs!$F$29-SQRT((1-R975)*(Inputs!$F$29-Inputs!$D$29)*(Inputs!$F$29-Inputs!$E$29)))</f>
        <v>9.68374700118176</v>
      </c>
      <c r="T975" s="68" t="n">
        <f aca="false">Inputs!$E$9*(1+E975)+Inputs!$E$5*C975*(Inputs!$E$11*Inputs!$E$14*(G975*I975/Inputs!$E$16+(1-G975))*K975+Inputs!$E$23*M975)*(1+O975)+Inputs!$E$5*(Q975+S975)</f>
        <v>6967.10479446492</v>
      </c>
    </row>
    <row r="976" customFormat="false" ht="15" hidden="false" customHeight="false" outlineLevel="0" collapsed="false">
      <c r="A976" s="1" t="n">
        <v>972</v>
      </c>
      <c r="B976" s="81" t="n">
        <f aca="true">RAND()</f>
        <v>0.0608584311331619</v>
      </c>
      <c r="C976" s="82" t="n">
        <f aca="false">ROUND(IF(B976&lt;(Inputs!$E$8-Inputs!$D$8)/(Inputs!$F$8-Inputs!$D$8),Inputs!$D$8+SQRT(B976*(Inputs!$F$8-Inputs!$D$8)*(Inputs!$E$8-Inputs!$D$8)),Inputs!$F$8-SQRT((1-B976)*(Inputs!$F$8-Inputs!$D$8)*(Inputs!$F$8-Inputs!$E$8))),0)</f>
        <v>22</v>
      </c>
      <c r="D976" s="81" t="n">
        <f aca="true">RAND()</f>
        <v>0.654987064512697</v>
      </c>
      <c r="E976" s="83" t="n">
        <f aca="false">IF(D976&lt;(Inputs!$E$10-Inputs!$D$10)/(Inputs!$F$10-Inputs!$D$10),Inputs!$D$10+SQRT(D976*(Inputs!$F$10-Inputs!$D$10)*(Inputs!$E$10-Inputs!$D$10)),Inputs!$F$10-SQRT((1-D976)*(Inputs!$F$10-Inputs!$D$10)*(Inputs!$F$10-Inputs!$E$10)))</f>
        <v>0.0982631430374464</v>
      </c>
      <c r="F976" s="81" t="n">
        <f aca="true">RAND()</f>
        <v>0.694208149858854</v>
      </c>
      <c r="G976" s="83" t="n">
        <f aca="false">IF(F976&lt;(Inputs!$E$15-Inputs!$D$15)/(Inputs!$F$15-Inputs!$D$15),Inputs!$D$15+SQRT(F976*(Inputs!$F$15-Inputs!$D$15)*(Inputs!$E$15-Inputs!$D$15)),Inputs!$F$15-SQRT((1-F976)*(Inputs!$F$15-Inputs!$D$15)*(Inputs!$F$15-Inputs!$E$15)))</f>
        <v>0.721796182939559</v>
      </c>
      <c r="H976" s="81" t="n">
        <f aca="true">RAND()</f>
        <v>0.433116012114622</v>
      </c>
      <c r="I976" s="82" t="n">
        <f aca="false">ROUND(IF(H976&lt;(Inputs!$E$17-Inputs!$D$17)/(Inputs!$F$17-Inputs!$D$17),Inputs!$D$17+SQRT(H976*(Inputs!$F$17-Inputs!$D$17)*(Inputs!$E$17-Inputs!$D$17)),Inputs!$F$17-SQRT((1-H976)*(Inputs!$F$17-Inputs!$D$17)*(Inputs!$F$17-Inputs!$E$17))),0)</f>
        <v>106</v>
      </c>
      <c r="J976" s="81" t="n">
        <f aca="true">RAND()</f>
        <v>0.553700874897165</v>
      </c>
      <c r="K976" s="83" t="n">
        <f aca="false">IF(J976&lt;(Inputs!$E$18-Inputs!$D$18)/(Inputs!$F$18-Inputs!$D$18),Inputs!$D$18+SQRT(J976*(Inputs!$F$18-Inputs!$D$18)*(Inputs!$E$18-Inputs!$D$18)),Inputs!$F$18-SQRT((1-J976)*(Inputs!$F$18-Inputs!$D$18)*(Inputs!$F$18-Inputs!$E$18)))</f>
        <v>1.0523863024826</v>
      </c>
      <c r="L976" s="81" t="n">
        <f aca="true">RAND()</f>
        <v>0.586056993664453</v>
      </c>
      <c r="M976" s="83" t="n">
        <f aca="false">IF(L976&lt;(Inputs!$E$24-Inputs!$D$24)/(Inputs!$F$24-Inputs!$D$24),Inputs!$D$24+SQRT(L976*(Inputs!$F$24-Inputs!$D$24)*(Inputs!$E$24-Inputs!$D$24)),Inputs!$F$24-SQRT((1-L976)*(Inputs!$F$24-Inputs!$D$24)*(Inputs!$F$24-Inputs!$E$24)))</f>
        <v>0.884807484986506</v>
      </c>
      <c r="N976" s="81" t="n">
        <f aca="true">RAND()</f>
        <v>0.000296154456498022</v>
      </c>
      <c r="O976" s="83" t="n">
        <f aca="false">IF(N976&lt;(Inputs!$E$26-Inputs!$D$26)/(Inputs!$F$26-Inputs!$D$26),Inputs!$D$26+SQRT(N976*(Inputs!$F$26-Inputs!$D$26)*(Inputs!$E$26-Inputs!$D$26)),Inputs!$F$26-SQRT((1-N976)*(Inputs!$F$26-Inputs!$D$26)*(Inputs!$F$26-Inputs!$E$26)))</f>
        <v>0.307019978743648</v>
      </c>
      <c r="P976" s="81" t="n">
        <f aca="true">RAND()</f>
        <v>0.53378393534774</v>
      </c>
      <c r="Q976" s="82" t="n">
        <f aca="false">IF(P976&lt;(Inputs!$E$27-Inputs!$D$27)/(Inputs!$F$27-Inputs!$D$27),Inputs!$D$27+SQRT(P976*(Inputs!$F$27-Inputs!$D$27)*(Inputs!$E$27-Inputs!$D$27)),Inputs!$F$27-SQRT((1-P976)*(Inputs!$F$27-Inputs!$D$27)*(Inputs!$F$27-Inputs!$E$27)))</f>
        <v>90.867771182781</v>
      </c>
      <c r="R976" s="81" t="n">
        <f aca="true">RAND()</f>
        <v>0.884630126739607</v>
      </c>
      <c r="S976" s="82" t="n">
        <f aca="false">IF(R976&lt;(Inputs!$E$29-Inputs!$D$29)/(Inputs!$F$29-Inputs!$D$29),Inputs!$D$29+SQRT(R976*(Inputs!$F$29-Inputs!$D$29)*(Inputs!$E$29-Inputs!$D$29)),Inputs!$F$29-SQRT((1-R976)*(Inputs!$F$29-Inputs!$D$29)*(Inputs!$F$29-Inputs!$E$29)))</f>
        <v>11.1272640777028</v>
      </c>
      <c r="T976" s="68" t="n">
        <f aca="false">Inputs!$E$9*(1+E976)+Inputs!$E$5*C976*(Inputs!$E$11*Inputs!$E$14*(G976*I976/Inputs!$E$16+(1-G976))*K976+Inputs!$E$23*M976)*(1+O976)+Inputs!$E$5*(Q976+S976)</f>
        <v>5445.35284467118</v>
      </c>
    </row>
    <row r="977" customFormat="false" ht="15" hidden="false" customHeight="false" outlineLevel="0" collapsed="false">
      <c r="A977" s="1" t="n">
        <v>973</v>
      </c>
      <c r="B977" s="81" t="n">
        <f aca="true">RAND()</f>
        <v>0.282558796360079</v>
      </c>
      <c r="C977" s="82" t="n">
        <f aca="false">ROUND(IF(B977&lt;(Inputs!$E$8-Inputs!$D$8)/(Inputs!$F$8-Inputs!$D$8),Inputs!$D$8+SQRT(B977*(Inputs!$F$8-Inputs!$D$8)*(Inputs!$E$8-Inputs!$D$8)),Inputs!$F$8-SQRT((1-B977)*(Inputs!$F$8-Inputs!$D$8)*(Inputs!$F$8-Inputs!$E$8))),0)</f>
        <v>24</v>
      </c>
      <c r="D977" s="81" t="n">
        <f aca="true">RAND()</f>
        <v>0.257906315750545</v>
      </c>
      <c r="E977" s="83" t="n">
        <f aca="false">IF(D977&lt;(Inputs!$E$10-Inputs!$D$10)/(Inputs!$F$10-Inputs!$D$10),Inputs!$D$10+SQRT(D977*(Inputs!$F$10-Inputs!$D$10)*(Inputs!$E$10-Inputs!$D$10)),Inputs!$F$10-SQRT((1-D977)*(Inputs!$F$10-Inputs!$D$10)*(Inputs!$F$10-Inputs!$E$10)))</f>
        <v>0.0507927262916326</v>
      </c>
      <c r="F977" s="81" t="n">
        <f aca="true">RAND()</f>
        <v>0.195415488347626</v>
      </c>
      <c r="G977" s="83" t="n">
        <f aca="false">IF(F977&lt;(Inputs!$E$15-Inputs!$D$15)/(Inputs!$F$15-Inputs!$D$15),Inputs!$D$15+SQRT(F977*(Inputs!$F$15-Inputs!$D$15)*(Inputs!$E$15-Inputs!$D$15)),Inputs!$F$15-SQRT((1-F977)*(Inputs!$F$15-Inputs!$D$15)*(Inputs!$F$15-Inputs!$E$15)))</f>
        <v>0.662516475963961</v>
      </c>
      <c r="H977" s="81" t="n">
        <f aca="true">RAND()</f>
        <v>0.586073191225027</v>
      </c>
      <c r="I977" s="82" t="n">
        <f aca="false">ROUND(IF(H977&lt;(Inputs!$E$17-Inputs!$D$17)/(Inputs!$F$17-Inputs!$D$17),Inputs!$D$17+SQRT(H977*(Inputs!$F$17-Inputs!$D$17)*(Inputs!$E$17-Inputs!$D$17)),Inputs!$F$17-SQRT((1-H977)*(Inputs!$F$17-Inputs!$D$17)*(Inputs!$F$17-Inputs!$E$17))),0)</f>
        <v>107</v>
      </c>
      <c r="J977" s="81" t="n">
        <f aca="true">RAND()</f>
        <v>0.745979595031527</v>
      </c>
      <c r="K977" s="83" t="n">
        <f aca="false">IF(J977&lt;(Inputs!$E$18-Inputs!$D$18)/(Inputs!$F$18-Inputs!$D$18),Inputs!$D$18+SQRT(J977*(Inputs!$F$18-Inputs!$D$18)*(Inputs!$E$18-Inputs!$D$18)),Inputs!$F$18-SQRT((1-J977)*(Inputs!$F$18-Inputs!$D$18)*(Inputs!$F$18-Inputs!$E$18)))</f>
        <v>1.10091349680557</v>
      </c>
      <c r="L977" s="81" t="n">
        <f aca="true">RAND()</f>
        <v>0.862474964931335</v>
      </c>
      <c r="M977" s="83" t="n">
        <f aca="false">IF(L977&lt;(Inputs!$E$24-Inputs!$D$24)/(Inputs!$F$24-Inputs!$D$24),Inputs!$D$24+SQRT(L977*(Inputs!$F$24-Inputs!$D$24)*(Inputs!$E$24-Inputs!$D$24)),Inputs!$F$24-SQRT((1-L977)*(Inputs!$F$24-Inputs!$D$24)*(Inputs!$F$24-Inputs!$E$24)))</f>
        <v>1.01832444188477</v>
      </c>
      <c r="N977" s="81" t="n">
        <f aca="true">RAND()</f>
        <v>0.189624758325177</v>
      </c>
      <c r="O977" s="83" t="n">
        <f aca="false">IF(N977&lt;(Inputs!$E$26-Inputs!$D$26)/(Inputs!$F$26-Inputs!$D$26),Inputs!$D$26+SQRT(N977*(Inputs!$F$26-Inputs!$D$26)*(Inputs!$E$26-Inputs!$D$26)),Inputs!$F$26-SQRT((1-N977)*(Inputs!$F$26-Inputs!$D$26)*(Inputs!$F$26-Inputs!$E$26)))</f>
        <v>0.477633217009966</v>
      </c>
      <c r="P977" s="81" t="n">
        <f aca="true">RAND()</f>
        <v>0.0109754356565372</v>
      </c>
      <c r="Q977" s="82" t="n">
        <f aca="false">IF(P977&lt;(Inputs!$E$27-Inputs!$D$27)/(Inputs!$F$27-Inputs!$D$27),Inputs!$D$27+SQRT(P977*(Inputs!$F$27-Inputs!$D$27)*(Inputs!$E$27-Inputs!$D$27)),Inputs!$F$27-SQRT((1-P977)*(Inputs!$F$27-Inputs!$D$27)*(Inputs!$F$27-Inputs!$E$27)))</f>
        <v>55.2381856726679</v>
      </c>
      <c r="R977" s="81" t="n">
        <f aca="true">RAND()</f>
        <v>0.546649068159737</v>
      </c>
      <c r="S977" s="82" t="n">
        <f aca="false">IF(R977&lt;(Inputs!$E$29-Inputs!$D$29)/(Inputs!$F$29-Inputs!$D$29),Inputs!$D$29+SQRT(R977*(Inputs!$F$29-Inputs!$D$29)*(Inputs!$E$29-Inputs!$D$29)),Inputs!$F$29-SQRT((1-R977)*(Inputs!$F$29-Inputs!$D$29)*(Inputs!$F$29-Inputs!$E$29)))</f>
        <v>7.32304610283257</v>
      </c>
      <c r="T977" s="68" t="n">
        <f aca="false">Inputs!$E$9*(1+E977)+Inputs!$E$5*C977*(Inputs!$E$11*Inputs!$E$14*(G977*I977/Inputs!$E$16+(1-G977))*K977+Inputs!$E$23*M977)*(1+O977)+Inputs!$E$5*(Q977+S977)</f>
        <v>6078.87846818981</v>
      </c>
    </row>
    <row r="978" customFormat="false" ht="15" hidden="false" customHeight="false" outlineLevel="0" collapsed="false">
      <c r="A978" s="1" t="n">
        <v>974</v>
      </c>
      <c r="B978" s="81" t="n">
        <f aca="true">RAND()</f>
        <v>0.753180433204574</v>
      </c>
      <c r="C978" s="82" t="n">
        <f aca="false">ROUND(IF(B978&lt;(Inputs!$E$8-Inputs!$D$8)/(Inputs!$F$8-Inputs!$D$8),Inputs!$D$8+SQRT(B978*(Inputs!$F$8-Inputs!$D$8)*(Inputs!$E$8-Inputs!$D$8)),Inputs!$F$8-SQRT((1-B978)*(Inputs!$F$8-Inputs!$D$8)*(Inputs!$F$8-Inputs!$E$8))),0)</f>
        <v>26</v>
      </c>
      <c r="D978" s="81" t="n">
        <f aca="true">RAND()</f>
        <v>0.842315741504104</v>
      </c>
      <c r="E978" s="83" t="n">
        <f aca="false">IF(D978&lt;(Inputs!$E$10-Inputs!$D$10)/(Inputs!$F$10-Inputs!$D$10),Inputs!$D$10+SQRT(D978*(Inputs!$F$10-Inputs!$D$10)*(Inputs!$E$10-Inputs!$D$10)),Inputs!$F$10-SQRT((1-D978)*(Inputs!$F$10-Inputs!$D$10)*(Inputs!$F$10-Inputs!$E$10)))</f>
        <v>0.131221167828489</v>
      </c>
      <c r="F978" s="81" t="n">
        <f aca="true">RAND()</f>
        <v>0.501165582016571</v>
      </c>
      <c r="G978" s="83" t="n">
        <f aca="false">IF(F978&lt;(Inputs!$E$15-Inputs!$D$15)/(Inputs!$F$15-Inputs!$D$15),Inputs!$D$15+SQRT(F978*(Inputs!$F$15-Inputs!$D$15)*(Inputs!$E$15-Inputs!$D$15)),Inputs!$F$15-SQRT((1-F978)*(Inputs!$F$15-Inputs!$D$15)*(Inputs!$F$15-Inputs!$E$15)))</f>
        <v>0.700116626210022</v>
      </c>
      <c r="H978" s="81" t="n">
        <f aca="true">RAND()</f>
        <v>0.794919877551849</v>
      </c>
      <c r="I978" s="82" t="n">
        <f aca="false">ROUND(IF(H978&lt;(Inputs!$E$17-Inputs!$D$17)/(Inputs!$F$17-Inputs!$D$17),Inputs!$D$17+SQRT(H978*(Inputs!$F$17-Inputs!$D$17)*(Inputs!$E$17-Inputs!$D$17)),Inputs!$F$17-SQRT((1-H978)*(Inputs!$F$17-Inputs!$D$17)*(Inputs!$F$17-Inputs!$E$17))),0)</f>
        <v>109</v>
      </c>
      <c r="J978" s="81" t="n">
        <f aca="true">RAND()</f>
        <v>0.715399660113171</v>
      </c>
      <c r="K978" s="83" t="n">
        <f aca="false">IF(J978&lt;(Inputs!$E$18-Inputs!$D$18)/(Inputs!$F$18-Inputs!$D$18),Inputs!$D$18+SQRT(J978*(Inputs!$F$18-Inputs!$D$18)*(Inputs!$E$18-Inputs!$D$18)),Inputs!$F$18-SQRT((1-J978)*(Inputs!$F$18-Inputs!$D$18)*(Inputs!$F$18-Inputs!$E$18)))</f>
        <v>1.09219464603475</v>
      </c>
      <c r="L978" s="81" t="n">
        <f aca="true">RAND()</f>
        <v>0.574411411531162</v>
      </c>
      <c r="M978" s="83" t="n">
        <f aca="false">IF(L978&lt;(Inputs!$E$24-Inputs!$D$24)/(Inputs!$F$24-Inputs!$D$24),Inputs!$D$24+SQRT(L978*(Inputs!$F$24-Inputs!$D$24)*(Inputs!$E$24-Inputs!$D$24)),Inputs!$F$24-SQRT((1-L978)*(Inputs!$F$24-Inputs!$D$24)*(Inputs!$F$24-Inputs!$E$24)))</f>
        <v>0.880404535025102</v>
      </c>
      <c r="N978" s="81" t="n">
        <f aca="true">RAND()</f>
        <v>0.36123083874256</v>
      </c>
      <c r="O978" s="83" t="n">
        <f aca="false">IF(N978&lt;(Inputs!$E$26-Inputs!$D$26)/(Inputs!$F$26-Inputs!$D$26),Inputs!$D$26+SQRT(N978*(Inputs!$F$26-Inputs!$D$26)*(Inputs!$E$26-Inputs!$D$26)),Inputs!$F$26-SQRT((1-N978)*(Inputs!$F$26-Inputs!$D$26)*(Inputs!$F$26-Inputs!$E$26)))</f>
        <v>0.545170984349213</v>
      </c>
      <c r="P978" s="81" t="n">
        <f aca="true">RAND()</f>
        <v>0.678365644360862</v>
      </c>
      <c r="Q978" s="82" t="n">
        <f aca="false">IF(P978&lt;(Inputs!$E$27-Inputs!$D$27)/(Inputs!$F$27-Inputs!$D$27),Inputs!$D$27+SQRT(P978*(Inputs!$F$27-Inputs!$D$27)*(Inputs!$E$27-Inputs!$D$27)),Inputs!$F$27-SQRT((1-P978)*(Inputs!$F$27-Inputs!$D$27)*(Inputs!$F$27-Inputs!$E$27)))</f>
        <v>100.88526018298</v>
      </c>
      <c r="R978" s="81" t="n">
        <f aca="true">RAND()</f>
        <v>0.834040019701425</v>
      </c>
      <c r="S978" s="82" t="n">
        <f aca="false">IF(R978&lt;(Inputs!$E$29-Inputs!$D$29)/(Inputs!$F$29-Inputs!$D$29),Inputs!$D$29+SQRT(R978*(Inputs!$F$29-Inputs!$D$29)*(Inputs!$E$29-Inputs!$D$29)),Inputs!$F$29-SQRT((1-R978)*(Inputs!$F$29-Inputs!$D$29)*(Inputs!$F$29-Inputs!$E$29)))</f>
        <v>10.3551321397897</v>
      </c>
      <c r="T978" s="68" t="n">
        <f aca="false">Inputs!$E$9*(1+E978)+Inputs!$E$5*C978*(Inputs!$E$11*Inputs!$E$14*(G978*I978/Inputs!$E$16+(1-G978))*K978+Inputs!$E$23*M978)*(1+O978)+Inputs!$E$5*(Q978+S978)</f>
        <v>6713.14660157718</v>
      </c>
    </row>
    <row r="979" customFormat="false" ht="15" hidden="false" customHeight="false" outlineLevel="0" collapsed="false">
      <c r="A979" s="1" t="n">
        <v>975</v>
      </c>
      <c r="B979" s="81" t="n">
        <f aca="true">RAND()</f>
        <v>0.365360817075793</v>
      </c>
      <c r="C979" s="82" t="n">
        <f aca="false">ROUND(IF(B979&lt;(Inputs!$E$8-Inputs!$D$8)/(Inputs!$F$8-Inputs!$D$8),Inputs!$D$8+SQRT(B979*(Inputs!$F$8-Inputs!$D$8)*(Inputs!$E$8-Inputs!$D$8)),Inputs!$F$8-SQRT((1-B979)*(Inputs!$F$8-Inputs!$D$8)*(Inputs!$F$8-Inputs!$E$8))),0)</f>
        <v>24</v>
      </c>
      <c r="D979" s="81" t="n">
        <f aca="true">RAND()</f>
        <v>0.603698037333469</v>
      </c>
      <c r="E979" s="83" t="n">
        <f aca="false">IF(D979&lt;(Inputs!$E$10-Inputs!$D$10)/(Inputs!$F$10-Inputs!$D$10),Inputs!$D$10+SQRT(D979*(Inputs!$F$10-Inputs!$D$10)*(Inputs!$E$10-Inputs!$D$10)),Inputs!$F$10-SQRT((1-D979)*(Inputs!$F$10-Inputs!$D$10)*(Inputs!$F$10-Inputs!$E$10)))</f>
        <v>0.0909630389271788</v>
      </c>
      <c r="F979" s="81" t="n">
        <f aca="true">RAND()</f>
        <v>0.656971284381491</v>
      </c>
      <c r="G979" s="83" t="n">
        <f aca="false">IF(F979&lt;(Inputs!$E$15-Inputs!$D$15)/(Inputs!$F$15-Inputs!$D$15),Inputs!$D$15+SQRT(F979*(Inputs!$F$15-Inputs!$D$15)*(Inputs!$E$15-Inputs!$D$15)),Inputs!$F$15-SQRT((1-F979)*(Inputs!$F$15-Inputs!$D$15)*(Inputs!$F$15-Inputs!$E$15)))</f>
        <v>0.717171416091001</v>
      </c>
      <c r="H979" s="81" t="n">
        <f aca="true">RAND()</f>
        <v>0.0181621259739512</v>
      </c>
      <c r="I979" s="82" t="n">
        <f aca="false">ROUND(IF(H979&lt;(Inputs!$E$17-Inputs!$D$17)/(Inputs!$F$17-Inputs!$D$17),Inputs!$D$17+SQRT(H979*(Inputs!$F$17-Inputs!$D$17)*(Inputs!$E$17-Inputs!$D$17)),Inputs!$F$17-SQRT((1-H979)*(Inputs!$F$17-Inputs!$D$17)*(Inputs!$F$17-Inputs!$E$17))),0)</f>
        <v>101</v>
      </c>
      <c r="J979" s="81" t="n">
        <f aca="true">RAND()</f>
        <v>0.185292315890331</v>
      </c>
      <c r="K979" s="83" t="n">
        <f aca="false">IF(J979&lt;(Inputs!$E$18-Inputs!$D$18)/(Inputs!$F$18-Inputs!$D$18),Inputs!$D$18+SQRT(J979*(Inputs!$F$18-Inputs!$D$18)*(Inputs!$E$18-Inputs!$D$18)),Inputs!$F$18-SQRT((1-J979)*(Inputs!$F$18-Inputs!$D$18)*(Inputs!$F$18-Inputs!$E$18)))</f>
        <v>0.980530932294129</v>
      </c>
      <c r="L979" s="81" t="n">
        <f aca="true">RAND()</f>
        <v>0.608497004777078</v>
      </c>
      <c r="M979" s="83" t="n">
        <f aca="false">IF(L979&lt;(Inputs!$E$24-Inputs!$D$24)/(Inputs!$F$24-Inputs!$D$24),Inputs!$D$24+SQRT(L979*(Inputs!$F$24-Inputs!$D$24)*(Inputs!$E$24-Inputs!$D$24)),Inputs!$F$24-SQRT((1-L979)*(Inputs!$F$24-Inputs!$D$24)*(Inputs!$F$24-Inputs!$E$24)))</f>
        <v>0.89346987284526</v>
      </c>
      <c r="N979" s="81" t="n">
        <f aca="true">RAND()</f>
        <v>0.150158161248164</v>
      </c>
      <c r="O979" s="83" t="n">
        <f aca="false">IF(N979&lt;(Inputs!$E$26-Inputs!$D$26)/(Inputs!$F$26-Inputs!$D$26),Inputs!$D$26+SQRT(N979*(Inputs!$F$26-Inputs!$D$26)*(Inputs!$E$26-Inputs!$D$26)),Inputs!$F$26-SQRT((1-N979)*(Inputs!$F$26-Inputs!$D$26)*(Inputs!$F$26-Inputs!$E$26)))</f>
        <v>0.458070610904414</v>
      </c>
      <c r="P979" s="81" t="n">
        <f aca="true">RAND()</f>
        <v>0.635876746010928</v>
      </c>
      <c r="Q979" s="82" t="n">
        <f aca="false">IF(P979&lt;(Inputs!$E$27-Inputs!$D$27)/(Inputs!$F$27-Inputs!$D$27),Inputs!$D$27+SQRT(P979*(Inputs!$F$27-Inputs!$D$27)*(Inputs!$E$27-Inputs!$D$27)),Inputs!$F$27-SQRT((1-P979)*(Inputs!$F$27-Inputs!$D$27)*(Inputs!$F$27-Inputs!$E$27)))</f>
        <v>97.741752756928</v>
      </c>
      <c r="R979" s="81" t="n">
        <f aca="true">RAND()</f>
        <v>0.558988373298675</v>
      </c>
      <c r="S979" s="82" t="n">
        <f aca="false">IF(R979&lt;(Inputs!$E$29-Inputs!$D$29)/(Inputs!$F$29-Inputs!$D$29),Inputs!$D$29+SQRT(R979*(Inputs!$F$29-Inputs!$D$29)*(Inputs!$E$29-Inputs!$D$29)),Inputs!$F$29-SQRT((1-R979)*(Inputs!$F$29-Inputs!$D$29)*(Inputs!$F$29-Inputs!$E$29)))</f>
        <v>7.42824251106969</v>
      </c>
      <c r="T979" s="68" t="n">
        <f aca="false">Inputs!$E$9*(1+E979)+Inputs!$E$5*C979*(Inputs!$E$11*Inputs!$E$14*(G979*I979/Inputs!$E$16+(1-G979))*K979+Inputs!$E$23*M979)*(1+O979)+Inputs!$E$5*(Q979+S979)</f>
        <v>5822.64021336166</v>
      </c>
    </row>
    <row r="980" customFormat="false" ht="15" hidden="false" customHeight="false" outlineLevel="0" collapsed="false">
      <c r="A980" s="1" t="n">
        <v>976</v>
      </c>
      <c r="B980" s="81" t="n">
        <f aca="true">RAND()</f>
        <v>0.361813693333445</v>
      </c>
      <c r="C980" s="82" t="n">
        <f aca="false">ROUND(IF(B980&lt;(Inputs!$E$8-Inputs!$D$8)/(Inputs!$F$8-Inputs!$D$8),Inputs!$D$8+SQRT(B980*(Inputs!$F$8-Inputs!$D$8)*(Inputs!$E$8-Inputs!$D$8)),Inputs!$F$8-SQRT((1-B980)*(Inputs!$F$8-Inputs!$D$8)*(Inputs!$F$8-Inputs!$E$8))),0)</f>
        <v>24</v>
      </c>
      <c r="D980" s="81" t="n">
        <f aca="true">RAND()</f>
        <v>0.867011729805721</v>
      </c>
      <c r="E980" s="83" t="n">
        <f aca="false">IF(D980&lt;(Inputs!$E$10-Inputs!$D$10)/(Inputs!$F$10-Inputs!$D$10),Inputs!$D$10+SQRT(D980*(Inputs!$F$10-Inputs!$D$10)*(Inputs!$E$10-Inputs!$D$10)),Inputs!$F$10-SQRT((1-D980)*(Inputs!$F$10-Inputs!$D$10)*(Inputs!$F$10-Inputs!$E$10)))</f>
        <v>0.13683633872369</v>
      </c>
      <c r="F980" s="81" t="n">
        <f aca="true">RAND()</f>
        <v>0.42540460118968</v>
      </c>
      <c r="G980" s="83" t="n">
        <f aca="false">IF(F980&lt;(Inputs!$E$15-Inputs!$D$15)/(Inputs!$F$15-Inputs!$D$15),Inputs!$D$15+SQRT(F980*(Inputs!$F$15-Inputs!$D$15)*(Inputs!$E$15-Inputs!$D$15)),Inputs!$F$15-SQRT((1-F980)*(Inputs!$F$15-Inputs!$D$15)*(Inputs!$F$15-Inputs!$E$15)))</f>
        <v>0.692239319293854</v>
      </c>
      <c r="H980" s="81" t="n">
        <f aca="true">RAND()</f>
        <v>0.303982502200827</v>
      </c>
      <c r="I980" s="82" t="n">
        <f aca="false">ROUND(IF(H980&lt;(Inputs!$E$17-Inputs!$D$17)/(Inputs!$F$17-Inputs!$D$17),Inputs!$D$17+SQRT(H980*(Inputs!$F$17-Inputs!$D$17)*(Inputs!$E$17-Inputs!$D$17)),Inputs!$F$17-SQRT((1-H980)*(Inputs!$F$17-Inputs!$D$17)*(Inputs!$F$17-Inputs!$E$17))),0)</f>
        <v>105</v>
      </c>
      <c r="J980" s="81" t="n">
        <f aca="true">RAND()</f>
        <v>0.631458657455086</v>
      </c>
      <c r="K980" s="83" t="n">
        <f aca="false">IF(J980&lt;(Inputs!$E$18-Inputs!$D$18)/(Inputs!$F$18-Inputs!$D$18),Inputs!$D$18+SQRT(J980*(Inputs!$F$18-Inputs!$D$18)*(Inputs!$E$18-Inputs!$D$18)),Inputs!$F$18-SQRT((1-J980)*(Inputs!$F$18-Inputs!$D$18)*(Inputs!$F$18-Inputs!$E$18)))</f>
        <v>1.07042447975105</v>
      </c>
      <c r="L980" s="81" t="n">
        <f aca="true">RAND()</f>
        <v>0.916379298422608</v>
      </c>
      <c r="M980" s="83" t="n">
        <f aca="false">IF(L980&lt;(Inputs!$E$24-Inputs!$D$24)/(Inputs!$F$24-Inputs!$D$24),Inputs!$D$24+SQRT(L980*(Inputs!$F$24-Inputs!$D$24)*(Inputs!$E$24-Inputs!$D$24)),Inputs!$F$24-SQRT((1-L980)*(Inputs!$F$24-Inputs!$D$24)*(Inputs!$F$24-Inputs!$E$24)))</f>
        <v>1.05833501357578</v>
      </c>
      <c r="N980" s="81" t="n">
        <f aca="true">RAND()</f>
        <v>0.30276524285563</v>
      </c>
      <c r="O980" s="83" t="n">
        <f aca="false">IF(N980&lt;(Inputs!$E$26-Inputs!$D$26)/(Inputs!$F$26-Inputs!$D$26),Inputs!$D$26+SQRT(N980*(Inputs!$F$26-Inputs!$D$26)*(Inputs!$E$26-Inputs!$D$26)),Inputs!$F$26-SQRT((1-N980)*(Inputs!$F$26-Inputs!$D$26)*(Inputs!$F$26-Inputs!$E$26)))</f>
        <v>0.524455199118169</v>
      </c>
      <c r="P980" s="81" t="n">
        <f aca="true">RAND()</f>
        <v>0.317024072174295</v>
      </c>
      <c r="Q980" s="82" t="n">
        <f aca="false">IF(P980&lt;(Inputs!$E$27-Inputs!$D$27)/(Inputs!$F$27-Inputs!$D$27),Inputs!$D$27+SQRT(P980*(Inputs!$F$27-Inputs!$D$27)*(Inputs!$E$27-Inputs!$D$27)),Inputs!$F$27-SQRT((1-P980)*(Inputs!$F$27-Inputs!$D$27)*(Inputs!$F$27-Inputs!$E$27)))</f>
        <v>78.4296188448546</v>
      </c>
      <c r="R980" s="81" t="n">
        <f aca="true">RAND()</f>
        <v>0.0673353648111096</v>
      </c>
      <c r="S980" s="82" t="n">
        <f aca="false">IF(R980&lt;(Inputs!$E$29-Inputs!$D$29)/(Inputs!$F$29-Inputs!$D$29),Inputs!$D$29+SQRT(R980*(Inputs!$F$29-Inputs!$D$29)*(Inputs!$E$29-Inputs!$D$29)),Inputs!$F$29-SQRT((1-R980)*(Inputs!$F$29-Inputs!$D$29)*(Inputs!$F$29-Inputs!$E$29)))</f>
        <v>3.62051819725459</v>
      </c>
      <c r="T980" s="68" t="n">
        <f aca="false">Inputs!$E$9*(1+E980)+Inputs!$E$5*C980*(Inputs!$E$11*Inputs!$E$14*(G980*I980/Inputs!$E$16+(1-G980))*K980+Inputs!$E$23*M980)*(1+O980)+Inputs!$E$5*(Q980+S980)</f>
        <v>6404.98677720471</v>
      </c>
    </row>
    <row r="981" customFormat="false" ht="15" hidden="false" customHeight="false" outlineLevel="0" collapsed="false">
      <c r="A981" s="1" t="n">
        <v>977</v>
      </c>
      <c r="B981" s="81" t="n">
        <f aca="true">RAND()</f>
        <v>0.5470629704973</v>
      </c>
      <c r="C981" s="82" t="n">
        <f aca="false">ROUND(IF(B981&lt;(Inputs!$E$8-Inputs!$D$8)/(Inputs!$F$8-Inputs!$D$8),Inputs!$D$8+SQRT(B981*(Inputs!$F$8-Inputs!$D$8)*(Inputs!$E$8-Inputs!$D$8)),Inputs!$F$8-SQRT((1-B981)*(Inputs!$F$8-Inputs!$D$8)*(Inputs!$F$8-Inputs!$E$8))),0)</f>
        <v>25</v>
      </c>
      <c r="D981" s="81" t="n">
        <f aca="true">RAND()</f>
        <v>0.313817753662237</v>
      </c>
      <c r="E981" s="83" t="n">
        <f aca="false">IF(D981&lt;(Inputs!$E$10-Inputs!$D$10)/(Inputs!$F$10-Inputs!$D$10),Inputs!$D$10+SQRT(D981*(Inputs!$F$10-Inputs!$D$10)*(Inputs!$E$10-Inputs!$D$10)),Inputs!$F$10-SQRT((1-D981)*(Inputs!$F$10-Inputs!$D$10)*(Inputs!$F$10-Inputs!$E$10)))</f>
        <v>0.0565236347333371</v>
      </c>
      <c r="F981" s="81" t="n">
        <f aca="true">RAND()</f>
        <v>0.820799150692239</v>
      </c>
      <c r="G981" s="83" t="n">
        <f aca="false">IF(F981&lt;(Inputs!$E$15-Inputs!$D$15)/(Inputs!$F$15-Inputs!$D$15),Inputs!$D$15+SQRT(F981*(Inputs!$F$15-Inputs!$D$15)*(Inputs!$E$15-Inputs!$D$15)),Inputs!$F$15-SQRT((1-F981)*(Inputs!$F$15-Inputs!$D$15)*(Inputs!$F$15-Inputs!$E$15)))</f>
        <v>0.740133339944881</v>
      </c>
      <c r="H981" s="81" t="n">
        <f aca="true">RAND()</f>
        <v>0.942929103858993</v>
      </c>
      <c r="I981" s="82" t="n">
        <f aca="false">ROUND(IF(H981&lt;(Inputs!$E$17-Inputs!$D$17)/(Inputs!$F$17-Inputs!$D$17),Inputs!$D$17+SQRT(H981*(Inputs!$F$17-Inputs!$D$17)*(Inputs!$E$17-Inputs!$D$17)),Inputs!$F$17-SQRT((1-H981)*(Inputs!$F$17-Inputs!$D$17)*(Inputs!$F$17-Inputs!$E$17))),0)</f>
        <v>112</v>
      </c>
      <c r="J981" s="81" t="n">
        <f aca="true">RAND()</f>
        <v>0.543658866115364</v>
      </c>
      <c r="K981" s="83" t="n">
        <f aca="false">IF(J981&lt;(Inputs!$E$18-Inputs!$D$18)/(Inputs!$F$18-Inputs!$D$18),Inputs!$D$18+SQRT(J981*(Inputs!$F$18-Inputs!$D$18)*(Inputs!$E$18-Inputs!$D$18)),Inputs!$F$18-SQRT((1-J981)*(Inputs!$F$18-Inputs!$D$18)*(Inputs!$F$18-Inputs!$E$18)))</f>
        <v>1.05017545392293</v>
      </c>
      <c r="L981" s="81" t="n">
        <f aca="true">RAND()</f>
        <v>0.767763898102621</v>
      </c>
      <c r="M981" s="83" t="n">
        <f aca="false">IF(L981&lt;(Inputs!$E$24-Inputs!$D$24)/(Inputs!$F$24-Inputs!$D$24),Inputs!$D$24+SQRT(L981*(Inputs!$F$24-Inputs!$D$24)*(Inputs!$E$24-Inputs!$D$24)),Inputs!$F$24-SQRT((1-L981)*(Inputs!$F$24-Inputs!$D$24)*(Inputs!$F$24-Inputs!$E$24)))</f>
        <v>0.963913862212601</v>
      </c>
      <c r="N981" s="81" t="n">
        <f aca="true">RAND()</f>
        <v>0.0473993796183398</v>
      </c>
      <c r="O981" s="83" t="n">
        <f aca="false">IF(N981&lt;(Inputs!$E$26-Inputs!$D$26)/(Inputs!$F$26-Inputs!$D$26),Inputs!$D$26+SQRT(N981*(Inputs!$F$26-Inputs!$D$26)*(Inputs!$E$26-Inputs!$D$26)),Inputs!$F$26-SQRT((1-N981)*(Inputs!$F$26-Inputs!$D$26)*(Inputs!$F$26-Inputs!$E$26)))</f>
        <v>0.388810228963176</v>
      </c>
      <c r="P981" s="81" t="n">
        <f aca="true">RAND()</f>
        <v>0.177269669906175</v>
      </c>
      <c r="Q981" s="82" t="n">
        <f aca="false">IF(P981&lt;(Inputs!$E$27-Inputs!$D$27)/(Inputs!$F$27-Inputs!$D$27),Inputs!$D$27+SQRT(P981*(Inputs!$F$27-Inputs!$D$27)*(Inputs!$E$27-Inputs!$D$27)),Inputs!$F$27-SQRT((1-P981)*(Inputs!$F$27-Inputs!$D$27)*(Inputs!$F$27-Inputs!$E$27)))</f>
        <v>71.0517024196486</v>
      </c>
      <c r="R981" s="81" t="n">
        <f aca="true">RAND()</f>
        <v>0.153392954108095</v>
      </c>
      <c r="S981" s="82" t="n">
        <f aca="false">IF(R981&lt;(Inputs!$E$29-Inputs!$D$29)/(Inputs!$F$29-Inputs!$D$29),Inputs!$D$29+SQRT(R981*(Inputs!$F$29-Inputs!$D$29)*(Inputs!$E$29-Inputs!$D$29)),Inputs!$F$29-SQRT((1-R981)*(Inputs!$F$29-Inputs!$D$29)*(Inputs!$F$29-Inputs!$E$29)))</f>
        <v>4.445879230505</v>
      </c>
      <c r="T981" s="68" t="n">
        <f aca="false">Inputs!$E$9*(1+E981)+Inputs!$E$5*C981*(Inputs!$E$11*Inputs!$E$14*(G981*I981/Inputs!$E$16+(1-G981))*K981+Inputs!$E$23*M981)*(1+O981)+Inputs!$E$5*(Q981+S981)</f>
        <v>5882.95629714861</v>
      </c>
    </row>
    <row r="982" customFormat="false" ht="15" hidden="false" customHeight="false" outlineLevel="0" collapsed="false">
      <c r="A982" s="1" t="n">
        <v>978</v>
      </c>
      <c r="B982" s="81" t="n">
        <f aca="true">RAND()</f>
        <v>0.693331327806786</v>
      </c>
      <c r="C982" s="82" t="n">
        <f aca="false">ROUND(IF(B982&lt;(Inputs!$E$8-Inputs!$D$8)/(Inputs!$F$8-Inputs!$D$8),Inputs!$D$8+SQRT(B982*(Inputs!$F$8-Inputs!$D$8)*(Inputs!$E$8-Inputs!$D$8)),Inputs!$F$8-SQRT((1-B982)*(Inputs!$F$8-Inputs!$D$8)*(Inputs!$F$8-Inputs!$E$8))),0)</f>
        <v>26</v>
      </c>
      <c r="D982" s="81" t="n">
        <f aca="true">RAND()</f>
        <v>0.0925545688452369</v>
      </c>
      <c r="E982" s="83" t="n">
        <f aca="false">IF(D982&lt;(Inputs!$E$10-Inputs!$D$10)/(Inputs!$F$10-Inputs!$D$10),Inputs!$D$10+SQRT(D982*(Inputs!$F$10-Inputs!$D$10)*(Inputs!$E$10-Inputs!$D$10)),Inputs!$F$10-SQRT((1-D982)*(Inputs!$F$10-Inputs!$D$10)*(Inputs!$F$10-Inputs!$E$10)))</f>
        <v>0.030422782391694</v>
      </c>
      <c r="F982" s="81" t="n">
        <f aca="true">RAND()</f>
        <v>0.889476690877485</v>
      </c>
      <c r="G982" s="83" t="n">
        <f aca="false">IF(F982&lt;(Inputs!$E$15-Inputs!$D$15)/(Inputs!$F$15-Inputs!$D$15),Inputs!$D$15+SQRT(F982*(Inputs!$F$15-Inputs!$D$15)*(Inputs!$E$15-Inputs!$D$15)),Inputs!$F$15-SQRT((1-F982)*(Inputs!$F$15-Inputs!$D$15)*(Inputs!$F$15-Inputs!$E$15)))</f>
        <v>0.752984404901668</v>
      </c>
      <c r="H982" s="81" t="n">
        <f aca="true">RAND()</f>
        <v>0.849522494696705</v>
      </c>
      <c r="I982" s="82" t="n">
        <f aca="false">ROUND(IF(H982&lt;(Inputs!$E$17-Inputs!$D$17)/(Inputs!$F$17-Inputs!$D$17),Inputs!$D$17+SQRT(H982*(Inputs!$F$17-Inputs!$D$17)*(Inputs!$E$17-Inputs!$D$17)),Inputs!$F$17-SQRT((1-H982)*(Inputs!$F$17-Inputs!$D$17)*(Inputs!$F$17-Inputs!$E$17))),0)</f>
        <v>110</v>
      </c>
      <c r="J982" s="81" t="n">
        <f aca="true">RAND()</f>
        <v>0.659466471996055</v>
      </c>
      <c r="K982" s="83" t="n">
        <f aca="false">IF(J982&lt;(Inputs!$E$18-Inputs!$D$18)/(Inputs!$F$18-Inputs!$D$18),Inputs!$D$18+SQRT(J982*(Inputs!$F$18-Inputs!$D$18)*(Inputs!$E$18-Inputs!$D$18)),Inputs!$F$18-SQRT((1-J982)*(Inputs!$F$18-Inputs!$D$18)*(Inputs!$F$18-Inputs!$E$18)))</f>
        <v>1.07738284065498</v>
      </c>
      <c r="L982" s="81" t="n">
        <f aca="true">RAND()</f>
        <v>0.654435655304518</v>
      </c>
      <c r="M982" s="83" t="n">
        <f aca="false">IF(L982&lt;(Inputs!$E$24-Inputs!$D$24)/(Inputs!$F$24-Inputs!$D$24),Inputs!$D$24+SQRT(L982*(Inputs!$F$24-Inputs!$D$24)*(Inputs!$E$24-Inputs!$D$24)),Inputs!$F$24-SQRT((1-L982)*(Inputs!$F$24-Inputs!$D$24)*(Inputs!$F$24-Inputs!$E$24)))</f>
        <v>0.912014856760083</v>
      </c>
      <c r="N982" s="81" t="n">
        <f aca="true">RAND()</f>
        <v>0.64205890096913</v>
      </c>
      <c r="O982" s="83" t="n">
        <f aca="false">IF(N982&lt;(Inputs!$E$26-Inputs!$D$26)/(Inputs!$F$26-Inputs!$D$26),Inputs!$D$26+SQRT(N982*(Inputs!$F$26-Inputs!$D$26)*(Inputs!$E$26-Inputs!$D$26)),Inputs!$F$26-SQRT((1-N982)*(Inputs!$F$26-Inputs!$D$26)*(Inputs!$F$26-Inputs!$E$26)))</f>
        <v>0.627059920443651</v>
      </c>
      <c r="P982" s="81" t="n">
        <f aca="true">RAND()</f>
        <v>0.483113728459348</v>
      </c>
      <c r="Q982" s="82" t="n">
        <f aca="false">IF(P982&lt;(Inputs!$E$27-Inputs!$D$27)/(Inputs!$F$27-Inputs!$D$27),Inputs!$D$27+SQRT(P982*(Inputs!$F$27-Inputs!$D$27)*(Inputs!$E$27-Inputs!$D$27)),Inputs!$F$27-SQRT((1-P982)*(Inputs!$F$27-Inputs!$D$27)*(Inputs!$F$27-Inputs!$E$27)))</f>
        <v>87.7372740995474</v>
      </c>
      <c r="R982" s="81" t="n">
        <f aca="true">RAND()</f>
        <v>0.5914346735876</v>
      </c>
      <c r="S982" s="82" t="n">
        <f aca="false">IF(R982&lt;(Inputs!$E$29-Inputs!$D$29)/(Inputs!$F$29-Inputs!$D$29),Inputs!$D$29+SQRT(R982*(Inputs!$F$29-Inputs!$D$29)*(Inputs!$E$29-Inputs!$D$29)),Inputs!$F$29-SQRT((1-R982)*(Inputs!$F$29-Inputs!$D$29)*(Inputs!$F$29-Inputs!$E$29)))</f>
        <v>7.71209958673885</v>
      </c>
      <c r="T982" s="68" t="n">
        <f aca="false">Inputs!$E$9*(1+E982)+Inputs!$E$5*C982*(Inputs!$E$11*Inputs!$E$14*(G982*I982/Inputs!$E$16+(1-G982))*K982+Inputs!$E$23*M982)*(1+O982)+Inputs!$E$5*(Q982+S982)</f>
        <v>6558.192207306</v>
      </c>
    </row>
    <row r="983" customFormat="false" ht="15" hidden="false" customHeight="false" outlineLevel="0" collapsed="false">
      <c r="A983" s="1" t="n">
        <v>979</v>
      </c>
      <c r="B983" s="81" t="n">
        <f aca="true">RAND()</f>
        <v>0.139484933601127</v>
      </c>
      <c r="C983" s="82" t="n">
        <f aca="false">ROUND(IF(B983&lt;(Inputs!$E$8-Inputs!$D$8)/(Inputs!$F$8-Inputs!$D$8),Inputs!$D$8+SQRT(B983*(Inputs!$F$8-Inputs!$D$8)*(Inputs!$E$8-Inputs!$D$8)),Inputs!$F$8-SQRT((1-B983)*(Inputs!$F$8-Inputs!$D$8)*(Inputs!$F$8-Inputs!$E$8))),0)</f>
        <v>23</v>
      </c>
      <c r="D983" s="81" t="n">
        <f aca="true">RAND()</f>
        <v>0.545991322528844</v>
      </c>
      <c r="E983" s="83" t="n">
        <f aca="false">IF(D983&lt;(Inputs!$E$10-Inputs!$D$10)/(Inputs!$F$10-Inputs!$D$10),Inputs!$D$10+SQRT(D983*(Inputs!$F$10-Inputs!$D$10)*(Inputs!$E$10-Inputs!$D$10)),Inputs!$F$10-SQRT((1-D983)*(Inputs!$F$10-Inputs!$D$10)*(Inputs!$F$10-Inputs!$E$10)))</f>
        <v>0.0832941290074287</v>
      </c>
      <c r="F983" s="81" t="n">
        <f aca="true">RAND()</f>
        <v>0.454464785041363</v>
      </c>
      <c r="G983" s="83" t="n">
        <f aca="false">IF(F983&lt;(Inputs!$E$15-Inputs!$D$15)/(Inputs!$F$15-Inputs!$D$15),Inputs!$D$15+SQRT(F983*(Inputs!$F$15-Inputs!$D$15)*(Inputs!$E$15-Inputs!$D$15)),Inputs!$F$15-SQRT((1-F983)*(Inputs!$F$15-Inputs!$D$15)*(Inputs!$F$15-Inputs!$E$15)))</f>
        <v>0.695337797860173</v>
      </c>
      <c r="H983" s="81" t="n">
        <f aca="true">RAND()</f>
        <v>0.882535465512131</v>
      </c>
      <c r="I983" s="82" t="n">
        <f aca="false">ROUND(IF(H983&lt;(Inputs!$E$17-Inputs!$D$17)/(Inputs!$F$17-Inputs!$D$17),Inputs!$D$17+SQRT(H983*(Inputs!$F$17-Inputs!$D$17)*(Inputs!$E$17-Inputs!$D$17)),Inputs!$F$17-SQRT((1-H983)*(Inputs!$F$17-Inputs!$D$17)*(Inputs!$F$17-Inputs!$E$17))),0)</f>
        <v>111</v>
      </c>
      <c r="J983" s="81" t="n">
        <f aca="true">RAND()</f>
        <v>0.717485935466394</v>
      </c>
      <c r="K983" s="83" t="n">
        <f aca="false">IF(J983&lt;(Inputs!$E$18-Inputs!$D$18)/(Inputs!$F$18-Inputs!$D$18),Inputs!$D$18+SQRT(J983*(Inputs!$F$18-Inputs!$D$18)*(Inputs!$E$18-Inputs!$D$18)),Inputs!$F$18-SQRT((1-J983)*(Inputs!$F$18-Inputs!$D$18)*(Inputs!$F$18-Inputs!$E$18)))</f>
        <v>1.09277410948991</v>
      </c>
      <c r="L983" s="81" t="n">
        <f aca="true">RAND()</f>
        <v>0.688557388101326</v>
      </c>
      <c r="M983" s="83" t="n">
        <f aca="false">IF(L983&lt;(Inputs!$E$24-Inputs!$D$24)/(Inputs!$F$24-Inputs!$D$24),Inputs!$D$24+SQRT(L983*(Inputs!$F$24-Inputs!$D$24)*(Inputs!$E$24-Inputs!$D$24)),Inputs!$F$24-SQRT((1-L983)*(Inputs!$F$24-Inputs!$D$24)*(Inputs!$F$24-Inputs!$E$24)))</f>
        <v>0.926602438094848</v>
      </c>
      <c r="N983" s="81" t="n">
        <f aca="true">RAND()</f>
        <v>0.318390800440165</v>
      </c>
      <c r="O983" s="83" t="n">
        <f aca="false">IF(N983&lt;(Inputs!$E$26-Inputs!$D$26)/(Inputs!$F$26-Inputs!$D$26),Inputs!$D$26+SQRT(N983*(Inputs!$F$26-Inputs!$D$26)*(Inputs!$E$26-Inputs!$D$26)),Inputs!$F$26-SQRT((1-N983)*(Inputs!$F$26-Inputs!$D$26)*(Inputs!$F$26-Inputs!$E$26)))</f>
        <v>0.53017434521085</v>
      </c>
      <c r="P983" s="81" t="n">
        <f aca="true">RAND()</f>
        <v>0.223824873574691</v>
      </c>
      <c r="Q983" s="82" t="n">
        <f aca="false">IF(P983&lt;(Inputs!$E$27-Inputs!$D$27)/(Inputs!$F$27-Inputs!$D$27),Inputs!$D$27+SQRT(P983*(Inputs!$F$27-Inputs!$D$27)*(Inputs!$E$27-Inputs!$D$27)),Inputs!$F$27-SQRT((1-P983)*(Inputs!$F$27-Inputs!$D$27)*(Inputs!$F$27-Inputs!$E$27)))</f>
        <v>73.6550667709209</v>
      </c>
      <c r="R983" s="81" t="n">
        <f aca="true">RAND()</f>
        <v>0.587484099694691</v>
      </c>
      <c r="S983" s="82" t="n">
        <f aca="false">IF(R983&lt;(Inputs!$E$29-Inputs!$D$29)/(Inputs!$F$29-Inputs!$D$29),Inputs!$D$29+SQRT(R983*(Inputs!$F$29-Inputs!$D$29)*(Inputs!$E$29-Inputs!$D$29)),Inputs!$F$29-SQRT((1-R983)*(Inputs!$F$29-Inputs!$D$29)*(Inputs!$F$29-Inputs!$E$29)))</f>
        <v>7.67694960827865</v>
      </c>
      <c r="T983" s="68" t="n">
        <f aca="false">Inputs!$E$9*(1+E983)+Inputs!$E$5*C983*(Inputs!$E$11*Inputs!$E$14*(G983*I983/Inputs!$E$16+(1-G983))*K983+Inputs!$E$23*M983)*(1+O983)+Inputs!$E$5*(Q983+S983)</f>
        <v>6090.57387595334</v>
      </c>
    </row>
    <row r="984" customFormat="false" ht="15" hidden="false" customHeight="false" outlineLevel="0" collapsed="false">
      <c r="A984" s="1" t="n">
        <v>980</v>
      </c>
      <c r="B984" s="81" t="n">
        <f aca="true">RAND()</f>
        <v>0.23892018133894</v>
      </c>
      <c r="C984" s="82" t="n">
        <f aca="false">ROUND(IF(B984&lt;(Inputs!$E$8-Inputs!$D$8)/(Inputs!$F$8-Inputs!$D$8),Inputs!$D$8+SQRT(B984*(Inputs!$F$8-Inputs!$D$8)*(Inputs!$E$8-Inputs!$D$8)),Inputs!$F$8-SQRT((1-B984)*(Inputs!$F$8-Inputs!$D$8)*(Inputs!$F$8-Inputs!$E$8))),0)</f>
        <v>23</v>
      </c>
      <c r="D984" s="81" t="n">
        <f aca="true">RAND()</f>
        <v>0.462084249446444</v>
      </c>
      <c r="E984" s="83" t="n">
        <f aca="false">IF(D984&lt;(Inputs!$E$10-Inputs!$D$10)/(Inputs!$F$10-Inputs!$D$10),Inputs!$D$10+SQRT(D984*(Inputs!$F$10-Inputs!$D$10)*(Inputs!$E$10-Inputs!$D$10)),Inputs!$F$10-SQRT((1-D984)*(Inputs!$F$10-Inputs!$D$10)*(Inputs!$F$10-Inputs!$E$10)))</f>
        <v>0.0729666480147568</v>
      </c>
      <c r="F984" s="81" t="n">
        <f aca="true">RAND()</f>
        <v>0.40248093102925</v>
      </c>
      <c r="G984" s="83" t="n">
        <f aca="false">IF(F984&lt;(Inputs!$E$15-Inputs!$D$15)/(Inputs!$F$15-Inputs!$D$15),Inputs!$D$15+SQRT(F984*(Inputs!$F$15-Inputs!$D$15)*(Inputs!$E$15-Inputs!$D$15)),Inputs!$F$15-SQRT((1-F984)*(Inputs!$F$15-Inputs!$D$15)*(Inputs!$F$15-Inputs!$E$15)))</f>
        <v>0.689719666855072</v>
      </c>
      <c r="H984" s="81" t="n">
        <f aca="true">RAND()</f>
        <v>0.810063843596991</v>
      </c>
      <c r="I984" s="82" t="n">
        <f aca="false">ROUND(IF(H984&lt;(Inputs!$E$17-Inputs!$D$17)/(Inputs!$F$17-Inputs!$D$17),Inputs!$D$17+SQRT(H984*(Inputs!$F$17-Inputs!$D$17)*(Inputs!$E$17-Inputs!$D$17)),Inputs!$F$17-SQRT((1-H984)*(Inputs!$F$17-Inputs!$D$17)*(Inputs!$F$17-Inputs!$E$17))),0)</f>
        <v>110</v>
      </c>
      <c r="J984" s="81" t="n">
        <f aca="true">RAND()</f>
        <v>0.949123056031973</v>
      </c>
      <c r="K984" s="83" t="n">
        <f aca="false">IF(J984&lt;(Inputs!$E$18-Inputs!$D$18)/(Inputs!$F$18-Inputs!$D$18),Inputs!$D$18+SQRT(J984*(Inputs!$F$18-Inputs!$D$18)*(Inputs!$E$18-Inputs!$D$18)),Inputs!$F$18-SQRT((1-J984)*(Inputs!$F$18-Inputs!$D$18)*(Inputs!$F$18-Inputs!$E$18)))</f>
        <v>1.1832786945781</v>
      </c>
      <c r="L984" s="81" t="n">
        <f aca="true">RAND()</f>
        <v>0.287343785813049</v>
      </c>
      <c r="M984" s="83" t="n">
        <f aca="false">IF(L984&lt;(Inputs!$E$24-Inputs!$D$24)/(Inputs!$F$24-Inputs!$D$24),Inputs!$D$24+SQRT(L984*(Inputs!$F$24-Inputs!$D$24)*(Inputs!$E$24-Inputs!$D$24)),Inputs!$F$24-SQRT((1-L984)*(Inputs!$F$24-Inputs!$D$24)*(Inputs!$F$24-Inputs!$E$24)))</f>
        <v>0.785691287618902</v>
      </c>
      <c r="N984" s="81" t="n">
        <f aca="true">RAND()</f>
        <v>0.354770882993965</v>
      </c>
      <c r="O984" s="83" t="n">
        <f aca="false">IF(N984&lt;(Inputs!$E$26-Inputs!$D$26)/(Inputs!$F$26-Inputs!$D$26),Inputs!$D$26+SQRT(N984*(Inputs!$F$26-Inputs!$D$26)*(Inputs!$E$26-Inputs!$D$26)),Inputs!$F$26-SQRT((1-N984)*(Inputs!$F$26-Inputs!$D$26)*(Inputs!$F$26-Inputs!$E$26)))</f>
        <v>0.542968876464036</v>
      </c>
      <c r="P984" s="81" t="n">
        <f aca="true">RAND()</f>
        <v>0.0962932063165189</v>
      </c>
      <c r="Q984" s="82" t="n">
        <f aca="false">IF(P984&lt;(Inputs!$E$27-Inputs!$D$27)/(Inputs!$F$27-Inputs!$D$27),Inputs!$D$27+SQRT(P984*(Inputs!$F$27-Inputs!$D$27)*(Inputs!$E$27-Inputs!$D$27)),Inputs!$F$27-SQRT((1-P984)*(Inputs!$F$27-Inputs!$D$27)*(Inputs!$F$27-Inputs!$E$27)))</f>
        <v>65.5155733310535</v>
      </c>
      <c r="R984" s="81" t="n">
        <f aca="true">RAND()</f>
        <v>0.987819278904447</v>
      </c>
      <c r="S984" s="82" t="n">
        <f aca="false">IF(R984&lt;(Inputs!$E$29-Inputs!$D$29)/(Inputs!$F$29-Inputs!$D$29),Inputs!$D$29+SQRT(R984*(Inputs!$F$29-Inputs!$D$29)*(Inputs!$E$29-Inputs!$D$29)),Inputs!$F$29-SQRT((1-R984)*(Inputs!$F$29-Inputs!$D$29)*(Inputs!$F$29-Inputs!$E$29)))</f>
        <v>13.7416305222941</v>
      </c>
      <c r="T984" s="68" t="n">
        <f aca="false">Inputs!$E$9*(1+E984)+Inputs!$E$5*C984*(Inputs!$E$11*Inputs!$E$14*(G984*I984/Inputs!$E$16+(1-G984))*K984+Inputs!$E$23*M984)*(1+O984)+Inputs!$E$5*(Q984+S984)</f>
        <v>6080.56125512737</v>
      </c>
    </row>
    <row r="985" customFormat="false" ht="15" hidden="false" customHeight="false" outlineLevel="0" collapsed="false">
      <c r="A985" s="1" t="n">
        <v>981</v>
      </c>
      <c r="B985" s="81" t="n">
        <f aca="true">RAND()</f>
        <v>0.944233302930308</v>
      </c>
      <c r="C985" s="82" t="n">
        <f aca="false">ROUND(IF(B985&lt;(Inputs!$E$8-Inputs!$D$8)/(Inputs!$F$8-Inputs!$D$8),Inputs!$D$8+SQRT(B985*(Inputs!$F$8-Inputs!$D$8)*(Inputs!$E$8-Inputs!$D$8)),Inputs!$F$8-SQRT((1-B985)*(Inputs!$F$8-Inputs!$D$8)*(Inputs!$F$8-Inputs!$E$8))),0)</f>
        <v>28</v>
      </c>
      <c r="D985" s="81" t="n">
        <f aca="true">RAND()</f>
        <v>0.77745362560073</v>
      </c>
      <c r="E985" s="83" t="n">
        <f aca="false">IF(D985&lt;(Inputs!$E$10-Inputs!$D$10)/(Inputs!$F$10-Inputs!$D$10),Inputs!$D$10+SQRT(D985*(Inputs!$F$10-Inputs!$D$10)*(Inputs!$E$10-Inputs!$D$10)),Inputs!$F$10-SQRT((1-D985)*(Inputs!$F$10-Inputs!$D$10)*(Inputs!$F$10-Inputs!$E$10)))</f>
        <v>0.118290813050318</v>
      </c>
      <c r="F985" s="81" t="n">
        <f aca="true">RAND()</f>
        <v>0.104900107018709</v>
      </c>
      <c r="G985" s="83" t="n">
        <f aca="false">IF(F985&lt;(Inputs!$E$15-Inputs!$D$15)/(Inputs!$F$15-Inputs!$D$15),Inputs!$D$15+SQRT(F985*(Inputs!$F$15-Inputs!$D$15)*(Inputs!$E$15-Inputs!$D$15)),Inputs!$F$15-SQRT((1-F985)*(Inputs!$F$15-Inputs!$D$15)*(Inputs!$F$15-Inputs!$E$15)))</f>
        <v>0.645803953326915</v>
      </c>
      <c r="H985" s="81" t="n">
        <f aca="true">RAND()</f>
        <v>0.385837620173976</v>
      </c>
      <c r="I985" s="82" t="n">
        <f aca="false">ROUND(IF(H985&lt;(Inputs!$E$17-Inputs!$D$17)/(Inputs!$F$17-Inputs!$D$17),Inputs!$D$17+SQRT(H985*(Inputs!$F$17-Inputs!$D$17)*(Inputs!$E$17-Inputs!$D$17)),Inputs!$F$17-SQRT((1-H985)*(Inputs!$F$17-Inputs!$D$17)*(Inputs!$F$17-Inputs!$E$17))),0)</f>
        <v>105</v>
      </c>
      <c r="J985" s="81" t="n">
        <f aca="true">RAND()</f>
        <v>0.857212471623552</v>
      </c>
      <c r="K985" s="83" t="n">
        <f aca="false">IF(J985&lt;(Inputs!$E$18-Inputs!$D$18)/(Inputs!$F$18-Inputs!$D$18),Inputs!$D$18+SQRT(J985*(Inputs!$F$18-Inputs!$D$18)*(Inputs!$E$18-Inputs!$D$18)),Inputs!$F$18-SQRT((1-J985)*(Inputs!$F$18-Inputs!$D$18)*(Inputs!$F$18-Inputs!$E$18)))</f>
        <v>1.13822384541889</v>
      </c>
      <c r="L985" s="81" t="n">
        <f aca="true">RAND()</f>
        <v>0.296953511947534</v>
      </c>
      <c r="M985" s="83" t="n">
        <f aca="false">IF(L985&lt;(Inputs!$E$24-Inputs!$D$24)/(Inputs!$F$24-Inputs!$D$24),Inputs!$D$24+SQRT(L985*(Inputs!$F$24-Inputs!$D$24)*(Inputs!$E$24-Inputs!$D$24)),Inputs!$F$24-SQRT((1-L985)*(Inputs!$F$24-Inputs!$D$24)*(Inputs!$F$24-Inputs!$E$24)))</f>
        <v>0.788770817219463</v>
      </c>
      <c r="N985" s="81" t="n">
        <f aca="true">RAND()</f>
        <v>0.176545573112198</v>
      </c>
      <c r="O985" s="83" t="n">
        <f aca="false">IF(N985&lt;(Inputs!$E$26-Inputs!$D$26)/(Inputs!$F$26-Inputs!$D$26),Inputs!$D$26+SQRT(N985*(Inputs!$F$26-Inputs!$D$26)*(Inputs!$E$26-Inputs!$D$26)),Inputs!$F$26-SQRT((1-N985)*(Inputs!$F$26-Inputs!$D$26)*(Inputs!$F$26-Inputs!$E$26)))</f>
        <v>0.471397734424553</v>
      </c>
      <c r="P985" s="81" t="n">
        <f aca="true">RAND()</f>
        <v>0.0517394364484195</v>
      </c>
      <c r="Q985" s="82" t="n">
        <f aca="false">IF(P985&lt;(Inputs!$E$27-Inputs!$D$27)/(Inputs!$F$27-Inputs!$D$27),Inputs!$D$27+SQRT(P985*(Inputs!$F$27-Inputs!$D$27)*(Inputs!$E$27-Inputs!$D$27)),Inputs!$F$27-SQRT((1-P985)*(Inputs!$F$27-Inputs!$D$27)*(Inputs!$F$27-Inputs!$E$27)))</f>
        <v>61.3731522068883</v>
      </c>
      <c r="R985" s="81" t="n">
        <f aca="true">RAND()</f>
        <v>0.887385598525265</v>
      </c>
      <c r="S985" s="82" t="n">
        <f aca="false">IF(R985&lt;(Inputs!$E$29-Inputs!$D$29)/(Inputs!$F$29-Inputs!$D$29),Inputs!$D$29+SQRT(R985*(Inputs!$F$29-Inputs!$D$29)*(Inputs!$E$29-Inputs!$D$29)),Inputs!$F$29-SQRT((1-R985)*(Inputs!$F$29-Inputs!$D$29)*(Inputs!$F$29-Inputs!$E$29)))</f>
        <v>11.1737914077098</v>
      </c>
      <c r="T985" s="68" t="n">
        <f aca="false">Inputs!$E$9*(1+E985)+Inputs!$E$5*C985*(Inputs!$E$11*Inputs!$E$14*(G985*I985/Inputs!$E$16+(1-G985))*K985+Inputs!$E$23*M985)*(1+O985)+Inputs!$E$5*(Q985+S985)</f>
        <v>6584.39310316758</v>
      </c>
    </row>
    <row r="986" customFormat="false" ht="15" hidden="false" customHeight="false" outlineLevel="0" collapsed="false">
      <c r="A986" s="1" t="n">
        <v>982</v>
      </c>
      <c r="B986" s="81" t="n">
        <f aca="true">RAND()</f>
        <v>0.0555900043233572</v>
      </c>
      <c r="C986" s="82" t="n">
        <f aca="false">ROUND(IF(B986&lt;(Inputs!$E$8-Inputs!$D$8)/(Inputs!$F$8-Inputs!$D$8),Inputs!$D$8+SQRT(B986*(Inputs!$F$8-Inputs!$D$8)*(Inputs!$E$8-Inputs!$D$8)),Inputs!$F$8-SQRT((1-B986)*(Inputs!$F$8-Inputs!$D$8)*(Inputs!$F$8-Inputs!$E$8))),0)</f>
        <v>22</v>
      </c>
      <c r="D986" s="81" t="n">
        <f aca="true">RAND()</f>
        <v>0.49734952743334</v>
      </c>
      <c r="E986" s="83" t="n">
        <f aca="false">IF(D986&lt;(Inputs!$E$10-Inputs!$D$10)/(Inputs!$F$10-Inputs!$D$10),Inputs!$D$10+SQRT(D986*(Inputs!$F$10-Inputs!$D$10)*(Inputs!$E$10-Inputs!$D$10)),Inputs!$F$10-SQRT((1-D986)*(Inputs!$F$10-Inputs!$D$10)*(Inputs!$F$10-Inputs!$E$10)))</f>
        <v>0.0772013266480464</v>
      </c>
      <c r="F986" s="81" t="n">
        <f aca="true">RAND()</f>
        <v>0.950461536858269</v>
      </c>
      <c r="G986" s="83" t="n">
        <f aca="false">IF(F986&lt;(Inputs!$E$15-Inputs!$D$15)/(Inputs!$F$15-Inputs!$D$15),Inputs!$D$15+SQRT(F986*(Inputs!$F$15-Inputs!$D$15)*(Inputs!$E$15-Inputs!$D$15)),Inputs!$F$15-SQRT((1-F986)*(Inputs!$F$15-Inputs!$D$15)*(Inputs!$F$15-Inputs!$E$15)))</f>
        <v>0.768523512539761</v>
      </c>
      <c r="H986" s="81" t="n">
        <f aca="true">RAND()</f>
        <v>0.546282340451609</v>
      </c>
      <c r="I986" s="82" t="n">
        <f aca="false">ROUND(IF(H986&lt;(Inputs!$E$17-Inputs!$D$17)/(Inputs!$F$17-Inputs!$D$17),Inputs!$D$17+SQRT(H986*(Inputs!$F$17-Inputs!$D$17)*(Inputs!$E$17-Inputs!$D$17)),Inputs!$F$17-SQRT((1-H986)*(Inputs!$F$17-Inputs!$D$17)*(Inputs!$F$17-Inputs!$E$17))),0)</f>
        <v>107</v>
      </c>
      <c r="J986" s="81" t="n">
        <f aca="true">RAND()</f>
        <v>0.500238718354709</v>
      </c>
      <c r="K986" s="83" t="n">
        <f aca="false">IF(J986&lt;(Inputs!$E$18-Inputs!$D$18)/(Inputs!$F$18-Inputs!$D$18),Inputs!$D$18+SQRT(J986*(Inputs!$F$18-Inputs!$D$18)*(Inputs!$E$18-Inputs!$D$18)),Inputs!$F$18-SQRT((1-J986)*(Inputs!$F$18-Inputs!$D$18)*(Inputs!$F$18-Inputs!$E$18)))</f>
        <v>1.04088493085394</v>
      </c>
      <c r="L986" s="81" t="n">
        <f aca="true">RAND()</f>
        <v>0.572654559033584</v>
      </c>
      <c r="M986" s="83" t="n">
        <f aca="false">IF(L986&lt;(Inputs!$E$24-Inputs!$D$24)/(Inputs!$F$24-Inputs!$D$24),Inputs!$D$24+SQRT(L986*(Inputs!$F$24-Inputs!$D$24)*(Inputs!$E$24-Inputs!$D$24)),Inputs!$F$24-SQRT((1-L986)*(Inputs!$F$24-Inputs!$D$24)*(Inputs!$F$24-Inputs!$E$24)))</f>
        <v>0.879745560792766</v>
      </c>
      <c r="N986" s="81" t="n">
        <f aca="true">RAND()</f>
        <v>0.796326319644463</v>
      </c>
      <c r="O986" s="83" t="n">
        <f aca="false">IF(N986&lt;(Inputs!$E$26-Inputs!$D$26)/(Inputs!$F$26-Inputs!$D$26),Inputs!$D$26+SQRT(N986*(Inputs!$F$26-Inputs!$D$26)*(Inputs!$E$26-Inputs!$D$26)),Inputs!$F$26-SQRT((1-N986)*(Inputs!$F$26-Inputs!$D$26)*(Inputs!$F$26-Inputs!$E$26)))</f>
        <v>0.674459411994537</v>
      </c>
      <c r="P986" s="81" t="n">
        <f aca="true">RAND()</f>
        <v>0.722315741067715</v>
      </c>
      <c r="Q986" s="82" t="n">
        <f aca="false">IF(P986&lt;(Inputs!$E$27-Inputs!$D$27)/(Inputs!$F$27-Inputs!$D$27),Inputs!$D$27+SQRT(P986*(Inputs!$F$27-Inputs!$D$27)*(Inputs!$E$27-Inputs!$D$27)),Inputs!$F$27-SQRT((1-P986)*(Inputs!$F$27-Inputs!$D$27)*(Inputs!$F$27-Inputs!$E$27)))</f>
        <v>104.364137545214</v>
      </c>
      <c r="R986" s="81" t="n">
        <f aca="true">RAND()</f>
        <v>0.720772190221644</v>
      </c>
      <c r="S986" s="82" t="n">
        <f aca="false">IF(R986&lt;(Inputs!$E$29-Inputs!$D$29)/(Inputs!$F$29-Inputs!$D$29),Inputs!$D$29+SQRT(R986*(Inputs!$F$29-Inputs!$D$29)*(Inputs!$E$29-Inputs!$D$29)),Inputs!$F$29-SQRT((1-R986)*(Inputs!$F$29-Inputs!$D$29)*(Inputs!$F$29-Inputs!$E$29)))</f>
        <v>8.97508379550501</v>
      </c>
      <c r="T986" s="68" t="n">
        <f aca="false">Inputs!$E$9*(1+E986)+Inputs!$E$5*C986*(Inputs!$E$11*Inputs!$E$14*(G986*I986/Inputs!$E$16+(1-G986))*K986+Inputs!$E$23*M986)*(1+O986)+Inputs!$E$5*(Q986+S986)</f>
        <v>6088.07798516069</v>
      </c>
    </row>
    <row r="987" customFormat="false" ht="15" hidden="false" customHeight="false" outlineLevel="0" collapsed="false">
      <c r="A987" s="1" t="n">
        <v>983</v>
      </c>
      <c r="B987" s="81" t="n">
        <f aca="true">RAND()</f>
        <v>0.660001803816514</v>
      </c>
      <c r="C987" s="82" t="n">
        <f aca="false">ROUND(IF(B987&lt;(Inputs!$E$8-Inputs!$D$8)/(Inputs!$F$8-Inputs!$D$8),Inputs!$D$8+SQRT(B987*(Inputs!$F$8-Inputs!$D$8)*(Inputs!$E$8-Inputs!$D$8)),Inputs!$F$8-SQRT((1-B987)*(Inputs!$F$8-Inputs!$D$8)*(Inputs!$F$8-Inputs!$E$8))),0)</f>
        <v>26</v>
      </c>
      <c r="D987" s="81" t="n">
        <f aca="true">RAND()</f>
        <v>0.621667555128676</v>
      </c>
      <c r="E987" s="83" t="n">
        <f aca="false">IF(D987&lt;(Inputs!$E$10-Inputs!$D$10)/(Inputs!$F$10-Inputs!$D$10),Inputs!$D$10+SQRT(D987*(Inputs!$F$10-Inputs!$D$10)*(Inputs!$E$10-Inputs!$D$10)),Inputs!$F$10-SQRT((1-D987)*(Inputs!$F$10-Inputs!$D$10)*(Inputs!$F$10-Inputs!$E$10)))</f>
        <v>0.0934637463295254</v>
      </c>
      <c r="F987" s="81" t="n">
        <f aca="true">RAND()</f>
        <v>0.752617042902245</v>
      </c>
      <c r="G987" s="83" t="n">
        <f aca="false">IF(F987&lt;(Inputs!$E$15-Inputs!$D$15)/(Inputs!$F$15-Inputs!$D$15),Inputs!$D$15+SQRT(F987*(Inputs!$F$15-Inputs!$D$15)*(Inputs!$E$15-Inputs!$D$15)),Inputs!$F$15-SQRT((1-F987)*(Inputs!$F$15-Inputs!$D$15)*(Inputs!$F$15-Inputs!$E$15)))</f>
        <v>0.729660401323614</v>
      </c>
      <c r="H987" s="81" t="n">
        <f aca="true">RAND()</f>
        <v>0.382779958565161</v>
      </c>
      <c r="I987" s="82" t="n">
        <f aca="false">ROUND(IF(H987&lt;(Inputs!$E$17-Inputs!$D$17)/(Inputs!$F$17-Inputs!$D$17),Inputs!$D$17+SQRT(H987*(Inputs!$F$17-Inputs!$D$17)*(Inputs!$E$17-Inputs!$D$17)),Inputs!$F$17-SQRT((1-H987)*(Inputs!$F$17-Inputs!$D$17)*(Inputs!$F$17-Inputs!$E$17))),0)</f>
        <v>105</v>
      </c>
      <c r="J987" s="81" t="n">
        <f aca="true">RAND()</f>
        <v>0.722933554309241</v>
      </c>
      <c r="K987" s="83" t="n">
        <f aca="false">IF(J987&lt;(Inputs!$E$18-Inputs!$D$18)/(Inputs!$F$18-Inputs!$D$18),Inputs!$D$18+SQRT(J987*(Inputs!$F$18-Inputs!$D$18)*(Inputs!$E$18-Inputs!$D$18)),Inputs!$F$18-SQRT((1-J987)*(Inputs!$F$18-Inputs!$D$18)*(Inputs!$F$18-Inputs!$E$18)))</f>
        <v>1.09429735391477</v>
      </c>
      <c r="L987" s="81" t="n">
        <f aca="true">RAND()</f>
        <v>0.358474114307378</v>
      </c>
      <c r="M987" s="83" t="n">
        <f aca="false">IF(L987&lt;(Inputs!$E$24-Inputs!$D$24)/(Inputs!$F$24-Inputs!$D$24),Inputs!$D$24+SQRT(L987*(Inputs!$F$24-Inputs!$D$24)*(Inputs!$E$24-Inputs!$D$24)),Inputs!$F$24-SQRT((1-L987)*(Inputs!$F$24-Inputs!$D$24)*(Inputs!$F$24-Inputs!$E$24)))</f>
        <v>0.807614714131341</v>
      </c>
      <c r="N987" s="81" t="n">
        <f aca="true">RAND()</f>
        <v>0.465254225418827</v>
      </c>
      <c r="O987" s="83" t="n">
        <f aca="false">IF(N987&lt;(Inputs!$E$26-Inputs!$D$26)/(Inputs!$F$26-Inputs!$D$26),Inputs!$D$26+SQRT(N987*(Inputs!$F$26-Inputs!$D$26)*(Inputs!$E$26-Inputs!$D$26)),Inputs!$F$26-SQRT((1-N987)*(Inputs!$F$26-Inputs!$D$26)*(Inputs!$F$26-Inputs!$E$26)))</f>
        <v>0.578241447505027</v>
      </c>
      <c r="P987" s="81" t="n">
        <f aca="true">RAND()</f>
        <v>0.471467457562116</v>
      </c>
      <c r="Q987" s="82" t="n">
        <f aca="false">IF(P987&lt;(Inputs!$E$27-Inputs!$D$27)/(Inputs!$F$27-Inputs!$D$27),Inputs!$D$27+SQRT(P987*(Inputs!$F$27-Inputs!$D$27)*(Inputs!$E$27-Inputs!$D$27)),Inputs!$F$27-SQRT((1-P987)*(Inputs!$F$27-Inputs!$D$27)*(Inputs!$F$27-Inputs!$E$27)))</f>
        <v>87.03974215202</v>
      </c>
      <c r="R987" s="81" t="n">
        <f aca="true">RAND()</f>
        <v>0.432238146842709</v>
      </c>
      <c r="S987" s="82" t="n">
        <f aca="false">IF(R987&lt;(Inputs!$E$29-Inputs!$D$29)/(Inputs!$F$29-Inputs!$D$29),Inputs!$D$29+SQRT(R987*(Inputs!$F$29-Inputs!$D$29)*(Inputs!$E$29-Inputs!$D$29)),Inputs!$F$29-SQRT((1-R987)*(Inputs!$F$29-Inputs!$D$29)*(Inputs!$F$29-Inputs!$E$29)))</f>
        <v>6.40878117433575</v>
      </c>
      <c r="T987" s="68" t="n">
        <f aca="false">Inputs!$E$9*(1+E987)+Inputs!$E$5*C987*(Inputs!$E$11*Inputs!$E$14*(G987*I987/Inputs!$E$16+(1-G987))*K987+Inputs!$E$23*M987)*(1+O987)+Inputs!$E$5*(Q987+S987)</f>
        <v>6421.34933311932</v>
      </c>
    </row>
    <row r="988" customFormat="false" ht="15" hidden="false" customHeight="false" outlineLevel="0" collapsed="false">
      <c r="A988" s="1" t="n">
        <v>984</v>
      </c>
      <c r="B988" s="81" t="n">
        <f aca="true">RAND()</f>
        <v>0.6192496923638</v>
      </c>
      <c r="C988" s="82" t="n">
        <f aca="false">ROUND(IF(B988&lt;(Inputs!$E$8-Inputs!$D$8)/(Inputs!$F$8-Inputs!$D$8),Inputs!$D$8+SQRT(B988*(Inputs!$F$8-Inputs!$D$8)*(Inputs!$E$8-Inputs!$D$8)),Inputs!$F$8-SQRT((1-B988)*(Inputs!$F$8-Inputs!$D$8)*(Inputs!$F$8-Inputs!$E$8))),0)</f>
        <v>26</v>
      </c>
      <c r="D988" s="81" t="n">
        <f aca="true">RAND()</f>
        <v>0.496245387638858</v>
      </c>
      <c r="E988" s="83" t="n">
        <f aca="false">IF(D988&lt;(Inputs!$E$10-Inputs!$D$10)/(Inputs!$F$10-Inputs!$D$10),Inputs!$D$10+SQRT(D988*(Inputs!$F$10-Inputs!$D$10)*(Inputs!$E$10-Inputs!$D$10)),Inputs!$F$10-SQRT((1-D988)*(Inputs!$F$10-Inputs!$D$10)*(Inputs!$F$10-Inputs!$E$10)))</f>
        <v>0.0770665286798007</v>
      </c>
      <c r="F988" s="81" t="n">
        <f aca="true">RAND()</f>
        <v>0.117163234103755</v>
      </c>
      <c r="G988" s="83" t="n">
        <f aca="false">IF(F988&lt;(Inputs!$E$15-Inputs!$D$15)/(Inputs!$F$15-Inputs!$D$15),Inputs!$D$15+SQRT(F988*(Inputs!$F$15-Inputs!$D$15)*(Inputs!$E$15-Inputs!$D$15)),Inputs!$F$15-SQRT((1-F988)*(Inputs!$F$15-Inputs!$D$15)*(Inputs!$F$15-Inputs!$E$15)))</f>
        <v>0.648407279226115</v>
      </c>
      <c r="H988" s="81" t="n">
        <f aca="true">RAND()</f>
        <v>0.29032600178228</v>
      </c>
      <c r="I988" s="82" t="n">
        <f aca="false">ROUND(IF(H988&lt;(Inputs!$E$17-Inputs!$D$17)/(Inputs!$F$17-Inputs!$D$17),Inputs!$D$17+SQRT(H988*(Inputs!$F$17-Inputs!$D$17)*(Inputs!$E$17-Inputs!$D$17)),Inputs!$F$17-SQRT((1-H988)*(Inputs!$F$17-Inputs!$D$17)*(Inputs!$F$17-Inputs!$E$17))),0)</f>
        <v>105</v>
      </c>
      <c r="J988" s="81" t="n">
        <f aca="true">RAND()</f>
        <v>0.268684322093883</v>
      </c>
      <c r="K988" s="83" t="n">
        <f aca="false">IF(J988&lt;(Inputs!$E$18-Inputs!$D$18)/(Inputs!$F$18-Inputs!$D$18),Inputs!$D$18+SQRT(J988*(Inputs!$F$18-Inputs!$D$18)*(Inputs!$E$18-Inputs!$D$18)),Inputs!$F$18-SQRT((1-J988)*(Inputs!$F$18-Inputs!$D$18)*(Inputs!$F$18-Inputs!$E$18)))</f>
        <v>0.996973972143488</v>
      </c>
      <c r="L988" s="81" t="n">
        <f aca="true">RAND()</f>
        <v>0.480225199822202</v>
      </c>
      <c r="M988" s="83" t="n">
        <f aca="false">IF(L988&lt;(Inputs!$E$24-Inputs!$D$24)/(Inputs!$F$24-Inputs!$D$24),Inputs!$D$24+SQRT(L988*(Inputs!$F$24-Inputs!$D$24)*(Inputs!$E$24-Inputs!$D$24)),Inputs!$F$24-SQRT((1-L988)*(Inputs!$F$24-Inputs!$D$24)*(Inputs!$F$24-Inputs!$E$24)))</f>
        <v>0.846806070206931</v>
      </c>
      <c r="N988" s="81" t="n">
        <f aca="true">RAND()</f>
        <v>0.553227042047062</v>
      </c>
      <c r="O988" s="83" t="n">
        <f aca="false">IF(N988&lt;(Inputs!$E$26-Inputs!$D$26)/(Inputs!$F$26-Inputs!$D$26),Inputs!$D$26+SQRT(N988*(Inputs!$F$26-Inputs!$D$26)*(Inputs!$E$26-Inputs!$D$26)),Inputs!$F$26-SQRT((1-N988)*(Inputs!$F$26-Inputs!$D$26)*(Inputs!$F$26-Inputs!$E$26)))</f>
        <v>0.603408931636218</v>
      </c>
      <c r="P988" s="81" t="n">
        <f aca="true">RAND()</f>
        <v>0.0503948254211096</v>
      </c>
      <c r="Q988" s="82" t="n">
        <f aca="false">IF(P988&lt;(Inputs!$E$27-Inputs!$D$27)/(Inputs!$F$27-Inputs!$D$27),Inputs!$D$27+SQRT(P988*(Inputs!$F$27-Inputs!$D$27)*(Inputs!$E$27-Inputs!$D$27)),Inputs!$F$27-SQRT((1-P988)*(Inputs!$F$27-Inputs!$D$27)*(Inputs!$F$27-Inputs!$E$27)))</f>
        <v>61.2243959103719</v>
      </c>
      <c r="R988" s="81" t="n">
        <f aca="true">RAND()</f>
        <v>0.367403333651173</v>
      </c>
      <c r="S988" s="82" t="n">
        <f aca="false">IF(R988&lt;(Inputs!$E$29-Inputs!$D$29)/(Inputs!$F$29-Inputs!$D$29),Inputs!$D$29+SQRT(R988*(Inputs!$F$29-Inputs!$D$29)*(Inputs!$E$29-Inputs!$D$29)),Inputs!$F$29-SQRT((1-R988)*(Inputs!$F$29-Inputs!$D$29)*(Inputs!$F$29-Inputs!$E$29)))</f>
        <v>5.93150692643218</v>
      </c>
      <c r="T988" s="68" t="n">
        <f aca="false">Inputs!$E$9*(1+E988)+Inputs!$E$5*C988*(Inputs!$E$11*Inputs!$E$14*(G988*I988/Inputs!$E$16+(1-G988))*K988+Inputs!$E$23*M988)*(1+O988)+Inputs!$E$5*(Q988+S988)</f>
        <v>6267.24243988566</v>
      </c>
    </row>
    <row r="989" customFormat="false" ht="15" hidden="false" customHeight="false" outlineLevel="0" collapsed="false">
      <c r="A989" s="1" t="n">
        <v>985</v>
      </c>
      <c r="B989" s="81" t="n">
        <f aca="true">RAND()</f>
        <v>0.602517216273358</v>
      </c>
      <c r="C989" s="82" t="n">
        <f aca="false">ROUND(IF(B989&lt;(Inputs!$E$8-Inputs!$D$8)/(Inputs!$F$8-Inputs!$D$8),Inputs!$D$8+SQRT(B989*(Inputs!$F$8-Inputs!$D$8)*(Inputs!$E$8-Inputs!$D$8)),Inputs!$F$8-SQRT((1-B989)*(Inputs!$F$8-Inputs!$D$8)*(Inputs!$F$8-Inputs!$E$8))),0)</f>
        <v>26</v>
      </c>
      <c r="D989" s="81" t="n">
        <f aca="true">RAND()</f>
        <v>0.790697497348627</v>
      </c>
      <c r="E989" s="83" t="n">
        <f aca="false">IF(D989&lt;(Inputs!$E$10-Inputs!$D$10)/(Inputs!$F$10-Inputs!$D$10),Inputs!$D$10+SQRT(D989*(Inputs!$F$10-Inputs!$D$10)*(Inputs!$E$10-Inputs!$D$10)),Inputs!$F$10-SQRT((1-D989)*(Inputs!$F$10-Inputs!$D$10)*(Inputs!$F$10-Inputs!$E$10)))</f>
        <v>0.120759384911895</v>
      </c>
      <c r="F989" s="81" t="n">
        <f aca="true">RAND()</f>
        <v>0.153032522632348</v>
      </c>
      <c r="G989" s="83" t="n">
        <f aca="false">IF(F989&lt;(Inputs!$E$15-Inputs!$D$15)/(Inputs!$F$15-Inputs!$D$15),Inputs!$D$15+SQRT(F989*(Inputs!$F$15-Inputs!$D$15)*(Inputs!$E$15-Inputs!$D$15)),Inputs!$F$15-SQRT((1-F989)*(Inputs!$F$15-Inputs!$D$15)*(Inputs!$F$15-Inputs!$E$15)))</f>
        <v>0.655323145722626</v>
      </c>
      <c r="H989" s="81" t="n">
        <f aca="true">RAND()</f>
        <v>0.50595648650911</v>
      </c>
      <c r="I989" s="82" t="n">
        <f aca="false">ROUND(IF(H989&lt;(Inputs!$E$17-Inputs!$D$17)/(Inputs!$F$17-Inputs!$D$17),Inputs!$D$17+SQRT(H989*(Inputs!$F$17-Inputs!$D$17)*(Inputs!$E$17-Inputs!$D$17)),Inputs!$F$17-SQRT((1-H989)*(Inputs!$F$17-Inputs!$D$17)*(Inputs!$F$17-Inputs!$E$17))),0)</f>
        <v>106</v>
      </c>
      <c r="J989" s="81" t="n">
        <f aca="true">RAND()</f>
        <v>0.422232109962598</v>
      </c>
      <c r="K989" s="83" t="n">
        <f aca="false">IF(J989&lt;(Inputs!$E$18-Inputs!$D$18)/(Inputs!$F$18-Inputs!$D$18),Inputs!$D$18+SQRT(J989*(Inputs!$F$18-Inputs!$D$18)*(Inputs!$E$18-Inputs!$D$18)),Inputs!$F$18-SQRT((1-J989)*(Inputs!$F$18-Inputs!$D$18)*(Inputs!$F$18-Inputs!$E$18)))</f>
        <v>1.02515629789057</v>
      </c>
      <c r="L989" s="81" t="n">
        <f aca="true">RAND()</f>
        <v>0.677516531472668</v>
      </c>
      <c r="M989" s="83" t="n">
        <f aca="false">IF(L989&lt;(Inputs!$E$24-Inputs!$D$24)/(Inputs!$F$24-Inputs!$D$24),Inputs!$D$24+SQRT(L989*(Inputs!$F$24-Inputs!$D$24)*(Inputs!$E$24-Inputs!$D$24)),Inputs!$F$24-SQRT((1-L989)*(Inputs!$F$24-Inputs!$D$24)*(Inputs!$F$24-Inputs!$E$24)))</f>
        <v>0.921798575764681</v>
      </c>
      <c r="N989" s="81" t="n">
        <f aca="true">RAND()</f>
        <v>0.845508253413516</v>
      </c>
      <c r="O989" s="83" t="n">
        <f aca="false">IF(N989&lt;(Inputs!$E$26-Inputs!$D$26)/(Inputs!$F$26-Inputs!$D$26),Inputs!$D$26+SQRT(N989*(Inputs!$F$26-Inputs!$D$26)*(Inputs!$E$26-Inputs!$D$26)),Inputs!$F$26-SQRT((1-N989)*(Inputs!$F$26-Inputs!$D$26)*(Inputs!$F$26-Inputs!$E$26)))</f>
        <v>0.693243770784256</v>
      </c>
      <c r="P989" s="81" t="n">
        <f aca="true">RAND()</f>
        <v>0.808405615888733</v>
      </c>
      <c r="Q989" s="82" t="n">
        <f aca="false">IF(P989&lt;(Inputs!$E$27-Inputs!$D$27)/(Inputs!$F$27-Inputs!$D$27),Inputs!$D$27+SQRT(P989*(Inputs!$F$27-Inputs!$D$27)*(Inputs!$E$27-Inputs!$D$27)),Inputs!$F$27-SQRT((1-P989)*(Inputs!$F$27-Inputs!$D$27)*(Inputs!$F$27-Inputs!$E$27)))</f>
        <v>112.092772709752</v>
      </c>
      <c r="R989" s="81" t="n">
        <f aca="true">RAND()</f>
        <v>0.725105515055809</v>
      </c>
      <c r="S989" s="82" t="n">
        <f aca="false">IF(R989&lt;(Inputs!$E$29-Inputs!$D$29)/(Inputs!$F$29-Inputs!$D$29),Inputs!$D$29+SQRT(R989*(Inputs!$F$29-Inputs!$D$29)*(Inputs!$E$29-Inputs!$D$29)),Inputs!$F$29-SQRT((1-R989)*(Inputs!$F$29-Inputs!$D$29)*(Inputs!$F$29-Inputs!$E$29)))</f>
        <v>9.02201680809114</v>
      </c>
      <c r="T989" s="68" t="n">
        <f aca="false">Inputs!$E$9*(1+E989)+Inputs!$E$5*C989*(Inputs!$E$11*Inputs!$E$14*(G989*I989/Inputs!$E$16+(1-G989))*K989+Inputs!$E$23*M989)*(1+O989)+Inputs!$E$5*(Q989+S989)</f>
        <v>7021.10523710396</v>
      </c>
    </row>
    <row r="990" customFormat="false" ht="15" hidden="false" customHeight="false" outlineLevel="0" collapsed="false">
      <c r="A990" s="1" t="n">
        <v>986</v>
      </c>
      <c r="B990" s="81" t="n">
        <f aca="true">RAND()</f>
        <v>0.158295099257693</v>
      </c>
      <c r="C990" s="82" t="n">
        <f aca="false">ROUND(IF(B990&lt;(Inputs!$E$8-Inputs!$D$8)/(Inputs!$F$8-Inputs!$D$8),Inputs!$D$8+SQRT(B990*(Inputs!$F$8-Inputs!$D$8)*(Inputs!$E$8-Inputs!$D$8)),Inputs!$F$8-SQRT((1-B990)*(Inputs!$F$8-Inputs!$D$8)*(Inputs!$F$8-Inputs!$E$8))),0)</f>
        <v>23</v>
      </c>
      <c r="D990" s="81" t="n">
        <f aca="true">RAND()</f>
        <v>0.660303605788948</v>
      </c>
      <c r="E990" s="83" t="n">
        <f aca="false">IF(D990&lt;(Inputs!$E$10-Inputs!$D$10)/(Inputs!$F$10-Inputs!$D$10),Inputs!$D$10+SQRT(D990*(Inputs!$F$10-Inputs!$D$10)*(Inputs!$E$10-Inputs!$D$10)),Inputs!$F$10-SQRT((1-D990)*(Inputs!$F$10-Inputs!$D$10)*(Inputs!$F$10-Inputs!$E$10)))</f>
        <v>0.099050052866128</v>
      </c>
      <c r="F990" s="81" t="n">
        <f aca="true">RAND()</f>
        <v>0.797917681101174</v>
      </c>
      <c r="G990" s="83" t="n">
        <f aca="false">IF(F990&lt;(Inputs!$E$15-Inputs!$D$15)/(Inputs!$F$15-Inputs!$D$15),Inputs!$D$15+SQRT(F990*(Inputs!$F$15-Inputs!$D$15)*(Inputs!$E$15-Inputs!$D$15)),Inputs!$F$15-SQRT((1-F990)*(Inputs!$F$15-Inputs!$D$15)*(Inputs!$F$15-Inputs!$E$15)))</f>
        <v>0.736426055824918</v>
      </c>
      <c r="H990" s="81" t="n">
        <f aca="true">RAND()</f>
        <v>0.856029986228315</v>
      </c>
      <c r="I990" s="82" t="n">
        <f aca="false">ROUND(IF(H990&lt;(Inputs!$E$17-Inputs!$D$17)/(Inputs!$F$17-Inputs!$D$17),Inputs!$D$17+SQRT(H990*(Inputs!$F$17-Inputs!$D$17)*(Inputs!$E$17-Inputs!$D$17)),Inputs!$F$17-SQRT((1-H990)*(Inputs!$F$17-Inputs!$D$17)*(Inputs!$F$17-Inputs!$E$17))),0)</f>
        <v>110</v>
      </c>
      <c r="J990" s="81" t="n">
        <f aca="true">RAND()</f>
        <v>0.612962201779529</v>
      </c>
      <c r="K990" s="83" t="n">
        <f aca="false">IF(J990&lt;(Inputs!$E$18-Inputs!$D$18)/(Inputs!$F$18-Inputs!$D$18),Inputs!$D$18+SQRT(J990*(Inputs!$F$18-Inputs!$D$18)*(Inputs!$E$18-Inputs!$D$18)),Inputs!$F$18-SQRT((1-J990)*(Inputs!$F$18-Inputs!$D$18)*(Inputs!$F$18-Inputs!$E$18)))</f>
        <v>1.06597335153763</v>
      </c>
      <c r="L990" s="81" t="n">
        <f aca="true">RAND()</f>
        <v>0.897858204282958</v>
      </c>
      <c r="M990" s="83" t="n">
        <f aca="false">IF(L990&lt;(Inputs!$E$24-Inputs!$D$24)/(Inputs!$F$24-Inputs!$D$24),Inputs!$D$24+SQRT(L990*(Inputs!$F$24-Inputs!$D$24)*(Inputs!$E$24-Inputs!$D$24)),Inputs!$F$24-SQRT((1-L990)*(Inputs!$F$24-Inputs!$D$24)*(Inputs!$F$24-Inputs!$E$24)))</f>
        <v>1.04343042769398</v>
      </c>
      <c r="N990" s="81" t="n">
        <f aca="true">RAND()</f>
        <v>0.449792195280851</v>
      </c>
      <c r="O990" s="83" t="n">
        <f aca="false">IF(N990&lt;(Inputs!$E$26-Inputs!$D$26)/(Inputs!$F$26-Inputs!$D$26),Inputs!$D$26+SQRT(N990*(Inputs!$F$26-Inputs!$D$26)*(Inputs!$E$26-Inputs!$D$26)),Inputs!$F$26-SQRT((1-N990)*(Inputs!$F$26-Inputs!$D$26)*(Inputs!$F$26-Inputs!$E$26)))</f>
        <v>0.573578912372159</v>
      </c>
      <c r="P990" s="81" t="n">
        <f aca="true">RAND()</f>
        <v>0.967840799492021</v>
      </c>
      <c r="Q990" s="82" t="n">
        <f aca="false">IF(P990&lt;(Inputs!$E$27-Inputs!$D$27)/(Inputs!$F$27-Inputs!$D$27),Inputs!$D$27+SQRT(P990*(Inputs!$F$27-Inputs!$D$27)*(Inputs!$E$27-Inputs!$D$27)),Inputs!$F$27-SQRT((1-P990)*(Inputs!$F$27-Inputs!$D$27)*(Inputs!$F$27-Inputs!$E$27)))</f>
        <v>134.469578118742</v>
      </c>
      <c r="R990" s="81" t="n">
        <f aca="true">RAND()</f>
        <v>0.140932102637943</v>
      </c>
      <c r="S990" s="82" t="n">
        <f aca="false">IF(R990&lt;(Inputs!$E$29-Inputs!$D$29)/(Inputs!$F$29-Inputs!$D$29),Inputs!$D$29+SQRT(R990*(Inputs!$F$29-Inputs!$D$29)*(Inputs!$E$29-Inputs!$D$29)),Inputs!$F$29-SQRT((1-R990)*(Inputs!$F$29-Inputs!$D$29)*(Inputs!$F$29-Inputs!$E$29)))</f>
        <v>4.34442999530372</v>
      </c>
      <c r="T990" s="68" t="n">
        <f aca="false">Inputs!$E$9*(1+E990)+Inputs!$E$5*C990*(Inputs!$E$11*Inputs!$E$14*(G990*I990/Inputs!$E$16+(1-G990))*K990+Inputs!$E$23*M990)*(1+O990)+Inputs!$E$5*(Q990+S990)</f>
        <v>6542.434662226</v>
      </c>
    </row>
    <row r="991" customFormat="false" ht="15" hidden="false" customHeight="false" outlineLevel="0" collapsed="false">
      <c r="A991" s="1" t="n">
        <v>987</v>
      </c>
      <c r="B991" s="81" t="n">
        <f aca="true">RAND()</f>
        <v>0.321971043674993</v>
      </c>
      <c r="C991" s="82" t="n">
        <f aca="false">ROUND(IF(B991&lt;(Inputs!$E$8-Inputs!$D$8)/(Inputs!$F$8-Inputs!$D$8),Inputs!$D$8+SQRT(B991*(Inputs!$F$8-Inputs!$D$8)*(Inputs!$E$8-Inputs!$D$8)),Inputs!$F$8-SQRT((1-B991)*(Inputs!$F$8-Inputs!$D$8)*(Inputs!$F$8-Inputs!$E$8))),0)</f>
        <v>24</v>
      </c>
      <c r="D991" s="81" t="n">
        <f aca="true">RAND()</f>
        <v>0.720730028744275</v>
      </c>
      <c r="E991" s="83" t="n">
        <f aca="false">IF(D991&lt;(Inputs!$E$10-Inputs!$D$10)/(Inputs!$F$10-Inputs!$D$10),Inputs!$D$10+SQRT(D991*(Inputs!$F$10-Inputs!$D$10)*(Inputs!$E$10-Inputs!$D$10)),Inputs!$F$10-SQRT((1-D991)*(Inputs!$F$10-Inputs!$D$10)*(Inputs!$F$10-Inputs!$E$10)))</f>
        <v>0.108468043079634</v>
      </c>
      <c r="F991" s="81" t="n">
        <f aca="true">RAND()</f>
        <v>0.877935028298705</v>
      </c>
      <c r="G991" s="83" t="n">
        <f aca="false">IF(F991&lt;(Inputs!$E$15-Inputs!$D$15)/(Inputs!$F$15-Inputs!$D$15),Inputs!$D$15+SQRT(F991*(Inputs!$F$15-Inputs!$D$15)*(Inputs!$E$15-Inputs!$D$15)),Inputs!$F$15-SQRT((1-F991)*(Inputs!$F$15-Inputs!$D$15)*(Inputs!$F$15-Inputs!$E$15)))</f>
        <v>0.750590492473352</v>
      </c>
      <c r="H991" s="81" t="n">
        <f aca="true">RAND()</f>
        <v>0.743263098852106</v>
      </c>
      <c r="I991" s="82" t="n">
        <f aca="false">ROUND(IF(H991&lt;(Inputs!$E$17-Inputs!$D$17)/(Inputs!$F$17-Inputs!$D$17),Inputs!$D$17+SQRT(H991*(Inputs!$F$17-Inputs!$D$17)*(Inputs!$E$17-Inputs!$D$17)),Inputs!$F$17-SQRT((1-H991)*(Inputs!$F$17-Inputs!$D$17)*(Inputs!$F$17-Inputs!$E$17))),0)</f>
        <v>109</v>
      </c>
      <c r="J991" s="81" t="n">
        <f aca="true">RAND()</f>
        <v>0.551300674255859</v>
      </c>
      <c r="K991" s="83" t="n">
        <f aca="false">IF(J991&lt;(Inputs!$E$18-Inputs!$D$18)/(Inputs!$F$18-Inputs!$D$18),Inputs!$D$18+SQRT(J991*(Inputs!$F$18-Inputs!$D$18)*(Inputs!$E$18-Inputs!$D$18)),Inputs!$F$18-SQRT((1-J991)*(Inputs!$F$18-Inputs!$D$18)*(Inputs!$F$18-Inputs!$E$18)))</f>
        <v>1.05185563090864</v>
      </c>
      <c r="L991" s="81" t="n">
        <f aca="true">RAND()</f>
        <v>0.786629178540715</v>
      </c>
      <c r="M991" s="83" t="n">
        <f aca="false">IF(L991&lt;(Inputs!$E$24-Inputs!$D$24)/(Inputs!$F$24-Inputs!$D$24),Inputs!$D$24+SQRT(L991*(Inputs!$F$24-Inputs!$D$24)*(Inputs!$E$24-Inputs!$D$24)),Inputs!$F$24-SQRT((1-L991)*(Inputs!$F$24-Inputs!$D$24)*(Inputs!$F$24-Inputs!$E$24)))</f>
        <v>0.973705949812576</v>
      </c>
      <c r="N991" s="81" t="n">
        <f aca="true">RAND()</f>
        <v>0.115489532183209</v>
      </c>
      <c r="O991" s="83" t="n">
        <f aca="false">IF(N991&lt;(Inputs!$E$26-Inputs!$D$26)/(Inputs!$F$26-Inputs!$D$26),Inputs!$D$26+SQRT(N991*(Inputs!$F$26-Inputs!$D$26)*(Inputs!$E$26-Inputs!$D$26)),Inputs!$F$26-SQRT((1-N991)*(Inputs!$F$26-Inputs!$D$26)*(Inputs!$F$26-Inputs!$E$26)))</f>
        <v>0.438627046983213</v>
      </c>
      <c r="P991" s="81" t="n">
        <f aca="true">RAND()</f>
        <v>0.211636308983456</v>
      </c>
      <c r="Q991" s="82" t="n">
        <f aca="false">IF(P991&lt;(Inputs!$E$27-Inputs!$D$27)/(Inputs!$F$27-Inputs!$D$27),Inputs!$D$27+SQRT(P991*(Inputs!$F$27-Inputs!$D$27)*(Inputs!$E$27-Inputs!$D$27)),Inputs!$F$27-SQRT((1-P991)*(Inputs!$F$27-Inputs!$D$27)*(Inputs!$F$27-Inputs!$E$27)))</f>
        <v>73.001973229674</v>
      </c>
      <c r="R991" s="81" t="n">
        <f aca="true">RAND()</f>
        <v>0.267294006322086</v>
      </c>
      <c r="S991" s="82" t="n">
        <f aca="false">IF(R991&lt;(Inputs!$E$29-Inputs!$D$29)/(Inputs!$F$29-Inputs!$D$29),Inputs!$D$29+SQRT(R991*(Inputs!$F$29-Inputs!$D$29)*(Inputs!$E$29-Inputs!$D$29)),Inputs!$F$29-SQRT((1-R991)*(Inputs!$F$29-Inputs!$D$29)*(Inputs!$F$29-Inputs!$E$29)))</f>
        <v>5.24029820239733</v>
      </c>
      <c r="T991" s="68" t="n">
        <f aca="false">Inputs!$E$9*(1+E991)+Inputs!$E$5*C991*(Inputs!$E$11*Inputs!$E$14*(G991*I991/Inputs!$E$16+(1-G991))*K991+Inputs!$E$23*M991)*(1+O991)+Inputs!$E$5*(Q991+S991)</f>
        <v>5962.88789043303</v>
      </c>
    </row>
    <row r="992" customFormat="false" ht="15" hidden="false" customHeight="false" outlineLevel="0" collapsed="false">
      <c r="A992" s="1" t="n">
        <v>988</v>
      </c>
      <c r="B992" s="81" t="n">
        <f aca="true">RAND()</f>
        <v>0.835720950050322</v>
      </c>
      <c r="C992" s="82" t="n">
        <f aca="false">ROUND(IF(B992&lt;(Inputs!$E$8-Inputs!$D$8)/(Inputs!$F$8-Inputs!$D$8),Inputs!$D$8+SQRT(B992*(Inputs!$F$8-Inputs!$D$8)*(Inputs!$E$8-Inputs!$D$8)),Inputs!$F$8-SQRT((1-B992)*(Inputs!$F$8-Inputs!$D$8)*(Inputs!$F$8-Inputs!$E$8))),0)</f>
        <v>27</v>
      </c>
      <c r="D992" s="81" t="n">
        <f aca="true">RAND()</f>
        <v>0.755624631806381</v>
      </c>
      <c r="E992" s="83" t="n">
        <f aca="false">IF(D992&lt;(Inputs!$E$10-Inputs!$D$10)/(Inputs!$F$10-Inputs!$D$10),Inputs!$D$10+SQRT(D992*(Inputs!$F$10-Inputs!$D$10)*(Inputs!$E$10-Inputs!$D$10)),Inputs!$F$10-SQRT((1-D992)*(Inputs!$F$10-Inputs!$D$10)*(Inputs!$F$10-Inputs!$E$10)))</f>
        <v>0.114377216549515</v>
      </c>
      <c r="F992" s="81" t="n">
        <f aca="true">RAND()</f>
        <v>0.823776469322142</v>
      </c>
      <c r="G992" s="83" t="n">
        <f aca="false">IF(F992&lt;(Inputs!$E$15-Inputs!$D$15)/(Inputs!$F$15-Inputs!$D$15),Inputs!$D$15+SQRT(F992*(Inputs!$F$15-Inputs!$D$15)*(Inputs!$E$15-Inputs!$D$15)),Inputs!$F$15-SQRT((1-F992)*(Inputs!$F$15-Inputs!$D$15)*(Inputs!$F$15-Inputs!$E$15)))</f>
        <v>0.740632747970306</v>
      </c>
      <c r="H992" s="81" t="n">
        <f aca="true">RAND()</f>
        <v>0.849764797050747</v>
      </c>
      <c r="I992" s="82" t="n">
        <f aca="false">ROUND(IF(H992&lt;(Inputs!$E$17-Inputs!$D$17)/(Inputs!$F$17-Inputs!$D$17),Inputs!$D$17+SQRT(H992*(Inputs!$F$17-Inputs!$D$17)*(Inputs!$E$17-Inputs!$D$17)),Inputs!$F$17-SQRT((1-H992)*(Inputs!$F$17-Inputs!$D$17)*(Inputs!$F$17-Inputs!$E$17))),0)</f>
        <v>110</v>
      </c>
      <c r="J992" s="81" t="n">
        <f aca="true">RAND()</f>
        <v>0.159700234437061</v>
      </c>
      <c r="K992" s="83" t="n">
        <f aca="false">IF(J992&lt;(Inputs!$E$18-Inputs!$D$18)/(Inputs!$F$18-Inputs!$D$18),Inputs!$D$18+SQRT(J992*(Inputs!$F$18-Inputs!$D$18)*(Inputs!$E$18-Inputs!$D$18)),Inputs!$F$18-SQRT((1-J992)*(Inputs!$F$18-Inputs!$D$18)*(Inputs!$F$18-Inputs!$E$18)))</f>
        <v>0.974763013618347</v>
      </c>
      <c r="L992" s="81" t="n">
        <f aca="true">RAND()</f>
        <v>0.58457308139765</v>
      </c>
      <c r="M992" s="83" t="n">
        <f aca="false">IF(L992&lt;(Inputs!$E$24-Inputs!$D$24)/(Inputs!$F$24-Inputs!$D$24),Inputs!$D$24+SQRT(L992*(Inputs!$F$24-Inputs!$D$24)*(Inputs!$E$24-Inputs!$D$24)),Inputs!$F$24-SQRT((1-L992)*(Inputs!$F$24-Inputs!$D$24)*(Inputs!$F$24-Inputs!$E$24)))</f>
        <v>0.88424303576237</v>
      </c>
      <c r="N992" s="81" t="n">
        <f aca="true">RAND()</f>
        <v>0.511320918062769</v>
      </c>
      <c r="O992" s="83" t="n">
        <f aca="false">IF(N992&lt;(Inputs!$E$26-Inputs!$D$26)/(Inputs!$F$26-Inputs!$D$26),Inputs!$D$26+SQRT(N992*(Inputs!$F$26-Inputs!$D$26)*(Inputs!$E$26-Inputs!$D$26)),Inputs!$F$26-SQRT((1-N992)*(Inputs!$F$26-Inputs!$D$26)*(Inputs!$F$26-Inputs!$E$26)))</f>
        <v>0.591691276464766</v>
      </c>
      <c r="P992" s="81" t="n">
        <f aca="true">RAND()</f>
        <v>0.433744421328283</v>
      </c>
      <c r="Q992" s="82" t="n">
        <f aca="false">IF(P992&lt;(Inputs!$E$27-Inputs!$D$27)/(Inputs!$F$27-Inputs!$D$27),Inputs!$D$27+SQRT(P992*(Inputs!$F$27-Inputs!$D$27)*(Inputs!$E$27-Inputs!$D$27)),Inputs!$F$27-SQRT((1-P992)*(Inputs!$F$27-Inputs!$D$27)*(Inputs!$F$27-Inputs!$E$27)))</f>
        <v>84.831626995621</v>
      </c>
      <c r="R992" s="81" t="n">
        <f aca="true">RAND()</f>
        <v>0.0539798686272994</v>
      </c>
      <c r="S992" s="82" t="n">
        <f aca="false">IF(R992&lt;(Inputs!$E$29-Inputs!$D$29)/(Inputs!$F$29-Inputs!$D$29),Inputs!$D$29+SQRT(R992*(Inputs!$F$29-Inputs!$D$29)*(Inputs!$E$29-Inputs!$D$29)),Inputs!$F$29-SQRT((1-R992)*(Inputs!$F$29-Inputs!$D$29)*(Inputs!$F$29-Inputs!$E$29)))</f>
        <v>3.45093586228499</v>
      </c>
      <c r="T992" s="68" t="n">
        <f aca="false">Inputs!$E$9*(1+E992)+Inputs!$E$5*C992*(Inputs!$E$11*Inputs!$E$14*(G992*I992/Inputs!$E$16+(1-G992))*K992+Inputs!$E$23*M992)*(1+O992)+Inputs!$E$5*(Q992+S992)</f>
        <v>6505.30006517238</v>
      </c>
    </row>
    <row r="993" customFormat="false" ht="15" hidden="false" customHeight="false" outlineLevel="0" collapsed="false">
      <c r="A993" s="1" t="n">
        <v>989</v>
      </c>
      <c r="B993" s="81" t="n">
        <f aca="true">RAND()</f>
        <v>0.0481951215895881</v>
      </c>
      <c r="C993" s="82" t="n">
        <f aca="false">ROUND(IF(B993&lt;(Inputs!$E$8-Inputs!$D$8)/(Inputs!$F$8-Inputs!$D$8),Inputs!$D$8+SQRT(B993*(Inputs!$F$8-Inputs!$D$8)*(Inputs!$E$8-Inputs!$D$8)),Inputs!$F$8-SQRT((1-B993)*(Inputs!$F$8-Inputs!$D$8)*(Inputs!$F$8-Inputs!$E$8))),0)</f>
        <v>22</v>
      </c>
      <c r="D993" s="81" t="n">
        <f aca="true">RAND()</f>
        <v>0.683690697138173</v>
      </c>
      <c r="E993" s="83" t="n">
        <f aca="false">IF(D993&lt;(Inputs!$E$10-Inputs!$D$10)/(Inputs!$F$10-Inputs!$D$10),Inputs!$D$10+SQRT(D993*(Inputs!$F$10-Inputs!$D$10)*(Inputs!$E$10-Inputs!$D$10)),Inputs!$F$10-SQRT((1-D993)*(Inputs!$F$10-Inputs!$D$10)*(Inputs!$F$10-Inputs!$E$10)))</f>
        <v>0.102587069206112</v>
      </c>
      <c r="F993" s="81" t="n">
        <f aca="true">RAND()</f>
        <v>0.285562684598599</v>
      </c>
      <c r="G993" s="83" t="n">
        <f aca="false">IF(F993&lt;(Inputs!$E$15-Inputs!$D$15)/(Inputs!$F$15-Inputs!$D$15),Inputs!$D$15+SQRT(F993*(Inputs!$F$15-Inputs!$D$15)*(Inputs!$E$15-Inputs!$D$15)),Inputs!$F$15-SQRT((1-F993)*(Inputs!$F$15-Inputs!$D$15)*(Inputs!$F$15-Inputs!$E$15)))</f>
        <v>0.675572836998302</v>
      </c>
      <c r="H993" s="81" t="n">
        <f aca="true">RAND()</f>
        <v>0.392051116866694</v>
      </c>
      <c r="I993" s="82" t="n">
        <f aca="false">ROUND(IF(H993&lt;(Inputs!$E$17-Inputs!$D$17)/(Inputs!$F$17-Inputs!$D$17),Inputs!$D$17+SQRT(H993*(Inputs!$F$17-Inputs!$D$17)*(Inputs!$E$17-Inputs!$D$17)),Inputs!$F$17-SQRT((1-H993)*(Inputs!$F$17-Inputs!$D$17)*(Inputs!$F$17-Inputs!$E$17))),0)</f>
        <v>105</v>
      </c>
      <c r="J993" s="81" t="n">
        <f aca="true">RAND()</f>
        <v>0.879682873149797</v>
      </c>
      <c r="K993" s="83" t="n">
        <f aca="false">IF(J993&lt;(Inputs!$E$18-Inputs!$D$18)/(Inputs!$F$18-Inputs!$D$18),Inputs!$D$18+SQRT(J993*(Inputs!$F$18-Inputs!$D$18)*(Inputs!$E$18-Inputs!$D$18)),Inputs!$F$18-SQRT((1-J993)*(Inputs!$F$18-Inputs!$D$18)*(Inputs!$F$18-Inputs!$E$18)))</f>
        <v>1.14739518237727</v>
      </c>
      <c r="L993" s="81" t="n">
        <f aca="true">RAND()</f>
        <v>0.463496606438073</v>
      </c>
      <c r="M993" s="83" t="n">
        <f aca="false">IF(L993&lt;(Inputs!$E$24-Inputs!$D$24)/(Inputs!$F$24-Inputs!$D$24),Inputs!$D$24+SQRT(L993*(Inputs!$F$24-Inputs!$D$24)*(Inputs!$E$24-Inputs!$D$24)),Inputs!$F$24-SQRT((1-L993)*(Inputs!$F$24-Inputs!$D$24)*(Inputs!$F$24-Inputs!$E$24)))</f>
        <v>0.84116742838078</v>
      </c>
      <c r="N993" s="81" t="n">
        <f aca="true">RAND()</f>
        <v>0.580262084275812</v>
      </c>
      <c r="O993" s="83" t="n">
        <f aca="false">IF(N993&lt;(Inputs!$E$26-Inputs!$D$26)/(Inputs!$F$26-Inputs!$D$26),Inputs!$D$26+SQRT(N993*(Inputs!$F$26-Inputs!$D$26)*(Inputs!$E$26-Inputs!$D$26)),Inputs!$F$26-SQRT((1-N993)*(Inputs!$F$26-Inputs!$D$26)*(Inputs!$F$26-Inputs!$E$26)))</f>
        <v>0.610733987235859</v>
      </c>
      <c r="P993" s="81" t="n">
        <f aca="true">RAND()</f>
        <v>0.497797746853551</v>
      </c>
      <c r="Q993" s="82" t="n">
        <f aca="false">IF(P993&lt;(Inputs!$E$27-Inputs!$D$27)/(Inputs!$F$27-Inputs!$D$27),Inputs!$D$27+SQRT(P993*(Inputs!$F$27-Inputs!$D$27)*(Inputs!$E$27-Inputs!$D$27)),Inputs!$F$27-SQRT((1-P993)*(Inputs!$F$27-Inputs!$D$27)*(Inputs!$F$27-Inputs!$E$27)))</f>
        <v>88.6280446897904</v>
      </c>
      <c r="R993" s="81" t="n">
        <f aca="true">RAND()</f>
        <v>0.754154665328094</v>
      </c>
      <c r="S993" s="82" t="n">
        <f aca="false">IF(R993&lt;(Inputs!$E$29-Inputs!$D$29)/(Inputs!$F$29-Inputs!$D$29),Inputs!$D$29+SQRT(R993*(Inputs!$F$29-Inputs!$D$29)*(Inputs!$E$29-Inputs!$D$29)),Inputs!$F$29-SQRT((1-R993)*(Inputs!$F$29-Inputs!$D$29)*(Inputs!$F$29-Inputs!$E$29)))</f>
        <v>9.34669180856485</v>
      </c>
      <c r="T993" s="68" t="n">
        <f aca="false">Inputs!$E$9*(1+E993)+Inputs!$E$5*C993*(Inputs!$E$11*Inputs!$E$14*(G993*I993/Inputs!$E$16+(1-G993))*K993+Inputs!$E$23*M993)*(1+O993)+Inputs!$E$5*(Q993+S993)</f>
        <v>6194.75725556708</v>
      </c>
    </row>
    <row r="994" customFormat="false" ht="15" hidden="false" customHeight="false" outlineLevel="0" collapsed="false">
      <c r="A994" s="1" t="n">
        <v>990</v>
      </c>
      <c r="B994" s="81" t="n">
        <f aca="true">RAND()</f>
        <v>0.506166829536465</v>
      </c>
      <c r="C994" s="82" t="n">
        <f aca="false">ROUND(IF(B994&lt;(Inputs!$E$8-Inputs!$D$8)/(Inputs!$F$8-Inputs!$D$8),Inputs!$D$8+SQRT(B994*(Inputs!$F$8-Inputs!$D$8)*(Inputs!$E$8-Inputs!$D$8)),Inputs!$F$8-SQRT((1-B994)*(Inputs!$F$8-Inputs!$D$8)*(Inputs!$F$8-Inputs!$E$8))),0)</f>
        <v>25</v>
      </c>
      <c r="D994" s="81" t="n">
        <f aca="true">RAND()</f>
        <v>0.566515881242757</v>
      </c>
      <c r="E994" s="83" t="n">
        <f aca="false">IF(D994&lt;(Inputs!$E$10-Inputs!$D$10)/(Inputs!$F$10-Inputs!$D$10),Inputs!$D$10+SQRT(D994*(Inputs!$F$10-Inputs!$D$10)*(Inputs!$E$10-Inputs!$D$10)),Inputs!$F$10-SQRT((1-D994)*(Inputs!$F$10-Inputs!$D$10)*(Inputs!$F$10-Inputs!$E$10)))</f>
        <v>0.0859626220806647</v>
      </c>
      <c r="F994" s="81" t="n">
        <f aca="true">RAND()</f>
        <v>0.0151256085924998</v>
      </c>
      <c r="G994" s="83" t="n">
        <f aca="false">IF(F994&lt;(Inputs!$E$15-Inputs!$D$15)/(Inputs!$F$15-Inputs!$D$15),Inputs!$D$15+SQRT(F994*(Inputs!$F$15-Inputs!$D$15)*(Inputs!$E$15-Inputs!$D$15)),Inputs!$F$15-SQRT((1-F994)*(Inputs!$F$15-Inputs!$D$15)*(Inputs!$F$15-Inputs!$E$15)))</f>
        <v>0.617392877043491</v>
      </c>
      <c r="H994" s="81" t="n">
        <f aca="true">RAND()</f>
        <v>0.767088989831279</v>
      </c>
      <c r="I994" s="82" t="n">
        <f aca="false">ROUND(IF(H994&lt;(Inputs!$E$17-Inputs!$D$17)/(Inputs!$F$17-Inputs!$D$17),Inputs!$D$17+SQRT(H994*(Inputs!$F$17-Inputs!$D$17)*(Inputs!$E$17-Inputs!$D$17)),Inputs!$F$17-SQRT((1-H994)*(Inputs!$F$17-Inputs!$D$17)*(Inputs!$F$17-Inputs!$E$17))),0)</f>
        <v>109</v>
      </c>
      <c r="J994" s="81" t="n">
        <f aca="true">RAND()</f>
        <v>0.640784776395408</v>
      </c>
      <c r="K994" s="83" t="n">
        <f aca="false">IF(J994&lt;(Inputs!$E$18-Inputs!$D$18)/(Inputs!$F$18-Inputs!$D$18),Inputs!$D$18+SQRT(J994*(Inputs!$F$18-Inputs!$D$18)*(Inputs!$E$18-Inputs!$D$18)),Inputs!$F$18-SQRT((1-J994)*(Inputs!$F$18-Inputs!$D$18)*(Inputs!$F$18-Inputs!$E$18)))</f>
        <v>1.07271116203945</v>
      </c>
      <c r="L994" s="81" t="n">
        <f aca="true">RAND()</f>
        <v>0.149006241225402</v>
      </c>
      <c r="M994" s="83" t="n">
        <f aca="false">IF(L994&lt;(Inputs!$E$24-Inputs!$D$24)/(Inputs!$F$24-Inputs!$D$24),Inputs!$D$24+SQRT(L994*(Inputs!$F$24-Inputs!$D$24)*(Inputs!$E$24-Inputs!$D$24)),Inputs!$F$24-SQRT((1-L994)*(Inputs!$F$24-Inputs!$D$24)*(Inputs!$F$24-Inputs!$E$24)))</f>
        <v>0.73371891768575</v>
      </c>
      <c r="N994" s="81" t="n">
        <f aca="true">RAND()</f>
        <v>0.849241385334969</v>
      </c>
      <c r="O994" s="83" t="n">
        <f aca="false">IF(N994&lt;(Inputs!$E$26-Inputs!$D$26)/(Inputs!$F$26-Inputs!$D$26),Inputs!$D$26+SQRT(N994*(Inputs!$F$26-Inputs!$D$26)*(Inputs!$E$26-Inputs!$D$26)),Inputs!$F$26-SQRT((1-N994)*(Inputs!$F$26-Inputs!$D$26)*(Inputs!$F$26-Inputs!$E$26)))</f>
        <v>0.694784601884739</v>
      </c>
      <c r="P994" s="81" t="n">
        <f aca="true">RAND()</f>
        <v>0.156688457387926</v>
      </c>
      <c r="Q994" s="82" t="n">
        <f aca="false">IF(P994&lt;(Inputs!$E$27-Inputs!$D$27)/(Inputs!$F$27-Inputs!$D$27),Inputs!$D$27+SQRT(P994*(Inputs!$F$27-Inputs!$D$27)*(Inputs!$E$27-Inputs!$D$27)),Inputs!$F$27-SQRT((1-P994)*(Inputs!$F$27-Inputs!$D$27)*(Inputs!$F$27-Inputs!$E$27)))</f>
        <v>69.7919464295408</v>
      </c>
      <c r="R994" s="81" t="n">
        <f aca="true">RAND()</f>
        <v>0.23183069966118</v>
      </c>
      <c r="S994" s="82" t="n">
        <f aca="false">IF(R994&lt;(Inputs!$E$29-Inputs!$D$29)/(Inputs!$F$29-Inputs!$D$29),Inputs!$D$29+SQRT(R994*(Inputs!$F$29-Inputs!$D$29)*(Inputs!$E$29-Inputs!$D$29)),Inputs!$F$29-SQRT((1-R994)*(Inputs!$F$29-Inputs!$D$29)*(Inputs!$F$29-Inputs!$E$29)))</f>
        <v>5.0069019296293</v>
      </c>
      <c r="T994" s="68" t="n">
        <f aca="false">Inputs!$E$9*(1+E994)+Inputs!$E$5*C994*(Inputs!$E$11*Inputs!$E$14*(G994*I994/Inputs!$E$16+(1-G994))*K994+Inputs!$E$23*M994)*(1+O994)+Inputs!$E$5*(Q994+S994)</f>
        <v>6483.89470738363</v>
      </c>
    </row>
    <row r="995" customFormat="false" ht="15" hidden="false" customHeight="false" outlineLevel="0" collapsed="false">
      <c r="A995" s="1" t="n">
        <v>991</v>
      </c>
      <c r="B995" s="81" t="n">
        <f aca="true">RAND()</f>
        <v>0.27591866157294</v>
      </c>
      <c r="C995" s="82" t="n">
        <f aca="false">ROUND(IF(B995&lt;(Inputs!$E$8-Inputs!$D$8)/(Inputs!$F$8-Inputs!$D$8),Inputs!$D$8+SQRT(B995*(Inputs!$F$8-Inputs!$D$8)*(Inputs!$E$8-Inputs!$D$8)),Inputs!$F$8-SQRT((1-B995)*(Inputs!$F$8-Inputs!$D$8)*(Inputs!$F$8-Inputs!$E$8))),0)</f>
        <v>24</v>
      </c>
      <c r="D995" s="81" t="n">
        <f aca="true">RAND()</f>
        <v>0.328123087138948</v>
      </c>
      <c r="E995" s="83" t="n">
        <f aca="false">IF(D995&lt;(Inputs!$E$10-Inputs!$D$10)/(Inputs!$F$10-Inputs!$D$10),Inputs!$D$10+SQRT(D995*(Inputs!$F$10-Inputs!$D$10)*(Inputs!$E$10-Inputs!$D$10)),Inputs!$F$10-SQRT((1-D995)*(Inputs!$F$10-Inputs!$D$10)*(Inputs!$F$10-Inputs!$E$10)))</f>
        <v>0.0580270892535074</v>
      </c>
      <c r="F995" s="81" t="n">
        <f aca="true">RAND()</f>
        <v>0.942027830675878</v>
      </c>
      <c r="G995" s="83" t="n">
        <f aca="false">IF(F995&lt;(Inputs!$E$15-Inputs!$D$15)/(Inputs!$F$15-Inputs!$D$15),Inputs!$D$15+SQRT(F995*(Inputs!$F$15-Inputs!$D$15)*(Inputs!$E$15-Inputs!$D$15)),Inputs!$F$15-SQRT((1-F995)*(Inputs!$F$15-Inputs!$D$15)*(Inputs!$F$15-Inputs!$E$15)))</f>
        <v>0.765949399616417</v>
      </c>
      <c r="H995" s="81" t="n">
        <f aca="true">RAND()</f>
        <v>0.0979443700141882</v>
      </c>
      <c r="I995" s="82" t="n">
        <f aca="false">ROUND(IF(H995&lt;(Inputs!$E$17-Inputs!$D$17)/(Inputs!$F$17-Inputs!$D$17),Inputs!$D$17+SQRT(H995*(Inputs!$F$17-Inputs!$D$17)*(Inputs!$E$17-Inputs!$D$17)),Inputs!$F$17-SQRT((1-H995)*(Inputs!$F$17-Inputs!$D$17)*(Inputs!$F$17-Inputs!$E$17))),0)</f>
        <v>103</v>
      </c>
      <c r="J995" s="81" t="n">
        <f aca="true">RAND()</f>
        <v>0.564136186744764</v>
      </c>
      <c r="K995" s="83" t="n">
        <f aca="false">IF(J995&lt;(Inputs!$E$18-Inputs!$D$18)/(Inputs!$F$18-Inputs!$D$18),Inputs!$D$18+SQRT(J995*(Inputs!$F$18-Inputs!$D$18)*(Inputs!$E$18-Inputs!$D$18)),Inputs!$F$18-SQRT((1-J995)*(Inputs!$F$18-Inputs!$D$18)*(Inputs!$F$18-Inputs!$E$18)))</f>
        <v>1.05471025715662</v>
      </c>
      <c r="L995" s="81" t="n">
        <f aca="true">RAND()</f>
        <v>0.30883818379367</v>
      </c>
      <c r="M995" s="83" t="n">
        <f aca="false">IF(L995&lt;(Inputs!$E$24-Inputs!$D$24)/(Inputs!$F$24-Inputs!$D$24),Inputs!$D$24+SQRT(L995*(Inputs!$F$24-Inputs!$D$24)*(Inputs!$E$24-Inputs!$D$24)),Inputs!$F$24-SQRT((1-L995)*(Inputs!$F$24-Inputs!$D$24)*(Inputs!$F$24-Inputs!$E$24)))</f>
        <v>0.792511251762697</v>
      </c>
      <c r="N995" s="81" t="n">
        <f aca="true">RAND()</f>
        <v>0.805562489748542</v>
      </c>
      <c r="O995" s="83" t="n">
        <f aca="false">IF(N995&lt;(Inputs!$E$26-Inputs!$D$26)/(Inputs!$F$26-Inputs!$D$26),Inputs!$D$26+SQRT(N995*(Inputs!$F$26-Inputs!$D$26)*(Inputs!$E$26-Inputs!$D$26)),Inputs!$F$26-SQRT((1-N995)*(Inputs!$F$26-Inputs!$D$26)*(Inputs!$F$26-Inputs!$E$26)))</f>
        <v>0.677797675595117</v>
      </c>
      <c r="P995" s="81" t="n">
        <f aca="true">RAND()</f>
        <v>0.308328406259764</v>
      </c>
      <c r="Q995" s="82" t="n">
        <f aca="false">IF(P995&lt;(Inputs!$E$27-Inputs!$D$27)/(Inputs!$F$27-Inputs!$D$27),Inputs!$D$27+SQRT(P995*(Inputs!$F$27-Inputs!$D$27)*(Inputs!$E$27-Inputs!$D$27)),Inputs!$F$27-SQRT((1-P995)*(Inputs!$F$27-Inputs!$D$27)*(Inputs!$F$27-Inputs!$E$27)))</f>
        <v>77.9754420141868</v>
      </c>
      <c r="R995" s="81" t="n">
        <f aca="true">RAND()</f>
        <v>0.819833038859384</v>
      </c>
      <c r="S995" s="82" t="n">
        <f aca="false">IF(R995&lt;(Inputs!$E$29-Inputs!$D$29)/(Inputs!$F$29-Inputs!$D$29),Inputs!$D$29+SQRT(R995*(Inputs!$F$29-Inputs!$D$29)*(Inputs!$E$29-Inputs!$D$29)),Inputs!$F$29-SQRT((1-R995)*(Inputs!$F$29-Inputs!$D$29)*(Inputs!$F$29-Inputs!$E$29)))</f>
        <v>10.1604023981037</v>
      </c>
      <c r="T995" s="68" t="n">
        <f aca="false">Inputs!$E$9*(1+E995)+Inputs!$E$5*C995*(Inputs!$E$11*Inputs!$E$14*(G995*I995/Inputs!$E$16+(1-G995))*K995+Inputs!$E$23*M995)*(1+O995)+Inputs!$E$5*(Q995+S995)</f>
        <v>6066.36745859284</v>
      </c>
    </row>
    <row r="996" customFormat="false" ht="15" hidden="false" customHeight="false" outlineLevel="0" collapsed="false">
      <c r="A996" s="1" t="n">
        <v>992</v>
      </c>
      <c r="B996" s="81" t="n">
        <f aca="true">RAND()</f>
        <v>0.0344510659870238</v>
      </c>
      <c r="C996" s="82" t="n">
        <f aca="false">ROUND(IF(B996&lt;(Inputs!$E$8-Inputs!$D$8)/(Inputs!$F$8-Inputs!$D$8),Inputs!$D$8+SQRT(B996*(Inputs!$F$8-Inputs!$D$8)*(Inputs!$E$8-Inputs!$D$8)),Inputs!$F$8-SQRT((1-B996)*(Inputs!$F$8-Inputs!$D$8)*(Inputs!$F$8-Inputs!$E$8))),0)</f>
        <v>21</v>
      </c>
      <c r="D996" s="81" t="n">
        <f aca="true">RAND()</f>
        <v>0.716326330422516</v>
      </c>
      <c r="E996" s="83" t="n">
        <f aca="false">IF(D996&lt;(Inputs!$E$10-Inputs!$D$10)/(Inputs!$F$10-Inputs!$D$10),Inputs!$D$10+SQRT(D996*(Inputs!$F$10-Inputs!$D$10)*(Inputs!$E$10-Inputs!$D$10)),Inputs!$F$10-SQRT((1-D996)*(Inputs!$F$10-Inputs!$D$10)*(Inputs!$F$10-Inputs!$E$10)))</f>
        <v>0.10774920007217</v>
      </c>
      <c r="F996" s="81" t="n">
        <f aca="true">RAND()</f>
        <v>0.126722130922442</v>
      </c>
      <c r="G996" s="83" t="n">
        <f aca="false">IF(F996&lt;(Inputs!$E$15-Inputs!$D$15)/(Inputs!$F$15-Inputs!$D$15),Inputs!$D$15+SQRT(F996*(Inputs!$F$15-Inputs!$D$15)*(Inputs!$E$15-Inputs!$D$15)),Inputs!$F$15-SQRT((1-F996)*(Inputs!$F$15-Inputs!$D$15)*(Inputs!$F$15-Inputs!$E$15)))</f>
        <v>0.650343247992644</v>
      </c>
      <c r="H996" s="81" t="n">
        <f aca="true">RAND()</f>
        <v>0.959727024677713</v>
      </c>
      <c r="I996" s="82" t="n">
        <f aca="false">ROUND(IF(H996&lt;(Inputs!$E$17-Inputs!$D$17)/(Inputs!$F$17-Inputs!$D$17),Inputs!$D$17+SQRT(H996*(Inputs!$F$17-Inputs!$D$17)*(Inputs!$E$17-Inputs!$D$17)),Inputs!$F$17-SQRT((1-H996)*(Inputs!$F$17-Inputs!$D$17)*(Inputs!$F$17-Inputs!$E$17))),0)</f>
        <v>113</v>
      </c>
      <c r="J996" s="81" t="n">
        <f aca="true">RAND()</f>
        <v>0.034080433387735</v>
      </c>
      <c r="K996" s="83" t="n">
        <f aca="false">IF(J996&lt;(Inputs!$E$18-Inputs!$D$18)/(Inputs!$F$18-Inputs!$D$18),Inputs!$D$18+SQRT(J996*(Inputs!$F$18-Inputs!$D$18)*(Inputs!$E$18-Inputs!$D$18)),Inputs!$F$18-SQRT((1-J996)*(Inputs!$F$18-Inputs!$D$18)*(Inputs!$F$18-Inputs!$E$18)))</f>
        <v>0.934537156347487</v>
      </c>
      <c r="L996" s="81" t="n">
        <f aca="true">RAND()</f>
        <v>0.142126007880502</v>
      </c>
      <c r="M996" s="83" t="n">
        <f aca="false">IF(L996&lt;(Inputs!$E$24-Inputs!$D$24)/(Inputs!$F$24-Inputs!$D$24),Inputs!$D$24+SQRT(L996*(Inputs!$F$24-Inputs!$D$24)*(Inputs!$E$24-Inputs!$D$24)),Inputs!$F$24-SQRT((1-L996)*(Inputs!$F$24-Inputs!$D$24)*(Inputs!$F$24-Inputs!$E$24)))</f>
        <v>0.73059525621423</v>
      </c>
      <c r="N996" s="81" t="n">
        <f aca="true">RAND()</f>
        <v>0.721759229134676</v>
      </c>
      <c r="O996" s="83" t="n">
        <f aca="false">IF(N996&lt;(Inputs!$E$26-Inputs!$D$26)/(Inputs!$F$26-Inputs!$D$26),Inputs!$D$26+SQRT(N996*(Inputs!$F$26-Inputs!$D$26)*(Inputs!$E$26-Inputs!$D$26)),Inputs!$F$26-SQRT((1-N996)*(Inputs!$F$26-Inputs!$D$26)*(Inputs!$F$26-Inputs!$E$26)))</f>
        <v>0.649891093207928</v>
      </c>
      <c r="P996" s="81" t="n">
        <f aca="true">RAND()</f>
        <v>0.514244683039353</v>
      </c>
      <c r="Q996" s="82" t="n">
        <f aca="false">IF(P996&lt;(Inputs!$E$27-Inputs!$D$27)/(Inputs!$F$27-Inputs!$D$27),Inputs!$D$27+SQRT(P996*(Inputs!$F$27-Inputs!$D$27)*(Inputs!$E$27-Inputs!$D$27)),Inputs!$F$27-SQRT((1-P996)*(Inputs!$F$27-Inputs!$D$27)*(Inputs!$F$27-Inputs!$E$27)))</f>
        <v>89.6413645183653</v>
      </c>
      <c r="R996" s="81" t="n">
        <f aca="true">RAND()</f>
        <v>0.901625402609934</v>
      </c>
      <c r="S996" s="82" t="n">
        <f aca="false">IF(R996&lt;(Inputs!$E$29-Inputs!$D$29)/(Inputs!$F$29-Inputs!$D$29),Inputs!$D$29+SQRT(R996*(Inputs!$F$29-Inputs!$D$29)*(Inputs!$E$29-Inputs!$D$29)),Inputs!$F$29-SQRT((1-R996)*(Inputs!$F$29-Inputs!$D$29)*(Inputs!$F$29-Inputs!$E$29)))</f>
        <v>11.4238711347732</v>
      </c>
      <c r="T996" s="68" t="n">
        <f aca="false">Inputs!$E$9*(1+E996)+Inputs!$E$5*C996*(Inputs!$E$11*Inputs!$E$14*(G996*I996/Inputs!$E$16+(1-G996))*K996+Inputs!$E$23*M996)*(1+O996)+Inputs!$E$5*(Q996+S996)</f>
        <v>5707.3131328765</v>
      </c>
    </row>
    <row r="997" customFormat="false" ht="15" hidden="false" customHeight="false" outlineLevel="0" collapsed="false">
      <c r="A997" s="1" t="n">
        <v>993</v>
      </c>
      <c r="B997" s="81" t="n">
        <f aca="true">RAND()</f>
        <v>0.587554971496135</v>
      </c>
      <c r="C997" s="82" t="n">
        <f aca="false">ROUND(IF(B997&lt;(Inputs!$E$8-Inputs!$D$8)/(Inputs!$F$8-Inputs!$D$8),Inputs!$D$8+SQRT(B997*(Inputs!$F$8-Inputs!$D$8)*(Inputs!$E$8-Inputs!$D$8)),Inputs!$F$8-SQRT((1-B997)*(Inputs!$F$8-Inputs!$D$8)*(Inputs!$F$8-Inputs!$E$8))),0)</f>
        <v>25</v>
      </c>
      <c r="D997" s="81" t="n">
        <f aca="true">RAND()</f>
        <v>0.741928958051002</v>
      </c>
      <c r="E997" s="83" t="n">
        <f aca="false">IF(D997&lt;(Inputs!$E$10-Inputs!$D$10)/(Inputs!$F$10-Inputs!$D$10),Inputs!$D$10+SQRT(D997*(Inputs!$F$10-Inputs!$D$10)*(Inputs!$E$10-Inputs!$D$10)),Inputs!$F$10-SQRT((1-D997)*(Inputs!$F$10-Inputs!$D$10)*(Inputs!$F$10-Inputs!$E$10)))</f>
        <v>0.112010618490241</v>
      </c>
      <c r="F997" s="81" t="n">
        <f aca="true">RAND()</f>
        <v>0.992185916689329</v>
      </c>
      <c r="G997" s="83" t="n">
        <f aca="false">IF(F997&lt;(Inputs!$E$15-Inputs!$D$15)/(Inputs!$F$15-Inputs!$D$15),Inputs!$D$15+SQRT(F997*(Inputs!$F$15-Inputs!$D$15)*(Inputs!$E$15-Inputs!$D$15)),Inputs!$F$15-SQRT((1-F997)*(Inputs!$F$15-Inputs!$D$15)*(Inputs!$F$15-Inputs!$E$15)))</f>
        <v>0.787498733415633</v>
      </c>
      <c r="H997" s="81" t="n">
        <f aca="true">RAND()</f>
        <v>0.275616788235601</v>
      </c>
      <c r="I997" s="82" t="n">
        <f aca="false">ROUND(IF(H997&lt;(Inputs!$E$17-Inputs!$D$17)/(Inputs!$F$17-Inputs!$D$17),Inputs!$D$17+SQRT(H997*(Inputs!$F$17-Inputs!$D$17)*(Inputs!$E$17-Inputs!$D$17)),Inputs!$F$17-SQRT((1-H997)*(Inputs!$F$17-Inputs!$D$17)*(Inputs!$F$17-Inputs!$E$17))),0)</f>
        <v>105</v>
      </c>
      <c r="J997" s="81" t="n">
        <f aca="true">RAND()</f>
        <v>0.515905333383816</v>
      </c>
      <c r="K997" s="83" t="n">
        <f aca="false">IF(J997&lt;(Inputs!$E$18-Inputs!$D$18)/(Inputs!$F$18-Inputs!$D$18),Inputs!$D$18+SQRT(J997*(Inputs!$F$18-Inputs!$D$18)*(Inputs!$E$18-Inputs!$D$18)),Inputs!$F$18-SQRT((1-J997)*(Inputs!$F$18-Inputs!$D$18)*(Inputs!$F$18-Inputs!$E$18)))</f>
        <v>1.04418871914077</v>
      </c>
      <c r="L997" s="81" t="n">
        <f aca="true">RAND()</f>
        <v>0.835163039337022</v>
      </c>
      <c r="M997" s="83" t="n">
        <f aca="false">IF(L997&lt;(Inputs!$E$24-Inputs!$D$24)/(Inputs!$F$24-Inputs!$D$24),Inputs!$D$24+SQRT(L997*(Inputs!$F$24-Inputs!$D$24)*(Inputs!$E$24-Inputs!$D$24)),Inputs!$F$24-SQRT((1-L997)*(Inputs!$F$24-Inputs!$D$24)*(Inputs!$F$24-Inputs!$E$24)))</f>
        <v>1.00110085329717</v>
      </c>
      <c r="N997" s="81" t="n">
        <f aca="true">RAND()</f>
        <v>0.500037284152986</v>
      </c>
      <c r="O997" s="83" t="n">
        <f aca="false">IF(N997&lt;(Inputs!$E$26-Inputs!$D$26)/(Inputs!$F$26-Inputs!$D$26),Inputs!$D$26+SQRT(N997*(Inputs!$F$26-Inputs!$D$26)*(Inputs!$E$26-Inputs!$D$26)),Inputs!$F$26-SQRT((1-N997)*(Inputs!$F$26-Inputs!$D$26)*(Inputs!$F$26-Inputs!$E$26)))</f>
        <v>0.588454856230671</v>
      </c>
      <c r="P997" s="81" t="n">
        <f aca="true">RAND()</f>
        <v>0.278008880637958</v>
      </c>
      <c r="Q997" s="82" t="n">
        <f aca="false">IF(P997&lt;(Inputs!$E$27-Inputs!$D$27)/(Inputs!$F$27-Inputs!$D$27),Inputs!$D$27+SQRT(P997*(Inputs!$F$27-Inputs!$D$27)*(Inputs!$E$27-Inputs!$D$27)),Inputs!$F$27-SQRT((1-P997)*(Inputs!$F$27-Inputs!$D$27)*(Inputs!$F$27-Inputs!$E$27)))</f>
        <v>76.4137689834891</v>
      </c>
      <c r="R997" s="81" t="n">
        <f aca="true">RAND()</f>
        <v>0.507559248398299</v>
      </c>
      <c r="S997" s="82" t="n">
        <f aca="false">IF(R997&lt;(Inputs!$E$29-Inputs!$D$29)/(Inputs!$F$29-Inputs!$D$29),Inputs!$D$29+SQRT(R997*(Inputs!$F$29-Inputs!$D$29)*(Inputs!$E$29-Inputs!$D$29)),Inputs!$F$29-SQRT((1-R997)*(Inputs!$F$29-Inputs!$D$29)*(Inputs!$F$29-Inputs!$E$29)))</f>
        <v>6.9989189662758</v>
      </c>
      <c r="T997" s="68" t="n">
        <f aca="false">Inputs!$E$9*(1+E997)+Inputs!$E$5*C997*(Inputs!$E$11*Inputs!$E$14*(G997*I997/Inputs!$E$16+(1-G997))*K997+Inputs!$E$23*M997)*(1+O997)+Inputs!$E$5*(Q997+S997)</f>
        <v>6386.74222482324</v>
      </c>
    </row>
    <row r="998" customFormat="false" ht="15" hidden="false" customHeight="false" outlineLevel="0" collapsed="false">
      <c r="A998" s="1" t="n">
        <v>994</v>
      </c>
      <c r="B998" s="81" t="n">
        <f aca="true">RAND()</f>
        <v>0.983006958011729</v>
      </c>
      <c r="C998" s="82" t="n">
        <f aca="false">ROUND(IF(B998&lt;(Inputs!$E$8-Inputs!$D$8)/(Inputs!$F$8-Inputs!$D$8),Inputs!$D$8+SQRT(B998*(Inputs!$F$8-Inputs!$D$8)*(Inputs!$E$8-Inputs!$D$8)),Inputs!$F$8-SQRT((1-B998)*(Inputs!$F$8-Inputs!$D$8)*(Inputs!$F$8-Inputs!$E$8))),0)</f>
        <v>29</v>
      </c>
      <c r="D998" s="81" t="n">
        <f aca="true">RAND()</f>
        <v>0.0831256942538531</v>
      </c>
      <c r="E998" s="83" t="n">
        <f aca="false">IF(D998&lt;(Inputs!$E$10-Inputs!$D$10)/(Inputs!$F$10-Inputs!$D$10),Inputs!$D$10+SQRT(D998*(Inputs!$F$10-Inputs!$D$10)*(Inputs!$E$10-Inputs!$D$10)),Inputs!$F$10-SQRT((1-D998)*(Inputs!$F$10-Inputs!$D$10)*(Inputs!$F$10-Inputs!$E$10)))</f>
        <v>0.0288315268853131</v>
      </c>
      <c r="F998" s="81" t="n">
        <f aca="true">RAND()</f>
        <v>0.211076034874066</v>
      </c>
      <c r="G998" s="83" t="n">
        <f aca="false">IF(F998&lt;(Inputs!$E$15-Inputs!$D$15)/(Inputs!$F$15-Inputs!$D$15),Inputs!$D$15+SQRT(F998*(Inputs!$F$15-Inputs!$D$15)*(Inputs!$E$15-Inputs!$D$15)),Inputs!$F$15-SQRT((1-F998)*(Inputs!$F$15-Inputs!$D$15)*(Inputs!$F$15-Inputs!$E$15)))</f>
        <v>0.664973230622167</v>
      </c>
      <c r="H998" s="81" t="n">
        <f aca="true">RAND()</f>
        <v>0.541797447103997</v>
      </c>
      <c r="I998" s="82" t="n">
        <f aca="false">ROUND(IF(H998&lt;(Inputs!$E$17-Inputs!$D$17)/(Inputs!$F$17-Inputs!$D$17),Inputs!$D$17+SQRT(H998*(Inputs!$F$17-Inputs!$D$17)*(Inputs!$E$17-Inputs!$D$17)),Inputs!$F$17-SQRT((1-H998)*(Inputs!$F$17-Inputs!$D$17)*(Inputs!$F$17-Inputs!$E$17))),0)</f>
        <v>107</v>
      </c>
      <c r="J998" s="81" t="n">
        <f aca="true">RAND()</f>
        <v>0.964308885414582</v>
      </c>
      <c r="K998" s="83" t="n">
        <f aca="false">IF(J998&lt;(Inputs!$E$18-Inputs!$D$18)/(Inputs!$F$18-Inputs!$D$18),Inputs!$D$18+SQRT(J998*(Inputs!$F$18-Inputs!$D$18)*(Inputs!$E$18-Inputs!$D$18)),Inputs!$F$18-SQRT((1-J998)*(Inputs!$F$18-Inputs!$D$18)*(Inputs!$F$18-Inputs!$E$18)))</f>
        <v>1.19411643778154</v>
      </c>
      <c r="L998" s="81" t="n">
        <f aca="true">RAND()</f>
        <v>0.240950060020052</v>
      </c>
      <c r="M998" s="83" t="n">
        <f aca="false">IF(L998&lt;(Inputs!$E$24-Inputs!$D$24)/(Inputs!$F$24-Inputs!$D$24),Inputs!$D$24+SQRT(L998*(Inputs!$F$24-Inputs!$D$24)*(Inputs!$E$24-Inputs!$D$24)),Inputs!$F$24-SQRT((1-L998)*(Inputs!$F$24-Inputs!$D$24)*(Inputs!$F$24-Inputs!$E$24)))</f>
        <v>0.770041192663443</v>
      </c>
      <c r="N998" s="81" t="n">
        <f aca="true">RAND()</f>
        <v>0.78032134374749</v>
      </c>
      <c r="O998" s="83" t="n">
        <f aca="false">IF(N998&lt;(Inputs!$E$26-Inputs!$D$26)/(Inputs!$F$26-Inputs!$D$26),Inputs!$D$26+SQRT(N998*(Inputs!$F$26-Inputs!$D$26)*(Inputs!$E$26-Inputs!$D$26)),Inputs!$F$26-SQRT((1-N998)*(Inputs!$F$26-Inputs!$D$26)*(Inputs!$F$26-Inputs!$E$26)))</f>
        <v>0.668849147371703</v>
      </c>
      <c r="P998" s="81" t="n">
        <f aca="true">RAND()</f>
        <v>0.666067357467793</v>
      </c>
      <c r="Q998" s="82" t="n">
        <f aca="false">IF(P998&lt;(Inputs!$E$27-Inputs!$D$27)/(Inputs!$F$27-Inputs!$D$27),Inputs!$D$27+SQRT(P998*(Inputs!$F$27-Inputs!$D$27)*(Inputs!$E$27-Inputs!$D$27)),Inputs!$F$27-SQRT((1-P998)*(Inputs!$F$27-Inputs!$D$27)*(Inputs!$F$27-Inputs!$E$27)))</f>
        <v>99.9550719953405</v>
      </c>
      <c r="R998" s="81" t="n">
        <f aca="true">RAND()</f>
        <v>0.288396970943872</v>
      </c>
      <c r="S998" s="82" t="n">
        <f aca="false">IF(R998&lt;(Inputs!$E$29-Inputs!$D$29)/(Inputs!$F$29-Inputs!$D$29),Inputs!$D$29+SQRT(R998*(Inputs!$F$29-Inputs!$D$29)*(Inputs!$E$29-Inputs!$D$29)),Inputs!$F$29-SQRT((1-R998)*(Inputs!$F$29-Inputs!$D$29)*(Inputs!$F$29-Inputs!$E$29)))</f>
        <v>5.38187160736058</v>
      </c>
      <c r="T998" s="68" t="n">
        <f aca="false">Inputs!$E$9*(1+E998)+Inputs!$E$5*C998*(Inputs!$E$11*Inputs!$E$14*(G998*I998/Inputs!$E$16+(1-G998))*K998+Inputs!$E$23*M998)*(1+O998)+Inputs!$E$5*(Q998+S998)</f>
        <v>7321.58102253743</v>
      </c>
    </row>
    <row r="999" customFormat="false" ht="15" hidden="false" customHeight="false" outlineLevel="0" collapsed="false">
      <c r="A999" s="1" t="n">
        <v>995</v>
      </c>
      <c r="B999" s="81" t="n">
        <f aca="true">RAND()</f>
        <v>0.335522875334707</v>
      </c>
      <c r="C999" s="82" t="n">
        <f aca="false">ROUND(IF(B999&lt;(Inputs!$E$8-Inputs!$D$8)/(Inputs!$F$8-Inputs!$D$8),Inputs!$D$8+SQRT(B999*(Inputs!$F$8-Inputs!$D$8)*(Inputs!$E$8-Inputs!$D$8)),Inputs!$F$8-SQRT((1-B999)*(Inputs!$F$8-Inputs!$D$8)*(Inputs!$F$8-Inputs!$E$8))),0)</f>
        <v>24</v>
      </c>
      <c r="D999" s="81" t="n">
        <f aca="true">RAND()</f>
        <v>0.98690680288466</v>
      </c>
      <c r="E999" s="83" t="n">
        <f aca="false">IF(D999&lt;(Inputs!$E$10-Inputs!$D$10)/(Inputs!$F$10-Inputs!$D$10),Inputs!$D$10+SQRT(D999*(Inputs!$F$10-Inputs!$D$10)*(Inputs!$E$10-Inputs!$D$10)),Inputs!$F$10-SQRT((1-D999)*(Inputs!$F$10-Inputs!$D$10)*(Inputs!$F$10-Inputs!$E$10)))</f>
        <v>0.180180920468897</v>
      </c>
      <c r="F999" s="81" t="n">
        <f aca="true">RAND()</f>
        <v>0.00187884982307904</v>
      </c>
      <c r="G999" s="83" t="n">
        <f aca="false">IF(F999&lt;(Inputs!$E$15-Inputs!$D$15)/(Inputs!$F$15-Inputs!$D$15),Inputs!$D$15+SQRT(F999*(Inputs!$F$15-Inputs!$D$15)*(Inputs!$E$15-Inputs!$D$15)),Inputs!$F$15-SQRT((1-F999)*(Inputs!$F$15-Inputs!$D$15)*(Inputs!$F$15-Inputs!$E$15)))</f>
        <v>0.606130007867987</v>
      </c>
      <c r="H999" s="81" t="n">
        <f aca="true">RAND()</f>
        <v>0.0675281217274267</v>
      </c>
      <c r="I999" s="82" t="n">
        <f aca="false">ROUND(IF(H999&lt;(Inputs!$E$17-Inputs!$D$17)/(Inputs!$F$17-Inputs!$D$17),Inputs!$D$17+SQRT(H999*(Inputs!$F$17-Inputs!$D$17)*(Inputs!$E$17-Inputs!$D$17)),Inputs!$F$17-SQRT((1-H999)*(Inputs!$F$17-Inputs!$D$17)*(Inputs!$F$17-Inputs!$E$17))),0)</f>
        <v>102</v>
      </c>
      <c r="J999" s="81" t="n">
        <f aca="true">RAND()</f>
        <v>0.161506124323844</v>
      </c>
      <c r="K999" s="83" t="n">
        <f aca="false">IF(J999&lt;(Inputs!$E$18-Inputs!$D$18)/(Inputs!$F$18-Inputs!$D$18),Inputs!$D$18+SQRT(J999*(Inputs!$F$18-Inputs!$D$18)*(Inputs!$E$18-Inputs!$D$18)),Inputs!$F$18-SQRT((1-J999)*(Inputs!$F$18-Inputs!$D$18)*(Inputs!$F$18-Inputs!$E$18)))</f>
        <v>0.975184535320334</v>
      </c>
      <c r="L999" s="81" t="n">
        <f aca="true">RAND()</f>
        <v>0.0788115950468591</v>
      </c>
      <c r="M999" s="83" t="n">
        <f aca="false">IF(L999&lt;(Inputs!$E$24-Inputs!$D$24)/(Inputs!$F$24-Inputs!$D$24),Inputs!$D$24+SQRT(L999*(Inputs!$F$24-Inputs!$D$24)*(Inputs!$E$24-Inputs!$D$24)),Inputs!$F$24-SQRT((1-L999)*(Inputs!$F$24-Inputs!$D$24)*(Inputs!$F$24-Inputs!$E$24)))</f>
        <v>0.697249120333415</v>
      </c>
      <c r="N999" s="81" t="n">
        <f aca="true">RAND()</f>
        <v>0.994812149930329</v>
      </c>
      <c r="O999" s="83" t="n">
        <f aca="false">IF(N999&lt;(Inputs!$E$26-Inputs!$D$26)/(Inputs!$F$26-Inputs!$D$26),Inputs!$D$26+SQRT(N999*(Inputs!$F$26-Inputs!$D$26)*(Inputs!$E$26-Inputs!$D$26)),Inputs!$F$26-SQRT((1-N999)*(Inputs!$F$26-Inputs!$D$26)*(Inputs!$F$26-Inputs!$E$26)))</f>
        <v>0.796772076992425</v>
      </c>
      <c r="P999" s="81" t="n">
        <f aca="true">RAND()</f>
        <v>0.293040300945414</v>
      </c>
      <c r="Q999" s="82" t="n">
        <f aca="false">IF(P999&lt;(Inputs!$E$27-Inputs!$D$27)/(Inputs!$F$27-Inputs!$D$27),Inputs!$D$27+SQRT(P999*(Inputs!$F$27-Inputs!$D$27)*(Inputs!$E$27-Inputs!$D$27)),Inputs!$F$27-SQRT((1-P999)*(Inputs!$F$27-Inputs!$D$27)*(Inputs!$F$27-Inputs!$E$27)))</f>
        <v>77.1838085113661</v>
      </c>
      <c r="R999" s="81" t="n">
        <f aca="true">RAND()</f>
        <v>0.439548386116114</v>
      </c>
      <c r="S999" s="82" t="n">
        <f aca="false">IF(R999&lt;(Inputs!$E$29-Inputs!$D$29)/(Inputs!$F$29-Inputs!$D$29),Inputs!$D$29+SQRT(R999*(Inputs!$F$29-Inputs!$D$29)*(Inputs!$E$29-Inputs!$D$29)),Inputs!$F$29-SQRT((1-R999)*(Inputs!$F$29-Inputs!$D$29)*(Inputs!$F$29-Inputs!$E$29)))</f>
        <v>6.46426864264666</v>
      </c>
      <c r="T999" s="68" t="n">
        <f aca="false">Inputs!$E$9*(1+E999)+Inputs!$E$5*C999*(Inputs!$E$11*Inputs!$E$14*(G999*I999/Inputs!$E$16+(1-G999))*K999+Inputs!$E$23*M999)*(1+O999)+Inputs!$E$5*(Q999+S999)</f>
        <v>6444.44516487563</v>
      </c>
    </row>
    <row r="1000" customFormat="false" ht="15" hidden="false" customHeight="false" outlineLevel="0" collapsed="false">
      <c r="A1000" s="1" t="n">
        <v>996</v>
      </c>
      <c r="B1000" s="81" t="n">
        <f aca="true">RAND()</f>
        <v>0.83236714275144</v>
      </c>
      <c r="C1000" s="82" t="n">
        <f aca="false">ROUND(IF(B1000&lt;(Inputs!$E$8-Inputs!$D$8)/(Inputs!$F$8-Inputs!$D$8),Inputs!$D$8+SQRT(B1000*(Inputs!$F$8-Inputs!$D$8)*(Inputs!$E$8-Inputs!$D$8)),Inputs!$F$8-SQRT((1-B1000)*(Inputs!$F$8-Inputs!$D$8)*(Inputs!$F$8-Inputs!$E$8))),0)</f>
        <v>27</v>
      </c>
      <c r="D1000" s="81" t="n">
        <f aca="true">RAND()</f>
        <v>0.111702301301246</v>
      </c>
      <c r="E1000" s="83" t="n">
        <f aca="false">IF(D1000&lt;(Inputs!$E$10-Inputs!$D$10)/(Inputs!$F$10-Inputs!$D$10),Inputs!$D$10+SQRT(D1000*(Inputs!$F$10-Inputs!$D$10)*(Inputs!$E$10-Inputs!$D$10)),Inputs!$F$10-SQRT((1-D1000)*(Inputs!$F$10-Inputs!$D$10)*(Inputs!$F$10-Inputs!$E$10)))</f>
        <v>0.0334218942164034</v>
      </c>
      <c r="F1000" s="81" t="n">
        <f aca="true">RAND()</f>
        <v>0.195842790549153</v>
      </c>
      <c r="G1000" s="83" t="n">
        <f aca="false">IF(F1000&lt;(Inputs!$E$15-Inputs!$D$15)/(Inputs!$F$15-Inputs!$D$15),Inputs!$D$15+SQRT(F1000*(Inputs!$F$15-Inputs!$D$15)*(Inputs!$E$15-Inputs!$D$15)),Inputs!$F$15-SQRT((1-F1000)*(Inputs!$F$15-Inputs!$D$15)*(Inputs!$F$15-Inputs!$E$15)))</f>
        <v>0.662584788974503</v>
      </c>
      <c r="H1000" s="81" t="n">
        <f aca="true">RAND()</f>
        <v>0.471464426107683</v>
      </c>
      <c r="I1000" s="82" t="n">
        <f aca="false">ROUND(IF(H1000&lt;(Inputs!$E$17-Inputs!$D$17)/(Inputs!$F$17-Inputs!$D$17),Inputs!$D$17+SQRT(H1000*(Inputs!$F$17-Inputs!$D$17)*(Inputs!$E$17-Inputs!$D$17)),Inputs!$F$17-SQRT((1-H1000)*(Inputs!$F$17-Inputs!$D$17)*(Inputs!$F$17-Inputs!$E$17))),0)</f>
        <v>106</v>
      </c>
      <c r="J1000" s="81" t="n">
        <f aca="true">RAND()</f>
        <v>0.848781379722325</v>
      </c>
      <c r="K1000" s="83" t="n">
        <f aca="false">IF(J1000&lt;(Inputs!$E$18-Inputs!$D$18)/(Inputs!$F$18-Inputs!$D$18),Inputs!$D$18+SQRT(J1000*(Inputs!$F$18-Inputs!$D$18)*(Inputs!$E$18-Inputs!$D$18)),Inputs!$F$18-SQRT((1-J1000)*(Inputs!$F$18-Inputs!$D$18)*(Inputs!$F$18-Inputs!$E$18)))</f>
        <v>1.13497118067938</v>
      </c>
      <c r="L1000" s="81" t="n">
        <f aca="true">RAND()</f>
        <v>0.590968922670692</v>
      </c>
      <c r="M1000" s="83" t="n">
        <f aca="false">IF(L1000&lt;(Inputs!$E$24-Inputs!$D$24)/(Inputs!$F$24-Inputs!$D$24),Inputs!$D$24+SQRT(L1000*(Inputs!$F$24-Inputs!$D$24)*(Inputs!$E$24-Inputs!$D$24)),Inputs!$F$24-SQRT((1-L1000)*(Inputs!$F$24-Inputs!$D$24)*(Inputs!$F$24-Inputs!$E$24)))</f>
        <v>0.886683133937808</v>
      </c>
      <c r="N1000" s="81" t="n">
        <f aca="true">RAND()</f>
        <v>0.484373297356321</v>
      </c>
      <c r="O1000" s="83" t="n">
        <f aca="false">IF(N1000&lt;(Inputs!$E$26-Inputs!$D$26)/(Inputs!$F$26-Inputs!$D$26),Inputs!$D$26+SQRT(N1000*(Inputs!$F$26-Inputs!$D$26)*(Inputs!$E$26-Inputs!$D$26)),Inputs!$F$26-SQRT((1-N1000)*(Inputs!$F$26-Inputs!$D$26)*(Inputs!$F$26-Inputs!$E$26)))</f>
        <v>0.583900892355223</v>
      </c>
      <c r="P1000" s="81" t="n">
        <f aca="true">RAND()</f>
        <v>0.212536918832654</v>
      </c>
      <c r="Q1000" s="82" t="n">
        <f aca="false">IF(P1000&lt;(Inputs!$E$27-Inputs!$D$27)/(Inputs!$F$27-Inputs!$D$27),Inputs!$D$27+SQRT(P1000*(Inputs!$F$27-Inputs!$D$27)*(Inputs!$E$27-Inputs!$D$27)),Inputs!$F$27-SQRT((1-P1000)*(Inputs!$F$27-Inputs!$D$27)*(Inputs!$F$27-Inputs!$E$27)))</f>
        <v>73.0508632610936</v>
      </c>
      <c r="R1000" s="81" t="n">
        <f aca="true">RAND()</f>
        <v>0.29821857273345</v>
      </c>
      <c r="S1000" s="82" t="n">
        <f aca="false">IF(R1000&lt;(Inputs!$E$29-Inputs!$D$29)/(Inputs!$F$29-Inputs!$D$29),Inputs!$D$29+SQRT(R1000*(Inputs!$F$29-Inputs!$D$29)*(Inputs!$E$29-Inputs!$D$29)),Inputs!$F$29-SQRT((1-R1000)*(Inputs!$F$29-Inputs!$D$29)*(Inputs!$F$29-Inputs!$E$29)))</f>
        <v>5.4484773180057</v>
      </c>
      <c r="T1000" s="68" t="n">
        <f aca="false">Inputs!$E$9*(1+E1000)+Inputs!$E$5*C1000*(Inputs!$E$11*Inputs!$E$14*(G1000*I1000/Inputs!$E$16+(1-G1000))*K1000+Inputs!$E$23*M1000)*(1+O1000)+Inputs!$E$5*(Q1000+S1000)</f>
        <v>6698.25777674318</v>
      </c>
    </row>
    <row r="1001" customFormat="false" ht="15" hidden="false" customHeight="false" outlineLevel="0" collapsed="false">
      <c r="A1001" s="1" t="n">
        <v>997</v>
      </c>
      <c r="B1001" s="81" t="n">
        <f aca="true">RAND()</f>
        <v>0.169110415487469</v>
      </c>
      <c r="C1001" s="82" t="n">
        <f aca="false">ROUND(IF(B1001&lt;(Inputs!$E$8-Inputs!$D$8)/(Inputs!$F$8-Inputs!$D$8),Inputs!$D$8+SQRT(B1001*(Inputs!$F$8-Inputs!$D$8)*(Inputs!$E$8-Inputs!$D$8)),Inputs!$F$8-SQRT((1-B1001)*(Inputs!$F$8-Inputs!$D$8)*(Inputs!$F$8-Inputs!$E$8))),0)</f>
        <v>23</v>
      </c>
      <c r="D1001" s="81" t="n">
        <f aca="true">RAND()</f>
        <v>0.323891098199137</v>
      </c>
      <c r="E1001" s="83" t="n">
        <f aca="false">IF(D1001&lt;(Inputs!$E$10-Inputs!$D$10)/(Inputs!$F$10-Inputs!$D$10),Inputs!$D$10+SQRT(D1001*(Inputs!$F$10-Inputs!$D$10)*(Inputs!$E$10-Inputs!$D$10)),Inputs!$F$10-SQRT((1-D1001)*(Inputs!$F$10-Inputs!$D$10)*(Inputs!$F$10-Inputs!$E$10)))</f>
        <v>0.0575806647465805</v>
      </c>
      <c r="F1001" s="81" t="n">
        <f aca="true">RAND()</f>
        <v>0.23035246829614</v>
      </c>
      <c r="G1001" s="83" t="n">
        <f aca="false">IF(F1001&lt;(Inputs!$E$15-Inputs!$D$15)/(Inputs!$F$15-Inputs!$D$15),Inputs!$D$15+SQRT(F1001*(Inputs!$F$15-Inputs!$D$15)*(Inputs!$E$15-Inputs!$D$15)),Inputs!$F$15-SQRT((1-F1001)*(Inputs!$F$15-Inputs!$D$15)*(Inputs!$F$15-Inputs!$E$15)))</f>
        <v>0.667875248551462</v>
      </c>
      <c r="H1001" s="81" t="n">
        <f aca="true">RAND()</f>
        <v>0.64709252964175</v>
      </c>
      <c r="I1001" s="82" t="n">
        <f aca="false">ROUND(IF(H1001&lt;(Inputs!$E$17-Inputs!$D$17)/(Inputs!$F$17-Inputs!$D$17),Inputs!$D$17+SQRT(H1001*(Inputs!$F$17-Inputs!$D$17)*(Inputs!$E$17-Inputs!$D$17)),Inputs!$F$17-SQRT((1-H1001)*(Inputs!$F$17-Inputs!$D$17)*(Inputs!$F$17-Inputs!$E$17))),0)</f>
        <v>108</v>
      </c>
      <c r="J1001" s="81" t="n">
        <f aca="true">RAND()</f>
        <v>0.655543058832157</v>
      </c>
      <c r="K1001" s="83" t="n">
        <f aca="false">IF(J1001&lt;(Inputs!$E$18-Inputs!$D$18)/(Inputs!$F$18-Inputs!$D$18),Inputs!$D$18+SQRT(J1001*(Inputs!$F$18-Inputs!$D$18)*(Inputs!$E$18-Inputs!$D$18)),Inputs!$F$18-SQRT((1-J1001)*(Inputs!$F$18-Inputs!$D$18)*(Inputs!$F$18-Inputs!$E$18)))</f>
        <v>1.07639129528683</v>
      </c>
      <c r="L1001" s="81" t="n">
        <f aca="true">RAND()</f>
        <v>0.0232922812030618</v>
      </c>
      <c r="M1001" s="83" t="n">
        <f aca="false">IF(L1001&lt;(Inputs!$E$24-Inputs!$D$24)/(Inputs!$F$24-Inputs!$D$24),Inputs!$D$24+SQRT(L1001*(Inputs!$F$24-Inputs!$D$24)*(Inputs!$E$24-Inputs!$D$24)),Inputs!$F$24-SQRT((1-L1001)*(Inputs!$F$24-Inputs!$D$24)*(Inputs!$F$24-Inputs!$E$24)))</f>
        <v>0.652868456988713</v>
      </c>
      <c r="N1001" s="81" t="n">
        <f aca="true">RAND()</f>
        <v>0.284565984855508</v>
      </c>
      <c r="O1001" s="83" t="n">
        <f aca="false">IF(N1001&lt;(Inputs!$E$26-Inputs!$D$26)/(Inputs!$F$26-Inputs!$D$26),Inputs!$D$26+SQRT(N1001*(Inputs!$F$26-Inputs!$D$26)*(Inputs!$E$26-Inputs!$D$26)),Inputs!$F$26-SQRT((1-N1001)*(Inputs!$F$26-Inputs!$D$26)*(Inputs!$F$26-Inputs!$E$26)))</f>
        <v>0.517604641218786</v>
      </c>
      <c r="P1001" s="81" t="n">
        <f aca="true">RAND()</f>
        <v>0.278518770318573</v>
      </c>
      <c r="Q1001" s="82" t="n">
        <f aca="false">IF(P1001&lt;(Inputs!$E$27-Inputs!$D$27)/(Inputs!$F$27-Inputs!$D$27),Inputs!$D$27+SQRT(P1001*(Inputs!$F$27-Inputs!$D$27)*(Inputs!$E$27-Inputs!$D$27)),Inputs!$F$27-SQRT((1-P1001)*(Inputs!$F$27-Inputs!$D$27)*(Inputs!$F$27-Inputs!$E$27)))</f>
        <v>76.4397578673731</v>
      </c>
      <c r="R1001" s="81" t="n">
        <f aca="true">RAND()</f>
        <v>0.857774707704303</v>
      </c>
      <c r="S1001" s="82" t="n">
        <f aca="false">IF(R1001&lt;(Inputs!$E$29-Inputs!$D$29)/(Inputs!$F$29-Inputs!$D$29),Inputs!$D$29+SQRT(R1001*(Inputs!$F$29-Inputs!$D$29)*(Inputs!$E$29-Inputs!$D$29)),Inputs!$F$29-SQRT((1-R1001)*(Inputs!$F$29-Inputs!$D$29)*(Inputs!$F$29-Inputs!$E$29)))</f>
        <v>10.700082791676</v>
      </c>
      <c r="T1001" s="68" t="n">
        <f aca="false">Inputs!$E$9*(1+E1001)+Inputs!$E$5*C1001*(Inputs!$E$11*Inputs!$E$14*(G1001*I1001/Inputs!$E$16+(1-G1001))*K1001+Inputs!$E$23*M1001)*(1+O1001)+Inputs!$E$5*(Q1001+S1001)</f>
        <v>5663.94905981466</v>
      </c>
    </row>
    <row r="1002" customFormat="false" ht="15" hidden="false" customHeight="false" outlineLevel="0" collapsed="false">
      <c r="A1002" s="1" t="n">
        <v>998</v>
      </c>
      <c r="B1002" s="81" t="n">
        <f aca="true">RAND()</f>
        <v>0.444826458942929</v>
      </c>
      <c r="C1002" s="82" t="n">
        <f aca="false">ROUND(IF(B1002&lt;(Inputs!$E$8-Inputs!$D$8)/(Inputs!$F$8-Inputs!$D$8),Inputs!$D$8+SQRT(B1002*(Inputs!$F$8-Inputs!$D$8)*(Inputs!$E$8-Inputs!$D$8)),Inputs!$F$8-SQRT((1-B1002)*(Inputs!$F$8-Inputs!$D$8)*(Inputs!$F$8-Inputs!$E$8))),0)</f>
        <v>25</v>
      </c>
      <c r="D1002" s="81" t="n">
        <f aca="true">RAND()</f>
        <v>0.875692770237817</v>
      </c>
      <c r="E1002" s="83" t="n">
        <f aca="false">IF(D1002&lt;(Inputs!$E$10-Inputs!$D$10)/(Inputs!$F$10-Inputs!$D$10),Inputs!$D$10+SQRT(D1002*(Inputs!$F$10-Inputs!$D$10)*(Inputs!$E$10-Inputs!$D$10)),Inputs!$F$10-SQRT((1-D1002)*(Inputs!$F$10-Inputs!$D$10)*(Inputs!$F$10-Inputs!$E$10)))</f>
        <v>0.138932685560396</v>
      </c>
      <c r="F1002" s="81" t="n">
        <f aca="true">RAND()</f>
        <v>0.246485546948076</v>
      </c>
      <c r="G1002" s="83" t="n">
        <f aca="false">IF(F1002&lt;(Inputs!$E$15-Inputs!$D$15)/(Inputs!$F$15-Inputs!$D$15),Inputs!$D$15+SQRT(F1002*(Inputs!$F$15-Inputs!$D$15)*(Inputs!$E$15-Inputs!$D$15)),Inputs!$F$15-SQRT((1-F1002)*(Inputs!$F$15-Inputs!$D$15)*(Inputs!$F$15-Inputs!$E$15)))</f>
        <v>0.670211900265991</v>
      </c>
      <c r="H1002" s="81" t="n">
        <f aca="true">RAND()</f>
        <v>0.627718483528861</v>
      </c>
      <c r="I1002" s="82" t="n">
        <f aca="false">ROUND(IF(H1002&lt;(Inputs!$E$17-Inputs!$D$17)/(Inputs!$F$17-Inputs!$D$17),Inputs!$D$17+SQRT(H1002*(Inputs!$F$17-Inputs!$D$17)*(Inputs!$E$17-Inputs!$D$17)),Inputs!$F$17-SQRT((1-H1002)*(Inputs!$F$17-Inputs!$D$17)*(Inputs!$F$17-Inputs!$E$17))),0)</f>
        <v>108</v>
      </c>
      <c r="J1002" s="81" t="n">
        <f aca="true">RAND()</f>
        <v>0.527042887582106</v>
      </c>
      <c r="K1002" s="83" t="n">
        <f aca="false">IF(J1002&lt;(Inputs!$E$18-Inputs!$D$18)/(Inputs!$F$18-Inputs!$D$18),Inputs!$D$18+SQRT(J1002*(Inputs!$F$18-Inputs!$D$18)*(Inputs!$E$18-Inputs!$D$18)),Inputs!$F$18-SQRT((1-J1002)*(Inputs!$F$18-Inputs!$D$18)*(Inputs!$F$18-Inputs!$E$18)))</f>
        <v>1.04657004316825</v>
      </c>
      <c r="L1002" s="81" t="n">
        <f aca="true">RAND()</f>
        <v>0.896372145334442</v>
      </c>
      <c r="M1002" s="83" t="n">
        <f aca="false">IF(L1002&lt;(Inputs!$E$24-Inputs!$D$24)/(Inputs!$F$24-Inputs!$D$24),Inputs!$D$24+SQRT(L1002*(Inputs!$F$24-Inputs!$D$24)*(Inputs!$E$24-Inputs!$D$24)),Inputs!$F$24-SQRT((1-L1002)*(Inputs!$F$24-Inputs!$D$24)*(Inputs!$F$24-Inputs!$E$24)))</f>
        <v>1.04229557672743</v>
      </c>
      <c r="N1002" s="81" t="n">
        <f aca="true">RAND()</f>
        <v>0.627504006307563</v>
      </c>
      <c r="O1002" s="83" t="n">
        <f aca="false">IF(N1002&lt;(Inputs!$E$26-Inputs!$D$26)/(Inputs!$F$26-Inputs!$D$26),Inputs!$D$26+SQRT(N1002*(Inputs!$F$26-Inputs!$D$26)*(Inputs!$E$26-Inputs!$D$26)),Inputs!$F$26-SQRT((1-N1002)*(Inputs!$F$26-Inputs!$D$26)*(Inputs!$F$26-Inputs!$E$26)))</f>
        <v>0.62317626326072</v>
      </c>
      <c r="P1002" s="81" t="n">
        <f aca="true">RAND()</f>
        <v>0.658032219487245</v>
      </c>
      <c r="Q1002" s="82" t="n">
        <f aca="false">IF(P1002&lt;(Inputs!$E$27-Inputs!$D$27)/(Inputs!$F$27-Inputs!$D$27),Inputs!$D$27+SQRT(P1002*(Inputs!$F$27-Inputs!$D$27)*(Inputs!$E$27-Inputs!$D$27)),Inputs!$F$27-SQRT((1-P1002)*(Inputs!$F$27-Inputs!$D$27)*(Inputs!$F$27-Inputs!$E$27)))</f>
        <v>99.3565566549266</v>
      </c>
      <c r="R1002" s="81" t="n">
        <f aca="true">RAND()</f>
        <v>0.566740176233052</v>
      </c>
      <c r="S1002" s="82" t="n">
        <f aca="false">IF(R1002&lt;(Inputs!$E$29-Inputs!$D$29)/(Inputs!$F$29-Inputs!$D$29),Inputs!$D$29+SQRT(R1002*(Inputs!$F$29-Inputs!$D$29)*(Inputs!$E$29-Inputs!$D$29)),Inputs!$F$29-SQRT((1-R1002)*(Inputs!$F$29-Inputs!$D$29)*(Inputs!$F$29-Inputs!$E$29)))</f>
        <v>7.49508313905456</v>
      </c>
      <c r="T1002" s="68" t="n">
        <f aca="false">Inputs!$E$9*(1+E1002)+Inputs!$E$5*C1002*(Inputs!$E$11*Inputs!$E$14*(G1002*I1002/Inputs!$E$16+(1-G1002))*K1002+Inputs!$E$23*M1002)*(1+O1002)+Inputs!$E$5*(Q1002+S1002)</f>
        <v>6906.11339191405</v>
      </c>
    </row>
    <row r="1003" customFormat="false" ht="15" hidden="false" customHeight="false" outlineLevel="0" collapsed="false">
      <c r="A1003" s="1" t="n">
        <v>999</v>
      </c>
      <c r="B1003" s="81" t="n">
        <f aca="true">RAND()</f>
        <v>0.517370917328156</v>
      </c>
      <c r="C1003" s="82" t="n">
        <f aca="false">ROUND(IF(B1003&lt;(Inputs!$E$8-Inputs!$D$8)/(Inputs!$F$8-Inputs!$D$8),Inputs!$D$8+SQRT(B1003*(Inputs!$F$8-Inputs!$D$8)*(Inputs!$E$8-Inputs!$D$8)),Inputs!$F$8-SQRT((1-B1003)*(Inputs!$F$8-Inputs!$D$8)*(Inputs!$F$8-Inputs!$E$8))),0)</f>
        <v>25</v>
      </c>
      <c r="D1003" s="81" t="n">
        <f aca="true">RAND()</f>
        <v>0.649125724753211</v>
      </c>
      <c r="E1003" s="83" t="n">
        <f aca="false">IF(D1003&lt;(Inputs!$E$10-Inputs!$D$10)/(Inputs!$F$10-Inputs!$D$10),Inputs!$D$10+SQRT(D1003*(Inputs!$F$10-Inputs!$D$10)*(Inputs!$E$10-Inputs!$D$10)),Inputs!$F$10-SQRT((1-D1003)*(Inputs!$F$10-Inputs!$D$10)*(Inputs!$F$10-Inputs!$E$10)))</f>
        <v>0.0974025913709139</v>
      </c>
      <c r="F1003" s="81" t="n">
        <f aca="true">RAND()</f>
        <v>0.660319567668643</v>
      </c>
      <c r="G1003" s="83" t="n">
        <f aca="false">IF(F1003&lt;(Inputs!$E$15-Inputs!$D$15)/(Inputs!$F$15-Inputs!$D$15),Inputs!$D$15+SQRT(F1003*(Inputs!$F$15-Inputs!$D$15)*(Inputs!$E$15-Inputs!$D$15)),Inputs!$F$15-SQRT((1-F1003)*(Inputs!$F$15-Inputs!$D$15)*(Inputs!$F$15-Inputs!$E$15)))</f>
        <v>0.717576649870154</v>
      </c>
      <c r="H1003" s="81" t="n">
        <f aca="true">RAND()</f>
        <v>0.746236763273267</v>
      </c>
      <c r="I1003" s="82" t="n">
        <f aca="false">ROUND(IF(H1003&lt;(Inputs!$E$17-Inputs!$D$17)/(Inputs!$F$17-Inputs!$D$17),Inputs!$D$17+SQRT(H1003*(Inputs!$F$17-Inputs!$D$17)*(Inputs!$E$17-Inputs!$D$17)),Inputs!$F$17-SQRT((1-H1003)*(Inputs!$F$17-Inputs!$D$17)*(Inputs!$F$17-Inputs!$E$17))),0)</f>
        <v>109</v>
      </c>
      <c r="J1003" s="81" t="n">
        <f aca="true">RAND()</f>
        <v>0.124586839687749</v>
      </c>
      <c r="K1003" s="83" t="n">
        <f aca="false">IF(J1003&lt;(Inputs!$E$18-Inputs!$D$18)/(Inputs!$F$18-Inputs!$D$18),Inputs!$D$18+SQRT(J1003*(Inputs!$F$18-Inputs!$D$18)*(Inputs!$E$18-Inputs!$D$18)),Inputs!$F$18-SQRT((1-J1003)*(Inputs!$F$18-Inputs!$D$18)*(Inputs!$F$18-Inputs!$E$18)))</f>
        <v>0.966034380356533</v>
      </c>
      <c r="L1003" s="81" t="n">
        <f aca="true">RAND()</f>
        <v>0.752495569814169</v>
      </c>
      <c r="M1003" s="83" t="n">
        <f aca="false">IF(L1003&lt;(Inputs!$E$24-Inputs!$D$24)/(Inputs!$F$24-Inputs!$D$24),Inputs!$D$24+SQRT(L1003*(Inputs!$F$24-Inputs!$D$24)*(Inputs!$E$24-Inputs!$D$24)),Inputs!$F$24-SQRT((1-L1003)*(Inputs!$F$24-Inputs!$D$24)*(Inputs!$F$24-Inputs!$E$24)))</f>
        <v>0.956276666597965</v>
      </c>
      <c r="N1003" s="81" t="n">
        <f aca="true">RAND()</f>
        <v>0.661750553023175</v>
      </c>
      <c r="O1003" s="83" t="n">
        <f aca="false">IF(N1003&lt;(Inputs!$E$26-Inputs!$D$26)/(Inputs!$F$26-Inputs!$D$26),Inputs!$D$26+SQRT(N1003*(Inputs!$F$26-Inputs!$D$26)*(Inputs!$E$26-Inputs!$D$26)),Inputs!$F$26-SQRT((1-N1003)*(Inputs!$F$26-Inputs!$D$26)*(Inputs!$F$26-Inputs!$E$26)))</f>
        <v>0.632442162292295</v>
      </c>
      <c r="P1003" s="81" t="n">
        <f aca="true">RAND()</f>
        <v>0.775760965790728</v>
      </c>
      <c r="Q1003" s="82" t="n">
        <f aca="false">IF(P1003&lt;(Inputs!$E$27-Inputs!$D$27)/(Inputs!$F$27-Inputs!$D$27),Inputs!$D$27+SQRT(P1003*(Inputs!$F$27-Inputs!$D$27)*(Inputs!$E$27-Inputs!$D$27)),Inputs!$F$27-SQRT((1-P1003)*(Inputs!$F$27-Inputs!$D$27)*(Inputs!$F$27-Inputs!$E$27)))</f>
        <v>108.990333376513</v>
      </c>
      <c r="R1003" s="81" t="n">
        <f aca="true">RAND()</f>
        <v>0.968507073121507</v>
      </c>
      <c r="S1003" s="82" t="n">
        <f aca="false">IF(R1003&lt;(Inputs!$E$29-Inputs!$D$29)/(Inputs!$F$29-Inputs!$D$29),Inputs!$D$29+SQRT(R1003*(Inputs!$F$29-Inputs!$D$29)*(Inputs!$E$29-Inputs!$D$29)),Inputs!$F$29-SQRT((1-R1003)*(Inputs!$F$29-Inputs!$D$29)*(Inputs!$F$29-Inputs!$E$29)))</f>
        <v>12.976616572618</v>
      </c>
      <c r="T1003" s="68" t="n">
        <f aca="false">Inputs!$E$9*(1+E1003)+Inputs!$E$5*C1003*(Inputs!$E$11*Inputs!$E$14*(G1003*I1003/Inputs!$E$16+(1-G1003))*K1003+Inputs!$E$23*M1003)*(1+O1003)+Inputs!$E$5*(Q1003+S1003)</f>
        <v>6556.64805446598</v>
      </c>
    </row>
    <row r="1004" customFormat="false" ht="15" hidden="false" customHeight="false" outlineLevel="0" collapsed="false">
      <c r="A1004" s="1" t="n">
        <v>1000</v>
      </c>
      <c r="B1004" s="81" t="n">
        <f aca="true">RAND()</f>
        <v>0.116074008182931</v>
      </c>
      <c r="C1004" s="82" t="n">
        <f aca="false">ROUND(IF(B1004&lt;(Inputs!$E$8-Inputs!$D$8)/(Inputs!$F$8-Inputs!$D$8),Inputs!$D$8+SQRT(B1004*(Inputs!$F$8-Inputs!$D$8)*(Inputs!$E$8-Inputs!$D$8)),Inputs!$F$8-SQRT((1-B1004)*(Inputs!$F$8-Inputs!$D$8)*(Inputs!$F$8-Inputs!$E$8))),0)</f>
        <v>22</v>
      </c>
      <c r="D1004" s="81" t="n">
        <f aca="true">RAND()</f>
        <v>0.886652883484326</v>
      </c>
      <c r="E1004" s="83" t="n">
        <f aca="false">IF(D1004&lt;(Inputs!$E$10-Inputs!$D$10)/(Inputs!$F$10-Inputs!$D$10),Inputs!$D$10+SQRT(D1004*(Inputs!$F$10-Inputs!$D$10)*(Inputs!$E$10-Inputs!$D$10)),Inputs!$F$10-SQRT((1-D1004)*(Inputs!$F$10-Inputs!$D$10)*(Inputs!$F$10-Inputs!$E$10)))</f>
        <v>0.141686935464939</v>
      </c>
      <c r="F1004" s="81" t="n">
        <f aca="true">RAND()</f>
        <v>0.0520626152401995</v>
      </c>
      <c r="G1004" s="83" t="n">
        <f aca="false">IF(F1004&lt;(Inputs!$E$15-Inputs!$D$15)/(Inputs!$F$15-Inputs!$D$15),Inputs!$D$15+SQRT(F1004*(Inputs!$F$15-Inputs!$D$15)*(Inputs!$E$15-Inputs!$D$15)),Inputs!$F$15-SQRT((1-F1004)*(Inputs!$F$15-Inputs!$D$15)*(Inputs!$F$15-Inputs!$E$15)))</f>
        <v>0.632268441313519</v>
      </c>
      <c r="H1004" s="81" t="n">
        <f aca="true">RAND()</f>
        <v>0.127173909474183</v>
      </c>
      <c r="I1004" s="82" t="n">
        <f aca="false">ROUND(IF(H1004&lt;(Inputs!$E$17-Inputs!$D$17)/(Inputs!$F$17-Inputs!$D$17),Inputs!$D$17+SQRT(H1004*(Inputs!$F$17-Inputs!$D$17)*(Inputs!$E$17-Inputs!$D$17)),Inputs!$F$17-SQRT((1-H1004)*(Inputs!$F$17-Inputs!$D$17)*(Inputs!$F$17-Inputs!$E$17))),0)</f>
        <v>103</v>
      </c>
      <c r="J1004" s="81" t="n">
        <f aca="true">RAND()</f>
        <v>0.7362719795855</v>
      </c>
      <c r="K1004" s="83" t="n">
        <f aca="false">IF(J1004&lt;(Inputs!$E$18-Inputs!$D$18)/(Inputs!$F$18-Inputs!$D$18),Inputs!$D$18+SQRT(J1004*(Inputs!$F$18-Inputs!$D$18)*(Inputs!$E$18-Inputs!$D$18)),Inputs!$F$18-SQRT((1-J1004)*(Inputs!$F$18-Inputs!$D$18)*(Inputs!$F$18-Inputs!$E$18)))</f>
        <v>1.09809146901418</v>
      </c>
      <c r="L1004" s="81" t="n">
        <f aca="true">RAND()</f>
        <v>0.737530908870963</v>
      </c>
      <c r="M1004" s="83" t="n">
        <f aca="false">IF(L1004&lt;(Inputs!$E$24-Inputs!$D$24)/(Inputs!$F$24-Inputs!$D$24),Inputs!$D$24+SQRT(L1004*(Inputs!$F$24-Inputs!$D$24)*(Inputs!$E$24-Inputs!$D$24)),Inputs!$F$24-SQRT((1-L1004)*(Inputs!$F$24-Inputs!$D$24)*(Inputs!$F$24-Inputs!$E$24)))</f>
        <v>0.949016769741545</v>
      </c>
      <c r="N1004" s="81" t="n">
        <f aca="true">RAND()</f>
        <v>0.480778583462992</v>
      </c>
      <c r="O1004" s="83" t="n">
        <f aca="false">IF(N1004&lt;(Inputs!$E$26-Inputs!$D$26)/(Inputs!$F$26-Inputs!$D$26),Inputs!$D$26+SQRT(N1004*(Inputs!$F$26-Inputs!$D$26)*(Inputs!$E$26-Inputs!$D$26)),Inputs!$F$26-SQRT((1-N1004)*(Inputs!$F$26-Inputs!$D$26)*(Inputs!$F$26-Inputs!$E$26)))</f>
        <v>0.582845463616162</v>
      </c>
      <c r="P1004" s="81" t="n">
        <f aca="true">RAND()</f>
        <v>0.0482246330595867</v>
      </c>
      <c r="Q1004" s="82" t="n">
        <f aca="false">IF(P1004&lt;(Inputs!$E$27-Inputs!$D$27)/(Inputs!$F$27-Inputs!$D$27),Inputs!$D$27+SQRT(P1004*(Inputs!$F$27-Inputs!$D$27)*(Inputs!$E$27-Inputs!$D$27)),Inputs!$F$27-SQRT((1-P1004)*(Inputs!$F$27-Inputs!$D$27)*(Inputs!$F$27-Inputs!$E$27)))</f>
        <v>60.9800538545568</v>
      </c>
      <c r="R1004" s="81" t="n">
        <f aca="true">RAND()</f>
        <v>0.77154825491499</v>
      </c>
      <c r="S1004" s="82" t="n">
        <f aca="false">IF(R1004&lt;(Inputs!$E$29-Inputs!$D$29)/(Inputs!$F$29-Inputs!$D$29),Inputs!$D$29+SQRT(R1004*(Inputs!$F$29-Inputs!$D$29)*(Inputs!$E$29-Inputs!$D$29)),Inputs!$F$29-SQRT((1-R1004)*(Inputs!$F$29-Inputs!$D$29)*(Inputs!$F$29-Inputs!$E$29)))</f>
        <v>9.55034617053052</v>
      </c>
      <c r="T1004" s="68" t="n">
        <f aca="false">Inputs!$E$9*(1+E1004)+Inputs!$E$5*C1004*(Inputs!$E$11*Inputs!$E$14*(G1004*I1004/Inputs!$E$16+(1-G1004))*K1004+Inputs!$E$23*M1004)*(1+O1004)+Inputs!$E$5*(Q1004+S1004)</f>
        <v>6162.09382747561</v>
      </c>
    </row>
    <row r="1005" customFormat="false" ht="15" hidden="false" customHeight="false" outlineLevel="0" collapsed="false">
      <c r="A1005" s="1" t="n">
        <v>1001</v>
      </c>
      <c r="B1005" s="81" t="n">
        <f aca="true">RAND()</f>
        <v>0.478533908476186</v>
      </c>
      <c r="C1005" s="82" t="n">
        <f aca="false">ROUND(IF(B1005&lt;(Inputs!$E$8-Inputs!$D$8)/(Inputs!$F$8-Inputs!$D$8),Inputs!$D$8+SQRT(B1005*(Inputs!$F$8-Inputs!$D$8)*(Inputs!$E$8-Inputs!$D$8)),Inputs!$F$8-SQRT((1-B1005)*(Inputs!$F$8-Inputs!$D$8)*(Inputs!$F$8-Inputs!$E$8))),0)</f>
        <v>25</v>
      </c>
      <c r="D1005" s="81" t="n">
        <f aca="true">RAND()</f>
        <v>0.36822389057987</v>
      </c>
      <c r="E1005" s="83" t="n">
        <f aca="false">IF(D1005&lt;(Inputs!$E$10-Inputs!$D$10)/(Inputs!$F$10-Inputs!$D$10),Inputs!$D$10+SQRT(D1005*(Inputs!$F$10-Inputs!$D$10)*(Inputs!$E$10-Inputs!$D$10)),Inputs!$F$10-SQRT((1-D1005)*(Inputs!$F$10-Inputs!$D$10)*(Inputs!$F$10-Inputs!$E$10)))</f>
        <v>0.0623290761177078</v>
      </c>
      <c r="F1005" s="81" t="n">
        <f aca="true">RAND()</f>
        <v>0.763692805459873</v>
      </c>
      <c r="G1005" s="83" t="n">
        <f aca="false">IF(F1005&lt;(Inputs!$E$15-Inputs!$D$15)/(Inputs!$F$15-Inputs!$D$15),Inputs!$D$15+SQRT(F1005*(Inputs!$F$15-Inputs!$D$15)*(Inputs!$E$15-Inputs!$D$15)),Inputs!$F$15-SQRT((1-F1005)*(Inputs!$F$15-Inputs!$D$15)*(Inputs!$F$15-Inputs!$E$15)))</f>
        <v>0.731253044497938</v>
      </c>
      <c r="H1005" s="81" t="n">
        <f aca="true">RAND()</f>
        <v>0.726730066210675</v>
      </c>
      <c r="I1005" s="82" t="n">
        <f aca="false">ROUND(IF(H1005&lt;(Inputs!$E$17-Inputs!$D$17)/(Inputs!$F$17-Inputs!$D$17),Inputs!$D$17+SQRT(H1005*(Inputs!$F$17-Inputs!$D$17)*(Inputs!$E$17-Inputs!$D$17)),Inputs!$F$17-SQRT((1-H1005)*(Inputs!$F$17-Inputs!$D$17)*(Inputs!$F$17-Inputs!$E$17))),0)</f>
        <v>109</v>
      </c>
      <c r="J1005" s="81" t="n">
        <f aca="true">RAND()</f>
        <v>0.335493297895167</v>
      </c>
      <c r="K1005" s="83" t="n">
        <f aca="false">IF(J1005&lt;(Inputs!$E$18-Inputs!$D$18)/(Inputs!$F$18-Inputs!$D$18),Inputs!$D$18+SQRT(J1005*(Inputs!$F$18-Inputs!$D$18)*(Inputs!$E$18-Inputs!$D$18)),Inputs!$F$18-SQRT((1-J1005)*(Inputs!$F$18-Inputs!$D$18)*(Inputs!$F$18-Inputs!$E$18)))</f>
        <v>1.00886863241342</v>
      </c>
      <c r="L1005" s="81" t="n">
        <f aca="true">RAND()</f>
        <v>0.697921336043043</v>
      </c>
      <c r="M1005" s="83" t="n">
        <f aca="false">IF(L1005&lt;(Inputs!$E$24-Inputs!$D$24)/(Inputs!$F$24-Inputs!$D$24),Inputs!$D$24+SQRT(L1005*(Inputs!$F$24-Inputs!$D$24)*(Inputs!$E$24-Inputs!$D$24)),Inputs!$F$24-SQRT((1-L1005)*(Inputs!$F$24-Inputs!$D$24)*(Inputs!$F$24-Inputs!$E$24)))</f>
        <v>0.930743840646737</v>
      </c>
      <c r="N1005" s="81" t="n">
        <f aca="true">RAND()</f>
        <v>0.703311576798502</v>
      </c>
      <c r="O1005" s="83" t="n">
        <f aca="false">IF(N1005&lt;(Inputs!$E$26-Inputs!$D$26)/(Inputs!$F$26-Inputs!$D$26),Inputs!$D$26+SQRT(N1005*(Inputs!$F$26-Inputs!$D$26)*(Inputs!$E$26-Inputs!$D$26)),Inputs!$F$26-SQRT((1-N1005)*(Inputs!$F$26-Inputs!$D$26)*(Inputs!$F$26-Inputs!$E$26)))</f>
        <v>0.644342389823396</v>
      </c>
      <c r="P1005" s="81" t="n">
        <f aca="true">RAND()</f>
        <v>0.216404238455452</v>
      </c>
      <c r="Q1005" s="82" t="n">
        <f aca="false">IF(P1005&lt;(Inputs!$E$27-Inputs!$D$27)/(Inputs!$F$27-Inputs!$D$27),Inputs!$D$27+SQRT(P1005*(Inputs!$F$27-Inputs!$D$27)*(Inputs!$E$27-Inputs!$D$27)),Inputs!$F$27-SQRT((1-P1005)*(Inputs!$F$27-Inputs!$D$27)*(Inputs!$F$27-Inputs!$E$27)))</f>
        <v>73.2596344799017</v>
      </c>
      <c r="R1005" s="81" t="n">
        <f aca="true">RAND()</f>
        <v>0.780107348309949</v>
      </c>
      <c r="S1005" s="82" t="n">
        <f aca="false">IF(R1005&lt;(Inputs!$E$29-Inputs!$D$29)/(Inputs!$F$29-Inputs!$D$29),Inputs!$D$29+SQRT(R1005*(Inputs!$F$29-Inputs!$D$29)*(Inputs!$E$29-Inputs!$D$29)),Inputs!$F$29-SQRT((1-R1005)*(Inputs!$F$29-Inputs!$D$29)*(Inputs!$F$29-Inputs!$E$29)))</f>
        <v>9.6534081210825</v>
      </c>
      <c r="T1005" s="68" t="n">
        <f aca="false">Inputs!$E$9*(1+E1005)+Inputs!$E$5*C1005*(Inputs!$E$11*Inputs!$E$14*(G1005*I1005/Inputs!$E$16+(1-G1005))*K1005+Inputs!$E$23*M1005)*(1+O1005)+Inputs!$E$5*(Q1005+S1005)</f>
        <v>6350.23507326487</v>
      </c>
    </row>
    <row r="1006" customFormat="false" ht="15" hidden="false" customHeight="false" outlineLevel="0" collapsed="false">
      <c r="A1006" s="1" t="n">
        <v>1002</v>
      </c>
      <c r="B1006" s="81" t="n">
        <f aca="true">RAND()</f>
        <v>0.0620495792851553</v>
      </c>
      <c r="C1006" s="82" t="n">
        <f aca="false">ROUND(IF(B1006&lt;(Inputs!$E$8-Inputs!$D$8)/(Inputs!$F$8-Inputs!$D$8),Inputs!$D$8+SQRT(B1006*(Inputs!$F$8-Inputs!$D$8)*(Inputs!$E$8-Inputs!$D$8)),Inputs!$F$8-SQRT((1-B1006)*(Inputs!$F$8-Inputs!$D$8)*(Inputs!$F$8-Inputs!$E$8))),0)</f>
        <v>22</v>
      </c>
      <c r="D1006" s="81" t="n">
        <f aca="true">RAND()</f>
        <v>0.673723001748025</v>
      </c>
      <c r="E1006" s="83" t="n">
        <f aca="false">IF(D1006&lt;(Inputs!$E$10-Inputs!$D$10)/(Inputs!$F$10-Inputs!$D$10),Inputs!$D$10+SQRT(D1006*(Inputs!$F$10-Inputs!$D$10)*(Inputs!$E$10-Inputs!$D$10)),Inputs!$F$10-SQRT((1-D1006)*(Inputs!$F$10-Inputs!$D$10)*(Inputs!$F$10-Inputs!$E$10)))</f>
        <v>0.101064111933236</v>
      </c>
      <c r="F1006" s="81" t="n">
        <f aca="true">RAND()</f>
        <v>0.651350333094454</v>
      </c>
      <c r="G1006" s="83" t="n">
        <f aca="false">IF(F1006&lt;(Inputs!$E$15-Inputs!$D$15)/(Inputs!$F$15-Inputs!$D$15),Inputs!$D$15+SQRT(F1006*(Inputs!$F$15-Inputs!$D$15)*(Inputs!$E$15-Inputs!$D$15)),Inputs!$F$15-SQRT((1-F1006)*(Inputs!$F$15-Inputs!$D$15)*(Inputs!$F$15-Inputs!$E$15)))</f>
        <v>0.716495548992219</v>
      </c>
      <c r="H1006" s="81" t="n">
        <f aca="true">RAND()</f>
        <v>0.187693057393226</v>
      </c>
      <c r="I1006" s="82" t="n">
        <f aca="false">ROUND(IF(H1006&lt;(Inputs!$E$17-Inputs!$D$17)/(Inputs!$F$17-Inputs!$D$17),Inputs!$D$17+SQRT(H1006*(Inputs!$F$17-Inputs!$D$17)*(Inputs!$E$17-Inputs!$D$17)),Inputs!$F$17-SQRT((1-H1006)*(Inputs!$F$17-Inputs!$D$17)*(Inputs!$F$17-Inputs!$E$17))),0)</f>
        <v>104</v>
      </c>
      <c r="J1006" s="81" t="n">
        <f aca="true">RAND()</f>
        <v>0.155981178397249</v>
      </c>
      <c r="K1006" s="83" t="n">
        <f aca="false">IF(J1006&lt;(Inputs!$E$18-Inputs!$D$18)/(Inputs!$F$18-Inputs!$D$18),Inputs!$D$18+SQRT(J1006*(Inputs!$F$18-Inputs!$D$18)*(Inputs!$E$18-Inputs!$D$18)),Inputs!$F$18-SQRT((1-J1006)*(Inputs!$F$18-Inputs!$D$18)*(Inputs!$F$18-Inputs!$E$18)))</f>
        <v>0.973887355101558</v>
      </c>
      <c r="L1006" s="81" t="n">
        <f aca="true">RAND()</f>
        <v>0.878845928518677</v>
      </c>
      <c r="M1006" s="83" t="n">
        <f aca="false">IF(L1006&lt;(Inputs!$E$24-Inputs!$D$24)/(Inputs!$F$24-Inputs!$D$24),Inputs!$D$24+SQRT(L1006*(Inputs!$F$24-Inputs!$D$24)*(Inputs!$E$24-Inputs!$D$24)),Inputs!$F$24-SQRT((1-L1006)*(Inputs!$F$24-Inputs!$D$24)*(Inputs!$F$24-Inputs!$E$24)))</f>
        <v>1.02948027341238</v>
      </c>
      <c r="N1006" s="81" t="n">
        <f aca="true">RAND()</f>
        <v>0.192343589454483</v>
      </c>
      <c r="O1006" s="83" t="n">
        <f aca="false">IF(N1006&lt;(Inputs!$E$26-Inputs!$D$26)/(Inputs!$F$26-Inputs!$D$26),Inputs!$D$26+SQRT(N1006*(Inputs!$F$26-Inputs!$D$26)*(Inputs!$E$26-Inputs!$D$26)),Inputs!$F$26-SQRT((1-N1006)*(Inputs!$F$26-Inputs!$D$26)*(Inputs!$F$26-Inputs!$E$26)))</f>
        <v>0.478902133260691</v>
      </c>
      <c r="P1006" s="81" t="n">
        <f aca="true">RAND()</f>
        <v>0.801627635007039</v>
      </c>
      <c r="Q1006" s="82" t="n">
        <f aca="false">IF(P1006&lt;(Inputs!$E$27-Inputs!$D$27)/(Inputs!$F$27-Inputs!$D$27),Inputs!$D$27+SQRT(P1006*(Inputs!$F$27-Inputs!$D$27)*(Inputs!$E$27-Inputs!$D$27)),Inputs!$F$27-SQRT((1-P1006)*(Inputs!$F$27-Inputs!$D$27)*(Inputs!$F$27-Inputs!$E$27)))</f>
        <v>111.428083565278</v>
      </c>
      <c r="R1006" s="81" t="n">
        <f aca="true">RAND()</f>
        <v>0.723419077015515</v>
      </c>
      <c r="S1006" s="82" t="n">
        <f aca="false">IF(R1006&lt;(Inputs!$E$29-Inputs!$D$29)/(Inputs!$F$29-Inputs!$D$29),Inputs!$D$29+SQRT(R1006*(Inputs!$F$29-Inputs!$D$29)*(Inputs!$E$29-Inputs!$D$29)),Inputs!$F$29-SQRT((1-R1006)*(Inputs!$F$29-Inputs!$D$29)*(Inputs!$F$29-Inputs!$E$29)))</f>
        <v>9.00370781332471</v>
      </c>
      <c r="T1006" s="68" t="n">
        <f aca="false">Inputs!$E$9*(1+E1006)+Inputs!$E$5*C1006*(Inputs!$E$11*Inputs!$E$14*(G1006*I1006/Inputs!$E$16+(1-G1006))*K1006+Inputs!$E$23*M1006)*(1+O1006)+Inputs!$E$5*(Q1006+S1006)</f>
        <v>5893.35967000563</v>
      </c>
    </row>
    <row r="1007" customFormat="false" ht="15" hidden="false" customHeight="false" outlineLevel="0" collapsed="false">
      <c r="A1007" s="1" t="n">
        <v>1003</v>
      </c>
      <c r="B1007" s="81" t="n">
        <f aca="true">RAND()</f>
        <v>0.851867069858001</v>
      </c>
      <c r="C1007" s="82" t="n">
        <f aca="false">ROUND(IF(B1007&lt;(Inputs!$E$8-Inputs!$D$8)/(Inputs!$F$8-Inputs!$D$8),Inputs!$D$8+SQRT(B1007*(Inputs!$F$8-Inputs!$D$8)*(Inputs!$E$8-Inputs!$D$8)),Inputs!$F$8-SQRT((1-B1007)*(Inputs!$F$8-Inputs!$D$8)*(Inputs!$F$8-Inputs!$E$8))),0)</f>
        <v>27</v>
      </c>
      <c r="D1007" s="81" t="n">
        <f aca="true">RAND()</f>
        <v>0.0376778069385963</v>
      </c>
      <c r="E1007" s="83" t="n">
        <f aca="false">IF(D1007&lt;(Inputs!$E$10-Inputs!$D$10)/(Inputs!$F$10-Inputs!$D$10),Inputs!$D$10+SQRT(D1007*(Inputs!$F$10-Inputs!$D$10)*(Inputs!$E$10-Inputs!$D$10)),Inputs!$F$10-SQRT((1-D1007)*(Inputs!$F$10-Inputs!$D$10)*(Inputs!$F$10-Inputs!$E$10)))</f>
        <v>0.0194107719935597</v>
      </c>
      <c r="F1007" s="81" t="n">
        <f aca="true">RAND()</f>
        <v>0.764241590089315</v>
      </c>
      <c r="G1007" s="83" t="n">
        <f aca="false">IF(F1007&lt;(Inputs!$E$15-Inputs!$D$15)/(Inputs!$F$15-Inputs!$D$15),Inputs!$D$15+SQRT(F1007*(Inputs!$F$15-Inputs!$D$15)*(Inputs!$E$15-Inputs!$D$15)),Inputs!$F$15-SQRT((1-F1007)*(Inputs!$F$15-Inputs!$D$15)*(Inputs!$F$15-Inputs!$E$15)))</f>
        <v>0.731332917651806</v>
      </c>
      <c r="H1007" s="81" t="n">
        <f aca="true">RAND()</f>
        <v>0.900197565841058</v>
      </c>
      <c r="I1007" s="82" t="n">
        <f aca="false">ROUND(IF(H1007&lt;(Inputs!$E$17-Inputs!$D$17)/(Inputs!$F$17-Inputs!$D$17),Inputs!$D$17+SQRT(H1007*(Inputs!$F$17-Inputs!$D$17)*(Inputs!$E$17-Inputs!$D$17)),Inputs!$F$17-SQRT((1-H1007)*(Inputs!$F$17-Inputs!$D$17)*(Inputs!$F$17-Inputs!$E$17))),0)</f>
        <v>111</v>
      </c>
      <c r="J1007" s="81" t="n">
        <f aca="true">RAND()</f>
        <v>0.623393767893446</v>
      </c>
      <c r="K1007" s="83" t="n">
        <f aca="false">IF(J1007&lt;(Inputs!$E$18-Inputs!$D$18)/(Inputs!$F$18-Inputs!$D$18),Inputs!$D$18+SQRT(J1007*(Inputs!$F$18-Inputs!$D$18)*(Inputs!$E$18-Inputs!$D$18)),Inputs!$F$18-SQRT((1-J1007)*(Inputs!$F$18-Inputs!$D$18)*(Inputs!$F$18-Inputs!$E$18)))</f>
        <v>1.06847026329187</v>
      </c>
      <c r="L1007" s="81" t="n">
        <f aca="true">RAND()</f>
        <v>0.917839767302735</v>
      </c>
      <c r="M1007" s="83" t="n">
        <f aca="false">IF(L1007&lt;(Inputs!$E$24-Inputs!$D$24)/(Inputs!$F$24-Inputs!$D$24),Inputs!$D$24+SQRT(L1007*(Inputs!$F$24-Inputs!$D$24)*(Inputs!$E$24-Inputs!$D$24)),Inputs!$F$24-SQRT((1-L1007)*(Inputs!$F$24-Inputs!$D$24)*(Inputs!$F$24-Inputs!$E$24)))</f>
        <v>1.0595775806812</v>
      </c>
      <c r="N1007" s="81" t="n">
        <f aca="true">RAND()</f>
        <v>0.685228097033264</v>
      </c>
      <c r="O1007" s="83" t="n">
        <f aca="false">IF(N1007&lt;(Inputs!$E$26-Inputs!$D$26)/(Inputs!$F$26-Inputs!$D$26),Inputs!$D$26+SQRT(N1007*(Inputs!$F$26-Inputs!$D$26)*(Inputs!$E$26-Inputs!$D$26)),Inputs!$F$26-SQRT((1-N1007)*(Inputs!$F$26-Inputs!$D$26)*(Inputs!$F$26-Inputs!$E$26)))</f>
        <v>0.639068305959015</v>
      </c>
      <c r="P1007" s="81" t="n">
        <f aca="true">RAND()</f>
        <v>0.149314405298015</v>
      </c>
      <c r="Q1007" s="82" t="n">
        <f aca="false">IF(P1007&lt;(Inputs!$E$27-Inputs!$D$27)/(Inputs!$F$27-Inputs!$D$27),Inputs!$D$27+SQRT(P1007*(Inputs!$F$27-Inputs!$D$27)*(Inputs!$E$27-Inputs!$D$27)),Inputs!$F$27-SQRT((1-P1007)*(Inputs!$F$27-Inputs!$D$27)*(Inputs!$F$27-Inputs!$E$27)))</f>
        <v>69.3206110991614</v>
      </c>
      <c r="R1007" s="81" t="n">
        <f aca="true">RAND()</f>
        <v>0.909611842991064</v>
      </c>
      <c r="S1007" s="82" t="n">
        <f aca="false">IF(R1007&lt;(Inputs!$E$29-Inputs!$D$29)/(Inputs!$F$29-Inputs!$D$29),Inputs!$D$29+SQRT(R1007*(Inputs!$F$29-Inputs!$D$29)*(Inputs!$E$29-Inputs!$D$29)),Inputs!$F$29-SQRT((1-R1007)*(Inputs!$F$29-Inputs!$D$29)*(Inputs!$F$29-Inputs!$E$29)))</f>
        <v>11.5721055425872</v>
      </c>
      <c r="T1007" s="68" t="n">
        <f aca="false">Inputs!$E$9*(1+E1007)+Inputs!$E$5*C1007*(Inputs!$E$11*Inputs!$E$14*(G1007*I1007/Inputs!$E$16+(1-G1007))*K1007+Inputs!$E$23*M1007)*(1+O1007)+Inputs!$E$5*(Q1007+S1007)</f>
        <v>6895.18101309838</v>
      </c>
    </row>
    <row r="1008" customFormat="false" ht="15" hidden="false" customHeight="false" outlineLevel="0" collapsed="false">
      <c r="A1008" s="1" t="n">
        <v>1004</v>
      </c>
      <c r="B1008" s="81" t="n">
        <f aca="true">RAND()</f>
        <v>0.909033940315961</v>
      </c>
      <c r="C1008" s="82" t="n">
        <f aca="false">ROUND(IF(B1008&lt;(Inputs!$E$8-Inputs!$D$8)/(Inputs!$F$8-Inputs!$D$8),Inputs!$D$8+SQRT(B1008*(Inputs!$F$8-Inputs!$D$8)*(Inputs!$E$8-Inputs!$D$8)),Inputs!$F$8-SQRT((1-B1008)*(Inputs!$F$8-Inputs!$D$8)*(Inputs!$F$8-Inputs!$E$8))),0)</f>
        <v>28</v>
      </c>
      <c r="D1008" s="81" t="n">
        <f aca="true">RAND()</f>
        <v>0.679882044778481</v>
      </c>
      <c r="E1008" s="83" t="n">
        <f aca="false">IF(D1008&lt;(Inputs!$E$10-Inputs!$D$10)/(Inputs!$F$10-Inputs!$D$10),Inputs!$D$10+SQRT(D1008*(Inputs!$F$10-Inputs!$D$10)*(Inputs!$E$10-Inputs!$D$10)),Inputs!$F$10-SQRT((1-D1008)*(Inputs!$F$10-Inputs!$D$10)*(Inputs!$F$10-Inputs!$E$10)))</f>
        <v>0.102002353820892</v>
      </c>
      <c r="F1008" s="81" t="n">
        <f aca="true">RAND()</f>
        <v>0.206618794362042</v>
      </c>
      <c r="G1008" s="83" t="n">
        <f aca="false">IF(F1008&lt;(Inputs!$E$15-Inputs!$D$15)/(Inputs!$F$15-Inputs!$D$15),Inputs!$D$15+SQRT(F1008*(Inputs!$F$15-Inputs!$D$15)*(Inputs!$E$15-Inputs!$D$15)),Inputs!$F$15-SQRT((1-F1008)*(Inputs!$F$15-Inputs!$D$15)*(Inputs!$F$15-Inputs!$E$15)))</f>
        <v>0.664283558451915</v>
      </c>
      <c r="H1008" s="81" t="n">
        <f aca="true">RAND()</f>
        <v>0.377776735746158</v>
      </c>
      <c r="I1008" s="82" t="n">
        <f aca="false">ROUND(IF(H1008&lt;(Inputs!$E$17-Inputs!$D$17)/(Inputs!$F$17-Inputs!$D$17),Inputs!$D$17+SQRT(H1008*(Inputs!$F$17-Inputs!$D$17)*(Inputs!$E$17-Inputs!$D$17)),Inputs!$F$17-SQRT((1-H1008)*(Inputs!$F$17-Inputs!$D$17)*(Inputs!$F$17-Inputs!$E$17))),0)</f>
        <v>105</v>
      </c>
      <c r="J1008" s="81" t="n">
        <f aca="true">RAND()</f>
        <v>0.414042591421615</v>
      </c>
      <c r="K1008" s="83" t="n">
        <f aca="false">IF(J1008&lt;(Inputs!$E$18-Inputs!$D$18)/(Inputs!$F$18-Inputs!$D$18),Inputs!$D$18+SQRT(J1008*(Inputs!$F$18-Inputs!$D$18)*(Inputs!$E$18-Inputs!$D$18)),Inputs!$F$18-SQRT((1-J1008)*(Inputs!$F$18-Inputs!$D$18)*(Inputs!$F$18-Inputs!$E$18)))</f>
        <v>1.02356839167067</v>
      </c>
      <c r="L1008" s="81" t="n">
        <f aca="true">RAND()</f>
        <v>0.984987635418747</v>
      </c>
      <c r="M1008" s="83" t="n">
        <f aca="false">IF(L1008&lt;(Inputs!$E$24-Inputs!$D$24)/(Inputs!$F$24-Inputs!$D$24),Inputs!$D$24+SQRT(L1008*(Inputs!$F$24-Inputs!$D$24)*(Inputs!$E$24-Inputs!$D$24)),Inputs!$F$24-SQRT((1-L1008)*(Inputs!$F$24-Inputs!$D$24)*(Inputs!$F$24-Inputs!$E$24)))</f>
        <v>1.13997527593149</v>
      </c>
      <c r="N1008" s="81" t="n">
        <f aca="true">RAND()</f>
        <v>0.497973372855068</v>
      </c>
      <c r="O1008" s="83" t="n">
        <f aca="false">IF(N1008&lt;(Inputs!$E$26-Inputs!$D$26)/(Inputs!$F$26-Inputs!$D$26),Inputs!$D$26+SQRT(N1008*(Inputs!$F$26-Inputs!$D$26)*(Inputs!$E$26-Inputs!$D$26)),Inputs!$F$26-SQRT((1-N1008)*(Inputs!$F$26-Inputs!$D$26)*(Inputs!$F$26-Inputs!$E$26)))</f>
        <v>0.587858939835266</v>
      </c>
      <c r="P1008" s="81" t="n">
        <f aca="true">RAND()</f>
        <v>0.0103495745586181</v>
      </c>
      <c r="Q1008" s="82" t="n">
        <f aca="false">IF(P1008&lt;(Inputs!$E$27-Inputs!$D$27)/(Inputs!$F$27-Inputs!$D$27),Inputs!$D$27+SQRT(P1008*(Inputs!$F$27-Inputs!$D$27)*(Inputs!$E$27-Inputs!$D$27)),Inputs!$F$27-SQRT((1-P1008)*(Inputs!$F$27-Inputs!$D$27)*(Inputs!$F$27-Inputs!$E$27)))</f>
        <v>55.0866429397536</v>
      </c>
      <c r="R1008" s="81" t="n">
        <f aca="true">RAND()</f>
        <v>0.276522052958739</v>
      </c>
      <c r="S1008" s="82" t="n">
        <f aca="false">IF(R1008&lt;(Inputs!$E$29-Inputs!$D$29)/(Inputs!$F$29-Inputs!$D$29),Inputs!$D$29+SQRT(R1008*(Inputs!$F$29-Inputs!$D$29)*(Inputs!$E$29-Inputs!$D$29)),Inputs!$F$29-SQRT((1-R1008)*(Inputs!$F$29-Inputs!$D$29)*(Inputs!$F$29-Inputs!$E$29)))</f>
        <v>5.30195209769698</v>
      </c>
      <c r="T1008" s="68" t="n">
        <f aca="false">Inputs!$E$9*(1+E1008)+Inputs!$E$5*C1008*(Inputs!$E$11*Inputs!$E$14*(G1008*I1008/Inputs!$E$16+(1-G1008))*K1008+Inputs!$E$23*M1008)*(1+O1008)+Inputs!$E$5*(Q1008+S1008)</f>
        <v>7031.21596027792</v>
      </c>
    </row>
    <row r="1009" customFormat="false" ht="15" hidden="false" customHeight="false" outlineLevel="0" collapsed="false">
      <c r="A1009" s="1" t="n">
        <v>1005</v>
      </c>
      <c r="B1009" s="81" t="n">
        <f aca="true">RAND()</f>
        <v>0.267501739902556</v>
      </c>
      <c r="C1009" s="82" t="n">
        <f aca="false">ROUND(IF(B1009&lt;(Inputs!$E$8-Inputs!$D$8)/(Inputs!$F$8-Inputs!$D$8),Inputs!$D$8+SQRT(B1009*(Inputs!$F$8-Inputs!$D$8)*(Inputs!$E$8-Inputs!$D$8)),Inputs!$F$8-SQRT((1-B1009)*(Inputs!$F$8-Inputs!$D$8)*(Inputs!$F$8-Inputs!$E$8))),0)</f>
        <v>24</v>
      </c>
      <c r="D1009" s="81" t="n">
        <f aca="true">RAND()</f>
        <v>0.892210219418021</v>
      </c>
      <c r="E1009" s="83" t="n">
        <f aca="false">IF(D1009&lt;(Inputs!$E$10-Inputs!$D$10)/(Inputs!$F$10-Inputs!$D$10),Inputs!$D$10+SQRT(D1009*(Inputs!$F$10-Inputs!$D$10)*(Inputs!$E$10-Inputs!$D$10)),Inputs!$F$10-SQRT((1-D1009)*(Inputs!$F$10-Inputs!$D$10)*(Inputs!$F$10-Inputs!$E$10)))</f>
        <v>0.143134426781581</v>
      </c>
      <c r="F1009" s="81" t="n">
        <f aca="true">RAND()</f>
        <v>0.142343680216702</v>
      </c>
      <c r="G1009" s="83" t="n">
        <f aca="false">IF(F1009&lt;(Inputs!$E$15-Inputs!$D$15)/(Inputs!$F$15-Inputs!$D$15),Inputs!$D$15+SQRT(F1009*(Inputs!$F$15-Inputs!$D$15)*(Inputs!$E$15-Inputs!$D$15)),Inputs!$F$15-SQRT((1-F1009)*(Inputs!$F$15-Inputs!$D$15)*(Inputs!$F$15-Inputs!$E$15)))</f>
        <v>0.653356101847249</v>
      </c>
      <c r="H1009" s="81" t="n">
        <f aca="true">RAND()</f>
        <v>0.957182628654444</v>
      </c>
      <c r="I1009" s="82" t="n">
        <f aca="false">ROUND(IF(H1009&lt;(Inputs!$E$17-Inputs!$D$17)/(Inputs!$F$17-Inputs!$D$17),Inputs!$D$17+SQRT(H1009*(Inputs!$F$17-Inputs!$D$17)*(Inputs!$E$17-Inputs!$D$17)),Inputs!$F$17-SQRT((1-H1009)*(Inputs!$F$17-Inputs!$D$17)*(Inputs!$F$17-Inputs!$E$17))),0)</f>
        <v>112</v>
      </c>
      <c r="J1009" s="81" t="n">
        <f aca="true">RAND()</f>
        <v>0.594564073425255</v>
      </c>
      <c r="K1009" s="83" t="n">
        <f aca="false">IF(J1009&lt;(Inputs!$E$18-Inputs!$D$18)/(Inputs!$F$18-Inputs!$D$18),Inputs!$D$18+SQRT(J1009*(Inputs!$F$18-Inputs!$D$18)*(Inputs!$E$18-Inputs!$D$18)),Inputs!$F$18-SQRT((1-J1009)*(Inputs!$F$18-Inputs!$D$18)*(Inputs!$F$18-Inputs!$E$18)))</f>
        <v>1.0616502095162</v>
      </c>
      <c r="L1009" s="81" t="n">
        <f aca="true">RAND()</f>
        <v>0.637153226831476</v>
      </c>
      <c r="M1009" s="83" t="n">
        <f aca="false">IF(L1009&lt;(Inputs!$E$24-Inputs!$D$24)/(Inputs!$F$24-Inputs!$D$24),Inputs!$D$24+SQRT(L1009*(Inputs!$F$24-Inputs!$D$24)*(Inputs!$E$24-Inputs!$D$24)),Inputs!$F$24-SQRT((1-L1009)*(Inputs!$F$24-Inputs!$D$24)*(Inputs!$F$24-Inputs!$E$24)))</f>
        <v>0.904901329111014</v>
      </c>
      <c r="N1009" s="81" t="n">
        <f aca="true">RAND()</f>
        <v>0.0183887338234491</v>
      </c>
      <c r="O1009" s="83" t="n">
        <f aca="false">IF(N1009&lt;(Inputs!$E$26-Inputs!$D$26)/(Inputs!$F$26-Inputs!$D$26),Inputs!$D$26+SQRT(N1009*(Inputs!$F$26-Inputs!$D$26)*(Inputs!$E$26-Inputs!$D$26)),Inputs!$F$26-SQRT((1-N1009)*(Inputs!$F$26-Inputs!$D$26)*(Inputs!$F$26-Inputs!$E$26)))</f>
        <v>0.355316230061546</v>
      </c>
      <c r="P1009" s="81" t="n">
        <f aca="true">RAND()</f>
        <v>0.904060249459736</v>
      </c>
      <c r="Q1009" s="82" t="n">
        <f aca="false">IF(P1009&lt;(Inputs!$E$27-Inputs!$D$27)/(Inputs!$F$27-Inputs!$D$27),Inputs!$D$27+SQRT(P1009*(Inputs!$F$27-Inputs!$D$27)*(Inputs!$E$27-Inputs!$D$27)),Inputs!$F$27-SQRT((1-P1009)*(Inputs!$F$27-Inputs!$D$27)*(Inputs!$F$27-Inputs!$E$27)))</f>
        <v>123.175605709504</v>
      </c>
      <c r="R1009" s="81" t="n">
        <f aca="true">RAND()</f>
        <v>0.0260892133714941</v>
      </c>
      <c r="S1009" s="82" t="n">
        <f aca="false">IF(R1009&lt;(Inputs!$E$29-Inputs!$D$29)/(Inputs!$F$29-Inputs!$D$29),Inputs!$D$29+SQRT(R1009*(Inputs!$F$29-Inputs!$D$29)*(Inputs!$E$29-Inputs!$D$29)),Inputs!$F$29-SQRT((1-R1009)*(Inputs!$F$29-Inputs!$D$29)*(Inputs!$F$29-Inputs!$E$29)))</f>
        <v>3.0087018000818</v>
      </c>
      <c r="T1009" s="68" t="n">
        <f aca="false">Inputs!$E$9*(1+E1009)+Inputs!$E$5*C1009*(Inputs!$E$11*Inputs!$E$14*(G1009*I1009/Inputs!$E$16+(1-G1009))*K1009+Inputs!$E$23*M1009)*(1+O1009)+Inputs!$E$5*(Q1009+S1009)</f>
        <v>6169.01888244927</v>
      </c>
    </row>
    <row r="1010" customFormat="false" ht="15" hidden="false" customHeight="false" outlineLevel="0" collapsed="false">
      <c r="A1010" s="1" t="n">
        <v>1006</v>
      </c>
      <c r="B1010" s="81" t="n">
        <f aca="true">RAND()</f>
        <v>0.00769217724622404</v>
      </c>
      <c r="C1010" s="82" t="n">
        <f aca="false">ROUND(IF(B1010&lt;(Inputs!$E$8-Inputs!$D$8)/(Inputs!$F$8-Inputs!$D$8),Inputs!$D$8+SQRT(B1010*(Inputs!$F$8-Inputs!$D$8)*(Inputs!$E$8-Inputs!$D$8)),Inputs!$F$8-SQRT((1-B1010)*(Inputs!$F$8-Inputs!$D$8)*(Inputs!$F$8-Inputs!$E$8))),0)</f>
        <v>21</v>
      </c>
      <c r="D1010" s="81" t="n">
        <f aca="true">RAND()</f>
        <v>0.036616290074664</v>
      </c>
      <c r="E1010" s="83" t="n">
        <f aca="false">IF(D1010&lt;(Inputs!$E$10-Inputs!$D$10)/(Inputs!$F$10-Inputs!$D$10),Inputs!$D$10+SQRT(D1010*(Inputs!$F$10-Inputs!$D$10)*(Inputs!$E$10-Inputs!$D$10)),Inputs!$F$10-SQRT((1-D1010)*(Inputs!$F$10-Inputs!$D$10)*(Inputs!$F$10-Inputs!$E$10)))</f>
        <v>0.0191353834752962</v>
      </c>
      <c r="F1010" s="81" t="n">
        <f aca="true">RAND()</f>
        <v>0.83442546237663</v>
      </c>
      <c r="G1010" s="83" t="n">
        <f aca="false">IF(F1010&lt;(Inputs!$E$15-Inputs!$D$15)/(Inputs!$F$15-Inputs!$D$15),Inputs!$D$15+SQRT(F1010*(Inputs!$F$15-Inputs!$D$15)*(Inputs!$E$15-Inputs!$D$15)),Inputs!$F$15-SQRT((1-F1010)*(Inputs!$F$15-Inputs!$D$15)*(Inputs!$F$15-Inputs!$E$15)))</f>
        <v>0.742454446284119</v>
      </c>
      <c r="H1010" s="81" t="n">
        <f aca="true">RAND()</f>
        <v>0.939531283911116</v>
      </c>
      <c r="I1010" s="82" t="n">
        <f aca="false">ROUND(IF(H1010&lt;(Inputs!$E$17-Inputs!$D$17)/(Inputs!$F$17-Inputs!$D$17),Inputs!$D$17+SQRT(H1010*(Inputs!$F$17-Inputs!$D$17)*(Inputs!$E$17-Inputs!$D$17)),Inputs!$F$17-SQRT((1-H1010)*(Inputs!$F$17-Inputs!$D$17)*(Inputs!$F$17-Inputs!$E$17))),0)</f>
        <v>112</v>
      </c>
      <c r="J1010" s="81" t="n">
        <f aca="true">RAND()</f>
        <v>0.945198804322691</v>
      </c>
      <c r="K1010" s="83" t="n">
        <f aca="false">IF(J1010&lt;(Inputs!$E$18-Inputs!$D$18)/(Inputs!$F$18-Inputs!$D$18),Inputs!$D$18+SQRT(J1010*(Inputs!$F$18-Inputs!$D$18)*(Inputs!$E$18-Inputs!$D$18)),Inputs!$F$18-SQRT((1-J1010)*(Inputs!$F$18-Inputs!$D$18)*(Inputs!$F$18-Inputs!$E$18)))</f>
        <v>1.18075330605896</v>
      </c>
      <c r="L1010" s="81" t="n">
        <f aca="true">RAND()</f>
        <v>0.820911878118434</v>
      </c>
      <c r="M1010" s="83" t="n">
        <f aca="false">IF(L1010&lt;(Inputs!$E$24-Inputs!$D$24)/(Inputs!$F$24-Inputs!$D$24),Inputs!$D$24+SQRT(L1010*(Inputs!$F$24-Inputs!$D$24)*(Inputs!$E$24-Inputs!$D$24)),Inputs!$F$24-SQRT((1-L1010)*(Inputs!$F$24-Inputs!$D$24)*(Inputs!$F$24-Inputs!$E$24)))</f>
        <v>0.992681044639966</v>
      </c>
      <c r="N1010" s="81" t="n">
        <f aca="true">RAND()</f>
        <v>0.710431532092963</v>
      </c>
      <c r="O1010" s="83" t="n">
        <f aca="false">IF(N1010&lt;(Inputs!$E$26-Inputs!$D$26)/(Inputs!$F$26-Inputs!$D$26),Inputs!$D$26+SQRT(N1010*(Inputs!$F$26-Inputs!$D$26)*(Inputs!$E$26-Inputs!$D$26)),Inputs!$F$26-SQRT((1-N1010)*(Inputs!$F$26-Inputs!$D$26)*(Inputs!$F$26-Inputs!$E$26)))</f>
        <v>0.646462912717967</v>
      </c>
      <c r="P1010" s="81" t="n">
        <f aca="true">RAND()</f>
        <v>0.286566591210587</v>
      </c>
      <c r="Q1010" s="82" t="n">
        <f aca="false">IF(P1010&lt;(Inputs!$E$27-Inputs!$D$27)/(Inputs!$F$27-Inputs!$D$27),Inputs!$D$27+SQRT(P1010*(Inputs!$F$27-Inputs!$D$27)*(Inputs!$E$27-Inputs!$D$27)),Inputs!$F$27-SQRT((1-P1010)*(Inputs!$F$27-Inputs!$D$27)*(Inputs!$F$27-Inputs!$E$27)))</f>
        <v>76.8511752252943</v>
      </c>
      <c r="R1010" s="81" t="n">
        <f aca="true">RAND()</f>
        <v>0.0538373531802027</v>
      </c>
      <c r="S1010" s="82" t="n">
        <f aca="false">IF(R1010&lt;(Inputs!$E$29-Inputs!$D$29)/(Inputs!$F$29-Inputs!$D$29),Inputs!$D$29+SQRT(R1010*(Inputs!$F$29-Inputs!$D$29)*(Inputs!$E$29-Inputs!$D$29)),Inputs!$F$29-SQRT((1-R1010)*(Inputs!$F$29-Inputs!$D$29)*(Inputs!$F$29-Inputs!$E$29)))</f>
        <v>3.4490192455685</v>
      </c>
      <c r="T1010" s="68" t="n">
        <f aca="false">Inputs!$E$9*(1+E1010)+Inputs!$E$5*C1010*(Inputs!$E$11*Inputs!$E$14*(G1010*I1010/Inputs!$E$16+(1-G1010))*K1010+Inputs!$E$23*M1010)*(1+O1010)+Inputs!$E$5*(Q1010+S1010)</f>
        <v>6090.20531330823</v>
      </c>
    </row>
    <row r="1011" customFormat="false" ht="15" hidden="false" customHeight="false" outlineLevel="0" collapsed="false">
      <c r="A1011" s="1" t="n">
        <v>1007</v>
      </c>
      <c r="B1011" s="81" t="n">
        <f aca="true">RAND()</f>
        <v>0.0893266975439541</v>
      </c>
      <c r="C1011" s="82" t="n">
        <f aca="false">ROUND(IF(B1011&lt;(Inputs!$E$8-Inputs!$D$8)/(Inputs!$F$8-Inputs!$D$8),Inputs!$D$8+SQRT(B1011*(Inputs!$F$8-Inputs!$D$8)*(Inputs!$E$8-Inputs!$D$8)),Inputs!$F$8-SQRT((1-B1011)*(Inputs!$F$8-Inputs!$D$8)*(Inputs!$F$8-Inputs!$E$8))),0)</f>
        <v>22</v>
      </c>
      <c r="D1011" s="81" t="n">
        <f aca="true">RAND()</f>
        <v>0.213308101347516</v>
      </c>
      <c r="E1011" s="83" t="n">
        <f aca="false">IF(D1011&lt;(Inputs!$E$10-Inputs!$D$10)/(Inputs!$F$10-Inputs!$D$10),Inputs!$D$10+SQRT(D1011*(Inputs!$F$10-Inputs!$D$10)*(Inputs!$E$10-Inputs!$D$10)),Inputs!$F$10-SQRT((1-D1011)*(Inputs!$F$10-Inputs!$D$10)*(Inputs!$F$10-Inputs!$E$10)))</f>
        <v>0.0461852900118118</v>
      </c>
      <c r="F1011" s="81" t="n">
        <f aca="true">RAND()</f>
        <v>0.772175416759242</v>
      </c>
      <c r="G1011" s="83" t="n">
        <f aca="false">IF(F1011&lt;(Inputs!$E$15-Inputs!$D$15)/(Inputs!$F$15-Inputs!$D$15),Inputs!$D$15+SQRT(F1011*(Inputs!$F$15-Inputs!$D$15)*(Inputs!$E$15-Inputs!$D$15)),Inputs!$F$15-SQRT((1-F1011)*(Inputs!$F$15-Inputs!$D$15)*(Inputs!$F$15-Inputs!$E$15)))</f>
        <v>0.732498209913995</v>
      </c>
      <c r="H1011" s="81" t="n">
        <f aca="true">RAND()</f>
        <v>0.107826375108828</v>
      </c>
      <c r="I1011" s="82" t="n">
        <f aca="false">ROUND(IF(H1011&lt;(Inputs!$E$17-Inputs!$D$17)/(Inputs!$F$17-Inputs!$D$17),Inputs!$D$17+SQRT(H1011*(Inputs!$F$17-Inputs!$D$17)*(Inputs!$E$17-Inputs!$D$17)),Inputs!$F$17-SQRT((1-H1011)*(Inputs!$F$17-Inputs!$D$17)*(Inputs!$F$17-Inputs!$E$17))),0)</f>
        <v>103</v>
      </c>
      <c r="J1011" s="81" t="n">
        <f aca="true">RAND()</f>
        <v>0.225854501642564</v>
      </c>
      <c r="K1011" s="83" t="n">
        <f aca="false">IF(J1011&lt;(Inputs!$E$18-Inputs!$D$18)/(Inputs!$F$18-Inputs!$D$18),Inputs!$D$18+SQRT(J1011*(Inputs!$F$18-Inputs!$D$18)*(Inputs!$E$18-Inputs!$D$18)),Inputs!$F$18-SQRT((1-J1011)*(Inputs!$F$18-Inputs!$D$18)*(Inputs!$F$18-Inputs!$E$18)))</f>
        <v>0.9889095470548</v>
      </c>
      <c r="L1011" s="81" t="n">
        <f aca="true">RAND()</f>
        <v>0.94385875606612</v>
      </c>
      <c r="M1011" s="83" t="n">
        <f aca="false">IF(L1011&lt;(Inputs!$E$24-Inputs!$D$24)/(Inputs!$F$24-Inputs!$D$24),Inputs!$D$24+SQRT(L1011*(Inputs!$F$24-Inputs!$D$24)*(Inputs!$E$24-Inputs!$D$24)),Inputs!$F$24-SQRT((1-L1011)*(Inputs!$F$24-Inputs!$D$24)*(Inputs!$F$24-Inputs!$E$24)))</f>
        <v>1.0839228767408</v>
      </c>
      <c r="N1011" s="81" t="n">
        <f aca="true">RAND()</f>
        <v>0.0531014030467739</v>
      </c>
      <c r="O1011" s="83" t="n">
        <f aca="false">IF(N1011&lt;(Inputs!$E$26-Inputs!$D$26)/(Inputs!$F$26-Inputs!$D$26),Inputs!$D$26+SQRT(N1011*(Inputs!$F$26-Inputs!$D$26)*(Inputs!$E$26-Inputs!$D$26)),Inputs!$F$26-SQRT((1-N1011)*(Inputs!$F$26-Inputs!$D$26)*(Inputs!$F$26-Inputs!$E$26)))</f>
        <v>0.394000390781013</v>
      </c>
      <c r="P1011" s="81" t="n">
        <f aca="true">RAND()</f>
        <v>0.419647169511584</v>
      </c>
      <c r="Q1011" s="82" t="n">
        <f aca="false">IF(P1011&lt;(Inputs!$E$27-Inputs!$D$27)/(Inputs!$F$27-Inputs!$D$27),Inputs!$D$27+SQRT(P1011*(Inputs!$F$27-Inputs!$D$27)*(Inputs!$E$27-Inputs!$D$27)),Inputs!$F$27-SQRT((1-P1011)*(Inputs!$F$27-Inputs!$D$27)*(Inputs!$F$27-Inputs!$E$27)))</f>
        <v>84.0254122509044</v>
      </c>
      <c r="R1011" s="81" t="n">
        <f aca="true">RAND()</f>
        <v>0.848922370742716</v>
      </c>
      <c r="S1011" s="82" t="n">
        <f aca="false">IF(R1011&lt;(Inputs!$E$29-Inputs!$D$29)/(Inputs!$F$29-Inputs!$D$29),Inputs!$D$29+SQRT(R1011*(Inputs!$F$29-Inputs!$D$29)*(Inputs!$E$29-Inputs!$D$29)),Inputs!$F$29-SQRT((1-R1011)*(Inputs!$F$29-Inputs!$D$29)*(Inputs!$F$29-Inputs!$E$29)))</f>
        <v>10.5682856812011</v>
      </c>
      <c r="T1011" s="68" t="n">
        <f aca="false">Inputs!$E$9*(1+E1011)+Inputs!$E$5*C1011*(Inputs!$E$11*Inputs!$E$14*(G1011*I1011/Inputs!$E$16+(1-G1011))*K1011+Inputs!$E$23*M1011)*(1+O1011)+Inputs!$E$5*(Q1011+S1011)</f>
        <v>5537.00080302461</v>
      </c>
    </row>
    <row r="1012" customFormat="false" ht="15" hidden="false" customHeight="false" outlineLevel="0" collapsed="false">
      <c r="A1012" s="1" t="n">
        <v>1008</v>
      </c>
      <c r="B1012" s="81" t="n">
        <f aca="true">RAND()</f>
        <v>0.432699547926456</v>
      </c>
      <c r="C1012" s="82" t="n">
        <f aca="false">ROUND(IF(B1012&lt;(Inputs!$E$8-Inputs!$D$8)/(Inputs!$F$8-Inputs!$D$8),Inputs!$D$8+SQRT(B1012*(Inputs!$F$8-Inputs!$D$8)*(Inputs!$E$8-Inputs!$D$8)),Inputs!$F$8-SQRT((1-B1012)*(Inputs!$F$8-Inputs!$D$8)*(Inputs!$F$8-Inputs!$E$8))),0)</f>
        <v>25</v>
      </c>
      <c r="D1012" s="81" t="n">
        <f aca="true">RAND()</f>
        <v>0.156738458766975</v>
      </c>
      <c r="E1012" s="83" t="n">
        <f aca="false">IF(D1012&lt;(Inputs!$E$10-Inputs!$D$10)/(Inputs!$F$10-Inputs!$D$10),Inputs!$D$10+SQRT(D1012*(Inputs!$F$10-Inputs!$D$10)*(Inputs!$E$10-Inputs!$D$10)),Inputs!$F$10-SQRT((1-D1012)*(Inputs!$F$10-Inputs!$D$10)*(Inputs!$F$10-Inputs!$E$10)))</f>
        <v>0.0395902082296841</v>
      </c>
      <c r="F1012" s="81" t="n">
        <f aca="true">RAND()</f>
        <v>0.665025603634093</v>
      </c>
      <c r="G1012" s="83" t="n">
        <f aca="false">IF(F1012&lt;(Inputs!$E$15-Inputs!$D$15)/(Inputs!$F$15-Inputs!$D$15),Inputs!$D$15+SQRT(F1012*(Inputs!$F$15-Inputs!$D$15)*(Inputs!$E$15-Inputs!$D$15)),Inputs!$F$15-SQRT((1-F1012)*(Inputs!$F$15-Inputs!$D$15)*(Inputs!$F$15-Inputs!$E$15)))</f>
        <v>0.718149600322795</v>
      </c>
      <c r="H1012" s="81" t="n">
        <f aca="true">RAND()</f>
        <v>0.661236758770004</v>
      </c>
      <c r="I1012" s="82" t="n">
        <f aca="false">ROUND(IF(H1012&lt;(Inputs!$E$17-Inputs!$D$17)/(Inputs!$F$17-Inputs!$D$17),Inputs!$D$17+SQRT(H1012*(Inputs!$F$17-Inputs!$D$17)*(Inputs!$E$17-Inputs!$D$17)),Inputs!$F$17-SQRT((1-H1012)*(Inputs!$F$17-Inputs!$D$17)*(Inputs!$F$17-Inputs!$E$17))),0)</f>
        <v>108</v>
      </c>
      <c r="J1012" s="81" t="n">
        <f aca="true">RAND()</f>
        <v>0.475577028044764</v>
      </c>
      <c r="K1012" s="83" t="n">
        <f aca="false">IF(J1012&lt;(Inputs!$E$18-Inputs!$D$18)/(Inputs!$F$18-Inputs!$D$18),Inputs!$D$18+SQRT(J1012*(Inputs!$F$18-Inputs!$D$18)*(Inputs!$E$18-Inputs!$D$18)),Inputs!$F$18-SQRT((1-J1012)*(Inputs!$F$18-Inputs!$D$18)*(Inputs!$F$18-Inputs!$E$18)))</f>
        <v>1.03578746524518</v>
      </c>
      <c r="L1012" s="81" t="n">
        <f aca="true">RAND()</f>
        <v>0.193876448341993</v>
      </c>
      <c r="M1012" s="83" t="n">
        <f aca="false">IF(L1012&lt;(Inputs!$E$24-Inputs!$D$24)/(Inputs!$F$24-Inputs!$D$24),Inputs!$D$24+SQRT(L1012*(Inputs!$F$24-Inputs!$D$24)*(Inputs!$E$24-Inputs!$D$24)),Inputs!$F$24-SQRT((1-L1012)*(Inputs!$F$24-Inputs!$D$24)*(Inputs!$F$24-Inputs!$E$24)))</f>
        <v>0.752529255557874</v>
      </c>
      <c r="N1012" s="81" t="n">
        <f aca="true">RAND()</f>
        <v>0.334949721940279</v>
      </c>
      <c r="O1012" s="83" t="n">
        <f aca="false">IF(N1012&lt;(Inputs!$E$26-Inputs!$D$26)/(Inputs!$F$26-Inputs!$D$26),Inputs!$D$26+SQRT(N1012*(Inputs!$F$26-Inputs!$D$26)*(Inputs!$E$26-Inputs!$D$26)),Inputs!$F$26-SQRT((1-N1012)*(Inputs!$F$26-Inputs!$D$26)*(Inputs!$F$26-Inputs!$E$26)))</f>
        <v>0.536083954835695</v>
      </c>
      <c r="P1012" s="81" t="n">
        <f aca="true">RAND()</f>
        <v>0.201401818164458</v>
      </c>
      <c r="Q1012" s="82" t="n">
        <f aca="false">IF(P1012&lt;(Inputs!$E$27-Inputs!$D$27)/(Inputs!$F$27-Inputs!$D$27),Inputs!$D$27+SQRT(P1012*(Inputs!$F$27-Inputs!$D$27)*(Inputs!$E$27-Inputs!$D$27)),Inputs!$F$27-SQRT((1-P1012)*(Inputs!$F$27-Inputs!$D$27)*(Inputs!$F$27-Inputs!$E$27)))</f>
        <v>72.4389069566934</v>
      </c>
      <c r="R1012" s="81" t="n">
        <f aca="true">RAND()</f>
        <v>0.850295763782086</v>
      </c>
      <c r="S1012" s="82" t="n">
        <f aca="false">IF(R1012&lt;(Inputs!$E$29-Inputs!$D$29)/(Inputs!$F$29-Inputs!$D$29),Inputs!$D$29+SQRT(R1012*(Inputs!$F$29-Inputs!$D$29)*(Inputs!$E$29-Inputs!$D$29)),Inputs!$F$29-SQRT((1-R1012)*(Inputs!$F$29-Inputs!$D$29)*(Inputs!$F$29-Inputs!$E$29)))</f>
        <v>10.5884752399733</v>
      </c>
      <c r="T1012" s="68" t="n">
        <f aca="false">Inputs!$E$9*(1+E1012)+Inputs!$E$5*C1012*(Inputs!$E$11*Inputs!$E$14*(G1012*I1012/Inputs!$E$16+(1-G1012))*K1012+Inputs!$E$23*M1012)*(1+O1012)+Inputs!$E$5*(Q1012+S1012)</f>
        <v>5880.16536759073</v>
      </c>
    </row>
    <row r="1013" customFormat="false" ht="15" hidden="false" customHeight="false" outlineLevel="0" collapsed="false">
      <c r="A1013" s="1" t="n">
        <v>1009</v>
      </c>
      <c r="B1013" s="81" t="n">
        <f aca="true">RAND()</f>
        <v>0.898208787792884</v>
      </c>
      <c r="C1013" s="82" t="n">
        <f aca="false">ROUND(IF(B1013&lt;(Inputs!$E$8-Inputs!$D$8)/(Inputs!$F$8-Inputs!$D$8),Inputs!$D$8+SQRT(B1013*(Inputs!$F$8-Inputs!$D$8)*(Inputs!$E$8-Inputs!$D$8)),Inputs!$F$8-SQRT((1-B1013)*(Inputs!$F$8-Inputs!$D$8)*(Inputs!$F$8-Inputs!$E$8))),0)</f>
        <v>28</v>
      </c>
      <c r="D1013" s="81" t="n">
        <f aca="true">RAND()</f>
        <v>0.986864909686269</v>
      </c>
      <c r="E1013" s="83" t="n">
        <f aca="false">IF(D1013&lt;(Inputs!$E$10-Inputs!$D$10)/(Inputs!$F$10-Inputs!$D$10),Inputs!$D$10+SQRT(D1013*(Inputs!$F$10-Inputs!$D$10)*(Inputs!$E$10-Inputs!$D$10)),Inputs!$F$10-SQRT((1-D1013)*(Inputs!$F$10-Inputs!$D$10)*(Inputs!$F$10-Inputs!$E$10)))</f>
        <v>0.180149239072219</v>
      </c>
      <c r="F1013" s="81" t="n">
        <f aca="true">RAND()</f>
        <v>0.712824449593178</v>
      </c>
      <c r="G1013" s="83" t="n">
        <f aca="false">IF(F1013&lt;(Inputs!$E$15-Inputs!$D$15)/(Inputs!$F$15-Inputs!$D$15),Inputs!$D$15+SQRT(F1013*(Inputs!$F$15-Inputs!$D$15)*(Inputs!$E$15-Inputs!$D$15)),Inputs!$F$15-SQRT((1-F1013)*(Inputs!$F$15-Inputs!$D$15)*(Inputs!$F$15-Inputs!$E$15)))</f>
        <v>0.72421404478311</v>
      </c>
      <c r="H1013" s="81" t="n">
        <f aca="true">RAND()</f>
        <v>0.518154801162598</v>
      </c>
      <c r="I1013" s="82" t="n">
        <f aca="false">ROUND(IF(H1013&lt;(Inputs!$E$17-Inputs!$D$17)/(Inputs!$F$17-Inputs!$D$17),Inputs!$D$17+SQRT(H1013*(Inputs!$F$17-Inputs!$D$17)*(Inputs!$E$17-Inputs!$D$17)),Inputs!$F$17-SQRT((1-H1013)*(Inputs!$F$17-Inputs!$D$17)*(Inputs!$F$17-Inputs!$E$17))),0)</f>
        <v>106</v>
      </c>
      <c r="J1013" s="81" t="n">
        <f aca="true">RAND()</f>
        <v>0.488389376330792</v>
      </c>
      <c r="K1013" s="83" t="n">
        <f aca="false">IF(J1013&lt;(Inputs!$E$18-Inputs!$D$18)/(Inputs!$F$18-Inputs!$D$18),Inputs!$D$18+SQRT(J1013*(Inputs!$F$18-Inputs!$D$18)*(Inputs!$E$18-Inputs!$D$18)),Inputs!$F$18-SQRT((1-J1013)*(Inputs!$F$18-Inputs!$D$18)*(Inputs!$F$18-Inputs!$E$18)))</f>
        <v>1.03842039424591</v>
      </c>
      <c r="L1013" s="81" t="n">
        <f aca="true">RAND()</f>
        <v>0.541115942606038</v>
      </c>
      <c r="M1013" s="83" t="n">
        <f aca="false">IF(L1013&lt;(Inputs!$E$24-Inputs!$D$24)/(Inputs!$F$24-Inputs!$D$24),Inputs!$D$24+SQRT(L1013*(Inputs!$F$24-Inputs!$D$24)*(Inputs!$E$24-Inputs!$D$24)),Inputs!$F$24-SQRT((1-L1013)*(Inputs!$F$24-Inputs!$D$24)*(Inputs!$F$24-Inputs!$E$24)))</f>
        <v>0.868138321322647</v>
      </c>
      <c r="N1013" s="81" t="n">
        <f aca="true">RAND()</f>
        <v>0.143411627181062</v>
      </c>
      <c r="O1013" s="83" t="n">
        <f aca="false">IF(N1013&lt;(Inputs!$E$26-Inputs!$D$26)/(Inputs!$F$26-Inputs!$D$26),Inputs!$D$26+SQRT(N1013*(Inputs!$F$26-Inputs!$D$26)*(Inputs!$E$26-Inputs!$D$26)),Inputs!$F$26-SQRT((1-N1013)*(Inputs!$F$26-Inputs!$D$26)*(Inputs!$F$26-Inputs!$E$26)))</f>
        <v>0.454478784183877</v>
      </c>
      <c r="P1013" s="81" t="n">
        <f aca="true">RAND()</f>
        <v>0.798426952357974</v>
      </c>
      <c r="Q1013" s="82" t="n">
        <f aca="false">IF(P1013&lt;(Inputs!$E$27-Inputs!$D$27)/(Inputs!$F$27-Inputs!$D$27),Inputs!$D$27+SQRT(P1013*(Inputs!$F$27-Inputs!$D$27)*(Inputs!$E$27-Inputs!$D$27)),Inputs!$F$27-SQRT((1-P1013)*(Inputs!$F$27-Inputs!$D$27)*(Inputs!$F$27-Inputs!$E$27)))</f>
        <v>111.118155170887</v>
      </c>
      <c r="R1013" s="81" t="n">
        <f aca="true">RAND()</f>
        <v>0.57246990746046</v>
      </c>
      <c r="S1013" s="82" t="n">
        <f aca="false">IF(R1013&lt;(Inputs!$E$29-Inputs!$D$29)/(Inputs!$F$29-Inputs!$D$29),Inputs!$D$29+SQRT(R1013*(Inputs!$F$29-Inputs!$D$29)*(Inputs!$E$29-Inputs!$D$29)),Inputs!$F$29-SQRT((1-R1013)*(Inputs!$F$29-Inputs!$D$29)*(Inputs!$F$29-Inputs!$E$29)))</f>
        <v>7.54487343969667</v>
      </c>
      <c r="T1013" s="68" t="n">
        <f aca="false">Inputs!$E$9*(1+E1013)+Inputs!$E$5*C1013*(Inputs!$E$11*Inputs!$E$14*(G1013*I1013/Inputs!$E$16+(1-G1013))*K1013+Inputs!$E$23*M1013)*(1+O1013)+Inputs!$E$5*(Q1013+S1013)</f>
        <v>6699.76169141065</v>
      </c>
    </row>
    <row r="1014" customFormat="false" ht="15" hidden="false" customHeight="false" outlineLevel="0" collapsed="false">
      <c r="A1014" s="1" t="n">
        <v>1010</v>
      </c>
      <c r="B1014" s="81" t="n">
        <f aca="true">RAND()</f>
        <v>0.15273465017759</v>
      </c>
      <c r="C1014" s="82" t="n">
        <f aca="false">ROUND(IF(B1014&lt;(Inputs!$E$8-Inputs!$D$8)/(Inputs!$F$8-Inputs!$D$8),Inputs!$D$8+SQRT(B1014*(Inputs!$F$8-Inputs!$D$8)*(Inputs!$E$8-Inputs!$D$8)),Inputs!$F$8-SQRT((1-B1014)*(Inputs!$F$8-Inputs!$D$8)*(Inputs!$F$8-Inputs!$E$8))),0)</f>
        <v>23</v>
      </c>
      <c r="D1014" s="81" t="n">
        <f aca="true">RAND()</f>
        <v>0.289643391477674</v>
      </c>
      <c r="E1014" s="83" t="n">
        <f aca="false">IF(D1014&lt;(Inputs!$E$10-Inputs!$D$10)/(Inputs!$F$10-Inputs!$D$10),Inputs!$D$10+SQRT(D1014*(Inputs!$F$10-Inputs!$D$10)*(Inputs!$E$10-Inputs!$D$10)),Inputs!$F$10-SQRT((1-D1014)*(Inputs!$F$10-Inputs!$D$10)*(Inputs!$F$10-Inputs!$E$10)))</f>
        <v>0.0540181577877928</v>
      </c>
      <c r="F1014" s="81" t="n">
        <f aca="true">RAND()</f>
        <v>0.41710965545605</v>
      </c>
      <c r="G1014" s="83" t="n">
        <f aca="false">IF(F1014&lt;(Inputs!$E$15-Inputs!$D$15)/(Inputs!$F$15-Inputs!$D$15),Inputs!$D$15+SQRT(F1014*(Inputs!$F$15-Inputs!$D$15)*(Inputs!$E$15-Inputs!$D$15)),Inputs!$F$15-SQRT((1-F1014)*(Inputs!$F$15-Inputs!$D$15)*(Inputs!$F$15-Inputs!$E$15)))</f>
        <v>0.691335607016765</v>
      </c>
      <c r="H1014" s="81" t="n">
        <f aca="true">RAND()</f>
        <v>0.998296248179148</v>
      </c>
      <c r="I1014" s="82" t="n">
        <f aca="false">ROUND(IF(H1014&lt;(Inputs!$E$17-Inputs!$D$17)/(Inputs!$F$17-Inputs!$D$17),Inputs!$D$17+SQRT(H1014*(Inputs!$F$17-Inputs!$D$17)*(Inputs!$E$17-Inputs!$D$17)),Inputs!$F$17-SQRT((1-H1014)*(Inputs!$F$17-Inputs!$D$17)*(Inputs!$F$17-Inputs!$E$17))),0)</f>
        <v>114</v>
      </c>
      <c r="J1014" s="81" t="n">
        <f aca="true">RAND()</f>
        <v>0.116210791036792</v>
      </c>
      <c r="K1014" s="83" t="n">
        <f aca="false">IF(J1014&lt;(Inputs!$E$18-Inputs!$D$18)/(Inputs!$F$18-Inputs!$D$18),Inputs!$D$18+SQRT(J1014*(Inputs!$F$18-Inputs!$D$18)*(Inputs!$E$18-Inputs!$D$18)),Inputs!$F$18-SQRT((1-J1014)*(Inputs!$F$18-Inputs!$D$18)*(Inputs!$F$18-Inputs!$E$18)))</f>
        <v>0.963775996160685</v>
      </c>
      <c r="L1014" s="81" t="n">
        <f aca="true">RAND()</f>
        <v>0.452157102580629</v>
      </c>
      <c r="M1014" s="83" t="n">
        <f aca="false">IF(L1014&lt;(Inputs!$E$24-Inputs!$D$24)/(Inputs!$F$24-Inputs!$D$24),Inputs!$D$24+SQRT(L1014*(Inputs!$F$24-Inputs!$D$24)*(Inputs!$E$24-Inputs!$D$24)),Inputs!$F$24-SQRT((1-L1014)*(Inputs!$F$24-Inputs!$D$24)*(Inputs!$F$24-Inputs!$E$24)))</f>
        <v>0.837395124990508</v>
      </c>
      <c r="N1014" s="81" t="n">
        <f aca="true">RAND()</f>
        <v>0.769218006707842</v>
      </c>
      <c r="O1014" s="83" t="n">
        <f aca="false">IF(N1014&lt;(Inputs!$E$26-Inputs!$D$26)/(Inputs!$F$26-Inputs!$D$26),Inputs!$D$26+SQRT(N1014*(Inputs!$F$26-Inputs!$D$26)*(Inputs!$E$26-Inputs!$D$26)),Inputs!$F$26-SQRT((1-N1014)*(Inputs!$F$26-Inputs!$D$26)*(Inputs!$F$26-Inputs!$E$26)))</f>
        <v>0.665076382360905</v>
      </c>
      <c r="P1014" s="81" t="n">
        <f aca="true">RAND()</f>
        <v>0.202062173867748</v>
      </c>
      <c r="Q1014" s="82" t="n">
        <f aca="false">IF(P1014&lt;(Inputs!$E$27-Inputs!$D$27)/(Inputs!$F$27-Inputs!$D$27),Inputs!$D$27+SQRT(P1014*(Inputs!$F$27-Inputs!$D$27)*(Inputs!$E$27-Inputs!$D$27)),Inputs!$F$27-SQRT((1-P1014)*(Inputs!$F$27-Inputs!$D$27)*(Inputs!$F$27-Inputs!$E$27)))</f>
        <v>72.4756631641731</v>
      </c>
      <c r="R1014" s="81" t="n">
        <f aca="true">RAND()</f>
        <v>0.2720501396676</v>
      </c>
      <c r="S1014" s="82" t="n">
        <f aca="false">IF(R1014&lt;(Inputs!$E$29-Inputs!$D$29)/(Inputs!$F$29-Inputs!$D$29),Inputs!$D$29+SQRT(R1014*(Inputs!$F$29-Inputs!$D$29)*(Inputs!$E$29-Inputs!$D$29)),Inputs!$F$29-SQRT((1-R1014)*(Inputs!$F$29-Inputs!$D$29)*(Inputs!$F$29-Inputs!$E$29)))</f>
        <v>5.27202580990205</v>
      </c>
      <c r="T1014" s="68" t="n">
        <f aca="false">Inputs!$E$9*(1+E1014)+Inputs!$E$5*C1014*(Inputs!$E$11*Inputs!$E$14*(G1014*I1014/Inputs!$E$16+(1-G1014))*K1014+Inputs!$E$23*M1014)*(1+O1014)+Inputs!$E$5*(Q1014+S1014)</f>
        <v>5939.21609371953</v>
      </c>
    </row>
    <row r="1015" customFormat="false" ht="15" hidden="false" customHeight="false" outlineLevel="0" collapsed="false">
      <c r="A1015" s="1" t="n">
        <v>1011</v>
      </c>
      <c r="B1015" s="81" t="n">
        <f aca="true">RAND()</f>
        <v>0.147326340134827</v>
      </c>
      <c r="C1015" s="82" t="n">
        <f aca="false">ROUND(IF(B1015&lt;(Inputs!$E$8-Inputs!$D$8)/(Inputs!$F$8-Inputs!$D$8),Inputs!$D$8+SQRT(B1015*(Inputs!$F$8-Inputs!$D$8)*(Inputs!$E$8-Inputs!$D$8)),Inputs!$F$8-SQRT((1-B1015)*(Inputs!$F$8-Inputs!$D$8)*(Inputs!$F$8-Inputs!$E$8))),0)</f>
        <v>23</v>
      </c>
      <c r="D1015" s="81" t="n">
        <f aca="true">RAND()</f>
        <v>0.181087183696947</v>
      </c>
      <c r="E1015" s="83" t="n">
        <f aca="false">IF(D1015&lt;(Inputs!$E$10-Inputs!$D$10)/(Inputs!$F$10-Inputs!$D$10),Inputs!$D$10+SQRT(D1015*(Inputs!$F$10-Inputs!$D$10)*(Inputs!$E$10-Inputs!$D$10)),Inputs!$F$10-SQRT((1-D1015)*(Inputs!$F$10-Inputs!$D$10)*(Inputs!$F$10-Inputs!$E$10)))</f>
        <v>0.042554339813578</v>
      </c>
      <c r="F1015" s="81" t="n">
        <f aca="true">RAND()</f>
        <v>0.902959214961541</v>
      </c>
      <c r="G1015" s="83" t="n">
        <f aca="false">IF(F1015&lt;(Inputs!$E$15-Inputs!$D$15)/(Inputs!$F$15-Inputs!$D$15),Inputs!$D$15+SQRT(F1015*(Inputs!$F$15-Inputs!$D$15)*(Inputs!$E$15-Inputs!$D$15)),Inputs!$F$15-SQRT((1-F1015)*(Inputs!$F$15-Inputs!$D$15)*(Inputs!$F$15-Inputs!$E$15)))</f>
        <v>0.755945310116071</v>
      </c>
      <c r="H1015" s="81" t="n">
        <f aca="true">RAND()</f>
        <v>0.137213905308736</v>
      </c>
      <c r="I1015" s="82" t="n">
        <f aca="false">ROUND(IF(H1015&lt;(Inputs!$E$17-Inputs!$D$17)/(Inputs!$F$17-Inputs!$D$17),Inputs!$D$17+SQRT(H1015*(Inputs!$F$17-Inputs!$D$17)*(Inputs!$E$17-Inputs!$D$17)),Inputs!$F$17-SQRT((1-H1015)*(Inputs!$F$17-Inputs!$D$17)*(Inputs!$F$17-Inputs!$E$17))),0)</f>
        <v>103</v>
      </c>
      <c r="J1015" s="81" t="n">
        <f aca="true">RAND()</f>
        <v>0.487813938316013</v>
      </c>
      <c r="K1015" s="83" t="n">
        <f aca="false">IF(J1015&lt;(Inputs!$E$18-Inputs!$D$18)/(Inputs!$F$18-Inputs!$D$18),Inputs!$D$18+SQRT(J1015*(Inputs!$F$18-Inputs!$D$18)*(Inputs!$E$18-Inputs!$D$18)),Inputs!$F$18-SQRT((1-J1015)*(Inputs!$F$18-Inputs!$D$18)*(Inputs!$F$18-Inputs!$E$18)))</f>
        <v>1.03830143978442</v>
      </c>
      <c r="L1015" s="81" t="n">
        <f aca="true">RAND()</f>
        <v>0.820417582607107</v>
      </c>
      <c r="M1015" s="83" t="n">
        <f aca="false">IF(L1015&lt;(Inputs!$E$24-Inputs!$D$24)/(Inputs!$F$24-Inputs!$D$24),Inputs!$D$24+SQRT(L1015*(Inputs!$F$24-Inputs!$D$24)*(Inputs!$E$24-Inputs!$D$24)),Inputs!$F$24-SQRT((1-L1015)*(Inputs!$F$24-Inputs!$D$24)*(Inputs!$F$24-Inputs!$E$24)))</f>
        <v>0.992395134511991</v>
      </c>
      <c r="N1015" s="81" t="n">
        <f aca="true">RAND()</f>
        <v>0.760750547955893</v>
      </c>
      <c r="O1015" s="83" t="n">
        <f aca="false">IF(N1015&lt;(Inputs!$E$26-Inputs!$D$26)/(Inputs!$F$26-Inputs!$D$26),Inputs!$D$26+SQRT(N1015*(Inputs!$F$26-Inputs!$D$26)*(Inputs!$E$26-Inputs!$D$26)),Inputs!$F$26-SQRT((1-N1015)*(Inputs!$F$26-Inputs!$D$26)*(Inputs!$F$26-Inputs!$E$26)))</f>
        <v>0.662259887750176</v>
      </c>
      <c r="P1015" s="81" t="n">
        <f aca="true">RAND()</f>
        <v>0.657497018713197</v>
      </c>
      <c r="Q1015" s="82" t="n">
        <f aca="false">IF(P1015&lt;(Inputs!$E$27-Inputs!$D$27)/(Inputs!$F$27-Inputs!$D$27),Inputs!$D$27+SQRT(P1015*(Inputs!$F$27-Inputs!$D$27)*(Inputs!$E$27-Inputs!$D$27)),Inputs!$F$27-SQRT((1-P1015)*(Inputs!$F$27-Inputs!$D$27)*(Inputs!$F$27-Inputs!$E$27)))</f>
        <v>99.3169420846471</v>
      </c>
      <c r="R1015" s="81" t="n">
        <f aca="true">RAND()</f>
        <v>0.10014964905046</v>
      </c>
      <c r="S1015" s="82" t="n">
        <f aca="false">IF(R1015&lt;(Inputs!$E$29-Inputs!$D$29)/(Inputs!$F$29-Inputs!$D$29),Inputs!$D$29+SQRT(R1015*(Inputs!$F$29-Inputs!$D$29)*(Inputs!$E$29-Inputs!$D$29)),Inputs!$F$29-SQRT((1-R1015)*(Inputs!$F$29-Inputs!$D$29)*(Inputs!$F$29-Inputs!$E$29)))</f>
        <v>3.97631887937346</v>
      </c>
      <c r="T1015" s="68" t="n">
        <f aca="false">Inputs!$E$9*(1+E1015)+Inputs!$E$5*C1015*(Inputs!$E$11*Inputs!$E$14*(G1015*I1015/Inputs!$E$16+(1-G1015))*K1015+Inputs!$E$23*M1015)*(1+O1015)+Inputs!$E$5*(Q1015+S1015)</f>
        <v>6195.5193539733</v>
      </c>
    </row>
    <row r="1016" customFormat="false" ht="15" hidden="false" customHeight="false" outlineLevel="0" collapsed="false">
      <c r="A1016" s="1" t="n">
        <v>1012</v>
      </c>
      <c r="B1016" s="81" t="n">
        <f aca="true">RAND()</f>
        <v>0.204018563078098</v>
      </c>
      <c r="C1016" s="82" t="n">
        <f aca="false">ROUND(IF(B1016&lt;(Inputs!$E$8-Inputs!$D$8)/(Inputs!$F$8-Inputs!$D$8),Inputs!$D$8+SQRT(B1016*(Inputs!$F$8-Inputs!$D$8)*(Inputs!$E$8-Inputs!$D$8)),Inputs!$F$8-SQRT((1-B1016)*(Inputs!$F$8-Inputs!$D$8)*(Inputs!$F$8-Inputs!$E$8))),0)</f>
        <v>23</v>
      </c>
      <c r="D1016" s="81" t="n">
        <f aca="true">RAND()</f>
        <v>0.977081311828924</v>
      </c>
      <c r="E1016" s="83" t="n">
        <f aca="false">IF(D1016&lt;(Inputs!$E$10-Inputs!$D$10)/(Inputs!$F$10-Inputs!$D$10),Inputs!$D$10+SQRT(D1016*(Inputs!$F$10-Inputs!$D$10)*(Inputs!$E$10-Inputs!$D$10)),Inputs!$F$10-SQRT((1-D1016)*(Inputs!$F$10-Inputs!$D$10)*(Inputs!$F$10-Inputs!$E$10)))</f>
        <v>0.173778622363951</v>
      </c>
      <c r="F1016" s="81" t="n">
        <f aca="true">RAND()</f>
        <v>0.480417802679204</v>
      </c>
      <c r="G1016" s="83" t="n">
        <f aca="false">IF(F1016&lt;(Inputs!$E$15-Inputs!$D$15)/(Inputs!$F$15-Inputs!$D$15),Inputs!$D$15+SQRT(F1016*(Inputs!$F$15-Inputs!$D$15)*(Inputs!$E$15-Inputs!$D$15)),Inputs!$F$15-SQRT((1-F1016)*(Inputs!$F$15-Inputs!$D$15)*(Inputs!$F$15-Inputs!$E$15)))</f>
        <v>0.698022222243653</v>
      </c>
      <c r="H1016" s="81" t="n">
        <f aca="true">RAND()</f>
        <v>0.0623322487468456</v>
      </c>
      <c r="I1016" s="82" t="n">
        <f aca="false">ROUND(IF(H1016&lt;(Inputs!$E$17-Inputs!$D$17)/(Inputs!$F$17-Inputs!$D$17),Inputs!$D$17+SQRT(H1016*(Inputs!$F$17-Inputs!$D$17)*(Inputs!$E$17-Inputs!$D$17)),Inputs!$F$17-SQRT((1-H1016)*(Inputs!$F$17-Inputs!$D$17)*(Inputs!$F$17-Inputs!$E$17))),0)</f>
        <v>102</v>
      </c>
      <c r="J1016" s="81" t="n">
        <f aca="true">RAND()</f>
        <v>0.838570133853735</v>
      </c>
      <c r="K1016" s="83" t="n">
        <f aca="false">IF(J1016&lt;(Inputs!$E$18-Inputs!$D$18)/(Inputs!$F$18-Inputs!$D$18),Inputs!$D$18+SQRT(J1016*(Inputs!$F$18-Inputs!$D$18)*(Inputs!$E$18-Inputs!$D$18)),Inputs!$F$18-SQRT((1-J1016)*(Inputs!$F$18-Inputs!$D$18)*(Inputs!$F$18-Inputs!$E$18)))</f>
        <v>1.13115088015556</v>
      </c>
      <c r="L1016" s="81" t="n">
        <f aca="true">RAND()</f>
        <v>0.735680552949158</v>
      </c>
      <c r="M1016" s="83" t="n">
        <f aca="false">IF(L1016&lt;(Inputs!$E$24-Inputs!$D$24)/(Inputs!$F$24-Inputs!$D$24),Inputs!$D$24+SQRT(L1016*(Inputs!$F$24-Inputs!$D$24)*(Inputs!$E$24-Inputs!$D$24)),Inputs!$F$24-SQRT((1-L1016)*(Inputs!$F$24-Inputs!$D$24)*(Inputs!$F$24-Inputs!$E$24)))</f>
        <v>0.948133632074066</v>
      </c>
      <c r="N1016" s="81" t="n">
        <f aca="true">RAND()</f>
        <v>0.479947185696771</v>
      </c>
      <c r="O1016" s="83" t="n">
        <f aca="false">IF(N1016&lt;(Inputs!$E$26-Inputs!$D$26)/(Inputs!$F$26-Inputs!$D$26),Inputs!$D$26+SQRT(N1016*(Inputs!$F$26-Inputs!$D$26)*(Inputs!$E$26-Inputs!$D$26)),Inputs!$F$26-SQRT((1-N1016)*(Inputs!$F$26-Inputs!$D$26)*(Inputs!$F$26-Inputs!$E$26)))</f>
        <v>0.582600799184898</v>
      </c>
      <c r="P1016" s="81" t="n">
        <f aca="true">RAND()</f>
        <v>0.552039894284403</v>
      </c>
      <c r="Q1016" s="82" t="n">
        <f aca="false">IF(P1016&lt;(Inputs!$E$27-Inputs!$D$27)/(Inputs!$F$27-Inputs!$D$27),Inputs!$D$27+SQRT(P1016*(Inputs!$F$27-Inputs!$D$27)*(Inputs!$E$27-Inputs!$D$27)),Inputs!$F$27-SQRT((1-P1016)*(Inputs!$F$27-Inputs!$D$27)*(Inputs!$F$27-Inputs!$E$27)))</f>
        <v>92.0370739794222</v>
      </c>
      <c r="R1016" s="81" t="n">
        <f aca="true">RAND()</f>
        <v>0.328242112427834</v>
      </c>
      <c r="S1016" s="82" t="n">
        <f aca="false">IF(R1016&lt;(Inputs!$E$29-Inputs!$D$29)/(Inputs!$F$29-Inputs!$D$29),Inputs!$D$29+SQRT(R1016*(Inputs!$F$29-Inputs!$D$29)*(Inputs!$E$29-Inputs!$D$29)),Inputs!$F$29-SQRT((1-R1016)*(Inputs!$F$29-Inputs!$D$29)*(Inputs!$F$29-Inputs!$E$29)))</f>
        <v>5.65502673174602</v>
      </c>
      <c r="T1016" s="68" t="n">
        <f aca="false">Inputs!$E$9*(1+E1016)+Inputs!$E$5*C1016*(Inputs!$E$11*Inputs!$E$14*(G1016*I1016/Inputs!$E$16+(1-G1016))*K1016+Inputs!$E$23*M1016)*(1+O1016)+Inputs!$E$5*(Q1016+S1016)</f>
        <v>6479.04447774501</v>
      </c>
    </row>
    <row r="1017" customFormat="false" ht="15" hidden="false" customHeight="false" outlineLevel="0" collapsed="false">
      <c r="A1017" s="1" t="n">
        <v>1013</v>
      </c>
      <c r="B1017" s="81" t="n">
        <f aca="true">RAND()</f>
        <v>0.640630944680048</v>
      </c>
      <c r="C1017" s="82" t="n">
        <f aca="false">ROUND(IF(B1017&lt;(Inputs!$E$8-Inputs!$D$8)/(Inputs!$F$8-Inputs!$D$8),Inputs!$D$8+SQRT(B1017*(Inputs!$F$8-Inputs!$D$8)*(Inputs!$E$8-Inputs!$D$8)),Inputs!$F$8-SQRT((1-B1017)*(Inputs!$F$8-Inputs!$D$8)*(Inputs!$F$8-Inputs!$E$8))),0)</f>
        <v>26</v>
      </c>
      <c r="D1017" s="81" t="n">
        <f aca="true">RAND()</f>
        <v>0.801542209827459</v>
      </c>
      <c r="E1017" s="83" t="n">
        <f aca="false">IF(D1017&lt;(Inputs!$E$10-Inputs!$D$10)/(Inputs!$F$10-Inputs!$D$10),Inputs!$D$10+SQRT(D1017*(Inputs!$F$10-Inputs!$D$10)*(Inputs!$E$10-Inputs!$D$10)),Inputs!$F$10-SQRT((1-D1017)*(Inputs!$F$10-Inputs!$D$10)*(Inputs!$F$10-Inputs!$E$10)))</f>
        <v>0.122839558676896</v>
      </c>
      <c r="F1017" s="81" t="n">
        <f aca="true">RAND()</f>
        <v>0.255263516231413</v>
      </c>
      <c r="G1017" s="83" t="n">
        <f aca="false">IF(F1017&lt;(Inputs!$E$15-Inputs!$D$15)/(Inputs!$F$15-Inputs!$D$15),Inputs!$D$15+SQRT(F1017*(Inputs!$F$15-Inputs!$D$15)*(Inputs!$E$15-Inputs!$D$15)),Inputs!$F$15-SQRT((1-F1017)*(Inputs!$F$15-Inputs!$D$15)*(Inputs!$F$15-Inputs!$E$15)))</f>
        <v>0.67145117441042</v>
      </c>
      <c r="H1017" s="81" t="n">
        <f aca="true">RAND()</f>
        <v>0.966424322564122</v>
      </c>
      <c r="I1017" s="82" t="n">
        <f aca="false">ROUND(IF(H1017&lt;(Inputs!$E$17-Inputs!$D$17)/(Inputs!$F$17-Inputs!$D$17),Inputs!$D$17+SQRT(H1017*(Inputs!$F$17-Inputs!$D$17)*(Inputs!$E$17-Inputs!$D$17)),Inputs!$F$17-SQRT((1-H1017)*(Inputs!$F$17-Inputs!$D$17)*(Inputs!$F$17-Inputs!$E$17))),0)</f>
        <v>113</v>
      </c>
      <c r="J1017" s="81" t="n">
        <f aca="true">RAND()</f>
        <v>0.727553880601191</v>
      </c>
      <c r="K1017" s="83" t="n">
        <f aca="false">IF(J1017&lt;(Inputs!$E$18-Inputs!$D$18)/(Inputs!$F$18-Inputs!$D$18),Inputs!$D$18+SQRT(J1017*(Inputs!$F$18-Inputs!$D$18)*(Inputs!$E$18-Inputs!$D$18)),Inputs!$F$18-SQRT((1-J1017)*(Inputs!$F$18-Inputs!$D$18)*(Inputs!$F$18-Inputs!$E$18)))</f>
        <v>1.0956010510159</v>
      </c>
      <c r="L1017" s="81" t="n">
        <f aca="true">RAND()</f>
        <v>0.608107981138126</v>
      </c>
      <c r="M1017" s="83" t="n">
        <f aca="false">IF(L1017&lt;(Inputs!$E$24-Inputs!$D$24)/(Inputs!$F$24-Inputs!$D$24),Inputs!$D$24+SQRT(L1017*(Inputs!$F$24-Inputs!$D$24)*(Inputs!$E$24-Inputs!$D$24)),Inputs!$F$24-SQRT((1-L1017)*(Inputs!$F$24-Inputs!$D$24)*(Inputs!$F$24-Inputs!$E$24)))</f>
        <v>0.893317616210436</v>
      </c>
      <c r="N1017" s="81" t="n">
        <f aca="true">RAND()</f>
        <v>0.625486308893281</v>
      </c>
      <c r="O1017" s="83" t="n">
        <f aca="false">IF(N1017&lt;(Inputs!$E$26-Inputs!$D$26)/(Inputs!$F$26-Inputs!$D$26),Inputs!$D$26+SQRT(N1017*(Inputs!$F$26-Inputs!$D$26)*(Inputs!$E$26-Inputs!$D$26)),Inputs!$F$26-SQRT((1-N1017)*(Inputs!$F$26-Inputs!$D$26)*(Inputs!$F$26-Inputs!$E$26)))</f>
        <v>0.622643916042351</v>
      </c>
      <c r="P1017" s="81" t="n">
        <f aca="true">RAND()</f>
        <v>0.612722320269356</v>
      </c>
      <c r="Q1017" s="82" t="n">
        <f aca="false">IF(P1017&lt;(Inputs!$E$27-Inputs!$D$27)/(Inputs!$F$27-Inputs!$D$27),Inputs!$D$27+SQRT(P1017*(Inputs!$F$27-Inputs!$D$27)*(Inputs!$E$27-Inputs!$D$27)),Inputs!$F$27-SQRT((1-P1017)*(Inputs!$F$27-Inputs!$D$27)*(Inputs!$F$27-Inputs!$E$27)))</f>
        <v>96.1058203701009</v>
      </c>
      <c r="R1017" s="81" t="n">
        <f aca="true">RAND()</f>
        <v>0.78644114965371</v>
      </c>
      <c r="S1017" s="82" t="n">
        <f aca="false">IF(R1017&lt;(Inputs!$E$29-Inputs!$D$29)/(Inputs!$F$29-Inputs!$D$29),Inputs!$D$29+SQRT(R1017*(Inputs!$F$29-Inputs!$D$29)*(Inputs!$E$29-Inputs!$D$29)),Inputs!$F$29-SQRT((1-R1017)*(Inputs!$F$29-Inputs!$D$29)*(Inputs!$F$29-Inputs!$E$29)))</f>
        <v>9.73097252379363</v>
      </c>
      <c r="T1017" s="68" t="n">
        <f aca="false">Inputs!$E$9*(1+E1017)+Inputs!$E$5*C1017*(Inputs!$E$11*Inputs!$E$14*(G1017*I1017/Inputs!$E$16+(1-G1017))*K1017+Inputs!$E$23*M1017)*(1+O1017)+Inputs!$E$5*(Q1017+S1017)</f>
        <v>6972.51554893898</v>
      </c>
    </row>
    <row r="1018" customFormat="false" ht="15" hidden="false" customHeight="false" outlineLevel="0" collapsed="false">
      <c r="A1018" s="1" t="n">
        <v>1014</v>
      </c>
      <c r="B1018" s="81" t="n">
        <f aca="true">RAND()</f>
        <v>0.598168945210735</v>
      </c>
      <c r="C1018" s="82" t="n">
        <f aca="false">ROUND(IF(B1018&lt;(Inputs!$E$8-Inputs!$D$8)/(Inputs!$F$8-Inputs!$D$8),Inputs!$D$8+SQRT(B1018*(Inputs!$F$8-Inputs!$D$8)*(Inputs!$E$8-Inputs!$D$8)),Inputs!$F$8-SQRT((1-B1018)*(Inputs!$F$8-Inputs!$D$8)*(Inputs!$F$8-Inputs!$E$8))),0)</f>
        <v>26</v>
      </c>
      <c r="D1018" s="81" t="n">
        <f aca="true">RAND()</f>
        <v>0.579980025991359</v>
      </c>
      <c r="E1018" s="83" t="n">
        <f aca="false">IF(D1018&lt;(Inputs!$E$10-Inputs!$D$10)/(Inputs!$F$10-Inputs!$D$10),Inputs!$D$10+SQRT(D1018*(Inputs!$F$10-Inputs!$D$10)*(Inputs!$E$10-Inputs!$D$10)),Inputs!$F$10-SQRT((1-D1018)*(Inputs!$F$10-Inputs!$D$10)*(Inputs!$F$10-Inputs!$E$10)))</f>
        <v>0.0877476092893375</v>
      </c>
      <c r="F1018" s="81" t="n">
        <f aca="true">RAND()</f>
        <v>0.636814638060469</v>
      </c>
      <c r="G1018" s="83" t="n">
        <f aca="false">IF(F1018&lt;(Inputs!$E$15-Inputs!$D$15)/(Inputs!$F$15-Inputs!$D$15),Inputs!$D$15+SQRT(F1018*(Inputs!$F$15-Inputs!$D$15)*(Inputs!$E$15-Inputs!$D$15)),Inputs!$F$15-SQRT((1-F1018)*(Inputs!$F$15-Inputs!$D$15)*(Inputs!$F$15-Inputs!$E$15)))</f>
        <v>0.7147726145022</v>
      </c>
      <c r="H1018" s="81" t="n">
        <f aca="true">RAND()</f>
        <v>0.270716809492828</v>
      </c>
      <c r="I1018" s="82" t="n">
        <f aca="false">ROUND(IF(H1018&lt;(Inputs!$E$17-Inputs!$D$17)/(Inputs!$F$17-Inputs!$D$17),Inputs!$D$17+SQRT(H1018*(Inputs!$F$17-Inputs!$D$17)*(Inputs!$E$17-Inputs!$D$17)),Inputs!$F$17-SQRT((1-H1018)*(Inputs!$F$17-Inputs!$D$17)*(Inputs!$F$17-Inputs!$E$17))),0)</f>
        <v>105</v>
      </c>
      <c r="J1018" s="81" t="n">
        <f aca="true">RAND()</f>
        <v>0.213012588992012</v>
      </c>
      <c r="K1018" s="83" t="n">
        <f aca="false">IF(J1018&lt;(Inputs!$E$18-Inputs!$D$18)/(Inputs!$F$18-Inputs!$D$18),Inputs!$D$18+SQRT(J1018*(Inputs!$F$18-Inputs!$D$18)*(Inputs!$E$18-Inputs!$D$18)),Inputs!$F$18-SQRT((1-J1018)*(Inputs!$F$18-Inputs!$D$18)*(Inputs!$F$18-Inputs!$E$18)))</f>
        <v>0.9863448933911</v>
      </c>
      <c r="L1018" s="81" t="n">
        <f aca="true">RAND()</f>
        <v>0.139309761816457</v>
      </c>
      <c r="M1018" s="83" t="n">
        <f aca="false">IF(L1018&lt;(Inputs!$E$24-Inputs!$D$24)/(Inputs!$F$24-Inputs!$D$24),Inputs!$D$24+SQRT(L1018*(Inputs!$F$24-Inputs!$D$24)*(Inputs!$E$24-Inputs!$D$24)),Inputs!$F$24-SQRT((1-L1018)*(Inputs!$F$24-Inputs!$D$24)*(Inputs!$F$24-Inputs!$E$24)))</f>
        <v>0.729294900974381</v>
      </c>
      <c r="N1018" s="81" t="n">
        <f aca="true">RAND()</f>
        <v>0.578669523637359</v>
      </c>
      <c r="O1018" s="83" t="n">
        <f aca="false">IF(N1018&lt;(Inputs!$E$26-Inputs!$D$26)/(Inputs!$F$26-Inputs!$D$26),Inputs!$D$26+SQRT(N1018*(Inputs!$F$26-Inputs!$D$26)*(Inputs!$E$26-Inputs!$D$26)),Inputs!$F$26-SQRT((1-N1018)*(Inputs!$F$26-Inputs!$D$26)*(Inputs!$F$26-Inputs!$E$26)))</f>
        <v>0.610307281147666</v>
      </c>
      <c r="P1018" s="81" t="n">
        <f aca="true">RAND()</f>
        <v>0.587867303886861</v>
      </c>
      <c r="Q1018" s="82" t="n">
        <f aca="false">IF(P1018&lt;(Inputs!$E$27-Inputs!$D$27)/(Inputs!$F$27-Inputs!$D$27),Inputs!$D$27+SQRT(P1018*(Inputs!$F$27-Inputs!$D$27)*(Inputs!$E$27-Inputs!$D$27)),Inputs!$F$27-SQRT((1-P1018)*(Inputs!$F$27-Inputs!$D$27)*(Inputs!$F$27-Inputs!$E$27)))</f>
        <v>94.4032804848295</v>
      </c>
      <c r="R1018" s="81" t="n">
        <f aca="true">RAND()</f>
        <v>0.568715895003325</v>
      </c>
      <c r="S1018" s="82" t="n">
        <f aca="false">IF(R1018&lt;(Inputs!$E$29-Inputs!$D$29)/(Inputs!$F$29-Inputs!$D$29),Inputs!$D$29+SQRT(R1018*(Inputs!$F$29-Inputs!$D$29)*(Inputs!$E$29-Inputs!$D$29)),Inputs!$F$29-SQRT((1-R1018)*(Inputs!$F$29-Inputs!$D$29)*(Inputs!$F$29-Inputs!$E$29)))</f>
        <v>7.51221436941683</v>
      </c>
      <c r="T1018" s="68" t="n">
        <f aca="false">Inputs!$E$9*(1+E1018)+Inputs!$E$5*C1018*(Inputs!$E$11*Inputs!$E$14*(G1018*I1018/Inputs!$E$16+(1-G1018))*K1018+Inputs!$E$23*M1018)*(1+O1018)+Inputs!$E$5*(Q1018+S1018)</f>
        <v>6188.52629688222</v>
      </c>
    </row>
    <row r="1019" customFormat="false" ht="15" hidden="false" customHeight="false" outlineLevel="0" collapsed="false">
      <c r="A1019" s="1" t="n">
        <v>1015</v>
      </c>
      <c r="B1019" s="81" t="n">
        <f aca="true">RAND()</f>
        <v>0.0640428191560965</v>
      </c>
      <c r="C1019" s="82" t="n">
        <f aca="false">ROUND(IF(B1019&lt;(Inputs!$E$8-Inputs!$D$8)/(Inputs!$F$8-Inputs!$D$8),Inputs!$D$8+SQRT(B1019*(Inputs!$F$8-Inputs!$D$8)*(Inputs!$E$8-Inputs!$D$8)),Inputs!$F$8-SQRT((1-B1019)*(Inputs!$F$8-Inputs!$D$8)*(Inputs!$F$8-Inputs!$E$8))),0)</f>
        <v>22</v>
      </c>
      <c r="D1019" s="81" t="n">
        <f aca="true">RAND()</f>
        <v>0.102467280526223</v>
      </c>
      <c r="E1019" s="83" t="n">
        <f aca="false">IF(D1019&lt;(Inputs!$E$10-Inputs!$D$10)/(Inputs!$F$10-Inputs!$D$10),Inputs!$D$10+SQRT(D1019*(Inputs!$F$10-Inputs!$D$10)*(Inputs!$E$10-Inputs!$D$10)),Inputs!$F$10-SQRT((1-D1019)*(Inputs!$F$10-Inputs!$D$10)*(Inputs!$F$10-Inputs!$E$10)))</f>
        <v>0.0320105108560021</v>
      </c>
      <c r="F1019" s="81" t="n">
        <f aca="true">RAND()</f>
        <v>0.135086826490054</v>
      </c>
      <c r="G1019" s="83" t="n">
        <f aca="false">IF(F1019&lt;(Inputs!$E$15-Inputs!$D$15)/(Inputs!$F$15-Inputs!$D$15),Inputs!$D$15+SQRT(F1019*(Inputs!$F$15-Inputs!$D$15)*(Inputs!$E$15-Inputs!$D$15)),Inputs!$F$15-SQRT((1-F1019)*(Inputs!$F$15-Inputs!$D$15)*(Inputs!$F$15-Inputs!$E$15)))</f>
        <v>0.651978231306972</v>
      </c>
      <c r="H1019" s="81" t="n">
        <f aca="true">RAND()</f>
        <v>0.6748992546027</v>
      </c>
      <c r="I1019" s="82" t="n">
        <f aca="false">ROUND(IF(H1019&lt;(Inputs!$E$17-Inputs!$D$17)/(Inputs!$F$17-Inputs!$D$17),Inputs!$D$17+SQRT(H1019*(Inputs!$F$17-Inputs!$D$17)*(Inputs!$E$17-Inputs!$D$17)),Inputs!$F$17-SQRT((1-H1019)*(Inputs!$F$17-Inputs!$D$17)*(Inputs!$F$17-Inputs!$E$17))),0)</f>
        <v>108</v>
      </c>
      <c r="J1019" s="81" t="n">
        <f aca="true">RAND()</f>
        <v>0.374342572381643</v>
      </c>
      <c r="K1019" s="83" t="n">
        <f aca="false">IF(J1019&lt;(Inputs!$E$18-Inputs!$D$18)/(Inputs!$F$18-Inputs!$D$18),Inputs!$D$18+SQRT(J1019*(Inputs!$F$18-Inputs!$D$18)*(Inputs!$E$18-Inputs!$D$18)),Inputs!$F$18-SQRT((1-J1019)*(Inputs!$F$18-Inputs!$D$18)*(Inputs!$F$18-Inputs!$E$18)))</f>
        <v>1.01602345220812</v>
      </c>
      <c r="L1019" s="81" t="n">
        <f aca="true">RAND()</f>
        <v>0.503411191231265</v>
      </c>
      <c r="M1019" s="83" t="n">
        <f aca="false">IF(L1019&lt;(Inputs!$E$24-Inputs!$D$24)/(Inputs!$F$24-Inputs!$D$24),Inputs!$D$24+SQRT(L1019*(Inputs!$F$24-Inputs!$D$24)*(Inputs!$E$24-Inputs!$D$24)),Inputs!$F$24-SQRT((1-L1019)*(Inputs!$F$24-Inputs!$D$24)*(Inputs!$F$24-Inputs!$E$24)))</f>
        <v>0.854773532149552</v>
      </c>
      <c r="N1019" s="81" t="n">
        <f aca="true">RAND()</f>
        <v>0.468241564822224</v>
      </c>
      <c r="O1019" s="83" t="n">
        <f aca="false">IF(N1019&lt;(Inputs!$E$26-Inputs!$D$26)/(Inputs!$F$26-Inputs!$D$26),Inputs!$D$26+SQRT(N1019*(Inputs!$F$26-Inputs!$D$26)*(Inputs!$E$26-Inputs!$D$26)),Inputs!$F$26-SQRT((1-N1019)*(Inputs!$F$26-Inputs!$D$26)*(Inputs!$F$26-Inputs!$E$26)))</f>
        <v>0.579133295015872</v>
      </c>
      <c r="P1019" s="81" t="n">
        <f aca="true">RAND()</f>
        <v>0.663838594890017</v>
      </c>
      <c r="Q1019" s="82" t="n">
        <f aca="false">IF(P1019&lt;(Inputs!$E$27-Inputs!$D$27)/(Inputs!$F$27-Inputs!$D$27),Inputs!$D$27+SQRT(P1019*(Inputs!$F$27-Inputs!$D$27)*(Inputs!$E$27-Inputs!$D$27)),Inputs!$F$27-SQRT((1-P1019)*(Inputs!$F$27-Inputs!$D$27)*(Inputs!$F$27-Inputs!$E$27)))</f>
        <v>99.7883426052787</v>
      </c>
      <c r="R1019" s="81" t="n">
        <f aca="true">RAND()</f>
        <v>0.359043978588569</v>
      </c>
      <c r="S1019" s="82" t="n">
        <f aca="false">IF(R1019&lt;(Inputs!$E$29-Inputs!$D$29)/(Inputs!$F$29-Inputs!$D$29),Inputs!$D$29+SQRT(R1019*(Inputs!$F$29-Inputs!$D$29)*(Inputs!$E$29-Inputs!$D$29)),Inputs!$F$29-SQRT((1-R1019)*(Inputs!$F$29-Inputs!$D$29)*(Inputs!$F$29-Inputs!$E$29)))</f>
        <v>5.87178644073847</v>
      </c>
      <c r="T1019" s="68" t="n">
        <f aca="false">Inputs!$E$9*(1+E1019)+Inputs!$E$5*C1019*(Inputs!$E$11*Inputs!$E$14*(G1019*I1019/Inputs!$E$16+(1-G1019))*K1019+Inputs!$E$23*M1019)*(1+O1019)+Inputs!$E$5*(Q1019+S1019)</f>
        <v>5838.10885425273</v>
      </c>
    </row>
    <row r="1020" customFormat="false" ht="15" hidden="false" customHeight="false" outlineLevel="0" collapsed="false">
      <c r="A1020" s="1" t="n">
        <v>1016</v>
      </c>
      <c r="B1020" s="81" t="n">
        <f aca="true">RAND()</f>
        <v>0.834768168025041</v>
      </c>
      <c r="C1020" s="82" t="n">
        <f aca="false">ROUND(IF(B1020&lt;(Inputs!$E$8-Inputs!$D$8)/(Inputs!$F$8-Inputs!$D$8),Inputs!$D$8+SQRT(B1020*(Inputs!$F$8-Inputs!$D$8)*(Inputs!$E$8-Inputs!$D$8)),Inputs!$F$8-SQRT((1-B1020)*(Inputs!$F$8-Inputs!$D$8)*(Inputs!$F$8-Inputs!$E$8))),0)</f>
        <v>27</v>
      </c>
      <c r="D1020" s="81" t="n">
        <f aca="true">RAND()</f>
        <v>0.41714924605451</v>
      </c>
      <c r="E1020" s="83" t="n">
        <f aca="false">IF(D1020&lt;(Inputs!$E$10-Inputs!$D$10)/(Inputs!$F$10-Inputs!$D$10),Inputs!$D$10+SQRT(D1020*(Inputs!$F$10-Inputs!$D$10)*(Inputs!$E$10-Inputs!$D$10)),Inputs!$F$10-SQRT((1-D1020)*(Inputs!$F$10-Inputs!$D$10)*(Inputs!$F$10-Inputs!$E$10)))</f>
        <v>0.067767165127701</v>
      </c>
      <c r="F1020" s="81" t="n">
        <f aca="true">RAND()</f>
        <v>0.37992736714338</v>
      </c>
      <c r="G1020" s="83" t="n">
        <f aca="false">IF(F1020&lt;(Inputs!$E$15-Inputs!$D$15)/(Inputs!$F$15-Inputs!$D$15),Inputs!$D$15+SQRT(F1020*(Inputs!$F$15-Inputs!$D$15)*(Inputs!$E$15-Inputs!$D$15)),Inputs!$F$15-SQRT((1-F1020)*(Inputs!$F$15-Inputs!$D$15)*(Inputs!$F$15-Inputs!$E$15)))</f>
        <v>0.687169646912601</v>
      </c>
      <c r="H1020" s="81" t="n">
        <f aca="true">RAND()</f>
        <v>0.637970026119147</v>
      </c>
      <c r="I1020" s="82" t="n">
        <f aca="false">ROUND(IF(H1020&lt;(Inputs!$E$17-Inputs!$D$17)/(Inputs!$F$17-Inputs!$D$17),Inputs!$D$17+SQRT(H1020*(Inputs!$F$17-Inputs!$D$17)*(Inputs!$E$17-Inputs!$D$17)),Inputs!$F$17-SQRT((1-H1020)*(Inputs!$F$17-Inputs!$D$17)*(Inputs!$F$17-Inputs!$E$17))),0)</f>
        <v>108</v>
      </c>
      <c r="J1020" s="81" t="n">
        <f aca="true">RAND()</f>
        <v>0.808053673560802</v>
      </c>
      <c r="K1020" s="83" t="n">
        <f aca="false">IF(J1020&lt;(Inputs!$E$18-Inputs!$D$18)/(Inputs!$F$18-Inputs!$D$18),Inputs!$D$18+SQRT(J1020*(Inputs!$F$18-Inputs!$D$18)*(Inputs!$E$18-Inputs!$D$18)),Inputs!$F$18-SQRT((1-J1020)*(Inputs!$F$18-Inputs!$D$18)*(Inputs!$F$18-Inputs!$E$18)))</f>
        <v>1.12040330419556</v>
      </c>
      <c r="L1020" s="81" t="n">
        <f aca="true">RAND()</f>
        <v>0.043232651026463</v>
      </c>
      <c r="M1020" s="83" t="n">
        <f aca="false">IF(L1020&lt;(Inputs!$E$24-Inputs!$D$24)/(Inputs!$F$24-Inputs!$D$24),Inputs!$D$24+SQRT(L1020*(Inputs!$F$24-Inputs!$D$24)*(Inputs!$E$24-Inputs!$D$24)),Inputs!$F$24-SQRT((1-L1020)*(Inputs!$F$24-Inputs!$D$24)*(Inputs!$F$24-Inputs!$E$24)))</f>
        <v>0.672027204049412</v>
      </c>
      <c r="N1020" s="81" t="n">
        <f aca="true">RAND()</f>
        <v>0.628188379119602</v>
      </c>
      <c r="O1020" s="83" t="n">
        <f aca="false">IF(N1020&lt;(Inputs!$E$26-Inputs!$D$26)/(Inputs!$F$26-Inputs!$D$26),Inputs!$D$26+SQRT(N1020*(Inputs!$F$26-Inputs!$D$26)*(Inputs!$E$26-Inputs!$D$26)),Inputs!$F$26-SQRT((1-N1020)*(Inputs!$F$26-Inputs!$D$26)*(Inputs!$F$26-Inputs!$E$26)))</f>
        <v>0.623357154791837</v>
      </c>
      <c r="P1020" s="81" t="n">
        <f aca="true">RAND()</f>
        <v>0.779158701641557</v>
      </c>
      <c r="Q1020" s="82" t="n">
        <f aca="false">IF(P1020&lt;(Inputs!$E$27-Inputs!$D$27)/(Inputs!$F$27-Inputs!$D$27),Inputs!$D$27+SQRT(P1020*(Inputs!$F$27-Inputs!$D$27)*(Inputs!$E$27-Inputs!$D$27)),Inputs!$F$27-SQRT((1-P1020)*(Inputs!$F$27-Inputs!$D$27)*(Inputs!$F$27-Inputs!$E$27)))</f>
        <v>109.302214584964</v>
      </c>
      <c r="R1020" s="81" t="n">
        <f aca="true">RAND()</f>
        <v>0.559203783499245</v>
      </c>
      <c r="S1020" s="82" t="n">
        <f aca="false">IF(R1020&lt;(Inputs!$E$29-Inputs!$D$29)/(Inputs!$F$29-Inputs!$D$29),Inputs!$D$29+SQRT(R1020*(Inputs!$F$29-Inputs!$D$29)*(Inputs!$E$29-Inputs!$D$29)),Inputs!$F$29-SQRT((1-R1020)*(Inputs!$F$29-Inputs!$D$29)*(Inputs!$F$29-Inputs!$E$29)))</f>
        <v>7.4300919328503</v>
      </c>
      <c r="T1020" s="68" t="n">
        <f aca="false">Inputs!$E$9*(1+E1020)+Inputs!$E$5*C1020*(Inputs!$E$11*Inputs!$E$14*(G1020*I1020/Inputs!$E$16+(1-G1020))*K1020+Inputs!$E$23*M1020)*(1+O1020)+Inputs!$E$5*(Q1020+S1020)</f>
        <v>6683.13152045676</v>
      </c>
    </row>
    <row r="1021" customFormat="false" ht="15" hidden="false" customHeight="false" outlineLevel="0" collapsed="false">
      <c r="A1021" s="1" t="n">
        <v>1017</v>
      </c>
      <c r="B1021" s="81" t="n">
        <f aca="true">RAND()</f>
        <v>0.923603555164377</v>
      </c>
      <c r="C1021" s="82" t="n">
        <f aca="false">ROUND(IF(B1021&lt;(Inputs!$E$8-Inputs!$D$8)/(Inputs!$F$8-Inputs!$D$8),Inputs!$D$8+SQRT(B1021*(Inputs!$F$8-Inputs!$D$8)*(Inputs!$E$8-Inputs!$D$8)),Inputs!$F$8-SQRT((1-B1021)*(Inputs!$F$8-Inputs!$D$8)*(Inputs!$F$8-Inputs!$E$8))),0)</f>
        <v>28</v>
      </c>
      <c r="D1021" s="81" t="n">
        <f aca="true">RAND()</f>
        <v>0.586319129476488</v>
      </c>
      <c r="E1021" s="83" t="n">
        <f aca="false">IF(D1021&lt;(Inputs!$E$10-Inputs!$D$10)/(Inputs!$F$10-Inputs!$D$10),Inputs!$D$10+SQRT(D1021*(Inputs!$F$10-Inputs!$D$10)*(Inputs!$E$10-Inputs!$D$10)),Inputs!$F$10-SQRT((1-D1021)*(Inputs!$F$10-Inputs!$D$10)*(Inputs!$F$10-Inputs!$E$10)))</f>
        <v>0.0885979079383813</v>
      </c>
      <c r="F1021" s="81" t="n">
        <f aca="true">RAND()</f>
        <v>0.313784796266889</v>
      </c>
      <c r="G1021" s="83" t="n">
        <f aca="false">IF(F1021&lt;(Inputs!$E$15-Inputs!$D$15)/(Inputs!$F$15-Inputs!$D$15),Inputs!$D$15+SQRT(F1021*(Inputs!$F$15-Inputs!$D$15)*(Inputs!$E$15-Inputs!$D$15)),Inputs!$F$15-SQRT((1-F1021)*(Inputs!$F$15-Inputs!$D$15)*(Inputs!$F$15-Inputs!$E$15)))</f>
        <v>0.679219290108772</v>
      </c>
      <c r="H1021" s="81" t="n">
        <f aca="true">RAND()</f>
        <v>0.18312772666698</v>
      </c>
      <c r="I1021" s="82" t="n">
        <f aca="false">ROUND(IF(H1021&lt;(Inputs!$E$17-Inputs!$D$17)/(Inputs!$F$17-Inputs!$D$17),Inputs!$D$17+SQRT(H1021*(Inputs!$F$17-Inputs!$D$17)*(Inputs!$E$17-Inputs!$D$17)),Inputs!$F$17-SQRT((1-H1021)*(Inputs!$F$17-Inputs!$D$17)*(Inputs!$F$17-Inputs!$E$17))),0)</f>
        <v>104</v>
      </c>
      <c r="J1021" s="81" t="n">
        <f aca="true">RAND()</f>
        <v>0.842836410506148</v>
      </c>
      <c r="K1021" s="83" t="n">
        <f aca="false">IF(J1021&lt;(Inputs!$E$18-Inputs!$D$18)/(Inputs!$F$18-Inputs!$D$18),Inputs!$D$18+SQRT(J1021*(Inputs!$F$18-Inputs!$D$18)*(Inputs!$E$18-Inputs!$D$18)),Inputs!$F$18-SQRT((1-J1021)*(Inputs!$F$18-Inputs!$D$18)*(Inputs!$F$18-Inputs!$E$18)))</f>
        <v>1.13273187099339</v>
      </c>
      <c r="L1021" s="81" t="n">
        <f aca="true">RAND()</f>
        <v>0.564054639776628</v>
      </c>
      <c r="M1021" s="83" t="n">
        <f aca="false">IF(L1021&lt;(Inputs!$E$24-Inputs!$D$24)/(Inputs!$F$24-Inputs!$D$24),Inputs!$D$24+SQRT(L1021*(Inputs!$F$24-Inputs!$D$24)*(Inputs!$E$24-Inputs!$D$24)),Inputs!$F$24-SQRT((1-L1021)*(Inputs!$F$24-Inputs!$D$24)*(Inputs!$F$24-Inputs!$E$24)))</f>
        <v>0.876539204147382</v>
      </c>
      <c r="N1021" s="81" t="n">
        <f aca="true">RAND()</f>
        <v>0.383207031720245</v>
      </c>
      <c r="O1021" s="83" t="n">
        <f aca="false">IF(N1021&lt;(Inputs!$E$26-Inputs!$D$26)/(Inputs!$F$26-Inputs!$D$26),Inputs!$D$26+SQRT(N1021*(Inputs!$F$26-Inputs!$D$26)*(Inputs!$E$26-Inputs!$D$26)),Inputs!$F$26-SQRT((1-N1021)*(Inputs!$F$26-Inputs!$D$26)*(Inputs!$F$26-Inputs!$E$26)))</f>
        <v>0.552518613330282</v>
      </c>
      <c r="P1021" s="81" t="n">
        <f aca="true">RAND()</f>
        <v>0.134409573245927</v>
      </c>
      <c r="Q1021" s="82" t="n">
        <f aca="false">IF(P1021&lt;(Inputs!$E$27-Inputs!$D$27)/(Inputs!$F$27-Inputs!$D$27),Inputs!$D$27+SQRT(P1021*(Inputs!$F$27-Inputs!$D$27)*(Inputs!$E$27-Inputs!$D$27)),Inputs!$F$27-SQRT((1-P1021)*(Inputs!$F$27-Inputs!$D$27)*(Inputs!$F$27-Inputs!$E$27)))</f>
        <v>68.3309555974264</v>
      </c>
      <c r="R1021" s="81" t="n">
        <f aca="true">RAND()</f>
        <v>0.562221879729707</v>
      </c>
      <c r="S1021" s="82" t="n">
        <f aca="false">IF(R1021&lt;(Inputs!$E$29-Inputs!$D$29)/(Inputs!$F$29-Inputs!$D$29),Inputs!$D$29+SQRT(R1021*(Inputs!$F$29-Inputs!$D$29)*(Inputs!$E$29-Inputs!$D$29)),Inputs!$F$29-SQRT((1-R1021)*(Inputs!$F$29-Inputs!$D$29)*(Inputs!$F$29-Inputs!$E$29)))</f>
        <v>7.45605172107218</v>
      </c>
      <c r="T1021" s="68" t="n">
        <f aca="false">Inputs!$E$9*(1+E1021)+Inputs!$E$5*C1021*(Inputs!$E$11*Inputs!$E$14*(G1021*I1021/Inputs!$E$16+(1-G1021))*K1021+Inputs!$E$23*M1021)*(1+O1021)+Inputs!$E$5*(Q1021+S1021)</f>
        <v>6796.69587258878</v>
      </c>
    </row>
    <row r="1022" customFormat="false" ht="15" hidden="false" customHeight="false" outlineLevel="0" collapsed="false">
      <c r="A1022" s="1" t="n">
        <v>1018</v>
      </c>
      <c r="B1022" s="81" t="n">
        <f aca="true">RAND()</f>
        <v>0.727674367607785</v>
      </c>
      <c r="C1022" s="82" t="n">
        <f aca="false">ROUND(IF(B1022&lt;(Inputs!$E$8-Inputs!$D$8)/(Inputs!$F$8-Inputs!$D$8),Inputs!$D$8+SQRT(B1022*(Inputs!$F$8-Inputs!$D$8)*(Inputs!$E$8-Inputs!$D$8)),Inputs!$F$8-SQRT((1-B1022)*(Inputs!$F$8-Inputs!$D$8)*(Inputs!$F$8-Inputs!$E$8))),0)</f>
        <v>26</v>
      </c>
      <c r="D1022" s="81" t="n">
        <f aca="true">RAND()</f>
        <v>0.739729455157154</v>
      </c>
      <c r="E1022" s="83" t="n">
        <f aca="false">IF(D1022&lt;(Inputs!$E$10-Inputs!$D$10)/(Inputs!$F$10-Inputs!$D$10),Inputs!$D$10+SQRT(D1022*(Inputs!$F$10-Inputs!$D$10)*(Inputs!$E$10-Inputs!$D$10)),Inputs!$F$10-SQRT((1-D1022)*(Inputs!$F$10-Inputs!$D$10)*(Inputs!$F$10-Inputs!$E$10)))</f>
        <v>0.111636453527004</v>
      </c>
      <c r="F1022" s="81" t="n">
        <f aca="true">RAND()</f>
        <v>0.879193582716939</v>
      </c>
      <c r="G1022" s="83" t="n">
        <f aca="false">IF(F1022&lt;(Inputs!$E$15-Inputs!$D$15)/(Inputs!$F$15-Inputs!$D$15),Inputs!$D$15+SQRT(F1022*(Inputs!$F$15-Inputs!$D$15)*(Inputs!$E$15-Inputs!$D$15)),Inputs!$F$15-SQRT((1-F1022)*(Inputs!$F$15-Inputs!$D$15)*(Inputs!$F$15-Inputs!$E$15)))</f>
        <v>0.750845871529838</v>
      </c>
      <c r="H1022" s="81" t="n">
        <f aca="true">RAND()</f>
        <v>0.82872183597537</v>
      </c>
      <c r="I1022" s="82" t="n">
        <f aca="false">ROUND(IF(H1022&lt;(Inputs!$E$17-Inputs!$D$17)/(Inputs!$F$17-Inputs!$D$17),Inputs!$D$17+SQRT(H1022*(Inputs!$F$17-Inputs!$D$17)*(Inputs!$E$17-Inputs!$D$17)),Inputs!$F$17-SQRT((1-H1022)*(Inputs!$F$17-Inputs!$D$17)*(Inputs!$F$17-Inputs!$E$17))),0)</f>
        <v>110</v>
      </c>
      <c r="J1022" s="81" t="n">
        <f aca="true">RAND()</f>
        <v>0.760501614030059</v>
      </c>
      <c r="K1022" s="83" t="n">
        <f aca="false">IF(J1022&lt;(Inputs!$E$18-Inputs!$D$18)/(Inputs!$F$18-Inputs!$D$18),Inputs!$D$18+SQRT(J1022*(Inputs!$F$18-Inputs!$D$18)*(Inputs!$E$18-Inputs!$D$18)),Inputs!$F$18-SQRT((1-J1022)*(Inputs!$F$18-Inputs!$D$18)*(Inputs!$F$18-Inputs!$E$18)))</f>
        <v>1.10523775087279</v>
      </c>
      <c r="L1022" s="81" t="n">
        <f aca="true">RAND()</f>
        <v>0.871852375281702</v>
      </c>
      <c r="M1022" s="83" t="n">
        <f aca="false">IF(L1022&lt;(Inputs!$E$24-Inputs!$D$24)/(Inputs!$F$24-Inputs!$D$24),Inputs!$D$24+SQRT(L1022*(Inputs!$F$24-Inputs!$D$24)*(Inputs!$E$24-Inputs!$D$24)),Inputs!$F$24-SQRT((1-L1022)*(Inputs!$F$24-Inputs!$D$24)*(Inputs!$F$24-Inputs!$E$24)))</f>
        <v>1.0246277389882</v>
      </c>
      <c r="N1022" s="81" t="n">
        <f aca="true">RAND()</f>
        <v>0.336591916997575</v>
      </c>
      <c r="O1022" s="83" t="n">
        <f aca="false">IF(N1022&lt;(Inputs!$E$26-Inputs!$D$26)/(Inputs!$F$26-Inputs!$D$26),Inputs!$D$26+SQRT(N1022*(Inputs!$F$26-Inputs!$D$26)*(Inputs!$E$26-Inputs!$D$26)),Inputs!$F$26-SQRT((1-N1022)*(Inputs!$F$26-Inputs!$D$26)*(Inputs!$F$26-Inputs!$E$26)))</f>
        <v>0.536661984670957</v>
      </c>
      <c r="P1022" s="81" t="n">
        <f aca="true">RAND()</f>
        <v>0.354751883056489</v>
      </c>
      <c r="Q1022" s="82" t="n">
        <f aca="false">IF(P1022&lt;(Inputs!$E$27-Inputs!$D$27)/(Inputs!$F$27-Inputs!$D$27),Inputs!$D$27+SQRT(P1022*(Inputs!$F$27-Inputs!$D$27)*(Inputs!$E$27-Inputs!$D$27)),Inputs!$F$27-SQRT((1-P1022)*(Inputs!$F$27-Inputs!$D$27)*(Inputs!$F$27-Inputs!$E$27)))</f>
        <v>80.4344850009983</v>
      </c>
      <c r="R1022" s="81" t="n">
        <f aca="true">RAND()</f>
        <v>0.919677708748753</v>
      </c>
      <c r="S1022" s="82" t="n">
        <f aca="false">IF(R1022&lt;(Inputs!$E$29-Inputs!$D$29)/(Inputs!$F$29-Inputs!$D$29),Inputs!$D$29+SQRT(R1022*(Inputs!$F$29-Inputs!$D$29)*(Inputs!$E$29-Inputs!$D$29)),Inputs!$F$29-SQRT((1-R1022)*(Inputs!$F$29-Inputs!$D$29)*(Inputs!$F$29-Inputs!$E$29)))</f>
        <v>11.7686074421912</v>
      </c>
      <c r="T1022" s="68" t="n">
        <f aca="false">Inputs!$E$9*(1+E1022)+Inputs!$E$5*C1022*(Inputs!$E$11*Inputs!$E$14*(G1022*I1022/Inputs!$E$16+(1-G1022))*K1022+Inputs!$E$23*M1022)*(1+O1022)+Inputs!$E$5*(Q1022+S1022)</f>
        <v>6731.62446937858</v>
      </c>
    </row>
    <row r="1023" customFormat="false" ht="15" hidden="false" customHeight="false" outlineLevel="0" collapsed="false">
      <c r="A1023" s="1" t="n">
        <v>1019</v>
      </c>
      <c r="B1023" s="81" t="n">
        <f aca="true">RAND()</f>
        <v>0.289689588840524</v>
      </c>
      <c r="C1023" s="82" t="n">
        <f aca="false">ROUND(IF(B1023&lt;(Inputs!$E$8-Inputs!$D$8)/(Inputs!$F$8-Inputs!$D$8),Inputs!$D$8+SQRT(B1023*(Inputs!$F$8-Inputs!$D$8)*(Inputs!$E$8-Inputs!$D$8)),Inputs!$F$8-SQRT((1-B1023)*(Inputs!$F$8-Inputs!$D$8)*(Inputs!$F$8-Inputs!$E$8))),0)</f>
        <v>24</v>
      </c>
      <c r="D1023" s="81" t="n">
        <f aca="true">RAND()</f>
        <v>0.63277888524898</v>
      </c>
      <c r="E1023" s="83" t="n">
        <f aca="false">IF(D1023&lt;(Inputs!$E$10-Inputs!$D$10)/(Inputs!$F$10-Inputs!$D$10),Inputs!$D$10+SQRT(D1023*(Inputs!$F$10-Inputs!$D$10)*(Inputs!$E$10-Inputs!$D$10)),Inputs!$F$10-SQRT((1-D1023)*(Inputs!$F$10-Inputs!$D$10)*(Inputs!$F$10-Inputs!$E$10)))</f>
        <v>0.0950398483112252</v>
      </c>
      <c r="F1023" s="81" t="n">
        <f aca="true">RAND()</f>
        <v>0.374768195787253</v>
      </c>
      <c r="G1023" s="83" t="n">
        <f aca="false">IF(F1023&lt;(Inputs!$E$15-Inputs!$D$15)/(Inputs!$F$15-Inputs!$D$15),Inputs!$D$15+SQRT(F1023*(Inputs!$F$15-Inputs!$D$15)*(Inputs!$E$15-Inputs!$D$15)),Inputs!$F$15-SQRT((1-F1023)*(Inputs!$F$15-Inputs!$D$15)*(Inputs!$F$15-Inputs!$E$15)))</f>
        <v>0.686575769795856</v>
      </c>
      <c r="H1023" s="81" t="n">
        <f aca="true">RAND()</f>
        <v>0.0207469559080677</v>
      </c>
      <c r="I1023" s="82" t="n">
        <f aca="false">ROUND(IF(H1023&lt;(Inputs!$E$17-Inputs!$D$17)/(Inputs!$F$17-Inputs!$D$17),Inputs!$D$17+SQRT(H1023*(Inputs!$F$17-Inputs!$D$17)*(Inputs!$E$17-Inputs!$D$17)),Inputs!$F$17-SQRT((1-H1023)*(Inputs!$F$17-Inputs!$D$17)*(Inputs!$F$17-Inputs!$E$17))),0)</f>
        <v>101</v>
      </c>
      <c r="J1023" s="81" t="n">
        <f aca="true">RAND()</f>
        <v>0.721635949634611</v>
      </c>
      <c r="K1023" s="83" t="n">
        <f aca="false">IF(J1023&lt;(Inputs!$E$18-Inputs!$D$18)/(Inputs!$F$18-Inputs!$D$18),Inputs!$D$18+SQRT(J1023*(Inputs!$F$18-Inputs!$D$18)*(Inputs!$E$18-Inputs!$D$18)),Inputs!$F$18-SQRT((1-J1023)*(Inputs!$F$18-Inputs!$D$18)*(Inputs!$F$18-Inputs!$E$18)))</f>
        <v>1.09393317326552</v>
      </c>
      <c r="L1023" s="81" t="n">
        <f aca="true">RAND()</f>
        <v>0.403932546397462</v>
      </c>
      <c r="M1023" s="83" t="n">
        <f aca="false">IF(L1023&lt;(Inputs!$E$24-Inputs!$D$24)/(Inputs!$F$24-Inputs!$D$24),Inputs!$D$24+SQRT(L1023*(Inputs!$F$24-Inputs!$D$24)*(Inputs!$E$24-Inputs!$D$24)),Inputs!$F$24-SQRT((1-L1023)*(Inputs!$F$24-Inputs!$D$24)*(Inputs!$F$24-Inputs!$E$24)))</f>
        <v>0.821772305529316</v>
      </c>
      <c r="N1023" s="81" t="n">
        <f aca="true">RAND()</f>
        <v>0.25769309968387</v>
      </c>
      <c r="O1023" s="83" t="n">
        <f aca="false">IF(N1023&lt;(Inputs!$E$26-Inputs!$D$26)/(Inputs!$F$26-Inputs!$D$26),Inputs!$D$26+SQRT(N1023*(Inputs!$F$26-Inputs!$D$26)*(Inputs!$E$26-Inputs!$D$26)),Inputs!$F$26-SQRT((1-N1023)*(Inputs!$F$26-Inputs!$D$26)*(Inputs!$F$26-Inputs!$E$26)))</f>
        <v>0.507075183900428</v>
      </c>
      <c r="P1023" s="81" t="n">
        <f aca="true">RAND()</f>
        <v>0.584570163722015</v>
      </c>
      <c r="Q1023" s="82" t="n">
        <f aca="false">IF(P1023&lt;(Inputs!$E$27-Inputs!$D$27)/(Inputs!$F$27-Inputs!$D$27),Inputs!$D$27+SQRT(P1023*(Inputs!$F$27-Inputs!$D$27)*(Inputs!$E$27-Inputs!$D$27)),Inputs!$F$27-SQRT((1-P1023)*(Inputs!$F$27-Inputs!$D$27)*(Inputs!$F$27-Inputs!$E$27)))</f>
        <v>94.1813313300569</v>
      </c>
      <c r="R1023" s="81" t="n">
        <f aca="true">RAND()</f>
        <v>0.349778860855496</v>
      </c>
      <c r="S1023" s="82" t="n">
        <f aca="false">IF(R1023&lt;(Inputs!$E$29-Inputs!$D$29)/(Inputs!$F$29-Inputs!$D$29),Inputs!$D$29+SQRT(R1023*(Inputs!$F$29-Inputs!$D$29)*(Inputs!$E$29-Inputs!$D$29)),Inputs!$F$29-SQRT((1-R1023)*(Inputs!$F$29-Inputs!$D$29)*(Inputs!$F$29-Inputs!$E$29)))</f>
        <v>5.80604828766294</v>
      </c>
      <c r="T1023" s="68" t="n">
        <f aca="false">Inputs!$E$9*(1+E1023)+Inputs!$E$5*C1023*(Inputs!$E$11*Inputs!$E$14*(G1023*I1023/Inputs!$E$16+(1-G1023))*K1023+Inputs!$E$23*M1023)*(1+O1023)+Inputs!$E$5*(Q1023+S1023)</f>
        <v>6065.94964989721</v>
      </c>
    </row>
    <row r="1024" customFormat="false" ht="15" hidden="false" customHeight="false" outlineLevel="0" collapsed="false">
      <c r="A1024" s="1" t="n">
        <v>1020</v>
      </c>
      <c r="B1024" s="81" t="n">
        <f aca="true">RAND()</f>
        <v>0.496450064370127</v>
      </c>
      <c r="C1024" s="82" t="n">
        <f aca="false">ROUND(IF(B1024&lt;(Inputs!$E$8-Inputs!$D$8)/(Inputs!$F$8-Inputs!$D$8),Inputs!$D$8+SQRT(B1024*(Inputs!$F$8-Inputs!$D$8)*(Inputs!$E$8-Inputs!$D$8)),Inputs!$F$8-SQRT((1-B1024)*(Inputs!$F$8-Inputs!$D$8)*(Inputs!$F$8-Inputs!$E$8))),0)</f>
        <v>25</v>
      </c>
      <c r="D1024" s="81" t="n">
        <f aca="true">RAND()</f>
        <v>0.890636822481102</v>
      </c>
      <c r="E1024" s="83" t="n">
        <f aca="false">IF(D1024&lt;(Inputs!$E$10-Inputs!$D$10)/(Inputs!$F$10-Inputs!$D$10),Inputs!$D$10+SQRT(D1024*(Inputs!$F$10-Inputs!$D$10)*(Inputs!$E$10-Inputs!$D$10)),Inputs!$F$10-SQRT((1-D1024)*(Inputs!$F$10-Inputs!$D$10)*(Inputs!$F$10-Inputs!$E$10)))</f>
        <v>0.142720899748975</v>
      </c>
      <c r="F1024" s="81" t="n">
        <f aca="true">RAND()</f>
        <v>0.477257141436483</v>
      </c>
      <c r="G1024" s="83" t="n">
        <f aca="false">IF(F1024&lt;(Inputs!$E$15-Inputs!$D$15)/(Inputs!$F$15-Inputs!$D$15),Inputs!$D$15+SQRT(F1024*(Inputs!$F$15-Inputs!$D$15)*(Inputs!$E$15-Inputs!$D$15)),Inputs!$F$15-SQRT((1-F1024)*(Inputs!$F$15-Inputs!$D$15)*(Inputs!$F$15-Inputs!$E$15)))</f>
        <v>0.697699246817617</v>
      </c>
      <c r="H1024" s="81" t="n">
        <f aca="true">RAND()</f>
        <v>0.555213242251547</v>
      </c>
      <c r="I1024" s="82" t="n">
        <f aca="false">ROUND(IF(H1024&lt;(Inputs!$E$17-Inputs!$D$17)/(Inputs!$F$17-Inputs!$D$17),Inputs!$D$17+SQRT(H1024*(Inputs!$F$17-Inputs!$D$17)*(Inputs!$E$17-Inputs!$D$17)),Inputs!$F$17-SQRT((1-H1024)*(Inputs!$F$17-Inputs!$D$17)*(Inputs!$F$17-Inputs!$E$17))),0)</f>
        <v>107</v>
      </c>
      <c r="J1024" s="81" t="n">
        <f aca="true">RAND()</f>
        <v>0.723124056837068</v>
      </c>
      <c r="K1024" s="83" t="n">
        <f aca="false">IF(J1024&lt;(Inputs!$E$18-Inputs!$D$18)/(Inputs!$F$18-Inputs!$D$18),Inputs!$D$18+SQRT(J1024*(Inputs!$F$18-Inputs!$D$18)*(Inputs!$E$18-Inputs!$D$18)),Inputs!$F$18-SQRT((1-J1024)*(Inputs!$F$18-Inputs!$D$18)*(Inputs!$F$18-Inputs!$E$18)))</f>
        <v>1.09435089133967</v>
      </c>
      <c r="L1024" s="81" t="n">
        <f aca="true">RAND()</f>
        <v>0.370233881330845</v>
      </c>
      <c r="M1024" s="83" t="n">
        <f aca="false">IF(L1024&lt;(Inputs!$E$24-Inputs!$D$24)/(Inputs!$F$24-Inputs!$D$24),Inputs!$D$24+SQRT(L1024*(Inputs!$F$24-Inputs!$D$24)*(Inputs!$E$24-Inputs!$D$24)),Inputs!$F$24-SQRT((1-L1024)*(Inputs!$F$24-Inputs!$D$24)*(Inputs!$F$24-Inputs!$E$24)))</f>
        <v>0.811227742141241</v>
      </c>
      <c r="N1024" s="81" t="n">
        <f aca="true">RAND()</f>
        <v>0.426582272855794</v>
      </c>
      <c r="O1024" s="83" t="n">
        <f aca="false">IF(N1024&lt;(Inputs!$E$26-Inputs!$D$26)/(Inputs!$F$26-Inputs!$D$26),Inputs!$D$26+SQRT(N1024*(Inputs!$F$26-Inputs!$D$26)*(Inputs!$E$26-Inputs!$D$26)),Inputs!$F$26-SQRT((1-N1024)*(Inputs!$F$26-Inputs!$D$26)*(Inputs!$F$26-Inputs!$E$26)))</f>
        <v>0.566426894669446</v>
      </c>
      <c r="P1024" s="81" t="n">
        <f aca="true">RAND()</f>
        <v>0.0457552743767572</v>
      </c>
      <c r="Q1024" s="82" t="n">
        <f aca="false">IF(P1024&lt;(Inputs!$E$27-Inputs!$D$27)/(Inputs!$F$27-Inputs!$D$27),Inputs!$D$27+SQRT(P1024*(Inputs!$F$27-Inputs!$D$27)*(Inputs!$E$27-Inputs!$D$27)),Inputs!$F$27-SQRT((1-P1024)*(Inputs!$F$27-Inputs!$D$27)*(Inputs!$F$27-Inputs!$E$27)))</f>
        <v>60.6952412755343</v>
      </c>
      <c r="R1024" s="81" t="n">
        <f aca="true">RAND()</f>
        <v>0.328268076669946</v>
      </c>
      <c r="S1024" s="82" t="n">
        <f aca="false">IF(R1024&lt;(Inputs!$E$29-Inputs!$D$29)/(Inputs!$F$29-Inputs!$D$29),Inputs!$D$29+SQRT(R1024*(Inputs!$F$29-Inputs!$D$29)*(Inputs!$E$29-Inputs!$D$29)),Inputs!$F$29-SQRT((1-R1024)*(Inputs!$F$29-Inputs!$D$29)*(Inputs!$F$29-Inputs!$E$29)))</f>
        <v>5.65520733066233</v>
      </c>
      <c r="T1024" s="68" t="n">
        <f aca="false">Inputs!$E$9*(1+E1024)+Inputs!$E$5*C1024*(Inputs!$E$11*Inputs!$E$14*(G1024*I1024/Inputs!$E$16+(1-G1024))*K1024+Inputs!$E$23*M1024)*(1+O1024)+Inputs!$E$5*(Q1024+S1024)</f>
        <v>6307.86634812204</v>
      </c>
    </row>
    <row r="1025" customFormat="false" ht="15" hidden="false" customHeight="false" outlineLevel="0" collapsed="false">
      <c r="A1025" s="1" t="n">
        <v>1021</v>
      </c>
      <c r="B1025" s="81" t="n">
        <f aca="true">RAND()</f>
        <v>0.754139350590129</v>
      </c>
      <c r="C1025" s="82" t="n">
        <f aca="false">ROUND(IF(B1025&lt;(Inputs!$E$8-Inputs!$D$8)/(Inputs!$F$8-Inputs!$D$8),Inputs!$D$8+SQRT(B1025*(Inputs!$F$8-Inputs!$D$8)*(Inputs!$E$8-Inputs!$D$8)),Inputs!$F$8-SQRT((1-B1025)*(Inputs!$F$8-Inputs!$D$8)*(Inputs!$F$8-Inputs!$E$8))),0)</f>
        <v>26</v>
      </c>
      <c r="D1025" s="81" t="n">
        <f aca="true">RAND()</f>
        <v>0.786116932368267</v>
      </c>
      <c r="E1025" s="83" t="n">
        <f aca="false">IF(D1025&lt;(Inputs!$E$10-Inputs!$D$10)/(Inputs!$F$10-Inputs!$D$10),Inputs!$D$10+SQRT(D1025*(Inputs!$F$10-Inputs!$D$10)*(Inputs!$E$10-Inputs!$D$10)),Inputs!$F$10-SQRT((1-D1025)*(Inputs!$F$10-Inputs!$D$10)*(Inputs!$F$10-Inputs!$E$10)))</f>
        <v>0.119896991136712</v>
      </c>
      <c r="F1025" s="81" t="n">
        <f aca="true">RAND()</f>
        <v>0.992142631585992</v>
      </c>
      <c r="G1025" s="83" t="n">
        <f aca="false">IF(F1025&lt;(Inputs!$E$15-Inputs!$D$15)/(Inputs!$F$15-Inputs!$D$15),Inputs!$D$15+SQRT(F1025*(Inputs!$F$15-Inputs!$D$15)*(Inputs!$E$15-Inputs!$D$15)),Inputs!$F$15-SQRT((1-F1025)*(Inputs!$F$15-Inputs!$D$15)*(Inputs!$F$15-Inputs!$E$15)))</f>
        <v>0.787464156658599</v>
      </c>
      <c r="H1025" s="81" t="n">
        <f aca="true">RAND()</f>
        <v>0.351124845134004</v>
      </c>
      <c r="I1025" s="82" t="n">
        <f aca="false">ROUND(IF(H1025&lt;(Inputs!$E$17-Inputs!$D$17)/(Inputs!$F$17-Inputs!$D$17),Inputs!$D$17+SQRT(H1025*(Inputs!$F$17-Inputs!$D$17)*(Inputs!$E$17-Inputs!$D$17)),Inputs!$F$17-SQRT((1-H1025)*(Inputs!$F$17-Inputs!$D$17)*(Inputs!$F$17-Inputs!$E$17))),0)</f>
        <v>105</v>
      </c>
      <c r="J1025" s="81" t="n">
        <f aca="true">RAND()</f>
        <v>0.815338984357542</v>
      </c>
      <c r="K1025" s="83" t="n">
        <f aca="false">IF(J1025&lt;(Inputs!$E$18-Inputs!$D$18)/(Inputs!$F$18-Inputs!$D$18),Inputs!$D$18+SQRT(J1025*(Inputs!$F$18-Inputs!$D$18)*(Inputs!$E$18-Inputs!$D$18)),Inputs!$F$18-SQRT((1-J1025)*(Inputs!$F$18-Inputs!$D$18)*(Inputs!$F$18-Inputs!$E$18)))</f>
        <v>1.12288651185372</v>
      </c>
      <c r="L1025" s="81" t="n">
        <f aca="true">RAND()</f>
        <v>0.625560946028703</v>
      </c>
      <c r="M1025" s="83" t="n">
        <f aca="false">IF(L1025&lt;(Inputs!$E$24-Inputs!$D$24)/(Inputs!$F$24-Inputs!$D$24),Inputs!$D$24+SQRT(L1025*(Inputs!$F$24-Inputs!$D$24)*(Inputs!$E$24-Inputs!$D$24)),Inputs!$F$24-SQRT((1-L1025)*(Inputs!$F$24-Inputs!$D$24)*(Inputs!$F$24-Inputs!$E$24)))</f>
        <v>0.900224462383751</v>
      </c>
      <c r="N1025" s="81" t="n">
        <f aca="true">RAND()</f>
        <v>0.833730486372084</v>
      </c>
      <c r="O1025" s="83" t="n">
        <f aca="false">IF(N1025&lt;(Inputs!$E$26-Inputs!$D$26)/(Inputs!$F$26-Inputs!$D$26),Inputs!$D$26+SQRT(N1025*(Inputs!$F$26-Inputs!$D$26)*(Inputs!$E$26-Inputs!$D$26)),Inputs!$F$26-SQRT((1-N1025)*(Inputs!$F$26-Inputs!$D$26)*(Inputs!$F$26-Inputs!$E$26)))</f>
        <v>0.688500838720153</v>
      </c>
      <c r="P1025" s="81" t="n">
        <f aca="true">RAND()</f>
        <v>0.0916116846958818</v>
      </c>
      <c r="Q1025" s="82" t="n">
        <f aca="false">IF(P1025&lt;(Inputs!$E$27-Inputs!$D$27)/(Inputs!$F$27-Inputs!$D$27),Inputs!$D$27+SQRT(P1025*(Inputs!$F$27-Inputs!$D$27)*(Inputs!$E$27-Inputs!$D$27)),Inputs!$F$27-SQRT((1-P1025)*(Inputs!$F$27-Inputs!$D$27)*(Inputs!$F$27-Inputs!$E$27)))</f>
        <v>65.1337111026907</v>
      </c>
      <c r="R1025" s="81" t="n">
        <f aca="true">RAND()</f>
        <v>0.978612108618742</v>
      </c>
      <c r="S1025" s="82" t="n">
        <f aca="false">IF(R1025&lt;(Inputs!$E$29-Inputs!$D$29)/(Inputs!$F$29-Inputs!$D$29),Inputs!$D$29+SQRT(R1025*(Inputs!$F$29-Inputs!$D$29)*(Inputs!$E$29-Inputs!$D$29)),Inputs!$F$29-SQRT((1-R1025)*(Inputs!$F$29-Inputs!$D$29)*(Inputs!$F$29-Inputs!$E$29)))</f>
        <v>13.3325390920434</v>
      </c>
      <c r="T1025" s="68" t="n">
        <f aca="false">Inputs!$E$9*(1+E1025)+Inputs!$E$5*C1025*(Inputs!$E$11*Inputs!$E$14*(G1025*I1025/Inputs!$E$16+(1-G1025))*K1025+Inputs!$E$23*M1025)*(1+O1025)+Inputs!$E$5*(Q1025+S1025)</f>
        <v>6768.70710674095</v>
      </c>
    </row>
    <row r="1026" customFormat="false" ht="15" hidden="false" customHeight="false" outlineLevel="0" collapsed="false">
      <c r="A1026" s="1" t="n">
        <v>1022</v>
      </c>
      <c r="B1026" s="81" t="n">
        <f aca="true">RAND()</f>
        <v>0.671694283236419</v>
      </c>
      <c r="C1026" s="82" t="n">
        <f aca="false">ROUND(IF(B1026&lt;(Inputs!$E$8-Inputs!$D$8)/(Inputs!$F$8-Inputs!$D$8),Inputs!$D$8+SQRT(B1026*(Inputs!$F$8-Inputs!$D$8)*(Inputs!$E$8-Inputs!$D$8)),Inputs!$F$8-SQRT((1-B1026)*(Inputs!$F$8-Inputs!$D$8)*(Inputs!$F$8-Inputs!$E$8))),0)</f>
        <v>26</v>
      </c>
      <c r="D1026" s="81" t="n">
        <f aca="true">RAND()</f>
        <v>0.349082872551212</v>
      </c>
      <c r="E1026" s="83" t="n">
        <f aca="false">IF(D1026&lt;(Inputs!$E$10-Inputs!$D$10)/(Inputs!$F$10-Inputs!$D$10),Inputs!$D$10+SQRT(D1026*(Inputs!$F$10-Inputs!$D$10)*(Inputs!$E$10-Inputs!$D$10)),Inputs!$F$10-SQRT((1-D1026)*(Inputs!$F$10-Inputs!$D$10)*(Inputs!$F$10-Inputs!$E$10)))</f>
        <v>0.0602591189971108</v>
      </c>
      <c r="F1026" s="81" t="n">
        <f aca="true">RAND()</f>
        <v>0.912074008619247</v>
      </c>
      <c r="G1026" s="83" t="n">
        <f aca="false">IF(F1026&lt;(Inputs!$E$15-Inputs!$D$15)/(Inputs!$F$15-Inputs!$D$15),Inputs!$D$15+SQRT(F1026*(Inputs!$F$15-Inputs!$D$15)*(Inputs!$E$15-Inputs!$D$15)),Inputs!$F$15-SQRT((1-F1026)*(Inputs!$F$15-Inputs!$D$15)*(Inputs!$F$15-Inputs!$E$15)))</f>
        <v>0.758065290896263</v>
      </c>
      <c r="H1026" s="81" t="n">
        <f aca="true">RAND()</f>
        <v>0.336578585278548</v>
      </c>
      <c r="I1026" s="82" t="n">
        <f aca="false">ROUND(IF(H1026&lt;(Inputs!$E$17-Inputs!$D$17)/(Inputs!$F$17-Inputs!$D$17),Inputs!$D$17+SQRT(H1026*(Inputs!$F$17-Inputs!$D$17)*(Inputs!$E$17-Inputs!$D$17)),Inputs!$F$17-SQRT((1-H1026)*(Inputs!$F$17-Inputs!$D$17)*(Inputs!$F$17-Inputs!$E$17))),0)</f>
        <v>105</v>
      </c>
      <c r="J1026" s="81" t="n">
        <f aca="true">RAND()</f>
        <v>0.62819635254615</v>
      </c>
      <c r="K1026" s="83" t="n">
        <f aca="false">IF(J1026&lt;(Inputs!$E$18-Inputs!$D$18)/(Inputs!$F$18-Inputs!$D$18),Inputs!$D$18+SQRT(J1026*(Inputs!$F$18-Inputs!$D$18)*(Inputs!$E$18-Inputs!$D$18)),Inputs!$F$18-SQRT((1-J1026)*(Inputs!$F$18-Inputs!$D$18)*(Inputs!$F$18-Inputs!$E$18)))</f>
        <v>1.0696314352438</v>
      </c>
      <c r="L1026" s="81" t="n">
        <f aca="true">RAND()</f>
        <v>0.190797245999628</v>
      </c>
      <c r="M1026" s="83" t="n">
        <f aca="false">IF(L1026&lt;(Inputs!$E$24-Inputs!$D$24)/(Inputs!$F$24-Inputs!$D$24),Inputs!$D$24+SQRT(L1026*(Inputs!$F$24-Inputs!$D$24)*(Inputs!$E$24-Inputs!$D$24)),Inputs!$F$24-SQRT((1-L1026)*(Inputs!$F$24-Inputs!$D$24)*(Inputs!$F$24-Inputs!$E$24)))</f>
        <v>0.7513131505189</v>
      </c>
      <c r="N1026" s="81" t="n">
        <f aca="true">RAND()</f>
        <v>0.207807180833549</v>
      </c>
      <c r="O1026" s="83" t="n">
        <f aca="false">IF(N1026&lt;(Inputs!$E$26-Inputs!$D$26)/(Inputs!$F$26-Inputs!$D$26),Inputs!$D$26+SQRT(N1026*(Inputs!$F$26-Inputs!$D$26)*(Inputs!$E$26-Inputs!$D$26)),Inputs!$F$26-SQRT((1-N1026)*(Inputs!$F$26-Inputs!$D$26)*(Inputs!$F$26-Inputs!$E$26)))</f>
        <v>0.48595460438156</v>
      </c>
      <c r="P1026" s="81" t="n">
        <f aca="true">RAND()</f>
        <v>0.815166106325969</v>
      </c>
      <c r="Q1026" s="82" t="n">
        <f aca="false">IF(P1026&lt;(Inputs!$E$27-Inputs!$D$27)/(Inputs!$F$27-Inputs!$D$27),Inputs!$D$27+SQRT(P1026*(Inputs!$F$27-Inputs!$D$27)*(Inputs!$E$27-Inputs!$D$27)),Inputs!$F$27-SQRT((1-P1026)*(Inputs!$F$27-Inputs!$D$27)*(Inputs!$F$27-Inputs!$E$27)))</f>
        <v>112.767565180944</v>
      </c>
      <c r="R1026" s="81" t="n">
        <f aca="true">RAND()</f>
        <v>0.051821017245238</v>
      </c>
      <c r="S1026" s="82" t="n">
        <f aca="false">IF(R1026&lt;(Inputs!$E$29-Inputs!$D$29)/(Inputs!$F$29-Inputs!$D$29),Inputs!$D$29+SQRT(R1026*(Inputs!$F$29-Inputs!$D$29)*(Inputs!$E$29-Inputs!$D$29)),Inputs!$F$29-SQRT((1-R1026)*(Inputs!$F$29-Inputs!$D$29)*(Inputs!$F$29-Inputs!$E$29)))</f>
        <v>3.42162571465357</v>
      </c>
      <c r="T1026" s="68" t="n">
        <f aca="false">Inputs!$E$9*(1+E1026)+Inputs!$E$5*C1026*(Inputs!$E$11*Inputs!$E$14*(G1026*I1026/Inputs!$E$16+(1-G1026))*K1026+Inputs!$E$23*M1026)*(1+O1026)+Inputs!$E$5*(Q1026+S1026)</f>
        <v>6087.63228242741</v>
      </c>
    </row>
    <row r="1027" customFormat="false" ht="15" hidden="false" customHeight="false" outlineLevel="0" collapsed="false">
      <c r="A1027" s="1" t="n">
        <v>1023</v>
      </c>
      <c r="B1027" s="81" t="n">
        <f aca="true">RAND()</f>
        <v>0.166718340781225</v>
      </c>
      <c r="C1027" s="82" t="n">
        <f aca="false">ROUND(IF(B1027&lt;(Inputs!$E$8-Inputs!$D$8)/(Inputs!$F$8-Inputs!$D$8),Inputs!$D$8+SQRT(B1027*(Inputs!$F$8-Inputs!$D$8)*(Inputs!$E$8-Inputs!$D$8)),Inputs!$F$8-SQRT((1-B1027)*(Inputs!$F$8-Inputs!$D$8)*(Inputs!$F$8-Inputs!$E$8))),0)</f>
        <v>23</v>
      </c>
      <c r="D1027" s="81" t="n">
        <f aca="true">RAND()</f>
        <v>0.551981361578293</v>
      </c>
      <c r="E1027" s="83" t="n">
        <f aca="false">IF(D1027&lt;(Inputs!$E$10-Inputs!$D$10)/(Inputs!$F$10-Inputs!$D$10),Inputs!$D$10+SQRT(D1027*(Inputs!$F$10-Inputs!$D$10)*(Inputs!$E$10-Inputs!$D$10)),Inputs!$F$10-SQRT((1-D1027)*(Inputs!$F$10-Inputs!$D$10)*(Inputs!$F$10-Inputs!$E$10)))</f>
        <v>0.0840665744806476</v>
      </c>
      <c r="F1027" s="81" t="n">
        <f aca="true">RAND()</f>
        <v>0.605851279727155</v>
      </c>
      <c r="G1027" s="83" t="n">
        <f aca="false">IF(F1027&lt;(Inputs!$E$15-Inputs!$D$15)/(Inputs!$F$15-Inputs!$D$15),Inputs!$D$15+SQRT(F1027*(Inputs!$F$15-Inputs!$D$15)*(Inputs!$E$15-Inputs!$D$15)),Inputs!$F$15-SQRT((1-F1027)*(Inputs!$F$15-Inputs!$D$15)*(Inputs!$F$15-Inputs!$E$15)))</f>
        <v>0.711213883937538</v>
      </c>
      <c r="H1027" s="81" t="n">
        <f aca="true">RAND()</f>
        <v>0.346675090714448</v>
      </c>
      <c r="I1027" s="82" t="n">
        <f aca="false">ROUND(IF(H1027&lt;(Inputs!$E$17-Inputs!$D$17)/(Inputs!$F$17-Inputs!$D$17),Inputs!$D$17+SQRT(H1027*(Inputs!$F$17-Inputs!$D$17)*(Inputs!$E$17-Inputs!$D$17)),Inputs!$F$17-SQRT((1-H1027)*(Inputs!$F$17-Inputs!$D$17)*(Inputs!$F$17-Inputs!$E$17))),0)</f>
        <v>105</v>
      </c>
      <c r="J1027" s="81" t="n">
        <f aca="true">RAND()</f>
        <v>0.284775464019658</v>
      </c>
      <c r="K1027" s="83" t="n">
        <f aca="false">IF(J1027&lt;(Inputs!$E$18-Inputs!$D$18)/(Inputs!$F$18-Inputs!$D$18),Inputs!$D$18+SQRT(J1027*(Inputs!$F$18-Inputs!$D$18)*(Inputs!$E$18-Inputs!$D$18)),Inputs!$F$18-SQRT((1-J1027)*(Inputs!$F$18-Inputs!$D$18)*(Inputs!$F$18-Inputs!$E$18)))</f>
        <v>0.999835571018991</v>
      </c>
      <c r="L1027" s="81" t="n">
        <f aca="true">RAND()</f>
        <v>0.0457799544892664</v>
      </c>
      <c r="M1027" s="83" t="n">
        <f aca="false">IF(L1027&lt;(Inputs!$E$24-Inputs!$D$24)/(Inputs!$F$24-Inputs!$D$24),Inputs!$D$24+SQRT(L1027*(Inputs!$F$24-Inputs!$D$24)*(Inputs!$E$24-Inputs!$D$24)),Inputs!$F$24-SQRT((1-L1027)*(Inputs!$F$24-Inputs!$D$24)*(Inputs!$F$24-Inputs!$E$24)))</f>
        <v>0.674118786678628</v>
      </c>
      <c r="N1027" s="81" t="n">
        <f aca="true">RAND()</f>
        <v>0.0994549641979411</v>
      </c>
      <c r="O1027" s="83" t="n">
        <f aca="false">IF(N1027&lt;(Inputs!$E$26-Inputs!$D$26)/(Inputs!$F$26-Inputs!$D$26),Inputs!$D$26+SQRT(N1027*(Inputs!$F$26-Inputs!$D$26)*(Inputs!$E$26-Inputs!$D$26)),Inputs!$F$26-SQRT((1-N1027)*(Inputs!$F$26-Inputs!$D$26)*(Inputs!$F$26-Inputs!$E$26)))</f>
        <v>0.42864410613214</v>
      </c>
      <c r="P1027" s="81" t="n">
        <f aca="true">RAND()</f>
        <v>0.638265664330191</v>
      </c>
      <c r="Q1027" s="82" t="n">
        <f aca="false">IF(P1027&lt;(Inputs!$E$27-Inputs!$D$27)/(Inputs!$F$27-Inputs!$D$27),Inputs!$D$27+SQRT(P1027*(Inputs!$F$27-Inputs!$D$27)*(Inputs!$E$27-Inputs!$D$27)),Inputs!$F$27-SQRT((1-P1027)*(Inputs!$F$27-Inputs!$D$27)*(Inputs!$F$27-Inputs!$E$27)))</f>
        <v>97.9134612637433</v>
      </c>
      <c r="R1027" s="81" t="n">
        <f aca="true">RAND()</f>
        <v>0.389380631842574</v>
      </c>
      <c r="S1027" s="82" t="n">
        <f aca="false">IF(R1027&lt;(Inputs!$E$29-Inputs!$D$29)/(Inputs!$F$29-Inputs!$D$29),Inputs!$D$29+SQRT(R1027*(Inputs!$F$29-Inputs!$D$29)*(Inputs!$E$29-Inputs!$D$29)),Inputs!$F$29-SQRT((1-R1027)*(Inputs!$F$29-Inputs!$D$29)*(Inputs!$F$29-Inputs!$E$29)))</f>
        <v>6.09042549498208</v>
      </c>
      <c r="T1027" s="68" t="n">
        <f aca="false">Inputs!$E$9*(1+E1027)+Inputs!$E$5*C1027*(Inputs!$E$11*Inputs!$E$14*(G1027*I1027/Inputs!$E$16+(1-G1027))*K1027+Inputs!$E$23*M1027)*(1+O1027)+Inputs!$E$5*(Q1027+S1027)</f>
        <v>5446.65086877368</v>
      </c>
    </row>
    <row r="1028" customFormat="false" ht="15" hidden="false" customHeight="false" outlineLevel="0" collapsed="false">
      <c r="A1028" s="1" t="n">
        <v>1024</v>
      </c>
      <c r="B1028" s="81" t="n">
        <f aca="true">RAND()</f>
        <v>0.00362341856765809</v>
      </c>
      <c r="C1028" s="82" t="n">
        <f aca="false">ROUND(IF(B1028&lt;(Inputs!$E$8-Inputs!$D$8)/(Inputs!$F$8-Inputs!$D$8),Inputs!$D$8+SQRT(B1028*(Inputs!$F$8-Inputs!$D$8)*(Inputs!$E$8-Inputs!$D$8)),Inputs!$F$8-SQRT((1-B1028)*(Inputs!$F$8-Inputs!$D$8)*(Inputs!$F$8-Inputs!$E$8))),0)</f>
        <v>20</v>
      </c>
      <c r="D1028" s="81" t="n">
        <f aca="true">RAND()</f>
        <v>0.18710786561676</v>
      </c>
      <c r="E1028" s="83" t="n">
        <f aca="false">IF(D1028&lt;(Inputs!$E$10-Inputs!$D$10)/(Inputs!$F$10-Inputs!$D$10),Inputs!$D$10+SQRT(D1028*(Inputs!$F$10-Inputs!$D$10)*(Inputs!$E$10-Inputs!$D$10)),Inputs!$F$10-SQRT((1-D1028)*(Inputs!$F$10-Inputs!$D$10)*(Inputs!$F$10-Inputs!$E$10)))</f>
        <v>0.0432559667117451</v>
      </c>
      <c r="F1028" s="81" t="n">
        <f aca="true">RAND()</f>
        <v>0.161578797130765</v>
      </c>
      <c r="G1028" s="83" t="n">
        <f aca="false">IF(F1028&lt;(Inputs!$E$15-Inputs!$D$15)/(Inputs!$F$15-Inputs!$D$15),Inputs!$D$15+SQRT(F1028*(Inputs!$F$15-Inputs!$D$15)*(Inputs!$E$15-Inputs!$D$15)),Inputs!$F$15-SQRT((1-F1028)*(Inputs!$F$15-Inputs!$D$15)*(Inputs!$F$15-Inputs!$E$15)))</f>
        <v>0.65684695192018</v>
      </c>
      <c r="H1028" s="81" t="n">
        <f aca="true">RAND()</f>
        <v>0.653343424056881</v>
      </c>
      <c r="I1028" s="82" t="n">
        <f aca="false">ROUND(IF(H1028&lt;(Inputs!$E$17-Inputs!$D$17)/(Inputs!$F$17-Inputs!$D$17),Inputs!$D$17+SQRT(H1028*(Inputs!$F$17-Inputs!$D$17)*(Inputs!$E$17-Inputs!$D$17)),Inputs!$F$17-SQRT((1-H1028)*(Inputs!$F$17-Inputs!$D$17)*(Inputs!$F$17-Inputs!$E$17))),0)</f>
        <v>108</v>
      </c>
      <c r="J1028" s="81" t="n">
        <f aca="true">RAND()</f>
        <v>0.703305121794501</v>
      </c>
      <c r="K1028" s="83" t="n">
        <f aca="false">IF(J1028&lt;(Inputs!$E$18-Inputs!$D$18)/(Inputs!$F$18-Inputs!$D$18),Inputs!$D$18+SQRT(J1028*(Inputs!$F$18-Inputs!$D$18)*(Inputs!$E$18-Inputs!$D$18)),Inputs!$F$18-SQRT((1-J1028)*(Inputs!$F$18-Inputs!$D$18)*(Inputs!$F$18-Inputs!$E$18)))</f>
        <v>1.08887643920587</v>
      </c>
      <c r="L1028" s="81" t="n">
        <f aca="true">RAND()</f>
        <v>0.487174187771846</v>
      </c>
      <c r="M1028" s="83" t="n">
        <f aca="false">IF(L1028&lt;(Inputs!$E$24-Inputs!$D$24)/(Inputs!$F$24-Inputs!$D$24),Inputs!$D$24+SQRT(L1028*(Inputs!$F$24-Inputs!$D$24)*(Inputs!$E$24-Inputs!$D$24)),Inputs!$F$24-SQRT((1-L1028)*(Inputs!$F$24-Inputs!$D$24)*(Inputs!$F$24-Inputs!$E$24)))</f>
        <v>0.849174979605563</v>
      </c>
      <c r="N1028" s="81" t="n">
        <f aca="true">RAND()</f>
        <v>0.0680283021048081</v>
      </c>
      <c r="O1028" s="83" t="n">
        <f aca="false">IF(N1028&lt;(Inputs!$E$26-Inputs!$D$26)/(Inputs!$F$26-Inputs!$D$26),Inputs!$D$26+SQRT(N1028*(Inputs!$F$26-Inputs!$D$26)*(Inputs!$E$26-Inputs!$D$26)),Inputs!$F$26-SQRT((1-N1028)*(Inputs!$F$26-Inputs!$D$26)*(Inputs!$F$26-Inputs!$E$26)))</f>
        <v>0.40639506318547</v>
      </c>
      <c r="P1028" s="81" t="n">
        <f aca="true">RAND()</f>
        <v>0.209708171870239</v>
      </c>
      <c r="Q1028" s="82" t="n">
        <f aca="false">IF(P1028&lt;(Inputs!$E$27-Inputs!$D$27)/(Inputs!$F$27-Inputs!$D$27),Inputs!$D$27+SQRT(P1028*(Inputs!$F$27-Inputs!$D$27)*(Inputs!$E$27-Inputs!$D$27)),Inputs!$F$27-SQRT((1-P1028)*(Inputs!$F$27-Inputs!$D$27)*(Inputs!$F$27-Inputs!$E$27)))</f>
        <v>72.8969524102138</v>
      </c>
      <c r="R1028" s="81" t="n">
        <f aca="true">RAND()</f>
        <v>0.155904676252843</v>
      </c>
      <c r="S1028" s="82" t="n">
        <f aca="false">IF(R1028&lt;(Inputs!$E$29-Inputs!$D$29)/(Inputs!$F$29-Inputs!$D$29),Inputs!$D$29+SQRT(R1028*(Inputs!$F$29-Inputs!$D$29)*(Inputs!$E$29-Inputs!$D$29)),Inputs!$F$29-SQRT((1-R1028)*(Inputs!$F$29-Inputs!$D$29)*(Inputs!$F$29-Inputs!$E$29)))</f>
        <v>4.46582285938404</v>
      </c>
      <c r="T1028" s="68" t="n">
        <f aca="false">Inputs!$E$9*(1+E1028)+Inputs!$E$5*C1028*(Inputs!$E$11*Inputs!$E$14*(G1028*I1028/Inputs!$E$16+(1-G1028))*K1028+Inputs!$E$23*M1028)*(1+O1028)+Inputs!$E$5*(Q1028+S1028)</f>
        <v>5247.40177138878</v>
      </c>
    </row>
    <row r="1029" customFormat="false" ht="15" hidden="false" customHeight="false" outlineLevel="0" collapsed="false">
      <c r="A1029" s="1" t="n">
        <v>1025</v>
      </c>
      <c r="B1029" s="81" t="n">
        <f aca="true">RAND()</f>
        <v>0.00236516533163532</v>
      </c>
      <c r="C1029" s="82" t="n">
        <f aca="false">ROUND(IF(B1029&lt;(Inputs!$E$8-Inputs!$D$8)/(Inputs!$F$8-Inputs!$D$8),Inputs!$D$8+SQRT(B1029*(Inputs!$F$8-Inputs!$D$8)*(Inputs!$E$8-Inputs!$D$8)),Inputs!$F$8-SQRT((1-B1029)*(Inputs!$F$8-Inputs!$D$8)*(Inputs!$F$8-Inputs!$E$8))),0)</f>
        <v>20</v>
      </c>
      <c r="D1029" s="81" t="n">
        <f aca="true">RAND()</f>
        <v>0.835212981637878</v>
      </c>
      <c r="E1029" s="83" t="n">
        <f aca="false">IF(D1029&lt;(Inputs!$E$10-Inputs!$D$10)/(Inputs!$F$10-Inputs!$D$10),Inputs!$D$10+SQRT(D1029*(Inputs!$F$10-Inputs!$D$10)*(Inputs!$E$10-Inputs!$D$10)),Inputs!$F$10-SQRT((1-D1029)*(Inputs!$F$10-Inputs!$D$10)*(Inputs!$F$10-Inputs!$E$10)))</f>
        <v>0.129689186102964</v>
      </c>
      <c r="F1029" s="81" t="n">
        <f aca="true">RAND()</f>
        <v>0.752118968769534</v>
      </c>
      <c r="G1029" s="83" t="n">
        <f aca="false">IF(F1029&lt;(Inputs!$E$15-Inputs!$D$15)/(Inputs!$F$15-Inputs!$D$15),Inputs!$D$15+SQRT(F1029*(Inputs!$F$15-Inputs!$D$15)*(Inputs!$E$15-Inputs!$D$15)),Inputs!$F$15-SQRT((1-F1029)*(Inputs!$F$15-Inputs!$D$15)*(Inputs!$F$15-Inputs!$E$15)))</f>
        <v>0.729589627009869</v>
      </c>
      <c r="H1029" s="81" t="n">
        <f aca="true">RAND()</f>
        <v>0.856314707296148</v>
      </c>
      <c r="I1029" s="82" t="n">
        <f aca="false">ROUND(IF(H1029&lt;(Inputs!$E$17-Inputs!$D$17)/(Inputs!$F$17-Inputs!$D$17),Inputs!$D$17+SQRT(H1029*(Inputs!$F$17-Inputs!$D$17)*(Inputs!$E$17-Inputs!$D$17)),Inputs!$F$17-SQRT((1-H1029)*(Inputs!$F$17-Inputs!$D$17)*(Inputs!$F$17-Inputs!$E$17))),0)</f>
        <v>110</v>
      </c>
      <c r="J1029" s="81" t="n">
        <f aca="true">RAND()</f>
        <v>0.540719395996233</v>
      </c>
      <c r="K1029" s="83" t="n">
        <f aca="false">IF(J1029&lt;(Inputs!$E$18-Inputs!$D$18)/(Inputs!$F$18-Inputs!$D$18),Inputs!$D$18+SQRT(J1029*(Inputs!$F$18-Inputs!$D$18)*(Inputs!$E$18-Inputs!$D$18)),Inputs!$F$18-SQRT((1-J1029)*(Inputs!$F$18-Inputs!$D$18)*(Inputs!$F$18-Inputs!$E$18)))</f>
        <v>1.04953291329914</v>
      </c>
      <c r="L1029" s="81" t="n">
        <f aca="true">RAND()</f>
        <v>0.558112681614781</v>
      </c>
      <c r="M1029" s="83" t="n">
        <f aca="false">IF(L1029&lt;(Inputs!$E$24-Inputs!$D$24)/(Inputs!$F$24-Inputs!$D$24),Inputs!$D$24+SQRT(L1029*(Inputs!$F$24-Inputs!$D$24)*(Inputs!$E$24-Inputs!$D$24)),Inputs!$F$24-SQRT((1-L1029)*(Inputs!$F$24-Inputs!$D$24)*(Inputs!$F$24-Inputs!$E$24)))</f>
        <v>0.874342271069068</v>
      </c>
      <c r="N1029" s="81" t="n">
        <f aca="true">RAND()</f>
        <v>0.538349204705821</v>
      </c>
      <c r="O1029" s="83" t="n">
        <f aca="false">IF(N1029&lt;(Inputs!$E$26-Inputs!$D$26)/(Inputs!$F$26-Inputs!$D$26),Inputs!$D$26+SQRT(N1029*(Inputs!$F$26-Inputs!$D$26)*(Inputs!$E$26-Inputs!$D$26)),Inputs!$F$26-SQRT((1-N1029)*(Inputs!$F$26-Inputs!$D$26)*(Inputs!$F$26-Inputs!$E$26)))</f>
        <v>0.599301365955868</v>
      </c>
      <c r="P1029" s="81" t="n">
        <f aca="true">RAND()</f>
        <v>0.663788826083373</v>
      </c>
      <c r="Q1029" s="82" t="n">
        <f aca="false">IF(P1029&lt;(Inputs!$E$27-Inputs!$D$27)/(Inputs!$F$27-Inputs!$D$27),Inputs!$D$27+SQRT(P1029*(Inputs!$F$27-Inputs!$D$27)*(Inputs!$E$27-Inputs!$D$27)),Inputs!$F$27-SQRT((1-P1029)*(Inputs!$F$27-Inputs!$D$27)*(Inputs!$F$27-Inputs!$E$27)))</f>
        <v>99.7846258166416</v>
      </c>
      <c r="R1029" s="81" t="n">
        <f aca="true">RAND()</f>
        <v>0.0648388895064126</v>
      </c>
      <c r="S1029" s="82" t="n">
        <f aca="false">IF(R1029&lt;(Inputs!$E$29-Inputs!$D$29)/(Inputs!$F$29-Inputs!$D$29),Inputs!$D$29+SQRT(R1029*(Inputs!$F$29-Inputs!$D$29)*(Inputs!$E$29-Inputs!$D$29)),Inputs!$F$29-SQRT((1-R1029)*(Inputs!$F$29-Inputs!$D$29)*(Inputs!$F$29-Inputs!$E$29)))</f>
        <v>3.59019391608385</v>
      </c>
      <c r="T1029" s="68" t="n">
        <f aca="false">Inputs!$E$9*(1+E1029)+Inputs!$E$5*C1029*(Inputs!$E$11*Inputs!$E$14*(G1029*I1029/Inputs!$E$16+(1-G1029))*K1029+Inputs!$E$23*M1029)*(1+O1029)+Inputs!$E$5*(Q1029+S1029)</f>
        <v>5819.894048327</v>
      </c>
    </row>
    <row r="1030" customFormat="false" ht="15" hidden="false" customHeight="false" outlineLevel="0" collapsed="false">
      <c r="A1030" s="1" t="n">
        <v>1026</v>
      </c>
      <c r="B1030" s="81" t="n">
        <f aca="true">RAND()</f>
        <v>0.964535973615051</v>
      </c>
      <c r="C1030" s="82" t="n">
        <f aca="false">ROUND(IF(B1030&lt;(Inputs!$E$8-Inputs!$D$8)/(Inputs!$F$8-Inputs!$D$8),Inputs!$D$8+SQRT(B1030*(Inputs!$F$8-Inputs!$D$8)*(Inputs!$E$8-Inputs!$D$8)),Inputs!$F$8-SQRT((1-B1030)*(Inputs!$F$8-Inputs!$D$8)*(Inputs!$F$8-Inputs!$E$8))),0)</f>
        <v>29</v>
      </c>
      <c r="D1030" s="81" t="n">
        <f aca="true">RAND()</f>
        <v>0.175462060646932</v>
      </c>
      <c r="E1030" s="83" t="n">
        <f aca="false">IF(D1030&lt;(Inputs!$E$10-Inputs!$D$10)/(Inputs!$F$10-Inputs!$D$10),Inputs!$D$10+SQRT(D1030*(Inputs!$F$10-Inputs!$D$10)*(Inputs!$E$10-Inputs!$D$10)),Inputs!$F$10-SQRT((1-D1030)*(Inputs!$F$10-Inputs!$D$10)*(Inputs!$F$10-Inputs!$E$10)))</f>
        <v>0.0418881917307172</v>
      </c>
      <c r="F1030" s="81" t="n">
        <f aca="true">RAND()</f>
        <v>0.348855656663253</v>
      </c>
      <c r="G1030" s="83" t="n">
        <f aca="false">IF(F1030&lt;(Inputs!$E$15-Inputs!$D$15)/(Inputs!$F$15-Inputs!$D$15),Inputs!$D$15+SQRT(F1030*(Inputs!$F$15-Inputs!$D$15)*(Inputs!$E$15-Inputs!$D$15)),Inputs!$F$15-SQRT((1-F1030)*(Inputs!$F$15-Inputs!$D$15)*(Inputs!$F$15-Inputs!$E$15)))</f>
        <v>0.683529115482358</v>
      </c>
      <c r="H1030" s="81" t="n">
        <f aca="true">RAND()</f>
        <v>0.107028634341968</v>
      </c>
      <c r="I1030" s="82" t="n">
        <f aca="false">ROUND(IF(H1030&lt;(Inputs!$E$17-Inputs!$D$17)/(Inputs!$F$17-Inputs!$D$17),Inputs!$D$17+SQRT(H1030*(Inputs!$F$17-Inputs!$D$17)*(Inputs!$E$17-Inputs!$D$17)),Inputs!$F$17-SQRT((1-H1030)*(Inputs!$F$17-Inputs!$D$17)*(Inputs!$F$17-Inputs!$E$17))),0)</f>
        <v>103</v>
      </c>
      <c r="J1030" s="81" t="n">
        <f aca="true">RAND()</f>
        <v>0.238800055730182</v>
      </c>
      <c r="K1030" s="83" t="n">
        <f aca="false">IF(J1030&lt;(Inputs!$E$18-Inputs!$D$18)/(Inputs!$F$18-Inputs!$D$18),Inputs!$D$18+SQRT(J1030*(Inputs!$F$18-Inputs!$D$18)*(Inputs!$E$18-Inputs!$D$18)),Inputs!$F$18-SQRT((1-J1030)*(Inputs!$F$18-Inputs!$D$18)*(Inputs!$F$18-Inputs!$E$18)))</f>
        <v>0.991422108652975</v>
      </c>
      <c r="L1030" s="81" t="n">
        <f aca="true">RAND()</f>
        <v>0.121606146267176</v>
      </c>
      <c r="M1030" s="83" t="n">
        <f aca="false">IF(L1030&lt;(Inputs!$E$24-Inputs!$D$24)/(Inputs!$F$24-Inputs!$D$24),Inputs!$D$24+SQRT(L1030*(Inputs!$F$24-Inputs!$D$24)*(Inputs!$E$24-Inputs!$D$24)),Inputs!$F$24-SQRT((1-L1030)*(Inputs!$F$24-Inputs!$D$24)*(Inputs!$F$24-Inputs!$E$24)))</f>
        <v>0.720800403774413</v>
      </c>
      <c r="N1030" s="81" t="n">
        <f aca="true">RAND()</f>
        <v>0.589922829297347</v>
      </c>
      <c r="O1030" s="83" t="n">
        <f aca="false">IF(N1030&lt;(Inputs!$E$26-Inputs!$D$26)/(Inputs!$F$26-Inputs!$D$26),Inputs!$D$26+SQRT(N1030*(Inputs!$F$26-Inputs!$D$26)*(Inputs!$E$26-Inputs!$D$26)),Inputs!$F$26-SQRT((1-N1030)*(Inputs!$F$26-Inputs!$D$26)*(Inputs!$F$26-Inputs!$E$26)))</f>
        <v>0.613310004300977</v>
      </c>
      <c r="P1030" s="81" t="n">
        <f aca="true">RAND()</f>
        <v>0.586246188533232</v>
      </c>
      <c r="Q1030" s="82" t="n">
        <f aca="false">IF(P1030&lt;(Inputs!$E$27-Inputs!$D$27)/(Inputs!$F$27-Inputs!$D$27),Inputs!$D$27+SQRT(P1030*(Inputs!$F$27-Inputs!$D$27)*(Inputs!$E$27-Inputs!$D$27)),Inputs!$F$27-SQRT((1-P1030)*(Inputs!$F$27-Inputs!$D$27)*(Inputs!$F$27-Inputs!$E$27)))</f>
        <v>94.2940435321252</v>
      </c>
      <c r="R1030" s="81" t="n">
        <f aca="true">RAND()</f>
        <v>0.981252511739136</v>
      </c>
      <c r="S1030" s="82" t="n">
        <f aca="false">IF(R1030&lt;(Inputs!$E$29-Inputs!$D$29)/(Inputs!$F$29-Inputs!$D$29),Inputs!$D$29+SQRT(R1030*(Inputs!$F$29-Inputs!$D$29)*(Inputs!$E$29-Inputs!$D$29)),Inputs!$F$29-SQRT((1-R1030)*(Inputs!$F$29-Inputs!$D$29)*(Inputs!$F$29-Inputs!$E$29)))</f>
        <v>13.4388550759419</v>
      </c>
      <c r="T1030" s="68" t="n">
        <f aca="false">Inputs!$E$9*(1+E1030)+Inputs!$E$5*C1030*(Inputs!$E$11*Inputs!$E$14*(G1030*I1030/Inputs!$E$16+(1-G1030))*K1030+Inputs!$E$23*M1030)*(1+O1030)+Inputs!$E$5*(Q1030+S1030)</f>
        <v>6523.03622449421</v>
      </c>
    </row>
    <row r="1031" customFormat="false" ht="15" hidden="false" customHeight="false" outlineLevel="0" collapsed="false">
      <c r="A1031" s="1" t="n">
        <v>1027</v>
      </c>
      <c r="B1031" s="81" t="n">
        <f aca="true">RAND()</f>
        <v>0.441255309869688</v>
      </c>
      <c r="C1031" s="82" t="n">
        <f aca="false">ROUND(IF(B1031&lt;(Inputs!$E$8-Inputs!$D$8)/(Inputs!$F$8-Inputs!$D$8),Inputs!$D$8+SQRT(B1031*(Inputs!$F$8-Inputs!$D$8)*(Inputs!$E$8-Inputs!$D$8)),Inputs!$F$8-SQRT((1-B1031)*(Inputs!$F$8-Inputs!$D$8)*(Inputs!$F$8-Inputs!$E$8))),0)</f>
        <v>25</v>
      </c>
      <c r="D1031" s="81" t="n">
        <f aca="true">RAND()</f>
        <v>0.369791081641095</v>
      </c>
      <c r="E1031" s="83" t="n">
        <f aca="false">IF(D1031&lt;(Inputs!$E$10-Inputs!$D$10)/(Inputs!$F$10-Inputs!$D$10),Inputs!$D$10+SQRT(D1031*(Inputs!$F$10-Inputs!$D$10)*(Inputs!$E$10-Inputs!$D$10)),Inputs!$F$10-SQRT((1-D1031)*(Inputs!$F$10-Inputs!$D$10)*(Inputs!$F$10-Inputs!$E$10)))</f>
        <v>0.0624999361790434</v>
      </c>
      <c r="F1031" s="81" t="n">
        <f aca="true">RAND()</f>
        <v>0.599582063672173</v>
      </c>
      <c r="G1031" s="83" t="n">
        <f aca="false">IF(F1031&lt;(Inputs!$E$15-Inputs!$D$15)/(Inputs!$F$15-Inputs!$D$15),Inputs!$D$15+SQRT(F1031*(Inputs!$F$15-Inputs!$D$15)*(Inputs!$E$15-Inputs!$D$15)),Inputs!$F$15-SQRT((1-F1031)*(Inputs!$F$15-Inputs!$D$15)*(Inputs!$F$15-Inputs!$E$15)))</f>
        <v>0.710510566397163</v>
      </c>
      <c r="H1031" s="81" t="n">
        <f aca="true">RAND()</f>
        <v>0.853102434980653</v>
      </c>
      <c r="I1031" s="82" t="n">
        <f aca="false">ROUND(IF(H1031&lt;(Inputs!$E$17-Inputs!$D$17)/(Inputs!$F$17-Inputs!$D$17),Inputs!$D$17+SQRT(H1031*(Inputs!$F$17-Inputs!$D$17)*(Inputs!$E$17-Inputs!$D$17)),Inputs!$F$17-SQRT((1-H1031)*(Inputs!$F$17-Inputs!$D$17)*(Inputs!$F$17-Inputs!$E$17))),0)</f>
        <v>110</v>
      </c>
      <c r="J1031" s="81" t="n">
        <f aca="true">RAND()</f>
        <v>0.280169165845584</v>
      </c>
      <c r="K1031" s="83" t="n">
        <f aca="false">IF(J1031&lt;(Inputs!$E$18-Inputs!$D$18)/(Inputs!$F$18-Inputs!$D$18),Inputs!$D$18+SQRT(J1031*(Inputs!$F$18-Inputs!$D$18)*(Inputs!$E$18-Inputs!$D$18)),Inputs!$F$18-SQRT((1-J1031)*(Inputs!$F$18-Inputs!$D$18)*(Inputs!$F$18-Inputs!$E$18)))</f>
        <v>0.999024849429804</v>
      </c>
      <c r="L1031" s="81" t="n">
        <f aca="true">RAND()</f>
        <v>0.966451573288104</v>
      </c>
      <c r="M1031" s="83" t="n">
        <f aca="false">IF(L1031&lt;(Inputs!$E$24-Inputs!$D$24)/(Inputs!$F$24-Inputs!$D$24),Inputs!$D$24+SQRT(L1031*(Inputs!$F$24-Inputs!$D$24)*(Inputs!$E$24-Inputs!$D$24)),Inputs!$F$24-SQRT((1-L1031)*(Inputs!$F$24-Inputs!$D$24)*(Inputs!$F$24-Inputs!$E$24)))</f>
        <v>1.11026916688866</v>
      </c>
      <c r="N1031" s="81" t="n">
        <f aca="true">RAND()</f>
        <v>0.884040082895676</v>
      </c>
      <c r="O1031" s="83" t="n">
        <f aca="false">IF(N1031&lt;(Inputs!$E$26-Inputs!$D$26)/(Inputs!$F$26-Inputs!$D$26),Inputs!$D$26+SQRT(N1031*(Inputs!$F$26-Inputs!$D$26)*(Inputs!$E$26-Inputs!$D$26)),Inputs!$F$26-SQRT((1-N1031)*(Inputs!$F$26-Inputs!$D$26)*(Inputs!$F$26-Inputs!$E$26)))</f>
        <v>0.710182736426144</v>
      </c>
      <c r="P1031" s="81" t="n">
        <f aca="true">RAND()</f>
        <v>0.475907664490115</v>
      </c>
      <c r="Q1031" s="82" t="n">
        <f aca="false">IF(P1031&lt;(Inputs!$E$27-Inputs!$D$27)/(Inputs!$F$27-Inputs!$D$27),Inputs!$D$27+SQRT(P1031*(Inputs!$F$27-Inputs!$D$27)*(Inputs!$E$27-Inputs!$D$27)),Inputs!$F$27-SQRT((1-P1031)*(Inputs!$F$27-Inputs!$D$27)*(Inputs!$F$27-Inputs!$E$27)))</f>
        <v>87.304764803662</v>
      </c>
      <c r="R1031" s="81" t="n">
        <f aca="true">RAND()</f>
        <v>0.777248771979309</v>
      </c>
      <c r="S1031" s="82" t="n">
        <f aca="false">IF(R1031&lt;(Inputs!$E$29-Inputs!$D$29)/(Inputs!$F$29-Inputs!$D$29),Inputs!$D$29+SQRT(R1031*(Inputs!$F$29-Inputs!$D$29)*(Inputs!$E$29-Inputs!$D$29)),Inputs!$F$29-SQRT((1-R1031)*(Inputs!$F$29-Inputs!$D$29)*(Inputs!$F$29-Inputs!$E$29)))</f>
        <v>9.61876783229995</v>
      </c>
      <c r="T1031" s="68" t="n">
        <f aca="false">Inputs!$E$9*(1+E1031)+Inputs!$E$5*C1031*(Inputs!$E$11*Inputs!$E$14*(G1031*I1031/Inputs!$E$16+(1-G1031))*K1031+Inputs!$E$23*M1031)*(1+O1031)+Inputs!$E$5*(Q1031+S1031)</f>
        <v>6856.38340064771</v>
      </c>
    </row>
    <row r="1032" customFormat="false" ht="15" hidden="false" customHeight="false" outlineLevel="0" collapsed="false">
      <c r="A1032" s="1" t="n">
        <v>1028</v>
      </c>
      <c r="B1032" s="81" t="n">
        <f aca="true">RAND()</f>
        <v>0.168915211434996</v>
      </c>
      <c r="C1032" s="82" t="n">
        <f aca="false">ROUND(IF(B1032&lt;(Inputs!$E$8-Inputs!$D$8)/(Inputs!$F$8-Inputs!$D$8),Inputs!$D$8+SQRT(B1032*(Inputs!$F$8-Inputs!$D$8)*(Inputs!$E$8-Inputs!$D$8)),Inputs!$F$8-SQRT((1-B1032)*(Inputs!$F$8-Inputs!$D$8)*(Inputs!$F$8-Inputs!$E$8))),0)</f>
        <v>23</v>
      </c>
      <c r="D1032" s="81" t="n">
        <f aca="true">RAND()</f>
        <v>0.474546029564285</v>
      </c>
      <c r="E1032" s="83" t="n">
        <f aca="false">IF(D1032&lt;(Inputs!$E$10-Inputs!$D$10)/(Inputs!$F$10-Inputs!$D$10),Inputs!$D$10+SQRT(D1032*(Inputs!$F$10-Inputs!$D$10)*(Inputs!$E$10-Inputs!$D$10)),Inputs!$F$10-SQRT((1-D1032)*(Inputs!$F$10-Inputs!$D$10)*(Inputs!$F$10-Inputs!$E$10)))</f>
        <v>0.0744467478992621</v>
      </c>
      <c r="F1032" s="81" t="n">
        <f aca="true">RAND()</f>
        <v>0.139835536192991</v>
      </c>
      <c r="G1032" s="83" t="n">
        <f aca="false">IF(F1032&lt;(Inputs!$E$15-Inputs!$D$15)/(Inputs!$F$15-Inputs!$D$15),Inputs!$D$15+SQRT(F1032*(Inputs!$F$15-Inputs!$D$15)*(Inputs!$E$15-Inputs!$D$15)),Inputs!$F$15-SQRT((1-F1032)*(Inputs!$F$15-Inputs!$D$15)*(Inputs!$F$15-Inputs!$E$15)))</f>
        <v>0.652883936349896</v>
      </c>
      <c r="H1032" s="81" t="n">
        <f aca="true">RAND()</f>
        <v>0.275569426264442</v>
      </c>
      <c r="I1032" s="82" t="n">
        <f aca="false">ROUND(IF(H1032&lt;(Inputs!$E$17-Inputs!$D$17)/(Inputs!$F$17-Inputs!$D$17),Inputs!$D$17+SQRT(H1032*(Inputs!$F$17-Inputs!$D$17)*(Inputs!$E$17-Inputs!$D$17)),Inputs!$F$17-SQRT((1-H1032)*(Inputs!$F$17-Inputs!$D$17)*(Inputs!$F$17-Inputs!$E$17))),0)</f>
        <v>105</v>
      </c>
      <c r="J1032" s="81" t="n">
        <f aca="true">RAND()</f>
        <v>0.391523602955038</v>
      </c>
      <c r="K1032" s="83" t="n">
        <f aca="false">IF(J1032&lt;(Inputs!$E$18-Inputs!$D$18)/(Inputs!$F$18-Inputs!$D$18),Inputs!$D$18+SQRT(J1032*(Inputs!$F$18-Inputs!$D$18)*(Inputs!$E$18-Inputs!$D$18)),Inputs!$F$18-SQRT((1-J1032)*(Inputs!$F$18-Inputs!$D$18)*(Inputs!$F$18-Inputs!$E$18)))</f>
        <v>1.01925840266343</v>
      </c>
      <c r="L1032" s="81" t="n">
        <f aca="true">RAND()</f>
        <v>0.435309518344821</v>
      </c>
      <c r="M1032" s="83" t="n">
        <f aca="false">IF(L1032&lt;(Inputs!$E$24-Inputs!$D$24)/(Inputs!$F$24-Inputs!$D$24),Inputs!$D$24+SQRT(L1032*(Inputs!$F$24-Inputs!$D$24)*(Inputs!$E$24-Inputs!$D$24)),Inputs!$F$24-SQRT((1-L1032)*(Inputs!$F$24-Inputs!$D$24)*(Inputs!$F$24-Inputs!$E$24)))</f>
        <v>0.831861825400784</v>
      </c>
      <c r="N1032" s="81" t="n">
        <f aca="true">RAND()</f>
        <v>0.0151429964647582</v>
      </c>
      <c r="O1032" s="83" t="n">
        <f aca="false">IF(N1032&lt;(Inputs!$E$26-Inputs!$D$26)/(Inputs!$F$26-Inputs!$D$26),Inputs!$D$26+SQRT(N1032*(Inputs!$F$26-Inputs!$D$26)*(Inputs!$E$26-Inputs!$D$26)),Inputs!$F$26-SQRT((1-N1032)*(Inputs!$F$26-Inputs!$D$26)*(Inputs!$F$26-Inputs!$E$26)))</f>
        <v>0.350197555834281</v>
      </c>
      <c r="P1032" s="81" t="n">
        <f aca="true">RAND()</f>
        <v>0.397488452338703</v>
      </c>
      <c r="Q1032" s="82" t="n">
        <f aca="false">IF(P1032&lt;(Inputs!$E$27-Inputs!$D$27)/(Inputs!$F$27-Inputs!$D$27),Inputs!$D$27+SQRT(P1032*(Inputs!$F$27-Inputs!$D$27)*(Inputs!$E$27-Inputs!$D$27)),Inputs!$F$27-SQRT((1-P1032)*(Inputs!$F$27-Inputs!$D$27)*(Inputs!$F$27-Inputs!$E$27)))</f>
        <v>82.777707511126</v>
      </c>
      <c r="R1032" s="81" t="n">
        <f aca="true">RAND()</f>
        <v>0.00395701351953306</v>
      </c>
      <c r="S1032" s="82" t="n">
        <f aca="false">IF(R1032&lt;(Inputs!$E$29-Inputs!$D$29)/(Inputs!$F$29-Inputs!$D$29),Inputs!$D$29+SQRT(R1032*(Inputs!$F$29-Inputs!$D$29)*(Inputs!$E$29-Inputs!$D$29)),Inputs!$F$29-SQRT((1-R1032)*(Inputs!$F$29-Inputs!$D$29)*(Inputs!$F$29-Inputs!$E$29)))</f>
        <v>2.39284033303849</v>
      </c>
      <c r="T1032" s="68" t="n">
        <f aca="false">Inputs!$E$9*(1+E1032)+Inputs!$E$5*C1032*(Inputs!$E$11*Inputs!$E$14*(G1032*I1032/Inputs!$E$16+(1-G1032))*K1032+Inputs!$E$23*M1032)*(1+O1032)+Inputs!$E$5*(Q1032+S1032)</f>
        <v>5460.05274397703</v>
      </c>
    </row>
    <row r="1033" customFormat="false" ht="15" hidden="false" customHeight="false" outlineLevel="0" collapsed="false">
      <c r="A1033" s="1" t="n">
        <v>1029</v>
      </c>
      <c r="B1033" s="81" t="n">
        <f aca="true">RAND()</f>
        <v>0.542056302169292</v>
      </c>
      <c r="C1033" s="82" t="n">
        <f aca="false">ROUND(IF(B1033&lt;(Inputs!$E$8-Inputs!$D$8)/(Inputs!$F$8-Inputs!$D$8),Inputs!$D$8+SQRT(B1033*(Inputs!$F$8-Inputs!$D$8)*(Inputs!$E$8-Inputs!$D$8)),Inputs!$F$8-SQRT((1-B1033)*(Inputs!$F$8-Inputs!$D$8)*(Inputs!$F$8-Inputs!$E$8))),0)</f>
        <v>25</v>
      </c>
      <c r="D1033" s="81" t="n">
        <f aca="true">RAND()</f>
        <v>0.911058480105675</v>
      </c>
      <c r="E1033" s="83" t="n">
        <f aca="false">IF(D1033&lt;(Inputs!$E$10-Inputs!$D$10)/(Inputs!$F$10-Inputs!$D$10),Inputs!$D$10+SQRT(D1033*(Inputs!$F$10-Inputs!$D$10)*(Inputs!$E$10-Inputs!$D$10)),Inputs!$F$10-SQRT((1-D1033)*(Inputs!$F$10-Inputs!$D$10)*(Inputs!$F$10-Inputs!$E$10)))</f>
        <v>0.148344936387323</v>
      </c>
      <c r="F1033" s="81" t="n">
        <f aca="true">RAND()</f>
        <v>0.258442650611062</v>
      </c>
      <c r="G1033" s="83" t="n">
        <f aca="false">IF(F1033&lt;(Inputs!$E$15-Inputs!$D$15)/(Inputs!$F$15-Inputs!$D$15),Inputs!$D$15+SQRT(F1033*(Inputs!$F$15-Inputs!$D$15)*(Inputs!$E$15-Inputs!$D$15)),Inputs!$F$15-SQRT((1-F1033)*(Inputs!$F$15-Inputs!$D$15)*(Inputs!$F$15-Inputs!$E$15)))</f>
        <v>0.671894735636354</v>
      </c>
      <c r="H1033" s="81" t="n">
        <f aca="true">RAND()</f>
        <v>0.796164601110543</v>
      </c>
      <c r="I1033" s="82" t="n">
        <f aca="false">ROUND(IF(H1033&lt;(Inputs!$E$17-Inputs!$D$17)/(Inputs!$F$17-Inputs!$D$17),Inputs!$D$17+SQRT(H1033*(Inputs!$F$17-Inputs!$D$17)*(Inputs!$E$17-Inputs!$D$17)),Inputs!$F$17-SQRT((1-H1033)*(Inputs!$F$17-Inputs!$D$17)*(Inputs!$F$17-Inputs!$E$17))),0)</f>
        <v>109</v>
      </c>
      <c r="J1033" s="81" t="n">
        <f aca="true">RAND()</f>
        <v>0.356854916333167</v>
      </c>
      <c r="K1033" s="83" t="n">
        <f aca="false">IF(J1033&lt;(Inputs!$E$18-Inputs!$D$18)/(Inputs!$F$18-Inputs!$D$18),Inputs!$D$18+SQRT(J1033*(Inputs!$F$18-Inputs!$D$18)*(Inputs!$E$18-Inputs!$D$18)),Inputs!$F$18-SQRT((1-J1033)*(Inputs!$F$18-Inputs!$D$18)*(Inputs!$F$18-Inputs!$E$18)))</f>
        <v>1.01277606608766</v>
      </c>
      <c r="L1033" s="81" t="n">
        <f aca="true">RAND()</f>
        <v>0.545616611345794</v>
      </c>
      <c r="M1033" s="83" t="n">
        <f aca="false">IF(L1033&lt;(Inputs!$E$24-Inputs!$D$24)/(Inputs!$F$24-Inputs!$D$24),Inputs!$D$24+SQRT(L1033*(Inputs!$F$24-Inputs!$D$24)*(Inputs!$E$24-Inputs!$D$24)),Inputs!$F$24-SQRT((1-L1033)*(Inputs!$F$24-Inputs!$D$24)*(Inputs!$F$24-Inputs!$E$24)))</f>
        <v>0.869769757173863</v>
      </c>
      <c r="N1033" s="81" t="n">
        <f aca="true">RAND()</f>
        <v>0.267515696033664</v>
      </c>
      <c r="O1033" s="83" t="n">
        <f aca="false">IF(N1033&lt;(Inputs!$E$26-Inputs!$D$26)/(Inputs!$F$26-Inputs!$D$26),Inputs!$D$26+SQRT(N1033*(Inputs!$F$26-Inputs!$D$26)*(Inputs!$E$26-Inputs!$D$26)),Inputs!$F$26-SQRT((1-N1033)*(Inputs!$F$26-Inputs!$D$26)*(Inputs!$F$26-Inputs!$E$26)))</f>
        <v>0.510984861589645</v>
      </c>
      <c r="P1033" s="81" t="n">
        <f aca="true">RAND()</f>
        <v>0.0234625654703083</v>
      </c>
      <c r="Q1033" s="82" t="n">
        <f aca="false">IF(P1033&lt;(Inputs!$E$27-Inputs!$D$27)/(Inputs!$F$27-Inputs!$D$27),Inputs!$D$27+SQRT(P1033*(Inputs!$F$27-Inputs!$D$27)*(Inputs!$E$27-Inputs!$D$27)),Inputs!$F$27-SQRT((1-P1033)*(Inputs!$F$27-Inputs!$D$27)*(Inputs!$F$27-Inputs!$E$27)))</f>
        <v>57.6587475265719</v>
      </c>
      <c r="R1033" s="81" t="n">
        <f aca="true">RAND()</f>
        <v>0.744415148549063</v>
      </c>
      <c r="S1033" s="82" t="n">
        <f aca="false">IF(R1033&lt;(Inputs!$E$29-Inputs!$D$29)/(Inputs!$F$29-Inputs!$D$29),Inputs!$D$29+SQRT(R1033*(Inputs!$F$29-Inputs!$D$29)*(Inputs!$E$29-Inputs!$D$29)),Inputs!$F$29-SQRT((1-R1033)*(Inputs!$F$29-Inputs!$D$29)*(Inputs!$F$29-Inputs!$E$29)))</f>
        <v>9.23579748025611</v>
      </c>
      <c r="T1033" s="68" t="n">
        <f aca="false">Inputs!$E$9*(1+E1033)+Inputs!$E$5*C1033*(Inputs!$E$11*Inputs!$E$14*(G1033*I1033/Inputs!$E$16+(1-G1033))*K1033+Inputs!$E$23*M1033)*(1+O1033)+Inputs!$E$5*(Q1033+S1033)</f>
        <v>6165.21485961053</v>
      </c>
    </row>
    <row r="1034" customFormat="false" ht="15" hidden="false" customHeight="false" outlineLevel="0" collapsed="false">
      <c r="A1034" s="1" t="n">
        <v>1030</v>
      </c>
      <c r="B1034" s="81" t="n">
        <f aca="true">RAND()</f>
        <v>0.888706502107475</v>
      </c>
      <c r="C1034" s="82" t="n">
        <f aca="false">ROUND(IF(B1034&lt;(Inputs!$E$8-Inputs!$D$8)/(Inputs!$F$8-Inputs!$D$8),Inputs!$D$8+SQRT(B1034*(Inputs!$F$8-Inputs!$D$8)*(Inputs!$E$8-Inputs!$D$8)),Inputs!$F$8-SQRT((1-B1034)*(Inputs!$F$8-Inputs!$D$8)*(Inputs!$F$8-Inputs!$E$8))),0)</f>
        <v>28</v>
      </c>
      <c r="D1034" s="81" t="n">
        <f aca="true">RAND()</f>
        <v>0.170321381868944</v>
      </c>
      <c r="E1034" s="83" t="n">
        <f aca="false">IF(D1034&lt;(Inputs!$E$10-Inputs!$D$10)/(Inputs!$F$10-Inputs!$D$10),Inputs!$D$10+SQRT(D1034*(Inputs!$F$10-Inputs!$D$10)*(Inputs!$E$10-Inputs!$D$10)),Inputs!$F$10-SQRT((1-D1034)*(Inputs!$F$10-Inputs!$D$10)*(Inputs!$F$10-Inputs!$E$10)))</f>
        <v>0.0412700111302316</v>
      </c>
      <c r="F1034" s="81" t="n">
        <f aca="true">RAND()</f>
        <v>0.740778199655936</v>
      </c>
      <c r="G1034" s="83" t="n">
        <f aca="false">IF(F1034&lt;(Inputs!$E$15-Inputs!$D$15)/(Inputs!$F$15-Inputs!$D$15),Inputs!$D$15+SQRT(F1034*(Inputs!$F$15-Inputs!$D$15)*(Inputs!$E$15-Inputs!$D$15)),Inputs!$F$15-SQRT((1-F1034)*(Inputs!$F$15-Inputs!$D$15)*(Inputs!$F$15-Inputs!$E$15)))</f>
        <v>0.727996972238098</v>
      </c>
      <c r="H1034" s="81" t="n">
        <f aca="true">RAND()</f>
        <v>0.698519119241492</v>
      </c>
      <c r="I1034" s="82" t="n">
        <f aca="false">ROUND(IF(H1034&lt;(Inputs!$E$17-Inputs!$D$17)/(Inputs!$F$17-Inputs!$D$17),Inputs!$D$17+SQRT(H1034*(Inputs!$F$17-Inputs!$D$17)*(Inputs!$E$17-Inputs!$D$17)),Inputs!$F$17-SQRT((1-H1034)*(Inputs!$F$17-Inputs!$D$17)*(Inputs!$F$17-Inputs!$E$17))),0)</f>
        <v>108</v>
      </c>
      <c r="J1034" s="81" t="n">
        <f aca="true">RAND()</f>
        <v>0.569188672697945</v>
      </c>
      <c r="K1034" s="83" t="n">
        <f aca="false">IF(J1034&lt;(Inputs!$E$18-Inputs!$D$18)/(Inputs!$F$18-Inputs!$D$18),Inputs!$D$18+SQRT(J1034*(Inputs!$F$18-Inputs!$D$18)*(Inputs!$E$18-Inputs!$D$18)),Inputs!$F$18-SQRT((1-J1034)*(Inputs!$F$18-Inputs!$D$18)*(Inputs!$F$18-Inputs!$E$18)))</f>
        <v>1.05584544522744</v>
      </c>
      <c r="L1034" s="81" t="n">
        <f aca="true">RAND()</f>
        <v>0.43663666765472</v>
      </c>
      <c r="M1034" s="83" t="n">
        <f aca="false">IF(L1034&lt;(Inputs!$E$24-Inputs!$D$24)/(Inputs!$F$24-Inputs!$D$24),Inputs!$D$24+SQRT(L1034*(Inputs!$F$24-Inputs!$D$24)*(Inputs!$E$24-Inputs!$D$24)),Inputs!$F$24-SQRT((1-L1034)*(Inputs!$F$24-Inputs!$D$24)*(Inputs!$F$24-Inputs!$E$24)))</f>
        <v>0.832294683526513</v>
      </c>
      <c r="N1034" s="81" t="n">
        <f aca="true">RAND()</f>
        <v>0.136268393333232</v>
      </c>
      <c r="O1034" s="83" t="n">
        <f aca="false">IF(N1034&lt;(Inputs!$E$26-Inputs!$D$26)/(Inputs!$F$26-Inputs!$D$26),Inputs!$D$26+SQRT(N1034*(Inputs!$F$26-Inputs!$D$26)*(Inputs!$E$26-Inputs!$D$26)),Inputs!$F$26-SQRT((1-N1034)*(Inputs!$F$26-Inputs!$D$26)*(Inputs!$F$26-Inputs!$E$26)))</f>
        <v>0.450582404850798</v>
      </c>
      <c r="P1034" s="81" t="n">
        <f aca="true">RAND()</f>
        <v>0.20521850613083</v>
      </c>
      <c r="Q1034" s="82" t="n">
        <f aca="false">IF(P1034&lt;(Inputs!$E$27-Inputs!$D$27)/(Inputs!$F$27-Inputs!$D$27),Inputs!$D$27+SQRT(P1034*(Inputs!$F$27-Inputs!$D$27)*(Inputs!$E$27-Inputs!$D$27)),Inputs!$F$27-SQRT((1-P1034)*(Inputs!$F$27-Inputs!$D$27)*(Inputs!$F$27-Inputs!$E$27)))</f>
        <v>72.6505246148312</v>
      </c>
      <c r="R1034" s="81" t="n">
        <f aca="true">RAND()</f>
        <v>0.81121276865487</v>
      </c>
      <c r="S1034" s="82" t="n">
        <f aca="false">IF(R1034&lt;(Inputs!$E$29-Inputs!$D$29)/(Inputs!$F$29-Inputs!$D$29),Inputs!$D$29+SQRT(R1034*(Inputs!$F$29-Inputs!$D$29)*(Inputs!$E$29-Inputs!$D$29)),Inputs!$F$29-SQRT((1-R1034)*(Inputs!$F$29-Inputs!$D$29)*(Inputs!$F$29-Inputs!$E$29)))</f>
        <v>10.0459773845019</v>
      </c>
      <c r="T1034" s="68" t="n">
        <f aca="false">Inputs!$E$9*(1+E1034)+Inputs!$E$5*C1034*(Inputs!$E$11*Inputs!$E$14*(G1034*I1034/Inputs!$E$16+(1-G1034))*K1034+Inputs!$E$23*M1034)*(1+O1034)+Inputs!$E$5*(Q1034+S1034)</f>
        <v>6211.39499712102</v>
      </c>
    </row>
    <row r="1035" customFormat="false" ht="15" hidden="false" customHeight="false" outlineLevel="0" collapsed="false">
      <c r="A1035" s="1" t="n">
        <v>1031</v>
      </c>
      <c r="B1035" s="81" t="n">
        <f aca="true">RAND()</f>
        <v>0.611389250185552</v>
      </c>
      <c r="C1035" s="82" t="n">
        <f aca="false">ROUND(IF(B1035&lt;(Inputs!$E$8-Inputs!$D$8)/(Inputs!$F$8-Inputs!$D$8),Inputs!$D$8+SQRT(B1035*(Inputs!$F$8-Inputs!$D$8)*(Inputs!$E$8-Inputs!$D$8)),Inputs!$F$8-SQRT((1-B1035)*(Inputs!$F$8-Inputs!$D$8)*(Inputs!$F$8-Inputs!$E$8))),0)</f>
        <v>26</v>
      </c>
      <c r="D1035" s="81" t="n">
        <f aca="true">RAND()</f>
        <v>0.987731390189965</v>
      </c>
      <c r="E1035" s="83" t="n">
        <f aca="false">IF(D1035&lt;(Inputs!$E$10-Inputs!$D$10)/(Inputs!$F$10-Inputs!$D$10),Inputs!$D$10+SQRT(D1035*(Inputs!$F$10-Inputs!$D$10)*(Inputs!$E$10-Inputs!$D$10)),Inputs!$F$10-SQRT((1-D1035)*(Inputs!$F$10-Inputs!$D$10)*(Inputs!$F$10-Inputs!$E$10)))</f>
        <v>0.180815154566662</v>
      </c>
      <c r="F1035" s="81" t="n">
        <f aca="true">RAND()</f>
        <v>0.814776522780424</v>
      </c>
      <c r="G1035" s="83" t="n">
        <f aca="false">IF(F1035&lt;(Inputs!$E$15-Inputs!$D$15)/(Inputs!$F$15-Inputs!$D$15),Inputs!$D$15+SQRT(F1035*(Inputs!$F$15-Inputs!$D$15)*(Inputs!$E$15-Inputs!$D$15)),Inputs!$F$15-SQRT((1-F1035)*(Inputs!$F$15-Inputs!$D$15)*(Inputs!$F$15-Inputs!$E$15)))</f>
        <v>0.739135646356907</v>
      </c>
      <c r="H1035" s="81" t="n">
        <f aca="true">RAND()</f>
        <v>0.557127690312876</v>
      </c>
      <c r="I1035" s="82" t="n">
        <f aca="false">ROUND(IF(H1035&lt;(Inputs!$E$17-Inputs!$D$17)/(Inputs!$F$17-Inputs!$D$17),Inputs!$D$17+SQRT(H1035*(Inputs!$F$17-Inputs!$D$17)*(Inputs!$E$17-Inputs!$D$17)),Inputs!$F$17-SQRT((1-H1035)*(Inputs!$F$17-Inputs!$D$17)*(Inputs!$F$17-Inputs!$E$17))),0)</f>
        <v>107</v>
      </c>
      <c r="J1035" s="81" t="n">
        <f aca="true">RAND()</f>
        <v>0.434559220692055</v>
      </c>
      <c r="K1035" s="83" t="n">
        <f aca="false">IF(J1035&lt;(Inputs!$E$18-Inputs!$D$18)/(Inputs!$F$18-Inputs!$D$18),Inputs!$D$18+SQRT(J1035*(Inputs!$F$18-Inputs!$D$18)*(Inputs!$E$18-Inputs!$D$18)),Inputs!$F$18-SQRT((1-J1035)*(Inputs!$F$18-Inputs!$D$18)*(Inputs!$F$18-Inputs!$E$18)))</f>
        <v>1.02756783463392</v>
      </c>
      <c r="L1035" s="81" t="n">
        <f aca="true">RAND()</f>
        <v>0.0611709993556754</v>
      </c>
      <c r="M1035" s="83" t="n">
        <f aca="false">IF(L1035&lt;(Inputs!$E$24-Inputs!$D$24)/(Inputs!$F$24-Inputs!$D$24),Inputs!$D$24+SQRT(L1035*(Inputs!$F$24-Inputs!$D$24)*(Inputs!$E$24-Inputs!$D$24)),Inputs!$F$24-SQRT((1-L1035)*(Inputs!$F$24-Inputs!$D$24)*(Inputs!$F$24-Inputs!$E$24)))</f>
        <v>0.6856768342242</v>
      </c>
      <c r="N1035" s="81" t="n">
        <f aca="true">RAND()</f>
        <v>0.0789852904343998</v>
      </c>
      <c r="O1035" s="83" t="n">
        <f aca="false">IF(N1035&lt;(Inputs!$E$26-Inputs!$D$26)/(Inputs!$F$26-Inputs!$D$26),Inputs!$D$26+SQRT(N1035*(Inputs!$F$26-Inputs!$D$26)*(Inputs!$E$26-Inputs!$D$26)),Inputs!$F$26-SQRT((1-N1035)*(Inputs!$F$26-Inputs!$D$26)*(Inputs!$F$26-Inputs!$E$26)))</f>
        <v>0.414643588256318</v>
      </c>
      <c r="P1035" s="81" t="n">
        <f aca="true">RAND()</f>
        <v>0.971954228592694</v>
      </c>
      <c r="Q1035" s="82" t="n">
        <f aca="false">IF(P1035&lt;(Inputs!$E$27-Inputs!$D$27)/(Inputs!$F$27-Inputs!$D$27),Inputs!$D$27+SQRT(P1035*(Inputs!$F$27-Inputs!$D$27)*(Inputs!$E$27-Inputs!$D$27)),Inputs!$F$27-SQRT((1-P1035)*(Inputs!$F$27-Inputs!$D$27)*(Inputs!$F$27-Inputs!$E$27)))</f>
        <v>135.49678361346</v>
      </c>
      <c r="R1035" s="81" t="n">
        <f aca="true">RAND()</f>
        <v>0.85866246302292</v>
      </c>
      <c r="S1035" s="82" t="n">
        <f aca="false">IF(R1035&lt;(Inputs!$E$29-Inputs!$D$29)/(Inputs!$F$29-Inputs!$D$29),Inputs!$D$29+SQRT(R1035*(Inputs!$F$29-Inputs!$D$29)*(Inputs!$E$29-Inputs!$D$29)),Inputs!$F$29-SQRT((1-R1035)*(Inputs!$F$29-Inputs!$D$29)*(Inputs!$F$29-Inputs!$E$29)))</f>
        <v>10.7135236140834</v>
      </c>
      <c r="T1035" s="68" t="n">
        <f aca="false">Inputs!$E$9*(1+E1035)+Inputs!$E$5*C1035*(Inputs!$E$11*Inputs!$E$14*(G1035*I1035/Inputs!$E$16+(1-G1035))*K1035+Inputs!$E$23*M1035)*(1+O1035)+Inputs!$E$5*(Q1035+S1035)</f>
        <v>6231.56116073683</v>
      </c>
    </row>
    <row r="1036" customFormat="false" ht="15" hidden="false" customHeight="false" outlineLevel="0" collapsed="false">
      <c r="A1036" s="1" t="n">
        <v>1032</v>
      </c>
      <c r="B1036" s="81" t="n">
        <f aca="true">RAND()</f>
        <v>0.968009008341335</v>
      </c>
      <c r="C1036" s="82" t="n">
        <f aca="false">ROUND(IF(B1036&lt;(Inputs!$E$8-Inputs!$D$8)/(Inputs!$F$8-Inputs!$D$8),Inputs!$D$8+SQRT(B1036*(Inputs!$F$8-Inputs!$D$8)*(Inputs!$E$8-Inputs!$D$8)),Inputs!$F$8-SQRT((1-B1036)*(Inputs!$F$8-Inputs!$D$8)*(Inputs!$F$8-Inputs!$E$8))),0)</f>
        <v>29</v>
      </c>
      <c r="D1036" s="81" t="n">
        <f aca="true">RAND()</f>
        <v>0.11184114888568</v>
      </c>
      <c r="E1036" s="83" t="n">
        <f aca="false">IF(D1036&lt;(Inputs!$E$10-Inputs!$D$10)/(Inputs!$F$10-Inputs!$D$10),Inputs!$D$10+SQRT(D1036*(Inputs!$F$10-Inputs!$D$10)*(Inputs!$E$10-Inputs!$D$10)),Inputs!$F$10-SQRT((1-D1036)*(Inputs!$F$10-Inputs!$D$10)*(Inputs!$F$10-Inputs!$E$10)))</f>
        <v>0.0334426597156507</v>
      </c>
      <c r="F1036" s="81" t="n">
        <f aca="true">RAND()</f>
        <v>0.619235492732856</v>
      </c>
      <c r="G1036" s="83" t="n">
        <f aca="false">IF(F1036&lt;(Inputs!$E$15-Inputs!$D$15)/(Inputs!$F$15-Inputs!$D$15),Inputs!$D$15+SQRT(F1036*(Inputs!$F$15-Inputs!$D$15)*(Inputs!$E$15-Inputs!$D$15)),Inputs!$F$15-SQRT((1-F1036)*(Inputs!$F$15-Inputs!$D$15)*(Inputs!$F$15-Inputs!$E$15)))</f>
        <v>0.712734370194544</v>
      </c>
      <c r="H1036" s="81" t="n">
        <f aca="true">RAND()</f>
        <v>0.968700841625616</v>
      </c>
      <c r="I1036" s="82" t="n">
        <f aca="false">ROUND(IF(H1036&lt;(Inputs!$E$17-Inputs!$D$17)/(Inputs!$F$17-Inputs!$D$17),Inputs!$D$17+SQRT(H1036*(Inputs!$F$17-Inputs!$D$17)*(Inputs!$E$17-Inputs!$D$17)),Inputs!$F$17-SQRT((1-H1036)*(Inputs!$F$17-Inputs!$D$17)*(Inputs!$F$17-Inputs!$E$17))),0)</f>
        <v>113</v>
      </c>
      <c r="J1036" s="81" t="n">
        <f aca="true">RAND()</f>
        <v>0.790435968100182</v>
      </c>
      <c r="K1036" s="83" t="n">
        <f aca="false">IF(J1036&lt;(Inputs!$E$18-Inputs!$D$18)/(Inputs!$F$18-Inputs!$D$18),Inputs!$D$18+SQRT(J1036*(Inputs!$F$18-Inputs!$D$18)*(Inputs!$E$18-Inputs!$D$18)),Inputs!$F$18-SQRT((1-J1036)*(Inputs!$F$18-Inputs!$D$18)*(Inputs!$F$18-Inputs!$E$18)))</f>
        <v>1.1145863640868</v>
      </c>
      <c r="L1036" s="81" t="n">
        <f aca="true">RAND()</f>
        <v>0.686510555317838</v>
      </c>
      <c r="M1036" s="83" t="n">
        <f aca="false">IF(L1036&lt;(Inputs!$E$24-Inputs!$D$24)/(Inputs!$F$24-Inputs!$D$24),Inputs!$D$24+SQRT(L1036*(Inputs!$F$24-Inputs!$D$24)*(Inputs!$E$24-Inputs!$D$24)),Inputs!$F$24-SQRT((1-L1036)*(Inputs!$F$24-Inputs!$D$24)*(Inputs!$F$24-Inputs!$E$24)))</f>
        <v>0.925705510949055</v>
      </c>
      <c r="N1036" s="81" t="n">
        <f aca="true">RAND()</f>
        <v>0.693582537939</v>
      </c>
      <c r="O1036" s="83" t="n">
        <f aca="false">IF(N1036&lt;(Inputs!$E$26-Inputs!$D$26)/(Inputs!$F$26-Inputs!$D$26),Inputs!$D$26+SQRT(N1036*(Inputs!$F$26-Inputs!$D$26)*(Inputs!$E$26-Inputs!$D$26)),Inputs!$F$26-SQRT((1-N1036)*(Inputs!$F$26-Inputs!$D$26)*(Inputs!$F$26-Inputs!$E$26)))</f>
        <v>0.641485529846054</v>
      </c>
      <c r="P1036" s="81" t="n">
        <f aca="true">RAND()</f>
        <v>0.224149383920066</v>
      </c>
      <c r="Q1036" s="82" t="n">
        <f aca="false">IF(P1036&lt;(Inputs!$E$27-Inputs!$D$27)/(Inputs!$F$27-Inputs!$D$27),Inputs!$D$27+SQRT(P1036*(Inputs!$F$27-Inputs!$D$27)*(Inputs!$E$27-Inputs!$D$27)),Inputs!$F$27-SQRT((1-P1036)*(Inputs!$F$27-Inputs!$D$27)*(Inputs!$F$27-Inputs!$E$27)))</f>
        <v>73.6722085957387</v>
      </c>
      <c r="R1036" s="81" t="n">
        <f aca="true">RAND()</f>
        <v>0.514337883897984</v>
      </c>
      <c r="S1036" s="82" t="n">
        <f aca="false">IF(R1036&lt;(Inputs!$E$29-Inputs!$D$29)/(Inputs!$F$29-Inputs!$D$29),Inputs!$D$29+SQRT(R1036*(Inputs!$F$29-Inputs!$D$29)*(Inputs!$E$29-Inputs!$D$29)),Inputs!$F$29-SQRT((1-R1036)*(Inputs!$F$29-Inputs!$D$29)*(Inputs!$F$29-Inputs!$E$29)))</f>
        <v>7.05417876533445</v>
      </c>
      <c r="T1036" s="68" t="n">
        <f aca="false">Inputs!$E$9*(1+E1036)+Inputs!$E$5*C1036*(Inputs!$E$11*Inputs!$E$14*(G1036*I1036/Inputs!$E$16+(1-G1036))*K1036+Inputs!$E$23*M1036)*(1+O1036)+Inputs!$E$5*(Q1036+S1036)</f>
        <v>7200.9079122487</v>
      </c>
    </row>
    <row r="1037" customFormat="false" ht="15" hidden="false" customHeight="false" outlineLevel="0" collapsed="false">
      <c r="A1037" s="1" t="n">
        <v>1033</v>
      </c>
      <c r="B1037" s="81" t="n">
        <f aca="true">RAND()</f>
        <v>0.0100698236785743</v>
      </c>
      <c r="C1037" s="82" t="n">
        <f aca="false">ROUND(IF(B1037&lt;(Inputs!$E$8-Inputs!$D$8)/(Inputs!$F$8-Inputs!$D$8),Inputs!$D$8+SQRT(B1037*(Inputs!$F$8-Inputs!$D$8)*(Inputs!$E$8-Inputs!$D$8)),Inputs!$F$8-SQRT((1-B1037)*(Inputs!$F$8-Inputs!$D$8)*(Inputs!$F$8-Inputs!$E$8))),0)</f>
        <v>21</v>
      </c>
      <c r="D1037" s="81" t="n">
        <f aca="true">RAND()</f>
        <v>0.484240125907261</v>
      </c>
      <c r="E1037" s="83" t="n">
        <f aca="false">IF(D1037&lt;(Inputs!$E$10-Inputs!$D$10)/(Inputs!$F$10-Inputs!$D$10),Inputs!$D$10+SQRT(D1037*(Inputs!$F$10-Inputs!$D$10)*(Inputs!$E$10-Inputs!$D$10)),Inputs!$F$10-SQRT((1-D1037)*(Inputs!$F$10-Inputs!$D$10)*(Inputs!$F$10-Inputs!$E$10)))</f>
        <v>0.0756103049976319</v>
      </c>
      <c r="F1037" s="81" t="n">
        <f aca="true">RAND()</f>
        <v>0.54538385917787</v>
      </c>
      <c r="G1037" s="83" t="n">
        <f aca="false">IF(F1037&lt;(Inputs!$E$15-Inputs!$D$15)/(Inputs!$F$15-Inputs!$D$15),Inputs!$D$15+SQRT(F1037*(Inputs!$F$15-Inputs!$D$15)*(Inputs!$E$15-Inputs!$D$15)),Inputs!$F$15-SQRT((1-F1037)*(Inputs!$F$15-Inputs!$D$15)*(Inputs!$F$15-Inputs!$E$15)))</f>
        <v>0.7046463277244</v>
      </c>
      <c r="H1037" s="81" t="n">
        <f aca="true">RAND()</f>
        <v>0.341449608960625</v>
      </c>
      <c r="I1037" s="82" t="n">
        <f aca="false">ROUND(IF(H1037&lt;(Inputs!$E$17-Inputs!$D$17)/(Inputs!$F$17-Inputs!$D$17),Inputs!$D$17+SQRT(H1037*(Inputs!$F$17-Inputs!$D$17)*(Inputs!$E$17-Inputs!$D$17)),Inputs!$F$17-SQRT((1-H1037)*(Inputs!$F$17-Inputs!$D$17)*(Inputs!$F$17-Inputs!$E$17))),0)</f>
        <v>105</v>
      </c>
      <c r="J1037" s="81" t="n">
        <f aca="true">RAND()</f>
        <v>0.936241034296211</v>
      </c>
      <c r="K1037" s="83" t="n">
        <f aca="false">IF(J1037&lt;(Inputs!$E$18-Inputs!$D$18)/(Inputs!$F$18-Inputs!$D$18),Inputs!$D$18+SQRT(J1037*(Inputs!$F$18-Inputs!$D$18)*(Inputs!$E$18-Inputs!$D$18)),Inputs!$F$18-SQRT((1-J1037)*(Inputs!$F$18-Inputs!$D$18)*(Inputs!$F$18-Inputs!$E$18)))</f>
        <v>1.17530790203053</v>
      </c>
      <c r="L1037" s="81" t="n">
        <f aca="true">RAND()</f>
        <v>0.425197724257397</v>
      </c>
      <c r="M1037" s="83" t="n">
        <f aca="false">IF(L1037&lt;(Inputs!$E$24-Inputs!$D$24)/(Inputs!$F$24-Inputs!$D$24),Inputs!$D$24+SQRT(L1037*(Inputs!$F$24-Inputs!$D$24)*(Inputs!$E$24-Inputs!$D$24)),Inputs!$F$24-SQRT((1-L1037)*(Inputs!$F$24-Inputs!$D$24)*(Inputs!$F$24-Inputs!$E$24)))</f>
        <v>0.828580363768655</v>
      </c>
      <c r="N1037" s="81" t="n">
        <f aca="true">RAND()</f>
        <v>0.0757783644934531</v>
      </c>
      <c r="O1037" s="83" t="n">
        <f aca="false">IF(N1037&lt;(Inputs!$E$26-Inputs!$D$26)/(Inputs!$F$26-Inputs!$D$26),Inputs!$D$26+SQRT(N1037*(Inputs!$F$26-Inputs!$D$26)*(Inputs!$E$26-Inputs!$D$26)),Inputs!$F$26-SQRT((1-N1037)*(Inputs!$F$26-Inputs!$D$26)*(Inputs!$F$26-Inputs!$E$26)))</f>
        <v>0.412292118386424</v>
      </c>
      <c r="P1037" s="81" t="n">
        <f aca="true">RAND()</f>
        <v>0.863450461478292</v>
      </c>
      <c r="Q1037" s="82" t="n">
        <f aca="false">IF(P1037&lt;(Inputs!$E$27-Inputs!$D$27)/(Inputs!$F$27-Inputs!$D$27),Inputs!$D$27+SQRT(P1037*(Inputs!$F$27-Inputs!$D$27)*(Inputs!$E$27-Inputs!$D$27)),Inputs!$F$27-SQRT((1-P1037)*(Inputs!$F$27-Inputs!$D$27)*(Inputs!$F$27-Inputs!$E$27)))</f>
        <v>117.998101010834</v>
      </c>
      <c r="R1037" s="81" t="n">
        <f aca="true">RAND()</f>
        <v>0.814340365987114</v>
      </c>
      <c r="S1037" s="82" t="n">
        <f aca="false">IF(R1037&lt;(Inputs!$E$29-Inputs!$D$29)/(Inputs!$F$29-Inputs!$D$29),Inputs!$D$29+SQRT(R1037*(Inputs!$F$29-Inputs!$D$29)*(Inputs!$E$29-Inputs!$D$29)),Inputs!$F$29-SQRT((1-R1037)*(Inputs!$F$29-Inputs!$D$29)*(Inputs!$F$29-Inputs!$E$29)))</f>
        <v>10.0871848781299</v>
      </c>
      <c r="T1037" s="68" t="n">
        <f aca="false">Inputs!$E$9*(1+E1037)+Inputs!$E$5*C1037*(Inputs!$E$11*Inputs!$E$14*(G1037*I1037/Inputs!$E$16+(1-G1037))*K1037+Inputs!$E$23*M1037)*(1+O1037)+Inputs!$E$5*(Q1037+S1037)</f>
        <v>5749.34503950861</v>
      </c>
    </row>
    <row r="1038" customFormat="false" ht="15" hidden="false" customHeight="false" outlineLevel="0" collapsed="false">
      <c r="A1038" s="1" t="n">
        <v>1034</v>
      </c>
      <c r="B1038" s="81" t="n">
        <f aca="true">RAND()</f>
        <v>0.905318879188156</v>
      </c>
      <c r="C1038" s="82" t="n">
        <f aca="false">ROUND(IF(B1038&lt;(Inputs!$E$8-Inputs!$D$8)/(Inputs!$F$8-Inputs!$D$8),Inputs!$D$8+SQRT(B1038*(Inputs!$F$8-Inputs!$D$8)*(Inputs!$E$8-Inputs!$D$8)),Inputs!$F$8-SQRT((1-B1038)*(Inputs!$F$8-Inputs!$D$8)*(Inputs!$F$8-Inputs!$E$8))),0)</f>
        <v>28</v>
      </c>
      <c r="D1038" s="81" t="n">
        <f aca="true">RAND()</f>
        <v>0.8758525861477</v>
      </c>
      <c r="E1038" s="83" t="n">
        <f aca="false">IF(D1038&lt;(Inputs!$E$10-Inputs!$D$10)/(Inputs!$F$10-Inputs!$D$10),Inputs!$D$10+SQRT(D1038*(Inputs!$F$10-Inputs!$D$10)*(Inputs!$E$10-Inputs!$D$10)),Inputs!$F$10-SQRT((1-D1038)*(Inputs!$F$10-Inputs!$D$10)*(Inputs!$F$10-Inputs!$E$10)))</f>
        <v>0.138971953860795</v>
      </c>
      <c r="F1038" s="81" t="n">
        <f aca="true">RAND()</f>
        <v>0.219554855575259</v>
      </c>
      <c r="G1038" s="83" t="n">
        <f aca="false">IF(F1038&lt;(Inputs!$E$15-Inputs!$D$15)/(Inputs!$F$15-Inputs!$D$15),Inputs!$D$15+SQRT(F1038*(Inputs!$F$15-Inputs!$D$15)*(Inputs!$E$15-Inputs!$D$15)),Inputs!$F$15-SQRT((1-F1038)*(Inputs!$F$15-Inputs!$D$15)*(Inputs!$F$15-Inputs!$E$15)))</f>
        <v>0.666265353779371</v>
      </c>
      <c r="H1038" s="81" t="n">
        <f aca="true">RAND()</f>
        <v>0.742215893925249</v>
      </c>
      <c r="I1038" s="82" t="n">
        <f aca="false">ROUND(IF(H1038&lt;(Inputs!$E$17-Inputs!$D$17)/(Inputs!$F$17-Inputs!$D$17),Inputs!$D$17+SQRT(H1038*(Inputs!$F$17-Inputs!$D$17)*(Inputs!$E$17-Inputs!$D$17)),Inputs!$F$17-SQRT((1-H1038)*(Inputs!$F$17-Inputs!$D$17)*(Inputs!$F$17-Inputs!$E$17))),0)</f>
        <v>109</v>
      </c>
      <c r="J1038" s="81" t="n">
        <f aca="true">RAND()</f>
        <v>0.465696605742575</v>
      </c>
      <c r="K1038" s="83" t="n">
        <f aca="false">IF(J1038&lt;(Inputs!$E$18-Inputs!$D$18)/(Inputs!$F$18-Inputs!$D$18),Inputs!$D$18+SQRT(J1038*(Inputs!$F$18-Inputs!$D$18)*(Inputs!$E$18-Inputs!$D$18)),Inputs!$F$18-SQRT((1-J1038)*(Inputs!$F$18-Inputs!$D$18)*(Inputs!$F$18-Inputs!$E$18)))</f>
        <v>1.03377893951438</v>
      </c>
      <c r="L1038" s="81" t="n">
        <f aca="true">RAND()</f>
        <v>0.305456803935913</v>
      </c>
      <c r="M1038" s="83" t="n">
        <f aca="false">IF(L1038&lt;(Inputs!$E$24-Inputs!$D$24)/(Inputs!$F$24-Inputs!$D$24),Inputs!$D$24+SQRT(L1038*(Inputs!$F$24-Inputs!$D$24)*(Inputs!$E$24-Inputs!$D$24)),Inputs!$F$24-SQRT((1-L1038)*(Inputs!$F$24-Inputs!$D$24)*(Inputs!$F$24-Inputs!$E$24)))</f>
        <v>0.79145447623994</v>
      </c>
      <c r="N1038" s="81" t="n">
        <f aca="true">RAND()</f>
        <v>0.894362438921885</v>
      </c>
      <c r="O1038" s="83" t="n">
        <f aca="false">IF(N1038&lt;(Inputs!$E$26-Inputs!$D$26)/(Inputs!$F$26-Inputs!$D$26),Inputs!$D$26+SQRT(N1038*(Inputs!$F$26-Inputs!$D$26)*(Inputs!$E$26-Inputs!$D$26)),Inputs!$F$26-SQRT((1-N1038)*(Inputs!$F$26-Inputs!$D$26)*(Inputs!$F$26-Inputs!$E$26)))</f>
        <v>0.715184417417428</v>
      </c>
      <c r="P1038" s="81" t="n">
        <f aca="true">RAND()</f>
        <v>0.300828180473291</v>
      </c>
      <c r="Q1038" s="82" t="n">
        <f aca="false">IF(P1038&lt;(Inputs!$E$27-Inputs!$D$27)/(Inputs!$F$27-Inputs!$D$27),Inputs!$D$27+SQRT(P1038*(Inputs!$F$27-Inputs!$D$27)*(Inputs!$E$27-Inputs!$D$27)),Inputs!$F$27-SQRT((1-P1038)*(Inputs!$F$27-Inputs!$D$27)*(Inputs!$F$27-Inputs!$E$27)))</f>
        <v>77.5859913659635</v>
      </c>
      <c r="R1038" s="81" t="n">
        <f aca="true">RAND()</f>
        <v>0.538939106623956</v>
      </c>
      <c r="S1038" s="82" t="n">
        <f aca="false">IF(R1038&lt;(Inputs!$E$29-Inputs!$D$29)/(Inputs!$F$29-Inputs!$D$29),Inputs!$D$29+SQRT(R1038*(Inputs!$F$29-Inputs!$D$29)*(Inputs!$E$29-Inputs!$D$29)),Inputs!$F$29-SQRT((1-R1038)*(Inputs!$F$29-Inputs!$D$29)*(Inputs!$F$29-Inputs!$E$29)))</f>
        <v>7.25804184079469</v>
      </c>
      <c r="T1038" s="68" t="n">
        <f aca="false">Inputs!$E$9*(1+E1038)+Inputs!$E$5*C1038*(Inputs!$E$11*Inputs!$E$14*(G1038*I1038/Inputs!$E$16+(1-G1038))*K1038+Inputs!$E$23*M1038)*(1+O1038)+Inputs!$E$5*(Q1038+S1038)</f>
        <v>7062.01267085825</v>
      </c>
    </row>
    <row r="1039" customFormat="false" ht="15" hidden="false" customHeight="false" outlineLevel="0" collapsed="false">
      <c r="A1039" s="1" t="n">
        <v>1035</v>
      </c>
      <c r="B1039" s="81" t="n">
        <f aca="true">RAND()</f>
        <v>0.979505681962879</v>
      </c>
      <c r="C1039" s="82" t="n">
        <f aca="false">ROUND(IF(B1039&lt;(Inputs!$E$8-Inputs!$D$8)/(Inputs!$F$8-Inputs!$D$8),Inputs!$D$8+SQRT(B1039*(Inputs!$F$8-Inputs!$D$8)*(Inputs!$E$8-Inputs!$D$8)),Inputs!$F$8-SQRT((1-B1039)*(Inputs!$F$8-Inputs!$D$8)*(Inputs!$F$8-Inputs!$E$8))),0)</f>
        <v>29</v>
      </c>
      <c r="D1039" s="81" t="n">
        <f aca="true">RAND()</f>
        <v>0.725615500785895</v>
      </c>
      <c r="E1039" s="83" t="n">
        <f aca="false">IF(D1039&lt;(Inputs!$E$10-Inputs!$D$10)/(Inputs!$F$10-Inputs!$D$10),Inputs!$D$10+SQRT(D1039*(Inputs!$F$10-Inputs!$D$10)*(Inputs!$E$10-Inputs!$D$10)),Inputs!$F$10-SQRT((1-D1039)*(Inputs!$F$10-Inputs!$D$10)*(Inputs!$F$10-Inputs!$E$10)))</f>
        <v>0.109272192926186</v>
      </c>
      <c r="F1039" s="81" t="n">
        <f aca="true">RAND()</f>
        <v>0.479500573956604</v>
      </c>
      <c r="G1039" s="83" t="n">
        <f aca="false">IF(F1039&lt;(Inputs!$E$15-Inputs!$D$15)/(Inputs!$F$15-Inputs!$D$15),Inputs!$D$15+SQRT(F1039*(Inputs!$F$15-Inputs!$D$15)*(Inputs!$E$15-Inputs!$D$15)),Inputs!$F$15-SQRT((1-F1039)*(Inputs!$F$15-Inputs!$D$15)*(Inputs!$F$15-Inputs!$E$15)))</f>
        <v>0.697928603988478</v>
      </c>
      <c r="H1039" s="81" t="n">
        <f aca="true">RAND()</f>
        <v>0.597055795038688</v>
      </c>
      <c r="I1039" s="82" t="n">
        <f aca="false">ROUND(IF(H1039&lt;(Inputs!$E$17-Inputs!$D$17)/(Inputs!$F$17-Inputs!$D$17),Inputs!$D$17+SQRT(H1039*(Inputs!$F$17-Inputs!$D$17)*(Inputs!$E$17-Inputs!$D$17)),Inputs!$F$17-SQRT((1-H1039)*(Inputs!$F$17-Inputs!$D$17)*(Inputs!$F$17-Inputs!$E$17))),0)</f>
        <v>107</v>
      </c>
      <c r="J1039" s="81" t="n">
        <f aca="true">RAND()</f>
        <v>0.442727646704237</v>
      </c>
      <c r="K1039" s="83" t="n">
        <f aca="false">IF(J1039&lt;(Inputs!$E$18-Inputs!$D$18)/(Inputs!$F$18-Inputs!$D$18),Inputs!$D$18+SQRT(J1039*(Inputs!$F$18-Inputs!$D$18)*(Inputs!$E$18-Inputs!$D$18)),Inputs!$F$18-SQRT((1-J1039)*(Inputs!$F$18-Inputs!$D$18)*(Inputs!$F$18-Inputs!$E$18)))</f>
        <v>1.02918032036664</v>
      </c>
      <c r="L1039" s="81" t="n">
        <f aca="true">RAND()</f>
        <v>0.958973629826611</v>
      </c>
      <c r="M1039" s="83" t="n">
        <f aca="false">IF(L1039&lt;(Inputs!$E$24-Inputs!$D$24)/(Inputs!$F$24-Inputs!$D$24),Inputs!$D$24+SQRT(L1039*(Inputs!$F$24-Inputs!$D$24)*(Inputs!$E$24-Inputs!$D$24)),Inputs!$F$24-SQRT((1-L1039)*(Inputs!$F$24-Inputs!$D$24)*(Inputs!$F$24-Inputs!$E$24)))</f>
        <v>1.10077133054599</v>
      </c>
      <c r="N1039" s="81" t="n">
        <f aca="true">RAND()</f>
        <v>0.64783841915646</v>
      </c>
      <c r="O1039" s="83" t="n">
        <f aca="false">IF(N1039&lt;(Inputs!$E$26-Inputs!$D$26)/(Inputs!$F$26-Inputs!$D$26),Inputs!$D$26+SQRT(N1039*(Inputs!$F$26-Inputs!$D$26)*(Inputs!$E$26-Inputs!$D$26)),Inputs!$F$26-SQRT((1-N1039)*(Inputs!$F$26-Inputs!$D$26)*(Inputs!$F$26-Inputs!$E$26)))</f>
        <v>0.628623918924731</v>
      </c>
      <c r="P1039" s="81" t="n">
        <f aca="true">RAND()</f>
        <v>0.437345285230964</v>
      </c>
      <c r="Q1039" s="82" t="n">
        <f aca="false">IF(P1039&lt;(Inputs!$E$27-Inputs!$D$27)/(Inputs!$F$27-Inputs!$D$27),Inputs!$D$27+SQRT(P1039*(Inputs!$F$27-Inputs!$D$27)*(Inputs!$E$27-Inputs!$D$27)),Inputs!$F$27-SQRT((1-P1039)*(Inputs!$F$27-Inputs!$D$27)*(Inputs!$F$27-Inputs!$E$27)))</f>
        <v>85.0391628689426</v>
      </c>
      <c r="R1039" s="81" t="n">
        <f aca="true">RAND()</f>
        <v>0.107881079489944</v>
      </c>
      <c r="S1039" s="82" t="n">
        <f aca="false">IF(R1039&lt;(Inputs!$E$29-Inputs!$D$29)/(Inputs!$F$29-Inputs!$D$29),Inputs!$D$29+SQRT(R1039*(Inputs!$F$29-Inputs!$D$29)*(Inputs!$E$29-Inputs!$D$29)),Inputs!$F$29-SQRT((1-R1039)*(Inputs!$F$29-Inputs!$D$29)*(Inputs!$F$29-Inputs!$E$29)))</f>
        <v>4.05118553527169</v>
      </c>
      <c r="T1039" s="68" t="n">
        <f aca="false">Inputs!$E$9*(1+E1039)+Inputs!$E$5*C1039*(Inputs!$E$11*Inputs!$E$14*(G1039*I1039/Inputs!$E$16+(1-G1039))*K1039+Inputs!$E$23*M1039)*(1+O1039)+Inputs!$E$5*(Q1039+S1039)</f>
        <v>7381.24622440503</v>
      </c>
    </row>
    <row r="1040" customFormat="false" ht="15" hidden="false" customHeight="false" outlineLevel="0" collapsed="false">
      <c r="A1040" s="1" t="n">
        <v>1036</v>
      </c>
      <c r="B1040" s="81" t="n">
        <f aca="true">RAND()</f>
        <v>0.630966120507582</v>
      </c>
      <c r="C1040" s="82" t="n">
        <f aca="false">ROUND(IF(B1040&lt;(Inputs!$E$8-Inputs!$D$8)/(Inputs!$F$8-Inputs!$D$8),Inputs!$D$8+SQRT(B1040*(Inputs!$F$8-Inputs!$D$8)*(Inputs!$E$8-Inputs!$D$8)),Inputs!$F$8-SQRT((1-B1040)*(Inputs!$F$8-Inputs!$D$8)*(Inputs!$F$8-Inputs!$E$8))),0)</f>
        <v>26</v>
      </c>
      <c r="D1040" s="81" t="n">
        <f aca="true">RAND()</f>
        <v>0.747722124229628</v>
      </c>
      <c r="E1040" s="83" t="n">
        <f aca="false">IF(D1040&lt;(Inputs!$E$10-Inputs!$D$10)/(Inputs!$F$10-Inputs!$D$10),Inputs!$D$10+SQRT(D1040*(Inputs!$F$10-Inputs!$D$10)*(Inputs!$E$10-Inputs!$D$10)),Inputs!$F$10-SQRT((1-D1040)*(Inputs!$F$10-Inputs!$D$10)*(Inputs!$F$10-Inputs!$E$10)))</f>
        <v>0.113003814605977</v>
      </c>
      <c r="F1040" s="81" t="n">
        <f aca="true">RAND()</f>
        <v>0.775649146318183</v>
      </c>
      <c r="G1040" s="83" t="n">
        <f aca="false">IF(F1040&lt;(Inputs!$E$15-Inputs!$D$15)/(Inputs!$F$15-Inputs!$D$15),Inputs!$D$15+SQRT(F1040*(Inputs!$F$15-Inputs!$D$15)*(Inputs!$E$15-Inputs!$D$15)),Inputs!$F$15-SQRT((1-F1040)*(Inputs!$F$15-Inputs!$D$15)*(Inputs!$F$15-Inputs!$E$15)))</f>
        <v>0.733014799592475</v>
      </c>
      <c r="H1040" s="81" t="n">
        <f aca="true">RAND()</f>
        <v>0.926982701906769</v>
      </c>
      <c r="I1040" s="82" t="n">
        <f aca="false">ROUND(IF(H1040&lt;(Inputs!$E$17-Inputs!$D$17)/(Inputs!$F$17-Inputs!$D$17),Inputs!$D$17+SQRT(H1040*(Inputs!$F$17-Inputs!$D$17)*(Inputs!$E$17-Inputs!$D$17)),Inputs!$F$17-SQRT((1-H1040)*(Inputs!$F$17-Inputs!$D$17)*(Inputs!$F$17-Inputs!$E$17))),0)</f>
        <v>112</v>
      </c>
      <c r="J1040" s="81" t="n">
        <f aca="true">RAND()</f>
        <v>0.107486477833131</v>
      </c>
      <c r="K1040" s="83" t="n">
        <f aca="false">IF(J1040&lt;(Inputs!$E$18-Inputs!$D$18)/(Inputs!$F$18-Inputs!$D$18),Inputs!$D$18+SQRT(J1040*(Inputs!$F$18-Inputs!$D$18)*(Inputs!$E$18-Inputs!$D$18)),Inputs!$F$18-SQRT((1-J1040)*(Inputs!$F$18-Inputs!$D$18)*(Inputs!$F$18-Inputs!$E$18)))</f>
        <v>0.961335362753958</v>
      </c>
      <c r="L1040" s="81" t="n">
        <f aca="true">RAND()</f>
        <v>0.219167901743829</v>
      </c>
      <c r="M1040" s="83" t="n">
        <f aca="false">IF(L1040&lt;(Inputs!$E$24-Inputs!$D$24)/(Inputs!$F$24-Inputs!$D$24),Inputs!$D$24+SQRT(L1040*(Inputs!$F$24-Inputs!$D$24)*(Inputs!$E$24-Inputs!$D$24)),Inputs!$F$24-SQRT((1-L1040)*(Inputs!$F$24-Inputs!$D$24)*(Inputs!$F$24-Inputs!$E$24)))</f>
        <v>0.762173204350347</v>
      </c>
      <c r="N1040" s="81" t="n">
        <f aca="true">RAND()</f>
        <v>0.781592085021255</v>
      </c>
      <c r="O1040" s="83" t="n">
        <f aca="false">IF(N1040&lt;(Inputs!$E$26-Inputs!$D$26)/(Inputs!$F$26-Inputs!$D$26),Inputs!$D$26+SQRT(N1040*(Inputs!$F$26-Inputs!$D$26)*(Inputs!$E$26-Inputs!$D$26)),Inputs!$F$26-SQRT((1-N1040)*(Inputs!$F$26-Inputs!$D$26)*(Inputs!$F$26-Inputs!$E$26)))</f>
        <v>0.669286950937255</v>
      </c>
      <c r="P1040" s="81" t="n">
        <f aca="true">RAND()</f>
        <v>0.537668483627853</v>
      </c>
      <c r="Q1040" s="82" t="n">
        <f aca="false">IF(P1040&lt;(Inputs!$E$27-Inputs!$D$27)/(Inputs!$F$27-Inputs!$D$27),Inputs!$D$27+SQRT(P1040*(Inputs!$F$27-Inputs!$D$27)*(Inputs!$E$27-Inputs!$D$27)),Inputs!$F$27-SQRT((1-P1040)*(Inputs!$F$27-Inputs!$D$27)*(Inputs!$F$27-Inputs!$E$27)))</f>
        <v>91.1146336277756</v>
      </c>
      <c r="R1040" s="81" t="n">
        <f aca="true">RAND()</f>
        <v>0.608122801511835</v>
      </c>
      <c r="S1040" s="82" t="n">
        <f aca="false">IF(R1040&lt;(Inputs!$E$29-Inputs!$D$29)/(Inputs!$F$29-Inputs!$D$29),Inputs!$D$29+SQRT(R1040*(Inputs!$F$29-Inputs!$D$29)*(Inputs!$E$29-Inputs!$D$29)),Inputs!$F$29-SQRT((1-R1040)*(Inputs!$F$29-Inputs!$D$29)*(Inputs!$F$29-Inputs!$E$29)))</f>
        <v>7.8624909244568</v>
      </c>
      <c r="T1040" s="68" t="n">
        <f aca="false">Inputs!$E$9*(1+E1040)+Inputs!$E$5*C1040*(Inputs!$E$11*Inputs!$E$14*(G1040*I1040/Inputs!$E$16+(1-G1040))*K1040+Inputs!$E$23*M1040)*(1+O1040)+Inputs!$E$5*(Q1040+S1040)</f>
        <v>6406.64030245048</v>
      </c>
    </row>
    <row r="1041" customFormat="false" ht="15" hidden="false" customHeight="false" outlineLevel="0" collapsed="false">
      <c r="A1041" s="1" t="n">
        <v>1037</v>
      </c>
      <c r="B1041" s="81" t="n">
        <f aca="true">RAND()</f>
        <v>0.334134944599248</v>
      </c>
      <c r="C1041" s="82" t="n">
        <f aca="false">ROUND(IF(B1041&lt;(Inputs!$E$8-Inputs!$D$8)/(Inputs!$F$8-Inputs!$D$8),Inputs!$D$8+SQRT(B1041*(Inputs!$F$8-Inputs!$D$8)*(Inputs!$E$8-Inputs!$D$8)),Inputs!$F$8-SQRT((1-B1041)*(Inputs!$F$8-Inputs!$D$8)*(Inputs!$F$8-Inputs!$E$8))),0)</f>
        <v>24</v>
      </c>
      <c r="D1041" s="81" t="n">
        <f aca="true">RAND()</f>
        <v>0.463129606415417</v>
      </c>
      <c r="E1041" s="83" t="n">
        <f aca="false">IF(D1041&lt;(Inputs!$E$10-Inputs!$D$10)/(Inputs!$F$10-Inputs!$D$10),Inputs!$D$10+SQRT(D1041*(Inputs!$F$10-Inputs!$D$10)*(Inputs!$E$10-Inputs!$D$10)),Inputs!$F$10-SQRT((1-D1041)*(Inputs!$F$10-Inputs!$D$10)*(Inputs!$F$10-Inputs!$E$10)))</f>
        <v>0.0730901429851192</v>
      </c>
      <c r="F1041" s="81" t="n">
        <f aca="true">RAND()</f>
        <v>0.978295874306679</v>
      </c>
      <c r="G1041" s="83" t="n">
        <f aca="false">IF(F1041&lt;(Inputs!$E$15-Inputs!$D$15)/(Inputs!$F$15-Inputs!$D$15),Inputs!$D$15+SQRT(F1041*(Inputs!$F$15-Inputs!$D$15)*(Inputs!$E$15-Inputs!$D$15)),Inputs!$F$15-SQRT((1-F1041)*(Inputs!$F$15-Inputs!$D$15)*(Inputs!$F$15-Inputs!$E$15)))</f>
        <v>0.779165353041954</v>
      </c>
      <c r="H1041" s="81" t="n">
        <f aca="true">RAND()</f>
        <v>0.603045082597327</v>
      </c>
      <c r="I1041" s="82" t="n">
        <f aca="false">ROUND(IF(H1041&lt;(Inputs!$E$17-Inputs!$D$17)/(Inputs!$F$17-Inputs!$D$17),Inputs!$D$17+SQRT(H1041*(Inputs!$F$17-Inputs!$D$17)*(Inputs!$E$17-Inputs!$D$17)),Inputs!$F$17-SQRT((1-H1041)*(Inputs!$F$17-Inputs!$D$17)*(Inputs!$F$17-Inputs!$E$17))),0)</f>
        <v>107</v>
      </c>
      <c r="J1041" s="81" t="n">
        <f aca="true">RAND()</f>
        <v>0.566592860174568</v>
      </c>
      <c r="K1041" s="83" t="n">
        <f aca="false">IF(J1041&lt;(Inputs!$E$18-Inputs!$D$18)/(Inputs!$F$18-Inputs!$D$18),Inputs!$D$18+SQRT(J1041*(Inputs!$F$18-Inputs!$D$18)*(Inputs!$E$18-Inputs!$D$18)),Inputs!$F$18-SQRT((1-J1041)*(Inputs!$F$18-Inputs!$D$18)*(Inputs!$F$18-Inputs!$E$18)))</f>
        <v>1.05526139382566</v>
      </c>
      <c r="L1041" s="81" t="n">
        <f aca="true">RAND()</f>
        <v>0.420924802601939</v>
      </c>
      <c r="M1041" s="83" t="n">
        <f aca="false">IF(L1041&lt;(Inputs!$E$24-Inputs!$D$24)/(Inputs!$F$24-Inputs!$D$24),Inputs!$D$24+SQRT(L1041*(Inputs!$F$24-Inputs!$D$24)*(Inputs!$E$24-Inputs!$D$24)),Inputs!$F$24-SQRT((1-L1041)*(Inputs!$F$24-Inputs!$D$24)*(Inputs!$F$24-Inputs!$E$24)))</f>
        <v>0.827202404278763</v>
      </c>
      <c r="N1041" s="81" t="n">
        <f aca="true">RAND()</f>
        <v>0.774030532294223</v>
      </c>
      <c r="O1041" s="83" t="n">
        <f aca="false">IF(N1041&lt;(Inputs!$E$26-Inputs!$D$26)/(Inputs!$F$26-Inputs!$D$26),Inputs!$D$26+SQRT(N1041*(Inputs!$F$26-Inputs!$D$26)*(Inputs!$E$26-Inputs!$D$26)),Inputs!$F$26-SQRT((1-N1041)*(Inputs!$F$26-Inputs!$D$26)*(Inputs!$F$26-Inputs!$E$26)))</f>
        <v>0.666700213172357</v>
      </c>
      <c r="P1041" s="81" t="n">
        <f aca="true">RAND()</f>
        <v>0.132463482650421</v>
      </c>
      <c r="Q1041" s="82" t="n">
        <f aca="false">IF(P1041&lt;(Inputs!$E$27-Inputs!$D$27)/(Inputs!$F$27-Inputs!$D$27),Inputs!$D$27+SQRT(P1041*(Inputs!$F$27-Inputs!$D$27)*(Inputs!$E$27-Inputs!$D$27)),Inputs!$F$27-SQRT((1-P1041)*(Inputs!$F$27-Inputs!$D$27)*(Inputs!$F$27-Inputs!$E$27)))</f>
        <v>68.1977665285071</v>
      </c>
      <c r="R1041" s="81" t="n">
        <f aca="true">RAND()</f>
        <v>0.895450651104036</v>
      </c>
      <c r="S1041" s="82" t="n">
        <f aca="false">IF(R1041&lt;(Inputs!$E$29-Inputs!$D$29)/(Inputs!$F$29-Inputs!$D$29),Inputs!$D$29+SQRT(R1041*(Inputs!$F$29-Inputs!$D$29)*(Inputs!$E$29-Inputs!$D$29)),Inputs!$F$29-SQRT((1-R1041)*(Inputs!$F$29-Inputs!$D$29)*(Inputs!$F$29-Inputs!$E$29)))</f>
        <v>11.3133463199705</v>
      </c>
      <c r="T1041" s="68" t="n">
        <f aca="false">Inputs!$E$9*(1+E1041)+Inputs!$E$5*C1041*(Inputs!$E$11*Inputs!$E$14*(G1041*I1041/Inputs!$E$16+(1-G1041))*K1041+Inputs!$E$23*M1041)*(1+O1041)+Inputs!$E$5*(Q1041+S1041)</f>
        <v>6120.88522073806</v>
      </c>
    </row>
    <row r="1042" customFormat="false" ht="15" hidden="false" customHeight="false" outlineLevel="0" collapsed="false">
      <c r="A1042" s="1" t="n">
        <v>1038</v>
      </c>
      <c r="B1042" s="81" t="n">
        <f aca="true">RAND()</f>
        <v>0.359649477365538</v>
      </c>
      <c r="C1042" s="82" t="n">
        <f aca="false">ROUND(IF(B1042&lt;(Inputs!$E$8-Inputs!$D$8)/(Inputs!$F$8-Inputs!$D$8),Inputs!$D$8+SQRT(B1042*(Inputs!$F$8-Inputs!$D$8)*(Inputs!$E$8-Inputs!$D$8)),Inputs!$F$8-SQRT((1-B1042)*(Inputs!$F$8-Inputs!$D$8)*(Inputs!$F$8-Inputs!$E$8))),0)</f>
        <v>24</v>
      </c>
      <c r="D1042" s="81" t="n">
        <f aca="true">RAND()</f>
        <v>0.151913164305521</v>
      </c>
      <c r="E1042" s="83" t="n">
        <f aca="false">IF(D1042&lt;(Inputs!$E$10-Inputs!$D$10)/(Inputs!$F$10-Inputs!$D$10),Inputs!$D$10+SQRT(D1042*(Inputs!$F$10-Inputs!$D$10)*(Inputs!$E$10-Inputs!$D$10)),Inputs!$F$10-SQRT((1-D1042)*(Inputs!$F$10-Inputs!$D$10)*(Inputs!$F$10-Inputs!$E$10)))</f>
        <v>0.0389760393454134</v>
      </c>
      <c r="F1042" s="81" t="n">
        <f aca="true">RAND()</f>
        <v>0.22120556368196</v>
      </c>
      <c r="G1042" s="83" t="n">
        <f aca="false">IF(F1042&lt;(Inputs!$E$15-Inputs!$D$15)/(Inputs!$F$15-Inputs!$D$15),Inputs!$D$15+SQRT(F1042*(Inputs!$F$15-Inputs!$D$15)*(Inputs!$E$15-Inputs!$D$15)),Inputs!$F$15-SQRT((1-F1042)*(Inputs!$F$15-Inputs!$D$15)*(Inputs!$F$15-Inputs!$E$15)))</f>
        <v>0.666513993066416</v>
      </c>
      <c r="H1042" s="81" t="n">
        <f aca="true">RAND()</f>
        <v>0.171708840716205</v>
      </c>
      <c r="I1042" s="82" t="n">
        <f aca="false">ROUND(IF(H1042&lt;(Inputs!$E$17-Inputs!$D$17)/(Inputs!$F$17-Inputs!$D$17),Inputs!$D$17+SQRT(H1042*(Inputs!$F$17-Inputs!$D$17)*(Inputs!$E$17-Inputs!$D$17)),Inputs!$F$17-SQRT((1-H1042)*(Inputs!$F$17-Inputs!$D$17)*(Inputs!$F$17-Inputs!$E$17))),0)</f>
        <v>104</v>
      </c>
      <c r="J1042" s="81" t="n">
        <f aca="true">RAND()</f>
        <v>0.544001299509837</v>
      </c>
      <c r="K1042" s="83" t="n">
        <f aca="false">IF(J1042&lt;(Inputs!$E$18-Inputs!$D$18)/(Inputs!$F$18-Inputs!$D$18),Inputs!$D$18+SQRT(J1042*(Inputs!$F$18-Inputs!$D$18)*(Inputs!$E$18-Inputs!$D$18)),Inputs!$F$18-SQRT((1-J1042)*(Inputs!$F$18-Inputs!$D$18)*(Inputs!$F$18-Inputs!$E$18)))</f>
        <v>1.0502504410696</v>
      </c>
      <c r="L1042" s="81" t="n">
        <f aca="true">RAND()</f>
        <v>0.403492469706596</v>
      </c>
      <c r="M1042" s="83" t="n">
        <f aca="false">IF(L1042&lt;(Inputs!$E$24-Inputs!$D$24)/(Inputs!$F$24-Inputs!$D$24),Inputs!$D$24+SQRT(L1042*(Inputs!$F$24-Inputs!$D$24)*(Inputs!$E$24-Inputs!$D$24)),Inputs!$F$24-SQRT((1-L1042)*(Inputs!$F$24-Inputs!$D$24)*(Inputs!$F$24-Inputs!$E$24)))</f>
        <v>0.82163270850876</v>
      </c>
      <c r="N1042" s="81" t="n">
        <f aca="true">RAND()</f>
        <v>0.287387998747484</v>
      </c>
      <c r="O1042" s="83" t="n">
        <f aca="false">IF(N1042&lt;(Inputs!$E$26-Inputs!$D$26)/(Inputs!$F$26-Inputs!$D$26),Inputs!$D$26+SQRT(N1042*(Inputs!$F$26-Inputs!$D$26)*(Inputs!$E$26-Inputs!$D$26)),Inputs!$F$26-SQRT((1-N1042)*(Inputs!$F$26-Inputs!$D$26)*(Inputs!$F$26-Inputs!$E$26)))</f>
        <v>0.518680961657802</v>
      </c>
      <c r="P1042" s="81" t="n">
        <f aca="true">RAND()</f>
        <v>0.43490665387483</v>
      </c>
      <c r="Q1042" s="82" t="n">
        <f aca="false">IF(P1042&lt;(Inputs!$E$27-Inputs!$D$27)/(Inputs!$F$27-Inputs!$D$27),Inputs!$D$27+SQRT(P1042*(Inputs!$F$27-Inputs!$D$27)*(Inputs!$E$27-Inputs!$D$27)),Inputs!$F$27-SQRT((1-P1042)*(Inputs!$F$27-Inputs!$D$27)*(Inputs!$F$27-Inputs!$E$27)))</f>
        <v>84.8985399861203</v>
      </c>
      <c r="R1042" s="81" t="n">
        <f aca="true">RAND()</f>
        <v>0.289026589873213</v>
      </c>
      <c r="S1042" s="82" t="n">
        <f aca="false">IF(R1042&lt;(Inputs!$E$29-Inputs!$D$29)/(Inputs!$F$29-Inputs!$D$29),Inputs!$D$29+SQRT(R1042*(Inputs!$F$29-Inputs!$D$29)*(Inputs!$E$29-Inputs!$D$29)),Inputs!$F$29-SQRT((1-R1042)*(Inputs!$F$29-Inputs!$D$29)*(Inputs!$F$29-Inputs!$E$29)))</f>
        <v>5.38612755875749</v>
      </c>
      <c r="T1042" s="68" t="n">
        <f aca="false">Inputs!$E$9*(1+E1042)+Inputs!$E$5*C1042*(Inputs!$E$11*Inputs!$E$14*(G1042*I1042/Inputs!$E$16+(1-G1042))*K1042+Inputs!$E$23*M1042)*(1+O1042)+Inputs!$E$5*(Q1042+S1042)</f>
        <v>5892.55096191883</v>
      </c>
    </row>
    <row r="1043" customFormat="false" ht="15" hidden="false" customHeight="false" outlineLevel="0" collapsed="false">
      <c r="A1043" s="1" t="n">
        <v>1039</v>
      </c>
      <c r="B1043" s="81" t="n">
        <f aca="true">RAND()</f>
        <v>0.645372747294532</v>
      </c>
      <c r="C1043" s="82" t="n">
        <f aca="false">ROUND(IF(B1043&lt;(Inputs!$E$8-Inputs!$D$8)/(Inputs!$F$8-Inputs!$D$8),Inputs!$D$8+SQRT(B1043*(Inputs!$F$8-Inputs!$D$8)*(Inputs!$E$8-Inputs!$D$8)),Inputs!$F$8-SQRT((1-B1043)*(Inputs!$F$8-Inputs!$D$8)*(Inputs!$F$8-Inputs!$E$8))),0)</f>
        <v>26</v>
      </c>
      <c r="D1043" s="81" t="n">
        <f aca="true">RAND()</f>
        <v>0.420068285994967</v>
      </c>
      <c r="E1043" s="83" t="n">
        <f aca="false">IF(D1043&lt;(Inputs!$E$10-Inputs!$D$10)/(Inputs!$F$10-Inputs!$D$10),Inputs!$D$10+SQRT(D1043*(Inputs!$F$10-Inputs!$D$10)*(Inputs!$E$10-Inputs!$D$10)),Inputs!$F$10-SQRT((1-D1043)*(Inputs!$F$10-Inputs!$D$10)*(Inputs!$F$10-Inputs!$E$10)))</f>
        <v>0.0680987057677181</v>
      </c>
      <c r="F1043" s="81" t="n">
        <f aca="true">RAND()</f>
        <v>0.149890831398804</v>
      </c>
      <c r="G1043" s="83" t="n">
        <f aca="false">IF(F1043&lt;(Inputs!$E$15-Inputs!$D$15)/(Inputs!$F$15-Inputs!$D$15),Inputs!$D$15+SQRT(F1043*(Inputs!$F$15-Inputs!$D$15)*(Inputs!$E$15-Inputs!$D$15)),Inputs!$F$15-SQRT((1-F1043)*(Inputs!$F$15-Inputs!$D$15)*(Inputs!$F$15-Inputs!$E$15)))</f>
        <v>0.654752320754248</v>
      </c>
      <c r="H1043" s="81" t="n">
        <f aca="true">RAND()</f>
        <v>0.470027725772579</v>
      </c>
      <c r="I1043" s="82" t="n">
        <f aca="false">ROUND(IF(H1043&lt;(Inputs!$E$17-Inputs!$D$17)/(Inputs!$F$17-Inputs!$D$17),Inputs!$D$17+SQRT(H1043*(Inputs!$F$17-Inputs!$D$17)*(Inputs!$E$17-Inputs!$D$17)),Inputs!$F$17-SQRT((1-H1043)*(Inputs!$F$17-Inputs!$D$17)*(Inputs!$F$17-Inputs!$E$17))),0)</f>
        <v>106</v>
      </c>
      <c r="J1043" s="81" t="n">
        <f aca="true">RAND()</f>
        <v>0.0283189841301363</v>
      </c>
      <c r="K1043" s="83" t="n">
        <f aca="false">IF(J1043&lt;(Inputs!$E$18-Inputs!$D$18)/(Inputs!$F$18-Inputs!$D$18),Inputs!$D$18+SQRT(J1043*(Inputs!$F$18-Inputs!$D$18)*(Inputs!$E$18-Inputs!$D$18)),Inputs!$F$18-SQRT((1-J1043)*(Inputs!$F$18-Inputs!$D$18)*(Inputs!$F$18-Inputs!$E$18)))</f>
        <v>0.931482764245771</v>
      </c>
      <c r="L1043" s="81" t="n">
        <f aca="true">RAND()</f>
        <v>0.376692490181395</v>
      </c>
      <c r="M1043" s="83" t="n">
        <f aca="false">IF(L1043&lt;(Inputs!$E$24-Inputs!$D$24)/(Inputs!$F$24-Inputs!$D$24),Inputs!$D$24+SQRT(L1043*(Inputs!$F$24-Inputs!$D$24)*(Inputs!$E$24-Inputs!$D$24)),Inputs!$F$24-SQRT((1-L1043)*(Inputs!$F$24-Inputs!$D$24)*(Inputs!$F$24-Inputs!$E$24)))</f>
        <v>0.813226419779653</v>
      </c>
      <c r="N1043" s="81" t="n">
        <f aca="true">RAND()</f>
        <v>0.0903745254588427</v>
      </c>
      <c r="O1043" s="83" t="n">
        <f aca="false">IF(N1043&lt;(Inputs!$E$26-Inputs!$D$26)/(Inputs!$F$26-Inputs!$D$26),Inputs!$D$26+SQRT(N1043*(Inputs!$F$26-Inputs!$D$26)*(Inputs!$E$26-Inputs!$D$26)),Inputs!$F$26-SQRT((1-N1043)*(Inputs!$F$26-Inputs!$D$26)*(Inputs!$F$26-Inputs!$E$26)))</f>
        <v>0.422630832323488</v>
      </c>
      <c r="P1043" s="81" t="n">
        <f aca="true">RAND()</f>
        <v>0.573792168125595</v>
      </c>
      <c r="Q1043" s="82" t="n">
        <f aca="false">IF(P1043&lt;(Inputs!$E$27-Inputs!$D$27)/(Inputs!$F$27-Inputs!$D$27),Inputs!$D$27+SQRT(P1043*(Inputs!$F$27-Inputs!$D$27)*(Inputs!$E$27-Inputs!$D$27)),Inputs!$F$27-SQRT((1-P1043)*(Inputs!$F$27-Inputs!$D$27)*(Inputs!$F$27-Inputs!$E$27)))</f>
        <v>93.4618824238193</v>
      </c>
      <c r="R1043" s="81" t="n">
        <f aca="true">RAND()</f>
        <v>0.701847112660823</v>
      </c>
      <c r="S1043" s="82" t="n">
        <f aca="false">IF(R1043&lt;(Inputs!$E$29-Inputs!$D$29)/(Inputs!$F$29-Inputs!$D$29),Inputs!$D$29+SQRT(R1043*(Inputs!$F$29-Inputs!$D$29)*(Inputs!$E$29-Inputs!$D$29)),Inputs!$F$29-SQRT((1-R1043)*(Inputs!$F$29-Inputs!$D$29)*(Inputs!$F$29-Inputs!$E$29)))</f>
        <v>8.77425704400728</v>
      </c>
      <c r="T1043" s="68" t="n">
        <f aca="false">Inputs!$E$9*(1+E1043)+Inputs!$E$5*C1043*(Inputs!$E$11*Inputs!$E$14*(G1043*I1043/Inputs!$E$16+(1-G1043))*K1043+Inputs!$E$23*M1043)*(1+O1043)+Inputs!$E$5*(Q1043+S1043)</f>
        <v>5844.90431391285</v>
      </c>
    </row>
    <row r="1044" customFormat="false" ht="15" hidden="false" customHeight="false" outlineLevel="0" collapsed="false">
      <c r="A1044" s="1" t="n">
        <v>1040</v>
      </c>
      <c r="B1044" s="81" t="n">
        <f aca="true">RAND()</f>
        <v>0.961867849233878</v>
      </c>
      <c r="C1044" s="82" t="n">
        <f aca="false">ROUND(IF(B1044&lt;(Inputs!$E$8-Inputs!$D$8)/(Inputs!$F$8-Inputs!$D$8),Inputs!$D$8+SQRT(B1044*(Inputs!$F$8-Inputs!$D$8)*(Inputs!$E$8-Inputs!$D$8)),Inputs!$F$8-SQRT((1-B1044)*(Inputs!$F$8-Inputs!$D$8)*(Inputs!$F$8-Inputs!$E$8))),0)</f>
        <v>29</v>
      </c>
      <c r="D1044" s="81" t="n">
        <f aca="true">RAND()</f>
        <v>0.774343737200427</v>
      </c>
      <c r="E1044" s="83" t="n">
        <f aca="false">IF(D1044&lt;(Inputs!$E$10-Inputs!$D$10)/(Inputs!$F$10-Inputs!$D$10),Inputs!$D$10+SQRT(D1044*(Inputs!$F$10-Inputs!$D$10)*(Inputs!$E$10-Inputs!$D$10)),Inputs!$F$10-SQRT((1-D1044)*(Inputs!$F$10-Inputs!$D$10)*(Inputs!$F$10-Inputs!$E$10)))</f>
        <v>0.117721886968725</v>
      </c>
      <c r="F1044" s="81" t="n">
        <f aca="true">RAND()</f>
        <v>0.318613462087018</v>
      </c>
      <c r="G1044" s="83" t="n">
        <f aca="false">IF(F1044&lt;(Inputs!$E$15-Inputs!$D$15)/(Inputs!$F$15-Inputs!$D$15),Inputs!$D$15+SQRT(F1044*(Inputs!$F$15-Inputs!$D$15)*(Inputs!$E$15-Inputs!$D$15)),Inputs!$F$15-SQRT((1-F1044)*(Inputs!$F$15-Inputs!$D$15)*(Inputs!$F$15-Inputs!$E$15)))</f>
        <v>0.679826494610125</v>
      </c>
      <c r="H1044" s="81" t="n">
        <f aca="true">RAND()</f>
        <v>0.397083954959286</v>
      </c>
      <c r="I1044" s="82" t="n">
        <f aca="false">ROUND(IF(H1044&lt;(Inputs!$E$17-Inputs!$D$17)/(Inputs!$F$17-Inputs!$D$17),Inputs!$D$17+SQRT(H1044*(Inputs!$F$17-Inputs!$D$17)*(Inputs!$E$17-Inputs!$D$17)),Inputs!$F$17-SQRT((1-H1044)*(Inputs!$F$17-Inputs!$D$17)*(Inputs!$F$17-Inputs!$E$17))),0)</f>
        <v>105</v>
      </c>
      <c r="J1044" s="81" t="n">
        <f aca="true">RAND()</f>
        <v>0.188788100890983</v>
      </c>
      <c r="K1044" s="83" t="n">
        <f aca="false">IF(J1044&lt;(Inputs!$E$18-Inputs!$D$18)/(Inputs!$F$18-Inputs!$D$18),Inputs!$D$18+SQRT(J1044*(Inputs!$F$18-Inputs!$D$18)*(Inputs!$E$18-Inputs!$D$18)),Inputs!$F$18-SQRT((1-J1044)*(Inputs!$F$18-Inputs!$D$18)*(Inputs!$F$18-Inputs!$E$18)))</f>
        <v>0.981287044054907</v>
      </c>
      <c r="L1044" s="81" t="n">
        <f aca="true">RAND()</f>
        <v>0.154097567259408</v>
      </c>
      <c r="M1044" s="83" t="n">
        <f aca="false">IF(L1044&lt;(Inputs!$E$24-Inputs!$D$24)/(Inputs!$F$24-Inputs!$D$24),Inputs!$D$24+SQRT(L1044*(Inputs!$F$24-Inputs!$D$24)*(Inputs!$E$24-Inputs!$D$24)),Inputs!$F$24-SQRT((1-L1044)*(Inputs!$F$24-Inputs!$D$24)*(Inputs!$F$24-Inputs!$E$24)))</f>
        <v>0.735984219934259</v>
      </c>
      <c r="N1044" s="81" t="n">
        <f aca="true">RAND()</f>
        <v>0.637506466523573</v>
      </c>
      <c r="O1044" s="83" t="n">
        <f aca="false">IF(N1044&lt;(Inputs!$E$26-Inputs!$D$26)/(Inputs!$F$26-Inputs!$D$26),Inputs!$D$26+SQRT(N1044*(Inputs!$F$26-Inputs!$D$26)*(Inputs!$E$26-Inputs!$D$26)),Inputs!$F$26-SQRT((1-N1044)*(Inputs!$F$26-Inputs!$D$26)*(Inputs!$F$26-Inputs!$E$26)))</f>
        <v>0.625836853441369</v>
      </c>
      <c r="P1044" s="81" t="n">
        <f aca="true">RAND()</f>
        <v>0.324924356640918</v>
      </c>
      <c r="Q1044" s="82" t="n">
        <f aca="false">IF(P1044&lt;(Inputs!$E$27-Inputs!$D$27)/(Inputs!$F$27-Inputs!$D$27),Inputs!$D$27+SQRT(P1044*(Inputs!$F$27-Inputs!$D$27)*(Inputs!$E$27-Inputs!$D$27)),Inputs!$F$27-SQRT((1-P1044)*(Inputs!$F$27-Inputs!$D$27)*(Inputs!$F$27-Inputs!$E$27)))</f>
        <v>78.8447660028223</v>
      </c>
      <c r="R1044" s="81" t="n">
        <f aca="true">RAND()</f>
        <v>0.116106774823677</v>
      </c>
      <c r="S1044" s="82" t="n">
        <f aca="false">IF(R1044&lt;(Inputs!$E$29-Inputs!$D$29)/(Inputs!$F$29-Inputs!$D$29),Inputs!$D$29+SQRT(R1044*(Inputs!$F$29-Inputs!$D$29)*(Inputs!$E$29-Inputs!$D$29)),Inputs!$F$29-SQRT((1-R1044)*(Inputs!$F$29-Inputs!$D$29)*(Inputs!$F$29-Inputs!$E$29)))</f>
        <v>4.12794835889488</v>
      </c>
      <c r="T1044" s="68" t="n">
        <f aca="false">Inputs!$E$9*(1+E1044)+Inputs!$E$5*C1044*(Inputs!$E$11*Inputs!$E$14*(G1044*I1044/Inputs!$E$16+(1-G1044))*K1044+Inputs!$E$23*M1044)*(1+O1044)+Inputs!$E$5*(Q1044+S1044)</f>
        <v>6626.64473035755</v>
      </c>
    </row>
    <row r="1045" customFormat="false" ht="15" hidden="false" customHeight="false" outlineLevel="0" collapsed="false">
      <c r="A1045" s="1" t="n">
        <v>1041</v>
      </c>
      <c r="B1045" s="81" t="n">
        <f aca="true">RAND()</f>
        <v>0.898726442016033</v>
      </c>
      <c r="C1045" s="82" t="n">
        <f aca="false">ROUND(IF(B1045&lt;(Inputs!$E$8-Inputs!$D$8)/(Inputs!$F$8-Inputs!$D$8),Inputs!$D$8+SQRT(B1045*(Inputs!$F$8-Inputs!$D$8)*(Inputs!$E$8-Inputs!$D$8)),Inputs!$F$8-SQRT((1-B1045)*(Inputs!$F$8-Inputs!$D$8)*(Inputs!$F$8-Inputs!$E$8))),0)</f>
        <v>28</v>
      </c>
      <c r="D1045" s="81" t="n">
        <f aca="true">RAND()</f>
        <v>0.0491690149815386</v>
      </c>
      <c r="E1045" s="83" t="n">
        <f aca="false">IF(D1045&lt;(Inputs!$E$10-Inputs!$D$10)/(Inputs!$F$10-Inputs!$D$10),Inputs!$D$10+SQRT(D1045*(Inputs!$F$10-Inputs!$D$10)*(Inputs!$E$10-Inputs!$D$10)),Inputs!$F$10-SQRT((1-D1045)*(Inputs!$F$10-Inputs!$D$10)*(Inputs!$F$10-Inputs!$E$10)))</f>
        <v>0.0221740873502245</v>
      </c>
      <c r="F1045" s="81" t="n">
        <f aca="true">RAND()</f>
        <v>0.926772864572487</v>
      </c>
      <c r="G1045" s="83" t="n">
        <f aca="false">IF(F1045&lt;(Inputs!$E$15-Inputs!$D$15)/(Inputs!$F$15-Inputs!$D$15),Inputs!$D$15+SQRT(F1045*(Inputs!$F$15-Inputs!$D$15)*(Inputs!$E$15-Inputs!$D$15)),Inputs!$F$15-SQRT((1-F1045)*(Inputs!$F$15-Inputs!$D$15)*(Inputs!$F$15-Inputs!$E$15)))</f>
        <v>0.761730655760122</v>
      </c>
      <c r="H1045" s="81" t="n">
        <f aca="true">RAND()</f>
        <v>0.914000133801854</v>
      </c>
      <c r="I1045" s="82" t="n">
        <f aca="false">ROUND(IF(H1045&lt;(Inputs!$E$17-Inputs!$D$17)/(Inputs!$F$17-Inputs!$D$17),Inputs!$D$17+SQRT(H1045*(Inputs!$F$17-Inputs!$D$17)*(Inputs!$E$17-Inputs!$D$17)),Inputs!$F$17-SQRT((1-H1045)*(Inputs!$F$17-Inputs!$D$17)*(Inputs!$F$17-Inputs!$E$17))),0)</f>
        <v>111</v>
      </c>
      <c r="J1045" s="81" t="n">
        <f aca="true">RAND()</f>
        <v>0.368996679969784</v>
      </c>
      <c r="K1045" s="83" t="n">
        <f aca="false">IF(J1045&lt;(Inputs!$E$18-Inputs!$D$18)/(Inputs!$F$18-Inputs!$D$18),Inputs!$D$18+SQRT(J1045*(Inputs!$F$18-Inputs!$D$18)*(Inputs!$E$18-Inputs!$D$18)),Inputs!$F$18-SQRT((1-J1045)*(Inputs!$F$18-Inputs!$D$18)*(Inputs!$F$18-Inputs!$E$18)))</f>
        <v>1.01502597908993</v>
      </c>
      <c r="L1045" s="81" t="n">
        <f aca="true">RAND()</f>
        <v>0.00378858924678519</v>
      </c>
      <c r="M1045" s="83" t="n">
        <f aca="false">IF(L1045&lt;(Inputs!$E$24-Inputs!$D$24)/(Inputs!$F$24-Inputs!$D$24),Inputs!$D$24+SQRT(L1045*(Inputs!$F$24-Inputs!$D$24)*(Inputs!$E$24-Inputs!$D$24)),Inputs!$F$24-SQRT((1-L1045)*(Inputs!$F$24-Inputs!$D$24)*(Inputs!$F$24-Inputs!$E$24)))</f>
        <v>0.621322070950408</v>
      </c>
      <c r="N1045" s="81" t="n">
        <f aca="true">RAND()</f>
        <v>0.245224063439235</v>
      </c>
      <c r="O1045" s="83" t="n">
        <f aca="false">IF(N1045&lt;(Inputs!$E$26-Inputs!$D$26)/(Inputs!$F$26-Inputs!$D$26),Inputs!$D$26+SQRT(N1045*(Inputs!$F$26-Inputs!$D$26)*(Inputs!$E$26-Inputs!$D$26)),Inputs!$F$26-SQRT((1-N1045)*(Inputs!$F$26-Inputs!$D$26)*(Inputs!$F$26-Inputs!$E$26)))</f>
        <v>0.502003178579667</v>
      </c>
      <c r="P1045" s="81" t="n">
        <f aca="true">RAND()</f>
        <v>0.531586688683969</v>
      </c>
      <c r="Q1045" s="82" t="n">
        <f aca="false">IF(P1045&lt;(Inputs!$E$27-Inputs!$D$27)/(Inputs!$F$27-Inputs!$D$27),Inputs!$D$27+SQRT(P1045*(Inputs!$F$27-Inputs!$D$27)*(Inputs!$E$27-Inputs!$D$27)),Inputs!$F$27-SQRT((1-P1045)*(Inputs!$F$27-Inputs!$D$27)*(Inputs!$F$27-Inputs!$E$27)))</f>
        <v>90.7285917590089</v>
      </c>
      <c r="R1045" s="81" t="n">
        <f aca="true">RAND()</f>
        <v>0.221320764784718</v>
      </c>
      <c r="S1045" s="82" t="n">
        <f aca="false">IF(R1045&lt;(Inputs!$E$29-Inputs!$D$29)/(Inputs!$F$29-Inputs!$D$29),Inputs!$D$29+SQRT(R1045*(Inputs!$F$29-Inputs!$D$29)*(Inputs!$E$29-Inputs!$D$29)),Inputs!$F$29-SQRT((1-R1045)*(Inputs!$F$29-Inputs!$D$29)*(Inputs!$F$29-Inputs!$E$29)))</f>
        <v>4.93794312855167</v>
      </c>
      <c r="T1045" s="68" t="n">
        <f aca="false">Inputs!$E$9*(1+E1045)+Inputs!$E$5*C1045*(Inputs!$E$11*Inputs!$E$14*(G1045*I1045/Inputs!$E$16+(1-G1045))*K1045+Inputs!$E$23*M1045)*(1+O1045)+Inputs!$E$5*(Q1045+S1045)</f>
        <v>5944.53317419887</v>
      </c>
    </row>
    <row r="1046" customFormat="false" ht="15" hidden="false" customHeight="false" outlineLevel="0" collapsed="false">
      <c r="A1046" s="1" t="n">
        <v>1042</v>
      </c>
      <c r="B1046" s="81" t="n">
        <f aca="true">RAND()</f>
        <v>0.62305608598744</v>
      </c>
      <c r="C1046" s="82" t="n">
        <f aca="false">ROUND(IF(B1046&lt;(Inputs!$E$8-Inputs!$D$8)/(Inputs!$F$8-Inputs!$D$8),Inputs!$D$8+SQRT(B1046*(Inputs!$F$8-Inputs!$D$8)*(Inputs!$E$8-Inputs!$D$8)),Inputs!$F$8-SQRT((1-B1046)*(Inputs!$F$8-Inputs!$D$8)*(Inputs!$F$8-Inputs!$E$8))),0)</f>
        <v>26</v>
      </c>
      <c r="D1046" s="81" t="n">
        <f aca="true">RAND()</f>
        <v>0.594670288340337</v>
      </c>
      <c r="E1046" s="83" t="n">
        <f aca="false">IF(D1046&lt;(Inputs!$E$10-Inputs!$D$10)/(Inputs!$F$10-Inputs!$D$10),Inputs!$D$10+SQRT(D1046*(Inputs!$F$10-Inputs!$D$10)*(Inputs!$E$10-Inputs!$D$10)),Inputs!$F$10-SQRT((1-D1046)*(Inputs!$F$10-Inputs!$D$10)*(Inputs!$F$10-Inputs!$E$10)))</f>
        <v>0.0897281026290475</v>
      </c>
      <c r="F1046" s="81" t="n">
        <f aca="true">RAND()</f>
        <v>0.749046533610535</v>
      </c>
      <c r="G1046" s="83" t="n">
        <f aca="false">IF(F1046&lt;(Inputs!$E$15-Inputs!$D$15)/(Inputs!$F$15-Inputs!$D$15),Inputs!$D$15+SQRT(F1046*(Inputs!$F$15-Inputs!$D$15)*(Inputs!$E$15-Inputs!$D$15)),Inputs!$F$15-SQRT((1-F1046)*(Inputs!$F$15-Inputs!$D$15)*(Inputs!$F$15-Inputs!$E$15)))</f>
        <v>0.729154609692731</v>
      </c>
      <c r="H1046" s="81" t="n">
        <f aca="true">RAND()</f>
        <v>0.735621201535785</v>
      </c>
      <c r="I1046" s="82" t="n">
        <f aca="false">ROUND(IF(H1046&lt;(Inputs!$E$17-Inputs!$D$17)/(Inputs!$F$17-Inputs!$D$17),Inputs!$D$17+SQRT(H1046*(Inputs!$F$17-Inputs!$D$17)*(Inputs!$E$17-Inputs!$D$17)),Inputs!$F$17-SQRT((1-H1046)*(Inputs!$F$17-Inputs!$D$17)*(Inputs!$F$17-Inputs!$E$17))),0)</f>
        <v>109</v>
      </c>
      <c r="J1046" s="81" t="n">
        <f aca="true">RAND()</f>
        <v>0.881571175670968</v>
      </c>
      <c r="K1046" s="83" t="n">
        <f aca="false">IF(J1046&lt;(Inputs!$E$18-Inputs!$D$18)/(Inputs!$F$18-Inputs!$D$18),Inputs!$D$18+SQRT(J1046*(Inputs!$F$18-Inputs!$D$18)*(Inputs!$E$18-Inputs!$D$18)),Inputs!$F$18-SQRT((1-J1046)*(Inputs!$F$18-Inputs!$D$18)*(Inputs!$F$18-Inputs!$E$18)))</f>
        <v>1.14820352595109</v>
      </c>
      <c r="L1046" s="81" t="n">
        <f aca="true">RAND()</f>
        <v>0.0990509325201121</v>
      </c>
      <c r="M1046" s="83" t="n">
        <f aca="false">IF(L1046&lt;(Inputs!$E$24-Inputs!$D$24)/(Inputs!$F$24-Inputs!$D$24),Inputs!$D$24+SQRT(L1046*(Inputs!$F$24-Inputs!$D$24)*(Inputs!$E$24-Inputs!$D$24)),Inputs!$F$24-SQRT((1-L1046)*(Inputs!$F$24-Inputs!$D$24)*(Inputs!$F$24-Inputs!$E$24)))</f>
        <v>0.709023446571889</v>
      </c>
      <c r="N1046" s="81" t="n">
        <f aca="true">RAND()</f>
        <v>0.628278152080569</v>
      </c>
      <c r="O1046" s="83" t="n">
        <f aca="false">IF(N1046&lt;(Inputs!$E$26-Inputs!$D$26)/(Inputs!$F$26-Inputs!$D$26),Inputs!$D$26+SQRT(N1046*(Inputs!$F$26-Inputs!$D$26)*(Inputs!$E$26-Inputs!$D$26)),Inputs!$F$26-SQRT((1-N1046)*(Inputs!$F$26-Inputs!$D$26)*(Inputs!$F$26-Inputs!$E$26)))</f>
        <v>0.623380895679945</v>
      </c>
      <c r="P1046" s="81" t="n">
        <f aca="true">RAND()</f>
        <v>0.268182180052421</v>
      </c>
      <c r="Q1046" s="82" t="n">
        <f aca="false">IF(P1046&lt;(Inputs!$E$27-Inputs!$D$27)/(Inputs!$F$27-Inputs!$D$27),Inputs!$D$27+SQRT(P1046*(Inputs!$F$27-Inputs!$D$27)*(Inputs!$E$27-Inputs!$D$27)),Inputs!$F$27-SQRT((1-P1046)*(Inputs!$F$27-Inputs!$D$27)*(Inputs!$F$27-Inputs!$E$27)))</f>
        <v>75.9146866807811</v>
      </c>
      <c r="R1046" s="81" t="n">
        <f aca="true">RAND()</f>
        <v>0.64600973960235</v>
      </c>
      <c r="S1046" s="82" t="n">
        <f aca="false">IF(R1046&lt;(Inputs!$E$29-Inputs!$D$29)/(Inputs!$F$29-Inputs!$D$29),Inputs!$D$29+SQRT(R1046*(Inputs!$F$29-Inputs!$D$29)*(Inputs!$E$29-Inputs!$D$29)),Inputs!$F$29-SQRT((1-R1046)*(Inputs!$F$29-Inputs!$D$29)*(Inputs!$F$29-Inputs!$E$29)))</f>
        <v>8.21628907958966</v>
      </c>
      <c r="T1046" s="68" t="n">
        <f aca="false">Inputs!$E$9*(1+E1046)+Inputs!$E$5*C1046*(Inputs!$E$11*Inputs!$E$14*(G1046*I1046/Inputs!$E$16+(1-G1046))*K1046+Inputs!$E$23*M1046)*(1+O1046)+Inputs!$E$5*(Q1046+S1046)</f>
        <v>6499.26921295053</v>
      </c>
    </row>
    <row r="1047" customFormat="false" ht="15" hidden="false" customHeight="false" outlineLevel="0" collapsed="false">
      <c r="A1047" s="1" t="n">
        <v>1043</v>
      </c>
      <c r="B1047" s="81" t="n">
        <f aca="true">RAND()</f>
        <v>0.0203705965365108</v>
      </c>
      <c r="C1047" s="82" t="n">
        <f aca="false">ROUND(IF(B1047&lt;(Inputs!$E$8-Inputs!$D$8)/(Inputs!$F$8-Inputs!$D$8),Inputs!$D$8+SQRT(B1047*(Inputs!$F$8-Inputs!$D$8)*(Inputs!$E$8-Inputs!$D$8)),Inputs!$F$8-SQRT((1-B1047)*(Inputs!$F$8-Inputs!$D$8)*(Inputs!$F$8-Inputs!$E$8))),0)</f>
        <v>21</v>
      </c>
      <c r="D1047" s="81" t="n">
        <f aca="true">RAND()</f>
        <v>0.325047945220801</v>
      </c>
      <c r="E1047" s="83" t="n">
        <f aca="false">IF(D1047&lt;(Inputs!$E$10-Inputs!$D$10)/(Inputs!$F$10-Inputs!$D$10),Inputs!$D$10+SQRT(D1047*(Inputs!$F$10-Inputs!$D$10)*(Inputs!$E$10-Inputs!$D$10)),Inputs!$F$10-SQRT((1-D1047)*(Inputs!$F$10-Inputs!$D$10)*(Inputs!$F$10-Inputs!$E$10)))</f>
        <v>0.0577025592521918</v>
      </c>
      <c r="F1047" s="81" t="n">
        <f aca="true">RAND()</f>
        <v>0.340579004913512</v>
      </c>
      <c r="G1047" s="83" t="n">
        <f aca="false">IF(F1047&lt;(Inputs!$E$15-Inputs!$D$15)/(Inputs!$F$15-Inputs!$D$15),Inputs!$D$15+SQRT(F1047*(Inputs!$F$15-Inputs!$D$15)*(Inputs!$E$15-Inputs!$D$15)),Inputs!$F$15-SQRT((1-F1047)*(Inputs!$F$15-Inputs!$D$15)*(Inputs!$F$15-Inputs!$E$15)))</f>
        <v>0.682532297303966</v>
      </c>
      <c r="H1047" s="81" t="n">
        <f aca="true">RAND()</f>
        <v>0.694981259540097</v>
      </c>
      <c r="I1047" s="82" t="n">
        <f aca="false">ROUND(IF(H1047&lt;(Inputs!$E$17-Inputs!$D$17)/(Inputs!$F$17-Inputs!$D$17),Inputs!$D$17+SQRT(H1047*(Inputs!$F$17-Inputs!$D$17)*(Inputs!$E$17-Inputs!$D$17)),Inputs!$F$17-SQRT((1-H1047)*(Inputs!$F$17-Inputs!$D$17)*(Inputs!$F$17-Inputs!$E$17))),0)</f>
        <v>108</v>
      </c>
      <c r="J1047" s="81" t="n">
        <f aca="true">RAND()</f>
        <v>0.642321670242529</v>
      </c>
      <c r="K1047" s="83" t="n">
        <f aca="false">IF(J1047&lt;(Inputs!$E$18-Inputs!$D$18)/(Inputs!$F$18-Inputs!$D$18),Inputs!$D$18+SQRT(J1047*(Inputs!$F$18-Inputs!$D$18)*(Inputs!$E$18-Inputs!$D$18)),Inputs!$F$18-SQRT((1-J1047)*(Inputs!$F$18-Inputs!$D$18)*(Inputs!$F$18-Inputs!$E$18)))</f>
        <v>1.07309083162883</v>
      </c>
      <c r="L1047" s="81" t="n">
        <f aca="true">RAND()</f>
        <v>0.151294553261522</v>
      </c>
      <c r="M1047" s="83" t="n">
        <f aca="false">IF(L1047&lt;(Inputs!$E$24-Inputs!$D$24)/(Inputs!$F$24-Inputs!$D$24),Inputs!$D$24+SQRT(L1047*(Inputs!$F$24-Inputs!$D$24)*(Inputs!$E$24-Inputs!$D$24)),Inputs!$F$24-SQRT((1-L1047)*(Inputs!$F$24-Inputs!$D$24)*(Inputs!$F$24-Inputs!$E$24)))</f>
        <v>0.73474177671154</v>
      </c>
      <c r="N1047" s="81" t="n">
        <f aca="true">RAND()</f>
        <v>0.0453755945059109</v>
      </c>
      <c r="O1047" s="83" t="n">
        <f aca="false">IF(N1047&lt;(Inputs!$E$26-Inputs!$D$26)/(Inputs!$F$26-Inputs!$D$26),Inputs!$D$26+SQRT(N1047*(Inputs!$F$26-Inputs!$D$26)*(Inputs!$E$26-Inputs!$D$26)),Inputs!$F$26-SQRT((1-N1047)*(Inputs!$F$26-Inputs!$D$26)*(Inputs!$F$26-Inputs!$E$26)))</f>
        <v>0.386893606932752</v>
      </c>
      <c r="P1047" s="81" t="n">
        <f aca="true">RAND()</f>
        <v>0.662692000593758</v>
      </c>
      <c r="Q1047" s="82" t="n">
        <f aca="false">IF(P1047&lt;(Inputs!$E$27-Inputs!$D$27)/(Inputs!$F$27-Inputs!$D$27),Inputs!$D$27+SQRT(P1047*(Inputs!$F$27-Inputs!$D$27)*(Inputs!$E$27-Inputs!$D$27)),Inputs!$F$27-SQRT((1-P1047)*(Inputs!$F$27-Inputs!$D$27)*(Inputs!$F$27-Inputs!$E$27)))</f>
        <v>99.7027834214773</v>
      </c>
      <c r="R1047" s="81" t="n">
        <f aca="true">RAND()</f>
        <v>0.435021579203207</v>
      </c>
      <c r="S1047" s="82" t="n">
        <f aca="false">IF(R1047&lt;(Inputs!$E$29-Inputs!$D$29)/(Inputs!$F$29-Inputs!$D$29),Inputs!$D$29+SQRT(R1047*(Inputs!$F$29-Inputs!$D$29)*(Inputs!$E$29-Inputs!$D$29)),Inputs!$F$29-SQRT((1-R1047)*(Inputs!$F$29-Inputs!$D$29)*(Inputs!$F$29-Inputs!$E$29)))</f>
        <v>6.42986612102337</v>
      </c>
      <c r="T1047" s="68" t="n">
        <f aca="false">Inputs!$E$9*(1+E1047)+Inputs!$E$5*C1047*(Inputs!$E$11*Inputs!$E$14*(G1047*I1047/Inputs!$E$16+(1-G1047))*K1047+Inputs!$E$23*M1047)*(1+O1047)+Inputs!$E$5*(Q1047+S1047)</f>
        <v>5343.67431844168</v>
      </c>
    </row>
    <row r="1048" customFormat="false" ht="15" hidden="false" customHeight="false" outlineLevel="0" collapsed="false">
      <c r="A1048" s="1" t="n">
        <v>1044</v>
      </c>
      <c r="B1048" s="81" t="n">
        <f aca="true">RAND()</f>
        <v>0.33402477649544</v>
      </c>
      <c r="C1048" s="82" t="n">
        <f aca="false">ROUND(IF(B1048&lt;(Inputs!$E$8-Inputs!$D$8)/(Inputs!$F$8-Inputs!$D$8),Inputs!$D$8+SQRT(B1048*(Inputs!$F$8-Inputs!$D$8)*(Inputs!$E$8-Inputs!$D$8)),Inputs!$F$8-SQRT((1-B1048)*(Inputs!$F$8-Inputs!$D$8)*(Inputs!$F$8-Inputs!$E$8))),0)</f>
        <v>24</v>
      </c>
      <c r="D1048" s="81" t="n">
        <f aca="true">RAND()</f>
        <v>0.943888885179706</v>
      </c>
      <c r="E1048" s="83" t="n">
        <f aca="false">IF(D1048&lt;(Inputs!$E$10-Inputs!$D$10)/(Inputs!$F$10-Inputs!$D$10),Inputs!$D$10+SQRT(D1048*(Inputs!$F$10-Inputs!$D$10)*(Inputs!$E$10-Inputs!$D$10)),Inputs!$F$10-SQRT((1-D1048)*(Inputs!$F$10-Inputs!$D$10)*(Inputs!$F$10-Inputs!$E$10)))</f>
        <v>0.158971553226952</v>
      </c>
      <c r="F1048" s="81" t="n">
        <f aca="true">RAND()</f>
        <v>0.532190848912095</v>
      </c>
      <c r="G1048" s="83" t="n">
        <f aca="false">IF(F1048&lt;(Inputs!$E$15-Inputs!$D$15)/(Inputs!$F$15-Inputs!$D$15),Inputs!$D$15+SQRT(F1048*(Inputs!$F$15-Inputs!$D$15)*(Inputs!$E$15-Inputs!$D$15)),Inputs!$F$15-SQRT((1-F1048)*(Inputs!$F$15-Inputs!$D$15)*(Inputs!$F$15-Inputs!$E$15)))</f>
        <v>0.703272635610402</v>
      </c>
      <c r="H1048" s="81" t="n">
        <f aca="true">RAND()</f>
        <v>0.195249650603431</v>
      </c>
      <c r="I1048" s="82" t="n">
        <f aca="false">ROUND(IF(H1048&lt;(Inputs!$E$17-Inputs!$D$17)/(Inputs!$F$17-Inputs!$D$17),Inputs!$D$17+SQRT(H1048*(Inputs!$F$17-Inputs!$D$17)*(Inputs!$E$17-Inputs!$D$17)),Inputs!$F$17-SQRT((1-H1048)*(Inputs!$F$17-Inputs!$D$17)*(Inputs!$F$17-Inputs!$E$17))),0)</f>
        <v>104</v>
      </c>
      <c r="J1048" s="81" t="n">
        <f aca="true">RAND()</f>
        <v>0.936190630555101</v>
      </c>
      <c r="K1048" s="83" t="n">
        <f aca="false">IF(J1048&lt;(Inputs!$E$18-Inputs!$D$18)/(Inputs!$F$18-Inputs!$D$18),Inputs!$D$18+SQRT(J1048*(Inputs!$F$18-Inputs!$D$18)*(Inputs!$E$18-Inputs!$D$18)),Inputs!$F$18-SQRT((1-J1048)*(Inputs!$F$18-Inputs!$D$18)*(Inputs!$F$18-Inputs!$E$18)))</f>
        <v>1.17527838447659</v>
      </c>
      <c r="L1048" s="81" t="n">
        <f aca="true">RAND()</f>
        <v>0.268815850086808</v>
      </c>
      <c r="M1048" s="83" t="n">
        <f aca="false">IF(L1048&lt;(Inputs!$E$24-Inputs!$D$24)/(Inputs!$F$24-Inputs!$D$24),Inputs!$D$24+SQRT(L1048*(Inputs!$F$24-Inputs!$D$24)*(Inputs!$E$24-Inputs!$D$24)),Inputs!$F$24-SQRT((1-L1048)*(Inputs!$F$24-Inputs!$D$24)*(Inputs!$F$24-Inputs!$E$24)))</f>
        <v>0.779604849629449</v>
      </c>
      <c r="N1048" s="81" t="n">
        <f aca="true">RAND()</f>
        <v>0.895673734615237</v>
      </c>
      <c r="O1048" s="83" t="n">
        <f aca="false">IF(N1048&lt;(Inputs!$E$26-Inputs!$D$26)/(Inputs!$F$26-Inputs!$D$26),Inputs!$D$26+SQRT(N1048*(Inputs!$F$26-Inputs!$D$26)*(Inputs!$E$26-Inputs!$D$26)),Inputs!$F$26-SQRT((1-N1048)*(Inputs!$F$26-Inputs!$D$26)*(Inputs!$F$26-Inputs!$E$26)))</f>
        <v>0.715836995050952</v>
      </c>
      <c r="P1048" s="81" t="n">
        <f aca="true">RAND()</f>
        <v>0.528440204016983</v>
      </c>
      <c r="Q1048" s="82" t="n">
        <f aca="false">IF(P1048&lt;(Inputs!$E$27-Inputs!$D$27)/(Inputs!$F$27-Inputs!$D$27),Inputs!$D$27+SQRT(P1048*(Inputs!$F$27-Inputs!$D$27)*(Inputs!$E$27-Inputs!$D$27)),Inputs!$F$27-SQRT((1-P1048)*(Inputs!$F$27-Inputs!$D$27)*(Inputs!$F$27-Inputs!$E$27)))</f>
        <v>90.5298522797141</v>
      </c>
      <c r="R1048" s="81" t="n">
        <f aca="true">RAND()</f>
        <v>0.116176748799995</v>
      </c>
      <c r="S1048" s="82" t="n">
        <f aca="false">IF(R1048&lt;(Inputs!$E$29-Inputs!$D$29)/(Inputs!$F$29-Inputs!$D$29),Inputs!$D$29+SQRT(R1048*(Inputs!$F$29-Inputs!$D$29)*(Inputs!$E$29-Inputs!$D$29)),Inputs!$F$29-SQRT((1-R1048)*(Inputs!$F$29-Inputs!$D$29)*(Inputs!$F$29-Inputs!$E$29)))</f>
        <v>4.12858948677283</v>
      </c>
      <c r="T1048" s="68" t="n">
        <f aca="false">Inputs!$E$9*(1+E1048)+Inputs!$E$5*C1048*(Inputs!$E$11*Inputs!$E$14*(G1048*I1048/Inputs!$E$16+(1-G1048))*K1048+Inputs!$E$23*M1048)*(1+O1048)+Inputs!$E$5*(Q1048+S1048)</f>
        <v>6747.15228804395</v>
      </c>
    </row>
    <row r="1049" customFormat="false" ht="15" hidden="false" customHeight="false" outlineLevel="0" collapsed="false">
      <c r="A1049" s="1" t="n">
        <v>1045</v>
      </c>
      <c r="B1049" s="81" t="n">
        <f aca="true">RAND()</f>
        <v>0.777054138639205</v>
      </c>
      <c r="C1049" s="82" t="n">
        <f aca="false">ROUND(IF(B1049&lt;(Inputs!$E$8-Inputs!$D$8)/(Inputs!$F$8-Inputs!$D$8),Inputs!$D$8+SQRT(B1049*(Inputs!$F$8-Inputs!$D$8)*(Inputs!$E$8-Inputs!$D$8)),Inputs!$F$8-SQRT((1-B1049)*(Inputs!$F$8-Inputs!$D$8)*(Inputs!$F$8-Inputs!$E$8))),0)</f>
        <v>27</v>
      </c>
      <c r="D1049" s="81" t="n">
        <f aca="true">RAND()</f>
        <v>0.647485449265007</v>
      </c>
      <c r="E1049" s="83" t="n">
        <f aca="false">IF(D1049&lt;(Inputs!$E$10-Inputs!$D$10)/(Inputs!$F$10-Inputs!$D$10),Inputs!$D$10+SQRT(D1049*(Inputs!$F$10-Inputs!$D$10)*(Inputs!$E$10-Inputs!$D$10)),Inputs!$F$10-SQRT((1-D1049)*(Inputs!$F$10-Inputs!$D$10)*(Inputs!$F$10-Inputs!$E$10)))</f>
        <v>0.0971630585730507</v>
      </c>
      <c r="F1049" s="81" t="n">
        <f aca="true">RAND()</f>
        <v>0.0138351015726251</v>
      </c>
      <c r="G1049" s="83" t="n">
        <f aca="false">IF(F1049&lt;(Inputs!$E$15-Inputs!$D$15)/(Inputs!$F$15-Inputs!$D$15),Inputs!$D$15+SQRT(F1049*(Inputs!$F$15-Inputs!$D$15)*(Inputs!$E$15-Inputs!$D$15)),Inputs!$F$15-SQRT((1-F1049)*(Inputs!$F$15-Inputs!$D$15)*(Inputs!$F$15-Inputs!$E$15)))</f>
        <v>0.616634362971046</v>
      </c>
      <c r="H1049" s="81" t="n">
        <f aca="true">RAND()</f>
        <v>0.312264204520712</v>
      </c>
      <c r="I1049" s="82" t="n">
        <f aca="false">ROUND(IF(H1049&lt;(Inputs!$E$17-Inputs!$D$17)/(Inputs!$F$17-Inputs!$D$17),Inputs!$D$17+SQRT(H1049*(Inputs!$F$17-Inputs!$D$17)*(Inputs!$E$17-Inputs!$D$17)),Inputs!$F$17-SQRT((1-H1049)*(Inputs!$F$17-Inputs!$D$17)*(Inputs!$F$17-Inputs!$E$17))),0)</f>
        <v>105</v>
      </c>
      <c r="J1049" s="81" t="n">
        <f aca="true">RAND()</f>
        <v>0.574117467933858</v>
      </c>
      <c r="K1049" s="83" t="n">
        <f aca="false">IF(J1049&lt;(Inputs!$E$18-Inputs!$D$18)/(Inputs!$F$18-Inputs!$D$18),Inputs!$D$18+SQRT(J1049*(Inputs!$F$18-Inputs!$D$18)*(Inputs!$E$18-Inputs!$D$18)),Inputs!$F$18-SQRT((1-J1049)*(Inputs!$F$18-Inputs!$D$18)*(Inputs!$F$18-Inputs!$E$18)))</f>
        <v>1.05695927487759</v>
      </c>
      <c r="L1049" s="81" t="n">
        <f aca="true">RAND()</f>
        <v>0.7810906297731</v>
      </c>
      <c r="M1049" s="83" t="n">
        <f aca="false">IF(L1049&lt;(Inputs!$E$24-Inputs!$D$24)/(Inputs!$F$24-Inputs!$D$24),Inputs!$D$24+SQRT(L1049*(Inputs!$F$24-Inputs!$D$24)*(Inputs!$E$24-Inputs!$D$24)),Inputs!$F$24-SQRT((1-L1049)*(Inputs!$F$24-Inputs!$D$24)*(Inputs!$F$24-Inputs!$E$24)))</f>
        <v>0.970787764605691</v>
      </c>
      <c r="N1049" s="81" t="n">
        <f aca="true">RAND()</f>
        <v>0.307793392142649</v>
      </c>
      <c r="O1049" s="83" t="n">
        <f aca="false">IF(N1049&lt;(Inputs!$E$26-Inputs!$D$26)/(Inputs!$F$26-Inputs!$D$26),Inputs!$D$26+SQRT(N1049*(Inputs!$F$26-Inputs!$D$26)*(Inputs!$E$26-Inputs!$D$26)),Inputs!$F$26-SQRT((1-N1049)*(Inputs!$F$26-Inputs!$D$26)*(Inputs!$F$26-Inputs!$E$26)))</f>
        <v>0.526311335227683</v>
      </c>
      <c r="P1049" s="81" t="n">
        <f aca="true">RAND()</f>
        <v>0.814169295677872</v>
      </c>
      <c r="Q1049" s="82" t="n">
        <f aca="false">IF(P1049&lt;(Inputs!$E$27-Inputs!$D$27)/(Inputs!$F$27-Inputs!$D$27),Inputs!$D$27+SQRT(P1049*(Inputs!$F$27-Inputs!$D$27)*(Inputs!$E$27-Inputs!$D$27)),Inputs!$F$27-SQRT((1-P1049)*(Inputs!$F$27-Inputs!$D$27)*(Inputs!$F$27-Inputs!$E$27)))</f>
        <v>112.667302770682</v>
      </c>
      <c r="R1049" s="81" t="n">
        <f aca="true">RAND()</f>
        <v>0.815197285809704</v>
      </c>
      <c r="S1049" s="82" t="n">
        <f aca="false">IF(R1049&lt;(Inputs!$E$29-Inputs!$D$29)/(Inputs!$F$29-Inputs!$D$29),Inputs!$D$29+SQRT(R1049*(Inputs!$F$29-Inputs!$D$29)*(Inputs!$E$29-Inputs!$D$29)),Inputs!$F$29-SQRT((1-R1049)*(Inputs!$F$29-Inputs!$D$29)*(Inputs!$F$29-Inputs!$E$29)))</f>
        <v>10.0985356428167</v>
      </c>
      <c r="T1049" s="68" t="n">
        <f aca="false">Inputs!$E$9*(1+E1049)+Inputs!$E$5*C1049*(Inputs!$E$11*Inputs!$E$14*(G1049*I1049/Inputs!$E$16+(1-G1049))*K1049+Inputs!$E$23*M1049)*(1+O1049)+Inputs!$E$5*(Q1049+S1049)</f>
        <v>6913.88552542284</v>
      </c>
    </row>
    <row r="1050" customFormat="false" ht="15" hidden="false" customHeight="false" outlineLevel="0" collapsed="false">
      <c r="A1050" s="1" t="n">
        <v>1046</v>
      </c>
      <c r="B1050" s="81" t="n">
        <f aca="true">RAND()</f>
        <v>0.544274315865132</v>
      </c>
      <c r="C1050" s="82" t="n">
        <f aca="false">ROUND(IF(B1050&lt;(Inputs!$E$8-Inputs!$D$8)/(Inputs!$F$8-Inputs!$D$8),Inputs!$D$8+SQRT(B1050*(Inputs!$F$8-Inputs!$D$8)*(Inputs!$E$8-Inputs!$D$8)),Inputs!$F$8-SQRT((1-B1050)*(Inputs!$F$8-Inputs!$D$8)*(Inputs!$F$8-Inputs!$E$8))),0)</f>
        <v>25</v>
      </c>
      <c r="D1050" s="81" t="n">
        <f aca="true">RAND()</f>
        <v>0.863101216690178</v>
      </c>
      <c r="E1050" s="83" t="n">
        <f aca="false">IF(D1050&lt;(Inputs!$E$10-Inputs!$D$10)/(Inputs!$F$10-Inputs!$D$10),Inputs!$D$10+SQRT(D1050*(Inputs!$F$10-Inputs!$D$10)*(Inputs!$E$10-Inputs!$D$10)),Inputs!$F$10-SQRT((1-D1050)*(Inputs!$F$10-Inputs!$D$10)*(Inputs!$F$10-Inputs!$E$10)))</f>
        <v>0.135914404900207</v>
      </c>
      <c r="F1050" s="81" t="n">
        <f aca="true">RAND()</f>
        <v>0.863536368366493</v>
      </c>
      <c r="G1050" s="83" t="n">
        <f aca="false">IF(F1050&lt;(Inputs!$E$15-Inputs!$D$15)/(Inputs!$F$15-Inputs!$D$15),Inputs!$D$15+SQRT(F1050*(Inputs!$F$15-Inputs!$D$15)*(Inputs!$E$15-Inputs!$D$15)),Inputs!$F$15-SQRT((1-F1050)*(Inputs!$F$15-Inputs!$D$15)*(Inputs!$F$15-Inputs!$E$15)))</f>
        <v>0.747757559085834</v>
      </c>
      <c r="H1050" s="81" t="n">
        <f aca="true">RAND()</f>
        <v>0.815512816418562</v>
      </c>
      <c r="I1050" s="82" t="n">
        <f aca="false">ROUND(IF(H1050&lt;(Inputs!$E$17-Inputs!$D$17)/(Inputs!$F$17-Inputs!$D$17),Inputs!$D$17+SQRT(H1050*(Inputs!$F$17-Inputs!$D$17)*(Inputs!$E$17-Inputs!$D$17)),Inputs!$F$17-SQRT((1-H1050)*(Inputs!$F$17-Inputs!$D$17)*(Inputs!$F$17-Inputs!$E$17))),0)</f>
        <v>110</v>
      </c>
      <c r="J1050" s="81" t="n">
        <f aca="true">RAND()</f>
        <v>0.717048992671304</v>
      </c>
      <c r="K1050" s="83" t="n">
        <f aca="false">IF(J1050&lt;(Inputs!$E$18-Inputs!$D$18)/(Inputs!$F$18-Inputs!$D$18),Inputs!$D$18+SQRT(J1050*(Inputs!$F$18-Inputs!$D$18)*(Inputs!$E$18-Inputs!$D$18)),Inputs!$F$18-SQRT((1-J1050)*(Inputs!$F$18-Inputs!$D$18)*(Inputs!$F$18-Inputs!$E$18)))</f>
        <v>1.09265257186321</v>
      </c>
      <c r="L1050" s="81" t="n">
        <f aca="true">RAND()</f>
        <v>0.318816162066101</v>
      </c>
      <c r="M1050" s="83" t="n">
        <f aca="false">IF(L1050&lt;(Inputs!$E$24-Inputs!$D$24)/(Inputs!$F$24-Inputs!$D$24),Inputs!$D$24+SQRT(L1050*(Inputs!$F$24-Inputs!$D$24)*(Inputs!$E$24-Inputs!$D$24)),Inputs!$F$24-SQRT((1-L1050)*(Inputs!$F$24-Inputs!$D$24)*(Inputs!$F$24-Inputs!$E$24)))</f>
        <v>0.795596368698225</v>
      </c>
      <c r="N1050" s="81" t="n">
        <f aca="true">RAND()</f>
        <v>0.0744290042829868</v>
      </c>
      <c r="O1050" s="83" t="n">
        <f aca="false">IF(N1050&lt;(Inputs!$E$26-Inputs!$D$26)/(Inputs!$F$26-Inputs!$D$26),Inputs!$D$26+SQRT(N1050*(Inputs!$F$26-Inputs!$D$26)*(Inputs!$E$26-Inputs!$D$26)),Inputs!$F$26-SQRT((1-N1050)*(Inputs!$F$26-Inputs!$D$26)*(Inputs!$F$26-Inputs!$E$26)))</f>
        <v>0.411287853392403</v>
      </c>
      <c r="P1050" s="81" t="n">
        <f aca="true">RAND()</f>
        <v>0.325545296468593</v>
      </c>
      <c r="Q1050" s="82" t="n">
        <f aca="false">IF(P1050&lt;(Inputs!$E$27-Inputs!$D$27)/(Inputs!$F$27-Inputs!$D$27),Inputs!$D$27+SQRT(P1050*(Inputs!$F$27-Inputs!$D$27)*(Inputs!$E$27-Inputs!$D$27)),Inputs!$F$27-SQRT((1-P1050)*(Inputs!$F$27-Inputs!$D$27)*(Inputs!$F$27-Inputs!$E$27)))</f>
        <v>78.8774981002105</v>
      </c>
      <c r="R1050" s="81" t="n">
        <f aca="true">RAND()</f>
        <v>0.87021962353226</v>
      </c>
      <c r="S1050" s="82" t="n">
        <f aca="false">IF(R1050&lt;(Inputs!$E$29-Inputs!$D$29)/(Inputs!$F$29-Inputs!$D$29),Inputs!$D$29+SQRT(R1050*(Inputs!$F$29-Inputs!$D$29)*(Inputs!$E$29-Inputs!$D$29)),Inputs!$F$29-SQRT((1-R1050)*(Inputs!$F$29-Inputs!$D$29)*(Inputs!$F$29-Inputs!$E$29)))</f>
        <v>10.8925130626128</v>
      </c>
      <c r="T1050" s="68" t="n">
        <f aca="false">Inputs!$E$9*(1+E1050)+Inputs!$E$5*C1050*(Inputs!$E$11*Inputs!$E$14*(G1050*I1050/Inputs!$E$16+(1-G1050))*K1050+Inputs!$E$23*M1050)*(1+O1050)+Inputs!$E$5*(Q1050+S1050)</f>
        <v>6017.52062328857</v>
      </c>
    </row>
    <row r="1051" customFormat="false" ht="15" hidden="false" customHeight="false" outlineLevel="0" collapsed="false">
      <c r="A1051" s="1" t="n">
        <v>1047</v>
      </c>
      <c r="B1051" s="81" t="n">
        <f aca="true">RAND()</f>
        <v>0.974282809287176</v>
      </c>
      <c r="C1051" s="82" t="n">
        <f aca="false">ROUND(IF(B1051&lt;(Inputs!$E$8-Inputs!$D$8)/(Inputs!$F$8-Inputs!$D$8),Inputs!$D$8+SQRT(B1051*(Inputs!$F$8-Inputs!$D$8)*(Inputs!$E$8-Inputs!$D$8)),Inputs!$F$8-SQRT((1-B1051)*(Inputs!$F$8-Inputs!$D$8)*(Inputs!$F$8-Inputs!$E$8))),0)</f>
        <v>29</v>
      </c>
      <c r="D1051" s="81" t="n">
        <f aca="true">RAND()</f>
        <v>0.738275517478986</v>
      </c>
      <c r="E1051" s="83" t="n">
        <f aca="false">IF(D1051&lt;(Inputs!$E$10-Inputs!$D$10)/(Inputs!$F$10-Inputs!$D$10),Inputs!$D$10+SQRT(D1051*(Inputs!$F$10-Inputs!$D$10)*(Inputs!$E$10-Inputs!$D$10)),Inputs!$F$10-SQRT((1-D1051)*(Inputs!$F$10-Inputs!$D$10)*(Inputs!$F$10-Inputs!$E$10)))</f>
        <v>0.111389986595022</v>
      </c>
      <c r="F1051" s="81" t="n">
        <f aca="true">RAND()</f>
        <v>0.157593671525377</v>
      </c>
      <c r="G1051" s="83" t="n">
        <f aca="false">IF(F1051&lt;(Inputs!$E$15-Inputs!$D$15)/(Inputs!$F$15-Inputs!$D$15),Inputs!$D$15+SQRT(F1051*(Inputs!$F$15-Inputs!$D$15)*(Inputs!$E$15-Inputs!$D$15)),Inputs!$F$15-SQRT((1-F1051)*(Inputs!$F$15-Inputs!$D$15)*(Inputs!$F$15-Inputs!$E$15)))</f>
        <v>0.656141548166287</v>
      </c>
      <c r="H1051" s="81" t="n">
        <f aca="true">RAND()</f>
        <v>0.531669665731237</v>
      </c>
      <c r="I1051" s="82" t="n">
        <f aca="false">ROUND(IF(H1051&lt;(Inputs!$E$17-Inputs!$D$17)/(Inputs!$F$17-Inputs!$D$17),Inputs!$D$17+SQRT(H1051*(Inputs!$F$17-Inputs!$D$17)*(Inputs!$E$17-Inputs!$D$17)),Inputs!$F$17-SQRT((1-H1051)*(Inputs!$F$17-Inputs!$D$17)*(Inputs!$F$17-Inputs!$E$17))),0)</f>
        <v>107</v>
      </c>
      <c r="J1051" s="81" t="n">
        <f aca="true">RAND()</f>
        <v>0.0260581484659133</v>
      </c>
      <c r="K1051" s="83" t="n">
        <f aca="false">IF(J1051&lt;(Inputs!$E$18-Inputs!$D$18)/(Inputs!$F$18-Inputs!$D$18),Inputs!$D$18+SQRT(J1051*(Inputs!$F$18-Inputs!$D$18)*(Inputs!$E$18-Inputs!$D$18)),Inputs!$F$18-SQRT((1-J1051)*(Inputs!$F$18-Inputs!$D$18)*(Inputs!$F$18-Inputs!$E$18)))</f>
        <v>0.930199920468554</v>
      </c>
      <c r="L1051" s="81" t="n">
        <f aca="true">RAND()</f>
        <v>0.862136053412863</v>
      </c>
      <c r="M1051" s="83" t="n">
        <f aca="false">IF(L1051&lt;(Inputs!$E$24-Inputs!$D$24)/(Inputs!$F$24-Inputs!$D$24),Inputs!$D$24+SQRT(L1051*(Inputs!$F$24-Inputs!$D$24)*(Inputs!$E$24-Inputs!$D$24)),Inputs!$F$24-SQRT((1-L1051)*(Inputs!$F$24-Inputs!$D$24)*(Inputs!$F$24-Inputs!$E$24)))</f>
        <v>1.01810072242883</v>
      </c>
      <c r="N1051" s="81" t="n">
        <f aca="true">RAND()</f>
        <v>0.627127367275445</v>
      </c>
      <c r="O1051" s="83" t="n">
        <f aca="false">IF(N1051&lt;(Inputs!$E$26-Inputs!$D$26)/(Inputs!$F$26-Inputs!$D$26),Inputs!$D$26+SQRT(N1051*(Inputs!$F$26-Inputs!$D$26)*(Inputs!$E$26-Inputs!$D$26)),Inputs!$F$26-SQRT((1-N1051)*(Inputs!$F$26-Inputs!$D$26)*(Inputs!$F$26-Inputs!$E$26)))</f>
        <v>0.623076781959684</v>
      </c>
      <c r="P1051" s="81" t="n">
        <f aca="true">RAND()</f>
        <v>0.522262066614538</v>
      </c>
      <c r="Q1051" s="82" t="n">
        <f aca="false">IF(P1051&lt;(Inputs!$E$27-Inputs!$D$27)/(Inputs!$F$27-Inputs!$D$27),Inputs!$D$27+SQRT(P1051*(Inputs!$F$27-Inputs!$D$27)*(Inputs!$E$27-Inputs!$D$27)),Inputs!$F$27-SQRT((1-P1051)*(Inputs!$F$27-Inputs!$D$27)*(Inputs!$F$27-Inputs!$E$27)))</f>
        <v>90.1415461242861</v>
      </c>
      <c r="R1051" s="81" t="n">
        <f aca="true">RAND()</f>
        <v>0.613406942626864</v>
      </c>
      <c r="S1051" s="82" t="n">
        <f aca="false">IF(R1051&lt;(Inputs!$E$29-Inputs!$D$29)/(Inputs!$F$29-Inputs!$D$29),Inputs!$D$29+SQRT(R1051*(Inputs!$F$29-Inputs!$D$29)*(Inputs!$E$29-Inputs!$D$29)),Inputs!$F$29-SQRT((1-R1051)*(Inputs!$F$29-Inputs!$D$29)*(Inputs!$F$29-Inputs!$E$29)))</f>
        <v>7.91077596217275</v>
      </c>
      <c r="T1051" s="68" t="n">
        <f aca="false">Inputs!$E$9*(1+E1051)+Inputs!$E$5*C1051*(Inputs!$E$11*Inputs!$E$14*(G1051*I1051/Inputs!$E$16+(1-G1051))*K1051+Inputs!$E$23*M1051)*(1+O1051)+Inputs!$E$5*(Q1051+S1051)</f>
        <v>7082.86655231152</v>
      </c>
    </row>
    <row r="1052" customFormat="false" ht="15" hidden="false" customHeight="false" outlineLevel="0" collapsed="false">
      <c r="A1052" s="1" t="n">
        <v>1048</v>
      </c>
      <c r="B1052" s="81" t="n">
        <f aca="true">RAND()</f>
        <v>0.933961647508862</v>
      </c>
      <c r="C1052" s="82" t="n">
        <f aca="false">ROUND(IF(B1052&lt;(Inputs!$E$8-Inputs!$D$8)/(Inputs!$F$8-Inputs!$D$8),Inputs!$D$8+SQRT(B1052*(Inputs!$F$8-Inputs!$D$8)*(Inputs!$E$8-Inputs!$D$8)),Inputs!$F$8-SQRT((1-B1052)*(Inputs!$F$8-Inputs!$D$8)*(Inputs!$F$8-Inputs!$E$8))),0)</f>
        <v>28</v>
      </c>
      <c r="D1052" s="81" t="n">
        <f aca="true">RAND()</f>
        <v>0.124527371229984</v>
      </c>
      <c r="E1052" s="83" t="n">
        <f aca="false">IF(D1052&lt;(Inputs!$E$10-Inputs!$D$10)/(Inputs!$F$10-Inputs!$D$10),Inputs!$D$10+SQRT(D1052*(Inputs!$F$10-Inputs!$D$10)*(Inputs!$E$10-Inputs!$D$10)),Inputs!$F$10-SQRT((1-D1052)*(Inputs!$F$10-Inputs!$D$10)*(Inputs!$F$10-Inputs!$E$10)))</f>
        <v>0.0352884359571211</v>
      </c>
      <c r="F1052" s="81" t="n">
        <f aca="true">RAND()</f>
        <v>0.19428296828324</v>
      </c>
      <c r="G1052" s="83" t="n">
        <f aca="false">IF(F1052&lt;(Inputs!$E$15-Inputs!$D$15)/(Inputs!$F$15-Inputs!$D$15),Inputs!$D$15+SQRT(F1052*(Inputs!$F$15-Inputs!$D$15)*(Inputs!$E$15-Inputs!$D$15)),Inputs!$F$15-SQRT((1-F1052)*(Inputs!$F$15-Inputs!$D$15)*(Inputs!$F$15-Inputs!$E$15)))</f>
        <v>0.662335057276502</v>
      </c>
      <c r="H1052" s="81" t="n">
        <f aca="true">RAND()</f>
        <v>0.861900482601396</v>
      </c>
      <c r="I1052" s="82" t="n">
        <f aca="false">ROUND(IF(H1052&lt;(Inputs!$E$17-Inputs!$D$17)/(Inputs!$F$17-Inputs!$D$17),Inputs!$D$17+SQRT(H1052*(Inputs!$F$17-Inputs!$D$17)*(Inputs!$E$17-Inputs!$D$17)),Inputs!$F$17-SQRT((1-H1052)*(Inputs!$F$17-Inputs!$D$17)*(Inputs!$F$17-Inputs!$E$17))),0)</f>
        <v>110</v>
      </c>
      <c r="J1052" s="81" t="n">
        <f aca="true">RAND()</f>
        <v>0.615686153113487</v>
      </c>
      <c r="K1052" s="83" t="n">
        <f aca="false">IF(J1052&lt;(Inputs!$E$18-Inputs!$D$18)/(Inputs!$F$18-Inputs!$D$18),Inputs!$D$18+SQRT(J1052*(Inputs!$F$18-Inputs!$D$18)*(Inputs!$E$18-Inputs!$D$18)),Inputs!$F$18-SQRT((1-J1052)*(Inputs!$F$18-Inputs!$D$18)*(Inputs!$F$18-Inputs!$E$18)))</f>
        <v>1.06662207983901</v>
      </c>
      <c r="L1052" s="81" t="n">
        <f aca="true">RAND()</f>
        <v>0.590187861497954</v>
      </c>
      <c r="M1052" s="83" t="n">
        <f aca="false">IF(L1052&lt;(Inputs!$E$24-Inputs!$D$24)/(Inputs!$F$24-Inputs!$D$24),Inputs!$D$24+SQRT(L1052*(Inputs!$F$24-Inputs!$D$24)*(Inputs!$E$24-Inputs!$D$24)),Inputs!$F$24-SQRT((1-L1052)*(Inputs!$F$24-Inputs!$D$24)*(Inputs!$F$24-Inputs!$E$24)))</f>
        <v>0.886384131076741</v>
      </c>
      <c r="N1052" s="81" t="n">
        <f aca="true">RAND()</f>
        <v>0.979742867066751</v>
      </c>
      <c r="O1052" s="83" t="n">
        <f aca="false">IF(N1052&lt;(Inputs!$E$26-Inputs!$D$26)/(Inputs!$F$26-Inputs!$D$26),Inputs!$D$26+SQRT(N1052*(Inputs!$F$26-Inputs!$D$26)*(Inputs!$E$26-Inputs!$D$26)),Inputs!$F$26-SQRT((1-N1052)*(Inputs!$F$26-Inputs!$D$26)*(Inputs!$F$26-Inputs!$E$26)))</f>
        <v>0.774100742652436</v>
      </c>
      <c r="P1052" s="81" t="n">
        <f aca="true">RAND()</f>
        <v>0.440579806724106</v>
      </c>
      <c r="Q1052" s="82" t="n">
        <f aca="false">IF(P1052&lt;(Inputs!$E$27-Inputs!$D$27)/(Inputs!$F$27-Inputs!$D$27),Inputs!$D$27+SQRT(P1052*(Inputs!$F$27-Inputs!$D$27)*(Inputs!$E$27-Inputs!$D$27)),Inputs!$F$27-SQRT((1-P1052)*(Inputs!$F$27-Inputs!$D$27)*(Inputs!$F$27-Inputs!$E$27)))</f>
        <v>85.2261514994732</v>
      </c>
      <c r="R1052" s="81" t="n">
        <f aca="true">RAND()</f>
        <v>0.720925622696994</v>
      </c>
      <c r="S1052" s="82" t="n">
        <f aca="false">IF(R1052&lt;(Inputs!$E$29-Inputs!$D$29)/(Inputs!$F$29-Inputs!$D$29),Inputs!$D$29+SQRT(R1052*(Inputs!$F$29-Inputs!$D$29)*(Inputs!$E$29-Inputs!$D$29)),Inputs!$F$29-SQRT((1-R1052)*(Inputs!$F$29-Inputs!$D$29)*(Inputs!$F$29-Inputs!$E$29)))</f>
        <v>8.97673933409895</v>
      </c>
      <c r="T1052" s="68" t="n">
        <f aca="false">Inputs!$E$9*(1+E1052)+Inputs!$E$5*C1052*(Inputs!$E$11*Inputs!$E$14*(G1052*I1052/Inputs!$E$16+(1-G1052))*K1052+Inputs!$E$23*M1052)*(1+O1052)+Inputs!$E$5*(Q1052+S1052)</f>
        <v>7303.20863788866</v>
      </c>
    </row>
    <row r="1053" customFormat="false" ht="15" hidden="false" customHeight="false" outlineLevel="0" collapsed="false">
      <c r="A1053" s="1" t="n">
        <v>1049</v>
      </c>
      <c r="B1053" s="81" t="n">
        <f aca="true">RAND()</f>
        <v>0.902739994731976</v>
      </c>
      <c r="C1053" s="82" t="n">
        <f aca="false">ROUND(IF(B1053&lt;(Inputs!$E$8-Inputs!$D$8)/(Inputs!$F$8-Inputs!$D$8),Inputs!$D$8+SQRT(B1053*(Inputs!$F$8-Inputs!$D$8)*(Inputs!$E$8-Inputs!$D$8)),Inputs!$F$8-SQRT((1-B1053)*(Inputs!$F$8-Inputs!$D$8)*(Inputs!$F$8-Inputs!$E$8))),0)</f>
        <v>28</v>
      </c>
      <c r="D1053" s="81" t="n">
        <f aca="true">RAND()</f>
        <v>0.611324094512636</v>
      </c>
      <c r="E1053" s="83" t="n">
        <f aca="false">IF(D1053&lt;(Inputs!$E$10-Inputs!$D$10)/(Inputs!$F$10-Inputs!$D$10),Inputs!$D$10+SQRT(D1053*(Inputs!$F$10-Inputs!$D$10)*(Inputs!$E$10-Inputs!$D$10)),Inputs!$F$10-SQRT((1-D1053)*(Inputs!$F$10-Inputs!$D$10)*(Inputs!$F$10-Inputs!$E$10)))</f>
        <v>0.0920172367244619</v>
      </c>
      <c r="F1053" s="81" t="n">
        <f aca="true">RAND()</f>
        <v>0.732653098038718</v>
      </c>
      <c r="G1053" s="83" t="n">
        <f aca="false">IF(F1053&lt;(Inputs!$E$15-Inputs!$D$15)/(Inputs!$F$15-Inputs!$D$15),Inputs!$D$15+SQRT(F1053*(Inputs!$F$15-Inputs!$D$15)*(Inputs!$E$15-Inputs!$D$15)),Inputs!$F$15-SQRT((1-F1053)*(Inputs!$F$15-Inputs!$D$15)*(Inputs!$F$15-Inputs!$E$15)))</f>
        <v>0.726877239937037</v>
      </c>
      <c r="H1053" s="81" t="n">
        <f aca="true">RAND()</f>
        <v>0.0249158253278775</v>
      </c>
      <c r="I1053" s="82" t="n">
        <f aca="false">ROUND(IF(H1053&lt;(Inputs!$E$17-Inputs!$D$17)/(Inputs!$F$17-Inputs!$D$17),Inputs!$D$17+SQRT(H1053*(Inputs!$F$17-Inputs!$D$17)*(Inputs!$E$17-Inputs!$D$17)),Inputs!$F$17-SQRT((1-H1053)*(Inputs!$F$17-Inputs!$D$17)*(Inputs!$F$17-Inputs!$E$17))),0)</f>
        <v>101</v>
      </c>
      <c r="J1053" s="81" t="n">
        <f aca="true">RAND()</f>
        <v>0.932501351366238</v>
      </c>
      <c r="K1053" s="83" t="n">
        <f aca="false">IF(J1053&lt;(Inputs!$E$18-Inputs!$D$18)/(Inputs!$F$18-Inputs!$D$18),Inputs!$D$18+SQRT(J1053*(Inputs!$F$18-Inputs!$D$18)*(Inputs!$E$18-Inputs!$D$18)),Inputs!$F$18-SQRT((1-J1053)*(Inputs!$F$18-Inputs!$D$18)*(Inputs!$F$18-Inputs!$E$18)))</f>
        <v>1.17314863855823</v>
      </c>
      <c r="L1053" s="81" t="n">
        <f aca="true">RAND()</f>
        <v>0.642654474821063</v>
      </c>
      <c r="M1053" s="83" t="n">
        <f aca="false">IF(L1053&lt;(Inputs!$E$24-Inputs!$D$24)/(Inputs!$F$24-Inputs!$D$24),Inputs!$D$24+SQRT(L1053*(Inputs!$F$24-Inputs!$D$24)*(Inputs!$E$24-Inputs!$D$24)),Inputs!$F$24-SQRT((1-L1053)*(Inputs!$F$24-Inputs!$D$24)*(Inputs!$F$24-Inputs!$E$24)))</f>
        <v>0.907146920721422</v>
      </c>
      <c r="N1053" s="81" t="n">
        <f aca="true">RAND()</f>
        <v>0.777570302311554</v>
      </c>
      <c r="O1053" s="83" t="n">
        <f aca="false">IF(N1053&lt;(Inputs!$E$26-Inputs!$D$26)/(Inputs!$F$26-Inputs!$D$26),Inputs!$D$26+SQRT(N1053*(Inputs!$F$26-Inputs!$D$26)*(Inputs!$E$26-Inputs!$D$26)),Inputs!$F$26-SQRT((1-N1053)*(Inputs!$F$26-Inputs!$D$26)*(Inputs!$F$26-Inputs!$E$26)))</f>
        <v>0.667905659015207</v>
      </c>
      <c r="P1053" s="81" t="n">
        <f aca="true">RAND()</f>
        <v>0.546594609602999</v>
      </c>
      <c r="Q1053" s="82" t="n">
        <f aca="false">IF(P1053&lt;(Inputs!$E$27-Inputs!$D$27)/(Inputs!$F$27-Inputs!$D$27),Inputs!$D$27+SQRT(P1053*(Inputs!$F$27-Inputs!$D$27)*(Inputs!$E$27-Inputs!$D$27)),Inputs!$F$27-SQRT((1-P1053)*(Inputs!$F$27-Inputs!$D$27)*(Inputs!$F$27-Inputs!$E$27)))</f>
        <v>91.6858471040048</v>
      </c>
      <c r="R1053" s="81" t="n">
        <f aca="true">RAND()</f>
        <v>0.235166797558986</v>
      </c>
      <c r="S1053" s="82" t="n">
        <f aca="false">IF(R1053&lt;(Inputs!$E$29-Inputs!$D$29)/(Inputs!$F$29-Inputs!$D$29),Inputs!$D$29+SQRT(R1053*(Inputs!$F$29-Inputs!$D$29)*(Inputs!$E$29-Inputs!$D$29)),Inputs!$F$29-SQRT((1-R1053)*(Inputs!$F$29-Inputs!$D$29)*(Inputs!$F$29-Inputs!$E$29)))</f>
        <v>5.02862515410579</v>
      </c>
      <c r="T1053" s="68" t="n">
        <f aca="false">Inputs!$E$9*(1+E1053)+Inputs!$E$5*C1053*(Inputs!$E$11*Inputs!$E$14*(G1053*I1053/Inputs!$E$16+(1-G1053))*K1053+Inputs!$E$23*M1053)*(1+O1053)+Inputs!$E$5*(Q1053+S1053)</f>
        <v>7223.16150203078</v>
      </c>
    </row>
    <row r="1054" customFormat="false" ht="15" hidden="false" customHeight="false" outlineLevel="0" collapsed="false">
      <c r="A1054" s="1" t="n">
        <v>1050</v>
      </c>
      <c r="B1054" s="81" t="n">
        <f aca="true">RAND()</f>
        <v>0.694330725612885</v>
      </c>
      <c r="C1054" s="82" t="n">
        <f aca="false">ROUND(IF(B1054&lt;(Inputs!$E$8-Inputs!$D$8)/(Inputs!$F$8-Inputs!$D$8),Inputs!$D$8+SQRT(B1054*(Inputs!$F$8-Inputs!$D$8)*(Inputs!$E$8-Inputs!$D$8)),Inputs!$F$8-SQRT((1-B1054)*(Inputs!$F$8-Inputs!$D$8)*(Inputs!$F$8-Inputs!$E$8))),0)</f>
        <v>26</v>
      </c>
      <c r="D1054" s="81" t="n">
        <f aca="true">RAND()</f>
        <v>0.981578295053015</v>
      </c>
      <c r="E1054" s="83" t="n">
        <f aca="false">IF(D1054&lt;(Inputs!$E$10-Inputs!$D$10)/(Inputs!$F$10-Inputs!$D$10),Inputs!$D$10+SQRT(D1054*(Inputs!$F$10-Inputs!$D$10)*(Inputs!$E$10-Inputs!$D$10)),Inputs!$F$10-SQRT((1-D1054)*(Inputs!$F$10-Inputs!$D$10)*(Inputs!$F$10-Inputs!$E$10)))</f>
        <v>0.17649146647684</v>
      </c>
      <c r="F1054" s="81" t="n">
        <f aca="true">RAND()</f>
        <v>0.14447881752419</v>
      </c>
      <c r="G1054" s="83" t="n">
        <f aca="false">IF(F1054&lt;(Inputs!$E$15-Inputs!$D$15)/(Inputs!$F$15-Inputs!$D$15),Inputs!$D$15+SQRT(F1054*(Inputs!$F$15-Inputs!$D$15)*(Inputs!$E$15-Inputs!$D$15)),Inputs!$F$15-SQRT((1-F1054)*(Inputs!$F$15-Inputs!$D$15)*(Inputs!$F$15-Inputs!$E$15)))</f>
        <v>0.653754779791976</v>
      </c>
      <c r="H1054" s="81" t="n">
        <f aca="true">RAND()</f>
        <v>0.068886862921692</v>
      </c>
      <c r="I1054" s="82" t="n">
        <f aca="false">ROUND(IF(H1054&lt;(Inputs!$E$17-Inputs!$D$17)/(Inputs!$F$17-Inputs!$D$17),Inputs!$D$17+SQRT(H1054*(Inputs!$F$17-Inputs!$D$17)*(Inputs!$E$17-Inputs!$D$17)),Inputs!$F$17-SQRT((1-H1054)*(Inputs!$F$17-Inputs!$D$17)*(Inputs!$F$17-Inputs!$E$17))),0)</f>
        <v>102</v>
      </c>
      <c r="J1054" s="81" t="n">
        <f aca="true">RAND()</f>
        <v>0.729240486971159</v>
      </c>
      <c r="K1054" s="83" t="n">
        <f aca="false">IF(J1054&lt;(Inputs!$E$18-Inputs!$D$18)/(Inputs!$F$18-Inputs!$D$18),Inputs!$D$18+SQRT(J1054*(Inputs!$F$18-Inputs!$D$18)*(Inputs!$E$18-Inputs!$D$18)),Inputs!$F$18-SQRT((1-J1054)*(Inputs!$F$18-Inputs!$D$18)*(Inputs!$F$18-Inputs!$E$18)))</f>
        <v>1.09607970442458</v>
      </c>
      <c r="L1054" s="81" t="n">
        <f aca="true">RAND()</f>
        <v>0.669104093565395</v>
      </c>
      <c r="M1054" s="83" t="n">
        <f aca="false">IF(L1054&lt;(Inputs!$E$24-Inputs!$D$24)/(Inputs!$F$24-Inputs!$D$24),Inputs!$D$24+SQRT(L1054*(Inputs!$F$24-Inputs!$D$24)*(Inputs!$E$24-Inputs!$D$24)),Inputs!$F$24-SQRT((1-L1054)*(Inputs!$F$24-Inputs!$D$24)*(Inputs!$F$24-Inputs!$E$24)))</f>
        <v>0.918193297552551</v>
      </c>
      <c r="N1054" s="81" t="n">
        <f aca="true">RAND()</f>
        <v>0.799388452480808</v>
      </c>
      <c r="O1054" s="83" t="n">
        <f aca="false">IF(N1054&lt;(Inputs!$E$26-Inputs!$D$26)/(Inputs!$F$26-Inputs!$D$26),Inputs!$D$26+SQRT(N1054*(Inputs!$F$26-Inputs!$D$26)*(Inputs!$E$26-Inputs!$D$26)),Inputs!$F$26-SQRT((1-N1054)*(Inputs!$F$26-Inputs!$D$26)*(Inputs!$F$26-Inputs!$E$26)))</f>
        <v>0.675557620685631</v>
      </c>
      <c r="P1054" s="81" t="n">
        <f aca="true">RAND()</f>
        <v>0.899263590355695</v>
      </c>
      <c r="Q1054" s="82" t="n">
        <f aca="false">IF(P1054&lt;(Inputs!$E$27-Inputs!$D$27)/(Inputs!$F$27-Inputs!$D$27),Inputs!$D$27+SQRT(P1054*(Inputs!$F$27-Inputs!$D$27)*(Inputs!$E$27-Inputs!$D$27)),Inputs!$F$27-SQRT((1-P1054)*(Inputs!$F$27-Inputs!$D$27)*(Inputs!$F$27-Inputs!$E$27)))</f>
        <v>122.513220044314</v>
      </c>
      <c r="R1054" s="81" t="n">
        <f aca="true">RAND()</f>
        <v>0.447858738446719</v>
      </c>
      <c r="S1054" s="82" t="n">
        <f aca="false">IF(R1054&lt;(Inputs!$E$29-Inputs!$D$29)/(Inputs!$F$29-Inputs!$D$29),Inputs!$D$29+SQRT(R1054*(Inputs!$F$29-Inputs!$D$29)*(Inputs!$E$29-Inputs!$D$29)),Inputs!$F$29-SQRT((1-R1054)*(Inputs!$F$29-Inputs!$D$29)*(Inputs!$F$29-Inputs!$E$29)))</f>
        <v>6.52778871829046</v>
      </c>
      <c r="T1054" s="68" t="n">
        <f aca="false">Inputs!$E$9*(1+E1054)+Inputs!$E$5*C1054*(Inputs!$E$11*Inputs!$E$14*(G1054*I1054/Inputs!$E$16+(1-G1054))*K1054+Inputs!$E$23*M1054)*(1+O1054)+Inputs!$E$5*(Q1054+S1054)</f>
        <v>7258.33404110174</v>
      </c>
    </row>
    <row r="1055" customFormat="false" ht="15" hidden="false" customHeight="false" outlineLevel="0" collapsed="false">
      <c r="A1055" s="1" t="n">
        <v>1051</v>
      </c>
      <c r="B1055" s="81" t="n">
        <f aca="true">RAND()</f>
        <v>0.393347298541143</v>
      </c>
      <c r="C1055" s="82" t="n">
        <f aca="false">ROUND(IF(B1055&lt;(Inputs!$E$8-Inputs!$D$8)/(Inputs!$F$8-Inputs!$D$8),Inputs!$D$8+SQRT(B1055*(Inputs!$F$8-Inputs!$D$8)*(Inputs!$E$8-Inputs!$D$8)),Inputs!$F$8-SQRT((1-B1055)*(Inputs!$F$8-Inputs!$D$8)*(Inputs!$F$8-Inputs!$E$8))),0)</f>
        <v>24</v>
      </c>
      <c r="D1055" s="81" t="n">
        <f aca="true">RAND()</f>
        <v>0.824436443415776</v>
      </c>
      <c r="E1055" s="83" t="n">
        <f aca="false">IF(D1055&lt;(Inputs!$E$10-Inputs!$D$10)/(Inputs!$F$10-Inputs!$D$10),Inputs!$D$10+SQRT(D1055*(Inputs!$F$10-Inputs!$D$10)*(Inputs!$E$10-Inputs!$D$10)),Inputs!$F$10-SQRT((1-D1055)*(Inputs!$F$10-Inputs!$D$10)*(Inputs!$F$10-Inputs!$E$10)))</f>
        <v>0.12742654274787</v>
      </c>
      <c r="F1055" s="81" t="n">
        <f aca="true">RAND()</f>
        <v>0.739698056027192</v>
      </c>
      <c r="G1055" s="83" t="n">
        <f aca="false">IF(F1055&lt;(Inputs!$E$15-Inputs!$D$15)/(Inputs!$F$15-Inputs!$D$15),Inputs!$D$15+SQRT(F1055*(Inputs!$F$15-Inputs!$D$15)*(Inputs!$E$15-Inputs!$D$15)),Inputs!$F$15-SQRT((1-F1055)*(Inputs!$F$15-Inputs!$D$15)*(Inputs!$F$15-Inputs!$E$15)))</f>
        <v>0.727847114545182</v>
      </c>
      <c r="H1055" s="81" t="n">
        <f aca="true">RAND()</f>
        <v>0.672227705063446</v>
      </c>
      <c r="I1055" s="82" t="n">
        <f aca="false">ROUND(IF(H1055&lt;(Inputs!$E$17-Inputs!$D$17)/(Inputs!$F$17-Inputs!$D$17),Inputs!$D$17+SQRT(H1055*(Inputs!$F$17-Inputs!$D$17)*(Inputs!$E$17-Inputs!$D$17)),Inputs!$F$17-SQRT((1-H1055)*(Inputs!$F$17-Inputs!$D$17)*(Inputs!$F$17-Inputs!$E$17))),0)</f>
        <v>108</v>
      </c>
      <c r="J1055" s="81" t="n">
        <f aca="true">RAND()</f>
        <v>0.281407054070402</v>
      </c>
      <c r="K1055" s="83" t="n">
        <f aca="false">IF(J1055&lt;(Inputs!$E$18-Inputs!$D$18)/(Inputs!$F$18-Inputs!$D$18),Inputs!$D$18+SQRT(J1055*(Inputs!$F$18-Inputs!$D$18)*(Inputs!$E$18-Inputs!$D$18)),Inputs!$F$18-SQRT((1-J1055)*(Inputs!$F$18-Inputs!$D$18)*(Inputs!$F$18-Inputs!$E$18)))</f>
        <v>0.999243372032918</v>
      </c>
      <c r="L1055" s="81" t="n">
        <f aca="true">RAND()</f>
        <v>0.889883971919034</v>
      </c>
      <c r="M1055" s="83" t="n">
        <f aca="false">IF(L1055&lt;(Inputs!$E$24-Inputs!$D$24)/(Inputs!$F$24-Inputs!$D$24),Inputs!$D$24+SQRT(L1055*(Inputs!$F$24-Inputs!$D$24)*(Inputs!$E$24-Inputs!$D$24)),Inputs!$F$24-SQRT((1-L1055)*(Inputs!$F$24-Inputs!$D$24)*(Inputs!$F$24-Inputs!$E$24)))</f>
        <v>1.03743356207559</v>
      </c>
      <c r="N1055" s="81" t="n">
        <f aca="true">RAND()</f>
        <v>0.0431043018009487</v>
      </c>
      <c r="O1055" s="83" t="n">
        <f aca="false">IF(N1055&lt;(Inputs!$E$26-Inputs!$D$26)/(Inputs!$F$26-Inputs!$D$26),Inputs!$D$26+SQRT(N1055*(Inputs!$F$26-Inputs!$D$26)*(Inputs!$E$26-Inputs!$D$26)),Inputs!$F$26-SQRT((1-N1055)*(Inputs!$F$26-Inputs!$D$26)*(Inputs!$F$26-Inputs!$E$26)))</f>
        <v>0.384690942961322</v>
      </c>
      <c r="P1055" s="81" t="n">
        <f aca="true">RAND()</f>
        <v>0.689393752307992</v>
      </c>
      <c r="Q1055" s="82" t="n">
        <f aca="false">IF(P1055&lt;(Inputs!$E$27-Inputs!$D$27)/(Inputs!$F$27-Inputs!$D$27),Inputs!$D$27+SQRT(P1055*(Inputs!$F$27-Inputs!$D$27)*(Inputs!$E$27-Inputs!$D$27)),Inputs!$F$27-SQRT((1-P1055)*(Inputs!$F$27-Inputs!$D$27)*(Inputs!$F$27-Inputs!$E$27)))</f>
        <v>101.734620506101</v>
      </c>
      <c r="R1055" s="81" t="n">
        <f aca="true">RAND()</f>
        <v>0.130989470775821</v>
      </c>
      <c r="S1055" s="82" t="n">
        <f aca="false">IF(R1055&lt;(Inputs!$E$29-Inputs!$D$29)/(Inputs!$F$29-Inputs!$D$29),Inputs!$D$29+SQRT(R1055*(Inputs!$F$29-Inputs!$D$29)*(Inputs!$E$29-Inputs!$D$29)),Inputs!$F$29-SQRT((1-R1055)*(Inputs!$F$29-Inputs!$D$29)*(Inputs!$F$29-Inputs!$E$29)))</f>
        <v>4.26021887441394</v>
      </c>
      <c r="T1055" s="68" t="n">
        <f aca="false">Inputs!$E$9*(1+E1055)+Inputs!$E$5*C1055*(Inputs!$E$11*Inputs!$E$14*(G1055*I1055/Inputs!$E$16+(1-G1055))*K1055+Inputs!$E$23*M1055)*(1+O1055)+Inputs!$E$5*(Q1055+S1055)</f>
        <v>6022.10208455457</v>
      </c>
    </row>
    <row r="1056" customFormat="false" ht="15" hidden="false" customHeight="false" outlineLevel="0" collapsed="false">
      <c r="A1056" s="1" t="n">
        <v>1052</v>
      </c>
      <c r="B1056" s="81" t="n">
        <f aca="true">RAND()</f>
        <v>0.522013592570542</v>
      </c>
      <c r="C1056" s="82" t="n">
        <f aca="false">ROUND(IF(B1056&lt;(Inputs!$E$8-Inputs!$D$8)/(Inputs!$F$8-Inputs!$D$8),Inputs!$D$8+SQRT(B1056*(Inputs!$F$8-Inputs!$D$8)*(Inputs!$E$8-Inputs!$D$8)),Inputs!$F$8-SQRT((1-B1056)*(Inputs!$F$8-Inputs!$D$8)*(Inputs!$F$8-Inputs!$E$8))),0)</f>
        <v>25</v>
      </c>
      <c r="D1056" s="81" t="n">
        <f aca="true">RAND()</f>
        <v>0.361487043944405</v>
      </c>
      <c r="E1056" s="83" t="n">
        <f aca="false">IF(D1056&lt;(Inputs!$E$10-Inputs!$D$10)/(Inputs!$F$10-Inputs!$D$10),Inputs!$D$10+SQRT(D1056*(Inputs!$F$10-Inputs!$D$10)*(Inputs!$E$10-Inputs!$D$10)),Inputs!$F$10-SQRT((1-D1056)*(Inputs!$F$10-Inputs!$D$10)*(Inputs!$F$10-Inputs!$E$10)))</f>
        <v>0.0615970062402267</v>
      </c>
      <c r="F1056" s="81" t="n">
        <f aca="true">RAND()</f>
        <v>0.907891054912797</v>
      </c>
      <c r="G1056" s="83" t="n">
        <f aca="false">IF(F1056&lt;(Inputs!$E$15-Inputs!$D$15)/(Inputs!$F$15-Inputs!$D$15),Inputs!$D$15+SQRT(F1056*(Inputs!$F$15-Inputs!$D$15)*(Inputs!$E$15-Inputs!$D$15)),Inputs!$F$15-SQRT((1-F1056)*(Inputs!$F$15-Inputs!$D$15)*(Inputs!$F$15-Inputs!$E$15)))</f>
        <v>0.757079388381058</v>
      </c>
      <c r="H1056" s="81" t="n">
        <f aca="true">RAND()</f>
        <v>0.841539507577519</v>
      </c>
      <c r="I1056" s="82" t="n">
        <f aca="false">ROUND(IF(H1056&lt;(Inputs!$E$17-Inputs!$D$17)/(Inputs!$F$17-Inputs!$D$17),Inputs!$D$17+SQRT(H1056*(Inputs!$F$17-Inputs!$D$17)*(Inputs!$E$17-Inputs!$D$17)),Inputs!$F$17-SQRT((1-H1056)*(Inputs!$F$17-Inputs!$D$17)*(Inputs!$F$17-Inputs!$E$17))),0)</f>
        <v>110</v>
      </c>
      <c r="J1056" s="81" t="n">
        <f aca="true">RAND()</f>
        <v>0.254794805575897</v>
      </c>
      <c r="K1056" s="83" t="n">
        <f aca="false">IF(J1056&lt;(Inputs!$E$18-Inputs!$D$18)/(Inputs!$F$18-Inputs!$D$18),Inputs!$D$18+SQRT(J1056*(Inputs!$F$18-Inputs!$D$18)*(Inputs!$E$18-Inputs!$D$18)),Inputs!$F$18-SQRT((1-J1056)*(Inputs!$F$18-Inputs!$D$18)*(Inputs!$F$18-Inputs!$E$18)))</f>
        <v>0.994434200346889</v>
      </c>
      <c r="L1056" s="81" t="n">
        <f aca="true">RAND()</f>
        <v>0.53437285027724</v>
      </c>
      <c r="M1056" s="83" t="n">
        <f aca="false">IF(L1056&lt;(Inputs!$E$24-Inputs!$D$24)/(Inputs!$F$24-Inputs!$D$24),Inputs!$D$24+SQRT(L1056*(Inputs!$F$24-Inputs!$D$24)*(Inputs!$E$24-Inputs!$D$24)),Inputs!$F$24-SQRT((1-L1056)*(Inputs!$F$24-Inputs!$D$24)*(Inputs!$F$24-Inputs!$E$24)))</f>
        <v>0.865708935307175</v>
      </c>
      <c r="N1056" s="81" t="n">
        <f aca="true">RAND()</f>
        <v>0.0296707008956427</v>
      </c>
      <c r="O1056" s="83" t="n">
        <f aca="false">IF(N1056&lt;(Inputs!$E$26-Inputs!$D$26)/(Inputs!$F$26-Inputs!$D$26),Inputs!$D$26+SQRT(N1056*(Inputs!$F$26-Inputs!$D$26)*(Inputs!$E$26-Inputs!$D$26)),Inputs!$F$26-SQRT((1-N1056)*(Inputs!$F$26-Inputs!$D$26)*(Inputs!$F$26-Inputs!$E$26)))</f>
        <v>0.370265244815876</v>
      </c>
      <c r="P1056" s="81" t="n">
        <f aca="true">RAND()</f>
        <v>0.515805959695971</v>
      </c>
      <c r="Q1056" s="82" t="n">
        <f aca="false">IF(P1056&lt;(Inputs!$E$27-Inputs!$D$27)/(Inputs!$F$27-Inputs!$D$27),Inputs!$D$27+SQRT(P1056*(Inputs!$F$27-Inputs!$D$27)*(Inputs!$E$27-Inputs!$D$27)),Inputs!$F$27-SQRT((1-P1056)*(Inputs!$F$27-Inputs!$D$27)*(Inputs!$F$27-Inputs!$E$27)))</f>
        <v>89.7384425833499</v>
      </c>
      <c r="R1056" s="81" t="n">
        <f aca="true">RAND()</f>
        <v>0.565500930005676</v>
      </c>
      <c r="S1056" s="82" t="n">
        <f aca="false">IF(R1056&lt;(Inputs!$E$29-Inputs!$D$29)/(Inputs!$F$29-Inputs!$D$29),Inputs!$D$29+SQRT(R1056*(Inputs!$F$29-Inputs!$D$29)*(Inputs!$E$29-Inputs!$D$29)),Inputs!$F$29-SQRT((1-R1056)*(Inputs!$F$29-Inputs!$D$29)*(Inputs!$F$29-Inputs!$E$29)))</f>
        <v>7.4843577054744</v>
      </c>
      <c r="T1056" s="68" t="n">
        <f aca="false">Inputs!$E$9*(1+E1056)+Inputs!$E$5*C1056*(Inputs!$E$11*Inputs!$E$14*(G1056*I1056/Inputs!$E$16+(1-G1056))*K1056+Inputs!$E$23*M1056)*(1+O1056)+Inputs!$E$5*(Q1056+S1056)</f>
        <v>5697.20504310458</v>
      </c>
    </row>
    <row r="1057" customFormat="false" ht="15" hidden="false" customHeight="false" outlineLevel="0" collapsed="false">
      <c r="A1057" s="1" t="n">
        <v>1053</v>
      </c>
      <c r="B1057" s="81" t="n">
        <f aca="true">RAND()</f>
        <v>0.859855581006906</v>
      </c>
      <c r="C1057" s="82" t="n">
        <f aca="false">ROUND(IF(B1057&lt;(Inputs!$E$8-Inputs!$D$8)/(Inputs!$F$8-Inputs!$D$8),Inputs!$D$8+SQRT(B1057*(Inputs!$F$8-Inputs!$D$8)*(Inputs!$E$8-Inputs!$D$8)),Inputs!$F$8-SQRT((1-B1057)*(Inputs!$F$8-Inputs!$D$8)*(Inputs!$F$8-Inputs!$E$8))),0)</f>
        <v>27</v>
      </c>
      <c r="D1057" s="81" t="n">
        <f aca="true">RAND()</f>
        <v>0.2420359440175</v>
      </c>
      <c r="E1057" s="83" t="n">
        <f aca="false">IF(D1057&lt;(Inputs!$E$10-Inputs!$D$10)/(Inputs!$F$10-Inputs!$D$10),Inputs!$D$10+SQRT(D1057*(Inputs!$F$10-Inputs!$D$10)*(Inputs!$E$10-Inputs!$D$10)),Inputs!$F$10-SQRT((1-D1057)*(Inputs!$F$10-Inputs!$D$10)*(Inputs!$F$10-Inputs!$E$10)))</f>
        <v>0.0491971486996452</v>
      </c>
      <c r="F1057" s="81" t="n">
        <f aca="true">RAND()</f>
        <v>0.760593786488756</v>
      </c>
      <c r="G1057" s="83" t="n">
        <f aca="false">IF(F1057&lt;(Inputs!$E$15-Inputs!$D$15)/(Inputs!$F$15-Inputs!$D$15),Inputs!$D$15+SQRT(F1057*(Inputs!$F$15-Inputs!$D$15)*(Inputs!$E$15-Inputs!$D$15)),Inputs!$F$15-SQRT((1-F1057)*(Inputs!$F$15-Inputs!$D$15)*(Inputs!$F$15-Inputs!$E$15)))</f>
        <v>0.730803726471544</v>
      </c>
      <c r="H1057" s="81" t="n">
        <f aca="true">RAND()</f>
        <v>0.804903160940223</v>
      </c>
      <c r="I1057" s="82" t="n">
        <f aca="false">ROUND(IF(H1057&lt;(Inputs!$E$17-Inputs!$D$17)/(Inputs!$F$17-Inputs!$D$17),Inputs!$D$17+SQRT(H1057*(Inputs!$F$17-Inputs!$D$17)*(Inputs!$E$17-Inputs!$D$17)),Inputs!$F$17-SQRT((1-H1057)*(Inputs!$F$17-Inputs!$D$17)*(Inputs!$F$17-Inputs!$E$17))),0)</f>
        <v>110</v>
      </c>
      <c r="J1057" s="81" t="n">
        <f aca="true">RAND()</f>
        <v>0.787736782300695</v>
      </c>
      <c r="K1057" s="83" t="n">
        <f aca="false">IF(J1057&lt;(Inputs!$E$18-Inputs!$D$18)/(Inputs!$F$18-Inputs!$D$18),Inputs!$D$18+SQRT(J1057*(Inputs!$F$18-Inputs!$D$18)*(Inputs!$E$18-Inputs!$D$18)),Inputs!$F$18-SQRT((1-J1057)*(Inputs!$F$18-Inputs!$D$18)*(Inputs!$F$18-Inputs!$E$18)))</f>
        <v>1.11371709003441</v>
      </c>
      <c r="L1057" s="81" t="n">
        <f aca="true">RAND()</f>
        <v>0.248741918468735</v>
      </c>
      <c r="M1057" s="83" t="n">
        <f aca="false">IF(L1057&lt;(Inputs!$E$24-Inputs!$D$24)/(Inputs!$F$24-Inputs!$D$24),Inputs!$D$24+SQRT(L1057*(Inputs!$F$24-Inputs!$D$24)*(Inputs!$E$24-Inputs!$D$24)),Inputs!$F$24-SQRT((1-L1057)*(Inputs!$F$24-Inputs!$D$24)*(Inputs!$F$24-Inputs!$E$24)))</f>
        <v>0.772768718859197</v>
      </c>
      <c r="N1057" s="81" t="n">
        <f aca="true">RAND()</f>
        <v>0.676603200597457</v>
      </c>
      <c r="O1057" s="83" t="n">
        <f aca="false">IF(N1057&lt;(Inputs!$E$26-Inputs!$D$26)/(Inputs!$F$26-Inputs!$D$26),Inputs!$D$26+SQRT(N1057*(Inputs!$F$26-Inputs!$D$26)*(Inputs!$E$26-Inputs!$D$26)),Inputs!$F$26-SQRT((1-N1057)*(Inputs!$F$26-Inputs!$D$26)*(Inputs!$F$26-Inputs!$E$26)))</f>
        <v>0.636606251093816</v>
      </c>
      <c r="P1057" s="81" t="n">
        <f aca="true">RAND()</f>
        <v>0.530605310444964</v>
      </c>
      <c r="Q1057" s="82" t="n">
        <f aca="false">IF(P1057&lt;(Inputs!$E$27-Inputs!$D$27)/(Inputs!$F$27-Inputs!$D$27),Inputs!$D$27+SQRT(P1057*(Inputs!$F$27-Inputs!$D$27)*(Inputs!$E$27-Inputs!$D$27)),Inputs!$F$27-SQRT((1-P1057)*(Inputs!$F$27-Inputs!$D$27)*(Inputs!$F$27-Inputs!$E$27)))</f>
        <v>90.666534134076</v>
      </c>
      <c r="R1057" s="81" t="n">
        <f aca="true">RAND()</f>
        <v>0.924537305356488</v>
      </c>
      <c r="S1057" s="82" t="n">
        <f aca="false">IF(R1057&lt;(Inputs!$E$29-Inputs!$D$29)/(Inputs!$F$29-Inputs!$D$29),Inputs!$D$29+SQRT(R1057*(Inputs!$F$29-Inputs!$D$29)*(Inputs!$E$29-Inputs!$D$29)),Inputs!$F$29-SQRT((1-R1057)*(Inputs!$F$29-Inputs!$D$29)*(Inputs!$F$29-Inputs!$E$29)))</f>
        <v>11.8678840532866</v>
      </c>
      <c r="T1057" s="68" t="n">
        <f aca="false">Inputs!$E$9*(1+E1057)+Inputs!$E$5*C1057*(Inputs!$E$11*Inputs!$E$14*(G1057*I1057/Inputs!$E$16+(1-G1057))*K1057+Inputs!$E$23*M1057)*(1+O1057)+Inputs!$E$5*(Q1057+S1057)</f>
        <v>6705.46937281996</v>
      </c>
    </row>
    <row r="1058" customFormat="false" ht="15" hidden="false" customHeight="false" outlineLevel="0" collapsed="false">
      <c r="A1058" s="1" t="n">
        <v>1054</v>
      </c>
      <c r="B1058" s="81" t="n">
        <f aca="true">RAND()</f>
        <v>0.167758413794847</v>
      </c>
      <c r="C1058" s="82" t="n">
        <f aca="false">ROUND(IF(B1058&lt;(Inputs!$E$8-Inputs!$D$8)/(Inputs!$F$8-Inputs!$D$8),Inputs!$D$8+SQRT(B1058*(Inputs!$F$8-Inputs!$D$8)*(Inputs!$E$8-Inputs!$D$8)),Inputs!$F$8-SQRT((1-B1058)*(Inputs!$F$8-Inputs!$D$8)*(Inputs!$F$8-Inputs!$E$8))),0)</f>
        <v>23</v>
      </c>
      <c r="D1058" s="81" t="n">
        <f aca="true">RAND()</f>
        <v>0.0729032443659219</v>
      </c>
      <c r="E1058" s="83" t="n">
        <f aca="false">IF(D1058&lt;(Inputs!$E$10-Inputs!$D$10)/(Inputs!$F$10-Inputs!$D$10),Inputs!$D$10+SQRT(D1058*(Inputs!$F$10-Inputs!$D$10)*(Inputs!$E$10-Inputs!$D$10)),Inputs!$F$10-SQRT((1-D1058)*(Inputs!$F$10-Inputs!$D$10)*(Inputs!$F$10-Inputs!$E$10)))</f>
        <v>0.0270006008018196</v>
      </c>
      <c r="F1058" s="81" t="n">
        <f aca="true">RAND()</f>
        <v>0.695413793891209</v>
      </c>
      <c r="G1058" s="83" t="n">
        <f aca="false">IF(F1058&lt;(Inputs!$E$15-Inputs!$D$15)/(Inputs!$F$15-Inputs!$D$15),Inputs!$D$15+SQRT(F1058*(Inputs!$F$15-Inputs!$D$15)*(Inputs!$E$15-Inputs!$D$15)),Inputs!$F$15-SQRT((1-F1058)*(Inputs!$F$15-Inputs!$D$15)*(Inputs!$F$15-Inputs!$E$15)))</f>
        <v>0.721950502101706</v>
      </c>
      <c r="H1058" s="81" t="n">
        <f aca="true">RAND()</f>
        <v>0.143901488609649</v>
      </c>
      <c r="I1058" s="82" t="n">
        <f aca="false">ROUND(IF(H1058&lt;(Inputs!$E$17-Inputs!$D$17)/(Inputs!$F$17-Inputs!$D$17),Inputs!$D$17+SQRT(H1058*(Inputs!$F$17-Inputs!$D$17)*(Inputs!$E$17-Inputs!$D$17)),Inputs!$F$17-SQRT((1-H1058)*(Inputs!$F$17-Inputs!$D$17)*(Inputs!$F$17-Inputs!$E$17))),0)</f>
        <v>103</v>
      </c>
      <c r="J1058" s="81" t="n">
        <f aca="true">RAND()</f>
        <v>0.775284809923142</v>
      </c>
      <c r="K1058" s="83" t="n">
        <f aca="false">IF(J1058&lt;(Inputs!$E$18-Inputs!$D$18)/(Inputs!$F$18-Inputs!$D$18),Inputs!$D$18+SQRT(J1058*(Inputs!$F$18-Inputs!$D$18)*(Inputs!$E$18-Inputs!$D$18)),Inputs!$F$18-SQRT((1-J1058)*(Inputs!$F$18-Inputs!$D$18)*(Inputs!$F$18-Inputs!$E$18)))</f>
        <v>1.1097766812127</v>
      </c>
      <c r="L1058" s="81" t="n">
        <f aca="true">RAND()</f>
        <v>0.694009858980217</v>
      </c>
      <c r="M1058" s="83" t="n">
        <f aca="false">IF(L1058&lt;(Inputs!$E$24-Inputs!$D$24)/(Inputs!$F$24-Inputs!$D$24),Inputs!$D$24+SQRT(L1058*(Inputs!$F$24-Inputs!$D$24)*(Inputs!$E$24-Inputs!$D$24)),Inputs!$F$24-SQRT((1-L1058)*(Inputs!$F$24-Inputs!$D$24)*(Inputs!$F$24-Inputs!$E$24)))</f>
        <v>0.929006210689714</v>
      </c>
      <c r="N1058" s="81" t="n">
        <f aca="true">RAND()</f>
        <v>0.389000196930061</v>
      </c>
      <c r="O1058" s="83" t="n">
        <f aca="false">IF(N1058&lt;(Inputs!$E$26-Inputs!$D$26)/(Inputs!$F$26-Inputs!$D$26),Inputs!$D$26+SQRT(N1058*(Inputs!$F$26-Inputs!$D$26)*(Inputs!$E$26-Inputs!$D$26)),Inputs!$F$26-SQRT((1-N1058)*(Inputs!$F$26-Inputs!$D$26)*(Inputs!$F$26-Inputs!$E$26)))</f>
        <v>0.55442018938984</v>
      </c>
      <c r="P1058" s="81" t="n">
        <f aca="true">RAND()</f>
        <v>0.818747289728691</v>
      </c>
      <c r="Q1058" s="82" t="n">
        <f aca="false">IF(P1058&lt;(Inputs!$E$27-Inputs!$D$27)/(Inputs!$F$27-Inputs!$D$27),Inputs!$D$27+SQRT(P1058*(Inputs!$F$27-Inputs!$D$27)*(Inputs!$E$27-Inputs!$D$27)),Inputs!$F$27-SQRT((1-P1058)*(Inputs!$F$27-Inputs!$D$27)*(Inputs!$F$27-Inputs!$E$27)))</f>
        <v>113.13002133124</v>
      </c>
      <c r="R1058" s="81" t="n">
        <f aca="true">RAND()</f>
        <v>0.283892206674527</v>
      </c>
      <c r="S1058" s="82" t="n">
        <f aca="false">IF(R1058&lt;(Inputs!$E$29-Inputs!$D$29)/(Inputs!$F$29-Inputs!$D$29),Inputs!$D$29+SQRT(R1058*(Inputs!$F$29-Inputs!$D$29)*(Inputs!$E$29-Inputs!$D$29)),Inputs!$F$29-SQRT((1-R1058)*(Inputs!$F$29-Inputs!$D$29)*(Inputs!$F$29-Inputs!$E$29)))</f>
        <v>5.35147611640457</v>
      </c>
      <c r="T1058" s="68" t="n">
        <f aca="false">Inputs!$E$9*(1+E1058)+Inputs!$E$5*C1058*(Inputs!$E$11*Inputs!$E$14*(G1058*I1058/Inputs!$E$16+(1-G1058))*K1058+Inputs!$E$23*M1058)*(1+O1058)+Inputs!$E$5*(Q1058+S1058)</f>
        <v>6113.71176765128</v>
      </c>
    </row>
    <row r="1059" customFormat="false" ht="15" hidden="false" customHeight="false" outlineLevel="0" collapsed="false">
      <c r="A1059" s="1" t="n">
        <v>1055</v>
      </c>
      <c r="B1059" s="81" t="n">
        <f aca="true">RAND()</f>
        <v>0.409400947262835</v>
      </c>
      <c r="C1059" s="82" t="n">
        <f aca="false">ROUND(IF(B1059&lt;(Inputs!$E$8-Inputs!$D$8)/(Inputs!$F$8-Inputs!$D$8),Inputs!$D$8+SQRT(B1059*(Inputs!$F$8-Inputs!$D$8)*(Inputs!$E$8-Inputs!$D$8)),Inputs!$F$8-SQRT((1-B1059)*(Inputs!$F$8-Inputs!$D$8)*(Inputs!$F$8-Inputs!$E$8))),0)</f>
        <v>25</v>
      </c>
      <c r="D1059" s="81" t="n">
        <f aca="true">RAND()</f>
        <v>0.29339083254225</v>
      </c>
      <c r="E1059" s="83" t="n">
        <f aca="false">IF(D1059&lt;(Inputs!$E$10-Inputs!$D$10)/(Inputs!$F$10-Inputs!$D$10),Inputs!$D$10+SQRT(D1059*(Inputs!$F$10-Inputs!$D$10)*(Inputs!$E$10-Inputs!$D$10)),Inputs!$F$10-SQRT((1-D1059)*(Inputs!$F$10-Inputs!$D$10)*(Inputs!$F$10-Inputs!$E$10)))</f>
        <v>0.0544037259277131</v>
      </c>
      <c r="F1059" s="81" t="n">
        <f aca="true">RAND()</f>
        <v>0.518741682978388</v>
      </c>
      <c r="G1059" s="83" t="n">
        <f aca="false">IF(F1059&lt;(Inputs!$E$15-Inputs!$D$15)/(Inputs!$F$15-Inputs!$D$15),Inputs!$D$15+SQRT(F1059*(Inputs!$F$15-Inputs!$D$15)*(Inputs!$E$15-Inputs!$D$15)),Inputs!$F$15-SQRT((1-F1059)*(Inputs!$F$15-Inputs!$D$15)*(Inputs!$F$15-Inputs!$E$15)))</f>
        <v>0.701892067902579</v>
      </c>
      <c r="H1059" s="81" t="n">
        <f aca="true">RAND()</f>
        <v>0.562826067735955</v>
      </c>
      <c r="I1059" s="82" t="n">
        <f aca="false">ROUND(IF(H1059&lt;(Inputs!$E$17-Inputs!$D$17)/(Inputs!$F$17-Inputs!$D$17),Inputs!$D$17+SQRT(H1059*(Inputs!$F$17-Inputs!$D$17)*(Inputs!$E$17-Inputs!$D$17)),Inputs!$F$17-SQRT((1-H1059)*(Inputs!$F$17-Inputs!$D$17)*(Inputs!$F$17-Inputs!$E$17))),0)</f>
        <v>107</v>
      </c>
      <c r="J1059" s="81" t="n">
        <f aca="true">RAND()</f>
        <v>0.419528842034285</v>
      </c>
      <c r="K1059" s="83" t="n">
        <f aca="false">IF(J1059&lt;(Inputs!$E$18-Inputs!$D$18)/(Inputs!$F$18-Inputs!$D$18),Inputs!$D$18+SQRT(J1059*(Inputs!$F$18-Inputs!$D$18)*(Inputs!$E$18-Inputs!$D$18)),Inputs!$F$18-SQRT((1-J1059)*(Inputs!$F$18-Inputs!$D$18)*(Inputs!$F$18-Inputs!$E$18)))</f>
        <v>1.02463091089948</v>
      </c>
      <c r="L1059" s="81" t="n">
        <f aca="true">RAND()</f>
        <v>0.0743442002089227</v>
      </c>
      <c r="M1059" s="83" t="n">
        <f aca="false">IF(L1059&lt;(Inputs!$E$24-Inputs!$D$24)/(Inputs!$F$24-Inputs!$D$24),Inputs!$D$24+SQRT(L1059*(Inputs!$F$24-Inputs!$D$24)*(Inputs!$E$24-Inputs!$D$24)),Inputs!$F$24-SQRT((1-L1059)*(Inputs!$F$24-Inputs!$D$24)*(Inputs!$F$24-Inputs!$E$24)))</f>
        <v>0.694452654939238</v>
      </c>
      <c r="N1059" s="81" t="n">
        <f aca="true">RAND()</f>
        <v>0.59547769722363</v>
      </c>
      <c r="O1059" s="83" t="n">
        <f aca="false">IF(N1059&lt;(Inputs!$E$26-Inputs!$D$26)/(Inputs!$F$26-Inputs!$D$26),Inputs!$D$26+SQRT(N1059*(Inputs!$F$26-Inputs!$D$26)*(Inputs!$E$26-Inputs!$D$26)),Inputs!$F$26-SQRT((1-N1059)*(Inputs!$F$26-Inputs!$D$26)*(Inputs!$F$26-Inputs!$E$26)))</f>
        <v>0.614781652607029</v>
      </c>
      <c r="P1059" s="81" t="n">
        <f aca="true">RAND()</f>
        <v>0.900657456051684</v>
      </c>
      <c r="Q1059" s="82" t="n">
        <f aca="false">IF(P1059&lt;(Inputs!$E$27-Inputs!$D$27)/(Inputs!$F$27-Inputs!$D$27),Inputs!$D$27+SQRT(P1059*(Inputs!$F$27-Inputs!$D$27)*(Inputs!$E$27-Inputs!$D$27)),Inputs!$F$27-SQRT((1-P1059)*(Inputs!$F$27-Inputs!$D$27)*(Inputs!$F$27-Inputs!$E$27)))</f>
        <v>122.704046460833</v>
      </c>
      <c r="R1059" s="81" t="n">
        <f aca="true">RAND()</f>
        <v>0.221731892397361</v>
      </c>
      <c r="S1059" s="82" t="n">
        <f aca="false">IF(R1059&lt;(Inputs!$E$29-Inputs!$D$29)/(Inputs!$F$29-Inputs!$D$29),Inputs!$D$29+SQRT(R1059*(Inputs!$F$29-Inputs!$D$29)*(Inputs!$E$29-Inputs!$D$29)),Inputs!$F$29-SQRT((1-R1059)*(Inputs!$F$29-Inputs!$D$29)*(Inputs!$F$29-Inputs!$E$29)))</f>
        <v>4.94067063839137</v>
      </c>
      <c r="T1059" s="68" t="n">
        <f aca="false">Inputs!$E$9*(1+E1059)+Inputs!$E$5*C1059*(Inputs!$E$11*Inputs!$E$14*(G1059*I1059/Inputs!$E$16+(1-G1059))*K1059+Inputs!$E$23*M1059)*(1+O1059)+Inputs!$E$5*(Q1059+S1059)</f>
        <v>6200.22155982651</v>
      </c>
    </row>
    <row r="1060" customFormat="false" ht="15" hidden="false" customHeight="false" outlineLevel="0" collapsed="false">
      <c r="A1060" s="1" t="n">
        <v>1056</v>
      </c>
      <c r="B1060" s="81" t="n">
        <f aca="true">RAND()</f>
        <v>0.407067847197724</v>
      </c>
      <c r="C1060" s="82" t="n">
        <f aca="false">ROUND(IF(B1060&lt;(Inputs!$E$8-Inputs!$D$8)/(Inputs!$F$8-Inputs!$D$8),Inputs!$D$8+SQRT(B1060*(Inputs!$F$8-Inputs!$D$8)*(Inputs!$E$8-Inputs!$D$8)),Inputs!$F$8-SQRT((1-B1060)*(Inputs!$F$8-Inputs!$D$8)*(Inputs!$F$8-Inputs!$E$8))),0)</f>
        <v>25</v>
      </c>
      <c r="D1060" s="81" t="n">
        <f aca="true">RAND()</f>
        <v>0.354580790661008</v>
      </c>
      <c r="E1060" s="83" t="n">
        <f aca="false">IF(D1060&lt;(Inputs!$E$10-Inputs!$D$10)/(Inputs!$F$10-Inputs!$D$10),Inputs!$D$10+SQRT(D1060*(Inputs!$F$10-Inputs!$D$10)*(Inputs!$E$10-Inputs!$D$10)),Inputs!$F$10-SQRT((1-D1060)*(Inputs!$F$10-Inputs!$D$10)*(Inputs!$F$10-Inputs!$E$10)))</f>
        <v>0.060850525404622</v>
      </c>
      <c r="F1060" s="81" t="n">
        <f aca="true">RAND()</f>
        <v>0.661767285706728</v>
      </c>
      <c r="G1060" s="83" t="n">
        <f aca="false">IF(F1060&lt;(Inputs!$E$15-Inputs!$D$15)/(Inputs!$F$15-Inputs!$D$15),Inputs!$D$15+SQRT(F1060*(Inputs!$F$15-Inputs!$D$15)*(Inputs!$E$15-Inputs!$D$15)),Inputs!$F$15-SQRT((1-F1060)*(Inputs!$F$15-Inputs!$D$15)*(Inputs!$F$15-Inputs!$E$15)))</f>
        <v>0.717752481582327</v>
      </c>
      <c r="H1060" s="81" t="n">
        <f aca="true">RAND()</f>
        <v>0.250485633725235</v>
      </c>
      <c r="I1060" s="82" t="n">
        <f aca="false">ROUND(IF(H1060&lt;(Inputs!$E$17-Inputs!$D$17)/(Inputs!$F$17-Inputs!$D$17),Inputs!$D$17+SQRT(H1060*(Inputs!$F$17-Inputs!$D$17)*(Inputs!$E$17-Inputs!$D$17)),Inputs!$F$17-SQRT((1-H1060)*(Inputs!$F$17-Inputs!$D$17)*(Inputs!$F$17-Inputs!$E$17))),0)</f>
        <v>104</v>
      </c>
      <c r="J1060" s="81" t="n">
        <f aca="true">RAND()</f>
        <v>0.369269541052415</v>
      </c>
      <c r="K1060" s="83" t="n">
        <f aca="false">IF(J1060&lt;(Inputs!$E$18-Inputs!$D$18)/(Inputs!$F$18-Inputs!$D$18),Inputs!$D$18+SQRT(J1060*(Inputs!$F$18-Inputs!$D$18)*(Inputs!$E$18-Inputs!$D$18)),Inputs!$F$18-SQRT((1-J1060)*(Inputs!$F$18-Inputs!$D$18)*(Inputs!$F$18-Inputs!$E$18)))</f>
        <v>1.01507678880555</v>
      </c>
      <c r="L1060" s="81" t="n">
        <f aca="true">RAND()</f>
        <v>0.14170329604703</v>
      </c>
      <c r="M1060" s="83" t="n">
        <f aca="false">IF(L1060&lt;(Inputs!$E$24-Inputs!$D$24)/(Inputs!$F$24-Inputs!$D$24),Inputs!$D$24+SQRT(L1060*(Inputs!$F$24-Inputs!$D$24)*(Inputs!$E$24-Inputs!$D$24)),Inputs!$F$24-SQRT((1-L1060)*(Inputs!$F$24-Inputs!$D$24)*(Inputs!$F$24-Inputs!$E$24)))</f>
        <v>0.730400903085997</v>
      </c>
      <c r="N1060" s="81" t="n">
        <f aca="true">RAND()</f>
        <v>0.520966811227993</v>
      </c>
      <c r="O1060" s="83" t="n">
        <f aca="false">IF(N1060&lt;(Inputs!$E$26-Inputs!$D$26)/(Inputs!$F$26-Inputs!$D$26),Inputs!$D$26+SQRT(N1060*(Inputs!$F$26-Inputs!$D$26)*(Inputs!$E$26-Inputs!$D$26)),Inputs!$F$26-SQRT((1-N1060)*(Inputs!$F$26-Inputs!$D$26)*(Inputs!$F$26-Inputs!$E$26)))</f>
        <v>0.594429749496103</v>
      </c>
      <c r="P1060" s="81" t="n">
        <f aca="true">RAND()</f>
        <v>0.654840819111701</v>
      </c>
      <c r="Q1060" s="82" t="n">
        <f aca="false">IF(P1060&lt;(Inputs!$E$27-Inputs!$D$27)/(Inputs!$F$27-Inputs!$D$27),Inputs!$D$27+SQRT(P1060*(Inputs!$F$27-Inputs!$D$27)*(Inputs!$E$27-Inputs!$D$27)),Inputs!$F$27-SQRT((1-P1060)*(Inputs!$F$27-Inputs!$D$27)*(Inputs!$F$27-Inputs!$E$27)))</f>
        <v>99.1207915090826</v>
      </c>
      <c r="R1060" s="81" t="n">
        <f aca="true">RAND()</f>
        <v>0.246110355330329</v>
      </c>
      <c r="S1060" s="82" t="n">
        <f aca="false">IF(R1060&lt;(Inputs!$E$29-Inputs!$D$29)/(Inputs!$F$29-Inputs!$D$29),Inputs!$D$29+SQRT(R1060*(Inputs!$F$29-Inputs!$D$29)*(Inputs!$E$29-Inputs!$D$29)),Inputs!$F$29-SQRT((1-R1060)*(Inputs!$F$29-Inputs!$D$29)*(Inputs!$F$29-Inputs!$E$29)))</f>
        <v>5.10021950712759</v>
      </c>
      <c r="T1060" s="68" t="n">
        <f aca="false">Inputs!$E$9*(1+E1060)+Inputs!$E$5*C1060*(Inputs!$E$11*Inputs!$E$14*(G1060*I1060/Inputs!$E$16+(1-G1060))*K1060+Inputs!$E$23*M1060)*(1+O1060)+Inputs!$E$5*(Q1060+S1060)</f>
        <v>6029.7520367885</v>
      </c>
    </row>
    <row r="1061" customFormat="false" ht="15" hidden="false" customHeight="false" outlineLevel="0" collapsed="false">
      <c r="A1061" s="1" t="n">
        <v>1057</v>
      </c>
      <c r="B1061" s="81" t="n">
        <f aca="true">RAND()</f>
        <v>0.0223745389066192</v>
      </c>
      <c r="C1061" s="82" t="n">
        <f aca="false">ROUND(IF(B1061&lt;(Inputs!$E$8-Inputs!$D$8)/(Inputs!$F$8-Inputs!$D$8),Inputs!$D$8+SQRT(B1061*(Inputs!$F$8-Inputs!$D$8)*(Inputs!$E$8-Inputs!$D$8)),Inputs!$F$8-SQRT((1-B1061)*(Inputs!$F$8-Inputs!$D$8)*(Inputs!$F$8-Inputs!$E$8))),0)</f>
        <v>21</v>
      </c>
      <c r="D1061" s="81" t="n">
        <f aca="true">RAND()</f>
        <v>0.969096350758201</v>
      </c>
      <c r="E1061" s="83" t="n">
        <f aca="false">IF(D1061&lt;(Inputs!$E$10-Inputs!$D$10)/(Inputs!$F$10-Inputs!$D$10),Inputs!$D$10+SQRT(D1061*(Inputs!$F$10-Inputs!$D$10)*(Inputs!$E$10-Inputs!$D$10)),Inputs!$F$10-SQRT((1-D1061)*(Inputs!$F$10-Inputs!$D$10)*(Inputs!$F$10-Inputs!$E$10)))</f>
        <v>0.169551527505407</v>
      </c>
      <c r="F1061" s="81" t="n">
        <f aca="true">RAND()</f>
        <v>0.924664159054327</v>
      </c>
      <c r="G1061" s="83" t="n">
        <f aca="false">IF(F1061&lt;(Inputs!$E$15-Inputs!$D$15)/(Inputs!$F$15-Inputs!$D$15),Inputs!$D$15+SQRT(F1061*(Inputs!$F$15-Inputs!$D$15)*(Inputs!$E$15-Inputs!$D$15)),Inputs!$F$15-SQRT((1-F1061)*(Inputs!$F$15-Inputs!$D$15)*(Inputs!$F$15-Inputs!$E$15)))</f>
        <v>0.761183549635323</v>
      </c>
      <c r="H1061" s="81" t="n">
        <f aca="true">RAND()</f>
        <v>0.598341105132052</v>
      </c>
      <c r="I1061" s="82" t="n">
        <f aca="false">ROUND(IF(H1061&lt;(Inputs!$E$17-Inputs!$D$17)/(Inputs!$F$17-Inputs!$D$17),Inputs!$D$17+SQRT(H1061*(Inputs!$F$17-Inputs!$D$17)*(Inputs!$E$17-Inputs!$D$17)),Inputs!$F$17-SQRT((1-H1061)*(Inputs!$F$17-Inputs!$D$17)*(Inputs!$F$17-Inputs!$E$17))),0)</f>
        <v>107</v>
      </c>
      <c r="J1061" s="81" t="n">
        <f aca="true">RAND()</f>
        <v>0.524577299460975</v>
      </c>
      <c r="K1061" s="83" t="n">
        <f aca="false">IF(J1061&lt;(Inputs!$E$18-Inputs!$D$18)/(Inputs!$F$18-Inputs!$D$18),Inputs!$D$18+SQRT(J1061*(Inputs!$F$18-Inputs!$D$18)*(Inputs!$E$18-Inputs!$D$18)),Inputs!$F$18-SQRT((1-J1061)*(Inputs!$F$18-Inputs!$D$18)*(Inputs!$F$18-Inputs!$E$18)))</f>
        <v>1.04604047877786</v>
      </c>
      <c r="L1061" s="81" t="n">
        <f aca="true">RAND()</f>
        <v>0.606908190666867</v>
      </c>
      <c r="M1061" s="83" t="n">
        <f aca="false">IF(L1061&lt;(Inputs!$E$24-Inputs!$D$24)/(Inputs!$F$24-Inputs!$D$24),Inputs!$D$24+SQRT(L1061*(Inputs!$F$24-Inputs!$D$24)*(Inputs!$E$24-Inputs!$D$24)),Inputs!$F$24-SQRT((1-L1061)*(Inputs!$F$24-Inputs!$D$24)*(Inputs!$F$24-Inputs!$E$24)))</f>
        <v>0.892848515810273</v>
      </c>
      <c r="N1061" s="81" t="n">
        <f aca="true">RAND()</f>
        <v>0.00499704458366746</v>
      </c>
      <c r="O1061" s="83" t="n">
        <f aca="false">IF(N1061&lt;(Inputs!$E$26-Inputs!$D$26)/(Inputs!$F$26-Inputs!$D$26),Inputs!$D$26+SQRT(N1061*(Inputs!$F$26-Inputs!$D$26)*(Inputs!$E$26-Inputs!$D$26)),Inputs!$F$26-SQRT((1-N1061)*(Inputs!$F$26-Inputs!$D$26)*(Inputs!$F$26-Inputs!$E$26)))</f>
        <v>0.328835884219532</v>
      </c>
      <c r="P1061" s="81" t="n">
        <f aca="true">RAND()</f>
        <v>0.565990377855834</v>
      </c>
      <c r="Q1061" s="82" t="n">
        <f aca="false">IF(P1061&lt;(Inputs!$E$27-Inputs!$D$27)/(Inputs!$F$27-Inputs!$D$27),Inputs!$D$27+SQRT(P1061*(Inputs!$F$27-Inputs!$D$27)*(Inputs!$E$27-Inputs!$D$27)),Inputs!$F$27-SQRT((1-P1061)*(Inputs!$F$27-Inputs!$D$27)*(Inputs!$F$27-Inputs!$E$27)))</f>
        <v>92.9467602490336</v>
      </c>
      <c r="R1061" s="81" t="n">
        <f aca="true">RAND()</f>
        <v>0.42388495076794</v>
      </c>
      <c r="S1061" s="82" t="n">
        <f aca="false">IF(R1061&lt;(Inputs!$E$29-Inputs!$D$29)/(Inputs!$F$29-Inputs!$D$29),Inputs!$D$29+SQRT(R1061*(Inputs!$F$29-Inputs!$D$29)*(Inputs!$E$29-Inputs!$D$29)),Inputs!$F$29-SQRT((1-R1061)*(Inputs!$F$29-Inputs!$D$29)*(Inputs!$F$29-Inputs!$E$29)))</f>
        <v>6.34581278223265</v>
      </c>
      <c r="T1061" s="68" t="n">
        <f aca="false">Inputs!$E$9*(1+E1061)+Inputs!$E$5*C1061*(Inputs!$E$11*Inputs!$E$14*(G1061*I1061/Inputs!$E$16+(1-G1061))*K1061+Inputs!$E$23*M1061)*(1+O1061)+Inputs!$E$5*(Q1061+S1061)</f>
        <v>5484.30808045605</v>
      </c>
    </row>
    <row r="1062" customFormat="false" ht="15" hidden="false" customHeight="false" outlineLevel="0" collapsed="false">
      <c r="A1062" s="1" t="n">
        <v>1058</v>
      </c>
      <c r="B1062" s="81" t="n">
        <f aca="true">RAND()</f>
        <v>0.504026285034907</v>
      </c>
      <c r="C1062" s="82" t="n">
        <f aca="false">ROUND(IF(B1062&lt;(Inputs!$E$8-Inputs!$D$8)/(Inputs!$F$8-Inputs!$D$8),Inputs!$D$8+SQRT(B1062*(Inputs!$F$8-Inputs!$D$8)*(Inputs!$E$8-Inputs!$D$8)),Inputs!$F$8-SQRT((1-B1062)*(Inputs!$F$8-Inputs!$D$8)*(Inputs!$F$8-Inputs!$E$8))),0)</f>
        <v>25</v>
      </c>
      <c r="D1062" s="81" t="n">
        <f aca="true">RAND()</f>
        <v>0.44697085081366</v>
      </c>
      <c r="E1062" s="83" t="n">
        <f aca="false">IF(D1062&lt;(Inputs!$E$10-Inputs!$D$10)/(Inputs!$F$10-Inputs!$D$10),Inputs!$D$10+SQRT(D1062*(Inputs!$F$10-Inputs!$D$10)*(Inputs!$E$10-Inputs!$D$10)),Inputs!$F$10-SQRT((1-D1062)*(Inputs!$F$10-Inputs!$D$10)*(Inputs!$F$10-Inputs!$E$10)))</f>
        <v>0.0711944315039517</v>
      </c>
      <c r="F1062" s="81" t="n">
        <f aca="true">RAND()</f>
        <v>0.644118228898329</v>
      </c>
      <c r="G1062" s="83" t="n">
        <f aca="false">IF(F1062&lt;(Inputs!$E$15-Inputs!$D$15)/(Inputs!$F$15-Inputs!$D$15),Inputs!$D$15+SQRT(F1062*(Inputs!$F$15-Inputs!$D$15)*(Inputs!$E$15-Inputs!$D$15)),Inputs!$F$15-SQRT((1-F1062)*(Inputs!$F$15-Inputs!$D$15)*(Inputs!$F$15-Inputs!$E$15)))</f>
        <v>0.715633920192808</v>
      </c>
      <c r="H1062" s="81" t="n">
        <f aca="true">RAND()</f>
        <v>0.927923827732681</v>
      </c>
      <c r="I1062" s="82" t="n">
        <f aca="false">ROUND(IF(H1062&lt;(Inputs!$E$17-Inputs!$D$17)/(Inputs!$F$17-Inputs!$D$17),Inputs!$D$17+SQRT(H1062*(Inputs!$F$17-Inputs!$D$17)*(Inputs!$E$17-Inputs!$D$17)),Inputs!$F$17-SQRT((1-H1062)*(Inputs!$F$17-Inputs!$D$17)*(Inputs!$F$17-Inputs!$E$17))),0)</f>
        <v>112</v>
      </c>
      <c r="J1062" s="81" t="n">
        <f aca="true">RAND()</f>
        <v>0.0787489678633217</v>
      </c>
      <c r="K1062" s="83" t="n">
        <f aca="false">IF(J1062&lt;(Inputs!$E$18-Inputs!$D$18)/(Inputs!$F$18-Inputs!$D$18),Inputs!$D$18+SQRT(J1062*(Inputs!$F$18-Inputs!$D$18)*(Inputs!$E$18-Inputs!$D$18)),Inputs!$F$18-SQRT((1-J1062)*(Inputs!$F$18-Inputs!$D$18)*(Inputs!$F$18-Inputs!$E$18)))</f>
        <v>0.952499655953313</v>
      </c>
      <c r="L1062" s="81" t="n">
        <f aca="true">RAND()</f>
        <v>0.0367434708046072</v>
      </c>
      <c r="M1062" s="83" t="n">
        <f aca="false">IF(L1062&lt;(Inputs!$E$24-Inputs!$D$24)/(Inputs!$F$24-Inputs!$D$24),Inputs!$D$24+SQRT(L1062*(Inputs!$F$24-Inputs!$D$24)*(Inputs!$E$24-Inputs!$D$24)),Inputs!$F$24-SQRT((1-L1062)*(Inputs!$F$24-Inputs!$D$24)*(Inputs!$F$24-Inputs!$E$24)))</f>
        <v>0.666401931421856</v>
      </c>
      <c r="N1062" s="81" t="n">
        <f aca="true">RAND()</f>
        <v>0.411425610434937</v>
      </c>
      <c r="O1062" s="83" t="n">
        <f aca="false">IF(N1062&lt;(Inputs!$E$26-Inputs!$D$26)/(Inputs!$F$26-Inputs!$D$26),Inputs!$D$26+SQRT(N1062*(Inputs!$F$26-Inputs!$D$26)*(Inputs!$E$26-Inputs!$D$26)),Inputs!$F$26-SQRT((1-N1062)*(Inputs!$F$26-Inputs!$D$26)*(Inputs!$F$26-Inputs!$E$26)))</f>
        <v>0.561650953708129</v>
      </c>
      <c r="P1062" s="81" t="n">
        <f aca="true">RAND()</f>
        <v>0.240809761136978</v>
      </c>
      <c r="Q1062" s="82" t="n">
        <f aca="false">IF(P1062&lt;(Inputs!$E$27-Inputs!$D$27)/(Inputs!$F$27-Inputs!$D$27),Inputs!$D$27+SQRT(P1062*(Inputs!$F$27-Inputs!$D$27)*(Inputs!$E$27-Inputs!$D$27)),Inputs!$F$27-SQRT((1-P1062)*(Inputs!$F$27-Inputs!$D$27)*(Inputs!$F$27-Inputs!$E$27)))</f>
        <v>74.5361855805349</v>
      </c>
      <c r="R1062" s="81" t="n">
        <f aca="true">RAND()</f>
        <v>0.10429693656132</v>
      </c>
      <c r="S1062" s="82" t="n">
        <f aca="false">IF(R1062&lt;(Inputs!$E$29-Inputs!$D$29)/(Inputs!$F$29-Inputs!$D$29),Inputs!$D$29+SQRT(R1062*(Inputs!$F$29-Inputs!$D$29)*(Inputs!$E$29-Inputs!$D$29)),Inputs!$F$29-SQRT((1-R1062)*(Inputs!$F$29-Inputs!$D$29)*(Inputs!$F$29-Inputs!$E$29)))</f>
        <v>4.01682436664462</v>
      </c>
      <c r="T1062" s="68" t="n">
        <f aca="false">Inputs!$E$9*(1+E1062)+Inputs!$E$5*C1062*(Inputs!$E$11*Inputs!$E$14*(G1062*I1062/Inputs!$E$16+(1-G1062))*K1062+Inputs!$E$23*M1062)*(1+O1062)+Inputs!$E$5*(Q1062+S1062)</f>
        <v>5732.08261537846</v>
      </c>
    </row>
    <row r="1063" customFormat="false" ht="15" hidden="false" customHeight="false" outlineLevel="0" collapsed="false">
      <c r="A1063" s="1" t="n">
        <v>1059</v>
      </c>
      <c r="B1063" s="81" t="n">
        <f aca="true">RAND()</f>
        <v>0.0242273951949275</v>
      </c>
      <c r="C1063" s="82" t="n">
        <f aca="false">ROUND(IF(B1063&lt;(Inputs!$E$8-Inputs!$D$8)/(Inputs!$F$8-Inputs!$D$8),Inputs!$D$8+SQRT(B1063*(Inputs!$F$8-Inputs!$D$8)*(Inputs!$E$8-Inputs!$D$8)),Inputs!$F$8-SQRT((1-B1063)*(Inputs!$F$8-Inputs!$D$8)*(Inputs!$F$8-Inputs!$E$8))),0)</f>
        <v>21</v>
      </c>
      <c r="D1063" s="81" t="n">
        <f aca="true">RAND()</f>
        <v>0.832559583123837</v>
      </c>
      <c r="E1063" s="83" t="n">
        <f aca="false">IF(D1063&lt;(Inputs!$E$10-Inputs!$D$10)/(Inputs!$F$10-Inputs!$D$10),Inputs!$D$10+SQRT(D1063*(Inputs!$F$10-Inputs!$D$10)*(Inputs!$E$10-Inputs!$D$10)),Inputs!$F$10-SQRT((1-D1063)*(Inputs!$F$10-Inputs!$D$10)*(Inputs!$F$10-Inputs!$E$10)))</f>
        <v>0.129125374736194</v>
      </c>
      <c r="F1063" s="81" t="n">
        <f aca="true">RAND()</f>
        <v>0.0612440347580191</v>
      </c>
      <c r="G1063" s="83" t="n">
        <f aca="false">IF(F1063&lt;(Inputs!$E$15-Inputs!$D$15)/(Inputs!$F$15-Inputs!$D$15),Inputs!$D$15+SQRT(F1063*(Inputs!$F$15-Inputs!$D$15)*(Inputs!$E$15-Inputs!$D$15)),Inputs!$F$15-SQRT((1-F1063)*(Inputs!$F$15-Inputs!$D$15)*(Inputs!$F$15-Inputs!$E$15)))</f>
        <v>0.634998295603649</v>
      </c>
      <c r="H1063" s="81" t="n">
        <f aca="true">RAND()</f>
        <v>0.607073648973857</v>
      </c>
      <c r="I1063" s="82" t="n">
        <f aca="false">ROUND(IF(H1063&lt;(Inputs!$E$17-Inputs!$D$17)/(Inputs!$F$17-Inputs!$D$17),Inputs!$D$17+SQRT(H1063*(Inputs!$F$17-Inputs!$D$17)*(Inputs!$E$17-Inputs!$D$17)),Inputs!$F$17-SQRT((1-H1063)*(Inputs!$F$17-Inputs!$D$17)*(Inputs!$F$17-Inputs!$E$17))),0)</f>
        <v>107</v>
      </c>
      <c r="J1063" s="81" t="n">
        <f aca="true">RAND()</f>
        <v>0.483337935567571</v>
      </c>
      <c r="K1063" s="83" t="n">
        <f aca="false">IF(J1063&lt;(Inputs!$E$18-Inputs!$D$18)/(Inputs!$F$18-Inputs!$D$18),Inputs!$D$18+SQRT(J1063*(Inputs!$F$18-Inputs!$D$18)*(Inputs!$E$18-Inputs!$D$18)),Inputs!$F$18-SQRT((1-J1063)*(Inputs!$F$18-Inputs!$D$18)*(Inputs!$F$18-Inputs!$E$18)))</f>
        <v>1.03737843327207</v>
      </c>
      <c r="L1063" s="81" t="n">
        <f aca="true">RAND()</f>
        <v>0.809777574656824</v>
      </c>
      <c r="M1063" s="83" t="n">
        <f aca="false">IF(L1063&lt;(Inputs!$E$24-Inputs!$D$24)/(Inputs!$F$24-Inputs!$D$24),Inputs!$D$24+SQRT(L1063*(Inputs!$F$24-Inputs!$D$24)*(Inputs!$E$24-Inputs!$D$24)),Inputs!$F$24-SQRT((1-L1063)*(Inputs!$F$24-Inputs!$D$24)*(Inputs!$F$24-Inputs!$E$24)))</f>
        <v>0.986333479266493</v>
      </c>
      <c r="N1063" s="81" t="n">
        <f aca="true">RAND()</f>
        <v>0.382626404942439</v>
      </c>
      <c r="O1063" s="83" t="n">
        <f aca="false">IF(N1063&lt;(Inputs!$E$26-Inputs!$D$26)/(Inputs!$F$26-Inputs!$D$26),Inputs!$D$26+SQRT(N1063*(Inputs!$F$26-Inputs!$D$26)*(Inputs!$E$26-Inputs!$D$26)),Inputs!$F$26-SQRT((1-N1063)*(Inputs!$F$26-Inputs!$D$26)*(Inputs!$F$26-Inputs!$E$26)))</f>
        <v>0.552327235514563</v>
      </c>
      <c r="P1063" s="81" t="n">
        <f aca="true">RAND()</f>
        <v>0.0536265706846696</v>
      </c>
      <c r="Q1063" s="82" t="n">
        <f aca="false">IF(P1063&lt;(Inputs!$E$27-Inputs!$D$27)/(Inputs!$F$27-Inputs!$D$27),Inputs!$D$27+SQRT(P1063*(Inputs!$F$27-Inputs!$D$27)*(Inputs!$E$27-Inputs!$D$27)),Inputs!$F$27-SQRT((1-P1063)*(Inputs!$F$27-Inputs!$D$27)*(Inputs!$F$27-Inputs!$E$27)))</f>
        <v>61.578705744239</v>
      </c>
      <c r="R1063" s="81" t="n">
        <f aca="true">RAND()</f>
        <v>0.836039265096739</v>
      </c>
      <c r="S1063" s="82" t="n">
        <f aca="false">IF(R1063&lt;(Inputs!$E$29-Inputs!$D$29)/(Inputs!$F$29-Inputs!$D$29),Inputs!$D$29+SQRT(R1063*(Inputs!$F$29-Inputs!$D$29)*(Inputs!$E$29-Inputs!$D$29)),Inputs!$F$29-SQRT((1-R1063)*(Inputs!$F$29-Inputs!$D$29)*(Inputs!$F$29-Inputs!$E$29)))</f>
        <v>10.3831942278861</v>
      </c>
      <c r="T1063" s="68" t="n">
        <f aca="false">Inputs!$E$9*(1+E1063)+Inputs!$E$5*C1063*(Inputs!$E$11*Inputs!$E$14*(G1063*I1063/Inputs!$E$16+(1-G1063))*K1063+Inputs!$E$23*M1063)*(1+O1063)+Inputs!$E$5*(Q1063+S1063)</f>
        <v>5897.29677775829</v>
      </c>
    </row>
    <row r="1064" customFormat="false" ht="15" hidden="false" customHeight="false" outlineLevel="0" collapsed="false">
      <c r="A1064" s="1" t="n">
        <v>1060</v>
      </c>
      <c r="B1064" s="81" t="n">
        <f aca="true">RAND()</f>
        <v>0.726750448375321</v>
      </c>
      <c r="C1064" s="82" t="n">
        <f aca="false">ROUND(IF(B1064&lt;(Inputs!$E$8-Inputs!$D$8)/(Inputs!$F$8-Inputs!$D$8),Inputs!$D$8+SQRT(B1064*(Inputs!$F$8-Inputs!$D$8)*(Inputs!$E$8-Inputs!$D$8)),Inputs!$F$8-SQRT((1-B1064)*(Inputs!$F$8-Inputs!$D$8)*(Inputs!$F$8-Inputs!$E$8))),0)</f>
        <v>26</v>
      </c>
      <c r="D1064" s="81" t="n">
        <f aca="true">RAND()</f>
        <v>0.0906723073384455</v>
      </c>
      <c r="E1064" s="83" t="n">
        <f aca="false">IF(D1064&lt;(Inputs!$E$10-Inputs!$D$10)/(Inputs!$F$10-Inputs!$D$10),Inputs!$D$10+SQRT(D1064*(Inputs!$F$10-Inputs!$D$10)*(Inputs!$E$10-Inputs!$D$10)),Inputs!$F$10-SQRT((1-D1064)*(Inputs!$F$10-Inputs!$D$10)*(Inputs!$F$10-Inputs!$E$10)))</f>
        <v>0.0301118427430879</v>
      </c>
      <c r="F1064" s="81" t="n">
        <f aca="true">RAND()</f>
        <v>0.56693074117298</v>
      </c>
      <c r="G1064" s="83" t="n">
        <f aca="false">IF(F1064&lt;(Inputs!$E$15-Inputs!$D$15)/(Inputs!$F$15-Inputs!$D$15),Inputs!$D$15+SQRT(F1064*(Inputs!$F$15-Inputs!$D$15)*(Inputs!$E$15-Inputs!$D$15)),Inputs!$F$15-SQRT((1-F1064)*(Inputs!$F$15-Inputs!$D$15)*(Inputs!$F$15-Inputs!$E$15)))</f>
        <v>0.706933436850067</v>
      </c>
      <c r="H1064" s="81" t="n">
        <f aca="true">RAND()</f>
        <v>0.847390041293231</v>
      </c>
      <c r="I1064" s="82" t="n">
        <f aca="false">ROUND(IF(H1064&lt;(Inputs!$E$17-Inputs!$D$17)/(Inputs!$F$17-Inputs!$D$17),Inputs!$D$17+SQRT(H1064*(Inputs!$F$17-Inputs!$D$17)*(Inputs!$E$17-Inputs!$D$17)),Inputs!$F$17-SQRT((1-H1064)*(Inputs!$F$17-Inputs!$D$17)*(Inputs!$F$17-Inputs!$E$17))),0)</f>
        <v>110</v>
      </c>
      <c r="J1064" s="81" t="n">
        <f aca="true">RAND()</f>
        <v>0.27467322691501</v>
      </c>
      <c r="K1064" s="83" t="n">
        <f aca="false">IF(J1064&lt;(Inputs!$E$18-Inputs!$D$18)/(Inputs!$F$18-Inputs!$D$18),Inputs!$D$18+SQRT(J1064*(Inputs!$F$18-Inputs!$D$18)*(Inputs!$E$18-Inputs!$D$18)),Inputs!$F$18-SQRT((1-J1064)*(Inputs!$F$18-Inputs!$D$18)*(Inputs!$F$18-Inputs!$E$18)))</f>
        <v>0.998048778381096</v>
      </c>
      <c r="L1064" s="81" t="n">
        <f aca="true">RAND()</f>
        <v>0.98011970117354</v>
      </c>
      <c r="M1064" s="83" t="n">
        <f aca="false">IF(L1064&lt;(Inputs!$E$24-Inputs!$D$24)/(Inputs!$F$24-Inputs!$D$24),Inputs!$D$24+SQRT(L1064*(Inputs!$F$24-Inputs!$D$24)*(Inputs!$E$24-Inputs!$D$24)),Inputs!$F$24-SQRT((1-L1064)*(Inputs!$F$24-Inputs!$D$24)*(Inputs!$F$24-Inputs!$E$24)))</f>
        <v>1.1309256073617</v>
      </c>
      <c r="N1064" s="81" t="n">
        <f aca="true">RAND()</f>
        <v>0.219459709127245</v>
      </c>
      <c r="O1064" s="83" t="n">
        <f aca="false">IF(N1064&lt;(Inputs!$E$26-Inputs!$D$26)/(Inputs!$F$26-Inputs!$D$26),Inputs!$D$26+SQRT(N1064*(Inputs!$F$26-Inputs!$D$26)*(Inputs!$E$26-Inputs!$D$26)),Inputs!$F$26-SQRT((1-N1064)*(Inputs!$F$26-Inputs!$D$26)*(Inputs!$F$26-Inputs!$E$26)))</f>
        <v>0.491097084223631</v>
      </c>
      <c r="P1064" s="81" t="n">
        <f aca="true">RAND()</f>
        <v>0.35537495037906</v>
      </c>
      <c r="Q1064" s="82" t="n">
        <f aca="false">IF(P1064&lt;(Inputs!$E$27-Inputs!$D$27)/(Inputs!$F$27-Inputs!$D$27),Inputs!$D$27+SQRT(P1064*(Inputs!$F$27-Inputs!$D$27)*(Inputs!$E$27-Inputs!$D$27)),Inputs!$F$27-SQRT((1-P1064)*(Inputs!$F$27-Inputs!$D$27)*(Inputs!$F$27-Inputs!$E$27)))</f>
        <v>80.4680801922092</v>
      </c>
      <c r="R1064" s="81" t="n">
        <f aca="true">RAND()</f>
        <v>0.563875333062179</v>
      </c>
      <c r="S1064" s="82" t="n">
        <f aca="false">IF(R1064&lt;(Inputs!$E$29-Inputs!$D$29)/(Inputs!$F$29-Inputs!$D$29),Inputs!$D$29+SQRT(R1064*(Inputs!$F$29-Inputs!$D$29)*(Inputs!$E$29-Inputs!$D$29)),Inputs!$F$29-SQRT((1-R1064)*(Inputs!$F$29-Inputs!$D$29)*(Inputs!$F$29-Inputs!$E$29)))</f>
        <v>7.47031164642807</v>
      </c>
      <c r="T1064" s="68" t="n">
        <f aca="false">Inputs!$E$9*(1+E1064)+Inputs!$E$5*C1064*(Inputs!$E$11*Inputs!$E$14*(G1064*I1064/Inputs!$E$16+(1-G1064))*K1064+Inputs!$E$23*M1064)*(1+O1064)+Inputs!$E$5*(Q1064+S1064)</f>
        <v>6394.88286686396</v>
      </c>
    </row>
    <row r="1065" customFormat="false" ht="15" hidden="false" customHeight="false" outlineLevel="0" collapsed="false">
      <c r="A1065" s="1" t="n">
        <v>1061</v>
      </c>
      <c r="B1065" s="81" t="n">
        <f aca="true">RAND()</f>
        <v>0.0354241084142362</v>
      </c>
      <c r="C1065" s="82" t="n">
        <f aca="false">ROUND(IF(B1065&lt;(Inputs!$E$8-Inputs!$D$8)/(Inputs!$F$8-Inputs!$D$8),Inputs!$D$8+SQRT(B1065*(Inputs!$F$8-Inputs!$D$8)*(Inputs!$E$8-Inputs!$D$8)),Inputs!$F$8-SQRT((1-B1065)*(Inputs!$F$8-Inputs!$D$8)*(Inputs!$F$8-Inputs!$E$8))),0)</f>
        <v>21</v>
      </c>
      <c r="D1065" s="81" t="n">
        <f aca="true">RAND()</f>
        <v>0.617027746496465</v>
      </c>
      <c r="E1065" s="83" t="n">
        <f aca="false">IF(D1065&lt;(Inputs!$E$10-Inputs!$D$10)/(Inputs!$F$10-Inputs!$D$10),Inputs!$D$10+SQRT(D1065*(Inputs!$F$10-Inputs!$D$10)*(Inputs!$E$10-Inputs!$D$10)),Inputs!$F$10-SQRT((1-D1065)*(Inputs!$F$10-Inputs!$D$10)*(Inputs!$F$10-Inputs!$E$10)))</f>
        <v>0.0928124652531553</v>
      </c>
      <c r="F1065" s="81" t="n">
        <f aca="true">RAND()</f>
        <v>0.673535781060143</v>
      </c>
      <c r="G1065" s="83" t="n">
        <f aca="false">IF(F1065&lt;(Inputs!$E$15-Inputs!$D$15)/(Inputs!$F$15-Inputs!$D$15),Inputs!$D$15+SQRT(F1065*(Inputs!$F$15-Inputs!$D$15)*(Inputs!$E$15-Inputs!$D$15)),Inputs!$F$15-SQRT((1-F1065)*(Inputs!$F$15-Inputs!$D$15)*(Inputs!$F$15-Inputs!$E$15)))</f>
        <v>0.71919601260583</v>
      </c>
      <c r="H1065" s="81" t="n">
        <f aca="true">RAND()</f>
        <v>0.28785415075465</v>
      </c>
      <c r="I1065" s="82" t="n">
        <f aca="false">ROUND(IF(H1065&lt;(Inputs!$E$17-Inputs!$D$17)/(Inputs!$F$17-Inputs!$D$17),Inputs!$D$17+SQRT(H1065*(Inputs!$F$17-Inputs!$D$17)*(Inputs!$E$17-Inputs!$D$17)),Inputs!$F$17-SQRT((1-H1065)*(Inputs!$F$17-Inputs!$D$17)*(Inputs!$F$17-Inputs!$E$17))),0)</f>
        <v>105</v>
      </c>
      <c r="J1065" s="81" t="n">
        <f aca="true">RAND()</f>
        <v>0.0978461201032195</v>
      </c>
      <c r="K1065" s="83" t="n">
        <f aca="false">IF(J1065&lt;(Inputs!$E$18-Inputs!$D$18)/(Inputs!$F$18-Inputs!$D$18),Inputs!$D$18+SQRT(J1065*(Inputs!$F$18-Inputs!$D$18)*(Inputs!$E$18-Inputs!$D$18)),Inputs!$F$18-SQRT((1-J1065)*(Inputs!$F$18-Inputs!$D$18)*(Inputs!$F$18-Inputs!$E$18)))</f>
        <v>0.958520203379796</v>
      </c>
      <c r="L1065" s="81" t="n">
        <f aca="true">RAND()</f>
        <v>0.971375404166785</v>
      </c>
      <c r="M1065" s="83" t="n">
        <f aca="false">IF(L1065&lt;(Inputs!$E$24-Inputs!$D$24)/(Inputs!$F$24-Inputs!$D$24),Inputs!$D$24+SQRT(L1065*(Inputs!$F$24-Inputs!$D$24)*(Inputs!$E$24-Inputs!$D$24)),Inputs!$F$24-SQRT((1-L1065)*(Inputs!$F$24-Inputs!$D$24)*(Inputs!$F$24-Inputs!$E$24)))</f>
        <v>1.11711512200666</v>
      </c>
      <c r="N1065" s="81" t="n">
        <f aca="true">RAND()</f>
        <v>0.602353377401652</v>
      </c>
      <c r="O1065" s="83" t="n">
        <f aca="false">IF(N1065&lt;(Inputs!$E$26-Inputs!$D$26)/(Inputs!$F$26-Inputs!$D$26),Inputs!$D$26+SQRT(N1065*(Inputs!$F$26-Inputs!$D$26)*(Inputs!$E$26-Inputs!$D$26)),Inputs!$F$26-SQRT((1-N1065)*(Inputs!$F$26-Inputs!$D$26)*(Inputs!$F$26-Inputs!$E$26)))</f>
        <v>0.616593749148076</v>
      </c>
      <c r="P1065" s="81" t="n">
        <f aca="true">RAND()</f>
        <v>0.597041282097114</v>
      </c>
      <c r="Q1065" s="82" t="n">
        <f aca="false">IF(P1065&lt;(Inputs!$E$27-Inputs!$D$27)/(Inputs!$F$27-Inputs!$D$27),Inputs!$D$27+SQRT(P1065*(Inputs!$F$27-Inputs!$D$27)*(Inputs!$E$27-Inputs!$D$27)),Inputs!$F$27-SQRT((1-P1065)*(Inputs!$F$27-Inputs!$D$27)*(Inputs!$F$27-Inputs!$E$27)))</f>
        <v>95.0255478947571</v>
      </c>
      <c r="R1065" s="81" t="n">
        <f aca="true">RAND()</f>
        <v>0.144460639520767</v>
      </c>
      <c r="S1065" s="82" t="n">
        <f aca="false">IF(R1065&lt;(Inputs!$E$29-Inputs!$D$29)/(Inputs!$F$29-Inputs!$D$29),Inputs!$D$29+SQRT(R1065*(Inputs!$F$29-Inputs!$D$29)*(Inputs!$E$29-Inputs!$D$29)),Inputs!$F$29-SQRT((1-R1065)*(Inputs!$F$29-Inputs!$D$29)*(Inputs!$F$29-Inputs!$E$29)))</f>
        <v>4.37359746825571</v>
      </c>
      <c r="T1065" s="68" t="n">
        <f aca="false">Inputs!$E$9*(1+E1065)+Inputs!$E$5*C1065*(Inputs!$E$11*Inputs!$E$14*(G1065*I1065/Inputs!$E$16+(1-G1065))*K1065+Inputs!$E$23*M1065)*(1+O1065)+Inputs!$E$5*(Q1065+S1065)</f>
        <v>5979.87323319241</v>
      </c>
    </row>
    <row r="1066" customFormat="false" ht="15" hidden="false" customHeight="false" outlineLevel="0" collapsed="false">
      <c r="A1066" s="1" t="n">
        <v>1062</v>
      </c>
      <c r="B1066" s="81" t="n">
        <f aca="true">RAND()</f>
        <v>0.761768643692943</v>
      </c>
      <c r="C1066" s="82" t="n">
        <f aca="false">ROUND(IF(B1066&lt;(Inputs!$E$8-Inputs!$D$8)/(Inputs!$F$8-Inputs!$D$8),Inputs!$D$8+SQRT(B1066*(Inputs!$F$8-Inputs!$D$8)*(Inputs!$E$8-Inputs!$D$8)),Inputs!$F$8-SQRT((1-B1066)*(Inputs!$F$8-Inputs!$D$8)*(Inputs!$F$8-Inputs!$E$8))),0)</f>
        <v>27</v>
      </c>
      <c r="D1066" s="81" t="n">
        <f aca="true">RAND()</f>
        <v>0.3221821774407</v>
      </c>
      <c r="E1066" s="83" t="n">
        <f aca="false">IF(D1066&lt;(Inputs!$E$10-Inputs!$D$10)/(Inputs!$F$10-Inputs!$D$10),Inputs!$D$10+SQRT(D1066*(Inputs!$F$10-Inputs!$D$10)*(Inputs!$E$10-Inputs!$D$10)),Inputs!$F$10-SQRT((1-D1066)*(Inputs!$F$10-Inputs!$D$10)*(Inputs!$F$10-Inputs!$E$10)))</f>
        <v>0.0574007900555582</v>
      </c>
      <c r="F1066" s="81" t="n">
        <f aca="true">RAND()</f>
        <v>0.413884974463563</v>
      </c>
      <c r="G1066" s="83" t="n">
        <f aca="false">IF(F1066&lt;(Inputs!$E$15-Inputs!$D$15)/(Inputs!$F$15-Inputs!$D$15),Inputs!$D$15+SQRT(F1066*(Inputs!$F$15-Inputs!$D$15)*(Inputs!$E$15-Inputs!$D$15)),Inputs!$F$15-SQRT((1-F1066)*(Inputs!$F$15-Inputs!$D$15)*(Inputs!$F$15-Inputs!$E$15)))</f>
        <v>0.690981863518348</v>
      </c>
      <c r="H1066" s="81" t="n">
        <f aca="true">RAND()</f>
        <v>0.722100082701629</v>
      </c>
      <c r="I1066" s="82" t="n">
        <f aca="false">ROUND(IF(H1066&lt;(Inputs!$E$17-Inputs!$D$17)/(Inputs!$F$17-Inputs!$D$17),Inputs!$D$17+SQRT(H1066*(Inputs!$F$17-Inputs!$D$17)*(Inputs!$E$17-Inputs!$D$17)),Inputs!$F$17-SQRT((1-H1066)*(Inputs!$F$17-Inputs!$D$17)*(Inputs!$F$17-Inputs!$E$17))),0)</f>
        <v>109</v>
      </c>
      <c r="J1066" s="81" t="n">
        <f aca="true">RAND()</f>
        <v>0.0422896896367281</v>
      </c>
      <c r="K1066" s="83" t="n">
        <f aca="false">IF(J1066&lt;(Inputs!$E$18-Inputs!$D$18)/(Inputs!$F$18-Inputs!$D$18),Inputs!$D$18+SQRT(J1066*(Inputs!$F$18-Inputs!$D$18)*(Inputs!$E$18-Inputs!$D$18)),Inputs!$F$18-SQRT((1-J1066)*(Inputs!$F$18-Inputs!$D$18)*(Inputs!$F$18-Inputs!$E$18)))</f>
        <v>0.938472576431602</v>
      </c>
      <c r="L1066" s="81" t="n">
        <f aca="true">RAND()</f>
        <v>0.659896311142723</v>
      </c>
      <c r="M1066" s="83" t="n">
        <f aca="false">IF(L1066&lt;(Inputs!$E$24-Inputs!$D$24)/(Inputs!$F$24-Inputs!$D$24),Inputs!$D$24+SQRT(L1066*(Inputs!$F$24-Inputs!$D$24)*(Inputs!$E$24-Inputs!$D$24)),Inputs!$F$24-SQRT((1-L1066)*(Inputs!$F$24-Inputs!$D$24)*(Inputs!$F$24-Inputs!$E$24)))</f>
        <v>0.914299308146189</v>
      </c>
      <c r="N1066" s="81" t="n">
        <f aca="true">RAND()</f>
        <v>0.477071888685406</v>
      </c>
      <c r="O1066" s="83" t="n">
        <f aca="false">IF(N1066&lt;(Inputs!$E$26-Inputs!$D$26)/(Inputs!$F$26-Inputs!$D$26),Inputs!$D$26+SQRT(N1066*(Inputs!$F$26-Inputs!$D$26)*(Inputs!$E$26-Inputs!$D$26)),Inputs!$F$26-SQRT((1-N1066)*(Inputs!$F$26-Inputs!$D$26)*(Inputs!$F$26-Inputs!$E$26)))</f>
        <v>0.581753016447476</v>
      </c>
      <c r="P1066" s="81" t="n">
        <f aca="true">RAND()</f>
        <v>0.604649947452356</v>
      </c>
      <c r="Q1066" s="82" t="n">
        <f aca="false">IF(P1066&lt;(Inputs!$E$27-Inputs!$D$27)/(Inputs!$F$27-Inputs!$D$27),Inputs!$D$27+SQRT(P1066*(Inputs!$F$27-Inputs!$D$27)*(Inputs!$E$27-Inputs!$D$27)),Inputs!$F$27-SQRT((1-P1066)*(Inputs!$F$27-Inputs!$D$27)*(Inputs!$F$27-Inputs!$E$27)))</f>
        <v>95.5470350292353</v>
      </c>
      <c r="R1066" s="81" t="n">
        <f aca="true">RAND()</f>
        <v>0.782688217342463</v>
      </c>
      <c r="S1066" s="82" t="n">
        <f aca="false">IF(R1066&lt;(Inputs!$E$29-Inputs!$D$29)/(Inputs!$F$29-Inputs!$D$29),Inputs!$D$29+SQRT(R1066*(Inputs!$F$29-Inputs!$D$29)*(Inputs!$E$29-Inputs!$D$29)),Inputs!$F$29-SQRT((1-R1066)*(Inputs!$F$29-Inputs!$D$29)*(Inputs!$F$29-Inputs!$E$29)))</f>
        <v>9.68487707146111</v>
      </c>
      <c r="T1066" s="68" t="n">
        <f aca="false">Inputs!$E$9*(1+E1066)+Inputs!$E$5*C1066*(Inputs!$E$11*Inputs!$E$14*(G1066*I1066/Inputs!$E$16+(1-G1066))*K1066+Inputs!$E$23*M1066)*(1+O1066)+Inputs!$E$5*(Q1066+S1066)</f>
        <v>6454.98802029444</v>
      </c>
    </row>
    <row r="1067" customFormat="false" ht="15" hidden="false" customHeight="false" outlineLevel="0" collapsed="false">
      <c r="A1067" s="1" t="n">
        <v>1063</v>
      </c>
      <c r="B1067" s="81" t="n">
        <f aca="true">RAND()</f>
        <v>0.488765776113956</v>
      </c>
      <c r="C1067" s="82" t="n">
        <f aca="false">ROUND(IF(B1067&lt;(Inputs!$E$8-Inputs!$D$8)/(Inputs!$F$8-Inputs!$D$8),Inputs!$D$8+SQRT(B1067*(Inputs!$F$8-Inputs!$D$8)*(Inputs!$E$8-Inputs!$D$8)),Inputs!$F$8-SQRT((1-B1067)*(Inputs!$F$8-Inputs!$D$8)*(Inputs!$F$8-Inputs!$E$8))),0)</f>
        <v>25</v>
      </c>
      <c r="D1067" s="81" t="n">
        <f aca="true">RAND()</f>
        <v>0.688737117037686</v>
      </c>
      <c r="E1067" s="83" t="n">
        <f aca="false">IF(D1067&lt;(Inputs!$E$10-Inputs!$D$10)/(Inputs!$F$10-Inputs!$D$10),Inputs!$D$10+SQRT(D1067*(Inputs!$F$10-Inputs!$D$10)*(Inputs!$E$10-Inputs!$D$10)),Inputs!$F$10-SQRT((1-D1067)*(Inputs!$F$10-Inputs!$D$10)*(Inputs!$F$10-Inputs!$E$10)))</f>
        <v>0.10336725974666</v>
      </c>
      <c r="F1067" s="81" t="n">
        <f aca="true">RAND()</f>
        <v>0.563655458500666</v>
      </c>
      <c r="G1067" s="83" t="n">
        <f aca="false">IF(F1067&lt;(Inputs!$E$15-Inputs!$D$15)/(Inputs!$F$15-Inputs!$D$15),Inputs!$D$15+SQRT(F1067*(Inputs!$F$15-Inputs!$D$15)*(Inputs!$E$15-Inputs!$D$15)),Inputs!$F$15-SQRT((1-F1067)*(Inputs!$F$15-Inputs!$D$15)*(Inputs!$F$15-Inputs!$E$15)))</f>
        <v>0.706582170706087</v>
      </c>
      <c r="H1067" s="81" t="n">
        <f aca="true">RAND()</f>
        <v>0.463772241772848</v>
      </c>
      <c r="I1067" s="82" t="n">
        <f aca="false">ROUND(IF(H1067&lt;(Inputs!$E$17-Inputs!$D$17)/(Inputs!$F$17-Inputs!$D$17),Inputs!$D$17+SQRT(H1067*(Inputs!$F$17-Inputs!$D$17)*(Inputs!$E$17-Inputs!$D$17)),Inputs!$F$17-SQRT((1-H1067)*(Inputs!$F$17-Inputs!$D$17)*(Inputs!$F$17-Inputs!$E$17))),0)</f>
        <v>106</v>
      </c>
      <c r="J1067" s="81" t="n">
        <f aca="true">RAND()</f>
        <v>0.306969830565793</v>
      </c>
      <c r="K1067" s="83" t="n">
        <f aca="false">IF(J1067&lt;(Inputs!$E$18-Inputs!$D$18)/(Inputs!$F$18-Inputs!$D$18),Inputs!$D$18+SQRT(J1067*(Inputs!$F$18-Inputs!$D$18)*(Inputs!$E$18-Inputs!$D$18)),Inputs!$F$18-SQRT((1-J1067)*(Inputs!$F$18-Inputs!$D$18)*(Inputs!$F$18-Inputs!$E$18)))</f>
        <v>1.00374781254679</v>
      </c>
      <c r="L1067" s="81" t="n">
        <f aca="true">RAND()</f>
        <v>0.818313473202874</v>
      </c>
      <c r="M1067" s="83" t="n">
        <f aca="false">IF(L1067&lt;(Inputs!$E$24-Inputs!$D$24)/(Inputs!$F$24-Inputs!$D$24),Inputs!$D$24+SQRT(L1067*(Inputs!$F$24-Inputs!$D$24)*(Inputs!$E$24-Inputs!$D$24)),Inputs!$F$24-SQRT((1-L1067)*(Inputs!$F$24-Inputs!$D$24)*(Inputs!$F$24-Inputs!$E$24)))</f>
        <v>0.99118245660072</v>
      </c>
      <c r="N1067" s="81" t="n">
        <f aca="true">RAND()</f>
        <v>0.903572476965932</v>
      </c>
      <c r="O1067" s="83" t="n">
        <f aca="false">IF(N1067&lt;(Inputs!$E$26-Inputs!$D$26)/(Inputs!$F$26-Inputs!$D$26),Inputs!$D$26+SQRT(N1067*(Inputs!$F$26-Inputs!$D$26)*(Inputs!$E$26-Inputs!$D$26)),Inputs!$F$26-SQRT((1-N1067)*(Inputs!$F$26-Inputs!$D$26)*(Inputs!$F$26-Inputs!$E$26)))</f>
        <v>0.719857789141925</v>
      </c>
      <c r="P1067" s="81" t="n">
        <f aca="true">RAND()</f>
        <v>0.104953062731521</v>
      </c>
      <c r="Q1067" s="82" t="n">
        <f aca="false">IF(P1067&lt;(Inputs!$E$27-Inputs!$D$27)/(Inputs!$F$27-Inputs!$D$27),Inputs!$D$27+SQRT(P1067*(Inputs!$F$27-Inputs!$D$27)*(Inputs!$E$27-Inputs!$D$27)),Inputs!$F$27-SQRT((1-P1067)*(Inputs!$F$27-Inputs!$D$27)*(Inputs!$F$27-Inputs!$E$27)))</f>
        <v>66.1982300523484</v>
      </c>
      <c r="R1067" s="81" t="n">
        <f aca="true">RAND()</f>
        <v>0.989093468297579</v>
      </c>
      <c r="S1067" s="82" t="n">
        <f aca="false">IF(R1067&lt;(Inputs!$E$29-Inputs!$D$29)/(Inputs!$F$29-Inputs!$D$29),Inputs!$D$29+SQRT(R1067*(Inputs!$F$29-Inputs!$D$29)*(Inputs!$E$29-Inputs!$D$29)),Inputs!$F$29-SQRT((1-R1067)*(Inputs!$F$29-Inputs!$D$29)*(Inputs!$F$29-Inputs!$E$29)))</f>
        <v>13.8092653018767</v>
      </c>
      <c r="T1067" s="68" t="n">
        <f aca="false">Inputs!$E$9*(1+E1067)+Inputs!$E$5*C1067*(Inputs!$E$11*Inputs!$E$14*(G1067*I1067/Inputs!$E$16+(1-G1067))*K1067+Inputs!$E$23*M1067)*(1+O1067)+Inputs!$E$5*(Q1067+S1067)</f>
        <v>6667.63810031144</v>
      </c>
    </row>
    <row r="1068" customFormat="false" ht="15" hidden="false" customHeight="false" outlineLevel="0" collapsed="false">
      <c r="A1068" s="1" t="n">
        <v>1064</v>
      </c>
      <c r="B1068" s="81" t="n">
        <f aca="true">RAND()</f>
        <v>0.0791490830523552</v>
      </c>
      <c r="C1068" s="82" t="n">
        <f aca="false">ROUND(IF(B1068&lt;(Inputs!$E$8-Inputs!$D$8)/(Inputs!$F$8-Inputs!$D$8),Inputs!$D$8+SQRT(B1068*(Inputs!$F$8-Inputs!$D$8)*(Inputs!$E$8-Inputs!$D$8)),Inputs!$F$8-SQRT((1-B1068)*(Inputs!$F$8-Inputs!$D$8)*(Inputs!$F$8-Inputs!$E$8))),0)</f>
        <v>22</v>
      </c>
      <c r="D1068" s="81" t="n">
        <f aca="true">RAND()</f>
        <v>0.546512060885101</v>
      </c>
      <c r="E1068" s="83" t="n">
        <f aca="false">IF(D1068&lt;(Inputs!$E$10-Inputs!$D$10)/(Inputs!$F$10-Inputs!$D$10),Inputs!$D$10+SQRT(D1068*(Inputs!$F$10-Inputs!$D$10)*(Inputs!$E$10-Inputs!$D$10)),Inputs!$F$10-SQRT((1-D1068)*(Inputs!$F$10-Inputs!$D$10)*(Inputs!$F$10-Inputs!$E$10)))</f>
        <v>0.0833610777937014</v>
      </c>
      <c r="F1068" s="81" t="n">
        <f aca="true">RAND()</f>
        <v>0.535456754697559</v>
      </c>
      <c r="G1068" s="83" t="n">
        <f aca="false">IF(F1068&lt;(Inputs!$E$15-Inputs!$D$15)/(Inputs!$F$15-Inputs!$D$15),Inputs!$D$15+SQRT(F1068*(Inputs!$F$15-Inputs!$D$15)*(Inputs!$E$15-Inputs!$D$15)),Inputs!$F$15-SQRT((1-F1068)*(Inputs!$F$15-Inputs!$D$15)*(Inputs!$F$15-Inputs!$E$15)))</f>
        <v>0.703610867282412</v>
      </c>
      <c r="H1068" s="81" t="n">
        <f aca="true">RAND()</f>
        <v>0.306503061786178</v>
      </c>
      <c r="I1068" s="82" t="n">
        <f aca="false">ROUND(IF(H1068&lt;(Inputs!$E$17-Inputs!$D$17)/(Inputs!$F$17-Inputs!$D$17),Inputs!$D$17+SQRT(H1068*(Inputs!$F$17-Inputs!$D$17)*(Inputs!$E$17-Inputs!$D$17)),Inputs!$F$17-SQRT((1-H1068)*(Inputs!$F$17-Inputs!$D$17)*(Inputs!$F$17-Inputs!$E$17))),0)</f>
        <v>105</v>
      </c>
      <c r="J1068" s="81" t="n">
        <f aca="true">RAND()</f>
        <v>0.191657056514874</v>
      </c>
      <c r="K1068" s="83" t="n">
        <f aca="false">IF(J1068&lt;(Inputs!$E$18-Inputs!$D$18)/(Inputs!$F$18-Inputs!$D$18),Inputs!$D$18+SQRT(J1068*(Inputs!$F$18-Inputs!$D$18)*(Inputs!$E$18-Inputs!$D$18)),Inputs!$F$18-SQRT((1-J1068)*(Inputs!$F$18-Inputs!$D$18)*(Inputs!$F$18-Inputs!$E$18)))</f>
        <v>0.981902362469105</v>
      </c>
      <c r="L1068" s="81" t="n">
        <f aca="true">RAND()</f>
        <v>0.635168139716875</v>
      </c>
      <c r="M1068" s="83" t="n">
        <f aca="false">IF(L1068&lt;(Inputs!$E$24-Inputs!$D$24)/(Inputs!$F$24-Inputs!$D$24),Inputs!$D$24+SQRT(L1068*(Inputs!$F$24-Inputs!$D$24)*(Inputs!$E$24-Inputs!$D$24)),Inputs!$F$24-SQRT((1-L1068)*(Inputs!$F$24-Inputs!$D$24)*(Inputs!$F$24-Inputs!$E$24)))</f>
        <v>0.90409520708858</v>
      </c>
      <c r="N1068" s="81" t="n">
        <f aca="true">RAND()</f>
        <v>0.888614069269036</v>
      </c>
      <c r="O1068" s="83" t="n">
        <f aca="false">IF(N1068&lt;(Inputs!$E$26-Inputs!$D$26)/(Inputs!$F$26-Inputs!$D$26),Inputs!$D$26+SQRT(N1068*(Inputs!$F$26-Inputs!$D$26)*(Inputs!$E$26-Inputs!$D$26)),Inputs!$F$26-SQRT((1-N1068)*(Inputs!$F$26-Inputs!$D$26)*(Inputs!$F$26-Inputs!$E$26)))</f>
        <v>0.71237037212728</v>
      </c>
      <c r="P1068" s="81" t="n">
        <f aca="true">RAND()</f>
        <v>0.00864864545770764</v>
      </c>
      <c r="Q1068" s="82" t="n">
        <f aca="false">IF(P1068&lt;(Inputs!$E$27-Inputs!$D$27)/(Inputs!$F$27-Inputs!$D$27),Inputs!$D$27+SQRT(P1068*(Inputs!$F$27-Inputs!$D$27)*(Inputs!$E$27-Inputs!$D$27)),Inputs!$F$27-SQRT((1-P1068)*(Inputs!$F$27-Inputs!$D$27)*(Inputs!$F$27-Inputs!$E$27)))</f>
        <v>54.6499046919554</v>
      </c>
      <c r="R1068" s="81" t="n">
        <f aca="true">RAND()</f>
        <v>0.814358253925537</v>
      </c>
      <c r="S1068" s="82" t="n">
        <f aca="false">IF(R1068&lt;(Inputs!$E$29-Inputs!$D$29)/(Inputs!$F$29-Inputs!$D$29),Inputs!$D$29+SQRT(R1068*(Inputs!$F$29-Inputs!$D$29)*(Inputs!$E$29-Inputs!$D$29)),Inputs!$F$29-SQRT((1-R1068)*(Inputs!$F$29-Inputs!$D$29)*(Inputs!$F$29-Inputs!$E$29)))</f>
        <v>10.0874215538396</v>
      </c>
      <c r="T1068" s="68" t="n">
        <f aca="false">Inputs!$E$9*(1+E1068)+Inputs!$E$5*C1068*(Inputs!$E$11*Inputs!$E$14*(G1068*I1068/Inputs!$E$16+(1-G1068))*K1068+Inputs!$E$23*M1068)*(1+O1068)+Inputs!$E$5*(Q1068+S1068)</f>
        <v>5903.29886340357</v>
      </c>
    </row>
    <row r="1069" customFormat="false" ht="15" hidden="false" customHeight="false" outlineLevel="0" collapsed="false">
      <c r="A1069" s="1" t="n">
        <v>1065</v>
      </c>
      <c r="B1069" s="81" t="n">
        <f aca="true">RAND()</f>
        <v>0.379906342313746</v>
      </c>
      <c r="C1069" s="82" t="n">
        <f aca="false">ROUND(IF(B1069&lt;(Inputs!$E$8-Inputs!$D$8)/(Inputs!$F$8-Inputs!$D$8),Inputs!$D$8+SQRT(B1069*(Inputs!$F$8-Inputs!$D$8)*(Inputs!$E$8-Inputs!$D$8)),Inputs!$F$8-SQRT((1-B1069)*(Inputs!$F$8-Inputs!$D$8)*(Inputs!$F$8-Inputs!$E$8))),0)</f>
        <v>24</v>
      </c>
      <c r="D1069" s="81" t="n">
        <f aca="true">RAND()</f>
        <v>0.159020743744647</v>
      </c>
      <c r="E1069" s="83" t="n">
        <f aca="false">IF(D1069&lt;(Inputs!$E$10-Inputs!$D$10)/(Inputs!$F$10-Inputs!$D$10),Inputs!$D$10+SQRT(D1069*(Inputs!$F$10-Inputs!$D$10)*(Inputs!$E$10-Inputs!$D$10)),Inputs!$F$10-SQRT((1-D1069)*(Inputs!$F$10-Inputs!$D$10)*(Inputs!$F$10-Inputs!$E$10)))</f>
        <v>0.0398774050992096</v>
      </c>
      <c r="F1069" s="81" t="n">
        <f aca="true">RAND()</f>
        <v>0.0760605342502436</v>
      </c>
      <c r="G1069" s="83" t="n">
        <f aca="false">IF(F1069&lt;(Inputs!$E$15-Inputs!$D$15)/(Inputs!$F$15-Inputs!$D$15),Inputs!$D$15+SQRT(F1069*(Inputs!$F$15-Inputs!$D$15)*(Inputs!$E$15-Inputs!$D$15)),Inputs!$F$15-SQRT((1-F1069)*(Inputs!$F$15-Inputs!$D$15)*(Inputs!$F$15-Inputs!$E$15)))</f>
        <v>0.639002700996276</v>
      </c>
      <c r="H1069" s="81" t="n">
        <f aca="true">RAND()</f>
        <v>0.474508760719313</v>
      </c>
      <c r="I1069" s="82" t="n">
        <f aca="false">ROUND(IF(H1069&lt;(Inputs!$E$17-Inputs!$D$17)/(Inputs!$F$17-Inputs!$D$17),Inputs!$D$17+SQRT(H1069*(Inputs!$F$17-Inputs!$D$17)*(Inputs!$E$17-Inputs!$D$17)),Inputs!$F$17-SQRT((1-H1069)*(Inputs!$F$17-Inputs!$D$17)*(Inputs!$F$17-Inputs!$E$17))),0)</f>
        <v>106</v>
      </c>
      <c r="J1069" s="81" t="n">
        <f aca="true">RAND()</f>
        <v>0.523702619444534</v>
      </c>
      <c r="K1069" s="83" t="n">
        <f aca="false">IF(J1069&lt;(Inputs!$E$18-Inputs!$D$18)/(Inputs!$F$18-Inputs!$D$18),Inputs!$D$18+SQRT(J1069*(Inputs!$F$18-Inputs!$D$18)*(Inputs!$E$18-Inputs!$D$18)),Inputs!$F$18-SQRT((1-J1069)*(Inputs!$F$18-Inputs!$D$18)*(Inputs!$F$18-Inputs!$E$18)))</f>
        <v>1.04585294320367</v>
      </c>
      <c r="L1069" s="81" t="n">
        <f aca="true">RAND()</f>
        <v>0.230254571674444</v>
      </c>
      <c r="M1069" s="83" t="n">
        <f aca="false">IF(L1069&lt;(Inputs!$E$24-Inputs!$D$24)/(Inputs!$F$24-Inputs!$D$24),Inputs!$D$24+SQRT(L1069*(Inputs!$F$24-Inputs!$D$24)*(Inputs!$E$24-Inputs!$D$24)),Inputs!$F$24-SQRT((1-L1069)*(Inputs!$F$24-Inputs!$D$24)*(Inputs!$F$24-Inputs!$E$24)))</f>
        <v>0.76622439231633</v>
      </c>
      <c r="N1069" s="81" t="n">
        <f aca="true">RAND()</f>
        <v>0.456582864183309</v>
      </c>
      <c r="O1069" s="83" t="n">
        <f aca="false">IF(N1069&lt;(Inputs!$E$26-Inputs!$D$26)/(Inputs!$F$26-Inputs!$D$26),Inputs!$D$26+SQRT(N1069*(Inputs!$F$26-Inputs!$D$26)*(Inputs!$E$26-Inputs!$D$26)),Inputs!$F$26-SQRT((1-N1069)*(Inputs!$F$26-Inputs!$D$26)*(Inputs!$F$26-Inputs!$E$26)))</f>
        <v>0.575636333962166</v>
      </c>
      <c r="P1069" s="81" t="n">
        <f aca="true">RAND()</f>
        <v>0.393143401275322</v>
      </c>
      <c r="Q1069" s="82" t="n">
        <f aca="false">IF(P1069&lt;(Inputs!$E$27-Inputs!$D$27)/(Inputs!$F$27-Inputs!$D$27),Inputs!$D$27+SQRT(P1069*(Inputs!$F$27-Inputs!$D$27)*(Inputs!$E$27-Inputs!$D$27)),Inputs!$F$27-SQRT((1-P1069)*(Inputs!$F$27-Inputs!$D$27)*(Inputs!$F$27-Inputs!$E$27)))</f>
        <v>82.5357539845358</v>
      </c>
      <c r="R1069" s="81" t="n">
        <f aca="true">RAND()</f>
        <v>0.708175676517964</v>
      </c>
      <c r="S1069" s="82" t="n">
        <f aca="false">IF(R1069&lt;(Inputs!$E$29-Inputs!$D$29)/(Inputs!$F$29-Inputs!$D$29),Inputs!$D$29+SQRT(R1069*(Inputs!$F$29-Inputs!$D$29)*(Inputs!$E$29-Inputs!$D$29)),Inputs!$F$29-SQRT((1-R1069)*(Inputs!$F$29-Inputs!$D$29)*(Inputs!$F$29-Inputs!$E$29)))</f>
        <v>8.84068493640205</v>
      </c>
      <c r="T1069" s="68" t="n">
        <f aca="false">Inputs!$E$9*(1+E1069)+Inputs!$E$5*C1069*(Inputs!$E$11*Inputs!$E$14*(G1069*I1069/Inputs!$E$16+(1-G1069))*K1069+Inputs!$E$23*M1069)*(1+O1069)+Inputs!$E$5*(Q1069+S1069)</f>
        <v>5992.28898009817</v>
      </c>
    </row>
    <row r="1070" customFormat="false" ht="15" hidden="false" customHeight="false" outlineLevel="0" collapsed="false">
      <c r="A1070" s="1" t="n">
        <v>1066</v>
      </c>
      <c r="B1070" s="81" t="n">
        <f aca="true">RAND()</f>
        <v>0.96210236260911</v>
      </c>
      <c r="C1070" s="82" t="n">
        <f aca="false">ROUND(IF(B1070&lt;(Inputs!$E$8-Inputs!$D$8)/(Inputs!$F$8-Inputs!$D$8),Inputs!$D$8+SQRT(B1070*(Inputs!$F$8-Inputs!$D$8)*(Inputs!$E$8-Inputs!$D$8)),Inputs!$F$8-SQRT((1-B1070)*(Inputs!$F$8-Inputs!$D$8)*(Inputs!$F$8-Inputs!$E$8))),0)</f>
        <v>29</v>
      </c>
      <c r="D1070" s="81" t="n">
        <f aca="true">RAND()</f>
        <v>0.0688847388126866</v>
      </c>
      <c r="E1070" s="83" t="n">
        <f aca="false">IF(D1070&lt;(Inputs!$E$10-Inputs!$D$10)/(Inputs!$F$10-Inputs!$D$10),Inputs!$D$10+SQRT(D1070*(Inputs!$F$10-Inputs!$D$10)*(Inputs!$E$10-Inputs!$D$10)),Inputs!$F$10-SQRT((1-D1070)*(Inputs!$F$10-Inputs!$D$10)*(Inputs!$F$10-Inputs!$E$10)))</f>
        <v>0.0262459023111583</v>
      </c>
      <c r="F1070" s="81" t="n">
        <f aca="true">RAND()</f>
        <v>0.600695919282732</v>
      </c>
      <c r="G1070" s="83" t="n">
        <f aca="false">IF(F1070&lt;(Inputs!$E$15-Inputs!$D$15)/(Inputs!$F$15-Inputs!$D$15),Inputs!$D$15+SQRT(F1070*(Inputs!$F$15-Inputs!$D$15)*(Inputs!$E$15-Inputs!$D$15)),Inputs!$F$15-SQRT((1-F1070)*(Inputs!$F$15-Inputs!$D$15)*(Inputs!$F$15-Inputs!$E$15)))</f>
        <v>0.710635120912378</v>
      </c>
      <c r="H1070" s="81" t="n">
        <f aca="true">RAND()</f>
        <v>0.142357686179478</v>
      </c>
      <c r="I1070" s="82" t="n">
        <f aca="false">ROUND(IF(H1070&lt;(Inputs!$E$17-Inputs!$D$17)/(Inputs!$F$17-Inputs!$D$17),Inputs!$D$17+SQRT(H1070*(Inputs!$F$17-Inputs!$D$17)*(Inputs!$E$17-Inputs!$D$17)),Inputs!$F$17-SQRT((1-H1070)*(Inputs!$F$17-Inputs!$D$17)*(Inputs!$F$17-Inputs!$E$17))),0)</f>
        <v>103</v>
      </c>
      <c r="J1070" s="81" t="n">
        <f aca="true">RAND()</f>
        <v>0.131488810560381</v>
      </c>
      <c r="K1070" s="83" t="n">
        <f aca="false">IF(J1070&lt;(Inputs!$E$18-Inputs!$D$18)/(Inputs!$F$18-Inputs!$D$18),Inputs!$D$18+SQRT(J1070*(Inputs!$F$18-Inputs!$D$18)*(Inputs!$E$18-Inputs!$D$18)),Inputs!$F$18-SQRT((1-J1070)*(Inputs!$F$18-Inputs!$D$18)*(Inputs!$F$18-Inputs!$E$18)))</f>
        <v>0.967838841157653</v>
      </c>
      <c r="L1070" s="81" t="n">
        <f aca="true">RAND()</f>
        <v>0.0398794072461403</v>
      </c>
      <c r="M1070" s="83" t="n">
        <f aca="false">IF(L1070&lt;(Inputs!$E$24-Inputs!$D$24)/(Inputs!$F$24-Inputs!$D$24),Inputs!$D$24+SQRT(L1070*(Inputs!$F$24-Inputs!$D$24)*(Inputs!$E$24-Inputs!$D$24)),Inputs!$F$24-SQRT((1-L1070)*(Inputs!$F$24-Inputs!$D$24)*(Inputs!$F$24-Inputs!$E$24)))</f>
        <v>0.669177517081324</v>
      </c>
      <c r="N1070" s="81" t="n">
        <f aca="true">RAND()</f>
        <v>0.333841471557281</v>
      </c>
      <c r="O1070" s="83" t="n">
        <f aca="false">IF(N1070&lt;(Inputs!$E$26-Inputs!$D$26)/(Inputs!$F$26-Inputs!$D$26),Inputs!$D$26+SQRT(N1070*(Inputs!$F$26-Inputs!$D$26)*(Inputs!$E$26-Inputs!$D$26)),Inputs!$F$26-SQRT((1-N1070)*(Inputs!$F$26-Inputs!$D$26)*(Inputs!$F$26-Inputs!$E$26)))</f>
        <v>0.535693064953408</v>
      </c>
      <c r="P1070" s="81" t="n">
        <f aca="true">RAND()</f>
        <v>0.653226581706184</v>
      </c>
      <c r="Q1070" s="82" t="n">
        <f aca="false">IF(P1070&lt;(Inputs!$E$27-Inputs!$D$27)/(Inputs!$F$27-Inputs!$D$27),Inputs!$D$27+SQRT(P1070*(Inputs!$F$27-Inputs!$D$27)*(Inputs!$E$27-Inputs!$D$27)),Inputs!$F$27-SQRT((1-P1070)*(Inputs!$F$27-Inputs!$D$27)*(Inputs!$F$27-Inputs!$E$27)))</f>
        <v>99.001954574674</v>
      </c>
      <c r="R1070" s="81" t="n">
        <f aca="true">RAND()</f>
        <v>0.0507980011916793</v>
      </c>
      <c r="S1070" s="82" t="n">
        <f aca="false">IF(R1070&lt;(Inputs!$E$29-Inputs!$D$29)/(Inputs!$F$29-Inputs!$D$29),Inputs!$D$29+SQRT(R1070*(Inputs!$F$29-Inputs!$D$29)*(Inputs!$E$29-Inputs!$D$29)),Inputs!$F$29-SQRT((1-R1070)*(Inputs!$F$29-Inputs!$D$29)*(Inputs!$F$29-Inputs!$E$29)))</f>
        <v>3.40752337333186</v>
      </c>
      <c r="T1070" s="68" t="n">
        <f aca="false">Inputs!$E$9*(1+E1070)+Inputs!$E$5*C1070*(Inputs!$E$11*Inputs!$E$14*(G1070*I1070/Inputs!$E$16+(1-G1070))*K1070+Inputs!$E$23*M1070)*(1+O1070)+Inputs!$E$5*(Q1070+S1070)</f>
        <v>6106.14728817304</v>
      </c>
    </row>
    <row r="1071" customFormat="false" ht="15" hidden="false" customHeight="false" outlineLevel="0" collapsed="false">
      <c r="A1071" s="1" t="n">
        <v>1067</v>
      </c>
      <c r="B1071" s="81" t="n">
        <f aca="true">RAND()</f>
        <v>0.262296319071735</v>
      </c>
      <c r="C1071" s="82" t="n">
        <f aca="false">ROUND(IF(B1071&lt;(Inputs!$E$8-Inputs!$D$8)/(Inputs!$F$8-Inputs!$D$8),Inputs!$D$8+SQRT(B1071*(Inputs!$F$8-Inputs!$D$8)*(Inputs!$E$8-Inputs!$D$8)),Inputs!$F$8-SQRT((1-B1071)*(Inputs!$F$8-Inputs!$D$8)*(Inputs!$F$8-Inputs!$E$8))),0)</f>
        <v>24</v>
      </c>
      <c r="D1071" s="81" t="n">
        <f aca="true">RAND()</f>
        <v>0.114683030173778</v>
      </c>
      <c r="E1071" s="83" t="n">
        <f aca="false">IF(D1071&lt;(Inputs!$E$10-Inputs!$D$10)/(Inputs!$F$10-Inputs!$D$10),Inputs!$D$10+SQRT(D1071*(Inputs!$F$10-Inputs!$D$10)*(Inputs!$E$10-Inputs!$D$10)),Inputs!$F$10-SQRT((1-D1071)*(Inputs!$F$10-Inputs!$D$10)*(Inputs!$F$10-Inputs!$E$10)))</f>
        <v>0.0338648830167443</v>
      </c>
      <c r="F1071" s="81" t="n">
        <f aca="true">RAND()</f>
        <v>0.276381994324045</v>
      </c>
      <c r="G1071" s="83" t="n">
        <f aca="false">IF(F1071&lt;(Inputs!$E$15-Inputs!$D$15)/(Inputs!$F$15-Inputs!$D$15),Inputs!$D$15+SQRT(F1071*(Inputs!$F$15-Inputs!$D$15)*(Inputs!$E$15-Inputs!$D$15)),Inputs!$F$15-SQRT((1-F1071)*(Inputs!$F$15-Inputs!$D$15)*(Inputs!$F$15-Inputs!$E$15)))</f>
        <v>0.674348099414046</v>
      </c>
      <c r="H1071" s="81" t="n">
        <f aca="true">RAND()</f>
        <v>0.426008158981269</v>
      </c>
      <c r="I1071" s="82" t="n">
        <f aca="false">ROUND(IF(H1071&lt;(Inputs!$E$17-Inputs!$D$17)/(Inputs!$F$17-Inputs!$D$17),Inputs!$D$17+SQRT(H1071*(Inputs!$F$17-Inputs!$D$17)*(Inputs!$E$17-Inputs!$D$17)),Inputs!$F$17-SQRT((1-H1071)*(Inputs!$F$17-Inputs!$D$17)*(Inputs!$F$17-Inputs!$E$17))),0)</f>
        <v>106</v>
      </c>
      <c r="J1071" s="81" t="n">
        <f aca="true">RAND()</f>
        <v>0.323223723481704</v>
      </c>
      <c r="K1071" s="83" t="n">
        <f aca="false">IF(J1071&lt;(Inputs!$E$18-Inputs!$D$18)/(Inputs!$F$18-Inputs!$D$18),Inputs!$D$18+SQRT(J1071*(Inputs!$F$18-Inputs!$D$18)*(Inputs!$E$18-Inputs!$D$18)),Inputs!$F$18-SQRT((1-J1071)*(Inputs!$F$18-Inputs!$D$18)*(Inputs!$F$18-Inputs!$E$18)))</f>
        <v>1.00665266758119</v>
      </c>
      <c r="L1071" s="81" t="n">
        <f aca="true">RAND()</f>
        <v>0.962618777150986</v>
      </c>
      <c r="M1071" s="83" t="n">
        <f aca="false">IF(L1071&lt;(Inputs!$E$24-Inputs!$D$24)/(Inputs!$F$24-Inputs!$D$24),Inputs!$D$24+SQRT(L1071*(Inputs!$F$24-Inputs!$D$24)*(Inputs!$E$24-Inputs!$D$24)),Inputs!$F$24-SQRT((1-L1071)*(Inputs!$F$24-Inputs!$D$24)*(Inputs!$F$24-Inputs!$E$24)))</f>
        <v>1.10528203188537</v>
      </c>
      <c r="N1071" s="81" t="n">
        <f aca="true">RAND()</f>
        <v>0.75084045203124</v>
      </c>
      <c r="O1071" s="83" t="n">
        <f aca="false">IF(N1071&lt;(Inputs!$E$26-Inputs!$D$26)/(Inputs!$F$26-Inputs!$D$26),Inputs!$D$26+SQRT(N1071*(Inputs!$F$26-Inputs!$D$26)*(Inputs!$E$26-Inputs!$D$26)),Inputs!$F$26-SQRT((1-N1071)*(Inputs!$F$26-Inputs!$D$26)*(Inputs!$F$26-Inputs!$E$26)))</f>
        <v>0.659026110847905</v>
      </c>
      <c r="P1071" s="81" t="n">
        <f aca="true">RAND()</f>
        <v>0.19738775928028</v>
      </c>
      <c r="Q1071" s="82" t="n">
        <f aca="false">IF(P1071&lt;(Inputs!$E$27-Inputs!$D$27)/(Inputs!$F$27-Inputs!$D$27),Inputs!$D$27+SQRT(P1071*(Inputs!$F$27-Inputs!$D$27)*(Inputs!$E$27-Inputs!$D$27)),Inputs!$F$27-SQRT((1-P1071)*(Inputs!$F$27-Inputs!$D$27)*(Inputs!$F$27-Inputs!$E$27)))</f>
        <v>72.2141711121685</v>
      </c>
      <c r="R1071" s="81" t="n">
        <f aca="true">RAND()</f>
        <v>0.795298651032117</v>
      </c>
      <c r="S1071" s="82" t="n">
        <f aca="false">IF(R1071&lt;(Inputs!$E$29-Inputs!$D$29)/(Inputs!$F$29-Inputs!$D$29),Inputs!$D$29+SQRT(R1071*(Inputs!$F$29-Inputs!$D$29)*(Inputs!$E$29-Inputs!$D$29)),Inputs!$F$29-SQRT((1-R1071)*(Inputs!$F$29-Inputs!$D$29)*(Inputs!$F$29-Inputs!$E$29)))</f>
        <v>9.84139792522966</v>
      </c>
      <c r="T1071" s="68" t="n">
        <f aca="false">Inputs!$E$9*(1+E1071)+Inputs!$E$5*C1071*(Inputs!$E$11*Inputs!$E$14*(G1071*I1071/Inputs!$E$16+(1-G1071))*K1071+Inputs!$E$23*M1071)*(1+O1071)+Inputs!$E$5*(Q1071+S1071)</f>
        <v>6451.64599592536</v>
      </c>
    </row>
    <row r="1072" customFormat="false" ht="15" hidden="false" customHeight="false" outlineLevel="0" collapsed="false">
      <c r="A1072" s="1" t="n">
        <v>1068</v>
      </c>
      <c r="B1072" s="81" t="n">
        <f aca="true">RAND()</f>
        <v>0.906236288664945</v>
      </c>
      <c r="C1072" s="82" t="n">
        <f aca="false">ROUND(IF(B1072&lt;(Inputs!$E$8-Inputs!$D$8)/(Inputs!$F$8-Inputs!$D$8),Inputs!$D$8+SQRT(B1072*(Inputs!$F$8-Inputs!$D$8)*(Inputs!$E$8-Inputs!$D$8)),Inputs!$F$8-SQRT((1-B1072)*(Inputs!$F$8-Inputs!$D$8)*(Inputs!$F$8-Inputs!$E$8))),0)</f>
        <v>28</v>
      </c>
      <c r="D1072" s="81" t="n">
        <f aca="true">RAND()</f>
        <v>0.161473981398874</v>
      </c>
      <c r="E1072" s="83" t="n">
        <f aca="false">IF(D1072&lt;(Inputs!$E$10-Inputs!$D$10)/(Inputs!$F$10-Inputs!$D$10),Inputs!$D$10+SQRT(D1072*(Inputs!$F$10-Inputs!$D$10)*(Inputs!$E$10-Inputs!$D$10)),Inputs!$F$10-SQRT((1-D1072)*(Inputs!$F$10-Inputs!$D$10)*(Inputs!$F$10-Inputs!$E$10)))</f>
        <v>0.0401838252781979</v>
      </c>
      <c r="F1072" s="81" t="n">
        <f aca="true">RAND()</f>
        <v>0.333640213372321</v>
      </c>
      <c r="G1072" s="83" t="n">
        <f aca="false">IF(F1072&lt;(Inputs!$E$15-Inputs!$D$15)/(Inputs!$F$15-Inputs!$D$15),Inputs!$D$15+SQRT(F1072*(Inputs!$F$15-Inputs!$D$15)*(Inputs!$E$15-Inputs!$D$15)),Inputs!$F$15-SQRT((1-F1072)*(Inputs!$F$15-Inputs!$D$15)*(Inputs!$F$15-Inputs!$E$15)))</f>
        <v>0.681687234421582</v>
      </c>
      <c r="H1072" s="81" t="n">
        <f aca="true">RAND()</f>
        <v>0.804849918639629</v>
      </c>
      <c r="I1072" s="82" t="n">
        <f aca="false">ROUND(IF(H1072&lt;(Inputs!$E$17-Inputs!$D$17)/(Inputs!$F$17-Inputs!$D$17),Inputs!$D$17+SQRT(H1072*(Inputs!$F$17-Inputs!$D$17)*(Inputs!$E$17-Inputs!$D$17)),Inputs!$F$17-SQRT((1-H1072)*(Inputs!$F$17-Inputs!$D$17)*(Inputs!$F$17-Inputs!$E$17))),0)</f>
        <v>110</v>
      </c>
      <c r="J1072" s="81" t="n">
        <f aca="true">RAND()</f>
        <v>0.499819287062321</v>
      </c>
      <c r="K1072" s="83" t="n">
        <f aca="false">IF(J1072&lt;(Inputs!$E$18-Inputs!$D$18)/(Inputs!$F$18-Inputs!$D$18),Inputs!$D$18+SQRT(J1072*(Inputs!$F$18-Inputs!$D$18)*(Inputs!$E$18-Inputs!$D$18)),Inputs!$F$18-SQRT((1-J1072)*(Inputs!$F$18-Inputs!$D$18)*(Inputs!$F$18-Inputs!$E$18)))</f>
        <v>1.04079719795842</v>
      </c>
      <c r="L1072" s="81" t="n">
        <f aca="true">RAND()</f>
        <v>0.297684642016261</v>
      </c>
      <c r="M1072" s="83" t="n">
        <f aca="false">IF(L1072&lt;(Inputs!$E$24-Inputs!$D$24)/(Inputs!$F$24-Inputs!$D$24),Inputs!$D$24+SQRT(L1072*(Inputs!$F$24-Inputs!$D$24)*(Inputs!$E$24-Inputs!$D$24)),Inputs!$F$24-SQRT((1-L1072)*(Inputs!$F$24-Inputs!$D$24)*(Inputs!$F$24-Inputs!$E$24)))</f>
        <v>0.789003060932757</v>
      </c>
      <c r="N1072" s="81" t="n">
        <f aca="true">RAND()</f>
        <v>0.48168962453174</v>
      </c>
      <c r="O1072" s="83" t="n">
        <f aca="false">IF(N1072&lt;(Inputs!$E$26-Inputs!$D$26)/(Inputs!$F$26-Inputs!$D$26),Inputs!$D$26+SQRT(N1072*(Inputs!$F$26-Inputs!$D$26)*(Inputs!$E$26-Inputs!$D$26)),Inputs!$F$26-SQRT((1-N1072)*(Inputs!$F$26-Inputs!$D$26)*(Inputs!$F$26-Inputs!$E$26)))</f>
        <v>0.583113322756245</v>
      </c>
      <c r="P1072" s="81" t="n">
        <f aca="true">RAND()</f>
        <v>0.165718729454967</v>
      </c>
      <c r="Q1072" s="82" t="n">
        <f aca="false">IF(P1072&lt;(Inputs!$E$27-Inputs!$D$27)/(Inputs!$F$27-Inputs!$D$27),Inputs!$D$27+SQRT(P1072*(Inputs!$F$27-Inputs!$D$27)*(Inputs!$E$27-Inputs!$D$27)),Inputs!$F$27-SQRT((1-P1072)*(Inputs!$F$27-Inputs!$D$27)*(Inputs!$F$27-Inputs!$E$27)))</f>
        <v>70.354282685406</v>
      </c>
      <c r="R1072" s="81" t="n">
        <f aca="true">RAND()</f>
        <v>0.88158801020107</v>
      </c>
      <c r="S1072" s="82" t="n">
        <f aca="false">IF(R1072&lt;(Inputs!$E$29-Inputs!$D$29)/(Inputs!$F$29-Inputs!$D$29),Inputs!$D$29+SQRT(R1072*(Inputs!$F$29-Inputs!$D$29)*(Inputs!$E$29-Inputs!$D$29)),Inputs!$F$29-SQRT((1-R1072)*(Inputs!$F$29-Inputs!$D$29)*(Inputs!$F$29-Inputs!$E$29)))</f>
        <v>11.0765374127104</v>
      </c>
      <c r="T1072" s="68" t="n">
        <f aca="false">Inputs!$E$9*(1+E1072)+Inputs!$E$5*C1072*(Inputs!$E$11*Inputs!$E$14*(G1072*I1072/Inputs!$E$16+(1-G1072))*K1072+Inputs!$E$23*M1072)*(1+O1072)+Inputs!$E$5*(Q1072+S1072)</f>
        <v>6513.54890124135</v>
      </c>
    </row>
    <row r="1073" customFormat="false" ht="15" hidden="false" customHeight="false" outlineLevel="0" collapsed="false">
      <c r="A1073" s="1" t="n">
        <v>1069</v>
      </c>
      <c r="B1073" s="81" t="n">
        <f aca="true">RAND()</f>
        <v>0.717069260018606</v>
      </c>
      <c r="C1073" s="82" t="n">
        <f aca="false">ROUND(IF(B1073&lt;(Inputs!$E$8-Inputs!$D$8)/(Inputs!$F$8-Inputs!$D$8),Inputs!$D$8+SQRT(B1073*(Inputs!$F$8-Inputs!$D$8)*(Inputs!$E$8-Inputs!$D$8)),Inputs!$F$8-SQRT((1-B1073)*(Inputs!$F$8-Inputs!$D$8)*(Inputs!$F$8-Inputs!$E$8))),0)</f>
        <v>26</v>
      </c>
      <c r="D1073" s="81" t="n">
        <f aca="true">RAND()</f>
        <v>0.56257166778</v>
      </c>
      <c r="E1073" s="83" t="n">
        <f aca="false">IF(D1073&lt;(Inputs!$E$10-Inputs!$D$10)/(Inputs!$F$10-Inputs!$D$10),Inputs!$D$10+SQRT(D1073*(Inputs!$F$10-Inputs!$D$10)*(Inputs!$E$10-Inputs!$D$10)),Inputs!$F$10-SQRT((1-D1073)*(Inputs!$F$10-Inputs!$D$10)*(Inputs!$F$10-Inputs!$E$10)))</f>
        <v>0.0854449915254684</v>
      </c>
      <c r="F1073" s="81" t="n">
        <f aca="true">RAND()</f>
        <v>0.198059813787632</v>
      </c>
      <c r="G1073" s="83" t="n">
        <f aca="false">IF(F1073&lt;(Inputs!$E$15-Inputs!$D$15)/(Inputs!$F$15-Inputs!$D$15),Inputs!$D$15+SQRT(F1073*(Inputs!$F$15-Inputs!$D$15)*(Inputs!$E$15-Inputs!$D$15)),Inputs!$F$15-SQRT((1-F1073)*(Inputs!$F$15-Inputs!$D$15)*(Inputs!$F$15-Inputs!$E$15)))</f>
        <v>0.662938035207279</v>
      </c>
      <c r="H1073" s="81" t="n">
        <f aca="true">RAND()</f>
        <v>0.644489687922816</v>
      </c>
      <c r="I1073" s="82" t="n">
        <f aca="false">ROUND(IF(H1073&lt;(Inputs!$E$17-Inputs!$D$17)/(Inputs!$F$17-Inputs!$D$17),Inputs!$D$17+SQRT(H1073*(Inputs!$F$17-Inputs!$D$17)*(Inputs!$E$17-Inputs!$D$17)),Inputs!$F$17-SQRT((1-H1073)*(Inputs!$F$17-Inputs!$D$17)*(Inputs!$F$17-Inputs!$E$17))),0)</f>
        <v>108</v>
      </c>
      <c r="J1073" s="81" t="n">
        <f aca="true">RAND()</f>
        <v>0.60210447216705</v>
      </c>
      <c r="K1073" s="83" t="n">
        <f aca="false">IF(J1073&lt;(Inputs!$E$18-Inputs!$D$18)/(Inputs!$F$18-Inputs!$D$18),Inputs!$D$18+SQRT(J1073*(Inputs!$F$18-Inputs!$D$18)*(Inputs!$E$18-Inputs!$D$18)),Inputs!$F$18-SQRT((1-J1073)*(Inputs!$F$18-Inputs!$D$18)*(Inputs!$F$18-Inputs!$E$18)))</f>
        <v>1.06340991804122</v>
      </c>
      <c r="L1073" s="81" t="n">
        <f aca="true">RAND()</f>
        <v>0.00117242009415267</v>
      </c>
      <c r="M1073" s="83" t="n">
        <f aca="false">IF(L1073&lt;(Inputs!$E$24-Inputs!$D$24)/(Inputs!$F$24-Inputs!$D$24),Inputs!$D$24+SQRT(L1073*(Inputs!$F$24-Inputs!$D$24)*(Inputs!$E$24-Inputs!$D$24)),Inputs!$F$24-SQRT((1-L1073)*(Inputs!$F$24-Inputs!$D$24)*(Inputs!$F$24-Inputs!$E$24)))</f>
        <v>0.611861298887488</v>
      </c>
      <c r="N1073" s="81" t="n">
        <f aca="true">RAND()</f>
        <v>0.993997819898778</v>
      </c>
      <c r="O1073" s="83" t="n">
        <f aca="false">IF(N1073&lt;(Inputs!$E$26-Inputs!$D$26)/(Inputs!$F$26-Inputs!$D$26),Inputs!$D$26+SQRT(N1073*(Inputs!$F$26-Inputs!$D$26)*(Inputs!$E$26-Inputs!$D$26)),Inputs!$F$26-SQRT((1-N1073)*(Inputs!$F$26-Inputs!$D$26)*(Inputs!$F$26-Inputs!$E$26)))</f>
        <v>0.795015470175985</v>
      </c>
      <c r="P1073" s="81" t="n">
        <f aca="true">RAND()</f>
        <v>0.602769214158973</v>
      </c>
      <c r="Q1073" s="82" t="n">
        <f aca="false">IF(P1073&lt;(Inputs!$E$27-Inputs!$D$27)/(Inputs!$F$27-Inputs!$D$27),Inputs!$D$27+SQRT(P1073*(Inputs!$F$27-Inputs!$D$27)*(Inputs!$E$27-Inputs!$D$27)),Inputs!$F$27-SQRT((1-P1073)*(Inputs!$F$27-Inputs!$D$27)*(Inputs!$F$27-Inputs!$E$27)))</f>
        <v>95.4176686664292</v>
      </c>
      <c r="R1073" s="81" t="n">
        <f aca="true">RAND()</f>
        <v>0.300624201856287</v>
      </c>
      <c r="S1073" s="82" t="n">
        <f aca="false">IF(R1073&lt;(Inputs!$E$29-Inputs!$D$29)/(Inputs!$F$29-Inputs!$D$29),Inputs!$D$29+SQRT(R1073*(Inputs!$F$29-Inputs!$D$29)*(Inputs!$E$29-Inputs!$D$29)),Inputs!$F$29-SQRT((1-R1073)*(Inputs!$F$29-Inputs!$D$29)*(Inputs!$F$29-Inputs!$E$29)))</f>
        <v>5.46486215313681</v>
      </c>
      <c r="T1073" s="68" t="n">
        <f aca="false">Inputs!$E$9*(1+E1073)+Inputs!$E$5*C1073*(Inputs!$E$11*Inputs!$E$14*(G1073*I1073/Inputs!$E$16+(1-G1073))*K1073+Inputs!$E$23*M1073)*(1+O1073)+Inputs!$E$5*(Q1073+S1073)</f>
        <v>6677.94110864331</v>
      </c>
    </row>
    <row r="1074" customFormat="false" ht="15" hidden="false" customHeight="false" outlineLevel="0" collapsed="false">
      <c r="A1074" s="1" t="n">
        <v>1070</v>
      </c>
      <c r="B1074" s="81" t="n">
        <f aca="true">RAND()</f>
        <v>0.676015475899544</v>
      </c>
      <c r="C1074" s="82" t="n">
        <f aca="false">ROUND(IF(B1074&lt;(Inputs!$E$8-Inputs!$D$8)/(Inputs!$F$8-Inputs!$D$8),Inputs!$D$8+SQRT(B1074*(Inputs!$F$8-Inputs!$D$8)*(Inputs!$E$8-Inputs!$D$8)),Inputs!$F$8-SQRT((1-B1074)*(Inputs!$F$8-Inputs!$D$8)*(Inputs!$F$8-Inputs!$E$8))),0)</f>
        <v>26</v>
      </c>
      <c r="D1074" s="81" t="n">
        <f aca="true">RAND()</f>
        <v>0.996603897004057</v>
      </c>
      <c r="E1074" s="83" t="n">
        <f aca="false">IF(D1074&lt;(Inputs!$E$10-Inputs!$D$10)/(Inputs!$F$10-Inputs!$D$10),Inputs!$D$10+SQRT(D1074*(Inputs!$F$10-Inputs!$D$10)*(Inputs!$E$10-Inputs!$D$10)),Inputs!$F$10-SQRT((1-D1074)*(Inputs!$F$10-Inputs!$D$10)*(Inputs!$F$10-Inputs!$E$10)))</f>
        <v>0.189906284634571</v>
      </c>
      <c r="F1074" s="81" t="n">
        <f aca="true">RAND()</f>
        <v>0.171485513736159</v>
      </c>
      <c r="G1074" s="83" t="n">
        <f aca="false">IF(F1074&lt;(Inputs!$E$15-Inputs!$D$15)/(Inputs!$F$15-Inputs!$D$15),Inputs!$D$15+SQRT(F1074*(Inputs!$F$15-Inputs!$D$15)*(Inputs!$E$15-Inputs!$D$15)),Inputs!$F$15-SQRT((1-F1074)*(Inputs!$F$15-Inputs!$D$15)*(Inputs!$F$15-Inputs!$E$15)))</f>
        <v>0.658563728319867</v>
      </c>
      <c r="H1074" s="81" t="n">
        <f aca="true">RAND()</f>
        <v>0.679238147137938</v>
      </c>
      <c r="I1074" s="82" t="n">
        <f aca="false">ROUND(IF(H1074&lt;(Inputs!$E$17-Inputs!$D$17)/(Inputs!$F$17-Inputs!$D$17),Inputs!$D$17+SQRT(H1074*(Inputs!$F$17-Inputs!$D$17)*(Inputs!$E$17-Inputs!$D$17)),Inputs!$F$17-SQRT((1-H1074)*(Inputs!$F$17-Inputs!$D$17)*(Inputs!$F$17-Inputs!$E$17))),0)</f>
        <v>108</v>
      </c>
      <c r="J1074" s="81" t="n">
        <f aca="true">RAND()</f>
        <v>0.87208775155658</v>
      </c>
      <c r="K1074" s="83" t="n">
        <f aca="false">IF(J1074&lt;(Inputs!$E$18-Inputs!$D$18)/(Inputs!$F$18-Inputs!$D$18),Inputs!$D$18+SQRT(J1074*(Inputs!$F$18-Inputs!$D$18)*(Inputs!$E$18-Inputs!$D$18)),Inputs!$F$18-SQRT((1-J1074)*(Inputs!$F$18-Inputs!$D$18)*(Inputs!$F$18-Inputs!$E$18)))</f>
        <v>1.1442062301513</v>
      </c>
      <c r="L1074" s="81" t="n">
        <f aca="true">RAND()</f>
        <v>0.133281022184296</v>
      </c>
      <c r="M1074" s="83" t="n">
        <f aca="false">IF(L1074&lt;(Inputs!$E$24-Inputs!$D$24)/(Inputs!$F$24-Inputs!$D$24),Inputs!$D$24+SQRT(L1074*(Inputs!$F$24-Inputs!$D$24)*(Inputs!$E$24-Inputs!$D$24)),Inputs!$F$24-SQRT((1-L1074)*(Inputs!$F$24-Inputs!$D$24)*(Inputs!$F$24-Inputs!$E$24)))</f>
        <v>0.726466290615782</v>
      </c>
      <c r="N1074" s="81" t="n">
        <f aca="true">RAND()</f>
        <v>0.209376546338556</v>
      </c>
      <c r="O1074" s="83" t="n">
        <f aca="false">IF(N1074&lt;(Inputs!$E$26-Inputs!$D$26)/(Inputs!$F$26-Inputs!$D$26),Inputs!$D$26+SQRT(N1074*(Inputs!$F$26-Inputs!$D$26)*(Inputs!$E$26-Inputs!$D$26)),Inputs!$F$26-SQRT((1-N1074)*(Inputs!$F$26-Inputs!$D$26)*(Inputs!$F$26-Inputs!$E$26)))</f>
        <v>0.486655450792994</v>
      </c>
      <c r="P1074" s="81" t="n">
        <f aca="true">RAND()</f>
        <v>0.948203791947884</v>
      </c>
      <c r="Q1074" s="82" t="n">
        <f aca="false">IF(P1074&lt;(Inputs!$E$27-Inputs!$D$27)/(Inputs!$F$27-Inputs!$D$27),Inputs!$D$27+SQRT(P1074*(Inputs!$F$27-Inputs!$D$27)*(Inputs!$E$27-Inputs!$D$27)),Inputs!$F$27-SQRT((1-P1074)*(Inputs!$F$27-Inputs!$D$27)*(Inputs!$F$27-Inputs!$E$27)))</f>
        <v>130.290318105285</v>
      </c>
      <c r="R1074" s="81" t="n">
        <f aca="true">RAND()</f>
        <v>0.972757419991601</v>
      </c>
      <c r="S1074" s="82" t="n">
        <f aca="false">IF(R1074&lt;(Inputs!$E$29-Inputs!$D$29)/(Inputs!$F$29-Inputs!$D$29),Inputs!$D$29+SQRT(R1074*(Inputs!$F$29-Inputs!$D$29)*(Inputs!$E$29-Inputs!$D$29)),Inputs!$F$29-SQRT((1-R1074)*(Inputs!$F$29-Inputs!$D$29)*(Inputs!$F$29-Inputs!$E$29)))</f>
        <v>13.1181032437746</v>
      </c>
      <c r="T1074" s="68" t="n">
        <f aca="false">Inputs!$E$9*(1+E1074)+Inputs!$E$5*C1074*(Inputs!$E$11*Inputs!$E$14*(G1074*I1074/Inputs!$E$16+(1-G1074))*K1074+Inputs!$E$23*M1074)*(1+O1074)+Inputs!$E$5*(Q1074+S1074)</f>
        <v>6808.35758914775</v>
      </c>
    </row>
    <row r="1075" customFormat="false" ht="15" hidden="false" customHeight="false" outlineLevel="0" collapsed="false">
      <c r="A1075" s="1" t="n">
        <v>1071</v>
      </c>
      <c r="B1075" s="81" t="n">
        <f aca="true">RAND()</f>
        <v>0.392780081042891</v>
      </c>
      <c r="C1075" s="82" t="n">
        <f aca="false">ROUND(IF(B1075&lt;(Inputs!$E$8-Inputs!$D$8)/(Inputs!$F$8-Inputs!$D$8),Inputs!$D$8+SQRT(B1075*(Inputs!$F$8-Inputs!$D$8)*(Inputs!$E$8-Inputs!$D$8)),Inputs!$F$8-SQRT((1-B1075)*(Inputs!$F$8-Inputs!$D$8)*(Inputs!$F$8-Inputs!$E$8))),0)</f>
        <v>24</v>
      </c>
      <c r="D1075" s="81" t="n">
        <f aca="true">RAND()</f>
        <v>0.26698611395805</v>
      </c>
      <c r="E1075" s="83" t="n">
        <f aca="false">IF(D1075&lt;(Inputs!$E$10-Inputs!$D$10)/(Inputs!$F$10-Inputs!$D$10),Inputs!$D$10+SQRT(D1075*(Inputs!$F$10-Inputs!$D$10)*(Inputs!$E$10-Inputs!$D$10)),Inputs!$F$10-SQRT((1-D1075)*(Inputs!$F$10-Inputs!$D$10)*(Inputs!$F$10-Inputs!$E$10)))</f>
        <v>0.0517083394750112</v>
      </c>
      <c r="F1075" s="81" t="n">
        <f aca="true">RAND()</f>
        <v>0.0317299539269136</v>
      </c>
      <c r="G1075" s="83" t="n">
        <f aca="false">IF(F1075&lt;(Inputs!$E$15-Inputs!$D$15)/(Inputs!$F$15-Inputs!$D$15),Inputs!$D$15+SQRT(F1075*(Inputs!$F$15-Inputs!$D$15)*(Inputs!$E$15-Inputs!$D$15)),Inputs!$F$15-SQRT((1-F1075)*(Inputs!$F$15-Inputs!$D$15)*(Inputs!$F$15-Inputs!$E$15)))</f>
        <v>0.625191250039215</v>
      </c>
      <c r="H1075" s="81" t="n">
        <f aca="true">RAND()</f>
        <v>0.695027419971198</v>
      </c>
      <c r="I1075" s="82" t="n">
        <f aca="false">ROUND(IF(H1075&lt;(Inputs!$E$17-Inputs!$D$17)/(Inputs!$F$17-Inputs!$D$17),Inputs!$D$17+SQRT(H1075*(Inputs!$F$17-Inputs!$D$17)*(Inputs!$E$17-Inputs!$D$17)),Inputs!$F$17-SQRT((1-H1075)*(Inputs!$F$17-Inputs!$D$17)*(Inputs!$F$17-Inputs!$E$17))),0)</f>
        <v>108</v>
      </c>
      <c r="J1075" s="81" t="n">
        <f aca="true">RAND()</f>
        <v>0.479167580029989</v>
      </c>
      <c r="K1075" s="83" t="n">
        <f aca="false">IF(J1075&lt;(Inputs!$E$18-Inputs!$D$18)/(Inputs!$F$18-Inputs!$D$18),Inputs!$D$18+SQRT(J1075*(Inputs!$F$18-Inputs!$D$18)*(Inputs!$E$18-Inputs!$D$18)),Inputs!$F$18-SQRT((1-J1075)*(Inputs!$F$18-Inputs!$D$18)*(Inputs!$F$18-Inputs!$E$18)))</f>
        <v>1.03652204622637</v>
      </c>
      <c r="L1075" s="81" t="n">
        <f aca="true">RAND()</f>
        <v>0.681725718568353</v>
      </c>
      <c r="M1075" s="83" t="n">
        <f aca="false">IF(L1075&lt;(Inputs!$E$24-Inputs!$D$24)/(Inputs!$F$24-Inputs!$D$24),Inputs!$D$24+SQRT(L1075*(Inputs!$F$24-Inputs!$D$24)*(Inputs!$E$24-Inputs!$D$24)),Inputs!$F$24-SQRT((1-L1075)*(Inputs!$F$24-Inputs!$D$24)*(Inputs!$F$24-Inputs!$E$24)))</f>
        <v>0.923620139041219</v>
      </c>
      <c r="N1075" s="81" t="n">
        <f aca="true">RAND()</f>
        <v>0.810761199512634</v>
      </c>
      <c r="O1075" s="83" t="n">
        <f aca="false">IF(N1075&lt;(Inputs!$E$26-Inputs!$D$26)/(Inputs!$F$26-Inputs!$D$26),Inputs!$D$26+SQRT(N1075*(Inputs!$F$26-Inputs!$D$26)*(Inputs!$E$26-Inputs!$D$26)),Inputs!$F$26-SQRT((1-N1075)*(Inputs!$F$26-Inputs!$D$26)*(Inputs!$F$26-Inputs!$E$26)))</f>
        <v>0.67971159972868</v>
      </c>
      <c r="P1075" s="81" t="n">
        <f aca="true">RAND()</f>
        <v>0.0952889321537837</v>
      </c>
      <c r="Q1075" s="82" t="n">
        <f aca="false">IF(P1075&lt;(Inputs!$E$27-Inputs!$D$27)/(Inputs!$F$27-Inputs!$D$27),Inputs!$D$27+SQRT(P1075*(Inputs!$F$27-Inputs!$D$27)*(Inputs!$E$27-Inputs!$D$27)),Inputs!$F$27-SQRT((1-P1075)*(Inputs!$F$27-Inputs!$D$27)*(Inputs!$F$27-Inputs!$E$27)))</f>
        <v>65.4344527076427</v>
      </c>
      <c r="R1075" s="81" t="n">
        <f aca="true">RAND()</f>
        <v>0.277394035862791</v>
      </c>
      <c r="S1075" s="82" t="n">
        <f aca="false">IF(R1075&lt;(Inputs!$E$29-Inputs!$D$29)/(Inputs!$F$29-Inputs!$D$29),Inputs!$D$29+SQRT(R1075*(Inputs!$F$29-Inputs!$D$29)*(Inputs!$E$29-Inputs!$D$29)),Inputs!$F$29-SQRT((1-R1075)*(Inputs!$F$29-Inputs!$D$29)*(Inputs!$F$29-Inputs!$E$29)))</f>
        <v>5.30779822033006</v>
      </c>
      <c r="T1075" s="68" t="n">
        <f aca="false">Inputs!$E$9*(1+E1075)+Inputs!$E$5*C1075*(Inputs!$E$11*Inputs!$E$14*(G1075*I1075/Inputs!$E$16+(1-G1075))*K1075+Inputs!$E$23*M1075)*(1+O1075)+Inputs!$E$5*(Q1075+S1075)</f>
        <v>6375.54218182766</v>
      </c>
    </row>
    <row r="1076" customFormat="false" ht="15" hidden="false" customHeight="false" outlineLevel="0" collapsed="false">
      <c r="A1076" s="1" t="n">
        <v>1072</v>
      </c>
      <c r="B1076" s="81" t="n">
        <f aca="true">RAND()</f>
        <v>0.739041453494588</v>
      </c>
      <c r="C1076" s="82" t="n">
        <f aca="false">ROUND(IF(B1076&lt;(Inputs!$E$8-Inputs!$D$8)/(Inputs!$F$8-Inputs!$D$8),Inputs!$D$8+SQRT(B1076*(Inputs!$F$8-Inputs!$D$8)*(Inputs!$E$8-Inputs!$D$8)),Inputs!$F$8-SQRT((1-B1076)*(Inputs!$F$8-Inputs!$D$8)*(Inputs!$F$8-Inputs!$E$8))),0)</f>
        <v>26</v>
      </c>
      <c r="D1076" s="81" t="n">
        <f aca="true">RAND()</f>
        <v>0.958735506678052</v>
      </c>
      <c r="E1076" s="83" t="n">
        <f aca="false">IF(D1076&lt;(Inputs!$E$10-Inputs!$D$10)/(Inputs!$F$10-Inputs!$D$10),Inputs!$D$10+SQRT(D1076*(Inputs!$F$10-Inputs!$D$10)*(Inputs!$E$10-Inputs!$D$10)),Inputs!$F$10-SQRT((1-D1076)*(Inputs!$F$10-Inputs!$D$10)*(Inputs!$F$10-Inputs!$E$10)))</f>
        <v>0.164815702370824</v>
      </c>
      <c r="F1076" s="81" t="n">
        <f aca="true">RAND()</f>
        <v>0.614462071269203</v>
      </c>
      <c r="G1076" s="83" t="n">
        <f aca="false">IF(F1076&lt;(Inputs!$E$15-Inputs!$D$15)/(Inputs!$F$15-Inputs!$D$15),Inputs!$D$15+SQRT(F1076*(Inputs!$F$15-Inputs!$D$15)*(Inputs!$E$15-Inputs!$D$15)),Inputs!$F$15-SQRT((1-F1076)*(Inputs!$F$15-Inputs!$D$15)*(Inputs!$F$15-Inputs!$E$15)))</f>
        <v>0.712189074856166</v>
      </c>
      <c r="H1076" s="81" t="n">
        <f aca="true">RAND()</f>
        <v>0.329731438009053</v>
      </c>
      <c r="I1076" s="82" t="n">
        <f aca="false">ROUND(IF(H1076&lt;(Inputs!$E$17-Inputs!$D$17)/(Inputs!$F$17-Inputs!$D$17),Inputs!$D$17+SQRT(H1076*(Inputs!$F$17-Inputs!$D$17)*(Inputs!$E$17-Inputs!$D$17)),Inputs!$F$17-SQRT((1-H1076)*(Inputs!$F$17-Inputs!$D$17)*(Inputs!$F$17-Inputs!$E$17))),0)</f>
        <v>105</v>
      </c>
      <c r="J1076" s="81" t="n">
        <f aca="true">RAND()</f>
        <v>0.292458390935992</v>
      </c>
      <c r="K1076" s="83" t="n">
        <f aca="false">IF(J1076&lt;(Inputs!$E$18-Inputs!$D$18)/(Inputs!$F$18-Inputs!$D$18),Inputs!$D$18+SQRT(J1076*(Inputs!$F$18-Inputs!$D$18)*(Inputs!$E$18-Inputs!$D$18)),Inputs!$F$18-SQRT((1-J1076)*(Inputs!$F$18-Inputs!$D$18)*(Inputs!$F$18-Inputs!$E$18)))</f>
        <v>1.00118301747449</v>
      </c>
      <c r="L1076" s="81" t="n">
        <f aca="true">RAND()</f>
        <v>0.667099323838821</v>
      </c>
      <c r="M1076" s="83" t="n">
        <f aca="false">IF(L1076&lt;(Inputs!$E$24-Inputs!$D$24)/(Inputs!$F$24-Inputs!$D$24),Inputs!$D$24+SQRT(L1076*(Inputs!$F$24-Inputs!$D$24)*(Inputs!$E$24-Inputs!$D$24)),Inputs!$F$24-SQRT((1-L1076)*(Inputs!$F$24-Inputs!$D$24)*(Inputs!$F$24-Inputs!$E$24)))</f>
        <v>0.917340908020487</v>
      </c>
      <c r="N1076" s="81" t="n">
        <f aca="true">RAND()</f>
        <v>0.0585163722945966</v>
      </c>
      <c r="O1076" s="83" t="n">
        <f aca="false">IF(N1076&lt;(Inputs!$E$26-Inputs!$D$26)/(Inputs!$F$26-Inputs!$D$26),Inputs!$D$26+SQRT(N1076*(Inputs!$F$26-Inputs!$D$26)*(Inputs!$E$26-Inputs!$D$26)),Inputs!$F$26-SQRT((1-N1076)*(Inputs!$F$26-Inputs!$D$26)*(Inputs!$F$26-Inputs!$E$26)))</f>
        <v>0.398676868362453</v>
      </c>
      <c r="P1076" s="81" t="n">
        <f aca="true">RAND()</f>
        <v>0.903213296690793</v>
      </c>
      <c r="Q1076" s="82" t="n">
        <f aca="false">IF(P1076&lt;(Inputs!$E$27-Inputs!$D$27)/(Inputs!$F$27-Inputs!$D$27),Inputs!$D$27+SQRT(P1076*(Inputs!$F$27-Inputs!$D$27)*(Inputs!$E$27-Inputs!$D$27)),Inputs!$F$27-SQRT((1-P1076)*(Inputs!$F$27-Inputs!$D$27)*(Inputs!$F$27-Inputs!$E$27)))</f>
        <v>123.057463467241</v>
      </c>
      <c r="R1076" s="81" t="n">
        <f aca="true">RAND()</f>
        <v>0.61818607238574</v>
      </c>
      <c r="S1076" s="82" t="n">
        <f aca="false">IF(R1076&lt;(Inputs!$E$29-Inputs!$D$29)/(Inputs!$F$29-Inputs!$D$29),Inputs!$D$29+SQRT(R1076*(Inputs!$F$29-Inputs!$D$29)*(Inputs!$E$29-Inputs!$D$29)),Inputs!$F$29-SQRT((1-R1076)*(Inputs!$F$29-Inputs!$D$29)*(Inputs!$F$29-Inputs!$E$29)))</f>
        <v>7.95473133302542</v>
      </c>
      <c r="T1076" s="68" t="n">
        <f aca="false">Inputs!$E$9*(1+E1076)+Inputs!$E$5*C1076*(Inputs!$E$11*Inputs!$E$14*(G1076*I1076/Inputs!$E$16+(1-G1076))*K1076+Inputs!$E$23*M1076)*(1+O1076)+Inputs!$E$5*(Q1076+S1076)</f>
        <v>6347.36155632276</v>
      </c>
    </row>
    <row r="1077" customFormat="false" ht="15" hidden="false" customHeight="false" outlineLevel="0" collapsed="false">
      <c r="A1077" s="1" t="n">
        <v>1073</v>
      </c>
      <c r="B1077" s="81" t="n">
        <f aca="true">RAND()</f>
        <v>0.864304413806586</v>
      </c>
      <c r="C1077" s="82" t="n">
        <f aca="false">ROUND(IF(B1077&lt;(Inputs!$E$8-Inputs!$D$8)/(Inputs!$F$8-Inputs!$D$8),Inputs!$D$8+SQRT(B1077*(Inputs!$F$8-Inputs!$D$8)*(Inputs!$E$8-Inputs!$D$8)),Inputs!$F$8-SQRT((1-B1077)*(Inputs!$F$8-Inputs!$D$8)*(Inputs!$F$8-Inputs!$E$8))),0)</f>
        <v>27</v>
      </c>
      <c r="D1077" s="81" t="n">
        <f aca="true">RAND()</f>
        <v>0.733115616415087</v>
      </c>
      <c r="E1077" s="83" t="n">
        <f aca="false">IF(D1077&lt;(Inputs!$E$10-Inputs!$D$10)/(Inputs!$F$10-Inputs!$D$10),Inputs!$D$10+SQRT(D1077*(Inputs!$F$10-Inputs!$D$10)*(Inputs!$E$10-Inputs!$D$10)),Inputs!$F$10-SQRT((1-D1077)*(Inputs!$F$10-Inputs!$D$10)*(Inputs!$F$10-Inputs!$E$10)))</f>
        <v>0.110520776112287</v>
      </c>
      <c r="F1077" s="81" t="n">
        <f aca="true">RAND()</f>
        <v>0.234361496988805</v>
      </c>
      <c r="G1077" s="83" t="n">
        <f aca="false">IF(F1077&lt;(Inputs!$E$15-Inputs!$D$15)/(Inputs!$F$15-Inputs!$D$15),Inputs!$D$15+SQRT(F1077*(Inputs!$F$15-Inputs!$D$15)*(Inputs!$E$15-Inputs!$D$15)),Inputs!$F$15-SQRT((1-F1077)*(Inputs!$F$15-Inputs!$D$15)*(Inputs!$F$15-Inputs!$E$15)))</f>
        <v>0.668463347418718</v>
      </c>
      <c r="H1077" s="81" t="n">
        <f aca="true">RAND()</f>
        <v>0.188718215672099</v>
      </c>
      <c r="I1077" s="82" t="n">
        <f aca="false">ROUND(IF(H1077&lt;(Inputs!$E$17-Inputs!$D$17)/(Inputs!$F$17-Inputs!$D$17),Inputs!$D$17+SQRT(H1077*(Inputs!$F$17-Inputs!$D$17)*(Inputs!$E$17-Inputs!$D$17)),Inputs!$F$17-SQRT((1-H1077)*(Inputs!$F$17-Inputs!$D$17)*(Inputs!$F$17-Inputs!$E$17))),0)</f>
        <v>104</v>
      </c>
      <c r="J1077" s="81" t="n">
        <f aca="true">RAND()</f>
        <v>0.77027159740142</v>
      </c>
      <c r="K1077" s="83" t="n">
        <f aca="false">IF(J1077&lt;(Inputs!$E$18-Inputs!$D$18)/(Inputs!$F$18-Inputs!$D$18),Inputs!$D$18+SQRT(J1077*(Inputs!$F$18-Inputs!$D$18)*(Inputs!$E$18-Inputs!$D$18)),Inputs!$F$18-SQRT((1-J1077)*(Inputs!$F$18-Inputs!$D$18)*(Inputs!$F$18-Inputs!$E$18)))</f>
        <v>1.10822117496828</v>
      </c>
      <c r="L1077" s="81" t="n">
        <f aca="true">RAND()</f>
        <v>0.781115226735814</v>
      </c>
      <c r="M1077" s="83" t="n">
        <f aca="false">IF(L1077&lt;(Inputs!$E$24-Inputs!$D$24)/(Inputs!$F$24-Inputs!$D$24),Inputs!$D$24+SQRT(L1077*(Inputs!$F$24-Inputs!$D$24)*(Inputs!$E$24-Inputs!$D$24)),Inputs!$F$24-SQRT((1-L1077)*(Inputs!$F$24-Inputs!$D$24)*(Inputs!$F$24-Inputs!$E$24)))</f>
        <v>0.970800642270959</v>
      </c>
      <c r="N1077" s="81" t="n">
        <f aca="true">RAND()</f>
        <v>0.650292086372973</v>
      </c>
      <c r="O1077" s="83" t="n">
        <f aca="false">IF(N1077&lt;(Inputs!$E$26-Inputs!$D$26)/(Inputs!$F$26-Inputs!$D$26),Inputs!$D$26+SQRT(N1077*(Inputs!$F$26-Inputs!$D$26)*(Inputs!$E$26-Inputs!$D$26)),Inputs!$F$26-SQRT((1-N1077)*(Inputs!$F$26-Inputs!$D$26)*(Inputs!$F$26-Inputs!$E$26)))</f>
        <v>0.629291785658795</v>
      </c>
      <c r="P1077" s="81" t="n">
        <f aca="true">RAND()</f>
        <v>0.795056021322988</v>
      </c>
      <c r="Q1077" s="82" t="n">
        <f aca="false">IF(P1077&lt;(Inputs!$E$27-Inputs!$D$27)/(Inputs!$F$27-Inputs!$D$27),Inputs!$D$27+SQRT(P1077*(Inputs!$F$27-Inputs!$D$27)*(Inputs!$E$27-Inputs!$D$27)),Inputs!$F$27-SQRT((1-P1077)*(Inputs!$F$27-Inputs!$D$27)*(Inputs!$F$27-Inputs!$E$27)))</f>
        <v>110.79439019633</v>
      </c>
      <c r="R1077" s="81" t="n">
        <f aca="true">RAND()</f>
        <v>0.542225775559774</v>
      </c>
      <c r="S1077" s="82" t="n">
        <f aca="false">IF(R1077&lt;(Inputs!$E$29-Inputs!$D$29)/(Inputs!$F$29-Inputs!$D$29),Inputs!$D$29+SQRT(R1077*(Inputs!$F$29-Inputs!$D$29)*(Inputs!$E$29-Inputs!$D$29)),Inputs!$F$29-SQRT((1-R1077)*(Inputs!$F$29-Inputs!$D$29)*(Inputs!$F$29-Inputs!$E$29)))</f>
        <v>7.28568543697955</v>
      </c>
      <c r="T1077" s="68" t="n">
        <f aca="false">Inputs!$E$9*(1+E1077)+Inputs!$E$5*C1077*(Inputs!$E$11*Inputs!$E$14*(G1077*I1077/Inputs!$E$16+(1-G1077))*K1077+Inputs!$E$23*M1077)*(1+O1077)+Inputs!$E$5*(Q1077+S1077)</f>
        <v>7211.71788052791</v>
      </c>
    </row>
    <row r="1078" customFormat="false" ht="15" hidden="false" customHeight="false" outlineLevel="0" collapsed="false">
      <c r="A1078" s="1" t="n">
        <v>1074</v>
      </c>
      <c r="B1078" s="81" t="n">
        <f aca="true">RAND()</f>
        <v>0.0419822218572716</v>
      </c>
      <c r="C1078" s="82" t="n">
        <f aca="false">ROUND(IF(B1078&lt;(Inputs!$E$8-Inputs!$D$8)/(Inputs!$F$8-Inputs!$D$8),Inputs!$D$8+SQRT(B1078*(Inputs!$F$8-Inputs!$D$8)*(Inputs!$E$8-Inputs!$D$8)),Inputs!$F$8-SQRT((1-B1078)*(Inputs!$F$8-Inputs!$D$8)*(Inputs!$F$8-Inputs!$E$8))),0)</f>
        <v>21</v>
      </c>
      <c r="D1078" s="81" t="n">
        <f aca="true">RAND()</f>
        <v>0.0315384902999645</v>
      </c>
      <c r="E1078" s="83" t="n">
        <f aca="false">IF(D1078&lt;(Inputs!$E$10-Inputs!$D$10)/(Inputs!$F$10-Inputs!$D$10),Inputs!$D$10+SQRT(D1078*(Inputs!$F$10-Inputs!$D$10)*(Inputs!$E$10-Inputs!$D$10)),Inputs!$F$10-SQRT((1-D1078)*(Inputs!$F$10-Inputs!$D$10)*(Inputs!$F$10-Inputs!$E$10)))</f>
        <v>0.0177590794524842</v>
      </c>
      <c r="F1078" s="81" t="n">
        <f aca="true">RAND()</f>
        <v>0.43718166793299</v>
      </c>
      <c r="G1078" s="83" t="n">
        <f aca="false">IF(F1078&lt;(Inputs!$E$15-Inputs!$D$15)/(Inputs!$F$15-Inputs!$D$15),Inputs!$D$15+SQRT(F1078*(Inputs!$F$15-Inputs!$D$15)*(Inputs!$E$15-Inputs!$D$15)),Inputs!$F$15-SQRT((1-F1078)*(Inputs!$F$15-Inputs!$D$15)*(Inputs!$F$15-Inputs!$E$15)))</f>
        <v>0.693507397347268</v>
      </c>
      <c r="H1078" s="81" t="n">
        <f aca="true">RAND()</f>
        <v>0.508772257628409</v>
      </c>
      <c r="I1078" s="82" t="n">
        <f aca="false">ROUND(IF(H1078&lt;(Inputs!$E$17-Inputs!$D$17)/(Inputs!$F$17-Inputs!$D$17),Inputs!$D$17+SQRT(H1078*(Inputs!$F$17-Inputs!$D$17)*(Inputs!$E$17-Inputs!$D$17)),Inputs!$F$17-SQRT((1-H1078)*(Inputs!$F$17-Inputs!$D$17)*(Inputs!$F$17-Inputs!$E$17))),0)</f>
        <v>106</v>
      </c>
      <c r="J1078" s="81" t="n">
        <f aca="true">RAND()</f>
        <v>0.937430572591373</v>
      </c>
      <c r="K1078" s="83" t="n">
        <f aca="false">IF(J1078&lt;(Inputs!$E$18-Inputs!$D$18)/(Inputs!$F$18-Inputs!$D$18),Inputs!$D$18+SQRT(J1078*(Inputs!$F$18-Inputs!$D$18)*(Inputs!$E$18-Inputs!$D$18)),Inputs!$F$18-SQRT((1-J1078)*(Inputs!$F$18-Inputs!$D$18)*(Inputs!$F$18-Inputs!$E$18)))</f>
        <v>1.17600794030266</v>
      </c>
      <c r="L1078" s="81" t="n">
        <f aca="true">RAND()</f>
        <v>0.227096909564813</v>
      </c>
      <c r="M1078" s="83" t="n">
        <f aca="false">IF(L1078&lt;(Inputs!$E$24-Inputs!$D$24)/(Inputs!$F$24-Inputs!$D$24),Inputs!$D$24+SQRT(L1078*(Inputs!$F$24-Inputs!$D$24)*(Inputs!$E$24-Inputs!$D$24)),Inputs!$F$24-SQRT((1-L1078)*(Inputs!$F$24-Inputs!$D$24)*(Inputs!$F$24-Inputs!$E$24)))</f>
        <v>0.765080674664776</v>
      </c>
      <c r="N1078" s="81" t="n">
        <f aca="true">RAND()</f>
        <v>0.945985898130087</v>
      </c>
      <c r="O1078" s="83" t="n">
        <f aca="false">IF(N1078&lt;(Inputs!$E$26-Inputs!$D$26)/(Inputs!$F$26-Inputs!$D$26),Inputs!$D$26+SQRT(N1078*(Inputs!$F$26-Inputs!$D$26)*(Inputs!$E$26-Inputs!$D$26)),Inputs!$F$26-SQRT((1-N1078)*(Inputs!$F$26-Inputs!$D$26)*(Inputs!$F$26-Inputs!$E$26)))</f>
        <v>0.745050239530263</v>
      </c>
      <c r="P1078" s="81" t="n">
        <f aca="true">RAND()</f>
        <v>0.154023352279864</v>
      </c>
      <c r="Q1078" s="82" t="n">
        <f aca="false">IF(P1078&lt;(Inputs!$E$27-Inputs!$D$27)/(Inputs!$F$27-Inputs!$D$27),Inputs!$D$27+SQRT(P1078*(Inputs!$F$27-Inputs!$D$27)*(Inputs!$E$27-Inputs!$D$27)),Inputs!$F$27-SQRT((1-P1078)*(Inputs!$F$27-Inputs!$D$27)*(Inputs!$F$27-Inputs!$E$27)))</f>
        <v>69.6229044919364</v>
      </c>
      <c r="R1078" s="81" t="n">
        <f aca="true">RAND()</f>
        <v>0.587228223341669</v>
      </c>
      <c r="S1078" s="82" t="n">
        <f aca="false">IF(R1078&lt;(Inputs!$E$29-Inputs!$D$29)/(Inputs!$F$29-Inputs!$D$29),Inputs!$D$29+SQRT(R1078*(Inputs!$F$29-Inputs!$D$29)*(Inputs!$E$29-Inputs!$D$29)),Inputs!$F$29-SQRT((1-R1078)*(Inputs!$F$29-Inputs!$D$29)*(Inputs!$F$29-Inputs!$E$29)))</f>
        <v>7.67467878072347</v>
      </c>
      <c r="T1078" s="68" t="n">
        <f aca="false">Inputs!$E$9*(1+E1078)+Inputs!$E$5*C1078*(Inputs!$E$11*Inputs!$E$14*(G1078*I1078/Inputs!$E$16+(1-G1078))*K1078+Inputs!$E$23*M1078)*(1+O1078)+Inputs!$E$5*(Q1078+S1078)</f>
        <v>5961.16812357157</v>
      </c>
    </row>
    <row r="1079" customFormat="false" ht="15" hidden="false" customHeight="false" outlineLevel="0" collapsed="false">
      <c r="A1079" s="1" t="n">
        <v>1075</v>
      </c>
      <c r="B1079" s="81" t="n">
        <f aca="true">RAND()</f>
        <v>0.923413966380018</v>
      </c>
      <c r="C1079" s="82" t="n">
        <f aca="false">ROUND(IF(B1079&lt;(Inputs!$E$8-Inputs!$D$8)/(Inputs!$F$8-Inputs!$D$8),Inputs!$D$8+SQRT(B1079*(Inputs!$F$8-Inputs!$D$8)*(Inputs!$E$8-Inputs!$D$8)),Inputs!$F$8-SQRT((1-B1079)*(Inputs!$F$8-Inputs!$D$8)*(Inputs!$F$8-Inputs!$E$8))),0)</f>
        <v>28</v>
      </c>
      <c r="D1079" s="81" t="n">
        <f aca="true">RAND()</f>
        <v>0.452689443886491</v>
      </c>
      <c r="E1079" s="83" t="n">
        <f aca="false">IF(D1079&lt;(Inputs!$E$10-Inputs!$D$10)/(Inputs!$F$10-Inputs!$D$10),Inputs!$D$10+SQRT(D1079*(Inputs!$F$10-Inputs!$D$10)*(Inputs!$E$10-Inputs!$D$10)),Inputs!$F$10-SQRT((1-D1079)*(Inputs!$F$10-Inputs!$D$10)*(Inputs!$F$10-Inputs!$E$10)))</f>
        <v>0.0718621184684042</v>
      </c>
      <c r="F1079" s="81" t="n">
        <f aca="true">RAND()</f>
        <v>0.0674192071352308</v>
      </c>
      <c r="G1079" s="83" t="n">
        <f aca="false">IF(F1079&lt;(Inputs!$E$15-Inputs!$D$15)/(Inputs!$F$15-Inputs!$D$15),Inputs!$D$15+SQRT(F1079*(Inputs!$F$15-Inputs!$D$15)*(Inputs!$E$15-Inputs!$D$15)),Inputs!$F$15-SQRT((1-F1079)*(Inputs!$F$15-Inputs!$D$15)*(Inputs!$F$15-Inputs!$E$15)))</f>
        <v>0.636720350525351</v>
      </c>
      <c r="H1079" s="81" t="n">
        <f aca="true">RAND()</f>
        <v>0.528611031910016</v>
      </c>
      <c r="I1079" s="82" t="n">
        <f aca="false">ROUND(IF(H1079&lt;(Inputs!$E$17-Inputs!$D$17)/(Inputs!$F$17-Inputs!$D$17),Inputs!$D$17+SQRT(H1079*(Inputs!$F$17-Inputs!$D$17)*(Inputs!$E$17-Inputs!$D$17)),Inputs!$F$17-SQRT((1-H1079)*(Inputs!$F$17-Inputs!$D$17)*(Inputs!$F$17-Inputs!$E$17))),0)</f>
        <v>107</v>
      </c>
      <c r="J1079" s="81" t="n">
        <f aca="true">RAND()</f>
        <v>0.238635783772929</v>
      </c>
      <c r="K1079" s="83" t="n">
        <f aca="false">IF(J1079&lt;(Inputs!$E$18-Inputs!$D$18)/(Inputs!$F$18-Inputs!$D$18),Inputs!$D$18+SQRT(J1079*(Inputs!$F$18-Inputs!$D$18)*(Inputs!$E$18-Inputs!$D$18)),Inputs!$F$18-SQRT((1-J1079)*(Inputs!$F$18-Inputs!$D$18)*(Inputs!$F$18-Inputs!$E$18)))</f>
        <v>0.99139065834128</v>
      </c>
      <c r="L1079" s="81" t="n">
        <f aca="true">RAND()</f>
        <v>0.3309334004267</v>
      </c>
      <c r="M1079" s="83" t="n">
        <f aca="false">IF(L1079&lt;(Inputs!$E$24-Inputs!$D$24)/(Inputs!$F$24-Inputs!$D$24),Inputs!$D$24+SQRT(L1079*(Inputs!$F$24-Inputs!$D$24)*(Inputs!$E$24-Inputs!$D$24)),Inputs!$F$24-SQRT((1-L1079)*(Inputs!$F$24-Inputs!$D$24)*(Inputs!$F$24-Inputs!$E$24)))</f>
        <v>0.799278719514162</v>
      </c>
      <c r="N1079" s="81" t="n">
        <f aca="true">RAND()</f>
        <v>0.0103841712232188</v>
      </c>
      <c r="O1079" s="83" t="n">
        <f aca="false">IF(N1079&lt;(Inputs!$E$26-Inputs!$D$26)/(Inputs!$F$26-Inputs!$D$26),Inputs!$D$26+SQRT(N1079*(Inputs!$F$26-Inputs!$D$26)*(Inputs!$E$26-Inputs!$D$26)),Inputs!$F$26-SQRT((1-N1079)*(Inputs!$F$26-Inputs!$D$26)*(Inputs!$F$26-Inputs!$E$26)))</f>
        <v>0.341568330391581</v>
      </c>
      <c r="P1079" s="81" t="n">
        <f aca="true">RAND()</f>
        <v>0.987250914297428</v>
      </c>
      <c r="Q1079" s="82" t="n">
        <f aca="false">IF(P1079&lt;(Inputs!$E$27-Inputs!$D$27)/(Inputs!$F$27-Inputs!$D$27),Inputs!$D$27+SQRT(P1079*(Inputs!$F$27-Inputs!$D$27)*(Inputs!$E$27-Inputs!$D$27)),Inputs!$F$27-SQRT((1-P1079)*(Inputs!$F$27-Inputs!$D$27)*(Inputs!$F$27-Inputs!$E$27)))</f>
        <v>140.22154701554</v>
      </c>
      <c r="R1079" s="81" t="n">
        <f aca="true">RAND()</f>
        <v>0.486526233169883</v>
      </c>
      <c r="S1079" s="82" t="n">
        <f aca="false">IF(R1079&lt;(Inputs!$E$29-Inputs!$D$29)/(Inputs!$F$29-Inputs!$D$29),Inputs!$D$29+SQRT(R1079*(Inputs!$F$29-Inputs!$D$29)*(Inputs!$E$29-Inputs!$D$29)),Inputs!$F$29-SQRT((1-R1079)*(Inputs!$F$29-Inputs!$D$29)*(Inputs!$F$29-Inputs!$E$29)))</f>
        <v>6.82983539407466</v>
      </c>
      <c r="T1079" s="68" t="n">
        <f aca="false">Inputs!$E$9*(1+E1079)+Inputs!$E$5*C1079*(Inputs!$E$11*Inputs!$E$14*(G1079*I1079/Inputs!$E$16+(1-G1079))*K1079+Inputs!$E$23*M1079)*(1+O1079)+Inputs!$E$5*(Q1079+S1079)</f>
        <v>6261.81393012266</v>
      </c>
    </row>
    <row r="1080" customFormat="false" ht="15" hidden="false" customHeight="false" outlineLevel="0" collapsed="false">
      <c r="A1080" s="1" t="n">
        <v>1076</v>
      </c>
      <c r="B1080" s="81" t="n">
        <f aca="true">RAND()</f>
        <v>0.957677034762772</v>
      </c>
      <c r="C1080" s="82" t="n">
        <f aca="false">ROUND(IF(B1080&lt;(Inputs!$E$8-Inputs!$D$8)/(Inputs!$F$8-Inputs!$D$8),Inputs!$D$8+SQRT(B1080*(Inputs!$F$8-Inputs!$D$8)*(Inputs!$E$8-Inputs!$D$8)),Inputs!$F$8-SQRT((1-B1080)*(Inputs!$F$8-Inputs!$D$8)*(Inputs!$F$8-Inputs!$E$8))),0)</f>
        <v>29</v>
      </c>
      <c r="D1080" s="81" t="n">
        <f aca="true">RAND()</f>
        <v>0.842890713377432</v>
      </c>
      <c r="E1080" s="83" t="n">
        <f aca="false">IF(D1080&lt;(Inputs!$E$10-Inputs!$D$10)/(Inputs!$F$10-Inputs!$D$10),Inputs!$D$10+SQRT(D1080*(Inputs!$F$10-Inputs!$D$10)*(Inputs!$E$10-Inputs!$D$10)),Inputs!$F$10-SQRT((1-D1080)*(Inputs!$F$10-Inputs!$D$10)*(Inputs!$F$10-Inputs!$E$10)))</f>
        <v>0.131346678167207</v>
      </c>
      <c r="F1080" s="81" t="n">
        <f aca="true">RAND()</f>
        <v>0.663970982069844</v>
      </c>
      <c r="G1080" s="83" t="n">
        <f aca="false">IF(F1080&lt;(Inputs!$E$15-Inputs!$D$15)/(Inputs!$F$15-Inputs!$D$15),Inputs!$D$15+SQRT(F1080*(Inputs!$F$15-Inputs!$D$15)*(Inputs!$E$15-Inputs!$D$15)),Inputs!$F$15-SQRT((1-F1080)*(Inputs!$F$15-Inputs!$D$15)*(Inputs!$F$15-Inputs!$E$15)))</f>
        <v>0.718020854123728</v>
      </c>
      <c r="H1080" s="81" t="n">
        <f aca="true">RAND()</f>
        <v>0.475463981840848</v>
      </c>
      <c r="I1080" s="82" t="n">
        <f aca="false">ROUND(IF(H1080&lt;(Inputs!$E$17-Inputs!$D$17)/(Inputs!$F$17-Inputs!$D$17),Inputs!$D$17+SQRT(H1080*(Inputs!$F$17-Inputs!$D$17)*(Inputs!$E$17-Inputs!$D$17)),Inputs!$F$17-SQRT((1-H1080)*(Inputs!$F$17-Inputs!$D$17)*(Inputs!$F$17-Inputs!$E$17))),0)</f>
        <v>106</v>
      </c>
      <c r="J1080" s="81" t="n">
        <f aca="true">RAND()</f>
        <v>0.453967845915766</v>
      </c>
      <c r="K1080" s="83" t="n">
        <f aca="false">IF(J1080&lt;(Inputs!$E$18-Inputs!$D$18)/(Inputs!$F$18-Inputs!$D$18),Inputs!$D$18+SQRT(J1080*(Inputs!$F$18-Inputs!$D$18)*(Inputs!$E$18-Inputs!$D$18)),Inputs!$F$18-SQRT((1-J1080)*(Inputs!$F$18-Inputs!$D$18)*(Inputs!$F$18-Inputs!$E$18)))</f>
        <v>1.03141863418313</v>
      </c>
      <c r="L1080" s="81" t="n">
        <f aca="true">RAND()</f>
        <v>0.18345947197356</v>
      </c>
      <c r="M1080" s="83" t="n">
        <f aca="false">IF(L1080&lt;(Inputs!$E$24-Inputs!$D$24)/(Inputs!$F$24-Inputs!$D$24),Inputs!$D$24+SQRT(L1080*(Inputs!$F$24-Inputs!$D$24)*(Inputs!$E$24-Inputs!$D$24)),Inputs!$F$24-SQRT((1-L1080)*(Inputs!$F$24-Inputs!$D$24)*(Inputs!$F$24-Inputs!$E$24)))</f>
        <v>0.748374986560495</v>
      </c>
      <c r="N1080" s="81" t="n">
        <f aca="true">RAND()</f>
        <v>0.588928839808449</v>
      </c>
      <c r="O1080" s="83" t="n">
        <f aca="false">IF(N1080&lt;(Inputs!$E$26-Inputs!$D$26)/(Inputs!$F$26-Inputs!$D$26),Inputs!$D$26+SQRT(N1080*(Inputs!$F$26-Inputs!$D$26)*(Inputs!$E$26-Inputs!$D$26)),Inputs!$F$26-SQRT((1-N1080)*(Inputs!$F$26-Inputs!$D$26)*(Inputs!$F$26-Inputs!$E$26)))</f>
        <v>0.61304593743431</v>
      </c>
      <c r="P1080" s="81" t="n">
        <f aca="true">RAND()</f>
        <v>0.15525275264937</v>
      </c>
      <c r="Q1080" s="82" t="n">
        <f aca="false">IF(P1080&lt;(Inputs!$E$27-Inputs!$D$27)/(Inputs!$F$27-Inputs!$D$27),Inputs!$D$27+SQRT(P1080*(Inputs!$F$27-Inputs!$D$27)*(Inputs!$E$27-Inputs!$D$27)),Inputs!$F$27-SQRT((1-P1080)*(Inputs!$F$27-Inputs!$D$27)*(Inputs!$F$27-Inputs!$E$27)))</f>
        <v>69.701062956689</v>
      </c>
      <c r="R1080" s="81" t="n">
        <f aca="true">RAND()</f>
        <v>0.728228916721874</v>
      </c>
      <c r="S1080" s="82" t="n">
        <f aca="false">IF(R1080&lt;(Inputs!$E$29-Inputs!$D$29)/(Inputs!$F$29-Inputs!$D$29),Inputs!$D$29+SQRT(R1080*(Inputs!$F$29-Inputs!$D$29)*(Inputs!$E$29-Inputs!$D$29)),Inputs!$F$29-SQRT((1-R1080)*(Inputs!$F$29-Inputs!$D$29)*(Inputs!$F$29-Inputs!$E$29)))</f>
        <v>9.05607530110312</v>
      </c>
      <c r="T1080" s="68" t="n">
        <f aca="false">Inputs!$E$9*(1+E1080)+Inputs!$E$5*C1080*(Inputs!$E$11*Inputs!$E$14*(G1080*I1080/Inputs!$E$16+(1-G1080))*K1080+Inputs!$E$23*M1080)*(1+O1080)+Inputs!$E$5*(Q1080+S1080)</f>
        <v>6707.23968197079</v>
      </c>
    </row>
    <row r="1081" customFormat="false" ht="15" hidden="false" customHeight="false" outlineLevel="0" collapsed="false">
      <c r="A1081" s="1" t="n">
        <v>1077</v>
      </c>
      <c r="B1081" s="81" t="n">
        <f aca="true">RAND()</f>
        <v>0.365088160802593</v>
      </c>
      <c r="C1081" s="82" t="n">
        <f aca="false">ROUND(IF(B1081&lt;(Inputs!$E$8-Inputs!$D$8)/(Inputs!$F$8-Inputs!$D$8),Inputs!$D$8+SQRT(B1081*(Inputs!$F$8-Inputs!$D$8)*(Inputs!$E$8-Inputs!$D$8)),Inputs!$F$8-SQRT((1-B1081)*(Inputs!$F$8-Inputs!$D$8)*(Inputs!$F$8-Inputs!$E$8))),0)</f>
        <v>24</v>
      </c>
      <c r="D1081" s="81" t="n">
        <f aca="true">RAND()</f>
        <v>0.65025163678599</v>
      </c>
      <c r="E1081" s="83" t="n">
        <f aca="false">IF(D1081&lt;(Inputs!$E$10-Inputs!$D$10)/(Inputs!$F$10-Inputs!$D$10),Inputs!$D$10+SQRT(D1081*(Inputs!$F$10-Inputs!$D$10)*(Inputs!$E$10-Inputs!$D$10)),Inputs!$F$10-SQRT((1-D1081)*(Inputs!$F$10-Inputs!$D$10)*(Inputs!$F$10-Inputs!$E$10)))</f>
        <v>0.0975673348173528</v>
      </c>
      <c r="F1081" s="81" t="n">
        <f aca="true">RAND()</f>
        <v>0.830996428409525</v>
      </c>
      <c r="G1081" s="83" t="n">
        <f aca="false">IF(F1081&lt;(Inputs!$E$15-Inputs!$D$15)/(Inputs!$F$15-Inputs!$D$15),Inputs!$D$15+SQRT(F1081*(Inputs!$F$15-Inputs!$D$15)*(Inputs!$E$15-Inputs!$D$15)),Inputs!$F$15-SQRT((1-F1081)*(Inputs!$F$15-Inputs!$D$15)*(Inputs!$F$15-Inputs!$E$15)))</f>
        <v>0.741861618256014</v>
      </c>
      <c r="H1081" s="81" t="n">
        <f aca="true">RAND()</f>
        <v>0.798984569868572</v>
      </c>
      <c r="I1081" s="82" t="n">
        <f aca="false">ROUND(IF(H1081&lt;(Inputs!$E$17-Inputs!$D$17)/(Inputs!$F$17-Inputs!$D$17),Inputs!$D$17+SQRT(H1081*(Inputs!$F$17-Inputs!$D$17)*(Inputs!$E$17-Inputs!$D$17)),Inputs!$F$17-SQRT((1-H1081)*(Inputs!$F$17-Inputs!$D$17)*(Inputs!$F$17-Inputs!$E$17))),0)</f>
        <v>110</v>
      </c>
      <c r="J1081" s="81" t="n">
        <f aca="true">RAND()</f>
        <v>0.971142096215717</v>
      </c>
      <c r="K1081" s="83" t="n">
        <f aca="false">IF(J1081&lt;(Inputs!$E$18-Inputs!$D$18)/(Inputs!$F$18-Inputs!$D$18),Inputs!$D$18+SQRT(J1081*(Inputs!$F$18-Inputs!$D$18)*(Inputs!$E$18-Inputs!$D$18)),Inputs!$F$18-SQRT((1-J1081)*(Inputs!$F$18-Inputs!$D$18)*(Inputs!$F$18-Inputs!$E$18)))</f>
        <v>1.19974995939181</v>
      </c>
      <c r="L1081" s="81" t="n">
        <f aca="true">RAND()</f>
        <v>0.444364639184941</v>
      </c>
      <c r="M1081" s="83" t="n">
        <f aca="false">IF(L1081&lt;(Inputs!$E$24-Inputs!$D$24)/(Inputs!$F$24-Inputs!$D$24),Inputs!$D$24+SQRT(L1081*(Inputs!$F$24-Inputs!$D$24)*(Inputs!$E$24-Inputs!$D$24)),Inputs!$F$24-SQRT((1-L1081)*(Inputs!$F$24-Inputs!$D$24)*(Inputs!$F$24-Inputs!$E$24)))</f>
        <v>0.834825402587181</v>
      </c>
      <c r="N1081" s="81" t="n">
        <f aca="true">RAND()</f>
        <v>0.383480595473893</v>
      </c>
      <c r="O1081" s="83" t="n">
        <f aca="false">IF(N1081&lt;(Inputs!$E$26-Inputs!$D$26)/(Inputs!$F$26-Inputs!$D$26),Inputs!$D$26+SQRT(N1081*(Inputs!$F$26-Inputs!$D$26)*(Inputs!$E$26-Inputs!$D$26)),Inputs!$F$26-SQRT((1-N1081)*(Inputs!$F$26-Inputs!$D$26)*(Inputs!$F$26-Inputs!$E$26)))</f>
        <v>0.552608731216591</v>
      </c>
      <c r="P1081" s="81" t="n">
        <f aca="true">RAND()</f>
        <v>0.327241417759042</v>
      </c>
      <c r="Q1081" s="82" t="n">
        <f aca="false">IF(P1081&lt;(Inputs!$E$27-Inputs!$D$27)/(Inputs!$F$27-Inputs!$D$27),Inputs!$D$27+SQRT(P1081*(Inputs!$F$27-Inputs!$D$27)*(Inputs!$E$27-Inputs!$D$27)),Inputs!$F$27-SQRT((1-P1081)*(Inputs!$F$27-Inputs!$D$27)*(Inputs!$F$27-Inputs!$E$27)))</f>
        <v>78.9669839665583</v>
      </c>
      <c r="R1081" s="81" t="n">
        <f aca="true">RAND()</f>
        <v>0.256720587795188</v>
      </c>
      <c r="S1081" s="82" t="n">
        <f aca="false">IF(R1081&lt;(Inputs!$E$29-Inputs!$D$29)/(Inputs!$F$29-Inputs!$D$29),Inputs!$D$29+SQRT(R1081*(Inputs!$F$29-Inputs!$D$29)*(Inputs!$E$29-Inputs!$D$29)),Inputs!$F$29-SQRT((1-R1081)*(Inputs!$F$29-Inputs!$D$29)*(Inputs!$F$29-Inputs!$E$29)))</f>
        <v>5.17013104936665</v>
      </c>
      <c r="T1081" s="68" t="n">
        <f aca="false">Inputs!$E$9*(1+E1081)+Inputs!$E$5*C1081*(Inputs!$E$11*Inputs!$E$14*(G1081*I1081/Inputs!$E$16+(1-G1081))*K1081+Inputs!$E$23*M1081)*(1+O1081)+Inputs!$E$5*(Q1081+S1081)</f>
        <v>6351.80692249342</v>
      </c>
    </row>
    <row r="1082" customFormat="false" ht="15" hidden="false" customHeight="false" outlineLevel="0" collapsed="false">
      <c r="A1082" s="1" t="n">
        <v>1078</v>
      </c>
      <c r="B1082" s="81" t="n">
        <f aca="true">RAND()</f>
        <v>0.218197695404372</v>
      </c>
      <c r="C1082" s="82" t="n">
        <f aca="false">ROUND(IF(B1082&lt;(Inputs!$E$8-Inputs!$D$8)/(Inputs!$F$8-Inputs!$D$8),Inputs!$D$8+SQRT(B1082*(Inputs!$F$8-Inputs!$D$8)*(Inputs!$E$8-Inputs!$D$8)),Inputs!$F$8-SQRT((1-B1082)*(Inputs!$F$8-Inputs!$D$8)*(Inputs!$F$8-Inputs!$E$8))),0)</f>
        <v>23</v>
      </c>
      <c r="D1082" s="81" t="n">
        <f aca="true">RAND()</f>
        <v>0.423255501245325</v>
      </c>
      <c r="E1082" s="83" t="n">
        <f aca="false">IF(D1082&lt;(Inputs!$E$10-Inputs!$D$10)/(Inputs!$F$10-Inputs!$D$10),Inputs!$D$10+SQRT(D1082*(Inputs!$F$10-Inputs!$D$10)*(Inputs!$E$10-Inputs!$D$10)),Inputs!$F$10-SQRT((1-D1082)*(Inputs!$F$10-Inputs!$D$10)*(Inputs!$F$10-Inputs!$E$10)))</f>
        <v>0.0684616597237131</v>
      </c>
      <c r="F1082" s="81" t="n">
        <f aca="true">RAND()</f>
        <v>0.160598550300862</v>
      </c>
      <c r="G1082" s="83" t="n">
        <f aca="false">IF(F1082&lt;(Inputs!$E$15-Inputs!$D$15)/(Inputs!$F$15-Inputs!$D$15),Inputs!$D$15+SQRT(F1082*(Inputs!$F$15-Inputs!$D$15)*(Inputs!$E$15-Inputs!$D$15)),Inputs!$F$15-SQRT((1-F1082)*(Inputs!$F$15-Inputs!$D$15)*(Inputs!$F$15-Inputs!$E$15)))</f>
        <v>0.656674253466784</v>
      </c>
      <c r="H1082" s="81" t="n">
        <f aca="true">RAND()</f>
        <v>0.345130639766838</v>
      </c>
      <c r="I1082" s="82" t="n">
        <f aca="false">ROUND(IF(H1082&lt;(Inputs!$E$17-Inputs!$D$17)/(Inputs!$F$17-Inputs!$D$17),Inputs!$D$17+SQRT(H1082*(Inputs!$F$17-Inputs!$D$17)*(Inputs!$E$17-Inputs!$D$17)),Inputs!$F$17-SQRT((1-H1082)*(Inputs!$F$17-Inputs!$D$17)*(Inputs!$F$17-Inputs!$E$17))),0)</f>
        <v>105</v>
      </c>
      <c r="J1082" s="81" t="n">
        <f aca="true">RAND()</f>
        <v>0.792706705271085</v>
      </c>
      <c r="K1082" s="83" t="n">
        <f aca="false">IF(J1082&lt;(Inputs!$E$18-Inputs!$D$18)/(Inputs!$F$18-Inputs!$D$18),Inputs!$D$18+SQRT(J1082*(Inputs!$F$18-Inputs!$D$18)*(Inputs!$E$18-Inputs!$D$18)),Inputs!$F$18-SQRT((1-J1082)*(Inputs!$F$18-Inputs!$D$18)*(Inputs!$F$18-Inputs!$E$18)))</f>
        <v>1.11532200146728</v>
      </c>
      <c r="L1082" s="81" t="n">
        <f aca="true">RAND()</f>
        <v>0.755315183154581</v>
      </c>
      <c r="M1082" s="83" t="n">
        <f aca="false">IF(L1082&lt;(Inputs!$E$24-Inputs!$D$24)/(Inputs!$F$24-Inputs!$D$24),Inputs!$D$24+SQRT(L1082*(Inputs!$F$24-Inputs!$D$24)*(Inputs!$E$24-Inputs!$D$24)),Inputs!$F$24-SQRT((1-L1082)*(Inputs!$F$24-Inputs!$D$24)*(Inputs!$F$24-Inputs!$E$24)))</f>
        <v>0.957668912347383</v>
      </c>
      <c r="N1082" s="81" t="n">
        <f aca="true">RAND()</f>
        <v>0.198507377002622</v>
      </c>
      <c r="O1082" s="83" t="n">
        <f aca="false">IF(N1082&lt;(Inputs!$E$26-Inputs!$D$26)/(Inputs!$F$26-Inputs!$D$26),Inputs!$D$26+SQRT(N1082*(Inputs!$F$26-Inputs!$D$26)*(Inputs!$E$26-Inputs!$D$26)),Inputs!$F$26-SQRT((1-N1082)*(Inputs!$F$26-Inputs!$D$26)*(Inputs!$F$26-Inputs!$E$26)))</f>
        <v>0.481746052318162</v>
      </c>
      <c r="P1082" s="81" t="n">
        <f aca="true">RAND()</f>
        <v>0.857685932338038</v>
      </c>
      <c r="Q1082" s="82" t="n">
        <f aca="false">IF(P1082&lt;(Inputs!$E$27-Inputs!$D$27)/(Inputs!$F$27-Inputs!$D$27),Inputs!$D$27+SQRT(P1082*(Inputs!$F$27-Inputs!$D$27)*(Inputs!$E$27-Inputs!$D$27)),Inputs!$F$27-SQRT((1-P1082)*(Inputs!$F$27-Inputs!$D$27)*(Inputs!$F$27-Inputs!$E$27)))</f>
        <v>117.329592786977</v>
      </c>
      <c r="R1082" s="81" t="n">
        <f aca="true">RAND()</f>
        <v>0.965020929438223</v>
      </c>
      <c r="S1082" s="82" t="n">
        <f aca="false">IF(R1082&lt;(Inputs!$E$29-Inputs!$D$29)/(Inputs!$F$29-Inputs!$D$29),Inputs!$D$29+SQRT(R1082*(Inputs!$F$29-Inputs!$D$29)*(Inputs!$E$29-Inputs!$D$29)),Inputs!$F$29-SQRT((1-R1082)*(Inputs!$F$29-Inputs!$D$29)*(Inputs!$F$29-Inputs!$E$29)))</f>
        <v>12.8675649662813</v>
      </c>
      <c r="T1082" s="68" t="n">
        <f aca="false">Inputs!$E$9*(1+E1082)+Inputs!$E$5*C1082*(Inputs!$E$11*Inputs!$E$14*(G1082*I1082/Inputs!$E$16+(1-G1082))*K1082+Inputs!$E$23*M1082)*(1+O1082)+Inputs!$E$5*(Q1082+S1082)</f>
        <v>6261.19893913978</v>
      </c>
    </row>
    <row r="1083" customFormat="false" ht="15" hidden="false" customHeight="false" outlineLevel="0" collapsed="false">
      <c r="A1083" s="1" t="n">
        <v>1079</v>
      </c>
      <c r="B1083" s="81" t="n">
        <f aca="true">RAND()</f>
        <v>0.629124646400372</v>
      </c>
      <c r="C1083" s="82" t="n">
        <f aca="false">ROUND(IF(B1083&lt;(Inputs!$E$8-Inputs!$D$8)/(Inputs!$F$8-Inputs!$D$8),Inputs!$D$8+SQRT(B1083*(Inputs!$F$8-Inputs!$D$8)*(Inputs!$E$8-Inputs!$D$8)),Inputs!$F$8-SQRT((1-B1083)*(Inputs!$F$8-Inputs!$D$8)*(Inputs!$F$8-Inputs!$E$8))),0)</f>
        <v>26</v>
      </c>
      <c r="D1083" s="81" t="n">
        <f aca="true">RAND()</f>
        <v>0.953218679697787</v>
      </c>
      <c r="E1083" s="83" t="n">
        <f aca="false">IF(D1083&lt;(Inputs!$E$10-Inputs!$D$10)/(Inputs!$F$10-Inputs!$D$10),Inputs!$D$10+SQRT(D1083*(Inputs!$F$10-Inputs!$D$10)*(Inputs!$E$10-Inputs!$D$10)),Inputs!$F$10-SQRT((1-D1083)*(Inputs!$F$10-Inputs!$D$10)*(Inputs!$F$10-Inputs!$E$10)))</f>
        <v>0.162537490619736</v>
      </c>
      <c r="F1083" s="81" t="n">
        <f aca="true">RAND()</f>
        <v>0.852479120618933</v>
      </c>
      <c r="G1083" s="83" t="n">
        <f aca="false">IF(F1083&lt;(Inputs!$E$15-Inputs!$D$15)/(Inputs!$F$15-Inputs!$D$15),Inputs!$D$15+SQRT(F1083*(Inputs!$F$15-Inputs!$D$15)*(Inputs!$E$15-Inputs!$D$15)),Inputs!$F$15-SQRT((1-F1083)*(Inputs!$F$15-Inputs!$D$15)*(Inputs!$F$15-Inputs!$E$15)))</f>
        <v>0.745682253474381</v>
      </c>
      <c r="H1083" s="81" t="n">
        <f aca="true">RAND()</f>
        <v>0.0652135716752295</v>
      </c>
      <c r="I1083" s="82" t="n">
        <f aca="false">ROUND(IF(H1083&lt;(Inputs!$E$17-Inputs!$D$17)/(Inputs!$F$17-Inputs!$D$17),Inputs!$D$17+SQRT(H1083*(Inputs!$F$17-Inputs!$D$17)*(Inputs!$E$17-Inputs!$D$17)),Inputs!$F$17-SQRT((1-H1083)*(Inputs!$F$17-Inputs!$D$17)*(Inputs!$F$17-Inputs!$E$17))),0)</f>
        <v>102</v>
      </c>
      <c r="J1083" s="81" t="n">
        <f aca="true">RAND()</f>
        <v>0.52762240991457</v>
      </c>
      <c r="K1083" s="83" t="n">
        <f aca="false">IF(J1083&lt;(Inputs!$E$18-Inputs!$D$18)/(Inputs!$F$18-Inputs!$D$18),Inputs!$D$18+SQRT(J1083*(Inputs!$F$18-Inputs!$D$18)*(Inputs!$E$18-Inputs!$D$18)),Inputs!$F$18-SQRT((1-J1083)*(Inputs!$F$18-Inputs!$D$18)*(Inputs!$F$18-Inputs!$E$18)))</f>
        <v>1.04669471445023</v>
      </c>
      <c r="L1083" s="81" t="n">
        <f aca="true">RAND()</f>
        <v>0.698137875043165</v>
      </c>
      <c r="M1083" s="83" t="n">
        <f aca="false">IF(L1083&lt;(Inputs!$E$24-Inputs!$D$24)/(Inputs!$F$24-Inputs!$D$24),Inputs!$D$24+SQRT(L1083*(Inputs!$F$24-Inputs!$D$24)*(Inputs!$E$24-Inputs!$D$24)),Inputs!$F$24-SQRT((1-L1083)*(Inputs!$F$24-Inputs!$D$24)*(Inputs!$F$24-Inputs!$E$24)))</f>
        <v>0.930840363372142</v>
      </c>
      <c r="N1083" s="81" t="n">
        <f aca="true">RAND()</f>
        <v>0.842414698820925</v>
      </c>
      <c r="O1083" s="83" t="n">
        <f aca="false">IF(N1083&lt;(Inputs!$E$26-Inputs!$D$26)/(Inputs!$F$26-Inputs!$D$26),Inputs!$D$26+SQRT(N1083*(Inputs!$F$26-Inputs!$D$26)*(Inputs!$E$26-Inputs!$D$26)),Inputs!$F$26-SQRT((1-N1083)*(Inputs!$F$26-Inputs!$D$26)*(Inputs!$F$26-Inputs!$E$26)))</f>
        <v>0.691980972810196</v>
      </c>
      <c r="P1083" s="81" t="n">
        <f aca="true">RAND()</f>
        <v>0.602614782479558</v>
      </c>
      <c r="Q1083" s="82" t="n">
        <f aca="false">IF(P1083&lt;(Inputs!$E$27-Inputs!$D$27)/(Inputs!$F$27-Inputs!$D$27),Inputs!$D$27+SQRT(P1083*(Inputs!$F$27-Inputs!$D$27)*(Inputs!$E$27-Inputs!$D$27)),Inputs!$F$27-SQRT((1-P1083)*(Inputs!$F$27-Inputs!$D$27)*(Inputs!$F$27-Inputs!$E$27)))</f>
        <v>95.4070596926368</v>
      </c>
      <c r="R1083" s="81" t="n">
        <f aca="true">RAND()</f>
        <v>0.386900527842815</v>
      </c>
      <c r="S1083" s="82" t="n">
        <f aca="false">IF(R1083&lt;(Inputs!$E$29-Inputs!$D$29)/(Inputs!$F$29-Inputs!$D$29),Inputs!$D$29+SQRT(R1083*(Inputs!$F$29-Inputs!$D$29)*(Inputs!$E$29-Inputs!$D$29)),Inputs!$F$29-SQRT((1-R1083)*(Inputs!$F$29-Inputs!$D$29)*(Inputs!$F$29-Inputs!$E$29)))</f>
        <v>6.07235017597386</v>
      </c>
      <c r="T1083" s="68" t="n">
        <f aca="false">Inputs!$E$9*(1+E1083)+Inputs!$E$5*C1083*(Inputs!$E$11*Inputs!$E$14*(G1083*I1083/Inputs!$E$16+(1-G1083))*K1083+Inputs!$E$23*M1083)*(1+O1083)+Inputs!$E$5*(Q1083+S1083)</f>
        <v>6884.62341434711</v>
      </c>
    </row>
    <row r="1084" customFormat="false" ht="15" hidden="false" customHeight="false" outlineLevel="0" collapsed="false">
      <c r="A1084" s="1" t="n">
        <v>1080</v>
      </c>
      <c r="B1084" s="81" t="n">
        <f aca="true">RAND()</f>
        <v>0.1822125065336</v>
      </c>
      <c r="C1084" s="82" t="n">
        <f aca="false">ROUND(IF(B1084&lt;(Inputs!$E$8-Inputs!$D$8)/(Inputs!$F$8-Inputs!$D$8),Inputs!$D$8+SQRT(B1084*(Inputs!$F$8-Inputs!$D$8)*(Inputs!$E$8-Inputs!$D$8)),Inputs!$F$8-SQRT((1-B1084)*(Inputs!$F$8-Inputs!$D$8)*(Inputs!$F$8-Inputs!$E$8))),0)</f>
        <v>23</v>
      </c>
      <c r="D1084" s="81" t="n">
        <f aca="true">RAND()</f>
        <v>0.659667136819381</v>
      </c>
      <c r="E1084" s="83" t="n">
        <f aca="false">IF(D1084&lt;(Inputs!$E$10-Inputs!$D$10)/(Inputs!$F$10-Inputs!$D$10),Inputs!$D$10+SQRT(D1084*(Inputs!$F$10-Inputs!$D$10)*(Inputs!$E$10-Inputs!$D$10)),Inputs!$F$10-SQRT((1-D1084)*(Inputs!$F$10-Inputs!$D$10)*(Inputs!$F$10-Inputs!$E$10)))</f>
        <v>0.09895552516135</v>
      </c>
      <c r="F1084" s="81" t="n">
        <f aca="true">RAND()</f>
        <v>0.704643862219491</v>
      </c>
      <c r="G1084" s="83" t="n">
        <f aca="false">IF(F1084&lt;(Inputs!$E$15-Inputs!$D$15)/(Inputs!$F$15-Inputs!$D$15),Inputs!$D$15+SQRT(F1084*(Inputs!$F$15-Inputs!$D$15)*(Inputs!$E$15-Inputs!$D$15)),Inputs!$F$15-SQRT((1-F1084)*(Inputs!$F$15-Inputs!$D$15)*(Inputs!$F$15-Inputs!$E$15)))</f>
        <v>0.723142191316626</v>
      </c>
      <c r="H1084" s="81" t="n">
        <f aca="true">RAND()</f>
        <v>0.882145525524151</v>
      </c>
      <c r="I1084" s="82" t="n">
        <f aca="false">ROUND(IF(H1084&lt;(Inputs!$E$17-Inputs!$D$17)/(Inputs!$F$17-Inputs!$D$17),Inputs!$D$17+SQRT(H1084*(Inputs!$F$17-Inputs!$D$17)*(Inputs!$E$17-Inputs!$D$17)),Inputs!$F$17-SQRT((1-H1084)*(Inputs!$F$17-Inputs!$D$17)*(Inputs!$F$17-Inputs!$E$17))),0)</f>
        <v>111</v>
      </c>
      <c r="J1084" s="81" t="n">
        <f aca="true">RAND()</f>
        <v>0.206711932742761</v>
      </c>
      <c r="K1084" s="83" t="n">
        <f aca="false">IF(J1084&lt;(Inputs!$E$18-Inputs!$D$18)/(Inputs!$F$18-Inputs!$D$18),Inputs!$D$18+SQRT(J1084*(Inputs!$F$18-Inputs!$D$18)*(Inputs!$E$18-Inputs!$D$18)),Inputs!$F$18-SQRT((1-J1084)*(Inputs!$F$18-Inputs!$D$18)*(Inputs!$F$18-Inputs!$E$18)))</f>
        <v>0.985058319087533</v>
      </c>
      <c r="L1084" s="81" t="n">
        <f aca="true">RAND()</f>
        <v>0.190940832673611</v>
      </c>
      <c r="M1084" s="83" t="n">
        <f aca="false">IF(L1084&lt;(Inputs!$E$24-Inputs!$D$24)/(Inputs!$F$24-Inputs!$D$24),Inputs!$D$24+SQRT(L1084*(Inputs!$F$24-Inputs!$D$24)*(Inputs!$E$24-Inputs!$D$24)),Inputs!$F$24-SQRT((1-L1084)*(Inputs!$F$24-Inputs!$D$24)*(Inputs!$F$24-Inputs!$E$24)))</f>
        <v>0.751370076041579</v>
      </c>
      <c r="N1084" s="81" t="n">
        <f aca="true">RAND()</f>
        <v>0.0221958610282627</v>
      </c>
      <c r="O1084" s="83" t="n">
        <f aca="false">IF(N1084&lt;(Inputs!$E$26-Inputs!$D$26)/(Inputs!$F$26-Inputs!$D$26),Inputs!$D$26+SQRT(N1084*(Inputs!$F$26-Inputs!$D$26)*(Inputs!$E$26-Inputs!$D$26)),Inputs!$F$26-SQRT((1-N1084)*(Inputs!$F$26-Inputs!$D$26)*(Inputs!$F$26-Inputs!$E$26)))</f>
        <v>0.360773277639954</v>
      </c>
      <c r="P1084" s="81" t="n">
        <f aca="true">RAND()</f>
        <v>0.659907190494195</v>
      </c>
      <c r="Q1084" s="82" t="n">
        <f aca="false">IF(P1084&lt;(Inputs!$E$27-Inputs!$D$27)/(Inputs!$F$27-Inputs!$D$27),Inputs!$D$27+SQRT(P1084*(Inputs!$F$27-Inputs!$D$27)*(Inputs!$E$27-Inputs!$D$27)),Inputs!$F$27-SQRT((1-P1084)*(Inputs!$F$27-Inputs!$D$27)*(Inputs!$F$27-Inputs!$E$27)))</f>
        <v>99.49558364565</v>
      </c>
      <c r="R1084" s="81" t="n">
        <f aca="true">RAND()</f>
        <v>0.539025532596313</v>
      </c>
      <c r="S1084" s="82" t="n">
        <f aca="false">IF(R1084&lt;(Inputs!$E$29-Inputs!$D$29)/(Inputs!$F$29-Inputs!$D$29),Inputs!$D$29+SQRT(R1084*(Inputs!$F$29-Inputs!$D$29)*(Inputs!$E$29-Inputs!$D$29)),Inputs!$F$29-SQRT((1-R1084)*(Inputs!$F$29-Inputs!$D$29)*(Inputs!$F$29-Inputs!$E$29)))</f>
        <v>7.25876749073642</v>
      </c>
      <c r="T1084" s="68" t="n">
        <f aca="false">Inputs!$E$9*(1+E1084)+Inputs!$E$5*C1084*(Inputs!$E$11*Inputs!$E$14*(G1084*I1084/Inputs!$E$16+(1-G1084))*K1084+Inputs!$E$23*M1084)*(1+O1084)+Inputs!$E$5*(Q1084+S1084)</f>
        <v>5477.3832058627</v>
      </c>
    </row>
    <row r="1085" customFormat="false" ht="15" hidden="false" customHeight="false" outlineLevel="0" collapsed="false">
      <c r="A1085" s="1" t="n">
        <v>1081</v>
      </c>
      <c r="B1085" s="81" t="n">
        <f aca="true">RAND()</f>
        <v>0.195070377084779</v>
      </c>
      <c r="C1085" s="82" t="n">
        <f aca="false">ROUND(IF(B1085&lt;(Inputs!$E$8-Inputs!$D$8)/(Inputs!$F$8-Inputs!$D$8),Inputs!$D$8+SQRT(B1085*(Inputs!$F$8-Inputs!$D$8)*(Inputs!$E$8-Inputs!$D$8)),Inputs!$F$8-SQRT((1-B1085)*(Inputs!$F$8-Inputs!$D$8)*(Inputs!$F$8-Inputs!$E$8))),0)</f>
        <v>23</v>
      </c>
      <c r="D1085" s="81" t="n">
        <f aca="true">RAND()</f>
        <v>0.350262690814245</v>
      </c>
      <c r="E1085" s="83" t="n">
        <f aca="false">IF(D1085&lt;(Inputs!$E$10-Inputs!$D$10)/(Inputs!$F$10-Inputs!$D$10),Inputs!$D$10+SQRT(D1085*(Inputs!$F$10-Inputs!$D$10)*(Inputs!$E$10-Inputs!$D$10)),Inputs!$F$10-SQRT((1-D1085)*(Inputs!$F$10-Inputs!$D$10)*(Inputs!$F$10-Inputs!$E$10)))</f>
        <v>0.0603858199337451</v>
      </c>
      <c r="F1085" s="81" t="n">
        <f aca="true">RAND()</f>
        <v>0.575316627772296</v>
      </c>
      <c r="G1085" s="83" t="n">
        <f aca="false">IF(F1085&lt;(Inputs!$E$15-Inputs!$D$15)/(Inputs!$F$15-Inputs!$D$15),Inputs!$D$15+SQRT(F1085*(Inputs!$F$15-Inputs!$D$15)*(Inputs!$E$15-Inputs!$D$15)),Inputs!$F$15-SQRT((1-F1085)*(Inputs!$F$15-Inputs!$D$15)*(Inputs!$F$15-Inputs!$E$15)))</f>
        <v>0.707838904929715</v>
      </c>
      <c r="H1085" s="81" t="n">
        <f aca="true">RAND()</f>
        <v>0.797900140744676</v>
      </c>
      <c r="I1085" s="82" t="n">
        <f aca="false">ROUND(IF(H1085&lt;(Inputs!$E$17-Inputs!$D$17)/(Inputs!$F$17-Inputs!$D$17),Inputs!$D$17+SQRT(H1085*(Inputs!$F$17-Inputs!$D$17)*(Inputs!$E$17-Inputs!$D$17)),Inputs!$F$17-SQRT((1-H1085)*(Inputs!$F$17-Inputs!$D$17)*(Inputs!$F$17-Inputs!$E$17))),0)</f>
        <v>109</v>
      </c>
      <c r="J1085" s="81" t="n">
        <f aca="true">RAND()</f>
        <v>0.931885022443666</v>
      </c>
      <c r="K1085" s="83" t="n">
        <f aca="false">IF(J1085&lt;(Inputs!$E$18-Inputs!$D$18)/(Inputs!$F$18-Inputs!$D$18),Inputs!$D$18+SQRT(J1085*(Inputs!$F$18-Inputs!$D$18)*(Inputs!$E$18-Inputs!$D$18)),Inputs!$F$18-SQRT((1-J1085)*(Inputs!$F$18-Inputs!$D$18)*(Inputs!$F$18-Inputs!$E$18)))</f>
        <v>1.17279857167008</v>
      </c>
      <c r="L1085" s="81" t="n">
        <f aca="true">RAND()</f>
        <v>0.48414317471634</v>
      </c>
      <c r="M1085" s="83" t="n">
        <f aca="false">IF(L1085&lt;(Inputs!$E$24-Inputs!$D$24)/(Inputs!$F$24-Inputs!$D$24),Inputs!$D$24+SQRT(L1085*(Inputs!$F$24-Inputs!$D$24)*(Inputs!$E$24-Inputs!$D$24)),Inputs!$F$24-SQRT((1-L1085)*(Inputs!$F$24-Inputs!$D$24)*(Inputs!$F$24-Inputs!$E$24)))</f>
        <v>0.848139746393432</v>
      </c>
      <c r="N1085" s="81" t="n">
        <f aca="true">RAND()</f>
        <v>0.990726031284733</v>
      </c>
      <c r="O1085" s="83" t="n">
        <f aca="false">IF(N1085&lt;(Inputs!$E$26-Inputs!$D$26)/(Inputs!$F$26-Inputs!$D$26),Inputs!$D$26+SQRT(N1085*(Inputs!$F$26-Inputs!$D$26)*(Inputs!$E$26-Inputs!$D$26)),Inputs!$F$26-SQRT((1-N1085)*(Inputs!$F$26-Inputs!$D$26)*(Inputs!$F$26-Inputs!$E$26)))</f>
        <v>0.788943716474959</v>
      </c>
      <c r="P1085" s="81" t="n">
        <f aca="true">RAND()</f>
        <v>0.777502558998262</v>
      </c>
      <c r="Q1085" s="82" t="n">
        <f aca="false">IF(P1085&lt;(Inputs!$E$27-Inputs!$D$27)/(Inputs!$F$27-Inputs!$D$27),Inputs!$D$27+SQRT(P1085*(Inputs!$F$27-Inputs!$D$27)*(Inputs!$E$27-Inputs!$D$27)),Inputs!$F$27-SQRT((1-P1085)*(Inputs!$F$27-Inputs!$D$27)*(Inputs!$F$27-Inputs!$E$27)))</f>
        <v>109.14989831698</v>
      </c>
      <c r="R1085" s="81" t="n">
        <f aca="true">RAND()</f>
        <v>0.31468314647218</v>
      </c>
      <c r="S1085" s="82" t="n">
        <f aca="false">IF(R1085&lt;(Inputs!$E$29-Inputs!$D$29)/(Inputs!$F$29-Inputs!$D$29),Inputs!$D$29+SQRT(R1085*(Inputs!$F$29-Inputs!$D$29)*(Inputs!$E$29-Inputs!$D$29)),Inputs!$F$29-SQRT((1-R1085)*(Inputs!$F$29-Inputs!$D$29)*(Inputs!$F$29-Inputs!$E$29)))</f>
        <v>5.56118699419166</v>
      </c>
      <c r="T1085" s="68" t="n">
        <f aca="false">Inputs!$E$9*(1+E1085)+Inputs!$E$5*C1085*(Inputs!$E$11*Inputs!$E$14*(G1085*I1085/Inputs!$E$16+(1-G1085))*K1085+Inputs!$E$23*M1085)*(1+O1085)+Inputs!$E$5*(Q1085+S1085)</f>
        <v>6786.17903339932</v>
      </c>
    </row>
    <row r="1086" customFormat="false" ht="15" hidden="false" customHeight="false" outlineLevel="0" collapsed="false">
      <c r="A1086" s="1" t="n">
        <v>1082</v>
      </c>
      <c r="B1086" s="81" t="n">
        <f aca="true">RAND()</f>
        <v>0.692419834842093</v>
      </c>
      <c r="C1086" s="82" t="n">
        <f aca="false">ROUND(IF(B1086&lt;(Inputs!$E$8-Inputs!$D$8)/(Inputs!$F$8-Inputs!$D$8),Inputs!$D$8+SQRT(B1086*(Inputs!$F$8-Inputs!$D$8)*(Inputs!$E$8-Inputs!$D$8)),Inputs!$F$8-SQRT((1-B1086)*(Inputs!$F$8-Inputs!$D$8)*(Inputs!$F$8-Inputs!$E$8))),0)</f>
        <v>26</v>
      </c>
      <c r="D1086" s="81" t="n">
        <f aca="true">RAND()</f>
        <v>0.0491123378924343</v>
      </c>
      <c r="E1086" s="83" t="n">
        <f aca="false">IF(D1086&lt;(Inputs!$E$10-Inputs!$D$10)/(Inputs!$F$10-Inputs!$D$10),Inputs!$D$10+SQRT(D1086*(Inputs!$F$10-Inputs!$D$10)*(Inputs!$E$10-Inputs!$D$10)),Inputs!$F$10-SQRT((1-D1086)*(Inputs!$F$10-Inputs!$D$10)*(Inputs!$F$10-Inputs!$E$10)))</f>
        <v>0.0221613036377453</v>
      </c>
      <c r="F1086" s="81" t="n">
        <f aca="true">RAND()</f>
        <v>0.436758335952217</v>
      </c>
      <c r="G1086" s="83" t="n">
        <f aca="false">IF(F1086&lt;(Inputs!$E$15-Inputs!$D$15)/(Inputs!$F$15-Inputs!$D$15),Inputs!$D$15+SQRT(F1086*(Inputs!$F$15-Inputs!$D$15)*(Inputs!$E$15-Inputs!$D$15)),Inputs!$F$15-SQRT((1-F1086)*(Inputs!$F$15-Inputs!$D$15)*(Inputs!$F$15-Inputs!$E$15)))</f>
        <v>0.693462113816478</v>
      </c>
      <c r="H1086" s="81" t="n">
        <f aca="true">RAND()</f>
        <v>0.134731476396763</v>
      </c>
      <c r="I1086" s="82" t="n">
        <f aca="false">ROUND(IF(H1086&lt;(Inputs!$E$17-Inputs!$D$17)/(Inputs!$F$17-Inputs!$D$17),Inputs!$D$17+SQRT(H1086*(Inputs!$F$17-Inputs!$D$17)*(Inputs!$E$17-Inputs!$D$17)),Inputs!$F$17-SQRT((1-H1086)*(Inputs!$F$17-Inputs!$D$17)*(Inputs!$F$17-Inputs!$E$17))),0)</f>
        <v>103</v>
      </c>
      <c r="J1086" s="81" t="n">
        <f aca="true">RAND()</f>
        <v>0.904666271960637</v>
      </c>
      <c r="K1086" s="83" t="n">
        <f aca="false">IF(J1086&lt;(Inputs!$E$18-Inputs!$D$18)/(Inputs!$F$18-Inputs!$D$18),Inputs!$D$18+SQRT(J1086*(Inputs!$F$18-Inputs!$D$18)*(Inputs!$E$18-Inputs!$D$18)),Inputs!$F$18-SQRT((1-J1086)*(Inputs!$F$18-Inputs!$D$18)*(Inputs!$F$18-Inputs!$E$18)))</f>
        <v>1.15866708587018</v>
      </c>
      <c r="L1086" s="81" t="n">
        <f aca="true">RAND()</f>
        <v>0.384999957360275</v>
      </c>
      <c r="M1086" s="83" t="n">
        <f aca="false">IF(L1086&lt;(Inputs!$E$24-Inputs!$D$24)/(Inputs!$F$24-Inputs!$D$24),Inputs!$D$24+SQRT(L1086*(Inputs!$F$24-Inputs!$D$24)*(Inputs!$E$24-Inputs!$D$24)),Inputs!$F$24-SQRT((1-L1086)*(Inputs!$F$24-Inputs!$D$24)*(Inputs!$F$24-Inputs!$E$24)))</f>
        <v>0.815812532435617</v>
      </c>
      <c r="N1086" s="81" t="n">
        <f aca="true">RAND()</f>
        <v>0.0645778165333003</v>
      </c>
      <c r="O1086" s="83" t="n">
        <f aca="false">IF(N1086&lt;(Inputs!$E$26-Inputs!$D$26)/(Inputs!$F$26-Inputs!$D$26),Inputs!$D$26+SQRT(N1086*(Inputs!$F$26-Inputs!$D$26)*(Inputs!$E$26-Inputs!$D$26)),Inputs!$F$26-SQRT((1-N1086)*(Inputs!$F$26-Inputs!$D$26)*(Inputs!$F$26-Inputs!$E$26)))</f>
        <v>0.403661703011002</v>
      </c>
      <c r="P1086" s="81" t="n">
        <f aca="true">RAND()</f>
        <v>0.314920231877179</v>
      </c>
      <c r="Q1086" s="82" t="n">
        <f aca="false">IF(P1086&lt;(Inputs!$E$27-Inputs!$D$27)/(Inputs!$F$27-Inputs!$D$27),Inputs!$D$27+SQRT(P1086*(Inputs!$F$27-Inputs!$D$27)*(Inputs!$E$27-Inputs!$D$27)),Inputs!$F$27-SQRT((1-P1086)*(Inputs!$F$27-Inputs!$D$27)*(Inputs!$F$27-Inputs!$E$27)))</f>
        <v>78.3194708381617</v>
      </c>
      <c r="R1086" s="81" t="n">
        <f aca="true">RAND()</f>
        <v>0.0930618536652422</v>
      </c>
      <c r="S1086" s="82" t="n">
        <f aca="false">IF(R1086&lt;(Inputs!$E$29-Inputs!$D$29)/(Inputs!$F$29-Inputs!$D$29),Inputs!$D$29+SQRT(R1086*(Inputs!$F$29-Inputs!$D$29)*(Inputs!$E$29-Inputs!$D$29)),Inputs!$F$29-SQRT((1-R1086)*(Inputs!$F$29-Inputs!$D$29)*(Inputs!$F$29-Inputs!$E$29)))</f>
        <v>3.90510164897951</v>
      </c>
      <c r="T1086" s="68" t="n">
        <f aca="false">Inputs!$E$9*(1+E1086)+Inputs!$E$5*C1086*(Inputs!$E$11*Inputs!$E$14*(G1086*I1086/Inputs!$E$16+(1-G1086))*K1086+Inputs!$E$23*M1086)*(1+O1086)+Inputs!$E$5*(Q1086+S1086)</f>
        <v>5976.90269037993</v>
      </c>
    </row>
    <row r="1087" customFormat="false" ht="15" hidden="false" customHeight="false" outlineLevel="0" collapsed="false">
      <c r="A1087" s="1" t="n">
        <v>1083</v>
      </c>
      <c r="B1087" s="81" t="n">
        <f aca="true">RAND()</f>
        <v>0.260456603780122</v>
      </c>
      <c r="C1087" s="82" t="n">
        <f aca="false">ROUND(IF(B1087&lt;(Inputs!$E$8-Inputs!$D$8)/(Inputs!$F$8-Inputs!$D$8),Inputs!$D$8+SQRT(B1087*(Inputs!$F$8-Inputs!$D$8)*(Inputs!$E$8-Inputs!$D$8)),Inputs!$F$8-SQRT((1-B1087)*(Inputs!$F$8-Inputs!$D$8)*(Inputs!$F$8-Inputs!$E$8))),0)</f>
        <v>24</v>
      </c>
      <c r="D1087" s="81" t="n">
        <f aca="true">RAND()</f>
        <v>0.84469137709338</v>
      </c>
      <c r="E1087" s="83" t="n">
        <f aca="false">IF(D1087&lt;(Inputs!$E$10-Inputs!$D$10)/(Inputs!$F$10-Inputs!$D$10),Inputs!$D$10+SQRT(D1087*(Inputs!$F$10-Inputs!$D$10)*(Inputs!$E$10-Inputs!$D$10)),Inputs!$F$10-SQRT((1-D1087)*(Inputs!$F$10-Inputs!$D$10)*(Inputs!$F$10-Inputs!$E$10)))</f>
        <v>0.131741237286348</v>
      </c>
      <c r="F1087" s="81" t="n">
        <f aca="true">RAND()</f>
        <v>0.576407073368802</v>
      </c>
      <c r="G1087" s="83" t="n">
        <f aca="false">IF(F1087&lt;(Inputs!$E$15-Inputs!$D$15)/(Inputs!$F$15-Inputs!$D$15),Inputs!$D$15+SQRT(F1087*(Inputs!$F$15-Inputs!$D$15)*(Inputs!$E$15-Inputs!$D$15)),Inputs!$F$15-SQRT((1-F1087)*(Inputs!$F$15-Inputs!$D$15)*(Inputs!$F$15-Inputs!$E$15)))</f>
        <v>0.707957300492522</v>
      </c>
      <c r="H1087" s="81" t="n">
        <f aca="true">RAND()</f>
        <v>0.476191987371686</v>
      </c>
      <c r="I1087" s="82" t="n">
        <f aca="false">ROUND(IF(H1087&lt;(Inputs!$E$17-Inputs!$D$17)/(Inputs!$F$17-Inputs!$D$17),Inputs!$D$17+SQRT(H1087*(Inputs!$F$17-Inputs!$D$17)*(Inputs!$E$17-Inputs!$D$17)),Inputs!$F$17-SQRT((1-H1087)*(Inputs!$F$17-Inputs!$D$17)*(Inputs!$F$17-Inputs!$E$17))),0)</f>
        <v>106</v>
      </c>
      <c r="J1087" s="81" t="n">
        <f aca="true">RAND()</f>
        <v>0.271848226923106</v>
      </c>
      <c r="K1087" s="83" t="n">
        <f aca="false">IF(J1087&lt;(Inputs!$E$18-Inputs!$D$18)/(Inputs!$F$18-Inputs!$D$18),Inputs!$D$18+SQRT(J1087*(Inputs!$F$18-Inputs!$D$18)*(Inputs!$E$18-Inputs!$D$18)),Inputs!$F$18-SQRT((1-J1087)*(Inputs!$F$18-Inputs!$D$18)*(Inputs!$F$18-Inputs!$E$18)))</f>
        <v>0.997543261901111</v>
      </c>
      <c r="L1087" s="81" t="n">
        <f aca="true">RAND()</f>
        <v>0.889646680249708</v>
      </c>
      <c r="M1087" s="83" t="n">
        <f aca="false">IF(L1087&lt;(Inputs!$E$24-Inputs!$D$24)/(Inputs!$F$24-Inputs!$D$24),Inputs!$D$24+SQRT(L1087*(Inputs!$F$24-Inputs!$D$24)*(Inputs!$E$24-Inputs!$D$24)),Inputs!$F$24-SQRT((1-L1087)*(Inputs!$F$24-Inputs!$D$24)*(Inputs!$F$24-Inputs!$E$24)))</f>
        <v>1.03725849718013</v>
      </c>
      <c r="N1087" s="81" t="n">
        <f aca="true">RAND()</f>
        <v>0.602497615294263</v>
      </c>
      <c r="O1087" s="83" t="n">
        <f aca="false">IF(N1087&lt;(Inputs!$E$26-Inputs!$D$26)/(Inputs!$F$26-Inputs!$D$26),Inputs!$D$26+SQRT(N1087*(Inputs!$F$26-Inputs!$D$26)*(Inputs!$E$26-Inputs!$D$26)),Inputs!$F$26-SQRT((1-N1087)*(Inputs!$F$26-Inputs!$D$26)*(Inputs!$F$26-Inputs!$E$26)))</f>
        <v>0.616631652215892</v>
      </c>
      <c r="P1087" s="81" t="n">
        <f aca="true">RAND()</f>
        <v>0.293015310209044</v>
      </c>
      <c r="Q1087" s="82" t="n">
        <f aca="false">IF(P1087&lt;(Inputs!$E$27-Inputs!$D$27)/(Inputs!$F$27-Inputs!$D$27),Inputs!$D$27+SQRT(P1087*(Inputs!$F$27-Inputs!$D$27)*(Inputs!$E$27-Inputs!$D$27)),Inputs!$F$27-SQRT((1-P1087)*(Inputs!$F$27-Inputs!$D$27)*(Inputs!$F$27-Inputs!$E$27)))</f>
        <v>77.1825215114381</v>
      </c>
      <c r="R1087" s="81" t="n">
        <f aca="true">RAND()</f>
        <v>0.651439137155444</v>
      </c>
      <c r="S1087" s="82" t="n">
        <f aca="false">IF(R1087&lt;(Inputs!$E$29-Inputs!$D$29)/(Inputs!$F$29-Inputs!$D$29),Inputs!$D$29+SQRT(R1087*(Inputs!$F$29-Inputs!$D$29)*(Inputs!$E$29-Inputs!$D$29)),Inputs!$F$29-SQRT((1-R1087)*(Inputs!$F$29-Inputs!$D$29)*(Inputs!$F$29-Inputs!$E$29)))</f>
        <v>8.26851337594791</v>
      </c>
      <c r="T1087" s="68" t="n">
        <f aca="false">Inputs!$E$9*(1+E1087)+Inputs!$E$5*C1087*(Inputs!$E$11*Inputs!$E$14*(G1087*I1087/Inputs!$E$16+(1-G1087))*K1087+Inputs!$E$23*M1087)*(1+O1087)+Inputs!$E$5*(Q1087+S1087)</f>
        <v>6431.44030617328</v>
      </c>
    </row>
    <row r="1088" customFormat="false" ht="15" hidden="false" customHeight="false" outlineLevel="0" collapsed="false">
      <c r="A1088" s="1" t="n">
        <v>1084</v>
      </c>
      <c r="B1088" s="81" t="n">
        <f aca="true">RAND()</f>
        <v>0.37358522804407</v>
      </c>
      <c r="C1088" s="82" t="n">
        <f aca="false">ROUND(IF(B1088&lt;(Inputs!$E$8-Inputs!$D$8)/(Inputs!$F$8-Inputs!$D$8),Inputs!$D$8+SQRT(B1088*(Inputs!$F$8-Inputs!$D$8)*(Inputs!$E$8-Inputs!$D$8)),Inputs!$F$8-SQRT((1-B1088)*(Inputs!$F$8-Inputs!$D$8)*(Inputs!$F$8-Inputs!$E$8))),0)</f>
        <v>24</v>
      </c>
      <c r="D1088" s="81" t="n">
        <f aca="true">RAND()</f>
        <v>0.282510167283758</v>
      </c>
      <c r="E1088" s="83" t="n">
        <f aca="false">IF(D1088&lt;(Inputs!$E$10-Inputs!$D$10)/(Inputs!$F$10-Inputs!$D$10),Inputs!$D$10+SQRT(D1088*(Inputs!$F$10-Inputs!$D$10)*(Inputs!$E$10-Inputs!$D$10)),Inputs!$F$10-SQRT((1-D1088)*(Inputs!$F$10-Inputs!$D$10)*(Inputs!$F$10-Inputs!$E$10)))</f>
        <v>0.053287031992781</v>
      </c>
      <c r="F1088" s="81" t="n">
        <f aca="true">RAND()</f>
        <v>0.541120502720229</v>
      </c>
      <c r="G1088" s="83" t="n">
        <f aca="false">IF(F1088&lt;(Inputs!$E$15-Inputs!$D$15)/(Inputs!$F$15-Inputs!$D$15),Inputs!$D$15+SQRT(F1088*(Inputs!$F$15-Inputs!$D$15)*(Inputs!$E$15-Inputs!$D$15)),Inputs!$F$15-SQRT((1-F1088)*(Inputs!$F$15-Inputs!$D$15)*(Inputs!$F$15-Inputs!$E$15)))</f>
        <v>0.704200261244639</v>
      </c>
      <c r="H1088" s="81" t="n">
        <f aca="true">RAND()</f>
        <v>0.864876974177338</v>
      </c>
      <c r="I1088" s="82" t="n">
        <f aca="false">ROUND(IF(H1088&lt;(Inputs!$E$17-Inputs!$D$17)/(Inputs!$F$17-Inputs!$D$17),Inputs!$D$17+SQRT(H1088*(Inputs!$F$17-Inputs!$D$17)*(Inputs!$E$17-Inputs!$D$17)),Inputs!$F$17-SQRT((1-H1088)*(Inputs!$F$17-Inputs!$D$17)*(Inputs!$F$17-Inputs!$E$17))),0)</f>
        <v>110</v>
      </c>
      <c r="J1088" s="81" t="n">
        <f aca="true">RAND()</f>
        <v>0.864426949803118</v>
      </c>
      <c r="K1088" s="83" t="n">
        <f aca="false">IF(J1088&lt;(Inputs!$E$18-Inputs!$D$18)/(Inputs!$F$18-Inputs!$D$18),Inputs!$D$18+SQRT(J1088*(Inputs!$F$18-Inputs!$D$18)*(Inputs!$E$18-Inputs!$D$18)),Inputs!$F$18-SQRT((1-J1088)*(Inputs!$F$18-Inputs!$D$18)*(Inputs!$F$18-Inputs!$E$18)))</f>
        <v>1.14108424405887</v>
      </c>
      <c r="L1088" s="81" t="n">
        <f aca="true">RAND()</f>
        <v>0.783698978050784</v>
      </c>
      <c r="M1088" s="83" t="n">
        <f aca="false">IF(L1088&lt;(Inputs!$E$24-Inputs!$D$24)/(Inputs!$F$24-Inputs!$D$24),Inputs!$D$24+SQRT(L1088*(Inputs!$F$24-Inputs!$D$24)*(Inputs!$E$24-Inputs!$D$24)),Inputs!$F$24-SQRT((1-L1088)*(Inputs!$F$24-Inputs!$D$24)*(Inputs!$F$24-Inputs!$E$24)))</f>
        <v>0.972157411207185</v>
      </c>
      <c r="N1088" s="81" t="n">
        <f aca="true">RAND()</f>
        <v>0.294209789856955</v>
      </c>
      <c r="O1088" s="83" t="n">
        <f aca="false">IF(N1088&lt;(Inputs!$E$26-Inputs!$D$26)/(Inputs!$F$26-Inputs!$D$26),Inputs!$D$26+SQRT(N1088*(Inputs!$F$26-Inputs!$D$26)*(Inputs!$E$26-Inputs!$D$26)),Inputs!$F$26-SQRT((1-N1088)*(Inputs!$F$26-Inputs!$D$26)*(Inputs!$F$26-Inputs!$E$26)))</f>
        <v>0.521261178321452</v>
      </c>
      <c r="P1088" s="81" t="n">
        <f aca="true">RAND()</f>
        <v>0.226371033513658</v>
      </c>
      <c r="Q1088" s="82" t="n">
        <f aca="false">IF(P1088&lt;(Inputs!$E$27-Inputs!$D$27)/(Inputs!$F$27-Inputs!$D$27),Inputs!$D$27+SQRT(P1088*(Inputs!$F$27-Inputs!$D$27)*(Inputs!$E$27-Inputs!$D$27)),Inputs!$F$27-SQRT((1-P1088)*(Inputs!$F$27-Inputs!$D$27)*(Inputs!$F$27-Inputs!$E$27)))</f>
        <v>73.789232517762</v>
      </c>
      <c r="R1088" s="81" t="n">
        <f aca="true">RAND()</f>
        <v>0.0671020144715581</v>
      </c>
      <c r="S1088" s="82" t="n">
        <f aca="false">IF(R1088&lt;(Inputs!$E$29-Inputs!$D$29)/(Inputs!$F$29-Inputs!$D$29),Inputs!$D$29+SQRT(R1088*(Inputs!$F$29-Inputs!$D$29)*(Inputs!$E$29-Inputs!$D$29)),Inputs!$F$29-SQRT((1-R1088)*(Inputs!$F$29-Inputs!$D$29)*(Inputs!$F$29-Inputs!$E$29)))</f>
        <v>3.6177078118099</v>
      </c>
      <c r="T1088" s="68" t="n">
        <f aca="false">Inputs!$E$9*(1+E1088)+Inputs!$E$5*C1088*(Inputs!$E$11*Inputs!$E$14*(G1088*I1088/Inputs!$E$16+(1-G1088))*K1088+Inputs!$E$23*M1088)*(1+O1088)+Inputs!$E$5*(Q1088+S1088)</f>
        <v>6262.14282428146</v>
      </c>
    </row>
    <row r="1089" customFormat="false" ht="15" hidden="false" customHeight="false" outlineLevel="0" collapsed="false">
      <c r="A1089" s="1" t="n">
        <v>1085</v>
      </c>
      <c r="B1089" s="81" t="n">
        <f aca="true">RAND()</f>
        <v>0.201141117090986</v>
      </c>
      <c r="C1089" s="82" t="n">
        <f aca="false">ROUND(IF(B1089&lt;(Inputs!$E$8-Inputs!$D$8)/(Inputs!$F$8-Inputs!$D$8),Inputs!$D$8+SQRT(B1089*(Inputs!$F$8-Inputs!$D$8)*(Inputs!$E$8-Inputs!$D$8)),Inputs!$F$8-SQRT((1-B1089)*(Inputs!$F$8-Inputs!$D$8)*(Inputs!$F$8-Inputs!$E$8))),0)</f>
        <v>23</v>
      </c>
      <c r="D1089" s="81" t="n">
        <f aca="true">RAND()</f>
        <v>0.815128919551181</v>
      </c>
      <c r="E1089" s="83" t="n">
        <f aca="false">IF(D1089&lt;(Inputs!$E$10-Inputs!$D$10)/(Inputs!$F$10-Inputs!$D$10),Inputs!$D$10+SQRT(D1089*(Inputs!$F$10-Inputs!$D$10)*(Inputs!$E$10-Inputs!$D$10)),Inputs!$F$10-SQRT((1-D1089)*(Inputs!$F$10-Inputs!$D$10)*(Inputs!$F$10-Inputs!$E$10)))</f>
        <v>0.125527639936252</v>
      </c>
      <c r="F1089" s="81" t="n">
        <f aca="true">RAND()</f>
        <v>0.459869328207949</v>
      </c>
      <c r="G1089" s="83" t="n">
        <f aca="false">IF(F1089&lt;(Inputs!$E$15-Inputs!$D$15)/(Inputs!$F$15-Inputs!$D$15),Inputs!$D$15+SQRT(F1089*(Inputs!$F$15-Inputs!$D$15)*(Inputs!$E$15-Inputs!$D$15)),Inputs!$F$15-SQRT((1-F1089)*(Inputs!$F$15-Inputs!$D$15)*(Inputs!$F$15-Inputs!$E$15)))</f>
        <v>0.695903006022538</v>
      </c>
      <c r="H1089" s="81" t="n">
        <f aca="true">RAND()</f>
        <v>0.2767285770712</v>
      </c>
      <c r="I1089" s="82" t="n">
        <f aca="false">ROUND(IF(H1089&lt;(Inputs!$E$17-Inputs!$D$17)/(Inputs!$F$17-Inputs!$D$17),Inputs!$D$17+SQRT(H1089*(Inputs!$F$17-Inputs!$D$17)*(Inputs!$E$17-Inputs!$D$17)),Inputs!$F$17-SQRT((1-H1089)*(Inputs!$F$17-Inputs!$D$17)*(Inputs!$F$17-Inputs!$E$17))),0)</f>
        <v>105</v>
      </c>
      <c r="J1089" s="81" t="n">
        <f aca="true">RAND()</f>
        <v>0.89827755025586</v>
      </c>
      <c r="K1089" s="83" t="n">
        <f aca="false">IF(J1089&lt;(Inputs!$E$18-Inputs!$D$18)/(Inputs!$F$18-Inputs!$D$18),Inputs!$D$18+SQRT(J1089*(Inputs!$F$18-Inputs!$D$18)*(Inputs!$E$18-Inputs!$D$18)),Inputs!$F$18-SQRT((1-J1089)*(Inputs!$F$18-Inputs!$D$18)*(Inputs!$F$18-Inputs!$E$18)))</f>
        <v>1.15565640269413</v>
      </c>
      <c r="L1089" s="81" t="n">
        <f aca="true">RAND()</f>
        <v>0.592699991273539</v>
      </c>
      <c r="M1089" s="83" t="n">
        <f aca="false">IF(L1089&lt;(Inputs!$E$24-Inputs!$D$24)/(Inputs!$F$24-Inputs!$D$24),Inputs!$D$24+SQRT(L1089*(Inputs!$F$24-Inputs!$D$24)*(Inputs!$E$24-Inputs!$D$24)),Inputs!$F$24-SQRT((1-L1089)*(Inputs!$F$24-Inputs!$D$24)*(Inputs!$F$24-Inputs!$E$24)))</f>
        <v>0.887346834184666</v>
      </c>
      <c r="N1089" s="81" t="n">
        <f aca="true">RAND()</f>
        <v>0.477986267874231</v>
      </c>
      <c r="O1089" s="83" t="n">
        <f aca="false">IF(N1089&lt;(Inputs!$E$26-Inputs!$D$26)/(Inputs!$F$26-Inputs!$D$26),Inputs!$D$26+SQRT(N1089*(Inputs!$F$26-Inputs!$D$26)*(Inputs!$E$26-Inputs!$D$26)),Inputs!$F$26-SQRT((1-N1089)*(Inputs!$F$26-Inputs!$D$26)*(Inputs!$F$26-Inputs!$E$26)))</f>
        <v>0.582022897960914</v>
      </c>
      <c r="P1089" s="81" t="n">
        <f aca="true">RAND()</f>
        <v>0.304400693799294</v>
      </c>
      <c r="Q1089" s="82" t="n">
        <f aca="false">IF(P1089&lt;(Inputs!$E$27-Inputs!$D$27)/(Inputs!$F$27-Inputs!$D$27),Inputs!$D$27+SQRT(P1089*(Inputs!$F$27-Inputs!$D$27)*(Inputs!$E$27-Inputs!$D$27)),Inputs!$F$27-SQRT((1-P1089)*(Inputs!$F$27-Inputs!$D$27)*(Inputs!$F$27-Inputs!$E$27)))</f>
        <v>77.7712329019434</v>
      </c>
      <c r="R1089" s="81" t="n">
        <f aca="true">RAND()</f>
        <v>0.0625534796346954</v>
      </c>
      <c r="S1089" s="82" t="n">
        <f aca="false">IF(R1089&lt;(Inputs!$E$29-Inputs!$D$29)/(Inputs!$F$29-Inputs!$D$29),Inputs!$D$29+SQRT(R1089*(Inputs!$F$29-Inputs!$D$29)*(Inputs!$E$29-Inputs!$D$29)),Inputs!$F$29-SQRT((1-R1089)*(Inputs!$F$29-Inputs!$D$29)*(Inputs!$F$29-Inputs!$E$29)))</f>
        <v>3.56191731719484</v>
      </c>
      <c r="T1089" s="68" t="n">
        <f aca="false">Inputs!$E$9*(1+E1089)+Inputs!$E$5*C1089*(Inputs!$E$11*Inputs!$E$14*(G1089*I1089/Inputs!$E$16+(1-G1089))*K1089+Inputs!$E$23*M1089)*(1+O1089)+Inputs!$E$5*(Q1089+S1089)</f>
        <v>6297.78696468805</v>
      </c>
    </row>
    <row r="1090" customFormat="false" ht="15" hidden="false" customHeight="false" outlineLevel="0" collapsed="false">
      <c r="A1090" s="1" t="n">
        <v>1086</v>
      </c>
      <c r="B1090" s="81" t="n">
        <f aca="true">RAND()</f>
        <v>0.862426251136922</v>
      </c>
      <c r="C1090" s="82" t="n">
        <f aca="false">ROUND(IF(B1090&lt;(Inputs!$E$8-Inputs!$D$8)/(Inputs!$F$8-Inputs!$D$8),Inputs!$D$8+SQRT(B1090*(Inputs!$F$8-Inputs!$D$8)*(Inputs!$E$8-Inputs!$D$8)),Inputs!$F$8-SQRT((1-B1090)*(Inputs!$F$8-Inputs!$D$8)*(Inputs!$F$8-Inputs!$E$8))),0)</f>
        <v>27</v>
      </c>
      <c r="D1090" s="81" t="n">
        <f aca="true">RAND()</f>
        <v>0.144517257849243</v>
      </c>
      <c r="E1090" s="83" t="n">
        <f aca="false">IF(D1090&lt;(Inputs!$E$10-Inputs!$D$10)/(Inputs!$F$10-Inputs!$D$10),Inputs!$D$10+SQRT(D1090*(Inputs!$F$10-Inputs!$D$10)*(Inputs!$E$10-Inputs!$D$10)),Inputs!$F$10-SQRT((1-D1090)*(Inputs!$F$10-Inputs!$D$10)*(Inputs!$F$10-Inputs!$E$10)))</f>
        <v>0.0380154255334915</v>
      </c>
      <c r="F1090" s="81" t="n">
        <f aca="true">RAND()</f>
        <v>0.749632571105644</v>
      </c>
      <c r="G1090" s="83" t="n">
        <f aca="false">IF(F1090&lt;(Inputs!$E$15-Inputs!$D$15)/(Inputs!$F$15-Inputs!$D$15),Inputs!$D$15+SQRT(F1090*(Inputs!$F$15-Inputs!$D$15)*(Inputs!$E$15-Inputs!$D$15)),Inputs!$F$15-SQRT((1-F1090)*(Inputs!$F$15-Inputs!$D$15)*(Inputs!$F$15-Inputs!$E$15)))</f>
        <v>0.729237378667215</v>
      </c>
      <c r="H1090" s="81" t="n">
        <f aca="true">RAND()</f>
        <v>0.257943409236288</v>
      </c>
      <c r="I1090" s="82" t="n">
        <f aca="false">ROUND(IF(H1090&lt;(Inputs!$E$17-Inputs!$D$17)/(Inputs!$F$17-Inputs!$D$17),Inputs!$D$17+SQRT(H1090*(Inputs!$F$17-Inputs!$D$17)*(Inputs!$E$17-Inputs!$D$17)),Inputs!$F$17-SQRT((1-H1090)*(Inputs!$F$17-Inputs!$D$17)*(Inputs!$F$17-Inputs!$E$17))),0)</f>
        <v>104</v>
      </c>
      <c r="J1090" s="81" t="n">
        <f aca="true">RAND()</f>
        <v>0.727376560688341</v>
      </c>
      <c r="K1090" s="83" t="n">
        <f aca="false">IF(J1090&lt;(Inputs!$E$18-Inputs!$D$18)/(Inputs!$F$18-Inputs!$D$18),Inputs!$D$18+SQRT(J1090*(Inputs!$F$18-Inputs!$D$18)*(Inputs!$E$18-Inputs!$D$18)),Inputs!$F$18-SQRT((1-J1090)*(Inputs!$F$18-Inputs!$D$18)*(Inputs!$F$18-Inputs!$E$18)))</f>
        <v>1.09555081437648</v>
      </c>
      <c r="L1090" s="81" t="n">
        <f aca="true">RAND()</f>
        <v>0.481493857899504</v>
      </c>
      <c r="M1090" s="83" t="n">
        <f aca="false">IF(L1090&lt;(Inputs!$E$24-Inputs!$D$24)/(Inputs!$F$24-Inputs!$D$24),Inputs!$D$24+SQRT(L1090*(Inputs!$F$24-Inputs!$D$24)*(Inputs!$E$24-Inputs!$D$24)),Inputs!$F$24-SQRT((1-L1090)*(Inputs!$F$24-Inputs!$D$24)*(Inputs!$F$24-Inputs!$E$24)))</f>
        <v>0.847237368611528</v>
      </c>
      <c r="N1090" s="81" t="n">
        <f aca="true">RAND()</f>
        <v>0.477888395812754</v>
      </c>
      <c r="O1090" s="83" t="n">
        <f aca="false">IF(N1090&lt;(Inputs!$E$26-Inputs!$D$26)/(Inputs!$F$26-Inputs!$D$26),Inputs!$D$26+SQRT(N1090*(Inputs!$F$26-Inputs!$D$26)*(Inputs!$E$26-Inputs!$D$26)),Inputs!$F$26-SQRT((1-N1090)*(Inputs!$F$26-Inputs!$D$26)*(Inputs!$F$26-Inputs!$E$26)))</f>
        <v>0.581994023098438</v>
      </c>
      <c r="P1090" s="81" t="n">
        <f aca="true">RAND()</f>
        <v>0.902104873007231</v>
      </c>
      <c r="Q1090" s="82" t="n">
        <f aca="false">IF(P1090&lt;(Inputs!$E$27-Inputs!$D$27)/(Inputs!$F$27-Inputs!$D$27),Inputs!$D$27+SQRT(P1090*(Inputs!$F$27-Inputs!$D$27)*(Inputs!$E$27-Inputs!$D$27)),Inputs!$F$27-SQRT((1-P1090)*(Inputs!$F$27-Inputs!$D$27)*(Inputs!$F$27-Inputs!$E$27)))</f>
        <v>122.903626581297</v>
      </c>
      <c r="R1090" s="81" t="n">
        <f aca="true">RAND()</f>
        <v>0.143763592889048</v>
      </c>
      <c r="S1090" s="82" t="n">
        <f aca="false">IF(R1090&lt;(Inputs!$E$29-Inputs!$D$29)/(Inputs!$F$29-Inputs!$D$29),Inputs!$D$29+SQRT(R1090*(Inputs!$F$29-Inputs!$D$29)*(Inputs!$E$29-Inputs!$D$29)),Inputs!$F$29-SQRT((1-R1090)*(Inputs!$F$29-Inputs!$D$29)*(Inputs!$F$29-Inputs!$E$29)))</f>
        <v>4.3678640422695</v>
      </c>
      <c r="T1090" s="68" t="n">
        <f aca="false">Inputs!$E$9*(1+E1090)+Inputs!$E$5*C1090*(Inputs!$E$11*Inputs!$E$14*(G1090*I1090/Inputs!$E$16+(1-G1090))*K1090+Inputs!$E$23*M1090)*(1+O1090)+Inputs!$E$5*(Q1090+S1090)</f>
        <v>6663.33363598145</v>
      </c>
    </row>
    <row r="1091" customFormat="false" ht="15" hidden="false" customHeight="false" outlineLevel="0" collapsed="false">
      <c r="A1091" s="1" t="n">
        <v>1087</v>
      </c>
      <c r="B1091" s="81" t="n">
        <f aca="true">RAND()</f>
        <v>0.637930669405135</v>
      </c>
      <c r="C1091" s="82" t="n">
        <f aca="false">ROUND(IF(B1091&lt;(Inputs!$E$8-Inputs!$D$8)/(Inputs!$F$8-Inputs!$D$8),Inputs!$D$8+SQRT(B1091*(Inputs!$F$8-Inputs!$D$8)*(Inputs!$E$8-Inputs!$D$8)),Inputs!$F$8-SQRT((1-B1091)*(Inputs!$F$8-Inputs!$D$8)*(Inputs!$F$8-Inputs!$E$8))),0)</f>
        <v>26</v>
      </c>
      <c r="D1091" s="81" t="n">
        <f aca="true">RAND()</f>
        <v>0.994628886592938</v>
      </c>
      <c r="E1091" s="83" t="n">
        <f aca="false">IF(D1091&lt;(Inputs!$E$10-Inputs!$D$10)/(Inputs!$F$10-Inputs!$D$10),Inputs!$D$10+SQRT(D1091*(Inputs!$F$10-Inputs!$D$10)*(Inputs!$E$10-Inputs!$D$10)),Inputs!$F$10-SQRT((1-D1091)*(Inputs!$F$10-Inputs!$D$10)*(Inputs!$F$10-Inputs!$E$10)))</f>
        <v>0.187306166764454</v>
      </c>
      <c r="F1091" s="81" t="n">
        <f aca="true">RAND()</f>
        <v>0.390639800046219</v>
      </c>
      <c r="G1091" s="83" t="n">
        <f aca="false">IF(F1091&lt;(Inputs!$E$15-Inputs!$D$15)/(Inputs!$F$15-Inputs!$D$15),Inputs!$D$15+SQRT(F1091*(Inputs!$F$15-Inputs!$D$15)*(Inputs!$E$15-Inputs!$D$15)),Inputs!$F$15-SQRT((1-F1091)*(Inputs!$F$15-Inputs!$D$15)*(Inputs!$F$15-Inputs!$E$15)))</f>
        <v>0.688390022066545</v>
      </c>
      <c r="H1091" s="81" t="n">
        <f aca="true">RAND()</f>
        <v>0.412878717484116</v>
      </c>
      <c r="I1091" s="82" t="n">
        <f aca="false">ROUND(IF(H1091&lt;(Inputs!$E$17-Inputs!$D$17)/(Inputs!$F$17-Inputs!$D$17),Inputs!$D$17+SQRT(H1091*(Inputs!$F$17-Inputs!$D$17)*(Inputs!$E$17-Inputs!$D$17)),Inputs!$F$17-SQRT((1-H1091)*(Inputs!$F$17-Inputs!$D$17)*(Inputs!$F$17-Inputs!$E$17))),0)</f>
        <v>106</v>
      </c>
      <c r="J1091" s="81" t="n">
        <f aca="true">RAND()</f>
        <v>0.490164596171614</v>
      </c>
      <c r="K1091" s="83" t="n">
        <f aca="false">IF(J1091&lt;(Inputs!$E$18-Inputs!$D$18)/(Inputs!$F$18-Inputs!$D$18),Inputs!$D$18+SQRT(J1091*(Inputs!$F$18-Inputs!$D$18)*(Inputs!$E$18-Inputs!$D$18)),Inputs!$F$18-SQRT((1-J1091)*(Inputs!$F$18-Inputs!$D$18)*(Inputs!$F$18-Inputs!$E$18)))</f>
        <v>1.03878778956939</v>
      </c>
      <c r="L1091" s="81" t="n">
        <f aca="true">RAND()</f>
        <v>0.118969770553705</v>
      </c>
      <c r="M1091" s="83" t="n">
        <f aca="false">IF(L1091&lt;(Inputs!$E$24-Inputs!$D$24)/(Inputs!$F$24-Inputs!$D$24),Inputs!$D$24+SQRT(L1091*(Inputs!$F$24-Inputs!$D$24)*(Inputs!$E$24-Inputs!$D$24)),Inputs!$F$24-SQRT((1-L1091)*(Inputs!$F$24-Inputs!$D$24)*(Inputs!$F$24-Inputs!$E$24)))</f>
        <v>0.719483774908749</v>
      </c>
      <c r="N1091" s="81" t="n">
        <f aca="true">RAND()</f>
        <v>0.549791646524735</v>
      </c>
      <c r="O1091" s="83" t="n">
        <f aca="false">IF(N1091&lt;(Inputs!$E$26-Inputs!$D$26)/(Inputs!$F$26-Inputs!$D$26),Inputs!$D$26+SQRT(N1091*(Inputs!$F$26-Inputs!$D$26)*(Inputs!$E$26-Inputs!$D$26)),Inputs!$F$26-SQRT((1-N1091)*(Inputs!$F$26-Inputs!$D$26)*(Inputs!$F$26-Inputs!$E$26)))</f>
        <v>0.602465419480832</v>
      </c>
      <c r="P1091" s="81" t="n">
        <f aca="true">RAND()</f>
        <v>0.0570751929120381</v>
      </c>
      <c r="Q1091" s="82" t="n">
        <f aca="false">IF(P1091&lt;(Inputs!$E$27-Inputs!$D$27)/(Inputs!$F$27-Inputs!$D$27),Inputs!$D$27+SQRT(P1091*(Inputs!$F$27-Inputs!$D$27)*(Inputs!$E$27-Inputs!$D$27)),Inputs!$F$27-SQRT((1-P1091)*(Inputs!$F$27-Inputs!$D$27)*(Inputs!$F$27-Inputs!$E$27)))</f>
        <v>61.9452075025968</v>
      </c>
      <c r="R1091" s="81" t="n">
        <f aca="true">RAND()</f>
        <v>0.972838297944488</v>
      </c>
      <c r="S1091" s="82" t="n">
        <f aca="false">IF(R1091&lt;(Inputs!$E$29-Inputs!$D$29)/(Inputs!$F$29-Inputs!$D$29),Inputs!$D$29+SQRT(R1091*(Inputs!$F$29-Inputs!$D$29)*(Inputs!$E$29-Inputs!$D$29)),Inputs!$F$29-SQRT((1-R1091)*(Inputs!$F$29-Inputs!$D$29)*(Inputs!$F$29-Inputs!$E$29)))</f>
        <v>13.1208988140027</v>
      </c>
      <c r="T1091" s="68" t="n">
        <f aca="false">Inputs!$E$9*(1+E1091)+Inputs!$E$5*C1091*(Inputs!$E$11*Inputs!$E$14*(G1091*I1091/Inputs!$E$16+(1-G1091))*K1091+Inputs!$E$23*M1091)*(1+O1091)+Inputs!$E$5*(Q1091+S1091)</f>
        <v>6409.42222284211</v>
      </c>
    </row>
    <row r="1092" customFormat="false" ht="15" hidden="false" customHeight="false" outlineLevel="0" collapsed="false">
      <c r="A1092" s="1" t="n">
        <v>1088</v>
      </c>
      <c r="B1092" s="81" t="n">
        <f aca="true">RAND()</f>
        <v>0.765553313512111</v>
      </c>
      <c r="C1092" s="82" t="n">
        <f aca="false">ROUND(IF(B1092&lt;(Inputs!$E$8-Inputs!$D$8)/(Inputs!$F$8-Inputs!$D$8),Inputs!$D$8+SQRT(B1092*(Inputs!$F$8-Inputs!$D$8)*(Inputs!$E$8-Inputs!$D$8)),Inputs!$F$8-SQRT((1-B1092)*(Inputs!$F$8-Inputs!$D$8)*(Inputs!$F$8-Inputs!$E$8))),0)</f>
        <v>27</v>
      </c>
      <c r="D1092" s="81" t="n">
        <f aca="true">RAND()</f>
        <v>0.75911261390122</v>
      </c>
      <c r="E1092" s="83" t="n">
        <f aca="false">IF(D1092&lt;(Inputs!$E$10-Inputs!$D$10)/(Inputs!$F$10-Inputs!$D$10),Inputs!$D$10+SQRT(D1092*(Inputs!$F$10-Inputs!$D$10)*(Inputs!$E$10-Inputs!$D$10)),Inputs!$F$10-SQRT((1-D1092)*(Inputs!$F$10-Inputs!$D$10)*(Inputs!$F$10-Inputs!$E$10)))</f>
        <v>0.114990461811845</v>
      </c>
      <c r="F1092" s="81" t="n">
        <f aca="true">RAND()</f>
        <v>0.188679011716181</v>
      </c>
      <c r="G1092" s="83" t="n">
        <f aca="false">IF(F1092&lt;(Inputs!$E$15-Inputs!$D$15)/(Inputs!$F$15-Inputs!$D$15),Inputs!$D$15+SQRT(F1092*(Inputs!$F$15-Inputs!$D$15)*(Inputs!$E$15-Inputs!$D$15)),Inputs!$F$15-SQRT((1-F1092)*(Inputs!$F$15-Inputs!$D$15)*(Inputs!$F$15-Inputs!$E$15)))</f>
        <v>0.661429473661457</v>
      </c>
      <c r="H1092" s="81" t="n">
        <f aca="true">RAND()</f>
        <v>0.0126962635127234</v>
      </c>
      <c r="I1092" s="82" t="n">
        <f aca="false">ROUND(IF(H1092&lt;(Inputs!$E$17-Inputs!$D$17)/(Inputs!$F$17-Inputs!$D$17),Inputs!$D$17+SQRT(H1092*(Inputs!$F$17-Inputs!$D$17)*(Inputs!$E$17-Inputs!$D$17)),Inputs!$F$17-SQRT((1-H1092)*(Inputs!$F$17-Inputs!$D$17)*(Inputs!$F$17-Inputs!$E$17))),0)</f>
        <v>101</v>
      </c>
      <c r="J1092" s="81" t="n">
        <f aca="true">RAND()</f>
        <v>0.0518652672654171</v>
      </c>
      <c r="K1092" s="83" t="n">
        <f aca="false">IF(J1092&lt;(Inputs!$E$18-Inputs!$D$18)/(Inputs!$F$18-Inputs!$D$18),Inputs!$D$18+SQRT(J1092*(Inputs!$F$18-Inputs!$D$18)*(Inputs!$E$18-Inputs!$D$18)),Inputs!$F$18-SQRT((1-J1092)*(Inputs!$F$18-Inputs!$D$18)*(Inputs!$F$18-Inputs!$E$18)))</f>
        <v>0.942606153948574</v>
      </c>
      <c r="L1092" s="81" t="n">
        <f aca="true">RAND()</f>
        <v>0.405245596822136</v>
      </c>
      <c r="M1092" s="83" t="n">
        <f aca="false">IF(L1092&lt;(Inputs!$E$24-Inputs!$D$24)/(Inputs!$F$24-Inputs!$D$24),Inputs!$D$24+SQRT(L1092*(Inputs!$F$24-Inputs!$D$24)*(Inputs!$E$24-Inputs!$D$24)),Inputs!$F$24-SQRT((1-L1092)*(Inputs!$F$24-Inputs!$D$24)*(Inputs!$F$24-Inputs!$E$24)))</f>
        <v>0.822189125669089</v>
      </c>
      <c r="N1092" s="81" t="n">
        <f aca="true">RAND()</f>
        <v>0.0313682882921397</v>
      </c>
      <c r="O1092" s="83" t="n">
        <f aca="false">IF(N1092&lt;(Inputs!$E$26-Inputs!$D$26)/(Inputs!$F$26-Inputs!$D$26),Inputs!$D$26+SQRT(N1092*(Inputs!$F$26-Inputs!$D$26)*(Inputs!$E$26-Inputs!$D$26)),Inputs!$F$26-SQRT((1-N1092)*(Inputs!$F$26-Inputs!$D$26)*(Inputs!$F$26-Inputs!$E$26)))</f>
        <v>0.372247374843741</v>
      </c>
      <c r="P1092" s="81" t="n">
        <f aca="true">RAND()</f>
        <v>0.00325999614488299</v>
      </c>
      <c r="Q1092" s="82" t="n">
        <f aca="false">IF(P1092&lt;(Inputs!$E$27-Inputs!$D$27)/(Inputs!$F$27-Inputs!$D$27),Inputs!$D$27+SQRT(P1092*(Inputs!$F$27-Inputs!$D$27)*(Inputs!$E$27-Inputs!$D$27)),Inputs!$F$27-SQRT((1-P1092)*(Inputs!$F$27-Inputs!$D$27)*(Inputs!$F$27-Inputs!$E$27)))</f>
        <v>52.8548187967378</v>
      </c>
      <c r="R1092" s="81" t="n">
        <f aca="true">RAND()</f>
        <v>0.837515662869877</v>
      </c>
      <c r="S1092" s="82" t="n">
        <f aca="false">IF(R1092&lt;(Inputs!$E$29-Inputs!$D$29)/(Inputs!$F$29-Inputs!$D$29),Inputs!$D$29+SQRT(R1092*(Inputs!$F$29-Inputs!$D$29)*(Inputs!$E$29-Inputs!$D$29)),Inputs!$F$29-SQRT((1-R1092)*(Inputs!$F$29-Inputs!$D$29)*(Inputs!$F$29-Inputs!$E$29)))</f>
        <v>10.4040274340553</v>
      </c>
      <c r="T1092" s="68" t="n">
        <f aca="false">Inputs!$E$9*(1+E1092)+Inputs!$E$5*C1092*(Inputs!$E$11*Inputs!$E$14*(G1092*I1092/Inputs!$E$16+(1-G1092))*K1092+Inputs!$E$23*M1092)*(1+O1092)+Inputs!$E$5*(Q1092+S1092)</f>
        <v>5737.1581692825</v>
      </c>
    </row>
    <row r="1093" customFormat="false" ht="15" hidden="false" customHeight="false" outlineLevel="0" collapsed="false">
      <c r="A1093" s="1" t="n">
        <v>1089</v>
      </c>
      <c r="B1093" s="81" t="n">
        <f aca="true">RAND()</f>
        <v>0.30710205487223</v>
      </c>
      <c r="C1093" s="82" t="n">
        <f aca="false">ROUND(IF(B1093&lt;(Inputs!$E$8-Inputs!$D$8)/(Inputs!$F$8-Inputs!$D$8),Inputs!$D$8+SQRT(B1093*(Inputs!$F$8-Inputs!$D$8)*(Inputs!$E$8-Inputs!$D$8)),Inputs!$F$8-SQRT((1-B1093)*(Inputs!$F$8-Inputs!$D$8)*(Inputs!$F$8-Inputs!$E$8))),0)</f>
        <v>24</v>
      </c>
      <c r="D1093" s="81" t="n">
        <f aca="true">RAND()</f>
        <v>0.102043551882177</v>
      </c>
      <c r="E1093" s="83" t="n">
        <f aca="false">IF(D1093&lt;(Inputs!$E$10-Inputs!$D$10)/(Inputs!$F$10-Inputs!$D$10),Inputs!$D$10+SQRT(D1093*(Inputs!$F$10-Inputs!$D$10)*(Inputs!$E$10-Inputs!$D$10)),Inputs!$F$10-SQRT((1-D1093)*(Inputs!$F$10-Inputs!$D$10)*(Inputs!$F$10-Inputs!$E$10)))</f>
        <v>0.031944256429314</v>
      </c>
      <c r="F1093" s="81" t="n">
        <f aca="true">RAND()</f>
        <v>0.455707251375179</v>
      </c>
      <c r="G1093" s="83" t="n">
        <f aca="false">IF(F1093&lt;(Inputs!$E$15-Inputs!$D$15)/(Inputs!$F$15-Inputs!$D$15),Inputs!$D$15+SQRT(F1093*(Inputs!$F$15-Inputs!$D$15)*(Inputs!$E$15-Inputs!$D$15)),Inputs!$F$15-SQRT((1-F1093)*(Inputs!$F$15-Inputs!$D$15)*(Inputs!$F$15-Inputs!$E$15)))</f>
        <v>0.695468031442486</v>
      </c>
      <c r="H1093" s="81" t="n">
        <f aca="true">RAND()</f>
        <v>0.0131888907486711</v>
      </c>
      <c r="I1093" s="82" t="n">
        <f aca="false">ROUND(IF(H1093&lt;(Inputs!$E$17-Inputs!$D$17)/(Inputs!$F$17-Inputs!$D$17),Inputs!$D$17+SQRT(H1093*(Inputs!$F$17-Inputs!$D$17)*(Inputs!$E$17-Inputs!$D$17)),Inputs!$F$17-SQRT((1-H1093)*(Inputs!$F$17-Inputs!$D$17)*(Inputs!$F$17-Inputs!$E$17))),0)</f>
        <v>101</v>
      </c>
      <c r="J1093" s="81" t="n">
        <f aca="true">RAND()</f>
        <v>0.53483881147499</v>
      </c>
      <c r="K1093" s="83" t="n">
        <f aca="false">IF(J1093&lt;(Inputs!$E$18-Inputs!$D$18)/(Inputs!$F$18-Inputs!$D$18),Inputs!$D$18+SQRT(J1093*(Inputs!$F$18-Inputs!$D$18)*(Inputs!$E$18-Inputs!$D$18)),Inputs!$F$18-SQRT((1-J1093)*(Inputs!$F$18-Inputs!$D$18)*(Inputs!$F$18-Inputs!$E$18)))</f>
        <v>1.0482536146645</v>
      </c>
      <c r="L1093" s="81" t="n">
        <f aca="true">RAND()</f>
        <v>0.0416279659440727</v>
      </c>
      <c r="M1093" s="83" t="n">
        <f aca="false">IF(L1093&lt;(Inputs!$E$24-Inputs!$D$24)/(Inputs!$F$24-Inputs!$D$24),Inputs!$D$24+SQRT(L1093*(Inputs!$F$24-Inputs!$D$24)*(Inputs!$E$24-Inputs!$D$24)),Inputs!$F$24-SQRT((1-L1093)*(Inputs!$F$24-Inputs!$D$24)*(Inputs!$F$24-Inputs!$E$24)))</f>
        <v>0.670677831837774</v>
      </c>
      <c r="N1093" s="81" t="n">
        <f aca="true">RAND()</f>
        <v>0.362999166445251</v>
      </c>
      <c r="O1093" s="83" t="n">
        <f aca="false">IF(N1093&lt;(Inputs!$E$26-Inputs!$D$26)/(Inputs!$F$26-Inputs!$D$26),Inputs!$D$26+SQRT(N1093*(Inputs!$F$26-Inputs!$D$26)*(Inputs!$E$26-Inputs!$D$26)),Inputs!$F$26-SQRT((1-N1093)*(Inputs!$F$26-Inputs!$D$26)*(Inputs!$F$26-Inputs!$E$26)))</f>
        <v>0.545770342589357</v>
      </c>
      <c r="P1093" s="81" t="n">
        <f aca="true">RAND()</f>
        <v>0.570680637441757</v>
      </c>
      <c r="Q1093" s="82" t="n">
        <f aca="false">IF(P1093&lt;(Inputs!$E$27-Inputs!$D$27)/(Inputs!$F$27-Inputs!$D$27),Inputs!$D$27+SQRT(P1093*(Inputs!$F$27-Inputs!$D$27)*(Inputs!$E$27-Inputs!$D$27)),Inputs!$F$27-SQRT((1-P1093)*(Inputs!$F$27-Inputs!$D$27)*(Inputs!$F$27-Inputs!$E$27)))</f>
        <v>93.2558794306686</v>
      </c>
      <c r="R1093" s="81" t="n">
        <f aca="true">RAND()</f>
        <v>0.73621419728785</v>
      </c>
      <c r="S1093" s="82" t="n">
        <f aca="false">IF(R1093&lt;(Inputs!$E$29-Inputs!$D$29)/(Inputs!$F$29-Inputs!$D$29),Inputs!$D$29+SQRT(R1093*(Inputs!$F$29-Inputs!$D$29)*(Inputs!$E$29-Inputs!$D$29)),Inputs!$F$29-SQRT((1-R1093)*(Inputs!$F$29-Inputs!$D$29)*(Inputs!$F$29-Inputs!$E$29)))</f>
        <v>9.14404966272942</v>
      </c>
      <c r="T1093" s="68" t="n">
        <f aca="false">Inputs!$E$9*(1+E1093)+Inputs!$E$5*C1093*(Inputs!$E$11*Inputs!$E$14*(G1093*I1093/Inputs!$E$16+(1-G1093))*K1093+Inputs!$E$23*M1093)*(1+O1093)+Inputs!$E$5*(Q1093+S1093)</f>
        <v>5718.50245961417</v>
      </c>
    </row>
    <row r="1094" customFormat="false" ht="15" hidden="false" customHeight="false" outlineLevel="0" collapsed="false">
      <c r="A1094" s="1" t="n">
        <v>1090</v>
      </c>
      <c r="B1094" s="81" t="n">
        <f aca="true">RAND()</f>
        <v>0.934641669626984</v>
      </c>
      <c r="C1094" s="82" t="n">
        <f aca="false">ROUND(IF(B1094&lt;(Inputs!$E$8-Inputs!$D$8)/(Inputs!$F$8-Inputs!$D$8),Inputs!$D$8+SQRT(B1094*(Inputs!$F$8-Inputs!$D$8)*(Inputs!$E$8-Inputs!$D$8)),Inputs!$F$8-SQRT((1-B1094)*(Inputs!$F$8-Inputs!$D$8)*(Inputs!$F$8-Inputs!$E$8))),0)</f>
        <v>28</v>
      </c>
      <c r="D1094" s="81" t="n">
        <f aca="true">RAND()</f>
        <v>0.875256367021729</v>
      </c>
      <c r="E1094" s="83" t="n">
        <f aca="false">IF(D1094&lt;(Inputs!$E$10-Inputs!$D$10)/(Inputs!$F$10-Inputs!$D$10),Inputs!$D$10+SQRT(D1094*(Inputs!$F$10-Inputs!$D$10)*(Inputs!$E$10-Inputs!$D$10)),Inputs!$F$10-SQRT((1-D1094)*(Inputs!$F$10-Inputs!$D$10)*(Inputs!$F$10-Inputs!$E$10)))</f>
        <v>0.13882558550057</v>
      </c>
      <c r="F1094" s="81" t="n">
        <f aca="true">RAND()</f>
        <v>0.0724591470802147</v>
      </c>
      <c r="G1094" s="83" t="n">
        <f aca="false">IF(F1094&lt;(Inputs!$E$15-Inputs!$D$15)/(Inputs!$F$15-Inputs!$D$15),Inputs!$D$15+SQRT(F1094*(Inputs!$F$15-Inputs!$D$15)*(Inputs!$E$15-Inputs!$D$15)),Inputs!$F$15-SQRT((1-F1094)*(Inputs!$F$15-Inputs!$D$15)*(Inputs!$F$15-Inputs!$E$15)))</f>
        <v>0.638068135515209</v>
      </c>
      <c r="H1094" s="81" t="n">
        <f aca="true">RAND()</f>
        <v>0.374183629660136</v>
      </c>
      <c r="I1094" s="82" t="n">
        <f aca="false">ROUND(IF(H1094&lt;(Inputs!$E$17-Inputs!$D$17)/(Inputs!$F$17-Inputs!$D$17),Inputs!$D$17+SQRT(H1094*(Inputs!$F$17-Inputs!$D$17)*(Inputs!$E$17-Inputs!$D$17)),Inputs!$F$17-SQRT((1-H1094)*(Inputs!$F$17-Inputs!$D$17)*(Inputs!$F$17-Inputs!$E$17))),0)</f>
        <v>105</v>
      </c>
      <c r="J1094" s="81" t="n">
        <f aca="true">RAND()</f>
        <v>0.558565740315725</v>
      </c>
      <c r="K1094" s="83" t="n">
        <f aca="false">IF(J1094&lt;(Inputs!$E$18-Inputs!$D$18)/(Inputs!$F$18-Inputs!$D$18),Inputs!$D$18+SQRT(J1094*(Inputs!$F$18-Inputs!$D$18)*(Inputs!$E$18-Inputs!$D$18)),Inputs!$F$18-SQRT((1-J1094)*(Inputs!$F$18-Inputs!$D$18)*(Inputs!$F$18-Inputs!$E$18)))</f>
        <v>1.05346629367364</v>
      </c>
      <c r="L1094" s="81" t="n">
        <f aca="true">RAND()</f>
        <v>0.593477955145513</v>
      </c>
      <c r="M1094" s="83" t="n">
        <f aca="false">IF(L1094&lt;(Inputs!$E$24-Inputs!$D$24)/(Inputs!$F$24-Inputs!$D$24),Inputs!$D$24+SQRT(L1094*(Inputs!$F$24-Inputs!$D$24)*(Inputs!$E$24-Inputs!$D$24)),Inputs!$F$24-SQRT((1-L1094)*(Inputs!$F$24-Inputs!$D$24)*(Inputs!$F$24-Inputs!$E$24)))</f>
        <v>0.887645568680262</v>
      </c>
      <c r="N1094" s="81" t="n">
        <f aca="true">RAND()</f>
        <v>0.684513128431687</v>
      </c>
      <c r="O1094" s="83" t="n">
        <f aca="false">IF(N1094&lt;(Inputs!$E$26-Inputs!$D$26)/(Inputs!$F$26-Inputs!$D$26),Inputs!$D$26+SQRT(N1094*(Inputs!$F$26-Inputs!$D$26)*(Inputs!$E$26-Inputs!$D$26)),Inputs!$F$26-SQRT((1-N1094)*(Inputs!$F$26-Inputs!$D$26)*(Inputs!$F$26-Inputs!$E$26)))</f>
        <v>0.638862939620009</v>
      </c>
      <c r="P1094" s="81" t="n">
        <f aca="true">RAND()</f>
        <v>0.0108227818134827</v>
      </c>
      <c r="Q1094" s="82" t="n">
        <f aca="false">IF(P1094&lt;(Inputs!$E$27-Inputs!$D$27)/(Inputs!$F$27-Inputs!$D$27),Inputs!$D$27+SQRT(P1094*(Inputs!$F$27-Inputs!$D$27)*(Inputs!$E$27-Inputs!$D$27)),Inputs!$F$27-SQRT((1-P1094)*(Inputs!$F$27-Inputs!$D$27)*(Inputs!$F$27-Inputs!$E$27)))</f>
        <v>55.2016299881582</v>
      </c>
      <c r="R1094" s="81" t="n">
        <f aca="true">RAND()</f>
        <v>0.0191917332517858</v>
      </c>
      <c r="S1094" s="82" t="n">
        <f aca="false">IF(R1094&lt;(Inputs!$E$29-Inputs!$D$29)/(Inputs!$F$29-Inputs!$D$29),Inputs!$D$29+SQRT(R1094*(Inputs!$F$29-Inputs!$D$29)*(Inputs!$E$29-Inputs!$D$29)),Inputs!$F$29-SQRT((1-R1094)*(Inputs!$F$29-Inputs!$D$29)*(Inputs!$F$29-Inputs!$E$29)))</f>
        <v>2.86514599740139</v>
      </c>
      <c r="T1094" s="68" t="n">
        <f aca="false">Inputs!$E$9*(1+E1094)+Inputs!$E$5*C1094*(Inputs!$E$11*Inputs!$E$14*(G1094*I1094/Inputs!$E$16+(1-G1094))*K1094+Inputs!$E$23*M1094)*(1+O1094)+Inputs!$E$5*(Q1094+S1094)</f>
        <v>6943.5999257708</v>
      </c>
    </row>
    <row r="1095" customFormat="false" ht="15" hidden="false" customHeight="false" outlineLevel="0" collapsed="false">
      <c r="A1095" s="1" t="n">
        <v>1091</v>
      </c>
      <c r="B1095" s="81" t="n">
        <f aca="true">RAND()</f>
        <v>0.354576488398175</v>
      </c>
      <c r="C1095" s="82" t="n">
        <f aca="false">ROUND(IF(B1095&lt;(Inputs!$E$8-Inputs!$D$8)/(Inputs!$F$8-Inputs!$D$8),Inputs!$D$8+SQRT(B1095*(Inputs!$F$8-Inputs!$D$8)*(Inputs!$E$8-Inputs!$D$8)),Inputs!$F$8-SQRT((1-B1095)*(Inputs!$F$8-Inputs!$D$8)*(Inputs!$F$8-Inputs!$E$8))),0)</f>
        <v>24</v>
      </c>
      <c r="D1095" s="81" t="n">
        <f aca="true">RAND()</f>
        <v>0.773220841532904</v>
      </c>
      <c r="E1095" s="83" t="n">
        <f aca="false">IF(D1095&lt;(Inputs!$E$10-Inputs!$D$10)/(Inputs!$F$10-Inputs!$D$10),Inputs!$D$10+SQRT(D1095*(Inputs!$F$10-Inputs!$D$10)*(Inputs!$E$10-Inputs!$D$10)),Inputs!$F$10-SQRT((1-D1095)*(Inputs!$F$10-Inputs!$D$10)*(Inputs!$F$10-Inputs!$E$10)))</f>
        <v>0.117517427573985</v>
      </c>
      <c r="F1095" s="81" t="n">
        <f aca="true">RAND()</f>
        <v>0.417084882417419</v>
      </c>
      <c r="G1095" s="83" t="n">
        <f aca="false">IF(F1095&lt;(Inputs!$E$15-Inputs!$D$15)/(Inputs!$F$15-Inputs!$D$15),Inputs!$D$15+SQRT(F1095*(Inputs!$F$15-Inputs!$D$15)*(Inputs!$E$15-Inputs!$D$15)),Inputs!$F$15-SQRT((1-F1095)*(Inputs!$F$15-Inputs!$D$15)*(Inputs!$F$15-Inputs!$E$15)))</f>
        <v>0.69133289466752</v>
      </c>
      <c r="H1095" s="81" t="n">
        <f aca="true">RAND()</f>
        <v>0.761904751792461</v>
      </c>
      <c r="I1095" s="82" t="n">
        <f aca="false">ROUND(IF(H1095&lt;(Inputs!$E$17-Inputs!$D$17)/(Inputs!$F$17-Inputs!$D$17),Inputs!$D$17+SQRT(H1095*(Inputs!$F$17-Inputs!$D$17)*(Inputs!$E$17-Inputs!$D$17)),Inputs!$F$17-SQRT((1-H1095)*(Inputs!$F$17-Inputs!$D$17)*(Inputs!$F$17-Inputs!$E$17))),0)</f>
        <v>109</v>
      </c>
      <c r="J1095" s="81" t="n">
        <f aca="true">RAND()</f>
        <v>0.678485856197249</v>
      </c>
      <c r="K1095" s="83" t="n">
        <f aca="false">IF(J1095&lt;(Inputs!$E$18-Inputs!$D$18)/(Inputs!$F$18-Inputs!$D$18),Inputs!$D$18+SQRT(J1095*(Inputs!$F$18-Inputs!$D$18)*(Inputs!$E$18-Inputs!$D$18)),Inputs!$F$18-SQRT((1-J1095)*(Inputs!$F$18-Inputs!$D$18)*(Inputs!$F$18-Inputs!$E$18)))</f>
        <v>1.08227257951444</v>
      </c>
      <c r="L1095" s="81" t="n">
        <f aca="true">RAND()</f>
        <v>0.122820569682517</v>
      </c>
      <c r="M1095" s="83" t="n">
        <f aca="false">IF(L1095&lt;(Inputs!$E$24-Inputs!$D$24)/(Inputs!$F$24-Inputs!$D$24),Inputs!$D$24+SQRT(L1095*(Inputs!$F$24-Inputs!$D$24)*(Inputs!$E$24-Inputs!$D$24)),Inputs!$F$24-SQRT((1-L1095)*(Inputs!$F$24-Inputs!$D$24)*(Inputs!$F$24-Inputs!$E$24)))</f>
        <v>0.721402093729482</v>
      </c>
      <c r="N1095" s="81" t="n">
        <f aca="true">RAND()</f>
        <v>0.270332010089286</v>
      </c>
      <c r="O1095" s="83" t="n">
        <f aca="false">IF(N1095&lt;(Inputs!$E$26-Inputs!$D$26)/(Inputs!$F$26-Inputs!$D$26),Inputs!$D$26+SQRT(N1095*(Inputs!$F$26-Inputs!$D$26)*(Inputs!$E$26-Inputs!$D$26)),Inputs!$F$26-SQRT((1-N1095)*(Inputs!$F$26-Inputs!$D$26)*(Inputs!$F$26-Inputs!$E$26)))</f>
        <v>0.51209254225186</v>
      </c>
      <c r="P1095" s="81" t="n">
        <f aca="true">RAND()</f>
        <v>0.792522692197605</v>
      </c>
      <c r="Q1095" s="82" t="n">
        <f aca="false">IF(P1095&lt;(Inputs!$E$27-Inputs!$D$27)/(Inputs!$F$27-Inputs!$D$27),Inputs!$D$27+SQRT(P1095*(Inputs!$F$27-Inputs!$D$27)*(Inputs!$E$27-Inputs!$D$27)),Inputs!$F$27-SQRT((1-P1095)*(Inputs!$F$27-Inputs!$D$27)*(Inputs!$F$27-Inputs!$E$27)))</f>
        <v>110.552822553217</v>
      </c>
      <c r="R1095" s="81" t="n">
        <f aca="true">RAND()</f>
        <v>0.16349483012435</v>
      </c>
      <c r="S1095" s="82" t="n">
        <f aca="false">IF(R1095&lt;(Inputs!$E$29-Inputs!$D$29)/(Inputs!$F$29-Inputs!$D$29),Inputs!$D$29+SQRT(R1095*(Inputs!$F$29-Inputs!$D$29)*(Inputs!$E$29-Inputs!$D$29)),Inputs!$F$29-SQRT((1-R1095)*(Inputs!$F$29-Inputs!$D$29)*(Inputs!$F$29-Inputs!$E$29)))</f>
        <v>4.52513333803379</v>
      </c>
      <c r="T1095" s="68" t="n">
        <f aca="false">Inputs!$E$9*(1+E1095)+Inputs!$E$5*C1095*(Inputs!$E$11*Inputs!$E$14*(G1095*I1095/Inputs!$E$16+(1-G1095))*K1095+Inputs!$E$23*M1095)*(1+O1095)+Inputs!$E$5*(Q1095+S1095)</f>
        <v>6132.96694972231</v>
      </c>
    </row>
    <row r="1096" customFormat="false" ht="15" hidden="false" customHeight="false" outlineLevel="0" collapsed="false">
      <c r="A1096" s="1" t="n">
        <v>1092</v>
      </c>
      <c r="B1096" s="81" t="n">
        <f aca="true">RAND()</f>
        <v>0.771169403973355</v>
      </c>
      <c r="C1096" s="82" t="n">
        <f aca="false">ROUND(IF(B1096&lt;(Inputs!$E$8-Inputs!$D$8)/(Inputs!$F$8-Inputs!$D$8),Inputs!$D$8+SQRT(B1096*(Inputs!$F$8-Inputs!$D$8)*(Inputs!$E$8-Inputs!$D$8)),Inputs!$F$8-SQRT((1-B1096)*(Inputs!$F$8-Inputs!$D$8)*(Inputs!$F$8-Inputs!$E$8))),0)</f>
        <v>27</v>
      </c>
      <c r="D1096" s="81" t="n">
        <f aca="true">RAND()</f>
        <v>0.820333758744111</v>
      </c>
      <c r="E1096" s="83" t="n">
        <f aca="false">IF(D1096&lt;(Inputs!$E$10-Inputs!$D$10)/(Inputs!$F$10-Inputs!$D$10),Inputs!$D$10+SQRT(D1096*(Inputs!$F$10-Inputs!$D$10)*(Inputs!$E$10-Inputs!$D$10)),Inputs!$F$10-SQRT((1-D1096)*(Inputs!$F$10-Inputs!$D$10)*(Inputs!$F$10-Inputs!$E$10)))</f>
        <v>0.126583467545268</v>
      </c>
      <c r="F1096" s="81" t="n">
        <f aca="true">RAND()</f>
        <v>0.818640740407389</v>
      </c>
      <c r="G1096" s="83" t="n">
        <f aca="false">IF(F1096&lt;(Inputs!$E$15-Inputs!$D$15)/(Inputs!$F$15-Inputs!$D$15),Inputs!$D$15+SQRT(F1096*(Inputs!$F$15-Inputs!$D$15)*(Inputs!$E$15-Inputs!$D$15)),Inputs!$F$15-SQRT((1-F1096)*(Inputs!$F$15-Inputs!$D$15)*(Inputs!$F$15-Inputs!$E$15)))</f>
        <v>0.739773882809431</v>
      </c>
      <c r="H1096" s="81" t="n">
        <f aca="true">RAND()</f>
        <v>0.644941976624375</v>
      </c>
      <c r="I1096" s="82" t="n">
        <f aca="false">ROUND(IF(H1096&lt;(Inputs!$E$17-Inputs!$D$17)/(Inputs!$F$17-Inputs!$D$17),Inputs!$D$17+SQRT(H1096*(Inputs!$F$17-Inputs!$D$17)*(Inputs!$E$17-Inputs!$D$17)),Inputs!$F$17-SQRT((1-H1096)*(Inputs!$F$17-Inputs!$D$17)*(Inputs!$F$17-Inputs!$E$17))),0)</f>
        <v>108</v>
      </c>
      <c r="J1096" s="81" t="n">
        <f aca="true">RAND()</f>
        <v>0.0253201685124893</v>
      </c>
      <c r="K1096" s="83" t="n">
        <f aca="false">IF(J1096&lt;(Inputs!$E$18-Inputs!$D$18)/(Inputs!$F$18-Inputs!$D$18),Inputs!$D$18+SQRT(J1096*(Inputs!$F$18-Inputs!$D$18)*(Inputs!$E$18-Inputs!$D$18)),Inputs!$F$18-SQRT((1-J1096)*(Inputs!$F$18-Inputs!$D$18)*(Inputs!$F$18-Inputs!$E$18)))</f>
        <v>0.929769210569599</v>
      </c>
      <c r="L1096" s="81" t="n">
        <f aca="true">RAND()</f>
        <v>0.814056439332257</v>
      </c>
      <c r="M1096" s="83" t="n">
        <f aca="false">IF(L1096&lt;(Inputs!$E$24-Inputs!$D$24)/(Inputs!$F$24-Inputs!$D$24),Inputs!$D$24+SQRT(L1096*(Inputs!$F$24-Inputs!$D$24)*(Inputs!$E$24-Inputs!$D$24)),Inputs!$F$24-SQRT((1-L1096)*(Inputs!$F$24-Inputs!$D$24)*(Inputs!$F$24-Inputs!$E$24)))</f>
        <v>0.988750255478833</v>
      </c>
      <c r="N1096" s="81" t="n">
        <f aca="true">RAND()</f>
        <v>0.87985141181987</v>
      </c>
      <c r="O1096" s="83" t="n">
        <f aca="false">IF(N1096&lt;(Inputs!$E$26-Inputs!$D$26)/(Inputs!$F$26-Inputs!$D$26),Inputs!$D$26+SQRT(N1096*(Inputs!$F$26-Inputs!$D$26)*(Inputs!$E$26-Inputs!$D$26)),Inputs!$F$26-SQRT((1-N1096)*(Inputs!$F$26-Inputs!$D$26)*(Inputs!$F$26-Inputs!$E$26)))</f>
        <v>0.708216937013099</v>
      </c>
      <c r="P1096" s="81" t="n">
        <f aca="true">RAND()</f>
        <v>0.110779973283414</v>
      </c>
      <c r="Q1096" s="82" t="n">
        <f aca="false">IF(P1096&lt;(Inputs!$E$27-Inputs!$D$27)/(Inputs!$F$27-Inputs!$D$27),Inputs!$D$27+SQRT(P1096*(Inputs!$F$27-Inputs!$D$27)*(Inputs!$E$27-Inputs!$D$27)),Inputs!$F$27-SQRT((1-P1096)*(Inputs!$F$27-Inputs!$D$27)*(Inputs!$F$27-Inputs!$E$27)))</f>
        <v>66.641812798146</v>
      </c>
      <c r="R1096" s="81" t="n">
        <f aca="true">RAND()</f>
        <v>0.0238852450790735</v>
      </c>
      <c r="S1096" s="82" t="n">
        <f aca="false">IF(R1096&lt;(Inputs!$E$29-Inputs!$D$29)/(Inputs!$F$29-Inputs!$D$29),Inputs!$D$29+SQRT(R1096*(Inputs!$F$29-Inputs!$D$29)*(Inputs!$E$29-Inputs!$D$29)),Inputs!$F$29-SQRT((1-R1096)*(Inputs!$F$29-Inputs!$D$29)*(Inputs!$F$29-Inputs!$E$29)))</f>
        <v>2.96515519896225</v>
      </c>
      <c r="T1096" s="68" t="n">
        <f aca="false">Inputs!$E$9*(1+E1096)+Inputs!$E$5*C1096*(Inputs!$E$11*Inputs!$E$14*(G1096*I1096/Inputs!$E$16+(1-G1096))*K1096+Inputs!$E$23*M1096)*(1+O1096)+Inputs!$E$5*(Q1096+S1096)</f>
        <v>6737.97497931197</v>
      </c>
    </row>
    <row r="1097" customFormat="false" ht="15" hidden="false" customHeight="false" outlineLevel="0" collapsed="false">
      <c r="A1097" s="1" t="n">
        <v>1093</v>
      </c>
      <c r="B1097" s="81" t="n">
        <f aca="true">RAND()</f>
        <v>0.328434864599818</v>
      </c>
      <c r="C1097" s="82" t="n">
        <f aca="false">ROUND(IF(B1097&lt;(Inputs!$E$8-Inputs!$D$8)/(Inputs!$F$8-Inputs!$D$8),Inputs!$D$8+SQRT(B1097*(Inputs!$F$8-Inputs!$D$8)*(Inputs!$E$8-Inputs!$D$8)),Inputs!$F$8-SQRT((1-B1097)*(Inputs!$F$8-Inputs!$D$8)*(Inputs!$F$8-Inputs!$E$8))),0)</f>
        <v>24</v>
      </c>
      <c r="D1097" s="81" t="n">
        <f aca="true">RAND()</f>
        <v>0.86059214505962</v>
      </c>
      <c r="E1097" s="83" t="n">
        <f aca="false">IF(D1097&lt;(Inputs!$E$10-Inputs!$D$10)/(Inputs!$F$10-Inputs!$D$10),Inputs!$D$10+SQRT(D1097*(Inputs!$F$10-Inputs!$D$10)*(Inputs!$E$10-Inputs!$D$10)),Inputs!$F$10-SQRT((1-D1097)*(Inputs!$F$10-Inputs!$D$10)*(Inputs!$F$10-Inputs!$E$10)))</f>
        <v>0.135329793194923</v>
      </c>
      <c r="F1097" s="81" t="n">
        <f aca="true">RAND()</f>
        <v>0.880562664607763</v>
      </c>
      <c r="G1097" s="83" t="n">
        <f aca="false">IF(F1097&lt;(Inputs!$E$15-Inputs!$D$15)/(Inputs!$F$15-Inputs!$D$15),Inputs!$D$15+SQRT(F1097*(Inputs!$F$15-Inputs!$D$15)*(Inputs!$E$15-Inputs!$D$15)),Inputs!$F$15-SQRT((1-F1097)*(Inputs!$F$15-Inputs!$D$15)*(Inputs!$F$15-Inputs!$E$15)))</f>
        <v>0.751125193526268</v>
      </c>
      <c r="H1097" s="81" t="n">
        <f aca="true">RAND()</f>
        <v>0.506428840255342</v>
      </c>
      <c r="I1097" s="82" t="n">
        <f aca="false">ROUND(IF(H1097&lt;(Inputs!$E$17-Inputs!$D$17)/(Inputs!$F$17-Inputs!$D$17),Inputs!$D$17+SQRT(H1097*(Inputs!$F$17-Inputs!$D$17)*(Inputs!$E$17-Inputs!$D$17)),Inputs!$F$17-SQRT((1-H1097)*(Inputs!$F$17-Inputs!$D$17)*(Inputs!$F$17-Inputs!$E$17))),0)</f>
        <v>106</v>
      </c>
      <c r="J1097" s="81" t="n">
        <f aca="true">RAND()</f>
        <v>0.53612702505812</v>
      </c>
      <c r="K1097" s="83" t="n">
        <f aca="false">IF(J1097&lt;(Inputs!$E$18-Inputs!$D$18)/(Inputs!$F$18-Inputs!$D$18),Inputs!$D$18+SQRT(J1097*(Inputs!$F$18-Inputs!$D$18)*(Inputs!$E$18-Inputs!$D$18)),Inputs!$F$18-SQRT((1-J1097)*(Inputs!$F$18-Inputs!$D$18)*(Inputs!$F$18-Inputs!$E$18)))</f>
        <v>1.04853316573834</v>
      </c>
      <c r="L1097" s="81" t="n">
        <f aca="true">RAND()</f>
        <v>0.332095503216719</v>
      </c>
      <c r="M1097" s="83" t="n">
        <f aca="false">IF(L1097&lt;(Inputs!$E$24-Inputs!$D$24)/(Inputs!$F$24-Inputs!$D$24),Inputs!$D$24+SQRT(L1097*(Inputs!$F$24-Inputs!$D$24)*(Inputs!$E$24-Inputs!$D$24)),Inputs!$F$24-SQRT((1-L1097)*(Inputs!$F$24-Inputs!$D$24)*(Inputs!$F$24-Inputs!$E$24)))</f>
        <v>0.799628305573148</v>
      </c>
      <c r="N1097" s="81" t="n">
        <f aca="true">RAND()</f>
        <v>0.73799421187901</v>
      </c>
      <c r="O1097" s="83" t="n">
        <f aca="false">IF(N1097&lt;(Inputs!$E$26-Inputs!$D$26)/(Inputs!$F$26-Inputs!$D$26),Inputs!$D$26+SQRT(N1097*(Inputs!$F$26-Inputs!$D$26)*(Inputs!$E$26-Inputs!$D$26)),Inputs!$F$26-SQRT((1-N1097)*(Inputs!$F$26-Inputs!$D$26)*(Inputs!$F$26-Inputs!$E$26)))</f>
        <v>0.654928494389301</v>
      </c>
      <c r="P1097" s="81" t="n">
        <f aca="true">RAND()</f>
        <v>0.0404733326986175</v>
      </c>
      <c r="Q1097" s="82" t="n">
        <f aca="false">IF(P1097&lt;(Inputs!$E$27-Inputs!$D$27)/(Inputs!$F$27-Inputs!$D$27),Inputs!$D$27+SQRT(P1097*(Inputs!$F$27-Inputs!$D$27)*(Inputs!$E$27-Inputs!$D$27)),Inputs!$F$27-SQRT((1-P1097)*(Inputs!$F$27-Inputs!$D$27)*(Inputs!$F$27-Inputs!$E$27)))</f>
        <v>60.058992581096</v>
      </c>
      <c r="R1097" s="81" t="n">
        <f aca="true">RAND()</f>
        <v>0.969798883036978</v>
      </c>
      <c r="S1097" s="82" t="n">
        <f aca="false">IF(R1097&lt;(Inputs!$E$29-Inputs!$D$29)/(Inputs!$F$29-Inputs!$D$29),Inputs!$D$29+SQRT(R1097*(Inputs!$F$29-Inputs!$D$29)*(Inputs!$E$29-Inputs!$D$29)),Inputs!$F$29-SQRT((1-R1097)*(Inputs!$F$29-Inputs!$D$29)*(Inputs!$F$29-Inputs!$E$29)))</f>
        <v>13.018549721746</v>
      </c>
      <c r="T1097" s="68" t="n">
        <f aca="false">Inputs!$E$9*(1+E1097)+Inputs!$E$5*C1097*(Inputs!$E$11*Inputs!$E$14*(G1097*I1097/Inputs!$E$16+(1-G1097))*K1097+Inputs!$E$23*M1097)*(1+O1097)+Inputs!$E$5*(Q1097+S1097)</f>
        <v>6173.9259635545</v>
      </c>
    </row>
    <row r="1098" customFormat="false" ht="15" hidden="false" customHeight="false" outlineLevel="0" collapsed="false">
      <c r="A1098" s="1" t="n">
        <v>1094</v>
      </c>
      <c r="B1098" s="81" t="n">
        <f aca="true">RAND()</f>
        <v>0.799659780895368</v>
      </c>
      <c r="C1098" s="82" t="n">
        <f aca="false">ROUND(IF(B1098&lt;(Inputs!$E$8-Inputs!$D$8)/(Inputs!$F$8-Inputs!$D$8),Inputs!$D$8+SQRT(B1098*(Inputs!$F$8-Inputs!$D$8)*(Inputs!$E$8-Inputs!$D$8)),Inputs!$F$8-SQRT((1-B1098)*(Inputs!$F$8-Inputs!$D$8)*(Inputs!$F$8-Inputs!$E$8))),0)</f>
        <v>27</v>
      </c>
      <c r="D1098" s="81" t="n">
        <f aca="true">RAND()</f>
        <v>0.81919970492527</v>
      </c>
      <c r="E1098" s="83" t="n">
        <f aca="false">IF(D1098&lt;(Inputs!$E$10-Inputs!$D$10)/(Inputs!$F$10-Inputs!$D$10),Inputs!$D$10+SQRT(D1098*(Inputs!$F$10-Inputs!$D$10)*(Inputs!$E$10-Inputs!$D$10)),Inputs!$F$10-SQRT((1-D1098)*(Inputs!$F$10-Inputs!$D$10)*(Inputs!$F$10-Inputs!$E$10)))</f>
        <v>0.126352129343464</v>
      </c>
      <c r="F1098" s="81" t="n">
        <f aca="true">RAND()</f>
        <v>0.0636720366484031</v>
      </c>
      <c r="G1098" s="83" t="n">
        <f aca="false">IF(F1098&lt;(Inputs!$E$15-Inputs!$D$15)/(Inputs!$F$15-Inputs!$D$15),Inputs!$D$15+SQRT(F1098*(Inputs!$F$15-Inputs!$D$15)*(Inputs!$E$15-Inputs!$D$15)),Inputs!$F$15-SQRT((1-F1098)*(Inputs!$F$15-Inputs!$D$15)*(Inputs!$F$15-Inputs!$E$15)))</f>
        <v>0.635685301357394</v>
      </c>
      <c r="H1098" s="81" t="n">
        <f aca="true">RAND()</f>
        <v>0.845144075222827</v>
      </c>
      <c r="I1098" s="82" t="n">
        <f aca="false">ROUND(IF(H1098&lt;(Inputs!$E$17-Inputs!$D$17)/(Inputs!$F$17-Inputs!$D$17),Inputs!$D$17+SQRT(H1098*(Inputs!$F$17-Inputs!$D$17)*(Inputs!$E$17-Inputs!$D$17)),Inputs!$F$17-SQRT((1-H1098)*(Inputs!$F$17-Inputs!$D$17)*(Inputs!$F$17-Inputs!$E$17))),0)</f>
        <v>110</v>
      </c>
      <c r="J1098" s="81" t="n">
        <f aca="true">RAND()</f>
        <v>0.134908542802155</v>
      </c>
      <c r="K1098" s="83" t="n">
        <f aca="false">IF(J1098&lt;(Inputs!$E$18-Inputs!$D$18)/(Inputs!$F$18-Inputs!$D$18),Inputs!$D$18+SQRT(J1098*(Inputs!$F$18-Inputs!$D$18)*(Inputs!$E$18-Inputs!$D$18)),Inputs!$F$18-SQRT((1-J1098)*(Inputs!$F$18-Inputs!$D$18)*(Inputs!$F$18-Inputs!$E$18)))</f>
        <v>0.968715347616638</v>
      </c>
      <c r="L1098" s="81" t="n">
        <f aca="true">RAND()</f>
        <v>0.570707082752568</v>
      </c>
      <c r="M1098" s="83" t="n">
        <f aca="false">IF(L1098&lt;(Inputs!$E$24-Inputs!$D$24)/(Inputs!$F$24-Inputs!$D$24),Inputs!$D$24+SQRT(L1098*(Inputs!$F$24-Inputs!$D$24)*(Inputs!$E$24-Inputs!$D$24)),Inputs!$F$24-SQRT((1-L1098)*(Inputs!$F$24-Inputs!$D$24)*(Inputs!$F$24-Inputs!$E$24)))</f>
        <v>0.879016666882245</v>
      </c>
      <c r="N1098" s="81" t="n">
        <f aca="true">RAND()</f>
        <v>0.695803825823416</v>
      </c>
      <c r="O1098" s="83" t="n">
        <f aca="false">IF(N1098&lt;(Inputs!$E$26-Inputs!$D$26)/(Inputs!$F$26-Inputs!$D$26),Inputs!$D$26+SQRT(N1098*(Inputs!$F$26-Inputs!$D$26)*(Inputs!$E$26-Inputs!$D$26)),Inputs!$F$26-SQRT((1-N1098)*(Inputs!$F$26-Inputs!$D$26)*(Inputs!$F$26-Inputs!$E$26)))</f>
        <v>0.642133752177754</v>
      </c>
      <c r="P1098" s="81" t="n">
        <f aca="true">RAND()</f>
        <v>0.565021952859719</v>
      </c>
      <c r="Q1098" s="82" t="n">
        <f aca="false">IF(P1098&lt;(Inputs!$E$27-Inputs!$D$27)/(Inputs!$F$27-Inputs!$D$27),Inputs!$D$27+SQRT(P1098*(Inputs!$F$27-Inputs!$D$27)*(Inputs!$E$27-Inputs!$D$27)),Inputs!$F$27-SQRT((1-P1098)*(Inputs!$F$27-Inputs!$D$27)*(Inputs!$F$27-Inputs!$E$27)))</f>
        <v>92.8831430000555</v>
      </c>
      <c r="R1098" s="81" t="n">
        <f aca="true">RAND()</f>
        <v>0.171633650202426</v>
      </c>
      <c r="S1098" s="82" t="n">
        <f aca="false">IF(R1098&lt;(Inputs!$E$29-Inputs!$D$29)/(Inputs!$F$29-Inputs!$D$29),Inputs!$D$29+SQRT(R1098*(Inputs!$F$29-Inputs!$D$29)*(Inputs!$E$29-Inputs!$D$29)),Inputs!$F$29-SQRT((1-R1098)*(Inputs!$F$29-Inputs!$D$29)*(Inputs!$F$29-Inputs!$E$29)))</f>
        <v>4.58722097198802</v>
      </c>
      <c r="T1098" s="68" t="n">
        <f aca="false">Inputs!$E$9*(1+E1098)+Inputs!$E$5*C1098*(Inputs!$E$11*Inputs!$E$14*(G1098*I1098/Inputs!$E$16+(1-G1098))*K1098+Inputs!$E$23*M1098)*(1+O1098)+Inputs!$E$5*(Q1098+S1098)</f>
        <v>6810.08058725842</v>
      </c>
    </row>
    <row r="1099" customFormat="false" ht="15" hidden="false" customHeight="false" outlineLevel="0" collapsed="false">
      <c r="A1099" s="1" t="n">
        <v>1095</v>
      </c>
      <c r="B1099" s="81" t="n">
        <f aca="true">RAND()</f>
        <v>0.294404704176779</v>
      </c>
      <c r="C1099" s="82" t="n">
        <f aca="false">ROUND(IF(B1099&lt;(Inputs!$E$8-Inputs!$D$8)/(Inputs!$F$8-Inputs!$D$8),Inputs!$D$8+SQRT(B1099*(Inputs!$F$8-Inputs!$D$8)*(Inputs!$E$8-Inputs!$D$8)),Inputs!$F$8-SQRT((1-B1099)*(Inputs!$F$8-Inputs!$D$8)*(Inputs!$F$8-Inputs!$E$8))),0)</f>
        <v>24</v>
      </c>
      <c r="D1099" s="81" t="n">
        <f aca="true">RAND()</f>
        <v>0.944995945236112</v>
      </c>
      <c r="E1099" s="83" t="n">
        <f aca="false">IF(D1099&lt;(Inputs!$E$10-Inputs!$D$10)/(Inputs!$F$10-Inputs!$D$10),Inputs!$D$10+SQRT(D1099*(Inputs!$F$10-Inputs!$D$10)*(Inputs!$E$10-Inputs!$D$10)),Inputs!$F$10-SQRT((1-D1099)*(Inputs!$F$10-Inputs!$D$10)*(Inputs!$F$10-Inputs!$E$10)))</f>
        <v>0.159378310683618</v>
      </c>
      <c r="F1099" s="81" t="n">
        <f aca="true">RAND()</f>
        <v>0.671096141339816</v>
      </c>
      <c r="G1099" s="83" t="n">
        <f aca="false">IF(F1099&lt;(Inputs!$E$15-Inputs!$D$15)/(Inputs!$F$15-Inputs!$D$15),Inputs!$D$15+SQRT(F1099*(Inputs!$F$15-Inputs!$D$15)*(Inputs!$E$15-Inputs!$D$15)),Inputs!$F$15-SQRT((1-F1099)*(Inputs!$F$15-Inputs!$D$15)*(Inputs!$F$15-Inputs!$E$15)))</f>
        <v>0.718894653855595</v>
      </c>
      <c r="H1099" s="81" t="n">
        <f aca="true">RAND()</f>
        <v>0.160504051815336</v>
      </c>
      <c r="I1099" s="82" t="n">
        <f aca="false">ROUND(IF(H1099&lt;(Inputs!$E$17-Inputs!$D$17)/(Inputs!$F$17-Inputs!$D$17),Inputs!$D$17+SQRT(H1099*(Inputs!$F$17-Inputs!$D$17)*(Inputs!$E$17-Inputs!$D$17)),Inputs!$F$17-SQRT((1-H1099)*(Inputs!$F$17-Inputs!$D$17)*(Inputs!$F$17-Inputs!$E$17))),0)</f>
        <v>103</v>
      </c>
      <c r="J1099" s="81" t="n">
        <f aca="true">RAND()</f>
        <v>0.398873772050707</v>
      </c>
      <c r="K1099" s="83" t="n">
        <f aca="false">IF(J1099&lt;(Inputs!$E$18-Inputs!$D$18)/(Inputs!$F$18-Inputs!$D$18),Inputs!$D$18+SQRT(J1099*(Inputs!$F$18-Inputs!$D$18)*(Inputs!$E$18-Inputs!$D$18)),Inputs!$F$18-SQRT((1-J1099)*(Inputs!$F$18-Inputs!$D$18)*(Inputs!$F$18-Inputs!$E$18)))</f>
        <v>1.02065627336776</v>
      </c>
      <c r="L1099" s="81" t="n">
        <f aca="true">RAND()</f>
        <v>0.652653110625482</v>
      </c>
      <c r="M1099" s="83" t="n">
        <f aca="false">IF(L1099&lt;(Inputs!$E$24-Inputs!$D$24)/(Inputs!$F$24-Inputs!$D$24),Inputs!$D$24+SQRT(L1099*(Inputs!$F$24-Inputs!$D$24)*(Inputs!$E$24-Inputs!$D$24)),Inputs!$F$24-SQRT((1-L1099)*(Inputs!$F$24-Inputs!$D$24)*(Inputs!$F$24-Inputs!$E$24)))</f>
        <v>0.911273046893983</v>
      </c>
      <c r="N1099" s="81" t="n">
        <f aca="true">RAND()</f>
        <v>0.400674861869514</v>
      </c>
      <c r="O1099" s="83" t="n">
        <f aca="false">IF(N1099&lt;(Inputs!$E$26-Inputs!$D$26)/(Inputs!$F$26-Inputs!$D$26),Inputs!$D$26+SQRT(N1099*(Inputs!$F$26-Inputs!$D$26)*(Inputs!$E$26-Inputs!$D$26)),Inputs!$F$26-SQRT((1-N1099)*(Inputs!$F$26-Inputs!$D$26)*(Inputs!$F$26-Inputs!$E$26)))</f>
        <v>0.558209792639797</v>
      </c>
      <c r="P1099" s="81" t="n">
        <f aca="true">RAND()</f>
        <v>0.0440953922428479</v>
      </c>
      <c r="Q1099" s="82" t="n">
        <f aca="false">IF(P1099&lt;(Inputs!$E$27-Inputs!$D$27)/(Inputs!$F$27-Inputs!$D$27),Inputs!$D$27+SQRT(P1099*(Inputs!$F$27-Inputs!$D$27)*(Inputs!$E$27-Inputs!$D$27)),Inputs!$F$27-SQRT((1-P1099)*(Inputs!$F$27-Inputs!$D$27)*(Inputs!$F$27-Inputs!$E$27)))</f>
        <v>60.4994514431526</v>
      </c>
      <c r="R1099" s="81" t="n">
        <f aca="true">RAND()</f>
        <v>0.607921590758987</v>
      </c>
      <c r="S1099" s="82" t="n">
        <f aca="false">IF(R1099&lt;(Inputs!$E$29-Inputs!$D$29)/(Inputs!$F$29-Inputs!$D$29),Inputs!$D$29+SQRT(R1099*(Inputs!$F$29-Inputs!$D$29)*(Inputs!$E$29-Inputs!$D$29)),Inputs!$F$29-SQRT((1-R1099)*(Inputs!$F$29-Inputs!$D$29)*(Inputs!$F$29-Inputs!$E$29)))</f>
        <v>7.86065876979314</v>
      </c>
      <c r="T1099" s="68" t="n">
        <f aca="false">Inputs!$E$9*(1+E1099)+Inputs!$E$5*C1099*(Inputs!$E$11*Inputs!$E$14*(G1099*I1099/Inputs!$E$16+(1-G1099))*K1099+Inputs!$E$23*M1099)*(1+O1099)+Inputs!$E$5*(Q1099+S1099)</f>
        <v>6110.25868792596</v>
      </c>
    </row>
    <row r="1100" customFormat="false" ht="15" hidden="false" customHeight="false" outlineLevel="0" collapsed="false">
      <c r="A1100" s="1" t="n">
        <v>1096</v>
      </c>
      <c r="B1100" s="81" t="n">
        <f aca="true">RAND()</f>
        <v>0.00160381543287907</v>
      </c>
      <c r="C1100" s="82" t="n">
        <f aca="false">ROUND(IF(B1100&lt;(Inputs!$E$8-Inputs!$D$8)/(Inputs!$F$8-Inputs!$D$8),Inputs!$D$8+SQRT(B1100*(Inputs!$F$8-Inputs!$D$8)*(Inputs!$E$8-Inputs!$D$8)),Inputs!$F$8-SQRT((1-B1100)*(Inputs!$F$8-Inputs!$D$8)*(Inputs!$F$8-Inputs!$E$8))),0)</f>
        <v>20</v>
      </c>
      <c r="D1100" s="81" t="n">
        <f aca="true">RAND()</f>
        <v>0.277129836619697</v>
      </c>
      <c r="E1100" s="83" t="n">
        <f aca="false">IF(D1100&lt;(Inputs!$E$10-Inputs!$D$10)/(Inputs!$F$10-Inputs!$D$10),Inputs!$D$10+SQRT(D1100*(Inputs!$F$10-Inputs!$D$10)*(Inputs!$E$10-Inputs!$D$10)),Inputs!$F$10-SQRT((1-D1100)*(Inputs!$F$10-Inputs!$D$10)*(Inputs!$F$10-Inputs!$E$10)))</f>
        <v>0.0527379719635469</v>
      </c>
      <c r="F1100" s="81" t="n">
        <f aca="true">RAND()</f>
        <v>0.703118914978004</v>
      </c>
      <c r="G1100" s="83" t="n">
        <f aca="false">IF(F1100&lt;(Inputs!$E$15-Inputs!$D$15)/(Inputs!$F$15-Inputs!$D$15),Inputs!$D$15+SQRT(F1100*(Inputs!$F$15-Inputs!$D$15)*(Inputs!$E$15-Inputs!$D$15)),Inputs!$F$15-SQRT((1-F1100)*(Inputs!$F$15-Inputs!$D$15)*(Inputs!$F$15-Inputs!$E$15)))</f>
        <v>0.722944035270202</v>
      </c>
      <c r="H1100" s="81" t="n">
        <f aca="true">RAND()</f>
        <v>0.308287900728227</v>
      </c>
      <c r="I1100" s="82" t="n">
        <f aca="false">ROUND(IF(H1100&lt;(Inputs!$E$17-Inputs!$D$17)/(Inputs!$F$17-Inputs!$D$17),Inputs!$D$17+SQRT(H1100*(Inputs!$F$17-Inputs!$D$17)*(Inputs!$E$17-Inputs!$D$17)),Inputs!$F$17-SQRT((1-H1100)*(Inputs!$F$17-Inputs!$D$17)*(Inputs!$F$17-Inputs!$E$17))),0)</f>
        <v>105</v>
      </c>
      <c r="J1100" s="81" t="n">
        <f aca="true">RAND()</f>
        <v>0.942714831421026</v>
      </c>
      <c r="K1100" s="83" t="n">
        <f aca="false">IF(J1100&lt;(Inputs!$E$18-Inputs!$D$18)/(Inputs!$F$18-Inputs!$D$18),Inputs!$D$18+SQRT(J1100*(Inputs!$F$18-Inputs!$D$18)*(Inputs!$E$18-Inputs!$D$18)),Inputs!$F$18-SQRT((1-J1100)*(Inputs!$F$18-Inputs!$D$18)*(Inputs!$F$18-Inputs!$E$18)))</f>
        <v>1.17920132592583</v>
      </c>
      <c r="L1100" s="81" t="n">
        <f aca="true">RAND()</f>
        <v>0.135663359060176</v>
      </c>
      <c r="M1100" s="83" t="n">
        <f aca="false">IF(L1100&lt;(Inputs!$E$24-Inputs!$D$24)/(Inputs!$F$24-Inputs!$D$24),Inputs!$D$24+SQRT(L1100*(Inputs!$F$24-Inputs!$D$24)*(Inputs!$E$24-Inputs!$D$24)),Inputs!$F$24-SQRT((1-L1100)*(Inputs!$F$24-Inputs!$D$24)*(Inputs!$F$24-Inputs!$E$24)))</f>
        <v>0.727591547867487</v>
      </c>
      <c r="N1100" s="81" t="n">
        <f aca="true">RAND()</f>
        <v>0.215218092356878</v>
      </c>
      <c r="O1100" s="83" t="n">
        <f aca="false">IF(N1100&lt;(Inputs!$E$26-Inputs!$D$26)/(Inputs!$F$26-Inputs!$D$26),Inputs!$D$26+SQRT(N1100*(Inputs!$F$26-Inputs!$D$26)*(Inputs!$E$26-Inputs!$D$26)),Inputs!$F$26-SQRT((1-N1100)*(Inputs!$F$26-Inputs!$D$26)*(Inputs!$F$26-Inputs!$E$26)))</f>
        <v>0.489241355332772</v>
      </c>
      <c r="P1100" s="81" t="n">
        <f aca="true">RAND()</f>
        <v>0.397128947738611</v>
      </c>
      <c r="Q1100" s="82" t="n">
        <f aca="false">IF(P1100&lt;(Inputs!$E$27-Inputs!$D$27)/(Inputs!$F$27-Inputs!$D$27),Inputs!$D$27+SQRT(P1100*(Inputs!$F$27-Inputs!$D$27)*(Inputs!$E$27-Inputs!$D$27)),Inputs!$F$27-SQRT((1-P1100)*(Inputs!$F$27-Inputs!$D$27)*(Inputs!$F$27-Inputs!$E$27)))</f>
        <v>82.7576555141002</v>
      </c>
      <c r="R1100" s="81" t="n">
        <f aca="true">RAND()</f>
        <v>0.724758346712497</v>
      </c>
      <c r="S1100" s="82" t="n">
        <f aca="false">IF(R1100&lt;(Inputs!$E$29-Inputs!$D$29)/(Inputs!$F$29-Inputs!$D$29),Inputs!$D$29+SQRT(R1100*(Inputs!$F$29-Inputs!$D$29)*(Inputs!$E$29-Inputs!$D$29)),Inputs!$F$29-SQRT((1-R1100)*(Inputs!$F$29-Inputs!$D$29)*(Inputs!$F$29-Inputs!$E$29)))</f>
        <v>9.01824315711718</v>
      </c>
      <c r="T1100" s="68" t="n">
        <f aca="false">Inputs!$E$9*(1+E1100)+Inputs!$E$5*C1100*(Inputs!$E$11*Inputs!$E$14*(G1100*I1100/Inputs!$E$16+(1-G1100))*K1100+Inputs!$E$23*M1100)*(1+O1100)+Inputs!$E$5*(Q1100+S1100)</f>
        <v>5406.76441472179</v>
      </c>
    </row>
    <row r="1101" customFormat="false" ht="15" hidden="false" customHeight="false" outlineLevel="0" collapsed="false">
      <c r="A1101" s="1" t="n">
        <v>1097</v>
      </c>
      <c r="B1101" s="81" t="n">
        <f aca="true">RAND()</f>
        <v>0.842369541904529</v>
      </c>
      <c r="C1101" s="82" t="n">
        <f aca="false">ROUND(IF(B1101&lt;(Inputs!$E$8-Inputs!$D$8)/(Inputs!$F$8-Inputs!$D$8),Inputs!$D$8+SQRT(B1101*(Inputs!$F$8-Inputs!$D$8)*(Inputs!$E$8-Inputs!$D$8)),Inputs!$F$8-SQRT((1-B1101)*(Inputs!$F$8-Inputs!$D$8)*(Inputs!$F$8-Inputs!$E$8))),0)</f>
        <v>27</v>
      </c>
      <c r="D1101" s="81" t="n">
        <f aca="true">RAND()</f>
        <v>0.465532234849716</v>
      </c>
      <c r="E1101" s="83" t="n">
        <f aca="false">IF(D1101&lt;(Inputs!$E$10-Inputs!$D$10)/(Inputs!$F$10-Inputs!$D$10),Inputs!$D$10+SQRT(D1101*(Inputs!$F$10-Inputs!$D$10)*(Inputs!$E$10-Inputs!$D$10)),Inputs!$F$10-SQRT((1-D1101)*(Inputs!$F$10-Inputs!$D$10)*(Inputs!$F$10-Inputs!$E$10)))</f>
        <v>0.0733744379893676</v>
      </c>
      <c r="F1101" s="81" t="n">
        <f aca="true">RAND()</f>
        <v>0.164211632013635</v>
      </c>
      <c r="G1101" s="83" t="n">
        <f aca="false">IF(F1101&lt;(Inputs!$E$15-Inputs!$D$15)/(Inputs!$F$15-Inputs!$D$15),Inputs!$D$15+SQRT(F1101*(Inputs!$F$15-Inputs!$D$15)*(Inputs!$E$15-Inputs!$D$15)),Inputs!$F$15-SQRT((1-F1101)*(Inputs!$F$15-Inputs!$D$15)*(Inputs!$F$15-Inputs!$E$15)))</f>
        <v>0.657308224892006</v>
      </c>
      <c r="H1101" s="81" t="n">
        <f aca="true">RAND()</f>
        <v>0.639849134160212</v>
      </c>
      <c r="I1101" s="82" t="n">
        <f aca="false">ROUND(IF(H1101&lt;(Inputs!$E$17-Inputs!$D$17)/(Inputs!$F$17-Inputs!$D$17),Inputs!$D$17+SQRT(H1101*(Inputs!$F$17-Inputs!$D$17)*(Inputs!$E$17-Inputs!$D$17)),Inputs!$F$17-SQRT((1-H1101)*(Inputs!$F$17-Inputs!$D$17)*(Inputs!$F$17-Inputs!$E$17))),0)</f>
        <v>108</v>
      </c>
      <c r="J1101" s="81" t="n">
        <f aca="true">RAND()</f>
        <v>0.0875163474557617</v>
      </c>
      <c r="K1101" s="83" t="n">
        <f aca="false">IF(J1101&lt;(Inputs!$E$18-Inputs!$D$18)/(Inputs!$F$18-Inputs!$D$18),Inputs!$D$18+SQRT(J1101*(Inputs!$F$18-Inputs!$D$18)*(Inputs!$E$18-Inputs!$D$18)),Inputs!$F$18-SQRT((1-J1101)*(Inputs!$F$18-Inputs!$D$18)*(Inputs!$F$18-Inputs!$E$18)))</f>
        <v>0.955345028330932</v>
      </c>
      <c r="L1101" s="81" t="n">
        <f aca="true">RAND()</f>
        <v>0.972789172989968</v>
      </c>
      <c r="M1101" s="83" t="n">
        <f aca="false">IF(L1101&lt;(Inputs!$E$24-Inputs!$D$24)/(Inputs!$F$24-Inputs!$D$24),Inputs!$D$24+SQRT(L1101*(Inputs!$F$24-Inputs!$D$24)*(Inputs!$E$24-Inputs!$D$24)),Inputs!$F$24-SQRT((1-L1101)*(Inputs!$F$24-Inputs!$D$24)*(Inputs!$F$24-Inputs!$E$24)))</f>
        <v>1.11918788158693</v>
      </c>
      <c r="N1101" s="81" t="n">
        <f aca="true">RAND()</f>
        <v>0.0544455599351391</v>
      </c>
      <c r="O1101" s="83" t="n">
        <f aca="false">IF(N1101&lt;(Inputs!$E$26-Inputs!$D$26)/(Inputs!$F$26-Inputs!$D$26),Inputs!$D$26+SQRT(N1101*(Inputs!$F$26-Inputs!$D$26)*(Inputs!$E$26-Inputs!$D$26)),Inputs!$F$26-SQRT((1-N1101)*(Inputs!$F$26-Inputs!$D$26)*(Inputs!$F$26-Inputs!$E$26)))</f>
        <v>0.395182672652154</v>
      </c>
      <c r="P1101" s="81" t="n">
        <f aca="true">RAND()</f>
        <v>0.917498785562605</v>
      </c>
      <c r="Q1101" s="82" t="n">
        <f aca="false">IF(P1101&lt;(Inputs!$E$27-Inputs!$D$27)/(Inputs!$F$27-Inputs!$D$27),Inputs!$D$27+SQRT(P1101*(Inputs!$F$27-Inputs!$D$27)*(Inputs!$E$27-Inputs!$D$27)),Inputs!$F$27-SQRT((1-P1101)*(Inputs!$F$27-Inputs!$D$27)*(Inputs!$F$27-Inputs!$E$27)))</f>
        <v>125.125130989682</v>
      </c>
      <c r="R1101" s="81" t="n">
        <f aca="true">RAND()</f>
        <v>0.40877472720306</v>
      </c>
      <c r="S1101" s="82" t="n">
        <f aca="false">IF(R1101&lt;(Inputs!$E$29-Inputs!$D$29)/(Inputs!$F$29-Inputs!$D$29),Inputs!$D$29+SQRT(R1101*(Inputs!$F$29-Inputs!$D$29)*(Inputs!$E$29-Inputs!$D$29)),Inputs!$F$29-SQRT((1-R1101)*(Inputs!$F$29-Inputs!$D$29)*(Inputs!$F$29-Inputs!$E$29)))</f>
        <v>6.23305723392686</v>
      </c>
      <c r="T1101" s="68" t="n">
        <f aca="false">Inputs!$E$9*(1+E1101)+Inputs!$E$5*C1101*(Inputs!$E$11*Inputs!$E$14*(G1101*I1101/Inputs!$E$16+(1-G1101))*K1101+Inputs!$E$23*M1101)*(1+O1101)+Inputs!$E$5*(Q1101+S1101)</f>
        <v>6534.54431729837</v>
      </c>
    </row>
    <row r="1102" customFormat="false" ht="15" hidden="false" customHeight="false" outlineLevel="0" collapsed="false">
      <c r="A1102" s="1" t="n">
        <v>1098</v>
      </c>
      <c r="B1102" s="81" t="n">
        <f aca="true">RAND()</f>
        <v>0.884902280006617</v>
      </c>
      <c r="C1102" s="82" t="n">
        <f aca="false">ROUND(IF(B1102&lt;(Inputs!$E$8-Inputs!$D$8)/(Inputs!$F$8-Inputs!$D$8),Inputs!$D$8+SQRT(B1102*(Inputs!$F$8-Inputs!$D$8)*(Inputs!$E$8-Inputs!$D$8)),Inputs!$F$8-SQRT((1-B1102)*(Inputs!$F$8-Inputs!$D$8)*(Inputs!$F$8-Inputs!$E$8))),0)</f>
        <v>28</v>
      </c>
      <c r="D1102" s="81" t="n">
        <f aca="true">RAND()</f>
        <v>0.300545882213007</v>
      </c>
      <c r="E1102" s="83" t="n">
        <f aca="false">IF(D1102&lt;(Inputs!$E$10-Inputs!$D$10)/(Inputs!$F$10-Inputs!$D$10),Inputs!$D$10+SQRT(D1102*(Inputs!$F$10-Inputs!$D$10)*(Inputs!$E$10-Inputs!$D$10)),Inputs!$F$10-SQRT((1-D1102)*(Inputs!$F$10-Inputs!$D$10)*(Inputs!$F$10-Inputs!$E$10)))</f>
        <v>0.0551427477355387</v>
      </c>
      <c r="F1102" s="81" t="n">
        <f aca="true">RAND()</f>
        <v>0.977774715964842</v>
      </c>
      <c r="G1102" s="83" t="n">
        <f aca="false">IF(F1102&lt;(Inputs!$E$15-Inputs!$D$15)/(Inputs!$F$15-Inputs!$D$15),Inputs!$D$15+SQRT(F1102*(Inputs!$F$15-Inputs!$D$15)*(Inputs!$E$15-Inputs!$D$15)),Inputs!$F$15-SQRT((1-F1102)*(Inputs!$F$15-Inputs!$D$15)*(Inputs!$F$15-Inputs!$E$15)))</f>
        <v>0.778916696636837</v>
      </c>
      <c r="H1102" s="81" t="n">
        <f aca="true">RAND()</f>
        <v>0.142760137512968</v>
      </c>
      <c r="I1102" s="82" t="n">
        <f aca="false">ROUND(IF(H1102&lt;(Inputs!$E$17-Inputs!$D$17)/(Inputs!$F$17-Inputs!$D$17),Inputs!$D$17+SQRT(H1102*(Inputs!$F$17-Inputs!$D$17)*(Inputs!$E$17-Inputs!$D$17)),Inputs!$F$17-SQRT((1-H1102)*(Inputs!$F$17-Inputs!$D$17)*(Inputs!$F$17-Inputs!$E$17))),0)</f>
        <v>103</v>
      </c>
      <c r="J1102" s="81" t="n">
        <f aca="true">RAND()</f>
        <v>0.155908873738344</v>
      </c>
      <c r="K1102" s="83" t="n">
        <f aca="false">IF(J1102&lt;(Inputs!$E$18-Inputs!$D$18)/(Inputs!$F$18-Inputs!$D$18),Inputs!$D$18+SQRT(J1102*(Inputs!$F$18-Inputs!$D$18)*(Inputs!$E$18-Inputs!$D$18)),Inputs!$F$18-SQRT((1-J1102)*(Inputs!$F$18-Inputs!$D$18)*(Inputs!$F$18-Inputs!$E$18)))</f>
        <v>0.9738702279734</v>
      </c>
      <c r="L1102" s="81" t="n">
        <f aca="true">RAND()</f>
        <v>0.622418781338129</v>
      </c>
      <c r="M1102" s="83" t="n">
        <f aca="false">IF(L1102&lt;(Inputs!$E$24-Inputs!$D$24)/(Inputs!$F$24-Inputs!$D$24),Inputs!$D$24+SQRT(L1102*(Inputs!$F$24-Inputs!$D$24)*(Inputs!$E$24-Inputs!$D$24)),Inputs!$F$24-SQRT((1-L1102)*(Inputs!$F$24-Inputs!$D$24)*(Inputs!$F$24-Inputs!$E$24)))</f>
        <v>0.898969283163912</v>
      </c>
      <c r="N1102" s="81" t="n">
        <f aca="true">RAND()</f>
        <v>0.991915940819731</v>
      </c>
      <c r="O1102" s="83" t="n">
        <f aca="false">IF(N1102&lt;(Inputs!$E$26-Inputs!$D$26)/(Inputs!$F$26-Inputs!$D$26),Inputs!$D$26+SQRT(N1102*(Inputs!$F$26-Inputs!$D$26)*(Inputs!$E$26-Inputs!$D$26)),Inputs!$F$26-SQRT((1-N1102)*(Inputs!$F$26-Inputs!$D$26)*(Inputs!$F$26-Inputs!$E$26)))</f>
        <v>0.791004445948595</v>
      </c>
      <c r="P1102" s="81" t="n">
        <f aca="true">RAND()</f>
        <v>0.91921044914693</v>
      </c>
      <c r="Q1102" s="82" t="n">
        <f aca="false">IF(P1102&lt;(Inputs!$E$27-Inputs!$D$27)/(Inputs!$F$27-Inputs!$D$27),Inputs!$D$27+SQRT(P1102*(Inputs!$F$27-Inputs!$D$27)*(Inputs!$E$27-Inputs!$D$27)),Inputs!$F$27-SQRT((1-P1102)*(Inputs!$F$27-Inputs!$D$27)*(Inputs!$F$27-Inputs!$E$27)))</f>
        <v>125.384524554703</v>
      </c>
      <c r="R1102" s="81" t="n">
        <f aca="true">RAND()</f>
        <v>0.646479625658124</v>
      </c>
      <c r="S1102" s="82" t="n">
        <f aca="false">IF(R1102&lt;(Inputs!$E$29-Inputs!$D$29)/(Inputs!$F$29-Inputs!$D$29),Inputs!$D$29+SQRT(R1102*(Inputs!$F$29-Inputs!$D$29)*(Inputs!$E$29-Inputs!$D$29)),Inputs!$F$29-SQRT((1-R1102)*(Inputs!$F$29-Inputs!$D$29)*(Inputs!$F$29-Inputs!$E$29)))</f>
        <v>8.22079291771937</v>
      </c>
      <c r="T1102" s="68" t="n">
        <f aca="false">Inputs!$E$9*(1+E1102)+Inputs!$E$5*C1102*(Inputs!$E$11*Inputs!$E$14*(G1102*I1102/Inputs!$E$16+(1-G1102))*K1102+Inputs!$E$23*M1102)*(1+O1102)+Inputs!$E$5*(Q1102+S1102)</f>
        <v>7059.16048888111</v>
      </c>
    </row>
    <row r="1103" customFormat="false" ht="15" hidden="false" customHeight="false" outlineLevel="0" collapsed="false">
      <c r="A1103" s="1" t="n">
        <v>1099</v>
      </c>
      <c r="B1103" s="81" t="n">
        <f aca="true">RAND()</f>
        <v>0.573870199678451</v>
      </c>
      <c r="C1103" s="82" t="n">
        <f aca="false">ROUND(IF(B1103&lt;(Inputs!$E$8-Inputs!$D$8)/(Inputs!$F$8-Inputs!$D$8),Inputs!$D$8+SQRT(B1103*(Inputs!$F$8-Inputs!$D$8)*(Inputs!$E$8-Inputs!$D$8)),Inputs!$F$8-SQRT((1-B1103)*(Inputs!$F$8-Inputs!$D$8)*(Inputs!$F$8-Inputs!$E$8))),0)</f>
        <v>25</v>
      </c>
      <c r="D1103" s="81" t="n">
        <f aca="true">RAND()</f>
        <v>0.294211274288382</v>
      </c>
      <c r="E1103" s="83" t="n">
        <f aca="false">IF(D1103&lt;(Inputs!$E$10-Inputs!$D$10)/(Inputs!$F$10-Inputs!$D$10),Inputs!$D$10+SQRT(D1103*(Inputs!$F$10-Inputs!$D$10)*(Inputs!$E$10-Inputs!$D$10)),Inputs!$F$10-SQRT((1-D1103)*(Inputs!$F$10-Inputs!$D$10)*(Inputs!$F$10-Inputs!$E$10)))</f>
        <v>0.0544882761721636</v>
      </c>
      <c r="F1103" s="81" t="n">
        <f aca="true">RAND()</f>
        <v>0.463037242573929</v>
      </c>
      <c r="G1103" s="83" t="n">
        <f aca="false">IF(F1103&lt;(Inputs!$E$15-Inputs!$D$15)/(Inputs!$F$15-Inputs!$D$15),Inputs!$D$15+SQRT(F1103*(Inputs!$F$15-Inputs!$D$15)*(Inputs!$E$15-Inputs!$D$15)),Inputs!$F$15-SQRT((1-F1103)*(Inputs!$F$15-Inputs!$D$15)*(Inputs!$F$15-Inputs!$E$15)))</f>
        <v>0.696232763918941</v>
      </c>
      <c r="H1103" s="81" t="n">
        <f aca="true">RAND()</f>
        <v>0.76060300647498</v>
      </c>
      <c r="I1103" s="82" t="n">
        <f aca="false">ROUND(IF(H1103&lt;(Inputs!$E$17-Inputs!$D$17)/(Inputs!$F$17-Inputs!$D$17),Inputs!$D$17+SQRT(H1103*(Inputs!$F$17-Inputs!$D$17)*(Inputs!$E$17-Inputs!$D$17)),Inputs!$F$17-SQRT((1-H1103)*(Inputs!$F$17-Inputs!$D$17)*(Inputs!$F$17-Inputs!$E$17))),0)</f>
        <v>109</v>
      </c>
      <c r="J1103" s="81" t="n">
        <f aca="true">RAND()</f>
        <v>0.893451424372768</v>
      </c>
      <c r="K1103" s="83" t="n">
        <f aca="false">IF(J1103&lt;(Inputs!$E$18-Inputs!$D$18)/(Inputs!$F$18-Inputs!$D$18),Inputs!$D$18+SQRT(J1103*(Inputs!$F$18-Inputs!$D$18)*(Inputs!$E$18-Inputs!$D$18)),Inputs!$F$18-SQRT((1-J1103)*(Inputs!$F$18-Inputs!$D$18)*(Inputs!$F$18-Inputs!$E$18)))</f>
        <v>1.1534443146812</v>
      </c>
      <c r="L1103" s="81" t="n">
        <f aca="true">RAND()</f>
        <v>0.0779387006326901</v>
      </c>
      <c r="M1103" s="83" t="n">
        <f aca="false">IF(L1103&lt;(Inputs!$E$24-Inputs!$D$24)/(Inputs!$F$24-Inputs!$D$24),Inputs!$D$24+SQRT(L1103*(Inputs!$F$24-Inputs!$D$24)*(Inputs!$E$24-Inputs!$D$24)),Inputs!$F$24-SQRT((1-L1103)*(Inputs!$F$24-Inputs!$D$24)*(Inputs!$F$24-Inputs!$E$24)))</f>
        <v>0.69670906925373</v>
      </c>
      <c r="N1103" s="81" t="n">
        <f aca="true">RAND()</f>
        <v>0.186036835545565</v>
      </c>
      <c r="O1103" s="83" t="n">
        <f aca="false">IF(N1103&lt;(Inputs!$E$26-Inputs!$D$26)/(Inputs!$F$26-Inputs!$D$26),Inputs!$D$26+SQRT(N1103*(Inputs!$F$26-Inputs!$D$26)*(Inputs!$E$26-Inputs!$D$26)),Inputs!$F$26-SQRT((1-N1103)*(Inputs!$F$26-Inputs!$D$26)*(Inputs!$F$26-Inputs!$E$26)))</f>
        <v>0.475944677199346</v>
      </c>
      <c r="P1103" s="81" t="n">
        <f aca="true">RAND()</f>
        <v>0.274685391291063</v>
      </c>
      <c r="Q1103" s="82" t="n">
        <f aca="false">IF(P1103&lt;(Inputs!$E$27-Inputs!$D$27)/(Inputs!$F$27-Inputs!$D$27),Inputs!$D$27+SQRT(P1103*(Inputs!$F$27-Inputs!$D$27)*(Inputs!$E$27-Inputs!$D$27)),Inputs!$F$27-SQRT((1-P1103)*(Inputs!$F$27-Inputs!$D$27)*(Inputs!$F$27-Inputs!$E$27)))</f>
        <v>76.2445963653033</v>
      </c>
      <c r="R1103" s="81" t="n">
        <f aca="true">RAND()</f>
        <v>0.0369932622219167</v>
      </c>
      <c r="S1103" s="82" t="n">
        <f aca="false">IF(R1103&lt;(Inputs!$E$29-Inputs!$D$29)/(Inputs!$F$29-Inputs!$D$29),Inputs!$D$29+SQRT(R1103*(Inputs!$F$29-Inputs!$D$29)*(Inputs!$E$29-Inputs!$D$29)),Inputs!$F$29-SQRT((1-R1103)*(Inputs!$F$29-Inputs!$D$29)*(Inputs!$F$29-Inputs!$E$29)))</f>
        <v>3.20113996963499</v>
      </c>
      <c r="T1103" s="68" t="n">
        <f aca="false">Inputs!$E$9*(1+E1103)+Inputs!$E$5*C1103*(Inputs!$E$11*Inputs!$E$14*(G1103*I1103/Inputs!$E$16+(1-G1103))*K1103+Inputs!$E$23*M1103)*(1+O1103)+Inputs!$E$5*(Q1103+S1103)</f>
        <v>5973.82131835796</v>
      </c>
    </row>
    <row r="1104" customFormat="false" ht="15" hidden="false" customHeight="false" outlineLevel="0" collapsed="false">
      <c r="A1104" s="1" t="n">
        <v>1100</v>
      </c>
      <c r="B1104" s="81" t="n">
        <f aca="true">RAND()</f>
        <v>0.593842218276537</v>
      </c>
      <c r="C1104" s="82" t="n">
        <f aca="false">ROUND(IF(B1104&lt;(Inputs!$E$8-Inputs!$D$8)/(Inputs!$F$8-Inputs!$D$8),Inputs!$D$8+SQRT(B1104*(Inputs!$F$8-Inputs!$D$8)*(Inputs!$E$8-Inputs!$D$8)),Inputs!$F$8-SQRT((1-B1104)*(Inputs!$F$8-Inputs!$D$8)*(Inputs!$F$8-Inputs!$E$8))),0)</f>
        <v>25</v>
      </c>
      <c r="D1104" s="81" t="n">
        <f aca="true">RAND()</f>
        <v>0.213482962730854</v>
      </c>
      <c r="E1104" s="83" t="n">
        <f aca="false">IF(D1104&lt;(Inputs!$E$10-Inputs!$D$10)/(Inputs!$F$10-Inputs!$D$10),Inputs!$D$10+SQRT(D1104*(Inputs!$F$10-Inputs!$D$10)*(Inputs!$E$10-Inputs!$D$10)),Inputs!$F$10-SQRT((1-D1104)*(Inputs!$F$10-Inputs!$D$10)*(Inputs!$F$10-Inputs!$E$10)))</f>
        <v>0.0462042165533465</v>
      </c>
      <c r="F1104" s="81" t="n">
        <f aca="true">RAND()</f>
        <v>0.0776405650541404</v>
      </c>
      <c r="G1104" s="83" t="n">
        <f aca="false">IF(F1104&lt;(Inputs!$E$15-Inputs!$D$15)/(Inputs!$F$15-Inputs!$D$15),Inputs!$D$15+SQRT(F1104*(Inputs!$F$15-Inputs!$D$15)*(Inputs!$E$15-Inputs!$D$15)),Inputs!$F$15-SQRT((1-F1104)*(Inputs!$F$15-Inputs!$D$15)*(Inputs!$F$15-Inputs!$E$15)))</f>
        <v>0.639405726754912</v>
      </c>
      <c r="H1104" s="81" t="n">
        <f aca="true">RAND()</f>
        <v>0.0489472063611001</v>
      </c>
      <c r="I1104" s="82" t="n">
        <f aca="false">ROUND(IF(H1104&lt;(Inputs!$E$17-Inputs!$D$17)/(Inputs!$F$17-Inputs!$D$17),Inputs!$D$17+SQRT(H1104*(Inputs!$F$17-Inputs!$D$17)*(Inputs!$E$17-Inputs!$D$17)),Inputs!$F$17-SQRT((1-H1104)*(Inputs!$F$17-Inputs!$D$17)*(Inputs!$F$17-Inputs!$E$17))),0)</f>
        <v>102</v>
      </c>
      <c r="J1104" s="81" t="n">
        <f aca="true">RAND()</f>
        <v>0.511287988021127</v>
      </c>
      <c r="K1104" s="83" t="n">
        <f aca="false">IF(J1104&lt;(Inputs!$E$18-Inputs!$D$18)/(Inputs!$F$18-Inputs!$D$18),Inputs!$D$18+SQRT(J1104*(Inputs!$F$18-Inputs!$D$18)*(Inputs!$E$18-Inputs!$D$18)),Inputs!$F$18-SQRT((1-J1104)*(Inputs!$F$18-Inputs!$D$18)*(Inputs!$F$18-Inputs!$E$18)))</f>
        <v>1.04320952379727</v>
      </c>
      <c r="L1104" s="81" t="n">
        <f aca="true">RAND()</f>
        <v>0.1983213012212</v>
      </c>
      <c r="M1104" s="83" t="n">
        <f aca="false">IF(L1104&lt;(Inputs!$E$24-Inputs!$D$24)/(Inputs!$F$24-Inputs!$D$24),Inputs!$D$24+SQRT(L1104*(Inputs!$F$24-Inputs!$D$24)*(Inputs!$E$24-Inputs!$D$24)),Inputs!$F$24-SQRT((1-L1104)*(Inputs!$F$24-Inputs!$D$24)*(Inputs!$F$24-Inputs!$E$24)))</f>
        <v>0.754267806578508</v>
      </c>
      <c r="N1104" s="81" t="n">
        <f aca="true">RAND()</f>
        <v>0.711232485255473</v>
      </c>
      <c r="O1104" s="83" t="n">
        <f aca="false">IF(N1104&lt;(Inputs!$E$26-Inputs!$D$26)/(Inputs!$F$26-Inputs!$D$26),Inputs!$D$26+SQRT(N1104*(Inputs!$F$26-Inputs!$D$26)*(Inputs!$E$26-Inputs!$D$26)),Inputs!$F$26-SQRT((1-N1104)*(Inputs!$F$26-Inputs!$D$26)*(Inputs!$F$26-Inputs!$E$26)))</f>
        <v>0.64670308273535</v>
      </c>
      <c r="P1104" s="81" t="n">
        <f aca="true">RAND()</f>
        <v>0.878009310337729</v>
      </c>
      <c r="Q1104" s="82" t="n">
        <f aca="false">IF(P1104&lt;(Inputs!$E$27-Inputs!$D$27)/(Inputs!$F$27-Inputs!$D$27),Inputs!$D$27+SQRT(P1104*(Inputs!$F$27-Inputs!$D$27)*(Inputs!$E$27-Inputs!$D$27)),Inputs!$F$27-SQRT((1-P1104)*(Inputs!$F$27-Inputs!$D$27)*(Inputs!$F$27-Inputs!$E$27)))</f>
        <v>119.75218731103</v>
      </c>
      <c r="R1104" s="81" t="n">
        <f aca="true">RAND()</f>
        <v>0.910515955479865</v>
      </c>
      <c r="S1104" s="82" t="n">
        <f aca="false">IF(R1104&lt;(Inputs!$E$29-Inputs!$D$29)/(Inputs!$F$29-Inputs!$D$29),Inputs!$D$29+SQRT(R1104*(Inputs!$F$29-Inputs!$D$29)*(Inputs!$E$29-Inputs!$D$29)),Inputs!$F$29-SQRT((1-R1104)*(Inputs!$F$29-Inputs!$D$29)*(Inputs!$F$29-Inputs!$E$29)))</f>
        <v>11.5892924799072</v>
      </c>
      <c r="T1104" s="68" t="n">
        <f aca="false">Inputs!$E$9*(1+E1104)+Inputs!$E$5*C1104*(Inputs!$E$11*Inputs!$E$14*(G1104*I1104/Inputs!$E$16+(1-G1104))*K1104+Inputs!$E$23*M1104)*(1+O1104)+Inputs!$E$5*(Q1104+S1104)</f>
        <v>6424.00160031723</v>
      </c>
    </row>
    <row r="1105" customFormat="false" ht="15" hidden="false" customHeight="false" outlineLevel="0" collapsed="false">
      <c r="A1105" s="1" t="n">
        <v>1101</v>
      </c>
      <c r="B1105" s="81" t="n">
        <f aca="true">RAND()</f>
        <v>0.775618029010191</v>
      </c>
      <c r="C1105" s="82" t="n">
        <f aca="false">ROUND(IF(B1105&lt;(Inputs!$E$8-Inputs!$D$8)/(Inputs!$F$8-Inputs!$D$8),Inputs!$D$8+SQRT(B1105*(Inputs!$F$8-Inputs!$D$8)*(Inputs!$E$8-Inputs!$D$8)),Inputs!$F$8-SQRT((1-B1105)*(Inputs!$F$8-Inputs!$D$8)*(Inputs!$F$8-Inputs!$E$8))),0)</f>
        <v>27</v>
      </c>
      <c r="D1105" s="81" t="n">
        <f aca="true">RAND()</f>
        <v>0.873467198031585</v>
      </c>
      <c r="E1105" s="83" t="n">
        <f aca="false">IF(D1105&lt;(Inputs!$E$10-Inputs!$D$10)/(Inputs!$F$10-Inputs!$D$10),Inputs!$D$10+SQRT(D1105*(Inputs!$F$10-Inputs!$D$10)*(Inputs!$E$10-Inputs!$D$10)),Inputs!$F$10-SQRT((1-D1105)*(Inputs!$F$10-Inputs!$D$10)*(Inputs!$F$10-Inputs!$E$10)))</f>
        <v>0.138388442163402</v>
      </c>
      <c r="F1105" s="81" t="n">
        <f aca="true">RAND()</f>
        <v>0.726142161540463</v>
      </c>
      <c r="G1105" s="83" t="n">
        <f aca="false">IF(F1105&lt;(Inputs!$E$15-Inputs!$D$15)/(Inputs!$F$15-Inputs!$D$15),Inputs!$D$15+SQRT(F1105*(Inputs!$F$15-Inputs!$D$15)*(Inputs!$E$15-Inputs!$D$15)),Inputs!$F$15-SQRT((1-F1105)*(Inputs!$F$15-Inputs!$D$15)*(Inputs!$F$15-Inputs!$E$15)))</f>
        <v>0.725992184404681</v>
      </c>
      <c r="H1105" s="81" t="n">
        <f aca="true">RAND()</f>
        <v>0.457120853485569</v>
      </c>
      <c r="I1105" s="82" t="n">
        <f aca="false">ROUND(IF(H1105&lt;(Inputs!$E$17-Inputs!$D$17)/(Inputs!$F$17-Inputs!$D$17),Inputs!$D$17+SQRT(H1105*(Inputs!$F$17-Inputs!$D$17)*(Inputs!$E$17-Inputs!$D$17)),Inputs!$F$17-SQRT((1-H1105)*(Inputs!$F$17-Inputs!$D$17)*(Inputs!$F$17-Inputs!$E$17))),0)</f>
        <v>106</v>
      </c>
      <c r="J1105" s="81" t="n">
        <f aca="true">RAND()</f>
        <v>0.406166012335686</v>
      </c>
      <c r="K1105" s="83" t="n">
        <f aca="false">IF(J1105&lt;(Inputs!$E$18-Inputs!$D$18)/(Inputs!$F$18-Inputs!$D$18),Inputs!$D$18+SQRT(J1105*(Inputs!$F$18-Inputs!$D$18)*(Inputs!$E$18-Inputs!$D$18)),Inputs!$F$18-SQRT((1-J1105)*(Inputs!$F$18-Inputs!$D$18)*(Inputs!$F$18-Inputs!$E$18)))</f>
        <v>1.02205159811785</v>
      </c>
      <c r="L1105" s="81" t="n">
        <f aca="true">RAND()</f>
        <v>0.0627363093707095</v>
      </c>
      <c r="M1105" s="83" t="n">
        <f aca="false">IF(L1105&lt;(Inputs!$E$24-Inputs!$D$24)/(Inputs!$F$24-Inputs!$D$24),Inputs!$D$24+SQRT(L1105*(Inputs!$F$24-Inputs!$D$24)*(Inputs!$E$24-Inputs!$D$24)),Inputs!$F$24-SQRT((1-L1105)*(Inputs!$F$24-Inputs!$D$24)*(Inputs!$F$24-Inputs!$E$24)))</f>
        <v>0.686766105850644</v>
      </c>
      <c r="N1105" s="81" t="n">
        <f aca="true">RAND()</f>
        <v>0.271171859719367</v>
      </c>
      <c r="O1105" s="83" t="n">
        <f aca="false">IF(N1105&lt;(Inputs!$E$26-Inputs!$D$26)/(Inputs!$F$26-Inputs!$D$26),Inputs!$D$26+SQRT(N1105*(Inputs!$F$26-Inputs!$D$26)*(Inputs!$E$26-Inputs!$D$26)),Inputs!$F$26-SQRT((1-N1105)*(Inputs!$F$26-Inputs!$D$26)*(Inputs!$F$26-Inputs!$E$26)))</f>
        <v>0.512421744313765</v>
      </c>
      <c r="P1105" s="81" t="n">
        <f aca="true">RAND()</f>
        <v>0.783127138417191</v>
      </c>
      <c r="Q1105" s="82" t="n">
        <f aca="false">IF(P1105&lt;(Inputs!$E$27-Inputs!$D$27)/(Inputs!$F$27-Inputs!$D$27),Inputs!$D$27+SQRT(P1105*(Inputs!$F$27-Inputs!$D$27)*(Inputs!$E$27-Inputs!$D$27)),Inputs!$F$27-SQRT((1-P1105)*(Inputs!$F$27-Inputs!$D$27)*(Inputs!$F$27-Inputs!$E$27)))</f>
        <v>109.669534321173</v>
      </c>
      <c r="R1105" s="81" t="n">
        <f aca="true">RAND()</f>
        <v>0.518377725571887</v>
      </c>
      <c r="S1105" s="82" t="n">
        <f aca="false">IF(R1105&lt;(Inputs!$E$29-Inputs!$D$29)/(Inputs!$F$29-Inputs!$D$29),Inputs!$D$29+SQRT(R1105*(Inputs!$F$29-Inputs!$D$29)*(Inputs!$E$29-Inputs!$D$29)),Inputs!$F$29-SQRT((1-R1105)*(Inputs!$F$29-Inputs!$D$29)*(Inputs!$F$29-Inputs!$E$29)))</f>
        <v>7.0872952996049</v>
      </c>
      <c r="T1105" s="68" t="n">
        <f aca="false">Inputs!$E$9*(1+E1105)+Inputs!$E$5*C1105*(Inputs!$E$11*Inputs!$E$14*(G1105*I1105/Inputs!$E$16+(1-G1105))*K1105+Inputs!$E$23*M1105)*(1+O1105)+Inputs!$E$5*(Q1105+S1105)</f>
        <v>6305.78872825189</v>
      </c>
    </row>
    <row r="1106" customFormat="false" ht="15" hidden="false" customHeight="false" outlineLevel="0" collapsed="false">
      <c r="A1106" s="1" t="n">
        <v>1102</v>
      </c>
      <c r="B1106" s="81" t="n">
        <f aca="true">RAND()</f>
        <v>0.446475386533429</v>
      </c>
      <c r="C1106" s="82" t="n">
        <f aca="false">ROUND(IF(B1106&lt;(Inputs!$E$8-Inputs!$D$8)/(Inputs!$F$8-Inputs!$D$8),Inputs!$D$8+SQRT(B1106*(Inputs!$F$8-Inputs!$D$8)*(Inputs!$E$8-Inputs!$D$8)),Inputs!$F$8-SQRT((1-B1106)*(Inputs!$F$8-Inputs!$D$8)*(Inputs!$F$8-Inputs!$E$8))),0)</f>
        <v>25</v>
      </c>
      <c r="D1106" s="81" t="n">
        <f aca="true">RAND()</f>
        <v>0.981385631952993</v>
      </c>
      <c r="E1106" s="83" t="n">
        <f aca="false">IF(D1106&lt;(Inputs!$E$10-Inputs!$D$10)/(Inputs!$F$10-Inputs!$D$10),Inputs!$D$10+SQRT(D1106*(Inputs!$F$10-Inputs!$D$10)*(Inputs!$E$10-Inputs!$D$10)),Inputs!$F$10-SQRT((1-D1106)*(Inputs!$F$10-Inputs!$D$10)*(Inputs!$F$10-Inputs!$E$10)))</f>
        <v>0.176368854420274</v>
      </c>
      <c r="F1106" s="81" t="n">
        <f aca="true">RAND()</f>
        <v>0.554612378502473</v>
      </c>
      <c r="G1106" s="83" t="n">
        <f aca="false">IF(F1106&lt;(Inputs!$E$15-Inputs!$D$15)/(Inputs!$F$15-Inputs!$D$15),Inputs!$D$15+SQRT(F1106*(Inputs!$F$15-Inputs!$D$15)*(Inputs!$E$15-Inputs!$D$15)),Inputs!$F$15-SQRT((1-F1106)*(Inputs!$F$15-Inputs!$D$15)*(Inputs!$F$15-Inputs!$E$15)))</f>
        <v>0.705619109826456</v>
      </c>
      <c r="H1106" s="81" t="n">
        <f aca="true">RAND()</f>
        <v>0.768573065225323</v>
      </c>
      <c r="I1106" s="82" t="n">
        <f aca="false">ROUND(IF(H1106&lt;(Inputs!$E$17-Inputs!$D$17)/(Inputs!$F$17-Inputs!$D$17),Inputs!$D$17+SQRT(H1106*(Inputs!$F$17-Inputs!$D$17)*(Inputs!$E$17-Inputs!$D$17)),Inputs!$F$17-SQRT((1-H1106)*(Inputs!$F$17-Inputs!$D$17)*(Inputs!$F$17-Inputs!$E$17))),0)</f>
        <v>109</v>
      </c>
      <c r="J1106" s="81" t="n">
        <f aca="true">RAND()</f>
        <v>0.0341956114378524</v>
      </c>
      <c r="K1106" s="83" t="n">
        <f aca="false">IF(J1106&lt;(Inputs!$E$18-Inputs!$D$18)/(Inputs!$F$18-Inputs!$D$18),Inputs!$D$18+SQRT(J1106*(Inputs!$F$18-Inputs!$D$18)*(Inputs!$E$18-Inputs!$D$18)),Inputs!$F$18-SQRT((1-J1106)*(Inputs!$F$18-Inputs!$D$18)*(Inputs!$F$18-Inputs!$E$18)))</f>
        <v>0.934595467915969</v>
      </c>
      <c r="L1106" s="81" t="n">
        <f aca="true">RAND()</f>
        <v>0.807668951156395</v>
      </c>
      <c r="M1106" s="83" t="n">
        <f aca="false">IF(L1106&lt;(Inputs!$E$24-Inputs!$D$24)/(Inputs!$F$24-Inputs!$D$24),Inputs!$D$24+SQRT(L1106*(Inputs!$F$24-Inputs!$D$24)*(Inputs!$E$24-Inputs!$D$24)),Inputs!$F$24-SQRT((1-L1106)*(Inputs!$F$24-Inputs!$D$24)*(Inputs!$F$24-Inputs!$E$24)))</f>
        <v>0.985152491933313</v>
      </c>
      <c r="N1106" s="81" t="n">
        <f aca="true">RAND()</f>
        <v>0.656891563105373</v>
      </c>
      <c r="O1106" s="83" t="n">
        <f aca="false">IF(N1106&lt;(Inputs!$E$26-Inputs!$D$26)/(Inputs!$F$26-Inputs!$D$26),Inputs!$D$26+SQRT(N1106*(Inputs!$F$26-Inputs!$D$26)*(Inputs!$E$26-Inputs!$D$26)),Inputs!$F$26-SQRT((1-N1106)*(Inputs!$F$26-Inputs!$D$26)*(Inputs!$F$26-Inputs!$E$26)))</f>
        <v>0.63109982150077</v>
      </c>
      <c r="P1106" s="81" t="n">
        <f aca="true">RAND()</f>
        <v>0.04533199175733</v>
      </c>
      <c r="Q1106" s="82" t="n">
        <f aca="false">IF(P1106&lt;(Inputs!$E$27-Inputs!$D$27)/(Inputs!$F$27-Inputs!$D$27),Inputs!$D$27+SQRT(P1106*(Inputs!$F$27-Inputs!$D$27)*(Inputs!$E$27-Inputs!$D$27)),Inputs!$F$27-SQRT((1-P1106)*(Inputs!$F$27-Inputs!$D$27)*(Inputs!$F$27-Inputs!$E$27)))</f>
        <v>60.6456554233793</v>
      </c>
      <c r="R1106" s="81" t="n">
        <f aca="true">RAND()</f>
        <v>0.0328929834229745</v>
      </c>
      <c r="S1106" s="82" t="n">
        <f aca="false">IF(R1106&lt;(Inputs!$E$29-Inputs!$D$29)/(Inputs!$F$29-Inputs!$D$29),Inputs!$D$29+SQRT(R1106*(Inputs!$F$29-Inputs!$D$29)*(Inputs!$E$29-Inputs!$D$29)),Inputs!$F$29-SQRT((1-R1106)*(Inputs!$F$29-Inputs!$D$29)*(Inputs!$F$29-Inputs!$E$29)))</f>
        <v>3.13261924471378</v>
      </c>
      <c r="T1106" s="68" t="n">
        <f aca="false">Inputs!$E$9*(1+E1106)+Inputs!$E$5*C1106*(Inputs!$E$11*Inputs!$E$14*(G1106*I1106/Inputs!$E$16+(1-G1106))*K1106+Inputs!$E$23*M1106)*(1+O1106)+Inputs!$E$5*(Q1106+S1106)</f>
        <v>6423.29672102454</v>
      </c>
    </row>
    <row r="1107" customFormat="false" ht="15" hidden="false" customHeight="false" outlineLevel="0" collapsed="false">
      <c r="A1107" s="1" t="n">
        <v>1103</v>
      </c>
      <c r="B1107" s="81" t="n">
        <f aca="true">RAND()</f>
        <v>0.710859611999937</v>
      </c>
      <c r="C1107" s="82" t="n">
        <f aca="false">ROUND(IF(B1107&lt;(Inputs!$E$8-Inputs!$D$8)/(Inputs!$F$8-Inputs!$D$8),Inputs!$D$8+SQRT(B1107*(Inputs!$F$8-Inputs!$D$8)*(Inputs!$E$8-Inputs!$D$8)),Inputs!$F$8-SQRT((1-B1107)*(Inputs!$F$8-Inputs!$D$8)*(Inputs!$F$8-Inputs!$E$8))),0)</f>
        <v>26</v>
      </c>
      <c r="D1107" s="81" t="n">
        <f aca="true">RAND()</f>
        <v>0.847686411177953</v>
      </c>
      <c r="E1107" s="83" t="n">
        <f aca="false">IF(D1107&lt;(Inputs!$E$10-Inputs!$D$10)/(Inputs!$F$10-Inputs!$D$10),Inputs!$D$10+SQRT(D1107*(Inputs!$F$10-Inputs!$D$10)*(Inputs!$E$10-Inputs!$D$10)),Inputs!$F$10-SQRT((1-D1107)*(Inputs!$F$10-Inputs!$D$10)*(Inputs!$F$10-Inputs!$E$10)))</f>
        <v>0.132402606080845</v>
      </c>
      <c r="F1107" s="81" t="n">
        <f aca="true">RAND()</f>
        <v>0.0369421456924397</v>
      </c>
      <c r="G1107" s="83" t="n">
        <f aca="false">IF(F1107&lt;(Inputs!$E$15-Inputs!$D$15)/(Inputs!$F$15-Inputs!$D$15),Inputs!$D$15+SQRT(F1107*(Inputs!$F$15-Inputs!$D$15)*(Inputs!$E$15-Inputs!$D$15)),Inputs!$F$15-SQRT((1-F1107)*(Inputs!$F$15-Inputs!$D$15)*(Inputs!$F$15-Inputs!$E$15)))</f>
        <v>0.62718166503084</v>
      </c>
      <c r="H1107" s="81" t="n">
        <f aca="true">RAND()</f>
        <v>0.0828476781972371</v>
      </c>
      <c r="I1107" s="82" t="n">
        <f aca="false">ROUND(IF(H1107&lt;(Inputs!$E$17-Inputs!$D$17)/(Inputs!$F$17-Inputs!$D$17),Inputs!$D$17+SQRT(H1107*(Inputs!$F$17-Inputs!$D$17)*(Inputs!$E$17-Inputs!$D$17)),Inputs!$F$17-SQRT((1-H1107)*(Inputs!$F$17-Inputs!$D$17)*(Inputs!$F$17-Inputs!$E$17))),0)</f>
        <v>102</v>
      </c>
      <c r="J1107" s="81" t="n">
        <f aca="true">RAND()</f>
        <v>0.318343574272633</v>
      </c>
      <c r="K1107" s="83" t="n">
        <f aca="false">IF(J1107&lt;(Inputs!$E$18-Inputs!$D$18)/(Inputs!$F$18-Inputs!$D$18),Inputs!$D$18+SQRT(J1107*(Inputs!$F$18-Inputs!$D$18)*(Inputs!$E$18-Inputs!$D$18)),Inputs!$F$18-SQRT((1-J1107)*(Inputs!$F$18-Inputs!$D$18)*(Inputs!$F$18-Inputs!$E$18)))</f>
        <v>1.00577686995056</v>
      </c>
      <c r="L1107" s="81" t="n">
        <f aca="true">RAND()</f>
        <v>0.688399214807415</v>
      </c>
      <c r="M1107" s="83" t="n">
        <f aca="false">IF(L1107&lt;(Inputs!$E$24-Inputs!$D$24)/(Inputs!$F$24-Inputs!$D$24),Inputs!$D$24+SQRT(L1107*(Inputs!$F$24-Inputs!$D$24)*(Inputs!$E$24-Inputs!$D$24)),Inputs!$F$24-SQRT((1-L1107)*(Inputs!$F$24-Inputs!$D$24)*(Inputs!$F$24-Inputs!$E$24)))</f>
        <v>0.926533021287358</v>
      </c>
      <c r="N1107" s="81" t="n">
        <f aca="true">RAND()</f>
        <v>0.756442431368258</v>
      </c>
      <c r="O1107" s="83" t="n">
        <f aca="false">IF(N1107&lt;(Inputs!$E$26-Inputs!$D$26)/(Inputs!$F$26-Inputs!$D$26),Inputs!$D$26+SQRT(N1107*(Inputs!$F$26-Inputs!$D$26)*(Inputs!$E$26-Inputs!$D$26)),Inputs!$F$26-SQRT((1-N1107)*(Inputs!$F$26-Inputs!$D$26)*(Inputs!$F$26-Inputs!$E$26)))</f>
        <v>0.660846026949682</v>
      </c>
      <c r="P1107" s="81" t="n">
        <f aca="true">RAND()</f>
        <v>0.772928072624878</v>
      </c>
      <c r="Q1107" s="82" t="n">
        <f aca="false">IF(P1107&lt;(Inputs!$E$27-Inputs!$D$27)/(Inputs!$F$27-Inputs!$D$27),Inputs!$D$27+SQRT(P1107*(Inputs!$F$27-Inputs!$D$27)*(Inputs!$E$27-Inputs!$D$27)),Inputs!$F$27-SQRT((1-P1107)*(Inputs!$F$27-Inputs!$D$27)*(Inputs!$F$27-Inputs!$E$27)))</f>
        <v>108.732101394505</v>
      </c>
      <c r="R1107" s="81" t="n">
        <f aca="true">RAND()</f>
        <v>0.240944148061208</v>
      </c>
      <c r="S1107" s="82" t="n">
        <f aca="false">IF(R1107&lt;(Inputs!$E$29-Inputs!$D$29)/(Inputs!$F$29-Inputs!$D$29),Inputs!$D$29+SQRT(R1107*(Inputs!$F$29-Inputs!$D$29)*(Inputs!$E$29-Inputs!$D$29)),Inputs!$F$29-SQRT((1-R1107)*(Inputs!$F$29-Inputs!$D$29)*(Inputs!$F$29-Inputs!$E$29)))</f>
        <v>5.06635712580511</v>
      </c>
      <c r="T1107" s="68" t="n">
        <f aca="false">Inputs!$E$9*(1+E1107)+Inputs!$E$5*C1107*(Inputs!$E$11*Inputs!$E$14*(G1107*I1107/Inputs!$E$16+(1-G1107))*K1107+Inputs!$E$23*M1107)*(1+O1107)+Inputs!$E$5*(Q1107+S1107)</f>
        <v>6890.27757888176</v>
      </c>
    </row>
    <row r="1108" customFormat="false" ht="15" hidden="false" customHeight="false" outlineLevel="0" collapsed="false">
      <c r="A1108" s="1" t="n">
        <v>1104</v>
      </c>
      <c r="B1108" s="81" t="n">
        <f aca="true">RAND()</f>
        <v>0.435383941971045</v>
      </c>
      <c r="C1108" s="82" t="n">
        <f aca="false">ROUND(IF(B1108&lt;(Inputs!$E$8-Inputs!$D$8)/(Inputs!$F$8-Inputs!$D$8),Inputs!$D$8+SQRT(B1108*(Inputs!$F$8-Inputs!$D$8)*(Inputs!$E$8-Inputs!$D$8)),Inputs!$F$8-SQRT((1-B1108)*(Inputs!$F$8-Inputs!$D$8)*(Inputs!$F$8-Inputs!$E$8))),0)</f>
        <v>25</v>
      </c>
      <c r="D1108" s="81" t="n">
        <f aca="true">RAND()</f>
        <v>0.247181765043364</v>
      </c>
      <c r="E1108" s="83" t="n">
        <f aca="false">IF(D1108&lt;(Inputs!$E$10-Inputs!$D$10)/(Inputs!$F$10-Inputs!$D$10),Inputs!$D$10+SQRT(D1108*(Inputs!$F$10-Inputs!$D$10)*(Inputs!$E$10-Inputs!$D$10)),Inputs!$F$10-SQRT((1-D1108)*(Inputs!$F$10-Inputs!$D$10)*(Inputs!$F$10-Inputs!$E$10)))</f>
        <v>0.04971737775098</v>
      </c>
      <c r="F1108" s="81" t="n">
        <f aca="true">RAND()</f>
        <v>0.744120823800074</v>
      </c>
      <c r="G1108" s="83" t="n">
        <f aca="false">IF(F1108&lt;(Inputs!$E$15-Inputs!$D$15)/(Inputs!$F$15-Inputs!$D$15),Inputs!$D$15+SQRT(F1108*(Inputs!$F$15-Inputs!$D$15)*(Inputs!$E$15-Inputs!$D$15)),Inputs!$F$15-SQRT((1-F1108)*(Inputs!$F$15-Inputs!$D$15)*(Inputs!$F$15-Inputs!$E$15)))</f>
        <v>0.728462712352239</v>
      </c>
      <c r="H1108" s="81" t="n">
        <f aca="true">RAND()</f>
        <v>0.100589287704067</v>
      </c>
      <c r="I1108" s="82" t="n">
        <f aca="false">ROUND(IF(H1108&lt;(Inputs!$E$17-Inputs!$D$17)/(Inputs!$F$17-Inputs!$D$17),Inputs!$D$17+SQRT(H1108*(Inputs!$F$17-Inputs!$D$17)*(Inputs!$E$17-Inputs!$D$17)),Inputs!$F$17-SQRT((1-H1108)*(Inputs!$F$17-Inputs!$D$17)*(Inputs!$F$17-Inputs!$E$17))),0)</f>
        <v>103</v>
      </c>
      <c r="J1108" s="81" t="n">
        <f aca="true">RAND()</f>
        <v>0.808484030440621</v>
      </c>
      <c r="K1108" s="83" t="n">
        <f aca="false">IF(J1108&lt;(Inputs!$E$18-Inputs!$D$18)/(Inputs!$F$18-Inputs!$D$18),Inputs!$D$18+SQRT(J1108*(Inputs!$F$18-Inputs!$D$18)*(Inputs!$E$18-Inputs!$D$18)),Inputs!$F$18-SQRT((1-J1108)*(Inputs!$F$18-Inputs!$D$18)*(Inputs!$F$18-Inputs!$E$18)))</f>
        <v>1.12054866807775</v>
      </c>
      <c r="L1108" s="81" t="n">
        <f aca="true">RAND()</f>
        <v>0.602433257625711</v>
      </c>
      <c r="M1108" s="83" t="n">
        <f aca="false">IF(L1108&lt;(Inputs!$E$24-Inputs!$D$24)/(Inputs!$F$24-Inputs!$D$24),Inputs!$D$24+SQRT(L1108*(Inputs!$F$24-Inputs!$D$24)*(Inputs!$E$24-Inputs!$D$24)),Inputs!$F$24-SQRT((1-L1108)*(Inputs!$F$24-Inputs!$D$24)*(Inputs!$F$24-Inputs!$E$24)))</f>
        <v>0.891105166488934</v>
      </c>
      <c r="N1108" s="81" t="n">
        <f aca="true">RAND()</f>
        <v>0.584048928786677</v>
      </c>
      <c r="O1108" s="83" t="n">
        <f aca="false">IF(N1108&lt;(Inputs!$E$26-Inputs!$D$26)/(Inputs!$F$26-Inputs!$D$26),Inputs!$D$26+SQRT(N1108*(Inputs!$F$26-Inputs!$D$26)*(Inputs!$E$26-Inputs!$D$26)),Inputs!$F$26-SQRT((1-N1108)*(Inputs!$F$26-Inputs!$D$26)*(Inputs!$F$26-Inputs!$E$26)))</f>
        <v>0.611746277844826</v>
      </c>
      <c r="P1108" s="81" t="n">
        <f aca="true">RAND()</f>
        <v>0.246021403255885</v>
      </c>
      <c r="Q1108" s="82" t="n">
        <f aca="false">IF(P1108&lt;(Inputs!$E$27-Inputs!$D$27)/(Inputs!$F$27-Inputs!$D$27),Inputs!$D$27+SQRT(P1108*(Inputs!$F$27-Inputs!$D$27)*(Inputs!$E$27-Inputs!$D$27)),Inputs!$F$27-SQRT((1-P1108)*(Inputs!$F$27-Inputs!$D$27)*(Inputs!$F$27-Inputs!$E$27)))</f>
        <v>74.8002723400311</v>
      </c>
      <c r="R1108" s="81" t="n">
        <f aca="true">RAND()</f>
        <v>0.405545966794634</v>
      </c>
      <c r="S1108" s="82" t="n">
        <f aca="false">IF(R1108&lt;(Inputs!$E$29-Inputs!$D$29)/(Inputs!$F$29-Inputs!$D$29),Inputs!$D$29+SQRT(R1108*(Inputs!$F$29-Inputs!$D$29)*(Inputs!$E$29-Inputs!$D$29)),Inputs!$F$29-SQRT((1-R1108)*(Inputs!$F$29-Inputs!$D$29)*(Inputs!$F$29-Inputs!$E$29)))</f>
        <v>6.20915110375013</v>
      </c>
      <c r="T1108" s="68" t="n">
        <f aca="false">Inputs!$E$9*(1+E1108)+Inputs!$E$5*C1108*(Inputs!$E$11*Inputs!$E$14*(G1108*I1108/Inputs!$E$16+(1-G1108))*K1108+Inputs!$E$23*M1108)*(1+O1108)+Inputs!$E$5*(Q1108+S1108)</f>
        <v>6348.97697984881</v>
      </c>
    </row>
    <row r="1109" customFormat="false" ht="15" hidden="false" customHeight="false" outlineLevel="0" collapsed="false">
      <c r="A1109" s="1" t="n">
        <v>1105</v>
      </c>
      <c r="B1109" s="81" t="n">
        <f aca="true">RAND()</f>
        <v>0.253756249325075</v>
      </c>
      <c r="C1109" s="82" t="n">
        <f aca="false">ROUND(IF(B1109&lt;(Inputs!$E$8-Inputs!$D$8)/(Inputs!$F$8-Inputs!$D$8),Inputs!$D$8+SQRT(B1109*(Inputs!$F$8-Inputs!$D$8)*(Inputs!$E$8-Inputs!$D$8)),Inputs!$F$8-SQRT((1-B1109)*(Inputs!$F$8-Inputs!$D$8)*(Inputs!$F$8-Inputs!$E$8))),0)</f>
        <v>24</v>
      </c>
      <c r="D1109" s="81" t="n">
        <f aca="true">RAND()</f>
        <v>0.903086845906928</v>
      </c>
      <c r="E1109" s="83" t="n">
        <f aca="false">IF(D1109&lt;(Inputs!$E$10-Inputs!$D$10)/(Inputs!$F$10-Inputs!$D$10),Inputs!$D$10+SQRT(D1109*(Inputs!$F$10-Inputs!$D$10)*(Inputs!$E$10-Inputs!$D$10)),Inputs!$F$10-SQRT((1-D1109)*(Inputs!$F$10-Inputs!$D$10)*(Inputs!$F$10-Inputs!$E$10)))</f>
        <v>0.146079738290767</v>
      </c>
      <c r="F1109" s="81" t="n">
        <f aca="true">RAND()</f>
        <v>0.31714140852362</v>
      </c>
      <c r="G1109" s="83" t="n">
        <f aca="false">IF(F1109&lt;(Inputs!$E$15-Inputs!$D$15)/(Inputs!$F$15-Inputs!$D$15),Inputs!$D$15+SQRT(F1109*(Inputs!$F$15-Inputs!$D$15)*(Inputs!$E$15-Inputs!$D$15)),Inputs!$F$15-SQRT((1-F1109)*(Inputs!$F$15-Inputs!$D$15)*(Inputs!$F$15-Inputs!$E$15)))</f>
        <v>0.679641874478646</v>
      </c>
      <c r="H1109" s="81" t="n">
        <f aca="true">RAND()</f>
        <v>0.442831983643099</v>
      </c>
      <c r="I1109" s="82" t="n">
        <f aca="false">ROUND(IF(H1109&lt;(Inputs!$E$17-Inputs!$D$17)/(Inputs!$F$17-Inputs!$D$17),Inputs!$D$17+SQRT(H1109*(Inputs!$F$17-Inputs!$D$17)*(Inputs!$E$17-Inputs!$D$17)),Inputs!$F$17-SQRT((1-H1109)*(Inputs!$F$17-Inputs!$D$17)*(Inputs!$F$17-Inputs!$E$17))),0)</f>
        <v>106</v>
      </c>
      <c r="J1109" s="81" t="n">
        <f aca="true">RAND()</f>
        <v>0.393291025745307</v>
      </c>
      <c r="K1109" s="83" t="n">
        <f aca="false">IF(J1109&lt;(Inputs!$E$18-Inputs!$D$18)/(Inputs!$F$18-Inputs!$D$18),Inputs!$D$18+SQRT(J1109*(Inputs!$F$18-Inputs!$D$18)*(Inputs!$E$18-Inputs!$D$18)),Inputs!$F$18-SQRT((1-J1109)*(Inputs!$F$18-Inputs!$D$18)*(Inputs!$F$18-Inputs!$E$18)))</f>
        <v>1.01959376039854</v>
      </c>
      <c r="L1109" s="81" t="n">
        <f aca="true">RAND()</f>
        <v>0.243369921429571</v>
      </c>
      <c r="M1109" s="83" t="n">
        <f aca="false">IF(L1109&lt;(Inputs!$E$24-Inputs!$D$24)/(Inputs!$F$24-Inputs!$D$24),Inputs!$D$24+SQRT(L1109*(Inputs!$F$24-Inputs!$D$24)*(Inputs!$E$24-Inputs!$D$24)),Inputs!$F$24-SQRT((1-L1109)*(Inputs!$F$24-Inputs!$D$24)*(Inputs!$F$24-Inputs!$E$24)))</f>
        <v>0.770892921361736</v>
      </c>
      <c r="N1109" s="81" t="n">
        <f aca="true">RAND()</f>
        <v>0.802650566122051</v>
      </c>
      <c r="O1109" s="83" t="n">
        <f aca="false">IF(N1109&lt;(Inputs!$E$26-Inputs!$D$26)/(Inputs!$F$26-Inputs!$D$26),Inputs!$D$26+SQRT(N1109*(Inputs!$F$26-Inputs!$D$26)*(Inputs!$E$26-Inputs!$D$26)),Inputs!$F$26-SQRT((1-N1109)*(Inputs!$F$26-Inputs!$D$26)*(Inputs!$F$26-Inputs!$E$26)))</f>
        <v>0.676736811695025</v>
      </c>
      <c r="P1109" s="81" t="n">
        <f aca="true">RAND()</f>
        <v>0.573446327864094</v>
      </c>
      <c r="Q1109" s="82" t="n">
        <f aca="false">IF(P1109&lt;(Inputs!$E$27-Inputs!$D$27)/(Inputs!$F$27-Inputs!$D$27),Inputs!$D$27+SQRT(P1109*(Inputs!$F$27-Inputs!$D$27)*(Inputs!$E$27-Inputs!$D$27)),Inputs!$F$27-SQRT((1-P1109)*(Inputs!$F$27-Inputs!$D$27)*(Inputs!$F$27-Inputs!$E$27)))</f>
        <v>93.4389485509747</v>
      </c>
      <c r="R1109" s="81" t="n">
        <f aca="true">RAND()</f>
        <v>0.762794912811507</v>
      </c>
      <c r="S1109" s="82" t="n">
        <f aca="false">IF(R1109&lt;(Inputs!$E$29-Inputs!$D$29)/(Inputs!$F$29-Inputs!$D$29),Inputs!$D$29+SQRT(R1109*(Inputs!$F$29-Inputs!$D$29)*(Inputs!$E$29-Inputs!$D$29)),Inputs!$F$29-SQRT((1-R1109)*(Inputs!$F$29-Inputs!$D$29)*(Inputs!$F$29-Inputs!$E$29)))</f>
        <v>9.44692325512207</v>
      </c>
      <c r="T1109" s="68" t="n">
        <f aca="false">Inputs!$E$9*(1+E1109)+Inputs!$E$5*C1109*(Inputs!$E$11*Inputs!$E$14*(G1109*I1109/Inputs!$E$16+(1-G1109))*K1109+Inputs!$E$23*M1109)*(1+O1109)+Inputs!$E$5*(Q1109+S1109)</f>
        <v>6384.55618913006</v>
      </c>
    </row>
    <row r="1110" customFormat="false" ht="15" hidden="false" customHeight="false" outlineLevel="0" collapsed="false">
      <c r="A1110" s="1" t="n">
        <v>1106</v>
      </c>
      <c r="B1110" s="81" t="n">
        <f aca="true">RAND()</f>
        <v>0.908841490718134</v>
      </c>
      <c r="C1110" s="82" t="n">
        <f aca="false">ROUND(IF(B1110&lt;(Inputs!$E$8-Inputs!$D$8)/(Inputs!$F$8-Inputs!$D$8),Inputs!$D$8+SQRT(B1110*(Inputs!$F$8-Inputs!$D$8)*(Inputs!$E$8-Inputs!$D$8)),Inputs!$F$8-SQRT((1-B1110)*(Inputs!$F$8-Inputs!$D$8)*(Inputs!$F$8-Inputs!$E$8))),0)</f>
        <v>28</v>
      </c>
      <c r="D1110" s="81" t="n">
        <f aca="true">RAND()</f>
        <v>0.253820182478495</v>
      </c>
      <c r="E1110" s="83" t="n">
        <f aca="false">IF(D1110&lt;(Inputs!$E$10-Inputs!$D$10)/(Inputs!$F$10-Inputs!$D$10),Inputs!$D$10+SQRT(D1110*(Inputs!$F$10-Inputs!$D$10)*(Inputs!$E$10-Inputs!$D$10)),Inputs!$F$10-SQRT((1-D1110)*(Inputs!$F$10-Inputs!$D$10)*(Inputs!$F$10-Inputs!$E$10)))</f>
        <v>0.0503825059505234</v>
      </c>
      <c r="F1110" s="81" t="n">
        <f aca="true">RAND()</f>
        <v>0.48627709039133</v>
      </c>
      <c r="G1110" s="83" t="n">
        <f aca="false">IF(F1110&lt;(Inputs!$E$15-Inputs!$D$15)/(Inputs!$F$15-Inputs!$D$15),Inputs!$D$15+SQRT(F1110*(Inputs!$F$15-Inputs!$D$15)*(Inputs!$E$15-Inputs!$D$15)),Inputs!$F$15-SQRT((1-F1110)*(Inputs!$F$15-Inputs!$D$15)*(Inputs!$F$15-Inputs!$E$15)))</f>
        <v>0.698618161653047</v>
      </c>
      <c r="H1110" s="81" t="n">
        <f aca="true">RAND()</f>
        <v>0.422120962678224</v>
      </c>
      <c r="I1110" s="82" t="n">
        <f aca="false">ROUND(IF(H1110&lt;(Inputs!$E$17-Inputs!$D$17)/(Inputs!$F$17-Inputs!$D$17),Inputs!$D$17+SQRT(H1110*(Inputs!$F$17-Inputs!$D$17)*(Inputs!$E$17-Inputs!$D$17)),Inputs!$F$17-SQRT((1-H1110)*(Inputs!$F$17-Inputs!$D$17)*(Inputs!$F$17-Inputs!$E$17))),0)</f>
        <v>106</v>
      </c>
      <c r="J1110" s="81" t="n">
        <f aca="true">RAND()</f>
        <v>0.268582397069484</v>
      </c>
      <c r="K1110" s="83" t="n">
        <f aca="false">IF(J1110&lt;(Inputs!$E$18-Inputs!$D$18)/(Inputs!$F$18-Inputs!$D$18),Inputs!$D$18+SQRT(J1110*(Inputs!$F$18-Inputs!$D$18)*(Inputs!$E$18-Inputs!$D$18)),Inputs!$F$18-SQRT((1-J1110)*(Inputs!$F$18-Inputs!$D$18)*(Inputs!$F$18-Inputs!$E$18)))</f>
        <v>0.996955576927952</v>
      </c>
      <c r="L1110" s="81" t="n">
        <f aca="true">RAND()</f>
        <v>0.248849351290278</v>
      </c>
      <c r="M1110" s="83" t="n">
        <f aca="false">IF(L1110&lt;(Inputs!$E$24-Inputs!$D$24)/(Inputs!$F$24-Inputs!$D$24),Inputs!$D$24+SQRT(L1110*(Inputs!$F$24-Inputs!$D$24)*(Inputs!$E$24-Inputs!$D$24)),Inputs!$F$24-SQRT((1-L1110)*(Inputs!$F$24-Inputs!$D$24)*(Inputs!$F$24-Inputs!$E$24)))</f>
        <v>0.772806024648544</v>
      </c>
      <c r="N1110" s="81" t="n">
        <f aca="true">RAND()</f>
        <v>0.234859657548906</v>
      </c>
      <c r="O1110" s="83" t="n">
        <f aca="false">IF(N1110&lt;(Inputs!$E$26-Inputs!$D$26)/(Inputs!$F$26-Inputs!$D$26),Inputs!$D$26+SQRT(N1110*(Inputs!$F$26-Inputs!$D$26)*(Inputs!$E$26-Inputs!$D$26)),Inputs!$F$26-SQRT((1-N1110)*(Inputs!$F$26-Inputs!$D$26)*(Inputs!$F$26-Inputs!$E$26)))</f>
        <v>0.497688257152867</v>
      </c>
      <c r="P1110" s="81" t="n">
        <f aca="true">RAND()</f>
        <v>0.700808805030514</v>
      </c>
      <c r="Q1110" s="82" t="n">
        <f aca="false">IF(P1110&lt;(Inputs!$E$27-Inputs!$D$27)/(Inputs!$F$27-Inputs!$D$27),Inputs!$D$27+SQRT(P1110*(Inputs!$F$27-Inputs!$D$27)*(Inputs!$E$27-Inputs!$D$27)),Inputs!$F$27-SQRT((1-P1110)*(Inputs!$F$27-Inputs!$D$27)*(Inputs!$F$27-Inputs!$E$27)))</f>
        <v>102.629819904595</v>
      </c>
      <c r="R1110" s="81" t="n">
        <f aca="true">RAND()</f>
        <v>0.423745522506028</v>
      </c>
      <c r="S1110" s="82" t="n">
        <f aca="false">IF(R1110&lt;(Inputs!$E$29-Inputs!$D$29)/(Inputs!$F$29-Inputs!$D$29),Inputs!$D$29+SQRT(R1110*(Inputs!$F$29-Inputs!$D$29)*(Inputs!$E$29-Inputs!$D$29)),Inputs!$F$29-SQRT((1-R1110)*(Inputs!$F$29-Inputs!$D$29)*(Inputs!$F$29-Inputs!$E$29)))</f>
        <v>6.34476562569122</v>
      </c>
      <c r="T1110" s="68" t="n">
        <f aca="false">Inputs!$E$9*(1+E1110)+Inputs!$E$5*C1110*(Inputs!$E$11*Inputs!$E$14*(G1110*I1110/Inputs!$E$16+(1-G1110))*K1110+Inputs!$E$23*M1110)*(1+O1110)+Inputs!$E$5*(Q1110+S1110)</f>
        <v>6270.27687549483</v>
      </c>
    </row>
    <row r="1111" customFormat="false" ht="15" hidden="false" customHeight="false" outlineLevel="0" collapsed="false">
      <c r="A1111" s="1" t="n">
        <v>1107</v>
      </c>
      <c r="B1111" s="81" t="n">
        <f aca="true">RAND()</f>
        <v>0.776614546026553</v>
      </c>
      <c r="C1111" s="82" t="n">
        <f aca="false">ROUND(IF(B1111&lt;(Inputs!$E$8-Inputs!$D$8)/(Inputs!$F$8-Inputs!$D$8),Inputs!$D$8+SQRT(B1111*(Inputs!$F$8-Inputs!$D$8)*(Inputs!$E$8-Inputs!$D$8)),Inputs!$F$8-SQRT((1-B1111)*(Inputs!$F$8-Inputs!$D$8)*(Inputs!$F$8-Inputs!$E$8))),0)</f>
        <v>27</v>
      </c>
      <c r="D1111" s="81" t="n">
        <f aca="true">RAND()</f>
        <v>0.181422491493548</v>
      </c>
      <c r="E1111" s="83" t="n">
        <f aca="false">IF(D1111&lt;(Inputs!$E$10-Inputs!$D$10)/(Inputs!$F$10-Inputs!$D$10),Inputs!$D$10+SQRT(D1111*(Inputs!$F$10-Inputs!$D$10)*(Inputs!$E$10-Inputs!$D$10)),Inputs!$F$10-SQRT((1-D1111)*(Inputs!$F$10-Inputs!$D$10)*(Inputs!$F$10-Inputs!$E$10)))</f>
        <v>0.0425937191958565</v>
      </c>
      <c r="F1111" s="81" t="n">
        <f aca="true">RAND()</f>
        <v>0.203083904247482</v>
      </c>
      <c r="G1111" s="83" t="n">
        <f aca="false">IF(F1111&lt;(Inputs!$E$15-Inputs!$D$15)/(Inputs!$F$15-Inputs!$D$15),Inputs!$D$15+SQRT(F1111*(Inputs!$F$15-Inputs!$D$15)*(Inputs!$E$15-Inputs!$D$15)),Inputs!$F$15-SQRT((1-F1111)*(Inputs!$F$15-Inputs!$D$15)*(Inputs!$F$15-Inputs!$E$15)))</f>
        <v>0.663731295961636</v>
      </c>
      <c r="H1111" s="81" t="n">
        <f aca="true">RAND()</f>
        <v>0.272807439553476</v>
      </c>
      <c r="I1111" s="82" t="n">
        <f aca="false">ROUND(IF(H1111&lt;(Inputs!$E$17-Inputs!$D$17)/(Inputs!$F$17-Inputs!$D$17),Inputs!$D$17+SQRT(H1111*(Inputs!$F$17-Inputs!$D$17)*(Inputs!$E$17-Inputs!$D$17)),Inputs!$F$17-SQRT((1-H1111)*(Inputs!$F$17-Inputs!$D$17)*(Inputs!$F$17-Inputs!$E$17))),0)</f>
        <v>105</v>
      </c>
      <c r="J1111" s="81" t="n">
        <f aca="true">RAND()</f>
        <v>0.533052662637898</v>
      </c>
      <c r="K1111" s="83" t="n">
        <f aca="false">IF(J1111&lt;(Inputs!$E$18-Inputs!$D$18)/(Inputs!$F$18-Inputs!$D$18),Inputs!$D$18+SQRT(J1111*(Inputs!$F$18-Inputs!$D$18)*(Inputs!$E$18-Inputs!$D$18)),Inputs!$F$18-SQRT((1-J1111)*(Inputs!$F$18-Inputs!$D$18)*(Inputs!$F$18-Inputs!$E$18)))</f>
        <v>1.04786664792968</v>
      </c>
      <c r="L1111" s="81" t="n">
        <f aca="true">RAND()</f>
        <v>0.2805502755423</v>
      </c>
      <c r="M1111" s="83" t="n">
        <f aca="false">IF(L1111&lt;(Inputs!$E$24-Inputs!$D$24)/(Inputs!$F$24-Inputs!$D$24),Inputs!$D$24+SQRT(L1111*(Inputs!$F$24-Inputs!$D$24)*(Inputs!$E$24-Inputs!$D$24)),Inputs!$F$24-SQRT((1-L1111)*(Inputs!$F$24-Inputs!$D$24)*(Inputs!$F$24-Inputs!$E$24)))</f>
        <v>0.783483059340845</v>
      </c>
      <c r="N1111" s="81" t="n">
        <f aca="true">RAND()</f>
        <v>0.156434937311248</v>
      </c>
      <c r="O1111" s="83" t="n">
        <f aca="false">IF(N1111&lt;(Inputs!$E$26-Inputs!$D$26)/(Inputs!$F$26-Inputs!$D$26),Inputs!$D$26+SQRT(N1111*(Inputs!$F$26-Inputs!$D$26)*(Inputs!$E$26-Inputs!$D$26)),Inputs!$F$26-SQRT((1-N1111)*(Inputs!$F$26-Inputs!$D$26)*(Inputs!$F$26-Inputs!$E$26)))</f>
        <v>0.461340551531819</v>
      </c>
      <c r="P1111" s="81" t="n">
        <f aca="true">RAND()</f>
        <v>0.985020811632086</v>
      </c>
      <c r="Q1111" s="82" t="n">
        <f aca="false">IF(P1111&lt;(Inputs!$E$27-Inputs!$D$27)/(Inputs!$F$27-Inputs!$D$27),Inputs!$D$27+SQRT(P1111*(Inputs!$F$27-Inputs!$D$27)*(Inputs!$E$27-Inputs!$D$27)),Inputs!$F$27-SQRT((1-P1111)*(Inputs!$F$27-Inputs!$D$27)*(Inputs!$F$27-Inputs!$E$27)))</f>
        <v>139.400758859269</v>
      </c>
      <c r="R1111" s="81" t="n">
        <f aca="true">RAND()</f>
        <v>0.970246795572072</v>
      </c>
      <c r="S1111" s="82" t="n">
        <f aca="false">IF(R1111&lt;(Inputs!$E$29-Inputs!$D$29)/(Inputs!$F$29-Inputs!$D$29),Inputs!$D$29+SQRT(R1111*(Inputs!$F$29-Inputs!$D$29)*(Inputs!$E$29-Inputs!$D$29)),Inputs!$F$29-SQRT((1-R1111)*(Inputs!$F$29-Inputs!$D$29)*(Inputs!$F$29-Inputs!$E$29)))</f>
        <v>13.0332980460602</v>
      </c>
      <c r="T1111" s="68" t="n">
        <f aca="false">Inputs!$E$9*(1+E1111)+Inputs!$E$5*C1111*(Inputs!$E$11*Inputs!$E$14*(G1111*I1111/Inputs!$E$16+(1-G1111))*K1111+Inputs!$E$23*M1111)*(1+O1111)+Inputs!$E$5*(Q1111+S1111)</f>
        <v>6428.15969193507</v>
      </c>
    </row>
    <row r="1112" customFormat="false" ht="15" hidden="false" customHeight="false" outlineLevel="0" collapsed="false">
      <c r="A1112" s="1" t="n">
        <v>1108</v>
      </c>
      <c r="B1112" s="81" t="n">
        <f aca="true">RAND()</f>
        <v>0.476804685691067</v>
      </c>
      <c r="C1112" s="82" t="n">
        <f aca="false">ROUND(IF(B1112&lt;(Inputs!$E$8-Inputs!$D$8)/(Inputs!$F$8-Inputs!$D$8),Inputs!$D$8+SQRT(B1112*(Inputs!$F$8-Inputs!$D$8)*(Inputs!$E$8-Inputs!$D$8)),Inputs!$F$8-SQRT((1-B1112)*(Inputs!$F$8-Inputs!$D$8)*(Inputs!$F$8-Inputs!$E$8))),0)</f>
        <v>25</v>
      </c>
      <c r="D1112" s="81" t="n">
        <f aca="true">RAND()</f>
        <v>0.822719852892854</v>
      </c>
      <c r="E1112" s="83" t="n">
        <f aca="false">IF(D1112&lt;(Inputs!$E$10-Inputs!$D$10)/(Inputs!$F$10-Inputs!$D$10),Inputs!$D$10+SQRT(D1112*(Inputs!$F$10-Inputs!$D$10)*(Inputs!$E$10-Inputs!$D$10)),Inputs!$F$10-SQRT((1-D1112)*(Inputs!$F$10-Inputs!$D$10)*(Inputs!$F$10-Inputs!$E$10)))</f>
        <v>0.127072608621901</v>
      </c>
      <c r="F1112" s="81" t="n">
        <f aca="true">RAND()</f>
        <v>0.414455368313171</v>
      </c>
      <c r="G1112" s="83" t="n">
        <f aca="false">IF(F1112&lt;(Inputs!$E$15-Inputs!$D$15)/(Inputs!$F$15-Inputs!$D$15),Inputs!$D$15+SQRT(F1112*(Inputs!$F$15-Inputs!$D$15)*(Inputs!$E$15-Inputs!$D$15)),Inputs!$F$15-SQRT((1-F1112)*(Inputs!$F$15-Inputs!$D$15)*(Inputs!$F$15-Inputs!$E$15)))</f>
        <v>0.691044535070829</v>
      </c>
      <c r="H1112" s="81" t="n">
        <f aca="true">RAND()</f>
        <v>0.314209969958104</v>
      </c>
      <c r="I1112" s="82" t="n">
        <f aca="false">ROUND(IF(H1112&lt;(Inputs!$E$17-Inputs!$D$17)/(Inputs!$F$17-Inputs!$D$17),Inputs!$D$17+SQRT(H1112*(Inputs!$F$17-Inputs!$D$17)*(Inputs!$E$17-Inputs!$D$17)),Inputs!$F$17-SQRT((1-H1112)*(Inputs!$F$17-Inputs!$D$17)*(Inputs!$F$17-Inputs!$E$17))),0)</f>
        <v>105</v>
      </c>
      <c r="J1112" s="81" t="n">
        <f aca="true">RAND()</f>
        <v>0.681777473758207</v>
      </c>
      <c r="K1112" s="83" t="n">
        <f aca="false">IF(J1112&lt;(Inputs!$E$18-Inputs!$D$18)/(Inputs!$F$18-Inputs!$D$18),Inputs!$D$18+SQRT(J1112*(Inputs!$F$18-Inputs!$D$18)*(Inputs!$E$18-Inputs!$D$18)),Inputs!$F$18-SQRT((1-J1112)*(Inputs!$F$18-Inputs!$D$18)*(Inputs!$F$18-Inputs!$E$18)))</f>
        <v>1.08313337348002</v>
      </c>
      <c r="L1112" s="81" t="n">
        <f aca="true">RAND()</f>
        <v>0.197088019308746</v>
      </c>
      <c r="M1112" s="83" t="n">
        <f aca="false">IF(L1112&lt;(Inputs!$E$24-Inputs!$D$24)/(Inputs!$F$24-Inputs!$D$24),Inputs!$D$24+SQRT(L1112*(Inputs!$F$24-Inputs!$D$24)*(Inputs!$E$24-Inputs!$D$24)),Inputs!$F$24-SQRT((1-L1112)*(Inputs!$F$24-Inputs!$D$24)*(Inputs!$F$24-Inputs!$E$24)))</f>
        <v>0.753787393231856</v>
      </c>
      <c r="N1112" s="81" t="n">
        <f aca="true">RAND()</f>
        <v>0.210629938386922</v>
      </c>
      <c r="O1112" s="83" t="n">
        <f aca="false">IF(N1112&lt;(Inputs!$E$26-Inputs!$D$26)/(Inputs!$F$26-Inputs!$D$26),Inputs!$D$26+SQRT(N1112*(Inputs!$F$26-Inputs!$D$26)*(Inputs!$E$26-Inputs!$D$26)),Inputs!$F$26-SQRT((1-N1112)*(Inputs!$F$26-Inputs!$D$26)*(Inputs!$F$26-Inputs!$E$26)))</f>
        <v>0.487213305476891</v>
      </c>
      <c r="P1112" s="81" t="n">
        <f aca="true">RAND()</f>
        <v>0.0263091852398705</v>
      </c>
      <c r="Q1112" s="82" t="n">
        <f aca="false">IF(P1112&lt;(Inputs!$E$27-Inputs!$D$27)/(Inputs!$F$27-Inputs!$D$27),Inputs!$D$27+SQRT(P1112*(Inputs!$F$27-Inputs!$D$27)*(Inputs!$E$27-Inputs!$D$27)),Inputs!$F$27-SQRT((1-P1112)*(Inputs!$F$27-Inputs!$D$27)*(Inputs!$F$27-Inputs!$E$27)))</f>
        <v>58.1100532118893</v>
      </c>
      <c r="R1112" s="81" t="n">
        <f aca="true">RAND()</f>
        <v>0.493172188399333</v>
      </c>
      <c r="S1112" s="82" t="n">
        <f aca="false">IF(R1112&lt;(Inputs!$E$29-Inputs!$D$29)/(Inputs!$F$29-Inputs!$D$29),Inputs!$D$29+SQRT(R1112*(Inputs!$F$29-Inputs!$D$29)*(Inputs!$E$29-Inputs!$D$29)),Inputs!$F$29-SQRT((1-R1112)*(Inputs!$F$29-Inputs!$D$29)*(Inputs!$F$29-Inputs!$E$29)))</f>
        <v>6.8828813296782</v>
      </c>
      <c r="T1112" s="68" t="n">
        <f aca="false">Inputs!$E$9*(1+E1112)+Inputs!$E$5*C1112*(Inputs!$E$11*Inputs!$E$14*(G1112*I1112/Inputs!$E$16+(1-G1112))*K1112+Inputs!$E$23*M1112)*(1+O1112)+Inputs!$E$5*(Q1112+S1112)</f>
        <v>5978.29579341252</v>
      </c>
    </row>
    <row r="1113" customFormat="false" ht="15" hidden="false" customHeight="false" outlineLevel="0" collapsed="false">
      <c r="A1113" s="1" t="n">
        <v>1109</v>
      </c>
      <c r="B1113" s="81" t="n">
        <f aca="true">RAND()</f>
        <v>0.315015689948269</v>
      </c>
      <c r="C1113" s="82" t="n">
        <f aca="false">ROUND(IF(B1113&lt;(Inputs!$E$8-Inputs!$D$8)/(Inputs!$F$8-Inputs!$D$8),Inputs!$D$8+SQRT(B1113*(Inputs!$F$8-Inputs!$D$8)*(Inputs!$E$8-Inputs!$D$8)),Inputs!$F$8-SQRT((1-B1113)*(Inputs!$F$8-Inputs!$D$8)*(Inputs!$F$8-Inputs!$E$8))),0)</f>
        <v>24</v>
      </c>
      <c r="D1113" s="81" t="n">
        <f aca="true">RAND()</f>
        <v>0.454277937319455</v>
      </c>
      <c r="E1113" s="83" t="n">
        <f aca="false">IF(D1113&lt;(Inputs!$E$10-Inputs!$D$10)/(Inputs!$F$10-Inputs!$D$10),Inputs!$D$10+SQRT(D1113*(Inputs!$F$10-Inputs!$D$10)*(Inputs!$E$10-Inputs!$D$10)),Inputs!$F$10-SQRT((1-D1113)*(Inputs!$F$10-Inputs!$D$10)*(Inputs!$F$10-Inputs!$E$10)))</f>
        <v>0.0720482048566088</v>
      </c>
      <c r="F1113" s="81" t="n">
        <f aca="true">RAND()</f>
        <v>0.374031222544068</v>
      </c>
      <c r="G1113" s="83" t="n">
        <f aca="false">IF(F1113&lt;(Inputs!$E$15-Inputs!$D$15)/(Inputs!$F$15-Inputs!$D$15),Inputs!$D$15+SQRT(F1113*(Inputs!$F$15-Inputs!$D$15)*(Inputs!$E$15-Inputs!$D$15)),Inputs!$F$15-SQRT((1-F1113)*(Inputs!$F$15-Inputs!$D$15)*(Inputs!$F$15-Inputs!$E$15)))</f>
        <v>0.686490603251922</v>
      </c>
      <c r="H1113" s="81" t="n">
        <f aca="true">RAND()</f>
        <v>0.0374308137729206</v>
      </c>
      <c r="I1113" s="82" t="n">
        <f aca="false">ROUND(IF(H1113&lt;(Inputs!$E$17-Inputs!$D$17)/(Inputs!$F$17-Inputs!$D$17),Inputs!$D$17+SQRT(H1113*(Inputs!$F$17-Inputs!$D$17)*(Inputs!$E$17-Inputs!$D$17)),Inputs!$F$17-SQRT((1-H1113)*(Inputs!$F$17-Inputs!$D$17)*(Inputs!$F$17-Inputs!$E$17))),0)</f>
        <v>102</v>
      </c>
      <c r="J1113" s="81" t="n">
        <f aca="true">RAND()</f>
        <v>0.261101259672518</v>
      </c>
      <c r="K1113" s="83" t="n">
        <f aca="false">IF(J1113&lt;(Inputs!$E$18-Inputs!$D$18)/(Inputs!$F$18-Inputs!$D$18),Inputs!$D$18+SQRT(J1113*(Inputs!$F$18-Inputs!$D$18)*(Inputs!$E$18-Inputs!$D$18)),Inputs!$F$18-SQRT((1-J1113)*(Inputs!$F$18-Inputs!$D$18)*(Inputs!$F$18-Inputs!$E$18)))</f>
        <v>0.995595732585394</v>
      </c>
      <c r="L1113" s="81" t="n">
        <f aca="true">RAND()</f>
        <v>0.812984463751858</v>
      </c>
      <c r="M1113" s="83" t="n">
        <f aca="false">IF(L1113&lt;(Inputs!$E$24-Inputs!$D$24)/(Inputs!$F$24-Inputs!$D$24),Inputs!$D$24+SQRT(L1113*(Inputs!$F$24-Inputs!$D$24)*(Inputs!$E$24-Inputs!$D$24)),Inputs!$F$24-SQRT((1-L1113)*(Inputs!$F$24-Inputs!$D$24)*(Inputs!$F$24-Inputs!$E$24)))</f>
        <v>0.988142196982141</v>
      </c>
      <c r="N1113" s="81" t="n">
        <f aca="true">RAND()</f>
        <v>0.14844099784057</v>
      </c>
      <c r="O1113" s="83" t="n">
        <f aca="false">IF(N1113&lt;(Inputs!$E$26-Inputs!$D$26)/(Inputs!$F$26-Inputs!$D$26),Inputs!$D$26+SQRT(N1113*(Inputs!$F$26-Inputs!$D$26)*(Inputs!$E$26-Inputs!$D$26)),Inputs!$F$26-SQRT((1-N1113)*(Inputs!$F$26-Inputs!$D$26)*(Inputs!$F$26-Inputs!$E$26)))</f>
        <v>0.45716418816216</v>
      </c>
      <c r="P1113" s="81" t="n">
        <f aca="true">RAND()</f>
        <v>0.0836341789106401</v>
      </c>
      <c r="Q1113" s="82" t="n">
        <f aca="false">IF(P1113&lt;(Inputs!$E$27-Inputs!$D$27)/(Inputs!$F$27-Inputs!$D$27),Inputs!$D$27+SQRT(P1113*(Inputs!$F$27-Inputs!$D$27)*(Inputs!$E$27-Inputs!$D$27)),Inputs!$F$27-SQRT((1-P1113)*(Inputs!$F$27-Inputs!$D$27)*(Inputs!$F$27-Inputs!$E$27)))</f>
        <v>64.4597872486631</v>
      </c>
      <c r="R1113" s="81" t="n">
        <f aca="true">RAND()</f>
        <v>0.628781626697041</v>
      </c>
      <c r="S1113" s="82" t="n">
        <f aca="false">IF(R1113&lt;(Inputs!$E$29-Inputs!$D$29)/(Inputs!$F$29-Inputs!$D$29),Inputs!$D$29+SQRT(R1113*(Inputs!$F$29-Inputs!$D$29)*(Inputs!$E$29-Inputs!$D$29)),Inputs!$F$29-SQRT((1-R1113)*(Inputs!$F$29-Inputs!$D$29)*(Inputs!$F$29-Inputs!$E$29)))</f>
        <v>8.05317421195949</v>
      </c>
      <c r="T1113" s="68" t="n">
        <f aca="false">Inputs!$E$9*(1+E1113)+Inputs!$E$5*C1113*(Inputs!$E$11*Inputs!$E$14*(G1113*I1113/Inputs!$E$16+(1-G1113))*K1113+Inputs!$E$23*M1113)*(1+O1113)+Inputs!$E$5*(Q1113+S1113)</f>
        <v>5808.64498421674</v>
      </c>
    </row>
    <row r="1114" customFormat="false" ht="15" hidden="false" customHeight="false" outlineLevel="0" collapsed="false">
      <c r="A1114" s="1" t="n">
        <v>1110</v>
      </c>
      <c r="B1114" s="81" t="n">
        <f aca="true">RAND()</f>
        <v>0.615996975122571</v>
      </c>
      <c r="C1114" s="82" t="n">
        <f aca="false">ROUND(IF(B1114&lt;(Inputs!$E$8-Inputs!$D$8)/(Inputs!$F$8-Inputs!$D$8),Inputs!$D$8+SQRT(B1114*(Inputs!$F$8-Inputs!$D$8)*(Inputs!$E$8-Inputs!$D$8)),Inputs!$F$8-SQRT((1-B1114)*(Inputs!$F$8-Inputs!$D$8)*(Inputs!$F$8-Inputs!$E$8))),0)</f>
        <v>26</v>
      </c>
      <c r="D1114" s="81" t="n">
        <f aca="true">RAND()</f>
        <v>0.478816308648673</v>
      </c>
      <c r="E1114" s="83" t="n">
        <f aca="false">IF(D1114&lt;(Inputs!$E$10-Inputs!$D$10)/(Inputs!$F$10-Inputs!$D$10),Inputs!$D$10+SQRT(D1114*(Inputs!$F$10-Inputs!$D$10)*(Inputs!$E$10-Inputs!$D$10)),Inputs!$F$10-SQRT((1-D1114)*(Inputs!$F$10-Inputs!$D$10)*(Inputs!$F$10-Inputs!$E$10)))</f>
        <v>0.0749579641059063</v>
      </c>
      <c r="F1114" s="81" t="n">
        <f aca="true">RAND()</f>
        <v>0.498415312965804</v>
      </c>
      <c r="G1114" s="83" t="n">
        <f aca="false">IF(F1114&lt;(Inputs!$E$15-Inputs!$D$15)/(Inputs!$F$15-Inputs!$D$15),Inputs!$D$15+SQRT(F1114*(Inputs!$F$15-Inputs!$D$15)*(Inputs!$E$15-Inputs!$D$15)),Inputs!$F$15-SQRT((1-F1114)*(Inputs!$F$15-Inputs!$D$15)*(Inputs!$F$15-Inputs!$E$15)))</f>
        <v>0.69984140553556</v>
      </c>
      <c r="H1114" s="81" t="n">
        <f aca="true">RAND()</f>
        <v>0.00273805562156819</v>
      </c>
      <c r="I1114" s="82" t="n">
        <f aca="false">ROUND(IF(H1114&lt;(Inputs!$E$17-Inputs!$D$17)/(Inputs!$F$17-Inputs!$D$17),Inputs!$D$17+SQRT(H1114*(Inputs!$F$17-Inputs!$D$17)*(Inputs!$E$17-Inputs!$D$17)),Inputs!$F$17-SQRT((1-H1114)*(Inputs!$F$17-Inputs!$D$17)*(Inputs!$F$17-Inputs!$E$17))),0)</f>
        <v>100</v>
      </c>
      <c r="J1114" s="81" t="n">
        <f aca="true">RAND()</f>
        <v>0.331543694560191</v>
      </c>
      <c r="K1114" s="83" t="n">
        <f aca="false">IF(J1114&lt;(Inputs!$E$18-Inputs!$D$18)/(Inputs!$F$18-Inputs!$D$18),Inputs!$D$18+SQRT(J1114*(Inputs!$F$18-Inputs!$D$18)*(Inputs!$E$18-Inputs!$D$18)),Inputs!$F$18-SQRT((1-J1114)*(Inputs!$F$18-Inputs!$D$18)*(Inputs!$F$18-Inputs!$E$18)))</f>
        <v>1.0081530923787</v>
      </c>
      <c r="L1114" s="81" t="n">
        <f aca="true">RAND()</f>
        <v>0.197094040272963</v>
      </c>
      <c r="M1114" s="83" t="n">
        <f aca="false">IF(L1114&lt;(Inputs!$E$24-Inputs!$D$24)/(Inputs!$F$24-Inputs!$D$24),Inputs!$D$24+SQRT(L1114*(Inputs!$F$24-Inputs!$D$24)*(Inputs!$E$24-Inputs!$D$24)),Inputs!$F$24-SQRT((1-L1114)*(Inputs!$F$24-Inputs!$D$24)*(Inputs!$F$24-Inputs!$E$24)))</f>
        <v>0.753789742287175</v>
      </c>
      <c r="N1114" s="81" t="n">
        <f aca="true">RAND()</f>
        <v>0.278853263779849</v>
      </c>
      <c r="O1114" s="83" t="n">
        <f aca="false">IF(N1114&lt;(Inputs!$E$26-Inputs!$D$26)/(Inputs!$F$26-Inputs!$D$26),Inputs!$D$26+SQRT(N1114*(Inputs!$F$26-Inputs!$D$26)*(Inputs!$E$26-Inputs!$D$26)),Inputs!$F$26-SQRT((1-N1114)*(Inputs!$F$26-Inputs!$D$26)*(Inputs!$F$26-Inputs!$E$26)))</f>
        <v>0.515409338453482</v>
      </c>
      <c r="P1114" s="81" t="n">
        <f aca="true">RAND()</f>
        <v>0.66264902008224</v>
      </c>
      <c r="Q1114" s="82" t="n">
        <f aca="false">IF(P1114&lt;(Inputs!$E$27-Inputs!$D$27)/(Inputs!$F$27-Inputs!$D$27),Inputs!$D$27+SQRT(P1114*(Inputs!$F$27-Inputs!$D$27)*(Inputs!$E$27-Inputs!$D$27)),Inputs!$F$27-SQRT((1-P1114)*(Inputs!$F$27-Inputs!$D$27)*(Inputs!$F$27-Inputs!$E$27)))</f>
        <v>99.6995790337377</v>
      </c>
      <c r="R1114" s="81" t="n">
        <f aca="true">RAND()</f>
        <v>0.148994864874822</v>
      </c>
      <c r="S1114" s="82" t="n">
        <f aca="false">IF(R1114&lt;(Inputs!$E$29-Inputs!$D$29)/(Inputs!$F$29-Inputs!$D$29),Inputs!$D$29+SQRT(R1114*(Inputs!$F$29-Inputs!$D$29)*(Inputs!$E$29-Inputs!$D$29)),Inputs!$F$29-SQRT((1-R1114)*(Inputs!$F$29-Inputs!$D$29)*(Inputs!$F$29-Inputs!$E$29)))</f>
        <v>4.41056004491032</v>
      </c>
      <c r="T1114" s="68" t="n">
        <f aca="false">Inputs!$E$9*(1+E1114)+Inputs!$E$5*C1114*(Inputs!$E$11*Inputs!$E$14*(G1114*I1114/Inputs!$E$16+(1-G1114))*K1114+Inputs!$E$23*M1114)*(1+O1114)+Inputs!$E$5*(Q1114+S1114)</f>
        <v>6019.73670540838</v>
      </c>
    </row>
    <row r="1115" customFormat="false" ht="15" hidden="false" customHeight="false" outlineLevel="0" collapsed="false">
      <c r="A1115" s="1" t="n">
        <v>1111</v>
      </c>
      <c r="B1115" s="81" t="n">
        <f aca="true">RAND()</f>
        <v>0.579575881454837</v>
      </c>
      <c r="C1115" s="82" t="n">
        <f aca="false">ROUND(IF(B1115&lt;(Inputs!$E$8-Inputs!$D$8)/(Inputs!$F$8-Inputs!$D$8),Inputs!$D$8+SQRT(B1115*(Inputs!$F$8-Inputs!$D$8)*(Inputs!$E$8-Inputs!$D$8)),Inputs!$F$8-SQRT((1-B1115)*(Inputs!$F$8-Inputs!$D$8)*(Inputs!$F$8-Inputs!$E$8))),0)</f>
        <v>25</v>
      </c>
      <c r="D1115" s="81" t="n">
        <f aca="true">RAND()</f>
        <v>0.160657952483195</v>
      </c>
      <c r="E1115" s="83" t="n">
        <f aca="false">IF(D1115&lt;(Inputs!$E$10-Inputs!$D$10)/(Inputs!$F$10-Inputs!$D$10),Inputs!$D$10+SQRT(D1115*(Inputs!$F$10-Inputs!$D$10)*(Inputs!$E$10-Inputs!$D$10)),Inputs!$F$10-SQRT((1-D1115)*(Inputs!$F$10-Inputs!$D$10)*(Inputs!$F$10-Inputs!$E$10)))</f>
        <v>0.0400821596827311</v>
      </c>
      <c r="F1115" s="81" t="n">
        <f aca="true">RAND()</f>
        <v>0.297251537946391</v>
      </c>
      <c r="G1115" s="83" t="n">
        <f aca="false">IF(F1115&lt;(Inputs!$E$15-Inputs!$D$15)/(Inputs!$F$15-Inputs!$D$15),Inputs!$D$15+SQRT(F1115*(Inputs!$F$15-Inputs!$D$15)*(Inputs!$E$15-Inputs!$D$15)),Inputs!$F$15-SQRT((1-F1115)*(Inputs!$F$15-Inputs!$D$15)*(Inputs!$F$15-Inputs!$E$15)))</f>
        <v>0.677104025568889</v>
      </c>
      <c r="H1115" s="81" t="n">
        <f aca="true">RAND()</f>
        <v>0.171415178613311</v>
      </c>
      <c r="I1115" s="82" t="n">
        <f aca="false">ROUND(IF(H1115&lt;(Inputs!$E$17-Inputs!$D$17)/(Inputs!$F$17-Inputs!$D$17),Inputs!$D$17+SQRT(H1115*(Inputs!$F$17-Inputs!$D$17)*(Inputs!$E$17-Inputs!$D$17)),Inputs!$F$17-SQRT((1-H1115)*(Inputs!$F$17-Inputs!$D$17)*(Inputs!$F$17-Inputs!$E$17))),0)</f>
        <v>104</v>
      </c>
      <c r="J1115" s="81" t="n">
        <f aca="true">RAND()</f>
        <v>0.0215192270034662</v>
      </c>
      <c r="K1115" s="83" t="n">
        <f aca="false">IF(J1115&lt;(Inputs!$E$18-Inputs!$D$18)/(Inputs!$F$18-Inputs!$D$18),Inputs!$D$18+SQRT(J1115*(Inputs!$F$18-Inputs!$D$18)*(Inputs!$E$18-Inputs!$D$18)),Inputs!$F$18-SQRT((1-J1115)*(Inputs!$F$18-Inputs!$D$18)*(Inputs!$F$18-Inputs!$E$18)))</f>
        <v>0.927443996522397</v>
      </c>
      <c r="L1115" s="81" t="n">
        <f aca="true">RAND()</f>
        <v>0.893734624941238</v>
      </c>
      <c r="M1115" s="83" t="n">
        <f aca="false">IF(L1115&lt;(Inputs!$E$24-Inputs!$D$24)/(Inputs!$F$24-Inputs!$D$24),Inputs!$D$24+SQRT(L1115*(Inputs!$F$24-Inputs!$D$24)*(Inputs!$E$24-Inputs!$D$24)),Inputs!$F$24-SQRT((1-L1115)*(Inputs!$F$24-Inputs!$D$24)*(Inputs!$F$24-Inputs!$E$24)))</f>
        <v>1.04030125230891</v>
      </c>
      <c r="N1115" s="81" t="n">
        <f aca="true">RAND()</f>
        <v>0.799878849970107</v>
      </c>
      <c r="O1115" s="83" t="n">
        <f aca="false">IF(N1115&lt;(Inputs!$E$26-Inputs!$D$26)/(Inputs!$F$26-Inputs!$D$26),Inputs!$D$26+SQRT(N1115*(Inputs!$F$26-Inputs!$D$26)*(Inputs!$E$26-Inputs!$D$26)),Inputs!$F$26-SQRT((1-N1115)*(Inputs!$F$26-Inputs!$D$26)*(Inputs!$F$26-Inputs!$E$26)))</f>
        <v>0.675734274329941</v>
      </c>
      <c r="P1115" s="81" t="n">
        <f aca="true">RAND()</f>
        <v>0.824712365852013</v>
      </c>
      <c r="Q1115" s="82" t="n">
        <f aca="false">IF(P1115&lt;(Inputs!$E$27-Inputs!$D$27)/(Inputs!$F$27-Inputs!$D$27),Inputs!$D$27+SQRT(P1115*(Inputs!$F$27-Inputs!$D$27)*(Inputs!$E$27-Inputs!$D$27)),Inputs!$F$27-SQRT((1-P1115)*(Inputs!$F$27-Inputs!$D$27)*(Inputs!$F$27-Inputs!$E$27)))</f>
        <v>113.741797395487</v>
      </c>
      <c r="R1115" s="81" t="n">
        <f aca="true">RAND()</f>
        <v>0.130328168098757</v>
      </c>
      <c r="S1115" s="82" t="n">
        <f aca="false">IF(R1115&lt;(Inputs!$E$29-Inputs!$D$29)/(Inputs!$F$29-Inputs!$D$29),Inputs!$D$29+SQRT(R1115*(Inputs!$F$29-Inputs!$D$29)*(Inputs!$E$29-Inputs!$D$29)),Inputs!$F$29-SQRT((1-R1115)*(Inputs!$F$29-Inputs!$D$29)*(Inputs!$F$29-Inputs!$E$29)))</f>
        <v>4.25450627762522</v>
      </c>
      <c r="T1115" s="68" t="n">
        <f aca="false">Inputs!$E$9*(1+E1115)+Inputs!$E$5*C1115*(Inputs!$E$11*Inputs!$E$14*(G1115*I1115/Inputs!$E$16+(1-G1115))*K1115+Inputs!$E$23*M1115)*(1+O1115)+Inputs!$E$5*(Q1115+S1115)</f>
        <v>6537.05827656038</v>
      </c>
    </row>
    <row r="1116" customFormat="false" ht="15" hidden="false" customHeight="false" outlineLevel="0" collapsed="false">
      <c r="A1116" s="1" t="n">
        <v>1112</v>
      </c>
      <c r="B1116" s="81" t="n">
        <f aca="true">RAND()</f>
        <v>0.911719901862225</v>
      </c>
      <c r="C1116" s="82" t="n">
        <f aca="false">ROUND(IF(B1116&lt;(Inputs!$E$8-Inputs!$D$8)/(Inputs!$F$8-Inputs!$D$8),Inputs!$D$8+SQRT(B1116*(Inputs!$F$8-Inputs!$D$8)*(Inputs!$E$8-Inputs!$D$8)),Inputs!$F$8-SQRT((1-B1116)*(Inputs!$F$8-Inputs!$D$8)*(Inputs!$F$8-Inputs!$E$8))),0)</f>
        <v>28</v>
      </c>
      <c r="D1116" s="81" t="n">
        <f aca="true">RAND()</f>
        <v>0.853664312939821</v>
      </c>
      <c r="E1116" s="83" t="n">
        <f aca="false">IF(D1116&lt;(Inputs!$E$10-Inputs!$D$10)/(Inputs!$F$10-Inputs!$D$10),Inputs!$D$10+SQRT(D1116*(Inputs!$F$10-Inputs!$D$10)*(Inputs!$E$10-Inputs!$D$10)),Inputs!$F$10-SQRT((1-D1116)*(Inputs!$F$10-Inputs!$D$10)*(Inputs!$F$10-Inputs!$E$10)))</f>
        <v>0.133742392045853</v>
      </c>
      <c r="F1116" s="81" t="n">
        <f aca="true">RAND()</f>
        <v>0.681434112777329</v>
      </c>
      <c r="G1116" s="83" t="n">
        <f aca="false">IF(F1116&lt;(Inputs!$E$15-Inputs!$D$15)/(Inputs!$F$15-Inputs!$D$15),Inputs!$D$15+SQRT(F1116*(Inputs!$F$15-Inputs!$D$15)*(Inputs!$E$15-Inputs!$D$15)),Inputs!$F$15-SQRT((1-F1116)*(Inputs!$F$15-Inputs!$D$15)*(Inputs!$F$15-Inputs!$E$15)))</f>
        <v>0.720179465396094</v>
      </c>
      <c r="H1116" s="81" t="n">
        <f aca="true">RAND()</f>
        <v>0.097775387734015</v>
      </c>
      <c r="I1116" s="82" t="n">
        <f aca="false">ROUND(IF(H1116&lt;(Inputs!$E$17-Inputs!$D$17)/(Inputs!$F$17-Inputs!$D$17),Inputs!$D$17+SQRT(H1116*(Inputs!$F$17-Inputs!$D$17)*(Inputs!$E$17-Inputs!$D$17)),Inputs!$F$17-SQRT((1-H1116)*(Inputs!$F$17-Inputs!$D$17)*(Inputs!$F$17-Inputs!$E$17))),0)</f>
        <v>103</v>
      </c>
      <c r="J1116" s="81" t="n">
        <f aca="true">RAND()</f>
        <v>0.110722413147234</v>
      </c>
      <c r="K1116" s="83" t="n">
        <f aca="false">IF(J1116&lt;(Inputs!$E$18-Inputs!$D$18)/(Inputs!$F$18-Inputs!$D$18),Inputs!$D$18+SQRT(J1116*(Inputs!$F$18-Inputs!$D$18)*(Inputs!$E$18-Inputs!$D$18)),Inputs!$F$18-SQRT((1-J1116)*(Inputs!$F$18-Inputs!$D$18)*(Inputs!$F$18-Inputs!$E$18)))</f>
        <v>0.962251782786947</v>
      </c>
      <c r="L1116" s="81" t="n">
        <f aca="true">RAND()</f>
        <v>0.466801656251091</v>
      </c>
      <c r="M1116" s="83" t="n">
        <f aca="false">IF(L1116&lt;(Inputs!$E$24-Inputs!$D$24)/(Inputs!$F$24-Inputs!$D$24),Inputs!$D$24+SQRT(L1116*(Inputs!$F$24-Inputs!$D$24)*(Inputs!$E$24-Inputs!$D$24)),Inputs!$F$24-SQRT((1-L1116)*(Inputs!$F$24-Inputs!$D$24)*(Inputs!$F$24-Inputs!$E$24)))</f>
        <v>0.842274403348407</v>
      </c>
      <c r="N1116" s="81" t="n">
        <f aca="true">RAND()</f>
        <v>0.548095902939691</v>
      </c>
      <c r="O1116" s="83" t="n">
        <f aca="false">IF(N1116&lt;(Inputs!$E$26-Inputs!$D$26)/(Inputs!$F$26-Inputs!$D$26),Inputs!$D$26+SQRT(N1116*(Inputs!$F$26-Inputs!$D$26)*(Inputs!$E$26-Inputs!$D$26)),Inputs!$F$26-SQRT((1-N1116)*(Inputs!$F$26-Inputs!$D$26)*(Inputs!$F$26-Inputs!$E$26)))</f>
        <v>0.601998606369574</v>
      </c>
      <c r="P1116" s="81" t="n">
        <f aca="true">RAND()</f>
        <v>0.802388671152652</v>
      </c>
      <c r="Q1116" s="82" t="n">
        <f aca="false">IF(P1116&lt;(Inputs!$E$27-Inputs!$D$27)/(Inputs!$F$27-Inputs!$D$27),Inputs!$D$27+SQRT(P1116*(Inputs!$F$27-Inputs!$D$27)*(Inputs!$E$27-Inputs!$D$27)),Inputs!$F$27-SQRT((1-P1116)*(Inputs!$F$27-Inputs!$D$27)*(Inputs!$F$27-Inputs!$E$27)))</f>
        <v>111.502143353751</v>
      </c>
      <c r="R1116" s="81" t="n">
        <f aca="true">RAND()</f>
        <v>0.582665429017995</v>
      </c>
      <c r="S1116" s="82" t="n">
        <f aca="false">IF(R1116&lt;(Inputs!$E$29-Inputs!$D$29)/(Inputs!$F$29-Inputs!$D$29),Inputs!$D$29+SQRT(R1116*(Inputs!$F$29-Inputs!$D$29)*(Inputs!$E$29-Inputs!$D$29)),Inputs!$F$29-SQRT((1-R1116)*(Inputs!$F$29-Inputs!$D$29)*(Inputs!$F$29-Inputs!$E$29)))</f>
        <v>7.63430286886158</v>
      </c>
      <c r="T1116" s="68" t="n">
        <f aca="false">Inputs!$E$9*(1+E1116)+Inputs!$E$5*C1116*(Inputs!$E$11*Inputs!$E$14*(G1116*I1116/Inputs!$E$16+(1-G1116))*K1116+Inputs!$E$23*M1116)*(1+O1116)+Inputs!$E$5*(Q1116+S1116)</f>
        <v>6699.84210448383</v>
      </c>
    </row>
    <row r="1117" customFormat="false" ht="15" hidden="false" customHeight="false" outlineLevel="0" collapsed="false">
      <c r="A1117" s="1" t="n">
        <v>1113</v>
      </c>
      <c r="B1117" s="81" t="n">
        <f aca="true">RAND()</f>
        <v>0.242989078451516</v>
      </c>
      <c r="C1117" s="82" t="n">
        <f aca="false">ROUND(IF(B1117&lt;(Inputs!$E$8-Inputs!$D$8)/(Inputs!$F$8-Inputs!$D$8),Inputs!$D$8+SQRT(B1117*(Inputs!$F$8-Inputs!$D$8)*(Inputs!$E$8-Inputs!$D$8)),Inputs!$F$8-SQRT((1-B1117)*(Inputs!$F$8-Inputs!$D$8)*(Inputs!$F$8-Inputs!$E$8))),0)</f>
        <v>23</v>
      </c>
      <c r="D1117" s="81" t="n">
        <f aca="true">RAND()</f>
        <v>0.408854197912888</v>
      </c>
      <c r="E1117" s="83" t="n">
        <f aca="false">IF(D1117&lt;(Inputs!$E$10-Inputs!$D$10)/(Inputs!$F$10-Inputs!$D$10),Inputs!$D$10+SQRT(D1117*(Inputs!$F$10-Inputs!$D$10)*(Inputs!$E$10-Inputs!$D$10)),Inputs!$F$10-SQRT((1-D1117)*(Inputs!$F$10-Inputs!$D$10)*(Inputs!$F$10-Inputs!$E$10)))</f>
        <v>0.0668295300653581</v>
      </c>
      <c r="F1117" s="81" t="n">
        <f aca="true">RAND()</f>
        <v>0.282931695661367</v>
      </c>
      <c r="G1117" s="83" t="n">
        <f aca="false">IF(F1117&lt;(Inputs!$E$15-Inputs!$D$15)/(Inputs!$F$15-Inputs!$D$15),Inputs!$D$15+SQRT(F1117*(Inputs!$F$15-Inputs!$D$15)*(Inputs!$E$15-Inputs!$D$15)),Inputs!$F$15-SQRT((1-F1117)*(Inputs!$F$15-Inputs!$D$15)*(Inputs!$F$15-Inputs!$E$15)))</f>
        <v>0.675223891904283</v>
      </c>
      <c r="H1117" s="81" t="n">
        <f aca="true">RAND()</f>
        <v>0.973755023794228</v>
      </c>
      <c r="I1117" s="82" t="n">
        <f aca="false">ROUND(IF(H1117&lt;(Inputs!$E$17-Inputs!$D$17)/(Inputs!$F$17-Inputs!$D$17),Inputs!$D$17+SQRT(H1117*(Inputs!$F$17-Inputs!$D$17)*(Inputs!$E$17-Inputs!$D$17)),Inputs!$F$17-SQRT((1-H1117)*(Inputs!$F$17-Inputs!$D$17)*(Inputs!$F$17-Inputs!$E$17))),0)</f>
        <v>113</v>
      </c>
      <c r="J1117" s="81" t="n">
        <f aca="true">RAND()</f>
        <v>0.248622063911174</v>
      </c>
      <c r="K1117" s="83" t="n">
        <f aca="false">IF(J1117&lt;(Inputs!$E$18-Inputs!$D$18)/(Inputs!$F$18-Inputs!$D$18),Inputs!$D$18+SQRT(J1117*(Inputs!$F$18-Inputs!$D$18)*(Inputs!$E$18-Inputs!$D$18)),Inputs!$F$18-SQRT((1-J1117)*(Inputs!$F$18-Inputs!$D$18)*(Inputs!$F$18-Inputs!$E$18)))</f>
        <v>0.993283290234056</v>
      </c>
      <c r="L1117" s="81" t="n">
        <f aca="true">RAND()</f>
        <v>0.299717194806265</v>
      </c>
      <c r="M1117" s="83" t="n">
        <f aca="false">IF(L1117&lt;(Inputs!$E$24-Inputs!$D$24)/(Inputs!$F$24-Inputs!$D$24),Inputs!$D$24+SQRT(L1117*(Inputs!$F$24-Inputs!$D$24)*(Inputs!$E$24-Inputs!$D$24)),Inputs!$F$24-SQRT((1-L1117)*(Inputs!$F$24-Inputs!$D$24)*(Inputs!$F$24-Inputs!$E$24)))</f>
        <v>0.789647207669272</v>
      </c>
      <c r="N1117" s="81" t="n">
        <f aca="true">RAND()</f>
        <v>0.953668512742512</v>
      </c>
      <c r="O1117" s="83" t="n">
        <f aca="false">IF(N1117&lt;(Inputs!$E$26-Inputs!$D$26)/(Inputs!$F$26-Inputs!$D$26),Inputs!$D$26+SQRT(N1117*(Inputs!$F$26-Inputs!$D$26)*(Inputs!$E$26-Inputs!$D$26)),Inputs!$F$26-SQRT((1-N1117)*(Inputs!$F$26-Inputs!$D$26)*(Inputs!$F$26-Inputs!$E$26)))</f>
        <v>0.750584766262882</v>
      </c>
      <c r="P1117" s="81" t="n">
        <f aca="true">RAND()</f>
        <v>0.587659405680001</v>
      </c>
      <c r="Q1117" s="82" t="n">
        <f aca="false">IF(P1117&lt;(Inputs!$E$27-Inputs!$D$27)/(Inputs!$F$27-Inputs!$D$27),Inputs!$D$27+SQRT(P1117*(Inputs!$F$27-Inputs!$D$27)*(Inputs!$E$27-Inputs!$D$27)),Inputs!$F$27-SQRT((1-P1117)*(Inputs!$F$27-Inputs!$D$27)*(Inputs!$F$27-Inputs!$E$27)))</f>
        <v>94.3892595140112</v>
      </c>
      <c r="R1117" s="81" t="n">
        <f aca="true">RAND()</f>
        <v>0.038951990801489</v>
      </c>
      <c r="S1117" s="82" t="n">
        <f aca="false">IF(R1117&lt;(Inputs!$E$29-Inputs!$D$29)/(Inputs!$F$29-Inputs!$D$29),Inputs!$D$29+SQRT(R1117*(Inputs!$F$29-Inputs!$D$29)*(Inputs!$E$29-Inputs!$D$29)),Inputs!$F$29-SQRT((1-R1117)*(Inputs!$F$29-Inputs!$D$29)*(Inputs!$F$29-Inputs!$E$29)))</f>
        <v>3.23252896163055</v>
      </c>
      <c r="T1117" s="68" t="n">
        <f aca="false">Inputs!$E$9*(1+E1117)+Inputs!$E$5*C1117*(Inputs!$E$11*Inputs!$E$14*(G1117*I1117/Inputs!$E$16+(1-G1117))*K1117+Inputs!$E$23*M1117)*(1+O1117)+Inputs!$E$5*(Q1117+S1117)</f>
        <v>6239.21241964681</v>
      </c>
    </row>
    <row r="1118" customFormat="false" ht="15" hidden="false" customHeight="false" outlineLevel="0" collapsed="false">
      <c r="A1118" s="1" t="n">
        <v>1114</v>
      </c>
      <c r="B1118" s="81" t="n">
        <f aca="true">RAND()</f>
        <v>0.00129883267042332</v>
      </c>
      <c r="C1118" s="82" t="n">
        <f aca="false">ROUND(IF(B1118&lt;(Inputs!$E$8-Inputs!$D$8)/(Inputs!$F$8-Inputs!$D$8),Inputs!$D$8+SQRT(B1118*(Inputs!$F$8-Inputs!$D$8)*(Inputs!$E$8-Inputs!$D$8)),Inputs!$F$8-SQRT((1-B1118)*(Inputs!$F$8-Inputs!$D$8)*(Inputs!$F$8-Inputs!$E$8))),0)</f>
        <v>20</v>
      </c>
      <c r="D1118" s="81" t="n">
        <f aca="true">RAND()</f>
        <v>0.366731252441038</v>
      </c>
      <c r="E1118" s="83" t="n">
        <f aca="false">IF(D1118&lt;(Inputs!$E$10-Inputs!$D$10)/(Inputs!$F$10-Inputs!$D$10),Inputs!$D$10+SQRT(D1118*(Inputs!$F$10-Inputs!$D$10)*(Inputs!$E$10-Inputs!$D$10)),Inputs!$F$10-SQRT((1-D1118)*(Inputs!$F$10-Inputs!$D$10)*(Inputs!$F$10-Inputs!$E$10)))</f>
        <v>0.0621665409750997</v>
      </c>
      <c r="F1118" s="81" t="n">
        <f aca="true">RAND()</f>
        <v>0.192125664760082</v>
      </c>
      <c r="G1118" s="83" t="n">
        <f aca="false">IF(F1118&lt;(Inputs!$E$15-Inputs!$D$15)/(Inputs!$F$15-Inputs!$D$15),Inputs!$D$15+SQRT(F1118*(Inputs!$F$15-Inputs!$D$15)*(Inputs!$E$15-Inputs!$D$15)),Inputs!$F$15-SQRT((1-F1118)*(Inputs!$F$15-Inputs!$D$15)*(Inputs!$F$15-Inputs!$E$15)))</f>
        <v>0.661988009285681</v>
      </c>
      <c r="H1118" s="81" t="n">
        <f aca="true">RAND()</f>
        <v>0.292221920301753</v>
      </c>
      <c r="I1118" s="82" t="n">
        <f aca="false">ROUND(IF(H1118&lt;(Inputs!$E$17-Inputs!$D$17)/(Inputs!$F$17-Inputs!$D$17),Inputs!$D$17+SQRT(H1118*(Inputs!$F$17-Inputs!$D$17)*(Inputs!$E$17-Inputs!$D$17)),Inputs!$F$17-SQRT((1-H1118)*(Inputs!$F$17-Inputs!$D$17)*(Inputs!$F$17-Inputs!$E$17))),0)</f>
        <v>105</v>
      </c>
      <c r="J1118" s="81" t="n">
        <f aca="true">RAND()</f>
        <v>0.750022290280365</v>
      </c>
      <c r="K1118" s="83" t="n">
        <f aca="false">IF(J1118&lt;(Inputs!$E$18-Inputs!$D$18)/(Inputs!$F$18-Inputs!$D$18),Inputs!$D$18+SQRT(J1118*(Inputs!$F$18-Inputs!$D$18)*(Inputs!$E$18-Inputs!$D$18)),Inputs!$F$18-SQRT((1-J1118)*(Inputs!$F$18-Inputs!$D$18)*(Inputs!$F$18-Inputs!$E$18)))</f>
        <v>1.10210459912334</v>
      </c>
      <c r="L1118" s="81" t="n">
        <f aca="true">RAND()</f>
        <v>0.230169072759558</v>
      </c>
      <c r="M1118" s="83" t="n">
        <f aca="false">IF(L1118&lt;(Inputs!$E$24-Inputs!$D$24)/(Inputs!$F$24-Inputs!$D$24),Inputs!$D$24+SQRT(L1118*(Inputs!$F$24-Inputs!$D$24)*(Inputs!$E$24-Inputs!$D$24)),Inputs!$F$24-SQRT((1-L1118)*(Inputs!$F$24-Inputs!$D$24)*(Inputs!$F$24-Inputs!$E$24)))</f>
        <v>0.766193527946027</v>
      </c>
      <c r="N1118" s="81" t="n">
        <f aca="true">RAND()</f>
        <v>0.812313434908509</v>
      </c>
      <c r="O1118" s="83" t="n">
        <f aca="false">IF(N1118&lt;(Inputs!$E$26-Inputs!$D$26)/(Inputs!$F$26-Inputs!$D$26),Inputs!$D$26+SQRT(N1118*(Inputs!$F$26-Inputs!$D$26)*(Inputs!$E$26-Inputs!$D$26)),Inputs!$F$26-SQRT((1-N1118)*(Inputs!$F$26-Inputs!$D$26)*(Inputs!$F$26-Inputs!$E$26)))</f>
        <v>0.680288143776145</v>
      </c>
      <c r="P1118" s="81" t="n">
        <f aca="true">RAND()</f>
        <v>0.385024659141154</v>
      </c>
      <c r="Q1118" s="82" t="n">
        <f aca="false">IF(P1118&lt;(Inputs!$E$27-Inputs!$D$27)/(Inputs!$F$27-Inputs!$D$27),Inputs!$D$27+SQRT(P1118*(Inputs!$F$27-Inputs!$D$27)*(Inputs!$E$27-Inputs!$D$27)),Inputs!$F$27-SQRT((1-P1118)*(Inputs!$F$27-Inputs!$D$27)*(Inputs!$F$27-Inputs!$E$27)))</f>
        <v>82.0859730509128</v>
      </c>
      <c r="R1118" s="81" t="n">
        <f aca="true">RAND()</f>
        <v>0.193142438083943</v>
      </c>
      <c r="S1118" s="82" t="n">
        <f aca="false">IF(R1118&lt;(Inputs!$E$29-Inputs!$D$29)/(Inputs!$F$29-Inputs!$D$29),Inputs!$D$29+SQRT(R1118*(Inputs!$F$29-Inputs!$D$29)*(Inputs!$E$29-Inputs!$D$29)),Inputs!$F$29-SQRT((1-R1118)*(Inputs!$F$29-Inputs!$D$29)*(Inputs!$F$29-Inputs!$E$29)))</f>
        <v>4.74455006973343</v>
      </c>
      <c r="T1118" s="68" t="n">
        <f aca="false">Inputs!$E$9*(1+E1118)+Inputs!$E$5*C1118*(Inputs!$E$11*Inputs!$E$14*(G1118*I1118/Inputs!$E$16+(1-G1118))*K1118+Inputs!$E$23*M1118)*(1+O1118)+Inputs!$E$5*(Q1118+S1118)</f>
        <v>5724.68907922437</v>
      </c>
    </row>
    <row r="1119" customFormat="false" ht="15" hidden="false" customHeight="false" outlineLevel="0" collapsed="false">
      <c r="A1119" s="1" t="n">
        <v>1115</v>
      </c>
      <c r="B1119" s="81" t="n">
        <f aca="true">RAND()</f>
        <v>0.576806087108268</v>
      </c>
      <c r="C1119" s="82" t="n">
        <f aca="false">ROUND(IF(B1119&lt;(Inputs!$E$8-Inputs!$D$8)/(Inputs!$F$8-Inputs!$D$8),Inputs!$D$8+SQRT(B1119*(Inputs!$F$8-Inputs!$D$8)*(Inputs!$E$8-Inputs!$D$8)),Inputs!$F$8-SQRT((1-B1119)*(Inputs!$F$8-Inputs!$D$8)*(Inputs!$F$8-Inputs!$E$8))),0)</f>
        <v>25</v>
      </c>
      <c r="D1119" s="81" t="n">
        <f aca="true">RAND()</f>
        <v>0.0670157546958702</v>
      </c>
      <c r="E1119" s="83" t="n">
        <f aca="false">IF(D1119&lt;(Inputs!$E$10-Inputs!$D$10)/(Inputs!$F$10-Inputs!$D$10),Inputs!$D$10+SQRT(D1119*(Inputs!$F$10-Inputs!$D$10)*(Inputs!$E$10-Inputs!$D$10)),Inputs!$F$10-SQRT((1-D1119)*(Inputs!$F$10-Inputs!$D$10)*(Inputs!$F$10-Inputs!$E$10)))</f>
        <v>0.025887401317218</v>
      </c>
      <c r="F1119" s="81" t="n">
        <f aca="true">RAND()</f>
        <v>0.878413843673951</v>
      </c>
      <c r="G1119" s="83" t="n">
        <f aca="false">IF(F1119&lt;(Inputs!$E$15-Inputs!$D$15)/(Inputs!$F$15-Inputs!$D$15),Inputs!$D$15+SQRT(F1119*(Inputs!$F$15-Inputs!$D$15)*(Inputs!$E$15-Inputs!$D$15)),Inputs!$F$15-SQRT((1-F1119)*(Inputs!$F$15-Inputs!$D$15)*(Inputs!$F$15-Inputs!$E$15)))</f>
        <v>0.750687495231727</v>
      </c>
      <c r="H1119" s="81" t="n">
        <f aca="true">RAND()</f>
        <v>0.223044261083926</v>
      </c>
      <c r="I1119" s="82" t="n">
        <f aca="false">ROUND(IF(H1119&lt;(Inputs!$E$17-Inputs!$D$17)/(Inputs!$F$17-Inputs!$D$17),Inputs!$D$17+SQRT(H1119*(Inputs!$F$17-Inputs!$D$17)*(Inputs!$E$17-Inputs!$D$17)),Inputs!$F$17-SQRT((1-H1119)*(Inputs!$F$17-Inputs!$D$17)*(Inputs!$F$17-Inputs!$E$17))),0)</f>
        <v>104</v>
      </c>
      <c r="J1119" s="81" t="n">
        <f aca="true">RAND()</f>
        <v>0.580351818073928</v>
      </c>
      <c r="K1119" s="83" t="n">
        <f aca="false">IF(J1119&lt;(Inputs!$E$18-Inputs!$D$18)/(Inputs!$F$18-Inputs!$D$18),Inputs!$D$18+SQRT(J1119*(Inputs!$F$18-Inputs!$D$18)*(Inputs!$E$18-Inputs!$D$18)),Inputs!$F$18-SQRT((1-J1119)*(Inputs!$F$18-Inputs!$D$18)*(Inputs!$F$18-Inputs!$E$18)))</f>
        <v>1.05837741281746</v>
      </c>
      <c r="L1119" s="81" t="n">
        <f aca="true">RAND()</f>
        <v>0.536954929790383</v>
      </c>
      <c r="M1119" s="83" t="n">
        <f aca="false">IF(L1119&lt;(Inputs!$E$24-Inputs!$D$24)/(Inputs!$F$24-Inputs!$D$24),Inputs!$D$24+SQRT(L1119*(Inputs!$F$24-Inputs!$D$24)*(Inputs!$E$24-Inputs!$D$24)),Inputs!$F$24-SQRT((1-L1119)*(Inputs!$F$24-Inputs!$D$24)*(Inputs!$F$24-Inputs!$E$24)))</f>
        <v>0.866637109368322</v>
      </c>
      <c r="N1119" s="81" t="n">
        <f aca="true">RAND()</f>
        <v>0.0789806242661165</v>
      </c>
      <c r="O1119" s="83" t="n">
        <f aca="false">IF(N1119&lt;(Inputs!$E$26-Inputs!$D$26)/(Inputs!$F$26-Inputs!$D$26),Inputs!$D$26+SQRT(N1119*(Inputs!$F$26-Inputs!$D$26)*(Inputs!$E$26-Inputs!$D$26)),Inputs!$F$26-SQRT((1-N1119)*(Inputs!$F$26-Inputs!$D$26)*(Inputs!$F$26-Inputs!$E$26)))</f>
        <v>0.414640201839851</v>
      </c>
      <c r="P1119" s="81" t="n">
        <f aca="true">RAND()</f>
        <v>0.913633635739134</v>
      </c>
      <c r="Q1119" s="82" t="n">
        <f aca="false">IF(P1119&lt;(Inputs!$E$27-Inputs!$D$27)/(Inputs!$F$27-Inputs!$D$27),Inputs!$D$27+SQRT(P1119*(Inputs!$F$27-Inputs!$D$27)*(Inputs!$E$27-Inputs!$D$27)),Inputs!$F$27-SQRT((1-P1119)*(Inputs!$F$27-Inputs!$D$27)*(Inputs!$F$27-Inputs!$E$27)))</f>
        <v>124.549111371968</v>
      </c>
      <c r="R1119" s="81" t="n">
        <f aca="true">RAND()</f>
        <v>0.0109969812760174</v>
      </c>
      <c r="S1119" s="82" t="n">
        <f aca="false">IF(R1119&lt;(Inputs!$E$29-Inputs!$D$29)/(Inputs!$F$29-Inputs!$D$29),Inputs!$D$29+SQRT(R1119*(Inputs!$F$29-Inputs!$D$29)*(Inputs!$E$29-Inputs!$D$29)),Inputs!$F$29-SQRT((1-R1119)*(Inputs!$F$29-Inputs!$D$29)*(Inputs!$F$29-Inputs!$E$29)))</f>
        <v>2.65489103655851</v>
      </c>
      <c r="T1119" s="68" t="n">
        <f aca="false">Inputs!$E$9*(1+E1119)+Inputs!$E$5*C1119*(Inputs!$E$11*Inputs!$E$14*(G1119*I1119/Inputs!$E$16+(1-G1119))*K1119+Inputs!$E$23*M1119)*(1+O1119)+Inputs!$E$5*(Q1119+S1119)</f>
        <v>5920.83534011917</v>
      </c>
    </row>
    <row r="1120" customFormat="false" ht="15" hidden="false" customHeight="false" outlineLevel="0" collapsed="false">
      <c r="A1120" s="1" t="n">
        <v>1116</v>
      </c>
      <c r="B1120" s="81" t="n">
        <f aca="true">RAND()</f>
        <v>0.0941724359326962</v>
      </c>
      <c r="C1120" s="82" t="n">
        <f aca="false">ROUND(IF(B1120&lt;(Inputs!$E$8-Inputs!$D$8)/(Inputs!$F$8-Inputs!$D$8),Inputs!$D$8+SQRT(B1120*(Inputs!$F$8-Inputs!$D$8)*(Inputs!$E$8-Inputs!$D$8)),Inputs!$F$8-SQRT((1-B1120)*(Inputs!$F$8-Inputs!$D$8)*(Inputs!$F$8-Inputs!$E$8))),0)</f>
        <v>22</v>
      </c>
      <c r="D1120" s="81" t="n">
        <f aca="true">RAND()</f>
        <v>0.0840158318492387</v>
      </c>
      <c r="E1120" s="83" t="n">
        <f aca="false">IF(D1120&lt;(Inputs!$E$10-Inputs!$D$10)/(Inputs!$F$10-Inputs!$D$10),Inputs!$D$10+SQRT(D1120*(Inputs!$F$10-Inputs!$D$10)*(Inputs!$E$10-Inputs!$D$10)),Inputs!$F$10-SQRT((1-D1120)*(Inputs!$F$10-Inputs!$D$10)*(Inputs!$F$10-Inputs!$E$10)))</f>
        <v>0.0289854846171732</v>
      </c>
      <c r="F1120" s="81" t="n">
        <f aca="true">RAND()</f>
        <v>0.360961952179823</v>
      </c>
      <c r="G1120" s="83" t="n">
        <f aca="false">IF(F1120&lt;(Inputs!$E$15-Inputs!$D$15)/(Inputs!$F$15-Inputs!$D$15),Inputs!$D$15+SQRT(F1120*(Inputs!$F$15-Inputs!$D$15)*(Inputs!$E$15-Inputs!$D$15)),Inputs!$F$15-SQRT((1-F1120)*(Inputs!$F$15-Inputs!$D$15)*(Inputs!$F$15-Inputs!$E$15)))</f>
        <v>0.684966105263196</v>
      </c>
      <c r="H1120" s="81" t="n">
        <f aca="true">RAND()</f>
        <v>0.0284877686037385</v>
      </c>
      <c r="I1120" s="82" t="n">
        <f aca="false">ROUND(IF(H1120&lt;(Inputs!$E$17-Inputs!$D$17)/(Inputs!$F$17-Inputs!$D$17),Inputs!$D$17+SQRT(H1120*(Inputs!$F$17-Inputs!$D$17)*(Inputs!$E$17-Inputs!$D$17)),Inputs!$F$17-SQRT((1-H1120)*(Inputs!$F$17-Inputs!$D$17)*(Inputs!$F$17-Inputs!$E$17))),0)</f>
        <v>101</v>
      </c>
      <c r="J1120" s="81" t="n">
        <f aca="true">RAND()</f>
        <v>0.391616813897177</v>
      </c>
      <c r="K1120" s="83" t="n">
        <f aca="false">IF(J1120&lt;(Inputs!$E$18-Inputs!$D$18)/(Inputs!$F$18-Inputs!$D$18),Inputs!$D$18+SQRT(J1120*(Inputs!$F$18-Inputs!$D$18)*(Inputs!$E$18-Inputs!$D$18)),Inputs!$F$18-SQRT((1-J1120)*(Inputs!$F$18-Inputs!$D$18)*(Inputs!$F$18-Inputs!$E$18)))</f>
        <v>1.01927607669772</v>
      </c>
      <c r="L1120" s="81" t="n">
        <f aca="true">RAND()</f>
        <v>0.395298964173754</v>
      </c>
      <c r="M1120" s="83" t="n">
        <f aca="false">IF(L1120&lt;(Inputs!$E$24-Inputs!$D$24)/(Inputs!$F$24-Inputs!$D$24),Inputs!$D$24+SQRT(L1120*(Inputs!$F$24-Inputs!$D$24)*(Inputs!$E$24-Inputs!$D$24)),Inputs!$F$24-SQRT((1-L1120)*(Inputs!$F$24-Inputs!$D$24)*(Inputs!$F$24-Inputs!$E$24)))</f>
        <v>0.819042983266748</v>
      </c>
      <c r="N1120" s="81" t="n">
        <f aca="true">RAND()</f>
        <v>0.811929000786747</v>
      </c>
      <c r="O1120" s="83" t="n">
        <f aca="false">IF(N1120&lt;(Inputs!$E$26-Inputs!$D$26)/(Inputs!$F$26-Inputs!$D$26),Inputs!$D$26+SQRT(N1120*(Inputs!$F$26-Inputs!$D$26)*(Inputs!$E$26-Inputs!$D$26)),Inputs!$F$26-SQRT((1-N1120)*(Inputs!$F$26-Inputs!$D$26)*(Inputs!$F$26-Inputs!$E$26)))</f>
        <v>0.680145132661826</v>
      </c>
      <c r="P1120" s="81" t="n">
        <f aca="true">RAND()</f>
        <v>0.498873203833218</v>
      </c>
      <c r="Q1120" s="82" t="n">
        <f aca="false">IF(P1120&lt;(Inputs!$E$27-Inputs!$D$27)/(Inputs!$F$27-Inputs!$D$27),Inputs!$D$27+SQRT(P1120*(Inputs!$F$27-Inputs!$D$27)*(Inputs!$E$27-Inputs!$D$27)),Inputs!$F$27-SQRT((1-P1120)*(Inputs!$F$27-Inputs!$D$27)*(Inputs!$F$27-Inputs!$E$27)))</f>
        <v>88.6937933708922</v>
      </c>
      <c r="R1120" s="81" t="n">
        <f aca="true">RAND()</f>
        <v>0.324657285335563</v>
      </c>
      <c r="S1120" s="82" t="n">
        <f aca="false">IF(R1120&lt;(Inputs!$E$29-Inputs!$D$29)/(Inputs!$F$29-Inputs!$D$29),Inputs!$D$29+SQRT(R1120*(Inputs!$F$29-Inputs!$D$29)*(Inputs!$E$29-Inputs!$D$29)),Inputs!$F$29-SQRT((1-R1120)*(Inputs!$F$29-Inputs!$D$29)*(Inputs!$F$29-Inputs!$E$29)))</f>
        <v>5.63012524596103</v>
      </c>
      <c r="T1120" s="68" t="n">
        <f aca="false">Inputs!$E$9*(1+E1120)+Inputs!$E$5*C1120*(Inputs!$E$11*Inputs!$E$14*(G1120*I1120/Inputs!$E$16+(1-G1120))*K1120+Inputs!$E$23*M1120)*(1+O1120)+Inputs!$E$5*(Q1120+S1120)</f>
        <v>5813.81516105354</v>
      </c>
    </row>
    <row r="1121" customFormat="false" ht="15" hidden="false" customHeight="false" outlineLevel="0" collapsed="false">
      <c r="A1121" s="1" t="n">
        <v>1117</v>
      </c>
      <c r="B1121" s="81" t="n">
        <f aca="true">RAND()</f>
        <v>0.743105063105808</v>
      </c>
      <c r="C1121" s="82" t="n">
        <f aca="false">ROUND(IF(B1121&lt;(Inputs!$E$8-Inputs!$D$8)/(Inputs!$F$8-Inputs!$D$8),Inputs!$D$8+SQRT(B1121*(Inputs!$F$8-Inputs!$D$8)*(Inputs!$E$8-Inputs!$D$8)),Inputs!$F$8-SQRT((1-B1121)*(Inputs!$F$8-Inputs!$D$8)*(Inputs!$F$8-Inputs!$E$8))),0)</f>
        <v>26</v>
      </c>
      <c r="D1121" s="81" t="n">
        <f aca="true">RAND()</f>
        <v>0.419488917399661</v>
      </c>
      <c r="E1121" s="83" t="n">
        <f aca="false">IF(D1121&lt;(Inputs!$E$10-Inputs!$D$10)/(Inputs!$F$10-Inputs!$D$10),Inputs!$D$10+SQRT(D1121*(Inputs!$F$10-Inputs!$D$10)*(Inputs!$E$10-Inputs!$D$10)),Inputs!$F$10-SQRT((1-D1121)*(Inputs!$F$10-Inputs!$D$10)*(Inputs!$F$10-Inputs!$E$10)))</f>
        <v>0.0680328356066928</v>
      </c>
      <c r="F1121" s="81" t="n">
        <f aca="true">RAND()</f>
        <v>0.270603905035697</v>
      </c>
      <c r="G1121" s="83" t="n">
        <f aca="false">IF(F1121&lt;(Inputs!$E$15-Inputs!$D$15)/(Inputs!$F$15-Inputs!$D$15),Inputs!$D$15+SQRT(F1121*(Inputs!$F$15-Inputs!$D$15)*(Inputs!$E$15-Inputs!$D$15)),Inputs!$F$15-SQRT((1-F1121)*(Inputs!$F$15-Inputs!$D$15)*(Inputs!$F$15-Inputs!$E$15)))</f>
        <v>0.673566827447661</v>
      </c>
      <c r="H1121" s="81" t="n">
        <f aca="true">RAND()</f>
        <v>0.842632492533601</v>
      </c>
      <c r="I1121" s="82" t="n">
        <f aca="false">ROUND(IF(H1121&lt;(Inputs!$E$17-Inputs!$D$17)/(Inputs!$F$17-Inputs!$D$17),Inputs!$D$17+SQRT(H1121*(Inputs!$F$17-Inputs!$D$17)*(Inputs!$E$17-Inputs!$D$17)),Inputs!$F$17-SQRT((1-H1121)*(Inputs!$F$17-Inputs!$D$17)*(Inputs!$F$17-Inputs!$E$17))),0)</f>
        <v>110</v>
      </c>
      <c r="J1121" s="81" t="n">
        <f aca="true">RAND()</f>
        <v>0.17709076616332</v>
      </c>
      <c r="K1121" s="83" t="n">
        <f aca="false">IF(J1121&lt;(Inputs!$E$18-Inputs!$D$18)/(Inputs!$F$18-Inputs!$D$18),Inputs!$D$18+SQRT(J1121*(Inputs!$F$18-Inputs!$D$18)*(Inputs!$E$18-Inputs!$D$18)),Inputs!$F$18-SQRT((1-J1121)*(Inputs!$F$18-Inputs!$D$18)*(Inputs!$F$18-Inputs!$E$18)))</f>
        <v>0.978728500657108</v>
      </c>
      <c r="L1121" s="81" t="n">
        <f aca="true">RAND()</f>
        <v>0.694282229915453</v>
      </c>
      <c r="M1121" s="83" t="n">
        <f aca="false">IF(L1121&lt;(Inputs!$E$24-Inputs!$D$24)/(Inputs!$F$24-Inputs!$D$24),Inputs!$D$24+SQRT(L1121*(Inputs!$F$24-Inputs!$D$24)*(Inputs!$E$24-Inputs!$D$24)),Inputs!$F$24-SQRT((1-L1121)*(Inputs!$F$24-Inputs!$D$24)*(Inputs!$F$24-Inputs!$E$24)))</f>
        <v>0.929126847361553</v>
      </c>
      <c r="N1121" s="81" t="n">
        <f aca="true">RAND()</f>
        <v>0.290034102891514</v>
      </c>
      <c r="O1121" s="83" t="n">
        <f aca="false">IF(N1121&lt;(Inputs!$E$26-Inputs!$D$26)/(Inputs!$F$26-Inputs!$D$26),Inputs!$D$26+SQRT(N1121*(Inputs!$F$26-Inputs!$D$26)*(Inputs!$E$26-Inputs!$D$26)),Inputs!$F$26-SQRT((1-N1121)*(Inputs!$F$26-Inputs!$D$26)*(Inputs!$F$26-Inputs!$E$26)))</f>
        <v>0.519685399426425</v>
      </c>
      <c r="P1121" s="81" t="n">
        <f aca="true">RAND()</f>
        <v>0.879250037989411</v>
      </c>
      <c r="Q1121" s="82" t="n">
        <f aca="false">IF(P1121&lt;(Inputs!$E$27-Inputs!$D$27)/(Inputs!$F$27-Inputs!$D$27),Inputs!$D$27+SQRT(P1121*(Inputs!$F$27-Inputs!$D$27)*(Inputs!$E$27-Inputs!$D$27)),Inputs!$F$27-SQRT((1-P1121)*(Inputs!$F$27-Inputs!$D$27)*(Inputs!$F$27-Inputs!$E$27)))</f>
        <v>119.906400762298</v>
      </c>
      <c r="R1121" s="81" t="n">
        <f aca="true">RAND()</f>
        <v>0.399822540622947</v>
      </c>
      <c r="S1121" s="82" t="n">
        <f aca="false">IF(R1121&lt;(Inputs!$E$29-Inputs!$D$29)/(Inputs!$F$29-Inputs!$D$29),Inputs!$D$29+SQRT(R1121*(Inputs!$F$29-Inputs!$D$29)*(Inputs!$E$29-Inputs!$D$29)),Inputs!$F$29-SQRT((1-R1121)*(Inputs!$F$29-Inputs!$D$29)*(Inputs!$F$29-Inputs!$E$29)))</f>
        <v>6.16693316457886</v>
      </c>
      <c r="T1121" s="68" t="n">
        <f aca="false">Inputs!$E$9*(1+E1121)+Inputs!$E$5*C1121*(Inputs!$E$11*Inputs!$E$14*(G1121*I1121/Inputs!$E$16+(1-G1121))*K1121+Inputs!$E$23*M1121)*(1+O1121)+Inputs!$E$5*(Q1121+S1121)</f>
        <v>6453.79049198067</v>
      </c>
    </row>
    <row r="1122" customFormat="false" ht="15" hidden="false" customHeight="false" outlineLevel="0" collapsed="false">
      <c r="A1122" s="1" t="n">
        <v>1118</v>
      </c>
      <c r="B1122" s="81" t="n">
        <f aca="true">RAND()</f>
        <v>0.199533317045998</v>
      </c>
      <c r="C1122" s="82" t="n">
        <f aca="false">ROUND(IF(B1122&lt;(Inputs!$E$8-Inputs!$D$8)/(Inputs!$F$8-Inputs!$D$8),Inputs!$D$8+SQRT(B1122*(Inputs!$F$8-Inputs!$D$8)*(Inputs!$E$8-Inputs!$D$8)),Inputs!$F$8-SQRT((1-B1122)*(Inputs!$F$8-Inputs!$D$8)*(Inputs!$F$8-Inputs!$E$8))),0)</f>
        <v>23</v>
      </c>
      <c r="D1122" s="81" t="n">
        <f aca="true">RAND()</f>
        <v>0.186701277326748</v>
      </c>
      <c r="E1122" s="83" t="n">
        <f aca="false">IF(D1122&lt;(Inputs!$E$10-Inputs!$D$10)/(Inputs!$F$10-Inputs!$D$10),Inputs!$D$10+SQRT(D1122*(Inputs!$F$10-Inputs!$D$10)*(Inputs!$E$10-Inputs!$D$10)),Inputs!$F$10-SQRT((1-D1122)*(Inputs!$F$10-Inputs!$D$10)*(Inputs!$F$10-Inputs!$E$10)))</f>
        <v>0.0432089432093344</v>
      </c>
      <c r="F1122" s="81" t="n">
        <f aca="true">RAND()</f>
        <v>0.969756658261526</v>
      </c>
      <c r="G1122" s="83" t="n">
        <f aca="false">IF(F1122&lt;(Inputs!$E$15-Inputs!$D$15)/(Inputs!$F$15-Inputs!$D$15),Inputs!$D$15+SQRT(F1122*(Inputs!$F$15-Inputs!$D$15)*(Inputs!$E$15-Inputs!$D$15)),Inputs!$F$15-SQRT((1-F1122)*(Inputs!$F$15-Inputs!$D$15)*(Inputs!$F$15-Inputs!$E$15)))</f>
        <v>0.775405959364726</v>
      </c>
      <c r="H1122" s="81" t="n">
        <f aca="true">RAND()</f>
        <v>0.0773768488385072</v>
      </c>
      <c r="I1122" s="82" t="n">
        <f aca="false">ROUND(IF(H1122&lt;(Inputs!$E$17-Inputs!$D$17)/(Inputs!$F$17-Inputs!$D$17),Inputs!$D$17+SQRT(H1122*(Inputs!$F$17-Inputs!$D$17)*(Inputs!$E$17-Inputs!$D$17)),Inputs!$F$17-SQRT((1-H1122)*(Inputs!$F$17-Inputs!$D$17)*(Inputs!$F$17-Inputs!$E$17))),0)</f>
        <v>102</v>
      </c>
      <c r="J1122" s="81" t="n">
        <f aca="true">RAND()</f>
        <v>0.566845908279585</v>
      </c>
      <c r="K1122" s="83" t="n">
        <f aca="false">IF(J1122&lt;(Inputs!$E$18-Inputs!$D$18)/(Inputs!$F$18-Inputs!$D$18),Inputs!$D$18+SQRT(J1122*(Inputs!$F$18-Inputs!$D$18)*(Inputs!$E$18-Inputs!$D$18)),Inputs!$F$18-SQRT((1-J1122)*(Inputs!$F$18-Inputs!$D$18)*(Inputs!$F$18-Inputs!$E$18)))</f>
        <v>1.05531825194555</v>
      </c>
      <c r="L1122" s="81" t="n">
        <f aca="true">RAND()</f>
        <v>0.692580879503613</v>
      </c>
      <c r="M1122" s="83" t="n">
        <f aca="false">IF(L1122&lt;(Inputs!$E$24-Inputs!$D$24)/(Inputs!$F$24-Inputs!$D$24),Inputs!$D$24+SQRT(L1122*(Inputs!$F$24-Inputs!$D$24)*(Inputs!$E$24-Inputs!$D$24)),Inputs!$F$24-SQRT((1-L1122)*(Inputs!$F$24-Inputs!$D$24)*(Inputs!$F$24-Inputs!$E$24)))</f>
        <v>0.928374174793462</v>
      </c>
      <c r="N1122" s="81" t="n">
        <f aca="true">RAND()</f>
        <v>0.0636555498894928</v>
      </c>
      <c r="O1122" s="83" t="n">
        <f aca="false">IF(N1122&lt;(Inputs!$E$26-Inputs!$D$26)/(Inputs!$F$26-Inputs!$D$26),Inputs!$D$26+SQRT(N1122*(Inputs!$F$26-Inputs!$D$26)*(Inputs!$E$26-Inputs!$D$26)),Inputs!$F$26-SQRT((1-N1122)*(Inputs!$F$26-Inputs!$D$26)*(Inputs!$F$26-Inputs!$E$26)))</f>
        <v>0.402918819958313</v>
      </c>
      <c r="P1122" s="81" t="n">
        <f aca="true">RAND()</f>
        <v>0.973263914113722</v>
      </c>
      <c r="Q1122" s="82" t="n">
        <f aca="false">IF(P1122&lt;(Inputs!$E$27-Inputs!$D$27)/(Inputs!$F$27-Inputs!$D$27),Inputs!$D$27+SQRT(P1122*(Inputs!$F$27-Inputs!$D$27)*(Inputs!$E$27-Inputs!$D$27)),Inputs!$F$27-SQRT((1-P1122)*(Inputs!$F$27-Inputs!$D$27)*(Inputs!$F$27-Inputs!$E$27)))</f>
        <v>135.839468790081</v>
      </c>
      <c r="R1122" s="81" t="n">
        <f aca="true">RAND()</f>
        <v>0.175959754049097</v>
      </c>
      <c r="S1122" s="82" t="n">
        <f aca="false">IF(R1122&lt;(Inputs!$E$29-Inputs!$D$29)/(Inputs!$F$29-Inputs!$D$29),Inputs!$D$29+SQRT(R1122*(Inputs!$F$29-Inputs!$D$29)*(Inputs!$E$29-Inputs!$D$29)),Inputs!$F$29-SQRT((1-R1122)*(Inputs!$F$29-Inputs!$D$29)*(Inputs!$F$29-Inputs!$E$29)))</f>
        <v>4.61962409668158</v>
      </c>
      <c r="T1122" s="68" t="n">
        <f aca="false">Inputs!$E$9*(1+E1122)+Inputs!$E$5*C1122*(Inputs!$E$11*Inputs!$E$14*(G1122*I1122/Inputs!$E$16+(1-G1122))*K1122+Inputs!$E$23*M1122)*(1+O1122)+Inputs!$E$5*(Q1122+S1122)</f>
        <v>5775.46027095606</v>
      </c>
    </row>
    <row r="1123" customFormat="false" ht="15" hidden="false" customHeight="false" outlineLevel="0" collapsed="false">
      <c r="A1123" s="1" t="n">
        <v>1119</v>
      </c>
      <c r="B1123" s="81" t="n">
        <f aca="true">RAND()</f>
        <v>0.515398461405846</v>
      </c>
      <c r="C1123" s="82" t="n">
        <f aca="false">ROUND(IF(B1123&lt;(Inputs!$E$8-Inputs!$D$8)/(Inputs!$F$8-Inputs!$D$8),Inputs!$D$8+SQRT(B1123*(Inputs!$F$8-Inputs!$D$8)*(Inputs!$E$8-Inputs!$D$8)),Inputs!$F$8-SQRT((1-B1123)*(Inputs!$F$8-Inputs!$D$8)*(Inputs!$F$8-Inputs!$E$8))),0)</f>
        <v>25</v>
      </c>
      <c r="D1123" s="81" t="n">
        <f aca="true">RAND()</f>
        <v>0.0101242795755412</v>
      </c>
      <c r="E1123" s="83" t="n">
        <f aca="false">IF(D1123&lt;(Inputs!$E$10-Inputs!$D$10)/(Inputs!$F$10-Inputs!$D$10),Inputs!$D$10+SQRT(D1123*(Inputs!$F$10-Inputs!$D$10)*(Inputs!$E$10-Inputs!$D$10)),Inputs!$F$10-SQRT((1-D1123)*(Inputs!$F$10-Inputs!$D$10)*(Inputs!$F$10-Inputs!$E$10)))</f>
        <v>0.0100619479105893</v>
      </c>
      <c r="F1123" s="81" t="n">
        <f aca="true">RAND()</f>
        <v>0.778434532286141</v>
      </c>
      <c r="G1123" s="83" t="n">
        <f aca="false">IF(F1123&lt;(Inputs!$E$15-Inputs!$D$15)/(Inputs!$F$15-Inputs!$D$15),Inputs!$D$15+SQRT(F1123*(Inputs!$F$15-Inputs!$D$15)*(Inputs!$E$15-Inputs!$D$15)),Inputs!$F$15-SQRT((1-F1123)*(Inputs!$F$15-Inputs!$D$15)*(Inputs!$F$15-Inputs!$E$15)))</f>
        <v>0.733431919403687</v>
      </c>
      <c r="H1123" s="81" t="n">
        <f aca="true">RAND()</f>
        <v>0.134128895278243</v>
      </c>
      <c r="I1123" s="82" t="n">
        <f aca="false">ROUND(IF(H1123&lt;(Inputs!$E$17-Inputs!$D$17)/(Inputs!$F$17-Inputs!$D$17),Inputs!$D$17+SQRT(H1123*(Inputs!$F$17-Inputs!$D$17)*(Inputs!$E$17-Inputs!$D$17)),Inputs!$F$17-SQRT((1-H1123)*(Inputs!$F$17-Inputs!$D$17)*(Inputs!$F$17-Inputs!$E$17))),0)</f>
        <v>103</v>
      </c>
      <c r="J1123" s="81" t="n">
        <f aca="true">RAND()</f>
        <v>0.827033920224065</v>
      </c>
      <c r="K1123" s="83" t="n">
        <f aca="false">IF(J1123&lt;(Inputs!$E$18-Inputs!$D$18)/(Inputs!$F$18-Inputs!$D$18),Inputs!$D$18+SQRT(J1123*(Inputs!$F$18-Inputs!$D$18)*(Inputs!$E$18-Inputs!$D$18)),Inputs!$F$18-SQRT((1-J1123)*(Inputs!$F$18-Inputs!$D$18)*(Inputs!$F$18-Inputs!$E$18)))</f>
        <v>1.12697751433013</v>
      </c>
      <c r="L1123" s="81" t="n">
        <f aca="true">RAND()</f>
        <v>0.425304035420587</v>
      </c>
      <c r="M1123" s="83" t="n">
        <f aca="false">IF(L1123&lt;(Inputs!$E$24-Inputs!$D$24)/(Inputs!$F$24-Inputs!$D$24),Inputs!$D$24+SQRT(L1123*(Inputs!$F$24-Inputs!$D$24)*(Inputs!$E$24-Inputs!$D$24)),Inputs!$F$24-SQRT((1-L1123)*(Inputs!$F$24-Inputs!$D$24)*(Inputs!$F$24-Inputs!$E$24)))</f>
        <v>0.828614712866733</v>
      </c>
      <c r="N1123" s="81" t="n">
        <f aca="true">RAND()</f>
        <v>0.290264294255392</v>
      </c>
      <c r="O1123" s="83" t="n">
        <f aca="false">IF(N1123&lt;(Inputs!$E$26-Inputs!$D$26)/(Inputs!$F$26-Inputs!$D$26),Inputs!$D$26+SQRT(N1123*(Inputs!$F$26-Inputs!$D$26)*(Inputs!$E$26-Inputs!$D$26)),Inputs!$F$26-SQRT((1-N1123)*(Inputs!$F$26-Inputs!$D$26)*(Inputs!$F$26-Inputs!$E$26)))</f>
        <v>0.519772560989986</v>
      </c>
      <c r="P1123" s="81" t="n">
        <f aca="true">RAND()</f>
        <v>0.245047806172519</v>
      </c>
      <c r="Q1123" s="82" t="n">
        <f aca="false">IF(P1123&lt;(Inputs!$E$27-Inputs!$D$27)/(Inputs!$F$27-Inputs!$D$27),Inputs!$D$27+SQRT(P1123*(Inputs!$F$27-Inputs!$D$27)*(Inputs!$E$27-Inputs!$D$27)),Inputs!$F$27-SQRT((1-P1123)*(Inputs!$F$27-Inputs!$D$27)*(Inputs!$F$27-Inputs!$E$27)))</f>
        <v>74.751151800094</v>
      </c>
      <c r="R1123" s="81" t="n">
        <f aca="true">RAND()</f>
        <v>0.184085850601762</v>
      </c>
      <c r="S1123" s="82" t="n">
        <f aca="false">IF(R1123&lt;(Inputs!$E$29-Inputs!$D$29)/(Inputs!$F$29-Inputs!$D$29),Inputs!$D$29+SQRT(R1123*(Inputs!$F$29-Inputs!$D$29)*(Inputs!$E$29-Inputs!$D$29)),Inputs!$F$29-SQRT((1-R1123)*(Inputs!$F$29-Inputs!$D$29)*(Inputs!$F$29-Inputs!$E$29)))</f>
        <v>4.67943056888375</v>
      </c>
      <c r="T1123" s="68" t="n">
        <f aca="false">Inputs!$E$9*(1+E1123)+Inputs!$E$5*C1123*(Inputs!$E$11*Inputs!$E$14*(G1123*I1123/Inputs!$E$16+(1-G1123))*K1123+Inputs!$E$23*M1123)*(1+O1123)+Inputs!$E$5*(Q1123+S1123)</f>
        <v>5967.26378427036</v>
      </c>
    </row>
    <row r="1124" customFormat="false" ht="15" hidden="false" customHeight="false" outlineLevel="0" collapsed="false">
      <c r="A1124" s="1" t="n">
        <v>1120</v>
      </c>
      <c r="B1124" s="81" t="n">
        <f aca="true">RAND()</f>
        <v>0.269474543150634</v>
      </c>
      <c r="C1124" s="82" t="n">
        <f aca="false">ROUND(IF(B1124&lt;(Inputs!$E$8-Inputs!$D$8)/(Inputs!$F$8-Inputs!$D$8),Inputs!$D$8+SQRT(B1124*(Inputs!$F$8-Inputs!$D$8)*(Inputs!$E$8-Inputs!$D$8)),Inputs!$F$8-SQRT((1-B1124)*(Inputs!$F$8-Inputs!$D$8)*(Inputs!$F$8-Inputs!$E$8))),0)</f>
        <v>24</v>
      </c>
      <c r="D1124" s="81" t="n">
        <f aca="true">RAND()</f>
        <v>0.583853021483822</v>
      </c>
      <c r="E1124" s="83" t="n">
        <f aca="false">IF(D1124&lt;(Inputs!$E$10-Inputs!$D$10)/(Inputs!$F$10-Inputs!$D$10),Inputs!$D$10+SQRT(D1124*(Inputs!$F$10-Inputs!$D$10)*(Inputs!$E$10-Inputs!$D$10)),Inputs!$F$10-SQRT((1-D1124)*(Inputs!$F$10-Inputs!$D$10)*(Inputs!$F$10-Inputs!$E$10)))</f>
        <v>0.0882663463611551</v>
      </c>
      <c r="F1124" s="81" t="n">
        <f aca="true">RAND()</f>
        <v>0.55677567265062</v>
      </c>
      <c r="G1124" s="83" t="n">
        <f aca="false">IF(F1124&lt;(Inputs!$E$15-Inputs!$D$15)/(Inputs!$F$15-Inputs!$D$15),Inputs!$D$15+SQRT(F1124*(Inputs!$F$15-Inputs!$D$15)*(Inputs!$E$15-Inputs!$D$15)),Inputs!$F$15-SQRT((1-F1124)*(Inputs!$F$15-Inputs!$D$15)*(Inputs!$F$15-Inputs!$E$15)))</f>
        <v>0.70584859774285</v>
      </c>
      <c r="H1124" s="81" t="n">
        <f aca="true">RAND()</f>
        <v>0.710426604455805</v>
      </c>
      <c r="I1124" s="82" t="n">
        <f aca="false">ROUND(IF(H1124&lt;(Inputs!$E$17-Inputs!$D$17)/(Inputs!$F$17-Inputs!$D$17),Inputs!$D$17+SQRT(H1124*(Inputs!$F$17-Inputs!$D$17)*(Inputs!$E$17-Inputs!$D$17)),Inputs!$F$17-SQRT((1-H1124)*(Inputs!$F$17-Inputs!$D$17)*(Inputs!$F$17-Inputs!$E$17))),0)</f>
        <v>108</v>
      </c>
      <c r="J1124" s="81" t="n">
        <f aca="true">RAND()</f>
        <v>0.276060656021537</v>
      </c>
      <c r="K1124" s="83" t="n">
        <f aca="false">IF(J1124&lt;(Inputs!$E$18-Inputs!$D$18)/(Inputs!$F$18-Inputs!$D$18),Inputs!$D$18+SQRT(J1124*(Inputs!$F$18-Inputs!$D$18)*(Inputs!$E$18-Inputs!$D$18)),Inputs!$F$18-SQRT((1-J1124)*(Inputs!$F$18-Inputs!$D$18)*(Inputs!$F$18-Inputs!$E$18)))</f>
        <v>0.998296098400464</v>
      </c>
      <c r="L1124" s="81" t="n">
        <f aca="true">RAND()</f>
        <v>0.647079105134823</v>
      </c>
      <c r="M1124" s="83" t="n">
        <f aca="false">IF(L1124&lt;(Inputs!$E$24-Inputs!$D$24)/(Inputs!$F$24-Inputs!$D$24),Inputs!$D$24+SQRT(L1124*(Inputs!$F$24-Inputs!$D$24)*(Inputs!$E$24-Inputs!$D$24)),Inputs!$F$24-SQRT((1-L1124)*(Inputs!$F$24-Inputs!$D$24)*(Inputs!$F$24-Inputs!$E$24)))</f>
        <v>0.908965612396675</v>
      </c>
      <c r="N1124" s="81" t="n">
        <f aca="true">RAND()</f>
        <v>0.0191805408995094</v>
      </c>
      <c r="O1124" s="83" t="n">
        <f aca="false">IF(N1124&lt;(Inputs!$E$26-Inputs!$D$26)/(Inputs!$F$26-Inputs!$D$26),Inputs!$D$26+SQRT(N1124*(Inputs!$F$26-Inputs!$D$26)*(Inputs!$E$26-Inputs!$D$26)),Inputs!$F$26-SQRT((1-N1124)*(Inputs!$F$26-Inputs!$D$26)*(Inputs!$F$26-Inputs!$E$26)))</f>
        <v>0.356494619263062</v>
      </c>
      <c r="P1124" s="81" t="n">
        <f aca="true">RAND()</f>
        <v>0.0017739162952444</v>
      </c>
      <c r="Q1124" s="82" t="n">
        <f aca="false">IF(P1124&lt;(Inputs!$E$27-Inputs!$D$27)/(Inputs!$F$27-Inputs!$D$27),Inputs!$D$27+SQRT(P1124*(Inputs!$F$27-Inputs!$D$27)*(Inputs!$E$27-Inputs!$D$27)),Inputs!$F$27-SQRT((1-P1124)*(Inputs!$F$27-Inputs!$D$27)*(Inputs!$F$27-Inputs!$E$27)))</f>
        <v>52.1058942846475</v>
      </c>
      <c r="R1124" s="81" t="n">
        <f aca="true">RAND()</f>
        <v>0.199788003100303</v>
      </c>
      <c r="S1124" s="82" t="n">
        <f aca="false">IF(R1124&lt;(Inputs!$E$29-Inputs!$D$29)/(Inputs!$F$29-Inputs!$D$29),Inputs!$D$29+SQRT(R1124*(Inputs!$F$29-Inputs!$D$29)*(Inputs!$E$29-Inputs!$D$29)),Inputs!$F$29-SQRT((1-R1124)*(Inputs!$F$29-Inputs!$D$29)*(Inputs!$F$29-Inputs!$E$29)))</f>
        <v>4.79136742850379</v>
      </c>
      <c r="T1124" s="68" t="n">
        <f aca="false">Inputs!$E$9*(1+E1124)+Inputs!$E$5*C1124*(Inputs!$E$11*Inputs!$E$14*(G1124*I1124/Inputs!$E$16+(1-G1124))*K1124+Inputs!$E$23*M1124)*(1+O1124)+Inputs!$E$5*(Q1124+S1124)</f>
        <v>5501.28629575981</v>
      </c>
    </row>
    <row r="1125" customFormat="false" ht="15" hidden="false" customHeight="false" outlineLevel="0" collapsed="false">
      <c r="A1125" s="1" t="n">
        <v>1121</v>
      </c>
      <c r="B1125" s="81" t="n">
        <f aca="true">RAND()</f>
        <v>0.0549926301857669</v>
      </c>
      <c r="C1125" s="82" t="n">
        <f aca="false">ROUND(IF(B1125&lt;(Inputs!$E$8-Inputs!$D$8)/(Inputs!$F$8-Inputs!$D$8),Inputs!$D$8+SQRT(B1125*(Inputs!$F$8-Inputs!$D$8)*(Inputs!$E$8-Inputs!$D$8)),Inputs!$F$8-SQRT((1-B1125)*(Inputs!$F$8-Inputs!$D$8)*(Inputs!$F$8-Inputs!$E$8))),0)</f>
        <v>22</v>
      </c>
      <c r="D1125" s="81" t="n">
        <f aca="true">RAND()</f>
        <v>0.974524818712956</v>
      </c>
      <c r="E1125" s="83" t="n">
        <f aca="false">IF(D1125&lt;(Inputs!$E$10-Inputs!$D$10)/(Inputs!$F$10-Inputs!$D$10),Inputs!$D$10+SQRT(D1125*(Inputs!$F$10-Inputs!$D$10)*(Inputs!$E$10-Inputs!$D$10)),Inputs!$F$10-SQRT((1-D1125)*(Inputs!$F$10-Inputs!$D$10)*(Inputs!$F$10-Inputs!$E$10)))</f>
        <v>0.172354829741683</v>
      </c>
      <c r="F1125" s="81" t="n">
        <f aca="true">RAND()</f>
        <v>0.0835248840661898</v>
      </c>
      <c r="G1125" s="83" t="n">
        <f aca="false">IF(F1125&lt;(Inputs!$E$15-Inputs!$D$15)/(Inputs!$F$15-Inputs!$D$15),Inputs!$D$15+SQRT(F1125*(Inputs!$F$15-Inputs!$D$15)*(Inputs!$E$15-Inputs!$D$15)),Inputs!$F$15-SQRT((1-F1125)*(Inputs!$F$15-Inputs!$D$15)*(Inputs!$F$15-Inputs!$E$15)))</f>
        <v>0.640871722270095</v>
      </c>
      <c r="H1125" s="81" t="n">
        <f aca="true">RAND()</f>
        <v>0.985357227494668</v>
      </c>
      <c r="I1125" s="82" t="n">
        <f aca="false">ROUND(IF(H1125&lt;(Inputs!$E$17-Inputs!$D$17)/(Inputs!$F$17-Inputs!$D$17),Inputs!$D$17+SQRT(H1125*(Inputs!$F$17-Inputs!$D$17)*(Inputs!$E$17-Inputs!$D$17)),Inputs!$F$17-SQRT((1-H1125)*(Inputs!$F$17-Inputs!$D$17)*(Inputs!$F$17-Inputs!$E$17))),0)</f>
        <v>114</v>
      </c>
      <c r="J1125" s="81" t="n">
        <f aca="true">RAND()</f>
        <v>0.0598191680159657</v>
      </c>
      <c r="K1125" s="83" t="n">
        <f aca="false">IF(J1125&lt;(Inputs!$E$18-Inputs!$D$18)/(Inputs!$F$18-Inputs!$D$18),Inputs!$D$18+SQRT(J1125*(Inputs!$F$18-Inputs!$D$18)*(Inputs!$E$18-Inputs!$D$18)),Inputs!$F$18-SQRT((1-J1125)*(Inputs!$F$18-Inputs!$D$18)*(Inputs!$F$18-Inputs!$E$18)))</f>
        <v>0.94575664848477</v>
      </c>
      <c r="L1125" s="81" t="n">
        <f aca="true">RAND()</f>
        <v>0.75616790948502</v>
      </c>
      <c r="M1125" s="83" t="n">
        <f aca="false">IF(L1125&lt;(Inputs!$E$24-Inputs!$D$24)/(Inputs!$F$24-Inputs!$D$24),Inputs!$D$24+SQRT(L1125*(Inputs!$F$24-Inputs!$D$24)*(Inputs!$E$24-Inputs!$D$24)),Inputs!$F$24-SQRT((1-L1125)*(Inputs!$F$24-Inputs!$D$24)*(Inputs!$F$24-Inputs!$E$24)))</f>
        <v>0.958091542678651</v>
      </c>
      <c r="N1125" s="81" t="n">
        <f aca="true">RAND()</f>
        <v>0.628326812459456</v>
      </c>
      <c r="O1125" s="83" t="n">
        <f aca="false">IF(N1125&lt;(Inputs!$E$26-Inputs!$D$26)/(Inputs!$F$26-Inputs!$D$26),Inputs!$D$26+SQRT(N1125*(Inputs!$F$26-Inputs!$D$26)*(Inputs!$E$26-Inputs!$D$26)),Inputs!$F$26-SQRT((1-N1125)*(Inputs!$F$26-Inputs!$D$26)*(Inputs!$F$26-Inputs!$E$26)))</f>
        <v>0.623393765347544</v>
      </c>
      <c r="P1125" s="81" t="n">
        <f aca="true">RAND()</f>
        <v>0.287802173892082</v>
      </c>
      <c r="Q1125" s="82" t="n">
        <f aca="false">IF(P1125&lt;(Inputs!$E$27-Inputs!$D$27)/(Inputs!$F$27-Inputs!$D$27),Inputs!$D$27+SQRT(P1125*(Inputs!$F$27-Inputs!$D$27)*(Inputs!$E$27-Inputs!$D$27)),Inputs!$F$27-SQRT((1-P1125)*(Inputs!$F$27-Inputs!$D$27)*(Inputs!$F$27-Inputs!$E$27)))</f>
        <v>76.9145452514019</v>
      </c>
      <c r="R1125" s="81" t="n">
        <f aca="true">RAND()</f>
        <v>0.191531173382854</v>
      </c>
      <c r="S1125" s="82" t="n">
        <f aca="false">IF(R1125&lt;(Inputs!$E$29-Inputs!$D$29)/(Inputs!$F$29-Inputs!$D$29),Inputs!$D$29+SQRT(R1125*(Inputs!$F$29-Inputs!$D$29)*(Inputs!$E$29-Inputs!$D$29)),Inputs!$F$29-SQRT((1-R1125)*(Inputs!$F$29-Inputs!$D$29)*(Inputs!$F$29-Inputs!$E$29)))</f>
        <v>4.73307807461318</v>
      </c>
      <c r="T1125" s="68" t="n">
        <f aca="false">Inputs!$E$9*(1+E1125)+Inputs!$E$5*C1125*(Inputs!$E$11*Inputs!$E$14*(G1125*I1125/Inputs!$E$16+(1-G1125))*K1125+Inputs!$E$23*M1125)*(1+O1125)+Inputs!$E$5*(Q1125+S1125)</f>
        <v>6168.81698714532</v>
      </c>
    </row>
    <row r="1126" customFormat="false" ht="15" hidden="false" customHeight="false" outlineLevel="0" collapsed="false">
      <c r="A1126" s="1" t="n">
        <v>1122</v>
      </c>
      <c r="B1126" s="81" t="n">
        <f aca="true">RAND()</f>
        <v>0.186958672435172</v>
      </c>
      <c r="C1126" s="82" t="n">
        <f aca="false">ROUND(IF(B1126&lt;(Inputs!$E$8-Inputs!$D$8)/(Inputs!$F$8-Inputs!$D$8),Inputs!$D$8+SQRT(B1126*(Inputs!$F$8-Inputs!$D$8)*(Inputs!$E$8-Inputs!$D$8)),Inputs!$F$8-SQRT((1-B1126)*(Inputs!$F$8-Inputs!$D$8)*(Inputs!$F$8-Inputs!$E$8))),0)</f>
        <v>23</v>
      </c>
      <c r="D1126" s="81" t="n">
        <f aca="true">RAND()</f>
        <v>0.199869598891114</v>
      </c>
      <c r="E1126" s="83" t="n">
        <f aca="false">IF(D1126&lt;(Inputs!$E$10-Inputs!$D$10)/(Inputs!$F$10-Inputs!$D$10),Inputs!$D$10+SQRT(D1126*(Inputs!$F$10-Inputs!$D$10)*(Inputs!$E$10-Inputs!$D$10)),Inputs!$F$10-SQRT((1-D1126)*(Inputs!$F$10-Inputs!$D$10)*(Inputs!$F$10-Inputs!$E$10)))</f>
        <v>0.0447067778855862</v>
      </c>
      <c r="F1126" s="81" t="n">
        <f aca="true">RAND()</f>
        <v>0.849145861553177</v>
      </c>
      <c r="G1126" s="83" t="n">
        <f aca="false">IF(F1126&lt;(Inputs!$E$15-Inputs!$D$15)/(Inputs!$F$15-Inputs!$D$15),Inputs!$D$15+SQRT(F1126*(Inputs!$F$15-Inputs!$D$15)*(Inputs!$E$15-Inputs!$D$15)),Inputs!$F$15-SQRT((1-F1126)*(Inputs!$F$15-Inputs!$D$15)*(Inputs!$F$15-Inputs!$E$15)))</f>
        <v>0.745072021983906</v>
      </c>
      <c r="H1126" s="81" t="n">
        <f aca="true">RAND()</f>
        <v>0.759614102188503</v>
      </c>
      <c r="I1126" s="82" t="n">
        <f aca="false">ROUND(IF(H1126&lt;(Inputs!$E$17-Inputs!$D$17)/(Inputs!$F$17-Inputs!$D$17),Inputs!$D$17+SQRT(H1126*(Inputs!$F$17-Inputs!$D$17)*(Inputs!$E$17-Inputs!$D$17)),Inputs!$F$17-SQRT((1-H1126)*(Inputs!$F$17-Inputs!$D$17)*(Inputs!$F$17-Inputs!$E$17))),0)</f>
        <v>109</v>
      </c>
      <c r="J1126" s="81" t="n">
        <f aca="true">RAND()</f>
        <v>0.14657886340425</v>
      </c>
      <c r="K1126" s="83" t="n">
        <f aca="false">IF(J1126&lt;(Inputs!$E$18-Inputs!$D$18)/(Inputs!$F$18-Inputs!$D$18),Inputs!$D$18+SQRT(J1126*(Inputs!$F$18-Inputs!$D$18)*(Inputs!$E$18-Inputs!$D$18)),Inputs!$F$18-SQRT((1-J1126)*(Inputs!$F$18-Inputs!$D$18)*(Inputs!$F$18-Inputs!$E$18)))</f>
        <v>0.971625834858302</v>
      </c>
      <c r="L1126" s="81" t="n">
        <f aca="true">RAND()</f>
        <v>0.769923696159939</v>
      </c>
      <c r="M1126" s="83" t="n">
        <f aca="false">IF(L1126&lt;(Inputs!$E$24-Inputs!$D$24)/(Inputs!$F$24-Inputs!$D$24),Inputs!$D$24+SQRT(L1126*(Inputs!$F$24-Inputs!$D$24)*(Inputs!$E$24-Inputs!$D$24)),Inputs!$F$24-SQRT((1-L1126)*(Inputs!$F$24-Inputs!$D$24)*(Inputs!$F$24-Inputs!$E$24)))</f>
        <v>0.965014228257082</v>
      </c>
      <c r="N1126" s="81" t="n">
        <f aca="true">RAND()</f>
        <v>0.130340762976596</v>
      </c>
      <c r="O1126" s="83" t="n">
        <f aca="false">IF(N1126&lt;(Inputs!$E$26-Inputs!$D$26)/(Inputs!$F$26-Inputs!$D$26),Inputs!$D$26+SQRT(N1126*(Inputs!$F$26-Inputs!$D$26)*(Inputs!$E$26-Inputs!$D$26)),Inputs!$F$26-SQRT((1-N1126)*(Inputs!$F$26-Inputs!$D$26)*(Inputs!$F$26-Inputs!$E$26)))</f>
        <v>0.447270848980053</v>
      </c>
      <c r="P1126" s="81" t="n">
        <f aca="true">RAND()</f>
        <v>0.66384487691056</v>
      </c>
      <c r="Q1126" s="82" t="n">
        <f aca="false">IF(P1126&lt;(Inputs!$E$27-Inputs!$D$27)/(Inputs!$F$27-Inputs!$D$27),Inputs!$D$27+SQRT(P1126*(Inputs!$F$27-Inputs!$D$27)*(Inputs!$E$27-Inputs!$D$27)),Inputs!$F$27-SQRT((1-P1126)*(Inputs!$F$27-Inputs!$D$27)*(Inputs!$F$27-Inputs!$E$27)))</f>
        <v>99.7888117729644</v>
      </c>
      <c r="R1126" s="81" t="n">
        <f aca="true">RAND()</f>
        <v>0.450163617720274</v>
      </c>
      <c r="S1126" s="82" t="n">
        <f aca="false">IF(R1126&lt;(Inputs!$E$29-Inputs!$D$29)/(Inputs!$F$29-Inputs!$D$29),Inputs!$D$29+SQRT(R1126*(Inputs!$F$29-Inputs!$D$29)*(Inputs!$E$29-Inputs!$D$29)),Inputs!$F$29-SQRT((1-R1126)*(Inputs!$F$29-Inputs!$D$29)*(Inputs!$F$29-Inputs!$E$29)))</f>
        <v>6.54549057033086</v>
      </c>
      <c r="T1126" s="68" t="n">
        <f aca="false">Inputs!$E$9*(1+E1126)+Inputs!$E$5*C1126*(Inputs!$E$11*Inputs!$E$14*(G1126*I1126/Inputs!$E$16+(1-G1126))*K1126+Inputs!$E$23*M1126)*(1+O1126)+Inputs!$E$5*(Q1126+S1126)</f>
        <v>5703.64915227371</v>
      </c>
    </row>
    <row r="1127" customFormat="false" ht="15" hidden="false" customHeight="false" outlineLevel="0" collapsed="false">
      <c r="A1127" s="1" t="n">
        <v>1123</v>
      </c>
      <c r="B1127" s="81" t="n">
        <f aca="true">RAND()</f>
        <v>0.481882374641404</v>
      </c>
      <c r="C1127" s="82" t="n">
        <f aca="false">ROUND(IF(B1127&lt;(Inputs!$E$8-Inputs!$D$8)/(Inputs!$F$8-Inputs!$D$8),Inputs!$D$8+SQRT(B1127*(Inputs!$F$8-Inputs!$D$8)*(Inputs!$E$8-Inputs!$D$8)),Inputs!$F$8-SQRT((1-B1127)*(Inputs!$F$8-Inputs!$D$8)*(Inputs!$F$8-Inputs!$E$8))),0)</f>
        <v>25</v>
      </c>
      <c r="D1127" s="81" t="n">
        <f aca="true">RAND()</f>
        <v>0.961694419349355</v>
      </c>
      <c r="E1127" s="83" t="n">
        <f aca="false">IF(D1127&lt;(Inputs!$E$10-Inputs!$D$10)/(Inputs!$F$10-Inputs!$D$10),Inputs!$D$10+SQRT(D1127*(Inputs!$F$10-Inputs!$D$10)*(Inputs!$E$10-Inputs!$D$10)),Inputs!$F$10-SQRT((1-D1127)*(Inputs!$F$10-Inputs!$D$10)*(Inputs!$F$10-Inputs!$E$10)))</f>
        <v>0.166100628036506</v>
      </c>
      <c r="F1127" s="81" t="n">
        <f aca="true">RAND()</f>
        <v>0.0299050727286109</v>
      </c>
      <c r="G1127" s="83" t="n">
        <f aca="false">IF(F1127&lt;(Inputs!$E$15-Inputs!$D$15)/(Inputs!$F$15-Inputs!$D$15),Inputs!$D$15+SQRT(F1127*(Inputs!$F$15-Inputs!$D$15)*(Inputs!$E$15-Inputs!$D$15)),Inputs!$F$15-SQRT((1-F1127)*(Inputs!$F$15-Inputs!$D$15)*(Inputs!$F$15-Inputs!$E$15)))</f>
        <v>0.62445611282629</v>
      </c>
      <c r="H1127" s="81" t="n">
        <f aca="true">RAND()</f>
        <v>0.731824928848009</v>
      </c>
      <c r="I1127" s="82" t="n">
        <f aca="false">ROUND(IF(H1127&lt;(Inputs!$E$17-Inputs!$D$17)/(Inputs!$F$17-Inputs!$D$17),Inputs!$D$17+SQRT(H1127*(Inputs!$F$17-Inputs!$D$17)*(Inputs!$E$17-Inputs!$D$17)),Inputs!$F$17-SQRT((1-H1127)*(Inputs!$F$17-Inputs!$D$17)*(Inputs!$F$17-Inputs!$E$17))),0)</f>
        <v>109</v>
      </c>
      <c r="J1127" s="81" t="n">
        <f aca="true">RAND()</f>
        <v>0.132167392593167</v>
      </c>
      <c r="K1127" s="83" t="n">
        <f aca="false">IF(J1127&lt;(Inputs!$E$18-Inputs!$D$18)/(Inputs!$F$18-Inputs!$D$18),Inputs!$D$18+SQRT(J1127*(Inputs!$F$18-Inputs!$D$18)*(Inputs!$E$18-Inputs!$D$18)),Inputs!$F$18-SQRT((1-J1127)*(Inputs!$F$18-Inputs!$D$18)*(Inputs!$F$18-Inputs!$E$18)))</f>
        <v>0.968013665838277</v>
      </c>
      <c r="L1127" s="81" t="n">
        <f aca="true">RAND()</f>
        <v>0.377808729441931</v>
      </c>
      <c r="M1127" s="83" t="n">
        <f aca="false">IF(L1127&lt;(Inputs!$E$24-Inputs!$D$24)/(Inputs!$F$24-Inputs!$D$24),Inputs!$D$24+SQRT(L1127*(Inputs!$F$24-Inputs!$D$24)*(Inputs!$E$24-Inputs!$D$24)),Inputs!$F$24-SQRT((1-L1127)*(Inputs!$F$24-Inputs!$D$24)*(Inputs!$F$24-Inputs!$E$24)))</f>
        <v>0.813572898292658</v>
      </c>
      <c r="N1127" s="81" t="n">
        <f aca="true">RAND()</f>
        <v>0.600351632920397</v>
      </c>
      <c r="O1127" s="83" t="n">
        <f aca="false">IF(N1127&lt;(Inputs!$E$26-Inputs!$D$26)/(Inputs!$F$26-Inputs!$D$26),Inputs!$D$26+SQRT(N1127*(Inputs!$F$26-Inputs!$D$26)*(Inputs!$E$26-Inputs!$D$26)),Inputs!$F$26-SQRT((1-N1127)*(Inputs!$F$26-Inputs!$D$26)*(Inputs!$F$26-Inputs!$E$26)))</f>
        <v>0.616067258218807</v>
      </c>
      <c r="P1127" s="81" t="n">
        <f aca="true">RAND()</f>
        <v>0.482051367527524</v>
      </c>
      <c r="Q1127" s="82" t="n">
        <f aca="false">IF(P1127&lt;(Inputs!$E$27-Inputs!$D$27)/(Inputs!$F$27-Inputs!$D$27),Inputs!$D$27+SQRT(P1127*(Inputs!$F$27-Inputs!$D$27)*(Inputs!$E$27-Inputs!$D$27)),Inputs!$F$27-SQRT((1-P1127)*(Inputs!$F$27-Inputs!$D$27)*(Inputs!$F$27-Inputs!$E$27)))</f>
        <v>87.6733223768219</v>
      </c>
      <c r="R1127" s="81" t="n">
        <f aca="true">RAND()</f>
        <v>0.108028825059632</v>
      </c>
      <c r="S1127" s="82" t="n">
        <f aca="false">IF(R1127&lt;(Inputs!$E$29-Inputs!$D$29)/(Inputs!$F$29-Inputs!$D$29),Inputs!$D$29+SQRT(R1127*(Inputs!$F$29-Inputs!$D$29)*(Inputs!$E$29-Inputs!$D$29)),Inputs!$F$29-SQRT((1-R1127)*(Inputs!$F$29-Inputs!$D$29)*(Inputs!$F$29-Inputs!$E$29)))</f>
        <v>4.05258962711148</v>
      </c>
      <c r="T1127" s="68" t="n">
        <f aca="false">Inputs!$E$9*(1+E1127)+Inputs!$E$5*C1127*(Inputs!$E$11*Inputs!$E$14*(G1127*I1127/Inputs!$E$16+(1-G1127))*K1127+Inputs!$E$23*M1127)*(1+O1127)+Inputs!$E$5*(Q1127+S1127)</f>
        <v>6435.15951604625</v>
      </c>
    </row>
    <row r="1128" customFormat="false" ht="15" hidden="false" customHeight="false" outlineLevel="0" collapsed="false">
      <c r="A1128" s="1" t="n">
        <v>1124</v>
      </c>
      <c r="B1128" s="81" t="n">
        <f aca="true">RAND()</f>
        <v>0.0580094692079367</v>
      </c>
      <c r="C1128" s="82" t="n">
        <f aca="false">ROUND(IF(B1128&lt;(Inputs!$E$8-Inputs!$D$8)/(Inputs!$F$8-Inputs!$D$8),Inputs!$D$8+SQRT(B1128*(Inputs!$F$8-Inputs!$D$8)*(Inputs!$E$8-Inputs!$D$8)),Inputs!$F$8-SQRT((1-B1128)*(Inputs!$F$8-Inputs!$D$8)*(Inputs!$F$8-Inputs!$E$8))),0)</f>
        <v>22</v>
      </c>
      <c r="D1128" s="81" t="n">
        <f aca="true">RAND()</f>
        <v>0.283818472726761</v>
      </c>
      <c r="E1128" s="83" t="n">
        <f aca="false">IF(D1128&lt;(Inputs!$E$10-Inputs!$D$10)/(Inputs!$F$10-Inputs!$D$10),Inputs!$D$10+SQRT(D1128*(Inputs!$F$10-Inputs!$D$10)*(Inputs!$E$10-Inputs!$D$10)),Inputs!$F$10-SQRT((1-D1128)*(Inputs!$F$10-Inputs!$D$10)*(Inputs!$F$10-Inputs!$E$10)))</f>
        <v>0.0534208547637244</v>
      </c>
      <c r="F1128" s="81" t="n">
        <f aca="true">RAND()</f>
        <v>0.330032877486394</v>
      </c>
      <c r="G1128" s="83" t="n">
        <f aca="false">IF(F1128&lt;(Inputs!$E$15-Inputs!$D$15)/(Inputs!$F$15-Inputs!$D$15),Inputs!$D$15+SQRT(F1128*(Inputs!$F$15-Inputs!$D$15)*(Inputs!$E$15-Inputs!$D$15)),Inputs!$F$15-SQRT((1-F1128)*(Inputs!$F$15-Inputs!$D$15)*(Inputs!$F$15-Inputs!$E$15)))</f>
        <v>0.681244430884387</v>
      </c>
      <c r="H1128" s="81" t="n">
        <f aca="true">RAND()</f>
        <v>0.624522703419527</v>
      </c>
      <c r="I1128" s="82" t="n">
        <f aca="false">ROUND(IF(H1128&lt;(Inputs!$E$17-Inputs!$D$17)/(Inputs!$F$17-Inputs!$D$17),Inputs!$D$17+SQRT(H1128*(Inputs!$F$17-Inputs!$D$17)*(Inputs!$E$17-Inputs!$D$17)),Inputs!$F$17-SQRT((1-H1128)*(Inputs!$F$17-Inputs!$D$17)*(Inputs!$F$17-Inputs!$E$17))),0)</f>
        <v>107</v>
      </c>
      <c r="J1128" s="81" t="n">
        <f aca="true">RAND()</f>
        <v>0.71458100940303</v>
      </c>
      <c r="K1128" s="83" t="n">
        <f aca="false">IF(J1128&lt;(Inputs!$E$18-Inputs!$D$18)/(Inputs!$F$18-Inputs!$D$18),Inputs!$D$18+SQRT(J1128*(Inputs!$F$18-Inputs!$D$18)*(Inputs!$E$18-Inputs!$D$18)),Inputs!$F$18-SQRT((1-J1128)*(Inputs!$F$18-Inputs!$D$18)*(Inputs!$F$18-Inputs!$E$18)))</f>
        <v>1.09196784606532</v>
      </c>
      <c r="L1128" s="81" t="n">
        <f aca="true">RAND()</f>
        <v>0.824272954502785</v>
      </c>
      <c r="M1128" s="83" t="n">
        <f aca="false">IF(L1128&lt;(Inputs!$E$24-Inputs!$D$24)/(Inputs!$F$24-Inputs!$D$24),Inputs!$D$24+SQRT(L1128*(Inputs!$F$24-Inputs!$D$24)*(Inputs!$E$24-Inputs!$D$24)),Inputs!$F$24-SQRT((1-L1128)*(Inputs!$F$24-Inputs!$D$24)*(Inputs!$F$24-Inputs!$E$24)))</f>
        <v>0.994635711674762</v>
      </c>
      <c r="N1128" s="81" t="n">
        <f aca="true">RAND()</f>
        <v>0.42140709735961</v>
      </c>
      <c r="O1128" s="83" t="n">
        <f aca="false">IF(N1128&lt;(Inputs!$E$26-Inputs!$D$26)/(Inputs!$F$26-Inputs!$D$26),Inputs!$D$26+SQRT(N1128*(Inputs!$F$26-Inputs!$D$26)*(Inputs!$E$26-Inputs!$D$26)),Inputs!$F$26-SQRT((1-N1128)*(Inputs!$F$26-Inputs!$D$26)*(Inputs!$F$26-Inputs!$E$26)))</f>
        <v>0.564805855299008</v>
      </c>
      <c r="P1128" s="81" t="n">
        <f aca="true">RAND()</f>
        <v>0.474545122726676</v>
      </c>
      <c r="Q1128" s="82" t="n">
        <f aca="false">IF(P1128&lt;(Inputs!$E$27-Inputs!$D$27)/(Inputs!$F$27-Inputs!$D$27),Inputs!$D$27+SQRT(P1128*(Inputs!$F$27-Inputs!$D$27)*(Inputs!$E$27-Inputs!$D$27)),Inputs!$F$27-SQRT((1-P1128)*(Inputs!$F$27-Inputs!$D$27)*(Inputs!$F$27-Inputs!$E$27)))</f>
        <v>87.2233197791574</v>
      </c>
      <c r="R1128" s="81" t="n">
        <f aca="true">RAND()</f>
        <v>0.0100595528979633</v>
      </c>
      <c r="S1128" s="82" t="n">
        <f aca="false">IF(R1128&lt;(Inputs!$E$29-Inputs!$D$29)/(Inputs!$F$29-Inputs!$D$29),Inputs!$D$29+SQRT(R1128*(Inputs!$F$29-Inputs!$D$29)*(Inputs!$E$29-Inputs!$D$29)),Inputs!$F$29-SQRT((1-R1128)*(Inputs!$F$29-Inputs!$D$29)*(Inputs!$F$29-Inputs!$E$29)))</f>
        <v>2.62635657817298</v>
      </c>
      <c r="T1128" s="68" t="n">
        <f aca="false">Inputs!$E$9*(1+E1128)+Inputs!$E$5*C1128*(Inputs!$E$11*Inputs!$E$14*(G1128*I1128/Inputs!$E$16+(1-G1128))*K1128+Inputs!$E$23*M1128)*(1+O1128)+Inputs!$E$5*(Q1128+S1128)</f>
        <v>6051.02158333691</v>
      </c>
    </row>
    <row r="1129" customFormat="false" ht="15" hidden="false" customHeight="false" outlineLevel="0" collapsed="false">
      <c r="A1129" s="1" t="n">
        <v>1125</v>
      </c>
      <c r="B1129" s="81" t="n">
        <f aca="true">RAND()</f>
        <v>0.970121551511236</v>
      </c>
      <c r="C1129" s="82" t="n">
        <f aca="false">ROUND(IF(B1129&lt;(Inputs!$E$8-Inputs!$D$8)/(Inputs!$F$8-Inputs!$D$8),Inputs!$D$8+SQRT(B1129*(Inputs!$F$8-Inputs!$D$8)*(Inputs!$E$8-Inputs!$D$8)),Inputs!$F$8-SQRT((1-B1129)*(Inputs!$F$8-Inputs!$D$8)*(Inputs!$F$8-Inputs!$E$8))),0)</f>
        <v>29</v>
      </c>
      <c r="D1129" s="81" t="n">
        <f aca="true">RAND()</f>
        <v>0.0692765652898083</v>
      </c>
      <c r="E1129" s="83" t="n">
        <f aca="false">IF(D1129&lt;(Inputs!$E$10-Inputs!$D$10)/(Inputs!$F$10-Inputs!$D$10),Inputs!$D$10+SQRT(D1129*(Inputs!$F$10-Inputs!$D$10)*(Inputs!$E$10-Inputs!$D$10)),Inputs!$F$10-SQRT((1-D1129)*(Inputs!$F$10-Inputs!$D$10)*(Inputs!$F$10-Inputs!$E$10)))</f>
        <v>0.0263204417306793</v>
      </c>
      <c r="F1129" s="81" t="n">
        <f aca="true">RAND()</f>
        <v>0.748313744090227</v>
      </c>
      <c r="G1129" s="83" t="n">
        <f aca="false">IF(F1129&lt;(Inputs!$E$15-Inputs!$D$15)/(Inputs!$F$15-Inputs!$D$15),Inputs!$D$15+SQRT(F1129*(Inputs!$F$15-Inputs!$D$15)*(Inputs!$E$15-Inputs!$D$15)),Inputs!$F$15-SQRT((1-F1129)*(Inputs!$F$15-Inputs!$D$15)*(Inputs!$F$15-Inputs!$E$15)))</f>
        <v>0.729051250058965</v>
      </c>
      <c r="H1129" s="81" t="n">
        <f aca="true">RAND()</f>
        <v>0.0312320810476814</v>
      </c>
      <c r="I1129" s="82" t="n">
        <f aca="false">ROUND(IF(H1129&lt;(Inputs!$E$17-Inputs!$D$17)/(Inputs!$F$17-Inputs!$D$17),Inputs!$D$17+SQRT(H1129*(Inputs!$F$17-Inputs!$D$17)*(Inputs!$E$17-Inputs!$D$17)),Inputs!$F$17-SQRT((1-H1129)*(Inputs!$F$17-Inputs!$D$17)*(Inputs!$F$17-Inputs!$E$17))),0)</f>
        <v>102</v>
      </c>
      <c r="J1129" s="81" t="n">
        <f aca="true">RAND()</f>
        <v>0.347699067557232</v>
      </c>
      <c r="K1129" s="83" t="n">
        <f aca="false">IF(J1129&lt;(Inputs!$E$18-Inputs!$D$18)/(Inputs!$F$18-Inputs!$D$18),Inputs!$D$18+SQRT(J1129*(Inputs!$F$18-Inputs!$D$18)*(Inputs!$E$18-Inputs!$D$18)),Inputs!$F$18-SQRT((1-J1129)*(Inputs!$F$18-Inputs!$D$18)*(Inputs!$F$18-Inputs!$E$18)))</f>
        <v>1.01109346683537</v>
      </c>
      <c r="L1129" s="81" t="n">
        <f aca="true">RAND()</f>
        <v>0.994357789272528</v>
      </c>
      <c r="M1129" s="83" t="n">
        <f aca="false">IF(L1129&lt;(Inputs!$E$24-Inputs!$D$24)/(Inputs!$F$24-Inputs!$D$24),Inputs!$D$24+SQRT(L1129*(Inputs!$F$24-Inputs!$D$24)*(Inputs!$E$24-Inputs!$D$24)),Inputs!$F$24-SQRT((1-L1129)*(Inputs!$F$24-Inputs!$D$24)*(Inputs!$F$24-Inputs!$E$24)))</f>
        <v>1.16320148678828</v>
      </c>
      <c r="N1129" s="81" t="n">
        <f aca="true">RAND()</f>
        <v>0.765385222153115</v>
      </c>
      <c r="O1129" s="83" t="n">
        <f aca="false">IF(N1129&lt;(Inputs!$E$26-Inputs!$D$26)/(Inputs!$F$26-Inputs!$D$26),Inputs!$D$26+SQRT(N1129*(Inputs!$F$26-Inputs!$D$26)*(Inputs!$E$26-Inputs!$D$26)),Inputs!$F$26-SQRT((1-N1129)*(Inputs!$F$26-Inputs!$D$26)*(Inputs!$F$26-Inputs!$E$26)))</f>
        <v>0.663795208472736</v>
      </c>
      <c r="P1129" s="81" t="n">
        <f aca="true">RAND()</f>
        <v>0.927749417395211</v>
      </c>
      <c r="Q1129" s="82" t="n">
        <f aca="false">IF(P1129&lt;(Inputs!$E$27-Inputs!$D$27)/(Inputs!$F$27-Inputs!$D$27),Inputs!$D$27+SQRT(P1129*(Inputs!$F$27-Inputs!$D$27)*(Inputs!$E$27-Inputs!$D$27)),Inputs!$F$27-SQRT((1-P1129)*(Inputs!$F$27-Inputs!$D$27)*(Inputs!$F$27-Inputs!$E$27)))</f>
        <v>126.721697451577</v>
      </c>
      <c r="R1129" s="81" t="n">
        <f aca="true">RAND()</f>
        <v>0.995237400282423</v>
      </c>
      <c r="S1129" s="82" t="n">
        <f aca="false">IF(R1129&lt;(Inputs!$E$29-Inputs!$D$29)/(Inputs!$F$29-Inputs!$D$29),Inputs!$D$29+SQRT(R1129*(Inputs!$F$29-Inputs!$D$29)*(Inputs!$E$29-Inputs!$D$29)),Inputs!$F$29-SQRT((1-R1129)*(Inputs!$F$29-Inputs!$D$29)*(Inputs!$F$29-Inputs!$E$29)))</f>
        <v>14.2131467968642</v>
      </c>
      <c r="T1129" s="68" t="n">
        <f aca="false">Inputs!$E$9*(1+E1129)+Inputs!$E$5*C1129*(Inputs!$E$11*Inputs!$E$14*(G1129*I1129/Inputs!$E$16+(1-G1129))*K1129+Inputs!$E$23*M1129)*(1+O1129)+Inputs!$E$5*(Q1129+S1129)</f>
        <v>7491.68633039018</v>
      </c>
    </row>
    <row r="1130" customFormat="false" ht="15" hidden="false" customHeight="false" outlineLevel="0" collapsed="false">
      <c r="A1130" s="1" t="n">
        <v>1126</v>
      </c>
      <c r="B1130" s="81" t="n">
        <f aca="true">RAND()</f>
        <v>0.515604432543545</v>
      </c>
      <c r="C1130" s="82" t="n">
        <f aca="false">ROUND(IF(B1130&lt;(Inputs!$E$8-Inputs!$D$8)/(Inputs!$F$8-Inputs!$D$8),Inputs!$D$8+SQRT(B1130*(Inputs!$F$8-Inputs!$D$8)*(Inputs!$E$8-Inputs!$D$8)),Inputs!$F$8-SQRT((1-B1130)*(Inputs!$F$8-Inputs!$D$8)*(Inputs!$F$8-Inputs!$E$8))),0)</f>
        <v>25</v>
      </c>
      <c r="D1130" s="81" t="n">
        <f aca="true">RAND()</f>
        <v>0.578726348449931</v>
      </c>
      <c r="E1130" s="83" t="n">
        <f aca="false">IF(D1130&lt;(Inputs!$E$10-Inputs!$D$10)/(Inputs!$F$10-Inputs!$D$10),Inputs!$D$10+SQRT(D1130*(Inputs!$F$10-Inputs!$D$10)*(Inputs!$E$10-Inputs!$D$10)),Inputs!$F$10-SQRT((1-D1130)*(Inputs!$F$10-Inputs!$D$10)*(Inputs!$F$10-Inputs!$E$10)))</f>
        <v>0.0875802083861473</v>
      </c>
      <c r="F1130" s="81" t="n">
        <f aca="true">RAND()</f>
        <v>0.0901708460399524</v>
      </c>
      <c r="G1130" s="83" t="n">
        <f aca="false">IF(F1130&lt;(Inputs!$E$15-Inputs!$D$15)/(Inputs!$F$15-Inputs!$D$15),Inputs!$D$15+SQRT(F1130*(Inputs!$F$15-Inputs!$D$15)*(Inputs!$E$15-Inputs!$D$15)),Inputs!$F$15-SQRT((1-F1130)*(Inputs!$F$15-Inputs!$D$15)*(Inputs!$F$15-Inputs!$E$15)))</f>
        <v>0.642466656576649</v>
      </c>
      <c r="H1130" s="81" t="n">
        <f aca="true">RAND()</f>
        <v>0.663230991817495</v>
      </c>
      <c r="I1130" s="82" t="n">
        <f aca="false">ROUND(IF(H1130&lt;(Inputs!$E$17-Inputs!$D$17)/(Inputs!$F$17-Inputs!$D$17),Inputs!$D$17+SQRT(H1130*(Inputs!$F$17-Inputs!$D$17)*(Inputs!$E$17-Inputs!$D$17)),Inputs!$F$17-SQRT((1-H1130)*(Inputs!$F$17-Inputs!$D$17)*(Inputs!$F$17-Inputs!$E$17))),0)</f>
        <v>108</v>
      </c>
      <c r="J1130" s="81" t="n">
        <f aca="true">RAND()</f>
        <v>0.387033836577087</v>
      </c>
      <c r="K1130" s="83" t="n">
        <f aca="false">IF(J1130&lt;(Inputs!$E$18-Inputs!$D$18)/(Inputs!$F$18-Inputs!$D$18),Inputs!$D$18+SQRT(J1130*(Inputs!$F$18-Inputs!$D$18)*(Inputs!$E$18-Inputs!$D$18)),Inputs!$F$18-SQRT((1-J1130)*(Inputs!$F$18-Inputs!$D$18)*(Inputs!$F$18-Inputs!$E$18)))</f>
        <v>1.01840868043144</v>
      </c>
      <c r="L1130" s="81" t="n">
        <f aca="true">RAND()</f>
        <v>0.124909516890449</v>
      </c>
      <c r="M1130" s="83" t="n">
        <f aca="false">IF(L1130&lt;(Inputs!$E$24-Inputs!$D$24)/(Inputs!$F$24-Inputs!$D$24),Inputs!$D$24+SQRT(L1130*(Inputs!$F$24-Inputs!$D$24)*(Inputs!$E$24-Inputs!$D$24)),Inputs!$F$24-SQRT((1-L1130)*(Inputs!$F$24-Inputs!$D$24)*(Inputs!$F$24-Inputs!$E$24)))</f>
        <v>0.722430151624728</v>
      </c>
      <c r="N1130" s="81" t="n">
        <f aca="true">RAND()</f>
        <v>0.439505208558839</v>
      </c>
      <c r="O1130" s="83" t="n">
        <f aca="false">IF(N1130&lt;(Inputs!$E$26-Inputs!$D$26)/(Inputs!$F$26-Inputs!$D$26),Inputs!$D$26+SQRT(N1130*(Inputs!$F$26-Inputs!$D$26)*(Inputs!$E$26-Inputs!$D$26)),Inputs!$F$26-SQRT((1-N1130)*(Inputs!$F$26-Inputs!$D$26)*(Inputs!$F$26-Inputs!$E$26)))</f>
        <v>0.570432369926736</v>
      </c>
      <c r="P1130" s="81" t="n">
        <f aca="true">RAND()</f>
        <v>0.637782606994415</v>
      </c>
      <c r="Q1130" s="82" t="n">
        <f aca="false">IF(P1130&lt;(Inputs!$E$27-Inputs!$D$27)/(Inputs!$F$27-Inputs!$D$27),Inputs!$D$27+SQRT(P1130*(Inputs!$F$27-Inputs!$D$27)*(Inputs!$E$27-Inputs!$D$27)),Inputs!$F$27-SQRT((1-P1130)*(Inputs!$F$27-Inputs!$D$27)*(Inputs!$F$27-Inputs!$E$27)))</f>
        <v>97.8786948787553</v>
      </c>
      <c r="R1130" s="81" t="n">
        <f aca="true">RAND()</f>
        <v>0.0152675656596988</v>
      </c>
      <c r="S1130" s="82" t="n">
        <f aca="false">IF(R1130&lt;(Inputs!$E$29-Inputs!$D$29)/(Inputs!$F$29-Inputs!$D$29),Inputs!$D$29+SQRT(R1130*(Inputs!$F$29-Inputs!$D$29)*(Inputs!$E$29-Inputs!$D$29)),Inputs!$F$29-SQRT((1-R1130)*(Inputs!$F$29-Inputs!$D$29)*(Inputs!$F$29-Inputs!$E$29)))</f>
        <v>2.77164438747927</v>
      </c>
      <c r="T1130" s="68" t="n">
        <f aca="false">Inputs!$E$9*(1+E1130)+Inputs!$E$5*C1130*(Inputs!$E$11*Inputs!$E$14*(G1130*I1130/Inputs!$E$16+(1-G1130))*K1130+Inputs!$E$23*M1130)*(1+O1130)+Inputs!$E$5*(Q1130+S1130)</f>
        <v>6162.94749569297</v>
      </c>
    </row>
    <row r="1131" customFormat="false" ht="15" hidden="false" customHeight="false" outlineLevel="0" collapsed="false">
      <c r="A1131" s="1" t="n">
        <v>1127</v>
      </c>
      <c r="B1131" s="81" t="n">
        <f aca="true">RAND()</f>
        <v>0.95324469956058</v>
      </c>
      <c r="C1131" s="82" t="n">
        <f aca="false">ROUND(IF(B1131&lt;(Inputs!$E$8-Inputs!$D$8)/(Inputs!$F$8-Inputs!$D$8),Inputs!$D$8+SQRT(B1131*(Inputs!$F$8-Inputs!$D$8)*(Inputs!$E$8-Inputs!$D$8)),Inputs!$F$8-SQRT((1-B1131)*(Inputs!$F$8-Inputs!$D$8)*(Inputs!$F$8-Inputs!$E$8))),0)</f>
        <v>28</v>
      </c>
      <c r="D1131" s="81" t="n">
        <f aca="true">RAND()</f>
        <v>0.041436908471545</v>
      </c>
      <c r="E1131" s="83" t="n">
        <f aca="false">IF(D1131&lt;(Inputs!$E$10-Inputs!$D$10)/(Inputs!$F$10-Inputs!$D$10),Inputs!$D$10+SQRT(D1131*(Inputs!$F$10-Inputs!$D$10)*(Inputs!$E$10-Inputs!$D$10)),Inputs!$F$10-SQRT((1-D1131)*(Inputs!$F$10-Inputs!$D$10)*(Inputs!$F$10-Inputs!$E$10)))</f>
        <v>0.0203560576909049</v>
      </c>
      <c r="F1131" s="81" t="n">
        <f aca="true">RAND()</f>
        <v>0.908435184355521</v>
      </c>
      <c r="G1131" s="83" t="n">
        <f aca="false">IF(F1131&lt;(Inputs!$E$15-Inputs!$D$15)/(Inputs!$F$15-Inputs!$D$15),Inputs!$D$15+SQRT(F1131*(Inputs!$F$15-Inputs!$D$15)*(Inputs!$E$15-Inputs!$D$15)),Inputs!$F$15-SQRT((1-F1131)*(Inputs!$F$15-Inputs!$D$15)*(Inputs!$F$15-Inputs!$E$15)))</f>
        <v>0.757206351956282</v>
      </c>
      <c r="H1131" s="81" t="n">
        <f aca="true">RAND()</f>
        <v>0.269391429895707</v>
      </c>
      <c r="I1131" s="82" t="n">
        <f aca="false">ROUND(IF(H1131&lt;(Inputs!$E$17-Inputs!$D$17)/(Inputs!$F$17-Inputs!$D$17),Inputs!$D$17+SQRT(H1131*(Inputs!$F$17-Inputs!$D$17)*(Inputs!$E$17-Inputs!$D$17)),Inputs!$F$17-SQRT((1-H1131)*(Inputs!$F$17-Inputs!$D$17)*(Inputs!$F$17-Inputs!$E$17))),0)</f>
        <v>104</v>
      </c>
      <c r="J1131" s="81" t="n">
        <f aca="true">RAND()</f>
        <v>0.354532427074484</v>
      </c>
      <c r="K1131" s="83" t="n">
        <f aca="false">IF(J1131&lt;(Inputs!$E$18-Inputs!$D$18)/(Inputs!$F$18-Inputs!$D$18),Inputs!$D$18+SQRT(J1131*(Inputs!$F$18-Inputs!$D$18)*(Inputs!$E$18-Inputs!$D$18)),Inputs!$F$18-SQRT((1-J1131)*(Inputs!$F$18-Inputs!$D$18)*(Inputs!$F$18-Inputs!$E$18)))</f>
        <v>1.01234812723022</v>
      </c>
      <c r="L1131" s="81" t="n">
        <f aca="true">RAND()</f>
        <v>0.0838021346941454</v>
      </c>
      <c r="M1131" s="83" t="n">
        <f aca="false">IF(L1131&lt;(Inputs!$E$24-Inputs!$D$24)/(Inputs!$F$24-Inputs!$D$24),Inputs!$D$24+SQRT(L1131*(Inputs!$F$24-Inputs!$D$24)*(Inputs!$E$24-Inputs!$D$24)),Inputs!$F$24-SQRT((1-L1131)*(Inputs!$F$24-Inputs!$D$24)*(Inputs!$F$24-Inputs!$E$24)))</f>
        <v>0.700280886330833</v>
      </c>
      <c r="N1131" s="81" t="n">
        <f aca="true">RAND()</f>
        <v>0.270504547197769</v>
      </c>
      <c r="O1131" s="83" t="n">
        <f aca="false">IF(N1131&lt;(Inputs!$E$26-Inputs!$D$26)/(Inputs!$F$26-Inputs!$D$26),Inputs!$D$26+SQRT(N1131*(Inputs!$F$26-Inputs!$D$26)*(Inputs!$E$26-Inputs!$D$26)),Inputs!$F$26-SQRT((1-N1131)*(Inputs!$F$26-Inputs!$D$26)*(Inputs!$F$26-Inputs!$E$26)))</f>
        <v>0.512160214587252</v>
      </c>
      <c r="P1131" s="81" t="n">
        <f aca="true">RAND()</f>
        <v>0.709478530197551</v>
      </c>
      <c r="Q1131" s="82" t="n">
        <f aca="false">IF(P1131&lt;(Inputs!$E$27-Inputs!$D$27)/(Inputs!$F$27-Inputs!$D$27),Inputs!$D$27+SQRT(P1131*(Inputs!$F$27-Inputs!$D$27)*(Inputs!$E$27-Inputs!$D$27)),Inputs!$F$27-SQRT((1-P1131)*(Inputs!$F$27-Inputs!$D$27)*(Inputs!$F$27-Inputs!$E$27)))</f>
        <v>103.32119299384</v>
      </c>
      <c r="R1131" s="81" t="n">
        <f aca="true">RAND()</f>
        <v>0.587071184151484</v>
      </c>
      <c r="S1131" s="82" t="n">
        <f aca="false">IF(R1131&lt;(Inputs!$E$29-Inputs!$D$29)/(Inputs!$F$29-Inputs!$D$29),Inputs!$D$29+SQRT(R1131*(Inputs!$F$29-Inputs!$D$29)*(Inputs!$E$29-Inputs!$D$29)),Inputs!$F$29-SQRT((1-R1131)*(Inputs!$F$29-Inputs!$D$29)*(Inputs!$F$29-Inputs!$E$29)))</f>
        <v>7.67328545251645</v>
      </c>
      <c r="T1131" s="68" t="n">
        <f aca="false">Inputs!$E$9*(1+E1131)+Inputs!$E$5*C1131*(Inputs!$E$11*Inputs!$E$14*(G1131*I1131/Inputs!$E$16+(1-G1131))*K1131+Inputs!$E$23*M1131)*(1+O1131)+Inputs!$E$5*(Q1131+S1131)</f>
        <v>6063.44426414488</v>
      </c>
    </row>
    <row r="1132" customFormat="false" ht="15" hidden="false" customHeight="false" outlineLevel="0" collapsed="false">
      <c r="A1132" s="1" t="n">
        <v>1128</v>
      </c>
      <c r="B1132" s="81" t="n">
        <f aca="true">RAND()</f>
        <v>0.291616628440907</v>
      </c>
      <c r="C1132" s="82" t="n">
        <f aca="false">ROUND(IF(B1132&lt;(Inputs!$E$8-Inputs!$D$8)/(Inputs!$F$8-Inputs!$D$8),Inputs!$D$8+SQRT(B1132*(Inputs!$F$8-Inputs!$D$8)*(Inputs!$E$8-Inputs!$D$8)),Inputs!$F$8-SQRT((1-B1132)*(Inputs!$F$8-Inputs!$D$8)*(Inputs!$F$8-Inputs!$E$8))),0)</f>
        <v>24</v>
      </c>
      <c r="D1132" s="81" t="n">
        <f aca="true">RAND()</f>
        <v>0.427086237627886</v>
      </c>
      <c r="E1132" s="83" t="n">
        <f aca="false">IF(D1132&lt;(Inputs!$E$10-Inputs!$D$10)/(Inputs!$F$10-Inputs!$D$10),Inputs!$D$10+SQRT(D1132*(Inputs!$F$10-Inputs!$D$10)*(Inputs!$E$10-Inputs!$D$10)),Inputs!$F$10-SQRT((1-D1132)*(Inputs!$F$10-Inputs!$D$10)*(Inputs!$F$10-Inputs!$E$10)))</f>
        <v>0.0688992262754967</v>
      </c>
      <c r="F1132" s="81" t="n">
        <f aca="true">RAND()</f>
        <v>0.00268253539606562</v>
      </c>
      <c r="G1132" s="83" t="n">
        <f aca="false">IF(F1132&lt;(Inputs!$E$15-Inputs!$D$15)/(Inputs!$F$15-Inputs!$D$15),Inputs!$D$15+SQRT(F1132*(Inputs!$F$15-Inputs!$D$15)*(Inputs!$E$15-Inputs!$D$15)),Inputs!$F$15-SQRT((1-F1132)*(Inputs!$F$15-Inputs!$D$15)*(Inputs!$F$15-Inputs!$E$15)))</f>
        <v>0.60732466435554</v>
      </c>
      <c r="H1132" s="81" t="n">
        <f aca="true">RAND()</f>
        <v>0.188218812180669</v>
      </c>
      <c r="I1132" s="82" t="n">
        <f aca="false">ROUND(IF(H1132&lt;(Inputs!$E$17-Inputs!$D$17)/(Inputs!$F$17-Inputs!$D$17),Inputs!$D$17+SQRT(H1132*(Inputs!$F$17-Inputs!$D$17)*(Inputs!$E$17-Inputs!$D$17)),Inputs!$F$17-SQRT((1-H1132)*(Inputs!$F$17-Inputs!$D$17)*(Inputs!$F$17-Inputs!$E$17))),0)</f>
        <v>104</v>
      </c>
      <c r="J1132" s="81" t="n">
        <f aca="true">RAND()</f>
        <v>0.40559770786978</v>
      </c>
      <c r="K1132" s="83" t="n">
        <f aca="false">IF(J1132&lt;(Inputs!$E$18-Inputs!$D$18)/(Inputs!$F$18-Inputs!$D$18),Inputs!$D$18+SQRT(J1132*(Inputs!$F$18-Inputs!$D$18)*(Inputs!$E$18-Inputs!$D$18)),Inputs!$F$18-SQRT((1-J1132)*(Inputs!$F$18-Inputs!$D$18)*(Inputs!$F$18-Inputs!$E$18)))</f>
        <v>1.0219425498665</v>
      </c>
      <c r="L1132" s="81" t="n">
        <f aca="true">RAND()</f>
        <v>0.197248999836915</v>
      </c>
      <c r="M1132" s="83" t="n">
        <f aca="false">IF(L1132&lt;(Inputs!$E$24-Inputs!$D$24)/(Inputs!$F$24-Inputs!$D$24),Inputs!$D$24+SQRT(L1132*(Inputs!$F$24-Inputs!$D$24)*(Inputs!$E$24-Inputs!$D$24)),Inputs!$F$24-SQRT((1-L1132)*(Inputs!$F$24-Inputs!$D$24)*(Inputs!$F$24-Inputs!$E$24)))</f>
        <v>0.753850186806613</v>
      </c>
      <c r="N1132" s="81" t="n">
        <f aca="true">RAND()</f>
        <v>0.539185630989893</v>
      </c>
      <c r="O1132" s="83" t="n">
        <f aca="false">IF(N1132&lt;(Inputs!$E$26-Inputs!$D$26)/(Inputs!$F$26-Inputs!$D$26),Inputs!$D$26+SQRT(N1132*(Inputs!$F$26-Inputs!$D$26)*(Inputs!$E$26-Inputs!$D$26)),Inputs!$F$26-SQRT((1-N1132)*(Inputs!$F$26-Inputs!$D$26)*(Inputs!$F$26-Inputs!$E$26)))</f>
        <v>0.599533786068814</v>
      </c>
      <c r="P1132" s="81" t="n">
        <f aca="true">RAND()</f>
        <v>0.782831204199257</v>
      </c>
      <c r="Q1132" s="82" t="n">
        <f aca="false">IF(P1132&lt;(Inputs!$E$27-Inputs!$D$27)/(Inputs!$F$27-Inputs!$D$27),Inputs!$D$27+SQRT(P1132*(Inputs!$F$27-Inputs!$D$27)*(Inputs!$E$27-Inputs!$D$27)),Inputs!$F$27-SQRT((1-P1132)*(Inputs!$F$27-Inputs!$D$27)*(Inputs!$F$27-Inputs!$E$27)))</f>
        <v>109.642027200247</v>
      </c>
      <c r="R1132" s="81" t="n">
        <f aca="true">RAND()</f>
        <v>0.0282240836215801</v>
      </c>
      <c r="S1132" s="82" t="n">
        <f aca="false">IF(R1132&lt;(Inputs!$E$29-Inputs!$D$29)/(Inputs!$F$29-Inputs!$D$29),Inputs!$D$29+SQRT(R1132*(Inputs!$F$29-Inputs!$D$29)*(Inputs!$E$29-Inputs!$D$29)),Inputs!$F$29-SQRT((1-R1132)*(Inputs!$F$29-Inputs!$D$29)*(Inputs!$F$29-Inputs!$E$29)))</f>
        <v>3.04916121794585</v>
      </c>
      <c r="T1132" s="68" t="n">
        <f aca="false">Inputs!$E$9*(1+E1132)+Inputs!$E$5*C1132*(Inputs!$E$11*Inputs!$E$14*(G1132*I1132/Inputs!$E$16+(1-G1132))*K1132+Inputs!$E$23*M1132)*(1+O1132)+Inputs!$E$5*(Q1132+S1132)</f>
        <v>6164.66548035361</v>
      </c>
    </row>
    <row r="1133" customFormat="false" ht="15" hidden="false" customHeight="false" outlineLevel="0" collapsed="false">
      <c r="A1133" s="1" t="n">
        <v>1129</v>
      </c>
      <c r="B1133" s="81" t="n">
        <f aca="true">RAND()</f>
        <v>0.622677737047294</v>
      </c>
      <c r="C1133" s="82" t="n">
        <f aca="false">ROUND(IF(B1133&lt;(Inputs!$E$8-Inputs!$D$8)/(Inputs!$F$8-Inputs!$D$8),Inputs!$D$8+SQRT(B1133*(Inputs!$F$8-Inputs!$D$8)*(Inputs!$E$8-Inputs!$D$8)),Inputs!$F$8-SQRT((1-B1133)*(Inputs!$F$8-Inputs!$D$8)*(Inputs!$F$8-Inputs!$E$8))),0)</f>
        <v>26</v>
      </c>
      <c r="D1133" s="81" t="n">
        <f aca="true">RAND()</f>
        <v>0.798050221458667</v>
      </c>
      <c r="E1133" s="83" t="n">
        <f aca="false">IF(D1133&lt;(Inputs!$E$10-Inputs!$D$10)/(Inputs!$F$10-Inputs!$D$10),Inputs!$D$10+SQRT(D1133*(Inputs!$F$10-Inputs!$D$10)*(Inputs!$E$10-Inputs!$D$10)),Inputs!$F$10-SQRT((1-D1133)*(Inputs!$F$10-Inputs!$D$10)*(Inputs!$F$10-Inputs!$E$10)))</f>
        <v>0.122163675856063</v>
      </c>
      <c r="F1133" s="81" t="n">
        <f aca="true">RAND()</f>
        <v>0.551307268198988</v>
      </c>
      <c r="G1133" s="83" t="n">
        <f aca="false">IF(F1133&lt;(Inputs!$E$15-Inputs!$D$15)/(Inputs!$F$15-Inputs!$D$15),Inputs!$D$15+SQRT(F1133*(Inputs!$F$15-Inputs!$D$15)*(Inputs!$E$15-Inputs!$D$15)),Inputs!$F$15-SQRT((1-F1133)*(Inputs!$F$15-Inputs!$D$15)*(Inputs!$F$15-Inputs!$E$15)))</f>
        <v>0.705269568585273</v>
      </c>
      <c r="H1133" s="81" t="n">
        <f aca="true">RAND()</f>
        <v>0.854612747985394</v>
      </c>
      <c r="I1133" s="82" t="n">
        <f aca="false">ROUND(IF(H1133&lt;(Inputs!$E$17-Inputs!$D$17)/(Inputs!$F$17-Inputs!$D$17),Inputs!$D$17+SQRT(H1133*(Inputs!$F$17-Inputs!$D$17)*(Inputs!$E$17-Inputs!$D$17)),Inputs!$F$17-SQRT((1-H1133)*(Inputs!$F$17-Inputs!$D$17)*(Inputs!$F$17-Inputs!$E$17))),0)</f>
        <v>110</v>
      </c>
      <c r="J1133" s="81" t="n">
        <f aca="true">RAND()</f>
        <v>0.761976307148184</v>
      </c>
      <c r="K1133" s="83" t="n">
        <f aca="false">IF(J1133&lt;(Inputs!$E$18-Inputs!$D$18)/(Inputs!$F$18-Inputs!$D$18),Inputs!$D$18+SQRT(J1133*(Inputs!$F$18-Inputs!$D$18)*(Inputs!$E$18-Inputs!$D$18)),Inputs!$F$18-SQRT((1-J1133)*(Inputs!$F$18-Inputs!$D$18)*(Inputs!$F$18-Inputs!$E$18)))</f>
        <v>1.10568412033136</v>
      </c>
      <c r="L1133" s="81" t="n">
        <f aca="true">RAND()</f>
        <v>0.273936943579836</v>
      </c>
      <c r="M1133" s="83" t="n">
        <f aca="false">IF(L1133&lt;(Inputs!$E$24-Inputs!$D$24)/(Inputs!$F$24-Inputs!$D$24),Inputs!$D$24+SQRT(L1133*(Inputs!$F$24-Inputs!$D$24)*(Inputs!$E$24-Inputs!$D$24)),Inputs!$F$24-SQRT((1-L1133)*(Inputs!$F$24-Inputs!$D$24)*(Inputs!$F$24-Inputs!$E$24)))</f>
        <v>0.781307565285016</v>
      </c>
      <c r="N1133" s="81" t="n">
        <f aca="true">RAND()</f>
        <v>0.0693854026428041</v>
      </c>
      <c r="O1133" s="83" t="n">
        <f aca="false">IF(N1133&lt;(Inputs!$E$26-Inputs!$D$26)/(Inputs!$F$26-Inputs!$D$26),Inputs!$D$26+SQRT(N1133*(Inputs!$F$26-Inputs!$D$26)*(Inputs!$E$26-Inputs!$D$26)),Inputs!$F$26-SQRT((1-N1133)*(Inputs!$F$26-Inputs!$D$26)*(Inputs!$F$26-Inputs!$E$26)))</f>
        <v>0.407451063278883</v>
      </c>
      <c r="P1133" s="81" t="n">
        <f aca="true">RAND()</f>
        <v>0.736762050722604</v>
      </c>
      <c r="Q1133" s="82" t="n">
        <f aca="false">IF(P1133&lt;(Inputs!$E$27-Inputs!$D$27)/(Inputs!$F$27-Inputs!$D$27),Inputs!$D$27+SQRT(P1133*(Inputs!$F$27-Inputs!$D$27)*(Inputs!$E$27-Inputs!$D$27)),Inputs!$F$27-SQRT((1-P1133)*(Inputs!$F$27-Inputs!$D$27)*(Inputs!$F$27-Inputs!$E$27)))</f>
        <v>105.567077300942</v>
      </c>
      <c r="R1133" s="81" t="n">
        <f aca="true">RAND()</f>
        <v>0.702418684636109</v>
      </c>
      <c r="S1133" s="82" t="n">
        <f aca="false">IF(R1133&lt;(Inputs!$E$29-Inputs!$D$29)/(Inputs!$F$29-Inputs!$D$29),Inputs!$D$29+SQRT(R1133*(Inputs!$F$29-Inputs!$D$29)*(Inputs!$E$29-Inputs!$D$29)),Inputs!$F$29-SQRT((1-R1133)*(Inputs!$F$29-Inputs!$D$29)*(Inputs!$F$29-Inputs!$E$29)))</f>
        <v>8.78022741594953</v>
      </c>
      <c r="T1133" s="68" t="n">
        <f aca="false">Inputs!$E$9*(1+E1133)+Inputs!$E$5*C1133*(Inputs!$E$11*Inputs!$E$14*(G1133*I1133/Inputs!$E$16+(1-G1133))*K1133+Inputs!$E$23*M1133)*(1+O1133)+Inputs!$E$5*(Q1133+S1133)</f>
        <v>6284.88613749038</v>
      </c>
    </row>
    <row r="1134" customFormat="false" ht="15" hidden="false" customHeight="false" outlineLevel="0" collapsed="false">
      <c r="A1134" s="1" t="n">
        <v>1130</v>
      </c>
      <c r="B1134" s="81" t="n">
        <f aca="true">RAND()</f>
        <v>0.385916367130014</v>
      </c>
      <c r="C1134" s="82" t="n">
        <f aca="false">ROUND(IF(B1134&lt;(Inputs!$E$8-Inputs!$D$8)/(Inputs!$F$8-Inputs!$D$8),Inputs!$D$8+SQRT(B1134*(Inputs!$F$8-Inputs!$D$8)*(Inputs!$E$8-Inputs!$D$8)),Inputs!$F$8-SQRT((1-B1134)*(Inputs!$F$8-Inputs!$D$8)*(Inputs!$F$8-Inputs!$E$8))),0)</f>
        <v>24</v>
      </c>
      <c r="D1134" s="81" t="n">
        <f aca="true">RAND()</f>
        <v>0.338032231619821</v>
      </c>
      <c r="E1134" s="83" t="n">
        <f aca="false">IF(D1134&lt;(Inputs!$E$10-Inputs!$D$10)/(Inputs!$F$10-Inputs!$D$10),Inputs!$D$10+SQRT(D1134*(Inputs!$F$10-Inputs!$D$10)*(Inputs!$E$10-Inputs!$D$10)),Inputs!$F$10-SQRT((1-D1134)*(Inputs!$F$10-Inputs!$D$10)*(Inputs!$F$10-Inputs!$E$10)))</f>
        <v>0.0590779185102442</v>
      </c>
      <c r="F1134" s="81" t="n">
        <f aca="true">RAND()</f>
        <v>0.094331088518505</v>
      </c>
      <c r="G1134" s="83" t="n">
        <f aca="false">IF(F1134&lt;(Inputs!$E$15-Inputs!$D$15)/(Inputs!$F$15-Inputs!$D$15),Inputs!$D$15+SQRT(F1134*(Inputs!$F$15-Inputs!$D$15)*(Inputs!$E$15-Inputs!$D$15)),Inputs!$F$15-SQRT((1-F1134)*(Inputs!$F$15-Inputs!$D$15)*(Inputs!$F$15-Inputs!$E$15)))</f>
        <v>0.643435259529213</v>
      </c>
      <c r="H1134" s="81" t="n">
        <f aca="true">RAND()</f>
        <v>0.297162248479163</v>
      </c>
      <c r="I1134" s="82" t="n">
        <f aca="false">ROUND(IF(H1134&lt;(Inputs!$E$17-Inputs!$D$17)/(Inputs!$F$17-Inputs!$D$17),Inputs!$D$17+SQRT(H1134*(Inputs!$F$17-Inputs!$D$17)*(Inputs!$E$17-Inputs!$D$17)),Inputs!$F$17-SQRT((1-H1134)*(Inputs!$F$17-Inputs!$D$17)*(Inputs!$F$17-Inputs!$E$17))),0)</f>
        <v>105</v>
      </c>
      <c r="J1134" s="81" t="n">
        <f aca="true">RAND()</f>
        <v>0.154091397019026</v>
      </c>
      <c r="K1134" s="83" t="n">
        <f aca="false">IF(J1134&lt;(Inputs!$E$18-Inputs!$D$18)/(Inputs!$F$18-Inputs!$D$18),Inputs!$D$18+SQRT(J1134*(Inputs!$F$18-Inputs!$D$18)*(Inputs!$E$18-Inputs!$D$18)),Inputs!$F$18-SQRT((1-J1134)*(Inputs!$F$18-Inputs!$D$18)*(Inputs!$F$18-Inputs!$E$18)))</f>
        <v>0.973438402050058</v>
      </c>
      <c r="L1134" s="81" t="n">
        <f aca="true">RAND()</f>
        <v>0.490639882218188</v>
      </c>
      <c r="M1134" s="83" t="n">
        <f aca="false">IF(L1134&lt;(Inputs!$E$24-Inputs!$D$24)/(Inputs!$F$24-Inputs!$D$24),Inputs!$D$24+SQRT(L1134*(Inputs!$F$24-Inputs!$D$24)*(Inputs!$E$24-Inputs!$D$24)),Inputs!$F$24-SQRT((1-L1134)*(Inputs!$F$24-Inputs!$D$24)*(Inputs!$F$24-Inputs!$E$24)))</f>
        <v>0.850362432985763</v>
      </c>
      <c r="N1134" s="81" t="n">
        <f aca="true">RAND()</f>
        <v>0.608531183061076</v>
      </c>
      <c r="O1134" s="83" t="n">
        <f aca="false">IF(N1134&lt;(Inputs!$E$26-Inputs!$D$26)/(Inputs!$F$26-Inputs!$D$26),Inputs!$D$26+SQRT(N1134*(Inputs!$F$26-Inputs!$D$26)*(Inputs!$E$26-Inputs!$D$26)),Inputs!$F$26-SQRT((1-N1134)*(Inputs!$F$26-Inputs!$D$26)*(Inputs!$F$26-Inputs!$E$26)))</f>
        <v>0.61821311861921</v>
      </c>
      <c r="P1134" s="81" t="n">
        <f aca="true">RAND()</f>
        <v>0.00231565783068298</v>
      </c>
      <c r="Q1134" s="82" t="n">
        <f aca="false">IF(P1134&lt;(Inputs!$E$27-Inputs!$D$27)/(Inputs!$F$27-Inputs!$D$27),Inputs!$D$27+SQRT(P1134*(Inputs!$F$27-Inputs!$D$27)*(Inputs!$E$27-Inputs!$D$27)),Inputs!$F$27-SQRT((1-P1134)*(Inputs!$F$27-Inputs!$D$27)*(Inputs!$F$27-Inputs!$E$27)))</f>
        <v>52.4060641256433</v>
      </c>
      <c r="R1134" s="81" t="n">
        <f aca="true">RAND()</f>
        <v>0.853973128706473</v>
      </c>
      <c r="S1134" s="82" t="n">
        <f aca="false">IF(R1134&lt;(Inputs!$E$29-Inputs!$D$29)/(Inputs!$F$29-Inputs!$D$29),Inputs!$D$29+SQRT(R1134*(Inputs!$F$29-Inputs!$D$29)*(Inputs!$E$29-Inputs!$D$29)),Inputs!$F$29-SQRT((1-R1134)*(Inputs!$F$29-Inputs!$D$29)*(Inputs!$F$29-Inputs!$E$29)))</f>
        <v>10.6429949198838</v>
      </c>
      <c r="T1134" s="68" t="n">
        <f aca="false">Inputs!$E$9*(1+E1134)+Inputs!$E$5*C1134*(Inputs!$E$11*Inputs!$E$14*(G1134*I1134/Inputs!$E$16+(1-G1134))*K1134+Inputs!$E$23*M1134)*(1+O1134)+Inputs!$E$5*(Q1134+S1134)</f>
        <v>5924.02526041531</v>
      </c>
    </row>
    <row r="1135" customFormat="false" ht="15" hidden="false" customHeight="false" outlineLevel="0" collapsed="false">
      <c r="A1135" s="1" t="n">
        <v>1131</v>
      </c>
      <c r="B1135" s="81" t="n">
        <f aca="true">RAND()</f>
        <v>0.649186947852738</v>
      </c>
      <c r="C1135" s="82" t="n">
        <f aca="false">ROUND(IF(B1135&lt;(Inputs!$E$8-Inputs!$D$8)/(Inputs!$F$8-Inputs!$D$8),Inputs!$D$8+SQRT(B1135*(Inputs!$F$8-Inputs!$D$8)*(Inputs!$E$8-Inputs!$D$8)),Inputs!$F$8-SQRT((1-B1135)*(Inputs!$F$8-Inputs!$D$8)*(Inputs!$F$8-Inputs!$E$8))),0)</f>
        <v>26</v>
      </c>
      <c r="D1135" s="81" t="n">
        <f aca="true">RAND()</f>
        <v>0.638140353097117</v>
      </c>
      <c r="E1135" s="83" t="n">
        <f aca="false">IF(D1135&lt;(Inputs!$E$10-Inputs!$D$10)/(Inputs!$F$10-Inputs!$D$10),Inputs!$D$10+SQRT(D1135*(Inputs!$F$10-Inputs!$D$10)*(Inputs!$E$10-Inputs!$D$10)),Inputs!$F$10-SQRT((1-D1135)*(Inputs!$F$10-Inputs!$D$10)*(Inputs!$F$10-Inputs!$E$10)))</f>
        <v>0.0958088803827961</v>
      </c>
      <c r="F1135" s="81" t="n">
        <f aca="true">RAND()</f>
        <v>0.121132966823968</v>
      </c>
      <c r="G1135" s="83" t="n">
        <f aca="false">IF(F1135&lt;(Inputs!$E$15-Inputs!$D$15)/(Inputs!$F$15-Inputs!$D$15),Inputs!$D$15+SQRT(F1135*(Inputs!$F$15-Inputs!$D$15)*(Inputs!$E$15-Inputs!$D$15)),Inputs!$F$15-SQRT((1-F1135)*(Inputs!$F$15-Inputs!$D$15)*(Inputs!$F$15-Inputs!$E$15)))</f>
        <v>0.649220517434088</v>
      </c>
      <c r="H1135" s="81" t="n">
        <f aca="true">RAND()</f>
        <v>0.363698651822656</v>
      </c>
      <c r="I1135" s="82" t="n">
        <f aca="false">ROUND(IF(H1135&lt;(Inputs!$E$17-Inputs!$D$17)/(Inputs!$F$17-Inputs!$D$17),Inputs!$D$17+SQRT(H1135*(Inputs!$F$17-Inputs!$D$17)*(Inputs!$E$17-Inputs!$D$17)),Inputs!$F$17-SQRT((1-H1135)*(Inputs!$F$17-Inputs!$D$17)*(Inputs!$F$17-Inputs!$E$17))),0)</f>
        <v>105</v>
      </c>
      <c r="J1135" s="81" t="n">
        <f aca="true">RAND()</f>
        <v>0.437081612900733</v>
      </c>
      <c r="K1135" s="83" t="n">
        <f aca="false">IF(J1135&lt;(Inputs!$E$18-Inputs!$D$18)/(Inputs!$F$18-Inputs!$D$18),Inputs!$D$18+SQRT(J1135*(Inputs!$F$18-Inputs!$D$18)*(Inputs!$E$18-Inputs!$D$18)),Inputs!$F$18-SQRT((1-J1135)*(Inputs!$F$18-Inputs!$D$18)*(Inputs!$F$18-Inputs!$E$18)))</f>
        <v>1.02806451642158</v>
      </c>
      <c r="L1135" s="81" t="n">
        <f aca="true">RAND()</f>
        <v>0.813569758225227</v>
      </c>
      <c r="M1135" s="83" t="n">
        <f aca="false">IF(L1135&lt;(Inputs!$E$24-Inputs!$D$24)/(Inputs!$F$24-Inputs!$D$24),Inputs!$D$24+SQRT(L1135*(Inputs!$F$24-Inputs!$D$24)*(Inputs!$E$24-Inputs!$D$24)),Inputs!$F$24-SQRT((1-L1135)*(Inputs!$F$24-Inputs!$D$24)*(Inputs!$F$24-Inputs!$E$24)))</f>
        <v>0.988473977898828</v>
      </c>
      <c r="N1135" s="81" t="n">
        <f aca="true">RAND()</f>
        <v>0.0820767880960577</v>
      </c>
      <c r="O1135" s="83" t="n">
        <f aca="false">IF(N1135&lt;(Inputs!$E$26-Inputs!$D$26)/(Inputs!$F$26-Inputs!$D$26),Inputs!$D$26+SQRT(N1135*(Inputs!$F$26-Inputs!$D$26)*(Inputs!$E$26-Inputs!$D$26)),Inputs!$F$26-SQRT((1-N1135)*(Inputs!$F$26-Inputs!$D$26)*(Inputs!$F$26-Inputs!$E$26)))</f>
        <v>0.416865638830171</v>
      </c>
      <c r="P1135" s="81" t="n">
        <f aca="true">RAND()</f>
        <v>0.699833747869939</v>
      </c>
      <c r="Q1135" s="82" t="n">
        <f aca="false">IF(P1135&lt;(Inputs!$E$27-Inputs!$D$27)/(Inputs!$F$27-Inputs!$D$27),Inputs!$D$27+SQRT(P1135*(Inputs!$F$27-Inputs!$D$27)*(Inputs!$E$27-Inputs!$D$27)),Inputs!$F$27-SQRT((1-P1135)*(Inputs!$F$27-Inputs!$D$27)*(Inputs!$F$27-Inputs!$E$27)))</f>
        <v>102.552693532979</v>
      </c>
      <c r="R1135" s="81" t="n">
        <f aca="true">RAND()</f>
        <v>0.449991337180194</v>
      </c>
      <c r="S1135" s="82" t="n">
        <f aca="false">IF(R1135&lt;(Inputs!$E$29-Inputs!$D$29)/(Inputs!$F$29-Inputs!$D$29),Inputs!$D$29+SQRT(R1135*(Inputs!$F$29-Inputs!$D$29)*(Inputs!$E$29-Inputs!$D$29)),Inputs!$F$29-SQRT((1-R1135)*(Inputs!$F$29-Inputs!$D$29)*(Inputs!$F$29-Inputs!$E$29)))</f>
        <v>6.54416614599277</v>
      </c>
      <c r="T1135" s="68" t="n">
        <f aca="false">Inputs!$E$9*(1+E1135)+Inputs!$E$5*C1135*(Inputs!$E$11*Inputs!$E$14*(G1135*I1135/Inputs!$E$16+(1-G1135))*K1135+Inputs!$E$23*M1135)*(1+O1135)+Inputs!$E$5*(Q1135+S1135)</f>
        <v>6352.28737564816</v>
      </c>
    </row>
    <row r="1136" customFormat="false" ht="15" hidden="false" customHeight="false" outlineLevel="0" collapsed="false">
      <c r="A1136" s="1" t="n">
        <v>1132</v>
      </c>
      <c r="B1136" s="81" t="n">
        <f aca="true">RAND()</f>
        <v>0.176847590193841</v>
      </c>
      <c r="C1136" s="82" t="n">
        <f aca="false">ROUND(IF(B1136&lt;(Inputs!$E$8-Inputs!$D$8)/(Inputs!$F$8-Inputs!$D$8),Inputs!$D$8+SQRT(B1136*(Inputs!$F$8-Inputs!$D$8)*(Inputs!$E$8-Inputs!$D$8)),Inputs!$F$8-SQRT((1-B1136)*(Inputs!$F$8-Inputs!$D$8)*(Inputs!$F$8-Inputs!$E$8))),0)</f>
        <v>23</v>
      </c>
      <c r="D1136" s="81" t="n">
        <f aca="true">RAND()</f>
        <v>0.489194135454678</v>
      </c>
      <c r="E1136" s="83" t="n">
        <f aca="false">IF(D1136&lt;(Inputs!$E$10-Inputs!$D$10)/(Inputs!$F$10-Inputs!$D$10),Inputs!$D$10+SQRT(D1136*(Inputs!$F$10-Inputs!$D$10)*(Inputs!$E$10-Inputs!$D$10)),Inputs!$F$10-SQRT((1-D1136)*(Inputs!$F$10-Inputs!$D$10)*(Inputs!$F$10-Inputs!$E$10)))</f>
        <v>0.0762091443750402</v>
      </c>
      <c r="F1136" s="81" t="n">
        <f aca="true">RAND()</f>
        <v>0.0165754066015069</v>
      </c>
      <c r="G1136" s="83" t="n">
        <f aca="false">IF(F1136&lt;(Inputs!$E$15-Inputs!$D$15)/(Inputs!$F$15-Inputs!$D$15),Inputs!$D$15+SQRT(F1136*(Inputs!$F$15-Inputs!$D$15)*(Inputs!$E$15-Inputs!$D$15)),Inputs!$F$15-SQRT((1-F1136)*(Inputs!$F$15-Inputs!$D$15)*(Inputs!$F$15-Inputs!$E$15)))</f>
        <v>0.618207364774457</v>
      </c>
      <c r="H1136" s="81" t="n">
        <f aca="true">RAND()</f>
        <v>0.431722291995368</v>
      </c>
      <c r="I1136" s="82" t="n">
        <f aca="false">ROUND(IF(H1136&lt;(Inputs!$E$17-Inputs!$D$17)/(Inputs!$F$17-Inputs!$D$17),Inputs!$D$17+SQRT(H1136*(Inputs!$F$17-Inputs!$D$17)*(Inputs!$E$17-Inputs!$D$17)),Inputs!$F$17-SQRT((1-H1136)*(Inputs!$F$17-Inputs!$D$17)*(Inputs!$F$17-Inputs!$E$17))),0)</f>
        <v>106</v>
      </c>
      <c r="J1136" s="81" t="n">
        <f aca="true">RAND()</f>
        <v>0.904519920826035</v>
      </c>
      <c r="K1136" s="83" t="n">
        <f aca="false">IF(J1136&lt;(Inputs!$E$18-Inputs!$D$18)/(Inputs!$F$18-Inputs!$D$18),Inputs!$D$18+SQRT(J1136*(Inputs!$F$18-Inputs!$D$18)*(Inputs!$E$18-Inputs!$D$18)),Inputs!$F$18-SQRT((1-J1136)*(Inputs!$F$18-Inputs!$D$18)*(Inputs!$F$18-Inputs!$E$18)))</f>
        <v>1.15859700810301</v>
      </c>
      <c r="L1136" s="81" t="n">
        <f aca="true">RAND()</f>
        <v>0.682400176277075</v>
      </c>
      <c r="M1136" s="83" t="n">
        <f aca="false">IF(L1136&lt;(Inputs!$E$24-Inputs!$D$24)/(Inputs!$F$24-Inputs!$D$24),Inputs!$D$24+SQRT(L1136*(Inputs!$F$24-Inputs!$D$24)*(Inputs!$E$24-Inputs!$D$24)),Inputs!$F$24-SQRT((1-L1136)*(Inputs!$F$24-Inputs!$D$24)*(Inputs!$F$24-Inputs!$E$24)))</f>
        <v>0.923913133790283</v>
      </c>
      <c r="N1136" s="81" t="n">
        <f aca="true">RAND()</f>
        <v>0.243595904067102</v>
      </c>
      <c r="O1136" s="83" t="n">
        <f aca="false">IF(N1136&lt;(Inputs!$E$26-Inputs!$D$26)/(Inputs!$F$26-Inputs!$D$26),Inputs!$D$26+SQRT(N1136*(Inputs!$F$26-Inputs!$D$26)*(Inputs!$E$26-Inputs!$D$26)),Inputs!$F$26-SQRT((1-N1136)*(Inputs!$F$26-Inputs!$D$26)*(Inputs!$F$26-Inputs!$E$26)))</f>
        <v>0.501331464100289</v>
      </c>
      <c r="P1136" s="81" t="n">
        <f aca="true">RAND()</f>
        <v>0.841301285585988</v>
      </c>
      <c r="Q1136" s="82" t="n">
        <f aca="false">IF(P1136&lt;(Inputs!$E$27-Inputs!$D$27)/(Inputs!$F$27-Inputs!$D$27),Inputs!$D$27+SQRT(P1136*(Inputs!$F$27-Inputs!$D$27)*(Inputs!$E$27-Inputs!$D$27)),Inputs!$F$27-SQRT((1-P1136)*(Inputs!$F$27-Inputs!$D$27)*(Inputs!$F$27-Inputs!$E$27)))</f>
        <v>115.50013973789</v>
      </c>
      <c r="R1136" s="81" t="n">
        <f aca="true">RAND()</f>
        <v>0.0551737048586008</v>
      </c>
      <c r="S1136" s="82" t="n">
        <f aca="false">IF(R1136&lt;(Inputs!$E$29-Inputs!$D$29)/(Inputs!$F$29-Inputs!$D$29),Inputs!$D$29+SQRT(R1136*(Inputs!$F$29-Inputs!$D$29)*(Inputs!$E$29-Inputs!$D$29)),Inputs!$F$29-SQRT((1-R1136)*(Inputs!$F$29-Inputs!$D$29)*(Inputs!$F$29-Inputs!$E$29)))</f>
        <v>3.46689280095221</v>
      </c>
      <c r="T1136" s="68" t="n">
        <f aca="false">Inputs!$E$9*(1+E1136)+Inputs!$E$5*C1136*(Inputs!$E$11*Inputs!$E$14*(G1136*I1136/Inputs!$E$16+(1-G1136))*K1136+Inputs!$E$23*M1136)*(1+O1136)+Inputs!$E$5*(Q1136+S1136)</f>
        <v>6367.57017284454</v>
      </c>
    </row>
    <row r="1137" customFormat="false" ht="15" hidden="false" customHeight="false" outlineLevel="0" collapsed="false">
      <c r="A1137" s="1" t="n">
        <v>1133</v>
      </c>
      <c r="B1137" s="81" t="n">
        <f aca="true">RAND()</f>
        <v>0.718226198056453</v>
      </c>
      <c r="C1137" s="82" t="n">
        <f aca="false">ROUND(IF(B1137&lt;(Inputs!$E$8-Inputs!$D$8)/(Inputs!$F$8-Inputs!$D$8),Inputs!$D$8+SQRT(B1137*(Inputs!$F$8-Inputs!$D$8)*(Inputs!$E$8-Inputs!$D$8)),Inputs!$F$8-SQRT((1-B1137)*(Inputs!$F$8-Inputs!$D$8)*(Inputs!$F$8-Inputs!$E$8))),0)</f>
        <v>26</v>
      </c>
      <c r="D1137" s="81" t="n">
        <f aca="true">RAND()</f>
        <v>0.171954570817692</v>
      </c>
      <c r="E1137" s="83" t="n">
        <f aca="false">IF(D1137&lt;(Inputs!$E$10-Inputs!$D$10)/(Inputs!$F$10-Inputs!$D$10),Inputs!$D$10+SQRT(D1137*(Inputs!$F$10-Inputs!$D$10)*(Inputs!$E$10-Inputs!$D$10)),Inputs!$F$10-SQRT((1-D1137)*(Inputs!$F$10-Inputs!$D$10)*(Inputs!$F$10-Inputs!$E$10)))</f>
        <v>0.0414674053706875</v>
      </c>
      <c r="F1137" s="81" t="n">
        <f aca="true">RAND()</f>
        <v>0.75773527555526</v>
      </c>
      <c r="G1137" s="83" t="n">
        <f aca="false">IF(F1137&lt;(Inputs!$E$15-Inputs!$D$15)/(Inputs!$F$15-Inputs!$D$15),Inputs!$D$15+SQRT(F1137*(Inputs!$F$15-Inputs!$D$15)*(Inputs!$E$15-Inputs!$D$15)),Inputs!$F$15-SQRT((1-F1137)*(Inputs!$F$15-Inputs!$D$15)*(Inputs!$F$15-Inputs!$E$15)))</f>
        <v>0.730391850413225</v>
      </c>
      <c r="H1137" s="81" t="n">
        <f aca="true">RAND()</f>
        <v>0.994052184240993</v>
      </c>
      <c r="I1137" s="82" t="n">
        <f aca="false">ROUND(IF(H1137&lt;(Inputs!$E$17-Inputs!$D$17)/(Inputs!$F$17-Inputs!$D$17),Inputs!$D$17+SQRT(H1137*(Inputs!$F$17-Inputs!$D$17)*(Inputs!$E$17-Inputs!$D$17)),Inputs!$F$17-SQRT((1-H1137)*(Inputs!$F$17-Inputs!$D$17)*(Inputs!$F$17-Inputs!$E$17))),0)</f>
        <v>114</v>
      </c>
      <c r="J1137" s="81" t="n">
        <f aca="true">RAND()</f>
        <v>0.580936311291864</v>
      </c>
      <c r="K1137" s="83" t="n">
        <f aca="false">IF(J1137&lt;(Inputs!$E$18-Inputs!$D$18)/(Inputs!$F$18-Inputs!$D$18),Inputs!$D$18+SQRT(J1137*(Inputs!$F$18-Inputs!$D$18)*(Inputs!$E$18-Inputs!$D$18)),Inputs!$F$18-SQRT((1-J1137)*(Inputs!$F$18-Inputs!$D$18)*(Inputs!$F$18-Inputs!$E$18)))</f>
        <v>1.05851090693734</v>
      </c>
      <c r="L1137" s="81" t="n">
        <f aca="true">RAND()</f>
        <v>0.785954030010934</v>
      </c>
      <c r="M1137" s="83" t="n">
        <f aca="false">IF(L1137&lt;(Inputs!$E$24-Inputs!$D$24)/(Inputs!$F$24-Inputs!$D$24),Inputs!$D$24+SQRT(L1137*(Inputs!$F$24-Inputs!$D$24)*(Inputs!$E$24-Inputs!$D$24)),Inputs!$F$24-SQRT((1-L1137)*(Inputs!$F$24-Inputs!$D$24)*(Inputs!$F$24-Inputs!$E$24)))</f>
        <v>0.97334821245493</v>
      </c>
      <c r="N1137" s="81" t="n">
        <f aca="true">RAND()</f>
        <v>0.578778899827947</v>
      </c>
      <c r="O1137" s="83" t="n">
        <f aca="false">IF(N1137&lt;(Inputs!$E$26-Inputs!$D$26)/(Inputs!$F$26-Inputs!$D$26),Inputs!$D$26+SQRT(N1137*(Inputs!$F$26-Inputs!$D$26)*(Inputs!$E$26-Inputs!$D$26)),Inputs!$F$26-SQRT((1-N1137)*(Inputs!$F$26-Inputs!$D$26)*(Inputs!$F$26-Inputs!$E$26)))</f>
        <v>0.610336605851405</v>
      </c>
      <c r="P1137" s="81" t="n">
        <f aca="true">RAND()</f>
        <v>0.751721534739514</v>
      </c>
      <c r="Q1137" s="82" t="n">
        <f aca="false">IF(P1137&lt;(Inputs!$E$27-Inputs!$D$27)/(Inputs!$F$27-Inputs!$D$27),Inputs!$D$27+SQRT(P1137*(Inputs!$F$27-Inputs!$D$27)*(Inputs!$E$27-Inputs!$D$27)),Inputs!$F$27-SQRT((1-P1137)*(Inputs!$F$27-Inputs!$D$27)*(Inputs!$F$27-Inputs!$E$27)))</f>
        <v>106.848076642476</v>
      </c>
      <c r="R1137" s="81" t="n">
        <f aca="true">RAND()</f>
        <v>0.446499167614114</v>
      </c>
      <c r="S1137" s="82" t="n">
        <f aca="false">IF(R1137&lt;(Inputs!$E$29-Inputs!$D$29)/(Inputs!$F$29-Inputs!$D$29),Inputs!$D$29+SQRT(R1137*(Inputs!$F$29-Inputs!$D$29)*(Inputs!$E$29-Inputs!$D$29)),Inputs!$F$29-SQRT((1-R1137)*(Inputs!$F$29-Inputs!$D$29)*(Inputs!$F$29-Inputs!$E$29)))</f>
        <v>6.51736431230451</v>
      </c>
      <c r="T1137" s="68" t="n">
        <f aca="false">Inputs!$E$9*(1+E1137)+Inputs!$E$5*C1137*(Inputs!$E$11*Inputs!$E$14*(G1137*I1137/Inputs!$E$16+(1-G1137))*K1137+Inputs!$E$23*M1137)*(1+O1137)+Inputs!$E$5*(Q1137+S1137)</f>
        <v>6767.30642061304</v>
      </c>
    </row>
    <row r="1138" customFormat="false" ht="15" hidden="false" customHeight="false" outlineLevel="0" collapsed="false">
      <c r="A1138" s="1" t="n">
        <v>1134</v>
      </c>
      <c r="B1138" s="81" t="n">
        <f aca="true">RAND()</f>
        <v>0.567969171625698</v>
      </c>
      <c r="C1138" s="82" t="n">
        <f aca="false">ROUND(IF(B1138&lt;(Inputs!$E$8-Inputs!$D$8)/(Inputs!$F$8-Inputs!$D$8),Inputs!$D$8+SQRT(B1138*(Inputs!$F$8-Inputs!$D$8)*(Inputs!$E$8-Inputs!$D$8)),Inputs!$F$8-SQRT((1-B1138)*(Inputs!$F$8-Inputs!$D$8)*(Inputs!$F$8-Inputs!$E$8))),0)</f>
        <v>25</v>
      </c>
      <c r="D1138" s="81" t="n">
        <f aca="true">RAND()</f>
        <v>0.653020366081301</v>
      </c>
      <c r="E1138" s="83" t="n">
        <f aca="false">IF(D1138&lt;(Inputs!$E$10-Inputs!$D$10)/(Inputs!$F$10-Inputs!$D$10),Inputs!$D$10+SQRT(D1138*(Inputs!$F$10-Inputs!$D$10)*(Inputs!$E$10-Inputs!$D$10)),Inputs!$F$10-SQRT((1-D1138)*(Inputs!$F$10-Inputs!$D$10)*(Inputs!$F$10-Inputs!$E$10)))</f>
        <v>0.0979735866671725</v>
      </c>
      <c r="F1138" s="81" t="n">
        <f aca="true">RAND()</f>
        <v>0.37005646599995</v>
      </c>
      <c r="G1138" s="83" t="n">
        <f aca="false">IF(F1138&lt;(Inputs!$E$15-Inputs!$D$15)/(Inputs!$F$15-Inputs!$D$15),Inputs!$D$15+SQRT(F1138*(Inputs!$F$15-Inputs!$D$15)*(Inputs!$E$15-Inputs!$D$15)),Inputs!$F$15-SQRT((1-F1138)*(Inputs!$F$15-Inputs!$D$15)*(Inputs!$F$15-Inputs!$E$15)))</f>
        <v>0.686029816459173</v>
      </c>
      <c r="H1138" s="81" t="n">
        <f aca="true">RAND()</f>
        <v>0.552058407777836</v>
      </c>
      <c r="I1138" s="82" t="n">
        <f aca="false">ROUND(IF(H1138&lt;(Inputs!$E$17-Inputs!$D$17)/(Inputs!$F$17-Inputs!$D$17),Inputs!$D$17+SQRT(H1138*(Inputs!$F$17-Inputs!$D$17)*(Inputs!$E$17-Inputs!$D$17)),Inputs!$F$17-SQRT((1-H1138)*(Inputs!$F$17-Inputs!$D$17)*(Inputs!$F$17-Inputs!$E$17))),0)</f>
        <v>107</v>
      </c>
      <c r="J1138" s="81" t="n">
        <f aca="true">RAND()</f>
        <v>0.39550374807447</v>
      </c>
      <c r="K1138" s="83" t="n">
        <f aca="false">IF(J1138&lt;(Inputs!$E$18-Inputs!$D$18)/(Inputs!$F$18-Inputs!$D$18),Inputs!$D$18+SQRT(J1138*(Inputs!$F$18-Inputs!$D$18)*(Inputs!$E$18-Inputs!$D$18)),Inputs!$F$18-SQRT((1-J1138)*(Inputs!$F$18-Inputs!$D$18)*(Inputs!$F$18-Inputs!$E$18)))</f>
        <v>1.02001430035004</v>
      </c>
      <c r="L1138" s="81" t="n">
        <f aca="true">RAND()</f>
        <v>0.0100672660309244</v>
      </c>
      <c r="M1138" s="83" t="n">
        <f aca="false">IF(L1138&lt;(Inputs!$E$24-Inputs!$D$24)/(Inputs!$F$24-Inputs!$D$24),Inputs!$D$24+SQRT(L1138*(Inputs!$F$24-Inputs!$D$24)*(Inputs!$E$24-Inputs!$D$24)),Inputs!$F$24-SQRT((1-L1138)*(Inputs!$F$24-Inputs!$D$24)*(Inputs!$F$24-Inputs!$E$24)))</f>
        <v>0.634757329064687</v>
      </c>
      <c r="N1138" s="81" t="n">
        <f aca="true">RAND()</f>
        <v>0.779292576469104</v>
      </c>
      <c r="O1138" s="83" t="n">
        <f aca="false">IF(N1138&lt;(Inputs!$E$26-Inputs!$D$26)/(Inputs!$F$26-Inputs!$D$26),Inputs!$D$26+SQRT(N1138*(Inputs!$F$26-Inputs!$D$26)*(Inputs!$E$26-Inputs!$D$26)),Inputs!$F$26-SQRT((1-N1138)*(Inputs!$F$26-Inputs!$D$26)*(Inputs!$F$26-Inputs!$E$26)))</f>
        <v>0.668495636870705</v>
      </c>
      <c r="P1138" s="81" t="n">
        <f aca="true">RAND()</f>
        <v>0.129213025430457</v>
      </c>
      <c r="Q1138" s="82" t="n">
        <f aca="false">IF(P1138&lt;(Inputs!$E$27-Inputs!$D$27)/(Inputs!$F$27-Inputs!$D$27),Inputs!$D$27+SQRT(P1138*(Inputs!$F$27-Inputs!$D$27)*(Inputs!$E$27-Inputs!$D$27)),Inputs!$F$27-SQRT((1-P1138)*(Inputs!$F$27-Inputs!$D$27)*(Inputs!$F$27-Inputs!$E$27)))</f>
        <v>67.9731066757014</v>
      </c>
      <c r="R1138" s="81" t="n">
        <f aca="true">RAND()</f>
        <v>0.664298388542962</v>
      </c>
      <c r="S1138" s="82" t="n">
        <f aca="false">IF(R1138&lt;(Inputs!$E$29-Inputs!$D$29)/(Inputs!$F$29-Inputs!$D$29),Inputs!$D$29+SQRT(R1138*(Inputs!$F$29-Inputs!$D$29)*(Inputs!$E$29-Inputs!$D$29)),Inputs!$F$29-SQRT((1-R1138)*(Inputs!$F$29-Inputs!$D$29)*(Inputs!$F$29-Inputs!$E$29)))</f>
        <v>8.39385063070665</v>
      </c>
      <c r="T1138" s="68" t="n">
        <f aca="false">Inputs!$E$9*(1+E1138)+Inputs!$E$5*C1138*(Inputs!$E$11*Inputs!$E$14*(G1138*I1138/Inputs!$E$16+(1-G1138))*K1138+Inputs!$E$23*M1138)*(1+O1138)+Inputs!$E$5*(Q1138+S1138)</f>
        <v>6070.23731068328</v>
      </c>
    </row>
    <row r="1139" customFormat="false" ht="15" hidden="false" customHeight="false" outlineLevel="0" collapsed="false">
      <c r="A1139" s="1" t="n">
        <v>1135</v>
      </c>
      <c r="B1139" s="81" t="n">
        <f aca="true">RAND()</f>
        <v>0.632261546844088</v>
      </c>
      <c r="C1139" s="82" t="n">
        <f aca="false">ROUND(IF(B1139&lt;(Inputs!$E$8-Inputs!$D$8)/(Inputs!$F$8-Inputs!$D$8),Inputs!$D$8+SQRT(B1139*(Inputs!$F$8-Inputs!$D$8)*(Inputs!$E$8-Inputs!$D$8)),Inputs!$F$8-SQRT((1-B1139)*(Inputs!$F$8-Inputs!$D$8)*(Inputs!$F$8-Inputs!$E$8))),0)</f>
        <v>26</v>
      </c>
      <c r="D1139" s="81" t="n">
        <f aca="true">RAND()</f>
        <v>0.923100391155166</v>
      </c>
      <c r="E1139" s="83" t="n">
        <f aca="false">IF(D1139&lt;(Inputs!$E$10-Inputs!$D$10)/(Inputs!$F$10-Inputs!$D$10),Inputs!$D$10+SQRT(D1139*(Inputs!$F$10-Inputs!$D$10)*(Inputs!$E$10-Inputs!$D$10)),Inputs!$F$10-SQRT((1-D1139)*(Inputs!$F$10-Inputs!$D$10)*(Inputs!$F$10-Inputs!$E$10)))</f>
        <v>0.15196888232255</v>
      </c>
      <c r="F1139" s="81" t="n">
        <f aca="true">RAND()</f>
        <v>0.475521102534068</v>
      </c>
      <c r="G1139" s="83" t="n">
        <f aca="false">IF(F1139&lt;(Inputs!$E$15-Inputs!$D$15)/(Inputs!$F$15-Inputs!$D$15),Inputs!$D$15+SQRT(F1139*(Inputs!$F$15-Inputs!$D$15)*(Inputs!$E$15-Inputs!$D$15)),Inputs!$F$15-SQRT((1-F1139)*(Inputs!$F$15-Inputs!$D$15)*(Inputs!$F$15-Inputs!$E$15)))</f>
        <v>0.69752139278477</v>
      </c>
      <c r="H1139" s="81" t="n">
        <f aca="true">RAND()</f>
        <v>0.282454400329366</v>
      </c>
      <c r="I1139" s="82" t="n">
        <f aca="false">ROUND(IF(H1139&lt;(Inputs!$E$17-Inputs!$D$17)/(Inputs!$F$17-Inputs!$D$17),Inputs!$D$17+SQRT(H1139*(Inputs!$F$17-Inputs!$D$17)*(Inputs!$E$17-Inputs!$D$17)),Inputs!$F$17-SQRT((1-H1139)*(Inputs!$F$17-Inputs!$D$17)*(Inputs!$F$17-Inputs!$E$17))),0)</f>
        <v>105</v>
      </c>
      <c r="J1139" s="81" t="n">
        <f aca="true">RAND()</f>
        <v>0.505178395587381</v>
      </c>
      <c r="K1139" s="83" t="n">
        <f aca="false">IF(J1139&lt;(Inputs!$E$18-Inputs!$D$18)/(Inputs!$F$18-Inputs!$D$18),Inputs!$D$18+SQRT(J1139*(Inputs!$F$18-Inputs!$D$18)*(Inputs!$E$18-Inputs!$D$18)),Inputs!$F$18-SQRT((1-J1139)*(Inputs!$F$18-Inputs!$D$18)*(Inputs!$F$18-Inputs!$E$18)))</f>
        <v>1.04192095159266</v>
      </c>
      <c r="L1139" s="81" t="n">
        <f aca="true">RAND()</f>
        <v>0.138402550526482</v>
      </c>
      <c r="M1139" s="83" t="n">
        <f aca="false">IF(L1139&lt;(Inputs!$E$24-Inputs!$D$24)/(Inputs!$F$24-Inputs!$D$24),Inputs!$D$24+SQRT(L1139*(Inputs!$F$24-Inputs!$D$24)*(Inputs!$E$24-Inputs!$D$24)),Inputs!$F$24-SQRT((1-L1139)*(Inputs!$F$24-Inputs!$D$24)*(Inputs!$F$24-Inputs!$E$24)))</f>
        <v>0.728873217012605</v>
      </c>
      <c r="N1139" s="81" t="n">
        <f aca="true">RAND()</f>
        <v>0.358497127191543</v>
      </c>
      <c r="O1139" s="83" t="n">
        <f aca="false">IF(N1139&lt;(Inputs!$E$26-Inputs!$D$26)/(Inputs!$F$26-Inputs!$D$26),Inputs!$D$26+SQRT(N1139*(Inputs!$F$26-Inputs!$D$26)*(Inputs!$E$26-Inputs!$D$26)),Inputs!$F$26-SQRT((1-N1139)*(Inputs!$F$26-Inputs!$D$26)*(Inputs!$F$26-Inputs!$E$26)))</f>
        <v>0.544241523833833</v>
      </c>
      <c r="P1139" s="81" t="n">
        <f aca="true">RAND()</f>
        <v>0.698671413875731</v>
      </c>
      <c r="Q1139" s="82" t="n">
        <f aca="false">IF(P1139&lt;(Inputs!$E$27-Inputs!$D$27)/(Inputs!$F$27-Inputs!$D$27),Inputs!$D$27+SQRT(P1139*(Inputs!$F$27-Inputs!$D$27)*(Inputs!$E$27-Inputs!$D$27)),Inputs!$F$27-SQRT((1-P1139)*(Inputs!$F$27-Inputs!$D$27)*(Inputs!$F$27-Inputs!$E$27)))</f>
        <v>102.460917174055</v>
      </c>
      <c r="R1139" s="81" t="n">
        <f aca="true">RAND()</f>
        <v>0.574448486938345</v>
      </c>
      <c r="S1139" s="82" t="n">
        <f aca="false">IF(R1139&lt;(Inputs!$E$29-Inputs!$D$29)/(Inputs!$F$29-Inputs!$D$29),Inputs!$D$29+SQRT(R1139*(Inputs!$F$29-Inputs!$D$29)*(Inputs!$E$29-Inputs!$D$29)),Inputs!$F$29-SQRT((1-R1139)*(Inputs!$F$29-Inputs!$D$29)*(Inputs!$F$29-Inputs!$E$29)))</f>
        <v>7.56214434813264</v>
      </c>
      <c r="T1139" s="68" t="n">
        <f aca="false">Inputs!$E$9*(1+E1139)+Inputs!$E$5*C1139*(Inputs!$E$11*Inputs!$E$14*(G1139*I1139/Inputs!$E$16+(1-G1139))*K1139+Inputs!$E$23*M1139)*(1+O1139)+Inputs!$E$5*(Q1139+S1139)</f>
        <v>6377.70032779139</v>
      </c>
    </row>
    <row r="1140" customFormat="false" ht="15" hidden="false" customHeight="false" outlineLevel="0" collapsed="false">
      <c r="A1140" s="1" t="n">
        <v>1136</v>
      </c>
      <c r="B1140" s="81" t="n">
        <f aca="true">RAND()</f>
        <v>0.308344303483061</v>
      </c>
      <c r="C1140" s="82" t="n">
        <f aca="false">ROUND(IF(B1140&lt;(Inputs!$E$8-Inputs!$D$8)/(Inputs!$F$8-Inputs!$D$8),Inputs!$D$8+SQRT(B1140*(Inputs!$F$8-Inputs!$D$8)*(Inputs!$E$8-Inputs!$D$8)),Inputs!$F$8-SQRT((1-B1140)*(Inputs!$F$8-Inputs!$D$8)*(Inputs!$F$8-Inputs!$E$8))),0)</f>
        <v>24</v>
      </c>
      <c r="D1140" s="81" t="n">
        <f aca="true">RAND()</f>
        <v>0.910675104145532</v>
      </c>
      <c r="E1140" s="83" t="n">
        <f aca="false">IF(D1140&lt;(Inputs!$E$10-Inputs!$D$10)/(Inputs!$F$10-Inputs!$D$10),Inputs!$D$10+SQRT(D1140*(Inputs!$F$10-Inputs!$D$10)*(Inputs!$E$10-Inputs!$D$10)),Inputs!$F$10-SQRT((1-D1140)*(Inputs!$F$10-Inputs!$D$10)*(Inputs!$F$10-Inputs!$E$10)))</f>
        <v>0.148233728397401</v>
      </c>
      <c r="F1140" s="81" t="n">
        <f aca="true">RAND()</f>
        <v>0.141839071398973</v>
      </c>
      <c r="G1140" s="83" t="n">
        <f aca="false">IF(F1140&lt;(Inputs!$E$15-Inputs!$D$15)/(Inputs!$F$15-Inputs!$D$15),Inputs!$D$15+SQRT(F1140*(Inputs!$F$15-Inputs!$D$15)*(Inputs!$E$15-Inputs!$D$15)),Inputs!$F$15-SQRT((1-F1140)*(Inputs!$F$15-Inputs!$D$15)*(Inputs!$F$15-Inputs!$E$15)))</f>
        <v>0.653261444103399</v>
      </c>
      <c r="H1140" s="81" t="n">
        <f aca="true">RAND()</f>
        <v>0.982398237714098</v>
      </c>
      <c r="I1140" s="82" t="n">
        <f aca="false">ROUND(IF(H1140&lt;(Inputs!$E$17-Inputs!$D$17)/(Inputs!$F$17-Inputs!$D$17),Inputs!$D$17+SQRT(H1140*(Inputs!$F$17-Inputs!$D$17)*(Inputs!$E$17-Inputs!$D$17)),Inputs!$F$17-SQRT((1-H1140)*(Inputs!$F$17-Inputs!$D$17)*(Inputs!$F$17-Inputs!$E$17))),0)</f>
        <v>113</v>
      </c>
      <c r="J1140" s="81" t="n">
        <f aca="true">RAND()</f>
        <v>0.800608281869518</v>
      </c>
      <c r="K1140" s="83" t="n">
        <f aca="false">IF(J1140&lt;(Inputs!$E$18-Inputs!$D$18)/(Inputs!$F$18-Inputs!$D$18),Inputs!$D$18+SQRT(J1140*(Inputs!$F$18-Inputs!$D$18)*(Inputs!$E$18-Inputs!$D$18)),Inputs!$F$18-SQRT((1-J1140)*(Inputs!$F$18-Inputs!$D$18)*(Inputs!$F$18-Inputs!$E$18)))</f>
        <v>1.11791375795937</v>
      </c>
      <c r="L1140" s="81" t="n">
        <f aca="true">RAND()</f>
        <v>0.558942727163375</v>
      </c>
      <c r="M1140" s="83" t="n">
        <f aca="false">IF(L1140&lt;(Inputs!$E$24-Inputs!$D$24)/(Inputs!$F$24-Inputs!$D$24),Inputs!$D$24+SQRT(L1140*(Inputs!$F$24-Inputs!$D$24)*(Inputs!$E$24-Inputs!$D$24)),Inputs!$F$24-SQRT((1-L1140)*(Inputs!$F$24-Inputs!$D$24)*(Inputs!$F$24-Inputs!$E$24)))</f>
        <v>0.874648274200382</v>
      </c>
      <c r="N1140" s="81" t="n">
        <f aca="true">RAND()</f>
        <v>0.125424742630215</v>
      </c>
      <c r="O1140" s="83" t="n">
        <f aca="false">IF(N1140&lt;(Inputs!$E$26-Inputs!$D$26)/(Inputs!$F$26-Inputs!$D$26),Inputs!$D$26+SQRT(N1140*(Inputs!$F$26-Inputs!$D$26)*(Inputs!$E$26-Inputs!$D$26)),Inputs!$F$26-SQRT((1-N1140)*(Inputs!$F$26-Inputs!$D$26)*(Inputs!$F$26-Inputs!$E$26)))</f>
        <v>0.444466872236052</v>
      </c>
      <c r="P1140" s="81" t="n">
        <f aca="true">RAND()</f>
        <v>0.198648249818371</v>
      </c>
      <c r="Q1140" s="82" t="n">
        <f aca="false">IF(P1140&lt;(Inputs!$E$27-Inputs!$D$27)/(Inputs!$F$27-Inputs!$D$27),Inputs!$D$27+SQRT(P1140*(Inputs!$F$27-Inputs!$D$27)*(Inputs!$E$27-Inputs!$D$27)),Inputs!$F$27-SQRT((1-P1140)*(Inputs!$F$27-Inputs!$D$27)*(Inputs!$F$27-Inputs!$E$27)))</f>
        <v>72.2849865278382</v>
      </c>
      <c r="R1140" s="81" t="n">
        <f aca="true">RAND()</f>
        <v>0.998006081813024</v>
      </c>
      <c r="S1140" s="82" t="n">
        <f aca="false">IF(R1140&lt;(Inputs!$E$29-Inputs!$D$29)/(Inputs!$F$29-Inputs!$D$29),Inputs!$D$29+SQRT(R1140*(Inputs!$F$29-Inputs!$D$29)*(Inputs!$E$29-Inputs!$D$29)),Inputs!$F$29-SQRT((1-R1140)*(Inputs!$F$29-Inputs!$D$29)*(Inputs!$F$29-Inputs!$E$29)))</f>
        <v>14.4908739210108</v>
      </c>
      <c r="T1140" s="68" t="n">
        <f aca="false">Inputs!$E$9*(1+E1140)+Inputs!$E$5*C1140*(Inputs!$E$11*Inputs!$E$14*(G1140*I1140/Inputs!$E$16+(1-G1140))*K1140+Inputs!$E$23*M1140)*(1+O1140)+Inputs!$E$5*(Q1140+S1140)</f>
        <v>6266.80265600094</v>
      </c>
    </row>
    <row r="1141" customFormat="false" ht="15" hidden="false" customHeight="false" outlineLevel="0" collapsed="false">
      <c r="A1141" s="1" t="n">
        <v>1137</v>
      </c>
      <c r="B1141" s="81" t="n">
        <f aca="true">RAND()</f>
        <v>0.764455702261334</v>
      </c>
      <c r="C1141" s="82" t="n">
        <f aca="false">ROUND(IF(B1141&lt;(Inputs!$E$8-Inputs!$D$8)/(Inputs!$F$8-Inputs!$D$8),Inputs!$D$8+SQRT(B1141*(Inputs!$F$8-Inputs!$D$8)*(Inputs!$E$8-Inputs!$D$8)),Inputs!$F$8-SQRT((1-B1141)*(Inputs!$F$8-Inputs!$D$8)*(Inputs!$F$8-Inputs!$E$8))),0)</f>
        <v>27</v>
      </c>
      <c r="D1141" s="81" t="n">
        <f aca="true">RAND()</f>
        <v>0.563032748791431</v>
      </c>
      <c r="E1141" s="83" t="n">
        <f aca="false">IF(D1141&lt;(Inputs!$E$10-Inputs!$D$10)/(Inputs!$F$10-Inputs!$D$10),Inputs!$D$10+SQRT(D1141*(Inputs!$F$10-Inputs!$D$10)*(Inputs!$E$10-Inputs!$D$10)),Inputs!$F$10-SQRT((1-D1141)*(Inputs!$F$10-Inputs!$D$10)*(Inputs!$F$10-Inputs!$E$10)))</f>
        <v>0.0855053820642339</v>
      </c>
      <c r="F1141" s="81" t="n">
        <f aca="true">RAND()</f>
        <v>0.736361732844695</v>
      </c>
      <c r="G1141" s="83" t="n">
        <f aca="false">IF(F1141&lt;(Inputs!$E$15-Inputs!$D$15)/(Inputs!$F$15-Inputs!$D$15),Inputs!$D$15+SQRT(F1141*(Inputs!$F$15-Inputs!$D$15)*(Inputs!$E$15-Inputs!$D$15)),Inputs!$F$15-SQRT((1-F1141)*(Inputs!$F$15-Inputs!$D$15)*(Inputs!$F$15-Inputs!$E$15)))</f>
        <v>0.727386190410459</v>
      </c>
      <c r="H1141" s="81" t="n">
        <f aca="true">RAND()</f>
        <v>0.987811838521879</v>
      </c>
      <c r="I1141" s="82" t="n">
        <f aca="false">ROUND(IF(H1141&lt;(Inputs!$E$17-Inputs!$D$17)/(Inputs!$F$17-Inputs!$D$17),Inputs!$D$17+SQRT(H1141*(Inputs!$F$17-Inputs!$D$17)*(Inputs!$E$17-Inputs!$D$17)),Inputs!$F$17-SQRT((1-H1141)*(Inputs!$F$17-Inputs!$D$17)*(Inputs!$F$17-Inputs!$E$17))),0)</f>
        <v>114</v>
      </c>
      <c r="J1141" s="81" t="n">
        <f aca="true">RAND()</f>
        <v>0.571602006949334</v>
      </c>
      <c r="K1141" s="83" t="n">
        <f aca="false">IF(J1141&lt;(Inputs!$E$18-Inputs!$D$18)/(Inputs!$F$18-Inputs!$D$18),Inputs!$D$18+SQRT(J1141*(Inputs!$F$18-Inputs!$D$18)*(Inputs!$E$18-Inputs!$D$18)),Inputs!$F$18-SQRT((1-J1141)*(Inputs!$F$18-Inputs!$D$18)*(Inputs!$F$18-Inputs!$E$18)))</f>
        <v>1.05639001990617</v>
      </c>
      <c r="L1141" s="81" t="n">
        <f aca="true">RAND()</f>
        <v>0.685658096270428</v>
      </c>
      <c r="M1141" s="83" t="n">
        <f aca="false">IF(L1141&lt;(Inputs!$E$24-Inputs!$D$24)/(Inputs!$F$24-Inputs!$D$24),Inputs!$D$24+SQRT(L1141*(Inputs!$F$24-Inputs!$D$24)*(Inputs!$E$24-Inputs!$D$24)),Inputs!$F$24-SQRT((1-L1141)*(Inputs!$F$24-Inputs!$D$24)*(Inputs!$F$24-Inputs!$E$24)))</f>
        <v>0.925332825231887</v>
      </c>
      <c r="N1141" s="81" t="n">
        <f aca="true">RAND()</f>
        <v>0.43345644973384</v>
      </c>
      <c r="O1141" s="83" t="n">
        <f aca="false">IF(N1141&lt;(Inputs!$E$26-Inputs!$D$26)/(Inputs!$F$26-Inputs!$D$26),Inputs!$D$26+SQRT(N1141*(Inputs!$F$26-Inputs!$D$26)*(Inputs!$E$26-Inputs!$D$26)),Inputs!$F$26-SQRT((1-N1141)*(Inputs!$F$26-Inputs!$D$26)*(Inputs!$F$26-Inputs!$E$26)))</f>
        <v>0.568564988849461</v>
      </c>
      <c r="P1141" s="81" t="n">
        <f aca="true">RAND()</f>
        <v>0.115976102538616</v>
      </c>
      <c r="Q1141" s="82" t="n">
        <f aca="false">IF(P1141&lt;(Inputs!$E$27-Inputs!$D$27)/(Inputs!$F$27-Inputs!$D$27),Inputs!$D$27+SQRT(P1141*(Inputs!$F$27-Inputs!$D$27)*(Inputs!$E$27-Inputs!$D$27)),Inputs!$F$27-SQRT((1-P1141)*(Inputs!$F$27-Inputs!$D$27)*(Inputs!$F$27-Inputs!$E$27)))</f>
        <v>67.0276321415087</v>
      </c>
      <c r="R1141" s="81" t="n">
        <f aca="true">RAND()</f>
        <v>0.278744995918209</v>
      </c>
      <c r="S1141" s="82" t="n">
        <f aca="false">IF(R1141&lt;(Inputs!$E$29-Inputs!$D$29)/(Inputs!$F$29-Inputs!$D$29),Inputs!$D$29+SQRT(R1141*(Inputs!$F$29-Inputs!$D$29)*(Inputs!$E$29-Inputs!$D$29)),Inputs!$F$29-SQRT((1-R1141)*(Inputs!$F$29-Inputs!$D$29)*(Inputs!$F$29-Inputs!$E$29)))</f>
        <v>5.31686256781239</v>
      </c>
      <c r="T1141" s="68" t="n">
        <f aca="false">Inputs!$E$9*(1+E1141)+Inputs!$E$5*C1141*(Inputs!$E$11*Inputs!$E$14*(G1141*I1141/Inputs!$E$16+(1-G1141))*K1141+Inputs!$E$23*M1141)*(1+O1141)+Inputs!$E$5*(Q1141+S1141)</f>
        <v>6630.63443294277</v>
      </c>
    </row>
    <row r="1142" customFormat="false" ht="15" hidden="false" customHeight="false" outlineLevel="0" collapsed="false">
      <c r="A1142" s="1" t="n">
        <v>1138</v>
      </c>
      <c r="B1142" s="81" t="n">
        <f aca="true">RAND()</f>
        <v>0.208802115443205</v>
      </c>
      <c r="C1142" s="82" t="n">
        <f aca="false">ROUND(IF(B1142&lt;(Inputs!$E$8-Inputs!$D$8)/(Inputs!$F$8-Inputs!$D$8),Inputs!$D$8+SQRT(B1142*(Inputs!$F$8-Inputs!$D$8)*(Inputs!$E$8-Inputs!$D$8)),Inputs!$F$8-SQRT((1-B1142)*(Inputs!$F$8-Inputs!$D$8)*(Inputs!$F$8-Inputs!$E$8))),0)</f>
        <v>23</v>
      </c>
      <c r="D1142" s="81" t="n">
        <f aca="true">RAND()</f>
        <v>0.727647919720065</v>
      </c>
      <c r="E1142" s="83" t="n">
        <f aca="false">IF(D1142&lt;(Inputs!$E$10-Inputs!$D$10)/(Inputs!$F$10-Inputs!$D$10),Inputs!$D$10+SQRT(D1142*(Inputs!$F$10-Inputs!$D$10)*(Inputs!$E$10-Inputs!$D$10)),Inputs!$F$10-SQRT((1-D1142)*(Inputs!$F$10-Inputs!$D$10)*(Inputs!$F$10-Inputs!$E$10)))</f>
        <v>0.109608836668632</v>
      </c>
      <c r="F1142" s="81" t="n">
        <f aca="true">RAND()</f>
        <v>0.270208662293757</v>
      </c>
      <c r="G1142" s="83" t="n">
        <f aca="false">IF(F1142&lt;(Inputs!$E$15-Inputs!$D$15)/(Inputs!$F$15-Inputs!$D$15),Inputs!$D$15+SQRT(F1142*(Inputs!$F$15-Inputs!$D$15)*(Inputs!$E$15-Inputs!$D$15)),Inputs!$F$15-SQRT((1-F1142)*(Inputs!$F$15-Inputs!$D$15)*(Inputs!$F$15-Inputs!$E$15)))</f>
        <v>0.673513082141039</v>
      </c>
      <c r="H1142" s="81" t="n">
        <f aca="true">RAND()</f>
        <v>0.721774469793645</v>
      </c>
      <c r="I1142" s="82" t="n">
        <f aca="false">ROUND(IF(H1142&lt;(Inputs!$E$17-Inputs!$D$17)/(Inputs!$F$17-Inputs!$D$17),Inputs!$D$17+SQRT(H1142*(Inputs!$F$17-Inputs!$D$17)*(Inputs!$E$17-Inputs!$D$17)),Inputs!$F$17-SQRT((1-H1142)*(Inputs!$F$17-Inputs!$D$17)*(Inputs!$F$17-Inputs!$E$17))),0)</f>
        <v>109</v>
      </c>
      <c r="J1142" s="81" t="n">
        <f aca="true">RAND()</f>
        <v>0.249685036825009</v>
      </c>
      <c r="K1142" s="83" t="n">
        <f aca="false">IF(J1142&lt;(Inputs!$E$18-Inputs!$D$18)/(Inputs!$F$18-Inputs!$D$18),Inputs!$D$18+SQRT(J1142*(Inputs!$F$18-Inputs!$D$18)*(Inputs!$E$18-Inputs!$D$18)),Inputs!$F$18-SQRT((1-J1142)*(Inputs!$F$18-Inputs!$D$18)*(Inputs!$F$18-Inputs!$E$18)))</f>
        <v>0.993482491884178</v>
      </c>
      <c r="L1142" s="81" t="n">
        <f aca="true">RAND()</f>
        <v>0.771905757384149</v>
      </c>
      <c r="M1142" s="83" t="n">
        <f aca="false">IF(L1142&lt;(Inputs!$E$24-Inputs!$D$24)/(Inputs!$F$24-Inputs!$D$24),Inputs!$D$24+SQRT(L1142*(Inputs!$F$24-Inputs!$D$24)*(Inputs!$E$24-Inputs!$D$24)),Inputs!$F$24-SQRT((1-L1142)*(Inputs!$F$24-Inputs!$D$24)*(Inputs!$F$24-Inputs!$E$24)))</f>
        <v>0.966028595277533</v>
      </c>
      <c r="N1142" s="81" t="n">
        <f aca="true">RAND()</f>
        <v>0.749318957875001</v>
      </c>
      <c r="O1142" s="83" t="n">
        <f aca="false">IF(N1142&lt;(Inputs!$E$26-Inputs!$D$26)/(Inputs!$F$26-Inputs!$D$26),Inputs!$D$26+SQRT(N1142*(Inputs!$F$26-Inputs!$D$26)*(Inputs!$E$26-Inputs!$D$26)),Inputs!$F$26-SQRT((1-N1142)*(Inputs!$F$26-Inputs!$D$26)*(Inputs!$F$26-Inputs!$E$26)))</f>
        <v>0.658535364921603</v>
      </c>
      <c r="P1142" s="81" t="n">
        <f aca="true">RAND()</f>
        <v>0.590808247674525</v>
      </c>
      <c r="Q1142" s="82" t="n">
        <f aca="false">IF(P1142&lt;(Inputs!$E$27-Inputs!$D$27)/(Inputs!$F$27-Inputs!$D$27),Inputs!$D$27+SQRT(P1142*(Inputs!$F$27-Inputs!$D$27)*(Inputs!$E$27-Inputs!$D$27)),Inputs!$F$27-SQRT((1-P1142)*(Inputs!$F$27-Inputs!$D$27)*(Inputs!$F$27-Inputs!$E$27)))</f>
        <v>94.6020023607255</v>
      </c>
      <c r="R1142" s="81" t="n">
        <f aca="true">RAND()</f>
        <v>0.263482348752568</v>
      </c>
      <c r="S1142" s="82" t="n">
        <f aca="false">IF(R1142&lt;(Inputs!$E$29-Inputs!$D$29)/(Inputs!$F$29-Inputs!$D$29),Inputs!$D$29+SQRT(R1142*(Inputs!$F$29-Inputs!$D$29)*(Inputs!$E$29-Inputs!$D$29)),Inputs!$F$29-SQRT((1-R1142)*(Inputs!$F$29-Inputs!$D$29)*(Inputs!$F$29-Inputs!$E$29)))</f>
        <v>5.21494534189174</v>
      </c>
      <c r="T1142" s="68" t="n">
        <f aca="false">Inputs!$E$9*(1+E1142)+Inputs!$E$5*C1142*(Inputs!$E$11*Inputs!$E$14*(G1142*I1142/Inputs!$E$16+(1-G1142))*K1142+Inputs!$E$23*M1142)*(1+O1142)+Inputs!$E$5*(Q1142+S1142)</f>
        <v>6365.05605730814</v>
      </c>
    </row>
    <row r="1143" customFormat="false" ht="15" hidden="false" customHeight="false" outlineLevel="0" collapsed="false">
      <c r="A1143" s="1" t="n">
        <v>1139</v>
      </c>
      <c r="B1143" s="81" t="n">
        <f aca="true">RAND()</f>
        <v>0.294181421409826</v>
      </c>
      <c r="C1143" s="82" t="n">
        <f aca="false">ROUND(IF(B1143&lt;(Inputs!$E$8-Inputs!$D$8)/(Inputs!$F$8-Inputs!$D$8),Inputs!$D$8+SQRT(B1143*(Inputs!$F$8-Inputs!$D$8)*(Inputs!$E$8-Inputs!$D$8)),Inputs!$F$8-SQRT((1-B1143)*(Inputs!$F$8-Inputs!$D$8)*(Inputs!$F$8-Inputs!$E$8))),0)</f>
        <v>24</v>
      </c>
      <c r="D1143" s="81" t="n">
        <f aca="true">RAND()</f>
        <v>0.723325802468043</v>
      </c>
      <c r="E1143" s="83" t="n">
        <f aca="false">IF(D1143&lt;(Inputs!$E$10-Inputs!$D$10)/(Inputs!$F$10-Inputs!$D$10),Inputs!$D$10+SQRT(D1143*(Inputs!$F$10-Inputs!$D$10)*(Inputs!$E$10-Inputs!$D$10)),Inputs!$F$10-SQRT((1-D1143)*(Inputs!$F$10-Inputs!$D$10)*(Inputs!$F$10-Inputs!$E$10)))</f>
        <v>0.108894424287211</v>
      </c>
      <c r="F1143" s="81" t="n">
        <f aca="true">RAND()</f>
        <v>0.54240264071391</v>
      </c>
      <c r="G1143" s="83" t="n">
        <f aca="false">IF(F1143&lt;(Inputs!$E$15-Inputs!$D$15)/(Inputs!$F$15-Inputs!$D$15),Inputs!$D$15+SQRT(F1143*(Inputs!$F$15-Inputs!$D$15)*(Inputs!$E$15-Inputs!$D$15)),Inputs!$F$15-SQRT((1-F1143)*(Inputs!$F$15-Inputs!$D$15)*(Inputs!$F$15-Inputs!$E$15)))</f>
        <v>0.704334190090076</v>
      </c>
      <c r="H1143" s="81" t="n">
        <f aca="true">RAND()</f>
        <v>0.0992613176085307</v>
      </c>
      <c r="I1143" s="82" t="n">
        <f aca="false">ROUND(IF(H1143&lt;(Inputs!$E$17-Inputs!$D$17)/(Inputs!$F$17-Inputs!$D$17),Inputs!$D$17+SQRT(H1143*(Inputs!$F$17-Inputs!$D$17)*(Inputs!$E$17-Inputs!$D$17)),Inputs!$F$17-SQRT((1-H1143)*(Inputs!$F$17-Inputs!$D$17)*(Inputs!$F$17-Inputs!$E$17))),0)</f>
        <v>103</v>
      </c>
      <c r="J1143" s="81" t="n">
        <f aca="true">RAND()</f>
        <v>0.484307632720788</v>
      </c>
      <c r="K1143" s="83" t="n">
        <f aca="false">IF(J1143&lt;(Inputs!$E$18-Inputs!$D$18)/(Inputs!$F$18-Inputs!$D$18),Inputs!$D$18+SQRT(J1143*(Inputs!$F$18-Inputs!$D$18)*(Inputs!$E$18-Inputs!$D$18)),Inputs!$F$18-SQRT((1-J1143)*(Inputs!$F$18-Inputs!$D$18)*(Inputs!$F$18-Inputs!$E$18)))</f>
        <v>1.03757805636674</v>
      </c>
      <c r="L1143" s="81" t="n">
        <f aca="true">RAND()</f>
        <v>0.622554153193283</v>
      </c>
      <c r="M1143" s="83" t="n">
        <f aca="false">IF(L1143&lt;(Inputs!$E$24-Inputs!$D$24)/(Inputs!$F$24-Inputs!$D$24),Inputs!$D$24+SQRT(L1143*(Inputs!$F$24-Inputs!$D$24)*(Inputs!$E$24-Inputs!$D$24)),Inputs!$F$24-SQRT((1-L1143)*(Inputs!$F$24-Inputs!$D$24)*(Inputs!$F$24-Inputs!$E$24)))</f>
        <v>0.899023251340553</v>
      </c>
      <c r="N1143" s="81" t="n">
        <f aca="true">RAND()</f>
        <v>0.139704757455495</v>
      </c>
      <c r="O1143" s="83" t="n">
        <f aca="false">IF(N1143&lt;(Inputs!$E$26-Inputs!$D$26)/(Inputs!$F$26-Inputs!$D$26),Inputs!$D$26+SQRT(N1143*(Inputs!$F$26-Inputs!$D$26)*(Inputs!$E$26-Inputs!$D$26)),Inputs!$F$26-SQRT((1-N1143)*(Inputs!$F$26-Inputs!$D$26)*(Inputs!$F$26-Inputs!$E$26)))</f>
        <v>0.452469248180066</v>
      </c>
      <c r="P1143" s="81" t="n">
        <f aca="true">RAND()</f>
        <v>0.454373937920124</v>
      </c>
      <c r="Q1143" s="82" t="n">
        <f aca="false">IF(P1143&lt;(Inputs!$E$27-Inputs!$D$27)/(Inputs!$F$27-Inputs!$D$27),Inputs!$D$27+SQRT(P1143*(Inputs!$F$27-Inputs!$D$27)*(Inputs!$E$27-Inputs!$D$27)),Inputs!$F$27-SQRT((1-P1143)*(Inputs!$F$27-Inputs!$D$27)*(Inputs!$F$27-Inputs!$E$27)))</f>
        <v>86.0297298301854</v>
      </c>
      <c r="R1143" s="81" t="n">
        <f aca="true">RAND()</f>
        <v>0.968885168621222</v>
      </c>
      <c r="S1143" s="82" t="n">
        <f aca="false">IF(R1143&lt;(Inputs!$E$29-Inputs!$D$29)/(Inputs!$F$29-Inputs!$D$29),Inputs!$D$29+SQRT(R1143*(Inputs!$F$29-Inputs!$D$29)*(Inputs!$E$29-Inputs!$D$29)),Inputs!$F$29-SQRT((1-R1143)*(Inputs!$F$29-Inputs!$D$29)*(Inputs!$F$29-Inputs!$E$29)))</f>
        <v>12.9887993438642</v>
      </c>
      <c r="T1143" s="68" t="n">
        <f aca="false">Inputs!$E$9*(1+E1143)+Inputs!$E$5*C1143*(Inputs!$E$11*Inputs!$E$14*(G1143*I1143/Inputs!$E$16+(1-G1143))*K1143+Inputs!$E$23*M1143)*(1+O1143)+Inputs!$E$5*(Q1143+S1143)</f>
        <v>5967.82950830793</v>
      </c>
    </row>
    <row r="1144" customFormat="false" ht="15" hidden="false" customHeight="false" outlineLevel="0" collapsed="false">
      <c r="A1144" s="1" t="n">
        <v>1140</v>
      </c>
      <c r="B1144" s="81" t="n">
        <f aca="true">RAND()</f>
        <v>0.46598371220446</v>
      </c>
      <c r="C1144" s="82" t="n">
        <f aca="false">ROUND(IF(B1144&lt;(Inputs!$E$8-Inputs!$D$8)/(Inputs!$F$8-Inputs!$D$8),Inputs!$D$8+SQRT(B1144*(Inputs!$F$8-Inputs!$D$8)*(Inputs!$E$8-Inputs!$D$8)),Inputs!$F$8-SQRT((1-B1144)*(Inputs!$F$8-Inputs!$D$8)*(Inputs!$F$8-Inputs!$E$8))),0)</f>
        <v>25</v>
      </c>
      <c r="D1144" s="81" t="n">
        <f aca="true">RAND()</f>
        <v>0.717271354451182</v>
      </c>
      <c r="E1144" s="83" t="n">
        <f aca="false">IF(D1144&lt;(Inputs!$E$10-Inputs!$D$10)/(Inputs!$F$10-Inputs!$D$10),Inputs!$D$10+SQRT(D1144*(Inputs!$F$10-Inputs!$D$10)*(Inputs!$E$10-Inputs!$D$10)),Inputs!$F$10-SQRT((1-D1144)*(Inputs!$F$10-Inputs!$D$10)*(Inputs!$F$10-Inputs!$E$10)))</f>
        <v>0.107902989372811</v>
      </c>
      <c r="F1144" s="81" t="n">
        <f aca="true">RAND()</f>
        <v>0.323786591921404</v>
      </c>
      <c r="G1144" s="83" t="n">
        <f aca="false">IF(F1144&lt;(Inputs!$E$15-Inputs!$D$15)/(Inputs!$F$15-Inputs!$D$15),Inputs!$D$15+SQRT(F1144*(Inputs!$F$15-Inputs!$D$15)*(Inputs!$E$15-Inputs!$D$15)),Inputs!$F$15-SQRT((1-F1144)*(Inputs!$F$15-Inputs!$D$15)*(Inputs!$F$15-Inputs!$E$15)))</f>
        <v>0.680471931991397</v>
      </c>
      <c r="H1144" s="81" t="n">
        <f aca="true">RAND()</f>
        <v>0.817550532830791</v>
      </c>
      <c r="I1144" s="82" t="n">
        <f aca="false">ROUND(IF(H1144&lt;(Inputs!$E$17-Inputs!$D$17)/(Inputs!$F$17-Inputs!$D$17),Inputs!$D$17+SQRT(H1144*(Inputs!$F$17-Inputs!$D$17)*(Inputs!$E$17-Inputs!$D$17)),Inputs!$F$17-SQRT((1-H1144)*(Inputs!$F$17-Inputs!$D$17)*(Inputs!$F$17-Inputs!$E$17))),0)</f>
        <v>110</v>
      </c>
      <c r="J1144" s="81" t="n">
        <f aca="true">RAND()</f>
        <v>0.538852001693451</v>
      </c>
      <c r="K1144" s="83" t="n">
        <f aca="false">IF(J1144&lt;(Inputs!$E$18-Inputs!$D$18)/(Inputs!$F$18-Inputs!$D$18),Inputs!$D$18+SQRT(J1144*(Inputs!$F$18-Inputs!$D$18)*(Inputs!$E$18-Inputs!$D$18)),Inputs!$F$18-SQRT((1-J1144)*(Inputs!$F$18-Inputs!$D$18)*(Inputs!$F$18-Inputs!$E$18)))</f>
        <v>1.04912578599576</v>
      </c>
      <c r="L1144" s="81" t="n">
        <f aca="true">RAND()</f>
        <v>0.567305397736502</v>
      </c>
      <c r="M1144" s="83" t="n">
        <f aca="false">IF(L1144&lt;(Inputs!$E$24-Inputs!$D$24)/(Inputs!$F$24-Inputs!$D$24),Inputs!$D$24+SQRT(L1144*(Inputs!$F$24-Inputs!$D$24)*(Inputs!$E$24-Inputs!$D$24)),Inputs!$F$24-SQRT((1-L1144)*(Inputs!$F$24-Inputs!$D$24)*(Inputs!$F$24-Inputs!$E$24)))</f>
        <v>0.877747452231578</v>
      </c>
      <c r="N1144" s="81" t="n">
        <f aca="true">RAND()</f>
        <v>0.491092019634031</v>
      </c>
      <c r="O1144" s="83" t="n">
        <f aca="false">IF(N1144&lt;(Inputs!$E$26-Inputs!$D$26)/(Inputs!$F$26-Inputs!$D$26),Inputs!$D$26+SQRT(N1144*(Inputs!$F$26-Inputs!$D$26)*(Inputs!$E$26-Inputs!$D$26)),Inputs!$F$26-SQRT((1-N1144)*(Inputs!$F$26-Inputs!$D$26)*(Inputs!$F$26-Inputs!$E$26)))</f>
        <v>0.585863100219498</v>
      </c>
      <c r="P1144" s="81" t="n">
        <f aca="true">RAND()</f>
        <v>0.777031670927137</v>
      </c>
      <c r="Q1144" s="82" t="n">
        <f aca="false">IF(P1144&lt;(Inputs!$E$27-Inputs!$D$27)/(Inputs!$F$27-Inputs!$D$27),Inputs!$D$27+SQRT(P1144*(Inputs!$F$27-Inputs!$D$27)*(Inputs!$E$27-Inputs!$D$27)),Inputs!$F$27-SQRT((1-P1144)*(Inputs!$F$27-Inputs!$D$27)*(Inputs!$F$27-Inputs!$E$27)))</f>
        <v>109.106694092474</v>
      </c>
      <c r="R1144" s="81" t="n">
        <f aca="true">RAND()</f>
        <v>0.287518107557487</v>
      </c>
      <c r="S1144" s="82" t="n">
        <f aca="false">IF(R1144&lt;(Inputs!$E$29-Inputs!$D$29)/(Inputs!$F$29-Inputs!$D$29),Inputs!$D$29+SQRT(R1144*(Inputs!$F$29-Inputs!$D$29)*(Inputs!$E$29-Inputs!$D$29)),Inputs!$F$29-SQRT((1-R1144)*(Inputs!$F$29-Inputs!$D$29)*(Inputs!$F$29-Inputs!$E$29)))</f>
        <v>5.37593401843448</v>
      </c>
      <c r="T1144" s="68" t="n">
        <f aca="false">Inputs!$E$9*(1+E1144)+Inputs!$E$5*C1144*(Inputs!$E$11*Inputs!$E$14*(G1144*I1144/Inputs!$E$16+(1-G1144))*K1144+Inputs!$E$23*M1144)*(1+O1144)+Inputs!$E$5*(Q1144+S1144)</f>
        <v>6570.05753681479</v>
      </c>
    </row>
    <row r="1145" customFormat="false" ht="15" hidden="false" customHeight="false" outlineLevel="0" collapsed="false">
      <c r="A1145" s="1" t="n">
        <v>1141</v>
      </c>
      <c r="B1145" s="81" t="n">
        <f aca="true">RAND()</f>
        <v>0.344450514647595</v>
      </c>
      <c r="C1145" s="82" t="n">
        <f aca="false">ROUND(IF(B1145&lt;(Inputs!$E$8-Inputs!$D$8)/(Inputs!$F$8-Inputs!$D$8),Inputs!$D$8+SQRT(B1145*(Inputs!$F$8-Inputs!$D$8)*(Inputs!$E$8-Inputs!$D$8)),Inputs!$F$8-SQRT((1-B1145)*(Inputs!$F$8-Inputs!$D$8)*(Inputs!$F$8-Inputs!$E$8))),0)</f>
        <v>24</v>
      </c>
      <c r="D1145" s="81" t="n">
        <f aca="true">RAND()</f>
        <v>0.0944588968298435</v>
      </c>
      <c r="E1145" s="83" t="n">
        <f aca="false">IF(D1145&lt;(Inputs!$E$10-Inputs!$D$10)/(Inputs!$F$10-Inputs!$D$10),Inputs!$D$10+SQRT(D1145*(Inputs!$F$10-Inputs!$D$10)*(Inputs!$E$10-Inputs!$D$10)),Inputs!$F$10-SQRT((1-D1145)*(Inputs!$F$10-Inputs!$D$10)*(Inputs!$F$10-Inputs!$E$10)))</f>
        <v>0.0307341661396309</v>
      </c>
      <c r="F1145" s="81" t="n">
        <f aca="true">RAND()</f>
        <v>0.456728119082463</v>
      </c>
      <c r="G1145" s="83" t="n">
        <f aca="false">IF(F1145&lt;(Inputs!$E$15-Inputs!$D$15)/(Inputs!$F$15-Inputs!$D$15),Inputs!$D$15+SQRT(F1145*(Inputs!$F$15-Inputs!$D$15)*(Inputs!$E$15-Inputs!$D$15)),Inputs!$F$15-SQRT((1-F1145)*(Inputs!$F$15-Inputs!$D$15)*(Inputs!$F$15-Inputs!$E$15)))</f>
        <v>0.69557490455998</v>
      </c>
      <c r="H1145" s="81" t="n">
        <f aca="true">RAND()</f>
        <v>0.0388450946997885</v>
      </c>
      <c r="I1145" s="82" t="n">
        <f aca="false">ROUND(IF(H1145&lt;(Inputs!$E$17-Inputs!$D$17)/(Inputs!$F$17-Inputs!$D$17),Inputs!$D$17+SQRT(H1145*(Inputs!$F$17-Inputs!$D$17)*(Inputs!$E$17-Inputs!$D$17)),Inputs!$F$17-SQRT((1-H1145)*(Inputs!$F$17-Inputs!$D$17)*(Inputs!$F$17-Inputs!$E$17))),0)</f>
        <v>102</v>
      </c>
      <c r="J1145" s="81" t="n">
        <f aca="true">RAND()</f>
        <v>0.592052491607012</v>
      </c>
      <c r="K1145" s="83" t="n">
        <f aca="false">IF(J1145&lt;(Inputs!$E$18-Inputs!$D$18)/(Inputs!$F$18-Inputs!$D$18),Inputs!$D$18+SQRT(J1145*(Inputs!$F$18-Inputs!$D$18)*(Inputs!$E$18-Inputs!$D$18)),Inputs!$F$18-SQRT((1-J1145)*(Inputs!$F$18-Inputs!$D$18)*(Inputs!$F$18-Inputs!$E$18)))</f>
        <v>1.06106771852225</v>
      </c>
      <c r="L1145" s="81" t="n">
        <f aca="true">RAND()</f>
        <v>0.517826919576263</v>
      </c>
      <c r="M1145" s="83" t="n">
        <f aca="false">IF(L1145&lt;(Inputs!$E$24-Inputs!$D$24)/(Inputs!$F$24-Inputs!$D$24),Inputs!$D$24+SQRT(L1145*(Inputs!$F$24-Inputs!$D$24)*(Inputs!$E$24-Inputs!$D$24)),Inputs!$F$24-SQRT((1-L1145)*(Inputs!$F$24-Inputs!$D$24)*(Inputs!$F$24-Inputs!$E$24)))</f>
        <v>0.859821312687439</v>
      </c>
      <c r="N1145" s="81" t="n">
        <f aca="true">RAND()</f>
        <v>0.862351000976019</v>
      </c>
      <c r="O1145" s="83" t="n">
        <f aca="false">IF(N1145&lt;(Inputs!$E$26-Inputs!$D$26)/(Inputs!$F$26-Inputs!$D$26),Inputs!$D$26+SQRT(N1145*(Inputs!$F$26-Inputs!$D$26)*(Inputs!$E$26-Inputs!$D$26)),Inputs!$F$26-SQRT((1-N1145)*(Inputs!$F$26-Inputs!$D$26)*(Inputs!$F$26-Inputs!$E$26)))</f>
        <v>0.700352618505485</v>
      </c>
      <c r="P1145" s="81" t="n">
        <f aca="true">RAND()</f>
        <v>0.638049028772005</v>
      </c>
      <c r="Q1145" s="82" t="n">
        <f aca="false">IF(P1145&lt;(Inputs!$E$27-Inputs!$D$27)/(Inputs!$F$27-Inputs!$D$27),Inputs!$D$27+SQRT(P1145*(Inputs!$F$27-Inputs!$D$27)*(Inputs!$E$27-Inputs!$D$27)),Inputs!$F$27-SQRT((1-P1145)*(Inputs!$F$27-Inputs!$D$27)*(Inputs!$F$27-Inputs!$E$27)))</f>
        <v>97.8978667978943</v>
      </c>
      <c r="R1145" s="81" t="n">
        <f aca="true">RAND()</f>
        <v>0.760723833694585</v>
      </c>
      <c r="S1145" s="82" t="n">
        <f aca="false">IF(R1145&lt;(Inputs!$E$29-Inputs!$D$29)/(Inputs!$F$29-Inputs!$D$29),Inputs!$D$29+SQRT(R1145*(Inputs!$F$29-Inputs!$D$29)*(Inputs!$E$29-Inputs!$D$29)),Inputs!$F$29-SQRT((1-R1145)*(Inputs!$F$29-Inputs!$D$29)*(Inputs!$F$29-Inputs!$E$29)))</f>
        <v>9.42273349931134</v>
      </c>
      <c r="T1145" s="68" t="n">
        <f aca="false">Inputs!$E$9*(1+E1145)+Inputs!$E$5*C1145*(Inputs!$E$11*Inputs!$E$14*(G1145*I1145/Inputs!$E$16+(1-G1145))*K1145+Inputs!$E$23*M1145)*(1+O1145)+Inputs!$E$5*(Q1145+S1145)</f>
        <v>6349.18863651328</v>
      </c>
    </row>
    <row r="1146" customFormat="false" ht="15" hidden="false" customHeight="false" outlineLevel="0" collapsed="false">
      <c r="A1146" s="1" t="n">
        <v>1142</v>
      </c>
      <c r="B1146" s="81" t="n">
        <f aca="true">RAND()</f>
        <v>0.0156790133468741</v>
      </c>
      <c r="C1146" s="82" t="n">
        <f aca="false">ROUND(IF(B1146&lt;(Inputs!$E$8-Inputs!$D$8)/(Inputs!$F$8-Inputs!$D$8),Inputs!$D$8+SQRT(B1146*(Inputs!$F$8-Inputs!$D$8)*(Inputs!$E$8-Inputs!$D$8)),Inputs!$F$8-SQRT((1-B1146)*(Inputs!$F$8-Inputs!$D$8)*(Inputs!$F$8-Inputs!$E$8))),0)</f>
        <v>21</v>
      </c>
      <c r="D1146" s="81" t="n">
        <f aca="true">RAND()</f>
        <v>0.439291840973894</v>
      </c>
      <c r="E1146" s="83" t="n">
        <f aca="false">IF(D1146&lt;(Inputs!$E$10-Inputs!$D$10)/(Inputs!$F$10-Inputs!$D$10),Inputs!$D$10+SQRT(D1146*(Inputs!$F$10-Inputs!$D$10)*(Inputs!$E$10-Inputs!$D$10)),Inputs!$F$10-SQRT((1-D1146)*(Inputs!$F$10-Inputs!$D$10)*(Inputs!$F$10-Inputs!$E$10)))</f>
        <v>0.0703032584419208</v>
      </c>
      <c r="F1146" s="81" t="n">
        <f aca="true">RAND()</f>
        <v>0.39563214990126</v>
      </c>
      <c r="G1146" s="83" t="n">
        <f aca="false">IF(F1146&lt;(Inputs!$E$15-Inputs!$D$15)/(Inputs!$F$15-Inputs!$D$15),Inputs!$D$15+SQRT(F1146*(Inputs!$F$15-Inputs!$D$15)*(Inputs!$E$15-Inputs!$D$15)),Inputs!$F$15-SQRT((1-F1146)*(Inputs!$F$15-Inputs!$D$15)*(Inputs!$F$15-Inputs!$E$15)))</f>
        <v>0.688953038160735</v>
      </c>
      <c r="H1146" s="81" t="n">
        <f aca="true">RAND()</f>
        <v>0.574238896871025</v>
      </c>
      <c r="I1146" s="82" t="n">
        <f aca="false">ROUND(IF(H1146&lt;(Inputs!$E$17-Inputs!$D$17)/(Inputs!$F$17-Inputs!$D$17),Inputs!$D$17+SQRT(H1146*(Inputs!$F$17-Inputs!$D$17)*(Inputs!$E$17-Inputs!$D$17)),Inputs!$F$17-SQRT((1-H1146)*(Inputs!$F$17-Inputs!$D$17)*(Inputs!$F$17-Inputs!$E$17))),0)</f>
        <v>107</v>
      </c>
      <c r="J1146" s="81" t="n">
        <f aca="true">RAND()</f>
        <v>0.543753215529716</v>
      </c>
      <c r="K1146" s="83" t="n">
        <f aca="false">IF(J1146&lt;(Inputs!$E$18-Inputs!$D$18)/(Inputs!$F$18-Inputs!$D$18),Inputs!$D$18+SQRT(J1146*(Inputs!$F$18-Inputs!$D$18)*(Inputs!$E$18-Inputs!$D$18)),Inputs!$F$18-SQRT((1-J1146)*(Inputs!$F$18-Inputs!$D$18)*(Inputs!$F$18-Inputs!$E$18)))</f>
        <v>1.05019611204696</v>
      </c>
      <c r="L1146" s="81" t="n">
        <f aca="true">RAND()</f>
        <v>0.147026820889697</v>
      </c>
      <c r="M1146" s="83" t="n">
        <f aca="false">IF(L1146&lt;(Inputs!$E$24-Inputs!$D$24)/(Inputs!$F$24-Inputs!$D$24),Inputs!$D$24+SQRT(L1146*(Inputs!$F$24-Inputs!$D$24)*(Inputs!$E$24-Inputs!$D$24)),Inputs!$F$24-SQRT((1-L1146)*(Inputs!$F$24-Inputs!$D$24)*(Inputs!$F$24-Inputs!$E$24)))</f>
        <v>0.732827777617348</v>
      </c>
      <c r="N1146" s="81" t="n">
        <f aca="true">RAND()</f>
        <v>0.274432966624037</v>
      </c>
      <c r="O1146" s="83" t="n">
        <f aca="false">IF(N1146&lt;(Inputs!$E$26-Inputs!$D$26)/(Inputs!$F$26-Inputs!$D$26),Inputs!$D$26+SQRT(N1146*(Inputs!$F$26-Inputs!$D$26)*(Inputs!$E$26-Inputs!$D$26)),Inputs!$F$26-SQRT((1-N1146)*(Inputs!$F$26-Inputs!$D$26)*(Inputs!$F$26-Inputs!$E$26)))</f>
        <v>0.513695216713524</v>
      </c>
      <c r="P1146" s="81" t="n">
        <f aca="true">RAND()</f>
        <v>0.771342792078449</v>
      </c>
      <c r="Q1146" s="82" t="n">
        <f aca="false">IF(P1146&lt;(Inputs!$E$27-Inputs!$D$27)/(Inputs!$F$27-Inputs!$D$27),Inputs!$D$27+SQRT(P1146*(Inputs!$F$27-Inputs!$D$27)*(Inputs!$E$27-Inputs!$D$27)),Inputs!$F$27-SQRT((1-P1146)*(Inputs!$F$27-Inputs!$D$27)*(Inputs!$F$27-Inputs!$E$27)))</f>
        <v>108.588298037733</v>
      </c>
      <c r="R1146" s="81" t="n">
        <f aca="true">RAND()</f>
        <v>0.665926730412969</v>
      </c>
      <c r="S1146" s="82" t="n">
        <f aca="false">IF(R1146&lt;(Inputs!$E$29-Inputs!$D$29)/(Inputs!$F$29-Inputs!$D$29),Inputs!$D$29+SQRT(R1146*(Inputs!$F$29-Inputs!$D$29)*(Inputs!$E$29-Inputs!$D$29)),Inputs!$F$29-SQRT((1-R1146)*(Inputs!$F$29-Inputs!$D$29)*(Inputs!$F$29-Inputs!$E$29)))</f>
        <v>8.40989187901184</v>
      </c>
      <c r="T1146" s="68" t="n">
        <f aca="false">Inputs!$E$9*(1+E1146)+Inputs!$E$5*C1146*(Inputs!$E$11*Inputs!$E$14*(G1146*I1146/Inputs!$E$16+(1-G1146))*K1146+Inputs!$E$23*M1146)*(1+O1146)+Inputs!$E$5*(Q1146+S1146)</f>
        <v>5594.28159388729</v>
      </c>
    </row>
    <row r="1147" customFormat="false" ht="15" hidden="false" customHeight="false" outlineLevel="0" collapsed="false">
      <c r="A1147" s="1" t="n">
        <v>1143</v>
      </c>
      <c r="B1147" s="81" t="n">
        <f aca="true">RAND()</f>
        <v>0.780596862932922</v>
      </c>
      <c r="C1147" s="82" t="n">
        <f aca="false">ROUND(IF(B1147&lt;(Inputs!$E$8-Inputs!$D$8)/(Inputs!$F$8-Inputs!$D$8),Inputs!$D$8+SQRT(B1147*(Inputs!$F$8-Inputs!$D$8)*(Inputs!$E$8-Inputs!$D$8)),Inputs!$F$8-SQRT((1-B1147)*(Inputs!$F$8-Inputs!$D$8)*(Inputs!$F$8-Inputs!$E$8))),0)</f>
        <v>27</v>
      </c>
      <c r="D1147" s="81" t="n">
        <f aca="true">RAND()</f>
        <v>0.73786846316165</v>
      </c>
      <c r="E1147" s="83" t="n">
        <f aca="false">IF(D1147&lt;(Inputs!$E$10-Inputs!$D$10)/(Inputs!$F$10-Inputs!$D$10),Inputs!$D$10+SQRT(D1147*(Inputs!$F$10-Inputs!$D$10)*(Inputs!$E$10-Inputs!$D$10)),Inputs!$F$10-SQRT((1-D1147)*(Inputs!$F$10-Inputs!$D$10)*(Inputs!$F$10-Inputs!$E$10)))</f>
        <v>0.11132110676632</v>
      </c>
      <c r="F1147" s="81" t="n">
        <f aca="true">RAND()</f>
        <v>0.383528028903537</v>
      </c>
      <c r="G1147" s="83" t="n">
        <f aca="false">IF(F1147&lt;(Inputs!$E$15-Inputs!$D$15)/(Inputs!$F$15-Inputs!$D$15),Inputs!$D$15+SQRT(F1147*(Inputs!$F$15-Inputs!$D$15)*(Inputs!$E$15-Inputs!$D$15)),Inputs!$F$15-SQRT((1-F1147)*(Inputs!$F$15-Inputs!$D$15)*(Inputs!$F$15-Inputs!$E$15)))</f>
        <v>0.687581736555464</v>
      </c>
      <c r="H1147" s="81" t="n">
        <f aca="true">RAND()</f>
        <v>0.698539265886374</v>
      </c>
      <c r="I1147" s="82" t="n">
        <f aca="false">ROUND(IF(H1147&lt;(Inputs!$E$17-Inputs!$D$17)/(Inputs!$F$17-Inputs!$D$17),Inputs!$D$17+SQRT(H1147*(Inputs!$F$17-Inputs!$D$17)*(Inputs!$E$17-Inputs!$D$17)),Inputs!$F$17-SQRT((1-H1147)*(Inputs!$F$17-Inputs!$D$17)*(Inputs!$F$17-Inputs!$E$17))),0)</f>
        <v>108</v>
      </c>
      <c r="J1147" s="81" t="n">
        <f aca="true">RAND()</f>
        <v>0.0658028268648745</v>
      </c>
      <c r="K1147" s="83" t="n">
        <f aca="false">IF(J1147&lt;(Inputs!$E$18-Inputs!$D$18)/(Inputs!$F$18-Inputs!$D$18),Inputs!$D$18+SQRT(J1147*(Inputs!$F$18-Inputs!$D$18)*(Inputs!$E$18-Inputs!$D$18)),Inputs!$F$18-SQRT((1-J1147)*(Inputs!$F$18-Inputs!$D$18)*(Inputs!$F$18-Inputs!$E$18)))</f>
        <v>0.947990613043288</v>
      </c>
      <c r="L1147" s="81" t="n">
        <f aca="true">RAND()</f>
        <v>0.742552630780116</v>
      </c>
      <c r="M1147" s="83" t="n">
        <f aca="false">IF(L1147&lt;(Inputs!$E$24-Inputs!$D$24)/(Inputs!$F$24-Inputs!$D$24),Inputs!$D$24+SQRT(L1147*(Inputs!$F$24-Inputs!$D$24)*(Inputs!$E$24-Inputs!$D$24)),Inputs!$F$24-SQRT((1-L1147)*(Inputs!$F$24-Inputs!$D$24)*(Inputs!$F$24-Inputs!$E$24)))</f>
        <v>0.95142934885073</v>
      </c>
      <c r="N1147" s="81" t="n">
        <f aca="true">RAND()</f>
        <v>0.239290599300073</v>
      </c>
      <c r="O1147" s="83" t="n">
        <f aca="false">IF(N1147&lt;(Inputs!$E$26-Inputs!$D$26)/(Inputs!$F$26-Inputs!$D$26),Inputs!$D$26+SQRT(N1147*(Inputs!$F$26-Inputs!$D$26)*(Inputs!$E$26-Inputs!$D$26)),Inputs!$F$26-SQRT((1-N1147)*(Inputs!$F$26-Inputs!$D$26)*(Inputs!$F$26-Inputs!$E$26)))</f>
        <v>0.499544370312801</v>
      </c>
      <c r="P1147" s="81" t="n">
        <f aca="true">RAND()</f>
        <v>0.760043473201764</v>
      </c>
      <c r="Q1147" s="82" t="n">
        <f aca="false">IF(P1147&lt;(Inputs!$E$27-Inputs!$D$27)/(Inputs!$F$27-Inputs!$D$27),Inputs!$D$27+SQRT(P1147*(Inputs!$F$27-Inputs!$D$27)*(Inputs!$E$27-Inputs!$D$27)),Inputs!$F$27-SQRT((1-P1147)*(Inputs!$F$27-Inputs!$D$27)*(Inputs!$F$27-Inputs!$E$27)))</f>
        <v>107.577435827301</v>
      </c>
      <c r="R1147" s="81" t="n">
        <f aca="true">RAND()</f>
        <v>0.687554400343811</v>
      </c>
      <c r="S1147" s="82" t="n">
        <f aca="false">IF(R1147&lt;(Inputs!$E$29-Inputs!$D$29)/(Inputs!$F$29-Inputs!$D$29),Inputs!$D$29+SQRT(R1147*(Inputs!$F$29-Inputs!$D$29)*(Inputs!$E$29-Inputs!$D$29)),Inputs!$F$29-SQRT((1-R1147)*(Inputs!$F$29-Inputs!$D$29)*(Inputs!$F$29-Inputs!$E$29)))</f>
        <v>8.62678040898444</v>
      </c>
      <c r="T1147" s="68" t="n">
        <f aca="false">Inputs!$E$9*(1+E1147)+Inputs!$E$5*C1147*(Inputs!$E$11*Inputs!$E$14*(G1147*I1147/Inputs!$E$16+(1-G1147))*K1147+Inputs!$E$23*M1147)*(1+O1147)+Inputs!$E$5*(Q1147+S1147)</f>
        <v>6509.23004552164</v>
      </c>
    </row>
    <row r="1148" customFormat="false" ht="15" hidden="false" customHeight="false" outlineLevel="0" collapsed="false">
      <c r="A1148" s="1" t="n">
        <v>1144</v>
      </c>
      <c r="B1148" s="81" t="n">
        <f aca="true">RAND()</f>
        <v>0.893746073701306</v>
      </c>
      <c r="C1148" s="82" t="n">
        <f aca="false">ROUND(IF(B1148&lt;(Inputs!$E$8-Inputs!$D$8)/(Inputs!$F$8-Inputs!$D$8),Inputs!$D$8+SQRT(B1148*(Inputs!$F$8-Inputs!$D$8)*(Inputs!$E$8-Inputs!$D$8)),Inputs!$F$8-SQRT((1-B1148)*(Inputs!$F$8-Inputs!$D$8)*(Inputs!$F$8-Inputs!$E$8))),0)</f>
        <v>28</v>
      </c>
      <c r="D1148" s="81" t="n">
        <f aca="true">RAND()</f>
        <v>0.452532210576154</v>
      </c>
      <c r="E1148" s="83" t="n">
        <f aca="false">IF(D1148&lt;(Inputs!$E$10-Inputs!$D$10)/(Inputs!$F$10-Inputs!$D$10),Inputs!$D$10+SQRT(D1148*(Inputs!$F$10-Inputs!$D$10)*(Inputs!$E$10-Inputs!$D$10)),Inputs!$F$10-SQRT((1-D1148)*(Inputs!$F$10-Inputs!$D$10)*(Inputs!$F$10-Inputs!$E$10)))</f>
        <v>0.0718437138384724</v>
      </c>
      <c r="F1148" s="81" t="n">
        <f aca="true">RAND()</f>
        <v>0.328499093142397</v>
      </c>
      <c r="G1148" s="83" t="n">
        <f aca="false">IF(F1148&lt;(Inputs!$E$15-Inputs!$D$15)/(Inputs!$F$15-Inputs!$D$15),Inputs!$D$15+SQRT(F1148*(Inputs!$F$15-Inputs!$D$15)*(Inputs!$E$15-Inputs!$D$15)),Inputs!$F$15-SQRT((1-F1148)*(Inputs!$F$15-Inputs!$D$15)*(Inputs!$F$15-Inputs!$E$15)))</f>
        <v>0.681055424635542</v>
      </c>
      <c r="H1148" s="81" t="n">
        <f aca="true">RAND()</f>
        <v>0.783938715660038</v>
      </c>
      <c r="I1148" s="82" t="n">
        <f aca="false">ROUND(IF(H1148&lt;(Inputs!$E$17-Inputs!$D$17)/(Inputs!$F$17-Inputs!$D$17),Inputs!$D$17+SQRT(H1148*(Inputs!$F$17-Inputs!$D$17)*(Inputs!$E$17-Inputs!$D$17)),Inputs!$F$17-SQRT((1-H1148)*(Inputs!$F$17-Inputs!$D$17)*(Inputs!$F$17-Inputs!$E$17))),0)</f>
        <v>109</v>
      </c>
      <c r="J1148" s="81" t="n">
        <f aca="true">RAND()</f>
        <v>0.7742153019273</v>
      </c>
      <c r="K1148" s="83" t="n">
        <f aca="false">IF(J1148&lt;(Inputs!$E$18-Inputs!$D$18)/(Inputs!$F$18-Inputs!$D$18),Inputs!$D$18+SQRT(J1148*(Inputs!$F$18-Inputs!$D$18)*(Inputs!$E$18-Inputs!$D$18)),Inputs!$F$18-SQRT((1-J1148)*(Inputs!$F$18-Inputs!$D$18)*(Inputs!$F$18-Inputs!$E$18)))</f>
        <v>1.10944338833992</v>
      </c>
      <c r="L1148" s="81" t="n">
        <f aca="true">RAND()</f>
        <v>0.194431557649549</v>
      </c>
      <c r="M1148" s="83" t="n">
        <f aca="false">IF(L1148&lt;(Inputs!$E$24-Inputs!$D$24)/(Inputs!$F$24-Inputs!$D$24),Inputs!$D$24+SQRT(L1148*(Inputs!$F$24-Inputs!$D$24)*(Inputs!$E$24-Inputs!$D$24)),Inputs!$F$24-SQRT((1-L1148)*(Inputs!$F$24-Inputs!$D$24)*(Inputs!$F$24-Inputs!$E$24)))</f>
        <v>0.752747461248774</v>
      </c>
      <c r="N1148" s="81" t="n">
        <f aca="true">RAND()</f>
        <v>0.503500410440074</v>
      </c>
      <c r="O1148" s="83" t="n">
        <f aca="false">IF(N1148&lt;(Inputs!$E$26-Inputs!$D$26)/(Inputs!$F$26-Inputs!$D$26),Inputs!$D$26+SQRT(N1148*(Inputs!$F$26-Inputs!$D$26)*(Inputs!$E$26-Inputs!$D$26)),Inputs!$F$26-SQRT((1-N1148)*(Inputs!$F$26-Inputs!$D$26)*(Inputs!$F$26-Inputs!$E$26)))</f>
        <v>0.589452013807519</v>
      </c>
      <c r="P1148" s="81" t="n">
        <f aca="true">RAND()</f>
        <v>0.00910309017753428</v>
      </c>
      <c r="Q1148" s="82" t="n">
        <f aca="false">IF(P1148&lt;(Inputs!$E$27-Inputs!$D$27)/(Inputs!$F$27-Inputs!$D$27),Inputs!$D$27+SQRT(P1148*(Inputs!$F$27-Inputs!$D$27)*(Inputs!$E$27-Inputs!$D$27)),Inputs!$F$27-SQRT((1-P1148)*(Inputs!$F$27-Inputs!$D$27)*(Inputs!$F$27-Inputs!$E$27)))</f>
        <v>54.7705057849075</v>
      </c>
      <c r="R1148" s="81" t="n">
        <f aca="true">RAND()</f>
        <v>0.545188425478484</v>
      </c>
      <c r="S1148" s="82" t="n">
        <f aca="false">IF(R1148&lt;(Inputs!$E$29-Inputs!$D$29)/(Inputs!$F$29-Inputs!$D$29),Inputs!$D$29+SQRT(R1148*(Inputs!$F$29-Inputs!$D$29)*(Inputs!$E$29-Inputs!$D$29)),Inputs!$F$29-SQRT((1-R1148)*(Inputs!$F$29-Inputs!$D$29)*(Inputs!$F$29-Inputs!$E$29)))</f>
        <v>7.31068893282388</v>
      </c>
      <c r="T1148" s="68" t="n">
        <f aca="false">Inputs!$E$9*(1+E1148)+Inputs!$E$5*C1148*(Inputs!$E$11*Inputs!$E$14*(G1148*I1148/Inputs!$E$16+(1-G1148))*K1148+Inputs!$E$23*M1148)*(1+O1148)+Inputs!$E$5*(Q1148+S1148)</f>
        <v>6601.44692724055</v>
      </c>
    </row>
    <row r="1149" customFormat="false" ht="15" hidden="false" customHeight="false" outlineLevel="0" collapsed="false">
      <c r="A1149" s="1" t="n">
        <v>1145</v>
      </c>
      <c r="B1149" s="81" t="n">
        <f aca="true">RAND()</f>
        <v>0.538976990508944</v>
      </c>
      <c r="C1149" s="82" t="n">
        <f aca="false">ROUND(IF(B1149&lt;(Inputs!$E$8-Inputs!$D$8)/(Inputs!$F$8-Inputs!$D$8),Inputs!$D$8+SQRT(B1149*(Inputs!$F$8-Inputs!$D$8)*(Inputs!$E$8-Inputs!$D$8)),Inputs!$F$8-SQRT((1-B1149)*(Inputs!$F$8-Inputs!$D$8)*(Inputs!$F$8-Inputs!$E$8))),0)</f>
        <v>25</v>
      </c>
      <c r="D1149" s="81" t="n">
        <f aca="true">RAND()</f>
        <v>0.164868118707262</v>
      </c>
      <c r="E1149" s="83" t="n">
        <f aca="false">IF(D1149&lt;(Inputs!$E$10-Inputs!$D$10)/(Inputs!$F$10-Inputs!$D$10),Inputs!$D$10+SQRT(D1149*(Inputs!$F$10-Inputs!$D$10)*(Inputs!$E$10-Inputs!$D$10)),Inputs!$F$10-SQRT((1-D1149)*(Inputs!$F$10-Inputs!$D$10)*(Inputs!$F$10-Inputs!$E$10)))</f>
        <v>0.0406039553131542</v>
      </c>
      <c r="F1149" s="81" t="n">
        <f aca="true">RAND()</f>
        <v>0.884485193919142</v>
      </c>
      <c r="G1149" s="83" t="n">
        <f aca="false">IF(F1149&lt;(Inputs!$E$15-Inputs!$D$15)/(Inputs!$F$15-Inputs!$D$15),Inputs!$D$15+SQRT(F1149*(Inputs!$F$15-Inputs!$D$15)*(Inputs!$E$15-Inputs!$D$15)),Inputs!$F$15-SQRT((1-F1149)*(Inputs!$F$15-Inputs!$D$15)*(Inputs!$F$15-Inputs!$E$15)))</f>
        <v>0.751934460144328</v>
      </c>
      <c r="H1149" s="81" t="n">
        <f aca="true">RAND()</f>
        <v>0.427818219402087</v>
      </c>
      <c r="I1149" s="82" t="n">
        <f aca="false">ROUND(IF(H1149&lt;(Inputs!$E$17-Inputs!$D$17)/(Inputs!$F$17-Inputs!$D$17),Inputs!$D$17+SQRT(H1149*(Inputs!$F$17-Inputs!$D$17)*(Inputs!$E$17-Inputs!$D$17)),Inputs!$F$17-SQRT((1-H1149)*(Inputs!$F$17-Inputs!$D$17)*(Inputs!$F$17-Inputs!$E$17))),0)</f>
        <v>106</v>
      </c>
      <c r="J1149" s="81" t="n">
        <f aca="true">RAND()</f>
        <v>0.814589727776061</v>
      </c>
      <c r="K1149" s="83" t="n">
        <f aca="false">IF(J1149&lt;(Inputs!$E$18-Inputs!$D$18)/(Inputs!$F$18-Inputs!$D$18),Inputs!$D$18+SQRT(J1149*(Inputs!$F$18-Inputs!$D$18)*(Inputs!$E$18-Inputs!$D$18)),Inputs!$F$18-SQRT((1-J1149)*(Inputs!$F$18-Inputs!$D$18)*(Inputs!$F$18-Inputs!$E$18)))</f>
        <v>1.12262889330937</v>
      </c>
      <c r="L1149" s="81" t="n">
        <f aca="true">RAND()</f>
        <v>0.462609494374073</v>
      </c>
      <c r="M1149" s="83" t="n">
        <f aca="false">IF(L1149&lt;(Inputs!$E$24-Inputs!$D$24)/(Inputs!$F$24-Inputs!$D$24),Inputs!$D$24+SQRT(L1149*(Inputs!$F$24-Inputs!$D$24)*(Inputs!$E$24-Inputs!$D$24)),Inputs!$F$24-SQRT((1-L1149)*(Inputs!$F$24-Inputs!$D$24)*(Inputs!$F$24-Inputs!$E$24)))</f>
        <v>0.840870884847493</v>
      </c>
      <c r="N1149" s="81" t="n">
        <f aca="true">RAND()</f>
        <v>0.617379751017821</v>
      </c>
      <c r="O1149" s="83" t="n">
        <f aca="false">IF(N1149&lt;(Inputs!$E$26-Inputs!$D$26)/(Inputs!$F$26-Inputs!$D$26),Inputs!$D$26+SQRT(N1149*(Inputs!$F$26-Inputs!$D$26)*(Inputs!$E$26-Inputs!$D$26)),Inputs!$F$26-SQRT((1-N1149)*(Inputs!$F$26-Inputs!$D$26)*(Inputs!$F$26-Inputs!$E$26)))</f>
        <v>0.620519409730804</v>
      </c>
      <c r="P1149" s="81" t="n">
        <f aca="true">RAND()</f>
        <v>0.00586074320856053</v>
      </c>
      <c r="Q1149" s="82" t="n">
        <f aca="false">IF(P1149&lt;(Inputs!$E$27-Inputs!$D$27)/(Inputs!$F$27-Inputs!$D$27),Inputs!$D$27+SQRT(P1149*(Inputs!$F$27-Inputs!$D$27)*(Inputs!$E$27-Inputs!$D$27)),Inputs!$F$27-SQRT((1-P1149)*(Inputs!$F$27-Inputs!$D$27)*(Inputs!$F$27-Inputs!$E$27)))</f>
        <v>53.8277745520604</v>
      </c>
      <c r="R1149" s="81" t="n">
        <f aca="true">RAND()</f>
        <v>0.771757189572223</v>
      </c>
      <c r="S1149" s="82" t="n">
        <f aca="false">IF(R1149&lt;(Inputs!$E$29-Inputs!$D$29)/(Inputs!$F$29-Inputs!$D$29),Inputs!$D$29+SQRT(R1149*(Inputs!$F$29-Inputs!$D$29)*(Inputs!$E$29-Inputs!$D$29)),Inputs!$F$29-SQRT((1-R1149)*(Inputs!$F$29-Inputs!$D$29)*(Inputs!$F$29-Inputs!$E$29)))</f>
        <v>9.55283878009738</v>
      </c>
      <c r="T1149" s="68" t="n">
        <f aca="false">Inputs!$E$9*(1+E1149)+Inputs!$E$5*C1149*(Inputs!$E$11*Inputs!$E$14*(G1149*I1149/Inputs!$E$16+(1-G1149))*K1149+Inputs!$E$23*M1149)*(1+O1149)+Inputs!$E$5*(Q1149+S1149)</f>
        <v>6198.67508600864</v>
      </c>
    </row>
    <row r="1150" customFormat="false" ht="15" hidden="false" customHeight="false" outlineLevel="0" collapsed="false">
      <c r="A1150" s="1" t="n">
        <v>1146</v>
      </c>
      <c r="B1150" s="81" t="n">
        <f aca="true">RAND()</f>
        <v>0.938922262433759</v>
      </c>
      <c r="C1150" s="82" t="n">
        <f aca="false">ROUND(IF(B1150&lt;(Inputs!$E$8-Inputs!$D$8)/(Inputs!$F$8-Inputs!$D$8),Inputs!$D$8+SQRT(B1150*(Inputs!$F$8-Inputs!$D$8)*(Inputs!$E$8-Inputs!$D$8)),Inputs!$F$8-SQRT((1-B1150)*(Inputs!$F$8-Inputs!$D$8)*(Inputs!$F$8-Inputs!$E$8))),0)</f>
        <v>28</v>
      </c>
      <c r="D1150" s="81" t="n">
        <f aca="true">RAND()</f>
        <v>0.655038644197897</v>
      </c>
      <c r="E1150" s="83" t="n">
        <f aca="false">IF(D1150&lt;(Inputs!$E$10-Inputs!$D$10)/(Inputs!$F$10-Inputs!$D$10),Inputs!$D$10+SQRT(D1150*(Inputs!$F$10-Inputs!$D$10)*(Inputs!$E$10-Inputs!$D$10)),Inputs!$F$10-SQRT((1-D1150)*(Inputs!$F$10-Inputs!$D$10)*(Inputs!$F$10-Inputs!$E$10)))</f>
        <v>0.0982707481888169</v>
      </c>
      <c r="F1150" s="81" t="n">
        <f aca="true">RAND()</f>
        <v>0.887474857076384</v>
      </c>
      <c r="G1150" s="83" t="n">
        <f aca="false">IF(F1150&lt;(Inputs!$E$15-Inputs!$D$15)/(Inputs!$F$15-Inputs!$D$15),Inputs!$D$15+SQRT(F1150*(Inputs!$F$15-Inputs!$D$15)*(Inputs!$E$15-Inputs!$D$15)),Inputs!$F$15-SQRT((1-F1150)*(Inputs!$F$15-Inputs!$D$15)*(Inputs!$F$15-Inputs!$E$15)))</f>
        <v>0.752560534799891</v>
      </c>
      <c r="H1150" s="81" t="n">
        <f aca="true">RAND()</f>
        <v>0.723630421297209</v>
      </c>
      <c r="I1150" s="82" t="n">
        <f aca="false">ROUND(IF(H1150&lt;(Inputs!$E$17-Inputs!$D$17)/(Inputs!$F$17-Inputs!$D$17),Inputs!$D$17+SQRT(H1150*(Inputs!$F$17-Inputs!$D$17)*(Inputs!$E$17-Inputs!$D$17)),Inputs!$F$17-SQRT((1-H1150)*(Inputs!$F$17-Inputs!$D$17)*(Inputs!$F$17-Inputs!$E$17))),0)</f>
        <v>109</v>
      </c>
      <c r="J1150" s="81" t="n">
        <f aca="true">RAND()</f>
        <v>0.0663437487067636</v>
      </c>
      <c r="K1150" s="83" t="n">
        <f aca="false">IF(J1150&lt;(Inputs!$E$18-Inputs!$D$18)/(Inputs!$F$18-Inputs!$D$18),Inputs!$D$18+SQRT(J1150*(Inputs!$F$18-Inputs!$D$18)*(Inputs!$E$18-Inputs!$D$18)),Inputs!$F$18-SQRT((1-J1150)*(Inputs!$F$18-Inputs!$D$18)*(Inputs!$F$18-Inputs!$E$18)))</f>
        <v>0.948187458998548</v>
      </c>
      <c r="L1150" s="81" t="n">
        <f aca="true">RAND()</f>
        <v>0.739702090094329</v>
      </c>
      <c r="M1150" s="83" t="n">
        <f aca="false">IF(L1150&lt;(Inputs!$E$24-Inputs!$D$24)/(Inputs!$F$24-Inputs!$D$24),Inputs!$D$24+SQRT(L1150*(Inputs!$F$24-Inputs!$D$24)*(Inputs!$E$24-Inputs!$D$24)),Inputs!$F$24-SQRT((1-L1150)*(Inputs!$F$24-Inputs!$D$24)*(Inputs!$F$24-Inputs!$E$24)))</f>
        <v>0.9500570097455</v>
      </c>
      <c r="N1150" s="81" t="n">
        <f aca="true">RAND()</f>
        <v>0.390941834832067</v>
      </c>
      <c r="O1150" s="83" t="n">
        <f aca="false">IF(N1150&lt;(Inputs!$E$26-Inputs!$D$26)/(Inputs!$F$26-Inputs!$D$26),Inputs!$D$26+SQRT(N1150*(Inputs!$F$26-Inputs!$D$26)*(Inputs!$E$26-Inputs!$D$26)),Inputs!$F$26-SQRT((1-N1150)*(Inputs!$F$26-Inputs!$D$26)*(Inputs!$F$26-Inputs!$E$26)))</f>
        <v>0.555054349729731</v>
      </c>
      <c r="P1150" s="81" t="n">
        <f aca="true">RAND()</f>
        <v>0.534552211995305</v>
      </c>
      <c r="Q1150" s="82" t="n">
        <f aca="false">IF(P1150&lt;(Inputs!$E$27-Inputs!$D$27)/(Inputs!$F$27-Inputs!$D$27),Inputs!$D$27+SQRT(P1150*(Inputs!$F$27-Inputs!$D$27)*(Inputs!$E$27-Inputs!$D$27)),Inputs!$F$27-SQRT((1-P1150)*(Inputs!$F$27-Inputs!$D$27)*(Inputs!$F$27-Inputs!$E$27)))</f>
        <v>90.9165132203996</v>
      </c>
      <c r="R1150" s="81" t="n">
        <f aca="true">RAND()</f>
        <v>0.519152169139457</v>
      </c>
      <c r="S1150" s="82" t="n">
        <f aca="false">IF(R1150&lt;(Inputs!$E$29-Inputs!$D$29)/(Inputs!$F$29-Inputs!$D$29),Inputs!$D$29+SQRT(R1150*(Inputs!$F$29-Inputs!$D$29)*(Inputs!$E$29-Inputs!$D$29)),Inputs!$F$29-SQRT((1-R1150)*(Inputs!$F$29-Inputs!$D$29)*(Inputs!$F$29-Inputs!$E$29)))</f>
        <v>7.09365963217681</v>
      </c>
      <c r="T1150" s="68" t="n">
        <f aca="false">Inputs!$E$9*(1+E1150)+Inputs!$E$5*C1150*(Inputs!$E$11*Inputs!$E$14*(G1150*I1150/Inputs!$E$16+(1-G1150))*K1150+Inputs!$E$23*M1150)*(1+O1150)+Inputs!$E$5*(Q1150+S1150)</f>
        <v>6577.56495919889</v>
      </c>
    </row>
    <row r="1151" customFormat="false" ht="15" hidden="false" customHeight="false" outlineLevel="0" collapsed="false">
      <c r="A1151" s="1" t="n">
        <v>1147</v>
      </c>
      <c r="B1151" s="81" t="n">
        <f aca="true">RAND()</f>
        <v>0.143310340158394</v>
      </c>
      <c r="C1151" s="82" t="n">
        <f aca="false">ROUND(IF(B1151&lt;(Inputs!$E$8-Inputs!$D$8)/(Inputs!$F$8-Inputs!$D$8),Inputs!$D$8+SQRT(B1151*(Inputs!$F$8-Inputs!$D$8)*(Inputs!$E$8-Inputs!$D$8)),Inputs!$F$8-SQRT((1-B1151)*(Inputs!$F$8-Inputs!$D$8)*(Inputs!$F$8-Inputs!$E$8))),0)</f>
        <v>23</v>
      </c>
      <c r="D1151" s="81" t="n">
        <f aca="true">RAND()</f>
        <v>0.498931633342336</v>
      </c>
      <c r="E1151" s="83" t="n">
        <f aca="false">IF(D1151&lt;(Inputs!$E$10-Inputs!$D$10)/(Inputs!$F$10-Inputs!$D$10),Inputs!$D$10+SQRT(D1151*(Inputs!$F$10-Inputs!$D$10)*(Inputs!$E$10-Inputs!$D$10)),Inputs!$F$10-SQRT((1-D1151)*(Inputs!$F$10-Inputs!$D$10)*(Inputs!$F$10-Inputs!$E$10)))</f>
        <v>0.0773947350244292</v>
      </c>
      <c r="F1151" s="81" t="n">
        <f aca="true">RAND()</f>
        <v>0.212300862725982</v>
      </c>
      <c r="G1151" s="83" t="n">
        <f aca="false">IF(F1151&lt;(Inputs!$E$15-Inputs!$D$15)/(Inputs!$F$15-Inputs!$D$15),Inputs!$D$15+SQRT(F1151*(Inputs!$F$15-Inputs!$D$15)*(Inputs!$E$15-Inputs!$D$15)),Inputs!$F$15-SQRT((1-F1151)*(Inputs!$F$15-Inputs!$D$15)*(Inputs!$F$15-Inputs!$E$15)))</f>
        <v>0.66516147062889</v>
      </c>
      <c r="H1151" s="81" t="n">
        <f aca="true">RAND()</f>
        <v>0.984395325566221</v>
      </c>
      <c r="I1151" s="82" t="n">
        <f aca="false">ROUND(IF(H1151&lt;(Inputs!$E$17-Inputs!$D$17)/(Inputs!$F$17-Inputs!$D$17),Inputs!$D$17+SQRT(H1151*(Inputs!$F$17-Inputs!$D$17)*(Inputs!$E$17-Inputs!$D$17)),Inputs!$F$17-SQRT((1-H1151)*(Inputs!$F$17-Inputs!$D$17)*(Inputs!$F$17-Inputs!$E$17))),0)</f>
        <v>113</v>
      </c>
      <c r="J1151" s="81" t="n">
        <f aca="true">RAND()</f>
        <v>0.519692947348126</v>
      </c>
      <c r="K1151" s="83" t="n">
        <f aca="false">IF(J1151&lt;(Inputs!$E$18-Inputs!$D$18)/(Inputs!$F$18-Inputs!$D$18),Inputs!$D$18+SQRT(J1151*(Inputs!$F$18-Inputs!$D$18)*(Inputs!$E$18-Inputs!$D$18)),Inputs!$F$18-SQRT((1-J1151)*(Inputs!$F$18-Inputs!$D$18)*(Inputs!$F$18-Inputs!$E$18)))</f>
        <v>1.04499544613097</v>
      </c>
      <c r="L1151" s="81" t="n">
        <f aca="true">RAND()</f>
        <v>0.422016354995636</v>
      </c>
      <c r="M1151" s="83" t="n">
        <f aca="false">IF(L1151&lt;(Inputs!$E$24-Inputs!$D$24)/(Inputs!$F$24-Inputs!$D$24),Inputs!$D$24+SQRT(L1151*(Inputs!$F$24-Inputs!$D$24)*(Inputs!$E$24-Inputs!$D$24)),Inputs!$F$24-SQRT((1-L1151)*(Inputs!$F$24-Inputs!$D$24)*(Inputs!$F$24-Inputs!$E$24)))</f>
        <v>0.82755393034555</v>
      </c>
      <c r="N1151" s="81" t="n">
        <f aca="true">RAND()</f>
        <v>0.725338182028944</v>
      </c>
      <c r="O1151" s="83" t="n">
        <f aca="false">IF(N1151&lt;(Inputs!$E$26-Inputs!$D$26)/(Inputs!$F$26-Inputs!$D$26),Inputs!$D$26+SQRT(N1151*(Inputs!$F$26-Inputs!$D$26)*(Inputs!$E$26-Inputs!$D$26)),Inputs!$F$26-SQRT((1-N1151)*(Inputs!$F$26-Inputs!$D$26)*(Inputs!$F$26-Inputs!$E$26)))</f>
        <v>0.650988671773192</v>
      </c>
      <c r="P1151" s="81" t="n">
        <f aca="true">RAND()</f>
        <v>0.578178500238594</v>
      </c>
      <c r="Q1151" s="82" t="n">
        <f aca="false">IF(P1151&lt;(Inputs!$E$27-Inputs!$D$27)/(Inputs!$F$27-Inputs!$D$27),Inputs!$D$27+SQRT(P1151*(Inputs!$F$27-Inputs!$D$27)*(Inputs!$E$27-Inputs!$D$27)),Inputs!$F$27-SQRT((1-P1151)*(Inputs!$F$27-Inputs!$D$27)*(Inputs!$F$27-Inputs!$E$27)))</f>
        <v>93.7535667956577</v>
      </c>
      <c r="R1151" s="81" t="n">
        <f aca="true">RAND()</f>
        <v>0.35200335370376</v>
      </c>
      <c r="S1151" s="82" t="n">
        <f aca="false">IF(R1151&lt;(Inputs!$E$29-Inputs!$D$29)/(Inputs!$F$29-Inputs!$D$29),Inputs!$D$29+SQRT(R1151*(Inputs!$F$29-Inputs!$D$29)*(Inputs!$E$29-Inputs!$D$29)),Inputs!$F$29-SQRT((1-R1151)*(Inputs!$F$29-Inputs!$D$29)*(Inputs!$F$29-Inputs!$E$29)))</f>
        <v>5.82178862639832</v>
      </c>
      <c r="T1151" s="68" t="n">
        <f aca="false">Inputs!$E$9*(1+E1151)+Inputs!$E$5*C1151*(Inputs!$E$11*Inputs!$E$14*(G1151*I1151/Inputs!$E$16+(1-G1151))*K1151+Inputs!$E$23*M1151)*(1+O1151)+Inputs!$E$5*(Q1151+S1151)</f>
        <v>6253.32566121896</v>
      </c>
    </row>
    <row r="1152" customFormat="false" ht="15" hidden="false" customHeight="false" outlineLevel="0" collapsed="false">
      <c r="A1152" s="1" t="n">
        <v>1148</v>
      </c>
      <c r="B1152" s="81" t="n">
        <f aca="true">RAND()</f>
        <v>0.572063736784546</v>
      </c>
      <c r="C1152" s="82" t="n">
        <f aca="false">ROUND(IF(B1152&lt;(Inputs!$E$8-Inputs!$D$8)/(Inputs!$F$8-Inputs!$D$8),Inputs!$D$8+SQRT(B1152*(Inputs!$F$8-Inputs!$D$8)*(Inputs!$E$8-Inputs!$D$8)),Inputs!$F$8-SQRT((1-B1152)*(Inputs!$F$8-Inputs!$D$8)*(Inputs!$F$8-Inputs!$E$8))),0)</f>
        <v>25</v>
      </c>
      <c r="D1152" s="81" t="n">
        <f aca="true">RAND()</f>
        <v>0.720750926384261</v>
      </c>
      <c r="E1152" s="83" t="n">
        <f aca="false">IF(D1152&lt;(Inputs!$E$10-Inputs!$D$10)/(Inputs!$F$10-Inputs!$D$10),Inputs!$D$10+SQRT(D1152*(Inputs!$F$10-Inputs!$D$10)*(Inputs!$E$10-Inputs!$D$10)),Inputs!$F$10-SQRT((1-D1152)*(Inputs!$F$10-Inputs!$D$10)*(Inputs!$F$10-Inputs!$E$10)))</f>
        <v>0.108471467790245</v>
      </c>
      <c r="F1152" s="81" t="n">
        <f aca="true">RAND()</f>
        <v>0.740997999429294</v>
      </c>
      <c r="G1152" s="83" t="n">
        <f aca="false">IF(F1152&lt;(Inputs!$E$15-Inputs!$D$15)/(Inputs!$F$15-Inputs!$D$15),Inputs!$D$15+SQRT(F1152*(Inputs!$F$15-Inputs!$D$15)*(Inputs!$E$15-Inputs!$D$15)),Inputs!$F$15-SQRT((1-F1152)*(Inputs!$F$15-Inputs!$D$15)*(Inputs!$F$15-Inputs!$E$15)))</f>
        <v>0.728027505174448</v>
      </c>
      <c r="H1152" s="81" t="n">
        <f aca="true">RAND()</f>
        <v>0.582337545102559</v>
      </c>
      <c r="I1152" s="82" t="n">
        <f aca="false">ROUND(IF(H1152&lt;(Inputs!$E$17-Inputs!$D$17)/(Inputs!$F$17-Inputs!$D$17),Inputs!$D$17+SQRT(H1152*(Inputs!$F$17-Inputs!$D$17)*(Inputs!$E$17-Inputs!$D$17)),Inputs!$F$17-SQRT((1-H1152)*(Inputs!$F$17-Inputs!$D$17)*(Inputs!$F$17-Inputs!$E$17))),0)</f>
        <v>107</v>
      </c>
      <c r="J1152" s="81" t="n">
        <f aca="true">RAND()</f>
        <v>0.679424585393412</v>
      </c>
      <c r="K1152" s="83" t="n">
        <f aca="false">IF(J1152&lt;(Inputs!$E$18-Inputs!$D$18)/(Inputs!$F$18-Inputs!$D$18),Inputs!$D$18+SQRT(J1152*(Inputs!$F$18-Inputs!$D$18)*(Inputs!$E$18-Inputs!$D$18)),Inputs!$F$18-SQRT((1-J1152)*(Inputs!$F$18-Inputs!$D$18)*(Inputs!$F$18-Inputs!$E$18)))</f>
        <v>1.08251761651422</v>
      </c>
      <c r="L1152" s="81" t="n">
        <f aca="true">RAND()</f>
        <v>0.0807905644436807</v>
      </c>
      <c r="M1152" s="83" t="n">
        <f aca="false">IF(L1152&lt;(Inputs!$E$24-Inputs!$D$24)/(Inputs!$F$24-Inputs!$D$24),Inputs!$D$24+SQRT(L1152*(Inputs!$F$24-Inputs!$D$24)*(Inputs!$E$24-Inputs!$D$24)),Inputs!$F$24-SQRT((1-L1152)*(Inputs!$F$24-Inputs!$D$24)*(Inputs!$F$24-Inputs!$E$24)))</f>
        <v>0.698462519433751</v>
      </c>
      <c r="N1152" s="81" t="n">
        <f aca="true">RAND()</f>
        <v>0.959418490286328</v>
      </c>
      <c r="O1152" s="83" t="n">
        <f aca="false">IF(N1152&lt;(Inputs!$E$26-Inputs!$D$26)/(Inputs!$F$26-Inputs!$D$26),Inputs!$D$26+SQRT(N1152*(Inputs!$F$26-Inputs!$D$26)*(Inputs!$E$26-Inputs!$D$26)),Inputs!$F$26-SQRT((1-N1152)*(Inputs!$F$26-Inputs!$D$26)*(Inputs!$F$26-Inputs!$E$26)))</f>
        <v>0.755034801545582</v>
      </c>
      <c r="P1152" s="81" t="n">
        <f aca="true">RAND()</f>
        <v>0.986822981913086</v>
      </c>
      <c r="Q1152" s="82" t="n">
        <f aca="false">IF(P1152&lt;(Inputs!$E$27-Inputs!$D$27)/(Inputs!$F$27-Inputs!$D$27),Inputs!$D$27+SQRT(P1152*(Inputs!$F$27-Inputs!$D$27)*(Inputs!$E$27-Inputs!$D$27)),Inputs!$F$27-SQRT((1-P1152)*(Inputs!$F$27-Inputs!$D$27)*(Inputs!$F$27-Inputs!$E$27)))</f>
        <v>140.058791036707</v>
      </c>
      <c r="R1152" s="81" t="n">
        <f aca="true">RAND()</f>
        <v>0.0546501154886664</v>
      </c>
      <c r="S1152" s="82" t="n">
        <f aca="false">IF(R1152&lt;(Inputs!$E$29-Inputs!$D$29)/(Inputs!$F$29-Inputs!$D$29),Inputs!$D$29+SQRT(R1152*(Inputs!$F$29-Inputs!$D$29)*(Inputs!$E$29-Inputs!$D$29)),Inputs!$F$29-SQRT((1-R1152)*(Inputs!$F$29-Inputs!$D$29)*(Inputs!$F$29-Inputs!$E$29)))</f>
        <v>3.45991592362642</v>
      </c>
      <c r="T1152" s="68" t="n">
        <f aca="false">Inputs!$E$9*(1+E1152)+Inputs!$E$5*C1152*(Inputs!$E$11*Inputs!$E$14*(G1152*I1152/Inputs!$E$16+(1-G1152))*K1152+Inputs!$E$23*M1152)*(1+O1152)+Inputs!$E$5*(Q1152+S1152)</f>
        <v>6783.83435972275</v>
      </c>
    </row>
    <row r="1153" customFormat="false" ht="15" hidden="false" customHeight="false" outlineLevel="0" collapsed="false">
      <c r="A1153" s="1" t="n">
        <v>1149</v>
      </c>
      <c r="B1153" s="81" t="n">
        <f aca="true">RAND()</f>
        <v>0.223943015777422</v>
      </c>
      <c r="C1153" s="82" t="n">
        <f aca="false">ROUND(IF(B1153&lt;(Inputs!$E$8-Inputs!$D$8)/(Inputs!$F$8-Inputs!$D$8),Inputs!$D$8+SQRT(B1153*(Inputs!$F$8-Inputs!$D$8)*(Inputs!$E$8-Inputs!$D$8)),Inputs!$F$8-SQRT((1-B1153)*(Inputs!$F$8-Inputs!$D$8)*(Inputs!$F$8-Inputs!$E$8))),0)</f>
        <v>23</v>
      </c>
      <c r="D1153" s="81" t="n">
        <f aca="true">RAND()</f>
        <v>0.427508515912828</v>
      </c>
      <c r="E1153" s="83" t="n">
        <f aca="false">IF(D1153&lt;(Inputs!$E$10-Inputs!$D$10)/(Inputs!$F$10-Inputs!$D$10),Inputs!$D$10+SQRT(D1153*(Inputs!$F$10-Inputs!$D$10)*(Inputs!$E$10-Inputs!$D$10)),Inputs!$F$10-SQRT((1-D1153)*(Inputs!$F$10-Inputs!$D$10)*(Inputs!$F$10-Inputs!$E$10)))</f>
        <v>0.0689475504898319</v>
      </c>
      <c r="F1153" s="81" t="n">
        <f aca="true">RAND()</f>
        <v>0.0281891503987674</v>
      </c>
      <c r="G1153" s="83" t="n">
        <f aca="false">IF(F1153&lt;(Inputs!$E$15-Inputs!$D$15)/(Inputs!$F$15-Inputs!$D$15),Inputs!$D$15+SQRT(F1153*(Inputs!$F$15-Inputs!$D$15)*(Inputs!$E$15-Inputs!$D$15)),Inputs!$F$15-SQRT((1-F1153)*(Inputs!$F$15-Inputs!$D$15)*(Inputs!$F$15-Inputs!$E$15)))</f>
        <v>0.623744115228312</v>
      </c>
      <c r="H1153" s="81" t="n">
        <f aca="true">RAND()</f>
        <v>0.65814528892216</v>
      </c>
      <c r="I1153" s="82" t="n">
        <f aca="false">ROUND(IF(H1153&lt;(Inputs!$E$17-Inputs!$D$17)/(Inputs!$F$17-Inputs!$D$17),Inputs!$D$17+SQRT(H1153*(Inputs!$F$17-Inputs!$D$17)*(Inputs!$E$17-Inputs!$D$17)),Inputs!$F$17-SQRT((1-H1153)*(Inputs!$F$17-Inputs!$D$17)*(Inputs!$F$17-Inputs!$E$17))),0)</f>
        <v>108</v>
      </c>
      <c r="J1153" s="81" t="n">
        <f aca="true">RAND()</f>
        <v>0.257238226863289</v>
      </c>
      <c r="K1153" s="83" t="n">
        <f aca="false">IF(J1153&lt;(Inputs!$E$18-Inputs!$D$18)/(Inputs!$F$18-Inputs!$D$18),Inputs!$D$18+SQRT(J1153*(Inputs!$F$18-Inputs!$D$18)*(Inputs!$E$18-Inputs!$D$18)),Inputs!$F$18-SQRT((1-J1153)*(Inputs!$F$18-Inputs!$D$18)*(Inputs!$F$18-Inputs!$E$18)))</f>
        <v>0.99488592066379</v>
      </c>
      <c r="L1153" s="81" t="n">
        <f aca="true">RAND()</f>
        <v>0.523228000266056</v>
      </c>
      <c r="M1153" s="83" t="n">
        <f aca="false">IF(L1153&lt;(Inputs!$E$24-Inputs!$D$24)/(Inputs!$F$24-Inputs!$D$24),Inputs!$D$24+SQRT(L1153*(Inputs!$F$24-Inputs!$D$24)*(Inputs!$E$24-Inputs!$D$24)),Inputs!$F$24-SQRT((1-L1153)*(Inputs!$F$24-Inputs!$D$24)*(Inputs!$F$24-Inputs!$E$24)))</f>
        <v>0.861731940709522</v>
      </c>
      <c r="N1153" s="81" t="n">
        <f aca="true">RAND()</f>
        <v>0.562982655450288</v>
      </c>
      <c r="O1153" s="83" t="n">
        <f aca="false">IF(N1153&lt;(Inputs!$E$26-Inputs!$D$26)/(Inputs!$F$26-Inputs!$D$26),Inputs!$D$26+SQRT(N1153*(Inputs!$F$26-Inputs!$D$26)*(Inputs!$E$26-Inputs!$D$26)),Inputs!$F$26-SQRT((1-N1153)*(Inputs!$F$26-Inputs!$D$26)*(Inputs!$F$26-Inputs!$E$26)))</f>
        <v>0.606072399714394</v>
      </c>
      <c r="P1153" s="81" t="n">
        <f aca="true">RAND()</f>
        <v>0.81490910144779</v>
      </c>
      <c r="Q1153" s="82" t="n">
        <f aca="false">IF(P1153&lt;(Inputs!$E$27-Inputs!$D$27)/(Inputs!$F$27-Inputs!$D$27),Inputs!$D$27+SQRT(P1153*(Inputs!$F$27-Inputs!$D$27)*(Inputs!$E$27-Inputs!$D$27)),Inputs!$F$27-SQRT((1-P1153)*(Inputs!$F$27-Inputs!$D$27)*(Inputs!$F$27-Inputs!$E$27)))</f>
        <v>112.741688992366</v>
      </c>
      <c r="R1153" s="81" t="n">
        <f aca="true">RAND()</f>
        <v>0.395592353008028</v>
      </c>
      <c r="S1153" s="82" t="n">
        <f aca="false">IF(R1153&lt;(Inputs!$E$29-Inputs!$D$29)/(Inputs!$F$29-Inputs!$D$29),Inputs!$D$29+SQRT(R1153*(Inputs!$F$29-Inputs!$D$29)*(Inputs!$E$29-Inputs!$D$29)),Inputs!$F$29-SQRT((1-R1153)*(Inputs!$F$29-Inputs!$D$29)*(Inputs!$F$29-Inputs!$E$29)))</f>
        <v>6.13585908793433</v>
      </c>
      <c r="T1153" s="68" t="n">
        <f aca="false">Inputs!$E$9*(1+E1153)+Inputs!$E$5*C1153*(Inputs!$E$11*Inputs!$E$14*(G1153*I1153/Inputs!$E$16+(1-G1153))*K1153+Inputs!$E$23*M1153)*(1+O1153)+Inputs!$E$5*(Q1153+S1153)</f>
        <v>6176.42746058256</v>
      </c>
    </row>
    <row r="1154" customFormat="false" ht="15" hidden="false" customHeight="false" outlineLevel="0" collapsed="false">
      <c r="A1154" s="1" t="n">
        <v>1150</v>
      </c>
      <c r="B1154" s="81" t="n">
        <f aca="true">RAND()</f>
        <v>0.0244462558722547</v>
      </c>
      <c r="C1154" s="82" t="n">
        <f aca="false">ROUND(IF(B1154&lt;(Inputs!$E$8-Inputs!$D$8)/(Inputs!$F$8-Inputs!$D$8),Inputs!$D$8+SQRT(B1154*(Inputs!$F$8-Inputs!$D$8)*(Inputs!$E$8-Inputs!$D$8)),Inputs!$F$8-SQRT((1-B1154)*(Inputs!$F$8-Inputs!$D$8)*(Inputs!$F$8-Inputs!$E$8))),0)</f>
        <v>21</v>
      </c>
      <c r="D1154" s="81" t="n">
        <f aca="true">RAND()</f>
        <v>0.712043851558358</v>
      </c>
      <c r="E1154" s="83" t="n">
        <f aca="false">IF(D1154&lt;(Inputs!$E$10-Inputs!$D$10)/(Inputs!$F$10-Inputs!$D$10),Inputs!$D$10+SQRT(D1154*(Inputs!$F$10-Inputs!$D$10)*(Inputs!$E$10-Inputs!$D$10)),Inputs!$F$10-SQRT((1-D1154)*(Inputs!$F$10-Inputs!$D$10)*(Inputs!$F$10-Inputs!$E$10)))</f>
        <v>0.107055476475215</v>
      </c>
      <c r="F1154" s="81" t="n">
        <f aca="true">RAND()</f>
        <v>0.710821662656868</v>
      </c>
      <c r="G1154" s="83" t="n">
        <f aca="false">IF(F1154&lt;(Inputs!$E$15-Inputs!$D$15)/(Inputs!$F$15-Inputs!$D$15),Inputs!$D$15+SQRT(F1154*(Inputs!$F$15-Inputs!$D$15)*(Inputs!$E$15-Inputs!$D$15)),Inputs!$F$15-SQRT((1-F1154)*(Inputs!$F$15-Inputs!$D$15)*(Inputs!$F$15-Inputs!$E$15)))</f>
        <v>0.723950235063725</v>
      </c>
      <c r="H1154" s="81" t="n">
        <f aca="true">RAND()</f>
        <v>0.609374159482682</v>
      </c>
      <c r="I1154" s="82" t="n">
        <f aca="false">ROUND(IF(H1154&lt;(Inputs!$E$17-Inputs!$D$17)/(Inputs!$F$17-Inputs!$D$17),Inputs!$D$17+SQRT(H1154*(Inputs!$F$17-Inputs!$D$17)*(Inputs!$E$17-Inputs!$D$17)),Inputs!$F$17-SQRT((1-H1154)*(Inputs!$F$17-Inputs!$D$17)*(Inputs!$F$17-Inputs!$E$17))),0)</f>
        <v>107</v>
      </c>
      <c r="J1154" s="81" t="n">
        <f aca="true">RAND()</f>
        <v>0.00752710256854257</v>
      </c>
      <c r="K1154" s="83" t="n">
        <f aca="false">IF(J1154&lt;(Inputs!$E$18-Inputs!$D$18)/(Inputs!$F$18-Inputs!$D$18),Inputs!$D$18+SQRT(J1154*(Inputs!$F$18-Inputs!$D$18)*(Inputs!$E$18-Inputs!$D$18)),Inputs!$F$18-SQRT((1-J1154)*(Inputs!$F$18-Inputs!$D$18)*(Inputs!$F$18-Inputs!$E$18)))</f>
        <v>0.916231099466733</v>
      </c>
      <c r="L1154" s="81" t="n">
        <f aca="true">RAND()</f>
        <v>0.0991641378480558</v>
      </c>
      <c r="M1154" s="83" t="n">
        <f aca="false">IF(L1154&lt;(Inputs!$E$24-Inputs!$D$24)/(Inputs!$F$24-Inputs!$D$24),Inputs!$D$24+SQRT(L1154*(Inputs!$F$24-Inputs!$D$24)*(Inputs!$E$24-Inputs!$D$24)),Inputs!$F$24-SQRT((1-L1154)*(Inputs!$F$24-Inputs!$D$24)*(Inputs!$F$24-Inputs!$E$24)))</f>
        <v>0.709085730238958</v>
      </c>
      <c r="N1154" s="81" t="n">
        <f aca="true">RAND()</f>
        <v>0.138800380761958</v>
      </c>
      <c r="O1154" s="83" t="n">
        <f aca="false">IF(N1154&lt;(Inputs!$E$26-Inputs!$D$26)/(Inputs!$F$26-Inputs!$D$26),Inputs!$D$26+SQRT(N1154*(Inputs!$F$26-Inputs!$D$26)*(Inputs!$E$26-Inputs!$D$26)),Inputs!$F$26-SQRT((1-N1154)*(Inputs!$F$26-Inputs!$D$26)*(Inputs!$F$26-Inputs!$E$26)))</f>
        <v>0.451974943193902</v>
      </c>
      <c r="P1154" s="81" t="n">
        <f aca="true">RAND()</f>
        <v>0.926901803360335</v>
      </c>
      <c r="Q1154" s="82" t="n">
        <f aca="false">IF(P1154&lt;(Inputs!$E$27-Inputs!$D$27)/(Inputs!$F$27-Inputs!$D$27),Inputs!$D$27+SQRT(P1154*(Inputs!$F$27-Inputs!$D$27)*(Inputs!$E$27-Inputs!$D$27)),Inputs!$F$27-SQRT((1-P1154)*(Inputs!$F$27-Inputs!$D$27)*(Inputs!$F$27-Inputs!$E$27)))</f>
        <v>126.585549871981</v>
      </c>
      <c r="R1154" s="81" t="n">
        <f aca="true">RAND()</f>
        <v>0.972087994914927</v>
      </c>
      <c r="S1154" s="82" t="n">
        <f aca="false">IF(R1154&lt;(Inputs!$E$29-Inputs!$D$29)/(Inputs!$F$29-Inputs!$D$29),Inputs!$D$29+SQRT(R1154*(Inputs!$F$29-Inputs!$D$29)*(Inputs!$E$29-Inputs!$D$29)),Inputs!$F$29-SQRT((1-R1154)*(Inputs!$F$29-Inputs!$D$29)*(Inputs!$F$29-Inputs!$E$29)))</f>
        <v>13.0951218776364</v>
      </c>
      <c r="T1154" s="68" t="n">
        <f aca="false">Inputs!$E$9*(1+E1154)+Inputs!$E$5*C1154*(Inputs!$E$11*Inputs!$E$14*(G1154*I1154/Inputs!$E$16+(1-G1154))*K1154+Inputs!$E$23*M1154)*(1+O1154)+Inputs!$E$5*(Q1154+S1154)</f>
        <v>5399.55037024884</v>
      </c>
    </row>
    <row r="1155" customFormat="false" ht="15" hidden="false" customHeight="false" outlineLevel="0" collapsed="false">
      <c r="A1155" s="1" t="n">
        <v>1151</v>
      </c>
      <c r="B1155" s="81" t="n">
        <f aca="true">RAND()</f>
        <v>0.813403352932627</v>
      </c>
      <c r="C1155" s="82" t="n">
        <f aca="false">ROUND(IF(B1155&lt;(Inputs!$E$8-Inputs!$D$8)/(Inputs!$F$8-Inputs!$D$8),Inputs!$D$8+SQRT(B1155*(Inputs!$F$8-Inputs!$D$8)*(Inputs!$E$8-Inputs!$D$8)),Inputs!$F$8-SQRT((1-B1155)*(Inputs!$F$8-Inputs!$D$8)*(Inputs!$F$8-Inputs!$E$8))),0)</f>
        <v>27</v>
      </c>
      <c r="D1155" s="81" t="n">
        <f aca="true">RAND()</f>
        <v>0.0145719804505325</v>
      </c>
      <c r="E1155" s="83" t="n">
        <f aca="false">IF(D1155&lt;(Inputs!$E$10-Inputs!$D$10)/(Inputs!$F$10-Inputs!$D$10),Inputs!$D$10+SQRT(D1155*(Inputs!$F$10-Inputs!$D$10)*(Inputs!$E$10-Inputs!$D$10)),Inputs!$F$10-SQRT((1-D1155)*(Inputs!$F$10-Inputs!$D$10)*(Inputs!$F$10-Inputs!$E$10)))</f>
        <v>0.0120714458332598</v>
      </c>
      <c r="F1155" s="81" t="n">
        <f aca="true">RAND()</f>
        <v>0.212050738087737</v>
      </c>
      <c r="G1155" s="83" t="n">
        <f aca="false">IF(F1155&lt;(Inputs!$E$15-Inputs!$D$15)/(Inputs!$F$15-Inputs!$D$15),Inputs!$D$15+SQRT(F1155*(Inputs!$F$15-Inputs!$D$15)*(Inputs!$E$15-Inputs!$D$15)),Inputs!$F$15-SQRT((1-F1155)*(Inputs!$F$15-Inputs!$D$15)*(Inputs!$F$15-Inputs!$E$15)))</f>
        <v>0.66512307395812</v>
      </c>
      <c r="H1155" s="81" t="n">
        <f aca="true">RAND()</f>
        <v>0.998391592499472</v>
      </c>
      <c r="I1155" s="82" t="n">
        <f aca="false">ROUND(IF(H1155&lt;(Inputs!$E$17-Inputs!$D$17)/(Inputs!$F$17-Inputs!$D$17),Inputs!$D$17+SQRT(H1155*(Inputs!$F$17-Inputs!$D$17)*(Inputs!$E$17-Inputs!$D$17)),Inputs!$F$17-SQRT((1-H1155)*(Inputs!$F$17-Inputs!$D$17)*(Inputs!$F$17-Inputs!$E$17))),0)</f>
        <v>115</v>
      </c>
      <c r="J1155" s="81" t="n">
        <f aca="true">RAND()</f>
        <v>0.173377899677907</v>
      </c>
      <c r="K1155" s="83" t="n">
        <f aca="false">IF(J1155&lt;(Inputs!$E$18-Inputs!$D$18)/(Inputs!$F$18-Inputs!$D$18),Inputs!$D$18+SQRT(J1155*(Inputs!$F$18-Inputs!$D$18)*(Inputs!$E$18-Inputs!$D$18)),Inputs!$F$18-SQRT((1-J1155)*(Inputs!$F$18-Inputs!$D$18)*(Inputs!$F$18-Inputs!$E$18)))</f>
        <v>0.977898822126697</v>
      </c>
      <c r="L1155" s="81" t="n">
        <f aca="true">RAND()</f>
        <v>0.375290506658168</v>
      </c>
      <c r="M1155" s="83" t="n">
        <f aca="false">IF(L1155&lt;(Inputs!$E$24-Inputs!$D$24)/(Inputs!$F$24-Inputs!$D$24),Inputs!$D$24+SQRT(L1155*(Inputs!$F$24-Inputs!$D$24)*(Inputs!$E$24-Inputs!$D$24)),Inputs!$F$24-SQRT((1-L1155)*(Inputs!$F$24-Inputs!$D$24)*(Inputs!$F$24-Inputs!$E$24)))</f>
        <v>0.812791686037038</v>
      </c>
      <c r="N1155" s="81" t="n">
        <f aca="true">RAND()</f>
        <v>0.0824738814931927</v>
      </c>
      <c r="O1155" s="83" t="n">
        <f aca="false">IF(N1155&lt;(Inputs!$E$26-Inputs!$D$26)/(Inputs!$F$26-Inputs!$D$26),Inputs!$D$26+SQRT(N1155*(Inputs!$F$26-Inputs!$D$26)*(Inputs!$E$26-Inputs!$D$26)),Inputs!$F$26-SQRT((1-N1155)*(Inputs!$F$26-Inputs!$D$26)*(Inputs!$F$26-Inputs!$E$26)))</f>
        <v>0.41714799989956</v>
      </c>
      <c r="P1155" s="81" t="n">
        <f aca="true">RAND()</f>
        <v>0.403386423442646</v>
      </c>
      <c r="Q1155" s="82" t="n">
        <f aca="false">IF(P1155&lt;(Inputs!$E$27-Inputs!$D$27)/(Inputs!$F$27-Inputs!$D$27),Inputs!$D$27+SQRT(P1155*(Inputs!$F$27-Inputs!$D$27)*(Inputs!$E$27-Inputs!$D$27)),Inputs!$F$27-SQRT((1-P1155)*(Inputs!$F$27-Inputs!$D$27)*(Inputs!$F$27-Inputs!$E$27)))</f>
        <v>83.1075353707149</v>
      </c>
      <c r="R1155" s="81" t="n">
        <f aca="true">RAND()</f>
        <v>0.481228534233336</v>
      </c>
      <c r="S1155" s="82" t="n">
        <f aca="false">IF(R1155&lt;(Inputs!$E$29-Inputs!$D$29)/(Inputs!$F$29-Inputs!$D$29),Inputs!$D$29+SQRT(R1155*(Inputs!$F$29-Inputs!$D$29)*(Inputs!$E$29-Inputs!$D$29)),Inputs!$F$29-SQRT((1-R1155)*(Inputs!$F$29-Inputs!$D$29)*(Inputs!$F$29-Inputs!$E$29)))</f>
        <v>6.7877962428063</v>
      </c>
      <c r="T1155" s="68" t="n">
        <f aca="false">Inputs!$E$9*(1+E1155)+Inputs!$E$5*C1155*(Inputs!$E$11*Inputs!$E$14*(G1155*I1155/Inputs!$E$16+(1-G1155))*K1155+Inputs!$E$23*M1155)*(1+O1155)+Inputs!$E$5*(Q1155+S1155)</f>
        <v>5941.1835014322</v>
      </c>
    </row>
    <row r="1156" customFormat="false" ht="15" hidden="false" customHeight="false" outlineLevel="0" collapsed="false">
      <c r="A1156" s="1" t="n">
        <v>1152</v>
      </c>
      <c r="B1156" s="81" t="n">
        <f aca="true">RAND()</f>
        <v>0.78197614197057</v>
      </c>
      <c r="C1156" s="82" t="n">
        <f aca="false">ROUND(IF(B1156&lt;(Inputs!$E$8-Inputs!$D$8)/(Inputs!$F$8-Inputs!$D$8),Inputs!$D$8+SQRT(B1156*(Inputs!$F$8-Inputs!$D$8)*(Inputs!$E$8-Inputs!$D$8)),Inputs!$F$8-SQRT((1-B1156)*(Inputs!$F$8-Inputs!$D$8)*(Inputs!$F$8-Inputs!$E$8))),0)</f>
        <v>27</v>
      </c>
      <c r="D1156" s="81" t="n">
        <f aca="true">RAND()</f>
        <v>0.410157472509746</v>
      </c>
      <c r="E1156" s="83" t="n">
        <f aca="false">IF(D1156&lt;(Inputs!$E$10-Inputs!$D$10)/(Inputs!$F$10-Inputs!$D$10),Inputs!$D$10+SQRT(D1156*(Inputs!$F$10-Inputs!$D$10)*(Inputs!$E$10-Inputs!$D$10)),Inputs!$F$10-SQRT((1-D1156)*(Inputs!$F$10-Inputs!$D$10)*(Inputs!$F$10-Inputs!$E$10)))</f>
        <v>0.0669764087663108</v>
      </c>
      <c r="F1156" s="81" t="n">
        <f aca="true">RAND()</f>
        <v>0.216281298677134</v>
      </c>
      <c r="G1156" s="83" t="n">
        <f aca="false">IF(F1156&lt;(Inputs!$E$15-Inputs!$D$15)/(Inputs!$F$15-Inputs!$D$15),Inputs!$D$15+SQRT(F1156*(Inputs!$F$15-Inputs!$D$15)*(Inputs!$E$15-Inputs!$D$15)),Inputs!$F$15-SQRT((1-F1156)*(Inputs!$F$15-Inputs!$D$15)*(Inputs!$F$15-Inputs!$E$15)))</f>
        <v>0.665769491206354</v>
      </c>
      <c r="H1156" s="81" t="n">
        <f aca="true">RAND()</f>
        <v>0.362319259987776</v>
      </c>
      <c r="I1156" s="82" t="n">
        <f aca="false">ROUND(IF(H1156&lt;(Inputs!$E$17-Inputs!$D$17)/(Inputs!$F$17-Inputs!$D$17),Inputs!$D$17+SQRT(H1156*(Inputs!$F$17-Inputs!$D$17)*(Inputs!$E$17-Inputs!$D$17)),Inputs!$F$17-SQRT((1-H1156)*(Inputs!$F$17-Inputs!$D$17)*(Inputs!$F$17-Inputs!$E$17))),0)</f>
        <v>105</v>
      </c>
      <c r="J1156" s="81" t="n">
        <f aca="true">RAND()</f>
        <v>0.255385550270486</v>
      </c>
      <c r="K1156" s="83" t="n">
        <f aca="false">IF(J1156&lt;(Inputs!$E$18-Inputs!$D$18)/(Inputs!$F$18-Inputs!$D$18),Inputs!$D$18+SQRT(J1156*(Inputs!$F$18-Inputs!$D$18)*(Inputs!$E$18-Inputs!$D$18)),Inputs!$F$18-SQRT((1-J1156)*(Inputs!$F$18-Inputs!$D$18)*(Inputs!$F$18-Inputs!$E$18)))</f>
        <v>0.994543610357692</v>
      </c>
      <c r="L1156" s="81" t="n">
        <f aca="true">RAND()</f>
        <v>0.125906075712372</v>
      </c>
      <c r="M1156" s="83" t="n">
        <f aca="false">IF(L1156&lt;(Inputs!$E$24-Inputs!$D$24)/(Inputs!$F$24-Inputs!$D$24),Inputs!$D$24+SQRT(L1156*(Inputs!$F$24-Inputs!$D$24)*(Inputs!$E$24-Inputs!$D$24)),Inputs!$F$24-SQRT((1-L1156)*(Inputs!$F$24-Inputs!$D$24)*(Inputs!$F$24-Inputs!$E$24)))</f>
        <v>0.722917570287915</v>
      </c>
      <c r="N1156" s="81" t="n">
        <f aca="true">RAND()</f>
        <v>0.847216063643752</v>
      </c>
      <c r="O1156" s="83" t="n">
        <f aca="false">IF(N1156&lt;(Inputs!$E$26-Inputs!$D$26)/(Inputs!$F$26-Inputs!$D$26),Inputs!$D$26+SQRT(N1156*(Inputs!$F$26-Inputs!$D$26)*(Inputs!$E$26-Inputs!$D$26)),Inputs!$F$26-SQRT((1-N1156)*(Inputs!$F$26-Inputs!$D$26)*(Inputs!$F$26-Inputs!$E$26)))</f>
        <v>0.693946323413199</v>
      </c>
      <c r="P1156" s="81" t="n">
        <f aca="true">RAND()</f>
        <v>0.483236718847133</v>
      </c>
      <c r="Q1156" s="82" t="n">
        <f aca="false">IF(P1156&lt;(Inputs!$E$27-Inputs!$D$27)/(Inputs!$F$27-Inputs!$D$27),Inputs!$D$27+SQRT(P1156*(Inputs!$F$27-Inputs!$D$27)*(Inputs!$E$27-Inputs!$D$27)),Inputs!$F$27-SQRT((1-P1156)*(Inputs!$F$27-Inputs!$D$27)*(Inputs!$F$27-Inputs!$E$27)))</f>
        <v>87.7446820854113</v>
      </c>
      <c r="R1156" s="81" t="n">
        <f aca="true">RAND()</f>
        <v>0.23083075563146</v>
      </c>
      <c r="S1156" s="82" t="n">
        <f aca="false">IF(R1156&lt;(Inputs!$E$29-Inputs!$D$29)/(Inputs!$F$29-Inputs!$D$29),Inputs!$D$29+SQRT(R1156*(Inputs!$F$29-Inputs!$D$29)*(Inputs!$E$29-Inputs!$D$29)),Inputs!$F$29-SQRT((1-R1156)*(Inputs!$F$29-Inputs!$D$29)*(Inputs!$F$29-Inputs!$E$29)))</f>
        <v>5.00039991960128</v>
      </c>
      <c r="T1156" s="68" t="n">
        <f aca="false">Inputs!$E$9*(1+E1156)+Inputs!$E$5*C1156*(Inputs!$E$11*Inputs!$E$14*(G1156*I1156/Inputs!$E$16+(1-G1156))*K1156+Inputs!$E$23*M1156)*(1+O1156)+Inputs!$E$5*(Q1156+S1156)</f>
        <v>6484.37722519961</v>
      </c>
    </row>
    <row r="1157" customFormat="false" ht="15" hidden="false" customHeight="false" outlineLevel="0" collapsed="false">
      <c r="A1157" s="1" t="n">
        <v>1153</v>
      </c>
      <c r="B1157" s="81" t="n">
        <f aca="true">RAND()</f>
        <v>0.898254666853687</v>
      </c>
      <c r="C1157" s="82" t="n">
        <f aca="false">ROUND(IF(B1157&lt;(Inputs!$E$8-Inputs!$D$8)/(Inputs!$F$8-Inputs!$D$8),Inputs!$D$8+SQRT(B1157*(Inputs!$F$8-Inputs!$D$8)*(Inputs!$E$8-Inputs!$D$8)),Inputs!$F$8-SQRT((1-B1157)*(Inputs!$F$8-Inputs!$D$8)*(Inputs!$F$8-Inputs!$E$8))),0)</f>
        <v>28</v>
      </c>
      <c r="D1157" s="81" t="n">
        <f aca="true">RAND()</f>
        <v>0.796724360539849</v>
      </c>
      <c r="E1157" s="83" t="n">
        <f aca="false">IF(D1157&lt;(Inputs!$E$10-Inputs!$D$10)/(Inputs!$F$10-Inputs!$D$10),Inputs!$D$10+SQRT(D1157*(Inputs!$F$10-Inputs!$D$10)*(Inputs!$E$10-Inputs!$D$10)),Inputs!$F$10-SQRT((1-D1157)*(Inputs!$F$10-Inputs!$D$10)*(Inputs!$F$10-Inputs!$E$10)))</f>
        <v>0.121908584442306</v>
      </c>
      <c r="F1157" s="81" t="n">
        <f aca="true">RAND()</f>
        <v>0.369157389986281</v>
      </c>
      <c r="G1157" s="83" t="n">
        <f aca="false">IF(F1157&lt;(Inputs!$E$15-Inputs!$D$15)/(Inputs!$F$15-Inputs!$D$15),Inputs!$D$15+SQRT(F1157*(Inputs!$F$15-Inputs!$D$15)*(Inputs!$E$15-Inputs!$D$15)),Inputs!$F$15-SQRT((1-F1157)*(Inputs!$F$15-Inputs!$D$15)*(Inputs!$F$15-Inputs!$E$15)))</f>
        <v>0.685925245415568</v>
      </c>
      <c r="H1157" s="81" t="n">
        <f aca="true">RAND()</f>
        <v>0.702705004386085</v>
      </c>
      <c r="I1157" s="82" t="n">
        <f aca="false">ROUND(IF(H1157&lt;(Inputs!$E$17-Inputs!$D$17)/(Inputs!$F$17-Inputs!$D$17),Inputs!$D$17+SQRT(H1157*(Inputs!$F$17-Inputs!$D$17)*(Inputs!$E$17-Inputs!$D$17)),Inputs!$F$17-SQRT((1-H1157)*(Inputs!$F$17-Inputs!$D$17)*(Inputs!$F$17-Inputs!$E$17))),0)</f>
        <v>108</v>
      </c>
      <c r="J1157" s="81" t="n">
        <f aca="true">RAND()</f>
        <v>0.486387908962156</v>
      </c>
      <c r="K1157" s="83" t="n">
        <f aca="false">IF(J1157&lt;(Inputs!$E$18-Inputs!$D$18)/(Inputs!$F$18-Inputs!$D$18),Inputs!$D$18+SQRT(J1157*(Inputs!$F$18-Inputs!$D$18)*(Inputs!$E$18-Inputs!$D$18)),Inputs!$F$18-SQRT((1-J1157)*(Inputs!$F$18-Inputs!$D$18)*(Inputs!$F$18-Inputs!$E$18)))</f>
        <v>1.03800693887344</v>
      </c>
      <c r="L1157" s="81" t="n">
        <f aca="true">RAND()</f>
        <v>0.534984479341274</v>
      </c>
      <c r="M1157" s="83" t="n">
        <f aca="false">IF(L1157&lt;(Inputs!$E$24-Inputs!$D$24)/(Inputs!$F$24-Inputs!$D$24),Inputs!$D$24+SQRT(L1157*(Inputs!$F$24-Inputs!$D$24)*(Inputs!$E$24-Inputs!$D$24)),Inputs!$F$24-SQRT((1-L1157)*(Inputs!$F$24-Inputs!$D$24)*(Inputs!$F$24-Inputs!$E$24)))</f>
        <v>0.865928563091523</v>
      </c>
      <c r="N1157" s="81" t="n">
        <f aca="true">RAND()</f>
        <v>0.879070386568137</v>
      </c>
      <c r="O1157" s="83" t="n">
        <f aca="false">IF(N1157&lt;(Inputs!$E$26-Inputs!$D$26)/(Inputs!$F$26-Inputs!$D$26),Inputs!$D$26+SQRT(N1157*(Inputs!$F$26-Inputs!$D$26)*(Inputs!$E$26-Inputs!$D$26)),Inputs!$F$26-SQRT((1-N1157)*(Inputs!$F$26-Inputs!$D$26)*(Inputs!$F$26-Inputs!$E$26)))</f>
        <v>0.707854202945836</v>
      </c>
      <c r="P1157" s="81" t="n">
        <f aca="true">RAND()</f>
        <v>0.895348776322436</v>
      </c>
      <c r="Q1157" s="82" t="n">
        <f aca="false">IF(P1157&lt;(Inputs!$E$27-Inputs!$D$27)/(Inputs!$F$27-Inputs!$D$27),Inputs!$D$27+SQRT(P1157*(Inputs!$F$27-Inputs!$D$27)*(Inputs!$E$27-Inputs!$D$27)),Inputs!$F$27-SQRT((1-P1157)*(Inputs!$F$27-Inputs!$D$27)*(Inputs!$F$27-Inputs!$E$27)))</f>
        <v>121.984215563691</v>
      </c>
      <c r="R1157" s="81" t="n">
        <f aca="true">RAND()</f>
        <v>0.844044168020054</v>
      </c>
      <c r="S1157" s="82" t="n">
        <f aca="false">IF(R1157&lt;(Inputs!$E$29-Inputs!$D$29)/(Inputs!$F$29-Inputs!$D$29),Inputs!$D$29+SQRT(R1157*(Inputs!$F$29-Inputs!$D$29)*(Inputs!$E$29-Inputs!$D$29)),Inputs!$F$29-SQRT((1-R1157)*(Inputs!$F$29-Inputs!$D$29)*(Inputs!$F$29-Inputs!$E$29)))</f>
        <v>10.4973054559083</v>
      </c>
      <c r="T1157" s="68" t="n">
        <f aca="false">Inputs!$E$9*(1+E1157)+Inputs!$E$5*C1157*(Inputs!$E$11*Inputs!$E$14*(G1157*I1157/Inputs!$E$16+(1-G1157))*K1157+Inputs!$E$23*M1157)*(1+O1157)+Inputs!$E$5*(Q1157+S1157)</f>
        <v>7338.23013421213</v>
      </c>
    </row>
    <row r="1158" customFormat="false" ht="15" hidden="false" customHeight="false" outlineLevel="0" collapsed="false">
      <c r="A1158" s="1" t="n">
        <v>1154</v>
      </c>
      <c r="B1158" s="81" t="n">
        <f aca="true">RAND()</f>
        <v>0.676501520582184</v>
      </c>
      <c r="C1158" s="82" t="n">
        <f aca="false">ROUND(IF(B1158&lt;(Inputs!$E$8-Inputs!$D$8)/(Inputs!$F$8-Inputs!$D$8),Inputs!$D$8+SQRT(B1158*(Inputs!$F$8-Inputs!$D$8)*(Inputs!$E$8-Inputs!$D$8)),Inputs!$F$8-SQRT((1-B1158)*(Inputs!$F$8-Inputs!$D$8)*(Inputs!$F$8-Inputs!$E$8))),0)</f>
        <v>26</v>
      </c>
      <c r="D1158" s="81" t="n">
        <f aca="true">RAND()</f>
        <v>0.630948161108214</v>
      </c>
      <c r="E1158" s="83" t="n">
        <f aca="false">IF(D1158&lt;(Inputs!$E$10-Inputs!$D$10)/(Inputs!$F$10-Inputs!$D$10),Inputs!$D$10+SQRT(D1158*(Inputs!$F$10-Inputs!$D$10)*(Inputs!$E$10-Inputs!$D$10)),Inputs!$F$10-SQRT((1-D1158)*(Inputs!$F$10-Inputs!$D$10)*(Inputs!$F$10-Inputs!$E$10)))</f>
        <v>0.094778542270345</v>
      </c>
      <c r="F1158" s="81" t="n">
        <f aca="true">RAND()</f>
        <v>0.178599286330535</v>
      </c>
      <c r="G1158" s="83" t="n">
        <f aca="false">IF(F1158&lt;(Inputs!$E$15-Inputs!$D$15)/(Inputs!$F$15-Inputs!$D$15),Inputs!$D$15+SQRT(F1158*(Inputs!$F$15-Inputs!$D$15)*(Inputs!$E$15-Inputs!$D$15)),Inputs!$F$15-SQRT((1-F1158)*(Inputs!$F$15-Inputs!$D$15)*(Inputs!$F$15-Inputs!$E$15)))</f>
        <v>0.659766091779626</v>
      </c>
      <c r="H1158" s="81" t="n">
        <f aca="true">RAND()</f>
        <v>0.418528069980926</v>
      </c>
      <c r="I1158" s="82" t="n">
        <f aca="false">ROUND(IF(H1158&lt;(Inputs!$E$17-Inputs!$D$17)/(Inputs!$F$17-Inputs!$D$17),Inputs!$D$17+SQRT(H1158*(Inputs!$F$17-Inputs!$D$17)*(Inputs!$E$17-Inputs!$D$17)),Inputs!$F$17-SQRT((1-H1158)*(Inputs!$F$17-Inputs!$D$17)*(Inputs!$F$17-Inputs!$E$17))),0)</f>
        <v>106</v>
      </c>
      <c r="J1158" s="81" t="n">
        <f aca="true">RAND()</f>
        <v>0.630621832464223</v>
      </c>
      <c r="K1158" s="83" t="n">
        <f aca="false">IF(J1158&lt;(Inputs!$E$18-Inputs!$D$18)/(Inputs!$F$18-Inputs!$D$18),Inputs!$D$18+SQRT(J1158*(Inputs!$F$18-Inputs!$D$18)*(Inputs!$E$18-Inputs!$D$18)),Inputs!$F$18-SQRT((1-J1158)*(Inputs!$F$18-Inputs!$D$18)*(Inputs!$F$18-Inputs!$E$18)))</f>
        <v>1.0702207196049</v>
      </c>
      <c r="L1158" s="81" t="n">
        <f aca="true">RAND()</f>
        <v>0.00783758035480772</v>
      </c>
      <c r="M1158" s="83" t="n">
        <f aca="false">IF(L1158&lt;(Inputs!$E$24-Inputs!$D$24)/(Inputs!$F$24-Inputs!$D$24),Inputs!$D$24+SQRT(L1158*(Inputs!$F$24-Inputs!$D$24)*(Inputs!$E$24-Inputs!$D$24)),Inputs!$F$24-SQRT((1-L1158)*(Inputs!$F$24-Inputs!$D$24)*(Inputs!$F$24-Inputs!$E$24)))</f>
        <v>0.630667729661273</v>
      </c>
      <c r="N1158" s="81" t="n">
        <f aca="true">RAND()</f>
        <v>0.280926561006261</v>
      </c>
      <c r="O1158" s="83" t="n">
        <f aca="false">IF(N1158&lt;(Inputs!$E$26-Inputs!$D$26)/(Inputs!$F$26-Inputs!$D$26),Inputs!$D$26+SQRT(N1158*(Inputs!$F$26-Inputs!$D$26)*(Inputs!$E$26-Inputs!$D$26)),Inputs!$F$26-SQRT((1-N1158)*(Inputs!$F$26-Inputs!$D$26)*(Inputs!$F$26-Inputs!$E$26)))</f>
        <v>0.516208648650885</v>
      </c>
      <c r="P1158" s="81" t="n">
        <f aca="true">RAND()</f>
        <v>0.185221975251073</v>
      </c>
      <c r="Q1158" s="82" t="n">
        <f aca="false">IF(P1158&lt;(Inputs!$E$27-Inputs!$D$27)/(Inputs!$F$27-Inputs!$D$27),Inputs!$D$27+SQRT(P1158*(Inputs!$F$27-Inputs!$D$27)*(Inputs!$E$27-Inputs!$D$27)),Inputs!$F$27-SQRT((1-P1158)*(Inputs!$F$27-Inputs!$D$27)*(Inputs!$F$27-Inputs!$E$27)))</f>
        <v>71.5187113491418</v>
      </c>
      <c r="R1158" s="81" t="n">
        <f aca="true">RAND()</f>
        <v>0.690471497303261</v>
      </c>
      <c r="S1158" s="82" t="n">
        <f aca="false">IF(R1158&lt;(Inputs!$E$29-Inputs!$D$29)/(Inputs!$F$29-Inputs!$D$29),Inputs!$D$29+SQRT(R1158*(Inputs!$F$29-Inputs!$D$29)*(Inputs!$E$29-Inputs!$D$29)),Inputs!$F$29-SQRT((1-R1158)*(Inputs!$F$29-Inputs!$D$29)*(Inputs!$F$29-Inputs!$E$29)))</f>
        <v>8.65660143530488</v>
      </c>
      <c r="T1158" s="68" t="n">
        <f aca="false">Inputs!$E$9*(1+E1158)+Inputs!$E$5*C1158*(Inputs!$E$11*Inputs!$E$14*(G1158*I1158/Inputs!$E$16+(1-G1158))*K1158+Inputs!$E$23*M1158)*(1+O1158)+Inputs!$E$5*(Q1158+S1158)</f>
        <v>6029.47451795314</v>
      </c>
    </row>
    <row r="1159" customFormat="false" ht="15" hidden="false" customHeight="false" outlineLevel="0" collapsed="false">
      <c r="A1159" s="1" t="n">
        <v>1155</v>
      </c>
      <c r="B1159" s="81" t="n">
        <f aca="true">RAND()</f>
        <v>0.56341438847116</v>
      </c>
      <c r="C1159" s="82" t="n">
        <f aca="false">ROUND(IF(B1159&lt;(Inputs!$E$8-Inputs!$D$8)/(Inputs!$F$8-Inputs!$D$8),Inputs!$D$8+SQRT(B1159*(Inputs!$F$8-Inputs!$D$8)*(Inputs!$E$8-Inputs!$D$8)),Inputs!$F$8-SQRT((1-B1159)*(Inputs!$F$8-Inputs!$D$8)*(Inputs!$F$8-Inputs!$E$8))),0)</f>
        <v>25</v>
      </c>
      <c r="D1159" s="81" t="n">
        <f aca="true">RAND()</f>
        <v>0.404602073446648</v>
      </c>
      <c r="E1159" s="83" t="n">
        <f aca="false">IF(D1159&lt;(Inputs!$E$10-Inputs!$D$10)/(Inputs!$F$10-Inputs!$D$10),Inputs!$D$10+SQRT(D1159*(Inputs!$F$10-Inputs!$D$10)*(Inputs!$E$10-Inputs!$D$10)),Inputs!$F$10-SQRT((1-D1159)*(Inputs!$F$10-Inputs!$D$10)*(Inputs!$F$10-Inputs!$E$10)))</f>
        <v>0.0663514392273507</v>
      </c>
      <c r="F1159" s="81" t="n">
        <f aca="true">RAND()</f>
        <v>0.0410063870173846</v>
      </c>
      <c r="G1159" s="83" t="n">
        <f aca="false">IF(F1159&lt;(Inputs!$E$15-Inputs!$D$15)/(Inputs!$F$15-Inputs!$D$15),Inputs!$D$15+SQRT(F1159*(Inputs!$F$15-Inputs!$D$15)*(Inputs!$E$15-Inputs!$D$15)),Inputs!$F$15-SQRT((1-F1159)*(Inputs!$F$15-Inputs!$D$15)*(Inputs!$F$15-Inputs!$E$15)))</f>
        <v>0.628637872482915</v>
      </c>
      <c r="H1159" s="81" t="n">
        <f aca="true">RAND()</f>
        <v>0.543279034691925</v>
      </c>
      <c r="I1159" s="82" t="n">
        <f aca="false">ROUND(IF(H1159&lt;(Inputs!$E$17-Inputs!$D$17)/(Inputs!$F$17-Inputs!$D$17),Inputs!$D$17+SQRT(H1159*(Inputs!$F$17-Inputs!$D$17)*(Inputs!$E$17-Inputs!$D$17)),Inputs!$F$17-SQRT((1-H1159)*(Inputs!$F$17-Inputs!$D$17)*(Inputs!$F$17-Inputs!$E$17))),0)</f>
        <v>107</v>
      </c>
      <c r="J1159" s="81" t="n">
        <f aca="true">RAND()</f>
        <v>0.536231581638896</v>
      </c>
      <c r="K1159" s="83" t="n">
        <f aca="false">IF(J1159&lt;(Inputs!$E$18-Inputs!$D$18)/(Inputs!$F$18-Inputs!$D$18),Inputs!$D$18+SQRT(J1159*(Inputs!$F$18-Inputs!$D$18)*(Inputs!$E$18-Inputs!$D$18)),Inputs!$F$18-SQRT((1-J1159)*(Inputs!$F$18-Inputs!$D$18)*(Inputs!$F$18-Inputs!$E$18)))</f>
        <v>1.04855587224593</v>
      </c>
      <c r="L1159" s="81" t="n">
        <f aca="true">RAND()</f>
        <v>0.623298219605376</v>
      </c>
      <c r="M1159" s="83" t="n">
        <f aca="false">IF(L1159&lt;(Inputs!$E$24-Inputs!$D$24)/(Inputs!$F$24-Inputs!$D$24),Inputs!$D$24+SQRT(L1159*(Inputs!$F$24-Inputs!$D$24)*(Inputs!$E$24-Inputs!$D$24)),Inputs!$F$24-SQRT((1-L1159)*(Inputs!$F$24-Inputs!$D$24)*(Inputs!$F$24-Inputs!$E$24)))</f>
        <v>0.899320058376503</v>
      </c>
      <c r="N1159" s="81" t="n">
        <f aca="true">RAND()</f>
        <v>0.158719287103132</v>
      </c>
      <c r="O1159" s="83" t="n">
        <f aca="false">IF(N1159&lt;(Inputs!$E$26-Inputs!$D$26)/(Inputs!$F$26-Inputs!$D$26),Inputs!$D$26+SQRT(N1159*(Inputs!$F$26-Inputs!$D$26)*(Inputs!$E$26-Inputs!$D$26)),Inputs!$F$26-SQRT((1-N1159)*(Inputs!$F$26-Inputs!$D$26)*(Inputs!$F$26-Inputs!$E$26)))</f>
        <v>0.462514274369857</v>
      </c>
      <c r="P1159" s="81" t="n">
        <f aca="true">RAND()</f>
        <v>0.469803246491836</v>
      </c>
      <c r="Q1159" s="82" t="n">
        <f aca="false">IF(P1159&lt;(Inputs!$E$27-Inputs!$D$27)/(Inputs!$F$27-Inputs!$D$27),Inputs!$D$27+SQRT(P1159*(Inputs!$F$27-Inputs!$D$27)*(Inputs!$E$27-Inputs!$D$27)),Inputs!$F$27-SQRT((1-P1159)*(Inputs!$F$27-Inputs!$D$27)*(Inputs!$F$27-Inputs!$E$27)))</f>
        <v>86.9406973451876</v>
      </c>
      <c r="R1159" s="81" t="n">
        <f aca="true">RAND()</f>
        <v>0.939955859826623</v>
      </c>
      <c r="S1159" s="82" t="n">
        <f aca="false">IF(R1159&lt;(Inputs!$E$29-Inputs!$D$29)/(Inputs!$F$29-Inputs!$D$29),Inputs!$D$29+SQRT(R1159*(Inputs!$F$29-Inputs!$D$29)*(Inputs!$E$29-Inputs!$D$29)),Inputs!$F$29-SQRT((1-R1159)*(Inputs!$F$29-Inputs!$D$29)*(Inputs!$F$29-Inputs!$E$29)))</f>
        <v>12.2061248734886</v>
      </c>
      <c r="T1159" s="68" t="n">
        <f aca="false">Inputs!$E$9*(1+E1159)+Inputs!$E$5*C1159*(Inputs!$E$11*Inputs!$E$14*(G1159*I1159/Inputs!$E$16+(1-G1159))*K1159+Inputs!$E$23*M1159)*(1+O1159)+Inputs!$E$5*(Q1159+S1159)</f>
        <v>6183.9509487317</v>
      </c>
    </row>
    <row r="1160" customFormat="false" ht="15" hidden="false" customHeight="false" outlineLevel="0" collapsed="false">
      <c r="A1160" s="1" t="n">
        <v>1156</v>
      </c>
      <c r="B1160" s="81" t="n">
        <f aca="true">RAND()</f>
        <v>0.573407745714233</v>
      </c>
      <c r="C1160" s="82" t="n">
        <f aca="false">ROUND(IF(B1160&lt;(Inputs!$E$8-Inputs!$D$8)/(Inputs!$F$8-Inputs!$D$8),Inputs!$D$8+SQRT(B1160*(Inputs!$F$8-Inputs!$D$8)*(Inputs!$E$8-Inputs!$D$8)),Inputs!$F$8-SQRT((1-B1160)*(Inputs!$F$8-Inputs!$D$8)*(Inputs!$F$8-Inputs!$E$8))),0)</f>
        <v>25</v>
      </c>
      <c r="D1160" s="81" t="n">
        <f aca="true">RAND()</f>
        <v>0.497044474031082</v>
      </c>
      <c r="E1160" s="83" t="n">
        <f aca="false">IF(D1160&lt;(Inputs!$E$10-Inputs!$D$10)/(Inputs!$F$10-Inputs!$D$10),Inputs!$D$10+SQRT(D1160*(Inputs!$F$10-Inputs!$D$10)*(Inputs!$E$10-Inputs!$D$10)),Inputs!$F$10-SQRT((1-D1160)*(Inputs!$F$10-Inputs!$D$10)*(Inputs!$F$10-Inputs!$E$10)))</f>
        <v>0.0771640696739446</v>
      </c>
      <c r="F1160" s="81" t="n">
        <f aca="true">RAND()</f>
        <v>0.749324719645753</v>
      </c>
      <c r="G1160" s="83" t="n">
        <f aca="false">IF(F1160&lt;(Inputs!$E$15-Inputs!$D$15)/(Inputs!$F$15-Inputs!$D$15),Inputs!$D$15+SQRT(F1160*(Inputs!$F$15-Inputs!$D$15)*(Inputs!$E$15-Inputs!$D$15)),Inputs!$F$15-SQRT((1-F1160)*(Inputs!$F$15-Inputs!$D$15)*(Inputs!$F$15-Inputs!$E$15)))</f>
        <v>0.7291938872195</v>
      </c>
      <c r="H1160" s="81" t="n">
        <f aca="true">RAND()</f>
        <v>0.927734894780037</v>
      </c>
      <c r="I1160" s="82" t="n">
        <f aca="false">ROUND(IF(H1160&lt;(Inputs!$E$17-Inputs!$D$17)/(Inputs!$F$17-Inputs!$D$17),Inputs!$D$17+SQRT(H1160*(Inputs!$F$17-Inputs!$D$17)*(Inputs!$E$17-Inputs!$D$17)),Inputs!$F$17-SQRT((1-H1160)*(Inputs!$F$17-Inputs!$D$17)*(Inputs!$F$17-Inputs!$E$17))),0)</f>
        <v>112</v>
      </c>
      <c r="J1160" s="81" t="n">
        <f aca="true">RAND()</f>
        <v>0.58876593687983</v>
      </c>
      <c r="K1160" s="83" t="n">
        <f aca="false">IF(J1160&lt;(Inputs!$E$18-Inputs!$D$18)/(Inputs!$F$18-Inputs!$D$18),Inputs!$D$18+SQRT(J1160*(Inputs!$F$18-Inputs!$D$18)*(Inputs!$E$18-Inputs!$D$18)),Inputs!$F$18-SQRT((1-J1160)*(Inputs!$F$18-Inputs!$D$18)*(Inputs!$F$18-Inputs!$E$18)))</f>
        <v>1.06030819595192</v>
      </c>
      <c r="L1160" s="81" t="n">
        <f aca="true">RAND()</f>
        <v>0.766981776870822</v>
      </c>
      <c r="M1160" s="83" t="n">
        <f aca="false">IF(L1160&lt;(Inputs!$E$24-Inputs!$D$24)/(Inputs!$F$24-Inputs!$D$24),Inputs!$D$24+SQRT(L1160*(Inputs!$F$24-Inputs!$D$24)*(Inputs!$E$24-Inputs!$D$24)),Inputs!$F$24-SQRT((1-L1160)*(Inputs!$F$24-Inputs!$D$24)*(Inputs!$F$24-Inputs!$E$24)))</f>
        <v>0.963516652698329</v>
      </c>
      <c r="N1160" s="81" t="n">
        <f aca="true">RAND()</f>
        <v>0.0671177480391091</v>
      </c>
      <c r="O1160" s="83" t="n">
        <f aca="false">IF(N1160&lt;(Inputs!$E$26-Inputs!$D$26)/(Inputs!$F$26-Inputs!$D$26),Inputs!$D$26+SQRT(N1160*(Inputs!$F$26-Inputs!$D$26)*(Inputs!$E$26-Inputs!$D$26)),Inputs!$F$26-SQRT((1-N1160)*(Inputs!$F$26-Inputs!$D$26)*(Inputs!$F$26-Inputs!$E$26)))</f>
        <v>0.405680619196273</v>
      </c>
      <c r="P1160" s="81" t="n">
        <f aca="true">RAND()</f>
        <v>0.631392907304934</v>
      </c>
      <c r="Q1160" s="82" t="n">
        <f aca="false">IF(P1160&lt;(Inputs!$E$27-Inputs!$D$27)/(Inputs!$F$27-Inputs!$D$27),Inputs!$D$27+SQRT(P1160*(Inputs!$F$27-Inputs!$D$27)*(Inputs!$E$27-Inputs!$D$27)),Inputs!$F$27-SQRT((1-P1160)*(Inputs!$F$27-Inputs!$D$27)*(Inputs!$F$27-Inputs!$E$27)))</f>
        <v>97.4209814164148</v>
      </c>
      <c r="R1160" s="81" t="n">
        <f aca="true">RAND()</f>
        <v>0.716354983426819</v>
      </c>
      <c r="S1160" s="82" t="n">
        <f aca="false">IF(R1160&lt;(Inputs!$E$29-Inputs!$D$29)/(Inputs!$F$29-Inputs!$D$29),Inputs!$D$29+SQRT(R1160*(Inputs!$F$29-Inputs!$D$29)*(Inputs!$E$29-Inputs!$D$29)),Inputs!$F$29-SQRT((1-R1160)*(Inputs!$F$29-Inputs!$D$29)*(Inputs!$F$29-Inputs!$E$29)))</f>
        <v>8.92761561209161</v>
      </c>
      <c r="T1160" s="68" t="n">
        <f aca="false">Inputs!$E$9*(1+E1160)+Inputs!$E$5*C1160*(Inputs!$E$11*Inputs!$E$14*(G1160*I1160/Inputs!$E$16+(1-G1160))*K1160+Inputs!$E$23*M1160)*(1+O1160)+Inputs!$E$5*(Q1160+S1160)</f>
        <v>6152.56590005939</v>
      </c>
    </row>
    <row r="1161" customFormat="false" ht="15" hidden="false" customHeight="false" outlineLevel="0" collapsed="false">
      <c r="A1161" s="1" t="n">
        <v>1157</v>
      </c>
      <c r="B1161" s="81" t="n">
        <f aca="true">RAND()</f>
        <v>0.618327775507162</v>
      </c>
      <c r="C1161" s="82" t="n">
        <f aca="false">ROUND(IF(B1161&lt;(Inputs!$E$8-Inputs!$D$8)/(Inputs!$F$8-Inputs!$D$8),Inputs!$D$8+SQRT(B1161*(Inputs!$F$8-Inputs!$D$8)*(Inputs!$E$8-Inputs!$D$8)),Inputs!$F$8-SQRT((1-B1161)*(Inputs!$F$8-Inputs!$D$8)*(Inputs!$F$8-Inputs!$E$8))),0)</f>
        <v>26</v>
      </c>
      <c r="D1161" s="81" t="n">
        <f aca="true">RAND()</f>
        <v>0.229239307335831</v>
      </c>
      <c r="E1161" s="83" t="n">
        <f aca="false">IF(D1161&lt;(Inputs!$E$10-Inputs!$D$10)/(Inputs!$F$10-Inputs!$D$10),Inputs!$D$10+SQRT(D1161*(Inputs!$F$10-Inputs!$D$10)*(Inputs!$E$10-Inputs!$D$10)),Inputs!$F$10-SQRT((1-D1161)*(Inputs!$F$10-Inputs!$D$10)*(Inputs!$F$10-Inputs!$E$10)))</f>
        <v>0.0478789418571287</v>
      </c>
      <c r="F1161" s="81" t="n">
        <f aca="true">RAND()</f>
        <v>0.599406029382794</v>
      </c>
      <c r="G1161" s="83" t="n">
        <f aca="false">IF(F1161&lt;(Inputs!$E$15-Inputs!$D$15)/(Inputs!$F$15-Inputs!$D$15),Inputs!$D$15+SQRT(F1161*(Inputs!$F$15-Inputs!$D$15)*(Inputs!$E$15-Inputs!$D$15)),Inputs!$F$15-SQRT((1-F1161)*(Inputs!$F$15-Inputs!$D$15)*(Inputs!$F$15-Inputs!$E$15)))</f>
        <v>0.710490897600612</v>
      </c>
      <c r="H1161" s="81" t="n">
        <f aca="true">RAND()</f>
        <v>0.965619547577119</v>
      </c>
      <c r="I1161" s="82" t="n">
        <f aca="false">ROUND(IF(H1161&lt;(Inputs!$E$17-Inputs!$D$17)/(Inputs!$F$17-Inputs!$D$17),Inputs!$D$17+SQRT(H1161*(Inputs!$F$17-Inputs!$D$17)*(Inputs!$E$17-Inputs!$D$17)),Inputs!$F$17-SQRT((1-H1161)*(Inputs!$F$17-Inputs!$D$17)*(Inputs!$F$17-Inputs!$E$17))),0)</f>
        <v>113</v>
      </c>
      <c r="J1161" s="81" t="n">
        <f aca="true">RAND()</f>
        <v>0.146849919168366</v>
      </c>
      <c r="K1161" s="83" t="n">
        <f aca="false">IF(J1161&lt;(Inputs!$E$18-Inputs!$D$18)/(Inputs!$F$18-Inputs!$D$18),Inputs!$D$18+SQRT(J1161*(Inputs!$F$18-Inputs!$D$18)*(Inputs!$E$18-Inputs!$D$18)),Inputs!$F$18-SQRT((1-J1161)*(Inputs!$F$18-Inputs!$D$18)*(Inputs!$F$18-Inputs!$E$18)))</f>
        <v>0.971692030037465</v>
      </c>
      <c r="L1161" s="81" t="n">
        <f aca="true">RAND()</f>
        <v>0.880975065021121</v>
      </c>
      <c r="M1161" s="83" t="n">
        <f aca="false">IF(L1161&lt;(Inputs!$E$24-Inputs!$D$24)/(Inputs!$F$24-Inputs!$D$24),Inputs!$D$24+SQRT(L1161*(Inputs!$F$24-Inputs!$D$24)*(Inputs!$E$24-Inputs!$D$24)),Inputs!$F$24-SQRT((1-L1161)*(Inputs!$F$24-Inputs!$D$24)*(Inputs!$F$24-Inputs!$E$24)))</f>
        <v>1.03098525391277</v>
      </c>
      <c r="N1161" s="81" t="n">
        <f aca="true">RAND()</f>
        <v>0.851866559774275</v>
      </c>
      <c r="O1161" s="83" t="n">
        <f aca="false">IF(N1161&lt;(Inputs!$E$26-Inputs!$D$26)/(Inputs!$F$26-Inputs!$D$26),Inputs!$D$26+SQRT(N1161*(Inputs!$F$26-Inputs!$D$26)*(Inputs!$E$26-Inputs!$D$26)),Inputs!$F$26-SQRT((1-N1161)*(Inputs!$F$26-Inputs!$D$26)*(Inputs!$F$26-Inputs!$E$26)))</f>
        <v>0.695879583534878</v>
      </c>
      <c r="P1161" s="81" t="n">
        <f aca="true">RAND()</f>
        <v>0.962922248012238</v>
      </c>
      <c r="Q1161" s="82" t="n">
        <f aca="false">IF(P1161&lt;(Inputs!$E$27-Inputs!$D$27)/(Inputs!$F$27-Inputs!$D$27),Inputs!$D$27+SQRT(P1161*(Inputs!$F$27-Inputs!$D$27)*(Inputs!$E$27-Inputs!$D$27)),Inputs!$F$27-SQRT((1-P1161)*(Inputs!$F$27-Inputs!$D$27)*(Inputs!$F$27-Inputs!$E$27)))</f>
        <v>133.32417498568</v>
      </c>
      <c r="R1161" s="81" t="n">
        <f aca="true">RAND()</f>
        <v>0.881309388056204</v>
      </c>
      <c r="S1161" s="82" t="n">
        <f aca="false">IF(R1161&lt;(Inputs!$E$29-Inputs!$D$29)/(Inputs!$F$29-Inputs!$D$29),Inputs!$D$29+SQRT(R1161*(Inputs!$F$29-Inputs!$D$29)*(Inputs!$E$29-Inputs!$D$29)),Inputs!$F$29-SQRT((1-R1161)*(Inputs!$F$29-Inputs!$D$29)*(Inputs!$F$29-Inputs!$E$29)))</f>
        <v>11.0719241920893</v>
      </c>
      <c r="T1161" s="68" t="n">
        <f aca="false">Inputs!$E$9*(1+E1161)+Inputs!$E$5*C1161*(Inputs!$E$11*Inputs!$E$14*(G1161*I1161/Inputs!$E$16+(1-G1161))*K1161+Inputs!$E$23*M1161)*(1+O1161)+Inputs!$E$5*(Q1161+S1161)</f>
        <v>7035.1906784557</v>
      </c>
    </row>
    <row r="1162" customFormat="false" ht="15" hidden="false" customHeight="false" outlineLevel="0" collapsed="false">
      <c r="A1162" s="1" t="n">
        <v>1158</v>
      </c>
      <c r="B1162" s="81" t="n">
        <f aca="true">RAND()</f>
        <v>0.240242231652295</v>
      </c>
      <c r="C1162" s="82" t="n">
        <f aca="false">ROUND(IF(B1162&lt;(Inputs!$E$8-Inputs!$D$8)/(Inputs!$F$8-Inputs!$D$8),Inputs!$D$8+SQRT(B1162*(Inputs!$F$8-Inputs!$D$8)*(Inputs!$E$8-Inputs!$D$8)),Inputs!$F$8-SQRT((1-B1162)*(Inputs!$F$8-Inputs!$D$8)*(Inputs!$F$8-Inputs!$E$8))),0)</f>
        <v>23</v>
      </c>
      <c r="D1162" s="81" t="n">
        <f aca="true">RAND()</f>
        <v>0.35894538124738</v>
      </c>
      <c r="E1162" s="83" t="n">
        <f aca="false">IF(D1162&lt;(Inputs!$E$10-Inputs!$D$10)/(Inputs!$F$10-Inputs!$D$10),Inputs!$D$10+SQRT(D1162*(Inputs!$F$10-Inputs!$D$10)*(Inputs!$E$10-Inputs!$D$10)),Inputs!$F$10-SQRT((1-D1162)*(Inputs!$F$10-Inputs!$D$10)*(Inputs!$F$10-Inputs!$E$10)))</f>
        <v>0.0613218165587009</v>
      </c>
      <c r="F1162" s="81" t="n">
        <f aca="true">RAND()</f>
        <v>0.7174559137942</v>
      </c>
      <c r="G1162" s="83" t="n">
        <f aca="false">IF(F1162&lt;(Inputs!$E$15-Inputs!$D$15)/(Inputs!$F$15-Inputs!$D$15),Inputs!$D$15+SQRT(F1162*(Inputs!$F$15-Inputs!$D$15)*(Inputs!$E$15-Inputs!$D$15)),Inputs!$F$15-SQRT((1-F1162)*(Inputs!$F$15-Inputs!$D$15)*(Inputs!$F$15-Inputs!$E$15)))</f>
        <v>0.724827653195367</v>
      </c>
      <c r="H1162" s="81" t="n">
        <f aca="true">RAND()</f>
        <v>0.230133305580019</v>
      </c>
      <c r="I1162" s="82" t="n">
        <f aca="false">ROUND(IF(H1162&lt;(Inputs!$E$17-Inputs!$D$17)/(Inputs!$F$17-Inputs!$D$17),Inputs!$D$17+SQRT(H1162*(Inputs!$F$17-Inputs!$D$17)*(Inputs!$E$17-Inputs!$D$17)),Inputs!$F$17-SQRT((1-H1162)*(Inputs!$F$17-Inputs!$D$17)*(Inputs!$F$17-Inputs!$E$17))),0)</f>
        <v>104</v>
      </c>
      <c r="J1162" s="81" t="n">
        <f aca="true">RAND()</f>
        <v>0.829853524665509</v>
      </c>
      <c r="K1162" s="83" t="n">
        <f aca="false">IF(J1162&lt;(Inputs!$E$18-Inputs!$D$18)/(Inputs!$F$18-Inputs!$D$18),Inputs!$D$18+SQRT(J1162*(Inputs!$F$18-Inputs!$D$18)*(Inputs!$E$18-Inputs!$D$18)),Inputs!$F$18-SQRT((1-J1162)*(Inputs!$F$18-Inputs!$D$18)*(Inputs!$F$18-Inputs!$E$18)))</f>
        <v>1.12798435923306</v>
      </c>
      <c r="L1162" s="81" t="n">
        <f aca="true">RAND()</f>
        <v>0.888605706546383</v>
      </c>
      <c r="M1162" s="83" t="n">
        <f aca="false">IF(L1162&lt;(Inputs!$E$24-Inputs!$D$24)/(Inputs!$F$24-Inputs!$D$24),Inputs!$D$24+SQRT(L1162*(Inputs!$F$24-Inputs!$D$24)*(Inputs!$E$24-Inputs!$D$24)),Inputs!$F$24-SQRT((1-L1162)*(Inputs!$F$24-Inputs!$D$24)*(Inputs!$F$24-Inputs!$E$24)))</f>
        <v>1.03649272056306</v>
      </c>
      <c r="N1162" s="81" t="n">
        <f aca="true">RAND()</f>
        <v>0.401143132241892</v>
      </c>
      <c r="O1162" s="83" t="n">
        <f aca="false">IF(N1162&lt;(Inputs!$E$26-Inputs!$D$26)/(Inputs!$F$26-Inputs!$D$26),Inputs!$D$26+SQRT(N1162*(Inputs!$F$26-Inputs!$D$26)*(Inputs!$E$26-Inputs!$D$26)),Inputs!$F$26-SQRT((1-N1162)*(Inputs!$F$26-Inputs!$D$26)*(Inputs!$F$26-Inputs!$E$26)))</f>
        <v>0.558360634008068</v>
      </c>
      <c r="P1162" s="81" t="n">
        <f aca="true">RAND()</f>
        <v>0.176060941044406</v>
      </c>
      <c r="Q1162" s="82" t="n">
        <f aca="false">IF(P1162&lt;(Inputs!$E$27-Inputs!$D$27)/(Inputs!$F$27-Inputs!$D$27),Inputs!$D$27+SQRT(P1162*(Inputs!$F$27-Inputs!$D$27)*(Inputs!$E$27-Inputs!$D$27)),Inputs!$F$27-SQRT((1-P1162)*(Inputs!$F$27-Inputs!$D$27)*(Inputs!$F$27-Inputs!$E$27)))</f>
        <v>70.9798082119693</v>
      </c>
      <c r="R1162" s="81" t="n">
        <f aca="true">RAND()</f>
        <v>0.391318964369926</v>
      </c>
      <c r="S1162" s="82" t="n">
        <f aca="false">IF(R1162&lt;(Inputs!$E$29-Inputs!$D$29)/(Inputs!$F$29-Inputs!$D$29),Inputs!$D$29+SQRT(R1162*(Inputs!$F$29-Inputs!$D$29)*(Inputs!$E$29-Inputs!$D$29)),Inputs!$F$29-SQRT((1-R1162)*(Inputs!$F$29-Inputs!$D$29)*(Inputs!$F$29-Inputs!$E$29)))</f>
        <v>6.10457788343298</v>
      </c>
      <c r="T1162" s="68" t="n">
        <f aca="false">Inputs!$E$9*(1+E1162)+Inputs!$E$5*C1162*(Inputs!$E$11*Inputs!$E$14*(G1162*I1162/Inputs!$E$16+(1-G1162))*K1162+Inputs!$E$23*M1162)*(1+O1162)+Inputs!$E$5*(Q1162+S1162)</f>
        <v>6170.25570993651</v>
      </c>
    </row>
    <row r="1163" customFormat="false" ht="15" hidden="false" customHeight="false" outlineLevel="0" collapsed="false">
      <c r="A1163" s="1" t="n">
        <v>1159</v>
      </c>
      <c r="B1163" s="81" t="n">
        <f aca="true">RAND()</f>
        <v>0.355051409832647</v>
      </c>
      <c r="C1163" s="82" t="n">
        <f aca="false">ROUND(IF(B1163&lt;(Inputs!$E$8-Inputs!$D$8)/(Inputs!$F$8-Inputs!$D$8),Inputs!$D$8+SQRT(B1163*(Inputs!$F$8-Inputs!$D$8)*(Inputs!$E$8-Inputs!$D$8)),Inputs!$F$8-SQRT((1-B1163)*(Inputs!$F$8-Inputs!$D$8)*(Inputs!$F$8-Inputs!$E$8))),0)</f>
        <v>24</v>
      </c>
      <c r="D1163" s="81" t="n">
        <f aca="true">RAND()</f>
        <v>0.175533677791894</v>
      </c>
      <c r="E1163" s="83" t="n">
        <f aca="false">IF(D1163&lt;(Inputs!$E$10-Inputs!$D$10)/(Inputs!$F$10-Inputs!$D$10),Inputs!$D$10+SQRT(D1163*(Inputs!$F$10-Inputs!$D$10)*(Inputs!$E$10-Inputs!$D$10)),Inputs!$F$10-SQRT((1-D1163)*(Inputs!$F$10-Inputs!$D$10)*(Inputs!$F$10-Inputs!$E$10)))</f>
        <v>0.0418967394664422</v>
      </c>
      <c r="F1163" s="81" t="n">
        <f aca="true">RAND()</f>
        <v>0.885360327623688</v>
      </c>
      <c r="G1163" s="83" t="n">
        <f aca="false">IF(F1163&lt;(Inputs!$E$15-Inputs!$D$15)/(Inputs!$F$15-Inputs!$D$15),Inputs!$D$15+SQRT(F1163*(Inputs!$F$15-Inputs!$D$15)*(Inputs!$E$15-Inputs!$D$15)),Inputs!$F$15-SQRT((1-F1163)*(Inputs!$F$15-Inputs!$D$15)*(Inputs!$F$15-Inputs!$E$15)))</f>
        <v>0.752116877216223</v>
      </c>
      <c r="H1163" s="81" t="n">
        <f aca="true">RAND()</f>
        <v>0.510345663480689</v>
      </c>
      <c r="I1163" s="82" t="n">
        <f aca="false">ROUND(IF(H1163&lt;(Inputs!$E$17-Inputs!$D$17)/(Inputs!$F$17-Inputs!$D$17),Inputs!$D$17+SQRT(H1163*(Inputs!$F$17-Inputs!$D$17)*(Inputs!$E$17-Inputs!$D$17)),Inputs!$F$17-SQRT((1-H1163)*(Inputs!$F$17-Inputs!$D$17)*(Inputs!$F$17-Inputs!$E$17))),0)</f>
        <v>106</v>
      </c>
      <c r="J1163" s="81" t="n">
        <f aca="true">RAND()</f>
        <v>0.868893477852883</v>
      </c>
      <c r="K1163" s="83" t="n">
        <f aca="false">IF(J1163&lt;(Inputs!$E$18-Inputs!$D$18)/(Inputs!$F$18-Inputs!$D$18),Inputs!$D$18+SQRT(J1163*(Inputs!$F$18-Inputs!$D$18)*(Inputs!$E$18-Inputs!$D$18)),Inputs!$F$18-SQRT((1-J1163)*(Inputs!$F$18-Inputs!$D$18)*(Inputs!$F$18-Inputs!$E$18)))</f>
        <v>1.14289341435807</v>
      </c>
      <c r="L1163" s="81" t="n">
        <f aca="true">RAND()</f>
        <v>0.433720038990554</v>
      </c>
      <c r="M1163" s="83" t="n">
        <f aca="false">IF(L1163&lt;(Inputs!$E$24-Inputs!$D$24)/(Inputs!$F$24-Inputs!$D$24),Inputs!$D$24+SQRT(L1163*(Inputs!$F$24-Inputs!$D$24)*(Inputs!$E$24-Inputs!$D$24)),Inputs!$F$24-SQRT((1-L1163)*(Inputs!$F$24-Inputs!$D$24)*(Inputs!$F$24-Inputs!$E$24)))</f>
        <v>0.831344075536189</v>
      </c>
      <c r="N1163" s="81" t="n">
        <f aca="true">RAND()</f>
        <v>0.537494135052594</v>
      </c>
      <c r="O1163" s="83" t="n">
        <f aca="false">IF(N1163&lt;(Inputs!$E$26-Inputs!$D$26)/(Inputs!$F$26-Inputs!$D$26),Inputs!$D$26+SQRT(N1163*(Inputs!$F$26-Inputs!$D$26)*(Inputs!$E$26-Inputs!$D$26)),Inputs!$F$26-SQRT((1-N1163)*(Inputs!$F$26-Inputs!$D$26)*(Inputs!$F$26-Inputs!$E$26)))</f>
        <v>0.599063578646333</v>
      </c>
      <c r="P1163" s="81" t="n">
        <f aca="true">RAND()</f>
        <v>0.595347146058537</v>
      </c>
      <c r="Q1163" s="82" t="n">
        <f aca="false">IF(P1163&lt;(Inputs!$E$27-Inputs!$D$27)/(Inputs!$F$27-Inputs!$D$27),Inputs!$D$27+SQRT(P1163*(Inputs!$F$27-Inputs!$D$27)*(Inputs!$E$27-Inputs!$D$27)),Inputs!$F$27-SQRT((1-P1163)*(Inputs!$F$27-Inputs!$D$27)*(Inputs!$F$27-Inputs!$E$27)))</f>
        <v>94.9101061485778</v>
      </c>
      <c r="R1163" s="81" t="n">
        <f aca="true">RAND()</f>
        <v>0.559518451386067</v>
      </c>
      <c r="S1163" s="82" t="n">
        <f aca="false">IF(R1163&lt;(Inputs!$E$29-Inputs!$D$29)/(Inputs!$F$29-Inputs!$D$29),Inputs!$D$29+SQRT(R1163*(Inputs!$F$29-Inputs!$D$29)*(Inputs!$E$29-Inputs!$D$29)),Inputs!$F$29-SQRT((1-R1163)*(Inputs!$F$29-Inputs!$D$29)*(Inputs!$F$29-Inputs!$E$29)))</f>
        <v>7.43279435195453</v>
      </c>
      <c r="T1163" s="68" t="n">
        <f aca="false">Inputs!$E$9*(1+E1163)+Inputs!$E$5*C1163*(Inputs!$E$11*Inputs!$E$14*(G1163*I1163/Inputs!$E$16+(1-G1163))*K1163+Inputs!$E$23*M1163)*(1+O1163)+Inputs!$E$5*(Q1163+S1163)</f>
        <v>6234.33472330843</v>
      </c>
    </row>
    <row r="1164" customFormat="false" ht="15" hidden="false" customHeight="false" outlineLevel="0" collapsed="false">
      <c r="A1164" s="1" t="n">
        <v>1160</v>
      </c>
      <c r="B1164" s="81" t="n">
        <f aca="true">RAND()</f>
        <v>0.659452951022403</v>
      </c>
      <c r="C1164" s="82" t="n">
        <f aca="false">ROUND(IF(B1164&lt;(Inputs!$E$8-Inputs!$D$8)/(Inputs!$F$8-Inputs!$D$8),Inputs!$D$8+SQRT(B1164*(Inputs!$F$8-Inputs!$D$8)*(Inputs!$E$8-Inputs!$D$8)),Inputs!$F$8-SQRT((1-B1164)*(Inputs!$F$8-Inputs!$D$8)*(Inputs!$F$8-Inputs!$E$8))),0)</f>
        <v>26</v>
      </c>
      <c r="D1164" s="81" t="n">
        <f aca="true">RAND()</f>
        <v>0.924289762158324</v>
      </c>
      <c r="E1164" s="83" t="n">
        <f aca="false">IF(D1164&lt;(Inputs!$E$10-Inputs!$D$10)/(Inputs!$F$10-Inputs!$D$10),Inputs!$D$10+SQRT(D1164*(Inputs!$F$10-Inputs!$D$10)*(Inputs!$E$10-Inputs!$D$10)),Inputs!$F$10-SQRT((1-D1164)*(Inputs!$F$10-Inputs!$D$10)*(Inputs!$F$10-Inputs!$E$10)))</f>
        <v>0.152341767392713</v>
      </c>
      <c r="F1164" s="81" t="n">
        <f aca="true">RAND()</f>
        <v>0.0920110352290556</v>
      </c>
      <c r="G1164" s="83" t="n">
        <f aca="false">IF(F1164&lt;(Inputs!$E$15-Inputs!$D$15)/(Inputs!$F$15-Inputs!$D$15),Inputs!$D$15+SQRT(F1164*(Inputs!$F$15-Inputs!$D$15)*(Inputs!$E$15-Inputs!$D$15)),Inputs!$F$15-SQRT((1-F1164)*(Inputs!$F$15-Inputs!$D$15)*(Inputs!$F$15-Inputs!$E$15)))</f>
        <v>0.642897793702953</v>
      </c>
      <c r="H1164" s="81" t="n">
        <f aca="true">RAND()</f>
        <v>0.317838525871555</v>
      </c>
      <c r="I1164" s="82" t="n">
        <f aca="false">ROUND(IF(H1164&lt;(Inputs!$E$17-Inputs!$D$17)/(Inputs!$F$17-Inputs!$D$17),Inputs!$D$17+SQRT(H1164*(Inputs!$F$17-Inputs!$D$17)*(Inputs!$E$17-Inputs!$D$17)),Inputs!$F$17-SQRT((1-H1164)*(Inputs!$F$17-Inputs!$D$17)*(Inputs!$F$17-Inputs!$E$17))),0)</f>
        <v>105</v>
      </c>
      <c r="J1164" s="81" t="n">
        <f aca="true">RAND()</f>
        <v>0.546446111597233</v>
      </c>
      <c r="K1164" s="83" t="n">
        <f aca="false">IF(J1164&lt;(Inputs!$E$18-Inputs!$D$18)/(Inputs!$F$18-Inputs!$D$18),Inputs!$D$18+SQRT(J1164*(Inputs!$F$18-Inputs!$D$18)*(Inputs!$E$18-Inputs!$D$18)),Inputs!$F$18-SQRT((1-J1164)*(Inputs!$F$18-Inputs!$D$18)*(Inputs!$F$18-Inputs!$E$18)))</f>
        <v>1.0507866338941</v>
      </c>
      <c r="L1164" s="81" t="n">
        <f aca="true">RAND()</f>
        <v>0.871263804316273</v>
      </c>
      <c r="M1164" s="83" t="n">
        <f aca="false">IF(L1164&lt;(Inputs!$E$24-Inputs!$D$24)/(Inputs!$F$24-Inputs!$D$24),Inputs!$D$24+SQRT(L1164*(Inputs!$F$24-Inputs!$D$24)*(Inputs!$E$24-Inputs!$D$24)),Inputs!$F$24-SQRT((1-L1164)*(Inputs!$F$24-Inputs!$D$24)*(Inputs!$F$24-Inputs!$E$24)))</f>
        <v>1.02422546554152</v>
      </c>
      <c r="N1164" s="81" t="n">
        <f aca="true">RAND()</f>
        <v>0.230096696429754</v>
      </c>
      <c r="O1164" s="83" t="n">
        <f aca="false">IF(N1164&lt;(Inputs!$E$26-Inputs!$D$26)/(Inputs!$F$26-Inputs!$D$26),Inputs!$D$26+SQRT(N1164*(Inputs!$F$26-Inputs!$D$26)*(Inputs!$E$26-Inputs!$D$26)),Inputs!$F$26-SQRT((1-N1164)*(Inputs!$F$26-Inputs!$D$26)*(Inputs!$F$26-Inputs!$E$26)))</f>
        <v>0.495673427643896</v>
      </c>
      <c r="P1164" s="81" t="n">
        <f aca="true">RAND()</f>
        <v>0.000367313282257296</v>
      </c>
      <c r="Q1164" s="82" t="n">
        <f aca="false">IF(P1164&lt;(Inputs!$E$27-Inputs!$D$27)/(Inputs!$F$27-Inputs!$D$27),Inputs!$D$27+SQRT(P1164*(Inputs!$F$27-Inputs!$D$27)*(Inputs!$E$27-Inputs!$D$27)),Inputs!$F$27-SQRT((1-P1164)*(Inputs!$F$27-Inputs!$D$27)*(Inputs!$F$27-Inputs!$E$27)))</f>
        <v>50.9582709458411</v>
      </c>
      <c r="R1164" s="81" t="n">
        <f aca="true">RAND()</f>
        <v>0.238721289504009</v>
      </c>
      <c r="S1164" s="82" t="n">
        <f aca="false">IF(R1164&lt;(Inputs!$E$29-Inputs!$D$29)/(Inputs!$F$29-Inputs!$D$29),Inputs!$D$29+SQRT(R1164*(Inputs!$F$29-Inputs!$D$29)*(Inputs!$E$29-Inputs!$D$29)),Inputs!$F$29-SQRT((1-R1164)*(Inputs!$F$29-Inputs!$D$29)*(Inputs!$F$29-Inputs!$E$29)))</f>
        <v>5.05182266118668</v>
      </c>
      <c r="T1164" s="68" t="n">
        <f aca="false">Inputs!$E$9*(1+E1164)+Inputs!$E$5*C1164*(Inputs!$E$11*Inputs!$E$14*(G1164*I1164/Inputs!$E$16+(1-G1164))*K1164+Inputs!$E$23*M1164)*(1+O1164)+Inputs!$E$5*(Q1164+S1164)</f>
        <v>6507.23124226825</v>
      </c>
    </row>
    <row r="1165" customFormat="false" ht="15" hidden="false" customHeight="false" outlineLevel="0" collapsed="false">
      <c r="A1165" s="1" t="n">
        <v>1161</v>
      </c>
      <c r="B1165" s="81" t="n">
        <f aca="true">RAND()</f>
        <v>0.32851752188742</v>
      </c>
      <c r="C1165" s="82" t="n">
        <f aca="false">ROUND(IF(B1165&lt;(Inputs!$E$8-Inputs!$D$8)/(Inputs!$F$8-Inputs!$D$8),Inputs!$D$8+SQRT(B1165*(Inputs!$F$8-Inputs!$D$8)*(Inputs!$E$8-Inputs!$D$8)),Inputs!$F$8-SQRT((1-B1165)*(Inputs!$F$8-Inputs!$D$8)*(Inputs!$F$8-Inputs!$E$8))),0)</f>
        <v>24</v>
      </c>
      <c r="D1165" s="81" t="n">
        <f aca="true">RAND()</f>
        <v>0.597146567891796</v>
      </c>
      <c r="E1165" s="83" t="n">
        <f aca="false">IF(D1165&lt;(Inputs!$E$10-Inputs!$D$10)/(Inputs!$F$10-Inputs!$D$10),Inputs!$D$10+SQRT(D1165*(Inputs!$F$10-Inputs!$D$10)*(Inputs!$E$10-Inputs!$D$10)),Inputs!$F$10-SQRT((1-D1165)*(Inputs!$F$10-Inputs!$D$10)*(Inputs!$F$10-Inputs!$E$10)))</f>
        <v>0.090065460553809</v>
      </c>
      <c r="F1165" s="81" t="n">
        <f aca="true">RAND()</f>
        <v>0.561375206620258</v>
      </c>
      <c r="G1165" s="83" t="n">
        <f aca="false">IF(F1165&lt;(Inputs!$E$15-Inputs!$D$15)/(Inputs!$F$15-Inputs!$D$15),Inputs!$D$15+SQRT(F1165*(Inputs!$F$15-Inputs!$D$15)*(Inputs!$E$15-Inputs!$D$15)),Inputs!$F$15-SQRT((1-F1165)*(Inputs!$F$15-Inputs!$D$15)*(Inputs!$F$15-Inputs!$E$15)))</f>
        <v>0.706338397047697</v>
      </c>
      <c r="H1165" s="81" t="n">
        <f aca="true">RAND()</f>
        <v>0.931234146970011</v>
      </c>
      <c r="I1165" s="82" t="n">
        <f aca="false">ROUND(IF(H1165&lt;(Inputs!$E$17-Inputs!$D$17)/(Inputs!$F$17-Inputs!$D$17),Inputs!$D$17+SQRT(H1165*(Inputs!$F$17-Inputs!$D$17)*(Inputs!$E$17-Inputs!$D$17)),Inputs!$F$17-SQRT((1-H1165)*(Inputs!$F$17-Inputs!$D$17)*(Inputs!$F$17-Inputs!$E$17))),0)</f>
        <v>112</v>
      </c>
      <c r="J1165" s="81" t="n">
        <f aca="true">RAND()</f>
        <v>0.879390389217167</v>
      </c>
      <c r="K1165" s="83" t="n">
        <f aca="false">IF(J1165&lt;(Inputs!$E$18-Inputs!$D$18)/(Inputs!$F$18-Inputs!$D$18),Inputs!$D$18+SQRT(J1165*(Inputs!$F$18-Inputs!$D$18)*(Inputs!$E$18-Inputs!$D$18)),Inputs!$F$18-SQRT((1-J1165)*(Inputs!$F$18-Inputs!$D$18)*(Inputs!$F$18-Inputs!$E$18)))</f>
        <v>1.14727054490801</v>
      </c>
      <c r="L1165" s="81" t="n">
        <f aca="true">RAND()</f>
        <v>0.504521698973872</v>
      </c>
      <c r="M1165" s="83" t="n">
        <f aca="false">IF(L1165&lt;(Inputs!$E$24-Inputs!$D$24)/(Inputs!$F$24-Inputs!$D$24),Inputs!$D$24+SQRT(L1165*(Inputs!$F$24-Inputs!$D$24)*(Inputs!$E$24-Inputs!$D$24)),Inputs!$F$24-SQRT((1-L1165)*(Inputs!$F$24-Inputs!$D$24)*(Inputs!$F$24-Inputs!$E$24)))</f>
        <v>0.855159758371691</v>
      </c>
      <c r="N1165" s="81" t="n">
        <f aca="true">RAND()</f>
        <v>0.58713701850791</v>
      </c>
      <c r="O1165" s="83" t="n">
        <f aca="false">IF(N1165&lt;(Inputs!$E$26-Inputs!$D$26)/(Inputs!$F$26-Inputs!$D$26),Inputs!$D$26+SQRT(N1165*(Inputs!$F$26-Inputs!$D$26)*(Inputs!$E$26-Inputs!$D$26)),Inputs!$F$26-SQRT((1-N1165)*(Inputs!$F$26-Inputs!$D$26)*(Inputs!$F$26-Inputs!$E$26)))</f>
        <v>0.612569352112001</v>
      </c>
      <c r="P1165" s="81" t="n">
        <f aca="true">RAND()</f>
        <v>0.18849165320224</v>
      </c>
      <c r="Q1165" s="82" t="n">
        <f aca="false">IF(P1165&lt;(Inputs!$E$27-Inputs!$D$27)/(Inputs!$F$27-Inputs!$D$27),Inputs!$D$27+SQRT(P1165*(Inputs!$F$27-Inputs!$D$27)*(Inputs!$E$27-Inputs!$D$27)),Inputs!$F$27-SQRT((1-P1165)*(Inputs!$F$27-Inputs!$D$27)*(Inputs!$F$27-Inputs!$E$27)))</f>
        <v>71.7078127181345</v>
      </c>
      <c r="R1165" s="81" t="n">
        <f aca="true">RAND()</f>
        <v>0.172324399752729</v>
      </c>
      <c r="S1165" s="82" t="n">
        <f aca="false">IF(R1165&lt;(Inputs!$E$29-Inputs!$D$29)/(Inputs!$F$29-Inputs!$D$29),Inputs!$D$29+SQRT(R1165*(Inputs!$F$29-Inputs!$D$29)*(Inputs!$E$29-Inputs!$D$29)),Inputs!$F$29-SQRT((1-R1165)*(Inputs!$F$29-Inputs!$D$29)*(Inputs!$F$29-Inputs!$E$29)))</f>
        <v>4.59242195453526</v>
      </c>
      <c r="T1165" s="68" t="n">
        <f aca="false">Inputs!$E$9*(1+E1165)+Inputs!$E$5*C1165*(Inputs!$E$11*Inputs!$E$14*(G1165*I1165/Inputs!$E$16+(1-G1165))*K1165+Inputs!$E$23*M1165)*(1+O1165)+Inputs!$E$5*(Q1165+S1165)</f>
        <v>6425.96190089418</v>
      </c>
    </row>
    <row r="1166" customFormat="false" ht="15" hidden="false" customHeight="false" outlineLevel="0" collapsed="false">
      <c r="A1166" s="1" t="n">
        <v>1162</v>
      </c>
      <c r="B1166" s="81" t="n">
        <f aca="true">RAND()</f>
        <v>0.333992700606122</v>
      </c>
      <c r="C1166" s="82" t="n">
        <f aca="false">ROUND(IF(B1166&lt;(Inputs!$E$8-Inputs!$D$8)/(Inputs!$F$8-Inputs!$D$8),Inputs!$D$8+SQRT(B1166*(Inputs!$F$8-Inputs!$D$8)*(Inputs!$E$8-Inputs!$D$8)),Inputs!$F$8-SQRT((1-B1166)*(Inputs!$F$8-Inputs!$D$8)*(Inputs!$F$8-Inputs!$E$8))),0)</f>
        <v>24</v>
      </c>
      <c r="D1166" s="81" t="n">
        <f aca="true">RAND()</f>
        <v>0.795469755410221</v>
      </c>
      <c r="E1166" s="83" t="n">
        <f aca="false">IF(D1166&lt;(Inputs!$E$10-Inputs!$D$10)/(Inputs!$F$10-Inputs!$D$10),Inputs!$D$10+SQRT(D1166*(Inputs!$F$10-Inputs!$D$10)*(Inputs!$E$10-Inputs!$D$10)),Inputs!$F$10-SQRT((1-D1166)*(Inputs!$F$10-Inputs!$D$10)*(Inputs!$F$10-Inputs!$E$10)))</f>
        <v>0.121667967358855</v>
      </c>
      <c r="F1166" s="81" t="n">
        <f aca="true">RAND()</f>
        <v>0.947015272714804</v>
      </c>
      <c r="G1166" s="83" t="n">
        <f aca="false">IF(F1166&lt;(Inputs!$E$15-Inputs!$D$15)/(Inputs!$F$15-Inputs!$D$15),Inputs!$D$15+SQRT(F1166*(Inputs!$F$15-Inputs!$D$15)*(Inputs!$E$15-Inputs!$D$15)),Inputs!$F$15-SQRT((1-F1166)*(Inputs!$F$15-Inputs!$D$15)*(Inputs!$F$15-Inputs!$E$15)))</f>
        <v>0.767447050122855</v>
      </c>
      <c r="H1166" s="81" t="n">
        <f aca="true">RAND()</f>
        <v>0.627786494736644</v>
      </c>
      <c r="I1166" s="82" t="n">
        <f aca="false">ROUND(IF(H1166&lt;(Inputs!$E$17-Inputs!$D$17)/(Inputs!$F$17-Inputs!$D$17),Inputs!$D$17+SQRT(H1166*(Inputs!$F$17-Inputs!$D$17)*(Inputs!$E$17-Inputs!$D$17)),Inputs!$F$17-SQRT((1-H1166)*(Inputs!$F$17-Inputs!$D$17)*(Inputs!$F$17-Inputs!$E$17))),0)</f>
        <v>108</v>
      </c>
      <c r="J1166" s="81" t="n">
        <f aca="true">RAND()</f>
        <v>0.447600433217221</v>
      </c>
      <c r="K1166" s="83" t="n">
        <f aca="false">IF(J1166&lt;(Inputs!$E$18-Inputs!$D$18)/(Inputs!$F$18-Inputs!$D$18),Inputs!$D$18+SQRT(J1166*(Inputs!$F$18-Inputs!$D$18)*(Inputs!$E$18-Inputs!$D$18)),Inputs!$F$18-SQRT((1-J1166)*(Inputs!$F$18-Inputs!$D$18)*(Inputs!$F$18-Inputs!$E$18)))</f>
        <v>1.03014786311365</v>
      </c>
      <c r="L1166" s="81" t="n">
        <f aca="true">RAND()</f>
        <v>0.273159955300055</v>
      </c>
      <c r="M1166" s="83" t="n">
        <f aca="false">IF(L1166&lt;(Inputs!$E$24-Inputs!$D$24)/(Inputs!$F$24-Inputs!$D$24),Inputs!$D$24+SQRT(L1166*(Inputs!$F$24-Inputs!$D$24)*(Inputs!$E$24-Inputs!$D$24)),Inputs!$F$24-SQRT((1-L1166)*(Inputs!$F$24-Inputs!$D$24)*(Inputs!$F$24-Inputs!$E$24)))</f>
        <v>0.781050254448887</v>
      </c>
      <c r="N1166" s="81" t="n">
        <f aca="true">RAND()</f>
        <v>0.270003540790244</v>
      </c>
      <c r="O1166" s="83" t="n">
        <f aca="false">IF(N1166&lt;(Inputs!$E$26-Inputs!$D$26)/(Inputs!$F$26-Inputs!$D$26),Inputs!$D$26+SQRT(N1166*(Inputs!$F$26-Inputs!$D$26)*(Inputs!$E$26-Inputs!$D$26)),Inputs!$F$26-SQRT((1-N1166)*(Inputs!$F$26-Inputs!$D$26)*(Inputs!$F$26-Inputs!$E$26)))</f>
        <v>0.511963650627877</v>
      </c>
      <c r="P1166" s="81" t="n">
        <f aca="true">RAND()</f>
        <v>0.453238170939508</v>
      </c>
      <c r="Q1166" s="82" t="n">
        <f aca="false">IF(P1166&lt;(Inputs!$E$27-Inputs!$D$27)/(Inputs!$F$27-Inputs!$D$27),Inputs!$D$27+SQRT(P1166*(Inputs!$F$27-Inputs!$D$27)*(Inputs!$E$27-Inputs!$D$27)),Inputs!$F$27-SQRT((1-P1166)*(Inputs!$F$27-Inputs!$D$27)*(Inputs!$F$27-Inputs!$E$27)))</f>
        <v>85.9631846673049</v>
      </c>
      <c r="R1166" s="81" t="n">
        <f aca="true">RAND()</f>
        <v>0.550069273558868</v>
      </c>
      <c r="S1166" s="82" t="n">
        <f aca="false">IF(R1166&lt;(Inputs!$E$29-Inputs!$D$29)/(Inputs!$F$29-Inputs!$D$29),Inputs!$D$29+SQRT(R1166*(Inputs!$F$29-Inputs!$D$29)*(Inputs!$E$29-Inputs!$D$29)),Inputs!$F$29-SQRT((1-R1166)*(Inputs!$F$29-Inputs!$D$29)*(Inputs!$F$29-Inputs!$E$29)))</f>
        <v>7.35205946431674</v>
      </c>
      <c r="T1166" s="68" t="n">
        <f aca="false">Inputs!$E$9*(1+E1166)+Inputs!$E$5*C1166*(Inputs!$E$11*Inputs!$E$14*(G1166*I1166/Inputs!$E$16+(1-G1166))*K1166+Inputs!$E$23*M1166)*(1+O1166)+Inputs!$E$5*(Q1166+S1166)</f>
        <v>5903.93266856529</v>
      </c>
    </row>
    <row r="1167" customFormat="false" ht="15" hidden="false" customHeight="false" outlineLevel="0" collapsed="false">
      <c r="A1167" s="1" t="n">
        <v>1163</v>
      </c>
      <c r="B1167" s="81" t="n">
        <f aca="true">RAND()</f>
        <v>0.429828300212017</v>
      </c>
      <c r="C1167" s="82" t="n">
        <f aca="false">ROUND(IF(B1167&lt;(Inputs!$E$8-Inputs!$D$8)/(Inputs!$F$8-Inputs!$D$8),Inputs!$D$8+SQRT(B1167*(Inputs!$F$8-Inputs!$D$8)*(Inputs!$E$8-Inputs!$D$8)),Inputs!$F$8-SQRT((1-B1167)*(Inputs!$F$8-Inputs!$D$8)*(Inputs!$F$8-Inputs!$E$8))),0)</f>
        <v>25</v>
      </c>
      <c r="D1167" s="81" t="n">
        <f aca="true">RAND()</f>
        <v>0.208797138243276</v>
      </c>
      <c r="E1167" s="83" t="n">
        <f aca="false">IF(D1167&lt;(Inputs!$E$10-Inputs!$D$10)/(Inputs!$F$10-Inputs!$D$10),Inputs!$D$10+SQRT(D1167*(Inputs!$F$10-Inputs!$D$10)*(Inputs!$E$10-Inputs!$D$10)),Inputs!$F$10-SQRT((1-D1167)*(Inputs!$F$10-Inputs!$D$10)*(Inputs!$F$10-Inputs!$E$10)))</f>
        <v>0.0456943254948879</v>
      </c>
      <c r="F1167" s="81" t="n">
        <f aca="true">RAND()</f>
        <v>0.683255293978385</v>
      </c>
      <c r="G1167" s="83" t="n">
        <f aca="false">IF(F1167&lt;(Inputs!$E$15-Inputs!$D$15)/(Inputs!$F$15-Inputs!$D$15),Inputs!$D$15+SQRT(F1167*(Inputs!$F$15-Inputs!$D$15)*(Inputs!$E$15-Inputs!$D$15)),Inputs!$F$15-SQRT((1-F1167)*(Inputs!$F$15-Inputs!$D$15)*(Inputs!$F$15-Inputs!$E$15)))</f>
        <v>0.720407951902013</v>
      </c>
      <c r="H1167" s="81" t="n">
        <f aca="true">RAND()</f>
        <v>0.279673750111217</v>
      </c>
      <c r="I1167" s="82" t="n">
        <f aca="false">ROUND(IF(H1167&lt;(Inputs!$E$17-Inputs!$D$17)/(Inputs!$F$17-Inputs!$D$17),Inputs!$D$17+SQRT(H1167*(Inputs!$F$17-Inputs!$D$17)*(Inputs!$E$17-Inputs!$D$17)),Inputs!$F$17-SQRT((1-H1167)*(Inputs!$F$17-Inputs!$D$17)*(Inputs!$F$17-Inputs!$E$17))),0)</f>
        <v>105</v>
      </c>
      <c r="J1167" s="81" t="n">
        <f aca="true">RAND()</f>
        <v>0.0327347351022304</v>
      </c>
      <c r="K1167" s="83" t="n">
        <f aca="false">IF(J1167&lt;(Inputs!$E$18-Inputs!$D$18)/(Inputs!$F$18-Inputs!$D$18),Inputs!$D$18+SQRT(J1167*(Inputs!$F$18-Inputs!$D$18)*(Inputs!$E$18-Inputs!$D$18)),Inputs!$F$18-SQRT((1-J1167)*(Inputs!$F$18-Inputs!$D$18)*(Inputs!$F$18-Inputs!$E$18)))</f>
        <v>0.93384842283738</v>
      </c>
      <c r="L1167" s="81" t="n">
        <f aca="true">RAND()</f>
        <v>0.798619419820569</v>
      </c>
      <c r="M1167" s="83" t="n">
        <f aca="false">IF(L1167&lt;(Inputs!$E$24-Inputs!$D$24)/(Inputs!$F$24-Inputs!$D$24),Inputs!$D$24+SQRT(L1167*(Inputs!$F$24-Inputs!$D$24)*(Inputs!$E$24-Inputs!$D$24)),Inputs!$F$24-SQRT((1-L1167)*(Inputs!$F$24-Inputs!$D$24)*(Inputs!$F$24-Inputs!$E$24)))</f>
        <v>0.980156102556693</v>
      </c>
      <c r="N1167" s="81" t="n">
        <f aca="true">RAND()</f>
        <v>0.698854236692097</v>
      </c>
      <c r="O1167" s="83" t="n">
        <f aca="false">IF(N1167&lt;(Inputs!$E$26-Inputs!$D$26)/(Inputs!$F$26-Inputs!$D$26),Inputs!$D$26+SQRT(N1167*(Inputs!$F$26-Inputs!$D$26)*(Inputs!$E$26-Inputs!$D$26)),Inputs!$F$26-SQRT((1-N1167)*(Inputs!$F$26-Inputs!$D$26)*(Inputs!$F$26-Inputs!$E$26)))</f>
        <v>0.643027800533468</v>
      </c>
      <c r="P1167" s="81" t="n">
        <f aca="true">RAND()</f>
        <v>0.429048739847884</v>
      </c>
      <c r="Q1167" s="82" t="n">
        <f aca="false">IF(P1167&lt;(Inputs!$E$27-Inputs!$D$27)/(Inputs!$F$27-Inputs!$D$27),Inputs!$D$27+SQRT(P1167*(Inputs!$F$27-Inputs!$D$27)*(Inputs!$E$27-Inputs!$D$27)),Inputs!$F$27-SQRT((1-P1167)*(Inputs!$F$27-Inputs!$D$27)*(Inputs!$F$27-Inputs!$E$27)))</f>
        <v>84.5619800793081</v>
      </c>
      <c r="R1167" s="81" t="n">
        <f aca="true">RAND()</f>
        <v>0.767167724999881</v>
      </c>
      <c r="S1167" s="82" t="n">
        <f aca="false">IF(R1167&lt;(Inputs!$E$29-Inputs!$D$29)/(Inputs!$F$29-Inputs!$D$29),Inputs!$D$29+SQRT(R1167*(Inputs!$F$29-Inputs!$D$29)*(Inputs!$E$29-Inputs!$D$29)),Inputs!$F$29-SQRT((1-R1167)*(Inputs!$F$29-Inputs!$D$29)*(Inputs!$F$29-Inputs!$E$29)))</f>
        <v>9.49834608958219</v>
      </c>
      <c r="T1167" s="68" t="n">
        <f aca="false">Inputs!$E$9*(1+E1167)+Inputs!$E$5*C1167*(Inputs!$E$11*Inputs!$E$14*(G1167*I1167/Inputs!$E$16+(1-G1167))*K1167+Inputs!$E$23*M1167)*(1+O1167)+Inputs!$E$5*(Q1167+S1167)</f>
        <v>6239.98180991366</v>
      </c>
    </row>
    <row r="1168" customFormat="false" ht="15" hidden="false" customHeight="false" outlineLevel="0" collapsed="false">
      <c r="A1168" s="1" t="n">
        <v>1164</v>
      </c>
      <c r="B1168" s="81" t="n">
        <f aca="true">RAND()</f>
        <v>0.517147523212854</v>
      </c>
      <c r="C1168" s="82" t="n">
        <f aca="false">ROUND(IF(B1168&lt;(Inputs!$E$8-Inputs!$D$8)/(Inputs!$F$8-Inputs!$D$8),Inputs!$D$8+SQRT(B1168*(Inputs!$F$8-Inputs!$D$8)*(Inputs!$E$8-Inputs!$D$8)),Inputs!$F$8-SQRT((1-B1168)*(Inputs!$F$8-Inputs!$D$8)*(Inputs!$F$8-Inputs!$E$8))),0)</f>
        <v>25</v>
      </c>
      <c r="D1168" s="81" t="n">
        <f aca="true">RAND()</f>
        <v>0.748185051876451</v>
      </c>
      <c r="E1168" s="83" t="n">
        <f aca="false">IF(D1168&lt;(Inputs!$E$10-Inputs!$D$10)/(Inputs!$F$10-Inputs!$D$10),Inputs!$D$10+SQRT(D1168*(Inputs!$F$10-Inputs!$D$10)*(Inputs!$E$10-Inputs!$D$10)),Inputs!$F$10-SQRT((1-D1168)*(Inputs!$F$10-Inputs!$D$10)*(Inputs!$F$10-Inputs!$E$10)))</f>
        <v>0.113083669867473</v>
      </c>
      <c r="F1168" s="81" t="n">
        <f aca="true">RAND()</f>
        <v>0.510562789428683</v>
      </c>
      <c r="G1168" s="83" t="n">
        <f aca="false">IF(F1168&lt;(Inputs!$E$15-Inputs!$D$15)/(Inputs!$F$15-Inputs!$D$15),Inputs!$D$15+SQRT(F1168*(Inputs!$F$15-Inputs!$D$15)*(Inputs!$E$15-Inputs!$D$15)),Inputs!$F$15-SQRT((1-F1168)*(Inputs!$F$15-Inputs!$D$15)*(Inputs!$F$15-Inputs!$E$15)))</f>
        <v>0.701061917284463</v>
      </c>
      <c r="H1168" s="81" t="n">
        <f aca="true">RAND()</f>
        <v>0.840220707786181</v>
      </c>
      <c r="I1168" s="82" t="n">
        <f aca="false">ROUND(IF(H1168&lt;(Inputs!$E$17-Inputs!$D$17)/(Inputs!$F$17-Inputs!$D$17),Inputs!$D$17+SQRT(H1168*(Inputs!$F$17-Inputs!$D$17)*(Inputs!$E$17-Inputs!$D$17)),Inputs!$F$17-SQRT((1-H1168)*(Inputs!$F$17-Inputs!$D$17)*(Inputs!$F$17-Inputs!$E$17))),0)</f>
        <v>110</v>
      </c>
      <c r="J1168" s="81" t="n">
        <f aca="true">RAND()</f>
        <v>0.831416520911205</v>
      </c>
      <c r="K1168" s="83" t="n">
        <f aca="false">IF(J1168&lt;(Inputs!$E$18-Inputs!$D$18)/(Inputs!$F$18-Inputs!$D$18),Inputs!$D$18+SQRT(J1168*(Inputs!$F$18-Inputs!$D$18)*(Inputs!$E$18-Inputs!$D$18)),Inputs!$F$18-SQRT((1-J1168)*(Inputs!$F$18-Inputs!$D$18)*(Inputs!$F$18-Inputs!$E$18)))</f>
        <v>1.12854608108311</v>
      </c>
      <c r="L1168" s="81" t="n">
        <f aca="true">RAND()</f>
        <v>0.685856252276476</v>
      </c>
      <c r="M1168" s="83" t="n">
        <f aca="false">IF(L1168&lt;(Inputs!$E$24-Inputs!$D$24)/(Inputs!$F$24-Inputs!$D$24),Inputs!$D$24+SQRT(L1168*(Inputs!$F$24-Inputs!$D$24)*(Inputs!$E$24-Inputs!$D$24)),Inputs!$F$24-SQRT((1-L1168)*(Inputs!$F$24-Inputs!$D$24)*(Inputs!$F$24-Inputs!$E$24)))</f>
        <v>0.925419411731918</v>
      </c>
      <c r="N1168" s="81" t="n">
        <f aca="true">RAND()</f>
        <v>0.170942575464206</v>
      </c>
      <c r="O1168" s="83" t="n">
        <f aca="false">IF(N1168&lt;(Inputs!$E$26-Inputs!$D$26)/(Inputs!$F$26-Inputs!$D$26),Inputs!$D$26+SQRT(N1168*(Inputs!$F$26-Inputs!$D$26)*(Inputs!$E$26-Inputs!$D$26)),Inputs!$F$26-SQRT((1-N1168)*(Inputs!$F$26-Inputs!$D$26)*(Inputs!$F$26-Inputs!$E$26)))</f>
        <v>0.468655994726674</v>
      </c>
      <c r="P1168" s="81" t="n">
        <f aca="true">RAND()</f>
        <v>0.439875865983698</v>
      </c>
      <c r="Q1168" s="82" t="n">
        <f aca="false">IF(P1168&lt;(Inputs!$E$27-Inputs!$D$27)/(Inputs!$F$27-Inputs!$D$27),Inputs!$D$27+SQRT(P1168*(Inputs!$F$27-Inputs!$D$27)*(Inputs!$E$27-Inputs!$D$27)),Inputs!$F$27-SQRT((1-P1168)*(Inputs!$F$27-Inputs!$D$27)*(Inputs!$F$27-Inputs!$E$27)))</f>
        <v>85.1854105534698</v>
      </c>
      <c r="R1168" s="81" t="n">
        <f aca="true">RAND()</f>
        <v>0.743446083864067</v>
      </c>
      <c r="S1168" s="82" t="n">
        <f aca="false">IF(R1168&lt;(Inputs!$E$29-Inputs!$D$29)/(Inputs!$F$29-Inputs!$D$29),Inputs!$D$29+SQRT(R1168*(Inputs!$F$29-Inputs!$D$29)*(Inputs!$E$29-Inputs!$D$29)),Inputs!$F$29-SQRT((1-R1168)*(Inputs!$F$29-Inputs!$D$29)*(Inputs!$F$29-Inputs!$E$29)))</f>
        <v>9.2248801659471</v>
      </c>
      <c r="T1168" s="68" t="n">
        <f aca="false">Inputs!$E$9*(1+E1168)+Inputs!$E$5*C1168*(Inputs!$E$11*Inputs!$E$14*(G1168*I1168/Inputs!$E$16+(1-G1168))*K1168+Inputs!$E$23*M1168)*(1+O1168)+Inputs!$E$5*(Q1168+S1168)</f>
        <v>6416.34789410058</v>
      </c>
    </row>
    <row r="1169" customFormat="false" ht="15" hidden="false" customHeight="false" outlineLevel="0" collapsed="false">
      <c r="A1169" s="1" t="n">
        <v>1165</v>
      </c>
      <c r="B1169" s="81" t="n">
        <f aca="true">RAND()</f>
        <v>0.890822523494336</v>
      </c>
      <c r="C1169" s="82" t="n">
        <f aca="false">ROUND(IF(B1169&lt;(Inputs!$E$8-Inputs!$D$8)/(Inputs!$F$8-Inputs!$D$8),Inputs!$D$8+SQRT(B1169*(Inputs!$F$8-Inputs!$D$8)*(Inputs!$E$8-Inputs!$D$8)),Inputs!$F$8-SQRT((1-B1169)*(Inputs!$F$8-Inputs!$D$8)*(Inputs!$F$8-Inputs!$E$8))),0)</f>
        <v>28</v>
      </c>
      <c r="D1169" s="81" t="n">
        <f aca="true">RAND()</f>
        <v>0.736205833842653</v>
      </c>
      <c r="E1169" s="83" t="n">
        <f aca="false">IF(D1169&lt;(Inputs!$E$10-Inputs!$D$10)/(Inputs!$F$10-Inputs!$D$10),Inputs!$D$10+SQRT(D1169*(Inputs!$F$10-Inputs!$D$10)*(Inputs!$E$10-Inputs!$D$10)),Inputs!$F$10-SQRT((1-D1169)*(Inputs!$F$10-Inputs!$D$10)*(Inputs!$F$10-Inputs!$E$10)))</f>
        <v>0.111040318206952</v>
      </c>
      <c r="F1169" s="81" t="n">
        <f aca="true">RAND()</f>
        <v>0.806572170972344</v>
      </c>
      <c r="G1169" s="83" t="n">
        <f aca="false">IF(F1169&lt;(Inputs!$E$15-Inputs!$D$15)/(Inputs!$F$15-Inputs!$D$15),Inputs!$D$15+SQRT(F1169*(Inputs!$F$15-Inputs!$D$15)*(Inputs!$E$15-Inputs!$D$15)),Inputs!$F$15-SQRT((1-F1169)*(Inputs!$F$15-Inputs!$D$15)*(Inputs!$F$15-Inputs!$E$15)))</f>
        <v>0.7378022783331</v>
      </c>
      <c r="H1169" s="81" t="n">
        <f aca="true">RAND()</f>
        <v>0.9945803250368</v>
      </c>
      <c r="I1169" s="82" t="n">
        <f aca="false">ROUND(IF(H1169&lt;(Inputs!$E$17-Inputs!$D$17)/(Inputs!$F$17-Inputs!$D$17),Inputs!$D$17+SQRT(H1169*(Inputs!$F$17-Inputs!$D$17)*(Inputs!$E$17-Inputs!$D$17)),Inputs!$F$17-SQRT((1-H1169)*(Inputs!$F$17-Inputs!$D$17)*(Inputs!$F$17-Inputs!$E$17))),0)</f>
        <v>114</v>
      </c>
      <c r="J1169" s="81" t="n">
        <f aca="true">RAND()</f>
        <v>0.625482077657144</v>
      </c>
      <c r="K1169" s="83" t="n">
        <f aca="false">IF(J1169&lt;(Inputs!$E$18-Inputs!$D$18)/(Inputs!$F$18-Inputs!$D$18),Inputs!$D$18+SQRT(J1169*(Inputs!$F$18-Inputs!$D$18)*(Inputs!$E$18-Inputs!$D$18)),Inputs!$F$18-SQRT((1-J1169)*(Inputs!$F$18-Inputs!$D$18)*(Inputs!$F$18-Inputs!$E$18)))</f>
        <v>1.06897426093232</v>
      </c>
      <c r="L1169" s="81" t="n">
        <f aca="true">RAND()</f>
        <v>0.00603995293633159</v>
      </c>
      <c r="M1169" s="83" t="n">
        <f aca="false">IF(L1169&lt;(Inputs!$E$24-Inputs!$D$24)/(Inputs!$F$24-Inputs!$D$24),Inputs!$D$24+SQRT(L1169*(Inputs!$F$24-Inputs!$D$24)*(Inputs!$E$24-Inputs!$D$24)),Inputs!$F$24-SQRT((1-L1169)*(Inputs!$F$24-Inputs!$D$24)*(Inputs!$F$24-Inputs!$E$24)))</f>
        <v>0.626922004984024</v>
      </c>
      <c r="N1169" s="81" t="n">
        <f aca="true">RAND()</f>
        <v>0.8916135160706</v>
      </c>
      <c r="O1169" s="83" t="n">
        <f aca="false">IF(N1169&lt;(Inputs!$E$26-Inputs!$D$26)/(Inputs!$F$26-Inputs!$D$26),Inputs!$D$26+SQRT(N1169*(Inputs!$F$26-Inputs!$D$26)*(Inputs!$E$26-Inputs!$D$26)),Inputs!$F$26-SQRT((1-N1169)*(Inputs!$F$26-Inputs!$D$26)*(Inputs!$F$26-Inputs!$E$26)))</f>
        <v>0.713829409304377</v>
      </c>
      <c r="P1169" s="81" t="n">
        <f aca="true">RAND()</f>
        <v>0.539184912174785</v>
      </c>
      <c r="Q1169" s="82" t="n">
        <f aca="false">IF(P1169&lt;(Inputs!$E$27-Inputs!$D$27)/(Inputs!$F$27-Inputs!$D$27),Inputs!$D$27+SQRT(P1169*(Inputs!$F$27-Inputs!$D$27)*(Inputs!$E$27-Inputs!$D$27)),Inputs!$F$27-SQRT((1-P1169)*(Inputs!$F$27-Inputs!$D$27)*(Inputs!$F$27-Inputs!$E$27)))</f>
        <v>91.2112837468863</v>
      </c>
      <c r="R1169" s="81" t="n">
        <f aca="true">RAND()</f>
        <v>0.424525991493873</v>
      </c>
      <c r="S1169" s="82" t="n">
        <f aca="false">IF(R1169&lt;(Inputs!$E$29-Inputs!$D$29)/(Inputs!$F$29-Inputs!$D$29),Inputs!$D$29+SQRT(R1169*(Inputs!$F$29-Inputs!$D$29)*(Inputs!$E$29-Inputs!$D$29)),Inputs!$F$29-SQRT((1-R1169)*(Inputs!$F$29-Inputs!$D$29)*(Inputs!$F$29-Inputs!$E$29)))</f>
        <v>6.35062886067452</v>
      </c>
      <c r="T1169" s="68" t="n">
        <f aca="false">Inputs!$E$9*(1+E1169)+Inputs!$E$5*C1169*(Inputs!$E$11*Inputs!$E$14*(G1169*I1169/Inputs!$E$16+(1-G1169))*K1169+Inputs!$E$23*M1169)*(1+O1169)+Inputs!$E$5*(Q1169+S1169)</f>
        <v>6836.54790136134</v>
      </c>
    </row>
    <row r="1170" customFormat="false" ht="15" hidden="false" customHeight="false" outlineLevel="0" collapsed="false">
      <c r="A1170" s="1" t="n">
        <v>1166</v>
      </c>
      <c r="B1170" s="81" t="n">
        <f aca="true">RAND()</f>
        <v>0.81592273748188</v>
      </c>
      <c r="C1170" s="82" t="n">
        <f aca="false">ROUND(IF(B1170&lt;(Inputs!$E$8-Inputs!$D$8)/(Inputs!$F$8-Inputs!$D$8),Inputs!$D$8+SQRT(B1170*(Inputs!$F$8-Inputs!$D$8)*(Inputs!$E$8-Inputs!$D$8)),Inputs!$F$8-SQRT((1-B1170)*(Inputs!$F$8-Inputs!$D$8)*(Inputs!$F$8-Inputs!$E$8))),0)</f>
        <v>27</v>
      </c>
      <c r="D1170" s="81" t="n">
        <f aca="true">RAND()</f>
        <v>0.55070248326439</v>
      </c>
      <c r="E1170" s="83" t="n">
        <f aca="false">IF(D1170&lt;(Inputs!$E$10-Inputs!$D$10)/(Inputs!$F$10-Inputs!$D$10),Inputs!$D$10+SQRT(D1170*(Inputs!$F$10-Inputs!$D$10)*(Inputs!$E$10-Inputs!$D$10)),Inputs!$F$10-SQRT((1-D1170)*(Inputs!$F$10-Inputs!$D$10)*(Inputs!$F$10-Inputs!$E$10)))</f>
        <v>0.0839012252344225</v>
      </c>
      <c r="F1170" s="81" t="n">
        <f aca="true">RAND()</f>
        <v>0.790960174788017</v>
      </c>
      <c r="G1170" s="83" t="n">
        <f aca="false">IF(F1170&lt;(Inputs!$E$15-Inputs!$D$15)/(Inputs!$F$15-Inputs!$D$15),Inputs!$D$15+SQRT(F1170*(Inputs!$F$15-Inputs!$D$15)*(Inputs!$E$15-Inputs!$D$15)),Inputs!$F$15-SQRT((1-F1170)*(Inputs!$F$15-Inputs!$D$15)*(Inputs!$F$15-Inputs!$E$15)))</f>
        <v>0.735340920945008</v>
      </c>
      <c r="H1170" s="81" t="n">
        <f aca="true">RAND()</f>
        <v>0.875756036539003</v>
      </c>
      <c r="I1170" s="82" t="n">
        <f aca="false">ROUND(IF(H1170&lt;(Inputs!$E$17-Inputs!$D$17)/(Inputs!$F$17-Inputs!$D$17),Inputs!$D$17+SQRT(H1170*(Inputs!$F$17-Inputs!$D$17)*(Inputs!$E$17-Inputs!$D$17)),Inputs!$F$17-SQRT((1-H1170)*(Inputs!$F$17-Inputs!$D$17)*(Inputs!$F$17-Inputs!$E$17))),0)</f>
        <v>111</v>
      </c>
      <c r="J1170" s="81" t="n">
        <f aca="true">RAND()</f>
        <v>0.535640544727076</v>
      </c>
      <c r="K1170" s="83" t="n">
        <f aca="false">IF(J1170&lt;(Inputs!$E$18-Inputs!$D$18)/(Inputs!$F$18-Inputs!$D$18),Inputs!$D$18+SQRT(J1170*(Inputs!$F$18-Inputs!$D$18)*(Inputs!$E$18-Inputs!$D$18)),Inputs!$F$18-SQRT((1-J1170)*(Inputs!$F$18-Inputs!$D$18)*(Inputs!$F$18-Inputs!$E$18)))</f>
        <v>1.04842755065143</v>
      </c>
      <c r="L1170" s="81" t="n">
        <f aca="true">RAND()</f>
        <v>0.0185486822154833</v>
      </c>
      <c r="M1170" s="83" t="n">
        <f aca="false">IF(L1170&lt;(Inputs!$E$24-Inputs!$D$24)/(Inputs!$F$24-Inputs!$D$24),Inputs!$D$24+SQRT(L1170*(Inputs!$F$24-Inputs!$D$24)*(Inputs!$E$24-Inputs!$D$24)),Inputs!$F$24-SQRT((1-L1170)*(Inputs!$F$24-Inputs!$D$24)*(Inputs!$F$24-Inputs!$E$24)))</f>
        <v>0.647178828576577</v>
      </c>
      <c r="N1170" s="81" t="n">
        <f aca="true">RAND()</f>
        <v>0.838495960441344</v>
      </c>
      <c r="O1170" s="83" t="n">
        <f aca="false">IF(N1170&lt;(Inputs!$E$26-Inputs!$D$26)/(Inputs!$F$26-Inputs!$D$26),Inputs!$D$26+SQRT(N1170*(Inputs!$F$26-Inputs!$D$26)*(Inputs!$E$26-Inputs!$D$26)),Inputs!$F$26-SQRT((1-N1170)*(Inputs!$F$26-Inputs!$D$26)*(Inputs!$F$26-Inputs!$E$26)))</f>
        <v>0.690398996477264</v>
      </c>
      <c r="P1170" s="81" t="n">
        <f aca="true">RAND()</f>
        <v>0.352150894089883</v>
      </c>
      <c r="Q1170" s="82" t="n">
        <f aca="false">IF(P1170&lt;(Inputs!$E$27-Inputs!$D$27)/(Inputs!$F$27-Inputs!$D$27),Inputs!$D$27+SQRT(P1170*(Inputs!$F$27-Inputs!$D$27)*(Inputs!$E$27-Inputs!$D$27)),Inputs!$F$27-SQRT((1-P1170)*(Inputs!$F$27-Inputs!$D$27)*(Inputs!$F$27-Inputs!$E$27)))</f>
        <v>80.2944170505269</v>
      </c>
      <c r="R1170" s="81" t="n">
        <f aca="true">RAND()</f>
        <v>0.931218835702134</v>
      </c>
      <c r="S1170" s="82" t="n">
        <f aca="false">IF(R1170&lt;(Inputs!$E$29-Inputs!$D$29)/(Inputs!$F$29-Inputs!$D$29),Inputs!$D$29+SQRT(R1170*(Inputs!$F$29-Inputs!$D$29)*(Inputs!$E$29-Inputs!$D$29)),Inputs!$F$29-SQRT((1-R1170)*(Inputs!$F$29-Inputs!$D$29)*(Inputs!$F$29-Inputs!$E$29)))</f>
        <v>12.0097573077219</v>
      </c>
      <c r="T1170" s="68" t="n">
        <f aca="false">Inputs!$E$9*(1+E1170)+Inputs!$E$5*C1170*(Inputs!$E$11*Inputs!$E$14*(G1170*I1170/Inputs!$E$16+(1-G1170))*K1170+Inputs!$E$23*M1170)*(1+O1170)+Inputs!$E$5*(Q1170+S1170)</f>
        <v>6500.36463505566</v>
      </c>
    </row>
    <row r="1171" customFormat="false" ht="15" hidden="false" customHeight="false" outlineLevel="0" collapsed="false">
      <c r="A1171" s="1" t="n">
        <v>1167</v>
      </c>
      <c r="B1171" s="81" t="n">
        <f aca="true">RAND()</f>
        <v>0.172000500241076</v>
      </c>
      <c r="C1171" s="82" t="n">
        <f aca="false">ROUND(IF(B1171&lt;(Inputs!$E$8-Inputs!$D$8)/(Inputs!$F$8-Inputs!$D$8),Inputs!$D$8+SQRT(B1171*(Inputs!$F$8-Inputs!$D$8)*(Inputs!$E$8-Inputs!$D$8)),Inputs!$F$8-SQRT((1-B1171)*(Inputs!$F$8-Inputs!$D$8)*(Inputs!$F$8-Inputs!$E$8))),0)</f>
        <v>23</v>
      </c>
      <c r="D1171" s="81" t="n">
        <f aca="true">RAND()</f>
        <v>0.581278198136226</v>
      </c>
      <c r="E1171" s="83" t="n">
        <f aca="false">IF(D1171&lt;(Inputs!$E$10-Inputs!$D$10)/(Inputs!$F$10-Inputs!$D$10),Inputs!$D$10+SQRT(D1171*(Inputs!$F$10-Inputs!$D$10)*(Inputs!$E$10-Inputs!$D$10)),Inputs!$F$10-SQRT((1-D1171)*(Inputs!$F$10-Inputs!$D$10)*(Inputs!$F$10-Inputs!$E$10)))</f>
        <v>0.0879212149605768</v>
      </c>
      <c r="F1171" s="81" t="n">
        <f aca="true">RAND()</f>
        <v>0.574799910221956</v>
      </c>
      <c r="G1171" s="83" t="n">
        <f aca="false">IF(F1171&lt;(Inputs!$E$15-Inputs!$D$15)/(Inputs!$F$15-Inputs!$D$15),Inputs!$D$15+SQRT(F1171*(Inputs!$F$15-Inputs!$D$15)*(Inputs!$E$15-Inputs!$D$15)),Inputs!$F$15-SQRT((1-F1171)*(Inputs!$F$15-Inputs!$D$15)*(Inputs!$F$15-Inputs!$E$15)))</f>
        <v>0.707782855197307</v>
      </c>
      <c r="H1171" s="81" t="n">
        <f aca="true">RAND()</f>
        <v>0.882119492166432</v>
      </c>
      <c r="I1171" s="82" t="n">
        <f aca="false">ROUND(IF(H1171&lt;(Inputs!$E$17-Inputs!$D$17)/(Inputs!$F$17-Inputs!$D$17),Inputs!$D$17+SQRT(H1171*(Inputs!$F$17-Inputs!$D$17)*(Inputs!$E$17-Inputs!$D$17)),Inputs!$F$17-SQRT((1-H1171)*(Inputs!$F$17-Inputs!$D$17)*(Inputs!$F$17-Inputs!$E$17))),0)</f>
        <v>111</v>
      </c>
      <c r="J1171" s="81" t="n">
        <f aca="true">RAND()</f>
        <v>0.826509195400918</v>
      </c>
      <c r="K1171" s="83" t="n">
        <f aca="false">IF(J1171&lt;(Inputs!$E$18-Inputs!$D$18)/(Inputs!$F$18-Inputs!$D$18),Inputs!$D$18+SQRT(J1171*(Inputs!$F$18-Inputs!$D$18)*(Inputs!$E$18-Inputs!$D$18)),Inputs!$F$18-SQRT((1-J1171)*(Inputs!$F$18-Inputs!$D$18)*(Inputs!$F$18-Inputs!$E$18)))</f>
        <v>1.12679104982827</v>
      </c>
      <c r="L1171" s="81" t="n">
        <f aca="true">RAND()</f>
        <v>0.647985565079074</v>
      </c>
      <c r="M1171" s="83" t="n">
        <f aca="false">IF(L1171&lt;(Inputs!$E$24-Inputs!$D$24)/(Inputs!$F$24-Inputs!$D$24),Inputs!$D$24+SQRT(L1171*(Inputs!$F$24-Inputs!$D$24)*(Inputs!$E$24-Inputs!$D$24)),Inputs!$F$24-SQRT((1-L1171)*(Inputs!$F$24-Inputs!$D$24)*(Inputs!$F$24-Inputs!$E$24)))</f>
        <v>0.909339606445904</v>
      </c>
      <c r="N1171" s="81" t="n">
        <f aca="true">RAND()</f>
        <v>0.170377751143121</v>
      </c>
      <c r="O1171" s="83" t="n">
        <f aca="false">IF(N1171&lt;(Inputs!$E$26-Inputs!$D$26)/(Inputs!$F$26-Inputs!$D$26),Inputs!$D$26+SQRT(N1171*(Inputs!$F$26-Inputs!$D$26)*(Inputs!$E$26-Inputs!$D$26)),Inputs!$F$26-SQRT((1-N1171)*(Inputs!$F$26-Inputs!$D$26)*(Inputs!$F$26-Inputs!$E$26)))</f>
        <v>0.468377129653096</v>
      </c>
      <c r="P1171" s="81" t="n">
        <f aca="true">RAND()</f>
        <v>0.205645513563379</v>
      </c>
      <c r="Q1171" s="82" t="n">
        <f aca="false">IF(P1171&lt;(Inputs!$E$27-Inputs!$D$27)/(Inputs!$F$27-Inputs!$D$27),Inputs!$D$27+SQRT(P1171*(Inputs!$F$27-Inputs!$D$27)*(Inputs!$E$27-Inputs!$D$27)),Inputs!$F$27-SQRT((1-P1171)*(Inputs!$F$27-Inputs!$D$27)*(Inputs!$F$27-Inputs!$E$27)))</f>
        <v>72.6740773551748</v>
      </c>
      <c r="R1171" s="81" t="n">
        <f aca="true">RAND()</f>
        <v>0.854887297259225</v>
      </c>
      <c r="S1171" s="82" t="n">
        <f aca="false">IF(R1171&lt;(Inputs!$E$29-Inputs!$D$29)/(Inputs!$F$29-Inputs!$D$29),Inputs!$D$29+SQRT(R1171*(Inputs!$F$29-Inputs!$D$29)*(Inputs!$E$29-Inputs!$D$29)),Inputs!$F$29-SQRT((1-R1171)*(Inputs!$F$29-Inputs!$D$29)*(Inputs!$F$29-Inputs!$E$29)))</f>
        <v>10.6566543591028</v>
      </c>
      <c r="T1171" s="68" t="n">
        <f aca="false">Inputs!$E$9*(1+E1171)+Inputs!$E$5*C1171*(Inputs!$E$11*Inputs!$E$14*(G1171*I1171/Inputs!$E$16+(1-G1171))*K1171+Inputs!$E$23*M1171)*(1+O1171)+Inputs!$E$5*(Q1171+S1171)</f>
        <v>6005.94003049627</v>
      </c>
    </row>
    <row r="1172" customFormat="false" ht="15" hidden="false" customHeight="false" outlineLevel="0" collapsed="false">
      <c r="A1172" s="1" t="n">
        <v>1168</v>
      </c>
      <c r="B1172" s="81" t="n">
        <f aca="true">RAND()</f>
        <v>0.360450227016073</v>
      </c>
      <c r="C1172" s="82" t="n">
        <f aca="false">ROUND(IF(B1172&lt;(Inputs!$E$8-Inputs!$D$8)/(Inputs!$F$8-Inputs!$D$8),Inputs!$D$8+SQRT(B1172*(Inputs!$F$8-Inputs!$D$8)*(Inputs!$E$8-Inputs!$D$8)),Inputs!$F$8-SQRT((1-B1172)*(Inputs!$F$8-Inputs!$D$8)*(Inputs!$F$8-Inputs!$E$8))),0)</f>
        <v>24</v>
      </c>
      <c r="D1172" s="81" t="n">
        <f aca="true">RAND()</f>
        <v>0.529768899284652</v>
      </c>
      <c r="E1172" s="83" t="n">
        <f aca="false">IF(D1172&lt;(Inputs!$E$10-Inputs!$D$10)/(Inputs!$F$10-Inputs!$D$10),Inputs!$D$10+SQRT(D1172*(Inputs!$F$10-Inputs!$D$10)*(Inputs!$E$10-Inputs!$D$10)),Inputs!$F$10-SQRT((1-D1172)*(Inputs!$F$10-Inputs!$D$10)*(Inputs!$F$10-Inputs!$E$10)))</f>
        <v>0.0812273894306417</v>
      </c>
      <c r="F1172" s="81" t="n">
        <f aca="true">RAND()</f>
        <v>0.378966956288571</v>
      </c>
      <c r="G1172" s="83" t="n">
        <f aca="false">IF(F1172&lt;(Inputs!$E$15-Inputs!$D$15)/(Inputs!$F$15-Inputs!$D$15),Inputs!$D$15+SQRT(F1172*(Inputs!$F$15-Inputs!$D$15)*(Inputs!$E$15-Inputs!$D$15)),Inputs!$F$15-SQRT((1-F1172)*(Inputs!$F$15-Inputs!$D$15)*(Inputs!$F$15-Inputs!$E$15)))</f>
        <v>0.687059399985133</v>
      </c>
      <c r="H1172" s="81" t="n">
        <f aca="true">RAND()</f>
        <v>0.517830468415391</v>
      </c>
      <c r="I1172" s="82" t="n">
        <f aca="false">ROUND(IF(H1172&lt;(Inputs!$E$17-Inputs!$D$17)/(Inputs!$F$17-Inputs!$D$17),Inputs!$D$17+SQRT(H1172*(Inputs!$F$17-Inputs!$D$17)*(Inputs!$E$17-Inputs!$D$17)),Inputs!$F$17-SQRT((1-H1172)*(Inputs!$F$17-Inputs!$D$17)*(Inputs!$F$17-Inputs!$E$17))),0)</f>
        <v>106</v>
      </c>
      <c r="J1172" s="81" t="n">
        <f aca="true">RAND()</f>
        <v>0.882205188969674</v>
      </c>
      <c r="K1172" s="83" t="n">
        <f aca="false">IF(J1172&lt;(Inputs!$E$18-Inputs!$D$18)/(Inputs!$F$18-Inputs!$D$18),Inputs!$D$18+SQRT(J1172*(Inputs!$F$18-Inputs!$D$18)*(Inputs!$E$18-Inputs!$D$18)),Inputs!$F$18-SQRT((1-J1172)*(Inputs!$F$18-Inputs!$D$18)*(Inputs!$F$18-Inputs!$E$18)))</f>
        <v>1.14847637730482</v>
      </c>
      <c r="L1172" s="81" t="n">
        <f aca="true">RAND()</f>
        <v>0.459450662404638</v>
      </c>
      <c r="M1172" s="83" t="n">
        <f aca="false">IF(L1172&lt;(Inputs!$E$24-Inputs!$D$24)/(Inputs!$F$24-Inputs!$D$24),Inputs!$D$24+SQRT(L1172*(Inputs!$F$24-Inputs!$D$24)*(Inputs!$E$24-Inputs!$D$24)),Inputs!$F$24-SQRT((1-L1172)*(Inputs!$F$24-Inputs!$D$24)*(Inputs!$F$24-Inputs!$E$24)))</f>
        <v>0.839816934014261</v>
      </c>
      <c r="N1172" s="81" t="n">
        <f aca="true">RAND()</f>
        <v>0.832903111686048</v>
      </c>
      <c r="O1172" s="83" t="n">
        <f aca="false">IF(N1172&lt;(Inputs!$E$26-Inputs!$D$26)/(Inputs!$F$26-Inputs!$D$26),Inputs!$D$26+SQRT(N1172*(Inputs!$F$26-Inputs!$D$26)*(Inputs!$E$26-Inputs!$D$26)),Inputs!$F$26-SQRT((1-N1172)*(Inputs!$F$26-Inputs!$D$26)*(Inputs!$F$26-Inputs!$E$26)))</f>
        <v>0.68817406785973</v>
      </c>
      <c r="P1172" s="81" t="n">
        <f aca="true">RAND()</f>
        <v>0.483231493130563</v>
      </c>
      <c r="Q1172" s="82" t="n">
        <f aca="false">IF(P1172&lt;(Inputs!$E$27-Inputs!$D$27)/(Inputs!$F$27-Inputs!$D$27),Inputs!$D$27+SQRT(P1172*(Inputs!$F$27-Inputs!$D$27)*(Inputs!$E$27-Inputs!$D$27)),Inputs!$F$27-SQRT((1-P1172)*(Inputs!$F$27-Inputs!$D$27)*(Inputs!$F$27-Inputs!$E$27)))</f>
        <v>87.7443673108948</v>
      </c>
      <c r="R1172" s="81" t="n">
        <f aca="true">RAND()</f>
        <v>0.336733086060011</v>
      </c>
      <c r="S1172" s="82" t="n">
        <f aca="false">IF(R1172&lt;(Inputs!$E$29-Inputs!$D$29)/(Inputs!$F$29-Inputs!$D$29),Inputs!$D$29+SQRT(R1172*(Inputs!$F$29-Inputs!$D$29)*(Inputs!$E$29-Inputs!$D$29)),Inputs!$F$29-SQRT((1-R1172)*(Inputs!$F$29-Inputs!$D$29)*(Inputs!$F$29-Inputs!$E$29)))</f>
        <v>5.71427445956975</v>
      </c>
      <c r="T1172" s="68" t="n">
        <f aca="false">Inputs!$E$9*(1+E1172)+Inputs!$E$5*C1172*(Inputs!$E$11*Inputs!$E$14*(G1172*I1172/Inputs!$E$16+(1-G1172))*K1172+Inputs!$E$23*M1172)*(1+O1172)+Inputs!$E$5*(Q1172+S1172)</f>
        <v>6591.22750576601</v>
      </c>
    </row>
    <row r="1173" customFormat="false" ht="15" hidden="false" customHeight="false" outlineLevel="0" collapsed="false">
      <c r="A1173" s="1" t="n">
        <v>1169</v>
      </c>
      <c r="B1173" s="81" t="n">
        <f aca="true">RAND()</f>
        <v>0.0591190843283566</v>
      </c>
      <c r="C1173" s="82" t="n">
        <f aca="false">ROUND(IF(B1173&lt;(Inputs!$E$8-Inputs!$D$8)/(Inputs!$F$8-Inputs!$D$8),Inputs!$D$8+SQRT(B1173*(Inputs!$F$8-Inputs!$D$8)*(Inputs!$E$8-Inputs!$D$8)),Inputs!$F$8-SQRT((1-B1173)*(Inputs!$F$8-Inputs!$D$8)*(Inputs!$F$8-Inputs!$E$8))),0)</f>
        <v>22</v>
      </c>
      <c r="D1173" s="81" t="n">
        <f aca="true">RAND()</f>
        <v>0.0486830046966463</v>
      </c>
      <c r="E1173" s="83" t="n">
        <f aca="false">IF(D1173&lt;(Inputs!$E$10-Inputs!$D$10)/(Inputs!$F$10-Inputs!$D$10),Inputs!$D$10+SQRT(D1173*(Inputs!$F$10-Inputs!$D$10)*(Inputs!$E$10-Inputs!$D$10)),Inputs!$F$10-SQRT((1-D1173)*(Inputs!$F$10-Inputs!$D$10)*(Inputs!$F$10-Inputs!$E$10)))</f>
        <v>0.0220642255011696</v>
      </c>
      <c r="F1173" s="81" t="n">
        <f aca="true">RAND()</f>
        <v>0.176543194248176</v>
      </c>
      <c r="G1173" s="83" t="n">
        <f aca="false">IF(F1173&lt;(Inputs!$E$15-Inputs!$D$15)/(Inputs!$F$15-Inputs!$D$15),Inputs!$D$15+SQRT(F1173*(Inputs!$F$15-Inputs!$D$15)*(Inputs!$E$15-Inputs!$D$15)),Inputs!$F$15-SQRT((1-F1173)*(Inputs!$F$15-Inputs!$D$15)*(Inputs!$F$15-Inputs!$E$15)))</f>
        <v>0.659421072734877</v>
      </c>
      <c r="H1173" s="81" t="n">
        <f aca="true">RAND()</f>
        <v>0.908179570475307</v>
      </c>
      <c r="I1173" s="82" t="n">
        <f aca="false">ROUND(IF(H1173&lt;(Inputs!$E$17-Inputs!$D$17)/(Inputs!$F$17-Inputs!$D$17),Inputs!$D$17+SQRT(H1173*(Inputs!$F$17-Inputs!$D$17)*(Inputs!$E$17-Inputs!$D$17)),Inputs!$F$17-SQRT((1-H1173)*(Inputs!$F$17-Inputs!$D$17)*(Inputs!$F$17-Inputs!$E$17))),0)</f>
        <v>111</v>
      </c>
      <c r="J1173" s="81" t="n">
        <f aca="true">RAND()</f>
        <v>0.648007319664171</v>
      </c>
      <c r="K1173" s="83" t="n">
        <f aca="false">IF(J1173&lt;(Inputs!$E$18-Inputs!$D$18)/(Inputs!$F$18-Inputs!$D$18),Inputs!$D$18+SQRT(J1173*(Inputs!$F$18-Inputs!$D$18)*(Inputs!$E$18-Inputs!$D$18)),Inputs!$F$18-SQRT((1-J1173)*(Inputs!$F$18-Inputs!$D$18)*(Inputs!$F$18-Inputs!$E$18)))</f>
        <v>1.07450253697166</v>
      </c>
      <c r="L1173" s="81" t="n">
        <f aca="true">RAND()</f>
        <v>0.777562833148725</v>
      </c>
      <c r="M1173" s="83" t="n">
        <f aca="false">IF(L1173&lt;(Inputs!$E$24-Inputs!$D$24)/(Inputs!$F$24-Inputs!$D$24),Inputs!$D$24+SQRT(L1173*(Inputs!$F$24-Inputs!$D$24)*(Inputs!$E$24-Inputs!$D$24)),Inputs!$F$24-SQRT((1-L1173)*(Inputs!$F$24-Inputs!$D$24)*(Inputs!$F$24-Inputs!$E$24)))</f>
        <v>0.968948230813296</v>
      </c>
      <c r="N1173" s="81" t="n">
        <f aca="true">RAND()</f>
        <v>0.578132661787235</v>
      </c>
      <c r="O1173" s="83" t="n">
        <f aca="false">IF(N1173&lt;(Inputs!$E$26-Inputs!$D$26)/(Inputs!$F$26-Inputs!$D$26),Inputs!$D$26+SQRT(N1173*(Inputs!$F$26-Inputs!$D$26)*(Inputs!$E$26-Inputs!$D$26)),Inputs!$F$26-SQRT((1-N1173)*(Inputs!$F$26-Inputs!$D$26)*(Inputs!$F$26-Inputs!$E$26)))</f>
        <v>0.610163303634385</v>
      </c>
      <c r="P1173" s="81" t="n">
        <f aca="true">RAND()</f>
        <v>0.557551786932346</v>
      </c>
      <c r="Q1173" s="82" t="n">
        <f aca="false">IF(P1173&lt;(Inputs!$E$27-Inputs!$D$27)/(Inputs!$F$27-Inputs!$D$27),Inputs!$D$27+SQRT(P1173*(Inputs!$F$27-Inputs!$D$27)*(Inputs!$E$27-Inputs!$D$27)),Inputs!$F$27-SQRT((1-P1173)*(Inputs!$F$27-Inputs!$D$27)*(Inputs!$F$27-Inputs!$E$27)))</f>
        <v>92.3947780317842</v>
      </c>
      <c r="R1173" s="81" t="n">
        <f aca="true">RAND()</f>
        <v>0.829605629737875</v>
      </c>
      <c r="S1173" s="82" t="n">
        <f aca="false">IF(R1173&lt;(Inputs!$E$29-Inputs!$D$29)/(Inputs!$F$29-Inputs!$D$29),Inputs!$D$29+SQRT(R1173*(Inputs!$F$29-Inputs!$D$29)*(Inputs!$E$29-Inputs!$D$29)),Inputs!$F$29-SQRT((1-R1173)*(Inputs!$F$29-Inputs!$D$29)*(Inputs!$F$29-Inputs!$E$29)))</f>
        <v>10.2934866265912</v>
      </c>
      <c r="T1173" s="68" t="n">
        <f aca="false">Inputs!$E$9*(1+E1173)+Inputs!$E$5*C1173*(Inputs!$E$11*Inputs!$E$14*(G1173*I1173/Inputs!$E$16+(1-G1173))*K1173+Inputs!$E$23*M1173)*(1+O1173)+Inputs!$E$5*(Q1173+S1173)</f>
        <v>6143.79056670853</v>
      </c>
    </row>
    <row r="1174" customFormat="false" ht="15" hidden="false" customHeight="false" outlineLevel="0" collapsed="false">
      <c r="A1174" s="1" t="n">
        <v>1170</v>
      </c>
      <c r="B1174" s="81" t="n">
        <f aca="true">RAND()</f>
        <v>0.79766782696472</v>
      </c>
      <c r="C1174" s="82" t="n">
        <f aca="false">ROUND(IF(B1174&lt;(Inputs!$E$8-Inputs!$D$8)/(Inputs!$F$8-Inputs!$D$8),Inputs!$D$8+SQRT(B1174*(Inputs!$F$8-Inputs!$D$8)*(Inputs!$E$8-Inputs!$D$8)),Inputs!$F$8-SQRT((1-B1174)*(Inputs!$F$8-Inputs!$D$8)*(Inputs!$F$8-Inputs!$E$8))),0)</f>
        <v>27</v>
      </c>
      <c r="D1174" s="81" t="n">
        <f aca="true">RAND()</f>
        <v>0.580496210607944</v>
      </c>
      <c r="E1174" s="83" t="n">
        <f aca="false">IF(D1174&lt;(Inputs!$E$10-Inputs!$D$10)/(Inputs!$F$10-Inputs!$D$10),Inputs!$D$10+SQRT(D1174*(Inputs!$F$10-Inputs!$D$10)*(Inputs!$E$10-Inputs!$D$10)),Inputs!$F$10-SQRT((1-D1174)*(Inputs!$F$10-Inputs!$D$10)*(Inputs!$F$10-Inputs!$E$10)))</f>
        <v>0.0878166069252597</v>
      </c>
      <c r="F1174" s="81" t="n">
        <f aca="true">RAND()</f>
        <v>0.542168536717494</v>
      </c>
      <c r="G1174" s="83" t="n">
        <f aca="false">IF(F1174&lt;(Inputs!$E$15-Inputs!$D$15)/(Inputs!$F$15-Inputs!$D$15),Inputs!$D$15+SQRT(F1174*(Inputs!$F$15-Inputs!$D$15)*(Inputs!$E$15-Inputs!$D$15)),Inputs!$F$15-SQRT((1-F1174)*(Inputs!$F$15-Inputs!$D$15)*(Inputs!$F$15-Inputs!$E$15)))</f>
        <v>0.704309722198908</v>
      </c>
      <c r="H1174" s="81" t="n">
        <f aca="true">RAND()</f>
        <v>0.437924493039996</v>
      </c>
      <c r="I1174" s="82" t="n">
        <f aca="false">ROUND(IF(H1174&lt;(Inputs!$E$17-Inputs!$D$17)/(Inputs!$F$17-Inputs!$D$17),Inputs!$D$17+SQRT(H1174*(Inputs!$F$17-Inputs!$D$17)*(Inputs!$E$17-Inputs!$D$17)),Inputs!$F$17-SQRT((1-H1174)*(Inputs!$F$17-Inputs!$D$17)*(Inputs!$F$17-Inputs!$E$17))),0)</f>
        <v>106</v>
      </c>
      <c r="J1174" s="81" t="n">
        <f aca="true">RAND()</f>
        <v>0.728521814591439</v>
      </c>
      <c r="K1174" s="83" t="n">
        <f aca="false">IF(J1174&lt;(Inputs!$E$18-Inputs!$D$18)/(Inputs!$F$18-Inputs!$D$18),Inputs!$D$18+SQRT(J1174*(Inputs!$F$18-Inputs!$D$18)*(Inputs!$E$18-Inputs!$D$18)),Inputs!$F$18-SQRT((1-J1174)*(Inputs!$F$18-Inputs!$D$18)*(Inputs!$F$18-Inputs!$E$18)))</f>
        <v>1.09587556578125</v>
      </c>
      <c r="L1174" s="81" t="n">
        <f aca="true">RAND()</f>
        <v>0.261937625116259</v>
      </c>
      <c r="M1174" s="83" t="n">
        <f aca="false">IF(L1174&lt;(Inputs!$E$24-Inputs!$D$24)/(Inputs!$F$24-Inputs!$D$24),Inputs!$D$24+SQRT(L1174*(Inputs!$F$24-Inputs!$D$24)*(Inputs!$E$24-Inputs!$D$24)),Inputs!$F$24-SQRT((1-L1174)*(Inputs!$F$24-Inputs!$D$24)*(Inputs!$F$24-Inputs!$E$24)))</f>
        <v>0.77729217414751</v>
      </c>
      <c r="N1174" s="81" t="n">
        <f aca="true">RAND()</f>
        <v>0.829113434291875</v>
      </c>
      <c r="O1174" s="83" t="n">
        <f aca="false">IF(N1174&lt;(Inputs!$E$26-Inputs!$D$26)/(Inputs!$F$26-Inputs!$D$26),Inputs!$D$26+SQRT(N1174*(Inputs!$F$26-Inputs!$D$26)*(Inputs!$E$26-Inputs!$D$26)),Inputs!$F$26-SQRT((1-N1174)*(Inputs!$F$26-Inputs!$D$26)*(Inputs!$F$26-Inputs!$E$26)))</f>
        <v>0.686687574346406</v>
      </c>
      <c r="P1174" s="81" t="n">
        <f aca="true">RAND()</f>
        <v>0.793871599329491</v>
      </c>
      <c r="Q1174" s="82" t="n">
        <f aca="false">IF(P1174&lt;(Inputs!$E$27-Inputs!$D$27)/(Inputs!$F$27-Inputs!$D$27),Inputs!$D$27+SQRT(P1174*(Inputs!$F$27-Inputs!$D$27)*(Inputs!$E$27-Inputs!$D$27)),Inputs!$F$27-SQRT((1-P1174)*(Inputs!$F$27-Inputs!$D$27)*(Inputs!$F$27-Inputs!$E$27)))</f>
        <v>110.68126394416</v>
      </c>
      <c r="R1174" s="81" t="n">
        <f aca="true">RAND()</f>
        <v>0.491201442654087</v>
      </c>
      <c r="S1174" s="82" t="n">
        <f aca="false">IF(R1174&lt;(Inputs!$E$29-Inputs!$D$29)/(Inputs!$F$29-Inputs!$D$29),Inputs!$D$29+SQRT(R1174*(Inputs!$F$29-Inputs!$D$29)*(Inputs!$E$29-Inputs!$D$29)),Inputs!$F$29-SQRT((1-R1174)*(Inputs!$F$29-Inputs!$D$29)*(Inputs!$F$29-Inputs!$E$29)))</f>
        <v>6.86711536692124</v>
      </c>
      <c r="T1174" s="68" t="n">
        <f aca="false">Inputs!$E$9*(1+E1174)+Inputs!$E$5*C1174*(Inputs!$E$11*Inputs!$E$14*(G1174*I1174/Inputs!$E$16+(1-G1174))*K1174+Inputs!$E$23*M1174)*(1+O1174)+Inputs!$E$5*(Q1174+S1174)</f>
        <v>6930.43436346673</v>
      </c>
    </row>
    <row r="1175" customFormat="false" ht="15" hidden="false" customHeight="false" outlineLevel="0" collapsed="false">
      <c r="A1175" s="1" t="n">
        <v>1171</v>
      </c>
      <c r="B1175" s="81" t="n">
        <f aca="true">RAND()</f>
        <v>0.639773979570646</v>
      </c>
      <c r="C1175" s="82" t="n">
        <f aca="false">ROUND(IF(B1175&lt;(Inputs!$E$8-Inputs!$D$8)/(Inputs!$F$8-Inputs!$D$8),Inputs!$D$8+SQRT(B1175*(Inputs!$F$8-Inputs!$D$8)*(Inputs!$E$8-Inputs!$D$8)),Inputs!$F$8-SQRT((1-B1175)*(Inputs!$F$8-Inputs!$D$8)*(Inputs!$F$8-Inputs!$E$8))),0)</f>
        <v>26</v>
      </c>
      <c r="D1175" s="81" t="n">
        <f aca="true">RAND()</f>
        <v>0.201787697157666</v>
      </c>
      <c r="E1175" s="83" t="n">
        <f aca="false">IF(D1175&lt;(Inputs!$E$10-Inputs!$D$10)/(Inputs!$F$10-Inputs!$D$10),Inputs!$D$10+SQRT(D1175*(Inputs!$F$10-Inputs!$D$10)*(Inputs!$E$10-Inputs!$D$10)),Inputs!$F$10-SQRT((1-D1175)*(Inputs!$F$10-Inputs!$D$10)*(Inputs!$F$10-Inputs!$E$10)))</f>
        <v>0.0449207855182505</v>
      </c>
      <c r="F1175" s="81" t="n">
        <f aca="true">RAND()</f>
        <v>0.926474280130027</v>
      </c>
      <c r="G1175" s="83" t="n">
        <f aca="false">IF(F1175&lt;(Inputs!$E$15-Inputs!$D$15)/(Inputs!$F$15-Inputs!$D$15),Inputs!$D$15+SQRT(F1175*(Inputs!$F$15-Inputs!$D$15)*(Inputs!$E$15-Inputs!$D$15)),Inputs!$F$15-SQRT((1-F1175)*(Inputs!$F$15-Inputs!$D$15)*(Inputs!$F$15-Inputs!$E$15)))</f>
        <v>0.761652713298077</v>
      </c>
      <c r="H1175" s="81" t="n">
        <f aca="true">RAND()</f>
        <v>0.634570505786881</v>
      </c>
      <c r="I1175" s="82" t="n">
        <f aca="false">ROUND(IF(H1175&lt;(Inputs!$E$17-Inputs!$D$17)/(Inputs!$F$17-Inputs!$D$17),Inputs!$D$17+SQRT(H1175*(Inputs!$F$17-Inputs!$D$17)*(Inputs!$E$17-Inputs!$D$17)),Inputs!$F$17-SQRT((1-H1175)*(Inputs!$F$17-Inputs!$D$17)*(Inputs!$F$17-Inputs!$E$17))),0)</f>
        <v>108</v>
      </c>
      <c r="J1175" s="81" t="n">
        <f aca="true">RAND()</f>
        <v>0.180637657745553</v>
      </c>
      <c r="K1175" s="83" t="n">
        <f aca="false">IF(J1175&lt;(Inputs!$E$18-Inputs!$D$18)/(Inputs!$F$18-Inputs!$D$18),Inputs!$D$18+SQRT(J1175*(Inputs!$F$18-Inputs!$D$18)*(Inputs!$E$18-Inputs!$D$18)),Inputs!$F$18-SQRT((1-J1175)*(Inputs!$F$18-Inputs!$D$18)*(Inputs!$F$18-Inputs!$E$18)))</f>
        <v>0.979513005358208</v>
      </c>
      <c r="L1175" s="81" t="n">
        <f aca="true">RAND()</f>
        <v>0.763333740905022</v>
      </c>
      <c r="M1175" s="83" t="n">
        <f aca="false">IF(L1175&lt;(Inputs!$E$24-Inputs!$D$24)/(Inputs!$F$24-Inputs!$D$24),Inputs!$D$24+SQRT(L1175*(Inputs!$F$24-Inputs!$D$24)*(Inputs!$E$24-Inputs!$D$24)),Inputs!$F$24-SQRT((1-L1175)*(Inputs!$F$24-Inputs!$D$24)*(Inputs!$F$24-Inputs!$E$24)))</f>
        <v>0.961672699459767</v>
      </c>
      <c r="N1175" s="81" t="n">
        <f aca="true">RAND()</f>
        <v>0.76750929728361</v>
      </c>
      <c r="O1175" s="83" t="n">
        <f aca="false">IF(N1175&lt;(Inputs!$E$26-Inputs!$D$26)/(Inputs!$F$26-Inputs!$D$26),Inputs!$D$26+SQRT(N1175*(Inputs!$F$26-Inputs!$D$26)*(Inputs!$E$26-Inputs!$D$26)),Inputs!$F$26-SQRT((1-N1175)*(Inputs!$F$26-Inputs!$D$26)*(Inputs!$F$26-Inputs!$E$26)))</f>
        <v>0.664503912967224</v>
      </c>
      <c r="P1175" s="81" t="n">
        <f aca="true">RAND()</f>
        <v>0.264182498812051</v>
      </c>
      <c r="Q1175" s="82" t="n">
        <f aca="false">IF(P1175&lt;(Inputs!$E$27-Inputs!$D$27)/(Inputs!$F$27-Inputs!$D$27),Inputs!$D$27+SQRT(P1175*(Inputs!$F$27-Inputs!$D$27)*(Inputs!$E$27-Inputs!$D$27)),Inputs!$F$27-SQRT((1-P1175)*(Inputs!$F$27-Inputs!$D$27)*(Inputs!$F$27-Inputs!$E$27)))</f>
        <v>75.7125094049502</v>
      </c>
      <c r="R1175" s="81" t="n">
        <f aca="true">RAND()</f>
        <v>0.577843452730982</v>
      </c>
      <c r="S1175" s="82" t="n">
        <f aca="false">IF(R1175&lt;(Inputs!$E$29-Inputs!$D$29)/(Inputs!$F$29-Inputs!$D$29),Inputs!$D$29+SQRT(R1175*(Inputs!$F$29-Inputs!$D$29)*(Inputs!$E$29-Inputs!$D$29)),Inputs!$F$29-SQRT((1-R1175)*(Inputs!$F$29-Inputs!$D$29)*(Inputs!$F$29-Inputs!$E$29)))</f>
        <v>7.59187262899912</v>
      </c>
      <c r="T1175" s="68" t="n">
        <f aca="false">Inputs!$E$9*(1+E1175)+Inputs!$E$5*C1175*(Inputs!$E$11*Inputs!$E$14*(G1175*I1175/Inputs!$E$16+(1-G1175))*K1175+Inputs!$E$23*M1175)*(1+O1175)+Inputs!$E$5*(Q1175+S1175)</f>
        <v>6428.78486728898</v>
      </c>
    </row>
    <row r="1176" customFormat="false" ht="15" hidden="false" customHeight="false" outlineLevel="0" collapsed="false">
      <c r="A1176" s="1" t="n">
        <v>1172</v>
      </c>
      <c r="B1176" s="81" t="n">
        <f aca="true">RAND()</f>
        <v>0.543070260439758</v>
      </c>
      <c r="C1176" s="82" t="n">
        <f aca="false">ROUND(IF(B1176&lt;(Inputs!$E$8-Inputs!$D$8)/(Inputs!$F$8-Inputs!$D$8),Inputs!$D$8+SQRT(B1176*(Inputs!$F$8-Inputs!$D$8)*(Inputs!$E$8-Inputs!$D$8)),Inputs!$F$8-SQRT((1-B1176)*(Inputs!$F$8-Inputs!$D$8)*(Inputs!$F$8-Inputs!$E$8))),0)</f>
        <v>25</v>
      </c>
      <c r="D1176" s="81" t="n">
        <f aca="true">RAND()</f>
        <v>0.307913391854065</v>
      </c>
      <c r="E1176" s="83" t="n">
        <f aca="false">IF(D1176&lt;(Inputs!$E$10-Inputs!$D$10)/(Inputs!$F$10-Inputs!$D$10),Inputs!$D$10+SQRT(D1176*(Inputs!$F$10-Inputs!$D$10)*(Inputs!$E$10-Inputs!$D$10)),Inputs!$F$10-SQRT((1-D1176)*(Inputs!$F$10-Inputs!$D$10)*(Inputs!$F$10-Inputs!$E$10)))</f>
        <v>0.055907674581961</v>
      </c>
      <c r="F1176" s="81" t="n">
        <f aca="true">RAND()</f>
        <v>0.538044332865001</v>
      </c>
      <c r="G1176" s="83" t="n">
        <f aca="false">IF(F1176&lt;(Inputs!$E$15-Inputs!$D$15)/(Inputs!$F$15-Inputs!$D$15),Inputs!$D$15+SQRT(F1176*(Inputs!$F$15-Inputs!$D$15)*(Inputs!$E$15-Inputs!$D$15)),Inputs!$F$15-SQRT((1-F1176)*(Inputs!$F$15-Inputs!$D$15)*(Inputs!$F$15-Inputs!$E$15)))</f>
        <v>0.703879693390523</v>
      </c>
      <c r="H1176" s="81" t="n">
        <f aca="true">RAND()</f>
        <v>0.220917063020722</v>
      </c>
      <c r="I1176" s="82" t="n">
        <f aca="false">ROUND(IF(H1176&lt;(Inputs!$E$17-Inputs!$D$17)/(Inputs!$F$17-Inputs!$D$17),Inputs!$D$17+SQRT(H1176*(Inputs!$F$17-Inputs!$D$17)*(Inputs!$E$17-Inputs!$D$17)),Inputs!$F$17-SQRT((1-H1176)*(Inputs!$F$17-Inputs!$D$17)*(Inputs!$F$17-Inputs!$E$17))),0)</f>
        <v>104</v>
      </c>
      <c r="J1176" s="81" t="n">
        <f aca="true">RAND()</f>
        <v>0.797964058495196</v>
      </c>
      <c r="K1176" s="83" t="n">
        <f aca="false">IF(J1176&lt;(Inputs!$E$18-Inputs!$D$18)/(Inputs!$F$18-Inputs!$D$18),Inputs!$D$18+SQRT(J1176*(Inputs!$F$18-Inputs!$D$18)*(Inputs!$E$18-Inputs!$D$18)),Inputs!$F$18-SQRT((1-J1176)*(Inputs!$F$18-Inputs!$D$18)*(Inputs!$F$18-Inputs!$E$18)))</f>
        <v>1.11704081497817</v>
      </c>
      <c r="L1176" s="81" t="n">
        <f aca="true">RAND()</f>
        <v>0.0385324823868009</v>
      </c>
      <c r="M1176" s="83" t="n">
        <f aca="false">IF(L1176&lt;(Inputs!$E$24-Inputs!$D$24)/(Inputs!$F$24-Inputs!$D$24),Inputs!$D$24+SQRT(L1176*(Inputs!$F$24-Inputs!$D$24)*(Inputs!$E$24-Inputs!$D$24)),Inputs!$F$24-SQRT((1-L1176)*(Inputs!$F$24-Inputs!$D$24)*(Inputs!$F$24-Inputs!$E$24)))</f>
        <v>0.667999249160679</v>
      </c>
      <c r="N1176" s="81" t="n">
        <f aca="true">RAND()</f>
        <v>0.319519907942883</v>
      </c>
      <c r="O1176" s="83" t="n">
        <f aca="false">IF(N1176&lt;(Inputs!$E$26-Inputs!$D$26)/(Inputs!$F$26-Inputs!$D$26),Inputs!$D$26+SQRT(N1176*(Inputs!$F$26-Inputs!$D$26)*(Inputs!$E$26-Inputs!$D$26)),Inputs!$F$26-SQRT((1-N1176)*(Inputs!$F$26-Inputs!$D$26)*(Inputs!$F$26-Inputs!$E$26)))</f>
        <v>0.53058211700324</v>
      </c>
      <c r="P1176" s="81" t="n">
        <f aca="true">RAND()</f>
        <v>0.9947712468736</v>
      </c>
      <c r="Q1176" s="82" t="n">
        <f aca="false">IF(P1176&lt;(Inputs!$E$27-Inputs!$D$27)/(Inputs!$F$27-Inputs!$D$27),Inputs!$D$27+SQRT(P1176*(Inputs!$F$27-Inputs!$D$27)*(Inputs!$E$27-Inputs!$D$27)),Inputs!$F$27-SQRT((1-P1176)*(Inputs!$F$27-Inputs!$D$27)*(Inputs!$F$27-Inputs!$E$27)))</f>
        <v>143.737760109354</v>
      </c>
      <c r="R1176" s="81" t="n">
        <f aca="true">RAND()</f>
        <v>0.732354740333602</v>
      </c>
      <c r="S1176" s="82" t="n">
        <f aca="false">IF(R1176&lt;(Inputs!$E$29-Inputs!$D$29)/(Inputs!$F$29-Inputs!$D$29),Inputs!$D$29+SQRT(R1176*(Inputs!$F$29-Inputs!$D$29)*(Inputs!$E$29-Inputs!$D$29)),Inputs!$F$29-SQRT((1-R1176)*(Inputs!$F$29-Inputs!$D$29)*(Inputs!$F$29-Inputs!$E$29)))</f>
        <v>9.10136594145461</v>
      </c>
      <c r="T1176" s="68" t="n">
        <f aca="false">Inputs!$E$9*(1+E1176)+Inputs!$E$5*C1176*(Inputs!$E$11*Inputs!$E$14*(G1176*I1176/Inputs!$E$16+(1-G1176))*K1176+Inputs!$E$23*M1176)*(1+O1176)+Inputs!$E$5*(Q1176+S1176)</f>
        <v>6275.74967286922</v>
      </c>
    </row>
    <row r="1177" customFormat="false" ht="15" hidden="false" customHeight="false" outlineLevel="0" collapsed="false">
      <c r="A1177" s="1" t="n">
        <v>1173</v>
      </c>
      <c r="B1177" s="81" t="n">
        <f aca="true">RAND()</f>
        <v>0.93402130478044</v>
      </c>
      <c r="C1177" s="82" t="n">
        <f aca="false">ROUND(IF(B1177&lt;(Inputs!$E$8-Inputs!$D$8)/(Inputs!$F$8-Inputs!$D$8),Inputs!$D$8+SQRT(B1177*(Inputs!$F$8-Inputs!$D$8)*(Inputs!$E$8-Inputs!$D$8)),Inputs!$F$8-SQRT((1-B1177)*(Inputs!$F$8-Inputs!$D$8)*(Inputs!$F$8-Inputs!$E$8))),0)</f>
        <v>28</v>
      </c>
      <c r="D1177" s="81" t="n">
        <f aca="true">RAND()</f>
        <v>0.0717950344808577</v>
      </c>
      <c r="E1177" s="83" t="n">
        <f aca="false">IF(D1177&lt;(Inputs!$E$10-Inputs!$D$10)/(Inputs!$F$10-Inputs!$D$10),Inputs!$D$10+SQRT(D1177*(Inputs!$F$10-Inputs!$D$10)*(Inputs!$E$10-Inputs!$D$10)),Inputs!$F$10-SQRT((1-D1177)*(Inputs!$F$10-Inputs!$D$10)*(Inputs!$F$10-Inputs!$E$10)))</f>
        <v>0.0267945954402857</v>
      </c>
      <c r="F1177" s="81" t="n">
        <f aca="true">RAND()</f>
        <v>0.219180839447412</v>
      </c>
      <c r="G1177" s="83" t="n">
        <f aca="false">IF(F1177&lt;(Inputs!$E$15-Inputs!$D$15)/(Inputs!$F$15-Inputs!$D$15),Inputs!$D$15+SQRT(F1177*(Inputs!$F$15-Inputs!$D$15)*(Inputs!$E$15-Inputs!$D$15)),Inputs!$F$15-SQRT((1-F1177)*(Inputs!$F$15-Inputs!$D$15)*(Inputs!$F$15-Inputs!$E$15)))</f>
        <v>0.666208887537462</v>
      </c>
      <c r="H1177" s="81" t="n">
        <f aca="true">RAND()</f>
        <v>0.918477077020938</v>
      </c>
      <c r="I1177" s="82" t="n">
        <f aca="false">ROUND(IF(H1177&lt;(Inputs!$E$17-Inputs!$D$17)/(Inputs!$F$17-Inputs!$D$17),Inputs!$D$17+SQRT(H1177*(Inputs!$F$17-Inputs!$D$17)*(Inputs!$E$17-Inputs!$D$17)),Inputs!$F$17-SQRT((1-H1177)*(Inputs!$F$17-Inputs!$D$17)*(Inputs!$F$17-Inputs!$E$17))),0)</f>
        <v>112</v>
      </c>
      <c r="J1177" s="81" t="n">
        <f aca="true">RAND()</f>
        <v>0.555105270014971</v>
      </c>
      <c r="K1177" s="83" t="n">
        <f aca="false">IF(J1177&lt;(Inputs!$E$18-Inputs!$D$18)/(Inputs!$F$18-Inputs!$D$18),Inputs!$D$18+SQRT(J1177*(Inputs!$F$18-Inputs!$D$18)*(Inputs!$E$18-Inputs!$D$18)),Inputs!$F$18-SQRT((1-J1177)*(Inputs!$F$18-Inputs!$D$18)*(Inputs!$F$18-Inputs!$E$18)))</f>
        <v>1.05269746865869</v>
      </c>
      <c r="L1177" s="81" t="n">
        <f aca="true">RAND()</f>
        <v>0.668915692336033</v>
      </c>
      <c r="M1177" s="83" t="n">
        <f aca="false">IF(L1177&lt;(Inputs!$E$24-Inputs!$D$24)/(Inputs!$F$24-Inputs!$D$24),Inputs!$D$24+SQRT(L1177*(Inputs!$F$24-Inputs!$D$24)*(Inputs!$E$24-Inputs!$D$24)),Inputs!$F$24-SQRT((1-L1177)*(Inputs!$F$24-Inputs!$D$24)*(Inputs!$F$24-Inputs!$E$24)))</f>
        <v>0.918113083241964</v>
      </c>
      <c r="N1177" s="81" t="n">
        <f aca="true">RAND()</f>
        <v>0.0265712677115812</v>
      </c>
      <c r="O1177" s="83" t="n">
        <f aca="false">IF(N1177&lt;(Inputs!$E$26-Inputs!$D$26)/(Inputs!$F$26-Inputs!$D$26),Inputs!$D$26+SQRT(N1177*(Inputs!$F$26-Inputs!$D$26)*(Inputs!$E$26-Inputs!$D$26)),Inputs!$F$26-SQRT((1-N1177)*(Inputs!$F$26-Inputs!$D$26)*(Inputs!$F$26-Inputs!$E$26)))</f>
        <v>0.366494051968632</v>
      </c>
      <c r="P1177" s="81" t="n">
        <f aca="true">RAND()</f>
        <v>0.584549016039729</v>
      </c>
      <c r="Q1177" s="82" t="n">
        <f aca="false">IF(P1177&lt;(Inputs!$E$27-Inputs!$D$27)/(Inputs!$F$27-Inputs!$D$27),Inputs!$D$27+SQRT(P1177*(Inputs!$F$27-Inputs!$D$27)*(Inputs!$E$27-Inputs!$D$27)),Inputs!$F$27-SQRT((1-P1177)*(Inputs!$F$27-Inputs!$D$27)*(Inputs!$F$27-Inputs!$E$27)))</f>
        <v>94.1799106082583</v>
      </c>
      <c r="R1177" s="81" t="n">
        <f aca="true">RAND()</f>
        <v>0.510093956529004</v>
      </c>
      <c r="S1177" s="82" t="n">
        <f aca="false">IF(R1177&lt;(Inputs!$E$29-Inputs!$D$29)/(Inputs!$F$29-Inputs!$D$29),Inputs!$D$29+SQRT(R1177*(Inputs!$F$29-Inputs!$D$29)*(Inputs!$E$29-Inputs!$D$29)),Inputs!$F$29-SQRT((1-R1177)*(Inputs!$F$29-Inputs!$D$29)*(Inputs!$F$29-Inputs!$E$29)))</f>
        <v>7.01953725331485</v>
      </c>
      <c r="T1177" s="68" t="n">
        <f aca="false">Inputs!$E$9*(1+E1177)+Inputs!$E$5*C1177*(Inputs!$E$11*Inputs!$E$14*(G1177*I1177/Inputs!$E$16+(1-G1177))*K1177+Inputs!$E$23*M1177)*(1+O1177)+Inputs!$E$5*(Q1177+S1177)</f>
        <v>6303.81394287456</v>
      </c>
    </row>
    <row r="1178" customFormat="false" ht="15" hidden="false" customHeight="false" outlineLevel="0" collapsed="false">
      <c r="A1178" s="1" t="n">
        <v>1174</v>
      </c>
      <c r="B1178" s="81" t="n">
        <f aca="true">RAND()</f>
        <v>0.170010289882167</v>
      </c>
      <c r="C1178" s="82" t="n">
        <f aca="false">ROUND(IF(B1178&lt;(Inputs!$E$8-Inputs!$D$8)/(Inputs!$F$8-Inputs!$D$8),Inputs!$D$8+SQRT(B1178*(Inputs!$F$8-Inputs!$D$8)*(Inputs!$E$8-Inputs!$D$8)),Inputs!$F$8-SQRT((1-B1178)*(Inputs!$F$8-Inputs!$D$8)*(Inputs!$F$8-Inputs!$E$8))),0)</f>
        <v>23</v>
      </c>
      <c r="D1178" s="81" t="n">
        <f aca="true">RAND()</f>
        <v>0.5605046420913</v>
      </c>
      <c r="E1178" s="83" t="n">
        <f aca="false">IF(D1178&lt;(Inputs!$E$10-Inputs!$D$10)/(Inputs!$F$10-Inputs!$D$10),Inputs!$D$10+SQRT(D1178*(Inputs!$F$10-Inputs!$D$10)*(Inputs!$E$10-Inputs!$D$10)),Inputs!$F$10-SQRT((1-D1178)*(Inputs!$F$10-Inputs!$D$10)*(Inputs!$F$10-Inputs!$E$10)))</f>
        <v>0.0851746511555004</v>
      </c>
      <c r="F1178" s="81" t="n">
        <f aca="true">RAND()</f>
        <v>0.317973642121221</v>
      </c>
      <c r="G1178" s="83" t="n">
        <f aca="false">IF(F1178&lt;(Inputs!$E$15-Inputs!$D$15)/(Inputs!$F$15-Inputs!$D$15),Inputs!$D$15+SQRT(F1178*(Inputs!$F$15-Inputs!$D$15)*(Inputs!$E$15-Inputs!$D$15)),Inputs!$F$15-SQRT((1-F1178)*(Inputs!$F$15-Inputs!$D$15)*(Inputs!$F$15-Inputs!$E$15)))</f>
        <v>0.679746303001609</v>
      </c>
      <c r="H1178" s="81" t="n">
        <f aca="true">RAND()</f>
        <v>0.795531729491011</v>
      </c>
      <c r="I1178" s="82" t="n">
        <f aca="false">ROUND(IF(H1178&lt;(Inputs!$E$17-Inputs!$D$17)/(Inputs!$F$17-Inputs!$D$17),Inputs!$D$17+SQRT(H1178*(Inputs!$F$17-Inputs!$D$17)*(Inputs!$E$17-Inputs!$D$17)),Inputs!$F$17-SQRT((1-H1178)*(Inputs!$F$17-Inputs!$D$17)*(Inputs!$F$17-Inputs!$E$17))),0)</f>
        <v>109</v>
      </c>
      <c r="J1178" s="81" t="n">
        <f aca="true">RAND()</f>
        <v>0.146136517427331</v>
      </c>
      <c r="K1178" s="83" t="n">
        <f aca="false">IF(J1178&lt;(Inputs!$E$18-Inputs!$D$18)/(Inputs!$F$18-Inputs!$D$18),Inputs!$D$18+SQRT(J1178*(Inputs!$F$18-Inputs!$D$18)*(Inputs!$E$18-Inputs!$D$18)),Inputs!$F$18-SQRT((1-J1178)*(Inputs!$F$18-Inputs!$D$18)*(Inputs!$F$18-Inputs!$E$18)))</f>
        <v>0.97151767690548</v>
      </c>
      <c r="L1178" s="81" t="n">
        <f aca="true">RAND()</f>
        <v>0.0632500953756291</v>
      </c>
      <c r="M1178" s="83" t="n">
        <f aca="false">IF(L1178&lt;(Inputs!$E$24-Inputs!$D$24)/(Inputs!$F$24-Inputs!$D$24),Inputs!$D$24+SQRT(L1178*(Inputs!$F$24-Inputs!$D$24)*(Inputs!$E$24-Inputs!$D$24)),Inputs!$F$24-SQRT((1-L1178)*(Inputs!$F$24-Inputs!$D$24)*(Inputs!$F$24-Inputs!$E$24)))</f>
        <v>0.687120671743711</v>
      </c>
      <c r="N1178" s="81" t="n">
        <f aca="true">RAND()</f>
        <v>0.141383182881116</v>
      </c>
      <c r="O1178" s="83" t="n">
        <f aca="false">IF(N1178&lt;(Inputs!$E$26-Inputs!$D$26)/(Inputs!$F$26-Inputs!$D$26),Inputs!$D$26+SQRT(N1178*(Inputs!$F$26-Inputs!$D$26)*(Inputs!$E$26-Inputs!$D$26)),Inputs!$F$26-SQRT((1-N1178)*(Inputs!$F$26-Inputs!$D$26)*(Inputs!$F$26-Inputs!$E$26)))</f>
        <v>0.45338240326523</v>
      </c>
      <c r="P1178" s="81" t="n">
        <f aca="true">RAND()</f>
        <v>0.271982206981157</v>
      </c>
      <c r="Q1178" s="82" t="n">
        <f aca="false">IF(P1178&lt;(Inputs!$E$27-Inputs!$D$27)/(Inputs!$F$27-Inputs!$D$27),Inputs!$D$27+SQRT(P1178*(Inputs!$F$27-Inputs!$D$27)*(Inputs!$E$27-Inputs!$D$27)),Inputs!$F$27-SQRT((1-P1178)*(Inputs!$F$27-Inputs!$D$27)*(Inputs!$F$27-Inputs!$E$27)))</f>
        <v>76.1072842044541</v>
      </c>
      <c r="R1178" s="81" t="n">
        <f aca="true">RAND()</f>
        <v>0.832852791708781</v>
      </c>
      <c r="S1178" s="82" t="n">
        <f aca="false">IF(R1178&lt;(Inputs!$E$29-Inputs!$D$29)/(Inputs!$F$29-Inputs!$D$29),Inputs!$D$29+SQRT(R1178*(Inputs!$F$29-Inputs!$D$29)*(Inputs!$E$29-Inputs!$D$29)),Inputs!$F$29-SQRT((1-R1178)*(Inputs!$F$29-Inputs!$D$29)*(Inputs!$F$29-Inputs!$E$29)))</f>
        <v>10.3385477501257</v>
      </c>
      <c r="T1178" s="68" t="n">
        <f aca="false">Inputs!$E$9*(1+E1178)+Inputs!$E$5*C1178*(Inputs!$E$11*Inputs!$E$14*(G1178*I1178/Inputs!$E$16+(1-G1178))*K1178+Inputs!$E$23*M1178)*(1+O1178)+Inputs!$E$5*(Q1178+S1178)</f>
        <v>5441.11658143866</v>
      </c>
    </row>
    <row r="1179" customFormat="false" ht="15" hidden="false" customHeight="false" outlineLevel="0" collapsed="false">
      <c r="A1179" s="1" t="n">
        <v>1175</v>
      </c>
      <c r="B1179" s="81" t="n">
        <f aca="true">RAND()</f>
        <v>0.0263038946521588</v>
      </c>
      <c r="C1179" s="82" t="n">
        <f aca="false">ROUND(IF(B1179&lt;(Inputs!$E$8-Inputs!$D$8)/(Inputs!$F$8-Inputs!$D$8),Inputs!$D$8+SQRT(B1179*(Inputs!$F$8-Inputs!$D$8)*(Inputs!$E$8-Inputs!$D$8)),Inputs!$F$8-SQRT((1-B1179)*(Inputs!$F$8-Inputs!$D$8)*(Inputs!$F$8-Inputs!$E$8))),0)</f>
        <v>21</v>
      </c>
      <c r="D1179" s="81" t="n">
        <f aca="true">RAND()</f>
        <v>0.0935472443976878</v>
      </c>
      <c r="E1179" s="83" t="n">
        <f aca="false">IF(D1179&lt;(Inputs!$E$10-Inputs!$D$10)/(Inputs!$F$10-Inputs!$D$10),Inputs!$D$10+SQRT(D1179*(Inputs!$F$10-Inputs!$D$10)*(Inputs!$E$10-Inputs!$D$10)),Inputs!$F$10-SQRT((1-D1179)*(Inputs!$F$10-Inputs!$D$10)*(Inputs!$F$10-Inputs!$E$10)))</f>
        <v>0.0305854940123072</v>
      </c>
      <c r="F1179" s="81" t="n">
        <f aca="true">RAND()</f>
        <v>0.683062200202701</v>
      </c>
      <c r="G1179" s="83" t="n">
        <f aca="false">IF(F1179&lt;(Inputs!$E$15-Inputs!$D$15)/(Inputs!$F$15-Inputs!$D$15),Inputs!$D$15+SQRT(F1179*(Inputs!$F$15-Inputs!$D$15)*(Inputs!$E$15-Inputs!$D$15)),Inputs!$F$15-SQRT((1-F1179)*(Inputs!$F$15-Inputs!$D$15)*(Inputs!$F$15-Inputs!$E$15)))</f>
        <v>0.720383695162699</v>
      </c>
      <c r="H1179" s="81" t="n">
        <f aca="true">RAND()</f>
        <v>0.343404078911745</v>
      </c>
      <c r="I1179" s="82" t="n">
        <f aca="false">ROUND(IF(H1179&lt;(Inputs!$E$17-Inputs!$D$17)/(Inputs!$F$17-Inputs!$D$17),Inputs!$D$17+SQRT(H1179*(Inputs!$F$17-Inputs!$D$17)*(Inputs!$E$17-Inputs!$D$17)),Inputs!$F$17-SQRT((1-H1179)*(Inputs!$F$17-Inputs!$D$17)*(Inputs!$F$17-Inputs!$E$17))),0)</f>
        <v>105</v>
      </c>
      <c r="J1179" s="81" t="n">
        <f aca="true">RAND()</f>
        <v>0.437239322619612</v>
      </c>
      <c r="K1179" s="83" t="n">
        <f aca="false">IF(J1179&lt;(Inputs!$E$18-Inputs!$D$18)/(Inputs!$F$18-Inputs!$D$18),Inputs!$D$18+SQRT(J1179*(Inputs!$F$18-Inputs!$D$18)*(Inputs!$E$18-Inputs!$D$18)),Inputs!$F$18-SQRT((1-J1179)*(Inputs!$F$18-Inputs!$D$18)*(Inputs!$F$18-Inputs!$E$18)))</f>
        <v>1.02809560781547</v>
      </c>
      <c r="L1179" s="81" t="n">
        <f aca="true">RAND()</f>
        <v>0.57885882745954</v>
      </c>
      <c r="M1179" s="83" t="n">
        <f aca="false">IF(L1179&lt;(Inputs!$E$24-Inputs!$D$24)/(Inputs!$F$24-Inputs!$D$24),Inputs!$D$24+SQRT(L1179*(Inputs!$F$24-Inputs!$D$24)*(Inputs!$E$24-Inputs!$D$24)),Inputs!$F$24-SQRT((1-L1179)*(Inputs!$F$24-Inputs!$D$24)*(Inputs!$F$24-Inputs!$E$24)))</f>
        <v>0.882078812581309</v>
      </c>
      <c r="N1179" s="81" t="n">
        <f aca="true">RAND()</f>
        <v>0.0378213964586623</v>
      </c>
      <c r="O1179" s="83" t="n">
        <f aca="false">IF(N1179&lt;(Inputs!$E$26-Inputs!$D$26)/(Inputs!$F$26-Inputs!$D$26),Inputs!$D$26+SQRT(N1179*(Inputs!$F$26-Inputs!$D$26)*(Inputs!$E$26-Inputs!$D$26)),Inputs!$F$26-SQRT((1-N1179)*(Inputs!$F$26-Inputs!$D$26)*(Inputs!$F$26-Inputs!$E$26)))</f>
        <v>0.379331458896969</v>
      </c>
      <c r="P1179" s="81" t="n">
        <f aca="true">RAND()</f>
        <v>0.309670784090452</v>
      </c>
      <c r="Q1179" s="82" t="n">
        <f aca="false">IF(P1179&lt;(Inputs!$E$27-Inputs!$D$27)/(Inputs!$F$27-Inputs!$D$27),Inputs!$D$27+SQRT(P1179*(Inputs!$F$27-Inputs!$D$27)*(Inputs!$E$27-Inputs!$D$27)),Inputs!$F$27-SQRT((1-P1179)*(Inputs!$F$27-Inputs!$D$27)*(Inputs!$F$27-Inputs!$E$27)))</f>
        <v>78.0453676312525</v>
      </c>
      <c r="R1179" s="81" t="n">
        <f aca="true">RAND()</f>
        <v>0.0532491639317814</v>
      </c>
      <c r="S1179" s="82" t="n">
        <f aca="false">IF(R1179&lt;(Inputs!$E$29-Inputs!$D$29)/(Inputs!$F$29-Inputs!$D$29),Inputs!$D$29+SQRT(R1179*(Inputs!$F$29-Inputs!$D$29)*(Inputs!$E$29-Inputs!$D$29)),Inputs!$F$29-SQRT((1-R1179)*(Inputs!$F$29-Inputs!$D$29)*(Inputs!$F$29-Inputs!$E$29)))</f>
        <v>3.44108202172516</v>
      </c>
      <c r="T1179" s="68" t="n">
        <f aca="false">Inputs!$E$9*(1+E1179)+Inputs!$E$5*C1179*(Inputs!$E$11*Inputs!$E$14*(G1179*I1179/Inputs!$E$16+(1-G1179))*K1179+Inputs!$E$23*M1179)*(1+O1179)+Inputs!$E$5*(Q1179+S1179)</f>
        <v>5164.60103890805</v>
      </c>
    </row>
    <row r="1180" customFormat="false" ht="15" hidden="false" customHeight="false" outlineLevel="0" collapsed="false">
      <c r="A1180" s="1" t="n">
        <v>1176</v>
      </c>
      <c r="B1180" s="81" t="n">
        <f aca="true">RAND()</f>
        <v>0.91385077009706</v>
      </c>
      <c r="C1180" s="82" t="n">
        <f aca="false">ROUND(IF(B1180&lt;(Inputs!$E$8-Inputs!$D$8)/(Inputs!$F$8-Inputs!$D$8),Inputs!$D$8+SQRT(B1180*(Inputs!$F$8-Inputs!$D$8)*(Inputs!$E$8-Inputs!$D$8)),Inputs!$F$8-SQRT((1-B1180)*(Inputs!$F$8-Inputs!$D$8)*(Inputs!$F$8-Inputs!$E$8))),0)</f>
        <v>28</v>
      </c>
      <c r="D1180" s="81" t="n">
        <f aca="true">RAND()</f>
        <v>0.172708228875181</v>
      </c>
      <c r="E1180" s="83" t="n">
        <f aca="false">IF(D1180&lt;(Inputs!$E$10-Inputs!$D$10)/(Inputs!$F$10-Inputs!$D$10),Inputs!$D$10+SQRT(D1180*(Inputs!$F$10-Inputs!$D$10)*(Inputs!$E$10-Inputs!$D$10)),Inputs!$F$10-SQRT((1-D1180)*(Inputs!$F$10-Inputs!$D$10)*(Inputs!$F$10-Inputs!$E$10)))</f>
        <v>0.0415581795649402</v>
      </c>
      <c r="F1180" s="81" t="n">
        <f aca="true">RAND()</f>
        <v>0.896633128633379</v>
      </c>
      <c r="G1180" s="83" t="n">
        <f aca="false">IF(F1180&lt;(Inputs!$E$15-Inputs!$D$15)/(Inputs!$F$15-Inputs!$D$15),Inputs!$D$15+SQRT(F1180*(Inputs!$F$15-Inputs!$D$15)*(Inputs!$E$15-Inputs!$D$15)),Inputs!$F$15-SQRT((1-F1180)*(Inputs!$F$15-Inputs!$D$15)*(Inputs!$F$15-Inputs!$E$15)))</f>
        <v>0.75453201755815</v>
      </c>
      <c r="H1180" s="81" t="n">
        <f aca="true">RAND()</f>
        <v>0.923731591123683</v>
      </c>
      <c r="I1180" s="82" t="n">
        <f aca="false">ROUND(IF(H1180&lt;(Inputs!$E$17-Inputs!$D$17)/(Inputs!$F$17-Inputs!$D$17),Inputs!$D$17+SQRT(H1180*(Inputs!$F$17-Inputs!$D$17)*(Inputs!$E$17-Inputs!$D$17)),Inputs!$F$17-SQRT((1-H1180)*(Inputs!$F$17-Inputs!$D$17)*(Inputs!$F$17-Inputs!$E$17))),0)</f>
        <v>112</v>
      </c>
      <c r="J1180" s="81" t="n">
        <f aca="true">RAND()</f>
        <v>0.912225176892363</v>
      </c>
      <c r="K1180" s="83" t="n">
        <f aca="false">IF(J1180&lt;(Inputs!$E$18-Inputs!$D$18)/(Inputs!$F$18-Inputs!$D$18),Inputs!$D$18+SQRT(J1180*(Inputs!$F$18-Inputs!$D$18)*(Inputs!$E$18-Inputs!$D$18)),Inputs!$F$18-SQRT((1-J1180)*(Inputs!$F$18-Inputs!$D$18)*(Inputs!$F$18-Inputs!$E$18)))</f>
        <v>1.16236269617384</v>
      </c>
      <c r="L1180" s="81" t="n">
        <f aca="true">RAND()</f>
        <v>0.0895925118316857</v>
      </c>
      <c r="M1180" s="83" t="n">
        <f aca="false">IF(L1180&lt;(Inputs!$E$24-Inputs!$D$24)/(Inputs!$F$24-Inputs!$D$24),Inputs!$D$24+SQRT(L1180*(Inputs!$F$24-Inputs!$D$24)*(Inputs!$E$24-Inputs!$D$24)),Inputs!$F$24-SQRT((1-L1180)*(Inputs!$F$24-Inputs!$D$24)*(Inputs!$F$24-Inputs!$E$24)))</f>
        <v>0.703687518148533</v>
      </c>
      <c r="N1180" s="81" t="n">
        <f aca="true">RAND()</f>
        <v>0.462535935386294</v>
      </c>
      <c r="O1180" s="83" t="n">
        <f aca="false">IF(N1180&lt;(Inputs!$E$26-Inputs!$D$26)/(Inputs!$F$26-Inputs!$D$26),Inputs!$D$26+SQRT(N1180*(Inputs!$F$26-Inputs!$D$26)*(Inputs!$E$26-Inputs!$D$26)),Inputs!$F$26-SQRT((1-N1180)*(Inputs!$F$26-Inputs!$D$26)*(Inputs!$F$26-Inputs!$E$26)))</f>
        <v>0.577427431319038</v>
      </c>
      <c r="P1180" s="81" t="n">
        <f aca="true">RAND()</f>
        <v>0.924560474078024</v>
      </c>
      <c r="Q1180" s="82" t="n">
        <f aca="false">IF(P1180&lt;(Inputs!$E$27-Inputs!$D$27)/(Inputs!$F$27-Inputs!$D$27),Inputs!$D$27+SQRT(P1180*(Inputs!$F$27-Inputs!$D$27)*(Inputs!$E$27-Inputs!$D$27)),Inputs!$F$27-SQRT((1-P1180)*(Inputs!$F$27-Inputs!$D$27)*(Inputs!$F$27-Inputs!$E$27)))</f>
        <v>126.213523917679</v>
      </c>
      <c r="R1180" s="81" t="n">
        <f aca="true">RAND()</f>
        <v>0.783693992708278</v>
      </c>
      <c r="S1180" s="82" t="n">
        <f aca="false">IF(R1180&lt;(Inputs!$E$29-Inputs!$D$29)/(Inputs!$F$29-Inputs!$D$29),Inputs!$D$29+SQRT(R1180*(Inputs!$F$29-Inputs!$D$29)*(Inputs!$E$29-Inputs!$D$29)),Inputs!$F$29-SQRT((1-R1180)*(Inputs!$F$29-Inputs!$D$29)*(Inputs!$F$29-Inputs!$E$29)))</f>
        <v>9.69719122087889</v>
      </c>
      <c r="T1180" s="68" t="n">
        <f aca="false">Inputs!$E$9*(1+E1180)+Inputs!$E$5*C1180*(Inputs!$E$11*Inputs!$E$14*(G1180*I1180/Inputs!$E$16+(1-G1180))*K1180+Inputs!$E$23*M1180)*(1+O1180)+Inputs!$E$5*(Q1180+S1180)</f>
        <v>6855.63431473747</v>
      </c>
    </row>
    <row r="1181" customFormat="false" ht="15" hidden="false" customHeight="false" outlineLevel="0" collapsed="false">
      <c r="A1181" s="1" t="n">
        <v>1177</v>
      </c>
      <c r="B1181" s="81" t="n">
        <f aca="true">RAND()</f>
        <v>0.261901997214704</v>
      </c>
      <c r="C1181" s="82" t="n">
        <f aca="false">ROUND(IF(B1181&lt;(Inputs!$E$8-Inputs!$D$8)/(Inputs!$F$8-Inputs!$D$8),Inputs!$D$8+SQRT(B1181*(Inputs!$F$8-Inputs!$D$8)*(Inputs!$E$8-Inputs!$D$8)),Inputs!$F$8-SQRT((1-B1181)*(Inputs!$F$8-Inputs!$D$8)*(Inputs!$F$8-Inputs!$E$8))),0)</f>
        <v>24</v>
      </c>
      <c r="D1181" s="81" t="n">
        <f aca="true">RAND()</f>
        <v>0.356234144320588</v>
      </c>
      <c r="E1181" s="83" t="n">
        <f aca="false">IF(D1181&lt;(Inputs!$E$10-Inputs!$D$10)/(Inputs!$F$10-Inputs!$D$10),Inputs!$D$10+SQRT(D1181*(Inputs!$F$10-Inputs!$D$10)*(Inputs!$E$10-Inputs!$D$10)),Inputs!$F$10-SQRT((1-D1181)*(Inputs!$F$10-Inputs!$D$10)*(Inputs!$F$10-Inputs!$E$10)))</f>
        <v>0.061028867492625</v>
      </c>
      <c r="F1181" s="81" t="n">
        <f aca="true">RAND()</f>
        <v>0.581512085404036</v>
      </c>
      <c r="G1181" s="83" t="n">
        <f aca="false">IF(F1181&lt;(Inputs!$E$15-Inputs!$D$15)/(Inputs!$F$15-Inputs!$D$15),Inputs!$D$15+SQRT(F1181*(Inputs!$F$15-Inputs!$D$15)*(Inputs!$E$15-Inputs!$D$15)),Inputs!$F$15-SQRT((1-F1181)*(Inputs!$F$15-Inputs!$D$15)*(Inputs!$F$15-Inputs!$E$15)))</f>
        <v>0.708513616904376</v>
      </c>
      <c r="H1181" s="81" t="n">
        <f aca="true">RAND()</f>
        <v>0.101057972965795</v>
      </c>
      <c r="I1181" s="82" t="n">
        <f aca="false">ROUND(IF(H1181&lt;(Inputs!$E$17-Inputs!$D$17)/(Inputs!$F$17-Inputs!$D$17),Inputs!$D$17+SQRT(H1181*(Inputs!$F$17-Inputs!$D$17)*(Inputs!$E$17-Inputs!$D$17)),Inputs!$F$17-SQRT((1-H1181)*(Inputs!$F$17-Inputs!$D$17)*(Inputs!$F$17-Inputs!$E$17))),0)</f>
        <v>103</v>
      </c>
      <c r="J1181" s="81" t="n">
        <f aca="true">RAND()</f>
        <v>0.605706495567969</v>
      </c>
      <c r="K1181" s="83" t="n">
        <f aca="false">IF(J1181&lt;(Inputs!$E$18-Inputs!$D$18)/(Inputs!$F$18-Inputs!$D$18),Inputs!$D$18+SQRT(J1181*(Inputs!$F$18-Inputs!$D$18)*(Inputs!$E$18-Inputs!$D$18)),Inputs!$F$18-SQRT((1-J1181)*(Inputs!$F$18-Inputs!$D$18)*(Inputs!$F$18-Inputs!$E$18)))</f>
        <v>1.06425640889171</v>
      </c>
      <c r="L1181" s="81" t="n">
        <f aca="true">RAND()</f>
        <v>0.777310816246216</v>
      </c>
      <c r="M1181" s="83" t="n">
        <f aca="false">IF(L1181&lt;(Inputs!$E$24-Inputs!$D$24)/(Inputs!$F$24-Inputs!$D$24),Inputs!$D$24+SQRT(L1181*(Inputs!$F$24-Inputs!$D$24)*(Inputs!$E$24-Inputs!$D$24)),Inputs!$F$24-SQRT((1-L1181)*(Inputs!$F$24-Inputs!$D$24)*(Inputs!$F$24-Inputs!$E$24)))</f>
        <v>0.968817379327709</v>
      </c>
      <c r="N1181" s="81" t="n">
        <f aca="true">RAND()</f>
        <v>0.356764462928779</v>
      </c>
      <c r="O1181" s="83" t="n">
        <f aca="false">IF(N1181&lt;(Inputs!$E$26-Inputs!$D$26)/(Inputs!$F$26-Inputs!$D$26),Inputs!$D$26+SQRT(N1181*(Inputs!$F$26-Inputs!$D$26)*(Inputs!$E$26-Inputs!$D$26)),Inputs!$F$26-SQRT((1-N1181)*(Inputs!$F$26-Inputs!$D$26)*(Inputs!$F$26-Inputs!$E$26)))</f>
        <v>0.543650583072048</v>
      </c>
      <c r="P1181" s="81" t="n">
        <f aca="true">RAND()</f>
        <v>0.32046062636157</v>
      </c>
      <c r="Q1181" s="82" t="n">
        <f aca="false">IF(P1181&lt;(Inputs!$E$27-Inputs!$D$27)/(Inputs!$F$27-Inputs!$D$27),Inputs!$D$27+SQRT(P1181*(Inputs!$F$27-Inputs!$D$27)*(Inputs!$E$27-Inputs!$D$27)),Inputs!$F$27-SQRT((1-P1181)*(Inputs!$F$27-Inputs!$D$27)*(Inputs!$F$27-Inputs!$E$27)))</f>
        <v>78.6099075341107</v>
      </c>
      <c r="R1181" s="81" t="n">
        <f aca="true">RAND()</f>
        <v>0.868706265308853</v>
      </c>
      <c r="S1181" s="82" t="n">
        <f aca="false">IF(R1181&lt;(Inputs!$E$29-Inputs!$D$29)/(Inputs!$F$29-Inputs!$D$29),Inputs!$D$29+SQRT(R1181*(Inputs!$F$29-Inputs!$D$29)*(Inputs!$E$29-Inputs!$D$29)),Inputs!$F$29-SQRT((1-R1181)*(Inputs!$F$29-Inputs!$D$29)*(Inputs!$F$29-Inputs!$E$29)))</f>
        <v>10.8686339414367</v>
      </c>
      <c r="T1181" s="68" t="n">
        <f aca="false">Inputs!$E$9*(1+E1181)+Inputs!$E$5*C1181*(Inputs!$E$11*Inputs!$E$14*(G1181*I1181/Inputs!$E$16+(1-G1181))*K1181+Inputs!$E$23*M1181)*(1+O1181)+Inputs!$E$5*(Q1181+S1181)</f>
        <v>6144.15094424035</v>
      </c>
    </row>
    <row r="1182" customFormat="false" ht="15" hidden="false" customHeight="false" outlineLevel="0" collapsed="false">
      <c r="A1182" s="1" t="n">
        <v>1178</v>
      </c>
      <c r="B1182" s="81" t="n">
        <f aca="true">RAND()</f>
        <v>0.785466926063574</v>
      </c>
      <c r="C1182" s="82" t="n">
        <f aca="false">ROUND(IF(B1182&lt;(Inputs!$E$8-Inputs!$D$8)/(Inputs!$F$8-Inputs!$D$8),Inputs!$D$8+SQRT(B1182*(Inputs!$F$8-Inputs!$D$8)*(Inputs!$E$8-Inputs!$D$8)),Inputs!$F$8-SQRT((1-B1182)*(Inputs!$F$8-Inputs!$D$8)*(Inputs!$F$8-Inputs!$E$8))),0)</f>
        <v>27</v>
      </c>
      <c r="D1182" s="81" t="n">
        <f aca="true">RAND()</f>
        <v>0.433275717146123</v>
      </c>
      <c r="E1182" s="83" t="n">
        <f aca="false">IF(D1182&lt;(Inputs!$E$10-Inputs!$D$10)/(Inputs!$F$10-Inputs!$D$10),Inputs!$D$10+SQRT(D1182*(Inputs!$F$10-Inputs!$D$10)*(Inputs!$E$10-Inputs!$D$10)),Inputs!$F$10-SQRT((1-D1182)*(Inputs!$F$10-Inputs!$D$10)*(Inputs!$F$10-Inputs!$E$10)))</f>
        <v>0.069609323624669</v>
      </c>
      <c r="F1182" s="81" t="n">
        <f aca="true">RAND()</f>
        <v>0.298623214513577</v>
      </c>
      <c r="G1182" s="83" t="n">
        <f aca="false">IF(F1182&lt;(Inputs!$E$15-Inputs!$D$15)/(Inputs!$F$15-Inputs!$D$15),Inputs!$D$15+SQRT(F1182*(Inputs!$F$15-Inputs!$D$15)*(Inputs!$E$15-Inputs!$D$15)),Inputs!$F$15-SQRT((1-F1182)*(Inputs!$F$15-Inputs!$D$15)*(Inputs!$F$15-Inputs!$E$15)))</f>
        <v>0.677281720285405</v>
      </c>
      <c r="H1182" s="81" t="n">
        <f aca="true">RAND()</f>
        <v>0.213234219767716</v>
      </c>
      <c r="I1182" s="82" t="n">
        <f aca="false">ROUND(IF(H1182&lt;(Inputs!$E$17-Inputs!$D$17)/(Inputs!$F$17-Inputs!$D$17),Inputs!$D$17+SQRT(H1182*(Inputs!$F$17-Inputs!$D$17)*(Inputs!$E$17-Inputs!$D$17)),Inputs!$F$17-SQRT((1-H1182)*(Inputs!$F$17-Inputs!$D$17)*(Inputs!$F$17-Inputs!$E$17))),0)</f>
        <v>104</v>
      </c>
      <c r="J1182" s="81" t="n">
        <f aca="true">RAND()</f>
        <v>0.879378059195651</v>
      </c>
      <c r="K1182" s="83" t="n">
        <f aca="false">IF(J1182&lt;(Inputs!$E$18-Inputs!$D$18)/(Inputs!$F$18-Inputs!$D$18),Inputs!$D$18+SQRT(J1182*(Inputs!$F$18-Inputs!$D$18)*(Inputs!$E$18-Inputs!$D$18)),Inputs!$F$18-SQRT((1-J1182)*(Inputs!$F$18-Inputs!$D$18)*(Inputs!$F$18-Inputs!$E$18)))</f>
        <v>1.14726529398309</v>
      </c>
      <c r="L1182" s="81" t="n">
        <f aca="true">RAND()</f>
        <v>0.403613154754036</v>
      </c>
      <c r="M1182" s="83" t="n">
        <f aca="false">IF(L1182&lt;(Inputs!$E$24-Inputs!$D$24)/(Inputs!$F$24-Inputs!$D$24),Inputs!$D$24+SQRT(L1182*(Inputs!$F$24-Inputs!$D$24)*(Inputs!$E$24-Inputs!$D$24)),Inputs!$F$24-SQRT((1-L1182)*(Inputs!$F$24-Inputs!$D$24)*(Inputs!$F$24-Inputs!$E$24)))</f>
        <v>0.821670985967199</v>
      </c>
      <c r="N1182" s="81" t="n">
        <f aca="true">RAND()</f>
        <v>0.713054003303707</v>
      </c>
      <c r="O1182" s="83" t="n">
        <f aca="false">IF(N1182&lt;(Inputs!$E$26-Inputs!$D$26)/(Inputs!$F$26-Inputs!$D$26),Inputs!$D$26+SQRT(N1182*(Inputs!$F$26-Inputs!$D$26)*(Inputs!$E$26-Inputs!$D$26)),Inputs!$F$26-SQRT((1-N1182)*(Inputs!$F$26-Inputs!$D$26)*(Inputs!$F$26-Inputs!$E$26)))</f>
        <v>0.647250517637781</v>
      </c>
      <c r="P1182" s="81" t="n">
        <f aca="true">RAND()</f>
        <v>0.274443296965023</v>
      </c>
      <c r="Q1182" s="82" t="n">
        <f aca="false">IF(P1182&lt;(Inputs!$E$27-Inputs!$D$27)/(Inputs!$F$27-Inputs!$D$27),Inputs!$D$27+SQRT(P1182*(Inputs!$F$27-Inputs!$D$27)*(Inputs!$E$27-Inputs!$D$27)),Inputs!$F$27-SQRT((1-P1182)*(Inputs!$F$27-Inputs!$D$27)*(Inputs!$F$27-Inputs!$E$27)))</f>
        <v>76.2322884131388</v>
      </c>
      <c r="R1182" s="81" t="n">
        <f aca="true">RAND()</f>
        <v>0.293311437598061</v>
      </c>
      <c r="S1182" s="82" t="n">
        <f aca="false">IF(R1182&lt;(Inputs!$E$29-Inputs!$D$29)/(Inputs!$F$29-Inputs!$D$29),Inputs!$D$29+SQRT(R1182*(Inputs!$F$29-Inputs!$D$29)*(Inputs!$E$29-Inputs!$D$29)),Inputs!$F$29-SQRT((1-R1182)*(Inputs!$F$29-Inputs!$D$29)*(Inputs!$F$29-Inputs!$E$29)))</f>
        <v>5.41514146623686</v>
      </c>
      <c r="T1182" s="68" t="n">
        <f aca="false">Inputs!$E$9*(1+E1182)+Inputs!$E$5*C1182*(Inputs!$E$11*Inputs!$E$14*(G1182*I1182/Inputs!$E$16+(1-G1182))*K1182+Inputs!$E$23*M1182)*(1+O1182)+Inputs!$E$5*(Q1182+S1182)</f>
        <v>6828.55904421905</v>
      </c>
    </row>
    <row r="1183" customFormat="false" ht="15" hidden="false" customHeight="false" outlineLevel="0" collapsed="false">
      <c r="A1183" s="1" t="n">
        <v>1179</v>
      </c>
      <c r="B1183" s="81" t="n">
        <f aca="true">RAND()</f>
        <v>0.907769204043914</v>
      </c>
      <c r="C1183" s="82" t="n">
        <f aca="false">ROUND(IF(B1183&lt;(Inputs!$E$8-Inputs!$D$8)/(Inputs!$F$8-Inputs!$D$8),Inputs!$D$8+SQRT(B1183*(Inputs!$F$8-Inputs!$D$8)*(Inputs!$E$8-Inputs!$D$8)),Inputs!$F$8-SQRT((1-B1183)*(Inputs!$F$8-Inputs!$D$8)*(Inputs!$F$8-Inputs!$E$8))),0)</f>
        <v>28</v>
      </c>
      <c r="D1183" s="81" t="n">
        <f aca="true">RAND()</f>
        <v>0.140408196766484</v>
      </c>
      <c r="E1183" s="83" t="n">
        <f aca="false">IF(D1183&lt;(Inputs!$E$10-Inputs!$D$10)/(Inputs!$F$10-Inputs!$D$10),Inputs!$D$10+SQRT(D1183*(Inputs!$F$10-Inputs!$D$10)*(Inputs!$E$10-Inputs!$D$10)),Inputs!$F$10-SQRT((1-D1183)*(Inputs!$F$10-Inputs!$D$10)*(Inputs!$F$10-Inputs!$E$10)))</f>
        <v>0.037471081751997</v>
      </c>
      <c r="F1183" s="81" t="n">
        <f aca="true">RAND()</f>
        <v>0.0320433287499156</v>
      </c>
      <c r="G1183" s="83" t="n">
        <f aca="false">IF(F1183&lt;(Inputs!$E$15-Inputs!$D$15)/(Inputs!$F$15-Inputs!$D$15),Inputs!$D$15+SQRT(F1183*(Inputs!$F$15-Inputs!$D$15)*(Inputs!$E$15-Inputs!$D$15)),Inputs!$F$15-SQRT((1-F1183)*(Inputs!$F$15-Inputs!$D$15)*(Inputs!$F$15-Inputs!$E$15)))</f>
        <v>0.625315342679851</v>
      </c>
      <c r="H1183" s="81" t="n">
        <f aca="true">RAND()</f>
        <v>0.644505436630579</v>
      </c>
      <c r="I1183" s="82" t="n">
        <f aca="false">ROUND(IF(H1183&lt;(Inputs!$E$17-Inputs!$D$17)/(Inputs!$F$17-Inputs!$D$17),Inputs!$D$17+SQRT(H1183*(Inputs!$F$17-Inputs!$D$17)*(Inputs!$E$17-Inputs!$D$17)),Inputs!$F$17-SQRT((1-H1183)*(Inputs!$F$17-Inputs!$D$17)*(Inputs!$F$17-Inputs!$E$17))),0)</f>
        <v>108</v>
      </c>
      <c r="J1183" s="81" t="n">
        <f aca="true">RAND()</f>
        <v>0.44708259233445</v>
      </c>
      <c r="K1183" s="83" t="n">
        <f aca="false">IF(J1183&lt;(Inputs!$E$18-Inputs!$D$18)/(Inputs!$F$18-Inputs!$D$18),Inputs!$D$18+SQRT(J1183*(Inputs!$F$18-Inputs!$D$18)*(Inputs!$E$18-Inputs!$D$18)),Inputs!$F$18-SQRT((1-J1183)*(Inputs!$F$18-Inputs!$D$18)*(Inputs!$F$18-Inputs!$E$18)))</f>
        <v>1.03004483827213</v>
      </c>
      <c r="L1183" s="81" t="n">
        <f aca="true">RAND()</f>
        <v>0.0716221038316526</v>
      </c>
      <c r="M1183" s="83" t="n">
        <f aca="false">IF(L1183&lt;(Inputs!$E$24-Inputs!$D$24)/(Inputs!$F$24-Inputs!$D$24),Inputs!$D$24+SQRT(L1183*(Inputs!$F$24-Inputs!$D$24)*(Inputs!$E$24-Inputs!$D$24)),Inputs!$F$24-SQRT((1-L1183)*(Inputs!$F$24-Inputs!$D$24)*(Inputs!$F$24-Inputs!$E$24)))</f>
        <v>0.692707348467089</v>
      </c>
      <c r="N1183" s="81" t="n">
        <f aca="true">RAND()</f>
        <v>0.783590134412569</v>
      </c>
      <c r="O1183" s="83" t="n">
        <f aca="false">IF(N1183&lt;(Inputs!$E$26-Inputs!$D$26)/(Inputs!$F$26-Inputs!$D$26),Inputs!$D$26+SQRT(N1183*(Inputs!$F$26-Inputs!$D$26)*(Inputs!$E$26-Inputs!$D$26)),Inputs!$F$26-SQRT((1-N1183)*(Inputs!$F$26-Inputs!$D$26)*(Inputs!$F$26-Inputs!$E$26)))</f>
        <v>0.669977914888864</v>
      </c>
      <c r="P1183" s="81" t="n">
        <f aca="true">RAND()</f>
        <v>0.633173132213495</v>
      </c>
      <c r="Q1183" s="82" t="n">
        <f aca="false">IF(P1183&lt;(Inputs!$E$27-Inputs!$D$27)/(Inputs!$F$27-Inputs!$D$27),Inputs!$D$27+SQRT(P1183*(Inputs!$F$27-Inputs!$D$27)*(Inputs!$E$27-Inputs!$D$27)),Inputs!$F$27-SQRT((1-P1183)*(Inputs!$F$27-Inputs!$D$27)*(Inputs!$F$27-Inputs!$E$27)))</f>
        <v>97.5481029094391</v>
      </c>
      <c r="R1183" s="81" t="n">
        <f aca="true">RAND()</f>
        <v>0.987242534786856</v>
      </c>
      <c r="S1183" s="82" t="n">
        <f aca="false">IF(R1183&lt;(Inputs!$E$29-Inputs!$D$29)/(Inputs!$F$29-Inputs!$D$29),Inputs!$D$29+SQRT(R1183*(Inputs!$F$29-Inputs!$D$29)*(Inputs!$E$29-Inputs!$D$29)),Inputs!$F$29-SQRT((1-R1183)*(Inputs!$F$29-Inputs!$D$29)*(Inputs!$F$29-Inputs!$E$29)))</f>
        <v>13.7121838338844</v>
      </c>
      <c r="T1183" s="68" t="n">
        <f aca="false">Inputs!$E$9*(1+E1183)+Inputs!$E$5*C1183*(Inputs!$E$11*Inputs!$E$14*(G1183*I1183/Inputs!$E$16+(1-G1183))*K1183+Inputs!$E$23*M1183)*(1+O1183)+Inputs!$E$5*(Q1183+S1183)</f>
        <v>6737.3650490488</v>
      </c>
    </row>
    <row r="1184" customFormat="false" ht="15" hidden="false" customHeight="false" outlineLevel="0" collapsed="false">
      <c r="A1184" s="1" t="n">
        <v>1180</v>
      </c>
      <c r="B1184" s="81" t="n">
        <f aca="true">RAND()</f>
        <v>0.963068227963733</v>
      </c>
      <c r="C1184" s="82" t="n">
        <f aca="false">ROUND(IF(B1184&lt;(Inputs!$E$8-Inputs!$D$8)/(Inputs!$F$8-Inputs!$D$8),Inputs!$D$8+SQRT(B1184*(Inputs!$F$8-Inputs!$D$8)*(Inputs!$E$8-Inputs!$D$8)),Inputs!$F$8-SQRT((1-B1184)*(Inputs!$F$8-Inputs!$D$8)*(Inputs!$F$8-Inputs!$E$8))),0)</f>
        <v>29</v>
      </c>
      <c r="D1184" s="81" t="n">
        <f aca="true">RAND()</f>
        <v>0.737749074728932</v>
      </c>
      <c r="E1184" s="83" t="n">
        <f aca="false">IF(D1184&lt;(Inputs!$E$10-Inputs!$D$10)/(Inputs!$F$10-Inputs!$D$10),Inputs!$D$10+SQRT(D1184*(Inputs!$F$10-Inputs!$D$10)*(Inputs!$E$10-Inputs!$D$10)),Inputs!$F$10-SQRT((1-D1184)*(Inputs!$F$10-Inputs!$D$10)*(Inputs!$F$10-Inputs!$E$10)))</f>
        <v>0.111300914558649</v>
      </c>
      <c r="F1184" s="81" t="n">
        <f aca="true">RAND()</f>
        <v>0.803575473693277</v>
      </c>
      <c r="G1184" s="83" t="n">
        <f aca="false">IF(F1184&lt;(Inputs!$E$15-Inputs!$D$15)/(Inputs!$F$15-Inputs!$D$15),Inputs!$D$15+SQRT(F1184*(Inputs!$F$15-Inputs!$D$15)*(Inputs!$E$15-Inputs!$D$15)),Inputs!$F$15-SQRT((1-F1184)*(Inputs!$F$15-Inputs!$D$15)*(Inputs!$F$15-Inputs!$E$15)))</f>
        <v>0.737322328328707</v>
      </c>
      <c r="H1184" s="81" t="n">
        <f aca="true">RAND()</f>
        <v>0.932986685750548</v>
      </c>
      <c r="I1184" s="82" t="n">
        <f aca="false">ROUND(IF(H1184&lt;(Inputs!$E$17-Inputs!$D$17)/(Inputs!$F$17-Inputs!$D$17),Inputs!$D$17+SQRT(H1184*(Inputs!$F$17-Inputs!$D$17)*(Inputs!$E$17-Inputs!$D$17)),Inputs!$F$17-SQRT((1-H1184)*(Inputs!$F$17-Inputs!$D$17)*(Inputs!$F$17-Inputs!$E$17))),0)</f>
        <v>112</v>
      </c>
      <c r="J1184" s="81" t="n">
        <f aca="true">RAND()</f>
        <v>0.00741174418247465</v>
      </c>
      <c r="K1184" s="83" t="n">
        <f aca="false">IF(J1184&lt;(Inputs!$E$18-Inputs!$D$18)/(Inputs!$F$18-Inputs!$D$18),Inputs!$D$18+SQRT(J1184*(Inputs!$F$18-Inputs!$D$18)*(Inputs!$E$18-Inputs!$D$18)),Inputs!$F$18-SQRT((1-J1184)*(Inputs!$F$18-Inputs!$D$18)*(Inputs!$F$18-Inputs!$E$18)))</f>
        <v>0.916106242466405</v>
      </c>
      <c r="L1184" s="81" t="n">
        <f aca="true">RAND()</f>
        <v>0.794095623189483</v>
      </c>
      <c r="M1184" s="83" t="n">
        <f aca="false">IF(L1184&lt;(Inputs!$E$24-Inputs!$D$24)/(Inputs!$F$24-Inputs!$D$24),Inputs!$D$24+SQRT(L1184*(Inputs!$F$24-Inputs!$D$24)*(Inputs!$E$24-Inputs!$D$24)),Inputs!$F$24-SQRT((1-L1184)*(Inputs!$F$24-Inputs!$D$24)*(Inputs!$F$24-Inputs!$E$24)))</f>
        <v>0.977700538834382</v>
      </c>
      <c r="N1184" s="81" t="n">
        <f aca="true">RAND()</f>
        <v>0.0228662431306635</v>
      </c>
      <c r="O1184" s="83" t="n">
        <f aca="false">IF(N1184&lt;(Inputs!$E$26-Inputs!$D$26)/(Inputs!$F$26-Inputs!$D$26),Inputs!$D$26+SQRT(N1184*(Inputs!$F$26-Inputs!$D$26)*(Inputs!$E$26-Inputs!$D$26)),Inputs!$F$26-SQRT((1-N1184)*(Inputs!$F$26-Inputs!$D$26)*(Inputs!$F$26-Inputs!$E$26)))</f>
        <v>0.361684218864653</v>
      </c>
      <c r="P1184" s="81" t="n">
        <f aca="true">RAND()</f>
        <v>0.555312073657791</v>
      </c>
      <c r="Q1184" s="82" t="n">
        <f aca="false">IF(P1184&lt;(Inputs!$E$27-Inputs!$D$27)/(Inputs!$F$27-Inputs!$D$27),Inputs!$D$27+SQRT(P1184*(Inputs!$F$27-Inputs!$D$27)*(Inputs!$E$27-Inputs!$D$27)),Inputs!$F$27-SQRT((1-P1184)*(Inputs!$F$27-Inputs!$D$27)*(Inputs!$F$27-Inputs!$E$27)))</f>
        <v>92.2491606332292</v>
      </c>
      <c r="R1184" s="81" t="n">
        <f aca="true">RAND()</f>
        <v>0.448594605403041</v>
      </c>
      <c r="S1184" s="82" t="n">
        <f aca="false">IF(R1184&lt;(Inputs!$E$29-Inputs!$D$29)/(Inputs!$F$29-Inputs!$D$29),Inputs!$D$29+SQRT(R1184*(Inputs!$F$29-Inputs!$D$29)*(Inputs!$E$29-Inputs!$D$29)),Inputs!$F$29-SQRT((1-R1184)*(Inputs!$F$29-Inputs!$D$29)*(Inputs!$F$29-Inputs!$E$29)))</f>
        <v>6.53343627570165</v>
      </c>
      <c r="T1184" s="68" t="n">
        <f aca="false">Inputs!$E$9*(1+E1184)+Inputs!$E$5*C1184*(Inputs!$E$11*Inputs!$E$14*(G1184*I1184/Inputs!$E$16+(1-G1184))*K1184+Inputs!$E$23*M1184)*(1+O1184)+Inputs!$E$5*(Q1184+S1184)</f>
        <v>6290.6495294577</v>
      </c>
    </row>
    <row r="1185" customFormat="false" ht="15" hidden="false" customHeight="false" outlineLevel="0" collapsed="false">
      <c r="A1185" s="1" t="n">
        <v>1181</v>
      </c>
      <c r="B1185" s="81" t="n">
        <f aca="true">RAND()</f>
        <v>0.789509917767385</v>
      </c>
      <c r="C1185" s="82" t="n">
        <f aca="false">ROUND(IF(B1185&lt;(Inputs!$E$8-Inputs!$D$8)/(Inputs!$F$8-Inputs!$D$8),Inputs!$D$8+SQRT(B1185*(Inputs!$F$8-Inputs!$D$8)*(Inputs!$E$8-Inputs!$D$8)),Inputs!$F$8-SQRT((1-B1185)*(Inputs!$F$8-Inputs!$D$8)*(Inputs!$F$8-Inputs!$E$8))),0)</f>
        <v>27</v>
      </c>
      <c r="D1185" s="81" t="n">
        <f aca="true">RAND()</f>
        <v>0.946221920779679</v>
      </c>
      <c r="E1185" s="83" t="n">
        <f aca="false">IF(D1185&lt;(Inputs!$E$10-Inputs!$D$10)/(Inputs!$F$10-Inputs!$D$10),Inputs!$D$10+SQRT(D1185*(Inputs!$F$10-Inputs!$D$10)*(Inputs!$E$10-Inputs!$D$10)),Inputs!$F$10-SQRT((1-D1185)*(Inputs!$F$10-Inputs!$D$10)*(Inputs!$F$10-Inputs!$E$10)))</f>
        <v>0.159833566543572</v>
      </c>
      <c r="F1185" s="81" t="n">
        <f aca="true">RAND()</f>
        <v>0.918364605086406</v>
      </c>
      <c r="G1185" s="83" t="n">
        <f aca="false">IF(F1185&lt;(Inputs!$E$15-Inputs!$D$15)/(Inputs!$F$15-Inputs!$D$15),Inputs!$D$15+SQRT(F1185*(Inputs!$F$15-Inputs!$D$15)*(Inputs!$E$15-Inputs!$D$15)),Inputs!$F$15-SQRT((1-F1185)*(Inputs!$F$15-Inputs!$D$15)*(Inputs!$F$15-Inputs!$E$15)))</f>
        <v>0.759593219649768</v>
      </c>
      <c r="H1185" s="81" t="n">
        <f aca="true">RAND()</f>
        <v>0.109405061709565</v>
      </c>
      <c r="I1185" s="82" t="n">
        <f aca="false">ROUND(IF(H1185&lt;(Inputs!$E$17-Inputs!$D$17)/(Inputs!$F$17-Inputs!$D$17),Inputs!$D$17+SQRT(H1185*(Inputs!$F$17-Inputs!$D$17)*(Inputs!$E$17-Inputs!$D$17)),Inputs!$F$17-SQRT((1-H1185)*(Inputs!$F$17-Inputs!$D$17)*(Inputs!$F$17-Inputs!$E$17))),0)</f>
        <v>103</v>
      </c>
      <c r="J1185" s="81" t="n">
        <f aca="true">RAND()</f>
        <v>0.792582410906167</v>
      </c>
      <c r="K1185" s="83" t="n">
        <f aca="false">IF(J1185&lt;(Inputs!$E$18-Inputs!$D$18)/(Inputs!$F$18-Inputs!$D$18),Inputs!$D$18+SQRT(J1185*(Inputs!$F$18-Inputs!$D$18)*(Inputs!$E$18-Inputs!$D$18)),Inputs!$F$18-SQRT((1-J1185)*(Inputs!$F$18-Inputs!$D$18)*(Inputs!$F$18-Inputs!$E$18)))</f>
        <v>1.11528163063001</v>
      </c>
      <c r="L1185" s="81" t="n">
        <f aca="true">RAND()</f>
        <v>0.722823799472263</v>
      </c>
      <c r="M1185" s="83" t="n">
        <f aca="false">IF(L1185&lt;(Inputs!$E$24-Inputs!$D$24)/(Inputs!$F$24-Inputs!$D$24),Inputs!$D$24+SQRT(L1185*(Inputs!$F$24-Inputs!$D$24)*(Inputs!$E$24-Inputs!$D$24)),Inputs!$F$24-SQRT((1-L1185)*(Inputs!$F$24-Inputs!$D$24)*(Inputs!$F$24-Inputs!$E$24)))</f>
        <v>0.942080849631795</v>
      </c>
      <c r="N1185" s="81" t="n">
        <f aca="true">RAND()</f>
        <v>0.816741385240419</v>
      </c>
      <c r="O1185" s="83" t="n">
        <f aca="false">IF(N1185&lt;(Inputs!$E$26-Inputs!$D$26)/(Inputs!$F$26-Inputs!$D$26),Inputs!$D$26+SQRT(N1185*(Inputs!$F$26-Inputs!$D$26)*(Inputs!$E$26-Inputs!$D$26)),Inputs!$F$26-SQRT((1-N1185)*(Inputs!$F$26-Inputs!$D$26)*(Inputs!$F$26-Inputs!$E$26)))</f>
        <v>0.681946039770688</v>
      </c>
      <c r="P1185" s="81" t="n">
        <f aca="true">RAND()</f>
        <v>0.891034972652745</v>
      </c>
      <c r="Q1185" s="82" t="n">
        <f aca="false">IF(P1185&lt;(Inputs!$E$27-Inputs!$D$27)/(Inputs!$F$27-Inputs!$D$27),Inputs!$D$27+SQRT(P1185*(Inputs!$F$27-Inputs!$D$27)*(Inputs!$E$27-Inputs!$D$27)),Inputs!$F$27-SQRT((1-P1185)*(Inputs!$F$27-Inputs!$D$27)*(Inputs!$F$27-Inputs!$E$27)))</f>
        <v>121.412630322039</v>
      </c>
      <c r="R1185" s="81" t="n">
        <f aca="true">RAND()</f>
        <v>0.637519420712774</v>
      </c>
      <c r="S1185" s="82" t="n">
        <f aca="false">IF(R1185&lt;(Inputs!$E$29-Inputs!$D$29)/(Inputs!$F$29-Inputs!$D$29),Inputs!$D$29+SQRT(R1185*(Inputs!$F$29-Inputs!$D$29)*(Inputs!$E$29-Inputs!$D$29)),Inputs!$F$29-SQRT((1-R1185)*(Inputs!$F$29-Inputs!$D$29)*(Inputs!$F$29-Inputs!$E$29)))</f>
        <v>8.1354187813575</v>
      </c>
      <c r="T1185" s="68" t="n">
        <f aca="false">Inputs!$E$9*(1+E1185)+Inputs!$E$5*C1185*(Inputs!$E$11*Inputs!$E$14*(G1185*I1185/Inputs!$E$16+(1-G1185))*K1185+Inputs!$E$23*M1185)*(1+O1185)+Inputs!$E$5*(Q1185+S1185)</f>
        <v>7311.89476467074</v>
      </c>
    </row>
    <row r="1186" customFormat="false" ht="15" hidden="false" customHeight="false" outlineLevel="0" collapsed="false">
      <c r="A1186" s="1" t="n">
        <v>1182</v>
      </c>
      <c r="B1186" s="81" t="n">
        <f aca="true">RAND()</f>
        <v>0.0420140065375234</v>
      </c>
      <c r="C1186" s="82" t="n">
        <f aca="false">ROUND(IF(B1186&lt;(Inputs!$E$8-Inputs!$D$8)/(Inputs!$F$8-Inputs!$D$8),Inputs!$D$8+SQRT(B1186*(Inputs!$F$8-Inputs!$D$8)*(Inputs!$E$8-Inputs!$D$8)),Inputs!$F$8-SQRT((1-B1186)*(Inputs!$F$8-Inputs!$D$8)*(Inputs!$F$8-Inputs!$E$8))),0)</f>
        <v>21</v>
      </c>
      <c r="D1186" s="81" t="n">
        <f aca="true">RAND()</f>
        <v>0.615202090617306</v>
      </c>
      <c r="E1186" s="83" t="n">
        <f aca="false">IF(D1186&lt;(Inputs!$E$10-Inputs!$D$10)/(Inputs!$F$10-Inputs!$D$10),Inputs!$D$10+SQRT(D1186*(Inputs!$F$10-Inputs!$D$10)*(Inputs!$E$10-Inputs!$D$10)),Inputs!$F$10-SQRT((1-D1186)*(Inputs!$F$10-Inputs!$D$10)*(Inputs!$F$10-Inputs!$E$10)))</f>
        <v>0.092557283720669</v>
      </c>
      <c r="F1186" s="81" t="n">
        <f aca="true">RAND()</f>
        <v>0.270275946789552</v>
      </c>
      <c r="G1186" s="83" t="n">
        <f aca="false">IF(F1186&lt;(Inputs!$E$15-Inputs!$D$15)/(Inputs!$F$15-Inputs!$D$15),Inputs!$D$15+SQRT(F1186*(Inputs!$F$15-Inputs!$D$15)*(Inputs!$E$15-Inputs!$D$15)),Inputs!$F$15-SQRT((1-F1186)*(Inputs!$F$15-Inputs!$D$15)*(Inputs!$F$15-Inputs!$E$15)))</f>
        <v>0.673522234295423</v>
      </c>
      <c r="H1186" s="81" t="n">
        <f aca="true">RAND()</f>
        <v>0.771116410677772</v>
      </c>
      <c r="I1186" s="82" t="n">
        <f aca="false">ROUND(IF(H1186&lt;(Inputs!$E$17-Inputs!$D$17)/(Inputs!$F$17-Inputs!$D$17),Inputs!$D$17+SQRT(H1186*(Inputs!$F$17-Inputs!$D$17)*(Inputs!$E$17-Inputs!$D$17)),Inputs!$F$17-SQRT((1-H1186)*(Inputs!$F$17-Inputs!$D$17)*(Inputs!$F$17-Inputs!$E$17))),0)</f>
        <v>109</v>
      </c>
      <c r="J1186" s="81" t="n">
        <f aca="true">RAND()</f>
        <v>0.303337199513358</v>
      </c>
      <c r="K1186" s="83" t="n">
        <f aca="false">IF(J1186&lt;(Inputs!$E$18-Inputs!$D$18)/(Inputs!$F$18-Inputs!$D$18),Inputs!$D$18+SQRT(J1186*(Inputs!$F$18-Inputs!$D$18)*(Inputs!$E$18-Inputs!$D$18)),Inputs!$F$18-SQRT((1-J1186)*(Inputs!$F$18-Inputs!$D$18)*(Inputs!$F$18-Inputs!$E$18)))</f>
        <v>1.00310327049031</v>
      </c>
      <c r="L1186" s="81" t="n">
        <f aca="true">RAND()</f>
        <v>0.291644310906641</v>
      </c>
      <c r="M1186" s="83" t="n">
        <f aca="false">IF(L1186&lt;(Inputs!$E$24-Inputs!$D$24)/(Inputs!$F$24-Inputs!$D$24),Inputs!$D$24+SQRT(L1186*(Inputs!$F$24-Inputs!$D$24)*(Inputs!$E$24-Inputs!$D$24)),Inputs!$F$24-SQRT((1-L1186)*(Inputs!$F$24-Inputs!$D$24)*(Inputs!$F$24-Inputs!$E$24)))</f>
        <v>0.787075699407478</v>
      </c>
      <c r="N1186" s="81" t="n">
        <f aca="true">RAND()</f>
        <v>0.254126817131057</v>
      </c>
      <c r="O1186" s="83" t="n">
        <f aca="false">IF(N1186&lt;(Inputs!$E$26-Inputs!$D$26)/(Inputs!$F$26-Inputs!$D$26),Inputs!$D$26+SQRT(N1186*(Inputs!$F$26-Inputs!$D$26)*(Inputs!$E$26-Inputs!$D$26)),Inputs!$F$26-SQRT((1-N1186)*(Inputs!$F$26-Inputs!$D$26)*(Inputs!$F$26-Inputs!$E$26)))</f>
        <v>0.50563730782766</v>
      </c>
      <c r="P1186" s="81" t="n">
        <f aca="true">RAND()</f>
        <v>0.635840639807926</v>
      </c>
      <c r="Q1186" s="82" t="n">
        <f aca="false">IF(P1186&lt;(Inputs!$E$27-Inputs!$D$27)/(Inputs!$F$27-Inputs!$D$27),Inputs!$D$27+SQRT(P1186*(Inputs!$F$27-Inputs!$D$27)*(Inputs!$E$27-Inputs!$D$27)),Inputs!$F$27-SQRT((1-P1186)*(Inputs!$F$27-Inputs!$D$27)*(Inputs!$F$27-Inputs!$E$27)))</f>
        <v>97.7391618758314</v>
      </c>
      <c r="R1186" s="81" t="n">
        <f aca="true">RAND()</f>
        <v>0.16458140818055</v>
      </c>
      <c r="S1186" s="82" t="n">
        <f aca="false">IF(R1186&lt;(Inputs!$E$29-Inputs!$D$29)/(Inputs!$F$29-Inputs!$D$29),Inputs!$D$29+SQRT(R1186*(Inputs!$F$29-Inputs!$D$29)*(Inputs!$E$29-Inputs!$D$29)),Inputs!$F$29-SQRT((1-R1186)*(Inputs!$F$29-Inputs!$D$29)*(Inputs!$F$29-Inputs!$E$29)))</f>
        <v>4.53351039450037</v>
      </c>
      <c r="T1186" s="68" t="n">
        <f aca="false">Inputs!$E$9*(1+E1186)+Inputs!$E$5*C1186*(Inputs!$E$11*Inputs!$E$14*(G1186*I1186/Inputs!$E$16+(1-G1186))*K1186+Inputs!$E$23*M1186)*(1+O1186)+Inputs!$E$5*(Q1186+S1186)</f>
        <v>5568.94635624258</v>
      </c>
    </row>
    <row r="1187" customFormat="false" ht="15" hidden="false" customHeight="false" outlineLevel="0" collapsed="false">
      <c r="A1187" s="1" t="n">
        <v>1183</v>
      </c>
      <c r="B1187" s="81" t="n">
        <f aca="true">RAND()</f>
        <v>0.951777976234026</v>
      </c>
      <c r="C1187" s="82" t="n">
        <f aca="false">ROUND(IF(B1187&lt;(Inputs!$E$8-Inputs!$D$8)/(Inputs!$F$8-Inputs!$D$8),Inputs!$D$8+SQRT(B1187*(Inputs!$F$8-Inputs!$D$8)*(Inputs!$E$8-Inputs!$D$8)),Inputs!$F$8-SQRT((1-B1187)*(Inputs!$F$8-Inputs!$D$8)*(Inputs!$F$8-Inputs!$E$8))),0)</f>
        <v>28</v>
      </c>
      <c r="D1187" s="81" t="n">
        <f aca="true">RAND()</f>
        <v>0.922485850038369</v>
      </c>
      <c r="E1187" s="83" t="n">
        <f aca="false">IF(D1187&lt;(Inputs!$E$10-Inputs!$D$10)/(Inputs!$F$10-Inputs!$D$10),Inputs!$D$10+SQRT(D1187*(Inputs!$F$10-Inputs!$D$10)*(Inputs!$E$10-Inputs!$D$10)),Inputs!$F$10-SQRT((1-D1187)*(Inputs!$F$10-Inputs!$D$10)*(Inputs!$F$10-Inputs!$E$10)))</f>
        <v>0.151777344547931</v>
      </c>
      <c r="F1187" s="81" t="n">
        <f aca="true">RAND()</f>
        <v>0.959329191331663</v>
      </c>
      <c r="G1187" s="83" t="n">
        <f aca="false">IF(F1187&lt;(Inputs!$E$15-Inputs!$D$15)/(Inputs!$F$15-Inputs!$D$15),Inputs!$D$15+SQRT(F1187*(Inputs!$F$15-Inputs!$D$15)*(Inputs!$E$15-Inputs!$D$15)),Inputs!$F$15-SQRT((1-F1187)*(Inputs!$F$15-Inputs!$D$15)*(Inputs!$F$15-Inputs!$E$15)))</f>
        <v>0.771479548156336</v>
      </c>
      <c r="H1187" s="81" t="n">
        <f aca="true">RAND()</f>
        <v>0.18375516007016</v>
      </c>
      <c r="I1187" s="82" t="n">
        <f aca="false">ROUND(IF(H1187&lt;(Inputs!$E$17-Inputs!$D$17)/(Inputs!$F$17-Inputs!$D$17),Inputs!$D$17+SQRT(H1187*(Inputs!$F$17-Inputs!$D$17)*(Inputs!$E$17-Inputs!$D$17)),Inputs!$F$17-SQRT((1-H1187)*(Inputs!$F$17-Inputs!$D$17)*(Inputs!$F$17-Inputs!$E$17))),0)</f>
        <v>104</v>
      </c>
      <c r="J1187" s="81" t="n">
        <f aca="true">RAND()</f>
        <v>0.153050177154273</v>
      </c>
      <c r="K1187" s="83" t="n">
        <f aca="false">IF(J1187&lt;(Inputs!$E$18-Inputs!$D$18)/(Inputs!$F$18-Inputs!$D$18),Inputs!$D$18+SQRT(J1187*(Inputs!$F$18-Inputs!$D$18)*(Inputs!$E$18-Inputs!$D$18)),Inputs!$F$18-SQRT((1-J1187)*(Inputs!$F$18-Inputs!$D$18)*(Inputs!$F$18-Inputs!$E$18)))</f>
        <v>0.97318986405507</v>
      </c>
      <c r="L1187" s="81" t="n">
        <f aca="true">RAND()</f>
        <v>0.000588565885810961</v>
      </c>
      <c r="M1187" s="83" t="n">
        <f aca="false">IF(L1187&lt;(Inputs!$E$24-Inputs!$D$24)/(Inputs!$F$24-Inputs!$D$24),Inputs!$D$24+SQRT(L1187*(Inputs!$F$24-Inputs!$D$24)*(Inputs!$E$24-Inputs!$D$24)),Inputs!$F$24-SQRT((1-L1187)*(Inputs!$F$24-Inputs!$D$24)*(Inputs!$F$24-Inputs!$E$24)))</f>
        <v>0.608404041069469</v>
      </c>
      <c r="N1187" s="81" t="n">
        <f aca="true">RAND()</f>
        <v>0.644699280280356</v>
      </c>
      <c r="O1187" s="83" t="n">
        <f aca="false">IF(N1187&lt;(Inputs!$E$26-Inputs!$D$26)/(Inputs!$F$26-Inputs!$D$26),Inputs!$D$26+SQRT(N1187*(Inputs!$F$26-Inputs!$D$26)*(Inputs!$E$26-Inputs!$D$26)),Inputs!$F$26-SQRT((1-N1187)*(Inputs!$F$26-Inputs!$D$26)*(Inputs!$F$26-Inputs!$E$26)))</f>
        <v>0.627772856102883</v>
      </c>
      <c r="P1187" s="81" t="n">
        <f aca="true">RAND()</f>
        <v>0.629949448828803</v>
      </c>
      <c r="Q1187" s="82" t="n">
        <f aca="false">IF(P1187&lt;(Inputs!$E$27-Inputs!$D$27)/(Inputs!$F$27-Inputs!$D$27),Inputs!$D$27+SQRT(P1187*(Inputs!$F$27-Inputs!$D$27)*(Inputs!$E$27-Inputs!$D$27)),Inputs!$F$27-SQRT((1-P1187)*(Inputs!$F$27-Inputs!$D$27)*(Inputs!$F$27-Inputs!$E$27)))</f>
        <v>97.3181327800165</v>
      </c>
      <c r="R1187" s="81" t="n">
        <f aca="true">RAND()</f>
        <v>0.780385476488006</v>
      </c>
      <c r="S1187" s="82" t="n">
        <f aca="false">IF(R1187&lt;(Inputs!$E$29-Inputs!$D$29)/(Inputs!$F$29-Inputs!$D$29),Inputs!$D$29+SQRT(R1187*(Inputs!$F$29-Inputs!$D$29)*(Inputs!$E$29-Inputs!$D$29)),Inputs!$F$29-SQRT((1-R1187)*(Inputs!$F$29-Inputs!$D$29)*(Inputs!$F$29-Inputs!$E$29)))</f>
        <v>9.65679047233227</v>
      </c>
      <c r="T1187" s="68" t="n">
        <f aca="false">Inputs!$E$9*(1+E1187)+Inputs!$E$5*C1187*(Inputs!$E$11*Inputs!$E$14*(G1187*I1187/Inputs!$E$16+(1-G1187))*K1187+Inputs!$E$23*M1187)*(1+O1187)+Inputs!$E$5*(Q1187+S1187)</f>
        <v>6319.48151529864</v>
      </c>
    </row>
    <row r="1188" customFormat="false" ht="15" hidden="false" customHeight="false" outlineLevel="0" collapsed="false">
      <c r="A1188" s="1" t="n">
        <v>1184</v>
      </c>
      <c r="B1188" s="81" t="n">
        <f aca="true">RAND()</f>
        <v>0.883888289445764</v>
      </c>
      <c r="C1188" s="82" t="n">
        <f aca="false">ROUND(IF(B1188&lt;(Inputs!$E$8-Inputs!$D$8)/(Inputs!$F$8-Inputs!$D$8),Inputs!$D$8+SQRT(B1188*(Inputs!$F$8-Inputs!$D$8)*(Inputs!$E$8-Inputs!$D$8)),Inputs!$F$8-SQRT((1-B1188)*(Inputs!$F$8-Inputs!$D$8)*(Inputs!$F$8-Inputs!$E$8))),0)</f>
        <v>28</v>
      </c>
      <c r="D1188" s="81" t="n">
        <f aca="true">RAND()</f>
        <v>0.22382160111206</v>
      </c>
      <c r="E1188" s="83" t="n">
        <f aca="false">IF(D1188&lt;(Inputs!$E$10-Inputs!$D$10)/(Inputs!$F$10-Inputs!$D$10),Inputs!$D$10+SQRT(D1188*(Inputs!$F$10-Inputs!$D$10)*(Inputs!$E$10-Inputs!$D$10)),Inputs!$F$10-SQRT((1-D1188)*(Inputs!$F$10-Inputs!$D$10)*(Inputs!$F$10-Inputs!$E$10)))</f>
        <v>0.0473097876883906</v>
      </c>
      <c r="F1188" s="81" t="n">
        <f aca="true">RAND()</f>
        <v>0.780855942864773</v>
      </c>
      <c r="G1188" s="83" t="n">
        <f aca="false">IF(F1188&lt;(Inputs!$E$15-Inputs!$D$15)/(Inputs!$F$15-Inputs!$D$15),Inputs!$D$15+SQRT(F1188*(Inputs!$F$15-Inputs!$D$15)*(Inputs!$E$15-Inputs!$D$15)),Inputs!$F$15-SQRT((1-F1188)*(Inputs!$F$15-Inputs!$D$15)*(Inputs!$F$15-Inputs!$E$15)))</f>
        <v>0.733796668190305</v>
      </c>
      <c r="H1188" s="81" t="n">
        <f aca="true">RAND()</f>
        <v>0.727355647150789</v>
      </c>
      <c r="I1188" s="82" t="n">
        <f aca="false">ROUND(IF(H1188&lt;(Inputs!$E$17-Inputs!$D$17)/(Inputs!$F$17-Inputs!$D$17),Inputs!$D$17+SQRT(H1188*(Inputs!$F$17-Inputs!$D$17)*(Inputs!$E$17-Inputs!$D$17)),Inputs!$F$17-SQRT((1-H1188)*(Inputs!$F$17-Inputs!$D$17)*(Inputs!$F$17-Inputs!$E$17))),0)</f>
        <v>109</v>
      </c>
      <c r="J1188" s="81" t="n">
        <f aca="true">RAND()</f>
        <v>0.142779315256021</v>
      </c>
      <c r="K1188" s="83" t="n">
        <f aca="false">IF(J1188&lt;(Inputs!$E$18-Inputs!$D$18)/(Inputs!$F$18-Inputs!$D$18),Inputs!$D$18+SQRT(J1188*(Inputs!$F$18-Inputs!$D$18)*(Inputs!$E$18-Inputs!$D$18)),Inputs!$F$18-SQRT((1-J1188)*(Inputs!$F$18-Inputs!$D$18)*(Inputs!$F$18-Inputs!$E$18)))</f>
        <v>0.970691414145996</v>
      </c>
      <c r="L1188" s="81" t="n">
        <f aca="true">RAND()</f>
        <v>0.211782000812463</v>
      </c>
      <c r="M1188" s="83" t="n">
        <f aca="false">IF(L1188&lt;(Inputs!$E$24-Inputs!$D$24)/(Inputs!$F$24-Inputs!$D$24),Inputs!$D$24+SQRT(L1188*(Inputs!$F$24-Inputs!$D$24)*(Inputs!$E$24-Inputs!$D$24)),Inputs!$F$24-SQRT((1-L1188)*(Inputs!$F$24-Inputs!$D$24)*(Inputs!$F$24-Inputs!$E$24)))</f>
        <v>0.759417188839521</v>
      </c>
      <c r="N1188" s="81" t="n">
        <f aca="true">RAND()</f>
        <v>0.927064687738346</v>
      </c>
      <c r="O1188" s="83" t="n">
        <f aca="false">IF(N1188&lt;(Inputs!$E$26-Inputs!$D$26)/(Inputs!$F$26-Inputs!$D$26),Inputs!$D$26+SQRT(N1188*(Inputs!$F$26-Inputs!$D$26)*(Inputs!$E$26-Inputs!$D$26)),Inputs!$F$26-SQRT((1-N1188)*(Inputs!$F$26-Inputs!$D$26)*(Inputs!$F$26-Inputs!$E$26)))</f>
        <v>0.732906530237841</v>
      </c>
      <c r="P1188" s="81" t="n">
        <f aca="true">RAND()</f>
        <v>0.0953496247596836</v>
      </c>
      <c r="Q1188" s="82" t="n">
        <f aca="false">IF(P1188&lt;(Inputs!$E$27-Inputs!$D$27)/(Inputs!$F$27-Inputs!$D$27),Inputs!$D$27+SQRT(P1188*(Inputs!$F$27-Inputs!$D$27)*(Inputs!$E$27-Inputs!$D$27)),Inputs!$F$27-SQRT((1-P1188)*(Inputs!$F$27-Inputs!$D$27)*(Inputs!$F$27-Inputs!$E$27)))</f>
        <v>65.4393672765178</v>
      </c>
      <c r="R1188" s="81" t="n">
        <f aca="true">RAND()</f>
        <v>0.0779564302467574</v>
      </c>
      <c r="S1188" s="82" t="n">
        <f aca="false">IF(R1188&lt;(Inputs!$E$29-Inputs!$D$29)/(Inputs!$F$29-Inputs!$D$29),Inputs!$D$29+SQRT(R1188*(Inputs!$F$29-Inputs!$D$29)*(Inputs!$E$29-Inputs!$D$29)),Inputs!$F$29-SQRT((1-R1188)*(Inputs!$F$29-Inputs!$D$29)*(Inputs!$F$29-Inputs!$E$29)))</f>
        <v>3.74364582975544</v>
      </c>
      <c r="T1188" s="68" t="n">
        <f aca="false">Inputs!$E$9*(1+E1188)+Inputs!$E$5*C1188*(Inputs!$E$11*Inputs!$E$14*(G1188*I1188/Inputs!$E$16+(1-G1188))*K1188+Inputs!$E$23*M1188)*(1+O1188)+Inputs!$E$5*(Q1188+S1188)</f>
        <v>6497.47884752905</v>
      </c>
    </row>
    <row r="1189" customFormat="false" ht="15" hidden="false" customHeight="false" outlineLevel="0" collapsed="false">
      <c r="A1189" s="1" t="n">
        <v>1185</v>
      </c>
      <c r="B1189" s="81" t="n">
        <f aca="true">RAND()</f>
        <v>0.422308383144998</v>
      </c>
      <c r="C1189" s="82" t="n">
        <f aca="false">ROUND(IF(B1189&lt;(Inputs!$E$8-Inputs!$D$8)/(Inputs!$F$8-Inputs!$D$8),Inputs!$D$8+SQRT(B1189*(Inputs!$F$8-Inputs!$D$8)*(Inputs!$E$8-Inputs!$D$8)),Inputs!$F$8-SQRT((1-B1189)*(Inputs!$F$8-Inputs!$D$8)*(Inputs!$F$8-Inputs!$E$8))),0)</f>
        <v>25</v>
      </c>
      <c r="D1189" s="81" t="n">
        <f aca="true">RAND()</f>
        <v>0.669451482092956</v>
      </c>
      <c r="E1189" s="83" t="n">
        <f aca="false">IF(D1189&lt;(Inputs!$E$10-Inputs!$D$10)/(Inputs!$F$10-Inputs!$D$10),Inputs!$D$10+SQRT(D1189*(Inputs!$F$10-Inputs!$D$10)*(Inputs!$E$10-Inputs!$D$10)),Inputs!$F$10-SQRT((1-D1189)*(Inputs!$F$10-Inputs!$D$10)*(Inputs!$F$10-Inputs!$E$10)))</f>
        <v>0.100418598437202</v>
      </c>
      <c r="F1189" s="81" t="n">
        <f aca="true">RAND()</f>
        <v>0.114437017284859</v>
      </c>
      <c r="G1189" s="83" t="n">
        <f aca="false">IF(F1189&lt;(Inputs!$E$15-Inputs!$D$15)/(Inputs!$F$15-Inputs!$D$15),Inputs!$D$15+SQRT(F1189*(Inputs!$F$15-Inputs!$D$15)*(Inputs!$E$15-Inputs!$D$15)),Inputs!$F$15-SQRT((1-F1189)*(Inputs!$F$15-Inputs!$D$15)*(Inputs!$F$15-Inputs!$E$15)))</f>
        <v>0.647840781198651</v>
      </c>
      <c r="H1189" s="81" t="n">
        <f aca="true">RAND()</f>
        <v>0.94226343462644</v>
      </c>
      <c r="I1189" s="82" t="n">
        <f aca="false">ROUND(IF(H1189&lt;(Inputs!$E$17-Inputs!$D$17)/(Inputs!$F$17-Inputs!$D$17),Inputs!$D$17+SQRT(H1189*(Inputs!$F$17-Inputs!$D$17)*(Inputs!$E$17-Inputs!$D$17)),Inputs!$F$17-SQRT((1-H1189)*(Inputs!$F$17-Inputs!$D$17)*(Inputs!$F$17-Inputs!$E$17))),0)</f>
        <v>112</v>
      </c>
      <c r="J1189" s="81" t="n">
        <f aca="true">RAND()</f>
        <v>0.616063373273335</v>
      </c>
      <c r="K1189" s="83" t="n">
        <f aca="false">IF(J1189&lt;(Inputs!$E$18-Inputs!$D$18)/(Inputs!$F$18-Inputs!$D$18),Inputs!$D$18+SQRT(J1189*(Inputs!$F$18-Inputs!$D$18)*(Inputs!$E$18-Inputs!$D$18)),Inputs!$F$18-SQRT((1-J1189)*(Inputs!$F$18-Inputs!$D$18)*(Inputs!$F$18-Inputs!$E$18)))</f>
        <v>1.0667120984937</v>
      </c>
      <c r="L1189" s="81" t="n">
        <f aca="true">RAND()</f>
        <v>0.690623289142395</v>
      </c>
      <c r="M1189" s="83" t="n">
        <f aca="false">IF(L1189&lt;(Inputs!$E$24-Inputs!$D$24)/(Inputs!$F$24-Inputs!$D$24),Inputs!$D$24+SQRT(L1189*(Inputs!$F$24-Inputs!$D$24)*(Inputs!$E$24-Inputs!$D$24)),Inputs!$F$24-SQRT((1-L1189)*(Inputs!$F$24-Inputs!$D$24)*(Inputs!$F$24-Inputs!$E$24)))</f>
        <v>0.927510714695375</v>
      </c>
      <c r="N1189" s="81" t="n">
        <f aca="true">RAND()</f>
        <v>0.658894023679357</v>
      </c>
      <c r="O1189" s="83" t="n">
        <f aca="false">IF(N1189&lt;(Inputs!$E$26-Inputs!$D$26)/(Inputs!$F$26-Inputs!$D$26),Inputs!$D$26+SQRT(N1189*(Inputs!$F$26-Inputs!$D$26)*(Inputs!$E$26-Inputs!$D$26)),Inputs!$F$26-SQRT((1-N1189)*(Inputs!$F$26-Inputs!$D$26)*(Inputs!$F$26-Inputs!$E$26)))</f>
        <v>0.631651860807315</v>
      </c>
      <c r="P1189" s="81" t="n">
        <f aca="true">RAND()</f>
        <v>0.21127676012038</v>
      </c>
      <c r="Q1189" s="82" t="n">
        <f aca="false">IF(P1189&lt;(Inputs!$E$27-Inputs!$D$27)/(Inputs!$F$27-Inputs!$D$27),Inputs!$D$27+SQRT(P1189*(Inputs!$F$27-Inputs!$D$27)*(Inputs!$E$27-Inputs!$D$27)),Inputs!$F$27-SQRT((1-P1189)*(Inputs!$F$27-Inputs!$D$27)*(Inputs!$F$27-Inputs!$E$27)))</f>
        <v>72.9824259011304</v>
      </c>
      <c r="R1189" s="81" t="n">
        <f aca="true">RAND()</f>
        <v>0.826198127818518</v>
      </c>
      <c r="S1189" s="82" t="n">
        <f aca="false">IF(R1189&lt;(Inputs!$E$29-Inputs!$D$29)/(Inputs!$F$29-Inputs!$D$29),Inputs!$D$29+SQRT(R1189*(Inputs!$F$29-Inputs!$D$29)*(Inputs!$E$29-Inputs!$D$29)),Inputs!$F$29-SQRT((1-R1189)*(Inputs!$F$29-Inputs!$D$29)*(Inputs!$F$29-Inputs!$E$29)))</f>
        <v>10.2466597656393</v>
      </c>
      <c r="T1189" s="68" t="n">
        <f aca="false">Inputs!$E$9*(1+E1189)+Inputs!$E$5*C1189*(Inputs!$E$11*Inputs!$E$14*(G1189*I1189/Inputs!$E$16+(1-G1189))*K1189+Inputs!$E$23*M1189)*(1+O1189)+Inputs!$E$5*(Q1189+S1189)</f>
        <v>6680.29413057532</v>
      </c>
    </row>
    <row r="1190" customFormat="false" ht="15" hidden="false" customHeight="false" outlineLevel="0" collapsed="false">
      <c r="A1190" s="1" t="n">
        <v>1186</v>
      </c>
      <c r="B1190" s="81" t="n">
        <f aca="true">RAND()</f>
        <v>0.50246676281046</v>
      </c>
      <c r="C1190" s="82" t="n">
        <f aca="false">ROUND(IF(B1190&lt;(Inputs!$E$8-Inputs!$D$8)/(Inputs!$F$8-Inputs!$D$8),Inputs!$D$8+SQRT(B1190*(Inputs!$F$8-Inputs!$D$8)*(Inputs!$E$8-Inputs!$D$8)),Inputs!$F$8-SQRT((1-B1190)*(Inputs!$F$8-Inputs!$D$8)*(Inputs!$F$8-Inputs!$E$8))),0)</f>
        <v>25</v>
      </c>
      <c r="D1190" s="81" t="n">
        <f aca="true">RAND()</f>
        <v>0.477808856286482</v>
      </c>
      <c r="E1190" s="83" t="n">
        <f aca="false">IF(D1190&lt;(Inputs!$E$10-Inputs!$D$10)/(Inputs!$F$10-Inputs!$D$10),Inputs!$D$10+SQRT(D1190*(Inputs!$F$10-Inputs!$D$10)*(Inputs!$E$10-Inputs!$D$10)),Inputs!$F$10-SQRT((1-D1190)*(Inputs!$F$10-Inputs!$D$10)*(Inputs!$F$10-Inputs!$E$10)))</f>
        <v>0.0748371688103631</v>
      </c>
      <c r="F1190" s="81" t="n">
        <f aca="true">RAND()</f>
        <v>0.177432805345912</v>
      </c>
      <c r="G1190" s="83" t="n">
        <f aca="false">IF(F1190&lt;(Inputs!$E$15-Inputs!$D$15)/(Inputs!$F$15-Inputs!$D$15),Inputs!$D$15+SQRT(F1190*(Inputs!$F$15-Inputs!$D$15)*(Inputs!$E$15-Inputs!$D$15)),Inputs!$F$15-SQRT((1-F1190)*(Inputs!$F$15-Inputs!$D$15)*(Inputs!$F$15-Inputs!$E$15)))</f>
        <v>0.65957059767132</v>
      </c>
      <c r="H1190" s="81" t="n">
        <f aca="true">RAND()</f>
        <v>0.944608067813623</v>
      </c>
      <c r="I1190" s="82" t="n">
        <f aca="false">ROUND(IF(H1190&lt;(Inputs!$E$17-Inputs!$D$17)/(Inputs!$F$17-Inputs!$D$17),Inputs!$D$17+SQRT(H1190*(Inputs!$F$17-Inputs!$D$17)*(Inputs!$E$17-Inputs!$D$17)),Inputs!$F$17-SQRT((1-H1190)*(Inputs!$F$17-Inputs!$D$17)*(Inputs!$F$17-Inputs!$E$17))),0)</f>
        <v>112</v>
      </c>
      <c r="J1190" s="81" t="n">
        <f aca="true">RAND()</f>
        <v>0.65822628342161</v>
      </c>
      <c r="K1190" s="83" t="n">
        <f aca="false">IF(J1190&lt;(Inputs!$E$18-Inputs!$D$18)/(Inputs!$F$18-Inputs!$D$18),Inputs!$D$18+SQRT(J1190*(Inputs!$F$18-Inputs!$D$18)*(Inputs!$E$18-Inputs!$D$18)),Inputs!$F$18-SQRT((1-J1190)*(Inputs!$F$18-Inputs!$D$18)*(Inputs!$F$18-Inputs!$E$18)))</f>
        <v>1.07706879922753</v>
      </c>
      <c r="L1190" s="81" t="n">
        <f aca="true">RAND()</f>
        <v>0.735016266243842</v>
      </c>
      <c r="M1190" s="83" t="n">
        <f aca="false">IF(L1190&lt;(Inputs!$E$24-Inputs!$D$24)/(Inputs!$F$24-Inputs!$D$24),Inputs!$D$24+SQRT(L1190*(Inputs!$F$24-Inputs!$D$24)*(Inputs!$E$24-Inputs!$D$24)),Inputs!$F$24-SQRT((1-L1190)*(Inputs!$F$24-Inputs!$D$24)*(Inputs!$F$24-Inputs!$E$24)))</f>
        <v>0.947817335842692</v>
      </c>
      <c r="N1190" s="81" t="n">
        <f aca="true">RAND()</f>
        <v>0.146276158200978</v>
      </c>
      <c r="O1190" s="83" t="n">
        <f aca="false">IF(N1190&lt;(Inputs!$E$26-Inputs!$D$26)/(Inputs!$F$26-Inputs!$D$26),Inputs!$D$26+SQRT(N1190*(Inputs!$F$26-Inputs!$D$26)*(Inputs!$E$26-Inputs!$D$26)),Inputs!$F$26-SQRT((1-N1190)*(Inputs!$F$26-Inputs!$D$26)*(Inputs!$F$26-Inputs!$E$26)))</f>
        <v>0.456013950416758</v>
      </c>
      <c r="P1190" s="81" t="n">
        <f aca="true">RAND()</f>
        <v>0.488266243843628</v>
      </c>
      <c r="Q1190" s="82" t="n">
        <f aca="false">IF(P1190&lt;(Inputs!$E$27-Inputs!$D$27)/(Inputs!$F$27-Inputs!$D$27),Inputs!$D$27+SQRT(P1190*(Inputs!$F$27-Inputs!$D$27)*(Inputs!$E$27-Inputs!$D$27)),Inputs!$F$27-SQRT((1-P1190)*(Inputs!$F$27-Inputs!$D$27)*(Inputs!$F$27-Inputs!$E$27)))</f>
        <v>88.0483803991148</v>
      </c>
      <c r="R1190" s="81" t="n">
        <f aca="true">RAND()</f>
        <v>0.302752462866871</v>
      </c>
      <c r="S1190" s="82" t="n">
        <f aca="false">IF(R1190&lt;(Inputs!$E$29-Inputs!$D$29)/(Inputs!$F$29-Inputs!$D$29),Inputs!$D$29+SQRT(R1190*(Inputs!$F$29-Inputs!$D$29)*(Inputs!$E$29-Inputs!$D$29)),Inputs!$F$29-SQRT((1-R1190)*(Inputs!$F$29-Inputs!$D$29)*(Inputs!$F$29-Inputs!$E$29)))</f>
        <v>5.47938133169347</v>
      </c>
      <c r="T1190" s="68" t="n">
        <f aca="false">Inputs!$E$9*(1+E1190)+Inputs!$E$5*C1190*(Inputs!$E$11*Inputs!$E$14*(G1190*I1190/Inputs!$E$16+(1-G1190))*K1190+Inputs!$E$23*M1190)*(1+O1190)+Inputs!$E$5*(Q1190+S1190)</f>
        <v>6295.79547560627</v>
      </c>
    </row>
    <row r="1191" customFormat="false" ht="15" hidden="false" customHeight="false" outlineLevel="0" collapsed="false">
      <c r="A1191" s="1" t="n">
        <v>1187</v>
      </c>
      <c r="B1191" s="81" t="n">
        <f aca="true">RAND()</f>
        <v>0.144708030622997</v>
      </c>
      <c r="C1191" s="82" t="n">
        <f aca="false">ROUND(IF(B1191&lt;(Inputs!$E$8-Inputs!$D$8)/(Inputs!$F$8-Inputs!$D$8),Inputs!$D$8+SQRT(B1191*(Inputs!$F$8-Inputs!$D$8)*(Inputs!$E$8-Inputs!$D$8)),Inputs!$F$8-SQRT((1-B1191)*(Inputs!$F$8-Inputs!$D$8)*(Inputs!$F$8-Inputs!$E$8))),0)</f>
        <v>23</v>
      </c>
      <c r="D1191" s="81" t="n">
        <f aca="true">RAND()</f>
        <v>0.0550202349977578</v>
      </c>
      <c r="E1191" s="83" t="n">
        <f aca="false">IF(D1191&lt;(Inputs!$E$10-Inputs!$D$10)/(Inputs!$F$10-Inputs!$D$10),Inputs!$D$10+SQRT(D1191*(Inputs!$F$10-Inputs!$D$10)*(Inputs!$E$10-Inputs!$D$10)),Inputs!$F$10-SQRT((1-D1191)*(Inputs!$F$10-Inputs!$D$10)*(Inputs!$F$10-Inputs!$E$10)))</f>
        <v>0.023456392518407</v>
      </c>
      <c r="F1191" s="81" t="n">
        <f aca="true">RAND()</f>
        <v>0.667944889938324</v>
      </c>
      <c r="G1191" s="83" t="n">
        <f aca="false">IF(F1191&lt;(Inputs!$E$15-Inputs!$D$15)/(Inputs!$F$15-Inputs!$D$15),Inputs!$D$15+SQRT(F1191*(Inputs!$F$15-Inputs!$D$15)*(Inputs!$E$15-Inputs!$D$15)),Inputs!$F$15-SQRT((1-F1191)*(Inputs!$F$15-Inputs!$D$15)*(Inputs!$F$15-Inputs!$E$15)))</f>
        <v>0.718507042014457</v>
      </c>
      <c r="H1191" s="81" t="n">
        <f aca="true">RAND()</f>
        <v>0.743997187174578</v>
      </c>
      <c r="I1191" s="82" t="n">
        <f aca="false">ROUND(IF(H1191&lt;(Inputs!$E$17-Inputs!$D$17)/(Inputs!$F$17-Inputs!$D$17),Inputs!$D$17+SQRT(H1191*(Inputs!$F$17-Inputs!$D$17)*(Inputs!$E$17-Inputs!$D$17)),Inputs!$F$17-SQRT((1-H1191)*(Inputs!$F$17-Inputs!$D$17)*(Inputs!$F$17-Inputs!$E$17))),0)</f>
        <v>109</v>
      </c>
      <c r="J1191" s="81" t="n">
        <f aca="true">RAND()</f>
        <v>0.900635465068875</v>
      </c>
      <c r="K1191" s="83" t="n">
        <f aca="false">IF(J1191&lt;(Inputs!$E$18-Inputs!$D$18)/(Inputs!$F$18-Inputs!$D$18),Inputs!$D$18+SQRT(J1191*(Inputs!$F$18-Inputs!$D$18)*(Inputs!$E$18-Inputs!$D$18)),Inputs!$F$18-SQRT((1-J1191)*(Inputs!$F$18-Inputs!$D$18)*(Inputs!$F$18-Inputs!$E$18)))</f>
        <v>1.15675625057692</v>
      </c>
      <c r="L1191" s="81" t="n">
        <f aca="true">RAND()</f>
        <v>0.534782553751463</v>
      </c>
      <c r="M1191" s="83" t="n">
        <f aca="false">IF(L1191&lt;(Inputs!$E$24-Inputs!$D$24)/(Inputs!$F$24-Inputs!$D$24),Inputs!$D$24+SQRT(L1191*(Inputs!$F$24-Inputs!$D$24)*(Inputs!$E$24-Inputs!$D$24)),Inputs!$F$24-SQRT((1-L1191)*(Inputs!$F$24-Inputs!$D$24)*(Inputs!$F$24-Inputs!$E$24)))</f>
        <v>0.865856038361234</v>
      </c>
      <c r="N1191" s="81" t="n">
        <f aca="true">RAND()</f>
        <v>0.0139241001730663</v>
      </c>
      <c r="O1191" s="83" t="n">
        <f aca="false">IF(N1191&lt;(Inputs!$E$26-Inputs!$D$26)/(Inputs!$F$26-Inputs!$D$26),Inputs!$D$26+SQRT(N1191*(Inputs!$F$26-Inputs!$D$26)*(Inputs!$E$26-Inputs!$D$26)),Inputs!$F$26-SQRT((1-N1191)*(Inputs!$F$26-Inputs!$D$26)*(Inputs!$F$26-Inputs!$E$26)))</f>
        <v>0.348134917355265</v>
      </c>
      <c r="P1191" s="81" t="n">
        <f aca="true">RAND()</f>
        <v>0.491565144926612</v>
      </c>
      <c r="Q1191" s="82" t="n">
        <f aca="false">IF(P1191&lt;(Inputs!$E$27-Inputs!$D$27)/(Inputs!$F$27-Inputs!$D$27),Inputs!$D$27+SQRT(P1191*(Inputs!$F$27-Inputs!$D$27)*(Inputs!$E$27-Inputs!$D$27)),Inputs!$F$27-SQRT((1-P1191)*(Inputs!$F$27-Inputs!$D$27)*(Inputs!$F$27-Inputs!$E$27)))</f>
        <v>88.2483893890175</v>
      </c>
      <c r="R1191" s="81" t="n">
        <f aca="true">RAND()</f>
        <v>0.0151928873798902</v>
      </c>
      <c r="S1191" s="82" t="n">
        <f aca="false">IF(R1191&lt;(Inputs!$E$29-Inputs!$D$29)/(Inputs!$F$29-Inputs!$D$29),Inputs!$D$29+SQRT(R1191*(Inputs!$F$29-Inputs!$D$29)*(Inputs!$E$29-Inputs!$D$29)),Inputs!$F$29-SQRT((1-R1191)*(Inputs!$F$29-Inputs!$D$29)*(Inputs!$F$29-Inputs!$E$29)))</f>
        <v>2.76975490113134</v>
      </c>
      <c r="T1191" s="68" t="n">
        <f aca="false">Inputs!$E$9*(1+E1191)+Inputs!$E$5*C1191*(Inputs!$E$11*Inputs!$E$14*(G1191*I1191/Inputs!$E$16+(1-G1191))*K1191+Inputs!$E$23*M1191)*(1+O1191)+Inputs!$E$5*(Q1191+S1191)</f>
        <v>5610.77490999153</v>
      </c>
    </row>
    <row r="1192" customFormat="false" ht="15" hidden="false" customHeight="false" outlineLevel="0" collapsed="false">
      <c r="A1192" s="1" t="n">
        <v>1188</v>
      </c>
      <c r="B1192" s="81" t="n">
        <f aca="true">RAND()</f>
        <v>0.0659120544818394</v>
      </c>
      <c r="C1192" s="82" t="n">
        <f aca="false">ROUND(IF(B1192&lt;(Inputs!$E$8-Inputs!$D$8)/(Inputs!$F$8-Inputs!$D$8),Inputs!$D$8+SQRT(B1192*(Inputs!$F$8-Inputs!$D$8)*(Inputs!$E$8-Inputs!$D$8)),Inputs!$F$8-SQRT((1-B1192)*(Inputs!$F$8-Inputs!$D$8)*(Inputs!$F$8-Inputs!$E$8))),0)</f>
        <v>22</v>
      </c>
      <c r="D1192" s="81" t="n">
        <f aca="true">RAND()</f>
        <v>0.486178092085149</v>
      </c>
      <c r="E1192" s="83" t="n">
        <f aca="false">IF(D1192&lt;(Inputs!$E$10-Inputs!$D$10)/(Inputs!$F$10-Inputs!$D$10),Inputs!$D$10+SQRT(D1192*(Inputs!$F$10-Inputs!$D$10)*(Inputs!$E$10-Inputs!$D$10)),Inputs!$F$10-SQRT((1-D1192)*(Inputs!$F$10-Inputs!$D$10)*(Inputs!$F$10-Inputs!$E$10)))</f>
        <v>0.0758442218926339</v>
      </c>
      <c r="F1192" s="81" t="n">
        <f aca="true">RAND()</f>
        <v>0.9685002943473</v>
      </c>
      <c r="G1192" s="83" t="n">
        <f aca="false">IF(F1192&lt;(Inputs!$E$15-Inputs!$D$15)/(Inputs!$F$15-Inputs!$D$15),Inputs!$D$15+SQRT(F1192*(Inputs!$F$15-Inputs!$D$15)*(Inputs!$E$15-Inputs!$D$15)),Inputs!$F$15-SQRT((1-F1192)*(Inputs!$F$15-Inputs!$D$15)*(Inputs!$F$15-Inputs!$E$15)))</f>
        <v>0.774900316475023</v>
      </c>
      <c r="H1192" s="81" t="n">
        <f aca="true">RAND()</f>
        <v>0.492912725216239</v>
      </c>
      <c r="I1192" s="82" t="n">
        <f aca="false">ROUND(IF(H1192&lt;(Inputs!$E$17-Inputs!$D$17)/(Inputs!$F$17-Inputs!$D$17),Inputs!$D$17+SQRT(H1192*(Inputs!$F$17-Inputs!$D$17)*(Inputs!$E$17-Inputs!$D$17)),Inputs!$F$17-SQRT((1-H1192)*(Inputs!$F$17-Inputs!$D$17)*(Inputs!$F$17-Inputs!$E$17))),0)</f>
        <v>106</v>
      </c>
      <c r="J1192" s="81" t="n">
        <f aca="true">RAND()</f>
        <v>0.923712939507133</v>
      </c>
      <c r="K1192" s="83" t="n">
        <f aca="false">IF(J1192&lt;(Inputs!$E$18-Inputs!$D$18)/(Inputs!$F$18-Inputs!$D$18),Inputs!$D$18+SQRT(J1192*(Inputs!$F$18-Inputs!$D$18)*(Inputs!$E$18-Inputs!$D$18)),Inputs!$F$18-SQRT((1-J1192)*(Inputs!$F$18-Inputs!$D$18)*(Inputs!$F$18-Inputs!$E$18)))</f>
        <v>1.16829860592912</v>
      </c>
      <c r="L1192" s="81" t="n">
        <f aca="true">RAND()</f>
        <v>0.0827702154142212</v>
      </c>
      <c r="M1192" s="83" t="n">
        <f aca="false">IF(L1192&lt;(Inputs!$E$24-Inputs!$D$24)/(Inputs!$F$24-Inputs!$D$24),Inputs!$D$24+SQRT(L1192*(Inputs!$F$24-Inputs!$D$24)*(Inputs!$E$24-Inputs!$D$24)),Inputs!$F$24-SQRT((1-L1192)*(Inputs!$F$24-Inputs!$D$24)*(Inputs!$F$24-Inputs!$E$24)))</f>
        <v>0.699661556528616</v>
      </c>
      <c r="N1192" s="81" t="n">
        <f aca="true">RAND()</f>
        <v>0.395519036164175</v>
      </c>
      <c r="O1192" s="83" t="n">
        <f aca="false">IF(N1192&lt;(Inputs!$E$26-Inputs!$D$26)/(Inputs!$F$26-Inputs!$D$26),Inputs!$D$26+SQRT(N1192*(Inputs!$F$26-Inputs!$D$26)*(Inputs!$E$26-Inputs!$D$26)),Inputs!$F$26-SQRT((1-N1192)*(Inputs!$F$26-Inputs!$D$26)*(Inputs!$F$26-Inputs!$E$26)))</f>
        <v>0.556543110641699</v>
      </c>
      <c r="P1192" s="81" t="n">
        <f aca="true">RAND()</f>
        <v>0.195921170721764</v>
      </c>
      <c r="Q1192" s="82" t="n">
        <f aca="false">IF(P1192&lt;(Inputs!$E$27-Inputs!$D$27)/(Inputs!$F$27-Inputs!$D$27),Inputs!$D$27+SQRT(P1192*(Inputs!$F$27-Inputs!$D$27)*(Inputs!$E$27-Inputs!$D$27)),Inputs!$F$27-SQRT((1-P1192)*(Inputs!$F$27-Inputs!$D$27)*(Inputs!$F$27-Inputs!$E$27)))</f>
        <v>72.1314917437666</v>
      </c>
      <c r="R1192" s="81" t="n">
        <f aca="true">RAND()</f>
        <v>0.637461292189149</v>
      </c>
      <c r="S1192" s="82" t="n">
        <f aca="false">IF(R1192&lt;(Inputs!$E$29-Inputs!$D$29)/(Inputs!$F$29-Inputs!$D$29),Inputs!$D$29+SQRT(R1192*(Inputs!$F$29-Inputs!$D$29)*(Inputs!$E$29-Inputs!$D$29)),Inputs!$F$29-SQRT((1-R1192)*(Inputs!$F$29-Inputs!$D$29)*(Inputs!$F$29-Inputs!$E$29)))</f>
        <v>8.13486839052516</v>
      </c>
      <c r="T1192" s="68" t="n">
        <f aca="false">Inputs!$E$9*(1+E1192)+Inputs!$E$5*C1192*(Inputs!$E$11*Inputs!$E$14*(G1192*I1192/Inputs!$E$16+(1-G1192))*K1192+Inputs!$E$23*M1192)*(1+O1192)+Inputs!$E$5*(Q1192+S1192)</f>
        <v>5683.88901471775</v>
      </c>
    </row>
    <row r="1193" customFormat="false" ht="15" hidden="false" customHeight="false" outlineLevel="0" collapsed="false">
      <c r="A1193" s="1" t="n">
        <v>1189</v>
      </c>
      <c r="B1193" s="81" t="n">
        <f aca="true">RAND()</f>
        <v>0.743133140566248</v>
      </c>
      <c r="C1193" s="82" t="n">
        <f aca="false">ROUND(IF(B1193&lt;(Inputs!$E$8-Inputs!$D$8)/(Inputs!$F$8-Inputs!$D$8),Inputs!$D$8+SQRT(B1193*(Inputs!$F$8-Inputs!$D$8)*(Inputs!$E$8-Inputs!$D$8)),Inputs!$F$8-SQRT((1-B1193)*(Inputs!$F$8-Inputs!$D$8)*(Inputs!$F$8-Inputs!$E$8))),0)</f>
        <v>26</v>
      </c>
      <c r="D1193" s="81" t="n">
        <f aca="true">RAND()</f>
        <v>0.280559055600744</v>
      </c>
      <c r="E1193" s="83" t="n">
        <f aca="false">IF(D1193&lt;(Inputs!$E$10-Inputs!$D$10)/(Inputs!$F$10-Inputs!$D$10),Inputs!$D$10+SQRT(D1193*(Inputs!$F$10-Inputs!$D$10)*(Inputs!$E$10-Inputs!$D$10)),Inputs!$F$10-SQRT((1-D1193)*(Inputs!$F$10-Inputs!$D$10)*(Inputs!$F$10-Inputs!$E$10)))</f>
        <v>0.0530876848866043</v>
      </c>
      <c r="F1193" s="81" t="n">
        <f aca="true">RAND()</f>
        <v>0.486167751150865</v>
      </c>
      <c r="G1193" s="83" t="n">
        <f aca="false">IF(F1193&lt;(Inputs!$E$15-Inputs!$D$15)/(Inputs!$F$15-Inputs!$D$15),Inputs!$D$15+SQRT(F1193*(Inputs!$F$15-Inputs!$D$15)*(Inputs!$E$15-Inputs!$D$15)),Inputs!$F$15-SQRT((1-F1193)*(Inputs!$F$15-Inputs!$D$15)*(Inputs!$F$15-Inputs!$E$15)))</f>
        <v>0.698607073899479</v>
      </c>
      <c r="H1193" s="81" t="n">
        <f aca="true">RAND()</f>
        <v>0.594986984993778</v>
      </c>
      <c r="I1193" s="82" t="n">
        <f aca="false">ROUND(IF(H1193&lt;(Inputs!$E$17-Inputs!$D$17)/(Inputs!$F$17-Inputs!$D$17),Inputs!$D$17+SQRT(H1193*(Inputs!$F$17-Inputs!$D$17)*(Inputs!$E$17-Inputs!$D$17)),Inputs!$F$17-SQRT((1-H1193)*(Inputs!$F$17-Inputs!$D$17)*(Inputs!$F$17-Inputs!$E$17))),0)</f>
        <v>107</v>
      </c>
      <c r="J1193" s="81" t="n">
        <f aca="true">RAND()</f>
        <v>0.925901336575927</v>
      </c>
      <c r="K1193" s="83" t="n">
        <f aca="false">IF(J1193&lt;(Inputs!$E$18-Inputs!$D$18)/(Inputs!$F$18-Inputs!$D$18),Inputs!$D$18+SQRT(J1193*(Inputs!$F$18-Inputs!$D$18)*(Inputs!$E$18-Inputs!$D$18)),Inputs!$F$18-SQRT((1-J1193)*(Inputs!$F$18-Inputs!$D$18)*(Inputs!$F$18-Inputs!$E$18)))</f>
        <v>1.16947899001126</v>
      </c>
      <c r="L1193" s="81" t="n">
        <f aca="true">RAND()</f>
        <v>0.751053632386485</v>
      </c>
      <c r="M1193" s="83" t="n">
        <f aca="false">IF(L1193&lt;(Inputs!$E$24-Inputs!$D$24)/(Inputs!$F$24-Inputs!$D$24),Inputs!$D$24+SQRT(L1193*(Inputs!$F$24-Inputs!$D$24)*(Inputs!$E$24-Inputs!$D$24)),Inputs!$F$24-SQRT((1-L1193)*(Inputs!$F$24-Inputs!$D$24)*(Inputs!$F$24-Inputs!$E$24)))</f>
        <v>0.955567743071329</v>
      </c>
      <c r="N1193" s="81" t="n">
        <f aca="true">RAND()</f>
        <v>0.482703815796506</v>
      </c>
      <c r="O1193" s="83" t="n">
        <f aca="false">IF(N1193&lt;(Inputs!$E$26-Inputs!$D$26)/(Inputs!$F$26-Inputs!$D$26),Inputs!$D$26+SQRT(N1193*(Inputs!$F$26-Inputs!$D$26)*(Inputs!$E$26-Inputs!$D$26)),Inputs!$F$26-SQRT((1-N1193)*(Inputs!$F$26-Inputs!$D$26)*(Inputs!$F$26-Inputs!$E$26)))</f>
        <v>0.583411211755178</v>
      </c>
      <c r="P1193" s="81" t="n">
        <f aca="true">RAND()</f>
        <v>0.916420693026244</v>
      </c>
      <c r="Q1193" s="82" t="n">
        <f aca="false">IF(P1193&lt;(Inputs!$E$27-Inputs!$D$27)/(Inputs!$F$27-Inputs!$D$27),Inputs!$D$27+SQRT(P1193*(Inputs!$F$27-Inputs!$D$27)*(Inputs!$E$27-Inputs!$D$27)),Inputs!$F$27-SQRT((1-P1193)*(Inputs!$F$27-Inputs!$D$27)*(Inputs!$F$27-Inputs!$E$27)))</f>
        <v>124.963131140193</v>
      </c>
      <c r="R1193" s="81" t="n">
        <f aca="true">RAND()</f>
        <v>0.388709606746966</v>
      </c>
      <c r="S1193" s="82" t="n">
        <f aca="false">IF(R1193&lt;(Inputs!$E$29-Inputs!$D$29)/(Inputs!$F$29-Inputs!$D$29),Inputs!$D$29+SQRT(R1193*(Inputs!$F$29-Inputs!$D$29)*(Inputs!$E$29-Inputs!$D$29)),Inputs!$F$29-SQRT((1-R1193)*(Inputs!$F$29-Inputs!$D$29)*(Inputs!$F$29-Inputs!$E$29)))</f>
        <v>6.08553136059729</v>
      </c>
      <c r="T1193" s="68" t="n">
        <f aca="false">Inputs!$E$9*(1+E1193)+Inputs!$E$5*C1193*(Inputs!$E$11*Inputs!$E$14*(G1193*I1193/Inputs!$E$16+(1-G1193))*K1193+Inputs!$E$23*M1193)*(1+O1193)+Inputs!$E$5*(Q1193+S1193)</f>
        <v>6990.24771748734</v>
      </c>
    </row>
    <row r="1194" customFormat="false" ht="15" hidden="false" customHeight="false" outlineLevel="0" collapsed="false">
      <c r="A1194" s="1" t="n">
        <v>1190</v>
      </c>
      <c r="B1194" s="81" t="n">
        <f aca="true">RAND()</f>
        <v>0.265138442087469</v>
      </c>
      <c r="C1194" s="82" t="n">
        <f aca="false">ROUND(IF(B1194&lt;(Inputs!$E$8-Inputs!$D$8)/(Inputs!$F$8-Inputs!$D$8),Inputs!$D$8+SQRT(B1194*(Inputs!$F$8-Inputs!$D$8)*(Inputs!$E$8-Inputs!$D$8)),Inputs!$F$8-SQRT((1-B1194)*(Inputs!$F$8-Inputs!$D$8)*(Inputs!$F$8-Inputs!$E$8))),0)</f>
        <v>24</v>
      </c>
      <c r="D1194" s="81" t="n">
        <f aca="true">RAND()</f>
        <v>0.809564369371456</v>
      </c>
      <c r="E1194" s="83" t="n">
        <f aca="false">IF(D1194&lt;(Inputs!$E$10-Inputs!$D$10)/(Inputs!$F$10-Inputs!$D$10),Inputs!$D$10+SQRT(D1194*(Inputs!$F$10-Inputs!$D$10)*(Inputs!$E$10-Inputs!$D$10)),Inputs!$F$10-SQRT((1-D1194)*(Inputs!$F$10-Inputs!$D$10)*(Inputs!$F$10-Inputs!$E$10)))</f>
        <v>0.124415154171909</v>
      </c>
      <c r="F1194" s="81" t="n">
        <f aca="true">RAND()</f>
        <v>0.258176241003821</v>
      </c>
      <c r="G1194" s="83" t="n">
        <f aca="false">IF(F1194&lt;(Inputs!$E$15-Inputs!$D$15)/(Inputs!$F$15-Inputs!$D$15),Inputs!$D$15+SQRT(F1194*(Inputs!$F$15-Inputs!$D$15)*(Inputs!$E$15-Inputs!$D$15)),Inputs!$F$15-SQRT((1-F1194)*(Inputs!$F$15-Inputs!$D$15)*(Inputs!$F$15-Inputs!$E$15)))</f>
        <v>0.671857670572295</v>
      </c>
      <c r="H1194" s="81" t="n">
        <f aca="true">RAND()</f>
        <v>0.31090412468643</v>
      </c>
      <c r="I1194" s="82" t="n">
        <f aca="false">ROUND(IF(H1194&lt;(Inputs!$E$17-Inputs!$D$17)/(Inputs!$F$17-Inputs!$D$17),Inputs!$D$17+SQRT(H1194*(Inputs!$F$17-Inputs!$D$17)*(Inputs!$E$17-Inputs!$D$17)),Inputs!$F$17-SQRT((1-H1194)*(Inputs!$F$17-Inputs!$D$17)*(Inputs!$F$17-Inputs!$E$17))),0)</f>
        <v>105</v>
      </c>
      <c r="J1194" s="81" t="n">
        <f aca="true">RAND()</f>
        <v>0.843379837315757</v>
      </c>
      <c r="K1194" s="83" t="n">
        <f aca="false">IF(J1194&lt;(Inputs!$E$18-Inputs!$D$18)/(Inputs!$F$18-Inputs!$D$18),Inputs!$D$18+SQRT(J1194*(Inputs!$F$18-Inputs!$D$18)*(Inputs!$E$18-Inputs!$D$18)),Inputs!$F$18-SQRT((1-J1194)*(Inputs!$F$18-Inputs!$D$18)*(Inputs!$F$18-Inputs!$E$18)))</f>
        <v>1.13293478640146</v>
      </c>
      <c r="L1194" s="81" t="n">
        <f aca="true">RAND()</f>
        <v>0.677578210350757</v>
      </c>
      <c r="M1194" s="83" t="n">
        <f aca="false">IF(L1194&lt;(Inputs!$E$24-Inputs!$D$24)/(Inputs!$F$24-Inputs!$D$24),Inputs!$D$24+SQRT(L1194*(Inputs!$F$24-Inputs!$D$24)*(Inputs!$E$24-Inputs!$D$24)),Inputs!$F$24-SQRT((1-L1194)*(Inputs!$F$24-Inputs!$D$24)*(Inputs!$F$24-Inputs!$E$24)))</f>
        <v>0.921825181736703</v>
      </c>
      <c r="N1194" s="81" t="n">
        <f aca="true">RAND()</f>
        <v>0.0630710815097969</v>
      </c>
      <c r="O1194" s="83" t="n">
        <f aca="false">IF(N1194&lt;(Inputs!$E$26-Inputs!$D$26)/(Inputs!$F$26-Inputs!$D$26),Inputs!$D$26+SQRT(N1194*(Inputs!$F$26-Inputs!$D$26)*(Inputs!$E$26-Inputs!$D$26)),Inputs!$F$26-SQRT((1-N1194)*(Inputs!$F$26-Inputs!$D$26)*(Inputs!$F$26-Inputs!$E$26)))</f>
        <v>0.402445243731616</v>
      </c>
      <c r="P1194" s="81" t="n">
        <f aca="true">RAND()</f>
        <v>0.704439319178434</v>
      </c>
      <c r="Q1194" s="82" t="n">
        <f aca="false">IF(P1194&lt;(Inputs!$E$27-Inputs!$D$27)/(Inputs!$F$27-Inputs!$D$27),Inputs!$D$27+SQRT(P1194*(Inputs!$F$27-Inputs!$D$27)*(Inputs!$E$27-Inputs!$D$27)),Inputs!$F$27-SQRT((1-P1194)*(Inputs!$F$27-Inputs!$D$27)*(Inputs!$F$27-Inputs!$E$27)))</f>
        <v>102.918102139339</v>
      </c>
      <c r="R1194" s="81" t="n">
        <f aca="true">RAND()</f>
        <v>0.661435537097223</v>
      </c>
      <c r="S1194" s="82" t="n">
        <f aca="false">IF(R1194&lt;(Inputs!$E$29-Inputs!$D$29)/(Inputs!$F$29-Inputs!$D$29),Inputs!$D$29+SQRT(R1194*(Inputs!$F$29-Inputs!$D$29)*(Inputs!$E$29-Inputs!$D$29)),Inputs!$F$29-SQRT((1-R1194)*(Inputs!$F$29-Inputs!$D$29)*(Inputs!$F$29-Inputs!$E$29)))</f>
        <v>8.36574192713601</v>
      </c>
      <c r="T1194" s="68" t="n">
        <f aca="false">Inputs!$E$9*(1+E1194)+Inputs!$E$5*C1194*(Inputs!$E$11*Inputs!$E$14*(G1194*I1194/Inputs!$E$16+(1-G1194))*K1194+Inputs!$E$23*M1194)*(1+O1194)+Inputs!$E$5*(Q1194+S1194)</f>
        <v>6219.81472063237</v>
      </c>
    </row>
    <row r="1195" customFormat="false" ht="15" hidden="false" customHeight="false" outlineLevel="0" collapsed="false">
      <c r="A1195" s="1" t="n">
        <v>1191</v>
      </c>
      <c r="B1195" s="81" t="n">
        <f aca="true">RAND()</f>
        <v>0.314807416923562</v>
      </c>
      <c r="C1195" s="82" t="n">
        <f aca="false">ROUND(IF(B1195&lt;(Inputs!$E$8-Inputs!$D$8)/(Inputs!$F$8-Inputs!$D$8),Inputs!$D$8+SQRT(B1195*(Inputs!$F$8-Inputs!$D$8)*(Inputs!$E$8-Inputs!$D$8)),Inputs!$F$8-SQRT((1-B1195)*(Inputs!$F$8-Inputs!$D$8)*(Inputs!$F$8-Inputs!$E$8))),0)</f>
        <v>24</v>
      </c>
      <c r="D1195" s="81" t="n">
        <f aca="true">RAND()</f>
        <v>0.815451169901196</v>
      </c>
      <c r="E1195" s="83" t="n">
        <f aca="false">IF(D1195&lt;(Inputs!$E$10-Inputs!$D$10)/(Inputs!$F$10-Inputs!$D$10),Inputs!$D$10+SQRT(D1195*(Inputs!$F$10-Inputs!$D$10)*(Inputs!$E$10-Inputs!$D$10)),Inputs!$F$10-SQRT((1-D1195)*(Inputs!$F$10-Inputs!$D$10)*(Inputs!$F$10-Inputs!$E$10)))</f>
        <v>0.125592574947361</v>
      </c>
      <c r="F1195" s="81" t="n">
        <f aca="true">RAND()</f>
        <v>0.448717508242845</v>
      </c>
      <c r="G1195" s="83" t="n">
        <f aca="false">IF(F1195&lt;(Inputs!$E$15-Inputs!$D$15)/(Inputs!$F$15-Inputs!$D$15),Inputs!$D$15+SQRT(F1195*(Inputs!$F$15-Inputs!$D$15)*(Inputs!$E$15-Inputs!$D$15)),Inputs!$F$15-SQRT((1-F1195)*(Inputs!$F$15-Inputs!$D$15)*(Inputs!$F$15-Inputs!$E$15)))</f>
        <v>0.694733046846689</v>
      </c>
      <c r="H1195" s="81" t="n">
        <f aca="true">RAND()</f>
        <v>0.87460997104634</v>
      </c>
      <c r="I1195" s="82" t="n">
        <f aca="false">ROUND(IF(H1195&lt;(Inputs!$E$17-Inputs!$D$17)/(Inputs!$F$17-Inputs!$D$17),Inputs!$D$17+SQRT(H1195*(Inputs!$F$17-Inputs!$D$17)*(Inputs!$E$17-Inputs!$D$17)),Inputs!$F$17-SQRT((1-H1195)*(Inputs!$F$17-Inputs!$D$17)*(Inputs!$F$17-Inputs!$E$17))),0)</f>
        <v>111</v>
      </c>
      <c r="J1195" s="81" t="n">
        <f aca="true">RAND()</f>
        <v>0.566849049088348</v>
      </c>
      <c r="K1195" s="83" t="n">
        <f aca="false">IF(J1195&lt;(Inputs!$E$18-Inputs!$D$18)/(Inputs!$F$18-Inputs!$D$18),Inputs!$D$18+SQRT(J1195*(Inputs!$F$18-Inputs!$D$18)*(Inputs!$E$18-Inputs!$D$18)),Inputs!$F$18-SQRT((1-J1195)*(Inputs!$F$18-Inputs!$D$18)*(Inputs!$F$18-Inputs!$E$18)))</f>
        <v>1.0553189577674</v>
      </c>
      <c r="L1195" s="81" t="n">
        <f aca="true">RAND()</f>
        <v>0.796223435392156</v>
      </c>
      <c r="M1195" s="83" t="n">
        <f aca="false">IF(L1195&lt;(Inputs!$E$24-Inputs!$D$24)/(Inputs!$F$24-Inputs!$D$24),Inputs!$D$24+SQRT(L1195*(Inputs!$F$24-Inputs!$D$24)*(Inputs!$E$24-Inputs!$D$24)),Inputs!$F$24-SQRT((1-L1195)*(Inputs!$F$24-Inputs!$D$24)*(Inputs!$F$24-Inputs!$E$24)))</f>
        <v>0.978852141077779</v>
      </c>
      <c r="N1195" s="81" t="n">
        <f aca="true">RAND()</f>
        <v>0.141714836185493</v>
      </c>
      <c r="O1195" s="83" t="n">
        <f aca="false">IF(N1195&lt;(Inputs!$E$26-Inputs!$D$26)/(Inputs!$F$26-Inputs!$D$26),Inputs!$D$26+SQRT(N1195*(Inputs!$F$26-Inputs!$D$26)*(Inputs!$E$26-Inputs!$D$26)),Inputs!$F$26-SQRT((1-N1195)*(Inputs!$F$26-Inputs!$D$26)*(Inputs!$F$26-Inputs!$E$26)))</f>
        <v>0.453562198282214</v>
      </c>
      <c r="P1195" s="81" t="n">
        <f aca="true">RAND()</f>
        <v>0.710705171469461</v>
      </c>
      <c r="Q1195" s="82" t="n">
        <f aca="false">IF(P1195&lt;(Inputs!$E$27-Inputs!$D$27)/(Inputs!$F$27-Inputs!$D$27),Inputs!$D$27+SQRT(P1195*(Inputs!$F$27-Inputs!$D$27)*(Inputs!$E$27-Inputs!$D$27)),Inputs!$F$27-SQRT((1-P1195)*(Inputs!$F$27-Inputs!$D$27)*(Inputs!$F$27-Inputs!$E$27)))</f>
        <v>103.419840983751</v>
      </c>
      <c r="R1195" s="81" t="n">
        <f aca="true">RAND()</f>
        <v>0.698514131230285</v>
      </c>
      <c r="S1195" s="82" t="n">
        <f aca="false">IF(R1195&lt;(Inputs!$E$29-Inputs!$D$29)/(Inputs!$F$29-Inputs!$D$29),Inputs!$D$29+SQRT(R1195*(Inputs!$F$29-Inputs!$D$29)*(Inputs!$E$29-Inputs!$D$29)),Inputs!$F$29-SQRT((1-R1195)*(Inputs!$F$29-Inputs!$D$29)*(Inputs!$F$29-Inputs!$E$29)))</f>
        <v>8.7395556914814</v>
      </c>
      <c r="T1195" s="68" t="n">
        <f aca="false">Inputs!$E$9*(1+E1195)+Inputs!$E$5*C1195*(Inputs!$E$11*Inputs!$E$14*(G1195*I1195/Inputs!$E$16+(1-G1195))*K1195+Inputs!$E$23*M1195)*(1+O1195)+Inputs!$E$5*(Q1195+S1195)</f>
        <v>6301.86343366936</v>
      </c>
    </row>
    <row r="1196" customFormat="false" ht="15" hidden="false" customHeight="false" outlineLevel="0" collapsed="false">
      <c r="A1196" s="1" t="n">
        <v>1192</v>
      </c>
      <c r="B1196" s="81" t="n">
        <f aca="true">RAND()</f>
        <v>0.112691944379968</v>
      </c>
      <c r="C1196" s="82" t="n">
        <f aca="false">ROUND(IF(B1196&lt;(Inputs!$E$8-Inputs!$D$8)/(Inputs!$F$8-Inputs!$D$8),Inputs!$D$8+SQRT(B1196*(Inputs!$F$8-Inputs!$D$8)*(Inputs!$E$8-Inputs!$D$8)),Inputs!$F$8-SQRT((1-B1196)*(Inputs!$F$8-Inputs!$D$8)*(Inputs!$F$8-Inputs!$E$8))),0)</f>
        <v>22</v>
      </c>
      <c r="D1196" s="81" t="n">
        <f aca="true">RAND()</f>
        <v>0.709262602109173</v>
      </c>
      <c r="E1196" s="83" t="n">
        <f aca="false">IF(D1196&lt;(Inputs!$E$10-Inputs!$D$10)/(Inputs!$F$10-Inputs!$D$10),Inputs!$D$10+SQRT(D1196*(Inputs!$F$10-Inputs!$D$10)*(Inputs!$E$10-Inputs!$D$10)),Inputs!$F$10-SQRT((1-D1196)*(Inputs!$F$10-Inputs!$D$10)*(Inputs!$F$10-Inputs!$E$10)))</f>
        <v>0.106607698728831</v>
      </c>
      <c r="F1196" s="81" t="n">
        <f aca="true">RAND()</f>
        <v>0.898707632364018</v>
      </c>
      <c r="G1196" s="83" t="n">
        <f aca="false">IF(F1196&lt;(Inputs!$E$15-Inputs!$D$15)/(Inputs!$F$15-Inputs!$D$15),Inputs!$D$15+SQRT(F1196*(Inputs!$F$15-Inputs!$D$15)*(Inputs!$E$15-Inputs!$D$15)),Inputs!$F$15-SQRT((1-F1196)*(Inputs!$F$15-Inputs!$D$15)*(Inputs!$F$15-Inputs!$E$15)))</f>
        <v>0.754990585954496</v>
      </c>
      <c r="H1196" s="81" t="n">
        <f aca="true">RAND()</f>
        <v>0.162911699124842</v>
      </c>
      <c r="I1196" s="82" t="n">
        <f aca="false">ROUND(IF(H1196&lt;(Inputs!$E$17-Inputs!$D$17)/(Inputs!$F$17-Inputs!$D$17),Inputs!$D$17+SQRT(H1196*(Inputs!$F$17-Inputs!$D$17)*(Inputs!$E$17-Inputs!$D$17)),Inputs!$F$17-SQRT((1-H1196)*(Inputs!$F$17-Inputs!$D$17)*(Inputs!$F$17-Inputs!$E$17))),0)</f>
        <v>103</v>
      </c>
      <c r="J1196" s="81" t="n">
        <f aca="true">RAND()</f>
        <v>0.766833046304201</v>
      </c>
      <c r="K1196" s="83" t="n">
        <f aca="false">IF(J1196&lt;(Inputs!$E$18-Inputs!$D$18)/(Inputs!$F$18-Inputs!$D$18),Inputs!$D$18+SQRT(J1196*(Inputs!$F$18-Inputs!$D$18)*(Inputs!$E$18-Inputs!$D$18)),Inputs!$F$18-SQRT((1-J1196)*(Inputs!$F$18-Inputs!$D$18)*(Inputs!$F$18-Inputs!$E$18)))</f>
        <v>1.10716405057416</v>
      </c>
      <c r="L1196" s="81" t="n">
        <f aca="true">RAND()</f>
        <v>0.402994375966306</v>
      </c>
      <c r="M1196" s="83" t="n">
        <f aca="false">IF(L1196&lt;(Inputs!$E$24-Inputs!$D$24)/(Inputs!$F$24-Inputs!$D$24),Inputs!$D$24+SQRT(L1196*(Inputs!$F$24-Inputs!$D$24)*(Inputs!$E$24-Inputs!$D$24)),Inputs!$F$24-SQRT((1-L1196)*(Inputs!$F$24-Inputs!$D$24)*(Inputs!$F$24-Inputs!$E$24)))</f>
        <v>0.821474769971556</v>
      </c>
      <c r="N1196" s="81" t="n">
        <f aca="true">RAND()</f>
        <v>0.972231088122356</v>
      </c>
      <c r="O1196" s="83" t="n">
        <f aca="false">IF(N1196&lt;(Inputs!$E$26-Inputs!$D$26)/(Inputs!$F$26-Inputs!$D$26),Inputs!$D$26+SQRT(N1196*(Inputs!$F$26-Inputs!$D$26)*(Inputs!$E$26-Inputs!$D$26)),Inputs!$F$26-SQRT((1-N1196)*(Inputs!$F$26-Inputs!$D$26)*(Inputs!$F$26-Inputs!$E$26)))</f>
        <v>0.766260193196523</v>
      </c>
      <c r="P1196" s="81" t="n">
        <f aca="true">RAND()</f>
        <v>0.227466923588248</v>
      </c>
      <c r="Q1196" s="82" t="n">
        <f aca="false">IF(P1196&lt;(Inputs!$E$27-Inputs!$D$27)/(Inputs!$F$27-Inputs!$D$27),Inputs!$D$27+SQRT(P1196*(Inputs!$F$27-Inputs!$D$27)*(Inputs!$E$27-Inputs!$D$27)),Inputs!$F$27-SQRT((1-P1196)*(Inputs!$F$27-Inputs!$D$27)*(Inputs!$F$27-Inputs!$E$27)))</f>
        <v>73.8467462973593</v>
      </c>
      <c r="R1196" s="81" t="n">
        <f aca="true">RAND()</f>
        <v>0.450455352875222</v>
      </c>
      <c r="S1196" s="82" t="n">
        <f aca="false">IF(R1196&lt;(Inputs!$E$29-Inputs!$D$29)/(Inputs!$F$29-Inputs!$D$29),Inputs!$D$29+SQRT(R1196*(Inputs!$F$29-Inputs!$D$29)*(Inputs!$E$29-Inputs!$D$29)),Inputs!$F$29-SQRT((1-R1196)*(Inputs!$F$29-Inputs!$D$29)*(Inputs!$F$29-Inputs!$E$29)))</f>
        <v>6.54773378754425</v>
      </c>
      <c r="T1196" s="68" t="n">
        <f aca="false">Inputs!$E$9*(1+E1196)+Inputs!$E$5*C1196*(Inputs!$E$11*Inputs!$E$14*(G1196*I1196/Inputs!$E$16+(1-G1196))*K1196+Inputs!$E$23*M1196)*(1+O1196)+Inputs!$E$5*(Q1196+S1196)</f>
        <v>6178.9971849462</v>
      </c>
    </row>
    <row r="1197" customFormat="false" ht="15" hidden="false" customHeight="false" outlineLevel="0" collapsed="false">
      <c r="A1197" s="1" t="n">
        <v>1193</v>
      </c>
      <c r="B1197" s="81" t="n">
        <f aca="true">RAND()</f>
        <v>0.960019690244012</v>
      </c>
      <c r="C1197" s="82" t="n">
        <f aca="false">ROUND(IF(B1197&lt;(Inputs!$E$8-Inputs!$D$8)/(Inputs!$F$8-Inputs!$D$8),Inputs!$D$8+SQRT(B1197*(Inputs!$F$8-Inputs!$D$8)*(Inputs!$E$8-Inputs!$D$8)),Inputs!$F$8-SQRT((1-B1197)*(Inputs!$F$8-Inputs!$D$8)*(Inputs!$F$8-Inputs!$E$8))),0)</f>
        <v>29</v>
      </c>
      <c r="D1197" s="81" t="n">
        <f aca="true">RAND()</f>
        <v>0.687749286452698</v>
      </c>
      <c r="E1197" s="83" t="n">
        <f aca="false">IF(D1197&lt;(Inputs!$E$10-Inputs!$D$10)/(Inputs!$F$10-Inputs!$D$10),Inputs!$D$10+SQRT(D1197*(Inputs!$F$10-Inputs!$D$10)*(Inputs!$E$10-Inputs!$D$10)),Inputs!$F$10-SQRT((1-D1197)*(Inputs!$F$10-Inputs!$D$10)*(Inputs!$F$10-Inputs!$E$10)))</f>
        <v>0.10321404334089</v>
      </c>
      <c r="F1197" s="81" t="n">
        <f aca="true">RAND()</f>
        <v>0.0120816118596973</v>
      </c>
      <c r="G1197" s="83" t="n">
        <f aca="false">IF(F1197&lt;(Inputs!$E$15-Inputs!$D$15)/(Inputs!$F$15-Inputs!$D$15),Inputs!$D$15+SQRT(F1197*(Inputs!$F$15-Inputs!$D$15)*(Inputs!$E$15-Inputs!$D$15)),Inputs!$F$15-SQRT((1-F1197)*(Inputs!$F$15-Inputs!$D$15)*(Inputs!$F$15-Inputs!$E$15)))</f>
        <v>0.615544524347626</v>
      </c>
      <c r="H1197" s="81" t="n">
        <f aca="true">RAND()</f>
        <v>0.339111014293336</v>
      </c>
      <c r="I1197" s="82" t="n">
        <f aca="false">ROUND(IF(H1197&lt;(Inputs!$E$17-Inputs!$D$17)/(Inputs!$F$17-Inputs!$D$17),Inputs!$D$17+SQRT(H1197*(Inputs!$F$17-Inputs!$D$17)*(Inputs!$E$17-Inputs!$D$17)),Inputs!$F$17-SQRT((1-H1197)*(Inputs!$F$17-Inputs!$D$17)*(Inputs!$F$17-Inputs!$E$17))),0)</f>
        <v>105</v>
      </c>
      <c r="J1197" s="81" t="n">
        <f aca="true">RAND()</f>
        <v>0.15985763198108</v>
      </c>
      <c r="K1197" s="83" t="n">
        <f aca="false">IF(J1197&lt;(Inputs!$E$18-Inputs!$D$18)/(Inputs!$F$18-Inputs!$D$18),Inputs!$D$18+SQRT(J1197*(Inputs!$F$18-Inputs!$D$18)*(Inputs!$E$18-Inputs!$D$18)),Inputs!$F$18-SQRT((1-J1197)*(Inputs!$F$18-Inputs!$D$18)*(Inputs!$F$18-Inputs!$E$18)))</f>
        <v>0.974799847054241</v>
      </c>
      <c r="L1197" s="81" t="n">
        <f aca="true">RAND()</f>
        <v>0.844112822823813</v>
      </c>
      <c r="M1197" s="83" t="n">
        <f aca="false">IF(L1197&lt;(Inputs!$E$24-Inputs!$D$24)/(Inputs!$F$24-Inputs!$D$24),Inputs!$D$24+SQRT(L1197*(Inputs!$F$24-Inputs!$D$24)*(Inputs!$E$24-Inputs!$D$24)),Inputs!$F$24-SQRT((1-L1197)*(Inputs!$F$24-Inputs!$D$24)*(Inputs!$F$24-Inputs!$E$24)))</f>
        <v>1.00657579644138</v>
      </c>
      <c r="N1197" s="81" t="n">
        <f aca="true">RAND()</f>
        <v>0.539296224356469</v>
      </c>
      <c r="O1197" s="83" t="n">
        <f aca="false">IF(N1197&lt;(Inputs!$E$26-Inputs!$D$26)/(Inputs!$F$26-Inputs!$D$26),Inputs!$D$26+SQRT(N1197*(Inputs!$F$26-Inputs!$D$26)*(Inputs!$E$26-Inputs!$D$26)),Inputs!$F$26-SQRT((1-N1197)*(Inputs!$F$26-Inputs!$D$26)*(Inputs!$F$26-Inputs!$E$26)))</f>
        <v>0.599564503459466</v>
      </c>
      <c r="P1197" s="81" t="n">
        <f aca="true">RAND()</f>
        <v>0.619956685794809</v>
      </c>
      <c r="Q1197" s="82" t="n">
        <f aca="false">IF(P1197&lt;(Inputs!$E$27-Inputs!$D$27)/(Inputs!$F$27-Inputs!$D$27),Inputs!$D$27+SQRT(P1197*(Inputs!$F$27-Inputs!$D$27)*(Inputs!$E$27-Inputs!$D$27)),Inputs!$F$27-SQRT((1-P1197)*(Inputs!$F$27-Inputs!$D$27)*(Inputs!$F$27-Inputs!$E$27)))</f>
        <v>96.6115662662882</v>
      </c>
      <c r="R1197" s="81" t="n">
        <f aca="true">RAND()</f>
        <v>0.342580305683152</v>
      </c>
      <c r="S1197" s="82" t="n">
        <f aca="false">IF(R1197&lt;(Inputs!$E$29-Inputs!$D$29)/(Inputs!$F$29-Inputs!$D$29),Inputs!$D$29+SQRT(R1197*(Inputs!$F$29-Inputs!$D$29)*(Inputs!$E$29-Inputs!$D$29)),Inputs!$F$29-SQRT((1-R1197)*(Inputs!$F$29-Inputs!$D$29)*(Inputs!$F$29-Inputs!$E$29)))</f>
        <v>5.75529555576868</v>
      </c>
      <c r="T1197" s="68" t="n">
        <f aca="false">Inputs!$E$9*(1+E1197)+Inputs!$E$5*C1197*(Inputs!$E$11*Inputs!$E$14*(G1197*I1197/Inputs!$E$16+(1-G1197))*K1197+Inputs!$E$23*M1197)*(1+O1197)+Inputs!$E$5*(Q1197+S1197)</f>
        <v>7158.99458596017</v>
      </c>
    </row>
    <row r="1198" customFormat="false" ht="15" hidden="false" customHeight="false" outlineLevel="0" collapsed="false">
      <c r="A1198" s="1" t="n">
        <v>1194</v>
      </c>
      <c r="B1198" s="81" t="n">
        <f aca="true">RAND()</f>
        <v>0.229155707651188</v>
      </c>
      <c r="C1198" s="82" t="n">
        <f aca="false">ROUND(IF(B1198&lt;(Inputs!$E$8-Inputs!$D$8)/(Inputs!$F$8-Inputs!$D$8),Inputs!$D$8+SQRT(B1198*(Inputs!$F$8-Inputs!$D$8)*(Inputs!$E$8-Inputs!$D$8)),Inputs!$F$8-SQRT((1-B1198)*(Inputs!$F$8-Inputs!$D$8)*(Inputs!$F$8-Inputs!$E$8))),0)</f>
        <v>23</v>
      </c>
      <c r="D1198" s="81" t="n">
        <f aca="true">RAND()</f>
        <v>0.690735927592551</v>
      </c>
      <c r="E1198" s="83" t="n">
        <f aca="false">IF(D1198&lt;(Inputs!$E$10-Inputs!$D$10)/(Inputs!$F$10-Inputs!$D$10),Inputs!$D$10+SQRT(D1198*(Inputs!$F$10-Inputs!$D$10)*(Inputs!$E$10-Inputs!$D$10)),Inputs!$F$10-SQRT((1-D1198)*(Inputs!$F$10-Inputs!$D$10)*(Inputs!$F$10-Inputs!$E$10)))</f>
        <v>0.103678028611207</v>
      </c>
      <c r="F1198" s="81" t="n">
        <f aca="true">RAND()</f>
        <v>0.764013178382499</v>
      </c>
      <c r="G1198" s="83" t="n">
        <f aca="false">IF(F1198&lt;(Inputs!$E$15-Inputs!$D$15)/(Inputs!$F$15-Inputs!$D$15),Inputs!$D$15+SQRT(F1198*(Inputs!$F$15-Inputs!$D$15)*(Inputs!$E$15-Inputs!$D$15)),Inputs!$F$15-SQRT((1-F1198)*(Inputs!$F$15-Inputs!$D$15)*(Inputs!$F$15-Inputs!$E$15)))</f>
        <v>0.731299662065242</v>
      </c>
      <c r="H1198" s="81" t="n">
        <f aca="true">RAND()</f>
        <v>0.941739399765506</v>
      </c>
      <c r="I1198" s="82" t="n">
        <f aca="false">ROUND(IF(H1198&lt;(Inputs!$E$17-Inputs!$D$17)/(Inputs!$F$17-Inputs!$D$17),Inputs!$D$17+SQRT(H1198*(Inputs!$F$17-Inputs!$D$17)*(Inputs!$E$17-Inputs!$D$17)),Inputs!$F$17-SQRT((1-H1198)*(Inputs!$F$17-Inputs!$D$17)*(Inputs!$F$17-Inputs!$E$17))),0)</f>
        <v>112</v>
      </c>
      <c r="J1198" s="81" t="n">
        <f aca="true">RAND()</f>
        <v>0.193516816894598</v>
      </c>
      <c r="K1198" s="83" t="n">
        <f aca="false">IF(J1198&lt;(Inputs!$E$18-Inputs!$D$18)/(Inputs!$F$18-Inputs!$D$18),Inputs!$D$18+SQRT(J1198*(Inputs!$F$18-Inputs!$D$18)*(Inputs!$E$18-Inputs!$D$18)),Inputs!$F$18-SQRT((1-J1198)*(Inputs!$F$18-Inputs!$D$18)*(Inputs!$F$18-Inputs!$E$18)))</f>
        <v>0.982298776365818</v>
      </c>
      <c r="L1198" s="81" t="n">
        <f aca="true">RAND()</f>
        <v>0.587222748527177</v>
      </c>
      <c r="M1198" s="83" t="n">
        <f aca="false">IF(L1198&lt;(Inputs!$E$24-Inputs!$D$24)/(Inputs!$F$24-Inputs!$D$24),Inputs!$D$24+SQRT(L1198*(Inputs!$F$24-Inputs!$D$24)*(Inputs!$E$24-Inputs!$D$24)),Inputs!$F$24-SQRT((1-L1198)*(Inputs!$F$24-Inputs!$D$24)*(Inputs!$F$24-Inputs!$E$24)))</f>
        <v>0.885251623747671</v>
      </c>
      <c r="N1198" s="81" t="n">
        <f aca="true">RAND()</f>
        <v>0.443493593934174</v>
      </c>
      <c r="O1198" s="83" t="n">
        <f aca="false">IF(N1198&lt;(Inputs!$E$26-Inputs!$D$26)/(Inputs!$F$26-Inputs!$D$26),Inputs!$D$26+SQRT(N1198*(Inputs!$F$26-Inputs!$D$26)*(Inputs!$E$26-Inputs!$D$26)),Inputs!$F$26-SQRT((1-N1198)*(Inputs!$F$26-Inputs!$D$26)*(Inputs!$F$26-Inputs!$E$26)))</f>
        <v>0.571656647315405</v>
      </c>
      <c r="P1198" s="81" t="n">
        <f aca="true">RAND()</f>
        <v>0.32166248410717</v>
      </c>
      <c r="Q1198" s="82" t="n">
        <f aca="false">IF(P1198&lt;(Inputs!$E$27-Inputs!$D$27)/(Inputs!$F$27-Inputs!$D$27),Inputs!$D$27+SQRT(P1198*(Inputs!$F$27-Inputs!$D$27)*(Inputs!$E$27-Inputs!$D$27)),Inputs!$F$27-SQRT((1-P1198)*(Inputs!$F$27-Inputs!$D$27)*(Inputs!$F$27-Inputs!$E$27)))</f>
        <v>78.6730670139517</v>
      </c>
      <c r="R1198" s="81" t="n">
        <f aca="true">RAND()</f>
        <v>0.72956665438674</v>
      </c>
      <c r="S1198" s="82" t="n">
        <f aca="false">IF(R1198&lt;(Inputs!$E$29-Inputs!$D$29)/(Inputs!$F$29-Inputs!$D$29),Inputs!$D$29+SQRT(R1198*(Inputs!$F$29-Inputs!$D$29)*(Inputs!$E$29-Inputs!$D$29)),Inputs!$F$29-SQRT((1-R1198)*(Inputs!$F$29-Inputs!$D$29)*(Inputs!$F$29-Inputs!$E$29)))</f>
        <v>9.07072222528545</v>
      </c>
      <c r="T1198" s="68" t="n">
        <f aca="false">Inputs!$E$9*(1+E1198)+Inputs!$E$5*C1198*(Inputs!$E$11*Inputs!$E$14*(G1198*I1198/Inputs!$E$16+(1-G1198))*K1198+Inputs!$E$23*M1198)*(1+O1198)+Inputs!$E$5*(Q1198+S1198)</f>
        <v>5953.13266825777</v>
      </c>
    </row>
    <row r="1199" customFormat="false" ht="15" hidden="false" customHeight="false" outlineLevel="0" collapsed="false">
      <c r="A1199" s="1" t="n">
        <v>1195</v>
      </c>
      <c r="B1199" s="81" t="n">
        <f aca="true">RAND()</f>
        <v>0.591267891802345</v>
      </c>
      <c r="C1199" s="82" t="n">
        <f aca="false">ROUND(IF(B1199&lt;(Inputs!$E$8-Inputs!$D$8)/(Inputs!$F$8-Inputs!$D$8),Inputs!$D$8+SQRT(B1199*(Inputs!$F$8-Inputs!$D$8)*(Inputs!$E$8-Inputs!$D$8)),Inputs!$F$8-SQRT((1-B1199)*(Inputs!$F$8-Inputs!$D$8)*(Inputs!$F$8-Inputs!$E$8))),0)</f>
        <v>25</v>
      </c>
      <c r="D1199" s="81" t="n">
        <f aca="true">RAND()</f>
        <v>0.381540356085196</v>
      </c>
      <c r="E1199" s="83" t="n">
        <f aca="false">IF(D1199&lt;(Inputs!$E$10-Inputs!$D$10)/(Inputs!$F$10-Inputs!$D$10),Inputs!$D$10+SQRT(D1199*(Inputs!$F$10-Inputs!$D$10)*(Inputs!$E$10-Inputs!$D$10)),Inputs!$F$10-SQRT((1-D1199)*(Inputs!$F$10-Inputs!$D$10)*(Inputs!$F$10-Inputs!$E$10)))</f>
        <v>0.063787704969617</v>
      </c>
      <c r="F1199" s="81" t="n">
        <f aca="true">RAND()</f>
        <v>0.414925402921829</v>
      </c>
      <c r="G1199" s="83" t="n">
        <f aca="false">IF(F1199&lt;(Inputs!$E$15-Inputs!$D$15)/(Inputs!$F$15-Inputs!$D$15),Inputs!$D$15+SQRT(F1199*(Inputs!$F$15-Inputs!$D$15)*(Inputs!$E$15-Inputs!$D$15)),Inputs!$F$15-SQRT((1-F1199)*(Inputs!$F$15-Inputs!$D$15)*(Inputs!$F$15-Inputs!$E$15)))</f>
        <v>0.691096147330371</v>
      </c>
      <c r="H1199" s="81" t="n">
        <f aca="true">RAND()</f>
        <v>0.450489238781597</v>
      </c>
      <c r="I1199" s="82" t="n">
        <f aca="false">ROUND(IF(H1199&lt;(Inputs!$E$17-Inputs!$D$17)/(Inputs!$F$17-Inputs!$D$17),Inputs!$D$17+SQRT(H1199*(Inputs!$F$17-Inputs!$D$17)*(Inputs!$E$17-Inputs!$D$17)),Inputs!$F$17-SQRT((1-H1199)*(Inputs!$F$17-Inputs!$D$17)*(Inputs!$F$17-Inputs!$E$17))),0)</f>
        <v>106</v>
      </c>
      <c r="J1199" s="81" t="n">
        <f aca="true">RAND()</f>
        <v>0.987041431506527</v>
      </c>
      <c r="K1199" s="83" t="n">
        <f aca="false">IF(J1199&lt;(Inputs!$E$18-Inputs!$D$18)/(Inputs!$F$18-Inputs!$D$18),Inputs!$D$18+SQRT(J1199*(Inputs!$F$18-Inputs!$D$18)*(Inputs!$E$18-Inputs!$D$18)),Inputs!$F$18-SQRT((1-J1199)*(Inputs!$F$18-Inputs!$D$18)*(Inputs!$F$18-Inputs!$E$18)))</f>
        <v>1.21632694336448</v>
      </c>
      <c r="L1199" s="81" t="n">
        <f aca="true">RAND()</f>
        <v>0.765911869837851</v>
      </c>
      <c r="M1199" s="83" t="n">
        <f aca="false">IF(L1199&lt;(Inputs!$E$24-Inputs!$D$24)/(Inputs!$F$24-Inputs!$D$24),Inputs!$D$24+SQRT(L1199*(Inputs!$F$24-Inputs!$D$24)*(Inputs!$E$24-Inputs!$D$24)),Inputs!$F$24-SQRT((1-L1199)*(Inputs!$F$24-Inputs!$D$24)*(Inputs!$F$24-Inputs!$E$24)))</f>
        <v>0.962974365861167</v>
      </c>
      <c r="N1199" s="81" t="n">
        <f aca="true">RAND()</f>
        <v>0.464556431740973</v>
      </c>
      <c r="O1199" s="83" t="n">
        <f aca="false">IF(N1199&lt;(Inputs!$E$26-Inputs!$D$26)/(Inputs!$F$26-Inputs!$D$26),Inputs!$D$26+SQRT(N1199*(Inputs!$F$26-Inputs!$D$26)*(Inputs!$E$26-Inputs!$D$26)),Inputs!$F$26-SQRT((1-N1199)*(Inputs!$F$26-Inputs!$D$26)*(Inputs!$F$26-Inputs!$E$26)))</f>
        <v>0.578032714337176</v>
      </c>
      <c r="P1199" s="81" t="n">
        <f aca="true">RAND()</f>
        <v>0.610034676952677</v>
      </c>
      <c r="Q1199" s="82" t="n">
        <f aca="false">IF(P1199&lt;(Inputs!$E$27-Inputs!$D$27)/(Inputs!$F$27-Inputs!$D$27),Inputs!$D$27+SQRT(P1199*(Inputs!$F$27-Inputs!$D$27)*(Inputs!$E$27-Inputs!$D$27)),Inputs!$F$27-SQRT((1-P1199)*(Inputs!$F$27-Inputs!$D$27)*(Inputs!$F$27-Inputs!$E$27)))</f>
        <v>95.9191353355467</v>
      </c>
      <c r="R1199" s="81" t="n">
        <f aca="true">RAND()</f>
        <v>0.773123587692085</v>
      </c>
      <c r="S1199" s="82" t="n">
        <f aca="false">IF(R1199&lt;(Inputs!$E$29-Inputs!$D$29)/(Inputs!$F$29-Inputs!$D$29),Inputs!$D$29+SQRT(R1199*(Inputs!$F$29-Inputs!$D$29)*(Inputs!$E$29-Inputs!$D$29)),Inputs!$F$29-SQRT((1-R1199)*(Inputs!$F$29-Inputs!$D$29)*(Inputs!$F$29-Inputs!$E$29)))</f>
        <v>9.56916824049677</v>
      </c>
      <c r="T1199" s="68" t="n">
        <f aca="false">Inputs!$E$9*(1+E1199)+Inputs!$E$5*C1199*(Inputs!$E$11*Inputs!$E$14*(G1199*I1199/Inputs!$E$16+(1-G1199))*K1199+Inputs!$E$23*M1199)*(1+O1199)+Inputs!$E$5*(Q1199+S1199)</f>
        <v>6827.03989581242</v>
      </c>
    </row>
    <row r="1200" customFormat="false" ht="15" hidden="false" customHeight="false" outlineLevel="0" collapsed="false">
      <c r="A1200" s="1" t="n">
        <v>1196</v>
      </c>
      <c r="B1200" s="81" t="n">
        <f aca="true">RAND()</f>
        <v>0.0243409241240467</v>
      </c>
      <c r="C1200" s="82" t="n">
        <f aca="false">ROUND(IF(B1200&lt;(Inputs!$E$8-Inputs!$D$8)/(Inputs!$F$8-Inputs!$D$8),Inputs!$D$8+SQRT(B1200*(Inputs!$F$8-Inputs!$D$8)*(Inputs!$E$8-Inputs!$D$8)),Inputs!$F$8-SQRT((1-B1200)*(Inputs!$F$8-Inputs!$D$8)*(Inputs!$F$8-Inputs!$E$8))),0)</f>
        <v>21</v>
      </c>
      <c r="D1200" s="81" t="n">
        <f aca="true">RAND()</f>
        <v>0.638801555254833</v>
      </c>
      <c r="E1200" s="83" t="n">
        <f aca="false">IF(D1200&lt;(Inputs!$E$10-Inputs!$D$10)/(Inputs!$F$10-Inputs!$D$10),Inputs!$D$10+SQRT(D1200*(Inputs!$F$10-Inputs!$D$10)*(Inputs!$E$10-Inputs!$D$10)),Inputs!$F$10-SQRT((1-D1200)*(Inputs!$F$10-Inputs!$D$10)*(Inputs!$F$10-Inputs!$E$10)))</f>
        <v>0.0959041146713521</v>
      </c>
      <c r="F1200" s="81" t="n">
        <f aca="true">RAND()</f>
        <v>0.453310594015386</v>
      </c>
      <c r="G1200" s="83" t="n">
        <f aca="false">IF(F1200&lt;(Inputs!$E$15-Inputs!$D$15)/(Inputs!$F$15-Inputs!$D$15),Inputs!$D$15+SQRT(F1200*(Inputs!$F$15-Inputs!$D$15)*(Inputs!$E$15-Inputs!$D$15)),Inputs!$F$15-SQRT((1-F1200)*(Inputs!$F$15-Inputs!$D$15)*(Inputs!$F$15-Inputs!$E$15)))</f>
        <v>0.695216657577904</v>
      </c>
      <c r="H1200" s="81" t="n">
        <f aca="true">RAND()</f>
        <v>0.698643562385053</v>
      </c>
      <c r="I1200" s="82" t="n">
        <f aca="false">ROUND(IF(H1200&lt;(Inputs!$E$17-Inputs!$D$17)/(Inputs!$F$17-Inputs!$D$17),Inputs!$D$17+SQRT(H1200*(Inputs!$F$17-Inputs!$D$17)*(Inputs!$E$17-Inputs!$D$17)),Inputs!$F$17-SQRT((1-H1200)*(Inputs!$F$17-Inputs!$D$17)*(Inputs!$F$17-Inputs!$E$17))),0)</f>
        <v>108</v>
      </c>
      <c r="J1200" s="81" t="n">
        <f aca="true">RAND()</f>
        <v>0.442264300822813</v>
      </c>
      <c r="K1200" s="83" t="n">
        <f aca="false">IF(J1200&lt;(Inputs!$E$18-Inputs!$D$18)/(Inputs!$F$18-Inputs!$D$18),Inputs!$D$18+SQRT(J1200*(Inputs!$F$18-Inputs!$D$18)*(Inputs!$E$18-Inputs!$D$18)),Inputs!$F$18-SQRT((1-J1200)*(Inputs!$F$18-Inputs!$D$18)*(Inputs!$F$18-Inputs!$E$18)))</f>
        <v>1.02908853882606</v>
      </c>
      <c r="L1200" s="81" t="n">
        <f aca="true">RAND()</f>
        <v>0.15714187541672</v>
      </c>
      <c r="M1200" s="83" t="n">
        <f aca="false">IF(L1200&lt;(Inputs!$E$24-Inputs!$D$24)/(Inputs!$F$24-Inputs!$D$24),Inputs!$D$24+SQRT(L1200*(Inputs!$F$24-Inputs!$D$24)*(Inputs!$E$24-Inputs!$D$24)),Inputs!$F$24-SQRT((1-L1200)*(Inputs!$F$24-Inputs!$D$24)*(Inputs!$F$24-Inputs!$E$24)))</f>
        <v>0.737320883517426</v>
      </c>
      <c r="N1200" s="81" t="n">
        <f aca="true">RAND()</f>
        <v>0.908073292732118</v>
      </c>
      <c r="O1200" s="83" t="n">
        <f aca="false">IF(N1200&lt;(Inputs!$E$26-Inputs!$D$26)/(Inputs!$F$26-Inputs!$D$26),Inputs!$D$26+SQRT(N1200*(Inputs!$F$26-Inputs!$D$26)*(Inputs!$E$26-Inputs!$D$26)),Inputs!$F$26-SQRT((1-N1200)*(Inputs!$F$26-Inputs!$D$26)*(Inputs!$F$26-Inputs!$E$26)))</f>
        <v>0.722222816793182</v>
      </c>
      <c r="P1200" s="81" t="n">
        <f aca="true">RAND()</f>
        <v>0.374989936463271</v>
      </c>
      <c r="Q1200" s="82" t="n">
        <f aca="false">IF(P1200&lt;(Inputs!$E$27-Inputs!$D$27)/(Inputs!$F$27-Inputs!$D$27),Inputs!$D$27+SQRT(P1200*(Inputs!$F$27-Inputs!$D$27)*(Inputs!$E$27-Inputs!$D$27)),Inputs!$F$27-SQRT((1-P1200)*(Inputs!$F$27-Inputs!$D$27)*(Inputs!$F$27-Inputs!$E$27)))</f>
        <v>81.5341291114656</v>
      </c>
      <c r="R1200" s="81" t="n">
        <f aca="true">RAND()</f>
        <v>0.258465173806282</v>
      </c>
      <c r="S1200" s="82" t="n">
        <f aca="false">IF(R1200&lt;(Inputs!$E$29-Inputs!$D$29)/(Inputs!$F$29-Inputs!$D$29),Inputs!$D$29+SQRT(R1200*(Inputs!$F$29-Inputs!$D$29)*(Inputs!$E$29-Inputs!$D$29)),Inputs!$F$29-SQRT((1-R1200)*(Inputs!$F$29-Inputs!$D$29)*(Inputs!$F$29-Inputs!$E$29)))</f>
        <v>5.1816739000386</v>
      </c>
      <c r="T1200" s="68" t="n">
        <f aca="false">Inputs!$E$9*(1+E1200)+Inputs!$E$5*C1200*(Inputs!$E$11*Inputs!$E$14*(G1200*I1200/Inputs!$E$16+(1-G1200))*K1200+Inputs!$E$23*M1200)*(1+O1200)+Inputs!$E$5*(Q1200+S1200)</f>
        <v>5832.17609553921</v>
      </c>
    </row>
    <row r="1201" customFormat="false" ht="15" hidden="false" customHeight="false" outlineLevel="0" collapsed="false">
      <c r="A1201" s="1" t="n">
        <v>1197</v>
      </c>
      <c r="B1201" s="81" t="n">
        <f aca="true">RAND()</f>
        <v>0.756542593246624</v>
      </c>
      <c r="C1201" s="82" t="n">
        <f aca="false">ROUND(IF(B1201&lt;(Inputs!$E$8-Inputs!$D$8)/(Inputs!$F$8-Inputs!$D$8),Inputs!$D$8+SQRT(B1201*(Inputs!$F$8-Inputs!$D$8)*(Inputs!$E$8-Inputs!$D$8)),Inputs!$F$8-SQRT((1-B1201)*(Inputs!$F$8-Inputs!$D$8)*(Inputs!$F$8-Inputs!$E$8))),0)</f>
        <v>27</v>
      </c>
      <c r="D1201" s="81" t="n">
        <f aca="true">RAND()</f>
        <v>0.41851068388114</v>
      </c>
      <c r="E1201" s="83" t="n">
        <f aca="false">IF(D1201&lt;(Inputs!$E$10-Inputs!$D$10)/(Inputs!$F$10-Inputs!$D$10),Inputs!$D$10+SQRT(D1201*(Inputs!$F$10-Inputs!$D$10)*(Inputs!$E$10-Inputs!$D$10)),Inputs!$F$10-SQRT((1-D1201)*(Inputs!$F$10-Inputs!$D$10)*(Inputs!$F$10-Inputs!$E$10)))</f>
        <v>0.0679216918507592</v>
      </c>
      <c r="F1201" s="81" t="n">
        <f aca="true">RAND()</f>
        <v>0.0130900919838174</v>
      </c>
      <c r="G1201" s="83" t="n">
        <f aca="false">IF(F1201&lt;(Inputs!$E$15-Inputs!$D$15)/(Inputs!$F$15-Inputs!$D$15),Inputs!$D$15+SQRT(F1201*(Inputs!$F$15-Inputs!$D$15)*(Inputs!$E$15-Inputs!$D$15)),Inputs!$F$15-SQRT((1-F1201)*(Inputs!$F$15-Inputs!$D$15)*(Inputs!$F$15-Inputs!$E$15)))</f>
        <v>0.61618029170554</v>
      </c>
      <c r="H1201" s="81" t="n">
        <f aca="true">RAND()</f>
        <v>0.784082090753661</v>
      </c>
      <c r="I1201" s="82" t="n">
        <f aca="false">ROUND(IF(H1201&lt;(Inputs!$E$17-Inputs!$D$17)/(Inputs!$F$17-Inputs!$D$17),Inputs!$D$17+SQRT(H1201*(Inputs!$F$17-Inputs!$D$17)*(Inputs!$E$17-Inputs!$D$17)),Inputs!$F$17-SQRT((1-H1201)*(Inputs!$F$17-Inputs!$D$17)*(Inputs!$F$17-Inputs!$E$17))),0)</f>
        <v>109</v>
      </c>
      <c r="J1201" s="81" t="n">
        <f aca="true">RAND()</f>
        <v>0.835301990508064</v>
      </c>
      <c r="K1201" s="83" t="n">
        <f aca="false">IF(J1201&lt;(Inputs!$E$18-Inputs!$D$18)/(Inputs!$F$18-Inputs!$D$18),Inputs!$D$18+SQRT(J1201*(Inputs!$F$18-Inputs!$D$18)*(Inputs!$E$18-Inputs!$D$18)),Inputs!$F$18-SQRT((1-J1201)*(Inputs!$F$18-Inputs!$D$18)*(Inputs!$F$18-Inputs!$E$18)))</f>
        <v>1.12995385957664</v>
      </c>
      <c r="L1201" s="81" t="n">
        <f aca="true">RAND()</f>
        <v>0.943233410659577</v>
      </c>
      <c r="M1201" s="83" t="n">
        <f aca="false">IF(L1201&lt;(Inputs!$E$24-Inputs!$D$24)/(Inputs!$F$24-Inputs!$D$24),Inputs!$D$24+SQRT(L1201*(Inputs!$F$24-Inputs!$D$24)*(Inputs!$E$24-Inputs!$D$24)),Inputs!$F$24-SQRT((1-L1201)*(Inputs!$F$24-Inputs!$D$24)*(Inputs!$F$24-Inputs!$E$24)))</f>
        <v>1.08327818780664</v>
      </c>
      <c r="N1201" s="81" t="n">
        <f aca="true">RAND()</f>
        <v>0.915093874571557</v>
      </c>
      <c r="O1201" s="83" t="n">
        <f aca="false">IF(N1201&lt;(Inputs!$E$26-Inputs!$D$26)/(Inputs!$F$26-Inputs!$D$26),Inputs!$D$26+SQRT(N1201*(Inputs!$F$26-Inputs!$D$26)*(Inputs!$E$26-Inputs!$D$26)),Inputs!$F$26-SQRT((1-N1201)*(Inputs!$F$26-Inputs!$D$26)*(Inputs!$F$26-Inputs!$E$26)))</f>
        <v>0.726030659018177</v>
      </c>
      <c r="P1201" s="81" t="n">
        <f aca="true">RAND()</f>
        <v>0.891674764025221</v>
      </c>
      <c r="Q1201" s="82" t="n">
        <f aca="false">IF(P1201&lt;(Inputs!$E$27-Inputs!$D$27)/(Inputs!$F$27-Inputs!$D$27),Inputs!$D$27+SQRT(P1201*(Inputs!$F$27-Inputs!$D$27)*(Inputs!$E$27-Inputs!$D$27)),Inputs!$F$27-SQRT((1-P1201)*(Inputs!$F$27-Inputs!$D$27)*(Inputs!$F$27-Inputs!$E$27)))</f>
        <v>121.496679670417</v>
      </c>
      <c r="R1201" s="81" t="n">
        <f aca="true">RAND()</f>
        <v>0.113298709068738</v>
      </c>
      <c r="S1201" s="82" t="n">
        <f aca="false">IF(R1201&lt;(Inputs!$E$29-Inputs!$D$29)/(Inputs!$F$29-Inputs!$D$29),Inputs!$D$29+SQRT(R1201*(Inputs!$F$29-Inputs!$D$29)*(Inputs!$E$29-Inputs!$D$29)),Inputs!$F$29-SQRT((1-R1201)*(Inputs!$F$29-Inputs!$D$29)*(Inputs!$F$29-Inputs!$E$29)))</f>
        <v>4.10205843250867</v>
      </c>
      <c r="T1201" s="68" t="n">
        <f aca="false">Inputs!$E$9*(1+E1201)+Inputs!$E$5*C1201*(Inputs!$E$11*Inputs!$E$14*(G1201*I1201/Inputs!$E$16+(1-G1201))*K1201+Inputs!$E$23*M1201)*(1+O1201)+Inputs!$E$5*(Q1201+S1201)</f>
        <v>7806.08938379181</v>
      </c>
    </row>
    <row r="1202" customFormat="false" ht="15" hidden="false" customHeight="false" outlineLevel="0" collapsed="false">
      <c r="A1202" s="1" t="n">
        <v>1198</v>
      </c>
      <c r="B1202" s="81" t="n">
        <f aca="true">RAND()</f>
        <v>0.0187198015604704</v>
      </c>
      <c r="C1202" s="82" t="n">
        <f aca="false">ROUND(IF(B1202&lt;(Inputs!$E$8-Inputs!$D$8)/(Inputs!$F$8-Inputs!$D$8),Inputs!$D$8+SQRT(B1202*(Inputs!$F$8-Inputs!$D$8)*(Inputs!$E$8-Inputs!$D$8)),Inputs!$F$8-SQRT((1-B1202)*(Inputs!$F$8-Inputs!$D$8)*(Inputs!$F$8-Inputs!$E$8))),0)</f>
        <v>21</v>
      </c>
      <c r="D1202" s="81" t="n">
        <f aca="true">RAND()</f>
        <v>0.54955262201846</v>
      </c>
      <c r="E1202" s="83" t="n">
        <f aca="false">IF(D1202&lt;(Inputs!$E$10-Inputs!$D$10)/(Inputs!$F$10-Inputs!$D$10),Inputs!$D$10+SQRT(D1202*(Inputs!$F$10-Inputs!$D$10)*(Inputs!$E$10-Inputs!$D$10)),Inputs!$F$10-SQRT((1-D1202)*(Inputs!$F$10-Inputs!$D$10)*(Inputs!$F$10-Inputs!$E$10)))</f>
        <v>0.0837527577125108</v>
      </c>
      <c r="F1202" s="81" t="n">
        <f aca="true">RAND()</f>
        <v>0.937518021545634</v>
      </c>
      <c r="G1202" s="83" t="n">
        <f aca="false">IF(F1202&lt;(Inputs!$E$15-Inputs!$D$15)/(Inputs!$F$15-Inputs!$D$15),Inputs!$D$15+SQRT(F1202*(Inputs!$F$15-Inputs!$D$15)*(Inputs!$E$15-Inputs!$D$15)),Inputs!$F$15-SQRT((1-F1202)*(Inputs!$F$15-Inputs!$D$15)*(Inputs!$F$15-Inputs!$E$15)))</f>
        <v>0.764649758571018</v>
      </c>
      <c r="H1202" s="81" t="n">
        <f aca="true">RAND()</f>
        <v>0.860507777613028</v>
      </c>
      <c r="I1202" s="82" t="n">
        <f aca="false">ROUND(IF(H1202&lt;(Inputs!$E$17-Inputs!$D$17)/(Inputs!$F$17-Inputs!$D$17),Inputs!$D$17+SQRT(H1202*(Inputs!$F$17-Inputs!$D$17)*(Inputs!$E$17-Inputs!$D$17)),Inputs!$F$17-SQRT((1-H1202)*(Inputs!$F$17-Inputs!$D$17)*(Inputs!$F$17-Inputs!$E$17))),0)</f>
        <v>110</v>
      </c>
      <c r="J1202" s="81" t="n">
        <f aca="true">RAND()</f>
        <v>0.786390833230711</v>
      </c>
      <c r="K1202" s="83" t="n">
        <f aca="false">IF(J1202&lt;(Inputs!$E$18-Inputs!$D$18)/(Inputs!$F$18-Inputs!$D$18),Inputs!$D$18+SQRT(J1202*(Inputs!$F$18-Inputs!$D$18)*(Inputs!$E$18-Inputs!$D$18)),Inputs!$F$18-SQRT((1-J1202)*(Inputs!$F$18-Inputs!$D$18)*(Inputs!$F$18-Inputs!$E$18)))</f>
        <v>1.11328569170598</v>
      </c>
      <c r="L1202" s="81" t="n">
        <f aca="true">RAND()</f>
        <v>0.363823176123584</v>
      </c>
      <c r="M1202" s="83" t="n">
        <f aca="false">IF(L1202&lt;(Inputs!$E$24-Inputs!$D$24)/(Inputs!$F$24-Inputs!$D$24),Inputs!$D$24+SQRT(L1202*(Inputs!$F$24-Inputs!$D$24)*(Inputs!$E$24-Inputs!$D$24)),Inputs!$F$24-SQRT((1-L1202)*(Inputs!$F$24-Inputs!$D$24)*(Inputs!$F$24-Inputs!$E$24)))</f>
        <v>0.809253998446126</v>
      </c>
      <c r="N1202" s="81" t="n">
        <f aca="true">RAND()</f>
        <v>0.828701191264236</v>
      </c>
      <c r="O1202" s="83" t="n">
        <f aca="false">IF(N1202&lt;(Inputs!$E$26-Inputs!$D$26)/(Inputs!$F$26-Inputs!$D$26),Inputs!$D$26+SQRT(N1202*(Inputs!$F$26-Inputs!$D$26)*(Inputs!$E$26-Inputs!$D$26)),Inputs!$F$26-SQRT((1-N1202)*(Inputs!$F$26-Inputs!$D$26)*(Inputs!$F$26-Inputs!$E$26)))</f>
        <v>0.68652687121177</v>
      </c>
      <c r="P1202" s="81" t="n">
        <f aca="true">RAND()</f>
        <v>0.93861834816962</v>
      </c>
      <c r="Q1202" s="82" t="n">
        <f aca="false">IF(P1202&lt;(Inputs!$E$27-Inputs!$D$27)/(Inputs!$F$27-Inputs!$D$27),Inputs!$D$27+SQRT(P1202*(Inputs!$F$27-Inputs!$D$27)*(Inputs!$E$27-Inputs!$D$27)),Inputs!$F$27-SQRT((1-P1202)*(Inputs!$F$27-Inputs!$D$27)*(Inputs!$F$27-Inputs!$E$27)))</f>
        <v>128.543942842921</v>
      </c>
      <c r="R1202" s="81" t="n">
        <f aca="true">RAND()</f>
        <v>0.36606991378235</v>
      </c>
      <c r="S1202" s="82" t="n">
        <f aca="false">IF(R1202&lt;(Inputs!$E$29-Inputs!$D$29)/(Inputs!$F$29-Inputs!$D$29),Inputs!$D$29+SQRT(R1202*(Inputs!$F$29-Inputs!$D$29)*(Inputs!$E$29-Inputs!$D$29)),Inputs!$F$29-SQRT((1-R1202)*(Inputs!$F$29-Inputs!$D$29)*(Inputs!$F$29-Inputs!$E$29)))</f>
        <v>5.9219544389613</v>
      </c>
      <c r="T1202" s="68" t="n">
        <f aca="false">Inputs!$E$9*(1+E1202)+Inputs!$E$5*C1202*(Inputs!$E$11*Inputs!$E$14*(G1202*I1202/Inputs!$E$16+(1-G1202))*K1202+Inputs!$E$23*M1202)*(1+O1202)+Inputs!$E$5*(Q1202+S1202)</f>
        <v>6173.64618826441</v>
      </c>
    </row>
    <row r="1203" customFormat="false" ht="15" hidden="false" customHeight="false" outlineLevel="0" collapsed="false">
      <c r="A1203" s="1" t="n">
        <v>1199</v>
      </c>
      <c r="B1203" s="81" t="n">
        <f aca="true">RAND()</f>
        <v>0.0618288543017924</v>
      </c>
      <c r="C1203" s="82" t="n">
        <f aca="false">ROUND(IF(B1203&lt;(Inputs!$E$8-Inputs!$D$8)/(Inputs!$F$8-Inputs!$D$8),Inputs!$D$8+SQRT(B1203*(Inputs!$F$8-Inputs!$D$8)*(Inputs!$E$8-Inputs!$D$8)),Inputs!$F$8-SQRT((1-B1203)*(Inputs!$F$8-Inputs!$D$8)*(Inputs!$F$8-Inputs!$E$8))),0)</f>
        <v>22</v>
      </c>
      <c r="D1203" s="81" t="n">
        <f aca="true">RAND()</f>
        <v>0.630402485516131</v>
      </c>
      <c r="E1203" s="83" t="n">
        <f aca="false">IF(D1203&lt;(Inputs!$E$10-Inputs!$D$10)/(Inputs!$F$10-Inputs!$D$10),Inputs!$D$10+SQRT(D1203*(Inputs!$F$10-Inputs!$D$10)*(Inputs!$E$10-Inputs!$D$10)),Inputs!$F$10-SQRT((1-D1203)*(Inputs!$F$10-Inputs!$D$10)*(Inputs!$F$10-Inputs!$E$10)))</f>
        <v>0.0947007814154537</v>
      </c>
      <c r="F1203" s="81" t="n">
        <f aca="true">RAND()</f>
        <v>0.403328485408923</v>
      </c>
      <c r="G1203" s="83" t="n">
        <f aca="false">IF(F1203&lt;(Inputs!$E$15-Inputs!$D$15)/(Inputs!$F$15-Inputs!$D$15),Inputs!$D$15+SQRT(F1203*(Inputs!$F$15-Inputs!$D$15)*(Inputs!$E$15-Inputs!$D$15)),Inputs!$F$15-SQRT((1-F1203)*(Inputs!$F$15-Inputs!$D$15)*(Inputs!$F$15-Inputs!$E$15)))</f>
        <v>0.689814084130377</v>
      </c>
      <c r="H1203" s="81" t="n">
        <f aca="true">RAND()</f>
        <v>0.615094826986621</v>
      </c>
      <c r="I1203" s="82" t="n">
        <f aca="false">ROUND(IF(H1203&lt;(Inputs!$E$17-Inputs!$D$17)/(Inputs!$F$17-Inputs!$D$17),Inputs!$D$17+SQRT(H1203*(Inputs!$F$17-Inputs!$D$17)*(Inputs!$E$17-Inputs!$D$17)),Inputs!$F$17-SQRT((1-H1203)*(Inputs!$F$17-Inputs!$D$17)*(Inputs!$F$17-Inputs!$E$17))),0)</f>
        <v>107</v>
      </c>
      <c r="J1203" s="81" t="n">
        <f aca="true">RAND()</f>
        <v>0.747184679797966</v>
      </c>
      <c r="K1203" s="83" t="n">
        <f aca="false">IF(J1203&lt;(Inputs!$E$18-Inputs!$D$18)/(Inputs!$F$18-Inputs!$D$18),Inputs!$D$18+SQRT(J1203*(Inputs!$F$18-Inputs!$D$18)*(Inputs!$E$18-Inputs!$D$18)),Inputs!$F$18-SQRT((1-J1203)*(Inputs!$F$18-Inputs!$D$18)*(Inputs!$F$18-Inputs!$E$18)))</f>
        <v>1.10126755391752</v>
      </c>
      <c r="L1203" s="81" t="n">
        <f aca="true">RAND()</f>
        <v>0.138729020926696</v>
      </c>
      <c r="M1203" s="83" t="n">
        <f aca="false">IF(L1203&lt;(Inputs!$E$24-Inputs!$D$24)/(Inputs!$F$24-Inputs!$D$24),Inputs!$D$24+SQRT(L1203*(Inputs!$F$24-Inputs!$D$24)*(Inputs!$E$24-Inputs!$D$24)),Inputs!$F$24-SQRT((1-L1203)*(Inputs!$F$24-Inputs!$D$24)*(Inputs!$F$24-Inputs!$E$24)))</f>
        <v>0.72902512356593</v>
      </c>
      <c r="N1203" s="81" t="n">
        <f aca="true">RAND()</f>
        <v>0.210870800644374</v>
      </c>
      <c r="O1203" s="83" t="n">
        <f aca="false">IF(N1203&lt;(Inputs!$E$26-Inputs!$D$26)/(Inputs!$F$26-Inputs!$D$26),Inputs!$D$26+SQRT(N1203*(Inputs!$F$26-Inputs!$D$26)*(Inputs!$E$26-Inputs!$D$26)),Inputs!$F$26-SQRT((1-N1203)*(Inputs!$F$26-Inputs!$D$26)*(Inputs!$F$26-Inputs!$E$26)))</f>
        <v>0.487320317176818</v>
      </c>
      <c r="P1203" s="81" t="n">
        <f aca="true">RAND()</f>
        <v>0.281266490493348</v>
      </c>
      <c r="Q1203" s="82" t="n">
        <f aca="false">IF(P1203&lt;(Inputs!$E$27-Inputs!$D$27)/(Inputs!$F$27-Inputs!$D$27),Inputs!$D$27+SQRT(P1203*(Inputs!$F$27-Inputs!$D$27)*(Inputs!$E$27-Inputs!$D$27)),Inputs!$F$27-SQRT((1-P1203)*(Inputs!$F$27-Inputs!$D$27)*(Inputs!$F$27-Inputs!$E$27)))</f>
        <v>76.5799664852985</v>
      </c>
      <c r="R1203" s="81" t="n">
        <f aca="true">RAND()</f>
        <v>0.989413017976048</v>
      </c>
      <c r="S1203" s="82" t="n">
        <f aca="false">IF(R1203&lt;(Inputs!$E$29-Inputs!$D$29)/(Inputs!$F$29-Inputs!$D$29),Inputs!$D$29+SQRT(R1203*(Inputs!$F$29-Inputs!$D$29)*(Inputs!$E$29-Inputs!$D$29)),Inputs!$F$29-SQRT((1-R1203)*(Inputs!$F$29-Inputs!$D$29)*(Inputs!$F$29-Inputs!$E$29)))</f>
        <v>13.8268386031267</v>
      </c>
      <c r="T1203" s="68" t="n">
        <f aca="false">Inputs!$E$9*(1+E1203)+Inputs!$E$5*C1203*(Inputs!$E$11*Inputs!$E$14*(G1203*I1203/Inputs!$E$16+(1-G1203))*K1203+Inputs!$E$23*M1203)*(1+O1203)+Inputs!$E$5*(Q1203+S1203)</f>
        <v>5678.82208650524</v>
      </c>
    </row>
    <row r="1204" customFormat="false" ht="15" hidden="false" customHeight="false" outlineLevel="0" collapsed="false">
      <c r="A1204" s="1" t="n">
        <v>1200</v>
      </c>
      <c r="B1204" s="81" t="n">
        <f aca="true">RAND()</f>
        <v>0.866938003990809</v>
      </c>
      <c r="C1204" s="82" t="n">
        <f aca="false">ROUND(IF(B1204&lt;(Inputs!$E$8-Inputs!$D$8)/(Inputs!$F$8-Inputs!$D$8),Inputs!$D$8+SQRT(B1204*(Inputs!$F$8-Inputs!$D$8)*(Inputs!$E$8-Inputs!$D$8)),Inputs!$F$8-SQRT((1-B1204)*(Inputs!$F$8-Inputs!$D$8)*(Inputs!$F$8-Inputs!$E$8))),0)</f>
        <v>27</v>
      </c>
      <c r="D1204" s="81" t="n">
        <f aca="true">RAND()</f>
        <v>0.841013735741686</v>
      </c>
      <c r="E1204" s="83" t="n">
        <f aca="false">IF(D1204&lt;(Inputs!$E$10-Inputs!$D$10)/(Inputs!$F$10-Inputs!$D$10),Inputs!$D$10+SQRT(D1204*(Inputs!$F$10-Inputs!$D$10)*(Inputs!$E$10-Inputs!$D$10)),Inputs!$F$10-SQRT((1-D1204)*(Inputs!$F$10-Inputs!$D$10)*(Inputs!$F$10-Inputs!$E$10)))</f>
        <v>0.130937796677565</v>
      </c>
      <c r="F1204" s="81" t="n">
        <f aca="true">RAND()</f>
        <v>0.051983383785961</v>
      </c>
      <c r="G1204" s="83" t="n">
        <f aca="false">IF(F1204&lt;(Inputs!$E$15-Inputs!$D$15)/(Inputs!$F$15-Inputs!$D$15),Inputs!$D$15+SQRT(F1204*(Inputs!$F$15-Inputs!$D$15)*(Inputs!$E$15-Inputs!$D$15)),Inputs!$F$15-SQRT((1-F1204)*(Inputs!$F$15-Inputs!$D$15)*(Inputs!$F$15-Inputs!$E$15)))</f>
        <v>0.632243878112275</v>
      </c>
      <c r="H1204" s="81" t="n">
        <f aca="true">RAND()</f>
        <v>0.89801663955019</v>
      </c>
      <c r="I1204" s="82" t="n">
        <f aca="false">ROUND(IF(H1204&lt;(Inputs!$E$17-Inputs!$D$17)/(Inputs!$F$17-Inputs!$D$17),Inputs!$D$17+SQRT(H1204*(Inputs!$F$17-Inputs!$D$17)*(Inputs!$E$17-Inputs!$D$17)),Inputs!$F$17-SQRT((1-H1204)*(Inputs!$F$17-Inputs!$D$17)*(Inputs!$F$17-Inputs!$E$17))),0)</f>
        <v>111</v>
      </c>
      <c r="J1204" s="81" t="n">
        <f aca="true">RAND()</f>
        <v>0.326057165156898</v>
      </c>
      <c r="K1204" s="83" t="n">
        <f aca="false">IF(J1204&lt;(Inputs!$E$18-Inputs!$D$18)/(Inputs!$F$18-Inputs!$D$18),Inputs!$D$18+SQRT(J1204*(Inputs!$F$18-Inputs!$D$18)*(Inputs!$E$18-Inputs!$D$18)),Inputs!$F$18-SQRT((1-J1204)*(Inputs!$F$18-Inputs!$D$18)*(Inputs!$F$18-Inputs!$E$18)))</f>
        <v>1.00716260986254</v>
      </c>
      <c r="L1204" s="81" t="n">
        <f aca="true">RAND()</f>
        <v>0.645085253895407</v>
      </c>
      <c r="M1204" s="83" t="n">
        <f aca="false">IF(L1204&lt;(Inputs!$E$24-Inputs!$D$24)/(Inputs!$F$24-Inputs!$D$24),Inputs!$D$24+SQRT(L1204*(Inputs!$F$24-Inputs!$D$24)*(Inputs!$E$24-Inputs!$D$24)),Inputs!$F$24-SQRT((1-L1204)*(Inputs!$F$24-Inputs!$D$24)*(Inputs!$F$24-Inputs!$E$24)))</f>
        <v>0.908144660721956</v>
      </c>
      <c r="N1204" s="81" t="n">
        <f aca="true">RAND()</f>
        <v>0.552903261495974</v>
      </c>
      <c r="O1204" s="83" t="n">
        <f aca="false">IF(N1204&lt;(Inputs!$E$26-Inputs!$D$26)/(Inputs!$F$26-Inputs!$D$26),Inputs!$D$26+SQRT(N1204*(Inputs!$F$26-Inputs!$D$26)*(Inputs!$E$26-Inputs!$D$26)),Inputs!$F$26-SQRT((1-N1204)*(Inputs!$F$26-Inputs!$D$26)*(Inputs!$F$26-Inputs!$E$26)))</f>
        <v>0.603320132389741</v>
      </c>
      <c r="P1204" s="81" t="n">
        <f aca="true">RAND()</f>
        <v>0.583374216992018</v>
      </c>
      <c r="Q1204" s="82" t="n">
        <f aca="false">IF(P1204&lt;(Inputs!$E$27-Inputs!$D$27)/(Inputs!$F$27-Inputs!$D$27),Inputs!$D$27+SQRT(P1204*(Inputs!$F$27-Inputs!$D$27)*(Inputs!$E$27-Inputs!$D$27)),Inputs!$F$27-SQRT((1-P1204)*(Inputs!$F$27-Inputs!$D$27)*(Inputs!$F$27-Inputs!$E$27)))</f>
        <v>94.1010431889837</v>
      </c>
      <c r="R1204" s="81" t="n">
        <f aca="true">RAND()</f>
        <v>0.26789346673349</v>
      </c>
      <c r="S1204" s="82" t="n">
        <f aca="false">IF(R1204&lt;(Inputs!$E$29-Inputs!$D$29)/(Inputs!$F$29-Inputs!$D$29),Inputs!$D$29+SQRT(R1204*(Inputs!$F$29-Inputs!$D$29)*(Inputs!$E$29-Inputs!$D$29)),Inputs!$F$29-SQRT((1-R1204)*(Inputs!$F$29-Inputs!$D$29)*(Inputs!$F$29-Inputs!$E$29)))</f>
        <v>5.24429144937969</v>
      </c>
      <c r="T1204" s="68" t="n">
        <f aca="false">Inputs!$E$9*(1+E1204)+Inputs!$E$5*C1204*(Inputs!$E$11*Inputs!$E$14*(G1204*I1204/Inputs!$E$16+(1-G1204))*K1204+Inputs!$E$23*M1204)*(1+O1204)+Inputs!$E$5*(Q1204+S1204)</f>
        <v>6894.92762004654</v>
      </c>
    </row>
    <row r="1205" customFormat="false" ht="15" hidden="false" customHeight="false" outlineLevel="0" collapsed="false">
      <c r="A1205" s="1" t="n">
        <v>1201</v>
      </c>
      <c r="B1205" s="81" t="n">
        <f aca="true">RAND()</f>
        <v>0.505694114540968</v>
      </c>
      <c r="C1205" s="82" t="n">
        <f aca="false">ROUND(IF(B1205&lt;(Inputs!$E$8-Inputs!$D$8)/(Inputs!$F$8-Inputs!$D$8),Inputs!$D$8+SQRT(B1205*(Inputs!$F$8-Inputs!$D$8)*(Inputs!$E$8-Inputs!$D$8)),Inputs!$F$8-SQRT((1-B1205)*(Inputs!$F$8-Inputs!$D$8)*(Inputs!$F$8-Inputs!$E$8))),0)</f>
        <v>25</v>
      </c>
      <c r="D1205" s="81" t="n">
        <f aca="true">RAND()</f>
        <v>0.537950247216472</v>
      </c>
      <c r="E1205" s="83" t="n">
        <f aca="false">IF(D1205&lt;(Inputs!$E$10-Inputs!$D$10)/(Inputs!$F$10-Inputs!$D$10),Inputs!$D$10+SQRT(D1205*(Inputs!$F$10-Inputs!$D$10)*(Inputs!$E$10-Inputs!$D$10)),Inputs!$F$10-SQRT((1-D1205)*(Inputs!$F$10-Inputs!$D$10)*(Inputs!$F$10-Inputs!$E$10)))</f>
        <v>0.0822651598569657</v>
      </c>
      <c r="F1205" s="81" t="n">
        <f aca="true">RAND()</f>
        <v>0.619627024840235</v>
      </c>
      <c r="G1205" s="83" t="n">
        <f aca="false">IF(F1205&lt;(Inputs!$E$15-Inputs!$D$15)/(Inputs!$F$15-Inputs!$D$15),Inputs!$D$15+SQRT(F1205*(Inputs!$F$15-Inputs!$D$15)*(Inputs!$E$15-Inputs!$D$15)),Inputs!$F$15-SQRT((1-F1205)*(Inputs!$F$15-Inputs!$D$15)*(Inputs!$F$15-Inputs!$E$15)))</f>
        <v>0.71277924843711</v>
      </c>
      <c r="H1205" s="81" t="n">
        <f aca="true">RAND()</f>
        <v>0.207421843289885</v>
      </c>
      <c r="I1205" s="82" t="n">
        <f aca="false">ROUND(IF(H1205&lt;(Inputs!$E$17-Inputs!$D$17)/(Inputs!$F$17-Inputs!$D$17),Inputs!$D$17+SQRT(H1205*(Inputs!$F$17-Inputs!$D$17)*(Inputs!$E$17-Inputs!$D$17)),Inputs!$F$17-SQRT((1-H1205)*(Inputs!$F$17-Inputs!$D$17)*(Inputs!$F$17-Inputs!$E$17))),0)</f>
        <v>104</v>
      </c>
      <c r="J1205" s="81" t="n">
        <f aca="true">RAND()</f>
        <v>0.221570240976875</v>
      </c>
      <c r="K1205" s="83" t="n">
        <f aca="false">IF(J1205&lt;(Inputs!$E$18-Inputs!$D$18)/(Inputs!$F$18-Inputs!$D$18),Inputs!$D$18+SQRT(J1205*(Inputs!$F$18-Inputs!$D$18)*(Inputs!$E$18-Inputs!$D$18)),Inputs!$F$18-SQRT((1-J1205)*(Inputs!$F$18-Inputs!$D$18)*(Inputs!$F$18-Inputs!$E$18)))</f>
        <v>0.988062241819015</v>
      </c>
      <c r="L1205" s="81" t="n">
        <f aca="true">RAND()</f>
        <v>0.84526476538571</v>
      </c>
      <c r="M1205" s="83" t="n">
        <f aca="false">IF(L1205&lt;(Inputs!$E$24-Inputs!$D$24)/(Inputs!$F$24-Inputs!$D$24),Inputs!$D$24+SQRT(L1205*(Inputs!$F$24-Inputs!$D$24)*(Inputs!$E$24-Inputs!$D$24)),Inputs!$F$24-SQRT((1-L1205)*(Inputs!$F$24-Inputs!$D$24)*(Inputs!$F$24-Inputs!$E$24)))</f>
        <v>1.00729178453571</v>
      </c>
      <c r="N1205" s="81" t="n">
        <f aca="true">RAND()</f>
        <v>0.306887342844779</v>
      </c>
      <c r="O1205" s="83" t="n">
        <f aca="false">IF(N1205&lt;(Inputs!$E$26-Inputs!$D$26)/(Inputs!$F$26-Inputs!$D$26),Inputs!$D$26+SQRT(N1205*(Inputs!$F$26-Inputs!$D$26)*(Inputs!$E$26-Inputs!$D$26)),Inputs!$F$26-SQRT((1-N1205)*(Inputs!$F$26-Inputs!$D$26)*(Inputs!$F$26-Inputs!$E$26)))</f>
        <v>0.525977994170608</v>
      </c>
      <c r="P1205" s="81" t="n">
        <f aca="true">RAND()</f>
        <v>0.748753306411754</v>
      </c>
      <c r="Q1205" s="82" t="n">
        <f aca="false">IF(P1205&lt;(Inputs!$E$27-Inputs!$D$27)/(Inputs!$F$27-Inputs!$D$27),Inputs!$D$27+SQRT(P1205*(Inputs!$F$27-Inputs!$D$27)*(Inputs!$E$27-Inputs!$D$27)),Inputs!$F$27-SQRT((1-P1205)*(Inputs!$F$27-Inputs!$D$27)*(Inputs!$F$27-Inputs!$E$27)))</f>
        <v>106.590897245948</v>
      </c>
      <c r="R1205" s="81" t="n">
        <f aca="true">RAND()</f>
        <v>0.561366675894266</v>
      </c>
      <c r="S1205" s="82" t="n">
        <f aca="false">IF(R1205&lt;(Inputs!$E$29-Inputs!$D$29)/(Inputs!$F$29-Inputs!$D$29),Inputs!$D$29+SQRT(R1205*(Inputs!$F$29-Inputs!$D$29)*(Inputs!$E$29-Inputs!$D$29)),Inputs!$F$29-SQRT((1-R1205)*(Inputs!$F$29-Inputs!$D$29)*(Inputs!$F$29-Inputs!$E$29)))</f>
        <v>7.44868672787671</v>
      </c>
      <c r="T1205" s="68" t="n">
        <f aca="false">Inputs!$E$9*(1+E1205)+Inputs!$E$5*C1205*(Inputs!$E$11*Inputs!$E$14*(G1205*I1205/Inputs!$E$16+(1-G1205))*K1205+Inputs!$E$23*M1205)*(1+O1205)+Inputs!$E$5*(Q1205+S1205)</f>
        <v>6318.14849946416</v>
      </c>
    </row>
    <row r="1206" customFormat="false" ht="15" hidden="false" customHeight="false" outlineLevel="0" collapsed="false">
      <c r="A1206" s="1" t="n">
        <v>1202</v>
      </c>
      <c r="B1206" s="81" t="n">
        <f aca="true">RAND()</f>
        <v>0.298899352841282</v>
      </c>
      <c r="C1206" s="82" t="n">
        <f aca="false">ROUND(IF(B1206&lt;(Inputs!$E$8-Inputs!$D$8)/(Inputs!$F$8-Inputs!$D$8),Inputs!$D$8+SQRT(B1206*(Inputs!$F$8-Inputs!$D$8)*(Inputs!$E$8-Inputs!$D$8)),Inputs!$F$8-SQRT((1-B1206)*(Inputs!$F$8-Inputs!$D$8)*(Inputs!$F$8-Inputs!$E$8))),0)</f>
        <v>24</v>
      </c>
      <c r="D1206" s="81" t="n">
        <f aca="true">RAND()</f>
        <v>0.634325953035098</v>
      </c>
      <c r="E1206" s="83" t="n">
        <f aca="false">IF(D1206&lt;(Inputs!$E$10-Inputs!$D$10)/(Inputs!$F$10-Inputs!$D$10),Inputs!$D$10+SQRT(D1206*(Inputs!$F$10-Inputs!$D$10)*(Inputs!$E$10-Inputs!$D$10)),Inputs!$F$10-SQRT((1-D1206)*(Inputs!$F$10-Inputs!$D$10)*(Inputs!$F$10-Inputs!$E$10)))</f>
        <v>0.09526117525508</v>
      </c>
      <c r="F1206" s="81" t="n">
        <f aca="true">RAND()</f>
        <v>0.331256896326817</v>
      </c>
      <c r="G1206" s="83" t="n">
        <f aca="false">IF(F1206&lt;(Inputs!$E$15-Inputs!$D$15)/(Inputs!$F$15-Inputs!$D$15),Inputs!$D$15+SQRT(F1206*(Inputs!$F$15-Inputs!$D$15)*(Inputs!$E$15-Inputs!$D$15)),Inputs!$F$15-SQRT((1-F1206)*(Inputs!$F$15-Inputs!$D$15)*(Inputs!$F$15-Inputs!$E$15)))</f>
        <v>0.681394950252066</v>
      </c>
      <c r="H1206" s="81" t="n">
        <f aca="true">RAND()</f>
        <v>0.784653811871176</v>
      </c>
      <c r="I1206" s="82" t="n">
        <f aca="false">ROUND(IF(H1206&lt;(Inputs!$E$17-Inputs!$D$17)/(Inputs!$F$17-Inputs!$D$17),Inputs!$D$17+SQRT(H1206*(Inputs!$F$17-Inputs!$D$17)*(Inputs!$E$17-Inputs!$D$17)),Inputs!$F$17-SQRT((1-H1206)*(Inputs!$F$17-Inputs!$D$17)*(Inputs!$F$17-Inputs!$E$17))),0)</f>
        <v>109</v>
      </c>
      <c r="J1206" s="81" t="n">
        <f aca="true">RAND()</f>
        <v>0.538454262636062</v>
      </c>
      <c r="K1206" s="83" t="n">
        <f aca="false">IF(J1206&lt;(Inputs!$E$18-Inputs!$D$18)/(Inputs!$F$18-Inputs!$D$18),Inputs!$D$18+SQRT(J1206*(Inputs!$F$18-Inputs!$D$18)*(Inputs!$E$18-Inputs!$D$18)),Inputs!$F$18-SQRT((1-J1206)*(Inputs!$F$18-Inputs!$D$18)*(Inputs!$F$18-Inputs!$E$18)))</f>
        <v>1.04903917789941</v>
      </c>
      <c r="L1206" s="81" t="n">
        <f aca="true">RAND()</f>
        <v>0.504272097141401</v>
      </c>
      <c r="M1206" s="83" t="n">
        <f aca="false">IF(L1206&lt;(Inputs!$E$24-Inputs!$D$24)/(Inputs!$F$24-Inputs!$D$24),Inputs!$D$24+SQRT(L1206*(Inputs!$F$24-Inputs!$D$24)*(Inputs!$E$24-Inputs!$D$24)),Inputs!$F$24-SQRT((1-L1206)*(Inputs!$F$24-Inputs!$D$24)*(Inputs!$F$24-Inputs!$E$24)))</f>
        <v>0.855072911057911</v>
      </c>
      <c r="N1206" s="81" t="n">
        <f aca="true">RAND()</f>
        <v>0.360366647456219</v>
      </c>
      <c r="O1206" s="83" t="n">
        <f aca="false">IF(N1206&lt;(Inputs!$E$26-Inputs!$D$26)/(Inputs!$F$26-Inputs!$D$26),Inputs!$D$26+SQRT(N1206*(Inputs!$F$26-Inputs!$D$26)*(Inputs!$E$26-Inputs!$D$26)),Inputs!$F$26-SQRT((1-N1206)*(Inputs!$F$26-Inputs!$D$26)*(Inputs!$F$26-Inputs!$E$26)))</f>
        <v>0.54487754110313</v>
      </c>
      <c r="P1206" s="81" t="n">
        <f aca="true">RAND()</f>
        <v>0.649694232739221</v>
      </c>
      <c r="Q1206" s="82" t="n">
        <f aca="false">IF(P1206&lt;(Inputs!$E$27-Inputs!$D$27)/(Inputs!$F$27-Inputs!$D$27),Inputs!$D$27+SQRT(P1206*(Inputs!$F$27-Inputs!$D$27)*(Inputs!$E$27-Inputs!$D$27)),Inputs!$F$27-SQRT((1-P1206)*(Inputs!$F$27-Inputs!$D$27)*(Inputs!$F$27-Inputs!$E$27)))</f>
        <v>98.7428711840408</v>
      </c>
      <c r="R1206" s="81" t="n">
        <f aca="true">RAND()</f>
        <v>0.215290749192048</v>
      </c>
      <c r="S1206" s="82" t="n">
        <f aca="false">IF(R1206&lt;(Inputs!$E$29-Inputs!$D$29)/(Inputs!$F$29-Inputs!$D$29),Inputs!$D$29+SQRT(R1206*(Inputs!$F$29-Inputs!$D$29)*(Inputs!$E$29-Inputs!$D$29)),Inputs!$F$29-SQRT((1-R1206)*(Inputs!$F$29-Inputs!$D$29)*(Inputs!$F$29-Inputs!$E$29)))</f>
        <v>4.89764373560482</v>
      </c>
      <c r="T1206" s="68" t="n">
        <f aca="false">Inputs!$E$9*(1+E1206)+Inputs!$E$5*C1206*(Inputs!$E$11*Inputs!$E$14*(G1206*I1206/Inputs!$E$16+(1-G1206))*K1206+Inputs!$E$23*M1206)*(1+O1206)+Inputs!$E$5*(Q1206+S1206)</f>
        <v>6214.98755470557</v>
      </c>
    </row>
    <row r="1207" customFormat="false" ht="15" hidden="false" customHeight="false" outlineLevel="0" collapsed="false">
      <c r="A1207" s="1" t="n">
        <v>1203</v>
      </c>
      <c r="B1207" s="81" t="n">
        <f aca="true">RAND()</f>
        <v>0.0113281014537529</v>
      </c>
      <c r="C1207" s="82" t="n">
        <f aca="false">ROUND(IF(B1207&lt;(Inputs!$E$8-Inputs!$D$8)/(Inputs!$F$8-Inputs!$D$8),Inputs!$D$8+SQRT(B1207*(Inputs!$F$8-Inputs!$D$8)*(Inputs!$E$8-Inputs!$D$8)),Inputs!$F$8-SQRT((1-B1207)*(Inputs!$F$8-Inputs!$D$8)*(Inputs!$F$8-Inputs!$E$8))),0)</f>
        <v>21</v>
      </c>
      <c r="D1207" s="81" t="n">
        <f aca="true">RAND()</f>
        <v>0.626449965300588</v>
      </c>
      <c r="E1207" s="83" t="n">
        <f aca="false">IF(D1207&lt;(Inputs!$E$10-Inputs!$D$10)/(Inputs!$F$10-Inputs!$D$10),Inputs!$D$10+SQRT(D1207*(Inputs!$F$10-Inputs!$D$10)*(Inputs!$E$10-Inputs!$D$10)),Inputs!$F$10-SQRT((1-D1207)*(Inputs!$F$10-Inputs!$D$10)*(Inputs!$F$10-Inputs!$E$10)))</f>
        <v>0.094139237481575</v>
      </c>
      <c r="F1207" s="81" t="n">
        <f aca="true">RAND()</f>
        <v>0.886071731321155</v>
      </c>
      <c r="G1207" s="83" t="n">
        <f aca="false">IF(F1207&lt;(Inputs!$E$15-Inputs!$D$15)/(Inputs!$F$15-Inputs!$D$15),Inputs!$D$15+SQRT(F1207*(Inputs!$F$15-Inputs!$D$15)*(Inputs!$E$15-Inputs!$D$15)),Inputs!$F$15-SQRT((1-F1207)*(Inputs!$F$15-Inputs!$D$15)*(Inputs!$F$15-Inputs!$E$15)))</f>
        <v>0.752265679290715</v>
      </c>
      <c r="H1207" s="81" t="n">
        <f aca="true">RAND()</f>
        <v>0.545414590762854</v>
      </c>
      <c r="I1207" s="82" t="n">
        <f aca="false">ROUND(IF(H1207&lt;(Inputs!$E$17-Inputs!$D$17)/(Inputs!$F$17-Inputs!$D$17),Inputs!$D$17+SQRT(H1207*(Inputs!$F$17-Inputs!$D$17)*(Inputs!$E$17-Inputs!$D$17)),Inputs!$F$17-SQRT((1-H1207)*(Inputs!$F$17-Inputs!$D$17)*(Inputs!$F$17-Inputs!$E$17))),0)</f>
        <v>107</v>
      </c>
      <c r="J1207" s="81" t="n">
        <f aca="true">RAND()</f>
        <v>0.657219497224791</v>
      </c>
      <c r="K1207" s="83" t="n">
        <f aca="false">IF(J1207&lt;(Inputs!$E$18-Inputs!$D$18)/(Inputs!$F$18-Inputs!$D$18),Inputs!$D$18+SQRT(J1207*(Inputs!$F$18-Inputs!$D$18)*(Inputs!$E$18-Inputs!$D$18)),Inputs!$F$18-SQRT((1-J1207)*(Inputs!$F$18-Inputs!$D$18)*(Inputs!$F$18-Inputs!$E$18)))</f>
        <v>1.07681427890028</v>
      </c>
      <c r="L1207" s="81" t="n">
        <f aca="true">RAND()</f>
        <v>0.598080001780177</v>
      </c>
      <c r="M1207" s="83" t="n">
        <f aca="false">IF(L1207&lt;(Inputs!$E$24-Inputs!$D$24)/(Inputs!$F$24-Inputs!$D$24),Inputs!$D$24+SQRT(L1207*(Inputs!$F$24-Inputs!$D$24)*(Inputs!$E$24-Inputs!$D$24)),Inputs!$F$24-SQRT((1-L1207)*(Inputs!$F$24-Inputs!$D$24)*(Inputs!$F$24-Inputs!$E$24)))</f>
        <v>0.889418610388907</v>
      </c>
      <c r="N1207" s="81" t="n">
        <f aca="true">RAND()</f>
        <v>0.81933161528428</v>
      </c>
      <c r="O1207" s="83" t="n">
        <f aca="false">IF(N1207&lt;(Inputs!$E$26-Inputs!$D$26)/(Inputs!$F$26-Inputs!$D$26),Inputs!$D$26+SQRT(N1207*(Inputs!$F$26-Inputs!$D$26)*(Inputs!$E$26-Inputs!$D$26)),Inputs!$F$26-SQRT((1-N1207)*(Inputs!$F$26-Inputs!$D$26)*(Inputs!$F$26-Inputs!$E$26)))</f>
        <v>0.682925159090244</v>
      </c>
      <c r="P1207" s="81" t="n">
        <f aca="true">RAND()</f>
        <v>0.790104042908187</v>
      </c>
      <c r="Q1207" s="82" t="n">
        <f aca="false">IF(P1207&lt;(Inputs!$E$27-Inputs!$D$27)/(Inputs!$F$27-Inputs!$D$27),Inputs!$D$27+SQRT(P1207*(Inputs!$F$27-Inputs!$D$27)*(Inputs!$E$27-Inputs!$D$27)),Inputs!$F$27-SQRT((1-P1207)*(Inputs!$F$27-Inputs!$D$27)*(Inputs!$F$27-Inputs!$E$27)))</f>
        <v>110.323562682763</v>
      </c>
      <c r="R1207" s="81" t="n">
        <f aca="true">RAND()</f>
        <v>0.990216554075848</v>
      </c>
      <c r="S1207" s="82" t="n">
        <f aca="false">IF(R1207&lt;(Inputs!$E$29-Inputs!$D$29)/(Inputs!$F$29-Inputs!$D$29),Inputs!$D$29+SQRT(R1207*(Inputs!$F$29-Inputs!$D$29)*(Inputs!$E$29-Inputs!$D$29)),Inputs!$F$29-SQRT((1-R1207)*(Inputs!$F$29-Inputs!$D$29)*(Inputs!$F$29-Inputs!$E$29)))</f>
        <v>13.8722376269179</v>
      </c>
      <c r="T1207" s="68" t="n">
        <f aca="false">Inputs!$E$9*(1+E1207)+Inputs!$E$5*C1207*(Inputs!$E$11*Inputs!$E$14*(G1207*I1207/Inputs!$E$16+(1-G1207))*K1207+Inputs!$E$23*M1207)*(1+O1207)+Inputs!$E$5*(Q1207+S1207)</f>
        <v>6149.962699155</v>
      </c>
    </row>
    <row r="1208" customFormat="false" ht="15" hidden="false" customHeight="false" outlineLevel="0" collapsed="false">
      <c r="A1208" s="1" t="n">
        <v>1204</v>
      </c>
      <c r="B1208" s="81" t="n">
        <f aca="true">RAND()</f>
        <v>0.17365183595645</v>
      </c>
      <c r="C1208" s="82" t="n">
        <f aca="false">ROUND(IF(B1208&lt;(Inputs!$E$8-Inputs!$D$8)/(Inputs!$F$8-Inputs!$D$8),Inputs!$D$8+SQRT(B1208*(Inputs!$F$8-Inputs!$D$8)*(Inputs!$E$8-Inputs!$D$8)),Inputs!$F$8-SQRT((1-B1208)*(Inputs!$F$8-Inputs!$D$8)*(Inputs!$F$8-Inputs!$E$8))),0)</f>
        <v>23</v>
      </c>
      <c r="D1208" s="81" t="n">
        <f aca="true">RAND()</f>
        <v>0.949505088534552</v>
      </c>
      <c r="E1208" s="83" t="n">
        <f aca="false">IF(D1208&lt;(Inputs!$E$10-Inputs!$D$10)/(Inputs!$F$10-Inputs!$D$10),Inputs!$D$10+SQRT(D1208*(Inputs!$F$10-Inputs!$D$10)*(Inputs!$E$10-Inputs!$D$10)),Inputs!$F$10-SQRT((1-D1208)*(Inputs!$F$10-Inputs!$D$10)*(Inputs!$F$10-Inputs!$E$10)))</f>
        <v>0.161078960137691</v>
      </c>
      <c r="F1208" s="81" t="n">
        <f aca="true">RAND()</f>
        <v>0.616163045530473</v>
      </c>
      <c r="G1208" s="83" t="n">
        <f aca="false">IF(F1208&lt;(Inputs!$E$15-Inputs!$D$15)/(Inputs!$F$15-Inputs!$D$15),Inputs!$D$15+SQRT(F1208*(Inputs!$F$15-Inputs!$D$15)*(Inputs!$E$15-Inputs!$D$15)),Inputs!$F$15-SQRT((1-F1208)*(Inputs!$F$15-Inputs!$D$15)*(Inputs!$F$15-Inputs!$E$15)))</f>
        <v>0.712382997715109</v>
      </c>
      <c r="H1208" s="81" t="n">
        <f aca="true">RAND()</f>
        <v>0.975126397640746</v>
      </c>
      <c r="I1208" s="82" t="n">
        <f aca="false">ROUND(IF(H1208&lt;(Inputs!$E$17-Inputs!$D$17)/(Inputs!$F$17-Inputs!$D$17),Inputs!$D$17+SQRT(H1208*(Inputs!$F$17-Inputs!$D$17)*(Inputs!$E$17-Inputs!$D$17)),Inputs!$F$17-SQRT((1-H1208)*(Inputs!$F$17-Inputs!$D$17)*(Inputs!$F$17-Inputs!$E$17))),0)</f>
        <v>113</v>
      </c>
      <c r="J1208" s="81" t="n">
        <f aca="true">RAND()</f>
        <v>0.446245541741071</v>
      </c>
      <c r="K1208" s="83" t="n">
        <f aca="false">IF(J1208&lt;(Inputs!$E$18-Inputs!$D$18)/(Inputs!$F$18-Inputs!$D$18),Inputs!$D$18+SQRT(J1208*(Inputs!$F$18-Inputs!$D$18)*(Inputs!$E$18-Inputs!$D$18)),Inputs!$F$18-SQRT((1-J1208)*(Inputs!$F$18-Inputs!$D$18)*(Inputs!$F$18-Inputs!$E$18)))</f>
        <v>1.02987840837924</v>
      </c>
      <c r="L1208" s="81" t="n">
        <f aca="true">RAND()</f>
        <v>0.327339059464686</v>
      </c>
      <c r="M1208" s="83" t="n">
        <f aca="false">IF(L1208&lt;(Inputs!$E$24-Inputs!$D$24)/(Inputs!$F$24-Inputs!$D$24),Inputs!$D$24+SQRT(L1208*(Inputs!$F$24-Inputs!$D$24)*(Inputs!$E$24-Inputs!$D$24)),Inputs!$F$24-SQRT((1-L1208)*(Inputs!$F$24-Inputs!$D$24)*(Inputs!$F$24-Inputs!$E$24)))</f>
        <v>0.798193559773678</v>
      </c>
      <c r="N1208" s="81" t="n">
        <f aca="true">RAND()</f>
        <v>0.500979952791745</v>
      </c>
      <c r="O1208" s="83" t="n">
        <f aca="false">IF(N1208&lt;(Inputs!$E$26-Inputs!$D$26)/(Inputs!$F$26-Inputs!$D$26),Inputs!$D$26+SQRT(N1208*(Inputs!$F$26-Inputs!$D$26)*(Inputs!$E$26-Inputs!$D$26)),Inputs!$F$26-SQRT((1-N1208)*(Inputs!$F$26-Inputs!$D$26)*(Inputs!$F$26-Inputs!$E$26)))</f>
        <v>0.588726625278214</v>
      </c>
      <c r="P1208" s="81" t="n">
        <f aca="true">RAND()</f>
        <v>0.37500266803157</v>
      </c>
      <c r="Q1208" s="82" t="n">
        <f aca="false">IF(P1208&lt;(Inputs!$E$27-Inputs!$D$27)/(Inputs!$F$27-Inputs!$D$27),Inputs!$D$27+SQRT(P1208*(Inputs!$F$27-Inputs!$D$27)*(Inputs!$E$27-Inputs!$D$27)),Inputs!$F$27-SQRT((1-P1208)*(Inputs!$F$27-Inputs!$D$27)*(Inputs!$F$27-Inputs!$E$27)))</f>
        <v>81.5348264461177</v>
      </c>
      <c r="R1208" s="81" t="n">
        <f aca="true">RAND()</f>
        <v>0.561144505925219</v>
      </c>
      <c r="S1208" s="82" t="n">
        <f aca="false">IF(R1208&lt;(Inputs!$E$29-Inputs!$D$29)/(Inputs!$F$29-Inputs!$D$29),Inputs!$D$29+SQRT(R1208*(Inputs!$F$29-Inputs!$D$29)*(Inputs!$E$29-Inputs!$D$29)),Inputs!$F$29-SQRT((1-R1208)*(Inputs!$F$29-Inputs!$D$29)*(Inputs!$F$29-Inputs!$E$29)))</f>
        <v>7.44677458103351</v>
      </c>
      <c r="T1208" s="68" t="n">
        <f aca="false">Inputs!$E$9*(1+E1208)+Inputs!$E$5*C1208*(Inputs!$E$11*Inputs!$E$14*(G1208*I1208/Inputs!$E$16+(1-G1208))*K1208+Inputs!$E$23*M1208)*(1+O1208)+Inputs!$E$5*(Q1208+S1208)</f>
        <v>6133.7607512473</v>
      </c>
    </row>
    <row r="1209" customFormat="false" ht="15" hidden="false" customHeight="false" outlineLevel="0" collapsed="false">
      <c r="A1209" s="1" t="n">
        <v>1205</v>
      </c>
      <c r="B1209" s="81" t="n">
        <f aca="true">RAND()</f>
        <v>0.0774897083066769</v>
      </c>
      <c r="C1209" s="82" t="n">
        <f aca="false">ROUND(IF(B1209&lt;(Inputs!$E$8-Inputs!$D$8)/(Inputs!$F$8-Inputs!$D$8),Inputs!$D$8+SQRT(B1209*(Inputs!$F$8-Inputs!$D$8)*(Inputs!$E$8-Inputs!$D$8)),Inputs!$F$8-SQRT((1-B1209)*(Inputs!$F$8-Inputs!$D$8)*(Inputs!$F$8-Inputs!$E$8))),0)</f>
        <v>22</v>
      </c>
      <c r="D1209" s="81" t="n">
        <f aca="true">RAND()</f>
        <v>0.982015921986879</v>
      </c>
      <c r="E1209" s="83" t="n">
        <f aca="false">IF(D1209&lt;(Inputs!$E$10-Inputs!$D$10)/(Inputs!$F$10-Inputs!$D$10),Inputs!$D$10+SQRT(D1209*(Inputs!$F$10-Inputs!$D$10)*(Inputs!$E$10-Inputs!$D$10)),Inputs!$F$10-SQRT((1-D1209)*(Inputs!$F$10-Inputs!$D$10)*(Inputs!$F$10-Inputs!$E$10)))</f>
        <v>0.176772379794873</v>
      </c>
      <c r="F1209" s="81" t="n">
        <f aca="true">RAND()</f>
        <v>0.866225915450113</v>
      </c>
      <c r="G1209" s="83" t="n">
        <f aca="false">IF(F1209&lt;(Inputs!$E$15-Inputs!$D$15)/(Inputs!$F$15-Inputs!$D$15),Inputs!$D$15+SQRT(F1209*(Inputs!$F$15-Inputs!$D$15)*(Inputs!$E$15-Inputs!$D$15)),Inputs!$F$15-SQRT((1-F1209)*(Inputs!$F$15-Inputs!$D$15)*(Inputs!$F$15-Inputs!$E$15)))</f>
        <v>0.748274941363032</v>
      </c>
      <c r="H1209" s="81" t="n">
        <f aca="true">RAND()</f>
        <v>0.0177358141600499</v>
      </c>
      <c r="I1209" s="82" t="n">
        <f aca="false">ROUND(IF(H1209&lt;(Inputs!$E$17-Inputs!$D$17)/(Inputs!$F$17-Inputs!$D$17),Inputs!$D$17+SQRT(H1209*(Inputs!$F$17-Inputs!$D$17)*(Inputs!$E$17-Inputs!$D$17)),Inputs!$F$17-SQRT((1-H1209)*(Inputs!$F$17-Inputs!$D$17)*(Inputs!$F$17-Inputs!$E$17))),0)</f>
        <v>101</v>
      </c>
      <c r="J1209" s="81" t="n">
        <f aca="true">RAND()</f>
        <v>0.325931162573313</v>
      </c>
      <c r="K1209" s="83" t="n">
        <f aca="false">IF(J1209&lt;(Inputs!$E$18-Inputs!$D$18)/(Inputs!$F$18-Inputs!$D$18),Inputs!$D$18+SQRT(J1209*(Inputs!$F$18-Inputs!$D$18)*(Inputs!$E$18-Inputs!$D$18)),Inputs!$F$18-SQRT((1-J1209)*(Inputs!$F$18-Inputs!$D$18)*(Inputs!$F$18-Inputs!$E$18)))</f>
        <v>1.0071399100823</v>
      </c>
      <c r="L1209" s="81" t="n">
        <f aca="true">RAND()</f>
        <v>0.623939381739774</v>
      </c>
      <c r="M1209" s="83" t="n">
        <f aca="false">IF(L1209&lt;(Inputs!$E$24-Inputs!$D$24)/(Inputs!$F$24-Inputs!$D$24),Inputs!$D$24+SQRT(L1209*(Inputs!$F$24-Inputs!$D$24)*(Inputs!$E$24-Inputs!$D$24)),Inputs!$F$24-SQRT((1-L1209)*(Inputs!$F$24-Inputs!$D$24)*(Inputs!$F$24-Inputs!$E$24)))</f>
        <v>0.899576052248736</v>
      </c>
      <c r="N1209" s="81" t="n">
        <f aca="true">RAND()</f>
        <v>0.50069122218123</v>
      </c>
      <c r="O1209" s="83" t="n">
        <f aca="false">IF(N1209&lt;(Inputs!$E$26-Inputs!$D$26)/(Inputs!$F$26-Inputs!$D$26),Inputs!$D$26+SQRT(N1209*(Inputs!$F$26-Inputs!$D$26)*(Inputs!$E$26-Inputs!$D$26)),Inputs!$F$26-SQRT((1-N1209)*(Inputs!$F$26-Inputs!$D$26)*(Inputs!$F$26-Inputs!$E$26)))</f>
        <v>0.588643412138501</v>
      </c>
      <c r="P1209" s="81" t="n">
        <f aca="true">RAND()</f>
        <v>0.0779803347684194</v>
      </c>
      <c r="Q1209" s="82" t="n">
        <f aca="false">IF(P1209&lt;(Inputs!$E$27-Inputs!$D$27)/(Inputs!$F$27-Inputs!$D$27),Inputs!$D$27+SQRT(P1209*(Inputs!$F$27-Inputs!$D$27)*(Inputs!$E$27-Inputs!$D$27)),Inputs!$F$27-SQRT((1-P1209)*(Inputs!$F$27-Inputs!$D$27)*(Inputs!$F$27-Inputs!$E$27)))</f>
        <v>63.9624796121981</v>
      </c>
      <c r="R1209" s="81" t="n">
        <f aca="true">RAND()</f>
        <v>0.356872284630403</v>
      </c>
      <c r="S1209" s="82" t="n">
        <f aca="false">IF(R1209&lt;(Inputs!$E$29-Inputs!$D$29)/(Inputs!$F$29-Inputs!$D$29),Inputs!$D$29+SQRT(R1209*(Inputs!$F$29-Inputs!$D$29)*(Inputs!$E$29-Inputs!$D$29)),Inputs!$F$29-SQRT((1-R1209)*(Inputs!$F$29-Inputs!$D$29)*(Inputs!$F$29-Inputs!$E$29)))</f>
        <v>5.85633536277453</v>
      </c>
      <c r="T1209" s="68" t="n">
        <f aca="false">Inputs!$E$9*(1+E1209)+Inputs!$E$5*C1209*(Inputs!$E$11*Inputs!$E$14*(G1209*I1209/Inputs!$E$16+(1-G1209))*K1209+Inputs!$E$23*M1209)*(1+O1209)+Inputs!$E$5*(Q1209+S1209)</f>
        <v>5848.68375389064</v>
      </c>
    </row>
    <row r="1210" customFormat="false" ht="15" hidden="false" customHeight="false" outlineLevel="0" collapsed="false">
      <c r="A1210" s="1" t="n">
        <v>1206</v>
      </c>
      <c r="B1210" s="81" t="n">
        <f aca="true">RAND()</f>
        <v>0.142434457053064</v>
      </c>
      <c r="C1210" s="82" t="n">
        <f aca="false">ROUND(IF(B1210&lt;(Inputs!$E$8-Inputs!$D$8)/(Inputs!$F$8-Inputs!$D$8),Inputs!$D$8+SQRT(B1210*(Inputs!$F$8-Inputs!$D$8)*(Inputs!$E$8-Inputs!$D$8)),Inputs!$F$8-SQRT((1-B1210)*(Inputs!$F$8-Inputs!$D$8)*(Inputs!$F$8-Inputs!$E$8))),0)</f>
        <v>23</v>
      </c>
      <c r="D1210" s="81" t="n">
        <f aca="true">RAND()</f>
        <v>0.342871109982531</v>
      </c>
      <c r="E1210" s="83" t="n">
        <f aca="false">IF(D1210&lt;(Inputs!$E$10-Inputs!$D$10)/(Inputs!$F$10-Inputs!$D$10),Inputs!$D$10+SQRT(D1210*(Inputs!$F$10-Inputs!$D$10)*(Inputs!$E$10-Inputs!$D$10)),Inputs!$F$10-SQRT((1-D1210)*(Inputs!$F$10-Inputs!$D$10)*(Inputs!$F$10-Inputs!$E$10)))</f>
        <v>0.0595939221382348</v>
      </c>
      <c r="F1210" s="81" t="n">
        <f aca="true">RAND()</f>
        <v>0.829693274101064</v>
      </c>
      <c r="G1210" s="83" t="n">
        <f aca="false">IF(F1210&lt;(Inputs!$E$15-Inputs!$D$15)/(Inputs!$F$15-Inputs!$D$15),Inputs!$D$15+SQRT(F1210*(Inputs!$F$15-Inputs!$D$15)*(Inputs!$E$15-Inputs!$D$15)),Inputs!$F$15-SQRT((1-F1210)*(Inputs!$F$15-Inputs!$D$15)*(Inputs!$F$15-Inputs!$E$15)))</f>
        <v>0.741637901700001</v>
      </c>
      <c r="H1210" s="81" t="n">
        <f aca="true">RAND()</f>
        <v>0.225785413636725</v>
      </c>
      <c r="I1210" s="82" t="n">
        <f aca="false">ROUND(IF(H1210&lt;(Inputs!$E$17-Inputs!$D$17)/(Inputs!$F$17-Inputs!$D$17),Inputs!$D$17+SQRT(H1210*(Inputs!$F$17-Inputs!$D$17)*(Inputs!$E$17-Inputs!$D$17)),Inputs!$F$17-SQRT((1-H1210)*(Inputs!$F$17-Inputs!$D$17)*(Inputs!$F$17-Inputs!$E$17))),0)</f>
        <v>104</v>
      </c>
      <c r="J1210" s="81" t="n">
        <f aca="true">RAND()</f>
        <v>0.760750362410609</v>
      </c>
      <c r="K1210" s="83" t="n">
        <f aca="false">IF(J1210&lt;(Inputs!$E$18-Inputs!$D$18)/(Inputs!$F$18-Inputs!$D$18),Inputs!$D$18+SQRT(J1210*(Inputs!$F$18-Inputs!$D$18)*(Inputs!$E$18-Inputs!$D$18)),Inputs!$F$18-SQRT((1-J1210)*(Inputs!$F$18-Inputs!$D$18)*(Inputs!$F$18-Inputs!$E$18)))</f>
        <v>1.10531294705789</v>
      </c>
      <c r="L1210" s="81" t="n">
        <f aca="true">RAND()</f>
        <v>0.746501494559548</v>
      </c>
      <c r="M1210" s="83" t="n">
        <f aca="false">IF(L1210&lt;(Inputs!$E$24-Inputs!$D$24)/(Inputs!$F$24-Inputs!$D$24),Inputs!$D$24+SQRT(L1210*(Inputs!$F$24-Inputs!$D$24)*(Inputs!$E$24-Inputs!$D$24)),Inputs!$F$24-SQRT((1-L1210)*(Inputs!$F$24-Inputs!$D$24)*(Inputs!$F$24-Inputs!$E$24)))</f>
        <v>0.953343069617518</v>
      </c>
      <c r="N1210" s="81" t="n">
        <f aca="true">RAND()</f>
        <v>0.00327647441800137</v>
      </c>
      <c r="O1210" s="83" t="n">
        <f aca="false">IF(N1210&lt;(Inputs!$E$26-Inputs!$D$26)/(Inputs!$F$26-Inputs!$D$26),Inputs!$D$26+SQRT(N1210*(Inputs!$F$26-Inputs!$D$26)*(Inputs!$E$26-Inputs!$D$26)),Inputs!$F$26-SQRT((1-N1210)*(Inputs!$F$26-Inputs!$D$26)*(Inputs!$F$26-Inputs!$E$26)))</f>
        <v>0.323349632612858</v>
      </c>
      <c r="P1210" s="81" t="n">
        <f aca="true">RAND()</f>
        <v>0.90476180269963</v>
      </c>
      <c r="Q1210" s="82" t="n">
        <f aca="false">IF(P1210&lt;(Inputs!$E$27-Inputs!$D$27)/(Inputs!$F$27-Inputs!$D$27),Inputs!$D$27+SQRT(P1210*(Inputs!$F$27-Inputs!$D$27)*(Inputs!$E$27-Inputs!$D$27)),Inputs!$F$27-SQRT((1-P1210)*(Inputs!$F$27-Inputs!$D$27)*(Inputs!$F$27-Inputs!$E$27)))</f>
        <v>123.273861488184</v>
      </c>
      <c r="R1210" s="81" t="n">
        <f aca="true">RAND()</f>
        <v>0.435997525208385</v>
      </c>
      <c r="S1210" s="82" t="n">
        <f aca="false">IF(R1210&lt;(Inputs!$E$29-Inputs!$D$29)/(Inputs!$F$29-Inputs!$D$29),Inputs!$D$29+SQRT(R1210*(Inputs!$F$29-Inputs!$D$29)*(Inputs!$E$29-Inputs!$D$29)),Inputs!$F$29-SQRT((1-R1210)*(Inputs!$F$29-Inputs!$D$29)*(Inputs!$F$29-Inputs!$E$29)))</f>
        <v>6.4372713622987</v>
      </c>
      <c r="T1210" s="68" t="n">
        <f aca="false">Inputs!$E$9*(1+E1210)+Inputs!$E$5*C1210*(Inputs!$E$11*Inputs!$E$14*(G1210*I1210/Inputs!$E$16+(1-G1210))*K1210+Inputs!$E$23*M1210)*(1+O1210)+Inputs!$E$5*(Q1210+S1210)</f>
        <v>5763.74204838322</v>
      </c>
    </row>
    <row r="1211" customFormat="false" ht="15" hidden="false" customHeight="false" outlineLevel="0" collapsed="false">
      <c r="A1211" s="1" t="n">
        <v>1207</v>
      </c>
      <c r="B1211" s="81" t="n">
        <f aca="true">RAND()</f>
        <v>0.141144744987541</v>
      </c>
      <c r="C1211" s="82" t="n">
        <f aca="false">ROUND(IF(B1211&lt;(Inputs!$E$8-Inputs!$D$8)/(Inputs!$F$8-Inputs!$D$8),Inputs!$D$8+SQRT(B1211*(Inputs!$F$8-Inputs!$D$8)*(Inputs!$E$8-Inputs!$D$8)),Inputs!$F$8-SQRT((1-B1211)*(Inputs!$F$8-Inputs!$D$8)*(Inputs!$F$8-Inputs!$E$8))),0)</f>
        <v>23</v>
      </c>
      <c r="D1211" s="81" t="n">
        <f aca="true">RAND()</f>
        <v>0.178674939677207</v>
      </c>
      <c r="E1211" s="83" t="n">
        <f aca="false">IF(D1211&lt;(Inputs!$E$10-Inputs!$D$10)/(Inputs!$F$10-Inputs!$D$10),Inputs!$D$10+SQRT(D1211*(Inputs!$F$10-Inputs!$D$10)*(Inputs!$E$10-Inputs!$D$10)),Inputs!$F$10-SQRT((1-D1211)*(Inputs!$F$10-Inputs!$D$10)*(Inputs!$F$10-Inputs!$E$10)))</f>
        <v>0.0422699585612769</v>
      </c>
      <c r="F1211" s="81" t="n">
        <f aca="true">RAND()</f>
        <v>0.304812274628664</v>
      </c>
      <c r="G1211" s="83" t="n">
        <f aca="false">IF(F1211&lt;(Inputs!$E$15-Inputs!$D$15)/(Inputs!$F$15-Inputs!$D$15),Inputs!$D$15+SQRT(F1211*(Inputs!$F$15-Inputs!$D$15)*(Inputs!$E$15-Inputs!$D$15)),Inputs!$F$15-SQRT((1-F1211)*(Inputs!$F$15-Inputs!$D$15)*(Inputs!$F$15-Inputs!$E$15)))</f>
        <v>0.678078457288636</v>
      </c>
      <c r="H1211" s="81" t="n">
        <f aca="true">RAND()</f>
        <v>0.14021866070345</v>
      </c>
      <c r="I1211" s="82" t="n">
        <f aca="false">ROUND(IF(H1211&lt;(Inputs!$E$17-Inputs!$D$17)/(Inputs!$F$17-Inputs!$D$17),Inputs!$D$17+SQRT(H1211*(Inputs!$F$17-Inputs!$D$17)*(Inputs!$E$17-Inputs!$D$17)),Inputs!$F$17-SQRT((1-H1211)*(Inputs!$F$17-Inputs!$D$17)*(Inputs!$F$17-Inputs!$E$17))),0)</f>
        <v>103</v>
      </c>
      <c r="J1211" s="81" t="n">
        <f aca="true">RAND()</f>
        <v>0.105074117194679</v>
      </c>
      <c r="K1211" s="83" t="n">
        <f aca="false">IF(J1211&lt;(Inputs!$E$18-Inputs!$D$18)/(Inputs!$F$18-Inputs!$D$18),Inputs!$D$18+SQRT(J1211*(Inputs!$F$18-Inputs!$D$18)*(Inputs!$E$18-Inputs!$D$18)),Inputs!$F$18-SQRT((1-J1211)*(Inputs!$F$18-Inputs!$D$18)*(Inputs!$F$18-Inputs!$E$18)))</f>
        <v>0.960643170281688</v>
      </c>
      <c r="L1211" s="81" t="n">
        <f aca="true">RAND()</f>
        <v>0.313723801664638</v>
      </c>
      <c r="M1211" s="83" t="n">
        <f aca="false">IF(L1211&lt;(Inputs!$E$24-Inputs!$D$24)/(Inputs!$F$24-Inputs!$D$24),Inputs!$D$24+SQRT(L1211*(Inputs!$F$24-Inputs!$D$24)*(Inputs!$E$24-Inputs!$D$24)),Inputs!$F$24-SQRT((1-L1211)*(Inputs!$F$24-Inputs!$D$24)*(Inputs!$F$24-Inputs!$E$24)))</f>
        <v>0.794027977878853</v>
      </c>
      <c r="N1211" s="81" t="n">
        <f aca="true">RAND()</f>
        <v>0.673032617432866</v>
      </c>
      <c r="O1211" s="83" t="n">
        <f aca="false">IF(N1211&lt;(Inputs!$E$26-Inputs!$D$26)/(Inputs!$F$26-Inputs!$D$26),Inputs!$D$26+SQRT(N1211*(Inputs!$F$26-Inputs!$D$26)*(Inputs!$E$26-Inputs!$D$26)),Inputs!$F$26-SQRT((1-N1211)*(Inputs!$F$26-Inputs!$D$26)*(Inputs!$F$26-Inputs!$E$26)))</f>
        <v>0.635596616660697</v>
      </c>
      <c r="P1211" s="81" t="n">
        <f aca="true">RAND()</f>
        <v>0.0446838022596905</v>
      </c>
      <c r="Q1211" s="82" t="n">
        <f aca="false">IF(P1211&lt;(Inputs!$E$27-Inputs!$D$27)/(Inputs!$F$27-Inputs!$D$27),Inputs!$D$27+SQRT(P1211*(Inputs!$F$27-Inputs!$D$27)*(Inputs!$E$27-Inputs!$D$27)),Inputs!$F$27-SQRT((1-P1211)*(Inputs!$F$27-Inputs!$D$27)*(Inputs!$F$27-Inputs!$E$27)))</f>
        <v>60.5692717653217</v>
      </c>
      <c r="R1211" s="81" t="n">
        <f aca="true">RAND()</f>
        <v>0.349487811044073</v>
      </c>
      <c r="S1211" s="82" t="n">
        <f aca="false">IF(R1211&lt;(Inputs!$E$29-Inputs!$D$29)/(Inputs!$F$29-Inputs!$D$29),Inputs!$D$29+SQRT(R1211*(Inputs!$F$29-Inputs!$D$29)*(Inputs!$E$29-Inputs!$D$29)),Inputs!$F$29-SQRT((1-R1211)*(Inputs!$F$29-Inputs!$D$29)*(Inputs!$F$29-Inputs!$E$29)))</f>
        <v>5.80399083491809</v>
      </c>
      <c r="T1211" s="68" t="n">
        <f aca="false">Inputs!$E$9*(1+E1211)+Inputs!$E$5*C1211*(Inputs!$E$11*Inputs!$E$14*(G1211*I1211/Inputs!$E$16+(1-G1211))*K1211+Inputs!$E$23*M1211)*(1+O1211)+Inputs!$E$5*(Q1211+S1211)</f>
        <v>5636.40304518152</v>
      </c>
    </row>
    <row r="1212" customFormat="false" ht="15" hidden="false" customHeight="false" outlineLevel="0" collapsed="false">
      <c r="A1212" s="1" t="n">
        <v>1208</v>
      </c>
      <c r="B1212" s="81" t="n">
        <f aca="true">RAND()</f>
        <v>0.0205224392084263</v>
      </c>
      <c r="C1212" s="82" t="n">
        <f aca="false">ROUND(IF(B1212&lt;(Inputs!$E$8-Inputs!$D$8)/(Inputs!$F$8-Inputs!$D$8),Inputs!$D$8+SQRT(B1212*(Inputs!$F$8-Inputs!$D$8)*(Inputs!$E$8-Inputs!$D$8)),Inputs!$F$8-SQRT((1-B1212)*(Inputs!$F$8-Inputs!$D$8)*(Inputs!$F$8-Inputs!$E$8))),0)</f>
        <v>21</v>
      </c>
      <c r="D1212" s="81" t="n">
        <f aca="true">RAND()</f>
        <v>0.795026492593742</v>
      </c>
      <c r="E1212" s="83" t="n">
        <f aca="false">IF(D1212&lt;(Inputs!$E$10-Inputs!$D$10)/(Inputs!$F$10-Inputs!$D$10),Inputs!$D$10+SQRT(D1212*(Inputs!$F$10-Inputs!$D$10)*(Inputs!$E$10-Inputs!$D$10)),Inputs!$F$10-SQRT((1-D1212)*(Inputs!$F$10-Inputs!$D$10)*(Inputs!$F$10-Inputs!$E$10)))</f>
        <v>0.121583131775187</v>
      </c>
      <c r="F1212" s="81" t="n">
        <f aca="true">RAND()</f>
        <v>0.817456778942384</v>
      </c>
      <c r="G1212" s="83" t="n">
        <f aca="false">IF(F1212&lt;(Inputs!$E$15-Inputs!$D$15)/(Inputs!$F$15-Inputs!$D$15),Inputs!$D$15+SQRT(F1212*(Inputs!$F$15-Inputs!$D$15)*(Inputs!$E$15-Inputs!$D$15)),Inputs!$F$15-SQRT((1-F1212)*(Inputs!$F$15-Inputs!$D$15)*(Inputs!$F$15-Inputs!$E$15)))</f>
        <v>0.739577616555184</v>
      </c>
      <c r="H1212" s="81" t="n">
        <f aca="true">RAND()</f>
        <v>0.549975222964763</v>
      </c>
      <c r="I1212" s="82" t="n">
        <f aca="false">ROUND(IF(H1212&lt;(Inputs!$E$17-Inputs!$D$17)/(Inputs!$F$17-Inputs!$D$17),Inputs!$D$17+SQRT(H1212*(Inputs!$F$17-Inputs!$D$17)*(Inputs!$E$17-Inputs!$D$17)),Inputs!$F$17-SQRT((1-H1212)*(Inputs!$F$17-Inputs!$D$17)*(Inputs!$F$17-Inputs!$E$17))),0)</f>
        <v>107</v>
      </c>
      <c r="J1212" s="81" t="n">
        <f aca="true">RAND()</f>
        <v>0.642888341210071</v>
      </c>
      <c r="K1212" s="83" t="n">
        <f aca="false">IF(J1212&lt;(Inputs!$E$18-Inputs!$D$18)/(Inputs!$F$18-Inputs!$D$18),Inputs!$D$18+SQRT(J1212*(Inputs!$F$18-Inputs!$D$18)*(Inputs!$E$18-Inputs!$D$18)),Inputs!$F$18-SQRT((1-J1212)*(Inputs!$F$18-Inputs!$D$18)*(Inputs!$F$18-Inputs!$E$18)))</f>
        <v>1.07323102607041</v>
      </c>
      <c r="L1212" s="81" t="n">
        <f aca="true">RAND()</f>
        <v>0.0206766557452715</v>
      </c>
      <c r="M1212" s="83" t="n">
        <f aca="false">IF(L1212&lt;(Inputs!$E$24-Inputs!$D$24)/(Inputs!$F$24-Inputs!$D$24),Inputs!$D$24+SQRT(L1212*(Inputs!$F$24-Inputs!$D$24)*(Inputs!$E$24-Inputs!$D$24)),Inputs!$F$24-SQRT((1-L1212)*(Inputs!$F$24-Inputs!$D$24)*(Inputs!$F$24-Inputs!$E$24)))</f>
        <v>0.649811632069554</v>
      </c>
      <c r="N1212" s="81" t="n">
        <f aca="true">RAND()</f>
        <v>0.527261853635924</v>
      </c>
      <c r="O1212" s="83" t="n">
        <f aca="false">IF(N1212&lt;(Inputs!$E$26-Inputs!$D$26)/(Inputs!$F$26-Inputs!$D$26),Inputs!$D$26+SQRT(N1212*(Inputs!$F$26-Inputs!$D$26)*(Inputs!$E$26-Inputs!$D$26)),Inputs!$F$26-SQRT((1-N1212)*(Inputs!$F$26-Inputs!$D$26)*(Inputs!$F$26-Inputs!$E$26)))</f>
        <v>0.596203262043175</v>
      </c>
      <c r="P1212" s="81" t="n">
        <f aca="true">RAND()</f>
        <v>0.867710314026762</v>
      </c>
      <c r="Q1212" s="82" t="n">
        <f aca="false">IF(P1212&lt;(Inputs!$E$27-Inputs!$D$27)/(Inputs!$F$27-Inputs!$D$27),Inputs!$D$27+SQRT(P1212*(Inputs!$F$27-Inputs!$D$27)*(Inputs!$E$27-Inputs!$D$27)),Inputs!$F$27-SQRT((1-P1212)*(Inputs!$F$27-Inputs!$D$27)*(Inputs!$F$27-Inputs!$E$27)))</f>
        <v>118.501227884261</v>
      </c>
      <c r="R1212" s="81" t="n">
        <f aca="true">RAND()</f>
        <v>0.679860322436022</v>
      </c>
      <c r="S1212" s="82" t="n">
        <f aca="false">IF(R1212&lt;(Inputs!$E$29-Inputs!$D$29)/(Inputs!$F$29-Inputs!$D$29),Inputs!$D$29+SQRT(R1212*(Inputs!$F$29-Inputs!$D$29)*(Inputs!$E$29-Inputs!$D$29)),Inputs!$F$29-SQRT((1-R1212)*(Inputs!$F$29-Inputs!$D$29)*(Inputs!$F$29-Inputs!$E$29)))</f>
        <v>8.54878630928124</v>
      </c>
      <c r="T1212" s="68" t="n">
        <f aca="false">Inputs!$E$9*(1+E1212)+Inputs!$E$5*C1212*(Inputs!$E$11*Inputs!$E$14*(G1212*I1212/Inputs!$E$16+(1-G1212))*K1212+Inputs!$E$23*M1212)*(1+O1212)+Inputs!$E$5*(Q1212+S1212)</f>
        <v>5785.90150494901</v>
      </c>
    </row>
    <row r="1213" customFormat="false" ht="15" hidden="false" customHeight="false" outlineLevel="0" collapsed="false">
      <c r="A1213" s="1" t="n">
        <v>1209</v>
      </c>
      <c r="B1213" s="81" t="n">
        <f aca="true">RAND()</f>
        <v>0.735763240156491</v>
      </c>
      <c r="C1213" s="82" t="n">
        <f aca="false">ROUND(IF(B1213&lt;(Inputs!$E$8-Inputs!$D$8)/(Inputs!$F$8-Inputs!$D$8),Inputs!$D$8+SQRT(B1213*(Inputs!$F$8-Inputs!$D$8)*(Inputs!$E$8-Inputs!$D$8)),Inputs!$F$8-SQRT((1-B1213)*(Inputs!$F$8-Inputs!$D$8)*(Inputs!$F$8-Inputs!$E$8))),0)</f>
        <v>26</v>
      </c>
      <c r="D1213" s="81" t="n">
        <f aca="true">RAND()</f>
        <v>0.763221338153768</v>
      </c>
      <c r="E1213" s="83" t="n">
        <f aca="false">IF(D1213&lt;(Inputs!$E$10-Inputs!$D$10)/(Inputs!$F$10-Inputs!$D$10),Inputs!$D$10+SQRT(D1213*(Inputs!$F$10-Inputs!$D$10)*(Inputs!$E$10-Inputs!$D$10)),Inputs!$F$10-SQRT((1-D1213)*(Inputs!$F$10-Inputs!$D$10)*(Inputs!$F$10-Inputs!$E$10)))</f>
        <v>0.115718567552592</v>
      </c>
      <c r="F1213" s="81" t="n">
        <f aca="true">RAND()</f>
        <v>0.883250316601646</v>
      </c>
      <c r="G1213" s="83" t="n">
        <f aca="false">IF(F1213&lt;(Inputs!$E$15-Inputs!$D$15)/(Inputs!$F$15-Inputs!$D$15),Inputs!$D$15+SQRT(F1213*(Inputs!$F$15-Inputs!$D$15)*(Inputs!$E$15-Inputs!$D$15)),Inputs!$F$15-SQRT((1-F1213)*(Inputs!$F$15-Inputs!$D$15)*(Inputs!$F$15-Inputs!$E$15)))</f>
        <v>0.751678227806018</v>
      </c>
      <c r="H1213" s="81" t="n">
        <f aca="true">RAND()</f>
        <v>0.949635233774682</v>
      </c>
      <c r="I1213" s="82" t="n">
        <f aca="false">ROUND(IF(H1213&lt;(Inputs!$E$17-Inputs!$D$17)/(Inputs!$F$17-Inputs!$D$17),Inputs!$D$17+SQRT(H1213*(Inputs!$F$17-Inputs!$D$17)*(Inputs!$E$17-Inputs!$D$17)),Inputs!$F$17-SQRT((1-H1213)*(Inputs!$F$17-Inputs!$D$17)*(Inputs!$F$17-Inputs!$E$17))),0)</f>
        <v>112</v>
      </c>
      <c r="J1213" s="81" t="n">
        <f aca="true">RAND()</f>
        <v>0.786644031495965</v>
      </c>
      <c r="K1213" s="83" t="n">
        <f aca="false">IF(J1213&lt;(Inputs!$E$18-Inputs!$D$18)/(Inputs!$F$18-Inputs!$D$18),Inputs!$D$18+SQRT(J1213*(Inputs!$F$18-Inputs!$D$18)*(Inputs!$E$18-Inputs!$D$18)),Inputs!$F$18-SQRT((1-J1213)*(Inputs!$F$18-Inputs!$D$18)*(Inputs!$F$18-Inputs!$E$18)))</f>
        <v>1.11336674180821</v>
      </c>
      <c r="L1213" s="81" t="n">
        <f aca="true">RAND()</f>
        <v>0.460568474594001</v>
      </c>
      <c r="M1213" s="83" t="n">
        <f aca="false">IF(L1213&lt;(Inputs!$E$24-Inputs!$D$24)/(Inputs!$F$24-Inputs!$D$24),Inputs!$D$24+SQRT(L1213*(Inputs!$F$24-Inputs!$D$24)*(Inputs!$E$24-Inputs!$D$24)),Inputs!$F$24-SQRT((1-L1213)*(Inputs!$F$24-Inputs!$D$24)*(Inputs!$F$24-Inputs!$E$24)))</f>
        <v>0.840189541428491</v>
      </c>
      <c r="N1213" s="81" t="n">
        <f aca="true">RAND()</f>
        <v>0.0543351210325125</v>
      </c>
      <c r="O1213" s="83" t="n">
        <f aca="false">IF(N1213&lt;(Inputs!$E$26-Inputs!$D$26)/(Inputs!$F$26-Inputs!$D$26),Inputs!$D$26+SQRT(N1213*(Inputs!$F$26-Inputs!$D$26)*(Inputs!$E$26-Inputs!$D$26)),Inputs!$F$26-SQRT((1-N1213)*(Inputs!$F$26-Inputs!$D$26)*(Inputs!$F$26-Inputs!$E$26)))</f>
        <v>0.395086088045571</v>
      </c>
      <c r="P1213" s="81" t="n">
        <f aca="true">RAND()</f>
        <v>0.420271884178419</v>
      </c>
      <c r="Q1213" s="82" t="n">
        <f aca="false">IF(P1213&lt;(Inputs!$E$27-Inputs!$D$27)/(Inputs!$F$27-Inputs!$D$27),Inputs!$D$27+SQRT(P1213*(Inputs!$F$27-Inputs!$D$27)*(Inputs!$E$27-Inputs!$D$27)),Inputs!$F$27-SQRT((1-P1213)*(Inputs!$F$27-Inputs!$D$27)*(Inputs!$F$27-Inputs!$E$27)))</f>
        <v>84.0609306354582</v>
      </c>
      <c r="R1213" s="81" t="n">
        <f aca="true">RAND()</f>
        <v>0.187103891446975</v>
      </c>
      <c r="S1213" s="82" t="n">
        <f aca="false">IF(R1213&lt;(Inputs!$E$29-Inputs!$D$29)/(Inputs!$F$29-Inputs!$D$29),Inputs!$D$29+SQRT(R1213*(Inputs!$F$29-Inputs!$D$29)*(Inputs!$E$29-Inputs!$D$29)),Inputs!$F$29-SQRT((1-R1213)*(Inputs!$F$29-Inputs!$D$29)*(Inputs!$F$29-Inputs!$E$29)))</f>
        <v>4.70130556702348</v>
      </c>
      <c r="T1213" s="68" t="n">
        <f aca="false">Inputs!$E$9*(1+E1213)+Inputs!$E$5*C1213*(Inputs!$E$11*Inputs!$E$14*(G1213*I1213/Inputs!$E$16+(1-G1213))*K1213+Inputs!$E$23*M1213)*(1+O1213)+Inputs!$E$5*(Q1213+S1213)</f>
        <v>6172.50601700855</v>
      </c>
    </row>
    <row r="1214" customFormat="false" ht="15" hidden="false" customHeight="false" outlineLevel="0" collapsed="false">
      <c r="A1214" s="1" t="n">
        <v>1210</v>
      </c>
      <c r="B1214" s="81" t="n">
        <f aca="true">RAND()</f>
        <v>0.00519564219182911</v>
      </c>
      <c r="C1214" s="82" t="n">
        <f aca="false">ROUND(IF(B1214&lt;(Inputs!$E$8-Inputs!$D$8)/(Inputs!$F$8-Inputs!$D$8),Inputs!$D$8+SQRT(B1214*(Inputs!$F$8-Inputs!$D$8)*(Inputs!$E$8-Inputs!$D$8)),Inputs!$F$8-SQRT((1-B1214)*(Inputs!$F$8-Inputs!$D$8)*(Inputs!$F$8-Inputs!$E$8))),0)</f>
        <v>21</v>
      </c>
      <c r="D1214" s="81" t="n">
        <f aca="true">RAND()</f>
        <v>0.707789884058182</v>
      </c>
      <c r="E1214" s="83" t="n">
        <f aca="false">IF(D1214&lt;(Inputs!$E$10-Inputs!$D$10)/(Inputs!$F$10-Inputs!$D$10),Inputs!$D$10+SQRT(D1214*(Inputs!$F$10-Inputs!$D$10)*(Inputs!$E$10-Inputs!$D$10)),Inputs!$F$10-SQRT((1-D1214)*(Inputs!$F$10-Inputs!$D$10)*(Inputs!$F$10-Inputs!$E$10)))</f>
        <v>0.106371460129646</v>
      </c>
      <c r="F1214" s="81" t="n">
        <f aca="true">RAND()</f>
        <v>0.0684737777207887</v>
      </c>
      <c r="G1214" s="83" t="n">
        <f aca="false">IF(F1214&lt;(Inputs!$E$15-Inputs!$D$15)/(Inputs!$F$15-Inputs!$D$15),Inputs!$D$15+SQRT(F1214*(Inputs!$F$15-Inputs!$D$15)*(Inputs!$E$15-Inputs!$D$15)),Inputs!$F$15-SQRT((1-F1214)*(Inputs!$F$15-Inputs!$D$15)*(Inputs!$F$15-Inputs!$E$15)))</f>
        <v>0.63700642585303</v>
      </c>
      <c r="H1214" s="81" t="n">
        <f aca="true">RAND()</f>
        <v>0.65970045767219</v>
      </c>
      <c r="I1214" s="82" t="n">
        <f aca="false">ROUND(IF(H1214&lt;(Inputs!$E$17-Inputs!$D$17)/(Inputs!$F$17-Inputs!$D$17),Inputs!$D$17+SQRT(H1214*(Inputs!$F$17-Inputs!$D$17)*(Inputs!$E$17-Inputs!$D$17)),Inputs!$F$17-SQRT((1-H1214)*(Inputs!$F$17-Inputs!$D$17)*(Inputs!$F$17-Inputs!$E$17))),0)</f>
        <v>108</v>
      </c>
      <c r="J1214" s="81" t="n">
        <f aca="true">RAND()</f>
        <v>0.199440014377686</v>
      </c>
      <c r="K1214" s="83" t="n">
        <f aca="false">IF(J1214&lt;(Inputs!$E$18-Inputs!$D$18)/(Inputs!$F$18-Inputs!$D$18),Inputs!$D$18+SQRT(J1214*(Inputs!$F$18-Inputs!$D$18)*(Inputs!$E$18-Inputs!$D$18)),Inputs!$F$18-SQRT((1-J1214)*(Inputs!$F$18-Inputs!$D$18)*(Inputs!$F$18-Inputs!$E$18)))</f>
        <v>0.983548791153547</v>
      </c>
      <c r="L1214" s="81" t="n">
        <f aca="true">RAND()</f>
        <v>0.837189359882857</v>
      </c>
      <c r="M1214" s="83" t="n">
        <f aca="false">IF(L1214&lt;(Inputs!$E$24-Inputs!$D$24)/(Inputs!$F$24-Inputs!$D$24),Inputs!$D$24+SQRT(L1214*(Inputs!$F$24-Inputs!$D$24)*(Inputs!$E$24-Inputs!$D$24)),Inputs!$F$24-SQRT((1-L1214)*(Inputs!$F$24-Inputs!$D$24)*(Inputs!$F$24-Inputs!$E$24)))</f>
        <v>1.00232715505636</v>
      </c>
      <c r="N1214" s="81" t="n">
        <f aca="true">RAND()</f>
        <v>0.868824416159673</v>
      </c>
      <c r="O1214" s="83" t="n">
        <f aca="false">IF(N1214&lt;(Inputs!$E$26-Inputs!$D$26)/(Inputs!$F$26-Inputs!$D$26),Inputs!$D$26+SQRT(N1214*(Inputs!$F$26-Inputs!$D$26)*(Inputs!$E$26-Inputs!$D$26)),Inputs!$F$26-SQRT((1-N1214)*(Inputs!$F$26-Inputs!$D$26)*(Inputs!$F$26-Inputs!$E$26)))</f>
        <v>0.703199911303998</v>
      </c>
      <c r="P1214" s="81" t="n">
        <f aca="true">RAND()</f>
        <v>0.917481661303075</v>
      </c>
      <c r="Q1214" s="82" t="n">
        <f aca="false">IF(P1214&lt;(Inputs!$E$27-Inputs!$D$27)/(Inputs!$F$27-Inputs!$D$27),Inputs!$D$27+SQRT(P1214*(Inputs!$F$27-Inputs!$D$27)*(Inputs!$E$27-Inputs!$D$27)),Inputs!$F$27-SQRT((1-P1214)*(Inputs!$F$27-Inputs!$D$27)*(Inputs!$F$27-Inputs!$E$27)))</f>
        <v>125.122549563371</v>
      </c>
      <c r="R1214" s="81" t="n">
        <f aca="true">RAND()</f>
        <v>0.381001403392304</v>
      </c>
      <c r="S1214" s="82" t="n">
        <f aca="false">IF(R1214&lt;(Inputs!$E$29-Inputs!$D$29)/(Inputs!$F$29-Inputs!$D$29),Inputs!$D$29+SQRT(R1214*(Inputs!$F$29-Inputs!$D$29)*(Inputs!$E$29-Inputs!$D$29)),Inputs!$F$29-SQRT((1-R1214)*(Inputs!$F$29-Inputs!$D$29)*(Inputs!$F$29-Inputs!$E$29)))</f>
        <v>6.02950293690475</v>
      </c>
      <c r="T1214" s="68" t="n">
        <f aca="false">Inputs!$E$9*(1+E1214)+Inputs!$E$5*C1214*(Inputs!$E$11*Inputs!$E$14*(G1214*I1214/Inputs!$E$16+(1-G1214))*K1214+Inputs!$E$23*M1214)*(1+O1214)+Inputs!$E$5*(Q1214+S1214)</f>
        <v>6358.805747387</v>
      </c>
    </row>
    <row r="1215" customFormat="false" ht="15" hidden="false" customHeight="false" outlineLevel="0" collapsed="false">
      <c r="A1215" s="1" t="n">
        <v>1211</v>
      </c>
      <c r="B1215" s="81" t="n">
        <f aca="true">RAND()</f>
        <v>0.1334489672341</v>
      </c>
      <c r="C1215" s="82" t="n">
        <f aca="false">ROUND(IF(B1215&lt;(Inputs!$E$8-Inputs!$D$8)/(Inputs!$F$8-Inputs!$D$8),Inputs!$D$8+SQRT(B1215*(Inputs!$F$8-Inputs!$D$8)*(Inputs!$E$8-Inputs!$D$8)),Inputs!$F$8-SQRT((1-B1215)*(Inputs!$F$8-Inputs!$D$8)*(Inputs!$F$8-Inputs!$E$8))),0)</f>
        <v>23</v>
      </c>
      <c r="D1215" s="81" t="n">
        <f aca="true">RAND()</f>
        <v>0.93637473766243</v>
      </c>
      <c r="E1215" s="83" t="n">
        <f aca="false">IF(D1215&lt;(Inputs!$E$10-Inputs!$D$10)/(Inputs!$F$10-Inputs!$D$10),Inputs!$D$10+SQRT(D1215*(Inputs!$F$10-Inputs!$D$10)*(Inputs!$E$10-Inputs!$D$10)),Inputs!$F$10-SQRT((1-D1215)*(Inputs!$F$10-Inputs!$D$10)*(Inputs!$F$10-Inputs!$E$10)))</f>
        <v>0.156310666403262</v>
      </c>
      <c r="F1215" s="81" t="n">
        <f aca="true">RAND()</f>
        <v>0.893202374022766</v>
      </c>
      <c r="G1215" s="83" t="n">
        <f aca="false">IF(F1215&lt;(Inputs!$E$15-Inputs!$D$15)/(Inputs!$F$15-Inputs!$D$15),Inputs!$D$15+SQRT(F1215*(Inputs!$F$15-Inputs!$D$15)*(Inputs!$E$15-Inputs!$D$15)),Inputs!$F$15-SQRT((1-F1215)*(Inputs!$F$15-Inputs!$D$15)*(Inputs!$F$15-Inputs!$E$15)))</f>
        <v>0.753783633639752</v>
      </c>
      <c r="H1215" s="81" t="n">
        <f aca="true">RAND()</f>
        <v>0.505693085824324</v>
      </c>
      <c r="I1215" s="82" t="n">
        <f aca="false">ROUND(IF(H1215&lt;(Inputs!$E$17-Inputs!$D$17)/(Inputs!$F$17-Inputs!$D$17),Inputs!$D$17+SQRT(H1215*(Inputs!$F$17-Inputs!$D$17)*(Inputs!$E$17-Inputs!$D$17)),Inputs!$F$17-SQRT((1-H1215)*(Inputs!$F$17-Inputs!$D$17)*(Inputs!$F$17-Inputs!$E$17))),0)</f>
        <v>106</v>
      </c>
      <c r="J1215" s="81" t="n">
        <f aca="true">RAND()</f>
        <v>0.52678155494124</v>
      </c>
      <c r="K1215" s="83" t="n">
        <f aca="false">IF(J1215&lt;(Inputs!$E$18-Inputs!$D$18)/(Inputs!$F$18-Inputs!$D$18),Inputs!$D$18+SQRT(J1215*(Inputs!$F$18-Inputs!$D$18)*(Inputs!$E$18-Inputs!$D$18)),Inputs!$F$18-SQRT((1-J1215)*(Inputs!$F$18-Inputs!$D$18)*(Inputs!$F$18-Inputs!$E$18)))</f>
        <v>1.04651384827797</v>
      </c>
      <c r="L1215" s="81" t="n">
        <f aca="true">RAND()</f>
        <v>0.534067331775013</v>
      </c>
      <c r="M1215" s="83" t="n">
        <f aca="false">IF(L1215&lt;(Inputs!$E$24-Inputs!$D$24)/(Inputs!$F$24-Inputs!$D$24),Inputs!$D$24+SQRT(L1215*(Inputs!$F$24-Inputs!$D$24)*(Inputs!$E$24-Inputs!$D$24)),Inputs!$F$24-SQRT((1-L1215)*(Inputs!$F$24-Inputs!$D$24)*(Inputs!$F$24-Inputs!$E$24)))</f>
        <v>0.865599281738216</v>
      </c>
      <c r="N1215" s="81" t="n">
        <f aca="true">RAND()</f>
        <v>0.380121579877424</v>
      </c>
      <c r="O1215" s="83" t="n">
        <f aca="false">IF(N1215&lt;(Inputs!$E$26-Inputs!$D$26)/(Inputs!$F$26-Inputs!$D$26),Inputs!$D$26+SQRT(N1215*(Inputs!$F$26-Inputs!$D$26)*(Inputs!$E$26-Inputs!$D$26)),Inputs!$F$26-SQRT((1-N1215)*(Inputs!$F$26-Inputs!$D$26)*(Inputs!$F$26-Inputs!$E$26)))</f>
        <v>0.551499962011137</v>
      </c>
      <c r="P1215" s="81" t="n">
        <f aca="true">RAND()</f>
        <v>0.914416195200233</v>
      </c>
      <c r="Q1215" s="82" t="n">
        <f aca="false">IF(P1215&lt;(Inputs!$E$27-Inputs!$D$27)/(Inputs!$F$27-Inputs!$D$27),Inputs!$D$27+SQRT(P1215*(Inputs!$F$27-Inputs!$D$27)*(Inputs!$E$27-Inputs!$D$27)),Inputs!$F$27-SQRT((1-P1215)*(Inputs!$F$27-Inputs!$D$27)*(Inputs!$F$27-Inputs!$E$27)))</f>
        <v>124.664678095626</v>
      </c>
      <c r="R1215" s="81" t="n">
        <f aca="true">RAND()</f>
        <v>0.400253826473689</v>
      </c>
      <c r="S1215" s="82" t="n">
        <f aca="false">IF(R1215&lt;(Inputs!$E$29-Inputs!$D$29)/(Inputs!$F$29-Inputs!$D$29),Inputs!$D$29+SQRT(R1215*(Inputs!$F$29-Inputs!$D$29)*(Inputs!$E$29-Inputs!$D$29)),Inputs!$F$29-SQRT((1-R1215)*(Inputs!$F$29-Inputs!$D$29)*(Inputs!$F$29-Inputs!$E$29)))</f>
        <v>6.17010744355174</v>
      </c>
      <c r="T1215" s="68" t="n">
        <f aca="false">Inputs!$E$9*(1+E1215)+Inputs!$E$5*C1215*(Inputs!$E$11*Inputs!$E$14*(G1215*I1215/Inputs!$E$16+(1-G1215))*K1215+Inputs!$E$23*M1215)*(1+O1215)+Inputs!$E$5*(Q1215+S1215)</f>
        <v>6249.51871172039</v>
      </c>
    </row>
    <row r="1216" customFormat="false" ht="15" hidden="false" customHeight="false" outlineLevel="0" collapsed="false">
      <c r="A1216" s="1" t="n">
        <v>1212</v>
      </c>
      <c r="B1216" s="81" t="n">
        <f aca="true">RAND()</f>
        <v>0.948096613746204</v>
      </c>
      <c r="C1216" s="82" t="n">
        <f aca="false">ROUND(IF(B1216&lt;(Inputs!$E$8-Inputs!$D$8)/(Inputs!$F$8-Inputs!$D$8),Inputs!$D$8+SQRT(B1216*(Inputs!$F$8-Inputs!$D$8)*(Inputs!$E$8-Inputs!$D$8)),Inputs!$F$8-SQRT((1-B1216)*(Inputs!$F$8-Inputs!$D$8)*(Inputs!$F$8-Inputs!$E$8))),0)</f>
        <v>28</v>
      </c>
      <c r="D1216" s="81" t="n">
        <f aca="true">RAND()</f>
        <v>0.228583374667724</v>
      </c>
      <c r="E1216" s="83" t="n">
        <f aca="false">IF(D1216&lt;(Inputs!$E$10-Inputs!$D$10)/(Inputs!$F$10-Inputs!$D$10),Inputs!$D$10+SQRT(D1216*(Inputs!$F$10-Inputs!$D$10)*(Inputs!$E$10-Inputs!$D$10)),Inputs!$F$10-SQRT((1-D1216)*(Inputs!$F$10-Inputs!$D$10)*(Inputs!$F$10-Inputs!$E$10)))</f>
        <v>0.0478103937097075</v>
      </c>
      <c r="F1216" s="81" t="n">
        <f aca="true">RAND()</f>
        <v>0.00284397114913881</v>
      </c>
      <c r="G1216" s="83" t="n">
        <f aca="false">IF(F1216&lt;(Inputs!$E$15-Inputs!$D$15)/(Inputs!$F$15-Inputs!$D$15),Inputs!$D$15+SQRT(F1216*(Inputs!$F$15-Inputs!$D$15)*(Inputs!$E$15-Inputs!$D$15)),Inputs!$F$15-SQRT((1-F1216)*(Inputs!$F$15-Inputs!$D$15)*(Inputs!$F$15-Inputs!$E$15)))</f>
        <v>0.607541844799701</v>
      </c>
      <c r="H1216" s="81" t="n">
        <f aca="true">RAND()</f>
        <v>0.817651306326569</v>
      </c>
      <c r="I1216" s="82" t="n">
        <f aca="false">ROUND(IF(H1216&lt;(Inputs!$E$17-Inputs!$D$17)/(Inputs!$F$17-Inputs!$D$17),Inputs!$D$17+SQRT(H1216*(Inputs!$F$17-Inputs!$D$17)*(Inputs!$E$17-Inputs!$D$17)),Inputs!$F$17-SQRT((1-H1216)*(Inputs!$F$17-Inputs!$D$17)*(Inputs!$F$17-Inputs!$E$17))),0)</f>
        <v>110</v>
      </c>
      <c r="J1216" s="81" t="n">
        <f aca="true">RAND()</f>
        <v>0.681607911990561</v>
      </c>
      <c r="K1216" s="83" t="n">
        <f aca="false">IF(J1216&lt;(Inputs!$E$18-Inputs!$D$18)/(Inputs!$F$18-Inputs!$D$18),Inputs!$D$18+SQRT(J1216*(Inputs!$F$18-Inputs!$D$18)*(Inputs!$E$18-Inputs!$D$18)),Inputs!$F$18-SQRT((1-J1216)*(Inputs!$F$18-Inputs!$D$18)*(Inputs!$F$18-Inputs!$E$18)))</f>
        <v>1.08308892277375</v>
      </c>
      <c r="L1216" s="81" t="n">
        <f aca="true">RAND()</f>
        <v>0.891372364171451</v>
      </c>
      <c r="M1216" s="83" t="n">
        <f aca="false">IF(L1216&lt;(Inputs!$E$24-Inputs!$D$24)/(Inputs!$F$24-Inputs!$D$24),Inputs!$D$24+SQRT(L1216*(Inputs!$F$24-Inputs!$D$24)*(Inputs!$E$24-Inputs!$D$24)),Inputs!$F$24-SQRT((1-L1216)*(Inputs!$F$24-Inputs!$D$24)*(Inputs!$F$24-Inputs!$E$24)))</f>
        <v>1.03853597119218</v>
      </c>
      <c r="N1216" s="81" t="n">
        <f aca="true">RAND()</f>
        <v>0.942282703965964</v>
      </c>
      <c r="O1216" s="83" t="n">
        <f aca="false">IF(N1216&lt;(Inputs!$E$26-Inputs!$D$26)/(Inputs!$F$26-Inputs!$D$26),Inputs!$D$26+SQRT(N1216*(Inputs!$F$26-Inputs!$D$26)*(Inputs!$E$26-Inputs!$D$26)),Inputs!$F$26-SQRT((1-N1216)*(Inputs!$F$26-Inputs!$D$26)*(Inputs!$F$26-Inputs!$E$26)))</f>
        <v>0.742523559790477</v>
      </c>
      <c r="P1216" s="81" t="n">
        <f aca="true">RAND()</f>
        <v>0.447145009052351</v>
      </c>
      <c r="Q1216" s="82" t="n">
        <f aca="false">IF(P1216&lt;(Inputs!$E$27-Inputs!$D$27)/(Inputs!$F$27-Inputs!$D$27),Inputs!$D$27+SQRT(P1216*(Inputs!$F$27-Inputs!$D$27)*(Inputs!$E$27-Inputs!$D$27)),Inputs!$F$27-SQRT((1-P1216)*(Inputs!$F$27-Inputs!$D$27)*(Inputs!$F$27-Inputs!$E$27)))</f>
        <v>85.6073573138408</v>
      </c>
      <c r="R1216" s="81" t="n">
        <f aca="true">RAND()</f>
        <v>0.936145610371663</v>
      </c>
      <c r="S1216" s="82" t="n">
        <f aca="false">IF(R1216&lt;(Inputs!$E$29-Inputs!$D$29)/(Inputs!$F$29-Inputs!$D$29),Inputs!$D$29+SQRT(R1216*(Inputs!$F$29-Inputs!$D$29)*(Inputs!$E$29-Inputs!$D$29)),Inputs!$F$29-SQRT((1-R1216)*(Inputs!$F$29-Inputs!$D$29)*(Inputs!$F$29-Inputs!$E$29)))</f>
        <v>12.1188421335019</v>
      </c>
      <c r="T1216" s="68" t="n">
        <f aca="false">Inputs!$E$9*(1+E1216)+Inputs!$E$5*C1216*(Inputs!$E$11*Inputs!$E$14*(G1216*I1216/Inputs!$E$16+(1-G1216))*K1216+Inputs!$E$23*M1216)*(1+O1216)+Inputs!$E$5*(Q1216+S1216)</f>
        <v>7667.63105114248</v>
      </c>
    </row>
    <row r="1217" customFormat="false" ht="15" hidden="false" customHeight="false" outlineLevel="0" collapsed="false">
      <c r="A1217" s="1" t="n">
        <v>1213</v>
      </c>
      <c r="B1217" s="81" t="n">
        <f aca="true">RAND()</f>
        <v>0.396154639699937</v>
      </c>
      <c r="C1217" s="82" t="n">
        <f aca="false">ROUND(IF(B1217&lt;(Inputs!$E$8-Inputs!$D$8)/(Inputs!$F$8-Inputs!$D$8),Inputs!$D$8+SQRT(B1217*(Inputs!$F$8-Inputs!$D$8)*(Inputs!$E$8-Inputs!$D$8)),Inputs!$F$8-SQRT((1-B1217)*(Inputs!$F$8-Inputs!$D$8)*(Inputs!$F$8-Inputs!$E$8))),0)</f>
        <v>24</v>
      </c>
      <c r="D1217" s="81" t="n">
        <f aca="true">RAND()</f>
        <v>0.797826695852634</v>
      </c>
      <c r="E1217" s="83" t="n">
        <f aca="false">IF(D1217&lt;(Inputs!$E$10-Inputs!$D$10)/(Inputs!$F$10-Inputs!$D$10),Inputs!$D$10+SQRT(D1217*(Inputs!$F$10-Inputs!$D$10)*(Inputs!$E$10-Inputs!$D$10)),Inputs!$F$10-SQRT((1-D1217)*(Inputs!$F$10-Inputs!$D$10)*(Inputs!$F$10-Inputs!$E$10)))</f>
        <v>0.122120611684342</v>
      </c>
      <c r="F1217" s="81" t="n">
        <f aca="true">RAND()</f>
        <v>0.709933395667433</v>
      </c>
      <c r="G1217" s="83" t="n">
        <f aca="false">IF(F1217&lt;(Inputs!$E$15-Inputs!$D$15)/(Inputs!$F$15-Inputs!$D$15),Inputs!$D$15+SQRT(F1217*(Inputs!$F$15-Inputs!$D$15)*(Inputs!$E$15-Inputs!$D$15)),Inputs!$F$15-SQRT((1-F1217)*(Inputs!$F$15-Inputs!$D$15)*(Inputs!$F$15-Inputs!$E$15)))</f>
        <v>0.72383352386613</v>
      </c>
      <c r="H1217" s="81" t="n">
        <f aca="true">RAND()</f>
        <v>0.329634937112579</v>
      </c>
      <c r="I1217" s="82" t="n">
        <f aca="false">ROUND(IF(H1217&lt;(Inputs!$E$17-Inputs!$D$17)/(Inputs!$F$17-Inputs!$D$17),Inputs!$D$17+SQRT(H1217*(Inputs!$F$17-Inputs!$D$17)*(Inputs!$E$17-Inputs!$D$17)),Inputs!$F$17-SQRT((1-H1217)*(Inputs!$F$17-Inputs!$D$17)*(Inputs!$F$17-Inputs!$E$17))),0)</f>
        <v>105</v>
      </c>
      <c r="J1217" s="81" t="n">
        <f aca="true">RAND()</f>
        <v>0.493748611727344</v>
      </c>
      <c r="K1217" s="83" t="n">
        <f aca="false">IF(J1217&lt;(Inputs!$E$18-Inputs!$D$18)/(Inputs!$F$18-Inputs!$D$18),Inputs!$D$18+SQRT(J1217*(Inputs!$F$18-Inputs!$D$18)*(Inputs!$E$18-Inputs!$D$18)),Inputs!$F$18-SQRT((1-J1217)*(Inputs!$F$18-Inputs!$D$18)*(Inputs!$F$18-Inputs!$E$18)))</f>
        <v>1.03953148341413</v>
      </c>
      <c r="L1217" s="81" t="n">
        <f aca="true">RAND()</f>
        <v>0.803577405706437</v>
      </c>
      <c r="M1217" s="83" t="n">
        <f aca="false">IF(L1217&lt;(Inputs!$E$24-Inputs!$D$24)/(Inputs!$F$24-Inputs!$D$24),Inputs!$D$24+SQRT(L1217*(Inputs!$F$24-Inputs!$D$24)*(Inputs!$E$24-Inputs!$D$24)),Inputs!$F$24-SQRT((1-L1217)*(Inputs!$F$24-Inputs!$D$24)*(Inputs!$F$24-Inputs!$E$24)))</f>
        <v>0.982879244127939</v>
      </c>
      <c r="N1217" s="81" t="n">
        <f aca="true">RAND()</f>
        <v>0.880015684499301</v>
      </c>
      <c r="O1217" s="83" t="n">
        <f aca="false">IF(N1217&lt;(Inputs!$E$26-Inputs!$D$26)/(Inputs!$F$26-Inputs!$D$26),Inputs!$D$26+SQRT(N1217*(Inputs!$F$26-Inputs!$D$26)*(Inputs!$E$26-Inputs!$D$26)),Inputs!$F$26-SQRT((1-N1217)*(Inputs!$F$26-Inputs!$D$26)*(Inputs!$F$26-Inputs!$E$26)))</f>
        <v>0.70829338062553</v>
      </c>
      <c r="P1217" s="81" t="n">
        <f aca="true">RAND()</f>
        <v>0.303373623243463</v>
      </c>
      <c r="Q1217" s="82" t="n">
        <f aca="false">IF(P1217&lt;(Inputs!$E$27-Inputs!$D$27)/(Inputs!$F$27-Inputs!$D$27),Inputs!$D$27+SQRT(P1217*(Inputs!$F$27-Inputs!$D$27)*(Inputs!$E$27-Inputs!$D$27)),Inputs!$F$27-SQRT((1-P1217)*(Inputs!$F$27-Inputs!$D$27)*(Inputs!$F$27-Inputs!$E$27)))</f>
        <v>77.717928739735</v>
      </c>
      <c r="R1217" s="81" t="n">
        <f aca="true">RAND()</f>
        <v>0.706516601724587</v>
      </c>
      <c r="S1217" s="82" t="n">
        <f aca="false">IF(R1217&lt;(Inputs!$E$29-Inputs!$D$29)/(Inputs!$F$29-Inputs!$D$29),Inputs!$D$29+SQRT(R1217*(Inputs!$F$29-Inputs!$D$29)*(Inputs!$E$29-Inputs!$D$29)),Inputs!$F$29-SQRT((1-R1217)*(Inputs!$F$29-Inputs!$D$29)*(Inputs!$F$29-Inputs!$E$29)))</f>
        <v>8.82320133274496</v>
      </c>
      <c r="T1217" s="68" t="n">
        <f aca="false">Inputs!$E$9*(1+E1217)+Inputs!$E$5*C1217*(Inputs!$E$11*Inputs!$E$14*(G1217*I1217/Inputs!$E$16+(1-G1217))*K1217+Inputs!$E$23*M1217)*(1+O1217)+Inputs!$E$5*(Q1217+S1217)</f>
        <v>6592.90248297128</v>
      </c>
    </row>
    <row r="1218" customFormat="false" ht="15" hidden="false" customHeight="false" outlineLevel="0" collapsed="false">
      <c r="A1218" s="1" t="n">
        <v>1214</v>
      </c>
      <c r="B1218" s="81" t="n">
        <f aca="true">RAND()</f>
        <v>0.484646772549442</v>
      </c>
      <c r="C1218" s="82" t="n">
        <f aca="false">ROUND(IF(B1218&lt;(Inputs!$E$8-Inputs!$D$8)/(Inputs!$F$8-Inputs!$D$8),Inputs!$D$8+SQRT(B1218*(Inputs!$F$8-Inputs!$D$8)*(Inputs!$E$8-Inputs!$D$8)),Inputs!$F$8-SQRT((1-B1218)*(Inputs!$F$8-Inputs!$D$8)*(Inputs!$F$8-Inputs!$E$8))),0)</f>
        <v>25</v>
      </c>
      <c r="D1218" s="81" t="n">
        <f aca="true">RAND()</f>
        <v>0.69458546801039</v>
      </c>
      <c r="E1218" s="83" t="n">
        <f aca="false">IF(D1218&lt;(Inputs!$E$10-Inputs!$D$10)/(Inputs!$F$10-Inputs!$D$10),Inputs!$D$10+SQRT(D1218*(Inputs!$F$10-Inputs!$D$10)*(Inputs!$E$10-Inputs!$D$10)),Inputs!$F$10-SQRT((1-D1218)*(Inputs!$F$10-Inputs!$D$10)*(Inputs!$F$10-Inputs!$E$10)))</f>
        <v>0.104279385920857</v>
      </c>
      <c r="F1218" s="81" t="n">
        <f aca="true">RAND()</f>
        <v>0.533180596359587</v>
      </c>
      <c r="G1218" s="83" t="n">
        <f aca="false">IF(F1218&lt;(Inputs!$E$15-Inputs!$D$15)/(Inputs!$F$15-Inputs!$D$15),Inputs!$D$15+SQRT(F1218*(Inputs!$F$15-Inputs!$D$15)*(Inputs!$E$15-Inputs!$D$15)),Inputs!$F$15-SQRT((1-F1218)*(Inputs!$F$15-Inputs!$D$15)*(Inputs!$F$15-Inputs!$E$15)))</f>
        <v>0.703375013206685</v>
      </c>
      <c r="H1218" s="81" t="n">
        <f aca="true">RAND()</f>
        <v>0.59951083733836</v>
      </c>
      <c r="I1218" s="82" t="n">
        <f aca="false">ROUND(IF(H1218&lt;(Inputs!$E$17-Inputs!$D$17)/(Inputs!$F$17-Inputs!$D$17),Inputs!$D$17+SQRT(H1218*(Inputs!$F$17-Inputs!$D$17)*(Inputs!$E$17-Inputs!$D$17)),Inputs!$F$17-SQRT((1-H1218)*(Inputs!$F$17-Inputs!$D$17)*(Inputs!$F$17-Inputs!$E$17))),0)</f>
        <v>107</v>
      </c>
      <c r="J1218" s="81" t="n">
        <f aca="true">RAND()</f>
        <v>0.0286604547840774</v>
      </c>
      <c r="K1218" s="83" t="n">
        <f aca="false">IF(J1218&lt;(Inputs!$E$18-Inputs!$D$18)/(Inputs!$F$18-Inputs!$D$18),Inputs!$D$18+SQRT(J1218*(Inputs!$F$18-Inputs!$D$18)*(Inputs!$E$18-Inputs!$D$18)),Inputs!$F$18-SQRT((1-J1218)*(Inputs!$F$18-Inputs!$D$18)*(Inputs!$F$18-Inputs!$E$18)))</f>
        <v>0.931672005263998</v>
      </c>
      <c r="L1218" s="81" t="n">
        <f aca="true">RAND()</f>
        <v>0.0823134084874991</v>
      </c>
      <c r="M1218" s="83" t="n">
        <f aca="false">IF(L1218&lt;(Inputs!$E$24-Inputs!$D$24)/(Inputs!$F$24-Inputs!$D$24),Inputs!$D$24+SQRT(L1218*(Inputs!$F$24-Inputs!$D$24)*(Inputs!$E$24-Inputs!$D$24)),Inputs!$F$24-SQRT((1-L1218)*(Inputs!$F$24-Inputs!$D$24)*(Inputs!$F$24-Inputs!$E$24)))</f>
        <v>0.699386161101533</v>
      </c>
      <c r="N1218" s="81" t="n">
        <f aca="true">RAND()</f>
        <v>0.462283933199737</v>
      </c>
      <c r="O1218" s="83" t="n">
        <f aca="false">IF(N1218&lt;(Inputs!$E$26-Inputs!$D$26)/(Inputs!$F$26-Inputs!$D$26),Inputs!$D$26+SQRT(N1218*(Inputs!$F$26-Inputs!$D$26)*(Inputs!$E$26-Inputs!$D$26)),Inputs!$F$26-SQRT((1-N1218)*(Inputs!$F$26-Inputs!$D$26)*(Inputs!$F$26-Inputs!$E$26)))</f>
        <v>0.577351846008705</v>
      </c>
      <c r="P1218" s="81" t="n">
        <f aca="true">RAND()</f>
        <v>0.613550032517959</v>
      </c>
      <c r="Q1218" s="82" t="n">
        <f aca="false">IF(P1218&lt;(Inputs!$E$27-Inputs!$D$27)/(Inputs!$F$27-Inputs!$D$27),Inputs!$D$27+SQRT(P1218*(Inputs!$F$27-Inputs!$D$27)*(Inputs!$E$27-Inputs!$D$27)),Inputs!$F$27-SQRT((1-P1218)*(Inputs!$F$27-Inputs!$D$27)*(Inputs!$F$27-Inputs!$E$27)))</f>
        <v>96.1634440541066</v>
      </c>
      <c r="R1218" s="81" t="n">
        <f aca="true">RAND()</f>
        <v>0.61816145809957</v>
      </c>
      <c r="S1218" s="82" t="n">
        <f aca="false">IF(R1218&lt;(Inputs!$E$29-Inputs!$D$29)/(Inputs!$F$29-Inputs!$D$29),Inputs!$D$29+SQRT(R1218*(Inputs!$F$29-Inputs!$D$29)*(Inputs!$E$29-Inputs!$D$29)),Inputs!$F$29-SQRT((1-R1218)*(Inputs!$F$29-Inputs!$D$29)*(Inputs!$F$29-Inputs!$E$29)))</f>
        <v>7.9545042440538</v>
      </c>
      <c r="T1218" s="68" t="n">
        <f aca="false">Inputs!$E$9*(1+E1218)+Inputs!$E$5*C1218*(Inputs!$E$11*Inputs!$E$14*(G1218*I1218/Inputs!$E$16+(1-G1218))*K1218+Inputs!$E$23*M1218)*(1+O1218)+Inputs!$E$5*(Q1218+S1218)</f>
        <v>5923.56342281368</v>
      </c>
    </row>
    <row r="1219" customFormat="false" ht="15" hidden="false" customHeight="false" outlineLevel="0" collapsed="false">
      <c r="A1219" s="1" t="n">
        <v>1215</v>
      </c>
      <c r="B1219" s="81" t="n">
        <f aca="true">RAND()</f>
        <v>0.245369853588853</v>
      </c>
      <c r="C1219" s="82" t="n">
        <f aca="false">ROUND(IF(B1219&lt;(Inputs!$E$8-Inputs!$D$8)/(Inputs!$F$8-Inputs!$D$8),Inputs!$D$8+SQRT(B1219*(Inputs!$F$8-Inputs!$D$8)*(Inputs!$E$8-Inputs!$D$8)),Inputs!$F$8-SQRT((1-B1219)*(Inputs!$F$8-Inputs!$D$8)*(Inputs!$F$8-Inputs!$E$8))),0)</f>
        <v>24</v>
      </c>
      <c r="D1219" s="81" t="n">
        <f aca="true">RAND()</f>
        <v>0.0142145831861192</v>
      </c>
      <c r="E1219" s="83" t="n">
        <f aca="false">IF(D1219&lt;(Inputs!$E$10-Inputs!$D$10)/(Inputs!$F$10-Inputs!$D$10),Inputs!$D$10+SQRT(D1219*(Inputs!$F$10-Inputs!$D$10)*(Inputs!$E$10-Inputs!$D$10)),Inputs!$F$10-SQRT((1-D1219)*(Inputs!$F$10-Inputs!$D$10)*(Inputs!$F$10-Inputs!$E$10)))</f>
        <v>0.0119224926865648</v>
      </c>
      <c r="F1219" s="81" t="n">
        <f aca="true">RAND()</f>
        <v>0.630033498277089</v>
      </c>
      <c r="G1219" s="83" t="n">
        <f aca="false">IF(F1219&lt;(Inputs!$E$15-Inputs!$D$15)/(Inputs!$F$15-Inputs!$D$15),Inputs!$D$15+SQRT(F1219*(Inputs!$F$15-Inputs!$D$15)*(Inputs!$E$15-Inputs!$D$15)),Inputs!$F$15-SQRT((1-F1219)*(Inputs!$F$15-Inputs!$D$15)*(Inputs!$F$15-Inputs!$E$15)))</f>
        <v>0.71398064151333</v>
      </c>
      <c r="H1219" s="81" t="n">
        <f aca="true">RAND()</f>
        <v>0.736775583729782</v>
      </c>
      <c r="I1219" s="82" t="n">
        <f aca="false">ROUND(IF(H1219&lt;(Inputs!$E$17-Inputs!$D$17)/(Inputs!$F$17-Inputs!$D$17),Inputs!$D$17+SQRT(H1219*(Inputs!$F$17-Inputs!$D$17)*(Inputs!$E$17-Inputs!$D$17)),Inputs!$F$17-SQRT((1-H1219)*(Inputs!$F$17-Inputs!$D$17)*(Inputs!$F$17-Inputs!$E$17))),0)</f>
        <v>109</v>
      </c>
      <c r="J1219" s="81" t="n">
        <f aca="true">RAND()</f>
        <v>0.976839228510676</v>
      </c>
      <c r="K1219" s="83" t="n">
        <f aca="false">IF(J1219&lt;(Inputs!$E$18-Inputs!$D$18)/(Inputs!$F$18-Inputs!$D$18),Inputs!$D$18+SQRT(J1219*(Inputs!$F$18-Inputs!$D$18)*(Inputs!$E$18-Inputs!$D$18)),Inputs!$F$18-SQRT((1-J1219)*(Inputs!$F$18-Inputs!$D$18)*(Inputs!$F$18-Inputs!$E$18)))</f>
        <v>1.20498258664344</v>
      </c>
      <c r="L1219" s="81" t="n">
        <f aca="true">RAND()</f>
        <v>0.29273208869663</v>
      </c>
      <c r="M1219" s="83" t="n">
        <f aca="false">IF(L1219&lt;(Inputs!$E$24-Inputs!$D$24)/(Inputs!$F$24-Inputs!$D$24),Inputs!$D$24+SQRT(L1219*(Inputs!$F$24-Inputs!$D$24)*(Inputs!$E$24-Inputs!$D$24)),Inputs!$F$24-SQRT((1-L1219)*(Inputs!$F$24-Inputs!$D$24)*(Inputs!$F$24-Inputs!$E$24)))</f>
        <v>0.787424253082667</v>
      </c>
      <c r="N1219" s="81" t="n">
        <f aca="true">RAND()</f>
        <v>0.477775214239702</v>
      </c>
      <c r="O1219" s="83" t="n">
        <f aca="false">IF(N1219&lt;(Inputs!$E$26-Inputs!$D$26)/(Inputs!$F$26-Inputs!$D$26),Inputs!$D$26+SQRT(N1219*(Inputs!$F$26-Inputs!$D$26)*(Inputs!$E$26-Inputs!$D$26)),Inputs!$F$26-SQRT((1-N1219)*(Inputs!$F$26-Inputs!$D$26)*(Inputs!$F$26-Inputs!$E$26)))</f>
        <v>0.581960627835672</v>
      </c>
      <c r="P1219" s="81" t="n">
        <f aca="true">RAND()</f>
        <v>0.404043188383031</v>
      </c>
      <c r="Q1219" s="82" t="n">
        <f aca="false">IF(P1219&lt;(Inputs!$E$27-Inputs!$D$27)/(Inputs!$F$27-Inputs!$D$27),Inputs!$D$27+SQRT(P1219*(Inputs!$F$27-Inputs!$D$27)*(Inputs!$E$27-Inputs!$D$27)),Inputs!$F$27-SQRT((1-P1219)*(Inputs!$F$27-Inputs!$D$27)*(Inputs!$F$27-Inputs!$E$27)))</f>
        <v>83.144363834249</v>
      </c>
      <c r="R1219" s="81" t="n">
        <f aca="true">RAND()</f>
        <v>0.305418099900452</v>
      </c>
      <c r="S1219" s="82" t="n">
        <f aca="false">IF(R1219&lt;(Inputs!$E$29-Inputs!$D$29)/(Inputs!$F$29-Inputs!$D$29),Inputs!$D$29+SQRT(R1219*(Inputs!$F$29-Inputs!$D$29)*(Inputs!$E$29-Inputs!$D$29)),Inputs!$F$29-SQRT((1-R1219)*(Inputs!$F$29-Inputs!$D$29)*(Inputs!$F$29-Inputs!$E$29)))</f>
        <v>5.49759782934119</v>
      </c>
      <c r="T1219" s="68" t="n">
        <f aca="false">Inputs!$E$9*(1+E1219)+Inputs!$E$5*C1219*(Inputs!$E$11*Inputs!$E$14*(G1219*I1219/Inputs!$E$16+(1-G1219))*K1219+Inputs!$E$23*M1219)*(1+O1219)+Inputs!$E$5*(Q1219+S1219)</f>
        <v>6225.15448113892</v>
      </c>
    </row>
    <row r="1220" customFormat="false" ht="15" hidden="false" customHeight="false" outlineLevel="0" collapsed="false">
      <c r="A1220" s="1" t="n">
        <v>1216</v>
      </c>
      <c r="B1220" s="81" t="n">
        <f aca="true">RAND()</f>
        <v>0.231704419187765</v>
      </c>
      <c r="C1220" s="82" t="n">
        <f aca="false">ROUND(IF(B1220&lt;(Inputs!$E$8-Inputs!$D$8)/(Inputs!$F$8-Inputs!$D$8),Inputs!$D$8+SQRT(B1220*(Inputs!$F$8-Inputs!$D$8)*(Inputs!$E$8-Inputs!$D$8)),Inputs!$F$8-SQRT((1-B1220)*(Inputs!$F$8-Inputs!$D$8)*(Inputs!$F$8-Inputs!$E$8))),0)</f>
        <v>23</v>
      </c>
      <c r="D1220" s="81" t="n">
        <f aca="true">RAND()</f>
        <v>0.549822269064824</v>
      </c>
      <c r="E1220" s="83" t="n">
        <f aca="false">IF(D1220&lt;(Inputs!$E$10-Inputs!$D$10)/(Inputs!$F$10-Inputs!$D$10),Inputs!$D$10+SQRT(D1220*(Inputs!$F$10-Inputs!$D$10)*(Inputs!$E$10-Inputs!$D$10)),Inputs!$F$10-SQRT((1-D1220)*(Inputs!$F$10-Inputs!$D$10)*(Inputs!$F$10-Inputs!$E$10)))</f>
        <v>0.0837875569138344</v>
      </c>
      <c r="F1220" s="81" t="n">
        <f aca="true">RAND()</f>
        <v>0.436042315171818</v>
      </c>
      <c r="G1220" s="83" t="n">
        <f aca="false">IF(F1220&lt;(Inputs!$E$15-Inputs!$D$15)/(Inputs!$F$15-Inputs!$D$15),Inputs!$D$15+SQRT(F1220*(Inputs!$F$15-Inputs!$D$15)*(Inputs!$E$15-Inputs!$D$15)),Inputs!$F$15-SQRT((1-F1220)*(Inputs!$F$15-Inputs!$D$15)*(Inputs!$F$15-Inputs!$E$15)))</f>
        <v>0.693385471586518</v>
      </c>
      <c r="H1220" s="81" t="n">
        <f aca="true">RAND()</f>
        <v>0.713800970056991</v>
      </c>
      <c r="I1220" s="82" t="n">
        <f aca="false">ROUND(IF(H1220&lt;(Inputs!$E$17-Inputs!$D$17)/(Inputs!$F$17-Inputs!$D$17),Inputs!$D$17+SQRT(H1220*(Inputs!$F$17-Inputs!$D$17)*(Inputs!$E$17-Inputs!$D$17)),Inputs!$F$17-SQRT((1-H1220)*(Inputs!$F$17-Inputs!$D$17)*(Inputs!$F$17-Inputs!$E$17))),0)</f>
        <v>108</v>
      </c>
      <c r="J1220" s="81" t="n">
        <f aca="true">RAND()</f>
        <v>0.375092317201922</v>
      </c>
      <c r="K1220" s="83" t="n">
        <f aca="false">IF(J1220&lt;(Inputs!$E$18-Inputs!$D$18)/(Inputs!$F$18-Inputs!$D$18),Inputs!$D$18+SQRT(J1220*(Inputs!$F$18-Inputs!$D$18)*(Inputs!$E$18-Inputs!$D$18)),Inputs!$F$18-SQRT((1-J1220)*(Inputs!$F$18-Inputs!$D$18)*(Inputs!$F$18-Inputs!$E$18)))</f>
        <v>1.01616368493146</v>
      </c>
      <c r="L1220" s="81" t="n">
        <f aca="true">RAND()</f>
        <v>0.287117562668068</v>
      </c>
      <c r="M1220" s="83" t="n">
        <f aca="false">IF(L1220&lt;(Inputs!$E$24-Inputs!$D$24)/(Inputs!$F$24-Inputs!$D$24),Inputs!$D$24+SQRT(L1220*(Inputs!$F$24-Inputs!$D$24)*(Inputs!$E$24-Inputs!$D$24)),Inputs!$F$24-SQRT((1-L1220)*(Inputs!$F$24-Inputs!$D$24)*(Inputs!$F$24-Inputs!$E$24)))</f>
        <v>0.785618176696595</v>
      </c>
      <c r="N1220" s="81" t="n">
        <f aca="true">RAND()</f>
        <v>0.115840609647119</v>
      </c>
      <c r="O1220" s="83" t="n">
        <f aca="false">IF(N1220&lt;(Inputs!$E$26-Inputs!$D$26)/(Inputs!$F$26-Inputs!$D$26),Inputs!$D$26+SQRT(N1220*(Inputs!$F$26-Inputs!$D$26)*(Inputs!$E$26-Inputs!$D$26)),Inputs!$F$26-SQRT((1-N1220)*(Inputs!$F$26-Inputs!$D$26)*(Inputs!$F$26-Inputs!$E$26)))</f>
        <v>0.438837593775175</v>
      </c>
      <c r="P1220" s="81" t="n">
        <f aca="true">RAND()</f>
        <v>0.118891932621656</v>
      </c>
      <c r="Q1220" s="82" t="n">
        <f aca="false">IF(P1220&lt;(Inputs!$E$27-Inputs!$D$27)/(Inputs!$F$27-Inputs!$D$27),Inputs!$D$27+SQRT(P1220*(Inputs!$F$27-Inputs!$D$27)*(Inputs!$E$27-Inputs!$D$27)),Inputs!$F$27-SQRT((1-P1220)*(Inputs!$F$27-Inputs!$D$27)*(Inputs!$F$27-Inputs!$E$27)))</f>
        <v>67.2403547397999</v>
      </c>
      <c r="R1220" s="81" t="n">
        <f aca="true">RAND()</f>
        <v>0.549054735271539</v>
      </c>
      <c r="S1220" s="82" t="n">
        <f aca="false">IF(R1220&lt;(Inputs!$E$29-Inputs!$D$29)/(Inputs!$F$29-Inputs!$D$29),Inputs!$D$29+SQRT(R1220*(Inputs!$F$29-Inputs!$D$29)*(Inputs!$E$29-Inputs!$D$29)),Inputs!$F$29-SQRT((1-R1220)*(Inputs!$F$29-Inputs!$D$29)*(Inputs!$F$29-Inputs!$E$29)))</f>
        <v>7.34344173830696</v>
      </c>
      <c r="T1220" s="68" t="n">
        <f aca="false">Inputs!$E$9*(1+E1220)+Inputs!$E$5*C1220*(Inputs!$E$11*Inputs!$E$14*(G1220*I1220/Inputs!$E$16+(1-G1220))*K1220+Inputs!$E$23*M1220)*(1+O1220)+Inputs!$E$5*(Q1220+S1220)</f>
        <v>5526.52278619213</v>
      </c>
    </row>
    <row r="1221" customFormat="false" ht="15" hidden="false" customHeight="false" outlineLevel="0" collapsed="false">
      <c r="A1221" s="1" t="n">
        <v>1217</v>
      </c>
      <c r="B1221" s="81" t="n">
        <f aca="true">RAND()</f>
        <v>0.712366442174193</v>
      </c>
      <c r="C1221" s="82" t="n">
        <f aca="false">ROUND(IF(B1221&lt;(Inputs!$E$8-Inputs!$D$8)/(Inputs!$F$8-Inputs!$D$8),Inputs!$D$8+SQRT(B1221*(Inputs!$F$8-Inputs!$D$8)*(Inputs!$E$8-Inputs!$D$8)),Inputs!$F$8-SQRT((1-B1221)*(Inputs!$F$8-Inputs!$D$8)*(Inputs!$F$8-Inputs!$E$8))),0)</f>
        <v>26</v>
      </c>
      <c r="D1221" s="81" t="n">
        <f aca="true">RAND()</f>
        <v>0.0021030718302145</v>
      </c>
      <c r="E1221" s="83" t="n">
        <f aca="false">IF(D1221&lt;(Inputs!$E$10-Inputs!$D$10)/(Inputs!$F$10-Inputs!$D$10),Inputs!$D$10+SQRT(D1221*(Inputs!$F$10-Inputs!$D$10)*(Inputs!$E$10-Inputs!$D$10)),Inputs!$F$10-SQRT((1-D1221)*(Inputs!$F$10-Inputs!$D$10)*(Inputs!$F$10-Inputs!$E$10)))</f>
        <v>0.00458592611171888</v>
      </c>
      <c r="F1221" s="81" t="n">
        <f aca="true">RAND()</f>
        <v>0.980872379406551</v>
      </c>
      <c r="G1221" s="83" t="n">
        <f aca="false">IF(F1221&lt;(Inputs!$E$15-Inputs!$D$15)/(Inputs!$F$15-Inputs!$D$15),Inputs!$D$15+SQRT(F1221*(Inputs!$F$15-Inputs!$D$15)*(Inputs!$E$15-Inputs!$D$15)),Inputs!$F$15-SQRT((1-F1221)*(Inputs!$F$15-Inputs!$D$15)*(Inputs!$F$15-Inputs!$E$15)))</f>
        <v>0.780441052894673</v>
      </c>
      <c r="H1221" s="81" t="n">
        <f aca="true">RAND()</f>
        <v>0.262920546024903</v>
      </c>
      <c r="I1221" s="82" t="n">
        <f aca="false">ROUND(IF(H1221&lt;(Inputs!$E$17-Inputs!$D$17)/(Inputs!$F$17-Inputs!$D$17),Inputs!$D$17+SQRT(H1221*(Inputs!$F$17-Inputs!$D$17)*(Inputs!$E$17-Inputs!$D$17)),Inputs!$F$17-SQRT((1-H1221)*(Inputs!$F$17-Inputs!$D$17)*(Inputs!$F$17-Inputs!$E$17))),0)</f>
        <v>104</v>
      </c>
      <c r="J1221" s="81" t="n">
        <f aca="true">RAND()</f>
        <v>0.608184670809289</v>
      </c>
      <c r="K1221" s="83" t="n">
        <f aca="false">IF(J1221&lt;(Inputs!$E$18-Inputs!$D$18)/(Inputs!$F$18-Inputs!$D$18),Inputs!$D$18+SQRT(J1221*(Inputs!$F$18-Inputs!$D$18)*(Inputs!$E$18-Inputs!$D$18)),Inputs!$F$18-SQRT((1-J1221)*(Inputs!$F$18-Inputs!$D$18)*(Inputs!$F$18-Inputs!$E$18)))</f>
        <v>1.06484103774274</v>
      </c>
      <c r="L1221" s="81" t="n">
        <f aca="true">RAND()</f>
        <v>0.031126832842518</v>
      </c>
      <c r="M1221" s="83" t="n">
        <f aca="false">IF(L1221&lt;(Inputs!$E$24-Inputs!$D$24)/(Inputs!$F$24-Inputs!$D$24),Inputs!$D$24+SQRT(L1221*(Inputs!$F$24-Inputs!$D$24)*(Inputs!$E$24-Inputs!$D$24)),Inputs!$F$24-SQRT((1-L1221)*(Inputs!$F$24-Inputs!$D$24)*(Inputs!$F$24-Inputs!$E$24)))</f>
        <v>0.661116445749914</v>
      </c>
      <c r="N1221" s="81" t="n">
        <f aca="true">RAND()</f>
        <v>0.906054761299189</v>
      </c>
      <c r="O1221" s="83" t="n">
        <f aca="false">IF(N1221&lt;(Inputs!$E$26-Inputs!$D$26)/(Inputs!$F$26-Inputs!$D$26),Inputs!$D$26+SQRT(N1221*(Inputs!$F$26-Inputs!$D$26)*(Inputs!$E$26-Inputs!$D$26)),Inputs!$F$26-SQRT((1-N1221)*(Inputs!$F$26-Inputs!$D$26)*(Inputs!$F$26-Inputs!$E$26)))</f>
        <v>0.7211551477067</v>
      </c>
      <c r="P1221" s="81" t="n">
        <f aca="true">RAND()</f>
        <v>0.369990036156062</v>
      </c>
      <c r="Q1221" s="82" t="n">
        <f aca="false">IF(P1221&lt;(Inputs!$E$27-Inputs!$D$27)/(Inputs!$F$27-Inputs!$D$27),Inputs!$D$27+SQRT(P1221*(Inputs!$F$27-Inputs!$D$27)*(Inputs!$E$27-Inputs!$D$27)),Inputs!$F$27-SQRT((1-P1221)*(Inputs!$F$27-Inputs!$D$27)*(Inputs!$F$27-Inputs!$E$27)))</f>
        <v>81.2608210055609</v>
      </c>
      <c r="R1221" s="81" t="n">
        <f aca="true">RAND()</f>
        <v>0.592722732144616</v>
      </c>
      <c r="S1221" s="82" t="n">
        <f aca="false">IF(R1221&lt;(Inputs!$E$29-Inputs!$D$29)/(Inputs!$F$29-Inputs!$D$29),Inputs!$D$29+SQRT(R1221*(Inputs!$F$29-Inputs!$D$29)*(Inputs!$E$29-Inputs!$D$29)),Inputs!$F$29-SQRT((1-R1221)*(Inputs!$F$29-Inputs!$D$29)*(Inputs!$F$29-Inputs!$E$29)))</f>
        <v>7.72359671120409</v>
      </c>
      <c r="T1221" s="68" t="n">
        <f aca="false">Inputs!$E$9*(1+E1221)+Inputs!$E$5*C1221*(Inputs!$E$11*Inputs!$E$14*(G1221*I1221/Inputs!$E$16+(1-G1221))*K1221+Inputs!$E$23*M1221)*(1+O1221)+Inputs!$E$5*(Q1221+S1221)</f>
        <v>6125.54659862593</v>
      </c>
    </row>
    <row r="1222" customFormat="false" ht="15" hidden="false" customHeight="false" outlineLevel="0" collapsed="false">
      <c r="A1222" s="1" t="n">
        <v>1218</v>
      </c>
      <c r="B1222" s="81" t="n">
        <f aca="true">RAND()</f>
        <v>0.846204045039291</v>
      </c>
      <c r="C1222" s="82" t="n">
        <f aca="false">ROUND(IF(B1222&lt;(Inputs!$E$8-Inputs!$D$8)/(Inputs!$F$8-Inputs!$D$8),Inputs!$D$8+SQRT(B1222*(Inputs!$F$8-Inputs!$D$8)*(Inputs!$E$8-Inputs!$D$8)),Inputs!$F$8-SQRT((1-B1222)*(Inputs!$F$8-Inputs!$D$8)*(Inputs!$F$8-Inputs!$E$8))),0)</f>
        <v>27</v>
      </c>
      <c r="D1222" s="81" t="n">
        <f aca="true">RAND()</f>
        <v>0.200546015667452</v>
      </c>
      <c r="E1222" s="83" t="n">
        <f aca="false">IF(D1222&lt;(Inputs!$E$10-Inputs!$D$10)/(Inputs!$F$10-Inputs!$D$10),Inputs!$D$10+SQRT(D1222*(Inputs!$F$10-Inputs!$D$10)*(Inputs!$E$10-Inputs!$D$10)),Inputs!$F$10-SQRT((1-D1222)*(Inputs!$F$10-Inputs!$D$10)*(Inputs!$F$10-Inputs!$E$10)))</f>
        <v>0.0447823643488653</v>
      </c>
      <c r="F1222" s="81" t="n">
        <f aca="true">RAND()</f>
        <v>0.486579961263172</v>
      </c>
      <c r="G1222" s="83" t="n">
        <f aca="false">IF(F1222&lt;(Inputs!$E$15-Inputs!$D$15)/(Inputs!$F$15-Inputs!$D$15),Inputs!$D$15+SQRT(F1222*(Inputs!$F$15-Inputs!$D$15)*(Inputs!$E$15-Inputs!$D$15)),Inputs!$F$15-SQRT((1-F1222)*(Inputs!$F$15-Inputs!$D$15)*(Inputs!$F$15-Inputs!$E$15)))</f>
        <v>0.698648868342538</v>
      </c>
      <c r="H1222" s="81" t="n">
        <f aca="true">RAND()</f>
        <v>0.937788614793126</v>
      </c>
      <c r="I1222" s="82" t="n">
        <f aca="false">ROUND(IF(H1222&lt;(Inputs!$E$17-Inputs!$D$17)/(Inputs!$F$17-Inputs!$D$17),Inputs!$D$17+SQRT(H1222*(Inputs!$F$17-Inputs!$D$17)*(Inputs!$E$17-Inputs!$D$17)),Inputs!$F$17-SQRT((1-H1222)*(Inputs!$F$17-Inputs!$D$17)*(Inputs!$F$17-Inputs!$E$17))),0)</f>
        <v>112</v>
      </c>
      <c r="J1222" s="81" t="n">
        <f aca="true">RAND()</f>
        <v>0.891907887644001</v>
      </c>
      <c r="K1222" s="83" t="n">
        <f aca="false">IF(J1222&lt;(Inputs!$E$18-Inputs!$D$18)/(Inputs!$F$18-Inputs!$D$18),Inputs!$D$18+SQRT(J1222*(Inputs!$F$18-Inputs!$D$18)*(Inputs!$E$18-Inputs!$D$18)),Inputs!$F$18-SQRT((1-J1222)*(Inputs!$F$18-Inputs!$D$18)*(Inputs!$F$18-Inputs!$E$18)))</f>
        <v>1.15274744306112</v>
      </c>
      <c r="L1222" s="81" t="n">
        <f aca="true">RAND()</f>
        <v>0.773564966393141</v>
      </c>
      <c r="M1222" s="83" t="n">
        <f aca="false">IF(L1222&lt;(Inputs!$E$24-Inputs!$D$24)/(Inputs!$F$24-Inputs!$D$24),Inputs!$D$24+SQRT(L1222*(Inputs!$F$24-Inputs!$D$24)*(Inputs!$E$24-Inputs!$D$24)),Inputs!$F$24-SQRT((1-L1222)*(Inputs!$F$24-Inputs!$D$24)*(Inputs!$F$24-Inputs!$E$24)))</f>
        <v>0.966881128894193</v>
      </c>
      <c r="N1222" s="81" t="n">
        <f aca="true">RAND()</f>
        <v>0.462620020647694</v>
      </c>
      <c r="O1222" s="83" t="n">
        <f aca="false">IF(N1222&lt;(Inputs!$E$26-Inputs!$D$26)/(Inputs!$F$26-Inputs!$D$26),Inputs!$D$26+SQRT(N1222*(Inputs!$F$26-Inputs!$D$26)*(Inputs!$E$26-Inputs!$D$26)),Inputs!$F$26-SQRT((1-N1222)*(Inputs!$F$26-Inputs!$D$26)*(Inputs!$F$26-Inputs!$E$26)))</f>
        <v>0.577452647195474</v>
      </c>
      <c r="P1222" s="81" t="n">
        <f aca="true">RAND()</f>
        <v>0.588440843573965</v>
      </c>
      <c r="Q1222" s="82" t="n">
        <f aca="false">IF(P1222&lt;(Inputs!$E$27-Inputs!$D$27)/(Inputs!$F$27-Inputs!$D$27),Inputs!$D$27+SQRT(P1222*(Inputs!$F$27-Inputs!$D$27)*(Inputs!$E$27-Inputs!$D$27)),Inputs!$F$27-SQRT((1-P1222)*(Inputs!$F$27-Inputs!$D$27)*(Inputs!$F$27-Inputs!$E$27)))</f>
        <v>94.4419792181609</v>
      </c>
      <c r="R1222" s="81" t="n">
        <f aca="true">RAND()</f>
        <v>0.639407123121482</v>
      </c>
      <c r="S1222" s="82" t="n">
        <f aca="false">IF(R1222&lt;(Inputs!$E$29-Inputs!$D$29)/(Inputs!$F$29-Inputs!$D$29),Inputs!$D$29+SQRT(R1222*(Inputs!$F$29-Inputs!$D$29)*(Inputs!$E$29-Inputs!$D$29)),Inputs!$F$29-SQRT((1-R1222)*(Inputs!$F$29-Inputs!$D$29)*(Inputs!$F$29-Inputs!$E$29)))</f>
        <v>8.15331656973923</v>
      </c>
      <c r="T1222" s="68" t="n">
        <f aca="false">Inputs!$E$9*(1+E1222)+Inputs!$E$5*C1222*(Inputs!$E$11*Inputs!$E$14*(G1222*I1222/Inputs!$E$16+(1-G1222))*K1222+Inputs!$E$23*M1222)*(1+O1222)+Inputs!$E$5*(Q1222+S1222)</f>
        <v>7018.34554779809</v>
      </c>
    </row>
    <row r="1223" customFormat="false" ht="15" hidden="false" customHeight="false" outlineLevel="0" collapsed="false">
      <c r="A1223" s="1" t="n">
        <v>1219</v>
      </c>
      <c r="B1223" s="81" t="n">
        <f aca="true">RAND()</f>
        <v>0.918563492512831</v>
      </c>
      <c r="C1223" s="82" t="n">
        <f aca="false">ROUND(IF(B1223&lt;(Inputs!$E$8-Inputs!$D$8)/(Inputs!$F$8-Inputs!$D$8),Inputs!$D$8+SQRT(B1223*(Inputs!$F$8-Inputs!$D$8)*(Inputs!$E$8-Inputs!$D$8)),Inputs!$F$8-SQRT((1-B1223)*(Inputs!$F$8-Inputs!$D$8)*(Inputs!$F$8-Inputs!$E$8))),0)</f>
        <v>28</v>
      </c>
      <c r="D1223" s="81" t="n">
        <f aca="true">RAND()</f>
        <v>0.580222122920826</v>
      </c>
      <c r="E1223" s="83" t="n">
        <f aca="false">IF(D1223&lt;(Inputs!$E$10-Inputs!$D$10)/(Inputs!$F$10-Inputs!$D$10),Inputs!$D$10+SQRT(D1223*(Inputs!$F$10-Inputs!$D$10)*(Inputs!$E$10-Inputs!$D$10)),Inputs!$F$10-SQRT((1-D1223)*(Inputs!$F$10-Inputs!$D$10)*(Inputs!$F$10-Inputs!$E$10)))</f>
        <v>0.0877799647461505</v>
      </c>
      <c r="F1223" s="81" t="n">
        <f aca="true">RAND()</f>
        <v>0.343048089682217</v>
      </c>
      <c r="G1223" s="83" t="n">
        <f aca="false">IF(F1223&lt;(Inputs!$E$15-Inputs!$D$15)/(Inputs!$F$15-Inputs!$D$15),Inputs!$D$15+SQRT(F1223*(Inputs!$F$15-Inputs!$D$15)*(Inputs!$E$15-Inputs!$D$15)),Inputs!$F$15-SQRT((1-F1223)*(Inputs!$F$15-Inputs!$D$15)*(Inputs!$F$15-Inputs!$E$15)))</f>
        <v>0.68283092293126</v>
      </c>
      <c r="H1223" s="81" t="n">
        <f aca="true">RAND()</f>
        <v>0.697947421529784</v>
      </c>
      <c r="I1223" s="82" t="n">
        <f aca="false">ROUND(IF(H1223&lt;(Inputs!$E$17-Inputs!$D$17)/(Inputs!$F$17-Inputs!$D$17),Inputs!$D$17+SQRT(H1223*(Inputs!$F$17-Inputs!$D$17)*(Inputs!$E$17-Inputs!$D$17)),Inputs!$F$17-SQRT((1-H1223)*(Inputs!$F$17-Inputs!$D$17)*(Inputs!$F$17-Inputs!$E$17))),0)</f>
        <v>108</v>
      </c>
      <c r="J1223" s="81" t="n">
        <f aca="true">RAND()</f>
        <v>0.620404236536381</v>
      </c>
      <c r="K1223" s="83" t="n">
        <f aca="false">IF(J1223&lt;(Inputs!$E$18-Inputs!$D$18)/(Inputs!$F$18-Inputs!$D$18),Inputs!$D$18+SQRT(J1223*(Inputs!$F$18-Inputs!$D$18)*(Inputs!$E$18-Inputs!$D$18)),Inputs!$F$18-SQRT((1-J1223)*(Inputs!$F$18-Inputs!$D$18)*(Inputs!$F$18-Inputs!$E$18)))</f>
        <v>1.06775118847283</v>
      </c>
      <c r="L1223" s="81" t="n">
        <f aca="true">RAND()</f>
        <v>0.919466195754951</v>
      </c>
      <c r="M1223" s="83" t="n">
        <f aca="false">IF(L1223&lt;(Inputs!$E$24-Inputs!$D$24)/(Inputs!$F$24-Inputs!$D$24),Inputs!$D$24+SQRT(L1223*(Inputs!$F$24-Inputs!$D$24)*(Inputs!$E$24-Inputs!$D$24)),Inputs!$F$24-SQRT((1-L1223)*(Inputs!$F$24-Inputs!$D$24)*(Inputs!$F$24-Inputs!$E$24)))</f>
        <v>1.06097441595587</v>
      </c>
      <c r="N1223" s="81" t="n">
        <f aca="true">RAND()</f>
        <v>0.35866104116411</v>
      </c>
      <c r="O1223" s="83" t="n">
        <f aca="false">IF(N1223&lt;(Inputs!$E$26-Inputs!$D$26)/(Inputs!$F$26-Inputs!$D$26),Inputs!$D$26+SQRT(N1223*(Inputs!$F$26-Inputs!$D$26)*(Inputs!$E$26-Inputs!$D$26)),Inputs!$F$26-SQRT((1-N1223)*(Inputs!$F$26-Inputs!$D$26)*(Inputs!$F$26-Inputs!$E$26)))</f>
        <v>0.544297354160269</v>
      </c>
      <c r="P1223" s="81" t="n">
        <f aca="true">RAND()</f>
        <v>0.927655178314073</v>
      </c>
      <c r="Q1223" s="82" t="n">
        <f aca="false">IF(P1223&lt;(Inputs!$E$27-Inputs!$D$27)/(Inputs!$F$27-Inputs!$D$27),Inputs!$D$27+SQRT(P1223*(Inputs!$F$27-Inputs!$D$27)*(Inputs!$E$27-Inputs!$D$27)),Inputs!$F$27-SQRT((1-P1223)*(Inputs!$F$27-Inputs!$D$27)*(Inputs!$F$27-Inputs!$E$27)))</f>
        <v>126.706521027454</v>
      </c>
      <c r="R1223" s="81" t="n">
        <f aca="true">RAND()</f>
        <v>0.0805309494684257</v>
      </c>
      <c r="S1223" s="82" t="n">
        <f aca="false">IF(R1223&lt;(Inputs!$E$29-Inputs!$D$29)/(Inputs!$F$29-Inputs!$D$29),Inputs!$D$29+SQRT(R1223*(Inputs!$F$29-Inputs!$D$29)*(Inputs!$E$29-Inputs!$D$29)),Inputs!$F$29-SQRT((1-R1223)*(Inputs!$F$29-Inputs!$D$29)*(Inputs!$F$29-Inputs!$E$29)))</f>
        <v>3.7722040032876</v>
      </c>
      <c r="T1223" s="68" t="n">
        <f aca="false">Inputs!$E$9*(1+E1223)+Inputs!$E$5*C1223*(Inputs!$E$11*Inputs!$E$14*(G1223*I1223/Inputs!$E$16+(1-G1223))*K1223+Inputs!$E$23*M1223)*(1+O1223)+Inputs!$E$5*(Q1223+S1223)</f>
        <v>7226.21016450016</v>
      </c>
    </row>
    <row r="1224" customFormat="false" ht="15" hidden="false" customHeight="false" outlineLevel="0" collapsed="false">
      <c r="A1224" s="1" t="n">
        <v>1220</v>
      </c>
      <c r="B1224" s="81" t="n">
        <f aca="true">RAND()</f>
        <v>0.570304230612522</v>
      </c>
      <c r="C1224" s="82" t="n">
        <f aca="false">ROUND(IF(B1224&lt;(Inputs!$E$8-Inputs!$D$8)/(Inputs!$F$8-Inputs!$D$8),Inputs!$D$8+SQRT(B1224*(Inputs!$F$8-Inputs!$D$8)*(Inputs!$E$8-Inputs!$D$8)),Inputs!$F$8-SQRT((1-B1224)*(Inputs!$F$8-Inputs!$D$8)*(Inputs!$F$8-Inputs!$E$8))),0)</f>
        <v>25</v>
      </c>
      <c r="D1224" s="81" t="n">
        <f aca="true">RAND()</f>
        <v>0.93391436956848</v>
      </c>
      <c r="E1224" s="83" t="n">
        <f aca="false">IF(D1224&lt;(Inputs!$E$10-Inputs!$D$10)/(Inputs!$F$10-Inputs!$D$10),Inputs!$D$10+SQRT(D1224*(Inputs!$F$10-Inputs!$D$10)*(Inputs!$E$10-Inputs!$D$10)),Inputs!$F$10-SQRT((1-D1224)*(Inputs!$F$10-Inputs!$D$10)*(Inputs!$F$10-Inputs!$E$10)))</f>
        <v>0.155473952421694</v>
      </c>
      <c r="F1224" s="81" t="n">
        <f aca="true">RAND()</f>
        <v>0.0537571221046107</v>
      </c>
      <c r="G1224" s="83" t="n">
        <f aca="false">IF(F1224&lt;(Inputs!$E$15-Inputs!$D$15)/(Inputs!$F$15-Inputs!$D$15),Inputs!$D$15+SQRT(F1224*(Inputs!$F$15-Inputs!$D$15)*(Inputs!$E$15-Inputs!$D$15)),Inputs!$F$15-SQRT((1-F1224)*(Inputs!$F$15-Inputs!$D$15)*(Inputs!$F$15-Inputs!$E$15)))</f>
        <v>0.632789364771099</v>
      </c>
      <c r="H1224" s="81" t="n">
        <f aca="true">RAND()</f>
        <v>0.603904665622547</v>
      </c>
      <c r="I1224" s="82" t="n">
        <f aca="false">ROUND(IF(H1224&lt;(Inputs!$E$17-Inputs!$D$17)/(Inputs!$F$17-Inputs!$D$17),Inputs!$D$17+SQRT(H1224*(Inputs!$F$17-Inputs!$D$17)*(Inputs!$E$17-Inputs!$D$17)),Inputs!$F$17-SQRT((1-H1224)*(Inputs!$F$17-Inputs!$D$17)*(Inputs!$F$17-Inputs!$E$17))),0)</f>
        <v>107</v>
      </c>
      <c r="J1224" s="81" t="n">
        <f aca="true">RAND()</f>
        <v>0.918126746674361</v>
      </c>
      <c r="K1224" s="83" t="n">
        <f aca="false">IF(J1224&lt;(Inputs!$E$18-Inputs!$D$18)/(Inputs!$F$18-Inputs!$D$18),Inputs!$D$18+SQRT(J1224*(Inputs!$F$18-Inputs!$D$18)*(Inputs!$E$18-Inputs!$D$18)),Inputs!$F$18-SQRT((1-J1224)*(Inputs!$F$18-Inputs!$D$18)*(Inputs!$F$18-Inputs!$E$18)))</f>
        <v>1.16536011775768</v>
      </c>
      <c r="L1224" s="81" t="n">
        <f aca="true">RAND()</f>
        <v>0.451886158506449</v>
      </c>
      <c r="M1224" s="83" t="n">
        <f aca="false">IF(L1224&lt;(Inputs!$E$24-Inputs!$D$24)/(Inputs!$F$24-Inputs!$D$24),Inputs!$D$24+SQRT(L1224*(Inputs!$F$24-Inputs!$D$24)*(Inputs!$E$24-Inputs!$D$24)),Inputs!$F$24-SQRT((1-L1224)*(Inputs!$F$24-Inputs!$D$24)*(Inputs!$F$24-Inputs!$E$24)))</f>
        <v>0.837305470183996</v>
      </c>
      <c r="N1224" s="81" t="n">
        <f aca="true">RAND()</f>
        <v>0.438783249896342</v>
      </c>
      <c r="O1224" s="83" t="n">
        <f aca="false">IF(N1224&lt;(Inputs!$E$26-Inputs!$D$26)/(Inputs!$F$26-Inputs!$D$26),Inputs!$D$26+SQRT(N1224*(Inputs!$F$26-Inputs!$D$26)*(Inputs!$E$26-Inputs!$D$26)),Inputs!$F$26-SQRT((1-N1224)*(Inputs!$F$26-Inputs!$D$26)*(Inputs!$F$26-Inputs!$E$26)))</f>
        <v>0.570210164099634</v>
      </c>
      <c r="P1224" s="81" t="n">
        <f aca="true">RAND()</f>
        <v>0.798252878088436</v>
      </c>
      <c r="Q1224" s="82" t="n">
        <f aca="false">IF(P1224&lt;(Inputs!$E$27-Inputs!$D$27)/(Inputs!$F$27-Inputs!$D$27),Inputs!$D$27+SQRT(P1224*(Inputs!$F$27-Inputs!$D$27)*(Inputs!$E$27-Inputs!$D$27)),Inputs!$F$27-SQRT((1-P1224)*(Inputs!$F$27-Inputs!$D$27)*(Inputs!$F$27-Inputs!$E$27)))</f>
        <v>111.101370019797</v>
      </c>
      <c r="R1224" s="81" t="n">
        <f aca="true">RAND()</f>
        <v>0.344002970814261</v>
      </c>
      <c r="S1224" s="82" t="n">
        <f aca="false">IF(R1224&lt;(Inputs!$E$29-Inputs!$D$29)/(Inputs!$F$29-Inputs!$D$29),Inputs!$D$29+SQRT(R1224*(Inputs!$F$29-Inputs!$D$29)*(Inputs!$E$29-Inputs!$D$29)),Inputs!$F$29-SQRT((1-R1224)*(Inputs!$F$29-Inputs!$D$29)*(Inputs!$F$29-Inputs!$E$29)))</f>
        <v>5.76530380607212</v>
      </c>
      <c r="T1224" s="68" t="n">
        <f aca="false">Inputs!$E$9*(1+E1224)+Inputs!$E$5*C1224*(Inputs!$E$11*Inputs!$E$14*(G1224*I1224/Inputs!$E$16+(1-G1224))*K1224+Inputs!$E$23*M1224)*(1+O1224)+Inputs!$E$5*(Q1224+S1224)</f>
        <v>6881.30106008259</v>
      </c>
    </row>
    <row r="1225" customFormat="false" ht="15" hidden="false" customHeight="false" outlineLevel="0" collapsed="false">
      <c r="A1225" s="1" t="n">
        <v>1221</v>
      </c>
      <c r="B1225" s="81" t="n">
        <f aca="true">RAND()</f>
        <v>0.334682992589523</v>
      </c>
      <c r="C1225" s="82" t="n">
        <f aca="false">ROUND(IF(B1225&lt;(Inputs!$E$8-Inputs!$D$8)/(Inputs!$F$8-Inputs!$D$8),Inputs!$D$8+SQRT(B1225*(Inputs!$F$8-Inputs!$D$8)*(Inputs!$E$8-Inputs!$D$8)),Inputs!$F$8-SQRT((1-B1225)*(Inputs!$F$8-Inputs!$D$8)*(Inputs!$F$8-Inputs!$E$8))),0)</f>
        <v>24</v>
      </c>
      <c r="D1225" s="81" t="n">
        <f aca="true">RAND()</f>
        <v>0.505661468540531</v>
      </c>
      <c r="E1225" s="83" t="n">
        <f aca="false">IF(D1225&lt;(Inputs!$E$10-Inputs!$D$10)/(Inputs!$F$10-Inputs!$D$10),Inputs!$D$10+SQRT(D1225*(Inputs!$F$10-Inputs!$D$10)*(Inputs!$E$10-Inputs!$D$10)),Inputs!$F$10-SQRT((1-D1225)*(Inputs!$F$10-Inputs!$D$10)*(Inputs!$F$10-Inputs!$E$10)))</f>
        <v>0.0782208722983119</v>
      </c>
      <c r="F1225" s="81" t="n">
        <f aca="true">RAND()</f>
        <v>0.711825812616223</v>
      </c>
      <c r="G1225" s="83" t="n">
        <f aca="false">IF(F1225&lt;(Inputs!$E$15-Inputs!$D$15)/(Inputs!$F$15-Inputs!$D$15),Inputs!$D$15+SQRT(F1225*(Inputs!$F$15-Inputs!$D$15)*(Inputs!$E$15-Inputs!$D$15)),Inputs!$F$15-SQRT((1-F1225)*(Inputs!$F$15-Inputs!$D$15)*(Inputs!$F$15-Inputs!$E$15)))</f>
        <v>0.724082388422214</v>
      </c>
      <c r="H1225" s="81" t="n">
        <f aca="true">RAND()</f>
        <v>0.515398993965245</v>
      </c>
      <c r="I1225" s="82" t="n">
        <f aca="false">ROUND(IF(H1225&lt;(Inputs!$E$17-Inputs!$D$17)/(Inputs!$F$17-Inputs!$D$17),Inputs!$D$17+SQRT(H1225*(Inputs!$F$17-Inputs!$D$17)*(Inputs!$E$17-Inputs!$D$17)),Inputs!$F$17-SQRT((1-H1225)*(Inputs!$F$17-Inputs!$D$17)*(Inputs!$F$17-Inputs!$E$17))),0)</f>
        <v>106</v>
      </c>
      <c r="J1225" s="81" t="n">
        <f aca="true">RAND()</f>
        <v>0.64076220727543</v>
      </c>
      <c r="K1225" s="83" t="n">
        <f aca="false">IF(J1225&lt;(Inputs!$E$18-Inputs!$D$18)/(Inputs!$F$18-Inputs!$D$18),Inputs!$D$18+SQRT(J1225*(Inputs!$F$18-Inputs!$D$18)*(Inputs!$E$18-Inputs!$D$18)),Inputs!$F$18-SQRT((1-J1225)*(Inputs!$F$18-Inputs!$D$18)*(Inputs!$F$18-Inputs!$E$18)))</f>
        <v>1.07270559269001</v>
      </c>
      <c r="L1225" s="81" t="n">
        <f aca="true">RAND()</f>
        <v>0.348682743542501</v>
      </c>
      <c r="M1225" s="83" t="n">
        <f aca="false">IF(L1225&lt;(Inputs!$E$24-Inputs!$D$24)/(Inputs!$F$24-Inputs!$D$24),Inputs!$D$24+SQRT(L1225*(Inputs!$F$24-Inputs!$D$24)*(Inputs!$E$24-Inputs!$D$24)),Inputs!$F$24-SQRT((1-L1225)*(Inputs!$F$24-Inputs!$D$24)*(Inputs!$F$24-Inputs!$E$24)))</f>
        <v>0.804631638152723</v>
      </c>
      <c r="N1225" s="81" t="n">
        <f aca="true">RAND()</f>
        <v>0.522306625714852</v>
      </c>
      <c r="O1225" s="83" t="n">
        <f aca="false">IF(N1225&lt;(Inputs!$E$26-Inputs!$D$26)/(Inputs!$F$26-Inputs!$D$26),Inputs!$D$26+SQRT(N1225*(Inputs!$F$26-Inputs!$D$26)*(Inputs!$E$26-Inputs!$D$26)),Inputs!$F$26-SQRT((1-N1225)*(Inputs!$F$26-Inputs!$D$26)*(Inputs!$F$26-Inputs!$E$26)))</f>
        <v>0.594808111352031</v>
      </c>
      <c r="P1225" s="81" t="n">
        <f aca="true">RAND()</f>
        <v>0.756360030033719</v>
      </c>
      <c r="Q1225" s="82" t="n">
        <f aca="false">IF(P1225&lt;(Inputs!$E$27-Inputs!$D$27)/(Inputs!$F$27-Inputs!$D$27),Inputs!$D$27+SQRT(P1225*(Inputs!$F$27-Inputs!$D$27)*(Inputs!$E$27-Inputs!$D$27)),Inputs!$F$27-SQRT((1-P1225)*(Inputs!$F$27-Inputs!$D$27)*(Inputs!$F$27-Inputs!$E$27)))</f>
        <v>107.253072920418</v>
      </c>
      <c r="R1225" s="81" t="n">
        <f aca="true">RAND()</f>
        <v>0.831109884873934</v>
      </c>
      <c r="S1225" s="82" t="n">
        <f aca="false">IF(R1225&lt;(Inputs!$E$29-Inputs!$D$29)/(Inputs!$F$29-Inputs!$D$29),Inputs!$D$29+SQRT(R1225*(Inputs!$F$29-Inputs!$D$29)*(Inputs!$E$29-Inputs!$D$29)),Inputs!$F$29-SQRT((1-R1225)*(Inputs!$F$29-Inputs!$D$29)*(Inputs!$F$29-Inputs!$E$29)))</f>
        <v>10.3143074187065</v>
      </c>
      <c r="T1225" s="68" t="n">
        <f aca="false">Inputs!$E$9*(1+E1225)+Inputs!$E$5*C1225*(Inputs!$E$11*Inputs!$E$14*(G1225*I1225/Inputs!$E$16+(1-G1225))*K1225+Inputs!$E$23*M1225)*(1+O1225)+Inputs!$E$5*(Q1225+S1225)</f>
        <v>6242.20048276913</v>
      </c>
    </row>
    <row r="1226" customFormat="false" ht="15" hidden="false" customHeight="false" outlineLevel="0" collapsed="false">
      <c r="A1226" s="1" t="n">
        <v>1222</v>
      </c>
      <c r="B1226" s="81" t="n">
        <f aca="true">RAND()</f>
        <v>0.347382025682737</v>
      </c>
      <c r="C1226" s="82" t="n">
        <f aca="false">ROUND(IF(B1226&lt;(Inputs!$E$8-Inputs!$D$8)/(Inputs!$F$8-Inputs!$D$8),Inputs!$D$8+SQRT(B1226*(Inputs!$F$8-Inputs!$D$8)*(Inputs!$E$8-Inputs!$D$8)),Inputs!$F$8-SQRT((1-B1226)*(Inputs!$F$8-Inputs!$D$8)*(Inputs!$F$8-Inputs!$E$8))),0)</f>
        <v>24</v>
      </c>
      <c r="D1226" s="81" t="n">
        <f aca="true">RAND()</f>
        <v>0.117153216850129</v>
      </c>
      <c r="E1226" s="83" t="n">
        <f aca="false">IF(D1226&lt;(Inputs!$E$10-Inputs!$D$10)/(Inputs!$F$10-Inputs!$D$10),Inputs!$D$10+SQRT(D1226*(Inputs!$F$10-Inputs!$D$10)*(Inputs!$E$10-Inputs!$D$10)),Inputs!$F$10-SQRT((1-D1226)*(Inputs!$F$10-Inputs!$D$10)*(Inputs!$F$10-Inputs!$E$10)))</f>
        <v>0.0342276521032526</v>
      </c>
      <c r="F1226" s="81" t="n">
        <f aca="true">RAND()</f>
        <v>0.202324093212334</v>
      </c>
      <c r="G1226" s="83" t="n">
        <f aca="false">IF(F1226&lt;(Inputs!$E$15-Inputs!$D$15)/(Inputs!$F$15-Inputs!$D$15),Inputs!$D$15+SQRT(F1226*(Inputs!$F$15-Inputs!$D$15)*(Inputs!$E$15-Inputs!$D$15)),Inputs!$F$15-SQRT((1-F1226)*(Inputs!$F$15-Inputs!$D$15)*(Inputs!$F$15-Inputs!$E$15)))</f>
        <v>0.663611963216416</v>
      </c>
      <c r="H1226" s="81" t="n">
        <f aca="true">RAND()</f>
        <v>0.972154956143591</v>
      </c>
      <c r="I1226" s="82" t="n">
        <f aca="false">ROUND(IF(H1226&lt;(Inputs!$E$17-Inputs!$D$17)/(Inputs!$F$17-Inputs!$D$17),Inputs!$D$17+SQRT(H1226*(Inputs!$F$17-Inputs!$D$17)*(Inputs!$E$17-Inputs!$D$17)),Inputs!$F$17-SQRT((1-H1226)*(Inputs!$F$17-Inputs!$D$17)*(Inputs!$F$17-Inputs!$E$17))),0)</f>
        <v>113</v>
      </c>
      <c r="J1226" s="81" t="n">
        <f aca="true">RAND()</f>
        <v>0.925338122900736</v>
      </c>
      <c r="K1226" s="83" t="n">
        <f aca="false">IF(J1226&lt;(Inputs!$E$18-Inputs!$D$18)/(Inputs!$F$18-Inputs!$D$18),Inputs!$D$18+SQRT(J1226*(Inputs!$F$18-Inputs!$D$18)*(Inputs!$E$18-Inputs!$D$18)),Inputs!$F$18-SQRT((1-J1226)*(Inputs!$F$18-Inputs!$D$18)*(Inputs!$F$18-Inputs!$E$18)))</f>
        <v>1.16917355478443</v>
      </c>
      <c r="L1226" s="81" t="n">
        <f aca="true">RAND()</f>
        <v>0.0793699074395974</v>
      </c>
      <c r="M1226" s="83" t="n">
        <f aca="false">IF(L1226&lt;(Inputs!$E$24-Inputs!$D$24)/(Inputs!$F$24-Inputs!$D$24),Inputs!$D$24+SQRT(L1226*(Inputs!$F$24-Inputs!$D$24)*(Inputs!$E$24-Inputs!$D$24)),Inputs!$F$24-SQRT((1-L1226)*(Inputs!$F$24-Inputs!$D$24)*(Inputs!$F$24-Inputs!$E$24)))</f>
        <v>0.697592975632223</v>
      </c>
      <c r="N1226" s="81" t="n">
        <f aca="true">RAND()</f>
        <v>0.479836985869924</v>
      </c>
      <c r="O1226" s="83" t="n">
        <f aca="false">IF(N1226&lt;(Inputs!$E$26-Inputs!$D$26)/(Inputs!$F$26-Inputs!$D$26),Inputs!$D$26+SQRT(N1226*(Inputs!$F$26-Inputs!$D$26)*(Inputs!$E$26-Inputs!$D$26)),Inputs!$F$26-SQRT((1-N1226)*(Inputs!$F$26-Inputs!$D$26)*(Inputs!$F$26-Inputs!$E$26)))</f>
        <v>0.582568353586801</v>
      </c>
      <c r="P1226" s="81" t="n">
        <f aca="true">RAND()</f>
        <v>0.937720793285521</v>
      </c>
      <c r="Q1226" s="82" t="n">
        <f aca="false">IF(P1226&lt;(Inputs!$E$27-Inputs!$D$27)/(Inputs!$F$27-Inputs!$D$27),Inputs!$D$27+SQRT(P1226*(Inputs!$F$27-Inputs!$D$27)*(Inputs!$E$27-Inputs!$D$27)),Inputs!$F$27-SQRT((1-P1226)*(Inputs!$F$27-Inputs!$D$27)*(Inputs!$F$27-Inputs!$E$27)))</f>
        <v>128.387641258794</v>
      </c>
      <c r="R1226" s="81" t="n">
        <f aca="true">RAND()</f>
        <v>0.955667042434709</v>
      </c>
      <c r="S1226" s="82" t="n">
        <f aca="false">IF(R1226&lt;(Inputs!$E$29-Inputs!$D$29)/(Inputs!$F$29-Inputs!$D$29),Inputs!$D$29+SQRT(R1226*(Inputs!$F$29-Inputs!$D$29)*(Inputs!$E$29-Inputs!$D$29)),Inputs!$F$29-SQRT((1-R1226)*(Inputs!$F$29-Inputs!$D$29)*(Inputs!$F$29-Inputs!$E$29)))</f>
        <v>12.5993158301251</v>
      </c>
      <c r="T1226" s="68" t="n">
        <f aca="false">Inputs!$E$9*(1+E1226)+Inputs!$E$5*C1226*(Inputs!$E$11*Inputs!$E$14*(G1226*I1226/Inputs!$E$16+(1-G1226))*K1226+Inputs!$E$23*M1226)*(1+O1226)+Inputs!$E$5*(Q1226+S1226)</f>
        <v>6461.48945215276</v>
      </c>
    </row>
    <row r="1227" customFormat="false" ht="15" hidden="false" customHeight="false" outlineLevel="0" collapsed="false">
      <c r="A1227" s="1" t="n">
        <v>1223</v>
      </c>
      <c r="B1227" s="81" t="n">
        <f aca="true">RAND()</f>
        <v>0.784804524379867</v>
      </c>
      <c r="C1227" s="82" t="n">
        <f aca="false">ROUND(IF(B1227&lt;(Inputs!$E$8-Inputs!$D$8)/(Inputs!$F$8-Inputs!$D$8),Inputs!$D$8+SQRT(B1227*(Inputs!$F$8-Inputs!$D$8)*(Inputs!$E$8-Inputs!$D$8)),Inputs!$F$8-SQRT((1-B1227)*(Inputs!$F$8-Inputs!$D$8)*(Inputs!$F$8-Inputs!$E$8))),0)</f>
        <v>27</v>
      </c>
      <c r="D1227" s="81" t="n">
        <f aca="true">RAND()</f>
        <v>0.830184833323146</v>
      </c>
      <c r="E1227" s="83" t="n">
        <f aca="false">IF(D1227&lt;(Inputs!$E$10-Inputs!$D$10)/(Inputs!$F$10-Inputs!$D$10),Inputs!$D$10+SQRT(D1227*(Inputs!$F$10-Inputs!$D$10)*(Inputs!$E$10-Inputs!$D$10)),Inputs!$F$10-SQRT((1-D1227)*(Inputs!$F$10-Inputs!$D$10)*(Inputs!$F$10-Inputs!$E$10)))</f>
        <v>0.128624549036061</v>
      </c>
      <c r="F1227" s="81" t="n">
        <f aca="true">RAND()</f>
        <v>0.895285123936759</v>
      </c>
      <c r="G1227" s="83" t="n">
        <f aca="false">IF(F1227&lt;(Inputs!$E$15-Inputs!$D$15)/(Inputs!$F$15-Inputs!$D$15),Inputs!$D$15+SQRT(F1227*(Inputs!$F$15-Inputs!$D$15)*(Inputs!$E$15-Inputs!$D$15)),Inputs!$F$15-SQRT((1-F1227)*(Inputs!$F$15-Inputs!$D$15)*(Inputs!$F$15-Inputs!$E$15)))</f>
        <v>0.754236504490317</v>
      </c>
      <c r="H1227" s="81" t="n">
        <f aca="true">RAND()</f>
        <v>0.793182085274922</v>
      </c>
      <c r="I1227" s="82" t="n">
        <f aca="false">ROUND(IF(H1227&lt;(Inputs!$E$17-Inputs!$D$17)/(Inputs!$F$17-Inputs!$D$17),Inputs!$D$17+SQRT(H1227*(Inputs!$F$17-Inputs!$D$17)*(Inputs!$E$17-Inputs!$D$17)),Inputs!$F$17-SQRT((1-H1227)*(Inputs!$F$17-Inputs!$D$17)*(Inputs!$F$17-Inputs!$E$17))),0)</f>
        <v>109</v>
      </c>
      <c r="J1227" s="81" t="n">
        <f aca="true">RAND()</f>
        <v>0.886111245187621</v>
      </c>
      <c r="K1227" s="83" t="n">
        <f aca="false">IF(J1227&lt;(Inputs!$E$18-Inputs!$D$18)/(Inputs!$F$18-Inputs!$D$18),Inputs!$D$18+SQRT(J1227*(Inputs!$F$18-Inputs!$D$18)*(Inputs!$E$18-Inputs!$D$18)),Inputs!$F$18-SQRT((1-J1227)*(Inputs!$F$18-Inputs!$D$18)*(Inputs!$F$18-Inputs!$E$18)))</f>
        <v>1.150173820838</v>
      </c>
      <c r="L1227" s="81" t="n">
        <f aca="true">RAND()</f>
        <v>0.0816061943861559</v>
      </c>
      <c r="M1227" s="83" t="n">
        <f aca="false">IF(L1227&lt;(Inputs!$E$24-Inputs!$D$24)/(Inputs!$F$24-Inputs!$D$24),Inputs!$D$24+SQRT(L1227*(Inputs!$F$24-Inputs!$D$24)*(Inputs!$E$24-Inputs!$D$24)),Inputs!$F$24-SQRT((1-L1227)*(Inputs!$F$24-Inputs!$D$24)*(Inputs!$F$24-Inputs!$E$24)))</f>
        <v>0.698958290841843</v>
      </c>
      <c r="N1227" s="81" t="n">
        <f aca="true">RAND()</f>
        <v>0.926916438352785</v>
      </c>
      <c r="O1227" s="83" t="n">
        <f aca="false">IF(N1227&lt;(Inputs!$E$26-Inputs!$D$26)/(Inputs!$F$26-Inputs!$D$26),Inputs!$D$26+SQRT(N1227*(Inputs!$F$26-Inputs!$D$26)*(Inputs!$E$26-Inputs!$D$26)),Inputs!$F$26-SQRT((1-N1227)*(Inputs!$F$26-Inputs!$D$26)*(Inputs!$F$26-Inputs!$E$26)))</f>
        <v>0.732818061438676</v>
      </c>
      <c r="P1227" s="81" t="n">
        <f aca="true">RAND()</f>
        <v>0.00708265513239872</v>
      </c>
      <c r="Q1227" s="82" t="n">
        <f aca="false">IF(P1227&lt;(Inputs!$E$27-Inputs!$D$27)/(Inputs!$F$27-Inputs!$D$27),Inputs!$D$27+SQRT(P1227*(Inputs!$F$27-Inputs!$D$27)*(Inputs!$E$27-Inputs!$D$27)),Inputs!$F$27-SQRT((1-P1227)*(Inputs!$F$27-Inputs!$D$27)*(Inputs!$F$27-Inputs!$E$27)))</f>
        <v>54.2079255971318</v>
      </c>
      <c r="R1227" s="81" t="n">
        <f aca="true">RAND()</f>
        <v>0.212160091346272</v>
      </c>
      <c r="S1227" s="82" t="n">
        <f aca="false">IF(R1227&lt;(Inputs!$E$29-Inputs!$D$29)/(Inputs!$F$29-Inputs!$D$29),Inputs!$D$29+SQRT(R1227*(Inputs!$F$29-Inputs!$D$29)*(Inputs!$E$29-Inputs!$D$29)),Inputs!$F$29-SQRT((1-R1227)*(Inputs!$F$29-Inputs!$D$29)*(Inputs!$F$29-Inputs!$E$29)))</f>
        <v>4.87649848991871</v>
      </c>
      <c r="T1227" s="68" t="n">
        <f aca="false">Inputs!$E$9*(1+E1227)+Inputs!$E$5*C1227*(Inputs!$E$11*Inputs!$E$14*(G1227*I1227/Inputs!$E$16+(1-G1227))*K1227+Inputs!$E$23*M1227)*(1+O1227)+Inputs!$E$5*(Q1227+S1227)</f>
        <v>6804.38296081945</v>
      </c>
    </row>
    <row r="1228" customFormat="false" ht="15" hidden="false" customHeight="false" outlineLevel="0" collapsed="false">
      <c r="A1228" s="1" t="n">
        <v>1224</v>
      </c>
      <c r="B1228" s="81" t="n">
        <f aca="true">RAND()</f>
        <v>0.817176233195629</v>
      </c>
      <c r="C1228" s="82" t="n">
        <f aca="false">ROUND(IF(B1228&lt;(Inputs!$E$8-Inputs!$D$8)/(Inputs!$F$8-Inputs!$D$8),Inputs!$D$8+SQRT(B1228*(Inputs!$F$8-Inputs!$D$8)*(Inputs!$E$8-Inputs!$D$8)),Inputs!$F$8-SQRT((1-B1228)*(Inputs!$F$8-Inputs!$D$8)*(Inputs!$F$8-Inputs!$E$8))),0)</f>
        <v>27</v>
      </c>
      <c r="D1228" s="81" t="n">
        <f aca="true">RAND()</f>
        <v>0.702594291293036</v>
      </c>
      <c r="E1228" s="83" t="n">
        <f aca="false">IF(D1228&lt;(Inputs!$E$10-Inputs!$D$10)/(Inputs!$F$10-Inputs!$D$10),Inputs!$D$10+SQRT(D1228*(Inputs!$F$10-Inputs!$D$10)*(Inputs!$E$10-Inputs!$D$10)),Inputs!$F$10-SQRT((1-D1228)*(Inputs!$F$10-Inputs!$D$10)*(Inputs!$F$10-Inputs!$E$10)))</f>
        <v>0.105542754321286</v>
      </c>
      <c r="F1228" s="81" t="n">
        <f aca="true">RAND()</f>
        <v>0.496488754547504</v>
      </c>
      <c r="G1228" s="83" t="n">
        <f aca="false">IF(F1228&lt;(Inputs!$E$15-Inputs!$D$15)/(Inputs!$F$15-Inputs!$D$15),Inputs!$D$15+SQRT(F1228*(Inputs!$F$15-Inputs!$D$15)*(Inputs!$E$15-Inputs!$D$15)),Inputs!$F$15-SQRT((1-F1228)*(Inputs!$F$15-Inputs!$D$15)*(Inputs!$F$15-Inputs!$E$15)))</f>
        <v>0.699648256838492</v>
      </c>
      <c r="H1228" s="81" t="n">
        <f aca="true">RAND()</f>
        <v>0.683847147442891</v>
      </c>
      <c r="I1228" s="82" t="n">
        <f aca="false">ROUND(IF(H1228&lt;(Inputs!$E$17-Inputs!$D$17)/(Inputs!$F$17-Inputs!$D$17),Inputs!$D$17+SQRT(H1228*(Inputs!$F$17-Inputs!$D$17)*(Inputs!$E$17-Inputs!$D$17)),Inputs!$F$17-SQRT((1-H1228)*(Inputs!$F$17-Inputs!$D$17)*(Inputs!$F$17-Inputs!$E$17))),0)</f>
        <v>108</v>
      </c>
      <c r="J1228" s="81" t="n">
        <f aca="true">RAND()</f>
        <v>0.833972634552608</v>
      </c>
      <c r="K1228" s="83" t="n">
        <f aca="false">IF(J1228&lt;(Inputs!$E$18-Inputs!$D$18)/(Inputs!$F$18-Inputs!$D$18),Inputs!$D$18+SQRT(J1228*(Inputs!$F$18-Inputs!$D$18)*(Inputs!$E$18-Inputs!$D$18)),Inputs!$F$18-SQRT((1-J1228)*(Inputs!$F$18-Inputs!$D$18)*(Inputs!$F$18-Inputs!$E$18)))</f>
        <v>1.1294703585144</v>
      </c>
      <c r="L1228" s="81" t="n">
        <f aca="true">RAND()</f>
        <v>0.0930026054959089</v>
      </c>
      <c r="M1228" s="83" t="n">
        <f aca="false">IF(L1228&lt;(Inputs!$E$24-Inputs!$D$24)/(Inputs!$F$24-Inputs!$D$24),Inputs!$D$24+SQRT(L1228*(Inputs!$F$24-Inputs!$D$24)*(Inputs!$E$24-Inputs!$D$24)),Inputs!$F$24-SQRT((1-L1228)*(Inputs!$F$24-Inputs!$D$24)*(Inputs!$F$24-Inputs!$E$24)))</f>
        <v>0.705642380981825</v>
      </c>
      <c r="N1228" s="81" t="n">
        <f aca="true">RAND()</f>
        <v>0.780042913239917</v>
      </c>
      <c r="O1228" s="83" t="n">
        <f aca="false">IF(N1228&lt;(Inputs!$E$26-Inputs!$D$26)/(Inputs!$F$26-Inputs!$D$26),Inputs!$D$26+SQRT(N1228*(Inputs!$F$26-Inputs!$D$26)*(Inputs!$E$26-Inputs!$D$26)),Inputs!$F$26-SQRT((1-N1228)*(Inputs!$F$26-Inputs!$D$26)*(Inputs!$F$26-Inputs!$E$26)))</f>
        <v>0.668753390044442</v>
      </c>
      <c r="P1228" s="81" t="n">
        <f aca="true">RAND()</f>
        <v>0.476710389191612</v>
      </c>
      <c r="Q1228" s="82" t="n">
        <f aca="false">IF(P1228&lt;(Inputs!$E$27-Inputs!$D$27)/(Inputs!$F$27-Inputs!$D$27),Inputs!$D$27+SQRT(P1228*(Inputs!$F$27-Inputs!$D$27)*(Inputs!$E$27-Inputs!$D$27)),Inputs!$F$27-SQRT((1-P1228)*(Inputs!$F$27-Inputs!$D$27)*(Inputs!$F$27-Inputs!$E$27)))</f>
        <v>87.3527967019843</v>
      </c>
      <c r="R1228" s="81" t="n">
        <f aca="true">RAND()</f>
        <v>0.549369645099763</v>
      </c>
      <c r="S1228" s="82" t="n">
        <f aca="false">IF(R1228&lt;(Inputs!$E$29-Inputs!$D$29)/(Inputs!$F$29-Inputs!$D$29),Inputs!$D$29+SQRT(R1228*(Inputs!$F$29-Inputs!$D$29)*(Inputs!$E$29-Inputs!$D$29)),Inputs!$F$29-SQRT((1-R1228)*(Inputs!$F$29-Inputs!$D$29)*(Inputs!$F$29-Inputs!$E$29)))</f>
        <v>7.34611561773822</v>
      </c>
      <c r="T1228" s="68" t="n">
        <f aca="false">Inputs!$E$9*(1+E1228)+Inputs!$E$5*C1228*(Inputs!$E$11*Inputs!$E$14*(G1228*I1228/Inputs!$E$16+(1-G1228))*K1228+Inputs!$E$23*M1228)*(1+O1228)+Inputs!$E$5*(Q1228+S1228)</f>
        <v>6817.05313335723</v>
      </c>
    </row>
    <row r="1229" customFormat="false" ht="15" hidden="false" customHeight="false" outlineLevel="0" collapsed="false">
      <c r="A1229" s="1" t="n">
        <v>1225</v>
      </c>
      <c r="B1229" s="81" t="n">
        <f aca="true">RAND()</f>
        <v>0.989567746335644</v>
      </c>
      <c r="C1229" s="82" t="n">
        <f aca="false">ROUND(IF(B1229&lt;(Inputs!$E$8-Inputs!$D$8)/(Inputs!$F$8-Inputs!$D$8),Inputs!$D$8+SQRT(B1229*(Inputs!$F$8-Inputs!$D$8)*(Inputs!$E$8-Inputs!$D$8)),Inputs!$F$8-SQRT((1-B1229)*(Inputs!$F$8-Inputs!$D$8)*(Inputs!$F$8-Inputs!$E$8))),0)</f>
        <v>29</v>
      </c>
      <c r="D1229" s="81" t="n">
        <f aca="true">RAND()</f>
        <v>0.00801044002567767</v>
      </c>
      <c r="E1229" s="83" t="n">
        <f aca="false">IF(D1229&lt;(Inputs!$E$10-Inputs!$D$10)/(Inputs!$F$10-Inputs!$D$10),Inputs!$D$10+SQRT(D1229*(Inputs!$F$10-Inputs!$D$10)*(Inputs!$E$10-Inputs!$D$10)),Inputs!$F$10-SQRT((1-D1229)*(Inputs!$F$10-Inputs!$D$10)*(Inputs!$F$10-Inputs!$E$10)))</f>
        <v>0.00895010615896687</v>
      </c>
      <c r="F1229" s="81" t="n">
        <f aca="true">RAND()</f>
        <v>0.380486878321693</v>
      </c>
      <c r="G1229" s="83" t="n">
        <f aca="false">IF(F1229&lt;(Inputs!$E$15-Inputs!$D$15)/(Inputs!$F$15-Inputs!$D$15),Inputs!$D$15+SQRT(F1229*(Inputs!$F$15-Inputs!$D$15)*(Inputs!$E$15-Inputs!$D$15)),Inputs!$F$15-SQRT((1-F1229)*(Inputs!$F$15-Inputs!$D$15)*(Inputs!$F$15-Inputs!$E$15)))</f>
        <v>0.687233809766821</v>
      </c>
      <c r="H1229" s="81" t="n">
        <f aca="true">RAND()</f>
        <v>0.379900046663066</v>
      </c>
      <c r="I1229" s="82" t="n">
        <f aca="false">ROUND(IF(H1229&lt;(Inputs!$E$17-Inputs!$D$17)/(Inputs!$F$17-Inputs!$D$17),Inputs!$D$17+SQRT(H1229*(Inputs!$F$17-Inputs!$D$17)*(Inputs!$E$17-Inputs!$D$17)),Inputs!$F$17-SQRT((1-H1229)*(Inputs!$F$17-Inputs!$D$17)*(Inputs!$F$17-Inputs!$E$17))),0)</f>
        <v>105</v>
      </c>
      <c r="J1229" s="81" t="n">
        <f aca="true">RAND()</f>
        <v>0.201697462379947</v>
      </c>
      <c r="K1229" s="83" t="n">
        <f aca="false">IF(J1229&lt;(Inputs!$E$18-Inputs!$D$18)/(Inputs!$F$18-Inputs!$D$18),Inputs!$D$18+SQRT(J1229*(Inputs!$F$18-Inputs!$D$18)*(Inputs!$E$18-Inputs!$D$18)),Inputs!$F$18-SQRT((1-J1229)*(Inputs!$F$18-Inputs!$D$18)*(Inputs!$F$18-Inputs!$E$18)))</f>
        <v>0.984020302209039</v>
      </c>
      <c r="L1229" s="81" t="n">
        <f aca="true">RAND()</f>
        <v>0.846560926375851</v>
      </c>
      <c r="M1229" s="83" t="n">
        <f aca="false">IF(L1229&lt;(Inputs!$E$24-Inputs!$D$24)/(Inputs!$F$24-Inputs!$D$24),Inputs!$D$24+SQRT(L1229*(Inputs!$F$24-Inputs!$D$24)*(Inputs!$E$24-Inputs!$D$24)),Inputs!$F$24-SQRT((1-L1229)*(Inputs!$F$24-Inputs!$D$24)*(Inputs!$F$24-Inputs!$E$24)))</f>
        <v>1.00810060534281</v>
      </c>
      <c r="N1229" s="81" t="n">
        <f aca="true">RAND()</f>
        <v>0.350913522367231</v>
      </c>
      <c r="O1229" s="83" t="n">
        <f aca="false">IF(N1229&lt;(Inputs!$E$26-Inputs!$D$26)/(Inputs!$F$26-Inputs!$D$26),Inputs!$D$26+SQRT(N1229*(Inputs!$F$26-Inputs!$D$26)*(Inputs!$E$26-Inputs!$D$26)),Inputs!$F$26-SQRT((1-N1229)*(Inputs!$F$26-Inputs!$D$26)*(Inputs!$F$26-Inputs!$E$26)))</f>
        <v>0.541644387731036</v>
      </c>
      <c r="P1229" s="81" t="n">
        <f aca="true">RAND()</f>
        <v>0.806413352857546</v>
      </c>
      <c r="Q1229" s="82" t="n">
        <f aca="false">IF(P1229&lt;(Inputs!$E$27-Inputs!$D$27)/(Inputs!$F$27-Inputs!$D$27),Inputs!$D$27+SQRT(P1229*(Inputs!$F$27-Inputs!$D$27)*(Inputs!$E$27-Inputs!$D$27)),Inputs!$F$27-SQRT((1-P1229)*(Inputs!$F$27-Inputs!$D$27)*(Inputs!$F$27-Inputs!$E$27)))</f>
        <v>111.896196337263</v>
      </c>
      <c r="R1229" s="81" t="n">
        <f aca="true">RAND()</f>
        <v>0.851913596897204</v>
      </c>
      <c r="S1229" s="82" t="n">
        <f aca="false">IF(R1229&lt;(Inputs!$E$29-Inputs!$D$29)/(Inputs!$F$29-Inputs!$D$29),Inputs!$D$29+SQRT(R1229*(Inputs!$F$29-Inputs!$D$29)*(Inputs!$E$29-Inputs!$D$29)),Inputs!$F$29-SQRT((1-R1229)*(Inputs!$F$29-Inputs!$D$29)*(Inputs!$F$29-Inputs!$E$29)))</f>
        <v>10.612377363154</v>
      </c>
      <c r="T1229" s="68" t="n">
        <f aca="false">Inputs!$E$9*(1+E1229)+Inputs!$E$5*C1229*(Inputs!$E$11*Inputs!$E$14*(G1229*I1229/Inputs!$E$16+(1-G1229))*K1229+Inputs!$E$23*M1229)*(1+O1229)+Inputs!$E$5*(Q1229+S1229)</f>
        <v>6820.2083778809</v>
      </c>
    </row>
    <row r="1230" customFormat="false" ht="15" hidden="false" customHeight="false" outlineLevel="0" collapsed="false">
      <c r="A1230" s="1" t="n">
        <v>1226</v>
      </c>
      <c r="B1230" s="81" t="n">
        <f aca="true">RAND()</f>
        <v>0.45189315182337</v>
      </c>
      <c r="C1230" s="82" t="n">
        <f aca="false">ROUND(IF(B1230&lt;(Inputs!$E$8-Inputs!$D$8)/(Inputs!$F$8-Inputs!$D$8),Inputs!$D$8+SQRT(B1230*(Inputs!$F$8-Inputs!$D$8)*(Inputs!$E$8-Inputs!$D$8)),Inputs!$F$8-SQRT((1-B1230)*(Inputs!$F$8-Inputs!$D$8)*(Inputs!$F$8-Inputs!$E$8))),0)</f>
        <v>25</v>
      </c>
      <c r="D1230" s="81" t="n">
        <f aca="true">RAND()</f>
        <v>0.620326655195575</v>
      </c>
      <c r="E1230" s="83" t="n">
        <f aca="false">IF(D1230&lt;(Inputs!$E$10-Inputs!$D$10)/(Inputs!$F$10-Inputs!$D$10),Inputs!$D$10+SQRT(D1230*(Inputs!$F$10-Inputs!$D$10)*(Inputs!$E$10-Inputs!$D$10)),Inputs!$F$10-SQRT((1-D1230)*(Inputs!$F$10-Inputs!$D$10)*(Inputs!$F$10-Inputs!$E$10)))</f>
        <v>0.0932751184393595</v>
      </c>
      <c r="F1230" s="81" t="n">
        <f aca="true">RAND()</f>
        <v>0.257959209628207</v>
      </c>
      <c r="G1230" s="83" t="n">
        <f aca="false">IF(F1230&lt;(Inputs!$E$15-Inputs!$D$15)/(Inputs!$F$15-Inputs!$D$15),Inputs!$D$15+SQRT(F1230*(Inputs!$F$15-Inputs!$D$15)*(Inputs!$E$15-Inputs!$D$15)),Inputs!$F$15-SQRT((1-F1230)*(Inputs!$F$15-Inputs!$D$15)*(Inputs!$F$15-Inputs!$E$15)))</f>
        <v>0.671827461270493</v>
      </c>
      <c r="H1230" s="81" t="n">
        <f aca="true">RAND()</f>
        <v>0.825239629233938</v>
      </c>
      <c r="I1230" s="82" t="n">
        <f aca="false">ROUND(IF(H1230&lt;(Inputs!$E$17-Inputs!$D$17)/(Inputs!$F$17-Inputs!$D$17),Inputs!$D$17+SQRT(H1230*(Inputs!$F$17-Inputs!$D$17)*(Inputs!$E$17-Inputs!$D$17)),Inputs!$F$17-SQRT((1-H1230)*(Inputs!$F$17-Inputs!$D$17)*(Inputs!$F$17-Inputs!$E$17))),0)</f>
        <v>110</v>
      </c>
      <c r="J1230" s="81" t="n">
        <f aca="true">RAND()</f>
        <v>0.743991727480191</v>
      </c>
      <c r="K1230" s="83" t="n">
        <f aca="false">IF(J1230&lt;(Inputs!$E$18-Inputs!$D$18)/(Inputs!$F$18-Inputs!$D$18),Inputs!$D$18+SQRT(J1230*(Inputs!$F$18-Inputs!$D$18)*(Inputs!$E$18-Inputs!$D$18)),Inputs!$F$18-SQRT((1-J1230)*(Inputs!$F$18-Inputs!$D$18)*(Inputs!$F$18-Inputs!$E$18)))</f>
        <v>1.10033128635054</v>
      </c>
      <c r="L1230" s="81" t="n">
        <f aca="true">RAND()</f>
        <v>0.70007039091169</v>
      </c>
      <c r="M1230" s="83" t="n">
        <f aca="false">IF(L1230&lt;(Inputs!$E$24-Inputs!$D$24)/(Inputs!$F$24-Inputs!$D$24),Inputs!$D$24+SQRT(L1230*(Inputs!$F$24-Inputs!$D$24)*(Inputs!$E$24-Inputs!$D$24)),Inputs!$F$24-SQRT((1-L1230)*(Inputs!$F$24-Inputs!$D$24)*(Inputs!$F$24-Inputs!$E$24)))</f>
        <v>0.931703324319524</v>
      </c>
      <c r="N1230" s="81" t="n">
        <f aca="true">RAND()</f>
        <v>0.346244756363544</v>
      </c>
      <c r="O1230" s="83" t="n">
        <f aca="false">IF(N1230&lt;(Inputs!$E$26-Inputs!$D$26)/(Inputs!$F$26-Inputs!$D$26),Inputs!$D$26+SQRT(N1230*(Inputs!$F$26-Inputs!$D$26)*(Inputs!$E$26-Inputs!$D$26)),Inputs!$F$26-SQRT((1-N1230)*(Inputs!$F$26-Inputs!$D$26)*(Inputs!$F$26-Inputs!$E$26)))</f>
        <v>0.540031513470406</v>
      </c>
      <c r="P1230" s="81" t="n">
        <f aca="true">RAND()</f>
        <v>0.34316408651844</v>
      </c>
      <c r="Q1230" s="82" t="n">
        <f aca="false">IF(P1230&lt;(Inputs!$E$27-Inputs!$D$27)/(Inputs!$F$27-Inputs!$D$27),Inputs!$D$27+SQRT(P1230*(Inputs!$F$27-Inputs!$D$27)*(Inputs!$E$27-Inputs!$D$27)),Inputs!$F$27-SQRT((1-P1230)*(Inputs!$F$27-Inputs!$D$27)*(Inputs!$F$27-Inputs!$E$27)))</f>
        <v>79.8126125923489</v>
      </c>
      <c r="R1230" s="81" t="n">
        <f aca="true">RAND()</f>
        <v>0.221277908545362</v>
      </c>
      <c r="S1230" s="82" t="n">
        <f aca="false">IF(R1230&lt;(Inputs!$E$29-Inputs!$D$29)/(Inputs!$F$29-Inputs!$D$29),Inputs!$D$29+SQRT(R1230*(Inputs!$F$29-Inputs!$D$29)*(Inputs!$E$29-Inputs!$D$29)),Inputs!$F$29-SQRT((1-R1230)*(Inputs!$F$29-Inputs!$D$29)*(Inputs!$F$29-Inputs!$E$29)))</f>
        <v>4.93765866520757</v>
      </c>
      <c r="T1230" s="68" t="n">
        <f aca="false">Inputs!$E$9*(1+E1230)+Inputs!$E$5*C1230*(Inputs!$E$11*Inputs!$E$14*(G1230*I1230/Inputs!$E$16+(1-G1230))*K1230+Inputs!$E$23*M1230)*(1+O1230)+Inputs!$E$5*(Q1230+S1230)</f>
        <v>6481.75912626377</v>
      </c>
    </row>
    <row r="1231" customFormat="false" ht="15" hidden="false" customHeight="false" outlineLevel="0" collapsed="false">
      <c r="A1231" s="1" t="n">
        <v>1227</v>
      </c>
      <c r="B1231" s="81" t="n">
        <f aca="true">RAND()</f>
        <v>0.936839674613495</v>
      </c>
      <c r="C1231" s="82" t="n">
        <f aca="false">ROUND(IF(B1231&lt;(Inputs!$E$8-Inputs!$D$8)/(Inputs!$F$8-Inputs!$D$8),Inputs!$D$8+SQRT(B1231*(Inputs!$F$8-Inputs!$D$8)*(Inputs!$E$8-Inputs!$D$8)),Inputs!$F$8-SQRT((1-B1231)*(Inputs!$F$8-Inputs!$D$8)*(Inputs!$F$8-Inputs!$E$8))),0)</f>
        <v>28</v>
      </c>
      <c r="D1231" s="81" t="n">
        <f aca="true">RAND()</f>
        <v>0.572832363738008</v>
      </c>
      <c r="E1231" s="83" t="n">
        <f aca="false">IF(D1231&lt;(Inputs!$E$10-Inputs!$D$10)/(Inputs!$F$10-Inputs!$D$10),Inputs!$D$10+SQRT(D1231*(Inputs!$F$10-Inputs!$D$10)*(Inputs!$E$10-Inputs!$D$10)),Inputs!$F$10-SQRT((1-D1231)*(Inputs!$F$10-Inputs!$D$10)*(Inputs!$F$10-Inputs!$E$10)))</f>
        <v>0.0867965146832494</v>
      </c>
      <c r="F1231" s="81" t="n">
        <f aca="true">RAND()</f>
        <v>0.752757134930888</v>
      </c>
      <c r="G1231" s="83" t="n">
        <f aca="false">IF(F1231&lt;(Inputs!$E$15-Inputs!$D$15)/(Inputs!$F$15-Inputs!$D$15),Inputs!$D$15+SQRT(F1231*(Inputs!$F$15-Inputs!$D$15)*(Inputs!$E$15-Inputs!$D$15)),Inputs!$F$15-SQRT((1-F1231)*(Inputs!$F$15-Inputs!$D$15)*(Inputs!$F$15-Inputs!$E$15)))</f>
        <v>0.729680320667808</v>
      </c>
      <c r="H1231" s="81" t="n">
        <f aca="true">RAND()</f>
        <v>0.792202416876534</v>
      </c>
      <c r="I1231" s="82" t="n">
        <f aca="false">ROUND(IF(H1231&lt;(Inputs!$E$17-Inputs!$D$17)/(Inputs!$F$17-Inputs!$D$17),Inputs!$D$17+SQRT(H1231*(Inputs!$F$17-Inputs!$D$17)*(Inputs!$E$17-Inputs!$D$17)),Inputs!$F$17-SQRT((1-H1231)*(Inputs!$F$17-Inputs!$D$17)*(Inputs!$F$17-Inputs!$E$17))),0)</f>
        <v>109</v>
      </c>
      <c r="J1231" s="81" t="n">
        <f aca="true">RAND()</f>
        <v>0.740925620428834</v>
      </c>
      <c r="K1231" s="83" t="n">
        <f aca="false">IF(J1231&lt;(Inputs!$E$18-Inputs!$D$18)/(Inputs!$F$18-Inputs!$D$18),Inputs!$D$18+SQRT(J1231*(Inputs!$F$18-Inputs!$D$18)*(Inputs!$E$18-Inputs!$D$18)),Inputs!$F$18-SQRT((1-J1231)*(Inputs!$F$18-Inputs!$D$18)*(Inputs!$F$18-Inputs!$E$18)))</f>
        <v>1.09943769325466</v>
      </c>
      <c r="L1231" s="81" t="n">
        <f aca="true">RAND()</f>
        <v>0.958729359892555</v>
      </c>
      <c r="M1231" s="83" t="n">
        <f aca="false">IF(L1231&lt;(Inputs!$E$24-Inputs!$D$24)/(Inputs!$F$24-Inputs!$D$24),Inputs!$D$24+SQRT(L1231*(Inputs!$F$24-Inputs!$D$24)*(Inputs!$E$24-Inputs!$D$24)),Inputs!$F$24-SQRT((1-L1231)*(Inputs!$F$24-Inputs!$D$24)*(Inputs!$F$24-Inputs!$E$24)))</f>
        <v>1.10047636649626</v>
      </c>
      <c r="N1231" s="81" t="n">
        <f aca="true">RAND()</f>
        <v>0.644298474020532</v>
      </c>
      <c r="O1231" s="83" t="n">
        <f aca="false">IF(N1231&lt;(Inputs!$E$26-Inputs!$D$26)/(Inputs!$F$26-Inputs!$D$26),Inputs!$D$26+SQRT(N1231*(Inputs!$F$26-Inputs!$D$26)*(Inputs!$E$26-Inputs!$D$26)),Inputs!$F$26-SQRT((1-N1231)*(Inputs!$F$26-Inputs!$D$26)*(Inputs!$F$26-Inputs!$E$26)))</f>
        <v>0.627664463237121</v>
      </c>
      <c r="P1231" s="81" t="n">
        <f aca="true">RAND()</f>
        <v>0.195728723432777</v>
      </c>
      <c r="Q1231" s="82" t="n">
        <f aca="false">IF(P1231&lt;(Inputs!$E$27-Inputs!$D$27)/(Inputs!$F$27-Inputs!$D$27),Inputs!$D$27+SQRT(P1231*(Inputs!$F$27-Inputs!$D$27)*(Inputs!$E$27-Inputs!$D$27)),Inputs!$F$27-SQRT((1-P1231)*(Inputs!$F$27-Inputs!$D$27)*(Inputs!$F$27-Inputs!$E$27)))</f>
        <v>72.1206195343156</v>
      </c>
      <c r="R1231" s="81" t="n">
        <f aca="true">RAND()</f>
        <v>0.0350768224922622</v>
      </c>
      <c r="S1231" s="82" t="n">
        <f aca="false">IF(R1231&lt;(Inputs!$E$29-Inputs!$D$29)/(Inputs!$F$29-Inputs!$D$29),Inputs!$D$29+SQRT(R1231*(Inputs!$F$29-Inputs!$D$29)*(Inputs!$E$29-Inputs!$D$29)),Inputs!$F$29-SQRT((1-R1231)*(Inputs!$F$29-Inputs!$D$29)*(Inputs!$F$29-Inputs!$E$29)))</f>
        <v>3.1696136444135</v>
      </c>
      <c r="T1231" s="68" t="n">
        <f aca="false">Inputs!$E$9*(1+E1231)+Inputs!$E$5*C1231*(Inputs!$E$11*Inputs!$E$14*(G1231*I1231/Inputs!$E$16+(1-G1231))*K1231+Inputs!$E$23*M1231)*(1+O1231)+Inputs!$E$5*(Q1231+S1231)</f>
        <v>7257.55853231914</v>
      </c>
    </row>
    <row r="1232" customFormat="false" ht="15" hidden="false" customHeight="false" outlineLevel="0" collapsed="false">
      <c r="A1232" s="1" t="n">
        <v>1228</v>
      </c>
      <c r="B1232" s="81" t="n">
        <f aca="true">RAND()</f>
        <v>0.777365214029327</v>
      </c>
      <c r="C1232" s="82" t="n">
        <f aca="false">ROUND(IF(B1232&lt;(Inputs!$E$8-Inputs!$D$8)/(Inputs!$F$8-Inputs!$D$8),Inputs!$D$8+SQRT(B1232*(Inputs!$F$8-Inputs!$D$8)*(Inputs!$E$8-Inputs!$D$8)),Inputs!$F$8-SQRT((1-B1232)*(Inputs!$F$8-Inputs!$D$8)*(Inputs!$F$8-Inputs!$E$8))),0)</f>
        <v>27</v>
      </c>
      <c r="D1232" s="81" t="n">
        <f aca="true">RAND()</f>
        <v>0.977404171299172</v>
      </c>
      <c r="E1232" s="83" t="n">
        <f aca="false">IF(D1232&lt;(Inputs!$E$10-Inputs!$D$10)/(Inputs!$F$10-Inputs!$D$10),Inputs!$D$10+SQRT(D1232*(Inputs!$F$10-Inputs!$D$10)*(Inputs!$E$10-Inputs!$D$10)),Inputs!$F$10-SQRT((1-D1232)*(Inputs!$F$10-Inputs!$D$10)*(Inputs!$F$10-Inputs!$E$10)))</f>
        <v>0.173963969945001</v>
      </c>
      <c r="F1232" s="81" t="n">
        <f aca="true">RAND()</f>
        <v>0.072760189370333</v>
      </c>
      <c r="G1232" s="83" t="n">
        <f aca="false">IF(F1232&lt;(Inputs!$E$15-Inputs!$D$15)/(Inputs!$F$15-Inputs!$D$15),Inputs!$D$15+SQRT(F1232*(Inputs!$F$15-Inputs!$D$15)*(Inputs!$E$15-Inputs!$D$15)),Inputs!$F$15-SQRT((1-F1232)*(Inputs!$F$15-Inputs!$D$15)*(Inputs!$F$15-Inputs!$E$15)))</f>
        <v>0.638147133410083</v>
      </c>
      <c r="H1232" s="81" t="n">
        <f aca="true">RAND()</f>
        <v>0.23618594504216</v>
      </c>
      <c r="I1232" s="82" t="n">
        <f aca="false">ROUND(IF(H1232&lt;(Inputs!$E$17-Inputs!$D$17)/(Inputs!$F$17-Inputs!$D$17),Inputs!$D$17+SQRT(H1232*(Inputs!$F$17-Inputs!$D$17)*(Inputs!$E$17-Inputs!$D$17)),Inputs!$F$17-SQRT((1-H1232)*(Inputs!$F$17-Inputs!$D$17)*(Inputs!$F$17-Inputs!$E$17))),0)</f>
        <v>104</v>
      </c>
      <c r="J1232" s="81" t="n">
        <f aca="true">RAND()</f>
        <v>0.80012205494249</v>
      </c>
      <c r="K1232" s="83" t="n">
        <f aca="false">IF(J1232&lt;(Inputs!$E$18-Inputs!$D$18)/(Inputs!$F$18-Inputs!$D$18),Inputs!$D$18+SQRT(J1232*(Inputs!$F$18-Inputs!$D$18)*(Inputs!$E$18-Inputs!$D$18)),Inputs!$F$18-SQRT((1-J1232)*(Inputs!$F$18-Inputs!$D$18)*(Inputs!$F$18-Inputs!$E$18)))</f>
        <v>1.11775280648523</v>
      </c>
      <c r="L1232" s="81" t="n">
        <f aca="true">RAND()</f>
        <v>0.80355223565002</v>
      </c>
      <c r="M1232" s="83" t="n">
        <f aca="false">IF(L1232&lt;(Inputs!$E$24-Inputs!$D$24)/(Inputs!$F$24-Inputs!$D$24),Inputs!$D$24+SQRT(L1232*(Inputs!$F$24-Inputs!$D$24)*(Inputs!$E$24-Inputs!$D$24)),Inputs!$F$24-SQRT((1-L1232)*(Inputs!$F$24-Inputs!$D$24)*(Inputs!$F$24-Inputs!$E$24)))</f>
        <v>0.982865333389633</v>
      </c>
      <c r="N1232" s="81" t="n">
        <f aca="true">RAND()</f>
        <v>0.70422732316564</v>
      </c>
      <c r="O1232" s="83" t="n">
        <f aca="false">IF(N1232&lt;(Inputs!$E$26-Inputs!$D$26)/(Inputs!$F$26-Inputs!$D$26),Inputs!$D$26+SQRT(N1232*(Inputs!$F$26-Inputs!$D$26)*(Inputs!$E$26-Inputs!$D$26)),Inputs!$F$26-SQRT((1-N1232)*(Inputs!$F$26-Inputs!$D$26)*(Inputs!$F$26-Inputs!$E$26)))</f>
        <v>0.644613688131675</v>
      </c>
      <c r="P1232" s="81" t="n">
        <f aca="true">RAND()</f>
        <v>0.815855549386405</v>
      </c>
      <c r="Q1232" s="82" t="n">
        <f aca="false">IF(P1232&lt;(Inputs!$E$27-Inputs!$D$27)/(Inputs!$F$27-Inputs!$D$27),Inputs!$D$27+SQRT(P1232*(Inputs!$F$27-Inputs!$D$27)*(Inputs!$E$27-Inputs!$D$27)),Inputs!$F$27-SQRT((1-P1232)*(Inputs!$F$27-Inputs!$D$27)*(Inputs!$F$27-Inputs!$E$27)))</f>
        <v>112.837069819483</v>
      </c>
      <c r="R1232" s="81" t="n">
        <f aca="true">RAND()</f>
        <v>0.174268896001435</v>
      </c>
      <c r="S1232" s="82" t="n">
        <f aca="false">IF(R1232&lt;(Inputs!$E$29-Inputs!$D$29)/(Inputs!$F$29-Inputs!$D$29),Inputs!$D$29+SQRT(R1232*(Inputs!$F$29-Inputs!$D$29)*(Inputs!$E$29-Inputs!$D$29)),Inputs!$F$29-SQRT((1-R1232)*(Inputs!$F$29-Inputs!$D$29)*(Inputs!$F$29-Inputs!$E$29)))</f>
        <v>4.60700727733084</v>
      </c>
      <c r="T1232" s="68" t="n">
        <f aca="false">Inputs!$E$9*(1+E1232)+Inputs!$E$5*C1232*(Inputs!$E$11*Inputs!$E$14*(G1232*I1232/Inputs!$E$16+(1-G1232))*K1232+Inputs!$E$23*M1232)*(1+O1232)+Inputs!$E$5*(Q1232+S1232)</f>
        <v>7480.29617450702</v>
      </c>
    </row>
    <row r="1233" customFormat="false" ht="15" hidden="false" customHeight="false" outlineLevel="0" collapsed="false">
      <c r="A1233" s="1" t="n">
        <v>1229</v>
      </c>
      <c r="B1233" s="81" t="n">
        <f aca="true">RAND()</f>
        <v>0.100575141670465</v>
      </c>
      <c r="C1233" s="82" t="n">
        <f aca="false">ROUND(IF(B1233&lt;(Inputs!$E$8-Inputs!$D$8)/(Inputs!$F$8-Inputs!$D$8),Inputs!$D$8+SQRT(B1233*(Inputs!$F$8-Inputs!$D$8)*(Inputs!$E$8-Inputs!$D$8)),Inputs!$F$8-SQRT((1-B1233)*(Inputs!$F$8-Inputs!$D$8)*(Inputs!$F$8-Inputs!$E$8))),0)</f>
        <v>22</v>
      </c>
      <c r="D1233" s="81" t="n">
        <f aca="true">RAND()</f>
        <v>0.267655585630803</v>
      </c>
      <c r="E1233" s="83" t="n">
        <f aca="false">IF(D1233&lt;(Inputs!$E$10-Inputs!$D$10)/(Inputs!$F$10-Inputs!$D$10),Inputs!$D$10+SQRT(D1233*(Inputs!$F$10-Inputs!$D$10)*(Inputs!$E$10-Inputs!$D$10)),Inputs!$F$10-SQRT((1-D1233)*(Inputs!$F$10-Inputs!$D$10)*(Inputs!$F$10-Inputs!$E$10)))</f>
        <v>0.051776073351581</v>
      </c>
      <c r="F1233" s="81" t="n">
        <f aca="true">RAND()</f>
        <v>0.0996920013725469</v>
      </c>
      <c r="G1233" s="83" t="n">
        <f aca="false">IF(F1233&lt;(Inputs!$E$15-Inputs!$D$15)/(Inputs!$F$15-Inputs!$D$15),Inputs!$D$15+SQRT(F1233*(Inputs!$F$15-Inputs!$D$15)*(Inputs!$E$15-Inputs!$D$15)),Inputs!$F$15-SQRT((1-F1233)*(Inputs!$F$15-Inputs!$D$15)*(Inputs!$F$15-Inputs!$E$15)))</f>
        <v>0.644652435851261</v>
      </c>
      <c r="H1233" s="81" t="n">
        <f aca="true">RAND()</f>
        <v>0.584750028998863</v>
      </c>
      <c r="I1233" s="82" t="n">
        <f aca="false">ROUND(IF(H1233&lt;(Inputs!$E$17-Inputs!$D$17)/(Inputs!$F$17-Inputs!$D$17),Inputs!$D$17+SQRT(H1233*(Inputs!$F$17-Inputs!$D$17)*(Inputs!$E$17-Inputs!$D$17)),Inputs!$F$17-SQRT((1-H1233)*(Inputs!$F$17-Inputs!$D$17)*(Inputs!$F$17-Inputs!$E$17))),0)</f>
        <v>107</v>
      </c>
      <c r="J1233" s="81" t="n">
        <f aca="true">RAND()</f>
        <v>0.921633564077087</v>
      </c>
      <c r="K1233" s="83" t="n">
        <f aca="false">IF(J1233&lt;(Inputs!$E$18-Inputs!$D$18)/(Inputs!$F$18-Inputs!$D$18),Inputs!$D$18+SQRT(J1233*(Inputs!$F$18-Inputs!$D$18)*(Inputs!$E$18-Inputs!$D$18)),Inputs!$F$18-SQRT((1-J1233)*(Inputs!$F$18-Inputs!$D$18)*(Inputs!$F$18-Inputs!$E$18)))</f>
        <v>1.16719261419864</v>
      </c>
      <c r="L1233" s="81" t="n">
        <f aca="true">RAND()</f>
        <v>0.00202998461503864</v>
      </c>
      <c r="M1233" s="83" t="n">
        <f aca="false">IF(L1233&lt;(Inputs!$E$24-Inputs!$D$24)/(Inputs!$F$24-Inputs!$D$24),Inputs!$D$24+SQRT(L1233*(Inputs!$F$24-Inputs!$D$24)*(Inputs!$E$24-Inputs!$D$24)),Inputs!$F$24-SQRT((1-L1233)*(Inputs!$F$24-Inputs!$D$24)*(Inputs!$F$24-Inputs!$E$24)))</f>
        <v>0.615607631268217</v>
      </c>
      <c r="N1233" s="81" t="n">
        <f aca="true">RAND()</f>
        <v>0.213629555458097</v>
      </c>
      <c r="O1233" s="83" t="n">
        <f aca="false">IF(N1233&lt;(Inputs!$E$26-Inputs!$D$26)/(Inputs!$F$26-Inputs!$D$26),Inputs!$D$26+SQRT(N1233*(Inputs!$F$26-Inputs!$D$26)*(Inputs!$E$26-Inputs!$D$26)),Inputs!$F$26-SQRT((1-N1233)*(Inputs!$F$26-Inputs!$D$26)*(Inputs!$F$26-Inputs!$E$26)))</f>
        <v>0.488541661253494</v>
      </c>
      <c r="P1233" s="81" t="n">
        <f aca="true">RAND()</f>
        <v>0.356174802788177</v>
      </c>
      <c r="Q1233" s="82" t="n">
        <f aca="false">IF(P1233&lt;(Inputs!$E$27-Inputs!$D$27)/(Inputs!$F$27-Inputs!$D$27),Inputs!$D$27+SQRT(P1233*(Inputs!$F$27-Inputs!$D$27)*(Inputs!$E$27-Inputs!$D$27)),Inputs!$F$27-SQRT((1-P1233)*(Inputs!$F$27-Inputs!$D$27)*(Inputs!$F$27-Inputs!$E$27)))</f>
        <v>80.5112312737614</v>
      </c>
      <c r="R1233" s="81" t="n">
        <f aca="true">RAND()</f>
        <v>0.495316397773592</v>
      </c>
      <c r="S1233" s="82" t="n">
        <f aca="false">IF(R1233&lt;(Inputs!$E$29-Inputs!$D$29)/(Inputs!$F$29-Inputs!$D$29),Inputs!$D$29+SQRT(R1233*(Inputs!$F$29-Inputs!$D$29)*(Inputs!$E$29-Inputs!$D$29)),Inputs!$F$29-SQRT((1-R1233)*(Inputs!$F$29-Inputs!$D$29)*(Inputs!$F$29-Inputs!$E$29)))</f>
        <v>6.90006985897823</v>
      </c>
      <c r="T1233" s="68" t="n">
        <f aca="false">Inputs!$E$9*(1+E1233)+Inputs!$E$5*C1233*(Inputs!$E$11*Inputs!$E$14*(G1233*I1233/Inputs!$E$16+(1-G1233))*K1233+Inputs!$E$23*M1233)*(1+O1233)+Inputs!$E$5*(Q1233+S1233)</f>
        <v>5613.26560544904</v>
      </c>
    </row>
    <row r="1234" customFormat="false" ht="15" hidden="false" customHeight="false" outlineLevel="0" collapsed="false">
      <c r="A1234" s="1" t="n">
        <v>1230</v>
      </c>
      <c r="B1234" s="81" t="n">
        <f aca="true">RAND()</f>
        <v>0.237172428632794</v>
      </c>
      <c r="C1234" s="82" t="n">
        <f aca="false">ROUND(IF(B1234&lt;(Inputs!$E$8-Inputs!$D$8)/(Inputs!$F$8-Inputs!$D$8),Inputs!$D$8+SQRT(B1234*(Inputs!$F$8-Inputs!$D$8)*(Inputs!$E$8-Inputs!$D$8)),Inputs!$F$8-SQRT((1-B1234)*(Inputs!$F$8-Inputs!$D$8)*(Inputs!$F$8-Inputs!$E$8))),0)</f>
        <v>23</v>
      </c>
      <c r="D1234" s="81" t="n">
        <f aca="true">RAND()</f>
        <v>0.225842714846715</v>
      </c>
      <c r="E1234" s="83" t="n">
        <f aca="false">IF(D1234&lt;(Inputs!$E$10-Inputs!$D$10)/(Inputs!$F$10-Inputs!$D$10),Inputs!$D$10+SQRT(D1234*(Inputs!$F$10-Inputs!$D$10)*(Inputs!$E$10-Inputs!$D$10)),Inputs!$F$10-SQRT((1-D1234)*(Inputs!$F$10-Inputs!$D$10)*(Inputs!$F$10-Inputs!$E$10)))</f>
        <v>0.0475229118264774</v>
      </c>
      <c r="F1234" s="81" t="n">
        <f aca="true">RAND()</f>
        <v>0.464805973627835</v>
      </c>
      <c r="G1234" s="83" t="n">
        <f aca="false">IF(F1234&lt;(Inputs!$E$15-Inputs!$D$15)/(Inputs!$F$15-Inputs!$D$15),Inputs!$D$15+SQRT(F1234*(Inputs!$F$15-Inputs!$D$15)*(Inputs!$E$15-Inputs!$D$15)),Inputs!$F$15-SQRT((1-F1234)*(Inputs!$F$15-Inputs!$D$15)*(Inputs!$F$15-Inputs!$E$15)))</f>
        <v>0.696416385913167</v>
      </c>
      <c r="H1234" s="81" t="n">
        <f aca="true">RAND()</f>
        <v>0.0905923596435228</v>
      </c>
      <c r="I1234" s="82" t="n">
        <f aca="false">ROUND(IF(H1234&lt;(Inputs!$E$17-Inputs!$D$17)/(Inputs!$F$17-Inputs!$D$17),Inputs!$D$17+SQRT(H1234*(Inputs!$F$17-Inputs!$D$17)*(Inputs!$E$17-Inputs!$D$17)),Inputs!$F$17-SQRT((1-H1234)*(Inputs!$F$17-Inputs!$D$17)*(Inputs!$F$17-Inputs!$E$17))),0)</f>
        <v>103</v>
      </c>
      <c r="J1234" s="81" t="n">
        <f aca="true">RAND()</f>
        <v>0.598304186712353</v>
      </c>
      <c r="K1234" s="83" t="n">
        <f aca="false">IF(J1234&lt;(Inputs!$E$18-Inputs!$D$18)/(Inputs!$F$18-Inputs!$D$18),Inputs!$D$18+SQRT(J1234*(Inputs!$F$18-Inputs!$D$18)*(Inputs!$E$18-Inputs!$D$18)),Inputs!$F$18-SQRT((1-J1234)*(Inputs!$F$18-Inputs!$D$18)*(Inputs!$F$18-Inputs!$E$18)))</f>
        <v>1.06252097807309</v>
      </c>
      <c r="L1234" s="81" t="n">
        <f aca="true">RAND()</f>
        <v>0.0244568212203552</v>
      </c>
      <c r="M1234" s="83" t="n">
        <f aca="false">IF(L1234&lt;(Inputs!$E$24-Inputs!$D$24)/(Inputs!$F$24-Inputs!$D$24),Inputs!$D$24+SQRT(L1234*(Inputs!$F$24-Inputs!$D$24)*(Inputs!$E$24-Inputs!$D$24)),Inputs!$F$24-SQRT((1-L1234)*(Inputs!$F$24-Inputs!$D$24)*(Inputs!$F$24-Inputs!$E$24)))</f>
        <v>0.654173965577966</v>
      </c>
      <c r="N1234" s="81" t="n">
        <f aca="true">RAND()</f>
        <v>0.78492196053622</v>
      </c>
      <c r="O1234" s="83" t="n">
        <f aca="false">IF(N1234&lt;(Inputs!$E$26-Inputs!$D$26)/(Inputs!$F$26-Inputs!$D$26),Inputs!$D$26+SQRT(N1234*(Inputs!$F$26-Inputs!$D$26)*(Inputs!$E$26-Inputs!$D$26)),Inputs!$F$26-SQRT((1-N1234)*(Inputs!$F$26-Inputs!$D$26)*(Inputs!$F$26-Inputs!$E$26)))</f>
        <v>0.670440259079413</v>
      </c>
      <c r="P1234" s="81" t="n">
        <f aca="true">RAND()</f>
        <v>0.282422982778118</v>
      </c>
      <c r="Q1234" s="82" t="n">
        <f aca="false">IF(P1234&lt;(Inputs!$E$27-Inputs!$D$27)/(Inputs!$F$27-Inputs!$D$27),Inputs!$D$27+SQRT(P1234*(Inputs!$F$27-Inputs!$D$27)*(Inputs!$E$27-Inputs!$D$27)),Inputs!$F$27-SQRT((1-P1234)*(Inputs!$F$27-Inputs!$D$27)*(Inputs!$F$27-Inputs!$E$27)))</f>
        <v>76.6390592401916</v>
      </c>
      <c r="R1234" s="81" t="n">
        <f aca="true">RAND()</f>
        <v>0.580142805604323</v>
      </c>
      <c r="S1234" s="82" t="n">
        <f aca="false">IF(R1234&lt;(Inputs!$E$29-Inputs!$D$29)/(Inputs!$F$29-Inputs!$D$29),Inputs!$D$29+SQRT(R1234*(Inputs!$F$29-Inputs!$D$29)*(Inputs!$E$29-Inputs!$D$29)),Inputs!$F$29-SQRT((1-R1234)*(Inputs!$F$29-Inputs!$D$29)*(Inputs!$F$29-Inputs!$E$29)))</f>
        <v>7.61207503615271</v>
      </c>
      <c r="T1234" s="68" t="n">
        <f aca="false">Inputs!$E$9*(1+E1234)+Inputs!$E$5*C1234*(Inputs!$E$11*Inputs!$E$14*(G1234*I1234/Inputs!$E$16+(1-G1234))*K1234+Inputs!$E$23*M1234)*(1+O1234)+Inputs!$E$5*(Q1234+S1234)</f>
        <v>5795.22856477733</v>
      </c>
    </row>
    <row r="1235" customFormat="false" ht="15" hidden="false" customHeight="false" outlineLevel="0" collapsed="false">
      <c r="A1235" s="1" t="n">
        <v>1231</v>
      </c>
      <c r="B1235" s="81" t="n">
        <f aca="true">RAND()</f>
        <v>0.170454211155678</v>
      </c>
      <c r="C1235" s="82" t="n">
        <f aca="false">ROUND(IF(B1235&lt;(Inputs!$E$8-Inputs!$D$8)/(Inputs!$F$8-Inputs!$D$8),Inputs!$D$8+SQRT(B1235*(Inputs!$F$8-Inputs!$D$8)*(Inputs!$E$8-Inputs!$D$8)),Inputs!$F$8-SQRT((1-B1235)*(Inputs!$F$8-Inputs!$D$8)*(Inputs!$F$8-Inputs!$E$8))),0)</f>
        <v>23</v>
      </c>
      <c r="D1235" s="81" t="n">
        <f aca="true">RAND()</f>
        <v>0.683233197690223</v>
      </c>
      <c r="E1235" s="83" t="n">
        <f aca="false">IF(D1235&lt;(Inputs!$E$10-Inputs!$D$10)/(Inputs!$F$10-Inputs!$D$10),Inputs!$D$10+SQRT(D1235*(Inputs!$F$10-Inputs!$D$10)*(Inputs!$E$10-Inputs!$D$10)),Inputs!$F$10-SQRT((1-D1235)*(Inputs!$F$10-Inputs!$D$10)*(Inputs!$F$10-Inputs!$E$10)))</f>
        <v>0.102516647219675</v>
      </c>
      <c r="F1235" s="81" t="n">
        <f aca="true">RAND()</f>
        <v>0.820050599360075</v>
      </c>
      <c r="G1235" s="83" t="n">
        <f aca="false">IF(F1235&lt;(Inputs!$E$15-Inputs!$D$15)/(Inputs!$F$15-Inputs!$D$15),Inputs!$D$15+SQRT(F1235*(Inputs!$F$15-Inputs!$D$15)*(Inputs!$E$15-Inputs!$D$15)),Inputs!$F$15-SQRT((1-F1235)*(Inputs!$F$15-Inputs!$D$15)*(Inputs!$F$15-Inputs!$E$15)))</f>
        <v>0.740008433819424</v>
      </c>
      <c r="H1235" s="81" t="n">
        <f aca="true">RAND()</f>
        <v>0.367629985292463</v>
      </c>
      <c r="I1235" s="82" t="n">
        <f aca="false">ROUND(IF(H1235&lt;(Inputs!$E$17-Inputs!$D$17)/(Inputs!$F$17-Inputs!$D$17),Inputs!$D$17+SQRT(H1235*(Inputs!$F$17-Inputs!$D$17)*(Inputs!$E$17-Inputs!$D$17)),Inputs!$F$17-SQRT((1-H1235)*(Inputs!$F$17-Inputs!$D$17)*(Inputs!$F$17-Inputs!$E$17))),0)</f>
        <v>105</v>
      </c>
      <c r="J1235" s="81" t="n">
        <f aca="true">RAND()</f>
        <v>0.602275404752482</v>
      </c>
      <c r="K1235" s="83" t="n">
        <f aca="false">IF(J1235&lt;(Inputs!$E$18-Inputs!$D$18)/(Inputs!$F$18-Inputs!$D$18),Inputs!$D$18+SQRT(J1235*(Inputs!$F$18-Inputs!$D$18)*(Inputs!$E$18-Inputs!$D$18)),Inputs!$F$18-SQRT((1-J1235)*(Inputs!$F$18-Inputs!$D$18)*(Inputs!$F$18-Inputs!$E$18)))</f>
        <v>1.06345000111456</v>
      </c>
      <c r="L1235" s="81" t="n">
        <f aca="true">RAND()</f>
        <v>0.280107031535861</v>
      </c>
      <c r="M1235" s="83" t="n">
        <f aca="false">IF(L1235&lt;(Inputs!$E$24-Inputs!$D$24)/(Inputs!$F$24-Inputs!$D$24),Inputs!$D$24+SQRT(L1235*(Inputs!$F$24-Inputs!$D$24)*(Inputs!$E$24-Inputs!$D$24)),Inputs!$F$24-SQRT((1-L1235)*(Inputs!$F$24-Inputs!$D$24)*(Inputs!$F$24-Inputs!$E$24)))</f>
        <v>0.783338058744777</v>
      </c>
      <c r="N1235" s="81" t="n">
        <f aca="true">RAND()</f>
        <v>0.855540366250535</v>
      </c>
      <c r="O1235" s="83" t="n">
        <f aca="false">IF(N1235&lt;(Inputs!$E$26-Inputs!$D$26)/(Inputs!$F$26-Inputs!$D$26),Inputs!$D$26+SQRT(N1235*(Inputs!$F$26-Inputs!$D$26)*(Inputs!$E$26-Inputs!$D$26)),Inputs!$F$26-SQRT((1-N1235)*(Inputs!$F$26-Inputs!$D$26)*(Inputs!$F$26-Inputs!$E$26)))</f>
        <v>0.697428380487389</v>
      </c>
      <c r="P1235" s="81" t="n">
        <f aca="true">RAND()</f>
        <v>0.18487137850512</v>
      </c>
      <c r="Q1235" s="82" t="n">
        <f aca="false">IF(P1235&lt;(Inputs!$E$27-Inputs!$D$27)/(Inputs!$F$27-Inputs!$D$27),Inputs!$D$27+SQRT(P1235*(Inputs!$F$27-Inputs!$D$27)*(Inputs!$E$27-Inputs!$D$27)),Inputs!$F$27-SQRT((1-P1235)*(Inputs!$F$27-Inputs!$D$27)*(Inputs!$F$27-Inputs!$E$27)))</f>
        <v>71.498335895199</v>
      </c>
      <c r="R1235" s="81" t="n">
        <f aca="true">RAND()</f>
        <v>0.957567322353904</v>
      </c>
      <c r="S1235" s="82" t="n">
        <f aca="false">IF(R1235&lt;(Inputs!$E$29-Inputs!$D$29)/(Inputs!$F$29-Inputs!$D$29),Inputs!$D$29+SQRT(R1235*(Inputs!$F$29-Inputs!$D$29)*(Inputs!$E$29-Inputs!$D$29)),Inputs!$F$29-SQRT((1-R1235)*(Inputs!$F$29-Inputs!$D$29)*(Inputs!$F$29-Inputs!$E$29)))</f>
        <v>12.6513305694516</v>
      </c>
      <c r="T1235" s="68" t="n">
        <f aca="false">Inputs!$E$9*(1+E1235)+Inputs!$E$5*C1235*(Inputs!$E$11*Inputs!$E$14*(G1235*I1235/Inputs!$E$16+(1-G1235))*K1235+Inputs!$E$23*M1235)*(1+O1235)+Inputs!$E$5*(Q1235+S1235)</f>
        <v>6110.80768463638</v>
      </c>
    </row>
    <row r="1236" customFormat="false" ht="15" hidden="false" customHeight="false" outlineLevel="0" collapsed="false">
      <c r="A1236" s="1" t="n">
        <v>1232</v>
      </c>
      <c r="B1236" s="81" t="n">
        <f aca="true">RAND()</f>
        <v>0.851624757069217</v>
      </c>
      <c r="C1236" s="82" t="n">
        <f aca="false">ROUND(IF(B1236&lt;(Inputs!$E$8-Inputs!$D$8)/(Inputs!$F$8-Inputs!$D$8),Inputs!$D$8+SQRT(B1236*(Inputs!$F$8-Inputs!$D$8)*(Inputs!$E$8-Inputs!$D$8)),Inputs!$F$8-SQRT((1-B1236)*(Inputs!$F$8-Inputs!$D$8)*(Inputs!$F$8-Inputs!$E$8))),0)</f>
        <v>27</v>
      </c>
      <c r="D1236" s="81" t="n">
        <f aca="true">RAND()</f>
        <v>0.337078025377629</v>
      </c>
      <c r="E1236" s="83" t="n">
        <f aca="false">IF(D1236&lt;(Inputs!$E$10-Inputs!$D$10)/(Inputs!$F$10-Inputs!$D$10),Inputs!$D$10+SQRT(D1236*(Inputs!$F$10-Inputs!$D$10)*(Inputs!$E$10-Inputs!$D$10)),Inputs!$F$10-SQRT((1-D1236)*(Inputs!$F$10-Inputs!$D$10)*(Inputs!$F$10-Inputs!$E$10)))</f>
        <v>0.0589763876555734</v>
      </c>
      <c r="F1236" s="81" t="n">
        <f aca="true">RAND()</f>
        <v>0.251959863103191</v>
      </c>
      <c r="G1236" s="83" t="n">
        <f aca="false">IF(F1236&lt;(Inputs!$E$15-Inputs!$D$15)/(Inputs!$F$15-Inputs!$D$15),Inputs!$D$15+SQRT(F1236*(Inputs!$F$15-Inputs!$D$15)*(Inputs!$E$15-Inputs!$D$15)),Inputs!$F$15-SQRT((1-F1236)*(Inputs!$F$15-Inputs!$D$15)*(Inputs!$F$15-Inputs!$E$15)))</f>
        <v>0.670987303527207</v>
      </c>
      <c r="H1236" s="81" t="n">
        <f aca="true">RAND()</f>
        <v>0.899479896150205</v>
      </c>
      <c r="I1236" s="82" t="n">
        <f aca="false">ROUND(IF(H1236&lt;(Inputs!$E$17-Inputs!$D$17)/(Inputs!$F$17-Inputs!$D$17),Inputs!$D$17+SQRT(H1236*(Inputs!$F$17-Inputs!$D$17)*(Inputs!$E$17-Inputs!$D$17)),Inputs!$F$17-SQRT((1-H1236)*(Inputs!$F$17-Inputs!$D$17)*(Inputs!$F$17-Inputs!$E$17))),0)</f>
        <v>111</v>
      </c>
      <c r="J1236" s="81" t="n">
        <f aca="true">RAND()</f>
        <v>0.699051192633912</v>
      </c>
      <c r="K1236" s="83" t="n">
        <f aca="false">IF(J1236&lt;(Inputs!$E$18-Inputs!$D$18)/(Inputs!$F$18-Inputs!$D$18),Inputs!$D$18+SQRT(J1236*(Inputs!$F$18-Inputs!$D$18)*(Inputs!$E$18-Inputs!$D$18)),Inputs!$F$18-SQRT((1-J1236)*(Inputs!$F$18-Inputs!$D$18)*(Inputs!$F$18-Inputs!$E$18)))</f>
        <v>1.08772547752487</v>
      </c>
      <c r="L1236" s="81" t="n">
        <f aca="true">RAND()</f>
        <v>0.4466026056272</v>
      </c>
      <c r="M1236" s="83" t="n">
        <f aca="false">IF(L1236&lt;(Inputs!$E$24-Inputs!$D$24)/(Inputs!$F$24-Inputs!$D$24),Inputs!$D$24+SQRT(L1236*(Inputs!$F$24-Inputs!$D$24)*(Inputs!$E$24-Inputs!$D$24)),Inputs!$F$24-SQRT((1-L1236)*(Inputs!$F$24-Inputs!$D$24)*(Inputs!$F$24-Inputs!$E$24)))</f>
        <v>0.835561562606972</v>
      </c>
      <c r="N1236" s="81" t="n">
        <f aca="true">RAND()</f>
        <v>0.587811597588624</v>
      </c>
      <c r="O1236" s="83" t="n">
        <f aca="false">IF(N1236&lt;(Inputs!$E$26-Inputs!$D$26)/(Inputs!$F$26-Inputs!$D$26),Inputs!$D$26+SQRT(N1236*(Inputs!$F$26-Inputs!$D$26)*(Inputs!$E$26-Inputs!$D$26)),Inputs!$F$26-SQRT((1-N1236)*(Inputs!$F$26-Inputs!$D$26)*(Inputs!$F$26-Inputs!$E$26)))</f>
        <v>0.612748860651397</v>
      </c>
      <c r="P1236" s="81" t="n">
        <f aca="true">RAND()</f>
        <v>0.433551834124435</v>
      </c>
      <c r="Q1236" s="82" t="n">
        <f aca="false">IF(P1236&lt;(Inputs!$E$27-Inputs!$D$27)/(Inputs!$F$27-Inputs!$D$27),Inputs!$D$27+SQRT(P1236*(Inputs!$F$27-Inputs!$D$27)*(Inputs!$E$27-Inputs!$D$27)),Inputs!$F$27-SQRT((1-P1236)*(Inputs!$F$27-Inputs!$D$27)*(Inputs!$F$27-Inputs!$E$27)))</f>
        <v>84.8205458440565</v>
      </c>
      <c r="R1236" s="81" t="n">
        <f aca="true">RAND()</f>
        <v>0.958008981994018</v>
      </c>
      <c r="S1236" s="82" t="n">
        <f aca="false">IF(R1236&lt;(Inputs!$E$29-Inputs!$D$29)/(Inputs!$F$29-Inputs!$D$29),Inputs!$D$29+SQRT(R1236*(Inputs!$F$29-Inputs!$D$29)*(Inputs!$E$29-Inputs!$D$29)),Inputs!$F$29-SQRT((1-R1236)*(Inputs!$F$29-Inputs!$D$29)*(Inputs!$F$29-Inputs!$E$29)))</f>
        <v>12.6635855802582</v>
      </c>
      <c r="T1236" s="68" t="n">
        <f aca="false">Inputs!$E$9*(1+E1236)+Inputs!$E$5*C1236*(Inputs!$E$11*Inputs!$E$14*(G1236*I1236/Inputs!$E$16+(1-G1236))*K1236+Inputs!$E$23*M1236)*(1+O1236)+Inputs!$E$5*(Q1236+S1236)</f>
        <v>6782.93275302607</v>
      </c>
    </row>
    <row r="1237" customFormat="false" ht="15" hidden="false" customHeight="false" outlineLevel="0" collapsed="false">
      <c r="A1237" s="1" t="n">
        <v>1233</v>
      </c>
      <c r="B1237" s="81" t="n">
        <f aca="true">RAND()</f>
        <v>0.965115818789874</v>
      </c>
      <c r="C1237" s="82" t="n">
        <f aca="false">ROUND(IF(B1237&lt;(Inputs!$E$8-Inputs!$D$8)/(Inputs!$F$8-Inputs!$D$8),Inputs!$D$8+SQRT(B1237*(Inputs!$F$8-Inputs!$D$8)*(Inputs!$E$8-Inputs!$D$8)),Inputs!$F$8-SQRT((1-B1237)*(Inputs!$F$8-Inputs!$D$8)*(Inputs!$F$8-Inputs!$E$8))),0)</f>
        <v>29</v>
      </c>
      <c r="D1237" s="81" t="n">
        <f aca="true">RAND()</f>
        <v>0.0215802161124604</v>
      </c>
      <c r="E1237" s="83" t="n">
        <f aca="false">IF(D1237&lt;(Inputs!$E$10-Inputs!$D$10)/(Inputs!$F$10-Inputs!$D$10),Inputs!$D$10+SQRT(D1237*(Inputs!$F$10-Inputs!$D$10)*(Inputs!$E$10-Inputs!$D$10)),Inputs!$F$10-SQRT((1-D1237)*(Inputs!$F$10-Inputs!$D$10)*(Inputs!$F$10-Inputs!$E$10)))</f>
        <v>0.0146902062995931</v>
      </c>
      <c r="F1237" s="81" t="n">
        <f aca="true">RAND()</f>
        <v>0.0391506928018343</v>
      </c>
      <c r="G1237" s="83" t="n">
        <f aca="false">IF(F1237&lt;(Inputs!$E$15-Inputs!$D$15)/(Inputs!$F$15-Inputs!$D$15),Inputs!$D$15+SQRT(F1237*(Inputs!$F$15-Inputs!$D$15)*(Inputs!$E$15-Inputs!$D$15)),Inputs!$F$15-SQRT((1-F1237)*(Inputs!$F$15-Inputs!$D$15)*(Inputs!$F$15-Inputs!$E$15)))</f>
        <v>0.627982384745348</v>
      </c>
      <c r="H1237" s="81" t="n">
        <f aca="true">RAND()</f>
        <v>0.389363383623524</v>
      </c>
      <c r="I1237" s="82" t="n">
        <f aca="false">ROUND(IF(H1237&lt;(Inputs!$E$17-Inputs!$D$17)/(Inputs!$F$17-Inputs!$D$17),Inputs!$D$17+SQRT(H1237*(Inputs!$F$17-Inputs!$D$17)*(Inputs!$E$17-Inputs!$D$17)),Inputs!$F$17-SQRT((1-H1237)*(Inputs!$F$17-Inputs!$D$17)*(Inputs!$F$17-Inputs!$E$17))),0)</f>
        <v>105</v>
      </c>
      <c r="J1237" s="81" t="n">
        <f aca="true">RAND()</f>
        <v>0.989557942742149</v>
      </c>
      <c r="K1237" s="83" t="n">
        <f aca="false">IF(J1237&lt;(Inputs!$E$18-Inputs!$D$18)/(Inputs!$F$18-Inputs!$D$18),Inputs!$D$18+SQRT(J1237*(Inputs!$F$18-Inputs!$D$18)*(Inputs!$E$18-Inputs!$D$18)),Inputs!$F$18-SQRT((1-J1237)*(Inputs!$F$18-Inputs!$D$18)*(Inputs!$F$18-Inputs!$E$18)))</f>
        <v>1.21977285971082</v>
      </c>
      <c r="L1237" s="81" t="n">
        <f aca="true">RAND()</f>
        <v>0.243213556743606</v>
      </c>
      <c r="M1237" s="83" t="n">
        <f aca="false">IF(L1237&lt;(Inputs!$E$24-Inputs!$D$24)/(Inputs!$F$24-Inputs!$D$24),Inputs!$D$24+SQRT(L1237*(Inputs!$F$24-Inputs!$D$24)*(Inputs!$E$24-Inputs!$D$24)),Inputs!$F$24-SQRT((1-L1237)*(Inputs!$F$24-Inputs!$D$24)*(Inputs!$F$24-Inputs!$E$24)))</f>
        <v>0.770838013361291</v>
      </c>
      <c r="N1237" s="81" t="n">
        <f aca="true">RAND()</f>
        <v>0.314147950049235</v>
      </c>
      <c r="O1237" s="83" t="n">
        <f aca="false">IF(N1237&lt;(Inputs!$E$26-Inputs!$D$26)/(Inputs!$F$26-Inputs!$D$26),Inputs!$D$26+SQRT(N1237*(Inputs!$F$26-Inputs!$D$26)*(Inputs!$E$26-Inputs!$D$26)),Inputs!$F$26-SQRT((1-N1237)*(Inputs!$F$26-Inputs!$D$26)*(Inputs!$F$26-Inputs!$E$26)))</f>
        <v>0.528635559107049</v>
      </c>
      <c r="P1237" s="81" t="n">
        <f aca="true">RAND()</f>
        <v>0.601250820206997</v>
      </c>
      <c r="Q1237" s="82" t="n">
        <f aca="false">IF(P1237&lt;(Inputs!$E$27-Inputs!$D$27)/(Inputs!$F$27-Inputs!$D$27),Inputs!$D$27+SQRT(P1237*(Inputs!$F$27-Inputs!$D$27)*(Inputs!$E$27-Inputs!$D$27)),Inputs!$F$27-SQRT((1-P1237)*(Inputs!$F$27-Inputs!$D$27)*(Inputs!$F$27-Inputs!$E$27)))</f>
        <v>95.3134491081443</v>
      </c>
      <c r="R1237" s="81" t="n">
        <f aca="true">RAND()</f>
        <v>0.979094143404808</v>
      </c>
      <c r="S1237" s="82" t="n">
        <f aca="false">IF(R1237&lt;(Inputs!$E$29-Inputs!$D$29)/(Inputs!$F$29-Inputs!$D$29),Inputs!$D$29+SQRT(R1237*(Inputs!$F$29-Inputs!$D$29)*(Inputs!$E$29-Inputs!$D$29)),Inputs!$F$29-SQRT((1-R1237)*(Inputs!$F$29-Inputs!$D$29)*(Inputs!$F$29-Inputs!$E$29)))</f>
        <v>13.3514365776911</v>
      </c>
      <c r="T1237" s="68" t="n">
        <f aca="false">Inputs!$E$9*(1+E1237)+Inputs!$E$5*C1237*(Inputs!$E$11*Inputs!$E$14*(G1237*I1237/Inputs!$E$16+(1-G1237))*K1237+Inputs!$E$23*M1237)*(1+O1237)+Inputs!$E$5*(Q1237+S1237)</f>
        <v>7027.3526064979</v>
      </c>
    </row>
    <row r="1238" customFormat="false" ht="15" hidden="false" customHeight="false" outlineLevel="0" collapsed="false">
      <c r="A1238" s="1" t="n">
        <v>1234</v>
      </c>
      <c r="B1238" s="81" t="n">
        <f aca="true">RAND()</f>
        <v>0.226185511380784</v>
      </c>
      <c r="C1238" s="82" t="n">
        <f aca="false">ROUND(IF(B1238&lt;(Inputs!$E$8-Inputs!$D$8)/(Inputs!$F$8-Inputs!$D$8),Inputs!$D$8+SQRT(B1238*(Inputs!$F$8-Inputs!$D$8)*(Inputs!$E$8-Inputs!$D$8)),Inputs!$F$8-SQRT((1-B1238)*(Inputs!$F$8-Inputs!$D$8)*(Inputs!$F$8-Inputs!$E$8))),0)</f>
        <v>23</v>
      </c>
      <c r="D1238" s="81" t="n">
        <f aca="true">RAND()</f>
        <v>0.204210323600011</v>
      </c>
      <c r="E1238" s="83" t="n">
        <f aca="false">IF(D1238&lt;(Inputs!$E$10-Inputs!$D$10)/(Inputs!$F$10-Inputs!$D$10),Inputs!$D$10+SQRT(D1238*(Inputs!$F$10-Inputs!$D$10)*(Inputs!$E$10-Inputs!$D$10)),Inputs!$F$10-SQRT((1-D1238)*(Inputs!$F$10-Inputs!$D$10)*(Inputs!$F$10-Inputs!$E$10)))</f>
        <v>0.0451896363782683</v>
      </c>
      <c r="F1238" s="81" t="n">
        <f aca="true">RAND()</f>
        <v>0.421212761262828</v>
      </c>
      <c r="G1238" s="83" t="n">
        <f aca="false">IF(F1238&lt;(Inputs!$E$15-Inputs!$D$15)/(Inputs!$F$15-Inputs!$D$15),Inputs!$D$15+SQRT(F1238*(Inputs!$F$15-Inputs!$D$15)*(Inputs!$E$15-Inputs!$D$15)),Inputs!$F$15-SQRT((1-F1238)*(Inputs!$F$15-Inputs!$D$15)*(Inputs!$F$15-Inputs!$E$15)))</f>
        <v>0.69178374161722</v>
      </c>
      <c r="H1238" s="81" t="n">
        <f aca="true">RAND()</f>
        <v>0.764767351744492</v>
      </c>
      <c r="I1238" s="82" t="n">
        <f aca="false">ROUND(IF(H1238&lt;(Inputs!$E$17-Inputs!$D$17)/(Inputs!$F$17-Inputs!$D$17),Inputs!$D$17+SQRT(H1238*(Inputs!$F$17-Inputs!$D$17)*(Inputs!$E$17-Inputs!$D$17)),Inputs!$F$17-SQRT((1-H1238)*(Inputs!$F$17-Inputs!$D$17)*(Inputs!$F$17-Inputs!$E$17))),0)</f>
        <v>109</v>
      </c>
      <c r="J1238" s="81" t="n">
        <f aca="true">RAND()</f>
        <v>0.990672583443769</v>
      </c>
      <c r="K1238" s="83" t="n">
        <f aca="false">IF(J1238&lt;(Inputs!$E$18-Inputs!$D$18)/(Inputs!$F$18-Inputs!$D$18),Inputs!$D$18+SQRT(J1238*(Inputs!$F$18-Inputs!$D$18)*(Inputs!$E$18-Inputs!$D$18)),Inputs!$F$18-SQRT((1-J1238)*(Inputs!$F$18-Inputs!$D$18)*(Inputs!$F$18-Inputs!$E$18)))</f>
        <v>1.22143167928159</v>
      </c>
      <c r="L1238" s="81" t="n">
        <f aca="true">RAND()</f>
        <v>0.918803313900901</v>
      </c>
      <c r="M1238" s="83" t="n">
        <f aca="false">IF(L1238&lt;(Inputs!$E$24-Inputs!$D$24)/(Inputs!$F$24-Inputs!$D$24),Inputs!$D$24+SQRT(L1238*(Inputs!$F$24-Inputs!$D$24)*(Inputs!$E$24-Inputs!$D$24)),Inputs!$F$24-SQRT((1-L1238)*(Inputs!$F$24-Inputs!$D$24)*(Inputs!$F$24-Inputs!$E$24)))</f>
        <v>1.06040342173325</v>
      </c>
      <c r="N1238" s="81" t="n">
        <f aca="true">RAND()</f>
        <v>0.629674358704941</v>
      </c>
      <c r="O1238" s="83" t="n">
        <f aca="false">IF(N1238&lt;(Inputs!$E$26-Inputs!$D$26)/(Inputs!$F$26-Inputs!$D$26),Inputs!$D$26+SQRT(N1238*(Inputs!$F$26-Inputs!$D$26)*(Inputs!$E$26-Inputs!$D$26)),Inputs!$F$26-SQRT((1-N1238)*(Inputs!$F$26-Inputs!$D$26)*(Inputs!$F$26-Inputs!$E$26)))</f>
        <v>0.623750498867676</v>
      </c>
      <c r="P1238" s="81" t="n">
        <f aca="true">RAND()</f>
        <v>0.101298055430529</v>
      </c>
      <c r="Q1238" s="82" t="n">
        <f aca="false">IF(P1238&lt;(Inputs!$E$27-Inputs!$D$27)/(Inputs!$F$27-Inputs!$D$27),Inputs!$D$27+SQRT(P1238*(Inputs!$F$27-Inputs!$D$27)*(Inputs!$E$27-Inputs!$D$27)),Inputs!$F$27-SQRT((1-P1238)*(Inputs!$F$27-Inputs!$D$27)*(Inputs!$F$27-Inputs!$E$27)))</f>
        <v>65.9136777200093</v>
      </c>
      <c r="R1238" s="81" t="n">
        <f aca="true">RAND()</f>
        <v>0.175656373486417</v>
      </c>
      <c r="S1238" s="82" t="n">
        <f aca="false">IF(R1238&lt;(Inputs!$E$29-Inputs!$D$29)/(Inputs!$F$29-Inputs!$D$29),Inputs!$D$29+SQRT(R1238*(Inputs!$F$29-Inputs!$D$29)*(Inputs!$E$29-Inputs!$D$29)),Inputs!$F$29-SQRT((1-R1238)*(Inputs!$F$29-Inputs!$D$29)*(Inputs!$F$29-Inputs!$E$29)))</f>
        <v>4.61736481331324</v>
      </c>
      <c r="T1238" s="68" t="n">
        <f aca="false">Inputs!$E$9*(1+E1238)+Inputs!$E$5*C1238*(Inputs!$E$11*Inputs!$E$14*(G1238*I1238/Inputs!$E$16+(1-G1238))*K1238+Inputs!$E$23*M1238)*(1+O1238)+Inputs!$E$5*(Q1238+S1238)</f>
        <v>6578.57420818954</v>
      </c>
    </row>
    <row r="1239" customFormat="false" ht="15" hidden="false" customHeight="false" outlineLevel="0" collapsed="false">
      <c r="A1239" s="1" t="n">
        <v>1235</v>
      </c>
      <c r="B1239" s="81" t="n">
        <f aca="true">RAND()</f>
        <v>0.927820425981546</v>
      </c>
      <c r="C1239" s="82" t="n">
        <f aca="false">ROUND(IF(B1239&lt;(Inputs!$E$8-Inputs!$D$8)/(Inputs!$F$8-Inputs!$D$8),Inputs!$D$8+SQRT(B1239*(Inputs!$F$8-Inputs!$D$8)*(Inputs!$E$8-Inputs!$D$8)),Inputs!$F$8-SQRT((1-B1239)*(Inputs!$F$8-Inputs!$D$8)*(Inputs!$F$8-Inputs!$E$8))),0)</f>
        <v>28</v>
      </c>
      <c r="D1239" s="81" t="n">
        <f aca="true">RAND()</f>
        <v>0.938892874954149</v>
      </c>
      <c r="E1239" s="83" t="n">
        <f aca="false">IF(D1239&lt;(Inputs!$E$10-Inputs!$D$10)/(Inputs!$F$10-Inputs!$D$10),Inputs!$D$10+SQRT(D1239*(Inputs!$F$10-Inputs!$D$10)*(Inputs!$E$10-Inputs!$D$10)),Inputs!$F$10-SQRT((1-D1239)*(Inputs!$F$10-Inputs!$D$10)*(Inputs!$F$10-Inputs!$E$10)))</f>
        <v>0.157183954510306</v>
      </c>
      <c r="F1239" s="81" t="n">
        <f aca="true">RAND()</f>
        <v>0.423147940418348</v>
      </c>
      <c r="G1239" s="83" t="n">
        <f aca="false">IF(F1239&lt;(Inputs!$E$15-Inputs!$D$15)/(Inputs!$F$15-Inputs!$D$15),Inputs!$D$15+SQRT(F1239*(Inputs!$F$15-Inputs!$D$15)*(Inputs!$E$15-Inputs!$D$15)),Inputs!$F$15-SQRT((1-F1239)*(Inputs!$F$15-Inputs!$D$15)*(Inputs!$F$15-Inputs!$E$15)))</f>
        <v>0.691994341175786</v>
      </c>
      <c r="H1239" s="81" t="n">
        <f aca="true">RAND()</f>
        <v>0.25340408518765</v>
      </c>
      <c r="I1239" s="82" t="n">
        <f aca="false">ROUND(IF(H1239&lt;(Inputs!$E$17-Inputs!$D$17)/(Inputs!$F$17-Inputs!$D$17),Inputs!$D$17+SQRT(H1239*(Inputs!$F$17-Inputs!$D$17)*(Inputs!$E$17-Inputs!$D$17)),Inputs!$F$17-SQRT((1-H1239)*(Inputs!$F$17-Inputs!$D$17)*(Inputs!$F$17-Inputs!$E$17))),0)</f>
        <v>104</v>
      </c>
      <c r="J1239" s="81" t="n">
        <f aca="true">RAND()</f>
        <v>0.583429854148522</v>
      </c>
      <c r="K1239" s="83" t="n">
        <f aca="false">IF(J1239&lt;(Inputs!$E$18-Inputs!$D$18)/(Inputs!$F$18-Inputs!$D$18),Inputs!$D$18+SQRT(J1239*(Inputs!$F$18-Inputs!$D$18)*(Inputs!$E$18-Inputs!$D$18)),Inputs!$F$18-SQRT((1-J1239)*(Inputs!$F$18-Inputs!$D$18)*(Inputs!$F$18-Inputs!$E$18)))</f>
        <v>1.05908146302152</v>
      </c>
      <c r="L1239" s="81" t="n">
        <f aca="true">RAND()</f>
        <v>0.849525998660117</v>
      </c>
      <c r="M1239" s="83" t="n">
        <f aca="false">IF(L1239&lt;(Inputs!$E$24-Inputs!$D$24)/(Inputs!$F$24-Inputs!$D$24),Inputs!$D$24+SQRT(L1239*(Inputs!$F$24-Inputs!$D$24)*(Inputs!$E$24-Inputs!$D$24)),Inputs!$F$24-SQRT((1-L1239)*(Inputs!$F$24-Inputs!$D$24)*(Inputs!$F$24-Inputs!$E$24)))</f>
        <v>1.00996379207748</v>
      </c>
      <c r="N1239" s="81" t="n">
        <f aca="true">RAND()</f>
        <v>0.193882744071492</v>
      </c>
      <c r="O1239" s="83" t="n">
        <f aca="false">IF(N1239&lt;(Inputs!$E$26-Inputs!$D$26)/(Inputs!$F$26-Inputs!$D$26),Inputs!$D$26+SQRT(N1239*(Inputs!$F$26-Inputs!$D$26)*(Inputs!$E$26-Inputs!$D$26)),Inputs!$F$26-SQRT((1-N1239)*(Inputs!$F$26-Inputs!$D$26)*(Inputs!$F$26-Inputs!$E$26)))</f>
        <v>0.47961650429038</v>
      </c>
      <c r="P1239" s="81" t="n">
        <f aca="true">RAND()</f>
        <v>0.215348115654156</v>
      </c>
      <c r="Q1239" s="82" t="n">
        <f aca="false">IF(P1239&lt;(Inputs!$E$27-Inputs!$D$27)/(Inputs!$F$27-Inputs!$D$27),Inputs!$D$27+SQRT(P1239*(Inputs!$F$27-Inputs!$D$27)*(Inputs!$E$27-Inputs!$D$27)),Inputs!$F$27-SQRT((1-P1239)*(Inputs!$F$27-Inputs!$D$27)*(Inputs!$F$27-Inputs!$E$27)))</f>
        <v>73.2028077855976</v>
      </c>
      <c r="R1239" s="81" t="n">
        <f aca="true">RAND()</f>
        <v>0.625378063416858</v>
      </c>
      <c r="S1239" s="82" t="n">
        <f aca="false">IF(R1239&lt;(Inputs!$E$29-Inputs!$D$29)/(Inputs!$F$29-Inputs!$D$29),Inputs!$D$29+SQRT(R1239*(Inputs!$F$29-Inputs!$D$29)*(Inputs!$E$29-Inputs!$D$29)),Inputs!$F$29-SQRT((1-R1239)*(Inputs!$F$29-Inputs!$D$29)*(Inputs!$F$29-Inputs!$E$29)))</f>
        <v>8.0214004445155</v>
      </c>
      <c r="T1239" s="68" t="n">
        <f aca="false">Inputs!$E$9*(1+E1239)+Inputs!$E$5*C1239*(Inputs!$E$11*Inputs!$E$14*(G1239*I1239/Inputs!$E$16+(1-G1239))*K1239+Inputs!$E$23*M1239)*(1+O1239)+Inputs!$E$5*(Q1239+S1239)</f>
        <v>6798.93443681484</v>
      </c>
    </row>
    <row r="1240" customFormat="false" ht="15" hidden="false" customHeight="false" outlineLevel="0" collapsed="false">
      <c r="A1240" s="1" t="n">
        <v>1236</v>
      </c>
      <c r="B1240" s="81" t="n">
        <f aca="true">RAND()</f>
        <v>0.354420504385636</v>
      </c>
      <c r="C1240" s="82" t="n">
        <f aca="false">ROUND(IF(B1240&lt;(Inputs!$E$8-Inputs!$D$8)/(Inputs!$F$8-Inputs!$D$8),Inputs!$D$8+SQRT(B1240*(Inputs!$F$8-Inputs!$D$8)*(Inputs!$E$8-Inputs!$D$8)),Inputs!$F$8-SQRT((1-B1240)*(Inputs!$F$8-Inputs!$D$8)*(Inputs!$F$8-Inputs!$E$8))),0)</f>
        <v>24</v>
      </c>
      <c r="D1240" s="81" t="n">
        <f aca="true">RAND()</f>
        <v>0.56186177648247</v>
      </c>
      <c r="E1240" s="83" t="n">
        <f aca="false">IF(D1240&lt;(Inputs!$E$10-Inputs!$D$10)/(Inputs!$F$10-Inputs!$D$10),Inputs!$D$10+SQRT(D1240*(Inputs!$F$10-Inputs!$D$10)*(Inputs!$E$10-Inputs!$D$10)),Inputs!$F$10-SQRT((1-D1240)*(Inputs!$F$10-Inputs!$D$10)*(Inputs!$F$10-Inputs!$E$10)))</f>
        <v>0.0853520750055811</v>
      </c>
      <c r="F1240" s="81" t="n">
        <f aca="true">RAND()</f>
        <v>0.950901379605246</v>
      </c>
      <c r="G1240" s="83" t="n">
        <f aca="false">IF(F1240&lt;(Inputs!$E$15-Inputs!$D$15)/(Inputs!$F$15-Inputs!$D$15),Inputs!$D$15+SQRT(F1240*(Inputs!$F$15-Inputs!$D$15)*(Inputs!$E$15-Inputs!$D$15)),Inputs!$F$15-SQRT((1-F1240)*(Inputs!$F$15-Inputs!$D$15)*(Inputs!$F$15-Inputs!$E$15)))</f>
        <v>0.768663561020833</v>
      </c>
      <c r="H1240" s="81" t="n">
        <f aca="true">RAND()</f>
        <v>0.292135944895889</v>
      </c>
      <c r="I1240" s="82" t="n">
        <f aca="false">ROUND(IF(H1240&lt;(Inputs!$E$17-Inputs!$D$17)/(Inputs!$F$17-Inputs!$D$17),Inputs!$D$17+SQRT(H1240*(Inputs!$F$17-Inputs!$D$17)*(Inputs!$E$17-Inputs!$D$17)),Inputs!$F$17-SQRT((1-H1240)*(Inputs!$F$17-Inputs!$D$17)*(Inputs!$F$17-Inputs!$E$17))),0)</f>
        <v>105</v>
      </c>
      <c r="J1240" s="81" t="n">
        <f aca="true">RAND()</f>
        <v>0.665413510275365</v>
      </c>
      <c r="K1240" s="83" t="n">
        <f aca="false">IF(J1240&lt;(Inputs!$E$18-Inputs!$D$18)/(Inputs!$F$18-Inputs!$D$18),Inputs!$D$18+SQRT(J1240*(Inputs!$F$18-Inputs!$D$18)*(Inputs!$E$18-Inputs!$D$18)),Inputs!$F$18-SQRT((1-J1240)*(Inputs!$F$18-Inputs!$D$18)*(Inputs!$F$18-Inputs!$E$18)))</f>
        <v>1.07889676259373</v>
      </c>
      <c r="L1240" s="81" t="n">
        <f aca="true">RAND()</f>
        <v>0.713104952476083</v>
      </c>
      <c r="M1240" s="83" t="n">
        <f aca="false">IF(L1240&lt;(Inputs!$E$24-Inputs!$D$24)/(Inputs!$F$24-Inputs!$D$24),Inputs!$D$24+SQRT(L1240*(Inputs!$F$24-Inputs!$D$24)*(Inputs!$E$24-Inputs!$D$24)),Inputs!$F$24-SQRT((1-L1240)*(Inputs!$F$24-Inputs!$D$24)*(Inputs!$F$24-Inputs!$E$24)))</f>
        <v>0.937597996566832</v>
      </c>
      <c r="N1240" s="81" t="n">
        <f aca="true">RAND()</f>
        <v>0.422272345614024</v>
      </c>
      <c r="O1240" s="83" t="n">
        <f aca="false">IF(N1240&lt;(Inputs!$E$26-Inputs!$D$26)/(Inputs!$F$26-Inputs!$D$26),Inputs!$D$26+SQRT(N1240*(Inputs!$F$26-Inputs!$D$26)*(Inputs!$E$26-Inputs!$D$26)),Inputs!$F$26-SQRT((1-N1240)*(Inputs!$F$26-Inputs!$D$26)*(Inputs!$F$26-Inputs!$E$26)))</f>
        <v>0.565077570364174</v>
      </c>
      <c r="P1240" s="81" t="n">
        <f aca="true">RAND()</f>
        <v>0.878224443928008</v>
      </c>
      <c r="Q1240" s="82" t="n">
        <f aca="false">IF(P1240&lt;(Inputs!$E$27-Inputs!$D$27)/(Inputs!$F$27-Inputs!$D$27),Inputs!$D$27+SQRT(P1240*(Inputs!$F$27-Inputs!$D$27)*(Inputs!$E$27-Inputs!$D$27)),Inputs!$F$27-SQRT((1-P1240)*(Inputs!$F$27-Inputs!$D$27)*(Inputs!$F$27-Inputs!$E$27)))</f>
        <v>119.778870462209</v>
      </c>
      <c r="R1240" s="81" t="n">
        <f aca="true">RAND()</f>
        <v>0.667385987587142</v>
      </c>
      <c r="S1240" s="82" t="n">
        <f aca="false">IF(R1240&lt;(Inputs!$E$29-Inputs!$D$29)/(Inputs!$F$29-Inputs!$D$29),Inputs!$D$29+SQRT(R1240*(Inputs!$F$29-Inputs!$D$29)*(Inputs!$E$29-Inputs!$D$29)),Inputs!$F$29-SQRT((1-R1240)*(Inputs!$F$29-Inputs!$D$29)*(Inputs!$F$29-Inputs!$E$29)))</f>
        <v>8.42430067493415</v>
      </c>
      <c r="T1240" s="68" t="n">
        <f aca="false">Inputs!$E$9*(1+E1240)+Inputs!$E$5*C1240*(Inputs!$E$11*Inputs!$E$14*(G1240*I1240/Inputs!$E$16+(1-G1240))*K1240+Inputs!$E$23*M1240)*(1+O1240)+Inputs!$E$5*(Q1240+S1240)</f>
        <v>6367.92937061723</v>
      </c>
    </row>
    <row r="1241" customFormat="false" ht="15" hidden="false" customHeight="false" outlineLevel="0" collapsed="false">
      <c r="A1241" s="1" t="n">
        <v>1237</v>
      </c>
      <c r="B1241" s="81" t="n">
        <f aca="true">RAND()</f>
        <v>0.916175939936917</v>
      </c>
      <c r="C1241" s="82" t="n">
        <f aca="false">ROUND(IF(B1241&lt;(Inputs!$E$8-Inputs!$D$8)/(Inputs!$F$8-Inputs!$D$8),Inputs!$D$8+SQRT(B1241*(Inputs!$F$8-Inputs!$D$8)*(Inputs!$E$8-Inputs!$D$8)),Inputs!$F$8-SQRT((1-B1241)*(Inputs!$F$8-Inputs!$D$8)*(Inputs!$F$8-Inputs!$E$8))),0)</f>
        <v>28</v>
      </c>
      <c r="D1241" s="81" t="n">
        <f aca="true">RAND()</f>
        <v>0.956108828180003</v>
      </c>
      <c r="E1241" s="83" t="n">
        <f aca="false">IF(D1241&lt;(Inputs!$E$10-Inputs!$D$10)/(Inputs!$F$10-Inputs!$D$10),Inputs!$D$10+SQRT(D1241*(Inputs!$F$10-Inputs!$D$10)*(Inputs!$E$10-Inputs!$D$10)),Inputs!$F$10-SQRT((1-D1241)*(Inputs!$F$10-Inputs!$D$10)*(Inputs!$F$10-Inputs!$E$10)))</f>
        <v>0.163713154523989</v>
      </c>
      <c r="F1241" s="81" t="n">
        <f aca="true">RAND()</f>
        <v>0.12411161621103</v>
      </c>
      <c r="G1241" s="83" t="n">
        <f aca="false">IF(F1241&lt;(Inputs!$E$15-Inputs!$D$15)/(Inputs!$F$15-Inputs!$D$15),Inputs!$D$15+SQRT(F1241*(Inputs!$F$15-Inputs!$D$15)*(Inputs!$E$15-Inputs!$D$15)),Inputs!$F$15-SQRT((1-F1241)*(Inputs!$F$15-Inputs!$D$15)*(Inputs!$F$15-Inputs!$E$15)))</f>
        <v>0.649822006425079</v>
      </c>
      <c r="H1241" s="81" t="n">
        <f aca="true">RAND()</f>
        <v>0.045826576523826</v>
      </c>
      <c r="I1241" s="82" t="n">
        <f aca="false">ROUND(IF(H1241&lt;(Inputs!$E$17-Inputs!$D$17)/(Inputs!$F$17-Inputs!$D$17),Inputs!$D$17+SQRT(H1241*(Inputs!$F$17-Inputs!$D$17)*(Inputs!$E$17-Inputs!$D$17)),Inputs!$F$17-SQRT((1-H1241)*(Inputs!$F$17-Inputs!$D$17)*(Inputs!$F$17-Inputs!$E$17))),0)</f>
        <v>102</v>
      </c>
      <c r="J1241" s="81" t="n">
        <f aca="true">RAND()</f>
        <v>0.900840111033422</v>
      </c>
      <c r="K1241" s="83" t="n">
        <f aca="false">IF(J1241&lt;(Inputs!$E$18-Inputs!$D$18)/(Inputs!$F$18-Inputs!$D$18),Inputs!$D$18+SQRT(J1241*(Inputs!$F$18-Inputs!$D$18)*(Inputs!$E$18-Inputs!$D$18)),Inputs!$F$18-SQRT((1-J1241)*(Inputs!$F$18-Inputs!$D$18)*(Inputs!$F$18-Inputs!$E$18)))</f>
        <v>1.1568523200258</v>
      </c>
      <c r="L1241" s="81" t="n">
        <f aca="true">RAND()</f>
        <v>0.241405365579296</v>
      </c>
      <c r="M1241" s="83" t="n">
        <f aca="false">IF(L1241&lt;(Inputs!$E$24-Inputs!$D$24)/(Inputs!$F$24-Inputs!$D$24),Inputs!$D$24+SQRT(L1241*(Inputs!$F$24-Inputs!$D$24)*(Inputs!$E$24-Inputs!$D$24)),Inputs!$F$24-SQRT((1-L1241)*(Inputs!$F$24-Inputs!$D$24)*(Inputs!$F$24-Inputs!$E$24)))</f>
        <v>0.770201773990507</v>
      </c>
      <c r="N1241" s="81" t="n">
        <f aca="true">RAND()</f>
        <v>0.551728639630974</v>
      </c>
      <c r="O1241" s="83" t="n">
        <f aca="false">IF(N1241&lt;(Inputs!$E$26-Inputs!$D$26)/(Inputs!$F$26-Inputs!$D$26),Inputs!$D$26+SQRT(N1241*(Inputs!$F$26-Inputs!$D$26)*(Inputs!$E$26-Inputs!$D$26)),Inputs!$F$26-SQRT((1-N1241)*(Inputs!$F$26-Inputs!$D$26)*(Inputs!$F$26-Inputs!$E$26)))</f>
        <v>0.602997765065345</v>
      </c>
      <c r="P1241" s="81" t="n">
        <f aca="true">RAND()</f>
        <v>0.144442233421464</v>
      </c>
      <c r="Q1241" s="82" t="n">
        <f aca="false">IF(P1241&lt;(Inputs!$E$27-Inputs!$D$27)/(Inputs!$F$27-Inputs!$D$27),Inputs!$D$27+SQRT(P1241*(Inputs!$F$27-Inputs!$D$27)*(Inputs!$E$27-Inputs!$D$27)),Inputs!$F$27-SQRT((1-P1241)*(Inputs!$F$27-Inputs!$D$27)*(Inputs!$F$27-Inputs!$E$27)))</f>
        <v>69.0027783114381</v>
      </c>
      <c r="R1241" s="81" t="n">
        <f aca="true">RAND()</f>
        <v>0.311121153803353</v>
      </c>
      <c r="S1241" s="82" t="n">
        <f aca="false">IF(R1241&lt;(Inputs!$E$29-Inputs!$D$29)/(Inputs!$F$29-Inputs!$D$29),Inputs!$D$29+SQRT(R1241*(Inputs!$F$29-Inputs!$D$29)*(Inputs!$E$29-Inputs!$D$29)),Inputs!$F$29-SQRT((1-R1241)*(Inputs!$F$29-Inputs!$D$29)*(Inputs!$F$29-Inputs!$E$29)))</f>
        <v>5.53668926825479</v>
      </c>
      <c r="T1241" s="68" t="n">
        <f aca="false">Inputs!$E$9*(1+E1241)+Inputs!$E$5*C1241*(Inputs!$E$11*Inputs!$E$14*(G1241*I1241/Inputs!$E$16+(1-G1241))*K1241+Inputs!$E$23*M1241)*(1+O1241)+Inputs!$E$5*(Q1241+S1241)</f>
        <v>6998.31090653404</v>
      </c>
    </row>
    <row r="1242" customFormat="false" ht="15" hidden="false" customHeight="false" outlineLevel="0" collapsed="false">
      <c r="A1242" s="1" t="n">
        <v>1238</v>
      </c>
      <c r="B1242" s="81" t="n">
        <f aca="true">RAND()</f>
        <v>0.0782904593113196</v>
      </c>
      <c r="C1242" s="82" t="n">
        <f aca="false">ROUND(IF(B1242&lt;(Inputs!$E$8-Inputs!$D$8)/(Inputs!$F$8-Inputs!$D$8),Inputs!$D$8+SQRT(B1242*(Inputs!$F$8-Inputs!$D$8)*(Inputs!$E$8-Inputs!$D$8)),Inputs!$F$8-SQRT((1-B1242)*(Inputs!$F$8-Inputs!$D$8)*(Inputs!$F$8-Inputs!$E$8))),0)</f>
        <v>22</v>
      </c>
      <c r="D1242" s="81" t="n">
        <f aca="true">RAND()</f>
        <v>0.140535210855894</v>
      </c>
      <c r="E1242" s="83" t="n">
        <f aca="false">IF(D1242&lt;(Inputs!$E$10-Inputs!$D$10)/(Inputs!$F$10-Inputs!$D$10),Inputs!$D$10+SQRT(D1242*(Inputs!$F$10-Inputs!$D$10)*(Inputs!$E$10-Inputs!$D$10)),Inputs!$F$10-SQRT((1-D1242)*(Inputs!$F$10-Inputs!$D$10)*(Inputs!$F$10-Inputs!$E$10)))</f>
        <v>0.0374880262024948</v>
      </c>
      <c r="F1242" s="81" t="n">
        <f aca="true">RAND()</f>
        <v>0.237653368226349</v>
      </c>
      <c r="G1242" s="83" t="n">
        <f aca="false">IF(F1242&lt;(Inputs!$E$15-Inputs!$D$15)/(Inputs!$F$15-Inputs!$D$15),Inputs!$D$15+SQRT(F1242*(Inputs!$F$15-Inputs!$D$15)*(Inputs!$E$15-Inputs!$D$15)),Inputs!$F$15-SQRT((1-F1242)*(Inputs!$F$15-Inputs!$D$15)*(Inputs!$F$15-Inputs!$E$15)))</f>
        <v>0.668942493170228</v>
      </c>
      <c r="H1242" s="81" t="n">
        <f aca="true">RAND()</f>
        <v>0.462413044608261</v>
      </c>
      <c r="I1242" s="82" t="n">
        <f aca="false">ROUND(IF(H1242&lt;(Inputs!$E$17-Inputs!$D$17)/(Inputs!$F$17-Inputs!$D$17),Inputs!$D$17+SQRT(H1242*(Inputs!$F$17-Inputs!$D$17)*(Inputs!$E$17-Inputs!$D$17)),Inputs!$F$17-SQRT((1-H1242)*(Inputs!$F$17-Inputs!$D$17)*(Inputs!$F$17-Inputs!$E$17))),0)</f>
        <v>106</v>
      </c>
      <c r="J1242" s="81" t="n">
        <f aca="true">RAND()</f>
        <v>0.0583469796018209</v>
      </c>
      <c r="K1242" s="83" t="n">
        <f aca="false">IF(J1242&lt;(Inputs!$E$18-Inputs!$D$18)/(Inputs!$F$18-Inputs!$D$18),Inputs!$D$18+SQRT(J1242*(Inputs!$F$18-Inputs!$D$18)*(Inputs!$E$18-Inputs!$D$18)),Inputs!$F$18-SQRT((1-J1242)*(Inputs!$F$18-Inputs!$D$18)*(Inputs!$F$18-Inputs!$E$18)))</f>
        <v>0.94519009057375</v>
      </c>
      <c r="L1242" s="81" t="n">
        <f aca="true">RAND()</f>
        <v>0.890436473398349</v>
      </c>
      <c r="M1242" s="83" t="n">
        <f aca="false">IF(L1242&lt;(Inputs!$E$24-Inputs!$D$24)/(Inputs!$F$24-Inputs!$D$24),Inputs!$D$24+SQRT(L1242*(Inputs!$F$24-Inputs!$D$24)*(Inputs!$E$24-Inputs!$D$24)),Inputs!$F$24-SQRT((1-L1242)*(Inputs!$F$24-Inputs!$D$24)*(Inputs!$F$24-Inputs!$E$24)))</f>
        <v>1.03784190928481</v>
      </c>
      <c r="N1242" s="81" t="n">
        <f aca="true">RAND()</f>
        <v>0.889946406306542</v>
      </c>
      <c r="O1242" s="83" t="n">
        <f aca="false">IF(N1242&lt;(Inputs!$E$26-Inputs!$D$26)/(Inputs!$F$26-Inputs!$D$26),Inputs!$D$26+SQRT(N1242*(Inputs!$F$26-Inputs!$D$26)*(Inputs!$E$26-Inputs!$D$26)),Inputs!$F$26-SQRT((1-N1242)*(Inputs!$F$26-Inputs!$D$26)*(Inputs!$F$26-Inputs!$E$26)))</f>
        <v>0.713016011739515</v>
      </c>
      <c r="P1242" s="81" t="n">
        <f aca="true">RAND()</f>
        <v>0.584842285309083</v>
      </c>
      <c r="Q1242" s="82" t="n">
        <f aca="false">IF(P1242&lt;(Inputs!$E$27-Inputs!$D$27)/(Inputs!$F$27-Inputs!$D$27),Inputs!$D$27+SQRT(P1242*(Inputs!$F$27-Inputs!$D$27)*(Inputs!$E$27-Inputs!$D$27)),Inputs!$F$27-SQRT((1-P1242)*(Inputs!$F$27-Inputs!$D$27)*(Inputs!$F$27-Inputs!$E$27)))</f>
        <v>94.1996159495127</v>
      </c>
      <c r="R1242" s="81" t="n">
        <f aca="true">RAND()</f>
        <v>0.719492102616454</v>
      </c>
      <c r="S1242" s="82" t="n">
        <f aca="false">IF(R1242&lt;(Inputs!$E$29-Inputs!$D$29)/(Inputs!$F$29-Inputs!$D$29),Inputs!$D$29+SQRT(R1242*(Inputs!$F$29-Inputs!$D$29)*(Inputs!$E$29-Inputs!$D$29)),Inputs!$F$29-SQRT((1-R1242)*(Inputs!$F$29-Inputs!$D$29)*(Inputs!$F$29-Inputs!$E$29)))</f>
        <v>8.96128932139807</v>
      </c>
      <c r="T1242" s="68" t="n">
        <f aca="false">Inputs!$E$9*(1+E1242)+Inputs!$E$5*C1242*(Inputs!$E$11*Inputs!$E$14*(G1242*I1242/Inputs!$E$16+(1-G1242))*K1242+Inputs!$E$23*M1242)*(1+O1242)+Inputs!$E$5*(Q1242+S1242)</f>
        <v>6152.31408147797</v>
      </c>
    </row>
    <row r="1243" customFormat="false" ht="15" hidden="false" customHeight="false" outlineLevel="0" collapsed="false">
      <c r="A1243" s="1" t="n">
        <v>1239</v>
      </c>
      <c r="B1243" s="81" t="n">
        <f aca="true">RAND()</f>
        <v>0.494459559559766</v>
      </c>
      <c r="C1243" s="82" t="n">
        <f aca="false">ROUND(IF(B1243&lt;(Inputs!$E$8-Inputs!$D$8)/(Inputs!$F$8-Inputs!$D$8),Inputs!$D$8+SQRT(B1243*(Inputs!$F$8-Inputs!$D$8)*(Inputs!$E$8-Inputs!$D$8)),Inputs!$F$8-SQRT((1-B1243)*(Inputs!$F$8-Inputs!$D$8)*(Inputs!$F$8-Inputs!$E$8))),0)</f>
        <v>25</v>
      </c>
      <c r="D1243" s="81" t="n">
        <f aca="true">RAND()</f>
        <v>0.221355449778663</v>
      </c>
      <c r="E1243" s="83" t="n">
        <f aca="false">IF(D1243&lt;(Inputs!$E$10-Inputs!$D$10)/(Inputs!$F$10-Inputs!$D$10),Inputs!$D$10+SQRT(D1243*(Inputs!$F$10-Inputs!$D$10)*(Inputs!$E$10-Inputs!$D$10)),Inputs!$F$10-SQRT((1-D1243)*(Inputs!$F$10-Inputs!$D$10)*(Inputs!$F$10-Inputs!$E$10)))</f>
        <v>0.04704842715529</v>
      </c>
      <c r="F1243" s="81" t="n">
        <f aca="true">RAND()</f>
        <v>0.715912373999544</v>
      </c>
      <c r="G1243" s="83" t="n">
        <f aca="false">IF(F1243&lt;(Inputs!$E$15-Inputs!$D$15)/(Inputs!$F$15-Inputs!$D$15),Inputs!$D$15+SQRT(F1243*(Inputs!$F$15-Inputs!$D$15)*(Inputs!$E$15-Inputs!$D$15)),Inputs!$F$15-SQRT((1-F1243)*(Inputs!$F$15-Inputs!$D$15)*(Inputs!$F$15-Inputs!$E$15)))</f>
        <v>0.724622599407985</v>
      </c>
      <c r="H1243" s="81" t="n">
        <f aca="true">RAND()</f>
        <v>0.864624522255726</v>
      </c>
      <c r="I1243" s="82" t="n">
        <f aca="false">ROUND(IF(H1243&lt;(Inputs!$E$17-Inputs!$D$17)/(Inputs!$F$17-Inputs!$D$17),Inputs!$D$17+SQRT(H1243*(Inputs!$F$17-Inputs!$D$17)*(Inputs!$E$17-Inputs!$D$17)),Inputs!$F$17-SQRT((1-H1243)*(Inputs!$F$17-Inputs!$D$17)*(Inputs!$F$17-Inputs!$E$17))),0)</f>
        <v>110</v>
      </c>
      <c r="J1243" s="81" t="n">
        <f aca="true">RAND()</f>
        <v>0.365051405811401</v>
      </c>
      <c r="K1243" s="83" t="n">
        <f aca="false">IF(J1243&lt;(Inputs!$E$18-Inputs!$D$18)/(Inputs!$F$18-Inputs!$D$18),Inputs!$D$18+SQRT(J1243*(Inputs!$F$18-Inputs!$D$18)*(Inputs!$E$18-Inputs!$D$18)),Inputs!$F$18-SQRT((1-J1243)*(Inputs!$F$18-Inputs!$D$18)*(Inputs!$F$18-Inputs!$E$18)))</f>
        <v>1.01429254998727</v>
      </c>
      <c r="L1243" s="81" t="n">
        <f aca="true">RAND()</f>
        <v>0.0703949687572816</v>
      </c>
      <c r="M1243" s="83" t="n">
        <f aca="false">IF(L1243&lt;(Inputs!$E$24-Inputs!$D$24)/(Inputs!$F$24-Inputs!$D$24),Inputs!$D$24+SQRT(L1243*(Inputs!$F$24-Inputs!$D$24)*(Inputs!$E$24-Inputs!$D$24)),Inputs!$F$24-SQRT((1-L1243)*(Inputs!$F$24-Inputs!$D$24)*(Inputs!$F$24-Inputs!$E$24)))</f>
        <v>0.691909717934905</v>
      </c>
      <c r="N1243" s="81" t="n">
        <f aca="true">RAND()</f>
        <v>0.460872994551281</v>
      </c>
      <c r="O1243" s="83" t="n">
        <f aca="false">IF(N1243&lt;(Inputs!$E$26-Inputs!$D$26)/(Inputs!$F$26-Inputs!$D$26),Inputs!$D$26+SQRT(N1243*(Inputs!$F$26-Inputs!$D$26)*(Inputs!$E$26-Inputs!$D$26)),Inputs!$F$26-SQRT((1-N1243)*(Inputs!$F$26-Inputs!$D$26)*(Inputs!$F$26-Inputs!$E$26)))</f>
        <v>0.576928269220268</v>
      </c>
      <c r="P1243" s="81" t="n">
        <f aca="true">RAND()</f>
        <v>0.228741330572343</v>
      </c>
      <c r="Q1243" s="82" t="n">
        <f aca="false">IF(P1243&lt;(Inputs!$E$27-Inputs!$D$27)/(Inputs!$F$27-Inputs!$D$27),Inputs!$D$27+SQRT(P1243*(Inputs!$F$27-Inputs!$D$27)*(Inputs!$E$27-Inputs!$D$27)),Inputs!$F$27-SQRT((1-P1243)*(Inputs!$F$27-Inputs!$D$27)*(Inputs!$F$27-Inputs!$E$27)))</f>
        <v>73.9134549245996</v>
      </c>
      <c r="R1243" s="81" t="n">
        <f aca="true">RAND()</f>
        <v>0.0526100198534556</v>
      </c>
      <c r="S1243" s="82" t="n">
        <f aca="false">IF(R1243&lt;(Inputs!$E$29-Inputs!$D$29)/(Inputs!$F$29-Inputs!$D$29),Inputs!$D$29+SQRT(R1243*(Inputs!$F$29-Inputs!$D$29)*(Inputs!$E$29-Inputs!$D$29)),Inputs!$F$29-SQRT((1-R1243)*(Inputs!$F$29-Inputs!$D$29)*(Inputs!$F$29-Inputs!$E$29)))</f>
        <v>3.43240733532217</v>
      </c>
      <c r="T1243" s="68" t="n">
        <f aca="false">Inputs!$E$9*(1+E1243)+Inputs!$E$5*C1243*(Inputs!$E$11*Inputs!$E$14*(G1243*I1243/Inputs!$E$16+(1-G1243))*K1243+Inputs!$E$23*M1243)*(1+O1243)+Inputs!$E$5*(Q1243+S1243)</f>
        <v>5837.53973807661</v>
      </c>
    </row>
    <row r="1244" customFormat="false" ht="15" hidden="false" customHeight="false" outlineLevel="0" collapsed="false">
      <c r="A1244" s="1" t="n">
        <v>1240</v>
      </c>
      <c r="B1244" s="81" t="n">
        <f aca="true">RAND()</f>
        <v>0.201168733509887</v>
      </c>
      <c r="C1244" s="82" t="n">
        <f aca="false">ROUND(IF(B1244&lt;(Inputs!$E$8-Inputs!$D$8)/(Inputs!$F$8-Inputs!$D$8),Inputs!$D$8+SQRT(B1244*(Inputs!$F$8-Inputs!$D$8)*(Inputs!$E$8-Inputs!$D$8)),Inputs!$F$8-SQRT((1-B1244)*(Inputs!$F$8-Inputs!$D$8)*(Inputs!$F$8-Inputs!$E$8))),0)</f>
        <v>23</v>
      </c>
      <c r="D1244" s="81" t="n">
        <f aca="true">RAND()</f>
        <v>0.773697157109744</v>
      </c>
      <c r="E1244" s="83" t="n">
        <f aca="false">IF(D1244&lt;(Inputs!$E$10-Inputs!$D$10)/(Inputs!$F$10-Inputs!$D$10),Inputs!$D$10+SQRT(D1244*(Inputs!$F$10-Inputs!$D$10)*(Inputs!$E$10-Inputs!$D$10)),Inputs!$F$10-SQRT((1-D1244)*(Inputs!$F$10-Inputs!$D$10)*(Inputs!$F$10-Inputs!$E$10)))</f>
        <v>0.117604094235771</v>
      </c>
      <c r="F1244" s="81" t="n">
        <f aca="true">RAND()</f>
        <v>0.797887269875647</v>
      </c>
      <c r="G1244" s="83" t="n">
        <f aca="false">IF(F1244&lt;(Inputs!$E$15-Inputs!$D$15)/(Inputs!$F$15-Inputs!$D$15),Inputs!$D$15+SQRT(F1244*(Inputs!$F$15-Inputs!$D$15)*(Inputs!$E$15-Inputs!$D$15)),Inputs!$F$15-SQRT((1-F1244)*(Inputs!$F$15-Inputs!$D$15)*(Inputs!$F$15-Inputs!$E$15)))</f>
        <v>0.736421272405882</v>
      </c>
      <c r="H1244" s="81" t="n">
        <f aca="true">RAND()</f>
        <v>0.815381123030487</v>
      </c>
      <c r="I1244" s="82" t="n">
        <f aca="false">ROUND(IF(H1244&lt;(Inputs!$E$17-Inputs!$D$17)/(Inputs!$F$17-Inputs!$D$17),Inputs!$D$17+SQRT(H1244*(Inputs!$F$17-Inputs!$D$17)*(Inputs!$E$17-Inputs!$D$17)),Inputs!$F$17-SQRT((1-H1244)*(Inputs!$F$17-Inputs!$D$17)*(Inputs!$F$17-Inputs!$E$17))),0)</f>
        <v>110</v>
      </c>
      <c r="J1244" s="81" t="n">
        <f aca="true">RAND()</f>
        <v>0.901382726993807</v>
      </c>
      <c r="K1244" s="83" t="n">
        <f aca="false">IF(J1244&lt;(Inputs!$E$18-Inputs!$D$18)/(Inputs!$F$18-Inputs!$D$18),Inputs!$D$18+SQRT(J1244*(Inputs!$F$18-Inputs!$D$18)*(Inputs!$E$18-Inputs!$D$18)),Inputs!$F$18-SQRT((1-J1244)*(Inputs!$F$18-Inputs!$D$18)*(Inputs!$F$18-Inputs!$E$18)))</f>
        <v>1.15710752781823</v>
      </c>
      <c r="L1244" s="81" t="n">
        <f aca="true">RAND()</f>
        <v>0.500563988631374</v>
      </c>
      <c r="M1244" s="83" t="n">
        <f aca="false">IF(L1244&lt;(Inputs!$E$24-Inputs!$D$24)/(Inputs!$F$24-Inputs!$D$24),Inputs!$D$24+SQRT(L1244*(Inputs!$F$24-Inputs!$D$24)*(Inputs!$E$24-Inputs!$D$24)),Inputs!$F$24-SQRT((1-L1244)*(Inputs!$F$24-Inputs!$D$24)*(Inputs!$F$24-Inputs!$E$24)))</f>
        <v>0.853785265003827</v>
      </c>
      <c r="N1244" s="81" t="n">
        <f aca="true">RAND()</f>
        <v>0.950848933133862</v>
      </c>
      <c r="O1244" s="83" t="n">
        <f aca="false">IF(N1244&lt;(Inputs!$E$26-Inputs!$D$26)/(Inputs!$F$26-Inputs!$D$26),Inputs!$D$26+SQRT(N1244*(Inputs!$F$26-Inputs!$D$26)*(Inputs!$E$26-Inputs!$D$26)),Inputs!$F$26-SQRT((1-N1244)*(Inputs!$F$26-Inputs!$D$26)*(Inputs!$F$26-Inputs!$E$26)))</f>
        <v>0.748503769651272</v>
      </c>
      <c r="P1244" s="81" t="n">
        <f aca="true">RAND()</f>
        <v>0.633785858633589</v>
      </c>
      <c r="Q1244" s="82" t="n">
        <f aca="false">IF(P1244&lt;(Inputs!$E$27-Inputs!$D$27)/(Inputs!$F$27-Inputs!$D$27),Inputs!$D$27+SQRT(P1244*(Inputs!$F$27-Inputs!$D$27)*(Inputs!$E$27-Inputs!$D$27)),Inputs!$F$27-SQRT((1-P1244)*(Inputs!$F$27-Inputs!$D$27)*(Inputs!$F$27-Inputs!$E$27)))</f>
        <v>97.5919275278313</v>
      </c>
      <c r="R1244" s="81" t="n">
        <f aca="true">RAND()</f>
        <v>0.994836106473989</v>
      </c>
      <c r="S1244" s="82" t="n">
        <f aca="false">IF(R1244&lt;(Inputs!$E$29-Inputs!$D$29)/(Inputs!$F$29-Inputs!$D$29),Inputs!$D$29+SQRT(R1244*(Inputs!$F$29-Inputs!$D$29)*(Inputs!$E$29-Inputs!$D$29)),Inputs!$F$29-SQRT((1-R1244)*(Inputs!$F$29-Inputs!$D$29)*(Inputs!$F$29-Inputs!$E$29)))</f>
        <v>14.1806672480723</v>
      </c>
      <c r="T1244" s="68" t="n">
        <f aca="false">Inputs!$E$9*(1+E1244)+Inputs!$E$5*C1244*(Inputs!$E$11*Inputs!$E$14*(G1244*I1244/Inputs!$E$16+(1-G1244))*K1244+Inputs!$E$23*M1244)*(1+O1244)+Inputs!$E$5*(Q1244+S1244)</f>
        <v>6755.47746759362</v>
      </c>
    </row>
    <row r="1245" customFormat="false" ht="15" hidden="false" customHeight="false" outlineLevel="0" collapsed="false">
      <c r="A1245" s="1" t="n">
        <v>1241</v>
      </c>
      <c r="B1245" s="81" t="n">
        <f aca="true">RAND()</f>
        <v>0.824235310049574</v>
      </c>
      <c r="C1245" s="82" t="n">
        <f aca="false">ROUND(IF(B1245&lt;(Inputs!$E$8-Inputs!$D$8)/(Inputs!$F$8-Inputs!$D$8),Inputs!$D$8+SQRT(B1245*(Inputs!$F$8-Inputs!$D$8)*(Inputs!$E$8-Inputs!$D$8)),Inputs!$F$8-SQRT((1-B1245)*(Inputs!$F$8-Inputs!$D$8)*(Inputs!$F$8-Inputs!$E$8))),0)</f>
        <v>27</v>
      </c>
      <c r="D1245" s="81" t="n">
        <f aca="true">RAND()</f>
        <v>0.032261964737791</v>
      </c>
      <c r="E1245" s="83" t="n">
        <f aca="false">IF(D1245&lt;(Inputs!$E$10-Inputs!$D$10)/(Inputs!$F$10-Inputs!$D$10),Inputs!$D$10+SQRT(D1245*(Inputs!$F$10-Inputs!$D$10)*(Inputs!$E$10-Inputs!$D$10)),Inputs!$F$10-SQRT((1-D1245)*(Inputs!$F$10-Inputs!$D$10)*(Inputs!$F$10-Inputs!$E$10)))</f>
        <v>0.0179616159456189</v>
      </c>
      <c r="F1245" s="81" t="n">
        <f aca="true">RAND()</f>
        <v>0.0938652474368315</v>
      </c>
      <c r="G1245" s="83" t="n">
        <f aca="false">IF(F1245&lt;(Inputs!$E$15-Inputs!$D$15)/(Inputs!$F$15-Inputs!$D$15),Inputs!$D$15+SQRT(F1245*(Inputs!$F$15-Inputs!$D$15)*(Inputs!$E$15-Inputs!$D$15)),Inputs!$F$15-SQRT((1-F1245)*(Inputs!$F$15-Inputs!$D$15)*(Inputs!$F$15-Inputs!$E$15)))</f>
        <v>0.643327877270144</v>
      </c>
      <c r="H1245" s="81" t="n">
        <f aca="true">RAND()</f>
        <v>0.883854164271651</v>
      </c>
      <c r="I1245" s="82" t="n">
        <f aca="false">ROUND(IF(H1245&lt;(Inputs!$E$17-Inputs!$D$17)/(Inputs!$F$17-Inputs!$D$17),Inputs!$D$17+SQRT(H1245*(Inputs!$F$17-Inputs!$D$17)*(Inputs!$E$17-Inputs!$D$17)),Inputs!$F$17-SQRT((1-H1245)*(Inputs!$F$17-Inputs!$D$17)*(Inputs!$F$17-Inputs!$E$17))),0)</f>
        <v>111</v>
      </c>
      <c r="J1245" s="81" t="n">
        <f aca="true">RAND()</f>
        <v>0.969351029917777</v>
      </c>
      <c r="K1245" s="83" t="n">
        <f aca="false">IF(J1245&lt;(Inputs!$E$18-Inputs!$D$18)/(Inputs!$F$18-Inputs!$D$18),Inputs!$D$18+SQRT(J1245*(Inputs!$F$18-Inputs!$D$18)*(Inputs!$E$18-Inputs!$D$18)),Inputs!$F$18-SQRT((1-J1245)*(Inputs!$F$18-Inputs!$D$18)*(Inputs!$F$18-Inputs!$E$18)))</f>
        <v>1.1982140474434</v>
      </c>
      <c r="L1245" s="81" t="n">
        <f aca="true">RAND()</f>
        <v>0.930907787327309</v>
      </c>
      <c r="M1245" s="83" t="n">
        <f aca="false">IF(L1245&lt;(Inputs!$E$24-Inputs!$D$24)/(Inputs!$F$24-Inputs!$D$24),Inputs!$D$24+SQRT(L1245*(Inputs!$F$24-Inputs!$D$24)*(Inputs!$E$24-Inputs!$D$24)),Inputs!$F$24-SQRT((1-L1245)*(Inputs!$F$24-Inputs!$D$24)*(Inputs!$F$24-Inputs!$E$24)))</f>
        <v>1.07122837641217</v>
      </c>
      <c r="N1245" s="81" t="n">
        <f aca="true">RAND()</f>
        <v>0.85279784691782</v>
      </c>
      <c r="O1245" s="83" t="n">
        <f aca="false">IF(N1245&lt;(Inputs!$E$26-Inputs!$D$26)/(Inputs!$F$26-Inputs!$D$26),Inputs!$D$26+SQRT(N1245*(Inputs!$F$26-Inputs!$D$26)*(Inputs!$E$26-Inputs!$D$26)),Inputs!$F$26-SQRT((1-N1245)*(Inputs!$F$26-Inputs!$D$26)*(Inputs!$F$26-Inputs!$E$26)))</f>
        <v>0.696270359571578</v>
      </c>
      <c r="P1245" s="81" t="n">
        <f aca="true">RAND()</f>
        <v>0.594595976273829</v>
      </c>
      <c r="Q1245" s="82" t="n">
        <f aca="false">IF(P1245&lt;(Inputs!$E$27-Inputs!$D$27)/(Inputs!$F$27-Inputs!$D$27),Inputs!$D$27+SQRT(P1245*(Inputs!$F$27-Inputs!$D$27)*(Inputs!$E$27-Inputs!$D$27)),Inputs!$F$27-SQRT((1-P1245)*(Inputs!$F$27-Inputs!$D$27)*(Inputs!$F$27-Inputs!$E$27)))</f>
        <v>94.8589973073913</v>
      </c>
      <c r="R1245" s="81" t="n">
        <f aca="true">RAND()</f>
        <v>0.993502039207795</v>
      </c>
      <c r="S1245" s="82" t="n">
        <f aca="false">IF(R1245&lt;(Inputs!$E$29-Inputs!$D$29)/(Inputs!$F$29-Inputs!$D$29),Inputs!$D$29+SQRT(R1245*(Inputs!$F$29-Inputs!$D$29)*(Inputs!$E$29-Inputs!$D$29)),Inputs!$F$29-SQRT((1-R1245)*(Inputs!$F$29-Inputs!$D$29)*(Inputs!$F$29-Inputs!$E$29)))</f>
        <v>14.0809053895345</v>
      </c>
      <c r="T1245" s="68" t="n">
        <f aca="false">Inputs!$E$9*(1+E1245)+Inputs!$E$5*C1245*(Inputs!$E$11*Inputs!$E$14*(G1245*I1245/Inputs!$E$16+(1-G1245))*K1245+Inputs!$E$23*M1245)*(1+O1245)+Inputs!$E$5*(Q1245+S1245)</f>
        <v>7672.02838491571</v>
      </c>
    </row>
    <row r="1246" customFormat="false" ht="15" hidden="false" customHeight="false" outlineLevel="0" collapsed="false">
      <c r="A1246" s="1" t="n">
        <v>1242</v>
      </c>
      <c r="B1246" s="81" t="n">
        <f aca="true">RAND()</f>
        <v>0.230066534187269</v>
      </c>
      <c r="C1246" s="82" t="n">
        <f aca="false">ROUND(IF(B1246&lt;(Inputs!$E$8-Inputs!$D$8)/(Inputs!$F$8-Inputs!$D$8),Inputs!$D$8+SQRT(B1246*(Inputs!$F$8-Inputs!$D$8)*(Inputs!$E$8-Inputs!$D$8)),Inputs!$F$8-SQRT((1-B1246)*(Inputs!$F$8-Inputs!$D$8)*(Inputs!$F$8-Inputs!$E$8))),0)</f>
        <v>23</v>
      </c>
      <c r="D1246" s="81" t="n">
        <f aca="true">RAND()</f>
        <v>0.54710581353726</v>
      </c>
      <c r="E1246" s="83" t="n">
        <f aca="false">IF(D1246&lt;(Inputs!$E$10-Inputs!$D$10)/(Inputs!$F$10-Inputs!$D$10),Inputs!$D$10+SQRT(D1246*(Inputs!$F$10-Inputs!$D$10)*(Inputs!$E$10-Inputs!$D$10)),Inputs!$F$10-SQRT((1-D1246)*(Inputs!$F$10-Inputs!$D$10)*(Inputs!$F$10-Inputs!$E$10)))</f>
        <v>0.0834374605892519</v>
      </c>
      <c r="F1246" s="81" t="n">
        <f aca="true">RAND()</f>
        <v>0.217633651992874</v>
      </c>
      <c r="G1246" s="83" t="n">
        <f aca="false">IF(F1246&lt;(Inputs!$E$15-Inputs!$D$15)/(Inputs!$F$15-Inputs!$D$15),Inputs!$D$15+SQRT(F1246*(Inputs!$F$15-Inputs!$D$15)*(Inputs!$E$15-Inputs!$D$15)),Inputs!$F$15-SQRT((1-F1246)*(Inputs!$F$15-Inputs!$D$15)*(Inputs!$F$15-Inputs!$E$15)))</f>
        <v>0.665974790942128</v>
      </c>
      <c r="H1246" s="81" t="n">
        <f aca="true">RAND()</f>
        <v>0.493457852132902</v>
      </c>
      <c r="I1246" s="82" t="n">
        <f aca="false">ROUND(IF(H1246&lt;(Inputs!$E$17-Inputs!$D$17)/(Inputs!$F$17-Inputs!$D$17),Inputs!$D$17+SQRT(H1246*(Inputs!$F$17-Inputs!$D$17)*(Inputs!$E$17-Inputs!$D$17)),Inputs!$F$17-SQRT((1-H1246)*(Inputs!$F$17-Inputs!$D$17)*(Inputs!$F$17-Inputs!$E$17))),0)</f>
        <v>106</v>
      </c>
      <c r="J1246" s="81" t="n">
        <f aca="true">RAND()</f>
        <v>0.934822079734008</v>
      </c>
      <c r="K1246" s="83" t="n">
        <f aca="false">IF(J1246&lt;(Inputs!$E$18-Inputs!$D$18)/(Inputs!$F$18-Inputs!$D$18),Inputs!$D$18+SQRT(J1246*(Inputs!$F$18-Inputs!$D$18)*(Inputs!$E$18-Inputs!$D$18)),Inputs!$F$18-SQRT((1-J1246)*(Inputs!$F$18-Inputs!$D$18)*(Inputs!$F$18-Inputs!$E$18)))</f>
        <v>1.17448133990017</v>
      </c>
      <c r="L1246" s="81" t="n">
        <f aca="true">RAND()</f>
        <v>0.790440058870874</v>
      </c>
      <c r="M1246" s="83" t="n">
        <f aca="false">IF(L1246&lt;(Inputs!$E$24-Inputs!$D$24)/(Inputs!$F$24-Inputs!$D$24),Inputs!$D$24+SQRT(L1246*(Inputs!$F$24-Inputs!$D$24)*(Inputs!$E$24-Inputs!$D$24)),Inputs!$F$24-SQRT((1-L1246)*(Inputs!$F$24-Inputs!$D$24)*(Inputs!$F$24-Inputs!$E$24)))</f>
        <v>0.975735901511209</v>
      </c>
      <c r="N1246" s="81" t="n">
        <f aca="true">RAND()</f>
        <v>0.655666789543324</v>
      </c>
      <c r="O1246" s="83" t="n">
        <f aca="false">IF(N1246&lt;(Inputs!$E$26-Inputs!$D$26)/(Inputs!$F$26-Inputs!$D$26),Inputs!$D$26+SQRT(N1246*(Inputs!$F$26-Inputs!$D$26)*(Inputs!$E$26-Inputs!$D$26)),Inputs!$F$26-SQRT((1-N1246)*(Inputs!$F$26-Inputs!$D$26)*(Inputs!$F$26-Inputs!$E$26)))</f>
        <v>0.630762969037521</v>
      </c>
      <c r="P1246" s="81" t="n">
        <f aca="true">RAND()</f>
        <v>0.898535919956351</v>
      </c>
      <c r="Q1246" s="82" t="n">
        <f aca="false">IF(P1246&lt;(Inputs!$E$27-Inputs!$D$27)/(Inputs!$F$27-Inputs!$D$27),Inputs!$D$27+SQRT(P1246*(Inputs!$F$27-Inputs!$D$27)*(Inputs!$E$27-Inputs!$D$27)),Inputs!$F$27-SQRT((1-P1246)*(Inputs!$F$27-Inputs!$D$27)*(Inputs!$F$27-Inputs!$E$27)))</f>
        <v>122.414123172765</v>
      </c>
      <c r="R1246" s="81" t="n">
        <f aca="true">RAND()</f>
        <v>0.640409109925241</v>
      </c>
      <c r="S1246" s="82" t="n">
        <f aca="false">IF(R1246&lt;(Inputs!$E$29-Inputs!$D$29)/(Inputs!$F$29-Inputs!$D$29),Inputs!$D$29+SQRT(R1246*(Inputs!$F$29-Inputs!$D$29)*(Inputs!$E$29-Inputs!$D$29)),Inputs!$F$29-SQRT((1-R1246)*(Inputs!$F$29-Inputs!$D$29)*(Inputs!$F$29-Inputs!$E$29)))</f>
        <v>8.16283569674396</v>
      </c>
      <c r="T1246" s="68" t="n">
        <f aca="false">Inputs!$E$9*(1+E1246)+Inputs!$E$5*C1246*(Inputs!$E$11*Inputs!$E$14*(G1246*I1246/Inputs!$E$16+(1-G1246))*K1246+Inputs!$E$23*M1246)*(1+O1246)+Inputs!$E$5*(Q1246+S1246)</f>
        <v>6768.94391513336</v>
      </c>
    </row>
    <row r="1247" customFormat="false" ht="15" hidden="false" customHeight="false" outlineLevel="0" collapsed="false">
      <c r="A1247" s="1" t="n">
        <v>1243</v>
      </c>
      <c r="B1247" s="81" t="n">
        <f aca="true">RAND()</f>
        <v>0.040268606655867</v>
      </c>
      <c r="C1247" s="82" t="n">
        <f aca="false">ROUND(IF(B1247&lt;(Inputs!$E$8-Inputs!$D$8)/(Inputs!$F$8-Inputs!$D$8),Inputs!$D$8+SQRT(B1247*(Inputs!$F$8-Inputs!$D$8)*(Inputs!$E$8-Inputs!$D$8)),Inputs!$F$8-SQRT((1-B1247)*(Inputs!$F$8-Inputs!$D$8)*(Inputs!$F$8-Inputs!$E$8))),0)</f>
        <v>21</v>
      </c>
      <c r="D1247" s="81" t="n">
        <f aca="true">RAND()</f>
        <v>0.995751775060763</v>
      </c>
      <c r="E1247" s="83" t="n">
        <f aca="false">IF(D1247&lt;(Inputs!$E$10-Inputs!$D$10)/(Inputs!$F$10-Inputs!$D$10),Inputs!$D$10+SQRT(D1247*(Inputs!$F$10-Inputs!$D$10)*(Inputs!$E$10-Inputs!$D$10)),Inputs!$F$10-SQRT((1-D1247)*(Inputs!$F$10-Inputs!$D$10)*(Inputs!$F$10-Inputs!$E$10)))</f>
        <v>0.188710768485981</v>
      </c>
      <c r="F1247" s="81" t="n">
        <f aca="true">RAND()</f>
        <v>0.473520520858403</v>
      </c>
      <c r="G1247" s="83" t="n">
        <f aca="false">IF(F1247&lt;(Inputs!$E$15-Inputs!$D$15)/(Inputs!$F$15-Inputs!$D$15),Inputs!$D$15+SQRT(F1247*(Inputs!$F$15-Inputs!$D$15)*(Inputs!$E$15-Inputs!$D$15)),Inputs!$F$15-SQRT((1-F1247)*(Inputs!$F$15-Inputs!$D$15)*(Inputs!$F$15-Inputs!$E$15)))</f>
        <v>0.697316033710628</v>
      </c>
      <c r="H1247" s="81" t="n">
        <f aca="true">RAND()</f>
        <v>0.959460890826521</v>
      </c>
      <c r="I1247" s="82" t="n">
        <f aca="false">ROUND(IF(H1247&lt;(Inputs!$E$17-Inputs!$D$17)/(Inputs!$F$17-Inputs!$D$17),Inputs!$D$17+SQRT(H1247*(Inputs!$F$17-Inputs!$D$17)*(Inputs!$E$17-Inputs!$D$17)),Inputs!$F$17-SQRT((1-H1247)*(Inputs!$F$17-Inputs!$D$17)*(Inputs!$F$17-Inputs!$E$17))),0)</f>
        <v>113</v>
      </c>
      <c r="J1247" s="81" t="n">
        <f aca="true">RAND()</f>
        <v>0.358381528219644</v>
      </c>
      <c r="K1247" s="83" t="n">
        <f aca="false">IF(J1247&lt;(Inputs!$E$18-Inputs!$D$18)/(Inputs!$F$18-Inputs!$D$18),Inputs!$D$18+SQRT(J1247*(Inputs!$F$18-Inputs!$D$18)*(Inputs!$E$18-Inputs!$D$18)),Inputs!$F$18-SQRT((1-J1247)*(Inputs!$F$18-Inputs!$D$18)*(Inputs!$F$18-Inputs!$E$18)))</f>
        <v>1.0130577786025</v>
      </c>
      <c r="L1247" s="81" t="n">
        <f aca="true">RAND()</f>
        <v>0.302402571786122</v>
      </c>
      <c r="M1247" s="83" t="n">
        <f aca="false">IF(L1247&lt;(Inputs!$E$24-Inputs!$D$24)/(Inputs!$F$24-Inputs!$D$24),Inputs!$D$24+SQRT(L1247*(Inputs!$F$24-Inputs!$D$24)*(Inputs!$E$24-Inputs!$D$24)),Inputs!$F$24-SQRT((1-L1247)*(Inputs!$F$24-Inputs!$D$24)*(Inputs!$F$24-Inputs!$E$24)))</f>
        <v>0.790494904431417</v>
      </c>
      <c r="N1247" s="81" t="n">
        <f aca="true">RAND()</f>
        <v>0.944305791242284</v>
      </c>
      <c r="O1247" s="83" t="n">
        <f aca="false">IF(N1247&lt;(Inputs!$E$26-Inputs!$D$26)/(Inputs!$F$26-Inputs!$D$26),Inputs!$D$26+SQRT(N1247*(Inputs!$F$26-Inputs!$D$26)*(Inputs!$E$26-Inputs!$D$26)),Inputs!$F$26-SQRT((1-N1247)*(Inputs!$F$26-Inputs!$D$26)*(Inputs!$F$26-Inputs!$E$26)))</f>
        <v>0.743893510718189</v>
      </c>
      <c r="P1247" s="81" t="n">
        <f aca="true">RAND()</f>
        <v>0.156616811404585</v>
      </c>
      <c r="Q1247" s="82" t="n">
        <f aca="false">IF(P1247&lt;(Inputs!$E$27-Inputs!$D$27)/(Inputs!$F$27-Inputs!$D$27),Inputs!$D$27+SQRT(P1247*(Inputs!$F$27-Inputs!$D$27)*(Inputs!$E$27-Inputs!$D$27)),Inputs!$F$27-SQRT((1-P1247)*(Inputs!$F$27-Inputs!$D$27)*(Inputs!$F$27-Inputs!$E$27)))</f>
        <v>69.7874209666511</v>
      </c>
      <c r="R1247" s="81" t="n">
        <f aca="true">RAND()</f>
        <v>0.684944619213257</v>
      </c>
      <c r="S1247" s="82" t="n">
        <f aca="false">IF(R1247&lt;(Inputs!$E$29-Inputs!$D$29)/(Inputs!$F$29-Inputs!$D$29),Inputs!$D$29+SQRT(R1247*(Inputs!$F$29-Inputs!$D$29)*(Inputs!$E$29-Inputs!$D$29)),Inputs!$F$29-SQRT((1-R1247)*(Inputs!$F$29-Inputs!$D$29)*(Inputs!$F$29-Inputs!$E$29)))</f>
        <v>8.6002187926245</v>
      </c>
      <c r="T1247" s="68" t="n">
        <f aca="false">Inputs!$E$9*(1+E1247)+Inputs!$E$5*C1247*(Inputs!$E$11*Inputs!$E$14*(G1247*I1247/Inputs!$E$16+(1-G1247))*K1247+Inputs!$E$23*M1247)*(1+O1247)+Inputs!$E$5*(Q1247+S1247)</f>
        <v>6120.94911349564</v>
      </c>
    </row>
    <row r="1248" customFormat="false" ht="15" hidden="false" customHeight="false" outlineLevel="0" collapsed="false">
      <c r="A1248" s="1" t="n">
        <v>1244</v>
      </c>
      <c r="B1248" s="81" t="n">
        <f aca="true">RAND()</f>
        <v>0.998183744115726</v>
      </c>
      <c r="C1248" s="82" t="n">
        <f aca="false">ROUND(IF(B1248&lt;(Inputs!$E$8-Inputs!$D$8)/(Inputs!$F$8-Inputs!$D$8),Inputs!$D$8+SQRT(B1248*(Inputs!$F$8-Inputs!$D$8)*(Inputs!$E$8-Inputs!$D$8)),Inputs!$F$8-SQRT((1-B1248)*(Inputs!$F$8-Inputs!$D$8)*(Inputs!$F$8-Inputs!$E$8))),0)</f>
        <v>30</v>
      </c>
      <c r="D1248" s="81" t="n">
        <f aca="true">RAND()</f>
        <v>0.971186688844165</v>
      </c>
      <c r="E1248" s="83" t="n">
        <f aca="false">IF(D1248&lt;(Inputs!$E$10-Inputs!$D$10)/(Inputs!$F$10-Inputs!$D$10),Inputs!$D$10+SQRT(D1248*(Inputs!$F$10-Inputs!$D$10)*(Inputs!$E$10-Inputs!$D$10)),Inputs!$F$10-SQRT((1-D1248)*(Inputs!$F$10-Inputs!$D$10)*(Inputs!$F$10-Inputs!$E$10)))</f>
        <v>0.170599331050552</v>
      </c>
      <c r="F1248" s="81" t="n">
        <f aca="true">RAND()</f>
        <v>0.464591534540167</v>
      </c>
      <c r="G1248" s="83" t="n">
        <f aca="false">IF(F1248&lt;(Inputs!$E$15-Inputs!$D$15)/(Inputs!$F$15-Inputs!$D$15),Inputs!$D$15+SQRT(F1248*(Inputs!$F$15-Inputs!$D$15)*(Inputs!$E$15-Inputs!$D$15)),Inputs!$F$15-SQRT((1-F1248)*(Inputs!$F$15-Inputs!$D$15)*(Inputs!$F$15-Inputs!$E$15)))</f>
        <v>0.696394142409191</v>
      </c>
      <c r="H1248" s="81" t="n">
        <f aca="true">RAND()</f>
        <v>0.348848992282831</v>
      </c>
      <c r="I1248" s="82" t="n">
        <f aca="false">ROUND(IF(H1248&lt;(Inputs!$E$17-Inputs!$D$17)/(Inputs!$F$17-Inputs!$D$17),Inputs!$D$17+SQRT(H1248*(Inputs!$F$17-Inputs!$D$17)*(Inputs!$E$17-Inputs!$D$17)),Inputs!$F$17-SQRT((1-H1248)*(Inputs!$F$17-Inputs!$D$17)*(Inputs!$F$17-Inputs!$E$17))),0)</f>
        <v>105</v>
      </c>
      <c r="J1248" s="81" t="n">
        <f aca="true">RAND()</f>
        <v>0.353313177537658</v>
      </c>
      <c r="K1248" s="83" t="n">
        <f aca="false">IF(J1248&lt;(Inputs!$E$18-Inputs!$D$18)/(Inputs!$F$18-Inputs!$D$18),Inputs!$D$18+SQRT(J1248*(Inputs!$F$18-Inputs!$D$18)*(Inputs!$E$18-Inputs!$D$18)),Inputs!$F$18-SQRT((1-J1248)*(Inputs!$F$18-Inputs!$D$18)*(Inputs!$F$18-Inputs!$E$18)))</f>
        <v>1.01212377805788</v>
      </c>
      <c r="L1248" s="81" t="n">
        <f aca="true">RAND()</f>
        <v>0.412615025304699</v>
      </c>
      <c r="M1248" s="83" t="n">
        <f aca="false">IF(L1248&lt;(Inputs!$E$24-Inputs!$D$24)/(Inputs!$F$24-Inputs!$D$24),Inputs!$D$24+SQRT(L1248*(Inputs!$F$24-Inputs!$D$24)*(Inputs!$E$24-Inputs!$D$24)),Inputs!$F$24-SQRT((1-L1248)*(Inputs!$F$24-Inputs!$D$24)*(Inputs!$F$24-Inputs!$E$24)))</f>
        <v>0.824537093807028</v>
      </c>
      <c r="N1248" s="81" t="n">
        <f aca="true">RAND()</f>
        <v>0.109345770438233</v>
      </c>
      <c r="O1248" s="83" t="n">
        <f aca="false">IF(N1248&lt;(Inputs!$E$26-Inputs!$D$26)/(Inputs!$F$26-Inputs!$D$26),Inputs!$D$26+SQRT(N1248*(Inputs!$F$26-Inputs!$D$26)*(Inputs!$E$26-Inputs!$D$26)),Inputs!$F$26-SQRT((1-N1248)*(Inputs!$F$26-Inputs!$D$26)*(Inputs!$F$26-Inputs!$E$26)))</f>
        <v>0.43488934798909</v>
      </c>
      <c r="P1248" s="81" t="n">
        <f aca="true">RAND()</f>
        <v>0.841541528098604</v>
      </c>
      <c r="Q1248" s="82" t="n">
        <f aca="false">IF(P1248&lt;(Inputs!$E$27-Inputs!$D$27)/(Inputs!$F$27-Inputs!$D$27),Inputs!$D$27+SQRT(P1248*(Inputs!$F$27-Inputs!$D$27)*(Inputs!$E$27-Inputs!$D$27)),Inputs!$F$27-SQRT((1-P1248)*(Inputs!$F$27-Inputs!$D$27)*(Inputs!$F$27-Inputs!$E$27)))</f>
        <v>115.526263050541</v>
      </c>
      <c r="R1248" s="81" t="n">
        <f aca="true">RAND()</f>
        <v>0.239167889090892</v>
      </c>
      <c r="S1248" s="82" t="n">
        <f aca="false">IF(R1248&lt;(Inputs!$E$29-Inputs!$D$29)/(Inputs!$F$29-Inputs!$D$29),Inputs!$D$29+SQRT(R1248*(Inputs!$F$29-Inputs!$D$29)*(Inputs!$E$29-Inputs!$D$29)),Inputs!$F$29-SQRT((1-R1248)*(Inputs!$F$29-Inputs!$D$29)*(Inputs!$F$29-Inputs!$E$29)))</f>
        <v>5.05474110853901</v>
      </c>
      <c r="T1248" s="68" t="n">
        <f aca="false">Inputs!$E$9*(1+E1248)+Inputs!$E$5*C1248*(Inputs!$E$11*Inputs!$E$14*(G1248*I1248/Inputs!$E$16+(1-G1248))*K1248+Inputs!$E$23*M1248)*(1+O1248)+Inputs!$E$5*(Q1248+S1248)</f>
        <v>6788.51204597835</v>
      </c>
    </row>
    <row r="1249" customFormat="false" ht="15" hidden="false" customHeight="false" outlineLevel="0" collapsed="false">
      <c r="A1249" s="1" t="n">
        <v>1245</v>
      </c>
      <c r="B1249" s="81" t="n">
        <f aca="true">RAND()</f>
        <v>0.666576665729588</v>
      </c>
      <c r="C1249" s="82" t="n">
        <f aca="false">ROUND(IF(B1249&lt;(Inputs!$E$8-Inputs!$D$8)/(Inputs!$F$8-Inputs!$D$8),Inputs!$D$8+SQRT(B1249*(Inputs!$F$8-Inputs!$D$8)*(Inputs!$E$8-Inputs!$D$8)),Inputs!$F$8-SQRT((1-B1249)*(Inputs!$F$8-Inputs!$D$8)*(Inputs!$F$8-Inputs!$E$8))),0)</f>
        <v>26</v>
      </c>
      <c r="D1249" s="81" t="n">
        <f aca="true">RAND()</f>
        <v>0.197997043589197</v>
      </c>
      <c r="E1249" s="83" t="n">
        <f aca="false">IF(D1249&lt;(Inputs!$E$10-Inputs!$D$10)/(Inputs!$F$10-Inputs!$D$10),Inputs!$D$10+SQRT(D1249*(Inputs!$F$10-Inputs!$D$10)*(Inputs!$E$10-Inputs!$D$10)),Inputs!$F$10-SQRT((1-D1249)*(Inputs!$F$10-Inputs!$D$10)*(Inputs!$F$10-Inputs!$E$10)))</f>
        <v>0.0444968587193744</v>
      </c>
      <c r="F1249" s="81" t="n">
        <f aca="true">RAND()</f>
        <v>0.470016074167166</v>
      </c>
      <c r="G1249" s="83" t="n">
        <f aca="false">IF(F1249&lt;(Inputs!$E$15-Inputs!$D$15)/(Inputs!$F$15-Inputs!$D$15),Inputs!$D$15+SQRT(F1249*(Inputs!$F$15-Inputs!$D$15)*(Inputs!$E$15-Inputs!$D$15)),Inputs!$F$15-SQRT((1-F1249)*(Inputs!$F$15-Inputs!$D$15)*(Inputs!$F$15-Inputs!$E$15)))</f>
        <v>0.696955255057905</v>
      </c>
      <c r="H1249" s="81" t="n">
        <f aca="true">RAND()</f>
        <v>0.742660771162993</v>
      </c>
      <c r="I1249" s="82" t="n">
        <f aca="false">ROUND(IF(H1249&lt;(Inputs!$E$17-Inputs!$D$17)/(Inputs!$F$17-Inputs!$D$17),Inputs!$D$17+SQRT(H1249*(Inputs!$F$17-Inputs!$D$17)*(Inputs!$E$17-Inputs!$D$17)),Inputs!$F$17-SQRT((1-H1249)*(Inputs!$F$17-Inputs!$D$17)*(Inputs!$F$17-Inputs!$E$17))),0)</f>
        <v>109</v>
      </c>
      <c r="J1249" s="81" t="n">
        <f aca="true">RAND()</f>
        <v>0.582148050686337</v>
      </c>
      <c r="K1249" s="83" t="n">
        <f aca="false">IF(J1249&lt;(Inputs!$E$18-Inputs!$D$18)/(Inputs!$F$18-Inputs!$D$18),Inputs!$D$18+SQRT(J1249*(Inputs!$F$18-Inputs!$D$18)*(Inputs!$E$18-Inputs!$D$18)),Inputs!$F$18-SQRT((1-J1249)*(Inputs!$F$18-Inputs!$D$18)*(Inputs!$F$18-Inputs!$E$18)))</f>
        <v>1.05878795653792</v>
      </c>
      <c r="L1249" s="81" t="n">
        <f aca="true">RAND()</f>
        <v>0.720929682520977</v>
      </c>
      <c r="M1249" s="83" t="n">
        <f aca="false">IF(L1249&lt;(Inputs!$E$24-Inputs!$D$24)/(Inputs!$F$24-Inputs!$D$24),Inputs!$D$24+SQRT(L1249*(Inputs!$F$24-Inputs!$D$24)*(Inputs!$E$24-Inputs!$D$24)),Inputs!$F$24-SQRT((1-L1249)*(Inputs!$F$24-Inputs!$D$24)*(Inputs!$F$24-Inputs!$E$24)))</f>
        <v>0.941201089270133</v>
      </c>
      <c r="N1249" s="81" t="n">
        <f aca="true">RAND()</f>
        <v>0.45688285053313</v>
      </c>
      <c r="O1249" s="83" t="n">
        <f aca="false">IF(N1249&lt;(Inputs!$E$26-Inputs!$D$26)/(Inputs!$F$26-Inputs!$D$26),Inputs!$D$26+SQRT(N1249*(Inputs!$F$26-Inputs!$D$26)*(Inputs!$E$26-Inputs!$D$26)),Inputs!$F$26-SQRT((1-N1249)*(Inputs!$F$26-Inputs!$D$26)*(Inputs!$F$26-Inputs!$E$26)))</f>
        <v>0.575726869072843</v>
      </c>
      <c r="P1249" s="81" t="n">
        <f aca="true">RAND()</f>
        <v>0.0927571361027793</v>
      </c>
      <c r="Q1249" s="82" t="n">
        <f aca="false">IF(P1249&lt;(Inputs!$E$27-Inputs!$D$27)/(Inputs!$F$27-Inputs!$D$27),Inputs!$D$27+SQRT(P1249*(Inputs!$F$27-Inputs!$D$27)*(Inputs!$E$27-Inputs!$D$27)),Inputs!$F$27-SQRT((1-P1249)*(Inputs!$F$27-Inputs!$D$27)*(Inputs!$F$27-Inputs!$E$27)))</f>
        <v>65.2280281145311</v>
      </c>
      <c r="R1249" s="81" t="n">
        <f aca="true">RAND()</f>
        <v>0.503733025510686</v>
      </c>
      <c r="S1249" s="82" t="n">
        <f aca="false">IF(R1249&lt;(Inputs!$E$29-Inputs!$D$29)/(Inputs!$F$29-Inputs!$D$29),Inputs!$D$29+SQRT(R1249*(Inputs!$F$29-Inputs!$D$29)*(Inputs!$E$29-Inputs!$D$29)),Inputs!$F$29-SQRT((1-R1249)*(Inputs!$F$29-Inputs!$D$29)*(Inputs!$F$29-Inputs!$E$29)))</f>
        <v>6.96789525195228</v>
      </c>
      <c r="T1249" s="68" t="n">
        <f aca="false">Inputs!$E$9*(1+E1249)+Inputs!$E$5*C1249*(Inputs!$E$11*Inputs!$E$14*(G1249*I1249/Inputs!$E$16+(1-G1249))*K1249+Inputs!$E$23*M1249)*(1+O1249)+Inputs!$E$5*(Q1249+S1249)</f>
        <v>6417.72235019645</v>
      </c>
    </row>
    <row r="1250" customFormat="false" ht="15" hidden="false" customHeight="false" outlineLevel="0" collapsed="false">
      <c r="A1250" s="1" t="n">
        <v>1246</v>
      </c>
      <c r="B1250" s="81" t="n">
        <f aca="true">RAND()</f>
        <v>0.368481589257135</v>
      </c>
      <c r="C1250" s="82" t="n">
        <f aca="false">ROUND(IF(B1250&lt;(Inputs!$E$8-Inputs!$D$8)/(Inputs!$F$8-Inputs!$D$8),Inputs!$D$8+SQRT(B1250*(Inputs!$F$8-Inputs!$D$8)*(Inputs!$E$8-Inputs!$D$8)),Inputs!$F$8-SQRT((1-B1250)*(Inputs!$F$8-Inputs!$D$8)*(Inputs!$F$8-Inputs!$E$8))),0)</f>
        <v>24</v>
      </c>
      <c r="D1250" s="81" t="n">
        <f aca="true">RAND()</f>
        <v>0.0920571889136092</v>
      </c>
      <c r="E1250" s="83" t="n">
        <f aca="false">IF(D1250&lt;(Inputs!$E$10-Inputs!$D$10)/(Inputs!$F$10-Inputs!$D$10),Inputs!$D$10+SQRT(D1250*(Inputs!$F$10-Inputs!$D$10)*(Inputs!$E$10-Inputs!$D$10)),Inputs!$F$10-SQRT((1-D1250)*(Inputs!$F$10-Inputs!$D$10)*(Inputs!$F$10-Inputs!$E$10)))</f>
        <v>0.0303409276248452</v>
      </c>
      <c r="F1250" s="81" t="n">
        <f aca="true">RAND()</f>
        <v>0.735031993256857</v>
      </c>
      <c r="G1250" s="83" t="n">
        <f aca="false">IF(F1250&lt;(Inputs!$E$15-Inputs!$D$15)/(Inputs!$F$15-Inputs!$D$15),Inputs!$D$15+SQRT(F1250*(Inputs!$F$15-Inputs!$D$15)*(Inputs!$E$15-Inputs!$D$15)),Inputs!$F$15-SQRT((1-F1250)*(Inputs!$F$15-Inputs!$D$15)*(Inputs!$F$15-Inputs!$E$15)))</f>
        <v>0.727203295851647</v>
      </c>
      <c r="H1250" s="81" t="n">
        <f aca="true">RAND()</f>
        <v>0.516873945359675</v>
      </c>
      <c r="I1250" s="82" t="n">
        <f aca="false">ROUND(IF(H1250&lt;(Inputs!$E$17-Inputs!$D$17)/(Inputs!$F$17-Inputs!$D$17),Inputs!$D$17+SQRT(H1250*(Inputs!$F$17-Inputs!$D$17)*(Inputs!$E$17-Inputs!$D$17)),Inputs!$F$17-SQRT((1-H1250)*(Inputs!$F$17-Inputs!$D$17)*(Inputs!$F$17-Inputs!$E$17))),0)</f>
        <v>106</v>
      </c>
      <c r="J1250" s="81" t="n">
        <f aca="true">RAND()</f>
        <v>0.361899969767864</v>
      </c>
      <c r="K1250" s="83" t="n">
        <f aca="false">IF(J1250&lt;(Inputs!$E$18-Inputs!$D$18)/(Inputs!$F$18-Inputs!$D$18),Inputs!$D$18+SQRT(J1250*(Inputs!$F$18-Inputs!$D$18)*(Inputs!$E$18-Inputs!$D$18)),Inputs!$F$18-SQRT((1-J1250)*(Inputs!$F$18-Inputs!$D$18)*(Inputs!$F$18-Inputs!$E$18)))</f>
        <v>1.01370833140944</v>
      </c>
      <c r="L1250" s="81" t="n">
        <f aca="true">RAND()</f>
        <v>0.106362366661834</v>
      </c>
      <c r="M1250" s="83" t="n">
        <f aca="false">IF(L1250&lt;(Inputs!$E$24-Inputs!$D$24)/(Inputs!$F$24-Inputs!$D$24),Inputs!$D$24+SQRT(L1250*(Inputs!$F$24-Inputs!$D$24)*(Inputs!$E$24-Inputs!$D$24)),Inputs!$F$24-SQRT((1-L1250)*(Inputs!$F$24-Inputs!$D$24)*(Inputs!$F$24-Inputs!$E$24)))</f>
        <v>0.712975590281353</v>
      </c>
      <c r="N1250" s="81" t="n">
        <f aca="true">RAND()</f>
        <v>0.328151147198833</v>
      </c>
      <c r="O1250" s="83" t="n">
        <f aca="false">IF(N1250&lt;(Inputs!$E$26-Inputs!$D$26)/(Inputs!$F$26-Inputs!$D$26),Inputs!$D$26+SQRT(N1250*(Inputs!$F$26-Inputs!$D$26)*(Inputs!$E$26-Inputs!$D$26)),Inputs!$F$26-SQRT((1-N1250)*(Inputs!$F$26-Inputs!$D$26)*(Inputs!$F$26-Inputs!$E$26)))</f>
        <v>0.533675738778945</v>
      </c>
      <c r="P1250" s="81" t="n">
        <f aca="true">RAND()</f>
        <v>0.564263890732484</v>
      </c>
      <c r="Q1250" s="82" t="n">
        <f aca="false">IF(P1250&lt;(Inputs!$E$27-Inputs!$D$27)/(Inputs!$F$27-Inputs!$D$27),Inputs!$D$27+SQRT(P1250*(Inputs!$F$27-Inputs!$D$27)*(Inputs!$E$27-Inputs!$D$27)),Inputs!$F$27-SQRT((1-P1250)*(Inputs!$F$27-Inputs!$D$27)*(Inputs!$F$27-Inputs!$E$27)))</f>
        <v>92.8333941928824</v>
      </c>
      <c r="R1250" s="81" t="n">
        <f aca="true">RAND()</f>
        <v>0.822701206852164</v>
      </c>
      <c r="S1250" s="82" t="n">
        <f aca="false">IF(R1250&lt;(Inputs!$E$29-Inputs!$D$29)/(Inputs!$F$29-Inputs!$D$29),Inputs!$D$29+SQRT(R1250*(Inputs!$F$29-Inputs!$D$29)*(Inputs!$E$29-Inputs!$D$29)),Inputs!$F$29-SQRT((1-R1250)*(Inputs!$F$29-Inputs!$D$29)*(Inputs!$F$29-Inputs!$E$29)))</f>
        <v>10.1990789311614</v>
      </c>
      <c r="T1250" s="68" t="n">
        <f aca="false">Inputs!$E$9*(1+E1250)+Inputs!$E$5*C1250*(Inputs!$E$11*Inputs!$E$14*(G1250*I1250/Inputs!$E$16+(1-G1250))*K1250+Inputs!$E$23*M1250)*(1+O1250)+Inputs!$E$5*(Q1250+S1250)</f>
        <v>5698.73821964535</v>
      </c>
    </row>
    <row r="1251" customFormat="false" ht="15" hidden="false" customHeight="false" outlineLevel="0" collapsed="false">
      <c r="A1251" s="1" t="n">
        <v>1247</v>
      </c>
      <c r="B1251" s="81" t="n">
        <f aca="true">RAND()</f>
        <v>0.871987314871095</v>
      </c>
      <c r="C1251" s="82" t="n">
        <f aca="false">ROUND(IF(B1251&lt;(Inputs!$E$8-Inputs!$D$8)/(Inputs!$F$8-Inputs!$D$8),Inputs!$D$8+SQRT(B1251*(Inputs!$F$8-Inputs!$D$8)*(Inputs!$E$8-Inputs!$D$8)),Inputs!$F$8-SQRT((1-B1251)*(Inputs!$F$8-Inputs!$D$8)*(Inputs!$F$8-Inputs!$E$8))),0)</f>
        <v>27</v>
      </c>
      <c r="D1251" s="81" t="n">
        <f aca="true">RAND()</f>
        <v>0.778180053619141</v>
      </c>
      <c r="E1251" s="83" t="n">
        <f aca="false">IF(D1251&lt;(Inputs!$E$10-Inputs!$D$10)/(Inputs!$F$10-Inputs!$D$10),Inputs!$D$10+SQRT(D1251*(Inputs!$F$10-Inputs!$D$10)*(Inputs!$E$10-Inputs!$D$10)),Inputs!$F$10-SQRT((1-D1251)*(Inputs!$F$10-Inputs!$D$10)*(Inputs!$F$10-Inputs!$E$10)))</f>
        <v>0.118424278174044</v>
      </c>
      <c r="F1251" s="81" t="n">
        <f aca="true">RAND()</f>
        <v>0.347891297185862</v>
      </c>
      <c r="G1251" s="83" t="n">
        <f aca="false">IF(F1251&lt;(Inputs!$E$15-Inputs!$D$15)/(Inputs!$F$15-Inputs!$D$15),Inputs!$D$15+SQRT(F1251*(Inputs!$F$15-Inputs!$D$15)*(Inputs!$E$15-Inputs!$D$15)),Inputs!$F$15-SQRT((1-F1251)*(Inputs!$F$15-Inputs!$D$15)*(Inputs!$F$15-Inputs!$E$15)))</f>
        <v>0.683413583688253</v>
      </c>
      <c r="H1251" s="81" t="n">
        <f aca="true">RAND()</f>
        <v>0.429803198722939</v>
      </c>
      <c r="I1251" s="82" t="n">
        <f aca="false">ROUND(IF(H1251&lt;(Inputs!$E$17-Inputs!$D$17)/(Inputs!$F$17-Inputs!$D$17),Inputs!$D$17+SQRT(H1251*(Inputs!$F$17-Inputs!$D$17)*(Inputs!$E$17-Inputs!$D$17)),Inputs!$F$17-SQRT((1-H1251)*(Inputs!$F$17-Inputs!$D$17)*(Inputs!$F$17-Inputs!$E$17))),0)</f>
        <v>106</v>
      </c>
      <c r="J1251" s="81" t="n">
        <f aca="true">RAND()</f>
        <v>0.764968471629692</v>
      </c>
      <c r="K1251" s="83" t="n">
        <f aca="false">IF(J1251&lt;(Inputs!$E$18-Inputs!$D$18)/(Inputs!$F$18-Inputs!$D$18),Inputs!$D$18+SQRT(J1251*(Inputs!$F$18-Inputs!$D$18)*(Inputs!$E$18-Inputs!$D$18)),Inputs!$F$18-SQRT((1-J1251)*(Inputs!$F$18-Inputs!$D$18)*(Inputs!$F$18-Inputs!$E$18)))</f>
        <v>1.10659407706652</v>
      </c>
      <c r="L1251" s="81" t="n">
        <f aca="true">RAND()</f>
        <v>0.934404729048483</v>
      </c>
      <c r="M1251" s="83" t="n">
        <f aca="false">IF(L1251&lt;(Inputs!$E$24-Inputs!$D$24)/(Inputs!$F$24-Inputs!$D$24),Inputs!$D$24+SQRT(L1251*(Inputs!$F$24-Inputs!$D$24)*(Inputs!$E$24-Inputs!$D$24)),Inputs!$F$24-SQRT((1-L1251)*(Inputs!$F$24-Inputs!$D$24)*(Inputs!$F$24-Inputs!$E$24)))</f>
        <v>1.07452942564743</v>
      </c>
      <c r="N1251" s="81" t="n">
        <f aca="true">RAND()</f>
        <v>0.236151178717205</v>
      </c>
      <c r="O1251" s="83" t="n">
        <f aca="false">IF(N1251&lt;(Inputs!$E$26-Inputs!$D$26)/(Inputs!$F$26-Inputs!$D$26),Inputs!$D$26+SQRT(N1251*(Inputs!$F$26-Inputs!$D$26)*(Inputs!$E$26-Inputs!$D$26)),Inputs!$F$26-SQRT((1-N1251)*(Inputs!$F$26-Inputs!$D$26)*(Inputs!$F$26-Inputs!$E$26)))</f>
        <v>0.498231067541248</v>
      </c>
      <c r="P1251" s="81" t="n">
        <f aca="true">RAND()</f>
        <v>0.145114320958884</v>
      </c>
      <c r="Q1251" s="82" t="n">
        <f aca="false">IF(P1251&lt;(Inputs!$E$27-Inputs!$D$27)/(Inputs!$F$27-Inputs!$D$27),Inputs!$D$27+SQRT(P1251*(Inputs!$F$27-Inputs!$D$27)*(Inputs!$E$27-Inputs!$D$27)),Inputs!$F$27-SQRT((1-P1251)*(Inputs!$F$27-Inputs!$D$27)*(Inputs!$F$27-Inputs!$E$27)))</f>
        <v>69.0469368245188</v>
      </c>
      <c r="R1251" s="81" t="n">
        <f aca="true">RAND()</f>
        <v>0.411586944628614</v>
      </c>
      <c r="S1251" s="82" t="n">
        <f aca="false">IF(R1251&lt;(Inputs!$E$29-Inputs!$D$29)/(Inputs!$F$29-Inputs!$D$29),Inputs!$D$29+SQRT(R1251*(Inputs!$F$29-Inputs!$D$29)*(Inputs!$E$29-Inputs!$D$29)),Inputs!$F$29-SQRT((1-R1251)*(Inputs!$F$29-Inputs!$D$29)*(Inputs!$F$29-Inputs!$E$29)))</f>
        <v>6.2539324723462</v>
      </c>
      <c r="T1251" s="68" t="n">
        <f aca="false">Inputs!$E$9*(1+E1251)+Inputs!$E$5*C1251*(Inputs!$E$11*Inputs!$E$14*(G1251*I1251/Inputs!$E$16+(1-G1251))*K1251+Inputs!$E$23*M1251)*(1+O1251)+Inputs!$E$5*(Q1251+S1251)</f>
        <v>6828.03109860455</v>
      </c>
    </row>
    <row r="1252" customFormat="false" ht="15" hidden="false" customHeight="false" outlineLevel="0" collapsed="false">
      <c r="A1252" s="1" t="n">
        <v>1248</v>
      </c>
      <c r="B1252" s="81" t="n">
        <f aca="true">RAND()</f>
        <v>0.0422034240793815</v>
      </c>
      <c r="C1252" s="82" t="n">
        <f aca="false">ROUND(IF(B1252&lt;(Inputs!$E$8-Inputs!$D$8)/(Inputs!$F$8-Inputs!$D$8),Inputs!$D$8+SQRT(B1252*(Inputs!$F$8-Inputs!$D$8)*(Inputs!$E$8-Inputs!$D$8)),Inputs!$F$8-SQRT((1-B1252)*(Inputs!$F$8-Inputs!$D$8)*(Inputs!$F$8-Inputs!$E$8))),0)</f>
        <v>21</v>
      </c>
      <c r="D1252" s="81" t="n">
        <f aca="true">RAND()</f>
        <v>0.962295290008793</v>
      </c>
      <c r="E1252" s="83" t="n">
        <f aca="false">IF(D1252&lt;(Inputs!$E$10-Inputs!$D$10)/(Inputs!$F$10-Inputs!$D$10),Inputs!$D$10+SQRT(D1252*(Inputs!$F$10-Inputs!$D$10)*(Inputs!$E$10-Inputs!$D$10)),Inputs!$F$10-SQRT((1-D1252)*(Inputs!$F$10-Inputs!$D$10)*(Inputs!$F$10-Inputs!$E$10)))</f>
        <v>0.166367555846531</v>
      </c>
      <c r="F1252" s="81" t="n">
        <f aca="true">RAND()</f>
        <v>0.840893921581919</v>
      </c>
      <c r="G1252" s="83" t="n">
        <f aca="false">IF(F1252&lt;(Inputs!$E$15-Inputs!$D$15)/(Inputs!$F$15-Inputs!$D$15),Inputs!$D$15+SQRT(F1252*(Inputs!$F$15-Inputs!$D$15)*(Inputs!$E$15-Inputs!$D$15)),Inputs!$F$15-SQRT((1-F1252)*(Inputs!$F$15-Inputs!$D$15)*(Inputs!$F$15-Inputs!$E$15)))</f>
        <v>0.743589703348045</v>
      </c>
      <c r="H1252" s="81" t="n">
        <f aca="true">RAND()</f>
        <v>0.122252253996233</v>
      </c>
      <c r="I1252" s="82" t="n">
        <f aca="false">ROUND(IF(H1252&lt;(Inputs!$E$17-Inputs!$D$17)/(Inputs!$F$17-Inputs!$D$17),Inputs!$D$17+SQRT(H1252*(Inputs!$F$17-Inputs!$D$17)*(Inputs!$E$17-Inputs!$D$17)),Inputs!$F$17-SQRT((1-H1252)*(Inputs!$F$17-Inputs!$D$17)*(Inputs!$F$17-Inputs!$E$17))),0)</f>
        <v>103</v>
      </c>
      <c r="J1252" s="81" t="n">
        <f aca="true">RAND()</f>
        <v>0.565965905456748</v>
      </c>
      <c r="K1252" s="83" t="n">
        <f aca="false">IF(J1252&lt;(Inputs!$E$18-Inputs!$D$18)/(Inputs!$F$18-Inputs!$D$18),Inputs!$D$18+SQRT(J1252*(Inputs!$F$18-Inputs!$D$18)*(Inputs!$E$18-Inputs!$D$18)),Inputs!$F$18-SQRT((1-J1252)*(Inputs!$F$18-Inputs!$D$18)*(Inputs!$F$18-Inputs!$E$18)))</f>
        <v>1.05512059300035</v>
      </c>
      <c r="L1252" s="81" t="n">
        <f aca="true">RAND()</f>
        <v>0.325682837412609</v>
      </c>
      <c r="M1252" s="83" t="n">
        <f aca="false">IF(L1252&lt;(Inputs!$E$24-Inputs!$D$24)/(Inputs!$F$24-Inputs!$D$24),Inputs!$D$24+SQRT(L1252*(Inputs!$F$24-Inputs!$D$24)*(Inputs!$E$24-Inputs!$D$24)),Inputs!$F$24-SQRT((1-L1252)*(Inputs!$F$24-Inputs!$D$24)*(Inputs!$F$24-Inputs!$E$24)))</f>
        <v>0.797691528623543</v>
      </c>
      <c r="N1252" s="81" t="n">
        <f aca="true">RAND()</f>
        <v>0.978478504263044</v>
      </c>
      <c r="O1252" s="83" t="n">
        <f aca="false">IF(N1252&lt;(Inputs!$E$26-Inputs!$D$26)/(Inputs!$F$26-Inputs!$D$26),Inputs!$D$26+SQRT(N1252*(Inputs!$F$26-Inputs!$D$26)*(Inputs!$E$26-Inputs!$D$26)),Inputs!$F$26-SQRT((1-N1252)*(Inputs!$F$26-Inputs!$D$26)*(Inputs!$F$26-Inputs!$E$26)))</f>
        <v>0.772690005742513</v>
      </c>
      <c r="P1252" s="81" t="n">
        <f aca="true">RAND()</f>
        <v>0.508672558967095</v>
      </c>
      <c r="Q1252" s="82" t="n">
        <f aca="false">IF(P1252&lt;(Inputs!$E$27-Inputs!$D$27)/(Inputs!$F$27-Inputs!$D$27),Inputs!$D$27+SQRT(P1252*(Inputs!$F$27-Inputs!$D$27)*(Inputs!$E$27-Inputs!$D$27)),Inputs!$F$27-SQRT((1-P1252)*(Inputs!$F$27-Inputs!$D$27)*(Inputs!$F$27-Inputs!$E$27)))</f>
        <v>89.2961631546507</v>
      </c>
      <c r="R1252" s="81" t="n">
        <f aca="true">RAND()</f>
        <v>0.0599667936159578</v>
      </c>
      <c r="S1252" s="82" t="n">
        <f aca="false">IF(R1252&lt;(Inputs!$E$29-Inputs!$D$29)/(Inputs!$F$29-Inputs!$D$29),Inputs!$D$29+SQRT(R1252*(Inputs!$F$29-Inputs!$D$29)*(Inputs!$E$29-Inputs!$D$29)),Inputs!$F$29-SQRT((1-R1252)*(Inputs!$F$29-Inputs!$D$29)*(Inputs!$F$29-Inputs!$E$29)))</f>
        <v>3.52928249549335</v>
      </c>
      <c r="T1252" s="68" t="n">
        <f aca="false">Inputs!$E$9*(1+E1252)+Inputs!$E$5*C1252*(Inputs!$E$11*Inputs!$E$14*(G1252*I1252/Inputs!$E$16+(1-G1252))*K1252+Inputs!$E$23*M1252)*(1+O1252)+Inputs!$E$5*(Q1252+S1252)</f>
        <v>6116.75520593407</v>
      </c>
    </row>
    <row r="1253" customFormat="false" ht="15" hidden="false" customHeight="false" outlineLevel="0" collapsed="false">
      <c r="A1253" s="1" t="n">
        <v>1249</v>
      </c>
      <c r="B1253" s="81" t="n">
        <f aca="true">RAND()</f>
        <v>0.677921685371617</v>
      </c>
      <c r="C1253" s="82" t="n">
        <f aca="false">ROUND(IF(B1253&lt;(Inputs!$E$8-Inputs!$D$8)/(Inputs!$F$8-Inputs!$D$8),Inputs!$D$8+SQRT(B1253*(Inputs!$F$8-Inputs!$D$8)*(Inputs!$E$8-Inputs!$D$8)),Inputs!$F$8-SQRT((1-B1253)*(Inputs!$F$8-Inputs!$D$8)*(Inputs!$F$8-Inputs!$E$8))),0)</f>
        <v>26</v>
      </c>
      <c r="D1253" s="81" t="n">
        <f aca="true">RAND()</f>
        <v>0.682198346711563</v>
      </c>
      <c r="E1253" s="83" t="n">
        <f aca="false">IF(D1253&lt;(Inputs!$E$10-Inputs!$D$10)/(Inputs!$F$10-Inputs!$D$10),Inputs!$D$10+SQRT(D1253*(Inputs!$F$10-Inputs!$D$10)*(Inputs!$E$10-Inputs!$D$10)),Inputs!$F$10-SQRT((1-D1253)*(Inputs!$F$10-Inputs!$D$10)*(Inputs!$F$10-Inputs!$E$10)))</f>
        <v>0.102357542028823</v>
      </c>
      <c r="F1253" s="81" t="n">
        <f aca="true">RAND()</f>
        <v>0.958941213291609</v>
      </c>
      <c r="G1253" s="83" t="n">
        <f aca="false">IF(F1253&lt;(Inputs!$E$15-Inputs!$D$15)/(Inputs!$F$15-Inputs!$D$15),Inputs!$D$15+SQRT(F1253*(Inputs!$F$15-Inputs!$D$15)*(Inputs!$E$15-Inputs!$D$15)),Inputs!$F$15-SQRT((1-F1253)*(Inputs!$F$15-Inputs!$D$15)*(Inputs!$F$15-Inputs!$E$15)))</f>
        <v>0.771343836017921</v>
      </c>
      <c r="H1253" s="81" t="n">
        <f aca="true">RAND()</f>
        <v>0.0105714285336372</v>
      </c>
      <c r="I1253" s="82" t="n">
        <f aca="false">ROUND(IF(H1253&lt;(Inputs!$E$17-Inputs!$D$17)/(Inputs!$F$17-Inputs!$D$17),Inputs!$D$17+SQRT(H1253*(Inputs!$F$17-Inputs!$D$17)*(Inputs!$E$17-Inputs!$D$17)),Inputs!$F$17-SQRT((1-H1253)*(Inputs!$F$17-Inputs!$D$17)*(Inputs!$F$17-Inputs!$E$17))),0)</f>
        <v>101</v>
      </c>
      <c r="J1253" s="81" t="n">
        <f aca="true">RAND()</f>
        <v>0.875540146105788</v>
      </c>
      <c r="K1253" s="83" t="n">
        <f aca="false">IF(J1253&lt;(Inputs!$E$18-Inputs!$D$18)/(Inputs!$F$18-Inputs!$D$18),Inputs!$D$18+SQRT(J1253*(Inputs!$F$18-Inputs!$D$18)*(Inputs!$E$18-Inputs!$D$18)),Inputs!$F$18-SQRT((1-J1253)*(Inputs!$F$18-Inputs!$D$18)*(Inputs!$F$18-Inputs!$E$18)))</f>
        <v>1.14564370064177</v>
      </c>
      <c r="L1253" s="81" t="n">
        <f aca="true">RAND()</f>
        <v>0.602366770832817</v>
      </c>
      <c r="M1253" s="83" t="n">
        <f aca="false">IF(L1253&lt;(Inputs!$E$24-Inputs!$D$24)/(Inputs!$F$24-Inputs!$D$24),Inputs!$D$24+SQRT(L1253*(Inputs!$F$24-Inputs!$D$24)*(Inputs!$E$24-Inputs!$D$24)),Inputs!$F$24-SQRT((1-L1253)*(Inputs!$F$24-Inputs!$D$24)*(Inputs!$F$24-Inputs!$E$24)))</f>
        <v>0.891079338664239</v>
      </c>
      <c r="N1253" s="81" t="n">
        <f aca="true">RAND()</f>
        <v>0.406623422933692</v>
      </c>
      <c r="O1253" s="83" t="n">
        <f aca="false">IF(N1253&lt;(Inputs!$E$26-Inputs!$D$26)/(Inputs!$F$26-Inputs!$D$26),Inputs!$D$26+SQRT(N1253*(Inputs!$F$26-Inputs!$D$26)*(Inputs!$E$26-Inputs!$D$26)),Inputs!$F$26-SQRT((1-N1253)*(Inputs!$F$26-Inputs!$D$26)*(Inputs!$F$26-Inputs!$E$26)))</f>
        <v>0.560119467891518</v>
      </c>
      <c r="P1253" s="81" t="n">
        <f aca="true">RAND()</f>
        <v>0.467490297092006</v>
      </c>
      <c r="Q1253" s="82" t="n">
        <f aca="false">IF(P1253&lt;(Inputs!$E$27-Inputs!$D$27)/(Inputs!$F$27-Inputs!$D$27),Inputs!$D$27+SQRT(P1253*(Inputs!$F$27-Inputs!$D$27)*(Inputs!$E$27-Inputs!$D$27)),Inputs!$F$27-SQRT((1-P1253)*(Inputs!$F$27-Inputs!$D$27)*(Inputs!$F$27-Inputs!$E$27)))</f>
        <v>86.8033009421382</v>
      </c>
      <c r="R1253" s="81" t="n">
        <f aca="true">RAND()</f>
        <v>0.76158178986322</v>
      </c>
      <c r="S1253" s="82" t="n">
        <f aca="false">IF(R1253&lt;(Inputs!$E$29-Inputs!$D$29)/(Inputs!$F$29-Inputs!$D$29),Inputs!$D$29+SQRT(R1253*(Inputs!$F$29-Inputs!$D$29)*(Inputs!$E$29-Inputs!$D$29)),Inputs!$F$29-SQRT((1-R1253)*(Inputs!$F$29-Inputs!$D$29)*(Inputs!$F$29-Inputs!$E$29)))</f>
        <v>9.43274148994486</v>
      </c>
      <c r="T1253" s="68" t="n">
        <f aca="false">Inputs!$E$9*(1+E1253)+Inputs!$E$5*C1253*(Inputs!$E$11*Inputs!$E$14*(G1253*I1253/Inputs!$E$16+(1-G1253))*K1253+Inputs!$E$23*M1253)*(1+O1253)+Inputs!$E$5*(Q1253+S1253)</f>
        <v>6520.40167515034</v>
      </c>
    </row>
    <row r="1254" customFormat="false" ht="15" hidden="false" customHeight="false" outlineLevel="0" collapsed="false">
      <c r="A1254" s="1" t="n">
        <v>1250</v>
      </c>
      <c r="B1254" s="81" t="n">
        <f aca="true">RAND()</f>
        <v>0.232082666140023</v>
      </c>
      <c r="C1254" s="82" t="n">
        <f aca="false">ROUND(IF(B1254&lt;(Inputs!$E$8-Inputs!$D$8)/(Inputs!$F$8-Inputs!$D$8),Inputs!$D$8+SQRT(B1254*(Inputs!$F$8-Inputs!$D$8)*(Inputs!$E$8-Inputs!$D$8)),Inputs!$F$8-SQRT((1-B1254)*(Inputs!$F$8-Inputs!$D$8)*(Inputs!$F$8-Inputs!$E$8))),0)</f>
        <v>23</v>
      </c>
      <c r="D1254" s="81" t="n">
        <f aca="true">RAND()</f>
        <v>0.801024923976151</v>
      </c>
      <c r="E1254" s="83" t="n">
        <f aca="false">IF(D1254&lt;(Inputs!$E$10-Inputs!$D$10)/(Inputs!$F$10-Inputs!$D$10),Inputs!$D$10+SQRT(D1254*(Inputs!$F$10-Inputs!$D$10)*(Inputs!$E$10-Inputs!$D$10)),Inputs!$F$10-SQRT((1-D1254)*(Inputs!$F$10-Inputs!$D$10)*(Inputs!$F$10-Inputs!$E$10)))</f>
        <v>0.12273906368212</v>
      </c>
      <c r="F1254" s="81" t="n">
        <f aca="true">RAND()</f>
        <v>0.656853735854722</v>
      </c>
      <c r="G1254" s="83" t="n">
        <f aca="false">IF(F1254&lt;(Inputs!$E$15-Inputs!$D$15)/(Inputs!$F$15-Inputs!$D$15),Inputs!$D$15+SQRT(F1254*(Inputs!$F$15-Inputs!$D$15)*(Inputs!$E$15-Inputs!$D$15)),Inputs!$F$15-SQRT((1-F1254)*(Inputs!$F$15-Inputs!$D$15)*(Inputs!$F$15-Inputs!$E$15)))</f>
        <v>0.717157225523854</v>
      </c>
      <c r="H1254" s="81" t="n">
        <f aca="true">RAND()</f>
        <v>0.224690600501308</v>
      </c>
      <c r="I1254" s="82" t="n">
        <f aca="false">ROUND(IF(H1254&lt;(Inputs!$E$17-Inputs!$D$17)/(Inputs!$F$17-Inputs!$D$17),Inputs!$D$17+SQRT(H1254*(Inputs!$F$17-Inputs!$D$17)*(Inputs!$E$17-Inputs!$D$17)),Inputs!$F$17-SQRT((1-H1254)*(Inputs!$F$17-Inputs!$D$17)*(Inputs!$F$17-Inputs!$E$17))),0)</f>
        <v>104</v>
      </c>
      <c r="J1254" s="81" t="n">
        <f aca="true">RAND()</f>
        <v>0.510081032992968</v>
      </c>
      <c r="K1254" s="83" t="n">
        <f aca="false">IF(J1254&lt;(Inputs!$E$18-Inputs!$D$18)/(Inputs!$F$18-Inputs!$D$18),Inputs!$D$18+SQRT(J1254*(Inputs!$F$18-Inputs!$D$18)*(Inputs!$E$18-Inputs!$D$18)),Inputs!$F$18-SQRT((1-J1254)*(Inputs!$F$18-Inputs!$D$18)*(Inputs!$F$18-Inputs!$E$18)))</f>
        <v>1.04295432964412</v>
      </c>
      <c r="L1254" s="81" t="n">
        <f aca="true">RAND()</f>
        <v>0.102727417047825</v>
      </c>
      <c r="M1254" s="83" t="n">
        <f aca="false">IF(L1254&lt;(Inputs!$E$24-Inputs!$D$24)/(Inputs!$F$24-Inputs!$D$24),Inputs!$D$24+SQRT(L1254*(Inputs!$F$24-Inputs!$D$24)*(Inputs!$E$24-Inputs!$D$24)),Inputs!$F$24-SQRT((1-L1254)*(Inputs!$F$24-Inputs!$D$24)*(Inputs!$F$24-Inputs!$E$24)))</f>
        <v>0.711028329924119</v>
      </c>
      <c r="N1254" s="81" t="n">
        <f aca="true">RAND()</f>
        <v>0.289919472171857</v>
      </c>
      <c r="O1254" s="83" t="n">
        <f aca="false">IF(N1254&lt;(Inputs!$E$26-Inputs!$D$26)/(Inputs!$F$26-Inputs!$D$26),Inputs!$D$26+SQRT(N1254*(Inputs!$F$26-Inputs!$D$26)*(Inputs!$E$26-Inputs!$D$26)),Inputs!$F$26-SQRT((1-N1254)*(Inputs!$F$26-Inputs!$D$26)*(Inputs!$F$26-Inputs!$E$26)))</f>
        <v>0.519641981800832</v>
      </c>
      <c r="P1254" s="81" t="n">
        <f aca="true">RAND()</f>
        <v>0.911174294545279</v>
      </c>
      <c r="Q1254" s="82" t="n">
        <f aca="false">IF(P1254&lt;(Inputs!$E$27-Inputs!$D$27)/(Inputs!$F$27-Inputs!$D$27),Inputs!$D$27+SQRT(P1254*(Inputs!$F$27-Inputs!$D$27)*(Inputs!$E$27-Inputs!$D$27)),Inputs!$F$27-SQRT((1-P1254)*(Inputs!$F$27-Inputs!$D$27)*(Inputs!$F$27-Inputs!$E$27)))</f>
        <v>124.189289221131</v>
      </c>
      <c r="R1254" s="81" t="n">
        <f aca="true">RAND()</f>
        <v>0.317452186874411</v>
      </c>
      <c r="S1254" s="82" t="n">
        <f aca="false">IF(R1254&lt;(Inputs!$E$29-Inputs!$D$29)/(Inputs!$F$29-Inputs!$D$29),Inputs!$D$29+SQRT(R1254*(Inputs!$F$29-Inputs!$D$29)*(Inputs!$E$29-Inputs!$D$29)),Inputs!$F$29-SQRT((1-R1254)*(Inputs!$F$29-Inputs!$D$29)*(Inputs!$F$29-Inputs!$E$29)))</f>
        <v>5.58027517884272</v>
      </c>
      <c r="T1254" s="68" t="n">
        <f aca="false">Inputs!$E$9*(1+E1254)+Inputs!$E$5*C1254*(Inputs!$E$11*Inputs!$E$14*(G1254*I1254/Inputs!$E$16+(1-G1254))*K1254+Inputs!$E$23*M1254)*(1+O1254)+Inputs!$E$5*(Q1254+S1254)</f>
        <v>5930.71460043019</v>
      </c>
    </row>
    <row r="1255" customFormat="false" ht="15" hidden="false" customHeight="false" outlineLevel="0" collapsed="false">
      <c r="A1255" s="1" t="n">
        <v>1251</v>
      </c>
      <c r="B1255" s="81" t="n">
        <f aca="true">RAND()</f>
        <v>0.335589248595994</v>
      </c>
      <c r="C1255" s="82" t="n">
        <f aca="false">ROUND(IF(B1255&lt;(Inputs!$E$8-Inputs!$D$8)/(Inputs!$F$8-Inputs!$D$8),Inputs!$D$8+SQRT(B1255*(Inputs!$F$8-Inputs!$D$8)*(Inputs!$E$8-Inputs!$D$8)),Inputs!$F$8-SQRT((1-B1255)*(Inputs!$F$8-Inputs!$D$8)*(Inputs!$F$8-Inputs!$E$8))),0)</f>
        <v>24</v>
      </c>
      <c r="D1255" s="81" t="n">
        <f aca="true">RAND()</f>
        <v>0.850532841912225</v>
      </c>
      <c r="E1255" s="83" t="n">
        <f aca="false">IF(D1255&lt;(Inputs!$E$10-Inputs!$D$10)/(Inputs!$F$10-Inputs!$D$10),Inputs!$D$10+SQRT(D1255*(Inputs!$F$10-Inputs!$D$10)*(Inputs!$E$10-Inputs!$D$10)),Inputs!$F$10-SQRT((1-D1255)*(Inputs!$F$10-Inputs!$D$10)*(Inputs!$F$10-Inputs!$E$10)))</f>
        <v>0.133037213747984</v>
      </c>
      <c r="F1255" s="81" t="n">
        <f aca="true">RAND()</f>
        <v>0.345578981005849</v>
      </c>
      <c r="G1255" s="83" t="n">
        <f aca="false">IF(F1255&lt;(Inputs!$E$15-Inputs!$D$15)/(Inputs!$F$15-Inputs!$D$15),Inputs!$D$15+SQRT(F1255*(Inputs!$F$15-Inputs!$D$15)*(Inputs!$E$15-Inputs!$D$15)),Inputs!$F$15-SQRT((1-F1255)*(Inputs!$F$15-Inputs!$D$15)*(Inputs!$F$15-Inputs!$E$15)))</f>
        <v>0.683135910532796</v>
      </c>
      <c r="H1255" s="81" t="n">
        <f aca="true">RAND()</f>
        <v>0.660334621125785</v>
      </c>
      <c r="I1255" s="82" t="n">
        <f aca="false">ROUND(IF(H1255&lt;(Inputs!$E$17-Inputs!$D$17)/(Inputs!$F$17-Inputs!$D$17),Inputs!$D$17+SQRT(H1255*(Inputs!$F$17-Inputs!$D$17)*(Inputs!$E$17-Inputs!$D$17)),Inputs!$F$17-SQRT((1-H1255)*(Inputs!$F$17-Inputs!$D$17)*(Inputs!$F$17-Inputs!$E$17))),0)</f>
        <v>108</v>
      </c>
      <c r="J1255" s="81" t="n">
        <f aca="true">RAND()</f>
        <v>0.0549796027658899</v>
      </c>
      <c r="K1255" s="83" t="n">
        <f aca="false">IF(J1255&lt;(Inputs!$E$18-Inputs!$D$18)/(Inputs!$F$18-Inputs!$D$18),Inputs!$D$18+SQRT(J1255*(Inputs!$F$18-Inputs!$D$18)*(Inputs!$E$18-Inputs!$D$18)),Inputs!$F$18-SQRT((1-J1255)*(Inputs!$F$18-Inputs!$D$18)*(Inputs!$F$18-Inputs!$E$18)))</f>
        <v>0.943866685500573</v>
      </c>
      <c r="L1255" s="81" t="n">
        <f aca="true">RAND()</f>
        <v>0.0130279912858043</v>
      </c>
      <c r="M1255" s="83" t="n">
        <f aca="false">IF(L1255&lt;(Inputs!$E$24-Inputs!$D$24)/(Inputs!$F$24-Inputs!$D$24),Inputs!$D$24+SQRT(L1255*(Inputs!$F$24-Inputs!$D$24)*(Inputs!$E$24-Inputs!$D$24)),Inputs!$F$24-SQRT((1-L1255)*(Inputs!$F$24-Inputs!$D$24)*(Inputs!$F$24-Inputs!$E$24)))</f>
        <v>0.63953933426724</v>
      </c>
      <c r="N1255" s="81" t="n">
        <f aca="true">RAND()</f>
        <v>0.178716254449108</v>
      </c>
      <c r="O1255" s="83" t="n">
        <f aca="false">IF(N1255&lt;(Inputs!$E$26-Inputs!$D$26)/(Inputs!$F$26-Inputs!$D$26),Inputs!$D$26+SQRT(N1255*(Inputs!$F$26-Inputs!$D$26)*(Inputs!$E$26-Inputs!$D$26)),Inputs!$F$26-SQRT((1-N1255)*(Inputs!$F$26-Inputs!$D$26)*(Inputs!$F$26-Inputs!$E$26)))</f>
        <v>0.472448208863796</v>
      </c>
      <c r="P1255" s="81" t="n">
        <f aca="true">RAND()</f>
        <v>0.243261545207332</v>
      </c>
      <c r="Q1255" s="82" t="n">
        <f aca="false">IF(P1255&lt;(Inputs!$E$27-Inputs!$D$27)/(Inputs!$F$27-Inputs!$D$27),Inputs!$D$27+SQRT(P1255*(Inputs!$F$27-Inputs!$D$27)*(Inputs!$E$27-Inputs!$D$27)),Inputs!$F$27-SQRT((1-P1255)*(Inputs!$F$27-Inputs!$D$27)*(Inputs!$F$27-Inputs!$E$27)))</f>
        <v>74.6607757991984</v>
      </c>
      <c r="R1255" s="81" t="n">
        <f aca="true">RAND()</f>
        <v>0.34390733106748</v>
      </c>
      <c r="S1255" s="82" t="n">
        <f aca="false">IF(R1255&lt;(Inputs!$E$29-Inputs!$D$29)/(Inputs!$F$29-Inputs!$D$29),Inputs!$D$29+SQRT(R1255*(Inputs!$F$29-Inputs!$D$29)*(Inputs!$E$29-Inputs!$D$29)),Inputs!$F$29-SQRT((1-R1255)*(Inputs!$F$29-Inputs!$D$29)*(Inputs!$F$29-Inputs!$E$29)))</f>
        <v>5.7646306537731</v>
      </c>
      <c r="T1255" s="68" t="n">
        <f aca="false">Inputs!$E$9*(1+E1255)+Inputs!$E$5*C1255*(Inputs!$E$11*Inputs!$E$14*(G1255*I1255/Inputs!$E$16+(1-G1255))*K1255+Inputs!$E$23*M1255)*(1+O1255)+Inputs!$E$5*(Q1255+S1255)</f>
        <v>5538.92728035758</v>
      </c>
    </row>
    <row r="1256" customFormat="false" ht="15" hidden="false" customHeight="false" outlineLevel="0" collapsed="false">
      <c r="A1256" s="1" t="n">
        <v>1252</v>
      </c>
      <c r="B1256" s="81" t="n">
        <f aca="true">RAND()</f>
        <v>0.0673355939864419</v>
      </c>
      <c r="C1256" s="82" t="n">
        <f aca="false">ROUND(IF(B1256&lt;(Inputs!$E$8-Inputs!$D$8)/(Inputs!$F$8-Inputs!$D$8),Inputs!$D$8+SQRT(B1256*(Inputs!$F$8-Inputs!$D$8)*(Inputs!$E$8-Inputs!$D$8)),Inputs!$F$8-SQRT((1-B1256)*(Inputs!$F$8-Inputs!$D$8)*(Inputs!$F$8-Inputs!$E$8))),0)</f>
        <v>22</v>
      </c>
      <c r="D1256" s="81" t="n">
        <f aca="true">RAND()</f>
        <v>0.474522991342764</v>
      </c>
      <c r="E1256" s="83" t="n">
        <f aca="false">IF(D1256&lt;(Inputs!$E$10-Inputs!$D$10)/(Inputs!$F$10-Inputs!$D$10),Inputs!$D$10+SQRT(D1256*(Inputs!$F$10-Inputs!$D$10)*(Inputs!$E$10-Inputs!$D$10)),Inputs!$F$10-SQRT((1-D1256)*(Inputs!$F$10-Inputs!$D$10)*(Inputs!$F$10-Inputs!$E$10)))</f>
        <v>0.0744439955250364</v>
      </c>
      <c r="F1256" s="81" t="n">
        <f aca="true">RAND()</f>
        <v>0.764036280995023</v>
      </c>
      <c r="G1256" s="83" t="n">
        <f aca="false">IF(F1256&lt;(Inputs!$E$15-Inputs!$D$15)/(Inputs!$F$15-Inputs!$D$15),Inputs!$D$15+SQRT(F1256*(Inputs!$F$15-Inputs!$D$15)*(Inputs!$E$15-Inputs!$D$15)),Inputs!$F$15-SQRT((1-F1256)*(Inputs!$F$15-Inputs!$D$15)*(Inputs!$F$15-Inputs!$E$15)))</f>
        <v>0.731303024956702</v>
      </c>
      <c r="H1256" s="81" t="n">
        <f aca="true">RAND()</f>
        <v>0.818575934550292</v>
      </c>
      <c r="I1256" s="82" t="n">
        <f aca="false">ROUND(IF(H1256&lt;(Inputs!$E$17-Inputs!$D$17)/(Inputs!$F$17-Inputs!$D$17),Inputs!$D$17+SQRT(H1256*(Inputs!$F$17-Inputs!$D$17)*(Inputs!$E$17-Inputs!$D$17)),Inputs!$F$17-SQRT((1-H1256)*(Inputs!$F$17-Inputs!$D$17)*(Inputs!$F$17-Inputs!$E$17))),0)</f>
        <v>110</v>
      </c>
      <c r="J1256" s="81" t="n">
        <f aca="true">RAND()</f>
        <v>0.833437155301081</v>
      </c>
      <c r="K1256" s="83" t="n">
        <f aca="false">IF(J1256&lt;(Inputs!$E$18-Inputs!$D$18)/(Inputs!$F$18-Inputs!$D$18),Inputs!$D$18+SQRT(J1256*(Inputs!$F$18-Inputs!$D$18)*(Inputs!$E$18-Inputs!$D$18)),Inputs!$F$18-SQRT((1-J1256)*(Inputs!$F$18-Inputs!$D$18)*(Inputs!$F$18-Inputs!$E$18)))</f>
        <v>1.12927614605574</v>
      </c>
      <c r="L1256" s="81" t="n">
        <f aca="true">RAND()</f>
        <v>0.749671010173421</v>
      </c>
      <c r="M1256" s="83" t="n">
        <f aca="false">IF(L1256&lt;(Inputs!$E$24-Inputs!$D$24)/(Inputs!$F$24-Inputs!$D$24),Inputs!$D$24+SQRT(L1256*(Inputs!$F$24-Inputs!$D$24)*(Inputs!$E$24-Inputs!$D$24)),Inputs!$F$24-SQRT((1-L1256)*(Inputs!$F$24-Inputs!$D$24)*(Inputs!$F$24-Inputs!$E$24)))</f>
        <v>0.95488990726945</v>
      </c>
      <c r="N1256" s="81" t="n">
        <f aca="true">RAND()</f>
        <v>0.863551133392348</v>
      </c>
      <c r="O1256" s="83" t="n">
        <f aca="false">IF(N1256&lt;(Inputs!$E$26-Inputs!$D$26)/(Inputs!$F$26-Inputs!$D$26),Inputs!$D$26+SQRT(N1256*(Inputs!$F$26-Inputs!$D$26)*(Inputs!$E$26-Inputs!$D$26)),Inputs!$F$26-SQRT((1-N1256)*(Inputs!$F$26-Inputs!$D$26)*(Inputs!$F$26-Inputs!$E$26)))</f>
        <v>0.700875350463492</v>
      </c>
      <c r="P1256" s="81" t="n">
        <f aca="true">RAND()</f>
        <v>0.00781485961742725</v>
      </c>
      <c r="Q1256" s="82" t="n">
        <f aca="false">IF(P1256&lt;(Inputs!$E$27-Inputs!$D$27)/(Inputs!$F$27-Inputs!$D$27),Inputs!$D$27+SQRT(P1256*(Inputs!$F$27-Inputs!$D$27)*(Inputs!$E$27-Inputs!$D$27)),Inputs!$F$27-SQRT((1-P1256)*(Inputs!$F$27-Inputs!$D$27)*(Inputs!$F$27-Inputs!$E$27)))</f>
        <v>54.4200847326231</v>
      </c>
      <c r="R1256" s="81" t="n">
        <f aca="true">RAND()</f>
        <v>0.400750222534547</v>
      </c>
      <c r="S1256" s="82" t="n">
        <f aca="false">IF(R1256&lt;(Inputs!$E$29-Inputs!$D$29)/(Inputs!$F$29-Inputs!$D$29),Inputs!$D$29+SQRT(R1256*(Inputs!$F$29-Inputs!$D$29)*(Inputs!$E$29-Inputs!$D$29)),Inputs!$F$29-SQRT((1-R1256)*(Inputs!$F$29-Inputs!$D$29)*(Inputs!$F$29-Inputs!$E$29)))</f>
        <v>6.1737623490805</v>
      </c>
      <c r="T1256" s="68" t="n">
        <f aca="false">Inputs!$E$9*(1+E1256)+Inputs!$E$5*C1256*(Inputs!$E$11*Inputs!$E$14*(G1256*I1256/Inputs!$E$16+(1-G1256))*K1256+Inputs!$E$23*M1256)*(1+O1256)+Inputs!$E$5*(Q1256+S1256)</f>
        <v>6230.09642266184</v>
      </c>
    </row>
    <row r="1257" customFormat="false" ht="15" hidden="false" customHeight="false" outlineLevel="0" collapsed="false">
      <c r="A1257" s="1" t="n">
        <v>1253</v>
      </c>
      <c r="B1257" s="81" t="n">
        <f aca="true">RAND()</f>
        <v>0.0957576936804827</v>
      </c>
      <c r="C1257" s="82" t="n">
        <f aca="false">ROUND(IF(B1257&lt;(Inputs!$E$8-Inputs!$D$8)/(Inputs!$F$8-Inputs!$D$8),Inputs!$D$8+SQRT(B1257*(Inputs!$F$8-Inputs!$D$8)*(Inputs!$E$8-Inputs!$D$8)),Inputs!$F$8-SQRT((1-B1257)*(Inputs!$F$8-Inputs!$D$8)*(Inputs!$F$8-Inputs!$E$8))),0)</f>
        <v>22</v>
      </c>
      <c r="D1257" s="81" t="n">
        <f aca="true">RAND()</f>
        <v>0.365760534133135</v>
      </c>
      <c r="E1257" s="83" t="n">
        <f aca="false">IF(D1257&lt;(Inputs!$E$10-Inputs!$D$10)/(Inputs!$F$10-Inputs!$D$10),Inputs!$D$10+SQRT(D1257*(Inputs!$F$10-Inputs!$D$10)*(Inputs!$E$10-Inputs!$D$10)),Inputs!$F$10-SQRT((1-D1257)*(Inputs!$F$10-Inputs!$D$10)*(Inputs!$F$10-Inputs!$E$10)))</f>
        <v>0.0620609410790187</v>
      </c>
      <c r="F1257" s="81" t="n">
        <f aca="true">RAND()</f>
        <v>0.252187915349949</v>
      </c>
      <c r="G1257" s="83" t="n">
        <f aca="false">IF(F1257&lt;(Inputs!$E$15-Inputs!$D$15)/(Inputs!$F$15-Inputs!$D$15),Inputs!$D$15+SQRT(F1257*(Inputs!$F$15-Inputs!$D$15)*(Inputs!$E$15-Inputs!$D$15)),Inputs!$F$15-SQRT((1-F1257)*(Inputs!$F$15-Inputs!$D$15)*(Inputs!$F$15-Inputs!$E$15)))</f>
        <v>0.671019422040728</v>
      </c>
      <c r="H1257" s="81" t="n">
        <f aca="true">RAND()</f>
        <v>0.473393414564164</v>
      </c>
      <c r="I1257" s="82" t="n">
        <f aca="false">ROUND(IF(H1257&lt;(Inputs!$E$17-Inputs!$D$17)/(Inputs!$F$17-Inputs!$D$17),Inputs!$D$17+SQRT(H1257*(Inputs!$F$17-Inputs!$D$17)*(Inputs!$E$17-Inputs!$D$17)),Inputs!$F$17-SQRT((1-H1257)*(Inputs!$F$17-Inputs!$D$17)*(Inputs!$F$17-Inputs!$E$17))),0)</f>
        <v>106</v>
      </c>
      <c r="J1257" s="81" t="n">
        <f aca="true">RAND()</f>
        <v>0.628895075480852</v>
      </c>
      <c r="K1257" s="83" t="n">
        <f aca="false">IF(J1257&lt;(Inputs!$E$18-Inputs!$D$18)/(Inputs!$F$18-Inputs!$D$18),Inputs!$D$18+SQRT(J1257*(Inputs!$F$18-Inputs!$D$18)*(Inputs!$E$18-Inputs!$D$18)),Inputs!$F$18-SQRT((1-J1257)*(Inputs!$F$18-Inputs!$D$18)*(Inputs!$F$18-Inputs!$E$18)))</f>
        <v>1.06980099640834</v>
      </c>
      <c r="L1257" s="81" t="n">
        <f aca="true">RAND()</f>
        <v>0.132428555778827</v>
      </c>
      <c r="M1257" s="83" t="n">
        <f aca="false">IF(L1257&lt;(Inputs!$E$24-Inputs!$D$24)/(Inputs!$F$24-Inputs!$D$24),Inputs!$D$24+SQRT(L1257*(Inputs!$F$24-Inputs!$D$24)*(Inputs!$E$24-Inputs!$D$24)),Inputs!$F$24-SQRT((1-L1257)*(Inputs!$F$24-Inputs!$D$24)*(Inputs!$F$24-Inputs!$E$24)))</f>
        <v>0.726061202173624</v>
      </c>
      <c r="N1257" s="81" t="n">
        <f aca="true">RAND()</f>
        <v>0.352914723107614</v>
      </c>
      <c r="O1257" s="83" t="n">
        <f aca="false">IF(N1257&lt;(Inputs!$E$26-Inputs!$D$26)/(Inputs!$F$26-Inputs!$D$26),Inputs!$D$26+SQRT(N1257*(Inputs!$F$26-Inputs!$D$26)*(Inputs!$E$26-Inputs!$D$26)),Inputs!$F$26-SQRT((1-N1257)*(Inputs!$F$26-Inputs!$D$26)*(Inputs!$F$26-Inputs!$E$26)))</f>
        <v>0.542332436799342</v>
      </c>
      <c r="P1257" s="81" t="n">
        <f aca="true">RAND()</f>
        <v>0.12740528147456</v>
      </c>
      <c r="Q1257" s="82" t="n">
        <f aca="false">IF(P1257&lt;(Inputs!$E$27-Inputs!$D$27)/(Inputs!$F$27-Inputs!$D$27),Inputs!$D$27+SQRT(P1257*(Inputs!$F$27-Inputs!$D$27)*(Inputs!$E$27-Inputs!$D$27)),Inputs!$F$27-SQRT((1-P1257)*(Inputs!$F$27-Inputs!$D$27)*(Inputs!$F$27-Inputs!$E$27)))</f>
        <v>67.846938216019</v>
      </c>
      <c r="R1257" s="81" t="n">
        <f aca="true">RAND()</f>
        <v>0.585842400955959</v>
      </c>
      <c r="S1257" s="82" t="n">
        <f aca="false">IF(R1257&lt;(Inputs!$E$29-Inputs!$D$29)/(Inputs!$F$29-Inputs!$D$29),Inputs!$D$29+SQRT(R1257*(Inputs!$F$29-Inputs!$D$29)*(Inputs!$E$29-Inputs!$D$29)),Inputs!$F$29-SQRT((1-R1257)*(Inputs!$F$29-Inputs!$D$29)*(Inputs!$F$29-Inputs!$E$29)))</f>
        <v>7.66239222391075</v>
      </c>
      <c r="T1257" s="68" t="n">
        <f aca="false">Inputs!$E$9*(1+E1257)+Inputs!$E$5*C1257*(Inputs!$E$11*Inputs!$E$14*(G1257*I1257/Inputs!$E$16+(1-G1257))*K1257+Inputs!$E$23*M1257)*(1+O1257)+Inputs!$E$5*(Q1257+S1257)</f>
        <v>5586.88975377236</v>
      </c>
    </row>
    <row r="1258" customFormat="false" ht="15" hidden="false" customHeight="false" outlineLevel="0" collapsed="false">
      <c r="A1258" s="1" t="n">
        <v>1254</v>
      </c>
      <c r="B1258" s="81" t="n">
        <f aca="true">RAND()</f>
        <v>0.528236117076867</v>
      </c>
      <c r="C1258" s="82" t="n">
        <f aca="false">ROUND(IF(B1258&lt;(Inputs!$E$8-Inputs!$D$8)/(Inputs!$F$8-Inputs!$D$8),Inputs!$D$8+SQRT(B1258*(Inputs!$F$8-Inputs!$D$8)*(Inputs!$E$8-Inputs!$D$8)),Inputs!$F$8-SQRT((1-B1258)*(Inputs!$F$8-Inputs!$D$8)*(Inputs!$F$8-Inputs!$E$8))),0)</f>
        <v>25</v>
      </c>
      <c r="D1258" s="81" t="n">
        <f aca="true">RAND()</f>
        <v>0.0488983387746527</v>
      </c>
      <c r="E1258" s="83" t="n">
        <f aca="false">IF(D1258&lt;(Inputs!$E$10-Inputs!$D$10)/(Inputs!$F$10-Inputs!$D$10),Inputs!$D$10+SQRT(D1258*(Inputs!$F$10-Inputs!$D$10)*(Inputs!$E$10-Inputs!$D$10)),Inputs!$F$10-SQRT((1-D1258)*(Inputs!$F$10-Inputs!$D$10)*(Inputs!$F$10-Inputs!$E$10)))</f>
        <v>0.022112968768271</v>
      </c>
      <c r="F1258" s="81" t="n">
        <f aca="true">RAND()</f>
        <v>0.420117456371102</v>
      </c>
      <c r="G1258" s="83" t="n">
        <f aca="false">IF(F1258&lt;(Inputs!$E$15-Inputs!$D$15)/(Inputs!$F$15-Inputs!$D$15),Inputs!$D$15+SQRT(F1258*(Inputs!$F$15-Inputs!$D$15)*(Inputs!$E$15-Inputs!$D$15)),Inputs!$F$15-SQRT((1-F1258)*(Inputs!$F$15-Inputs!$D$15)*(Inputs!$F$15-Inputs!$E$15)))</f>
        <v>0.691664328543998</v>
      </c>
      <c r="H1258" s="81" t="n">
        <f aca="true">RAND()</f>
        <v>0.361117916675063</v>
      </c>
      <c r="I1258" s="82" t="n">
        <f aca="false">ROUND(IF(H1258&lt;(Inputs!$E$17-Inputs!$D$17)/(Inputs!$F$17-Inputs!$D$17),Inputs!$D$17+SQRT(H1258*(Inputs!$F$17-Inputs!$D$17)*(Inputs!$E$17-Inputs!$D$17)),Inputs!$F$17-SQRT((1-H1258)*(Inputs!$F$17-Inputs!$D$17)*(Inputs!$F$17-Inputs!$E$17))),0)</f>
        <v>105</v>
      </c>
      <c r="J1258" s="81" t="n">
        <f aca="true">RAND()</f>
        <v>0.375760717488825</v>
      </c>
      <c r="K1258" s="83" t="n">
        <f aca="false">IF(J1258&lt;(Inputs!$E$18-Inputs!$D$18)/(Inputs!$F$18-Inputs!$D$18),Inputs!$D$18+SQRT(J1258*(Inputs!$F$18-Inputs!$D$18)*(Inputs!$E$18-Inputs!$D$18)),Inputs!$F$18-SQRT((1-J1258)*(Inputs!$F$18-Inputs!$D$18)*(Inputs!$F$18-Inputs!$E$18)))</f>
        <v>1.01628877386885</v>
      </c>
      <c r="L1258" s="81" t="n">
        <f aca="true">RAND()</f>
        <v>0.479414965510565</v>
      </c>
      <c r="M1258" s="83" t="n">
        <f aca="false">IF(L1258&lt;(Inputs!$E$24-Inputs!$D$24)/(Inputs!$F$24-Inputs!$D$24),Inputs!$D$24+SQRT(L1258*(Inputs!$F$24-Inputs!$D$24)*(Inputs!$E$24-Inputs!$D$24)),Inputs!$F$24-SQRT((1-L1258)*(Inputs!$F$24-Inputs!$D$24)*(Inputs!$F$24-Inputs!$E$24)))</f>
        <v>0.846530894875571</v>
      </c>
      <c r="N1258" s="81" t="n">
        <f aca="true">RAND()</f>
        <v>0.58188895712751</v>
      </c>
      <c r="O1258" s="83" t="n">
        <f aca="false">IF(N1258&lt;(Inputs!$E$26-Inputs!$D$26)/(Inputs!$F$26-Inputs!$D$26),Inputs!$D$26+SQRT(N1258*(Inputs!$F$26-Inputs!$D$26)*(Inputs!$E$26-Inputs!$D$26)),Inputs!$F$26-SQRT((1-N1258)*(Inputs!$F$26-Inputs!$D$26)*(Inputs!$F$26-Inputs!$E$26)))</f>
        <v>0.611169282651771</v>
      </c>
      <c r="P1258" s="81" t="n">
        <f aca="true">RAND()</f>
        <v>0.147839765566212</v>
      </c>
      <c r="Q1258" s="82" t="n">
        <f aca="false">IF(P1258&lt;(Inputs!$E$27-Inputs!$D$27)/(Inputs!$F$27-Inputs!$D$27),Inputs!$D$27+SQRT(P1258*(Inputs!$F$27-Inputs!$D$27)*(Inputs!$E$27-Inputs!$D$27)),Inputs!$F$27-SQRT((1-P1258)*(Inputs!$F$27-Inputs!$D$27)*(Inputs!$F$27-Inputs!$E$27)))</f>
        <v>69.2249685023287</v>
      </c>
      <c r="R1258" s="81" t="n">
        <f aca="true">RAND()</f>
        <v>0.303063064775387</v>
      </c>
      <c r="S1258" s="82" t="n">
        <f aca="false">IF(R1258&lt;(Inputs!$E$29-Inputs!$D$29)/(Inputs!$F$29-Inputs!$D$29),Inputs!$D$29+SQRT(R1258*(Inputs!$F$29-Inputs!$D$29)*(Inputs!$E$29-Inputs!$D$29)),Inputs!$F$29-SQRT((1-R1258)*(Inputs!$F$29-Inputs!$D$29)*(Inputs!$F$29-Inputs!$E$29)))</f>
        <v>5.4815021364083</v>
      </c>
      <c r="T1258" s="68" t="n">
        <f aca="false">Inputs!$E$9*(1+E1258)+Inputs!$E$5*C1258*(Inputs!$E$11*Inputs!$E$14*(G1258*I1258/Inputs!$E$16+(1-G1258))*K1258+Inputs!$E$23*M1258)*(1+O1258)+Inputs!$E$5*(Q1258+S1258)</f>
        <v>6047.42633175318</v>
      </c>
    </row>
    <row r="1259" customFormat="false" ht="15" hidden="false" customHeight="false" outlineLevel="0" collapsed="false">
      <c r="A1259" s="1" t="n">
        <v>1255</v>
      </c>
      <c r="B1259" s="81" t="n">
        <f aca="true">RAND()</f>
        <v>0.534219453673696</v>
      </c>
      <c r="C1259" s="82" t="n">
        <f aca="false">ROUND(IF(B1259&lt;(Inputs!$E$8-Inputs!$D$8)/(Inputs!$F$8-Inputs!$D$8),Inputs!$D$8+SQRT(B1259*(Inputs!$F$8-Inputs!$D$8)*(Inputs!$E$8-Inputs!$D$8)),Inputs!$F$8-SQRT((1-B1259)*(Inputs!$F$8-Inputs!$D$8)*(Inputs!$F$8-Inputs!$E$8))),0)</f>
        <v>25</v>
      </c>
      <c r="D1259" s="81" t="n">
        <f aca="true">RAND()</f>
        <v>0.974016040477507</v>
      </c>
      <c r="E1259" s="83" t="n">
        <f aca="false">IF(D1259&lt;(Inputs!$E$10-Inputs!$D$10)/(Inputs!$F$10-Inputs!$D$10),Inputs!$D$10+SQRT(D1259*(Inputs!$F$10-Inputs!$D$10)*(Inputs!$E$10-Inputs!$D$10)),Inputs!$F$10-SQRT((1-D1259)*(Inputs!$F$10-Inputs!$D$10)*(Inputs!$F$10-Inputs!$E$10)))</f>
        <v>0.172080136360025</v>
      </c>
      <c r="F1259" s="81" t="n">
        <f aca="true">RAND()</f>
        <v>0.0251294391298279</v>
      </c>
      <c r="G1259" s="83" t="n">
        <f aca="false">IF(F1259&lt;(Inputs!$E$15-Inputs!$D$15)/(Inputs!$F$15-Inputs!$D$15),Inputs!$D$15+SQRT(F1259*(Inputs!$F$15-Inputs!$D$15)*(Inputs!$E$15-Inputs!$D$15)),Inputs!$F$15-SQRT((1-F1259)*(Inputs!$F$15-Inputs!$D$15)*(Inputs!$F$15-Inputs!$E$15)))</f>
        <v>0.622418491978645</v>
      </c>
      <c r="H1259" s="81" t="n">
        <f aca="true">RAND()</f>
        <v>0.857671749601936</v>
      </c>
      <c r="I1259" s="82" t="n">
        <f aca="false">ROUND(IF(H1259&lt;(Inputs!$E$17-Inputs!$D$17)/(Inputs!$F$17-Inputs!$D$17),Inputs!$D$17+SQRT(H1259*(Inputs!$F$17-Inputs!$D$17)*(Inputs!$E$17-Inputs!$D$17)),Inputs!$F$17-SQRT((1-H1259)*(Inputs!$F$17-Inputs!$D$17)*(Inputs!$F$17-Inputs!$E$17))),0)</f>
        <v>110</v>
      </c>
      <c r="J1259" s="81" t="n">
        <f aca="true">RAND()</f>
        <v>0.83054758752622</v>
      </c>
      <c r="K1259" s="83" t="n">
        <f aca="false">IF(J1259&lt;(Inputs!$E$18-Inputs!$D$18)/(Inputs!$F$18-Inputs!$D$18),Inputs!$D$18+SQRT(J1259*(Inputs!$F$18-Inputs!$D$18)*(Inputs!$E$18-Inputs!$D$18)),Inputs!$F$18-SQRT((1-J1259)*(Inputs!$F$18-Inputs!$D$18)*(Inputs!$F$18-Inputs!$E$18)))</f>
        <v>1.12823347713162</v>
      </c>
      <c r="L1259" s="81" t="n">
        <f aca="true">RAND()</f>
        <v>0.906119059663793</v>
      </c>
      <c r="M1259" s="83" t="n">
        <f aca="false">IF(L1259&lt;(Inputs!$E$24-Inputs!$D$24)/(Inputs!$F$24-Inputs!$D$24),Inputs!$D$24+SQRT(L1259*(Inputs!$F$24-Inputs!$D$24)*(Inputs!$E$24-Inputs!$D$24)),Inputs!$F$24-SQRT((1-L1259)*(Inputs!$F$24-Inputs!$D$24)*(Inputs!$F$24-Inputs!$E$24)))</f>
        <v>1.04989528428231</v>
      </c>
      <c r="N1259" s="81" t="n">
        <f aca="true">RAND()</f>
        <v>0.17229869316329</v>
      </c>
      <c r="O1259" s="83" t="n">
        <f aca="false">IF(N1259&lt;(Inputs!$E$26-Inputs!$D$26)/(Inputs!$F$26-Inputs!$D$26),Inputs!$D$26+SQRT(N1259*(Inputs!$F$26-Inputs!$D$26)*(Inputs!$E$26-Inputs!$D$26)),Inputs!$F$26-SQRT((1-N1259)*(Inputs!$F$26-Inputs!$D$26)*(Inputs!$F$26-Inputs!$E$26)))</f>
        <v>0.469323662086465</v>
      </c>
      <c r="P1259" s="81" t="n">
        <f aca="true">RAND()</f>
        <v>0.542502193597459</v>
      </c>
      <c r="Q1259" s="82" t="n">
        <f aca="false">IF(P1259&lt;(Inputs!$E$27-Inputs!$D$27)/(Inputs!$F$27-Inputs!$D$27),Inputs!$D$27+SQRT(P1259*(Inputs!$F$27-Inputs!$D$27)*(Inputs!$E$27-Inputs!$D$27)),Inputs!$F$27-SQRT((1-P1259)*(Inputs!$F$27-Inputs!$D$27)*(Inputs!$F$27-Inputs!$E$27)))</f>
        <v>91.4232678615557</v>
      </c>
      <c r="R1259" s="81" t="n">
        <f aca="true">RAND()</f>
        <v>0.29696048788087</v>
      </c>
      <c r="S1259" s="82" t="n">
        <f aca="false">IF(R1259&lt;(Inputs!$E$29-Inputs!$D$29)/(Inputs!$F$29-Inputs!$D$29),Inputs!$D$29+SQRT(R1259*(Inputs!$F$29-Inputs!$D$29)*(Inputs!$E$29-Inputs!$D$29)),Inputs!$F$29-SQRT((1-R1259)*(Inputs!$F$29-Inputs!$D$29)*(Inputs!$F$29-Inputs!$E$29)))</f>
        <v>5.43991963551106</v>
      </c>
      <c r="T1259" s="68" t="n">
        <f aca="false">Inputs!$E$9*(1+E1259)+Inputs!$E$5*C1259*(Inputs!$E$11*Inputs!$E$14*(G1259*I1259/Inputs!$E$16+(1-G1259))*K1259+Inputs!$E$23*M1259)*(1+O1259)+Inputs!$E$5*(Q1259+S1259)</f>
        <v>6824.13127830202</v>
      </c>
    </row>
    <row r="1260" customFormat="false" ht="15" hidden="false" customHeight="false" outlineLevel="0" collapsed="false">
      <c r="A1260" s="1" t="n">
        <v>1256</v>
      </c>
      <c r="B1260" s="81" t="n">
        <f aca="true">RAND()</f>
        <v>0.532450106030749</v>
      </c>
      <c r="C1260" s="82" t="n">
        <f aca="false">ROUND(IF(B1260&lt;(Inputs!$E$8-Inputs!$D$8)/(Inputs!$F$8-Inputs!$D$8),Inputs!$D$8+SQRT(B1260*(Inputs!$F$8-Inputs!$D$8)*(Inputs!$E$8-Inputs!$D$8)),Inputs!$F$8-SQRT((1-B1260)*(Inputs!$F$8-Inputs!$D$8)*(Inputs!$F$8-Inputs!$E$8))),0)</f>
        <v>25</v>
      </c>
      <c r="D1260" s="81" t="n">
        <f aca="true">RAND()</f>
        <v>0.323073116306284</v>
      </c>
      <c r="E1260" s="83" t="n">
        <f aca="false">IF(D1260&lt;(Inputs!$E$10-Inputs!$D$10)/(Inputs!$F$10-Inputs!$D$10),Inputs!$D$10+SQRT(D1260*(Inputs!$F$10-Inputs!$D$10)*(Inputs!$E$10-Inputs!$D$10)),Inputs!$F$10-SQRT((1-D1260)*(Inputs!$F$10-Inputs!$D$10)*(Inputs!$F$10-Inputs!$E$10)))</f>
        <v>0.0574945386632096</v>
      </c>
      <c r="F1260" s="81" t="n">
        <f aca="true">RAND()</f>
        <v>0.825417066824987</v>
      </c>
      <c r="G1260" s="83" t="n">
        <f aca="false">IF(F1260&lt;(Inputs!$E$15-Inputs!$D$15)/(Inputs!$F$15-Inputs!$D$15),Inputs!$D$15+SQRT(F1260*(Inputs!$F$15-Inputs!$D$15)*(Inputs!$E$15-Inputs!$D$15)),Inputs!$F$15-SQRT((1-F1260)*(Inputs!$F$15-Inputs!$D$15)*(Inputs!$F$15-Inputs!$E$15)))</f>
        <v>0.740909741382354</v>
      </c>
      <c r="H1260" s="81" t="n">
        <f aca="true">RAND()</f>
        <v>0.705730214948193</v>
      </c>
      <c r="I1260" s="82" t="n">
        <f aca="false">ROUND(IF(H1260&lt;(Inputs!$E$17-Inputs!$D$17)/(Inputs!$F$17-Inputs!$D$17),Inputs!$D$17+SQRT(H1260*(Inputs!$F$17-Inputs!$D$17)*(Inputs!$E$17-Inputs!$D$17)),Inputs!$F$17-SQRT((1-H1260)*(Inputs!$F$17-Inputs!$D$17)*(Inputs!$F$17-Inputs!$E$17))),0)</f>
        <v>108</v>
      </c>
      <c r="J1260" s="81" t="n">
        <f aca="true">RAND()</f>
        <v>0.490865271249738</v>
      </c>
      <c r="K1260" s="83" t="n">
        <f aca="false">IF(J1260&lt;(Inputs!$E$18-Inputs!$D$18)/(Inputs!$F$18-Inputs!$D$18),Inputs!$D$18+SQRT(J1260*(Inputs!$F$18-Inputs!$D$18)*(Inputs!$E$18-Inputs!$D$18)),Inputs!$F$18-SQRT((1-J1260)*(Inputs!$F$18-Inputs!$D$18)*(Inputs!$F$18-Inputs!$E$18)))</f>
        <v>1.03893297565549</v>
      </c>
      <c r="L1260" s="81" t="n">
        <f aca="true">RAND()</f>
        <v>0.655380223411846</v>
      </c>
      <c r="M1260" s="83" t="n">
        <f aca="false">IF(L1260&lt;(Inputs!$E$24-Inputs!$D$24)/(Inputs!$F$24-Inputs!$D$24),Inputs!$D$24+SQRT(L1260*(Inputs!$F$24-Inputs!$D$24)*(Inputs!$E$24-Inputs!$D$24)),Inputs!$F$24-SQRT((1-L1260)*(Inputs!$F$24-Inputs!$D$24)*(Inputs!$F$24-Inputs!$E$24)))</f>
        <v>0.912408716437447</v>
      </c>
      <c r="N1260" s="81" t="n">
        <f aca="true">RAND()</f>
        <v>0.976443758086094</v>
      </c>
      <c r="O1260" s="83" t="n">
        <f aca="false">IF(N1260&lt;(Inputs!$E$26-Inputs!$D$26)/(Inputs!$F$26-Inputs!$D$26),Inputs!$D$26+SQRT(N1260*(Inputs!$F$26-Inputs!$D$26)*(Inputs!$E$26-Inputs!$D$26)),Inputs!$F$26-SQRT((1-N1260)*(Inputs!$F$26-Inputs!$D$26)*(Inputs!$F$26-Inputs!$E$26)))</f>
        <v>0.770504049064128</v>
      </c>
      <c r="P1260" s="81" t="n">
        <f aca="true">RAND()</f>
        <v>0.0670360919164358</v>
      </c>
      <c r="Q1260" s="82" t="n">
        <f aca="false">IF(P1260&lt;(Inputs!$E$27-Inputs!$D$27)/(Inputs!$F$27-Inputs!$D$27),Inputs!$D$27+SQRT(P1260*(Inputs!$F$27-Inputs!$D$27)*(Inputs!$E$27-Inputs!$D$27)),Inputs!$F$27-SQRT((1-P1260)*(Inputs!$F$27-Inputs!$D$27)*(Inputs!$F$27-Inputs!$E$27)))</f>
        <v>62.945664517169</v>
      </c>
      <c r="R1260" s="81" t="n">
        <f aca="true">RAND()</f>
        <v>0.623514123893209</v>
      </c>
      <c r="S1260" s="82" t="n">
        <f aca="false">IF(R1260&lt;(Inputs!$E$29-Inputs!$D$29)/(Inputs!$F$29-Inputs!$D$29),Inputs!$D$29+SQRT(R1260*(Inputs!$F$29-Inputs!$D$29)*(Inputs!$E$29-Inputs!$D$29)),Inputs!$F$29-SQRT((1-R1260)*(Inputs!$F$29-Inputs!$D$29)*(Inputs!$F$29-Inputs!$E$29)))</f>
        <v>8.00406089978745</v>
      </c>
      <c r="T1260" s="68" t="n">
        <f aca="false">Inputs!$E$9*(1+E1260)+Inputs!$E$5*C1260*(Inputs!$E$11*Inputs!$E$14*(G1260*I1260/Inputs!$E$16+(1-G1260))*K1260+Inputs!$E$23*M1260)*(1+O1260)+Inputs!$E$5*(Q1260+S1260)</f>
        <v>6570.40981764875</v>
      </c>
    </row>
    <row r="1261" customFormat="false" ht="15" hidden="false" customHeight="false" outlineLevel="0" collapsed="false">
      <c r="A1261" s="1" t="n">
        <v>1257</v>
      </c>
      <c r="B1261" s="81" t="n">
        <f aca="true">RAND()</f>
        <v>0.597973863335575</v>
      </c>
      <c r="C1261" s="82" t="n">
        <f aca="false">ROUND(IF(B1261&lt;(Inputs!$E$8-Inputs!$D$8)/(Inputs!$F$8-Inputs!$D$8),Inputs!$D$8+SQRT(B1261*(Inputs!$F$8-Inputs!$D$8)*(Inputs!$E$8-Inputs!$D$8)),Inputs!$F$8-SQRT((1-B1261)*(Inputs!$F$8-Inputs!$D$8)*(Inputs!$F$8-Inputs!$E$8))),0)</f>
        <v>26</v>
      </c>
      <c r="D1261" s="81" t="n">
        <f aca="true">RAND()</f>
        <v>0.251175136953016</v>
      </c>
      <c r="E1261" s="83" t="n">
        <f aca="false">IF(D1261&lt;(Inputs!$E$10-Inputs!$D$10)/(Inputs!$F$10-Inputs!$D$10),Inputs!$D$10+SQRT(D1261*(Inputs!$F$10-Inputs!$D$10)*(Inputs!$E$10-Inputs!$D$10)),Inputs!$F$10-SQRT((1-D1261)*(Inputs!$F$10-Inputs!$D$10)*(Inputs!$F$10-Inputs!$E$10)))</f>
        <v>0.0501175597629612</v>
      </c>
      <c r="F1261" s="81" t="n">
        <f aca="true">RAND()</f>
        <v>0.46074881058776</v>
      </c>
      <c r="G1261" s="83" t="n">
        <f aca="false">IF(F1261&lt;(Inputs!$E$15-Inputs!$D$15)/(Inputs!$F$15-Inputs!$D$15),Inputs!$D$15+SQRT(F1261*(Inputs!$F$15-Inputs!$D$15)*(Inputs!$E$15-Inputs!$D$15)),Inputs!$F$15-SQRT((1-F1261)*(Inputs!$F$15-Inputs!$D$15)*(Inputs!$F$15-Inputs!$E$15)))</f>
        <v>0.695994667621463</v>
      </c>
      <c r="H1261" s="81" t="n">
        <f aca="true">RAND()</f>
        <v>0.326489728082082</v>
      </c>
      <c r="I1261" s="82" t="n">
        <f aca="false">ROUND(IF(H1261&lt;(Inputs!$E$17-Inputs!$D$17)/(Inputs!$F$17-Inputs!$D$17),Inputs!$D$17+SQRT(H1261*(Inputs!$F$17-Inputs!$D$17)*(Inputs!$E$17-Inputs!$D$17)),Inputs!$F$17-SQRT((1-H1261)*(Inputs!$F$17-Inputs!$D$17)*(Inputs!$F$17-Inputs!$E$17))),0)</f>
        <v>105</v>
      </c>
      <c r="J1261" s="81" t="n">
        <f aca="true">RAND()</f>
        <v>0.220087728733967</v>
      </c>
      <c r="K1261" s="83" t="n">
        <f aca="false">IF(J1261&lt;(Inputs!$E$18-Inputs!$D$18)/(Inputs!$F$18-Inputs!$D$18),Inputs!$D$18+SQRT(J1261*(Inputs!$F$18-Inputs!$D$18)*(Inputs!$E$18-Inputs!$D$18)),Inputs!$F$18-SQRT((1-J1261)*(Inputs!$F$18-Inputs!$D$18)*(Inputs!$F$18-Inputs!$E$18)))</f>
        <v>0.987767137959995</v>
      </c>
      <c r="L1261" s="81" t="n">
        <f aca="true">RAND()</f>
        <v>0.278554280472339</v>
      </c>
      <c r="M1261" s="83" t="n">
        <f aca="false">IF(L1261&lt;(Inputs!$E$24-Inputs!$D$24)/(Inputs!$F$24-Inputs!$D$24),Inputs!$D$24+SQRT(L1261*(Inputs!$F$24-Inputs!$D$24)*(Inputs!$E$24-Inputs!$D$24)),Inputs!$F$24-SQRT((1-L1261)*(Inputs!$F$24-Inputs!$D$24)*(Inputs!$F$24-Inputs!$E$24)))</f>
        <v>0.782829192572414</v>
      </c>
      <c r="N1261" s="81" t="n">
        <f aca="true">RAND()</f>
        <v>0.511171531282289</v>
      </c>
      <c r="O1261" s="83" t="n">
        <f aca="false">IF(N1261&lt;(Inputs!$E$26-Inputs!$D$26)/(Inputs!$F$26-Inputs!$D$26),Inputs!$D$26+SQRT(N1261*(Inputs!$F$26-Inputs!$D$26)*(Inputs!$E$26-Inputs!$D$26)),Inputs!$F$26-SQRT((1-N1261)*(Inputs!$F$26-Inputs!$D$26)*(Inputs!$F$26-Inputs!$E$26)))</f>
        <v>0.591648663301193</v>
      </c>
      <c r="P1261" s="81" t="n">
        <f aca="true">RAND()</f>
        <v>0.904155903332011</v>
      </c>
      <c r="Q1261" s="82" t="n">
        <f aca="false">IF(P1261&lt;(Inputs!$E$27-Inputs!$D$27)/(Inputs!$F$27-Inputs!$D$27),Inputs!$D$27+SQRT(P1261*(Inputs!$F$27-Inputs!$D$27)*(Inputs!$E$27-Inputs!$D$27)),Inputs!$F$27-SQRT((1-P1261)*(Inputs!$F$27-Inputs!$D$27)*(Inputs!$F$27-Inputs!$E$27)))</f>
        <v>123.188981276163</v>
      </c>
      <c r="R1261" s="81" t="n">
        <f aca="true">RAND()</f>
        <v>0.530219371524236</v>
      </c>
      <c r="S1261" s="82" t="n">
        <f aca="false">IF(R1261&lt;(Inputs!$E$29-Inputs!$D$29)/(Inputs!$F$29-Inputs!$D$29),Inputs!$D$29+SQRT(R1261*(Inputs!$F$29-Inputs!$D$29)*(Inputs!$E$29-Inputs!$D$29)),Inputs!$F$29-SQRT((1-R1261)*(Inputs!$F$29-Inputs!$D$29)*(Inputs!$F$29-Inputs!$E$29)))</f>
        <v>7.18517551688783</v>
      </c>
      <c r="T1261" s="68" t="n">
        <f aca="false">Inputs!$E$9*(1+E1261)+Inputs!$E$5*C1261*(Inputs!$E$11*Inputs!$E$14*(G1261*I1261/Inputs!$E$16+(1-G1261))*K1261+Inputs!$E$23*M1261)*(1+O1261)+Inputs!$E$5*(Q1261+S1261)</f>
        <v>6317.63631935298</v>
      </c>
    </row>
    <row r="1262" customFormat="false" ht="15" hidden="false" customHeight="false" outlineLevel="0" collapsed="false">
      <c r="A1262" s="1" t="n">
        <v>1258</v>
      </c>
      <c r="B1262" s="81" t="n">
        <f aca="true">RAND()</f>
        <v>0.873229828939046</v>
      </c>
      <c r="C1262" s="82" t="n">
        <f aca="false">ROUND(IF(B1262&lt;(Inputs!$E$8-Inputs!$D$8)/(Inputs!$F$8-Inputs!$D$8),Inputs!$D$8+SQRT(B1262*(Inputs!$F$8-Inputs!$D$8)*(Inputs!$E$8-Inputs!$D$8)),Inputs!$F$8-SQRT((1-B1262)*(Inputs!$F$8-Inputs!$D$8)*(Inputs!$F$8-Inputs!$E$8))),0)</f>
        <v>27</v>
      </c>
      <c r="D1262" s="81" t="n">
        <f aca="true">RAND()</f>
        <v>0.639058094293459</v>
      </c>
      <c r="E1262" s="83" t="n">
        <f aca="false">IF(D1262&lt;(Inputs!$E$10-Inputs!$D$10)/(Inputs!$F$10-Inputs!$D$10),Inputs!$D$10+SQRT(D1262*(Inputs!$F$10-Inputs!$D$10)*(Inputs!$E$10-Inputs!$D$10)),Inputs!$F$10-SQRT((1-D1262)*(Inputs!$F$10-Inputs!$D$10)*(Inputs!$F$10-Inputs!$E$10)))</f>
        <v>0.0959410879780294</v>
      </c>
      <c r="F1262" s="81" t="n">
        <f aca="true">RAND()</f>
        <v>0.725836769456181</v>
      </c>
      <c r="G1262" s="83" t="n">
        <f aca="false">IF(F1262&lt;(Inputs!$E$15-Inputs!$D$15)/(Inputs!$F$15-Inputs!$D$15),Inputs!$D$15+SQRT(F1262*(Inputs!$F$15-Inputs!$D$15)*(Inputs!$E$15-Inputs!$D$15)),Inputs!$F$15-SQRT((1-F1262)*(Inputs!$F$15-Inputs!$D$15)*(Inputs!$F$15-Inputs!$E$15)))</f>
        <v>0.72595093106003</v>
      </c>
      <c r="H1262" s="81" t="n">
        <f aca="true">RAND()</f>
        <v>0.961435186712829</v>
      </c>
      <c r="I1262" s="82" t="n">
        <f aca="false">ROUND(IF(H1262&lt;(Inputs!$E$17-Inputs!$D$17)/(Inputs!$F$17-Inputs!$D$17),Inputs!$D$17+SQRT(H1262*(Inputs!$F$17-Inputs!$D$17)*(Inputs!$E$17-Inputs!$D$17)),Inputs!$F$17-SQRT((1-H1262)*(Inputs!$F$17-Inputs!$D$17)*(Inputs!$F$17-Inputs!$E$17))),0)</f>
        <v>113</v>
      </c>
      <c r="J1262" s="81" t="n">
        <f aca="true">RAND()</f>
        <v>0.229989312945569</v>
      </c>
      <c r="K1262" s="83" t="n">
        <f aca="false">IF(J1262&lt;(Inputs!$E$18-Inputs!$D$18)/(Inputs!$F$18-Inputs!$D$18),Inputs!$D$18+SQRT(J1262*(Inputs!$F$18-Inputs!$D$18)*(Inputs!$E$18-Inputs!$D$18)),Inputs!$F$18-SQRT((1-J1262)*(Inputs!$F$18-Inputs!$D$18)*(Inputs!$F$18-Inputs!$E$18)))</f>
        <v>0.98971970771851</v>
      </c>
      <c r="L1262" s="81" t="n">
        <f aca="true">RAND()</f>
        <v>0.352167163615859</v>
      </c>
      <c r="M1262" s="83" t="n">
        <f aca="false">IF(L1262&lt;(Inputs!$E$24-Inputs!$D$24)/(Inputs!$F$24-Inputs!$D$24),Inputs!$D$24+SQRT(L1262*(Inputs!$F$24-Inputs!$D$24)*(Inputs!$E$24-Inputs!$D$24)),Inputs!$F$24-SQRT((1-L1262)*(Inputs!$F$24-Inputs!$D$24)*(Inputs!$F$24-Inputs!$E$24)))</f>
        <v>0.805690628145622</v>
      </c>
      <c r="N1262" s="81" t="n">
        <f aca="true">RAND()</f>
        <v>0.656451546088475</v>
      </c>
      <c r="O1262" s="83" t="n">
        <f aca="false">IF(N1262&lt;(Inputs!$E$26-Inputs!$D$26)/(Inputs!$F$26-Inputs!$D$26),Inputs!$D$26+SQRT(N1262*(Inputs!$F$26-Inputs!$D$26)*(Inputs!$E$26-Inputs!$D$26)),Inputs!$F$26-SQRT((1-N1262)*(Inputs!$F$26-Inputs!$D$26)*(Inputs!$F$26-Inputs!$E$26)))</f>
        <v>0.630978733453617</v>
      </c>
      <c r="P1262" s="81" t="n">
        <f aca="true">RAND()</f>
        <v>0.152665217215289</v>
      </c>
      <c r="Q1262" s="82" t="n">
        <f aca="false">IF(P1262&lt;(Inputs!$E$27-Inputs!$D$27)/(Inputs!$F$27-Inputs!$D$27),Inputs!$D$27+SQRT(P1262*(Inputs!$F$27-Inputs!$D$27)*(Inputs!$E$27-Inputs!$D$27)),Inputs!$F$27-SQRT((1-P1262)*(Inputs!$F$27-Inputs!$D$27)*(Inputs!$F$27-Inputs!$E$27)))</f>
        <v>69.5361982749516</v>
      </c>
      <c r="R1262" s="81" t="n">
        <f aca="true">RAND()</f>
        <v>0.0224667600642615</v>
      </c>
      <c r="S1262" s="82" t="n">
        <f aca="false">IF(R1262&lt;(Inputs!$E$29-Inputs!$D$29)/(Inputs!$F$29-Inputs!$D$29),Inputs!$D$29+SQRT(R1262*(Inputs!$F$29-Inputs!$D$29)*(Inputs!$E$29-Inputs!$D$29)),Inputs!$F$29-SQRT((1-R1262)*(Inputs!$F$29-Inputs!$D$29)*(Inputs!$F$29-Inputs!$E$29)))</f>
        <v>2.93605749957265</v>
      </c>
      <c r="T1262" s="68" t="n">
        <f aca="false">Inputs!$E$9*(1+E1262)+Inputs!$E$5*C1262*(Inputs!$E$11*Inputs!$E$14*(G1262*I1262/Inputs!$E$16+(1-G1262))*K1262+Inputs!$E$23*M1262)*(1+O1262)+Inputs!$E$5*(Q1262+S1262)</f>
        <v>6446.5099184608</v>
      </c>
    </row>
    <row r="1263" customFormat="false" ht="15" hidden="false" customHeight="false" outlineLevel="0" collapsed="false">
      <c r="A1263" s="1" t="n">
        <v>1259</v>
      </c>
      <c r="B1263" s="81" t="n">
        <f aca="true">RAND()</f>
        <v>0.214491087087639</v>
      </c>
      <c r="C1263" s="82" t="n">
        <f aca="false">ROUND(IF(B1263&lt;(Inputs!$E$8-Inputs!$D$8)/(Inputs!$F$8-Inputs!$D$8),Inputs!$D$8+SQRT(B1263*(Inputs!$F$8-Inputs!$D$8)*(Inputs!$E$8-Inputs!$D$8)),Inputs!$F$8-SQRT((1-B1263)*(Inputs!$F$8-Inputs!$D$8)*(Inputs!$F$8-Inputs!$E$8))),0)</f>
        <v>23</v>
      </c>
      <c r="D1263" s="81" t="n">
        <f aca="true">RAND()</f>
        <v>0.738213154471228</v>
      </c>
      <c r="E1263" s="83" t="n">
        <f aca="false">IF(D1263&lt;(Inputs!$E$10-Inputs!$D$10)/(Inputs!$F$10-Inputs!$D$10),Inputs!$D$10+SQRT(D1263*(Inputs!$F$10-Inputs!$D$10)*(Inputs!$E$10-Inputs!$D$10)),Inputs!$F$10-SQRT((1-D1263)*(Inputs!$F$10-Inputs!$D$10)*(Inputs!$F$10-Inputs!$E$10)))</f>
        <v>0.111379430345641</v>
      </c>
      <c r="F1263" s="81" t="n">
        <f aca="true">RAND()</f>
        <v>0.302828272045879</v>
      </c>
      <c r="G1263" s="83" t="n">
        <f aca="false">IF(F1263&lt;(Inputs!$E$15-Inputs!$D$15)/(Inputs!$F$15-Inputs!$D$15),Inputs!$D$15+SQRT(F1263*(Inputs!$F$15-Inputs!$D$15)*(Inputs!$E$15-Inputs!$D$15)),Inputs!$F$15-SQRT((1-F1263)*(Inputs!$F$15-Inputs!$D$15)*(Inputs!$F$15-Inputs!$E$15)))</f>
        <v>0.677823938739424</v>
      </c>
      <c r="H1263" s="81" t="n">
        <f aca="true">RAND()</f>
        <v>0.814381003048892</v>
      </c>
      <c r="I1263" s="82" t="n">
        <f aca="false">ROUND(IF(H1263&lt;(Inputs!$E$17-Inputs!$D$17)/(Inputs!$F$17-Inputs!$D$17),Inputs!$D$17+SQRT(H1263*(Inputs!$F$17-Inputs!$D$17)*(Inputs!$E$17-Inputs!$D$17)),Inputs!$F$17-SQRT((1-H1263)*(Inputs!$F$17-Inputs!$D$17)*(Inputs!$F$17-Inputs!$E$17))),0)</f>
        <v>110</v>
      </c>
      <c r="J1263" s="81" t="n">
        <f aca="true">RAND()</f>
        <v>0.257858872085363</v>
      </c>
      <c r="K1263" s="83" t="n">
        <f aca="false">IF(J1263&lt;(Inputs!$E$18-Inputs!$D$18)/(Inputs!$F$18-Inputs!$D$18),Inputs!$D$18+SQRT(J1263*(Inputs!$F$18-Inputs!$D$18)*(Inputs!$E$18-Inputs!$D$18)),Inputs!$F$18-SQRT((1-J1263)*(Inputs!$F$18-Inputs!$D$18)*(Inputs!$F$18-Inputs!$E$18)))</f>
        <v>0.995000318541506</v>
      </c>
      <c r="L1263" s="81" t="n">
        <f aca="true">RAND()</f>
        <v>0.895394468360391</v>
      </c>
      <c r="M1263" s="83" t="n">
        <f aca="false">IF(L1263&lt;(Inputs!$E$24-Inputs!$D$24)/(Inputs!$F$24-Inputs!$D$24),Inputs!$D$24+SQRT(L1263*(Inputs!$F$24-Inputs!$D$24)*(Inputs!$E$24-Inputs!$D$24)),Inputs!$F$24-SQRT((1-L1263)*(Inputs!$F$24-Inputs!$D$24)*(Inputs!$F$24-Inputs!$E$24)))</f>
        <v>1.04155339197854</v>
      </c>
      <c r="N1263" s="81" t="n">
        <f aca="true">RAND()</f>
        <v>0.430725073584774</v>
      </c>
      <c r="O1263" s="83" t="n">
        <f aca="false">IF(N1263&lt;(Inputs!$E$26-Inputs!$D$26)/(Inputs!$F$26-Inputs!$D$26),Inputs!$D$26+SQRT(N1263*(Inputs!$F$26-Inputs!$D$26)*(Inputs!$E$26-Inputs!$D$26)),Inputs!$F$26-SQRT((1-N1263)*(Inputs!$F$26-Inputs!$D$26)*(Inputs!$F$26-Inputs!$E$26)))</f>
        <v>0.567717485877382</v>
      </c>
      <c r="P1263" s="81" t="n">
        <f aca="true">RAND()</f>
        <v>0.35880930684719</v>
      </c>
      <c r="Q1263" s="82" t="n">
        <f aca="false">IF(P1263&lt;(Inputs!$E$27-Inputs!$D$27)/(Inputs!$F$27-Inputs!$D$27),Inputs!$D$27+SQRT(P1263*(Inputs!$F$27-Inputs!$D$27)*(Inputs!$E$27-Inputs!$D$27)),Inputs!$F$27-SQRT((1-P1263)*(Inputs!$F$27-Inputs!$D$27)*(Inputs!$F$27-Inputs!$E$27)))</f>
        <v>80.6535494877634</v>
      </c>
      <c r="R1263" s="81" t="n">
        <f aca="true">RAND()</f>
        <v>0.93212605582233</v>
      </c>
      <c r="S1263" s="82" t="n">
        <f aca="false">IF(R1263&lt;(Inputs!$E$29-Inputs!$D$29)/(Inputs!$F$29-Inputs!$D$29),Inputs!$D$29+SQRT(R1263*(Inputs!$F$29-Inputs!$D$29)*(Inputs!$E$29-Inputs!$D$29)),Inputs!$F$29-SQRT((1-R1263)*(Inputs!$F$29-Inputs!$D$29)*(Inputs!$F$29-Inputs!$E$29)))</f>
        <v>12.0295433443497</v>
      </c>
      <c r="T1263" s="68" t="n">
        <f aca="false">Inputs!$E$9*(1+E1263)+Inputs!$E$5*C1263*(Inputs!$E$11*Inputs!$E$14*(G1263*I1263/Inputs!$E$16+(1-G1263))*K1263+Inputs!$E$23*M1263)*(1+O1263)+Inputs!$E$5*(Q1263+S1263)</f>
        <v>6251.11191759443</v>
      </c>
    </row>
    <row r="1264" customFormat="false" ht="15" hidden="false" customHeight="false" outlineLevel="0" collapsed="false">
      <c r="A1264" s="1" t="n">
        <v>1260</v>
      </c>
      <c r="B1264" s="81" t="n">
        <f aca="true">RAND()</f>
        <v>0.0574542877684842</v>
      </c>
      <c r="C1264" s="82" t="n">
        <f aca="false">ROUND(IF(B1264&lt;(Inputs!$E$8-Inputs!$D$8)/(Inputs!$F$8-Inputs!$D$8),Inputs!$D$8+SQRT(B1264*(Inputs!$F$8-Inputs!$D$8)*(Inputs!$E$8-Inputs!$D$8)),Inputs!$F$8-SQRT((1-B1264)*(Inputs!$F$8-Inputs!$D$8)*(Inputs!$F$8-Inputs!$E$8))),0)</f>
        <v>22</v>
      </c>
      <c r="D1264" s="81" t="n">
        <f aca="true">RAND()</f>
        <v>0.263418363322881</v>
      </c>
      <c r="E1264" s="83" t="n">
        <f aca="false">IF(D1264&lt;(Inputs!$E$10-Inputs!$D$10)/(Inputs!$F$10-Inputs!$D$10),Inputs!$D$10+SQRT(D1264*(Inputs!$F$10-Inputs!$D$10)*(Inputs!$E$10-Inputs!$D$10)),Inputs!$F$10-SQRT((1-D1264)*(Inputs!$F$10-Inputs!$D$10)*(Inputs!$F$10-Inputs!$E$10)))</f>
        <v>0.0513478923785015</v>
      </c>
      <c r="F1264" s="81" t="n">
        <f aca="true">RAND()</f>
        <v>0.1227093680358</v>
      </c>
      <c r="G1264" s="83" t="n">
        <f aca="false">IF(F1264&lt;(Inputs!$E$15-Inputs!$D$15)/(Inputs!$F$15-Inputs!$D$15),Inputs!$D$15+SQRT(F1264*(Inputs!$F$15-Inputs!$D$15)*(Inputs!$E$15-Inputs!$D$15)),Inputs!$F$15-SQRT((1-F1264)*(Inputs!$F$15-Inputs!$D$15)*(Inputs!$F$15-Inputs!$E$15)))</f>
        <v>0.649539755355835</v>
      </c>
      <c r="H1264" s="81" t="n">
        <f aca="true">RAND()</f>
        <v>0.181067756958754</v>
      </c>
      <c r="I1264" s="82" t="n">
        <f aca="false">ROUND(IF(H1264&lt;(Inputs!$E$17-Inputs!$D$17)/(Inputs!$F$17-Inputs!$D$17),Inputs!$D$17+SQRT(H1264*(Inputs!$F$17-Inputs!$D$17)*(Inputs!$E$17-Inputs!$D$17)),Inputs!$F$17-SQRT((1-H1264)*(Inputs!$F$17-Inputs!$D$17)*(Inputs!$F$17-Inputs!$E$17))),0)</f>
        <v>104</v>
      </c>
      <c r="J1264" s="81" t="n">
        <f aca="true">RAND()</f>
        <v>0.420639668019021</v>
      </c>
      <c r="K1264" s="83" t="n">
        <f aca="false">IF(J1264&lt;(Inputs!$E$18-Inputs!$D$18)/(Inputs!$F$18-Inputs!$D$18),Inputs!$D$18+SQRT(J1264*(Inputs!$F$18-Inputs!$D$18)*(Inputs!$E$18-Inputs!$D$18)),Inputs!$F$18-SQRT((1-J1264)*(Inputs!$F$18-Inputs!$D$18)*(Inputs!$F$18-Inputs!$E$18)))</f>
        <v>1.0248466543701</v>
      </c>
      <c r="L1264" s="81" t="n">
        <f aca="true">RAND()</f>
        <v>0.201316302406791</v>
      </c>
      <c r="M1264" s="83" t="n">
        <f aca="false">IF(L1264&lt;(Inputs!$E$24-Inputs!$D$24)/(Inputs!$F$24-Inputs!$D$24),Inputs!$D$24+SQRT(L1264*(Inputs!$F$24-Inputs!$D$24)*(Inputs!$E$24-Inputs!$D$24)),Inputs!$F$24-SQRT((1-L1264)*(Inputs!$F$24-Inputs!$D$24)*(Inputs!$F$24-Inputs!$E$24)))</f>
        <v>0.755428299510787</v>
      </c>
      <c r="N1264" s="81" t="n">
        <f aca="true">RAND()</f>
        <v>0.434751431464113</v>
      </c>
      <c r="O1264" s="83" t="n">
        <f aca="false">IF(N1264&lt;(Inputs!$E$26-Inputs!$D$26)/(Inputs!$F$26-Inputs!$D$26),Inputs!$D$26+SQRT(N1264*(Inputs!$F$26-Inputs!$D$26)*(Inputs!$E$26-Inputs!$D$26)),Inputs!$F$26-SQRT((1-N1264)*(Inputs!$F$26-Inputs!$D$26)*(Inputs!$F$26-Inputs!$E$26)))</f>
        <v>0.568965868086693</v>
      </c>
      <c r="P1264" s="81" t="n">
        <f aca="true">RAND()</f>
        <v>0.264055902938742</v>
      </c>
      <c r="Q1264" s="82" t="n">
        <f aca="false">IF(P1264&lt;(Inputs!$E$27-Inputs!$D$27)/(Inputs!$F$27-Inputs!$D$27),Inputs!$D$27+SQRT(P1264*(Inputs!$F$27-Inputs!$D$27)*(Inputs!$E$27-Inputs!$D$27)),Inputs!$F$27-SQRT((1-P1264)*(Inputs!$F$27-Inputs!$D$27)*(Inputs!$F$27-Inputs!$E$27)))</f>
        <v>75.7061191755375</v>
      </c>
      <c r="R1264" s="81" t="n">
        <f aca="true">RAND()</f>
        <v>0.287661382359113</v>
      </c>
      <c r="S1264" s="82" t="n">
        <f aca="false">IF(R1264&lt;(Inputs!$E$29-Inputs!$D$29)/(Inputs!$F$29-Inputs!$D$29),Inputs!$D$29+SQRT(R1264*(Inputs!$F$29-Inputs!$D$29)*(Inputs!$E$29-Inputs!$D$29)),Inputs!$F$29-SQRT((1-R1264)*(Inputs!$F$29-Inputs!$D$29)*(Inputs!$F$29-Inputs!$E$29)))</f>
        <v>5.37690173107874</v>
      </c>
      <c r="T1264" s="68" t="n">
        <f aca="false">Inputs!$E$9*(1+E1264)+Inputs!$E$5*C1264*(Inputs!$E$11*Inputs!$E$14*(G1264*I1264/Inputs!$E$16+(1-G1264))*K1264+Inputs!$E$23*M1264)*(1+O1264)+Inputs!$E$5*(Q1264+S1264)</f>
        <v>5597.53689372456</v>
      </c>
    </row>
    <row r="1265" customFormat="false" ht="15" hidden="false" customHeight="false" outlineLevel="0" collapsed="false">
      <c r="A1265" s="1" t="n">
        <v>1261</v>
      </c>
      <c r="B1265" s="81" t="n">
        <f aca="true">RAND()</f>
        <v>0.0768708221906709</v>
      </c>
      <c r="C1265" s="82" t="n">
        <f aca="false">ROUND(IF(B1265&lt;(Inputs!$E$8-Inputs!$D$8)/(Inputs!$F$8-Inputs!$D$8),Inputs!$D$8+SQRT(B1265*(Inputs!$F$8-Inputs!$D$8)*(Inputs!$E$8-Inputs!$D$8)),Inputs!$F$8-SQRT((1-B1265)*(Inputs!$F$8-Inputs!$D$8)*(Inputs!$F$8-Inputs!$E$8))),0)</f>
        <v>22</v>
      </c>
      <c r="D1265" s="81" t="n">
        <f aca="true">RAND()</f>
        <v>0.476866273054996</v>
      </c>
      <c r="E1265" s="83" t="n">
        <f aca="false">IF(D1265&lt;(Inputs!$E$10-Inputs!$D$10)/(Inputs!$F$10-Inputs!$D$10),Inputs!$D$10+SQRT(D1265*(Inputs!$F$10-Inputs!$D$10)*(Inputs!$E$10-Inputs!$D$10)),Inputs!$F$10-SQRT((1-D1265)*(Inputs!$F$10-Inputs!$D$10)*(Inputs!$F$10-Inputs!$E$10)))</f>
        <v>0.0747242569036203</v>
      </c>
      <c r="F1265" s="81" t="n">
        <f aca="true">RAND()</f>
        <v>0.51569391312409</v>
      </c>
      <c r="G1265" s="83" t="n">
        <f aca="false">IF(F1265&lt;(Inputs!$E$15-Inputs!$D$15)/(Inputs!$F$15-Inputs!$D$15),Inputs!$D$15+SQRT(F1265*(Inputs!$F$15-Inputs!$D$15)*(Inputs!$E$15-Inputs!$D$15)),Inputs!$F$15-SQRT((1-F1265)*(Inputs!$F$15-Inputs!$D$15)*(Inputs!$F$15-Inputs!$E$15)))</f>
        <v>0.701581903404312</v>
      </c>
      <c r="H1265" s="81" t="n">
        <f aca="true">RAND()</f>
        <v>0.738680887487192</v>
      </c>
      <c r="I1265" s="82" t="n">
        <f aca="false">ROUND(IF(H1265&lt;(Inputs!$E$17-Inputs!$D$17)/(Inputs!$F$17-Inputs!$D$17),Inputs!$D$17+SQRT(H1265*(Inputs!$F$17-Inputs!$D$17)*(Inputs!$E$17-Inputs!$D$17)),Inputs!$F$17-SQRT((1-H1265)*(Inputs!$F$17-Inputs!$D$17)*(Inputs!$F$17-Inputs!$E$17))),0)</f>
        <v>109</v>
      </c>
      <c r="J1265" s="81" t="n">
        <f aca="true">RAND()</f>
        <v>0.940386880543026</v>
      </c>
      <c r="K1265" s="83" t="n">
        <f aca="false">IF(J1265&lt;(Inputs!$E$18-Inputs!$D$18)/(Inputs!$F$18-Inputs!$D$18),Inputs!$D$18+SQRT(J1265*(Inputs!$F$18-Inputs!$D$18)*(Inputs!$E$18-Inputs!$D$18)),Inputs!$F$18-SQRT((1-J1265)*(Inputs!$F$18-Inputs!$D$18)*(Inputs!$F$18-Inputs!$E$18)))</f>
        <v>1.17777709537491</v>
      </c>
      <c r="L1265" s="81" t="n">
        <f aca="true">RAND()</f>
        <v>0.954519363234186</v>
      </c>
      <c r="M1265" s="83" t="n">
        <f aca="false">IF(L1265&lt;(Inputs!$E$24-Inputs!$D$24)/(Inputs!$F$24-Inputs!$D$24),Inputs!$D$24+SQRT(L1265*(Inputs!$F$24-Inputs!$D$24)*(Inputs!$E$24-Inputs!$D$24)),Inputs!$F$24-SQRT((1-L1265)*(Inputs!$F$24-Inputs!$D$24)*(Inputs!$F$24-Inputs!$E$24)))</f>
        <v>1.09552343409264</v>
      </c>
      <c r="N1265" s="81" t="n">
        <f aca="true">RAND()</f>
        <v>0.700503488368762</v>
      </c>
      <c r="O1265" s="83" t="n">
        <f aca="false">IF(N1265&lt;(Inputs!$E$26-Inputs!$D$26)/(Inputs!$F$26-Inputs!$D$26),Inputs!$D$26+SQRT(N1265*(Inputs!$F$26-Inputs!$D$26)*(Inputs!$E$26-Inputs!$D$26)),Inputs!$F$26-SQRT((1-N1265)*(Inputs!$F$26-Inputs!$D$26)*(Inputs!$F$26-Inputs!$E$26)))</f>
        <v>0.643513067878529</v>
      </c>
      <c r="P1265" s="81" t="n">
        <f aca="true">RAND()</f>
        <v>0.738459149535143</v>
      </c>
      <c r="Q1265" s="82" t="n">
        <f aca="false">IF(P1265&lt;(Inputs!$E$27-Inputs!$D$27)/(Inputs!$F$27-Inputs!$D$27),Inputs!$D$27+SQRT(P1265*(Inputs!$F$27-Inputs!$D$27)*(Inputs!$E$27-Inputs!$D$27)),Inputs!$F$27-SQRT((1-P1265)*(Inputs!$F$27-Inputs!$D$27)*(Inputs!$F$27-Inputs!$E$27)))</f>
        <v>105.710538742423</v>
      </c>
      <c r="R1265" s="81" t="n">
        <f aca="true">RAND()</f>
        <v>0.56850578899576</v>
      </c>
      <c r="S1265" s="82" t="n">
        <f aca="false">IF(R1265&lt;(Inputs!$E$29-Inputs!$D$29)/(Inputs!$F$29-Inputs!$D$29),Inputs!$D$29+SQRT(R1265*(Inputs!$F$29-Inputs!$D$29)*(Inputs!$E$29-Inputs!$D$29)),Inputs!$F$29-SQRT((1-R1265)*(Inputs!$F$29-Inputs!$D$29)*(Inputs!$F$29-Inputs!$E$29)))</f>
        <v>7.51039070240969</v>
      </c>
      <c r="T1265" s="68" t="n">
        <f aca="false">Inputs!$E$9*(1+E1265)+Inputs!$E$5*C1265*(Inputs!$E$11*Inputs!$E$14*(G1265*I1265/Inputs!$E$16+(1-G1265))*K1265+Inputs!$E$23*M1265)*(1+O1265)+Inputs!$E$5*(Q1265+S1265)</f>
        <v>6677.0519007255</v>
      </c>
    </row>
    <row r="1266" customFormat="false" ht="15" hidden="false" customHeight="false" outlineLevel="0" collapsed="false">
      <c r="A1266" s="1" t="n">
        <v>1262</v>
      </c>
      <c r="B1266" s="81" t="n">
        <f aca="true">RAND()</f>
        <v>0.194471924290859</v>
      </c>
      <c r="C1266" s="82" t="n">
        <f aca="false">ROUND(IF(B1266&lt;(Inputs!$E$8-Inputs!$D$8)/(Inputs!$F$8-Inputs!$D$8),Inputs!$D$8+SQRT(B1266*(Inputs!$F$8-Inputs!$D$8)*(Inputs!$E$8-Inputs!$D$8)),Inputs!$F$8-SQRT((1-B1266)*(Inputs!$F$8-Inputs!$D$8)*(Inputs!$F$8-Inputs!$E$8))),0)</f>
        <v>23</v>
      </c>
      <c r="D1266" s="81" t="n">
        <f aca="true">RAND()</f>
        <v>0.126928900256551</v>
      </c>
      <c r="E1266" s="83" t="n">
        <f aca="false">IF(D1266&lt;(Inputs!$E$10-Inputs!$D$10)/(Inputs!$F$10-Inputs!$D$10),Inputs!$D$10+SQRT(D1266*(Inputs!$F$10-Inputs!$D$10)*(Inputs!$E$10-Inputs!$D$10)),Inputs!$F$10-SQRT((1-D1266)*(Inputs!$F$10-Inputs!$D$10)*(Inputs!$F$10-Inputs!$E$10)))</f>
        <v>0.0356270824312841</v>
      </c>
      <c r="F1266" s="81" t="n">
        <f aca="true">RAND()</f>
        <v>0.487904641004794</v>
      </c>
      <c r="G1266" s="83" t="n">
        <f aca="false">IF(F1266&lt;(Inputs!$E$15-Inputs!$D$15)/(Inputs!$F$15-Inputs!$D$15),Inputs!$D$15+SQRT(F1266*(Inputs!$F$15-Inputs!$D$15)*(Inputs!$E$15-Inputs!$D$15)),Inputs!$F$15-SQRT((1-F1266)*(Inputs!$F$15-Inputs!$D$15)*(Inputs!$F$15-Inputs!$E$15)))</f>
        <v>0.698783059378093</v>
      </c>
      <c r="H1266" s="81" t="n">
        <f aca="true">RAND()</f>
        <v>0.269525286567998</v>
      </c>
      <c r="I1266" s="82" t="n">
        <f aca="false">ROUND(IF(H1266&lt;(Inputs!$E$17-Inputs!$D$17)/(Inputs!$F$17-Inputs!$D$17),Inputs!$D$17+SQRT(H1266*(Inputs!$F$17-Inputs!$D$17)*(Inputs!$E$17-Inputs!$D$17)),Inputs!$F$17-SQRT((1-H1266)*(Inputs!$F$17-Inputs!$D$17)*(Inputs!$F$17-Inputs!$E$17))),0)</f>
        <v>104</v>
      </c>
      <c r="J1266" s="81" t="n">
        <f aca="true">RAND()</f>
        <v>0.742789399923743</v>
      </c>
      <c r="K1266" s="83" t="n">
        <f aca="false">IF(J1266&lt;(Inputs!$E$18-Inputs!$D$18)/(Inputs!$F$18-Inputs!$D$18),Inputs!$D$18+SQRT(J1266*(Inputs!$F$18-Inputs!$D$18)*(Inputs!$E$18-Inputs!$D$18)),Inputs!$F$18-SQRT((1-J1266)*(Inputs!$F$18-Inputs!$D$18)*(Inputs!$F$18-Inputs!$E$18)))</f>
        <v>1.09998024294556</v>
      </c>
      <c r="L1266" s="81" t="n">
        <f aca="true">RAND()</f>
        <v>0.195296908256588</v>
      </c>
      <c r="M1266" s="83" t="n">
        <f aca="false">IF(L1266&lt;(Inputs!$E$24-Inputs!$D$24)/(Inputs!$F$24-Inputs!$D$24),Inputs!$D$24+SQRT(L1266*(Inputs!$F$24-Inputs!$D$24)*(Inputs!$E$24-Inputs!$D$24)),Inputs!$F$24-SQRT((1-L1266)*(Inputs!$F$24-Inputs!$D$24)*(Inputs!$F$24-Inputs!$E$24)))</f>
        <v>0.7530869981115</v>
      </c>
      <c r="N1266" s="81" t="n">
        <f aca="true">RAND()</f>
        <v>0.813484016560602</v>
      </c>
      <c r="O1266" s="83" t="n">
        <f aca="false">IF(N1266&lt;(Inputs!$E$26-Inputs!$D$26)/(Inputs!$F$26-Inputs!$D$26),Inputs!$D$26+SQRT(N1266*(Inputs!$F$26-Inputs!$D$26)*(Inputs!$E$26-Inputs!$D$26)),Inputs!$F$26-SQRT((1-N1266)*(Inputs!$F$26-Inputs!$D$26)*(Inputs!$F$26-Inputs!$E$26)))</f>
        <v>0.680724509414982</v>
      </c>
      <c r="P1266" s="81" t="n">
        <f aca="true">RAND()</f>
        <v>0.851086151529646</v>
      </c>
      <c r="Q1266" s="82" t="n">
        <f aca="false">IF(P1266&lt;(Inputs!$E$27-Inputs!$D$27)/(Inputs!$F$27-Inputs!$D$27),Inputs!$D$27+SQRT(P1266*(Inputs!$F$27-Inputs!$D$27)*(Inputs!$E$27-Inputs!$D$27)),Inputs!$F$27-SQRT((1-P1266)*(Inputs!$F$27-Inputs!$D$27)*(Inputs!$F$27-Inputs!$E$27)))</f>
        <v>116.580636398524</v>
      </c>
      <c r="R1266" s="81" t="n">
        <f aca="true">RAND()</f>
        <v>0.507952563561324</v>
      </c>
      <c r="S1266" s="82" t="n">
        <f aca="false">IF(R1266&lt;(Inputs!$E$29-Inputs!$D$29)/(Inputs!$F$29-Inputs!$D$29),Inputs!$D$29+SQRT(R1266*(Inputs!$F$29-Inputs!$D$29)*(Inputs!$E$29-Inputs!$D$29)),Inputs!$F$29-SQRT((1-R1266)*(Inputs!$F$29-Inputs!$D$29)*(Inputs!$F$29-Inputs!$E$29)))</f>
        <v>7.00211485847491</v>
      </c>
      <c r="T1266" s="68" t="n">
        <f aca="false">Inputs!$E$9*(1+E1266)+Inputs!$E$5*C1266*(Inputs!$E$11*Inputs!$E$14*(G1266*I1266/Inputs!$E$16+(1-G1266))*K1266+Inputs!$E$23*M1266)*(1+O1266)+Inputs!$E$5*(Q1266+S1266)</f>
        <v>6206.96021225194</v>
      </c>
    </row>
    <row r="1267" customFormat="false" ht="15" hidden="false" customHeight="false" outlineLevel="0" collapsed="false">
      <c r="A1267" s="1" t="n">
        <v>1263</v>
      </c>
      <c r="B1267" s="81" t="n">
        <f aca="true">RAND()</f>
        <v>0.732690597437681</v>
      </c>
      <c r="C1267" s="82" t="n">
        <f aca="false">ROUND(IF(B1267&lt;(Inputs!$E$8-Inputs!$D$8)/(Inputs!$F$8-Inputs!$D$8),Inputs!$D$8+SQRT(B1267*(Inputs!$F$8-Inputs!$D$8)*(Inputs!$E$8-Inputs!$D$8)),Inputs!$F$8-SQRT((1-B1267)*(Inputs!$F$8-Inputs!$D$8)*(Inputs!$F$8-Inputs!$E$8))),0)</f>
        <v>26</v>
      </c>
      <c r="D1267" s="81" t="n">
        <f aca="true">RAND()</f>
        <v>0.696350464732029</v>
      </c>
      <c r="E1267" s="83" t="n">
        <f aca="false">IF(D1267&lt;(Inputs!$E$10-Inputs!$D$10)/(Inputs!$F$10-Inputs!$D$10),Inputs!$D$10+SQRT(D1267*(Inputs!$F$10-Inputs!$D$10)*(Inputs!$E$10-Inputs!$D$10)),Inputs!$F$10-SQRT((1-D1267)*(Inputs!$F$10-Inputs!$D$10)*(Inputs!$F$10-Inputs!$E$10)))</f>
        <v>0.104556372354991</v>
      </c>
      <c r="F1267" s="81" t="n">
        <f aca="true">RAND()</f>
        <v>0.604517027385545</v>
      </c>
      <c r="G1267" s="83" t="n">
        <f aca="false">IF(F1267&lt;(Inputs!$E$15-Inputs!$D$15)/(Inputs!$F$15-Inputs!$D$15),Inputs!$D$15+SQRT(F1267*(Inputs!$F$15-Inputs!$D$15)*(Inputs!$E$15-Inputs!$D$15)),Inputs!$F$15-SQRT((1-F1267)*(Inputs!$F$15-Inputs!$D$15)*(Inputs!$F$15-Inputs!$E$15)))</f>
        <v>0.711063733762379</v>
      </c>
      <c r="H1267" s="81" t="n">
        <f aca="true">RAND()</f>
        <v>0.797228350973871</v>
      </c>
      <c r="I1267" s="82" t="n">
        <f aca="false">ROUND(IF(H1267&lt;(Inputs!$E$17-Inputs!$D$17)/(Inputs!$F$17-Inputs!$D$17),Inputs!$D$17+SQRT(H1267*(Inputs!$F$17-Inputs!$D$17)*(Inputs!$E$17-Inputs!$D$17)),Inputs!$F$17-SQRT((1-H1267)*(Inputs!$F$17-Inputs!$D$17)*(Inputs!$F$17-Inputs!$E$17))),0)</f>
        <v>109</v>
      </c>
      <c r="J1267" s="81" t="n">
        <f aca="true">RAND()</f>
        <v>0.472339713761891</v>
      </c>
      <c r="K1267" s="83" t="n">
        <f aca="false">IF(J1267&lt;(Inputs!$E$18-Inputs!$D$18)/(Inputs!$F$18-Inputs!$D$18),Inputs!$D$18+SQRT(J1267*(Inputs!$F$18-Inputs!$D$18)*(Inputs!$E$18-Inputs!$D$18)),Inputs!$F$18-SQRT((1-J1267)*(Inputs!$F$18-Inputs!$D$18)*(Inputs!$F$18-Inputs!$E$18)))</f>
        <v>1.03512730502496</v>
      </c>
      <c r="L1267" s="81" t="n">
        <f aca="true">RAND()</f>
        <v>0.365476822815915</v>
      </c>
      <c r="M1267" s="83" t="n">
        <f aca="false">IF(L1267&lt;(Inputs!$E$24-Inputs!$D$24)/(Inputs!$F$24-Inputs!$D$24),Inputs!$D$24+SQRT(L1267*(Inputs!$F$24-Inputs!$D$24)*(Inputs!$E$24-Inputs!$D$24)),Inputs!$F$24-SQRT((1-L1267)*(Inputs!$F$24-Inputs!$D$24)*(Inputs!$F$24-Inputs!$E$24)))</f>
        <v>0.809762171843656</v>
      </c>
      <c r="N1267" s="81" t="n">
        <f aca="true">RAND()</f>
        <v>0.188806752377064</v>
      </c>
      <c r="O1267" s="83" t="n">
        <f aca="false">IF(N1267&lt;(Inputs!$E$26-Inputs!$D$26)/(Inputs!$F$26-Inputs!$D$26),Inputs!$D$26+SQRT(N1267*(Inputs!$F$26-Inputs!$D$26)*(Inputs!$E$26-Inputs!$D$26)),Inputs!$F$26-SQRT((1-N1267)*(Inputs!$F$26-Inputs!$D$26)*(Inputs!$F$26-Inputs!$E$26)))</f>
        <v>0.477249664585137</v>
      </c>
      <c r="P1267" s="81" t="n">
        <f aca="true">RAND()</f>
        <v>0.727252084107275</v>
      </c>
      <c r="Q1267" s="82" t="n">
        <f aca="false">IF(P1267&lt;(Inputs!$E$27-Inputs!$D$27)/(Inputs!$F$27-Inputs!$D$27),Inputs!$D$27+SQRT(P1267*(Inputs!$F$27-Inputs!$D$27)*(Inputs!$E$27-Inputs!$D$27)),Inputs!$F$27-SQRT((1-P1267)*(Inputs!$F$27-Inputs!$D$27)*(Inputs!$F$27-Inputs!$E$27)))</f>
        <v>104.771586704866</v>
      </c>
      <c r="R1267" s="81" t="n">
        <f aca="true">RAND()</f>
        <v>0.323563636294683</v>
      </c>
      <c r="S1267" s="82" t="n">
        <f aca="false">IF(R1267&lt;(Inputs!$E$29-Inputs!$D$29)/(Inputs!$F$29-Inputs!$D$29),Inputs!$D$29+SQRT(R1267*(Inputs!$F$29-Inputs!$D$29)*(Inputs!$E$29-Inputs!$D$29)),Inputs!$F$29-SQRT((1-R1267)*(Inputs!$F$29-Inputs!$D$29)*(Inputs!$F$29-Inputs!$E$29)))</f>
        <v>5.62254153399274</v>
      </c>
      <c r="T1267" s="68" t="n">
        <f aca="false">Inputs!$E$9*(1+E1267)+Inputs!$E$5*C1267*(Inputs!$E$11*Inputs!$E$14*(G1267*I1267/Inputs!$E$16+(1-G1267))*K1267+Inputs!$E$23*M1267)*(1+O1267)+Inputs!$E$5*(Q1267+S1267)</f>
        <v>6258.25341127724</v>
      </c>
    </row>
    <row r="1268" customFormat="false" ht="15" hidden="false" customHeight="false" outlineLevel="0" collapsed="false">
      <c r="A1268" s="1" t="n">
        <v>1264</v>
      </c>
      <c r="B1268" s="81" t="n">
        <f aca="true">RAND()</f>
        <v>0.576981318616788</v>
      </c>
      <c r="C1268" s="82" t="n">
        <f aca="false">ROUND(IF(B1268&lt;(Inputs!$E$8-Inputs!$D$8)/(Inputs!$F$8-Inputs!$D$8),Inputs!$D$8+SQRT(B1268*(Inputs!$F$8-Inputs!$D$8)*(Inputs!$E$8-Inputs!$D$8)),Inputs!$F$8-SQRT((1-B1268)*(Inputs!$F$8-Inputs!$D$8)*(Inputs!$F$8-Inputs!$E$8))),0)</f>
        <v>25</v>
      </c>
      <c r="D1268" s="81" t="n">
        <f aca="true">RAND()</f>
        <v>0.924010633717748</v>
      </c>
      <c r="E1268" s="83" t="n">
        <f aca="false">IF(D1268&lt;(Inputs!$E$10-Inputs!$D$10)/(Inputs!$F$10-Inputs!$D$10),Inputs!$D$10+SQRT(D1268*(Inputs!$F$10-Inputs!$D$10)*(Inputs!$E$10-Inputs!$D$10)),Inputs!$F$10-SQRT((1-D1268)*(Inputs!$F$10-Inputs!$D$10)*(Inputs!$F$10-Inputs!$E$10)))</f>
        <v>0.152253995052282</v>
      </c>
      <c r="F1268" s="81" t="n">
        <f aca="true">RAND()</f>
        <v>0.925878237887123</v>
      </c>
      <c r="G1268" s="83" t="n">
        <f aca="false">IF(F1268&lt;(Inputs!$E$15-Inputs!$D$15)/(Inputs!$F$15-Inputs!$D$15),Inputs!$D$15+SQRT(F1268*(Inputs!$F$15-Inputs!$D$15)*(Inputs!$E$15-Inputs!$D$15)),Inputs!$F$15-SQRT((1-F1268)*(Inputs!$F$15-Inputs!$D$15)*(Inputs!$F$15-Inputs!$E$15)))</f>
        <v>0.761497594331555</v>
      </c>
      <c r="H1268" s="81" t="n">
        <f aca="true">RAND()</f>
        <v>0.985479943236643</v>
      </c>
      <c r="I1268" s="82" t="n">
        <f aca="false">ROUND(IF(H1268&lt;(Inputs!$E$17-Inputs!$D$17)/(Inputs!$F$17-Inputs!$D$17),Inputs!$D$17+SQRT(H1268*(Inputs!$F$17-Inputs!$D$17)*(Inputs!$E$17-Inputs!$D$17)),Inputs!$F$17-SQRT((1-H1268)*(Inputs!$F$17-Inputs!$D$17)*(Inputs!$F$17-Inputs!$E$17))),0)</f>
        <v>114</v>
      </c>
      <c r="J1268" s="81" t="n">
        <f aca="true">RAND()</f>
        <v>0.638401366379243</v>
      </c>
      <c r="K1268" s="83" t="n">
        <f aca="false">IF(J1268&lt;(Inputs!$E$18-Inputs!$D$18)/(Inputs!$F$18-Inputs!$D$18),Inputs!$D$18+SQRT(J1268*(Inputs!$F$18-Inputs!$D$18)*(Inputs!$E$18-Inputs!$D$18)),Inputs!$F$18-SQRT((1-J1268)*(Inputs!$F$18-Inputs!$D$18)*(Inputs!$F$18-Inputs!$E$18)))</f>
        <v>1.07212397451647</v>
      </c>
      <c r="L1268" s="81" t="n">
        <f aca="true">RAND()</f>
        <v>0.512638564920063</v>
      </c>
      <c r="M1268" s="83" t="n">
        <f aca="false">IF(L1268&lt;(Inputs!$E$24-Inputs!$D$24)/(Inputs!$F$24-Inputs!$D$24),Inputs!$D$24+SQRT(L1268*(Inputs!$F$24-Inputs!$D$24)*(Inputs!$E$24-Inputs!$D$24)),Inputs!$F$24-SQRT((1-L1268)*(Inputs!$F$24-Inputs!$D$24)*(Inputs!$F$24-Inputs!$E$24)))</f>
        <v>0.857995987714786</v>
      </c>
      <c r="N1268" s="81" t="n">
        <f aca="true">RAND()</f>
        <v>0.462589817352039</v>
      </c>
      <c r="O1268" s="83" t="n">
        <f aca="false">IF(N1268&lt;(Inputs!$E$26-Inputs!$D$26)/(Inputs!$F$26-Inputs!$D$26),Inputs!$D$26+SQRT(N1268*(Inputs!$F$26-Inputs!$D$26)*(Inputs!$E$26-Inputs!$D$26)),Inputs!$F$26-SQRT((1-N1268)*(Inputs!$F$26-Inputs!$D$26)*(Inputs!$F$26-Inputs!$E$26)))</f>
        <v>0.577443589955471</v>
      </c>
      <c r="P1268" s="81" t="n">
        <f aca="true">RAND()</f>
        <v>0.223512435993381</v>
      </c>
      <c r="Q1268" s="82" t="n">
        <f aca="false">IF(P1268&lt;(Inputs!$E$27-Inputs!$D$27)/(Inputs!$F$27-Inputs!$D$27),Inputs!$D$27+SQRT(P1268*(Inputs!$F$27-Inputs!$D$27)*(Inputs!$E$27-Inputs!$D$27)),Inputs!$F$27-SQRT((1-P1268)*(Inputs!$F$27-Inputs!$D$27)*(Inputs!$F$27-Inputs!$E$27)))</f>
        <v>73.638550928165</v>
      </c>
      <c r="R1268" s="81" t="n">
        <f aca="true">RAND()</f>
        <v>0.692213840229929</v>
      </c>
      <c r="S1268" s="82" t="n">
        <f aca="false">IF(R1268&lt;(Inputs!$E$29-Inputs!$D$29)/(Inputs!$F$29-Inputs!$D$29),Inputs!$D$29+SQRT(R1268*(Inputs!$F$29-Inputs!$D$29)*(Inputs!$E$29-Inputs!$D$29)),Inputs!$F$29-SQRT((1-R1268)*(Inputs!$F$29-Inputs!$D$29)*(Inputs!$F$29-Inputs!$E$29)))</f>
        <v>8.67448019763519</v>
      </c>
      <c r="T1268" s="68" t="n">
        <f aca="false">Inputs!$E$9*(1+E1268)+Inputs!$E$5*C1268*(Inputs!$E$11*Inputs!$E$14*(G1268*I1268/Inputs!$E$16+(1-G1268))*K1268+Inputs!$E$23*M1268)*(1+O1268)+Inputs!$E$5*(Q1268+S1268)</f>
        <v>6457.3425526766</v>
      </c>
    </row>
    <row r="1269" customFormat="false" ht="15" hidden="false" customHeight="false" outlineLevel="0" collapsed="false">
      <c r="A1269" s="1" t="n">
        <v>1265</v>
      </c>
      <c r="B1269" s="81" t="n">
        <f aca="true">RAND()</f>
        <v>0.419751889448941</v>
      </c>
      <c r="C1269" s="82" t="n">
        <f aca="false">ROUND(IF(B1269&lt;(Inputs!$E$8-Inputs!$D$8)/(Inputs!$F$8-Inputs!$D$8),Inputs!$D$8+SQRT(B1269*(Inputs!$F$8-Inputs!$D$8)*(Inputs!$E$8-Inputs!$D$8)),Inputs!$F$8-SQRT((1-B1269)*(Inputs!$F$8-Inputs!$D$8)*(Inputs!$F$8-Inputs!$E$8))),0)</f>
        <v>25</v>
      </c>
      <c r="D1269" s="81" t="n">
        <f aca="true">RAND()</f>
        <v>0.715747550258517</v>
      </c>
      <c r="E1269" s="83" t="n">
        <f aca="false">IF(D1269&lt;(Inputs!$E$10-Inputs!$D$10)/(Inputs!$F$10-Inputs!$D$10),Inputs!$D$10+SQRT(D1269*(Inputs!$F$10-Inputs!$D$10)*(Inputs!$E$10-Inputs!$D$10)),Inputs!$F$10-SQRT((1-D1269)*(Inputs!$F$10-Inputs!$D$10)*(Inputs!$F$10-Inputs!$E$10)))</f>
        <v>0.107655138246655</v>
      </c>
      <c r="F1269" s="81" t="n">
        <f aca="true">RAND()</f>
        <v>0.639329594594718</v>
      </c>
      <c r="G1269" s="83" t="n">
        <f aca="false">IF(F1269&lt;(Inputs!$E$15-Inputs!$D$15)/(Inputs!$F$15-Inputs!$D$15),Inputs!$D$15+SQRT(F1269*(Inputs!$F$15-Inputs!$D$15)*(Inputs!$E$15-Inputs!$D$15)),Inputs!$F$15-SQRT((1-F1269)*(Inputs!$F$15-Inputs!$D$15)*(Inputs!$F$15-Inputs!$E$15)))</f>
        <v>0.715068214971628</v>
      </c>
      <c r="H1269" s="81" t="n">
        <f aca="true">RAND()</f>
        <v>0.800239381045101</v>
      </c>
      <c r="I1269" s="82" t="n">
        <f aca="false">ROUND(IF(H1269&lt;(Inputs!$E$17-Inputs!$D$17)/(Inputs!$F$17-Inputs!$D$17),Inputs!$D$17+SQRT(H1269*(Inputs!$F$17-Inputs!$D$17)*(Inputs!$E$17-Inputs!$D$17)),Inputs!$F$17-SQRT((1-H1269)*(Inputs!$F$17-Inputs!$D$17)*(Inputs!$F$17-Inputs!$E$17))),0)</f>
        <v>110</v>
      </c>
      <c r="J1269" s="81" t="n">
        <f aca="true">RAND()</f>
        <v>0.416987270245812</v>
      </c>
      <c r="K1269" s="83" t="n">
        <f aca="false">IF(J1269&lt;(Inputs!$E$18-Inputs!$D$18)/(Inputs!$F$18-Inputs!$D$18),Inputs!$D$18+SQRT(J1269*(Inputs!$F$18-Inputs!$D$18)*(Inputs!$E$18-Inputs!$D$18)),Inputs!$F$18-SQRT((1-J1269)*(Inputs!$F$18-Inputs!$D$18)*(Inputs!$F$18-Inputs!$E$18)))</f>
        <v>1.02413806462024</v>
      </c>
      <c r="L1269" s="81" t="n">
        <f aca="true">RAND()</f>
        <v>0.0756328652520355</v>
      </c>
      <c r="M1269" s="83" t="n">
        <f aca="false">IF(L1269&lt;(Inputs!$E$24-Inputs!$D$24)/(Inputs!$F$24-Inputs!$D$24),Inputs!$D$24+SQRT(L1269*(Inputs!$F$24-Inputs!$D$24)*(Inputs!$E$24-Inputs!$D$24)),Inputs!$F$24-SQRT((1-L1269)*(Inputs!$F$24-Inputs!$D$24)*(Inputs!$F$24-Inputs!$E$24)))</f>
        <v>0.695267748111542</v>
      </c>
      <c r="N1269" s="81" t="n">
        <f aca="true">RAND()</f>
        <v>0.203869315431963</v>
      </c>
      <c r="O1269" s="83" t="n">
        <f aca="false">IF(N1269&lt;(Inputs!$E$26-Inputs!$D$26)/(Inputs!$F$26-Inputs!$D$26),Inputs!$D$26+SQRT(N1269*(Inputs!$F$26-Inputs!$D$26)*(Inputs!$E$26-Inputs!$D$26)),Inputs!$F$26-SQRT((1-N1269)*(Inputs!$F$26-Inputs!$D$26)*(Inputs!$F$26-Inputs!$E$26)))</f>
        <v>0.484184293814317</v>
      </c>
      <c r="P1269" s="81" t="n">
        <f aca="true">RAND()</f>
        <v>0.360760763959636</v>
      </c>
      <c r="Q1269" s="82" t="n">
        <f aca="false">IF(P1269&lt;(Inputs!$E$27-Inputs!$D$27)/(Inputs!$F$27-Inputs!$D$27),Inputs!$D$27+SQRT(P1269*(Inputs!$F$27-Inputs!$D$27)*(Inputs!$E$27-Inputs!$D$27)),Inputs!$F$27-SQRT((1-P1269)*(Inputs!$F$27-Inputs!$D$27)*(Inputs!$F$27-Inputs!$E$27)))</f>
        <v>80.7591574986069</v>
      </c>
      <c r="R1269" s="81" t="n">
        <f aca="true">RAND()</f>
        <v>0.168974368987323</v>
      </c>
      <c r="S1269" s="82" t="n">
        <f aca="false">IF(R1269&lt;(Inputs!$E$29-Inputs!$D$29)/(Inputs!$F$29-Inputs!$D$29),Inputs!$D$29+SQRT(R1269*(Inputs!$F$29-Inputs!$D$29)*(Inputs!$E$29-Inputs!$D$29)),Inputs!$F$29-SQRT((1-R1269)*(Inputs!$F$29-Inputs!$D$29)*(Inputs!$F$29-Inputs!$E$29)))</f>
        <v>4.56709960665837</v>
      </c>
      <c r="T1269" s="68" t="n">
        <f aca="false">Inputs!$E$9*(1+E1269)+Inputs!$E$5*C1269*(Inputs!$E$11*Inputs!$E$14*(G1269*I1269/Inputs!$E$16+(1-G1269))*K1269+Inputs!$E$23*M1269)*(1+O1269)+Inputs!$E$5*(Q1269+S1269)</f>
        <v>5861.3204843913</v>
      </c>
    </row>
    <row r="1270" customFormat="false" ht="15" hidden="false" customHeight="false" outlineLevel="0" collapsed="false">
      <c r="A1270" s="1" t="n">
        <v>1266</v>
      </c>
      <c r="B1270" s="81" t="n">
        <f aca="true">RAND()</f>
        <v>0.641622703311579</v>
      </c>
      <c r="C1270" s="82" t="n">
        <f aca="false">ROUND(IF(B1270&lt;(Inputs!$E$8-Inputs!$D$8)/(Inputs!$F$8-Inputs!$D$8),Inputs!$D$8+SQRT(B1270*(Inputs!$F$8-Inputs!$D$8)*(Inputs!$E$8-Inputs!$D$8)),Inputs!$F$8-SQRT((1-B1270)*(Inputs!$F$8-Inputs!$D$8)*(Inputs!$F$8-Inputs!$E$8))),0)</f>
        <v>26</v>
      </c>
      <c r="D1270" s="81" t="n">
        <f aca="true">RAND()</f>
        <v>0.896198713932358</v>
      </c>
      <c r="E1270" s="83" t="n">
        <f aca="false">IF(D1270&lt;(Inputs!$E$10-Inputs!$D$10)/(Inputs!$F$10-Inputs!$D$10),Inputs!$D$10+SQRT(D1270*(Inputs!$F$10-Inputs!$D$10)*(Inputs!$E$10-Inputs!$D$10)),Inputs!$F$10-SQRT((1-D1270)*(Inputs!$F$10-Inputs!$D$10)*(Inputs!$F$10-Inputs!$E$10)))</f>
        <v>0.144196428590732</v>
      </c>
      <c r="F1270" s="81" t="n">
        <f aca="true">RAND()</f>
        <v>0.054185319626198</v>
      </c>
      <c r="G1270" s="83" t="n">
        <f aca="false">IF(F1270&lt;(Inputs!$E$15-Inputs!$D$15)/(Inputs!$F$15-Inputs!$D$15),Inputs!$D$15+SQRT(F1270*(Inputs!$F$15-Inputs!$D$15)*(Inputs!$E$15-Inputs!$D$15)),Inputs!$F$15-SQRT((1-F1270)*(Inputs!$F$15-Inputs!$D$15)*(Inputs!$F$15-Inputs!$E$15)))</f>
        <v>0.632919696118342</v>
      </c>
      <c r="H1270" s="81" t="n">
        <f aca="true">RAND()</f>
        <v>0.778355583618116</v>
      </c>
      <c r="I1270" s="82" t="n">
        <f aca="false">ROUND(IF(H1270&lt;(Inputs!$E$17-Inputs!$D$17)/(Inputs!$F$17-Inputs!$D$17),Inputs!$D$17+SQRT(H1270*(Inputs!$F$17-Inputs!$D$17)*(Inputs!$E$17-Inputs!$D$17)),Inputs!$F$17-SQRT((1-H1270)*(Inputs!$F$17-Inputs!$D$17)*(Inputs!$F$17-Inputs!$E$17))),0)</f>
        <v>109</v>
      </c>
      <c r="J1270" s="81" t="n">
        <f aca="true">RAND()</f>
        <v>0.295567849505815</v>
      </c>
      <c r="K1270" s="83" t="n">
        <f aca="false">IF(J1270&lt;(Inputs!$E$18-Inputs!$D$18)/(Inputs!$F$18-Inputs!$D$18),Inputs!$D$18+SQRT(J1270*(Inputs!$F$18-Inputs!$D$18)*(Inputs!$E$18-Inputs!$D$18)),Inputs!$F$18-SQRT((1-J1270)*(Inputs!$F$18-Inputs!$D$18)*(Inputs!$F$18-Inputs!$E$18)))</f>
        <v>1.0017303619686</v>
      </c>
      <c r="L1270" s="81" t="n">
        <f aca="true">RAND()</f>
        <v>0.831764239803126</v>
      </c>
      <c r="M1270" s="83" t="n">
        <f aca="false">IF(L1270&lt;(Inputs!$E$24-Inputs!$D$24)/(Inputs!$F$24-Inputs!$D$24),Inputs!$D$24+SQRT(L1270*(Inputs!$F$24-Inputs!$D$24)*(Inputs!$E$24-Inputs!$D$24)),Inputs!$F$24-SQRT((1-L1270)*(Inputs!$F$24-Inputs!$D$24)*(Inputs!$F$24-Inputs!$E$24)))</f>
        <v>0.999060749361281</v>
      </c>
      <c r="N1270" s="81" t="n">
        <f aca="true">RAND()</f>
        <v>0.037982415175956</v>
      </c>
      <c r="O1270" s="83" t="n">
        <f aca="false">IF(N1270&lt;(Inputs!$E$26-Inputs!$D$26)/(Inputs!$F$26-Inputs!$D$26),Inputs!$D$26+SQRT(N1270*(Inputs!$F$26-Inputs!$D$26)*(Inputs!$E$26-Inputs!$D$26)),Inputs!$F$26-SQRT((1-N1270)*(Inputs!$F$26-Inputs!$D$26)*(Inputs!$F$26-Inputs!$E$26)))</f>
        <v>0.379500150221739</v>
      </c>
      <c r="P1270" s="81" t="n">
        <f aca="true">RAND()</f>
        <v>0.531190258565419</v>
      </c>
      <c r="Q1270" s="82" t="n">
        <f aca="false">IF(P1270&lt;(Inputs!$E$27-Inputs!$D$27)/(Inputs!$F$27-Inputs!$D$27),Inputs!$D$27+SQRT(P1270*(Inputs!$F$27-Inputs!$D$27)*(Inputs!$E$27-Inputs!$D$27)),Inputs!$F$27-SQRT((1-P1270)*(Inputs!$F$27-Inputs!$D$27)*(Inputs!$F$27-Inputs!$E$27)))</f>
        <v>90.7035156121431</v>
      </c>
      <c r="R1270" s="81" t="n">
        <f aca="true">RAND()</f>
        <v>0.973092375040328</v>
      </c>
      <c r="S1270" s="82" t="n">
        <f aca="false">IF(R1270&lt;(Inputs!$E$29-Inputs!$D$29)/(Inputs!$F$29-Inputs!$D$29),Inputs!$D$29+SQRT(R1270*(Inputs!$F$29-Inputs!$D$29)*(Inputs!$E$29-Inputs!$D$29)),Inputs!$F$29-SQRT((1-R1270)*(Inputs!$F$29-Inputs!$D$29)*(Inputs!$F$29-Inputs!$E$29)))</f>
        <v>13.1297082460864</v>
      </c>
      <c r="T1270" s="68" t="n">
        <f aca="false">Inputs!$E$9*(1+E1270)+Inputs!$E$5*C1270*(Inputs!$E$11*Inputs!$E$14*(G1270*I1270/Inputs!$E$16+(1-G1270))*K1270+Inputs!$E$23*M1270)*(1+O1270)+Inputs!$E$5*(Q1270+S1270)</f>
        <v>6361.45059104467</v>
      </c>
    </row>
    <row r="1271" customFormat="false" ht="15" hidden="false" customHeight="false" outlineLevel="0" collapsed="false">
      <c r="A1271" s="1" t="n">
        <v>1267</v>
      </c>
      <c r="B1271" s="81" t="n">
        <f aca="true">RAND()</f>
        <v>0.922697586558133</v>
      </c>
      <c r="C1271" s="82" t="n">
        <f aca="false">ROUND(IF(B1271&lt;(Inputs!$E$8-Inputs!$D$8)/(Inputs!$F$8-Inputs!$D$8),Inputs!$D$8+SQRT(B1271*(Inputs!$F$8-Inputs!$D$8)*(Inputs!$E$8-Inputs!$D$8)),Inputs!$F$8-SQRT((1-B1271)*(Inputs!$F$8-Inputs!$D$8)*(Inputs!$F$8-Inputs!$E$8))),0)</f>
        <v>28</v>
      </c>
      <c r="D1271" s="81" t="n">
        <f aca="true">RAND()</f>
        <v>0.588636534138427</v>
      </c>
      <c r="E1271" s="83" t="n">
        <f aca="false">IF(D1271&lt;(Inputs!$E$10-Inputs!$D$10)/(Inputs!$F$10-Inputs!$D$10),Inputs!$D$10+SQRT(D1271*(Inputs!$F$10-Inputs!$D$10)*(Inputs!$E$10-Inputs!$D$10)),Inputs!$F$10-SQRT((1-D1271)*(Inputs!$F$10-Inputs!$D$10)*(Inputs!$F$10-Inputs!$E$10)))</f>
        <v>0.0889103786312727</v>
      </c>
      <c r="F1271" s="81" t="n">
        <f aca="true">RAND()</f>
        <v>0.516408395386017</v>
      </c>
      <c r="G1271" s="83" t="n">
        <f aca="false">IF(F1271&lt;(Inputs!$E$15-Inputs!$D$15)/(Inputs!$F$15-Inputs!$D$15),Inputs!$D$15+SQRT(F1271*(Inputs!$F$15-Inputs!$D$15)*(Inputs!$E$15-Inputs!$D$15)),Inputs!$F$15-SQRT((1-F1271)*(Inputs!$F$15-Inputs!$D$15)*(Inputs!$F$15-Inputs!$E$15)))</f>
        <v>0.701654526833821</v>
      </c>
      <c r="H1271" s="81" t="n">
        <f aca="true">RAND()</f>
        <v>0.927474470294589</v>
      </c>
      <c r="I1271" s="82" t="n">
        <f aca="false">ROUND(IF(H1271&lt;(Inputs!$E$17-Inputs!$D$17)/(Inputs!$F$17-Inputs!$D$17),Inputs!$D$17+SQRT(H1271*(Inputs!$F$17-Inputs!$D$17)*(Inputs!$E$17-Inputs!$D$17)),Inputs!$F$17-SQRT((1-H1271)*(Inputs!$F$17-Inputs!$D$17)*(Inputs!$F$17-Inputs!$E$17))),0)</f>
        <v>112</v>
      </c>
      <c r="J1271" s="81" t="n">
        <f aca="true">RAND()</f>
        <v>0.720231667095315</v>
      </c>
      <c r="K1271" s="83" t="n">
        <f aca="false">IF(J1271&lt;(Inputs!$E$18-Inputs!$D$18)/(Inputs!$F$18-Inputs!$D$18),Inputs!$D$18+SQRT(J1271*(Inputs!$F$18-Inputs!$D$18)*(Inputs!$E$18-Inputs!$D$18)),Inputs!$F$18-SQRT((1-J1271)*(Inputs!$F$18-Inputs!$D$18)*(Inputs!$F$18-Inputs!$E$18)))</f>
        <v>1.09354000789608</v>
      </c>
      <c r="L1271" s="81" t="n">
        <f aca="true">RAND()</f>
        <v>0.0735123461268726</v>
      </c>
      <c r="M1271" s="83" t="n">
        <f aca="false">IF(L1271&lt;(Inputs!$E$24-Inputs!$D$24)/(Inputs!$F$24-Inputs!$D$24),Inputs!$D$24+SQRT(L1271*(Inputs!$F$24-Inputs!$D$24)*(Inputs!$E$24-Inputs!$D$24)),Inputs!$F$24-SQRT((1-L1271)*(Inputs!$F$24-Inputs!$D$24)*(Inputs!$F$24-Inputs!$E$24)))</f>
        <v>0.693922742374915</v>
      </c>
      <c r="N1271" s="81" t="n">
        <f aca="true">RAND()</f>
        <v>0.575774115769023</v>
      </c>
      <c r="O1271" s="83" t="n">
        <f aca="false">IF(N1271&lt;(Inputs!$E$26-Inputs!$D$26)/(Inputs!$F$26-Inputs!$D$26),Inputs!$D$26+SQRT(N1271*(Inputs!$F$26-Inputs!$D$26)*(Inputs!$E$26-Inputs!$D$26)),Inputs!$F$26-SQRT((1-N1271)*(Inputs!$F$26-Inputs!$D$26)*(Inputs!$F$26-Inputs!$E$26)))</f>
        <v>0.609529987018973</v>
      </c>
      <c r="P1271" s="81" t="n">
        <f aca="true">RAND()</f>
        <v>0.33845419519367</v>
      </c>
      <c r="Q1271" s="82" t="n">
        <f aca="false">IF(P1271&lt;(Inputs!$E$27-Inputs!$D$27)/(Inputs!$F$27-Inputs!$D$27),Inputs!$D$27+SQRT(P1271*(Inputs!$F$27-Inputs!$D$27)*(Inputs!$E$27-Inputs!$D$27)),Inputs!$F$27-SQRT((1-P1271)*(Inputs!$F$27-Inputs!$D$27)*(Inputs!$F$27-Inputs!$E$27)))</f>
        <v>79.5614201161929</v>
      </c>
      <c r="R1271" s="81" t="n">
        <f aca="true">RAND()</f>
        <v>0.788979609579048</v>
      </c>
      <c r="S1271" s="82" t="n">
        <f aca="false">IF(R1271&lt;(Inputs!$E$29-Inputs!$D$29)/(Inputs!$F$29-Inputs!$D$29),Inputs!$D$29+SQRT(R1271*(Inputs!$F$29-Inputs!$D$29)*(Inputs!$E$29-Inputs!$D$29)),Inputs!$F$29-SQRT((1-R1271)*(Inputs!$F$29-Inputs!$D$29)*(Inputs!$F$29-Inputs!$E$29)))</f>
        <v>9.76238119421394</v>
      </c>
      <c r="T1271" s="68" t="n">
        <f aca="false">Inputs!$E$9*(1+E1271)+Inputs!$E$5*C1271*(Inputs!$E$11*Inputs!$E$14*(G1271*I1271/Inputs!$E$16+(1-G1271))*K1271+Inputs!$E$23*M1271)*(1+O1271)+Inputs!$E$5*(Q1271+S1271)</f>
        <v>6701.68809516954</v>
      </c>
    </row>
    <row r="1272" customFormat="false" ht="15" hidden="false" customHeight="false" outlineLevel="0" collapsed="false">
      <c r="A1272" s="1" t="n">
        <v>1268</v>
      </c>
      <c r="B1272" s="81" t="n">
        <f aca="true">RAND()</f>
        <v>0.0390819465815601</v>
      </c>
      <c r="C1272" s="82" t="n">
        <f aca="false">ROUND(IF(B1272&lt;(Inputs!$E$8-Inputs!$D$8)/(Inputs!$F$8-Inputs!$D$8),Inputs!$D$8+SQRT(B1272*(Inputs!$F$8-Inputs!$D$8)*(Inputs!$E$8-Inputs!$D$8)),Inputs!$F$8-SQRT((1-B1272)*(Inputs!$F$8-Inputs!$D$8)*(Inputs!$F$8-Inputs!$E$8))),0)</f>
        <v>21</v>
      </c>
      <c r="D1272" s="81" t="n">
        <f aca="true">RAND()</f>
        <v>0.450032511210478</v>
      </c>
      <c r="E1272" s="83" t="n">
        <f aca="false">IF(D1272&lt;(Inputs!$E$10-Inputs!$D$10)/(Inputs!$F$10-Inputs!$D$10),Inputs!$D$10+SQRT(D1272*(Inputs!$F$10-Inputs!$D$10)*(Inputs!$E$10-Inputs!$D$10)),Inputs!$F$10-SQRT((1-D1272)*(Inputs!$F$10-Inputs!$D$10)*(Inputs!$F$10-Inputs!$E$10)))</f>
        <v>0.0715514707609088</v>
      </c>
      <c r="F1272" s="81" t="n">
        <f aca="true">RAND()</f>
        <v>0.287676945896839</v>
      </c>
      <c r="G1272" s="83" t="n">
        <f aca="false">IF(F1272&lt;(Inputs!$E$15-Inputs!$D$15)/(Inputs!$F$15-Inputs!$D$15),Inputs!$D$15+SQRT(F1272*(Inputs!$F$15-Inputs!$D$15)*(Inputs!$E$15-Inputs!$D$15)),Inputs!$F$15-SQRT((1-F1272)*(Inputs!$F$15-Inputs!$D$15)*(Inputs!$F$15-Inputs!$E$15)))</f>
        <v>0.675852085785012</v>
      </c>
      <c r="H1272" s="81" t="n">
        <f aca="true">RAND()</f>
        <v>0.603258510560995</v>
      </c>
      <c r="I1272" s="82" t="n">
        <f aca="false">ROUND(IF(H1272&lt;(Inputs!$E$17-Inputs!$D$17)/(Inputs!$F$17-Inputs!$D$17),Inputs!$D$17+SQRT(H1272*(Inputs!$F$17-Inputs!$D$17)*(Inputs!$E$17-Inputs!$D$17)),Inputs!$F$17-SQRT((1-H1272)*(Inputs!$F$17-Inputs!$D$17)*(Inputs!$F$17-Inputs!$E$17))),0)</f>
        <v>107</v>
      </c>
      <c r="J1272" s="81" t="n">
        <f aca="true">RAND()</f>
        <v>0.487549119006926</v>
      </c>
      <c r="K1272" s="83" t="n">
        <f aca="false">IF(J1272&lt;(Inputs!$E$18-Inputs!$D$18)/(Inputs!$F$18-Inputs!$D$18),Inputs!$D$18+SQRT(J1272*(Inputs!$F$18-Inputs!$D$18)*(Inputs!$E$18-Inputs!$D$18)),Inputs!$F$18-SQRT((1-J1272)*(Inputs!$F$18-Inputs!$D$18)*(Inputs!$F$18-Inputs!$E$18)))</f>
        <v>1.03824671882851</v>
      </c>
      <c r="L1272" s="81" t="n">
        <f aca="true">RAND()</f>
        <v>0.19905324719888</v>
      </c>
      <c r="M1272" s="83" t="n">
        <f aca="false">IF(L1272&lt;(Inputs!$E$24-Inputs!$D$24)/(Inputs!$F$24-Inputs!$D$24),Inputs!$D$24+SQRT(L1272*(Inputs!$F$24-Inputs!$D$24)*(Inputs!$E$24-Inputs!$D$24)),Inputs!$F$24-SQRT((1-L1272)*(Inputs!$F$24-Inputs!$D$24)*(Inputs!$F$24-Inputs!$E$24)))</f>
        <v>0.754552223095838</v>
      </c>
      <c r="N1272" s="81" t="n">
        <f aca="true">RAND()</f>
        <v>0.182303097585667</v>
      </c>
      <c r="O1272" s="83" t="n">
        <f aca="false">IF(N1272&lt;(Inputs!$E$26-Inputs!$D$26)/(Inputs!$F$26-Inputs!$D$26),Inputs!$D$26+SQRT(N1272*(Inputs!$F$26-Inputs!$D$26)*(Inputs!$E$26-Inputs!$D$26)),Inputs!$F$26-SQRT((1-N1272)*(Inputs!$F$26-Inputs!$D$26)*(Inputs!$F$26-Inputs!$E$26)))</f>
        <v>0.474170133600038</v>
      </c>
      <c r="P1272" s="81" t="n">
        <f aca="true">RAND()</f>
        <v>0.303265463827066</v>
      </c>
      <c r="Q1272" s="82" t="n">
        <f aca="false">IF(P1272&lt;(Inputs!$E$27-Inputs!$D$27)/(Inputs!$F$27-Inputs!$D$27),Inputs!$D$27+SQRT(P1272*(Inputs!$F$27-Inputs!$D$27)*(Inputs!$E$27-Inputs!$D$27)),Inputs!$F$27-SQRT((1-P1272)*(Inputs!$F$27-Inputs!$D$27)*(Inputs!$F$27-Inputs!$E$27)))</f>
        <v>77.7123176378091</v>
      </c>
      <c r="R1272" s="81" t="n">
        <f aca="true">RAND()</f>
        <v>0.824900773459184</v>
      </c>
      <c r="S1272" s="82" t="n">
        <f aca="false">IF(R1272&lt;(Inputs!$E$29-Inputs!$D$29)/(Inputs!$F$29-Inputs!$D$29),Inputs!$D$29+SQRT(R1272*(Inputs!$F$29-Inputs!$D$29)*(Inputs!$E$29-Inputs!$D$29)),Inputs!$F$29-SQRT((1-R1272)*(Inputs!$F$29-Inputs!$D$29)*(Inputs!$F$29-Inputs!$E$29)))</f>
        <v>10.2289519547267</v>
      </c>
      <c r="T1272" s="68" t="n">
        <f aca="false">Inputs!$E$9*(1+E1272)+Inputs!$E$5*C1272*(Inputs!$E$11*Inputs!$E$14*(G1272*I1272/Inputs!$E$16+(1-G1272))*K1272+Inputs!$E$23*M1272)*(1+O1272)+Inputs!$E$5*(Q1272+S1272)</f>
        <v>5399.86265969177</v>
      </c>
    </row>
    <row r="1273" customFormat="false" ht="15" hidden="false" customHeight="false" outlineLevel="0" collapsed="false">
      <c r="A1273" s="1" t="n">
        <v>1269</v>
      </c>
      <c r="B1273" s="81" t="n">
        <f aca="true">RAND()</f>
        <v>0.434542359761612</v>
      </c>
      <c r="C1273" s="82" t="n">
        <f aca="false">ROUND(IF(B1273&lt;(Inputs!$E$8-Inputs!$D$8)/(Inputs!$F$8-Inputs!$D$8),Inputs!$D$8+SQRT(B1273*(Inputs!$F$8-Inputs!$D$8)*(Inputs!$E$8-Inputs!$D$8)),Inputs!$F$8-SQRT((1-B1273)*(Inputs!$F$8-Inputs!$D$8)*(Inputs!$F$8-Inputs!$E$8))),0)</f>
        <v>25</v>
      </c>
      <c r="D1273" s="81" t="n">
        <f aca="true">RAND()</f>
        <v>0.81956620925052</v>
      </c>
      <c r="E1273" s="83" t="n">
        <f aca="false">IF(D1273&lt;(Inputs!$E$10-Inputs!$D$10)/(Inputs!$F$10-Inputs!$D$10),Inputs!$D$10+SQRT(D1273*(Inputs!$F$10-Inputs!$D$10)*(Inputs!$E$10-Inputs!$D$10)),Inputs!$F$10-SQRT((1-D1273)*(Inputs!$F$10-Inputs!$D$10)*(Inputs!$F$10-Inputs!$E$10)))</f>
        <v>0.1264268138349</v>
      </c>
      <c r="F1273" s="81" t="n">
        <f aca="true">RAND()</f>
        <v>0.46179857296143</v>
      </c>
      <c r="G1273" s="83" t="n">
        <f aca="false">IF(F1273&lt;(Inputs!$E$15-Inputs!$D$15)/(Inputs!$F$15-Inputs!$D$15),Inputs!$D$15+SQRT(F1273*(Inputs!$F$15-Inputs!$D$15)*(Inputs!$E$15-Inputs!$D$15)),Inputs!$F$15-SQRT((1-F1273)*(Inputs!$F$15-Inputs!$D$15)*(Inputs!$F$15-Inputs!$E$15)))</f>
        <v>0.696103961724939</v>
      </c>
      <c r="H1273" s="81" t="n">
        <f aca="true">RAND()</f>
        <v>0.899477765301775</v>
      </c>
      <c r="I1273" s="82" t="n">
        <f aca="false">ROUND(IF(H1273&lt;(Inputs!$E$17-Inputs!$D$17)/(Inputs!$F$17-Inputs!$D$17),Inputs!$D$17+SQRT(H1273*(Inputs!$F$17-Inputs!$D$17)*(Inputs!$E$17-Inputs!$D$17)),Inputs!$F$17-SQRT((1-H1273)*(Inputs!$F$17-Inputs!$D$17)*(Inputs!$F$17-Inputs!$E$17))),0)</f>
        <v>111</v>
      </c>
      <c r="J1273" s="81" t="n">
        <f aca="true">RAND()</f>
        <v>0.176964205155817</v>
      </c>
      <c r="K1273" s="83" t="n">
        <f aca="false">IF(J1273&lt;(Inputs!$E$18-Inputs!$D$18)/(Inputs!$F$18-Inputs!$D$18),Inputs!$D$18+SQRT(J1273*(Inputs!$F$18-Inputs!$D$18)*(Inputs!$E$18-Inputs!$D$18)),Inputs!$F$18-SQRT((1-J1273)*(Inputs!$F$18-Inputs!$D$18)*(Inputs!$F$18-Inputs!$E$18)))</f>
        <v>0.978700363280315</v>
      </c>
      <c r="L1273" s="81" t="n">
        <f aca="true">RAND()</f>
        <v>0.222980179820628</v>
      </c>
      <c r="M1273" s="83" t="n">
        <f aca="false">IF(L1273&lt;(Inputs!$E$24-Inputs!$D$24)/(Inputs!$F$24-Inputs!$D$24),Inputs!$D$24+SQRT(L1273*(Inputs!$F$24-Inputs!$D$24)*(Inputs!$E$24-Inputs!$D$24)),Inputs!$F$24-SQRT((1-L1273)*(Inputs!$F$24-Inputs!$D$24)*(Inputs!$F$24-Inputs!$E$24)))</f>
        <v>0.76357757052382</v>
      </c>
      <c r="N1273" s="81" t="n">
        <f aca="true">RAND()</f>
        <v>0.140211505399924</v>
      </c>
      <c r="O1273" s="83" t="n">
        <f aca="false">IF(N1273&lt;(Inputs!$E$26-Inputs!$D$26)/(Inputs!$F$26-Inputs!$D$26),Inputs!$D$26+SQRT(N1273*(Inputs!$F$26-Inputs!$D$26)*(Inputs!$E$26-Inputs!$D$26)),Inputs!$F$26-SQRT((1-N1273)*(Inputs!$F$26-Inputs!$D$26)*(Inputs!$F$26-Inputs!$E$26)))</f>
        <v>0.452745522024534</v>
      </c>
      <c r="P1273" s="81" t="n">
        <f aca="true">RAND()</f>
        <v>0.637977272551283</v>
      </c>
      <c r="Q1273" s="82" t="n">
        <f aca="false">IF(P1273&lt;(Inputs!$E$27-Inputs!$D$27)/(Inputs!$F$27-Inputs!$D$27),Inputs!$D$27+SQRT(P1273*(Inputs!$F$27-Inputs!$D$27)*(Inputs!$E$27-Inputs!$D$27)),Inputs!$F$27-SQRT((1-P1273)*(Inputs!$F$27-Inputs!$D$27)*(Inputs!$F$27-Inputs!$E$27)))</f>
        <v>97.8927024701398</v>
      </c>
      <c r="R1273" s="81" t="n">
        <f aca="true">RAND()</f>
        <v>0.0681438623797466</v>
      </c>
      <c r="S1273" s="82" t="n">
        <f aca="false">IF(R1273&lt;(Inputs!$E$29-Inputs!$D$29)/(Inputs!$F$29-Inputs!$D$29),Inputs!$D$29+SQRT(R1273*(Inputs!$F$29-Inputs!$D$29)*(Inputs!$E$29-Inputs!$D$29)),Inputs!$F$29-SQRT((1-R1273)*(Inputs!$F$29-Inputs!$D$29)*(Inputs!$F$29-Inputs!$E$29)))</f>
        <v>3.63021797095055</v>
      </c>
      <c r="T1273" s="68" t="n">
        <f aca="false">Inputs!$E$9*(1+E1273)+Inputs!$E$5*C1273*(Inputs!$E$11*Inputs!$E$14*(G1273*I1273/Inputs!$E$16+(1-G1273))*K1273+Inputs!$E$23*M1273)*(1+O1273)+Inputs!$E$5*(Q1273+S1273)</f>
        <v>5949.64737445713</v>
      </c>
    </row>
    <row r="1274" customFormat="false" ht="15" hidden="false" customHeight="false" outlineLevel="0" collapsed="false">
      <c r="A1274" s="1" t="n">
        <v>1270</v>
      </c>
      <c r="B1274" s="81" t="n">
        <f aca="true">RAND()</f>
        <v>0.403143083261609</v>
      </c>
      <c r="C1274" s="82" t="n">
        <f aca="false">ROUND(IF(B1274&lt;(Inputs!$E$8-Inputs!$D$8)/(Inputs!$F$8-Inputs!$D$8),Inputs!$D$8+SQRT(B1274*(Inputs!$F$8-Inputs!$D$8)*(Inputs!$E$8-Inputs!$D$8)),Inputs!$F$8-SQRT((1-B1274)*(Inputs!$F$8-Inputs!$D$8)*(Inputs!$F$8-Inputs!$E$8))),0)</f>
        <v>24</v>
      </c>
      <c r="D1274" s="81" t="n">
        <f aca="true">RAND()</f>
        <v>0.587559658785547</v>
      </c>
      <c r="E1274" s="83" t="n">
        <f aca="false">IF(D1274&lt;(Inputs!$E$10-Inputs!$D$10)/(Inputs!$F$10-Inputs!$D$10),Inputs!$D$10+SQRT(D1274*(Inputs!$F$10-Inputs!$D$10)*(Inputs!$E$10-Inputs!$D$10)),Inputs!$F$10-SQRT((1-D1274)*(Inputs!$F$10-Inputs!$D$10)*(Inputs!$F$10-Inputs!$E$10)))</f>
        <v>0.0887650673734479</v>
      </c>
      <c r="F1274" s="81" t="n">
        <f aca="true">RAND()</f>
        <v>0.601284350340539</v>
      </c>
      <c r="G1274" s="83" t="n">
        <f aca="false">IF(F1274&lt;(Inputs!$E$15-Inputs!$D$15)/(Inputs!$F$15-Inputs!$D$15),Inputs!$D$15+SQRT(F1274*(Inputs!$F$15-Inputs!$D$15)*(Inputs!$E$15-Inputs!$D$15)),Inputs!$F$15-SQRT((1-F1274)*(Inputs!$F$15-Inputs!$D$15)*(Inputs!$F$15-Inputs!$E$15)))</f>
        <v>0.710700991085067</v>
      </c>
      <c r="H1274" s="81" t="n">
        <f aca="true">RAND()</f>
        <v>0.311437187842226</v>
      </c>
      <c r="I1274" s="82" t="n">
        <f aca="false">ROUND(IF(H1274&lt;(Inputs!$E$17-Inputs!$D$17)/(Inputs!$F$17-Inputs!$D$17),Inputs!$D$17+SQRT(H1274*(Inputs!$F$17-Inputs!$D$17)*(Inputs!$E$17-Inputs!$D$17)),Inputs!$F$17-SQRT((1-H1274)*(Inputs!$F$17-Inputs!$D$17)*(Inputs!$F$17-Inputs!$E$17))),0)</f>
        <v>105</v>
      </c>
      <c r="J1274" s="81" t="n">
        <f aca="true">RAND()</f>
        <v>0.362414476051156</v>
      </c>
      <c r="K1274" s="83" t="n">
        <f aca="false">IF(J1274&lt;(Inputs!$E$18-Inputs!$D$18)/(Inputs!$F$18-Inputs!$D$18),Inputs!$D$18+SQRT(J1274*(Inputs!$F$18-Inputs!$D$18)*(Inputs!$E$18-Inputs!$D$18)),Inputs!$F$18-SQRT((1-J1274)*(Inputs!$F$18-Inputs!$D$18)*(Inputs!$F$18-Inputs!$E$18)))</f>
        <v>1.01380361275937</v>
      </c>
      <c r="L1274" s="81" t="n">
        <f aca="true">RAND()</f>
        <v>0.0328250374713971</v>
      </c>
      <c r="M1274" s="83" t="n">
        <f aca="false">IF(L1274&lt;(Inputs!$E$24-Inputs!$D$24)/(Inputs!$F$24-Inputs!$D$24),Inputs!$D$24+SQRT(L1274*(Inputs!$F$24-Inputs!$D$24)*(Inputs!$E$24-Inputs!$D$24)),Inputs!$F$24-SQRT((1-L1274)*(Inputs!$F$24-Inputs!$D$24)*(Inputs!$F$24-Inputs!$E$24)))</f>
        <v>0.662761488960729</v>
      </c>
      <c r="N1274" s="81" t="n">
        <f aca="true">RAND()</f>
        <v>0.0898216837716116</v>
      </c>
      <c r="O1274" s="83" t="n">
        <f aca="false">IF(N1274&lt;(Inputs!$E$26-Inputs!$D$26)/(Inputs!$F$26-Inputs!$D$26),Inputs!$D$26+SQRT(N1274*(Inputs!$F$26-Inputs!$D$26)*(Inputs!$E$26-Inputs!$D$26)),Inputs!$F$26-SQRT((1-N1274)*(Inputs!$F$26-Inputs!$D$26)*(Inputs!$F$26-Inputs!$E$26)))</f>
        <v>0.42225517649407</v>
      </c>
      <c r="P1274" s="81" t="n">
        <f aca="true">RAND()</f>
        <v>0.962198278466128</v>
      </c>
      <c r="Q1274" s="82" t="n">
        <f aca="false">IF(P1274&lt;(Inputs!$E$27-Inputs!$D$27)/(Inputs!$F$27-Inputs!$D$27),Inputs!$D$27+SQRT(P1274*(Inputs!$F$27-Inputs!$D$27)*(Inputs!$E$27-Inputs!$D$27)),Inputs!$F$27-SQRT((1-P1274)*(Inputs!$F$27-Inputs!$D$27)*(Inputs!$F$27-Inputs!$E$27)))</f>
        <v>133.162158347815</v>
      </c>
      <c r="R1274" s="81" t="n">
        <f aca="true">RAND()</f>
        <v>0.759010384833292</v>
      </c>
      <c r="S1274" s="82" t="n">
        <f aca="false">IF(R1274&lt;(Inputs!$E$29-Inputs!$D$29)/(Inputs!$F$29-Inputs!$D$29),Inputs!$D$29+SQRT(R1274*(Inputs!$F$29-Inputs!$D$29)*(Inputs!$E$29-Inputs!$D$29)),Inputs!$F$29-SQRT((1-R1274)*(Inputs!$F$29-Inputs!$D$29)*(Inputs!$F$29-Inputs!$E$29)))</f>
        <v>9.40279980957693</v>
      </c>
      <c r="T1274" s="68" t="n">
        <f aca="false">Inputs!$E$9*(1+E1274)+Inputs!$E$5*C1274*(Inputs!$E$11*Inputs!$E$14*(G1274*I1274/Inputs!$E$16+(1-G1274))*K1274+Inputs!$E$23*M1274)*(1+O1274)+Inputs!$E$5*(Q1274+S1274)</f>
        <v>5760.63595760495</v>
      </c>
    </row>
    <row r="1275" customFormat="false" ht="15" hidden="false" customHeight="false" outlineLevel="0" collapsed="false">
      <c r="A1275" s="1" t="n">
        <v>1271</v>
      </c>
      <c r="B1275" s="81" t="n">
        <f aca="true">RAND()</f>
        <v>0.305087712872507</v>
      </c>
      <c r="C1275" s="82" t="n">
        <f aca="false">ROUND(IF(B1275&lt;(Inputs!$E$8-Inputs!$D$8)/(Inputs!$F$8-Inputs!$D$8),Inputs!$D$8+SQRT(B1275*(Inputs!$F$8-Inputs!$D$8)*(Inputs!$E$8-Inputs!$D$8)),Inputs!$F$8-SQRT((1-B1275)*(Inputs!$F$8-Inputs!$D$8)*(Inputs!$F$8-Inputs!$E$8))),0)</f>
        <v>24</v>
      </c>
      <c r="D1275" s="81" t="n">
        <f aca="true">RAND()</f>
        <v>0.145869930297089</v>
      </c>
      <c r="E1275" s="83" t="n">
        <f aca="false">IF(D1275&lt;(Inputs!$E$10-Inputs!$D$10)/(Inputs!$F$10-Inputs!$D$10),Inputs!$D$10+SQRT(D1275*(Inputs!$F$10-Inputs!$D$10)*(Inputs!$E$10-Inputs!$D$10)),Inputs!$F$10-SQRT((1-D1275)*(Inputs!$F$10-Inputs!$D$10)*(Inputs!$F$10-Inputs!$E$10)))</f>
        <v>0.0381929221580503</v>
      </c>
      <c r="F1275" s="81" t="n">
        <f aca="true">RAND()</f>
        <v>0.574615201864926</v>
      </c>
      <c r="G1275" s="83" t="n">
        <f aca="false">IF(F1275&lt;(Inputs!$E$15-Inputs!$D$15)/(Inputs!$F$15-Inputs!$D$15),Inputs!$D$15+SQRT(F1275*(Inputs!$F$15-Inputs!$D$15)*(Inputs!$E$15-Inputs!$D$15)),Inputs!$F$15-SQRT((1-F1275)*(Inputs!$F$15-Inputs!$D$15)*(Inputs!$F$15-Inputs!$E$15)))</f>
        <v>0.707762827652288</v>
      </c>
      <c r="H1275" s="81" t="n">
        <f aca="true">RAND()</f>
        <v>0.171072903787014</v>
      </c>
      <c r="I1275" s="82" t="n">
        <f aca="false">ROUND(IF(H1275&lt;(Inputs!$E$17-Inputs!$D$17)/(Inputs!$F$17-Inputs!$D$17),Inputs!$D$17+SQRT(H1275*(Inputs!$F$17-Inputs!$D$17)*(Inputs!$E$17-Inputs!$D$17)),Inputs!$F$17-SQRT((1-H1275)*(Inputs!$F$17-Inputs!$D$17)*(Inputs!$F$17-Inputs!$E$17))),0)</f>
        <v>104</v>
      </c>
      <c r="J1275" s="81" t="n">
        <f aca="true">RAND()</f>
        <v>0.747941557936439</v>
      </c>
      <c r="K1275" s="83" t="n">
        <f aca="false">IF(J1275&lt;(Inputs!$E$18-Inputs!$D$18)/(Inputs!$F$18-Inputs!$D$18),Inputs!$D$18+SQRT(J1275*(Inputs!$F$18-Inputs!$D$18)*(Inputs!$E$18-Inputs!$D$18)),Inputs!$F$18-SQRT((1-J1275)*(Inputs!$F$18-Inputs!$D$18)*(Inputs!$F$18-Inputs!$E$18)))</f>
        <v>1.10149035829091</v>
      </c>
      <c r="L1275" s="81" t="n">
        <f aca="true">RAND()</f>
        <v>0.120621939570493</v>
      </c>
      <c r="M1275" s="83" t="n">
        <f aca="false">IF(L1275&lt;(Inputs!$E$24-Inputs!$D$24)/(Inputs!$F$24-Inputs!$D$24),Inputs!$D$24+SQRT(L1275*(Inputs!$F$24-Inputs!$D$24)*(Inputs!$E$24-Inputs!$D$24)),Inputs!$F$24-SQRT((1-L1275)*(Inputs!$F$24-Inputs!$D$24)*(Inputs!$F$24-Inputs!$E$24)))</f>
        <v>0.720310567900161</v>
      </c>
      <c r="N1275" s="81" t="n">
        <f aca="true">RAND()</f>
        <v>0.201785492573554</v>
      </c>
      <c r="O1275" s="83" t="n">
        <f aca="false">IF(N1275&lt;(Inputs!$E$26-Inputs!$D$26)/(Inputs!$F$26-Inputs!$D$26),Inputs!$D$26+SQRT(N1275*(Inputs!$F$26-Inputs!$D$26)*(Inputs!$E$26-Inputs!$D$26)),Inputs!$F$26-SQRT((1-N1275)*(Inputs!$F$26-Inputs!$D$26)*(Inputs!$F$26-Inputs!$E$26)))</f>
        <v>0.483240568554672</v>
      </c>
      <c r="P1275" s="81" t="n">
        <f aca="true">RAND()</f>
        <v>0.563535235754077</v>
      </c>
      <c r="Q1275" s="82" t="n">
        <f aca="false">IF(P1275&lt;(Inputs!$E$27-Inputs!$D$27)/(Inputs!$F$27-Inputs!$D$27),Inputs!$D$27+SQRT(P1275*(Inputs!$F$27-Inputs!$D$27)*(Inputs!$E$27-Inputs!$D$27)),Inputs!$F$27-SQRT((1-P1275)*(Inputs!$F$27-Inputs!$D$27)*(Inputs!$F$27-Inputs!$E$27)))</f>
        <v>92.7856160406806</v>
      </c>
      <c r="R1275" s="81" t="n">
        <f aca="true">RAND()</f>
        <v>0.303680374018905</v>
      </c>
      <c r="S1275" s="82" t="n">
        <f aca="false">IF(R1275&lt;(Inputs!$E$29-Inputs!$D$29)/(Inputs!$F$29-Inputs!$D$29),Inputs!$D$29+SQRT(R1275*(Inputs!$F$29-Inputs!$D$29)*(Inputs!$E$29-Inputs!$D$29)),Inputs!$F$29-SQRT((1-R1275)*(Inputs!$F$29-Inputs!$D$29)*(Inputs!$F$29-Inputs!$E$29)))</f>
        <v>5.48571855695123</v>
      </c>
      <c r="T1275" s="68" t="n">
        <f aca="false">Inputs!$E$9*(1+E1275)+Inputs!$E$5*C1275*(Inputs!$E$11*Inputs!$E$14*(G1275*I1275/Inputs!$E$16+(1-G1275))*K1275+Inputs!$E$23*M1275)*(1+O1275)+Inputs!$E$5*(Q1275+S1275)</f>
        <v>5773.47965795303</v>
      </c>
    </row>
    <row r="1276" customFormat="false" ht="15" hidden="false" customHeight="false" outlineLevel="0" collapsed="false">
      <c r="A1276" s="1" t="n">
        <v>1272</v>
      </c>
      <c r="B1276" s="81" t="n">
        <f aca="true">RAND()</f>
        <v>0.473308952055993</v>
      </c>
      <c r="C1276" s="82" t="n">
        <f aca="false">ROUND(IF(B1276&lt;(Inputs!$E$8-Inputs!$D$8)/(Inputs!$F$8-Inputs!$D$8),Inputs!$D$8+SQRT(B1276*(Inputs!$F$8-Inputs!$D$8)*(Inputs!$E$8-Inputs!$D$8)),Inputs!$F$8-SQRT((1-B1276)*(Inputs!$F$8-Inputs!$D$8)*(Inputs!$F$8-Inputs!$E$8))),0)</f>
        <v>25</v>
      </c>
      <c r="D1276" s="81" t="n">
        <f aca="true">RAND()</f>
        <v>0.843632658621373</v>
      </c>
      <c r="E1276" s="83" t="n">
        <f aca="false">IF(D1276&lt;(Inputs!$E$10-Inputs!$D$10)/(Inputs!$F$10-Inputs!$D$10),Inputs!$D$10+SQRT(D1276*(Inputs!$F$10-Inputs!$D$10)*(Inputs!$E$10-Inputs!$D$10)),Inputs!$F$10-SQRT((1-D1276)*(Inputs!$F$10-Inputs!$D$10)*(Inputs!$F$10-Inputs!$E$10)))</f>
        <v>0.13150897692866</v>
      </c>
      <c r="F1276" s="81" t="n">
        <f aca="true">RAND()</f>
        <v>0.918658070523023</v>
      </c>
      <c r="G1276" s="83" t="n">
        <f aca="false">IF(F1276&lt;(Inputs!$E$15-Inputs!$D$15)/(Inputs!$F$15-Inputs!$D$15),Inputs!$D$15+SQRT(F1276*(Inputs!$F$15-Inputs!$D$15)*(Inputs!$E$15-Inputs!$D$15)),Inputs!$F$15-SQRT((1-F1276)*(Inputs!$F$15-Inputs!$D$15)*(Inputs!$F$15-Inputs!$E$15)))</f>
        <v>0.759665912808897</v>
      </c>
      <c r="H1276" s="81" t="n">
        <f aca="true">RAND()</f>
        <v>0.876623384608618</v>
      </c>
      <c r="I1276" s="82" t="n">
        <f aca="false">ROUND(IF(H1276&lt;(Inputs!$E$17-Inputs!$D$17)/(Inputs!$F$17-Inputs!$D$17),Inputs!$D$17+SQRT(H1276*(Inputs!$F$17-Inputs!$D$17)*(Inputs!$E$17-Inputs!$D$17)),Inputs!$F$17-SQRT((1-H1276)*(Inputs!$F$17-Inputs!$D$17)*(Inputs!$F$17-Inputs!$E$17))),0)</f>
        <v>111</v>
      </c>
      <c r="J1276" s="81" t="n">
        <f aca="true">RAND()</f>
        <v>0.209148220541615</v>
      </c>
      <c r="K1276" s="83" t="n">
        <f aca="false">IF(J1276&lt;(Inputs!$E$18-Inputs!$D$18)/(Inputs!$F$18-Inputs!$D$18),Inputs!$D$18+SQRT(J1276*(Inputs!$F$18-Inputs!$D$18)*(Inputs!$E$18-Inputs!$D$18)),Inputs!$F$18-SQRT((1-J1276)*(Inputs!$F$18-Inputs!$D$18)*(Inputs!$F$18-Inputs!$E$18)))</f>
        <v>0.985558095578131</v>
      </c>
      <c r="L1276" s="81" t="n">
        <f aca="true">RAND()</f>
        <v>0.179404741928419</v>
      </c>
      <c r="M1276" s="83" t="n">
        <f aca="false">IF(L1276&lt;(Inputs!$E$24-Inputs!$D$24)/(Inputs!$F$24-Inputs!$D$24),Inputs!$D$24+SQRT(L1276*(Inputs!$F$24-Inputs!$D$24)*(Inputs!$E$24-Inputs!$D$24)),Inputs!$F$24-SQRT((1-L1276)*(Inputs!$F$24-Inputs!$D$24)*(Inputs!$F$24-Inputs!$E$24)))</f>
        <v>0.746726170233569</v>
      </c>
      <c r="N1276" s="81" t="n">
        <f aca="true">RAND()</f>
        <v>0.726760280720455</v>
      </c>
      <c r="O1276" s="83" t="n">
        <f aca="false">IF(N1276&lt;(Inputs!$E$26-Inputs!$D$26)/(Inputs!$F$26-Inputs!$D$26),Inputs!$D$26+SQRT(N1276*(Inputs!$F$26-Inputs!$D$26)*(Inputs!$E$26-Inputs!$D$26)),Inputs!$F$26-SQRT((1-N1276)*(Inputs!$F$26-Inputs!$D$26)*(Inputs!$F$26-Inputs!$E$26)))</f>
        <v>0.651426779098599</v>
      </c>
      <c r="P1276" s="81" t="n">
        <f aca="true">RAND()</f>
        <v>0.182662402326436</v>
      </c>
      <c r="Q1276" s="82" t="n">
        <f aca="false">IF(P1276&lt;(Inputs!$E$27-Inputs!$D$27)/(Inputs!$F$27-Inputs!$D$27),Inputs!$D$27+SQRT(P1276*(Inputs!$F$27-Inputs!$D$27)*(Inputs!$E$27-Inputs!$D$27)),Inputs!$F$27-SQRT((1-P1276)*(Inputs!$F$27-Inputs!$D$27)*(Inputs!$F$27-Inputs!$E$27)))</f>
        <v>71.3695111272132</v>
      </c>
      <c r="R1276" s="81" t="n">
        <f aca="true">RAND()</f>
        <v>0.947728488947542</v>
      </c>
      <c r="S1276" s="82" t="n">
        <f aca="false">IF(R1276&lt;(Inputs!$E$29-Inputs!$D$29)/(Inputs!$F$29-Inputs!$D$29),Inputs!$D$29+SQRT(R1276*(Inputs!$F$29-Inputs!$D$29)*(Inputs!$E$29-Inputs!$D$29)),Inputs!$F$29-SQRT((1-R1276)*(Inputs!$F$29-Inputs!$D$29)*(Inputs!$F$29-Inputs!$E$29)))</f>
        <v>12.3932210609989</v>
      </c>
      <c r="T1276" s="68" t="n">
        <f aca="false">Inputs!$E$9*(1+E1276)+Inputs!$E$5*C1276*(Inputs!$E$11*Inputs!$E$14*(G1276*I1276/Inputs!$E$16+(1-G1276))*K1276+Inputs!$E$23*M1276)*(1+O1276)+Inputs!$E$5*(Q1276+S1276)</f>
        <v>6188.63564275406</v>
      </c>
    </row>
    <row r="1277" customFormat="false" ht="15" hidden="false" customHeight="false" outlineLevel="0" collapsed="false">
      <c r="A1277" s="1" t="n">
        <v>1273</v>
      </c>
      <c r="B1277" s="81" t="n">
        <f aca="true">RAND()</f>
        <v>0.26655049724151</v>
      </c>
      <c r="C1277" s="82" t="n">
        <f aca="false">ROUND(IF(B1277&lt;(Inputs!$E$8-Inputs!$D$8)/(Inputs!$F$8-Inputs!$D$8),Inputs!$D$8+SQRT(B1277*(Inputs!$F$8-Inputs!$D$8)*(Inputs!$E$8-Inputs!$D$8)),Inputs!$F$8-SQRT((1-B1277)*(Inputs!$F$8-Inputs!$D$8)*(Inputs!$F$8-Inputs!$E$8))),0)</f>
        <v>24</v>
      </c>
      <c r="D1277" s="81" t="n">
        <f aca="true">RAND()</f>
        <v>0.0910777679788507</v>
      </c>
      <c r="E1277" s="83" t="n">
        <f aca="false">IF(D1277&lt;(Inputs!$E$10-Inputs!$D$10)/(Inputs!$F$10-Inputs!$D$10),Inputs!$D$10+SQRT(D1277*(Inputs!$F$10-Inputs!$D$10)*(Inputs!$E$10-Inputs!$D$10)),Inputs!$F$10-SQRT((1-D1277)*(Inputs!$F$10-Inputs!$D$10)*(Inputs!$F$10-Inputs!$E$10)))</f>
        <v>0.0301790934222436</v>
      </c>
      <c r="F1277" s="81" t="n">
        <f aca="true">RAND()</f>
        <v>0.601101467287936</v>
      </c>
      <c r="G1277" s="83" t="n">
        <f aca="false">IF(F1277&lt;(Inputs!$E$15-Inputs!$D$15)/(Inputs!$F$15-Inputs!$D$15),Inputs!$D$15+SQRT(F1277*(Inputs!$F$15-Inputs!$D$15)*(Inputs!$E$15-Inputs!$D$15)),Inputs!$F$15-SQRT((1-F1277)*(Inputs!$F$15-Inputs!$D$15)*(Inputs!$F$15-Inputs!$E$15)))</f>
        <v>0.710680513580511</v>
      </c>
      <c r="H1277" s="81" t="n">
        <f aca="true">RAND()</f>
        <v>0.67586326248049</v>
      </c>
      <c r="I1277" s="82" t="n">
        <f aca="false">ROUND(IF(H1277&lt;(Inputs!$E$17-Inputs!$D$17)/(Inputs!$F$17-Inputs!$D$17),Inputs!$D$17+SQRT(H1277*(Inputs!$F$17-Inputs!$D$17)*(Inputs!$E$17-Inputs!$D$17)),Inputs!$F$17-SQRT((1-H1277)*(Inputs!$F$17-Inputs!$D$17)*(Inputs!$F$17-Inputs!$E$17))),0)</f>
        <v>108</v>
      </c>
      <c r="J1277" s="81" t="n">
        <f aca="true">RAND()</f>
        <v>0.246233914823093</v>
      </c>
      <c r="K1277" s="83" t="n">
        <f aca="false">IF(J1277&lt;(Inputs!$E$18-Inputs!$D$18)/(Inputs!$F$18-Inputs!$D$18),Inputs!$D$18+SQRT(J1277*(Inputs!$F$18-Inputs!$D$18)*(Inputs!$E$18-Inputs!$D$18)),Inputs!$F$18-SQRT((1-J1277)*(Inputs!$F$18-Inputs!$D$18)*(Inputs!$F$18-Inputs!$E$18)))</f>
        <v>0.99283419100099</v>
      </c>
      <c r="L1277" s="81" t="n">
        <f aca="true">RAND()</f>
        <v>0.847627253675365</v>
      </c>
      <c r="M1277" s="83" t="n">
        <f aca="false">IF(L1277&lt;(Inputs!$E$24-Inputs!$D$24)/(Inputs!$F$24-Inputs!$D$24),Inputs!$D$24+SQRT(L1277*(Inputs!$F$24-Inputs!$D$24)*(Inputs!$E$24-Inputs!$D$24)),Inputs!$F$24-SQRT((1-L1277)*(Inputs!$F$24-Inputs!$D$24)*(Inputs!$F$24-Inputs!$E$24)))</f>
        <v>1.0087685718353</v>
      </c>
      <c r="N1277" s="81" t="n">
        <f aca="true">RAND()</f>
        <v>0.245927603752593</v>
      </c>
      <c r="O1277" s="83" t="n">
        <f aca="false">IF(N1277&lt;(Inputs!$E$26-Inputs!$D$26)/(Inputs!$F$26-Inputs!$D$26),Inputs!$D$26+SQRT(N1277*(Inputs!$F$26-Inputs!$D$26)*(Inputs!$E$26-Inputs!$D$26)),Inputs!$F$26-SQRT((1-N1277)*(Inputs!$F$26-Inputs!$D$26)*(Inputs!$F$26-Inputs!$E$26)))</f>
        <v>0.50229274150209</v>
      </c>
      <c r="P1277" s="81" t="n">
        <f aca="true">RAND()</f>
        <v>0.692604749021304</v>
      </c>
      <c r="Q1277" s="82" t="n">
        <f aca="false">IF(P1277&lt;(Inputs!$E$27-Inputs!$D$27)/(Inputs!$F$27-Inputs!$D$27),Inputs!$D$27+SQRT(P1277*(Inputs!$F$27-Inputs!$D$27)*(Inputs!$E$27-Inputs!$D$27)),Inputs!$F$27-SQRT((1-P1277)*(Inputs!$F$27-Inputs!$D$27)*(Inputs!$F$27-Inputs!$E$27)))</f>
        <v>101.984748440311</v>
      </c>
      <c r="R1277" s="81" t="n">
        <f aca="true">RAND()</f>
        <v>0.0407317723921359</v>
      </c>
      <c r="S1277" s="82" t="n">
        <f aca="false">IF(R1277&lt;(Inputs!$E$29-Inputs!$D$29)/(Inputs!$F$29-Inputs!$D$29),Inputs!$D$29+SQRT(R1277*(Inputs!$F$29-Inputs!$D$29)*(Inputs!$E$29-Inputs!$D$29)),Inputs!$F$29-SQRT((1-R1277)*(Inputs!$F$29-Inputs!$D$29)*(Inputs!$F$29-Inputs!$E$29)))</f>
        <v>3.26037261287815</v>
      </c>
      <c r="T1277" s="68" t="n">
        <f aca="false">Inputs!$E$9*(1+E1277)+Inputs!$E$5*C1277*(Inputs!$E$11*Inputs!$E$14*(G1277*I1277/Inputs!$E$16+(1-G1277))*K1277+Inputs!$E$23*M1277)*(1+O1277)+Inputs!$E$5*(Q1277+S1277)</f>
        <v>6030.64619021244</v>
      </c>
    </row>
    <row r="1278" customFormat="false" ht="15" hidden="false" customHeight="false" outlineLevel="0" collapsed="false">
      <c r="A1278" s="1" t="n">
        <v>1274</v>
      </c>
      <c r="B1278" s="81" t="n">
        <f aca="true">RAND()</f>
        <v>0.499812004760609</v>
      </c>
      <c r="C1278" s="82" t="n">
        <f aca="false">ROUND(IF(B1278&lt;(Inputs!$E$8-Inputs!$D$8)/(Inputs!$F$8-Inputs!$D$8),Inputs!$D$8+SQRT(B1278*(Inputs!$F$8-Inputs!$D$8)*(Inputs!$E$8-Inputs!$D$8)),Inputs!$F$8-SQRT((1-B1278)*(Inputs!$F$8-Inputs!$D$8)*(Inputs!$F$8-Inputs!$E$8))),0)</f>
        <v>25</v>
      </c>
      <c r="D1278" s="81" t="n">
        <f aca="true">RAND()</f>
        <v>0.522408527015226</v>
      </c>
      <c r="E1278" s="83" t="n">
        <f aca="false">IF(D1278&lt;(Inputs!$E$10-Inputs!$D$10)/(Inputs!$F$10-Inputs!$D$10),Inputs!$D$10+SQRT(D1278*(Inputs!$F$10-Inputs!$D$10)*(Inputs!$E$10-Inputs!$D$10)),Inputs!$F$10-SQRT((1-D1278)*(Inputs!$F$10-Inputs!$D$10)*(Inputs!$F$10-Inputs!$E$10)))</f>
        <v>0.0803014444968394</v>
      </c>
      <c r="F1278" s="81" t="n">
        <f aca="true">RAND()</f>
        <v>0.931588918914883</v>
      </c>
      <c r="G1278" s="83" t="n">
        <f aca="false">IF(F1278&lt;(Inputs!$E$15-Inputs!$D$15)/(Inputs!$F$15-Inputs!$D$15),Inputs!$D$15+SQRT(F1278*(Inputs!$F$15-Inputs!$D$15)*(Inputs!$E$15-Inputs!$D$15)),Inputs!$F$15-SQRT((1-F1278)*(Inputs!$F$15-Inputs!$D$15)*(Inputs!$F$15-Inputs!$E$15)))</f>
        <v>0.763010520121224</v>
      </c>
      <c r="H1278" s="81" t="n">
        <f aca="true">RAND()</f>
        <v>0.316254111124254</v>
      </c>
      <c r="I1278" s="82" t="n">
        <f aca="false">ROUND(IF(H1278&lt;(Inputs!$E$17-Inputs!$D$17)/(Inputs!$F$17-Inputs!$D$17),Inputs!$D$17+SQRT(H1278*(Inputs!$F$17-Inputs!$D$17)*(Inputs!$E$17-Inputs!$D$17)),Inputs!$F$17-SQRT((1-H1278)*(Inputs!$F$17-Inputs!$D$17)*(Inputs!$F$17-Inputs!$E$17))),0)</f>
        <v>105</v>
      </c>
      <c r="J1278" s="81" t="n">
        <f aca="true">RAND()</f>
        <v>0.996410750631161</v>
      </c>
      <c r="K1278" s="83" t="n">
        <f aca="false">IF(J1278&lt;(Inputs!$E$18-Inputs!$D$18)/(Inputs!$F$18-Inputs!$D$18),Inputs!$D$18+SQRT(J1278*(Inputs!$F$18-Inputs!$D$18)*(Inputs!$E$18-Inputs!$D$18)),Inputs!$F$18-SQRT((1-J1278)*(Inputs!$F$18-Inputs!$D$18)*(Inputs!$F$18-Inputs!$E$18)))</f>
        <v>1.23227828112814</v>
      </c>
      <c r="L1278" s="81" t="n">
        <f aca="true">RAND()</f>
        <v>0.785225437549302</v>
      </c>
      <c r="M1278" s="83" t="n">
        <f aca="false">IF(L1278&lt;(Inputs!$E$24-Inputs!$D$24)/(Inputs!$F$24-Inputs!$D$24),Inputs!$D$24+SQRT(L1278*(Inputs!$F$24-Inputs!$D$24)*(Inputs!$E$24-Inputs!$D$24)),Inputs!$F$24-SQRT((1-L1278)*(Inputs!$F$24-Inputs!$D$24)*(Inputs!$F$24-Inputs!$E$24)))</f>
        <v>0.972962789419515</v>
      </c>
      <c r="N1278" s="81" t="n">
        <f aca="true">RAND()</f>
        <v>0.00282829424687942</v>
      </c>
      <c r="O1278" s="83" t="n">
        <f aca="false">IF(N1278&lt;(Inputs!$E$26-Inputs!$D$26)/(Inputs!$F$26-Inputs!$D$26),Inputs!$D$26+SQRT(N1278*(Inputs!$F$26-Inputs!$D$26)*(Inputs!$E$26-Inputs!$D$26)),Inputs!$F$26-SQRT((1-N1278)*(Inputs!$F$26-Inputs!$D$26)*(Inputs!$F$26-Inputs!$E$26)))</f>
        <v>0.321693966043136</v>
      </c>
      <c r="P1278" s="81" t="n">
        <f aca="true">RAND()</f>
        <v>0.588610123394306</v>
      </c>
      <c r="Q1278" s="82" t="n">
        <f aca="false">IF(P1278&lt;(Inputs!$E$27-Inputs!$D$27)/(Inputs!$F$27-Inputs!$D$27),Inputs!$D$27+SQRT(P1278*(Inputs!$F$27-Inputs!$D$27)*(Inputs!$E$27-Inputs!$D$27)),Inputs!$F$27-SQRT((1-P1278)*(Inputs!$F$27-Inputs!$D$27)*(Inputs!$F$27-Inputs!$E$27)))</f>
        <v>94.4534062741674</v>
      </c>
      <c r="R1278" s="81" t="n">
        <f aca="true">RAND()</f>
        <v>0.890690113223694</v>
      </c>
      <c r="S1278" s="82" t="n">
        <f aca="false">IF(R1278&lt;(Inputs!$E$29-Inputs!$D$29)/(Inputs!$F$29-Inputs!$D$29),Inputs!$D$29+SQRT(R1278*(Inputs!$F$29-Inputs!$D$29)*(Inputs!$E$29-Inputs!$D$29)),Inputs!$F$29-SQRT((1-R1278)*(Inputs!$F$29-Inputs!$D$29)*(Inputs!$F$29-Inputs!$E$29)))</f>
        <v>11.2303467956694</v>
      </c>
      <c r="T1278" s="68" t="n">
        <f aca="false">Inputs!$E$9*(1+E1278)+Inputs!$E$5*C1278*(Inputs!$E$11*Inputs!$E$14*(G1278*I1278/Inputs!$E$16+(1-G1278))*K1278+Inputs!$E$23*M1278)*(1+O1278)+Inputs!$E$5*(Q1278+S1278)</f>
        <v>6152.34505541448</v>
      </c>
    </row>
    <row r="1279" customFormat="false" ht="15" hidden="false" customHeight="false" outlineLevel="0" collapsed="false">
      <c r="A1279" s="1" t="n">
        <v>1275</v>
      </c>
      <c r="B1279" s="81" t="n">
        <f aca="true">RAND()</f>
        <v>0.0462130035389721</v>
      </c>
      <c r="C1279" s="82" t="n">
        <f aca="false">ROUND(IF(B1279&lt;(Inputs!$E$8-Inputs!$D$8)/(Inputs!$F$8-Inputs!$D$8),Inputs!$D$8+SQRT(B1279*(Inputs!$F$8-Inputs!$D$8)*(Inputs!$E$8-Inputs!$D$8)),Inputs!$F$8-SQRT((1-B1279)*(Inputs!$F$8-Inputs!$D$8)*(Inputs!$F$8-Inputs!$E$8))),0)</f>
        <v>22</v>
      </c>
      <c r="D1279" s="81" t="n">
        <f aca="true">RAND()</f>
        <v>0.0782864877521777</v>
      </c>
      <c r="E1279" s="83" t="n">
        <f aca="false">IF(D1279&lt;(Inputs!$E$10-Inputs!$D$10)/(Inputs!$F$10-Inputs!$D$10),Inputs!$D$10+SQRT(D1279*(Inputs!$F$10-Inputs!$D$10)*(Inputs!$E$10-Inputs!$D$10)),Inputs!$F$10-SQRT((1-D1279)*(Inputs!$F$10-Inputs!$D$10)*(Inputs!$F$10-Inputs!$E$10)))</f>
        <v>0.0279797226133816</v>
      </c>
      <c r="F1279" s="81" t="n">
        <f aca="true">RAND()</f>
        <v>0.639567449998338</v>
      </c>
      <c r="G1279" s="83" t="n">
        <f aca="false">IF(F1279&lt;(Inputs!$E$15-Inputs!$D$15)/(Inputs!$F$15-Inputs!$D$15),Inputs!$D$15+SQRT(F1279*(Inputs!$F$15-Inputs!$D$15)*(Inputs!$E$15-Inputs!$D$15)),Inputs!$F$15-SQRT((1-F1279)*(Inputs!$F$15-Inputs!$D$15)*(Inputs!$F$15-Inputs!$E$15)))</f>
        <v>0.715096225054281</v>
      </c>
      <c r="H1279" s="81" t="n">
        <f aca="true">RAND()</f>
        <v>0.594330269352638</v>
      </c>
      <c r="I1279" s="82" t="n">
        <f aca="false">ROUND(IF(H1279&lt;(Inputs!$E$17-Inputs!$D$17)/(Inputs!$F$17-Inputs!$D$17),Inputs!$D$17+SQRT(H1279*(Inputs!$F$17-Inputs!$D$17)*(Inputs!$E$17-Inputs!$D$17)),Inputs!$F$17-SQRT((1-H1279)*(Inputs!$F$17-Inputs!$D$17)*(Inputs!$F$17-Inputs!$E$17))),0)</f>
        <v>107</v>
      </c>
      <c r="J1279" s="81" t="n">
        <f aca="true">RAND()</f>
        <v>0.359518179786042</v>
      </c>
      <c r="K1279" s="83" t="n">
        <f aca="false">IF(J1279&lt;(Inputs!$E$18-Inputs!$D$18)/(Inputs!$F$18-Inputs!$D$18),Inputs!$D$18+SQRT(J1279*(Inputs!$F$18-Inputs!$D$18)*(Inputs!$E$18-Inputs!$D$18)),Inputs!$F$18-SQRT((1-J1279)*(Inputs!$F$18-Inputs!$D$18)*(Inputs!$F$18-Inputs!$E$18)))</f>
        <v>1.01326774772177</v>
      </c>
      <c r="L1279" s="81" t="n">
        <f aca="true">RAND()</f>
        <v>0.904717012123849</v>
      </c>
      <c r="M1279" s="83" t="n">
        <f aca="false">IF(L1279&lt;(Inputs!$E$24-Inputs!$D$24)/(Inputs!$F$24-Inputs!$D$24),Inputs!$D$24+SQRT(L1279*(Inputs!$F$24-Inputs!$D$24)*(Inputs!$E$24-Inputs!$D$24)),Inputs!$F$24-SQRT((1-L1279)*(Inputs!$F$24-Inputs!$D$24)*(Inputs!$F$24-Inputs!$E$24)))</f>
        <v>1.04877858256756</v>
      </c>
      <c r="N1279" s="81" t="n">
        <f aca="true">RAND()</f>
        <v>0.121418248184101</v>
      </c>
      <c r="O1279" s="83" t="n">
        <f aca="false">IF(N1279&lt;(Inputs!$E$26-Inputs!$D$26)/(Inputs!$F$26-Inputs!$D$26),Inputs!$D$26+SQRT(N1279*(Inputs!$F$26-Inputs!$D$26)*(Inputs!$E$26-Inputs!$D$26)),Inputs!$F$26-SQRT((1-N1279)*(Inputs!$F$26-Inputs!$D$26)*(Inputs!$F$26-Inputs!$E$26)))</f>
        <v>0.442140762970495</v>
      </c>
      <c r="P1279" s="81" t="n">
        <f aca="true">RAND()</f>
        <v>0.29959730384471</v>
      </c>
      <c r="Q1279" s="82" t="n">
        <f aca="false">IF(P1279&lt;(Inputs!$E$27-Inputs!$D$27)/(Inputs!$F$27-Inputs!$D$27),Inputs!$D$27+SQRT(P1279*(Inputs!$F$27-Inputs!$D$27)*(Inputs!$E$27-Inputs!$D$27)),Inputs!$F$27-SQRT((1-P1279)*(Inputs!$F$27-Inputs!$D$27)*(Inputs!$F$27-Inputs!$E$27)))</f>
        <v>77.5222777595441</v>
      </c>
      <c r="R1279" s="81" t="n">
        <f aca="true">RAND()</f>
        <v>0.116804141450969</v>
      </c>
      <c r="S1279" s="82" t="n">
        <f aca="false">IF(R1279&lt;(Inputs!$E$29-Inputs!$D$29)/(Inputs!$F$29-Inputs!$D$29),Inputs!$D$29+SQRT(R1279*(Inputs!$F$29-Inputs!$D$29)*(Inputs!$E$29-Inputs!$D$29)),Inputs!$F$29-SQRT((1-R1279)*(Inputs!$F$29-Inputs!$D$29)*(Inputs!$F$29-Inputs!$E$29)))</f>
        <v>4.13432928963358</v>
      </c>
      <c r="T1279" s="68" t="n">
        <f aca="false">Inputs!$E$9*(1+E1279)+Inputs!$E$5*C1279*(Inputs!$E$11*Inputs!$E$14*(G1279*I1279/Inputs!$E$16+(1-G1279))*K1279+Inputs!$E$23*M1279)*(1+O1279)+Inputs!$E$5*(Q1279+S1279)</f>
        <v>5585.47738677669</v>
      </c>
    </row>
    <row r="1280" customFormat="false" ht="15" hidden="false" customHeight="false" outlineLevel="0" collapsed="false">
      <c r="A1280" s="1" t="n">
        <v>1276</v>
      </c>
      <c r="B1280" s="81" t="n">
        <f aca="true">RAND()</f>
        <v>0.997163743151996</v>
      </c>
      <c r="C1280" s="82" t="n">
        <f aca="false">ROUND(IF(B1280&lt;(Inputs!$E$8-Inputs!$D$8)/(Inputs!$F$8-Inputs!$D$8),Inputs!$D$8+SQRT(B1280*(Inputs!$F$8-Inputs!$D$8)*(Inputs!$E$8-Inputs!$D$8)),Inputs!$F$8-SQRT((1-B1280)*(Inputs!$F$8-Inputs!$D$8)*(Inputs!$F$8-Inputs!$E$8))),0)</f>
        <v>30</v>
      </c>
      <c r="D1280" s="81" t="n">
        <f aca="true">RAND()</f>
        <v>0.468166993016147</v>
      </c>
      <c r="E1280" s="83" t="n">
        <f aca="false">IF(D1280&lt;(Inputs!$E$10-Inputs!$D$10)/(Inputs!$F$10-Inputs!$D$10),Inputs!$D$10+SQRT(D1280*(Inputs!$F$10-Inputs!$D$10)*(Inputs!$E$10-Inputs!$D$10)),Inputs!$F$10-SQRT((1-D1280)*(Inputs!$F$10-Inputs!$D$10)*(Inputs!$F$10-Inputs!$E$10)))</f>
        <v>0.0736869357132224</v>
      </c>
      <c r="F1280" s="81" t="n">
        <f aca="true">RAND()</f>
        <v>0.919774255181547</v>
      </c>
      <c r="G1280" s="83" t="n">
        <f aca="false">IF(F1280&lt;(Inputs!$E$15-Inputs!$D$15)/(Inputs!$F$15-Inputs!$D$15),Inputs!$D$15+SQRT(F1280*(Inputs!$F$15-Inputs!$D$15)*(Inputs!$E$15-Inputs!$D$15)),Inputs!$F$15-SQRT((1-F1280)*(Inputs!$F$15-Inputs!$D$15)*(Inputs!$F$15-Inputs!$E$15)))</f>
        <v>0.759943603552378</v>
      </c>
      <c r="H1280" s="81" t="n">
        <f aca="true">RAND()</f>
        <v>0.0194868313348757</v>
      </c>
      <c r="I1280" s="82" t="n">
        <f aca="false">ROUND(IF(H1280&lt;(Inputs!$E$17-Inputs!$D$17)/(Inputs!$F$17-Inputs!$D$17),Inputs!$D$17+SQRT(H1280*(Inputs!$F$17-Inputs!$D$17)*(Inputs!$E$17-Inputs!$D$17)),Inputs!$F$17-SQRT((1-H1280)*(Inputs!$F$17-Inputs!$D$17)*(Inputs!$F$17-Inputs!$E$17))),0)</f>
        <v>101</v>
      </c>
      <c r="J1280" s="81" t="n">
        <f aca="true">RAND()</f>
        <v>0.932635968170575</v>
      </c>
      <c r="K1280" s="83" t="n">
        <f aca="false">IF(J1280&lt;(Inputs!$E$18-Inputs!$D$18)/(Inputs!$F$18-Inputs!$D$18),Inputs!$D$18+SQRT(J1280*(Inputs!$F$18-Inputs!$D$18)*(Inputs!$E$18-Inputs!$D$18)),Inputs!$F$18-SQRT((1-J1280)*(Inputs!$F$18-Inputs!$D$18)*(Inputs!$F$18-Inputs!$E$18)))</f>
        <v>1.1732253115599</v>
      </c>
      <c r="L1280" s="81" t="n">
        <f aca="true">RAND()</f>
        <v>0.270905596907713</v>
      </c>
      <c r="M1280" s="83" t="n">
        <f aca="false">IF(L1280&lt;(Inputs!$E$24-Inputs!$D$24)/(Inputs!$F$24-Inputs!$D$24),Inputs!$D$24+SQRT(L1280*(Inputs!$F$24-Inputs!$D$24)*(Inputs!$E$24-Inputs!$D$24)),Inputs!$F$24-SQRT((1-L1280)*(Inputs!$F$24-Inputs!$D$24)*(Inputs!$F$24-Inputs!$E$24)))</f>
        <v>0.780301612940443</v>
      </c>
      <c r="N1280" s="81" t="n">
        <f aca="true">RAND()</f>
        <v>0.971706772357658</v>
      </c>
      <c r="O1280" s="83" t="n">
        <f aca="false">IF(N1280&lt;(Inputs!$E$26-Inputs!$D$26)/(Inputs!$F$26-Inputs!$D$26),Inputs!$D$26+SQRT(N1280*(Inputs!$F$26-Inputs!$D$26)*(Inputs!$E$26-Inputs!$D$26)),Inputs!$F$26-SQRT((1-N1280)*(Inputs!$F$26-Inputs!$D$26)*(Inputs!$F$26-Inputs!$E$26)))</f>
        <v>0.765755224446924</v>
      </c>
      <c r="P1280" s="81" t="n">
        <f aca="true">RAND()</f>
        <v>0.492896028687444</v>
      </c>
      <c r="Q1280" s="82" t="n">
        <f aca="false">IF(P1280&lt;(Inputs!$E$27-Inputs!$D$27)/(Inputs!$F$27-Inputs!$D$27),Inputs!$D$27+SQRT(P1280*(Inputs!$F$27-Inputs!$D$27)*(Inputs!$E$27-Inputs!$D$27)),Inputs!$F$27-SQRT((1-P1280)*(Inputs!$F$27-Inputs!$D$27)*(Inputs!$F$27-Inputs!$E$27)))</f>
        <v>88.3292631400907</v>
      </c>
      <c r="R1280" s="81" t="n">
        <f aca="true">RAND()</f>
        <v>0.830648356883338</v>
      </c>
      <c r="S1280" s="82" t="n">
        <f aca="false">IF(R1280&lt;(Inputs!$E$29-Inputs!$D$29)/(Inputs!$F$29-Inputs!$D$29),Inputs!$D$29+SQRT(R1280*(Inputs!$F$29-Inputs!$D$29)*(Inputs!$E$29-Inputs!$D$29)),Inputs!$F$29-SQRT((1-R1280)*(Inputs!$F$29-Inputs!$D$29)*(Inputs!$F$29-Inputs!$E$29)))</f>
        <v>10.3079094632386</v>
      </c>
      <c r="T1280" s="68" t="n">
        <f aca="false">Inputs!$E$9*(1+E1280)+Inputs!$E$5*C1280*(Inputs!$E$11*Inputs!$E$14*(G1280*I1280/Inputs!$E$16+(1-G1280))*K1280+Inputs!$E$23*M1280)*(1+O1280)+Inputs!$E$5*(Q1280+S1280)</f>
        <v>7463.65831087252</v>
      </c>
    </row>
    <row r="1281" customFormat="false" ht="15" hidden="false" customHeight="false" outlineLevel="0" collapsed="false">
      <c r="A1281" s="1" t="n">
        <v>1277</v>
      </c>
      <c r="B1281" s="81" t="n">
        <f aca="true">RAND()</f>
        <v>0.636166529167797</v>
      </c>
      <c r="C1281" s="82" t="n">
        <f aca="false">ROUND(IF(B1281&lt;(Inputs!$E$8-Inputs!$D$8)/(Inputs!$F$8-Inputs!$D$8),Inputs!$D$8+SQRT(B1281*(Inputs!$F$8-Inputs!$D$8)*(Inputs!$E$8-Inputs!$D$8)),Inputs!$F$8-SQRT((1-B1281)*(Inputs!$F$8-Inputs!$D$8)*(Inputs!$F$8-Inputs!$E$8))),0)</f>
        <v>26</v>
      </c>
      <c r="D1281" s="81" t="n">
        <f aca="true">RAND()</f>
        <v>0.71234480811194</v>
      </c>
      <c r="E1281" s="83" t="n">
        <f aca="false">IF(D1281&lt;(Inputs!$E$10-Inputs!$D$10)/(Inputs!$F$10-Inputs!$D$10),Inputs!$D$10+SQRT(D1281*(Inputs!$F$10-Inputs!$D$10)*(Inputs!$E$10-Inputs!$D$10)),Inputs!$F$10-SQRT((1-D1281)*(Inputs!$F$10-Inputs!$D$10)*(Inputs!$F$10-Inputs!$E$10)))</f>
        <v>0.1071040595255</v>
      </c>
      <c r="F1281" s="81" t="n">
        <f aca="true">RAND()</f>
        <v>0.538467877880506</v>
      </c>
      <c r="G1281" s="83" t="n">
        <f aca="false">IF(F1281&lt;(Inputs!$E$15-Inputs!$D$15)/(Inputs!$F$15-Inputs!$D$15),Inputs!$D$15+SQRT(F1281*(Inputs!$F$15-Inputs!$D$15)*(Inputs!$E$15-Inputs!$D$15)),Inputs!$F$15-SQRT((1-F1281)*(Inputs!$F$15-Inputs!$D$15)*(Inputs!$F$15-Inputs!$E$15)))</f>
        <v>0.70392376754686</v>
      </c>
      <c r="H1281" s="81" t="n">
        <f aca="true">RAND()</f>
        <v>0.982910955125102</v>
      </c>
      <c r="I1281" s="82" t="n">
        <f aca="false">ROUND(IF(H1281&lt;(Inputs!$E$17-Inputs!$D$17)/(Inputs!$F$17-Inputs!$D$17),Inputs!$D$17+SQRT(H1281*(Inputs!$F$17-Inputs!$D$17)*(Inputs!$E$17-Inputs!$D$17)),Inputs!$F$17-SQRT((1-H1281)*(Inputs!$F$17-Inputs!$D$17)*(Inputs!$F$17-Inputs!$E$17))),0)</f>
        <v>113</v>
      </c>
      <c r="J1281" s="81" t="n">
        <f aca="true">RAND()</f>
        <v>0.0823563588183496</v>
      </c>
      <c r="K1281" s="83" t="n">
        <f aca="false">IF(J1281&lt;(Inputs!$E$18-Inputs!$D$18)/(Inputs!$F$18-Inputs!$D$18),Inputs!$D$18+SQRT(J1281*(Inputs!$F$18-Inputs!$D$18)*(Inputs!$E$18-Inputs!$D$18)),Inputs!$F$18-SQRT((1-J1281)*(Inputs!$F$18-Inputs!$D$18)*(Inputs!$F$18-Inputs!$E$18)))</f>
        <v>0.953688663222716</v>
      </c>
      <c r="L1281" s="81" t="n">
        <f aca="true">RAND()</f>
        <v>0.228935863489124</v>
      </c>
      <c r="M1281" s="83" t="n">
        <f aca="false">IF(L1281&lt;(Inputs!$E$24-Inputs!$D$24)/(Inputs!$F$24-Inputs!$D$24),Inputs!$D$24+SQRT(L1281*(Inputs!$F$24-Inputs!$D$24)*(Inputs!$E$24-Inputs!$D$24)),Inputs!$F$24-SQRT((1-L1281)*(Inputs!$F$24-Inputs!$D$24)*(Inputs!$F$24-Inputs!$E$24)))</f>
        <v>0.765747710749485</v>
      </c>
      <c r="N1281" s="81" t="n">
        <f aca="true">RAND()</f>
        <v>0.460436697204122</v>
      </c>
      <c r="O1281" s="83" t="n">
        <f aca="false">IF(N1281&lt;(Inputs!$E$26-Inputs!$D$26)/(Inputs!$F$26-Inputs!$D$26),Inputs!$D$26+SQRT(N1281*(Inputs!$F$26-Inputs!$D$26)*(Inputs!$E$26-Inputs!$D$26)),Inputs!$F$26-SQRT((1-N1281)*(Inputs!$F$26-Inputs!$D$26)*(Inputs!$F$26-Inputs!$E$26)))</f>
        <v>0.576797157526529</v>
      </c>
      <c r="P1281" s="81" t="n">
        <f aca="true">RAND()</f>
        <v>0.0164035274878873</v>
      </c>
      <c r="Q1281" s="82" t="n">
        <f aca="false">IF(P1281&lt;(Inputs!$E$27-Inputs!$D$27)/(Inputs!$F$27-Inputs!$D$27),Inputs!$D$27+SQRT(P1281*(Inputs!$F$27-Inputs!$D$27)*(Inputs!$E$27-Inputs!$D$27)),Inputs!$F$27-SQRT((1-P1281)*(Inputs!$F$27-Inputs!$D$27)*(Inputs!$F$27-Inputs!$E$27)))</f>
        <v>56.4038128267243</v>
      </c>
      <c r="R1281" s="81" t="n">
        <f aca="true">RAND()</f>
        <v>0.227234386412534</v>
      </c>
      <c r="S1281" s="82" t="n">
        <f aca="false">IF(R1281&lt;(Inputs!$E$29-Inputs!$D$29)/(Inputs!$F$29-Inputs!$D$29),Inputs!$D$29+SQRT(R1281*(Inputs!$F$29-Inputs!$D$29)*(Inputs!$E$29-Inputs!$D$29)),Inputs!$F$29-SQRT((1-R1281)*(Inputs!$F$29-Inputs!$D$29)*(Inputs!$F$29-Inputs!$E$29)))</f>
        <v>4.97693484478394</v>
      </c>
      <c r="T1281" s="68" t="n">
        <f aca="false">Inputs!$E$9*(1+E1281)+Inputs!$E$5*C1281*(Inputs!$E$11*Inputs!$E$14*(G1281*I1281/Inputs!$E$16+(1-G1281))*K1281+Inputs!$E$23*M1281)*(1+O1281)+Inputs!$E$5*(Q1281+S1281)</f>
        <v>6047.88341321156</v>
      </c>
    </row>
    <row r="1282" customFormat="false" ht="15" hidden="false" customHeight="false" outlineLevel="0" collapsed="false">
      <c r="A1282" s="1" t="n">
        <v>1278</v>
      </c>
      <c r="B1282" s="81" t="n">
        <f aca="true">RAND()</f>
        <v>0.508073710942838</v>
      </c>
      <c r="C1282" s="82" t="n">
        <f aca="false">ROUND(IF(B1282&lt;(Inputs!$E$8-Inputs!$D$8)/(Inputs!$F$8-Inputs!$D$8),Inputs!$D$8+SQRT(B1282*(Inputs!$F$8-Inputs!$D$8)*(Inputs!$E$8-Inputs!$D$8)),Inputs!$F$8-SQRT((1-B1282)*(Inputs!$F$8-Inputs!$D$8)*(Inputs!$F$8-Inputs!$E$8))),0)</f>
        <v>25</v>
      </c>
      <c r="D1282" s="81" t="n">
        <f aca="true">RAND()</f>
        <v>0.87489921293658</v>
      </c>
      <c r="E1282" s="83" t="n">
        <f aca="false">IF(D1282&lt;(Inputs!$E$10-Inputs!$D$10)/(Inputs!$F$10-Inputs!$D$10),Inputs!$D$10+SQRT(D1282*(Inputs!$F$10-Inputs!$D$10)*(Inputs!$E$10-Inputs!$D$10)),Inputs!$F$10-SQRT((1-D1282)*(Inputs!$F$10-Inputs!$D$10)*(Inputs!$F$10-Inputs!$E$10)))</f>
        <v>0.138738073717009</v>
      </c>
      <c r="F1282" s="81" t="n">
        <f aca="true">RAND()</f>
        <v>0.136016508516974</v>
      </c>
      <c r="G1282" s="83" t="n">
        <f aca="false">IF(F1282&lt;(Inputs!$E$15-Inputs!$D$15)/(Inputs!$F$15-Inputs!$D$15),Inputs!$D$15+SQRT(F1282*(Inputs!$F$15-Inputs!$D$15)*(Inputs!$E$15-Inputs!$D$15)),Inputs!$F$15-SQRT((1-F1282)*(Inputs!$F$15-Inputs!$D$15)*(Inputs!$F$15-Inputs!$E$15)))</f>
        <v>0.652156784509203</v>
      </c>
      <c r="H1282" s="81" t="n">
        <f aca="true">RAND()</f>
        <v>0.216836115311293</v>
      </c>
      <c r="I1282" s="82" t="n">
        <f aca="false">ROUND(IF(H1282&lt;(Inputs!$E$17-Inputs!$D$17)/(Inputs!$F$17-Inputs!$D$17),Inputs!$D$17+SQRT(H1282*(Inputs!$F$17-Inputs!$D$17)*(Inputs!$E$17-Inputs!$D$17)),Inputs!$F$17-SQRT((1-H1282)*(Inputs!$F$17-Inputs!$D$17)*(Inputs!$F$17-Inputs!$E$17))),0)</f>
        <v>104</v>
      </c>
      <c r="J1282" s="81" t="n">
        <f aca="true">RAND()</f>
        <v>0.169543523062769</v>
      </c>
      <c r="K1282" s="83" t="n">
        <f aca="false">IF(J1282&lt;(Inputs!$E$18-Inputs!$D$18)/(Inputs!$F$18-Inputs!$D$18),Inputs!$D$18+SQRT(J1282*(Inputs!$F$18-Inputs!$D$18)*(Inputs!$E$18-Inputs!$D$18)),Inputs!$F$18-SQRT((1-J1282)*(Inputs!$F$18-Inputs!$D$18)*(Inputs!$F$18-Inputs!$E$18)))</f>
        <v>0.977032611971794</v>
      </c>
      <c r="L1282" s="81" t="n">
        <f aca="true">RAND()</f>
        <v>0.670903767657786</v>
      </c>
      <c r="M1282" s="83" t="n">
        <f aca="false">IF(L1282&lt;(Inputs!$E$24-Inputs!$D$24)/(Inputs!$F$24-Inputs!$D$24),Inputs!$D$24+SQRT(L1282*(Inputs!$F$24-Inputs!$D$24)*(Inputs!$E$24-Inputs!$D$24)),Inputs!$F$24-SQRT((1-L1282)*(Inputs!$F$24-Inputs!$D$24)*(Inputs!$F$24-Inputs!$E$24)))</f>
        <v>0.918960686447374</v>
      </c>
      <c r="N1282" s="81" t="n">
        <f aca="true">RAND()</f>
        <v>0.231520106828393</v>
      </c>
      <c r="O1282" s="83" t="n">
        <f aca="false">IF(N1282&lt;(Inputs!$E$26-Inputs!$D$26)/(Inputs!$F$26-Inputs!$D$26),Inputs!$D$26+SQRT(N1282*(Inputs!$F$26-Inputs!$D$26)*(Inputs!$E$26-Inputs!$D$26)),Inputs!$F$26-SQRT((1-N1282)*(Inputs!$F$26-Inputs!$D$26)*(Inputs!$F$26-Inputs!$E$26)))</f>
        <v>0.496277726133773</v>
      </c>
      <c r="P1282" s="81" t="n">
        <f aca="true">RAND()</f>
        <v>0.144678807049176</v>
      </c>
      <c r="Q1282" s="82" t="n">
        <f aca="false">IF(P1282&lt;(Inputs!$E$27-Inputs!$D$27)/(Inputs!$F$27-Inputs!$D$27),Inputs!$D$27+SQRT(P1282*(Inputs!$F$27-Inputs!$D$27)*(Inputs!$E$27-Inputs!$D$27)),Inputs!$F$27-SQRT((1-P1282)*(Inputs!$F$27-Inputs!$D$27)*(Inputs!$F$27-Inputs!$E$27)))</f>
        <v>69.0183337236189</v>
      </c>
      <c r="R1282" s="81" t="n">
        <f aca="true">RAND()</f>
        <v>0.0457128118640956</v>
      </c>
      <c r="S1282" s="82" t="n">
        <f aca="false">IF(R1282&lt;(Inputs!$E$29-Inputs!$D$29)/(Inputs!$F$29-Inputs!$D$29),Inputs!$D$29+SQRT(R1282*(Inputs!$F$29-Inputs!$D$29)*(Inputs!$E$29-Inputs!$D$29)),Inputs!$F$29-SQRT((1-R1282)*(Inputs!$F$29-Inputs!$D$29)*(Inputs!$F$29-Inputs!$E$29)))</f>
        <v>3.33521521212864</v>
      </c>
      <c r="T1282" s="68" t="n">
        <f aca="false">Inputs!$E$9*(1+E1282)+Inputs!$E$5*C1282*(Inputs!$E$11*Inputs!$E$14*(G1282*I1282/Inputs!$E$16+(1-G1282))*K1282+Inputs!$E$23*M1282)*(1+O1282)+Inputs!$E$5*(Q1282+S1282)</f>
        <v>6103.47779643932</v>
      </c>
    </row>
    <row r="1283" customFormat="false" ht="15" hidden="false" customHeight="false" outlineLevel="0" collapsed="false">
      <c r="A1283" s="1" t="n">
        <v>1279</v>
      </c>
      <c r="B1283" s="81" t="n">
        <f aca="true">RAND()</f>
        <v>0.290388947555153</v>
      </c>
      <c r="C1283" s="82" t="n">
        <f aca="false">ROUND(IF(B1283&lt;(Inputs!$E$8-Inputs!$D$8)/(Inputs!$F$8-Inputs!$D$8),Inputs!$D$8+SQRT(B1283*(Inputs!$F$8-Inputs!$D$8)*(Inputs!$E$8-Inputs!$D$8)),Inputs!$F$8-SQRT((1-B1283)*(Inputs!$F$8-Inputs!$D$8)*(Inputs!$F$8-Inputs!$E$8))),0)</f>
        <v>24</v>
      </c>
      <c r="D1283" s="81" t="n">
        <f aca="true">RAND()</f>
        <v>0.334339768353899</v>
      </c>
      <c r="E1283" s="83" t="n">
        <f aca="false">IF(D1283&lt;(Inputs!$E$10-Inputs!$D$10)/(Inputs!$F$10-Inputs!$D$10),Inputs!$D$10+SQRT(D1283*(Inputs!$F$10-Inputs!$D$10)*(Inputs!$E$10-Inputs!$D$10)),Inputs!$F$10-SQRT((1-D1283)*(Inputs!$F$10-Inputs!$D$10)*(Inputs!$F$10-Inputs!$E$10)))</f>
        <v>0.058685432635616</v>
      </c>
      <c r="F1283" s="81" t="n">
        <f aca="true">RAND()</f>
        <v>0.21310464582375</v>
      </c>
      <c r="G1283" s="83" t="n">
        <f aca="false">IF(F1283&lt;(Inputs!$E$15-Inputs!$D$15)/(Inputs!$F$15-Inputs!$D$15),Inputs!$D$15+SQRT(F1283*(Inputs!$F$15-Inputs!$D$15)*(Inputs!$E$15-Inputs!$D$15)),Inputs!$F$15-SQRT((1-F1283)*(Inputs!$F$15-Inputs!$D$15)*(Inputs!$F$15-Inputs!$E$15)))</f>
        <v>0.665284706604801</v>
      </c>
      <c r="H1283" s="81" t="n">
        <f aca="true">RAND()</f>
        <v>0.293929228510098</v>
      </c>
      <c r="I1283" s="82" t="n">
        <f aca="false">ROUND(IF(H1283&lt;(Inputs!$E$17-Inputs!$D$17)/(Inputs!$F$17-Inputs!$D$17),Inputs!$D$17+SQRT(H1283*(Inputs!$F$17-Inputs!$D$17)*(Inputs!$E$17-Inputs!$D$17)),Inputs!$F$17-SQRT((1-H1283)*(Inputs!$F$17-Inputs!$D$17)*(Inputs!$F$17-Inputs!$E$17))),0)</f>
        <v>105</v>
      </c>
      <c r="J1283" s="81" t="n">
        <f aca="true">RAND()</f>
        <v>0.786320248823082</v>
      </c>
      <c r="K1283" s="83" t="n">
        <f aca="false">IF(J1283&lt;(Inputs!$E$18-Inputs!$D$18)/(Inputs!$F$18-Inputs!$D$18),Inputs!$D$18+SQRT(J1283*(Inputs!$F$18-Inputs!$D$18)*(Inputs!$E$18-Inputs!$D$18)),Inputs!$F$18-SQRT((1-J1283)*(Inputs!$F$18-Inputs!$D$18)*(Inputs!$F$18-Inputs!$E$18)))</f>
        <v>1.11326310582736</v>
      </c>
      <c r="L1283" s="81" t="n">
        <f aca="true">RAND()</f>
        <v>0.16585740287364</v>
      </c>
      <c r="M1283" s="83" t="n">
        <f aca="false">IF(L1283&lt;(Inputs!$E$24-Inputs!$D$24)/(Inputs!$F$24-Inputs!$D$24),Inputs!$D$24+SQRT(L1283*(Inputs!$F$24-Inputs!$D$24)*(Inputs!$E$24-Inputs!$D$24)),Inputs!$F$24-SQRT((1-L1283)*(Inputs!$F$24-Inputs!$D$24)*(Inputs!$F$24-Inputs!$E$24)))</f>
        <v>0.741077596892054</v>
      </c>
      <c r="N1283" s="81" t="n">
        <f aca="true">RAND()</f>
        <v>0.639406371775508</v>
      </c>
      <c r="O1283" s="83" t="n">
        <f aca="false">IF(N1283&lt;(Inputs!$E$26-Inputs!$D$26)/(Inputs!$F$26-Inputs!$D$26),Inputs!$D$26+SQRT(N1283*(Inputs!$F$26-Inputs!$D$26)*(Inputs!$E$26-Inputs!$D$26)),Inputs!$F$26-SQRT((1-N1283)*(Inputs!$F$26-Inputs!$D$26)*(Inputs!$F$26-Inputs!$E$26)))</f>
        <v>0.626346346961006</v>
      </c>
      <c r="P1283" s="81" t="n">
        <f aca="true">RAND()</f>
        <v>0.303077746055989</v>
      </c>
      <c r="Q1283" s="82" t="n">
        <f aca="false">IF(P1283&lt;(Inputs!$E$27-Inputs!$D$27)/(Inputs!$F$27-Inputs!$D$27),Inputs!$D$27+SQRT(P1283*(Inputs!$F$27-Inputs!$D$27)*(Inputs!$E$27-Inputs!$D$27)),Inputs!$F$27-SQRT((1-P1283)*(Inputs!$F$27-Inputs!$D$27)*(Inputs!$F$27-Inputs!$E$27)))</f>
        <v>77.7025802356676</v>
      </c>
      <c r="R1283" s="81" t="n">
        <f aca="true">RAND()</f>
        <v>0.803417791901794</v>
      </c>
      <c r="S1283" s="82" t="n">
        <f aca="false">IF(R1283&lt;(Inputs!$E$29-Inputs!$D$29)/(Inputs!$F$29-Inputs!$D$29),Inputs!$D$29+SQRT(R1283*(Inputs!$F$29-Inputs!$D$29)*(Inputs!$E$29-Inputs!$D$29)),Inputs!$F$29-SQRT((1-R1283)*(Inputs!$F$29-Inputs!$D$29)*(Inputs!$F$29-Inputs!$E$29)))</f>
        <v>9.94473669797836</v>
      </c>
      <c r="T1283" s="68" t="n">
        <f aca="false">Inputs!$E$9*(1+E1283)+Inputs!$E$5*C1283*(Inputs!$E$11*Inputs!$E$14*(G1283*I1283/Inputs!$E$16+(1-G1283))*K1283+Inputs!$E$23*M1283)*(1+O1283)+Inputs!$E$5*(Q1283+S1283)</f>
        <v>6182.29899652984</v>
      </c>
    </row>
    <row r="1284" customFormat="false" ht="15" hidden="false" customHeight="false" outlineLevel="0" collapsed="false">
      <c r="A1284" s="1" t="n">
        <v>1280</v>
      </c>
      <c r="B1284" s="81" t="n">
        <f aca="true">RAND()</f>
        <v>0.949940734381975</v>
      </c>
      <c r="C1284" s="82" t="n">
        <f aca="false">ROUND(IF(B1284&lt;(Inputs!$E$8-Inputs!$D$8)/(Inputs!$F$8-Inputs!$D$8),Inputs!$D$8+SQRT(B1284*(Inputs!$F$8-Inputs!$D$8)*(Inputs!$E$8-Inputs!$D$8)),Inputs!$F$8-SQRT((1-B1284)*(Inputs!$F$8-Inputs!$D$8)*(Inputs!$F$8-Inputs!$E$8))),0)</f>
        <v>28</v>
      </c>
      <c r="D1284" s="81" t="n">
        <f aca="true">RAND()</f>
        <v>0.75247893194363</v>
      </c>
      <c r="E1284" s="83" t="n">
        <f aca="false">IF(D1284&lt;(Inputs!$E$10-Inputs!$D$10)/(Inputs!$F$10-Inputs!$D$10),Inputs!$D$10+SQRT(D1284*(Inputs!$F$10-Inputs!$D$10)*(Inputs!$E$10-Inputs!$D$10)),Inputs!$F$10-SQRT((1-D1284)*(Inputs!$F$10-Inputs!$D$10)*(Inputs!$F$10-Inputs!$E$10)))</f>
        <v>0.113827892902105</v>
      </c>
      <c r="F1284" s="81" t="n">
        <f aca="true">RAND()</f>
        <v>0.252532437946627</v>
      </c>
      <c r="G1284" s="83" t="n">
        <f aca="false">IF(F1284&lt;(Inputs!$E$15-Inputs!$D$15)/(Inputs!$F$15-Inputs!$D$15),Inputs!$D$15+SQRT(F1284*(Inputs!$F$15-Inputs!$D$15)*(Inputs!$E$15-Inputs!$D$15)),Inputs!$F$15-SQRT((1-F1284)*(Inputs!$F$15-Inputs!$D$15)*(Inputs!$F$15-Inputs!$E$15)))</f>
        <v>0.671067916523088</v>
      </c>
      <c r="H1284" s="81" t="n">
        <f aca="true">RAND()</f>
        <v>0.395342303770759</v>
      </c>
      <c r="I1284" s="82" t="n">
        <f aca="false">ROUND(IF(H1284&lt;(Inputs!$E$17-Inputs!$D$17)/(Inputs!$F$17-Inputs!$D$17),Inputs!$D$17+SQRT(H1284*(Inputs!$F$17-Inputs!$D$17)*(Inputs!$E$17-Inputs!$D$17)),Inputs!$F$17-SQRT((1-H1284)*(Inputs!$F$17-Inputs!$D$17)*(Inputs!$F$17-Inputs!$E$17))),0)</f>
        <v>105</v>
      </c>
      <c r="J1284" s="81" t="n">
        <f aca="true">RAND()</f>
        <v>0.0343620857834933</v>
      </c>
      <c r="K1284" s="83" t="n">
        <f aca="false">IF(J1284&lt;(Inputs!$E$18-Inputs!$D$18)/(Inputs!$F$18-Inputs!$D$18),Inputs!$D$18+SQRT(J1284*(Inputs!$F$18-Inputs!$D$18)*(Inputs!$E$18-Inputs!$D$18)),Inputs!$F$18-SQRT((1-J1284)*(Inputs!$F$18-Inputs!$D$18)*(Inputs!$F$18-Inputs!$E$18)))</f>
        <v>0.934679576156901</v>
      </c>
      <c r="L1284" s="81" t="n">
        <f aca="true">RAND()</f>
        <v>0.663773347954952</v>
      </c>
      <c r="M1284" s="83" t="n">
        <f aca="false">IF(L1284&lt;(Inputs!$E$24-Inputs!$D$24)/(Inputs!$F$24-Inputs!$D$24),Inputs!$D$24+SQRT(L1284*(Inputs!$F$24-Inputs!$D$24)*(Inputs!$E$24-Inputs!$D$24)),Inputs!$F$24-SQRT((1-L1284)*(Inputs!$F$24-Inputs!$D$24)*(Inputs!$F$24-Inputs!$E$24)))</f>
        <v>0.915932408587654</v>
      </c>
      <c r="N1284" s="81" t="n">
        <f aca="true">RAND()</f>
        <v>0.2314501947648</v>
      </c>
      <c r="O1284" s="83" t="n">
        <f aca="false">IF(N1284&lt;(Inputs!$E$26-Inputs!$D$26)/(Inputs!$F$26-Inputs!$D$26),Inputs!$D$26+SQRT(N1284*(Inputs!$F$26-Inputs!$D$26)*(Inputs!$E$26-Inputs!$D$26)),Inputs!$F$26-SQRT((1-N1284)*(Inputs!$F$26-Inputs!$D$26)*(Inputs!$F$26-Inputs!$E$26)))</f>
        <v>0.496248088930473</v>
      </c>
      <c r="P1284" s="81" t="n">
        <f aca="true">RAND()</f>
        <v>0.28543093203373</v>
      </c>
      <c r="Q1284" s="82" t="n">
        <f aca="false">IF(P1284&lt;(Inputs!$E$27-Inputs!$D$27)/(Inputs!$F$27-Inputs!$D$27),Inputs!$D$27+SQRT(P1284*(Inputs!$F$27-Inputs!$D$27)*(Inputs!$E$27-Inputs!$D$27)),Inputs!$F$27-SQRT((1-P1284)*(Inputs!$F$27-Inputs!$D$27)*(Inputs!$F$27-Inputs!$E$27)))</f>
        <v>76.7929784122655</v>
      </c>
      <c r="R1284" s="81" t="n">
        <f aca="true">RAND()</f>
        <v>0.463092921069079</v>
      </c>
      <c r="S1284" s="82" t="n">
        <f aca="false">IF(R1284&lt;(Inputs!$E$29-Inputs!$D$29)/(Inputs!$F$29-Inputs!$D$29),Inputs!$D$29+SQRT(R1284*(Inputs!$F$29-Inputs!$D$29)*(Inputs!$E$29-Inputs!$D$29)),Inputs!$F$29-SQRT((1-R1284)*(Inputs!$F$29-Inputs!$D$29)*(Inputs!$F$29-Inputs!$E$29)))</f>
        <v>6.64548503735736</v>
      </c>
      <c r="T1284" s="68" t="n">
        <f aca="false">Inputs!$E$9*(1+E1284)+Inputs!$E$5*C1284*(Inputs!$E$11*Inputs!$E$14*(G1284*I1284/Inputs!$E$16+(1-G1284))*K1284+Inputs!$E$23*M1284)*(1+O1284)+Inputs!$E$5*(Q1284+S1284)</f>
        <v>6376.22212231175</v>
      </c>
    </row>
    <row r="1285" customFormat="false" ht="15" hidden="false" customHeight="false" outlineLevel="0" collapsed="false">
      <c r="A1285" s="1" t="n">
        <v>1281</v>
      </c>
      <c r="B1285" s="81" t="n">
        <f aca="true">RAND()</f>
        <v>0.930564842743634</v>
      </c>
      <c r="C1285" s="82" t="n">
        <f aca="false">ROUND(IF(B1285&lt;(Inputs!$E$8-Inputs!$D$8)/(Inputs!$F$8-Inputs!$D$8),Inputs!$D$8+SQRT(B1285*(Inputs!$F$8-Inputs!$D$8)*(Inputs!$E$8-Inputs!$D$8)),Inputs!$F$8-SQRT((1-B1285)*(Inputs!$F$8-Inputs!$D$8)*(Inputs!$F$8-Inputs!$E$8))),0)</f>
        <v>28</v>
      </c>
      <c r="D1285" s="81" t="n">
        <f aca="true">RAND()</f>
        <v>0.756066716239483</v>
      </c>
      <c r="E1285" s="83" t="n">
        <f aca="false">IF(D1285&lt;(Inputs!$E$10-Inputs!$D$10)/(Inputs!$F$10-Inputs!$D$10),Inputs!$D$10+SQRT(D1285*(Inputs!$F$10-Inputs!$D$10)*(Inputs!$E$10-Inputs!$D$10)),Inputs!$F$10-SQRT((1-D1285)*(Inputs!$F$10-Inputs!$D$10)*(Inputs!$F$10-Inputs!$E$10)))</f>
        <v>0.114454699060582</v>
      </c>
      <c r="F1285" s="81" t="n">
        <f aca="true">RAND()</f>
        <v>0.62380583554469</v>
      </c>
      <c r="G1285" s="83" t="n">
        <f aca="false">IF(F1285&lt;(Inputs!$E$15-Inputs!$D$15)/(Inputs!$F$15-Inputs!$D$15),Inputs!$D$15+SQRT(F1285*(Inputs!$F$15-Inputs!$D$15)*(Inputs!$E$15-Inputs!$D$15)),Inputs!$F$15-SQRT((1-F1285)*(Inputs!$F$15-Inputs!$D$15)*(Inputs!$F$15-Inputs!$E$15)))</f>
        <v>0.713259678988914</v>
      </c>
      <c r="H1285" s="81" t="n">
        <f aca="true">RAND()</f>
        <v>0.546488500899074</v>
      </c>
      <c r="I1285" s="82" t="n">
        <f aca="false">ROUND(IF(H1285&lt;(Inputs!$E$17-Inputs!$D$17)/(Inputs!$F$17-Inputs!$D$17),Inputs!$D$17+SQRT(H1285*(Inputs!$F$17-Inputs!$D$17)*(Inputs!$E$17-Inputs!$D$17)),Inputs!$F$17-SQRT((1-H1285)*(Inputs!$F$17-Inputs!$D$17)*(Inputs!$F$17-Inputs!$E$17))),0)</f>
        <v>107</v>
      </c>
      <c r="J1285" s="81" t="n">
        <f aca="true">RAND()</f>
        <v>0.572734059226956</v>
      </c>
      <c r="K1285" s="83" t="n">
        <f aca="false">IF(J1285&lt;(Inputs!$E$18-Inputs!$D$18)/(Inputs!$F$18-Inputs!$D$18),Inputs!$D$18+SQRT(J1285*(Inputs!$F$18-Inputs!$D$18)*(Inputs!$E$18-Inputs!$D$18)),Inputs!$F$18-SQRT((1-J1285)*(Inputs!$F$18-Inputs!$D$18)*(Inputs!$F$18-Inputs!$E$18)))</f>
        <v>1.05664599870279</v>
      </c>
      <c r="L1285" s="81" t="n">
        <f aca="true">RAND()</f>
        <v>0.872443996555699</v>
      </c>
      <c r="M1285" s="83" t="n">
        <f aca="false">IF(L1285&lt;(Inputs!$E$24-Inputs!$D$24)/(Inputs!$F$24-Inputs!$D$24),Inputs!$D$24+SQRT(L1285*(Inputs!$F$24-Inputs!$D$24)*(Inputs!$E$24-Inputs!$D$24)),Inputs!$F$24-SQRT((1-L1285)*(Inputs!$F$24-Inputs!$D$24)*(Inputs!$F$24-Inputs!$E$24)))</f>
        <v>1.02503302932658</v>
      </c>
      <c r="N1285" s="81" t="n">
        <f aca="true">RAND()</f>
        <v>0.874958797293828</v>
      </c>
      <c r="O1285" s="83" t="n">
        <f aca="false">IF(N1285&lt;(Inputs!$E$26-Inputs!$D$26)/(Inputs!$F$26-Inputs!$D$26),Inputs!$D$26+SQRT(N1285*(Inputs!$F$26-Inputs!$D$26)*(Inputs!$E$26-Inputs!$D$26)),Inputs!$F$26-SQRT((1-N1285)*(Inputs!$F$26-Inputs!$D$26)*(Inputs!$F$26-Inputs!$E$26)))</f>
        <v>0.705963667713128</v>
      </c>
      <c r="P1285" s="81" t="n">
        <f aca="true">RAND()</f>
        <v>0.206279849756508</v>
      </c>
      <c r="Q1285" s="82" t="n">
        <f aca="false">IF(P1285&lt;(Inputs!$E$27-Inputs!$D$27)/(Inputs!$F$27-Inputs!$D$27),Inputs!$D$27+SQRT(P1285*(Inputs!$F$27-Inputs!$D$27)*(Inputs!$E$27-Inputs!$D$27)),Inputs!$F$27-SQRT((1-P1285)*(Inputs!$F$27-Inputs!$D$27)*(Inputs!$F$27-Inputs!$E$27)))</f>
        <v>72.7090207712986</v>
      </c>
      <c r="R1285" s="81" t="n">
        <f aca="true">RAND()</f>
        <v>0.982458299360743</v>
      </c>
      <c r="S1285" s="82" t="n">
        <f aca="false">IF(R1285&lt;(Inputs!$E$29-Inputs!$D$29)/(Inputs!$F$29-Inputs!$D$29),Inputs!$D$29+SQRT(R1285*(Inputs!$F$29-Inputs!$D$29)*(Inputs!$E$29-Inputs!$D$29)),Inputs!$F$29-SQRT((1-R1285)*(Inputs!$F$29-Inputs!$D$29)*(Inputs!$F$29-Inputs!$E$29)))</f>
        <v>13.4898936848343</v>
      </c>
      <c r="T1285" s="68" t="n">
        <f aca="false">Inputs!$E$9*(1+E1285)+Inputs!$E$5*C1285*(Inputs!$E$11*Inputs!$E$14*(G1285*I1285/Inputs!$E$16+(1-G1285))*K1285+Inputs!$E$23*M1285)*(1+O1285)+Inputs!$E$5*(Q1285+S1285)</f>
        <v>7346.49236141306</v>
      </c>
    </row>
    <row r="1286" customFormat="false" ht="15" hidden="false" customHeight="false" outlineLevel="0" collapsed="false">
      <c r="A1286" s="1" t="n">
        <v>1282</v>
      </c>
      <c r="B1286" s="81" t="n">
        <f aca="true">RAND()</f>
        <v>0.248654975399999</v>
      </c>
      <c r="C1286" s="82" t="n">
        <f aca="false">ROUND(IF(B1286&lt;(Inputs!$E$8-Inputs!$D$8)/(Inputs!$F$8-Inputs!$D$8),Inputs!$D$8+SQRT(B1286*(Inputs!$F$8-Inputs!$D$8)*(Inputs!$E$8-Inputs!$D$8)),Inputs!$F$8-SQRT((1-B1286)*(Inputs!$F$8-Inputs!$D$8)*(Inputs!$F$8-Inputs!$E$8))),0)</f>
        <v>24</v>
      </c>
      <c r="D1286" s="81" t="n">
        <f aca="true">RAND()</f>
        <v>0.544581606645765</v>
      </c>
      <c r="E1286" s="83" t="n">
        <f aca="false">IF(D1286&lt;(Inputs!$E$10-Inputs!$D$10)/(Inputs!$F$10-Inputs!$D$10),Inputs!$D$10+SQRT(D1286*(Inputs!$F$10-Inputs!$D$10)*(Inputs!$E$10-Inputs!$D$10)),Inputs!$F$10-SQRT((1-D1286)*(Inputs!$F$10-Inputs!$D$10)*(Inputs!$F$10-Inputs!$E$10)))</f>
        <v>0.0831130811398168</v>
      </c>
      <c r="F1286" s="81" t="n">
        <f aca="true">RAND()</f>
        <v>0.375493306087452</v>
      </c>
      <c r="G1286" s="83" t="n">
        <f aca="false">IF(F1286&lt;(Inputs!$E$15-Inputs!$D$15)/(Inputs!$F$15-Inputs!$D$15),Inputs!$D$15+SQRT(F1286*(Inputs!$F$15-Inputs!$D$15)*(Inputs!$E$15-Inputs!$D$15)),Inputs!$F$15-SQRT((1-F1286)*(Inputs!$F$15-Inputs!$D$15)*(Inputs!$F$15-Inputs!$E$15)))</f>
        <v>0.686659483738071</v>
      </c>
      <c r="H1286" s="81" t="n">
        <f aca="true">RAND()</f>
        <v>0.814482790454814</v>
      </c>
      <c r="I1286" s="82" t="n">
        <f aca="false">ROUND(IF(H1286&lt;(Inputs!$E$17-Inputs!$D$17)/(Inputs!$F$17-Inputs!$D$17),Inputs!$D$17+SQRT(H1286*(Inputs!$F$17-Inputs!$D$17)*(Inputs!$E$17-Inputs!$D$17)),Inputs!$F$17-SQRT((1-H1286)*(Inputs!$F$17-Inputs!$D$17)*(Inputs!$F$17-Inputs!$E$17))),0)</f>
        <v>110</v>
      </c>
      <c r="J1286" s="81" t="n">
        <f aca="true">RAND()</f>
        <v>0.309201436066987</v>
      </c>
      <c r="K1286" s="83" t="n">
        <f aca="false">IF(J1286&lt;(Inputs!$E$18-Inputs!$D$18)/(Inputs!$F$18-Inputs!$D$18),Inputs!$D$18+SQRT(J1286*(Inputs!$F$18-Inputs!$D$18)*(Inputs!$E$18-Inputs!$D$18)),Inputs!$F$18-SQRT((1-J1286)*(Inputs!$F$18-Inputs!$D$18)*(Inputs!$F$18-Inputs!$E$18)))</f>
        <v>1.0041446068435</v>
      </c>
      <c r="L1286" s="81" t="n">
        <f aca="true">RAND()</f>
        <v>0.364073370210138</v>
      </c>
      <c r="M1286" s="83" t="n">
        <f aca="false">IF(L1286&lt;(Inputs!$E$24-Inputs!$D$24)/(Inputs!$F$24-Inputs!$D$24),Inputs!$D$24+SQRT(L1286*(Inputs!$F$24-Inputs!$D$24)*(Inputs!$E$24-Inputs!$D$24)),Inputs!$F$24-SQRT((1-L1286)*(Inputs!$F$24-Inputs!$D$24)*(Inputs!$F$24-Inputs!$E$24)))</f>
        <v>0.809330841824483</v>
      </c>
      <c r="N1286" s="81" t="n">
        <f aca="true">RAND()</f>
        <v>0.300973831755746</v>
      </c>
      <c r="O1286" s="83" t="n">
        <f aca="false">IF(N1286&lt;(Inputs!$E$26-Inputs!$D$26)/(Inputs!$F$26-Inputs!$D$26),Inputs!$D$26+SQRT(N1286*(Inputs!$F$26-Inputs!$D$26)*(Inputs!$E$26-Inputs!$D$26)),Inputs!$F$26-SQRT((1-N1286)*(Inputs!$F$26-Inputs!$D$26)*(Inputs!$F$26-Inputs!$E$26)))</f>
        <v>0.523790182099564</v>
      </c>
      <c r="P1286" s="81" t="n">
        <f aca="true">RAND()</f>
        <v>0.664691527045306</v>
      </c>
      <c r="Q1286" s="82" t="n">
        <f aca="false">IF(P1286&lt;(Inputs!$E$27-Inputs!$D$27)/(Inputs!$F$27-Inputs!$D$27),Inputs!$D$27+SQRT(P1286*(Inputs!$F$27-Inputs!$D$27)*(Inputs!$E$27-Inputs!$D$27)),Inputs!$F$27-SQRT((1-P1286)*(Inputs!$F$27-Inputs!$D$27)*(Inputs!$F$27-Inputs!$E$27)))</f>
        <v>99.8520833218348</v>
      </c>
      <c r="R1286" s="81" t="n">
        <f aca="true">RAND()</f>
        <v>0.153335287103565</v>
      </c>
      <c r="S1286" s="82" t="n">
        <f aca="false">IF(R1286&lt;(Inputs!$E$29-Inputs!$D$29)/(Inputs!$F$29-Inputs!$D$29),Inputs!$D$29+SQRT(R1286*(Inputs!$F$29-Inputs!$D$29)*(Inputs!$E$29-Inputs!$D$29)),Inputs!$F$29-SQRT((1-R1286)*(Inputs!$F$29-Inputs!$D$29)*(Inputs!$F$29-Inputs!$E$29)))</f>
        <v>4.44541943172108</v>
      </c>
      <c r="T1286" s="68" t="n">
        <f aca="false">Inputs!$E$9*(1+E1286)+Inputs!$E$5*C1286*(Inputs!$E$11*Inputs!$E$14*(G1286*I1286/Inputs!$E$16+(1-G1286))*K1286+Inputs!$E$23*M1286)*(1+O1286)+Inputs!$E$5*(Q1286+S1286)</f>
        <v>6000.37057546136</v>
      </c>
    </row>
    <row r="1287" customFormat="false" ht="15" hidden="false" customHeight="false" outlineLevel="0" collapsed="false">
      <c r="A1287" s="1" t="n">
        <v>1283</v>
      </c>
      <c r="B1287" s="81" t="n">
        <f aca="true">RAND()</f>
        <v>0.511667170915092</v>
      </c>
      <c r="C1287" s="82" t="n">
        <f aca="false">ROUND(IF(B1287&lt;(Inputs!$E$8-Inputs!$D$8)/(Inputs!$F$8-Inputs!$D$8),Inputs!$D$8+SQRT(B1287*(Inputs!$F$8-Inputs!$D$8)*(Inputs!$E$8-Inputs!$D$8)),Inputs!$F$8-SQRT((1-B1287)*(Inputs!$F$8-Inputs!$D$8)*(Inputs!$F$8-Inputs!$E$8))),0)</f>
        <v>25</v>
      </c>
      <c r="D1287" s="81" t="n">
        <f aca="true">RAND()</f>
        <v>0.0827505966500171</v>
      </c>
      <c r="E1287" s="83" t="n">
        <f aca="false">IF(D1287&lt;(Inputs!$E$10-Inputs!$D$10)/(Inputs!$F$10-Inputs!$D$10),Inputs!$D$10+SQRT(D1287*(Inputs!$F$10-Inputs!$D$10)*(Inputs!$E$10-Inputs!$D$10)),Inputs!$F$10-SQRT((1-D1287)*(Inputs!$F$10-Inputs!$D$10)*(Inputs!$F$10-Inputs!$E$10)))</f>
        <v>0.0287664034335224</v>
      </c>
      <c r="F1287" s="81" t="n">
        <f aca="true">RAND()</f>
        <v>0.654882516234485</v>
      </c>
      <c r="G1287" s="83" t="n">
        <f aca="false">IF(F1287&lt;(Inputs!$E$15-Inputs!$D$15)/(Inputs!$F$15-Inputs!$D$15),Inputs!$D$15+SQRT(F1287*(Inputs!$F$15-Inputs!$D$15)*(Inputs!$E$15-Inputs!$D$15)),Inputs!$F$15-SQRT((1-F1287)*(Inputs!$F$15-Inputs!$D$15)*(Inputs!$F$15-Inputs!$E$15)))</f>
        <v>0.71691961919135</v>
      </c>
      <c r="H1287" s="81" t="n">
        <f aca="true">RAND()</f>
        <v>0.568589255537827</v>
      </c>
      <c r="I1287" s="82" t="n">
        <f aca="false">ROUND(IF(H1287&lt;(Inputs!$E$17-Inputs!$D$17)/(Inputs!$F$17-Inputs!$D$17),Inputs!$D$17+SQRT(H1287*(Inputs!$F$17-Inputs!$D$17)*(Inputs!$E$17-Inputs!$D$17)),Inputs!$F$17-SQRT((1-H1287)*(Inputs!$F$17-Inputs!$D$17)*(Inputs!$F$17-Inputs!$E$17))),0)</f>
        <v>107</v>
      </c>
      <c r="J1287" s="81" t="n">
        <f aca="true">RAND()</f>
        <v>0.32794517027056</v>
      </c>
      <c r="K1287" s="83" t="n">
        <f aca="false">IF(J1287&lt;(Inputs!$E$18-Inputs!$D$18)/(Inputs!$F$18-Inputs!$D$18),Inputs!$D$18+SQRT(J1287*(Inputs!$F$18-Inputs!$D$18)*(Inputs!$E$18-Inputs!$D$18)),Inputs!$F$18-SQRT((1-J1287)*(Inputs!$F$18-Inputs!$D$18)*(Inputs!$F$18-Inputs!$E$18)))</f>
        <v>1.00750299465493</v>
      </c>
      <c r="L1287" s="81" t="n">
        <f aca="true">RAND()</f>
        <v>0.791734438367682</v>
      </c>
      <c r="M1287" s="83" t="n">
        <f aca="false">IF(L1287&lt;(Inputs!$E$24-Inputs!$D$24)/(Inputs!$F$24-Inputs!$D$24),Inputs!$D$24+SQRT(L1287*(Inputs!$F$24-Inputs!$D$24)*(Inputs!$E$24-Inputs!$D$24)),Inputs!$F$24-SQRT((1-L1287)*(Inputs!$F$24-Inputs!$D$24)*(Inputs!$F$24-Inputs!$E$24)))</f>
        <v>0.976429575319641</v>
      </c>
      <c r="N1287" s="81" t="n">
        <f aca="true">RAND()</f>
        <v>0.737472242129803</v>
      </c>
      <c r="O1287" s="83" t="n">
        <f aca="false">IF(N1287&lt;(Inputs!$E$26-Inputs!$D$26)/(Inputs!$F$26-Inputs!$D$26),Inputs!$D$26+SQRT(N1287*(Inputs!$F$26-Inputs!$D$26)*(Inputs!$E$26-Inputs!$D$26)),Inputs!$F$26-SQRT((1-N1287)*(Inputs!$F$26-Inputs!$D$26)*(Inputs!$F$26-Inputs!$E$26)))</f>
        <v>0.654764147902156</v>
      </c>
      <c r="P1287" s="81" t="n">
        <f aca="true">RAND()</f>
        <v>0.524898785720483</v>
      </c>
      <c r="Q1287" s="82" t="n">
        <f aca="false">IF(P1287&lt;(Inputs!$E$27-Inputs!$D$27)/(Inputs!$F$27-Inputs!$D$27),Inputs!$D$27+SQRT(P1287*(Inputs!$F$27-Inputs!$D$27)*(Inputs!$E$27-Inputs!$D$27)),Inputs!$F$27-SQRT((1-P1287)*(Inputs!$F$27-Inputs!$D$27)*(Inputs!$F$27-Inputs!$E$27)))</f>
        <v>90.3069593076682</v>
      </c>
      <c r="R1287" s="81" t="n">
        <f aca="true">RAND()</f>
        <v>0.858171784408337</v>
      </c>
      <c r="S1287" s="82" t="n">
        <f aca="false">IF(R1287&lt;(Inputs!$E$29-Inputs!$D$29)/(Inputs!$F$29-Inputs!$D$29),Inputs!$D$29+SQRT(R1287*(Inputs!$F$29-Inputs!$D$29)*(Inputs!$E$29-Inputs!$D$29)),Inputs!$F$29-SQRT((1-R1287)*(Inputs!$F$29-Inputs!$D$29)*(Inputs!$F$29-Inputs!$E$29)))</f>
        <v>10.7060894249046</v>
      </c>
      <c r="T1287" s="68" t="n">
        <f aca="false">Inputs!$E$9*(1+E1287)+Inputs!$E$5*C1287*(Inputs!$E$11*Inputs!$E$14*(G1287*I1287/Inputs!$E$16+(1-G1287))*K1287+Inputs!$E$23*M1287)*(1+O1287)+Inputs!$E$5*(Q1287+S1287)</f>
        <v>6448.06416321346</v>
      </c>
    </row>
    <row r="1288" customFormat="false" ht="15" hidden="false" customHeight="false" outlineLevel="0" collapsed="false">
      <c r="A1288" s="1" t="n">
        <v>1284</v>
      </c>
      <c r="B1288" s="81" t="n">
        <f aca="true">RAND()</f>
        <v>0.521847086617901</v>
      </c>
      <c r="C1288" s="82" t="n">
        <f aca="false">ROUND(IF(B1288&lt;(Inputs!$E$8-Inputs!$D$8)/(Inputs!$F$8-Inputs!$D$8),Inputs!$D$8+SQRT(B1288*(Inputs!$F$8-Inputs!$D$8)*(Inputs!$E$8-Inputs!$D$8)),Inputs!$F$8-SQRT((1-B1288)*(Inputs!$F$8-Inputs!$D$8)*(Inputs!$F$8-Inputs!$E$8))),0)</f>
        <v>25</v>
      </c>
      <c r="D1288" s="81" t="n">
        <f aca="true">RAND()</f>
        <v>0.809891251792399</v>
      </c>
      <c r="E1288" s="83" t="n">
        <f aca="false">IF(D1288&lt;(Inputs!$E$10-Inputs!$D$10)/(Inputs!$F$10-Inputs!$D$10),Inputs!$D$10+SQRT(D1288*(Inputs!$F$10-Inputs!$D$10)*(Inputs!$E$10-Inputs!$D$10)),Inputs!$F$10-SQRT((1-D1288)*(Inputs!$F$10-Inputs!$D$10)*(Inputs!$F$10-Inputs!$E$10)))</f>
        <v>0.124480052660055</v>
      </c>
      <c r="F1288" s="81" t="n">
        <f aca="true">RAND()</f>
        <v>0.928808153986125</v>
      </c>
      <c r="G1288" s="83" t="n">
        <f aca="false">IF(F1288&lt;(Inputs!$E$15-Inputs!$D$15)/(Inputs!$F$15-Inputs!$D$15),Inputs!$D$15+SQRT(F1288*(Inputs!$F$15-Inputs!$D$15)*(Inputs!$E$15-Inputs!$D$15)),Inputs!$F$15-SQRT((1-F1288)*(Inputs!$F$15-Inputs!$D$15)*(Inputs!$F$15-Inputs!$E$15)))</f>
        <v>0.762266236335644</v>
      </c>
      <c r="H1288" s="81" t="n">
        <f aca="true">RAND()</f>
        <v>0.55309131981526</v>
      </c>
      <c r="I1288" s="82" t="n">
        <f aca="false">ROUND(IF(H1288&lt;(Inputs!$E$17-Inputs!$D$17)/(Inputs!$F$17-Inputs!$D$17),Inputs!$D$17+SQRT(H1288*(Inputs!$F$17-Inputs!$D$17)*(Inputs!$E$17-Inputs!$D$17)),Inputs!$F$17-SQRT((1-H1288)*(Inputs!$F$17-Inputs!$D$17)*(Inputs!$F$17-Inputs!$E$17))),0)</f>
        <v>107</v>
      </c>
      <c r="J1288" s="81" t="n">
        <f aca="true">RAND()</f>
        <v>0.106174067476575</v>
      </c>
      <c r="K1288" s="83" t="n">
        <f aca="false">IF(J1288&lt;(Inputs!$E$18-Inputs!$D$18)/(Inputs!$F$18-Inputs!$D$18),Inputs!$D$18+SQRT(J1288*(Inputs!$F$18-Inputs!$D$18)*(Inputs!$E$18-Inputs!$D$18)),Inputs!$F$18-SQRT((1-J1288)*(Inputs!$F$18-Inputs!$D$18)*(Inputs!$F$18-Inputs!$E$18)))</f>
        <v>0.960959760183912</v>
      </c>
      <c r="L1288" s="81" t="n">
        <f aca="true">RAND()</f>
        <v>0.7212822255518</v>
      </c>
      <c r="M1288" s="83" t="n">
        <f aca="false">IF(L1288&lt;(Inputs!$E$24-Inputs!$D$24)/(Inputs!$F$24-Inputs!$D$24),Inputs!$D$24+SQRT(L1288*(Inputs!$F$24-Inputs!$D$24)*(Inputs!$E$24-Inputs!$D$24)),Inputs!$F$24-SQRT((1-L1288)*(Inputs!$F$24-Inputs!$D$24)*(Inputs!$F$24-Inputs!$E$24)))</f>
        <v>0.941364608246342</v>
      </c>
      <c r="N1288" s="81" t="n">
        <f aca="true">RAND()</f>
        <v>0.507609768056412</v>
      </c>
      <c r="O1288" s="83" t="n">
        <f aca="false">IF(N1288&lt;(Inputs!$E$26-Inputs!$D$26)/(Inputs!$F$26-Inputs!$D$26),Inputs!$D$26+SQRT(N1288*(Inputs!$F$26-Inputs!$D$26)*(Inputs!$E$26-Inputs!$D$26)),Inputs!$F$26-SQRT((1-N1288)*(Inputs!$F$26-Inputs!$D$26)*(Inputs!$F$26-Inputs!$E$26)))</f>
        <v>0.590630806014412</v>
      </c>
      <c r="P1288" s="81" t="n">
        <f aca="true">RAND()</f>
        <v>0.611696045388613</v>
      </c>
      <c r="Q1288" s="82" t="n">
        <f aca="false">IF(P1288&lt;(Inputs!$E$27-Inputs!$D$27)/(Inputs!$F$27-Inputs!$D$27),Inputs!$D$27+SQRT(P1288*(Inputs!$F$27-Inputs!$D$27)*(Inputs!$E$27-Inputs!$D$27)),Inputs!$F$27-SQRT((1-P1288)*(Inputs!$F$27-Inputs!$D$27)*(Inputs!$F$27-Inputs!$E$27)))</f>
        <v>96.0344585908248</v>
      </c>
      <c r="R1288" s="81" t="n">
        <f aca="true">RAND()</f>
        <v>0.909613757134015</v>
      </c>
      <c r="S1288" s="82" t="n">
        <f aca="false">IF(R1288&lt;(Inputs!$E$29-Inputs!$D$29)/(Inputs!$F$29-Inputs!$D$29),Inputs!$D$29+SQRT(R1288*(Inputs!$F$29-Inputs!$D$29)*(Inputs!$E$29-Inputs!$D$29)),Inputs!$F$29-SQRT((1-R1288)*(Inputs!$F$29-Inputs!$D$29)*(Inputs!$F$29-Inputs!$E$29)))</f>
        <v>11.5721418389061</v>
      </c>
      <c r="T1288" s="68" t="n">
        <f aca="false">Inputs!$E$9*(1+E1288)+Inputs!$E$5*C1288*(Inputs!$E$11*Inputs!$E$14*(G1288*I1288/Inputs!$E$16+(1-G1288))*K1288+Inputs!$E$23*M1288)*(1+O1288)+Inputs!$E$5*(Q1288+S1288)</f>
        <v>6343.5581988489</v>
      </c>
    </row>
    <row r="1289" customFormat="false" ht="15" hidden="false" customHeight="false" outlineLevel="0" collapsed="false">
      <c r="A1289" s="1" t="n">
        <v>1285</v>
      </c>
      <c r="B1289" s="81" t="n">
        <f aca="true">RAND()</f>
        <v>0.281954514047191</v>
      </c>
      <c r="C1289" s="82" t="n">
        <f aca="false">ROUND(IF(B1289&lt;(Inputs!$E$8-Inputs!$D$8)/(Inputs!$F$8-Inputs!$D$8),Inputs!$D$8+SQRT(B1289*(Inputs!$F$8-Inputs!$D$8)*(Inputs!$E$8-Inputs!$D$8)),Inputs!$F$8-SQRT((1-B1289)*(Inputs!$F$8-Inputs!$D$8)*(Inputs!$F$8-Inputs!$E$8))),0)</f>
        <v>24</v>
      </c>
      <c r="D1289" s="81" t="n">
        <f aca="true">RAND()</f>
        <v>0.315437158815099</v>
      </c>
      <c r="E1289" s="83" t="n">
        <f aca="false">IF(D1289&lt;(Inputs!$E$10-Inputs!$D$10)/(Inputs!$F$10-Inputs!$D$10),Inputs!$D$10+SQRT(D1289*(Inputs!$F$10-Inputs!$D$10)*(Inputs!$E$10-Inputs!$D$10)),Inputs!$F$10-SQRT((1-D1289)*(Inputs!$F$10-Inputs!$D$10)*(Inputs!$F$10-Inputs!$E$10)))</f>
        <v>0.0566930384260868</v>
      </c>
      <c r="F1289" s="81" t="n">
        <f aca="true">RAND()</f>
        <v>0.467949132713936</v>
      </c>
      <c r="G1289" s="83" t="n">
        <f aca="false">IF(F1289&lt;(Inputs!$E$15-Inputs!$D$15)/(Inputs!$F$15-Inputs!$D$15),Inputs!$D$15+SQRT(F1289*(Inputs!$F$15-Inputs!$D$15)*(Inputs!$E$15-Inputs!$D$15)),Inputs!$F$15-SQRT((1-F1289)*(Inputs!$F$15-Inputs!$D$15)*(Inputs!$F$15-Inputs!$E$15)))</f>
        <v>0.696741835078102</v>
      </c>
      <c r="H1289" s="81" t="n">
        <f aca="true">RAND()</f>
        <v>0.384512231376247</v>
      </c>
      <c r="I1289" s="82" t="n">
        <f aca="false">ROUND(IF(H1289&lt;(Inputs!$E$17-Inputs!$D$17)/(Inputs!$F$17-Inputs!$D$17),Inputs!$D$17+SQRT(H1289*(Inputs!$F$17-Inputs!$D$17)*(Inputs!$E$17-Inputs!$D$17)),Inputs!$F$17-SQRT((1-H1289)*(Inputs!$F$17-Inputs!$D$17)*(Inputs!$F$17-Inputs!$E$17))),0)</f>
        <v>105</v>
      </c>
      <c r="J1289" s="81" t="n">
        <f aca="true">RAND()</f>
        <v>0.224071180551977</v>
      </c>
      <c r="K1289" s="83" t="n">
        <f aca="false">IF(J1289&lt;(Inputs!$E$18-Inputs!$D$18)/(Inputs!$F$18-Inputs!$D$18),Inputs!$D$18+SQRT(J1289*(Inputs!$F$18-Inputs!$D$18)*(Inputs!$E$18-Inputs!$D$18)),Inputs!$F$18-SQRT((1-J1289)*(Inputs!$F$18-Inputs!$D$18)*(Inputs!$F$18-Inputs!$E$18)))</f>
        <v>0.988557841659105</v>
      </c>
      <c r="L1289" s="81" t="n">
        <f aca="true">RAND()</f>
        <v>0.144278553382005</v>
      </c>
      <c r="M1289" s="83" t="n">
        <f aca="false">IF(L1289&lt;(Inputs!$E$24-Inputs!$D$24)/(Inputs!$F$24-Inputs!$D$24),Inputs!$D$24+SQRT(L1289*(Inputs!$F$24-Inputs!$D$24)*(Inputs!$E$24-Inputs!$D$24)),Inputs!$F$24-SQRT((1-L1289)*(Inputs!$F$24-Inputs!$D$24)*(Inputs!$F$24-Inputs!$E$24)))</f>
        <v>0.731580494017315</v>
      </c>
      <c r="N1289" s="81" t="n">
        <f aca="true">RAND()</f>
        <v>0.593521445602031</v>
      </c>
      <c r="O1289" s="83" t="n">
        <f aca="false">IF(N1289&lt;(Inputs!$E$26-Inputs!$D$26)/(Inputs!$F$26-Inputs!$D$26),Inputs!$D$26+SQRT(N1289*(Inputs!$F$26-Inputs!$D$26)*(Inputs!$E$26-Inputs!$D$26)),Inputs!$F$26-SQRT((1-N1289)*(Inputs!$F$26-Inputs!$D$26)*(Inputs!$F$26-Inputs!$E$26)))</f>
        <v>0.614264170003801</v>
      </c>
      <c r="P1289" s="81" t="n">
        <f aca="true">RAND()</f>
        <v>0.214594573095329</v>
      </c>
      <c r="Q1289" s="82" t="n">
        <f aca="false">IF(P1289&lt;(Inputs!$E$27-Inputs!$D$27)/(Inputs!$F$27-Inputs!$D$27),Inputs!$D$27+SQRT(P1289*(Inputs!$F$27-Inputs!$D$27)*(Inputs!$E$27-Inputs!$D$27)),Inputs!$F$27-SQRT((1-P1289)*(Inputs!$F$27-Inputs!$D$27)*(Inputs!$F$27-Inputs!$E$27)))</f>
        <v>73.1621767702935</v>
      </c>
      <c r="R1289" s="81" t="n">
        <f aca="true">RAND()</f>
        <v>0.339626144687263</v>
      </c>
      <c r="S1289" s="82" t="n">
        <f aca="false">IF(R1289&lt;(Inputs!$E$29-Inputs!$D$29)/(Inputs!$F$29-Inputs!$D$29),Inputs!$D$29+SQRT(R1289*(Inputs!$F$29-Inputs!$D$29)*(Inputs!$E$29-Inputs!$D$29)),Inputs!$F$29-SQRT((1-R1289)*(Inputs!$F$29-Inputs!$D$29)*(Inputs!$F$29-Inputs!$E$29)))</f>
        <v>5.73454797699239</v>
      </c>
      <c r="T1289" s="68" t="n">
        <f aca="false">Inputs!$E$9*(1+E1289)+Inputs!$E$5*C1289*(Inputs!$E$11*Inputs!$E$14*(G1289*I1289/Inputs!$E$16+(1-G1289))*K1289+Inputs!$E$23*M1289)*(1+O1289)+Inputs!$E$5*(Q1289+S1289)</f>
        <v>5790.51994259964</v>
      </c>
    </row>
    <row r="1290" customFormat="false" ht="15" hidden="false" customHeight="false" outlineLevel="0" collapsed="false">
      <c r="A1290" s="1" t="n">
        <v>1286</v>
      </c>
      <c r="B1290" s="81" t="n">
        <f aca="true">RAND()</f>
        <v>0.710113325956763</v>
      </c>
      <c r="C1290" s="82" t="n">
        <f aca="false">ROUND(IF(B1290&lt;(Inputs!$E$8-Inputs!$D$8)/(Inputs!$F$8-Inputs!$D$8),Inputs!$D$8+SQRT(B1290*(Inputs!$F$8-Inputs!$D$8)*(Inputs!$E$8-Inputs!$D$8)),Inputs!$F$8-SQRT((1-B1290)*(Inputs!$F$8-Inputs!$D$8)*(Inputs!$F$8-Inputs!$E$8))),0)</f>
        <v>26</v>
      </c>
      <c r="D1290" s="81" t="n">
        <f aca="true">RAND()</f>
        <v>0.595162610467953</v>
      </c>
      <c r="E1290" s="83" t="n">
        <f aca="false">IF(D1290&lt;(Inputs!$E$10-Inputs!$D$10)/(Inputs!$F$10-Inputs!$D$10),Inputs!$D$10+SQRT(D1290*(Inputs!$F$10-Inputs!$D$10)*(Inputs!$E$10-Inputs!$D$10)),Inputs!$F$10-SQRT((1-D1290)*(Inputs!$F$10-Inputs!$D$10)*(Inputs!$F$10-Inputs!$E$10)))</f>
        <v>0.0897950922782411</v>
      </c>
      <c r="F1290" s="81" t="n">
        <f aca="true">RAND()</f>
        <v>0.670961122754009</v>
      </c>
      <c r="G1290" s="83" t="n">
        <f aca="false">IF(F1290&lt;(Inputs!$E$15-Inputs!$D$15)/(Inputs!$F$15-Inputs!$D$15),Inputs!$D$15+SQRT(F1290*(Inputs!$F$15-Inputs!$D$15)*(Inputs!$E$15-Inputs!$D$15)),Inputs!$F$15-SQRT((1-F1290)*(Inputs!$F$15-Inputs!$D$15)*(Inputs!$F$15-Inputs!$E$15)))</f>
        <v>0.718878008253496</v>
      </c>
      <c r="H1290" s="81" t="n">
        <f aca="true">RAND()</f>
        <v>0.654261332884176</v>
      </c>
      <c r="I1290" s="82" t="n">
        <f aca="false">ROUND(IF(H1290&lt;(Inputs!$E$17-Inputs!$D$17)/(Inputs!$F$17-Inputs!$D$17),Inputs!$D$17+SQRT(H1290*(Inputs!$F$17-Inputs!$D$17)*(Inputs!$E$17-Inputs!$D$17)),Inputs!$F$17-SQRT((1-H1290)*(Inputs!$F$17-Inputs!$D$17)*(Inputs!$F$17-Inputs!$E$17))),0)</f>
        <v>108</v>
      </c>
      <c r="J1290" s="81" t="n">
        <f aca="true">RAND()</f>
        <v>0.092961876443538</v>
      </c>
      <c r="K1290" s="83" t="n">
        <f aca="false">IF(J1290&lt;(Inputs!$E$18-Inputs!$D$18)/(Inputs!$F$18-Inputs!$D$18),Inputs!$D$18+SQRT(J1290*(Inputs!$F$18-Inputs!$D$18)*(Inputs!$E$18-Inputs!$D$18)),Inputs!$F$18-SQRT((1-J1290)*(Inputs!$F$18-Inputs!$D$18)*(Inputs!$F$18-Inputs!$E$18)))</f>
        <v>0.957040912295683</v>
      </c>
      <c r="L1290" s="81" t="n">
        <f aca="true">RAND()</f>
        <v>0.613689864622652</v>
      </c>
      <c r="M1290" s="83" t="n">
        <f aca="false">IF(L1290&lt;(Inputs!$E$24-Inputs!$D$24)/(Inputs!$F$24-Inputs!$D$24),Inputs!$D$24+SQRT(L1290*(Inputs!$F$24-Inputs!$D$24)*(Inputs!$E$24-Inputs!$D$24)),Inputs!$F$24-SQRT((1-L1290)*(Inputs!$F$24-Inputs!$D$24)*(Inputs!$F$24-Inputs!$E$24)))</f>
        <v>0.895509552710494</v>
      </c>
      <c r="N1290" s="81" t="n">
        <f aca="true">RAND()</f>
        <v>0.838906304077225</v>
      </c>
      <c r="O1290" s="83" t="n">
        <f aca="false">IF(N1290&lt;(Inputs!$E$26-Inputs!$D$26)/(Inputs!$F$26-Inputs!$D$26),Inputs!$D$26+SQRT(N1290*(Inputs!$F$26-Inputs!$D$26)*(Inputs!$E$26-Inputs!$D$26)),Inputs!$F$26-SQRT((1-N1290)*(Inputs!$F$26-Inputs!$D$26)*(Inputs!$F$26-Inputs!$E$26)))</f>
        <v>0.690563743966504</v>
      </c>
      <c r="P1290" s="81" t="n">
        <f aca="true">RAND()</f>
        <v>0.101469578934283</v>
      </c>
      <c r="Q1290" s="82" t="n">
        <f aca="false">IF(P1290&lt;(Inputs!$E$27-Inputs!$D$27)/(Inputs!$F$27-Inputs!$D$27),Inputs!$D$27+SQRT(P1290*(Inputs!$F$27-Inputs!$D$27)*(Inputs!$E$27-Inputs!$D$27)),Inputs!$F$27-SQRT((1-P1290)*(Inputs!$F$27-Inputs!$D$27)*(Inputs!$F$27-Inputs!$E$27)))</f>
        <v>65.9271449838227</v>
      </c>
      <c r="R1290" s="81" t="n">
        <f aca="true">RAND()</f>
        <v>0.623843446827558</v>
      </c>
      <c r="S1290" s="82" t="n">
        <f aca="false">IF(R1290&lt;(Inputs!$E$29-Inputs!$D$29)/(Inputs!$F$29-Inputs!$D$29),Inputs!$D$29+SQRT(R1290*(Inputs!$F$29-Inputs!$D$29)*(Inputs!$E$29-Inputs!$D$29)),Inputs!$F$29-SQRT((1-R1290)*(Inputs!$F$29-Inputs!$D$29)*(Inputs!$F$29-Inputs!$E$29)))</f>
        <v>8.00712134293627</v>
      </c>
      <c r="T1290" s="68" t="n">
        <f aca="false">Inputs!$E$9*(1+E1290)+Inputs!$E$5*C1290*(Inputs!$E$11*Inputs!$E$14*(G1290*I1290/Inputs!$E$16+(1-G1290))*K1290+Inputs!$E$23*M1290)*(1+O1290)+Inputs!$E$5*(Q1290+S1290)</f>
        <v>6440.83772940678</v>
      </c>
    </row>
    <row r="1291" customFormat="false" ht="15" hidden="false" customHeight="false" outlineLevel="0" collapsed="false">
      <c r="A1291" s="1" t="n">
        <v>1287</v>
      </c>
      <c r="B1291" s="81" t="n">
        <f aca="true">RAND()</f>
        <v>0.407382615722202</v>
      </c>
      <c r="C1291" s="82" t="n">
        <f aca="false">ROUND(IF(B1291&lt;(Inputs!$E$8-Inputs!$D$8)/(Inputs!$F$8-Inputs!$D$8),Inputs!$D$8+SQRT(B1291*(Inputs!$F$8-Inputs!$D$8)*(Inputs!$E$8-Inputs!$D$8)),Inputs!$F$8-SQRT((1-B1291)*(Inputs!$F$8-Inputs!$D$8)*(Inputs!$F$8-Inputs!$E$8))),0)</f>
        <v>25</v>
      </c>
      <c r="D1291" s="81" t="n">
        <f aca="true">RAND()</f>
        <v>0.58581379129242</v>
      </c>
      <c r="E1291" s="83" t="n">
        <f aca="false">IF(D1291&lt;(Inputs!$E$10-Inputs!$D$10)/(Inputs!$F$10-Inputs!$D$10),Inputs!$D$10+SQRT(D1291*(Inputs!$F$10-Inputs!$D$10)*(Inputs!$E$10-Inputs!$D$10)),Inputs!$F$10-SQRT((1-D1291)*(Inputs!$F$10-Inputs!$D$10)*(Inputs!$F$10-Inputs!$E$10)))</f>
        <v>0.0885298862419734</v>
      </c>
      <c r="F1291" s="81" t="n">
        <f aca="true">RAND()</f>
        <v>0.0130147881125984</v>
      </c>
      <c r="G1291" s="83" t="n">
        <f aca="false">IF(F1291&lt;(Inputs!$E$15-Inputs!$D$15)/(Inputs!$F$15-Inputs!$D$15),Inputs!$D$15+SQRT(F1291*(Inputs!$F$15-Inputs!$D$15)*(Inputs!$E$15-Inputs!$D$15)),Inputs!$F$15-SQRT((1-F1291)*(Inputs!$F$15-Inputs!$D$15)*(Inputs!$F$15-Inputs!$E$15)))</f>
        <v>0.616133684088018</v>
      </c>
      <c r="H1291" s="81" t="n">
        <f aca="true">RAND()</f>
        <v>0.6437476451495</v>
      </c>
      <c r="I1291" s="82" t="n">
        <f aca="false">ROUND(IF(H1291&lt;(Inputs!$E$17-Inputs!$D$17)/(Inputs!$F$17-Inputs!$D$17),Inputs!$D$17+SQRT(H1291*(Inputs!$F$17-Inputs!$D$17)*(Inputs!$E$17-Inputs!$D$17)),Inputs!$F$17-SQRT((1-H1291)*(Inputs!$F$17-Inputs!$D$17)*(Inputs!$F$17-Inputs!$E$17))),0)</f>
        <v>108</v>
      </c>
      <c r="J1291" s="81" t="n">
        <f aca="true">RAND()</f>
        <v>0.367939260850237</v>
      </c>
      <c r="K1291" s="83" t="n">
        <f aca="false">IF(J1291&lt;(Inputs!$E$18-Inputs!$D$18)/(Inputs!$F$18-Inputs!$D$18),Inputs!$D$18+SQRT(J1291*(Inputs!$F$18-Inputs!$D$18)*(Inputs!$E$18-Inputs!$D$18)),Inputs!$F$18-SQRT((1-J1291)*(Inputs!$F$18-Inputs!$D$18)*(Inputs!$F$18-Inputs!$E$18)))</f>
        <v>1.01482917979561</v>
      </c>
      <c r="L1291" s="81" t="n">
        <f aca="true">RAND()</f>
        <v>0.087766532151321</v>
      </c>
      <c r="M1291" s="83" t="n">
        <f aca="false">IF(L1291&lt;(Inputs!$E$24-Inputs!$D$24)/(Inputs!$F$24-Inputs!$D$24),Inputs!$D$24+SQRT(L1291*(Inputs!$F$24-Inputs!$D$24)*(Inputs!$E$24-Inputs!$D$24)),Inputs!$F$24-SQRT((1-L1291)*(Inputs!$F$24-Inputs!$D$24)*(Inputs!$F$24-Inputs!$E$24)))</f>
        <v>0.702625454240936</v>
      </c>
      <c r="N1291" s="81" t="n">
        <f aca="true">RAND()</f>
        <v>0.534266040332248</v>
      </c>
      <c r="O1291" s="83" t="n">
        <f aca="false">IF(N1291&lt;(Inputs!$E$26-Inputs!$D$26)/(Inputs!$F$26-Inputs!$D$26),Inputs!$D$26+SQRT(N1291*(Inputs!$F$26-Inputs!$D$26)*(Inputs!$E$26-Inputs!$D$26)),Inputs!$F$26-SQRT((1-N1291)*(Inputs!$F$26-Inputs!$D$26)*(Inputs!$F$26-Inputs!$E$26)))</f>
        <v>0.598164164700063</v>
      </c>
      <c r="P1291" s="81" t="n">
        <f aca="true">RAND()</f>
        <v>0.714137942509161</v>
      </c>
      <c r="Q1291" s="82" t="n">
        <f aca="false">IF(P1291&lt;(Inputs!$E$27-Inputs!$D$27)/(Inputs!$F$27-Inputs!$D$27),Inputs!$D$27+SQRT(P1291*(Inputs!$F$27-Inputs!$D$27)*(Inputs!$E$27-Inputs!$D$27)),Inputs!$F$27-SQRT((1-P1291)*(Inputs!$F$27-Inputs!$D$27)*(Inputs!$F$27-Inputs!$E$27)))</f>
        <v>103.697025676731</v>
      </c>
      <c r="R1291" s="81" t="n">
        <f aca="true">RAND()</f>
        <v>0.888051711652541</v>
      </c>
      <c r="S1291" s="82" t="n">
        <f aca="false">IF(R1291&lt;(Inputs!$E$29-Inputs!$D$29)/(Inputs!$F$29-Inputs!$D$29),Inputs!$D$29+SQRT(R1291*(Inputs!$F$29-Inputs!$D$29)*(Inputs!$E$29-Inputs!$D$29)),Inputs!$F$29-SQRT((1-R1291)*(Inputs!$F$29-Inputs!$D$29)*(Inputs!$F$29-Inputs!$E$29)))</f>
        <v>11.1851241848299</v>
      </c>
      <c r="T1291" s="68" t="n">
        <f aca="false">Inputs!$E$9*(1+E1291)+Inputs!$E$5*C1291*(Inputs!$E$11*Inputs!$E$14*(G1291*I1291/Inputs!$E$16+(1-G1291))*K1291+Inputs!$E$23*M1291)*(1+O1291)+Inputs!$E$5*(Q1291+S1291)</f>
        <v>6291.83232802831</v>
      </c>
    </row>
    <row r="1292" customFormat="false" ht="15" hidden="false" customHeight="false" outlineLevel="0" collapsed="false">
      <c r="A1292" s="1" t="n">
        <v>1288</v>
      </c>
      <c r="B1292" s="81" t="n">
        <f aca="true">RAND()</f>
        <v>0.760585877516825</v>
      </c>
      <c r="C1292" s="82" t="n">
        <f aca="false">ROUND(IF(B1292&lt;(Inputs!$E$8-Inputs!$D$8)/(Inputs!$F$8-Inputs!$D$8),Inputs!$D$8+SQRT(B1292*(Inputs!$F$8-Inputs!$D$8)*(Inputs!$E$8-Inputs!$D$8)),Inputs!$F$8-SQRT((1-B1292)*(Inputs!$F$8-Inputs!$D$8)*(Inputs!$F$8-Inputs!$E$8))),0)</f>
        <v>27</v>
      </c>
      <c r="D1292" s="81" t="n">
        <f aca="true">RAND()</f>
        <v>0.0542530077318088</v>
      </c>
      <c r="E1292" s="83" t="n">
        <f aca="false">IF(D1292&lt;(Inputs!$E$10-Inputs!$D$10)/(Inputs!$F$10-Inputs!$D$10),Inputs!$D$10+SQRT(D1292*(Inputs!$F$10-Inputs!$D$10)*(Inputs!$E$10-Inputs!$D$10)),Inputs!$F$10-SQRT((1-D1292)*(Inputs!$F$10-Inputs!$D$10)*(Inputs!$F$10-Inputs!$E$10)))</f>
        <v>0.023292275056724</v>
      </c>
      <c r="F1292" s="81" t="n">
        <f aca="true">RAND()</f>
        <v>0.314236278097506</v>
      </c>
      <c r="G1292" s="83" t="n">
        <f aca="false">IF(F1292&lt;(Inputs!$E$15-Inputs!$D$15)/(Inputs!$F$15-Inputs!$D$15),Inputs!$D$15+SQRT(F1292*(Inputs!$F$15-Inputs!$D$15)*(Inputs!$E$15-Inputs!$D$15)),Inputs!$F$15-SQRT((1-F1292)*(Inputs!$F$15-Inputs!$D$15)*(Inputs!$F$15-Inputs!$E$15)))</f>
        <v>0.67927626102403</v>
      </c>
      <c r="H1292" s="81" t="n">
        <f aca="true">RAND()</f>
        <v>0.552799103391399</v>
      </c>
      <c r="I1292" s="82" t="n">
        <f aca="false">ROUND(IF(H1292&lt;(Inputs!$E$17-Inputs!$D$17)/(Inputs!$F$17-Inputs!$D$17),Inputs!$D$17+SQRT(H1292*(Inputs!$F$17-Inputs!$D$17)*(Inputs!$E$17-Inputs!$D$17)),Inputs!$F$17-SQRT((1-H1292)*(Inputs!$F$17-Inputs!$D$17)*(Inputs!$F$17-Inputs!$E$17))),0)</f>
        <v>107</v>
      </c>
      <c r="J1292" s="81" t="n">
        <f aca="true">RAND()</f>
        <v>0.176689126083806</v>
      </c>
      <c r="K1292" s="83" t="n">
        <f aca="false">IF(J1292&lt;(Inputs!$E$18-Inputs!$D$18)/(Inputs!$F$18-Inputs!$D$18),Inputs!$D$18+SQRT(J1292*(Inputs!$F$18-Inputs!$D$18)*(Inputs!$E$18-Inputs!$D$18)),Inputs!$F$18-SQRT((1-J1292)*(Inputs!$F$18-Inputs!$D$18)*(Inputs!$F$18-Inputs!$E$18)))</f>
        <v>0.978639172254883</v>
      </c>
      <c r="L1292" s="81" t="n">
        <f aca="true">RAND()</f>
        <v>0.371738954223512</v>
      </c>
      <c r="M1292" s="83" t="n">
        <f aca="false">IF(L1292&lt;(Inputs!$E$24-Inputs!$D$24)/(Inputs!$F$24-Inputs!$D$24),Inputs!$D$24+SQRT(L1292*(Inputs!$F$24-Inputs!$D$24)*(Inputs!$E$24-Inputs!$D$24)),Inputs!$F$24-SQRT((1-L1292)*(Inputs!$F$24-Inputs!$D$24)*(Inputs!$F$24-Inputs!$E$24)))</f>
        <v>0.811692581855102</v>
      </c>
      <c r="N1292" s="81" t="n">
        <f aca="true">RAND()</f>
        <v>0.764566495775858</v>
      </c>
      <c r="O1292" s="83" t="n">
        <f aca="false">IF(N1292&lt;(Inputs!$E$26-Inputs!$D$26)/(Inputs!$F$26-Inputs!$D$26),Inputs!$D$26+SQRT(N1292*(Inputs!$F$26-Inputs!$D$26)*(Inputs!$E$26-Inputs!$D$26)),Inputs!$F$26-SQRT((1-N1292)*(Inputs!$F$26-Inputs!$D$26)*(Inputs!$F$26-Inputs!$E$26)))</f>
        <v>0.663522894839818</v>
      </c>
      <c r="P1292" s="81" t="n">
        <f aca="true">RAND()</f>
        <v>0.789446047520027</v>
      </c>
      <c r="Q1292" s="82" t="n">
        <f aca="false">IF(P1292&lt;(Inputs!$E$27-Inputs!$D$27)/(Inputs!$F$27-Inputs!$D$27),Inputs!$D$27+SQRT(P1292*(Inputs!$F$27-Inputs!$D$27)*(Inputs!$E$27-Inputs!$D$27)),Inputs!$F$27-SQRT((1-P1292)*(Inputs!$F$27-Inputs!$D$27)*(Inputs!$F$27-Inputs!$E$27)))</f>
        <v>110.261421218169</v>
      </c>
      <c r="R1292" s="81" t="n">
        <f aca="true">RAND()</f>
        <v>0.877392821506577</v>
      </c>
      <c r="S1292" s="82" t="n">
        <f aca="false">IF(R1292&lt;(Inputs!$E$29-Inputs!$D$29)/(Inputs!$F$29-Inputs!$D$29),Inputs!$D$29+SQRT(R1292*(Inputs!$F$29-Inputs!$D$29)*(Inputs!$E$29-Inputs!$D$29)),Inputs!$F$29-SQRT((1-R1292)*(Inputs!$F$29-Inputs!$D$29)*(Inputs!$F$29-Inputs!$E$29)))</f>
        <v>11.0076406469175</v>
      </c>
      <c r="T1292" s="68" t="n">
        <f aca="false">Inputs!$E$9*(1+E1292)+Inputs!$E$5*C1292*(Inputs!$E$11*Inputs!$E$14*(G1292*I1292/Inputs!$E$16+(1-G1292))*K1292+Inputs!$E$23*M1292)*(1+O1292)+Inputs!$E$5*(Q1292+S1292)</f>
        <v>6572.98561868628</v>
      </c>
    </row>
    <row r="1293" customFormat="false" ht="15" hidden="false" customHeight="false" outlineLevel="0" collapsed="false">
      <c r="A1293" s="1" t="n">
        <v>1289</v>
      </c>
      <c r="B1293" s="81" t="n">
        <f aca="true">RAND()</f>
        <v>0.065332565151375</v>
      </c>
      <c r="C1293" s="82" t="n">
        <f aca="false">ROUND(IF(B1293&lt;(Inputs!$E$8-Inputs!$D$8)/(Inputs!$F$8-Inputs!$D$8),Inputs!$D$8+SQRT(B1293*(Inputs!$F$8-Inputs!$D$8)*(Inputs!$E$8-Inputs!$D$8)),Inputs!$F$8-SQRT((1-B1293)*(Inputs!$F$8-Inputs!$D$8)*(Inputs!$F$8-Inputs!$E$8))),0)</f>
        <v>22</v>
      </c>
      <c r="D1293" s="81" t="n">
        <f aca="true">RAND()</f>
        <v>0.499748728046997</v>
      </c>
      <c r="E1293" s="83" t="n">
        <f aca="false">IF(D1293&lt;(Inputs!$E$10-Inputs!$D$10)/(Inputs!$F$10-Inputs!$D$10),Inputs!$D$10+SQRT(D1293*(Inputs!$F$10-Inputs!$D$10)*(Inputs!$E$10-Inputs!$D$10)),Inputs!$F$10-SQRT((1-D1293)*(Inputs!$F$10-Inputs!$D$10)*(Inputs!$F$10-Inputs!$E$10)))</f>
        <v>0.0774947423226656</v>
      </c>
      <c r="F1293" s="81" t="n">
        <f aca="true">RAND()</f>
        <v>0.791602726360747</v>
      </c>
      <c r="G1293" s="83" t="n">
        <f aca="false">IF(F1293&lt;(Inputs!$E$15-Inputs!$D$15)/(Inputs!$F$15-Inputs!$D$15),Inputs!$D$15+SQRT(F1293*(Inputs!$F$15-Inputs!$D$15)*(Inputs!$E$15-Inputs!$D$15)),Inputs!$F$15-SQRT((1-F1293)*(Inputs!$F$15-Inputs!$D$15)*(Inputs!$F$15-Inputs!$E$15)))</f>
        <v>0.735440372733534</v>
      </c>
      <c r="H1293" s="81" t="n">
        <f aca="true">RAND()</f>
        <v>0.67830280149498</v>
      </c>
      <c r="I1293" s="82" t="n">
        <f aca="false">ROUND(IF(H1293&lt;(Inputs!$E$17-Inputs!$D$17)/(Inputs!$F$17-Inputs!$D$17),Inputs!$D$17+SQRT(H1293*(Inputs!$F$17-Inputs!$D$17)*(Inputs!$E$17-Inputs!$D$17)),Inputs!$F$17-SQRT((1-H1293)*(Inputs!$F$17-Inputs!$D$17)*(Inputs!$F$17-Inputs!$E$17))),0)</f>
        <v>108</v>
      </c>
      <c r="J1293" s="81" t="n">
        <f aca="true">RAND()</f>
        <v>0.540734032030209</v>
      </c>
      <c r="K1293" s="83" t="n">
        <f aca="false">IF(J1293&lt;(Inputs!$E$18-Inputs!$D$18)/(Inputs!$F$18-Inputs!$D$18),Inputs!$D$18+SQRT(J1293*(Inputs!$F$18-Inputs!$D$18)*(Inputs!$E$18-Inputs!$D$18)),Inputs!$F$18-SQRT((1-J1293)*(Inputs!$F$18-Inputs!$D$18)*(Inputs!$F$18-Inputs!$E$18)))</f>
        <v>1.04953610749724</v>
      </c>
      <c r="L1293" s="81" t="n">
        <f aca="true">RAND()</f>
        <v>0.897110246439256</v>
      </c>
      <c r="M1293" s="83" t="n">
        <f aca="false">IF(L1293&lt;(Inputs!$E$24-Inputs!$D$24)/(Inputs!$F$24-Inputs!$D$24),Inputs!$D$24+SQRT(L1293*(Inputs!$F$24-Inputs!$D$24)*(Inputs!$E$24-Inputs!$D$24)),Inputs!$F$24-SQRT((1-L1293)*(Inputs!$F$24-Inputs!$D$24)*(Inputs!$F$24-Inputs!$E$24)))</f>
        <v>1.04285821416766</v>
      </c>
      <c r="N1293" s="81" t="n">
        <f aca="true">RAND()</f>
        <v>0.320605600407711</v>
      </c>
      <c r="O1293" s="83" t="n">
        <f aca="false">IF(N1293&lt;(Inputs!$E$26-Inputs!$D$26)/(Inputs!$F$26-Inputs!$D$26),Inputs!$D$26+SQRT(N1293*(Inputs!$F$26-Inputs!$D$26)*(Inputs!$E$26-Inputs!$D$26)),Inputs!$F$26-SQRT((1-N1293)*(Inputs!$F$26-Inputs!$D$26)*(Inputs!$F$26-Inputs!$E$26)))</f>
        <v>0.530973530751563</v>
      </c>
      <c r="P1293" s="81" t="n">
        <f aca="true">RAND()</f>
        <v>0.294802034392966</v>
      </c>
      <c r="Q1293" s="82" t="n">
        <f aca="false">IF(P1293&lt;(Inputs!$E$27-Inputs!$D$27)/(Inputs!$F$27-Inputs!$D$27),Inputs!$D$27+SQRT(P1293*(Inputs!$F$27-Inputs!$D$27)*(Inputs!$E$27-Inputs!$D$27)),Inputs!$F$27-SQRT((1-P1293)*(Inputs!$F$27-Inputs!$D$27)*(Inputs!$F$27-Inputs!$E$27)))</f>
        <v>77.2745935586967</v>
      </c>
      <c r="R1293" s="81" t="n">
        <f aca="true">RAND()</f>
        <v>0.951022684466134</v>
      </c>
      <c r="S1293" s="82" t="n">
        <f aca="false">IF(R1293&lt;(Inputs!$E$29-Inputs!$D$29)/(Inputs!$F$29-Inputs!$D$29),Inputs!$D$29+SQRT(R1293*(Inputs!$F$29-Inputs!$D$29)*(Inputs!$E$29-Inputs!$D$29)),Inputs!$F$29-SQRT((1-R1293)*(Inputs!$F$29-Inputs!$D$29)*(Inputs!$F$29-Inputs!$E$29)))</f>
        <v>12.4766983891333</v>
      </c>
      <c r="T1293" s="68" t="n">
        <f aca="false">Inputs!$E$9*(1+E1293)+Inputs!$E$5*C1293*(Inputs!$E$11*Inputs!$E$14*(G1293*I1293/Inputs!$E$16+(1-G1293))*K1293+Inputs!$E$23*M1293)*(1+O1293)+Inputs!$E$5*(Q1293+S1293)</f>
        <v>5960.55504737937</v>
      </c>
    </row>
    <row r="1294" customFormat="false" ht="15" hidden="false" customHeight="false" outlineLevel="0" collapsed="false">
      <c r="A1294" s="1" t="n">
        <v>1290</v>
      </c>
      <c r="B1294" s="81" t="n">
        <f aca="true">RAND()</f>
        <v>0.39742244821938</v>
      </c>
      <c r="C1294" s="82" t="n">
        <f aca="false">ROUND(IF(B1294&lt;(Inputs!$E$8-Inputs!$D$8)/(Inputs!$F$8-Inputs!$D$8),Inputs!$D$8+SQRT(B1294*(Inputs!$F$8-Inputs!$D$8)*(Inputs!$E$8-Inputs!$D$8)),Inputs!$F$8-SQRT((1-B1294)*(Inputs!$F$8-Inputs!$D$8)*(Inputs!$F$8-Inputs!$E$8))),0)</f>
        <v>24</v>
      </c>
      <c r="D1294" s="81" t="n">
        <f aca="true">RAND()</f>
        <v>0.164657668979747</v>
      </c>
      <c r="E1294" s="83" t="n">
        <f aca="false">IF(D1294&lt;(Inputs!$E$10-Inputs!$D$10)/(Inputs!$F$10-Inputs!$D$10),Inputs!$D$10+SQRT(D1294*(Inputs!$F$10-Inputs!$D$10)*(Inputs!$E$10-Inputs!$D$10)),Inputs!$F$10-SQRT((1-D1294)*(Inputs!$F$10-Inputs!$D$10)*(Inputs!$F$10-Inputs!$E$10)))</f>
        <v>0.0405780321084878</v>
      </c>
      <c r="F1294" s="81" t="n">
        <f aca="true">RAND()</f>
        <v>0.210807938579446</v>
      </c>
      <c r="G1294" s="83" t="n">
        <f aca="false">IF(F1294&lt;(Inputs!$E$15-Inputs!$D$15)/(Inputs!$F$15-Inputs!$D$15),Inputs!$D$15+SQRT(F1294*(Inputs!$F$15-Inputs!$D$15)*(Inputs!$E$15-Inputs!$D$15)),Inputs!$F$15-SQRT((1-F1294)*(Inputs!$F$15-Inputs!$D$15)*(Inputs!$F$15-Inputs!$E$15)))</f>
        <v>0.664931954934292</v>
      </c>
      <c r="H1294" s="81" t="n">
        <f aca="true">RAND()</f>
        <v>0.669654024497573</v>
      </c>
      <c r="I1294" s="82" t="n">
        <f aca="false">ROUND(IF(H1294&lt;(Inputs!$E$17-Inputs!$D$17)/(Inputs!$F$17-Inputs!$D$17),Inputs!$D$17+SQRT(H1294*(Inputs!$F$17-Inputs!$D$17)*(Inputs!$E$17-Inputs!$D$17)),Inputs!$F$17-SQRT((1-H1294)*(Inputs!$F$17-Inputs!$D$17)*(Inputs!$F$17-Inputs!$E$17))),0)</f>
        <v>108</v>
      </c>
      <c r="J1294" s="81" t="n">
        <f aca="true">RAND()</f>
        <v>0.440882186806714</v>
      </c>
      <c r="K1294" s="83" t="n">
        <f aca="false">IF(J1294&lt;(Inputs!$E$18-Inputs!$D$18)/(Inputs!$F$18-Inputs!$D$18),Inputs!$D$18+SQRT(J1294*(Inputs!$F$18-Inputs!$D$18)*(Inputs!$E$18-Inputs!$D$18)),Inputs!$F$18-SQRT((1-J1294)*(Inputs!$F$18-Inputs!$D$18)*(Inputs!$F$18-Inputs!$E$18)))</f>
        <v>1.02881498998709</v>
      </c>
      <c r="L1294" s="81" t="n">
        <f aca="true">RAND()</f>
        <v>0.23127367306566</v>
      </c>
      <c r="M1294" s="83" t="n">
        <f aca="false">IF(L1294&lt;(Inputs!$E$24-Inputs!$D$24)/(Inputs!$F$24-Inputs!$D$24),Inputs!$D$24+SQRT(L1294*(Inputs!$F$24-Inputs!$D$24)*(Inputs!$E$24-Inputs!$D$24)),Inputs!$F$24-SQRT((1-L1294)*(Inputs!$F$24-Inputs!$D$24)*(Inputs!$F$24-Inputs!$E$24)))</f>
        <v>0.76659183883936</v>
      </c>
      <c r="N1294" s="81" t="n">
        <f aca="true">RAND()</f>
        <v>0.690825765041313</v>
      </c>
      <c r="O1294" s="83" t="n">
        <f aca="false">IF(N1294&lt;(Inputs!$E$26-Inputs!$D$26)/(Inputs!$F$26-Inputs!$D$26),Inputs!$D$26+SQRT(N1294*(Inputs!$F$26-Inputs!$D$26)*(Inputs!$E$26-Inputs!$D$26)),Inputs!$F$26-SQRT((1-N1294)*(Inputs!$F$26-Inputs!$D$26)*(Inputs!$F$26-Inputs!$E$26)))</f>
        <v>0.640684299528169</v>
      </c>
      <c r="P1294" s="81" t="n">
        <f aca="true">RAND()</f>
        <v>0.581431486800722</v>
      </c>
      <c r="Q1294" s="82" t="n">
        <f aca="false">IF(P1294&lt;(Inputs!$E$27-Inputs!$D$27)/(Inputs!$F$27-Inputs!$D$27),Inputs!$D$27+SQRT(P1294*(Inputs!$F$27-Inputs!$D$27)*(Inputs!$E$27-Inputs!$D$27)),Inputs!$F$27-SQRT((1-P1294)*(Inputs!$F$27-Inputs!$D$27)*(Inputs!$F$27-Inputs!$E$27)))</f>
        <v>93.9708660695653</v>
      </c>
      <c r="R1294" s="81" t="n">
        <f aca="true">RAND()</f>
        <v>0.275017895810783</v>
      </c>
      <c r="S1294" s="82" t="n">
        <f aca="false">IF(R1294&lt;(Inputs!$E$29-Inputs!$D$29)/(Inputs!$F$29-Inputs!$D$29),Inputs!$D$29+SQRT(R1294*(Inputs!$F$29-Inputs!$D$29)*(Inputs!$E$29-Inputs!$D$29)),Inputs!$F$29-SQRT((1-R1294)*(Inputs!$F$29-Inputs!$D$29)*(Inputs!$F$29-Inputs!$E$29)))</f>
        <v>5.29187589981472</v>
      </c>
      <c r="T1294" s="68" t="n">
        <f aca="false">Inputs!$E$9*(1+E1294)+Inputs!$E$5*C1294*(Inputs!$E$11*Inputs!$E$14*(G1294*I1294/Inputs!$E$16+(1-G1294))*K1294+Inputs!$E$23*M1294)*(1+O1294)+Inputs!$E$5*(Q1294+S1294)</f>
        <v>6118.16723866455</v>
      </c>
    </row>
    <row r="1295" customFormat="false" ht="15" hidden="false" customHeight="false" outlineLevel="0" collapsed="false">
      <c r="A1295" s="1" t="n">
        <v>1291</v>
      </c>
      <c r="B1295" s="81" t="n">
        <f aca="true">RAND()</f>
        <v>0.152956373144358</v>
      </c>
      <c r="C1295" s="82" t="n">
        <f aca="false">ROUND(IF(B1295&lt;(Inputs!$E$8-Inputs!$D$8)/(Inputs!$F$8-Inputs!$D$8),Inputs!$D$8+SQRT(B1295*(Inputs!$F$8-Inputs!$D$8)*(Inputs!$E$8-Inputs!$D$8)),Inputs!$F$8-SQRT((1-B1295)*(Inputs!$F$8-Inputs!$D$8)*(Inputs!$F$8-Inputs!$E$8))),0)</f>
        <v>23</v>
      </c>
      <c r="D1295" s="81" t="n">
        <f aca="true">RAND()</f>
        <v>0.498520890108478</v>
      </c>
      <c r="E1295" s="83" t="n">
        <f aca="false">IF(D1295&lt;(Inputs!$E$10-Inputs!$D$10)/(Inputs!$F$10-Inputs!$D$10),Inputs!$D$10+SQRT(D1295*(Inputs!$F$10-Inputs!$D$10)*(Inputs!$E$10-Inputs!$D$10)),Inputs!$F$10-SQRT((1-D1295)*(Inputs!$F$10-Inputs!$D$10)*(Inputs!$F$10-Inputs!$E$10)))</f>
        <v>0.0773444934104234</v>
      </c>
      <c r="F1295" s="81" t="n">
        <f aca="true">RAND()</f>
        <v>0.490025738533175</v>
      </c>
      <c r="G1295" s="83" t="n">
        <f aca="false">IF(F1295&lt;(Inputs!$E$15-Inputs!$D$15)/(Inputs!$F$15-Inputs!$D$15),Inputs!$D$15+SQRT(F1295*(Inputs!$F$15-Inputs!$D$15)*(Inputs!$E$15-Inputs!$D$15)),Inputs!$F$15-SQRT((1-F1295)*(Inputs!$F$15-Inputs!$D$15)*(Inputs!$F$15-Inputs!$E$15)))</f>
        <v>0.698997549316453</v>
      </c>
      <c r="H1295" s="81" t="n">
        <f aca="true">RAND()</f>
        <v>0.0631424272406469</v>
      </c>
      <c r="I1295" s="82" t="n">
        <f aca="false">ROUND(IF(H1295&lt;(Inputs!$E$17-Inputs!$D$17)/(Inputs!$F$17-Inputs!$D$17),Inputs!$D$17+SQRT(H1295*(Inputs!$F$17-Inputs!$D$17)*(Inputs!$E$17-Inputs!$D$17)),Inputs!$F$17-SQRT((1-H1295)*(Inputs!$F$17-Inputs!$D$17)*(Inputs!$F$17-Inputs!$E$17))),0)</f>
        <v>102</v>
      </c>
      <c r="J1295" s="81" t="n">
        <f aca="true">RAND()</f>
        <v>0.377592088849594</v>
      </c>
      <c r="K1295" s="83" t="n">
        <f aca="false">IF(J1295&lt;(Inputs!$E$18-Inputs!$D$18)/(Inputs!$F$18-Inputs!$D$18),Inputs!$D$18+SQRT(J1295*(Inputs!$F$18-Inputs!$D$18)*(Inputs!$E$18-Inputs!$D$18)),Inputs!$F$18-SQRT((1-J1295)*(Inputs!$F$18-Inputs!$D$18)*(Inputs!$F$18-Inputs!$E$18)))</f>
        <v>1.01663185258982</v>
      </c>
      <c r="L1295" s="81" t="n">
        <f aca="true">RAND()</f>
        <v>0.533617011734538</v>
      </c>
      <c r="M1295" s="83" t="n">
        <f aca="false">IF(L1295&lt;(Inputs!$E$24-Inputs!$D$24)/(Inputs!$F$24-Inputs!$D$24),Inputs!$D$24+SQRT(L1295*(Inputs!$F$24-Inputs!$D$24)*(Inputs!$E$24-Inputs!$D$24)),Inputs!$F$24-SQRT((1-L1295)*(Inputs!$F$24-Inputs!$D$24)*(Inputs!$F$24-Inputs!$E$24)))</f>
        <v>0.865437723011528</v>
      </c>
      <c r="N1295" s="81" t="n">
        <f aca="true">RAND()</f>
        <v>0.740660708475021</v>
      </c>
      <c r="O1295" s="83" t="n">
        <f aca="false">IF(N1295&lt;(Inputs!$E$26-Inputs!$D$26)/(Inputs!$F$26-Inputs!$D$26),Inputs!$D$26+SQRT(N1295*(Inputs!$F$26-Inputs!$D$26)*(Inputs!$E$26-Inputs!$D$26)),Inputs!$F$26-SQRT((1-N1295)*(Inputs!$F$26-Inputs!$D$26)*(Inputs!$F$26-Inputs!$E$26)))</f>
        <v>0.655770628940503</v>
      </c>
      <c r="P1295" s="81" t="n">
        <f aca="true">RAND()</f>
        <v>0.757981512509419</v>
      </c>
      <c r="Q1295" s="82" t="n">
        <f aca="false">IF(P1295&lt;(Inputs!$E$27-Inputs!$D$27)/(Inputs!$F$27-Inputs!$D$27),Inputs!$D$27+SQRT(P1295*(Inputs!$F$27-Inputs!$D$27)*(Inputs!$E$27-Inputs!$D$27)),Inputs!$F$27-SQRT((1-P1295)*(Inputs!$F$27-Inputs!$D$27)*(Inputs!$F$27-Inputs!$E$27)))</f>
        <v>107.395555910453</v>
      </c>
      <c r="R1295" s="81" t="n">
        <f aca="true">RAND()</f>
        <v>0.993449196006601</v>
      </c>
      <c r="S1295" s="82" t="n">
        <f aca="false">IF(R1295&lt;(Inputs!$E$29-Inputs!$D$29)/(Inputs!$F$29-Inputs!$D$29),Inputs!$D$29+SQRT(R1295*(Inputs!$F$29-Inputs!$D$29)*(Inputs!$E$29-Inputs!$D$29)),Inputs!$F$29-SQRT((1-R1295)*(Inputs!$F$29-Inputs!$D$29)*(Inputs!$F$29-Inputs!$E$29)))</f>
        <v>14.0771757918531</v>
      </c>
      <c r="T1295" s="68" t="n">
        <f aca="false">Inputs!$E$9*(1+E1295)+Inputs!$E$5*C1295*(Inputs!$E$11*Inputs!$E$14*(G1295*I1295/Inputs!$E$16+(1-G1295))*K1295+Inputs!$E$23*M1295)*(1+O1295)+Inputs!$E$5*(Q1295+S1295)</f>
        <v>6199.10458214367</v>
      </c>
    </row>
    <row r="1296" customFormat="false" ht="15" hidden="false" customHeight="false" outlineLevel="0" collapsed="false">
      <c r="A1296" s="1" t="n">
        <v>1292</v>
      </c>
      <c r="B1296" s="81" t="n">
        <f aca="true">RAND()</f>
        <v>0.279940495935606</v>
      </c>
      <c r="C1296" s="82" t="n">
        <f aca="false">ROUND(IF(B1296&lt;(Inputs!$E$8-Inputs!$D$8)/(Inputs!$F$8-Inputs!$D$8),Inputs!$D$8+SQRT(B1296*(Inputs!$F$8-Inputs!$D$8)*(Inputs!$E$8-Inputs!$D$8)),Inputs!$F$8-SQRT((1-B1296)*(Inputs!$F$8-Inputs!$D$8)*(Inputs!$F$8-Inputs!$E$8))),0)</f>
        <v>24</v>
      </c>
      <c r="D1296" s="81" t="n">
        <f aca="true">RAND()</f>
        <v>0.748025815316248</v>
      </c>
      <c r="E1296" s="83" t="n">
        <f aca="false">IF(D1296&lt;(Inputs!$E$10-Inputs!$D$10)/(Inputs!$F$10-Inputs!$D$10),Inputs!$D$10+SQRT(D1296*(Inputs!$F$10-Inputs!$D$10)*(Inputs!$E$10-Inputs!$D$10)),Inputs!$F$10-SQRT((1-D1296)*(Inputs!$F$10-Inputs!$D$10)*(Inputs!$F$10-Inputs!$E$10)))</f>
        <v>0.113056193202088</v>
      </c>
      <c r="F1296" s="81" t="n">
        <f aca="true">RAND()</f>
        <v>0.789066843986737</v>
      </c>
      <c r="G1296" s="83" t="n">
        <f aca="false">IF(F1296&lt;(Inputs!$E$15-Inputs!$D$15)/(Inputs!$F$15-Inputs!$D$15),Inputs!$D$15+SQRT(F1296*(Inputs!$F$15-Inputs!$D$15)*(Inputs!$E$15-Inputs!$D$15)),Inputs!$F$15-SQRT((1-F1296)*(Inputs!$F$15-Inputs!$D$15)*(Inputs!$F$15-Inputs!$E$15)))</f>
        <v>0.73504876352012</v>
      </c>
      <c r="H1296" s="81" t="n">
        <f aca="true">RAND()</f>
        <v>0.144717611410613</v>
      </c>
      <c r="I1296" s="82" t="n">
        <f aca="false">ROUND(IF(H1296&lt;(Inputs!$E$17-Inputs!$D$17)/(Inputs!$F$17-Inputs!$D$17),Inputs!$D$17+SQRT(H1296*(Inputs!$F$17-Inputs!$D$17)*(Inputs!$E$17-Inputs!$D$17)),Inputs!$F$17-SQRT((1-H1296)*(Inputs!$F$17-Inputs!$D$17)*(Inputs!$F$17-Inputs!$E$17))),0)</f>
        <v>103</v>
      </c>
      <c r="J1296" s="81" t="n">
        <f aca="true">RAND()</f>
        <v>0.238875608053622</v>
      </c>
      <c r="K1296" s="83" t="n">
        <f aca="false">IF(J1296&lt;(Inputs!$E$18-Inputs!$D$18)/(Inputs!$F$18-Inputs!$D$18),Inputs!$D$18+SQRT(J1296*(Inputs!$F$18-Inputs!$D$18)*(Inputs!$E$18-Inputs!$D$18)),Inputs!$F$18-SQRT((1-J1296)*(Inputs!$F$18-Inputs!$D$18)*(Inputs!$F$18-Inputs!$E$18)))</f>
        <v>0.991436569718449</v>
      </c>
      <c r="L1296" s="81" t="n">
        <f aca="true">RAND()</f>
        <v>0.961432758141029</v>
      </c>
      <c r="M1296" s="83" t="n">
        <f aca="false">IF(L1296&lt;(Inputs!$E$24-Inputs!$D$24)/(Inputs!$F$24-Inputs!$D$24),Inputs!$D$24+SQRT(L1296*(Inputs!$F$24-Inputs!$D$24)*(Inputs!$E$24-Inputs!$D$24)),Inputs!$F$24-SQRT((1-L1296)*(Inputs!$F$24-Inputs!$D$24)*(Inputs!$F$24-Inputs!$E$24)))</f>
        <v>1.1037911748011</v>
      </c>
      <c r="N1296" s="81" t="n">
        <f aca="true">RAND()</f>
        <v>0.0582168929430328</v>
      </c>
      <c r="O1296" s="83" t="n">
        <f aca="false">IF(N1296&lt;(Inputs!$E$26-Inputs!$D$26)/(Inputs!$F$26-Inputs!$D$26),Inputs!$D$26+SQRT(N1296*(Inputs!$F$26-Inputs!$D$26)*(Inputs!$E$26-Inputs!$D$26)),Inputs!$F$26-SQRT((1-N1296)*(Inputs!$F$26-Inputs!$D$26)*(Inputs!$F$26-Inputs!$E$26)))</f>
        <v>0.39842403662582</v>
      </c>
      <c r="P1296" s="81" t="n">
        <f aca="true">RAND()</f>
        <v>0.569318099088751</v>
      </c>
      <c r="Q1296" s="82" t="n">
        <f aca="false">IF(P1296&lt;(Inputs!$E$27-Inputs!$D$27)/(Inputs!$F$27-Inputs!$D$27),Inputs!$D$27+SQRT(P1296*(Inputs!$F$27-Inputs!$D$27)*(Inputs!$E$27-Inputs!$D$27)),Inputs!$F$27-SQRT((1-P1296)*(Inputs!$F$27-Inputs!$D$27)*(Inputs!$F$27-Inputs!$E$27)))</f>
        <v>93.1659058589444</v>
      </c>
      <c r="R1296" s="81" t="n">
        <f aca="true">RAND()</f>
        <v>0.255156577727516</v>
      </c>
      <c r="S1296" s="82" t="n">
        <f aca="false">IF(R1296&lt;(Inputs!$E$29-Inputs!$D$29)/(Inputs!$F$29-Inputs!$D$29),Inputs!$D$29+SQRT(R1296*(Inputs!$F$29-Inputs!$D$29)*(Inputs!$E$29-Inputs!$D$29)),Inputs!$F$29-SQRT((1-R1296)*(Inputs!$F$29-Inputs!$D$29)*(Inputs!$F$29-Inputs!$E$29)))</f>
        <v>5.15979446884249</v>
      </c>
      <c r="T1296" s="68" t="n">
        <f aca="false">Inputs!$E$9*(1+E1296)+Inputs!$E$5*C1296*(Inputs!$E$11*Inputs!$E$14*(G1296*I1296/Inputs!$E$16+(1-G1296))*K1296+Inputs!$E$23*M1296)*(1+O1296)+Inputs!$E$5*(Q1296+S1296)</f>
        <v>5988.75656309474</v>
      </c>
    </row>
    <row r="1297" customFormat="false" ht="15" hidden="false" customHeight="false" outlineLevel="0" collapsed="false">
      <c r="A1297" s="1" t="n">
        <v>1293</v>
      </c>
      <c r="B1297" s="81" t="n">
        <f aca="true">RAND()</f>
        <v>0.355198760063361</v>
      </c>
      <c r="C1297" s="82" t="n">
        <f aca="false">ROUND(IF(B1297&lt;(Inputs!$E$8-Inputs!$D$8)/(Inputs!$F$8-Inputs!$D$8),Inputs!$D$8+SQRT(B1297*(Inputs!$F$8-Inputs!$D$8)*(Inputs!$E$8-Inputs!$D$8)),Inputs!$F$8-SQRT((1-B1297)*(Inputs!$F$8-Inputs!$D$8)*(Inputs!$F$8-Inputs!$E$8))),0)</f>
        <v>24</v>
      </c>
      <c r="D1297" s="81" t="n">
        <f aca="true">RAND()</f>
        <v>0.89613127799297</v>
      </c>
      <c r="E1297" s="83" t="n">
        <f aca="false">IF(D1297&lt;(Inputs!$E$10-Inputs!$D$10)/(Inputs!$F$10-Inputs!$D$10),Inputs!$D$10+SQRT(D1297*(Inputs!$F$10-Inputs!$D$10)*(Inputs!$E$10-Inputs!$D$10)),Inputs!$F$10-SQRT((1-D1297)*(Inputs!$F$10-Inputs!$D$10)*(Inputs!$F$10-Inputs!$E$10)))</f>
        <v>0.144178304753341</v>
      </c>
      <c r="F1297" s="81" t="n">
        <f aca="true">RAND()</f>
        <v>0.431719385673598</v>
      </c>
      <c r="G1297" s="83" t="n">
        <f aca="false">IF(F1297&lt;(Inputs!$E$15-Inputs!$D$15)/(Inputs!$F$15-Inputs!$D$15),Inputs!$D$15+SQRT(F1297*(Inputs!$F$15-Inputs!$D$15)*(Inputs!$E$15-Inputs!$D$15)),Inputs!$F$15-SQRT((1-F1297)*(Inputs!$F$15-Inputs!$D$15)*(Inputs!$F$15-Inputs!$E$15)))</f>
        <v>0.692921406110067</v>
      </c>
      <c r="H1297" s="81" t="n">
        <f aca="true">RAND()</f>
        <v>0.519751148455288</v>
      </c>
      <c r="I1297" s="82" t="n">
        <f aca="false">ROUND(IF(H1297&lt;(Inputs!$E$17-Inputs!$D$17)/(Inputs!$F$17-Inputs!$D$17),Inputs!$D$17+SQRT(H1297*(Inputs!$F$17-Inputs!$D$17)*(Inputs!$E$17-Inputs!$D$17)),Inputs!$F$17-SQRT((1-H1297)*(Inputs!$F$17-Inputs!$D$17)*(Inputs!$F$17-Inputs!$E$17))),0)</f>
        <v>107</v>
      </c>
      <c r="J1297" s="81" t="n">
        <f aca="true">RAND()</f>
        <v>0.900197014238743</v>
      </c>
      <c r="K1297" s="83" t="n">
        <f aca="false">IF(J1297&lt;(Inputs!$E$18-Inputs!$D$18)/(Inputs!$F$18-Inputs!$D$18),Inputs!$D$18+SQRT(J1297*(Inputs!$F$18-Inputs!$D$18)*(Inputs!$E$18-Inputs!$D$18)),Inputs!$F$18-SQRT((1-J1297)*(Inputs!$F$18-Inputs!$D$18)*(Inputs!$F$18-Inputs!$E$18)))</f>
        <v>1.1565507557328</v>
      </c>
      <c r="L1297" s="81" t="n">
        <f aca="true">RAND()</f>
        <v>0.925052049339982</v>
      </c>
      <c r="M1297" s="83" t="n">
        <f aca="false">IF(L1297&lt;(Inputs!$E$24-Inputs!$D$24)/(Inputs!$F$24-Inputs!$D$24),Inputs!$D$24+SQRT(L1297*(Inputs!$F$24-Inputs!$D$24)*(Inputs!$E$24-Inputs!$D$24)),Inputs!$F$24-SQRT((1-L1297)*(Inputs!$F$24-Inputs!$D$24)*(Inputs!$F$24-Inputs!$E$24)))</f>
        <v>1.06588248377485</v>
      </c>
      <c r="N1297" s="81" t="n">
        <f aca="true">RAND()</f>
        <v>0.371632116675738</v>
      </c>
      <c r="O1297" s="83" t="n">
        <f aca="false">IF(N1297&lt;(Inputs!$E$26-Inputs!$D$26)/(Inputs!$F$26-Inputs!$D$26),Inputs!$D$26+SQRT(N1297*(Inputs!$F$26-Inputs!$D$26)*(Inputs!$E$26-Inputs!$D$26)),Inputs!$F$26-SQRT((1-N1297)*(Inputs!$F$26-Inputs!$D$26)*(Inputs!$F$26-Inputs!$E$26)))</f>
        <v>0.548675660680419</v>
      </c>
      <c r="P1297" s="81" t="n">
        <f aca="true">RAND()</f>
        <v>0.209278794248901</v>
      </c>
      <c r="Q1297" s="82" t="n">
        <f aca="false">IF(P1297&lt;(Inputs!$E$27-Inputs!$D$27)/(Inputs!$F$27-Inputs!$D$27),Inputs!$D$27+SQRT(P1297*(Inputs!$F$27-Inputs!$D$27)*(Inputs!$E$27-Inputs!$D$27)),Inputs!$F$27-SQRT((1-P1297)*(Inputs!$F$27-Inputs!$D$27)*(Inputs!$F$27-Inputs!$E$27)))</f>
        <v>72.8734996365281</v>
      </c>
      <c r="R1297" s="81" t="n">
        <f aca="true">RAND()</f>
        <v>0.250635547912919</v>
      </c>
      <c r="S1297" s="82" t="n">
        <f aca="false">IF(R1297&lt;(Inputs!$E$29-Inputs!$D$29)/(Inputs!$F$29-Inputs!$D$29),Inputs!$D$29+SQRT(R1297*(Inputs!$F$29-Inputs!$D$29)*(Inputs!$E$29-Inputs!$D$29)),Inputs!$F$29-SQRT((1-R1297)*(Inputs!$F$29-Inputs!$D$29)*(Inputs!$F$29-Inputs!$E$29)))</f>
        <v>5.12997574616351</v>
      </c>
      <c r="T1297" s="68" t="n">
        <f aca="false">Inputs!$E$9*(1+E1297)+Inputs!$E$5*C1297*(Inputs!$E$11*Inputs!$E$14*(G1297*I1297/Inputs!$E$16+(1-G1297))*K1297+Inputs!$E$23*M1297)*(1+O1297)+Inputs!$E$5*(Q1297+S1297)</f>
        <v>6662.96889471578</v>
      </c>
    </row>
    <row r="1298" customFormat="false" ht="15" hidden="false" customHeight="false" outlineLevel="0" collapsed="false">
      <c r="A1298" s="1" t="n">
        <v>1294</v>
      </c>
      <c r="B1298" s="81" t="n">
        <f aca="true">RAND()</f>
        <v>0.149890496011909</v>
      </c>
      <c r="C1298" s="82" t="n">
        <f aca="false">ROUND(IF(B1298&lt;(Inputs!$E$8-Inputs!$D$8)/(Inputs!$F$8-Inputs!$D$8),Inputs!$D$8+SQRT(B1298*(Inputs!$F$8-Inputs!$D$8)*(Inputs!$E$8-Inputs!$D$8)),Inputs!$F$8-SQRT((1-B1298)*(Inputs!$F$8-Inputs!$D$8)*(Inputs!$F$8-Inputs!$E$8))),0)</f>
        <v>23</v>
      </c>
      <c r="D1298" s="81" t="n">
        <f aca="true">RAND()</f>
        <v>0.589421352097654</v>
      </c>
      <c r="E1298" s="83" t="n">
        <f aca="false">IF(D1298&lt;(Inputs!$E$10-Inputs!$D$10)/(Inputs!$F$10-Inputs!$D$10),Inputs!$D$10+SQRT(D1298*(Inputs!$F$10-Inputs!$D$10)*(Inputs!$E$10-Inputs!$D$10)),Inputs!$F$10-SQRT((1-D1298)*(Inputs!$F$10-Inputs!$D$10)*(Inputs!$F$10-Inputs!$E$10)))</f>
        <v>0.0890164001436681</v>
      </c>
      <c r="F1298" s="81" t="n">
        <f aca="true">RAND()</f>
        <v>0.450372345166077</v>
      </c>
      <c r="G1298" s="83" t="n">
        <f aca="false">IF(F1298&lt;(Inputs!$E$15-Inputs!$D$15)/(Inputs!$F$15-Inputs!$D$15),Inputs!$D$15+SQRT(F1298*(Inputs!$F$15-Inputs!$D$15)*(Inputs!$E$15-Inputs!$D$15)),Inputs!$F$15-SQRT((1-F1298)*(Inputs!$F$15-Inputs!$D$15)*(Inputs!$F$15-Inputs!$E$15)))</f>
        <v>0.694907570316185</v>
      </c>
      <c r="H1298" s="81" t="n">
        <f aca="true">RAND()</f>
        <v>0.930023794804048</v>
      </c>
      <c r="I1298" s="82" t="n">
        <f aca="false">ROUND(IF(H1298&lt;(Inputs!$E$17-Inputs!$D$17)/(Inputs!$F$17-Inputs!$D$17),Inputs!$D$17+SQRT(H1298*(Inputs!$F$17-Inputs!$D$17)*(Inputs!$E$17-Inputs!$D$17)),Inputs!$F$17-SQRT((1-H1298)*(Inputs!$F$17-Inputs!$D$17)*(Inputs!$F$17-Inputs!$E$17))),0)</f>
        <v>112</v>
      </c>
      <c r="J1298" s="81" t="n">
        <f aca="true">RAND()</f>
        <v>0.0311007883284312</v>
      </c>
      <c r="K1298" s="83" t="n">
        <f aca="false">IF(J1298&lt;(Inputs!$E$18-Inputs!$D$18)/(Inputs!$F$18-Inputs!$D$18),Inputs!$D$18+SQRT(J1298*(Inputs!$F$18-Inputs!$D$18)*(Inputs!$E$18-Inputs!$D$18)),Inputs!$F$18-SQRT((1-J1298)*(Inputs!$F$18-Inputs!$D$18)*(Inputs!$F$18-Inputs!$E$18)))</f>
        <v>0.932992841518958</v>
      </c>
      <c r="L1298" s="81" t="n">
        <f aca="true">RAND()</f>
        <v>0.398402679295087</v>
      </c>
      <c r="M1298" s="83" t="n">
        <f aca="false">IF(L1298&lt;(Inputs!$E$24-Inputs!$D$24)/(Inputs!$F$24-Inputs!$D$24),Inputs!$D$24+SQRT(L1298*(Inputs!$F$24-Inputs!$D$24)*(Inputs!$E$24-Inputs!$D$24)),Inputs!$F$24-SQRT((1-L1298)*(Inputs!$F$24-Inputs!$D$24)*(Inputs!$F$24-Inputs!$E$24)))</f>
        <v>0.820021899355793</v>
      </c>
      <c r="N1298" s="81" t="n">
        <f aca="true">RAND()</f>
        <v>0.780634774493067</v>
      </c>
      <c r="O1298" s="83" t="n">
        <f aca="false">IF(N1298&lt;(Inputs!$E$26-Inputs!$D$26)/(Inputs!$F$26-Inputs!$D$26),Inputs!$D$26+SQRT(N1298*(Inputs!$F$26-Inputs!$D$26)*(Inputs!$E$26-Inputs!$D$26)),Inputs!$F$26-SQRT((1-N1298)*(Inputs!$F$26-Inputs!$D$26)*(Inputs!$F$26-Inputs!$E$26)))</f>
        <v>0.668957014553071</v>
      </c>
      <c r="P1298" s="81" t="n">
        <f aca="true">RAND()</f>
        <v>0.310252884133766</v>
      </c>
      <c r="Q1298" s="82" t="n">
        <f aca="false">IF(P1298&lt;(Inputs!$E$27-Inputs!$D$27)/(Inputs!$F$27-Inputs!$D$27),Inputs!$D$27+SQRT(P1298*(Inputs!$F$27-Inputs!$D$27)*(Inputs!$E$27-Inputs!$D$27)),Inputs!$F$27-SQRT((1-P1298)*(Inputs!$F$27-Inputs!$D$27)*(Inputs!$F$27-Inputs!$E$27)))</f>
        <v>78.0757108551168</v>
      </c>
      <c r="R1298" s="81" t="n">
        <f aca="true">RAND()</f>
        <v>0.675212800587441</v>
      </c>
      <c r="S1298" s="82" t="n">
        <f aca="false">IF(R1298&lt;(Inputs!$E$29-Inputs!$D$29)/(Inputs!$F$29-Inputs!$D$29),Inputs!$D$29+SQRT(R1298*(Inputs!$F$29-Inputs!$D$29)*(Inputs!$E$29-Inputs!$D$29)),Inputs!$F$29-SQRT((1-R1298)*(Inputs!$F$29-Inputs!$D$29)*(Inputs!$F$29-Inputs!$E$29)))</f>
        <v>8.50212835432765</v>
      </c>
      <c r="T1298" s="68" t="n">
        <f aca="false">Inputs!$E$9*(1+E1298)+Inputs!$E$5*C1298*(Inputs!$E$11*Inputs!$E$14*(G1298*I1298/Inputs!$E$16+(1-G1298))*K1298+Inputs!$E$23*M1298)*(1+O1298)+Inputs!$E$5*(Q1298+S1298)</f>
        <v>5952.76126272236</v>
      </c>
    </row>
    <row r="1299" customFormat="false" ht="15" hidden="false" customHeight="false" outlineLevel="0" collapsed="false">
      <c r="A1299" s="1" t="n">
        <v>1295</v>
      </c>
      <c r="B1299" s="81" t="n">
        <f aca="true">RAND()</f>
        <v>0.307091638794775</v>
      </c>
      <c r="C1299" s="82" t="n">
        <f aca="false">ROUND(IF(B1299&lt;(Inputs!$E$8-Inputs!$D$8)/(Inputs!$F$8-Inputs!$D$8),Inputs!$D$8+SQRT(B1299*(Inputs!$F$8-Inputs!$D$8)*(Inputs!$E$8-Inputs!$D$8)),Inputs!$F$8-SQRT((1-B1299)*(Inputs!$F$8-Inputs!$D$8)*(Inputs!$F$8-Inputs!$E$8))),0)</f>
        <v>24</v>
      </c>
      <c r="D1299" s="81" t="n">
        <f aca="true">RAND()</f>
        <v>0.8817895043268</v>
      </c>
      <c r="E1299" s="83" t="n">
        <f aca="false">IF(D1299&lt;(Inputs!$E$10-Inputs!$D$10)/(Inputs!$F$10-Inputs!$D$10),Inputs!$D$10+SQRT(D1299*(Inputs!$F$10-Inputs!$D$10)*(Inputs!$E$10-Inputs!$D$10)),Inputs!$F$10-SQRT((1-D1299)*(Inputs!$F$10-Inputs!$D$10)*(Inputs!$F$10-Inputs!$E$10)))</f>
        <v>0.140449056512965</v>
      </c>
      <c r="F1299" s="81" t="n">
        <f aca="true">RAND()</f>
        <v>0.398335280893991</v>
      </c>
      <c r="G1299" s="83" t="n">
        <f aca="false">IF(F1299&lt;(Inputs!$E$15-Inputs!$D$15)/(Inputs!$F$15-Inputs!$D$15),Inputs!$D$15+SQRT(F1299*(Inputs!$F$15-Inputs!$D$15)*(Inputs!$E$15-Inputs!$D$15)),Inputs!$F$15-SQRT((1-F1299)*(Inputs!$F$15-Inputs!$D$15)*(Inputs!$F$15-Inputs!$E$15)))</f>
        <v>0.689256403791996</v>
      </c>
      <c r="H1299" s="81" t="n">
        <f aca="true">RAND()</f>
        <v>0.623072994573729</v>
      </c>
      <c r="I1299" s="82" t="n">
        <f aca="false">ROUND(IF(H1299&lt;(Inputs!$E$17-Inputs!$D$17)/(Inputs!$F$17-Inputs!$D$17),Inputs!$D$17+SQRT(H1299*(Inputs!$F$17-Inputs!$D$17)*(Inputs!$E$17-Inputs!$D$17)),Inputs!$F$17-SQRT((1-H1299)*(Inputs!$F$17-Inputs!$D$17)*(Inputs!$F$17-Inputs!$E$17))),0)</f>
        <v>107</v>
      </c>
      <c r="J1299" s="81" t="n">
        <f aca="true">RAND()</f>
        <v>0.123678202836728</v>
      </c>
      <c r="K1299" s="83" t="n">
        <f aca="false">IF(J1299&lt;(Inputs!$E$18-Inputs!$D$18)/(Inputs!$F$18-Inputs!$D$18),Inputs!$D$18+SQRT(J1299*(Inputs!$F$18-Inputs!$D$18)*(Inputs!$E$18-Inputs!$D$18)),Inputs!$F$18-SQRT((1-J1299)*(Inputs!$F$18-Inputs!$D$18)*(Inputs!$F$18-Inputs!$E$18)))</f>
        <v>0.96579313869459</v>
      </c>
      <c r="L1299" s="81" t="n">
        <f aca="true">RAND()</f>
        <v>0.366071818306478</v>
      </c>
      <c r="M1299" s="83" t="n">
        <f aca="false">IF(L1299&lt;(Inputs!$E$24-Inputs!$D$24)/(Inputs!$F$24-Inputs!$D$24),Inputs!$D$24+SQRT(L1299*(Inputs!$F$24-Inputs!$D$24)*(Inputs!$E$24-Inputs!$D$24)),Inputs!$F$24-SQRT((1-L1299)*(Inputs!$F$24-Inputs!$D$24)*(Inputs!$F$24-Inputs!$E$24)))</f>
        <v>0.809945178716574</v>
      </c>
      <c r="N1299" s="81" t="n">
        <f aca="true">RAND()</f>
        <v>0.902120973064851</v>
      </c>
      <c r="O1299" s="83" t="n">
        <f aca="false">IF(N1299&lt;(Inputs!$E$26-Inputs!$D$26)/(Inputs!$F$26-Inputs!$D$26),Inputs!$D$26+SQRT(N1299*(Inputs!$F$26-Inputs!$D$26)*(Inputs!$E$26-Inputs!$D$26)),Inputs!$F$26-SQRT((1-N1299)*(Inputs!$F$26-Inputs!$D$26)*(Inputs!$F$26-Inputs!$E$26)))</f>
        <v>0.719106894183718</v>
      </c>
      <c r="P1299" s="81" t="n">
        <f aca="true">RAND()</f>
        <v>0.229506021114646</v>
      </c>
      <c r="Q1299" s="82" t="n">
        <f aca="false">IF(P1299&lt;(Inputs!$E$27-Inputs!$D$27)/(Inputs!$F$27-Inputs!$D$27),Inputs!$D$27+SQRT(P1299*(Inputs!$F$27-Inputs!$D$27)*(Inputs!$E$27-Inputs!$D$27)),Inputs!$F$27-SQRT((1-P1299)*(Inputs!$F$27-Inputs!$D$27)*(Inputs!$F$27-Inputs!$E$27)))</f>
        <v>73.953393345967</v>
      </c>
      <c r="R1299" s="81" t="n">
        <f aca="true">RAND()</f>
        <v>0.20906727264274</v>
      </c>
      <c r="S1299" s="82" t="n">
        <f aca="false">IF(R1299&lt;(Inputs!$E$29-Inputs!$D$29)/(Inputs!$F$29-Inputs!$D$29),Inputs!$D$29+SQRT(R1299*(Inputs!$F$29-Inputs!$D$29)*(Inputs!$E$29-Inputs!$D$29)),Inputs!$F$29-SQRT((1-R1299)*(Inputs!$F$29-Inputs!$D$29)*(Inputs!$F$29-Inputs!$E$29)))</f>
        <v>4.85545506584623</v>
      </c>
      <c r="T1299" s="68" t="n">
        <f aca="false">Inputs!$E$9*(1+E1299)+Inputs!$E$5*C1299*(Inputs!$E$11*Inputs!$E$14*(G1299*I1299/Inputs!$E$16+(1-G1299))*K1299+Inputs!$E$23*M1299)*(1+O1299)+Inputs!$E$5*(Q1299+S1299)</f>
        <v>6271.34754294504</v>
      </c>
    </row>
    <row r="1300" customFormat="false" ht="15" hidden="false" customHeight="false" outlineLevel="0" collapsed="false">
      <c r="A1300" s="1" t="n">
        <v>1296</v>
      </c>
      <c r="B1300" s="81" t="n">
        <f aca="true">RAND()</f>
        <v>0.545785078246912</v>
      </c>
      <c r="C1300" s="82" t="n">
        <f aca="false">ROUND(IF(B1300&lt;(Inputs!$E$8-Inputs!$D$8)/(Inputs!$F$8-Inputs!$D$8),Inputs!$D$8+SQRT(B1300*(Inputs!$F$8-Inputs!$D$8)*(Inputs!$E$8-Inputs!$D$8)),Inputs!$F$8-SQRT((1-B1300)*(Inputs!$F$8-Inputs!$D$8)*(Inputs!$F$8-Inputs!$E$8))),0)</f>
        <v>25</v>
      </c>
      <c r="D1300" s="81" t="n">
        <f aca="true">RAND()</f>
        <v>0.463459274429166</v>
      </c>
      <c r="E1300" s="83" t="n">
        <f aca="false">IF(D1300&lt;(Inputs!$E$10-Inputs!$D$10)/(Inputs!$F$10-Inputs!$D$10),Inputs!$D$10+SQRT(D1300*(Inputs!$F$10-Inputs!$D$10)*(Inputs!$E$10-Inputs!$D$10)),Inputs!$F$10-SQRT((1-D1300)*(Inputs!$F$10-Inputs!$D$10)*(Inputs!$F$10-Inputs!$E$10)))</f>
        <v>0.0731291137923084</v>
      </c>
      <c r="F1300" s="81" t="n">
        <f aca="true">RAND()</f>
        <v>0.849342540339738</v>
      </c>
      <c r="G1300" s="83" t="n">
        <f aca="false">IF(F1300&lt;(Inputs!$E$15-Inputs!$D$15)/(Inputs!$F$15-Inputs!$D$15),Inputs!$D$15+SQRT(F1300*(Inputs!$F$15-Inputs!$D$15)*(Inputs!$E$15-Inputs!$D$15)),Inputs!$F$15-SQRT((1-F1300)*(Inputs!$F$15-Inputs!$D$15)*(Inputs!$F$15-Inputs!$E$15)))</f>
        <v>0.745107840330287</v>
      </c>
      <c r="H1300" s="81" t="n">
        <f aca="true">RAND()</f>
        <v>0.180456369344144</v>
      </c>
      <c r="I1300" s="82" t="n">
        <f aca="false">ROUND(IF(H1300&lt;(Inputs!$E$17-Inputs!$D$17)/(Inputs!$F$17-Inputs!$D$17),Inputs!$D$17+SQRT(H1300*(Inputs!$F$17-Inputs!$D$17)*(Inputs!$E$17-Inputs!$D$17)),Inputs!$F$17-SQRT((1-H1300)*(Inputs!$F$17-Inputs!$D$17)*(Inputs!$F$17-Inputs!$E$17))),0)</f>
        <v>104</v>
      </c>
      <c r="J1300" s="81" t="n">
        <f aca="true">RAND()</f>
        <v>0.791760258388921</v>
      </c>
      <c r="K1300" s="83" t="n">
        <f aca="false">IF(J1300&lt;(Inputs!$E$18-Inputs!$D$18)/(Inputs!$F$18-Inputs!$D$18),Inputs!$D$18+SQRT(J1300*(Inputs!$F$18-Inputs!$D$18)*(Inputs!$E$18-Inputs!$D$18)),Inputs!$F$18-SQRT((1-J1300)*(Inputs!$F$18-Inputs!$D$18)*(Inputs!$F$18-Inputs!$E$18)))</f>
        <v>1.11501489937416</v>
      </c>
      <c r="L1300" s="81" t="n">
        <f aca="true">RAND()</f>
        <v>0.380488344196815</v>
      </c>
      <c r="M1300" s="83" t="n">
        <f aca="false">IF(L1300&lt;(Inputs!$E$24-Inputs!$D$24)/(Inputs!$F$24-Inputs!$D$24),Inputs!$D$24+SQRT(L1300*(Inputs!$F$24-Inputs!$D$24)*(Inputs!$E$24-Inputs!$D$24)),Inputs!$F$24-SQRT((1-L1300)*(Inputs!$F$24-Inputs!$D$24)*(Inputs!$F$24-Inputs!$E$24)))</f>
        <v>0.814405916289209</v>
      </c>
      <c r="N1300" s="81" t="n">
        <f aca="true">RAND()</f>
        <v>0.748246571751698</v>
      </c>
      <c r="O1300" s="83" t="n">
        <f aca="false">IF(N1300&lt;(Inputs!$E$26-Inputs!$D$26)/(Inputs!$F$26-Inputs!$D$26),Inputs!$D$26+SQRT(N1300*(Inputs!$F$26-Inputs!$D$26)*(Inputs!$E$26-Inputs!$D$26)),Inputs!$F$26-SQRT((1-N1300)*(Inputs!$F$26-Inputs!$D$26)*(Inputs!$F$26-Inputs!$E$26)))</f>
        <v>0.658190369452794</v>
      </c>
      <c r="P1300" s="81" t="n">
        <f aca="true">RAND()</f>
        <v>0.726777991319218</v>
      </c>
      <c r="Q1300" s="82" t="n">
        <f aca="false">IF(P1300&lt;(Inputs!$E$27-Inputs!$D$27)/(Inputs!$F$27-Inputs!$D$27),Inputs!$D$27+SQRT(P1300*(Inputs!$F$27-Inputs!$D$27)*(Inputs!$E$27-Inputs!$D$27)),Inputs!$F$27-SQRT((1-P1300)*(Inputs!$F$27-Inputs!$D$27)*(Inputs!$F$27-Inputs!$E$27)))</f>
        <v>104.732295561782</v>
      </c>
      <c r="R1300" s="81" t="n">
        <f aca="true">RAND()</f>
        <v>0.680608393833588</v>
      </c>
      <c r="S1300" s="82" t="n">
        <f aca="false">IF(R1300&lt;(Inputs!$E$29-Inputs!$D$29)/(Inputs!$F$29-Inputs!$D$29),Inputs!$D$29+SQRT(R1300*(Inputs!$F$29-Inputs!$D$29)*(Inputs!$E$29-Inputs!$D$29)),Inputs!$F$29-SQRT((1-R1300)*(Inputs!$F$29-Inputs!$D$29)*(Inputs!$F$29-Inputs!$E$29)))</f>
        <v>8.55632800325516</v>
      </c>
      <c r="T1300" s="68" t="n">
        <f aca="false">Inputs!$E$9*(1+E1300)+Inputs!$E$5*C1300*(Inputs!$E$11*Inputs!$E$14*(G1300*I1300/Inputs!$E$16+(1-G1300))*K1300+Inputs!$E$23*M1300)*(1+O1300)+Inputs!$E$5*(Q1300+S1300)</f>
        <v>6529.36805367039</v>
      </c>
    </row>
    <row r="1301" customFormat="false" ht="15" hidden="false" customHeight="false" outlineLevel="0" collapsed="false">
      <c r="A1301" s="1" t="n">
        <v>1297</v>
      </c>
      <c r="B1301" s="81" t="n">
        <f aca="true">RAND()</f>
        <v>0.157820692580719</v>
      </c>
      <c r="C1301" s="82" t="n">
        <f aca="false">ROUND(IF(B1301&lt;(Inputs!$E$8-Inputs!$D$8)/(Inputs!$F$8-Inputs!$D$8),Inputs!$D$8+SQRT(B1301*(Inputs!$F$8-Inputs!$D$8)*(Inputs!$E$8-Inputs!$D$8)),Inputs!$F$8-SQRT((1-B1301)*(Inputs!$F$8-Inputs!$D$8)*(Inputs!$F$8-Inputs!$E$8))),0)</f>
        <v>23</v>
      </c>
      <c r="D1301" s="81" t="n">
        <f aca="true">RAND()</f>
        <v>0.583634137516534</v>
      </c>
      <c r="E1301" s="83" t="n">
        <f aca="false">IF(D1301&lt;(Inputs!$E$10-Inputs!$D$10)/(Inputs!$F$10-Inputs!$D$10),Inputs!$D$10+SQRT(D1301*(Inputs!$F$10-Inputs!$D$10)*(Inputs!$E$10-Inputs!$D$10)),Inputs!$F$10-SQRT((1-D1301)*(Inputs!$F$10-Inputs!$D$10)*(Inputs!$F$10-Inputs!$E$10)))</f>
        <v>0.0882369655274877</v>
      </c>
      <c r="F1301" s="81" t="n">
        <f aca="true">RAND()</f>
        <v>0.764033787983537</v>
      </c>
      <c r="G1301" s="83" t="n">
        <f aca="false">IF(F1301&lt;(Inputs!$E$15-Inputs!$D$15)/(Inputs!$F$15-Inputs!$D$15),Inputs!$D$15+SQRT(F1301*(Inputs!$F$15-Inputs!$D$15)*(Inputs!$E$15-Inputs!$D$15)),Inputs!$F$15-SQRT((1-F1301)*(Inputs!$F$15-Inputs!$D$15)*(Inputs!$F$15-Inputs!$E$15)))</f>
        <v>0.731302662057913</v>
      </c>
      <c r="H1301" s="81" t="n">
        <f aca="true">RAND()</f>
        <v>0.452085856921905</v>
      </c>
      <c r="I1301" s="82" t="n">
        <f aca="false">ROUND(IF(H1301&lt;(Inputs!$E$17-Inputs!$D$17)/(Inputs!$F$17-Inputs!$D$17),Inputs!$D$17+SQRT(H1301*(Inputs!$F$17-Inputs!$D$17)*(Inputs!$E$17-Inputs!$D$17)),Inputs!$F$17-SQRT((1-H1301)*(Inputs!$F$17-Inputs!$D$17)*(Inputs!$F$17-Inputs!$E$17))),0)</f>
        <v>106</v>
      </c>
      <c r="J1301" s="81" t="n">
        <f aca="true">RAND()</f>
        <v>0.391251162409157</v>
      </c>
      <c r="K1301" s="83" t="n">
        <f aca="false">IF(J1301&lt;(Inputs!$E$18-Inputs!$D$18)/(Inputs!$F$18-Inputs!$D$18),Inputs!$D$18+SQRT(J1301*(Inputs!$F$18-Inputs!$D$18)*(Inputs!$E$18-Inputs!$D$18)),Inputs!$F$18-SQRT((1-J1301)*(Inputs!$F$18-Inputs!$D$18)*(Inputs!$F$18-Inputs!$E$18)))</f>
        <v>1.01920675207191</v>
      </c>
      <c r="L1301" s="81" t="n">
        <f aca="true">RAND()</f>
        <v>0.55190913384065</v>
      </c>
      <c r="M1301" s="83" t="n">
        <f aca="false">IF(L1301&lt;(Inputs!$E$24-Inputs!$D$24)/(Inputs!$F$24-Inputs!$D$24),Inputs!$D$24+SQRT(L1301*(Inputs!$F$24-Inputs!$D$24)*(Inputs!$E$24-Inputs!$D$24)),Inputs!$F$24-SQRT((1-L1301)*(Inputs!$F$24-Inputs!$D$24)*(Inputs!$F$24-Inputs!$E$24)))</f>
        <v>0.872064323565971</v>
      </c>
      <c r="N1301" s="81" t="n">
        <f aca="true">RAND()</f>
        <v>0.600643110763419</v>
      </c>
      <c r="O1301" s="83" t="n">
        <f aca="false">IF(N1301&lt;(Inputs!$E$26-Inputs!$D$26)/(Inputs!$F$26-Inputs!$D$26),Inputs!$D$26+SQRT(N1301*(Inputs!$F$26-Inputs!$D$26)*(Inputs!$E$26-Inputs!$D$26)),Inputs!$F$26-SQRT((1-N1301)*(Inputs!$F$26-Inputs!$D$26)*(Inputs!$F$26-Inputs!$E$26)))</f>
        <v>0.616143976110621</v>
      </c>
      <c r="P1301" s="81" t="n">
        <f aca="true">RAND()</f>
        <v>0.655057206011003</v>
      </c>
      <c r="Q1301" s="82" t="n">
        <f aca="false">IF(P1301&lt;(Inputs!$E$27-Inputs!$D$27)/(Inputs!$F$27-Inputs!$D$27),Inputs!$D$27+SQRT(P1301*(Inputs!$F$27-Inputs!$D$27)*(Inputs!$E$27-Inputs!$D$27)),Inputs!$F$27-SQRT((1-P1301)*(Inputs!$F$27-Inputs!$D$27)*(Inputs!$F$27-Inputs!$E$27)))</f>
        <v>99.1367425844798</v>
      </c>
      <c r="R1301" s="81" t="n">
        <f aca="true">RAND()</f>
        <v>0.696509754032754</v>
      </c>
      <c r="S1301" s="82" t="n">
        <f aca="false">IF(R1301&lt;(Inputs!$E$29-Inputs!$D$29)/(Inputs!$F$29-Inputs!$D$29),Inputs!$D$29+SQRT(R1301*(Inputs!$F$29-Inputs!$D$29)*(Inputs!$E$29-Inputs!$D$29)),Inputs!$F$29-SQRT((1-R1301)*(Inputs!$F$29-Inputs!$D$29)*(Inputs!$F$29-Inputs!$E$29)))</f>
        <v>8.71877941991033</v>
      </c>
      <c r="T1301" s="68" t="n">
        <f aca="false">Inputs!$E$9*(1+E1301)+Inputs!$E$5*C1301*(Inputs!$E$11*Inputs!$E$14*(G1301*I1301/Inputs!$E$16+(1-G1301))*K1301+Inputs!$E$23*M1301)*(1+O1301)+Inputs!$E$5*(Q1301+S1301)</f>
        <v>6095.56903226034</v>
      </c>
    </row>
    <row r="1302" customFormat="false" ht="15" hidden="false" customHeight="false" outlineLevel="0" collapsed="false">
      <c r="A1302" s="1" t="n">
        <v>1298</v>
      </c>
      <c r="B1302" s="81" t="n">
        <f aca="true">RAND()</f>
        <v>0.671387671577188</v>
      </c>
      <c r="C1302" s="82" t="n">
        <f aca="false">ROUND(IF(B1302&lt;(Inputs!$E$8-Inputs!$D$8)/(Inputs!$F$8-Inputs!$D$8),Inputs!$D$8+SQRT(B1302*(Inputs!$F$8-Inputs!$D$8)*(Inputs!$E$8-Inputs!$D$8)),Inputs!$F$8-SQRT((1-B1302)*(Inputs!$F$8-Inputs!$D$8)*(Inputs!$F$8-Inputs!$E$8))),0)</f>
        <v>26</v>
      </c>
      <c r="D1302" s="81" t="n">
        <f aca="true">RAND()</f>
        <v>0.146125070566659</v>
      </c>
      <c r="E1302" s="83" t="n">
        <f aca="false">IF(D1302&lt;(Inputs!$E$10-Inputs!$D$10)/(Inputs!$F$10-Inputs!$D$10),Inputs!$D$10+SQRT(D1302*(Inputs!$F$10-Inputs!$D$10)*(Inputs!$E$10-Inputs!$D$10)),Inputs!$F$10-SQRT((1-D1302)*(Inputs!$F$10-Inputs!$D$10)*(Inputs!$F$10-Inputs!$E$10)))</f>
        <v>0.0382263090772126</v>
      </c>
      <c r="F1302" s="81" t="n">
        <f aca="true">RAND()</f>
        <v>0.596029603559777</v>
      </c>
      <c r="G1302" s="83" t="n">
        <f aca="false">IF(F1302&lt;(Inputs!$E$15-Inputs!$D$15)/(Inputs!$F$15-Inputs!$D$15),Inputs!$D$15+SQRT(F1302*(Inputs!$F$15-Inputs!$D$15)*(Inputs!$E$15-Inputs!$D$15)),Inputs!$F$15-SQRT((1-F1302)*(Inputs!$F$15-Inputs!$D$15)*(Inputs!$F$15-Inputs!$E$15)))</f>
        <v>0.710114473196157</v>
      </c>
      <c r="H1302" s="81" t="n">
        <f aca="true">RAND()</f>
        <v>0.587715602830678</v>
      </c>
      <c r="I1302" s="82" t="n">
        <f aca="false">ROUND(IF(H1302&lt;(Inputs!$E$17-Inputs!$D$17)/(Inputs!$F$17-Inputs!$D$17),Inputs!$D$17+SQRT(H1302*(Inputs!$F$17-Inputs!$D$17)*(Inputs!$E$17-Inputs!$D$17)),Inputs!$F$17-SQRT((1-H1302)*(Inputs!$F$17-Inputs!$D$17)*(Inputs!$F$17-Inputs!$E$17))),0)</f>
        <v>107</v>
      </c>
      <c r="J1302" s="81" t="n">
        <f aca="true">RAND()</f>
        <v>0.330629034617195</v>
      </c>
      <c r="K1302" s="83" t="n">
        <f aca="false">IF(J1302&lt;(Inputs!$E$18-Inputs!$D$18)/(Inputs!$F$18-Inputs!$D$18),Inputs!$D$18+SQRT(J1302*(Inputs!$F$18-Inputs!$D$18)*(Inputs!$E$18-Inputs!$D$18)),Inputs!$F$18-SQRT((1-J1302)*(Inputs!$F$18-Inputs!$D$18)*(Inputs!$F$18-Inputs!$E$18)))</f>
        <v>1.00798768735662</v>
      </c>
      <c r="L1302" s="81" t="n">
        <f aca="true">RAND()</f>
        <v>0.230232341416436</v>
      </c>
      <c r="M1302" s="83" t="n">
        <f aca="false">IF(L1302&lt;(Inputs!$E$24-Inputs!$D$24)/(Inputs!$F$24-Inputs!$D$24),Inputs!$D$24+SQRT(L1302*(Inputs!$F$24-Inputs!$D$24)*(Inputs!$E$24-Inputs!$D$24)),Inputs!$F$24-SQRT((1-L1302)*(Inputs!$F$24-Inputs!$D$24)*(Inputs!$F$24-Inputs!$E$24)))</f>
        <v>0.766216367936411</v>
      </c>
      <c r="N1302" s="81" t="n">
        <f aca="true">RAND()</f>
        <v>0.102170995379802</v>
      </c>
      <c r="O1302" s="83" t="n">
        <f aca="false">IF(N1302&lt;(Inputs!$E$26-Inputs!$D$26)/(Inputs!$F$26-Inputs!$D$26),Inputs!$D$26+SQRT(N1302*(Inputs!$F$26-Inputs!$D$26)*(Inputs!$E$26-Inputs!$D$26)),Inputs!$F$26-SQRT((1-N1302)*(Inputs!$F$26-Inputs!$D$26)*(Inputs!$F$26-Inputs!$E$26)))</f>
        <v>0.43038885547162</v>
      </c>
      <c r="P1302" s="81" t="n">
        <f aca="true">RAND()</f>
        <v>0.550186071398754</v>
      </c>
      <c r="Q1302" s="82" t="n">
        <f aca="false">IF(P1302&lt;(Inputs!$E$27-Inputs!$D$27)/(Inputs!$F$27-Inputs!$D$27),Inputs!$D$27+SQRT(P1302*(Inputs!$F$27-Inputs!$D$27)*(Inputs!$E$27-Inputs!$D$27)),Inputs!$F$27-SQRT((1-P1302)*(Inputs!$F$27-Inputs!$D$27)*(Inputs!$F$27-Inputs!$E$27)))</f>
        <v>91.9172619058869</v>
      </c>
      <c r="R1302" s="81" t="n">
        <f aca="true">RAND()</f>
        <v>0.392320077176859</v>
      </c>
      <c r="S1302" s="82" t="n">
        <f aca="false">IF(R1302&lt;(Inputs!$E$29-Inputs!$D$29)/(Inputs!$F$29-Inputs!$D$29),Inputs!$D$29+SQRT(R1302*(Inputs!$F$29-Inputs!$D$29)*(Inputs!$E$29-Inputs!$D$29)),Inputs!$F$29-SQRT((1-R1302)*(Inputs!$F$29-Inputs!$D$29)*(Inputs!$F$29-Inputs!$E$29)))</f>
        <v>6.11189615457783</v>
      </c>
      <c r="T1302" s="68" t="n">
        <f aca="false">Inputs!$E$9*(1+E1302)+Inputs!$E$5*C1302*(Inputs!$E$11*Inputs!$E$14*(G1302*I1302/Inputs!$E$16+(1-G1302))*K1302+Inputs!$E$23*M1302)*(1+O1302)+Inputs!$E$5*(Q1302+S1302)</f>
        <v>5812.77562206118</v>
      </c>
    </row>
    <row r="1303" customFormat="false" ht="15" hidden="false" customHeight="false" outlineLevel="0" collapsed="false">
      <c r="A1303" s="1" t="n">
        <v>1299</v>
      </c>
      <c r="B1303" s="81" t="n">
        <f aca="true">RAND()</f>
        <v>0.763901071621675</v>
      </c>
      <c r="C1303" s="82" t="n">
        <f aca="false">ROUND(IF(B1303&lt;(Inputs!$E$8-Inputs!$D$8)/(Inputs!$F$8-Inputs!$D$8),Inputs!$D$8+SQRT(B1303*(Inputs!$F$8-Inputs!$D$8)*(Inputs!$E$8-Inputs!$D$8)),Inputs!$F$8-SQRT((1-B1303)*(Inputs!$F$8-Inputs!$D$8)*(Inputs!$F$8-Inputs!$E$8))),0)</f>
        <v>27</v>
      </c>
      <c r="D1303" s="81" t="n">
        <f aca="true">RAND()</f>
        <v>0.829661244755417</v>
      </c>
      <c r="E1303" s="83" t="n">
        <f aca="false">IF(D1303&lt;(Inputs!$E$10-Inputs!$D$10)/(Inputs!$F$10-Inputs!$D$10),Inputs!$D$10+SQRT(D1303*(Inputs!$F$10-Inputs!$D$10)*(Inputs!$E$10-Inputs!$D$10)),Inputs!$F$10-SQRT((1-D1303)*(Inputs!$F$10-Inputs!$D$10)*(Inputs!$F$10-Inputs!$E$10)))</f>
        <v>0.128514598292116</v>
      </c>
      <c r="F1303" s="81" t="n">
        <f aca="true">RAND()</f>
        <v>0.372068081003552</v>
      </c>
      <c r="G1303" s="83" t="n">
        <f aca="false">IF(F1303&lt;(Inputs!$E$15-Inputs!$D$15)/(Inputs!$F$15-Inputs!$D$15),Inputs!$D$15+SQRT(F1303*(Inputs!$F$15-Inputs!$D$15)*(Inputs!$E$15-Inputs!$D$15)),Inputs!$F$15-SQRT((1-F1303)*(Inputs!$F$15-Inputs!$D$15)*(Inputs!$F$15-Inputs!$E$15)))</f>
        <v>0.686263327202648</v>
      </c>
      <c r="H1303" s="81" t="n">
        <f aca="true">RAND()</f>
        <v>0.527931380077663</v>
      </c>
      <c r="I1303" s="82" t="n">
        <f aca="false">ROUND(IF(H1303&lt;(Inputs!$E$17-Inputs!$D$17)/(Inputs!$F$17-Inputs!$D$17),Inputs!$D$17+SQRT(H1303*(Inputs!$F$17-Inputs!$D$17)*(Inputs!$E$17-Inputs!$D$17)),Inputs!$F$17-SQRT((1-H1303)*(Inputs!$F$17-Inputs!$D$17)*(Inputs!$F$17-Inputs!$E$17))),0)</f>
        <v>107</v>
      </c>
      <c r="J1303" s="81" t="n">
        <f aca="true">RAND()</f>
        <v>0.174475772405588</v>
      </c>
      <c r="K1303" s="83" t="n">
        <f aca="false">IF(J1303&lt;(Inputs!$E$18-Inputs!$D$18)/(Inputs!$F$18-Inputs!$D$18),Inputs!$D$18+SQRT(J1303*(Inputs!$F$18-Inputs!$D$18)*(Inputs!$E$18-Inputs!$D$18)),Inputs!$F$18-SQRT((1-J1303)*(Inputs!$F$18-Inputs!$D$18)*(Inputs!$F$18-Inputs!$E$18)))</f>
        <v>0.978145070440787</v>
      </c>
      <c r="L1303" s="81" t="n">
        <f aca="true">RAND()</f>
        <v>0.410698083771676</v>
      </c>
      <c r="M1303" s="83" t="n">
        <f aca="false">IF(L1303&lt;(Inputs!$E$24-Inputs!$D$24)/(Inputs!$F$24-Inputs!$D$24),Inputs!$D$24+SQRT(L1303*(Inputs!$F$24-Inputs!$D$24)*(Inputs!$E$24-Inputs!$D$24)),Inputs!$F$24-SQRT((1-L1303)*(Inputs!$F$24-Inputs!$D$24)*(Inputs!$F$24-Inputs!$E$24)))</f>
        <v>0.823924927847115</v>
      </c>
      <c r="N1303" s="81" t="n">
        <f aca="true">RAND()</f>
        <v>0.999464898822421</v>
      </c>
      <c r="O1303" s="83" t="n">
        <f aca="false">IF(N1303&lt;(Inputs!$E$26-Inputs!$D$26)/(Inputs!$F$26-Inputs!$D$26),Inputs!$D$26+SQRT(N1303*(Inputs!$F$26-Inputs!$D$26)*(Inputs!$E$26-Inputs!$D$26)),Inputs!$F$26-SQRT((1-N1303)*(Inputs!$F$26-Inputs!$D$26)*(Inputs!$F$26-Inputs!$E$26)))</f>
        <v>0.812540072220978</v>
      </c>
      <c r="P1303" s="81" t="n">
        <f aca="true">RAND()</f>
        <v>0.820567631341097</v>
      </c>
      <c r="Q1303" s="82" t="n">
        <f aca="false">IF(P1303&lt;(Inputs!$E$27-Inputs!$D$27)/(Inputs!$F$27-Inputs!$D$27),Inputs!$D$27+SQRT(P1303*(Inputs!$F$27-Inputs!$D$27)*(Inputs!$E$27-Inputs!$D$27)),Inputs!$F$27-SQRT((1-P1303)*(Inputs!$F$27-Inputs!$D$27)*(Inputs!$F$27-Inputs!$E$27)))</f>
        <v>113.315633235099</v>
      </c>
      <c r="R1303" s="81" t="n">
        <f aca="true">RAND()</f>
        <v>0.0694823199442358</v>
      </c>
      <c r="S1303" s="82" t="n">
        <f aca="false">IF(R1303&lt;(Inputs!$E$29-Inputs!$D$29)/(Inputs!$F$29-Inputs!$D$29),Inputs!$D$29+SQRT(R1303*(Inputs!$F$29-Inputs!$D$29)*(Inputs!$E$29-Inputs!$D$29)),Inputs!$F$29-SQRT((1-R1303)*(Inputs!$F$29-Inputs!$D$29)*(Inputs!$F$29-Inputs!$E$29)))</f>
        <v>3.64615019904783</v>
      </c>
      <c r="T1303" s="68" t="n">
        <f aca="false">Inputs!$E$9*(1+E1303)+Inputs!$E$5*C1303*(Inputs!$E$11*Inputs!$E$14*(G1303*I1303/Inputs!$E$16+(1-G1303))*K1303+Inputs!$E$23*M1303)*(1+O1303)+Inputs!$E$5*(Q1303+S1303)</f>
        <v>7124.91417518061</v>
      </c>
    </row>
    <row r="1304" customFormat="false" ht="15" hidden="false" customHeight="false" outlineLevel="0" collapsed="false">
      <c r="A1304" s="1" t="n">
        <v>1300</v>
      </c>
      <c r="B1304" s="81" t="n">
        <f aca="true">RAND()</f>
        <v>0.00364837832429538</v>
      </c>
      <c r="C1304" s="82" t="n">
        <f aca="false">ROUND(IF(B1304&lt;(Inputs!$E$8-Inputs!$D$8)/(Inputs!$F$8-Inputs!$D$8),Inputs!$D$8+SQRT(B1304*(Inputs!$F$8-Inputs!$D$8)*(Inputs!$E$8-Inputs!$D$8)),Inputs!$F$8-SQRT((1-B1304)*(Inputs!$F$8-Inputs!$D$8)*(Inputs!$F$8-Inputs!$E$8))),0)</f>
        <v>20</v>
      </c>
      <c r="D1304" s="81" t="n">
        <f aca="true">RAND()</f>
        <v>0.385618827215482</v>
      </c>
      <c r="E1304" s="83" t="n">
        <f aca="false">IF(D1304&lt;(Inputs!$E$10-Inputs!$D$10)/(Inputs!$F$10-Inputs!$D$10),Inputs!$D$10+SQRT(D1304*(Inputs!$F$10-Inputs!$D$10)*(Inputs!$E$10-Inputs!$D$10)),Inputs!$F$10-SQRT((1-D1304)*(Inputs!$F$10-Inputs!$D$10)*(Inputs!$F$10-Inputs!$E$10)))</f>
        <v>0.0642375781612027</v>
      </c>
      <c r="F1304" s="81" t="n">
        <f aca="true">RAND()</f>
        <v>0.71766463671064</v>
      </c>
      <c r="G1304" s="83" t="n">
        <f aca="false">IF(F1304&lt;(Inputs!$E$15-Inputs!$D$15)/(Inputs!$F$15-Inputs!$D$15),Inputs!$D$15+SQRT(F1304*(Inputs!$F$15-Inputs!$D$15)*(Inputs!$E$15-Inputs!$D$15)),Inputs!$F$15-SQRT((1-F1304)*(Inputs!$F$15-Inputs!$D$15)*(Inputs!$F$15-Inputs!$E$15)))</f>
        <v>0.724855424242416</v>
      </c>
      <c r="H1304" s="81" t="n">
        <f aca="true">RAND()</f>
        <v>0.793004037475301</v>
      </c>
      <c r="I1304" s="82" t="n">
        <f aca="false">ROUND(IF(H1304&lt;(Inputs!$E$17-Inputs!$D$17)/(Inputs!$F$17-Inputs!$D$17),Inputs!$D$17+SQRT(H1304*(Inputs!$F$17-Inputs!$D$17)*(Inputs!$E$17-Inputs!$D$17)),Inputs!$F$17-SQRT((1-H1304)*(Inputs!$F$17-Inputs!$D$17)*(Inputs!$F$17-Inputs!$E$17))),0)</f>
        <v>109</v>
      </c>
      <c r="J1304" s="81" t="n">
        <f aca="true">RAND()</f>
        <v>0.890345355593252</v>
      </c>
      <c r="K1304" s="83" t="n">
        <f aca="false">IF(J1304&lt;(Inputs!$E$18-Inputs!$D$18)/(Inputs!$F$18-Inputs!$D$18),Inputs!$D$18+SQRT(J1304*(Inputs!$F$18-Inputs!$D$18)*(Inputs!$E$18-Inputs!$D$18)),Inputs!$F$18-SQRT((1-J1304)*(Inputs!$F$18-Inputs!$D$18)*(Inputs!$F$18-Inputs!$E$18)))</f>
        <v>1.15204704503901</v>
      </c>
      <c r="L1304" s="81" t="n">
        <f aca="true">RAND()</f>
        <v>0.292357208069338</v>
      </c>
      <c r="M1304" s="83" t="n">
        <f aca="false">IF(L1304&lt;(Inputs!$E$24-Inputs!$D$24)/(Inputs!$F$24-Inputs!$D$24),Inputs!$D$24+SQRT(L1304*(Inputs!$F$24-Inputs!$D$24)*(Inputs!$E$24-Inputs!$D$24)),Inputs!$F$24-SQRT((1-L1304)*(Inputs!$F$24-Inputs!$D$24)*(Inputs!$F$24-Inputs!$E$24)))</f>
        <v>0.787304204353027</v>
      </c>
      <c r="N1304" s="81" t="n">
        <f aca="true">RAND()</f>
        <v>0.458776676480671</v>
      </c>
      <c r="O1304" s="83" t="n">
        <f aca="false">IF(N1304&lt;(Inputs!$E$26-Inputs!$D$26)/(Inputs!$F$26-Inputs!$D$26),Inputs!$D$26+SQRT(N1304*(Inputs!$F$26-Inputs!$D$26)*(Inputs!$E$26-Inputs!$D$26)),Inputs!$F$26-SQRT((1-N1304)*(Inputs!$F$26-Inputs!$D$26)*(Inputs!$F$26-Inputs!$E$26)))</f>
        <v>0.576297736086244</v>
      </c>
      <c r="P1304" s="81" t="n">
        <f aca="true">RAND()</f>
        <v>0.368407480570381</v>
      </c>
      <c r="Q1304" s="82" t="n">
        <f aca="false">IF(P1304&lt;(Inputs!$E$27-Inputs!$D$27)/(Inputs!$F$27-Inputs!$D$27),Inputs!$D$27+SQRT(P1304*(Inputs!$F$27-Inputs!$D$27)*(Inputs!$E$27-Inputs!$D$27)),Inputs!$F$27-SQRT((1-P1304)*(Inputs!$F$27-Inputs!$D$27)*(Inputs!$F$27-Inputs!$E$27)))</f>
        <v>81.1745403522639</v>
      </c>
      <c r="R1304" s="81" t="n">
        <f aca="true">RAND()</f>
        <v>0.152148141339673</v>
      </c>
      <c r="S1304" s="82" t="n">
        <f aca="false">IF(R1304&lt;(Inputs!$E$29-Inputs!$D$29)/(Inputs!$F$29-Inputs!$D$29),Inputs!$D$29+SQRT(R1304*(Inputs!$F$29-Inputs!$D$29)*(Inputs!$E$29-Inputs!$D$29)),Inputs!$F$29-SQRT((1-R1304)*(Inputs!$F$29-Inputs!$D$29)*(Inputs!$F$29-Inputs!$E$29)))</f>
        <v>4.43593462807343</v>
      </c>
      <c r="T1304" s="68" t="n">
        <f aca="false">Inputs!$E$9*(1+E1304)+Inputs!$E$5*C1304*(Inputs!$E$11*Inputs!$E$14*(G1304*I1304/Inputs!$E$16+(1-G1304))*K1304+Inputs!$E$23*M1304)*(1+O1304)+Inputs!$E$5*(Q1304+S1304)</f>
        <v>5618.40860993594</v>
      </c>
    </row>
    <row r="1305" customFormat="false" ht="15" hidden="false" customHeight="false" outlineLevel="0" collapsed="false">
      <c r="A1305" s="1" t="n">
        <v>1301</v>
      </c>
      <c r="B1305" s="81" t="n">
        <f aca="true">RAND()</f>
        <v>0.828557633844359</v>
      </c>
      <c r="C1305" s="82" t="n">
        <f aca="false">ROUND(IF(B1305&lt;(Inputs!$E$8-Inputs!$D$8)/(Inputs!$F$8-Inputs!$D$8),Inputs!$D$8+SQRT(B1305*(Inputs!$F$8-Inputs!$D$8)*(Inputs!$E$8-Inputs!$D$8)),Inputs!$F$8-SQRT((1-B1305)*(Inputs!$F$8-Inputs!$D$8)*(Inputs!$F$8-Inputs!$E$8))),0)</f>
        <v>27</v>
      </c>
      <c r="D1305" s="81" t="n">
        <f aca="true">RAND()</f>
        <v>0.115540286909452</v>
      </c>
      <c r="E1305" s="83" t="n">
        <f aca="false">IF(D1305&lt;(Inputs!$E$10-Inputs!$D$10)/(Inputs!$F$10-Inputs!$D$10),Inputs!$D$10+SQRT(D1305*(Inputs!$F$10-Inputs!$D$10)*(Inputs!$E$10-Inputs!$D$10)),Inputs!$F$10-SQRT((1-D1305)*(Inputs!$F$10-Inputs!$D$10)*(Inputs!$F$10-Inputs!$E$10)))</f>
        <v>0.0339912175288635</v>
      </c>
      <c r="F1305" s="81" t="n">
        <f aca="true">RAND()</f>
        <v>0.193694818569796</v>
      </c>
      <c r="G1305" s="83" t="n">
        <f aca="false">IF(F1305&lt;(Inputs!$E$15-Inputs!$D$15)/(Inputs!$F$15-Inputs!$D$15),Inputs!$D$15+SQRT(F1305*(Inputs!$F$15-Inputs!$D$15)*(Inputs!$E$15-Inputs!$D$15)),Inputs!$F$15-SQRT((1-F1305)*(Inputs!$F$15-Inputs!$D$15)*(Inputs!$F$15-Inputs!$E$15)))</f>
        <v>0.662240632800414</v>
      </c>
      <c r="H1305" s="81" t="n">
        <f aca="true">RAND()</f>
        <v>0.590671901992734</v>
      </c>
      <c r="I1305" s="82" t="n">
        <f aca="false">ROUND(IF(H1305&lt;(Inputs!$E$17-Inputs!$D$17)/(Inputs!$F$17-Inputs!$D$17),Inputs!$D$17+SQRT(H1305*(Inputs!$F$17-Inputs!$D$17)*(Inputs!$E$17-Inputs!$D$17)),Inputs!$F$17-SQRT((1-H1305)*(Inputs!$F$17-Inputs!$D$17)*(Inputs!$F$17-Inputs!$E$17))),0)</f>
        <v>107</v>
      </c>
      <c r="J1305" s="81" t="n">
        <f aca="true">RAND()</f>
        <v>0.0942299220407501</v>
      </c>
      <c r="K1305" s="83" t="n">
        <f aca="false">IF(J1305&lt;(Inputs!$E$18-Inputs!$D$18)/(Inputs!$F$18-Inputs!$D$18),Inputs!$D$18+SQRT(J1305*(Inputs!$F$18-Inputs!$D$18)*(Inputs!$E$18-Inputs!$D$18)),Inputs!$F$18-SQRT((1-J1305)*(Inputs!$F$18-Inputs!$D$18)*(Inputs!$F$18-Inputs!$E$18)))</f>
        <v>0.957428627629661</v>
      </c>
      <c r="L1305" s="81" t="n">
        <f aca="true">RAND()</f>
        <v>0.804252629546112</v>
      </c>
      <c r="M1305" s="83" t="n">
        <f aca="false">IF(L1305&lt;(Inputs!$E$24-Inputs!$D$24)/(Inputs!$F$24-Inputs!$D$24),Inputs!$D$24+SQRT(L1305*(Inputs!$F$24-Inputs!$D$24)*(Inputs!$E$24-Inputs!$D$24)),Inputs!$F$24-SQRT((1-L1305)*(Inputs!$F$24-Inputs!$D$24)*(Inputs!$F$24-Inputs!$E$24)))</f>
        <v>0.983252753399419</v>
      </c>
      <c r="N1305" s="81" t="n">
        <f aca="true">RAND()</f>
        <v>0.334291344886895</v>
      </c>
      <c r="O1305" s="83" t="n">
        <f aca="false">IF(N1305&lt;(Inputs!$E$26-Inputs!$D$26)/(Inputs!$F$26-Inputs!$D$26),Inputs!$D$26+SQRT(N1305*(Inputs!$F$26-Inputs!$D$26)*(Inputs!$E$26-Inputs!$D$26)),Inputs!$F$26-SQRT((1-N1305)*(Inputs!$F$26-Inputs!$D$26)*(Inputs!$F$26-Inputs!$E$26)))</f>
        <v>0.535851817438788</v>
      </c>
      <c r="P1305" s="81" t="n">
        <f aca="true">RAND()</f>
        <v>0.542853867787833</v>
      </c>
      <c r="Q1305" s="82" t="n">
        <f aca="false">IF(P1305&lt;(Inputs!$E$27-Inputs!$D$27)/(Inputs!$F$27-Inputs!$D$27),Inputs!$D$27+SQRT(P1305*(Inputs!$F$27-Inputs!$D$27)*(Inputs!$E$27-Inputs!$D$27)),Inputs!$F$27-SQRT((1-P1305)*(Inputs!$F$27-Inputs!$D$27)*(Inputs!$F$27-Inputs!$E$27)))</f>
        <v>91.4457858767513</v>
      </c>
      <c r="R1305" s="81" t="n">
        <f aca="true">RAND()</f>
        <v>0.428751832801871</v>
      </c>
      <c r="S1305" s="82" t="n">
        <f aca="false">IF(R1305&lt;(Inputs!$E$29-Inputs!$D$29)/(Inputs!$F$29-Inputs!$D$29),Inputs!$D$29+SQRT(R1305*(Inputs!$F$29-Inputs!$D$29)*(Inputs!$E$29-Inputs!$D$29)),Inputs!$F$29-SQRT((1-R1305)*(Inputs!$F$29-Inputs!$D$29)*(Inputs!$F$29-Inputs!$E$29)))</f>
        <v>6.38244456149212</v>
      </c>
      <c r="T1305" s="68" t="n">
        <f aca="false">Inputs!$E$9*(1+E1305)+Inputs!$E$5*C1305*(Inputs!$E$11*Inputs!$E$14*(G1305*I1305/Inputs!$E$16+(1-G1305))*K1305+Inputs!$E$23*M1305)*(1+O1305)+Inputs!$E$5*(Q1305+S1305)</f>
        <v>6421.43025297779</v>
      </c>
    </row>
    <row r="1306" customFormat="false" ht="15" hidden="false" customHeight="false" outlineLevel="0" collapsed="false">
      <c r="A1306" s="1" t="n">
        <v>1302</v>
      </c>
      <c r="B1306" s="81" t="n">
        <f aca="true">RAND()</f>
        <v>0.763237752454014</v>
      </c>
      <c r="C1306" s="82" t="n">
        <f aca="false">ROUND(IF(B1306&lt;(Inputs!$E$8-Inputs!$D$8)/(Inputs!$F$8-Inputs!$D$8),Inputs!$D$8+SQRT(B1306*(Inputs!$F$8-Inputs!$D$8)*(Inputs!$E$8-Inputs!$D$8)),Inputs!$F$8-SQRT((1-B1306)*(Inputs!$F$8-Inputs!$D$8)*(Inputs!$F$8-Inputs!$E$8))),0)</f>
        <v>27</v>
      </c>
      <c r="D1306" s="81" t="n">
        <f aca="true">RAND()</f>
        <v>0.210421538812965</v>
      </c>
      <c r="E1306" s="83" t="n">
        <f aca="false">IF(D1306&lt;(Inputs!$E$10-Inputs!$D$10)/(Inputs!$F$10-Inputs!$D$10),Inputs!$D$10+SQRT(D1306*(Inputs!$F$10-Inputs!$D$10)*(Inputs!$E$10-Inputs!$D$10)),Inputs!$F$10-SQRT((1-D1306)*(Inputs!$F$10-Inputs!$D$10)*(Inputs!$F$10-Inputs!$E$10)))</f>
        <v>0.0458717275468196</v>
      </c>
      <c r="F1306" s="81" t="n">
        <f aca="true">RAND()</f>
        <v>0.0706608699025311</v>
      </c>
      <c r="G1306" s="83" t="n">
        <f aca="false">IF(F1306&lt;(Inputs!$E$15-Inputs!$D$15)/(Inputs!$F$15-Inputs!$D$15),Inputs!$D$15+SQRT(F1306*(Inputs!$F$15-Inputs!$D$15)*(Inputs!$E$15-Inputs!$D$15)),Inputs!$F$15-SQRT((1-F1306)*(Inputs!$F$15-Inputs!$D$15)*(Inputs!$F$15-Inputs!$E$15)))</f>
        <v>0.637592783856089</v>
      </c>
      <c r="H1306" s="81" t="n">
        <f aca="true">RAND()</f>
        <v>0.239750872750073</v>
      </c>
      <c r="I1306" s="82" t="n">
        <f aca="false">ROUND(IF(H1306&lt;(Inputs!$E$17-Inputs!$D$17)/(Inputs!$F$17-Inputs!$D$17),Inputs!$D$17+SQRT(H1306*(Inputs!$F$17-Inputs!$D$17)*(Inputs!$E$17-Inputs!$D$17)),Inputs!$F$17-SQRT((1-H1306)*(Inputs!$F$17-Inputs!$D$17)*(Inputs!$F$17-Inputs!$E$17))),0)</f>
        <v>104</v>
      </c>
      <c r="J1306" s="81" t="n">
        <f aca="true">RAND()</f>
        <v>0.790716224548162</v>
      </c>
      <c r="K1306" s="83" t="n">
        <f aca="false">IF(J1306&lt;(Inputs!$E$18-Inputs!$D$18)/(Inputs!$F$18-Inputs!$D$18),Inputs!$D$18+SQRT(J1306*(Inputs!$F$18-Inputs!$D$18)*(Inputs!$E$18-Inputs!$D$18)),Inputs!$F$18-SQRT((1-J1306)*(Inputs!$F$18-Inputs!$D$18)*(Inputs!$F$18-Inputs!$E$18)))</f>
        <v>1.11467694079708</v>
      </c>
      <c r="L1306" s="81" t="n">
        <f aca="true">RAND()</f>
        <v>0.411854103102736</v>
      </c>
      <c r="M1306" s="83" t="n">
        <f aca="false">IF(L1306&lt;(Inputs!$E$24-Inputs!$D$24)/(Inputs!$F$24-Inputs!$D$24),Inputs!$D$24+SQRT(L1306*(Inputs!$F$24-Inputs!$D$24)*(Inputs!$E$24-Inputs!$D$24)),Inputs!$F$24-SQRT((1-L1306)*(Inputs!$F$24-Inputs!$D$24)*(Inputs!$F$24-Inputs!$E$24)))</f>
        <v>0.824293977616351</v>
      </c>
      <c r="N1306" s="81" t="n">
        <f aca="true">RAND()</f>
        <v>0.0508673180025416</v>
      </c>
      <c r="O1306" s="83" t="n">
        <f aca="false">IF(N1306&lt;(Inputs!$E$26-Inputs!$D$26)/(Inputs!$F$26-Inputs!$D$26),Inputs!$D$26+SQRT(N1306*(Inputs!$F$26-Inputs!$D$26)*(Inputs!$E$26-Inputs!$D$26)),Inputs!$F$26-SQRT((1-N1306)*(Inputs!$F$26-Inputs!$D$26)*(Inputs!$F$26-Inputs!$E$26)))</f>
        <v>0.392001748437858</v>
      </c>
      <c r="P1306" s="81" t="n">
        <f aca="true">RAND()</f>
        <v>0.885622720046143</v>
      </c>
      <c r="Q1306" s="82" t="n">
        <f aca="false">IF(P1306&lt;(Inputs!$E$27-Inputs!$D$27)/(Inputs!$F$27-Inputs!$D$27),Inputs!$D$27+SQRT(P1306*(Inputs!$F$27-Inputs!$D$27)*(Inputs!$E$27-Inputs!$D$27)),Inputs!$F$27-SQRT((1-P1306)*(Inputs!$F$27-Inputs!$D$27)*(Inputs!$F$27-Inputs!$E$27)))</f>
        <v>120.711271798627</v>
      </c>
      <c r="R1306" s="81" t="n">
        <f aca="true">RAND()</f>
        <v>0.19304368301169</v>
      </c>
      <c r="S1306" s="82" t="n">
        <f aca="false">IF(R1306&lt;(Inputs!$E$29-Inputs!$D$29)/(Inputs!$F$29-Inputs!$D$29),Inputs!$D$29+SQRT(R1306*(Inputs!$F$29-Inputs!$D$29)*(Inputs!$E$29-Inputs!$D$29)),Inputs!$F$29-SQRT((1-R1306)*(Inputs!$F$29-Inputs!$D$29)*(Inputs!$F$29-Inputs!$E$29)))</f>
        <v>4.74384832624835</v>
      </c>
      <c r="T1306" s="68" t="n">
        <f aca="false">Inputs!$E$9*(1+E1306)+Inputs!$E$5*C1306*(Inputs!$E$11*Inputs!$E$14*(G1306*I1306/Inputs!$E$16+(1-G1306))*K1306+Inputs!$E$23*M1306)*(1+O1306)+Inputs!$E$5*(Q1306+S1306)</f>
        <v>6358.37327697276</v>
      </c>
    </row>
    <row r="1307" customFormat="false" ht="15" hidden="false" customHeight="false" outlineLevel="0" collapsed="false">
      <c r="A1307" s="1" t="n">
        <v>1303</v>
      </c>
      <c r="B1307" s="81" t="n">
        <f aca="true">RAND()</f>
        <v>0.934910887366896</v>
      </c>
      <c r="C1307" s="82" t="n">
        <f aca="false">ROUND(IF(B1307&lt;(Inputs!$E$8-Inputs!$D$8)/(Inputs!$F$8-Inputs!$D$8),Inputs!$D$8+SQRT(B1307*(Inputs!$F$8-Inputs!$D$8)*(Inputs!$E$8-Inputs!$D$8)),Inputs!$F$8-SQRT((1-B1307)*(Inputs!$F$8-Inputs!$D$8)*(Inputs!$F$8-Inputs!$E$8))),0)</f>
        <v>28</v>
      </c>
      <c r="D1307" s="81" t="n">
        <f aca="true">RAND()</f>
        <v>0.631070596738085</v>
      </c>
      <c r="E1307" s="83" t="n">
        <f aca="false">IF(D1307&lt;(Inputs!$E$10-Inputs!$D$10)/(Inputs!$F$10-Inputs!$D$10),Inputs!$D$10+SQRT(D1307*(Inputs!$F$10-Inputs!$D$10)*(Inputs!$E$10-Inputs!$D$10)),Inputs!$F$10-SQRT((1-D1307)*(Inputs!$F$10-Inputs!$D$10)*(Inputs!$F$10-Inputs!$E$10)))</f>
        <v>0.0947959977098901</v>
      </c>
      <c r="F1307" s="81" t="n">
        <f aca="true">RAND()</f>
        <v>0.740659198217298</v>
      </c>
      <c r="G1307" s="83" t="n">
        <f aca="false">IF(F1307&lt;(Inputs!$E$15-Inputs!$D$15)/(Inputs!$F$15-Inputs!$D$15),Inputs!$D$15+SQRT(F1307*(Inputs!$F$15-Inputs!$D$15)*(Inputs!$E$15-Inputs!$D$15)),Inputs!$F$15-SQRT((1-F1307)*(Inputs!$F$15-Inputs!$D$15)*(Inputs!$F$15-Inputs!$E$15)))</f>
        <v>0.727980446851886</v>
      </c>
      <c r="H1307" s="81" t="n">
        <f aca="true">RAND()</f>
        <v>0.496188765802159</v>
      </c>
      <c r="I1307" s="82" t="n">
        <f aca="false">ROUND(IF(H1307&lt;(Inputs!$E$17-Inputs!$D$17)/(Inputs!$F$17-Inputs!$D$17),Inputs!$D$17+SQRT(H1307*(Inputs!$F$17-Inputs!$D$17)*(Inputs!$E$17-Inputs!$D$17)),Inputs!$F$17-SQRT((1-H1307)*(Inputs!$F$17-Inputs!$D$17)*(Inputs!$F$17-Inputs!$E$17))),0)</f>
        <v>106</v>
      </c>
      <c r="J1307" s="81" t="n">
        <f aca="true">RAND()</f>
        <v>0.587388904048022</v>
      </c>
      <c r="K1307" s="83" t="n">
        <f aca="false">IF(J1307&lt;(Inputs!$E$18-Inputs!$D$18)/(Inputs!$F$18-Inputs!$D$18),Inputs!$D$18+SQRT(J1307*(Inputs!$F$18-Inputs!$D$18)*(Inputs!$E$18-Inputs!$D$18)),Inputs!$F$18-SQRT((1-J1307)*(Inputs!$F$18-Inputs!$D$18)*(Inputs!$F$18-Inputs!$E$18)))</f>
        <v>1.05999086628323</v>
      </c>
      <c r="L1307" s="81" t="n">
        <f aca="true">RAND()</f>
        <v>0.454833897080982</v>
      </c>
      <c r="M1307" s="83" t="n">
        <f aca="false">IF(L1307&lt;(Inputs!$E$24-Inputs!$D$24)/(Inputs!$F$24-Inputs!$D$24),Inputs!$D$24+SQRT(L1307*(Inputs!$F$24-Inputs!$D$24)*(Inputs!$E$24-Inputs!$D$24)),Inputs!$F$24-SQRT((1-L1307)*(Inputs!$F$24-Inputs!$D$24)*(Inputs!$F$24-Inputs!$E$24)))</f>
        <v>0.83828206472368</v>
      </c>
      <c r="N1307" s="81" t="n">
        <f aca="true">RAND()</f>
        <v>0.297200169264439</v>
      </c>
      <c r="O1307" s="83" t="n">
        <f aca="false">IF(N1307&lt;(Inputs!$E$26-Inputs!$D$26)/(Inputs!$F$26-Inputs!$D$26),Inputs!$D$26+SQRT(N1307*(Inputs!$F$26-Inputs!$D$26)*(Inputs!$E$26-Inputs!$D$26)),Inputs!$F$26-SQRT((1-N1307)*(Inputs!$F$26-Inputs!$D$26)*(Inputs!$F$26-Inputs!$E$26)))</f>
        <v>0.522382796469517</v>
      </c>
      <c r="P1307" s="81" t="n">
        <f aca="true">RAND()</f>
        <v>0.345292078791307</v>
      </c>
      <c r="Q1307" s="82" t="n">
        <f aca="false">IF(P1307&lt;(Inputs!$E$27-Inputs!$D$27)/(Inputs!$F$27-Inputs!$D$27),Inputs!$D$27+SQRT(P1307*(Inputs!$F$27-Inputs!$D$27)*(Inputs!$E$27-Inputs!$D$27)),Inputs!$F$27-SQRT((1-P1307)*(Inputs!$F$27-Inputs!$D$27)*(Inputs!$F$27-Inputs!$E$27)))</f>
        <v>79.9264000563322</v>
      </c>
      <c r="R1307" s="81" t="n">
        <f aca="true">RAND()</f>
        <v>0.990231332838741</v>
      </c>
      <c r="S1307" s="82" t="n">
        <f aca="false">IF(R1307&lt;(Inputs!$E$29-Inputs!$D$29)/(Inputs!$F$29-Inputs!$D$29),Inputs!$D$29+SQRT(R1307*(Inputs!$F$29-Inputs!$D$29)*(Inputs!$E$29-Inputs!$D$29)),Inputs!$F$29-SQRT((1-R1307)*(Inputs!$F$29-Inputs!$D$29)*(Inputs!$F$29-Inputs!$E$29)))</f>
        <v>13.8730897413886</v>
      </c>
      <c r="T1307" s="68" t="n">
        <f aca="false">Inputs!$E$9*(1+E1307)+Inputs!$E$5*C1307*(Inputs!$E$11*Inputs!$E$14*(G1307*I1307/Inputs!$E$16+(1-G1307))*K1307+Inputs!$E$23*M1307)*(1+O1307)+Inputs!$E$5*(Q1307+S1307)</f>
        <v>6549.48361602665</v>
      </c>
    </row>
    <row r="1308" customFormat="false" ht="15" hidden="false" customHeight="false" outlineLevel="0" collapsed="false">
      <c r="A1308" s="1" t="n">
        <v>1304</v>
      </c>
      <c r="B1308" s="81" t="n">
        <f aca="true">RAND()</f>
        <v>0.878382557870468</v>
      </c>
      <c r="C1308" s="82" t="n">
        <f aca="false">ROUND(IF(B1308&lt;(Inputs!$E$8-Inputs!$D$8)/(Inputs!$F$8-Inputs!$D$8),Inputs!$D$8+SQRT(B1308*(Inputs!$F$8-Inputs!$D$8)*(Inputs!$E$8-Inputs!$D$8)),Inputs!$F$8-SQRT((1-B1308)*(Inputs!$F$8-Inputs!$D$8)*(Inputs!$F$8-Inputs!$E$8))),0)</f>
        <v>28</v>
      </c>
      <c r="D1308" s="81" t="n">
        <f aca="true">RAND()</f>
        <v>0.241874435043899</v>
      </c>
      <c r="E1308" s="83" t="n">
        <f aca="false">IF(D1308&lt;(Inputs!$E$10-Inputs!$D$10)/(Inputs!$F$10-Inputs!$D$10),Inputs!$D$10+SQRT(D1308*(Inputs!$F$10-Inputs!$D$10)*(Inputs!$E$10-Inputs!$D$10)),Inputs!$F$10-SQRT((1-D1308)*(Inputs!$F$10-Inputs!$D$10)*(Inputs!$F$10-Inputs!$E$10)))</f>
        <v>0.0491807314955663</v>
      </c>
      <c r="F1308" s="81" t="n">
        <f aca="true">RAND()</f>
        <v>0.108721144716414</v>
      </c>
      <c r="G1308" s="83" t="n">
        <f aca="false">IF(F1308&lt;(Inputs!$E$15-Inputs!$D$15)/(Inputs!$F$15-Inputs!$D$15),Inputs!$D$15+SQRT(F1308*(Inputs!$F$15-Inputs!$D$15)*(Inputs!$E$15-Inputs!$D$15)),Inputs!$F$15-SQRT((1-F1308)*(Inputs!$F$15-Inputs!$D$15)*(Inputs!$F$15-Inputs!$E$15)))</f>
        <v>0.646630707632721</v>
      </c>
      <c r="H1308" s="81" t="n">
        <f aca="true">RAND()</f>
        <v>0.71184436703473</v>
      </c>
      <c r="I1308" s="82" t="n">
        <f aca="false">ROUND(IF(H1308&lt;(Inputs!$E$17-Inputs!$D$17)/(Inputs!$F$17-Inputs!$D$17),Inputs!$D$17+SQRT(H1308*(Inputs!$F$17-Inputs!$D$17)*(Inputs!$E$17-Inputs!$D$17)),Inputs!$F$17-SQRT((1-H1308)*(Inputs!$F$17-Inputs!$D$17)*(Inputs!$F$17-Inputs!$E$17))),0)</f>
        <v>108</v>
      </c>
      <c r="J1308" s="81" t="n">
        <f aca="true">RAND()</f>
        <v>0.941431851827302</v>
      </c>
      <c r="K1308" s="83" t="n">
        <f aca="false">IF(J1308&lt;(Inputs!$E$18-Inputs!$D$18)/(Inputs!$F$18-Inputs!$D$18),Inputs!$D$18+SQRT(J1308*(Inputs!$F$18-Inputs!$D$18)*(Inputs!$E$18-Inputs!$D$18)),Inputs!$F$18-SQRT((1-J1308)*(Inputs!$F$18-Inputs!$D$18)*(Inputs!$F$18-Inputs!$E$18)))</f>
        <v>1.17841289945031</v>
      </c>
      <c r="L1308" s="81" t="n">
        <f aca="true">RAND()</f>
        <v>0.983298539710517</v>
      </c>
      <c r="M1308" s="83" t="n">
        <f aca="false">IF(L1308&lt;(Inputs!$E$24-Inputs!$D$24)/(Inputs!$F$24-Inputs!$D$24),Inputs!$D$24+SQRT(L1308*(Inputs!$F$24-Inputs!$D$24)*(Inputs!$E$24-Inputs!$D$24)),Inputs!$F$24-SQRT((1-L1308)*(Inputs!$F$24-Inputs!$D$24)*(Inputs!$F$24-Inputs!$E$24)))</f>
        <v>1.1366884649572</v>
      </c>
      <c r="N1308" s="81" t="n">
        <f aca="true">RAND()</f>
        <v>0.049846991956918</v>
      </c>
      <c r="O1308" s="83" t="n">
        <f aca="false">IF(N1308&lt;(Inputs!$E$26-Inputs!$D$26)/(Inputs!$F$26-Inputs!$D$26),Inputs!$D$26+SQRT(N1308*(Inputs!$F$26-Inputs!$D$26)*(Inputs!$E$26-Inputs!$D$26)),Inputs!$F$26-SQRT((1-N1308)*(Inputs!$F$26-Inputs!$D$26)*(Inputs!$F$26-Inputs!$E$26)))</f>
        <v>0.391074362263104</v>
      </c>
      <c r="P1308" s="81" t="n">
        <f aca="true">RAND()</f>
        <v>0.934748316616614</v>
      </c>
      <c r="Q1308" s="82" t="n">
        <f aca="false">IF(P1308&lt;(Inputs!$E$27-Inputs!$D$27)/(Inputs!$F$27-Inputs!$D$27),Inputs!$D$27+SQRT(P1308*(Inputs!$F$27-Inputs!$D$27)*(Inputs!$E$27-Inputs!$D$27)),Inputs!$F$27-SQRT((1-P1308)*(Inputs!$F$27-Inputs!$D$27)*(Inputs!$F$27-Inputs!$E$27)))</f>
        <v>127.877892836002</v>
      </c>
      <c r="R1308" s="81" t="n">
        <f aca="true">RAND()</f>
        <v>0.811090353920636</v>
      </c>
      <c r="S1308" s="82" t="n">
        <f aca="false">IF(R1308&lt;(Inputs!$E$29-Inputs!$D$29)/(Inputs!$F$29-Inputs!$D$29),Inputs!$D$29+SQRT(R1308*(Inputs!$F$29-Inputs!$D$29)*(Inputs!$E$29-Inputs!$D$29)),Inputs!$F$29-SQRT((1-R1308)*(Inputs!$F$29-Inputs!$D$29)*(Inputs!$F$29-Inputs!$E$29)))</f>
        <v>10.044371483826</v>
      </c>
      <c r="T1308" s="68" t="n">
        <f aca="false">Inputs!$E$9*(1+E1308)+Inputs!$E$5*C1308*(Inputs!$E$11*Inputs!$E$14*(G1308*I1308/Inputs!$E$16+(1-G1308))*K1308+Inputs!$E$23*M1308)*(1+O1308)+Inputs!$E$5*(Q1308+S1308)</f>
        <v>7159.70931145773</v>
      </c>
    </row>
    <row r="1309" customFormat="false" ht="15" hidden="false" customHeight="false" outlineLevel="0" collapsed="false">
      <c r="A1309" s="1" t="n">
        <v>1305</v>
      </c>
      <c r="B1309" s="81" t="n">
        <f aca="true">RAND()</f>
        <v>0.858336174964412</v>
      </c>
      <c r="C1309" s="82" t="n">
        <f aca="false">ROUND(IF(B1309&lt;(Inputs!$E$8-Inputs!$D$8)/(Inputs!$F$8-Inputs!$D$8),Inputs!$D$8+SQRT(B1309*(Inputs!$F$8-Inputs!$D$8)*(Inputs!$E$8-Inputs!$D$8)),Inputs!$F$8-SQRT((1-B1309)*(Inputs!$F$8-Inputs!$D$8)*(Inputs!$F$8-Inputs!$E$8))),0)</f>
        <v>27</v>
      </c>
      <c r="D1309" s="81" t="n">
        <f aca="true">RAND()</f>
        <v>0.0604540012370667</v>
      </c>
      <c r="E1309" s="83" t="n">
        <f aca="false">IF(D1309&lt;(Inputs!$E$10-Inputs!$D$10)/(Inputs!$F$10-Inputs!$D$10),Inputs!$D$10+SQRT(D1309*(Inputs!$F$10-Inputs!$D$10)*(Inputs!$E$10-Inputs!$D$10)),Inputs!$F$10-SQRT((1-D1309)*(Inputs!$F$10-Inputs!$D$10)*(Inputs!$F$10-Inputs!$E$10)))</f>
        <v>0.0245873953962323</v>
      </c>
      <c r="F1309" s="81" t="n">
        <f aca="true">RAND()</f>
        <v>0.801843450368719</v>
      </c>
      <c r="G1309" s="83" t="n">
        <f aca="false">IF(F1309&lt;(Inputs!$E$15-Inputs!$D$15)/(Inputs!$F$15-Inputs!$D$15),Inputs!$D$15+SQRT(F1309*(Inputs!$F$15-Inputs!$D$15)*(Inputs!$E$15-Inputs!$D$15)),Inputs!$F$15-SQRT((1-F1309)*(Inputs!$F$15-Inputs!$D$15)*(Inputs!$F$15-Inputs!$E$15)))</f>
        <v>0.737046596655736</v>
      </c>
      <c r="H1309" s="81" t="n">
        <f aca="true">RAND()</f>
        <v>0.215376611154759</v>
      </c>
      <c r="I1309" s="82" t="n">
        <f aca="false">ROUND(IF(H1309&lt;(Inputs!$E$17-Inputs!$D$17)/(Inputs!$F$17-Inputs!$D$17),Inputs!$D$17+SQRT(H1309*(Inputs!$F$17-Inputs!$D$17)*(Inputs!$E$17-Inputs!$D$17)),Inputs!$F$17-SQRT((1-H1309)*(Inputs!$F$17-Inputs!$D$17)*(Inputs!$F$17-Inputs!$E$17))),0)</f>
        <v>104</v>
      </c>
      <c r="J1309" s="81" t="n">
        <f aca="true">RAND()</f>
        <v>0.604491134738564</v>
      </c>
      <c r="K1309" s="83" t="n">
        <f aca="false">IF(J1309&lt;(Inputs!$E$18-Inputs!$D$18)/(Inputs!$F$18-Inputs!$D$18),Inputs!$D$18+SQRT(J1309*(Inputs!$F$18-Inputs!$D$18)*(Inputs!$E$18-Inputs!$D$18)),Inputs!$F$18-SQRT((1-J1309)*(Inputs!$F$18-Inputs!$D$18)*(Inputs!$F$18-Inputs!$E$18)))</f>
        <v>1.06397036335472</v>
      </c>
      <c r="L1309" s="81" t="n">
        <f aca="true">RAND()</f>
        <v>0.28583388579983</v>
      </c>
      <c r="M1309" s="83" t="n">
        <f aca="false">IF(L1309&lt;(Inputs!$E$24-Inputs!$D$24)/(Inputs!$F$24-Inputs!$D$24),Inputs!$D$24+SQRT(L1309*(Inputs!$F$24-Inputs!$D$24)*(Inputs!$E$24-Inputs!$D$24)),Inputs!$F$24-SQRT((1-L1309)*(Inputs!$F$24-Inputs!$D$24)*(Inputs!$F$24-Inputs!$E$24)))</f>
        <v>0.785202770756756</v>
      </c>
      <c r="N1309" s="81" t="n">
        <f aca="true">RAND()</f>
        <v>0.998549435106736</v>
      </c>
      <c r="O1309" s="83" t="n">
        <f aca="false">IF(N1309&lt;(Inputs!$E$26-Inputs!$D$26)/(Inputs!$F$26-Inputs!$D$26),Inputs!$D$26+SQRT(N1309*(Inputs!$F$26-Inputs!$D$26)*(Inputs!$E$26-Inputs!$D$26)),Inputs!$F$26-SQRT((1-N1309)*(Inputs!$F$26-Inputs!$D$26)*(Inputs!$F$26-Inputs!$E$26)))</f>
        <v>0.807717543043046</v>
      </c>
      <c r="P1309" s="81" t="n">
        <f aca="true">RAND()</f>
        <v>0.968958303250927</v>
      </c>
      <c r="Q1309" s="82" t="n">
        <f aca="false">IF(P1309&lt;(Inputs!$E$27-Inputs!$D$27)/(Inputs!$F$27-Inputs!$D$27),Inputs!$D$27+SQRT(P1309*(Inputs!$F$27-Inputs!$D$27)*(Inputs!$E$27-Inputs!$D$27)),Inputs!$F$27-SQRT((1-P1309)*(Inputs!$F$27-Inputs!$D$27)*(Inputs!$F$27-Inputs!$E$27)))</f>
        <v>134.741798086994</v>
      </c>
      <c r="R1309" s="81" t="n">
        <f aca="true">RAND()</f>
        <v>0.590532945422649</v>
      </c>
      <c r="S1309" s="82" t="n">
        <f aca="false">IF(R1309&lt;(Inputs!$E$29-Inputs!$D$29)/(Inputs!$F$29-Inputs!$D$29),Inputs!$D$29+SQRT(R1309*(Inputs!$F$29-Inputs!$D$29)*(Inputs!$E$29-Inputs!$D$29)),Inputs!$F$29-SQRT((1-R1309)*(Inputs!$F$29-Inputs!$D$29)*(Inputs!$F$29-Inputs!$E$29)))</f>
        <v>7.70406160284671</v>
      </c>
      <c r="T1309" s="68" t="n">
        <f aca="false">Inputs!$E$9*(1+E1309)+Inputs!$E$5*C1309*(Inputs!$E$11*Inputs!$E$14*(G1309*I1309/Inputs!$E$16+(1-G1309))*K1309+Inputs!$E$23*M1309)*(1+O1309)+Inputs!$E$5*(Q1309+S1309)</f>
        <v>7041.34976667098</v>
      </c>
    </row>
    <row r="1310" customFormat="false" ht="15" hidden="false" customHeight="false" outlineLevel="0" collapsed="false">
      <c r="A1310" s="1" t="n">
        <v>1306</v>
      </c>
      <c r="B1310" s="81" t="n">
        <f aca="true">RAND()</f>
        <v>0.125345089567208</v>
      </c>
      <c r="C1310" s="82" t="n">
        <f aca="false">ROUND(IF(B1310&lt;(Inputs!$E$8-Inputs!$D$8)/(Inputs!$F$8-Inputs!$D$8),Inputs!$D$8+SQRT(B1310*(Inputs!$F$8-Inputs!$D$8)*(Inputs!$E$8-Inputs!$D$8)),Inputs!$F$8-SQRT((1-B1310)*(Inputs!$F$8-Inputs!$D$8)*(Inputs!$F$8-Inputs!$E$8))),0)</f>
        <v>23</v>
      </c>
      <c r="D1310" s="81" t="n">
        <f aca="true">RAND()</f>
        <v>0.523834270649169</v>
      </c>
      <c r="E1310" s="83" t="n">
        <f aca="false">IF(D1310&lt;(Inputs!$E$10-Inputs!$D$10)/(Inputs!$F$10-Inputs!$D$10),Inputs!$D$10+SQRT(D1310*(Inputs!$F$10-Inputs!$D$10)*(Inputs!$E$10-Inputs!$D$10)),Inputs!$F$10-SQRT((1-D1310)*(Inputs!$F$10-Inputs!$D$10)*(Inputs!$F$10-Inputs!$E$10)))</f>
        <v>0.0804802448106384</v>
      </c>
      <c r="F1310" s="81" t="n">
        <f aca="true">RAND()</f>
        <v>0.444250800237394</v>
      </c>
      <c r="G1310" s="83" t="n">
        <f aca="false">IF(F1310&lt;(Inputs!$E$15-Inputs!$D$15)/(Inputs!$F$15-Inputs!$D$15),Inputs!$D$15+SQRT(F1310*(Inputs!$F$15-Inputs!$D$15)*(Inputs!$E$15-Inputs!$D$15)),Inputs!$F$15-SQRT((1-F1310)*(Inputs!$F$15-Inputs!$D$15)*(Inputs!$F$15-Inputs!$E$15)))</f>
        <v>0.694260362850712</v>
      </c>
      <c r="H1310" s="81" t="n">
        <f aca="true">RAND()</f>
        <v>0.901673014572171</v>
      </c>
      <c r="I1310" s="82" t="n">
        <f aca="false">ROUND(IF(H1310&lt;(Inputs!$E$17-Inputs!$D$17)/(Inputs!$F$17-Inputs!$D$17),Inputs!$D$17+SQRT(H1310*(Inputs!$F$17-Inputs!$D$17)*(Inputs!$E$17-Inputs!$D$17)),Inputs!$F$17-SQRT((1-H1310)*(Inputs!$F$17-Inputs!$D$17)*(Inputs!$F$17-Inputs!$E$17))),0)</f>
        <v>111</v>
      </c>
      <c r="J1310" s="81" t="n">
        <f aca="true">RAND()</f>
        <v>0.452353074074495</v>
      </c>
      <c r="K1310" s="83" t="n">
        <f aca="false">IF(J1310&lt;(Inputs!$E$18-Inputs!$D$18)/(Inputs!$F$18-Inputs!$D$18),Inputs!$D$18+SQRT(J1310*(Inputs!$F$18-Inputs!$D$18)*(Inputs!$E$18-Inputs!$D$18)),Inputs!$F$18-SQRT((1-J1310)*(Inputs!$F$18-Inputs!$D$18)*(Inputs!$F$18-Inputs!$E$18)))</f>
        <v>1.03109566925599</v>
      </c>
      <c r="L1310" s="81" t="n">
        <f aca="true">RAND()</f>
        <v>0.911354008314585</v>
      </c>
      <c r="M1310" s="83" t="n">
        <f aca="false">IF(L1310&lt;(Inputs!$E$24-Inputs!$D$24)/(Inputs!$F$24-Inputs!$D$24),Inputs!$D$24+SQRT(L1310*(Inputs!$F$24-Inputs!$D$24)*(Inputs!$E$24-Inputs!$D$24)),Inputs!$F$24-SQRT((1-L1310)*(Inputs!$F$24-Inputs!$D$24)*(Inputs!$F$24-Inputs!$E$24)))</f>
        <v>1.05414034826416</v>
      </c>
      <c r="N1310" s="81" t="n">
        <f aca="true">RAND()</f>
        <v>0.582239243140351</v>
      </c>
      <c r="O1310" s="83" t="n">
        <f aca="false">IF(N1310&lt;(Inputs!$E$26-Inputs!$D$26)/(Inputs!$F$26-Inputs!$D$26),Inputs!$D$26+SQRT(N1310*(Inputs!$F$26-Inputs!$D$26)*(Inputs!$E$26-Inputs!$D$26)),Inputs!$F$26-SQRT((1-N1310)*(Inputs!$F$26-Inputs!$D$26)*(Inputs!$F$26-Inputs!$E$26)))</f>
        <v>0.611262927536439</v>
      </c>
      <c r="P1310" s="81" t="n">
        <f aca="true">RAND()</f>
        <v>0.815564391201476</v>
      </c>
      <c r="Q1310" s="82" t="n">
        <f aca="false">IF(P1310&lt;(Inputs!$E$27-Inputs!$D$27)/(Inputs!$F$27-Inputs!$D$27),Inputs!$D$27+SQRT(P1310*(Inputs!$F$27-Inputs!$D$27)*(Inputs!$E$27-Inputs!$D$27)),Inputs!$F$27-SQRT((1-P1310)*(Inputs!$F$27-Inputs!$D$27)*(Inputs!$F$27-Inputs!$E$27)))</f>
        <v>112.807701523179</v>
      </c>
      <c r="R1310" s="81" t="n">
        <f aca="true">RAND()</f>
        <v>0.169242525637569</v>
      </c>
      <c r="S1310" s="82" t="n">
        <f aca="false">IF(R1310&lt;(Inputs!$E$29-Inputs!$D$29)/(Inputs!$F$29-Inputs!$D$29),Inputs!$D$29+SQRT(R1310*(Inputs!$F$29-Inputs!$D$29)*(Inputs!$E$29-Inputs!$D$29)),Inputs!$F$29-SQRT((1-R1310)*(Inputs!$F$29-Inputs!$D$29)*(Inputs!$F$29-Inputs!$E$29)))</f>
        <v>4.56913574959853</v>
      </c>
      <c r="T1310" s="68" t="n">
        <f aca="false">Inputs!$E$9*(1+E1310)+Inputs!$E$5*C1310*(Inputs!$E$11*Inputs!$E$14*(G1310*I1310/Inputs!$E$16+(1-G1310))*K1310+Inputs!$E$23*M1310)*(1+O1310)+Inputs!$E$5*(Q1310+S1310)</f>
        <v>6482.22215285331</v>
      </c>
    </row>
    <row r="1311" customFormat="false" ht="15" hidden="false" customHeight="false" outlineLevel="0" collapsed="false">
      <c r="A1311" s="1" t="n">
        <v>1307</v>
      </c>
      <c r="B1311" s="81" t="n">
        <f aca="true">RAND()</f>
        <v>0.747529915276793</v>
      </c>
      <c r="C1311" s="82" t="n">
        <f aca="false">ROUND(IF(B1311&lt;(Inputs!$E$8-Inputs!$D$8)/(Inputs!$F$8-Inputs!$D$8),Inputs!$D$8+SQRT(B1311*(Inputs!$F$8-Inputs!$D$8)*(Inputs!$E$8-Inputs!$D$8)),Inputs!$F$8-SQRT((1-B1311)*(Inputs!$F$8-Inputs!$D$8)*(Inputs!$F$8-Inputs!$E$8))),0)</f>
        <v>26</v>
      </c>
      <c r="D1311" s="81" t="n">
        <f aca="true">RAND()</f>
        <v>0.635218553903455</v>
      </c>
      <c r="E1311" s="83" t="n">
        <f aca="false">IF(D1311&lt;(Inputs!$E$10-Inputs!$D$10)/(Inputs!$F$10-Inputs!$D$10),Inputs!$D$10+SQRT(D1311*(Inputs!$F$10-Inputs!$D$10)*(Inputs!$E$10-Inputs!$D$10)),Inputs!$F$10-SQRT((1-D1311)*(Inputs!$F$10-Inputs!$D$10)*(Inputs!$F$10-Inputs!$E$10)))</f>
        <v>0.0953890857372122</v>
      </c>
      <c r="F1311" s="81" t="n">
        <f aca="true">RAND()</f>
        <v>0.573436937083763</v>
      </c>
      <c r="G1311" s="83" t="n">
        <f aca="false">IF(F1311&lt;(Inputs!$E$15-Inputs!$D$15)/(Inputs!$F$15-Inputs!$D$15),Inputs!$D$15+SQRT(F1311*(Inputs!$F$15-Inputs!$D$15)*(Inputs!$E$15-Inputs!$D$15)),Inputs!$F$15-SQRT((1-F1311)*(Inputs!$F$15-Inputs!$D$15)*(Inputs!$F$15-Inputs!$E$15)))</f>
        <v>0.707635173045554</v>
      </c>
      <c r="H1311" s="81" t="n">
        <f aca="true">RAND()</f>
        <v>0.735350769258347</v>
      </c>
      <c r="I1311" s="82" t="n">
        <f aca="false">ROUND(IF(H1311&lt;(Inputs!$E$17-Inputs!$D$17)/(Inputs!$F$17-Inputs!$D$17),Inputs!$D$17+SQRT(H1311*(Inputs!$F$17-Inputs!$D$17)*(Inputs!$E$17-Inputs!$D$17)),Inputs!$F$17-SQRT((1-H1311)*(Inputs!$F$17-Inputs!$D$17)*(Inputs!$F$17-Inputs!$E$17))),0)</f>
        <v>109</v>
      </c>
      <c r="J1311" s="81" t="n">
        <f aca="true">RAND()</f>
        <v>0.964849516275661</v>
      </c>
      <c r="K1311" s="83" t="n">
        <f aca="false">IF(J1311&lt;(Inputs!$E$18-Inputs!$D$18)/(Inputs!$F$18-Inputs!$D$18),Inputs!$D$18+SQRT(J1311*(Inputs!$F$18-Inputs!$D$18)*(Inputs!$E$18-Inputs!$D$18)),Inputs!$F$18-SQRT((1-J1311)*(Inputs!$F$18-Inputs!$D$18)*(Inputs!$F$18-Inputs!$E$18)))</f>
        <v>1.19454130071955</v>
      </c>
      <c r="L1311" s="81" t="n">
        <f aca="true">RAND()</f>
        <v>0.165898485609395</v>
      </c>
      <c r="M1311" s="83" t="n">
        <f aca="false">IF(L1311&lt;(Inputs!$E$24-Inputs!$D$24)/(Inputs!$F$24-Inputs!$D$24),Inputs!$D$24+SQRT(L1311*(Inputs!$F$24-Inputs!$D$24)*(Inputs!$E$24-Inputs!$D$24)),Inputs!$F$24-SQRT((1-L1311)*(Inputs!$F$24-Inputs!$D$24)*(Inputs!$F$24-Inputs!$E$24)))</f>
        <v>0.741095068209797</v>
      </c>
      <c r="N1311" s="81" t="n">
        <f aca="true">RAND()</f>
        <v>0.569510736258165</v>
      </c>
      <c r="O1311" s="83" t="n">
        <f aca="false">IF(N1311&lt;(Inputs!$E$26-Inputs!$D$26)/(Inputs!$F$26-Inputs!$D$26),Inputs!$D$26+SQRT(N1311*(Inputs!$F$26-Inputs!$D$26)*(Inputs!$E$26-Inputs!$D$26)),Inputs!$F$26-SQRT((1-N1311)*(Inputs!$F$26-Inputs!$D$26)*(Inputs!$F$26-Inputs!$E$26)))</f>
        <v>0.607841820604931</v>
      </c>
      <c r="P1311" s="81" t="n">
        <f aca="true">RAND()</f>
        <v>0.68477345824792</v>
      </c>
      <c r="Q1311" s="82" t="n">
        <f aca="false">IF(P1311&lt;(Inputs!$E$27-Inputs!$D$27)/(Inputs!$F$27-Inputs!$D$27),Inputs!$D$27+SQRT(P1311*(Inputs!$F$27-Inputs!$D$27)*(Inputs!$E$27-Inputs!$D$27)),Inputs!$F$27-SQRT((1-P1311)*(Inputs!$F$27-Inputs!$D$27)*(Inputs!$F$27-Inputs!$E$27)))</f>
        <v>101.376969827657</v>
      </c>
      <c r="R1311" s="81" t="n">
        <f aca="true">RAND()</f>
        <v>0.937049399381681</v>
      </c>
      <c r="S1311" s="82" t="n">
        <f aca="false">IF(R1311&lt;(Inputs!$E$29-Inputs!$D$29)/(Inputs!$F$29-Inputs!$D$29),Inputs!$D$29+SQRT(R1311*(Inputs!$F$29-Inputs!$D$29)*(Inputs!$E$29-Inputs!$D$29)),Inputs!$F$29-SQRT((1-R1311)*(Inputs!$F$29-Inputs!$D$29)*(Inputs!$F$29-Inputs!$E$29)))</f>
        <v>12.1393046159401</v>
      </c>
      <c r="T1311" s="68" t="n">
        <f aca="false">Inputs!$E$9*(1+E1311)+Inputs!$E$5*C1311*(Inputs!$E$11*Inputs!$E$14*(G1311*I1311/Inputs!$E$16+(1-G1311))*K1311+Inputs!$E$23*M1311)*(1+O1311)+Inputs!$E$5*(Q1311+S1311)</f>
        <v>6809.70406335534</v>
      </c>
    </row>
    <row r="1312" customFormat="false" ht="15" hidden="false" customHeight="false" outlineLevel="0" collapsed="false">
      <c r="A1312" s="1" t="n">
        <v>1308</v>
      </c>
      <c r="B1312" s="81" t="n">
        <f aca="true">RAND()</f>
        <v>0.236046679417673</v>
      </c>
      <c r="C1312" s="82" t="n">
        <f aca="false">ROUND(IF(B1312&lt;(Inputs!$E$8-Inputs!$D$8)/(Inputs!$F$8-Inputs!$D$8),Inputs!$D$8+SQRT(B1312*(Inputs!$F$8-Inputs!$D$8)*(Inputs!$E$8-Inputs!$D$8)),Inputs!$F$8-SQRT((1-B1312)*(Inputs!$F$8-Inputs!$D$8)*(Inputs!$F$8-Inputs!$E$8))),0)</f>
        <v>23</v>
      </c>
      <c r="D1312" s="81" t="n">
        <f aca="true">RAND()</f>
        <v>0.912611069696628</v>
      </c>
      <c r="E1312" s="83" t="n">
        <f aca="false">IF(D1312&lt;(Inputs!$E$10-Inputs!$D$10)/(Inputs!$F$10-Inputs!$D$10),Inputs!$D$10+SQRT(D1312*(Inputs!$F$10-Inputs!$D$10)*(Inputs!$E$10-Inputs!$D$10)),Inputs!$F$10-SQRT((1-D1312)*(Inputs!$F$10-Inputs!$D$10)*(Inputs!$F$10-Inputs!$E$10)))</f>
        <v>0.148797774373557</v>
      </c>
      <c r="F1312" s="81" t="n">
        <f aca="true">RAND()</f>
        <v>0.0272450601613953</v>
      </c>
      <c r="G1312" s="83" t="n">
        <f aca="false">IF(F1312&lt;(Inputs!$E$15-Inputs!$D$15)/(Inputs!$F$15-Inputs!$D$15),Inputs!$D$15+SQRT(F1312*(Inputs!$F$15-Inputs!$D$15)*(Inputs!$E$15-Inputs!$D$15)),Inputs!$F$15-SQRT((1-F1312)*(Inputs!$F$15-Inputs!$D$15)*(Inputs!$F$15-Inputs!$E$15)))</f>
        <v>0.623343118969579</v>
      </c>
      <c r="H1312" s="81" t="n">
        <f aca="true">RAND()</f>
        <v>0.989324682183584</v>
      </c>
      <c r="I1312" s="82" t="n">
        <f aca="false">ROUND(IF(H1312&lt;(Inputs!$E$17-Inputs!$D$17)/(Inputs!$F$17-Inputs!$D$17),Inputs!$D$17+SQRT(H1312*(Inputs!$F$17-Inputs!$D$17)*(Inputs!$E$17-Inputs!$D$17)),Inputs!$F$17-SQRT((1-H1312)*(Inputs!$F$17-Inputs!$D$17)*(Inputs!$F$17-Inputs!$E$17))),0)</f>
        <v>114</v>
      </c>
      <c r="J1312" s="81" t="n">
        <f aca="true">RAND()</f>
        <v>0.977834460229174</v>
      </c>
      <c r="K1312" s="83" t="n">
        <f aca="false">IF(J1312&lt;(Inputs!$E$18-Inputs!$D$18)/(Inputs!$F$18-Inputs!$D$18),Inputs!$D$18+SQRT(J1312*(Inputs!$F$18-Inputs!$D$18)*(Inputs!$E$18-Inputs!$D$18)),Inputs!$F$18-SQRT((1-J1312)*(Inputs!$F$18-Inputs!$D$18)*(Inputs!$F$18-Inputs!$E$18)))</f>
        <v>1.20596041859932</v>
      </c>
      <c r="L1312" s="81" t="n">
        <f aca="true">RAND()</f>
        <v>0.938567435909776</v>
      </c>
      <c r="M1312" s="83" t="n">
        <f aca="false">IF(L1312&lt;(Inputs!$E$24-Inputs!$D$24)/(Inputs!$F$24-Inputs!$D$24),Inputs!$D$24+SQRT(L1312*(Inputs!$F$24-Inputs!$D$24)*(Inputs!$E$24-Inputs!$D$24)),Inputs!$F$24-SQRT((1-L1312)*(Inputs!$F$24-Inputs!$D$24)*(Inputs!$F$24-Inputs!$E$24)))</f>
        <v>1.07857588632544</v>
      </c>
      <c r="N1312" s="81" t="n">
        <f aca="true">RAND()</f>
        <v>0.368706214405158</v>
      </c>
      <c r="O1312" s="83" t="n">
        <f aca="false">IF(N1312&lt;(Inputs!$E$26-Inputs!$D$26)/(Inputs!$F$26-Inputs!$D$26),Inputs!$D$26+SQRT(N1312*(Inputs!$F$26-Inputs!$D$26)*(Inputs!$E$26-Inputs!$D$26)),Inputs!$F$26-SQRT((1-N1312)*(Inputs!$F$26-Inputs!$D$26)*(Inputs!$F$26-Inputs!$E$26)))</f>
        <v>0.547694800262376</v>
      </c>
      <c r="P1312" s="81" t="n">
        <f aca="true">RAND()</f>
        <v>0.249345492817848</v>
      </c>
      <c r="Q1312" s="82" t="n">
        <f aca="false">IF(P1312&lt;(Inputs!$E$27-Inputs!$D$27)/(Inputs!$F$27-Inputs!$D$27),Inputs!$D$27+SQRT(P1312*(Inputs!$F$27-Inputs!$D$27)*(Inputs!$E$27-Inputs!$D$27)),Inputs!$F$27-SQRT((1-P1312)*(Inputs!$F$27-Inputs!$D$27)*(Inputs!$F$27-Inputs!$E$27)))</f>
        <v>74.9672531938261</v>
      </c>
      <c r="R1312" s="81" t="n">
        <f aca="true">RAND()</f>
        <v>0.587943355812149</v>
      </c>
      <c r="S1312" s="82" t="n">
        <f aca="false">IF(R1312&lt;(Inputs!$E$29-Inputs!$D$29)/(Inputs!$F$29-Inputs!$D$29),Inputs!$D$29+SQRT(R1312*(Inputs!$F$29-Inputs!$D$29)*(Inputs!$E$29-Inputs!$D$29)),Inputs!$F$29-SQRT((1-R1312)*(Inputs!$F$29-Inputs!$D$29)*(Inputs!$F$29-Inputs!$E$29)))</f>
        <v>7.68102713870173</v>
      </c>
      <c r="T1312" s="68" t="n">
        <f aca="false">Inputs!$E$9*(1+E1312)+Inputs!$E$5*C1312*(Inputs!$E$11*Inputs!$E$14*(G1312*I1312/Inputs!$E$16+(1-G1312))*K1312+Inputs!$E$23*M1312)*(1+O1312)+Inputs!$E$5*(Q1312+S1312)</f>
        <v>6824.53562069718</v>
      </c>
    </row>
    <row r="1313" customFormat="false" ht="15" hidden="false" customHeight="false" outlineLevel="0" collapsed="false">
      <c r="A1313" s="1" t="n">
        <v>1309</v>
      </c>
      <c r="B1313" s="81" t="n">
        <f aca="true">RAND()</f>
        <v>0.662820788027137</v>
      </c>
      <c r="C1313" s="82" t="n">
        <f aca="false">ROUND(IF(B1313&lt;(Inputs!$E$8-Inputs!$D$8)/(Inputs!$F$8-Inputs!$D$8),Inputs!$D$8+SQRT(B1313*(Inputs!$F$8-Inputs!$D$8)*(Inputs!$E$8-Inputs!$D$8)),Inputs!$F$8-SQRT((1-B1313)*(Inputs!$F$8-Inputs!$D$8)*(Inputs!$F$8-Inputs!$E$8))),0)</f>
        <v>26</v>
      </c>
      <c r="D1313" s="81" t="n">
        <f aca="true">RAND()</f>
        <v>0.853050277596037</v>
      </c>
      <c r="E1313" s="83" t="n">
        <f aca="false">IF(D1313&lt;(Inputs!$E$10-Inputs!$D$10)/(Inputs!$F$10-Inputs!$D$10),Inputs!$D$10+SQRT(D1313*(Inputs!$F$10-Inputs!$D$10)*(Inputs!$E$10-Inputs!$D$10)),Inputs!$F$10-SQRT((1-D1313)*(Inputs!$F$10-Inputs!$D$10)*(Inputs!$F$10-Inputs!$E$10)))</f>
        <v>0.133603526659024</v>
      </c>
      <c r="F1313" s="81" t="n">
        <f aca="true">RAND()</f>
        <v>0.58421310169847</v>
      </c>
      <c r="G1313" s="83" t="n">
        <f aca="false">IF(F1313&lt;(Inputs!$E$15-Inputs!$D$15)/(Inputs!$F$15-Inputs!$D$15),Inputs!$D$15+SQRT(F1313*(Inputs!$F$15-Inputs!$D$15)*(Inputs!$E$15-Inputs!$D$15)),Inputs!$F$15-SQRT((1-F1313)*(Inputs!$F$15-Inputs!$D$15)*(Inputs!$F$15-Inputs!$E$15)))</f>
        <v>0.708809331804013</v>
      </c>
      <c r="H1313" s="81" t="n">
        <f aca="true">RAND()</f>
        <v>0.316040860661275</v>
      </c>
      <c r="I1313" s="82" t="n">
        <f aca="false">ROUND(IF(H1313&lt;(Inputs!$E$17-Inputs!$D$17)/(Inputs!$F$17-Inputs!$D$17),Inputs!$D$17+SQRT(H1313*(Inputs!$F$17-Inputs!$D$17)*(Inputs!$E$17-Inputs!$D$17)),Inputs!$F$17-SQRT((1-H1313)*(Inputs!$F$17-Inputs!$D$17)*(Inputs!$F$17-Inputs!$E$17))),0)</f>
        <v>105</v>
      </c>
      <c r="J1313" s="81" t="n">
        <f aca="true">RAND()</f>
        <v>0.874166102848168</v>
      </c>
      <c r="K1313" s="83" t="n">
        <f aca="false">IF(J1313&lt;(Inputs!$E$18-Inputs!$D$18)/(Inputs!$F$18-Inputs!$D$18),Inputs!$D$18+SQRT(J1313*(Inputs!$F$18-Inputs!$D$18)*(Inputs!$E$18-Inputs!$D$18)),Inputs!$F$18-SQRT((1-J1313)*(Inputs!$F$18-Inputs!$D$18)*(Inputs!$F$18-Inputs!$E$18)))</f>
        <v>1.14506923234444</v>
      </c>
      <c r="L1313" s="81" t="n">
        <f aca="true">RAND()</f>
        <v>0.154677872724735</v>
      </c>
      <c r="M1313" s="83" t="n">
        <f aca="false">IF(L1313&lt;(Inputs!$E$24-Inputs!$D$24)/(Inputs!$F$24-Inputs!$D$24),Inputs!$D$24+SQRT(L1313*(Inputs!$F$24-Inputs!$D$24)*(Inputs!$E$24-Inputs!$D$24)),Inputs!$F$24-SQRT((1-L1313)*(Inputs!$F$24-Inputs!$D$24)*(Inputs!$F$24-Inputs!$E$24)))</f>
        <v>0.736240026155929</v>
      </c>
      <c r="N1313" s="81" t="n">
        <f aca="true">RAND()</f>
        <v>0.844411300457301</v>
      </c>
      <c r="O1313" s="83" t="n">
        <f aca="false">IF(N1313&lt;(Inputs!$E$26-Inputs!$D$26)/(Inputs!$F$26-Inputs!$D$26),Inputs!$D$26+SQRT(N1313*(Inputs!$F$26-Inputs!$D$26)*(Inputs!$E$26-Inputs!$D$26)),Inputs!$F$26-SQRT((1-N1313)*(Inputs!$F$26-Inputs!$D$26)*(Inputs!$F$26-Inputs!$E$26)))</f>
        <v>0.69279455690718</v>
      </c>
      <c r="P1313" s="81" t="n">
        <f aca="true">RAND()</f>
        <v>0.984940015720437</v>
      </c>
      <c r="Q1313" s="82" t="n">
        <f aca="false">IF(P1313&lt;(Inputs!$E$27-Inputs!$D$27)/(Inputs!$F$27-Inputs!$D$27),Inputs!$D$27+SQRT(P1313*(Inputs!$F$27-Inputs!$D$27)*(Inputs!$E$27-Inputs!$D$27)),Inputs!$F$27-SQRT((1-P1313)*(Inputs!$F$27-Inputs!$D$27)*(Inputs!$F$27-Inputs!$E$27)))</f>
        <v>139.372211796581</v>
      </c>
      <c r="R1313" s="81" t="n">
        <f aca="true">RAND()</f>
        <v>0.0760550547103811</v>
      </c>
      <c r="S1313" s="82" t="n">
        <f aca="false">IF(R1313&lt;(Inputs!$E$29-Inputs!$D$29)/(Inputs!$F$29-Inputs!$D$29),Inputs!$D$29+SQRT(R1313*(Inputs!$F$29-Inputs!$D$29)*(Inputs!$E$29-Inputs!$D$29)),Inputs!$F$29-SQRT((1-R1313)*(Inputs!$F$29-Inputs!$D$29)*(Inputs!$F$29-Inputs!$E$29)))</f>
        <v>3.72225060130774</v>
      </c>
      <c r="T1313" s="68" t="n">
        <f aca="false">Inputs!$E$9*(1+E1313)+Inputs!$E$5*C1313*(Inputs!$E$11*Inputs!$E$14*(G1313*I1313/Inputs!$E$16+(1-G1313))*K1313+Inputs!$E$23*M1313)*(1+O1313)+Inputs!$E$5*(Q1313+S1313)</f>
        <v>7056.23830475936</v>
      </c>
    </row>
    <row r="1314" customFormat="false" ht="15" hidden="false" customHeight="false" outlineLevel="0" collapsed="false">
      <c r="A1314" s="1" t="n">
        <v>1310</v>
      </c>
      <c r="B1314" s="81" t="n">
        <f aca="true">RAND()</f>
        <v>0.0323526837550501</v>
      </c>
      <c r="C1314" s="82" t="n">
        <f aca="false">ROUND(IF(B1314&lt;(Inputs!$E$8-Inputs!$D$8)/(Inputs!$F$8-Inputs!$D$8),Inputs!$D$8+SQRT(B1314*(Inputs!$F$8-Inputs!$D$8)*(Inputs!$E$8-Inputs!$D$8)),Inputs!$F$8-SQRT((1-B1314)*(Inputs!$F$8-Inputs!$D$8)*(Inputs!$F$8-Inputs!$E$8))),0)</f>
        <v>21</v>
      </c>
      <c r="D1314" s="81" t="n">
        <f aca="true">RAND()</f>
        <v>0.677862819921289</v>
      </c>
      <c r="E1314" s="83" t="n">
        <f aca="false">IF(D1314&lt;(Inputs!$E$10-Inputs!$D$10)/(Inputs!$F$10-Inputs!$D$10),Inputs!$D$10+SQRT(D1314*(Inputs!$F$10-Inputs!$D$10)*(Inputs!$E$10-Inputs!$D$10)),Inputs!$F$10-SQRT((1-D1314)*(Inputs!$F$10-Inputs!$D$10)*(Inputs!$F$10-Inputs!$E$10)))</f>
        <v>0.10169376722526</v>
      </c>
      <c r="F1314" s="81" t="n">
        <f aca="true">RAND()</f>
        <v>0.172321324549788</v>
      </c>
      <c r="G1314" s="83" t="n">
        <f aca="false">IF(F1314&lt;(Inputs!$E$15-Inputs!$D$15)/(Inputs!$F$15-Inputs!$D$15),Inputs!$D$15+SQRT(F1314*(Inputs!$F$15-Inputs!$D$15)*(Inputs!$E$15-Inputs!$D$15)),Inputs!$F$15-SQRT((1-F1314)*(Inputs!$F$15-Inputs!$D$15)*(Inputs!$F$15-Inputs!$E$15)))</f>
        <v>0.658706273012309</v>
      </c>
      <c r="H1314" s="81" t="n">
        <f aca="true">RAND()</f>
        <v>0.693542183261208</v>
      </c>
      <c r="I1314" s="82" t="n">
        <f aca="false">ROUND(IF(H1314&lt;(Inputs!$E$17-Inputs!$D$17)/(Inputs!$F$17-Inputs!$D$17),Inputs!$D$17+SQRT(H1314*(Inputs!$F$17-Inputs!$D$17)*(Inputs!$E$17-Inputs!$D$17)),Inputs!$F$17-SQRT((1-H1314)*(Inputs!$F$17-Inputs!$D$17)*(Inputs!$F$17-Inputs!$E$17))),0)</f>
        <v>108</v>
      </c>
      <c r="J1314" s="81" t="n">
        <f aca="true">RAND()</f>
        <v>0.528333899883678</v>
      </c>
      <c r="K1314" s="83" t="n">
        <f aca="false">IF(J1314&lt;(Inputs!$E$18-Inputs!$D$18)/(Inputs!$F$18-Inputs!$D$18),Inputs!$D$18+SQRT(J1314*(Inputs!$F$18-Inputs!$D$18)*(Inputs!$E$18-Inputs!$D$18)),Inputs!$F$18-SQRT((1-J1314)*(Inputs!$F$18-Inputs!$D$18)*(Inputs!$F$18-Inputs!$E$18)))</f>
        <v>1.0468478802469</v>
      </c>
      <c r="L1314" s="81" t="n">
        <f aca="true">RAND()</f>
        <v>0.877550234139818</v>
      </c>
      <c r="M1314" s="83" t="n">
        <f aca="false">IF(L1314&lt;(Inputs!$E$24-Inputs!$D$24)/(Inputs!$F$24-Inputs!$D$24),Inputs!$D$24+SQRT(L1314*(Inputs!$F$24-Inputs!$D$24)*(Inputs!$E$24-Inputs!$D$24)),Inputs!$F$24-SQRT((1-L1314)*(Inputs!$F$24-Inputs!$D$24)*(Inputs!$F$24-Inputs!$E$24)))</f>
        <v>1.02857087818447</v>
      </c>
      <c r="N1314" s="81" t="n">
        <f aca="true">RAND()</f>
        <v>0.484310906067998</v>
      </c>
      <c r="O1314" s="83" t="n">
        <f aca="false">IF(N1314&lt;(Inputs!$E$26-Inputs!$D$26)/(Inputs!$F$26-Inputs!$D$26),Inputs!$D$26+SQRT(N1314*(Inputs!$F$26-Inputs!$D$26)*(Inputs!$E$26-Inputs!$D$26)),Inputs!$F$26-SQRT((1-N1314)*(Inputs!$F$26-Inputs!$D$26)*(Inputs!$F$26-Inputs!$E$26)))</f>
        <v>0.583882607374448</v>
      </c>
      <c r="P1314" s="81" t="n">
        <f aca="true">RAND()</f>
        <v>0.338705346443338</v>
      </c>
      <c r="Q1314" s="82" t="n">
        <f aca="false">IF(P1314&lt;(Inputs!$E$27-Inputs!$D$27)/(Inputs!$F$27-Inputs!$D$27),Inputs!$D$27+SQRT(P1314*(Inputs!$F$27-Inputs!$D$27)*(Inputs!$E$27-Inputs!$D$27)),Inputs!$F$27-SQRT((1-P1314)*(Inputs!$F$27-Inputs!$D$27)*(Inputs!$F$27-Inputs!$E$27)))</f>
        <v>79.5747921431895</v>
      </c>
      <c r="R1314" s="81" t="n">
        <f aca="true">RAND()</f>
        <v>0.897284776053953</v>
      </c>
      <c r="S1314" s="82" t="n">
        <f aca="false">IF(R1314&lt;(Inputs!$E$29-Inputs!$D$29)/(Inputs!$F$29-Inputs!$D$29),Inputs!$D$29+SQRT(R1314*(Inputs!$F$29-Inputs!$D$29)*(Inputs!$E$29-Inputs!$D$29)),Inputs!$F$29-SQRT((1-R1314)*(Inputs!$F$29-Inputs!$D$29)*(Inputs!$F$29-Inputs!$E$29)))</f>
        <v>11.3458271643249</v>
      </c>
      <c r="T1314" s="68" t="n">
        <f aca="false">Inputs!$E$9*(1+E1314)+Inputs!$E$5*C1314*(Inputs!$E$11*Inputs!$E$14*(G1314*I1314/Inputs!$E$16+(1-G1314))*K1314+Inputs!$E$23*M1314)*(1+O1314)+Inputs!$E$5*(Q1314+S1314)</f>
        <v>6044.40196577455</v>
      </c>
    </row>
    <row r="1315" customFormat="false" ht="15" hidden="false" customHeight="false" outlineLevel="0" collapsed="false">
      <c r="A1315" s="1" t="n">
        <v>1311</v>
      </c>
      <c r="B1315" s="81" t="n">
        <f aca="true">RAND()</f>
        <v>0.471355782773056</v>
      </c>
      <c r="C1315" s="82" t="n">
        <f aca="false">ROUND(IF(B1315&lt;(Inputs!$E$8-Inputs!$D$8)/(Inputs!$F$8-Inputs!$D$8),Inputs!$D$8+SQRT(B1315*(Inputs!$F$8-Inputs!$D$8)*(Inputs!$E$8-Inputs!$D$8)),Inputs!$F$8-SQRT((1-B1315)*(Inputs!$F$8-Inputs!$D$8)*(Inputs!$F$8-Inputs!$E$8))),0)</f>
        <v>25</v>
      </c>
      <c r="D1315" s="81" t="n">
        <f aca="true">RAND()</f>
        <v>0.0464145767142843</v>
      </c>
      <c r="E1315" s="83" t="n">
        <f aca="false">IF(D1315&lt;(Inputs!$E$10-Inputs!$D$10)/(Inputs!$F$10-Inputs!$D$10),Inputs!$D$10+SQRT(D1315*(Inputs!$F$10-Inputs!$D$10)*(Inputs!$E$10-Inputs!$D$10)),Inputs!$F$10-SQRT((1-D1315)*(Inputs!$F$10-Inputs!$D$10)*(Inputs!$F$10-Inputs!$E$10)))</f>
        <v>0.0215440424977032</v>
      </c>
      <c r="F1315" s="81" t="n">
        <f aca="true">RAND()</f>
        <v>0.121446074634339</v>
      </c>
      <c r="G1315" s="83" t="n">
        <f aca="false">IF(F1315&lt;(Inputs!$E$15-Inputs!$D$15)/(Inputs!$F$15-Inputs!$D$15),Inputs!$D$15+SQRT(F1315*(Inputs!$F$15-Inputs!$D$15)*(Inputs!$E$15-Inputs!$D$15)),Inputs!$F$15-SQRT((1-F1315)*(Inputs!$F$15-Inputs!$D$15)*(Inputs!$F$15-Inputs!$E$15)))</f>
        <v>0.649284089650584</v>
      </c>
      <c r="H1315" s="81" t="n">
        <f aca="true">RAND()</f>
        <v>0.329267821598389</v>
      </c>
      <c r="I1315" s="82" t="n">
        <f aca="false">ROUND(IF(H1315&lt;(Inputs!$E$17-Inputs!$D$17)/(Inputs!$F$17-Inputs!$D$17),Inputs!$D$17+SQRT(H1315*(Inputs!$F$17-Inputs!$D$17)*(Inputs!$E$17-Inputs!$D$17)),Inputs!$F$17-SQRT((1-H1315)*(Inputs!$F$17-Inputs!$D$17)*(Inputs!$F$17-Inputs!$E$17))),0)</f>
        <v>105</v>
      </c>
      <c r="J1315" s="81" t="n">
        <f aca="true">RAND()</f>
        <v>0.62423184737038</v>
      </c>
      <c r="K1315" s="83" t="n">
        <f aca="false">IF(J1315&lt;(Inputs!$E$18-Inputs!$D$18)/(Inputs!$F$18-Inputs!$D$18),Inputs!$D$18+SQRT(J1315*(Inputs!$F$18-Inputs!$D$18)*(Inputs!$E$18-Inputs!$D$18)),Inputs!$F$18-SQRT((1-J1315)*(Inputs!$F$18-Inputs!$D$18)*(Inputs!$F$18-Inputs!$E$18)))</f>
        <v>1.06867235909798</v>
      </c>
      <c r="L1315" s="81" t="n">
        <f aca="true">RAND()</f>
        <v>0.480878359297496</v>
      </c>
      <c r="M1315" s="83" t="n">
        <f aca="false">IF(L1315&lt;(Inputs!$E$24-Inputs!$D$24)/(Inputs!$F$24-Inputs!$D$24),Inputs!$D$24+SQRT(L1315*(Inputs!$F$24-Inputs!$D$24)*(Inputs!$E$24-Inputs!$D$24)),Inputs!$F$24-SQRT((1-L1315)*(Inputs!$F$24-Inputs!$D$24)*(Inputs!$F$24-Inputs!$E$24)))</f>
        <v>0.847028055266993</v>
      </c>
      <c r="N1315" s="81" t="n">
        <f aca="true">RAND()</f>
        <v>0.498908595777741</v>
      </c>
      <c r="O1315" s="83" t="n">
        <f aca="false">IF(N1315&lt;(Inputs!$E$26-Inputs!$D$26)/(Inputs!$F$26-Inputs!$D$26),Inputs!$D$26+SQRT(N1315*(Inputs!$F$26-Inputs!$D$26)*(Inputs!$E$26-Inputs!$D$26)),Inputs!$F$26-SQRT((1-N1315)*(Inputs!$F$26-Inputs!$D$26)*(Inputs!$F$26-Inputs!$E$26)))</f>
        <v>0.588129120946523</v>
      </c>
      <c r="P1315" s="81" t="n">
        <f aca="true">RAND()</f>
        <v>0.883948778885882</v>
      </c>
      <c r="Q1315" s="82" t="n">
        <f aca="false">IF(P1315&lt;(Inputs!$E$27-Inputs!$D$27)/(Inputs!$F$27-Inputs!$D$27),Inputs!$D$27+SQRT(P1315*(Inputs!$F$27-Inputs!$D$27)*(Inputs!$E$27-Inputs!$D$27)),Inputs!$F$27-SQRT((1-P1315)*(Inputs!$F$27-Inputs!$D$27)*(Inputs!$F$27-Inputs!$E$27)))</f>
        <v>120.49772621719</v>
      </c>
      <c r="R1315" s="81" t="n">
        <f aca="true">RAND()</f>
        <v>0.428016086682216</v>
      </c>
      <c r="S1315" s="82" t="n">
        <f aca="false">IF(R1315&lt;(Inputs!$E$29-Inputs!$D$29)/(Inputs!$F$29-Inputs!$D$29),Inputs!$D$29+SQRT(R1315*(Inputs!$F$29-Inputs!$D$29)*(Inputs!$E$29-Inputs!$D$29)),Inputs!$F$29-SQRT((1-R1315)*(Inputs!$F$29-Inputs!$D$29)*(Inputs!$F$29-Inputs!$E$29)))</f>
        <v>6.37689680385815</v>
      </c>
      <c r="T1315" s="68" t="n">
        <f aca="false">Inputs!$E$9*(1+E1315)+Inputs!$E$5*C1315*(Inputs!$E$11*Inputs!$E$14*(G1315*I1315/Inputs!$E$16+(1-G1315))*K1315+Inputs!$E$23*M1315)*(1+O1315)+Inputs!$E$5*(Q1315+S1315)</f>
        <v>6430.88515225154</v>
      </c>
    </row>
    <row r="1316" customFormat="false" ht="15" hidden="false" customHeight="false" outlineLevel="0" collapsed="false">
      <c r="A1316" s="1" t="n">
        <v>1312</v>
      </c>
      <c r="B1316" s="81" t="n">
        <f aca="true">RAND()</f>
        <v>0.303562923188634</v>
      </c>
      <c r="C1316" s="82" t="n">
        <f aca="false">ROUND(IF(B1316&lt;(Inputs!$E$8-Inputs!$D$8)/(Inputs!$F$8-Inputs!$D$8),Inputs!$D$8+SQRT(B1316*(Inputs!$F$8-Inputs!$D$8)*(Inputs!$E$8-Inputs!$D$8)),Inputs!$F$8-SQRT((1-B1316)*(Inputs!$F$8-Inputs!$D$8)*(Inputs!$F$8-Inputs!$E$8))),0)</f>
        <v>24</v>
      </c>
      <c r="D1316" s="81" t="n">
        <f aca="true">RAND()</f>
        <v>0.494596126549592</v>
      </c>
      <c r="E1316" s="83" t="n">
        <f aca="false">IF(D1316&lt;(Inputs!$E$10-Inputs!$D$10)/(Inputs!$F$10-Inputs!$D$10),Inputs!$D$10+SQRT(D1316*(Inputs!$F$10-Inputs!$D$10)*(Inputs!$E$10-Inputs!$D$10)),Inputs!$F$10-SQRT((1-D1316)*(Inputs!$F$10-Inputs!$D$10)*(Inputs!$F$10-Inputs!$E$10)))</f>
        <v>0.0768654548734912</v>
      </c>
      <c r="F1316" s="81" t="n">
        <f aca="true">RAND()</f>
        <v>0.519896789162433</v>
      </c>
      <c r="G1316" s="83" t="n">
        <f aca="false">IF(F1316&lt;(Inputs!$E$15-Inputs!$D$15)/(Inputs!$F$15-Inputs!$D$15),Inputs!$D$15+SQRT(F1316*(Inputs!$F$15-Inputs!$D$15)*(Inputs!$E$15-Inputs!$D$15)),Inputs!$F$15-SQRT((1-F1316)*(Inputs!$F$15-Inputs!$D$15)*(Inputs!$F$15-Inputs!$E$15)))</f>
        <v>0.702009876942871</v>
      </c>
      <c r="H1316" s="81" t="n">
        <f aca="true">RAND()</f>
        <v>0.613975621964128</v>
      </c>
      <c r="I1316" s="82" t="n">
        <f aca="false">ROUND(IF(H1316&lt;(Inputs!$E$17-Inputs!$D$17)/(Inputs!$F$17-Inputs!$D$17),Inputs!$D$17+SQRT(H1316*(Inputs!$F$17-Inputs!$D$17)*(Inputs!$E$17-Inputs!$D$17)),Inputs!$F$17-SQRT((1-H1316)*(Inputs!$F$17-Inputs!$D$17)*(Inputs!$F$17-Inputs!$E$17))),0)</f>
        <v>107</v>
      </c>
      <c r="J1316" s="81" t="n">
        <f aca="true">RAND()</f>
        <v>0.784855736189583</v>
      </c>
      <c r="K1316" s="83" t="n">
        <f aca="false">IF(J1316&lt;(Inputs!$E$18-Inputs!$D$18)/(Inputs!$F$18-Inputs!$D$18),Inputs!$D$18+SQRT(J1316*(Inputs!$F$18-Inputs!$D$18)*(Inputs!$E$18-Inputs!$D$18)),Inputs!$F$18-SQRT((1-J1316)*(Inputs!$F$18-Inputs!$D$18)*(Inputs!$F$18-Inputs!$E$18)))</f>
        <v>1.11279532411972</v>
      </c>
      <c r="L1316" s="81" t="n">
        <f aca="true">RAND()</f>
        <v>0.779195282513265</v>
      </c>
      <c r="M1316" s="83" t="n">
        <f aca="false">IF(L1316&lt;(Inputs!$E$24-Inputs!$D$24)/(Inputs!$F$24-Inputs!$D$24),Inputs!$D$24+SQRT(L1316*(Inputs!$F$24-Inputs!$D$24)*(Inputs!$E$24-Inputs!$D$24)),Inputs!$F$24-SQRT((1-L1316)*(Inputs!$F$24-Inputs!$D$24)*(Inputs!$F$24-Inputs!$E$24)))</f>
        <v>0.969797627734169</v>
      </c>
      <c r="N1316" s="81" t="n">
        <f aca="true">RAND()</f>
        <v>0.0426590793561228</v>
      </c>
      <c r="O1316" s="83" t="n">
        <f aca="false">IF(N1316&lt;(Inputs!$E$26-Inputs!$D$26)/(Inputs!$F$26-Inputs!$D$26),Inputs!$D$26+SQRT(N1316*(Inputs!$F$26-Inputs!$D$26)*(Inputs!$E$26-Inputs!$D$26)),Inputs!$F$26-SQRT((1-N1316)*(Inputs!$F$26-Inputs!$D$26)*(Inputs!$F$26-Inputs!$E$26)))</f>
        <v>0.38425242313939</v>
      </c>
      <c r="P1316" s="81" t="n">
        <f aca="true">RAND()</f>
        <v>0.550050426602067</v>
      </c>
      <c r="Q1316" s="82" t="n">
        <f aca="false">IF(P1316&lt;(Inputs!$E$27-Inputs!$D$27)/(Inputs!$F$27-Inputs!$D$27),Inputs!$D$27+SQRT(P1316*(Inputs!$F$27-Inputs!$D$27)*(Inputs!$E$27-Inputs!$D$27)),Inputs!$F$27-SQRT((1-P1316)*(Inputs!$F$27-Inputs!$D$27)*(Inputs!$F$27-Inputs!$E$27)))</f>
        <v>91.9085049212495</v>
      </c>
      <c r="R1316" s="81" t="n">
        <f aca="true">RAND()</f>
        <v>0.735561428360667</v>
      </c>
      <c r="S1316" s="82" t="n">
        <f aca="false">IF(R1316&lt;(Inputs!$E$29-Inputs!$D$29)/(Inputs!$F$29-Inputs!$D$29),Inputs!$D$29+SQRT(R1316*(Inputs!$F$29-Inputs!$D$29)*(Inputs!$E$29-Inputs!$D$29)),Inputs!$F$29-SQRT((1-R1316)*(Inputs!$F$29-Inputs!$D$29)*(Inputs!$F$29-Inputs!$E$29)))</f>
        <v>9.13680852153767</v>
      </c>
      <c r="T1316" s="68" t="n">
        <f aca="false">Inputs!$E$9*(1+E1316)+Inputs!$E$5*C1316*(Inputs!$E$11*Inputs!$E$14*(G1316*I1316/Inputs!$E$16+(1-G1316))*K1316+Inputs!$E$23*M1316)*(1+O1316)+Inputs!$E$5*(Q1316+S1316)</f>
        <v>6027.38286186013</v>
      </c>
    </row>
    <row r="1317" customFormat="false" ht="15" hidden="false" customHeight="false" outlineLevel="0" collapsed="false">
      <c r="A1317" s="1" t="n">
        <v>1313</v>
      </c>
      <c r="B1317" s="81" t="n">
        <f aca="true">RAND()</f>
        <v>0.77554851685094</v>
      </c>
      <c r="C1317" s="82" t="n">
        <f aca="false">ROUND(IF(B1317&lt;(Inputs!$E$8-Inputs!$D$8)/(Inputs!$F$8-Inputs!$D$8),Inputs!$D$8+SQRT(B1317*(Inputs!$F$8-Inputs!$D$8)*(Inputs!$E$8-Inputs!$D$8)),Inputs!$F$8-SQRT((1-B1317)*(Inputs!$F$8-Inputs!$D$8)*(Inputs!$F$8-Inputs!$E$8))),0)</f>
        <v>27</v>
      </c>
      <c r="D1317" s="81" t="n">
        <f aca="true">RAND()</f>
        <v>0.55544699802721</v>
      </c>
      <c r="E1317" s="83" t="n">
        <f aca="false">IF(D1317&lt;(Inputs!$E$10-Inputs!$D$10)/(Inputs!$F$10-Inputs!$D$10),Inputs!$D$10+SQRT(D1317*(Inputs!$F$10-Inputs!$D$10)*(Inputs!$E$10-Inputs!$D$10)),Inputs!$F$10-SQRT((1-D1317)*(Inputs!$F$10-Inputs!$D$10)*(Inputs!$F$10-Inputs!$E$10)))</f>
        <v>0.0845158449864931</v>
      </c>
      <c r="F1317" s="81" t="n">
        <f aca="true">RAND()</f>
        <v>0.404445838618871</v>
      </c>
      <c r="G1317" s="83" t="n">
        <f aca="false">IF(F1317&lt;(Inputs!$E$15-Inputs!$D$15)/(Inputs!$F$15-Inputs!$D$15),Inputs!$D$15+SQRT(F1317*(Inputs!$F$15-Inputs!$D$15)*(Inputs!$E$15-Inputs!$D$15)),Inputs!$F$15-SQRT((1-F1317)*(Inputs!$F$15-Inputs!$D$15)*(Inputs!$F$15-Inputs!$E$15)))</f>
        <v>0.68993840543604</v>
      </c>
      <c r="H1317" s="81" t="n">
        <f aca="true">RAND()</f>
        <v>0.637169424348857</v>
      </c>
      <c r="I1317" s="82" t="n">
        <f aca="false">ROUND(IF(H1317&lt;(Inputs!$E$17-Inputs!$D$17)/(Inputs!$F$17-Inputs!$D$17),Inputs!$D$17+SQRT(H1317*(Inputs!$F$17-Inputs!$D$17)*(Inputs!$E$17-Inputs!$D$17)),Inputs!$F$17-SQRT((1-H1317)*(Inputs!$F$17-Inputs!$D$17)*(Inputs!$F$17-Inputs!$E$17))),0)</f>
        <v>108</v>
      </c>
      <c r="J1317" s="81" t="n">
        <f aca="true">RAND()</f>
        <v>0.769496061940047</v>
      </c>
      <c r="K1317" s="83" t="n">
        <f aca="false">IF(J1317&lt;(Inputs!$E$18-Inputs!$D$18)/(Inputs!$F$18-Inputs!$D$18),Inputs!$D$18+SQRT(J1317*(Inputs!$F$18-Inputs!$D$18)*(Inputs!$E$18-Inputs!$D$18)),Inputs!$F$18-SQRT((1-J1317)*(Inputs!$F$18-Inputs!$D$18)*(Inputs!$F$18-Inputs!$E$18)))</f>
        <v>1.1079820624701</v>
      </c>
      <c r="L1317" s="81" t="n">
        <f aca="true">RAND()</f>
        <v>0.637979753800942</v>
      </c>
      <c r="M1317" s="83" t="n">
        <f aca="false">IF(L1317&lt;(Inputs!$E$24-Inputs!$D$24)/(Inputs!$F$24-Inputs!$D$24),Inputs!$D$24+SQRT(L1317*(Inputs!$F$24-Inputs!$D$24)*(Inputs!$E$24-Inputs!$D$24)),Inputs!$F$24-SQRT((1-L1317)*(Inputs!$F$24-Inputs!$D$24)*(Inputs!$F$24-Inputs!$E$24)))</f>
        <v>0.905237622672475</v>
      </c>
      <c r="N1317" s="81" t="n">
        <f aca="true">RAND()</f>
        <v>0.541668359915223</v>
      </c>
      <c r="O1317" s="83" t="n">
        <f aca="false">IF(N1317&lt;(Inputs!$E$26-Inputs!$D$26)/(Inputs!$F$26-Inputs!$D$26),Inputs!$D$26+SQRT(N1317*(Inputs!$F$26-Inputs!$D$26)*(Inputs!$E$26-Inputs!$D$26)),Inputs!$F$26-SQRT((1-N1317)*(Inputs!$F$26-Inputs!$D$26)*(Inputs!$F$26-Inputs!$E$26)))</f>
        <v>0.600222609225043</v>
      </c>
      <c r="P1317" s="81" t="n">
        <f aca="true">RAND()</f>
        <v>0.741781862238342</v>
      </c>
      <c r="Q1317" s="82" t="n">
        <f aca="false">IF(P1317&lt;(Inputs!$E$27-Inputs!$D$27)/(Inputs!$F$27-Inputs!$D$27),Inputs!$D$27+SQRT(P1317*(Inputs!$F$27-Inputs!$D$27)*(Inputs!$E$27-Inputs!$D$27)),Inputs!$F$27-SQRT((1-P1317)*(Inputs!$F$27-Inputs!$D$27)*(Inputs!$F$27-Inputs!$E$27)))</f>
        <v>105.992772943385</v>
      </c>
      <c r="R1317" s="81" t="n">
        <f aca="true">RAND()</f>
        <v>0.912551858910892</v>
      </c>
      <c r="S1317" s="82" t="n">
        <f aca="false">IF(R1317&lt;(Inputs!$E$29-Inputs!$D$29)/(Inputs!$F$29-Inputs!$D$29),Inputs!$D$29+SQRT(R1317*(Inputs!$F$29-Inputs!$D$29)*(Inputs!$E$29-Inputs!$D$29)),Inputs!$F$29-SQRT((1-R1317)*(Inputs!$F$29-Inputs!$D$29)*(Inputs!$F$29-Inputs!$E$29)))</f>
        <v>11.6283152072615</v>
      </c>
      <c r="T1317" s="68" t="n">
        <f aca="false">Inputs!$E$9*(1+E1317)+Inputs!$E$5*C1317*(Inputs!$E$11*Inputs!$E$14*(G1317*I1317/Inputs!$E$16+(1-G1317))*K1317+Inputs!$E$23*M1317)*(1+O1317)+Inputs!$E$5*(Q1317+S1317)</f>
        <v>6996.44554285406</v>
      </c>
    </row>
    <row r="1318" customFormat="false" ht="15" hidden="false" customHeight="false" outlineLevel="0" collapsed="false">
      <c r="A1318" s="1" t="n">
        <v>1314</v>
      </c>
      <c r="B1318" s="81" t="n">
        <f aca="true">RAND()</f>
        <v>0.0690684447317405</v>
      </c>
      <c r="C1318" s="82" t="n">
        <f aca="false">ROUND(IF(B1318&lt;(Inputs!$E$8-Inputs!$D$8)/(Inputs!$F$8-Inputs!$D$8),Inputs!$D$8+SQRT(B1318*(Inputs!$F$8-Inputs!$D$8)*(Inputs!$E$8-Inputs!$D$8)),Inputs!$F$8-SQRT((1-B1318)*(Inputs!$F$8-Inputs!$D$8)*(Inputs!$F$8-Inputs!$E$8))),0)</f>
        <v>22</v>
      </c>
      <c r="D1318" s="81" t="n">
        <f aca="true">RAND()</f>
        <v>0.986435967704232</v>
      </c>
      <c r="E1318" s="83" t="n">
        <f aca="false">IF(D1318&lt;(Inputs!$E$10-Inputs!$D$10)/(Inputs!$F$10-Inputs!$D$10),Inputs!$D$10+SQRT(D1318*(Inputs!$F$10-Inputs!$D$10)*(Inputs!$E$10-Inputs!$D$10)),Inputs!$F$10-SQRT((1-D1318)*(Inputs!$F$10-Inputs!$D$10)*(Inputs!$F$10-Inputs!$E$10)))</f>
        <v>0.179827717807024</v>
      </c>
      <c r="F1318" s="81" t="n">
        <f aca="true">RAND()</f>
        <v>0.663187218498495</v>
      </c>
      <c r="G1318" s="83" t="n">
        <f aca="false">IF(F1318&lt;(Inputs!$E$15-Inputs!$D$15)/(Inputs!$F$15-Inputs!$D$15),Inputs!$D$15+SQRT(F1318*(Inputs!$F$15-Inputs!$D$15)*(Inputs!$E$15-Inputs!$D$15)),Inputs!$F$15-SQRT((1-F1318)*(Inputs!$F$15-Inputs!$D$15)*(Inputs!$F$15-Inputs!$E$15)))</f>
        <v>0.717925304569373</v>
      </c>
      <c r="H1318" s="81" t="n">
        <f aca="true">RAND()</f>
        <v>0.0950430639710975</v>
      </c>
      <c r="I1318" s="82" t="n">
        <f aca="false">ROUND(IF(H1318&lt;(Inputs!$E$17-Inputs!$D$17)/(Inputs!$F$17-Inputs!$D$17),Inputs!$D$17+SQRT(H1318*(Inputs!$F$17-Inputs!$D$17)*(Inputs!$E$17-Inputs!$D$17)),Inputs!$F$17-SQRT((1-H1318)*(Inputs!$F$17-Inputs!$D$17)*(Inputs!$F$17-Inputs!$E$17))),0)</f>
        <v>103</v>
      </c>
      <c r="J1318" s="81" t="n">
        <f aca="true">RAND()</f>
        <v>0.504121419825456</v>
      </c>
      <c r="K1318" s="83" t="n">
        <f aca="false">IF(J1318&lt;(Inputs!$E$18-Inputs!$D$18)/(Inputs!$F$18-Inputs!$D$18),Inputs!$D$18+SQRT(J1318*(Inputs!$F$18-Inputs!$D$18)*(Inputs!$E$18-Inputs!$D$18)),Inputs!$F$18-SQRT((1-J1318)*(Inputs!$F$18-Inputs!$D$18)*(Inputs!$F$18-Inputs!$E$18)))</f>
        <v>1.04169883398005</v>
      </c>
      <c r="L1318" s="81" t="n">
        <f aca="true">RAND()</f>
        <v>0.766095656549465</v>
      </c>
      <c r="M1318" s="83" t="n">
        <f aca="false">IF(L1318&lt;(Inputs!$E$24-Inputs!$D$24)/(Inputs!$F$24-Inputs!$D$24),Inputs!$D$24+SQRT(L1318*(Inputs!$F$24-Inputs!$D$24)*(Inputs!$E$24-Inputs!$D$24)),Inputs!$F$24-SQRT((1-L1318)*(Inputs!$F$24-Inputs!$D$24)*(Inputs!$F$24-Inputs!$E$24)))</f>
        <v>0.963067430630298</v>
      </c>
      <c r="N1318" s="81" t="n">
        <f aca="true">RAND()</f>
        <v>0.211126595993517</v>
      </c>
      <c r="O1318" s="83" t="n">
        <f aca="false">IF(N1318&lt;(Inputs!$E$26-Inputs!$D$26)/(Inputs!$F$26-Inputs!$D$26),Inputs!$D$26+SQRT(N1318*(Inputs!$F$26-Inputs!$D$26)*(Inputs!$E$26-Inputs!$D$26)),Inputs!$F$26-SQRT((1-N1318)*(Inputs!$F$26-Inputs!$D$26)*(Inputs!$F$26-Inputs!$E$26)))</f>
        <v>0.487433896543078</v>
      </c>
      <c r="P1318" s="81" t="n">
        <f aca="true">RAND()</f>
        <v>0.646169839196856</v>
      </c>
      <c r="Q1318" s="82" t="n">
        <f aca="false">IF(P1318&lt;(Inputs!$E$27-Inputs!$D$27)/(Inputs!$F$27-Inputs!$D$27),Inputs!$D$27+SQRT(P1318*(Inputs!$F$27-Inputs!$D$27)*(Inputs!$E$27-Inputs!$D$27)),Inputs!$F$27-SQRT((1-P1318)*(Inputs!$F$27-Inputs!$D$27)*(Inputs!$F$27-Inputs!$E$27)))</f>
        <v>98.4856698963911</v>
      </c>
      <c r="R1318" s="81" t="n">
        <f aca="true">RAND()</f>
        <v>0.535700520009629</v>
      </c>
      <c r="S1318" s="82" t="n">
        <f aca="false">IF(R1318&lt;(Inputs!$E$29-Inputs!$D$29)/(Inputs!$F$29-Inputs!$D$29),Inputs!$D$29+SQRT(R1318*(Inputs!$F$29-Inputs!$D$29)*(Inputs!$E$29-Inputs!$D$29)),Inputs!$F$29-SQRT((1-R1318)*(Inputs!$F$29-Inputs!$D$29)*(Inputs!$F$29-Inputs!$E$29)))</f>
        <v>7.23089886803188</v>
      </c>
      <c r="T1318" s="68" t="n">
        <f aca="false">Inputs!$E$9*(1+E1318)+Inputs!$E$5*C1318*(Inputs!$E$11*Inputs!$E$14*(G1318*I1318/Inputs!$E$16+(1-G1318))*K1318+Inputs!$E$23*M1318)*(1+O1318)+Inputs!$E$5*(Q1318+S1318)</f>
        <v>6037.58517878484</v>
      </c>
    </row>
    <row r="1319" customFormat="false" ht="15" hidden="false" customHeight="false" outlineLevel="0" collapsed="false">
      <c r="A1319" s="1" t="n">
        <v>1315</v>
      </c>
      <c r="B1319" s="81" t="n">
        <f aca="true">RAND()</f>
        <v>0.348660509679454</v>
      </c>
      <c r="C1319" s="82" t="n">
        <f aca="false">ROUND(IF(B1319&lt;(Inputs!$E$8-Inputs!$D$8)/(Inputs!$F$8-Inputs!$D$8),Inputs!$D$8+SQRT(B1319*(Inputs!$F$8-Inputs!$D$8)*(Inputs!$E$8-Inputs!$D$8)),Inputs!$F$8-SQRT((1-B1319)*(Inputs!$F$8-Inputs!$D$8)*(Inputs!$F$8-Inputs!$E$8))),0)</f>
        <v>24</v>
      </c>
      <c r="D1319" s="81" t="n">
        <f aca="true">RAND()</f>
        <v>0.37112227445999</v>
      </c>
      <c r="E1319" s="83" t="n">
        <f aca="false">IF(D1319&lt;(Inputs!$E$10-Inputs!$D$10)/(Inputs!$F$10-Inputs!$D$10),Inputs!$D$10+SQRT(D1319*(Inputs!$F$10-Inputs!$D$10)*(Inputs!$E$10-Inputs!$D$10)),Inputs!$F$10-SQRT((1-D1319)*(Inputs!$F$10-Inputs!$D$10)*(Inputs!$F$10-Inputs!$E$10)))</f>
        <v>0.0626452339152357</v>
      </c>
      <c r="F1319" s="81" t="n">
        <f aca="true">RAND()</f>
        <v>0.872124243347241</v>
      </c>
      <c r="G1319" s="83" t="n">
        <f aca="false">IF(F1319&lt;(Inputs!$E$15-Inputs!$D$15)/(Inputs!$F$15-Inputs!$D$15),Inputs!$D$15+SQRT(F1319*(Inputs!$F$15-Inputs!$D$15)*(Inputs!$E$15-Inputs!$D$15)),Inputs!$F$15-SQRT((1-F1319)*(Inputs!$F$15-Inputs!$D$15)*(Inputs!$F$15-Inputs!$E$15)))</f>
        <v>0.749428119146554</v>
      </c>
      <c r="H1319" s="81" t="n">
        <f aca="true">RAND()</f>
        <v>0.0282293657631661</v>
      </c>
      <c r="I1319" s="82" t="n">
        <f aca="false">ROUND(IF(H1319&lt;(Inputs!$E$17-Inputs!$D$17)/(Inputs!$F$17-Inputs!$D$17),Inputs!$D$17+SQRT(H1319*(Inputs!$F$17-Inputs!$D$17)*(Inputs!$E$17-Inputs!$D$17)),Inputs!$F$17-SQRT((1-H1319)*(Inputs!$F$17-Inputs!$D$17)*(Inputs!$F$17-Inputs!$E$17))),0)</f>
        <v>101</v>
      </c>
      <c r="J1319" s="81" t="n">
        <f aca="true">RAND()</f>
        <v>0.0919791087124154</v>
      </c>
      <c r="K1319" s="83" t="n">
        <f aca="false">IF(J1319&lt;(Inputs!$E$18-Inputs!$D$18)/(Inputs!$F$18-Inputs!$D$18),Inputs!$D$18+SQRT(J1319*(Inputs!$F$18-Inputs!$D$18)*(Inputs!$E$18-Inputs!$D$18)),Inputs!$F$18-SQRT((1-J1319)*(Inputs!$F$18-Inputs!$D$18)*(Inputs!$F$18-Inputs!$E$18)))</f>
        <v>0.956738600660701</v>
      </c>
      <c r="L1319" s="81" t="n">
        <f aca="true">RAND()</f>
        <v>0.139253692568548</v>
      </c>
      <c r="M1319" s="83" t="n">
        <f aca="false">IF(L1319&lt;(Inputs!$E$24-Inputs!$D$24)/(Inputs!$F$24-Inputs!$D$24),Inputs!$D$24+SQRT(L1319*(Inputs!$F$24-Inputs!$D$24)*(Inputs!$E$24-Inputs!$D$24)),Inputs!$F$24-SQRT((1-L1319)*(Inputs!$F$24-Inputs!$D$24)*(Inputs!$F$24-Inputs!$E$24)))</f>
        <v>0.729268879117233</v>
      </c>
      <c r="N1319" s="81" t="n">
        <f aca="true">RAND()</f>
        <v>0.195901172766191</v>
      </c>
      <c r="O1319" s="83" t="n">
        <f aca="false">IF(N1319&lt;(Inputs!$E$26-Inputs!$D$26)/(Inputs!$F$26-Inputs!$D$26),Inputs!$D$26+SQRT(N1319*(Inputs!$F$26-Inputs!$D$26)*(Inputs!$E$26-Inputs!$D$26)),Inputs!$F$26-SQRT((1-N1319)*(Inputs!$F$26-Inputs!$D$26)*(Inputs!$F$26-Inputs!$E$26)))</f>
        <v>0.480549038070808</v>
      </c>
      <c r="P1319" s="81" t="n">
        <f aca="true">RAND()</f>
        <v>0.516265557939038</v>
      </c>
      <c r="Q1319" s="82" t="n">
        <f aca="false">IF(P1319&lt;(Inputs!$E$27-Inputs!$D$27)/(Inputs!$F$27-Inputs!$D$27),Inputs!$D$27+SQRT(P1319*(Inputs!$F$27-Inputs!$D$27)*(Inputs!$E$27-Inputs!$D$27)),Inputs!$F$27-SQRT((1-P1319)*(Inputs!$F$27-Inputs!$D$27)*(Inputs!$F$27-Inputs!$E$27)))</f>
        <v>89.7670495869809</v>
      </c>
      <c r="R1319" s="81" t="n">
        <f aca="true">RAND()</f>
        <v>0.212390581138495</v>
      </c>
      <c r="S1319" s="82" t="n">
        <f aca="false">IF(R1319&lt;(Inputs!$E$29-Inputs!$D$29)/(Inputs!$F$29-Inputs!$D$29),Inputs!$D$29+SQRT(R1319*(Inputs!$F$29-Inputs!$D$29)*(Inputs!$E$29-Inputs!$D$29)),Inputs!$F$29-SQRT((1-R1319)*(Inputs!$F$29-Inputs!$D$29)*(Inputs!$F$29-Inputs!$E$29)))</f>
        <v>4.878060573442</v>
      </c>
      <c r="T1319" s="68" t="n">
        <f aca="false">Inputs!$E$9*(1+E1319)+Inputs!$E$5*C1319*(Inputs!$E$11*Inputs!$E$14*(G1319*I1319/Inputs!$E$16+(1-G1319))*K1319+Inputs!$E$23*M1319)*(1+O1319)+Inputs!$E$5*(Q1319+S1319)</f>
        <v>5462.10964758172</v>
      </c>
    </row>
    <row r="1320" customFormat="false" ht="15" hidden="false" customHeight="false" outlineLevel="0" collapsed="false">
      <c r="A1320" s="1" t="n">
        <v>1316</v>
      </c>
      <c r="B1320" s="81" t="n">
        <f aca="true">RAND()</f>
        <v>0.220149012553438</v>
      </c>
      <c r="C1320" s="82" t="n">
        <f aca="false">ROUND(IF(B1320&lt;(Inputs!$E$8-Inputs!$D$8)/(Inputs!$F$8-Inputs!$D$8),Inputs!$D$8+SQRT(B1320*(Inputs!$F$8-Inputs!$D$8)*(Inputs!$E$8-Inputs!$D$8)),Inputs!$F$8-SQRT((1-B1320)*(Inputs!$F$8-Inputs!$D$8)*(Inputs!$F$8-Inputs!$E$8))),0)</f>
        <v>23</v>
      </c>
      <c r="D1320" s="81" t="n">
        <f aca="true">RAND()</f>
        <v>0.868324717110075</v>
      </c>
      <c r="E1320" s="83" t="n">
        <f aca="false">IF(D1320&lt;(Inputs!$E$10-Inputs!$D$10)/(Inputs!$F$10-Inputs!$D$10),Inputs!$D$10+SQRT(D1320*(Inputs!$F$10-Inputs!$D$10)*(Inputs!$E$10-Inputs!$D$10)),Inputs!$F$10-SQRT((1-D1320)*(Inputs!$F$10-Inputs!$D$10)*(Inputs!$F$10-Inputs!$E$10)))</f>
        <v>0.137148918174006</v>
      </c>
      <c r="F1320" s="81" t="n">
        <f aca="true">RAND()</f>
        <v>0.995546187919711</v>
      </c>
      <c r="G1320" s="83" t="n">
        <f aca="false">IF(F1320&lt;(Inputs!$E$15-Inputs!$D$15)/(Inputs!$F$15-Inputs!$D$15),Inputs!$D$15+SQRT(F1320*(Inputs!$F$15-Inputs!$D$15)*(Inputs!$E$15-Inputs!$D$15)),Inputs!$F$15-SQRT((1-F1320)*(Inputs!$F$15-Inputs!$D$15)*(Inputs!$F$15-Inputs!$E$15)))</f>
        <v>0.790561978935932</v>
      </c>
      <c r="H1320" s="81" t="n">
        <f aca="true">RAND()</f>
        <v>0.32550121273505</v>
      </c>
      <c r="I1320" s="82" t="n">
        <f aca="false">ROUND(IF(H1320&lt;(Inputs!$E$17-Inputs!$D$17)/(Inputs!$F$17-Inputs!$D$17),Inputs!$D$17+SQRT(H1320*(Inputs!$F$17-Inputs!$D$17)*(Inputs!$E$17-Inputs!$D$17)),Inputs!$F$17-SQRT((1-H1320)*(Inputs!$F$17-Inputs!$D$17)*(Inputs!$F$17-Inputs!$E$17))),0)</f>
        <v>105</v>
      </c>
      <c r="J1320" s="81" t="n">
        <f aca="true">RAND()</f>
        <v>0.967143837160174</v>
      </c>
      <c r="K1320" s="83" t="n">
        <f aca="false">IF(J1320&lt;(Inputs!$E$18-Inputs!$D$18)/(Inputs!$F$18-Inputs!$D$18),Inputs!$D$18+SQRT(J1320*(Inputs!$F$18-Inputs!$D$18)*(Inputs!$E$18-Inputs!$D$18)),Inputs!$F$18-SQRT((1-J1320)*(Inputs!$F$18-Inputs!$D$18)*(Inputs!$F$18-Inputs!$E$18)))</f>
        <v>1.19638177316915</v>
      </c>
      <c r="L1320" s="81" t="n">
        <f aca="true">RAND()</f>
        <v>0.873883716915233</v>
      </c>
      <c r="M1320" s="83" t="n">
        <f aca="false">IF(L1320&lt;(Inputs!$E$24-Inputs!$D$24)/(Inputs!$F$24-Inputs!$D$24),Inputs!$D$24+SQRT(L1320*(Inputs!$F$24-Inputs!$D$24)*(Inputs!$E$24-Inputs!$D$24)),Inputs!$F$24-SQRT((1-L1320)*(Inputs!$F$24-Inputs!$D$24)*(Inputs!$F$24-Inputs!$E$24)))</f>
        <v>1.02602325459894</v>
      </c>
      <c r="N1320" s="81" t="n">
        <f aca="true">RAND()</f>
        <v>0.267604466430047</v>
      </c>
      <c r="O1320" s="83" t="n">
        <f aca="false">IF(N1320&lt;(Inputs!$E$26-Inputs!$D$26)/(Inputs!$F$26-Inputs!$D$26),Inputs!$D$26+SQRT(N1320*(Inputs!$F$26-Inputs!$D$26)*(Inputs!$E$26-Inputs!$D$26)),Inputs!$F$26-SQRT((1-N1320)*(Inputs!$F$26-Inputs!$D$26)*(Inputs!$F$26-Inputs!$E$26)))</f>
        <v>0.511019864500856</v>
      </c>
      <c r="P1320" s="81" t="n">
        <f aca="true">RAND()</f>
        <v>0.350352156902116</v>
      </c>
      <c r="Q1320" s="82" t="n">
        <f aca="false">IF(P1320&lt;(Inputs!$E$27-Inputs!$D$27)/(Inputs!$F$27-Inputs!$D$27),Inputs!$D$27+SQRT(P1320*(Inputs!$F$27-Inputs!$D$27)*(Inputs!$E$27-Inputs!$D$27)),Inputs!$F$27-SQRT((1-P1320)*(Inputs!$F$27-Inputs!$D$27)*(Inputs!$F$27-Inputs!$E$27)))</f>
        <v>80.1977162033066</v>
      </c>
      <c r="R1320" s="81" t="n">
        <f aca="true">RAND()</f>
        <v>0.123917325801141</v>
      </c>
      <c r="S1320" s="82" t="n">
        <f aca="false">IF(R1320&lt;(Inputs!$E$29-Inputs!$D$29)/(Inputs!$F$29-Inputs!$D$29),Inputs!$D$29+SQRT(R1320*(Inputs!$F$29-Inputs!$D$29)*(Inputs!$E$29-Inputs!$D$29)),Inputs!$F$29-SQRT((1-R1320)*(Inputs!$F$29-Inputs!$D$29)*(Inputs!$F$29-Inputs!$E$29)))</f>
        <v>4.19835750191921</v>
      </c>
      <c r="T1320" s="68" t="n">
        <f aca="false">Inputs!$E$9*(1+E1320)+Inputs!$E$5*C1320*(Inputs!$E$11*Inputs!$E$14*(G1320*I1320/Inputs!$E$16+(1-G1320))*K1320+Inputs!$E$23*M1320)*(1+O1320)+Inputs!$E$5*(Q1320+S1320)</f>
        <v>6302.34936688299</v>
      </c>
    </row>
    <row r="1321" customFormat="false" ht="15" hidden="false" customHeight="false" outlineLevel="0" collapsed="false">
      <c r="A1321" s="1" t="n">
        <v>1317</v>
      </c>
      <c r="B1321" s="81" t="n">
        <f aca="true">RAND()</f>
        <v>0.608998242010561</v>
      </c>
      <c r="C1321" s="82" t="n">
        <f aca="false">ROUND(IF(B1321&lt;(Inputs!$E$8-Inputs!$D$8)/(Inputs!$F$8-Inputs!$D$8),Inputs!$D$8+SQRT(B1321*(Inputs!$F$8-Inputs!$D$8)*(Inputs!$E$8-Inputs!$D$8)),Inputs!$F$8-SQRT((1-B1321)*(Inputs!$F$8-Inputs!$D$8)*(Inputs!$F$8-Inputs!$E$8))),0)</f>
        <v>26</v>
      </c>
      <c r="D1321" s="81" t="n">
        <f aca="true">RAND()</f>
        <v>0.2632713453814</v>
      </c>
      <c r="E1321" s="83" t="n">
        <f aca="false">IF(D1321&lt;(Inputs!$E$10-Inputs!$D$10)/(Inputs!$F$10-Inputs!$D$10),Inputs!$D$10+SQRT(D1321*(Inputs!$F$10-Inputs!$D$10)*(Inputs!$E$10-Inputs!$D$10)),Inputs!$F$10-SQRT((1-D1321)*(Inputs!$F$10-Inputs!$D$10)*(Inputs!$F$10-Inputs!$E$10)))</f>
        <v>0.0513330580170629</v>
      </c>
      <c r="F1321" s="81" t="n">
        <f aca="true">RAND()</f>
        <v>0.611344628638723</v>
      </c>
      <c r="G1321" s="83" t="n">
        <f aca="false">IF(F1321&lt;(Inputs!$E$15-Inputs!$D$15)/(Inputs!$F$15-Inputs!$D$15),Inputs!$D$15+SQRT(F1321*(Inputs!$F$15-Inputs!$D$15)*(Inputs!$E$15-Inputs!$D$15)),Inputs!$F$15-SQRT((1-F1321)*(Inputs!$F$15-Inputs!$D$15)*(Inputs!$F$15-Inputs!$E$15)))</f>
        <v>0.711834772006048</v>
      </c>
      <c r="H1321" s="81" t="n">
        <f aca="true">RAND()</f>
        <v>0.708027877844976</v>
      </c>
      <c r="I1321" s="82" t="n">
        <f aca="false">ROUND(IF(H1321&lt;(Inputs!$E$17-Inputs!$D$17)/(Inputs!$F$17-Inputs!$D$17),Inputs!$D$17+SQRT(H1321*(Inputs!$F$17-Inputs!$D$17)*(Inputs!$E$17-Inputs!$D$17)),Inputs!$F$17-SQRT((1-H1321)*(Inputs!$F$17-Inputs!$D$17)*(Inputs!$F$17-Inputs!$E$17))),0)</f>
        <v>108</v>
      </c>
      <c r="J1321" s="81" t="n">
        <f aca="true">RAND()</f>
        <v>0.797326244181968</v>
      </c>
      <c r="K1321" s="83" t="n">
        <f aca="false">IF(J1321&lt;(Inputs!$E$18-Inputs!$D$18)/(Inputs!$F$18-Inputs!$D$18),Inputs!$D$18+SQRT(J1321*(Inputs!$F$18-Inputs!$D$18)*(Inputs!$E$18-Inputs!$D$18)),Inputs!$F$18-SQRT((1-J1321)*(Inputs!$F$18-Inputs!$D$18)*(Inputs!$F$18-Inputs!$E$18)))</f>
        <v>1.11683110860986</v>
      </c>
      <c r="L1321" s="81" t="n">
        <f aca="true">RAND()</f>
        <v>0.35287826815771</v>
      </c>
      <c r="M1321" s="83" t="n">
        <f aca="false">IF(L1321&lt;(Inputs!$E$24-Inputs!$D$24)/(Inputs!$F$24-Inputs!$D$24),Inputs!$D$24+SQRT(L1321*(Inputs!$F$24-Inputs!$D$24)*(Inputs!$E$24-Inputs!$D$24)),Inputs!$F$24-SQRT((1-L1321)*(Inputs!$F$24-Inputs!$D$24)*(Inputs!$F$24-Inputs!$E$24)))</f>
        <v>0.80590709770138</v>
      </c>
      <c r="N1321" s="81" t="n">
        <f aca="true">RAND()</f>
        <v>0.537815145060565</v>
      </c>
      <c r="O1321" s="83" t="n">
        <f aca="false">IF(N1321&lt;(Inputs!$E$26-Inputs!$D$26)/(Inputs!$F$26-Inputs!$D$26),Inputs!$D$26+SQRT(N1321*(Inputs!$F$26-Inputs!$D$26)*(Inputs!$E$26-Inputs!$D$26)),Inputs!$F$26-SQRT((1-N1321)*(Inputs!$F$26-Inputs!$D$26)*(Inputs!$F$26-Inputs!$E$26)))</f>
        <v>0.59915287085047</v>
      </c>
      <c r="P1321" s="81" t="n">
        <f aca="true">RAND()</f>
        <v>0.127725361711329</v>
      </c>
      <c r="Q1321" s="82" t="n">
        <f aca="false">IF(P1321&lt;(Inputs!$E$27-Inputs!$D$27)/(Inputs!$F$27-Inputs!$D$27),Inputs!$D$27+SQRT(P1321*(Inputs!$F$27-Inputs!$D$27)*(Inputs!$E$27-Inputs!$D$27)),Inputs!$F$27-SQRT((1-P1321)*(Inputs!$F$27-Inputs!$D$27)*(Inputs!$F$27-Inputs!$E$27)))</f>
        <v>67.8693425810331</v>
      </c>
      <c r="R1321" s="81" t="n">
        <f aca="true">RAND()</f>
        <v>0.938919568921979</v>
      </c>
      <c r="S1321" s="82" t="n">
        <f aca="false">IF(R1321&lt;(Inputs!$E$29-Inputs!$D$29)/(Inputs!$F$29-Inputs!$D$29),Inputs!$D$29+SQRT(R1321*(Inputs!$F$29-Inputs!$D$29)*(Inputs!$E$29-Inputs!$D$29)),Inputs!$F$29-SQRT((1-R1321)*(Inputs!$F$29-Inputs!$D$29)*(Inputs!$F$29-Inputs!$E$29)))</f>
        <v>12.1821185191455</v>
      </c>
      <c r="T1321" s="68" t="n">
        <f aca="false">Inputs!$E$9*(1+E1321)+Inputs!$E$5*C1321*(Inputs!$E$11*Inputs!$E$14*(G1321*I1321/Inputs!$E$16+(1-G1321))*K1321+Inputs!$E$23*M1321)*(1+O1321)+Inputs!$E$5*(Q1321+S1321)</f>
        <v>6424.39526165814</v>
      </c>
    </row>
    <row r="1322" customFormat="false" ht="15" hidden="false" customHeight="false" outlineLevel="0" collapsed="false">
      <c r="A1322" s="1" t="n">
        <v>1318</v>
      </c>
      <c r="B1322" s="81" t="n">
        <f aca="true">RAND()</f>
        <v>0.716032289395743</v>
      </c>
      <c r="C1322" s="82" t="n">
        <f aca="false">ROUND(IF(B1322&lt;(Inputs!$E$8-Inputs!$D$8)/(Inputs!$F$8-Inputs!$D$8),Inputs!$D$8+SQRT(B1322*(Inputs!$F$8-Inputs!$D$8)*(Inputs!$E$8-Inputs!$D$8)),Inputs!$F$8-SQRT((1-B1322)*(Inputs!$F$8-Inputs!$D$8)*(Inputs!$F$8-Inputs!$E$8))),0)</f>
        <v>26</v>
      </c>
      <c r="D1322" s="81" t="n">
        <f aca="true">RAND()</f>
        <v>0.410977262433045</v>
      </c>
      <c r="E1322" s="83" t="n">
        <f aca="false">IF(D1322&lt;(Inputs!$E$10-Inputs!$D$10)/(Inputs!$F$10-Inputs!$D$10),Inputs!$D$10+SQRT(D1322*(Inputs!$F$10-Inputs!$D$10)*(Inputs!$E$10-Inputs!$D$10)),Inputs!$F$10-SQRT((1-D1322)*(Inputs!$F$10-Inputs!$D$10)*(Inputs!$F$10-Inputs!$E$10)))</f>
        <v>0.0670688820215197</v>
      </c>
      <c r="F1322" s="81" t="n">
        <f aca="true">RAND()</f>
        <v>0.606551433016363</v>
      </c>
      <c r="G1322" s="83" t="n">
        <f aca="false">IF(F1322&lt;(Inputs!$E$15-Inputs!$D$15)/(Inputs!$F$15-Inputs!$D$15),Inputs!$D$15+SQRT(F1322*(Inputs!$F$15-Inputs!$D$15)*(Inputs!$E$15-Inputs!$D$15)),Inputs!$F$15-SQRT((1-F1322)*(Inputs!$F$15-Inputs!$D$15)*(Inputs!$F$15-Inputs!$E$15)))</f>
        <v>0.711292777409769</v>
      </c>
      <c r="H1322" s="81" t="n">
        <f aca="true">RAND()</f>
        <v>0.711448044775008</v>
      </c>
      <c r="I1322" s="82" t="n">
        <f aca="false">ROUND(IF(H1322&lt;(Inputs!$E$17-Inputs!$D$17)/(Inputs!$F$17-Inputs!$D$17),Inputs!$D$17+SQRT(H1322*(Inputs!$F$17-Inputs!$D$17)*(Inputs!$E$17-Inputs!$D$17)),Inputs!$F$17-SQRT((1-H1322)*(Inputs!$F$17-Inputs!$D$17)*(Inputs!$F$17-Inputs!$E$17))),0)</f>
        <v>108</v>
      </c>
      <c r="J1322" s="81" t="n">
        <f aca="true">RAND()</f>
        <v>0.874856656081335</v>
      </c>
      <c r="K1322" s="83" t="n">
        <f aca="false">IF(J1322&lt;(Inputs!$E$18-Inputs!$D$18)/(Inputs!$F$18-Inputs!$D$18),Inputs!$D$18+SQRT(J1322*(Inputs!$F$18-Inputs!$D$18)*(Inputs!$E$18-Inputs!$D$18)),Inputs!$F$18-SQRT((1-J1322)*(Inputs!$F$18-Inputs!$D$18)*(Inputs!$F$18-Inputs!$E$18)))</f>
        <v>1.14535754880125</v>
      </c>
      <c r="L1322" s="81" t="n">
        <f aca="true">RAND()</f>
        <v>0.63303820245121</v>
      </c>
      <c r="M1322" s="83" t="n">
        <f aca="false">IF(L1322&lt;(Inputs!$E$24-Inputs!$D$24)/(Inputs!$F$24-Inputs!$D$24),Inputs!$D$24+SQRT(L1322*(Inputs!$F$24-Inputs!$D$24)*(Inputs!$E$24-Inputs!$D$24)),Inputs!$F$24-SQRT((1-L1322)*(Inputs!$F$24-Inputs!$D$24)*(Inputs!$F$24-Inputs!$E$24)))</f>
        <v>0.903232698210012</v>
      </c>
      <c r="N1322" s="81" t="n">
        <f aca="true">RAND()</f>
        <v>0.766764812646445</v>
      </c>
      <c r="O1322" s="83" t="n">
        <f aca="false">IF(N1322&lt;(Inputs!$E$26-Inputs!$D$26)/(Inputs!$F$26-Inputs!$D$26),Inputs!$D$26+SQRT(N1322*(Inputs!$F$26-Inputs!$D$26)*(Inputs!$E$26-Inputs!$D$26)),Inputs!$F$26-SQRT((1-N1322)*(Inputs!$F$26-Inputs!$D$26)*(Inputs!$F$26-Inputs!$E$26)))</f>
        <v>0.664255146201328</v>
      </c>
      <c r="P1322" s="81" t="n">
        <f aca="true">RAND()</f>
        <v>0.153205845862575</v>
      </c>
      <c r="Q1322" s="82" t="n">
        <f aca="false">IF(P1322&lt;(Inputs!$E$27-Inputs!$D$27)/(Inputs!$F$27-Inputs!$D$27),Inputs!$D$27+SQRT(P1322*(Inputs!$F$27-Inputs!$D$27)*(Inputs!$E$27-Inputs!$D$27)),Inputs!$F$27-SQRT((1-P1322)*(Inputs!$F$27-Inputs!$D$27)*(Inputs!$F$27-Inputs!$E$27)))</f>
        <v>69.5707591742486</v>
      </c>
      <c r="R1322" s="81" t="n">
        <f aca="true">RAND()</f>
        <v>0.779646258604593</v>
      </c>
      <c r="S1322" s="82" t="n">
        <f aca="false">IF(R1322&lt;(Inputs!$E$29-Inputs!$D$29)/(Inputs!$F$29-Inputs!$D$29),Inputs!$D$29+SQRT(R1322*(Inputs!$F$29-Inputs!$D$29)*(Inputs!$E$29-Inputs!$D$29)),Inputs!$F$29-SQRT((1-R1322)*(Inputs!$F$29-Inputs!$D$29)*(Inputs!$F$29-Inputs!$E$29)))</f>
        <v>9.64780546117736</v>
      </c>
      <c r="T1322" s="68" t="n">
        <f aca="false">Inputs!$E$9*(1+E1322)+Inputs!$E$5*C1322*(Inputs!$E$11*Inputs!$E$14*(G1322*I1322/Inputs!$E$16+(1-G1322))*K1322+Inputs!$E$23*M1322)*(1+O1322)+Inputs!$E$5*(Q1322+S1322)</f>
        <v>6823.83268882136</v>
      </c>
    </row>
    <row r="1323" customFormat="false" ht="15" hidden="false" customHeight="false" outlineLevel="0" collapsed="false">
      <c r="A1323" s="1" t="n">
        <v>1319</v>
      </c>
      <c r="B1323" s="81" t="n">
        <f aca="true">RAND()</f>
        <v>0.471467146211897</v>
      </c>
      <c r="C1323" s="82" t="n">
        <f aca="false">ROUND(IF(B1323&lt;(Inputs!$E$8-Inputs!$D$8)/(Inputs!$F$8-Inputs!$D$8),Inputs!$D$8+SQRT(B1323*(Inputs!$F$8-Inputs!$D$8)*(Inputs!$E$8-Inputs!$D$8)),Inputs!$F$8-SQRT((1-B1323)*(Inputs!$F$8-Inputs!$D$8)*(Inputs!$F$8-Inputs!$E$8))),0)</f>
        <v>25</v>
      </c>
      <c r="D1323" s="81" t="n">
        <f aca="true">RAND()</f>
        <v>0.552292627555737</v>
      </c>
      <c r="E1323" s="83" t="n">
        <f aca="false">IF(D1323&lt;(Inputs!$E$10-Inputs!$D$10)/(Inputs!$F$10-Inputs!$D$10),Inputs!$D$10+SQRT(D1323*(Inputs!$F$10-Inputs!$D$10)*(Inputs!$E$10-Inputs!$D$10)),Inputs!$F$10-SQRT((1-D1323)*(Inputs!$F$10-Inputs!$D$10)*(Inputs!$F$10-Inputs!$E$10)))</f>
        <v>0.0841068545024</v>
      </c>
      <c r="F1323" s="81" t="n">
        <f aca="true">RAND()</f>
        <v>0.60686288999762</v>
      </c>
      <c r="G1323" s="83" t="n">
        <f aca="false">IF(F1323&lt;(Inputs!$E$15-Inputs!$D$15)/(Inputs!$F$15-Inputs!$D$15),Inputs!$D$15+SQRT(F1323*(Inputs!$F$15-Inputs!$D$15)*(Inputs!$E$15-Inputs!$D$15)),Inputs!$F$15-SQRT((1-F1323)*(Inputs!$F$15-Inputs!$D$15)*(Inputs!$F$15-Inputs!$E$15)))</f>
        <v>0.711327895028664</v>
      </c>
      <c r="H1323" s="81" t="n">
        <f aca="true">RAND()</f>
        <v>0.768055119404413</v>
      </c>
      <c r="I1323" s="82" t="n">
        <f aca="false">ROUND(IF(H1323&lt;(Inputs!$E$17-Inputs!$D$17)/(Inputs!$F$17-Inputs!$D$17),Inputs!$D$17+SQRT(H1323*(Inputs!$F$17-Inputs!$D$17)*(Inputs!$E$17-Inputs!$D$17)),Inputs!$F$17-SQRT((1-H1323)*(Inputs!$F$17-Inputs!$D$17)*(Inputs!$F$17-Inputs!$E$17))),0)</f>
        <v>109</v>
      </c>
      <c r="J1323" s="81" t="n">
        <f aca="true">RAND()</f>
        <v>0.125811190591767</v>
      </c>
      <c r="K1323" s="83" t="n">
        <f aca="false">IF(J1323&lt;(Inputs!$E$18-Inputs!$D$18)/(Inputs!$F$18-Inputs!$D$18),Inputs!$D$18+SQRT(J1323*(Inputs!$F$18-Inputs!$D$18)*(Inputs!$E$18-Inputs!$D$18)),Inputs!$F$18-SQRT((1-J1323)*(Inputs!$F$18-Inputs!$D$18)*(Inputs!$F$18-Inputs!$E$18)))</f>
        <v>0.966358056562198</v>
      </c>
      <c r="L1323" s="81" t="n">
        <f aca="true">RAND()</f>
        <v>0.637254372269954</v>
      </c>
      <c r="M1323" s="83" t="n">
        <f aca="false">IF(L1323&lt;(Inputs!$E$24-Inputs!$D$24)/(Inputs!$F$24-Inputs!$D$24),Inputs!$D$24+SQRT(L1323*(Inputs!$F$24-Inputs!$D$24)*(Inputs!$E$24-Inputs!$D$24)),Inputs!$F$24-SQRT((1-L1323)*(Inputs!$F$24-Inputs!$D$24)*(Inputs!$F$24-Inputs!$E$24)))</f>
        <v>0.904942462127789</v>
      </c>
      <c r="N1323" s="81" t="n">
        <f aca="true">RAND()</f>
        <v>0.758344921852637</v>
      </c>
      <c r="O1323" s="83" t="n">
        <f aca="false">IF(N1323&lt;(Inputs!$E$26-Inputs!$D$26)/(Inputs!$F$26-Inputs!$D$26),Inputs!$D$26+SQRT(N1323*(Inputs!$F$26-Inputs!$D$26)*(Inputs!$E$26-Inputs!$D$26)),Inputs!$F$26-SQRT((1-N1323)*(Inputs!$F$26-Inputs!$D$26)*(Inputs!$F$26-Inputs!$E$26)))</f>
        <v>0.661468841777631</v>
      </c>
      <c r="P1323" s="81" t="n">
        <f aca="true">RAND()</f>
        <v>0.908087118627596</v>
      </c>
      <c r="Q1323" s="82" t="n">
        <f aca="false">IF(P1323&lt;(Inputs!$E$27-Inputs!$D$27)/(Inputs!$F$27-Inputs!$D$27),Inputs!$D$27+SQRT(P1323*(Inputs!$F$27-Inputs!$D$27)*(Inputs!$E$27-Inputs!$D$27)),Inputs!$F$27-SQRT((1-P1323)*(Inputs!$F$27-Inputs!$D$27)*(Inputs!$F$27-Inputs!$E$27)))</f>
        <v>123.744588933078</v>
      </c>
      <c r="R1323" s="81" t="n">
        <f aca="true">RAND()</f>
        <v>0.682026568522075</v>
      </c>
      <c r="S1323" s="82" t="n">
        <f aca="false">IF(R1323&lt;(Inputs!$E$29-Inputs!$D$29)/(Inputs!$F$29-Inputs!$D$29),Inputs!$D$29+SQRT(R1323*(Inputs!$F$29-Inputs!$D$29)*(Inputs!$E$29-Inputs!$D$29)),Inputs!$F$29-SQRT((1-R1323)*(Inputs!$F$29-Inputs!$D$29)*(Inputs!$F$29-Inputs!$E$29)))</f>
        <v>8.57064963685053</v>
      </c>
      <c r="T1323" s="68" t="n">
        <f aca="false">Inputs!$E$9*(1+E1323)+Inputs!$E$5*C1323*(Inputs!$E$11*Inputs!$E$14*(G1323*I1323/Inputs!$E$16+(1-G1323))*K1323+Inputs!$E$23*M1323)*(1+O1323)+Inputs!$E$5*(Q1323+S1323)</f>
        <v>6574.59865850103</v>
      </c>
    </row>
    <row r="1324" customFormat="false" ht="15" hidden="false" customHeight="false" outlineLevel="0" collapsed="false">
      <c r="A1324" s="1" t="n">
        <v>1320</v>
      </c>
      <c r="B1324" s="81" t="n">
        <f aca="true">RAND()</f>
        <v>0.887047827934268</v>
      </c>
      <c r="C1324" s="82" t="n">
        <f aca="false">ROUND(IF(B1324&lt;(Inputs!$E$8-Inputs!$D$8)/(Inputs!$F$8-Inputs!$D$8),Inputs!$D$8+SQRT(B1324*(Inputs!$F$8-Inputs!$D$8)*(Inputs!$E$8-Inputs!$D$8)),Inputs!$F$8-SQRT((1-B1324)*(Inputs!$F$8-Inputs!$D$8)*(Inputs!$F$8-Inputs!$E$8))),0)</f>
        <v>28</v>
      </c>
      <c r="D1324" s="81" t="n">
        <f aca="true">RAND()</f>
        <v>0.0732498516599384</v>
      </c>
      <c r="E1324" s="83" t="n">
        <f aca="false">IF(D1324&lt;(Inputs!$E$10-Inputs!$D$10)/(Inputs!$F$10-Inputs!$D$10),Inputs!$D$10+SQRT(D1324*(Inputs!$F$10-Inputs!$D$10)*(Inputs!$E$10-Inputs!$D$10)),Inputs!$F$10-SQRT((1-D1324)*(Inputs!$F$10-Inputs!$D$10)*(Inputs!$F$10-Inputs!$E$10)))</f>
        <v>0.0270647098007605</v>
      </c>
      <c r="F1324" s="81" t="n">
        <f aca="true">RAND()</f>
        <v>0.176026117149472</v>
      </c>
      <c r="G1324" s="83" t="n">
        <f aca="false">IF(F1324&lt;(Inputs!$E$15-Inputs!$D$15)/(Inputs!$F$15-Inputs!$D$15),Inputs!$D$15+SQRT(F1324*(Inputs!$F$15-Inputs!$D$15)*(Inputs!$E$15-Inputs!$D$15)),Inputs!$F$15-SQRT((1-F1324)*(Inputs!$F$15-Inputs!$D$15)*(Inputs!$F$15-Inputs!$E$15)))</f>
        <v>0.659333989778115</v>
      </c>
      <c r="H1324" s="81" t="n">
        <f aca="true">RAND()</f>
        <v>0.847310794538223</v>
      </c>
      <c r="I1324" s="82" t="n">
        <f aca="false">ROUND(IF(H1324&lt;(Inputs!$E$17-Inputs!$D$17)/(Inputs!$F$17-Inputs!$D$17),Inputs!$D$17+SQRT(H1324*(Inputs!$F$17-Inputs!$D$17)*(Inputs!$E$17-Inputs!$D$17)),Inputs!$F$17-SQRT((1-H1324)*(Inputs!$F$17-Inputs!$D$17)*(Inputs!$F$17-Inputs!$E$17))),0)</f>
        <v>110</v>
      </c>
      <c r="J1324" s="81" t="n">
        <f aca="true">RAND()</f>
        <v>0.00506580163895534</v>
      </c>
      <c r="K1324" s="83" t="n">
        <f aca="false">IF(J1324&lt;(Inputs!$E$18-Inputs!$D$18)/(Inputs!$F$18-Inputs!$D$18),Inputs!$D$18+SQRT(J1324*(Inputs!$F$18-Inputs!$D$18)*(Inputs!$E$18-Inputs!$D$18)),Inputs!$F$18-SQRT((1-J1324)*(Inputs!$F$18-Inputs!$D$18)*(Inputs!$F$18-Inputs!$E$18)))</f>
        <v>0.913315519417711</v>
      </c>
      <c r="L1324" s="81" t="n">
        <f aca="true">RAND()</f>
        <v>0.0869604253490735</v>
      </c>
      <c r="M1324" s="83" t="n">
        <f aca="false">IF(L1324&lt;(Inputs!$E$24-Inputs!$D$24)/(Inputs!$F$24-Inputs!$D$24),Inputs!$D$24+SQRT(L1324*(Inputs!$F$24-Inputs!$D$24)*(Inputs!$E$24-Inputs!$D$24)),Inputs!$F$24-SQRT((1-L1324)*(Inputs!$F$24-Inputs!$D$24)*(Inputs!$F$24-Inputs!$E$24)))</f>
        <v>0.702153076517004</v>
      </c>
      <c r="N1324" s="81" t="n">
        <f aca="true">RAND()</f>
        <v>0.322414402197049</v>
      </c>
      <c r="O1324" s="83" t="n">
        <f aca="false">IF(N1324&lt;(Inputs!$E$26-Inputs!$D$26)/(Inputs!$F$26-Inputs!$D$26),Inputs!$D$26+SQRT(N1324*(Inputs!$F$26-Inputs!$D$26)*(Inputs!$E$26-Inputs!$D$26)),Inputs!$F$26-SQRT((1-N1324)*(Inputs!$F$26-Inputs!$D$26)*(Inputs!$F$26-Inputs!$E$26)))</f>
        <v>0.531624170857855</v>
      </c>
      <c r="P1324" s="81" t="n">
        <f aca="true">RAND()</f>
        <v>0.728527418932211</v>
      </c>
      <c r="Q1324" s="82" t="n">
        <f aca="false">IF(P1324&lt;(Inputs!$E$27-Inputs!$D$27)/(Inputs!$F$27-Inputs!$D$27),Inputs!$D$27+SQRT(P1324*(Inputs!$F$27-Inputs!$D$27)*(Inputs!$E$27-Inputs!$D$27)),Inputs!$F$27-SQRT((1-P1324)*(Inputs!$F$27-Inputs!$D$27)*(Inputs!$F$27-Inputs!$E$27)))</f>
        <v>104.877451778424</v>
      </c>
      <c r="R1324" s="81" t="n">
        <f aca="true">RAND()</f>
        <v>0.160170354144318</v>
      </c>
      <c r="S1324" s="82" t="n">
        <f aca="false">IF(R1324&lt;(Inputs!$E$29-Inputs!$D$29)/(Inputs!$F$29-Inputs!$D$29),Inputs!$D$29+SQRT(R1324*(Inputs!$F$29-Inputs!$D$29)*(Inputs!$E$29-Inputs!$D$29)),Inputs!$F$29-SQRT((1-R1324)*(Inputs!$F$29-Inputs!$D$29)*(Inputs!$F$29-Inputs!$E$29)))</f>
        <v>4.49932867218948</v>
      </c>
      <c r="T1324" s="68" t="n">
        <f aca="false">Inputs!$E$9*(1+E1324)+Inputs!$E$5*C1324*(Inputs!$E$11*Inputs!$E$14*(G1324*I1324/Inputs!$E$16+(1-G1324))*K1324+Inputs!$E$23*M1324)*(1+O1324)+Inputs!$E$5*(Q1324+S1324)</f>
        <v>6090.10948865644</v>
      </c>
    </row>
    <row r="1325" customFormat="false" ht="15" hidden="false" customHeight="false" outlineLevel="0" collapsed="false">
      <c r="A1325" s="1" t="n">
        <v>1321</v>
      </c>
      <c r="B1325" s="81" t="n">
        <f aca="true">RAND()</f>
        <v>0.194459713809592</v>
      </c>
      <c r="C1325" s="82" t="n">
        <f aca="false">ROUND(IF(B1325&lt;(Inputs!$E$8-Inputs!$D$8)/(Inputs!$F$8-Inputs!$D$8),Inputs!$D$8+SQRT(B1325*(Inputs!$F$8-Inputs!$D$8)*(Inputs!$E$8-Inputs!$D$8)),Inputs!$F$8-SQRT((1-B1325)*(Inputs!$F$8-Inputs!$D$8)*(Inputs!$F$8-Inputs!$E$8))),0)</f>
        <v>23</v>
      </c>
      <c r="D1325" s="81" t="n">
        <f aca="true">RAND()</f>
        <v>0.838137572614517</v>
      </c>
      <c r="E1325" s="83" t="n">
        <f aca="false">IF(D1325&lt;(Inputs!$E$10-Inputs!$D$10)/(Inputs!$F$10-Inputs!$D$10),Inputs!$D$10+SQRT(D1325*(Inputs!$F$10-Inputs!$D$10)*(Inputs!$E$10-Inputs!$D$10)),Inputs!$F$10-SQRT((1-D1325)*(Inputs!$F$10-Inputs!$D$10)*(Inputs!$F$10-Inputs!$E$10)))</f>
        <v>0.130315906968918</v>
      </c>
      <c r="F1325" s="81" t="n">
        <f aca="true">RAND()</f>
        <v>0.752699954746251</v>
      </c>
      <c r="G1325" s="83" t="n">
        <f aca="false">IF(F1325&lt;(Inputs!$E$15-Inputs!$D$15)/(Inputs!$F$15-Inputs!$D$15),Inputs!$D$15+SQRT(F1325*(Inputs!$F$15-Inputs!$D$15)*(Inputs!$E$15-Inputs!$D$15)),Inputs!$F$15-SQRT((1-F1325)*(Inputs!$F$15-Inputs!$D$15)*(Inputs!$F$15-Inputs!$E$15)))</f>
        <v>0.729672189675243</v>
      </c>
      <c r="H1325" s="81" t="n">
        <f aca="true">RAND()</f>
        <v>0.496880996065688</v>
      </c>
      <c r="I1325" s="82" t="n">
        <f aca="false">ROUND(IF(H1325&lt;(Inputs!$E$17-Inputs!$D$17)/(Inputs!$F$17-Inputs!$D$17),Inputs!$D$17+SQRT(H1325*(Inputs!$F$17-Inputs!$D$17)*(Inputs!$E$17-Inputs!$D$17)),Inputs!$F$17-SQRT((1-H1325)*(Inputs!$F$17-Inputs!$D$17)*(Inputs!$F$17-Inputs!$E$17))),0)</f>
        <v>106</v>
      </c>
      <c r="J1325" s="81" t="n">
        <f aca="true">RAND()</f>
        <v>0.0738778928627757</v>
      </c>
      <c r="K1325" s="83" t="n">
        <f aca="false">IF(J1325&lt;(Inputs!$E$18-Inputs!$D$18)/(Inputs!$F$18-Inputs!$D$18),Inputs!$D$18+SQRT(J1325*(Inputs!$F$18-Inputs!$D$18)*(Inputs!$E$18-Inputs!$D$18)),Inputs!$F$18-SQRT((1-J1325)*(Inputs!$F$18-Inputs!$D$18)*(Inputs!$F$18-Inputs!$E$18)))</f>
        <v>0.950850036875082</v>
      </c>
      <c r="L1325" s="81" t="n">
        <f aca="true">RAND()</f>
        <v>0.659912882381942</v>
      </c>
      <c r="M1325" s="83" t="n">
        <f aca="false">IF(L1325&lt;(Inputs!$E$24-Inputs!$D$24)/(Inputs!$F$24-Inputs!$D$24),Inputs!$D$24+SQRT(L1325*(Inputs!$F$24-Inputs!$D$24)*(Inputs!$E$24-Inputs!$D$24)),Inputs!$F$24-SQRT((1-L1325)*(Inputs!$F$24-Inputs!$D$24)*(Inputs!$F$24-Inputs!$E$24)))</f>
        <v>0.914306268482604</v>
      </c>
      <c r="N1325" s="81" t="n">
        <f aca="true">RAND()</f>
        <v>0.0399712235697958</v>
      </c>
      <c r="O1325" s="83" t="n">
        <f aca="false">IF(N1325&lt;(Inputs!$E$26-Inputs!$D$26)/(Inputs!$F$26-Inputs!$D$26),Inputs!$D$26+SQRT(N1325*(Inputs!$F$26-Inputs!$D$26)*(Inputs!$E$26-Inputs!$D$26)),Inputs!$F$26-SQRT((1-N1325)*(Inputs!$F$26-Inputs!$D$26)*(Inputs!$F$26-Inputs!$E$26)))</f>
        <v>0.381554960621743</v>
      </c>
      <c r="P1325" s="81" t="n">
        <f aca="true">RAND()</f>
        <v>0.798111708551466</v>
      </c>
      <c r="Q1325" s="82" t="n">
        <f aca="false">IF(P1325&lt;(Inputs!$E$27-Inputs!$D$27)/(Inputs!$F$27-Inputs!$D$27),Inputs!$D$27+SQRT(P1325*(Inputs!$F$27-Inputs!$D$27)*(Inputs!$E$27-Inputs!$D$27)),Inputs!$F$27-SQRT((1-P1325)*(Inputs!$F$27-Inputs!$D$27)*(Inputs!$F$27-Inputs!$E$27)))</f>
        <v>111.087763031869</v>
      </c>
      <c r="R1325" s="81" t="n">
        <f aca="true">RAND()</f>
        <v>0.992346709906158</v>
      </c>
      <c r="S1325" s="82" t="n">
        <f aca="false">IF(R1325&lt;(Inputs!$E$29-Inputs!$D$29)/(Inputs!$F$29-Inputs!$D$29),Inputs!$D$29+SQRT(R1325*(Inputs!$F$29-Inputs!$D$29)*(Inputs!$E$29-Inputs!$D$29)),Inputs!$F$29-SQRT((1-R1325)*(Inputs!$F$29-Inputs!$D$29)*(Inputs!$F$29-Inputs!$E$29)))</f>
        <v>14.0025393680954</v>
      </c>
      <c r="T1325" s="68" t="n">
        <f aca="false">Inputs!$E$9*(1+E1325)+Inputs!$E$5*C1325*(Inputs!$E$11*Inputs!$E$14*(G1325*I1325/Inputs!$E$16+(1-G1325))*K1325+Inputs!$E$23*M1325)*(1+O1325)+Inputs!$E$5*(Q1325+S1325)</f>
        <v>5749.75126910213</v>
      </c>
    </row>
    <row r="1326" customFormat="false" ht="15" hidden="false" customHeight="false" outlineLevel="0" collapsed="false">
      <c r="A1326" s="1" t="n">
        <v>1322</v>
      </c>
      <c r="B1326" s="81" t="n">
        <f aca="true">RAND()</f>
        <v>0.819227595350542</v>
      </c>
      <c r="C1326" s="82" t="n">
        <f aca="false">ROUND(IF(B1326&lt;(Inputs!$E$8-Inputs!$D$8)/(Inputs!$F$8-Inputs!$D$8),Inputs!$D$8+SQRT(B1326*(Inputs!$F$8-Inputs!$D$8)*(Inputs!$E$8-Inputs!$D$8)),Inputs!$F$8-SQRT((1-B1326)*(Inputs!$F$8-Inputs!$D$8)*(Inputs!$F$8-Inputs!$E$8))),0)</f>
        <v>27</v>
      </c>
      <c r="D1326" s="81" t="n">
        <f aca="true">RAND()</f>
        <v>0.365334489660203</v>
      </c>
      <c r="E1326" s="83" t="n">
        <f aca="false">IF(D1326&lt;(Inputs!$E$10-Inputs!$D$10)/(Inputs!$F$10-Inputs!$D$10),Inputs!$D$10+SQRT(D1326*(Inputs!$F$10-Inputs!$D$10)*(Inputs!$E$10-Inputs!$D$10)),Inputs!$F$10-SQRT((1-D1326)*(Inputs!$F$10-Inputs!$D$10)*(Inputs!$F$10-Inputs!$E$10)))</f>
        <v>0.0620146192156795</v>
      </c>
      <c r="F1326" s="81" t="n">
        <f aca="true">RAND()</f>
        <v>0.498245650397052</v>
      </c>
      <c r="G1326" s="83" t="n">
        <f aca="false">IF(F1326&lt;(Inputs!$E$15-Inputs!$D$15)/(Inputs!$F$15-Inputs!$D$15),Inputs!$D$15+SQRT(F1326*(Inputs!$F$15-Inputs!$D$15)*(Inputs!$E$15-Inputs!$D$15)),Inputs!$F$15-SQRT((1-F1326)*(Inputs!$F$15-Inputs!$D$15)*(Inputs!$F$15-Inputs!$E$15)))</f>
        <v>0.699824410882013</v>
      </c>
      <c r="H1326" s="81" t="n">
        <f aca="true">RAND()</f>
        <v>0.313164644390346</v>
      </c>
      <c r="I1326" s="82" t="n">
        <f aca="false">ROUND(IF(H1326&lt;(Inputs!$E$17-Inputs!$D$17)/(Inputs!$F$17-Inputs!$D$17),Inputs!$D$17+SQRT(H1326*(Inputs!$F$17-Inputs!$D$17)*(Inputs!$E$17-Inputs!$D$17)),Inputs!$F$17-SQRT((1-H1326)*(Inputs!$F$17-Inputs!$D$17)*(Inputs!$F$17-Inputs!$E$17))),0)</f>
        <v>105</v>
      </c>
      <c r="J1326" s="81" t="n">
        <f aca="true">RAND()</f>
        <v>0.591574522315481</v>
      </c>
      <c r="K1326" s="83" t="n">
        <f aca="false">IF(J1326&lt;(Inputs!$E$18-Inputs!$D$18)/(Inputs!$F$18-Inputs!$D$18),Inputs!$D$18+SQRT(J1326*(Inputs!$F$18-Inputs!$D$18)*(Inputs!$E$18-Inputs!$D$18)),Inputs!$F$18-SQRT((1-J1326)*(Inputs!$F$18-Inputs!$D$18)*(Inputs!$F$18-Inputs!$E$18)))</f>
        <v>1.06095707022638</v>
      </c>
      <c r="L1326" s="81" t="n">
        <f aca="true">RAND()</f>
        <v>0.523388491504609</v>
      </c>
      <c r="M1326" s="83" t="n">
        <f aca="false">IF(L1326&lt;(Inputs!$E$24-Inputs!$D$24)/(Inputs!$F$24-Inputs!$D$24),Inputs!$D$24+SQRT(L1326*(Inputs!$F$24-Inputs!$D$24)*(Inputs!$E$24-Inputs!$D$24)),Inputs!$F$24-SQRT((1-L1326)*(Inputs!$F$24-Inputs!$D$24)*(Inputs!$F$24-Inputs!$E$24)))</f>
        <v>0.861788879486653</v>
      </c>
      <c r="N1326" s="81" t="n">
        <f aca="true">RAND()</f>
        <v>0.280906367414427</v>
      </c>
      <c r="O1326" s="83" t="n">
        <f aca="false">IF(N1326&lt;(Inputs!$E$26-Inputs!$D$26)/(Inputs!$F$26-Inputs!$D$26),Inputs!$D$26+SQRT(N1326*(Inputs!$F$26-Inputs!$D$26)*(Inputs!$E$26-Inputs!$D$26)),Inputs!$F$26-SQRT((1-N1326)*(Inputs!$F$26-Inputs!$D$26)*(Inputs!$F$26-Inputs!$E$26)))</f>
        <v>0.516200877745121</v>
      </c>
      <c r="P1326" s="81" t="n">
        <f aca="true">RAND()</f>
        <v>0.48103394858064</v>
      </c>
      <c r="Q1326" s="82" t="n">
        <f aca="false">IF(P1326&lt;(Inputs!$E$27-Inputs!$D$27)/(Inputs!$F$27-Inputs!$D$27),Inputs!$D$27+SQRT(P1326*(Inputs!$F$27-Inputs!$D$27)*(Inputs!$E$27-Inputs!$D$27)),Inputs!$F$27-SQRT((1-P1326)*(Inputs!$F$27-Inputs!$D$27)*(Inputs!$F$27-Inputs!$E$27)))</f>
        <v>87.6121375134137</v>
      </c>
      <c r="R1326" s="81" t="n">
        <f aca="true">RAND()</f>
        <v>0.186918424393</v>
      </c>
      <c r="S1326" s="82" t="n">
        <f aca="false">IF(R1326&lt;(Inputs!$E$29-Inputs!$D$29)/(Inputs!$F$29-Inputs!$D$29),Inputs!$D$29+SQRT(R1326*(Inputs!$F$29-Inputs!$D$29)*(Inputs!$E$29-Inputs!$D$29)),Inputs!$F$29-SQRT((1-R1326)*(Inputs!$F$29-Inputs!$D$29)*(Inputs!$F$29-Inputs!$E$29)))</f>
        <v>4.6999663981848</v>
      </c>
      <c r="T1326" s="68" t="n">
        <f aca="false">Inputs!$E$9*(1+E1326)+Inputs!$E$5*C1326*(Inputs!$E$11*Inputs!$E$14*(G1326*I1326/Inputs!$E$16+(1-G1326))*K1326+Inputs!$E$23*M1326)*(1+O1326)+Inputs!$E$5*(Q1326+S1326)</f>
        <v>6388.37958850133</v>
      </c>
    </row>
    <row r="1327" customFormat="false" ht="15" hidden="false" customHeight="false" outlineLevel="0" collapsed="false">
      <c r="A1327" s="1" t="n">
        <v>1323</v>
      </c>
      <c r="B1327" s="81" t="n">
        <f aca="true">RAND()</f>
        <v>0.836126122914258</v>
      </c>
      <c r="C1327" s="82" t="n">
        <f aca="false">ROUND(IF(B1327&lt;(Inputs!$E$8-Inputs!$D$8)/(Inputs!$F$8-Inputs!$D$8),Inputs!$D$8+SQRT(B1327*(Inputs!$F$8-Inputs!$D$8)*(Inputs!$E$8-Inputs!$D$8)),Inputs!$F$8-SQRT((1-B1327)*(Inputs!$F$8-Inputs!$D$8)*(Inputs!$F$8-Inputs!$E$8))),0)</f>
        <v>27</v>
      </c>
      <c r="D1327" s="81" t="n">
        <f aca="true">RAND()</f>
        <v>0.495306360082778</v>
      </c>
      <c r="E1327" s="83" t="n">
        <f aca="false">IF(D1327&lt;(Inputs!$E$10-Inputs!$D$10)/(Inputs!$F$10-Inputs!$D$10),Inputs!$D$10+SQRT(D1327*(Inputs!$F$10-Inputs!$D$10)*(Inputs!$E$10-Inputs!$D$10)),Inputs!$F$10-SQRT((1-D1327)*(Inputs!$F$10-Inputs!$D$10)*(Inputs!$F$10-Inputs!$E$10)))</f>
        <v>0.0769520044961453</v>
      </c>
      <c r="F1327" s="81" t="n">
        <f aca="true">RAND()</f>
        <v>0.842458051311311</v>
      </c>
      <c r="G1327" s="83" t="n">
        <f aca="false">IF(F1327&lt;(Inputs!$E$15-Inputs!$D$15)/(Inputs!$F$15-Inputs!$D$15),Inputs!$D$15+SQRT(F1327*(Inputs!$F$15-Inputs!$D$15)*(Inputs!$E$15-Inputs!$D$15)),Inputs!$F$15-SQRT((1-F1327)*(Inputs!$F$15-Inputs!$D$15)*(Inputs!$F$15-Inputs!$E$15)))</f>
        <v>0.74386766552357</v>
      </c>
      <c r="H1327" s="81" t="n">
        <f aca="true">RAND()</f>
        <v>0.997984633735742</v>
      </c>
      <c r="I1327" s="82" t="n">
        <f aca="false">ROUND(IF(H1327&lt;(Inputs!$E$17-Inputs!$D$17)/(Inputs!$F$17-Inputs!$D$17),Inputs!$D$17+SQRT(H1327*(Inputs!$F$17-Inputs!$D$17)*(Inputs!$E$17-Inputs!$D$17)),Inputs!$F$17-SQRT((1-H1327)*(Inputs!$F$17-Inputs!$D$17)*(Inputs!$F$17-Inputs!$E$17))),0)</f>
        <v>114</v>
      </c>
      <c r="J1327" s="81" t="n">
        <f aca="true">RAND()</f>
        <v>0.297202996832475</v>
      </c>
      <c r="K1327" s="83" t="n">
        <f aca="false">IF(J1327&lt;(Inputs!$E$18-Inputs!$D$18)/(Inputs!$F$18-Inputs!$D$18),Inputs!$D$18+SQRT(J1327*(Inputs!$F$18-Inputs!$D$18)*(Inputs!$E$18-Inputs!$D$18)),Inputs!$F$18-SQRT((1-J1327)*(Inputs!$F$18-Inputs!$D$18)*(Inputs!$F$18-Inputs!$E$18)))</f>
        <v>1.00201867453948</v>
      </c>
      <c r="L1327" s="81" t="n">
        <f aca="true">RAND()</f>
        <v>0.255520759209639</v>
      </c>
      <c r="M1327" s="83" t="n">
        <f aca="false">IF(L1327&lt;(Inputs!$E$24-Inputs!$D$24)/(Inputs!$F$24-Inputs!$D$24),Inputs!$D$24+SQRT(L1327*(Inputs!$F$24-Inputs!$D$24)*(Inputs!$E$24-Inputs!$D$24)),Inputs!$F$24-SQRT((1-L1327)*(Inputs!$F$24-Inputs!$D$24)*(Inputs!$F$24-Inputs!$E$24)))</f>
        <v>0.77510708468008</v>
      </c>
      <c r="N1327" s="81" t="n">
        <f aca="true">RAND()</f>
        <v>0.119679121765546</v>
      </c>
      <c r="O1327" s="83" t="n">
        <f aca="false">IF(N1327&lt;(Inputs!$E$26-Inputs!$D$26)/(Inputs!$F$26-Inputs!$D$26),Inputs!$D$26+SQRT(N1327*(Inputs!$F$26-Inputs!$D$26)*(Inputs!$E$26-Inputs!$D$26)),Inputs!$F$26-SQRT((1-N1327)*(Inputs!$F$26-Inputs!$D$26)*(Inputs!$F$26-Inputs!$E$26)))</f>
        <v>0.441119119405511</v>
      </c>
      <c r="P1327" s="81" t="n">
        <f aca="true">RAND()</f>
        <v>0.680353332742947</v>
      </c>
      <c r="Q1327" s="82" t="n">
        <f aca="false">IF(P1327&lt;(Inputs!$E$27-Inputs!$D$27)/(Inputs!$F$27-Inputs!$D$27),Inputs!$D$27+SQRT(P1327*(Inputs!$F$27-Inputs!$D$27)*(Inputs!$E$27-Inputs!$D$27)),Inputs!$F$27-SQRT((1-P1327)*(Inputs!$F$27-Inputs!$D$27)*(Inputs!$F$27-Inputs!$E$27)))</f>
        <v>101.037259018434</v>
      </c>
      <c r="R1327" s="81" t="n">
        <f aca="true">RAND()</f>
        <v>0.0460785951981029</v>
      </c>
      <c r="S1327" s="82" t="n">
        <f aca="false">IF(R1327&lt;(Inputs!$E$29-Inputs!$D$29)/(Inputs!$F$29-Inputs!$D$29),Inputs!$D$29+SQRT(R1327*(Inputs!$F$29-Inputs!$D$29)*(Inputs!$E$29-Inputs!$D$29)),Inputs!$F$29-SQRT((1-R1327)*(Inputs!$F$29-Inputs!$D$29)*(Inputs!$F$29-Inputs!$E$29)))</f>
        <v>3.34054660968055</v>
      </c>
      <c r="T1327" s="68" t="n">
        <f aca="false">Inputs!$E$9*(1+E1327)+Inputs!$E$5*C1327*(Inputs!$E$11*Inputs!$E$14*(G1327*I1327/Inputs!$E$16+(1-G1327))*K1327+Inputs!$E$23*M1327)*(1+O1327)+Inputs!$E$5*(Q1327+S1327)</f>
        <v>6111.83686540512</v>
      </c>
    </row>
    <row r="1328" customFormat="false" ht="15" hidden="false" customHeight="false" outlineLevel="0" collapsed="false">
      <c r="A1328" s="1" t="n">
        <v>1324</v>
      </c>
      <c r="B1328" s="81" t="n">
        <f aca="true">RAND()</f>
        <v>0.335684335186985</v>
      </c>
      <c r="C1328" s="82" t="n">
        <f aca="false">ROUND(IF(B1328&lt;(Inputs!$E$8-Inputs!$D$8)/(Inputs!$F$8-Inputs!$D$8),Inputs!$D$8+SQRT(B1328*(Inputs!$F$8-Inputs!$D$8)*(Inputs!$E$8-Inputs!$D$8)),Inputs!$F$8-SQRT((1-B1328)*(Inputs!$F$8-Inputs!$D$8)*(Inputs!$F$8-Inputs!$E$8))),0)</f>
        <v>24</v>
      </c>
      <c r="D1328" s="81" t="n">
        <f aca="true">RAND()</f>
        <v>0.356120316471954</v>
      </c>
      <c r="E1328" s="83" t="n">
        <f aca="false">IF(D1328&lt;(Inputs!$E$10-Inputs!$D$10)/(Inputs!$F$10-Inputs!$D$10),Inputs!$D$10+SQRT(D1328*(Inputs!$F$10-Inputs!$D$10)*(Inputs!$E$10-Inputs!$D$10)),Inputs!$F$10-SQRT((1-D1328)*(Inputs!$F$10-Inputs!$D$10)*(Inputs!$F$10-Inputs!$E$10)))</f>
        <v>0.0610165819033027</v>
      </c>
      <c r="F1328" s="81" t="n">
        <f aca="true">RAND()</f>
        <v>0.417508810148594</v>
      </c>
      <c r="G1328" s="83" t="n">
        <f aca="false">IF(F1328&lt;(Inputs!$E$15-Inputs!$D$15)/(Inputs!$F$15-Inputs!$D$15),Inputs!$D$15+SQRT(F1328*(Inputs!$F$15-Inputs!$D$15)*(Inputs!$E$15-Inputs!$D$15)),Inputs!$F$15-SQRT((1-F1328)*(Inputs!$F$15-Inputs!$D$15)*(Inputs!$F$15-Inputs!$E$15)))</f>
        <v>0.691379298547165</v>
      </c>
      <c r="H1328" s="81" t="n">
        <f aca="true">RAND()</f>
        <v>0.191171147627852</v>
      </c>
      <c r="I1328" s="82" t="n">
        <f aca="false">ROUND(IF(H1328&lt;(Inputs!$E$17-Inputs!$D$17)/(Inputs!$F$17-Inputs!$D$17),Inputs!$D$17+SQRT(H1328*(Inputs!$F$17-Inputs!$D$17)*(Inputs!$E$17-Inputs!$D$17)),Inputs!$F$17-SQRT((1-H1328)*(Inputs!$F$17-Inputs!$D$17)*(Inputs!$F$17-Inputs!$E$17))),0)</f>
        <v>104</v>
      </c>
      <c r="J1328" s="81" t="n">
        <f aca="true">RAND()</f>
        <v>0.523495943182716</v>
      </c>
      <c r="K1328" s="83" t="n">
        <f aca="false">IF(J1328&lt;(Inputs!$E$18-Inputs!$D$18)/(Inputs!$F$18-Inputs!$D$18),Inputs!$D$18+SQRT(J1328*(Inputs!$F$18-Inputs!$D$18)*(Inputs!$E$18-Inputs!$D$18)),Inputs!$F$18-SQRT((1-J1328)*(Inputs!$F$18-Inputs!$D$18)*(Inputs!$F$18-Inputs!$E$18)))</f>
        <v>1.04580865598289</v>
      </c>
      <c r="L1328" s="81" t="n">
        <f aca="true">RAND()</f>
        <v>0.720627339492437</v>
      </c>
      <c r="M1328" s="83" t="n">
        <f aca="false">IF(L1328&lt;(Inputs!$E$24-Inputs!$D$24)/(Inputs!$F$24-Inputs!$D$24),Inputs!$D$24+SQRT(L1328*(Inputs!$F$24-Inputs!$D$24)*(Inputs!$E$24-Inputs!$D$24)),Inputs!$F$24-SQRT((1-L1328)*(Inputs!$F$24-Inputs!$D$24)*(Inputs!$F$24-Inputs!$E$24)))</f>
        <v>0.941060936663053</v>
      </c>
      <c r="N1328" s="81" t="n">
        <f aca="true">RAND()</f>
        <v>0.766417625387813</v>
      </c>
      <c r="O1328" s="83" t="n">
        <f aca="false">IF(N1328&lt;(Inputs!$E$26-Inputs!$D$26)/(Inputs!$F$26-Inputs!$D$26),Inputs!$D$26+SQRT(N1328*(Inputs!$F$26-Inputs!$D$26)*(Inputs!$E$26-Inputs!$D$26)),Inputs!$F$26-SQRT((1-N1328)*(Inputs!$F$26-Inputs!$D$26)*(Inputs!$F$26-Inputs!$E$26)))</f>
        <v>0.66413927063026</v>
      </c>
      <c r="P1328" s="81" t="n">
        <f aca="true">RAND()</f>
        <v>0.156989756009388</v>
      </c>
      <c r="Q1328" s="82" t="n">
        <f aca="false">IF(P1328&lt;(Inputs!$E$27-Inputs!$D$27)/(Inputs!$F$27-Inputs!$D$27),Inputs!$D$27+SQRT(P1328*(Inputs!$F$27-Inputs!$D$27)*(Inputs!$E$27-Inputs!$D$27)),Inputs!$F$27-SQRT((1-P1328)*(Inputs!$F$27-Inputs!$D$27)*(Inputs!$F$27-Inputs!$E$27)))</f>
        <v>69.8109664081152</v>
      </c>
      <c r="R1328" s="81" t="n">
        <f aca="true">RAND()</f>
        <v>0.408058211813658</v>
      </c>
      <c r="S1328" s="82" t="n">
        <f aca="false">IF(R1328&lt;(Inputs!$E$29-Inputs!$D$29)/(Inputs!$F$29-Inputs!$D$29),Inputs!$D$29+SQRT(R1328*(Inputs!$F$29-Inputs!$D$29)*(Inputs!$E$29-Inputs!$D$29)),Inputs!$F$29-SQRT((1-R1328)*(Inputs!$F$29-Inputs!$D$29)*(Inputs!$F$29-Inputs!$E$29)))</f>
        <v>6.22774644323225</v>
      </c>
      <c r="T1328" s="68" t="n">
        <f aca="false">Inputs!$E$9*(1+E1328)+Inputs!$E$5*C1328*(Inputs!$E$11*Inputs!$E$14*(G1328*I1328/Inputs!$E$16+(1-G1328))*K1328+Inputs!$E$23*M1328)*(1+O1328)+Inputs!$E$5*(Q1328+S1328)</f>
        <v>6297.38875977788</v>
      </c>
    </row>
    <row r="1329" customFormat="false" ht="15" hidden="false" customHeight="false" outlineLevel="0" collapsed="false">
      <c r="A1329" s="1" t="n">
        <v>1325</v>
      </c>
      <c r="B1329" s="81" t="n">
        <f aca="true">RAND()</f>
        <v>0.481898151841466</v>
      </c>
      <c r="C1329" s="82" t="n">
        <f aca="false">ROUND(IF(B1329&lt;(Inputs!$E$8-Inputs!$D$8)/(Inputs!$F$8-Inputs!$D$8),Inputs!$D$8+SQRT(B1329*(Inputs!$F$8-Inputs!$D$8)*(Inputs!$E$8-Inputs!$D$8)),Inputs!$F$8-SQRT((1-B1329)*(Inputs!$F$8-Inputs!$D$8)*(Inputs!$F$8-Inputs!$E$8))),0)</f>
        <v>25</v>
      </c>
      <c r="D1329" s="81" t="n">
        <f aca="true">RAND()</f>
        <v>0.112500352528332</v>
      </c>
      <c r="E1329" s="83" t="n">
        <f aca="false">IF(D1329&lt;(Inputs!$E$10-Inputs!$D$10)/(Inputs!$F$10-Inputs!$D$10),Inputs!$D$10+SQRT(D1329*(Inputs!$F$10-Inputs!$D$10)*(Inputs!$E$10-Inputs!$D$10)),Inputs!$F$10-SQRT((1-D1329)*(Inputs!$F$10-Inputs!$D$10)*(Inputs!$F$10-Inputs!$E$10)))</f>
        <v>0.0335410722142766</v>
      </c>
      <c r="F1329" s="81" t="n">
        <f aca="true">RAND()</f>
        <v>0.154908100604702</v>
      </c>
      <c r="G1329" s="83" t="n">
        <f aca="false">IF(F1329&lt;(Inputs!$E$15-Inputs!$D$15)/(Inputs!$F$15-Inputs!$D$15),Inputs!$D$15+SQRT(F1329*(Inputs!$F$15-Inputs!$D$15)*(Inputs!$E$15-Inputs!$D$15)),Inputs!$F$15-SQRT((1-F1329)*(Inputs!$F$15-Inputs!$D$15)*(Inputs!$F$15-Inputs!$E$15)))</f>
        <v>0.655661135562384</v>
      </c>
      <c r="H1329" s="81" t="n">
        <f aca="true">RAND()</f>
        <v>0.589790202830318</v>
      </c>
      <c r="I1329" s="82" t="n">
        <f aca="false">ROUND(IF(H1329&lt;(Inputs!$E$17-Inputs!$D$17)/(Inputs!$F$17-Inputs!$D$17),Inputs!$D$17+SQRT(H1329*(Inputs!$F$17-Inputs!$D$17)*(Inputs!$E$17-Inputs!$D$17)),Inputs!$F$17-SQRT((1-H1329)*(Inputs!$F$17-Inputs!$D$17)*(Inputs!$F$17-Inputs!$E$17))),0)</f>
        <v>107</v>
      </c>
      <c r="J1329" s="81" t="n">
        <f aca="true">RAND()</f>
        <v>0.999801639242823</v>
      </c>
      <c r="K1329" s="83" t="n">
        <f aca="false">IF(J1329&lt;(Inputs!$E$18-Inputs!$D$18)/(Inputs!$F$18-Inputs!$D$18),Inputs!$D$18+SQRT(J1329*(Inputs!$F$18-Inputs!$D$18)*(Inputs!$E$18-Inputs!$D$18)),Inputs!$F$18-SQRT((1-J1329)*(Inputs!$F$18-Inputs!$D$18)*(Inputs!$F$18-Inputs!$E$18)))</f>
        <v>1.24583387875201</v>
      </c>
      <c r="L1329" s="81" t="n">
        <f aca="true">RAND()</f>
        <v>0.10163535053904</v>
      </c>
      <c r="M1329" s="83" t="n">
        <f aca="false">IF(L1329&lt;(Inputs!$E$24-Inputs!$D$24)/(Inputs!$F$24-Inputs!$D$24),Inputs!$D$24+SQRT(L1329*(Inputs!$F$24-Inputs!$D$24)*(Inputs!$E$24-Inputs!$D$24)),Inputs!$F$24-SQRT((1-L1329)*(Inputs!$F$24-Inputs!$D$24)*(Inputs!$F$24-Inputs!$E$24)))</f>
        <v>0.710436597487811</v>
      </c>
      <c r="N1329" s="81" t="n">
        <f aca="true">RAND()</f>
        <v>0.664019389313657</v>
      </c>
      <c r="O1329" s="83" t="n">
        <f aca="false">IF(N1329&lt;(Inputs!$E$26-Inputs!$D$26)/(Inputs!$F$26-Inputs!$D$26),Inputs!$D$26+SQRT(N1329*(Inputs!$F$26-Inputs!$D$26)*(Inputs!$E$26-Inputs!$D$26)),Inputs!$F$26-SQRT((1-N1329)*(Inputs!$F$26-Inputs!$D$26)*(Inputs!$F$26-Inputs!$E$26)))</f>
        <v>0.633072250558191</v>
      </c>
      <c r="P1329" s="81" t="n">
        <f aca="true">RAND()</f>
        <v>0.894130680456715</v>
      </c>
      <c r="Q1329" s="82" t="n">
        <f aca="false">IF(P1329&lt;(Inputs!$E$27-Inputs!$D$27)/(Inputs!$F$27-Inputs!$D$27),Inputs!$D$27+SQRT(P1329*(Inputs!$F$27-Inputs!$D$27)*(Inputs!$E$27-Inputs!$D$27)),Inputs!$F$27-SQRT((1-P1329)*(Inputs!$F$27-Inputs!$D$27)*(Inputs!$F$27-Inputs!$E$27)))</f>
        <v>121.821641343495</v>
      </c>
      <c r="R1329" s="81" t="n">
        <f aca="true">RAND()</f>
        <v>0.190333039031998</v>
      </c>
      <c r="S1329" s="82" t="n">
        <f aca="false">IF(R1329&lt;(Inputs!$E$29-Inputs!$D$29)/(Inputs!$F$29-Inputs!$D$29),Inputs!$D$29+SQRT(R1329*(Inputs!$F$29-Inputs!$D$29)*(Inputs!$E$29-Inputs!$D$29)),Inputs!$F$29-SQRT((1-R1329)*(Inputs!$F$29-Inputs!$D$29)*(Inputs!$F$29-Inputs!$E$29)))</f>
        <v>4.724516199667</v>
      </c>
      <c r="T1329" s="68" t="n">
        <f aca="false">Inputs!$E$9*(1+E1329)+Inputs!$E$5*C1329*(Inputs!$E$11*Inputs!$E$14*(G1329*I1329/Inputs!$E$16+(1-G1329))*K1329+Inputs!$E$23*M1329)*(1+O1329)+Inputs!$E$5*(Q1329+S1329)</f>
        <v>6774.85272826244</v>
      </c>
    </row>
    <row r="1330" customFormat="false" ht="15" hidden="false" customHeight="false" outlineLevel="0" collapsed="false">
      <c r="A1330" s="1" t="n">
        <v>1326</v>
      </c>
      <c r="B1330" s="81" t="n">
        <f aca="true">RAND()</f>
        <v>0.18244947628074</v>
      </c>
      <c r="C1330" s="82" t="n">
        <f aca="false">ROUND(IF(B1330&lt;(Inputs!$E$8-Inputs!$D$8)/(Inputs!$F$8-Inputs!$D$8),Inputs!$D$8+SQRT(B1330*(Inputs!$F$8-Inputs!$D$8)*(Inputs!$E$8-Inputs!$D$8)),Inputs!$F$8-SQRT((1-B1330)*(Inputs!$F$8-Inputs!$D$8)*(Inputs!$F$8-Inputs!$E$8))),0)</f>
        <v>23</v>
      </c>
      <c r="D1330" s="81" t="n">
        <f aca="true">RAND()</f>
        <v>0.769886792062068</v>
      </c>
      <c r="E1330" s="83" t="n">
        <f aca="false">IF(D1330&lt;(Inputs!$E$10-Inputs!$D$10)/(Inputs!$F$10-Inputs!$D$10),Inputs!$D$10+SQRT(D1330*(Inputs!$F$10-Inputs!$D$10)*(Inputs!$E$10-Inputs!$D$10)),Inputs!$F$10-SQRT((1-D1330)*(Inputs!$F$10-Inputs!$D$10)*(Inputs!$F$10-Inputs!$E$10)))</f>
        <v>0.116913320934473</v>
      </c>
      <c r="F1330" s="81" t="n">
        <f aca="true">RAND()</f>
        <v>0.114630453928794</v>
      </c>
      <c r="G1330" s="83" t="n">
        <f aca="false">IF(F1330&lt;(Inputs!$E$15-Inputs!$D$15)/(Inputs!$F$15-Inputs!$D$15),Inputs!$D$15+SQRT(F1330*(Inputs!$F$15-Inputs!$D$15)*(Inputs!$E$15-Inputs!$D$15)),Inputs!$F$15-SQRT((1-F1330)*(Inputs!$F$15-Inputs!$D$15)*(Inputs!$F$15-Inputs!$E$15)))</f>
        <v>0.647881197547429</v>
      </c>
      <c r="H1330" s="81" t="n">
        <f aca="true">RAND()</f>
        <v>0.143653720799746</v>
      </c>
      <c r="I1330" s="82" t="n">
        <f aca="false">ROUND(IF(H1330&lt;(Inputs!$E$17-Inputs!$D$17)/(Inputs!$F$17-Inputs!$D$17),Inputs!$D$17+SQRT(H1330*(Inputs!$F$17-Inputs!$D$17)*(Inputs!$E$17-Inputs!$D$17)),Inputs!$F$17-SQRT((1-H1330)*(Inputs!$F$17-Inputs!$D$17)*(Inputs!$F$17-Inputs!$E$17))),0)</f>
        <v>103</v>
      </c>
      <c r="J1330" s="81" t="n">
        <f aca="true">RAND()</f>
        <v>0.00767347892868856</v>
      </c>
      <c r="K1330" s="83" t="n">
        <f aca="false">IF(J1330&lt;(Inputs!$E$18-Inputs!$D$18)/(Inputs!$F$18-Inputs!$D$18),Inputs!$D$18+SQRT(J1330*(Inputs!$F$18-Inputs!$D$18)*(Inputs!$E$18-Inputs!$D$18)),Inputs!$F$18-SQRT((1-J1330)*(Inputs!$F$18-Inputs!$D$18)*(Inputs!$F$18-Inputs!$E$18)))</f>
        <v>0.916388159216462</v>
      </c>
      <c r="L1330" s="81" t="n">
        <f aca="true">RAND()</f>
        <v>0.759853033292651</v>
      </c>
      <c r="M1330" s="83" t="n">
        <f aca="false">IF(L1330&lt;(Inputs!$E$24-Inputs!$D$24)/(Inputs!$F$24-Inputs!$D$24),Inputs!$D$24+SQRT(L1330*(Inputs!$F$24-Inputs!$D$24)*(Inputs!$E$24-Inputs!$D$24)),Inputs!$F$24-SQRT((1-L1330)*(Inputs!$F$24-Inputs!$D$24)*(Inputs!$F$24-Inputs!$E$24)))</f>
        <v>0.959926527892472</v>
      </c>
      <c r="N1330" s="81" t="n">
        <f aca="true">RAND()</f>
        <v>0.422327666152726</v>
      </c>
      <c r="O1330" s="83" t="n">
        <f aca="false">IF(N1330&lt;(Inputs!$E$26-Inputs!$D$26)/(Inputs!$F$26-Inputs!$D$26),Inputs!$D$26+SQRT(N1330*(Inputs!$F$26-Inputs!$D$26)*(Inputs!$E$26-Inputs!$D$26)),Inputs!$F$26-SQRT((1-N1330)*(Inputs!$F$26-Inputs!$D$26)*(Inputs!$F$26-Inputs!$E$26)))</f>
        <v>0.565094933274504</v>
      </c>
      <c r="P1330" s="81" t="n">
        <f aca="true">RAND()</f>
        <v>0.295712881138681</v>
      </c>
      <c r="Q1330" s="82" t="n">
        <f aca="false">IF(P1330&lt;(Inputs!$E$27-Inputs!$D$27)/(Inputs!$F$27-Inputs!$D$27),Inputs!$D$27+SQRT(P1330*(Inputs!$F$27-Inputs!$D$27)*(Inputs!$E$27-Inputs!$D$27)),Inputs!$F$27-SQRT((1-P1330)*(Inputs!$F$27-Inputs!$D$27)*(Inputs!$F$27-Inputs!$E$27)))</f>
        <v>77.3215754748365</v>
      </c>
      <c r="R1330" s="81" t="n">
        <f aca="true">RAND()</f>
        <v>0.780957648381567</v>
      </c>
      <c r="S1330" s="82" t="n">
        <f aca="false">IF(R1330&lt;(Inputs!$E$29-Inputs!$D$29)/(Inputs!$F$29-Inputs!$D$29),Inputs!$D$29+SQRT(R1330*(Inputs!$F$29-Inputs!$D$29)*(Inputs!$E$29-Inputs!$D$29)),Inputs!$F$29-SQRT((1-R1330)*(Inputs!$F$29-Inputs!$D$29)*(Inputs!$F$29-Inputs!$E$29)))</f>
        <v>9.66375546752247</v>
      </c>
      <c r="T1330" s="68" t="n">
        <f aca="false">Inputs!$E$9*(1+E1330)+Inputs!$E$5*C1330*(Inputs!$E$11*Inputs!$E$14*(G1330*I1330/Inputs!$E$16+(1-G1330))*K1330+Inputs!$E$23*M1330)*(1+O1330)+Inputs!$E$5*(Q1330+S1330)</f>
        <v>5934.96558657609</v>
      </c>
    </row>
    <row r="1331" customFormat="false" ht="15" hidden="false" customHeight="false" outlineLevel="0" collapsed="false">
      <c r="A1331" s="1" t="n">
        <v>1327</v>
      </c>
      <c r="B1331" s="81" t="n">
        <f aca="true">RAND()</f>
        <v>0.766249738338799</v>
      </c>
      <c r="C1331" s="82" t="n">
        <f aca="false">ROUND(IF(B1331&lt;(Inputs!$E$8-Inputs!$D$8)/(Inputs!$F$8-Inputs!$D$8),Inputs!$D$8+SQRT(B1331*(Inputs!$F$8-Inputs!$D$8)*(Inputs!$E$8-Inputs!$D$8)),Inputs!$F$8-SQRT((1-B1331)*(Inputs!$F$8-Inputs!$D$8)*(Inputs!$F$8-Inputs!$E$8))),0)</f>
        <v>27</v>
      </c>
      <c r="D1331" s="81" t="n">
        <f aca="true">RAND()</f>
        <v>0.989932404699787</v>
      </c>
      <c r="E1331" s="83" t="n">
        <f aca="false">IF(D1331&lt;(Inputs!$E$10-Inputs!$D$10)/(Inputs!$F$10-Inputs!$D$10),Inputs!$D$10+SQRT(D1331*(Inputs!$F$10-Inputs!$D$10)*(Inputs!$E$10-Inputs!$D$10)),Inputs!$F$10-SQRT((1-D1331)*(Inputs!$F$10-Inputs!$D$10)*(Inputs!$F$10-Inputs!$E$10)))</f>
        <v>0.182621051268664</v>
      </c>
      <c r="F1331" s="81" t="n">
        <f aca="true">RAND()</f>
        <v>0.640194571226709</v>
      </c>
      <c r="G1331" s="83" t="n">
        <f aca="false">IF(F1331&lt;(Inputs!$E$15-Inputs!$D$15)/(Inputs!$F$15-Inputs!$D$15),Inputs!$D$15+SQRT(F1331*(Inputs!$F$15-Inputs!$D$15)*(Inputs!$E$15-Inputs!$D$15)),Inputs!$F$15-SQRT((1-F1331)*(Inputs!$F$15-Inputs!$D$15)*(Inputs!$F$15-Inputs!$E$15)))</f>
        <v>0.715170119795759</v>
      </c>
      <c r="H1331" s="81" t="n">
        <f aca="true">RAND()</f>
        <v>0.197723166375706</v>
      </c>
      <c r="I1331" s="82" t="n">
        <f aca="false">ROUND(IF(H1331&lt;(Inputs!$E$17-Inputs!$D$17)/(Inputs!$F$17-Inputs!$D$17),Inputs!$D$17+SQRT(H1331*(Inputs!$F$17-Inputs!$D$17)*(Inputs!$E$17-Inputs!$D$17)),Inputs!$F$17-SQRT((1-H1331)*(Inputs!$F$17-Inputs!$D$17)*(Inputs!$F$17-Inputs!$E$17))),0)</f>
        <v>104</v>
      </c>
      <c r="J1331" s="81" t="n">
        <f aca="true">RAND()</f>
        <v>0.906299071691347</v>
      </c>
      <c r="K1331" s="83" t="n">
        <f aca="false">IF(J1331&lt;(Inputs!$E$18-Inputs!$D$18)/(Inputs!$F$18-Inputs!$D$18),Inputs!$D$18+SQRT(J1331*(Inputs!$F$18-Inputs!$D$18)*(Inputs!$E$18-Inputs!$D$18)),Inputs!$F$18-SQRT((1-J1331)*(Inputs!$F$18-Inputs!$D$18)*(Inputs!$F$18-Inputs!$E$18)))</f>
        <v>1.15945260231786</v>
      </c>
      <c r="L1331" s="81" t="n">
        <f aca="true">RAND()</f>
        <v>0.343011131088129</v>
      </c>
      <c r="M1331" s="83" t="n">
        <f aca="false">IF(L1331&lt;(Inputs!$E$24-Inputs!$D$24)/(Inputs!$F$24-Inputs!$D$24),Inputs!$D$24+SQRT(L1331*(Inputs!$F$24-Inputs!$D$24)*(Inputs!$E$24-Inputs!$D$24)),Inputs!$F$24-SQRT((1-L1331)*(Inputs!$F$24-Inputs!$D$24)*(Inputs!$F$24-Inputs!$E$24)))</f>
        <v>0.802913953230727</v>
      </c>
      <c r="N1331" s="81" t="n">
        <f aca="true">RAND()</f>
        <v>0.933735609973503</v>
      </c>
      <c r="O1331" s="83" t="n">
        <f aca="false">IF(N1331&lt;(Inputs!$E$26-Inputs!$D$26)/(Inputs!$F$26-Inputs!$D$26),Inputs!$D$26+SQRT(N1331*(Inputs!$F$26-Inputs!$D$26)*(Inputs!$E$26-Inputs!$D$26)),Inputs!$F$26-SQRT((1-N1331)*(Inputs!$F$26-Inputs!$D$26)*(Inputs!$F$26-Inputs!$E$26)))</f>
        <v>0.736984961827656</v>
      </c>
      <c r="P1331" s="81" t="n">
        <f aca="true">RAND()</f>
        <v>0.316478659834456</v>
      </c>
      <c r="Q1331" s="82" t="n">
        <f aca="false">IF(P1331&lt;(Inputs!$E$27-Inputs!$D$27)/(Inputs!$F$27-Inputs!$D$27),Inputs!$D$27+SQRT(P1331*(Inputs!$F$27-Inputs!$D$27)*(Inputs!$E$27-Inputs!$D$27)),Inputs!$F$27-SQRT((1-P1331)*(Inputs!$F$27-Inputs!$D$27)*(Inputs!$F$27-Inputs!$E$27)))</f>
        <v>78.4010471358583</v>
      </c>
      <c r="R1331" s="81" t="n">
        <f aca="true">RAND()</f>
        <v>0.32395093559124</v>
      </c>
      <c r="S1331" s="82" t="n">
        <f aca="false">IF(R1331&lt;(Inputs!$E$29-Inputs!$D$29)/(Inputs!$F$29-Inputs!$D$29),Inputs!$D$29+SQRT(R1331*(Inputs!$F$29-Inputs!$D$29)*(Inputs!$E$29-Inputs!$D$29)),Inputs!$F$29-SQRT((1-R1331)*(Inputs!$F$29-Inputs!$D$29)*(Inputs!$F$29-Inputs!$E$29)))</f>
        <v>5.6252264895018</v>
      </c>
      <c r="T1331" s="68" t="n">
        <f aca="false">Inputs!$E$9*(1+E1331)+Inputs!$E$5*C1331*(Inputs!$E$11*Inputs!$E$14*(G1331*I1331/Inputs!$E$16+(1-G1331))*K1331+Inputs!$E$23*M1331)*(1+O1331)+Inputs!$E$5*(Q1331+S1331)</f>
        <v>7240.77351044685</v>
      </c>
    </row>
    <row r="1332" customFormat="false" ht="15" hidden="false" customHeight="false" outlineLevel="0" collapsed="false">
      <c r="A1332" s="1" t="n">
        <v>1328</v>
      </c>
      <c r="B1332" s="81" t="n">
        <f aca="true">RAND()</f>
        <v>0.335659495576472</v>
      </c>
      <c r="C1332" s="82" t="n">
        <f aca="false">ROUND(IF(B1332&lt;(Inputs!$E$8-Inputs!$D$8)/(Inputs!$F$8-Inputs!$D$8),Inputs!$D$8+SQRT(B1332*(Inputs!$F$8-Inputs!$D$8)*(Inputs!$E$8-Inputs!$D$8)),Inputs!$F$8-SQRT((1-B1332)*(Inputs!$F$8-Inputs!$D$8)*(Inputs!$F$8-Inputs!$E$8))),0)</f>
        <v>24</v>
      </c>
      <c r="D1332" s="81" t="n">
        <f aca="true">RAND()</f>
        <v>0.618074713608005</v>
      </c>
      <c r="E1332" s="83" t="n">
        <f aca="false">IF(D1332&lt;(Inputs!$E$10-Inputs!$D$10)/(Inputs!$F$10-Inputs!$D$10),Inputs!$D$10+SQRT(D1332*(Inputs!$F$10-Inputs!$D$10)*(Inputs!$E$10-Inputs!$D$10)),Inputs!$F$10-SQRT((1-D1332)*(Inputs!$F$10-Inputs!$D$10)*(Inputs!$F$10-Inputs!$E$10)))</f>
        <v>0.0929590798257048</v>
      </c>
      <c r="F1332" s="81" t="n">
        <f aca="true">RAND()</f>
        <v>0.385779986548372</v>
      </c>
      <c r="G1332" s="83" t="n">
        <f aca="false">IF(F1332&lt;(Inputs!$E$15-Inputs!$D$15)/(Inputs!$F$15-Inputs!$D$15),Inputs!$D$15+SQRT(F1332*(Inputs!$F$15-Inputs!$D$15)*(Inputs!$E$15-Inputs!$D$15)),Inputs!$F$15-SQRT((1-F1332)*(Inputs!$F$15-Inputs!$D$15)*(Inputs!$F$15-Inputs!$E$15)))</f>
        <v>0.687838486615876</v>
      </c>
      <c r="H1332" s="81" t="n">
        <f aca="true">RAND()</f>
        <v>0.233051799398666</v>
      </c>
      <c r="I1332" s="82" t="n">
        <f aca="false">ROUND(IF(H1332&lt;(Inputs!$E$17-Inputs!$D$17)/(Inputs!$F$17-Inputs!$D$17),Inputs!$D$17+SQRT(H1332*(Inputs!$F$17-Inputs!$D$17)*(Inputs!$E$17-Inputs!$D$17)),Inputs!$F$17-SQRT((1-H1332)*(Inputs!$F$17-Inputs!$D$17)*(Inputs!$F$17-Inputs!$E$17))),0)</f>
        <v>104</v>
      </c>
      <c r="J1332" s="81" t="n">
        <f aca="true">RAND()</f>
        <v>0.0302476394018125</v>
      </c>
      <c r="K1332" s="83" t="n">
        <f aca="false">IF(J1332&lt;(Inputs!$E$18-Inputs!$D$18)/(Inputs!$F$18-Inputs!$D$18),Inputs!$D$18+SQRT(J1332*(Inputs!$F$18-Inputs!$D$18)*(Inputs!$E$18-Inputs!$D$18)),Inputs!$F$18-SQRT((1-J1332)*(Inputs!$F$18-Inputs!$D$18)*(Inputs!$F$18-Inputs!$E$18)))</f>
        <v>0.932537169192532</v>
      </c>
      <c r="L1332" s="81" t="n">
        <f aca="true">RAND()</f>
        <v>0.0243401604707273</v>
      </c>
      <c r="M1332" s="83" t="n">
        <f aca="false">IF(L1332&lt;(Inputs!$E$24-Inputs!$D$24)/(Inputs!$F$24-Inputs!$D$24),Inputs!$D$24+SQRT(L1332*(Inputs!$F$24-Inputs!$D$24)*(Inputs!$E$24-Inputs!$D$24)),Inputs!$F$24-SQRT((1-L1332)*(Inputs!$F$24-Inputs!$D$24)*(Inputs!$F$24-Inputs!$E$24)))</f>
        <v>0.654044604323533</v>
      </c>
      <c r="N1332" s="81" t="n">
        <f aca="true">RAND()</f>
        <v>0.863634625544405</v>
      </c>
      <c r="O1332" s="83" t="n">
        <f aca="false">IF(N1332&lt;(Inputs!$E$26-Inputs!$D$26)/(Inputs!$F$26-Inputs!$D$26),Inputs!$D$26+SQRT(N1332*(Inputs!$F$26-Inputs!$D$26)*(Inputs!$E$26-Inputs!$D$26)),Inputs!$F$26-SQRT((1-N1332)*(Inputs!$F$26-Inputs!$D$26)*(Inputs!$F$26-Inputs!$E$26)))</f>
        <v>0.700911801829981</v>
      </c>
      <c r="P1332" s="81" t="n">
        <f aca="true">RAND()</f>
        <v>0.360412236685069</v>
      </c>
      <c r="Q1332" s="82" t="n">
        <f aca="false">IF(P1332&lt;(Inputs!$E$27-Inputs!$D$27)/(Inputs!$F$27-Inputs!$D$27),Inputs!$D$27+SQRT(P1332*(Inputs!$F$27-Inputs!$D$27)*(Inputs!$E$27-Inputs!$D$27)),Inputs!$F$27-SQRT((1-P1332)*(Inputs!$F$27-Inputs!$D$27)*(Inputs!$F$27-Inputs!$E$27)))</f>
        <v>80.7402842565609</v>
      </c>
      <c r="R1332" s="81" t="n">
        <f aca="true">RAND()</f>
        <v>0.0296405980039991</v>
      </c>
      <c r="S1332" s="82" t="n">
        <f aca="false">IF(R1332&lt;(Inputs!$E$29-Inputs!$D$29)/(Inputs!$F$29-Inputs!$D$29),Inputs!$D$29+SQRT(R1332*(Inputs!$F$29-Inputs!$D$29)*(Inputs!$E$29-Inputs!$D$29)),Inputs!$F$29-SQRT((1-R1332)*(Inputs!$F$29-Inputs!$D$29)*(Inputs!$F$29-Inputs!$E$29)))</f>
        <v>3.0751666485508</v>
      </c>
      <c r="T1332" s="68" t="n">
        <f aca="false">Inputs!$E$9*(1+E1332)+Inputs!$E$5*C1332*(Inputs!$E$11*Inputs!$E$14*(G1332*I1332/Inputs!$E$16+(1-G1332))*K1332+Inputs!$E$23*M1332)*(1+O1332)+Inputs!$E$5*(Q1332+S1332)</f>
        <v>5824.24537272789</v>
      </c>
    </row>
    <row r="1333" customFormat="false" ht="15" hidden="false" customHeight="false" outlineLevel="0" collapsed="false">
      <c r="A1333" s="1" t="n">
        <v>1329</v>
      </c>
      <c r="B1333" s="81" t="n">
        <f aca="true">RAND()</f>
        <v>0.585132576259362</v>
      </c>
      <c r="C1333" s="82" t="n">
        <f aca="false">ROUND(IF(B1333&lt;(Inputs!$E$8-Inputs!$D$8)/(Inputs!$F$8-Inputs!$D$8),Inputs!$D$8+SQRT(B1333*(Inputs!$F$8-Inputs!$D$8)*(Inputs!$E$8-Inputs!$D$8)),Inputs!$F$8-SQRT((1-B1333)*(Inputs!$F$8-Inputs!$D$8)*(Inputs!$F$8-Inputs!$E$8))),0)</f>
        <v>25</v>
      </c>
      <c r="D1333" s="81" t="n">
        <f aca="true">RAND()</f>
        <v>0.93780758761064</v>
      </c>
      <c r="E1333" s="83" t="n">
        <f aca="false">IF(D1333&lt;(Inputs!$E$10-Inputs!$D$10)/(Inputs!$F$10-Inputs!$D$10),Inputs!$D$10+SQRT(D1333*(Inputs!$F$10-Inputs!$D$10)*(Inputs!$E$10-Inputs!$D$10)),Inputs!$F$10-SQRT((1-D1333)*(Inputs!$F$10-Inputs!$D$10)*(Inputs!$F$10-Inputs!$E$10)))</f>
        <v>0.156805412703896</v>
      </c>
      <c r="F1333" s="81" t="n">
        <f aca="true">RAND()</f>
        <v>0.398701156760823</v>
      </c>
      <c r="G1333" s="83" t="n">
        <f aca="false">IF(F1333&lt;(Inputs!$E$15-Inputs!$D$15)/(Inputs!$F$15-Inputs!$D$15),Inputs!$D$15+SQRT(F1333*(Inputs!$F$15-Inputs!$D$15)*(Inputs!$E$15-Inputs!$D$15)),Inputs!$F$15-SQRT((1-F1333)*(Inputs!$F$15-Inputs!$D$15)*(Inputs!$F$15-Inputs!$E$15)))</f>
        <v>0.689297385937196</v>
      </c>
      <c r="H1333" s="81" t="n">
        <f aca="true">RAND()</f>
        <v>0.849943951988249</v>
      </c>
      <c r="I1333" s="82" t="n">
        <f aca="false">ROUND(IF(H1333&lt;(Inputs!$E$17-Inputs!$D$17)/(Inputs!$F$17-Inputs!$D$17),Inputs!$D$17+SQRT(H1333*(Inputs!$F$17-Inputs!$D$17)*(Inputs!$E$17-Inputs!$D$17)),Inputs!$F$17-SQRT((1-H1333)*(Inputs!$F$17-Inputs!$D$17)*(Inputs!$F$17-Inputs!$E$17))),0)</f>
        <v>110</v>
      </c>
      <c r="J1333" s="81" t="n">
        <f aca="true">RAND()</f>
        <v>0.789628372334465</v>
      </c>
      <c r="K1333" s="83" t="n">
        <f aca="false">IF(J1333&lt;(Inputs!$E$18-Inputs!$D$18)/(Inputs!$F$18-Inputs!$D$18),Inputs!$D$18+SQRT(J1333*(Inputs!$F$18-Inputs!$D$18)*(Inputs!$E$18-Inputs!$D$18)),Inputs!$F$18-SQRT((1-J1333)*(Inputs!$F$18-Inputs!$D$18)*(Inputs!$F$18-Inputs!$E$18)))</f>
        <v>1.11432569358668</v>
      </c>
      <c r="L1333" s="81" t="n">
        <f aca="true">RAND()</f>
        <v>0.774325391442149</v>
      </c>
      <c r="M1333" s="83" t="n">
        <f aca="false">IF(L1333&lt;(Inputs!$E$24-Inputs!$D$24)/(Inputs!$F$24-Inputs!$D$24),Inputs!$D$24+SQRT(L1333*(Inputs!$F$24-Inputs!$D$24)*(Inputs!$E$24-Inputs!$D$24)),Inputs!$F$24-SQRT((1-L1333)*(Inputs!$F$24-Inputs!$D$24)*(Inputs!$F$24-Inputs!$E$24)))</f>
        <v>0.967272893598781</v>
      </c>
      <c r="N1333" s="81" t="n">
        <f aca="true">RAND()</f>
        <v>0.139308887747246</v>
      </c>
      <c r="O1333" s="83" t="n">
        <f aca="false">IF(N1333&lt;(Inputs!$E$26-Inputs!$D$26)/(Inputs!$F$26-Inputs!$D$26),Inputs!$D$26+SQRT(N1333*(Inputs!$F$26-Inputs!$D$26)*(Inputs!$E$26-Inputs!$D$26)),Inputs!$F$26-SQRT((1-N1333)*(Inputs!$F$26-Inputs!$D$26)*(Inputs!$F$26-Inputs!$E$26)))</f>
        <v>0.452253075243627</v>
      </c>
      <c r="P1333" s="81" t="n">
        <f aca="true">RAND()</f>
        <v>0.91296808374119</v>
      </c>
      <c r="Q1333" s="82" t="n">
        <f aca="false">IF(P1333&lt;(Inputs!$E$27-Inputs!$D$27)/(Inputs!$F$27-Inputs!$D$27),Inputs!$D$27+SQRT(P1333*(Inputs!$F$27-Inputs!$D$27)*(Inputs!$E$27-Inputs!$D$27)),Inputs!$F$27-SQRT((1-P1333)*(Inputs!$F$27-Inputs!$D$27)*(Inputs!$F$27-Inputs!$E$27)))</f>
        <v>124.451235412626</v>
      </c>
      <c r="R1333" s="81" t="n">
        <f aca="true">RAND()</f>
        <v>0.271459501595381</v>
      </c>
      <c r="S1333" s="82" t="n">
        <f aca="false">IF(R1333&lt;(Inputs!$E$29-Inputs!$D$29)/(Inputs!$F$29-Inputs!$D$29),Inputs!$D$29+SQRT(R1333*(Inputs!$F$29-Inputs!$D$29)*(Inputs!$E$29-Inputs!$D$29)),Inputs!$F$29-SQRT((1-R1333)*(Inputs!$F$29-Inputs!$D$29)*(Inputs!$F$29-Inputs!$E$29)))</f>
        <v>5.26808010757381</v>
      </c>
      <c r="T1333" s="68" t="n">
        <f aca="false">Inputs!$E$9*(1+E1333)+Inputs!$E$5*C1333*(Inputs!$E$11*Inputs!$E$14*(G1333*I1333/Inputs!$E$16+(1-G1333))*K1333+Inputs!$E$23*M1333)*(1+O1333)+Inputs!$E$5*(Q1333+S1333)</f>
        <v>6690.61463245402</v>
      </c>
    </row>
    <row r="1334" customFormat="false" ht="15" hidden="false" customHeight="false" outlineLevel="0" collapsed="false">
      <c r="A1334" s="1" t="n">
        <v>1330</v>
      </c>
      <c r="B1334" s="81" t="n">
        <f aca="true">RAND()</f>
        <v>0.276750361371985</v>
      </c>
      <c r="C1334" s="82" t="n">
        <f aca="false">ROUND(IF(B1334&lt;(Inputs!$E$8-Inputs!$D$8)/(Inputs!$F$8-Inputs!$D$8),Inputs!$D$8+SQRT(B1334*(Inputs!$F$8-Inputs!$D$8)*(Inputs!$E$8-Inputs!$D$8)),Inputs!$F$8-SQRT((1-B1334)*(Inputs!$F$8-Inputs!$D$8)*(Inputs!$F$8-Inputs!$E$8))),0)</f>
        <v>24</v>
      </c>
      <c r="D1334" s="81" t="n">
        <f aca="true">RAND()</f>
        <v>0.639113619543839</v>
      </c>
      <c r="E1334" s="83" t="n">
        <f aca="false">IF(D1334&lt;(Inputs!$E$10-Inputs!$D$10)/(Inputs!$F$10-Inputs!$D$10),Inputs!$D$10+SQRT(D1334*(Inputs!$F$10-Inputs!$D$10)*(Inputs!$E$10-Inputs!$D$10)),Inputs!$F$10-SQRT((1-D1334)*(Inputs!$F$10-Inputs!$D$10)*(Inputs!$F$10-Inputs!$E$10)))</f>
        <v>0.0959490922015343</v>
      </c>
      <c r="F1334" s="81" t="n">
        <f aca="true">RAND()</f>
        <v>0.369967286119274</v>
      </c>
      <c r="G1334" s="83" t="n">
        <f aca="false">IF(F1334&lt;(Inputs!$E$15-Inputs!$D$15)/(Inputs!$F$15-Inputs!$D$15),Inputs!$D$15+SQRT(F1334*(Inputs!$F$15-Inputs!$D$15)*(Inputs!$E$15-Inputs!$D$15)),Inputs!$F$15-SQRT((1-F1334)*(Inputs!$F$15-Inputs!$D$15)*(Inputs!$F$15-Inputs!$E$15)))</f>
        <v>0.686019449674975</v>
      </c>
      <c r="H1334" s="81" t="n">
        <f aca="true">RAND()</f>
        <v>0.207001696639885</v>
      </c>
      <c r="I1334" s="82" t="n">
        <f aca="false">ROUND(IF(H1334&lt;(Inputs!$E$17-Inputs!$D$17)/(Inputs!$F$17-Inputs!$D$17),Inputs!$D$17+SQRT(H1334*(Inputs!$F$17-Inputs!$D$17)*(Inputs!$E$17-Inputs!$D$17)),Inputs!$F$17-SQRT((1-H1334)*(Inputs!$F$17-Inputs!$D$17)*(Inputs!$F$17-Inputs!$E$17))),0)</f>
        <v>104</v>
      </c>
      <c r="J1334" s="81" t="n">
        <f aca="true">RAND()</f>
        <v>0.806149902826049</v>
      </c>
      <c r="K1334" s="83" t="n">
        <f aca="false">IF(J1334&lt;(Inputs!$E$18-Inputs!$D$18)/(Inputs!$F$18-Inputs!$D$18),Inputs!$D$18+SQRT(J1334*(Inputs!$F$18-Inputs!$D$18)*(Inputs!$E$18-Inputs!$D$18)),Inputs!$F$18-SQRT((1-J1334)*(Inputs!$F$18-Inputs!$D$18)*(Inputs!$F$18-Inputs!$E$18)))</f>
        <v>1.11976220401619</v>
      </c>
      <c r="L1334" s="81" t="n">
        <f aca="true">RAND()</f>
        <v>0.748887692305002</v>
      </c>
      <c r="M1334" s="83" t="n">
        <f aca="false">IF(L1334&lt;(Inputs!$E$24-Inputs!$D$24)/(Inputs!$F$24-Inputs!$D$24),Inputs!$D$24+SQRT(L1334*(Inputs!$F$24-Inputs!$D$24)*(Inputs!$E$24-Inputs!$D$24)),Inputs!$F$24-SQRT((1-L1334)*(Inputs!$F$24-Inputs!$D$24)*(Inputs!$F$24-Inputs!$E$24)))</f>
        <v>0.954506713234761</v>
      </c>
      <c r="N1334" s="81" t="n">
        <f aca="true">RAND()</f>
        <v>0.411481218960106</v>
      </c>
      <c r="O1334" s="83" t="n">
        <f aca="false">IF(N1334&lt;(Inputs!$E$26-Inputs!$D$26)/(Inputs!$F$26-Inputs!$D$26),Inputs!$D$26+SQRT(N1334*(Inputs!$F$26-Inputs!$D$26)*(Inputs!$E$26-Inputs!$D$26)),Inputs!$F$26-SQRT((1-N1334)*(Inputs!$F$26-Inputs!$D$26)*(Inputs!$F$26-Inputs!$E$26)))</f>
        <v>0.561668635558337</v>
      </c>
      <c r="P1334" s="81" t="n">
        <f aca="true">RAND()</f>
        <v>0.993811013634405</v>
      </c>
      <c r="Q1334" s="82" t="n">
        <f aca="false">IF(P1334&lt;(Inputs!$E$27-Inputs!$D$27)/(Inputs!$F$27-Inputs!$D$27),Inputs!$D$27+SQRT(P1334*(Inputs!$F$27-Inputs!$D$27)*(Inputs!$E$27-Inputs!$D$27)),Inputs!$F$27-SQRT((1-P1334)*(Inputs!$F$27-Inputs!$D$27)*(Inputs!$F$27-Inputs!$E$27)))</f>
        <v>143.186968535082</v>
      </c>
      <c r="R1334" s="81" t="n">
        <f aca="true">RAND()</f>
        <v>0.54565010163615</v>
      </c>
      <c r="S1334" s="82" t="n">
        <f aca="false">IF(R1334&lt;(Inputs!$E$29-Inputs!$D$29)/(Inputs!$F$29-Inputs!$D$29),Inputs!$D$29+SQRT(R1334*(Inputs!$F$29-Inputs!$D$29)*(Inputs!$E$29-Inputs!$D$29)),Inputs!$F$29-SQRT((1-R1334)*(Inputs!$F$29-Inputs!$D$29)*(Inputs!$F$29-Inputs!$E$29)))</f>
        <v>7.31459260759063</v>
      </c>
      <c r="T1334" s="68" t="n">
        <f aca="false">Inputs!$E$9*(1+E1334)+Inputs!$E$5*C1334*(Inputs!$E$11*Inputs!$E$14*(G1334*I1334/Inputs!$E$16+(1-G1334))*K1334+Inputs!$E$23*M1334)*(1+O1334)+Inputs!$E$5*(Q1334+S1334)</f>
        <v>6700.32687907749</v>
      </c>
    </row>
    <row r="1335" customFormat="false" ht="15" hidden="false" customHeight="false" outlineLevel="0" collapsed="false">
      <c r="A1335" s="1" t="n">
        <v>1331</v>
      </c>
      <c r="B1335" s="81" t="n">
        <f aca="true">RAND()</f>
        <v>0.12977166572161</v>
      </c>
      <c r="C1335" s="82" t="n">
        <f aca="false">ROUND(IF(B1335&lt;(Inputs!$E$8-Inputs!$D$8)/(Inputs!$F$8-Inputs!$D$8),Inputs!$D$8+SQRT(B1335*(Inputs!$F$8-Inputs!$D$8)*(Inputs!$E$8-Inputs!$D$8)),Inputs!$F$8-SQRT((1-B1335)*(Inputs!$F$8-Inputs!$D$8)*(Inputs!$F$8-Inputs!$E$8))),0)</f>
        <v>23</v>
      </c>
      <c r="D1335" s="81" t="n">
        <f aca="true">RAND()</f>
        <v>0.261115904456755</v>
      </c>
      <c r="E1335" s="83" t="n">
        <f aca="false">IF(D1335&lt;(Inputs!$E$10-Inputs!$D$10)/(Inputs!$F$10-Inputs!$D$10),Inputs!$D$10+SQRT(D1335*(Inputs!$F$10-Inputs!$D$10)*(Inputs!$E$10-Inputs!$D$10)),Inputs!$F$10-SQRT((1-D1335)*(Inputs!$F$10-Inputs!$D$10)*(Inputs!$F$10-Inputs!$E$10)))</f>
        <v>0.0511157400317369</v>
      </c>
      <c r="F1335" s="81" t="n">
        <f aca="true">RAND()</f>
        <v>0.769168298634779</v>
      </c>
      <c r="G1335" s="83" t="n">
        <f aca="false">IF(F1335&lt;(Inputs!$E$15-Inputs!$D$15)/(Inputs!$F$15-Inputs!$D$15),Inputs!$D$15+SQRT(F1335*(Inputs!$F$15-Inputs!$D$15)*(Inputs!$E$15-Inputs!$D$15)),Inputs!$F$15-SQRT((1-F1335)*(Inputs!$F$15-Inputs!$D$15)*(Inputs!$F$15-Inputs!$E$15)))</f>
        <v>0.732054183150805</v>
      </c>
      <c r="H1335" s="81" t="n">
        <f aca="true">RAND()</f>
        <v>0.854673075341035</v>
      </c>
      <c r="I1335" s="82" t="n">
        <f aca="false">ROUND(IF(H1335&lt;(Inputs!$E$17-Inputs!$D$17)/(Inputs!$F$17-Inputs!$D$17),Inputs!$D$17+SQRT(H1335*(Inputs!$F$17-Inputs!$D$17)*(Inputs!$E$17-Inputs!$D$17)),Inputs!$F$17-SQRT((1-H1335)*(Inputs!$F$17-Inputs!$D$17)*(Inputs!$F$17-Inputs!$E$17))),0)</f>
        <v>110</v>
      </c>
      <c r="J1335" s="81" t="n">
        <f aca="true">RAND()</f>
        <v>0.308850352961426</v>
      </c>
      <c r="K1335" s="83" t="n">
        <f aca="false">IF(J1335&lt;(Inputs!$E$18-Inputs!$D$18)/(Inputs!$F$18-Inputs!$D$18),Inputs!$D$18+SQRT(J1335*(Inputs!$F$18-Inputs!$D$18)*(Inputs!$E$18-Inputs!$D$18)),Inputs!$F$18-SQRT((1-J1335)*(Inputs!$F$18-Inputs!$D$18)*(Inputs!$F$18-Inputs!$E$18)))</f>
        <v>1.00408213949395</v>
      </c>
      <c r="L1335" s="81" t="n">
        <f aca="true">RAND()</f>
        <v>0.771660439196343</v>
      </c>
      <c r="M1335" s="83" t="n">
        <f aca="false">IF(L1335&lt;(Inputs!$E$24-Inputs!$D$24)/(Inputs!$F$24-Inputs!$D$24),Inputs!$D$24+SQRT(L1335*(Inputs!$F$24-Inputs!$D$24)*(Inputs!$E$24-Inputs!$D$24)),Inputs!$F$24-SQRT((1-L1335)*(Inputs!$F$24-Inputs!$D$24)*(Inputs!$F$24-Inputs!$E$24)))</f>
        <v>0.965902809515198</v>
      </c>
      <c r="N1335" s="81" t="n">
        <f aca="true">RAND()</f>
        <v>0.0583261088727258</v>
      </c>
      <c r="O1335" s="83" t="n">
        <f aca="false">IF(N1335&lt;(Inputs!$E$26-Inputs!$D$26)/(Inputs!$F$26-Inputs!$D$26),Inputs!$D$26+SQRT(N1335*(Inputs!$F$26-Inputs!$D$26)*(Inputs!$E$26-Inputs!$D$26)),Inputs!$F$26-SQRT((1-N1335)*(Inputs!$F$26-Inputs!$D$26)*(Inputs!$F$26-Inputs!$E$26)))</f>
        <v>0.398516315990914</v>
      </c>
      <c r="P1335" s="81" t="n">
        <f aca="true">RAND()</f>
        <v>0.807240340200008</v>
      </c>
      <c r="Q1335" s="82" t="n">
        <f aca="false">IF(P1335&lt;(Inputs!$E$27-Inputs!$D$27)/(Inputs!$F$27-Inputs!$D$27),Inputs!$D$27+SQRT(P1335*(Inputs!$F$27-Inputs!$D$27)*(Inputs!$E$27-Inputs!$D$27)),Inputs!$F$27-SQRT((1-P1335)*(Inputs!$F$27-Inputs!$D$27)*(Inputs!$F$27-Inputs!$E$27)))</f>
        <v>111.977671711218</v>
      </c>
      <c r="R1335" s="81" t="n">
        <f aca="true">RAND()</f>
        <v>0.0366408611621549</v>
      </c>
      <c r="S1335" s="82" t="n">
        <f aca="false">IF(R1335&lt;(Inputs!$E$29-Inputs!$D$29)/(Inputs!$F$29-Inputs!$D$29),Inputs!$D$29+SQRT(R1335*(Inputs!$F$29-Inputs!$D$29)*(Inputs!$E$29-Inputs!$D$29)),Inputs!$F$29-SQRT((1-R1335)*(Inputs!$F$29-Inputs!$D$29)*(Inputs!$F$29-Inputs!$E$29)))</f>
        <v>3.19540519712943</v>
      </c>
      <c r="T1335" s="68" t="n">
        <f aca="false">Inputs!$E$9*(1+E1335)+Inputs!$E$5*C1335*(Inputs!$E$11*Inputs!$E$14*(G1335*I1335/Inputs!$E$16+(1-G1335))*K1335+Inputs!$E$23*M1335)*(1+O1335)+Inputs!$E$5*(Q1335+S1335)</f>
        <v>5745.0921227535</v>
      </c>
    </row>
    <row r="1336" customFormat="false" ht="15" hidden="false" customHeight="false" outlineLevel="0" collapsed="false">
      <c r="A1336" s="1" t="n">
        <v>1332</v>
      </c>
      <c r="B1336" s="81" t="n">
        <f aca="true">RAND()</f>
        <v>0.681503467167768</v>
      </c>
      <c r="C1336" s="82" t="n">
        <f aca="false">ROUND(IF(B1336&lt;(Inputs!$E$8-Inputs!$D$8)/(Inputs!$F$8-Inputs!$D$8),Inputs!$D$8+SQRT(B1336*(Inputs!$F$8-Inputs!$D$8)*(Inputs!$E$8-Inputs!$D$8)),Inputs!$F$8-SQRT((1-B1336)*(Inputs!$F$8-Inputs!$D$8)*(Inputs!$F$8-Inputs!$E$8))),0)</f>
        <v>26</v>
      </c>
      <c r="D1336" s="81" t="n">
        <f aca="true">RAND()</f>
        <v>0.284138968823829</v>
      </c>
      <c r="E1336" s="83" t="n">
        <f aca="false">IF(D1336&lt;(Inputs!$E$10-Inputs!$D$10)/(Inputs!$F$10-Inputs!$D$10),Inputs!$D$10+SQRT(D1336*(Inputs!$F$10-Inputs!$D$10)*(Inputs!$E$10-Inputs!$D$10)),Inputs!$F$10-SQRT((1-D1336)*(Inputs!$F$10-Inputs!$D$10)*(Inputs!$F$10-Inputs!$E$10)))</f>
        <v>0.0534536560152894</v>
      </c>
      <c r="F1336" s="81" t="n">
        <f aca="true">RAND()</f>
        <v>0.0687488009999134</v>
      </c>
      <c r="G1336" s="83" t="n">
        <f aca="false">IF(F1336&lt;(Inputs!$E$15-Inputs!$D$15)/(Inputs!$F$15-Inputs!$D$15),Inputs!$D$15+SQRT(F1336*(Inputs!$F$15-Inputs!$D$15)*(Inputs!$E$15-Inputs!$D$15)),Inputs!$F$15-SQRT((1-F1336)*(Inputs!$F$15-Inputs!$D$15)*(Inputs!$F$15-Inputs!$E$15)))</f>
        <v>0.637080669087791</v>
      </c>
      <c r="H1336" s="81" t="n">
        <f aca="true">RAND()</f>
        <v>0.692548406673827</v>
      </c>
      <c r="I1336" s="82" t="n">
        <f aca="false">ROUND(IF(H1336&lt;(Inputs!$E$17-Inputs!$D$17)/(Inputs!$F$17-Inputs!$D$17),Inputs!$D$17+SQRT(H1336*(Inputs!$F$17-Inputs!$D$17)*(Inputs!$E$17-Inputs!$D$17)),Inputs!$F$17-SQRT((1-H1336)*(Inputs!$F$17-Inputs!$D$17)*(Inputs!$F$17-Inputs!$E$17))),0)</f>
        <v>108</v>
      </c>
      <c r="J1336" s="81" t="n">
        <f aca="true">RAND()</f>
        <v>0.606899823428523</v>
      </c>
      <c r="K1336" s="83" t="n">
        <f aca="false">IF(J1336&lt;(Inputs!$E$18-Inputs!$D$18)/(Inputs!$F$18-Inputs!$D$18),Inputs!$D$18+SQRT(J1336*(Inputs!$F$18-Inputs!$D$18)*(Inputs!$E$18-Inputs!$D$18)),Inputs!$F$18-SQRT((1-J1336)*(Inputs!$F$18-Inputs!$D$18)*(Inputs!$F$18-Inputs!$E$18)))</f>
        <v>1.06453769803541</v>
      </c>
      <c r="L1336" s="81" t="n">
        <f aca="true">RAND()</f>
        <v>0.030602218891444</v>
      </c>
      <c r="M1336" s="83" t="n">
        <f aca="false">IF(L1336&lt;(Inputs!$E$24-Inputs!$D$24)/(Inputs!$F$24-Inputs!$D$24),Inputs!$D$24+SQRT(L1336*(Inputs!$F$24-Inputs!$D$24)*(Inputs!$E$24-Inputs!$D$24)),Inputs!$F$24-SQRT((1-L1336)*(Inputs!$F$24-Inputs!$D$24)*(Inputs!$F$24-Inputs!$E$24)))</f>
        <v>0.660599226620257</v>
      </c>
      <c r="N1336" s="81" t="n">
        <f aca="true">RAND()</f>
        <v>0.436647345910074</v>
      </c>
      <c r="O1336" s="83" t="n">
        <f aca="false">IF(N1336&lt;(Inputs!$E$26-Inputs!$D$26)/(Inputs!$F$26-Inputs!$D$26),Inputs!$D$26+SQRT(N1336*(Inputs!$F$26-Inputs!$D$26)*(Inputs!$E$26-Inputs!$D$26)),Inputs!$F$26-SQRT((1-N1336)*(Inputs!$F$26-Inputs!$D$26)*(Inputs!$F$26-Inputs!$E$26)))</f>
        <v>0.569551698862085</v>
      </c>
      <c r="P1336" s="81" t="n">
        <f aca="true">RAND()</f>
        <v>0.0991085043596343</v>
      </c>
      <c r="Q1336" s="82" t="n">
        <f aca="false">IF(P1336&lt;(Inputs!$E$27-Inputs!$D$27)/(Inputs!$F$27-Inputs!$D$27),Inputs!$D$27+SQRT(P1336*(Inputs!$F$27-Inputs!$D$27)*(Inputs!$E$27-Inputs!$D$27)),Inputs!$F$27-SQRT((1-P1336)*(Inputs!$F$27-Inputs!$D$27)*(Inputs!$F$27-Inputs!$E$27)))</f>
        <v>65.7407515989258</v>
      </c>
      <c r="R1336" s="81" t="n">
        <f aca="true">RAND()</f>
        <v>0.520467388324163</v>
      </c>
      <c r="S1336" s="82" t="n">
        <f aca="false">IF(R1336&lt;(Inputs!$E$29-Inputs!$D$29)/(Inputs!$F$29-Inputs!$D$29),Inputs!$D$29+SQRT(R1336*(Inputs!$F$29-Inputs!$D$29)*(Inputs!$E$29-Inputs!$D$29)),Inputs!$F$29-SQRT((1-R1336)*(Inputs!$F$29-Inputs!$D$29)*(Inputs!$F$29-Inputs!$E$29)))</f>
        <v>7.1044797816826</v>
      </c>
      <c r="T1336" s="68" t="n">
        <f aca="false">Inputs!$E$9*(1+E1336)+Inputs!$E$5*C1336*(Inputs!$E$11*Inputs!$E$14*(G1336*I1336/Inputs!$E$16+(1-G1336))*K1336+Inputs!$E$23*M1336)*(1+O1336)+Inputs!$E$5*(Q1336+S1336)</f>
        <v>6101.36803127601</v>
      </c>
    </row>
    <row r="1337" customFormat="false" ht="15" hidden="false" customHeight="false" outlineLevel="0" collapsed="false">
      <c r="A1337" s="1" t="n">
        <v>1333</v>
      </c>
      <c r="B1337" s="81" t="n">
        <f aca="true">RAND()</f>
        <v>0.264361581712933</v>
      </c>
      <c r="C1337" s="82" t="n">
        <f aca="false">ROUND(IF(B1337&lt;(Inputs!$E$8-Inputs!$D$8)/(Inputs!$F$8-Inputs!$D$8),Inputs!$D$8+SQRT(B1337*(Inputs!$F$8-Inputs!$D$8)*(Inputs!$E$8-Inputs!$D$8)),Inputs!$F$8-SQRT((1-B1337)*(Inputs!$F$8-Inputs!$D$8)*(Inputs!$F$8-Inputs!$E$8))),0)</f>
        <v>24</v>
      </c>
      <c r="D1337" s="81" t="n">
        <f aca="true">RAND()</f>
        <v>0.204969308393442</v>
      </c>
      <c r="E1337" s="83" t="n">
        <f aca="false">IF(D1337&lt;(Inputs!$E$10-Inputs!$D$10)/(Inputs!$F$10-Inputs!$D$10),Inputs!$D$10+SQRT(D1337*(Inputs!$F$10-Inputs!$D$10)*(Inputs!$E$10-Inputs!$D$10)),Inputs!$F$10-SQRT((1-D1337)*(Inputs!$F$10-Inputs!$D$10)*(Inputs!$F$10-Inputs!$E$10)))</f>
        <v>0.0452735362428695</v>
      </c>
      <c r="F1337" s="81" t="n">
        <f aca="true">RAND()</f>
        <v>0.307816306920865</v>
      </c>
      <c r="G1337" s="83" t="n">
        <f aca="false">IF(F1337&lt;(Inputs!$E$15-Inputs!$D$15)/(Inputs!$F$15-Inputs!$D$15),Inputs!$D$15+SQRT(F1337*(Inputs!$F$15-Inputs!$D$15)*(Inputs!$E$15-Inputs!$D$15)),Inputs!$F$15-SQRT((1-F1337)*(Inputs!$F$15-Inputs!$D$15)*(Inputs!$F$15-Inputs!$E$15)))</f>
        <v>0.678462259325215</v>
      </c>
      <c r="H1337" s="81" t="n">
        <f aca="true">RAND()</f>
        <v>0.39785386737032</v>
      </c>
      <c r="I1337" s="82" t="n">
        <f aca="false">ROUND(IF(H1337&lt;(Inputs!$E$17-Inputs!$D$17)/(Inputs!$F$17-Inputs!$D$17),Inputs!$D$17+SQRT(H1337*(Inputs!$F$17-Inputs!$D$17)*(Inputs!$E$17-Inputs!$D$17)),Inputs!$F$17-SQRT((1-H1337)*(Inputs!$F$17-Inputs!$D$17)*(Inputs!$F$17-Inputs!$E$17))),0)</f>
        <v>105</v>
      </c>
      <c r="J1337" s="81" t="n">
        <f aca="true">RAND()</f>
        <v>0.334880665504651</v>
      </c>
      <c r="K1337" s="83" t="n">
        <f aca="false">IF(J1337&lt;(Inputs!$E$18-Inputs!$D$18)/(Inputs!$F$18-Inputs!$D$18),Inputs!$D$18+SQRT(J1337*(Inputs!$F$18-Inputs!$D$18)*(Inputs!$E$18-Inputs!$D$18)),Inputs!$F$18-SQRT((1-J1337)*(Inputs!$F$18-Inputs!$D$18)*(Inputs!$F$18-Inputs!$E$18)))</f>
        <v>1.00875750422377</v>
      </c>
      <c r="L1337" s="81" t="n">
        <f aca="true">RAND()</f>
        <v>0.232929581814935</v>
      </c>
      <c r="M1337" s="83" t="n">
        <f aca="false">IF(L1337&lt;(Inputs!$E$24-Inputs!$D$24)/(Inputs!$F$24-Inputs!$D$24),Inputs!$D$24+SQRT(L1337*(Inputs!$F$24-Inputs!$D$24)*(Inputs!$E$24-Inputs!$D$24)),Inputs!$F$24-SQRT((1-L1337)*(Inputs!$F$24-Inputs!$D$24)*(Inputs!$F$24-Inputs!$E$24)))</f>
        <v>0.767187170015501</v>
      </c>
      <c r="N1337" s="81" t="n">
        <f aca="true">RAND()</f>
        <v>0.234097957986125</v>
      </c>
      <c r="O1337" s="83" t="n">
        <f aca="false">IF(N1337&lt;(Inputs!$E$26-Inputs!$D$26)/(Inputs!$F$26-Inputs!$D$26),Inputs!$D$26+SQRT(N1337*(Inputs!$F$26-Inputs!$D$26)*(Inputs!$E$26-Inputs!$D$26)),Inputs!$F$26-SQRT((1-N1337)*(Inputs!$F$26-Inputs!$D$26)*(Inputs!$F$26-Inputs!$E$26)))</f>
        <v>0.497367424386324</v>
      </c>
      <c r="P1337" s="81" t="n">
        <f aca="true">RAND()</f>
        <v>0.251299564351979</v>
      </c>
      <c r="Q1337" s="82" t="n">
        <f aca="false">IF(P1337&lt;(Inputs!$E$27-Inputs!$D$27)/(Inputs!$F$27-Inputs!$D$27),Inputs!$D$27+SQRT(P1337*(Inputs!$F$27-Inputs!$D$27)*(Inputs!$E$27-Inputs!$D$27)),Inputs!$F$27-SQRT((1-P1337)*(Inputs!$F$27-Inputs!$D$27)*(Inputs!$F$27-Inputs!$E$27)))</f>
        <v>75.0650063898037</v>
      </c>
      <c r="R1337" s="81" t="n">
        <f aca="true">RAND()</f>
        <v>0.382657592729462</v>
      </c>
      <c r="S1337" s="82" t="n">
        <f aca="false">IF(R1337&lt;(Inputs!$E$29-Inputs!$D$29)/(Inputs!$F$29-Inputs!$D$29),Inputs!$D$29+SQRT(R1337*(Inputs!$F$29-Inputs!$D$29)*(Inputs!$E$29-Inputs!$D$29)),Inputs!$F$29-SQRT((1-R1337)*(Inputs!$F$29-Inputs!$D$29)*(Inputs!$F$29-Inputs!$E$29)))</f>
        <v>6.04151168192033</v>
      </c>
      <c r="T1337" s="68" t="n">
        <f aca="false">Inputs!$E$9*(1+E1337)+Inputs!$E$5*C1337*(Inputs!$E$11*Inputs!$E$14*(G1337*I1337/Inputs!$E$16+(1-G1337))*K1337+Inputs!$E$23*M1337)*(1+O1337)+Inputs!$E$5*(Q1337+S1337)</f>
        <v>5660.78574947818</v>
      </c>
    </row>
    <row r="1338" customFormat="false" ht="15" hidden="false" customHeight="false" outlineLevel="0" collapsed="false">
      <c r="A1338" s="1" t="n">
        <v>1334</v>
      </c>
      <c r="B1338" s="81" t="n">
        <f aca="true">RAND()</f>
        <v>0.431705856565955</v>
      </c>
      <c r="C1338" s="82" t="n">
        <f aca="false">ROUND(IF(B1338&lt;(Inputs!$E$8-Inputs!$D$8)/(Inputs!$F$8-Inputs!$D$8),Inputs!$D$8+SQRT(B1338*(Inputs!$F$8-Inputs!$D$8)*(Inputs!$E$8-Inputs!$D$8)),Inputs!$F$8-SQRT((1-B1338)*(Inputs!$F$8-Inputs!$D$8)*(Inputs!$F$8-Inputs!$E$8))),0)</f>
        <v>25</v>
      </c>
      <c r="D1338" s="81" t="n">
        <f aca="true">RAND()</f>
        <v>0.74022366673553</v>
      </c>
      <c r="E1338" s="83" t="n">
        <f aca="false">IF(D1338&lt;(Inputs!$E$10-Inputs!$D$10)/(Inputs!$F$10-Inputs!$D$10),Inputs!$D$10+SQRT(D1338*(Inputs!$F$10-Inputs!$D$10)*(Inputs!$E$10-Inputs!$D$10)),Inputs!$F$10-SQRT((1-D1338)*(Inputs!$F$10-Inputs!$D$10)*(Inputs!$F$10-Inputs!$E$10)))</f>
        <v>0.111720387416266</v>
      </c>
      <c r="F1338" s="81" t="n">
        <f aca="true">RAND()</f>
        <v>0.0932121715958454</v>
      </c>
      <c r="G1338" s="83" t="n">
        <f aca="false">IF(F1338&lt;(Inputs!$E$15-Inputs!$D$15)/(Inputs!$F$15-Inputs!$D$15),Inputs!$D$15+SQRT(F1338*(Inputs!$F$15-Inputs!$D$15)*(Inputs!$E$15-Inputs!$D$15)),Inputs!$F$15-SQRT((1-F1338)*(Inputs!$F$15-Inputs!$D$15)*(Inputs!$F$15-Inputs!$E$15)))</f>
        <v>0.643176885389256</v>
      </c>
      <c r="H1338" s="81" t="n">
        <f aca="true">RAND()</f>
        <v>0.00509616986415459</v>
      </c>
      <c r="I1338" s="82" t="n">
        <f aca="false">ROUND(IF(H1338&lt;(Inputs!$E$17-Inputs!$D$17)/(Inputs!$F$17-Inputs!$D$17),Inputs!$D$17+SQRT(H1338*(Inputs!$F$17-Inputs!$D$17)*(Inputs!$E$17-Inputs!$D$17)),Inputs!$F$17-SQRT((1-H1338)*(Inputs!$F$17-Inputs!$D$17)*(Inputs!$F$17-Inputs!$E$17))),0)</f>
        <v>101</v>
      </c>
      <c r="J1338" s="81" t="n">
        <f aca="true">RAND()</f>
        <v>0.621811409240515</v>
      </c>
      <c r="K1338" s="83" t="n">
        <f aca="false">IF(J1338&lt;(Inputs!$E$18-Inputs!$D$18)/(Inputs!$F$18-Inputs!$D$18),Inputs!$D$18+SQRT(J1338*(Inputs!$F$18-Inputs!$D$18)*(Inputs!$E$18-Inputs!$D$18)),Inputs!$F$18-SQRT((1-J1338)*(Inputs!$F$18-Inputs!$D$18)*(Inputs!$F$18-Inputs!$E$18)))</f>
        <v>1.06808930297683</v>
      </c>
      <c r="L1338" s="81" t="n">
        <f aca="true">RAND()</f>
        <v>0.271905901330292</v>
      </c>
      <c r="M1338" s="83" t="n">
        <f aca="false">IF(L1338&lt;(Inputs!$E$24-Inputs!$D$24)/(Inputs!$F$24-Inputs!$D$24),Inputs!$D$24+SQRT(L1338*(Inputs!$F$24-Inputs!$D$24)*(Inputs!$E$24-Inputs!$D$24)),Inputs!$F$24-SQRT((1-L1338)*(Inputs!$F$24-Inputs!$D$24)*(Inputs!$F$24-Inputs!$E$24)))</f>
        <v>0.780634183253434</v>
      </c>
      <c r="N1338" s="81" t="n">
        <f aca="true">RAND()</f>
        <v>0.00901844219651678</v>
      </c>
      <c r="O1338" s="83" t="n">
        <f aca="false">IF(N1338&lt;(Inputs!$E$26-Inputs!$D$26)/(Inputs!$F$26-Inputs!$D$26),Inputs!$D$26+SQRT(N1338*(Inputs!$F$26-Inputs!$D$26)*(Inputs!$E$26-Inputs!$D$26)),Inputs!$F$26-SQRT((1-N1338)*(Inputs!$F$26-Inputs!$D$26)*(Inputs!$F$26-Inputs!$E$26)))</f>
        <v>0.338738466431964</v>
      </c>
      <c r="P1338" s="81" t="n">
        <f aca="true">RAND()</f>
        <v>0.603957084464868</v>
      </c>
      <c r="Q1338" s="82" t="n">
        <f aca="false">IF(P1338&lt;(Inputs!$E$27-Inputs!$D$27)/(Inputs!$F$27-Inputs!$D$27),Inputs!$D$27+SQRT(P1338*(Inputs!$F$27-Inputs!$D$27)*(Inputs!$E$27-Inputs!$D$27)),Inputs!$F$27-SQRT((1-P1338)*(Inputs!$F$27-Inputs!$D$27)*(Inputs!$F$27-Inputs!$E$27)))</f>
        <v>95.4993406781763</v>
      </c>
      <c r="R1338" s="81" t="n">
        <f aca="true">RAND()</f>
        <v>0.289683113141054</v>
      </c>
      <c r="S1338" s="82" t="n">
        <f aca="false">IF(R1338&lt;(Inputs!$E$29-Inputs!$D$29)/(Inputs!$F$29-Inputs!$D$29),Inputs!$D$29+SQRT(R1338*(Inputs!$F$29-Inputs!$D$29)*(Inputs!$E$29-Inputs!$D$29)),Inputs!$F$29-SQRT((1-R1338)*(Inputs!$F$29-Inputs!$D$29)*(Inputs!$F$29-Inputs!$E$29)))</f>
        <v>5.39056737930574</v>
      </c>
      <c r="T1338" s="68" t="n">
        <f aca="false">Inputs!$E$9*(1+E1338)+Inputs!$E$5*C1338*(Inputs!$E$11*Inputs!$E$14*(G1338*I1338/Inputs!$E$16+(1-G1338))*K1338+Inputs!$E$23*M1338)*(1+O1338)+Inputs!$E$5*(Q1338+S1338)</f>
        <v>5830.70081848595</v>
      </c>
    </row>
    <row r="1339" customFormat="false" ht="15" hidden="false" customHeight="false" outlineLevel="0" collapsed="false">
      <c r="A1339" s="1" t="n">
        <v>1335</v>
      </c>
      <c r="B1339" s="81" t="n">
        <f aca="true">RAND()</f>
        <v>0.724507306937077</v>
      </c>
      <c r="C1339" s="82" t="n">
        <f aca="false">ROUND(IF(B1339&lt;(Inputs!$E$8-Inputs!$D$8)/(Inputs!$F$8-Inputs!$D$8),Inputs!$D$8+SQRT(B1339*(Inputs!$F$8-Inputs!$D$8)*(Inputs!$E$8-Inputs!$D$8)),Inputs!$F$8-SQRT((1-B1339)*(Inputs!$F$8-Inputs!$D$8)*(Inputs!$F$8-Inputs!$E$8))),0)</f>
        <v>26</v>
      </c>
      <c r="D1339" s="81" t="n">
        <f aca="true">RAND()</f>
        <v>0.546018262431565</v>
      </c>
      <c r="E1339" s="83" t="n">
        <f aca="false">IF(D1339&lt;(Inputs!$E$10-Inputs!$D$10)/(Inputs!$F$10-Inputs!$D$10),Inputs!$D$10+SQRT(D1339*(Inputs!$F$10-Inputs!$D$10)*(Inputs!$E$10-Inputs!$D$10)),Inputs!$F$10-SQRT((1-D1339)*(Inputs!$F$10-Inputs!$D$10)*(Inputs!$F$10-Inputs!$E$10)))</f>
        <v>0.0832975915970324</v>
      </c>
      <c r="F1339" s="81" t="n">
        <f aca="true">RAND()</f>
        <v>0.333328391158062</v>
      </c>
      <c r="G1339" s="83" t="n">
        <f aca="false">IF(F1339&lt;(Inputs!$E$15-Inputs!$D$15)/(Inputs!$F$15-Inputs!$D$15),Inputs!$D$15+SQRT(F1339*(Inputs!$F$15-Inputs!$D$15)*(Inputs!$E$15-Inputs!$D$15)),Inputs!$F$15-SQRT((1-F1339)*(Inputs!$F$15-Inputs!$D$15)*(Inputs!$F$15-Inputs!$E$15)))</f>
        <v>0.681649052800147</v>
      </c>
      <c r="H1339" s="81" t="n">
        <f aca="true">RAND()</f>
        <v>0.534174005976084</v>
      </c>
      <c r="I1339" s="82" t="n">
        <f aca="false">ROUND(IF(H1339&lt;(Inputs!$E$17-Inputs!$D$17)/(Inputs!$F$17-Inputs!$D$17),Inputs!$D$17+SQRT(H1339*(Inputs!$F$17-Inputs!$D$17)*(Inputs!$E$17-Inputs!$D$17)),Inputs!$F$17-SQRT((1-H1339)*(Inputs!$F$17-Inputs!$D$17)*(Inputs!$F$17-Inputs!$E$17))),0)</f>
        <v>107</v>
      </c>
      <c r="J1339" s="81" t="n">
        <f aca="true">RAND()</f>
        <v>0.0177891461456267</v>
      </c>
      <c r="K1339" s="83" t="n">
        <f aca="false">IF(J1339&lt;(Inputs!$E$18-Inputs!$D$18)/(Inputs!$F$18-Inputs!$D$18),Inputs!$D$18+SQRT(J1339*(Inputs!$F$18-Inputs!$D$18)*(Inputs!$E$18-Inputs!$D$18)),Inputs!$F$18-SQRT((1-J1339)*(Inputs!$F$18-Inputs!$D$18)*(Inputs!$F$18-Inputs!$E$18)))</f>
        <v>0.924952356904648</v>
      </c>
      <c r="L1339" s="81" t="n">
        <f aca="true">RAND()</f>
        <v>0.911260394382114</v>
      </c>
      <c r="M1339" s="83" t="n">
        <f aca="false">IF(L1339&lt;(Inputs!$E$24-Inputs!$D$24)/(Inputs!$F$24-Inputs!$D$24),Inputs!$D$24+SQRT(L1339*(Inputs!$F$24-Inputs!$D$24)*(Inputs!$E$24-Inputs!$D$24)),Inputs!$F$24-SQRT((1-L1339)*(Inputs!$F$24-Inputs!$D$24)*(Inputs!$F$24-Inputs!$E$24)))</f>
        <v>1.05406335159292</v>
      </c>
      <c r="N1339" s="81" t="n">
        <f aca="true">RAND()</f>
        <v>0.420670838114146</v>
      </c>
      <c r="O1339" s="83" t="n">
        <f aca="false">IF(N1339&lt;(Inputs!$E$26-Inputs!$D$26)/(Inputs!$F$26-Inputs!$D$26),Inputs!$D$26+SQRT(N1339*(Inputs!$F$26-Inputs!$D$26)*(Inputs!$E$26-Inputs!$D$26)),Inputs!$F$26-SQRT((1-N1339)*(Inputs!$F$26-Inputs!$D$26)*(Inputs!$F$26-Inputs!$E$26)))</f>
        <v>0.564574427075245</v>
      </c>
      <c r="P1339" s="81" t="n">
        <f aca="true">RAND()</f>
        <v>0.438303343488521</v>
      </c>
      <c r="Q1339" s="82" t="n">
        <f aca="false">IF(P1339&lt;(Inputs!$E$27-Inputs!$D$27)/(Inputs!$F$27-Inputs!$D$27),Inputs!$D$27+SQRT(P1339*(Inputs!$F$27-Inputs!$D$27)*(Inputs!$E$27-Inputs!$D$27)),Inputs!$F$27-SQRT((1-P1339)*(Inputs!$F$27-Inputs!$D$27)*(Inputs!$F$27-Inputs!$E$27)))</f>
        <v>85.0944923459026</v>
      </c>
      <c r="R1339" s="81" t="n">
        <f aca="true">RAND()</f>
        <v>0.863795758655807</v>
      </c>
      <c r="S1339" s="82" t="n">
        <f aca="false">IF(R1339&lt;(Inputs!$E$29-Inputs!$D$29)/(Inputs!$F$29-Inputs!$D$29),Inputs!$D$29+SQRT(R1339*(Inputs!$F$29-Inputs!$D$29)*(Inputs!$E$29-Inputs!$D$29)),Inputs!$F$29-SQRT((1-R1339)*(Inputs!$F$29-Inputs!$D$29)*(Inputs!$F$29-Inputs!$E$29)))</f>
        <v>10.792084675906</v>
      </c>
      <c r="T1339" s="68" t="n">
        <f aca="false">Inputs!$E$9*(1+E1339)+Inputs!$E$5*C1339*(Inputs!$E$11*Inputs!$E$14*(G1339*I1339/Inputs!$E$16+(1-G1339))*K1339+Inputs!$E$23*M1339)*(1+O1339)+Inputs!$E$5*(Q1339+S1339)</f>
        <v>6456.24896873953</v>
      </c>
    </row>
    <row r="1340" customFormat="false" ht="15" hidden="false" customHeight="false" outlineLevel="0" collapsed="false">
      <c r="A1340" s="1" t="n">
        <v>1336</v>
      </c>
      <c r="B1340" s="81" t="n">
        <f aca="true">RAND()</f>
        <v>0.959596054556106</v>
      </c>
      <c r="C1340" s="82" t="n">
        <f aca="false">ROUND(IF(B1340&lt;(Inputs!$E$8-Inputs!$D$8)/(Inputs!$F$8-Inputs!$D$8),Inputs!$D$8+SQRT(B1340*(Inputs!$F$8-Inputs!$D$8)*(Inputs!$E$8-Inputs!$D$8)),Inputs!$F$8-SQRT((1-B1340)*(Inputs!$F$8-Inputs!$D$8)*(Inputs!$F$8-Inputs!$E$8))),0)</f>
        <v>29</v>
      </c>
      <c r="D1340" s="81" t="n">
        <f aca="true">RAND()</f>
        <v>0.698420020186961</v>
      </c>
      <c r="E1340" s="83" t="n">
        <f aca="false">IF(D1340&lt;(Inputs!$E$10-Inputs!$D$10)/(Inputs!$F$10-Inputs!$D$10),Inputs!$D$10+SQRT(D1340*(Inputs!$F$10-Inputs!$D$10)*(Inputs!$E$10-Inputs!$D$10)),Inputs!$F$10-SQRT((1-D1340)*(Inputs!$F$10-Inputs!$D$10)*(Inputs!$F$10-Inputs!$E$10)))</f>
        <v>0.104882181509503</v>
      </c>
      <c r="F1340" s="81" t="n">
        <f aca="true">RAND()</f>
        <v>0.865368845335154</v>
      </c>
      <c r="G1340" s="83" t="n">
        <f aca="false">IF(F1340&lt;(Inputs!$E$15-Inputs!$D$15)/(Inputs!$F$15-Inputs!$D$15),Inputs!$D$15+SQRT(F1340*(Inputs!$F$15-Inputs!$D$15)*(Inputs!$E$15-Inputs!$D$15)),Inputs!$F$15-SQRT((1-F1340)*(Inputs!$F$15-Inputs!$D$15)*(Inputs!$F$15-Inputs!$E$15)))</f>
        <v>0.748109508642749</v>
      </c>
      <c r="H1340" s="81" t="n">
        <f aca="true">RAND()</f>
        <v>0.511122542283111</v>
      </c>
      <c r="I1340" s="82" t="n">
        <f aca="false">ROUND(IF(H1340&lt;(Inputs!$E$17-Inputs!$D$17)/(Inputs!$F$17-Inputs!$D$17),Inputs!$D$17+SQRT(H1340*(Inputs!$F$17-Inputs!$D$17)*(Inputs!$E$17-Inputs!$D$17)),Inputs!$F$17-SQRT((1-H1340)*(Inputs!$F$17-Inputs!$D$17)*(Inputs!$F$17-Inputs!$E$17))),0)</f>
        <v>106</v>
      </c>
      <c r="J1340" s="81" t="n">
        <f aca="true">RAND()</f>
        <v>0.109576757701133</v>
      </c>
      <c r="K1340" s="83" t="n">
        <f aca="false">IF(J1340&lt;(Inputs!$E$18-Inputs!$D$18)/(Inputs!$F$18-Inputs!$D$18),Inputs!$D$18+SQRT(J1340*(Inputs!$F$18-Inputs!$D$18)*(Inputs!$E$18-Inputs!$D$18)),Inputs!$F$18-SQRT((1-J1340)*(Inputs!$F$18-Inputs!$D$18)*(Inputs!$F$18-Inputs!$E$18)))</f>
        <v>0.961928882757076</v>
      </c>
      <c r="L1340" s="81" t="n">
        <f aca="true">RAND()</f>
        <v>0.421319161306917</v>
      </c>
      <c r="M1340" s="83" t="n">
        <f aca="false">IF(L1340&lt;(Inputs!$E$24-Inputs!$D$24)/(Inputs!$F$24-Inputs!$D$24),Inputs!$D$24+SQRT(L1340*(Inputs!$F$24-Inputs!$D$24)*(Inputs!$E$24-Inputs!$D$24)),Inputs!$F$24-SQRT((1-L1340)*(Inputs!$F$24-Inputs!$D$24)*(Inputs!$F$24-Inputs!$E$24)))</f>
        <v>0.82732936621416</v>
      </c>
      <c r="N1340" s="81" t="n">
        <f aca="true">RAND()</f>
        <v>0.424514470278676</v>
      </c>
      <c r="O1340" s="83" t="n">
        <f aca="false">IF(N1340&lt;(Inputs!$E$26-Inputs!$D$26)/(Inputs!$F$26-Inputs!$D$26),Inputs!$D$26+SQRT(N1340*(Inputs!$F$26-Inputs!$D$26)*(Inputs!$E$26-Inputs!$D$26)),Inputs!$F$26-SQRT((1-N1340)*(Inputs!$F$26-Inputs!$D$26)*(Inputs!$F$26-Inputs!$E$26)))</f>
        <v>0.565780375224304</v>
      </c>
      <c r="P1340" s="81" t="n">
        <f aca="true">RAND()</f>
        <v>0.229327547454077</v>
      </c>
      <c r="Q1340" s="82" t="n">
        <f aca="false">IF(P1340&lt;(Inputs!$E$27-Inputs!$D$27)/(Inputs!$F$27-Inputs!$D$27),Inputs!$D$27+SQRT(P1340*(Inputs!$F$27-Inputs!$D$27)*(Inputs!$E$27-Inputs!$D$27)),Inputs!$F$27-SQRT((1-P1340)*(Inputs!$F$27-Inputs!$D$27)*(Inputs!$F$27-Inputs!$E$27)))</f>
        <v>73.9440779449782</v>
      </c>
      <c r="R1340" s="81" t="n">
        <f aca="true">RAND()</f>
        <v>0.855585903377847</v>
      </c>
      <c r="S1340" s="82" t="n">
        <f aca="false">IF(R1340&lt;(Inputs!$E$29-Inputs!$D$29)/(Inputs!$F$29-Inputs!$D$29),Inputs!$D$29+SQRT(R1340*(Inputs!$F$29-Inputs!$D$29)*(Inputs!$E$29-Inputs!$D$29)),Inputs!$F$29-SQRT((1-R1340)*(Inputs!$F$29-Inputs!$D$29)*(Inputs!$F$29-Inputs!$E$29)))</f>
        <v>10.6671219079139</v>
      </c>
      <c r="T1340" s="68" t="n">
        <f aca="false">Inputs!$E$9*(1+E1340)+Inputs!$E$5*C1340*(Inputs!$E$11*Inputs!$E$14*(G1340*I1340/Inputs!$E$16+(1-G1340))*K1340+Inputs!$E$23*M1340)*(1+O1340)+Inputs!$E$5*(Q1340+S1340)</f>
        <v>6482.32307243302</v>
      </c>
    </row>
    <row r="1341" customFormat="false" ht="15" hidden="false" customHeight="false" outlineLevel="0" collapsed="false">
      <c r="A1341" s="1" t="n">
        <v>1337</v>
      </c>
      <c r="B1341" s="81" t="n">
        <f aca="true">RAND()</f>
        <v>0.694602352180898</v>
      </c>
      <c r="C1341" s="82" t="n">
        <f aca="false">ROUND(IF(B1341&lt;(Inputs!$E$8-Inputs!$D$8)/(Inputs!$F$8-Inputs!$D$8),Inputs!$D$8+SQRT(B1341*(Inputs!$F$8-Inputs!$D$8)*(Inputs!$E$8-Inputs!$D$8)),Inputs!$F$8-SQRT((1-B1341)*(Inputs!$F$8-Inputs!$D$8)*(Inputs!$F$8-Inputs!$E$8))),0)</f>
        <v>26</v>
      </c>
      <c r="D1341" s="81" t="n">
        <f aca="true">RAND()</f>
        <v>0.312783644554976</v>
      </c>
      <c r="E1341" s="83" t="n">
        <f aca="false">IF(D1341&lt;(Inputs!$E$10-Inputs!$D$10)/(Inputs!$F$10-Inputs!$D$10),Inputs!$D$10+SQRT(D1341*(Inputs!$F$10-Inputs!$D$10)*(Inputs!$E$10-Inputs!$D$10)),Inputs!$F$10-SQRT((1-D1341)*(Inputs!$F$10-Inputs!$D$10)*(Inputs!$F$10-Inputs!$E$10)))</f>
        <v>0.0564155626004311</v>
      </c>
      <c r="F1341" s="81" t="n">
        <f aca="true">RAND()</f>
        <v>0.15200955291592</v>
      </c>
      <c r="G1341" s="83" t="n">
        <f aca="false">IF(F1341&lt;(Inputs!$E$15-Inputs!$D$15)/(Inputs!$F$15-Inputs!$D$15),Inputs!$D$15+SQRT(F1341*(Inputs!$F$15-Inputs!$D$15)*(Inputs!$E$15-Inputs!$D$15)),Inputs!$F$15-SQRT((1-F1341)*(Inputs!$F$15-Inputs!$D$15)*(Inputs!$F$15-Inputs!$E$15)))</f>
        <v>0.655137927584544</v>
      </c>
      <c r="H1341" s="81" t="n">
        <f aca="true">RAND()</f>
        <v>0.162047758965764</v>
      </c>
      <c r="I1341" s="82" t="n">
        <f aca="false">ROUND(IF(H1341&lt;(Inputs!$E$17-Inputs!$D$17)/(Inputs!$F$17-Inputs!$D$17),Inputs!$D$17+SQRT(H1341*(Inputs!$F$17-Inputs!$D$17)*(Inputs!$E$17-Inputs!$D$17)),Inputs!$F$17-SQRT((1-H1341)*(Inputs!$F$17-Inputs!$D$17)*(Inputs!$F$17-Inputs!$E$17))),0)</f>
        <v>103</v>
      </c>
      <c r="J1341" s="81" t="n">
        <f aca="true">RAND()</f>
        <v>0.859646662031507</v>
      </c>
      <c r="K1341" s="83" t="n">
        <f aca="false">IF(J1341&lt;(Inputs!$E$18-Inputs!$D$18)/(Inputs!$F$18-Inputs!$D$18),Inputs!$D$18+SQRT(J1341*(Inputs!$F$18-Inputs!$D$18)*(Inputs!$E$18-Inputs!$D$18)),Inputs!$F$18-SQRT((1-J1341)*(Inputs!$F$18-Inputs!$D$18)*(Inputs!$F$18-Inputs!$E$18)))</f>
        <v>1.13918070081325</v>
      </c>
      <c r="L1341" s="81" t="n">
        <f aca="true">RAND()</f>
        <v>0.274553686450496</v>
      </c>
      <c r="M1341" s="83" t="n">
        <f aca="false">IF(L1341&lt;(Inputs!$E$24-Inputs!$D$24)/(Inputs!$F$24-Inputs!$D$24),Inputs!$D$24+SQRT(L1341*(Inputs!$F$24-Inputs!$D$24)*(Inputs!$E$24-Inputs!$D$24)),Inputs!$F$24-SQRT((1-L1341)*(Inputs!$F$24-Inputs!$D$24)*(Inputs!$F$24-Inputs!$E$24)))</f>
        <v>0.781511548872405</v>
      </c>
      <c r="N1341" s="81" t="n">
        <f aca="true">RAND()</f>
        <v>0.89862503922274</v>
      </c>
      <c r="O1341" s="83" t="n">
        <f aca="false">IF(N1341&lt;(Inputs!$E$26-Inputs!$D$26)/(Inputs!$F$26-Inputs!$D$26),Inputs!$D$26+SQRT(N1341*(Inputs!$F$26-Inputs!$D$26)*(Inputs!$E$26-Inputs!$D$26)),Inputs!$F$26-SQRT((1-N1341)*(Inputs!$F$26-Inputs!$D$26)*(Inputs!$F$26-Inputs!$E$26)))</f>
        <v>0.717320908063837</v>
      </c>
      <c r="P1341" s="81" t="n">
        <f aca="true">RAND()</f>
        <v>0.99109402387394</v>
      </c>
      <c r="Q1341" s="82" t="n">
        <f aca="false">IF(P1341&lt;(Inputs!$E$27-Inputs!$D$27)/(Inputs!$F$27-Inputs!$D$27),Inputs!$D$27+SQRT(P1341*(Inputs!$F$27-Inputs!$D$27)*(Inputs!$E$27-Inputs!$D$27)),Inputs!$F$27-SQRT((1-P1341)*(Inputs!$F$27-Inputs!$D$27)*(Inputs!$F$27-Inputs!$E$27)))</f>
        <v>141.827190143809</v>
      </c>
      <c r="R1341" s="81" t="n">
        <f aca="true">RAND()</f>
        <v>0.728229285714544</v>
      </c>
      <c r="S1341" s="82" t="n">
        <f aca="false">IF(R1341&lt;(Inputs!$E$29-Inputs!$D$29)/(Inputs!$F$29-Inputs!$D$29),Inputs!$D$29+SQRT(R1341*(Inputs!$F$29-Inputs!$D$29)*(Inputs!$E$29-Inputs!$D$29)),Inputs!$F$29-SQRT((1-R1341)*(Inputs!$F$29-Inputs!$D$29)*(Inputs!$F$29-Inputs!$E$29)))</f>
        <v>9.05607933623695</v>
      </c>
      <c r="T1341" s="68" t="n">
        <f aca="false">Inputs!$E$9*(1+E1341)+Inputs!$E$5*C1341*(Inputs!$E$11*Inputs!$E$14*(G1341*I1341/Inputs!$E$16+(1-G1341))*K1341+Inputs!$E$23*M1341)*(1+O1341)+Inputs!$E$5*(Q1341+S1341)</f>
        <v>7102.29972034273</v>
      </c>
    </row>
    <row r="1342" customFormat="false" ht="15" hidden="false" customHeight="false" outlineLevel="0" collapsed="false">
      <c r="A1342" s="1" t="n">
        <v>1338</v>
      </c>
      <c r="B1342" s="81" t="n">
        <f aca="true">RAND()</f>
        <v>0.141970591681584</v>
      </c>
      <c r="C1342" s="82" t="n">
        <f aca="false">ROUND(IF(B1342&lt;(Inputs!$E$8-Inputs!$D$8)/(Inputs!$F$8-Inputs!$D$8),Inputs!$D$8+SQRT(B1342*(Inputs!$F$8-Inputs!$D$8)*(Inputs!$E$8-Inputs!$D$8)),Inputs!$F$8-SQRT((1-B1342)*(Inputs!$F$8-Inputs!$D$8)*(Inputs!$F$8-Inputs!$E$8))),0)</f>
        <v>23</v>
      </c>
      <c r="D1342" s="81" t="n">
        <f aca="true">RAND()</f>
        <v>0.494569545998599</v>
      </c>
      <c r="E1342" s="83" t="n">
        <f aca="false">IF(D1342&lt;(Inputs!$E$10-Inputs!$D$10)/(Inputs!$F$10-Inputs!$D$10),Inputs!$D$10+SQRT(D1342*(Inputs!$F$10-Inputs!$D$10)*(Inputs!$E$10-Inputs!$D$10)),Inputs!$F$10-SQRT((1-D1342)*(Inputs!$F$10-Inputs!$D$10)*(Inputs!$F$10-Inputs!$E$10)))</f>
        <v>0.0768622169273702</v>
      </c>
      <c r="F1342" s="81" t="n">
        <f aca="true">RAND()</f>
        <v>0.107767071756741</v>
      </c>
      <c r="G1342" s="83" t="n">
        <f aca="false">IF(F1342&lt;(Inputs!$E$15-Inputs!$D$15)/(Inputs!$F$15-Inputs!$D$15),Inputs!$D$15+SQRT(F1342*(Inputs!$F$15-Inputs!$D$15)*(Inputs!$E$15-Inputs!$D$15)),Inputs!$F$15-SQRT((1-F1342)*(Inputs!$F$15-Inputs!$D$15)*(Inputs!$F$15-Inputs!$E$15)))</f>
        <v>0.646425654924135</v>
      </c>
      <c r="H1342" s="81" t="n">
        <f aca="true">RAND()</f>
        <v>0.650670946189152</v>
      </c>
      <c r="I1342" s="82" t="n">
        <f aca="false">ROUND(IF(H1342&lt;(Inputs!$E$17-Inputs!$D$17)/(Inputs!$F$17-Inputs!$D$17),Inputs!$D$17+SQRT(H1342*(Inputs!$F$17-Inputs!$D$17)*(Inputs!$E$17-Inputs!$D$17)),Inputs!$F$17-SQRT((1-H1342)*(Inputs!$F$17-Inputs!$D$17)*(Inputs!$F$17-Inputs!$E$17))),0)</f>
        <v>108</v>
      </c>
      <c r="J1342" s="81" t="n">
        <f aca="true">RAND()</f>
        <v>0.208924623042084</v>
      </c>
      <c r="K1342" s="83" t="n">
        <f aca="false">IF(J1342&lt;(Inputs!$E$18-Inputs!$D$18)/(Inputs!$F$18-Inputs!$D$18),Inputs!$D$18+SQRT(J1342*(Inputs!$F$18-Inputs!$D$18)*(Inputs!$E$18-Inputs!$D$18)),Inputs!$F$18-SQRT((1-J1342)*(Inputs!$F$18-Inputs!$D$18)*(Inputs!$F$18-Inputs!$E$18)))</f>
        <v>0.985512348853677</v>
      </c>
      <c r="L1342" s="81" t="n">
        <f aca="true">RAND()</f>
        <v>0.148082468557911</v>
      </c>
      <c r="M1342" s="83" t="n">
        <f aca="false">IF(L1342&lt;(Inputs!$E$24-Inputs!$D$24)/(Inputs!$F$24-Inputs!$D$24),Inputs!$D$24+SQRT(L1342*(Inputs!$F$24-Inputs!$D$24)*(Inputs!$E$24-Inputs!$D$24)),Inputs!$F$24-SQRT((1-L1342)*(Inputs!$F$24-Inputs!$D$24)*(Inputs!$F$24-Inputs!$E$24)))</f>
        <v>0.733303774241202</v>
      </c>
      <c r="N1342" s="81" t="n">
        <f aca="true">RAND()</f>
        <v>0.251325364969122</v>
      </c>
      <c r="O1342" s="83" t="n">
        <f aca="false">IF(N1342&lt;(Inputs!$E$26-Inputs!$D$26)/(Inputs!$F$26-Inputs!$D$26),Inputs!$D$26+SQRT(N1342*(Inputs!$F$26-Inputs!$D$26)*(Inputs!$E$26-Inputs!$D$26)),Inputs!$F$26-SQRT((1-N1342)*(Inputs!$F$26-Inputs!$D$26)*(Inputs!$F$26-Inputs!$E$26)))</f>
        <v>0.504500710832168</v>
      </c>
      <c r="P1342" s="81" t="n">
        <f aca="true">RAND()</f>
        <v>0.883880592531723</v>
      </c>
      <c r="Q1342" s="82" t="n">
        <f aca="false">IF(P1342&lt;(Inputs!$E$27-Inputs!$D$27)/(Inputs!$F$27-Inputs!$D$27),Inputs!$D$27+SQRT(P1342*(Inputs!$F$27-Inputs!$D$27)*(Inputs!$E$27-Inputs!$D$27)),Inputs!$F$27-SQRT((1-P1342)*(Inputs!$F$27-Inputs!$D$27)*(Inputs!$F$27-Inputs!$E$27)))</f>
        <v>120.489060401063</v>
      </c>
      <c r="R1342" s="81" t="n">
        <f aca="true">RAND()</f>
        <v>0.277000156749845</v>
      </c>
      <c r="S1342" s="82" t="n">
        <f aca="false">IF(R1342&lt;(Inputs!$E$29-Inputs!$D$29)/(Inputs!$F$29-Inputs!$D$29),Inputs!$D$29+SQRT(R1342*(Inputs!$F$29-Inputs!$D$29)*(Inputs!$E$29-Inputs!$D$29)),Inputs!$F$29-SQRT((1-R1342)*(Inputs!$F$29-Inputs!$D$29)*(Inputs!$F$29-Inputs!$E$29)))</f>
        <v>5.30515706045115</v>
      </c>
      <c r="T1342" s="68" t="n">
        <f aca="false">Inputs!$E$9*(1+E1342)+Inputs!$E$5*C1342*(Inputs!$E$11*Inputs!$E$14*(G1342*I1342/Inputs!$E$16+(1-G1342))*K1342+Inputs!$E$23*M1342)*(1+O1342)+Inputs!$E$5*(Q1342+S1342)</f>
        <v>5822.40240884383</v>
      </c>
    </row>
    <row r="1343" customFormat="false" ht="15" hidden="false" customHeight="false" outlineLevel="0" collapsed="false">
      <c r="A1343" s="1" t="n">
        <v>1339</v>
      </c>
      <c r="B1343" s="81" t="n">
        <f aca="true">RAND()</f>
        <v>0.72243438574018</v>
      </c>
      <c r="C1343" s="82" t="n">
        <f aca="false">ROUND(IF(B1343&lt;(Inputs!$E$8-Inputs!$D$8)/(Inputs!$F$8-Inputs!$D$8),Inputs!$D$8+SQRT(B1343*(Inputs!$F$8-Inputs!$D$8)*(Inputs!$E$8-Inputs!$D$8)),Inputs!$F$8-SQRT((1-B1343)*(Inputs!$F$8-Inputs!$D$8)*(Inputs!$F$8-Inputs!$E$8))),0)</f>
        <v>26</v>
      </c>
      <c r="D1343" s="81" t="n">
        <f aca="true">RAND()</f>
        <v>0.805047993867942</v>
      </c>
      <c r="E1343" s="83" t="n">
        <f aca="false">IF(D1343&lt;(Inputs!$E$10-Inputs!$D$10)/(Inputs!$F$10-Inputs!$D$10),Inputs!$D$10+SQRT(D1343*(Inputs!$F$10-Inputs!$D$10)*(Inputs!$E$10-Inputs!$D$10)),Inputs!$F$10-SQRT((1-D1343)*(Inputs!$F$10-Inputs!$D$10)*(Inputs!$F$10-Inputs!$E$10)))</f>
        <v>0.123524120247219</v>
      </c>
      <c r="F1343" s="81" t="n">
        <f aca="true">RAND()</f>
        <v>0.371680198199143</v>
      </c>
      <c r="G1343" s="83" t="n">
        <f aca="false">IF(F1343&lt;(Inputs!$E$15-Inputs!$D$15)/(Inputs!$F$15-Inputs!$D$15),Inputs!$D$15+SQRT(F1343*(Inputs!$F$15-Inputs!$D$15)*(Inputs!$E$15-Inputs!$D$15)),Inputs!$F$15-SQRT((1-F1343)*(Inputs!$F$15-Inputs!$D$15)*(Inputs!$F$15-Inputs!$E$15)))</f>
        <v>0.686218350506043</v>
      </c>
      <c r="H1343" s="81" t="n">
        <f aca="true">RAND()</f>
        <v>0.377503633842349</v>
      </c>
      <c r="I1343" s="82" t="n">
        <f aca="false">ROUND(IF(H1343&lt;(Inputs!$E$17-Inputs!$D$17)/(Inputs!$F$17-Inputs!$D$17),Inputs!$D$17+SQRT(H1343*(Inputs!$F$17-Inputs!$D$17)*(Inputs!$E$17-Inputs!$D$17)),Inputs!$F$17-SQRT((1-H1343)*(Inputs!$F$17-Inputs!$D$17)*(Inputs!$F$17-Inputs!$E$17))),0)</f>
        <v>105</v>
      </c>
      <c r="J1343" s="81" t="n">
        <f aca="true">RAND()</f>
        <v>0.0344060725301988</v>
      </c>
      <c r="K1343" s="83" t="n">
        <f aca="false">IF(J1343&lt;(Inputs!$E$18-Inputs!$D$18)/(Inputs!$F$18-Inputs!$D$18),Inputs!$D$18+SQRT(J1343*(Inputs!$F$18-Inputs!$D$18)*(Inputs!$E$18-Inputs!$D$18)),Inputs!$F$18-SQRT((1-J1343)*(Inputs!$F$18-Inputs!$D$18)*(Inputs!$F$18-Inputs!$E$18)))</f>
        <v>0.934701765640338</v>
      </c>
      <c r="L1343" s="81" t="n">
        <f aca="true">RAND()</f>
        <v>0.0343031570808085</v>
      </c>
      <c r="M1343" s="83" t="n">
        <f aca="false">IF(L1343&lt;(Inputs!$E$24-Inputs!$D$24)/(Inputs!$F$24-Inputs!$D$24),Inputs!$D$24+SQRT(L1343*(Inputs!$F$24-Inputs!$D$24)*(Inputs!$E$24-Inputs!$D$24)),Inputs!$F$24-SQRT((1-L1343)*(Inputs!$F$24-Inputs!$D$24)*(Inputs!$F$24-Inputs!$E$24)))</f>
        <v>0.664159012225073</v>
      </c>
      <c r="N1343" s="81" t="n">
        <f aca="true">RAND()</f>
        <v>0.200838370109801</v>
      </c>
      <c r="O1343" s="83" t="n">
        <f aca="false">IF(N1343&lt;(Inputs!$E$26-Inputs!$D$26)/(Inputs!$F$26-Inputs!$D$26),Inputs!$D$26+SQRT(N1343*(Inputs!$F$26-Inputs!$D$26)*(Inputs!$E$26-Inputs!$D$26)),Inputs!$F$26-SQRT((1-N1343)*(Inputs!$F$26-Inputs!$D$26)*(Inputs!$F$26-Inputs!$E$26)))</f>
        <v>0.482810023757646</v>
      </c>
      <c r="P1343" s="81" t="n">
        <f aca="true">RAND()</f>
        <v>0.31291499584537</v>
      </c>
      <c r="Q1343" s="82" t="n">
        <f aca="false">IF(P1343&lt;(Inputs!$E$27-Inputs!$D$27)/(Inputs!$F$27-Inputs!$D$27),Inputs!$D$27+SQRT(P1343*(Inputs!$F$27-Inputs!$D$27)*(Inputs!$E$27-Inputs!$D$27)),Inputs!$F$27-SQRT((1-P1343)*(Inputs!$F$27-Inputs!$D$27)*(Inputs!$F$27-Inputs!$E$27)))</f>
        <v>78.2146426409973</v>
      </c>
      <c r="R1343" s="81" t="n">
        <f aca="true">RAND()</f>
        <v>0.0998012173063359</v>
      </c>
      <c r="S1343" s="82" t="n">
        <f aca="false">IF(R1343&lt;(Inputs!$E$29-Inputs!$D$29)/(Inputs!$F$29-Inputs!$D$29),Inputs!$D$29+SQRT(R1343*(Inputs!$F$29-Inputs!$D$29)*(Inputs!$E$29-Inputs!$D$29)),Inputs!$F$29-SQRT((1-R1343)*(Inputs!$F$29-Inputs!$D$29)*(Inputs!$F$29-Inputs!$E$29)))</f>
        <v>3.97287796757607</v>
      </c>
      <c r="T1343" s="68" t="n">
        <f aca="false">Inputs!$E$9*(1+E1343)+Inputs!$E$5*C1343*(Inputs!$E$11*Inputs!$E$14*(G1343*I1343/Inputs!$E$16+(1-G1343))*K1343+Inputs!$E$23*M1343)*(1+O1343)+Inputs!$E$5*(Q1343+S1343)</f>
        <v>5747.23236276048</v>
      </c>
    </row>
    <row r="1344" customFormat="false" ht="15" hidden="false" customHeight="false" outlineLevel="0" collapsed="false">
      <c r="A1344" s="1" t="n">
        <v>1340</v>
      </c>
      <c r="B1344" s="81" t="n">
        <f aca="true">RAND()</f>
        <v>0.954304116844311</v>
      </c>
      <c r="C1344" s="82" t="n">
        <f aca="false">ROUND(IF(B1344&lt;(Inputs!$E$8-Inputs!$D$8)/(Inputs!$F$8-Inputs!$D$8),Inputs!$D$8+SQRT(B1344*(Inputs!$F$8-Inputs!$D$8)*(Inputs!$E$8-Inputs!$D$8)),Inputs!$F$8-SQRT((1-B1344)*(Inputs!$F$8-Inputs!$D$8)*(Inputs!$F$8-Inputs!$E$8))),0)</f>
        <v>28</v>
      </c>
      <c r="D1344" s="81" t="n">
        <f aca="true">RAND()</f>
        <v>0.97636004280349</v>
      </c>
      <c r="E1344" s="83" t="n">
        <f aca="false">IF(D1344&lt;(Inputs!$E$10-Inputs!$D$10)/(Inputs!$F$10-Inputs!$D$10),Inputs!$D$10+SQRT(D1344*(Inputs!$F$10-Inputs!$D$10)*(Inputs!$E$10-Inputs!$D$10)),Inputs!$F$10-SQRT((1-D1344)*(Inputs!$F$10-Inputs!$D$10)*(Inputs!$F$10-Inputs!$E$10)))</f>
        <v>0.173369214883986</v>
      </c>
      <c r="F1344" s="81" t="n">
        <f aca="true">RAND()</f>
        <v>0.119371133053522</v>
      </c>
      <c r="G1344" s="83" t="n">
        <f aca="false">IF(F1344&lt;(Inputs!$E$15-Inputs!$D$15)/(Inputs!$F$15-Inputs!$D$15),Inputs!$D$15+SQRT(F1344*(Inputs!$F$15-Inputs!$D$15)*(Inputs!$E$15-Inputs!$D$15)),Inputs!$F$15-SQRT((1-F1344)*(Inputs!$F$15-Inputs!$D$15)*(Inputs!$F$15-Inputs!$E$15)))</f>
        <v>0.648861259307046</v>
      </c>
      <c r="H1344" s="81" t="n">
        <f aca="true">RAND()</f>
        <v>0.740706380037981</v>
      </c>
      <c r="I1344" s="82" t="n">
        <f aca="false">ROUND(IF(H1344&lt;(Inputs!$E$17-Inputs!$D$17)/(Inputs!$F$17-Inputs!$D$17),Inputs!$D$17+SQRT(H1344*(Inputs!$F$17-Inputs!$D$17)*(Inputs!$E$17-Inputs!$D$17)),Inputs!$F$17-SQRT((1-H1344)*(Inputs!$F$17-Inputs!$D$17)*(Inputs!$F$17-Inputs!$E$17))),0)</f>
        <v>109</v>
      </c>
      <c r="J1344" s="81" t="n">
        <f aca="true">RAND()</f>
        <v>0.956446203884732</v>
      </c>
      <c r="K1344" s="83" t="n">
        <f aca="false">IF(J1344&lt;(Inputs!$E$18-Inputs!$D$18)/(Inputs!$F$18-Inputs!$D$18),Inputs!$D$18+SQRT(J1344*(Inputs!$F$18-Inputs!$D$18)*(Inputs!$E$18-Inputs!$D$18)),Inputs!$F$18-SQRT((1-J1344)*(Inputs!$F$18-Inputs!$D$18)*(Inputs!$F$18-Inputs!$E$18)))</f>
        <v>1.18826704964052</v>
      </c>
      <c r="L1344" s="81" t="n">
        <f aca="true">RAND()</f>
        <v>0.0405280458001439</v>
      </c>
      <c r="M1344" s="83" t="n">
        <f aca="false">IF(L1344&lt;(Inputs!$E$24-Inputs!$D$24)/(Inputs!$F$24-Inputs!$D$24),Inputs!$D$24+SQRT(L1344*(Inputs!$F$24-Inputs!$D$24)*(Inputs!$E$24-Inputs!$D$24)),Inputs!$F$24-SQRT((1-L1344)*(Inputs!$F$24-Inputs!$D$24)*(Inputs!$F$24-Inputs!$E$24)))</f>
        <v>0.66973783403589</v>
      </c>
      <c r="N1344" s="81" t="n">
        <f aca="true">RAND()</f>
        <v>0.729351713962355</v>
      </c>
      <c r="O1344" s="83" t="n">
        <f aca="false">IF(N1344&lt;(Inputs!$E$26-Inputs!$D$26)/(Inputs!$F$26-Inputs!$D$26),Inputs!$D$26+SQRT(N1344*(Inputs!$F$26-Inputs!$D$26)*(Inputs!$E$26-Inputs!$D$26)),Inputs!$F$26-SQRT((1-N1344)*(Inputs!$F$26-Inputs!$D$26)*(Inputs!$F$26-Inputs!$E$26)))</f>
        <v>0.652228066268774</v>
      </c>
      <c r="P1344" s="81" t="n">
        <f aca="true">RAND()</f>
        <v>0.208983153276182</v>
      </c>
      <c r="Q1344" s="82" t="n">
        <f aca="false">IF(P1344&lt;(Inputs!$E$27-Inputs!$D$27)/(Inputs!$F$27-Inputs!$D$27),Inputs!$D$27+SQRT(P1344*(Inputs!$F$27-Inputs!$D$27)*(Inputs!$E$27-Inputs!$D$27)),Inputs!$F$27-SQRT((1-P1344)*(Inputs!$F$27-Inputs!$D$27)*(Inputs!$F$27-Inputs!$E$27)))</f>
        <v>72.8573376225328</v>
      </c>
      <c r="R1344" s="81" t="n">
        <f aca="true">RAND()</f>
        <v>0.0775158264667417</v>
      </c>
      <c r="S1344" s="82" t="n">
        <f aca="false">IF(R1344&lt;(Inputs!$E$29-Inputs!$D$29)/(Inputs!$F$29-Inputs!$D$29),Inputs!$D$29+SQRT(R1344*(Inputs!$F$29-Inputs!$D$29)*(Inputs!$E$29-Inputs!$D$29)),Inputs!$F$29-SQRT((1-R1344)*(Inputs!$F$29-Inputs!$D$29)*(Inputs!$F$29-Inputs!$E$29)))</f>
        <v>3.73871137116053</v>
      </c>
      <c r="T1344" s="68" t="n">
        <f aca="false">Inputs!$E$9*(1+E1344)+Inputs!$E$5*C1344*(Inputs!$E$11*Inputs!$E$14*(G1344*I1344/Inputs!$E$16+(1-G1344))*K1344+Inputs!$E$23*M1344)*(1+O1344)+Inputs!$E$5*(Q1344+S1344)</f>
        <v>7174.05273585591</v>
      </c>
    </row>
    <row r="1345" customFormat="false" ht="15" hidden="false" customHeight="false" outlineLevel="0" collapsed="false">
      <c r="A1345" s="1" t="n">
        <v>1341</v>
      </c>
      <c r="B1345" s="81" t="n">
        <f aca="true">RAND()</f>
        <v>0.357811013758316</v>
      </c>
      <c r="C1345" s="82" t="n">
        <f aca="false">ROUND(IF(B1345&lt;(Inputs!$E$8-Inputs!$D$8)/(Inputs!$F$8-Inputs!$D$8),Inputs!$D$8+SQRT(B1345*(Inputs!$F$8-Inputs!$D$8)*(Inputs!$E$8-Inputs!$D$8)),Inputs!$F$8-SQRT((1-B1345)*(Inputs!$F$8-Inputs!$D$8)*(Inputs!$F$8-Inputs!$E$8))),0)</f>
        <v>24</v>
      </c>
      <c r="D1345" s="81" t="n">
        <f aca="true">RAND()</f>
        <v>0.914576159952985</v>
      </c>
      <c r="E1345" s="83" t="n">
        <f aca="false">IF(D1345&lt;(Inputs!$E$10-Inputs!$D$10)/(Inputs!$F$10-Inputs!$D$10),Inputs!$D$10+SQRT(D1345*(Inputs!$F$10-Inputs!$D$10)*(Inputs!$E$10-Inputs!$D$10)),Inputs!$F$10-SQRT((1-D1345)*(Inputs!$F$10-Inputs!$D$10)*(Inputs!$F$10-Inputs!$E$10)))</f>
        <v>0.149376732608311</v>
      </c>
      <c r="F1345" s="81" t="n">
        <f aca="true">RAND()</f>
        <v>0.0492817912285867</v>
      </c>
      <c r="G1345" s="83" t="n">
        <f aca="false">IF(F1345&lt;(Inputs!$E$15-Inputs!$D$15)/(Inputs!$F$15-Inputs!$D$15),Inputs!$D$15+SQRT(F1345*(Inputs!$F$15-Inputs!$D$15)*(Inputs!$E$15-Inputs!$D$15)),Inputs!$F$15-SQRT((1-F1345)*(Inputs!$F$15-Inputs!$D$15)*(Inputs!$F$15-Inputs!$E$15)))</f>
        <v>0.63139483754651</v>
      </c>
      <c r="H1345" s="81" t="n">
        <f aca="true">RAND()</f>
        <v>0.679624668980676</v>
      </c>
      <c r="I1345" s="82" t="n">
        <f aca="false">ROUND(IF(H1345&lt;(Inputs!$E$17-Inputs!$D$17)/(Inputs!$F$17-Inputs!$D$17),Inputs!$D$17+SQRT(H1345*(Inputs!$F$17-Inputs!$D$17)*(Inputs!$E$17-Inputs!$D$17)),Inputs!$F$17-SQRT((1-H1345)*(Inputs!$F$17-Inputs!$D$17)*(Inputs!$F$17-Inputs!$E$17))),0)</f>
        <v>108</v>
      </c>
      <c r="J1345" s="81" t="n">
        <f aca="true">RAND()</f>
        <v>0.689521054179365</v>
      </c>
      <c r="K1345" s="83" t="n">
        <f aca="false">IF(J1345&lt;(Inputs!$E$18-Inputs!$D$18)/(Inputs!$F$18-Inputs!$D$18),Inputs!$D$18+SQRT(J1345*(Inputs!$F$18-Inputs!$D$18)*(Inputs!$E$18-Inputs!$D$18)),Inputs!$F$18-SQRT((1-J1345)*(Inputs!$F$18-Inputs!$D$18)*(Inputs!$F$18-Inputs!$E$18)))</f>
        <v>1.08517613109957</v>
      </c>
      <c r="L1345" s="81" t="n">
        <f aca="true">RAND()</f>
        <v>0.60160801456445</v>
      </c>
      <c r="M1345" s="83" t="n">
        <f aca="false">IF(L1345&lt;(Inputs!$E$24-Inputs!$D$24)/(Inputs!$F$24-Inputs!$D$24),Inputs!$D$24+SQRT(L1345*(Inputs!$F$24-Inputs!$D$24)*(Inputs!$E$24-Inputs!$D$24)),Inputs!$F$24-SQRT((1-L1345)*(Inputs!$F$24-Inputs!$D$24)*(Inputs!$F$24-Inputs!$E$24)))</f>
        <v>0.890784740828445</v>
      </c>
      <c r="N1345" s="81" t="n">
        <f aca="true">RAND()</f>
        <v>0.458182494011138</v>
      </c>
      <c r="O1345" s="83" t="n">
        <f aca="false">IF(N1345&lt;(Inputs!$E$26-Inputs!$D$26)/(Inputs!$F$26-Inputs!$D$26),Inputs!$D$26+SQRT(N1345*(Inputs!$F$26-Inputs!$D$26)*(Inputs!$E$26-Inputs!$D$26)),Inputs!$F$26-SQRT((1-N1345)*(Inputs!$F$26-Inputs!$D$26)*(Inputs!$F$26-Inputs!$E$26)))</f>
        <v>0.576118755254788</v>
      </c>
      <c r="P1345" s="81" t="n">
        <f aca="true">RAND()</f>
        <v>0.338947118671007</v>
      </c>
      <c r="Q1345" s="82" t="n">
        <f aca="false">IF(P1345&lt;(Inputs!$E$27-Inputs!$D$27)/(Inputs!$F$27-Inputs!$D$27),Inputs!$D$27+SQRT(P1345*(Inputs!$F$27-Inputs!$D$27)*(Inputs!$E$27-Inputs!$D$27)),Inputs!$F$27-SQRT((1-P1345)*(Inputs!$F$27-Inputs!$D$27)*(Inputs!$F$27-Inputs!$E$27)))</f>
        <v>79.587667202631</v>
      </c>
      <c r="R1345" s="81" t="n">
        <f aca="true">RAND()</f>
        <v>0.468853858060511</v>
      </c>
      <c r="S1345" s="82" t="n">
        <f aca="false">IF(R1345&lt;(Inputs!$E$29-Inputs!$D$29)/(Inputs!$F$29-Inputs!$D$29),Inputs!$D$29+SQRT(R1345*(Inputs!$F$29-Inputs!$D$29)*(Inputs!$E$29-Inputs!$D$29)),Inputs!$F$29-SQRT((1-R1345)*(Inputs!$F$29-Inputs!$D$29)*(Inputs!$F$29-Inputs!$E$29)))</f>
        <v>6.69042730026786</v>
      </c>
      <c r="T1345" s="68" t="n">
        <f aca="false">Inputs!$E$9*(1+E1345)+Inputs!$E$5*C1345*(Inputs!$E$11*Inputs!$E$14*(G1345*I1345/Inputs!$E$16+(1-G1345))*K1345+Inputs!$E$23*M1345)*(1+O1345)+Inputs!$E$5*(Q1345+S1345)</f>
        <v>6491.81435328223</v>
      </c>
    </row>
    <row r="1346" customFormat="false" ht="15" hidden="false" customHeight="false" outlineLevel="0" collapsed="false">
      <c r="A1346" s="1" t="n">
        <v>1342</v>
      </c>
      <c r="B1346" s="81" t="n">
        <f aca="true">RAND()</f>
        <v>0.559001835500036</v>
      </c>
      <c r="C1346" s="82" t="n">
        <f aca="false">ROUND(IF(B1346&lt;(Inputs!$E$8-Inputs!$D$8)/(Inputs!$F$8-Inputs!$D$8),Inputs!$D$8+SQRT(B1346*(Inputs!$F$8-Inputs!$D$8)*(Inputs!$E$8-Inputs!$D$8)),Inputs!$F$8-SQRT((1-B1346)*(Inputs!$F$8-Inputs!$D$8)*(Inputs!$F$8-Inputs!$E$8))),0)</f>
        <v>25</v>
      </c>
      <c r="D1346" s="81" t="n">
        <f aca="true">RAND()</f>
        <v>0.0106907082930177</v>
      </c>
      <c r="E1346" s="83" t="n">
        <f aca="false">IF(D1346&lt;(Inputs!$E$10-Inputs!$D$10)/(Inputs!$F$10-Inputs!$D$10),Inputs!$D$10+SQRT(D1346*(Inputs!$F$10-Inputs!$D$10)*(Inputs!$E$10-Inputs!$D$10)),Inputs!$F$10-SQRT((1-D1346)*(Inputs!$F$10-Inputs!$D$10)*(Inputs!$F$10-Inputs!$E$10)))</f>
        <v>0.0103395881412258</v>
      </c>
      <c r="F1346" s="81" t="n">
        <f aca="true">RAND()</f>
        <v>0.639001742289809</v>
      </c>
      <c r="G1346" s="83" t="n">
        <f aca="false">IF(F1346&lt;(Inputs!$E$15-Inputs!$D$15)/(Inputs!$F$15-Inputs!$D$15),Inputs!$D$15+SQRT(F1346*(Inputs!$F$15-Inputs!$D$15)*(Inputs!$E$15-Inputs!$D$15)),Inputs!$F$15-SQRT((1-F1346)*(Inputs!$F$15-Inputs!$D$15)*(Inputs!$F$15-Inputs!$E$15)))</f>
        <v>0.71502962190149</v>
      </c>
      <c r="H1346" s="81" t="n">
        <f aca="true">RAND()</f>
        <v>0.426512283040874</v>
      </c>
      <c r="I1346" s="82" t="n">
        <f aca="false">ROUND(IF(H1346&lt;(Inputs!$E$17-Inputs!$D$17)/(Inputs!$F$17-Inputs!$D$17),Inputs!$D$17+SQRT(H1346*(Inputs!$F$17-Inputs!$D$17)*(Inputs!$E$17-Inputs!$D$17)),Inputs!$F$17-SQRT((1-H1346)*(Inputs!$F$17-Inputs!$D$17)*(Inputs!$F$17-Inputs!$E$17))),0)</f>
        <v>106</v>
      </c>
      <c r="J1346" s="81" t="n">
        <f aca="true">RAND()</f>
        <v>0.528294074032315</v>
      </c>
      <c r="K1346" s="83" t="n">
        <f aca="false">IF(J1346&lt;(Inputs!$E$18-Inputs!$D$18)/(Inputs!$F$18-Inputs!$D$18),Inputs!$D$18+SQRT(J1346*(Inputs!$F$18-Inputs!$D$18)*(Inputs!$E$18-Inputs!$D$18)),Inputs!$F$18-SQRT((1-J1346)*(Inputs!$F$18-Inputs!$D$18)*(Inputs!$F$18-Inputs!$E$18)))</f>
        <v>1.04683930369736</v>
      </c>
      <c r="L1346" s="81" t="n">
        <f aca="true">RAND()</f>
        <v>0.749224888438676</v>
      </c>
      <c r="M1346" s="83" t="n">
        <f aca="false">IF(L1346&lt;(Inputs!$E$24-Inputs!$D$24)/(Inputs!$F$24-Inputs!$D$24),Inputs!$D$24+SQRT(L1346*(Inputs!$F$24-Inputs!$D$24)*(Inputs!$E$24-Inputs!$D$24)),Inputs!$F$24-SQRT((1-L1346)*(Inputs!$F$24-Inputs!$D$24)*(Inputs!$F$24-Inputs!$E$24)))</f>
        <v>0.954671594032167</v>
      </c>
      <c r="N1346" s="81" t="n">
        <f aca="true">RAND()</f>
        <v>0.462806682596031</v>
      </c>
      <c r="O1346" s="83" t="n">
        <f aca="false">IF(N1346&lt;(Inputs!$E$26-Inputs!$D$26)/(Inputs!$F$26-Inputs!$D$26),Inputs!$D$26+SQRT(N1346*(Inputs!$F$26-Inputs!$D$26)*(Inputs!$E$26-Inputs!$D$26)),Inputs!$F$26-SQRT((1-N1346)*(Inputs!$F$26-Inputs!$D$26)*(Inputs!$F$26-Inputs!$E$26)))</f>
        <v>0.577508616053591</v>
      </c>
      <c r="P1346" s="81" t="n">
        <f aca="true">RAND()</f>
        <v>0.12788610293559</v>
      </c>
      <c r="Q1346" s="82" t="n">
        <f aca="false">IF(P1346&lt;(Inputs!$E$27-Inputs!$D$27)/(Inputs!$F$27-Inputs!$D$27),Inputs!$D$27+SQRT(P1346*(Inputs!$F$27-Inputs!$D$27)*(Inputs!$E$27-Inputs!$D$27)),Inputs!$F$27-SQRT((1-P1346)*(Inputs!$F$27-Inputs!$D$27)*(Inputs!$F$27-Inputs!$E$27)))</f>
        <v>67.8805832494071</v>
      </c>
      <c r="R1346" s="81" t="n">
        <f aca="true">RAND()</f>
        <v>0.410264607017552</v>
      </c>
      <c r="S1346" s="82" t="n">
        <f aca="false">IF(R1346&lt;(Inputs!$E$29-Inputs!$D$29)/(Inputs!$F$29-Inputs!$D$29),Inputs!$D$29+SQRT(R1346*(Inputs!$F$29-Inputs!$D$29)*(Inputs!$E$29-Inputs!$D$29)),Inputs!$F$29-SQRT((1-R1346)*(Inputs!$F$29-Inputs!$D$29)*(Inputs!$F$29-Inputs!$E$29)))</f>
        <v>6.24411049134822</v>
      </c>
      <c r="T1346" s="68" t="n">
        <f aca="false">Inputs!$E$9*(1+E1346)+Inputs!$E$5*C1346*(Inputs!$E$11*Inputs!$E$14*(G1346*I1346/Inputs!$E$16+(1-G1346))*K1346+Inputs!$E$23*M1346)*(1+O1346)+Inputs!$E$5*(Q1346+S1346)</f>
        <v>6144.30186210028</v>
      </c>
    </row>
    <row r="1347" customFormat="false" ht="15" hidden="false" customHeight="false" outlineLevel="0" collapsed="false">
      <c r="A1347" s="1" t="n">
        <v>1343</v>
      </c>
      <c r="B1347" s="81" t="n">
        <f aca="true">RAND()</f>
        <v>0.490734263677662</v>
      </c>
      <c r="C1347" s="82" t="n">
        <f aca="false">ROUND(IF(B1347&lt;(Inputs!$E$8-Inputs!$D$8)/(Inputs!$F$8-Inputs!$D$8),Inputs!$D$8+SQRT(B1347*(Inputs!$F$8-Inputs!$D$8)*(Inputs!$E$8-Inputs!$D$8)),Inputs!$F$8-SQRT((1-B1347)*(Inputs!$F$8-Inputs!$D$8)*(Inputs!$F$8-Inputs!$E$8))),0)</f>
        <v>25</v>
      </c>
      <c r="D1347" s="81" t="n">
        <f aca="true">RAND()</f>
        <v>0.488303981720196</v>
      </c>
      <c r="E1347" s="83" t="n">
        <f aca="false">IF(D1347&lt;(Inputs!$E$10-Inputs!$D$10)/(Inputs!$F$10-Inputs!$D$10),Inputs!$D$10+SQRT(D1347*(Inputs!$F$10-Inputs!$D$10)*(Inputs!$E$10-Inputs!$D$10)),Inputs!$F$10-SQRT((1-D1347)*(Inputs!$F$10-Inputs!$D$10)*(Inputs!$F$10-Inputs!$E$10)))</f>
        <v>0.0761013295132103</v>
      </c>
      <c r="F1347" s="81" t="n">
        <f aca="true">RAND()</f>
        <v>0.921373917322637</v>
      </c>
      <c r="G1347" s="83" t="n">
        <f aca="false">IF(F1347&lt;(Inputs!$E$15-Inputs!$D$15)/(Inputs!$F$15-Inputs!$D$15),Inputs!$D$15+SQRT(F1347*(Inputs!$F$15-Inputs!$D$15)*(Inputs!$E$15-Inputs!$D$15)),Inputs!$F$15-SQRT((1-F1347)*(Inputs!$F$15-Inputs!$D$15)*(Inputs!$F$15-Inputs!$E$15)))</f>
        <v>0.760344966857317</v>
      </c>
      <c r="H1347" s="81" t="n">
        <f aca="true">RAND()</f>
        <v>0.158857390388681</v>
      </c>
      <c r="I1347" s="82" t="n">
        <f aca="false">ROUND(IF(H1347&lt;(Inputs!$E$17-Inputs!$D$17)/(Inputs!$F$17-Inputs!$D$17),Inputs!$D$17+SQRT(H1347*(Inputs!$F$17-Inputs!$D$17)*(Inputs!$E$17-Inputs!$D$17)),Inputs!$F$17-SQRT((1-H1347)*(Inputs!$F$17-Inputs!$D$17)*(Inputs!$F$17-Inputs!$E$17))),0)</f>
        <v>103</v>
      </c>
      <c r="J1347" s="81" t="n">
        <f aca="true">RAND()</f>
        <v>0.726185872025851</v>
      </c>
      <c r="K1347" s="83" t="n">
        <f aca="false">IF(J1347&lt;(Inputs!$E$18-Inputs!$D$18)/(Inputs!$F$18-Inputs!$D$18),Inputs!$D$18+SQRT(J1347*(Inputs!$F$18-Inputs!$D$18)*(Inputs!$E$18-Inputs!$D$18)),Inputs!$F$18-SQRT((1-J1347)*(Inputs!$F$18-Inputs!$D$18)*(Inputs!$F$18-Inputs!$E$18)))</f>
        <v>1.09521390179432</v>
      </c>
      <c r="L1347" s="81" t="n">
        <f aca="true">RAND()</f>
        <v>0.705833138180102</v>
      </c>
      <c r="M1347" s="83" t="n">
        <f aca="false">IF(L1347&lt;(Inputs!$E$24-Inputs!$D$24)/(Inputs!$F$24-Inputs!$D$24),Inputs!$D$24+SQRT(L1347*(Inputs!$F$24-Inputs!$D$24)*(Inputs!$E$24-Inputs!$D$24)),Inputs!$F$24-SQRT((1-L1347)*(Inputs!$F$24-Inputs!$D$24)*(Inputs!$F$24-Inputs!$E$24)))</f>
        <v>0.934293306752021</v>
      </c>
      <c r="N1347" s="81" t="n">
        <f aca="true">RAND()</f>
        <v>0.153828739145204</v>
      </c>
      <c r="O1347" s="83" t="n">
        <f aca="false">IF(N1347&lt;(Inputs!$E$26-Inputs!$D$26)/(Inputs!$F$26-Inputs!$D$26),Inputs!$D$26+SQRT(N1347*(Inputs!$F$26-Inputs!$D$26)*(Inputs!$E$26-Inputs!$D$26)),Inputs!$F$26-SQRT((1-N1347)*(Inputs!$F$26-Inputs!$D$26)*(Inputs!$F$26-Inputs!$E$26)))</f>
        <v>0.459990944099227</v>
      </c>
      <c r="P1347" s="81" t="n">
        <f aca="true">RAND()</f>
        <v>0.420404878549019</v>
      </c>
      <c r="Q1347" s="82" t="n">
        <f aca="false">IF(P1347&lt;(Inputs!$E$27-Inputs!$D$27)/(Inputs!$F$27-Inputs!$D$27),Inputs!$D$27+SQRT(P1347*(Inputs!$F$27-Inputs!$D$27)*(Inputs!$E$27-Inputs!$D$27)),Inputs!$F$27-SQRT((1-P1347)*(Inputs!$F$27-Inputs!$D$27)*(Inputs!$F$27-Inputs!$E$27)))</f>
        <v>84.0684945501594</v>
      </c>
      <c r="R1347" s="81" t="n">
        <f aca="true">RAND()</f>
        <v>0.834050150096384</v>
      </c>
      <c r="S1347" s="82" t="n">
        <f aca="false">IF(R1347&lt;(Inputs!$E$29-Inputs!$D$29)/(Inputs!$F$29-Inputs!$D$29),Inputs!$D$29+SQRT(R1347*(Inputs!$F$29-Inputs!$D$29)*(Inputs!$E$29-Inputs!$D$29)),Inputs!$F$29-SQRT((1-R1347)*(Inputs!$F$29-Inputs!$D$29)*(Inputs!$F$29-Inputs!$E$29)))</f>
        <v>10.3552739060877</v>
      </c>
      <c r="T1347" s="68" t="n">
        <f aca="false">Inputs!$E$9*(1+E1347)+Inputs!$E$5*C1347*(Inputs!$E$11*Inputs!$E$14*(G1347*I1347/Inputs!$E$16+(1-G1347))*K1347+Inputs!$E$23*M1347)*(1+O1347)+Inputs!$E$5*(Q1347+S1347)</f>
        <v>6096.35318842246</v>
      </c>
    </row>
    <row r="1348" customFormat="false" ht="15" hidden="false" customHeight="false" outlineLevel="0" collapsed="false">
      <c r="A1348" s="1" t="n">
        <v>1344</v>
      </c>
      <c r="B1348" s="81" t="n">
        <f aca="true">RAND()</f>
        <v>0.605377812752757</v>
      </c>
      <c r="C1348" s="82" t="n">
        <f aca="false">ROUND(IF(B1348&lt;(Inputs!$E$8-Inputs!$D$8)/(Inputs!$F$8-Inputs!$D$8),Inputs!$D$8+SQRT(B1348*(Inputs!$F$8-Inputs!$D$8)*(Inputs!$E$8-Inputs!$D$8)),Inputs!$F$8-SQRT((1-B1348)*(Inputs!$F$8-Inputs!$D$8)*(Inputs!$F$8-Inputs!$E$8))),0)</f>
        <v>26</v>
      </c>
      <c r="D1348" s="81" t="n">
        <f aca="true">RAND()</f>
        <v>0.0964406991505915</v>
      </c>
      <c r="E1348" s="83" t="n">
        <f aca="false">IF(D1348&lt;(Inputs!$E$10-Inputs!$D$10)/(Inputs!$F$10-Inputs!$D$10),Inputs!$D$10+SQRT(D1348*(Inputs!$F$10-Inputs!$D$10)*(Inputs!$E$10-Inputs!$D$10)),Inputs!$F$10-SQRT((1-D1348)*(Inputs!$F$10-Inputs!$D$10)*(Inputs!$F$10-Inputs!$E$10)))</f>
        <v>0.0310549028577762</v>
      </c>
      <c r="F1348" s="81" t="n">
        <f aca="true">RAND()</f>
        <v>0.970429505278549</v>
      </c>
      <c r="G1348" s="83" t="n">
        <f aca="false">IF(F1348&lt;(Inputs!$E$15-Inputs!$D$15)/(Inputs!$F$15-Inputs!$D$15),Inputs!$D$15+SQRT(F1348*(Inputs!$F$15-Inputs!$D$15)*(Inputs!$E$15-Inputs!$D$15)),Inputs!$F$15-SQRT((1-F1348)*(Inputs!$F$15-Inputs!$D$15)*(Inputs!$F$15-Inputs!$E$15)))</f>
        <v>0.775681079497046</v>
      </c>
      <c r="H1348" s="81" t="n">
        <f aca="true">RAND()</f>
        <v>0.603309591980636</v>
      </c>
      <c r="I1348" s="82" t="n">
        <f aca="false">ROUND(IF(H1348&lt;(Inputs!$E$17-Inputs!$D$17)/(Inputs!$F$17-Inputs!$D$17),Inputs!$D$17+SQRT(H1348*(Inputs!$F$17-Inputs!$D$17)*(Inputs!$E$17-Inputs!$D$17)),Inputs!$F$17-SQRT((1-H1348)*(Inputs!$F$17-Inputs!$D$17)*(Inputs!$F$17-Inputs!$E$17))),0)</f>
        <v>107</v>
      </c>
      <c r="J1348" s="81" t="n">
        <f aca="true">RAND()</f>
        <v>0.395435642562655</v>
      </c>
      <c r="K1348" s="83" t="n">
        <f aca="false">IF(J1348&lt;(Inputs!$E$18-Inputs!$D$18)/(Inputs!$F$18-Inputs!$D$18),Inputs!$D$18+SQRT(J1348*(Inputs!$F$18-Inputs!$D$18)*(Inputs!$E$18-Inputs!$D$18)),Inputs!$F$18-SQRT((1-J1348)*(Inputs!$F$18-Inputs!$D$18)*(Inputs!$F$18-Inputs!$E$18)))</f>
        <v>1.02000134505661</v>
      </c>
      <c r="L1348" s="81" t="n">
        <f aca="true">RAND()</f>
        <v>0.527039635334447</v>
      </c>
      <c r="M1348" s="83" t="n">
        <f aca="false">IF(L1348&lt;(Inputs!$E$24-Inputs!$D$24)/(Inputs!$F$24-Inputs!$D$24),Inputs!$D$24+SQRT(L1348*(Inputs!$F$24-Inputs!$D$24)*(Inputs!$E$24-Inputs!$D$24)),Inputs!$F$24-SQRT((1-L1348)*(Inputs!$F$24-Inputs!$D$24)*(Inputs!$F$24-Inputs!$E$24)))</f>
        <v>0.863086824953768</v>
      </c>
      <c r="N1348" s="81" t="n">
        <f aca="true">RAND()</f>
        <v>0.442408861477447</v>
      </c>
      <c r="O1348" s="83" t="n">
        <f aca="false">IF(N1348&lt;(Inputs!$E$26-Inputs!$D$26)/(Inputs!$F$26-Inputs!$D$26),Inputs!$D$26+SQRT(N1348*(Inputs!$F$26-Inputs!$D$26)*(Inputs!$E$26-Inputs!$D$26)),Inputs!$F$26-SQRT((1-N1348)*(Inputs!$F$26-Inputs!$D$26)*(Inputs!$F$26-Inputs!$E$26)))</f>
        <v>0.571324224038045</v>
      </c>
      <c r="P1348" s="81" t="n">
        <f aca="true">RAND()</f>
        <v>0.53175571530019</v>
      </c>
      <c r="Q1348" s="82" t="n">
        <f aca="false">IF(P1348&lt;(Inputs!$E$27-Inputs!$D$27)/(Inputs!$F$27-Inputs!$D$27),Inputs!$D$27+SQRT(P1348*(Inputs!$F$27-Inputs!$D$27)*(Inputs!$E$27-Inputs!$D$27)),Inputs!$F$27-SQRT((1-P1348)*(Inputs!$F$27-Inputs!$D$27)*(Inputs!$F$27-Inputs!$E$27)))</f>
        <v>90.7392867470482</v>
      </c>
      <c r="R1348" s="81" t="n">
        <f aca="true">RAND()</f>
        <v>0.267930111499091</v>
      </c>
      <c r="S1348" s="82" t="n">
        <f aca="false">IF(R1348&lt;(Inputs!$E$29-Inputs!$D$29)/(Inputs!$F$29-Inputs!$D$29),Inputs!$D$29+SQRT(R1348*(Inputs!$F$29-Inputs!$D$29)*(Inputs!$E$29-Inputs!$D$29)),Inputs!$F$29-SQRT((1-R1348)*(Inputs!$F$29-Inputs!$D$29)*(Inputs!$F$29-Inputs!$E$29)))</f>
        <v>5.24453560792116</v>
      </c>
      <c r="T1348" s="68" t="n">
        <f aca="false">Inputs!$E$9*(1+E1348)+Inputs!$E$5*C1348*(Inputs!$E$11*Inputs!$E$14*(G1348*I1348/Inputs!$E$16+(1-G1348))*K1348+Inputs!$E$23*M1348)*(1+O1348)+Inputs!$E$5*(Q1348+S1348)</f>
        <v>6165.01538602453</v>
      </c>
    </row>
    <row r="1349" customFormat="false" ht="15" hidden="false" customHeight="false" outlineLevel="0" collapsed="false">
      <c r="A1349" s="1" t="n">
        <v>1345</v>
      </c>
      <c r="B1349" s="81" t="n">
        <f aca="true">RAND()</f>
        <v>0.397860044998073</v>
      </c>
      <c r="C1349" s="82" t="n">
        <f aca="false">ROUND(IF(B1349&lt;(Inputs!$E$8-Inputs!$D$8)/(Inputs!$F$8-Inputs!$D$8),Inputs!$D$8+SQRT(B1349*(Inputs!$F$8-Inputs!$D$8)*(Inputs!$E$8-Inputs!$D$8)),Inputs!$F$8-SQRT((1-B1349)*(Inputs!$F$8-Inputs!$D$8)*(Inputs!$F$8-Inputs!$E$8))),0)</f>
        <v>24</v>
      </c>
      <c r="D1349" s="81" t="n">
        <f aca="true">RAND()</f>
        <v>0.720876179684811</v>
      </c>
      <c r="E1349" s="83" t="n">
        <f aca="false">IF(D1349&lt;(Inputs!$E$10-Inputs!$D$10)/(Inputs!$F$10-Inputs!$D$10),Inputs!$D$10+SQRT(D1349*(Inputs!$F$10-Inputs!$D$10)*(Inputs!$E$10-Inputs!$D$10)),Inputs!$F$10-SQRT((1-D1349)*(Inputs!$F$10-Inputs!$D$10)*(Inputs!$F$10-Inputs!$E$10)))</f>
        <v>0.108491997019629</v>
      </c>
      <c r="F1349" s="81" t="n">
        <f aca="true">RAND()</f>
        <v>0.0253029402026889</v>
      </c>
      <c r="G1349" s="83" t="n">
        <f aca="false">IF(F1349&lt;(Inputs!$E$15-Inputs!$D$15)/(Inputs!$F$15-Inputs!$D$15),Inputs!$D$15+SQRT(F1349*(Inputs!$F$15-Inputs!$D$15)*(Inputs!$E$15-Inputs!$D$15)),Inputs!$F$15-SQRT((1-F1349)*(Inputs!$F$15-Inputs!$D$15)*(Inputs!$F$15-Inputs!$E$15)))</f>
        <v>0.622495750799957</v>
      </c>
      <c r="H1349" s="81" t="n">
        <f aca="true">RAND()</f>
        <v>0.997187593600286</v>
      </c>
      <c r="I1349" s="82" t="n">
        <f aca="false">ROUND(IF(H1349&lt;(Inputs!$E$17-Inputs!$D$17)/(Inputs!$F$17-Inputs!$D$17),Inputs!$D$17+SQRT(H1349*(Inputs!$F$17-Inputs!$D$17)*(Inputs!$E$17-Inputs!$D$17)),Inputs!$F$17-SQRT((1-H1349)*(Inputs!$F$17-Inputs!$D$17)*(Inputs!$F$17-Inputs!$E$17))),0)</f>
        <v>114</v>
      </c>
      <c r="J1349" s="81" t="n">
        <f aca="true">RAND()</f>
        <v>0.192438933510909</v>
      </c>
      <c r="K1349" s="83" t="n">
        <f aca="false">IF(J1349&lt;(Inputs!$E$18-Inputs!$D$18)/(Inputs!$F$18-Inputs!$D$18),Inputs!$D$18+SQRT(J1349*(Inputs!$F$18-Inputs!$D$18)*(Inputs!$E$18-Inputs!$D$18)),Inputs!$F$18-SQRT((1-J1349)*(Inputs!$F$18-Inputs!$D$18)*(Inputs!$F$18-Inputs!$E$18)))</f>
        <v>0.982069255344994</v>
      </c>
      <c r="L1349" s="81" t="n">
        <f aca="true">RAND()</f>
        <v>0.597143275584822</v>
      </c>
      <c r="M1349" s="83" t="n">
        <f aca="false">IF(L1349&lt;(Inputs!$E$24-Inputs!$D$24)/(Inputs!$F$24-Inputs!$D$24),Inputs!$D$24+SQRT(L1349*(Inputs!$F$24-Inputs!$D$24)*(Inputs!$E$24-Inputs!$D$24)),Inputs!$F$24-SQRT((1-L1349)*(Inputs!$F$24-Inputs!$D$24)*(Inputs!$F$24-Inputs!$E$24)))</f>
        <v>0.889056896105344</v>
      </c>
      <c r="N1349" s="81" t="n">
        <f aca="true">RAND()</f>
        <v>0.516715954517453</v>
      </c>
      <c r="O1349" s="83" t="n">
        <f aca="false">IF(N1349&lt;(Inputs!$E$26-Inputs!$D$26)/(Inputs!$F$26-Inputs!$D$26),Inputs!$D$26+SQRT(N1349*(Inputs!$F$26-Inputs!$D$26)*(Inputs!$E$26-Inputs!$D$26)),Inputs!$F$26-SQRT((1-N1349)*(Inputs!$F$26-Inputs!$D$26)*(Inputs!$F$26-Inputs!$E$26)))</f>
        <v>0.593226081431554</v>
      </c>
      <c r="P1349" s="81" t="n">
        <f aca="true">RAND()</f>
        <v>0.165744589764981</v>
      </c>
      <c r="Q1349" s="82" t="n">
        <f aca="false">IF(P1349&lt;(Inputs!$E$27-Inputs!$D$27)/(Inputs!$F$27-Inputs!$D$27),Inputs!$D$27+SQRT(P1349*(Inputs!$F$27-Inputs!$D$27)*(Inputs!$E$27-Inputs!$D$27)),Inputs!$F$27-SQRT((1-P1349)*(Inputs!$F$27-Inputs!$D$27)*(Inputs!$F$27-Inputs!$E$27)))</f>
        <v>70.3558707603593</v>
      </c>
      <c r="R1349" s="81" t="n">
        <f aca="true">RAND()</f>
        <v>0.554907366808007</v>
      </c>
      <c r="S1349" s="82" t="n">
        <f aca="false">IF(R1349&lt;(Inputs!$E$29-Inputs!$D$29)/(Inputs!$F$29-Inputs!$D$29),Inputs!$D$29+SQRT(R1349*(Inputs!$F$29-Inputs!$D$29)*(Inputs!$E$29-Inputs!$D$29)),Inputs!$F$29-SQRT((1-R1349)*(Inputs!$F$29-Inputs!$D$29)*(Inputs!$F$29-Inputs!$E$29)))</f>
        <v>7.39328965222422</v>
      </c>
      <c r="T1349" s="68" t="n">
        <f aca="false">Inputs!$E$9*(1+E1349)+Inputs!$E$5*C1349*(Inputs!$E$11*Inputs!$E$14*(G1349*I1349/Inputs!$E$16+(1-G1349))*K1349+Inputs!$E$23*M1349)*(1+O1349)+Inputs!$E$5*(Q1349+S1349)</f>
        <v>6240.46659695231</v>
      </c>
    </row>
    <row r="1350" customFormat="false" ht="15" hidden="false" customHeight="false" outlineLevel="0" collapsed="false">
      <c r="A1350" s="1" t="n">
        <v>1346</v>
      </c>
      <c r="B1350" s="81" t="n">
        <f aca="true">RAND()</f>
        <v>0.195875657658541</v>
      </c>
      <c r="C1350" s="82" t="n">
        <f aca="false">ROUND(IF(B1350&lt;(Inputs!$E$8-Inputs!$D$8)/(Inputs!$F$8-Inputs!$D$8),Inputs!$D$8+SQRT(B1350*(Inputs!$F$8-Inputs!$D$8)*(Inputs!$E$8-Inputs!$D$8)),Inputs!$F$8-SQRT((1-B1350)*(Inputs!$F$8-Inputs!$D$8)*(Inputs!$F$8-Inputs!$E$8))),0)</f>
        <v>23</v>
      </c>
      <c r="D1350" s="81" t="n">
        <f aca="true">RAND()</f>
        <v>0.0575974227144773</v>
      </c>
      <c r="E1350" s="83" t="n">
        <f aca="false">IF(D1350&lt;(Inputs!$E$10-Inputs!$D$10)/(Inputs!$F$10-Inputs!$D$10),Inputs!$D$10+SQRT(D1350*(Inputs!$F$10-Inputs!$D$10)*(Inputs!$E$10-Inputs!$D$10)),Inputs!$F$10-SQRT((1-D1350)*(Inputs!$F$10-Inputs!$D$10)*(Inputs!$F$10-Inputs!$E$10)))</f>
        <v>0.0239994630595098</v>
      </c>
      <c r="F1350" s="81" t="n">
        <f aca="true">RAND()</f>
        <v>0.116386000234056</v>
      </c>
      <c r="G1350" s="83" t="n">
        <f aca="false">IF(F1350&lt;(Inputs!$E$15-Inputs!$D$15)/(Inputs!$F$15-Inputs!$D$15),Inputs!$D$15+SQRT(F1350*(Inputs!$F$15-Inputs!$D$15)*(Inputs!$E$15-Inputs!$D$15)),Inputs!$F$15-SQRT((1-F1350)*(Inputs!$F$15-Inputs!$D$15)*(Inputs!$F$15-Inputs!$E$15)))</f>
        <v>0.648246450695166</v>
      </c>
      <c r="H1350" s="81" t="n">
        <f aca="true">RAND()</f>
        <v>0.823600109486405</v>
      </c>
      <c r="I1350" s="82" t="n">
        <f aca="false">ROUND(IF(H1350&lt;(Inputs!$E$17-Inputs!$D$17)/(Inputs!$F$17-Inputs!$D$17),Inputs!$D$17+SQRT(H1350*(Inputs!$F$17-Inputs!$D$17)*(Inputs!$E$17-Inputs!$D$17)),Inputs!$F$17-SQRT((1-H1350)*(Inputs!$F$17-Inputs!$D$17)*(Inputs!$F$17-Inputs!$E$17))),0)</f>
        <v>110</v>
      </c>
      <c r="J1350" s="81" t="n">
        <f aca="true">RAND()</f>
        <v>0.860636809339956</v>
      </c>
      <c r="K1350" s="83" t="n">
        <f aca="false">IF(J1350&lt;(Inputs!$E$18-Inputs!$D$18)/(Inputs!$F$18-Inputs!$D$18),Inputs!$D$18+SQRT(J1350*(Inputs!$F$18-Inputs!$D$18)*(Inputs!$E$18-Inputs!$D$18)),Inputs!$F$18-SQRT((1-J1350)*(Inputs!$F$18-Inputs!$D$18)*(Inputs!$F$18-Inputs!$E$18)))</f>
        <v>1.1395722897876</v>
      </c>
      <c r="L1350" s="81" t="n">
        <f aca="true">RAND()</f>
        <v>0.379018740922389</v>
      </c>
      <c r="M1350" s="83" t="n">
        <f aca="false">IF(L1350&lt;(Inputs!$E$24-Inputs!$D$24)/(Inputs!$F$24-Inputs!$D$24),Inputs!$D$24+SQRT(L1350*(Inputs!$F$24-Inputs!$D$24)*(Inputs!$E$24-Inputs!$D$24)),Inputs!$F$24-SQRT((1-L1350)*(Inputs!$F$24-Inputs!$D$24)*(Inputs!$F$24-Inputs!$E$24)))</f>
        <v>0.813948834765874</v>
      </c>
      <c r="N1350" s="81" t="n">
        <f aca="true">RAND()</f>
        <v>0.911092787616446</v>
      </c>
      <c r="O1350" s="83" t="n">
        <f aca="false">IF(N1350&lt;(Inputs!$E$26-Inputs!$D$26)/(Inputs!$F$26-Inputs!$D$26),Inputs!$D$26+SQRT(N1350*(Inputs!$F$26-Inputs!$D$26)*(Inputs!$E$26-Inputs!$D$26)),Inputs!$F$26-SQRT((1-N1350)*(Inputs!$F$26-Inputs!$D$26)*(Inputs!$F$26-Inputs!$E$26)))</f>
        <v>0.723842056553347</v>
      </c>
      <c r="P1350" s="81" t="n">
        <f aca="true">RAND()</f>
        <v>0.94201702228963</v>
      </c>
      <c r="Q1350" s="82" t="n">
        <f aca="false">IF(P1350&lt;(Inputs!$E$27-Inputs!$D$27)/(Inputs!$F$27-Inputs!$D$27),Inputs!$D$27+SQRT(P1350*(Inputs!$F$27-Inputs!$D$27)*(Inputs!$E$27-Inputs!$D$27)),Inputs!$F$27-SQRT((1-P1350)*(Inputs!$F$27-Inputs!$D$27)*(Inputs!$F$27-Inputs!$E$27)))</f>
        <v>129.146407196174</v>
      </c>
      <c r="R1350" s="81" t="n">
        <f aca="true">RAND()</f>
        <v>0.381610924484146</v>
      </c>
      <c r="S1350" s="82" t="n">
        <f aca="false">IF(R1350&lt;(Inputs!$E$29-Inputs!$D$29)/(Inputs!$F$29-Inputs!$D$29),Inputs!$D$29+SQRT(R1350*(Inputs!$F$29-Inputs!$D$29)*(Inputs!$E$29-Inputs!$D$29)),Inputs!$F$29-SQRT((1-R1350)*(Inputs!$F$29-Inputs!$D$29)*(Inputs!$F$29-Inputs!$E$29)))</f>
        <v>6.03392059944476</v>
      </c>
      <c r="T1350" s="68" t="n">
        <f aca="false">Inputs!$E$9*(1+E1350)+Inputs!$E$5*C1350*(Inputs!$E$11*Inputs!$E$14*(G1350*I1350/Inputs!$E$16+(1-G1350))*K1350+Inputs!$E$23*M1350)*(1+O1350)+Inputs!$E$5*(Q1350+S1350)</f>
        <v>6644.38125813859</v>
      </c>
    </row>
    <row r="1351" customFormat="false" ht="15" hidden="false" customHeight="false" outlineLevel="0" collapsed="false">
      <c r="A1351" s="1" t="n">
        <v>1347</v>
      </c>
      <c r="B1351" s="81" t="n">
        <f aca="true">RAND()</f>
        <v>0.199568042102312</v>
      </c>
      <c r="C1351" s="82" t="n">
        <f aca="false">ROUND(IF(B1351&lt;(Inputs!$E$8-Inputs!$D$8)/(Inputs!$F$8-Inputs!$D$8),Inputs!$D$8+SQRT(B1351*(Inputs!$F$8-Inputs!$D$8)*(Inputs!$E$8-Inputs!$D$8)),Inputs!$F$8-SQRT((1-B1351)*(Inputs!$F$8-Inputs!$D$8)*(Inputs!$F$8-Inputs!$E$8))),0)</f>
        <v>23</v>
      </c>
      <c r="D1351" s="81" t="n">
        <f aca="true">RAND()</f>
        <v>0.452764774341184</v>
      </c>
      <c r="E1351" s="83" t="n">
        <f aca="false">IF(D1351&lt;(Inputs!$E$10-Inputs!$D$10)/(Inputs!$F$10-Inputs!$D$10),Inputs!$D$10+SQRT(D1351*(Inputs!$F$10-Inputs!$D$10)*(Inputs!$E$10-Inputs!$D$10)),Inputs!$F$10-SQRT((1-D1351)*(Inputs!$F$10-Inputs!$D$10)*(Inputs!$F$10-Inputs!$E$10)))</f>
        <v>0.0718709370604605</v>
      </c>
      <c r="F1351" s="81" t="n">
        <f aca="true">RAND()</f>
        <v>0.845521778305423</v>
      </c>
      <c r="G1351" s="83" t="n">
        <f aca="false">IF(F1351&lt;(Inputs!$E$15-Inputs!$D$15)/(Inputs!$F$15-Inputs!$D$15),Inputs!$D$15+SQRT(F1351*(Inputs!$F$15-Inputs!$D$15)*(Inputs!$E$15-Inputs!$D$15)),Inputs!$F$15-SQRT((1-F1351)*(Inputs!$F$15-Inputs!$D$15)*(Inputs!$F$15-Inputs!$E$15)))</f>
        <v>0.744416149522622</v>
      </c>
      <c r="H1351" s="81" t="n">
        <f aca="true">RAND()</f>
        <v>0.260550239389966</v>
      </c>
      <c r="I1351" s="82" t="n">
        <f aca="false">ROUND(IF(H1351&lt;(Inputs!$E$17-Inputs!$D$17)/(Inputs!$F$17-Inputs!$D$17),Inputs!$D$17+SQRT(H1351*(Inputs!$F$17-Inputs!$D$17)*(Inputs!$E$17-Inputs!$D$17)),Inputs!$F$17-SQRT((1-H1351)*(Inputs!$F$17-Inputs!$D$17)*(Inputs!$F$17-Inputs!$E$17))),0)</f>
        <v>104</v>
      </c>
      <c r="J1351" s="81" t="n">
        <f aca="true">RAND()</f>
        <v>0.79972466983038</v>
      </c>
      <c r="K1351" s="83" t="n">
        <f aca="false">IF(J1351&lt;(Inputs!$E$18-Inputs!$D$18)/(Inputs!$F$18-Inputs!$D$18),Inputs!$D$18+SQRT(J1351*(Inputs!$F$18-Inputs!$D$18)*(Inputs!$E$18-Inputs!$D$18)),Inputs!$F$18-SQRT((1-J1351)*(Inputs!$F$18-Inputs!$D$18)*(Inputs!$F$18-Inputs!$E$18)))</f>
        <v>1.11762140886895</v>
      </c>
      <c r="L1351" s="81" t="n">
        <f aca="true">RAND()</f>
        <v>0.51916617454294</v>
      </c>
      <c r="M1351" s="83" t="n">
        <f aca="false">IF(L1351&lt;(Inputs!$E$24-Inputs!$D$24)/(Inputs!$F$24-Inputs!$D$24),Inputs!$D$24+SQRT(L1351*(Inputs!$F$24-Inputs!$D$24)*(Inputs!$E$24-Inputs!$D$24)),Inputs!$F$24-SQRT((1-L1351)*(Inputs!$F$24-Inputs!$D$24)*(Inputs!$F$24-Inputs!$E$24)))</f>
        <v>0.86029407112961</v>
      </c>
      <c r="N1351" s="81" t="n">
        <f aca="true">RAND()</f>
        <v>0.0492802708181304</v>
      </c>
      <c r="O1351" s="83" t="n">
        <f aca="false">IF(N1351&lt;(Inputs!$E$26-Inputs!$D$26)/(Inputs!$F$26-Inputs!$D$26),Inputs!$D$26+SQRT(N1351*(Inputs!$F$26-Inputs!$D$26)*(Inputs!$E$26-Inputs!$D$26)),Inputs!$F$26-SQRT((1-N1351)*(Inputs!$F$26-Inputs!$D$26)*(Inputs!$F$26-Inputs!$E$26)))</f>
        <v>0.390555160339634</v>
      </c>
      <c r="P1351" s="81" t="n">
        <f aca="true">RAND()</f>
        <v>0.767287431919541</v>
      </c>
      <c r="Q1351" s="82" t="n">
        <f aca="false">IF(P1351&lt;(Inputs!$E$27-Inputs!$D$27)/(Inputs!$F$27-Inputs!$D$27),Inputs!$D$27+SQRT(P1351*(Inputs!$F$27-Inputs!$D$27)*(Inputs!$E$27-Inputs!$D$27)),Inputs!$F$27-SQRT((1-P1351)*(Inputs!$F$27-Inputs!$D$27)*(Inputs!$F$27-Inputs!$E$27)))</f>
        <v>108.222682462807</v>
      </c>
      <c r="R1351" s="81" t="n">
        <f aca="true">RAND()</f>
        <v>0.0456810448261525</v>
      </c>
      <c r="S1351" s="82" t="n">
        <f aca="false">IF(R1351&lt;(Inputs!$E$29-Inputs!$D$29)/(Inputs!$F$29-Inputs!$D$29),Inputs!$D$29+SQRT(R1351*(Inputs!$F$29-Inputs!$D$29)*(Inputs!$E$29-Inputs!$D$29)),Inputs!$F$29-SQRT((1-R1351)*(Inputs!$F$29-Inputs!$D$29)*(Inputs!$F$29-Inputs!$E$29)))</f>
        <v>3.33475119337648</v>
      </c>
      <c r="T1351" s="68" t="n">
        <f aca="false">Inputs!$E$9*(1+E1351)+Inputs!$E$5*C1351*(Inputs!$E$11*Inputs!$E$14*(G1351*I1351/Inputs!$E$16+(1-G1351))*K1351+Inputs!$E$23*M1351)*(1+O1351)+Inputs!$E$5*(Q1351+S1351)</f>
        <v>5752.39692635326</v>
      </c>
    </row>
    <row r="1352" customFormat="false" ht="15" hidden="false" customHeight="false" outlineLevel="0" collapsed="false">
      <c r="A1352" s="1" t="n">
        <v>1348</v>
      </c>
      <c r="B1352" s="81" t="n">
        <f aca="true">RAND()</f>
        <v>0.0358760999171333</v>
      </c>
      <c r="C1352" s="82" t="n">
        <f aca="false">ROUND(IF(B1352&lt;(Inputs!$E$8-Inputs!$D$8)/(Inputs!$F$8-Inputs!$D$8),Inputs!$D$8+SQRT(B1352*(Inputs!$F$8-Inputs!$D$8)*(Inputs!$E$8-Inputs!$D$8)),Inputs!$F$8-SQRT((1-B1352)*(Inputs!$F$8-Inputs!$D$8)*(Inputs!$F$8-Inputs!$E$8))),0)</f>
        <v>21</v>
      </c>
      <c r="D1352" s="81" t="n">
        <f aca="true">RAND()</f>
        <v>0.447485783394519</v>
      </c>
      <c r="E1352" s="83" t="n">
        <f aca="false">IF(D1352&lt;(Inputs!$E$10-Inputs!$D$10)/(Inputs!$F$10-Inputs!$D$10),Inputs!$D$10+SQRT(D1352*(Inputs!$F$10-Inputs!$D$10)*(Inputs!$E$10-Inputs!$D$10)),Inputs!$F$10-SQRT((1-D1352)*(Inputs!$F$10-Inputs!$D$10)*(Inputs!$F$10-Inputs!$E$10)))</f>
        <v>0.0712544117331998</v>
      </c>
      <c r="F1352" s="81" t="n">
        <f aca="true">RAND()</f>
        <v>0.476749798522208</v>
      </c>
      <c r="G1352" s="83" t="n">
        <f aca="false">IF(F1352&lt;(Inputs!$E$15-Inputs!$D$15)/(Inputs!$F$15-Inputs!$D$15),Inputs!$D$15+SQRT(F1352*(Inputs!$F$15-Inputs!$D$15)*(Inputs!$E$15-Inputs!$D$15)),Inputs!$F$15-SQRT((1-F1352)*(Inputs!$F$15-Inputs!$D$15)*(Inputs!$F$15-Inputs!$E$15)))</f>
        <v>0.697647303958912</v>
      </c>
      <c r="H1352" s="81" t="n">
        <f aca="true">RAND()</f>
        <v>0.766998719347774</v>
      </c>
      <c r="I1352" s="82" t="n">
        <f aca="false">ROUND(IF(H1352&lt;(Inputs!$E$17-Inputs!$D$17)/(Inputs!$F$17-Inputs!$D$17),Inputs!$D$17+SQRT(H1352*(Inputs!$F$17-Inputs!$D$17)*(Inputs!$E$17-Inputs!$D$17)),Inputs!$F$17-SQRT((1-H1352)*(Inputs!$F$17-Inputs!$D$17)*(Inputs!$F$17-Inputs!$E$17))),0)</f>
        <v>109</v>
      </c>
      <c r="J1352" s="81" t="n">
        <f aca="true">RAND()</f>
        <v>0.457497331025101</v>
      </c>
      <c r="K1352" s="83" t="n">
        <f aca="false">IF(J1352&lt;(Inputs!$E$18-Inputs!$D$18)/(Inputs!$F$18-Inputs!$D$18),Inputs!$D$18+SQRT(J1352*(Inputs!$F$18-Inputs!$D$18)*(Inputs!$E$18-Inputs!$D$18)),Inputs!$F$18-SQRT((1-J1352)*(Inputs!$F$18-Inputs!$D$18)*(Inputs!$F$18-Inputs!$E$18)))</f>
        <v>1.0321262210928</v>
      </c>
      <c r="L1352" s="81" t="n">
        <f aca="true">RAND()</f>
        <v>0.29435068597466</v>
      </c>
      <c r="M1352" s="83" t="n">
        <f aca="false">IF(L1352&lt;(Inputs!$E$24-Inputs!$D$24)/(Inputs!$F$24-Inputs!$D$24),Inputs!$D$24+SQRT(L1352*(Inputs!$F$24-Inputs!$D$24)*(Inputs!$E$24-Inputs!$D$24)),Inputs!$F$24-SQRT((1-L1352)*(Inputs!$F$24-Inputs!$D$24)*(Inputs!$F$24-Inputs!$E$24)))</f>
        <v>0.787941699249952</v>
      </c>
      <c r="N1352" s="81" t="n">
        <f aca="true">RAND()</f>
        <v>0.0187006618971774</v>
      </c>
      <c r="O1352" s="83" t="n">
        <f aca="false">IF(N1352&lt;(Inputs!$E$26-Inputs!$D$26)/(Inputs!$F$26-Inputs!$D$26),Inputs!$D$26+SQRT(N1352*(Inputs!$F$26-Inputs!$D$26)*(Inputs!$E$26-Inputs!$D$26)),Inputs!$F$26-SQRT((1-N1352)*(Inputs!$F$26-Inputs!$D$26)*(Inputs!$F$26-Inputs!$E$26)))</f>
        <v>0.355783421728058</v>
      </c>
      <c r="P1352" s="81" t="n">
        <f aca="true">RAND()</f>
        <v>0.351018239349264</v>
      </c>
      <c r="Q1352" s="82" t="n">
        <f aca="false">IF(P1352&lt;(Inputs!$E$27-Inputs!$D$27)/(Inputs!$F$27-Inputs!$D$27),Inputs!$D$27+SQRT(P1352*(Inputs!$F$27-Inputs!$D$27)*(Inputs!$E$27-Inputs!$D$27)),Inputs!$F$27-SQRT((1-P1352)*(Inputs!$F$27-Inputs!$D$27)*(Inputs!$F$27-Inputs!$E$27)))</f>
        <v>80.233509441276</v>
      </c>
      <c r="R1352" s="81" t="n">
        <f aca="true">RAND()</f>
        <v>0.614326666470984</v>
      </c>
      <c r="S1352" s="82" t="n">
        <f aca="false">IF(R1352&lt;(Inputs!$E$29-Inputs!$D$29)/(Inputs!$F$29-Inputs!$D$29),Inputs!$D$29+SQRT(R1352*(Inputs!$F$29-Inputs!$D$29)*(Inputs!$E$29-Inputs!$D$29)),Inputs!$F$29-SQRT((1-R1352)*(Inputs!$F$29-Inputs!$D$29)*(Inputs!$F$29-Inputs!$E$29)))</f>
        <v>7.91921378950246</v>
      </c>
      <c r="T1352" s="68" t="n">
        <f aca="false">Inputs!$E$9*(1+E1352)+Inputs!$E$5*C1352*(Inputs!$E$11*Inputs!$E$14*(G1352*I1352/Inputs!$E$16+(1-G1352))*K1352+Inputs!$E$23*M1352)*(1+O1352)+Inputs!$E$5*(Q1352+S1352)</f>
        <v>5211.81517196213</v>
      </c>
    </row>
    <row r="1353" customFormat="false" ht="15" hidden="false" customHeight="false" outlineLevel="0" collapsed="false">
      <c r="A1353" s="1" t="n">
        <v>1349</v>
      </c>
      <c r="B1353" s="81" t="n">
        <f aca="true">RAND()</f>
        <v>0.907203314814048</v>
      </c>
      <c r="C1353" s="82" t="n">
        <f aca="false">ROUND(IF(B1353&lt;(Inputs!$E$8-Inputs!$D$8)/(Inputs!$F$8-Inputs!$D$8),Inputs!$D$8+SQRT(B1353*(Inputs!$F$8-Inputs!$D$8)*(Inputs!$E$8-Inputs!$D$8)),Inputs!$F$8-SQRT((1-B1353)*(Inputs!$F$8-Inputs!$D$8)*(Inputs!$F$8-Inputs!$E$8))),0)</f>
        <v>28</v>
      </c>
      <c r="D1353" s="81" t="n">
        <f aca="true">RAND()</f>
        <v>0.4251429329324</v>
      </c>
      <c r="E1353" s="83" t="n">
        <f aca="false">IF(D1353&lt;(Inputs!$E$10-Inputs!$D$10)/(Inputs!$F$10-Inputs!$D$10),Inputs!$D$10+SQRT(D1353*(Inputs!$F$10-Inputs!$D$10)*(Inputs!$E$10-Inputs!$D$10)),Inputs!$F$10-SQRT((1-D1353)*(Inputs!$F$10-Inputs!$D$10)*(Inputs!$F$10-Inputs!$E$10)))</f>
        <v>0.0686770697401707</v>
      </c>
      <c r="F1353" s="81" t="n">
        <f aca="true">RAND()</f>
        <v>0.702776647917978</v>
      </c>
      <c r="G1353" s="83" t="n">
        <f aca="false">IF(F1353&lt;(Inputs!$E$15-Inputs!$D$15)/(Inputs!$F$15-Inputs!$D$15),Inputs!$D$15+SQRT(F1353*(Inputs!$F$15-Inputs!$D$15)*(Inputs!$E$15-Inputs!$D$15)),Inputs!$F$15-SQRT((1-F1353)*(Inputs!$F$15-Inputs!$D$15)*(Inputs!$F$15-Inputs!$E$15)))</f>
        <v>0.72289963008104</v>
      </c>
      <c r="H1353" s="81" t="n">
        <f aca="true">RAND()</f>
        <v>0.949567968751496</v>
      </c>
      <c r="I1353" s="82" t="n">
        <f aca="false">ROUND(IF(H1353&lt;(Inputs!$E$17-Inputs!$D$17)/(Inputs!$F$17-Inputs!$D$17),Inputs!$D$17+SQRT(H1353*(Inputs!$F$17-Inputs!$D$17)*(Inputs!$E$17-Inputs!$D$17)),Inputs!$F$17-SQRT((1-H1353)*(Inputs!$F$17-Inputs!$D$17)*(Inputs!$F$17-Inputs!$E$17))),0)</f>
        <v>112</v>
      </c>
      <c r="J1353" s="81" t="n">
        <f aca="true">RAND()</f>
        <v>0.450561688641802</v>
      </c>
      <c r="K1353" s="83" t="n">
        <f aca="false">IF(J1353&lt;(Inputs!$E$18-Inputs!$D$18)/(Inputs!$F$18-Inputs!$D$18),Inputs!$D$18+SQRT(J1353*(Inputs!$F$18-Inputs!$D$18)*(Inputs!$E$18-Inputs!$D$18)),Inputs!$F$18-SQRT((1-J1353)*(Inputs!$F$18-Inputs!$D$18)*(Inputs!$F$18-Inputs!$E$18)))</f>
        <v>1.03073793706197</v>
      </c>
      <c r="L1353" s="81" t="n">
        <f aca="true">RAND()</f>
        <v>0.301579679062882</v>
      </c>
      <c r="M1353" s="83" t="n">
        <f aca="false">IF(L1353&lt;(Inputs!$E$24-Inputs!$D$24)/(Inputs!$F$24-Inputs!$D$24),Inputs!$D$24+SQRT(L1353*(Inputs!$F$24-Inputs!$D$24)*(Inputs!$E$24-Inputs!$D$24)),Inputs!$F$24-SQRT((1-L1353)*(Inputs!$F$24-Inputs!$D$24)*(Inputs!$F$24-Inputs!$E$24)))</f>
        <v>0.790235542124877</v>
      </c>
      <c r="N1353" s="81" t="n">
        <f aca="true">RAND()</f>
        <v>0.455597149762017</v>
      </c>
      <c r="O1353" s="83" t="n">
        <f aca="false">IF(N1353&lt;(Inputs!$E$26-Inputs!$D$26)/(Inputs!$F$26-Inputs!$D$26),Inputs!$D$26+SQRT(N1353*(Inputs!$F$26-Inputs!$D$26)*(Inputs!$E$26-Inputs!$D$26)),Inputs!$F$26-SQRT((1-N1353)*(Inputs!$F$26-Inputs!$D$26)*(Inputs!$F$26-Inputs!$E$26)))</f>
        <v>0.575338638262776</v>
      </c>
      <c r="P1353" s="81" t="n">
        <f aca="true">RAND()</f>
        <v>0.318067289995032</v>
      </c>
      <c r="Q1353" s="82" t="n">
        <f aca="false">IF(P1353&lt;(Inputs!$E$27-Inputs!$D$27)/(Inputs!$F$27-Inputs!$D$27),Inputs!$D$27+SQRT(P1353*(Inputs!$F$27-Inputs!$D$27)*(Inputs!$E$27-Inputs!$D$27)),Inputs!$F$27-SQRT((1-P1353)*(Inputs!$F$27-Inputs!$D$27)*(Inputs!$F$27-Inputs!$E$27)))</f>
        <v>78.4843001499862</v>
      </c>
      <c r="R1353" s="81" t="n">
        <f aca="true">RAND()</f>
        <v>0.773251986487497</v>
      </c>
      <c r="S1353" s="82" t="n">
        <f aca="false">IF(R1353&lt;(Inputs!$E$29-Inputs!$D$29)/(Inputs!$F$29-Inputs!$D$29),Inputs!$D$29+SQRT(R1353*(Inputs!$F$29-Inputs!$D$29)*(Inputs!$E$29-Inputs!$D$29)),Inputs!$F$29-SQRT((1-R1353)*(Inputs!$F$29-Inputs!$D$29)*(Inputs!$F$29-Inputs!$E$29)))</f>
        <v>9.57070522474369</v>
      </c>
      <c r="T1353" s="68" t="n">
        <f aca="false">Inputs!$E$9*(1+E1353)+Inputs!$E$5*C1353*(Inputs!$E$11*Inputs!$E$14*(G1353*I1353/Inputs!$E$16+(1-G1353))*K1353+Inputs!$E$23*M1353)*(1+O1353)+Inputs!$E$5*(Q1353+S1353)</f>
        <v>6536.67887254197</v>
      </c>
    </row>
    <row r="1354" customFormat="false" ht="15" hidden="false" customHeight="false" outlineLevel="0" collapsed="false">
      <c r="A1354" s="1" t="n">
        <v>1350</v>
      </c>
      <c r="B1354" s="81" t="n">
        <f aca="true">RAND()</f>
        <v>0.987933460851941</v>
      </c>
      <c r="C1354" s="82" t="n">
        <f aca="false">ROUND(IF(B1354&lt;(Inputs!$E$8-Inputs!$D$8)/(Inputs!$F$8-Inputs!$D$8),Inputs!$D$8+SQRT(B1354*(Inputs!$F$8-Inputs!$D$8)*(Inputs!$E$8-Inputs!$D$8)),Inputs!$F$8-SQRT((1-B1354)*(Inputs!$F$8-Inputs!$D$8)*(Inputs!$F$8-Inputs!$E$8))),0)</f>
        <v>29</v>
      </c>
      <c r="D1354" s="81" t="n">
        <f aca="true">RAND()</f>
        <v>0.828765285871363</v>
      </c>
      <c r="E1354" s="83" t="n">
        <f aca="false">IF(D1354&lt;(Inputs!$E$10-Inputs!$D$10)/(Inputs!$F$10-Inputs!$D$10),Inputs!$D$10+SQRT(D1354*(Inputs!$F$10-Inputs!$D$10)*(Inputs!$E$10-Inputs!$D$10)),Inputs!$F$10-SQRT((1-D1354)*(Inputs!$F$10-Inputs!$D$10)*(Inputs!$F$10-Inputs!$E$10)))</f>
        <v>0.128326843073162</v>
      </c>
      <c r="F1354" s="81" t="n">
        <f aca="true">RAND()</f>
        <v>0.0519157360815249</v>
      </c>
      <c r="G1354" s="83" t="n">
        <f aca="false">IF(F1354&lt;(Inputs!$E$15-Inputs!$D$15)/(Inputs!$F$15-Inputs!$D$15),Inputs!$D$15+SQRT(F1354*(Inputs!$F$15-Inputs!$D$15)*(Inputs!$E$15-Inputs!$D$15)),Inputs!$F$15-SQRT((1-F1354)*(Inputs!$F$15-Inputs!$D$15)*(Inputs!$F$15-Inputs!$E$15)))</f>
        <v>0.632222891267397</v>
      </c>
      <c r="H1354" s="81" t="n">
        <f aca="true">RAND()</f>
        <v>0.228546718530362</v>
      </c>
      <c r="I1354" s="82" t="n">
        <f aca="false">ROUND(IF(H1354&lt;(Inputs!$E$17-Inputs!$D$17)/(Inputs!$F$17-Inputs!$D$17),Inputs!$D$17+SQRT(H1354*(Inputs!$F$17-Inputs!$D$17)*(Inputs!$E$17-Inputs!$D$17)),Inputs!$F$17-SQRT((1-H1354)*(Inputs!$F$17-Inputs!$D$17)*(Inputs!$F$17-Inputs!$E$17))),0)</f>
        <v>104</v>
      </c>
      <c r="J1354" s="81" t="n">
        <f aca="true">RAND()</f>
        <v>0.610628247740847</v>
      </c>
      <c r="K1354" s="83" t="n">
        <f aca="false">IF(J1354&lt;(Inputs!$E$18-Inputs!$D$18)/(Inputs!$F$18-Inputs!$D$18),Inputs!$D$18+SQRT(J1354*(Inputs!$F$18-Inputs!$D$18)*(Inputs!$E$18-Inputs!$D$18)),Inputs!$F$18-SQRT((1-J1354)*(Inputs!$F$18-Inputs!$D$18)*(Inputs!$F$18-Inputs!$E$18)))</f>
        <v>1.06541931757988</v>
      </c>
      <c r="L1354" s="81" t="n">
        <f aca="true">RAND()</f>
        <v>0.300214060351528</v>
      </c>
      <c r="M1354" s="83" t="n">
        <f aca="false">IF(L1354&lt;(Inputs!$E$24-Inputs!$D$24)/(Inputs!$F$24-Inputs!$D$24),Inputs!$D$24+SQRT(L1354*(Inputs!$F$24-Inputs!$D$24)*(Inputs!$E$24-Inputs!$D$24)),Inputs!$F$24-SQRT((1-L1354)*(Inputs!$F$24-Inputs!$D$24)*(Inputs!$F$24-Inputs!$E$24)))</f>
        <v>0.789804339366052</v>
      </c>
      <c r="N1354" s="81" t="n">
        <f aca="true">RAND()</f>
        <v>0.830555380995585</v>
      </c>
      <c r="O1354" s="83" t="n">
        <f aca="false">IF(N1354&lt;(Inputs!$E$26-Inputs!$D$26)/(Inputs!$F$26-Inputs!$D$26),Inputs!$D$26+SQRT(N1354*(Inputs!$F$26-Inputs!$D$26)*(Inputs!$E$26-Inputs!$D$26)),Inputs!$F$26-SQRT((1-N1354)*(Inputs!$F$26-Inputs!$D$26)*(Inputs!$F$26-Inputs!$E$26)))</f>
        <v>0.687251213276884</v>
      </c>
      <c r="P1354" s="81" t="n">
        <f aca="true">RAND()</f>
        <v>0.347848163505716</v>
      </c>
      <c r="Q1354" s="82" t="n">
        <f aca="false">IF(P1354&lt;(Inputs!$E$27-Inputs!$D$27)/(Inputs!$F$27-Inputs!$D$27),Inputs!$D$27+SQRT(P1354*(Inputs!$F$27-Inputs!$D$27)*(Inputs!$E$27-Inputs!$D$27)),Inputs!$F$27-SQRT((1-P1354)*(Inputs!$F$27-Inputs!$D$27)*(Inputs!$F$27-Inputs!$E$27)))</f>
        <v>80.0633231150698</v>
      </c>
      <c r="R1354" s="81" t="n">
        <f aca="true">RAND()</f>
        <v>0.507885027760685</v>
      </c>
      <c r="S1354" s="82" t="n">
        <f aca="false">IF(R1354&lt;(Inputs!$E$29-Inputs!$D$29)/(Inputs!$F$29-Inputs!$D$29),Inputs!$D$29+SQRT(R1354*(Inputs!$F$29-Inputs!$D$29)*(Inputs!$E$29-Inputs!$D$29)),Inputs!$F$29-SQRT((1-R1354)*(Inputs!$F$29-Inputs!$D$29)*(Inputs!$F$29-Inputs!$E$29)))</f>
        <v>7.00156600382857</v>
      </c>
      <c r="T1354" s="68" t="n">
        <f aca="false">Inputs!$E$9*(1+E1354)+Inputs!$E$5*C1354*(Inputs!$E$11*Inputs!$E$14*(G1354*I1354/Inputs!$E$16+(1-G1354))*K1354+Inputs!$E$23*M1354)*(1+O1354)+Inputs!$E$5*(Q1354+S1354)</f>
        <v>7198.83568376639</v>
      </c>
    </row>
    <row r="1355" customFormat="false" ht="15" hidden="false" customHeight="false" outlineLevel="0" collapsed="false">
      <c r="A1355" s="1" t="n">
        <v>1351</v>
      </c>
      <c r="B1355" s="81" t="n">
        <f aca="true">RAND()</f>
        <v>0.380753187201483</v>
      </c>
      <c r="C1355" s="82" t="n">
        <f aca="false">ROUND(IF(B1355&lt;(Inputs!$E$8-Inputs!$D$8)/(Inputs!$F$8-Inputs!$D$8),Inputs!$D$8+SQRT(B1355*(Inputs!$F$8-Inputs!$D$8)*(Inputs!$E$8-Inputs!$D$8)),Inputs!$F$8-SQRT((1-B1355)*(Inputs!$F$8-Inputs!$D$8)*(Inputs!$F$8-Inputs!$E$8))),0)</f>
        <v>24</v>
      </c>
      <c r="D1355" s="81" t="n">
        <f aca="true">RAND()</f>
        <v>0.264664699995987</v>
      </c>
      <c r="E1355" s="83" t="n">
        <f aca="false">IF(D1355&lt;(Inputs!$E$10-Inputs!$D$10)/(Inputs!$F$10-Inputs!$D$10),Inputs!$D$10+SQRT(D1355*(Inputs!$F$10-Inputs!$D$10)*(Inputs!$E$10-Inputs!$D$10)),Inputs!$F$10-SQRT((1-D1355)*(Inputs!$F$10-Inputs!$D$10)*(Inputs!$F$10-Inputs!$E$10)))</f>
        <v>0.0514737093975603</v>
      </c>
      <c r="F1355" s="81" t="n">
        <f aca="true">RAND()</f>
        <v>0.524815956066659</v>
      </c>
      <c r="G1355" s="83" t="n">
        <f aca="false">IF(F1355&lt;(Inputs!$E$15-Inputs!$D$15)/(Inputs!$F$15-Inputs!$D$15),Inputs!$D$15+SQRT(F1355*(Inputs!$F$15-Inputs!$D$15)*(Inputs!$E$15-Inputs!$D$15)),Inputs!$F$15-SQRT((1-F1355)*(Inputs!$F$15-Inputs!$D$15)*(Inputs!$F$15-Inputs!$E$15)))</f>
        <v>0.702513175871471</v>
      </c>
      <c r="H1355" s="81" t="n">
        <f aca="true">RAND()</f>
        <v>0.366661277768573</v>
      </c>
      <c r="I1355" s="82" t="n">
        <f aca="false">ROUND(IF(H1355&lt;(Inputs!$E$17-Inputs!$D$17)/(Inputs!$F$17-Inputs!$D$17),Inputs!$D$17+SQRT(H1355*(Inputs!$F$17-Inputs!$D$17)*(Inputs!$E$17-Inputs!$D$17)),Inputs!$F$17-SQRT((1-H1355)*(Inputs!$F$17-Inputs!$D$17)*(Inputs!$F$17-Inputs!$E$17))),0)</f>
        <v>105</v>
      </c>
      <c r="J1355" s="81" t="n">
        <f aca="true">RAND()</f>
        <v>0.983310024712289</v>
      </c>
      <c r="K1355" s="83" t="n">
        <f aca="false">IF(J1355&lt;(Inputs!$E$18-Inputs!$D$18)/(Inputs!$F$18-Inputs!$D$18),Inputs!$D$18+SQRT(J1355*(Inputs!$F$18-Inputs!$D$18)*(Inputs!$E$18-Inputs!$D$18)),Inputs!$F$18-SQRT((1-J1355)*(Inputs!$F$18-Inputs!$D$18)*(Inputs!$F$18-Inputs!$E$18)))</f>
        <v>1.21178517515839</v>
      </c>
      <c r="L1355" s="81" t="n">
        <f aca="true">RAND()</f>
        <v>0.521411351926764</v>
      </c>
      <c r="M1355" s="83" t="n">
        <f aca="false">IF(L1355&lt;(Inputs!$E$24-Inputs!$D$24)/(Inputs!$F$24-Inputs!$D$24),Inputs!$D$24+SQRT(L1355*(Inputs!$F$24-Inputs!$D$24)*(Inputs!$E$24-Inputs!$D$24)),Inputs!$F$24-SQRT((1-L1355)*(Inputs!$F$24-Inputs!$D$24)*(Inputs!$F$24-Inputs!$E$24)))</f>
        <v>0.861088100625581</v>
      </c>
      <c r="N1355" s="81" t="n">
        <f aca="true">RAND()</f>
        <v>0.731008782140261</v>
      </c>
      <c r="O1355" s="83" t="n">
        <f aca="false">IF(N1355&lt;(Inputs!$E$26-Inputs!$D$26)/(Inputs!$F$26-Inputs!$D$26),Inputs!$D$26+SQRT(N1355*(Inputs!$F$26-Inputs!$D$26)*(Inputs!$E$26-Inputs!$D$26)),Inputs!$F$26-SQRT((1-N1355)*(Inputs!$F$26-Inputs!$D$26)*(Inputs!$F$26-Inputs!$E$26)))</f>
        <v>0.652742454109201</v>
      </c>
      <c r="P1355" s="81" t="n">
        <f aca="true">RAND()</f>
        <v>0.688891964810328</v>
      </c>
      <c r="Q1355" s="82" t="n">
        <f aca="false">IF(P1355&lt;(Inputs!$E$27-Inputs!$D$27)/(Inputs!$F$27-Inputs!$D$27),Inputs!$D$27+SQRT(P1355*(Inputs!$F$27-Inputs!$D$27)*(Inputs!$E$27-Inputs!$D$27)),Inputs!$F$27-SQRT((1-P1355)*(Inputs!$F$27-Inputs!$D$27)*(Inputs!$F$27-Inputs!$E$27)))</f>
        <v>101.695649637713</v>
      </c>
      <c r="R1355" s="81" t="n">
        <f aca="true">RAND()</f>
        <v>0.649309009436328</v>
      </c>
      <c r="S1355" s="82" t="n">
        <f aca="false">IF(R1355&lt;(Inputs!$E$29-Inputs!$D$29)/(Inputs!$F$29-Inputs!$D$29),Inputs!$D$29+SQRT(R1355*(Inputs!$F$29-Inputs!$D$29)*(Inputs!$E$29-Inputs!$D$29)),Inputs!$F$29-SQRT((1-R1355)*(Inputs!$F$29-Inputs!$D$29)*(Inputs!$F$29-Inputs!$E$29)))</f>
        <v>8.247975949889</v>
      </c>
      <c r="T1355" s="68" t="n">
        <f aca="false">Inputs!$E$9*(1+E1355)+Inputs!$E$5*C1355*(Inputs!$E$11*Inputs!$E$14*(G1355*I1355/Inputs!$E$16+(1-G1355))*K1355+Inputs!$E$23*M1355)*(1+O1355)+Inputs!$E$5*(Q1355+S1355)</f>
        <v>6657.83741085026</v>
      </c>
    </row>
    <row r="1356" customFormat="false" ht="15" hidden="false" customHeight="false" outlineLevel="0" collapsed="false">
      <c r="A1356" s="1" t="n">
        <v>1352</v>
      </c>
      <c r="B1356" s="81" t="n">
        <f aca="true">RAND()</f>
        <v>0.356047213575421</v>
      </c>
      <c r="C1356" s="82" t="n">
        <f aca="false">ROUND(IF(B1356&lt;(Inputs!$E$8-Inputs!$D$8)/(Inputs!$F$8-Inputs!$D$8),Inputs!$D$8+SQRT(B1356*(Inputs!$F$8-Inputs!$D$8)*(Inputs!$E$8-Inputs!$D$8)),Inputs!$F$8-SQRT((1-B1356)*(Inputs!$F$8-Inputs!$D$8)*(Inputs!$F$8-Inputs!$E$8))),0)</f>
        <v>24</v>
      </c>
      <c r="D1356" s="81" t="n">
        <f aca="true">RAND()</f>
        <v>0.375216389422123</v>
      </c>
      <c r="E1356" s="83" t="n">
        <f aca="false">IF(D1356&lt;(Inputs!$E$10-Inputs!$D$10)/(Inputs!$F$10-Inputs!$D$10),Inputs!$D$10+SQRT(D1356*(Inputs!$F$10-Inputs!$D$10)*(Inputs!$E$10-Inputs!$D$10)),Inputs!$F$10-SQRT((1-D1356)*(Inputs!$F$10-Inputs!$D$10)*(Inputs!$F$10-Inputs!$E$10)))</f>
        <v>0.0630930669493457</v>
      </c>
      <c r="F1356" s="81" t="n">
        <f aca="true">RAND()</f>
        <v>0.0112433737013292</v>
      </c>
      <c r="G1356" s="83" t="n">
        <f aca="false">IF(F1356&lt;(Inputs!$E$15-Inputs!$D$15)/(Inputs!$F$15-Inputs!$D$15),Inputs!$D$15+SQRT(F1356*(Inputs!$F$15-Inputs!$D$15)*(Inputs!$E$15-Inputs!$D$15)),Inputs!$F$15-SQRT((1-F1356)*(Inputs!$F$15-Inputs!$D$15)*(Inputs!$F$15-Inputs!$E$15)))</f>
        <v>0.614995581816875</v>
      </c>
      <c r="H1356" s="81" t="n">
        <f aca="true">RAND()</f>
        <v>0.325974310916915</v>
      </c>
      <c r="I1356" s="82" t="n">
        <f aca="false">ROUND(IF(H1356&lt;(Inputs!$E$17-Inputs!$D$17)/(Inputs!$F$17-Inputs!$D$17),Inputs!$D$17+SQRT(H1356*(Inputs!$F$17-Inputs!$D$17)*(Inputs!$E$17-Inputs!$D$17)),Inputs!$F$17-SQRT((1-H1356)*(Inputs!$F$17-Inputs!$D$17)*(Inputs!$F$17-Inputs!$E$17))),0)</f>
        <v>105</v>
      </c>
      <c r="J1356" s="81" t="n">
        <f aca="true">RAND()</f>
        <v>0.311551789531697</v>
      </c>
      <c r="K1356" s="83" t="n">
        <f aca="false">IF(J1356&lt;(Inputs!$E$18-Inputs!$D$18)/(Inputs!$F$18-Inputs!$D$18),Inputs!$D$18+SQRT(J1356*(Inputs!$F$18-Inputs!$D$18)*(Inputs!$E$18-Inputs!$D$18)),Inputs!$F$18-SQRT((1-J1356)*(Inputs!$F$18-Inputs!$D$18)*(Inputs!$F$18-Inputs!$E$18)))</f>
        <v>1.00456320891933</v>
      </c>
      <c r="L1356" s="81" t="n">
        <f aca="true">RAND()</f>
        <v>0.595084240034139</v>
      </c>
      <c r="M1356" s="83" t="n">
        <f aca="false">IF(L1356&lt;(Inputs!$E$24-Inputs!$D$24)/(Inputs!$F$24-Inputs!$D$24),Inputs!$D$24+SQRT(L1356*(Inputs!$F$24-Inputs!$D$24)*(Inputs!$E$24-Inputs!$D$24)),Inputs!$F$24-SQRT((1-L1356)*(Inputs!$F$24-Inputs!$D$24)*(Inputs!$F$24-Inputs!$E$24)))</f>
        <v>0.888263280328084</v>
      </c>
      <c r="N1356" s="81" t="n">
        <f aca="true">RAND()</f>
        <v>0.84134884261165</v>
      </c>
      <c r="O1356" s="83" t="n">
        <f aca="false">IF(N1356&lt;(Inputs!$E$26-Inputs!$D$26)/(Inputs!$F$26-Inputs!$D$26),Inputs!$D$26+SQRT(N1356*(Inputs!$F$26-Inputs!$D$26)*(Inputs!$E$26-Inputs!$D$26)),Inputs!$F$26-SQRT((1-N1356)*(Inputs!$F$26-Inputs!$D$26)*(Inputs!$F$26-Inputs!$E$26)))</f>
        <v>0.691548762682532</v>
      </c>
      <c r="P1356" s="81" t="n">
        <f aca="true">RAND()</f>
        <v>0.477771175293694</v>
      </c>
      <c r="Q1356" s="82" t="n">
        <f aca="false">IF(P1356&lt;(Inputs!$E$27-Inputs!$D$27)/(Inputs!$F$27-Inputs!$D$27),Inputs!$D$27+SQRT(P1356*(Inputs!$F$27-Inputs!$D$27)*(Inputs!$E$27-Inputs!$D$27)),Inputs!$F$27-SQRT((1-P1356)*(Inputs!$F$27-Inputs!$D$27)*(Inputs!$F$27-Inputs!$E$27)))</f>
        <v>87.4163265276215</v>
      </c>
      <c r="R1356" s="81" t="n">
        <f aca="true">RAND()</f>
        <v>0.177437396913452</v>
      </c>
      <c r="S1356" s="82" t="n">
        <f aca="false">IF(R1356&lt;(Inputs!$E$29-Inputs!$D$29)/(Inputs!$F$29-Inputs!$D$29),Inputs!$D$29+SQRT(R1356*(Inputs!$F$29-Inputs!$D$29)*(Inputs!$E$29-Inputs!$D$29)),Inputs!$F$29-SQRT((1-R1356)*(Inputs!$F$29-Inputs!$D$29)*(Inputs!$F$29-Inputs!$E$29)))</f>
        <v>4.63060040287852</v>
      </c>
      <c r="T1356" s="68" t="n">
        <f aca="false">Inputs!$E$9*(1+E1356)+Inputs!$E$5*C1356*(Inputs!$E$11*Inputs!$E$14*(G1356*I1356/Inputs!$E$16+(1-G1356))*K1356+Inputs!$E$23*M1356)*(1+O1356)+Inputs!$E$5*(Q1356+S1356)</f>
        <v>6390.15666641877</v>
      </c>
    </row>
    <row r="1357" customFormat="false" ht="15" hidden="false" customHeight="false" outlineLevel="0" collapsed="false">
      <c r="A1357" s="1" t="n">
        <v>1353</v>
      </c>
      <c r="B1357" s="81" t="n">
        <f aca="true">RAND()</f>
        <v>0.242783597292353</v>
      </c>
      <c r="C1357" s="82" t="n">
        <f aca="false">ROUND(IF(B1357&lt;(Inputs!$E$8-Inputs!$D$8)/(Inputs!$F$8-Inputs!$D$8),Inputs!$D$8+SQRT(B1357*(Inputs!$F$8-Inputs!$D$8)*(Inputs!$E$8-Inputs!$D$8)),Inputs!$F$8-SQRT((1-B1357)*(Inputs!$F$8-Inputs!$D$8)*(Inputs!$F$8-Inputs!$E$8))),0)</f>
        <v>23</v>
      </c>
      <c r="D1357" s="81" t="n">
        <f aca="true">RAND()</f>
        <v>0.50530420755464</v>
      </c>
      <c r="E1357" s="83" t="n">
        <f aca="false">IF(D1357&lt;(Inputs!$E$10-Inputs!$D$10)/(Inputs!$F$10-Inputs!$D$10),Inputs!$D$10+SQRT(D1357*(Inputs!$F$10-Inputs!$D$10)*(Inputs!$E$10-Inputs!$D$10)),Inputs!$F$10-SQRT((1-D1357)*(Inputs!$F$10-Inputs!$D$10)*(Inputs!$F$10-Inputs!$E$10)))</f>
        <v>0.078176875046809</v>
      </c>
      <c r="F1357" s="81" t="n">
        <f aca="true">RAND()</f>
        <v>0.107912043419253</v>
      </c>
      <c r="G1357" s="83" t="n">
        <f aca="false">IF(F1357&lt;(Inputs!$E$15-Inputs!$D$15)/(Inputs!$F$15-Inputs!$D$15),Inputs!$D$15+SQRT(F1357*(Inputs!$F$15-Inputs!$D$15)*(Inputs!$E$15-Inputs!$D$15)),Inputs!$F$15-SQRT((1-F1357)*(Inputs!$F$15-Inputs!$D$15)*(Inputs!$F$15-Inputs!$E$15)))</f>
        <v>0.646456871056767</v>
      </c>
      <c r="H1357" s="81" t="n">
        <f aca="true">RAND()</f>
        <v>0.712210260746105</v>
      </c>
      <c r="I1357" s="82" t="n">
        <f aca="false">ROUND(IF(H1357&lt;(Inputs!$E$17-Inputs!$D$17)/(Inputs!$F$17-Inputs!$D$17),Inputs!$D$17+SQRT(H1357*(Inputs!$F$17-Inputs!$D$17)*(Inputs!$E$17-Inputs!$D$17)),Inputs!$F$17-SQRT((1-H1357)*(Inputs!$F$17-Inputs!$D$17)*(Inputs!$F$17-Inputs!$E$17))),0)</f>
        <v>108</v>
      </c>
      <c r="J1357" s="81" t="n">
        <f aca="true">RAND()</f>
        <v>0.0677133799147422</v>
      </c>
      <c r="K1357" s="83" t="n">
        <f aca="false">IF(J1357&lt;(Inputs!$E$18-Inputs!$D$18)/(Inputs!$F$18-Inputs!$D$18),Inputs!$D$18+SQRT(J1357*(Inputs!$F$18-Inputs!$D$18)*(Inputs!$E$18-Inputs!$D$18)),Inputs!$F$18-SQRT((1-J1357)*(Inputs!$F$18-Inputs!$D$18)*(Inputs!$F$18-Inputs!$E$18)))</f>
        <v>0.948682320168784</v>
      </c>
      <c r="L1357" s="81" t="n">
        <f aca="true">RAND()</f>
        <v>0.697747398694306</v>
      </c>
      <c r="M1357" s="83" t="n">
        <f aca="false">IF(L1357&lt;(Inputs!$E$24-Inputs!$D$24)/(Inputs!$F$24-Inputs!$D$24),Inputs!$D$24+SQRT(L1357*(Inputs!$F$24-Inputs!$D$24)*(Inputs!$E$24-Inputs!$D$24)),Inputs!$F$24-SQRT((1-L1357)*(Inputs!$F$24-Inputs!$D$24)*(Inputs!$F$24-Inputs!$E$24)))</f>
        <v>0.930666332751796</v>
      </c>
      <c r="N1357" s="81" t="n">
        <f aca="true">RAND()</f>
        <v>0.842887094268844</v>
      </c>
      <c r="O1357" s="83" t="n">
        <f aca="false">IF(N1357&lt;(Inputs!$E$26-Inputs!$D$26)/(Inputs!$F$26-Inputs!$D$26),Inputs!$D$26+SQRT(N1357*(Inputs!$F$26-Inputs!$D$26)*(Inputs!$E$26-Inputs!$D$26)),Inputs!$F$26-SQRT((1-N1357)*(Inputs!$F$26-Inputs!$D$26)*(Inputs!$F$26-Inputs!$E$26)))</f>
        <v>0.692172998955462</v>
      </c>
      <c r="P1357" s="81" t="n">
        <f aca="true">RAND()</f>
        <v>0.744058932737964</v>
      </c>
      <c r="Q1357" s="82" t="n">
        <f aca="false">IF(P1357&lt;(Inputs!$E$27-Inputs!$D$27)/(Inputs!$F$27-Inputs!$D$27),Inputs!$D$27+SQRT(P1357*(Inputs!$F$27-Inputs!$D$27)*(Inputs!$E$27-Inputs!$D$27)),Inputs!$F$27-SQRT((1-P1357)*(Inputs!$F$27-Inputs!$D$27)*(Inputs!$F$27-Inputs!$E$27)))</f>
        <v>106.187239250816</v>
      </c>
      <c r="R1357" s="81" t="n">
        <f aca="true">RAND()</f>
        <v>0.581666884159707</v>
      </c>
      <c r="S1357" s="82" t="n">
        <f aca="false">IF(R1357&lt;(Inputs!$E$29-Inputs!$D$29)/(Inputs!$F$29-Inputs!$D$29),Inputs!$D$29+SQRT(R1357*(Inputs!$F$29-Inputs!$D$29)*(Inputs!$E$29-Inputs!$D$29)),Inputs!$F$29-SQRT((1-R1357)*(Inputs!$F$29-Inputs!$D$29)*(Inputs!$F$29-Inputs!$E$29)))</f>
        <v>7.62549628386845</v>
      </c>
      <c r="T1357" s="68" t="n">
        <f aca="false">Inputs!$E$9*(1+E1357)+Inputs!$E$5*C1357*(Inputs!$E$11*Inputs!$E$14*(G1357*I1357/Inputs!$E$16+(1-G1357))*K1357+Inputs!$E$23*M1357)*(1+O1357)+Inputs!$E$5*(Q1357+S1357)</f>
        <v>6310.82073432802</v>
      </c>
    </row>
    <row r="1358" customFormat="false" ht="15" hidden="false" customHeight="false" outlineLevel="0" collapsed="false">
      <c r="A1358" s="1" t="n">
        <v>1354</v>
      </c>
      <c r="B1358" s="81" t="n">
        <f aca="true">RAND()</f>
        <v>0.411420203932316</v>
      </c>
      <c r="C1358" s="82" t="n">
        <f aca="false">ROUND(IF(B1358&lt;(Inputs!$E$8-Inputs!$D$8)/(Inputs!$F$8-Inputs!$D$8),Inputs!$D$8+SQRT(B1358*(Inputs!$F$8-Inputs!$D$8)*(Inputs!$E$8-Inputs!$D$8)),Inputs!$F$8-SQRT((1-B1358)*(Inputs!$F$8-Inputs!$D$8)*(Inputs!$F$8-Inputs!$E$8))),0)</f>
        <v>25</v>
      </c>
      <c r="D1358" s="81" t="n">
        <f aca="true">RAND()</f>
        <v>0.73559469379705</v>
      </c>
      <c r="E1358" s="83" t="n">
        <f aca="false">IF(D1358&lt;(Inputs!$E$10-Inputs!$D$10)/(Inputs!$F$10-Inputs!$D$10),Inputs!$D$10+SQRT(D1358*(Inputs!$F$10-Inputs!$D$10)*(Inputs!$E$10-Inputs!$D$10)),Inputs!$F$10-SQRT((1-D1358)*(Inputs!$F$10-Inputs!$D$10)*(Inputs!$F$10-Inputs!$E$10)))</f>
        <v>0.110937330008086</v>
      </c>
      <c r="F1358" s="81" t="n">
        <f aca="true">RAND()</f>
        <v>0.199121867995068</v>
      </c>
      <c r="G1358" s="83" t="n">
        <f aca="false">IF(F1358&lt;(Inputs!$E$15-Inputs!$D$15)/(Inputs!$F$15-Inputs!$D$15),Inputs!$D$15+SQRT(F1358*(Inputs!$F$15-Inputs!$D$15)*(Inputs!$E$15-Inputs!$D$15)),Inputs!$F$15-SQRT((1-F1358)*(Inputs!$F$15-Inputs!$D$15)*(Inputs!$F$15-Inputs!$E$15)))</f>
        <v>0.663106555601628</v>
      </c>
      <c r="H1358" s="81" t="n">
        <f aca="true">RAND()</f>
        <v>0.586561245104987</v>
      </c>
      <c r="I1358" s="82" t="n">
        <f aca="false">ROUND(IF(H1358&lt;(Inputs!$E$17-Inputs!$D$17)/(Inputs!$F$17-Inputs!$D$17),Inputs!$D$17+SQRT(H1358*(Inputs!$F$17-Inputs!$D$17)*(Inputs!$E$17-Inputs!$D$17)),Inputs!$F$17-SQRT((1-H1358)*(Inputs!$F$17-Inputs!$D$17)*(Inputs!$F$17-Inputs!$E$17))),0)</f>
        <v>107</v>
      </c>
      <c r="J1358" s="81" t="n">
        <f aca="true">RAND()</f>
        <v>0.284540142109127</v>
      </c>
      <c r="K1358" s="83" t="n">
        <f aca="false">IF(J1358&lt;(Inputs!$E$18-Inputs!$D$18)/(Inputs!$F$18-Inputs!$D$18),Inputs!$D$18+SQRT(J1358*(Inputs!$F$18-Inputs!$D$18)*(Inputs!$E$18-Inputs!$D$18)),Inputs!$F$18-SQRT((1-J1358)*(Inputs!$F$18-Inputs!$D$18)*(Inputs!$F$18-Inputs!$E$18)))</f>
        <v>0.999794313334075</v>
      </c>
      <c r="L1358" s="81" t="n">
        <f aca="true">RAND()</f>
        <v>0.726849970981897</v>
      </c>
      <c r="M1358" s="83" t="n">
        <f aca="false">IF(L1358&lt;(Inputs!$E$24-Inputs!$D$24)/(Inputs!$F$24-Inputs!$D$24),Inputs!$D$24+SQRT(L1358*(Inputs!$F$24-Inputs!$D$24)*(Inputs!$E$24-Inputs!$D$24)),Inputs!$F$24-SQRT((1-L1358)*(Inputs!$F$24-Inputs!$D$24)*(Inputs!$F$24-Inputs!$E$24)))</f>
        <v>0.943960926879617</v>
      </c>
      <c r="N1358" s="81" t="n">
        <f aca="true">RAND()</f>
        <v>0.154727825685898</v>
      </c>
      <c r="O1358" s="83" t="n">
        <f aca="false">IF(N1358&lt;(Inputs!$E$26-Inputs!$D$26)/(Inputs!$F$26-Inputs!$D$26),Inputs!$D$26+SQRT(N1358*(Inputs!$F$26-Inputs!$D$26)*(Inputs!$E$26-Inputs!$D$26)),Inputs!$F$26-SQRT((1-N1358)*(Inputs!$F$26-Inputs!$D$26)*(Inputs!$F$26-Inputs!$E$26)))</f>
        <v>0.46045781437541</v>
      </c>
      <c r="P1358" s="81" t="n">
        <f aca="true">RAND()</f>
        <v>0.931407745868912</v>
      </c>
      <c r="Q1358" s="82" t="n">
        <f aca="false">IF(P1358&lt;(Inputs!$E$27-Inputs!$D$27)/(Inputs!$F$27-Inputs!$D$27),Inputs!$D$27+SQRT(P1358*(Inputs!$F$27-Inputs!$D$27)*(Inputs!$E$27-Inputs!$D$27)),Inputs!$F$27-SQRT((1-P1358)*(Inputs!$F$27-Inputs!$D$27)*(Inputs!$F$27-Inputs!$E$27)))</f>
        <v>127.318688177639</v>
      </c>
      <c r="R1358" s="81" t="n">
        <f aca="true">RAND()</f>
        <v>0.997205576535786</v>
      </c>
      <c r="S1358" s="82" t="n">
        <f aca="false">IF(R1358&lt;(Inputs!$E$29-Inputs!$D$29)/(Inputs!$F$29-Inputs!$D$29),Inputs!$D$29+SQRT(R1358*(Inputs!$F$29-Inputs!$D$29)*(Inputs!$E$29-Inputs!$D$29)),Inputs!$F$29-SQRT((1-R1358)*(Inputs!$F$29-Inputs!$D$29)*(Inputs!$F$29-Inputs!$E$29)))</f>
        <v>14.3972769704517</v>
      </c>
      <c r="T1358" s="68" t="n">
        <f aca="false">Inputs!$E$9*(1+E1358)+Inputs!$E$5*C1358*(Inputs!$E$11*Inputs!$E$14*(G1358*I1358/Inputs!$E$16+(1-G1358))*K1358+Inputs!$E$23*M1358)*(1+O1358)+Inputs!$E$5*(Q1358+S1358)</f>
        <v>6406.6703126968</v>
      </c>
    </row>
    <row r="1359" customFormat="false" ht="15" hidden="false" customHeight="false" outlineLevel="0" collapsed="false">
      <c r="A1359" s="1" t="n">
        <v>1355</v>
      </c>
      <c r="B1359" s="81" t="n">
        <f aca="true">RAND()</f>
        <v>0.438416467048309</v>
      </c>
      <c r="C1359" s="82" t="n">
        <f aca="false">ROUND(IF(B1359&lt;(Inputs!$E$8-Inputs!$D$8)/(Inputs!$F$8-Inputs!$D$8),Inputs!$D$8+SQRT(B1359*(Inputs!$F$8-Inputs!$D$8)*(Inputs!$E$8-Inputs!$D$8)),Inputs!$F$8-SQRT((1-B1359)*(Inputs!$F$8-Inputs!$D$8)*(Inputs!$F$8-Inputs!$E$8))),0)</f>
        <v>25</v>
      </c>
      <c r="D1359" s="81" t="n">
        <f aca="true">RAND()</f>
        <v>0.271673823568612</v>
      </c>
      <c r="E1359" s="83" t="n">
        <f aca="false">IF(D1359&lt;(Inputs!$E$10-Inputs!$D$10)/(Inputs!$F$10-Inputs!$D$10),Inputs!$D$10+SQRT(D1359*(Inputs!$F$10-Inputs!$D$10)*(Inputs!$E$10-Inputs!$D$10)),Inputs!$F$10-SQRT((1-D1359)*(Inputs!$F$10-Inputs!$D$10)*(Inputs!$F$10-Inputs!$E$10)))</f>
        <v>0.0521832712682978</v>
      </c>
      <c r="F1359" s="81" t="n">
        <f aca="true">RAND()</f>
        <v>0.00954075228948959</v>
      </c>
      <c r="G1359" s="83" t="n">
        <f aca="false">IF(F1359&lt;(Inputs!$E$15-Inputs!$D$15)/(Inputs!$F$15-Inputs!$D$15),Inputs!$D$15+SQRT(F1359*(Inputs!$F$15-Inputs!$D$15)*(Inputs!$E$15-Inputs!$D$15)),Inputs!$F$15-SQRT((1-F1359)*(Inputs!$F$15-Inputs!$D$15)*(Inputs!$F$15-Inputs!$E$15)))</f>
        <v>0.613813581931917</v>
      </c>
      <c r="H1359" s="81" t="n">
        <f aca="true">RAND()</f>
        <v>0.983481009584068</v>
      </c>
      <c r="I1359" s="82" t="n">
        <f aca="false">ROUND(IF(H1359&lt;(Inputs!$E$17-Inputs!$D$17)/(Inputs!$F$17-Inputs!$D$17),Inputs!$D$17+SQRT(H1359*(Inputs!$F$17-Inputs!$D$17)*(Inputs!$E$17-Inputs!$D$17)),Inputs!$F$17-SQRT((1-H1359)*(Inputs!$F$17-Inputs!$D$17)*(Inputs!$F$17-Inputs!$E$17))),0)</f>
        <v>113</v>
      </c>
      <c r="J1359" s="81" t="n">
        <f aca="true">RAND()</f>
        <v>0.952343884941808</v>
      </c>
      <c r="K1359" s="83" t="n">
        <f aca="false">IF(J1359&lt;(Inputs!$E$18-Inputs!$D$18)/(Inputs!$F$18-Inputs!$D$18),Inputs!$D$18+SQRT(J1359*(Inputs!$F$18-Inputs!$D$18)*(Inputs!$E$18-Inputs!$D$18)),Inputs!$F$18-SQRT((1-J1359)*(Inputs!$F$18-Inputs!$D$18)*(Inputs!$F$18-Inputs!$E$18)))</f>
        <v>1.18542515917486</v>
      </c>
      <c r="L1359" s="81" t="n">
        <f aca="true">RAND()</f>
        <v>0.489904416307215</v>
      </c>
      <c r="M1359" s="83" t="n">
        <f aca="false">IF(L1359&lt;(Inputs!$E$24-Inputs!$D$24)/(Inputs!$F$24-Inputs!$D$24),Inputs!$D$24+SQRT(L1359*(Inputs!$F$24-Inputs!$D$24)*(Inputs!$E$24-Inputs!$D$24)),Inputs!$F$24-SQRT((1-L1359)*(Inputs!$F$24-Inputs!$D$24)*(Inputs!$F$24-Inputs!$E$24)))</f>
        <v>0.850110102909117</v>
      </c>
      <c r="N1359" s="81" t="n">
        <f aca="true">RAND()</f>
        <v>0.776798527304829</v>
      </c>
      <c r="O1359" s="83" t="n">
        <f aca="false">IF(N1359&lt;(Inputs!$E$26-Inputs!$D$26)/(Inputs!$F$26-Inputs!$D$26),Inputs!$D$26+SQRT(N1359*(Inputs!$F$26-Inputs!$D$26)*(Inputs!$E$26-Inputs!$D$26)),Inputs!$F$26-SQRT((1-N1359)*(Inputs!$F$26-Inputs!$D$26)*(Inputs!$F$26-Inputs!$E$26)))</f>
        <v>0.667642022984362</v>
      </c>
      <c r="P1359" s="81" t="n">
        <f aca="true">RAND()</f>
        <v>0.492036305621791</v>
      </c>
      <c r="Q1359" s="82" t="n">
        <f aca="false">IF(P1359&lt;(Inputs!$E$27-Inputs!$D$27)/(Inputs!$F$27-Inputs!$D$27),Inputs!$D$27+SQRT(P1359*(Inputs!$F$27-Inputs!$D$27)*(Inputs!$E$27-Inputs!$D$27)),Inputs!$F$27-SQRT((1-P1359)*(Inputs!$F$27-Inputs!$D$27)*(Inputs!$F$27-Inputs!$E$27)))</f>
        <v>88.2770082721473</v>
      </c>
      <c r="R1359" s="81" t="n">
        <f aca="true">RAND()</f>
        <v>0.262982456830413</v>
      </c>
      <c r="S1359" s="82" t="n">
        <f aca="false">IF(R1359&lt;(Inputs!$E$29-Inputs!$D$29)/(Inputs!$F$29-Inputs!$D$29),Inputs!$D$29+SQRT(R1359*(Inputs!$F$29-Inputs!$D$29)*(Inputs!$E$29-Inputs!$D$29)),Inputs!$F$29-SQRT((1-R1359)*(Inputs!$F$29-Inputs!$D$29)*(Inputs!$F$29-Inputs!$E$29)))</f>
        <v>5.21162523132434</v>
      </c>
      <c r="T1359" s="68" t="n">
        <f aca="false">Inputs!$E$9*(1+E1359)+Inputs!$E$5*C1359*(Inputs!$E$11*Inputs!$E$14*(G1359*I1359/Inputs!$E$16+(1-G1359))*K1359+Inputs!$E$23*M1359)*(1+O1359)+Inputs!$E$5*(Q1359+S1359)</f>
        <v>6942.65307939187</v>
      </c>
    </row>
    <row r="1360" customFormat="false" ht="15" hidden="false" customHeight="false" outlineLevel="0" collapsed="false">
      <c r="A1360" s="1" t="n">
        <v>1356</v>
      </c>
      <c r="B1360" s="81" t="n">
        <f aca="true">RAND()</f>
        <v>0.526764028339644</v>
      </c>
      <c r="C1360" s="82" t="n">
        <f aca="false">ROUND(IF(B1360&lt;(Inputs!$E$8-Inputs!$D$8)/(Inputs!$F$8-Inputs!$D$8),Inputs!$D$8+SQRT(B1360*(Inputs!$F$8-Inputs!$D$8)*(Inputs!$E$8-Inputs!$D$8)),Inputs!$F$8-SQRT((1-B1360)*(Inputs!$F$8-Inputs!$D$8)*(Inputs!$F$8-Inputs!$E$8))),0)</f>
        <v>25</v>
      </c>
      <c r="D1360" s="81" t="n">
        <f aca="true">RAND()</f>
        <v>0.629996325807948</v>
      </c>
      <c r="E1360" s="83" t="n">
        <f aca="false">IF(D1360&lt;(Inputs!$E$10-Inputs!$D$10)/(Inputs!$F$10-Inputs!$D$10),Inputs!$D$10+SQRT(D1360*(Inputs!$F$10-Inputs!$D$10)*(Inputs!$E$10-Inputs!$D$10)),Inputs!$F$10-SQRT((1-D1360)*(Inputs!$F$10-Inputs!$D$10)*(Inputs!$F$10-Inputs!$E$10)))</f>
        <v>0.0946429393644567</v>
      </c>
      <c r="F1360" s="81" t="n">
        <f aca="true">RAND()</f>
        <v>0.362224328156309</v>
      </c>
      <c r="G1360" s="83" t="n">
        <f aca="false">IF(F1360&lt;(Inputs!$E$15-Inputs!$D$15)/(Inputs!$F$15-Inputs!$D$15),Inputs!$D$15+SQRT(F1360*(Inputs!$F$15-Inputs!$D$15)*(Inputs!$E$15-Inputs!$D$15)),Inputs!$F$15-SQRT((1-F1360)*(Inputs!$F$15-Inputs!$D$15)*(Inputs!$F$15-Inputs!$E$15)))</f>
        <v>0.685114549655897</v>
      </c>
      <c r="H1360" s="81" t="n">
        <f aca="true">RAND()</f>
        <v>0.7608475759624</v>
      </c>
      <c r="I1360" s="82" t="n">
        <f aca="false">ROUND(IF(H1360&lt;(Inputs!$E$17-Inputs!$D$17)/(Inputs!$F$17-Inputs!$D$17),Inputs!$D$17+SQRT(H1360*(Inputs!$F$17-Inputs!$D$17)*(Inputs!$E$17-Inputs!$D$17)),Inputs!$F$17-SQRT((1-H1360)*(Inputs!$F$17-Inputs!$D$17)*(Inputs!$F$17-Inputs!$E$17))),0)</f>
        <v>109</v>
      </c>
      <c r="J1360" s="81" t="n">
        <f aca="true">RAND()</f>
        <v>0.583738194700019</v>
      </c>
      <c r="K1360" s="83" t="n">
        <f aca="false">IF(J1360&lt;(Inputs!$E$18-Inputs!$D$18)/(Inputs!$F$18-Inputs!$D$18),Inputs!$D$18+SQRT(J1360*(Inputs!$F$18-Inputs!$D$18)*(Inputs!$E$18-Inputs!$D$18)),Inputs!$F$18-SQRT((1-J1360)*(Inputs!$F$18-Inputs!$D$18)*(Inputs!$F$18-Inputs!$E$18)))</f>
        <v>1.05915213398168</v>
      </c>
      <c r="L1360" s="81" t="n">
        <f aca="true">RAND()</f>
        <v>0.299927566812441</v>
      </c>
      <c r="M1360" s="83" t="n">
        <f aca="false">IF(L1360&lt;(Inputs!$E$24-Inputs!$D$24)/(Inputs!$F$24-Inputs!$D$24),Inputs!$D$24+SQRT(L1360*(Inputs!$F$24-Inputs!$D$24)*(Inputs!$E$24-Inputs!$D$24)),Inputs!$F$24-SQRT((1-L1360)*(Inputs!$F$24-Inputs!$D$24)*(Inputs!$F$24-Inputs!$E$24)))</f>
        <v>0.789713752842257</v>
      </c>
      <c r="N1360" s="81" t="n">
        <f aca="true">RAND()</f>
        <v>0.293335628161157</v>
      </c>
      <c r="O1360" s="83" t="n">
        <f aca="false">IF(N1360&lt;(Inputs!$E$26-Inputs!$D$26)/(Inputs!$F$26-Inputs!$D$26),Inputs!$D$26+SQRT(N1360*(Inputs!$F$26-Inputs!$D$26)*(Inputs!$E$26-Inputs!$D$26)),Inputs!$F$26-SQRT((1-N1360)*(Inputs!$F$26-Inputs!$D$26)*(Inputs!$F$26-Inputs!$E$26)))</f>
        <v>0.520932226092113</v>
      </c>
      <c r="P1360" s="81" t="n">
        <f aca="true">RAND()</f>
        <v>0.6016590912252</v>
      </c>
      <c r="Q1360" s="82" t="n">
        <f aca="false">IF(P1360&lt;(Inputs!$E$27-Inputs!$D$27)/(Inputs!$F$27-Inputs!$D$27),Inputs!$D$27+SQRT(P1360*(Inputs!$F$27-Inputs!$D$27)*(Inputs!$E$27-Inputs!$D$27)),Inputs!$F$27-SQRT((1-P1360)*(Inputs!$F$27-Inputs!$D$27)*(Inputs!$F$27-Inputs!$E$27)))</f>
        <v>95.341452490841</v>
      </c>
      <c r="R1360" s="81" t="n">
        <f aca="true">RAND()</f>
        <v>0.673065486238384</v>
      </c>
      <c r="S1360" s="82" t="n">
        <f aca="false">IF(R1360&lt;(Inputs!$E$29-Inputs!$D$29)/(Inputs!$F$29-Inputs!$D$29),Inputs!$D$29+SQRT(R1360*(Inputs!$F$29-Inputs!$D$29)*(Inputs!$E$29-Inputs!$D$29)),Inputs!$F$29-SQRT((1-R1360)*(Inputs!$F$29-Inputs!$D$29)*(Inputs!$F$29-Inputs!$E$29)))</f>
        <v>8.48068356428298</v>
      </c>
      <c r="T1360" s="68" t="n">
        <f aca="false">Inputs!$E$9*(1+E1360)+Inputs!$E$5*C1360*(Inputs!$E$11*Inputs!$E$14*(G1360*I1360/Inputs!$E$16+(1-G1360))*K1360+Inputs!$E$23*M1360)*(1+O1360)+Inputs!$E$5*(Q1360+S1360)</f>
        <v>6226.4130963024</v>
      </c>
    </row>
    <row r="1361" customFormat="false" ht="15" hidden="false" customHeight="false" outlineLevel="0" collapsed="false">
      <c r="A1361" s="1" t="n">
        <v>1357</v>
      </c>
      <c r="B1361" s="81" t="n">
        <f aca="true">RAND()</f>
        <v>0.0973089600617083</v>
      </c>
      <c r="C1361" s="82" t="n">
        <f aca="false">ROUND(IF(B1361&lt;(Inputs!$E$8-Inputs!$D$8)/(Inputs!$F$8-Inputs!$D$8),Inputs!$D$8+SQRT(B1361*(Inputs!$F$8-Inputs!$D$8)*(Inputs!$E$8-Inputs!$D$8)),Inputs!$F$8-SQRT((1-B1361)*(Inputs!$F$8-Inputs!$D$8)*(Inputs!$F$8-Inputs!$E$8))),0)</f>
        <v>22</v>
      </c>
      <c r="D1361" s="81" t="n">
        <f aca="true">RAND()</f>
        <v>0.812093178724143</v>
      </c>
      <c r="E1361" s="83" t="n">
        <f aca="false">IF(D1361&lt;(Inputs!$E$10-Inputs!$D$10)/(Inputs!$F$10-Inputs!$D$10),Inputs!$D$10+SQRT(D1361*(Inputs!$F$10-Inputs!$D$10)*(Inputs!$E$10-Inputs!$D$10)),Inputs!$F$10-SQRT((1-D1361)*(Inputs!$F$10-Inputs!$D$10)*(Inputs!$F$10-Inputs!$E$10)))</f>
        <v>0.124918679831294</v>
      </c>
      <c r="F1361" s="81" t="n">
        <f aca="true">RAND()</f>
        <v>0.159875994250685</v>
      </c>
      <c r="G1361" s="83" t="n">
        <f aca="false">IF(F1361&lt;(Inputs!$E$15-Inputs!$D$15)/(Inputs!$F$15-Inputs!$D$15),Inputs!$D$15+SQRT(F1361*(Inputs!$F$15-Inputs!$D$15)*(Inputs!$E$15-Inputs!$D$15)),Inputs!$F$15-SQRT((1-F1361)*(Inputs!$F$15-Inputs!$D$15)*(Inputs!$F$15-Inputs!$E$15)))</f>
        <v>0.656546616919261</v>
      </c>
      <c r="H1361" s="81" t="n">
        <f aca="true">RAND()</f>
        <v>0.674365454807417</v>
      </c>
      <c r="I1361" s="82" t="n">
        <f aca="false">ROUND(IF(H1361&lt;(Inputs!$E$17-Inputs!$D$17)/(Inputs!$F$17-Inputs!$D$17),Inputs!$D$17+SQRT(H1361*(Inputs!$F$17-Inputs!$D$17)*(Inputs!$E$17-Inputs!$D$17)),Inputs!$F$17-SQRT((1-H1361)*(Inputs!$F$17-Inputs!$D$17)*(Inputs!$F$17-Inputs!$E$17))),0)</f>
        <v>108</v>
      </c>
      <c r="J1361" s="81" t="n">
        <f aca="true">RAND()</f>
        <v>0.881498730642001</v>
      </c>
      <c r="K1361" s="83" t="n">
        <f aca="false">IF(J1361&lt;(Inputs!$E$18-Inputs!$D$18)/(Inputs!$F$18-Inputs!$D$18),Inputs!$D$18+SQRT(J1361*(Inputs!$F$18-Inputs!$D$18)*(Inputs!$E$18-Inputs!$D$18)),Inputs!$F$18-SQRT((1-J1361)*(Inputs!$F$18-Inputs!$D$18)*(Inputs!$F$18-Inputs!$E$18)))</f>
        <v>1.14817239534967</v>
      </c>
      <c r="L1361" s="81" t="n">
        <f aca="true">RAND()</f>
        <v>0.00906857567136301</v>
      </c>
      <c r="M1361" s="83" t="n">
        <f aca="false">IF(L1361&lt;(Inputs!$E$24-Inputs!$D$24)/(Inputs!$F$24-Inputs!$D$24),Inputs!$D$24+SQRT(L1361*(Inputs!$F$24-Inputs!$D$24)*(Inputs!$E$24-Inputs!$D$24)),Inputs!$F$24-SQRT((1-L1361)*(Inputs!$F$24-Inputs!$D$24)*(Inputs!$F$24-Inputs!$E$24)))</f>
        <v>0.632988317334529</v>
      </c>
      <c r="N1361" s="81" t="n">
        <f aca="true">RAND()</f>
        <v>0.358560509964451</v>
      </c>
      <c r="O1361" s="83" t="n">
        <f aca="false">IF(N1361&lt;(Inputs!$E$26-Inputs!$D$26)/(Inputs!$F$26-Inputs!$D$26),Inputs!$D$26+SQRT(N1361*(Inputs!$F$26-Inputs!$D$26)*(Inputs!$E$26-Inputs!$D$26)),Inputs!$F$26-SQRT((1-N1361)*(Inputs!$F$26-Inputs!$D$26)*(Inputs!$F$26-Inputs!$E$26)))</f>
        <v>0.544263113994079</v>
      </c>
      <c r="P1361" s="81" t="n">
        <f aca="true">RAND()</f>
        <v>0.94828447661585</v>
      </c>
      <c r="Q1361" s="82" t="n">
        <f aca="false">IF(P1361&lt;(Inputs!$E$27-Inputs!$D$27)/(Inputs!$F$27-Inputs!$D$27),Inputs!$D$27+SQRT(P1361*(Inputs!$F$27-Inputs!$D$27)*(Inputs!$E$27-Inputs!$D$27)),Inputs!$F$27-SQRT((1-P1361)*(Inputs!$F$27-Inputs!$D$27)*(Inputs!$F$27-Inputs!$E$27)))</f>
        <v>130.305675300201</v>
      </c>
      <c r="R1361" s="81" t="n">
        <f aca="true">RAND()</f>
        <v>0.643182494985127</v>
      </c>
      <c r="S1361" s="82" t="n">
        <f aca="false">IF(R1361&lt;(Inputs!$E$29-Inputs!$D$29)/(Inputs!$F$29-Inputs!$D$29),Inputs!$D$29+SQRT(R1361*(Inputs!$F$29-Inputs!$D$29)*(Inputs!$E$29-Inputs!$D$29)),Inputs!$F$29-SQRT((1-R1361)*(Inputs!$F$29-Inputs!$D$29)*(Inputs!$F$29-Inputs!$E$29)))</f>
        <v>8.18925292996917</v>
      </c>
      <c r="T1361" s="68" t="n">
        <f aca="false">Inputs!$E$9*(1+E1361)+Inputs!$E$5*C1361*(Inputs!$E$11*Inputs!$E$14*(G1361*I1361/Inputs!$E$16+(1-G1361))*K1361+Inputs!$E$23*M1361)*(1+O1361)+Inputs!$E$5*(Q1361+S1361)</f>
        <v>6117.15306806954</v>
      </c>
    </row>
    <row r="1362" customFormat="false" ht="15" hidden="false" customHeight="false" outlineLevel="0" collapsed="false">
      <c r="A1362" s="1" t="n">
        <v>1358</v>
      </c>
      <c r="B1362" s="81" t="n">
        <f aca="true">RAND()</f>
        <v>0.636685135662185</v>
      </c>
      <c r="C1362" s="82" t="n">
        <f aca="false">ROUND(IF(B1362&lt;(Inputs!$E$8-Inputs!$D$8)/(Inputs!$F$8-Inputs!$D$8),Inputs!$D$8+SQRT(B1362*(Inputs!$F$8-Inputs!$D$8)*(Inputs!$E$8-Inputs!$D$8)),Inputs!$F$8-SQRT((1-B1362)*(Inputs!$F$8-Inputs!$D$8)*(Inputs!$F$8-Inputs!$E$8))),0)</f>
        <v>26</v>
      </c>
      <c r="D1362" s="81" t="n">
        <f aca="true">RAND()</f>
        <v>0.453820922557419</v>
      </c>
      <c r="E1362" s="83" t="n">
        <f aca="false">IF(D1362&lt;(Inputs!$E$10-Inputs!$D$10)/(Inputs!$F$10-Inputs!$D$10),Inputs!$D$10+SQRT(D1362*(Inputs!$F$10-Inputs!$D$10)*(Inputs!$E$10-Inputs!$D$10)),Inputs!$F$10-SQRT((1-D1362)*(Inputs!$F$10-Inputs!$D$10)*(Inputs!$F$10-Inputs!$E$10)))</f>
        <v>0.0719946394744446</v>
      </c>
      <c r="F1362" s="81" t="n">
        <f aca="true">RAND()</f>
        <v>0.13403925725019</v>
      </c>
      <c r="G1362" s="83" t="n">
        <f aca="false">IF(F1362&lt;(Inputs!$E$15-Inputs!$D$15)/(Inputs!$F$15-Inputs!$D$15),Inputs!$D$15+SQRT(F1362*(Inputs!$F$15-Inputs!$D$15)*(Inputs!$E$15-Inputs!$D$15)),Inputs!$F$15-SQRT((1-F1362)*(Inputs!$F$15-Inputs!$D$15)*(Inputs!$F$15-Inputs!$E$15)))</f>
        <v>0.651776299066308</v>
      </c>
      <c r="H1362" s="81" t="n">
        <f aca="true">RAND()</f>
        <v>0.125542021366734</v>
      </c>
      <c r="I1362" s="82" t="n">
        <f aca="false">ROUND(IF(H1362&lt;(Inputs!$E$17-Inputs!$D$17)/(Inputs!$F$17-Inputs!$D$17),Inputs!$D$17+SQRT(H1362*(Inputs!$F$17-Inputs!$D$17)*(Inputs!$E$17-Inputs!$D$17)),Inputs!$F$17-SQRT((1-H1362)*(Inputs!$F$17-Inputs!$D$17)*(Inputs!$F$17-Inputs!$E$17))),0)</f>
        <v>103</v>
      </c>
      <c r="J1362" s="81" t="n">
        <f aca="true">RAND()</f>
        <v>0.961221634305255</v>
      </c>
      <c r="K1362" s="83" t="n">
        <f aca="false">IF(J1362&lt;(Inputs!$E$18-Inputs!$D$18)/(Inputs!$F$18-Inputs!$D$18),Inputs!$D$18+SQRT(J1362*(Inputs!$F$18-Inputs!$D$18)*(Inputs!$E$18-Inputs!$D$18)),Inputs!$F$18-SQRT((1-J1362)*(Inputs!$F$18-Inputs!$D$18)*(Inputs!$F$18-Inputs!$E$18)))</f>
        <v>1.19174961804168</v>
      </c>
      <c r="L1362" s="81" t="n">
        <f aca="true">RAND()</f>
        <v>0.438062068193857</v>
      </c>
      <c r="M1362" s="83" t="n">
        <f aca="false">IF(L1362&lt;(Inputs!$E$24-Inputs!$D$24)/(Inputs!$F$24-Inputs!$D$24),Inputs!$D$24+SQRT(L1362*(Inputs!$F$24-Inputs!$D$24)*(Inputs!$E$24-Inputs!$D$24)),Inputs!$F$24-SQRT((1-L1362)*(Inputs!$F$24-Inputs!$D$24)*(Inputs!$F$24-Inputs!$E$24)))</f>
        <v>0.832760155166308</v>
      </c>
      <c r="N1362" s="81" t="n">
        <f aca="true">RAND()</f>
        <v>0.98655147183206</v>
      </c>
      <c r="O1362" s="83" t="n">
        <f aca="false">IF(N1362&lt;(Inputs!$E$26-Inputs!$D$26)/(Inputs!$F$26-Inputs!$D$26),Inputs!$D$26+SQRT(N1362*(Inputs!$F$26-Inputs!$D$26)*(Inputs!$E$26-Inputs!$D$26)),Inputs!$F$26-SQRT((1-N1362)*(Inputs!$F$26-Inputs!$D$26)*(Inputs!$F$26-Inputs!$E$26)))</f>
        <v>0.782601511668709</v>
      </c>
      <c r="P1362" s="81" t="n">
        <f aca="true">RAND()</f>
        <v>0.360767614469852</v>
      </c>
      <c r="Q1362" s="82" t="n">
        <f aca="false">IF(P1362&lt;(Inputs!$E$27-Inputs!$D$27)/(Inputs!$F$27-Inputs!$D$27),Inputs!$D$27+SQRT(P1362*(Inputs!$F$27-Inputs!$D$27)*(Inputs!$E$27-Inputs!$D$27)),Inputs!$F$27-SQRT((1-P1362)*(Inputs!$F$27-Inputs!$D$27)*(Inputs!$F$27-Inputs!$E$27)))</f>
        <v>80.7595285149205</v>
      </c>
      <c r="R1362" s="81" t="n">
        <f aca="true">RAND()</f>
        <v>0.138088550653101</v>
      </c>
      <c r="S1362" s="82" t="n">
        <f aca="false">IF(R1362&lt;(Inputs!$E$29-Inputs!$D$29)/(Inputs!$F$29-Inputs!$D$29),Inputs!$D$29+SQRT(R1362*(Inputs!$F$29-Inputs!$D$29)*(Inputs!$E$29-Inputs!$D$29)),Inputs!$F$29-SQRT((1-R1362)*(Inputs!$F$29-Inputs!$D$29)*(Inputs!$F$29-Inputs!$E$29)))</f>
        <v>4.32065798330364</v>
      </c>
      <c r="T1362" s="68" t="n">
        <f aca="false">Inputs!$E$9*(1+E1362)+Inputs!$E$5*C1362*(Inputs!$E$11*Inputs!$E$14*(G1362*I1362/Inputs!$E$16+(1-G1362))*K1362+Inputs!$E$23*M1362)*(1+O1362)+Inputs!$E$5*(Q1362+S1362)</f>
        <v>7184.68316312689</v>
      </c>
    </row>
    <row r="1363" customFormat="false" ht="15" hidden="false" customHeight="false" outlineLevel="0" collapsed="false">
      <c r="A1363" s="1" t="n">
        <v>1359</v>
      </c>
      <c r="B1363" s="81" t="n">
        <f aca="true">RAND()</f>
        <v>0.115435299894248</v>
      </c>
      <c r="C1363" s="82" t="n">
        <f aca="false">ROUND(IF(B1363&lt;(Inputs!$E$8-Inputs!$D$8)/(Inputs!$F$8-Inputs!$D$8),Inputs!$D$8+SQRT(B1363*(Inputs!$F$8-Inputs!$D$8)*(Inputs!$E$8-Inputs!$D$8)),Inputs!$F$8-SQRT((1-B1363)*(Inputs!$F$8-Inputs!$D$8)*(Inputs!$F$8-Inputs!$E$8))),0)</f>
        <v>22</v>
      </c>
      <c r="D1363" s="81" t="n">
        <f aca="true">RAND()</f>
        <v>0.554029971266133</v>
      </c>
      <c r="E1363" s="83" t="n">
        <f aca="false">IF(D1363&lt;(Inputs!$E$10-Inputs!$D$10)/(Inputs!$F$10-Inputs!$D$10),Inputs!$D$10+SQRT(D1363*(Inputs!$F$10-Inputs!$D$10)*(Inputs!$E$10-Inputs!$D$10)),Inputs!$F$10-SQRT((1-D1363)*(Inputs!$F$10-Inputs!$D$10)*(Inputs!$F$10-Inputs!$E$10)))</f>
        <v>0.0843319367240204</v>
      </c>
      <c r="F1363" s="81" t="n">
        <f aca="true">RAND()</f>
        <v>0.70185324635949</v>
      </c>
      <c r="G1363" s="83" t="n">
        <f aca="false">IF(F1363&lt;(Inputs!$E$15-Inputs!$D$15)/(Inputs!$F$15-Inputs!$D$15),Inputs!$D$15+SQRT(F1363*(Inputs!$F$15-Inputs!$D$15)*(Inputs!$E$15-Inputs!$D$15)),Inputs!$F$15-SQRT((1-F1363)*(Inputs!$F$15-Inputs!$D$15)*(Inputs!$F$15-Inputs!$E$15)))</f>
        <v>0.722779956793523</v>
      </c>
      <c r="H1363" s="81" t="n">
        <f aca="true">RAND()</f>
        <v>0.97784860830694</v>
      </c>
      <c r="I1363" s="82" t="n">
        <f aca="false">ROUND(IF(H1363&lt;(Inputs!$E$17-Inputs!$D$17)/(Inputs!$F$17-Inputs!$D$17),Inputs!$D$17+SQRT(H1363*(Inputs!$F$17-Inputs!$D$17)*(Inputs!$E$17-Inputs!$D$17)),Inputs!$F$17-SQRT((1-H1363)*(Inputs!$F$17-Inputs!$D$17)*(Inputs!$F$17-Inputs!$E$17))),0)</f>
        <v>113</v>
      </c>
      <c r="J1363" s="81" t="n">
        <f aca="true">RAND()</f>
        <v>0.113438011806416</v>
      </c>
      <c r="K1363" s="83" t="n">
        <f aca="false">IF(J1363&lt;(Inputs!$E$18-Inputs!$D$18)/(Inputs!$F$18-Inputs!$D$18),Inputs!$D$18+SQRT(J1363*(Inputs!$F$18-Inputs!$D$18)*(Inputs!$E$18-Inputs!$D$18)),Inputs!$F$18-SQRT((1-J1363)*(Inputs!$F$18-Inputs!$D$18)*(Inputs!$F$18-Inputs!$E$18)))</f>
        <v>0.963010557950431</v>
      </c>
      <c r="L1363" s="81" t="n">
        <f aca="true">RAND()</f>
        <v>0.483741199727511</v>
      </c>
      <c r="M1363" s="83" t="n">
        <f aca="false">IF(L1363&lt;(Inputs!$E$24-Inputs!$D$24)/(Inputs!$F$24-Inputs!$D$24),Inputs!$D$24+SQRT(L1363*(Inputs!$F$24-Inputs!$D$24)*(Inputs!$E$24-Inputs!$D$24)),Inputs!$F$24-SQRT((1-L1363)*(Inputs!$F$24-Inputs!$D$24)*(Inputs!$F$24-Inputs!$E$24)))</f>
        <v>0.848002681735503</v>
      </c>
      <c r="N1363" s="81" t="n">
        <f aca="true">RAND()</f>
        <v>0.126048619642946</v>
      </c>
      <c r="O1363" s="83" t="n">
        <f aca="false">IF(N1363&lt;(Inputs!$E$26-Inputs!$D$26)/(Inputs!$F$26-Inputs!$D$26),Inputs!$D$26+SQRT(N1363*(Inputs!$F$26-Inputs!$D$26)*(Inputs!$E$26-Inputs!$D$26)),Inputs!$F$26-SQRT((1-N1363)*(Inputs!$F$26-Inputs!$D$26)*(Inputs!$F$26-Inputs!$E$26)))</f>
        <v>0.444825723918737</v>
      </c>
      <c r="P1363" s="81" t="n">
        <f aca="true">RAND()</f>
        <v>0.688262514858088</v>
      </c>
      <c r="Q1363" s="82" t="n">
        <f aca="false">IF(P1363&lt;(Inputs!$E$27-Inputs!$D$27)/(Inputs!$F$27-Inputs!$D$27),Inputs!$D$27+SQRT(P1363*(Inputs!$F$27-Inputs!$D$27)*(Inputs!$E$27-Inputs!$D$27)),Inputs!$F$27-SQRT((1-P1363)*(Inputs!$F$27-Inputs!$D$27)*(Inputs!$F$27-Inputs!$E$27)))</f>
        <v>101.646808393196</v>
      </c>
      <c r="R1363" s="81" t="n">
        <f aca="true">RAND()</f>
        <v>0.577486684133576</v>
      </c>
      <c r="S1363" s="82" t="n">
        <f aca="false">IF(R1363&lt;(Inputs!$E$29-Inputs!$D$29)/(Inputs!$F$29-Inputs!$D$29),Inputs!$D$29+SQRT(R1363*(Inputs!$F$29-Inputs!$D$29)*(Inputs!$E$29-Inputs!$D$29)),Inputs!$F$29-SQRT((1-R1363)*(Inputs!$F$29-Inputs!$D$29)*(Inputs!$F$29-Inputs!$E$29)))</f>
        <v>7.58874294990148</v>
      </c>
      <c r="T1363" s="68" t="n">
        <f aca="false">Inputs!$E$9*(1+E1363)+Inputs!$E$5*C1363*(Inputs!$E$11*Inputs!$E$14*(G1363*I1363/Inputs!$E$16+(1-G1363))*K1363+Inputs!$E$23*M1363)*(1+O1363)+Inputs!$E$5*(Q1363+S1363)</f>
        <v>5586.94087188374</v>
      </c>
    </row>
    <row r="1364" customFormat="false" ht="15" hidden="false" customHeight="false" outlineLevel="0" collapsed="false">
      <c r="A1364" s="1" t="n">
        <v>1360</v>
      </c>
      <c r="B1364" s="81" t="n">
        <f aca="true">RAND()</f>
        <v>0.593879086108566</v>
      </c>
      <c r="C1364" s="82" t="n">
        <f aca="false">ROUND(IF(B1364&lt;(Inputs!$E$8-Inputs!$D$8)/(Inputs!$F$8-Inputs!$D$8),Inputs!$D$8+SQRT(B1364*(Inputs!$F$8-Inputs!$D$8)*(Inputs!$E$8-Inputs!$D$8)),Inputs!$F$8-SQRT((1-B1364)*(Inputs!$F$8-Inputs!$D$8)*(Inputs!$F$8-Inputs!$E$8))),0)</f>
        <v>25</v>
      </c>
      <c r="D1364" s="81" t="n">
        <f aca="true">RAND()</f>
        <v>0.0692081470360272</v>
      </c>
      <c r="E1364" s="83" t="n">
        <f aca="false">IF(D1364&lt;(Inputs!$E$10-Inputs!$D$10)/(Inputs!$F$10-Inputs!$D$10),Inputs!$D$10+SQRT(D1364*(Inputs!$F$10-Inputs!$D$10)*(Inputs!$E$10-Inputs!$D$10)),Inputs!$F$10-SQRT((1-D1364)*(Inputs!$F$10-Inputs!$D$10)*(Inputs!$F$10-Inputs!$E$10)))</f>
        <v>0.0263074413495549</v>
      </c>
      <c r="F1364" s="81" t="n">
        <f aca="true">RAND()</f>
        <v>0.985536960787082</v>
      </c>
      <c r="G1364" s="83" t="n">
        <f aca="false">IF(F1364&lt;(Inputs!$E$15-Inputs!$D$15)/(Inputs!$F$15-Inputs!$D$15),Inputs!$D$15+SQRT(F1364*(Inputs!$F$15-Inputs!$D$15)*(Inputs!$E$15-Inputs!$D$15)),Inputs!$F$15-SQRT((1-F1364)*(Inputs!$F$15-Inputs!$D$15)*(Inputs!$F$15-Inputs!$E$15)))</f>
        <v>0.782992331604292</v>
      </c>
      <c r="H1364" s="81" t="n">
        <f aca="true">RAND()</f>
        <v>0.768276462298191</v>
      </c>
      <c r="I1364" s="82" t="n">
        <f aca="false">ROUND(IF(H1364&lt;(Inputs!$E$17-Inputs!$D$17)/(Inputs!$F$17-Inputs!$D$17),Inputs!$D$17+SQRT(H1364*(Inputs!$F$17-Inputs!$D$17)*(Inputs!$E$17-Inputs!$D$17)),Inputs!$F$17-SQRT((1-H1364)*(Inputs!$F$17-Inputs!$D$17)*(Inputs!$F$17-Inputs!$E$17))),0)</f>
        <v>109</v>
      </c>
      <c r="J1364" s="81" t="n">
        <f aca="true">RAND()</f>
        <v>0.967626355562464</v>
      </c>
      <c r="K1364" s="83" t="n">
        <f aca="false">IF(J1364&lt;(Inputs!$E$18-Inputs!$D$18)/(Inputs!$F$18-Inputs!$D$18),Inputs!$D$18+SQRT(J1364*(Inputs!$F$18-Inputs!$D$18)*(Inputs!$E$18-Inputs!$D$18)),Inputs!$F$18-SQRT((1-J1364)*(Inputs!$F$18-Inputs!$D$18)*(Inputs!$F$18-Inputs!$E$18)))</f>
        <v>1.19677694213704</v>
      </c>
      <c r="L1364" s="81" t="n">
        <f aca="true">RAND()</f>
        <v>0.261253042020014</v>
      </c>
      <c r="M1364" s="83" t="n">
        <f aca="false">IF(L1364&lt;(Inputs!$E$24-Inputs!$D$24)/(Inputs!$F$24-Inputs!$D$24),Inputs!$D$24+SQRT(L1364*(Inputs!$F$24-Inputs!$D$24)*(Inputs!$E$24-Inputs!$D$24)),Inputs!$F$24-SQRT((1-L1364)*(Inputs!$F$24-Inputs!$D$24)*(Inputs!$F$24-Inputs!$E$24)))</f>
        <v>0.777060342941048</v>
      </c>
      <c r="N1364" s="81" t="n">
        <f aca="true">RAND()</f>
        <v>0.961825254376531</v>
      </c>
      <c r="O1364" s="83" t="n">
        <f aca="false">IF(N1364&lt;(Inputs!$E$26-Inputs!$D$26)/(Inputs!$F$26-Inputs!$D$26),Inputs!$D$26+SQRT(N1364*(Inputs!$F$26-Inputs!$D$26)*(Inputs!$E$26-Inputs!$D$26)),Inputs!$F$26-SQRT((1-N1364)*(Inputs!$F$26-Inputs!$D$26)*(Inputs!$F$26-Inputs!$E$26)))</f>
        <v>0.75699068684043</v>
      </c>
      <c r="P1364" s="81" t="n">
        <f aca="true">RAND()</f>
        <v>0.507821763536099</v>
      </c>
      <c r="Q1364" s="82" t="n">
        <f aca="false">IF(P1364&lt;(Inputs!$E$27-Inputs!$D$27)/(Inputs!$F$27-Inputs!$D$27),Inputs!$D$27+SQRT(P1364*(Inputs!$F$27-Inputs!$D$27)*(Inputs!$E$27-Inputs!$D$27)),Inputs!$F$27-SQRT((1-P1364)*(Inputs!$F$27-Inputs!$D$27)*(Inputs!$F$27-Inputs!$E$27)))</f>
        <v>89.2436277129777</v>
      </c>
      <c r="R1364" s="81" t="n">
        <f aca="true">RAND()</f>
        <v>0.941209454844488</v>
      </c>
      <c r="S1364" s="82" t="n">
        <f aca="false">IF(R1364&lt;(Inputs!$E$29-Inputs!$D$29)/(Inputs!$F$29-Inputs!$D$29),Inputs!$D$29+SQRT(R1364*(Inputs!$F$29-Inputs!$D$29)*(Inputs!$E$29-Inputs!$D$29)),Inputs!$F$29-SQRT((1-R1364)*(Inputs!$F$29-Inputs!$D$29)*(Inputs!$F$29-Inputs!$E$29)))</f>
        <v>12.2354438203906</v>
      </c>
      <c r="T1364" s="68" t="n">
        <f aca="false">Inputs!$E$9*(1+E1364)+Inputs!$E$5*C1364*(Inputs!$E$11*Inputs!$E$14*(G1364*I1364/Inputs!$E$16+(1-G1364))*K1364+Inputs!$E$23*M1364)*(1+O1364)+Inputs!$E$5*(Q1364+S1364)</f>
        <v>6728.32146703847</v>
      </c>
    </row>
    <row r="1365" customFormat="false" ht="15" hidden="false" customHeight="false" outlineLevel="0" collapsed="false">
      <c r="A1365" s="1" t="n">
        <v>1361</v>
      </c>
      <c r="B1365" s="81" t="n">
        <f aca="true">RAND()</f>
        <v>0.847040346157642</v>
      </c>
      <c r="C1365" s="82" t="n">
        <f aca="false">ROUND(IF(B1365&lt;(Inputs!$E$8-Inputs!$D$8)/(Inputs!$F$8-Inputs!$D$8),Inputs!$D$8+SQRT(B1365*(Inputs!$F$8-Inputs!$D$8)*(Inputs!$E$8-Inputs!$D$8)),Inputs!$F$8-SQRT((1-B1365)*(Inputs!$F$8-Inputs!$D$8)*(Inputs!$F$8-Inputs!$E$8))),0)</f>
        <v>27</v>
      </c>
      <c r="D1365" s="81" t="n">
        <f aca="true">RAND()</f>
        <v>0.409225228818071</v>
      </c>
      <c r="E1365" s="83" t="n">
        <f aca="false">IF(D1365&lt;(Inputs!$E$10-Inputs!$D$10)/(Inputs!$F$10-Inputs!$D$10),Inputs!$D$10+SQRT(D1365*(Inputs!$F$10-Inputs!$D$10)*(Inputs!$E$10-Inputs!$D$10)),Inputs!$F$10-SQRT((1-D1365)*(Inputs!$F$10-Inputs!$D$10)*(Inputs!$F$10-Inputs!$E$10)))</f>
        <v>0.0668713286498439</v>
      </c>
      <c r="F1365" s="81" t="n">
        <f aca="true">RAND()</f>
        <v>0.313787997942191</v>
      </c>
      <c r="G1365" s="83" t="n">
        <f aca="false">IF(F1365&lt;(Inputs!$E$15-Inputs!$D$15)/(Inputs!$F$15-Inputs!$D$15),Inputs!$D$15+SQRT(F1365*(Inputs!$F$15-Inputs!$D$15)*(Inputs!$E$15-Inputs!$D$15)),Inputs!$F$15-SQRT((1-F1365)*(Inputs!$F$15-Inputs!$D$15)*(Inputs!$F$15-Inputs!$E$15)))</f>
        <v>0.679219694261237</v>
      </c>
      <c r="H1365" s="81" t="n">
        <f aca="true">RAND()</f>
        <v>0.645564784560971</v>
      </c>
      <c r="I1365" s="82" t="n">
        <f aca="false">ROUND(IF(H1365&lt;(Inputs!$E$17-Inputs!$D$17)/(Inputs!$F$17-Inputs!$D$17),Inputs!$D$17+SQRT(H1365*(Inputs!$F$17-Inputs!$D$17)*(Inputs!$E$17-Inputs!$D$17)),Inputs!$F$17-SQRT((1-H1365)*(Inputs!$F$17-Inputs!$D$17)*(Inputs!$F$17-Inputs!$E$17))),0)</f>
        <v>108</v>
      </c>
      <c r="J1365" s="81" t="n">
        <f aca="true">RAND()</f>
        <v>0.167243312580628</v>
      </c>
      <c r="K1365" s="83" t="n">
        <f aca="false">IF(J1365&lt;(Inputs!$E$18-Inputs!$D$18)/(Inputs!$F$18-Inputs!$D$18),Inputs!$D$18+SQRT(J1365*(Inputs!$F$18-Inputs!$D$18)*(Inputs!$E$18-Inputs!$D$18)),Inputs!$F$18-SQRT((1-J1365)*(Inputs!$F$18-Inputs!$D$18)*(Inputs!$F$18-Inputs!$E$18)))</f>
        <v>0.976508273672342</v>
      </c>
      <c r="L1365" s="81" t="n">
        <f aca="true">RAND()</f>
        <v>0.670630081146605</v>
      </c>
      <c r="M1365" s="83" t="n">
        <f aca="false">IF(L1365&lt;(Inputs!$E$24-Inputs!$D$24)/(Inputs!$F$24-Inputs!$D$24),Inputs!$D$24+SQRT(L1365*(Inputs!$F$24-Inputs!$D$24)*(Inputs!$E$24-Inputs!$D$24)),Inputs!$F$24-SQRT((1-L1365)*(Inputs!$F$24-Inputs!$D$24)*(Inputs!$F$24-Inputs!$E$24)))</f>
        <v>0.918843850280996</v>
      </c>
      <c r="N1365" s="81" t="n">
        <f aca="true">RAND()</f>
        <v>0.368645076486355</v>
      </c>
      <c r="O1365" s="83" t="n">
        <f aca="false">IF(N1365&lt;(Inputs!$E$26-Inputs!$D$26)/(Inputs!$F$26-Inputs!$D$26),Inputs!$D$26+SQRT(N1365*(Inputs!$F$26-Inputs!$D$26)*(Inputs!$E$26-Inputs!$D$26)),Inputs!$F$26-SQRT((1-N1365)*(Inputs!$F$26-Inputs!$D$26)*(Inputs!$F$26-Inputs!$E$26)))</f>
        <v>0.547674263352754</v>
      </c>
      <c r="P1365" s="81" t="n">
        <f aca="true">RAND()</f>
        <v>0.0635204952211544</v>
      </c>
      <c r="Q1365" s="82" t="n">
        <f aca="false">IF(P1365&lt;(Inputs!$E$27-Inputs!$D$27)/(Inputs!$F$27-Inputs!$D$27),Inputs!$D$27+SQRT(P1365*(Inputs!$F$27-Inputs!$D$27)*(Inputs!$E$27-Inputs!$D$27)),Inputs!$F$27-SQRT((1-P1365)*(Inputs!$F$27-Inputs!$D$27)*(Inputs!$F$27-Inputs!$E$27)))</f>
        <v>62.6016363244178</v>
      </c>
      <c r="R1365" s="81" t="n">
        <f aca="true">RAND()</f>
        <v>0.9019298714196</v>
      </c>
      <c r="S1365" s="82" t="n">
        <f aca="false">IF(R1365&lt;(Inputs!$E$29-Inputs!$D$29)/(Inputs!$F$29-Inputs!$D$29),Inputs!$D$29+SQRT(R1365*(Inputs!$F$29-Inputs!$D$29)*(Inputs!$E$29-Inputs!$D$29)),Inputs!$F$29-SQRT((1-R1365)*(Inputs!$F$29-Inputs!$D$29)*(Inputs!$F$29-Inputs!$E$29)))</f>
        <v>11.4294094724469</v>
      </c>
      <c r="T1365" s="68" t="n">
        <f aca="false">Inputs!$E$9*(1+E1365)+Inputs!$E$5*C1365*(Inputs!$E$11*Inputs!$E$14*(G1365*I1365/Inputs!$E$16+(1-G1365))*K1365+Inputs!$E$23*M1365)*(1+O1365)+Inputs!$E$5*(Q1365+S1365)</f>
        <v>6340.27778933521</v>
      </c>
    </row>
    <row r="1366" customFormat="false" ht="15" hidden="false" customHeight="false" outlineLevel="0" collapsed="false">
      <c r="A1366" s="1" t="n">
        <v>1362</v>
      </c>
      <c r="B1366" s="81" t="n">
        <f aca="true">RAND()</f>
        <v>0.373432064528504</v>
      </c>
      <c r="C1366" s="82" t="n">
        <f aca="false">ROUND(IF(B1366&lt;(Inputs!$E$8-Inputs!$D$8)/(Inputs!$F$8-Inputs!$D$8),Inputs!$D$8+SQRT(B1366*(Inputs!$F$8-Inputs!$D$8)*(Inputs!$E$8-Inputs!$D$8)),Inputs!$F$8-SQRT((1-B1366)*(Inputs!$F$8-Inputs!$D$8)*(Inputs!$F$8-Inputs!$E$8))),0)</f>
        <v>24</v>
      </c>
      <c r="D1366" s="81" t="n">
        <f aca="true">RAND()</f>
        <v>0.0113302396717453</v>
      </c>
      <c r="E1366" s="83" t="n">
        <f aca="false">IF(D1366&lt;(Inputs!$E$10-Inputs!$D$10)/(Inputs!$F$10-Inputs!$D$10),Inputs!$D$10+SQRT(D1366*(Inputs!$F$10-Inputs!$D$10)*(Inputs!$E$10-Inputs!$D$10)),Inputs!$F$10-SQRT((1-D1366)*(Inputs!$F$10-Inputs!$D$10)*(Inputs!$F$10-Inputs!$E$10)))</f>
        <v>0.0106443598547519</v>
      </c>
      <c r="F1366" s="81" t="n">
        <f aca="true">RAND()</f>
        <v>0.5438812492979</v>
      </c>
      <c r="G1366" s="83" t="n">
        <f aca="false">IF(F1366&lt;(Inputs!$E$15-Inputs!$D$15)/(Inputs!$F$15-Inputs!$D$15),Inputs!$D$15+SQRT(F1366*(Inputs!$F$15-Inputs!$D$15)*(Inputs!$E$15-Inputs!$D$15)),Inputs!$F$15-SQRT((1-F1366)*(Inputs!$F$15-Inputs!$D$15)*(Inputs!$F$15-Inputs!$E$15)))</f>
        <v>0.704488874920028</v>
      </c>
      <c r="H1366" s="81" t="n">
        <f aca="true">RAND()</f>
        <v>0.148601045675598</v>
      </c>
      <c r="I1366" s="82" t="n">
        <f aca="false">ROUND(IF(H1366&lt;(Inputs!$E$17-Inputs!$D$17)/(Inputs!$F$17-Inputs!$D$17),Inputs!$D$17+SQRT(H1366*(Inputs!$F$17-Inputs!$D$17)*(Inputs!$E$17-Inputs!$D$17)),Inputs!$F$17-SQRT((1-H1366)*(Inputs!$F$17-Inputs!$D$17)*(Inputs!$F$17-Inputs!$E$17))),0)</f>
        <v>103</v>
      </c>
      <c r="J1366" s="81" t="n">
        <f aca="true">RAND()</f>
        <v>0.704313455917725</v>
      </c>
      <c r="K1366" s="83" t="n">
        <f aca="false">IF(J1366&lt;(Inputs!$E$18-Inputs!$D$18)/(Inputs!$F$18-Inputs!$D$18),Inputs!$D$18+SQRT(J1366*(Inputs!$F$18-Inputs!$D$18)*(Inputs!$E$18-Inputs!$D$18)),Inputs!$F$18-SQRT((1-J1366)*(Inputs!$F$18-Inputs!$D$18)*(Inputs!$F$18-Inputs!$E$18)))</f>
        <v>1.08915046594037</v>
      </c>
      <c r="L1366" s="81" t="n">
        <f aca="true">RAND()</f>
        <v>0.378667083569502</v>
      </c>
      <c r="M1366" s="83" t="n">
        <f aca="false">IF(L1366&lt;(Inputs!$E$24-Inputs!$D$24)/(Inputs!$F$24-Inputs!$D$24),Inputs!$D$24+SQRT(L1366*(Inputs!$F$24-Inputs!$D$24)*(Inputs!$E$24-Inputs!$D$24)),Inputs!$F$24-SQRT((1-L1366)*(Inputs!$F$24-Inputs!$D$24)*(Inputs!$F$24-Inputs!$E$24)))</f>
        <v>0.813839541196513</v>
      </c>
      <c r="N1366" s="81" t="n">
        <f aca="true">RAND()</f>
        <v>0.0519304877926548</v>
      </c>
      <c r="O1366" s="83" t="n">
        <f aca="false">IF(N1366&lt;(Inputs!$E$26-Inputs!$D$26)/(Inputs!$F$26-Inputs!$D$26),Inputs!$D$26+SQRT(N1366*(Inputs!$F$26-Inputs!$D$26)*(Inputs!$E$26-Inputs!$D$26)),Inputs!$F$26-SQRT((1-N1366)*(Inputs!$F$26-Inputs!$D$26)*(Inputs!$F$26-Inputs!$E$26)))</f>
        <v>0.392958233463732</v>
      </c>
      <c r="P1366" s="81" t="n">
        <f aca="true">RAND()</f>
        <v>0.140157942170107</v>
      </c>
      <c r="Q1366" s="82" t="n">
        <f aca="false">IF(P1366&lt;(Inputs!$E$27-Inputs!$D$27)/(Inputs!$F$27-Inputs!$D$27),Inputs!$D$27+SQRT(P1366*(Inputs!$F$27-Inputs!$D$27)*(Inputs!$E$27-Inputs!$D$27)),Inputs!$F$27-SQRT((1-P1366)*(Inputs!$F$27-Inputs!$D$27)*(Inputs!$F$27-Inputs!$E$27)))</f>
        <v>68.7188369143296</v>
      </c>
      <c r="R1366" s="81" t="n">
        <f aca="true">RAND()</f>
        <v>0.342124805531624</v>
      </c>
      <c r="S1366" s="82" t="n">
        <f aca="false">IF(R1366&lt;(Inputs!$E$29-Inputs!$D$29)/(Inputs!$F$29-Inputs!$D$29),Inputs!$D$29+SQRT(R1366*(Inputs!$F$29-Inputs!$D$29)*(Inputs!$E$29-Inputs!$D$29)),Inputs!$F$29-SQRT((1-R1366)*(Inputs!$F$29-Inputs!$D$29)*(Inputs!$F$29-Inputs!$E$29)))</f>
        <v>5.75209346495712</v>
      </c>
      <c r="T1366" s="68" t="n">
        <f aca="false">Inputs!$E$9*(1+E1366)+Inputs!$E$5*C1366*(Inputs!$E$11*Inputs!$E$14*(G1366*I1366/Inputs!$E$16+(1-G1366))*K1366+Inputs!$E$23*M1366)*(1+O1366)+Inputs!$E$5*(Q1366+S1366)</f>
        <v>5494.27179659973</v>
      </c>
    </row>
    <row r="1367" customFormat="false" ht="15" hidden="false" customHeight="false" outlineLevel="0" collapsed="false">
      <c r="A1367" s="1" t="n">
        <v>1363</v>
      </c>
      <c r="B1367" s="81" t="n">
        <f aca="true">RAND()</f>
        <v>0.174076322658341</v>
      </c>
      <c r="C1367" s="82" t="n">
        <f aca="false">ROUND(IF(B1367&lt;(Inputs!$E$8-Inputs!$D$8)/(Inputs!$F$8-Inputs!$D$8),Inputs!$D$8+SQRT(B1367*(Inputs!$F$8-Inputs!$D$8)*(Inputs!$E$8-Inputs!$D$8)),Inputs!$F$8-SQRT((1-B1367)*(Inputs!$F$8-Inputs!$D$8)*(Inputs!$F$8-Inputs!$E$8))),0)</f>
        <v>23</v>
      </c>
      <c r="D1367" s="81" t="n">
        <f aca="true">RAND()</f>
        <v>0.465408782685313</v>
      </c>
      <c r="E1367" s="83" t="n">
        <f aca="false">IF(D1367&lt;(Inputs!$E$10-Inputs!$D$10)/(Inputs!$F$10-Inputs!$D$10),Inputs!$D$10+SQRT(D1367*(Inputs!$F$10-Inputs!$D$10)*(Inputs!$E$10-Inputs!$D$10)),Inputs!$F$10-SQRT((1-D1367)*(Inputs!$F$10-Inputs!$D$10)*(Inputs!$F$10-Inputs!$E$10)))</f>
        <v>0.0733598147528178</v>
      </c>
      <c r="F1367" s="81" t="n">
        <f aca="true">RAND()</f>
        <v>0.125477277097813</v>
      </c>
      <c r="G1367" s="83" t="n">
        <f aca="false">IF(F1367&lt;(Inputs!$E$15-Inputs!$D$15)/(Inputs!$F$15-Inputs!$D$15),Inputs!$D$15+SQRT(F1367*(Inputs!$F$15-Inputs!$D$15)*(Inputs!$E$15-Inputs!$D$15)),Inputs!$F$15-SQRT((1-F1367)*(Inputs!$F$15-Inputs!$D$15)*(Inputs!$F$15-Inputs!$E$15)))</f>
        <v>0.65009536447573</v>
      </c>
      <c r="H1367" s="81" t="n">
        <f aca="true">RAND()</f>
        <v>0.287411649849991</v>
      </c>
      <c r="I1367" s="82" t="n">
        <f aca="false">ROUND(IF(H1367&lt;(Inputs!$E$17-Inputs!$D$17)/(Inputs!$F$17-Inputs!$D$17),Inputs!$D$17+SQRT(H1367*(Inputs!$F$17-Inputs!$D$17)*(Inputs!$E$17-Inputs!$D$17)),Inputs!$F$17-SQRT((1-H1367)*(Inputs!$F$17-Inputs!$D$17)*(Inputs!$F$17-Inputs!$E$17))),0)</f>
        <v>105</v>
      </c>
      <c r="J1367" s="81" t="n">
        <f aca="true">RAND()</f>
        <v>0.6413714381336</v>
      </c>
      <c r="K1367" s="83" t="n">
        <f aca="false">IF(J1367&lt;(Inputs!$E$18-Inputs!$D$18)/(Inputs!$F$18-Inputs!$D$18),Inputs!$D$18+SQRT(J1367*(Inputs!$F$18-Inputs!$D$18)*(Inputs!$E$18-Inputs!$D$18)),Inputs!$F$18-SQRT((1-J1367)*(Inputs!$F$18-Inputs!$D$18)*(Inputs!$F$18-Inputs!$E$18)))</f>
        <v>1.07285599314877</v>
      </c>
      <c r="L1367" s="81" t="n">
        <f aca="true">RAND()</f>
        <v>0.00359687276251454</v>
      </c>
      <c r="M1367" s="83" t="n">
        <f aca="false">IF(L1367&lt;(Inputs!$E$24-Inputs!$D$24)/(Inputs!$F$24-Inputs!$D$24),Inputs!$D$24+SQRT(L1367*(Inputs!$F$24-Inputs!$D$24)*(Inputs!$E$24-Inputs!$D$24)),Inputs!$F$24-SQRT((1-L1367)*(Inputs!$F$24-Inputs!$D$24)*(Inputs!$F$24-Inputs!$E$24)))</f>
        <v>0.620775580172446</v>
      </c>
      <c r="N1367" s="81" t="n">
        <f aca="true">RAND()</f>
        <v>0.0139592993837031</v>
      </c>
      <c r="O1367" s="83" t="n">
        <f aca="false">IF(N1367&lt;(Inputs!$E$26-Inputs!$D$26)/(Inputs!$F$26-Inputs!$D$26),Inputs!$D$26+SQRT(N1367*(Inputs!$F$26-Inputs!$D$26)*(Inputs!$E$26-Inputs!$D$26)),Inputs!$F$26-SQRT((1-N1367)*(Inputs!$F$26-Inputs!$D$26)*(Inputs!$F$26-Inputs!$E$26)))</f>
        <v>0.348195719907977</v>
      </c>
      <c r="P1367" s="81" t="n">
        <f aca="true">RAND()</f>
        <v>0.517492928293586</v>
      </c>
      <c r="Q1367" s="82" t="n">
        <f aca="false">IF(P1367&lt;(Inputs!$E$27-Inputs!$D$27)/(Inputs!$F$27-Inputs!$D$27),Inputs!$D$27+SQRT(P1367*(Inputs!$F$27-Inputs!$D$27)*(Inputs!$E$27-Inputs!$D$27)),Inputs!$F$27-SQRT((1-P1367)*(Inputs!$F$27-Inputs!$D$27)*(Inputs!$F$27-Inputs!$E$27)))</f>
        <v>89.8435120889018</v>
      </c>
      <c r="R1367" s="81" t="n">
        <f aca="true">RAND()</f>
        <v>0.275491826140602</v>
      </c>
      <c r="S1367" s="82" t="n">
        <f aca="false">IF(R1367&lt;(Inputs!$E$29-Inputs!$D$29)/(Inputs!$F$29-Inputs!$D$29),Inputs!$D$29+SQRT(R1367*(Inputs!$F$29-Inputs!$D$29)*(Inputs!$E$29-Inputs!$D$29)),Inputs!$F$29-SQRT((1-R1367)*(Inputs!$F$29-Inputs!$D$29)*(Inputs!$F$29-Inputs!$E$29)))</f>
        <v>5.29504958272729</v>
      </c>
      <c r="T1367" s="68" t="n">
        <f aca="false">Inputs!$E$9*(1+E1367)+Inputs!$E$5*C1367*(Inputs!$E$11*Inputs!$E$14*(G1367*I1367/Inputs!$E$16+(1-G1367))*K1367+Inputs!$E$23*M1367)*(1+O1367)+Inputs!$E$5*(Q1367+S1367)</f>
        <v>5365.13304712568</v>
      </c>
    </row>
    <row r="1368" customFormat="false" ht="15" hidden="false" customHeight="false" outlineLevel="0" collapsed="false">
      <c r="A1368" s="1" t="n">
        <v>1364</v>
      </c>
      <c r="B1368" s="81" t="n">
        <f aca="true">RAND()</f>
        <v>0.321262969445143</v>
      </c>
      <c r="C1368" s="82" t="n">
        <f aca="false">ROUND(IF(B1368&lt;(Inputs!$E$8-Inputs!$D$8)/(Inputs!$F$8-Inputs!$D$8),Inputs!$D$8+SQRT(B1368*(Inputs!$F$8-Inputs!$D$8)*(Inputs!$E$8-Inputs!$D$8)),Inputs!$F$8-SQRT((1-B1368)*(Inputs!$F$8-Inputs!$D$8)*(Inputs!$F$8-Inputs!$E$8))),0)</f>
        <v>24</v>
      </c>
      <c r="D1368" s="81" t="n">
        <f aca="true">RAND()</f>
        <v>0.123635012859955</v>
      </c>
      <c r="E1368" s="83" t="n">
        <f aca="false">IF(D1368&lt;(Inputs!$E$10-Inputs!$D$10)/(Inputs!$F$10-Inputs!$D$10),Inputs!$D$10+SQRT(D1368*(Inputs!$F$10-Inputs!$D$10)*(Inputs!$E$10-Inputs!$D$10)),Inputs!$F$10-SQRT((1-D1368)*(Inputs!$F$10-Inputs!$D$10)*(Inputs!$F$10-Inputs!$E$10)))</f>
        <v>0.0351617708399271</v>
      </c>
      <c r="F1368" s="81" t="n">
        <f aca="true">RAND()</f>
        <v>0.692085085618691</v>
      </c>
      <c r="G1368" s="83" t="n">
        <f aca="false">IF(F1368&lt;(Inputs!$E$15-Inputs!$D$15)/(Inputs!$F$15-Inputs!$D$15),Inputs!$D$15+SQRT(F1368*(Inputs!$F$15-Inputs!$D$15)*(Inputs!$E$15-Inputs!$D$15)),Inputs!$F$15-SQRT((1-F1368)*(Inputs!$F$15-Inputs!$D$15)*(Inputs!$F$15-Inputs!$E$15)))</f>
        <v>0.721525174179064</v>
      </c>
      <c r="H1368" s="81" t="n">
        <f aca="true">RAND()</f>
        <v>0.555437623948393</v>
      </c>
      <c r="I1368" s="82" t="n">
        <f aca="false">ROUND(IF(H1368&lt;(Inputs!$E$17-Inputs!$D$17)/(Inputs!$F$17-Inputs!$D$17),Inputs!$D$17+SQRT(H1368*(Inputs!$F$17-Inputs!$D$17)*(Inputs!$E$17-Inputs!$D$17)),Inputs!$F$17-SQRT((1-H1368)*(Inputs!$F$17-Inputs!$D$17)*(Inputs!$F$17-Inputs!$E$17))),0)</f>
        <v>107</v>
      </c>
      <c r="J1368" s="81" t="n">
        <f aca="true">RAND()</f>
        <v>0.534437270427449</v>
      </c>
      <c r="K1368" s="83" t="n">
        <f aca="false">IF(J1368&lt;(Inputs!$E$18-Inputs!$D$18)/(Inputs!$F$18-Inputs!$D$18),Inputs!$D$18+SQRT(J1368*(Inputs!$F$18-Inputs!$D$18)*(Inputs!$E$18-Inputs!$D$18)),Inputs!$F$18-SQRT((1-J1368)*(Inputs!$F$18-Inputs!$D$18)*(Inputs!$F$18-Inputs!$E$18)))</f>
        <v>1.04816655669191</v>
      </c>
      <c r="L1368" s="81" t="n">
        <f aca="true">RAND()</f>
        <v>0.233929112075998</v>
      </c>
      <c r="M1368" s="83" t="n">
        <f aca="false">IF(L1368&lt;(Inputs!$E$24-Inputs!$D$24)/(Inputs!$F$24-Inputs!$D$24),Inputs!$D$24+SQRT(L1368*(Inputs!$F$24-Inputs!$D$24)*(Inputs!$E$24-Inputs!$D$24)),Inputs!$F$24-SQRT((1-L1368)*(Inputs!$F$24-Inputs!$D$24)*(Inputs!$F$24-Inputs!$E$24)))</f>
        <v>0.767545496654251</v>
      </c>
      <c r="N1368" s="81" t="n">
        <f aca="true">RAND()</f>
        <v>0.317485772738724</v>
      </c>
      <c r="O1368" s="83" t="n">
        <f aca="false">IF(N1368&lt;(Inputs!$E$26-Inputs!$D$26)/(Inputs!$F$26-Inputs!$D$26),Inputs!$D$26+SQRT(N1368*(Inputs!$F$26-Inputs!$D$26)*(Inputs!$E$26-Inputs!$D$26)),Inputs!$F$26-SQRT((1-N1368)*(Inputs!$F$26-Inputs!$D$26)*(Inputs!$F$26-Inputs!$E$26)))</f>
        <v>0.529846976451124</v>
      </c>
      <c r="P1368" s="81" t="n">
        <f aca="true">RAND()</f>
        <v>0.306614635849196</v>
      </c>
      <c r="Q1368" s="82" t="n">
        <f aca="false">IF(P1368&lt;(Inputs!$E$27-Inputs!$D$27)/(Inputs!$F$27-Inputs!$D$27),Inputs!$D$27+SQRT(P1368*(Inputs!$F$27-Inputs!$D$27)*(Inputs!$E$27-Inputs!$D$27)),Inputs!$F$27-SQRT((1-P1368)*(Inputs!$F$27-Inputs!$D$27)*(Inputs!$F$27-Inputs!$E$27)))</f>
        <v>77.8862687754196</v>
      </c>
      <c r="R1368" s="81" t="n">
        <f aca="true">RAND()</f>
        <v>0.75151521015602</v>
      </c>
      <c r="S1368" s="82" t="n">
        <f aca="false">IF(R1368&lt;(Inputs!$E$29-Inputs!$D$29)/(Inputs!$F$29-Inputs!$D$29),Inputs!$D$29+SQRT(R1368*(Inputs!$F$29-Inputs!$D$29)*(Inputs!$E$29-Inputs!$D$29)),Inputs!$F$29-SQRT((1-R1368)*(Inputs!$F$29-Inputs!$D$29)*(Inputs!$F$29-Inputs!$E$29)))</f>
        <v>9.31642518482272</v>
      </c>
      <c r="T1368" s="68" t="n">
        <f aca="false">Inputs!$E$9*(1+E1368)+Inputs!$E$5*C1368*(Inputs!$E$11*Inputs!$E$14*(G1368*I1368/Inputs!$E$16+(1-G1368))*K1368+Inputs!$E$23*M1368)*(1+O1368)+Inputs!$E$5*(Q1368+S1368)</f>
        <v>5780.26835543035</v>
      </c>
    </row>
    <row r="1369" customFormat="false" ht="15" hidden="false" customHeight="false" outlineLevel="0" collapsed="false">
      <c r="A1369" s="1" t="n">
        <v>1365</v>
      </c>
      <c r="B1369" s="81" t="n">
        <f aca="true">RAND()</f>
        <v>0.635477581463532</v>
      </c>
      <c r="C1369" s="82" t="n">
        <f aca="false">ROUND(IF(B1369&lt;(Inputs!$E$8-Inputs!$D$8)/(Inputs!$F$8-Inputs!$D$8),Inputs!$D$8+SQRT(B1369*(Inputs!$F$8-Inputs!$D$8)*(Inputs!$E$8-Inputs!$D$8)),Inputs!$F$8-SQRT((1-B1369)*(Inputs!$F$8-Inputs!$D$8)*(Inputs!$F$8-Inputs!$E$8))),0)</f>
        <v>26</v>
      </c>
      <c r="D1369" s="81" t="n">
        <f aca="true">RAND()</f>
        <v>0.782158921846337</v>
      </c>
      <c r="E1369" s="83" t="n">
        <f aca="false">IF(D1369&lt;(Inputs!$E$10-Inputs!$D$10)/(Inputs!$F$10-Inputs!$D$10),Inputs!$D$10+SQRT(D1369*(Inputs!$F$10-Inputs!$D$10)*(Inputs!$E$10-Inputs!$D$10)),Inputs!$F$10-SQRT((1-D1369)*(Inputs!$F$10-Inputs!$D$10)*(Inputs!$F$10-Inputs!$E$10)))</f>
        <v>0.119159216081177</v>
      </c>
      <c r="F1369" s="81" t="n">
        <f aca="true">RAND()</f>
        <v>0.0641555933759912</v>
      </c>
      <c r="G1369" s="83" t="n">
        <f aca="false">IF(F1369&lt;(Inputs!$E$15-Inputs!$D$15)/(Inputs!$F$15-Inputs!$D$15),Inputs!$D$15+SQRT(F1369*(Inputs!$F$15-Inputs!$D$15)*(Inputs!$E$15-Inputs!$D$15)),Inputs!$F$15-SQRT((1-F1369)*(Inputs!$F$15-Inputs!$D$15)*(Inputs!$F$15-Inputs!$E$15)))</f>
        <v>0.635820550910334</v>
      </c>
      <c r="H1369" s="81" t="n">
        <f aca="true">RAND()</f>
        <v>0.80124703364417</v>
      </c>
      <c r="I1369" s="82" t="n">
        <f aca="false">ROUND(IF(H1369&lt;(Inputs!$E$17-Inputs!$D$17)/(Inputs!$F$17-Inputs!$D$17),Inputs!$D$17+SQRT(H1369*(Inputs!$F$17-Inputs!$D$17)*(Inputs!$E$17-Inputs!$D$17)),Inputs!$F$17-SQRT((1-H1369)*(Inputs!$F$17-Inputs!$D$17)*(Inputs!$F$17-Inputs!$E$17))),0)</f>
        <v>110</v>
      </c>
      <c r="J1369" s="81" t="n">
        <f aca="true">RAND()</f>
        <v>0.0630105327117818</v>
      </c>
      <c r="K1369" s="83" t="n">
        <f aca="false">IF(J1369&lt;(Inputs!$E$18-Inputs!$D$18)/(Inputs!$F$18-Inputs!$D$18),Inputs!$D$18+SQRT(J1369*(Inputs!$F$18-Inputs!$D$18)*(Inputs!$E$18-Inputs!$D$18)),Inputs!$F$18-SQRT((1-J1369)*(Inputs!$F$18-Inputs!$D$18)*(Inputs!$F$18-Inputs!$E$18)))</f>
        <v>0.946961352673367</v>
      </c>
      <c r="L1369" s="81" t="n">
        <f aca="true">RAND()</f>
        <v>0.100646425557087</v>
      </c>
      <c r="M1369" s="83" t="n">
        <f aca="false">IF(L1369&lt;(Inputs!$E$24-Inputs!$D$24)/(Inputs!$F$24-Inputs!$D$24),Inputs!$D$24+SQRT(L1369*(Inputs!$F$24-Inputs!$D$24)*(Inputs!$E$24-Inputs!$D$24)),Inputs!$F$24-SQRT((1-L1369)*(Inputs!$F$24-Inputs!$D$24)*(Inputs!$F$24-Inputs!$E$24)))</f>
        <v>0.709898003015753</v>
      </c>
      <c r="N1369" s="81" t="n">
        <f aca="true">RAND()</f>
        <v>0.409852075927756</v>
      </c>
      <c r="O1369" s="83" t="n">
        <f aca="false">IF(N1369&lt;(Inputs!$E$26-Inputs!$D$26)/(Inputs!$F$26-Inputs!$D$26),Inputs!$D$26+SQRT(N1369*(Inputs!$F$26-Inputs!$D$26)*(Inputs!$E$26-Inputs!$D$26)),Inputs!$F$26-SQRT((1-N1369)*(Inputs!$F$26-Inputs!$D$26)*(Inputs!$F$26-Inputs!$E$26)))</f>
        <v>0.561150120494666</v>
      </c>
      <c r="P1369" s="81" t="n">
        <f aca="true">RAND()</f>
        <v>0.272480099362629</v>
      </c>
      <c r="Q1369" s="82" t="n">
        <f aca="false">IF(P1369&lt;(Inputs!$E$27-Inputs!$D$27)/(Inputs!$F$27-Inputs!$D$27),Inputs!$D$27+SQRT(P1369*(Inputs!$F$27-Inputs!$D$27)*(Inputs!$E$27-Inputs!$D$27)),Inputs!$F$27-SQRT((1-P1369)*(Inputs!$F$27-Inputs!$D$27)*(Inputs!$F$27-Inputs!$E$27)))</f>
        <v>76.1325561916463</v>
      </c>
      <c r="R1369" s="81" t="n">
        <f aca="true">RAND()</f>
        <v>0.910383247453309</v>
      </c>
      <c r="S1369" s="82" t="n">
        <f aca="false">IF(R1369&lt;(Inputs!$E$29-Inputs!$D$29)/(Inputs!$F$29-Inputs!$D$29),Inputs!$D$29+SQRT(R1369*(Inputs!$F$29-Inputs!$D$29)*(Inputs!$E$29-Inputs!$D$29)),Inputs!$F$29-SQRT((1-R1369)*(Inputs!$F$29-Inputs!$D$29)*(Inputs!$F$29-Inputs!$E$29)))</f>
        <v>11.586764316507</v>
      </c>
      <c r="T1369" s="68" t="n">
        <f aca="false">Inputs!$E$9*(1+E1369)+Inputs!$E$5*C1369*(Inputs!$E$11*Inputs!$E$14*(G1369*I1369/Inputs!$E$16+(1-G1369))*K1369+Inputs!$E$23*M1369)*(1+O1369)+Inputs!$E$5*(Q1369+S1369)</f>
        <v>6125.14767650496</v>
      </c>
    </row>
    <row r="1370" customFormat="false" ht="15" hidden="false" customHeight="false" outlineLevel="0" collapsed="false">
      <c r="A1370" s="1" t="n">
        <v>1366</v>
      </c>
      <c r="B1370" s="81" t="n">
        <f aca="true">RAND()</f>
        <v>0.607432620137439</v>
      </c>
      <c r="C1370" s="82" t="n">
        <f aca="false">ROUND(IF(B1370&lt;(Inputs!$E$8-Inputs!$D$8)/(Inputs!$F$8-Inputs!$D$8),Inputs!$D$8+SQRT(B1370*(Inputs!$F$8-Inputs!$D$8)*(Inputs!$E$8-Inputs!$D$8)),Inputs!$F$8-SQRT((1-B1370)*(Inputs!$F$8-Inputs!$D$8)*(Inputs!$F$8-Inputs!$E$8))),0)</f>
        <v>26</v>
      </c>
      <c r="D1370" s="81" t="n">
        <f aca="true">RAND()</f>
        <v>0.105725563033785</v>
      </c>
      <c r="E1370" s="83" t="n">
        <f aca="false">IF(D1370&lt;(Inputs!$E$10-Inputs!$D$10)/(Inputs!$F$10-Inputs!$D$10),Inputs!$D$10+SQRT(D1370*(Inputs!$F$10-Inputs!$D$10)*(Inputs!$E$10-Inputs!$D$10)),Inputs!$F$10-SQRT((1-D1370)*(Inputs!$F$10-Inputs!$D$10)*(Inputs!$F$10-Inputs!$E$10)))</f>
        <v>0.0325154675552705</v>
      </c>
      <c r="F1370" s="81" t="n">
        <f aca="true">RAND()</f>
        <v>0.175448371316207</v>
      </c>
      <c r="G1370" s="83" t="n">
        <f aca="false">IF(F1370&lt;(Inputs!$E$15-Inputs!$D$15)/(Inputs!$F$15-Inputs!$D$15),Inputs!$D$15+SQRT(F1370*(Inputs!$F$15-Inputs!$D$15)*(Inputs!$E$15-Inputs!$D$15)),Inputs!$F$15-SQRT((1-F1370)*(Inputs!$F$15-Inputs!$D$15)*(Inputs!$F$15-Inputs!$E$15)))</f>
        <v>0.659236537933307</v>
      </c>
      <c r="H1370" s="81" t="n">
        <f aca="true">RAND()</f>
        <v>0.403845354459403</v>
      </c>
      <c r="I1370" s="82" t="n">
        <f aca="false">ROUND(IF(H1370&lt;(Inputs!$E$17-Inputs!$D$17)/(Inputs!$F$17-Inputs!$D$17),Inputs!$D$17+SQRT(H1370*(Inputs!$F$17-Inputs!$D$17)*(Inputs!$E$17-Inputs!$D$17)),Inputs!$F$17-SQRT((1-H1370)*(Inputs!$F$17-Inputs!$D$17)*(Inputs!$F$17-Inputs!$E$17))),0)</f>
        <v>106</v>
      </c>
      <c r="J1370" s="81" t="n">
        <f aca="true">RAND()</f>
        <v>0.742547705353334</v>
      </c>
      <c r="K1370" s="83" t="n">
        <f aca="false">IF(J1370&lt;(Inputs!$E$18-Inputs!$D$18)/(Inputs!$F$18-Inputs!$D$18),Inputs!$D$18+SQRT(J1370*(Inputs!$F$18-Inputs!$D$18)*(Inputs!$E$18-Inputs!$D$18)),Inputs!$F$18-SQRT((1-J1370)*(Inputs!$F$18-Inputs!$D$18)*(Inputs!$F$18-Inputs!$E$18)))</f>
        <v>1.09990977453017</v>
      </c>
      <c r="L1370" s="81" t="n">
        <f aca="true">RAND()</f>
        <v>0.0999545506381769</v>
      </c>
      <c r="M1370" s="83" t="n">
        <f aca="false">IF(L1370&lt;(Inputs!$E$24-Inputs!$D$24)/(Inputs!$F$24-Inputs!$D$24),Inputs!$D$24+SQRT(L1370*(Inputs!$F$24-Inputs!$D$24)*(Inputs!$E$24-Inputs!$D$24)),Inputs!$F$24-SQRT((1-L1370)*(Inputs!$F$24-Inputs!$D$24)*(Inputs!$F$24-Inputs!$E$24)))</f>
        <v>0.709519615031195</v>
      </c>
      <c r="N1370" s="81" t="n">
        <f aca="true">RAND()</f>
        <v>0.795356346897036</v>
      </c>
      <c r="O1370" s="83" t="n">
        <f aca="false">IF(N1370&lt;(Inputs!$E$26-Inputs!$D$26)/(Inputs!$F$26-Inputs!$D$26),Inputs!$D$26+SQRT(N1370*(Inputs!$F$26-Inputs!$D$26)*(Inputs!$E$26-Inputs!$D$26)),Inputs!$F$26-SQRT((1-N1370)*(Inputs!$F$26-Inputs!$D$26)*(Inputs!$F$26-Inputs!$E$26)))</f>
        <v>0.674113263376316</v>
      </c>
      <c r="P1370" s="81" t="n">
        <f aca="true">RAND()</f>
        <v>0.823302155277431</v>
      </c>
      <c r="Q1370" s="82" t="n">
        <f aca="false">IF(P1370&lt;(Inputs!$E$27-Inputs!$D$27)/(Inputs!$F$27-Inputs!$D$27),Inputs!$D$27+SQRT(P1370*(Inputs!$F$27-Inputs!$D$27)*(Inputs!$E$27-Inputs!$D$27)),Inputs!$F$27-SQRT((1-P1370)*(Inputs!$F$27-Inputs!$D$27)*(Inputs!$F$27-Inputs!$E$27)))</f>
        <v>113.596238718791</v>
      </c>
      <c r="R1370" s="81" t="n">
        <f aca="true">RAND()</f>
        <v>0.665225044875819</v>
      </c>
      <c r="S1370" s="82" t="n">
        <f aca="false">IF(R1370&lt;(Inputs!$E$29-Inputs!$D$29)/(Inputs!$F$29-Inputs!$D$29),Inputs!$D$29+SQRT(R1370*(Inputs!$F$29-Inputs!$D$29)*(Inputs!$E$29-Inputs!$D$29)),Inputs!$F$29-SQRT((1-R1370)*(Inputs!$F$29-Inputs!$D$29)*(Inputs!$F$29-Inputs!$E$29)))</f>
        <v>8.40297459712762</v>
      </c>
      <c r="T1370" s="68" t="n">
        <f aca="false">Inputs!$E$9*(1+E1370)+Inputs!$E$5*C1370*(Inputs!$E$11*Inputs!$E$14*(G1370*I1370/Inputs!$E$16+(1-G1370))*K1370+Inputs!$E$23*M1370)*(1+O1370)+Inputs!$E$5*(Q1370+S1370)</f>
        <v>6631.64754177461</v>
      </c>
    </row>
    <row r="1371" customFormat="false" ht="15" hidden="false" customHeight="false" outlineLevel="0" collapsed="false">
      <c r="A1371" s="1" t="n">
        <v>1367</v>
      </c>
      <c r="B1371" s="81" t="n">
        <f aca="true">RAND()</f>
        <v>0.0228190502220252</v>
      </c>
      <c r="C1371" s="82" t="n">
        <f aca="false">ROUND(IF(B1371&lt;(Inputs!$E$8-Inputs!$D$8)/(Inputs!$F$8-Inputs!$D$8),Inputs!$D$8+SQRT(B1371*(Inputs!$F$8-Inputs!$D$8)*(Inputs!$E$8-Inputs!$D$8)),Inputs!$F$8-SQRT((1-B1371)*(Inputs!$F$8-Inputs!$D$8)*(Inputs!$F$8-Inputs!$E$8))),0)</f>
        <v>21</v>
      </c>
      <c r="D1371" s="81" t="n">
        <f aca="true">RAND()</f>
        <v>0.497034534307587</v>
      </c>
      <c r="E1371" s="83" t="n">
        <f aca="false">IF(D1371&lt;(Inputs!$E$10-Inputs!$D$10)/(Inputs!$F$10-Inputs!$D$10),Inputs!$D$10+SQRT(D1371*(Inputs!$F$10-Inputs!$D$10)*(Inputs!$E$10-Inputs!$D$10)),Inputs!$F$10-SQRT((1-D1371)*(Inputs!$F$10-Inputs!$D$10)*(Inputs!$F$10-Inputs!$E$10)))</f>
        <v>0.077162855899478</v>
      </c>
      <c r="F1371" s="81" t="n">
        <f aca="true">RAND()</f>
        <v>0.0364104327672971</v>
      </c>
      <c r="G1371" s="83" t="n">
        <f aca="false">IF(F1371&lt;(Inputs!$E$15-Inputs!$D$15)/(Inputs!$F$15-Inputs!$D$15),Inputs!$D$15+SQRT(F1371*(Inputs!$F$15-Inputs!$D$15)*(Inputs!$E$15-Inputs!$D$15)),Inputs!$F$15-SQRT((1-F1371)*(Inputs!$F$15-Inputs!$D$15)*(Inputs!$F$15-Inputs!$E$15)))</f>
        <v>0.62698534149026</v>
      </c>
      <c r="H1371" s="81" t="n">
        <f aca="true">RAND()</f>
        <v>0.842558930938294</v>
      </c>
      <c r="I1371" s="82" t="n">
        <f aca="false">ROUND(IF(H1371&lt;(Inputs!$E$17-Inputs!$D$17)/(Inputs!$F$17-Inputs!$D$17),Inputs!$D$17+SQRT(H1371*(Inputs!$F$17-Inputs!$D$17)*(Inputs!$E$17-Inputs!$D$17)),Inputs!$F$17-SQRT((1-H1371)*(Inputs!$F$17-Inputs!$D$17)*(Inputs!$F$17-Inputs!$E$17))),0)</f>
        <v>110</v>
      </c>
      <c r="J1371" s="81" t="n">
        <f aca="true">RAND()</f>
        <v>0.168377724412508</v>
      </c>
      <c r="K1371" s="83" t="n">
        <f aca="false">IF(J1371&lt;(Inputs!$E$18-Inputs!$D$18)/(Inputs!$F$18-Inputs!$D$18),Inputs!$D$18+SQRT(J1371*(Inputs!$F$18-Inputs!$D$18)*(Inputs!$E$18-Inputs!$D$18)),Inputs!$F$18-SQRT((1-J1371)*(Inputs!$F$18-Inputs!$D$18)*(Inputs!$F$18-Inputs!$E$18)))</f>
        <v>0.976767313059907</v>
      </c>
      <c r="L1371" s="81" t="n">
        <f aca="true">RAND()</f>
        <v>0.923392957664714</v>
      </c>
      <c r="M1371" s="83" t="n">
        <f aca="false">IF(L1371&lt;(Inputs!$E$24-Inputs!$D$24)/(Inputs!$F$24-Inputs!$D$24),Inputs!$D$24+SQRT(L1371*(Inputs!$F$24-Inputs!$D$24)*(Inputs!$E$24-Inputs!$D$24)),Inputs!$F$24-SQRT((1-L1371)*(Inputs!$F$24-Inputs!$D$24)*(Inputs!$F$24-Inputs!$E$24)))</f>
        <v>1.06440615736521</v>
      </c>
      <c r="N1371" s="81" t="n">
        <f aca="true">RAND()</f>
        <v>0.63679260330457</v>
      </c>
      <c r="O1371" s="83" t="n">
        <f aca="false">IF(N1371&lt;(Inputs!$E$26-Inputs!$D$26)/(Inputs!$F$26-Inputs!$D$26),Inputs!$D$26+SQRT(N1371*(Inputs!$F$26-Inputs!$D$26)*(Inputs!$E$26-Inputs!$D$26)),Inputs!$F$26-SQRT((1-N1371)*(Inputs!$F$26-Inputs!$D$26)*(Inputs!$F$26-Inputs!$E$26)))</f>
        <v>0.625645763472147</v>
      </c>
      <c r="P1371" s="81" t="n">
        <f aca="true">RAND()</f>
        <v>0.317964254334825</v>
      </c>
      <c r="Q1371" s="82" t="n">
        <f aca="false">IF(P1371&lt;(Inputs!$E$27-Inputs!$D$27)/(Inputs!$F$27-Inputs!$D$27),Inputs!$D$27+SQRT(P1371*(Inputs!$F$27-Inputs!$D$27)*(Inputs!$E$27-Inputs!$D$27)),Inputs!$F$27-SQRT((1-P1371)*(Inputs!$F$27-Inputs!$D$27)*(Inputs!$F$27-Inputs!$E$27)))</f>
        <v>78.4788975721933</v>
      </c>
      <c r="R1371" s="81" t="n">
        <f aca="true">RAND()</f>
        <v>0.18555061203371</v>
      </c>
      <c r="S1371" s="82" t="n">
        <f aca="false">IF(R1371&lt;(Inputs!$E$29-Inputs!$D$29)/(Inputs!$F$29-Inputs!$D$29),Inputs!$D$29+SQRT(R1371*(Inputs!$F$29-Inputs!$D$29)*(Inputs!$E$29-Inputs!$D$29)),Inputs!$F$29-SQRT((1-R1371)*(Inputs!$F$29-Inputs!$D$29)*(Inputs!$F$29-Inputs!$E$29)))</f>
        <v>4.69006949154008</v>
      </c>
      <c r="T1371" s="68" t="n">
        <f aca="false">Inputs!$E$9*(1+E1371)+Inputs!$E$5*C1371*(Inputs!$E$11*Inputs!$E$14*(G1371*I1371/Inputs!$E$16+(1-G1371))*K1371+Inputs!$E$23*M1371)*(1+O1371)+Inputs!$E$5*(Q1371+S1371)</f>
        <v>5996.34956256055</v>
      </c>
    </row>
    <row r="1372" customFormat="false" ht="15" hidden="false" customHeight="false" outlineLevel="0" collapsed="false">
      <c r="A1372" s="1" t="n">
        <v>1368</v>
      </c>
      <c r="B1372" s="81" t="n">
        <f aca="true">RAND()</f>
        <v>0.168629339957419</v>
      </c>
      <c r="C1372" s="82" t="n">
        <f aca="false">ROUND(IF(B1372&lt;(Inputs!$E$8-Inputs!$D$8)/(Inputs!$F$8-Inputs!$D$8),Inputs!$D$8+SQRT(B1372*(Inputs!$F$8-Inputs!$D$8)*(Inputs!$E$8-Inputs!$D$8)),Inputs!$F$8-SQRT((1-B1372)*(Inputs!$F$8-Inputs!$D$8)*(Inputs!$F$8-Inputs!$E$8))),0)</f>
        <v>23</v>
      </c>
      <c r="D1372" s="81" t="n">
        <f aca="true">RAND()</f>
        <v>0.822758807501223</v>
      </c>
      <c r="E1372" s="83" t="n">
        <f aca="false">IF(D1372&lt;(Inputs!$E$10-Inputs!$D$10)/(Inputs!$F$10-Inputs!$D$10),Inputs!$D$10+SQRT(D1372*(Inputs!$F$10-Inputs!$D$10)*(Inputs!$E$10-Inputs!$D$10)),Inputs!$F$10-SQRT((1-D1372)*(Inputs!$F$10-Inputs!$D$10)*(Inputs!$F$10-Inputs!$E$10)))</f>
        <v>0.127080621403064</v>
      </c>
      <c r="F1372" s="81" t="n">
        <f aca="true">RAND()</f>
        <v>0.791872580582225</v>
      </c>
      <c r="G1372" s="83" t="n">
        <f aca="false">IF(F1372&lt;(Inputs!$E$15-Inputs!$D$15)/(Inputs!$F$15-Inputs!$D$15),Inputs!$D$15+SQRT(F1372*(Inputs!$F$15-Inputs!$D$15)*(Inputs!$E$15-Inputs!$D$15)),Inputs!$F$15-SQRT((1-F1372)*(Inputs!$F$15-Inputs!$D$15)*(Inputs!$F$15-Inputs!$E$15)))</f>
        <v>0.735482185496132</v>
      </c>
      <c r="H1372" s="81" t="n">
        <f aca="true">RAND()</f>
        <v>0.984914592208793</v>
      </c>
      <c r="I1372" s="82" t="n">
        <f aca="false">ROUND(IF(H1372&lt;(Inputs!$E$17-Inputs!$D$17)/(Inputs!$F$17-Inputs!$D$17),Inputs!$D$17+SQRT(H1372*(Inputs!$F$17-Inputs!$D$17)*(Inputs!$E$17-Inputs!$D$17)),Inputs!$F$17-SQRT((1-H1372)*(Inputs!$F$17-Inputs!$D$17)*(Inputs!$F$17-Inputs!$E$17))),0)</f>
        <v>113</v>
      </c>
      <c r="J1372" s="81" t="n">
        <f aca="true">RAND()</f>
        <v>0.241333606074972</v>
      </c>
      <c r="K1372" s="83" t="n">
        <f aca="false">IF(J1372&lt;(Inputs!$E$18-Inputs!$D$18)/(Inputs!$F$18-Inputs!$D$18),Inputs!$D$18+SQRT(J1372*(Inputs!$F$18-Inputs!$D$18)*(Inputs!$E$18-Inputs!$D$18)),Inputs!$F$18-SQRT((1-J1372)*(Inputs!$F$18-Inputs!$D$18)*(Inputs!$F$18-Inputs!$E$18)))</f>
        <v>0.991905800756122</v>
      </c>
      <c r="L1372" s="81" t="n">
        <f aca="true">RAND()</f>
        <v>0.394731029921879</v>
      </c>
      <c r="M1372" s="83" t="n">
        <f aca="false">IF(L1372&lt;(Inputs!$E$24-Inputs!$D$24)/(Inputs!$F$24-Inputs!$D$24),Inputs!$D$24+SQRT(L1372*(Inputs!$F$24-Inputs!$D$24)*(Inputs!$E$24-Inputs!$D$24)),Inputs!$F$24-SQRT((1-L1372)*(Inputs!$F$24-Inputs!$D$24)*(Inputs!$F$24-Inputs!$E$24)))</f>
        <v>0.81886412813965</v>
      </c>
      <c r="N1372" s="81" t="n">
        <f aca="true">RAND()</f>
        <v>0.617711055388991</v>
      </c>
      <c r="O1372" s="83" t="n">
        <f aca="false">IF(N1372&lt;(Inputs!$E$26-Inputs!$D$26)/(Inputs!$F$26-Inputs!$D$26),Inputs!$D$26+SQRT(N1372*(Inputs!$F$26-Inputs!$D$26)*(Inputs!$E$26-Inputs!$D$26)),Inputs!$F$26-SQRT((1-N1372)*(Inputs!$F$26-Inputs!$D$26)*(Inputs!$F$26-Inputs!$E$26)))</f>
        <v>0.620605791860583</v>
      </c>
      <c r="P1372" s="81" t="n">
        <f aca="true">RAND()</f>
        <v>0.000381196205157748</v>
      </c>
      <c r="Q1372" s="82" t="n">
        <f aca="false">IF(P1372&lt;(Inputs!$E$27-Inputs!$D$27)/(Inputs!$F$27-Inputs!$D$27),Inputs!$D$27+SQRT(P1372*(Inputs!$F$27-Inputs!$D$27)*(Inputs!$E$27-Inputs!$D$27)),Inputs!$F$27-SQRT((1-P1372)*(Inputs!$F$27-Inputs!$D$27)*(Inputs!$F$27-Inputs!$E$27)))</f>
        <v>50.9762123298209</v>
      </c>
      <c r="R1372" s="81" t="n">
        <f aca="true">RAND()</f>
        <v>0.957753302624101</v>
      </c>
      <c r="S1372" s="82" t="n">
        <f aca="false">IF(R1372&lt;(Inputs!$E$29-Inputs!$D$29)/(Inputs!$F$29-Inputs!$D$29),Inputs!$D$29+SQRT(R1372*(Inputs!$F$29-Inputs!$D$29)*(Inputs!$E$29-Inputs!$D$29)),Inputs!$F$29-SQRT((1-R1372)*(Inputs!$F$29-Inputs!$D$29)*(Inputs!$F$29-Inputs!$E$29)))</f>
        <v>12.6564832710504</v>
      </c>
      <c r="T1372" s="68" t="n">
        <f aca="false">Inputs!$E$9*(1+E1372)+Inputs!$E$5*C1372*(Inputs!$E$11*Inputs!$E$14*(G1372*I1372/Inputs!$E$16+(1-G1372))*K1372+Inputs!$E$23*M1372)*(1+O1372)+Inputs!$E$5*(Q1372+S1372)</f>
        <v>5918.20578615924</v>
      </c>
    </row>
    <row r="1373" customFormat="false" ht="15" hidden="false" customHeight="false" outlineLevel="0" collapsed="false">
      <c r="A1373" s="1" t="n">
        <v>1369</v>
      </c>
      <c r="B1373" s="81" t="n">
        <f aca="true">RAND()</f>
        <v>0.635519670196018</v>
      </c>
      <c r="C1373" s="82" t="n">
        <f aca="false">ROUND(IF(B1373&lt;(Inputs!$E$8-Inputs!$D$8)/(Inputs!$F$8-Inputs!$D$8),Inputs!$D$8+SQRT(B1373*(Inputs!$F$8-Inputs!$D$8)*(Inputs!$E$8-Inputs!$D$8)),Inputs!$F$8-SQRT((1-B1373)*(Inputs!$F$8-Inputs!$D$8)*(Inputs!$F$8-Inputs!$E$8))),0)</f>
        <v>26</v>
      </c>
      <c r="D1373" s="81" t="n">
        <f aca="true">RAND()</f>
        <v>0.7350132263415</v>
      </c>
      <c r="E1373" s="83" t="n">
        <f aca="false">IF(D1373&lt;(Inputs!$E$10-Inputs!$D$10)/(Inputs!$F$10-Inputs!$D$10),Inputs!$D$10+SQRT(D1373*(Inputs!$F$10-Inputs!$D$10)*(Inputs!$E$10-Inputs!$D$10)),Inputs!$F$10-SQRT((1-D1373)*(Inputs!$F$10-Inputs!$D$10)*(Inputs!$F$10-Inputs!$E$10)))</f>
        <v>0.110839452616334</v>
      </c>
      <c r="F1373" s="81" t="n">
        <f aca="true">RAND()</f>
        <v>0.737690863546066</v>
      </c>
      <c r="G1373" s="83" t="n">
        <f aca="false">IF(F1373&lt;(Inputs!$E$15-Inputs!$D$15)/(Inputs!$F$15-Inputs!$D$15),Inputs!$D$15+SQRT(F1373*(Inputs!$F$15-Inputs!$D$15)*(Inputs!$E$15-Inputs!$D$15)),Inputs!$F$15-SQRT((1-F1373)*(Inputs!$F$15-Inputs!$D$15)*(Inputs!$F$15-Inputs!$E$15)))</f>
        <v>0.727569462730981</v>
      </c>
      <c r="H1373" s="81" t="n">
        <f aca="true">RAND()</f>
        <v>0.266599408628622</v>
      </c>
      <c r="I1373" s="82" t="n">
        <f aca="false">ROUND(IF(H1373&lt;(Inputs!$E$17-Inputs!$D$17)/(Inputs!$F$17-Inputs!$D$17),Inputs!$D$17+SQRT(H1373*(Inputs!$F$17-Inputs!$D$17)*(Inputs!$E$17-Inputs!$D$17)),Inputs!$F$17-SQRT((1-H1373)*(Inputs!$F$17-Inputs!$D$17)*(Inputs!$F$17-Inputs!$E$17))),0)</f>
        <v>104</v>
      </c>
      <c r="J1373" s="81" t="n">
        <f aca="true">RAND()</f>
        <v>0.937089226870699</v>
      </c>
      <c r="K1373" s="83" t="n">
        <f aca="false">IF(J1373&lt;(Inputs!$E$18-Inputs!$D$18)/(Inputs!$F$18-Inputs!$D$18),Inputs!$D$18+SQRT(J1373*(Inputs!$F$18-Inputs!$D$18)*(Inputs!$E$18-Inputs!$D$18)),Inputs!$F$18-SQRT((1-J1373)*(Inputs!$F$18-Inputs!$D$18)*(Inputs!$F$18-Inputs!$E$18)))</f>
        <v>1.17580638404274</v>
      </c>
      <c r="L1373" s="81" t="n">
        <f aca="true">RAND()</f>
        <v>0.744172602258771</v>
      </c>
      <c r="M1373" s="83" t="n">
        <f aca="false">IF(L1373&lt;(Inputs!$E$24-Inputs!$D$24)/(Inputs!$F$24-Inputs!$D$24),Inputs!$D$24+SQRT(L1373*(Inputs!$F$24-Inputs!$D$24)*(Inputs!$E$24-Inputs!$D$24)),Inputs!$F$24-SQRT((1-L1373)*(Inputs!$F$24-Inputs!$D$24)*(Inputs!$F$24-Inputs!$E$24)))</f>
        <v>0.952212640641426</v>
      </c>
      <c r="N1373" s="81" t="n">
        <f aca="true">RAND()</f>
        <v>0.123989440691838</v>
      </c>
      <c r="O1373" s="83" t="n">
        <f aca="false">IF(N1373&lt;(Inputs!$E$26-Inputs!$D$26)/(Inputs!$F$26-Inputs!$D$26),Inputs!$D$26+SQRT(N1373*(Inputs!$F$26-Inputs!$D$26)*(Inputs!$E$26-Inputs!$D$26)),Inputs!$F$26-SQRT((1-N1373)*(Inputs!$F$26-Inputs!$D$26)*(Inputs!$F$26-Inputs!$E$26)))</f>
        <v>0.443637888215894</v>
      </c>
      <c r="P1373" s="81" t="n">
        <f aca="true">RAND()</f>
        <v>0.528266915284179</v>
      </c>
      <c r="Q1373" s="82" t="n">
        <f aca="false">IF(P1373&lt;(Inputs!$E$27-Inputs!$D$27)/(Inputs!$F$27-Inputs!$D$27),Inputs!$D$27+SQRT(P1373*(Inputs!$F$27-Inputs!$D$27)*(Inputs!$E$27-Inputs!$D$27)),Inputs!$F$27-SQRT((1-P1373)*(Inputs!$F$27-Inputs!$D$27)*(Inputs!$F$27-Inputs!$E$27)))</f>
        <v>90.5189262423025</v>
      </c>
      <c r="R1373" s="81" t="n">
        <f aca="true">RAND()</f>
        <v>0.578294530673042</v>
      </c>
      <c r="S1373" s="82" t="n">
        <f aca="false">IF(R1373&lt;(Inputs!$E$29-Inputs!$D$29)/(Inputs!$F$29-Inputs!$D$29),Inputs!$D$29+SQRT(R1373*(Inputs!$F$29-Inputs!$D$29)*(Inputs!$E$29-Inputs!$D$29)),Inputs!$F$29-SQRT((1-R1373)*(Inputs!$F$29-Inputs!$D$29)*(Inputs!$F$29-Inputs!$E$29)))</f>
        <v>7.59583151106726</v>
      </c>
      <c r="T1373" s="68" t="n">
        <f aca="false">Inputs!$E$9*(1+E1373)+Inputs!$E$5*C1373*(Inputs!$E$11*Inputs!$E$14*(G1373*I1373/Inputs!$E$16+(1-G1373))*K1373+Inputs!$E$23*M1373)*(1+O1373)+Inputs!$E$5*(Q1373+S1373)</f>
        <v>6524.73914716431</v>
      </c>
    </row>
    <row r="1374" customFormat="false" ht="15" hidden="false" customHeight="false" outlineLevel="0" collapsed="false">
      <c r="A1374" s="1" t="n">
        <v>1370</v>
      </c>
      <c r="B1374" s="81" t="n">
        <f aca="true">RAND()</f>
        <v>0.353184018515925</v>
      </c>
      <c r="C1374" s="82" t="n">
        <f aca="false">ROUND(IF(B1374&lt;(Inputs!$E$8-Inputs!$D$8)/(Inputs!$F$8-Inputs!$D$8),Inputs!$D$8+SQRT(B1374*(Inputs!$F$8-Inputs!$D$8)*(Inputs!$E$8-Inputs!$D$8)),Inputs!$F$8-SQRT((1-B1374)*(Inputs!$F$8-Inputs!$D$8)*(Inputs!$F$8-Inputs!$E$8))),0)</f>
        <v>24</v>
      </c>
      <c r="D1374" s="81" t="n">
        <f aca="true">RAND()</f>
        <v>0.315278956869266</v>
      </c>
      <c r="E1374" s="83" t="n">
        <f aca="false">IF(D1374&lt;(Inputs!$E$10-Inputs!$D$10)/(Inputs!$F$10-Inputs!$D$10),Inputs!$D$10+SQRT(D1374*(Inputs!$F$10-Inputs!$D$10)*(Inputs!$E$10-Inputs!$D$10)),Inputs!$F$10-SQRT((1-D1374)*(Inputs!$F$10-Inputs!$D$10)*(Inputs!$F$10-Inputs!$E$10)))</f>
        <v>0.0566764803183998</v>
      </c>
      <c r="F1374" s="81" t="n">
        <f aca="true">RAND()</f>
        <v>0.0868719633990234</v>
      </c>
      <c r="G1374" s="83" t="n">
        <f aca="false">IF(F1374&lt;(Inputs!$E$15-Inputs!$D$15)/(Inputs!$F$15-Inputs!$D$15),Inputs!$D$15+SQRT(F1374*(Inputs!$F$15-Inputs!$D$15)*(Inputs!$E$15-Inputs!$D$15)),Inputs!$F$15-SQRT((1-F1374)*(Inputs!$F$15-Inputs!$D$15)*(Inputs!$F$15-Inputs!$E$15)))</f>
        <v>0.641682601502071</v>
      </c>
      <c r="H1374" s="81" t="n">
        <f aca="true">RAND()</f>
        <v>0.624316685448099</v>
      </c>
      <c r="I1374" s="82" t="n">
        <f aca="false">ROUND(IF(H1374&lt;(Inputs!$E$17-Inputs!$D$17)/(Inputs!$F$17-Inputs!$D$17),Inputs!$D$17+SQRT(H1374*(Inputs!$F$17-Inputs!$D$17)*(Inputs!$E$17-Inputs!$D$17)),Inputs!$F$17-SQRT((1-H1374)*(Inputs!$F$17-Inputs!$D$17)*(Inputs!$F$17-Inputs!$E$17))),0)</f>
        <v>107</v>
      </c>
      <c r="J1374" s="81" t="n">
        <f aca="true">RAND()</f>
        <v>0.070232852666599</v>
      </c>
      <c r="K1374" s="83" t="n">
        <f aca="false">IF(J1374&lt;(Inputs!$E$18-Inputs!$D$18)/(Inputs!$F$18-Inputs!$D$18),Inputs!$D$18+SQRT(J1374*(Inputs!$F$18-Inputs!$D$18)*(Inputs!$E$18-Inputs!$D$18)),Inputs!$F$18-SQRT((1-J1374)*(Inputs!$F$18-Inputs!$D$18)*(Inputs!$F$18-Inputs!$E$18)))</f>
        <v>0.949579732182929</v>
      </c>
      <c r="L1374" s="81" t="n">
        <f aca="true">RAND()</f>
        <v>0.788044194140914</v>
      </c>
      <c r="M1374" s="83" t="n">
        <f aca="false">IF(L1374&lt;(Inputs!$E$24-Inputs!$D$24)/(Inputs!$F$24-Inputs!$D$24),Inputs!$D$24+SQRT(L1374*(Inputs!$F$24-Inputs!$D$24)*(Inputs!$E$24-Inputs!$D$24)),Inputs!$F$24-SQRT((1-L1374)*(Inputs!$F$24-Inputs!$D$24)*(Inputs!$F$24-Inputs!$E$24)))</f>
        <v>0.974457557417277</v>
      </c>
      <c r="N1374" s="81" t="n">
        <f aca="true">RAND()</f>
        <v>0.45627012865292</v>
      </c>
      <c r="O1374" s="83" t="n">
        <f aca="false">IF(N1374&lt;(Inputs!$E$26-Inputs!$D$26)/(Inputs!$F$26-Inputs!$D$26),Inputs!$D$26+SQRT(N1374*(Inputs!$F$26-Inputs!$D$26)*(Inputs!$E$26-Inputs!$D$26)),Inputs!$F$26-SQRT((1-N1374)*(Inputs!$F$26-Inputs!$D$26)*(Inputs!$F$26-Inputs!$E$26)))</f>
        <v>0.575541919511072</v>
      </c>
      <c r="P1374" s="81" t="n">
        <f aca="true">RAND()</f>
        <v>0.174155193518696</v>
      </c>
      <c r="Q1374" s="82" t="n">
        <f aca="false">IF(P1374&lt;(Inputs!$E$27-Inputs!$D$27)/(Inputs!$F$27-Inputs!$D$27),Inputs!$D$27+SQRT(P1374*(Inputs!$F$27-Inputs!$D$27)*(Inputs!$E$27-Inputs!$D$27)),Inputs!$F$27-SQRT((1-P1374)*(Inputs!$F$27-Inputs!$D$27)*(Inputs!$F$27-Inputs!$E$27)))</f>
        <v>70.86595274117</v>
      </c>
      <c r="R1374" s="81" t="n">
        <f aca="true">RAND()</f>
        <v>0.393203648821667</v>
      </c>
      <c r="S1374" s="82" t="n">
        <f aca="false">IF(R1374&lt;(Inputs!$E$29-Inputs!$D$29)/(Inputs!$F$29-Inputs!$D$29),Inputs!$D$29+SQRT(R1374*(Inputs!$F$29-Inputs!$D$29)*(Inputs!$E$29-Inputs!$D$29)),Inputs!$F$29-SQRT((1-R1374)*(Inputs!$F$29-Inputs!$D$29)*(Inputs!$F$29-Inputs!$E$29)))</f>
        <v>6.11836019345621</v>
      </c>
      <c r="T1374" s="68" t="n">
        <f aca="false">Inputs!$E$9*(1+E1374)+Inputs!$E$5*C1374*(Inputs!$E$11*Inputs!$E$14*(G1374*I1374/Inputs!$E$16+(1-G1374))*K1374+Inputs!$E$23*M1374)*(1+O1374)+Inputs!$E$5*(Q1374+S1374)</f>
        <v>6040.38209239792</v>
      </c>
    </row>
    <row r="1375" customFormat="false" ht="15" hidden="false" customHeight="false" outlineLevel="0" collapsed="false">
      <c r="A1375" s="1" t="n">
        <v>1371</v>
      </c>
      <c r="B1375" s="81" t="n">
        <f aca="true">RAND()</f>
        <v>0.170386815794816</v>
      </c>
      <c r="C1375" s="82" t="n">
        <f aca="false">ROUND(IF(B1375&lt;(Inputs!$E$8-Inputs!$D$8)/(Inputs!$F$8-Inputs!$D$8),Inputs!$D$8+SQRT(B1375*(Inputs!$F$8-Inputs!$D$8)*(Inputs!$E$8-Inputs!$D$8)),Inputs!$F$8-SQRT((1-B1375)*(Inputs!$F$8-Inputs!$D$8)*(Inputs!$F$8-Inputs!$E$8))),0)</f>
        <v>23</v>
      </c>
      <c r="D1375" s="81" t="n">
        <f aca="true">RAND()</f>
        <v>0.171590493717042</v>
      </c>
      <c r="E1375" s="83" t="n">
        <f aca="false">IF(D1375&lt;(Inputs!$E$10-Inputs!$D$10)/(Inputs!$F$10-Inputs!$D$10),Inputs!$D$10+SQRT(D1375*(Inputs!$F$10-Inputs!$D$10)*(Inputs!$E$10-Inputs!$D$10)),Inputs!$F$10-SQRT((1-D1375)*(Inputs!$F$10-Inputs!$D$10)*(Inputs!$F$10-Inputs!$E$10)))</f>
        <v>0.0414234829193589</v>
      </c>
      <c r="F1375" s="81" t="n">
        <f aca="true">RAND()</f>
        <v>0.0739153064335552</v>
      </c>
      <c r="G1375" s="83" t="n">
        <f aca="false">IF(F1375&lt;(Inputs!$E$15-Inputs!$D$15)/(Inputs!$F$15-Inputs!$D$15),Inputs!$D$15+SQRT(F1375*(Inputs!$F$15-Inputs!$D$15)*(Inputs!$E$15-Inputs!$D$15)),Inputs!$F$15-SQRT((1-F1375)*(Inputs!$F$15-Inputs!$D$15)*(Inputs!$F$15-Inputs!$E$15)))</f>
        <v>0.63844874677634</v>
      </c>
      <c r="H1375" s="81" t="n">
        <f aca="true">RAND()</f>
        <v>0.403109765270264</v>
      </c>
      <c r="I1375" s="82" t="n">
        <f aca="false">ROUND(IF(H1375&lt;(Inputs!$E$17-Inputs!$D$17)/(Inputs!$F$17-Inputs!$D$17),Inputs!$D$17+SQRT(H1375*(Inputs!$F$17-Inputs!$D$17)*(Inputs!$E$17-Inputs!$D$17)),Inputs!$F$17-SQRT((1-H1375)*(Inputs!$F$17-Inputs!$D$17)*(Inputs!$F$17-Inputs!$E$17))),0)</f>
        <v>106</v>
      </c>
      <c r="J1375" s="81" t="n">
        <f aca="true">RAND()</f>
        <v>0.14534007561042</v>
      </c>
      <c r="K1375" s="83" t="n">
        <f aca="false">IF(J1375&lt;(Inputs!$E$18-Inputs!$D$18)/(Inputs!$F$18-Inputs!$D$18),Inputs!$D$18+SQRT(J1375*(Inputs!$F$18-Inputs!$D$18)*(Inputs!$E$18-Inputs!$D$18)),Inputs!$F$18-SQRT((1-J1375)*(Inputs!$F$18-Inputs!$D$18)*(Inputs!$F$18-Inputs!$E$18)))</f>
        <v>0.971322525518694</v>
      </c>
      <c r="L1375" s="81" t="n">
        <f aca="true">RAND()</f>
        <v>0.0468958038481209</v>
      </c>
      <c r="M1375" s="83" t="n">
        <f aca="false">IF(L1375&lt;(Inputs!$E$24-Inputs!$D$24)/(Inputs!$F$24-Inputs!$D$24),Inputs!$D$24+SQRT(L1375*(Inputs!$F$24-Inputs!$D$24)*(Inputs!$E$24-Inputs!$D$24)),Inputs!$F$24-SQRT((1-L1375)*(Inputs!$F$24-Inputs!$D$24)*(Inputs!$F$24-Inputs!$E$24)))</f>
        <v>0.675016641232293</v>
      </c>
      <c r="N1375" s="81" t="n">
        <f aca="true">RAND()</f>
        <v>0.490013861295926</v>
      </c>
      <c r="O1375" s="83" t="n">
        <f aca="false">IF(N1375&lt;(Inputs!$E$26-Inputs!$D$26)/(Inputs!$F$26-Inputs!$D$26),Inputs!$D$26+SQRT(N1375*(Inputs!$F$26-Inputs!$D$26)*(Inputs!$E$26-Inputs!$D$26)),Inputs!$F$26-SQRT((1-N1375)*(Inputs!$F$26-Inputs!$D$26)*(Inputs!$F$26-Inputs!$E$26)))</f>
        <v>0.585549131533686</v>
      </c>
      <c r="P1375" s="81" t="n">
        <f aca="true">RAND()</f>
        <v>0.82303994111524</v>
      </c>
      <c r="Q1375" s="82" t="n">
        <f aca="false">IF(P1375&lt;(Inputs!$E$27-Inputs!$D$27)/(Inputs!$F$27-Inputs!$D$27),Inputs!$D$27+SQRT(P1375*(Inputs!$F$27-Inputs!$D$27)*(Inputs!$E$27-Inputs!$D$27)),Inputs!$F$27-SQRT((1-P1375)*(Inputs!$F$27-Inputs!$D$27)*(Inputs!$F$27-Inputs!$E$27)))</f>
        <v>113.569237701694</v>
      </c>
      <c r="R1375" s="81" t="n">
        <f aca="true">RAND()</f>
        <v>0.600110291287184</v>
      </c>
      <c r="S1375" s="82" t="n">
        <f aca="false">IF(R1375&lt;(Inputs!$E$29-Inputs!$D$29)/(Inputs!$F$29-Inputs!$D$29),Inputs!$D$29+SQRT(R1375*(Inputs!$F$29-Inputs!$D$29)*(Inputs!$E$29-Inputs!$D$29)),Inputs!$F$29-SQRT((1-R1375)*(Inputs!$F$29-Inputs!$D$29)*(Inputs!$F$29-Inputs!$E$29)))</f>
        <v>7.78989166983837</v>
      </c>
      <c r="T1375" s="68" t="n">
        <f aca="false">Inputs!$E$9*(1+E1375)+Inputs!$E$5*C1375*(Inputs!$E$11*Inputs!$E$14*(G1375*I1375/Inputs!$E$16+(1-G1375))*K1375+Inputs!$E$23*M1375)*(1+O1375)+Inputs!$E$5*(Q1375+S1375)</f>
        <v>5759.72895135409</v>
      </c>
    </row>
    <row r="1376" customFormat="false" ht="15" hidden="false" customHeight="false" outlineLevel="0" collapsed="false">
      <c r="A1376" s="1" t="n">
        <v>1372</v>
      </c>
      <c r="B1376" s="81" t="n">
        <f aca="true">RAND()</f>
        <v>0.657290976129744</v>
      </c>
      <c r="C1376" s="82" t="n">
        <f aca="false">ROUND(IF(B1376&lt;(Inputs!$E$8-Inputs!$D$8)/(Inputs!$F$8-Inputs!$D$8),Inputs!$D$8+SQRT(B1376*(Inputs!$F$8-Inputs!$D$8)*(Inputs!$E$8-Inputs!$D$8)),Inputs!$F$8-SQRT((1-B1376)*(Inputs!$F$8-Inputs!$D$8)*(Inputs!$F$8-Inputs!$E$8))),0)</f>
        <v>26</v>
      </c>
      <c r="D1376" s="81" t="n">
        <f aca="true">RAND()</f>
        <v>0.0910679543768056</v>
      </c>
      <c r="E1376" s="83" t="n">
        <f aca="false">IF(D1376&lt;(Inputs!$E$10-Inputs!$D$10)/(Inputs!$F$10-Inputs!$D$10),Inputs!$D$10+SQRT(D1376*(Inputs!$F$10-Inputs!$D$10)*(Inputs!$E$10-Inputs!$D$10)),Inputs!$F$10-SQRT((1-D1376)*(Inputs!$F$10-Inputs!$D$10)*(Inputs!$F$10-Inputs!$E$10)))</f>
        <v>0.0301774674843343</v>
      </c>
      <c r="F1376" s="81" t="n">
        <f aca="true">RAND()</f>
        <v>0.639399994432053</v>
      </c>
      <c r="G1376" s="83" t="n">
        <f aca="false">IF(F1376&lt;(Inputs!$E$15-Inputs!$D$15)/(Inputs!$F$15-Inputs!$D$15),Inputs!$D$15+SQRT(F1376*(Inputs!$F$15-Inputs!$D$15)*(Inputs!$E$15-Inputs!$D$15)),Inputs!$F$15-SQRT((1-F1376)*(Inputs!$F$15-Inputs!$D$15)*(Inputs!$F$15-Inputs!$E$15)))</f>
        <v>0.715076504362109</v>
      </c>
      <c r="H1376" s="81" t="n">
        <f aca="true">RAND()</f>
        <v>0.1616976978585</v>
      </c>
      <c r="I1376" s="82" t="n">
        <f aca="false">ROUND(IF(H1376&lt;(Inputs!$E$17-Inputs!$D$17)/(Inputs!$F$17-Inputs!$D$17),Inputs!$D$17+SQRT(H1376*(Inputs!$F$17-Inputs!$D$17)*(Inputs!$E$17-Inputs!$D$17)),Inputs!$F$17-SQRT((1-H1376)*(Inputs!$F$17-Inputs!$D$17)*(Inputs!$F$17-Inputs!$E$17))),0)</f>
        <v>103</v>
      </c>
      <c r="J1376" s="81" t="n">
        <f aca="true">RAND()</f>
        <v>0.398892490177748</v>
      </c>
      <c r="K1376" s="83" t="n">
        <f aca="false">IF(J1376&lt;(Inputs!$E$18-Inputs!$D$18)/(Inputs!$F$18-Inputs!$D$18),Inputs!$D$18+SQRT(J1376*(Inputs!$F$18-Inputs!$D$18)*(Inputs!$E$18-Inputs!$D$18)),Inputs!$F$18-SQRT((1-J1376)*(Inputs!$F$18-Inputs!$D$18)*(Inputs!$F$18-Inputs!$E$18)))</f>
        <v>1.02065984409736</v>
      </c>
      <c r="L1376" s="81" t="n">
        <f aca="true">RAND()</f>
        <v>0.675309283385158</v>
      </c>
      <c r="M1376" s="83" t="n">
        <f aca="false">IF(L1376&lt;(Inputs!$E$24-Inputs!$D$24)/(Inputs!$F$24-Inputs!$D$24),Inputs!$D$24+SQRT(L1376*(Inputs!$F$24-Inputs!$D$24)*(Inputs!$E$24-Inputs!$D$24)),Inputs!$F$24-SQRT((1-L1376)*(Inputs!$F$24-Inputs!$D$24)*(Inputs!$F$24-Inputs!$E$24)))</f>
        <v>0.920848120214887</v>
      </c>
      <c r="N1376" s="81" t="n">
        <f aca="true">RAND()</f>
        <v>0.635304333245884</v>
      </c>
      <c r="O1376" s="83" t="n">
        <f aca="false">IF(N1376&lt;(Inputs!$E$26-Inputs!$D$26)/(Inputs!$F$26-Inputs!$D$26),Inputs!$D$26+SQRT(N1376*(Inputs!$F$26-Inputs!$D$26)*(Inputs!$E$26-Inputs!$D$26)),Inputs!$F$26-SQRT((1-N1376)*(Inputs!$F$26-Inputs!$D$26)*(Inputs!$F$26-Inputs!$E$26)))</f>
        <v>0.625247979875874</v>
      </c>
      <c r="P1376" s="81" t="n">
        <f aca="true">RAND()</f>
        <v>0.336019666930674</v>
      </c>
      <c r="Q1376" s="82" t="n">
        <f aca="false">IF(P1376&lt;(Inputs!$E$27-Inputs!$D$27)/(Inputs!$F$27-Inputs!$D$27),Inputs!$D$27+SQRT(P1376*(Inputs!$F$27-Inputs!$D$27)*(Inputs!$E$27-Inputs!$D$27)),Inputs!$F$27-SQRT((1-P1376)*(Inputs!$F$27-Inputs!$D$27)*(Inputs!$F$27-Inputs!$E$27)))</f>
        <v>79.4319300390046</v>
      </c>
      <c r="R1376" s="81" t="n">
        <f aca="true">RAND()</f>
        <v>0.704069275223494</v>
      </c>
      <c r="S1376" s="82" t="n">
        <f aca="false">IF(R1376&lt;(Inputs!$E$29-Inputs!$D$29)/(Inputs!$F$29-Inputs!$D$29),Inputs!$D$29+SQRT(R1376*(Inputs!$F$29-Inputs!$D$29)*(Inputs!$E$29-Inputs!$D$29)),Inputs!$F$29-SQRT((1-R1376)*(Inputs!$F$29-Inputs!$D$29)*(Inputs!$F$29-Inputs!$E$29)))</f>
        <v>8.79750096969408</v>
      </c>
      <c r="T1376" s="68" t="n">
        <f aca="false">Inputs!$E$9*(1+E1376)+Inputs!$E$5*C1376*(Inputs!$E$11*Inputs!$E$14*(G1376*I1376/Inputs!$E$16+(1-G1376))*K1376+Inputs!$E$23*M1376)*(1+O1376)+Inputs!$E$5*(Q1376+S1376)</f>
        <v>6363.54535572859</v>
      </c>
    </row>
    <row r="1377" customFormat="false" ht="15" hidden="false" customHeight="false" outlineLevel="0" collapsed="false">
      <c r="A1377" s="1" t="n">
        <v>1373</v>
      </c>
      <c r="B1377" s="81" t="n">
        <f aca="true">RAND()</f>
        <v>0.333803743547116</v>
      </c>
      <c r="C1377" s="82" t="n">
        <f aca="false">ROUND(IF(B1377&lt;(Inputs!$E$8-Inputs!$D$8)/(Inputs!$F$8-Inputs!$D$8),Inputs!$D$8+SQRT(B1377*(Inputs!$F$8-Inputs!$D$8)*(Inputs!$E$8-Inputs!$D$8)),Inputs!$F$8-SQRT((1-B1377)*(Inputs!$F$8-Inputs!$D$8)*(Inputs!$F$8-Inputs!$E$8))),0)</f>
        <v>24</v>
      </c>
      <c r="D1377" s="81" t="n">
        <f aca="true">RAND()</f>
        <v>0.138091954278097</v>
      </c>
      <c r="E1377" s="83" t="n">
        <f aca="false">IF(D1377&lt;(Inputs!$E$10-Inputs!$D$10)/(Inputs!$F$10-Inputs!$D$10),Inputs!$D$10+SQRT(D1377*(Inputs!$F$10-Inputs!$D$10)*(Inputs!$E$10-Inputs!$D$10)),Inputs!$F$10-SQRT((1-D1377)*(Inputs!$F$10-Inputs!$D$10)*(Inputs!$F$10-Inputs!$E$10)))</f>
        <v>0.0371607258107396</v>
      </c>
      <c r="F1377" s="81" t="n">
        <f aca="true">RAND()</f>
        <v>0.15086437644195</v>
      </c>
      <c r="G1377" s="83" t="n">
        <f aca="false">IF(F1377&lt;(Inputs!$E$15-Inputs!$D$15)/(Inputs!$F$15-Inputs!$D$15),Inputs!$D$15+SQRT(F1377*(Inputs!$F$15-Inputs!$D$15)*(Inputs!$E$15-Inputs!$D$15)),Inputs!$F$15-SQRT((1-F1377)*(Inputs!$F$15-Inputs!$D$15)*(Inputs!$F$15-Inputs!$E$15)))</f>
        <v>0.654929841878882</v>
      </c>
      <c r="H1377" s="81" t="n">
        <f aca="true">RAND()</f>
        <v>0.232748521934978</v>
      </c>
      <c r="I1377" s="82" t="n">
        <f aca="false">ROUND(IF(H1377&lt;(Inputs!$E$17-Inputs!$D$17)/(Inputs!$F$17-Inputs!$D$17),Inputs!$D$17+SQRT(H1377*(Inputs!$F$17-Inputs!$D$17)*(Inputs!$E$17-Inputs!$D$17)),Inputs!$F$17-SQRT((1-H1377)*(Inputs!$F$17-Inputs!$D$17)*(Inputs!$F$17-Inputs!$E$17))),0)</f>
        <v>104</v>
      </c>
      <c r="J1377" s="81" t="n">
        <f aca="true">RAND()</f>
        <v>0.51180269279189</v>
      </c>
      <c r="K1377" s="83" t="n">
        <f aca="false">IF(J1377&lt;(Inputs!$E$18-Inputs!$D$18)/(Inputs!$F$18-Inputs!$D$18),Inputs!$D$18+SQRT(J1377*(Inputs!$F$18-Inputs!$D$18)*(Inputs!$E$18-Inputs!$D$18)),Inputs!$F$18-SQRT((1-J1377)*(Inputs!$F$18-Inputs!$D$18)*(Inputs!$F$18-Inputs!$E$18)))</f>
        <v>1.0433184469269</v>
      </c>
      <c r="L1377" s="81" t="n">
        <f aca="true">RAND()</f>
        <v>0.583148297031109</v>
      </c>
      <c r="M1377" s="83" t="n">
        <f aca="false">IF(L1377&lt;(Inputs!$E$24-Inputs!$D$24)/(Inputs!$F$24-Inputs!$D$24),Inputs!$D$24+SQRT(L1377*(Inputs!$F$24-Inputs!$D$24)*(Inputs!$E$24-Inputs!$D$24)),Inputs!$F$24-SQRT((1-L1377)*(Inputs!$F$24-Inputs!$D$24)*(Inputs!$F$24-Inputs!$E$24)))</f>
        <v>0.883702025437193</v>
      </c>
      <c r="N1377" s="81" t="n">
        <f aca="true">RAND()</f>
        <v>0.43797502003521</v>
      </c>
      <c r="O1377" s="83" t="n">
        <f aca="false">IF(N1377&lt;(Inputs!$E$26-Inputs!$D$26)/(Inputs!$F$26-Inputs!$D$26),Inputs!$D$26+SQRT(N1377*(Inputs!$F$26-Inputs!$D$26)*(Inputs!$E$26-Inputs!$D$26)),Inputs!$F$26-SQRT((1-N1377)*(Inputs!$F$26-Inputs!$D$26)*(Inputs!$F$26-Inputs!$E$26)))</f>
        <v>0.569961188569503</v>
      </c>
      <c r="P1377" s="81" t="n">
        <f aca="true">RAND()</f>
        <v>0.274389198121549</v>
      </c>
      <c r="Q1377" s="82" t="n">
        <f aca="false">IF(P1377&lt;(Inputs!$E$27-Inputs!$D$27)/(Inputs!$F$27-Inputs!$D$27),Inputs!$D$27+SQRT(P1377*(Inputs!$F$27-Inputs!$D$27)*(Inputs!$E$27-Inputs!$D$27)),Inputs!$F$27-SQRT((1-P1377)*(Inputs!$F$27-Inputs!$D$27)*(Inputs!$F$27-Inputs!$E$27)))</f>
        <v>76.2295383362122</v>
      </c>
      <c r="R1377" s="81" t="n">
        <f aca="true">RAND()</f>
        <v>0.827005793210563</v>
      </c>
      <c r="S1377" s="82" t="n">
        <f aca="false">IF(R1377&lt;(Inputs!$E$29-Inputs!$D$29)/(Inputs!$F$29-Inputs!$D$29),Inputs!$D$29+SQRT(R1377*(Inputs!$F$29-Inputs!$D$29)*(Inputs!$E$29-Inputs!$D$29)),Inputs!$F$29-SQRT((1-R1377)*(Inputs!$F$29-Inputs!$D$29)*(Inputs!$F$29-Inputs!$E$29)))</f>
        <v>10.2577171233016</v>
      </c>
      <c r="T1377" s="68" t="n">
        <f aca="false">Inputs!$E$9*(1+E1377)+Inputs!$E$5*C1377*(Inputs!$E$11*Inputs!$E$14*(G1377*I1377/Inputs!$E$16+(1-G1377))*K1377+Inputs!$E$23*M1377)*(1+O1377)+Inputs!$E$5*(Q1377+S1377)</f>
        <v>6060.60469484443</v>
      </c>
    </row>
    <row r="1378" customFormat="false" ht="15" hidden="false" customHeight="false" outlineLevel="0" collapsed="false">
      <c r="A1378" s="1" t="n">
        <v>1374</v>
      </c>
      <c r="B1378" s="81" t="n">
        <f aca="true">RAND()</f>
        <v>0.347022781042611</v>
      </c>
      <c r="C1378" s="82" t="n">
        <f aca="false">ROUND(IF(B1378&lt;(Inputs!$E$8-Inputs!$D$8)/(Inputs!$F$8-Inputs!$D$8),Inputs!$D$8+SQRT(B1378*(Inputs!$F$8-Inputs!$D$8)*(Inputs!$E$8-Inputs!$D$8)),Inputs!$F$8-SQRT((1-B1378)*(Inputs!$F$8-Inputs!$D$8)*(Inputs!$F$8-Inputs!$E$8))),0)</f>
        <v>24</v>
      </c>
      <c r="D1378" s="81" t="n">
        <f aca="true">RAND()</f>
        <v>0.84734857919768</v>
      </c>
      <c r="E1378" s="83" t="n">
        <f aca="false">IF(D1378&lt;(Inputs!$E$10-Inputs!$D$10)/(Inputs!$F$10-Inputs!$D$10),Inputs!$D$10+SQRT(D1378*(Inputs!$F$10-Inputs!$D$10)*(Inputs!$E$10-Inputs!$D$10)),Inputs!$F$10-SQRT((1-D1378)*(Inputs!$F$10-Inputs!$D$10)*(Inputs!$F$10-Inputs!$E$10)))</f>
        <v>0.132327681995741</v>
      </c>
      <c r="F1378" s="81" t="n">
        <f aca="true">RAND()</f>
        <v>0.0961792066744064</v>
      </c>
      <c r="G1378" s="83" t="n">
        <f aca="false">IF(F1378&lt;(Inputs!$E$15-Inputs!$D$15)/(Inputs!$F$15-Inputs!$D$15),Inputs!$D$15+SQRT(F1378*(Inputs!$F$15-Inputs!$D$15)*(Inputs!$E$15-Inputs!$D$15)),Inputs!$F$15-SQRT((1-F1378)*(Inputs!$F$15-Inputs!$D$15)*(Inputs!$F$15-Inputs!$E$15)))</f>
        <v>0.643858683672542</v>
      </c>
      <c r="H1378" s="81" t="n">
        <f aca="true">RAND()</f>
        <v>0.164413548121671</v>
      </c>
      <c r="I1378" s="82" t="n">
        <f aca="false">ROUND(IF(H1378&lt;(Inputs!$E$17-Inputs!$D$17)/(Inputs!$F$17-Inputs!$D$17),Inputs!$D$17+SQRT(H1378*(Inputs!$F$17-Inputs!$D$17)*(Inputs!$E$17-Inputs!$D$17)),Inputs!$F$17-SQRT((1-H1378)*(Inputs!$F$17-Inputs!$D$17)*(Inputs!$F$17-Inputs!$E$17))),0)</f>
        <v>104</v>
      </c>
      <c r="J1378" s="81" t="n">
        <f aca="true">RAND()</f>
        <v>0.500304784443237</v>
      </c>
      <c r="K1378" s="83" t="n">
        <f aca="false">IF(J1378&lt;(Inputs!$E$18-Inputs!$D$18)/(Inputs!$F$18-Inputs!$D$18),Inputs!$D$18+SQRT(J1378*(Inputs!$F$18-Inputs!$D$18)*(Inputs!$E$18-Inputs!$D$18)),Inputs!$F$18-SQRT((1-J1378)*(Inputs!$F$18-Inputs!$D$18)*(Inputs!$F$18-Inputs!$E$18)))</f>
        <v>1.04089875332458</v>
      </c>
      <c r="L1378" s="81" t="n">
        <f aca="true">RAND()</f>
        <v>0.933215794676474</v>
      </c>
      <c r="M1378" s="83" t="n">
        <f aca="false">IF(L1378&lt;(Inputs!$E$24-Inputs!$D$24)/(Inputs!$F$24-Inputs!$D$24),Inputs!$D$24+SQRT(L1378*(Inputs!$F$24-Inputs!$D$24)*(Inputs!$E$24-Inputs!$D$24)),Inputs!$F$24-SQRT((1-L1378)*(Inputs!$F$24-Inputs!$D$24)*(Inputs!$F$24-Inputs!$E$24)))</f>
        <v>1.07339743573827</v>
      </c>
      <c r="N1378" s="81" t="n">
        <f aca="true">RAND()</f>
        <v>0.804153588186863</v>
      </c>
      <c r="O1378" s="83" t="n">
        <f aca="false">IF(N1378&lt;(Inputs!$E$26-Inputs!$D$26)/(Inputs!$F$26-Inputs!$D$26),Inputs!$D$26+SQRT(N1378*(Inputs!$F$26-Inputs!$D$26)*(Inputs!$E$26-Inputs!$D$26)),Inputs!$F$26-SQRT((1-N1378)*(Inputs!$F$26-Inputs!$D$26)*(Inputs!$F$26-Inputs!$E$26)))</f>
        <v>0.677283403808225</v>
      </c>
      <c r="P1378" s="81" t="n">
        <f aca="true">RAND()</f>
        <v>0.704881978738411</v>
      </c>
      <c r="Q1378" s="82" t="n">
        <f aca="false">IF(P1378&lt;(Inputs!$E$27-Inputs!$D$27)/(Inputs!$F$27-Inputs!$D$27),Inputs!$D$27+SQRT(P1378*(Inputs!$F$27-Inputs!$D$27)*(Inputs!$E$27-Inputs!$D$27)),Inputs!$F$27-SQRT((1-P1378)*(Inputs!$F$27-Inputs!$D$27)*(Inputs!$F$27-Inputs!$E$27)))</f>
        <v>102.953372496406</v>
      </c>
      <c r="R1378" s="81" t="n">
        <f aca="true">RAND()</f>
        <v>0.617765121734032</v>
      </c>
      <c r="S1378" s="82" t="n">
        <f aca="false">IF(R1378&lt;(Inputs!$E$29-Inputs!$D$29)/(Inputs!$F$29-Inputs!$D$29),Inputs!$D$29+SQRT(R1378*(Inputs!$F$29-Inputs!$D$29)*(Inputs!$E$29-Inputs!$D$29)),Inputs!$F$29-SQRT((1-R1378)*(Inputs!$F$29-Inputs!$D$29)*(Inputs!$F$29-Inputs!$E$29)))</f>
        <v>7.95084869118446</v>
      </c>
      <c r="T1378" s="68" t="n">
        <f aca="false">Inputs!$E$9*(1+E1378)+Inputs!$E$5*C1378*(Inputs!$E$11*Inputs!$E$14*(G1378*I1378/Inputs!$E$16+(1-G1378))*K1378+Inputs!$E$23*M1378)*(1+O1378)+Inputs!$E$5*(Q1378+S1378)</f>
        <v>6903.34912515798</v>
      </c>
    </row>
    <row r="1379" customFormat="false" ht="15" hidden="false" customHeight="false" outlineLevel="0" collapsed="false">
      <c r="A1379" s="1" t="n">
        <v>1375</v>
      </c>
      <c r="B1379" s="81" t="n">
        <f aca="true">RAND()</f>
        <v>0.394470969625189</v>
      </c>
      <c r="C1379" s="82" t="n">
        <f aca="false">ROUND(IF(B1379&lt;(Inputs!$E$8-Inputs!$D$8)/(Inputs!$F$8-Inputs!$D$8),Inputs!$D$8+SQRT(B1379*(Inputs!$F$8-Inputs!$D$8)*(Inputs!$E$8-Inputs!$D$8)),Inputs!$F$8-SQRT((1-B1379)*(Inputs!$F$8-Inputs!$D$8)*(Inputs!$F$8-Inputs!$E$8))),0)</f>
        <v>24</v>
      </c>
      <c r="D1379" s="81" t="n">
        <f aca="true">RAND()</f>
        <v>0.259414611574137</v>
      </c>
      <c r="E1379" s="83" t="n">
        <f aca="false">IF(D1379&lt;(Inputs!$E$10-Inputs!$D$10)/(Inputs!$F$10-Inputs!$D$10),Inputs!$D$10+SQRT(D1379*(Inputs!$F$10-Inputs!$D$10)*(Inputs!$E$10-Inputs!$D$10)),Inputs!$F$10-SQRT((1-D1379)*(Inputs!$F$10-Inputs!$D$10)*(Inputs!$F$10-Inputs!$E$10)))</f>
        <v>0.0509444343448529</v>
      </c>
      <c r="F1379" s="81" t="n">
        <f aca="true">RAND()</f>
        <v>0.0225838178682523</v>
      </c>
      <c r="G1379" s="83" t="n">
        <f aca="false">IF(F1379&lt;(Inputs!$E$15-Inputs!$D$15)/(Inputs!$F$15-Inputs!$D$15),Inputs!$D$15+SQRT(F1379*(Inputs!$F$15-Inputs!$D$15)*(Inputs!$E$15-Inputs!$D$15)),Inputs!$F$15-SQRT((1-F1379)*(Inputs!$F$15-Inputs!$D$15)*(Inputs!$F$15-Inputs!$E$15)))</f>
        <v>0.621252678827975</v>
      </c>
      <c r="H1379" s="81" t="n">
        <f aca="true">RAND()</f>
        <v>0.190522700157726</v>
      </c>
      <c r="I1379" s="82" t="n">
        <f aca="false">ROUND(IF(H1379&lt;(Inputs!$E$17-Inputs!$D$17)/(Inputs!$F$17-Inputs!$D$17),Inputs!$D$17+SQRT(H1379*(Inputs!$F$17-Inputs!$D$17)*(Inputs!$E$17-Inputs!$D$17)),Inputs!$F$17-SQRT((1-H1379)*(Inputs!$F$17-Inputs!$D$17)*(Inputs!$F$17-Inputs!$E$17))),0)</f>
        <v>104</v>
      </c>
      <c r="J1379" s="81" t="n">
        <f aca="true">RAND()</f>
        <v>0.611657726282302</v>
      </c>
      <c r="K1379" s="83" t="n">
        <f aca="false">IF(J1379&lt;(Inputs!$E$18-Inputs!$D$18)/(Inputs!$F$18-Inputs!$D$18),Inputs!$D$18+SQRT(J1379*(Inputs!$F$18-Inputs!$D$18)*(Inputs!$E$18-Inputs!$D$18)),Inputs!$F$18-SQRT((1-J1379)*(Inputs!$F$18-Inputs!$D$18)*(Inputs!$F$18-Inputs!$E$18)))</f>
        <v>1.06566348991505</v>
      </c>
      <c r="L1379" s="81" t="n">
        <f aca="true">RAND()</f>
        <v>0.269953788416664</v>
      </c>
      <c r="M1379" s="83" t="n">
        <f aca="false">IF(L1379&lt;(Inputs!$E$24-Inputs!$D$24)/(Inputs!$F$24-Inputs!$D$24),Inputs!$D$24+SQRT(L1379*(Inputs!$F$24-Inputs!$D$24)*(Inputs!$E$24-Inputs!$D$24)),Inputs!$F$24-SQRT((1-L1379)*(Inputs!$F$24-Inputs!$D$24)*(Inputs!$F$24-Inputs!$E$24)))</f>
        <v>0.779984595479724</v>
      </c>
      <c r="N1379" s="81" t="n">
        <f aca="true">RAND()</f>
        <v>0.68028972790205</v>
      </c>
      <c r="O1379" s="83" t="n">
        <f aca="false">IF(N1379&lt;(Inputs!$E$26-Inputs!$D$26)/(Inputs!$F$26-Inputs!$D$26),Inputs!$D$26+SQRT(N1379*(Inputs!$F$26-Inputs!$D$26)*(Inputs!$E$26-Inputs!$D$26)),Inputs!$F$26-SQRT((1-N1379)*(Inputs!$F$26-Inputs!$D$26)*(Inputs!$F$26-Inputs!$E$26)))</f>
        <v>0.63765453584422</v>
      </c>
      <c r="P1379" s="81" t="n">
        <f aca="true">RAND()</f>
        <v>0.969946344182421</v>
      </c>
      <c r="Q1379" s="82" t="n">
        <f aca="false">IF(P1379&lt;(Inputs!$E$27-Inputs!$D$27)/(Inputs!$F$27-Inputs!$D$27),Inputs!$D$27+SQRT(P1379*(Inputs!$F$27-Inputs!$D$27)*(Inputs!$E$27-Inputs!$D$27)),Inputs!$F$27-SQRT((1-P1379)*(Inputs!$F$27-Inputs!$D$27)*(Inputs!$F$27-Inputs!$E$27)))</f>
        <v>134.986592038053</v>
      </c>
      <c r="R1379" s="81" t="n">
        <f aca="true">RAND()</f>
        <v>0.352461470714082</v>
      </c>
      <c r="S1379" s="82" t="n">
        <f aca="false">IF(R1379&lt;(Inputs!$E$29-Inputs!$D$29)/(Inputs!$F$29-Inputs!$D$29),Inputs!$D$29+SQRT(R1379*(Inputs!$F$29-Inputs!$D$29)*(Inputs!$E$29-Inputs!$D$29)),Inputs!$F$29-SQRT((1-R1379)*(Inputs!$F$29-Inputs!$D$29)*(Inputs!$F$29-Inputs!$E$29)))</f>
        <v>5.82503358005222</v>
      </c>
      <c r="T1379" s="68" t="n">
        <f aca="false">Inputs!$E$9*(1+E1379)+Inputs!$E$5*C1379*(Inputs!$E$11*Inputs!$E$14*(G1379*I1379/Inputs!$E$16+(1-G1379))*K1379+Inputs!$E$23*M1379)*(1+O1379)+Inputs!$E$5*(Q1379+S1379)</f>
        <v>6457.31148170544</v>
      </c>
    </row>
    <row r="1380" customFormat="false" ht="15" hidden="false" customHeight="false" outlineLevel="0" collapsed="false">
      <c r="A1380" s="1" t="n">
        <v>1376</v>
      </c>
      <c r="B1380" s="81" t="n">
        <f aca="true">RAND()</f>
        <v>0.878566424663927</v>
      </c>
      <c r="C1380" s="82" t="n">
        <f aca="false">ROUND(IF(B1380&lt;(Inputs!$E$8-Inputs!$D$8)/(Inputs!$F$8-Inputs!$D$8),Inputs!$D$8+SQRT(B1380*(Inputs!$F$8-Inputs!$D$8)*(Inputs!$E$8-Inputs!$D$8)),Inputs!$F$8-SQRT((1-B1380)*(Inputs!$F$8-Inputs!$D$8)*(Inputs!$F$8-Inputs!$E$8))),0)</f>
        <v>28</v>
      </c>
      <c r="D1380" s="81" t="n">
        <f aca="true">RAND()</f>
        <v>0.850336240295884</v>
      </c>
      <c r="E1380" s="83" t="n">
        <f aca="false">IF(D1380&lt;(Inputs!$E$10-Inputs!$D$10)/(Inputs!$F$10-Inputs!$D$10),Inputs!$D$10+SQRT(D1380*(Inputs!$F$10-Inputs!$D$10)*(Inputs!$E$10-Inputs!$D$10)),Inputs!$F$10-SQRT((1-D1380)*(Inputs!$F$10-Inputs!$D$10)*(Inputs!$F$10-Inputs!$E$10)))</f>
        <v>0.13299318847219</v>
      </c>
      <c r="F1380" s="81" t="n">
        <f aca="true">RAND()</f>
        <v>0.327874469272111</v>
      </c>
      <c r="G1380" s="83" t="n">
        <f aca="false">IF(F1380&lt;(Inputs!$E$15-Inputs!$D$15)/(Inputs!$F$15-Inputs!$D$15),Inputs!$D$15+SQRT(F1380*(Inputs!$F$15-Inputs!$D$15)*(Inputs!$E$15-Inputs!$D$15)),Inputs!$F$15-SQRT((1-F1380)*(Inputs!$F$15-Inputs!$D$15)*(Inputs!$F$15-Inputs!$E$15)))</f>
        <v>0.680978326640171</v>
      </c>
      <c r="H1380" s="81" t="n">
        <f aca="true">RAND()</f>
        <v>0.130366296233552</v>
      </c>
      <c r="I1380" s="82" t="n">
        <f aca="false">ROUND(IF(H1380&lt;(Inputs!$E$17-Inputs!$D$17)/(Inputs!$F$17-Inputs!$D$17),Inputs!$D$17+SQRT(H1380*(Inputs!$F$17-Inputs!$D$17)*(Inputs!$E$17-Inputs!$D$17)),Inputs!$F$17-SQRT((1-H1380)*(Inputs!$F$17-Inputs!$D$17)*(Inputs!$F$17-Inputs!$E$17))),0)</f>
        <v>103</v>
      </c>
      <c r="J1380" s="81" t="n">
        <f aca="true">RAND()</f>
        <v>0.987482756723539</v>
      </c>
      <c r="K1380" s="83" t="n">
        <f aca="false">IF(J1380&lt;(Inputs!$E$18-Inputs!$D$18)/(Inputs!$F$18-Inputs!$D$18),Inputs!$D$18+SQRT(J1380*(Inputs!$F$18-Inputs!$D$18)*(Inputs!$E$18-Inputs!$D$18)),Inputs!$F$18-SQRT((1-J1380)*(Inputs!$F$18-Inputs!$D$18)*(Inputs!$F$18-Inputs!$E$18)))</f>
        <v>1.21690530576225</v>
      </c>
      <c r="L1380" s="81" t="n">
        <f aca="true">RAND()</f>
        <v>0.41824315861488</v>
      </c>
      <c r="M1380" s="83" t="n">
        <f aca="false">IF(L1380&lt;(Inputs!$E$24-Inputs!$D$24)/(Inputs!$F$24-Inputs!$D$24),Inputs!$D$24+SQRT(L1380*(Inputs!$F$24-Inputs!$D$24)*(Inputs!$E$24-Inputs!$D$24)),Inputs!$F$24-SQRT((1-L1380)*(Inputs!$F$24-Inputs!$D$24)*(Inputs!$F$24-Inputs!$E$24)))</f>
        <v>0.826340205624918</v>
      </c>
      <c r="N1380" s="81" t="n">
        <f aca="true">RAND()</f>
        <v>0.968196912536092</v>
      </c>
      <c r="O1380" s="83" t="n">
        <f aca="false">IF(N1380&lt;(Inputs!$E$26-Inputs!$D$26)/(Inputs!$F$26-Inputs!$D$26),Inputs!$D$26+SQRT(N1380*(Inputs!$F$26-Inputs!$D$26)*(Inputs!$E$26-Inputs!$D$26)),Inputs!$F$26-SQRT((1-N1380)*(Inputs!$F$26-Inputs!$D$26)*(Inputs!$F$26-Inputs!$E$26)))</f>
        <v>0.762488948051296</v>
      </c>
      <c r="P1380" s="81" t="n">
        <f aca="true">RAND()</f>
        <v>0.989367734688823</v>
      </c>
      <c r="Q1380" s="82" t="n">
        <f aca="false">IF(P1380&lt;(Inputs!$E$27-Inputs!$D$27)/(Inputs!$F$27-Inputs!$D$27),Inputs!$D$27+SQRT(P1380*(Inputs!$F$27-Inputs!$D$27)*(Inputs!$E$27-Inputs!$D$27)),Inputs!$F$27-SQRT((1-P1380)*(Inputs!$F$27-Inputs!$D$27)*(Inputs!$F$27-Inputs!$E$27)))</f>
        <v>141.070162944721</v>
      </c>
      <c r="R1380" s="81" t="n">
        <f aca="true">RAND()</f>
        <v>0.421449235106165</v>
      </c>
      <c r="S1380" s="82" t="n">
        <f aca="false">IF(R1380&lt;(Inputs!$E$29-Inputs!$D$29)/(Inputs!$F$29-Inputs!$D$29),Inputs!$D$29+SQRT(R1380*(Inputs!$F$29-Inputs!$D$29)*(Inputs!$E$29-Inputs!$D$29)),Inputs!$F$29-SQRT((1-R1380)*(Inputs!$F$29-Inputs!$D$29)*(Inputs!$F$29-Inputs!$E$29)))</f>
        <v>6.32753786769879</v>
      </c>
      <c r="T1380" s="68" t="n">
        <f aca="false">Inputs!$E$9*(1+E1380)+Inputs!$E$5*C1380*(Inputs!$E$11*Inputs!$E$14*(G1380*I1380/Inputs!$E$16+(1-G1380))*K1380+Inputs!$E$23*M1380)*(1+O1380)+Inputs!$E$5*(Q1380+S1380)</f>
        <v>7912.35159512561</v>
      </c>
    </row>
    <row r="1381" customFormat="false" ht="15" hidden="false" customHeight="false" outlineLevel="0" collapsed="false">
      <c r="A1381" s="1" t="n">
        <v>1377</v>
      </c>
      <c r="B1381" s="81" t="n">
        <f aca="true">RAND()</f>
        <v>0.456097554922921</v>
      </c>
      <c r="C1381" s="82" t="n">
        <f aca="false">ROUND(IF(B1381&lt;(Inputs!$E$8-Inputs!$D$8)/(Inputs!$F$8-Inputs!$D$8),Inputs!$D$8+SQRT(B1381*(Inputs!$F$8-Inputs!$D$8)*(Inputs!$E$8-Inputs!$D$8)),Inputs!$F$8-SQRT((1-B1381)*(Inputs!$F$8-Inputs!$D$8)*(Inputs!$F$8-Inputs!$E$8))),0)</f>
        <v>25</v>
      </c>
      <c r="D1381" s="81" t="n">
        <f aca="true">RAND()</f>
        <v>0.568695000656495</v>
      </c>
      <c r="E1381" s="83" t="n">
        <f aca="false">IF(D1381&lt;(Inputs!$E$10-Inputs!$D$10)/(Inputs!$F$10-Inputs!$D$10),Inputs!$D$10+SQRT(D1381*(Inputs!$F$10-Inputs!$D$10)*(Inputs!$E$10-Inputs!$D$10)),Inputs!$F$10-SQRT((1-D1381)*(Inputs!$F$10-Inputs!$D$10)*(Inputs!$F$10-Inputs!$E$10)))</f>
        <v>0.0862496154718361</v>
      </c>
      <c r="F1381" s="81" t="n">
        <f aca="true">RAND()</f>
        <v>0.71467170677704</v>
      </c>
      <c r="G1381" s="83" t="n">
        <f aca="false">IF(F1381&lt;(Inputs!$E$15-Inputs!$D$15)/(Inputs!$F$15-Inputs!$D$15),Inputs!$D$15+SQRT(F1381*(Inputs!$F$15-Inputs!$D$15)*(Inputs!$E$15-Inputs!$D$15)),Inputs!$F$15-SQRT((1-F1381)*(Inputs!$F$15-Inputs!$D$15)*(Inputs!$F$15-Inputs!$E$15)))</f>
        <v>0.724458184662671</v>
      </c>
      <c r="H1381" s="81" t="n">
        <f aca="true">RAND()</f>
        <v>0.159655158562706</v>
      </c>
      <c r="I1381" s="82" t="n">
        <f aca="false">ROUND(IF(H1381&lt;(Inputs!$E$17-Inputs!$D$17)/(Inputs!$F$17-Inputs!$D$17),Inputs!$D$17+SQRT(H1381*(Inputs!$F$17-Inputs!$D$17)*(Inputs!$E$17-Inputs!$D$17)),Inputs!$F$17-SQRT((1-H1381)*(Inputs!$F$17-Inputs!$D$17)*(Inputs!$F$17-Inputs!$E$17))),0)</f>
        <v>103</v>
      </c>
      <c r="J1381" s="81" t="n">
        <f aca="true">RAND()</f>
        <v>0.536114192049551</v>
      </c>
      <c r="K1381" s="83" t="n">
        <f aca="false">IF(J1381&lt;(Inputs!$E$18-Inputs!$D$18)/(Inputs!$F$18-Inputs!$D$18),Inputs!$D$18+SQRT(J1381*(Inputs!$F$18-Inputs!$D$18)*(Inputs!$E$18-Inputs!$D$18)),Inputs!$F$18-SQRT((1-J1381)*(Inputs!$F$18-Inputs!$D$18)*(Inputs!$F$18-Inputs!$E$18)))</f>
        <v>1.04853037897573</v>
      </c>
      <c r="L1381" s="81" t="n">
        <f aca="true">RAND()</f>
        <v>0.526400960743147</v>
      </c>
      <c r="M1381" s="83" t="n">
        <f aca="false">IF(L1381&lt;(Inputs!$E$24-Inputs!$D$24)/(Inputs!$F$24-Inputs!$D$24),Inputs!$D$24+SQRT(L1381*(Inputs!$F$24-Inputs!$D$24)*(Inputs!$E$24-Inputs!$D$24)),Inputs!$F$24-SQRT((1-L1381)*(Inputs!$F$24-Inputs!$D$24)*(Inputs!$F$24-Inputs!$E$24)))</f>
        <v>0.862859421870276</v>
      </c>
      <c r="N1381" s="81" t="n">
        <f aca="true">RAND()</f>
        <v>0.997088065480808</v>
      </c>
      <c r="O1381" s="83" t="n">
        <f aca="false">IF(N1381&lt;(Inputs!$E$26-Inputs!$D$26)/(Inputs!$F$26-Inputs!$D$26),Inputs!$D$26+SQRT(N1381*(Inputs!$F$26-Inputs!$D$26)*(Inputs!$E$26-Inputs!$D$26)),Inputs!$F$26-SQRT((1-N1381)*(Inputs!$F$26-Inputs!$D$26)*(Inputs!$F$26-Inputs!$E$26)))</f>
        <v>0.802597667110527</v>
      </c>
      <c r="P1381" s="81" t="n">
        <f aca="true">RAND()</f>
        <v>0.142681540262555</v>
      </c>
      <c r="Q1381" s="82" t="n">
        <f aca="false">IF(P1381&lt;(Inputs!$E$27-Inputs!$D$27)/(Inputs!$F$27-Inputs!$D$27),Inputs!$D$27+SQRT(P1381*(Inputs!$F$27-Inputs!$D$27)*(Inputs!$E$27-Inputs!$D$27)),Inputs!$F$27-SQRT((1-P1381)*(Inputs!$F$27-Inputs!$D$27)*(Inputs!$F$27-Inputs!$E$27)))</f>
        <v>68.8866050590462</v>
      </c>
      <c r="R1381" s="81" t="n">
        <f aca="true">RAND()</f>
        <v>0.399538865246923</v>
      </c>
      <c r="S1381" s="82" t="n">
        <f aca="false">IF(R1381&lt;(Inputs!$E$29-Inputs!$D$29)/(Inputs!$F$29-Inputs!$D$29),Inputs!$D$29+SQRT(R1381*(Inputs!$F$29-Inputs!$D$29)*(Inputs!$E$29-Inputs!$D$29)),Inputs!$F$29-SQRT((1-R1381)*(Inputs!$F$29-Inputs!$D$29)*(Inputs!$F$29-Inputs!$E$29)))</f>
        <v>6.16484592562755</v>
      </c>
      <c r="T1381" s="68" t="n">
        <f aca="false">Inputs!$E$9*(1+E1381)+Inputs!$E$5*C1381*(Inputs!$E$11*Inputs!$E$14*(G1381*I1381/Inputs!$E$16+(1-G1381))*K1381+Inputs!$E$23*M1381)*(1+O1381)+Inputs!$E$5*(Q1381+S1381)</f>
        <v>6621.77361818186</v>
      </c>
    </row>
    <row r="1382" customFormat="false" ht="15" hidden="false" customHeight="false" outlineLevel="0" collapsed="false">
      <c r="A1382" s="1" t="n">
        <v>1378</v>
      </c>
      <c r="B1382" s="81" t="n">
        <f aca="true">RAND()</f>
        <v>0.928514925467909</v>
      </c>
      <c r="C1382" s="82" t="n">
        <f aca="false">ROUND(IF(B1382&lt;(Inputs!$E$8-Inputs!$D$8)/(Inputs!$F$8-Inputs!$D$8),Inputs!$D$8+SQRT(B1382*(Inputs!$F$8-Inputs!$D$8)*(Inputs!$E$8-Inputs!$D$8)),Inputs!$F$8-SQRT((1-B1382)*(Inputs!$F$8-Inputs!$D$8)*(Inputs!$F$8-Inputs!$E$8))),0)</f>
        <v>28</v>
      </c>
      <c r="D1382" s="81" t="n">
        <f aca="true">RAND()</f>
        <v>0.948591442110477</v>
      </c>
      <c r="E1382" s="83" t="n">
        <f aca="false">IF(D1382&lt;(Inputs!$E$10-Inputs!$D$10)/(Inputs!$F$10-Inputs!$D$10),Inputs!$D$10+SQRT(D1382*(Inputs!$F$10-Inputs!$D$10)*(Inputs!$E$10-Inputs!$D$10)),Inputs!$F$10-SQRT((1-D1382)*(Inputs!$F$10-Inputs!$D$10)*(Inputs!$F$10-Inputs!$E$10)))</f>
        <v>0.160728423297686</v>
      </c>
      <c r="F1382" s="81" t="n">
        <f aca="true">RAND()</f>
        <v>0.257045979851729</v>
      </c>
      <c r="G1382" s="83" t="n">
        <f aca="false">IF(F1382&lt;(Inputs!$E$15-Inputs!$D$15)/(Inputs!$F$15-Inputs!$D$15),Inputs!$D$15+SQRT(F1382*(Inputs!$F$15-Inputs!$D$15)*(Inputs!$E$15-Inputs!$D$15)),Inputs!$F$15-SQRT((1-F1382)*(Inputs!$F$15-Inputs!$D$15)*(Inputs!$F$15-Inputs!$E$15)))</f>
        <v>0.671700206394644</v>
      </c>
      <c r="H1382" s="81" t="n">
        <f aca="true">RAND()</f>
        <v>0.96214430065614</v>
      </c>
      <c r="I1382" s="82" t="n">
        <f aca="false">ROUND(IF(H1382&lt;(Inputs!$E$17-Inputs!$D$17)/(Inputs!$F$17-Inputs!$D$17),Inputs!$D$17+SQRT(H1382*(Inputs!$F$17-Inputs!$D$17)*(Inputs!$E$17-Inputs!$D$17)),Inputs!$F$17-SQRT((1-H1382)*(Inputs!$F$17-Inputs!$D$17)*(Inputs!$F$17-Inputs!$E$17))),0)</f>
        <v>113</v>
      </c>
      <c r="J1382" s="81" t="n">
        <f aca="true">RAND()</f>
        <v>0.120618445517808</v>
      </c>
      <c r="K1382" s="83" t="n">
        <f aca="false">IF(J1382&lt;(Inputs!$E$18-Inputs!$D$18)/(Inputs!$F$18-Inputs!$D$18),Inputs!$D$18+SQRT(J1382*(Inputs!$F$18-Inputs!$D$18)*(Inputs!$E$18-Inputs!$D$18)),Inputs!$F$18-SQRT((1-J1382)*(Inputs!$F$18-Inputs!$D$18)*(Inputs!$F$18-Inputs!$E$18)))</f>
        <v>0.964974191746595</v>
      </c>
      <c r="L1382" s="81" t="n">
        <f aca="true">RAND()</f>
        <v>0.374308350708246</v>
      </c>
      <c r="M1382" s="83" t="n">
        <f aca="false">IF(L1382&lt;(Inputs!$E$24-Inputs!$D$24)/(Inputs!$F$24-Inputs!$D$24),Inputs!$D$24+SQRT(L1382*(Inputs!$F$24-Inputs!$D$24)*(Inputs!$E$24-Inputs!$D$24)),Inputs!$F$24-SQRT((1-L1382)*(Inputs!$F$24-Inputs!$D$24)*(Inputs!$F$24-Inputs!$E$24)))</f>
        <v>0.812487424939498</v>
      </c>
      <c r="N1382" s="81" t="n">
        <f aca="true">RAND()</f>
        <v>0.0473469881268042</v>
      </c>
      <c r="O1382" s="83" t="n">
        <f aca="false">IF(N1382&lt;(Inputs!$E$26-Inputs!$D$26)/(Inputs!$F$26-Inputs!$D$26),Inputs!$D$26+SQRT(N1382*(Inputs!$F$26-Inputs!$D$26)*(Inputs!$E$26-Inputs!$D$26)),Inputs!$F$26-SQRT((1-N1382)*(Inputs!$F$26-Inputs!$D$26)*(Inputs!$F$26-Inputs!$E$26)))</f>
        <v>0.38876113352307</v>
      </c>
      <c r="P1382" s="81" t="n">
        <f aca="true">RAND()</f>
        <v>0.0253395799810892</v>
      </c>
      <c r="Q1382" s="82" t="n">
        <f aca="false">IF(P1382&lt;(Inputs!$E$27-Inputs!$D$27)/(Inputs!$F$27-Inputs!$D$27),Inputs!$D$27+SQRT(P1382*(Inputs!$F$27-Inputs!$D$27)*(Inputs!$E$27-Inputs!$D$27)),Inputs!$F$27-SQRT((1-P1382)*(Inputs!$F$27-Inputs!$D$27)*(Inputs!$F$27-Inputs!$E$27)))</f>
        <v>57.9592053593762</v>
      </c>
      <c r="R1382" s="81" t="n">
        <f aca="true">RAND()</f>
        <v>0.644066022645549</v>
      </c>
      <c r="S1382" s="82" t="n">
        <f aca="false">IF(R1382&lt;(Inputs!$E$29-Inputs!$D$29)/(Inputs!$F$29-Inputs!$D$29),Inputs!$D$29+SQRT(R1382*(Inputs!$F$29-Inputs!$D$29)*(Inputs!$E$29-Inputs!$D$29)),Inputs!$F$29-SQRT((1-R1382)*(Inputs!$F$29-Inputs!$D$29)*(Inputs!$F$29-Inputs!$E$29)))</f>
        <v>8.19769031460059</v>
      </c>
      <c r="T1382" s="68" t="n">
        <f aca="false">Inputs!$E$9*(1+E1382)+Inputs!$E$5*C1382*(Inputs!$E$11*Inputs!$E$14*(G1382*I1382/Inputs!$E$16+(1-G1382))*K1382+Inputs!$E$23*M1382)*(1+O1382)+Inputs!$E$5*(Q1382+S1382)</f>
        <v>6145.07983526098</v>
      </c>
    </row>
    <row r="1383" customFormat="false" ht="15" hidden="false" customHeight="false" outlineLevel="0" collapsed="false">
      <c r="A1383" s="1" t="n">
        <v>1379</v>
      </c>
      <c r="B1383" s="81" t="n">
        <f aca="true">RAND()</f>
        <v>0.589337581093917</v>
      </c>
      <c r="C1383" s="82" t="n">
        <f aca="false">ROUND(IF(B1383&lt;(Inputs!$E$8-Inputs!$D$8)/(Inputs!$F$8-Inputs!$D$8),Inputs!$D$8+SQRT(B1383*(Inputs!$F$8-Inputs!$D$8)*(Inputs!$E$8-Inputs!$D$8)),Inputs!$F$8-SQRT((1-B1383)*(Inputs!$F$8-Inputs!$D$8)*(Inputs!$F$8-Inputs!$E$8))),0)</f>
        <v>25</v>
      </c>
      <c r="D1383" s="81" t="n">
        <f aca="true">RAND()</f>
        <v>0.935041389992705</v>
      </c>
      <c r="E1383" s="83" t="n">
        <f aca="false">IF(D1383&lt;(Inputs!$E$10-Inputs!$D$10)/(Inputs!$F$10-Inputs!$D$10),Inputs!$D$10+SQRT(D1383*(Inputs!$F$10-Inputs!$D$10)*(Inputs!$E$10-Inputs!$D$10)),Inputs!$F$10-SQRT((1-D1383)*(Inputs!$F$10-Inputs!$D$10)*(Inputs!$F$10-Inputs!$E$10)))</f>
        <v>0.155855257388689</v>
      </c>
      <c r="F1383" s="81" t="n">
        <f aca="true">RAND()</f>
        <v>0.227125567464517</v>
      </c>
      <c r="G1383" s="83" t="n">
        <f aca="false">IF(F1383&lt;(Inputs!$E$15-Inputs!$D$15)/(Inputs!$F$15-Inputs!$D$15),Inputs!$D$15+SQRT(F1383*(Inputs!$F$15-Inputs!$D$15)*(Inputs!$E$15-Inputs!$D$15)),Inputs!$F$15-SQRT((1-F1383)*(Inputs!$F$15-Inputs!$D$15)*(Inputs!$F$15-Inputs!$E$15)))</f>
        <v>0.667398155384924</v>
      </c>
      <c r="H1383" s="81" t="n">
        <f aca="true">RAND()</f>
        <v>0.299532089576691</v>
      </c>
      <c r="I1383" s="82" t="n">
        <f aca="false">ROUND(IF(H1383&lt;(Inputs!$E$17-Inputs!$D$17)/(Inputs!$F$17-Inputs!$D$17),Inputs!$D$17+SQRT(H1383*(Inputs!$F$17-Inputs!$D$17)*(Inputs!$E$17-Inputs!$D$17)),Inputs!$F$17-SQRT((1-H1383)*(Inputs!$F$17-Inputs!$D$17)*(Inputs!$F$17-Inputs!$E$17))),0)</f>
        <v>105</v>
      </c>
      <c r="J1383" s="81" t="n">
        <f aca="true">RAND()</f>
        <v>0.0787889934944812</v>
      </c>
      <c r="K1383" s="83" t="n">
        <f aca="false">IF(J1383&lt;(Inputs!$E$18-Inputs!$D$18)/(Inputs!$F$18-Inputs!$D$18),Inputs!$D$18+SQRT(J1383*(Inputs!$F$18-Inputs!$D$18)*(Inputs!$E$18-Inputs!$D$18)),Inputs!$F$18-SQRT((1-J1383)*(Inputs!$F$18-Inputs!$D$18)*(Inputs!$F$18-Inputs!$E$18)))</f>
        <v>0.952512996222905</v>
      </c>
      <c r="L1383" s="81" t="n">
        <f aca="true">RAND()</f>
        <v>0.700163111139294</v>
      </c>
      <c r="M1383" s="83" t="n">
        <f aca="false">IF(L1383&lt;(Inputs!$E$24-Inputs!$D$24)/(Inputs!$F$24-Inputs!$D$24),Inputs!$D$24+SQRT(L1383*(Inputs!$F$24-Inputs!$D$24)*(Inputs!$E$24-Inputs!$D$24)),Inputs!$F$24-SQRT((1-L1383)*(Inputs!$F$24-Inputs!$D$24)*(Inputs!$F$24-Inputs!$E$24)))</f>
        <v>0.93174479813698</v>
      </c>
      <c r="N1383" s="81" t="n">
        <f aca="true">RAND()</f>
        <v>0.511293808545581</v>
      </c>
      <c r="O1383" s="83" t="n">
        <f aca="false">IF(N1383&lt;(Inputs!$E$26-Inputs!$D$26)/(Inputs!$F$26-Inputs!$D$26),Inputs!$D$26+SQRT(N1383*(Inputs!$F$26-Inputs!$D$26)*(Inputs!$E$26-Inputs!$D$26)),Inputs!$F$26-SQRT((1-N1383)*(Inputs!$F$26-Inputs!$D$26)*(Inputs!$F$26-Inputs!$E$26)))</f>
        <v>0.591683543831298</v>
      </c>
      <c r="P1383" s="81" t="n">
        <f aca="true">RAND()</f>
        <v>0.786303059506604</v>
      </c>
      <c r="Q1383" s="82" t="n">
        <f aca="false">IF(P1383&lt;(Inputs!$E$27-Inputs!$D$27)/(Inputs!$F$27-Inputs!$D$27),Inputs!$D$27+SQRT(P1383*(Inputs!$F$27-Inputs!$D$27)*(Inputs!$E$27-Inputs!$D$27)),Inputs!$F$27-SQRT((1-P1383)*(Inputs!$F$27-Inputs!$D$27)*(Inputs!$F$27-Inputs!$E$27)))</f>
        <v>109.965926341422</v>
      </c>
      <c r="R1383" s="81" t="n">
        <f aca="true">RAND()</f>
        <v>0.222285913499327</v>
      </c>
      <c r="S1383" s="82" t="n">
        <f aca="false">IF(R1383&lt;(Inputs!$E$29-Inputs!$D$29)/(Inputs!$F$29-Inputs!$D$29),Inputs!$D$29+SQRT(R1383*(Inputs!$F$29-Inputs!$D$29)*(Inputs!$E$29-Inputs!$D$29)),Inputs!$F$29-SQRT((1-R1383)*(Inputs!$F$29-Inputs!$D$29)*(Inputs!$F$29-Inputs!$E$29)))</f>
        <v>4.94434213814797</v>
      </c>
      <c r="T1383" s="68" t="n">
        <f aca="false">Inputs!$E$9*(1+E1383)+Inputs!$E$5*C1383*(Inputs!$E$11*Inputs!$E$14*(G1383*I1383/Inputs!$E$16+(1-G1383))*K1383+Inputs!$E$23*M1383)*(1+O1383)+Inputs!$E$5*(Q1383+S1383)</f>
        <v>6515.78728867542</v>
      </c>
    </row>
    <row r="1384" customFormat="false" ht="15" hidden="false" customHeight="false" outlineLevel="0" collapsed="false">
      <c r="A1384" s="1" t="n">
        <v>1380</v>
      </c>
      <c r="B1384" s="81" t="n">
        <f aca="true">RAND()</f>
        <v>0.787868515872035</v>
      </c>
      <c r="C1384" s="82" t="n">
        <f aca="false">ROUND(IF(B1384&lt;(Inputs!$E$8-Inputs!$D$8)/(Inputs!$F$8-Inputs!$D$8),Inputs!$D$8+SQRT(B1384*(Inputs!$F$8-Inputs!$D$8)*(Inputs!$E$8-Inputs!$D$8)),Inputs!$F$8-SQRT((1-B1384)*(Inputs!$F$8-Inputs!$D$8)*(Inputs!$F$8-Inputs!$E$8))),0)</f>
        <v>27</v>
      </c>
      <c r="D1384" s="81" t="n">
        <f aca="true">RAND()</f>
        <v>0.917433726105111</v>
      </c>
      <c r="E1384" s="83" t="n">
        <f aca="false">IF(D1384&lt;(Inputs!$E$10-Inputs!$D$10)/(Inputs!$F$10-Inputs!$D$10),Inputs!$D$10+SQRT(D1384*(Inputs!$F$10-Inputs!$D$10)*(Inputs!$E$10-Inputs!$D$10)),Inputs!$F$10-SQRT((1-D1384)*(Inputs!$F$10-Inputs!$D$10)*(Inputs!$F$10-Inputs!$E$10)))</f>
        <v>0.150230649824951</v>
      </c>
      <c r="F1384" s="81" t="n">
        <f aca="true">RAND()</f>
        <v>0.684745093546731</v>
      </c>
      <c r="G1384" s="83" t="n">
        <f aca="false">IF(F1384&lt;(Inputs!$E$15-Inputs!$D$15)/(Inputs!$F$15-Inputs!$D$15),Inputs!$D$15+SQRT(F1384*(Inputs!$F$15-Inputs!$D$15)*(Inputs!$E$15-Inputs!$D$15)),Inputs!$F$15-SQRT((1-F1384)*(Inputs!$F$15-Inputs!$D$15)*(Inputs!$F$15-Inputs!$E$15)))</f>
        <v>0.720595351968129</v>
      </c>
      <c r="H1384" s="81" t="n">
        <f aca="true">RAND()</f>
        <v>0.145437623915571</v>
      </c>
      <c r="I1384" s="82" t="n">
        <f aca="false">ROUND(IF(H1384&lt;(Inputs!$E$17-Inputs!$D$17)/(Inputs!$F$17-Inputs!$D$17),Inputs!$D$17+SQRT(H1384*(Inputs!$F$17-Inputs!$D$17)*(Inputs!$E$17-Inputs!$D$17)),Inputs!$F$17-SQRT((1-H1384)*(Inputs!$F$17-Inputs!$D$17)*(Inputs!$F$17-Inputs!$E$17))),0)</f>
        <v>103</v>
      </c>
      <c r="J1384" s="81" t="n">
        <f aca="true">RAND()</f>
        <v>0.0363216380250742</v>
      </c>
      <c r="K1384" s="83" t="n">
        <f aca="false">IF(J1384&lt;(Inputs!$E$18-Inputs!$D$18)/(Inputs!$F$18-Inputs!$D$18),Inputs!$D$18+SQRT(J1384*(Inputs!$F$18-Inputs!$D$18)*(Inputs!$E$18-Inputs!$D$18)),Inputs!$F$18-SQRT((1-J1384)*(Inputs!$F$18-Inputs!$D$18)*(Inputs!$F$18-Inputs!$E$18)))</f>
        <v>0.935654695775979</v>
      </c>
      <c r="L1384" s="81" t="n">
        <f aca="true">RAND()</f>
        <v>0.0120359197832167</v>
      </c>
      <c r="M1384" s="83" t="n">
        <f aca="false">IF(L1384&lt;(Inputs!$E$24-Inputs!$D$24)/(Inputs!$F$24-Inputs!$D$24),Inputs!$D$24+SQRT(L1384*(Inputs!$F$24-Inputs!$D$24)*(Inputs!$E$24-Inputs!$D$24)),Inputs!$F$24-SQRT((1-L1384)*(Inputs!$F$24-Inputs!$D$24)*(Inputs!$F$24-Inputs!$E$24)))</f>
        <v>0.638004083648813</v>
      </c>
      <c r="N1384" s="81" t="n">
        <f aca="true">RAND()</f>
        <v>0.995418755544554</v>
      </c>
      <c r="O1384" s="83" t="n">
        <f aca="false">IF(N1384&lt;(Inputs!$E$26-Inputs!$D$26)/(Inputs!$F$26-Inputs!$D$26),Inputs!$D$26+SQRT(N1384*(Inputs!$F$26-Inputs!$D$26)*(Inputs!$E$26-Inputs!$D$26)),Inputs!$F$26-SQRT((1-N1384)*(Inputs!$F$26-Inputs!$D$26)*(Inputs!$F$26-Inputs!$E$26)))</f>
        <v>0.798172278557614</v>
      </c>
      <c r="P1384" s="81" t="n">
        <f aca="true">RAND()</f>
        <v>0.356528036778616</v>
      </c>
      <c r="Q1384" s="82" t="n">
        <f aca="false">IF(P1384&lt;(Inputs!$E$27-Inputs!$D$27)/(Inputs!$F$27-Inputs!$D$27),Inputs!$D$27+SQRT(P1384*(Inputs!$F$27-Inputs!$D$27)*(Inputs!$E$27-Inputs!$D$27)),Inputs!$F$27-SQRT((1-P1384)*(Inputs!$F$27-Inputs!$D$27)*(Inputs!$F$27-Inputs!$E$27)))</f>
        <v>80.530296357618</v>
      </c>
      <c r="R1384" s="81" t="n">
        <f aca="true">RAND()</f>
        <v>0.856906935540327</v>
      </c>
      <c r="S1384" s="82" t="n">
        <f aca="false">IF(R1384&lt;(Inputs!$E$29-Inputs!$D$29)/(Inputs!$F$29-Inputs!$D$29),Inputs!$D$29+SQRT(R1384*(Inputs!$F$29-Inputs!$D$29)*(Inputs!$E$29-Inputs!$D$29)),Inputs!$F$29-SQRT((1-R1384)*(Inputs!$F$29-Inputs!$D$29)*(Inputs!$F$29-Inputs!$E$29)))</f>
        <v>10.6869850012135</v>
      </c>
      <c r="T1384" s="68" t="n">
        <f aca="false">Inputs!$E$9*(1+E1384)+Inputs!$E$5*C1384*(Inputs!$E$11*Inputs!$E$14*(G1384*I1384/Inputs!$E$16+(1-G1384))*K1384+Inputs!$E$23*M1384)*(1+O1384)+Inputs!$E$5*(Q1384+S1384)</f>
        <v>6471.94340456809</v>
      </c>
    </row>
    <row r="1385" customFormat="false" ht="15" hidden="false" customHeight="false" outlineLevel="0" collapsed="false">
      <c r="A1385" s="1" t="n">
        <v>1381</v>
      </c>
      <c r="B1385" s="81" t="n">
        <f aca="true">RAND()</f>
        <v>0.400601208406054</v>
      </c>
      <c r="C1385" s="82" t="n">
        <f aca="false">ROUND(IF(B1385&lt;(Inputs!$E$8-Inputs!$D$8)/(Inputs!$F$8-Inputs!$D$8),Inputs!$D$8+SQRT(B1385*(Inputs!$F$8-Inputs!$D$8)*(Inputs!$E$8-Inputs!$D$8)),Inputs!$F$8-SQRT((1-B1385)*(Inputs!$F$8-Inputs!$D$8)*(Inputs!$F$8-Inputs!$E$8))),0)</f>
        <v>24</v>
      </c>
      <c r="D1385" s="81" t="n">
        <f aca="true">RAND()</f>
        <v>0.142393782315548</v>
      </c>
      <c r="E1385" s="83" t="n">
        <f aca="false">IF(D1385&lt;(Inputs!$E$10-Inputs!$D$10)/(Inputs!$F$10-Inputs!$D$10),Inputs!$D$10+SQRT(D1385*(Inputs!$F$10-Inputs!$D$10)*(Inputs!$E$10-Inputs!$D$10)),Inputs!$F$10-SQRT((1-D1385)*(Inputs!$F$10-Inputs!$D$10)*(Inputs!$F$10-Inputs!$E$10)))</f>
        <v>0.037735100677691</v>
      </c>
      <c r="F1385" s="81" t="n">
        <f aca="true">RAND()</f>
        <v>0.231935664269558</v>
      </c>
      <c r="G1385" s="83" t="n">
        <f aca="false">IF(F1385&lt;(Inputs!$E$15-Inputs!$D$15)/(Inputs!$F$15-Inputs!$D$15),Inputs!$D$15+SQRT(F1385*(Inputs!$F$15-Inputs!$D$15)*(Inputs!$E$15-Inputs!$D$15)),Inputs!$F$15-SQRT((1-F1385)*(Inputs!$F$15-Inputs!$D$15)*(Inputs!$F$15-Inputs!$E$15)))</f>
        <v>0.668108099998393</v>
      </c>
      <c r="H1385" s="81" t="n">
        <f aca="true">RAND()</f>
        <v>0.66773287716034</v>
      </c>
      <c r="I1385" s="82" t="n">
        <f aca="false">ROUND(IF(H1385&lt;(Inputs!$E$17-Inputs!$D$17)/(Inputs!$F$17-Inputs!$D$17),Inputs!$D$17+SQRT(H1385*(Inputs!$F$17-Inputs!$D$17)*(Inputs!$E$17-Inputs!$D$17)),Inputs!$F$17-SQRT((1-H1385)*(Inputs!$F$17-Inputs!$D$17)*(Inputs!$F$17-Inputs!$E$17))),0)</f>
        <v>108</v>
      </c>
      <c r="J1385" s="81" t="n">
        <f aca="true">RAND()</f>
        <v>0.0191114070686799</v>
      </c>
      <c r="K1385" s="83" t="n">
        <f aca="false">IF(J1385&lt;(Inputs!$E$18-Inputs!$D$18)/(Inputs!$F$18-Inputs!$D$18),Inputs!$D$18+SQRT(J1385*(Inputs!$F$18-Inputs!$D$18)*(Inputs!$E$18-Inputs!$D$18)),Inputs!$F$18-SQRT((1-J1385)*(Inputs!$F$18-Inputs!$D$18)*(Inputs!$F$18-Inputs!$E$18)))</f>
        <v>0.925863086579212</v>
      </c>
      <c r="L1385" s="81" t="n">
        <f aca="true">RAND()</f>
        <v>0.364072604976747</v>
      </c>
      <c r="M1385" s="83" t="n">
        <f aca="false">IF(L1385&lt;(Inputs!$E$24-Inputs!$D$24)/(Inputs!$F$24-Inputs!$D$24),Inputs!$D$24+SQRT(L1385*(Inputs!$F$24-Inputs!$D$24)*(Inputs!$E$24-Inputs!$D$24)),Inputs!$F$24-SQRT((1-L1385)*(Inputs!$F$24-Inputs!$D$24)*(Inputs!$F$24-Inputs!$E$24)))</f>
        <v>0.809330606771428</v>
      </c>
      <c r="N1385" s="81" t="n">
        <f aca="true">RAND()</f>
        <v>0.319963011247042</v>
      </c>
      <c r="O1385" s="83" t="n">
        <f aca="false">IF(N1385&lt;(Inputs!$E$26-Inputs!$D$26)/(Inputs!$F$26-Inputs!$D$26),Inputs!$D$26+SQRT(N1385*(Inputs!$F$26-Inputs!$D$26)*(Inputs!$E$26-Inputs!$D$26)),Inputs!$F$26-SQRT((1-N1385)*(Inputs!$F$26-Inputs!$D$26)*(Inputs!$F$26-Inputs!$E$26)))</f>
        <v>0.530741944759742</v>
      </c>
      <c r="P1385" s="81" t="n">
        <f aca="true">RAND()</f>
        <v>0.33052135699248</v>
      </c>
      <c r="Q1385" s="82" t="n">
        <f aca="false">IF(P1385&lt;(Inputs!$E$27-Inputs!$D$27)/(Inputs!$F$27-Inputs!$D$27),Inputs!$D$27+SQRT(P1385*(Inputs!$F$27-Inputs!$D$27)*(Inputs!$E$27-Inputs!$D$27)),Inputs!$F$27-SQRT((1-P1385)*(Inputs!$F$27-Inputs!$D$27)*(Inputs!$F$27-Inputs!$E$27)))</f>
        <v>79.1403512388299</v>
      </c>
      <c r="R1385" s="81" t="n">
        <f aca="true">RAND()</f>
        <v>0.748626098553972</v>
      </c>
      <c r="S1385" s="82" t="n">
        <f aca="false">IF(R1385&lt;(Inputs!$E$29-Inputs!$D$29)/(Inputs!$F$29-Inputs!$D$29),Inputs!$D$29+SQRT(R1385*(Inputs!$F$29-Inputs!$D$29)*(Inputs!$E$29-Inputs!$D$29)),Inputs!$F$29-SQRT((1-R1385)*(Inputs!$F$29-Inputs!$D$29)*(Inputs!$F$29-Inputs!$E$29)))</f>
        <v>9.28347945092614</v>
      </c>
      <c r="T1385" s="68" t="n">
        <f aca="false">Inputs!$E$9*(1+E1385)+Inputs!$E$5*C1385*(Inputs!$E$11*Inputs!$E$14*(G1385*I1385/Inputs!$E$16+(1-G1385))*K1385+Inputs!$E$23*M1385)*(1+O1385)+Inputs!$E$5*(Q1385+S1385)</f>
        <v>5676.25069756364</v>
      </c>
    </row>
    <row r="1386" customFormat="false" ht="15" hidden="false" customHeight="false" outlineLevel="0" collapsed="false">
      <c r="A1386" s="1" t="n">
        <v>1382</v>
      </c>
      <c r="B1386" s="81" t="n">
        <f aca="true">RAND()</f>
        <v>0.402100191374494</v>
      </c>
      <c r="C1386" s="82" t="n">
        <f aca="false">ROUND(IF(B1386&lt;(Inputs!$E$8-Inputs!$D$8)/(Inputs!$F$8-Inputs!$D$8),Inputs!$D$8+SQRT(B1386*(Inputs!$F$8-Inputs!$D$8)*(Inputs!$E$8-Inputs!$D$8)),Inputs!$F$8-SQRT((1-B1386)*(Inputs!$F$8-Inputs!$D$8)*(Inputs!$F$8-Inputs!$E$8))),0)</f>
        <v>24</v>
      </c>
      <c r="D1386" s="81" t="n">
        <f aca="true">RAND()</f>
        <v>0.4069041948527</v>
      </c>
      <c r="E1386" s="83" t="n">
        <f aca="false">IF(D1386&lt;(Inputs!$E$10-Inputs!$D$10)/(Inputs!$F$10-Inputs!$D$10),Inputs!$D$10+SQRT(D1386*(Inputs!$F$10-Inputs!$D$10)*(Inputs!$E$10-Inputs!$D$10)),Inputs!$F$10-SQRT((1-D1386)*(Inputs!$F$10-Inputs!$D$10)*(Inputs!$F$10-Inputs!$E$10)))</f>
        <v>0.0666100672673571</v>
      </c>
      <c r="F1386" s="81" t="n">
        <f aca="true">RAND()</f>
        <v>0.851186181090243</v>
      </c>
      <c r="G1386" s="83" t="n">
        <f aca="false">IF(F1386&lt;(Inputs!$E$15-Inputs!$D$15)/(Inputs!$F$15-Inputs!$D$15),Inputs!$D$15+SQRT(F1386*(Inputs!$F$15-Inputs!$D$15)*(Inputs!$E$15-Inputs!$D$15)),Inputs!$F$15-SQRT((1-F1386)*(Inputs!$F$15-Inputs!$D$15)*(Inputs!$F$15-Inputs!$E$15)))</f>
        <v>0.745444740141805</v>
      </c>
      <c r="H1386" s="81" t="n">
        <f aca="true">RAND()</f>
        <v>0.0429533512527628</v>
      </c>
      <c r="I1386" s="82" t="n">
        <f aca="false">ROUND(IF(H1386&lt;(Inputs!$E$17-Inputs!$D$17)/(Inputs!$F$17-Inputs!$D$17),Inputs!$D$17+SQRT(H1386*(Inputs!$F$17-Inputs!$D$17)*(Inputs!$E$17-Inputs!$D$17)),Inputs!$F$17-SQRT((1-H1386)*(Inputs!$F$17-Inputs!$D$17)*(Inputs!$F$17-Inputs!$E$17))),0)</f>
        <v>102</v>
      </c>
      <c r="J1386" s="81" t="n">
        <f aca="true">RAND()</f>
        <v>0.185536405104747</v>
      </c>
      <c r="K1386" s="83" t="n">
        <f aca="false">IF(J1386&lt;(Inputs!$E$18-Inputs!$D$18)/(Inputs!$F$18-Inputs!$D$18),Inputs!$D$18+SQRT(J1386*(Inputs!$F$18-Inputs!$D$18)*(Inputs!$E$18-Inputs!$D$18)),Inputs!$F$18-SQRT((1-J1386)*(Inputs!$F$18-Inputs!$D$18)*(Inputs!$F$18-Inputs!$E$18)))</f>
        <v>0.980583957328157</v>
      </c>
      <c r="L1386" s="81" t="n">
        <f aca="true">RAND()</f>
        <v>0.406115105542823</v>
      </c>
      <c r="M1386" s="83" t="n">
        <f aca="false">IF(L1386&lt;(Inputs!$E$24-Inputs!$D$24)/(Inputs!$F$24-Inputs!$D$24),Inputs!$D$24+SQRT(L1386*(Inputs!$F$24-Inputs!$D$24)*(Inputs!$E$24-Inputs!$D$24)),Inputs!$F$24-SQRT((1-L1386)*(Inputs!$F$24-Inputs!$D$24)*(Inputs!$F$24-Inputs!$E$24)))</f>
        <v>0.822465399374147</v>
      </c>
      <c r="N1386" s="81" t="n">
        <f aca="true">RAND()</f>
        <v>0.736565137648026</v>
      </c>
      <c r="O1386" s="83" t="n">
        <f aca="false">IF(N1386&lt;(Inputs!$E$26-Inputs!$D$26)/(Inputs!$F$26-Inputs!$D$26),Inputs!$D$26+SQRT(N1386*(Inputs!$F$26-Inputs!$D$26)*(Inputs!$E$26-Inputs!$D$26)),Inputs!$F$26-SQRT((1-N1386)*(Inputs!$F$26-Inputs!$D$26)*(Inputs!$F$26-Inputs!$E$26)))</f>
        <v>0.654478926765788</v>
      </c>
      <c r="P1386" s="81" t="n">
        <f aca="true">RAND()</f>
        <v>0.478945846390699</v>
      </c>
      <c r="Q1386" s="82" t="n">
        <f aca="false">IF(P1386&lt;(Inputs!$E$27-Inputs!$D$27)/(Inputs!$F$27-Inputs!$D$27),Inputs!$D$27+SQRT(P1386*(Inputs!$F$27-Inputs!$D$27)*(Inputs!$E$27-Inputs!$D$27)),Inputs!$F$27-SQRT((1-P1386)*(Inputs!$F$27-Inputs!$D$27)*(Inputs!$F$27-Inputs!$E$27)))</f>
        <v>87.4867521874782</v>
      </c>
      <c r="R1386" s="81" t="n">
        <f aca="true">RAND()</f>
        <v>0.435069702396603</v>
      </c>
      <c r="S1386" s="82" t="n">
        <f aca="false">IF(R1386&lt;(Inputs!$E$29-Inputs!$D$29)/(Inputs!$F$29-Inputs!$D$29),Inputs!$D$29+SQRT(R1386*(Inputs!$F$29-Inputs!$D$29)*(Inputs!$E$29-Inputs!$D$29)),Inputs!$F$29-SQRT((1-R1386)*(Inputs!$F$29-Inputs!$D$29)*(Inputs!$F$29-Inputs!$E$29)))</f>
        <v>6.43023111814317</v>
      </c>
      <c r="T1386" s="68" t="n">
        <f aca="false">Inputs!$E$9*(1+E1386)+Inputs!$E$5*C1386*(Inputs!$E$11*Inputs!$E$14*(G1386*I1386/Inputs!$E$16+(1-G1386))*K1386+Inputs!$E$23*M1386)*(1+O1386)+Inputs!$E$5*(Q1386+S1386)</f>
        <v>5976.17351890515</v>
      </c>
    </row>
    <row r="1387" customFormat="false" ht="15" hidden="false" customHeight="false" outlineLevel="0" collapsed="false">
      <c r="A1387" s="1" t="n">
        <v>1383</v>
      </c>
      <c r="B1387" s="81" t="n">
        <f aca="true">RAND()</f>
        <v>0.489541706558924</v>
      </c>
      <c r="C1387" s="82" t="n">
        <f aca="false">ROUND(IF(B1387&lt;(Inputs!$E$8-Inputs!$D$8)/(Inputs!$F$8-Inputs!$D$8),Inputs!$D$8+SQRT(B1387*(Inputs!$F$8-Inputs!$D$8)*(Inputs!$E$8-Inputs!$D$8)),Inputs!$F$8-SQRT((1-B1387)*(Inputs!$F$8-Inputs!$D$8)*(Inputs!$F$8-Inputs!$E$8))),0)</f>
        <v>25</v>
      </c>
      <c r="D1387" s="81" t="n">
        <f aca="true">RAND()</f>
        <v>0.992662645960394</v>
      </c>
      <c r="E1387" s="83" t="n">
        <f aca="false">IF(D1387&lt;(Inputs!$E$10-Inputs!$D$10)/(Inputs!$F$10-Inputs!$D$10),Inputs!$D$10+SQRT(D1387*(Inputs!$F$10-Inputs!$D$10)*(Inputs!$E$10-Inputs!$D$10)),Inputs!$F$10-SQRT((1-D1387)*(Inputs!$F$10-Inputs!$D$10)*(Inputs!$F$10-Inputs!$E$10)))</f>
        <v>0.185163537443576</v>
      </c>
      <c r="F1387" s="81" t="n">
        <f aca="true">RAND()</f>
        <v>0.533424174029519</v>
      </c>
      <c r="G1387" s="83" t="n">
        <f aca="false">IF(F1387&lt;(Inputs!$E$15-Inputs!$D$15)/(Inputs!$F$15-Inputs!$D$15),Inputs!$D$15+SQRT(F1387*(Inputs!$F$15-Inputs!$D$15)*(Inputs!$E$15-Inputs!$D$15)),Inputs!$F$15-SQRT((1-F1387)*(Inputs!$F$15-Inputs!$D$15)*(Inputs!$F$15-Inputs!$E$15)))</f>
        <v>0.703400225055078</v>
      </c>
      <c r="H1387" s="81" t="n">
        <f aca="true">RAND()</f>
        <v>0.702986967790552</v>
      </c>
      <c r="I1387" s="82" t="n">
        <f aca="false">ROUND(IF(H1387&lt;(Inputs!$E$17-Inputs!$D$17)/(Inputs!$F$17-Inputs!$D$17),Inputs!$D$17+SQRT(H1387*(Inputs!$F$17-Inputs!$D$17)*(Inputs!$E$17-Inputs!$D$17)),Inputs!$F$17-SQRT((1-H1387)*(Inputs!$F$17-Inputs!$D$17)*(Inputs!$F$17-Inputs!$E$17))),0)</f>
        <v>108</v>
      </c>
      <c r="J1387" s="81" t="n">
        <f aca="true">RAND()</f>
        <v>0.805927932489163</v>
      </c>
      <c r="K1387" s="83" t="n">
        <f aca="false">IF(J1387&lt;(Inputs!$E$18-Inputs!$D$18)/(Inputs!$F$18-Inputs!$D$18),Inputs!$D$18+SQRT(J1387*(Inputs!$F$18-Inputs!$D$18)*(Inputs!$E$18-Inputs!$D$18)),Inputs!$F$18-SQRT((1-J1387)*(Inputs!$F$18-Inputs!$D$18)*(Inputs!$F$18-Inputs!$E$18)))</f>
        <v>1.11968766018831</v>
      </c>
      <c r="L1387" s="81" t="n">
        <f aca="true">RAND()</f>
        <v>0.493228279961608</v>
      </c>
      <c r="M1387" s="83" t="n">
        <f aca="false">IF(L1387&lt;(Inputs!$E$24-Inputs!$D$24)/(Inputs!$F$24-Inputs!$D$24),Inputs!$D$24+SQRT(L1387*(Inputs!$F$24-Inputs!$D$24)*(Inputs!$E$24-Inputs!$D$24)),Inputs!$F$24-SQRT((1-L1387)*(Inputs!$F$24-Inputs!$D$24)*(Inputs!$F$24-Inputs!$E$24)))</f>
        <v>0.851251935045922</v>
      </c>
      <c r="N1387" s="81" t="n">
        <f aca="true">RAND()</f>
        <v>0.981004400277993</v>
      </c>
      <c r="O1387" s="83" t="n">
        <f aca="false">IF(N1387&lt;(Inputs!$E$26-Inputs!$D$26)/(Inputs!$F$26-Inputs!$D$26),Inputs!$D$26+SQRT(N1387*(Inputs!$F$26-Inputs!$D$26)*(Inputs!$E$26-Inputs!$D$26)),Inputs!$F$26-SQRT((1-N1387)*(Inputs!$F$26-Inputs!$D$26)*(Inputs!$F$26-Inputs!$E$26)))</f>
        <v>0.775552926180808</v>
      </c>
      <c r="P1387" s="81" t="n">
        <f aca="true">RAND()</f>
        <v>0.3657924881842</v>
      </c>
      <c r="Q1387" s="82" t="n">
        <f aca="false">IF(P1387&lt;(Inputs!$E$27-Inputs!$D$27)/(Inputs!$F$27-Inputs!$D$27),Inputs!$D$27+SQRT(P1387*(Inputs!$F$27-Inputs!$D$27)*(Inputs!$E$27-Inputs!$D$27)),Inputs!$F$27-SQRT((1-P1387)*(Inputs!$F$27-Inputs!$D$27)*(Inputs!$F$27-Inputs!$E$27)))</f>
        <v>81.0322079618428</v>
      </c>
      <c r="R1387" s="81" t="n">
        <f aca="true">RAND()</f>
        <v>0.904928157722055</v>
      </c>
      <c r="S1387" s="82" t="n">
        <f aca="false">IF(R1387&lt;(Inputs!$E$29-Inputs!$D$29)/(Inputs!$F$29-Inputs!$D$29),Inputs!$D$29+SQRT(R1387*(Inputs!$F$29-Inputs!$D$29)*(Inputs!$E$29-Inputs!$D$29)),Inputs!$F$29-SQRT((1-R1387)*(Inputs!$F$29-Inputs!$D$29)*(Inputs!$F$29-Inputs!$E$29)))</f>
        <v>11.4844147718861</v>
      </c>
      <c r="T1387" s="68" t="n">
        <f aca="false">Inputs!$E$9*(1+E1387)+Inputs!$E$5*C1387*(Inputs!$E$11*Inputs!$E$14*(G1387*I1387/Inputs!$E$16+(1-G1387))*K1387+Inputs!$E$23*M1387)*(1+O1387)+Inputs!$E$5*(Q1387+S1387)</f>
        <v>7124.11016991774</v>
      </c>
    </row>
    <row r="1388" customFormat="false" ht="15" hidden="false" customHeight="false" outlineLevel="0" collapsed="false">
      <c r="A1388" s="1" t="n">
        <v>1384</v>
      </c>
      <c r="B1388" s="81" t="n">
        <f aca="true">RAND()</f>
        <v>0.420440763336119</v>
      </c>
      <c r="C1388" s="82" t="n">
        <f aca="false">ROUND(IF(B1388&lt;(Inputs!$E$8-Inputs!$D$8)/(Inputs!$F$8-Inputs!$D$8),Inputs!$D$8+SQRT(B1388*(Inputs!$F$8-Inputs!$D$8)*(Inputs!$E$8-Inputs!$D$8)),Inputs!$F$8-SQRT((1-B1388)*(Inputs!$F$8-Inputs!$D$8)*(Inputs!$F$8-Inputs!$E$8))),0)</f>
        <v>25</v>
      </c>
      <c r="D1388" s="81" t="n">
        <f aca="true">RAND()</f>
        <v>0.209196653232525</v>
      </c>
      <c r="E1388" s="83" t="n">
        <f aca="false">IF(D1388&lt;(Inputs!$E$10-Inputs!$D$10)/(Inputs!$F$10-Inputs!$D$10),Inputs!$D$10+SQRT(D1388*(Inputs!$F$10-Inputs!$D$10)*(Inputs!$E$10-Inputs!$D$10)),Inputs!$F$10-SQRT((1-D1388)*(Inputs!$F$10-Inputs!$D$10)*(Inputs!$F$10-Inputs!$E$10)))</f>
        <v>0.0457380206428443</v>
      </c>
      <c r="F1388" s="81" t="n">
        <f aca="true">RAND()</f>
        <v>0.876437845008562</v>
      </c>
      <c r="G1388" s="83" t="n">
        <f aca="false">IF(F1388&lt;(Inputs!$E$15-Inputs!$D$15)/(Inputs!$F$15-Inputs!$D$15),Inputs!$D$15+SQRT(F1388*(Inputs!$F$15-Inputs!$D$15)*(Inputs!$E$15-Inputs!$D$15)),Inputs!$F$15-SQRT((1-F1388)*(Inputs!$F$15-Inputs!$D$15)*(Inputs!$F$15-Inputs!$E$15)))</f>
        <v>0.750288400751648</v>
      </c>
      <c r="H1388" s="81" t="n">
        <f aca="true">RAND()</f>
        <v>0.280263227010349</v>
      </c>
      <c r="I1388" s="82" t="n">
        <f aca="false">ROUND(IF(H1388&lt;(Inputs!$E$17-Inputs!$D$17)/(Inputs!$F$17-Inputs!$D$17),Inputs!$D$17+SQRT(H1388*(Inputs!$F$17-Inputs!$D$17)*(Inputs!$E$17-Inputs!$D$17)),Inputs!$F$17-SQRT((1-H1388)*(Inputs!$F$17-Inputs!$D$17)*(Inputs!$F$17-Inputs!$E$17))),0)</f>
        <v>105</v>
      </c>
      <c r="J1388" s="81" t="n">
        <f aca="true">RAND()</f>
        <v>0.30982075189171</v>
      </c>
      <c r="K1388" s="83" t="n">
        <f aca="false">IF(J1388&lt;(Inputs!$E$18-Inputs!$D$18)/(Inputs!$F$18-Inputs!$D$18),Inputs!$D$18+SQRT(J1388*(Inputs!$F$18-Inputs!$D$18)*(Inputs!$E$18-Inputs!$D$18)),Inputs!$F$18-SQRT((1-J1388)*(Inputs!$F$18-Inputs!$D$18)*(Inputs!$F$18-Inputs!$E$18)))</f>
        <v>1.00425483888899</v>
      </c>
      <c r="L1388" s="81" t="n">
        <f aca="true">RAND()</f>
        <v>0.0825701594322004</v>
      </c>
      <c r="M1388" s="83" t="n">
        <f aca="false">IF(L1388&lt;(Inputs!$E$24-Inputs!$D$24)/(Inputs!$F$24-Inputs!$D$24),Inputs!$D$24+SQRT(L1388*(Inputs!$F$24-Inputs!$D$24)*(Inputs!$E$24-Inputs!$D$24)),Inputs!$F$24-SQRT((1-L1388)*(Inputs!$F$24-Inputs!$D$24)*(Inputs!$F$24-Inputs!$E$24)))</f>
        <v>0.699541042449153</v>
      </c>
      <c r="N1388" s="81" t="n">
        <f aca="true">RAND()</f>
        <v>0.181640833171982</v>
      </c>
      <c r="O1388" s="83" t="n">
        <f aca="false">IF(N1388&lt;(Inputs!$E$26-Inputs!$D$26)/(Inputs!$F$26-Inputs!$D$26),Inputs!$D$26+SQRT(N1388*(Inputs!$F$26-Inputs!$D$26)*(Inputs!$E$26-Inputs!$D$26)),Inputs!$F$26-SQRT((1-N1388)*(Inputs!$F$26-Inputs!$D$26)*(Inputs!$F$26-Inputs!$E$26)))</f>
        <v>0.473853486130758</v>
      </c>
      <c r="P1388" s="81" t="n">
        <f aca="true">RAND()</f>
        <v>0.464350918744856</v>
      </c>
      <c r="Q1388" s="82" t="n">
        <f aca="false">IF(P1388&lt;(Inputs!$E$27-Inputs!$D$27)/(Inputs!$F$27-Inputs!$D$27),Inputs!$D$27+SQRT(P1388*(Inputs!$F$27-Inputs!$D$27)*(Inputs!$E$27-Inputs!$D$27)),Inputs!$F$27-SQRT((1-P1388)*(Inputs!$F$27-Inputs!$D$27)*(Inputs!$F$27-Inputs!$E$27)))</f>
        <v>86.6172885605737</v>
      </c>
      <c r="R1388" s="81" t="n">
        <f aca="true">RAND()</f>
        <v>0.697936963390007</v>
      </c>
      <c r="S1388" s="82" t="n">
        <f aca="false">IF(R1388&lt;(Inputs!$E$29-Inputs!$D$29)/(Inputs!$F$29-Inputs!$D$29),Inputs!$D$29+SQRT(R1388*(Inputs!$F$29-Inputs!$D$29)*(Inputs!$E$29-Inputs!$D$29)),Inputs!$F$29-SQRT((1-R1388)*(Inputs!$F$29-Inputs!$D$29)*(Inputs!$F$29-Inputs!$E$29)))</f>
        <v>8.73356602529804</v>
      </c>
      <c r="T1388" s="68" t="n">
        <f aca="false">Inputs!$E$9*(1+E1388)+Inputs!$E$5*C1388*(Inputs!$E$11*Inputs!$E$14*(G1388*I1388/Inputs!$E$16+(1-G1388))*K1388+Inputs!$E$23*M1388)*(1+O1388)+Inputs!$E$5*(Q1388+S1388)</f>
        <v>5621.43173959529</v>
      </c>
    </row>
    <row r="1389" customFormat="false" ht="15" hidden="false" customHeight="false" outlineLevel="0" collapsed="false">
      <c r="A1389" s="1" t="n">
        <v>1385</v>
      </c>
      <c r="B1389" s="81" t="n">
        <f aca="true">RAND()</f>
        <v>0.702762833984072</v>
      </c>
      <c r="C1389" s="82" t="n">
        <f aca="false">ROUND(IF(B1389&lt;(Inputs!$E$8-Inputs!$D$8)/(Inputs!$F$8-Inputs!$D$8),Inputs!$D$8+SQRT(B1389*(Inputs!$F$8-Inputs!$D$8)*(Inputs!$E$8-Inputs!$D$8)),Inputs!$F$8-SQRT((1-B1389)*(Inputs!$F$8-Inputs!$D$8)*(Inputs!$F$8-Inputs!$E$8))),0)</f>
        <v>26</v>
      </c>
      <c r="D1389" s="81" t="n">
        <f aca="true">RAND()</f>
        <v>0.590655913142837</v>
      </c>
      <c r="E1389" s="83" t="n">
        <f aca="false">IF(D1389&lt;(Inputs!$E$10-Inputs!$D$10)/(Inputs!$F$10-Inputs!$D$10),Inputs!$D$10+SQRT(D1389*(Inputs!$F$10-Inputs!$D$10)*(Inputs!$E$10-Inputs!$D$10)),Inputs!$F$10-SQRT((1-D1389)*(Inputs!$F$10-Inputs!$D$10)*(Inputs!$F$10-Inputs!$E$10)))</f>
        <v>0.0891833829892155</v>
      </c>
      <c r="F1389" s="81" t="n">
        <f aca="true">RAND()</f>
        <v>0.788787157582102</v>
      </c>
      <c r="G1389" s="83" t="n">
        <f aca="false">IF(F1389&lt;(Inputs!$E$15-Inputs!$D$15)/(Inputs!$F$15-Inputs!$D$15),Inputs!$D$15+SQRT(F1389*(Inputs!$F$15-Inputs!$D$15)*(Inputs!$E$15-Inputs!$D$15)),Inputs!$F$15-SQRT((1-F1389)*(Inputs!$F$15-Inputs!$D$15)*(Inputs!$F$15-Inputs!$E$15)))</f>
        <v>0.735005716802491</v>
      </c>
      <c r="H1389" s="81" t="n">
        <f aca="true">RAND()</f>
        <v>0.683004319929818</v>
      </c>
      <c r="I1389" s="82" t="n">
        <f aca="false">ROUND(IF(H1389&lt;(Inputs!$E$17-Inputs!$D$17)/(Inputs!$F$17-Inputs!$D$17),Inputs!$D$17+SQRT(H1389*(Inputs!$F$17-Inputs!$D$17)*(Inputs!$E$17-Inputs!$D$17)),Inputs!$F$17-SQRT((1-H1389)*(Inputs!$F$17-Inputs!$D$17)*(Inputs!$F$17-Inputs!$E$17))),0)</f>
        <v>108</v>
      </c>
      <c r="J1389" s="81" t="n">
        <f aca="true">RAND()</f>
        <v>0.0121015802773302</v>
      </c>
      <c r="K1389" s="83" t="n">
        <f aca="false">IF(J1389&lt;(Inputs!$E$18-Inputs!$D$18)/(Inputs!$F$18-Inputs!$D$18),Inputs!$D$18+SQRT(J1389*(Inputs!$F$18-Inputs!$D$18)*(Inputs!$E$18-Inputs!$D$18)),Inputs!$F$18-SQRT((1-J1389)*(Inputs!$F$18-Inputs!$D$18)*(Inputs!$F$18-Inputs!$E$18)))</f>
        <v>0.920580459414371</v>
      </c>
      <c r="L1389" s="81" t="n">
        <f aca="true">RAND()</f>
        <v>0.729073931789202</v>
      </c>
      <c r="M1389" s="83" t="n">
        <f aca="false">IF(L1389&lt;(Inputs!$E$24-Inputs!$D$24)/(Inputs!$F$24-Inputs!$D$24),Inputs!$D$24+SQRT(L1389*(Inputs!$F$24-Inputs!$D$24)*(Inputs!$E$24-Inputs!$D$24)),Inputs!$F$24-SQRT((1-L1389)*(Inputs!$F$24-Inputs!$D$24)*(Inputs!$F$24-Inputs!$E$24)))</f>
        <v>0.945005379722255</v>
      </c>
      <c r="N1389" s="81" t="n">
        <f aca="true">RAND()</f>
        <v>0.450014941024165</v>
      </c>
      <c r="O1389" s="83" t="n">
        <f aca="false">IF(N1389&lt;(Inputs!$E$26-Inputs!$D$26)/(Inputs!$F$26-Inputs!$D$26),Inputs!$D$26+SQRT(N1389*(Inputs!$F$26-Inputs!$D$26)*(Inputs!$E$26-Inputs!$D$26)),Inputs!$F$26-SQRT((1-N1389)*(Inputs!$F$26-Inputs!$D$26)*(Inputs!$F$26-Inputs!$E$26)))</f>
        <v>0.573646644756374</v>
      </c>
      <c r="P1389" s="81" t="n">
        <f aca="true">RAND()</f>
        <v>0.785349786543185</v>
      </c>
      <c r="Q1389" s="82" t="n">
        <f aca="false">IF(P1389&lt;(Inputs!$E$27-Inputs!$D$27)/(Inputs!$F$27-Inputs!$D$27),Inputs!$D$27+SQRT(P1389*(Inputs!$F$27-Inputs!$D$27)*(Inputs!$E$27-Inputs!$D$27)),Inputs!$F$27-SQRT((1-P1389)*(Inputs!$F$27-Inputs!$D$27)*(Inputs!$F$27-Inputs!$E$27)))</f>
        <v>109.876732424613</v>
      </c>
      <c r="R1389" s="81" t="n">
        <f aca="true">RAND()</f>
        <v>0.360916131006965</v>
      </c>
      <c r="S1389" s="82" t="n">
        <f aca="false">IF(R1389&lt;(Inputs!$E$29-Inputs!$D$29)/(Inputs!$F$29-Inputs!$D$29),Inputs!$D$29+SQRT(R1389*(Inputs!$F$29-Inputs!$D$29)*(Inputs!$E$29-Inputs!$D$29)),Inputs!$F$29-SQRT((1-R1389)*(Inputs!$F$29-Inputs!$D$29)*(Inputs!$F$29-Inputs!$E$29)))</f>
        <v>5.88512737504827</v>
      </c>
      <c r="T1389" s="68" t="n">
        <f aca="false">Inputs!$E$9*(1+E1389)+Inputs!$E$5*C1389*(Inputs!$E$11*Inputs!$E$14*(G1389*I1389/Inputs!$E$16+(1-G1389))*K1389+Inputs!$E$23*M1389)*(1+O1389)+Inputs!$E$5*(Q1389+S1389)</f>
        <v>6366.7841478147</v>
      </c>
    </row>
    <row r="1390" customFormat="false" ht="15" hidden="false" customHeight="false" outlineLevel="0" collapsed="false">
      <c r="A1390" s="1" t="n">
        <v>1386</v>
      </c>
      <c r="B1390" s="81" t="n">
        <f aca="true">RAND()</f>
        <v>0.202192656138612</v>
      </c>
      <c r="C1390" s="82" t="n">
        <f aca="false">ROUND(IF(B1390&lt;(Inputs!$E$8-Inputs!$D$8)/(Inputs!$F$8-Inputs!$D$8),Inputs!$D$8+SQRT(B1390*(Inputs!$F$8-Inputs!$D$8)*(Inputs!$E$8-Inputs!$D$8)),Inputs!$F$8-SQRT((1-B1390)*(Inputs!$F$8-Inputs!$D$8)*(Inputs!$F$8-Inputs!$E$8))),0)</f>
        <v>23</v>
      </c>
      <c r="D1390" s="81" t="n">
        <f aca="true">RAND()</f>
        <v>0.377182576238253</v>
      </c>
      <c r="E1390" s="83" t="n">
        <f aca="false">IF(D1390&lt;(Inputs!$E$10-Inputs!$D$10)/(Inputs!$F$10-Inputs!$D$10),Inputs!$D$10+SQRT(D1390*(Inputs!$F$10-Inputs!$D$10)*(Inputs!$E$10-Inputs!$D$10)),Inputs!$F$10-SQRT((1-D1390)*(Inputs!$F$10-Inputs!$D$10)*(Inputs!$F$10-Inputs!$E$10)))</f>
        <v>0.0633086589690027</v>
      </c>
      <c r="F1390" s="81" t="n">
        <f aca="true">RAND()</f>
        <v>0.168910946284142</v>
      </c>
      <c r="G1390" s="83" t="n">
        <f aca="false">IF(F1390&lt;(Inputs!$E$15-Inputs!$D$15)/(Inputs!$F$15-Inputs!$D$15),Inputs!$D$15+SQRT(F1390*(Inputs!$F$15-Inputs!$D$15)*(Inputs!$E$15-Inputs!$D$15)),Inputs!$F$15-SQRT((1-F1390)*(Inputs!$F$15-Inputs!$D$15)*(Inputs!$F$15-Inputs!$E$15)))</f>
        <v>0.658122447691773</v>
      </c>
      <c r="H1390" s="81" t="n">
        <f aca="true">RAND()</f>
        <v>0.0604682182964595</v>
      </c>
      <c r="I1390" s="82" t="n">
        <f aca="false">ROUND(IF(H1390&lt;(Inputs!$E$17-Inputs!$D$17)/(Inputs!$F$17-Inputs!$D$17),Inputs!$D$17+SQRT(H1390*(Inputs!$F$17-Inputs!$D$17)*(Inputs!$E$17-Inputs!$D$17)),Inputs!$F$17-SQRT((1-H1390)*(Inputs!$F$17-Inputs!$D$17)*(Inputs!$F$17-Inputs!$E$17))),0)</f>
        <v>102</v>
      </c>
      <c r="J1390" s="81" t="n">
        <f aca="true">RAND()</f>
        <v>0.941684680091978</v>
      </c>
      <c r="K1390" s="83" t="n">
        <f aca="false">IF(J1390&lt;(Inputs!$E$18-Inputs!$D$18)/(Inputs!$F$18-Inputs!$D$18),Inputs!$D$18+SQRT(J1390*(Inputs!$F$18-Inputs!$D$18)*(Inputs!$E$18-Inputs!$D$18)),Inputs!$F$18-SQRT((1-J1390)*(Inputs!$F$18-Inputs!$D$18)*(Inputs!$F$18-Inputs!$E$18)))</f>
        <v>1.17856758094568</v>
      </c>
      <c r="L1390" s="81" t="n">
        <f aca="true">RAND()</f>
        <v>0.639454573155656</v>
      </c>
      <c r="M1390" s="83" t="n">
        <f aca="false">IF(L1390&lt;(Inputs!$E$24-Inputs!$D$24)/(Inputs!$F$24-Inputs!$D$24),Inputs!$D$24+SQRT(L1390*(Inputs!$F$24-Inputs!$D$24)*(Inputs!$E$24-Inputs!$D$24)),Inputs!$F$24-SQRT((1-L1390)*(Inputs!$F$24-Inputs!$D$24)*(Inputs!$F$24-Inputs!$E$24)))</f>
        <v>0.905838645565665</v>
      </c>
      <c r="N1390" s="81" t="n">
        <f aca="true">RAND()</f>
        <v>0.793721102020527</v>
      </c>
      <c r="O1390" s="83" t="n">
        <f aca="false">IF(N1390&lt;(Inputs!$E$26-Inputs!$D$26)/(Inputs!$F$26-Inputs!$D$26),Inputs!$D$26+SQRT(N1390*(Inputs!$F$26-Inputs!$D$26)*(Inputs!$E$26-Inputs!$D$26)),Inputs!$F$26-SQRT((1-N1390)*(Inputs!$F$26-Inputs!$D$26)*(Inputs!$F$26-Inputs!$E$26)))</f>
        <v>0.673531554968774</v>
      </c>
      <c r="P1390" s="81" t="n">
        <f aca="true">RAND()</f>
        <v>0.0578116147380323</v>
      </c>
      <c r="Q1390" s="82" t="n">
        <f aca="false">IF(P1390&lt;(Inputs!$E$27-Inputs!$D$27)/(Inputs!$F$27-Inputs!$D$27),Inputs!$D$27+SQRT(P1390*(Inputs!$F$27-Inputs!$D$27)*(Inputs!$E$27-Inputs!$D$27)),Inputs!$F$27-SQRT((1-P1390)*(Inputs!$F$27-Inputs!$D$27)*(Inputs!$F$27-Inputs!$E$27)))</f>
        <v>62.0220229930358</v>
      </c>
      <c r="R1390" s="81" t="n">
        <f aca="true">RAND()</f>
        <v>0.235551618146546</v>
      </c>
      <c r="S1390" s="82" t="n">
        <f aca="false">IF(R1390&lt;(Inputs!$E$29-Inputs!$D$29)/(Inputs!$F$29-Inputs!$D$29),Inputs!$D$29+SQRT(R1390*(Inputs!$F$29-Inputs!$D$29)*(Inputs!$E$29-Inputs!$D$29)),Inputs!$F$29-SQRT((1-R1390)*(Inputs!$F$29-Inputs!$D$29)*(Inputs!$F$29-Inputs!$E$29)))</f>
        <v>5.03113398420116</v>
      </c>
      <c r="T1390" s="68" t="n">
        <f aca="false">Inputs!$E$9*(1+E1390)+Inputs!$E$5*C1390*(Inputs!$E$11*Inputs!$E$14*(G1390*I1390/Inputs!$E$16+(1-G1390))*K1390+Inputs!$E$23*M1390)*(1+O1390)+Inputs!$E$5*(Q1390+S1390)</f>
        <v>6379.68207565258</v>
      </c>
    </row>
    <row r="1391" customFormat="false" ht="15" hidden="false" customHeight="false" outlineLevel="0" collapsed="false">
      <c r="A1391" s="1" t="n">
        <v>1387</v>
      </c>
      <c r="B1391" s="81" t="n">
        <f aca="true">RAND()</f>
        <v>0.493410317062018</v>
      </c>
      <c r="C1391" s="82" t="n">
        <f aca="false">ROUND(IF(B1391&lt;(Inputs!$E$8-Inputs!$D$8)/(Inputs!$F$8-Inputs!$D$8),Inputs!$D$8+SQRT(B1391*(Inputs!$F$8-Inputs!$D$8)*(Inputs!$E$8-Inputs!$D$8)),Inputs!$F$8-SQRT((1-B1391)*(Inputs!$F$8-Inputs!$D$8)*(Inputs!$F$8-Inputs!$E$8))),0)</f>
        <v>25</v>
      </c>
      <c r="D1391" s="81" t="n">
        <f aca="true">RAND()</f>
        <v>0.217902147025859</v>
      </c>
      <c r="E1391" s="83" t="n">
        <f aca="false">IF(D1391&lt;(Inputs!$E$10-Inputs!$D$10)/(Inputs!$F$10-Inputs!$D$10),Inputs!$D$10+SQRT(D1391*(Inputs!$F$10-Inputs!$D$10)*(Inputs!$E$10-Inputs!$D$10)),Inputs!$F$10-SQRT((1-D1391)*(Inputs!$F$10-Inputs!$D$10)*(Inputs!$F$10-Inputs!$E$10)))</f>
        <v>0.0466799900413292</v>
      </c>
      <c r="F1391" s="81" t="n">
        <f aca="true">RAND()</f>
        <v>0.142015760332141</v>
      </c>
      <c r="G1391" s="83" t="n">
        <f aca="false">IF(F1391&lt;(Inputs!$E$15-Inputs!$D$15)/(Inputs!$F$15-Inputs!$D$15),Inputs!$D$15+SQRT(F1391*(Inputs!$F$15-Inputs!$D$15)*(Inputs!$E$15-Inputs!$D$15)),Inputs!$F$15-SQRT((1-F1391)*(Inputs!$F$15-Inputs!$D$15)*(Inputs!$F$15-Inputs!$E$15)))</f>
        <v>0.653294607669471</v>
      </c>
      <c r="H1391" s="81" t="n">
        <f aca="true">RAND()</f>
        <v>0.562518714039869</v>
      </c>
      <c r="I1391" s="82" t="n">
        <f aca="false">ROUND(IF(H1391&lt;(Inputs!$E$17-Inputs!$D$17)/(Inputs!$F$17-Inputs!$D$17),Inputs!$D$17+SQRT(H1391*(Inputs!$F$17-Inputs!$D$17)*(Inputs!$E$17-Inputs!$D$17)),Inputs!$F$17-SQRT((1-H1391)*(Inputs!$F$17-Inputs!$D$17)*(Inputs!$F$17-Inputs!$E$17))),0)</f>
        <v>107</v>
      </c>
      <c r="J1391" s="81" t="n">
        <f aca="true">RAND()</f>
        <v>0.398050823196851</v>
      </c>
      <c r="K1391" s="83" t="n">
        <f aca="false">IF(J1391&lt;(Inputs!$E$18-Inputs!$D$18)/(Inputs!$F$18-Inputs!$D$18),Inputs!$D$18+SQRT(J1391*(Inputs!$F$18-Inputs!$D$18)*(Inputs!$E$18-Inputs!$D$18)),Inputs!$F$18-SQRT((1-J1391)*(Inputs!$F$18-Inputs!$D$18)*(Inputs!$F$18-Inputs!$E$18)))</f>
        <v>1.02049933993499</v>
      </c>
      <c r="L1391" s="81" t="n">
        <f aca="true">RAND()</f>
        <v>0.0267306880639646</v>
      </c>
      <c r="M1391" s="83" t="n">
        <f aca="false">IF(L1391&lt;(Inputs!$E$24-Inputs!$D$24)/(Inputs!$F$24-Inputs!$D$24),Inputs!$D$24+SQRT(L1391*(Inputs!$F$24-Inputs!$D$24)*(Inputs!$E$24-Inputs!$D$24)),Inputs!$F$24-SQRT((1-L1391)*(Inputs!$F$24-Inputs!$D$24)*(Inputs!$F$24-Inputs!$E$24)))</f>
        <v>0.656636406733441</v>
      </c>
      <c r="N1391" s="81" t="n">
        <f aca="true">RAND()</f>
        <v>0.150408648267815</v>
      </c>
      <c r="O1391" s="83" t="n">
        <f aca="false">IF(N1391&lt;(Inputs!$E$26-Inputs!$D$26)/(Inputs!$F$26-Inputs!$D$26),Inputs!$D$26+SQRT(N1391*(Inputs!$F$26-Inputs!$D$26)*(Inputs!$E$26-Inputs!$D$26)),Inputs!$F$26-SQRT((1-N1391)*(Inputs!$F$26-Inputs!$D$26)*(Inputs!$F$26-Inputs!$E$26)))</f>
        <v>0.458202399070824</v>
      </c>
      <c r="P1391" s="81" t="n">
        <f aca="true">RAND()</f>
        <v>0.38231914720741</v>
      </c>
      <c r="Q1391" s="82" t="n">
        <f aca="false">IF(P1391&lt;(Inputs!$E$27-Inputs!$D$27)/(Inputs!$F$27-Inputs!$D$27),Inputs!$D$27+SQRT(P1391*(Inputs!$F$27-Inputs!$D$27)*(Inputs!$E$27-Inputs!$D$27)),Inputs!$F$27-SQRT((1-P1391)*(Inputs!$F$27-Inputs!$D$27)*(Inputs!$F$27-Inputs!$E$27)))</f>
        <v>81.9367470954817</v>
      </c>
      <c r="R1391" s="81" t="n">
        <f aca="true">RAND()</f>
        <v>0.0219083260187937</v>
      </c>
      <c r="S1391" s="82" t="n">
        <f aca="false">IF(R1391&lt;(Inputs!$E$29-Inputs!$D$29)/(Inputs!$F$29-Inputs!$D$29),Inputs!$D$29+SQRT(R1391*(Inputs!$F$29-Inputs!$D$29)*(Inputs!$E$29-Inputs!$D$29)),Inputs!$F$29-SQRT((1-R1391)*(Inputs!$F$29-Inputs!$D$29)*(Inputs!$F$29-Inputs!$E$29)))</f>
        <v>2.9243509694553</v>
      </c>
      <c r="T1391" s="68" t="n">
        <f aca="false">Inputs!$E$9*(1+E1391)+Inputs!$E$5*C1391*(Inputs!$E$11*Inputs!$E$14*(G1391*I1391/Inputs!$E$16+(1-G1391))*K1391+Inputs!$E$23*M1391)*(1+O1391)+Inputs!$E$5*(Q1391+S1391)</f>
        <v>5656.30510280422</v>
      </c>
    </row>
    <row r="1392" customFormat="false" ht="15" hidden="false" customHeight="false" outlineLevel="0" collapsed="false">
      <c r="A1392" s="1" t="n">
        <v>1388</v>
      </c>
      <c r="B1392" s="81" t="n">
        <f aca="true">RAND()</f>
        <v>0.720502245848001</v>
      </c>
      <c r="C1392" s="82" t="n">
        <f aca="false">ROUND(IF(B1392&lt;(Inputs!$E$8-Inputs!$D$8)/(Inputs!$F$8-Inputs!$D$8),Inputs!$D$8+SQRT(B1392*(Inputs!$F$8-Inputs!$D$8)*(Inputs!$E$8-Inputs!$D$8)),Inputs!$F$8-SQRT((1-B1392)*(Inputs!$F$8-Inputs!$D$8)*(Inputs!$F$8-Inputs!$E$8))),0)</f>
        <v>26</v>
      </c>
      <c r="D1392" s="81" t="n">
        <f aca="true">RAND()</f>
        <v>0.688364037076268</v>
      </c>
      <c r="E1392" s="83" t="n">
        <f aca="false">IF(D1392&lt;(Inputs!$E$10-Inputs!$D$10)/(Inputs!$F$10-Inputs!$D$10),Inputs!$D$10+SQRT(D1392*(Inputs!$F$10-Inputs!$D$10)*(Inputs!$E$10-Inputs!$D$10)),Inputs!$F$10-SQRT((1-D1392)*(Inputs!$F$10-Inputs!$D$10)*(Inputs!$F$10-Inputs!$E$10)))</f>
        <v>0.103309365046495</v>
      </c>
      <c r="F1392" s="81" t="n">
        <f aca="true">RAND()</f>
        <v>0.327438604654963</v>
      </c>
      <c r="G1392" s="83" t="n">
        <f aca="false">IF(F1392&lt;(Inputs!$E$15-Inputs!$D$15)/(Inputs!$F$15-Inputs!$D$15),Inputs!$D$15+SQRT(F1392*(Inputs!$F$15-Inputs!$D$15)*(Inputs!$E$15-Inputs!$D$15)),Inputs!$F$15-SQRT((1-F1392)*(Inputs!$F$15-Inputs!$D$15)*(Inputs!$F$15-Inputs!$E$15)))</f>
        <v>0.680924483891461</v>
      </c>
      <c r="H1392" s="81" t="n">
        <f aca="true">RAND()</f>
        <v>0.491794334870971</v>
      </c>
      <c r="I1392" s="82" t="n">
        <f aca="false">ROUND(IF(H1392&lt;(Inputs!$E$17-Inputs!$D$17)/(Inputs!$F$17-Inputs!$D$17),Inputs!$D$17+SQRT(H1392*(Inputs!$F$17-Inputs!$D$17)*(Inputs!$E$17-Inputs!$D$17)),Inputs!$F$17-SQRT((1-H1392)*(Inputs!$F$17-Inputs!$D$17)*(Inputs!$F$17-Inputs!$E$17))),0)</f>
        <v>106</v>
      </c>
      <c r="J1392" s="81" t="n">
        <f aca="true">RAND()</f>
        <v>0.850549926208069</v>
      </c>
      <c r="K1392" s="83" t="n">
        <f aca="false">IF(J1392&lt;(Inputs!$E$18-Inputs!$D$18)/(Inputs!$F$18-Inputs!$D$18),Inputs!$D$18+SQRT(J1392*(Inputs!$F$18-Inputs!$D$18)*(Inputs!$E$18-Inputs!$D$18)),Inputs!$F$18-SQRT((1-J1392)*(Inputs!$F$18-Inputs!$D$18)*(Inputs!$F$18-Inputs!$E$18)))</f>
        <v>1.13564580699951</v>
      </c>
      <c r="L1392" s="81" t="n">
        <f aca="true">RAND()</f>
        <v>0.0400865022297849</v>
      </c>
      <c r="M1392" s="83" t="n">
        <f aca="false">IF(L1392&lt;(Inputs!$E$24-Inputs!$D$24)/(Inputs!$F$24-Inputs!$D$24),Inputs!$D$24+SQRT(L1392*(Inputs!$F$24-Inputs!$D$24)*(Inputs!$E$24-Inputs!$D$24)),Inputs!$F$24-SQRT((1-L1392)*(Inputs!$F$24-Inputs!$D$24)*(Inputs!$F$24-Inputs!$E$24)))</f>
        <v>0.669356904974012</v>
      </c>
      <c r="N1392" s="81" t="n">
        <f aca="true">RAND()</f>
        <v>0.135626003098535</v>
      </c>
      <c r="O1392" s="83" t="n">
        <f aca="false">IF(N1392&lt;(Inputs!$E$26-Inputs!$D$26)/(Inputs!$F$26-Inputs!$D$26),Inputs!$D$26+SQRT(N1392*(Inputs!$F$26-Inputs!$D$26)*(Inputs!$E$26-Inputs!$D$26)),Inputs!$F$26-SQRT((1-N1392)*(Inputs!$F$26-Inputs!$D$26)*(Inputs!$F$26-Inputs!$E$26)))</f>
        <v>0.450227051211146</v>
      </c>
      <c r="P1392" s="81" t="n">
        <f aca="true">RAND()</f>
        <v>0.428264939138678</v>
      </c>
      <c r="Q1392" s="82" t="n">
        <f aca="false">IF(P1392&lt;(Inputs!$E$27-Inputs!$D$27)/(Inputs!$F$27-Inputs!$D$27),Inputs!$D$27+SQRT(P1392*(Inputs!$F$27-Inputs!$D$27)*(Inputs!$E$27-Inputs!$D$27)),Inputs!$F$27-SQRT((1-P1392)*(Inputs!$F$27-Inputs!$D$27)*(Inputs!$F$27-Inputs!$E$27)))</f>
        <v>84.5170788948758</v>
      </c>
      <c r="R1392" s="81" t="n">
        <f aca="true">RAND()</f>
        <v>0.479004134597361</v>
      </c>
      <c r="S1392" s="82" t="n">
        <f aca="false">IF(R1392&lt;(Inputs!$E$29-Inputs!$D$29)/(Inputs!$F$29-Inputs!$D$29),Inputs!$D$29+SQRT(R1392*(Inputs!$F$29-Inputs!$D$29)*(Inputs!$E$29-Inputs!$D$29)),Inputs!$F$29-SQRT((1-R1392)*(Inputs!$F$29-Inputs!$D$29)*(Inputs!$F$29-Inputs!$E$29)))</f>
        <v>6.77020884211859</v>
      </c>
      <c r="T1392" s="68" t="n">
        <f aca="false">Inputs!$E$9*(1+E1392)+Inputs!$E$5*C1392*(Inputs!$E$11*Inputs!$E$14*(G1392*I1392/Inputs!$E$16+(1-G1392))*K1392+Inputs!$E$23*M1392)*(1+O1392)+Inputs!$E$5*(Q1392+S1392)</f>
        <v>6122.34294022778</v>
      </c>
    </row>
    <row r="1393" customFormat="false" ht="15" hidden="false" customHeight="false" outlineLevel="0" collapsed="false">
      <c r="A1393" s="1" t="n">
        <v>1389</v>
      </c>
      <c r="B1393" s="81" t="n">
        <f aca="true">RAND()</f>
        <v>0.701801122716401</v>
      </c>
      <c r="C1393" s="82" t="n">
        <f aca="false">ROUND(IF(B1393&lt;(Inputs!$E$8-Inputs!$D$8)/(Inputs!$F$8-Inputs!$D$8),Inputs!$D$8+SQRT(B1393*(Inputs!$F$8-Inputs!$D$8)*(Inputs!$E$8-Inputs!$D$8)),Inputs!$F$8-SQRT((1-B1393)*(Inputs!$F$8-Inputs!$D$8)*(Inputs!$F$8-Inputs!$E$8))),0)</f>
        <v>26</v>
      </c>
      <c r="D1393" s="81" t="n">
        <f aca="true">RAND()</f>
        <v>0.604195150577158</v>
      </c>
      <c r="E1393" s="83" t="n">
        <f aca="false">IF(D1393&lt;(Inputs!$E$10-Inputs!$D$10)/(Inputs!$F$10-Inputs!$D$10),Inputs!$D$10+SQRT(D1393*(Inputs!$F$10-Inputs!$D$10)*(Inputs!$E$10-Inputs!$D$10)),Inputs!$F$10-SQRT((1-D1393)*(Inputs!$F$10-Inputs!$D$10)*(Inputs!$F$10-Inputs!$E$10)))</f>
        <v>0.0910314472763575</v>
      </c>
      <c r="F1393" s="81" t="n">
        <f aca="true">RAND()</f>
        <v>0.874520968456264</v>
      </c>
      <c r="G1393" s="83" t="n">
        <f aca="false">IF(F1393&lt;(Inputs!$E$15-Inputs!$D$15)/(Inputs!$F$15-Inputs!$D$15),Inputs!$D$15+SQRT(F1393*(Inputs!$F$15-Inputs!$D$15)*(Inputs!$E$15-Inputs!$D$15)),Inputs!$F$15-SQRT((1-F1393)*(Inputs!$F$15-Inputs!$D$15)*(Inputs!$F$15-Inputs!$E$15)))</f>
        <v>0.749904285304283</v>
      </c>
      <c r="H1393" s="81" t="n">
        <f aca="true">RAND()</f>
        <v>0.929489003245312</v>
      </c>
      <c r="I1393" s="82" t="n">
        <f aca="false">ROUND(IF(H1393&lt;(Inputs!$E$17-Inputs!$D$17)/(Inputs!$F$17-Inputs!$D$17),Inputs!$D$17+SQRT(H1393*(Inputs!$F$17-Inputs!$D$17)*(Inputs!$E$17-Inputs!$D$17)),Inputs!$F$17-SQRT((1-H1393)*(Inputs!$F$17-Inputs!$D$17)*(Inputs!$F$17-Inputs!$E$17))),0)</f>
        <v>112</v>
      </c>
      <c r="J1393" s="81" t="n">
        <f aca="true">RAND()</f>
        <v>0.357882166844228</v>
      </c>
      <c r="K1393" s="83" t="n">
        <f aca="false">IF(J1393&lt;(Inputs!$E$18-Inputs!$D$18)/(Inputs!$F$18-Inputs!$D$18),Inputs!$D$18+SQRT(J1393*(Inputs!$F$18-Inputs!$D$18)*(Inputs!$E$18-Inputs!$D$18)),Inputs!$F$18-SQRT((1-J1393)*(Inputs!$F$18-Inputs!$D$18)*(Inputs!$F$18-Inputs!$E$18)))</f>
        <v>1.01296559236868</v>
      </c>
      <c r="L1393" s="81" t="n">
        <f aca="true">RAND()</f>
        <v>0.532132266743542</v>
      </c>
      <c r="M1393" s="83" t="n">
        <f aca="false">IF(L1393&lt;(Inputs!$E$24-Inputs!$D$24)/(Inputs!$F$24-Inputs!$D$24),Inputs!$D$24+SQRT(L1393*(Inputs!$F$24-Inputs!$D$24)*(Inputs!$E$24-Inputs!$D$24)),Inputs!$F$24-SQRT((1-L1393)*(Inputs!$F$24-Inputs!$D$24)*(Inputs!$F$24-Inputs!$E$24)))</f>
        <v>0.864905601387386</v>
      </c>
      <c r="N1393" s="81" t="n">
        <f aca="true">RAND()</f>
        <v>0.984165164098629</v>
      </c>
      <c r="O1393" s="83" t="n">
        <f aca="false">IF(N1393&lt;(Inputs!$E$26-Inputs!$D$26)/(Inputs!$F$26-Inputs!$D$26),Inputs!$D$26+SQRT(N1393*(Inputs!$F$26-Inputs!$D$26)*(Inputs!$E$26-Inputs!$D$26)),Inputs!$F$26-SQRT((1-N1393)*(Inputs!$F$26-Inputs!$D$26)*(Inputs!$F$26-Inputs!$E$26)))</f>
        <v>0.779418933802294</v>
      </c>
      <c r="P1393" s="81" t="n">
        <f aca="true">RAND()</f>
        <v>0.950838774363942</v>
      </c>
      <c r="Q1393" s="82" t="n">
        <f aca="false">IF(P1393&lt;(Inputs!$E$27-Inputs!$D$27)/(Inputs!$F$27-Inputs!$D$27),Inputs!$D$27+SQRT(P1393*(Inputs!$F$27-Inputs!$D$27)*(Inputs!$E$27-Inputs!$D$27)),Inputs!$F$27-SQRT((1-P1393)*(Inputs!$F$27-Inputs!$D$27)*(Inputs!$F$27-Inputs!$E$27)))</f>
        <v>130.798198202501</v>
      </c>
      <c r="R1393" s="81" t="n">
        <f aca="true">RAND()</f>
        <v>0.929793738776838</v>
      </c>
      <c r="S1393" s="82" t="n">
        <f aca="false">IF(R1393&lt;(Inputs!$E$29-Inputs!$D$29)/(Inputs!$F$29-Inputs!$D$29),Inputs!$D$29+SQRT(R1393*(Inputs!$F$29-Inputs!$D$29)*(Inputs!$E$29-Inputs!$D$29)),Inputs!$F$29-SQRT((1-R1393)*(Inputs!$F$29-Inputs!$D$29)*(Inputs!$F$29-Inputs!$E$29)))</f>
        <v>11.9789382728896</v>
      </c>
      <c r="T1393" s="68" t="n">
        <f aca="false">Inputs!$E$9*(1+E1393)+Inputs!$E$5*C1393*(Inputs!$E$11*Inputs!$E$14*(G1393*I1393/Inputs!$E$16+(1-G1393))*K1393+Inputs!$E$23*M1393)*(1+O1393)+Inputs!$E$5*(Q1393+S1393)</f>
        <v>7081.92738256497</v>
      </c>
    </row>
    <row r="1394" customFormat="false" ht="15" hidden="false" customHeight="false" outlineLevel="0" collapsed="false">
      <c r="A1394" s="1" t="n">
        <v>1390</v>
      </c>
      <c r="B1394" s="81" t="n">
        <f aca="true">RAND()</f>
        <v>0.49294188779167</v>
      </c>
      <c r="C1394" s="82" t="n">
        <f aca="false">ROUND(IF(B1394&lt;(Inputs!$E$8-Inputs!$D$8)/(Inputs!$F$8-Inputs!$D$8),Inputs!$D$8+SQRT(B1394*(Inputs!$F$8-Inputs!$D$8)*(Inputs!$E$8-Inputs!$D$8)),Inputs!$F$8-SQRT((1-B1394)*(Inputs!$F$8-Inputs!$D$8)*(Inputs!$F$8-Inputs!$E$8))),0)</f>
        <v>25</v>
      </c>
      <c r="D1394" s="81" t="n">
        <f aca="true">RAND()</f>
        <v>0.0635205749096432</v>
      </c>
      <c r="E1394" s="83" t="n">
        <f aca="false">IF(D1394&lt;(Inputs!$E$10-Inputs!$D$10)/(Inputs!$F$10-Inputs!$D$10),Inputs!$D$10+SQRT(D1394*(Inputs!$F$10-Inputs!$D$10)*(Inputs!$E$10-Inputs!$D$10)),Inputs!$F$10-SQRT((1-D1394)*(Inputs!$F$10-Inputs!$D$10)*(Inputs!$F$10-Inputs!$E$10)))</f>
        <v>0.0252032884579856</v>
      </c>
      <c r="F1394" s="81" t="n">
        <f aca="true">RAND()</f>
        <v>0.653316959207295</v>
      </c>
      <c r="G1394" s="83" t="n">
        <f aca="false">IF(F1394&lt;(Inputs!$E$15-Inputs!$D$15)/(Inputs!$F$15-Inputs!$D$15),Inputs!$D$15+SQRT(F1394*(Inputs!$F$15-Inputs!$D$15)*(Inputs!$E$15-Inputs!$D$15)),Inputs!$F$15-SQRT((1-F1394)*(Inputs!$F$15-Inputs!$D$15)*(Inputs!$F$15-Inputs!$E$15)))</f>
        <v>0.716731393575645</v>
      </c>
      <c r="H1394" s="81" t="n">
        <f aca="true">RAND()</f>
        <v>0.130840385397947</v>
      </c>
      <c r="I1394" s="82" t="n">
        <f aca="false">ROUND(IF(H1394&lt;(Inputs!$E$17-Inputs!$D$17)/(Inputs!$F$17-Inputs!$D$17),Inputs!$D$17+SQRT(H1394*(Inputs!$F$17-Inputs!$D$17)*(Inputs!$E$17-Inputs!$D$17)),Inputs!$F$17-SQRT((1-H1394)*(Inputs!$F$17-Inputs!$D$17)*(Inputs!$F$17-Inputs!$E$17))),0)</f>
        <v>103</v>
      </c>
      <c r="J1394" s="81" t="n">
        <f aca="true">RAND()</f>
        <v>0.946746847462215</v>
      </c>
      <c r="K1394" s="83" t="n">
        <f aca="false">IF(J1394&lt;(Inputs!$E$18-Inputs!$D$18)/(Inputs!$F$18-Inputs!$D$18),Inputs!$D$18+SQRT(J1394*(Inputs!$F$18-Inputs!$D$18)*(Inputs!$E$18-Inputs!$D$18)),Inputs!$F$18-SQRT((1-J1394)*(Inputs!$F$18-Inputs!$D$18)*(Inputs!$F$18-Inputs!$E$18)))</f>
        <v>1.18173836474962</v>
      </c>
      <c r="L1394" s="81" t="n">
        <f aca="true">RAND()</f>
        <v>0.297107868144716</v>
      </c>
      <c r="M1394" s="83" t="n">
        <f aca="false">IF(L1394&lt;(Inputs!$E$24-Inputs!$D$24)/(Inputs!$F$24-Inputs!$D$24),Inputs!$D$24+SQRT(L1394*(Inputs!$F$24-Inputs!$D$24)*(Inputs!$E$24-Inputs!$D$24)),Inputs!$F$24-SQRT((1-L1394)*(Inputs!$F$24-Inputs!$D$24)*(Inputs!$F$24-Inputs!$E$24)))</f>
        <v>0.788819872305237</v>
      </c>
      <c r="N1394" s="81" t="n">
        <f aca="true">RAND()</f>
        <v>0.765206751326454</v>
      </c>
      <c r="O1394" s="83" t="n">
        <f aca="false">IF(N1394&lt;(Inputs!$E$26-Inputs!$D$26)/(Inputs!$F$26-Inputs!$D$26),Inputs!$D$26+SQRT(N1394*(Inputs!$F$26-Inputs!$D$26)*(Inputs!$E$26-Inputs!$D$26)),Inputs!$F$26-SQRT((1-N1394)*(Inputs!$F$26-Inputs!$D$26)*(Inputs!$F$26-Inputs!$E$26)))</f>
        <v>0.663735807486012</v>
      </c>
      <c r="P1394" s="81" t="n">
        <f aca="true">RAND()</f>
        <v>0.377587141123057</v>
      </c>
      <c r="Q1394" s="82" t="n">
        <f aca="false">IF(P1394&lt;(Inputs!$E$27-Inputs!$D$27)/(Inputs!$F$27-Inputs!$D$27),Inputs!$D$27+SQRT(P1394*(Inputs!$F$27-Inputs!$D$27)*(Inputs!$E$27-Inputs!$D$27)),Inputs!$F$27-SQRT((1-P1394)*(Inputs!$F$27-Inputs!$D$27)*(Inputs!$F$27-Inputs!$E$27)))</f>
        <v>81.6765308142431</v>
      </c>
      <c r="R1394" s="81" t="n">
        <f aca="true">RAND()</f>
        <v>0.791887690956911</v>
      </c>
      <c r="S1394" s="82" t="n">
        <f aca="false">IF(R1394&lt;(Inputs!$E$29-Inputs!$D$29)/(Inputs!$F$29-Inputs!$D$29),Inputs!$D$29+SQRT(R1394*(Inputs!$F$29-Inputs!$D$29)*(Inputs!$E$29-Inputs!$D$29)),Inputs!$F$29-SQRT((1-R1394)*(Inputs!$F$29-Inputs!$D$29)*(Inputs!$F$29-Inputs!$E$29)))</f>
        <v>9.79859632641327</v>
      </c>
      <c r="T1394" s="68" t="n">
        <f aca="false">Inputs!$E$9*(1+E1394)+Inputs!$E$5*C1394*(Inputs!$E$11*Inputs!$E$14*(G1394*I1394/Inputs!$E$16+(1-G1394))*K1394+Inputs!$E$23*M1394)*(1+O1394)+Inputs!$E$5*(Q1394+S1394)</f>
        <v>6465.33717331108</v>
      </c>
    </row>
    <row r="1395" customFormat="false" ht="15" hidden="false" customHeight="false" outlineLevel="0" collapsed="false">
      <c r="A1395" s="1" t="n">
        <v>1391</v>
      </c>
      <c r="B1395" s="81" t="n">
        <f aca="true">RAND()</f>
        <v>0.154807903675942</v>
      </c>
      <c r="C1395" s="82" t="n">
        <f aca="false">ROUND(IF(B1395&lt;(Inputs!$E$8-Inputs!$D$8)/(Inputs!$F$8-Inputs!$D$8),Inputs!$D$8+SQRT(B1395*(Inputs!$F$8-Inputs!$D$8)*(Inputs!$E$8-Inputs!$D$8)),Inputs!$F$8-SQRT((1-B1395)*(Inputs!$F$8-Inputs!$D$8)*(Inputs!$F$8-Inputs!$E$8))),0)</f>
        <v>23</v>
      </c>
      <c r="D1395" s="81" t="n">
        <f aca="true">RAND()</f>
        <v>0.10349086325147</v>
      </c>
      <c r="E1395" s="83" t="n">
        <f aca="false">IF(D1395&lt;(Inputs!$E$10-Inputs!$D$10)/(Inputs!$F$10-Inputs!$D$10),Inputs!$D$10+SQRT(D1395*(Inputs!$F$10-Inputs!$D$10)*(Inputs!$E$10-Inputs!$D$10)),Inputs!$F$10-SQRT((1-D1395)*(Inputs!$F$10-Inputs!$D$10)*(Inputs!$F$10-Inputs!$E$10)))</f>
        <v>0.032169995842628</v>
      </c>
      <c r="F1395" s="81" t="n">
        <f aca="true">RAND()</f>
        <v>0.542934165222505</v>
      </c>
      <c r="G1395" s="83" t="n">
        <f aca="false">IF(F1395&lt;(Inputs!$E$15-Inputs!$D$15)/(Inputs!$F$15-Inputs!$D$15),Inputs!$D$15+SQRT(F1395*(Inputs!$F$15-Inputs!$D$15)*(Inputs!$E$15-Inputs!$D$15)),Inputs!$F$15-SQRT((1-F1395)*(Inputs!$F$15-Inputs!$D$15)*(Inputs!$F$15-Inputs!$E$15)))</f>
        <v>0.704389766784356</v>
      </c>
      <c r="H1395" s="81" t="n">
        <f aca="true">RAND()</f>
        <v>0.541988236558011</v>
      </c>
      <c r="I1395" s="82" t="n">
        <f aca="false">ROUND(IF(H1395&lt;(Inputs!$E$17-Inputs!$D$17)/(Inputs!$F$17-Inputs!$D$17),Inputs!$D$17+SQRT(H1395*(Inputs!$F$17-Inputs!$D$17)*(Inputs!$E$17-Inputs!$D$17)),Inputs!$F$17-SQRT((1-H1395)*(Inputs!$F$17-Inputs!$D$17)*(Inputs!$F$17-Inputs!$E$17))),0)</f>
        <v>107</v>
      </c>
      <c r="J1395" s="81" t="n">
        <f aca="true">RAND()</f>
        <v>0.443777769771601</v>
      </c>
      <c r="K1395" s="83" t="n">
        <f aca="false">IF(J1395&lt;(Inputs!$E$18-Inputs!$D$18)/(Inputs!$F$18-Inputs!$D$18),Inputs!$D$18+SQRT(J1395*(Inputs!$F$18-Inputs!$D$18)*(Inputs!$E$18-Inputs!$D$18)),Inputs!$F$18-SQRT((1-J1395)*(Inputs!$F$18-Inputs!$D$18)*(Inputs!$F$18-Inputs!$E$18)))</f>
        <v>1.02938847458715</v>
      </c>
      <c r="L1395" s="81" t="n">
        <f aca="true">RAND()</f>
        <v>0.794208993939463</v>
      </c>
      <c r="M1395" s="83" t="n">
        <f aca="false">IF(L1395&lt;(Inputs!$E$24-Inputs!$D$24)/(Inputs!$F$24-Inputs!$D$24),Inputs!$D$24+SQRT(L1395*(Inputs!$F$24-Inputs!$D$24)*(Inputs!$E$24-Inputs!$D$24)),Inputs!$F$24-SQRT((1-L1395)*(Inputs!$F$24-Inputs!$D$24)*(Inputs!$F$24-Inputs!$E$24)))</f>
        <v>0.977761746194475</v>
      </c>
      <c r="N1395" s="81" t="n">
        <f aca="true">RAND()</f>
        <v>0.55435594364757</v>
      </c>
      <c r="O1395" s="83" t="n">
        <f aca="false">IF(N1395&lt;(Inputs!$E$26-Inputs!$D$26)/(Inputs!$F$26-Inputs!$D$26),Inputs!$D$26+SQRT(N1395*(Inputs!$F$26-Inputs!$D$26)*(Inputs!$E$26-Inputs!$D$26)),Inputs!$F$26-SQRT((1-N1395)*(Inputs!$F$26-Inputs!$D$26)*(Inputs!$F$26-Inputs!$E$26)))</f>
        <v>0.603718338305338</v>
      </c>
      <c r="P1395" s="81" t="n">
        <f aca="true">RAND()</f>
        <v>0.0754779185764899</v>
      </c>
      <c r="Q1395" s="82" t="n">
        <f aca="false">IF(P1395&lt;(Inputs!$E$27-Inputs!$D$27)/(Inputs!$F$27-Inputs!$D$27),Inputs!$D$27+SQRT(P1395*(Inputs!$F$27-Inputs!$D$27)*(Inputs!$E$27-Inputs!$D$27)),Inputs!$F$27-SQRT((1-P1395)*(Inputs!$F$27-Inputs!$D$27)*(Inputs!$F$27-Inputs!$E$27)))</f>
        <v>63.7366224539086</v>
      </c>
      <c r="R1395" s="81" t="n">
        <f aca="true">RAND()</f>
        <v>0.274579641855386</v>
      </c>
      <c r="S1395" s="82" t="n">
        <f aca="false">IF(R1395&lt;(Inputs!$E$29-Inputs!$D$29)/(Inputs!$F$29-Inputs!$D$29),Inputs!$D$29+SQRT(R1395*(Inputs!$F$29-Inputs!$D$29)*(Inputs!$E$29-Inputs!$D$29)),Inputs!$F$29-SQRT((1-R1395)*(Inputs!$F$29-Inputs!$D$29)*(Inputs!$F$29-Inputs!$E$29)))</f>
        <v>5.28894204739773</v>
      </c>
      <c r="T1395" s="68" t="n">
        <f aca="false">Inputs!$E$9*(1+E1395)+Inputs!$E$5*C1395*(Inputs!$E$11*Inputs!$E$14*(G1395*I1395/Inputs!$E$16+(1-G1395))*K1395+Inputs!$E$23*M1395)*(1+O1395)+Inputs!$E$5*(Q1395+S1395)</f>
        <v>5957.38422644331</v>
      </c>
    </row>
    <row r="1396" customFormat="false" ht="15" hidden="false" customHeight="false" outlineLevel="0" collapsed="false">
      <c r="A1396" s="1" t="n">
        <v>1392</v>
      </c>
      <c r="B1396" s="81" t="n">
        <f aca="true">RAND()</f>
        <v>0.963826576066693</v>
      </c>
      <c r="C1396" s="82" t="n">
        <f aca="false">ROUND(IF(B1396&lt;(Inputs!$E$8-Inputs!$D$8)/(Inputs!$F$8-Inputs!$D$8),Inputs!$D$8+SQRT(B1396*(Inputs!$F$8-Inputs!$D$8)*(Inputs!$E$8-Inputs!$D$8)),Inputs!$F$8-SQRT((1-B1396)*(Inputs!$F$8-Inputs!$D$8)*(Inputs!$F$8-Inputs!$E$8))),0)</f>
        <v>29</v>
      </c>
      <c r="D1396" s="81" t="n">
        <f aca="true">RAND()</f>
        <v>0.590397091769426</v>
      </c>
      <c r="E1396" s="83" t="n">
        <f aca="false">IF(D1396&lt;(Inputs!$E$10-Inputs!$D$10)/(Inputs!$F$10-Inputs!$D$10),Inputs!$D$10+SQRT(D1396*(Inputs!$F$10-Inputs!$D$10)*(Inputs!$E$10-Inputs!$D$10)),Inputs!$F$10-SQRT((1-D1396)*(Inputs!$F$10-Inputs!$D$10)*(Inputs!$F$10-Inputs!$E$10)))</f>
        <v>0.0891483547847971</v>
      </c>
      <c r="F1396" s="81" t="n">
        <f aca="true">RAND()</f>
        <v>0.716704726828957</v>
      </c>
      <c r="G1396" s="83" t="n">
        <f aca="false">IF(F1396&lt;(Inputs!$E$15-Inputs!$D$15)/(Inputs!$F$15-Inputs!$D$15),Inputs!$D$15+SQRT(F1396*(Inputs!$F$15-Inputs!$D$15)*(Inputs!$E$15-Inputs!$D$15)),Inputs!$F$15-SQRT((1-F1396)*(Inputs!$F$15-Inputs!$D$15)*(Inputs!$F$15-Inputs!$E$15)))</f>
        <v>0.724727790895837</v>
      </c>
      <c r="H1396" s="81" t="n">
        <f aca="true">RAND()</f>
        <v>0.997445246797347</v>
      </c>
      <c r="I1396" s="82" t="n">
        <f aca="false">ROUND(IF(H1396&lt;(Inputs!$E$17-Inputs!$D$17)/(Inputs!$F$17-Inputs!$D$17),Inputs!$D$17+SQRT(H1396*(Inputs!$F$17-Inputs!$D$17)*(Inputs!$E$17-Inputs!$D$17)),Inputs!$F$17-SQRT((1-H1396)*(Inputs!$F$17-Inputs!$D$17)*(Inputs!$F$17-Inputs!$E$17))),0)</f>
        <v>114</v>
      </c>
      <c r="J1396" s="81" t="n">
        <f aca="true">RAND()</f>
        <v>0.0964710416536806</v>
      </c>
      <c r="K1396" s="83" t="n">
        <f aca="false">IF(J1396&lt;(Inputs!$E$18-Inputs!$D$18)/(Inputs!$F$18-Inputs!$D$18),Inputs!$D$18+SQRT(J1396*(Inputs!$F$18-Inputs!$D$18)*(Inputs!$E$18-Inputs!$D$18)),Inputs!$F$18-SQRT((1-J1396)*(Inputs!$F$18-Inputs!$D$18)*(Inputs!$F$18-Inputs!$E$18)))</f>
        <v>0.958107542177232</v>
      </c>
      <c r="L1396" s="81" t="n">
        <f aca="true">RAND()</f>
        <v>0.235366164150408</v>
      </c>
      <c r="M1396" s="83" t="n">
        <f aca="false">IF(L1396&lt;(Inputs!$E$24-Inputs!$D$24)/(Inputs!$F$24-Inputs!$D$24),Inputs!$D$24+SQRT(L1396*(Inputs!$F$24-Inputs!$D$24)*(Inputs!$E$24-Inputs!$D$24)),Inputs!$F$24-SQRT((1-L1396)*(Inputs!$F$24-Inputs!$D$24)*(Inputs!$F$24-Inputs!$E$24)))</f>
        <v>0.768059333861732</v>
      </c>
      <c r="N1396" s="81" t="n">
        <f aca="true">RAND()</f>
        <v>0.219902897327576</v>
      </c>
      <c r="O1396" s="83" t="n">
        <f aca="false">IF(N1396&lt;(Inputs!$E$26-Inputs!$D$26)/(Inputs!$F$26-Inputs!$D$26),Inputs!$D$26+SQRT(N1396*(Inputs!$F$26-Inputs!$D$26)*(Inputs!$E$26-Inputs!$D$26)),Inputs!$F$26-SQRT((1-N1396)*(Inputs!$F$26-Inputs!$D$26)*(Inputs!$F$26-Inputs!$E$26)))</f>
        <v>0.491289942535693</v>
      </c>
      <c r="P1396" s="81" t="n">
        <f aca="true">RAND()</f>
        <v>0.27774908141603</v>
      </c>
      <c r="Q1396" s="82" t="n">
        <f aca="false">IF(P1396&lt;(Inputs!$E$27-Inputs!$D$27)/(Inputs!$F$27-Inputs!$D$27),Inputs!$D$27+SQRT(P1396*(Inputs!$F$27-Inputs!$D$27)*(Inputs!$E$27-Inputs!$D$27)),Inputs!$F$27-SQRT((1-P1396)*(Inputs!$F$27-Inputs!$D$27)*(Inputs!$F$27-Inputs!$E$27)))</f>
        <v>76.4005306447134</v>
      </c>
      <c r="R1396" s="81" t="n">
        <f aca="true">RAND()</f>
        <v>0.161049895349415</v>
      </c>
      <c r="S1396" s="82" t="n">
        <f aca="false">IF(R1396&lt;(Inputs!$E$29-Inputs!$D$29)/(Inputs!$F$29-Inputs!$D$29),Inputs!$D$29+SQRT(R1396*(Inputs!$F$29-Inputs!$D$29)*(Inputs!$E$29-Inputs!$D$29)),Inputs!$F$29-SQRT((1-R1396)*(Inputs!$F$29-Inputs!$D$29)*(Inputs!$F$29-Inputs!$E$29)))</f>
        <v>4.50618154143453</v>
      </c>
      <c r="T1396" s="68" t="n">
        <f aca="false">Inputs!$E$9*(1+E1396)+Inputs!$E$5*C1396*(Inputs!$E$11*Inputs!$E$14*(G1396*I1396/Inputs!$E$16+(1-G1396))*K1396+Inputs!$E$23*M1396)*(1+O1396)+Inputs!$E$5*(Q1396+S1396)</f>
        <v>6288.38473911027</v>
      </c>
    </row>
    <row r="1397" customFormat="false" ht="15" hidden="false" customHeight="false" outlineLevel="0" collapsed="false">
      <c r="A1397" s="1" t="n">
        <v>1393</v>
      </c>
      <c r="B1397" s="81" t="n">
        <f aca="true">RAND()</f>
        <v>0.902102652730214</v>
      </c>
      <c r="C1397" s="82" t="n">
        <f aca="false">ROUND(IF(B1397&lt;(Inputs!$E$8-Inputs!$D$8)/(Inputs!$F$8-Inputs!$D$8),Inputs!$D$8+SQRT(B1397*(Inputs!$F$8-Inputs!$D$8)*(Inputs!$E$8-Inputs!$D$8)),Inputs!$F$8-SQRT((1-B1397)*(Inputs!$F$8-Inputs!$D$8)*(Inputs!$F$8-Inputs!$E$8))),0)</f>
        <v>28</v>
      </c>
      <c r="D1397" s="81" t="n">
        <f aca="true">RAND()</f>
        <v>0.717253757999462</v>
      </c>
      <c r="E1397" s="83" t="n">
        <f aca="false">IF(D1397&lt;(Inputs!$E$10-Inputs!$D$10)/(Inputs!$F$10-Inputs!$D$10),Inputs!$D$10+SQRT(D1397*(Inputs!$F$10-Inputs!$D$10)*(Inputs!$E$10-Inputs!$D$10)),Inputs!$F$10-SQRT((1-D1397)*(Inputs!$F$10-Inputs!$D$10)*(Inputs!$F$10-Inputs!$E$10)))</f>
        <v>0.107900123452764</v>
      </c>
      <c r="F1397" s="81" t="n">
        <f aca="true">RAND()</f>
        <v>0.128154457652424</v>
      </c>
      <c r="G1397" s="83" t="n">
        <f aca="false">IF(F1397&lt;(Inputs!$E$15-Inputs!$D$15)/(Inputs!$F$15-Inputs!$D$15),Inputs!$D$15+SQRT(F1397*(Inputs!$F$15-Inputs!$D$15)*(Inputs!$E$15-Inputs!$D$15)),Inputs!$F$15-SQRT((1-F1397)*(Inputs!$F$15-Inputs!$D$15)*(Inputs!$F$15-Inputs!$E$15)))</f>
        <v>0.650626960732879</v>
      </c>
      <c r="H1397" s="81" t="n">
        <f aca="true">RAND()</f>
        <v>0.959860989993983</v>
      </c>
      <c r="I1397" s="82" t="n">
        <f aca="false">ROUND(IF(H1397&lt;(Inputs!$E$17-Inputs!$D$17)/(Inputs!$F$17-Inputs!$D$17),Inputs!$D$17+SQRT(H1397*(Inputs!$F$17-Inputs!$D$17)*(Inputs!$E$17-Inputs!$D$17)),Inputs!$F$17-SQRT((1-H1397)*(Inputs!$F$17-Inputs!$D$17)*(Inputs!$F$17-Inputs!$E$17))),0)</f>
        <v>113</v>
      </c>
      <c r="J1397" s="81" t="n">
        <f aca="true">RAND()</f>
        <v>0.364184940629877</v>
      </c>
      <c r="K1397" s="83" t="n">
        <f aca="false">IF(J1397&lt;(Inputs!$E$18-Inputs!$D$18)/(Inputs!$F$18-Inputs!$D$18),Inputs!$D$18+SQRT(J1397*(Inputs!$F$18-Inputs!$D$18)*(Inputs!$E$18-Inputs!$D$18)),Inputs!$F$18-SQRT((1-J1397)*(Inputs!$F$18-Inputs!$D$18)*(Inputs!$F$18-Inputs!$E$18)))</f>
        <v>1.01413177896358</v>
      </c>
      <c r="L1397" s="81" t="n">
        <f aca="true">RAND()</f>
        <v>0.471225878689606</v>
      </c>
      <c r="M1397" s="83" t="n">
        <f aca="false">IF(L1397&lt;(Inputs!$E$24-Inputs!$D$24)/(Inputs!$F$24-Inputs!$D$24),Inputs!$D$24+SQRT(L1397*(Inputs!$F$24-Inputs!$D$24)*(Inputs!$E$24-Inputs!$D$24)),Inputs!$F$24-SQRT((1-L1397)*(Inputs!$F$24-Inputs!$D$24)*(Inputs!$F$24-Inputs!$E$24)))</f>
        <v>0.843761611958376</v>
      </c>
      <c r="N1397" s="81" t="n">
        <f aca="true">RAND()</f>
        <v>0.698911178117661</v>
      </c>
      <c r="O1397" s="83" t="n">
        <f aca="false">IF(N1397&lt;(Inputs!$E$26-Inputs!$D$26)/(Inputs!$F$26-Inputs!$D$26),Inputs!$D$26+SQRT(N1397*(Inputs!$F$26-Inputs!$D$26)*(Inputs!$E$26-Inputs!$D$26)),Inputs!$F$26-SQRT((1-N1397)*(Inputs!$F$26-Inputs!$D$26)*(Inputs!$F$26-Inputs!$E$26)))</f>
        <v>0.643044532506726</v>
      </c>
      <c r="P1397" s="81" t="n">
        <f aca="true">RAND()</f>
        <v>0.378704543183055</v>
      </c>
      <c r="Q1397" s="82" t="n">
        <f aca="false">IF(P1397&lt;(Inputs!$E$27-Inputs!$D$27)/(Inputs!$F$27-Inputs!$D$27),Inputs!$D$27+SQRT(P1397*(Inputs!$F$27-Inputs!$D$27)*(Inputs!$E$27-Inputs!$D$27)),Inputs!$F$27-SQRT((1-P1397)*(Inputs!$F$27-Inputs!$D$27)*(Inputs!$F$27-Inputs!$E$27)))</f>
        <v>81.7378880627981</v>
      </c>
      <c r="R1397" s="81" t="n">
        <f aca="true">RAND()</f>
        <v>0.6113298678374</v>
      </c>
      <c r="S1397" s="82" t="n">
        <f aca="false">IF(R1397&lt;(Inputs!$E$29-Inputs!$D$29)/(Inputs!$F$29-Inputs!$D$29),Inputs!$D$29+SQRT(R1397*(Inputs!$F$29-Inputs!$D$29)*(Inputs!$E$29-Inputs!$D$29)),Inputs!$F$29-SQRT((1-R1397)*(Inputs!$F$29-Inputs!$D$29)*(Inputs!$F$29-Inputs!$E$29)))</f>
        <v>7.89175709607937</v>
      </c>
      <c r="T1397" s="68" t="n">
        <f aca="false">Inputs!$E$9*(1+E1397)+Inputs!$E$5*C1397*(Inputs!$E$11*Inputs!$E$14*(G1397*I1397/Inputs!$E$16+(1-G1397))*K1397+Inputs!$E$23*M1397)*(1+O1397)+Inputs!$E$5*(Q1397+S1397)</f>
        <v>6952.65435059438</v>
      </c>
    </row>
    <row r="1398" customFormat="false" ht="15" hidden="false" customHeight="false" outlineLevel="0" collapsed="false">
      <c r="A1398" s="1" t="n">
        <v>1394</v>
      </c>
      <c r="B1398" s="81" t="n">
        <f aca="true">RAND()</f>
        <v>0.4239365823087</v>
      </c>
      <c r="C1398" s="82" t="n">
        <f aca="false">ROUND(IF(B1398&lt;(Inputs!$E$8-Inputs!$D$8)/(Inputs!$F$8-Inputs!$D$8),Inputs!$D$8+SQRT(B1398*(Inputs!$F$8-Inputs!$D$8)*(Inputs!$E$8-Inputs!$D$8)),Inputs!$F$8-SQRT((1-B1398)*(Inputs!$F$8-Inputs!$D$8)*(Inputs!$F$8-Inputs!$E$8))),0)</f>
        <v>25</v>
      </c>
      <c r="D1398" s="81" t="n">
        <f aca="true">RAND()</f>
        <v>0.00728183826643783</v>
      </c>
      <c r="E1398" s="83" t="n">
        <f aca="false">IF(D1398&lt;(Inputs!$E$10-Inputs!$D$10)/(Inputs!$F$10-Inputs!$D$10),Inputs!$D$10+SQRT(D1398*(Inputs!$F$10-Inputs!$D$10)*(Inputs!$E$10-Inputs!$D$10)),Inputs!$F$10-SQRT((1-D1398)*(Inputs!$F$10-Inputs!$D$10)*(Inputs!$F$10-Inputs!$E$10)))</f>
        <v>0.00853336877583398</v>
      </c>
      <c r="F1398" s="81" t="n">
        <f aca="true">RAND()</f>
        <v>0.600001394825513</v>
      </c>
      <c r="G1398" s="83" t="n">
        <f aca="false">IF(F1398&lt;(Inputs!$E$15-Inputs!$D$15)/(Inputs!$F$15-Inputs!$D$15),Inputs!$D$15+SQRT(F1398*(Inputs!$F$15-Inputs!$D$15)*(Inputs!$E$15-Inputs!$D$15)),Inputs!$F$15-SQRT((1-F1398)*(Inputs!$F$15-Inputs!$D$15)*(Inputs!$F$15-Inputs!$E$15)))</f>
        <v>0.710557436846378</v>
      </c>
      <c r="H1398" s="81" t="n">
        <f aca="true">RAND()</f>
        <v>0.80082439076285</v>
      </c>
      <c r="I1398" s="82" t="n">
        <f aca="false">ROUND(IF(H1398&lt;(Inputs!$E$17-Inputs!$D$17)/(Inputs!$F$17-Inputs!$D$17),Inputs!$D$17+SQRT(H1398*(Inputs!$F$17-Inputs!$D$17)*(Inputs!$E$17-Inputs!$D$17)),Inputs!$F$17-SQRT((1-H1398)*(Inputs!$F$17-Inputs!$D$17)*(Inputs!$F$17-Inputs!$E$17))),0)</f>
        <v>110</v>
      </c>
      <c r="J1398" s="81" t="n">
        <f aca="true">RAND()</f>
        <v>0.511874118163503</v>
      </c>
      <c r="K1398" s="83" t="n">
        <f aca="false">IF(J1398&lt;(Inputs!$E$18-Inputs!$D$18)/(Inputs!$F$18-Inputs!$D$18),Inputs!$D$18+SQRT(J1398*(Inputs!$F$18-Inputs!$D$18)*(Inputs!$E$18-Inputs!$D$18)),Inputs!$F$18-SQRT((1-J1398)*(Inputs!$F$18-Inputs!$D$18)*(Inputs!$F$18-Inputs!$E$18)))</f>
        <v>1.04333356668125</v>
      </c>
      <c r="L1398" s="81" t="n">
        <f aca="true">RAND()</f>
        <v>0.357127873799755</v>
      </c>
      <c r="M1398" s="83" t="n">
        <f aca="false">IF(L1398&lt;(Inputs!$E$24-Inputs!$D$24)/(Inputs!$F$24-Inputs!$D$24),Inputs!$D$24+SQRT(L1398*(Inputs!$F$24-Inputs!$D$24)*(Inputs!$E$24-Inputs!$D$24)),Inputs!$F$24-SQRT((1-L1398)*(Inputs!$F$24-Inputs!$D$24)*(Inputs!$F$24-Inputs!$E$24)))</f>
        <v>0.807203220114957</v>
      </c>
      <c r="N1398" s="81" t="n">
        <f aca="true">RAND()</f>
        <v>0.791347804263088</v>
      </c>
      <c r="O1398" s="83" t="n">
        <f aca="false">IF(N1398&lt;(Inputs!$E$26-Inputs!$D$26)/(Inputs!$F$26-Inputs!$D$26),Inputs!$D$26+SQRT(N1398*(Inputs!$F$26-Inputs!$D$26)*(Inputs!$E$26-Inputs!$D$26)),Inputs!$F$26-SQRT((1-N1398)*(Inputs!$F$26-Inputs!$D$26)*(Inputs!$F$26-Inputs!$E$26)))</f>
        <v>0.672691383970119</v>
      </c>
      <c r="P1398" s="81" t="n">
        <f aca="true">RAND()</f>
        <v>0.529881820686717</v>
      </c>
      <c r="Q1398" s="82" t="n">
        <f aca="false">IF(P1398&lt;(Inputs!$E$27-Inputs!$D$27)/(Inputs!$F$27-Inputs!$D$27),Inputs!$D$27+SQRT(P1398*(Inputs!$F$27-Inputs!$D$27)*(Inputs!$E$27-Inputs!$D$27)),Inputs!$F$27-SQRT((1-P1398)*(Inputs!$F$27-Inputs!$D$27)*(Inputs!$F$27-Inputs!$E$27)))</f>
        <v>90.6208256637933</v>
      </c>
      <c r="R1398" s="81" t="n">
        <f aca="true">RAND()</f>
        <v>0.515606303817112</v>
      </c>
      <c r="S1398" s="82" t="n">
        <f aca="false">IF(R1398&lt;(Inputs!$E$29-Inputs!$D$29)/(Inputs!$F$29-Inputs!$D$29),Inputs!$D$29+SQRT(R1398*(Inputs!$F$29-Inputs!$D$29)*(Inputs!$E$29-Inputs!$D$29)),Inputs!$F$29-SQRT((1-R1398)*(Inputs!$F$29-Inputs!$D$29)*(Inputs!$F$29-Inputs!$E$29)))</f>
        <v>7.06456173209221</v>
      </c>
      <c r="T1398" s="68" t="n">
        <f aca="false">Inputs!$E$9*(1+E1398)+Inputs!$E$5*C1398*(Inputs!$E$11*Inputs!$E$14*(G1398*I1398/Inputs!$E$16+(1-G1398))*K1398+Inputs!$E$23*M1398)*(1+O1398)+Inputs!$E$5*(Q1398+S1398)</f>
        <v>6302.72751806688</v>
      </c>
    </row>
    <row r="1399" customFormat="false" ht="15" hidden="false" customHeight="false" outlineLevel="0" collapsed="false">
      <c r="A1399" s="1" t="n">
        <v>1395</v>
      </c>
      <c r="B1399" s="81" t="n">
        <f aca="true">RAND()</f>
        <v>0.769550682782704</v>
      </c>
      <c r="C1399" s="82" t="n">
        <f aca="false">ROUND(IF(B1399&lt;(Inputs!$E$8-Inputs!$D$8)/(Inputs!$F$8-Inputs!$D$8),Inputs!$D$8+SQRT(B1399*(Inputs!$F$8-Inputs!$D$8)*(Inputs!$E$8-Inputs!$D$8)),Inputs!$F$8-SQRT((1-B1399)*(Inputs!$F$8-Inputs!$D$8)*(Inputs!$F$8-Inputs!$E$8))),0)</f>
        <v>27</v>
      </c>
      <c r="D1399" s="81" t="n">
        <f aca="true">RAND()</f>
        <v>0.289047080970775</v>
      </c>
      <c r="E1399" s="83" t="n">
        <f aca="false">IF(D1399&lt;(Inputs!$E$10-Inputs!$D$10)/(Inputs!$F$10-Inputs!$D$10),Inputs!$D$10+SQRT(D1399*(Inputs!$F$10-Inputs!$D$10)*(Inputs!$E$10-Inputs!$D$10)),Inputs!$F$10-SQRT((1-D1399)*(Inputs!$F$10-Inputs!$D$10)*(Inputs!$F$10-Inputs!$E$10)))</f>
        <v>0.0539568982427559</v>
      </c>
      <c r="F1399" s="81" t="n">
        <f aca="true">RAND()</f>
        <v>0.571172091574959</v>
      </c>
      <c r="G1399" s="83" t="n">
        <f aca="false">IF(F1399&lt;(Inputs!$E$15-Inputs!$D$15)/(Inputs!$F$15-Inputs!$D$15),Inputs!$D$15+SQRT(F1399*(Inputs!$F$15-Inputs!$D$15)*(Inputs!$E$15-Inputs!$D$15)),Inputs!$F$15-SQRT((1-F1399)*(Inputs!$F$15-Inputs!$D$15)*(Inputs!$F$15-Inputs!$E$15)))</f>
        <v>0.707390291175812</v>
      </c>
      <c r="H1399" s="81" t="n">
        <f aca="true">RAND()</f>
        <v>0.132233089255087</v>
      </c>
      <c r="I1399" s="82" t="n">
        <f aca="false">ROUND(IF(H1399&lt;(Inputs!$E$17-Inputs!$D$17)/(Inputs!$F$17-Inputs!$D$17),Inputs!$D$17+SQRT(H1399*(Inputs!$F$17-Inputs!$D$17)*(Inputs!$E$17-Inputs!$D$17)),Inputs!$F$17-SQRT((1-H1399)*(Inputs!$F$17-Inputs!$D$17)*(Inputs!$F$17-Inputs!$E$17))),0)</f>
        <v>103</v>
      </c>
      <c r="J1399" s="81" t="n">
        <f aca="true">RAND()</f>
        <v>0.475193250785052</v>
      </c>
      <c r="K1399" s="83" t="n">
        <f aca="false">IF(J1399&lt;(Inputs!$E$18-Inputs!$D$18)/(Inputs!$F$18-Inputs!$D$18),Inputs!$D$18+SQRT(J1399*(Inputs!$F$18-Inputs!$D$18)*(Inputs!$E$18-Inputs!$D$18)),Inputs!$F$18-SQRT((1-J1399)*(Inputs!$F$18-Inputs!$D$18)*(Inputs!$F$18-Inputs!$E$18)))</f>
        <v>1.03570909828855</v>
      </c>
      <c r="L1399" s="81" t="n">
        <f aca="true">RAND()</f>
        <v>0.488287768392864</v>
      </c>
      <c r="M1399" s="83" t="n">
        <f aca="false">IF(L1399&lt;(Inputs!$E$24-Inputs!$D$24)/(Inputs!$F$24-Inputs!$D$24),Inputs!$D$24+SQRT(L1399*(Inputs!$F$24-Inputs!$D$24)*(Inputs!$E$24-Inputs!$D$24)),Inputs!$F$24-SQRT((1-L1399)*(Inputs!$F$24-Inputs!$D$24)*(Inputs!$F$24-Inputs!$E$24)))</f>
        <v>0.84955608781759</v>
      </c>
      <c r="N1399" s="81" t="n">
        <f aca="true">RAND()</f>
        <v>0.57846894459721</v>
      </c>
      <c r="O1399" s="83" t="n">
        <f aca="false">IF(N1399&lt;(Inputs!$E$26-Inputs!$D$26)/(Inputs!$F$26-Inputs!$D$26),Inputs!$D$26+SQRT(N1399*(Inputs!$F$26-Inputs!$D$26)*(Inputs!$E$26-Inputs!$D$26)),Inputs!$F$26-SQRT((1-N1399)*(Inputs!$F$26-Inputs!$D$26)*(Inputs!$F$26-Inputs!$E$26)))</f>
        <v>0.610253496968166</v>
      </c>
      <c r="P1399" s="81" t="n">
        <f aca="true">RAND()</f>
        <v>0.953786413776396</v>
      </c>
      <c r="Q1399" s="82" t="n">
        <f aca="false">IF(P1399&lt;(Inputs!$E$27-Inputs!$D$27)/(Inputs!$F$27-Inputs!$D$27),Inputs!$D$27+SQRT(P1399*(Inputs!$F$27-Inputs!$D$27)*(Inputs!$E$27-Inputs!$D$27)),Inputs!$F$27-SQRT((1-P1399)*(Inputs!$F$27-Inputs!$D$27)*(Inputs!$F$27-Inputs!$E$27)))</f>
        <v>131.382752709462</v>
      </c>
      <c r="R1399" s="81" t="n">
        <f aca="true">RAND()</f>
        <v>0.294015890480616</v>
      </c>
      <c r="S1399" s="82" t="n">
        <f aca="false">IF(R1399&lt;(Inputs!$E$29-Inputs!$D$29)/(Inputs!$F$29-Inputs!$D$29),Inputs!$D$29+SQRT(R1399*(Inputs!$F$29-Inputs!$D$29)*(Inputs!$E$29-Inputs!$D$29)),Inputs!$F$29-SQRT((1-R1399)*(Inputs!$F$29-Inputs!$D$29)*(Inputs!$F$29-Inputs!$E$29)))</f>
        <v>5.41991992530752</v>
      </c>
      <c r="T1399" s="68" t="n">
        <f aca="false">Inputs!$E$9*(1+E1399)+Inputs!$E$5*C1399*(Inputs!$E$11*Inputs!$E$14*(G1399*I1399/Inputs!$E$16+(1-G1399))*K1399+Inputs!$E$23*M1399)*(1+O1399)+Inputs!$E$5*(Q1399+S1399)</f>
        <v>6700.04302722189</v>
      </c>
    </row>
    <row r="1400" customFormat="false" ht="15" hidden="false" customHeight="false" outlineLevel="0" collapsed="false">
      <c r="A1400" s="1" t="n">
        <v>1396</v>
      </c>
      <c r="B1400" s="81" t="n">
        <f aca="true">RAND()</f>
        <v>0.147374424433803</v>
      </c>
      <c r="C1400" s="82" t="n">
        <f aca="false">ROUND(IF(B1400&lt;(Inputs!$E$8-Inputs!$D$8)/(Inputs!$F$8-Inputs!$D$8),Inputs!$D$8+SQRT(B1400*(Inputs!$F$8-Inputs!$D$8)*(Inputs!$E$8-Inputs!$D$8)),Inputs!$F$8-SQRT((1-B1400)*(Inputs!$F$8-Inputs!$D$8)*(Inputs!$F$8-Inputs!$E$8))),0)</f>
        <v>23</v>
      </c>
      <c r="D1400" s="81" t="n">
        <f aca="true">RAND()</f>
        <v>0.517095562109107</v>
      </c>
      <c r="E1400" s="83" t="n">
        <f aca="false">IF(D1400&lt;(Inputs!$E$10-Inputs!$D$10)/(Inputs!$F$10-Inputs!$D$10),Inputs!$D$10+SQRT(D1400*(Inputs!$F$10-Inputs!$D$10)*(Inputs!$E$10-Inputs!$D$10)),Inputs!$F$10-SQRT((1-D1400)*(Inputs!$F$10-Inputs!$D$10)*(Inputs!$F$10-Inputs!$E$10)))</f>
        <v>0.0796374928113959</v>
      </c>
      <c r="F1400" s="81" t="n">
        <f aca="true">RAND()</f>
        <v>0.837819186586712</v>
      </c>
      <c r="G1400" s="83" t="n">
        <f aca="false">IF(F1400&lt;(Inputs!$E$15-Inputs!$D$15)/(Inputs!$F$15-Inputs!$D$15),Inputs!$D$15+SQRT(F1400*(Inputs!$F$15-Inputs!$D$15)*(Inputs!$E$15-Inputs!$D$15)),Inputs!$F$15-SQRT((1-F1400)*(Inputs!$F$15-Inputs!$D$15)*(Inputs!$F$15-Inputs!$E$15)))</f>
        <v>0.74304724529695</v>
      </c>
      <c r="H1400" s="81" t="n">
        <f aca="true">RAND()</f>
        <v>0.258930892606892</v>
      </c>
      <c r="I1400" s="82" t="n">
        <f aca="false">ROUND(IF(H1400&lt;(Inputs!$E$17-Inputs!$D$17)/(Inputs!$F$17-Inputs!$D$17),Inputs!$D$17+SQRT(H1400*(Inputs!$F$17-Inputs!$D$17)*(Inputs!$E$17-Inputs!$D$17)),Inputs!$F$17-SQRT((1-H1400)*(Inputs!$F$17-Inputs!$D$17)*(Inputs!$F$17-Inputs!$E$17))),0)</f>
        <v>104</v>
      </c>
      <c r="J1400" s="81" t="n">
        <f aca="true">RAND()</f>
        <v>0.999672646671811</v>
      </c>
      <c r="K1400" s="83" t="n">
        <f aca="false">IF(J1400&lt;(Inputs!$E$18-Inputs!$D$18)/(Inputs!$F$18-Inputs!$D$18),Inputs!$D$18+SQRT(J1400*(Inputs!$F$18-Inputs!$D$18)*(Inputs!$E$18-Inputs!$D$18)),Inputs!$F$18-SQRT((1-J1400)*(Inputs!$F$18-Inputs!$D$18)*(Inputs!$F$18-Inputs!$E$18)))</f>
        <v>1.2446480455704</v>
      </c>
      <c r="L1400" s="81" t="n">
        <f aca="true">RAND()</f>
        <v>0.746179761563073</v>
      </c>
      <c r="M1400" s="83" t="n">
        <f aca="false">IF(L1400&lt;(Inputs!$E$24-Inputs!$D$24)/(Inputs!$F$24-Inputs!$D$24),Inputs!$D$24+SQRT(L1400*(Inputs!$F$24-Inputs!$D$24)*(Inputs!$E$24-Inputs!$D$24)),Inputs!$F$24-SQRT((1-L1400)*(Inputs!$F$24-Inputs!$D$24)*(Inputs!$F$24-Inputs!$E$24)))</f>
        <v>0.953186594316957</v>
      </c>
      <c r="N1400" s="81" t="n">
        <f aca="true">RAND()</f>
        <v>0.371160976644138</v>
      </c>
      <c r="O1400" s="83" t="n">
        <f aca="false">IF(N1400&lt;(Inputs!$E$26-Inputs!$D$26)/(Inputs!$F$26-Inputs!$D$26),Inputs!$D$26+SQRT(N1400*(Inputs!$F$26-Inputs!$D$26)*(Inputs!$E$26-Inputs!$D$26)),Inputs!$F$26-SQRT((1-N1400)*(Inputs!$F$26-Inputs!$D$26)*(Inputs!$F$26-Inputs!$E$26)))</f>
        <v>0.548517980262162</v>
      </c>
      <c r="P1400" s="81" t="n">
        <f aca="true">RAND()</f>
        <v>0.988248730294967</v>
      </c>
      <c r="Q1400" s="82" t="n">
        <f aca="false">IF(P1400&lt;(Inputs!$E$27-Inputs!$D$27)/(Inputs!$F$27-Inputs!$D$27),Inputs!$D$27+SQRT(P1400*(Inputs!$F$27-Inputs!$D$27)*(Inputs!$E$27-Inputs!$D$27)),Inputs!$F$27-SQRT((1-P1400)*(Inputs!$F$27-Inputs!$D$27)*(Inputs!$F$27-Inputs!$E$27)))</f>
        <v>140.612001129753</v>
      </c>
      <c r="R1400" s="81" t="n">
        <f aca="true">RAND()</f>
        <v>0.0550336030267864</v>
      </c>
      <c r="S1400" s="82" t="n">
        <f aca="false">IF(R1400&lt;(Inputs!$E$29-Inputs!$D$29)/(Inputs!$F$29-Inputs!$D$29),Inputs!$D$29+SQRT(R1400*(Inputs!$F$29-Inputs!$D$29)*(Inputs!$E$29-Inputs!$D$29)),Inputs!$F$29-SQRT((1-R1400)*(Inputs!$F$29-Inputs!$D$29)*(Inputs!$F$29-Inputs!$E$29)))</f>
        <v>3.46502918675522</v>
      </c>
      <c r="T1400" s="68" t="n">
        <f aca="false">Inputs!$E$9*(1+E1400)+Inputs!$E$5*C1400*(Inputs!$E$11*Inputs!$E$14*(G1400*I1400/Inputs!$E$16+(1-G1400))*K1400+Inputs!$E$23*M1400)*(1+O1400)+Inputs!$E$5*(Q1400+S1400)</f>
        <v>6609.1522464321</v>
      </c>
    </row>
    <row r="1401" customFormat="false" ht="15" hidden="false" customHeight="false" outlineLevel="0" collapsed="false">
      <c r="A1401" s="1" t="n">
        <v>1397</v>
      </c>
      <c r="B1401" s="81" t="n">
        <f aca="true">RAND()</f>
        <v>0.53651299270656</v>
      </c>
      <c r="C1401" s="82" t="n">
        <f aca="false">ROUND(IF(B1401&lt;(Inputs!$E$8-Inputs!$D$8)/(Inputs!$F$8-Inputs!$D$8),Inputs!$D$8+SQRT(B1401*(Inputs!$F$8-Inputs!$D$8)*(Inputs!$E$8-Inputs!$D$8)),Inputs!$F$8-SQRT((1-B1401)*(Inputs!$F$8-Inputs!$D$8)*(Inputs!$F$8-Inputs!$E$8))),0)</f>
        <v>25</v>
      </c>
      <c r="D1401" s="81" t="n">
        <f aca="true">RAND()</f>
        <v>0.542479507829343</v>
      </c>
      <c r="E1401" s="83" t="n">
        <f aca="false">IF(D1401&lt;(Inputs!$E$10-Inputs!$D$10)/(Inputs!$F$10-Inputs!$D$10),Inputs!$D$10+SQRT(D1401*(Inputs!$F$10-Inputs!$D$10)*(Inputs!$E$10-Inputs!$D$10)),Inputs!$F$10-SQRT((1-D1401)*(Inputs!$F$10-Inputs!$D$10)*(Inputs!$F$10-Inputs!$E$10)))</f>
        <v>0.0828436311371861</v>
      </c>
      <c r="F1401" s="81" t="n">
        <f aca="true">RAND()</f>
        <v>0.990165764945094</v>
      </c>
      <c r="G1401" s="83" t="n">
        <f aca="false">IF(F1401&lt;(Inputs!$E$15-Inputs!$D$15)/(Inputs!$F$15-Inputs!$D$15),Inputs!$D$15+SQRT(F1401*(Inputs!$F$15-Inputs!$D$15)*(Inputs!$E$15-Inputs!$D$15)),Inputs!$F$15-SQRT((1-F1401)*(Inputs!$F$15-Inputs!$D$15)*(Inputs!$F$15-Inputs!$E$15)))</f>
        <v>0.785975567708527</v>
      </c>
      <c r="H1401" s="81" t="n">
        <f aca="true">RAND()</f>
        <v>0.390821615187988</v>
      </c>
      <c r="I1401" s="82" t="n">
        <f aca="false">ROUND(IF(H1401&lt;(Inputs!$E$17-Inputs!$D$17)/(Inputs!$F$17-Inputs!$D$17),Inputs!$D$17+SQRT(H1401*(Inputs!$F$17-Inputs!$D$17)*(Inputs!$E$17-Inputs!$D$17)),Inputs!$F$17-SQRT((1-H1401)*(Inputs!$F$17-Inputs!$D$17)*(Inputs!$F$17-Inputs!$E$17))),0)</f>
        <v>105</v>
      </c>
      <c r="J1401" s="81" t="n">
        <f aca="true">RAND()</f>
        <v>0.688700945646386</v>
      </c>
      <c r="K1401" s="83" t="n">
        <f aca="false">IF(J1401&lt;(Inputs!$E$18-Inputs!$D$18)/(Inputs!$F$18-Inputs!$D$18),Inputs!$D$18+SQRT(J1401*(Inputs!$F$18-Inputs!$D$18)*(Inputs!$E$18-Inputs!$D$18)),Inputs!$F$18-SQRT((1-J1401)*(Inputs!$F$18-Inputs!$D$18)*(Inputs!$F$18-Inputs!$E$18)))</f>
        <v>1.08495858926942</v>
      </c>
      <c r="L1401" s="81" t="n">
        <f aca="true">RAND()</f>
        <v>0.760532539357617</v>
      </c>
      <c r="M1401" s="83" t="n">
        <f aca="false">IF(L1401&lt;(Inputs!$E$24-Inputs!$D$24)/(Inputs!$F$24-Inputs!$D$24),Inputs!$D$24+SQRT(L1401*(Inputs!$F$24-Inputs!$D$24)*(Inputs!$E$24-Inputs!$D$24)),Inputs!$F$24-SQRT((1-L1401)*(Inputs!$F$24-Inputs!$D$24)*(Inputs!$F$24-Inputs!$E$24)))</f>
        <v>0.96026641755029</v>
      </c>
      <c r="N1401" s="81" t="n">
        <f aca="true">RAND()</f>
        <v>0.0757755326665759</v>
      </c>
      <c r="O1401" s="83" t="n">
        <f aca="false">IF(N1401&lt;(Inputs!$E$26-Inputs!$D$26)/(Inputs!$F$26-Inputs!$D$26),Inputs!$D$26+SQRT(N1401*(Inputs!$F$26-Inputs!$D$26)*(Inputs!$E$26-Inputs!$D$26)),Inputs!$F$26-SQRT((1-N1401)*(Inputs!$F$26-Inputs!$D$26)*(Inputs!$F$26-Inputs!$E$26)))</f>
        <v>0.412290020196446</v>
      </c>
      <c r="P1401" s="81" t="n">
        <f aca="true">RAND()</f>
        <v>0.841991136013589</v>
      </c>
      <c r="Q1401" s="82" t="n">
        <f aca="false">IF(P1401&lt;(Inputs!$E$27-Inputs!$D$27)/(Inputs!$F$27-Inputs!$D$27),Inputs!$D$27+SQRT(P1401*(Inputs!$F$27-Inputs!$D$27)*(Inputs!$E$27-Inputs!$D$27)),Inputs!$F$27-SQRT((1-P1401)*(Inputs!$F$27-Inputs!$D$27)*(Inputs!$F$27-Inputs!$E$27)))</f>
        <v>115.575205448716</v>
      </c>
      <c r="R1401" s="81" t="n">
        <f aca="true">RAND()</f>
        <v>0.615636790419603</v>
      </c>
      <c r="S1401" s="82" t="n">
        <f aca="false">IF(R1401&lt;(Inputs!$E$29-Inputs!$D$29)/(Inputs!$F$29-Inputs!$D$29),Inputs!$D$29+SQRT(R1401*(Inputs!$F$29-Inputs!$D$29)*(Inputs!$E$29-Inputs!$D$29)),Inputs!$F$29-SQRT((1-R1401)*(Inputs!$F$29-Inputs!$D$29)*(Inputs!$F$29-Inputs!$E$29)))</f>
        <v>7.93125065903086</v>
      </c>
      <c r="T1401" s="68" t="n">
        <f aca="false">Inputs!$E$9*(1+E1401)+Inputs!$E$5*C1401*(Inputs!$E$11*Inputs!$E$14*(G1401*I1401/Inputs!$E$16+(1-G1401))*K1401+Inputs!$E$23*M1401)*(1+O1401)+Inputs!$E$5*(Q1401+S1401)</f>
        <v>6155.95156992781</v>
      </c>
    </row>
    <row r="1402" customFormat="false" ht="15" hidden="false" customHeight="false" outlineLevel="0" collapsed="false">
      <c r="A1402" s="1" t="n">
        <v>1398</v>
      </c>
      <c r="B1402" s="81" t="n">
        <f aca="true">RAND()</f>
        <v>0.500415725910663</v>
      </c>
      <c r="C1402" s="82" t="n">
        <f aca="false">ROUND(IF(B1402&lt;(Inputs!$E$8-Inputs!$D$8)/(Inputs!$F$8-Inputs!$D$8),Inputs!$D$8+SQRT(B1402*(Inputs!$F$8-Inputs!$D$8)*(Inputs!$E$8-Inputs!$D$8)),Inputs!$F$8-SQRT((1-B1402)*(Inputs!$F$8-Inputs!$D$8)*(Inputs!$F$8-Inputs!$E$8))),0)</f>
        <v>25</v>
      </c>
      <c r="D1402" s="81" t="n">
        <f aca="true">RAND()</f>
        <v>0.695764962352066</v>
      </c>
      <c r="E1402" s="83" t="n">
        <f aca="false">IF(D1402&lt;(Inputs!$E$10-Inputs!$D$10)/(Inputs!$F$10-Inputs!$D$10),Inputs!$D$10+SQRT(D1402*(Inputs!$F$10-Inputs!$D$10)*(Inputs!$E$10-Inputs!$D$10)),Inputs!$F$10-SQRT((1-D1402)*(Inputs!$F$10-Inputs!$D$10)*(Inputs!$F$10-Inputs!$E$10)))</f>
        <v>0.104464398628375</v>
      </c>
      <c r="F1402" s="81" t="n">
        <f aca="true">RAND()</f>
        <v>0.739630091071206</v>
      </c>
      <c r="G1402" s="83" t="n">
        <f aca="false">IF(F1402&lt;(Inputs!$E$15-Inputs!$D$15)/(Inputs!$F$15-Inputs!$D$15),Inputs!$D$15+SQRT(F1402*(Inputs!$F$15-Inputs!$D$15)*(Inputs!$E$15-Inputs!$D$15)),Inputs!$F$15-SQRT((1-F1402)*(Inputs!$F$15-Inputs!$D$15)*(Inputs!$F$15-Inputs!$E$15)))</f>
        <v>0.727837695584357</v>
      </c>
      <c r="H1402" s="81" t="n">
        <f aca="true">RAND()</f>
        <v>0.992385262741608</v>
      </c>
      <c r="I1402" s="82" t="n">
        <f aca="false">ROUND(IF(H1402&lt;(Inputs!$E$17-Inputs!$D$17)/(Inputs!$F$17-Inputs!$D$17),Inputs!$D$17+SQRT(H1402*(Inputs!$F$17-Inputs!$D$17)*(Inputs!$E$17-Inputs!$D$17)),Inputs!$F$17-SQRT((1-H1402)*(Inputs!$F$17-Inputs!$D$17)*(Inputs!$F$17-Inputs!$E$17))),0)</f>
        <v>114</v>
      </c>
      <c r="J1402" s="81" t="n">
        <f aca="true">RAND()</f>
        <v>0.280791358312624</v>
      </c>
      <c r="K1402" s="83" t="n">
        <f aca="false">IF(J1402&lt;(Inputs!$E$18-Inputs!$D$18)/(Inputs!$F$18-Inputs!$D$18),Inputs!$D$18+SQRT(J1402*(Inputs!$F$18-Inputs!$D$18)*(Inputs!$E$18-Inputs!$D$18)),Inputs!$F$18-SQRT((1-J1402)*(Inputs!$F$18-Inputs!$D$18)*(Inputs!$F$18-Inputs!$E$18)))</f>
        <v>0.999134744368167</v>
      </c>
      <c r="L1402" s="81" t="n">
        <f aca="true">RAND()</f>
        <v>0.790375250520606</v>
      </c>
      <c r="M1402" s="83" t="n">
        <f aca="false">IF(L1402&lt;(Inputs!$E$24-Inputs!$D$24)/(Inputs!$F$24-Inputs!$D$24),Inputs!$D$24+SQRT(L1402*(Inputs!$F$24-Inputs!$D$24)*(Inputs!$E$24-Inputs!$D$24)),Inputs!$F$24-SQRT((1-L1402)*(Inputs!$F$24-Inputs!$D$24)*(Inputs!$F$24-Inputs!$E$24)))</f>
        <v>0.975701226318434</v>
      </c>
      <c r="N1402" s="81" t="n">
        <f aca="true">RAND()</f>
        <v>0.408344124934026</v>
      </c>
      <c r="O1402" s="83" t="n">
        <f aca="false">IF(N1402&lt;(Inputs!$E$26-Inputs!$D$26)/(Inputs!$F$26-Inputs!$D$26),Inputs!$D$26+SQRT(N1402*(Inputs!$F$26-Inputs!$D$26)*(Inputs!$E$26-Inputs!$D$26)),Inputs!$F$26-SQRT((1-N1402)*(Inputs!$F$26-Inputs!$D$26)*(Inputs!$F$26-Inputs!$E$26)))</f>
        <v>0.560669258619082</v>
      </c>
      <c r="P1402" s="81" t="n">
        <f aca="true">RAND()</f>
        <v>0.31069803980216</v>
      </c>
      <c r="Q1402" s="82" t="n">
        <f aca="false">IF(P1402&lt;(Inputs!$E$27-Inputs!$D$27)/(Inputs!$F$27-Inputs!$D$27),Inputs!$D$27+SQRT(P1402*(Inputs!$F$27-Inputs!$D$27)*(Inputs!$E$27-Inputs!$D$27)),Inputs!$F$27-SQRT((1-P1402)*(Inputs!$F$27-Inputs!$D$27)*(Inputs!$F$27-Inputs!$E$27)))</f>
        <v>78.098924198008</v>
      </c>
      <c r="R1402" s="81" t="n">
        <f aca="true">RAND()</f>
        <v>0.316792326332424</v>
      </c>
      <c r="S1402" s="82" t="n">
        <f aca="false">IF(R1402&lt;(Inputs!$E$29-Inputs!$D$29)/(Inputs!$F$29-Inputs!$D$29),Inputs!$D$29+SQRT(R1402*(Inputs!$F$29-Inputs!$D$29)*(Inputs!$E$29-Inputs!$D$29)),Inputs!$F$29-SQRT((1-R1402)*(Inputs!$F$29-Inputs!$D$29)*(Inputs!$F$29-Inputs!$E$29)))</f>
        <v>5.57572296795214</v>
      </c>
      <c r="T1402" s="68" t="n">
        <f aca="false">Inputs!$E$9*(1+E1402)+Inputs!$E$5*C1402*(Inputs!$E$11*Inputs!$E$14*(G1402*I1402/Inputs!$E$16+(1-G1402))*K1402+Inputs!$E$23*M1402)*(1+O1402)+Inputs!$E$5*(Q1402+S1402)</f>
        <v>6368.97015245583</v>
      </c>
    </row>
    <row r="1403" customFormat="false" ht="15" hidden="false" customHeight="false" outlineLevel="0" collapsed="false">
      <c r="A1403" s="1" t="n">
        <v>1399</v>
      </c>
      <c r="B1403" s="81" t="n">
        <f aca="true">RAND()</f>
        <v>0.0378368797975453</v>
      </c>
      <c r="C1403" s="82" t="n">
        <f aca="false">ROUND(IF(B1403&lt;(Inputs!$E$8-Inputs!$D$8)/(Inputs!$F$8-Inputs!$D$8),Inputs!$D$8+SQRT(B1403*(Inputs!$F$8-Inputs!$D$8)*(Inputs!$E$8-Inputs!$D$8)),Inputs!$F$8-SQRT((1-B1403)*(Inputs!$F$8-Inputs!$D$8)*(Inputs!$F$8-Inputs!$E$8))),0)</f>
        <v>21</v>
      </c>
      <c r="D1403" s="81" t="n">
        <f aca="true">RAND()</f>
        <v>0.306527648272044</v>
      </c>
      <c r="E1403" s="83" t="n">
        <f aca="false">IF(D1403&lt;(Inputs!$E$10-Inputs!$D$10)/(Inputs!$F$10-Inputs!$D$10),Inputs!$D$10+SQRT(D1403*(Inputs!$F$10-Inputs!$D$10)*(Inputs!$E$10-Inputs!$D$10)),Inputs!$F$10-SQRT((1-D1403)*(Inputs!$F$10-Inputs!$D$10)*(Inputs!$F$10-Inputs!$E$10)))</f>
        <v>0.0557634909191203</v>
      </c>
      <c r="F1403" s="81" t="n">
        <f aca="true">RAND()</f>
        <v>0.393154101552057</v>
      </c>
      <c r="G1403" s="83" t="n">
        <f aca="false">IF(F1403&lt;(Inputs!$E$15-Inputs!$D$15)/(Inputs!$F$15-Inputs!$D$15),Inputs!$D$15+SQRT(F1403*(Inputs!$F$15-Inputs!$D$15)*(Inputs!$E$15-Inputs!$D$15)),Inputs!$F$15-SQRT((1-F1403)*(Inputs!$F$15-Inputs!$D$15)*(Inputs!$F$15-Inputs!$E$15)))</f>
        <v>0.68867402117329</v>
      </c>
      <c r="H1403" s="81" t="n">
        <f aca="true">RAND()</f>
        <v>0.560083552103713</v>
      </c>
      <c r="I1403" s="82" t="n">
        <f aca="false">ROUND(IF(H1403&lt;(Inputs!$E$17-Inputs!$D$17)/(Inputs!$F$17-Inputs!$D$17),Inputs!$D$17+SQRT(H1403*(Inputs!$F$17-Inputs!$D$17)*(Inputs!$E$17-Inputs!$D$17)),Inputs!$F$17-SQRT((1-H1403)*(Inputs!$F$17-Inputs!$D$17)*(Inputs!$F$17-Inputs!$E$17))),0)</f>
        <v>107</v>
      </c>
      <c r="J1403" s="81" t="n">
        <f aca="true">RAND()</f>
        <v>0.599035259114216</v>
      </c>
      <c r="K1403" s="83" t="n">
        <f aca="false">IF(J1403&lt;(Inputs!$E$18-Inputs!$D$18)/(Inputs!$F$18-Inputs!$D$18),Inputs!$D$18+SQRT(J1403*(Inputs!$F$18-Inputs!$D$18)*(Inputs!$E$18-Inputs!$D$18)),Inputs!$F$18-SQRT((1-J1403)*(Inputs!$F$18-Inputs!$D$18)*(Inputs!$F$18-Inputs!$E$18)))</f>
        <v>1.06269165841451</v>
      </c>
      <c r="L1403" s="81" t="n">
        <f aca="true">RAND()</f>
        <v>0.458233740720091</v>
      </c>
      <c r="M1403" s="83" t="n">
        <f aca="false">IF(L1403&lt;(Inputs!$E$24-Inputs!$D$24)/(Inputs!$F$24-Inputs!$D$24),Inputs!$D$24+SQRT(L1403*(Inputs!$F$24-Inputs!$D$24)*(Inputs!$E$24-Inputs!$D$24)),Inputs!$F$24-SQRT((1-L1403)*(Inputs!$F$24-Inputs!$D$24)*(Inputs!$F$24-Inputs!$E$24)))</f>
        <v>0.839411727551799</v>
      </c>
      <c r="N1403" s="81" t="n">
        <f aca="true">RAND()</f>
        <v>0.0347376709685896</v>
      </c>
      <c r="O1403" s="83" t="n">
        <f aca="false">IF(N1403&lt;(Inputs!$E$26-Inputs!$D$26)/(Inputs!$F$26-Inputs!$D$26),Inputs!$D$26+SQRT(N1403*(Inputs!$F$26-Inputs!$D$26)*(Inputs!$E$26-Inputs!$D$26)),Inputs!$F$26-SQRT((1-N1403)*(Inputs!$F$26-Inputs!$D$26)*(Inputs!$F$26-Inputs!$E$26)))</f>
        <v>0.376028602835862</v>
      </c>
      <c r="P1403" s="81" t="n">
        <f aca="true">RAND()</f>
        <v>0.994537318284472</v>
      </c>
      <c r="Q1403" s="82" t="n">
        <f aca="false">IF(P1403&lt;(Inputs!$E$27-Inputs!$D$27)/(Inputs!$F$27-Inputs!$D$27),Inputs!$D$27+SQRT(P1403*(Inputs!$F$27-Inputs!$D$27)*(Inputs!$E$27-Inputs!$D$27)),Inputs!$F$27-SQRT((1-P1403)*(Inputs!$F$27-Inputs!$D$27)*(Inputs!$F$27-Inputs!$E$27)))</f>
        <v>143.599209981068</v>
      </c>
      <c r="R1403" s="81" t="n">
        <f aca="true">RAND()</f>
        <v>0.0912506852276881</v>
      </c>
      <c r="S1403" s="82" t="n">
        <f aca="false">IF(R1403&lt;(Inputs!$E$29-Inputs!$D$29)/(Inputs!$F$29-Inputs!$D$29),Inputs!$D$29+SQRT(R1403*(Inputs!$F$29-Inputs!$D$29)*(Inputs!$E$29-Inputs!$D$29)),Inputs!$F$29-SQRT((1-R1403)*(Inputs!$F$29-Inputs!$D$29)*(Inputs!$F$29-Inputs!$E$29)))</f>
        <v>3.88647203103567</v>
      </c>
      <c r="T1403" s="68" t="n">
        <f aca="false">Inputs!$E$9*(1+E1403)+Inputs!$E$5*C1403*(Inputs!$E$11*Inputs!$E$14*(G1403*I1403/Inputs!$E$16+(1-G1403))*K1403+Inputs!$E$23*M1403)*(1+O1403)+Inputs!$E$5*(Q1403+S1403)</f>
        <v>5603.11240545606</v>
      </c>
    </row>
    <row r="1404" customFormat="false" ht="15" hidden="false" customHeight="false" outlineLevel="0" collapsed="false">
      <c r="A1404" s="1" t="n">
        <v>1400</v>
      </c>
      <c r="B1404" s="81" t="n">
        <f aca="true">RAND()</f>
        <v>0.275598898329306</v>
      </c>
      <c r="C1404" s="82" t="n">
        <f aca="false">ROUND(IF(B1404&lt;(Inputs!$E$8-Inputs!$D$8)/(Inputs!$F$8-Inputs!$D$8),Inputs!$D$8+SQRT(B1404*(Inputs!$F$8-Inputs!$D$8)*(Inputs!$E$8-Inputs!$D$8)),Inputs!$F$8-SQRT((1-B1404)*(Inputs!$F$8-Inputs!$D$8)*(Inputs!$F$8-Inputs!$E$8))),0)</f>
        <v>24</v>
      </c>
      <c r="D1404" s="81" t="n">
        <f aca="true">RAND()</f>
        <v>0.529081219585124</v>
      </c>
      <c r="E1404" s="83" t="n">
        <f aca="false">IF(D1404&lt;(Inputs!$E$10-Inputs!$D$10)/(Inputs!$F$10-Inputs!$D$10),Inputs!$D$10+SQRT(D1404*(Inputs!$F$10-Inputs!$D$10)*(Inputs!$E$10-Inputs!$D$10)),Inputs!$F$10-SQRT((1-D1404)*(Inputs!$F$10-Inputs!$D$10)*(Inputs!$F$10-Inputs!$E$10)))</f>
        <v>0.0811405728919818</v>
      </c>
      <c r="F1404" s="81" t="n">
        <f aca="true">RAND()</f>
        <v>0.44165382927321</v>
      </c>
      <c r="G1404" s="83" t="n">
        <f aca="false">IF(F1404&lt;(Inputs!$E$15-Inputs!$D$15)/(Inputs!$F$15-Inputs!$D$15),Inputs!$D$15+SQRT(F1404*(Inputs!$F$15-Inputs!$D$15)*(Inputs!$E$15-Inputs!$D$15)),Inputs!$F$15-SQRT((1-F1404)*(Inputs!$F$15-Inputs!$D$15)*(Inputs!$F$15-Inputs!$E$15)))</f>
        <v>0.693984448636273</v>
      </c>
      <c r="H1404" s="81" t="n">
        <f aca="true">RAND()</f>
        <v>0.842233715874055</v>
      </c>
      <c r="I1404" s="82" t="n">
        <f aca="false">ROUND(IF(H1404&lt;(Inputs!$E$17-Inputs!$D$17)/(Inputs!$F$17-Inputs!$D$17),Inputs!$D$17+SQRT(H1404*(Inputs!$F$17-Inputs!$D$17)*(Inputs!$E$17-Inputs!$D$17)),Inputs!$F$17-SQRT((1-H1404)*(Inputs!$F$17-Inputs!$D$17)*(Inputs!$F$17-Inputs!$E$17))),0)</f>
        <v>110</v>
      </c>
      <c r="J1404" s="81" t="n">
        <f aca="true">RAND()</f>
        <v>0.292822909987566</v>
      </c>
      <c r="K1404" s="83" t="n">
        <f aca="false">IF(J1404&lt;(Inputs!$E$18-Inputs!$D$18)/(Inputs!$F$18-Inputs!$D$18),Inputs!$D$18+SQRT(J1404*(Inputs!$F$18-Inputs!$D$18)*(Inputs!$E$18-Inputs!$D$18)),Inputs!$F$18-SQRT((1-J1404)*(Inputs!$F$18-Inputs!$D$18)*(Inputs!$F$18-Inputs!$E$18)))</f>
        <v>1.00124711986373</v>
      </c>
      <c r="L1404" s="81" t="n">
        <f aca="true">RAND()</f>
        <v>0.648852593703674</v>
      </c>
      <c r="M1404" s="83" t="n">
        <f aca="false">IF(L1404&lt;(Inputs!$E$24-Inputs!$D$24)/(Inputs!$F$24-Inputs!$D$24),Inputs!$D$24+SQRT(L1404*(Inputs!$F$24-Inputs!$D$24)*(Inputs!$E$24-Inputs!$D$24)),Inputs!$F$24-SQRT((1-L1404)*(Inputs!$F$24-Inputs!$D$24)*(Inputs!$F$24-Inputs!$E$24)))</f>
        <v>0.909697782455734</v>
      </c>
      <c r="N1404" s="81" t="n">
        <f aca="true">RAND()</f>
        <v>0.722594937324048</v>
      </c>
      <c r="O1404" s="83" t="n">
        <f aca="false">IF(N1404&lt;(Inputs!$E$26-Inputs!$D$26)/(Inputs!$F$26-Inputs!$D$26),Inputs!$D$26+SQRT(N1404*(Inputs!$F$26-Inputs!$D$26)*(Inputs!$E$26-Inputs!$D$26)),Inputs!$F$26-SQRT((1-N1404)*(Inputs!$F$26-Inputs!$D$26)*(Inputs!$F$26-Inputs!$E$26)))</f>
        <v>0.650146750050819</v>
      </c>
      <c r="P1404" s="81" t="n">
        <f aca="true">RAND()</f>
        <v>0.870802923057167</v>
      </c>
      <c r="Q1404" s="82" t="n">
        <f aca="false">IF(P1404&lt;(Inputs!$E$27-Inputs!$D$27)/(Inputs!$F$27-Inputs!$D$27),Inputs!$D$27+SQRT(P1404*(Inputs!$F$27-Inputs!$D$27)*(Inputs!$E$27-Inputs!$D$27)),Inputs!$F$27-SQRT((1-P1404)*(Inputs!$F$27-Inputs!$D$27)*(Inputs!$F$27-Inputs!$E$27)))</f>
        <v>118.871587302414</v>
      </c>
      <c r="R1404" s="81" t="n">
        <f aca="true">RAND()</f>
        <v>0.00827683435264348</v>
      </c>
      <c r="S1404" s="82" t="n">
        <f aca="false">IF(R1404&lt;(Inputs!$E$29-Inputs!$D$29)/(Inputs!$F$29-Inputs!$D$29),Inputs!$D$29+SQRT(R1404*(Inputs!$F$29-Inputs!$D$29)*(Inputs!$E$29-Inputs!$D$29)),Inputs!$F$29-SQRT((1-R1404)*(Inputs!$F$29-Inputs!$D$29)*(Inputs!$F$29-Inputs!$E$29)))</f>
        <v>2.56815186328401</v>
      </c>
      <c r="T1404" s="68" t="n">
        <f aca="false">Inputs!$E$9*(1+E1404)+Inputs!$E$5*C1404*(Inputs!$E$11*Inputs!$E$14*(G1404*I1404/Inputs!$E$16+(1-G1404))*K1404+Inputs!$E$23*M1404)*(1+O1404)+Inputs!$E$5*(Q1404+S1404)</f>
        <v>6464.73837872441</v>
      </c>
    </row>
    <row r="1405" customFormat="false" ht="15" hidden="false" customHeight="false" outlineLevel="0" collapsed="false">
      <c r="A1405" s="1" t="n">
        <v>1401</v>
      </c>
      <c r="B1405" s="81" t="n">
        <f aca="true">RAND()</f>
        <v>0.712476783145502</v>
      </c>
      <c r="C1405" s="82" t="n">
        <f aca="false">ROUND(IF(B1405&lt;(Inputs!$E$8-Inputs!$D$8)/(Inputs!$F$8-Inputs!$D$8),Inputs!$D$8+SQRT(B1405*(Inputs!$F$8-Inputs!$D$8)*(Inputs!$E$8-Inputs!$D$8)),Inputs!$F$8-SQRT((1-B1405)*(Inputs!$F$8-Inputs!$D$8)*(Inputs!$F$8-Inputs!$E$8))),0)</f>
        <v>26</v>
      </c>
      <c r="D1405" s="81" t="n">
        <f aca="true">RAND()</f>
        <v>0.584015261083423</v>
      </c>
      <c r="E1405" s="83" t="n">
        <f aca="false">IF(D1405&lt;(Inputs!$E$10-Inputs!$D$10)/(Inputs!$F$10-Inputs!$D$10),Inputs!$D$10+SQRT(D1405*(Inputs!$F$10-Inputs!$D$10)*(Inputs!$E$10-Inputs!$D$10)),Inputs!$F$10-SQRT((1-D1405)*(Inputs!$F$10-Inputs!$D$10)*(Inputs!$F$10-Inputs!$E$10)))</f>
        <v>0.0882881287977983</v>
      </c>
      <c r="F1405" s="81" t="n">
        <f aca="true">RAND()</f>
        <v>0.227209660121741</v>
      </c>
      <c r="G1405" s="83" t="n">
        <f aca="false">IF(F1405&lt;(Inputs!$E$15-Inputs!$D$15)/(Inputs!$F$15-Inputs!$D$15),Inputs!$D$15+SQRT(F1405*(Inputs!$F$15-Inputs!$D$15)*(Inputs!$E$15-Inputs!$D$15)),Inputs!$F$15-SQRT((1-F1405)*(Inputs!$F$15-Inputs!$D$15)*(Inputs!$F$15-Inputs!$E$15)))</f>
        <v>0.667410631227091</v>
      </c>
      <c r="H1405" s="81" t="n">
        <f aca="true">RAND()</f>
        <v>0.279832415221554</v>
      </c>
      <c r="I1405" s="82" t="n">
        <f aca="false">ROUND(IF(H1405&lt;(Inputs!$E$17-Inputs!$D$17)/(Inputs!$F$17-Inputs!$D$17),Inputs!$D$17+SQRT(H1405*(Inputs!$F$17-Inputs!$D$17)*(Inputs!$E$17-Inputs!$D$17)),Inputs!$F$17-SQRT((1-H1405)*(Inputs!$F$17-Inputs!$D$17)*(Inputs!$F$17-Inputs!$E$17))),0)</f>
        <v>105</v>
      </c>
      <c r="J1405" s="81" t="n">
        <f aca="true">RAND()</f>
        <v>0.258358369840411</v>
      </c>
      <c r="K1405" s="83" t="n">
        <f aca="false">IF(J1405&lt;(Inputs!$E$18-Inputs!$D$18)/(Inputs!$F$18-Inputs!$D$18),Inputs!$D$18+SQRT(J1405*(Inputs!$F$18-Inputs!$D$18)*(Inputs!$E$18-Inputs!$D$18)),Inputs!$F$18-SQRT((1-J1405)*(Inputs!$F$18-Inputs!$D$18)*(Inputs!$F$18-Inputs!$E$18)))</f>
        <v>0.995092286461176</v>
      </c>
      <c r="L1405" s="81" t="n">
        <f aca="true">RAND()</f>
        <v>0.263598421881796</v>
      </c>
      <c r="M1405" s="83" t="n">
        <f aca="false">IF(L1405&lt;(Inputs!$E$24-Inputs!$D$24)/(Inputs!$F$24-Inputs!$D$24),Inputs!$D$24+SQRT(L1405*(Inputs!$F$24-Inputs!$D$24)*(Inputs!$E$24-Inputs!$D$24)),Inputs!$F$24-SQRT((1-L1405)*(Inputs!$F$24-Inputs!$D$24)*(Inputs!$F$24-Inputs!$E$24)))</f>
        <v>0.777853340215514</v>
      </c>
      <c r="N1405" s="81" t="n">
        <f aca="true">RAND()</f>
        <v>0.149125710589448</v>
      </c>
      <c r="O1405" s="83" t="n">
        <f aca="false">IF(N1405&lt;(Inputs!$E$26-Inputs!$D$26)/(Inputs!$F$26-Inputs!$D$26),Inputs!$D$26+SQRT(N1405*(Inputs!$F$26-Inputs!$D$26)*(Inputs!$E$26-Inputs!$D$26)),Inputs!$F$26-SQRT((1-N1405)*(Inputs!$F$26-Inputs!$D$26)*(Inputs!$F$26-Inputs!$E$26)))</f>
        <v>0.457526246200702</v>
      </c>
      <c r="P1405" s="81" t="n">
        <f aca="true">RAND()</f>
        <v>0.716580438957804</v>
      </c>
      <c r="Q1405" s="82" t="n">
        <f aca="false">IF(P1405&lt;(Inputs!$E$27-Inputs!$D$27)/(Inputs!$F$27-Inputs!$D$27),Inputs!$D$27+SQRT(P1405*(Inputs!$F$27-Inputs!$D$27)*(Inputs!$E$27-Inputs!$D$27)),Inputs!$F$27-SQRT((1-P1405)*(Inputs!$F$27-Inputs!$D$27)*(Inputs!$F$27-Inputs!$E$27)))</f>
        <v>103.895263716008</v>
      </c>
      <c r="R1405" s="81" t="n">
        <f aca="true">RAND()</f>
        <v>0.807830780603166</v>
      </c>
      <c r="S1405" s="82" t="n">
        <f aca="false">IF(R1405&lt;(Inputs!$E$29-Inputs!$D$29)/(Inputs!$F$29-Inputs!$D$29),Inputs!$D$29+SQRT(R1405*(Inputs!$F$29-Inputs!$D$29)*(Inputs!$E$29-Inputs!$D$29)),Inputs!$F$29-SQRT((1-R1405)*(Inputs!$F$29-Inputs!$D$29)*(Inputs!$F$29-Inputs!$E$29)))</f>
        <v>10.0018004720111</v>
      </c>
      <c r="T1405" s="68" t="n">
        <f aca="false">Inputs!$E$9*(1+E1405)+Inputs!$E$5*C1405*(Inputs!$E$11*Inputs!$E$14*(G1405*I1405/Inputs!$E$16+(1-G1405))*K1405+Inputs!$E$23*M1405)*(1+O1405)+Inputs!$E$5*(Q1405+S1405)</f>
        <v>6080.58787999708</v>
      </c>
    </row>
    <row r="1406" customFormat="false" ht="15" hidden="false" customHeight="false" outlineLevel="0" collapsed="false">
      <c r="A1406" s="1" t="n">
        <v>1402</v>
      </c>
      <c r="B1406" s="81" t="n">
        <f aca="true">RAND()</f>
        <v>0.544982201704912</v>
      </c>
      <c r="C1406" s="82" t="n">
        <f aca="false">ROUND(IF(B1406&lt;(Inputs!$E$8-Inputs!$D$8)/(Inputs!$F$8-Inputs!$D$8),Inputs!$D$8+SQRT(B1406*(Inputs!$F$8-Inputs!$D$8)*(Inputs!$E$8-Inputs!$D$8)),Inputs!$F$8-SQRT((1-B1406)*(Inputs!$F$8-Inputs!$D$8)*(Inputs!$F$8-Inputs!$E$8))),0)</f>
        <v>25</v>
      </c>
      <c r="D1406" s="81" t="n">
        <f aca="true">RAND()</f>
        <v>0.459993733672332</v>
      </c>
      <c r="E1406" s="83" t="n">
        <f aca="false">IF(D1406&lt;(Inputs!$E$10-Inputs!$D$10)/(Inputs!$F$10-Inputs!$D$10),Inputs!$D$10+SQRT(D1406*(Inputs!$F$10-Inputs!$D$10)*(Inputs!$E$10-Inputs!$D$10)),Inputs!$F$10-SQRT((1-D1406)*(Inputs!$F$10-Inputs!$D$10)*(Inputs!$F$10-Inputs!$E$10)))</f>
        <v>0.072720040894766</v>
      </c>
      <c r="F1406" s="81" t="n">
        <f aca="true">RAND()</f>
        <v>0.85948985309515</v>
      </c>
      <c r="G1406" s="83" t="n">
        <f aca="false">IF(F1406&lt;(Inputs!$E$15-Inputs!$D$15)/(Inputs!$F$15-Inputs!$D$15),Inputs!$D$15+SQRT(F1406*(Inputs!$F$15-Inputs!$D$15)*(Inputs!$E$15-Inputs!$D$15)),Inputs!$F$15-SQRT((1-F1406)*(Inputs!$F$15-Inputs!$D$15)*(Inputs!$F$15-Inputs!$E$15)))</f>
        <v>0.746988652742106</v>
      </c>
      <c r="H1406" s="81" t="n">
        <f aca="true">RAND()</f>
        <v>0.845396021461552</v>
      </c>
      <c r="I1406" s="82" t="n">
        <f aca="false">ROUND(IF(H1406&lt;(Inputs!$E$17-Inputs!$D$17)/(Inputs!$F$17-Inputs!$D$17),Inputs!$D$17+SQRT(H1406*(Inputs!$F$17-Inputs!$D$17)*(Inputs!$E$17-Inputs!$D$17)),Inputs!$F$17-SQRT((1-H1406)*(Inputs!$F$17-Inputs!$D$17)*(Inputs!$F$17-Inputs!$E$17))),0)</f>
        <v>110</v>
      </c>
      <c r="J1406" s="81" t="n">
        <f aca="true">RAND()</f>
        <v>0.0867811507652421</v>
      </c>
      <c r="K1406" s="83" t="n">
        <f aca="false">IF(J1406&lt;(Inputs!$E$18-Inputs!$D$18)/(Inputs!$F$18-Inputs!$D$18),Inputs!$D$18+SQRT(J1406*(Inputs!$F$18-Inputs!$D$18)*(Inputs!$E$18-Inputs!$D$18)),Inputs!$F$18-SQRT((1-J1406)*(Inputs!$F$18-Inputs!$D$18)*(Inputs!$F$18-Inputs!$E$18)))</f>
        <v>0.955112070155125</v>
      </c>
      <c r="L1406" s="81" t="n">
        <f aca="true">RAND()</f>
        <v>0.389991008735719</v>
      </c>
      <c r="M1406" s="83" t="n">
        <f aca="false">IF(L1406&lt;(Inputs!$E$24-Inputs!$D$24)/(Inputs!$F$24-Inputs!$D$24),Inputs!$D$24+SQRT(L1406*(Inputs!$F$24-Inputs!$D$24)*(Inputs!$E$24-Inputs!$D$24)),Inputs!$F$24-SQRT((1-L1406)*(Inputs!$F$24-Inputs!$D$24)*(Inputs!$F$24-Inputs!$E$24)))</f>
        <v>0.817374650730735</v>
      </c>
      <c r="N1406" s="81" t="n">
        <f aca="true">RAND()</f>
        <v>0.774785212310967</v>
      </c>
      <c r="O1406" s="83" t="n">
        <f aca="false">IF(N1406&lt;(Inputs!$E$26-Inputs!$D$26)/(Inputs!$F$26-Inputs!$D$26),Inputs!$D$26+SQRT(N1406*(Inputs!$F$26-Inputs!$D$26)*(Inputs!$E$26-Inputs!$D$26)),Inputs!$F$26-SQRT((1-N1406)*(Inputs!$F$26-Inputs!$D$26)*(Inputs!$F$26-Inputs!$E$26)))</f>
        <v>0.666956418234349</v>
      </c>
      <c r="P1406" s="81" t="n">
        <f aca="true">RAND()</f>
        <v>0.913014061967284</v>
      </c>
      <c r="Q1406" s="82" t="n">
        <f aca="false">IF(P1406&lt;(Inputs!$E$27-Inputs!$D$27)/(Inputs!$F$27-Inputs!$D$27),Inputs!$D$27+SQRT(P1406*(Inputs!$F$27-Inputs!$D$27)*(Inputs!$E$27-Inputs!$D$27)),Inputs!$F$27-SQRT((1-P1406)*(Inputs!$F$27-Inputs!$D$27)*(Inputs!$F$27-Inputs!$E$27)))</f>
        <v>124.457984902413</v>
      </c>
      <c r="R1406" s="81" t="n">
        <f aca="true">RAND()</f>
        <v>0.666839094921197</v>
      </c>
      <c r="S1406" s="82" t="n">
        <f aca="false">IF(R1406&lt;(Inputs!$E$29-Inputs!$D$29)/(Inputs!$F$29-Inputs!$D$29),Inputs!$D$29+SQRT(R1406*(Inputs!$F$29-Inputs!$D$29)*(Inputs!$E$29-Inputs!$D$29)),Inputs!$F$29-SQRT((1-R1406)*(Inputs!$F$29-Inputs!$D$29)*(Inputs!$F$29-Inputs!$E$29)))</f>
        <v>8.4188969267877</v>
      </c>
      <c r="T1406" s="68" t="n">
        <f aca="false">Inputs!$E$9*(1+E1406)+Inputs!$E$5*C1406*(Inputs!$E$11*Inputs!$E$14*(G1406*I1406/Inputs!$E$16+(1-G1406))*K1406+Inputs!$E$23*M1406)*(1+O1406)+Inputs!$E$5*(Q1406+S1406)</f>
        <v>6375.83002292609</v>
      </c>
    </row>
    <row r="1407" customFormat="false" ht="15" hidden="false" customHeight="false" outlineLevel="0" collapsed="false">
      <c r="A1407" s="1" t="n">
        <v>1403</v>
      </c>
      <c r="B1407" s="81" t="n">
        <f aca="true">RAND()</f>
        <v>0.79608220620269</v>
      </c>
      <c r="C1407" s="82" t="n">
        <f aca="false">ROUND(IF(B1407&lt;(Inputs!$E$8-Inputs!$D$8)/(Inputs!$F$8-Inputs!$D$8),Inputs!$D$8+SQRT(B1407*(Inputs!$F$8-Inputs!$D$8)*(Inputs!$E$8-Inputs!$D$8)),Inputs!$F$8-SQRT((1-B1407)*(Inputs!$F$8-Inputs!$D$8)*(Inputs!$F$8-Inputs!$E$8))),0)</f>
        <v>27</v>
      </c>
      <c r="D1407" s="81" t="n">
        <f aca="true">RAND()</f>
        <v>0.0330386313738071</v>
      </c>
      <c r="E1407" s="83" t="n">
        <f aca="false">IF(D1407&lt;(Inputs!$E$10-Inputs!$D$10)/(Inputs!$F$10-Inputs!$D$10),Inputs!$D$10+SQRT(D1407*(Inputs!$F$10-Inputs!$D$10)*(Inputs!$E$10-Inputs!$D$10)),Inputs!$F$10-SQRT((1-D1407)*(Inputs!$F$10-Inputs!$D$10)*(Inputs!$F$10-Inputs!$E$10)))</f>
        <v>0.0181765319502393</v>
      </c>
      <c r="F1407" s="81" t="n">
        <f aca="true">RAND()</f>
        <v>0.750925211915127</v>
      </c>
      <c r="G1407" s="83" t="n">
        <f aca="false">IF(F1407&lt;(Inputs!$E$15-Inputs!$D$15)/(Inputs!$F$15-Inputs!$D$15),Inputs!$D$15+SQRT(F1407*(Inputs!$F$15-Inputs!$D$15)*(Inputs!$E$15-Inputs!$D$15)),Inputs!$F$15-SQRT((1-F1407)*(Inputs!$F$15-Inputs!$D$15)*(Inputs!$F$15-Inputs!$E$15)))</f>
        <v>0.729420287888817</v>
      </c>
      <c r="H1407" s="81" t="n">
        <f aca="true">RAND()</f>
        <v>0.711911810946776</v>
      </c>
      <c r="I1407" s="82" t="n">
        <f aca="false">ROUND(IF(H1407&lt;(Inputs!$E$17-Inputs!$D$17)/(Inputs!$F$17-Inputs!$D$17),Inputs!$D$17+SQRT(H1407*(Inputs!$F$17-Inputs!$D$17)*(Inputs!$E$17-Inputs!$D$17)),Inputs!$F$17-SQRT((1-H1407)*(Inputs!$F$17-Inputs!$D$17)*(Inputs!$F$17-Inputs!$E$17))),0)</f>
        <v>108</v>
      </c>
      <c r="J1407" s="81" t="n">
        <f aca="true">RAND()</f>
        <v>0.821646463660896</v>
      </c>
      <c r="K1407" s="83" t="n">
        <f aca="false">IF(J1407&lt;(Inputs!$E$18-Inputs!$D$18)/(Inputs!$F$18-Inputs!$D$18),Inputs!$D$18+SQRT(J1407*(Inputs!$F$18-Inputs!$D$18)*(Inputs!$E$18-Inputs!$D$18)),Inputs!$F$18-SQRT((1-J1407)*(Inputs!$F$18-Inputs!$D$18)*(Inputs!$F$18-Inputs!$E$18)))</f>
        <v>1.12507628555926</v>
      </c>
      <c r="L1407" s="81" t="n">
        <f aca="true">RAND()</f>
        <v>0.332903070540246</v>
      </c>
      <c r="M1407" s="83" t="n">
        <f aca="false">IF(L1407&lt;(Inputs!$E$24-Inputs!$D$24)/(Inputs!$F$24-Inputs!$D$24),Inputs!$D$24+SQRT(L1407*(Inputs!$F$24-Inputs!$D$24)*(Inputs!$E$24-Inputs!$D$24)),Inputs!$F$24-SQRT((1-L1407)*(Inputs!$F$24-Inputs!$D$24)*(Inputs!$F$24-Inputs!$E$24)))</f>
        <v>0.799870879481803</v>
      </c>
      <c r="N1407" s="81" t="n">
        <f aca="true">RAND()</f>
        <v>0.43219207449537</v>
      </c>
      <c r="O1407" s="83" t="n">
        <f aca="false">IF(N1407&lt;(Inputs!$E$26-Inputs!$D$26)/(Inputs!$F$26-Inputs!$D$26),Inputs!$D$26+SQRT(N1407*(Inputs!$F$26-Inputs!$D$26)*(Inputs!$E$26-Inputs!$D$26)),Inputs!$F$26-SQRT((1-N1407)*(Inputs!$F$26-Inputs!$D$26)*(Inputs!$F$26-Inputs!$E$26)))</f>
        <v>0.568173006091272</v>
      </c>
      <c r="P1407" s="81" t="n">
        <f aca="true">RAND()</f>
        <v>0.584949963484238</v>
      </c>
      <c r="Q1407" s="82" t="n">
        <f aca="false">IF(P1407&lt;(Inputs!$E$27-Inputs!$D$27)/(Inputs!$F$27-Inputs!$D$27),Inputs!$D$27+SQRT(P1407*(Inputs!$F$27-Inputs!$D$27)*(Inputs!$E$27-Inputs!$D$27)),Inputs!$F$27-SQRT((1-P1407)*(Inputs!$F$27-Inputs!$D$27)*(Inputs!$F$27-Inputs!$E$27)))</f>
        <v>94.2068528054904</v>
      </c>
      <c r="R1407" s="81" t="n">
        <f aca="true">RAND()</f>
        <v>0.297995672887511</v>
      </c>
      <c r="S1407" s="82" t="n">
        <f aca="false">IF(R1407&lt;(Inputs!$E$29-Inputs!$D$29)/(Inputs!$F$29-Inputs!$D$29),Inputs!$D$29+SQRT(R1407*(Inputs!$F$29-Inputs!$D$29)*(Inputs!$E$29-Inputs!$D$29)),Inputs!$F$29-SQRT((1-R1407)*(Inputs!$F$29-Inputs!$D$29)*(Inputs!$F$29-Inputs!$E$29)))</f>
        <v>5.44696056091971</v>
      </c>
      <c r="T1407" s="68" t="n">
        <f aca="false">Inputs!$E$9*(1+E1407)+Inputs!$E$5*C1407*(Inputs!$E$11*Inputs!$E$14*(G1407*I1407/Inputs!$E$16+(1-G1407))*K1407+Inputs!$E$23*M1407)*(1+O1407)+Inputs!$E$5*(Q1407+S1407)</f>
        <v>6500.49649133502</v>
      </c>
    </row>
    <row r="1408" customFormat="false" ht="15" hidden="false" customHeight="false" outlineLevel="0" collapsed="false">
      <c r="A1408" s="1" t="n">
        <v>1404</v>
      </c>
      <c r="B1408" s="81" t="n">
        <f aca="true">RAND()</f>
        <v>0.894352458905285</v>
      </c>
      <c r="C1408" s="82" t="n">
        <f aca="false">ROUND(IF(B1408&lt;(Inputs!$E$8-Inputs!$D$8)/(Inputs!$F$8-Inputs!$D$8),Inputs!$D$8+SQRT(B1408*(Inputs!$F$8-Inputs!$D$8)*(Inputs!$E$8-Inputs!$D$8)),Inputs!$F$8-SQRT((1-B1408)*(Inputs!$F$8-Inputs!$D$8)*(Inputs!$F$8-Inputs!$E$8))),0)</f>
        <v>28</v>
      </c>
      <c r="D1408" s="81" t="n">
        <f aca="true">RAND()</f>
        <v>0.476208734699623</v>
      </c>
      <c r="E1408" s="83" t="n">
        <f aca="false">IF(D1408&lt;(Inputs!$E$10-Inputs!$D$10)/(Inputs!$F$10-Inputs!$D$10),Inputs!$D$10+SQRT(D1408*(Inputs!$F$10-Inputs!$D$10)*(Inputs!$E$10-Inputs!$D$10)),Inputs!$F$10-SQRT((1-D1408)*(Inputs!$F$10-Inputs!$D$10)*(Inputs!$F$10-Inputs!$E$10)))</f>
        <v>0.0746455507011765</v>
      </c>
      <c r="F1408" s="81" t="n">
        <f aca="true">RAND()</f>
        <v>0.38266939649009</v>
      </c>
      <c r="G1408" s="83" t="n">
        <f aca="false">IF(F1408&lt;(Inputs!$E$15-Inputs!$D$15)/(Inputs!$F$15-Inputs!$D$15),Inputs!$D$15+SQRT(F1408*(Inputs!$F$15-Inputs!$D$15)*(Inputs!$E$15-Inputs!$D$15)),Inputs!$F$15-SQRT((1-F1408)*(Inputs!$F$15-Inputs!$D$15)*(Inputs!$F$15-Inputs!$E$15)))</f>
        <v>0.687483643784434</v>
      </c>
      <c r="H1408" s="81" t="n">
        <f aca="true">RAND()</f>
        <v>0.755815661775595</v>
      </c>
      <c r="I1408" s="82" t="n">
        <f aca="false">ROUND(IF(H1408&lt;(Inputs!$E$17-Inputs!$D$17)/(Inputs!$F$17-Inputs!$D$17),Inputs!$D$17+SQRT(H1408*(Inputs!$F$17-Inputs!$D$17)*(Inputs!$E$17-Inputs!$D$17)),Inputs!$F$17-SQRT((1-H1408)*(Inputs!$F$17-Inputs!$D$17)*(Inputs!$F$17-Inputs!$E$17))),0)</f>
        <v>109</v>
      </c>
      <c r="J1408" s="81" t="n">
        <f aca="true">RAND()</f>
        <v>0.758193446705684</v>
      </c>
      <c r="K1408" s="83" t="n">
        <f aca="false">IF(J1408&lt;(Inputs!$E$18-Inputs!$D$18)/(Inputs!$F$18-Inputs!$D$18),Inputs!$D$18+SQRT(J1408*(Inputs!$F$18-Inputs!$D$18)*(Inputs!$E$18-Inputs!$D$18)),Inputs!$F$18-SQRT((1-J1408)*(Inputs!$F$18-Inputs!$D$18)*(Inputs!$F$18-Inputs!$E$18)))</f>
        <v>1.10454184995934</v>
      </c>
      <c r="L1408" s="81" t="n">
        <f aca="true">RAND()</f>
        <v>0.488875995046516</v>
      </c>
      <c r="M1408" s="83" t="n">
        <f aca="false">IF(L1408&lt;(Inputs!$E$24-Inputs!$D$24)/(Inputs!$F$24-Inputs!$D$24),Inputs!$D$24+SQRT(L1408*(Inputs!$F$24-Inputs!$D$24)*(Inputs!$E$24-Inputs!$D$24)),Inputs!$F$24-SQRT((1-L1408)*(Inputs!$F$24-Inputs!$D$24)*(Inputs!$F$24-Inputs!$E$24)))</f>
        <v>0.849757567977785</v>
      </c>
      <c r="N1408" s="81" t="n">
        <f aca="true">RAND()</f>
        <v>0.98979361350817</v>
      </c>
      <c r="O1408" s="83" t="n">
        <f aca="false">IF(N1408&lt;(Inputs!$E$26-Inputs!$D$26)/(Inputs!$F$26-Inputs!$D$26),Inputs!$D$26+SQRT(N1408*(Inputs!$F$26-Inputs!$D$26)*(Inputs!$E$26-Inputs!$D$26)),Inputs!$F$26-SQRT((1-N1408)*(Inputs!$F$26-Inputs!$D$26)*(Inputs!$F$26-Inputs!$E$26)))</f>
        <v>0.787419880369306</v>
      </c>
      <c r="P1408" s="81" t="n">
        <f aca="true">RAND()</f>
        <v>0.0425557834062333</v>
      </c>
      <c r="Q1408" s="82" t="n">
        <f aca="false">IF(P1408&lt;(Inputs!$E$27-Inputs!$D$27)/(Inputs!$F$27-Inputs!$D$27),Inputs!$D$27+SQRT(P1408*(Inputs!$F$27-Inputs!$D$27)*(Inputs!$E$27-Inputs!$D$27)),Inputs!$F$27-SQRT((1-P1408)*(Inputs!$F$27-Inputs!$D$27)*(Inputs!$F$27-Inputs!$E$27)))</f>
        <v>60.3145265773851</v>
      </c>
      <c r="R1408" s="81" t="n">
        <f aca="true">RAND()</f>
        <v>0.972025760095038</v>
      </c>
      <c r="S1408" s="82" t="n">
        <f aca="false">IF(R1408&lt;(Inputs!$E$29-Inputs!$D$29)/(Inputs!$F$29-Inputs!$D$29),Inputs!$D$29+SQRT(R1408*(Inputs!$F$29-Inputs!$D$29)*(Inputs!$E$29-Inputs!$D$29)),Inputs!$F$29-SQRT((1-R1408)*(Inputs!$F$29-Inputs!$D$29)*(Inputs!$F$29-Inputs!$E$29)))</f>
        <v>13.0929994264172</v>
      </c>
      <c r="T1408" s="68" t="n">
        <f aca="false">Inputs!$E$9*(1+E1408)+Inputs!$E$5*C1408*(Inputs!$E$11*Inputs!$E$14*(G1408*I1408/Inputs!$E$16+(1-G1408))*K1408+Inputs!$E$23*M1408)*(1+O1408)+Inputs!$E$5*(Q1408+S1408)</f>
        <v>7302.34418804911</v>
      </c>
    </row>
    <row r="1409" customFormat="false" ht="15" hidden="false" customHeight="false" outlineLevel="0" collapsed="false">
      <c r="A1409" s="1" t="n">
        <v>1405</v>
      </c>
      <c r="B1409" s="81" t="n">
        <f aca="true">RAND()</f>
        <v>0.591673818077647</v>
      </c>
      <c r="C1409" s="82" t="n">
        <f aca="false">ROUND(IF(B1409&lt;(Inputs!$E$8-Inputs!$D$8)/(Inputs!$F$8-Inputs!$D$8),Inputs!$D$8+SQRT(B1409*(Inputs!$F$8-Inputs!$D$8)*(Inputs!$E$8-Inputs!$D$8)),Inputs!$F$8-SQRT((1-B1409)*(Inputs!$F$8-Inputs!$D$8)*(Inputs!$F$8-Inputs!$E$8))),0)</f>
        <v>25</v>
      </c>
      <c r="D1409" s="81" t="n">
        <f aca="true">RAND()</f>
        <v>0.244154963321181</v>
      </c>
      <c r="E1409" s="83" t="n">
        <f aca="false">IF(D1409&lt;(Inputs!$E$10-Inputs!$D$10)/(Inputs!$F$10-Inputs!$D$10),Inputs!$D$10+SQRT(D1409*(Inputs!$F$10-Inputs!$D$10)*(Inputs!$E$10-Inputs!$D$10)),Inputs!$F$10-SQRT((1-D1409)*(Inputs!$F$10-Inputs!$D$10)*(Inputs!$F$10-Inputs!$E$10)))</f>
        <v>0.0494120393549164</v>
      </c>
      <c r="F1409" s="81" t="n">
        <f aca="true">RAND()</f>
        <v>0.507299544165476</v>
      </c>
      <c r="G1409" s="83" t="n">
        <f aca="false">IF(F1409&lt;(Inputs!$E$15-Inputs!$D$15)/(Inputs!$F$15-Inputs!$D$15),Inputs!$D$15+SQRT(F1409*(Inputs!$F$15-Inputs!$D$15)*(Inputs!$E$15-Inputs!$D$15)),Inputs!$F$15-SQRT((1-F1409)*(Inputs!$F$15-Inputs!$D$15)*(Inputs!$F$15-Inputs!$E$15)))</f>
        <v>0.700732638210283</v>
      </c>
      <c r="H1409" s="81" t="n">
        <f aca="true">RAND()</f>
        <v>0.80067417974165</v>
      </c>
      <c r="I1409" s="82" t="n">
        <f aca="false">ROUND(IF(H1409&lt;(Inputs!$E$17-Inputs!$D$17)/(Inputs!$F$17-Inputs!$D$17),Inputs!$D$17+SQRT(H1409*(Inputs!$F$17-Inputs!$D$17)*(Inputs!$E$17-Inputs!$D$17)),Inputs!$F$17-SQRT((1-H1409)*(Inputs!$F$17-Inputs!$D$17)*(Inputs!$F$17-Inputs!$E$17))),0)</f>
        <v>110</v>
      </c>
      <c r="J1409" s="81" t="n">
        <f aca="true">RAND()</f>
        <v>0.86341784377554</v>
      </c>
      <c r="K1409" s="83" t="n">
        <f aca="false">IF(J1409&lt;(Inputs!$E$18-Inputs!$D$18)/(Inputs!$F$18-Inputs!$D$18),Inputs!$D$18+SQRT(J1409*(Inputs!$F$18-Inputs!$D$18)*(Inputs!$E$18-Inputs!$D$18)),Inputs!$F$18-SQRT((1-J1409)*(Inputs!$F$18-Inputs!$D$18)*(Inputs!$F$18-Inputs!$E$18)))</f>
        <v>1.14067965116393</v>
      </c>
      <c r="L1409" s="81" t="n">
        <f aca="true">RAND()</f>
        <v>0.436603461635393</v>
      </c>
      <c r="M1409" s="83" t="n">
        <f aca="false">IF(L1409&lt;(Inputs!$E$24-Inputs!$D$24)/(Inputs!$F$24-Inputs!$D$24),Inputs!$D$24+SQRT(L1409*(Inputs!$F$24-Inputs!$D$24)*(Inputs!$E$24-Inputs!$D$24)),Inputs!$F$24-SQRT((1-L1409)*(Inputs!$F$24-Inputs!$D$24)*(Inputs!$F$24-Inputs!$E$24)))</f>
        <v>0.832283846958682</v>
      </c>
      <c r="N1409" s="81" t="n">
        <f aca="true">RAND()</f>
        <v>0.079249116421348</v>
      </c>
      <c r="O1409" s="83" t="n">
        <f aca="false">IF(N1409&lt;(Inputs!$E$26-Inputs!$D$26)/(Inputs!$F$26-Inputs!$D$26),Inputs!$D$26+SQRT(N1409*(Inputs!$F$26-Inputs!$D$26)*(Inputs!$E$26-Inputs!$D$26)),Inputs!$F$26-SQRT((1-N1409)*(Inputs!$F$26-Inputs!$D$26)*(Inputs!$F$26-Inputs!$E$26)))</f>
        <v>0.414834894402844</v>
      </c>
      <c r="P1409" s="81" t="n">
        <f aca="true">RAND()</f>
        <v>0.081633178727339</v>
      </c>
      <c r="Q1409" s="82" t="n">
        <f aca="false">IF(P1409&lt;(Inputs!$E$27-Inputs!$D$27)/(Inputs!$F$27-Inputs!$D$27),Inputs!$D$27+SQRT(P1409*(Inputs!$F$27-Inputs!$D$27)*(Inputs!$E$27-Inputs!$D$27)),Inputs!$F$27-SQRT((1-P1409)*(Inputs!$F$27-Inputs!$D$27)*(Inputs!$F$27-Inputs!$E$27)))</f>
        <v>64.2857602814253</v>
      </c>
      <c r="R1409" s="81" t="n">
        <f aca="true">RAND()</f>
        <v>0.109224438874231</v>
      </c>
      <c r="S1409" s="82" t="n">
        <f aca="false">IF(R1409&lt;(Inputs!$E$29-Inputs!$D$29)/(Inputs!$F$29-Inputs!$D$29),Inputs!$D$29+SQRT(R1409*(Inputs!$F$29-Inputs!$D$29)*(Inputs!$E$29-Inputs!$D$29)),Inputs!$F$29-SQRT((1-R1409)*(Inputs!$F$29-Inputs!$D$29)*(Inputs!$F$29-Inputs!$E$29)))</f>
        <v>4.06391693536707</v>
      </c>
      <c r="T1409" s="68" t="n">
        <f aca="false">Inputs!$E$9*(1+E1409)+Inputs!$E$5*C1409*(Inputs!$E$11*Inputs!$E$14*(G1409*I1409/Inputs!$E$16+(1-G1409))*K1409+Inputs!$E$23*M1409)*(1+O1409)+Inputs!$E$5*(Q1409+S1409)</f>
        <v>5924.49545233016</v>
      </c>
    </row>
    <row r="1410" customFormat="false" ht="15" hidden="false" customHeight="false" outlineLevel="0" collapsed="false">
      <c r="A1410" s="1" t="n">
        <v>1406</v>
      </c>
      <c r="B1410" s="81" t="n">
        <f aca="true">RAND()</f>
        <v>0.345783928566431</v>
      </c>
      <c r="C1410" s="82" t="n">
        <f aca="false">ROUND(IF(B1410&lt;(Inputs!$E$8-Inputs!$D$8)/(Inputs!$F$8-Inputs!$D$8),Inputs!$D$8+SQRT(B1410*(Inputs!$F$8-Inputs!$D$8)*(Inputs!$E$8-Inputs!$D$8)),Inputs!$F$8-SQRT((1-B1410)*(Inputs!$F$8-Inputs!$D$8)*(Inputs!$F$8-Inputs!$E$8))),0)</f>
        <v>24</v>
      </c>
      <c r="D1410" s="81" t="n">
        <f aca="true">RAND()</f>
        <v>0.173109095401852</v>
      </c>
      <c r="E1410" s="83" t="n">
        <f aca="false">IF(D1410&lt;(Inputs!$E$10-Inputs!$D$10)/(Inputs!$F$10-Inputs!$D$10),Inputs!$D$10+SQRT(D1410*(Inputs!$F$10-Inputs!$D$10)*(Inputs!$E$10-Inputs!$D$10)),Inputs!$F$10-SQRT((1-D1410)*(Inputs!$F$10-Inputs!$D$10)*(Inputs!$F$10-Inputs!$E$10)))</f>
        <v>0.0416063811694616</v>
      </c>
      <c r="F1410" s="81" t="n">
        <f aca="true">RAND()</f>
        <v>0.465047381554094</v>
      </c>
      <c r="G1410" s="83" t="n">
        <f aca="false">IF(F1410&lt;(Inputs!$E$15-Inputs!$D$15)/(Inputs!$F$15-Inputs!$D$15),Inputs!$D$15+SQRT(F1410*(Inputs!$F$15-Inputs!$D$15)*(Inputs!$E$15-Inputs!$D$15)),Inputs!$F$15-SQRT((1-F1410)*(Inputs!$F$15-Inputs!$D$15)*(Inputs!$F$15-Inputs!$E$15)))</f>
        <v>0.696441420723058</v>
      </c>
      <c r="H1410" s="81" t="n">
        <f aca="true">RAND()</f>
        <v>0.789321733921533</v>
      </c>
      <c r="I1410" s="82" t="n">
        <f aca="false">ROUND(IF(H1410&lt;(Inputs!$E$17-Inputs!$D$17)/(Inputs!$F$17-Inputs!$D$17),Inputs!$D$17+SQRT(H1410*(Inputs!$F$17-Inputs!$D$17)*(Inputs!$E$17-Inputs!$D$17)),Inputs!$F$17-SQRT((1-H1410)*(Inputs!$F$17-Inputs!$D$17)*(Inputs!$F$17-Inputs!$E$17))),0)</f>
        <v>109</v>
      </c>
      <c r="J1410" s="81" t="n">
        <f aca="true">RAND()</f>
        <v>0.44475433365276</v>
      </c>
      <c r="K1410" s="83" t="n">
        <f aca="false">IF(J1410&lt;(Inputs!$E$18-Inputs!$D$18)/(Inputs!$F$18-Inputs!$D$18),Inputs!$D$18+SQRT(J1410*(Inputs!$F$18-Inputs!$D$18)*(Inputs!$E$18-Inputs!$D$18)),Inputs!$F$18-SQRT((1-J1410)*(Inputs!$F$18-Inputs!$D$18)*(Inputs!$F$18-Inputs!$E$18)))</f>
        <v>1.02958222438881</v>
      </c>
      <c r="L1410" s="81" t="n">
        <f aca="true">RAND()</f>
        <v>0.727703999795047</v>
      </c>
      <c r="M1410" s="83" t="n">
        <f aca="false">IF(L1410&lt;(Inputs!$E$24-Inputs!$D$24)/(Inputs!$F$24-Inputs!$D$24),Inputs!$D$24+SQRT(L1410*(Inputs!$F$24-Inputs!$D$24)*(Inputs!$E$24-Inputs!$D$24)),Inputs!$F$24-SQRT((1-L1410)*(Inputs!$F$24-Inputs!$D$24)*(Inputs!$F$24-Inputs!$E$24)))</f>
        <v>0.94436150514997</v>
      </c>
      <c r="N1410" s="81" t="n">
        <f aca="true">RAND()</f>
        <v>0.0962550101033524</v>
      </c>
      <c r="O1410" s="83" t="n">
        <f aca="false">IF(N1410&lt;(Inputs!$E$26-Inputs!$D$26)/(Inputs!$F$26-Inputs!$D$26),Inputs!$D$26+SQRT(N1410*(Inputs!$F$26-Inputs!$D$26)*(Inputs!$E$26-Inputs!$D$26)),Inputs!$F$26-SQRT((1-N1410)*(Inputs!$F$26-Inputs!$D$26)*(Inputs!$F$26-Inputs!$E$26)))</f>
        <v>0.426557629881402</v>
      </c>
      <c r="P1410" s="81" t="n">
        <f aca="true">RAND()</f>
        <v>0.764747430086039</v>
      </c>
      <c r="Q1410" s="82" t="n">
        <f aca="false">IF(P1410&lt;(Inputs!$E$27-Inputs!$D$27)/(Inputs!$F$27-Inputs!$D$27),Inputs!$D$27+SQRT(P1410*(Inputs!$F$27-Inputs!$D$27)*(Inputs!$E$27-Inputs!$D$27)),Inputs!$F$27-SQRT((1-P1410)*(Inputs!$F$27-Inputs!$D$27)*(Inputs!$F$27-Inputs!$E$27)))</f>
        <v>107.995306519929</v>
      </c>
      <c r="R1410" s="81" t="n">
        <f aca="true">RAND()</f>
        <v>0.349612279141272</v>
      </c>
      <c r="S1410" s="82" t="n">
        <f aca="false">IF(R1410&lt;(Inputs!$E$29-Inputs!$D$29)/(Inputs!$F$29-Inputs!$D$29),Inputs!$D$29+SQRT(R1410*(Inputs!$F$29-Inputs!$D$29)*(Inputs!$E$29-Inputs!$D$29)),Inputs!$F$29-SQRT((1-R1410)*(Inputs!$F$29-Inputs!$D$29)*(Inputs!$F$29-Inputs!$E$29)))</f>
        <v>5.80487065280566</v>
      </c>
      <c r="T1410" s="68" t="n">
        <f aca="false">Inputs!$E$9*(1+E1410)+Inputs!$E$5*C1410*(Inputs!$E$11*Inputs!$E$14*(G1410*I1410/Inputs!$E$16+(1-G1410))*K1410+Inputs!$E$23*M1410)*(1+O1410)+Inputs!$E$5*(Q1410+S1410)</f>
        <v>5951.24789160652</v>
      </c>
    </row>
    <row r="1411" customFormat="false" ht="15" hidden="false" customHeight="false" outlineLevel="0" collapsed="false">
      <c r="A1411" s="1" t="n">
        <v>1407</v>
      </c>
      <c r="B1411" s="81" t="n">
        <f aca="true">RAND()</f>
        <v>0.222208177486895</v>
      </c>
      <c r="C1411" s="82" t="n">
        <f aca="false">ROUND(IF(B1411&lt;(Inputs!$E$8-Inputs!$D$8)/(Inputs!$F$8-Inputs!$D$8),Inputs!$D$8+SQRT(B1411*(Inputs!$F$8-Inputs!$D$8)*(Inputs!$E$8-Inputs!$D$8)),Inputs!$F$8-SQRT((1-B1411)*(Inputs!$F$8-Inputs!$D$8)*(Inputs!$F$8-Inputs!$E$8))),0)</f>
        <v>23</v>
      </c>
      <c r="D1411" s="81" t="n">
        <f aca="true">RAND()</f>
        <v>0.79726766296812</v>
      </c>
      <c r="E1411" s="83" t="n">
        <f aca="false">IF(D1411&lt;(Inputs!$E$10-Inputs!$D$10)/(Inputs!$F$10-Inputs!$D$10),Inputs!$D$10+SQRT(D1411*(Inputs!$F$10-Inputs!$D$10)*(Inputs!$E$10-Inputs!$D$10)),Inputs!$F$10-SQRT((1-D1411)*(Inputs!$F$10-Inputs!$D$10)*(Inputs!$F$10-Inputs!$E$10)))</f>
        <v>0.122013013194787</v>
      </c>
      <c r="F1411" s="81" t="n">
        <f aca="true">RAND()</f>
        <v>0.0196807597939122</v>
      </c>
      <c r="G1411" s="83" t="n">
        <f aca="false">IF(F1411&lt;(Inputs!$E$15-Inputs!$D$15)/(Inputs!$F$15-Inputs!$D$15),Inputs!$D$15+SQRT(F1411*(Inputs!$F$15-Inputs!$D$15)*(Inputs!$E$15-Inputs!$D$15)),Inputs!$F$15-SQRT((1-F1411)*(Inputs!$F$15-Inputs!$D$15)*(Inputs!$F$15-Inputs!$E$15)))</f>
        <v>0.619839737797618</v>
      </c>
      <c r="H1411" s="81" t="n">
        <f aca="true">RAND()</f>
        <v>0.382404558245562</v>
      </c>
      <c r="I1411" s="82" t="n">
        <f aca="false">ROUND(IF(H1411&lt;(Inputs!$E$17-Inputs!$D$17)/(Inputs!$F$17-Inputs!$D$17),Inputs!$D$17+SQRT(H1411*(Inputs!$F$17-Inputs!$D$17)*(Inputs!$E$17-Inputs!$D$17)),Inputs!$F$17-SQRT((1-H1411)*(Inputs!$F$17-Inputs!$D$17)*(Inputs!$F$17-Inputs!$E$17))),0)</f>
        <v>105</v>
      </c>
      <c r="J1411" s="81" t="n">
        <f aca="true">RAND()</f>
        <v>0.399658339093996</v>
      </c>
      <c r="K1411" s="83" t="n">
        <f aca="false">IF(J1411&lt;(Inputs!$E$18-Inputs!$D$18)/(Inputs!$F$18-Inputs!$D$18),Inputs!$D$18+SQRT(J1411*(Inputs!$F$18-Inputs!$D$18)*(Inputs!$E$18-Inputs!$D$18)),Inputs!$F$18-SQRT((1-J1411)*(Inputs!$F$18-Inputs!$D$18)*(Inputs!$F$18-Inputs!$E$18)))</f>
        <v>1.02080598757979</v>
      </c>
      <c r="L1411" s="81" t="n">
        <f aca="true">RAND()</f>
        <v>0.488662307401062</v>
      </c>
      <c r="M1411" s="83" t="n">
        <f aca="false">IF(L1411&lt;(Inputs!$E$24-Inputs!$D$24)/(Inputs!$F$24-Inputs!$D$24),Inputs!$D$24+SQRT(L1411*(Inputs!$F$24-Inputs!$D$24)*(Inputs!$E$24-Inputs!$D$24)),Inputs!$F$24-SQRT((1-L1411)*(Inputs!$F$24-Inputs!$D$24)*(Inputs!$F$24-Inputs!$E$24)))</f>
        <v>0.849684362005141</v>
      </c>
      <c r="N1411" s="81" t="n">
        <f aca="true">RAND()</f>
        <v>0.550496955368087</v>
      </c>
      <c r="O1411" s="83" t="n">
        <f aca="false">IF(N1411&lt;(Inputs!$E$26-Inputs!$D$26)/(Inputs!$F$26-Inputs!$D$26),Inputs!$D$26+SQRT(N1411*(Inputs!$F$26-Inputs!$D$26)*(Inputs!$E$26-Inputs!$D$26)),Inputs!$F$26-SQRT((1-N1411)*(Inputs!$F$26-Inputs!$D$26)*(Inputs!$F$26-Inputs!$E$26)))</f>
        <v>0.602659368553577</v>
      </c>
      <c r="P1411" s="81" t="n">
        <f aca="true">RAND()</f>
        <v>0.471104719534405</v>
      </c>
      <c r="Q1411" s="82" t="n">
        <f aca="false">IF(P1411&lt;(Inputs!$E$27-Inputs!$D$27)/(Inputs!$F$27-Inputs!$D$27),Inputs!$D$27+SQRT(P1411*(Inputs!$F$27-Inputs!$D$27)*(Inputs!$E$27-Inputs!$D$27)),Inputs!$F$27-SQRT((1-P1411)*(Inputs!$F$27-Inputs!$D$27)*(Inputs!$F$27-Inputs!$E$27)))</f>
        <v>87.0181406793039</v>
      </c>
      <c r="R1411" s="81" t="n">
        <f aca="true">RAND()</f>
        <v>0.243634772111318</v>
      </c>
      <c r="S1411" s="82" t="n">
        <f aca="false">IF(R1411&lt;(Inputs!$E$29-Inputs!$D$29)/(Inputs!$F$29-Inputs!$D$29),Inputs!$D$29+SQRT(R1411*(Inputs!$F$29-Inputs!$D$29)*(Inputs!$E$29-Inputs!$D$29)),Inputs!$F$29-SQRT((1-R1411)*(Inputs!$F$29-Inputs!$D$29)*(Inputs!$F$29-Inputs!$E$29)))</f>
        <v>5.08397863931664</v>
      </c>
      <c r="T1411" s="68" t="n">
        <f aca="false">Inputs!$E$9*(1+E1411)+Inputs!$E$5*C1411*(Inputs!$E$11*Inputs!$E$14*(G1411*I1411/Inputs!$E$16+(1-G1411))*K1411+Inputs!$E$23*M1411)*(1+O1411)+Inputs!$E$5*(Q1411+S1411)</f>
        <v>6166.65741385264</v>
      </c>
    </row>
    <row r="1412" customFormat="false" ht="15" hidden="false" customHeight="false" outlineLevel="0" collapsed="false">
      <c r="A1412" s="1" t="n">
        <v>1408</v>
      </c>
      <c r="B1412" s="81" t="n">
        <f aca="true">RAND()</f>
        <v>0.0980270395703633</v>
      </c>
      <c r="C1412" s="82" t="n">
        <f aca="false">ROUND(IF(B1412&lt;(Inputs!$E$8-Inputs!$D$8)/(Inputs!$F$8-Inputs!$D$8),Inputs!$D$8+SQRT(B1412*(Inputs!$F$8-Inputs!$D$8)*(Inputs!$E$8-Inputs!$D$8)),Inputs!$F$8-SQRT((1-B1412)*(Inputs!$F$8-Inputs!$D$8)*(Inputs!$F$8-Inputs!$E$8))),0)</f>
        <v>22</v>
      </c>
      <c r="D1412" s="81" t="n">
        <f aca="true">RAND()</f>
        <v>0.256896908458766</v>
      </c>
      <c r="E1412" s="83" t="n">
        <f aca="false">IF(D1412&lt;(Inputs!$E$10-Inputs!$D$10)/(Inputs!$F$10-Inputs!$D$10),Inputs!$D$10+SQRT(D1412*(Inputs!$F$10-Inputs!$D$10)*(Inputs!$E$10-Inputs!$D$10)),Inputs!$F$10-SQRT((1-D1412)*(Inputs!$F$10-Inputs!$D$10)*(Inputs!$F$10-Inputs!$E$10)))</f>
        <v>0.0506912837566506</v>
      </c>
      <c r="F1412" s="81" t="n">
        <f aca="true">RAND()</f>
        <v>0.784421719777168</v>
      </c>
      <c r="G1412" s="83" t="n">
        <f aca="false">IF(F1412&lt;(Inputs!$E$15-Inputs!$D$15)/(Inputs!$F$15-Inputs!$D$15),Inputs!$D$15+SQRT(F1412*(Inputs!$F$15-Inputs!$D$15)*(Inputs!$E$15-Inputs!$D$15)),Inputs!$F$15-SQRT((1-F1412)*(Inputs!$F$15-Inputs!$D$15)*(Inputs!$F$15-Inputs!$E$15)))</f>
        <v>0.734337487068673</v>
      </c>
      <c r="H1412" s="81" t="n">
        <f aca="true">RAND()</f>
        <v>0.767212911385261</v>
      </c>
      <c r="I1412" s="82" t="n">
        <f aca="false">ROUND(IF(H1412&lt;(Inputs!$E$17-Inputs!$D$17)/(Inputs!$F$17-Inputs!$D$17),Inputs!$D$17+SQRT(H1412*(Inputs!$F$17-Inputs!$D$17)*(Inputs!$E$17-Inputs!$D$17)),Inputs!$F$17-SQRT((1-H1412)*(Inputs!$F$17-Inputs!$D$17)*(Inputs!$F$17-Inputs!$E$17))),0)</f>
        <v>109</v>
      </c>
      <c r="J1412" s="81" t="n">
        <f aca="true">RAND()</f>
        <v>0.932797878659032</v>
      </c>
      <c r="K1412" s="83" t="n">
        <f aca="false">IF(J1412&lt;(Inputs!$E$18-Inputs!$D$18)/(Inputs!$F$18-Inputs!$D$18),Inputs!$D$18+SQRT(J1412*(Inputs!$F$18-Inputs!$D$18)*(Inputs!$E$18-Inputs!$D$18)),Inputs!$F$18-SQRT((1-J1412)*(Inputs!$F$18-Inputs!$D$18)*(Inputs!$F$18-Inputs!$E$18)))</f>
        <v>1.17331763163977</v>
      </c>
      <c r="L1412" s="81" t="n">
        <f aca="true">RAND()</f>
        <v>0.467983547977213</v>
      </c>
      <c r="M1412" s="83" t="n">
        <f aca="false">IF(L1412&lt;(Inputs!$E$24-Inputs!$D$24)/(Inputs!$F$24-Inputs!$D$24),Inputs!$D$24+SQRT(L1412*(Inputs!$F$24-Inputs!$D$24)*(Inputs!$E$24-Inputs!$D$24)),Inputs!$F$24-SQRT((1-L1412)*(Inputs!$F$24-Inputs!$D$24)*(Inputs!$F$24-Inputs!$E$24)))</f>
        <v>0.8426710920098</v>
      </c>
      <c r="N1412" s="81" t="n">
        <f aca="true">RAND()</f>
        <v>0.166177597590885</v>
      </c>
      <c r="O1412" s="83" t="n">
        <f aca="false">IF(N1412&lt;(Inputs!$E$26-Inputs!$D$26)/(Inputs!$F$26-Inputs!$D$26),Inputs!$D$26+SQRT(N1412*(Inputs!$F$26-Inputs!$D$26)*(Inputs!$E$26-Inputs!$D$26)),Inputs!$F$26-SQRT((1-N1412)*(Inputs!$F$26-Inputs!$D$26)*(Inputs!$F$26-Inputs!$E$26)))</f>
        <v>0.466288761614016</v>
      </c>
      <c r="P1412" s="81" t="n">
        <f aca="true">RAND()</f>
        <v>0.788449700671555</v>
      </c>
      <c r="Q1412" s="82" t="n">
        <f aca="false">IF(P1412&lt;(Inputs!$E$27-Inputs!$D$27)/(Inputs!$F$27-Inputs!$D$27),Inputs!$D$27+SQRT(P1412*(Inputs!$F$27-Inputs!$D$27)*(Inputs!$E$27-Inputs!$D$27)),Inputs!$F$27-SQRT((1-P1412)*(Inputs!$F$27-Inputs!$D$27)*(Inputs!$F$27-Inputs!$E$27)))</f>
        <v>110.167510183729</v>
      </c>
      <c r="R1412" s="81" t="n">
        <f aca="true">RAND()</f>
        <v>0.121559088860152</v>
      </c>
      <c r="S1412" s="82" t="n">
        <f aca="false">IF(R1412&lt;(Inputs!$E$29-Inputs!$D$29)/(Inputs!$F$29-Inputs!$D$29),Inputs!$D$29+SQRT(R1412*(Inputs!$F$29-Inputs!$D$29)*(Inputs!$E$29-Inputs!$D$29)),Inputs!$F$29-SQRT((1-R1412)*(Inputs!$F$29-Inputs!$D$29)*(Inputs!$F$29-Inputs!$E$29)))</f>
        <v>4.1773388495009</v>
      </c>
      <c r="T1412" s="68" t="n">
        <f aca="false">Inputs!$E$9*(1+E1412)+Inputs!$E$5*C1412*(Inputs!$E$11*Inputs!$E$14*(G1412*I1412/Inputs!$E$16+(1-G1412))*K1412+Inputs!$E$23*M1412)*(1+O1412)+Inputs!$E$5*(Q1412+S1412)</f>
        <v>5887.89409695911</v>
      </c>
    </row>
    <row r="1413" customFormat="false" ht="15" hidden="false" customHeight="false" outlineLevel="0" collapsed="false">
      <c r="A1413" s="1" t="n">
        <v>1409</v>
      </c>
      <c r="B1413" s="81" t="n">
        <f aca="true">RAND()</f>
        <v>0.942445046035108</v>
      </c>
      <c r="C1413" s="82" t="n">
        <f aca="false">ROUND(IF(B1413&lt;(Inputs!$E$8-Inputs!$D$8)/(Inputs!$F$8-Inputs!$D$8),Inputs!$D$8+SQRT(B1413*(Inputs!$F$8-Inputs!$D$8)*(Inputs!$E$8-Inputs!$D$8)),Inputs!$F$8-SQRT((1-B1413)*(Inputs!$F$8-Inputs!$D$8)*(Inputs!$F$8-Inputs!$E$8))),0)</f>
        <v>28</v>
      </c>
      <c r="D1413" s="81" t="n">
        <f aca="true">RAND()</f>
        <v>0.69162045875728</v>
      </c>
      <c r="E1413" s="83" t="n">
        <f aca="false">IF(D1413&lt;(Inputs!$E$10-Inputs!$D$10)/(Inputs!$F$10-Inputs!$D$10),Inputs!$D$10+SQRT(D1413*(Inputs!$F$10-Inputs!$D$10)*(Inputs!$E$10-Inputs!$D$10)),Inputs!$F$10-SQRT((1-D1413)*(Inputs!$F$10-Inputs!$D$10)*(Inputs!$F$10-Inputs!$E$10)))</f>
        <v>0.103815873257166</v>
      </c>
      <c r="F1413" s="81" t="n">
        <f aca="true">RAND()</f>
        <v>0.307358294533079</v>
      </c>
      <c r="G1413" s="83" t="n">
        <f aca="false">IF(F1413&lt;(Inputs!$E$15-Inputs!$D$15)/(Inputs!$F$15-Inputs!$D$15),Inputs!$D$15+SQRT(F1413*(Inputs!$F$15-Inputs!$D$15)*(Inputs!$E$15-Inputs!$D$15)),Inputs!$F$15-SQRT((1-F1413)*(Inputs!$F$15-Inputs!$D$15)*(Inputs!$F$15-Inputs!$E$15)))</f>
        <v>0.678403864003387</v>
      </c>
      <c r="H1413" s="81" t="n">
        <f aca="true">RAND()</f>
        <v>0.0142721945434354</v>
      </c>
      <c r="I1413" s="82" t="n">
        <f aca="false">ROUND(IF(H1413&lt;(Inputs!$E$17-Inputs!$D$17)/(Inputs!$F$17-Inputs!$D$17),Inputs!$D$17+SQRT(H1413*(Inputs!$F$17-Inputs!$D$17)*(Inputs!$E$17-Inputs!$D$17)),Inputs!$F$17-SQRT((1-H1413)*(Inputs!$F$17-Inputs!$D$17)*(Inputs!$F$17-Inputs!$E$17))),0)</f>
        <v>101</v>
      </c>
      <c r="J1413" s="81" t="n">
        <f aca="true">RAND()</f>
        <v>0.597179643066036</v>
      </c>
      <c r="K1413" s="83" t="n">
        <f aca="false">IF(J1413&lt;(Inputs!$E$18-Inputs!$D$18)/(Inputs!$F$18-Inputs!$D$18),Inputs!$D$18+SQRT(J1413*(Inputs!$F$18-Inputs!$D$18)*(Inputs!$E$18-Inputs!$D$18)),Inputs!$F$18-SQRT((1-J1413)*(Inputs!$F$18-Inputs!$D$18)*(Inputs!$F$18-Inputs!$E$18)))</f>
        <v>1.06225873860091</v>
      </c>
      <c r="L1413" s="81" t="n">
        <f aca="true">RAND()</f>
        <v>0.161868440619689</v>
      </c>
      <c r="M1413" s="83" t="n">
        <f aca="false">IF(L1413&lt;(Inputs!$E$24-Inputs!$D$24)/(Inputs!$F$24-Inputs!$D$24),Inputs!$D$24+SQRT(L1413*(Inputs!$F$24-Inputs!$D$24)*(Inputs!$E$24-Inputs!$D$24)),Inputs!$F$24-SQRT((1-L1413)*(Inputs!$F$24-Inputs!$D$24)*(Inputs!$F$24-Inputs!$E$24)))</f>
        <v>0.739370774821563</v>
      </c>
      <c r="N1413" s="81" t="n">
        <f aca="true">RAND()</f>
        <v>0.228484220755004</v>
      </c>
      <c r="O1413" s="83" t="n">
        <f aca="false">IF(N1413&lt;(Inputs!$E$26-Inputs!$D$26)/(Inputs!$F$26-Inputs!$D$26),Inputs!$D$26+SQRT(N1413*(Inputs!$F$26-Inputs!$D$26)*(Inputs!$E$26-Inputs!$D$26)),Inputs!$F$26-SQRT((1-N1413)*(Inputs!$F$26-Inputs!$D$26)*(Inputs!$F$26-Inputs!$E$26)))</f>
        <v>0.494986600395085</v>
      </c>
      <c r="P1413" s="81" t="n">
        <f aca="true">RAND()</f>
        <v>0.289270858133597</v>
      </c>
      <c r="Q1413" s="82" t="n">
        <f aca="false">IF(P1413&lt;(Inputs!$E$27-Inputs!$D$27)/(Inputs!$F$27-Inputs!$D$27),Inputs!$D$27+SQRT(P1413*(Inputs!$F$27-Inputs!$D$27)*(Inputs!$E$27-Inputs!$D$27)),Inputs!$F$27-SQRT((1-P1413)*(Inputs!$F$27-Inputs!$D$27)*(Inputs!$F$27-Inputs!$E$27)))</f>
        <v>76.9899420353742</v>
      </c>
      <c r="R1413" s="81" t="n">
        <f aca="true">RAND()</f>
        <v>0.46609536358696</v>
      </c>
      <c r="S1413" s="82" t="n">
        <f aca="false">IF(R1413&lt;(Inputs!$E$29-Inputs!$D$29)/(Inputs!$F$29-Inputs!$D$29),Inputs!$D$29+SQRT(R1413*(Inputs!$F$29-Inputs!$D$29)*(Inputs!$E$29-Inputs!$D$29)),Inputs!$F$29-SQRT((1-R1413)*(Inputs!$F$29-Inputs!$D$29)*(Inputs!$F$29-Inputs!$E$29)))</f>
        <v>6.66887746256873</v>
      </c>
      <c r="T1413" s="68" t="n">
        <f aca="false">Inputs!$E$9*(1+E1413)+Inputs!$E$5*C1413*(Inputs!$E$11*Inputs!$E$14*(G1413*I1413/Inputs!$E$16+(1-G1413))*K1413+Inputs!$E$23*M1413)*(1+O1413)+Inputs!$E$5*(Q1413+S1413)</f>
        <v>6319.68162432749</v>
      </c>
    </row>
    <row r="1414" customFormat="false" ht="15" hidden="false" customHeight="false" outlineLevel="0" collapsed="false">
      <c r="A1414" s="1" t="n">
        <v>1410</v>
      </c>
      <c r="B1414" s="81" t="n">
        <f aca="true">RAND()</f>
        <v>0.036623829896934</v>
      </c>
      <c r="C1414" s="82" t="n">
        <f aca="false">ROUND(IF(B1414&lt;(Inputs!$E$8-Inputs!$D$8)/(Inputs!$F$8-Inputs!$D$8),Inputs!$D$8+SQRT(B1414*(Inputs!$F$8-Inputs!$D$8)*(Inputs!$E$8-Inputs!$D$8)),Inputs!$F$8-SQRT((1-B1414)*(Inputs!$F$8-Inputs!$D$8)*(Inputs!$F$8-Inputs!$E$8))),0)</f>
        <v>21</v>
      </c>
      <c r="D1414" s="81" t="n">
        <f aca="true">RAND()</f>
        <v>0.517596299541482</v>
      </c>
      <c r="E1414" s="83" t="n">
        <f aca="false">IF(D1414&lt;(Inputs!$E$10-Inputs!$D$10)/(Inputs!$F$10-Inputs!$D$10),Inputs!$D$10+SQRT(D1414*(Inputs!$F$10-Inputs!$D$10)*(Inputs!$E$10-Inputs!$D$10)),Inputs!$F$10-SQRT((1-D1414)*(Inputs!$F$10-Inputs!$D$10)*(Inputs!$F$10-Inputs!$E$10)))</f>
        <v>0.0796999126610644</v>
      </c>
      <c r="F1414" s="81" t="n">
        <f aca="true">RAND()</f>
        <v>0.119357769409398</v>
      </c>
      <c r="G1414" s="83" t="n">
        <f aca="false">IF(F1414&lt;(Inputs!$E$15-Inputs!$D$15)/(Inputs!$F$15-Inputs!$D$15),Inputs!$D$15+SQRT(F1414*(Inputs!$F$15-Inputs!$D$15)*(Inputs!$E$15-Inputs!$D$15)),Inputs!$F$15-SQRT((1-F1414)*(Inputs!$F$15-Inputs!$D$15)*(Inputs!$F$15-Inputs!$E$15)))</f>
        <v>0.648858524212137</v>
      </c>
      <c r="H1414" s="81" t="n">
        <f aca="true">RAND()</f>
        <v>0.0180856267927982</v>
      </c>
      <c r="I1414" s="82" t="n">
        <f aca="false">ROUND(IF(H1414&lt;(Inputs!$E$17-Inputs!$D$17)/(Inputs!$F$17-Inputs!$D$17),Inputs!$D$17+SQRT(H1414*(Inputs!$F$17-Inputs!$D$17)*(Inputs!$E$17-Inputs!$D$17)),Inputs!$F$17-SQRT((1-H1414)*(Inputs!$F$17-Inputs!$D$17)*(Inputs!$F$17-Inputs!$E$17))),0)</f>
        <v>101</v>
      </c>
      <c r="J1414" s="81" t="n">
        <f aca="true">RAND()</f>
        <v>0.81675314823852</v>
      </c>
      <c r="K1414" s="83" t="n">
        <f aca="false">IF(J1414&lt;(Inputs!$E$18-Inputs!$D$18)/(Inputs!$F$18-Inputs!$D$18),Inputs!$D$18+SQRT(J1414*(Inputs!$F$18-Inputs!$D$18)*(Inputs!$E$18-Inputs!$D$18)),Inputs!$F$18-SQRT((1-J1414)*(Inputs!$F$18-Inputs!$D$18)*(Inputs!$F$18-Inputs!$E$18)))</f>
        <v>1.12337417510978</v>
      </c>
      <c r="L1414" s="81" t="n">
        <f aca="true">RAND()</f>
        <v>0.702190029726704</v>
      </c>
      <c r="M1414" s="83" t="n">
        <f aca="false">IF(L1414&lt;(Inputs!$E$24-Inputs!$D$24)/(Inputs!$F$24-Inputs!$D$24),Inputs!$D$24+SQRT(L1414*(Inputs!$F$24-Inputs!$D$24)*(Inputs!$E$24-Inputs!$D$24)),Inputs!$F$24-SQRT((1-L1414)*(Inputs!$F$24-Inputs!$D$24)*(Inputs!$F$24-Inputs!$E$24)))</f>
        <v>0.932653047772018</v>
      </c>
      <c r="N1414" s="81" t="n">
        <f aca="true">RAND()</f>
        <v>0.0905754424451104</v>
      </c>
      <c r="O1414" s="83" t="n">
        <f aca="false">IF(N1414&lt;(Inputs!$E$26-Inputs!$D$26)/(Inputs!$F$26-Inputs!$D$26),Inputs!$D$26+SQRT(N1414*(Inputs!$F$26-Inputs!$D$26)*(Inputs!$E$26-Inputs!$D$26)),Inputs!$F$26-SQRT((1-N1414)*(Inputs!$F$26-Inputs!$D$26)*(Inputs!$F$26-Inputs!$E$26)))</f>
        <v>0.422767070596583</v>
      </c>
      <c r="P1414" s="81" t="n">
        <f aca="true">RAND()</f>
        <v>0.604489341035918</v>
      </c>
      <c r="Q1414" s="82" t="n">
        <f aca="false">IF(P1414&lt;(Inputs!$E$27-Inputs!$D$27)/(Inputs!$F$27-Inputs!$D$27),Inputs!$D$27+SQRT(P1414*(Inputs!$F$27-Inputs!$D$27)*(Inputs!$E$27-Inputs!$D$27)),Inputs!$F$27-SQRT((1-P1414)*(Inputs!$F$27-Inputs!$D$27)*(Inputs!$F$27-Inputs!$E$27)))</f>
        <v>95.5359757066133</v>
      </c>
      <c r="R1414" s="81" t="n">
        <f aca="true">RAND()</f>
        <v>0.512599130634756</v>
      </c>
      <c r="S1414" s="82" t="n">
        <f aca="false">IF(R1414&lt;(Inputs!$E$29-Inputs!$D$29)/(Inputs!$F$29-Inputs!$D$29),Inputs!$D$29+SQRT(R1414*(Inputs!$F$29-Inputs!$D$29)*(Inputs!$E$29-Inputs!$D$29)),Inputs!$F$29-SQRT((1-R1414)*(Inputs!$F$29-Inputs!$D$29)*(Inputs!$F$29-Inputs!$E$29)))</f>
        <v>7.03996777534904</v>
      </c>
      <c r="T1414" s="68" t="n">
        <f aca="false">Inputs!$E$9*(1+E1414)+Inputs!$E$5*C1414*(Inputs!$E$11*Inputs!$E$14*(G1414*I1414/Inputs!$E$16+(1-G1414))*K1414+Inputs!$E$23*M1414)*(1+O1414)+Inputs!$E$5*(Q1414+S1414)</f>
        <v>5705.003708595</v>
      </c>
    </row>
    <row r="1415" customFormat="false" ht="15" hidden="false" customHeight="false" outlineLevel="0" collapsed="false">
      <c r="A1415" s="1" t="n">
        <v>1411</v>
      </c>
      <c r="B1415" s="81" t="n">
        <f aca="true">RAND()</f>
        <v>0.200174465980325</v>
      </c>
      <c r="C1415" s="82" t="n">
        <f aca="false">ROUND(IF(B1415&lt;(Inputs!$E$8-Inputs!$D$8)/(Inputs!$F$8-Inputs!$D$8),Inputs!$D$8+SQRT(B1415*(Inputs!$F$8-Inputs!$D$8)*(Inputs!$E$8-Inputs!$D$8)),Inputs!$F$8-SQRT((1-B1415)*(Inputs!$F$8-Inputs!$D$8)*(Inputs!$F$8-Inputs!$E$8))),0)</f>
        <v>23</v>
      </c>
      <c r="D1415" s="81" t="n">
        <f aca="true">RAND()</f>
        <v>0.628132506939994</v>
      </c>
      <c r="E1415" s="83" t="n">
        <f aca="false">IF(D1415&lt;(Inputs!$E$10-Inputs!$D$10)/(Inputs!$F$10-Inputs!$D$10),Inputs!$D$10+SQRT(D1415*(Inputs!$F$10-Inputs!$D$10)*(Inputs!$E$10-Inputs!$D$10)),Inputs!$F$10-SQRT((1-D1415)*(Inputs!$F$10-Inputs!$D$10)*(Inputs!$F$10-Inputs!$E$10)))</f>
        <v>0.0943779152269745</v>
      </c>
      <c r="F1415" s="81" t="n">
        <f aca="true">RAND()</f>
        <v>0.330221864757942</v>
      </c>
      <c r="G1415" s="83" t="n">
        <f aca="false">IF(F1415&lt;(Inputs!$E$15-Inputs!$D$15)/(Inputs!$F$15-Inputs!$D$15),Inputs!$D$15+SQRT(F1415*(Inputs!$F$15-Inputs!$D$15)*(Inputs!$E$15-Inputs!$D$15)),Inputs!$F$15-SQRT((1-F1415)*(Inputs!$F$15-Inputs!$D$15)*(Inputs!$F$15-Inputs!$E$15)))</f>
        <v>0.681267689121562</v>
      </c>
      <c r="H1415" s="81" t="n">
        <f aca="true">RAND()</f>
        <v>0.456347056024455</v>
      </c>
      <c r="I1415" s="82" t="n">
        <f aca="false">ROUND(IF(H1415&lt;(Inputs!$E$17-Inputs!$D$17)/(Inputs!$F$17-Inputs!$D$17),Inputs!$D$17+SQRT(H1415*(Inputs!$F$17-Inputs!$D$17)*(Inputs!$E$17-Inputs!$D$17)),Inputs!$F$17-SQRT((1-H1415)*(Inputs!$F$17-Inputs!$D$17)*(Inputs!$F$17-Inputs!$E$17))),0)</f>
        <v>106</v>
      </c>
      <c r="J1415" s="81" t="n">
        <f aca="true">RAND()</f>
        <v>0.372793620678977</v>
      </c>
      <c r="K1415" s="83" t="n">
        <f aca="false">IF(J1415&lt;(Inputs!$E$18-Inputs!$D$18)/(Inputs!$F$18-Inputs!$D$18),Inputs!$D$18+SQRT(J1415*(Inputs!$F$18-Inputs!$D$18)*(Inputs!$E$18-Inputs!$D$18)),Inputs!$F$18-SQRT((1-J1415)*(Inputs!$F$18-Inputs!$D$18)*(Inputs!$F$18-Inputs!$E$18)))</f>
        <v>1.01573400120677</v>
      </c>
      <c r="L1415" s="81" t="n">
        <f aca="true">RAND()</f>
        <v>0.733566567444368</v>
      </c>
      <c r="M1415" s="83" t="n">
        <f aca="false">IF(L1415&lt;(Inputs!$E$24-Inputs!$D$24)/(Inputs!$F$24-Inputs!$D$24),Inputs!$D$24+SQRT(L1415*(Inputs!$F$24-Inputs!$D$24)*(Inputs!$E$24-Inputs!$D$24)),Inputs!$F$24-SQRT((1-L1415)*(Inputs!$F$24-Inputs!$D$24)*(Inputs!$F$24-Inputs!$E$24)))</f>
        <v>0.947128444040553</v>
      </c>
      <c r="N1415" s="81" t="n">
        <f aca="true">RAND()</f>
        <v>0.684920406429252</v>
      </c>
      <c r="O1415" s="83" t="n">
        <f aca="false">IF(N1415&lt;(Inputs!$E$26-Inputs!$D$26)/(Inputs!$F$26-Inputs!$D$26),Inputs!$D$26+SQRT(N1415*(Inputs!$F$26-Inputs!$D$26)*(Inputs!$E$26-Inputs!$D$26)),Inputs!$F$26-SQRT((1-N1415)*(Inputs!$F$26-Inputs!$D$26)*(Inputs!$F$26-Inputs!$E$26)))</f>
        <v>0.638979896886125</v>
      </c>
      <c r="P1415" s="81" t="n">
        <f aca="true">RAND()</f>
        <v>0.943276599955334</v>
      </c>
      <c r="Q1415" s="82" t="n">
        <f aca="false">IF(P1415&lt;(Inputs!$E$27-Inputs!$D$27)/(Inputs!$F$27-Inputs!$D$27),Inputs!$D$27+SQRT(P1415*(Inputs!$F$27-Inputs!$D$27)*(Inputs!$E$27-Inputs!$D$27)),Inputs!$F$27-SQRT((1-P1415)*(Inputs!$F$27-Inputs!$D$27)*(Inputs!$F$27-Inputs!$E$27)))</f>
        <v>129.374154554661</v>
      </c>
      <c r="R1415" s="81" t="n">
        <f aca="true">RAND()</f>
        <v>0.419563587229193</v>
      </c>
      <c r="S1415" s="82" t="n">
        <f aca="false">IF(R1415&lt;(Inputs!$E$29-Inputs!$D$29)/(Inputs!$F$29-Inputs!$D$29),Inputs!$D$29+SQRT(R1415*(Inputs!$F$29-Inputs!$D$29)*(Inputs!$E$29-Inputs!$D$29)),Inputs!$F$29-SQRT((1-R1415)*(Inputs!$F$29-Inputs!$D$29)*(Inputs!$F$29-Inputs!$E$29)))</f>
        <v>6.31341645638489</v>
      </c>
      <c r="T1415" s="68" t="n">
        <f aca="false">Inputs!$E$9*(1+E1415)+Inputs!$E$5*C1415*(Inputs!$E$11*Inputs!$E$14*(G1415*I1415/Inputs!$E$16+(1-G1415))*K1415+Inputs!$E$23*M1415)*(1+O1415)+Inputs!$E$5*(Q1415+S1415)</f>
        <v>6449.87312839943</v>
      </c>
    </row>
    <row r="1416" customFormat="false" ht="15" hidden="false" customHeight="false" outlineLevel="0" collapsed="false">
      <c r="A1416" s="1" t="n">
        <v>1412</v>
      </c>
      <c r="B1416" s="81" t="n">
        <f aca="true">RAND()</f>
        <v>0.700033684195986</v>
      </c>
      <c r="C1416" s="82" t="n">
        <f aca="false">ROUND(IF(B1416&lt;(Inputs!$E$8-Inputs!$D$8)/(Inputs!$F$8-Inputs!$D$8),Inputs!$D$8+SQRT(B1416*(Inputs!$F$8-Inputs!$D$8)*(Inputs!$E$8-Inputs!$D$8)),Inputs!$F$8-SQRT((1-B1416)*(Inputs!$F$8-Inputs!$D$8)*(Inputs!$F$8-Inputs!$E$8))),0)</f>
        <v>26</v>
      </c>
      <c r="D1416" s="81" t="n">
        <f aca="true">RAND()</f>
        <v>0.311734639492267</v>
      </c>
      <c r="E1416" s="83" t="n">
        <f aca="false">IF(D1416&lt;(Inputs!$E$10-Inputs!$D$10)/(Inputs!$F$10-Inputs!$D$10),Inputs!$D$10+SQRT(D1416*(Inputs!$F$10-Inputs!$D$10)*(Inputs!$E$10-Inputs!$D$10)),Inputs!$F$10-SQRT((1-D1416)*(Inputs!$F$10-Inputs!$D$10)*(Inputs!$F$10-Inputs!$E$10)))</f>
        <v>0.0563060167744244</v>
      </c>
      <c r="F1416" s="81" t="n">
        <f aca="true">RAND()</f>
        <v>0.830537858651916</v>
      </c>
      <c r="G1416" s="83" t="n">
        <f aca="false">IF(F1416&lt;(Inputs!$E$15-Inputs!$D$15)/(Inputs!$F$15-Inputs!$D$15),Inputs!$D$15+SQRT(F1416*(Inputs!$F$15-Inputs!$D$15)*(Inputs!$E$15-Inputs!$D$15)),Inputs!$F$15-SQRT((1-F1416)*(Inputs!$F$15-Inputs!$D$15)*(Inputs!$F$15-Inputs!$E$15)))</f>
        <v>0.741782796125529</v>
      </c>
      <c r="H1416" s="81" t="n">
        <f aca="true">RAND()</f>
        <v>0.23857413314061</v>
      </c>
      <c r="I1416" s="82" t="n">
        <f aca="false">ROUND(IF(H1416&lt;(Inputs!$E$17-Inputs!$D$17)/(Inputs!$F$17-Inputs!$D$17),Inputs!$D$17+SQRT(H1416*(Inputs!$F$17-Inputs!$D$17)*(Inputs!$E$17-Inputs!$D$17)),Inputs!$F$17-SQRT((1-H1416)*(Inputs!$F$17-Inputs!$D$17)*(Inputs!$F$17-Inputs!$E$17))),0)</f>
        <v>104</v>
      </c>
      <c r="J1416" s="81" t="n">
        <f aca="true">RAND()</f>
        <v>0.309233706895098</v>
      </c>
      <c r="K1416" s="83" t="n">
        <f aca="false">IF(J1416&lt;(Inputs!$E$18-Inputs!$D$18)/(Inputs!$F$18-Inputs!$D$18),Inputs!$D$18+SQRT(J1416*(Inputs!$F$18-Inputs!$D$18)*(Inputs!$E$18-Inputs!$D$18)),Inputs!$F$18-SQRT((1-J1416)*(Inputs!$F$18-Inputs!$D$18)*(Inputs!$F$18-Inputs!$E$18)))</f>
        <v>1.00415034950873</v>
      </c>
      <c r="L1416" s="81" t="n">
        <f aca="true">RAND()</f>
        <v>0.902838236693528</v>
      </c>
      <c r="M1416" s="83" t="n">
        <f aca="false">IF(L1416&lt;(Inputs!$E$24-Inputs!$D$24)/(Inputs!$F$24-Inputs!$D$24),Inputs!$D$24+SQRT(L1416*(Inputs!$F$24-Inputs!$D$24)*(Inputs!$E$24-Inputs!$D$24)),Inputs!$F$24-SQRT((1-L1416)*(Inputs!$F$24-Inputs!$D$24)*(Inputs!$F$24-Inputs!$E$24)))</f>
        <v>1.04729497980239</v>
      </c>
      <c r="N1416" s="81" t="n">
        <f aca="true">RAND()</f>
        <v>0.791517341963059</v>
      </c>
      <c r="O1416" s="83" t="n">
        <f aca="false">IF(N1416&lt;(Inputs!$E$26-Inputs!$D$26)/(Inputs!$F$26-Inputs!$D$26),Inputs!$D$26+SQRT(N1416*(Inputs!$F$26-Inputs!$D$26)*(Inputs!$E$26-Inputs!$D$26)),Inputs!$F$26-SQRT((1-N1416)*(Inputs!$F$26-Inputs!$D$26)*(Inputs!$F$26-Inputs!$E$26)))</f>
        <v>0.672751243007481</v>
      </c>
      <c r="P1416" s="81" t="n">
        <f aca="true">RAND()</f>
        <v>0.758008227931479</v>
      </c>
      <c r="Q1416" s="82" t="n">
        <f aca="false">IF(P1416&lt;(Inputs!$E$27-Inputs!$D$27)/(Inputs!$F$27-Inputs!$D$27),Inputs!$D$27+SQRT(P1416*(Inputs!$F$27-Inputs!$D$27)*(Inputs!$E$27-Inputs!$D$27)),Inputs!$F$27-SQRT((1-P1416)*(Inputs!$F$27-Inputs!$D$27)*(Inputs!$F$27-Inputs!$E$27)))</f>
        <v>107.397907439729</v>
      </c>
      <c r="R1416" s="81" t="n">
        <f aca="true">RAND()</f>
        <v>0.826011181895207</v>
      </c>
      <c r="S1416" s="82" t="n">
        <f aca="false">IF(R1416&lt;(Inputs!$E$29-Inputs!$D$29)/(Inputs!$F$29-Inputs!$D$29),Inputs!$D$29+SQRT(R1416*(Inputs!$F$29-Inputs!$D$29)*(Inputs!$E$29-Inputs!$D$29)),Inputs!$F$29-SQRT((1-R1416)*(Inputs!$F$29-Inputs!$D$29)*(Inputs!$F$29-Inputs!$E$29)))</f>
        <v>10.2441040430195</v>
      </c>
      <c r="T1416" s="68" t="n">
        <f aca="false">Inputs!$E$9*(1+E1416)+Inputs!$E$5*C1416*(Inputs!$E$11*Inputs!$E$14*(G1416*I1416/Inputs!$E$16+(1-G1416))*K1416+Inputs!$E$23*M1416)*(1+O1416)+Inputs!$E$5*(Q1416+S1416)</f>
        <v>6806.91356804679</v>
      </c>
    </row>
    <row r="1417" customFormat="false" ht="15" hidden="false" customHeight="false" outlineLevel="0" collapsed="false">
      <c r="A1417" s="1" t="n">
        <v>1413</v>
      </c>
      <c r="B1417" s="81" t="n">
        <f aca="true">RAND()</f>
        <v>0.871681275961039</v>
      </c>
      <c r="C1417" s="82" t="n">
        <f aca="false">ROUND(IF(B1417&lt;(Inputs!$E$8-Inputs!$D$8)/(Inputs!$F$8-Inputs!$D$8),Inputs!$D$8+SQRT(B1417*(Inputs!$F$8-Inputs!$D$8)*(Inputs!$E$8-Inputs!$D$8)),Inputs!$F$8-SQRT((1-B1417)*(Inputs!$F$8-Inputs!$D$8)*(Inputs!$F$8-Inputs!$E$8))),0)</f>
        <v>27</v>
      </c>
      <c r="D1417" s="81" t="n">
        <f aca="true">RAND()</f>
        <v>0.492450370398128</v>
      </c>
      <c r="E1417" s="83" t="n">
        <f aca="false">IF(D1417&lt;(Inputs!$E$10-Inputs!$D$10)/(Inputs!$F$10-Inputs!$D$10),Inputs!$D$10+SQRT(D1417*(Inputs!$F$10-Inputs!$D$10)*(Inputs!$E$10-Inputs!$D$10)),Inputs!$F$10-SQRT((1-D1417)*(Inputs!$F$10-Inputs!$D$10)*(Inputs!$F$10-Inputs!$E$10)))</f>
        <v>0.0766043400760944</v>
      </c>
      <c r="F1417" s="81" t="n">
        <f aca="true">RAND()</f>
        <v>0.513763960326108</v>
      </c>
      <c r="G1417" s="83" t="n">
        <f aca="false">IF(F1417&lt;(Inputs!$E$15-Inputs!$D$15)/(Inputs!$F$15-Inputs!$D$15),Inputs!$D$15+SQRT(F1417*(Inputs!$F$15-Inputs!$D$15)*(Inputs!$E$15-Inputs!$D$15)),Inputs!$F$15-SQRT((1-F1417)*(Inputs!$F$15-Inputs!$D$15)*(Inputs!$F$15-Inputs!$E$15)))</f>
        <v>0.701386001026843</v>
      </c>
      <c r="H1417" s="81" t="n">
        <f aca="true">RAND()</f>
        <v>0.915953228866956</v>
      </c>
      <c r="I1417" s="82" t="n">
        <f aca="false">ROUND(IF(H1417&lt;(Inputs!$E$17-Inputs!$D$17)/(Inputs!$F$17-Inputs!$D$17),Inputs!$D$17+SQRT(H1417*(Inputs!$F$17-Inputs!$D$17)*(Inputs!$E$17-Inputs!$D$17)),Inputs!$F$17-SQRT((1-H1417)*(Inputs!$F$17-Inputs!$D$17)*(Inputs!$F$17-Inputs!$E$17))),0)</f>
        <v>111</v>
      </c>
      <c r="J1417" s="81" t="n">
        <f aca="true">RAND()</f>
        <v>0.553571446025695</v>
      </c>
      <c r="K1417" s="83" t="n">
        <f aca="false">IF(J1417&lt;(Inputs!$E$18-Inputs!$D$18)/(Inputs!$F$18-Inputs!$D$18),Inputs!$D$18+SQRT(J1417*(Inputs!$F$18-Inputs!$D$18)*(Inputs!$E$18-Inputs!$D$18)),Inputs!$F$18-SQRT((1-J1417)*(Inputs!$F$18-Inputs!$D$18)*(Inputs!$F$18-Inputs!$E$18)))</f>
        <v>1.05235765010314</v>
      </c>
      <c r="L1417" s="81" t="n">
        <f aca="true">RAND()</f>
        <v>0.171520117755979</v>
      </c>
      <c r="M1417" s="83" t="n">
        <f aca="false">IF(L1417&lt;(Inputs!$E$24-Inputs!$D$24)/(Inputs!$F$24-Inputs!$D$24),Inputs!$D$24+SQRT(L1417*(Inputs!$F$24-Inputs!$D$24)*(Inputs!$E$24-Inputs!$D$24)),Inputs!$F$24-SQRT((1-L1417)*(Inputs!$F$24-Inputs!$D$24)*(Inputs!$F$24-Inputs!$E$24)))</f>
        <v>0.743465724585064</v>
      </c>
      <c r="N1417" s="81" t="n">
        <f aca="true">RAND()</f>
        <v>0.828699758966889</v>
      </c>
      <c r="O1417" s="83" t="n">
        <f aca="false">IF(N1417&lt;(Inputs!$E$26-Inputs!$D$26)/(Inputs!$F$26-Inputs!$D$26),Inputs!$D$26+SQRT(N1417*(Inputs!$F$26-Inputs!$D$26)*(Inputs!$E$26-Inputs!$D$26)),Inputs!$F$26-SQRT((1-N1417)*(Inputs!$F$26-Inputs!$D$26)*(Inputs!$F$26-Inputs!$E$26)))</f>
        <v>0.686526313202026</v>
      </c>
      <c r="P1417" s="81" t="n">
        <f aca="true">RAND()</f>
        <v>0.176640756189604</v>
      </c>
      <c r="Q1417" s="82" t="n">
        <f aca="false">IF(P1417&lt;(Inputs!$E$27-Inputs!$D$27)/(Inputs!$F$27-Inputs!$D$27),Inputs!$D$27+SQRT(P1417*(Inputs!$F$27-Inputs!$D$27)*(Inputs!$E$27-Inputs!$D$27)),Inputs!$F$27-SQRT((1-P1417)*(Inputs!$F$27-Inputs!$D$27)*(Inputs!$F$27-Inputs!$E$27)))</f>
        <v>71.014325839151</v>
      </c>
      <c r="R1417" s="81" t="n">
        <f aca="true">RAND()</f>
        <v>0.623881939538092</v>
      </c>
      <c r="S1417" s="82" t="n">
        <f aca="false">IF(R1417&lt;(Inputs!$E$29-Inputs!$D$29)/(Inputs!$F$29-Inputs!$D$29),Inputs!$D$29+SQRT(R1417*(Inputs!$F$29-Inputs!$D$29)*(Inputs!$E$29-Inputs!$D$29)),Inputs!$F$29-SQRT((1-R1417)*(Inputs!$F$29-Inputs!$D$29)*(Inputs!$F$29-Inputs!$E$29)))</f>
        <v>8.00747914840091</v>
      </c>
      <c r="T1417" s="68" t="n">
        <f aca="false">Inputs!$E$9*(1+E1417)+Inputs!$E$5*C1417*(Inputs!$E$11*Inputs!$E$14*(G1417*I1417/Inputs!$E$16+(1-G1417))*K1417+Inputs!$E$23*M1417)*(1+O1417)+Inputs!$E$5*(Q1417+S1417)</f>
        <v>6625.69547051805</v>
      </c>
    </row>
    <row r="1418" customFormat="false" ht="15" hidden="false" customHeight="false" outlineLevel="0" collapsed="false">
      <c r="A1418" s="1" t="n">
        <v>1414</v>
      </c>
      <c r="B1418" s="81" t="n">
        <f aca="true">RAND()</f>
        <v>0.00196406623793041</v>
      </c>
      <c r="C1418" s="82" t="n">
        <f aca="false">ROUND(IF(B1418&lt;(Inputs!$E$8-Inputs!$D$8)/(Inputs!$F$8-Inputs!$D$8),Inputs!$D$8+SQRT(B1418*(Inputs!$F$8-Inputs!$D$8)*(Inputs!$E$8-Inputs!$D$8)),Inputs!$F$8-SQRT((1-B1418)*(Inputs!$F$8-Inputs!$D$8)*(Inputs!$F$8-Inputs!$E$8))),0)</f>
        <v>20</v>
      </c>
      <c r="D1418" s="81" t="n">
        <f aca="true">RAND()</f>
        <v>0.678942038928728</v>
      </c>
      <c r="E1418" s="83" t="n">
        <f aca="false">IF(D1418&lt;(Inputs!$E$10-Inputs!$D$10)/(Inputs!$F$10-Inputs!$D$10),Inputs!$D$10+SQRT(D1418*(Inputs!$F$10-Inputs!$D$10)*(Inputs!$E$10-Inputs!$D$10)),Inputs!$F$10-SQRT((1-D1418)*(Inputs!$F$10-Inputs!$D$10)*(Inputs!$F$10-Inputs!$E$10)))</f>
        <v>0.101858577388861</v>
      </c>
      <c r="F1418" s="81" t="n">
        <f aca="true">RAND()</f>
        <v>0.388649827118748</v>
      </c>
      <c r="G1418" s="83" t="n">
        <f aca="false">IF(F1418&lt;(Inputs!$E$15-Inputs!$D$15)/(Inputs!$F$15-Inputs!$D$15),Inputs!$D$15+SQRT(F1418*(Inputs!$F$15-Inputs!$D$15)*(Inputs!$E$15-Inputs!$D$15)),Inputs!$F$15-SQRT((1-F1418)*(Inputs!$F$15-Inputs!$D$15)*(Inputs!$F$15-Inputs!$E$15)))</f>
        <v>0.688164599144866</v>
      </c>
      <c r="H1418" s="81" t="n">
        <f aca="true">RAND()</f>
        <v>0.453847576527363</v>
      </c>
      <c r="I1418" s="82" t="n">
        <f aca="false">ROUND(IF(H1418&lt;(Inputs!$E$17-Inputs!$D$17)/(Inputs!$F$17-Inputs!$D$17),Inputs!$D$17+SQRT(H1418*(Inputs!$F$17-Inputs!$D$17)*(Inputs!$E$17-Inputs!$D$17)),Inputs!$F$17-SQRT((1-H1418)*(Inputs!$F$17-Inputs!$D$17)*(Inputs!$F$17-Inputs!$E$17))),0)</f>
        <v>106</v>
      </c>
      <c r="J1418" s="81" t="n">
        <f aca="true">RAND()</f>
        <v>0.792860354676371</v>
      </c>
      <c r="K1418" s="83" t="n">
        <f aca="false">IF(J1418&lt;(Inputs!$E$18-Inputs!$D$18)/(Inputs!$F$18-Inputs!$D$18),Inputs!$D$18+SQRT(J1418*(Inputs!$F$18-Inputs!$D$18)*(Inputs!$E$18-Inputs!$D$18)),Inputs!$F$18-SQRT((1-J1418)*(Inputs!$F$18-Inputs!$D$18)*(Inputs!$F$18-Inputs!$E$18)))</f>
        <v>1.11537192356043</v>
      </c>
      <c r="L1418" s="81" t="n">
        <f aca="true">RAND()</f>
        <v>0.106776043114545</v>
      </c>
      <c r="M1418" s="83" t="n">
        <f aca="false">IF(L1418&lt;(Inputs!$E$24-Inputs!$D$24)/(Inputs!$F$24-Inputs!$D$24),Inputs!$D$24+SQRT(L1418*(Inputs!$F$24-Inputs!$D$24)*(Inputs!$E$24-Inputs!$D$24)),Inputs!$F$24-SQRT((1-L1418)*(Inputs!$F$24-Inputs!$D$24)*(Inputs!$F$24-Inputs!$E$24)))</f>
        <v>0.713195075748663</v>
      </c>
      <c r="N1418" s="81" t="n">
        <f aca="true">RAND()</f>
        <v>0.74684974053945</v>
      </c>
      <c r="O1418" s="83" t="n">
        <f aca="false">IF(N1418&lt;(Inputs!$E$26-Inputs!$D$26)/(Inputs!$F$26-Inputs!$D$26),Inputs!$D$26+SQRT(N1418*(Inputs!$F$26-Inputs!$D$26)*(Inputs!$E$26-Inputs!$D$26)),Inputs!$F$26-SQRT((1-N1418)*(Inputs!$F$26-Inputs!$D$26)*(Inputs!$F$26-Inputs!$E$26)))</f>
        <v>0.6577420973145</v>
      </c>
      <c r="P1418" s="81" t="n">
        <f aca="true">RAND()</f>
        <v>0.738790072159463</v>
      </c>
      <c r="Q1418" s="82" t="n">
        <f aca="false">IF(P1418&lt;(Inputs!$E$27-Inputs!$D$27)/(Inputs!$F$27-Inputs!$D$27),Inputs!$D$27+SQRT(P1418*(Inputs!$F$27-Inputs!$D$27)*(Inputs!$E$27-Inputs!$D$27)),Inputs!$F$27-SQRT((1-P1418)*(Inputs!$F$27-Inputs!$D$27)*(Inputs!$F$27-Inputs!$E$27)))</f>
        <v>105.738566914253</v>
      </c>
      <c r="R1418" s="81" t="n">
        <f aca="true">RAND()</f>
        <v>0.0262143472520308</v>
      </c>
      <c r="S1418" s="82" t="n">
        <f aca="false">IF(R1418&lt;(Inputs!$E$29-Inputs!$D$29)/(Inputs!$F$29-Inputs!$D$29),Inputs!$D$29+SQRT(R1418*(Inputs!$F$29-Inputs!$D$29)*(Inputs!$E$29-Inputs!$D$29)),Inputs!$F$29-SQRT((1-R1418)*(Inputs!$F$29-Inputs!$D$29)*(Inputs!$F$29-Inputs!$E$29)))</f>
        <v>3.01111796682148</v>
      </c>
      <c r="T1418" s="68" t="n">
        <f aca="false">Inputs!$E$9*(1+E1418)+Inputs!$E$5*C1418*(Inputs!$E$11*Inputs!$E$14*(G1418*I1418/Inputs!$E$16+(1-G1418))*K1418+Inputs!$E$23*M1418)*(1+O1418)+Inputs!$E$5*(Q1418+S1418)</f>
        <v>5821.86336484697</v>
      </c>
    </row>
    <row r="1419" customFormat="false" ht="15" hidden="false" customHeight="false" outlineLevel="0" collapsed="false">
      <c r="A1419" s="1" t="n">
        <v>1415</v>
      </c>
      <c r="B1419" s="81" t="n">
        <f aca="true">RAND()</f>
        <v>0.397943312850149</v>
      </c>
      <c r="C1419" s="82" t="n">
        <f aca="false">ROUND(IF(B1419&lt;(Inputs!$E$8-Inputs!$D$8)/(Inputs!$F$8-Inputs!$D$8),Inputs!$D$8+SQRT(B1419*(Inputs!$F$8-Inputs!$D$8)*(Inputs!$E$8-Inputs!$D$8)),Inputs!$F$8-SQRT((1-B1419)*(Inputs!$F$8-Inputs!$D$8)*(Inputs!$F$8-Inputs!$E$8))),0)</f>
        <v>24</v>
      </c>
      <c r="D1419" s="81" t="n">
        <f aca="true">RAND()</f>
        <v>0.950577194044449</v>
      </c>
      <c r="E1419" s="83" t="n">
        <f aca="false">IF(D1419&lt;(Inputs!$E$10-Inputs!$D$10)/(Inputs!$F$10-Inputs!$D$10),Inputs!$D$10+SQRT(D1419*(Inputs!$F$10-Inputs!$D$10)*(Inputs!$E$10-Inputs!$D$10)),Inputs!$F$10-SQRT((1-D1419)*(Inputs!$F$10-Inputs!$D$10)*(Inputs!$F$10-Inputs!$E$10)))</f>
        <v>0.161494361728878</v>
      </c>
      <c r="F1419" s="81" t="n">
        <f aca="true">RAND()</f>
        <v>0.495868349182908</v>
      </c>
      <c r="G1419" s="83" t="n">
        <f aca="false">IF(F1419&lt;(Inputs!$E$15-Inputs!$D$15)/(Inputs!$F$15-Inputs!$D$15),Inputs!$D$15+SQRT(F1419*(Inputs!$F$15-Inputs!$D$15)*(Inputs!$E$15-Inputs!$D$15)),Inputs!$F$15-SQRT((1-F1419)*(Inputs!$F$15-Inputs!$D$15)*(Inputs!$F$15-Inputs!$E$15)))</f>
        <v>0.699585977846573</v>
      </c>
      <c r="H1419" s="81" t="n">
        <f aca="true">RAND()</f>
        <v>0.353452238173334</v>
      </c>
      <c r="I1419" s="82" t="n">
        <f aca="false">ROUND(IF(H1419&lt;(Inputs!$E$17-Inputs!$D$17)/(Inputs!$F$17-Inputs!$D$17),Inputs!$D$17+SQRT(H1419*(Inputs!$F$17-Inputs!$D$17)*(Inputs!$E$17-Inputs!$D$17)),Inputs!$F$17-SQRT((1-H1419)*(Inputs!$F$17-Inputs!$D$17)*(Inputs!$F$17-Inputs!$E$17))),0)</f>
        <v>105</v>
      </c>
      <c r="J1419" s="81" t="n">
        <f aca="true">RAND()</f>
        <v>0.256754542851253</v>
      </c>
      <c r="K1419" s="83" t="n">
        <f aca="false">IF(J1419&lt;(Inputs!$E$18-Inputs!$D$18)/(Inputs!$F$18-Inputs!$D$18),Inputs!$D$18+SQRT(J1419*(Inputs!$F$18-Inputs!$D$18)*(Inputs!$E$18-Inputs!$D$18)),Inputs!$F$18-SQRT((1-J1419)*(Inputs!$F$18-Inputs!$D$18)*(Inputs!$F$18-Inputs!$E$18)))</f>
        <v>0.994796671881421</v>
      </c>
      <c r="L1419" s="81" t="n">
        <f aca="true">RAND()</f>
        <v>0.102947476691905</v>
      </c>
      <c r="M1419" s="83" t="n">
        <f aca="false">IF(L1419&lt;(Inputs!$E$24-Inputs!$D$24)/(Inputs!$F$24-Inputs!$D$24),Inputs!$D$24+SQRT(L1419*(Inputs!$F$24-Inputs!$D$24)*(Inputs!$E$24-Inputs!$D$24)),Inputs!$F$24-SQRT((1-L1419)*(Inputs!$F$24-Inputs!$D$24)*(Inputs!$F$24-Inputs!$E$24)))</f>
        <v>0.711147187112534</v>
      </c>
      <c r="N1419" s="81" t="n">
        <f aca="true">RAND()</f>
        <v>0.0659292093504956</v>
      </c>
      <c r="O1419" s="83" t="n">
        <f aca="false">IF(N1419&lt;(Inputs!$E$26-Inputs!$D$26)/(Inputs!$F$26-Inputs!$D$26),Inputs!$D$26+SQRT(N1419*(Inputs!$F$26-Inputs!$D$26)*(Inputs!$E$26-Inputs!$D$26)),Inputs!$F$26-SQRT((1-N1419)*(Inputs!$F$26-Inputs!$D$26)*(Inputs!$F$26-Inputs!$E$26)))</f>
        <v>0.404740729594186</v>
      </c>
      <c r="P1419" s="81" t="n">
        <f aca="true">RAND()</f>
        <v>0.394369402164182</v>
      </c>
      <c r="Q1419" s="82" t="n">
        <f aca="false">IF(P1419&lt;(Inputs!$E$27-Inputs!$D$27)/(Inputs!$F$27-Inputs!$D$27),Inputs!$D$27+SQRT(P1419*(Inputs!$F$27-Inputs!$D$27)*(Inputs!$E$27-Inputs!$D$27)),Inputs!$F$27-SQRT((1-P1419)*(Inputs!$F$27-Inputs!$D$27)*(Inputs!$F$27-Inputs!$E$27)))</f>
        <v>82.6039356952601</v>
      </c>
      <c r="R1419" s="81" t="n">
        <f aca="true">RAND()</f>
        <v>0.105747565290995</v>
      </c>
      <c r="S1419" s="82" t="n">
        <f aca="false">IF(R1419&lt;(Inputs!$E$29-Inputs!$D$29)/(Inputs!$F$29-Inputs!$D$29),Inputs!$D$29+SQRT(R1419*(Inputs!$F$29-Inputs!$D$29)*(Inputs!$E$29-Inputs!$D$29)),Inputs!$F$29-SQRT((1-R1419)*(Inputs!$F$29-Inputs!$D$29)*(Inputs!$F$29-Inputs!$E$29)))</f>
        <v>4.03080157729622</v>
      </c>
      <c r="T1419" s="68" t="n">
        <f aca="false">Inputs!$E$9*(1+E1419)+Inputs!$E$5*C1419*(Inputs!$E$11*Inputs!$E$14*(G1419*I1419/Inputs!$E$16+(1-G1419))*K1419+Inputs!$E$23*M1419)*(1+O1419)+Inputs!$E$5*(Q1419+S1419)</f>
        <v>5644.7134568325</v>
      </c>
    </row>
    <row r="1420" customFormat="false" ht="15" hidden="false" customHeight="false" outlineLevel="0" collapsed="false">
      <c r="A1420" s="1" t="n">
        <v>1416</v>
      </c>
      <c r="B1420" s="81" t="n">
        <f aca="true">RAND()</f>
        <v>0.65842414096498</v>
      </c>
      <c r="C1420" s="82" t="n">
        <f aca="false">ROUND(IF(B1420&lt;(Inputs!$E$8-Inputs!$D$8)/(Inputs!$F$8-Inputs!$D$8),Inputs!$D$8+SQRT(B1420*(Inputs!$F$8-Inputs!$D$8)*(Inputs!$E$8-Inputs!$D$8)),Inputs!$F$8-SQRT((1-B1420)*(Inputs!$F$8-Inputs!$D$8)*(Inputs!$F$8-Inputs!$E$8))),0)</f>
        <v>26</v>
      </c>
      <c r="D1420" s="81" t="n">
        <f aca="true">RAND()</f>
        <v>0.648297609942579</v>
      </c>
      <c r="E1420" s="83" t="n">
        <f aca="false">IF(D1420&lt;(Inputs!$E$10-Inputs!$D$10)/(Inputs!$F$10-Inputs!$D$10),Inputs!$D$10+SQRT(D1420*(Inputs!$F$10-Inputs!$D$10)*(Inputs!$E$10-Inputs!$D$10)),Inputs!$F$10-SQRT((1-D1420)*(Inputs!$F$10-Inputs!$D$10)*(Inputs!$F$10-Inputs!$E$10)))</f>
        <v>0.0972815902492517</v>
      </c>
      <c r="F1420" s="81" t="n">
        <f aca="true">RAND()</f>
        <v>0.325224065045684</v>
      </c>
      <c r="G1420" s="83" t="n">
        <f aca="false">IF(F1420&lt;(Inputs!$E$15-Inputs!$D$15)/(Inputs!$F$15-Inputs!$D$15),Inputs!$D$15+SQRT(F1420*(Inputs!$F$15-Inputs!$D$15)*(Inputs!$E$15-Inputs!$D$15)),Inputs!$F$15-SQRT((1-F1420)*(Inputs!$F$15-Inputs!$D$15)*(Inputs!$F$15-Inputs!$E$15)))</f>
        <v>0.680650364542968</v>
      </c>
      <c r="H1420" s="81" t="n">
        <f aca="true">RAND()</f>
        <v>0.957302657117763</v>
      </c>
      <c r="I1420" s="82" t="n">
        <f aca="false">ROUND(IF(H1420&lt;(Inputs!$E$17-Inputs!$D$17)/(Inputs!$F$17-Inputs!$D$17),Inputs!$D$17+SQRT(H1420*(Inputs!$F$17-Inputs!$D$17)*(Inputs!$E$17-Inputs!$D$17)),Inputs!$F$17-SQRT((1-H1420)*(Inputs!$F$17-Inputs!$D$17)*(Inputs!$F$17-Inputs!$E$17))),0)</f>
        <v>112</v>
      </c>
      <c r="J1420" s="81" t="n">
        <f aca="true">RAND()</f>
        <v>0.557510040515815</v>
      </c>
      <c r="K1420" s="83" t="n">
        <f aca="false">IF(J1420&lt;(Inputs!$E$18-Inputs!$D$18)/(Inputs!$F$18-Inputs!$D$18),Inputs!$D$18+SQRT(J1420*(Inputs!$F$18-Inputs!$D$18)*(Inputs!$E$18-Inputs!$D$18)),Inputs!$F$18-SQRT((1-J1420)*(Inputs!$F$18-Inputs!$D$18)*(Inputs!$F$18-Inputs!$E$18)))</f>
        <v>1.05323142665846</v>
      </c>
      <c r="L1420" s="81" t="n">
        <f aca="true">RAND()</f>
        <v>0.242353022244145</v>
      </c>
      <c r="M1420" s="83" t="n">
        <f aca="false">IF(L1420&lt;(Inputs!$E$24-Inputs!$D$24)/(Inputs!$F$24-Inputs!$D$24),Inputs!$D$24+SQRT(L1420*(Inputs!$F$24-Inputs!$D$24)*(Inputs!$E$24-Inputs!$D$24)),Inputs!$F$24-SQRT((1-L1420)*(Inputs!$F$24-Inputs!$D$24)*(Inputs!$F$24-Inputs!$E$24)))</f>
        <v>0.770535517324977</v>
      </c>
      <c r="N1420" s="81" t="n">
        <f aca="true">RAND()</f>
        <v>0.350155776437095</v>
      </c>
      <c r="O1420" s="83" t="n">
        <f aca="false">IF(N1420&lt;(Inputs!$E$26-Inputs!$D$26)/(Inputs!$F$26-Inputs!$D$26),Inputs!$D$26+SQRT(N1420*(Inputs!$F$26-Inputs!$D$26)*(Inputs!$E$26-Inputs!$D$26)),Inputs!$F$26-SQRT((1-N1420)*(Inputs!$F$26-Inputs!$D$26)*(Inputs!$F$26-Inputs!$E$26)))</f>
        <v>0.541383349051116</v>
      </c>
      <c r="P1420" s="81" t="n">
        <f aca="true">RAND()</f>
        <v>0.647128808250962</v>
      </c>
      <c r="Q1420" s="82" t="n">
        <f aca="false">IF(P1420&lt;(Inputs!$E$27-Inputs!$D$27)/(Inputs!$F$27-Inputs!$D$27),Inputs!$D$27+SQRT(P1420*(Inputs!$F$27-Inputs!$D$27)*(Inputs!$E$27-Inputs!$D$27)),Inputs!$F$27-SQRT((1-P1420)*(Inputs!$F$27-Inputs!$D$27)*(Inputs!$F$27-Inputs!$E$27)))</f>
        <v>98.5555256794495</v>
      </c>
      <c r="R1420" s="81" t="n">
        <f aca="true">RAND()</f>
        <v>0.525958606838301</v>
      </c>
      <c r="S1420" s="82" t="n">
        <f aca="false">IF(R1420&lt;(Inputs!$E$29-Inputs!$D$29)/(Inputs!$F$29-Inputs!$D$29),Inputs!$D$29+SQRT(R1420*(Inputs!$F$29-Inputs!$D$29)*(Inputs!$E$29-Inputs!$D$29)),Inputs!$F$29-SQRT((1-R1420)*(Inputs!$F$29-Inputs!$D$29)*(Inputs!$F$29-Inputs!$E$29)))</f>
        <v>7.14981649188882</v>
      </c>
      <c r="T1420" s="68" t="n">
        <f aca="false">Inputs!$E$9*(1+E1420)+Inputs!$E$5*C1420*(Inputs!$E$11*Inputs!$E$14*(G1420*I1420/Inputs!$E$16+(1-G1420))*K1420+Inputs!$E$23*M1420)*(1+O1420)+Inputs!$E$5*(Q1420+S1420)</f>
        <v>6421.04217638888</v>
      </c>
    </row>
    <row r="1421" customFormat="false" ht="15" hidden="false" customHeight="false" outlineLevel="0" collapsed="false">
      <c r="A1421" s="1" t="n">
        <v>1417</v>
      </c>
      <c r="B1421" s="81" t="n">
        <f aca="true">RAND()</f>
        <v>0.248945182310616</v>
      </c>
      <c r="C1421" s="82" t="n">
        <f aca="false">ROUND(IF(B1421&lt;(Inputs!$E$8-Inputs!$D$8)/(Inputs!$F$8-Inputs!$D$8),Inputs!$D$8+SQRT(B1421*(Inputs!$F$8-Inputs!$D$8)*(Inputs!$E$8-Inputs!$D$8)),Inputs!$F$8-SQRT((1-B1421)*(Inputs!$F$8-Inputs!$D$8)*(Inputs!$F$8-Inputs!$E$8))),0)</f>
        <v>24</v>
      </c>
      <c r="D1421" s="81" t="n">
        <f aca="true">RAND()</f>
        <v>0.852201439109681</v>
      </c>
      <c r="E1421" s="83" t="n">
        <f aca="false">IF(D1421&lt;(Inputs!$E$10-Inputs!$D$10)/(Inputs!$F$10-Inputs!$D$10),Inputs!$D$10+SQRT(D1421*(Inputs!$F$10-Inputs!$D$10)*(Inputs!$E$10-Inputs!$D$10)),Inputs!$F$10-SQRT((1-D1421)*(Inputs!$F$10-Inputs!$D$10)*(Inputs!$F$10-Inputs!$E$10)))</f>
        <v>0.133412036923258</v>
      </c>
      <c r="F1421" s="81" t="n">
        <f aca="true">RAND()</f>
        <v>0.373401412293223</v>
      </c>
      <c r="G1421" s="83" t="n">
        <f aca="false">IF(F1421&lt;(Inputs!$E$15-Inputs!$D$15)/(Inputs!$F$15-Inputs!$D$15),Inputs!$D$15+SQRT(F1421*(Inputs!$F$15-Inputs!$D$15)*(Inputs!$E$15-Inputs!$D$15)),Inputs!$F$15-SQRT((1-F1421)*(Inputs!$F$15-Inputs!$D$15)*(Inputs!$F$15-Inputs!$E$15)))</f>
        <v>0.686417754228309</v>
      </c>
      <c r="H1421" s="81" t="n">
        <f aca="true">RAND()</f>
        <v>0.427651385227126</v>
      </c>
      <c r="I1421" s="82" t="n">
        <f aca="false">ROUND(IF(H1421&lt;(Inputs!$E$17-Inputs!$D$17)/(Inputs!$F$17-Inputs!$D$17),Inputs!$D$17+SQRT(H1421*(Inputs!$F$17-Inputs!$D$17)*(Inputs!$E$17-Inputs!$D$17)),Inputs!$F$17-SQRT((1-H1421)*(Inputs!$F$17-Inputs!$D$17)*(Inputs!$F$17-Inputs!$E$17))),0)</f>
        <v>106</v>
      </c>
      <c r="J1421" s="81" t="n">
        <f aca="true">RAND()</f>
        <v>0.982203223614436</v>
      </c>
      <c r="K1421" s="83" t="n">
        <f aca="false">IF(J1421&lt;(Inputs!$E$18-Inputs!$D$18)/(Inputs!$F$18-Inputs!$D$18),Inputs!$D$18+SQRT(J1421*(Inputs!$F$18-Inputs!$D$18)*(Inputs!$E$18-Inputs!$D$18)),Inputs!$F$18-SQRT((1-J1421)*(Inputs!$F$18-Inputs!$D$18)*(Inputs!$F$18-Inputs!$E$18)))</f>
        <v>1.2105383992502</v>
      </c>
      <c r="L1421" s="81" t="n">
        <f aca="true">RAND()</f>
        <v>0.870511300995225</v>
      </c>
      <c r="M1421" s="83" t="n">
        <f aca="false">IF(L1421&lt;(Inputs!$E$24-Inputs!$D$24)/(Inputs!$F$24-Inputs!$D$24),Inputs!$D$24+SQRT(L1421*(Inputs!$F$24-Inputs!$D$24)*(Inputs!$E$24-Inputs!$D$24)),Inputs!$F$24-SQRT((1-L1421)*(Inputs!$F$24-Inputs!$D$24)*(Inputs!$F$24-Inputs!$E$24)))</f>
        <v>1.02371248552111</v>
      </c>
      <c r="N1421" s="81" t="n">
        <f aca="true">RAND()</f>
        <v>0.0797719270407069</v>
      </c>
      <c r="O1421" s="83" t="n">
        <f aca="false">IF(N1421&lt;(Inputs!$E$26-Inputs!$D$26)/(Inputs!$F$26-Inputs!$D$26),Inputs!$D$26+SQRT(N1421*(Inputs!$F$26-Inputs!$D$26)*(Inputs!$E$26-Inputs!$D$26)),Inputs!$F$26-SQRT((1-N1421)*(Inputs!$F$26-Inputs!$D$26)*(Inputs!$F$26-Inputs!$E$26)))</f>
        <v>0.415213057678258</v>
      </c>
      <c r="P1421" s="81" t="n">
        <f aca="true">RAND()</f>
        <v>0.697043285996009</v>
      </c>
      <c r="Q1421" s="82" t="n">
        <f aca="false">IF(P1421&lt;(Inputs!$E$27-Inputs!$D$27)/(Inputs!$F$27-Inputs!$D$27),Inputs!$D$27+SQRT(P1421*(Inputs!$F$27-Inputs!$D$27)*(Inputs!$E$27-Inputs!$D$27)),Inputs!$F$27-SQRT((1-P1421)*(Inputs!$F$27-Inputs!$D$27)*(Inputs!$F$27-Inputs!$E$27)))</f>
        <v>102.332659450836</v>
      </c>
      <c r="R1421" s="81" t="n">
        <f aca="true">RAND()</f>
        <v>0.00318202040707235</v>
      </c>
      <c r="S1421" s="82" t="n">
        <f aca="false">IF(R1421&lt;(Inputs!$E$29-Inputs!$D$29)/(Inputs!$F$29-Inputs!$D$29),Inputs!$D$29+SQRT(R1421*(Inputs!$F$29-Inputs!$D$29)*(Inputs!$E$29-Inputs!$D$29)),Inputs!$F$29-SQRT((1-R1421)*(Inputs!$F$29-Inputs!$D$29)*(Inputs!$F$29-Inputs!$E$29)))</f>
        <v>2.35227659001958</v>
      </c>
      <c r="T1421" s="68" t="n">
        <f aca="false">Inputs!$E$9*(1+E1421)+Inputs!$E$5*C1421*(Inputs!$E$11*Inputs!$E$14*(G1421*I1421/Inputs!$E$16+(1-G1421))*K1421+Inputs!$E$23*M1421)*(1+O1421)+Inputs!$E$5*(Q1421+S1421)</f>
        <v>6494.85522263755</v>
      </c>
    </row>
    <row r="1422" customFormat="false" ht="15" hidden="false" customHeight="false" outlineLevel="0" collapsed="false">
      <c r="A1422" s="1" t="n">
        <v>1418</v>
      </c>
      <c r="B1422" s="81" t="n">
        <f aca="true">RAND()</f>
        <v>0.591267466003907</v>
      </c>
      <c r="C1422" s="82" t="n">
        <f aca="false">ROUND(IF(B1422&lt;(Inputs!$E$8-Inputs!$D$8)/(Inputs!$F$8-Inputs!$D$8),Inputs!$D$8+SQRT(B1422*(Inputs!$F$8-Inputs!$D$8)*(Inputs!$E$8-Inputs!$D$8)),Inputs!$F$8-SQRT((1-B1422)*(Inputs!$F$8-Inputs!$D$8)*(Inputs!$F$8-Inputs!$E$8))),0)</f>
        <v>25</v>
      </c>
      <c r="D1422" s="81" t="n">
        <f aca="true">RAND()</f>
        <v>0.697267121910855</v>
      </c>
      <c r="E1422" s="83" t="n">
        <f aca="false">IF(D1422&lt;(Inputs!$E$10-Inputs!$D$10)/(Inputs!$F$10-Inputs!$D$10),Inputs!$D$10+SQRT(D1422*(Inputs!$F$10-Inputs!$D$10)*(Inputs!$E$10-Inputs!$D$10)),Inputs!$F$10-SQRT((1-D1422)*(Inputs!$F$10-Inputs!$D$10)*(Inputs!$F$10-Inputs!$E$10)))</f>
        <v>0.104700543849011</v>
      </c>
      <c r="F1422" s="81" t="n">
        <f aca="true">RAND()</f>
        <v>0.125319952645458</v>
      </c>
      <c r="G1422" s="83" t="n">
        <f aca="false">IF(F1422&lt;(Inputs!$E$15-Inputs!$D$15)/(Inputs!$F$15-Inputs!$D$15),Inputs!$D$15+SQRT(F1422*(Inputs!$F$15-Inputs!$D$15)*(Inputs!$E$15-Inputs!$D$15)),Inputs!$F$15-SQRT((1-F1422)*(Inputs!$F$15-Inputs!$D$15)*(Inputs!$F$15-Inputs!$E$15)))</f>
        <v>0.650063949633535</v>
      </c>
      <c r="H1422" s="81" t="n">
        <f aca="true">RAND()</f>
        <v>0.801615562078933</v>
      </c>
      <c r="I1422" s="82" t="n">
        <f aca="false">ROUND(IF(H1422&lt;(Inputs!$E$17-Inputs!$D$17)/(Inputs!$F$17-Inputs!$D$17),Inputs!$D$17+SQRT(H1422*(Inputs!$F$17-Inputs!$D$17)*(Inputs!$E$17-Inputs!$D$17)),Inputs!$F$17-SQRT((1-H1422)*(Inputs!$F$17-Inputs!$D$17)*(Inputs!$F$17-Inputs!$E$17))),0)</f>
        <v>110</v>
      </c>
      <c r="J1422" s="81" t="n">
        <f aca="true">RAND()</f>
        <v>0.167722095373305</v>
      </c>
      <c r="K1422" s="83" t="n">
        <f aca="false">IF(J1422&lt;(Inputs!$E$18-Inputs!$D$18)/(Inputs!$F$18-Inputs!$D$18),Inputs!$D$18+SQRT(J1422*(Inputs!$F$18-Inputs!$D$18)*(Inputs!$E$18-Inputs!$D$18)),Inputs!$F$18-SQRT((1-J1422)*(Inputs!$F$18-Inputs!$D$18)*(Inputs!$F$18-Inputs!$E$18)))</f>
        <v>0.976617709036917</v>
      </c>
      <c r="L1422" s="81" t="n">
        <f aca="true">RAND()</f>
        <v>0.02849247699837</v>
      </c>
      <c r="M1422" s="83" t="n">
        <f aca="false">IF(L1422&lt;(Inputs!$E$24-Inputs!$D$24)/(Inputs!$F$24-Inputs!$D$24),Inputs!$D$24+SQRT(L1422*(Inputs!$F$24-Inputs!$D$24)*(Inputs!$E$24-Inputs!$D$24)),Inputs!$F$24-SQRT((1-L1422)*(Inputs!$F$24-Inputs!$D$24)*(Inputs!$F$24-Inputs!$E$24)))</f>
        <v>0.658473047122622</v>
      </c>
      <c r="N1422" s="81" t="n">
        <f aca="true">RAND()</f>
        <v>0.724294864815535</v>
      </c>
      <c r="O1422" s="83" t="n">
        <f aca="false">IF(N1422&lt;(Inputs!$E$26-Inputs!$D$26)/(Inputs!$F$26-Inputs!$D$26),Inputs!$D$26+SQRT(N1422*(Inputs!$F$26-Inputs!$D$26)*(Inputs!$E$26-Inputs!$D$26)),Inputs!$F$26-SQRT((1-N1422)*(Inputs!$F$26-Inputs!$D$26)*(Inputs!$F$26-Inputs!$E$26)))</f>
        <v>0.650667976864432</v>
      </c>
      <c r="P1422" s="81" t="n">
        <f aca="true">RAND()</f>
        <v>0.921529211582863</v>
      </c>
      <c r="Q1422" s="82" t="n">
        <f aca="false">IF(P1422&lt;(Inputs!$E$27-Inputs!$D$27)/(Inputs!$F$27-Inputs!$D$27),Inputs!$D$27+SQRT(P1422*(Inputs!$F$27-Inputs!$D$27)*(Inputs!$E$27-Inputs!$D$27)),Inputs!$F$27-SQRT((1-P1422)*(Inputs!$F$27-Inputs!$D$27)*(Inputs!$F$27-Inputs!$E$27)))</f>
        <v>125.740343919822</v>
      </c>
      <c r="R1422" s="81" t="n">
        <f aca="true">RAND()</f>
        <v>0.683896381888317</v>
      </c>
      <c r="S1422" s="82" t="n">
        <f aca="false">IF(R1422&lt;(Inputs!$E$29-Inputs!$D$29)/(Inputs!$F$29-Inputs!$D$29),Inputs!$D$29+SQRT(R1422*(Inputs!$F$29-Inputs!$D$29)*(Inputs!$E$29-Inputs!$D$29)),Inputs!$F$29-SQRT((1-R1422)*(Inputs!$F$29-Inputs!$D$29)*(Inputs!$F$29-Inputs!$E$29)))</f>
        <v>8.58958110927852</v>
      </c>
      <c r="T1422" s="68" t="n">
        <f aca="false">Inputs!$E$9*(1+E1422)+Inputs!$E$5*C1422*(Inputs!$E$11*Inputs!$E$14*(G1422*I1422/Inputs!$E$16+(1-G1422))*K1422+Inputs!$E$23*M1422)*(1+O1422)+Inputs!$E$5*(Q1422+S1422)</f>
        <v>6356.53093607949</v>
      </c>
    </row>
    <row r="1423" customFormat="false" ht="15" hidden="false" customHeight="false" outlineLevel="0" collapsed="false">
      <c r="A1423" s="1" t="n">
        <v>1419</v>
      </c>
      <c r="B1423" s="81" t="n">
        <f aca="true">RAND()</f>
        <v>0.262998926068255</v>
      </c>
      <c r="C1423" s="82" t="n">
        <f aca="false">ROUND(IF(B1423&lt;(Inputs!$E$8-Inputs!$D$8)/(Inputs!$F$8-Inputs!$D$8),Inputs!$D$8+SQRT(B1423*(Inputs!$F$8-Inputs!$D$8)*(Inputs!$E$8-Inputs!$D$8)),Inputs!$F$8-SQRT((1-B1423)*(Inputs!$F$8-Inputs!$D$8)*(Inputs!$F$8-Inputs!$E$8))),0)</f>
        <v>24</v>
      </c>
      <c r="D1423" s="81" t="n">
        <f aca="true">RAND()</f>
        <v>0.77897993741833</v>
      </c>
      <c r="E1423" s="83" t="n">
        <f aca="false">IF(D1423&lt;(Inputs!$E$10-Inputs!$D$10)/(Inputs!$F$10-Inputs!$D$10),Inputs!$D$10+SQRT(D1423*(Inputs!$F$10-Inputs!$D$10)*(Inputs!$E$10-Inputs!$D$10)),Inputs!$F$10-SQRT((1-D1423)*(Inputs!$F$10-Inputs!$D$10)*(Inputs!$F$10-Inputs!$E$10)))</f>
        <v>0.118571492231221</v>
      </c>
      <c r="F1423" s="81" t="n">
        <f aca="true">RAND()</f>
        <v>0.777349716814574</v>
      </c>
      <c r="G1423" s="83" t="n">
        <f aca="false">IF(F1423&lt;(Inputs!$E$15-Inputs!$D$15)/(Inputs!$F$15-Inputs!$D$15),Inputs!$D$15+SQRT(F1423*(Inputs!$F$15-Inputs!$D$15)*(Inputs!$E$15-Inputs!$D$15)),Inputs!$F$15-SQRT((1-F1423)*(Inputs!$F$15-Inputs!$D$15)*(Inputs!$F$15-Inputs!$E$15)))</f>
        <v>0.733269155080214</v>
      </c>
      <c r="H1423" s="81" t="n">
        <f aca="true">RAND()</f>
        <v>0.445540138730198</v>
      </c>
      <c r="I1423" s="82" t="n">
        <f aca="false">ROUND(IF(H1423&lt;(Inputs!$E$17-Inputs!$D$17)/(Inputs!$F$17-Inputs!$D$17),Inputs!$D$17+SQRT(H1423*(Inputs!$F$17-Inputs!$D$17)*(Inputs!$E$17-Inputs!$D$17)),Inputs!$F$17-SQRT((1-H1423)*(Inputs!$F$17-Inputs!$D$17)*(Inputs!$F$17-Inputs!$E$17))),0)</f>
        <v>106</v>
      </c>
      <c r="J1423" s="81" t="n">
        <f aca="true">RAND()</f>
        <v>0.99105243741197</v>
      </c>
      <c r="K1423" s="83" t="n">
        <f aca="false">IF(J1423&lt;(Inputs!$E$18-Inputs!$D$18)/(Inputs!$F$18-Inputs!$D$18),Inputs!$D$18+SQRT(J1423*(Inputs!$F$18-Inputs!$D$18)*(Inputs!$E$18-Inputs!$D$18)),Inputs!$F$18-SQRT((1-J1423)*(Inputs!$F$18-Inputs!$D$18)*(Inputs!$F$18-Inputs!$E$18)))</f>
        <v>1.2220194402048</v>
      </c>
      <c r="L1423" s="81" t="n">
        <f aca="true">RAND()</f>
        <v>0.551599000634948</v>
      </c>
      <c r="M1423" s="83" t="n">
        <f aca="false">IF(L1423&lt;(Inputs!$E$24-Inputs!$D$24)/(Inputs!$F$24-Inputs!$D$24),Inputs!$D$24+SQRT(L1423*(Inputs!$F$24-Inputs!$D$24)*(Inputs!$E$24-Inputs!$D$24)),Inputs!$F$24-SQRT((1-L1423)*(Inputs!$F$24-Inputs!$D$24)*(Inputs!$F$24-Inputs!$E$24)))</f>
        <v>0.871950857572204</v>
      </c>
      <c r="N1423" s="81" t="n">
        <f aca="true">RAND()</f>
        <v>0.0104201408393596</v>
      </c>
      <c r="O1423" s="83" t="n">
        <f aca="false">IF(N1423&lt;(Inputs!$E$26-Inputs!$D$26)/(Inputs!$F$26-Inputs!$D$26),Inputs!$D$26+SQRT(N1423*(Inputs!$F$26-Inputs!$D$26)*(Inputs!$E$26-Inputs!$D$26)),Inputs!$F$26-SQRT((1-N1423)*(Inputs!$F$26-Inputs!$D$26)*(Inputs!$F$26-Inputs!$E$26)))</f>
        <v>0.341640262195013</v>
      </c>
      <c r="P1423" s="81" t="n">
        <f aca="true">RAND()</f>
        <v>0.346070895437849</v>
      </c>
      <c r="Q1423" s="82" t="n">
        <f aca="false">IF(P1423&lt;(Inputs!$E$27-Inputs!$D$27)/(Inputs!$F$27-Inputs!$D$27),Inputs!$D$27+SQRT(P1423*(Inputs!$F$27-Inputs!$D$27)*(Inputs!$E$27-Inputs!$D$27)),Inputs!$F$27-SQRT((1-P1423)*(Inputs!$F$27-Inputs!$D$27)*(Inputs!$F$27-Inputs!$E$27)))</f>
        <v>79.968090956935</v>
      </c>
      <c r="R1423" s="81" t="n">
        <f aca="true">RAND()</f>
        <v>0.0897372272234477</v>
      </c>
      <c r="S1423" s="82" t="n">
        <f aca="false">IF(R1423&lt;(Inputs!$E$29-Inputs!$D$29)/(Inputs!$F$29-Inputs!$D$29),Inputs!$D$29+SQRT(R1423*(Inputs!$F$29-Inputs!$D$29)*(Inputs!$E$29-Inputs!$D$29)),Inputs!$F$29-SQRT((1-R1423)*(Inputs!$F$29-Inputs!$D$29)*(Inputs!$F$29-Inputs!$E$29)))</f>
        <v>3.87076237446514</v>
      </c>
      <c r="T1423" s="68" t="n">
        <f aca="false">Inputs!$E$9*(1+E1423)+Inputs!$E$5*C1423*(Inputs!$E$11*Inputs!$E$14*(G1423*I1423/Inputs!$E$16+(1-G1423))*K1423+Inputs!$E$23*M1423)*(1+O1423)+Inputs!$E$5*(Q1423+S1423)</f>
        <v>5962.45104622589</v>
      </c>
    </row>
    <row r="1424" customFormat="false" ht="15" hidden="false" customHeight="false" outlineLevel="0" collapsed="false">
      <c r="A1424" s="1" t="n">
        <v>1420</v>
      </c>
      <c r="B1424" s="81" t="n">
        <f aca="true">RAND()</f>
        <v>0.372551716654922</v>
      </c>
      <c r="C1424" s="82" t="n">
        <f aca="false">ROUND(IF(B1424&lt;(Inputs!$E$8-Inputs!$D$8)/(Inputs!$F$8-Inputs!$D$8),Inputs!$D$8+SQRT(B1424*(Inputs!$F$8-Inputs!$D$8)*(Inputs!$E$8-Inputs!$D$8)),Inputs!$F$8-SQRT((1-B1424)*(Inputs!$F$8-Inputs!$D$8)*(Inputs!$F$8-Inputs!$E$8))),0)</f>
        <v>24</v>
      </c>
      <c r="D1424" s="81" t="n">
        <f aca="true">RAND()</f>
        <v>0.250459442640925</v>
      </c>
      <c r="E1424" s="83" t="n">
        <f aca="false">IF(D1424&lt;(Inputs!$E$10-Inputs!$D$10)/(Inputs!$F$10-Inputs!$D$10),Inputs!$D$10+SQRT(D1424*(Inputs!$F$10-Inputs!$D$10)*(Inputs!$E$10-Inputs!$D$10)),Inputs!$F$10-SQRT((1-D1424)*(Inputs!$F$10-Inputs!$D$10)*(Inputs!$F$10-Inputs!$E$10)))</f>
        <v>0.0500459513024999</v>
      </c>
      <c r="F1424" s="81" t="n">
        <f aca="true">RAND()</f>
        <v>0.00471287812521997</v>
      </c>
      <c r="G1424" s="83" t="n">
        <f aca="false">IF(F1424&lt;(Inputs!$E$15-Inputs!$D$15)/(Inputs!$F$15-Inputs!$D$15),Inputs!$D$15+SQRT(F1424*(Inputs!$F$15-Inputs!$D$15)*(Inputs!$E$15-Inputs!$D$15)),Inputs!$F$15-SQRT((1-F1424)*(Inputs!$F$15-Inputs!$D$15)*(Inputs!$F$15-Inputs!$E$15)))</f>
        <v>0.609708633400453</v>
      </c>
      <c r="H1424" s="81" t="n">
        <f aca="true">RAND()</f>
        <v>0.398993353193629</v>
      </c>
      <c r="I1424" s="82" t="n">
        <f aca="false">ROUND(IF(H1424&lt;(Inputs!$E$17-Inputs!$D$17)/(Inputs!$F$17-Inputs!$D$17),Inputs!$D$17+SQRT(H1424*(Inputs!$F$17-Inputs!$D$17)*(Inputs!$E$17-Inputs!$D$17)),Inputs!$F$17-SQRT((1-H1424)*(Inputs!$F$17-Inputs!$D$17)*(Inputs!$F$17-Inputs!$E$17))),0)</f>
        <v>106</v>
      </c>
      <c r="J1424" s="81" t="n">
        <f aca="true">RAND()</f>
        <v>0.215487060496345</v>
      </c>
      <c r="K1424" s="83" t="n">
        <f aca="false">IF(J1424&lt;(Inputs!$E$18-Inputs!$D$18)/(Inputs!$F$18-Inputs!$D$18),Inputs!$D$18+SQRT(J1424*(Inputs!$F$18-Inputs!$D$18)*(Inputs!$E$18-Inputs!$D$18)),Inputs!$F$18-SQRT((1-J1424)*(Inputs!$F$18-Inputs!$D$18)*(Inputs!$F$18-Inputs!$E$18)))</f>
        <v>0.986844960230126</v>
      </c>
      <c r="L1424" s="81" t="n">
        <f aca="true">RAND()</f>
        <v>0.108433730281828</v>
      </c>
      <c r="M1424" s="83" t="n">
        <f aca="false">IF(L1424&lt;(Inputs!$E$24-Inputs!$D$24)/(Inputs!$F$24-Inputs!$D$24),Inputs!$D$24+SQRT(L1424*(Inputs!$F$24-Inputs!$D$24)*(Inputs!$E$24-Inputs!$D$24)),Inputs!$F$24-SQRT((1-L1424)*(Inputs!$F$24-Inputs!$D$24)*(Inputs!$F$24-Inputs!$E$24)))</f>
        <v>0.714070362644376</v>
      </c>
      <c r="N1424" s="81" t="n">
        <f aca="true">RAND()</f>
        <v>0.676892805020958</v>
      </c>
      <c r="O1424" s="83" t="n">
        <f aca="false">IF(N1424&lt;(Inputs!$E$26-Inputs!$D$26)/(Inputs!$F$26-Inputs!$D$26),Inputs!$D$26+SQRT(N1424*(Inputs!$F$26-Inputs!$D$26)*(Inputs!$E$26-Inputs!$D$26)),Inputs!$F$26-SQRT((1-N1424)*(Inputs!$F$26-Inputs!$D$26)*(Inputs!$F$26-Inputs!$E$26)))</f>
        <v>0.636688384771122</v>
      </c>
      <c r="P1424" s="81" t="n">
        <f aca="true">RAND()</f>
        <v>0.38861182425896</v>
      </c>
      <c r="Q1424" s="82" t="n">
        <f aca="false">IF(P1424&lt;(Inputs!$E$27-Inputs!$D$27)/(Inputs!$F$27-Inputs!$D$27),Inputs!$D$27+SQRT(P1424*(Inputs!$F$27-Inputs!$D$27)*(Inputs!$E$27-Inputs!$D$27)),Inputs!$F$27-SQRT((1-P1424)*(Inputs!$F$27-Inputs!$D$27)*(Inputs!$F$27-Inputs!$E$27)))</f>
        <v>82.2843347661872</v>
      </c>
      <c r="R1424" s="81" t="n">
        <f aca="true">RAND()</f>
        <v>0.668924798843209</v>
      </c>
      <c r="S1424" s="82" t="n">
        <f aca="false">IF(R1424&lt;(Inputs!$E$29-Inputs!$D$29)/(Inputs!$F$29-Inputs!$D$29),Inputs!$D$29+SQRT(R1424*(Inputs!$F$29-Inputs!$D$29)*(Inputs!$E$29-Inputs!$D$29)),Inputs!$F$29-SQRT((1-R1424)*(Inputs!$F$29-Inputs!$D$29)*(Inputs!$F$29-Inputs!$E$29)))</f>
        <v>8.43952927371955</v>
      </c>
      <c r="T1424" s="68" t="n">
        <f aca="false">Inputs!$E$9*(1+E1424)+Inputs!$E$5*C1424*(Inputs!$E$11*Inputs!$E$14*(G1424*I1424/Inputs!$E$16+(1-G1424))*K1424+Inputs!$E$23*M1424)*(1+O1424)+Inputs!$E$5*(Q1424+S1424)</f>
        <v>5971.74787116672</v>
      </c>
    </row>
    <row r="1425" customFormat="false" ht="15" hidden="false" customHeight="false" outlineLevel="0" collapsed="false">
      <c r="A1425" s="1" t="n">
        <v>1421</v>
      </c>
      <c r="B1425" s="81" t="n">
        <f aca="true">RAND()</f>
        <v>0.121928365477695</v>
      </c>
      <c r="C1425" s="82" t="n">
        <f aca="false">ROUND(IF(B1425&lt;(Inputs!$E$8-Inputs!$D$8)/(Inputs!$F$8-Inputs!$D$8),Inputs!$D$8+SQRT(B1425*(Inputs!$F$8-Inputs!$D$8)*(Inputs!$E$8-Inputs!$D$8)),Inputs!$F$8-SQRT((1-B1425)*(Inputs!$F$8-Inputs!$D$8)*(Inputs!$F$8-Inputs!$E$8))),0)</f>
        <v>22</v>
      </c>
      <c r="D1425" s="81" t="n">
        <f aca="true">RAND()</f>
        <v>0.812522969344642</v>
      </c>
      <c r="E1425" s="83" t="n">
        <f aca="false">IF(D1425&lt;(Inputs!$E$10-Inputs!$D$10)/(Inputs!$F$10-Inputs!$D$10),Inputs!$D$10+SQRT(D1425*(Inputs!$F$10-Inputs!$D$10)*(Inputs!$E$10-Inputs!$D$10)),Inputs!$F$10-SQRT((1-D1425)*(Inputs!$F$10-Inputs!$D$10)*(Inputs!$F$10-Inputs!$E$10)))</f>
        <v>0.125004594009628</v>
      </c>
      <c r="F1425" s="81" t="n">
        <f aca="true">RAND()</f>
        <v>0.920972144420963</v>
      </c>
      <c r="G1425" s="83" t="n">
        <f aca="false">IF(F1425&lt;(Inputs!$E$15-Inputs!$D$15)/(Inputs!$F$15-Inputs!$D$15),Inputs!$D$15+SQRT(F1425*(Inputs!$F$15-Inputs!$D$15)*(Inputs!$E$15-Inputs!$D$15)),Inputs!$F$15-SQRT((1-F1425)*(Inputs!$F$15-Inputs!$D$15)*(Inputs!$F$15-Inputs!$E$15)))</f>
        <v>0.760243778957492</v>
      </c>
      <c r="H1425" s="81" t="n">
        <f aca="true">RAND()</f>
        <v>0.154448765711137</v>
      </c>
      <c r="I1425" s="82" t="n">
        <f aca="false">ROUND(IF(H1425&lt;(Inputs!$E$17-Inputs!$D$17)/(Inputs!$F$17-Inputs!$D$17),Inputs!$D$17+SQRT(H1425*(Inputs!$F$17-Inputs!$D$17)*(Inputs!$E$17-Inputs!$D$17)),Inputs!$F$17-SQRT((1-H1425)*(Inputs!$F$17-Inputs!$D$17)*(Inputs!$F$17-Inputs!$E$17))),0)</f>
        <v>103</v>
      </c>
      <c r="J1425" s="81" t="n">
        <f aca="true">RAND()</f>
        <v>0.439008211289766</v>
      </c>
      <c r="K1425" s="83" t="n">
        <f aca="false">IF(J1425&lt;(Inputs!$E$18-Inputs!$D$18)/(Inputs!$F$18-Inputs!$D$18),Inputs!$D$18+SQRT(J1425*(Inputs!$F$18-Inputs!$D$18)*(Inputs!$E$18-Inputs!$D$18)),Inputs!$F$18-SQRT((1-J1425)*(Inputs!$F$18-Inputs!$D$18)*(Inputs!$F$18-Inputs!$E$18)))</f>
        <v>1.02844463104645</v>
      </c>
      <c r="L1425" s="81" t="n">
        <f aca="true">RAND()</f>
        <v>0.125674959475539</v>
      </c>
      <c r="M1425" s="83" t="n">
        <f aca="false">IF(L1425&lt;(Inputs!$E$24-Inputs!$D$24)/(Inputs!$F$24-Inputs!$D$24),Inputs!$D$24+SQRT(L1425*(Inputs!$F$24-Inputs!$D$24)*(Inputs!$E$24-Inputs!$D$24)),Inputs!$F$24-SQRT((1-L1425)*(Inputs!$F$24-Inputs!$D$24)*(Inputs!$F$24-Inputs!$E$24)))</f>
        <v>0.722804703236744</v>
      </c>
      <c r="N1425" s="81" t="n">
        <f aca="true">RAND()</f>
        <v>0.479250831416138</v>
      </c>
      <c r="O1425" s="83" t="n">
        <f aca="false">IF(N1425&lt;(Inputs!$E$26-Inputs!$D$26)/(Inputs!$F$26-Inputs!$D$26),Inputs!$D$26+SQRT(N1425*(Inputs!$F$26-Inputs!$D$26)*(Inputs!$E$26-Inputs!$D$26)),Inputs!$F$26-SQRT((1-N1425)*(Inputs!$F$26-Inputs!$D$26)*(Inputs!$F$26-Inputs!$E$26)))</f>
        <v>0.582395712339344</v>
      </c>
      <c r="P1425" s="81" t="n">
        <f aca="true">RAND()</f>
        <v>0.238480985338854</v>
      </c>
      <c r="Q1425" s="82" t="n">
        <f aca="false">IF(P1425&lt;(Inputs!$E$27-Inputs!$D$27)/(Inputs!$F$27-Inputs!$D$27),Inputs!$D$27+SQRT(P1425*(Inputs!$F$27-Inputs!$D$27)*(Inputs!$E$27-Inputs!$D$27)),Inputs!$F$27-SQRT((1-P1425)*(Inputs!$F$27-Inputs!$D$27)*(Inputs!$F$27-Inputs!$E$27)))</f>
        <v>74.4172574902903</v>
      </c>
      <c r="R1425" s="81" t="n">
        <f aca="true">RAND()</f>
        <v>0.144959127855714</v>
      </c>
      <c r="S1425" s="82" t="n">
        <f aca="false">IF(R1425&lt;(Inputs!$E$29-Inputs!$D$29)/(Inputs!$F$29-Inputs!$D$29),Inputs!$D$29+SQRT(R1425*(Inputs!$F$29-Inputs!$D$29)*(Inputs!$E$29-Inputs!$D$29)),Inputs!$F$29-SQRT((1-R1425)*(Inputs!$F$29-Inputs!$D$29)*(Inputs!$F$29-Inputs!$E$29)))</f>
        <v>4.37768921147673</v>
      </c>
      <c r="T1425" s="68" t="n">
        <f aca="false">Inputs!$E$9*(1+E1425)+Inputs!$E$5*C1425*(Inputs!$E$11*Inputs!$E$14*(G1425*I1425/Inputs!$E$16+(1-G1425))*K1425+Inputs!$E$23*M1425)*(1+O1425)+Inputs!$E$5*(Q1425+S1425)</f>
        <v>5594.22195636838</v>
      </c>
    </row>
    <row r="1426" customFormat="false" ht="15" hidden="false" customHeight="false" outlineLevel="0" collapsed="false">
      <c r="A1426" s="1" t="n">
        <v>1422</v>
      </c>
      <c r="B1426" s="81" t="n">
        <f aca="true">RAND()</f>
        <v>0.723355163322903</v>
      </c>
      <c r="C1426" s="82" t="n">
        <f aca="false">ROUND(IF(B1426&lt;(Inputs!$E$8-Inputs!$D$8)/(Inputs!$F$8-Inputs!$D$8),Inputs!$D$8+SQRT(B1426*(Inputs!$F$8-Inputs!$D$8)*(Inputs!$E$8-Inputs!$D$8)),Inputs!$F$8-SQRT((1-B1426)*(Inputs!$F$8-Inputs!$D$8)*(Inputs!$F$8-Inputs!$E$8))),0)</f>
        <v>26</v>
      </c>
      <c r="D1426" s="81" t="n">
        <f aca="true">RAND()</f>
        <v>0.325537142792155</v>
      </c>
      <c r="E1426" s="83" t="n">
        <f aca="false">IF(D1426&lt;(Inputs!$E$10-Inputs!$D$10)/(Inputs!$F$10-Inputs!$D$10),Inputs!$D$10+SQRT(D1426*(Inputs!$F$10-Inputs!$D$10)*(Inputs!$E$10-Inputs!$D$10)),Inputs!$F$10-SQRT((1-D1426)*(Inputs!$F$10-Inputs!$D$10)*(Inputs!$F$10-Inputs!$E$10)))</f>
        <v>0.0577541363826865</v>
      </c>
      <c r="F1426" s="81" t="n">
        <f aca="true">RAND()</f>
        <v>0.359378631312627</v>
      </c>
      <c r="G1426" s="83" t="n">
        <f aca="false">IF(F1426&lt;(Inputs!$E$15-Inputs!$D$15)/(Inputs!$F$15-Inputs!$D$15),Inputs!$D$15+SQRT(F1426*(Inputs!$F$15-Inputs!$D$15)*(Inputs!$E$15-Inputs!$D$15)),Inputs!$F$15-SQRT((1-F1426)*(Inputs!$F$15-Inputs!$D$15)*(Inputs!$F$15-Inputs!$E$15)))</f>
        <v>0.684779553114254</v>
      </c>
      <c r="H1426" s="81" t="n">
        <f aca="true">RAND()</f>
        <v>0.0782498856364667</v>
      </c>
      <c r="I1426" s="82" t="n">
        <f aca="false">ROUND(IF(H1426&lt;(Inputs!$E$17-Inputs!$D$17)/(Inputs!$F$17-Inputs!$D$17),Inputs!$D$17+SQRT(H1426*(Inputs!$F$17-Inputs!$D$17)*(Inputs!$E$17-Inputs!$D$17)),Inputs!$F$17-SQRT((1-H1426)*(Inputs!$F$17-Inputs!$D$17)*(Inputs!$F$17-Inputs!$E$17))),0)</f>
        <v>102</v>
      </c>
      <c r="J1426" s="81" t="n">
        <f aca="true">RAND()</f>
        <v>0.425464839317299</v>
      </c>
      <c r="K1426" s="83" t="n">
        <f aca="false">IF(J1426&lt;(Inputs!$E$18-Inputs!$D$18)/(Inputs!$F$18-Inputs!$D$18),Inputs!$D$18+SQRT(J1426*(Inputs!$F$18-Inputs!$D$18)*(Inputs!$E$18-Inputs!$D$18)),Inputs!$F$18-SQRT((1-J1426)*(Inputs!$F$18-Inputs!$D$18)*(Inputs!$F$18-Inputs!$E$18)))</f>
        <v>1.02578620345809</v>
      </c>
      <c r="L1426" s="81" t="n">
        <f aca="true">RAND()</f>
        <v>0.230413366040414</v>
      </c>
      <c r="M1426" s="83" t="n">
        <f aca="false">IF(L1426&lt;(Inputs!$E$24-Inputs!$D$24)/(Inputs!$F$24-Inputs!$D$24),Inputs!$D$24+SQRT(L1426*(Inputs!$F$24-Inputs!$D$24)*(Inputs!$E$24-Inputs!$D$24)),Inputs!$F$24-SQRT((1-L1426)*(Inputs!$F$24-Inputs!$D$24)*(Inputs!$F$24-Inputs!$E$24)))</f>
        <v>0.766281700511059</v>
      </c>
      <c r="N1426" s="81" t="n">
        <f aca="true">RAND()</f>
        <v>0.18922186102247</v>
      </c>
      <c r="O1426" s="83" t="n">
        <f aca="false">IF(N1426&lt;(Inputs!$E$26-Inputs!$D$26)/(Inputs!$F$26-Inputs!$D$26),Inputs!$D$26+SQRT(N1426*(Inputs!$F$26-Inputs!$D$26)*(Inputs!$E$26-Inputs!$D$26)),Inputs!$F$26-SQRT((1-N1426)*(Inputs!$F$26-Inputs!$D$26)*(Inputs!$F$26-Inputs!$E$26)))</f>
        <v>0.477444407277713</v>
      </c>
      <c r="P1426" s="81" t="n">
        <f aca="true">RAND()</f>
        <v>0.108872650232712</v>
      </c>
      <c r="Q1426" s="82" t="n">
        <f aca="false">IF(P1426&lt;(Inputs!$E$27-Inputs!$D$27)/(Inputs!$F$27-Inputs!$D$27),Inputs!$D$27+SQRT(P1426*(Inputs!$F$27-Inputs!$D$27)*(Inputs!$E$27-Inputs!$D$27)),Inputs!$F$27-SQRT((1-P1426)*(Inputs!$F$27-Inputs!$D$27)*(Inputs!$F$27-Inputs!$E$27)))</f>
        <v>66.4979279178259</v>
      </c>
      <c r="R1426" s="81" t="n">
        <f aca="true">RAND()</f>
        <v>0.85916798975258</v>
      </c>
      <c r="S1426" s="82" t="n">
        <f aca="false">IF(R1426&lt;(Inputs!$E$29-Inputs!$D$29)/(Inputs!$F$29-Inputs!$D$29),Inputs!$D$29+SQRT(R1426*(Inputs!$F$29-Inputs!$D$29)*(Inputs!$E$29-Inputs!$D$29)),Inputs!$F$29-SQRT((1-R1426)*(Inputs!$F$29-Inputs!$D$29)*(Inputs!$F$29-Inputs!$E$29)))</f>
        <v>10.7211962732366</v>
      </c>
      <c r="T1426" s="68" t="n">
        <f aca="false">Inputs!$E$9*(1+E1426)+Inputs!$E$5*C1426*(Inputs!$E$11*Inputs!$E$14*(G1426*I1426/Inputs!$E$16+(1-G1426))*K1426+Inputs!$E$23*M1426)*(1+O1426)+Inputs!$E$5*(Q1426+S1426)</f>
        <v>5864.87582970633</v>
      </c>
    </row>
    <row r="1427" customFormat="false" ht="15" hidden="false" customHeight="false" outlineLevel="0" collapsed="false">
      <c r="A1427" s="1" t="n">
        <v>1423</v>
      </c>
      <c r="B1427" s="81" t="n">
        <f aca="true">RAND()</f>
        <v>0.460890514722629</v>
      </c>
      <c r="C1427" s="82" t="n">
        <f aca="false">ROUND(IF(B1427&lt;(Inputs!$E$8-Inputs!$D$8)/(Inputs!$F$8-Inputs!$D$8),Inputs!$D$8+SQRT(B1427*(Inputs!$F$8-Inputs!$D$8)*(Inputs!$E$8-Inputs!$D$8)),Inputs!$F$8-SQRT((1-B1427)*(Inputs!$F$8-Inputs!$D$8)*(Inputs!$F$8-Inputs!$E$8))),0)</f>
        <v>25</v>
      </c>
      <c r="D1427" s="81" t="n">
        <f aca="true">RAND()</f>
        <v>0.249074986201554</v>
      </c>
      <c r="E1427" s="83" t="n">
        <f aca="false">IF(D1427&lt;(Inputs!$E$10-Inputs!$D$10)/(Inputs!$F$10-Inputs!$D$10),Inputs!$D$10+SQRT(D1427*(Inputs!$F$10-Inputs!$D$10)*(Inputs!$E$10-Inputs!$D$10)),Inputs!$F$10-SQRT((1-D1427)*(Inputs!$F$10-Inputs!$D$10)*(Inputs!$F$10-Inputs!$E$10)))</f>
        <v>0.0499074128964379</v>
      </c>
      <c r="F1427" s="81" t="n">
        <f aca="true">RAND()</f>
        <v>0.991454150785255</v>
      </c>
      <c r="G1427" s="83" t="n">
        <f aca="false">IF(F1427&lt;(Inputs!$E$15-Inputs!$D$15)/(Inputs!$F$15-Inputs!$D$15),Inputs!$D$15+SQRT(F1427*(Inputs!$F$15-Inputs!$D$15)*(Inputs!$E$15-Inputs!$D$15)),Inputs!$F$15-SQRT((1-F1427)*(Inputs!$F$15-Inputs!$D$15)*(Inputs!$F$15-Inputs!$E$15)))</f>
        <v>0.786926477739534</v>
      </c>
      <c r="H1427" s="81" t="n">
        <f aca="true">RAND()</f>
        <v>0.942040364452975</v>
      </c>
      <c r="I1427" s="82" t="n">
        <f aca="false">ROUND(IF(H1427&lt;(Inputs!$E$17-Inputs!$D$17)/(Inputs!$F$17-Inputs!$D$17),Inputs!$D$17+SQRT(H1427*(Inputs!$F$17-Inputs!$D$17)*(Inputs!$E$17-Inputs!$D$17)),Inputs!$F$17-SQRT((1-H1427)*(Inputs!$F$17-Inputs!$D$17)*(Inputs!$F$17-Inputs!$E$17))),0)</f>
        <v>112</v>
      </c>
      <c r="J1427" s="81" t="n">
        <f aca="true">RAND()</f>
        <v>0.0227984080418078</v>
      </c>
      <c r="K1427" s="83" t="n">
        <f aca="false">IF(J1427&lt;(Inputs!$E$18-Inputs!$D$18)/(Inputs!$F$18-Inputs!$D$18),Inputs!$D$18+SQRT(J1427*(Inputs!$F$18-Inputs!$D$18)*(Inputs!$E$18-Inputs!$D$18)),Inputs!$F$18-SQRT((1-J1427)*(Inputs!$F$18-Inputs!$D$18)*(Inputs!$F$18-Inputs!$E$18)))</f>
        <v>0.928247907559026</v>
      </c>
      <c r="L1427" s="81" t="n">
        <f aca="true">RAND()</f>
        <v>0.281089046291454</v>
      </c>
      <c r="M1427" s="83" t="n">
        <f aca="false">IF(L1427&lt;(Inputs!$E$24-Inputs!$D$24)/(Inputs!$F$24-Inputs!$D$24),Inputs!$D$24+SQRT(L1427*(Inputs!$F$24-Inputs!$D$24)*(Inputs!$E$24-Inputs!$D$24)),Inputs!$F$24-SQRT((1-L1427)*(Inputs!$F$24-Inputs!$D$24)*(Inputs!$F$24-Inputs!$E$24)))</f>
        <v>0.783659155924703</v>
      </c>
      <c r="N1427" s="81" t="n">
        <f aca="true">RAND()</f>
        <v>0.452361825382447</v>
      </c>
      <c r="O1427" s="83" t="n">
        <f aca="false">IF(N1427&lt;(Inputs!$E$26-Inputs!$D$26)/(Inputs!$F$26-Inputs!$D$26),Inputs!$D$26+SQRT(N1427*(Inputs!$F$26-Inputs!$D$26)*(Inputs!$E$26-Inputs!$D$26)),Inputs!$F$26-SQRT((1-N1427)*(Inputs!$F$26-Inputs!$D$26)*(Inputs!$F$26-Inputs!$E$26)))</f>
        <v>0.57435926764671</v>
      </c>
      <c r="P1427" s="81" t="n">
        <f aca="true">RAND()</f>
        <v>0.379343240637022</v>
      </c>
      <c r="Q1427" s="82" t="n">
        <f aca="false">IF(P1427&lt;(Inputs!$E$27-Inputs!$D$27)/(Inputs!$F$27-Inputs!$D$27),Inputs!$D$27+SQRT(P1427*(Inputs!$F$27-Inputs!$D$27)*(Inputs!$E$27-Inputs!$D$27)),Inputs!$F$27-SQRT((1-P1427)*(Inputs!$F$27-Inputs!$D$27)*(Inputs!$F$27-Inputs!$E$27)))</f>
        <v>81.7729841248913</v>
      </c>
      <c r="R1427" s="81" t="n">
        <f aca="true">RAND()</f>
        <v>0.0120803809877295</v>
      </c>
      <c r="S1427" s="82" t="n">
        <f aca="false">IF(R1427&lt;(Inputs!$E$29-Inputs!$D$29)/(Inputs!$F$29-Inputs!$D$29),Inputs!$D$29+SQRT(R1427*(Inputs!$F$29-Inputs!$D$29)*(Inputs!$E$29-Inputs!$D$29)),Inputs!$F$29-SQRT((1-R1427)*(Inputs!$F$29-Inputs!$D$29)*(Inputs!$F$29-Inputs!$E$29)))</f>
        <v>2.68639264165742</v>
      </c>
      <c r="T1427" s="68" t="n">
        <f aca="false">Inputs!$E$9*(1+E1427)+Inputs!$E$5*C1427*(Inputs!$E$11*Inputs!$E$14*(G1427*I1427/Inputs!$E$16+(1-G1427))*K1427+Inputs!$E$23*M1427)*(1+O1427)+Inputs!$E$5*(Q1427+S1427)</f>
        <v>5771.68717003142</v>
      </c>
    </row>
    <row r="1428" customFormat="false" ht="15" hidden="false" customHeight="false" outlineLevel="0" collapsed="false">
      <c r="A1428" s="1" t="n">
        <v>1424</v>
      </c>
      <c r="B1428" s="81" t="n">
        <f aca="true">RAND()</f>
        <v>0.34237115879336</v>
      </c>
      <c r="C1428" s="82" t="n">
        <f aca="false">ROUND(IF(B1428&lt;(Inputs!$E$8-Inputs!$D$8)/(Inputs!$F$8-Inputs!$D$8),Inputs!$D$8+SQRT(B1428*(Inputs!$F$8-Inputs!$D$8)*(Inputs!$E$8-Inputs!$D$8)),Inputs!$F$8-SQRT((1-B1428)*(Inputs!$F$8-Inputs!$D$8)*(Inputs!$F$8-Inputs!$E$8))),0)</f>
        <v>24</v>
      </c>
      <c r="D1428" s="81" t="n">
        <f aca="true">RAND()</f>
        <v>0.761343036719323</v>
      </c>
      <c r="E1428" s="83" t="n">
        <f aca="false">IF(D1428&lt;(Inputs!$E$10-Inputs!$D$10)/(Inputs!$F$10-Inputs!$D$10),Inputs!$D$10+SQRT(D1428*(Inputs!$F$10-Inputs!$D$10)*(Inputs!$E$10-Inputs!$D$10)),Inputs!$F$10-SQRT((1-D1428)*(Inputs!$F$10-Inputs!$D$10)*(Inputs!$F$10-Inputs!$E$10)))</f>
        <v>0.115384936929526</v>
      </c>
      <c r="F1428" s="81" t="n">
        <f aca="true">RAND()</f>
        <v>0.51596471179314</v>
      </c>
      <c r="G1428" s="83" t="n">
        <f aca="false">IF(F1428&lt;(Inputs!$E$15-Inputs!$D$15)/(Inputs!$F$15-Inputs!$D$15),Inputs!$D$15+SQRT(F1428*(Inputs!$F$15-Inputs!$D$15)*(Inputs!$E$15-Inputs!$D$15)),Inputs!$F$15-SQRT((1-F1428)*(Inputs!$F$15-Inputs!$D$15)*(Inputs!$F$15-Inputs!$E$15)))</f>
        <v>0.701609422381322</v>
      </c>
      <c r="H1428" s="81" t="n">
        <f aca="true">RAND()</f>
        <v>0.519957030954022</v>
      </c>
      <c r="I1428" s="82" t="n">
        <f aca="false">ROUND(IF(H1428&lt;(Inputs!$E$17-Inputs!$D$17)/(Inputs!$F$17-Inputs!$D$17),Inputs!$D$17+SQRT(H1428*(Inputs!$F$17-Inputs!$D$17)*(Inputs!$E$17-Inputs!$D$17)),Inputs!$F$17-SQRT((1-H1428)*(Inputs!$F$17-Inputs!$D$17)*(Inputs!$F$17-Inputs!$E$17))),0)</f>
        <v>107</v>
      </c>
      <c r="J1428" s="81" t="n">
        <f aca="true">RAND()</f>
        <v>0.646682673087003</v>
      </c>
      <c r="K1428" s="83" t="n">
        <f aca="false">IF(J1428&lt;(Inputs!$E$18-Inputs!$D$18)/(Inputs!$F$18-Inputs!$D$18),Inputs!$D$18+SQRT(J1428*(Inputs!$F$18-Inputs!$D$18)*(Inputs!$E$18-Inputs!$D$18)),Inputs!$F$18-SQRT((1-J1428)*(Inputs!$F$18-Inputs!$D$18)*(Inputs!$F$18-Inputs!$E$18)))</f>
        <v>1.07417262413126</v>
      </c>
      <c r="L1428" s="81" t="n">
        <f aca="true">RAND()</f>
        <v>0.90715999554814</v>
      </c>
      <c r="M1428" s="83" t="n">
        <f aca="false">IF(L1428&lt;(Inputs!$E$24-Inputs!$D$24)/(Inputs!$F$24-Inputs!$D$24),Inputs!$D$24+SQRT(L1428*(Inputs!$F$24-Inputs!$D$24)*(Inputs!$E$24-Inputs!$D$24)),Inputs!$F$24-SQRT((1-L1428)*(Inputs!$F$24-Inputs!$D$24)*(Inputs!$F$24-Inputs!$E$24)))</f>
        <v>1.05072977166077</v>
      </c>
      <c r="N1428" s="81" t="n">
        <f aca="true">RAND()</f>
        <v>0.130062856923947</v>
      </c>
      <c r="O1428" s="83" t="n">
        <f aca="false">IF(N1428&lt;(Inputs!$E$26-Inputs!$D$26)/(Inputs!$F$26-Inputs!$D$26),Inputs!$D$26+SQRT(N1428*(Inputs!$F$26-Inputs!$D$26)*(Inputs!$E$26-Inputs!$D$26)),Inputs!$F$26-SQRT((1-N1428)*(Inputs!$F$26-Inputs!$D$26)*(Inputs!$F$26-Inputs!$E$26)))</f>
        <v>0.447113763435461</v>
      </c>
      <c r="P1428" s="81" t="n">
        <f aca="true">RAND()</f>
        <v>0.958438853713425</v>
      </c>
      <c r="Q1428" s="82" t="n">
        <f aca="false">IF(P1428&lt;(Inputs!$E$27-Inputs!$D$27)/(Inputs!$F$27-Inputs!$D$27),Inputs!$D$27+SQRT(P1428*(Inputs!$F$27-Inputs!$D$27)*(Inputs!$E$27-Inputs!$D$27)),Inputs!$F$27-SQRT((1-P1428)*(Inputs!$F$27-Inputs!$D$27)*(Inputs!$F$27-Inputs!$E$27)))</f>
        <v>132.344728913174</v>
      </c>
      <c r="R1428" s="81" t="n">
        <f aca="true">RAND()</f>
        <v>0.562385579257748</v>
      </c>
      <c r="S1428" s="82" t="n">
        <f aca="false">IF(R1428&lt;(Inputs!$E$29-Inputs!$D$29)/(Inputs!$F$29-Inputs!$D$29),Inputs!$D$29+SQRT(R1428*(Inputs!$F$29-Inputs!$D$29)*(Inputs!$E$29-Inputs!$D$29)),Inputs!$F$29-SQRT((1-R1428)*(Inputs!$F$29-Inputs!$D$29)*(Inputs!$F$29-Inputs!$E$29)))</f>
        <v>7.4574623171977</v>
      </c>
      <c r="T1428" s="68" t="n">
        <f aca="false">Inputs!$E$9*(1+E1428)+Inputs!$E$5*C1428*(Inputs!$E$11*Inputs!$E$14*(G1428*I1428/Inputs!$E$16+(1-G1428))*K1428+Inputs!$E$23*M1428)*(1+O1428)+Inputs!$E$5*(Q1428+S1428)</f>
        <v>6477.06343939012</v>
      </c>
    </row>
    <row r="1429" customFormat="false" ht="15" hidden="false" customHeight="false" outlineLevel="0" collapsed="false">
      <c r="A1429" s="1" t="n">
        <v>1425</v>
      </c>
      <c r="B1429" s="81" t="n">
        <f aca="true">RAND()</f>
        <v>0.733422338744366</v>
      </c>
      <c r="C1429" s="82" t="n">
        <f aca="false">ROUND(IF(B1429&lt;(Inputs!$E$8-Inputs!$D$8)/(Inputs!$F$8-Inputs!$D$8),Inputs!$D$8+SQRT(B1429*(Inputs!$F$8-Inputs!$D$8)*(Inputs!$E$8-Inputs!$D$8)),Inputs!$F$8-SQRT((1-B1429)*(Inputs!$F$8-Inputs!$D$8)*(Inputs!$F$8-Inputs!$E$8))),0)</f>
        <v>26</v>
      </c>
      <c r="D1429" s="81" t="n">
        <f aca="true">RAND()</f>
        <v>0.845271807426766</v>
      </c>
      <c r="E1429" s="83" t="n">
        <f aca="false">IF(D1429&lt;(Inputs!$E$10-Inputs!$D$10)/(Inputs!$F$10-Inputs!$D$10),Inputs!$D$10+SQRT(D1429*(Inputs!$F$10-Inputs!$D$10)*(Inputs!$E$10-Inputs!$D$10)),Inputs!$F$10-SQRT((1-D1429)*(Inputs!$F$10-Inputs!$D$10)*(Inputs!$F$10-Inputs!$E$10)))</f>
        <v>0.131868907412276</v>
      </c>
      <c r="F1429" s="81" t="n">
        <f aca="true">RAND()</f>
        <v>0.401153792147734</v>
      </c>
      <c r="G1429" s="83" t="n">
        <f aca="false">IF(F1429&lt;(Inputs!$E$15-Inputs!$D$15)/(Inputs!$F$15-Inputs!$D$15),Inputs!$D$15+SQRT(F1429*(Inputs!$F$15-Inputs!$D$15)*(Inputs!$E$15-Inputs!$D$15)),Inputs!$F$15-SQRT((1-F1429)*(Inputs!$F$15-Inputs!$D$15)*(Inputs!$F$15-Inputs!$E$15)))</f>
        <v>0.689571624094658</v>
      </c>
      <c r="H1429" s="81" t="n">
        <f aca="true">RAND()</f>
        <v>0.0857078843190353</v>
      </c>
      <c r="I1429" s="82" t="n">
        <f aca="false">ROUND(IF(H1429&lt;(Inputs!$E$17-Inputs!$D$17)/(Inputs!$F$17-Inputs!$D$17),Inputs!$D$17+SQRT(H1429*(Inputs!$F$17-Inputs!$D$17)*(Inputs!$E$17-Inputs!$D$17)),Inputs!$F$17-SQRT((1-H1429)*(Inputs!$F$17-Inputs!$D$17)*(Inputs!$F$17-Inputs!$E$17))),0)</f>
        <v>103</v>
      </c>
      <c r="J1429" s="81" t="n">
        <f aca="true">RAND()</f>
        <v>0.812912828651178</v>
      </c>
      <c r="K1429" s="83" t="n">
        <f aca="false">IF(J1429&lt;(Inputs!$E$18-Inputs!$D$18)/(Inputs!$F$18-Inputs!$D$18),Inputs!$D$18+SQRT(J1429*(Inputs!$F$18-Inputs!$D$18)*(Inputs!$E$18-Inputs!$D$18)),Inputs!$F$18-SQRT((1-J1429)*(Inputs!$F$18-Inputs!$D$18)*(Inputs!$F$18-Inputs!$E$18)))</f>
        <v>1.12205420095594</v>
      </c>
      <c r="L1429" s="81" t="n">
        <f aca="true">RAND()</f>
        <v>0.784386951877184</v>
      </c>
      <c r="M1429" s="83" t="n">
        <f aca="false">IF(L1429&lt;(Inputs!$E$24-Inputs!$D$24)/(Inputs!$F$24-Inputs!$D$24),Inputs!$D$24+SQRT(L1429*(Inputs!$F$24-Inputs!$D$24)*(Inputs!$E$24-Inputs!$D$24)),Inputs!$F$24-SQRT((1-L1429)*(Inputs!$F$24-Inputs!$D$24)*(Inputs!$F$24-Inputs!$E$24)))</f>
        <v>0.97252004143337</v>
      </c>
      <c r="N1429" s="81" t="n">
        <f aca="true">RAND()</f>
        <v>0.51435324533205</v>
      </c>
      <c r="O1429" s="83" t="n">
        <f aca="false">IF(N1429&lt;(Inputs!$E$26-Inputs!$D$26)/(Inputs!$F$26-Inputs!$D$26),Inputs!$D$26+SQRT(N1429*(Inputs!$F$26-Inputs!$D$26)*(Inputs!$E$26-Inputs!$D$26)),Inputs!$F$26-SQRT((1-N1429)*(Inputs!$F$26-Inputs!$D$26)*(Inputs!$F$26-Inputs!$E$26)))</f>
        <v>0.592554917961147</v>
      </c>
      <c r="P1429" s="81" t="n">
        <f aca="true">RAND()</f>
        <v>0.299215283806161</v>
      </c>
      <c r="Q1429" s="82" t="n">
        <f aca="false">IF(P1429&lt;(Inputs!$E$27-Inputs!$D$27)/(Inputs!$F$27-Inputs!$D$27),Inputs!$D$27+SQRT(P1429*(Inputs!$F$27-Inputs!$D$27)*(Inputs!$E$27-Inputs!$D$27)),Inputs!$F$27-SQRT((1-P1429)*(Inputs!$F$27-Inputs!$D$27)*(Inputs!$F$27-Inputs!$E$27)))</f>
        <v>77.5025147232417</v>
      </c>
      <c r="R1429" s="81" t="n">
        <f aca="true">RAND()</f>
        <v>0.613492672154954</v>
      </c>
      <c r="S1429" s="82" t="n">
        <f aca="false">IF(R1429&lt;(Inputs!$E$29-Inputs!$D$29)/(Inputs!$F$29-Inputs!$D$29),Inputs!$D$29+SQRT(R1429*(Inputs!$F$29-Inputs!$D$29)*(Inputs!$E$29-Inputs!$D$29)),Inputs!$F$29-SQRT((1-R1429)*(Inputs!$F$29-Inputs!$D$29)*(Inputs!$F$29-Inputs!$E$29)))</f>
        <v>7.91156204655384</v>
      </c>
      <c r="T1429" s="68" t="n">
        <f aca="false">Inputs!$E$9*(1+E1429)+Inputs!$E$5*C1429*(Inputs!$E$11*Inputs!$E$14*(G1429*I1429/Inputs!$E$16+(1-G1429))*K1429+Inputs!$E$23*M1429)*(1+O1429)+Inputs!$E$5*(Q1429+S1429)</f>
        <v>6837.22144919972</v>
      </c>
    </row>
    <row r="1430" customFormat="false" ht="15" hidden="false" customHeight="false" outlineLevel="0" collapsed="false">
      <c r="A1430" s="1" t="n">
        <v>1426</v>
      </c>
      <c r="B1430" s="81" t="n">
        <f aca="true">RAND()</f>
        <v>0.36541269097604</v>
      </c>
      <c r="C1430" s="82" t="n">
        <f aca="false">ROUND(IF(B1430&lt;(Inputs!$E$8-Inputs!$D$8)/(Inputs!$F$8-Inputs!$D$8),Inputs!$D$8+SQRT(B1430*(Inputs!$F$8-Inputs!$D$8)*(Inputs!$E$8-Inputs!$D$8)),Inputs!$F$8-SQRT((1-B1430)*(Inputs!$F$8-Inputs!$D$8)*(Inputs!$F$8-Inputs!$E$8))),0)</f>
        <v>24</v>
      </c>
      <c r="D1430" s="81" t="n">
        <f aca="true">RAND()</f>
        <v>0.68256782962396</v>
      </c>
      <c r="E1430" s="83" t="n">
        <f aca="false">IF(D1430&lt;(Inputs!$E$10-Inputs!$D$10)/(Inputs!$F$10-Inputs!$D$10),Inputs!$D$10+SQRT(D1430*(Inputs!$F$10-Inputs!$D$10)*(Inputs!$E$10-Inputs!$D$10)),Inputs!$F$10-SQRT((1-D1430)*(Inputs!$F$10-Inputs!$D$10)*(Inputs!$F$10-Inputs!$E$10)))</f>
        <v>0.10241431912785</v>
      </c>
      <c r="F1430" s="81" t="n">
        <f aca="true">RAND()</f>
        <v>0.156533585611176</v>
      </c>
      <c r="G1430" s="83" t="n">
        <f aca="false">IF(F1430&lt;(Inputs!$E$15-Inputs!$D$15)/(Inputs!$F$15-Inputs!$D$15),Inputs!$D$15+SQRT(F1430*(Inputs!$F$15-Inputs!$D$15)*(Inputs!$E$15-Inputs!$D$15)),Inputs!$F$15-SQRT((1-F1430)*(Inputs!$F$15-Inputs!$D$15)*(Inputs!$F$15-Inputs!$E$15)))</f>
        <v>0.655952405776906</v>
      </c>
      <c r="H1430" s="81" t="n">
        <f aca="true">RAND()</f>
        <v>0.458856159048288</v>
      </c>
      <c r="I1430" s="82" t="n">
        <f aca="false">ROUND(IF(H1430&lt;(Inputs!$E$17-Inputs!$D$17)/(Inputs!$F$17-Inputs!$D$17),Inputs!$D$17+SQRT(H1430*(Inputs!$F$17-Inputs!$D$17)*(Inputs!$E$17-Inputs!$D$17)),Inputs!$F$17-SQRT((1-H1430)*(Inputs!$F$17-Inputs!$D$17)*(Inputs!$F$17-Inputs!$E$17))),0)</f>
        <v>106</v>
      </c>
      <c r="J1430" s="81" t="n">
        <f aca="true">RAND()</f>
        <v>0.29097391721739</v>
      </c>
      <c r="K1430" s="83" t="n">
        <f aca="false">IF(J1430&lt;(Inputs!$E$18-Inputs!$D$18)/(Inputs!$F$18-Inputs!$D$18),Inputs!$D$18+SQRT(J1430*(Inputs!$F$18-Inputs!$D$18)*(Inputs!$E$18-Inputs!$D$18)),Inputs!$F$18-SQRT((1-J1430)*(Inputs!$F$18-Inputs!$D$18)*(Inputs!$F$18-Inputs!$E$18)))</f>
        <v>1.00092213618332</v>
      </c>
      <c r="L1430" s="81" t="n">
        <f aca="true">RAND()</f>
        <v>0.780837160898606</v>
      </c>
      <c r="M1430" s="83" t="n">
        <f aca="false">IF(L1430&lt;(Inputs!$E$24-Inputs!$D$24)/(Inputs!$F$24-Inputs!$D$24),Inputs!$D$24+SQRT(L1430*(Inputs!$F$24-Inputs!$D$24)*(Inputs!$E$24-Inputs!$D$24)),Inputs!$F$24-SQRT((1-L1430)*(Inputs!$F$24-Inputs!$D$24)*(Inputs!$F$24-Inputs!$E$24)))</f>
        <v>0.970655103862469</v>
      </c>
      <c r="N1430" s="81" t="n">
        <f aca="true">RAND()</f>
        <v>0.283965026970625</v>
      </c>
      <c r="O1430" s="83" t="n">
        <f aca="false">IF(N1430&lt;(Inputs!$E$26-Inputs!$D$26)/(Inputs!$F$26-Inputs!$D$26),Inputs!$D$26+SQRT(N1430*(Inputs!$F$26-Inputs!$D$26)*(Inputs!$E$26-Inputs!$D$26)),Inputs!$F$26-SQRT((1-N1430)*(Inputs!$F$26-Inputs!$D$26)*(Inputs!$F$26-Inputs!$E$26)))</f>
        <v>0.51737474666555</v>
      </c>
      <c r="P1430" s="81" t="n">
        <f aca="true">RAND()</f>
        <v>0.931639761522895</v>
      </c>
      <c r="Q1430" s="82" t="n">
        <f aca="false">IF(P1430&lt;(Inputs!$E$27-Inputs!$D$27)/(Inputs!$F$27-Inputs!$D$27),Inputs!$D$27+SQRT(P1430*(Inputs!$F$27-Inputs!$D$27)*(Inputs!$E$27-Inputs!$D$27)),Inputs!$F$27-SQRT((1-P1430)*(Inputs!$F$27-Inputs!$D$27)*(Inputs!$F$27-Inputs!$E$27)))</f>
        <v>127.357080829136</v>
      </c>
      <c r="R1430" s="81" t="n">
        <f aca="true">RAND()</f>
        <v>0.145673502434437</v>
      </c>
      <c r="S1430" s="82" t="n">
        <f aca="false">IF(R1430&lt;(Inputs!$E$29-Inputs!$D$29)/(Inputs!$F$29-Inputs!$D$29),Inputs!$D$29+SQRT(R1430*(Inputs!$F$29-Inputs!$D$29)*(Inputs!$E$29-Inputs!$D$29)),Inputs!$F$29-SQRT((1-R1430)*(Inputs!$F$29-Inputs!$D$29)*(Inputs!$F$29-Inputs!$E$29)))</f>
        <v>4.38354076846675</v>
      </c>
      <c r="T1430" s="68" t="n">
        <f aca="false">Inputs!$E$9*(1+E1430)+Inputs!$E$5*C1430*(Inputs!$E$11*Inputs!$E$14*(G1430*I1430/Inputs!$E$16+(1-G1430))*K1430+Inputs!$E$23*M1430)*(1+O1430)+Inputs!$E$5*(Q1430+S1430)</f>
        <v>6365.07551268811</v>
      </c>
    </row>
    <row r="1431" customFormat="false" ht="15" hidden="false" customHeight="false" outlineLevel="0" collapsed="false">
      <c r="A1431" s="1" t="n">
        <v>1427</v>
      </c>
      <c r="B1431" s="81" t="n">
        <f aca="true">RAND()</f>
        <v>0.288314607474878</v>
      </c>
      <c r="C1431" s="82" t="n">
        <f aca="false">ROUND(IF(B1431&lt;(Inputs!$E$8-Inputs!$D$8)/(Inputs!$F$8-Inputs!$D$8),Inputs!$D$8+SQRT(B1431*(Inputs!$F$8-Inputs!$D$8)*(Inputs!$E$8-Inputs!$D$8)),Inputs!$F$8-SQRT((1-B1431)*(Inputs!$F$8-Inputs!$D$8)*(Inputs!$F$8-Inputs!$E$8))),0)</f>
        <v>24</v>
      </c>
      <c r="D1431" s="81" t="n">
        <f aca="true">RAND()</f>
        <v>0.866486013026725</v>
      </c>
      <c r="E1431" s="83" t="n">
        <f aca="false">IF(D1431&lt;(Inputs!$E$10-Inputs!$D$10)/(Inputs!$F$10-Inputs!$D$10),Inputs!$D$10+SQRT(D1431*(Inputs!$F$10-Inputs!$D$10)*(Inputs!$E$10-Inputs!$D$10)),Inputs!$F$10-SQRT((1-D1431)*(Inputs!$F$10-Inputs!$D$10)*(Inputs!$F$10-Inputs!$E$10)))</f>
        <v>0.136711615527032</v>
      </c>
      <c r="F1431" s="81" t="n">
        <f aca="true">RAND()</f>
        <v>0.763575097520444</v>
      </c>
      <c r="G1431" s="83" t="n">
        <f aca="false">IF(F1431&lt;(Inputs!$E$15-Inputs!$D$15)/(Inputs!$F$15-Inputs!$D$15),Inputs!$D$15+SQRT(F1431*(Inputs!$F$15-Inputs!$D$15)*(Inputs!$E$15-Inputs!$D$15)),Inputs!$F$15-SQRT((1-F1431)*(Inputs!$F$15-Inputs!$D$15)*(Inputs!$F$15-Inputs!$E$15)))</f>
        <v>0.731235924716527</v>
      </c>
      <c r="H1431" s="81" t="n">
        <f aca="true">RAND()</f>
        <v>0.95062941938312</v>
      </c>
      <c r="I1431" s="82" t="n">
        <f aca="false">ROUND(IF(H1431&lt;(Inputs!$E$17-Inputs!$D$17)/(Inputs!$F$17-Inputs!$D$17),Inputs!$D$17+SQRT(H1431*(Inputs!$F$17-Inputs!$D$17)*(Inputs!$E$17-Inputs!$D$17)),Inputs!$F$17-SQRT((1-H1431)*(Inputs!$F$17-Inputs!$D$17)*(Inputs!$F$17-Inputs!$E$17))),0)</f>
        <v>112</v>
      </c>
      <c r="J1431" s="81" t="n">
        <f aca="true">RAND()</f>
        <v>0.899176051360093</v>
      </c>
      <c r="K1431" s="83" t="n">
        <f aca="false">IF(J1431&lt;(Inputs!$E$18-Inputs!$D$18)/(Inputs!$F$18-Inputs!$D$18),Inputs!$D$18+SQRT(J1431*(Inputs!$F$18-Inputs!$D$18)*(Inputs!$E$18-Inputs!$D$18)),Inputs!$F$18-SQRT((1-J1431)*(Inputs!$F$18-Inputs!$D$18)*(Inputs!$F$18-Inputs!$E$18)))</f>
        <v>1.15607398919366</v>
      </c>
      <c r="L1431" s="81" t="n">
        <f aca="true">RAND()</f>
        <v>0.860389944026982</v>
      </c>
      <c r="M1431" s="83" t="n">
        <f aca="false">IF(L1431&lt;(Inputs!$E$24-Inputs!$D$24)/(Inputs!$F$24-Inputs!$D$24),Inputs!$D$24+SQRT(L1431*(Inputs!$F$24-Inputs!$D$24)*(Inputs!$E$24-Inputs!$D$24)),Inputs!$F$24-SQRT((1-L1431)*(Inputs!$F$24-Inputs!$D$24)*(Inputs!$F$24-Inputs!$E$24)))</f>
        <v>1.01695242849597</v>
      </c>
      <c r="N1431" s="81" t="n">
        <f aca="true">RAND()</f>
        <v>0.615110266459215</v>
      </c>
      <c r="O1431" s="83" t="n">
        <f aca="false">IF(N1431&lt;(Inputs!$E$26-Inputs!$D$26)/(Inputs!$F$26-Inputs!$D$26),Inputs!$D$26+SQRT(N1431*(Inputs!$F$26-Inputs!$D$26)*(Inputs!$E$26-Inputs!$D$26)),Inputs!$F$26-SQRT((1-N1431)*(Inputs!$F$26-Inputs!$D$26)*(Inputs!$F$26-Inputs!$E$26)))</f>
        <v>0.619928661327511</v>
      </c>
      <c r="P1431" s="81" t="n">
        <f aca="true">RAND()</f>
        <v>0.240806862041535</v>
      </c>
      <c r="Q1431" s="82" t="n">
        <f aca="false">IF(P1431&lt;(Inputs!$E$27-Inputs!$D$27)/(Inputs!$F$27-Inputs!$D$27),Inputs!$D$27+SQRT(P1431*(Inputs!$F$27-Inputs!$D$27)*(Inputs!$E$27-Inputs!$D$27)),Inputs!$F$27-SQRT((1-P1431)*(Inputs!$F$27-Inputs!$D$27)*(Inputs!$F$27-Inputs!$E$27)))</f>
        <v>74.5360378851973</v>
      </c>
      <c r="R1431" s="81" t="n">
        <f aca="true">RAND()</f>
        <v>0.192663430455863</v>
      </c>
      <c r="S1431" s="82" t="n">
        <f aca="false">IF(R1431&lt;(Inputs!$E$29-Inputs!$D$29)/(Inputs!$F$29-Inputs!$D$29),Inputs!$D$29+SQRT(R1431*(Inputs!$F$29-Inputs!$D$29)*(Inputs!$E$29-Inputs!$D$29)),Inputs!$F$29-SQRT((1-R1431)*(Inputs!$F$29-Inputs!$D$29)*(Inputs!$F$29-Inputs!$E$29)))</f>
        <v>4.7411446127081</v>
      </c>
      <c r="T1431" s="68" t="n">
        <f aca="false">Inputs!$E$9*(1+E1431)+Inputs!$E$5*C1431*(Inputs!$E$11*Inputs!$E$14*(G1431*I1431/Inputs!$E$16+(1-G1431))*K1431+Inputs!$E$23*M1431)*(1+O1431)+Inputs!$E$5*(Q1431+S1431)</f>
        <v>6769.37038399377</v>
      </c>
    </row>
    <row r="1432" customFormat="false" ht="15" hidden="false" customHeight="false" outlineLevel="0" collapsed="false">
      <c r="A1432" s="1" t="n">
        <v>1428</v>
      </c>
      <c r="B1432" s="81" t="n">
        <f aca="true">RAND()</f>
        <v>0.488613114273923</v>
      </c>
      <c r="C1432" s="82" t="n">
        <f aca="false">ROUND(IF(B1432&lt;(Inputs!$E$8-Inputs!$D$8)/(Inputs!$F$8-Inputs!$D$8),Inputs!$D$8+SQRT(B1432*(Inputs!$F$8-Inputs!$D$8)*(Inputs!$E$8-Inputs!$D$8)),Inputs!$F$8-SQRT((1-B1432)*(Inputs!$F$8-Inputs!$D$8)*(Inputs!$F$8-Inputs!$E$8))),0)</f>
        <v>25</v>
      </c>
      <c r="D1432" s="81" t="n">
        <f aca="true">RAND()</f>
        <v>0.818538324046948</v>
      </c>
      <c r="E1432" s="83" t="n">
        <f aca="false">IF(D1432&lt;(Inputs!$E$10-Inputs!$D$10)/(Inputs!$F$10-Inputs!$D$10),Inputs!$D$10+SQRT(D1432*(Inputs!$F$10-Inputs!$D$10)*(Inputs!$E$10-Inputs!$D$10)),Inputs!$F$10-SQRT((1-D1432)*(Inputs!$F$10-Inputs!$D$10)*(Inputs!$F$10-Inputs!$E$10)))</f>
        <v>0.12621754762417</v>
      </c>
      <c r="F1432" s="81" t="n">
        <f aca="true">RAND()</f>
        <v>0.993912032738935</v>
      </c>
      <c r="G1432" s="83" t="n">
        <f aca="false">IF(F1432&lt;(Inputs!$E$15-Inputs!$D$15)/(Inputs!$F$15-Inputs!$D$15),Inputs!$D$15+SQRT(F1432*(Inputs!$F$15-Inputs!$D$15)*(Inputs!$E$15-Inputs!$D$15)),Inputs!$F$15-SQRT((1-F1432)*(Inputs!$F$15-Inputs!$D$15)*(Inputs!$F$15-Inputs!$E$15)))</f>
        <v>0.78896553829037</v>
      </c>
      <c r="H1432" s="81" t="n">
        <f aca="true">RAND()</f>
        <v>0.55943713654049</v>
      </c>
      <c r="I1432" s="82" t="n">
        <f aca="false">ROUND(IF(H1432&lt;(Inputs!$E$17-Inputs!$D$17)/(Inputs!$F$17-Inputs!$D$17),Inputs!$D$17+SQRT(H1432*(Inputs!$F$17-Inputs!$D$17)*(Inputs!$E$17-Inputs!$D$17)),Inputs!$F$17-SQRT((1-H1432)*(Inputs!$F$17-Inputs!$D$17)*(Inputs!$F$17-Inputs!$E$17))),0)</f>
        <v>107</v>
      </c>
      <c r="J1432" s="81" t="n">
        <f aca="true">RAND()</f>
        <v>0.276824732519547</v>
      </c>
      <c r="K1432" s="83" t="n">
        <f aca="false">IF(J1432&lt;(Inputs!$E$18-Inputs!$D$18)/(Inputs!$F$18-Inputs!$D$18),Inputs!$D$18+SQRT(J1432*(Inputs!$F$18-Inputs!$D$18)*(Inputs!$E$18-Inputs!$D$18)),Inputs!$F$18-SQRT((1-J1432)*(Inputs!$F$18-Inputs!$D$18)*(Inputs!$F$18-Inputs!$E$18)))</f>
        <v>0.998432035629586</v>
      </c>
      <c r="L1432" s="81" t="n">
        <f aca="true">RAND()</f>
        <v>0.287579931990694</v>
      </c>
      <c r="M1432" s="83" t="n">
        <f aca="false">IF(L1432&lt;(Inputs!$E$24-Inputs!$D$24)/(Inputs!$F$24-Inputs!$D$24),Inputs!$D$24+SQRT(L1432*(Inputs!$F$24-Inputs!$D$24)*(Inputs!$E$24-Inputs!$D$24)),Inputs!$F$24-SQRT((1-L1432)*(Inputs!$F$24-Inputs!$D$24)*(Inputs!$F$24-Inputs!$E$24)))</f>
        <v>0.785767574777955</v>
      </c>
      <c r="N1432" s="81" t="n">
        <f aca="true">RAND()</f>
        <v>0.795010394891451</v>
      </c>
      <c r="O1432" s="83" t="n">
        <f aca="false">IF(N1432&lt;(Inputs!$E$26-Inputs!$D$26)/(Inputs!$F$26-Inputs!$D$26),Inputs!$D$26+SQRT(N1432*(Inputs!$F$26-Inputs!$D$26)*(Inputs!$E$26-Inputs!$D$26)),Inputs!$F$26-SQRT((1-N1432)*(Inputs!$F$26-Inputs!$D$26)*(Inputs!$F$26-Inputs!$E$26)))</f>
        <v>0.67399000400216</v>
      </c>
      <c r="P1432" s="81" t="n">
        <f aca="true">RAND()</f>
        <v>0.374186709441901</v>
      </c>
      <c r="Q1432" s="82" t="n">
        <f aca="false">IF(P1432&lt;(Inputs!$E$27-Inputs!$D$27)/(Inputs!$F$27-Inputs!$D$27),Inputs!$D$27+SQRT(P1432*(Inputs!$F$27-Inputs!$D$27)*(Inputs!$E$27-Inputs!$D$27)),Inputs!$F$27-SQRT((1-P1432)*(Inputs!$F$27-Inputs!$D$27)*(Inputs!$F$27-Inputs!$E$27)))</f>
        <v>81.4901490354435</v>
      </c>
      <c r="R1432" s="81" t="n">
        <f aca="true">RAND()</f>
        <v>0.750738394983104</v>
      </c>
      <c r="S1432" s="82" t="n">
        <f aca="false">IF(R1432&lt;(Inputs!$E$29-Inputs!$D$29)/(Inputs!$F$29-Inputs!$D$29),Inputs!$D$29+SQRT(R1432*(Inputs!$F$29-Inputs!$D$29)*(Inputs!$E$29-Inputs!$D$29)),Inputs!$F$29-SQRT((1-R1432)*(Inputs!$F$29-Inputs!$D$29)*(Inputs!$F$29-Inputs!$E$29)))</f>
        <v>9.30754809838533</v>
      </c>
      <c r="T1432" s="68" t="n">
        <f aca="false">Inputs!$E$9*(1+E1432)+Inputs!$E$5*C1432*(Inputs!$E$11*Inputs!$E$14*(G1432*I1432/Inputs!$E$16+(1-G1432))*K1432+Inputs!$E$23*M1432)*(1+O1432)+Inputs!$E$5*(Q1432+S1432)</f>
        <v>6251.5179991769</v>
      </c>
    </row>
    <row r="1433" customFormat="false" ht="15" hidden="false" customHeight="false" outlineLevel="0" collapsed="false">
      <c r="A1433" s="1" t="n">
        <v>1429</v>
      </c>
      <c r="B1433" s="81" t="n">
        <f aca="true">RAND()</f>
        <v>0.424445873900824</v>
      </c>
      <c r="C1433" s="82" t="n">
        <f aca="false">ROUND(IF(B1433&lt;(Inputs!$E$8-Inputs!$D$8)/(Inputs!$F$8-Inputs!$D$8),Inputs!$D$8+SQRT(B1433*(Inputs!$F$8-Inputs!$D$8)*(Inputs!$E$8-Inputs!$D$8)),Inputs!$F$8-SQRT((1-B1433)*(Inputs!$F$8-Inputs!$D$8)*(Inputs!$F$8-Inputs!$E$8))),0)</f>
        <v>25</v>
      </c>
      <c r="D1433" s="81" t="n">
        <f aca="true">RAND()</f>
        <v>0.469259452380344</v>
      </c>
      <c r="E1433" s="83" t="n">
        <f aca="false">IF(D1433&lt;(Inputs!$E$10-Inputs!$D$10)/(Inputs!$F$10-Inputs!$D$10),Inputs!$D$10+SQRT(D1433*(Inputs!$F$10-Inputs!$D$10)*(Inputs!$E$10-Inputs!$D$10)),Inputs!$F$10-SQRT((1-D1433)*(Inputs!$F$10-Inputs!$D$10)*(Inputs!$F$10-Inputs!$E$10)))</f>
        <v>0.0738167347522277</v>
      </c>
      <c r="F1433" s="81" t="n">
        <f aca="true">RAND()</f>
        <v>0.259298137194943</v>
      </c>
      <c r="G1433" s="83" t="n">
        <f aca="false">IF(F1433&lt;(Inputs!$E$15-Inputs!$D$15)/(Inputs!$F$15-Inputs!$D$15),Inputs!$D$15+SQRT(F1433*(Inputs!$F$15-Inputs!$D$15)*(Inputs!$E$15-Inputs!$D$15)),Inputs!$F$15-SQRT((1-F1433)*(Inputs!$F$15-Inputs!$D$15)*(Inputs!$F$15-Inputs!$E$15)))</f>
        <v>0.67201362887606</v>
      </c>
      <c r="H1433" s="81" t="n">
        <f aca="true">RAND()</f>
        <v>0.76866556765165</v>
      </c>
      <c r="I1433" s="82" t="n">
        <f aca="false">ROUND(IF(H1433&lt;(Inputs!$E$17-Inputs!$D$17)/(Inputs!$F$17-Inputs!$D$17),Inputs!$D$17+SQRT(H1433*(Inputs!$F$17-Inputs!$D$17)*(Inputs!$E$17-Inputs!$D$17)),Inputs!$F$17-SQRT((1-H1433)*(Inputs!$F$17-Inputs!$D$17)*(Inputs!$F$17-Inputs!$E$17))),0)</f>
        <v>109</v>
      </c>
      <c r="J1433" s="81" t="n">
        <f aca="true">RAND()</f>
        <v>0.705922612967184</v>
      </c>
      <c r="K1433" s="83" t="n">
        <f aca="false">IF(J1433&lt;(Inputs!$E$18-Inputs!$D$18)/(Inputs!$F$18-Inputs!$D$18),Inputs!$D$18+SQRT(J1433*(Inputs!$F$18-Inputs!$D$18)*(Inputs!$E$18-Inputs!$D$18)),Inputs!$F$18-SQRT((1-J1433)*(Inputs!$F$18-Inputs!$D$18)*(Inputs!$F$18-Inputs!$E$18)))</f>
        <v>1.08958874302166</v>
      </c>
      <c r="L1433" s="81" t="n">
        <f aca="true">RAND()</f>
        <v>0.083070988626007</v>
      </c>
      <c r="M1433" s="83" t="n">
        <f aca="false">IF(L1433&lt;(Inputs!$E$24-Inputs!$D$24)/(Inputs!$F$24-Inputs!$D$24),Inputs!$D$24+SQRT(L1433*(Inputs!$F$24-Inputs!$D$24)*(Inputs!$E$24-Inputs!$D$24)),Inputs!$F$24-SQRT((1-L1433)*(Inputs!$F$24-Inputs!$D$24)*(Inputs!$F$24-Inputs!$E$24)))</f>
        <v>0.699842469095675</v>
      </c>
      <c r="N1433" s="81" t="n">
        <f aca="true">RAND()</f>
        <v>0.588732408807815</v>
      </c>
      <c r="O1433" s="83" t="n">
        <f aca="false">IF(N1433&lt;(Inputs!$E$26-Inputs!$D$26)/(Inputs!$F$26-Inputs!$D$26),Inputs!$D$26+SQRT(N1433*(Inputs!$F$26-Inputs!$D$26)*(Inputs!$E$26-Inputs!$D$26)),Inputs!$F$26-SQRT((1-N1433)*(Inputs!$F$26-Inputs!$D$26)*(Inputs!$F$26-Inputs!$E$26)))</f>
        <v>0.612993726495629</v>
      </c>
      <c r="P1433" s="81" t="n">
        <f aca="true">RAND()</f>
        <v>0.513403343858102</v>
      </c>
      <c r="Q1433" s="82" t="n">
        <f aca="false">IF(P1433&lt;(Inputs!$E$27-Inputs!$D$27)/(Inputs!$F$27-Inputs!$D$27),Inputs!$D$27+SQRT(P1433*(Inputs!$F$27-Inputs!$D$27)*(Inputs!$E$27-Inputs!$D$27)),Inputs!$F$27-SQRT((1-P1433)*(Inputs!$F$27-Inputs!$D$27)*(Inputs!$F$27-Inputs!$E$27)))</f>
        <v>89.5891158725165</v>
      </c>
      <c r="R1433" s="81" t="n">
        <f aca="true">RAND()</f>
        <v>0.588803906303298</v>
      </c>
      <c r="S1433" s="82" t="n">
        <f aca="false">IF(R1433&lt;(Inputs!$E$29-Inputs!$D$29)/(Inputs!$F$29-Inputs!$D$29),Inputs!$D$29+SQRT(R1433*(Inputs!$F$29-Inputs!$D$29)*(Inputs!$E$29-Inputs!$D$29)),Inputs!$F$29-SQRT((1-R1433)*(Inputs!$F$29-Inputs!$D$29)*(Inputs!$F$29-Inputs!$E$29)))</f>
        <v>7.68867370577873</v>
      </c>
      <c r="T1433" s="68" t="n">
        <f aca="false">Inputs!$E$9*(1+E1433)+Inputs!$E$5*C1433*(Inputs!$E$11*Inputs!$E$14*(G1433*I1433/Inputs!$E$16+(1-G1433))*K1433+Inputs!$E$23*M1433)*(1+O1433)+Inputs!$E$5*(Q1433+S1433)</f>
        <v>6304.4929669917</v>
      </c>
    </row>
    <row r="1434" customFormat="false" ht="15" hidden="false" customHeight="false" outlineLevel="0" collapsed="false">
      <c r="A1434" s="1" t="n">
        <v>1430</v>
      </c>
      <c r="B1434" s="81" t="n">
        <f aca="true">RAND()</f>
        <v>0.814472258785824</v>
      </c>
      <c r="C1434" s="82" t="n">
        <f aca="false">ROUND(IF(B1434&lt;(Inputs!$E$8-Inputs!$D$8)/(Inputs!$F$8-Inputs!$D$8),Inputs!$D$8+SQRT(B1434*(Inputs!$F$8-Inputs!$D$8)*(Inputs!$E$8-Inputs!$D$8)),Inputs!$F$8-SQRT((1-B1434)*(Inputs!$F$8-Inputs!$D$8)*(Inputs!$F$8-Inputs!$E$8))),0)</f>
        <v>27</v>
      </c>
      <c r="D1434" s="81" t="n">
        <f aca="true">RAND()</f>
        <v>0.376339476778728</v>
      </c>
      <c r="E1434" s="83" t="n">
        <f aca="false">IF(D1434&lt;(Inputs!$E$10-Inputs!$D$10)/(Inputs!$F$10-Inputs!$D$10),Inputs!$D$10+SQRT(D1434*(Inputs!$F$10-Inputs!$D$10)*(Inputs!$E$10-Inputs!$D$10)),Inputs!$F$10-SQRT((1-D1434)*(Inputs!$F$10-Inputs!$D$10)*(Inputs!$F$10-Inputs!$E$10)))</f>
        <v>0.0632161716552787</v>
      </c>
      <c r="F1434" s="81" t="n">
        <f aca="true">RAND()</f>
        <v>0.200075513007263</v>
      </c>
      <c r="G1434" s="83" t="n">
        <f aca="false">IF(F1434&lt;(Inputs!$E$15-Inputs!$D$15)/(Inputs!$F$15-Inputs!$D$15),Inputs!$D$15+SQRT(F1434*(Inputs!$F$15-Inputs!$D$15)*(Inputs!$E$15-Inputs!$D$15)),Inputs!$F$15-SQRT((1-F1434)*(Inputs!$F$15-Inputs!$D$15)*(Inputs!$F$15-Inputs!$E$15)))</f>
        <v>0.663257491731377</v>
      </c>
      <c r="H1434" s="81" t="n">
        <f aca="true">RAND()</f>
        <v>0.41935409245026</v>
      </c>
      <c r="I1434" s="82" t="n">
        <f aca="false">ROUND(IF(H1434&lt;(Inputs!$E$17-Inputs!$D$17)/(Inputs!$F$17-Inputs!$D$17),Inputs!$D$17+SQRT(H1434*(Inputs!$F$17-Inputs!$D$17)*(Inputs!$E$17-Inputs!$D$17)),Inputs!$F$17-SQRT((1-H1434)*(Inputs!$F$17-Inputs!$D$17)*(Inputs!$F$17-Inputs!$E$17))),0)</f>
        <v>106</v>
      </c>
      <c r="J1434" s="81" t="n">
        <f aca="true">RAND()</f>
        <v>0.412546892345366</v>
      </c>
      <c r="K1434" s="83" t="n">
        <f aca="false">IF(J1434&lt;(Inputs!$E$18-Inputs!$D$18)/(Inputs!$F$18-Inputs!$D$18),Inputs!$D$18+SQRT(J1434*(Inputs!$F$18-Inputs!$D$18)*(Inputs!$E$18-Inputs!$D$18)),Inputs!$F$18-SQRT((1-J1434)*(Inputs!$F$18-Inputs!$D$18)*(Inputs!$F$18-Inputs!$E$18)))</f>
        <v>1.02327958424575</v>
      </c>
      <c r="L1434" s="81" t="n">
        <f aca="true">RAND()</f>
        <v>0.9710928725923</v>
      </c>
      <c r="M1434" s="83" t="n">
        <f aca="false">IF(L1434&lt;(Inputs!$E$24-Inputs!$D$24)/(Inputs!$F$24-Inputs!$D$24),Inputs!$D$24+SQRT(L1434*(Inputs!$F$24-Inputs!$D$24)*(Inputs!$E$24-Inputs!$D$24)),Inputs!$F$24-SQRT((1-L1434)*(Inputs!$F$24-Inputs!$D$24)*(Inputs!$F$24-Inputs!$E$24)))</f>
        <v>1.11670707966551</v>
      </c>
      <c r="N1434" s="81" t="n">
        <f aca="true">RAND()</f>
        <v>0.302966085033113</v>
      </c>
      <c r="O1434" s="83" t="n">
        <f aca="false">IF(N1434&lt;(Inputs!$E$26-Inputs!$D$26)/(Inputs!$F$26-Inputs!$D$26),Inputs!$D$26+SQRT(N1434*(Inputs!$F$26-Inputs!$D$26)*(Inputs!$E$26-Inputs!$D$26)),Inputs!$F$26-SQRT((1-N1434)*(Inputs!$F$26-Inputs!$D$26)*(Inputs!$F$26-Inputs!$E$26)))</f>
        <v>0.524529634011883</v>
      </c>
      <c r="P1434" s="81" t="n">
        <f aca="true">RAND()</f>
        <v>0.339505462474612</v>
      </c>
      <c r="Q1434" s="82" t="n">
        <f aca="false">IF(P1434&lt;(Inputs!$E$27-Inputs!$D$27)/(Inputs!$F$27-Inputs!$D$27),Inputs!$D$27+SQRT(P1434*(Inputs!$F$27-Inputs!$D$27)*(Inputs!$E$27-Inputs!$D$27)),Inputs!$F$27-SQRT((1-P1434)*(Inputs!$F$27-Inputs!$D$27)*(Inputs!$F$27-Inputs!$E$27)))</f>
        <v>79.6174095998136</v>
      </c>
      <c r="R1434" s="81" t="n">
        <f aca="true">RAND()</f>
        <v>0.818749786224566</v>
      </c>
      <c r="S1434" s="82" t="n">
        <f aca="false">IF(R1434&lt;(Inputs!$E$29-Inputs!$D$29)/(Inputs!$F$29-Inputs!$D$29),Inputs!$D$29+SQRT(R1434*(Inputs!$F$29-Inputs!$D$29)*(Inputs!$E$29-Inputs!$D$29)),Inputs!$F$29-SQRT((1-R1434)*(Inputs!$F$29-Inputs!$D$29)*(Inputs!$F$29-Inputs!$E$29)))</f>
        <v>10.1458751776652</v>
      </c>
      <c r="T1434" s="68" t="n">
        <f aca="false">Inputs!$E$9*(1+E1434)+Inputs!$E$5*C1434*(Inputs!$E$11*Inputs!$E$14*(G1434*I1434/Inputs!$E$16+(1-G1434))*K1434+Inputs!$E$23*M1434)*(1+O1434)+Inputs!$E$5*(Q1434+S1434)</f>
        <v>6751.72373839579</v>
      </c>
    </row>
    <row r="1435" customFormat="false" ht="15" hidden="false" customHeight="false" outlineLevel="0" collapsed="false">
      <c r="A1435" s="1" t="n">
        <v>1431</v>
      </c>
      <c r="B1435" s="81" t="n">
        <f aca="true">RAND()</f>
        <v>0.0692086737238445</v>
      </c>
      <c r="C1435" s="82" t="n">
        <f aca="false">ROUND(IF(B1435&lt;(Inputs!$E$8-Inputs!$D$8)/(Inputs!$F$8-Inputs!$D$8),Inputs!$D$8+SQRT(B1435*(Inputs!$F$8-Inputs!$D$8)*(Inputs!$E$8-Inputs!$D$8)),Inputs!$F$8-SQRT((1-B1435)*(Inputs!$F$8-Inputs!$D$8)*(Inputs!$F$8-Inputs!$E$8))),0)</f>
        <v>22</v>
      </c>
      <c r="D1435" s="81" t="n">
        <f aca="true">RAND()</f>
        <v>0.358883607670411</v>
      </c>
      <c r="E1435" s="83" t="n">
        <f aca="false">IF(D1435&lt;(Inputs!$E$10-Inputs!$D$10)/(Inputs!$F$10-Inputs!$D$10),Inputs!$D$10+SQRT(D1435*(Inputs!$F$10-Inputs!$D$10)*(Inputs!$E$10-Inputs!$D$10)),Inputs!$F$10-SQRT((1-D1435)*(Inputs!$F$10-Inputs!$D$10)*(Inputs!$F$10-Inputs!$E$10)))</f>
        <v>0.0613151350367039</v>
      </c>
      <c r="F1435" s="81" t="n">
        <f aca="true">RAND()</f>
        <v>0.35593780112028</v>
      </c>
      <c r="G1435" s="83" t="n">
        <f aca="false">IF(F1435&lt;(Inputs!$E$15-Inputs!$D$15)/(Inputs!$F$15-Inputs!$D$15),Inputs!$D$15+SQRT(F1435*(Inputs!$F$15-Inputs!$D$15)*(Inputs!$E$15-Inputs!$D$15)),Inputs!$F$15-SQRT((1-F1435)*(Inputs!$F$15-Inputs!$D$15)*(Inputs!$F$15-Inputs!$E$15)))</f>
        <v>0.684372720842732</v>
      </c>
      <c r="H1435" s="81" t="n">
        <f aca="true">RAND()</f>
        <v>0.95890403288053</v>
      </c>
      <c r="I1435" s="82" t="n">
        <f aca="false">ROUND(IF(H1435&lt;(Inputs!$E$17-Inputs!$D$17)/(Inputs!$F$17-Inputs!$D$17),Inputs!$D$17+SQRT(H1435*(Inputs!$F$17-Inputs!$D$17)*(Inputs!$E$17-Inputs!$D$17)),Inputs!$F$17-SQRT((1-H1435)*(Inputs!$F$17-Inputs!$D$17)*(Inputs!$F$17-Inputs!$E$17))),0)</f>
        <v>113</v>
      </c>
      <c r="J1435" s="81" t="n">
        <f aca="true">RAND()</f>
        <v>0.0590366747099773</v>
      </c>
      <c r="K1435" s="83" t="n">
        <f aca="false">IF(J1435&lt;(Inputs!$E$18-Inputs!$D$18)/(Inputs!$F$18-Inputs!$D$18),Inputs!$D$18+SQRT(J1435*(Inputs!$F$18-Inputs!$D$18)*(Inputs!$E$18-Inputs!$D$18)),Inputs!$F$18-SQRT((1-J1435)*(Inputs!$F$18-Inputs!$D$18)*(Inputs!$F$18-Inputs!$E$18)))</f>
        <v>0.945456392453089</v>
      </c>
      <c r="L1435" s="81" t="n">
        <f aca="true">RAND()</f>
        <v>0.83229159424532</v>
      </c>
      <c r="M1435" s="83" t="n">
        <f aca="false">IF(L1435&lt;(Inputs!$E$24-Inputs!$D$24)/(Inputs!$F$24-Inputs!$D$24),Inputs!$D$24+SQRT(L1435*(Inputs!$F$24-Inputs!$D$24)*(Inputs!$E$24-Inputs!$D$24)),Inputs!$F$24-SQRT((1-L1435)*(Inputs!$F$24-Inputs!$D$24)*(Inputs!$F$24-Inputs!$E$24)))</f>
        <v>0.999375930204965</v>
      </c>
      <c r="N1435" s="81" t="n">
        <f aca="true">RAND()</f>
        <v>0.468751121677317</v>
      </c>
      <c r="O1435" s="83" t="n">
        <f aca="false">IF(N1435&lt;(Inputs!$E$26-Inputs!$D$26)/(Inputs!$F$26-Inputs!$D$26),Inputs!$D$26+SQRT(N1435*(Inputs!$F$26-Inputs!$D$26)*(Inputs!$E$26-Inputs!$D$26)),Inputs!$F$26-SQRT((1-N1435)*(Inputs!$F$26-Inputs!$D$26)*(Inputs!$F$26-Inputs!$E$26)))</f>
        <v>0.5792851350271</v>
      </c>
      <c r="P1435" s="81" t="n">
        <f aca="true">RAND()</f>
        <v>0.380164974927173</v>
      </c>
      <c r="Q1435" s="82" t="n">
        <f aca="false">IF(P1435&lt;(Inputs!$E$27-Inputs!$D$27)/(Inputs!$F$27-Inputs!$D$27),Inputs!$D$27+SQRT(P1435*(Inputs!$F$27-Inputs!$D$27)*(Inputs!$E$27-Inputs!$D$27)),Inputs!$F$27-SQRT((1-P1435)*(Inputs!$F$27-Inputs!$D$27)*(Inputs!$F$27-Inputs!$E$27)))</f>
        <v>81.8181645300876</v>
      </c>
      <c r="R1435" s="81" t="n">
        <f aca="true">RAND()</f>
        <v>0.559248160702773</v>
      </c>
      <c r="S1435" s="82" t="n">
        <f aca="false">IF(R1435&lt;(Inputs!$E$29-Inputs!$D$29)/(Inputs!$F$29-Inputs!$D$29),Inputs!$D$29+SQRT(R1435*(Inputs!$F$29-Inputs!$D$29)*(Inputs!$E$29-Inputs!$D$29)),Inputs!$F$29-SQRT((1-R1435)*(Inputs!$F$29-Inputs!$D$29)*(Inputs!$F$29-Inputs!$E$29)))</f>
        <v>7.43047299307021</v>
      </c>
      <c r="T1435" s="68" t="n">
        <f aca="false">Inputs!$E$9*(1+E1435)+Inputs!$E$5*C1435*(Inputs!$E$11*Inputs!$E$14*(G1435*I1435/Inputs!$E$16+(1-G1435))*K1435+Inputs!$E$23*M1435)*(1+O1435)+Inputs!$E$5*(Q1435+S1435)</f>
        <v>5875.03332532405</v>
      </c>
    </row>
    <row r="1436" customFormat="false" ht="15" hidden="false" customHeight="false" outlineLevel="0" collapsed="false">
      <c r="A1436" s="1" t="n">
        <v>1432</v>
      </c>
      <c r="B1436" s="81" t="n">
        <f aca="true">RAND()</f>
        <v>0.228605763916928</v>
      </c>
      <c r="C1436" s="82" t="n">
        <f aca="false">ROUND(IF(B1436&lt;(Inputs!$E$8-Inputs!$D$8)/(Inputs!$F$8-Inputs!$D$8),Inputs!$D$8+SQRT(B1436*(Inputs!$F$8-Inputs!$D$8)*(Inputs!$E$8-Inputs!$D$8)),Inputs!$F$8-SQRT((1-B1436)*(Inputs!$F$8-Inputs!$D$8)*(Inputs!$F$8-Inputs!$E$8))),0)</f>
        <v>23</v>
      </c>
      <c r="D1436" s="81" t="n">
        <f aca="true">RAND()</f>
        <v>0.725339275774091</v>
      </c>
      <c r="E1436" s="83" t="n">
        <f aca="false">IF(D1436&lt;(Inputs!$E$10-Inputs!$D$10)/(Inputs!$F$10-Inputs!$D$10),Inputs!$D$10+SQRT(D1436*(Inputs!$F$10-Inputs!$D$10)*(Inputs!$E$10-Inputs!$D$10)),Inputs!$F$10-SQRT((1-D1436)*(Inputs!$F$10-Inputs!$D$10)*(Inputs!$F$10-Inputs!$E$10)))</f>
        <v>0.109226536219128</v>
      </c>
      <c r="F1436" s="81" t="n">
        <f aca="true">RAND()</f>
        <v>0.294493608309329</v>
      </c>
      <c r="G1436" s="83" t="n">
        <f aca="false">IF(F1436&lt;(Inputs!$E$15-Inputs!$D$15)/(Inputs!$F$15-Inputs!$D$15),Inputs!$D$15+SQRT(F1436*(Inputs!$F$15-Inputs!$D$15)*(Inputs!$E$15-Inputs!$D$15)),Inputs!$F$15-SQRT((1-F1436)*(Inputs!$F$15-Inputs!$D$15)*(Inputs!$F$15-Inputs!$E$15)))</f>
        <v>0.676745502579543</v>
      </c>
      <c r="H1436" s="81" t="n">
        <f aca="true">RAND()</f>
        <v>0.808892119617911</v>
      </c>
      <c r="I1436" s="82" t="n">
        <f aca="false">ROUND(IF(H1436&lt;(Inputs!$E$17-Inputs!$D$17)/(Inputs!$F$17-Inputs!$D$17),Inputs!$D$17+SQRT(H1436*(Inputs!$F$17-Inputs!$D$17)*(Inputs!$E$17-Inputs!$D$17)),Inputs!$F$17-SQRT((1-H1436)*(Inputs!$F$17-Inputs!$D$17)*(Inputs!$F$17-Inputs!$E$17))),0)</f>
        <v>110</v>
      </c>
      <c r="J1436" s="81" t="n">
        <f aca="true">RAND()</f>
        <v>0.419100079495659</v>
      </c>
      <c r="K1436" s="83" t="n">
        <f aca="false">IF(J1436&lt;(Inputs!$E$18-Inputs!$D$18)/(Inputs!$F$18-Inputs!$D$18),Inputs!$D$18+SQRT(J1436*(Inputs!$F$18-Inputs!$D$18)*(Inputs!$E$18-Inputs!$D$18)),Inputs!$F$18-SQRT((1-J1436)*(Inputs!$F$18-Inputs!$D$18)*(Inputs!$F$18-Inputs!$E$18)))</f>
        <v>1.02454769230693</v>
      </c>
      <c r="L1436" s="81" t="n">
        <f aca="true">RAND()</f>
        <v>0.836882560949102</v>
      </c>
      <c r="M1436" s="83" t="n">
        <f aca="false">IF(L1436&lt;(Inputs!$E$24-Inputs!$D$24)/(Inputs!$F$24-Inputs!$D$24),Inputs!$D$24+SQRT(L1436*(Inputs!$F$24-Inputs!$D$24)*(Inputs!$E$24-Inputs!$D$24)),Inputs!$F$24-SQRT((1-L1436)*(Inputs!$F$24-Inputs!$D$24)*(Inputs!$F$24-Inputs!$E$24)))</f>
        <v>1.00214099623162</v>
      </c>
      <c r="N1436" s="81" t="n">
        <f aca="true">RAND()</f>
        <v>0.596554362002395</v>
      </c>
      <c r="O1436" s="83" t="n">
        <f aca="false">IF(N1436&lt;(Inputs!$E$26-Inputs!$D$26)/(Inputs!$F$26-Inputs!$D$26),Inputs!$D$26+SQRT(N1436*(Inputs!$F$26-Inputs!$D$26)*(Inputs!$E$26-Inputs!$D$26)),Inputs!$F$26-SQRT((1-N1436)*(Inputs!$F$26-Inputs!$D$26)*(Inputs!$F$26-Inputs!$E$26)))</f>
        <v>0.615066097568746</v>
      </c>
      <c r="P1436" s="81" t="n">
        <f aca="true">RAND()</f>
        <v>0.312532788955755</v>
      </c>
      <c r="Q1436" s="82" t="n">
        <f aca="false">IF(P1436&lt;(Inputs!$E$27-Inputs!$D$27)/(Inputs!$F$27-Inputs!$D$27),Inputs!$D$27+SQRT(P1436*(Inputs!$F$27-Inputs!$D$27)*(Inputs!$E$27-Inputs!$D$27)),Inputs!$F$27-SQRT((1-P1436)*(Inputs!$F$27-Inputs!$D$27)*(Inputs!$F$27-Inputs!$E$27)))</f>
        <v>78.1946792860596</v>
      </c>
      <c r="R1436" s="81" t="n">
        <f aca="true">RAND()</f>
        <v>0.601885252245411</v>
      </c>
      <c r="S1436" s="82" t="n">
        <f aca="false">IF(R1436&lt;(Inputs!$E$29-Inputs!$D$29)/(Inputs!$F$29-Inputs!$D$29),Inputs!$D$29+SQRT(R1436*(Inputs!$F$29-Inputs!$D$29)*(Inputs!$E$29-Inputs!$D$29)),Inputs!$F$29-SQRT((1-R1436)*(Inputs!$F$29-Inputs!$D$29)*(Inputs!$F$29-Inputs!$E$29)))</f>
        <v>7.8059109535608</v>
      </c>
      <c r="T1436" s="68" t="n">
        <f aca="false">Inputs!$E$9*(1+E1436)+Inputs!$E$5*C1436*(Inputs!$E$11*Inputs!$E$14*(G1436*I1436/Inputs!$E$16+(1-G1436))*K1436+Inputs!$E$23*M1436)*(1+O1436)+Inputs!$E$5*(Q1436+S1436)</f>
        <v>6324.30526845923</v>
      </c>
    </row>
    <row r="1437" customFormat="false" ht="15" hidden="false" customHeight="false" outlineLevel="0" collapsed="false">
      <c r="A1437" s="1" t="n">
        <v>1433</v>
      </c>
      <c r="B1437" s="81" t="n">
        <f aca="true">RAND()</f>
        <v>0.25570544369581</v>
      </c>
      <c r="C1437" s="82" t="n">
        <f aca="false">ROUND(IF(B1437&lt;(Inputs!$E$8-Inputs!$D$8)/(Inputs!$F$8-Inputs!$D$8),Inputs!$D$8+SQRT(B1437*(Inputs!$F$8-Inputs!$D$8)*(Inputs!$E$8-Inputs!$D$8)),Inputs!$F$8-SQRT((1-B1437)*(Inputs!$F$8-Inputs!$D$8)*(Inputs!$F$8-Inputs!$E$8))),0)</f>
        <v>24</v>
      </c>
      <c r="D1437" s="81" t="n">
        <f aca="true">RAND()</f>
        <v>0.454609838765972</v>
      </c>
      <c r="E1437" s="83" t="n">
        <f aca="false">IF(D1437&lt;(Inputs!$E$10-Inputs!$D$10)/(Inputs!$F$10-Inputs!$D$10),Inputs!$D$10+SQRT(D1437*(Inputs!$F$10-Inputs!$D$10)*(Inputs!$E$10-Inputs!$D$10)),Inputs!$F$10-SQRT((1-D1437)*(Inputs!$F$10-Inputs!$D$10)*(Inputs!$F$10-Inputs!$E$10)))</f>
        <v>0.0720871201284998</v>
      </c>
      <c r="F1437" s="81" t="n">
        <f aca="true">RAND()</f>
        <v>0.361445449019306</v>
      </c>
      <c r="G1437" s="83" t="n">
        <f aca="false">IF(F1437&lt;(Inputs!$E$15-Inputs!$D$15)/(Inputs!$F$15-Inputs!$D$15),Inputs!$D$15+SQRT(F1437*(Inputs!$F$15-Inputs!$D$15)*(Inputs!$E$15-Inputs!$D$15)),Inputs!$F$15-SQRT((1-F1437)*(Inputs!$F$15-Inputs!$D$15)*(Inputs!$F$15-Inputs!$E$15)))</f>
        <v>0.68502299089297</v>
      </c>
      <c r="H1437" s="81" t="n">
        <f aca="true">RAND()</f>
        <v>0.521188366911882</v>
      </c>
      <c r="I1437" s="82" t="n">
        <f aca="false">ROUND(IF(H1437&lt;(Inputs!$E$17-Inputs!$D$17)/(Inputs!$F$17-Inputs!$D$17),Inputs!$D$17+SQRT(H1437*(Inputs!$F$17-Inputs!$D$17)*(Inputs!$E$17-Inputs!$D$17)),Inputs!$F$17-SQRT((1-H1437)*(Inputs!$F$17-Inputs!$D$17)*(Inputs!$F$17-Inputs!$E$17))),0)</f>
        <v>107</v>
      </c>
      <c r="J1437" s="81" t="n">
        <f aca="true">RAND()</f>
        <v>0.68899171954088</v>
      </c>
      <c r="K1437" s="83" t="n">
        <f aca="false">IF(J1437&lt;(Inputs!$E$18-Inputs!$D$18)/(Inputs!$F$18-Inputs!$D$18),Inputs!$D$18+SQRT(J1437*(Inputs!$F$18-Inputs!$D$18)*(Inputs!$E$18-Inputs!$D$18)),Inputs!$F$18-SQRT((1-J1437)*(Inputs!$F$18-Inputs!$D$18)*(Inputs!$F$18-Inputs!$E$18)))</f>
        <v>1.08503568707089</v>
      </c>
      <c r="L1437" s="81" t="n">
        <f aca="true">RAND()</f>
        <v>0.121413590782566</v>
      </c>
      <c r="M1437" s="83" t="n">
        <f aca="false">IF(L1437&lt;(Inputs!$E$24-Inputs!$D$24)/(Inputs!$F$24-Inputs!$D$24),Inputs!$D$24+SQRT(L1437*(Inputs!$F$24-Inputs!$D$24)*(Inputs!$E$24-Inputs!$D$24)),Inputs!$F$24-SQRT((1-L1437)*(Inputs!$F$24-Inputs!$D$24)*(Inputs!$F$24-Inputs!$E$24)))</f>
        <v>0.720704726062851</v>
      </c>
      <c r="N1437" s="81" t="n">
        <f aca="true">RAND()</f>
        <v>0.0500511146436838</v>
      </c>
      <c r="O1437" s="83" t="n">
        <f aca="false">IF(N1437&lt;(Inputs!$E$26-Inputs!$D$26)/(Inputs!$F$26-Inputs!$D$26),Inputs!$D$26+SQRT(N1437*(Inputs!$F$26-Inputs!$D$26)*(Inputs!$E$26-Inputs!$D$26)),Inputs!$F$26-SQRT((1-N1437)*(Inputs!$F$26-Inputs!$D$26)*(Inputs!$F$26-Inputs!$E$26)))</f>
        <v>0.391260645826714</v>
      </c>
      <c r="P1437" s="81" t="n">
        <f aca="true">RAND()</f>
        <v>0.751222643973515</v>
      </c>
      <c r="Q1437" s="82" t="n">
        <f aca="false">IF(P1437&lt;(Inputs!$E$27-Inputs!$D$27)/(Inputs!$F$27-Inputs!$D$27),Inputs!$D$27+SQRT(P1437*(Inputs!$F$27-Inputs!$D$27)*(Inputs!$E$27-Inputs!$D$27)),Inputs!$F$27-SQRT((1-P1437)*(Inputs!$F$27-Inputs!$D$27)*(Inputs!$F$27-Inputs!$E$27)))</f>
        <v>106.804743660922</v>
      </c>
      <c r="R1437" s="81" t="n">
        <f aca="true">RAND()</f>
        <v>0.81045267320759</v>
      </c>
      <c r="S1437" s="82" t="n">
        <f aca="false">IF(R1437&lt;(Inputs!$E$29-Inputs!$D$29)/(Inputs!$F$29-Inputs!$D$29),Inputs!$D$29+SQRT(R1437*(Inputs!$F$29-Inputs!$D$29)*(Inputs!$E$29-Inputs!$D$29)),Inputs!$F$29-SQRT((1-R1437)*(Inputs!$F$29-Inputs!$D$29)*(Inputs!$F$29-Inputs!$E$29)))</f>
        <v>10.0360144558013</v>
      </c>
      <c r="T1437" s="68" t="n">
        <f aca="false">Inputs!$E$9*(1+E1437)+Inputs!$E$5*C1437*(Inputs!$E$11*Inputs!$E$14*(G1437*I1437/Inputs!$E$16+(1-G1437))*K1437+Inputs!$E$23*M1437)*(1+O1437)+Inputs!$E$5*(Q1437+S1437)</f>
        <v>5785.01580968461</v>
      </c>
    </row>
    <row r="1438" customFormat="false" ht="15" hidden="false" customHeight="false" outlineLevel="0" collapsed="false">
      <c r="A1438" s="1" t="n">
        <v>1434</v>
      </c>
      <c r="B1438" s="81" t="n">
        <f aca="true">RAND()</f>
        <v>0.716743014465773</v>
      </c>
      <c r="C1438" s="82" t="n">
        <f aca="false">ROUND(IF(B1438&lt;(Inputs!$E$8-Inputs!$D$8)/(Inputs!$F$8-Inputs!$D$8),Inputs!$D$8+SQRT(B1438*(Inputs!$F$8-Inputs!$D$8)*(Inputs!$E$8-Inputs!$D$8)),Inputs!$F$8-SQRT((1-B1438)*(Inputs!$F$8-Inputs!$D$8)*(Inputs!$F$8-Inputs!$E$8))),0)</f>
        <v>26</v>
      </c>
      <c r="D1438" s="81" t="n">
        <f aca="true">RAND()</f>
        <v>0.612565448153155</v>
      </c>
      <c r="E1438" s="83" t="n">
        <f aca="false">IF(D1438&lt;(Inputs!$E$10-Inputs!$D$10)/(Inputs!$F$10-Inputs!$D$10),Inputs!$D$10+SQRT(D1438*(Inputs!$F$10-Inputs!$D$10)*(Inputs!$E$10-Inputs!$D$10)),Inputs!$F$10-SQRT((1-D1438)*(Inputs!$F$10-Inputs!$D$10)*(Inputs!$F$10-Inputs!$E$10)))</f>
        <v>0.0921898123765413</v>
      </c>
      <c r="F1438" s="81" t="n">
        <f aca="true">RAND()</f>
        <v>0.695887833003891</v>
      </c>
      <c r="G1438" s="83" t="n">
        <f aca="false">IF(F1438&lt;(Inputs!$E$15-Inputs!$D$15)/(Inputs!$F$15-Inputs!$D$15),Inputs!$D$15+SQRT(F1438*(Inputs!$F$15-Inputs!$D$15)*(Inputs!$E$15-Inputs!$D$15)),Inputs!$F$15-SQRT((1-F1438)*(Inputs!$F$15-Inputs!$D$15)*(Inputs!$F$15-Inputs!$E$15)))</f>
        <v>0.722011261454476</v>
      </c>
      <c r="H1438" s="81" t="n">
        <f aca="true">RAND()</f>
        <v>0.0825070974790175</v>
      </c>
      <c r="I1438" s="82" t="n">
        <f aca="false">ROUND(IF(H1438&lt;(Inputs!$E$17-Inputs!$D$17)/(Inputs!$F$17-Inputs!$D$17),Inputs!$D$17+SQRT(H1438*(Inputs!$F$17-Inputs!$D$17)*(Inputs!$E$17-Inputs!$D$17)),Inputs!$F$17-SQRT((1-H1438)*(Inputs!$F$17-Inputs!$D$17)*(Inputs!$F$17-Inputs!$E$17))),0)</f>
        <v>102</v>
      </c>
      <c r="J1438" s="81" t="n">
        <f aca="true">RAND()</f>
        <v>0.701228274104472</v>
      </c>
      <c r="K1438" s="83" t="n">
        <f aca="false">IF(J1438&lt;(Inputs!$E$18-Inputs!$D$18)/(Inputs!$F$18-Inputs!$D$18),Inputs!$D$18+SQRT(J1438*(Inputs!$F$18-Inputs!$D$18)*(Inputs!$E$18-Inputs!$D$18)),Inputs!$F$18-SQRT((1-J1438)*(Inputs!$F$18-Inputs!$D$18)*(Inputs!$F$18-Inputs!$E$18)))</f>
        <v>1.08831349463898</v>
      </c>
      <c r="L1438" s="81" t="n">
        <f aca="true">RAND()</f>
        <v>0.105044623277631</v>
      </c>
      <c r="M1438" s="83" t="n">
        <f aca="false">IF(L1438&lt;(Inputs!$E$24-Inputs!$D$24)/(Inputs!$F$24-Inputs!$D$24),Inputs!$D$24+SQRT(L1438*(Inputs!$F$24-Inputs!$D$24)*(Inputs!$E$24-Inputs!$D$24)),Inputs!$F$24-SQRT((1-L1438)*(Inputs!$F$24-Inputs!$D$24)*(Inputs!$F$24-Inputs!$E$24)))</f>
        <v>0.71227357121476</v>
      </c>
      <c r="N1438" s="81" t="n">
        <f aca="true">RAND()</f>
        <v>0.27726018304974</v>
      </c>
      <c r="O1438" s="83" t="n">
        <f aca="false">IF(N1438&lt;(Inputs!$E$26-Inputs!$D$26)/(Inputs!$F$26-Inputs!$D$26),Inputs!$D$26+SQRT(N1438*(Inputs!$F$26-Inputs!$D$26)*(Inputs!$E$26-Inputs!$D$26)),Inputs!$F$26-SQRT((1-N1438)*(Inputs!$F$26-Inputs!$D$26)*(Inputs!$F$26-Inputs!$E$26)))</f>
        <v>0.514793143418213</v>
      </c>
      <c r="P1438" s="81" t="n">
        <f aca="true">RAND()</f>
        <v>0.0643516679475728</v>
      </c>
      <c r="Q1438" s="82" t="n">
        <f aca="false">IF(P1438&lt;(Inputs!$E$27-Inputs!$D$27)/(Inputs!$F$27-Inputs!$D$27),Inputs!$D$27+SQRT(P1438*(Inputs!$F$27-Inputs!$D$27)*(Inputs!$E$27-Inputs!$D$27)),Inputs!$F$27-SQRT((1-P1438)*(Inputs!$F$27-Inputs!$D$27)*(Inputs!$F$27-Inputs!$E$27)))</f>
        <v>62.6838152725799</v>
      </c>
      <c r="R1438" s="81" t="n">
        <f aca="true">RAND()</f>
        <v>0.503595886169175</v>
      </c>
      <c r="S1438" s="82" t="n">
        <f aca="false">IF(R1438&lt;(Inputs!$E$29-Inputs!$D$29)/(Inputs!$F$29-Inputs!$D$29),Inputs!$D$29+SQRT(R1438*(Inputs!$F$29-Inputs!$D$29)*(Inputs!$E$29-Inputs!$D$29)),Inputs!$F$29-SQRT((1-R1438)*(Inputs!$F$29-Inputs!$D$29)*(Inputs!$F$29-Inputs!$E$29)))</f>
        <v>6.96678552520802</v>
      </c>
      <c r="T1438" s="68" t="n">
        <f aca="false">Inputs!$E$9*(1+E1438)+Inputs!$E$5*C1438*(Inputs!$E$11*Inputs!$E$14*(G1438*I1438/Inputs!$E$16+(1-G1438))*K1438+Inputs!$E$23*M1438)*(1+O1438)+Inputs!$E$5*(Q1438+S1438)</f>
        <v>5982.87772150164</v>
      </c>
    </row>
    <row r="1439" customFormat="false" ht="15" hidden="false" customHeight="false" outlineLevel="0" collapsed="false">
      <c r="A1439" s="1" t="n">
        <v>1435</v>
      </c>
      <c r="B1439" s="81" t="n">
        <f aca="true">RAND()</f>
        <v>0.325136018970351</v>
      </c>
      <c r="C1439" s="82" t="n">
        <f aca="false">ROUND(IF(B1439&lt;(Inputs!$E$8-Inputs!$D$8)/(Inputs!$F$8-Inputs!$D$8),Inputs!$D$8+SQRT(B1439*(Inputs!$F$8-Inputs!$D$8)*(Inputs!$E$8-Inputs!$D$8)),Inputs!$F$8-SQRT((1-B1439)*(Inputs!$F$8-Inputs!$D$8)*(Inputs!$F$8-Inputs!$E$8))),0)</f>
        <v>24</v>
      </c>
      <c r="D1439" s="81" t="n">
        <f aca="true">RAND()</f>
        <v>0.507351983341866</v>
      </c>
      <c r="E1439" s="83" t="n">
        <f aca="false">IF(D1439&lt;(Inputs!$E$10-Inputs!$D$10)/(Inputs!$F$10-Inputs!$D$10),Inputs!$D$10+SQRT(D1439*(Inputs!$F$10-Inputs!$D$10)*(Inputs!$E$10-Inputs!$D$10)),Inputs!$F$10-SQRT((1-D1439)*(Inputs!$F$10-Inputs!$D$10)*(Inputs!$F$10-Inputs!$E$10)))</f>
        <v>0.0784292777855457</v>
      </c>
      <c r="F1439" s="81" t="n">
        <f aca="true">RAND()</f>
        <v>0.961730211822292</v>
      </c>
      <c r="G1439" s="83" t="n">
        <f aca="false">IF(F1439&lt;(Inputs!$E$15-Inputs!$D$15)/(Inputs!$F$15-Inputs!$D$15),Inputs!$D$15+SQRT(F1439*(Inputs!$F$15-Inputs!$D$15)*(Inputs!$E$15-Inputs!$D$15)),Inputs!$F$15-SQRT((1-F1439)*(Inputs!$F$15-Inputs!$D$15)*(Inputs!$F$15-Inputs!$E$15)))</f>
        <v>0.772334213122447</v>
      </c>
      <c r="H1439" s="81" t="n">
        <f aca="true">RAND()</f>
        <v>0.148798547043972</v>
      </c>
      <c r="I1439" s="82" t="n">
        <f aca="false">ROUND(IF(H1439&lt;(Inputs!$E$17-Inputs!$D$17)/(Inputs!$F$17-Inputs!$D$17),Inputs!$D$17+SQRT(H1439*(Inputs!$F$17-Inputs!$D$17)*(Inputs!$E$17-Inputs!$D$17)),Inputs!$F$17-SQRT((1-H1439)*(Inputs!$F$17-Inputs!$D$17)*(Inputs!$F$17-Inputs!$E$17))),0)</f>
        <v>103</v>
      </c>
      <c r="J1439" s="81" t="n">
        <f aca="true">RAND()</f>
        <v>0.865881844159496</v>
      </c>
      <c r="K1439" s="83" t="n">
        <f aca="false">IF(J1439&lt;(Inputs!$E$18-Inputs!$D$18)/(Inputs!$F$18-Inputs!$D$18),Inputs!$D$18+SQRT(J1439*(Inputs!$F$18-Inputs!$D$18)*(Inputs!$E$18-Inputs!$D$18)),Inputs!$F$18-SQRT((1-J1439)*(Inputs!$F$18-Inputs!$D$18)*(Inputs!$F$18-Inputs!$E$18)))</f>
        <v>1.14167023199488</v>
      </c>
      <c r="L1439" s="81" t="n">
        <f aca="true">RAND()</f>
        <v>0.511955080309384</v>
      </c>
      <c r="M1439" s="83" t="n">
        <f aca="false">IF(L1439&lt;(Inputs!$E$24-Inputs!$D$24)/(Inputs!$F$24-Inputs!$D$24),Inputs!$D$24+SQRT(L1439*(Inputs!$F$24-Inputs!$D$24)*(Inputs!$E$24-Inputs!$D$24)),Inputs!$F$24-SQRT((1-L1439)*(Inputs!$F$24-Inputs!$D$24)*(Inputs!$F$24-Inputs!$E$24)))</f>
        <v>0.857756255388433</v>
      </c>
      <c r="N1439" s="81" t="n">
        <f aca="true">RAND()</f>
        <v>0.0871802155808019</v>
      </c>
      <c r="O1439" s="83" t="n">
        <f aca="false">IF(N1439&lt;(Inputs!$E$26-Inputs!$D$26)/(Inputs!$F$26-Inputs!$D$26),Inputs!$D$26+SQRT(N1439*(Inputs!$F$26-Inputs!$D$26)*(Inputs!$E$26-Inputs!$D$26)),Inputs!$F$26-SQRT((1-N1439)*(Inputs!$F$26-Inputs!$D$26)*(Inputs!$F$26-Inputs!$E$26)))</f>
        <v>0.420444127597179</v>
      </c>
      <c r="P1439" s="81" t="n">
        <f aca="true">RAND()</f>
        <v>0.136749909009849</v>
      </c>
      <c r="Q1439" s="82" t="n">
        <f aca="false">IF(P1439&lt;(Inputs!$E$27-Inputs!$D$27)/(Inputs!$F$27-Inputs!$D$27),Inputs!$D$27+SQRT(P1439*(Inputs!$F$27-Inputs!$D$27)*(Inputs!$E$27-Inputs!$D$27)),Inputs!$F$27-SQRT((1-P1439)*(Inputs!$F$27-Inputs!$D$27)*(Inputs!$F$27-Inputs!$E$27)))</f>
        <v>68.4898559357455</v>
      </c>
      <c r="R1439" s="81" t="n">
        <f aca="true">RAND()</f>
        <v>0.218465658580981</v>
      </c>
      <c r="S1439" s="82" t="n">
        <f aca="false">IF(R1439&lt;(Inputs!$E$29-Inputs!$D$29)/(Inputs!$F$29-Inputs!$D$29),Inputs!$D$29+SQRT(R1439*(Inputs!$F$29-Inputs!$D$29)*(Inputs!$E$29-Inputs!$D$29)),Inputs!$F$29-SQRT((1-R1439)*(Inputs!$F$29-Inputs!$D$29)*(Inputs!$F$29-Inputs!$E$29)))</f>
        <v>4.91893142856393</v>
      </c>
      <c r="T1439" s="68" t="n">
        <f aca="false">Inputs!$E$9*(1+E1439)+Inputs!$E$5*C1439*(Inputs!$E$11*Inputs!$E$14*(G1439*I1439/Inputs!$E$16+(1-G1439))*K1439+Inputs!$E$23*M1439)*(1+O1439)+Inputs!$E$5*(Q1439+S1439)</f>
        <v>5753.35015366538</v>
      </c>
    </row>
    <row r="1440" customFormat="false" ht="15" hidden="false" customHeight="false" outlineLevel="0" collapsed="false">
      <c r="A1440" s="1" t="n">
        <v>1436</v>
      </c>
      <c r="B1440" s="81" t="n">
        <f aca="true">RAND()</f>
        <v>0.571375218938094</v>
      </c>
      <c r="C1440" s="82" t="n">
        <f aca="false">ROUND(IF(B1440&lt;(Inputs!$E$8-Inputs!$D$8)/(Inputs!$F$8-Inputs!$D$8),Inputs!$D$8+SQRT(B1440*(Inputs!$F$8-Inputs!$D$8)*(Inputs!$E$8-Inputs!$D$8)),Inputs!$F$8-SQRT((1-B1440)*(Inputs!$F$8-Inputs!$D$8)*(Inputs!$F$8-Inputs!$E$8))),0)</f>
        <v>25</v>
      </c>
      <c r="D1440" s="81" t="n">
        <f aca="true">RAND()</f>
        <v>0.594687973608309</v>
      </c>
      <c r="E1440" s="83" t="n">
        <f aca="false">IF(D1440&lt;(Inputs!$E$10-Inputs!$D$10)/(Inputs!$F$10-Inputs!$D$10),Inputs!$D$10+SQRT(D1440*(Inputs!$F$10-Inputs!$D$10)*(Inputs!$E$10-Inputs!$D$10)),Inputs!$F$10-SQRT((1-D1440)*(Inputs!$F$10-Inputs!$D$10)*(Inputs!$F$10-Inputs!$E$10)))</f>
        <v>0.0897305083363911</v>
      </c>
      <c r="F1440" s="81" t="n">
        <f aca="true">RAND()</f>
        <v>0.528568961225753</v>
      </c>
      <c r="G1440" s="83" t="n">
        <f aca="false">IF(F1440&lt;(Inputs!$E$15-Inputs!$D$15)/(Inputs!$F$15-Inputs!$D$15),Inputs!$D$15+SQRT(F1440*(Inputs!$F$15-Inputs!$D$15)*(Inputs!$E$15-Inputs!$D$15)),Inputs!$F$15-SQRT((1-F1440)*(Inputs!$F$15-Inputs!$D$15)*(Inputs!$F$15-Inputs!$E$15)))</f>
        <v>0.702898914653414</v>
      </c>
      <c r="H1440" s="81" t="n">
        <f aca="true">RAND()</f>
        <v>0.409161821654345</v>
      </c>
      <c r="I1440" s="82" t="n">
        <f aca="false">ROUND(IF(H1440&lt;(Inputs!$E$17-Inputs!$D$17)/(Inputs!$F$17-Inputs!$D$17),Inputs!$D$17+SQRT(H1440*(Inputs!$F$17-Inputs!$D$17)*(Inputs!$E$17-Inputs!$D$17)),Inputs!$F$17-SQRT((1-H1440)*(Inputs!$F$17-Inputs!$D$17)*(Inputs!$F$17-Inputs!$E$17))),0)</f>
        <v>106</v>
      </c>
      <c r="J1440" s="81" t="n">
        <f aca="true">RAND()</f>
        <v>0.311307148470613</v>
      </c>
      <c r="K1440" s="83" t="n">
        <f aca="false">IF(J1440&lt;(Inputs!$E$18-Inputs!$D$18)/(Inputs!$F$18-Inputs!$D$18),Inputs!$D$18+SQRT(J1440*(Inputs!$F$18-Inputs!$D$18)*(Inputs!$E$18-Inputs!$D$18)),Inputs!$F$18-SQRT((1-J1440)*(Inputs!$F$18-Inputs!$D$18)*(Inputs!$F$18-Inputs!$E$18)))</f>
        <v>1.00451960463446</v>
      </c>
      <c r="L1440" s="81" t="n">
        <f aca="true">RAND()</f>
        <v>0.839051061332485</v>
      </c>
      <c r="M1440" s="83" t="n">
        <f aca="false">IF(L1440&lt;(Inputs!$E$24-Inputs!$D$24)/(Inputs!$F$24-Inputs!$D$24),Inputs!$D$24+SQRT(L1440*(Inputs!$F$24-Inputs!$D$24)*(Inputs!$E$24-Inputs!$D$24)),Inputs!$F$24-SQRT((1-L1440)*(Inputs!$F$24-Inputs!$D$24)*(Inputs!$F$24-Inputs!$E$24)))</f>
        <v>1.00346057576099</v>
      </c>
      <c r="N1440" s="81" t="n">
        <f aca="true">RAND()</f>
        <v>0.464081165751394</v>
      </c>
      <c r="O1440" s="83" t="n">
        <f aca="false">IF(N1440&lt;(Inputs!$E$26-Inputs!$D$26)/(Inputs!$F$26-Inputs!$D$26),Inputs!$D$26+SQRT(N1440*(Inputs!$F$26-Inputs!$D$26)*(Inputs!$E$26-Inputs!$D$26)),Inputs!$F$26-SQRT((1-N1440)*(Inputs!$F$26-Inputs!$D$26)*(Inputs!$F$26-Inputs!$E$26)))</f>
        <v>0.577890456800934</v>
      </c>
      <c r="P1440" s="81" t="n">
        <f aca="true">RAND()</f>
        <v>0.178730880245787</v>
      </c>
      <c r="Q1440" s="82" t="n">
        <f aca="false">IF(P1440&lt;(Inputs!$E$27-Inputs!$D$27)/(Inputs!$F$27-Inputs!$D$27),Inputs!$D$27+SQRT(P1440*(Inputs!$F$27-Inputs!$D$27)*(Inputs!$E$27-Inputs!$D$27)),Inputs!$F$27-SQRT((1-P1440)*(Inputs!$F$27-Inputs!$D$27)*(Inputs!$F$27-Inputs!$E$27)))</f>
        <v>71.138287551608</v>
      </c>
      <c r="R1440" s="81" t="n">
        <f aca="true">RAND()</f>
        <v>0.694262603290405</v>
      </c>
      <c r="S1440" s="82" t="n">
        <f aca="false">IF(R1440&lt;(Inputs!$E$29-Inputs!$D$29)/(Inputs!$F$29-Inputs!$D$29),Inputs!$D$29+SQRT(R1440*(Inputs!$F$29-Inputs!$D$29)*(Inputs!$E$29-Inputs!$D$29)),Inputs!$F$29-SQRT((1-R1440)*(Inputs!$F$29-Inputs!$D$29)*(Inputs!$F$29-Inputs!$E$29)))</f>
        <v>8.69556810075267</v>
      </c>
      <c r="T1440" s="68" t="n">
        <f aca="false">Inputs!$E$9*(1+E1440)+Inputs!$E$5*C1440*(Inputs!$E$11*Inputs!$E$14*(G1440*I1440/Inputs!$E$16+(1-G1440))*K1440+Inputs!$E$23*M1440)*(1+O1440)+Inputs!$E$5*(Q1440+S1440)</f>
        <v>6343.48100666267</v>
      </c>
    </row>
    <row r="1441" customFormat="false" ht="15" hidden="false" customHeight="false" outlineLevel="0" collapsed="false">
      <c r="A1441" s="1" t="n">
        <v>1437</v>
      </c>
      <c r="B1441" s="81" t="n">
        <f aca="true">RAND()</f>
        <v>0.662183952471089</v>
      </c>
      <c r="C1441" s="82" t="n">
        <f aca="false">ROUND(IF(B1441&lt;(Inputs!$E$8-Inputs!$D$8)/(Inputs!$F$8-Inputs!$D$8),Inputs!$D$8+SQRT(B1441*(Inputs!$F$8-Inputs!$D$8)*(Inputs!$E$8-Inputs!$D$8)),Inputs!$F$8-SQRT((1-B1441)*(Inputs!$F$8-Inputs!$D$8)*(Inputs!$F$8-Inputs!$E$8))),0)</f>
        <v>26</v>
      </c>
      <c r="D1441" s="81" t="n">
        <f aca="true">RAND()</f>
        <v>0.142554785234059</v>
      </c>
      <c r="E1441" s="83" t="n">
        <f aca="false">IF(D1441&lt;(Inputs!$E$10-Inputs!$D$10)/(Inputs!$F$10-Inputs!$D$10),Inputs!$D$10+SQRT(D1441*(Inputs!$F$10-Inputs!$D$10)*(Inputs!$E$10-Inputs!$D$10)),Inputs!$F$10-SQRT((1-D1441)*(Inputs!$F$10-Inputs!$D$10)*(Inputs!$F$10-Inputs!$E$10)))</f>
        <v>0.0377564279605551</v>
      </c>
      <c r="F1441" s="81" t="n">
        <f aca="true">RAND()</f>
        <v>0.28751966622849</v>
      </c>
      <c r="G1441" s="83" t="n">
        <f aca="false">IF(F1441&lt;(Inputs!$E$15-Inputs!$D$15)/(Inputs!$F$15-Inputs!$D$15),Inputs!$D$15+SQRT(F1441*(Inputs!$F$15-Inputs!$D$15)*(Inputs!$E$15-Inputs!$D$15)),Inputs!$F$15-SQRT((1-F1441)*(Inputs!$F$15-Inputs!$D$15)*(Inputs!$F$15-Inputs!$E$15)))</f>
        <v>0.675831347901576</v>
      </c>
      <c r="H1441" s="81" t="n">
        <f aca="true">RAND()</f>
        <v>0.715666230299276</v>
      </c>
      <c r="I1441" s="82" t="n">
        <f aca="false">ROUND(IF(H1441&lt;(Inputs!$E$17-Inputs!$D$17)/(Inputs!$F$17-Inputs!$D$17),Inputs!$D$17+SQRT(H1441*(Inputs!$F$17-Inputs!$D$17)*(Inputs!$E$17-Inputs!$D$17)),Inputs!$F$17-SQRT((1-H1441)*(Inputs!$F$17-Inputs!$D$17)*(Inputs!$F$17-Inputs!$E$17))),0)</f>
        <v>108</v>
      </c>
      <c r="J1441" s="81" t="n">
        <f aca="true">RAND()</f>
        <v>0.0125687609721528</v>
      </c>
      <c r="K1441" s="83" t="n">
        <f aca="false">IF(J1441&lt;(Inputs!$E$18-Inputs!$D$18)/(Inputs!$F$18-Inputs!$D$18),Inputs!$D$18+SQRT(J1441*(Inputs!$F$18-Inputs!$D$18)*(Inputs!$E$18-Inputs!$D$18)),Inputs!$F$18-SQRT((1-J1441)*(Inputs!$F$18-Inputs!$D$18)*(Inputs!$F$18-Inputs!$E$18)))</f>
        <v>0.920973951321231</v>
      </c>
      <c r="L1441" s="81" t="n">
        <f aca="true">RAND()</f>
        <v>0.274209637913421</v>
      </c>
      <c r="M1441" s="83" t="n">
        <f aca="false">IF(L1441&lt;(Inputs!$E$24-Inputs!$D$24)/(Inputs!$F$24-Inputs!$D$24),Inputs!$D$24+SQRT(L1441*(Inputs!$F$24-Inputs!$D$24)*(Inputs!$E$24-Inputs!$D$24)),Inputs!$F$24-SQRT((1-L1441)*(Inputs!$F$24-Inputs!$D$24)*(Inputs!$F$24-Inputs!$E$24)))</f>
        <v>0.781397785404372</v>
      </c>
      <c r="N1441" s="81" t="n">
        <f aca="true">RAND()</f>
        <v>0.624338355547291</v>
      </c>
      <c r="O1441" s="83" t="n">
        <f aca="false">IF(N1441&lt;(Inputs!$E$26-Inputs!$D$26)/(Inputs!$F$26-Inputs!$D$26),Inputs!$D$26+SQRT(N1441*(Inputs!$F$26-Inputs!$D$26)*(Inputs!$E$26-Inputs!$D$26)),Inputs!$F$26-SQRT((1-N1441)*(Inputs!$F$26-Inputs!$D$26)*(Inputs!$F$26-Inputs!$E$26)))</f>
        <v>0.622341681118447</v>
      </c>
      <c r="P1441" s="81" t="n">
        <f aca="true">RAND()</f>
        <v>0.96387989257482</v>
      </c>
      <c r="Q1441" s="82" t="n">
        <f aca="false">IF(P1441&lt;(Inputs!$E$27-Inputs!$D$27)/(Inputs!$F$27-Inputs!$D$27),Inputs!$D$27+SQRT(P1441*(Inputs!$F$27-Inputs!$D$27)*(Inputs!$E$27-Inputs!$D$27)),Inputs!$F$27-SQRT((1-P1441)*(Inputs!$F$27-Inputs!$D$27)*(Inputs!$F$27-Inputs!$E$27)))</f>
        <v>133.540935455232</v>
      </c>
      <c r="R1441" s="81" t="n">
        <f aca="true">RAND()</f>
        <v>0.307374972361102</v>
      </c>
      <c r="S1441" s="82" t="n">
        <f aca="false">IF(R1441&lt;(Inputs!$E$29-Inputs!$D$29)/(Inputs!$F$29-Inputs!$D$29),Inputs!$D$29+SQRT(R1441*(Inputs!$F$29-Inputs!$D$29)*(Inputs!$E$29-Inputs!$D$29)),Inputs!$F$29-SQRT((1-R1441)*(Inputs!$F$29-Inputs!$D$29)*(Inputs!$F$29-Inputs!$E$29)))</f>
        <v>5.51099301333081</v>
      </c>
      <c r="T1441" s="68" t="n">
        <f aca="false">Inputs!$E$9*(1+E1441)+Inputs!$E$5*C1441*(Inputs!$E$11*Inputs!$E$14*(G1441*I1441/Inputs!$E$16+(1-G1441))*K1441+Inputs!$E$23*M1441)*(1+O1441)+Inputs!$E$5*(Q1441+S1441)</f>
        <v>6303.58703606991</v>
      </c>
    </row>
    <row r="1442" customFormat="false" ht="15" hidden="false" customHeight="false" outlineLevel="0" collapsed="false">
      <c r="A1442" s="1" t="n">
        <v>1438</v>
      </c>
      <c r="B1442" s="81" t="n">
        <f aca="true">RAND()</f>
        <v>0.961786247055772</v>
      </c>
      <c r="C1442" s="82" t="n">
        <f aca="false">ROUND(IF(B1442&lt;(Inputs!$E$8-Inputs!$D$8)/(Inputs!$F$8-Inputs!$D$8),Inputs!$D$8+SQRT(B1442*(Inputs!$F$8-Inputs!$D$8)*(Inputs!$E$8-Inputs!$D$8)),Inputs!$F$8-SQRT((1-B1442)*(Inputs!$F$8-Inputs!$D$8)*(Inputs!$F$8-Inputs!$E$8))),0)</f>
        <v>29</v>
      </c>
      <c r="D1442" s="81" t="n">
        <f aca="true">RAND()</f>
        <v>0.37928171181424</v>
      </c>
      <c r="E1442" s="83" t="n">
        <f aca="false">IF(D1442&lt;(Inputs!$E$10-Inputs!$D$10)/(Inputs!$F$10-Inputs!$D$10),Inputs!$D$10+SQRT(D1442*(Inputs!$F$10-Inputs!$D$10)*(Inputs!$E$10-Inputs!$D$10)),Inputs!$F$10-SQRT((1-D1442)*(Inputs!$F$10-Inputs!$D$10)*(Inputs!$F$10-Inputs!$E$10)))</f>
        <v>0.0635392047305425</v>
      </c>
      <c r="F1442" s="81" t="n">
        <f aca="true">RAND()</f>
        <v>0.557387772796438</v>
      </c>
      <c r="G1442" s="83" t="n">
        <f aca="false">IF(F1442&lt;(Inputs!$E$15-Inputs!$D$15)/(Inputs!$F$15-Inputs!$D$15),Inputs!$D$15+SQRT(F1442*(Inputs!$F$15-Inputs!$D$15)*(Inputs!$E$15-Inputs!$D$15)),Inputs!$F$15-SQRT((1-F1442)*(Inputs!$F$15-Inputs!$D$15)*(Inputs!$F$15-Inputs!$E$15)))</f>
        <v>0.705913632528026</v>
      </c>
      <c r="H1442" s="81" t="n">
        <f aca="true">RAND()</f>
        <v>0.883843919734051</v>
      </c>
      <c r="I1442" s="82" t="n">
        <f aca="false">ROUND(IF(H1442&lt;(Inputs!$E$17-Inputs!$D$17)/(Inputs!$F$17-Inputs!$D$17),Inputs!$D$17+SQRT(H1442*(Inputs!$F$17-Inputs!$D$17)*(Inputs!$E$17-Inputs!$D$17)),Inputs!$F$17-SQRT((1-H1442)*(Inputs!$F$17-Inputs!$D$17)*(Inputs!$F$17-Inputs!$E$17))),0)</f>
        <v>111</v>
      </c>
      <c r="J1442" s="81" t="n">
        <f aca="true">RAND()</f>
        <v>0.26021811973453</v>
      </c>
      <c r="K1442" s="83" t="n">
        <f aca="false">IF(J1442&lt;(Inputs!$E$18-Inputs!$D$18)/(Inputs!$F$18-Inputs!$D$18),Inputs!$D$18+SQRT(J1442*(Inputs!$F$18-Inputs!$D$18)*(Inputs!$E$18-Inputs!$D$18)),Inputs!$F$18-SQRT((1-J1442)*(Inputs!$F$18-Inputs!$D$18)*(Inputs!$F$18-Inputs!$E$18)))</f>
        <v>0.995433925784852</v>
      </c>
      <c r="L1442" s="81" t="n">
        <f aca="true">RAND()</f>
        <v>0.892273831189687</v>
      </c>
      <c r="M1442" s="83" t="n">
        <f aca="false">IF(L1442&lt;(Inputs!$E$24-Inputs!$D$24)/(Inputs!$F$24-Inputs!$D$24),Inputs!$D$24+SQRT(L1442*(Inputs!$F$24-Inputs!$D$24)*(Inputs!$E$24-Inputs!$D$24)),Inputs!$F$24-SQRT((1-L1442)*(Inputs!$F$24-Inputs!$D$24)*(Inputs!$F$24-Inputs!$E$24)))</f>
        <v>1.0392073368761</v>
      </c>
      <c r="N1442" s="81" t="n">
        <f aca="true">RAND()</f>
        <v>0.370227780497762</v>
      </c>
      <c r="O1442" s="83" t="n">
        <f aca="false">IF(N1442&lt;(Inputs!$E$26-Inputs!$D$26)/(Inputs!$F$26-Inputs!$D$26),Inputs!$D$26+SQRT(N1442*(Inputs!$F$26-Inputs!$D$26)*(Inputs!$E$26-Inputs!$D$26)),Inputs!$F$26-SQRT((1-N1442)*(Inputs!$F$26-Inputs!$D$26)*(Inputs!$F$26-Inputs!$E$26)))</f>
        <v>0.548205363912281</v>
      </c>
      <c r="P1442" s="81" t="n">
        <f aca="true">RAND()</f>
        <v>0.27721876121144</v>
      </c>
      <c r="Q1442" s="82" t="n">
        <f aca="false">IF(P1442&lt;(Inputs!$E$27-Inputs!$D$27)/(Inputs!$F$27-Inputs!$D$27),Inputs!$D$27+SQRT(P1442*(Inputs!$F$27-Inputs!$D$27)*(Inputs!$E$27-Inputs!$D$27)),Inputs!$F$27-SQRT((1-P1442)*(Inputs!$F$27-Inputs!$D$27)*(Inputs!$F$27-Inputs!$E$27)))</f>
        <v>76.3735150172562</v>
      </c>
      <c r="R1442" s="81" t="n">
        <f aca="true">RAND()</f>
        <v>0.841036291951282</v>
      </c>
      <c r="S1442" s="82" t="n">
        <f aca="false">IF(R1442&lt;(Inputs!$E$29-Inputs!$D$29)/(Inputs!$F$29-Inputs!$D$29),Inputs!$D$29+SQRT(R1442*(Inputs!$F$29-Inputs!$D$29)*(Inputs!$E$29-Inputs!$D$29)),Inputs!$F$29-SQRT((1-R1442)*(Inputs!$F$29-Inputs!$D$29)*(Inputs!$F$29-Inputs!$E$29)))</f>
        <v>10.4540917248218</v>
      </c>
      <c r="T1442" s="68" t="n">
        <f aca="false">Inputs!$E$9*(1+E1442)+Inputs!$E$5*C1442*(Inputs!$E$11*Inputs!$E$14*(G1442*I1442/Inputs!$E$16+(1-G1442))*K1442+Inputs!$E$23*M1442)*(1+O1442)+Inputs!$E$5*(Q1442+S1442)</f>
        <v>6907.39816747534</v>
      </c>
    </row>
    <row r="1443" customFormat="false" ht="15" hidden="false" customHeight="false" outlineLevel="0" collapsed="false">
      <c r="A1443" s="1" t="n">
        <v>1439</v>
      </c>
      <c r="B1443" s="81" t="n">
        <f aca="true">RAND()</f>
        <v>0.506421373185707</v>
      </c>
      <c r="C1443" s="82" t="n">
        <f aca="false">ROUND(IF(B1443&lt;(Inputs!$E$8-Inputs!$D$8)/(Inputs!$F$8-Inputs!$D$8),Inputs!$D$8+SQRT(B1443*(Inputs!$F$8-Inputs!$D$8)*(Inputs!$E$8-Inputs!$D$8)),Inputs!$F$8-SQRT((1-B1443)*(Inputs!$F$8-Inputs!$D$8)*(Inputs!$F$8-Inputs!$E$8))),0)</f>
        <v>25</v>
      </c>
      <c r="D1443" s="81" t="n">
        <f aca="true">RAND()</f>
        <v>0.25863836048891</v>
      </c>
      <c r="E1443" s="83" t="n">
        <f aca="false">IF(D1443&lt;(Inputs!$E$10-Inputs!$D$10)/(Inputs!$F$10-Inputs!$D$10),Inputs!$D$10+SQRT(D1443*(Inputs!$F$10-Inputs!$D$10)*(Inputs!$E$10-Inputs!$D$10)),Inputs!$F$10-SQRT((1-D1443)*(Inputs!$F$10-Inputs!$D$10)*(Inputs!$F$10-Inputs!$E$10)))</f>
        <v>0.0508663378531437</v>
      </c>
      <c r="F1443" s="81" t="n">
        <f aca="true">RAND()</f>
        <v>0.144813810333385</v>
      </c>
      <c r="G1443" s="83" t="n">
        <f aca="false">IF(F1443&lt;(Inputs!$E$15-Inputs!$D$15)/(Inputs!$F$15-Inputs!$D$15),Inputs!$D$15+SQRT(F1443*(Inputs!$F$15-Inputs!$D$15)*(Inputs!$E$15-Inputs!$D$15)),Inputs!$F$15-SQRT((1-F1443)*(Inputs!$F$15-Inputs!$D$15)*(Inputs!$F$15-Inputs!$E$15)))</f>
        <v>0.653817062412099</v>
      </c>
      <c r="H1443" s="81" t="n">
        <f aca="true">RAND()</f>
        <v>0.228807341732946</v>
      </c>
      <c r="I1443" s="82" t="n">
        <f aca="false">ROUND(IF(H1443&lt;(Inputs!$E$17-Inputs!$D$17)/(Inputs!$F$17-Inputs!$D$17),Inputs!$D$17+SQRT(H1443*(Inputs!$F$17-Inputs!$D$17)*(Inputs!$E$17-Inputs!$D$17)),Inputs!$F$17-SQRT((1-H1443)*(Inputs!$F$17-Inputs!$D$17)*(Inputs!$F$17-Inputs!$E$17))),0)</f>
        <v>104</v>
      </c>
      <c r="J1443" s="81" t="n">
        <f aca="true">RAND()</f>
        <v>0.881267151053527</v>
      </c>
      <c r="K1443" s="83" t="n">
        <f aca="false">IF(J1443&lt;(Inputs!$E$18-Inputs!$D$18)/(Inputs!$F$18-Inputs!$D$18),Inputs!$D$18+SQRT(J1443*(Inputs!$F$18-Inputs!$D$18)*(Inputs!$E$18-Inputs!$D$18)),Inputs!$F$18-SQRT((1-J1443)*(Inputs!$F$18-Inputs!$D$18)*(Inputs!$F$18-Inputs!$E$18)))</f>
        <v>1.14807294626638</v>
      </c>
      <c r="L1443" s="81" t="n">
        <f aca="true">RAND()</f>
        <v>0.457927775678663</v>
      </c>
      <c r="M1443" s="83" t="n">
        <f aca="false">IF(L1443&lt;(Inputs!$E$24-Inputs!$D$24)/(Inputs!$F$24-Inputs!$D$24),Inputs!$D$24+SQRT(L1443*(Inputs!$F$24-Inputs!$D$24)*(Inputs!$E$24-Inputs!$D$24)),Inputs!$F$24-SQRT((1-L1443)*(Inputs!$F$24-Inputs!$D$24)*(Inputs!$F$24-Inputs!$E$24)))</f>
        <v>0.839309919962968</v>
      </c>
      <c r="N1443" s="81" t="n">
        <f aca="true">RAND()</f>
        <v>0.725516905722118</v>
      </c>
      <c r="O1443" s="83" t="n">
        <f aca="false">IF(N1443&lt;(Inputs!$E$26-Inputs!$D$26)/(Inputs!$F$26-Inputs!$D$26),Inputs!$D$26+SQRT(N1443*(Inputs!$F$26-Inputs!$D$26)*(Inputs!$E$26-Inputs!$D$26)),Inputs!$F$26-SQRT((1-N1443)*(Inputs!$F$26-Inputs!$D$26)*(Inputs!$F$26-Inputs!$E$26)))</f>
        <v>0.651043668941055</v>
      </c>
      <c r="P1443" s="81" t="n">
        <f aca="true">RAND()</f>
        <v>0.775307226620739</v>
      </c>
      <c r="Q1443" s="82" t="n">
        <f aca="false">IF(P1443&lt;(Inputs!$E$27-Inputs!$D$27)/(Inputs!$F$27-Inputs!$D$27),Inputs!$D$27+SQRT(P1443*(Inputs!$F$27-Inputs!$D$27)*(Inputs!$E$27-Inputs!$D$27)),Inputs!$F$27-SQRT((1-P1443)*(Inputs!$F$27-Inputs!$D$27)*(Inputs!$F$27-Inputs!$E$27)))</f>
        <v>108.948863592533</v>
      </c>
      <c r="R1443" s="81" t="n">
        <f aca="true">RAND()</f>
        <v>0.80148305117624</v>
      </c>
      <c r="S1443" s="82" t="n">
        <f aca="false">IF(R1443&lt;(Inputs!$E$29-Inputs!$D$29)/(Inputs!$F$29-Inputs!$D$29),Inputs!$D$29+SQRT(R1443*(Inputs!$F$29-Inputs!$D$29)*(Inputs!$E$29-Inputs!$D$29)),Inputs!$F$29-SQRT((1-R1443)*(Inputs!$F$29-Inputs!$D$29)*(Inputs!$F$29-Inputs!$E$29)))</f>
        <v>9.91992093101999</v>
      </c>
      <c r="T1443" s="68" t="n">
        <f aca="false">Inputs!$E$9*(1+E1443)+Inputs!$E$5*C1443*(Inputs!$E$11*Inputs!$E$14*(G1443*I1443/Inputs!$E$16+(1-G1443))*K1443+Inputs!$E$23*M1443)*(1+O1443)+Inputs!$E$5*(Q1443+S1443)</f>
        <v>6746.08659914396</v>
      </c>
    </row>
    <row r="1444" customFormat="false" ht="15" hidden="false" customHeight="false" outlineLevel="0" collapsed="false">
      <c r="A1444" s="1" t="n">
        <v>1440</v>
      </c>
      <c r="B1444" s="81" t="n">
        <f aca="true">RAND()</f>
        <v>0.061125554260184</v>
      </c>
      <c r="C1444" s="82" t="n">
        <f aca="false">ROUND(IF(B1444&lt;(Inputs!$E$8-Inputs!$D$8)/(Inputs!$F$8-Inputs!$D$8),Inputs!$D$8+SQRT(B1444*(Inputs!$F$8-Inputs!$D$8)*(Inputs!$E$8-Inputs!$D$8)),Inputs!$F$8-SQRT((1-B1444)*(Inputs!$F$8-Inputs!$D$8)*(Inputs!$F$8-Inputs!$E$8))),0)</f>
        <v>22</v>
      </c>
      <c r="D1444" s="81" t="n">
        <f aca="true">RAND()</f>
        <v>0.967504989039045</v>
      </c>
      <c r="E1444" s="83" t="n">
        <f aca="false">IF(D1444&lt;(Inputs!$E$10-Inputs!$D$10)/(Inputs!$F$10-Inputs!$D$10),Inputs!$D$10+SQRT(D1444*(Inputs!$F$10-Inputs!$D$10)*(Inputs!$E$10-Inputs!$D$10)),Inputs!$F$10-SQRT((1-D1444)*(Inputs!$F$10-Inputs!$D$10)*(Inputs!$F$10-Inputs!$E$10)))</f>
        <v>0.168777406756827</v>
      </c>
      <c r="F1444" s="81" t="n">
        <f aca="true">RAND()</f>
        <v>0.982804198429971</v>
      </c>
      <c r="G1444" s="83" t="n">
        <f aca="false">IF(F1444&lt;(Inputs!$E$15-Inputs!$D$15)/(Inputs!$F$15-Inputs!$D$15),Inputs!$D$15+SQRT(F1444*(Inputs!$F$15-Inputs!$D$15)*(Inputs!$E$15-Inputs!$D$15)),Inputs!$F$15-SQRT((1-F1444)*(Inputs!$F$15-Inputs!$D$15)*(Inputs!$F$15-Inputs!$E$15)))</f>
        <v>0.781455026788895</v>
      </c>
      <c r="H1444" s="81" t="n">
        <f aca="true">RAND()</f>
        <v>0.825862296560715</v>
      </c>
      <c r="I1444" s="82" t="n">
        <f aca="false">ROUND(IF(H1444&lt;(Inputs!$E$17-Inputs!$D$17)/(Inputs!$F$17-Inputs!$D$17),Inputs!$D$17+SQRT(H1444*(Inputs!$F$17-Inputs!$D$17)*(Inputs!$E$17-Inputs!$D$17)),Inputs!$F$17-SQRT((1-H1444)*(Inputs!$F$17-Inputs!$D$17)*(Inputs!$F$17-Inputs!$E$17))),0)</f>
        <v>110</v>
      </c>
      <c r="J1444" s="81" t="n">
        <f aca="true">RAND()</f>
        <v>0.484405361944319</v>
      </c>
      <c r="K1444" s="83" t="n">
        <f aca="false">IF(J1444&lt;(Inputs!$E$18-Inputs!$D$18)/(Inputs!$F$18-Inputs!$D$18),Inputs!$D$18+SQRT(J1444*(Inputs!$F$18-Inputs!$D$18)*(Inputs!$E$18-Inputs!$D$18)),Inputs!$F$18-SQRT((1-J1444)*(Inputs!$F$18-Inputs!$D$18)*(Inputs!$F$18-Inputs!$E$18)))</f>
        <v>1.03759818543649</v>
      </c>
      <c r="L1444" s="81" t="n">
        <f aca="true">RAND()</f>
        <v>0.799825710692106</v>
      </c>
      <c r="M1444" s="83" t="n">
        <f aca="false">IF(L1444&lt;(Inputs!$E$24-Inputs!$D$24)/(Inputs!$F$24-Inputs!$D$24),Inputs!$D$24+SQRT(L1444*(Inputs!$F$24-Inputs!$D$24)*(Inputs!$E$24-Inputs!$D$24)),Inputs!$F$24-SQRT((1-L1444)*(Inputs!$F$24-Inputs!$D$24)*(Inputs!$F$24-Inputs!$E$24)))</f>
        <v>0.980815535600959</v>
      </c>
      <c r="N1444" s="81" t="n">
        <f aca="true">RAND()</f>
        <v>0.324775560942432</v>
      </c>
      <c r="O1444" s="83" t="n">
        <f aca="false">IF(N1444&lt;(Inputs!$E$26-Inputs!$D$26)/(Inputs!$F$26-Inputs!$D$26),Inputs!$D$26+SQRT(N1444*(Inputs!$F$26-Inputs!$D$26)*(Inputs!$E$26-Inputs!$D$26)),Inputs!$F$26-SQRT((1-N1444)*(Inputs!$F$26-Inputs!$D$26)*(Inputs!$F$26-Inputs!$E$26)))</f>
        <v>0.532470758033824</v>
      </c>
      <c r="P1444" s="81" t="n">
        <f aca="true">RAND()</f>
        <v>0.251494241576101</v>
      </c>
      <c r="Q1444" s="82" t="n">
        <f aca="false">IF(P1444&lt;(Inputs!$E$27-Inputs!$D$27)/(Inputs!$F$27-Inputs!$D$27),Inputs!$D$27+SQRT(P1444*(Inputs!$F$27-Inputs!$D$27)*(Inputs!$E$27-Inputs!$D$27)),Inputs!$F$27-SQRT((1-P1444)*(Inputs!$F$27-Inputs!$D$27)*(Inputs!$F$27-Inputs!$E$27)))</f>
        <v>75.0747493285525</v>
      </c>
      <c r="R1444" s="81" t="n">
        <f aca="true">RAND()</f>
        <v>0.637737036427299</v>
      </c>
      <c r="S1444" s="82" t="n">
        <f aca="false">IF(R1444&lt;(Inputs!$E$29-Inputs!$D$29)/(Inputs!$F$29-Inputs!$D$29),Inputs!$D$29+SQRT(R1444*(Inputs!$F$29-Inputs!$D$29)*(Inputs!$E$29-Inputs!$D$29)),Inputs!$F$29-SQRT((1-R1444)*(Inputs!$F$29-Inputs!$D$29)*(Inputs!$F$29-Inputs!$E$29)))</f>
        <v>8.13747967110835</v>
      </c>
      <c r="T1444" s="68" t="n">
        <f aca="false">Inputs!$E$9*(1+E1444)+Inputs!$E$5*C1444*(Inputs!$E$11*Inputs!$E$14*(G1444*I1444/Inputs!$E$16+(1-G1444))*K1444+Inputs!$E$23*M1444)*(1+O1444)+Inputs!$E$5*(Q1444+S1444)</f>
        <v>6006.83561304496</v>
      </c>
    </row>
    <row r="1445" customFormat="false" ht="15" hidden="false" customHeight="false" outlineLevel="0" collapsed="false">
      <c r="A1445" s="1" t="n">
        <v>1441</v>
      </c>
      <c r="B1445" s="81" t="n">
        <f aca="true">RAND()</f>
        <v>0.455341624902407</v>
      </c>
      <c r="C1445" s="82" t="n">
        <f aca="false">ROUND(IF(B1445&lt;(Inputs!$E$8-Inputs!$D$8)/(Inputs!$F$8-Inputs!$D$8),Inputs!$D$8+SQRT(B1445*(Inputs!$F$8-Inputs!$D$8)*(Inputs!$E$8-Inputs!$D$8)),Inputs!$F$8-SQRT((1-B1445)*(Inputs!$F$8-Inputs!$D$8)*(Inputs!$F$8-Inputs!$E$8))),0)</f>
        <v>25</v>
      </c>
      <c r="D1445" s="81" t="n">
        <f aca="true">RAND()</f>
        <v>0.401234331463612</v>
      </c>
      <c r="E1445" s="83" t="n">
        <f aca="false">IF(D1445&lt;(Inputs!$E$10-Inputs!$D$10)/(Inputs!$F$10-Inputs!$D$10),Inputs!$D$10+SQRT(D1445*(Inputs!$F$10-Inputs!$D$10)*(Inputs!$E$10-Inputs!$D$10)),Inputs!$F$10-SQRT((1-D1445)*(Inputs!$F$10-Inputs!$D$10)*(Inputs!$F$10-Inputs!$E$10)))</f>
        <v>0.0659739948514034</v>
      </c>
      <c r="F1445" s="81" t="n">
        <f aca="true">RAND()</f>
        <v>0.221187789189666</v>
      </c>
      <c r="G1445" s="83" t="n">
        <f aca="false">IF(F1445&lt;(Inputs!$E$15-Inputs!$D$15)/(Inputs!$F$15-Inputs!$D$15),Inputs!$D$15+SQRT(F1445*(Inputs!$F$15-Inputs!$D$15)*(Inputs!$E$15-Inputs!$D$15)),Inputs!$F$15-SQRT((1-F1445)*(Inputs!$F$15-Inputs!$D$15)*(Inputs!$F$15-Inputs!$E$15)))</f>
        <v>0.666511320719057</v>
      </c>
      <c r="H1445" s="81" t="n">
        <f aca="true">RAND()</f>
        <v>0.702528821891205</v>
      </c>
      <c r="I1445" s="82" t="n">
        <f aca="false">ROUND(IF(H1445&lt;(Inputs!$E$17-Inputs!$D$17)/(Inputs!$F$17-Inputs!$D$17),Inputs!$D$17+SQRT(H1445*(Inputs!$F$17-Inputs!$D$17)*(Inputs!$E$17-Inputs!$D$17)),Inputs!$F$17-SQRT((1-H1445)*(Inputs!$F$17-Inputs!$D$17)*(Inputs!$F$17-Inputs!$E$17))),0)</f>
        <v>108</v>
      </c>
      <c r="J1445" s="81" t="n">
        <f aca="true">RAND()</f>
        <v>0.00794100947049366</v>
      </c>
      <c r="K1445" s="83" t="n">
        <f aca="false">IF(J1445&lt;(Inputs!$E$18-Inputs!$D$18)/(Inputs!$F$18-Inputs!$D$18),Inputs!$D$18+SQRT(J1445*(Inputs!$F$18-Inputs!$D$18)*(Inputs!$E$18-Inputs!$D$18)),Inputs!$F$18-SQRT((1-J1445)*(Inputs!$F$18-Inputs!$D$18)*(Inputs!$F$18-Inputs!$E$18)))</f>
        <v>0.916671392607316</v>
      </c>
      <c r="L1445" s="81" t="n">
        <f aca="true">RAND()</f>
        <v>0.808996007633502</v>
      </c>
      <c r="M1445" s="83" t="n">
        <f aca="false">IF(L1445&lt;(Inputs!$E$24-Inputs!$D$24)/(Inputs!$F$24-Inputs!$D$24),Inputs!$D$24+SQRT(L1445*(Inputs!$F$24-Inputs!$D$24)*(Inputs!$E$24-Inputs!$D$24)),Inputs!$F$24-SQRT((1-L1445)*(Inputs!$F$24-Inputs!$D$24)*(Inputs!$F$24-Inputs!$E$24)))</f>
        <v>0.985894983319027</v>
      </c>
      <c r="N1445" s="81" t="n">
        <f aca="true">RAND()</f>
        <v>0.0905537299042566</v>
      </c>
      <c r="O1445" s="83" t="n">
        <f aca="false">IF(N1445&lt;(Inputs!$E$26-Inputs!$D$26)/(Inputs!$F$26-Inputs!$D$26),Inputs!$D$26+SQRT(N1445*(Inputs!$F$26-Inputs!$D$26)*(Inputs!$E$26-Inputs!$D$26)),Inputs!$F$26-SQRT((1-N1445)*(Inputs!$F$26-Inputs!$D$26)*(Inputs!$F$26-Inputs!$E$26)))</f>
        <v>0.422752354991944</v>
      </c>
      <c r="P1445" s="81" t="n">
        <f aca="true">RAND()</f>
        <v>0.625080745352951</v>
      </c>
      <c r="Q1445" s="82" t="n">
        <f aca="false">IF(P1445&lt;(Inputs!$E$27-Inputs!$D$27)/(Inputs!$F$27-Inputs!$D$27),Inputs!$D$27+SQRT(P1445*(Inputs!$F$27-Inputs!$D$27)*(Inputs!$E$27-Inputs!$D$27)),Inputs!$F$27-SQRT((1-P1445)*(Inputs!$F$27-Inputs!$D$27)*(Inputs!$F$27-Inputs!$E$27)))</f>
        <v>96.972701277051</v>
      </c>
      <c r="R1445" s="81" t="n">
        <f aca="true">RAND()</f>
        <v>0.241762729402842</v>
      </c>
      <c r="S1445" s="82" t="n">
        <f aca="false">IF(R1445&lt;(Inputs!$E$29-Inputs!$D$29)/(Inputs!$F$29-Inputs!$D$29),Inputs!$D$29+SQRT(R1445*(Inputs!$F$29-Inputs!$D$29)*(Inputs!$E$29-Inputs!$D$29)),Inputs!$F$29-SQRT((1-R1445)*(Inputs!$F$29-Inputs!$D$29)*(Inputs!$F$29-Inputs!$E$29)))</f>
        <v>5.07171489240813</v>
      </c>
      <c r="T1445" s="68" t="n">
        <f aca="false">Inputs!$E$9*(1+E1445)+Inputs!$E$5*C1445*(Inputs!$E$11*Inputs!$E$14*(G1445*I1445/Inputs!$E$16+(1-G1445))*K1445+Inputs!$E$23*M1445)*(1+O1445)+Inputs!$E$5*(Q1445+S1445)</f>
        <v>5919.96482527548</v>
      </c>
    </row>
    <row r="1446" customFormat="false" ht="15" hidden="false" customHeight="false" outlineLevel="0" collapsed="false">
      <c r="A1446" s="1" t="n">
        <v>1442</v>
      </c>
      <c r="B1446" s="81" t="n">
        <f aca="true">RAND()</f>
        <v>0.606280696028806</v>
      </c>
      <c r="C1446" s="82" t="n">
        <f aca="false">ROUND(IF(B1446&lt;(Inputs!$E$8-Inputs!$D$8)/(Inputs!$F$8-Inputs!$D$8),Inputs!$D$8+SQRT(B1446*(Inputs!$F$8-Inputs!$D$8)*(Inputs!$E$8-Inputs!$D$8)),Inputs!$F$8-SQRT((1-B1446)*(Inputs!$F$8-Inputs!$D$8)*(Inputs!$F$8-Inputs!$E$8))),0)</f>
        <v>26</v>
      </c>
      <c r="D1446" s="81" t="n">
        <f aca="true">RAND()</f>
        <v>0.76026484760698</v>
      </c>
      <c r="E1446" s="83" t="n">
        <f aca="false">IF(D1446&lt;(Inputs!$E$10-Inputs!$D$10)/(Inputs!$F$10-Inputs!$D$10),Inputs!$D$10+SQRT(D1446*(Inputs!$F$10-Inputs!$D$10)*(Inputs!$E$10-Inputs!$D$10)),Inputs!$F$10-SQRT((1-D1446)*(Inputs!$F$10-Inputs!$D$10)*(Inputs!$F$10-Inputs!$E$10)))</f>
        <v>0.115194018065996</v>
      </c>
      <c r="F1446" s="81" t="n">
        <f aca="true">RAND()</f>
        <v>0.0106957914817229</v>
      </c>
      <c r="G1446" s="83" t="n">
        <f aca="false">IF(F1446&lt;(Inputs!$E$15-Inputs!$D$15)/(Inputs!$F$15-Inputs!$D$15),Inputs!$D$15+SQRT(F1446*(Inputs!$F$15-Inputs!$D$15)*(Inputs!$E$15-Inputs!$D$15)),Inputs!$F$15-SQRT((1-F1446)*(Inputs!$F$15-Inputs!$D$15)*(Inputs!$F$15-Inputs!$E$15)))</f>
        <v>0.614625861671521</v>
      </c>
      <c r="H1446" s="81" t="n">
        <f aca="true">RAND()</f>
        <v>0.020304870994688</v>
      </c>
      <c r="I1446" s="82" t="n">
        <f aca="false">ROUND(IF(H1446&lt;(Inputs!$E$17-Inputs!$D$17)/(Inputs!$F$17-Inputs!$D$17),Inputs!$D$17+SQRT(H1446*(Inputs!$F$17-Inputs!$D$17)*(Inputs!$E$17-Inputs!$D$17)),Inputs!$F$17-SQRT((1-H1446)*(Inputs!$F$17-Inputs!$D$17)*(Inputs!$F$17-Inputs!$E$17))),0)</f>
        <v>101</v>
      </c>
      <c r="J1446" s="81" t="n">
        <f aca="true">RAND()</f>
        <v>0.0268459828227283</v>
      </c>
      <c r="K1446" s="83" t="n">
        <f aca="false">IF(J1446&lt;(Inputs!$E$18-Inputs!$D$18)/(Inputs!$F$18-Inputs!$D$18),Inputs!$D$18+SQRT(J1446*(Inputs!$F$18-Inputs!$D$18)*(Inputs!$E$18-Inputs!$D$18)),Inputs!$F$18-SQRT((1-J1446)*(Inputs!$F$18-Inputs!$D$18)*(Inputs!$F$18-Inputs!$E$18)))</f>
        <v>0.930653048768361</v>
      </c>
      <c r="L1446" s="81" t="n">
        <f aca="true">RAND()</f>
        <v>0.471218906297031</v>
      </c>
      <c r="M1446" s="83" t="n">
        <f aca="false">IF(L1446&lt;(Inputs!$E$24-Inputs!$D$24)/(Inputs!$F$24-Inputs!$D$24),Inputs!$D$24+SQRT(L1446*(Inputs!$F$24-Inputs!$D$24)*(Inputs!$E$24-Inputs!$D$24)),Inputs!$F$24-SQRT((1-L1446)*(Inputs!$F$24-Inputs!$D$24)*(Inputs!$F$24-Inputs!$E$24)))</f>
        <v>0.84375926329417</v>
      </c>
      <c r="N1446" s="81" t="n">
        <f aca="true">RAND()</f>
        <v>0.111327604225499</v>
      </c>
      <c r="O1446" s="83" t="n">
        <f aca="false">IF(N1446&lt;(Inputs!$E$26-Inputs!$D$26)/(Inputs!$F$26-Inputs!$D$26),Inputs!$D$26+SQRT(N1446*(Inputs!$F$26-Inputs!$D$26)*(Inputs!$E$26-Inputs!$D$26)),Inputs!$F$26-SQRT((1-N1446)*(Inputs!$F$26-Inputs!$D$26)*(Inputs!$F$26-Inputs!$E$26)))</f>
        <v>0.436106257545798</v>
      </c>
      <c r="P1446" s="81" t="n">
        <f aca="true">RAND()</f>
        <v>0.856479419924389</v>
      </c>
      <c r="Q1446" s="82" t="n">
        <f aca="false">IF(P1446&lt;(Inputs!$E$27-Inputs!$D$27)/(Inputs!$F$27-Inputs!$D$27),Inputs!$D$27+SQRT(P1446*(Inputs!$F$27-Inputs!$D$27)*(Inputs!$E$27-Inputs!$D$27)),Inputs!$F$27-SQRT((1-P1446)*(Inputs!$F$27-Inputs!$D$27)*(Inputs!$F$27-Inputs!$E$27)))</f>
        <v>117.191398222919</v>
      </c>
      <c r="R1446" s="81" t="n">
        <f aca="true">RAND()</f>
        <v>0.773468071685689</v>
      </c>
      <c r="S1446" s="82" t="n">
        <f aca="false">IF(R1446&lt;(Inputs!$E$29-Inputs!$D$29)/(Inputs!$F$29-Inputs!$D$29),Inputs!$D$29+SQRT(R1446*(Inputs!$F$29-Inputs!$D$29)*(Inputs!$E$29-Inputs!$D$29)),Inputs!$F$29-SQRT((1-R1446)*(Inputs!$F$29-Inputs!$D$29)*(Inputs!$F$29-Inputs!$E$29)))</f>
        <v>9.57329283258619</v>
      </c>
      <c r="T1446" s="68" t="n">
        <f aca="false">Inputs!$E$9*(1+E1446)+Inputs!$E$5*C1446*(Inputs!$E$11*Inputs!$E$14*(G1446*I1446/Inputs!$E$16+(1-G1446))*K1446+Inputs!$E$23*M1446)*(1+O1446)+Inputs!$E$5*(Q1446+S1446)</f>
        <v>6139.74804772497</v>
      </c>
    </row>
    <row r="1447" customFormat="false" ht="15" hidden="false" customHeight="false" outlineLevel="0" collapsed="false">
      <c r="A1447" s="1" t="n">
        <v>1443</v>
      </c>
      <c r="B1447" s="81" t="n">
        <f aca="true">RAND()</f>
        <v>0.555715789785672</v>
      </c>
      <c r="C1447" s="82" t="n">
        <f aca="false">ROUND(IF(B1447&lt;(Inputs!$E$8-Inputs!$D$8)/(Inputs!$F$8-Inputs!$D$8),Inputs!$D$8+SQRT(B1447*(Inputs!$F$8-Inputs!$D$8)*(Inputs!$E$8-Inputs!$D$8)),Inputs!$F$8-SQRT((1-B1447)*(Inputs!$F$8-Inputs!$D$8)*(Inputs!$F$8-Inputs!$E$8))),0)</f>
        <v>25</v>
      </c>
      <c r="D1447" s="81" t="n">
        <f aca="true">RAND()</f>
        <v>0.352365934806249</v>
      </c>
      <c r="E1447" s="83" t="n">
        <f aca="false">IF(D1447&lt;(Inputs!$E$10-Inputs!$D$10)/(Inputs!$F$10-Inputs!$D$10),Inputs!$D$10+SQRT(D1447*(Inputs!$F$10-Inputs!$D$10)*(Inputs!$E$10-Inputs!$D$10)),Inputs!$F$10-SQRT((1-D1447)*(Inputs!$F$10-Inputs!$D$10)*(Inputs!$F$10-Inputs!$E$10)))</f>
        <v>0.0606119734130204</v>
      </c>
      <c r="F1447" s="81" t="n">
        <f aca="true">RAND()</f>
        <v>0.245849553113824</v>
      </c>
      <c r="G1447" s="83" t="n">
        <f aca="false">IF(F1447&lt;(Inputs!$E$15-Inputs!$D$15)/(Inputs!$F$15-Inputs!$D$15),Inputs!$D$15+SQRT(F1447*(Inputs!$F$15-Inputs!$D$15)*(Inputs!$E$15-Inputs!$D$15)),Inputs!$F$15-SQRT((1-F1447)*(Inputs!$F$15-Inputs!$D$15)*(Inputs!$F$15-Inputs!$E$15)))</f>
        <v>0.670121259702579</v>
      </c>
      <c r="H1447" s="81" t="n">
        <f aca="true">RAND()</f>
        <v>0.946472294752836</v>
      </c>
      <c r="I1447" s="82" t="n">
        <f aca="false">ROUND(IF(H1447&lt;(Inputs!$E$17-Inputs!$D$17)/(Inputs!$F$17-Inputs!$D$17),Inputs!$D$17+SQRT(H1447*(Inputs!$F$17-Inputs!$D$17)*(Inputs!$E$17-Inputs!$D$17)),Inputs!$F$17-SQRT((1-H1447)*(Inputs!$F$17-Inputs!$D$17)*(Inputs!$F$17-Inputs!$E$17))),0)</f>
        <v>112</v>
      </c>
      <c r="J1447" s="81" t="n">
        <f aca="true">RAND()</f>
        <v>0.619821107182425</v>
      </c>
      <c r="K1447" s="83" t="n">
        <f aca="false">IF(J1447&lt;(Inputs!$E$18-Inputs!$D$18)/(Inputs!$F$18-Inputs!$D$18),Inputs!$D$18+SQRT(J1447*(Inputs!$F$18-Inputs!$D$18)*(Inputs!$E$18-Inputs!$D$18)),Inputs!$F$18-SQRT((1-J1447)*(Inputs!$F$18-Inputs!$D$18)*(Inputs!$F$18-Inputs!$E$18)))</f>
        <v>1.06761125823797</v>
      </c>
      <c r="L1447" s="81" t="n">
        <f aca="true">RAND()</f>
        <v>0.218853118946674</v>
      </c>
      <c r="M1447" s="83" t="n">
        <f aca="false">IF(L1447&lt;(Inputs!$E$24-Inputs!$D$24)/(Inputs!$F$24-Inputs!$D$24),Inputs!$D$24+SQRT(L1447*(Inputs!$F$24-Inputs!$D$24)*(Inputs!$E$24-Inputs!$D$24)),Inputs!$F$24-SQRT((1-L1447)*(Inputs!$F$24-Inputs!$D$24)*(Inputs!$F$24-Inputs!$E$24)))</f>
        <v>0.762056700798211</v>
      </c>
      <c r="N1447" s="81" t="n">
        <f aca="true">RAND()</f>
        <v>0.209765393242013</v>
      </c>
      <c r="O1447" s="83" t="n">
        <f aca="false">IF(N1447&lt;(Inputs!$E$26-Inputs!$D$26)/(Inputs!$F$26-Inputs!$D$26),Inputs!$D$26+SQRT(N1447*(Inputs!$F$26-Inputs!$D$26)*(Inputs!$E$26-Inputs!$D$26)),Inputs!$F$26-SQRT((1-N1447)*(Inputs!$F$26-Inputs!$D$26)*(Inputs!$F$26-Inputs!$E$26)))</f>
        <v>0.486828695428381</v>
      </c>
      <c r="P1447" s="81" t="n">
        <f aca="true">RAND()</f>
        <v>0.409721770149071</v>
      </c>
      <c r="Q1447" s="82" t="n">
        <f aca="false">IF(P1447&lt;(Inputs!$E$27-Inputs!$D$27)/(Inputs!$F$27-Inputs!$D$27),Inputs!$D$27+SQRT(P1447*(Inputs!$F$27-Inputs!$D$27)*(Inputs!$E$27-Inputs!$D$27)),Inputs!$F$27-SQRT((1-P1447)*(Inputs!$F$27-Inputs!$D$27)*(Inputs!$F$27-Inputs!$E$27)))</f>
        <v>83.4636435932808</v>
      </c>
      <c r="R1447" s="81" t="n">
        <f aca="true">RAND()</f>
        <v>0.121323237052023</v>
      </c>
      <c r="S1447" s="82" t="n">
        <f aca="false">IF(R1447&lt;(Inputs!$E$29-Inputs!$D$29)/(Inputs!$F$29-Inputs!$D$29),Inputs!$D$29+SQRT(R1447*(Inputs!$F$29-Inputs!$D$29)*(Inputs!$E$29-Inputs!$D$29)),Inputs!$F$29-SQRT((1-R1447)*(Inputs!$F$29-Inputs!$D$29)*(Inputs!$F$29-Inputs!$E$29)))</f>
        <v>4.17522556187373</v>
      </c>
      <c r="T1447" s="68" t="n">
        <f aca="false">Inputs!$E$9*(1+E1447)+Inputs!$E$5*C1447*(Inputs!$E$11*Inputs!$E$14*(G1447*I1447/Inputs!$E$16+(1-G1447))*K1447+Inputs!$E$23*M1447)*(1+O1447)+Inputs!$E$5*(Q1447+S1447)</f>
        <v>6029.43749412841</v>
      </c>
    </row>
    <row r="1448" customFormat="false" ht="15" hidden="false" customHeight="false" outlineLevel="0" collapsed="false">
      <c r="A1448" s="1" t="n">
        <v>1444</v>
      </c>
      <c r="B1448" s="81" t="n">
        <f aca="true">RAND()</f>
        <v>0.573362994675109</v>
      </c>
      <c r="C1448" s="82" t="n">
        <f aca="false">ROUND(IF(B1448&lt;(Inputs!$E$8-Inputs!$D$8)/(Inputs!$F$8-Inputs!$D$8),Inputs!$D$8+SQRT(B1448*(Inputs!$F$8-Inputs!$D$8)*(Inputs!$E$8-Inputs!$D$8)),Inputs!$F$8-SQRT((1-B1448)*(Inputs!$F$8-Inputs!$D$8)*(Inputs!$F$8-Inputs!$E$8))),0)</f>
        <v>25</v>
      </c>
      <c r="D1448" s="81" t="n">
        <f aca="true">RAND()</f>
        <v>0.574306413867019</v>
      </c>
      <c r="E1448" s="83" t="n">
        <f aca="false">IF(D1448&lt;(Inputs!$E$10-Inputs!$D$10)/(Inputs!$F$10-Inputs!$D$10),Inputs!$D$10+SQRT(D1448*(Inputs!$F$10-Inputs!$D$10)*(Inputs!$E$10-Inputs!$D$10)),Inputs!$F$10-SQRT((1-D1448)*(Inputs!$F$10-Inputs!$D$10)*(Inputs!$F$10-Inputs!$E$10)))</f>
        <v>0.0869920021237902</v>
      </c>
      <c r="F1448" s="81" t="n">
        <f aca="true">RAND()</f>
        <v>0.688076609715511</v>
      </c>
      <c r="G1448" s="83" t="n">
        <f aca="false">IF(F1448&lt;(Inputs!$E$15-Inputs!$D$15)/(Inputs!$F$15-Inputs!$D$15),Inputs!$D$15+SQRT(F1448*(Inputs!$F$15-Inputs!$D$15)*(Inputs!$E$15-Inputs!$D$15)),Inputs!$F$15-SQRT((1-F1448)*(Inputs!$F$15-Inputs!$D$15)*(Inputs!$F$15-Inputs!$E$15)))</f>
        <v>0.721016028172231</v>
      </c>
      <c r="H1448" s="81" t="n">
        <f aca="true">RAND()</f>
        <v>0.385040501215379</v>
      </c>
      <c r="I1448" s="82" t="n">
        <f aca="false">ROUND(IF(H1448&lt;(Inputs!$E$17-Inputs!$D$17)/(Inputs!$F$17-Inputs!$D$17),Inputs!$D$17+SQRT(H1448*(Inputs!$F$17-Inputs!$D$17)*(Inputs!$E$17-Inputs!$D$17)),Inputs!$F$17-SQRT((1-H1448)*(Inputs!$F$17-Inputs!$D$17)*(Inputs!$F$17-Inputs!$E$17))),0)</f>
        <v>105</v>
      </c>
      <c r="J1448" s="81" t="n">
        <f aca="true">RAND()</f>
        <v>0.784201890077797</v>
      </c>
      <c r="K1448" s="83" t="n">
        <f aca="false">IF(J1448&lt;(Inputs!$E$18-Inputs!$D$18)/(Inputs!$F$18-Inputs!$D$18),Inputs!$D$18+SQRT(J1448*(Inputs!$F$18-Inputs!$D$18)*(Inputs!$E$18-Inputs!$D$18)),Inputs!$F$18-SQRT((1-J1448)*(Inputs!$F$18-Inputs!$D$18)*(Inputs!$F$18-Inputs!$E$18)))</f>
        <v>1.11258699254367</v>
      </c>
      <c r="L1448" s="81" t="n">
        <f aca="true">RAND()</f>
        <v>0.60378723737433</v>
      </c>
      <c r="M1448" s="83" t="n">
        <f aca="false">IF(L1448&lt;(Inputs!$E$24-Inputs!$D$24)/(Inputs!$F$24-Inputs!$D$24),Inputs!$D$24+SQRT(L1448*(Inputs!$F$24-Inputs!$D$24)*(Inputs!$E$24-Inputs!$D$24)),Inputs!$F$24-SQRT((1-L1448)*(Inputs!$F$24-Inputs!$D$24)*(Inputs!$F$24-Inputs!$E$24)))</f>
        <v>0.891631611493395</v>
      </c>
      <c r="N1448" s="81" t="n">
        <f aca="true">RAND()</f>
        <v>0.428400301755983</v>
      </c>
      <c r="O1448" s="83" t="n">
        <f aca="false">IF(N1448&lt;(Inputs!$E$26-Inputs!$D$26)/(Inputs!$F$26-Inputs!$D$26),Inputs!$D$26+SQRT(N1448*(Inputs!$F$26-Inputs!$D$26)*(Inputs!$E$26-Inputs!$D$26)),Inputs!$F$26-SQRT((1-N1448)*(Inputs!$F$26-Inputs!$D$26)*(Inputs!$F$26-Inputs!$E$26)))</f>
        <v>0.566994026547778</v>
      </c>
      <c r="P1448" s="81" t="n">
        <f aca="true">RAND()</f>
        <v>0.622312773742008</v>
      </c>
      <c r="Q1448" s="82" t="n">
        <f aca="false">IF(P1448&lt;(Inputs!$E$27-Inputs!$D$27)/(Inputs!$F$27-Inputs!$D$27),Inputs!$D$27+SQRT(P1448*(Inputs!$F$27-Inputs!$D$27)*(Inputs!$E$27-Inputs!$D$27)),Inputs!$F$27-SQRT((1-P1448)*(Inputs!$F$27-Inputs!$D$27)*(Inputs!$F$27-Inputs!$E$27)))</f>
        <v>96.777315015729</v>
      </c>
      <c r="R1448" s="81" t="n">
        <f aca="true">RAND()</f>
        <v>0.123703099035466</v>
      </c>
      <c r="S1448" s="82" t="n">
        <f aca="false">IF(R1448&lt;(Inputs!$E$29-Inputs!$D$29)/(Inputs!$F$29-Inputs!$D$29),Inputs!$D$29+SQRT(R1448*(Inputs!$F$29-Inputs!$D$29)*(Inputs!$E$29-Inputs!$D$29)),Inputs!$F$29-SQRT((1-R1448)*(Inputs!$F$29-Inputs!$D$29)*(Inputs!$F$29-Inputs!$E$29)))</f>
        <v>4.19645643307196</v>
      </c>
      <c r="T1448" s="68" t="n">
        <f aca="false">Inputs!$E$9*(1+E1448)+Inputs!$E$5*C1448*(Inputs!$E$11*Inputs!$E$14*(G1448*I1448/Inputs!$E$16+(1-G1448))*K1448+Inputs!$E$23*M1448)*(1+O1448)+Inputs!$E$5*(Q1448+S1448)</f>
        <v>6451.59903267585</v>
      </c>
    </row>
    <row r="1449" customFormat="false" ht="15" hidden="false" customHeight="false" outlineLevel="0" collapsed="false">
      <c r="A1449" s="1" t="n">
        <v>1445</v>
      </c>
      <c r="B1449" s="81" t="n">
        <f aca="true">RAND()</f>
        <v>0.278485933696789</v>
      </c>
      <c r="C1449" s="82" t="n">
        <f aca="false">ROUND(IF(B1449&lt;(Inputs!$E$8-Inputs!$D$8)/(Inputs!$F$8-Inputs!$D$8),Inputs!$D$8+SQRT(B1449*(Inputs!$F$8-Inputs!$D$8)*(Inputs!$E$8-Inputs!$D$8)),Inputs!$F$8-SQRT((1-B1449)*(Inputs!$F$8-Inputs!$D$8)*(Inputs!$F$8-Inputs!$E$8))),0)</f>
        <v>24</v>
      </c>
      <c r="D1449" s="81" t="n">
        <f aca="true">RAND()</f>
        <v>0.933429825446219</v>
      </c>
      <c r="E1449" s="83" t="n">
        <f aca="false">IF(D1449&lt;(Inputs!$E$10-Inputs!$D$10)/(Inputs!$F$10-Inputs!$D$10),Inputs!$D$10+SQRT(D1449*(Inputs!$F$10-Inputs!$D$10)*(Inputs!$E$10-Inputs!$D$10)),Inputs!$F$10-SQRT((1-D1449)*(Inputs!$F$10-Inputs!$D$10)*(Inputs!$F$10-Inputs!$E$10)))</f>
        <v>0.155311016607967</v>
      </c>
      <c r="F1449" s="81" t="n">
        <f aca="true">RAND()</f>
        <v>0.742258931389223</v>
      </c>
      <c r="G1449" s="83" t="n">
        <f aca="false">IF(F1449&lt;(Inputs!$E$15-Inputs!$D$15)/(Inputs!$F$15-Inputs!$D$15),Inputs!$D$15+SQRT(F1449*(Inputs!$F$15-Inputs!$D$15)*(Inputs!$E$15-Inputs!$D$15)),Inputs!$F$15-SQRT((1-F1449)*(Inputs!$F$15-Inputs!$D$15)*(Inputs!$F$15-Inputs!$E$15)))</f>
        <v>0.728202915294453</v>
      </c>
      <c r="H1449" s="81" t="n">
        <f aca="true">RAND()</f>
        <v>0.855372947086199</v>
      </c>
      <c r="I1449" s="82" t="n">
        <f aca="false">ROUND(IF(H1449&lt;(Inputs!$E$17-Inputs!$D$17)/(Inputs!$F$17-Inputs!$D$17),Inputs!$D$17+SQRT(H1449*(Inputs!$F$17-Inputs!$D$17)*(Inputs!$E$17-Inputs!$D$17)),Inputs!$F$17-SQRT((1-H1449)*(Inputs!$F$17-Inputs!$D$17)*(Inputs!$F$17-Inputs!$E$17))),0)</f>
        <v>110</v>
      </c>
      <c r="J1449" s="81" t="n">
        <f aca="true">RAND()</f>
        <v>0.964212893897165</v>
      </c>
      <c r="K1449" s="83" t="n">
        <f aca="false">IF(J1449&lt;(Inputs!$E$18-Inputs!$D$18)/(Inputs!$F$18-Inputs!$D$18),Inputs!$D$18+SQRT(J1449*(Inputs!$F$18-Inputs!$D$18)*(Inputs!$E$18-Inputs!$D$18)),Inputs!$F$18-SQRT((1-J1449)*(Inputs!$F$18-Inputs!$D$18)*(Inputs!$F$18-Inputs!$E$18)))</f>
        <v>1.19404133861503</v>
      </c>
      <c r="L1449" s="81" t="n">
        <f aca="true">RAND()</f>
        <v>0.0831070425166504</v>
      </c>
      <c r="M1449" s="83" t="n">
        <f aca="false">IF(L1449&lt;(Inputs!$E$24-Inputs!$D$24)/(Inputs!$F$24-Inputs!$D$24),Inputs!$D$24+SQRT(L1449*(Inputs!$F$24-Inputs!$D$24)*(Inputs!$E$24-Inputs!$D$24)),Inputs!$F$24-SQRT((1-L1449)*(Inputs!$F$24-Inputs!$D$24)*(Inputs!$F$24-Inputs!$E$24)))</f>
        <v>0.699864133211069</v>
      </c>
      <c r="N1449" s="81" t="n">
        <f aca="true">RAND()</f>
        <v>0.63195633122034</v>
      </c>
      <c r="O1449" s="83" t="n">
        <f aca="false">IF(N1449&lt;(Inputs!$E$26-Inputs!$D$26)/(Inputs!$F$26-Inputs!$D$26),Inputs!$D$26+SQRT(N1449*(Inputs!$F$26-Inputs!$D$26)*(Inputs!$E$26-Inputs!$D$26)),Inputs!$F$26-SQRT((1-N1449)*(Inputs!$F$26-Inputs!$D$26)*(Inputs!$F$26-Inputs!$E$26)))</f>
        <v>0.624356084804345</v>
      </c>
      <c r="P1449" s="81" t="n">
        <f aca="true">RAND()</f>
        <v>0.852610988534139</v>
      </c>
      <c r="Q1449" s="82" t="n">
        <f aca="false">IF(P1449&lt;(Inputs!$E$27-Inputs!$D$27)/(Inputs!$F$27-Inputs!$D$27),Inputs!$D$27+SQRT(P1449*(Inputs!$F$27-Inputs!$D$27)*(Inputs!$E$27-Inputs!$D$27)),Inputs!$F$27-SQRT((1-P1449)*(Inputs!$F$27-Inputs!$D$27)*(Inputs!$F$27-Inputs!$E$27)))</f>
        <v>116.7521792294</v>
      </c>
      <c r="R1449" s="81" t="n">
        <f aca="true">RAND()</f>
        <v>0.322854381904285</v>
      </c>
      <c r="S1449" s="82" t="n">
        <f aca="false">IF(R1449&lt;(Inputs!$E$29-Inputs!$D$29)/(Inputs!$F$29-Inputs!$D$29),Inputs!$D$29+SQRT(R1449*(Inputs!$F$29-Inputs!$D$29)*(Inputs!$E$29-Inputs!$D$29)),Inputs!$F$29-SQRT((1-R1449)*(Inputs!$F$29-Inputs!$D$29)*(Inputs!$F$29-Inputs!$E$29)))</f>
        <v>5.61762661410009</v>
      </c>
      <c r="T1449" s="68" t="n">
        <f aca="false">Inputs!$E$9*(1+E1449)+Inputs!$E$5*C1449*(Inputs!$E$11*Inputs!$E$14*(G1449*I1449/Inputs!$E$16+(1-G1449))*K1449+Inputs!$E$23*M1449)*(1+O1449)+Inputs!$E$5*(Q1449+S1449)</f>
        <v>6652.79481110766</v>
      </c>
    </row>
    <row r="1450" customFormat="false" ht="15" hidden="false" customHeight="false" outlineLevel="0" collapsed="false">
      <c r="A1450" s="1" t="n">
        <v>1446</v>
      </c>
      <c r="B1450" s="81" t="n">
        <f aca="true">RAND()</f>
        <v>0.785810301754288</v>
      </c>
      <c r="C1450" s="82" t="n">
        <f aca="false">ROUND(IF(B1450&lt;(Inputs!$E$8-Inputs!$D$8)/(Inputs!$F$8-Inputs!$D$8),Inputs!$D$8+SQRT(B1450*(Inputs!$F$8-Inputs!$D$8)*(Inputs!$E$8-Inputs!$D$8)),Inputs!$F$8-SQRT((1-B1450)*(Inputs!$F$8-Inputs!$D$8)*(Inputs!$F$8-Inputs!$E$8))),0)</f>
        <v>27</v>
      </c>
      <c r="D1450" s="81" t="n">
        <f aca="true">RAND()</f>
        <v>0.550529180251474</v>
      </c>
      <c r="E1450" s="83" t="n">
        <f aca="false">IF(D1450&lt;(Inputs!$E$10-Inputs!$D$10)/(Inputs!$F$10-Inputs!$D$10),Inputs!$D$10+SQRT(D1450*(Inputs!$F$10-Inputs!$D$10)*(Inputs!$E$10-Inputs!$D$10)),Inputs!$F$10-SQRT((1-D1450)*(Inputs!$F$10-Inputs!$D$10)*(Inputs!$F$10-Inputs!$E$10)))</f>
        <v>0.0838788365867109</v>
      </c>
      <c r="F1450" s="81" t="n">
        <f aca="true">RAND()</f>
        <v>0.0523241787364826</v>
      </c>
      <c r="G1450" s="83" t="n">
        <f aca="false">IF(F1450&lt;(Inputs!$E$15-Inputs!$D$15)/(Inputs!$F$15-Inputs!$D$15),Inputs!$D$15+SQRT(F1450*(Inputs!$F$15-Inputs!$D$15)*(Inputs!$E$15-Inputs!$D$15)),Inputs!$F$15-SQRT((1-F1450)*(Inputs!$F$15-Inputs!$D$15)*(Inputs!$F$15-Inputs!$E$15)))</f>
        <v>0.632349398367352</v>
      </c>
      <c r="H1450" s="81" t="n">
        <f aca="true">RAND()</f>
        <v>0.684659088772876</v>
      </c>
      <c r="I1450" s="82" t="n">
        <f aca="false">ROUND(IF(H1450&lt;(Inputs!$E$17-Inputs!$D$17)/(Inputs!$F$17-Inputs!$D$17),Inputs!$D$17+SQRT(H1450*(Inputs!$F$17-Inputs!$D$17)*(Inputs!$E$17-Inputs!$D$17)),Inputs!$F$17-SQRT((1-H1450)*(Inputs!$F$17-Inputs!$D$17)*(Inputs!$F$17-Inputs!$E$17))),0)</f>
        <v>108</v>
      </c>
      <c r="J1450" s="81" t="n">
        <f aca="true">RAND()</f>
        <v>0.538576072225155</v>
      </c>
      <c r="K1450" s="83" t="n">
        <f aca="false">IF(J1450&lt;(Inputs!$E$18-Inputs!$D$18)/(Inputs!$F$18-Inputs!$D$18),Inputs!$D$18+SQRT(J1450*(Inputs!$F$18-Inputs!$D$18)*(Inputs!$E$18-Inputs!$D$18)),Inputs!$F$18-SQRT((1-J1450)*(Inputs!$F$18-Inputs!$D$18)*(Inputs!$F$18-Inputs!$E$18)))</f>
        <v>1.04906569809936</v>
      </c>
      <c r="L1450" s="81" t="n">
        <f aca="true">RAND()</f>
        <v>0.480125782043453</v>
      </c>
      <c r="M1450" s="83" t="n">
        <f aca="false">IF(L1450&lt;(Inputs!$E$24-Inputs!$D$24)/(Inputs!$F$24-Inputs!$D$24),Inputs!$D$24+SQRT(L1450*(Inputs!$F$24-Inputs!$D$24)*(Inputs!$E$24-Inputs!$D$24)),Inputs!$F$24-SQRT((1-L1450)*(Inputs!$F$24-Inputs!$D$24)*(Inputs!$F$24-Inputs!$E$24)))</f>
        <v>0.846772293966666</v>
      </c>
      <c r="N1450" s="81" t="n">
        <f aca="true">RAND()</f>
        <v>0.644025165255431</v>
      </c>
      <c r="O1450" s="83" t="n">
        <f aca="false">IF(N1450&lt;(Inputs!$E$26-Inputs!$D$26)/(Inputs!$F$26-Inputs!$D$26),Inputs!$D$26+SQRT(N1450*(Inputs!$F$26-Inputs!$D$26)*(Inputs!$E$26-Inputs!$D$26)),Inputs!$F$26-SQRT((1-N1450)*(Inputs!$F$26-Inputs!$D$26)*(Inputs!$F$26-Inputs!$E$26)))</f>
        <v>0.627590585434508</v>
      </c>
      <c r="P1450" s="81" t="n">
        <f aca="true">RAND()</f>
        <v>0.908174463789464</v>
      </c>
      <c r="Q1450" s="82" t="n">
        <f aca="false">IF(P1450&lt;(Inputs!$E$27-Inputs!$D$27)/(Inputs!$F$27-Inputs!$D$27),Inputs!$D$27+SQRT(P1450*(Inputs!$F$27-Inputs!$D$27)*(Inputs!$E$27-Inputs!$D$27)),Inputs!$F$27-SQRT((1-P1450)*(Inputs!$F$27-Inputs!$D$27)*(Inputs!$F$27-Inputs!$E$27)))</f>
        <v>123.757067206979</v>
      </c>
      <c r="R1450" s="81" t="n">
        <f aca="true">RAND()</f>
        <v>0.172702929218197</v>
      </c>
      <c r="S1450" s="82" t="n">
        <f aca="false">IF(R1450&lt;(Inputs!$E$29-Inputs!$D$29)/(Inputs!$F$29-Inputs!$D$29),Inputs!$D$29+SQRT(R1450*(Inputs!$F$29-Inputs!$D$29)*(Inputs!$E$29-Inputs!$D$29)),Inputs!$F$29-SQRT((1-R1450)*(Inputs!$F$29-Inputs!$D$29)*(Inputs!$F$29-Inputs!$E$29)))</f>
        <v>4.59526766240203</v>
      </c>
      <c r="T1450" s="68" t="n">
        <f aca="false">Inputs!$E$9*(1+E1450)+Inputs!$E$5*C1450*(Inputs!$E$11*Inputs!$E$14*(G1450*I1450/Inputs!$E$16+(1-G1450))*K1450+Inputs!$E$23*M1450)*(1+O1450)+Inputs!$E$5*(Q1450+S1450)</f>
        <v>6968.86317856455</v>
      </c>
    </row>
    <row r="1451" customFormat="false" ht="15" hidden="false" customHeight="false" outlineLevel="0" collapsed="false">
      <c r="A1451" s="1" t="n">
        <v>1447</v>
      </c>
      <c r="B1451" s="81" t="n">
        <f aca="true">RAND()</f>
        <v>0.911642712692418</v>
      </c>
      <c r="C1451" s="82" t="n">
        <f aca="false">ROUND(IF(B1451&lt;(Inputs!$E$8-Inputs!$D$8)/(Inputs!$F$8-Inputs!$D$8),Inputs!$D$8+SQRT(B1451*(Inputs!$F$8-Inputs!$D$8)*(Inputs!$E$8-Inputs!$D$8)),Inputs!$F$8-SQRT((1-B1451)*(Inputs!$F$8-Inputs!$D$8)*(Inputs!$F$8-Inputs!$E$8))),0)</f>
        <v>28</v>
      </c>
      <c r="D1451" s="81" t="n">
        <f aca="true">RAND()</f>
        <v>0.534523635723678</v>
      </c>
      <c r="E1451" s="83" t="n">
        <f aca="false">IF(D1451&lt;(Inputs!$E$10-Inputs!$D$10)/(Inputs!$F$10-Inputs!$D$10),Inputs!$D$10+SQRT(D1451*(Inputs!$F$10-Inputs!$D$10)*(Inputs!$E$10-Inputs!$D$10)),Inputs!$F$10-SQRT((1-D1451)*(Inputs!$F$10-Inputs!$D$10)*(Inputs!$F$10-Inputs!$E$10)))</f>
        <v>0.0818293990525153</v>
      </c>
      <c r="F1451" s="81" t="n">
        <f aca="true">RAND()</f>
        <v>0.765968571459744</v>
      </c>
      <c r="G1451" s="83" t="n">
        <f aca="false">IF(F1451&lt;(Inputs!$E$15-Inputs!$D$15)/(Inputs!$F$15-Inputs!$D$15),Inputs!$D$15+SQRT(F1451*(Inputs!$F$15-Inputs!$D$15)*(Inputs!$E$15-Inputs!$D$15)),Inputs!$F$15-SQRT((1-F1451)*(Inputs!$F$15-Inputs!$D$15)*(Inputs!$F$15-Inputs!$E$15)))</f>
        <v>0.731584880539422</v>
      </c>
      <c r="H1451" s="81" t="n">
        <f aca="true">RAND()</f>
        <v>0.275523903791423</v>
      </c>
      <c r="I1451" s="82" t="n">
        <f aca="false">ROUND(IF(H1451&lt;(Inputs!$E$17-Inputs!$D$17)/(Inputs!$F$17-Inputs!$D$17),Inputs!$D$17+SQRT(H1451*(Inputs!$F$17-Inputs!$D$17)*(Inputs!$E$17-Inputs!$D$17)),Inputs!$F$17-SQRT((1-H1451)*(Inputs!$F$17-Inputs!$D$17)*(Inputs!$F$17-Inputs!$E$17))),0)</f>
        <v>105</v>
      </c>
      <c r="J1451" s="81" t="n">
        <f aca="true">RAND()</f>
        <v>0.77136118678034</v>
      </c>
      <c r="K1451" s="83" t="n">
        <f aca="false">IF(J1451&lt;(Inputs!$E$18-Inputs!$D$18)/(Inputs!$F$18-Inputs!$D$18),Inputs!$D$18+SQRT(J1451*(Inputs!$F$18-Inputs!$D$18)*(Inputs!$E$18-Inputs!$D$18)),Inputs!$F$18-SQRT((1-J1451)*(Inputs!$F$18-Inputs!$D$18)*(Inputs!$F$18-Inputs!$E$18)))</f>
        <v>1.10855779923686</v>
      </c>
      <c r="L1451" s="81" t="n">
        <f aca="true">RAND()</f>
        <v>0.944950699228667</v>
      </c>
      <c r="M1451" s="83" t="n">
        <f aca="false">IF(L1451&lt;(Inputs!$E$24-Inputs!$D$24)/(Inputs!$F$24-Inputs!$D$24),Inputs!$D$24+SQRT(L1451*(Inputs!$F$24-Inputs!$D$24)*(Inputs!$E$24-Inputs!$D$24)),Inputs!$F$24-SQRT((1-L1451)*(Inputs!$F$24-Inputs!$D$24)*(Inputs!$F$24-Inputs!$E$24)))</f>
        <v>1.0850572656271</v>
      </c>
      <c r="N1451" s="81" t="n">
        <f aca="true">RAND()</f>
        <v>0.986887889608043</v>
      </c>
      <c r="O1451" s="83" t="n">
        <f aca="false">IF(N1451&lt;(Inputs!$E$26-Inputs!$D$26)/(Inputs!$F$26-Inputs!$D$26),Inputs!$D$26+SQRT(N1451*(Inputs!$F$26-Inputs!$D$26)*(Inputs!$E$26-Inputs!$D$26)),Inputs!$F$26-SQRT((1-N1451)*(Inputs!$F$26-Inputs!$D$26)*(Inputs!$F$26-Inputs!$E$26)))</f>
        <v>0.783072239700146</v>
      </c>
      <c r="P1451" s="81" t="n">
        <f aca="true">RAND()</f>
        <v>0.835453114435957</v>
      </c>
      <c r="Q1451" s="82" t="n">
        <f aca="false">IF(P1451&lt;(Inputs!$E$27-Inputs!$D$27)/(Inputs!$F$27-Inputs!$D$27),Inputs!$D$27+SQRT(P1451*(Inputs!$F$27-Inputs!$D$27)*(Inputs!$E$27-Inputs!$D$27)),Inputs!$F$27-SQRT((1-P1451)*(Inputs!$F$27-Inputs!$D$27)*(Inputs!$F$27-Inputs!$E$27)))</f>
        <v>114.870217169326</v>
      </c>
      <c r="R1451" s="81" t="n">
        <f aca="true">RAND()</f>
        <v>0.917838948457762</v>
      </c>
      <c r="S1451" s="82" t="n">
        <f aca="false">IF(R1451&lt;(Inputs!$E$29-Inputs!$D$29)/(Inputs!$F$29-Inputs!$D$29),Inputs!$D$29+SQRT(R1451*(Inputs!$F$29-Inputs!$D$29)*(Inputs!$E$29-Inputs!$D$29)),Inputs!$F$29-SQRT((1-R1451)*(Inputs!$F$29-Inputs!$D$29)*(Inputs!$F$29-Inputs!$E$29)))</f>
        <v>11.7318297626208</v>
      </c>
      <c r="T1451" s="68" t="n">
        <f aca="false">Inputs!$E$9*(1+E1451)+Inputs!$E$5*C1451*(Inputs!$E$11*Inputs!$E$14*(G1451*I1451/Inputs!$E$16+(1-G1451))*K1451+Inputs!$E$23*M1451)*(1+O1451)+Inputs!$E$5*(Q1451+S1451)</f>
        <v>7858.25858266345</v>
      </c>
    </row>
    <row r="1452" customFormat="false" ht="15" hidden="false" customHeight="false" outlineLevel="0" collapsed="false">
      <c r="A1452" s="1" t="n">
        <v>1448</v>
      </c>
      <c r="B1452" s="81" t="n">
        <f aca="true">RAND()</f>
        <v>0.51989246572537</v>
      </c>
      <c r="C1452" s="82" t="n">
        <f aca="false">ROUND(IF(B1452&lt;(Inputs!$E$8-Inputs!$D$8)/(Inputs!$F$8-Inputs!$D$8),Inputs!$D$8+SQRT(B1452*(Inputs!$F$8-Inputs!$D$8)*(Inputs!$E$8-Inputs!$D$8)),Inputs!$F$8-SQRT((1-B1452)*(Inputs!$F$8-Inputs!$D$8)*(Inputs!$F$8-Inputs!$E$8))),0)</f>
        <v>25</v>
      </c>
      <c r="D1452" s="81" t="n">
        <f aca="true">RAND()</f>
        <v>0.158013931202591</v>
      </c>
      <c r="E1452" s="83" t="n">
        <f aca="false">IF(D1452&lt;(Inputs!$E$10-Inputs!$D$10)/(Inputs!$F$10-Inputs!$D$10),Inputs!$D$10+SQRT(D1452*(Inputs!$F$10-Inputs!$D$10)*(Inputs!$E$10-Inputs!$D$10)),Inputs!$F$10-SQRT((1-D1452)*(Inputs!$F$10-Inputs!$D$10)*(Inputs!$F$10-Inputs!$E$10)))</f>
        <v>0.0397509661772631</v>
      </c>
      <c r="F1452" s="81" t="n">
        <f aca="true">RAND()</f>
        <v>0.374250457869859</v>
      </c>
      <c r="G1452" s="83" t="n">
        <f aca="false">IF(F1452&lt;(Inputs!$E$15-Inputs!$D$15)/(Inputs!$F$15-Inputs!$D$15),Inputs!$D$15+SQRT(F1452*(Inputs!$F$15-Inputs!$D$15)*(Inputs!$E$15-Inputs!$D$15)),Inputs!$F$15-SQRT((1-F1452)*(Inputs!$F$15-Inputs!$D$15)*(Inputs!$F$15-Inputs!$E$15)))</f>
        <v>0.686515947416631</v>
      </c>
      <c r="H1452" s="81" t="n">
        <f aca="true">RAND()</f>
        <v>0.248543819519076</v>
      </c>
      <c r="I1452" s="82" t="n">
        <f aca="false">ROUND(IF(H1452&lt;(Inputs!$E$17-Inputs!$D$17)/(Inputs!$F$17-Inputs!$D$17),Inputs!$D$17+SQRT(H1452*(Inputs!$F$17-Inputs!$D$17)*(Inputs!$E$17-Inputs!$D$17)),Inputs!$F$17-SQRT((1-H1452)*(Inputs!$F$17-Inputs!$D$17)*(Inputs!$F$17-Inputs!$E$17))),0)</f>
        <v>104</v>
      </c>
      <c r="J1452" s="81" t="n">
        <f aca="true">RAND()</f>
        <v>0.415578419679845</v>
      </c>
      <c r="K1452" s="83" t="n">
        <f aca="false">IF(J1452&lt;(Inputs!$E$18-Inputs!$D$18)/(Inputs!$F$18-Inputs!$D$18),Inputs!$D$18+SQRT(J1452*(Inputs!$F$18-Inputs!$D$18)*(Inputs!$E$18-Inputs!$D$18)),Inputs!$F$18-SQRT((1-J1452)*(Inputs!$F$18-Inputs!$D$18)*(Inputs!$F$18-Inputs!$E$18)))</f>
        <v>1.02386533154332</v>
      </c>
      <c r="L1452" s="81" t="n">
        <f aca="true">RAND()</f>
        <v>0.364718072807154</v>
      </c>
      <c r="M1452" s="83" t="n">
        <f aca="false">IF(L1452&lt;(Inputs!$E$24-Inputs!$D$24)/(Inputs!$F$24-Inputs!$D$24),Inputs!$D$24+SQRT(L1452*(Inputs!$F$24-Inputs!$D$24)*(Inputs!$E$24-Inputs!$D$24)),Inputs!$F$24-SQRT((1-L1452)*(Inputs!$F$24-Inputs!$D$24)*(Inputs!$F$24-Inputs!$E$24)))</f>
        <v>0.80952892229221</v>
      </c>
      <c r="N1452" s="81" t="n">
        <f aca="true">RAND()</f>
        <v>0.711105880844079</v>
      </c>
      <c r="O1452" s="83" t="n">
        <f aca="false">IF(N1452&lt;(Inputs!$E$26-Inputs!$D$26)/(Inputs!$F$26-Inputs!$D$26),Inputs!$D$26+SQRT(N1452*(Inputs!$F$26-Inputs!$D$26)*(Inputs!$E$26-Inputs!$D$26)),Inputs!$F$26-SQRT((1-N1452)*(Inputs!$F$26-Inputs!$D$26)*(Inputs!$F$26-Inputs!$E$26)))</f>
        <v>0.646665097593659</v>
      </c>
      <c r="P1452" s="81" t="n">
        <f aca="true">RAND()</f>
        <v>0.271257772981985</v>
      </c>
      <c r="Q1452" s="82" t="n">
        <f aca="false">IF(P1452&lt;(Inputs!$E$27-Inputs!$D$27)/(Inputs!$F$27-Inputs!$D$27),Inputs!$D$27+SQRT(P1452*(Inputs!$F$27-Inputs!$D$27)*(Inputs!$E$27-Inputs!$D$27)),Inputs!$F$27-SQRT((1-P1452)*(Inputs!$F$27-Inputs!$D$27)*(Inputs!$F$27-Inputs!$E$27)))</f>
        <v>76.070528862739</v>
      </c>
      <c r="R1452" s="81" t="n">
        <f aca="true">RAND()</f>
        <v>0.138559378087264</v>
      </c>
      <c r="S1452" s="82" t="n">
        <f aca="false">IF(R1452&lt;(Inputs!$E$29-Inputs!$D$29)/(Inputs!$F$29-Inputs!$D$29),Inputs!$D$29+SQRT(R1452*(Inputs!$F$29-Inputs!$D$29)*(Inputs!$E$29-Inputs!$D$29)),Inputs!$F$29-SQRT((1-R1452)*(Inputs!$F$29-Inputs!$D$29)*(Inputs!$F$29-Inputs!$E$29)))</f>
        <v>4.3246108804278</v>
      </c>
      <c r="T1452" s="68" t="n">
        <f aca="false">Inputs!$E$9*(1+E1452)+Inputs!$E$5*C1452*(Inputs!$E$11*Inputs!$E$14*(G1452*I1452/Inputs!$E$16+(1-G1452))*K1452+Inputs!$E$23*M1452)*(1+O1452)+Inputs!$E$5*(Q1452+S1452)</f>
        <v>6147.84605864005</v>
      </c>
    </row>
    <row r="1453" customFormat="false" ht="15" hidden="false" customHeight="false" outlineLevel="0" collapsed="false">
      <c r="A1453" s="1" t="n">
        <v>1449</v>
      </c>
      <c r="B1453" s="81" t="n">
        <f aca="true">RAND()</f>
        <v>0.714614197713879</v>
      </c>
      <c r="C1453" s="82" t="n">
        <f aca="false">ROUND(IF(B1453&lt;(Inputs!$E$8-Inputs!$D$8)/(Inputs!$F$8-Inputs!$D$8),Inputs!$D$8+SQRT(B1453*(Inputs!$F$8-Inputs!$D$8)*(Inputs!$E$8-Inputs!$D$8)),Inputs!$F$8-SQRT((1-B1453)*(Inputs!$F$8-Inputs!$D$8)*(Inputs!$F$8-Inputs!$E$8))),0)</f>
        <v>26</v>
      </c>
      <c r="D1453" s="81" t="n">
        <f aca="true">RAND()</f>
        <v>0.323264288190832</v>
      </c>
      <c r="E1453" s="83" t="n">
        <f aca="false">IF(D1453&lt;(Inputs!$E$10-Inputs!$D$10)/(Inputs!$F$10-Inputs!$D$10),Inputs!$D$10+SQRT(D1453*(Inputs!$F$10-Inputs!$D$10)*(Inputs!$E$10-Inputs!$D$10)),Inputs!$F$10-SQRT((1-D1453)*(Inputs!$F$10-Inputs!$D$10)*(Inputs!$F$10-Inputs!$E$10)))</f>
        <v>0.0575146626691889</v>
      </c>
      <c r="F1453" s="81" t="n">
        <f aca="true">RAND()</f>
        <v>0.176874896692482</v>
      </c>
      <c r="G1453" s="83" t="n">
        <f aca="false">IF(F1453&lt;(Inputs!$E$15-Inputs!$D$15)/(Inputs!$F$15-Inputs!$D$15),Inputs!$D$15+SQRT(F1453*(Inputs!$F$15-Inputs!$D$15)*(Inputs!$E$15-Inputs!$D$15)),Inputs!$F$15-SQRT((1-F1453)*(Inputs!$F$15-Inputs!$D$15)*(Inputs!$F$15-Inputs!$E$15)))</f>
        <v>0.659476868897494</v>
      </c>
      <c r="H1453" s="81" t="n">
        <f aca="true">RAND()</f>
        <v>0.426743965620942</v>
      </c>
      <c r="I1453" s="82" t="n">
        <f aca="false">ROUND(IF(H1453&lt;(Inputs!$E$17-Inputs!$D$17)/(Inputs!$F$17-Inputs!$D$17),Inputs!$D$17+SQRT(H1453*(Inputs!$F$17-Inputs!$D$17)*(Inputs!$E$17-Inputs!$D$17)),Inputs!$F$17-SQRT((1-H1453)*(Inputs!$F$17-Inputs!$D$17)*(Inputs!$F$17-Inputs!$E$17))),0)</f>
        <v>106</v>
      </c>
      <c r="J1453" s="81" t="n">
        <f aca="true">RAND()</f>
        <v>0.00578832417431615</v>
      </c>
      <c r="K1453" s="83" t="n">
        <f aca="false">IF(J1453&lt;(Inputs!$E$18-Inputs!$D$18)/(Inputs!$F$18-Inputs!$D$18),Inputs!$D$18+SQRT(J1453*(Inputs!$F$18-Inputs!$D$18)*(Inputs!$E$18-Inputs!$D$18)),Inputs!$F$18-SQRT((1-J1453)*(Inputs!$F$18-Inputs!$D$18)*(Inputs!$F$18-Inputs!$E$18)))</f>
        <v>0.914233458683717</v>
      </c>
      <c r="L1453" s="81" t="n">
        <f aca="true">RAND()</f>
        <v>0.754298095244513</v>
      </c>
      <c r="M1453" s="83" t="n">
        <f aca="false">IF(L1453&lt;(Inputs!$E$24-Inputs!$D$24)/(Inputs!$F$24-Inputs!$D$24),Inputs!$D$24+SQRT(L1453*(Inputs!$F$24-Inputs!$D$24)*(Inputs!$E$24-Inputs!$D$24)),Inputs!$F$24-SQRT((1-L1453)*(Inputs!$F$24-Inputs!$D$24)*(Inputs!$F$24-Inputs!$E$24)))</f>
        <v>0.957165782597846</v>
      </c>
      <c r="N1453" s="81" t="n">
        <f aca="true">RAND()</f>
        <v>0.244981391592545</v>
      </c>
      <c r="O1453" s="83" t="n">
        <f aca="false">IF(N1453&lt;(Inputs!$E$26-Inputs!$D$26)/(Inputs!$F$26-Inputs!$D$26),Inputs!$D$26+SQRT(N1453*(Inputs!$F$26-Inputs!$D$26)*(Inputs!$E$26-Inputs!$D$26)),Inputs!$F$26-SQRT((1-N1453)*(Inputs!$F$26-Inputs!$D$26)*(Inputs!$F$26-Inputs!$E$26)))</f>
        <v>0.501903203444124</v>
      </c>
      <c r="P1453" s="81" t="n">
        <f aca="true">RAND()</f>
        <v>0.86384216983376</v>
      </c>
      <c r="Q1453" s="82" t="n">
        <f aca="false">IF(P1453&lt;(Inputs!$E$27-Inputs!$D$27)/(Inputs!$F$27-Inputs!$D$27),Inputs!$D$27+SQRT(P1453*(Inputs!$F$27-Inputs!$D$27)*(Inputs!$E$27-Inputs!$D$27)),Inputs!$F$27-SQRT((1-P1453)*(Inputs!$F$27-Inputs!$D$27)*(Inputs!$F$27-Inputs!$E$27)))</f>
        <v>118.044034574953</v>
      </c>
      <c r="R1453" s="81" t="n">
        <f aca="true">RAND()</f>
        <v>0.30131947338118</v>
      </c>
      <c r="S1453" s="82" t="n">
        <f aca="false">IF(R1453&lt;(Inputs!$E$29-Inputs!$D$29)/(Inputs!$F$29-Inputs!$D$29),Inputs!$D$29+SQRT(R1453*(Inputs!$F$29-Inputs!$D$29)*(Inputs!$E$29-Inputs!$D$29)),Inputs!$F$29-SQRT((1-R1453)*(Inputs!$F$29-Inputs!$D$29)*(Inputs!$F$29-Inputs!$E$29)))</f>
        <v>5.46960292220483</v>
      </c>
      <c r="T1453" s="68" t="n">
        <f aca="false">Inputs!$E$9*(1+E1453)+Inputs!$E$5*C1453*(Inputs!$E$11*Inputs!$E$14*(G1453*I1453/Inputs!$E$16+(1-G1453))*K1453+Inputs!$E$23*M1453)*(1+O1453)+Inputs!$E$5*(Q1453+S1453)</f>
        <v>6251.74890188183</v>
      </c>
    </row>
    <row r="1454" customFormat="false" ht="15" hidden="false" customHeight="false" outlineLevel="0" collapsed="false">
      <c r="A1454" s="1" t="n">
        <v>1450</v>
      </c>
      <c r="B1454" s="81" t="n">
        <f aca="true">RAND()</f>
        <v>0.492415712370425</v>
      </c>
      <c r="C1454" s="82" t="n">
        <f aca="false">ROUND(IF(B1454&lt;(Inputs!$E$8-Inputs!$D$8)/(Inputs!$F$8-Inputs!$D$8),Inputs!$D$8+SQRT(B1454*(Inputs!$F$8-Inputs!$D$8)*(Inputs!$E$8-Inputs!$D$8)),Inputs!$F$8-SQRT((1-B1454)*(Inputs!$F$8-Inputs!$D$8)*(Inputs!$F$8-Inputs!$E$8))),0)</f>
        <v>25</v>
      </c>
      <c r="D1454" s="81" t="n">
        <f aca="true">RAND()</f>
        <v>0.773496682169668</v>
      </c>
      <c r="E1454" s="83" t="n">
        <f aca="false">IF(D1454&lt;(Inputs!$E$10-Inputs!$D$10)/(Inputs!$F$10-Inputs!$D$10),Inputs!$D$10+SQRT(D1454*(Inputs!$F$10-Inputs!$D$10)*(Inputs!$E$10-Inputs!$D$10)),Inputs!$F$10-SQRT((1-D1454)*(Inputs!$F$10-Inputs!$D$10)*(Inputs!$F$10-Inputs!$E$10)))</f>
        <v>0.117567606276962</v>
      </c>
      <c r="F1454" s="81" t="n">
        <f aca="true">RAND()</f>
        <v>0.958175841964151</v>
      </c>
      <c r="G1454" s="83" t="n">
        <f aca="false">IF(F1454&lt;(Inputs!$E$15-Inputs!$D$15)/(Inputs!$F$15-Inputs!$D$15),Inputs!$D$15+SQRT(F1454*(Inputs!$F$15-Inputs!$D$15)*(Inputs!$E$15-Inputs!$D$15)),Inputs!$F$15-SQRT((1-F1454)*(Inputs!$F$15-Inputs!$D$15)*(Inputs!$F$15-Inputs!$E$15)))</f>
        <v>0.771077981385855</v>
      </c>
      <c r="H1454" s="81" t="n">
        <f aca="true">RAND()</f>
        <v>0.723999669794492</v>
      </c>
      <c r="I1454" s="82" t="n">
        <f aca="false">ROUND(IF(H1454&lt;(Inputs!$E$17-Inputs!$D$17)/(Inputs!$F$17-Inputs!$D$17),Inputs!$D$17+SQRT(H1454*(Inputs!$F$17-Inputs!$D$17)*(Inputs!$E$17-Inputs!$D$17)),Inputs!$F$17-SQRT((1-H1454)*(Inputs!$F$17-Inputs!$D$17)*(Inputs!$F$17-Inputs!$E$17))),0)</f>
        <v>109</v>
      </c>
      <c r="J1454" s="81" t="n">
        <f aca="true">RAND()</f>
        <v>0.352342243045321</v>
      </c>
      <c r="K1454" s="83" t="n">
        <f aca="false">IF(J1454&lt;(Inputs!$E$18-Inputs!$D$18)/(Inputs!$F$18-Inputs!$D$18),Inputs!$D$18+SQRT(J1454*(Inputs!$F$18-Inputs!$D$18)*(Inputs!$E$18-Inputs!$D$18)),Inputs!$F$18-SQRT((1-J1454)*(Inputs!$F$18-Inputs!$D$18)*(Inputs!$F$18-Inputs!$E$18)))</f>
        <v>1.01194527155813</v>
      </c>
      <c r="L1454" s="81" t="n">
        <f aca="true">RAND()</f>
        <v>0.556359103486722</v>
      </c>
      <c r="M1454" s="83" t="n">
        <f aca="false">IF(L1454&lt;(Inputs!$E$24-Inputs!$D$24)/(Inputs!$F$24-Inputs!$D$24),Inputs!$D$24+SQRT(L1454*(Inputs!$F$24-Inputs!$D$24)*(Inputs!$E$24-Inputs!$D$24)),Inputs!$F$24-SQRT((1-L1454)*(Inputs!$F$24-Inputs!$D$24)*(Inputs!$F$24-Inputs!$E$24)))</f>
        <v>0.873696743560248</v>
      </c>
      <c r="N1454" s="81" t="n">
        <f aca="true">RAND()</f>
        <v>0.165214013452071</v>
      </c>
      <c r="O1454" s="83" t="n">
        <f aca="false">IF(N1454&lt;(Inputs!$E$26-Inputs!$D$26)/(Inputs!$F$26-Inputs!$D$26),Inputs!$D$26+SQRT(N1454*(Inputs!$F$26-Inputs!$D$26)*(Inputs!$E$26-Inputs!$D$26)),Inputs!$F$26-SQRT((1-N1454)*(Inputs!$F$26-Inputs!$D$26)*(Inputs!$F$26-Inputs!$E$26)))</f>
        <v>0.465805946330114</v>
      </c>
      <c r="P1454" s="81" t="n">
        <f aca="true">RAND()</f>
        <v>0.483373392712454</v>
      </c>
      <c r="Q1454" s="82" t="n">
        <f aca="false">IF(P1454&lt;(Inputs!$E$27-Inputs!$D$27)/(Inputs!$F$27-Inputs!$D$27),Inputs!$D$27+SQRT(P1454*(Inputs!$F$27-Inputs!$D$27)*(Inputs!$E$27-Inputs!$D$27)),Inputs!$F$27-SQRT((1-P1454)*(Inputs!$F$27-Inputs!$D$27)*(Inputs!$F$27-Inputs!$E$27)))</f>
        <v>87.7529152919063</v>
      </c>
      <c r="R1454" s="81" t="n">
        <f aca="true">RAND()</f>
        <v>0.759792876235733</v>
      </c>
      <c r="S1454" s="82" t="n">
        <f aca="false">IF(R1454&lt;(Inputs!$E$29-Inputs!$D$29)/(Inputs!$F$29-Inputs!$D$29),Inputs!$D$29+SQRT(R1454*(Inputs!$F$29-Inputs!$D$29)*(Inputs!$E$29-Inputs!$D$29)),Inputs!$F$29-SQRT((1-R1454)*(Inputs!$F$29-Inputs!$D$29)*(Inputs!$F$29-Inputs!$E$29)))</f>
        <v>9.41189423065787</v>
      </c>
      <c r="T1454" s="68" t="n">
        <f aca="false">Inputs!$E$9*(1+E1454)+Inputs!$E$5*C1454*(Inputs!$E$11*Inputs!$E$14*(G1454*I1454/Inputs!$E$16+(1-G1454))*K1454+Inputs!$E$23*M1454)*(1+O1454)+Inputs!$E$5*(Q1454+S1454)</f>
        <v>6037.12406061153</v>
      </c>
    </row>
    <row r="1455" customFormat="false" ht="15" hidden="false" customHeight="false" outlineLevel="0" collapsed="false">
      <c r="A1455" s="1" t="n">
        <v>1451</v>
      </c>
      <c r="B1455" s="81" t="n">
        <f aca="true">RAND()</f>
        <v>0.306159855813198</v>
      </c>
      <c r="C1455" s="82" t="n">
        <f aca="false">ROUND(IF(B1455&lt;(Inputs!$E$8-Inputs!$D$8)/(Inputs!$F$8-Inputs!$D$8),Inputs!$D$8+SQRT(B1455*(Inputs!$F$8-Inputs!$D$8)*(Inputs!$E$8-Inputs!$D$8)),Inputs!$F$8-SQRT((1-B1455)*(Inputs!$F$8-Inputs!$D$8)*(Inputs!$F$8-Inputs!$E$8))),0)</f>
        <v>24</v>
      </c>
      <c r="D1455" s="81" t="n">
        <f aca="true">RAND()</f>
        <v>0.146808231852327</v>
      </c>
      <c r="E1455" s="83" t="n">
        <f aca="false">IF(D1455&lt;(Inputs!$E$10-Inputs!$D$10)/(Inputs!$F$10-Inputs!$D$10),Inputs!$D$10+SQRT(D1455*(Inputs!$F$10-Inputs!$D$10)*(Inputs!$E$10-Inputs!$D$10)),Inputs!$F$10-SQRT((1-D1455)*(Inputs!$F$10-Inputs!$D$10)*(Inputs!$F$10-Inputs!$E$10)))</f>
        <v>0.0383155623542611</v>
      </c>
      <c r="F1455" s="81" t="n">
        <f aca="true">RAND()</f>
        <v>0.184867024354807</v>
      </c>
      <c r="G1455" s="83" t="n">
        <f aca="false">IF(F1455&lt;(Inputs!$E$15-Inputs!$D$15)/(Inputs!$F$15-Inputs!$D$15),Inputs!$D$15+SQRT(F1455*(Inputs!$F$15-Inputs!$D$15)*(Inputs!$E$15-Inputs!$D$15)),Inputs!$F$15-SQRT((1-F1455)*(Inputs!$F$15-Inputs!$D$15)*(Inputs!$F$15-Inputs!$E$15)))</f>
        <v>0.660805760311801</v>
      </c>
      <c r="H1455" s="81" t="n">
        <f aca="true">RAND()</f>
        <v>0.202386193812533</v>
      </c>
      <c r="I1455" s="82" t="n">
        <f aca="false">ROUND(IF(H1455&lt;(Inputs!$E$17-Inputs!$D$17)/(Inputs!$F$17-Inputs!$D$17),Inputs!$D$17+SQRT(H1455*(Inputs!$F$17-Inputs!$D$17)*(Inputs!$E$17-Inputs!$D$17)),Inputs!$F$17-SQRT((1-H1455)*(Inputs!$F$17-Inputs!$D$17)*(Inputs!$F$17-Inputs!$E$17))),0)</f>
        <v>104</v>
      </c>
      <c r="J1455" s="81" t="n">
        <f aca="true">RAND()</f>
        <v>0.780310179626783</v>
      </c>
      <c r="K1455" s="83" t="n">
        <f aca="false">IF(J1455&lt;(Inputs!$E$18-Inputs!$D$18)/(Inputs!$F$18-Inputs!$D$18),Inputs!$D$18+SQRT(J1455*(Inputs!$F$18-Inputs!$D$18)*(Inputs!$E$18-Inputs!$D$18)),Inputs!$F$18-SQRT((1-J1455)*(Inputs!$F$18-Inputs!$D$18)*(Inputs!$F$18-Inputs!$E$18)))</f>
        <v>1.11135347360047</v>
      </c>
      <c r="L1455" s="81" t="n">
        <f aca="true">RAND()</f>
        <v>0.0183399102520731</v>
      </c>
      <c r="M1455" s="83" t="n">
        <f aca="false">IF(L1455&lt;(Inputs!$E$24-Inputs!$D$24)/(Inputs!$F$24-Inputs!$D$24),Inputs!$D$24+SQRT(L1455*(Inputs!$F$24-Inputs!$D$24)*(Inputs!$E$24-Inputs!$D$24)),Inputs!$F$24-SQRT((1-L1455)*(Inputs!$F$24-Inputs!$D$24)*(Inputs!$F$24-Inputs!$E$24)))</f>
        <v>0.646912570066548</v>
      </c>
      <c r="N1455" s="81" t="n">
        <f aca="true">RAND()</f>
        <v>0.389566133408905</v>
      </c>
      <c r="O1455" s="83" t="n">
        <f aca="false">IF(N1455&lt;(Inputs!$E$26-Inputs!$D$26)/(Inputs!$F$26-Inputs!$D$26),Inputs!$D$26+SQRT(N1455*(Inputs!$F$26-Inputs!$D$26)*(Inputs!$E$26-Inputs!$D$26)),Inputs!$F$26-SQRT((1-N1455)*(Inputs!$F$26-Inputs!$D$26)*(Inputs!$F$26-Inputs!$E$26)))</f>
        <v>0.554605193582617</v>
      </c>
      <c r="P1455" s="81" t="n">
        <f aca="true">RAND()</f>
        <v>0.326106380698484</v>
      </c>
      <c r="Q1455" s="82" t="n">
        <f aca="false">IF(P1455&lt;(Inputs!$E$27-Inputs!$D$27)/(Inputs!$F$27-Inputs!$D$27),Inputs!$D$27+SQRT(P1455*(Inputs!$F$27-Inputs!$D$27)*(Inputs!$E$27-Inputs!$D$27)),Inputs!$F$27-SQRT((1-P1455)*(Inputs!$F$27-Inputs!$D$27)*(Inputs!$F$27-Inputs!$E$27)))</f>
        <v>78.9070879428802</v>
      </c>
      <c r="R1455" s="81" t="n">
        <f aca="true">RAND()</f>
        <v>0.38692296164771</v>
      </c>
      <c r="S1455" s="82" t="n">
        <f aca="false">IF(R1455&lt;(Inputs!$E$29-Inputs!$D$29)/(Inputs!$F$29-Inputs!$D$29),Inputs!$D$29+SQRT(R1455*(Inputs!$F$29-Inputs!$D$29)*(Inputs!$E$29-Inputs!$D$29)),Inputs!$F$29-SQRT((1-R1455)*(Inputs!$F$29-Inputs!$D$29)*(Inputs!$F$29-Inputs!$E$29)))</f>
        <v>6.07251351242704</v>
      </c>
      <c r="T1455" s="68" t="n">
        <f aca="false">Inputs!$E$9*(1+E1455)+Inputs!$E$5*C1455*(Inputs!$E$11*Inputs!$E$14*(G1455*I1455/Inputs!$E$16+(1-G1455))*K1455+Inputs!$E$23*M1455)*(1+O1455)+Inputs!$E$5*(Q1455+S1455)</f>
        <v>5839.12073706603</v>
      </c>
    </row>
    <row r="1456" customFormat="false" ht="15" hidden="false" customHeight="false" outlineLevel="0" collapsed="false">
      <c r="A1456" s="1" t="n">
        <v>1452</v>
      </c>
      <c r="B1456" s="81" t="n">
        <f aca="true">RAND()</f>
        <v>0.404159485068915</v>
      </c>
      <c r="C1456" s="82" t="n">
        <f aca="false">ROUND(IF(B1456&lt;(Inputs!$E$8-Inputs!$D$8)/(Inputs!$F$8-Inputs!$D$8),Inputs!$D$8+SQRT(B1456*(Inputs!$F$8-Inputs!$D$8)*(Inputs!$E$8-Inputs!$D$8)),Inputs!$F$8-SQRT((1-B1456)*(Inputs!$F$8-Inputs!$D$8)*(Inputs!$F$8-Inputs!$E$8))),0)</f>
        <v>24</v>
      </c>
      <c r="D1456" s="81" t="n">
        <f aca="true">RAND()</f>
        <v>0.910498556886323</v>
      </c>
      <c r="E1456" s="83" t="n">
        <f aca="false">IF(D1456&lt;(Inputs!$E$10-Inputs!$D$10)/(Inputs!$F$10-Inputs!$D$10),Inputs!$D$10+SQRT(D1456*(Inputs!$F$10-Inputs!$D$10)*(Inputs!$E$10-Inputs!$D$10)),Inputs!$F$10-SQRT((1-D1456)*(Inputs!$F$10-Inputs!$D$10)*(Inputs!$F$10-Inputs!$E$10)))</f>
        <v>0.148182596616481</v>
      </c>
      <c r="F1456" s="81" t="n">
        <f aca="true">RAND()</f>
        <v>0.830839683401876</v>
      </c>
      <c r="G1456" s="83" t="n">
        <f aca="false">IF(F1456&lt;(Inputs!$E$15-Inputs!$D$15)/(Inputs!$F$15-Inputs!$D$15),Inputs!$D$15+SQRT(F1456*(Inputs!$F$15-Inputs!$D$15)*(Inputs!$E$15-Inputs!$D$15)),Inputs!$F$15-SQRT((1-F1456)*(Inputs!$F$15-Inputs!$D$15)*(Inputs!$F$15-Inputs!$E$15)))</f>
        <v>0.741834663828338</v>
      </c>
      <c r="H1456" s="81" t="n">
        <f aca="true">RAND()</f>
        <v>0.95072429418628</v>
      </c>
      <c r="I1456" s="82" t="n">
        <f aca="false">ROUND(IF(H1456&lt;(Inputs!$E$17-Inputs!$D$17)/(Inputs!$F$17-Inputs!$D$17),Inputs!$D$17+SQRT(H1456*(Inputs!$F$17-Inputs!$D$17)*(Inputs!$E$17-Inputs!$D$17)),Inputs!$F$17-SQRT((1-H1456)*(Inputs!$F$17-Inputs!$D$17)*(Inputs!$F$17-Inputs!$E$17))),0)</f>
        <v>112</v>
      </c>
      <c r="J1456" s="81" t="n">
        <f aca="true">RAND()</f>
        <v>0.534733565076826</v>
      </c>
      <c r="K1456" s="83" t="n">
        <f aca="false">IF(J1456&lt;(Inputs!$E$18-Inputs!$D$18)/(Inputs!$F$18-Inputs!$D$18),Inputs!$D$18+SQRT(J1456*(Inputs!$F$18-Inputs!$D$18)*(Inputs!$E$18-Inputs!$D$18)),Inputs!$F$18-SQRT((1-J1456)*(Inputs!$F$18-Inputs!$D$18)*(Inputs!$F$18-Inputs!$E$18)))</f>
        <v>1.04823079259764</v>
      </c>
      <c r="L1456" s="81" t="n">
        <f aca="true">RAND()</f>
        <v>0.336845090457144</v>
      </c>
      <c r="M1456" s="83" t="n">
        <f aca="false">IF(L1456&lt;(Inputs!$E$24-Inputs!$D$24)/(Inputs!$F$24-Inputs!$D$24),Inputs!$D$24+SQRT(L1456*(Inputs!$F$24-Inputs!$D$24)*(Inputs!$E$24-Inputs!$D$24)),Inputs!$F$24-SQRT((1-L1456)*(Inputs!$F$24-Inputs!$D$24)*(Inputs!$F$24-Inputs!$E$24)))</f>
        <v>0.801054918202661</v>
      </c>
      <c r="N1456" s="81" t="n">
        <f aca="true">RAND()</f>
        <v>0.268914196366941</v>
      </c>
      <c r="O1456" s="83" t="n">
        <f aca="false">IF(N1456&lt;(Inputs!$E$26-Inputs!$D$26)/(Inputs!$F$26-Inputs!$D$26),Inputs!$D$26+SQRT(N1456*(Inputs!$F$26-Inputs!$D$26)*(Inputs!$E$26-Inputs!$D$26)),Inputs!$F$26-SQRT((1-N1456)*(Inputs!$F$26-Inputs!$D$26)*(Inputs!$F$26-Inputs!$E$26)))</f>
        <v>0.511535628855895</v>
      </c>
      <c r="P1456" s="81" t="n">
        <f aca="true">RAND()</f>
        <v>0.409666846037483</v>
      </c>
      <c r="Q1456" s="82" t="n">
        <f aca="false">IF(P1456&lt;(Inputs!$E$27-Inputs!$D$27)/(Inputs!$F$27-Inputs!$D$27),Inputs!$D$27+SQRT(P1456*(Inputs!$F$27-Inputs!$D$27)*(Inputs!$E$27-Inputs!$D$27)),Inputs!$F$27-SQRT((1-P1456)*(Inputs!$F$27-Inputs!$D$27)*(Inputs!$F$27-Inputs!$E$27)))</f>
        <v>83.4605481333151</v>
      </c>
      <c r="R1456" s="81" t="n">
        <f aca="true">RAND()</f>
        <v>0.496746144493867</v>
      </c>
      <c r="S1456" s="82" t="n">
        <f aca="false">IF(R1456&lt;(Inputs!$E$29-Inputs!$D$29)/(Inputs!$F$29-Inputs!$D$29),Inputs!$D$29+SQRT(R1456*(Inputs!$F$29-Inputs!$D$29)*(Inputs!$E$29-Inputs!$D$29)),Inputs!$F$29-SQRT((1-R1456)*(Inputs!$F$29-Inputs!$D$29)*(Inputs!$F$29-Inputs!$E$29)))</f>
        <v>6.91155137150533</v>
      </c>
      <c r="T1456" s="68" t="n">
        <f aca="false">Inputs!$E$9*(1+E1456)+Inputs!$E$5*C1456*(Inputs!$E$11*Inputs!$E$14*(G1456*I1456/Inputs!$E$16+(1-G1456))*K1456+Inputs!$E$23*M1456)*(1+O1456)+Inputs!$E$5*(Q1456+S1456)</f>
        <v>6085.15456464673</v>
      </c>
    </row>
    <row r="1457" customFormat="false" ht="15" hidden="false" customHeight="false" outlineLevel="0" collapsed="false">
      <c r="A1457" s="1" t="n">
        <v>1453</v>
      </c>
      <c r="B1457" s="81" t="n">
        <f aca="true">RAND()</f>
        <v>0.0552018660135448</v>
      </c>
      <c r="C1457" s="82" t="n">
        <f aca="false">ROUND(IF(B1457&lt;(Inputs!$E$8-Inputs!$D$8)/(Inputs!$F$8-Inputs!$D$8),Inputs!$D$8+SQRT(B1457*(Inputs!$F$8-Inputs!$D$8)*(Inputs!$E$8-Inputs!$D$8)),Inputs!$F$8-SQRT((1-B1457)*(Inputs!$F$8-Inputs!$D$8)*(Inputs!$F$8-Inputs!$E$8))),0)</f>
        <v>22</v>
      </c>
      <c r="D1457" s="81" t="n">
        <f aca="true">RAND()</f>
        <v>0.35623696242104</v>
      </c>
      <c r="E1457" s="83" t="n">
        <f aca="false">IF(D1457&lt;(Inputs!$E$10-Inputs!$D$10)/(Inputs!$F$10-Inputs!$D$10),Inputs!$D$10+SQRT(D1457*(Inputs!$F$10-Inputs!$D$10)*(Inputs!$E$10-Inputs!$D$10)),Inputs!$F$10-SQRT((1-D1457)*(Inputs!$F$10-Inputs!$D$10)*(Inputs!$F$10-Inputs!$E$10)))</f>
        <v>0.0610291716676885</v>
      </c>
      <c r="F1457" s="81" t="n">
        <f aca="true">RAND()</f>
        <v>0.101328105667718</v>
      </c>
      <c r="G1457" s="83" t="n">
        <f aca="false">IF(F1457&lt;(Inputs!$E$15-Inputs!$D$15)/(Inputs!$F$15-Inputs!$D$15),Inputs!$D$15+SQRT(F1457*(Inputs!$F$15-Inputs!$D$15)*(Inputs!$E$15-Inputs!$D$15)),Inputs!$F$15-SQRT((1-F1457)*(Inputs!$F$15-Inputs!$D$15)*(Inputs!$F$15-Inputs!$E$15)))</f>
        <v>0.645017353469016</v>
      </c>
      <c r="H1457" s="81" t="n">
        <f aca="true">RAND()</f>
        <v>0.67158215192501</v>
      </c>
      <c r="I1457" s="82" t="n">
        <f aca="false">ROUND(IF(H1457&lt;(Inputs!$E$17-Inputs!$D$17)/(Inputs!$F$17-Inputs!$D$17),Inputs!$D$17+SQRT(H1457*(Inputs!$F$17-Inputs!$D$17)*(Inputs!$E$17-Inputs!$D$17)),Inputs!$F$17-SQRT((1-H1457)*(Inputs!$F$17-Inputs!$D$17)*(Inputs!$F$17-Inputs!$E$17))),0)</f>
        <v>108</v>
      </c>
      <c r="J1457" s="81" t="n">
        <f aca="true">RAND()</f>
        <v>0.645537222580462</v>
      </c>
      <c r="K1457" s="83" t="n">
        <f aca="false">IF(J1457&lt;(Inputs!$E$18-Inputs!$D$18)/(Inputs!$F$18-Inputs!$D$18),Inputs!$D$18+SQRT(J1457*(Inputs!$F$18-Inputs!$D$18)*(Inputs!$E$18-Inputs!$D$18)),Inputs!$F$18-SQRT((1-J1457)*(Inputs!$F$18-Inputs!$D$18)*(Inputs!$F$18-Inputs!$E$18)))</f>
        <v>1.07388783964698</v>
      </c>
      <c r="L1457" s="81" t="n">
        <f aca="true">RAND()</f>
        <v>0.339648428736874</v>
      </c>
      <c r="M1457" s="83" t="n">
        <f aca="false">IF(L1457&lt;(Inputs!$E$24-Inputs!$D$24)/(Inputs!$F$24-Inputs!$D$24),Inputs!$D$24+SQRT(L1457*(Inputs!$F$24-Inputs!$D$24)*(Inputs!$E$24-Inputs!$D$24)),Inputs!$F$24-SQRT((1-L1457)*(Inputs!$F$24-Inputs!$D$24)*(Inputs!$F$24-Inputs!$E$24)))</f>
        <v>0.801899036545815</v>
      </c>
      <c r="N1457" s="81" t="n">
        <f aca="true">RAND()</f>
        <v>0.349969694738774</v>
      </c>
      <c r="O1457" s="83" t="n">
        <f aca="false">IF(N1457&lt;(Inputs!$E$26-Inputs!$D$26)/(Inputs!$F$26-Inputs!$D$26),Inputs!$D$26+SQRT(N1457*(Inputs!$F$26-Inputs!$D$26)*(Inputs!$E$26-Inputs!$D$26)),Inputs!$F$26-SQRT((1-N1457)*(Inputs!$F$26-Inputs!$D$26)*(Inputs!$F$26-Inputs!$E$26)))</f>
        <v>0.541319201897678</v>
      </c>
      <c r="P1457" s="81" t="n">
        <f aca="true">RAND()</f>
        <v>0.961748688524505</v>
      </c>
      <c r="Q1457" s="82" t="n">
        <f aca="false">IF(P1457&lt;(Inputs!$E$27-Inputs!$D$27)/(Inputs!$F$27-Inputs!$D$27),Inputs!$D$27+SQRT(P1457*(Inputs!$F$27-Inputs!$D$27)*(Inputs!$E$27-Inputs!$D$27)),Inputs!$F$27-SQRT((1-P1457)*(Inputs!$F$27-Inputs!$D$27)*(Inputs!$F$27-Inputs!$E$27)))</f>
        <v>133.06232495098</v>
      </c>
      <c r="R1457" s="81" t="n">
        <f aca="true">RAND()</f>
        <v>0.856220905305455</v>
      </c>
      <c r="S1457" s="82" t="n">
        <f aca="false">IF(R1457&lt;(Inputs!$E$29-Inputs!$D$29)/(Inputs!$F$29-Inputs!$D$29),Inputs!$D$29+SQRT(R1457*(Inputs!$F$29-Inputs!$D$29)*(Inputs!$E$29-Inputs!$D$29)),Inputs!$F$29-SQRT((1-R1457)*(Inputs!$F$29-Inputs!$D$29)*(Inputs!$F$29-Inputs!$E$29)))</f>
        <v>10.6766584323823</v>
      </c>
      <c r="T1457" s="68" t="n">
        <f aca="false">Inputs!$E$9*(1+E1457)+Inputs!$E$5*C1457*(Inputs!$E$11*Inputs!$E$14*(G1457*I1457/Inputs!$E$16+(1-G1457))*K1457+Inputs!$E$23*M1457)*(1+O1457)+Inputs!$E$5*(Q1457+S1457)</f>
        <v>6073.86998166735</v>
      </c>
    </row>
    <row r="1458" customFormat="false" ht="15" hidden="false" customHeight="false" outlineLevel="0" collapsed="false">
      <c r="A1458" s="1" t="n">
        <v>1454</v>
      </c>
      <c r="B1458" s="81" t="n">
        <f aca="true">RAND()</f>
        <v>0.797837268493132</v>
      </c>
      <c r="C1458" s="82" t="n">
        <f aca="false">ROUND(IF(B1458&lt;(Inputs!$E$8-Inputs!$D$8)/(Inputs!$F$8-Inputs!$D$8),Inputs!$D$8+SQRT(B1458*(Inputs!$F$8-Inputs!$D$8)*(Inputs!$E$8-Inputs!$D$8)),Inputs!$F$8-SQRT((1-B1458)*(Inputs!$F$8-Inputs!$D$8)*(Inputs!$F$8-Inputs!$E$8))),0)</f>
        <v>27</v>
      </c>
      <c r="D1458" s="81" t="n">
        <f aca="true">RAND()</f>
        <v>0.939763648460147</v>
      </c>
      <c r="E1458" s="83" t="n">
        <f aca="false">IF(D1458&lt;(Inputs!$E$10-Inputs!$D$10)/(Inputs!$F$10-Inputs!$D$10),Inputs!$D$10+SQRT(D1458*(Inputs!$F$10-Inputs!$D$10)*(Inputs!$E$10-Inputs!$D$10)),Inputs!$F$10-SQRT((1-D1458)*(Inputs!$F$10-Inputs!$D$10)*(Inputs!$F$10-Inputs!$E$10)))</f>
        <v>0.157490112371407</v>
      </c>
      <c r="F1458" s="81" t="n">
        <f aca="true">RAND()</f>
        <v>0.752488812646924</v>
      </c>
      <c r="G1458" s="83" t="n">
        <f aca="false">IF(F1458&lt;(Inputs!$E$15-Inputs!$D$15)/(Inputs!$F$15-Inputs!$D$15),Inputs!$D$15+SQRT(F1458*(Inputs!$F$15-Inputs!$D$15)*(Inputs!$E$15-Inputs!$D$15)),Inputs!$F$15-SQRT((1-F1458)*(Inputs!$F$15-Inputs!$D$15)*(Inputs!$F$15-Inputs!$E$15)))</f>
        <v>0.72964217351949</v>
      </c>
      <c r="H1458" s="81" t="n">
        <f aca="true">RAND()</f>
        <v>0.184160369447034</v>
      </c>
      <c r="I1458" s="82" t="n">
        <f aca="false">ROUND(IF(H1458&lt;(Inputs!$E$17-Inputs!$D$17)/(Inputs!$F$17-Inputs!$D$17),Inputs!$D$17+SQRT(H1458*(Inputs!$F$17-Inputs!$D$17)*(Inputs!$E$17-Inputs!$D$17)),Inputs!$F$17-SQRT((1-H1458)*(Inputs!$F$17-Inputs!$D$17)*(Inputs!$F$17-Inputs!$E$17))),0)</f>
        <v>104</v>
      </c>
      <c r="J1458" s="81" t="n">
        <f aca="true">RAND()</f>
        <v>0.945291931403211</v>
      </c>
      <c r="K1458" s="83" t="n">
        <f aca="false">IF(J1458&lt;(Inputs!$E$18-Inputs!$D$18)/(Inputs!$F$18-Inputs!$D$18),Inputs!$D$18+SQRT(J1458*(Inputs!$F$18-Inputs!$D$18)*(Inputs!$E$18-Inputs!$D$18)),Inputs!$F$18-SQRT((1-J1458)*(Inputs!$F$18-Inputs!$D$18)*(Inputs!$F$18-Inputs!$E$18)))</f>
        <v>1.18081216868394</v>
      </c>
      <c r="L1458" s="81" t="n">
        <f aca="true">RAND()</f>
        <v>0.796235173792053</v>
      </c>
      <c r="M1458" s="83" t="n">
        <f aca="false">IF(L1458&lt;(Inputs!$E$24-Inputs!$D$24)/(Inputs!$F$24-Inputs!$D$24),Inputs!$D$24+SQRT(L1458*(Inputs!$F$24-Inputs!$D$24)*(Inputs!$E$24-Inputs!$D$24)),Inputs!$F$24-SQRT((1-L1458)*(Inputs!$F$24-Inputs!$D$24)*(Inputs!$F$24-Inputs!$E$24)))</f>
        <v>0.978858510699807</v>
      </c>
      <c r="N1458" s="81" t="n">
        <f aca="true">RAND()</f>
        <v>0.740128400750396</v>
      </c>
      <c r="O1458" s="83" t="n">
        <f aca="false">IF(N1458&lt;(Inputs!$E$26-Inputs!$D$26)/(Inputs!$F$26-Inputs!$D$26),Inputs!$D$26+SQRT(N1458*(Inputs!$F$26-Inputs!$D$26)*(Inputs!$E$26-Inputs!$D$26)),Inputs!$F$26-SQRT((1-N1458)*(Inputs!$F$26-Inputs!$D$26)*(Inputs!$F$26-Inputs!$E$26)))</f>
        <v>0.655602170567982</v>
      </c>
      <c r="P1458" s="81" t="n">
        <f aca="true">RAND()</f>
        <v>0.151787936061334</v>
      </c>
      <c r="Q1458" s="82" t="n">
        <f aca="false">IF(P1458&lt;(Inputs!$E$27-Inputs!$D$27)/(Inputs!$F$27-Inputs!$D$27),Inputs!$D$27+SQRT(P1458*(Inputs!$F$27-Inputs!$D$27)*(Inputs!$E$27-Inputs!$D$27)),Inputs!$F$27-SQRT((1-P1458)*(Inputs!$F$27-Inputs!$D$27)*(Inputs!$F$27-Inputs!$E$27)))</f>
        <v>69.4799856302138</v>
      </c>
      <c r="R1458" s="81" t="n">
        <f aca="true">RAND()</f>
        <v>0.666569918038139</v>
      </c>
      <c r="S1458" s="82" t="n">
        <f aca="false">IF(R1458&lt;(Inputs!$E$29-Inputs!$D$29)/(Inputs!$F$29-Inputs!$D$29),Inputs!$D$29+SQRT(R1458*(Inputs!$F$29-Inputs!$D$29)*(Inputs!$E$29-Inputs!$D$29)),Inputs!$F$29-SQRT((1-R1458)*(Inputs!$F$29-Inputs!$D$29)*(Inputs!$F$29-Inputs!$E$29)))</f>
        <v>8.41623886710324</v>
      </c>
      <c r="T1458" s="68" t="n">
        <f aca="false">Inputs!$E$9*(1+E1458)+Inputs!$E$5*C1458*(Inputs!$E$11*Inputs!$E$14*(G1458*I1458/Inputs!$E$16+(1-G1458))*K1458+Inputs!$E$23*M1458)*(1+O1458)+Inputs!$E$5*(Q1458+S1458)</f>
        <v>7262.31482389453</v>
      </c>
    </row>
    <row r="1459" customFormat="false" ht="15" hidden="false" customHeight="false" outlineLevel="0" collapsed="false">
      <c r="A1459" s="1" t="n">
        <v>1455</v>
      </c>
      <c r="B1459" s="81" t="n">
        <f aca="true">RAND()</f>
        <v>0.0995365617392739</v>
      </c>
      <c r="C1459" s="82" t="n">
        <f aca="false">ROUND(IF(B1459&lt;(Inputs!$E$8-Inputs!$D$8)/(Inputs!$F$8-Inputs!$D$8),Inputs!$D$8+SQRT(B1459*(Inputs!$F$8-Inputs!$D$8)*(Inputs!$E$8-Inputs!$D$8)),Inputs!$F$8-SQRT((1-B1459)*(Inputs!$F$8-Inputs!$D$8)*(Inputs!$F$8-Inputs!$E$8))),0)</f>
        <v>22</v>
      </c>
      <c r="D1459" s="81" t="n">
        <f aca="true">RAND()</f>
        <v>0.0621153142760188</v>
      </c>
      <c r="E1459" s="83" t="n">
        <f aca="false">IF(D1459&lt;(Inputs!$E$10-Inputs!$D$10)/(Inputs!$F$10-Inputs!$D$10),Inputs!$D$10+SQRT(D1459*(Inputs!$F$10-Inputs!$D$10)*(Inputs!$E$10-Inputs!$D$10)),Inputs!$F$10-SQRT((1-D1459)*(Inputs!$F$10-Inputs!$D$10)*(Inputs!$F$10-Inputs!$E$10)))</f>
        <v>0.0249229441029784</v>
      </c>
      <c r="F1459" s="81" t="n">
        <f aca="true">RAND()</f>
        <v>0.186118840458891</v>
      </c>
      <c r="G1459" s="83" t="n">
        <f aca="false">IF(F1459&lt;(Inputs!$E$15-Inputs!$D$15)/(Inputs!$F$15-Inputs!$D$15),Inputs!$D$15+SQRT(F1459*(Inputs!$F$15-Inputs!$D$15)*(Inputs!$E$15-Inputs!$D$15)),Inputs!$F$15-SQRT((1-F1459)*(Inputs!$F$15-Inputs!$D$15)*(Inputs!$F$15-Inputs!$E$15)))</f>
        <v>0.661011284277401</v>
      </c>
      <c r="H1459" s="81" t="n">
        <f aca="true">RAND()</f>
        <v>0.406321761423487</v>
      </c>
      <c r="I1459" s="82" t="n">
        <f aca="false">ROUND(IF(H1459&lt;(Inputs!$E$17-Inputs!$D$17)/(Inputs!$F$17-Inputs!$D$17),Inputs!$D$17+SQRT(H1459*(Inputs!$F$17-Inputs!$D$17)*(Inputs!$E$17-Inputs!$D$17)),Inputs!$F$17-SQRT((1-H1459)*(Inputs!$F$17-Inputs!$D$17)*(Inputs!$F$17-Inputs!$E$17))),0)</f>
        <v>106</v>
      </c>
      <c r="J1459" s="81" t="n">
        <f aca="true">RAND()</f>
        <v>0.266319063870601</v>
      </c>
      <c r="K1459" s="83" t="n">
        <f aca="false">IF(J1459&lt;(Inputs!$E$18-Inputs!$D$18)/(Inputs!$F$18-Inputs!$D$18),Inputs!$D$18+SQRT(J1459*(Inputs!$F$18-Inputs!$D$18)*(Inputs!$E$18-Inputs!$D$18)),Inputs!$F$18-SQRT((1-J1459)*(Inputs!$F$18-Inputs!$D$18)*(Inputs!$F$18-Inputs!$E$18)))</f>
        <v>0.996546192237038</v>
      </c>
      <c r="L1459" s="81" t="n">
        <f aca="true">RAND()</f>
        <v>0.000924322812039154</v>
      </c>
      <c r="M1459" s="83" t="n">
        <f aca="false">IF(L1459&lt;(Inputs!$E$24-Inputs!$D$24)/(Inputs!$F$24-Inputs!$D$24),Inputs!$D$24+SQRT(L1459*(Inputs!$F$24-Inputs!$D$24)*(Inputs!$E$24-Inputs!$D$24)),Inputs!$F$24-SQRT((1-L1459)*(Inputs!$F$24-Inputs!$D$24)*(Inputs!$F$24-Inputs!$E$24)))</f>
        <v>0.610531796496548</v>
      </c>
      <c r="N1459" s="81" t="n">
        <f aca="true">RAND()</f>
        <v>0.0909902176165518</v>
      </c>
      <c r="O1459" s="83" t="n">
        <f aca="false">IF(N1459&lt;(Inputs!$E$26-Inputs!$D$26)/(Inputs!$F$26-Inputs!$D$26),Inputs!$D$26+SQRT(N1459*(Inputs!$F$26-Inputs!$D$26)*(Inputs!$E$26-Inputs!$D$26)),Inputs!$F$26-SQRT((1-N1459)*(Inputs!$F$26-Inputs!$D$26)*(Inputs!$F$26-Inputs!$E$26)))</f>
        <v>0.423047845212317</v>
      </c>
      <c r="P1459" s="81" t="n">
        <f aca="true">RAND()</f>
        <v>0.77855602044657</v>
      </c>
      <c r="Q1459" s="82" t="n">
        <f aca="false">IF(P1459&lt;(Inputs!$E$27-Inputs!$D$27)/(Inputs!$F$27-Inputs!$D$27),Inputs!$D$27+SQRT(P1459*(Inputs!$F$27-Inputs!$D$27)*(Inputs!$E$27-Inputs!$D$27)),Inputs!$F$27-SQRT((1-P1459)*(Inputs!$F$27-Inputs!$D$27)*(Inputs!$F$27-Inputs!$E$27)))</f>
        <v>109.246719805018</v>
      </c>
      <c r="R1459" s="81" t="n">
        <f aca="true">RAND()</f>
        <v>0.750535103801904</v>
      </c>
      <c r="S1459" s="82" t="n">
        <f aca="false">IF(R1459&lt;(Inputs!$E$29-Inputs!$D$29)/(Inputs!$F$29-Inputs!$D$29),Inputs!$D$29+SQRT(R1459*(Inputs!$F$29-Inputs!$D$29)*(Inputs!$E$29-Inputs!$D$29)),Inputs!$F$29-SQRT((1-R1459)*(Inputs!$F$29-Inputs!$D$29)*(Inputs!$F$29-Inputs!$E$29)))</f>
        <v>9.30522726478462</v>
      </c>
      <c r="T1459" s="68" t="n">
        <f aca="false">Inputs!$E$9*(1+E1459)+Inputs!$E$5*C1459*(Inputs!$E$11*Inputs!$E$14*(G1459*I1459/Inputs!$E$16+(1-G1459))*K1459+Inputs!$E$23*M1459)*(1+O1459)+Inputs!$E$5*(Q1459+S1459)</f>
        <v>5253.52570720741</v>
      </c>
    </row>
    <row r="1460" customFormat="false" ht="15" hidden="false" customHeight="false" outlineLevel="0" collapsed="false">
      <c r="A1460" s="1" t="n">
        <v>1456</v>
      </c>
      <c r="B1460" s="81" t="n">
        <f aca="true">RAND()</f>
        <v>0.191188610342763</v>
      </c>
      <c r="C1460" s="82" t="n">
        <f aca="false">ROUND(IF(B1460&lt;(Inputs!$E$8-Inputs!$D$8)/(Inputs!$F$8-Inputs!$D$8),Inputs!$D$8+SQRT(B1460*(Inputs!$F$8-Inputs!$D$8)*(Inputs!$E$8-Inputs!$D$8)),Inputs!$F$8-SQRT((1-B1460)*(Inputs!$F$8-Inputs!$D$8)*(Inputs!$F$8-Inputs!$E$8))),0)</f>
        <v>23</v>
      </c>
      <c r="D1460" s="81" t="n">
        <f aca="true">RAND()</f>
        <v>0.685966337267419</v>
      </c>
      <c r="E1460" s="83" t="n">
        <f aca="false">IF(D1460&lt;(Inputs!$E$10-Inputs!$D$10)/(Inputs!$F$10-Inputs!$D$10),Inputs!$D$10+SQRT(D1460*(Inputs!$F$10-Inputs!$D$10)*(Inputs!$E$10-Inputs!$D$10)),Inputs!$F$10-SQRT((1-D1460)*(Inputs!$F$10-Inputs!$D$10)*(Inputs!$F$10-Inputs!$E$10)))</f>
        <v>0.102938113134055</v>
      </c>
      <c r="F1460" s="81" t="n">
        <f aca="true">RAND()</f>
        <v>0.433114535545299</v>
      </c>
      <c r="G1460" s="83" t="n">
        <f aca="false">IF(F1460&lt;(Inputs!$E$15-Inputs!$D$15)/(Inputs!$F$15-Inputs!$D$15),Inputs!$D$15+SQRT(F1460*(Inputs!$F$15-Inputs!$D$15)*(Inputs!$E$15-Inputs!$D$15)),Inputs!$F$15-SQRT((1-F1460)*(Inputs!$F$15-Inputs!$D$15)*(Inputs!$F$15-Inputs!$E$15)))</f>
        <v>0.693071428005087</v>
      </c>
      <c r="H1460" s="81" t="n">
        <f aca="true">RAND()</f>
        <v>0.944429031910757</v>
      </c>
      <c r="I1460" s="82" t="n">
        <f aca="false">ROUND(IF(H1460&lt;(Inputs!$E$17-Inputs!$D$17)/(Inputs!$F$17-Inputs!$D$17),Inputs!$D$17+SQRT(H1460*(Inputs!$F$17-Inputs!$D$17)*(Inputs!$E$17-Inputs!$D$17)),Inputs!$F$17-SQRT((1-H1460)*(Inputs!$F$17-Inputs!$D$17)*(Inputs!$F$17-Inputs!$E$17))),0)</f>
        <v>112</v>
      </c>
      <c r="J1460" s="81" t="n">
        <f aca="true">RAND()</f>
        <v>0.813121560486473</v>
      </c>
      <c r="K1460" s="83" t="n">
        <f aca="false">IF(J1460&lt;(Inputs!$E$18-Inputs!$D$18)/(Inputs!$F$18-Inputs!$D$18),Inputs!$D$18+SQRT(J1460*(Inputs!$F$18-Inputs!$D$18)*(Inputs!$E$18-Inputs!$D$18)),Inputs!$F$18-SQRT((1-J1460)*(Inputs!$F$18-Inputs!$D$18)*(Inputs!$F$18-Inputs!$E$18)))</f>
        <v>1.12212559498698</v>
      </c>
      <c r="L1460" s="81" t="n">
        <f aca="true">RAND()</f>
        <v>0.0561054450604519</v>
      </c>
      <c r="M1460" s="83" t="n">
        <f aca="false">IF(L1460&lt;(Inputs!$E$24-Inputs!$D$24)/(Inputs!$F$24-Inputs!$D$24),Inputs!$D$24+SQRT(L1460*(Inputs!$F$24-Inputs!$D$24)*(Inputs!$E$24-Inputs!$D$24)),Inputs!$F$24-SQRT((1-L1460)*(Inputs!$F$24-Inputs!$D$24)*(Inputs!$F$24-Inputs!$E$24)))</f>
        <v>0.682052747713006</v>
      </c>
      <c r="N1460" s="81" t="n">
        <f aca="true">RAND()</f>
        <v>0.432717163044021</v>
      </c>
      <c r="O1460" s="83" t="n">
        <f aca="false">IF(N1460&lt;(Inputs!$E$26-Inputs!$D$26)/(Inputs!$F$26-Inputs!$D$26),Inputs!$D$26+SQRT(N1460*(Inputs!$F$26-Inputs!$D$26)*(Inputs!$E$26-Inputs!$D$26)),Inputs!$F$26-SQRT((1-N1460)*(Inputs!$F$26-Inputs!$D$26)*(Inputs!$F$26-Inputs!$E$26)))</f>
        <v>0.568335864040805</v>
      </c>
      <c r="P1460" s="81" t="n">
        <f aca="true">RAND()</f>
        <v>0.437607701195692</v>
      </c>
      <c r="Q1460" s="82" t="n">
        <f aca="false">IF(P1460&lt;(Inputs!$E$27-Inputs!$D$27)/(Inputs!$F$27-Inputs!$D$27),Inputs!$D$27+SQRT(P1460*(Inputs!$F$27-Inputs!$D$27)*(Inputs!$E$27-Inputs!$D$27)),Inputs!$F$27-SQRT((1-P1460)*(Inputs!$F$27-Inputs!$D$27)*(Inputs!$F$27-Inputs!$E$27)))</f>
        <v>85.0543131452726</v>
      </c>
      <c r="R1460" s="81" t="n">
        <f aca="true">RAND()</f>
        <v>0.245209207526211</v>
      </c>
      <c r="S1460" s="82" t="n">
        <f aca="false">IF(R1460&lt;(Inputs!$E$29-Inputs!$D$29)/(Inputs!$F$29-Inputs!$D$29),Inputs!$D$29+SQRT(R1460*(Inputs!$F$29-Inputs!$D$29)*(Inputs!$E$29-Inputs!$D$29)),Inputs!$F$29-SQRT((1-R1460)*(Inputs!$F$29-Inputs!$D$29)*(Inputs!$F$29-Inputs!$E$29)))</f>
        <v>5.09430451600734</v>
      </c>
      <c r="T1460" s="68" t="n">
        <f aca="false">Inputs!$E$9*(1+E1460)+Inputs!$E$5*C1460*(Inputs!$E$11*Inputs!$E$14*(G1460*I1460/Inputs!$E$16+(1-G1460))*K1460+Inputs!$E$23*M1460)*(1+O1460)+Inputs!$E$5*(Q1460+S1460)</f>
        <v>6019.05952990179</v>
      </c>
    </row>
    <row r="1461" customFormat="false" ht="15" hidden="false" customHeight="false" outlineLevel="0" collapsed="false">
      <c r="A1461" s="1" t="n">
        <v>1457</v>
      </c>
      <c r="B1461" s="81" t="n">
        <f aca="true">RAND()</f>
        <v>0.91110540831183</v>
      </c>
      <c r="C1461" s="82" t="n">
        <f aca="false">ROUND(IF(B1461&lt;(Inputs!$E$8-Inputs!$D$8)/(Inputs!$F$8-Inputs!$D$8),Inputs!$D$8+SQRT(B1461*(Inputs!$F$8-Inputs!$D$8)*(Inputs!$E$8-Inputs!$D$8)),Inputs!$F$8-SQRT((1-B1461)*(Inputs!$F$8-Inputs!$D$8)*(Inputs!$F$8-Inputs!$E$8))),0)</f>
        <v>28</v>
      </c>
      <c r="D1461" s="81" t="n">
        <f aca="true">RAND()</f>
        <v>0.398502818335176</v>
      </c>
      <c r="E1461" s="83" t="n">
        <f aca="false">IF(D1461&lt;(Inputs!$E$10-Inputs!$D$10)/(Inputs!$F$10-Inputs!$D$10),Inputs!$D$10+SQRT(D1461*(Inputs!$F$10-Inputs!$D$10)*(Inputs!$E$10-Inputs!$D$10)),Inputs!$F$10-SQRT((1-D1461)*(Inputs!$F$10-Inputs!$D$10)*(Inputs!$F$10-Inputs!$E$10)))</f>
        <v>0.0656686356432545</v>
      </c>
      <c r="F1461" s="81" t="n">
        <f aca="true">RAND()</f>
        <v>0.358922041339336</v>
      </c>
      <c r="G1461" s="83" t="n">
        <f aca="false">IF(F1461&lt;(Inputs!$E$15-Inputs!$D$15)/(Inputs!$F$15-Inputs!$D$15),Inputs!$D$15+SQRT(F1461*(Inputs!$F$15-Inputs!$D$15)*(Inputs!$E$15-Inputs!$D$15)),Inputs!$F$15-SQRT((1-F1461)*(Inputs!$F$15-Inputs!$D$15)*(Inputs!$F$15-Inputs!$E$15)))</f>
        <v>0.684725679854379</v>
      </c>
      <c r="H1461" s="81" t="n">
        <f aca="true">RAND()</f>
        <v>0.932941130003048</v>
      </c>
      <c r="I1461" s="82" t="n">
        <f aca="false">ROUND(IF(H1461&lt;(Inputs!$E$17-Inputs!$D$17)/(Inputs!$F$17-Inputs!$D$17),Inputs!$D$17+SQRT(H1461*(Inputs!$F$17-Inputs!$D$17)*(Inputs!$E$17-Inputs!$D$17)),Inputs!$F$17-SQRT((1-H1461)*(Inputs!$F$17-Inputs!$D$17)*(Inputs!$F$17-Inputs!$E$17))),0)</f>
        <v>112</v>
      </c>
      <c r="J1461" s="81" t="n">
        <f aca="true">RAND()</f>
        <v>0.996988946177788</v>
      </c>
      <c r="K1461" s="83" t="n">
        <f aca="false">IF(J1461&lt;(Inputs!$E$18-Inputs!$D$18)/(Inputs!$F$18-Inputs!$D$18),Inputs!$D$18+SQRT(J1461*(Inputs!$F$18-Inputs!$D$18)*(Inputs!$E$18-Inputs!$D$18)),Inputs!$F$18-SQRT((1-J1461)*(Inputs!$F$18-Inputs!$D$18)*(Inputs!$F$18-Inputs!$E$18)))</f>
        <v>1.23376832696721</v>
      </c>
      <c r="L1461" s="81" t="n">
        <f aca="true">RAND()</f>
        <v>0.263611406430892</v>
      </c>
      <c r="M1461" s="83" t="n">
        <f aca="false">IF(L1461&lt;(Inputs!$E$24-Inputs!$D$24)/(Inputs!$F$24-Inputs!$D$24),Inputs!$D$24+SQRT(L1461*(Inputs!$F$24-Inputs!$D$24)*(Inputs!$E$24-Inputs!$D$24)),Inputs!$F$24-SQRT((1-L1461)*(Inputs!$F$24-Inputs!$D$24)*(Inputs!$F$24-Inputs!$E$24)))</f>
        <v>0.777857720585043</v>
      </c>
      <c r="N1461" s="81" t="n">
        <f aca="true">RAND()</f>
        <v>0.692284243833604</v>
      </c>
      <c r="O1461" s="83" t="n">
        <f aca="false">IF(N1461&lt;(Inputs!$E$26-Inputs!$D$26)/(Inputs!$F$26-Inputs!$D$26),Inputs!$D$26+SQRT(N1461*(Inputs!$F$26-Inputs!$D$26)*(Inputs!$E$26-Inputs!$D$26)),Inputs!$F$26-SQRT((1-N1461)*(Inputs!$F$26-Inputs!$D$26)*(Inputs!$F$26-Inputs!$E$26)))</f>
        <v>0.64110774572021</v>
      </c>
      <c r="P1461" s="81" t="n">
        <f aca="true">RAND()</f>
        <v>0.36980550370156</v>
      </c>
      <c r="Q1461" s="82" t="n">
        <f aca="false">IF(P1461&lt;(Inputs!$E$27-Inputs!$D$27)/(Inputs!$F$27-Inputs!$D$27),Inputs!$D$27+SQRT(P1461*(Inputs!$F$27-Inputs!$D$27)*(Inputs!$E$27-Inputs!$D$27)),Inputs!$F$27-SQRT((1-P1461)*(Inputs!$F$27-Inputs!$D$27)*(Inputs!$F$27-Inputs!$E$27)))</f>
        <v>81.2507547515007</v>
      </c>
      <c r="R1461" s="81" t="n">
        <f aca="true">RAND()</f>
        <v>0.668825679203126</v>
      </c>
      <c r="S1461" s="82" t="n">
        <f aca="false">IF(R1461&lt;(Inputs!$E$29-Inputs!$D$29)/(Inputs!$F$29-Inputs!$D$29),Inputs!$D$29+SQRT(R1461*(Inputs!$F$29-Inputs!$D$29)*(Inputs!$E$29-Inputs!$D$29)),Inputs!$F$29-SQRT((1-R1461)*(Inputs!$F$29-Inputs!$D$29)*(Inputs!$F$29-Inputs!$E$29)))</f>
        <v>8.43854728710222</v>
      </c>
      <c r="T1461" s="68" t="n">
        <f aca="false">Inputs!$E$9*(1+E1461)+Inputs!$E$5*C1461*(Inputs!$E$11*Inputs!$E$14*(G1461*I1461/Inputs!$E$16+(1-G1461))*K1461+Inputs!$E$23*M1461)*(1+O1461)+Inputs!$E$5*(Q1461+S1461)</f>
        <v>7253.61963325468</v>
      </c>
    </row>
    <row r="1462" customFormat="false" ht="15" hidden="false" customHeight="false" outlineLevel="0" collapsed="false">
      <c r="A1462" s="1" t="n">
        <v>1458</v>
      </c>
      <c r="B1462" s="81" t="n">
        <f aca="true">RAND()</f>
        <v>0.731977569265712</v>
      </c>
      <c r="C1462" s="82" t="n">
        <f aca="false">ROUND(IF(B1462&lt;(Inputs!$E$8-Inputs!$D$8)/(Inputs!$F$8-Inputs!$D$8),Inputs!$D$8+SQRT(B1462*(Inputs!$F$8-Inputs!$D$8)*(Inputs!$E$8-Inputs!$D$8)),Inputs!$F$8-SQRT((1-B1462)*(Inputs!$F$8-Inputs!$D$8)*(Inputs!$F$8-Inputs!$E$8))),0)</f>
        <v>26</v>
      </c>
      <c r="D1462" s="81" t="n">
        <f aca="true">RAND()</f>
        <v>0.332107708759601</v>
      </c>
      <c r="E1462" s="83" t="n">
        <f aca="false">IF(D1462&lt;(Inputs!$E$10-Inputs!$D$10)/(Inputs!$F$10-Inputs!$D$10),Inputs!$D$10+SQRT(D1462*(Inputs!$F$10-Inputs!$D$10)*(Inputs!$E$10-Inputs!$D$10)),Inputs!$F$10-SQRT((1-D1462)*(Inputs!$F$10-Inputs!$D$10)*(Inputs!$F$10-Inputs!$E$10)))</f>
        <v>0.0584487063386139</v>
      </c>
      <c r="F1462" s="81" t="n">
        <f aca="true">RAND()</f>
        <v>0.990280243705327</v>
      </c>
      <c r="G1462" s="83" t="n">
        <f aca="false">IF(F1462&lt;(Inputs!$E$15-Inputs!$D$15)/(Inputs!$F$15-Inputs!$D$15),Inputs!$D$15+SQRT(F1462*(Inputs!$F$15-Inputs!$D$15)*(Inputs!$E$15-Inputs!$D$15)),Inputs!$F$15-SQRT((1-F1462)*(Inputs!$F$15-Inputs!$D$15)*(Inputs!$F$15-Inputs!$E$15)))</f>
        <v>0.786057434744873</v>
      </c>
      <c r="H1462" s="81" t="n">
        <f aca="true">RAND()</f>
        <v>0.487406416115978</v>
      </c>
      <c r="I1462" s="82" t="n">
        <f aca="false">ROUND(IF(H1462&lt;(Inputs!$E$17-Inputs!$D$17)/(Inputs!$F$17-Inputs!$D$17),Inputs!$D$17+SQRT(H1462*(Inputs!$F$17-Inputs!$D$17)*(Inputs!$E$17-Inputs!$D$17)),Inputs!$F$17-SQRT((1-H1462)*(Inputs!$F$17-Inputs!$D$17)*(Inputs!$F$17-Inputs!$E$17))),0)</f>
        <v>106</v>
      </c>
      <c r="J1462" s="81" t="n">
        <f aca="true">RAND()</f>
        <v>0.619106634714294</v>
      </c>
      <c r="K1462" s="83" t="n">
        <f aca="false">IF(J1462&lt;(Inputs!$E$18-Inputs!$D$18)/(Inputs!$F$18-Inputs!$D$18),Inputs!$D$18+SQRT(J1462*(Inputs!$F$18-Inputs!$D$18)*(Inputs!$E$18-Inputs!$D$18)),Inputs!$F$18-SQRT((1-J1462)*(Inputs!$F$18-Inputs!$D$18)*(Inputs!$F$18-Inputs!$E$18)))</f>
        <v>1.06743995655539</v>
      </c>
      <c r="L1462" s="81" t="n">
        <f aca="true">RAND()</f>
        <v>0.0463306875174496</v>
      </c>
      <c r="M1462" s="83" t="n">
        <f aca="false">IF(L1462&lt;(Inputs!$E$24-Inputs!$D$24)/(Inputs!$F$24-Inputs!$D$24),Inputs!$D$24+SQRT(L1462*(Inputs!$F$24-Inputs!$D$24)*(Inputs!$E$24-Inputs!$D$24)),Inputs!$F$24-SQRT((1-L1462)*(Inputs!$F$24-Inputs!$D$24)*(Inputs!$F$24-Inputs!$E$24)))</f>
        <v>0.674563278509558</v>
      </c>
      <c r="N1462" s="81" t="n">
        <f aca="true">RAND()</f>
        <v>0.351747135471537</v>
      </c>
      <c r="O1462" s="83" t="n">
        <f aca="false">IF(N1462&lt;(Inputs!$E$26-Inputs!$D$26)/(Inputs!$F$26-Inputs!$D$26),Inputs!$D$26+SQRT(N1462*(Inputs!$F$26-Inputs!$D$26)*(Inputs!$E$26-Inputs!$D$26)),Inputs!$F$26-SQRT((1-N1462)*(Inputs!$F$26-Inputs!$D$26)*(Inputs!$F$26-Inputs!$E$26)))</f>
        <v>0.541931236805965</v>
      </c>
      <c r="P1462" s="81" t="n">
        <f aca="true">RAND()</f>
        <v>0.708171144039344</v>
      </c>
      <c r="Q1462" s="82" t="n">
        <f aca="false">IF(P1462&lt;(Inputs!$E$27-Inputs!$D$27)/(Inputs!$F$27-Inputs!$D$27),Inputs!$D$27+SQRT(P1462*(Inputs!$F$27-Inputs!$D$27)*(Inputs!$E$27-Inputs!$D$27)),Inputs!$F$27-SQRT((1-P1462)*(Inputs!$F$27-Inputs!$D$27)*(Inputs!$F$27-Inputs!$E$27)))</f>
        <v>103.216280399001</v>
      </c>
      <c r="R1462" s="81" t="n">
        <f aca="true">RAND()</f>
        <v>0.94141597467942</v>
      </c>
      <c r="S1462" s="82" t="n">
        <f aca="false">IF(R1462&lt;(Inputs!$E$29-Inputs!$D$29)/(Inputs!$F$29-Inputs!$D$29),Inputs!$D$29+SQRT(R1462*(Inputs!$F$29-Inputs!$D$29)*(Inputs!$E$29-Inputs!$D$29)),Inputs!$F$29-SQRT((1-R1462)*(Inputs!$F$29-Inputs!$D$29)*(Inputs!$F$29-Inputs!$E$29)))</f>
        <v>12.2403037682246</v>
      </c>
      <c r="T1462" s="68" t="n">
        <f aca="false">Inputs!$E$9*(1+E1462)+Inputs!$E$5*C1462*(Inputs!$E$11*Inputs!$E$14*(G1462*I1462/Inputs!$E$16+(1-G1462))*K1462+Inputs!$E$23*M1462)*(1+O1462)+Inputs!$E$5*(Q1462+S1462)</f>
        <v>6059.42206091249</v>
      </c>
    </row>
    <row r="1463" customFormat="false" ht="15" hidden="false" customHeight="false" outlineLevel="0" collapsed="false">
      <c r="A1463" s="1" t="n">
        <v>1459</v>
      </c>
      <c r="B1463" s="81" t="n">
        <f aca="true">RAND()</f>
        <v>0.363673253592845</v>
      </c>
      <c r="C1463" s="82" t="n">
        <f aca="false">ROUND(IF(B1463&lt;(Inputs!$E$8-Inputs!$D$8)/(Inputs!$F$8-Inputs!$D$8),Inputs!$D$8+SQRT(B1463*(Inputs!$F$8-Inputs!$D$8)*(Inputs!$E$8-Inputs!$D$8)),Inputs!$F$8-SQRT((1-B1463)*(Inputs!$F$8-Inputs!$D$8)*(Inputs!$F$8-Inputs!$E$8))),0)</f>
        <v>24</v>
      </c>
      <c r="D1463" s="81" t="n">
        <f aca="true">RAND()</f>
        <v>0.77367289333807</v>
      </c>
      <c r="E1463" s="83" t="n">
        <f aca="false">IF(D1463&lt;(Inputs!$E$10-Inputs!$D$10)/(Inputs!$F$10-Inputs!$D$10),Inputs!$D$10+SQRT(D1463*(Inputs!$F$10-Inputs!$D$10)*(Inputs!$E$10-Inputs!$D$10)),Inputs!$F$10-SQRT((1-D1463)*(Inputs!$F$10-Inputs!$D$10)*(Inputs!$F$10-Inputs!$E$10)))</f>
        <v>0.117599677185961</v>
      </c>
      <c r="F1463" s="81" t="n">
        <f aca="true">RAND()</f>
        <v>0.146149815226815</v>
      </c>
      <c r="G1463" s="83" t="n">
        <f aca="false">IF(F1463&lt;(Inputs!$E$15-Inputs!$D$15)/(Inputs!$F$15-Inputs!$D$15),Inputs!$D$15+SQRT(F1463*(Inputs!$F$15-Inputs!$D$15)*(Inputs!$E$15-Inputs!$D$15)),Inputs!$F$15-SQRT((1-F1463)*(Inputs!$F$15-Inputs!$D$15)*(Inputs!$F$15-Inputs!$E$15)))</f>
        <v>0.654064741787382</v>
      </c>
      <c r="H1463" s="81" t="n">
        <f aca="true">RAND()</f>
        <v>0.751620043268913</v>
      </c>
      <c r="I1463" s="82" t="n">
        <f aca="false">ROUND(IF(H1463&lt;(Inputs!$E$17-Inputs!$D$17)/(Inputs!$F$17-Inputs!$D$17),Inputs!$D$17+SQRT(H1463*(Inputs!$F$17-Inputs!$D$17)*(Inputs!$E$17-Inputs!$D$17)),Inputs!$F$17-SQRT((1-H1463)*(Inputs!$F$17-Inputs!$D$17)*(Inputs!$F$17-Inputs!$E$17))),0)</f>
        <v>109</v>
      </c>
      <c r="J1463" s="81" t="n">
        <f aca="true">RAND()</f>
        <v>0.577701968810636</v>
      </c>
      <c r="K1463" s="83" t="n">
        <f aca="false">IF(J1463&lt;(Inputs!$E$18-Inputs!$D$18)/(Inputs!$F$18-Inputs!$D$18),Inputs!$D$18+SQRT(J1463*(Inputs!$F$18-Inputs!$D$18)*(Inputs!$E$18-Inputs!$D$18)),Inputs!$F$18-SQRT((1-J1463)*(Inputs!$F$18-Inputs!$D$18)*(Inputs!$F$18-Inputs!$E$18)))</f>
        <v>1.05777336883494</v>
      </c>
      <c r="L1463" s="81" t="n">
        <f aca="true">RAND()</f>
        <v>0.751423796773763</v>
      </c>
      <c r="M1463" s="83" t="n">
        <f aca="false">IF(L1463&lt;(Inputs!$E$24-Inputs!$D$24)/(Inputs!$F$24-Inputs!$D$24),Inputs!$D$24+SQRT(L1463*(Inputs!$F$24-Inputs!$D$24)*(Inputs!$E$24-Inputs!$D$24)),Inputs!$F$24-SQRT((1-L1463)*(Inputs!$F$24-Inputs!$D$24)*(Inputs!$F$24-Inputs!$E$24)))</f>
        <v>0.955749536798194</v>
      </c>
      <c r="N1463" s="81" t="n">
        <f aca="true">RAND()</f>
        <v>0.92547915541314</v>
      </c>
      <c r="O1463" s="83" t="n">
        <f aca="false">IF(N1463&lt;(Inputs!$E$26-Inputs!$D$26)/(Inputs!$F$26-Inputs!$D$26),Inputs!$D$26+SQRT(N1463*(Inputs!$F$26-Inputs!$D$26)*(Inputs!$E$26-Inputs!$D$26)),Inputs!$F$26-SQRT((1-N1463)*(Inputs!$F$26-Inputs!$D$26)*(Inputs!$F$26-Inputs!$E$26)))</f>
        <v>0.731964962446572</v>
      </c>
      <c r="P1463" s="81" t="n">
        <f aca="true">RAND()</f>
        <v>0.854484245689606</v>
      </c>
      <c r="Q1463" s="82" t="n">
        <f aca="false">IF(P1463&lt;(Inputs!$E$27-Inputs!$D$27)/(Inputs!$F$27-Inputs!$D$27),Inputs!$D$27+SQRT(P1463*(Inputs!$F$27-Inputs!$D$27)*(Inputs!$E$27-Inputs!$D$27)),Inputs!$F$27-SQRT((1-P1463)*(Inputs!$F$27-Inputs!$D$27)*(Inputs!$F$27-Inputs!$E$27)))</f>
        <v>116.96413831413</v>
      </c>
      <c r="R1463" s="81" t="n">
        <f aca="true">RAND()</f>
        <v>0.110260852932935</v>
      </c>
      <c r="S1463" s="82" t="n">
        <f aca="false">IF(R1463&lt;(Inputs!$E$29-Inputs!$D$29)/(Inputs!$F$29-Inputs!$D$29),Inputs!$D$29+SQRT(R1463*(Inputs!$F$29-Inputs!$D$29)*(Inputs!$E$29-Inputs!$D$29)),Inputs!$F$29-SQRT((1-R1463)*(Inputs!$F$29-Inputs!$D$29)*(Inputs!$F$29-Inputs!$E$29)))</f>
        <v>4.0736859126648</v>
      </c>
      <c r="T1463" s="68" t="n">
        <f aca="false">Inputs!$E$9*(1+E1463)+Inputs!$E$5*C1463*(Inputs!$E$11*Inputs!$E$14*(G1463*I1463/Inputs!$E$16+(1-G1463))*K1463+Inputs!$E$23*M1463)*(1+O1463)+Inputs!$E$5*(Q1463+S1463)</f>
        <v>6956.55287367988</v>
      </c>
    </row>
    <row r="1464" customFormat="false" ht="15" hidden="false" customHeight="false" outlineLevel="0" collapsed="false">
      <c r="A1464" s="1" t="n">
        <v>1460</v>
      </c>
      <c r="B1464" s="81" t="n">
        <f aca="true">RAND()</f>
        <v>0.937295692960514</v>
      </c>
      <c r="C1464" s="82" t="n">
        <f aca="false">ROUND(IF(B1464&lt;(Inputs!$E$8-Inputs!$D$8)/(Inputs!$F$8-Inputs!$D$8),Inputs!$D$8+SQRT(B1464*(Inputs!$F$8-Inputs!$D$8)*(Inputs!$E$8-Inputs!$D$8)),Inputs!$F$8-SQRT((1-B1464)*(Inputs!$F$8-Inputs!$D$8)*(Inputs!$F$8-Inputs!$E$8))),0)</f>
        <v>28</v>
      </c>
      <c r="D1464" s="81" t="n">
        <f aca="true">RAND()</f>
        <v>0.302236629905079</v>
      </c>
      <c r="E1464" s="83" t="n">
        <f aca="false">IF(D1464&lt;(Inputs!$E$10-Inputs!$D$10)/(Inputs!$F$10-Inputs!$D$10),Inputs!$D$10+SQRT(D1464*(Inputs!$F$10-Inputs!$D$10)*(Inputs!$E$10-Inputs!$D$10)),Inputs!$F$10-SQRT((1-D1464)*(Inputs!$F$10-Inputs!$D$10)*(Inputs!$F$10-Inputs!$E$10)))</f>
        <v>0.0553179309560178</v>
      </c>
      <c r="F1464" s="81" t="n">
        <f aca="true">RAND()</f>
        <v>0.903985623897531</v>
      </c>
      <c r="G1464" s="83" t="n">
        <f aca="false">IF(F1464&lt;(Inputs!$E$15-Inputs!$D$15)/(Inputs!$F$15-Inputs!$D$15),Inputs!$D$15+SQRT(F1464*(Inputs!$F$15-Inputs!$D$15)*(Inputs!$E$15-Inputs!$D$15)),Inputs!$F$15-SQRT((1-F1464)*(Inputs!$F$15-Inputs!$D$15)*(Inputs!$F$15-Inputs!$E$15)))</f>
        <v>0.756178914640902</v>
      </c>
      <c r="H1464" s="81" t="n">
        <f aca="true">RAND()</f>
        <v>0.154361370377956</v>
      </c>
      <c r="I1464" s="82" t="n">
        <f aca="false">ROUND(IF(H1464&lt;(Inputs!$E$17-Inputs!$D$17)/(Inputs!$F$17-Inputs!$D$17),Inputs!$D$17+SQRT(H1464*(Inputs!$F$17-Inputs!$D$17)*(Inputs!$E$17-Inputs!$D$17)),Inputs!$F$17-SQRT((1-H1464)*(Inputs!$F$17-Inputs!$D$17)*(Inputs!$F$17-Inputs!$E$17))),0)</f>
        <v>103</v>
      </c>
      <c r="J1464" s="81" t="n">
        <f aca="true">RAND()</f>
        <v>0.814929248578334</v>
      </c>
      <c r="K1464" s="83" t="n">
        <f aca="false">IF(J1464&lt;(Inputs!$E$18-Inputs!$D$18)/(Inputs!$F$18-Inputs!$D$18),Inputs!$D$18+SQRT(J1464*(Inputs!$F$18-Inputs!$D$18)*(Inputs!$E$18-Inputs!$D$18)),Inputs!$F$18-SQRT((1-J1464)*(Inputs!$F$18-Inputs!$D$18)*(Inputs!$F$18-Inputs!$E$18)))</f>
        <v>1.12274556687724</v>
      </c>
      <c r="L1464" s="81" t="n">
        <f aca="true">RAND()</f>
        <v>0.50330093649035</v>
      </c>
      <c r="M1464" s="83" t="n">
        <f aca="false">IF(L1464&lt;(Inputs!$E$24-Inputs!$D$24)/(Inputs!$F$24-Inputs!$D$24),Inputs!$D$24+SQRT(L1464*(Inputs!$F$24-Inputs!$D$24)*(Inputs!$E$24-Inputs!$D$24)),Inputs!$F$24-SQRT((1-L1464)*(Inputs!$F$24-Inputs!$D$24)*(Inputs!$F$24-Inputs!$E$24)))</f>
        <v>0.854735209958623</v>
      </c>
      <c r="N1464" s="81" t="n">
        <f aca="true">RAND()</f>
        <v>0.811336433964036</v>
      </c>
      <c r="O1464" s="83" t="n">
        <f aca="false">IF(N1464&lt;(Inputs!$E$26-Inputs!$D$26)/(Inputs!$F$26-Inputs!$D$26),Inputs!$D$26+SQRT(N1464*(Inputs!$F$26-Inputs!$D$26)*(Inputs!$E$26-Inputs!$D$26)),Inputs!$F$26-SQRT((1-N1464)*(Inputs!$F$26-Inputs!$D$26)*(Inputs!$F$26-Inputs!$E$26)))</f>
        <v>0.679924981285954</v>
      </c>
      <c r="P1464" s="81" t="n">
        <f aca="true">RAND()</f>
        <v>0.147753788998982</v>
      </c>
      <c r="Q1464" s="82" t="n">
        <f aca="false">IF(P1464&lt;(Inputs!$E$27-Inputs!$D$27)/(Inputs!$F$27-Inputs!$D$27),Inputs!$D$27+SQRT(P1464*(Inputs!$F$27-Inputs!$D$27)*(Inputs!$E$27-Inputs!$D$27)),Inputs!$F$27-SQRT((1-P1464)*(Inputs!$F$27-Inputs!$D$27)*(Inputs!$F$27-Inputs!$E$27)))</f>
        <v>69.2193775262742</v>
      </c>
      <c r="R1464" s="81" t="n">
        <f aca="true">RAND()</f>
        <v>0.964877856911766</v>
      </c>
      <c r="S1464" s="82" t="n">
        <f aca="false">IF(R1464&lt;(Inputs!$E$29-Inputs!$D$29)/(Inputs!$F$29-Inputs!$D$29),Inputs!$D$29+SQRT(R1464*(Inputs!$F$29-Inputs!$D$29)*(Inputs!$E$29-Inputs!$D$29)),Inputs!$F$29-SQRT((1-R1464)*(Inputs!$F$29-Inputs!$D$29)*(Inputs!$F$29-Inputs!$E$29)))</f>
        <v>12.8632083392454</v>
      </c>
      <c r="T1464" s="68" t="n">
        <f aca="false">Inputs!$E$9*(1+E1464)+Inputs!$E$5*C1464*(Inputs!$E$11*Inputs!$E$14*(G1464*I1464/Inputs!$E$16+(1-G1464))*K1464+Inputs!$E$23*M1464)*(1+O1464)+Inputs!$E$5*(Q1464+S1464)</f>
        <v>6869.43759759526</v>
      </c>
    </row>
    <row r="1465" customFormat="false" ht="15" hidden="false" customHeight="false" outlineLevel="0" collapsed="false">
      <c r="A1465" s="1" t="n">
        <v>1461</v>
      </c>
      <c r="B1465" s="81" t="n">
        <f aca="true">RAND()</f>
        <v>0.942978251816151</v>
      </c>
      <c r="C1465" s="82" t="n">
        <f aca="false">ROUND(IF(B1465&lt;(Inputs!$E$8-Inputs!$D$8)/(Inputs!$F$8-Inputs!$D$8),Inputs!$D$8+SQRT(B1465*(Inputs!$F$8-Inputs!$D$8)*(Inputs!$E$8-Inputs!$D$8)),Inputs!$F$8-SQRT((1-B1465)*(Inputs!$F$8-Inputs!$D$8)*(Inputs!$F$8-Inputs!$E$8))),0)</f>
        <v>28</v>
      </c>
      <c r="D1465" s="81" t="n">
        <f aca="true">RAND()</f>
        <v>0.192678066966506</v>
      </c>
      <c r="E1465" s="83" t="n">
        <f aca="false">IF(D1465&lt;(Inputs!$E$10-Inputs!$D$10)/(Inputs!$F$10-Inputs!$D$10),Inputs!$D$10+SQRT(D1465*(Inputs!$F$10-Inputs!$D$10)*(Inputs!$E$10-Inputs!$D$10)),Inputs!$F$10-SQRT((1-D1465)*(Inputs!$F$10-Inputs!$D$10)*(Inputs!$F$10-Inputs!$E$10)))</f>
        <v>0.0438951098604965</v>
      </c>
      <c r="F1465" s="81" t="n">
        <f aca="true">RAND()</f>
        <v>0.45039012710525</v>
      </c>
      <c r="G1465" s="83" t="n">
        <f aca="false">IF(F1465&lt;(Inputs!$E$15-Inputs!$D$15)/(Inputs!$F$15-Inputs!$D$15),Inputs!$D$15+SQRT(F1465*(Inputs!$F$15-Inputs!$D$15)*(Inputs!$E$15-Inputs!$D$15)),Inputs!$F$15-SQRT((1-F1465)*(Inputs!$F$15-Inputs!$D$15)*(Inputs!$F$15-Inputs!$E$15)))</f>
        <v>0.694909443903676</v>
      </c>
      <c r="H1465" s="81" t="n">
        <f aca="true">RAND()</f>
        <v>0.751093195265436</v>
      </c>
      <c r="I1465" s="82" t="n">
        <f aca="false">ROUND(IF(H1465&lt;(Inputs!$E$17-Inputs!$D$17)/(Inputs!$F$17-Inputs!$D$17),Inputs!$D$17+SQRT(H1465*(Inputs!$F$17-Inputs!$D$17)*(Inputs!$E$17-Inputs!$D$17)),Inputs!$F$17-SQRT((1-H1465)*(Inputs!$F$17-Inputs!$D$17)*(Inputs!$F$17-Inputs!$E$17))),0)</f>
        <v>109</v>
      </c>
      <c r="J1465" s="81" t="n">
        <f aca="true">RAND()</f>
        <v>0.477279404222737</v>
      </c>
      <c r="K1465" s="83" t="n">
        <f aca="false">IF(J1465&lt;(Inputs!$E$18-Inputs!$D$18)/(Inputs!$F$18-Inputs!$D$18),Inputs!$D$18+SQRT(J1465*(Inputs!$F$18-Inputs!$D$18)*(Inputs!$E$18-Inputs!$D$18)),Inputs!$F$18-SQRT((1-J1465)*(Inputs!$F$18-Inputs!$D$18)*(Inputs!$F$18-Inputs!$E$18)))</f>
        <v>1.03613543507511</v>
      </c>
      <c r="L1465" s="81" t="n">
        <f aca="true">RAND()</f>
        <v>0.979163614775586</v>
      </c>
      <c r="M1465" s="83" t="n">
        <f aca="false">IF(L1465&lt;(Inputs!$E$24-Inputs!$D$24)/(Inputs!$F$24-Inputs!$D$24),Inputs!$D$24+SQRT(L1465*(Inputs!$F$24-Inputs!$D$24)*(Inputs!$E$24-Inputs!$D$24)),Inputs!$F$24-SQRT((1-L1465)*(Inputs!$F$24-Inputs!$D$24)*(Inputs!$F$24-Inputs!$E$24)))</f>
        <v>1.1292841428401</v>
      </c>
      <c r="N1465" s="81" t="n">
        <f aca="true">RAND()</f>
        <v>0.301258128287942</v>
      </c>
      <c r="O1465" s="83" t="n">
        <f aca="false">IF(N1465&lt;(Inputs!$E$26-Inputs!$D$26)/(Inputs!$F$26-Inputs!$D$26),Inputs!$D$26+SQRT(N1465*(Inputs!$F$26-Inputs!$D$26)*(Inputs!$E$26-Inputs!$D$26)),Inputs!$F$26-SQRT((1-N1465)*(Inputs!$F$26-Inputs!$D$26)*(Inputs!$F$26-Inputs!$E$26)))</f>
        <v>0.52389585200962</v>
      </c>
      <c r="P1465" s="81" t="n">
        <f aca="true">RAND()</f>
        <v>0.845019038940068</v>
      </c>
      <c r="Q1465" s="82" t="n">
        <f aca="false">IF(P1465&lt;(Inputs!$E$27-Inputs!$D$27)/(Inputs!$F$27-Inputs!$D$27),Inputs!$D$27+SQRT(P1465*(Inputs!$F$27-Inputs!$D$27)*(Inputs!$E$27-Inputs!$D$27)),Inputs!$F$27-SQRT((1-P1465)*(Inputs!$F$27-Inputs!$D$27)*(Inputs!$F$27-Inputs!$E$27)))</f>
        <v>115.906639826067</v>
      </c>
      <c r="R1465" s="81" t="n">
        <f aca="true">RAND()</f>
        <v>0.120243254977377</v>
      </c>
      <c r="S1465" s="82" t="n">
        <f aca="false">IF(R1465&lt;(Inputs!$E$29-Inputs!$D$29)/(Inputs!$F$29-Inputs!$D$29),Inputs!$D$29+SQRT(R1465*(Inputs!$F$29-Inputs!$D$29)*(Inputs!$E$29-Inputs!$D$29)),Inputs!$F$29-SQRT((1-R1465)*(Inputs!$F$29-Inputs!$D$29)*(Inputs!$F$29-Inputs!$E$29)))</f>
        <v>4.16552232593379</v>
      </c>
      <c r="T1465" s="68" t="n">
        <f aca="false">Inputs!$E$9*(1+E1465)+Inputs!$E$5*C1465*(Inputs!$E$11*Inputs!$E$14*(G1465*I1465/Inputs!$E$16+(1-G1465))*K1465+Inputs!$E$23*M1465)*(1+O1465)+Inputs!$E$5*(Q1465+S1465)</f>
        <v>7047.62184717626</v>
      </c>
    </row>
    <row r="1466" customFormat="false" ht="15" hidden="false" customHeight="false" outlineLevel="0" collapsed="false">
      <c r="A1466" s="1" t="n">
        <v>1462</v>
      </c>
      <c r="B1466" s="81" t="n">
        <f aca="true">RAND()</f>
        <v>0.393947001202415</v>
      </c>
      <c r="C1466" s="82" t="n">
        <f aca="false">ROUND(IF(B1466&lt;(Inputs!$E$8-Inputs!$D$8)/(Inputs!$F$8-Inputs!$D$8),Inputs!$D$8+SQRT(B1466*(Inputs!$F$8-Inputs!$D$8)*(Inputs!$E$8-Inputs!$D$8)),Inputs!$F$8-SQRT((1-B1466)*(Inputs!$F$8-Inputs!$D$8)*(Inputs!$F$8-Inputs!$E$8))),0)</f>
        <v>24</v>
      </c>
      <c r="D1466" s="81" t="n">
        <f aca="true">RAND()</f>
        <v>0.677906125589825</v>
      </c>
      <c r="E1466" s="83" t="n">
        <f aca="false">IF(D1466&lt;(Inputs!$E$10-Inputs!$D$10)/(Inputs!$F$10-Inputs!$D$10),Inputs!$D$10+SQRT(D1466*(Inputs!$F$10-Inputs!$D$10)*(Inputs!$E$10-Inputs!$D$10)),Inputs!$F$10-SQRT((1-D1466)*(Inputs!$F$10-Inputs!$D$10)*(Inputs!$F$10-Inputs!$E$10)))</f>
        <v>0.101700375217882</v>
      </c>
      <c r="F1466" s="81" t="n">
        <f aca="true">RAND()</f>
        <v>0.478829658529096</v>
      </c>
      <c r="G1466" s="83" t="n">
        <f aca="false">IF(F1466&lt;(Inputs!$E$15-Inputs!$D$15)/(Inputs!$F$15-Inputs!$D$15),Inputs!$D$15+SQRT(F1466*(Inputs!$F$15-Inputs!$D$15)*(Inputs!$E$15-Inputs!$D$15)),Inputs!$F$15-SQRT((1-F1466)*(Inputs!$F$15-Inputs!$D$15)*(Inputs!$F$15-Inputs!$E$15)))</f>
        <v>0.697860069336691</v>
      </c>
      <c r="H1466" s="81" t="n">
        <f aca="true">RAND()</f>
        <v>0.16845879770487</v>
      </c>
      <c r="I1466" s="82" t="n">
        <f aca="false">ROUND(IF(H1466&lt;(Inputs!$E$17-Inputs!$D$17)/(Inputs!$F$17-Inputs!$D$17),Inputs!$D$17+SQRT(H1466*(Inputs!$F$17-Inputs!$D$17)*(Inputs!$E$17-Inputs!$D$17)),Inputs!$F$17-SQRT((1-H1466)*(Inputs!$F$17-Inputs!$D$17)*(Inputs!$F$17-Inputs!$E$17))),0)</f>
        <v>104</v>
      </c>
      <c r="J1466" s="81" t="n">
        <f aca="true">RAND()</f>
        <v>0.377865007101036</v>
      </c>
      <c r="K1466" s="83" t="n">
        <f aca="false">IF(J1466&lt;(Inputs!$E$18-Inputs!$D$18)/(Inputs!$F$18-Inputs!$D$18),Inputs!$D$18+SQRT(J1466*(Inputs!$F$18-Inputs!$D$18)*(Inputs!$E$18-Inputs!$D$18)),Inputs!$F$18-SQRT((1-J1466)*(Inputs!$F$18-Inputs!$D$18)*(Inputs!$F$18-Inputs!$E$18)))</f>
        <v>1.01668302273804</v>
      </c>
      <c r="L1466" s="81" t="n">
        <f aca="true">RAND()</f>
        <v>0.252313586702556</v>
      </c>
      <c r="M1466" s="83" t="n">
        <f aca="false">IF(L1466&lt;(Inputs!$E$24-Inputs!$D$24)/(Inputs!$F$24-Inputs!$D$24),Inputs!$D$24+SQRT(L1466*(Inputs!$F$24-Inputs!$D$24)*(Inputs!$E$24-Inputs!$D$24)),Inputs!$F$24-SQRT((1-L1466)*(Inputs!$F$24-Inputs!$D$24)*(Inputs!$F$24-Inputs!$E$24)))</f>
        <v>0.774004685006774</v>
      </c>
      <c r="N1466" s="81" t="n">
        <f aca="true">RAND()</f>
        <v>0.654178599790856</v>
      </c>
      <c r="O1466" s="83" t="n">
        <f aca="false">IF(N1466&lt;(Inputs!$E$26-Inputs!$D$26)/(Inputs!$F$26-Inputs!$D$26),Inputs!$D$26+SQRT(N1466*(Inputs!$F$26-Inputs!$D$26)*(Inputs!$E$26-Inputs!$D$26)),Inputs!$F$26-SQRT((1-N1466)*(Inputs!$F$26-Inputs!$D$26)*(Inputs!$F$26-Inputs!$E$26)))</f>
        <v>0.630354473762888</v>
      </c>
      <c r="P1466" s="81" t="n">
        <f aca="true">RAND()</f>
        <v>0.136742611545489</v>
      </c>
      <c r="Q1466" s="82" t="n">
        <f aca="false">IF(P1466&lt;(Inputs!$E$27-Inputs!$D$27)/(Inputs!$F$27-Inputs!$D$27),Inputs!$D$27+SQRT(P1466*(Inputs!$F$27-Inputs!$D$27)*(Inputs!$E$27-Inputs!$D$27)),Inputs!$F$27-SQRT((1-P1466)*(Inputs!$F$27-Inputs!$D$27)*(Inputs!$F$27-Inputs!$E$27)))</f>
        <v>68.4893625867341</v>
      </c>
      <c r="R1466" s="81" t="n">
        <f aca="true">RAND()</f>
        <v>0.432722324598115</v>
      </c>
      <c r="S1466" s="82" t="n">
        <f aca="false">IF(R1466&lt;(Inputs!$E$29-Inputs!$D$29)/(Inputs!$F$29-Inputs!$D$29),Inputs!$D$29+SQRT(R1466*(Inputs!$F$29-Inputs!$D$29)*(Inputs!$E$29-Inputs!$D$29)),Inputs!$F$29-SQRT((1-R1466)*(Inputs!$F$29-Inputs!$D$29)*(Inputs!$F$29-Inputs!$E$29)))</f>
        <v>6.41244517908357</v>
      </c>
      <c r="T1466" s="68" t="n">
        <f aca="false">Inputs!$E$9*(1+E1466)+Inputs!$E$5*C1466*(Inputs!$E$11*Inputs!$E$14*(G1466*I1466/Inputs!$E$16+(1-G1466))*K1466+Inputs!$E$23*M1466)*(1+O1466)+Inputs!$E$5*(Q1466+S1466)</f>
        <v>6005.53483425199</v>
      </c>
    </row>
    <row r="1467" customFormat="false" ht="15" hidden="false" customHeight="false" outlineLevel="0" collapsed="false">
      <c r="A1467" s="1" t="n">
        <v>1463</v>
      </c>
      <c r="B1467" s="81" t="n">
        <f aca="true">RAND()</f>
        <v>0.55580720438661</v>
      </c>
      <c r="C1467" s="82" t="n">
        <f aca="false">ROUND(IF(B1467&lt;(Inputs!$E$8-Inputs!$D$8)/(Inputs!$F$8-Inputs!$D$8),Inputs!$D$8+SQRT(B1467*(Inputs!$F$8-Inputs!$D$8)*(Inputs!$E$8-Inputs!$D$8)),Inputs!$F$8-SQRT((1-B1467)*(Inputs!$F$8-Inputs!$D$8)*(Inputs!$F$8-Inputs!$E$8))),0)</f>
        <v>25</v>
      </c>
      <c r="D1467" s="81" t="n">
        <f aca="true">RAND()</f>
        <v>0.952694394689066</v>
      </c>
      <c r="E1467" s="83" t="n">
        <f aca="false">IF(D1467&lt;(Inputs!$E$10-Inputs!$D$10)/(Inputs!$F$10-Inputs!$D$10),Inputs!$D$10+SQRT(D1467*(Inputs!$F$10-Inputs!$D$10)*(Inputs!$E$10-Inputs!$D$10)),Inputs!$F$10-SQRT((1-D1467)*(Inputs!$F$10-Inputs!$D$10)*(Inputs!$F$10-Inputs!$E$10)))</f>
        <v>0.162328151633773</v>
      </c>
      <c r="F1467" s="81" t="n">
        <f aca="true">RAND()</f>
        <v>0.142594756333128</v>
      </c>
      <c r="G1467" s="83" t="n">
        <f aca="false">IF(F1467&lt;(Inputs!$E$15-Inputs!$D$15)/(Inputs!$F$15-Inputs!$D$15),Inputs!$D$15+SQRT(F1467*(Inputs!$F$15-Inputs!$D$15)*(Inputs!$E$15-Inputs!$D$15)),Inputs!$F$15-SQRT((1-F1467)*(Inputs!$F$15-Inputs!$D$15)*(Inputs!$F$15-Inputs!$E$15)))</f>
        <v>0.65340313779791</v>
      </c>
      <c r="H1467" s="81" t="n">
        <f aca="true">RAND()</f>
        <v>0.0901503130274732</v>
      </c>
      <c r="I1467" s="82" t="n">
        <f aca="false">ROUND(IF(H1467&lt;(Inputs!$E$17-Inputs!$D$17)/(Inputs!$F$17-Inputs!$D$17),Inputs!$D$17+SQRT(H1467*(Inputs!$F$17-Inputs!$D$17)*(Inputs!$E$17-Inputs!$D$17)),Inputs!$F$17-SQRT((1-H1467)*(Inputs!$F$17-Inputs!$D$17)*(Inputs!$F$17-Inputs!$E$17))),0)</f>
        <v>103</v>
      </c>
      <c r="J1467" s="81" t="n">
        <f aca="true">RAND()</f>
        <v>0.915931631357385</v>
      </c>
      <c r="K1467" s="83" t="n">
        <f aca="false">IF(J1467&lt;(Inputs!$E$18-Inputs!$D$18)/(Inputs!$F$18-Inputs!$D$18),Inputs!$D$18+SQRT(J1467*(Inputs!$F$18-Inputs!$D$18)*(Inputs!$E$18-Inputs!$D$18)),Inputs!$F$18-SQRT((1-J1467)*(Inputs!$F$18-Inputs!$D$18)*(Inputs!$F$18-Inputs!$E$18)))</f>
        <v>1.16423297687206</v>
      </c>
      <c r="L1467" s="81" t="n">
        <f aca="true">RAND()</f>
        <v>0.679636291451762</v>
      </c>
      <c r="M1467" s="83" t="n">
        <f aca="false">IF(L1467&lt;(Inputs!$E$24-Inputs!$D$24)/(Inputs!$F$24-Inputs!$D$24),Inputs!$D$24+SQRT(L1467*(Inputs!$F$24-Inputs!$D$24)*(Inputs!$E$24-Inputs!$D$24)),Inputs!$F$24-SQRT((1-L1467)*(Inputs!$F$24-Inputs!$D$24)*(Inputs!$F$24-Inputs!$E$24)))</f>
        <v>0.922714425092871</v>
      </c>
      <c r="N1467" s="81" t="n">
        <f aca="true">RAND()</f>
        <v>0.189334137065227</v>
      </c>
      <c r="O1467" s="83" t="n">
        <f aca="false">IF(N1467&lt;(Inputs!$E$26-Inputs!$D$26)/(Inputs!$F$26-Inputs!$D$26),Inputs!$D$26+SQRT(N1467*(Inputs!$F$26-Inputs!$D$26)*(Inputs!$E$26-Inputs!$D$26)),Inputs!$F$26-SQRT((1-N1467)*(Inputs!$F$26-Inputs!$D$26)*(Inputs!$F$26-Inputs!$E$26)))</f>
        <v>0.477497043377217</v>
      </c>
      <c r="P1467" s="81" t="n">
        <f aca="true">RAND()</f>
        <v>0.301295495312912</v>
      </c>
      <c r="Q1467" s="82" t="n">
        <f aca="false">IF(P1467&lt;(Inputs!$E$27-Inputs!$D$27)/(Inputs!$F$27-Inputs!$D$27),Inputs!$D$27+SQRT(P1467*(Inputs!$F$27-Inputs!$D$27)*(Inputs!$E$27-Inputs!$D$27)),Inputs!$F$27-SQRT((1-P1467)*(Inputs!$F$27-Inputs!$D$27)*(Inputs!$F$27-Inputs!$E$27)))</f>
        <v>77.6101955717992</v>
      </c>
      <c r="R1467" s="81" t="n">
        <f aca="true">RAND()</f>
        <v>0.834950424598954</v>
      </c>
      <c r="S1467" s="82" t="n">
        <f aca="false">IF(R1467&lt;(Inputs!$E$29-Inputs!$D$29)/(Inputs!$F$29-Inputs!$D$29),Inputs!$D$29+SQRT(R1467*(Inputs!$F$29-Inputs!$D$29)*(Inputs!$E$29-Inputs!$D$29)),Inputs!$F$29-SQRT((1-R1467)*(Inputs!$F$29-Inputs!$D$29)*(Inputs!$F$29-Inputs!$E$29)))</f>
        <v>10.3678898110973</v>
      </c>
      <c r="T1467" s="68" t="n">
        <f aca="false">Inputs!$E$9*(1+E1467)+Inputs!$E$5*C1467*(Inputs!$E$11*Inputs!$E$14*(G1467*I1467/Inputs!$E$16+(1-G1467))*K1467+Inputs!$E$23*M1467)*(1+O1467)+Inputs!$E$5*(Q1467+S1467)</f>
        <v>6564.77769729215</v>
      </c>
    </row>
    <row r="1468" customFormat="false" ht="15" hidden="false" customHeight="false" outlineLevel="0" collapsed="false">
      <c r="A1468" s="1" t="n">
        <v>1464</v>
      </c>
      <c r="B1468" s="81" t="n">
        <f aca="true">RAND()</f>
        <v>0.734558225167956</v>
      </c>
      <c r="C1468" s="82" t="n">
        <f aca="false">ROUND(IF(B1468&lt;(Inputs!$E$8-Inputs!$D$8)/(Inputs!$F$8-Inputs!$D$8),Inputs!$D$8+SQRT(B1468*(Inputs!$F$8-Inputs!$D$8)*(Inputs!$E$8-Inputs!$D$8)),Inputs!$F$8-SQRT((1-B1468)*(Inputs!$F$8-Inputs!$D$8)*(Inputs!$F$8-Inputs!$E$8))),0)</f>
        <v>26</v>
      </c>
      <c r="D1468" s="81" t="n">
        <f aca="true">RAND()</f>
        <v>0.116562604450727</v>
      </c>
      <c r="E1468" s="83" t="n">
        <f aca="false">IF(D1468&lt;(Inputs!$E$10-Inputs!$D$10)/(Inputs!$F$10-Inputs!$D$10),Inputs!$D$10+SQRT(D1468*(Inputs!$F$10-Inputs!$D$10)*(Inputs!$E$10-Inputs!$D$10)),Inputs!$F$10-SQRT((1-D1468)*(Inputs!$F$10-Inputs!$D$10)*(Inputs!$F$10-Inputs!$E$10)))</f>
        <v>0.034141266006217</v>
      </c>
      <c r="F1468" s="81" t="n">
        <f aca="true">RAND()</f>
        <v>0.581587078884481</v>
      </c>
      <c r="G1468" s="83" t="n">
        <f aca="false">IF(F1468&lt;(Inputs!$E$15-Inputs!$D$15)/(Inputs!$F$15-Inputs!$D$15),Inputs!$D$15+SQRT(F1468*(Inputs!$F$15-Inputs!$D$15)*(Inputs!$E$15-Inputs!$D$15)),Inputs!$F$15-SQRT((1-F1468)*(Inputs!$F$15-Inputs!$D$15)*(Inputs!$F$15-Inputs!$E$15)))</f>
        <v>0.708521814500339</v>
      </c>
      <c r="H1468" s="81" t="n">
        <f aca="true">RAND()</f>
        <v>0.632384659361284</v>
      </c>
      <c r="I1468" s="82" t="n">
        <f aca="false">ROUND(IF(H1468&lt;(Inputs!$E$17-Inputs!$D$17)/(Inputs!$F$17-Inputs!$D$17),Inputs!$D$17+SQRT(H1468*(Inputs!$F$17-Inputs!$D$17)*(Inputs!$E$17-Inputs!$D$17)),Inputs!$F$17-SQRT((1-H1468)*(Inputs!$F$17-Inputs!$D$17)*(Inputs!$F$17-Inputs!$E$17))),0)</f>
        <v>108</v>
      </c>
      <c r="J1468" s="81" t="n">
        <f aca="true">RAND()</f>
        <v>0.103315147634126</v>
      </c>
      <c r="K1468" s="83" t="n">
        <f aca="false">IF(J1468&lt;(Inputs!$E$18-Inputs!$D$18)/(Inputs!$F$18-Inputs!$D$18),Inputs!$D$18+SQRT(J1468*(Inputs!$F$18-Inputs!$D$18)*(Inputs!$E$18-Inputs!$D$18)),Inputs!$F$18-SQRT((1-J1468)*(Inputs!$F$18-Inputs!$D$18)*(Inputs!$F$18-Inputs!$E$18)))</f>
        <v>0.960133436349459</v>
      </c>
      <c r="L1468" s="81" t="n">
        <f aca="true">RAND()</f>
        <v>0.067706013687157</v>
      </c>
      <c r="M1468" s="83" t="n">
        <f aca="false">IF(L1468&lt;(Inputs!$E$24-Inputs!$D$24)/(Inputs!$F$24-Inputs!$D$24),Inputs!$D$24+SQRT(L1468*(Inputs!$F$24-Inputs!$D$24)*(Inputs!$E$24-Inputs!$D$24)),Inputs!$F$24-SQRT((1-L1468)*(Inputs!$F$24-Inputs!$D$24)*(Inputs!$F$24-Inputs!$E$24)))</f>
        <v>0.690137237823548</v>
      </c>
      <c r="N1468" s="81" t="n">
        <f aca="true">RAND()</f>
        <v>0.868297014193344</v>
      </c>
      <c r="O1468" s="83" t="n">
        <f aca="false">IF(N1468&lt;(Inputs!$E$26-Inputs!$D$26)/(Inputs!$F$26-Inputs!$D$26),Inputs!$D$26+SQRT(N1468*(Inputs!$F$26-Inputs!$D$26)*(Inputs!$E$26-Inputs!$D$26)),Inputs!$F$26-SQRT((1-N1468)*(Inputs!$F$26-Inputs!$D$26)*(Inputs!$F$26-Inputs!$E$26)))</f>
        <v>0.702965344773899</v>
      </c>
      <c r="P1468" s="81" t="n">
        <f aca="true">RAND()</f>
        <v>0.526395224909656</v>
      </c>
      <c r="Q1468" s="82" t="n">
        <f aca="false">IF(P1468&lt;(Inputs!$E$27-Inputs!$D$27)/(Inputs!$F$27-Inputs!$D$27),Inputs!$D$27+SQRT(P1468*(Inputs!$F$27-Inputs!$D$27)*(Inputs!$E$27-Inputs!$D$27)),Inputs!$F$27-SQRT((1-P1468)*(Inputs!$F$27-Inputs!$D$27)*(Inputs!$F$27-Inputs!$E$27)))</f>
        <v>90.4010418448646</v>
      </c>
      <c r="R1468" s="81" t="n">
        <f aca="true">RAND()</f>
        <v>0.621112125488577</v>
      </c>
      <c r="S1468" s="82" t="n">
        <f aca="false">IF(R1468&lt;(Inputs!$E$29-Inputs!$D$29)/(Inputs!$F$29-Inputs!$D$29),Inputs!$D$29+SQRT(R1468*(Inputs!$F$29-Inputs!$D$29)*(Inputs!$E$29-Inputs!$D$29)),Inputs!$F$29-SQRT((1-R1468)*(Inputs!$F$29-Inputs!$D$29)*(Inputs!$F$29-Inputs!$E$29)))</f>
        <v>7.98177916516693</v>
      </c>
      <c r="T1468" s="68" t="n">
        <f aca="false">Inputs!$E$9*(1+E1468)+Inputs!$E$5*C1468*(Inputs!$E$11*Inputs!$E$14*(G1468*I1468/Inputs!$E$16+(1-G1468))*K1468+Inputs!$E$23*M1468)*(1+O1468)+Inputs!$E$5*(Q1468+S1468)</f>
        <v>6164.9033743791</v>
      </c>
    </row>
    <row r="1469" customFormat="false" ht="15" hidden="false" customHeight="false" outlineLevel="0" collapsed="false">
      <c r="A1469" s="1" t="n">
        <v>1465</v>
      </c>
      <c r="B1469" s="81" t="n">
        <f aca="true">RAND()</f>
        <v>0.905734867718284</v>
      </c>
      <c r="C1469" s="82" t="n">
        <f aca="false">ROUND(IF(B1469&lt;(Inputs!$E$8-Inputs!$D$8)/(Inputs!$F$8-Inputs!$D$8),Inputs!$D$8+SQRT(B1469*(Inputs!$F$8-Inputs!$D$8)*(Inputs!$E$8-Inputs!$D$8)),Inputs!$F$8-SQRT((1-B1469)*(Inputs!$F$8-Inputs!$D$8)*(Inputs!$F$8-Inputs!$E$8))),0)</f>
        <v>28</v>
      </c>
      <c r="D1469" s="81" t="n">
        <f aca="true">RAND()</f>
        <v>0.82115038679138</v>
      </c>
      <c r="E1469" s="83" t="n">
        <f aca="false">IF(D1469&lt;(Inputs!$E$10-Inputs!$D$10)/(Inputs!$F$10-Inputs!$D$10),Inputs!$D$10+SQRT(D1469*(Inputs!$F$10-Inputs!$D$10)*(Inputs!$E$10-Inputs!$D$10)),Inputs!$F$10-SQRT((1-D1469)*(Inputs!$F$10-Inputs!$D$10)*(Inputs!$F$10-Inputs!$E$10)))</f>
        <v>0.126750505829333</v>
      </c>
      <c r="F1469" s="81" t="n">
        <f aca="true">RAND()</f>
        <v>0.965651713795498</v>
      </c>
      <c r="G1469" s="83" t="n">
        <f aca="false">IF(F1469&lt;(Inputs!$E$15-Inputs!$D$15)/(Inputs!$F$15-Inputs!$D$15),Inputs!$D$15+SQRT(F1469*(Inputs!$F$15-Inputs!$D$15)*(Inputs!$E$15-Inputs!$D$15)),Inputs!$F$15-SQRT((1-F1469)*(Inputs!$F$15-Inputs!$D$15)*(Inputs!$F$15-Inputs!$E$15)))</f>
        <v>0.773789969017759</v>
      </c>
      <c r="H1469" s="81" t="n">
        <f aca="true">RAND()</f>
        <v>0.0393010264632044</v>
      </c>
      <c r="I1469" s="82" t="n">
        <f aca="false">ROUND(IF(H1469&lt;(Inputs!$E$17-Inputs!$D$17)/(Inputs!$F$17-Inputs!$D$17),Inputs!$D$17+SQRT(H1469*(Inputs!$F$17-Inputs!$D$17)*(Inputs!$E$17-Inputs!$D$17)),Inputs!$F$17-SQRT((1-H1469)*(Inputs!$F$17-Inputs!$D$17)*(Inputs!$F$17-Inputs!$E$17))),0)</f>
        <v>102</v>
      </c>
      <c r="J1469" s="81" t="n">
        <f aca="true">RAND()</f>
        <v>0.00514005185819653</v>
      </c>
      <c r="K1469" s="83" t="n">
        <f aca="false">IF(J1469&lt;(Inputs!$E$18-Inputs!$D$18)/(Inputs!$F$18-Inputs!$D$18),Inputs!$D$18+SQRT(J1469*(Inputs!$F$18-Inputs!$D$18)*(Inputs!$E$18-Inputs!$D$18)),Inputs!$F$18-SQRT((1-J1469)*(Inputs!$F$18-Inputs!$D$18)*(Inputs!$F$18-Inputs!$E$18)))</f>
        <v>0.913412748228342</v>
      </c>
      <c r="L1469" s="81" t="n">
        <f aca="true">RAND()</f>
        <v>0.628926711343141</v>
      </c>
      <c r="M1469" s="83" t="n">
        <f aca="false">IF(L1469&lt;(Inputs!$E$24-Inputs!$D$24)/(Inputs!$F$24-Inputs!$D$24),Inputs!$D$24+SQRT(L1469*(Inputs!$F$24-Inputs!$D$24)*(Inputs!$E$24-Inputs!$D$24)),Inputs!$F$24-SQRT((1-L1469)*(Inputs!$F$24-Inputs!$D$24)*(Inputs!$F$24-Inputs!$E$24)))</f>
        <v>0.901574817956584</v>
      </c>
      <c r="N1469" s="81" t="n">
        <f aca="true">RAND()</f>
        <v>0.770535543714195</v>
      </c>
      <c r="O1469" s="83" t="n">
        <f aca="false">IF(N1469&lt;(Inputs!$E$26-Inputs!$D$26)/(Inputs!$F$26-Inputs!$D$26),Inputs!$D$26+SQRT(N1469*(Inputs!$F$26-Inputs!$D$26)*(Inputs!$E$26-Inputs!$D$26)),Inputs!$F$26-SQRT((1-N1469)*(Inputs!$F$26-Inputs!$D$26)*(Inputs!$F$26-Inputs!$E$26)))</f>
        <v>0.665519245685025</v>
      </c>
      <c r="P1469" s="81" t="n">
        <f aca="true">RAND()</f>
        <v>0.365801967948056</v>
      </c>
      <c r="Q1469" s="82" t="n">
        <f aca="false">IF(P1469&lt;(Inputs!$E$27-Inputs!$D$27)/(Inputs!$F$27-Inputs!$D$27),Inputs!$D$27+SQRT(P1469*(Inputs!$F$27-Inputs!$D$27)*(Inputs!$E$27-Inputs!$D$27)),Inputs!$F$27-SQRT((1-P1469)*(Inputs!$F$27-Inputs!$D$27)*(Inputs!$F$27-Inputs!$E$27)))</f>
        <v>81.0327234089269</v>
      </c>
      <c r="R1469" s="81" t="n">
        <f aca="true">RAND()</f>
        <v>0.75682751638684</v>
      </c>
      <c r="S1469" s="82" t="n">
        <f aca="false">IF(R1469&lt;(Inputs!$E$29-Inputs!$D$29)/(Inputs!$F$29-Inputs!$D$29),Inputs!$D$29+SQRT(R1469*(Inputs!$F$29-Inputs!$D$29)*(Inputs!$E$29-Inputs!$D$29)),Inputs!$F$29-SQRT((1-R1469)*(Inputs!$F$29-Inputs!$D$29)*(Inputs!$F$29-Inputs!$E$29)))</f>
        <v>9.37750741488165</v>
      </c>
      <c r="T1469" s="68" t="n">
        <f aca="false">Inputs!$E$9*(1+E1469)+Inputs!$E$5*C1469*(Inputs!$E$11*Inputs!$E$14*(G1469*I1469/Inputs!$E$16+(1-G1469))*K1469+Inputs!$E$23*M1469)*(1+O1469)+Inputs!$E$5*(Q1469+S1469)</f>
        <v>6571.47351454079</v>
      </c>
    </row>
    <row r="1470" customFormat="false" ht="15" hidden="false" customHeight="false" outlineLevel="0" collapsed="false">
      <c r="A1470" s="1" t="n">
        <v>1466</v>
      </c>
      <c r="B1470" s="81" t="n">
        <f aca="true">RAND()</f>
        <v>0.612491293330662</v>
      </c>
      <c r="C1470" s="82" t="n">
        <f aca="false">ROUND(IF(B1470&lt;(Inputs!$E$8-Inputs!$D$8)/(Inputs!$F$8-Inputs!$D$8),Inputs!$D$8+SQRT(B1470*(Inputs!$F$8-Inputs!$D$8)*(Inputs!$E$8-Inputs!$D$8)),Inputs!$F$8-SQRT((1-B1470)*(Inputs!$F$8-Inputs!$D$8)*(Inputs!$F$8-Inputs!$E$8))),0)</f>
        <v>26</v>
      </c>
      <c r="D1470" s="81" t="n">
        <f aca="true">RAND()</f>
        <v>0.570676674538552</v>
      </c>
      <c r="E1470" s="83" t="n">
        <f aca="false">IF(D1470&lt;(Inputs!$E$10-Inputs!$D$10)/(Inputs!$F$10-Inputs!$D$10),Inputs!$D$10+SQRT(D1470*(Inputs!$F$10-Inputs!$D$10)*(Inputs!$E$10-Inputs!$D$10)),Inputs!$F$10-SQRT((1-D1470)*(Inputs!$F$10-Inputs!$D$10)*(Inputs!$F$10-Inputs!$E$10)))</f>
        <v>0.0865112350765793</v>
      </c>
      <c r="F1470" s="81" t="n">
        <f aca="true">RAND()</f>
        <v>0.776414357373301</v>
      </c>
      <c r="G1470" s="83" t="n">
        <f aca="false">IF(F1470&lt;(Inputs!$E$15-Inputs!$D$15)/(Inputs!$F$15-Inputs!$D$15),Inputs!$D$15+SQRT(F1470*(Inputs!$F$15-Inputs!$D$15)*(Inputs!$E$15-Inputs!$D$15)),Inputs!$F$15-SQRT((1-F1470)*(Inputs!$F$15-Inputs!$D$15)*(Inputs!$F$15-Inputs!$E$15)))</f>
        <v>0.733129133005965</v>
      </c>
      <c r="H1470" s="81" t="n">
        <f aca="true">RAND()</f>
        <v>0.412712602202272</v>
      </c>
      <c r="I1470" s="82" t="n">
        <f aca="false">ROUND(IF(H1470&lt;(Inputs!$E$17-Inputs!$D$17)/(Inputs!$F$17-Inputs!$D$17),Inputs!$D$17+SQRT(H1470*(Inputs!$F$17-Inputs!$D$17)*(Inputs!$E$17-Inputs!$D$17)),Inputs!$F$17-SQRT((1-H1470)*(Inputs!$F$17-Inputs!$D$17)*(Inputs!$F$17-Inputs!$E$17))),0)</f>
        <v>106</v>
      </c>
      <c r="J1470" s="81" t="n">
        <f aca="true">RAND()</f>
        <v>0.715794406619764</v>
      </c>
      <c r="K1470" s="83" t="n">
        <f aca="false">IF(J1470&lt;(Inputs!$E$18-Inputs!$D$18)/(Inputs!$F$18-Inputs!$D$18),Inputs!$D$18+SQRT(J1470*(Inputs!$F$18-Inputs!$D$18)*(Inputs!$E$18-Inputs!$D$18)),Inputs!$F$18-SQRT((1-J1470)*(Inputs!$F$18-Inputs!$D$18)*(Inputs!$F$18-Inputs!$E$18)))</f>
        <v>1.09230412364056</v>
      </c>
      <c r="L1470" s="81" t="n">
        <f aca="true">RAND()</f>
        <v>0.0619515079163716</v>
      </c>
      <c r="M1470" s="83" t="n">
        <f aca="false">IF(L1470&lt;(Inputs!$E$24-Inputs!$D$24)/(Inputs!$F$24-Inputs!$D$24),Inputs!$D$24+SQRT(L1470*(Inputs!$F$24-Inputs!$D$24)*(Inputs!$E$24-Inputs!$D$24)),Inputs!$F$24-SQRT((1-L1470)*(Inputs!$F$24-Inputs!$D$24)*(Inputs!$F$24-Inputs!$E$24)))</f>
        <v>0.686221696515231</v>
      </c>
      <c r="N1470" s="81" t="n">
        <f aca="true">RAND()</f>
        <v>0.963874793772577</v>
      </c>
      <c r="O1470" s="83" t="n">
        <f aca="false">IF(N1470&lt;(Inputs!$E$26-Inputs!$D$26)/(Inputs!$F$26-Inputs!$D$26),Inputs!$D$26+SQRT(N1470*(Inputs!$F$26-Inputs!$D$26)*(Inputs!$E$26-Inputs!$D$26)),Inputs!$F$26-SQRT((1-N1470)*(Inputs!$F$26-Inputs!$D$26)*(Inputs!$F$26-Inputs!$E$26)))</f>
        <v>0.758705453361233</v>
      </c>
      <c r="P1470" s="81" t="n">
        <f aca="true">RAND()</f>
        <v>0.0438969092760743</v>
      </c>
      <c r="Q1470" s="82" t="n">
        <f aca="false">IF(P1470&lt;(Inputs!$E$27-Inputs!$D$27)/(Inputs!$F$27-Inputs!$D$27),Inputs!$D$27+SQRT(P1470*(Inputs!$F$27-Inputs!$D$27)*(Inputs!$E$27-Inputs!$D$27)),Inputs!$F$27-SQRT((1-P1470)*(Inputs!$F$27-Inputs!$D$27)*(Inputs!$F$27-Inputs!$E$27)))</f>
        <v>60.4757946328756</v>
      </c>
      <c r="R1470" s="81" t="n">
        <f aca="true">RAND()</f>
        <v>0.861794941117815</v>
      </c>
      <c r="S1470" s="82" t="n">
        <f aca="false">IF(R1470&lt;(Inputs!$E$29-Inputs!$D$29)/(Inputs!$F$29-Inputs!$D$29),Inputs!$D$29+SQRT(R1470*(Inputs!$F$29-Inputs!$D$29)*(Inputs!$E$29-Inputs!$D$29)),Inputs!$F$29-SQRT((1-R1470)*(Inputs!$F$29-Inputs!$D$29)*(Inputs!$F$29-Inputs!$E$29)))</f>
        <v>10.7612905673208</v>
      </c>
      <c r="T1470" s="68" t="n">
        <f aca="false">Inputs!$E$9*(1+E1470)+Inputs!$E$5*C1470*(Inputs!$E$11*Inputs!$E$14*(G1470*I1470/Inputs!$E$16+(1-G1470))*K1470+Inputs!$E$23*M1470)*(1+O1470)+Inputs!$E$5*(Q1470+S1470)</f>
        <v>6507.52088102637</v>
      </c>
    </row>
    <row r="1471" customFormat="false" ht="15" hidden="false" customHeight="false" outlineLevel="0" collapsed="false">
      <c r="A1471" s="1" t="n">
        <v>1467</v>
      </c>
      <c r="B1471" s="81" t="n">
        <f aca="true">RAND()</f>
        <v>0.549787270124416</v>
      </c>
      <c r="C1471" s="82" t="n">
        <f aca="false">ROUND(IF(B1471&lt;(Inputs!$E$8-Inputs!$D$8)/(Inputs!$F$8-Inputs!$D$8),Inputs!$D$8+SQRT(B1471*(Inputs!$F$8-Inputs!$D$8)*(Inputs!$E$8-Inputs!$D$8)),Inputs!$F$8-SQRT((1-B1471)*(Inputs!$F$8-Inputs!$D$8)*(Inputs!$F$8-Inputs!$E$8))),0)</f>
        <v>25</v>
      </c>
      <c r="D1471" s="81" t="n">
        <f aca="true">RAND()</f>
        <v>0.0455092502670563</v>
      </c>
      <c r="E1471" s="83" t="n">
        <f aca="false">IF(D1471&lt;(Inputs!$E$10-Inputs!$D$10)/(Inputs!$F$10-Inputs!$D$10),Inputs!$D$10+SQRT(D1471*(Inputs!$F$10-Inputs!$D$10)*(Inputs!$E$10-Inputs!$D$10)),Inputs!$F$10-SQRT((1-D1471)*(Inputs!$F$10-Inputs!$D$10)*(Inputs!$F$10-Inputs!$E$10)))</f>
        <v>0.0213328971935498</v>
      </c>
      <c r="F1471" s="81" t="n">
        <f aca="true">RAND()</f>
        <v>0.164039512960579</v>
      </c>
      <c r="G1471" s="83" t="n">
        <f aca="false">IF(F1471&lt;(Inputs!$E$15-Inputs!$D$15)/(Inputs!$F$15-Inputs!$D$15),Inputs!$D$15+SQRT(F1471*(Inputs!$F$15-Inputs!$D$15)*(Inputs!$E$15-Inputs!$D$15)),Inputs!$F$15-SQRT((1-F1471)*(Inputs!$F$15-Inputs!$D$15)*(Inputs!$F$15-Inputs!$E$15)))</f>
        <v>0.657278183099777</v>
      </c>
      <c r="H1471" s="81" t="n">
        <f aca="true">RAND()</f>
        <v>0.148653394853448</v>
      </c>
      <c r="I1471" s="82" t="n">
        <f aca="false">ROUND(IF(H1471&lt;(Inputs!$E$17-Inputs!$D$17)/(Inputs!$F$17-Inputs!$D$17),Inputs!$D$17+SQRT(H1471*(Inputs!$F$17-Inputs!$D$17)*(Inputs!$E$17-Inputs!$D$17)),Inputs!$F$17-SQRT((1-H1471)*(Inputs!$F$17-Inputs!$D$17)*(Inputs!$F$17-Inputs!$E$17))),0)</f>
        <v>103</v>
      </c>
      <c r="J1471" s="81" t="n">
        <f aca="true">RAND()</f>
        <v>0.504472043215705</v>
      </c>
      <c r="K1471" s="83" t="n">
        <f aca="false">IF(J1471&lt;(Inputs!$E$18-Inputs!$D$18)/(Inputs!$F$18-Inputs!$D$18),Inputs!$D$18+SQRT(J1471*(Inputs!$F$18-Inputs!$D$18)*(Inputs!$E$18-Inputs!$D$18)),Inputs!$F$18-SQRT((1-J1471)*(Inputs!$F$18-Inputs!$D$18)*(Inputs!$F$18-Inputs!$E$18)))</f>
        <v>1.04177248928486</v>
      </c>
      <c r="L1471" s="81" t="n">
        <f aca="true">RAND()</f>
        <v>0.876433614270057</v>
      </c>
      <c r="M1471" s="83" t="n">
        <f aca="false">IF(L1471&lt;(Inputs!$E$24-Inputs!$D$24)/(Inputs!$F$24-Inputs!$D$24),Inputs!$D$24+SQRT(L1471*(Inputs!$F$24-Inputs!$D$24)*(Inputs!$E$24-Inputs!$D$24)),Inputs!$F$24-SQRT((1-L1471)*(Inputs!$F$24-Inputs!$D$24)*(Inputs!$F$24-Inputs!$E$24)))</f>
        <v>1.02779102063137</v>
      </c>
      <c r="N1471" s="81" t="n">
        <f aca="true">RAND()</f>
        <v>0.310812849417438</v>
      </c>
      <c r="O1471" s="83" t="n">
        <f aca="false">IF(N1471&lt;(Inputs!$E$26-Inputs!$D$26)/(Inputs!$F$26-Inputs!$D$26),Inputs!$D$26+SQRT(N1471*(Inputs!$F$26-Inputs!$D$26)*(Inputs!$E$26-Inputs!$D$26)),Inputs!$F$26-SQRT((1-N1471)*(Inputs!$F$26-Inputs!$D$26)*(Inputs!$F$26-Inputs!$E$26)))</f>
        <v>0.527418684683255</v>
      </c>
      <c r="P1471" s="81" t="n">
        <f aca="true">RAND()</f>
        <v>0.688041863951524</v>
      </c>
      <c r="Q1471" s="82" t="n">
        <f aca="false">IF(P1471&lt;(Inputs!$E$27-Inputs!$D$27)/(Inputs!$F$27-Inputs!$D$27),Inputs!$D$27+SQRT(P1471*(Inputs!$F$27-Inputs!$D$27)*(Inputs!$E$27-Inputs!$D$27)),Inputs!$F$27-SQRT((1-P1471)*(Inputs!$F$27-Inputs!$D$27)*(Inputs!$F$27-Inputs!$E$27)))</f>
        <v>101.629698984154</v>
      </c>
      <c r="R1471" s="81" t="n">
        <f aca="true">RAND()</f>
        <v>0.622457660254265</v>
      </c>
      <c r="S1471" s="82" t="n">
        <f aca="false">IF(R1471&lt;(Inputs!$E$29-Inputs!$D$29)/(Inputs!$F$29-Inputs!$D$29),Inputs!$D$29+SQRT(R1471*(Inputs!$F$29-Inputs!$D$29)*(Inputs!$E$29-Inputs!$D$29)),Inputs!$F$29-SQRT((1-R1471)*(Inputs!$F$29-Inputs!$D$29)*(Inputs!$F$29-Inputs!$E$29)))</f>
        <v>7.99425206227447</v>
      </c>
      <c r="T1471" s="68" t="n">
        <f aca="false">Inputs!$E$9*(1+E1471)+Inputs!$E$5*C1471*(Inputs!$E$11*Inputs!$E$14*(G1471*I1471/Inputs!$E$16+(1-G1471))*K1471+Inputs!$E$23*M1471)*(1+O1471)+Inputs!$E$5*(Q1471+S1471)</f>
        <v>6365.32333463326</v>
      </c>
    </row>
    <row r="1472" customFormat="false" ht="15" hidden="false" customHeight="false" outlineLevel="0" collapsed="false">
      <c r="A1472" s="1" t="n">
        <v>1468</v>
      </c>
      <c r="B1472" s="81" t="n">
        <f aca="true">RAND()</f>
        <v>0.41937310255424</v>
      </c>
      <c r="C1472" s="82" t="n">
        <f aca="false">ROUND(IF(B1472&lt;(Inputs!$E$8-Inputs!$D$8)/(Inputs!$F$8-Inputs!$D$8),Inputs!$D$8+SQRT(B1472*(Inputs!$F$8-Inputs!$D$8)*(Inputs!$E$8-Inputs!$D$8)),Inputs!$F$8-SQRT((1-B1472)*(Inputs!$F$8-Inputs!$D$8)*(Inputs!$F$8-Inputs!$E$8))),0)</f>
        <v>25</v>
      </c>
      <c r="D1472" s="81" t="n">
        <f aca="true">RAND()</f>
        <v>0.555168342720286</v>
      </c>
      <c r="E1472" s="83" t="n">
        <f aca="false">IF(D1472&lt;(Inputs!$E$10-Inputs!$D$10)/(Inputs!$F$10-Inputs!$D$10),Inputs!$D$10+SQRT(D1472*(Inputs!$F$10-Inputs!$D$10)*(Inputs!$E$10-Inputs!$D$10)),Inputs!$F$10-SQRT((1-D1472)*(Inputs!$F$10-Inputs!$D$10)*(Inputs!$F$10-Inputs!$E$10)))</f>
        <v>0.084479656690298</v>
      </c>
      <c r="F1472" s="81" t="n">
        <f aca="true">RAND()</f>
        <v>0.901392663293754</v>
      </c>
      <c r="G1472" s="83" t="n">
        <f aca="false">IF(F1472&lt;(Inputs!$E$15-Inputs!$D$15)/(Inputs!$F$15-Inputs!$D$15),Inputs!$D$15+SQRT(F1472*(Inputs!$F$15-Inputs!$D$15)*(Inputs!$E$15-Inputs!$D$15)),Inputs!$F$15-SQRT((1-F1472)*(Inputs!$F$15-Inputs!$D$15)*(Inputs!$F$15-Inputs!$E$15)))</f>
        <v>0.755591141265228</v>
      </c>
      <c r="H1472" s="81" t="n">
        <f aca="true">RAND()</f>
        <v>0.686498367959534</v>
      </c>
      <c r="I1472" s="82" t="n">
        <f aca="false">ROUND(IF(H1472&lt;(Inputs!$E$17-Inputs!$D$17)/(Inputs!$F$17-Inputs!$D$17),Inputs!$D$17+SQRT(H1472*(Inputs!$F$17-Inputs!$D$17)*(Inputs!$E$17-Inputs!$D$17)),Inputs!$F$17-SQRT((1-H1472)*(Inputs!$F$17-Inputs!$D$17)*(Inputs!$F$17-Inputs!$E$17))),0)</f>
        <v>108</v>
      </c>
      <c r="J1472" s="81" t="n">
        <f aca="true">RAND()</f>
        <v>0.232556255798246</v>
      </c>
      <c r="K1472" s="83" t="n">
        <f aca="false">IF(J1472&lt;(Inputs!$E$18-Inputs!$D$18)/(Inputs!$F$18-Inputs!$D$18),Inputs!$D$18+SQRT(J1472*(Inputs!$F$18-Inputs!$D$18)*(Inputs!$E$18-Inputs!$D$18)),Inputs!$F$18-SQRT((1-J1472)*(Inputs!$F$18-Inputs!$D$18)*(Inputs!$F$18-Inputs!$E$18)))</f>
        <v>0.990219005497393</v>
      </c>
      <c r="L1472" s="81" t="n">
        <f aca="true">RAND()</f>
        <v>0.550203407582835</v>
      </c>
      <c r="M1472" s="83" t="n">
        <f aca="false">IF(L1472&lt;(Inputs!$E$24-Inputs!$D$24)/(Inputs!$F$24-Inputs!$D$24),Inputs!$D$24+SQRT(L1472*(Inputs!$F$24-Inputs!$D$24)*(Inputs!$E$24-Inputs!$D$24)),Inputs!$F$24-SQRT((1-L1472)*(Inputs!$F$24-Inputs!$D$24)*(Inputs!$F$24-Inputs!$E$24)))</f>
        <v>0.871440747839724</v>
      </c>
      <c r="N1472" s="81" t="n">
        <f aca="true">RAND()</f>
        <v>0.723472919587147</v>
      </c>
      <c r="O1472" s="83" t="n">
        <f aca="false">IF(N1472&lt;(Inputs!$E$26-Inputs!$D$26)/(Inputs!$F$26-Inputs!$D$26),Inputs!$D$26+SQRT(N1472*(Inputs!$F$26-Inputs!$D$26)*(Inputs!$E$26-Inputs!$D$26)),Inputs!$F$26-SQRT((1-N1472)*(Inputs!$F$26-Inputs!$D$26)*(Inputs!$F$26-Inputs!$E$26)))</f>
        <v>0.650415754378726</v>
      </c>
      <c r="P1472" s="81" t="n">
        <f aca="true">RAND()</f>
        <v>0.822878245408604</v>
      </c>
      <c r="Q1472" s="82" t="n">
        <f aca="false">IF(P1472&lt;(Inputs!$E$27-Inputs!$D$27)/(Inputs!$F$27-Inputs!$D$27),Inputs!$D$27+SQRT(P1472*(Inputs!$F$27-Inputs!$D$27)*(Inputs!$E$27-Inputs!$D$27)),Inputs!$F$27-SQRT((1-P1472)*(Inputs!$F$27-Inputs!$D$27)*(Inputs!$F$27-Inputs!$E$27)))</f>
        <v>113.552597356801</v>
      </c>
      <c r="R1472" s="81" t="n">
        <f aca="true">RAND()</f>
        <v>0.579805444246292</v>
      </c>
      <c r="S1472" s="82" t="n">
        <f aca="false">IF(R1472&lt;(Inputs!$E$29-Inputs!$D$29)/(Inputs!$F$29-Inputs!$D$29),Inputs!$D$29+SQRT(R1472*(Inputs!$F$29-Inputs!$D$29)*(Inputs!$E$29-Inputs!$D$29)),Inputs!$F$29-SQRT((1-R1472)*(Inputs!$F$29-Inputs!$D$29)*(Inputs!$F$29-Inputs!$E$29)))</f>
        <v>7.6091074796083</v>
      </c>
      <c r="T1472" s="68" t="n">
        <f aca="false">Inputs!$E$9*(1+E1472)+Inputs!$E$5*C1472*(Inputs!$E$11*Inputs!$E$14*(G1472*I1472/Inputs!$E$16+(1-G1472))*K1472+Inputs!$E$23*M1472)*(1+O1472)+Inputs!$E$5*(Q1472+S1472)</f>
        <v>6430.49735400613</v>
      </c>
    </row>
    <row r="1473" customFormat="false" ht="15" hidden="false" customHeight="false" outlineLevel="0" collapsed="false">
      <c r="A1473" s="1" t="n">
        <v>1469</v>
      </c>
      <c r="B1473" s="81" t="n">
        <f aca="true">RAND()</f>
        <v>0.830979425168697</v>
      </c>
      <c r="C1473" s="82" t="n">
        <f aca="false">ROUND(IF(B1473&lt;(Inputs!$E$8-Inputs!$D$8)/(Inputs!$F$8-Inputs!$D$8),Inputs!$D$8+SQRT(B1473*(Inputs!$F$8-Inputs!$D$8)*(Inputs!$E$8-Inputs!$D$8)),Inputs!$F$8-SQRT((1-B1473)*(Inputs!$F$8-Inputs!$D$8)*(Inputs!$F$8-Inputs!$E$8))),0)</f>
        <v>27</v>
      </c>
      <c r="D1473" s="81" t="n">
        <f aca="true">RAND()</f>
        <v>0.930426174614336</v>
      </c>
      <c r="E1473" s="83" t="n">
        <f aca="false">IF(D1473&lt;(Inputs!$E$10-Inputs!$D$10)/(Inputs!$F$10-Inputs!$D$10),Inputs!$D$10+SQRT(D1473*(Inputs!$F$10-Inputs!$D$10)*(Inputs!$E$10-Inputs!$D$10)),Inputs!$F$10-SQRT((1-D1473)*(Inputs!$F$10-Inputs!$D$10)*(Inputs!$F$10-Inputs!$E$10)))</f>
        <v>0.154313954410894</v>
      </c>
      <c r="F1473" s="81" t="n">
        <f aca="true">RAND()</f>
        <v>0.300224373687144</v>
      </c>
      <c r="G1473" s="83" t="n">
        <f aca="false">IF(F1473&lt;(Inputs!$E$15-Inputs!$D$15)/(Inputs!$F$15-Inputs!$D$15),Inputs!$D$15+SQRT(F1473*(Inputs!$F$15-Inputs!$D$15)*(Inputs!$E$15-Inputs!$D$15)),Inputs!$F$15-SQRT((1-F1473)*(Inputs!$F$15-Inputs!$D$15)*(Inputs!$F$15-Inputs!$E$15)))</f>
        <v>0.677488628028524</v>
      </c>
      <c r="H1473" s="81" t="n">
        <f aca="true">RAND()</f>
        <v>0.0910389296171256</v>
      </c>
      <c r="I1473" s="82" t="n">
        <f aca="false">ROUND(IF(H1473&lt;(Inputs!$E$17-Inputs!$D$17)/(Inputs!$F$17-Inputs!$D$17),Inputs!$D$17+SQRT(H1473*(Inputs!$F$17-Inputs!$D$17)*(Inputs!$E$17-Inputs!$D$17)),Inputs!$F$17-SQRT((1-H1473)*(Inputs!$F$17-Inputs!$D$17)*(Inputs!$F$17-Inputs!$E$17))),0)</f>
        <v>103</v>
      </c>
      <c r="J1473" s="81" t="n">
        <f aca="true">RAND()</f>
        <v>0.911693987748827</v>
      </c>
      <c r="K1473" s="83" t="n">
        <f aca="false">IF(J1473&lt;(Inputs!$E$18-Inputs!$D$18)/(Inputs!$F$18-Inputs!$D$18),Inputs!$D$18+SQRT(J1473*(Inputs!$F$18-Inputs!$D$18)*(Inputs!$E$18-Inputs!$D$18)),Inputs!$F$18-SQRT((1-J1473)*(Inputs!$F$18-Inputs!$D$18)*(Inputs!$F$18-Inputs!$E$18)))</f>
        <v>1.16209791770397</v>
      </c>
      <c r="L1473" s="81" t="n">
        <f aca="true">RAND()</f>
        <v>0.714364515355399</v>
      </c>
      <c r="M1473" s="83" t="n">
        <f aca="false">IF(L1473&lt;(Inputs!$E$24-Inputs!$D$24)/(Inputs!$F$24-Inputs!$D$24),Inputs!$D$24+SQRT(L1473*(Inputs!$F$24-Inputs!$D$24)*(Inputs!$E$24-Inputs!$D$24)),Inputs!$F$24-SQRT((1-L1473)*(Inputs!$F$24-Inputs!$D$24)*(Inputs!$F$24-Inputs!$E$24)))</f>
        <v>0.93817464539372</v>
      </c>
      <c r="N1473" s="81" t="n">
        <f aca="true">RAND()</f>
        <v>0.993161269743724</v>
      </c>
      <c r="O1473" s="83" t="n">
        <f aca="false">IF(N1473&lt;(Inputs!$E$26-Inputs!$D$26)/(Inputs!$F$26-Inputs!$D$26),Inputs!$D$26+SQRT(N1473*(Inputs!$F$26-Inputs!$D$26)*(Inputs!$E$26-Inputs!$D$26)),Inputs!$F$26-SQRT((1-N1473)*(Inputs!$F$26-Inputs!$D$26)*(Inputs!$F$26-Inputs!$E$26)))</f>
        <v>0.793331142756902</v>
      </c>
      <c r="P1473" s="81" t="n">
        <f aca="true">RAND()</f>
        <v>0.448926360474203</v>
      </c>
      <c r="Q1473" s="82" t="n">
        <f aca="false">IF(P1473&lt;(Inputs!$E$27-Inputs!$D$27)/(Inputs!$F$27-Inputs!$D$27),Inputs!$D$27+SQRT(P1473*(Inputs!$F$27-Inputs!$D$27)*(Inputs!$E$27-Inputs!$D$27)),Inputs!$F$27-SQRT((1-P1473)*(Inputs!$F$27-Inputs!$D$27)*(Inputs!$F$27-Inputs!$E$27)))</f>
        <v>85.7111806264613</v>
      </c>
      <c r="R1473" s="81" t="n">
        <f aca="true">RAND()</f>
        <v>0.626137416037369</v>
      </c>
      <c r="S1473" s="82" t="n">
        <f aca="false">IF(R1473&lt;(Inputs!$E$29-Inputs!$D$29)/(Inputs!$F$29-Inputs!$D$29),Inputs!$D$29+SQRT(R1473*(Inputs!$F$29-Inputs!$D$29)*(Inputs!$E$29-Inputs!$D$29)),Inputs!$F$29-SQRT((1-R1473)*(Inputs!$F$29-Inputs!$D$29)*(Inputs!$F$29-Inputs!$E$29)))</f>
        <v>8.02847678658802</v>
      </c>
      <c r="T1473" s="68" t="n">
        <f aca="false">Inputs!$E$9*(1+E1473)+Inputs!$E$5*C1473*(Inputs!$E$11*Inputs!$E$14*(G1473*I1473/Inputs!$E$16+(1-G1473))*K1473+Inputs!$E$23*M1473)*(1+O1473)+Inputs!$E$5*(Q1473+S1473)</f>
        <v>7659.81429560492</v>
      </c>
    </row>
    <row r="1474" customFormat="false" ht="15" hidden="false" customHeight="false" outlineLevel="0" collapsed="false">
      <c r="A1474" s="1" t="n">
        <v>1470</v>
      </c>
      <c r="B1474" s="81" t="n">
        <f aca="true">RAND()</f>
        <v>0.897437769907814</v>
      </c>
      <c r="C1474" s="82" t="n">
        <f aca="false">ROUND(IF(B1474&lt;(Inputs!$E$8-Inputs!$D$8)/(Inputs!$F$8-Inputs!$D$8),Inputs!$D$8+SQRT(B1474*(Inputs!$F$8-Inputs!$D$8)*(Inputs!$E$8-Inputs!$D$8)),Inputs!$F$8-SQRT((1-B1474)*(Inputs!$F$8-Inputs!$D$8)*(Inputs!$F$8-Inputs!$E$8))),0)</f>
        <v>28</v>
      </c>
      <c r="D1474" s="81" t="n">
        <f aca="true">RAND()</f>
        <v>0.902680522795484</v>
      </c>
      <c r="E1474" s="83" t="n">
        <f aca="false">IF(D1474&lt;(Inputs!$E$10-Inputs!$D$10)/(Inputs!$F$10-Inputs!$D$10),Inputs!$D$10+SQRT(D1474*(Inputs!$F$10-Inputs!$D$10)*(Inputs!$E$10-Inputs!$D$10)),Inputs!$F$10-SQRT((1-D1474)*(Inputs!$F$10-Inputs!$D$10)*(Inputs!$F$10-Inputs!$E$10)))</f>
        <v>0.14596682207999</v>
      </c>
      <c r="F1474" s="81" t="n">
        <f aca="true">RAND()</f>
        <v>0.0418409098438156</v>
      </c>
      <c r="G1474" s="83" t="n">
        <f aca="false">IF(F1474&lt;(Inputs!$E$15-Inputs!$D$15)/(Inputs!$F$15-Inputs!$D$15),Inputs!$D$15+SQRT(F1474*(Inputs!$F$15-Inputs!$D$15)*(Inputs!$E$15-Inputs!$D$15)),Inputs!$F$15-SQRT((1-F1474)*(Inputs!$F$15-Inputs!$D$15)*(Inputs!$F$15-Inputs!$E$15)))</f>
        <v>0.628927810094722</v>
      </c>
      <c r="H1474" s="81" t="n">
        <f aca="true">RAND()</f>
        <v>0.120571797065831</v>
      </c>
      <c r="I1474" s="82" t="n">
        <f aca="false">ROUND(IF(H1474&lt;(Inputs!$E$17-Inputs!$D$17)/(Inputs!$F$17-Inputs!$D$17),Inputs!$D$17+SQRT(H1474*(Inputs!$F$17-Inputs!$D$17)*(Inputs!$E$17-Inputs!$D$17)),Inputs!$F$17-SQRT((1-H1474)*(Inputs!$F$17-Inputs!$D$17)*(Inputs!$F$17-Inputs!$E$17))),0)</f>
        <v>103</v>
      </c>
      <c r="J1474" s="81" t="n">
        <f aca="true">RAND()</f>
        <v>0.344560829201809</v>
      </c>
      <c r="K1474" s="83" t="n">
        <f aca="false">IF(J1474&lt;(Inputs!$E$18-Inputs!$D$18)/(Inputs!$F$18-Inputs!$D$18),Inputs!$D$18+SQRT(J1474*(Inputs!$F$18-Inputs!$D$18)*(Inputs!$E$18-Inputs!$D$18)),Inputs!$F$18-SQRT((1-J1474)*(Inputs!$F$18-Inputs!$D$18)*(Inputs!$F$18-Inputs!$E$18)))</f>
        <v>1.01051946332772</v>
      </c>
      <c r="L1474" s="81" t="n">
        <f aca="true">RAND()</f>
        <v>0.727888651424669</v>
      </c>
      <c r="M1474" s="83" t="n">
        <f aca="false">IF(L1474&lt;(Inputs!$E$24-Inputs!$D$24)/(Inputs!$F$24-Inputs!$D$24),Inputs!$D$24+SQRT(L1474*(Inputs!$F$24-Inputs!$D$24)*(Inputs!$E$24-Inputs!$D$24)),Inputs!$F$24-SQRT((1-L1474)*(Inputs!$F$24-Inputs!$D$24)*(Inputs!$F$24-Inputs!$E$24)))</f>
        <v>0.944448197701368</v>
      </c>
      <c r="N1474" s="81" t="n">
        <f aca="true">RAND()</f>
        <v>0.476253345537551</v>
      </c>
      <c r="O1474" s="83" t="n">
        <f aca="false">IF(N1474&lt;(Inputs!$E$26-Inputs!$D$26)/(Inputs!$F$26-Inputs!$D$26),Inputs!$D$26+SQRT(N1474*(Inputs!$F$26-Inputs!$D$26)*(Inputs!$E$26-Inputs!$D$26)),Inputs!$F$26-SQRT((1-N1474)*(Inputs!$F$26-Inputs!$D$26)*(Inputs!$F$26-Inputs!$E$26)))</f>
        <v>0.581511201726412</v>
      </c>
      <c r="P1474" s="81" t="n">
        <f aca="true">RAND()</f>
        <v>0.802992066080306</v>
      </c>
      <c r="Q1474" s="82" t="n">
        <f aca="false">IF(P1474&lt;(Inputs!$E$27-Inputs!$D$27)/(Inputs!$F$27-Inputs!$D$27),Inputs!$D$27+SQRT(P1474*(Inputs!$F$27-Inputs!$D$27)*(Inputs!$E$27-Inputs!$D$27)),Inputs!$F$27-SQRT((1-P1474)*(Inputs!$F$27-Inputs!$D$27)*(Inputs!$F$27-Inputs!$E$27)))</f>
        <v>111.560963794631</v>
      </c>
      <c r="R1474" s="81" t="n">
        <f aca="true">RAND()</f>
        <v>0.144684653888774</v>
      </c>
      <c r="S1474" s="82" t="n">
        <f aca="false">IF(R1474&lt;(Inputs!$E$29-Inputs!$D$29)/(Inputs!$F$29-Inputs!$D$29),Inputs!$D$29+SQRT(R1474*(Inputs!$F$29-Inputs!$D$29)*(Inputs!$E$29-Inputs!$D$29)),Inputs!$F$29-SQRT((1-R1474)*(Inputs!$F$29-Inputs!$D$29)*(Inputs!$F$29-Inputs!$E$29)))</f>
        <v>4.37543711801895</v>
      </c>
      <c r="T1474" s="68" t="n">
        <f aca="false">Inputs!$E$9*(1+E1474)+Inputs!$E$5*C1474*(Inputs!$E$11*Inputs!$E$14*(G1474*I1474/Inputs!$E$16+(1-G1474))*K1474+Inputs!$E$23*M1474)*(1+O1474)+Inputs!$E$5*(Q1474+S1474)</f>
        <v>7077.32220688686</v>
      </c>
    </row>
    <row r="1475" customFormat="false" ht="15" hidden="false" customHeight="false" outlineLevel="0" collapsed="false">
      <c r="A1475" s="1" t="n">
        <v>1471</v>
      </c>
      <c r="B1475" s="81" t="n">
        <f aca="true">RAND()</f>
        <v>0.981930701036272</v>
      </c>
      <c r="C1475" s="82" t="n">
        <f aca="false">ROUND(IF(B1475&lt;(Inputs!$E$8-Inputs!$D$8)/(Inputs!$F$8-Inputs!$D$8),Inputs!$D$8+SQRT(B1475*(Inputs!$F$8-Inputs!$D$8)*(Inputs!$E$8-Inputs!$D$8)),Inputs!$F$8-SQRT((1-B1475)*(Inputs!$F$8-Inputs!$D$8)*(Inputs!$F$8-Inputs!$E$8))),0)</f>
        <v>29</v>
      </c>
      <c r="D1475" s="81" t="n">
        <f aca="true">RAND()</f>
        <v>0.543353273489919</v>
      </c>
      <c r="E1475" s="83" t="n">
        <f aca="false">IF(D1475&lt;(Inputs!$E$10-Inputs!$D$10)/(Inputs!$F$10-Inputs!$D$10),Inputs!$D$10+SQRT(D1475*(Inputs!$F$10-Inputs!$D$10)*(Inputs!$E$10-Inputs!$D$10)),Inputs!$F$10-SQRT((1-D1475)*(Inputs!$F$10-Inputs!$D$10)*(Inputs!$F$10-Inputs!$E$10)))</f>
        <v>0.0829555563245208</v>
      </c>
      <c r="F1475" s="81" t="n">
        <f aca="true">RAND()</f>
        <v>0.395114977256318</v>
      </c>
      <c r="G1475" s="83" t="n">
        <f aca="false">IF(F1475&lt;(Inputs!$E$15-Inputs!$D$15)/(Inputs!$F$15-Inputs!$D$15),Inputs!$D$15+SQRT(F1475*(Inputs!$F$15-Inputs!$D$15)*(Inputs!$E$15-Inputs!$D$15)),Inputs!$F$15-SQRT((1-F1475)*(Inputs!$F$15-Inputs!$D$15)*(Inputs!$F$15-Inputs!$E$15)))</f>
        <v>0.688894879183935</v>
      </c>
      <c r="H1475" s="81" t="n">
        <f aca="true">RAND()</f>
        <v>0.99714014665567</v>
      </c>
      <c r="I1475" s="82" t="n">
        <f aca="false">ROUND(IF(H1475&lt;(Inputs!$E$17-Inputs!$D$17)/(Inputs!$F$17-Inputs!$D$17),Inputs!$D$17+SQRT(H1475*(Inputs!$F$17-Inputs!$D$17)*(Inputs!$E$17-Inputs!$D$17)),Inputs!$F$17-SQRT((1-H1475)*(Inputs!$F$17-Inputs!$D$17)*(Inputs!$F$17-Inputs!$E$17))),0)</f>
        <v>114</v>
      </c>
      <c r="J1475" s="81" t="n">
        <f aca="true">RAND()</f>
        <v>0.343326889639537</v>
      </c>
      <c r="K1475" s="83" t="n">
        <f aca="false">IF(J1475&lt;(Inputs!$E$18-Inputs!$D$18)/(Inputs!$F$18-Inputs!$D$18),Inputs!$D$18+SQRT(J1475*(Inputs!$F$18-Inputs!$D$18)*(Inputs!$E$18-Inputs!$D$18)),Inputs!$F$18-SQRT((1-J1475)*(Inputs!$F$18-Inputs!$D$18)*(Inputs!$F$18-Inputs!$E$18)))</f>
        <v>1.01029414450927</v>
      </c>
      <c r="L1475" s="81" t="n">
        <f aca="true">RAND()</f>
        <v>0.201462769700122</v>
      </c>
      <c r="M1475" s="83" t="n">
        <f aca="false">IF(L1475&lt;(Inputs!$E$24-Inputs!$D$24)/(Inputs!$F$24-Inputs!$D$24),Inputs!$D$24+SQRT(L1475*(Inputs!$F$24-Inputs!$D$24)*(Inputs!$E$24-Inputs!$D$24)),Inputs!$F$24-SQRT((1-L1475)*(Inputs!$F$24-Inputs!$D$24)*(Inputs!$F$24-Inputs!$E$24)))</f>
        <v>0.755484830012496</v>
      </c>
      <c r="N1475" s="81" t="n">
        <f aca="true">RAND()</f>
        <v>0.982338341021094</v>
      </c>
      <c r="O1475" s="83" t="n">
        <f aca="false">IF(N1475&lt;(Inputs!$E$26-Inputs!$D$26)/(Inputs!$F$26-Inputs!$D$26),Inputs!$D$26+SQRT(N1475*(Inputs!$F$26-Inputs!$D$26)*(Inputs!$E$26-Inputs!$D$26)),Inputs!$F$26-SQRT((1-N1475)*(Inputs!$F$26-Inputs!$D$26)*(Inputs!$F$26-Inputs!$E$26)))</f>
        <v>0.777141949019978</v>
      </c>
      <c r="P1475" s="81" t="n">
        <f aca="true">RAND()</f>
        <v>0.0774086639982554</v>
      </c>
      <c r="Q1475" s="82" t="n">
        <f aca="false">IF(P1475&lt;(Inputs!$E$27-Inputs!$D$27)/(Inputs!$F$27-Inputs!$D$27),Inputs!$D$27+SQRT(P1475*(Inputs!$F$27-Inputs!$D$27)*(Inputs!$E$27-Inputs!$D$27)),Inputs!$F$27-SQRT((1-P1475)*(Inputs!$F$27-Inputs!$D$27)*(Inputs!$F$27-Inputs!$E$27)))</f>
        <v>63.9112062739231</v>
      </c>
      <c r="R1475" s="81" t="n">
        <f aca="true">RAND()</f>
        <v>0.0196234662481133</v>
      </c>
      <c r="S1475" s="82" t="n">
        <f aca="false">IF(R1475&lt;(Inputs!$E$29-Inputs!$D$29)/(Inputs!$F$29-Inputs!$D$29),Inputs!$D$29+SQRT(R1475*(Inputs!$F$29-Inputs!$D$29)*(Inputs!$E$29-Inputs!$D$29)),Inputs!$F$29-SQRT((1-R1475)*(Inputs!$F$29-Inputs!$D$29)*(Inputs!$F$29-Inputs!$E$29)))</f>
        <v>2.87482294418723</v>
      </c>
      <c r="T1475" s="68" t="n">
        <f aca="false">Inputs!$E$9*(1+E1475)+Inputs!$E$5*C1475*(Inputs!$E$11*Inputs!$E$14*(G1475*I1475/Inputs!$E$16+(1-G1475))*K1475+Inputs!$E$23*M1475)*(1+O1475)+Inputs!$E$5*(Q1475+S1475)</f>
        <v>7054.24575845818</v>
      </c>
    </row>
    <row r="1476" customFormat="false" ht="15" hidden="false" customHeight="false" outlineLevel="0" collapsed="false">
      <c r="A1476" s="1" t="n">
        <v>1472</v>
      </c>
      <c r="B1476" s="81" t="n">
        <f aca="true">RAND()</f>
        <v>0.91162425668523</v>
      </c>
      <c r="C1476" s="82" t="n">
        <f aca="false">ROUND(IF(B1476&lt;(Inputs!$E$8-Inputs!$D$8)/(Inputs!$F$8-Inputs!$D$8),Inputs!$D$8+SQRT(B1476*(Inputs!$F$8-Inputs!$D$8)*(Inputs!$E$8-Inputs!$D$8)),Inputs!$F$8-SQRT((1-B1476)*(Inputs!$F$8-Inputs!$D$8)*(Inputs!$F$8-Inputs!$E$8))),0)</f>
        <v>28</v>
      </c>
      <c r="D1476" s="81" t="n">
        <f aca="true">RAND()</f>
        <v>0.468217705861792</v>
      </c>
      <c r="E1476" s="83" t="n">
        <f aca="false">IF(D1476&lt;(Inputs!$E$10-Inputs!$D$10)/(Inputs!$F$10-Inputs!$D$10),Inputs!$D$10+SQRT(D1476*(Inputs!$F$10-Inputs!$D$10)*(Inputs!$E$10-Inputs!$D$10)),Inputs!$F$10-SQRT((1-D1476)*(Inputs!$F$10-Inputs!$D$10)*(Inputs!$F$10-Inputs!$E$10)))</f>
        <v>0.0736929581371401</v>
      </c>
      <c r="F1476" s="81" t="n">
        <f aca="true">RAND()</f>
        <v>0.937804257850327</v>
      </c>
      <c r="G1476" s="83" t="n">
        <f aca="false">IF(F1476&lt;(Inputs!$E$15-Inputs!$D$15)/(Inputs!$F$15-Inputs!$D$15),Inputs!$D$15+SQRT(F1476*(Inputs!$F$15-Inputs!$D$15)*(Inputs!$E$15-Inputs!$D$15)),Inputs!$F$15-SQRT((1-F1476)*(Inputs!$F$15-Inputs!$D$15)*(Inputs!$F$15-Inputs!$E$15)))</f>
        <v>0.764730823046271</v>
      </c>
      <c r="H1476" s="81" t="n">
        <f aca="true">RAND()</f>
        <v>0.0813664650908722</v>
      </c>
      <c r="I1476" s="82" t="n">
        <f aca="false">ROUND(IF(H1476&lt;(Inputs!$E$17-Inputs!$D$17)/(Inputs!$F$17-Inputs!$D$17),Inputs!$D$17+SQRT(H1476*(Inputs!$F$17-Inputs!$D$17)*(Inputs!$E$17-Inputs!$D$17)),Inputs!$F$17-SQRT((1-H1476)*(Inputs!$F$17-Inputs!$D$17)*(Inputs!$F$17-Inputs!$E$17))),0)</f>
        <v>102</v>
      </c>
      <c r="J1476" s="81" t="n">
        <f aca="true">RAND()</f>
        <v>0.379123408976638</v>
      </c>
      <c r="K1476" s="83" t="n">
        <f aca="false">IF(J1476&lt;(Inputs!$E$18-Inputs!$D$18)/(Inputs!$F$18-Inputs!$D$18),Inputs!$D$18+SQRT(J1476*(Inputs!$F$18-Inputs!$D$18)*(Inputs!$E$18-Inputs!$D$18)),Inputs!$F$18-SQRT((1-J1476)*(Inputs!$F$18-Inputs!$D$18)*(Inputs!$F$18-Inputs!$E$18)))</f>
        <v>1.01691910907467</v>
      </c>
      <c r="L1476" s="81" t="n">
        <f aca="true">RAND()</f>
        <v>0.00574911258979302</v>
      </c>
      <c r="M1476" s="83" t="n">
        <f aca="false">IF(L1476&lt;(Inputs!$E$24-Inputs!$D$24)/(Inputs!$F$24-Inputs!$D$24),Inputs!$D$24+SQRT(L1476*(Inputs!$F$24-Inputs!$D$24)*(Inputs!$E$24-Inputs!$D$24)),Inputs!$F$24-SQRT((1-L1476)*(Inputs!$F$24-Inputs!$D$24)*(Inputs!$F$24-Inputs!$E$24)))</f>
        <v>0.626265824007161</v>
      </c>
      <c r="N1476" s="81" t="n">
        <f aca="true">RAND()</f>
        <v>0.991056300691381</v>
      </c>
      <c r="O1476" s="83" t="n">
        <f aca="false">IF(N1476&lt;(Inputs!$E$26-Inputs!$D$26)/(Inputs!$F$26-Inputs!$D$26),Inputs!$D$26+SQRT(N1476*(Inputs!$F$26-Inputs!$D$26)*(Inputs!$E$26-Inputs!$D$26)),Inputs!$F$26-SQRT((1-N1476)*(Inputs!$F$26-Inputs!$D$26)*(Inputs!$F$26-Inputs!$E$26)))</f>
        <v>0.789501725817738</v>
      </c>
      <c r="P1476" s="81" t="n">
        <f aca="true">RAND()</f>
        <v>0.462673203363739</v>
      </c>
      <c r="Q1476" s="82" t="n">
        <f aca="false">IF(P1476&lt;(Inputs!$E$27-Inputs!$D$27)/(Inputs!$F$27-Inputs!$D$27),Inputs!$D$27+SQRT(P1476*(Inputs!$F$27-Inputs!$D$27)*(Inputs!$E$27-Inputs!$D$27)),Inputs!$F$27-SQRT((1-P1476)*(Inputs!$F$27-Inputs!$D$27)*(Inputs!$F$27-Inputs!$E$27)))</f>
        <v>86.5181051419229</v>
      </c>
      <c r="R1476" s="81" t="n">
        <f aca="true">RAND()</f>
        <v>0.0513546942307623</v>
      </c>
      <c r="S1476" s="82" t="n">
        <f aca="false">IF(R1476&lt;(Inputs!$E$29-Inputs!$D$29)/(Inputs!$F$29-Inputs!$D$29),Inputs!$D$29+SQRT(R1476*(Inputs!$F$29-Inputs!$D$29)*(Inputs!$E$29-Inputs!$D$29)),Inputs!$F$29-SQRT((1-R1476)*(Inputs!$F$29-Inputs!$D$29)*(Inputs!$F$29-Inputs!$E$29)))</f>
        <v>3.41521485117975</v>
      </c>
      <c r="T1476" s="68" t="n">
        <f aca="false">Inputs!$E$9*(1+E1476)+Inputs!$E$5*C1476*(Inputs!$E$11*Inputs!$E$14*(G1476*I1476/Inputs!$E$16+(1-G1476))*K1476+Inputs!$E$23*M1476)*(1+O1476)+Inputs!$E$5*(Q1476+S1476)</f>
        <v>6508.268394462</v>
      </c>
    </row>
    <row r="1477" customFormat="false" ht="15" hidden="false" customHeight="false" outlineLevel="0" collapsed="false">
      <c r="A1477" s="1" t="n">
        <v>1473</v>
      </c>
      <c r="B1477" s="81" t="n">
        <f aca="true">RAND()</f>
        <v>0.798162120220575</v>
      </c>
      <c r="C1477" s="82" t="n">
        <f aca="false">ROUND(IF(B1477&lt;(Inputs!$E$8-Inputs!$D$8)/(Inputs!$F$8-Inputs!$D$8),Inputs!$D$8+SQRT(B1477*(Inputs!$F$8-Inputs!$D$8)*(Inputs!$E$8-Inputs!$D$8)),Inputs!$F$8-SQRT((1-B1477)*(Inputs!$F$8-Inputs!$D$8)*(Inputs!$F$8-Inputs!$E$8))),0)</f>
        <v>27</v>
      </c>
      <c r="D1477" s="81" t="n">
        <f aca="true">RAND()</f>
        <v>0.434528315813521</v>
      </c>
      <c r="E1477" s="83" t="n">
        <f aca="false">IF(D1477&lt;(Inputs!$E$10-Inputs!$D$10)/(Inputs!$F$10-Inputs!$D$10),Inputs!$D$10+SQRT(D1477*(Inputs!$F$10-Inputs!$D$10)*(Inputs!$E$10-Inputs!$D$10)),Inputs!$F$10-SQRT((1-D1477)*(Inputs!$F$10-Inputs!$D$10)*(Inputs!$F$10-Inputs!$E$10)))</f>
        <v>0.0697535009084914</v>
      </c>
      <c r="F1477" s="81" t="n">
        <f aca="true">RAND()</f>
        <v>0.93734600209113</v>
      </c>
      <c r="G1477" s="83" t="n">
        <f aca="false">IF(F1477&lt;(Inputs!$E$15-Inputs!$D$15)/(Inputs!$F$15-Inputs!$D$15),Inputs!$D$15+SQRT(F1477*(Inputs!$F$15-Inputs!$D$15)*(Inputs!$E$15-Inputs!$D$15)),Inputs!$F$15-SQRT((1-F1477)*(Inputs!$F$15-Inputs!$D$15)*(Inputs!$F$15-Inputs!$E$15)))</f>
        <v>0.76460113055227</v>
      </c>
      <c r="H1477" s="81" t="n">
        <f aca="true">RAND()</f>
        <v>0.00066658046745799</v>
      </c>
      <c r="I1477" s="82" t="n">
        <f aca="false">ROUND(IF(H1477&lt;(Inputs!$E$17-Inputs!$D$17)/(Inputs!$F$17-Inputs!$D$17),Inputs!$D$17+SQRT(H1477*(Inputs!$F$17-Inputs!$D$17)*(Inputs!$E$17-Inputs!$D$17)),Inputs!$F$17-SQRT((1-H1477)*(Inputs!$F$17-Inputs!$D$17)*(Inputs!$F$17-Inputs!$E$17))),0)</f>
        <v>100</v>
      </c>
      <c r="J1477" s="81" t="n">
        <f aca="true">RAND()</f>
        <v>0.158175820138748</v>
      </c>
      <c r="K1477" s="83" t="n">
        <f aca="false">IF(J1477&lt;(Inputs!$E$18-Inputs!$D$18)/(Inputs!$F$18-Inputs!$D$18),Inputs!$D$18+SQRT(J1477*(Inputs!$F$18-Inputs!$D$18)*(Inputs!$E$18-Inputs!$D$18)),Inputs!$F$18-SQRT((1-J1477)*(Inputs!$F$18-Inputs!$D$18)*(Inputs!$F$18-Inputs!$E$18)))</f>
        <v>0.974405333846816</v>
      </c>
      <c r="L1477" s="81" t="n">
        <f aca="true">RAND()</f>
        <v>0.902395711663955</v>
      </c>
      <c r="M1477" s="83" t="n">
        <f aca="false">IF(L1477&lt;(Inputs!$E$24-Inputs!$D$24)/(Inputs!$F$24-Inputs!$D$24),Inputs!$D$24+SQRT(L1477*(Inputs!$F$24-Inputs!$D$24)*(Inputs!$E$24-Inputs!$D$24)),Inputs!$F$24-SQRT((1-L1477)*(Inputs!$F$24-Inputs!$D$24)*(Inputs!$F$24-Inputs!$E$24)))</f>
        <v>1.04694762595552</v>
      </c>
      <c r="N1477" s="81" t="n">
        <f aca="true">RAND()</f>
        <v>0.0431003892226646</v>
      </c>
      <c r="O1477" s="83" t="n">
        <f aca="false">IF(N1477&lt;(Inputs!$E$26-Inputs!$D$26)/(Inputs!$F$26-Inputs!$D$26),Inputs!$D$26+SQRT(N1477*(Inputs!$F$26-Inputs!$D$26)*(Inputs!$E$26-Inputs!$D$26)),Inputs!$F$26-SQRT((1-N1477)*(Inputs!$F$26-Inputs!$D$26)*(Inputs!$F$26-Inputs!$E$26)))</f>
        <v>0.384687099174853</v>
      </c>
      <c r="P1477" s="81" t="n">
        <f aca="true">RAND()</f>
        <v>0.777722596198803</v>
      </c>
      <c r="Q1477" s="82" t="n">
        <f aca="false">IF(P1477&lt;(Inputs!$E$27-Inputs!$D$27)/(Inputs!$F$27-Inputs!$D$27),Inputs!$D$27+SQRT(P1477*(Inputs!$F$27-Inputs!$D$27)*(Inputs!$E$27-Inputs!$D$27)),Inputs!$F$27-SQRT((1-P1477)*(Inputs!$F$27-Inputs!$D$27)*(Inputs!$F$27-Inputs!$E$27)))</f>
        <v>109.170102516551</v>
      </c>
      <c r="R1477" s="81" t="n">
        <f aca="true">RAND()</f>
        <v>0.696372138577813</v>
      </c>
      <c r="S1477" s="82" t="n">
        <f aca="false">IF(R1477&lt;(Inputs!$E$29-Inputs!$D$29)/(Inputs!$F$29-Inputs!$D$29),Inputs!$D$29+SQRT(R1477*(Inputs!$F$29-Inputs!$D$29)*(Inputs!$E$29-Inputs!$D$29)),Inputs!$F$29-SQRT((1-R1477)*(Inputs!$F$29-Inputs!$D$29)*(Inputs!$F$29-Inputs!$E$29)))</f>
        <v>8.7173554943094</v>
      </c>
      <c r="T1477" s="68" t="n">
        <f aca="false">Inputs!$E$9*(1+E1477)+Inputs!$E$5*C1477*(Inputs!$E$11*Inputs!$E$14*(G1477*I1477/Inputs!$E$16+(1-G1477))*K1477+Inputs!$E$23*M1477)*(1+O1477)+Inputs!$E$5*(Q1477+S1477)</f>
        <v>6158.30043451925</v>
      </c>
    </row>
    <row r="1478" customFormat="false" ht="15" hidden="false" customHeight="false" outlineLevel="0" collapsed="false">
      <c r="A1478" s="1" t="n">
        <v>1474</v>
      </c>
      <c r="B1478" s="81" t="n">
        <f aca="true">RAND()</f>
        <v>0.245042703450006</v>
      </c>
      <c r="C1478" s="82" t="n">
        <f aca="false">ROUND(IF(B1478&lt;(Inputs!$E$8-Inputs!$D$8)/(Inputs!$F$8-Inputs!$D$8),Inputs!$D$8+SQRT(B1478*(Inputs!$F$8-Inputs!$D$8)*(Inputs!$E$8-Inputs!$D$8)),Inputs!$F$8-SQRT((1-B1478)*(Inputs!$F$8-Inputs!$D$8)*(Inputs!$F$8-Inputs!$E$8))),0)</f>
        <v>24</v>
      </c>
      <c r="D1478" s="81" t="n">
        <f aca="true">RAND()</f>
        <v>0.893751220688334</v>
      </c>
      <c r="E1478" s="83" t="n">
        <f aca="false">IF(D1478&lt;(Inputs!$E$10-Inputs!$D$10)/(Inputs!$F$10-Inputs!$D$10),Inputs!$D$10+SQRT(D1478*(Inputs!$F$10-Inputs!$D$10)*(Inputs!$E$10-Inputs!$D$10)),Inputs!$F$10-SQRT((1-D1478)*(Inputs!$F$10-Inputs!$D$10)*(Inputs!$F$10-Inputs!$E$10)))</f>
        <v>0.143542375365678</v>
      </c>
      <c r="F1478" s="81" t="n">
        <f aca="true">RAND()</f>
        <v>0.744944017606974</v>
      </c>
      <c r="G1478" s="83" t="n">
        <f aca="false">IF(F1478&lt;(Inputs!$E$15-Inputs!$D$15)/(Inputs!$F$15-Inputs!$D$15),Inputs!$D$15+SQRT(F1478*(Inputs!$F$15-Inputs!$D$15)*(Inputs!$E$15-Inputs!$D$15)),Inputs!$F$15-SQRT((1-F1478)*(Inputs!$F$15-Inputs!$D$15)*(Inputs!$F$15-Inputs!$E$15)))</f>
        <v>0.72857787704177</v>
      </c>
      <c r="H1478" s="81" t="n">
        <f aca="true">RAND()</f>
        <v>0.40176115786206</v>
      </c>
      <c r="I1478" s="82" t="n">
        <f aca="false">ROUND(IF(H1478&lt;(Inputs!$E$17-Inputs!$D$17)/(Inputs!$F$17-Inputs!$D$17),Inputs!$D$17+SQRT(H1478*(Inputs!$F$17-Inputs!$D$17)*(Inputs!$E$17-Inputs!$D$17)),Inputs!$F$17-SQRT((1-H1478)*(Inputs!$F$17-Inputs!$D$17)*(Inputs!$F$17-Inputs!$E$17))),0)</f>
        <v>106</v>
      </c>
      <c r="J1478" s="81" t="n">
        <f aca="true">RAND()</f>
        <v>0.812271399516258</v>
      </c>
      <c r="K1478" s="83" t="n">
        <f aca="false">IF(J1478&lt;(Inputs!$E$18-Inputs!$D$18)/(Inputs!$F$18-Inputs!$D$18),Inputs!$D$18+SQRT(J1478*(Inputs!$F$18-Inputs!$D$18)*(Inputs!$E$18-Inputs!$D$18)),Inputs!$F$18-SQRT((1-J1478)*(Inputs!$F$18-Inputs!$D$18)*(Inputs!$F$18-Inputs!$E$18)))</f>
        <v>1.12183505728036</v>
      </c>
      <c r="L1478" s="81" t="n">
        <f aca="true">RAND()</f>
        <v>0.438404578124982</v>
      </c>
      <c r="M1478" s="83" t="n">
        <f aca="false">IF(L1478&lt;(Inputs!$E$24-Inputs!$D$24)/(Inputs!$F$24-Inputs!$D$24),Inputs!$D$24+SQRT(L1478*(Inputs!$F$24-Inputs!$D$24)*(Inputs!$E$24-Inputs!$D$24)),Inputs!$F$24-SQRT((1-L1478)*(Inputs!$F$24-Inputs!$D$24)*(Inputs!$F$24-Inputs!$E$24)))</f>
        <v>0.832872091431332</v>
      </c>
      <c r="N1478" s="81" t="n">
        <f aca="true">RAND()</f>
        <v>0.442028914937858</v>
      </c>
      <c r="O1478" s="83" t="n">
        <f aca="false">IF(N1478&lt;(Inputs!$E$26-Inputs!$D$26)/(Inputs!$F$26-Inputs!$D$26),Inputs!$D$26+SQRT(N1478*(Inputs!$F$26-Inputs!$D$26)*(Inputs!$E$26-Inputs!$D$26)),Inputs!$F$26-SQRT((1-N1478)*(Inputs!$F$26-Inputs!$D$26)*(Inputs!$F$26-Inputs!$E$26)))</f>
        <v>0.571207690609355</v>
      </c>
      <c r="P1478" s="81" t="n">
        <f aca="true">RAND()</f>
        <v>0.868679256693133</v>
      </c>
      <c r="Q1478" s="82" t="n">
        <f aca="false">IF(P1478&lt;(Inputs!$E$27-Inputs!$D$27)/(Inputs!$F$27-Inputs!$D$27),Inputs!$D$27+SQRT(P1478*(Inputs!$F$27-Inputs!$D$27)*(Inputs!$E$27-Inputs!$D$27)),Inputs!$F$27-SQRT((1-P1478)*(Inputs!$F$27-Inputs!$D$27)*(Inputs!$F$27-Inputs!$E$27)))</f>
        <v>118.6167947016</v>
      </c>
      <c r="R1478" s="81" t="n">
        <f aca="true">RAND()</f>
        <v>0.345011556424928</v>
      </c>
      <c r="S1478" s="82" t="n">
        <f aca="false">IF(R1478&lt;(Inputs!$E$29-Inputs!$D$29)/(Inputs!$F$29-Inputs!$D$29),Inputs!$D$29+SQRT(R1478*(Inputs!$F$29-Inputs!$D$29)*(Inputs!$E$29-Inputs!$D$29)),Inputs!$F$29-SQRT((1-R1478)*(Inputs!$F$29-Inputs!$D$29)*(Inputs!$F$29-Inputs!$E$29)))</f>
        <v>5.77240564043047</v>
      </c>
      <c r="T1478" s="68" t="n">
        <f aca="false">Inputs!$E$9*(1+E1478)+Inputs!$E$5*C1478*(Inputs!$E$11*Inputs!$E$14*(G1478*I1478/Inputs!$E$16+(1-G1478))*K1478+Inputs!$E$23*M1478)*(1+O1478)+Inputs!$E$5*(Q1478+S1478)</f>
        <v>6501.71611200676</v>
      </c>
    </row>
    <row r="1479" customFormat="false" ht="15" hidden="false" customHeight="false" outlineLevel="0" collapsed="false">
      <c r="A1479" s="1" t="n">
        <v>1475</v>
      </c>
      <c r="B1479" s="81" t="n">
        <f aca="true">RAND()</f>
        <v>0.855665342645805</v>
      </c>
      <c r="C1479" s="82" t="n">
        <f aca="false">ROUND(IF(B1479&lt;(Inputs!$E$8-Inputs!$D$8)/(Inputs!$F$8-Inputs!$D$8),Inputs!$D$8+SQRT(B1479*(Inputs!$F$8-Inputs!$D$8)*(Inputs!$E$8-Inputs!$D$8)),Inputs!$F$8-SQRT((1-B1479)*(Inputs!$F$8-Inputs!$D$8)*(Inputs!$F$8-Inputs!$E$8))),0)</f>
        <v>27</v>
      </c>
      <c r="D1479" s="81" t="n">
        <f aca="true">RAND()</f>
        <v>0.00247916442529308</v>
      </c>
      <c r="E1479" s="83" t="n">
        <f aca="false">IF(D1479&lt;(Inputs!$E$10-Inputs!$D$10)/(Inputs!$F$10-Inputs!$D$10),Inputs!$D$10+SQRT(D1479*(Inputs!$F$10-Inputs!$D$10)*(Inputs!$E$10-Inputs!$D$10)),Inputs!$F$10-SQRT((1-D1479)*(Inputs!$F$10-Inputs!$D$10)*(Inputs!$F$10-Inputs!$E$10)))</f>
        <v>0.00497912083132463</v>
      </c>
      <c r="F1479" s="81" t="n">
        <f aca="true">RAND()</f>
        <v>0.48980021755751</v>
      </c>
      <c r="G1479" s="83" t="n">
        <f aca="false">IF(F1479&lt;(Inputs!$E$15-Inputs!$D$15)/(Inputs!$F$15-Inputs!$D$15),Inputs!$D$15+SQRT(F1479*(Inputs!$F$15-Inputs!$D$15)*(Inputs!$E$15-Inputs!$D$15)),Inputs!$F$15-SQRT((1-F1479)*(Inputs!$F$15-Inputs!$D$15)*(Inputs!$F$15-Inputs!$E$15)))</f>
        <v>0.69897476623438</v>
      </c>
      <c r="H1479" s="81" t="n">
        <f aca="true">RAND()</f>
        <v>0.0858882360534119</v>
      </c>
      <c r="I1479" s="82" t="n">
        <f aca="false">ROUND(IF(H1479&lt;(Inputs!$E$17-Inputs!$D$17)/(Inputs!$F$17-Inputs!$D$17),Inputs!$D$17+SQRT(H1479*(Inputs!$F$17-Inputs!$D$17)*(Inputs!$E$17-Inputs!$D$17)),Inputs!$F$17-SQRT((1-H1479)*(Inputs!$F$17-Inputs!$D$17)*(Inputs!$F$17-Inputs!$E$17))),0)</f>
        <v>103</v>
      </c>
      <c r="J1479" s="81" t="n">
        <f aca="true">RAND()</f>
        <v>0.494567407277841</v>
      </c>
      <c r="K1479" s="83" t="n">
        <f aca="false">IF(J1479&lt;(Inputs!$E$18-Inputs!$D$18)/(Inputs!$F$18-Inputs!$D$18),Inputs!$D$18+SQRT(J1479*(Inputs!$F$18-Inputs!$D$18)*(Inputs!$E$18-Inputs!$D$18)),Inputs!$F$18-SQRT((1-J1479)*(Inputs!$F$18-Inputs!$D$18)*(Inputs!$F$18-Inputs!$E$18)))</f>
        <v>1.03970175496883</v>
      </c>
      <c r="L1479" s="81" t="n">
        <f aca="true">RAND()</f>
        <v>0.553423792265405</v>
      </c>
      <c r="M1479" s="83" t="n">
        <f aca="false">IF(L1479&lt;(Inputs!$E$24-Inputs!$D$24)/(Inputs!$F$24-Inputs!$D$24),Inputs!$D$24+SQRT(L1479*(Inputs!$F$24-Inputs!$D$24)*(Inputs!$E$24-Inputs!$D$24)),Inputs!$F$24-SQRT((1-L1479)*(Inputs!$F$24-Inputs!$D$24)*(Inputs!$F$24-Inputs!$E$24)))</f>
        <v>0.872619044756261</v>
      </c>
      <c r="N1479" s="81" t="n">
        <f aca="true">RAND()</f>
        <v>0.995433129078778</v>
      </c>
      <c r="O1479" s="83" t="n">
        <f aca="false">IF(N1479&lt;(Inputs!$E$26-Inputs!$D$26)/(Inputs!$F$26-Inputs!$D$26),Inputs!$D$26+SQRT(N1479*(Inputs!$F$26-Inputs!$D$26)*(Inputs!$E$26-Inputs!$D$26)),Inputs!$F$26-SQRT((1-N1479)*(Inputs!$F$26-Inputs!$D$26)*(Inputs!$F$26-Inputs!$E$26)))</f>
        <v>0.798206547409667</v>
      </c>
      <c r="P1479" s="81" t="n">
        <f aca="true">RAND()</f>
        <v>0.953631599180828</v>
      </c>
      <c r="Q1479" s="82" t="n">
        <f aca="false">IF(P1479&lt;(Inputs!$E$27-Inputs!$D$27)/(Inputs!$F$27-Inputs!$D$27),Inputs!$D$27+SQRT(P1479*(Inputs!$F$27-Inputs!$D$27)*(Inputs!$E$27-Inputs!$D$27)),Inputs!$F$27-SQRT((1-P1479)*(Inputs!$F$27-Inputs!$D$27)*(Inputs!$F$27-Inputs!$E$27)))</f>
        <v>131.351595077761</v>
      </c>
      <c r="R1479" s="81" t="n">
        <f aca="true">RAND()</f>
        <v>0.326183323517341</v>
      </c>
      <c r="S1479" s="82" t="n">
        <f aca="false">IF(R1479&lt;(Inputs!$E$29-Inputs!$D$29)/(Inputs!$F$29-Inputs!$D$29),Inputs!$D$29+SQRT(R1479*(Inputs!$F$29-Inputs!$D$29)*(Inputs!$E$29-Inputs!$D$29)),Inputs!$F$29-SQRT((1-R1479)*(Inputs!$F$29-Inputs!$D$29)*(Inputs!$F$29-Inputs!$E$29)))</f>
        <v>5.64071755193029</v>
      </c>
      <c r="T1479" s="68" t="n">
        <f aca="false">Inputs!$E$9*(1+E1479)+Inputs!$E$5*C1479*(Inputs!$E$11*Inputs!$E$14*(G1479*I1479/Inputs!$E$16+(1-G1479))*K1479+Inputs!$E$23*M1479)*(1+O1479)+Inputs!$E$5*(Q1479+S1479)</f>
        <v>7089.47105768643</v>
      </c>
    </row>
    <row r="1480" customFormat="false" ht="15" hidden="false" customHeight="false" outlineLevel="0" collapsed="false">
      <c r="A1480" s="1" t="n">
        <v>1476</v>
      </c>
      <c r="B1480" s="81" t="n">
        <f aca="true">RAND()</f>
        <v>0.651505445313525</v>
      </c>
      <c r="C1480" s="82" t="n">
        <f aca="false">ROUND(IF(B1480&lt;(Inputs!$E$8-Inputs!$D$8)/(Inputs!$F$8-Inputs!$D$8),Inputs!$D$8+SQRT(B1480*(Inputs!$F$8-Inputs!$D$8)*(Inputs!$E$8-Inputs!$D$8)),Inputs!$F$8-SQRT((1-B1480)*(Inputs!$F$8-Inputs!$D$8)*(Inputs!$F$8-Inputs!$E$8))),0)</f>
        <v>26</v>
      </c>
      <c r="D1480" s="81" t="n">
        <f aca="true">RAND()</f>
        <v>0.506218716727867</v>
      </c>
      <c r="E1480" s="83" t="n">
        <f aca="false">IF(D1480&lt;(Inputs!$E$10-Inputs!$D$10)/(Inputs!$F$10-Inputs!$D$10),Inputs!$D$10+SQRT(D1480*(Inputs!$F$10-Inputs!$D$10)*(Inputs!$E$10-Inputs!$D$10)),Inputs!$F$10-SQRT((1-D1480)*(Inputs!$F$10-Inputs!$D$10)*(Inputs!$F$10-Inputs!$E$10)))</f>
        <v>0.0782895300388501</v>
      </c>
      <c r="F1480" s="81" t="n">
        <f aca="true">RAND()</f>
        <v>0.702692635952061</v>
      </c>
      <c r="G1480" s="83" t="n">
        <f aca="false">IF(F1480&lt;(Inputs!$E$15-Inputs!$D$15)/(Inputs!$F$15-Inputs!$D$15),Inputs!$D$15+SQRT(F1480*(Inputs!$F$15-Inputs!$D$15)*(Inputs!$E$15-Inputs!$D$15)),Inputs!$F$15-SQRT((1-F1480)*(Inputs!$F$15-Inputs!$D$15)*(Inputs!$F$15-Inputs!$E$15)))</f>
        <v>0.722888734409564</v>
      </c>
      <c r="H1480" s="81" t="n">
        <f aca="true">RAND()</f>
        <v>0.584865064730805</v>
      </c>
      <c r="I1480" s="82" t="n">
        <f aca="false">ROUND(IF(H1480&lt;(Inputs!$E$17-Inputs!$D$17)/(Inputs!$F$17-Inputs!$D$17),Inputs!$D$17+SQRT(H1480*(Inputs!$F$17-Inputs!$D$17)*(Inputs!$E$17-Inputs!$D$17)),Inputs!$F$17-SQRT((1-H1480)*(Inputs!$F$17-Inputs!$D$17)*(Inputs!$F$17-Inputs!$E$17))),0)</f>
        <v>107</v>
      </c>
      <c r="J1480" s="81" t="n">
        <f aca="true">RAND()</f>
        <v>0.0699906096180261</v>
      </c>
      <c r="K1480" s="83" t="n">
        <f aca="false">IF(J1480&lt;(Inputs!$E$18-Inputs!$D$18)/(Inputs!$F$18-Inputs!$D$18),Inputs!$D$18+SQRT(J1480*(Inputs!$F$18-Inputs!$D$18)*(Inputs!$E$18-Inputs!$D$18)),Inputs!$F$18-SQRT((1-J1480)*(Inputs!$F$18-Inputs!$D$18)*(Inputs!$F$18-Inputs!$E$18)))</f>
        <v>0.949494154570322</v>
      </c>
      <c r="L1480" s="81" t="n">
        <f aca="true">RAND()</f>
        <v>0.643781632945789</v>
      </c>
      <c r="M1480" s="83" t="n">
        <f aca="false">IF(L1480&lt;(Inputs!$E$24-Inputs!$D$24)/(Inputs!$F$24-Inputs!$D$24),Inputs!$D$24+SQRT(L1480*(Inputs!$F$24-Inputs!$D$24)*(Inputs!$E$24-Inputs!$D$24)),Inputs!$F$24-SQRT((1-L1480)*(Inputs!$F$24-Inputs!$D$24)*(Inputs!$F$24-Inputs!$E$24)))</f>
        <v>0.90760915183096</v>
      </c>
      <c r="N1480" s="81" t="n">
        <f aca="true">RAND()</f>
        <v>0.882503642357966</v>
      </c>
      <c r="O1480" s="83" t="n">
        <f aca="false">IF(N1480&lt;(Inputs!$E$26-Inputs!$D$26)/(Inputs!$F$26-Inputs!$D$26),Inputs!$D$26+SQRT(N1480*(Inputs!$F$26-Inputs!$D$26)*(Inputs!$E$26-Inputs!$D$26)),Inputs!$F$26-SQRT((1-N1480)*(Inputs!$F$26-Inputs!$D$26)*(Inputs!$F$26-Inputs!$E$26)))</f>
        <v>0.709457604536669</v>
      </c>
      <c r="P1480" s="81" t="n">
        <f aca="true">RAND()</f>
        <v>0.430443119432139</v>
      </c>
      <c r="Q1480" s="82" t="n">
        <f aca="false">IF(P1480&lt;(Inputs!$E$27-Inputs!$D$27)/(Inputs!$F$27-Inputs!$D$27),Inputs!$D$27+SQRT(P1480*(Inputs!$F$27-Inputs!$D$27)*(Inputs!$E$27-Inputs!$D$27)),Inputs!$F$27-SQRT((1-P1480)*(Inputs!$F$27-Inputs!$D$27)*(Inputs!$F$27-Inputs!$E$27)))</f>
        <v>84.6419354305916</v>
      </c>
      <c r="R1480" s="81" t="n">
        <f aca="true">RAND()</f>
        <v>0.435027657838356</v>
      </c>
      <c r="S1480" s="82" t="n">
        <f aca="false">IF(R1480&lt;(Inputs!$E$29-Inputs!$D$29)/(Inputs!$F$29-Inputs!$D$29),Inputs!$D$29+SQRT(R1480*(Inputs!$F$29-Inputs!$D$29)*(Inputs!$E$29-Inputs!$D$29)),Inputs!$F$29-SQRT((1-R1480)*(Inputs!$F$29-Inputs!$D$29)*(Inputs!$F$29-Inputs!$E$29)))</f>
        <v>6.4299122244277</v>
      </c>
      <c r="T1480" s="68" t="n">
        <f aca="false">Inputs!$E$9*(1+E1480)+Inputs!$E$5*C1480*(Inputs!$E$11*Inputs!$E$14*(G1480*I1480/Inputs!$E$16+(1-G1480))*K1480+Inputs!$E$23*M1480)*(1+O1480)+Inputs!$E$5*(Q1480+S1480)</f>
        <v>6525.21518535331</v>
      </c>
    </row>
    <row r="1481" customFormat="false" ht="15" hidden="false" customHeight="false" outlineLevel="0" collapsed="false">
      <c r="A1481" s="1" t="n">
        <v>1477</v>
      </c>
      <c r="B1481" s="81" t="n">
        <f aca="true">RAND()</f>
        <v>0.775094433755781</v>
      </c>
      <c r="C1481" s="82" t="n">
        <f aca="false">ROUND(IF(B1481&lt;(Inputs!$E$8-Inputs!$D$8)/(Inputs!$F$8-Inputs!$D$8),Inputs!$D$8+SQRT(B1481*(Inputs!$F$8-Inputs!$D$8)*(Inputs!$E$8-Inputs!$D$8)),Inputs!$F$8-SQRT((1-B1481)*(Inputs!$F$8-Inputs!$D$8)*(Inputs!$F$8-Inputs!$E$8))),0)</f>
        <v>27</v>
      </c>
      <c r="D1481" s="81" t="n">
        <f aca="true">RAND()</f>
        <v>0.706508887072839</v>
      </c>
      <c r="E1481" s="83" t="n">
        <f aca="false">IF(D1481&lt;(Inputs!$E$10-Inputs!$D$10)/(Inputs!$F$10-Inputs!$D$10),Inputs!$D$10+SQRT(D1481*(Inputs!$F$10-Inputs!$D$10)*(Inputs!$E$10-Inputs!$D$10)),Inputs!$F$10-SQRT((1-D1481)*(Inputs!$F$10-Inputs!$D$10)*(Inputs!$F$10-Inputs!$E$10)))</f>
        <v>0.106166459153377</v>
      </c>
      <c r="F1481" s="81" t="n">
        <f aca="true">RAND()</f>
        <v>0.999020640422476</v>
      </c>
      <c r="G1481" s="83" t="n">
        <f aca="false">IF(F1481&lt;(Inputs!$E$15-Inputs!$D$15)/(Inputs!$F$15-Inputs!$D$15),Inputs!$D$15+SQRT(F1481*(Inputs!$F$15-Inputs!$D$15)*(Inputs!$E$15-Inputs!$D$15)),Inputs!$F$15-SQRT((1-F1481)*(Inputs!$F$15-Inputs!$D$15)*(Inputs!$F$15-Inputs!$E$15)))</f>
        <v>0.795574258079092</v>
      </c>
      <c r="H1481" s="81" t="n">
        <f aca="true">RAND()</f>
        <v>0.839482850147399</v>
      </c>
      <c r="I1481" s="82" t="n">
        <f aca="false">ROUND(IF(H1481&lt;(Inputs!$E$17-Inputs!$D$17)/(Inputs!$F$17-Inputs!$D$17),Inputs!$D$17+SQRT(H1481*(Inputs!$F$17-Inputs!$D$17)*(Inputs!$E$17-Inputs!$D$17)),Inputs!$F$17-SQRT((1-H1481)*(Inputs!$F$17-Inputs!$D$17)*(Inputs!$F$17-Inputs!$E$17))),0)</f>
        <v>110</v>
      </c>
      <c r="J1481" s="81" t="n">
        <f aca="true">RAND()</f>
        <v>0.285871147050113</v>
      </c>
      <c r="K1481" s="83" t="n">
        <f aca="false">IF(J1481&lt;(Inputs!$E$18-Inputs!$D$18)/(Inputs!$F$18-Inputs!$D$18),Inputs!$D$18+SQRT(J1481*(Inputs!$F$18-Inputs!$D$18)*(Inputs!$E$18-Inputs!$D$18)),Inputs!$F$18-SQRT((1-J1481)*(Inputs!$F$18-Inputs!$D$18)*(Inputs!$F$18-Inputs!$E$18)))</f>
        <v>1.00002745224102</v>
      </c>
      <c r="L1481" s="81" t="n">
        <f aca="true">RAND()</f>
        <v>0.794545855302056</v>
      </c>
      <c r="M1481" s="83" t="n">
        <f aca="false">IF(L1481&lt;(Inputs!$E$24-Inputs!$D$24)/(Inputs!$F$24-Inputs!$D$24),Inputs!$D$24+SQRT(L1481*(Inputs!$F$24-Inputs!$D$24)*(Inputs!$E$24-Inputs!$D$24)),Inputs!$F$24-SQRT((1-L1481)*(Inputs!$F$24-Inputs!$D$24)*(Inputs!$F$24-Inputs!$E$24)))</f>
        <v>0.977943712704399</v>
      </c>
      <c r="N1481" s="81" t="n">
        <f aca="true">RAND()</f>
        <v>0.931001356740416</v>
      </c>
      <c r="O1481" s="83" t="n">
        <f aca="false">IF(N1481&lt;(Inputs!$E$26-Inputs!$D$26)/(Inputs!$F$26-Inputs!$D$26),Inputs!$D$26+SQRT(N1481*(Inputs!$F$26-Inputs!$D$26)*(Inputs!$E$26-Inputs!$D$26)),Inputs!$F$26-SQRT((1-N1481)*(Inputs!$F$26-Inputs!$D$26)*(Inputs!$F$26-Inputs!$E$26)))</f>
        <v>0.735289558500757</v>
      </c>
      <c r="P1481" s="81" t="n">
        <f aca="true">RAND()</f>
        <v>0.220036052465356</v>
      </c>
      <c r="Q1481" s="82" t="n">
        <f aca="false">IF(P1481&lt;(Inputs!$E$27-Inputs!$D$27)/(Inputs!$F$27-Inputs!$D$27),Inputs!$D$27+SQRT(P1481*(Inputs!$F$27-Inputs!$D$27)*(Inputs!$E$27-Inputs!$D$27)),Inputs!$F$27-SQRT((1-P1481)*(Inputs!$F$27-Inputs!$D$27)*(Inputs!$F$27-Inputs!$E$27)))</f>
        <v>73.4540003232581</v>
      </c>
      <c r="R1481" s="81" t="n">
        <f aca="true">RAND()</f>
        <v>0.42594185833499</v>
      </c>
      <c r="S1481" s="82" t="n">
        <f aca="false">IF(R1481&lt;(Inputs!$E$29-Inputs!$D$29)/(Inputs!$F$29-Inputs!$D$29),Inputs!$D$29+SQRT(R1481*(Inputs!$F$29-Inputs!$D$29)*(Inputs!$E$29-Inputs!$D$29)),Inputs!$F$29-SQRT((1-R1481)*(Inputs!$F$29-Inputs!$D$29)*(Inputs!$F$29-Inputs!$E$29)))</f>
        <v>6.3612756487748</v>
      </c>
      <c r="T1481" s="68" t="n">
        <f aca="false">Inputs!$E$9*(1+E1481)+Inputs!$E$5*C1481*(Inputs!$E$11*Inputs!$E$14*(G1481*I1481/Inputs!$E$16+(1-G1481))*K1481+Inputs!$E$23*M1481)*(1+O1481)+Inputs!$E$5*(Q1481+S1481)</f>
        <v>6910.72171507771</v>
      </c>
    </row>
    <row r="1482" customFormat="false" ht="15" hidden="false" customHeight="false" outlineLevel="0" collapsed="false">
      <c r="A1482" s="1" t="n">
        <v>1478</v>
      </c>
      <c r="B1482" s="81" t="n">
        <f aca="true">RAND()</f>
        <v>0.850927504061042</v>
      </c>
      <c r="C1482" s="82" t="n">
        <f aca="false">ROUND(IF(B1482&lt;(Inputs!$E$8-Inputs!$D$8)/(Inputs!$F$8-Inputs!$D$8),Inputs!$D$8+SQRT(B1482*(Inputs!$F$8-Inputs!$D$8)*(Inputs!$E$8-Inputs!$D$8)),Inputs!$F$8-SQRT((1-B1482)*(Inputs!$F$8-Inputs!$D$8)*(Inputs!$F$8-Inputs!$E$8))),0)</f>
        <v>27</v>
      </c>
      <c r="D1482" s="81" t="n">
        <f aca="true">RAND()</f>
        <v>0.805078084483519</v>
      </c>
      <c r="E1482" s="83" t="n">
        <f aca="false">IF(D1482&lt;(Inputs!$E$10-Inputs!$D$10)/(Inputs!$F$10-Inputs!$D$10),Inputs!$D$10+SQRT(D1482*(Inputs!$F$10-Inputs!$D$10)*(Inputs!$E$10-Inputs!$D$10)),Inputs!$F$10-SQRT((1-D1482)*(Inputs!$F$10-Inputs!$D$10)*(Inputs!$F$10-Inputs!$E$10)))</f>
        <v>0.123530022456559</v>
      </c>
      <c r="F1482" s="81" t="n">
        <f aca="true">RAND()</f>
        <v>0.250165349616121</v>
      </c>
      <c r="G1482" s="83" t="n">
        <f aca="false">IF(F1482&lt;(Inputs!$E$15-Inputs!$D$15)/(Inputs!$F$15-Inputs!$D$15),Inputs!$D$15+SQRT(F1482*(Inputs!$F$15-Inputs!$D$15)*(Inputs!$E$15-Inputs!$D$15)),Inputs!$F$15-SQRT((1-F1482)*(Inputs!$F$15-Inputs!$D$15)*(Inputs!$F$15-Inputs!$E$15)))</f>
        <v>0.670734058220368</v>
      </c>
      <c r="H1482" s="81" t="n">
        <f aca="true">RAND()</f>
        <v>0.48550502783638</v>
      </c>
      <c r="I1482" s="82" t="n">
        <f aca="false">ROUND(IF(H1482&lt;(Inputs!$E$17-Inputs!$D$17)/(Inputs!$F$17-Inputs!$D$17),Inputs!$D$17+SQRT(H1482*(Inputs!$F$17-Inputs!$D$17)*(Inputs!$E$17-Inputs!$D$17)),Inputs!$F$17-SQRT((1-H1482)*(Inputs!$F$17-Inputs!$D$17)*(Inputs!$F$17-Inputs!$E$17))),0)</f>
        <v>106</v>
      </c>
      <c r="J1482" s="81" t="n">
        <f aca="true">RAND()</f>
        <v>0.863623223746778</v>
      </c>
      <c r="K1482" s="83" t="n">
        <f aca="false">IF(J1482&lt;(Inputs!$E$18-Inputs!$D$18)/(Inputs!$F$18-Inputs!$D$18),Inputs!$D$18+SQRT(J1482*(Inputs!$F$18-Inputs!$D$18)*(Inputs!$E$18-Inputs!$D$18)),Inputs!$F$18-SQRT((1-J1482)*(Inputs!$F$18-Inputs!$D$18)*(Inputs!$F$18-Inputs!$E$18)))</f>
        <v>1.14076187514353</v>
      </c>
      <c r="L1482" s="81" t="n">
        <f aca="true">RAND()</f>
        <v>0.560455656591086</v>
      </c>
      <c r="M1482" s="83" t="n">
        <f aca="false">IF(L1482&lt;(Inputs!$E$24-Inputs!$D$24)/(Inputs!$F$24-Inputs!$D$24),Inputs!$D$24+SQRT(L1482*(Inputs!$F$24-Inputs!$D$24)*(Inputs!$E$24-Inputs!$D$24)),Inputs!$F$24-SQRT((1-L1482)*(Inputs!$F$24-Inputs!$D$24)*(Inputs!$F$24-Inputs!$E$24)))</f>
        <v>0.87520676974706</v>
      </c>
      <c r="N1482" s="81" t="n">
        <f aca="true">RAND()</f>
        <v>0.271828861573253</v>
      </c>
      <c r="O1482" s="83" t="n">
        <f aca="false">IF(N1482&lt;(Inputs!$E$26-Inputs!$D$26)/(Inputs!$F$26-Inputs!$D$26),Inputs!$D$26+SQRT(N1482*(Inputs!$F$26-Inputs!$D$26)*(Inputs!$E$26-Inputs!$D$26)),Inputs!$F$26-SQRT((1-N1482)*(Inputs!$F$26-Inputs!$D$26)*(Inputs!$F$26-Inputs!$E$26)))</f>
        <v>0.512678918950114</v>
      </c>
      <c r="P1482" s="81" t="n">
        <f aca="true">RAND()</f>
        <v>0.701856464492741</v>
      </c>
      <c r="Q1482" s="82" t="n">
        <f aca="false">IF(P1482&lt;(Inputs!$E$27-Inputs!$D$27)/(Inputs!$F$27-Inputs!$D$27),Inputs!$D$27+SQRT(P1482*(Inputs!$F$27-Inputs!$D$27)*(Inputs!$E$27-Inputs!$D$27)),Inputs!$F$27-SQRT((1-P1482)*(Inputs!$F$27-Inputs!$D$27)*(Inputs!$F$27-Inputs!$E$27)))</f>
        <v>102.712829263061</v>
      </c>
      <c r="R1482" s="81" t="n">
        <f aca="true">RAND()</f>
        <v>0.0702119977459156</v>
      </c>
      <c r="S1482" s="82" t="n">
        <f aca="false">IF(R1482&lt;(Inputs!$E$29-Inputs!$D$29)/(Inputs!$F$29-Inputs!$D$29),Inputs!$D$29+SQRT(R1482*(Inputs!$F$29-Inputs!$D$29)*(Inputs!$E$29-Inputs!$D$29)),Inputs!$F$29-SQRT((1-R1482)*(Inputs!$F$29-Inputs!$D$29)*(Inputs!$F$29-Inputs!$E$29)))</f>
        <v>3.65477125672726</v>
      </c>
      <c r="T1482" s="68" t="n">
        <f aca="false">Inputs!$E$9*(1+E1482)+Inputs!$E$5*C1482*(Inputs!$E$11*Inputs!$E$14*(G1482*I1482/Inputs!$E$16+(1-G1482))*K1482+Inputs!$E$23*M1482)*(1+O1482)+Inputs!$E$5*(Q1482+S1482)</f>
        <v>6838.38612673054</v>
      </c>
    </row>
    <row r="1483" customFormat="false" ht="15" hidden="false" customHeight="false" outlineLevel="0" collapsed="false">
      <c r="A1483" s="1" t="n">
        <v>1479</v>
      </c>
      <c r="B1483" s="81" t="n">
        <f aca="true">RAND()</f>
        <v>0.0976393005420084</v>
      </c>
      <c r="C1483" s="82" t="n">
        <f aca="false">ROUND(IF(B1483&lt;(Inputs!$E$8-Inputs!$D$8)/(Inputs!$F$8-Inputs!$D$8),Inputs!$D$8+SQRT(B1483*(Inputs!$F$8-Inputs!$D$8)*(Inputs!$E$8-Inputs!$D$8)),Inputs!$F$8-SQRT((1-B1483)*(Inputs!$F$8-Inputs!$D$8)*(Inputs!$F$8-Inputs!$E$8))),0)</f>
        <v>22</v>
      </c>
      <c r="D1483" s="81" t="n">
        <f aca="true">RAND()</f>
        <v>0.860463490195939</v>
      </c>
      <c r="E1483" s="83" t="n">
        <f aca="false">IF(D1483&lt;(Inputs!$E$10-Inputs!$D$10)/(Inputs!$F$10-Inputs!$D$10),Inputs!$D$10+SQRT(D1483*(Inputs!$F$10-Inputs!$D$10)*(Inputs!$E$10-Inputs!$D$10)),Inputs!$F$10-SQRT((1-D1483)*(Inputs!$F$10-Inputs!$D$10)*(Inputs!$F$10-Inputs!$E$10)))</f>
        <v>0.13529995908717</v>
      </c>
      <c r="F1483" s="81" t="n">
        <f aca="true">RAND()</f>
        <v>0.884799709654922</v>
      </c>
      <c r="G1483" s="83" t="n">
        <f aca="false">IF(F1483&lt;(Inputs!$E$15-Inputs!$D$15)/(Inputs!$F$15-Inputs!$D$15),Inputs!$D$15+SQRT(F1483*(Inputs!$F$15-Inputs!$D$15)*(Inputs!$E$15-Inputs!$D$15)),Inputs!$F$15-SQRT((1-F1483)*(Inputs!$F$15-Inputs!$D$15)*(Inputs!$F$15-Inputs!$E$15)))</f>
        <v>0.75199993951148</v>
      </c>
      <c r="H1483" s="81" t="n">
        <f aca="true">RAND()</f>
        <v>0.606024863750563</v>
      </c>
      <c r="I1483" s="82" t="n">
        <f aca="false">ROUND(IF(H1483&lt;(Inputs!$E$17-Inputs!$D$17)/(Inputs!$F$17-Inputs!$D$17),Inputs!$D$17+SQRT(H1483*(Inputs!$F$17-Inputs!$D$17)*(Inputs!$E$17-Inputs!$D$17)),Inputs!$F$17-SQRT((1-H1483)*(Inputs!$F$17-Inputs!$D$17)*(Inputs!$F$17-Inputs!$E$17))),0)</f>
        <v>107</v>
      </c>
      <c r="J1483" s="81" t="n">
        <f aca="true">RAND()</f>
        <v>0.882559953165073</v>
      </c>
      <c r="K1483" s="83" t="n">
        <f aca="false">IF(J1483&lt;(Inputs!$E$18-Inputs!$D$18)/(Inputs!$F$18-Inputs!$D$18),Inputs!$D$18+SQRT(J1483*(Inputs!$F$18-Inputs!$D$18)*(Inputs!$E$18-Inputs!$D$18)),Inputs!$F$18-SQRT((1-J1483)*(Inputs!$F$18-Inputs!$D$18)*(Inputs!$F$18-Inputs!$E$18)))</f>
        <v>1.14862937260697</v>
      </c>
      <c r="L1483" s="81" t="n">
        <f aca="true">RAND()</f>
        <v>0.523489197359799</v>
      </c>
      <c r="M1483" s="83" t="n">
        <f aca="false">IF(L1483&lt;(Inputs!$E$24-Inputs!$D$24)/(Inputs!$F$24-Inputs!$D$24),Inputs!$D$24+SQRT(L1483*(Inputs!$F$24-Inputs!$D$24)*(Inputs!$E$24-Inputs!$D$24)),Inputs!$F$24-SQRT((1-L1483)*(Inputs!$F$24-Inputs!$D$24)*(Inputs!$F$24-Inputs!$E$24)))</f>
        <v>0.861824612614034</v>
      </c>
      <c r="N1483" s="81" t="n">
        <f aca="true">RAND()</f>
        <v>0.972560277545048</v>
      </c>
      <c r="O1483" s="83" t="n">
        <f aca="false">IF(N1483&lt;(Inputs!$E$26-Inputs!$D$26)/(Inputs!$F$26-Inputs!$D$26),Inputs!$D$26+SQRT(N1483*(Inputs!$F$26-Inputs!$D$26)*(Inputs!$E$26-Inputs!$D$26)),Inputs!$F$26-SQRT((1-N1483)*(Inputs!$F$26-Inputs!$D$26)*(Inputs!$F$26-Inputs!$E$26)))</f>
        <v>0.766579674885724</v>
      </c>
      <c r="P1483" s="81" t="n">
        <f aca="true">RAND()</f>
        <v>0.504992410210306</v>
      </c>
      <c r="Q1483" s="82" t="n">
        <f aca="false">IF(P1483&lt;(Inputs!$E$27-Inputs!$D$27)/(Inputs!$F$27-Inputs!$D$27),Inputs!$D$27+SQRT(P1483*(Inputs!$F$27-Inputs!$D$27)*(Inputs!$E$27-Inputs!$D$27)),Inputs!$F$27-SQRT((1-P1483)*(Inputs!$F$27-Inputs!$D$27)*(Inputs!$F$27-Inputs!$E$27)))</f>
        <v>89.069244847756</v>
      </c>
      <c r="R1483" s="81" t="n">
        <f aca="true">RAND()</f>
        <v>0.335318626742604</v>
      </c>
      <c r="S1483" s="82" t="n">
        <f aca="false">IF(R1483&lt;(Inputs!$E$29-Inputs!$D$29)/(Inputs!$F$29-Inputs!$D$29),Inputs!$D$29+SQRT(R1483*(Inputs!$F$29-Inputs!$D$29)*(Inputs!$E$29-Inputs!$D$29)),Inputs!$F$29-SQRT((1-R1483)*(Inputs!$F$29-Inputs!$D$29)*(Inputs!$F$29-Inputs!$E$29)))</f>
        <v>5.70437852946553</v>
      </c>
      <c r="T1483" s="68" t="n">
        <f aca="false">Inputs!$E$9*(1+E1483)+Inputs!$E$5*C1483*(Inputs!$E$11*Inputs!$E$14*(G1483*I1483/Inputs!$E$16+(1-G1483))*K1483+Inputs!$E$23*M1483)*(1+O1483)+Inputs!$E$5*(Q1483+S1483)</f>
        <v>6513.5611096783</v>
      </c>
    </row>
    <row r="1484" customFormat="false" ht="15" hidden="false" customHeight="false" outlineLevel="0" collapsed="false">
      <c r="A1484" s="1" t="n">
        <v>1480</v>
      </c>
      <c r="B1484" s="81" t="n">
        <f aca="true">RAND()</f>
        <v>0.897471815661096</v>
      </c>
      <c r="C1484" s="82" t="n">
        <f aca="false">ROUND(IF(B1484&lt;(Inputs!$E$8-Inputs!$D$8)/(Inputs!$F$8-Inputs!$D$8),Inputs!$D$8+SQRT(B1484*(Inputs!$F$8-Inputs!$D$8)*(Inputs!$E$8-Inputs!$D$8)),Inputs!$F$8-SQRT((1-B1484)*(Inputs!$F$8-Inputs!$D$8)*(Inputs!$F$8-Inputs!$E$8))),0)</f>
        <v>28</v>
      </c>
      <c r="D1484" s="81" t="n">
        <f aca="true">RAND()</f>
        <v>0.63366614599829</v>
      </c>
      <c r="E1484" s="83" t="n">
        <f aca="false">IF(D1484&lt;(Inputs!$E$10-Inputs!$D$10)/(Inputs!$F$10-Inputs!$D$10),Inputs!$D$10+SQRT(D1484*(Inputs!$F$10-Inputs!$D$10)*(Inputs!$E$10-Inputs!$D$10)),Inputs!$F$10-SQRT((1-D1484)*(Inputs!$F$10-Inputs!$D$10)*(Inputs!$F$10-Inputs!$E$10)))</f>
        <v>0.0951667246526595</v>
      </c>
      <c r="F1484" s="81" t="n">
        <f aca="true">RAND()</f>
        <v>0.13251843494826</v>
      </c>
      <c r="G1484" s="83" t="n">
        <f aca="false">IF(F1484&lt;(Inputs!$E$15-Inputs!$D$15)/(Inputs!$F$15-Inputs!$D$15),Inputs!$D$15+SQRT(F1484*(Inputs!$F$15-Inputs!$D$15)*(Inputs!$E$15-Inputs!$D$15)),Inputs!$F$15-SQRT((1-F1484)*(Inputs!$F$15-Inputs!$D$15)*(Inputs!$F$15-Inputs!$E$15)))</f>
        <v>0.651481731701306</v>
      </c>
      <c r="H1484" s="81" t="n">
        <f aca="true">RAND()</f>
        <v>0.541388836744026</v>
      </c>
      <c r="I1484" s="82" t="n">
        <f aca="false">ROUND(IF(H1484&lt;(Inputs!$E$17-Inputs!$D$17)/(Inputs!$F$17-Inputs!$D$17),Inputs!$D$17+SQRT(H1484*(Inputs!$F$17-Inputs!$D$17)*(Inputs!$E$17-Inputs!$D$17)),Inputs!$F$17-SQRT((1-H1484)*(Inputs!$F$17-Inputs!$D$17)*(Inputs!$F$17-Inputs!$E$17))),0)</f>
        <v>107</v>
      </c>
      <c r="J1484" s="81" t="n">
        <f aca="true">RAND()</f>
        <v>0.316671916275961</v>
      </c>
      <c r="K1484" s="83" t="n">
        <f aca="false">IF(J1484&lt;(Inputs!$E$18-Inputs!$D$18)/(Inputs!$F$18-Inputs!$D$18),Inputs!$D$18+SQRT(J1484*(Inputs!$F$18-Inputs!$D$18)*(Inputs!$E$18-Inputs!$D$18)),Inputs!$F$18-SQRT((1-J1484)*(Inputs!$F$18-Inputs!$D$18)*(Inputs!$F$18-Inputs!$E$18)))</f>
        <v>1.00547759340737</v>
      </c>
      <c r="L1484" s="81" t="n">
        <f aca="true">RAND()</f>
        <v>0.243619354014119</v>
      </c>
      <c r="M1484" s="83" t="n">
        <f aca="false">IF(L1484&lt;(Inputs!$E$24-Inputs!$D$24)/(Inputs!$F$24-Inputs!$D$24),Inputs!$D$24+SQRT(L1484*(Inputs!$F$24-Inputs!$D$24)*(Inputs!$E$24-Inputs!$D$24)),Inputs!$F$24-SQRT((1-L1484)*(Inputs!$F$24-Inputs!$D$24)*(Inputs!$F$24-Inputs!$E$24)))</f>
        <v>0.770980473977862</v>
      </c>
      <c r="N1484" s="81" t="n">
        <f aca="true">RAND()</f>
        <v>0.877696167885406</v>
      </c>
      <c r="O1484" s="83" t="n">
        <f aca="false">IF(N1484&lt;(Inputs!$E$26-Inputs!$D$26)/(Inputs!$F$26-Inputs!$D$26),Inputs!$D$26+SQRT(N1484*(Inputs!$F$26-Inputs!$D$26)*(Inputs!$E$26-Inputs!$D$26)),Inputs!$F$26-SQRT((1-N1484)*(Inputs!$F$26-Inputs!$D$26)*(Inputs!$F$26-Inputs!$E$26)))</f>
        <v>0.707218802365297</v>
      </c>
      <c r="P1484" s="81" t="n">
        <f aca="true">RAND()</f>
        <v>0.845350032977814</v>
      </c>
      <c r="Q1484" s="82" t="n">
        <f aca="false">IF(P1484&lt;(Inputs!$E$27-Inputs!$D$27)/(Inputs!$F$27-Inputs!$D$27),Inputs!$D$27+SQRT(P1484*(Inputs!$F$27-Inputs!$D$27)*(Inputs!$E$27-Inputs!$D$27)),Inputs!$F$27-SQRT((1-P1484)*(Inputs!$F$27-Inputs!$D$27)*(Inputs!$F$27-Inputs!$E$27)))</f>
        <v>115.94306601195</v>
      </c>
      <c r="R1484" s="81" t="n">
        <f aca="true">RAND()</f>
        <v>0.82119442933929</v>
      </c>
      <c r="S1484" s="82" t="n">
        <f aca="false">IF(R1484&lt;(Inputs!$E$29-Inputs!$D$29)/(Inputs!$F$29-Inputs!$D$29),Inputs!$D$29+SQRT(R1484*(Inputs!$F$29-Inputs!$D$29)*(Inputs!$E$29-Inputs!$D$29)),Inputs!$F$29-SQRT((1-R1484)*(Inputs!$F$29-Inputs!$D$29)*(Inputs!$F$29-Inputs!$E$29)))</f>
        <v>10.1787217269802</v>
      </c>
      <c r="T1484" s="68" t="n">
        <f aca="false">Inputs!$E$9*(1+E1484)+Inputs!$E$5*C1484*(Inputs!$E$11*Inputs!$E$14*(G1484*I1484/Inputs!$E$16+(1-G1484))*K1484+Inputs!$E$23*M1484)*(1+O1484)+Inputs!$E$5*(Q1484+S1484)</f>
        <v>7038.68779324625</v>
      </c>
    </row>
    <row r="1485" customFormat="false" ht="15" hidden="false" customHeight="false" outlineLevel="0" collapsed="false">
      <c r="A1485" s="1" t="n">
        <v>1481</v>
      </c>
      <c r="B1485" s="81" t="n">
        <f aca="true">RAND()</f>
        <v>0.335768741550191</v>
      </c>
      <c r="C1485" s="82" t="n">
        <f aca="false">ROUND(IF(B1485&lt;(Inputs!$E$8-Inputs!$D$8)/(Inputs!$F$8-Inputs!$D$8),Inputs!$D$8+SQRT(B1485*(Inputs!$F$8-Inputs!$D$8)*(Inputs!$E$8-Inputs!$D$8)),Inputs!$F$8-SQRT((1-B1485)*(Inputs!$F$8-Inputs!$D$8)*(Inputs!$F$8-Inputs!$E$8))),0)</f>
        <v>24</v>
      </c>
      <c r="D1485" s="81" t="n">
        <f aca="true">RAND()</f>
        <v>0.99667703868177</v>
      </c>
      <c r="E1485" s="83" t="n">
        <f aca="false">IF(D1485&lt;(Inputs!$E$10-Inputs!$D$10)/(Inputs!$F$10-Inputs!$D$10),Inputs!$D$10+SQRT(D1485*(Inputs!$F$10-Inputs!$D$10)*(Inputs!$E$10-Inputs!$D$10)),Inputs!$F$10-SQRT((1-D1485)*(Inputs!$F$10-Inputs!$D$10)*(Inputs!$F$10-Inputs!$E$10)))</f>
        <v>0.190015570144124</v>
      </c>
      <c r="F1485" s="81" t="n">
        <f aca="true">RAND()</f>
        <v>0.151777898143107</v>
      </c>
      <c r="G1485" s="83" t="n">
        <f aca="false">IF(F1485&lt;(Inputs!$E$15-Inputs!$D$15)/(Inputs!$F$15-Inputs!$D$15),Inputs!$D$15+SQRT(F1485*(Inputs!$F$15-Inputs!$D$15)*(Inputs!$E$15-Inputs!$D$15)),Inputs!$F$15-SQRT((1-F1485)*(Inputs!$F$15-Inputs!$D$15)*(Inputs!$F$15-Inputs!$E$15)))</f>
        <v>0.655095897876903</v>
      </c>
      <c r="H1485" s="81" t="n">
        <f aca="true">RAND()</f>
        <v>0.497220910189522</v>
      </c>
      <c r="I1485" s="82" t="n">
        <f aca="false">ROUND(IF(H1485&lt;(Inputs!$E$17-Inputs!$D$17)/(Inputs!$F$17-Inputs!$D$17),Inputs!$D$17+SQRT(H1485*(Inputs!$F$17-Inputs!$D$17)*(Inputs!$E$17-Inputs!$D$17)),Inputs!$F$17-SQRT((1-H1485)*(Inputs!$F$17-Inputs!$D$17)*(Inputs!$F$17-Inputs!$E$17))),0)</f>
        <v>106</v>
      </c>
      <c r="J1485" s="81" t="n">
        <f aca="true">RAND()</f>
        <v>0.916090609476594</v>
      </c>
      <c r="K1485" s="83" t="n">
        <f aca="false">IF(J1485&lt;(Inputs!$E$18-Inputs!$D$18)/(Inputs!$F$18-Inputs!$D$18),Inputs!$D$18+SQRT(J1485*(Inputs!$F$18-Inputs!$D$18)*(Inputs!$E$18-Inputs!$D$18)),Inputs!$F$18-SQRT((1-J1485)*(Inputs!$F$18-Inputs!$D$18)*(Inputs!$F$18-Inputs!$E$18)))</f>
        <v>1.16431411043353</v>
      </c>
      <c r="L1485" s="81" t="n">
        <f aca="true">RAND()</f>
        <v>0.442602996994492</v>
      </c>
      <c r="M1485" s="83" t="n">
        <f aca="false">IF(L1485&lt;(Inputs!$E$24-Inputs!$D$24)/(Inputs!$F$24-Inputs!$D$24),Inputs!$D$24+SQRT(L1485*(Inputs!$F$24-Inputs!$D$24)*(Inputs!$E$24-Inputs!$D$24)),Inputs!$F$24-SQRT((1-L1485)*(Inputs!$F$24-Inputs!$D$24)*(Inputs!$F$24-Inputs!$E$24)))</f>
        <v>0.834246967584243</v>
      </c>
      <c r="N1485" s="81" t="n">
        <f aca="true">RAND()</f>
        <v>0.0868459354314192</v>
      </c>
      <c r="O1485" s="83" t="n">
        <f aca="false">IF(N1485&lt;(Inputs!$E$26-Inputs!$D$26)/(Inputs!$F$26-Inputs!$D$26),Inputs!$D$26+SQRT(N1485*(Inputs!$F$26-Inputs!$D$26)*(Inputs!$E$26-Inputs!$D$26)),Inputs!$F$26-SQRT((1-N1485)*(Inputs!$F$26-Inputs!$D$26)*(Inputs!$F$26-Inputs!$E$26)))</f>
        <v>0.420212992874265</v>
      </c>
      <c r="P1485" s="81" t="n">
        <f aca="true">RAND()</f>
        <v>0.0440711499937674</v>
      </c>
      <c r="Q1485" s="82" t="n">
        <f aca="false">IF(P1485&lt;(Inputs!$E$27-Inputs!$D$27)/(Inputs!$F$27-Inputs!$D$27),Inputs!$D$27+SQRT(P1485*(Inputs!$F$27-Inputs!$D$27)*(Inputs!$E$27-Inputs!$D$27)),Inputs!$F$27-SQRT((1-P1485)*(Inputs!$F$27-Inputs!$D$27)*(Inputs!$F$27-Inputs!$E$27)))</f>
        <v>60.4965649135524</v>
      </c>
      <c r="R1485" s="81" t="n">
        <f aca="true">RAND()</f>
        <v>0.271705057436207</v>
      </c>
      <c r="S1485" s="82" t="n">
        <f aca="false">IF(R1485&lt;(Inputs!$E$29-Inputs!$D$29)/(Inputs!$F$29-Inputs!$D$29),Inputs!$D$29+SQRT(R1485*(Inputs!$F$29-Inputs!$D$29)*(Inputs!$E$29-Inputs!$D$29)),Inputs!$F$29-SQRT((1-R1485)*(Inputs!$F$29-Inputs!$D$29)*(Inputs!$F$29-Inputs!$E$29)))</f>
        <v>5.26972032604956</v>
      </c>
      <c r="T1485" s="68" t="n">
        <f aca="false">Inputs!$E$9*(1+E1485)+Inputs!$E$5*C1485*(Inputs!$E$11*Inputs!$E$14*(G1485*I1485/Inputs!$E$16+(1-G1485))*K1485+Inputs!$E$23*M1485)*(1+O1485)+Inputs!$E$5*(Q1485+S1485)</f>
        <v>6161.94890615482</v>
      </c>
    </row>
    <row r="1486" customFormat="false" ht="15" hidden="false" customHeight="false" outlineLevel="0" collapsed="false">
      <c r="A1486" s="1" t="n">
        <v>1482</v>
      </c>
      <c r="B1486" s="81" t="n">
        <f aca="true">RAND()</f>
        <v>0.746330151137146</v>
      </c>
      <c r="C1486" s="82" t="n">
        <f aca="false">ROUND(IF(B1486&lt;(Inputs!$E$8-Inputs!$D$8)/(Inputs!$F$8-Inputs!$D$8),Inputs!$D$8+SQRT(B1486*(Inputs!$F$8-Inputs!$D$8)*(Inputs!$E$8-Inputs!$D$8)),Inputs!$F$8-SQRT((1-B1486)*(Inputs!$F$8-Inputs!$D$8)*(Inputs!$F$8-Inputs!$E$8))),0)</f>
        <v>26</v>
      </c>
      <c r="D1486" s="81" t="n">
        <f aca="true">RAND()</f>
        <v>0.0995234406225048</v>
      </c>
      <c r="E1486" s="83" t="n">
        <f aca="false">IF(D1486&lt;(Inputs!$E$10-Inputs!$D$10)/(Inputs!$F$10-Inputs!$D$10),Inputs!$D$10+SQRT(D1486*(Inputs!$F$10-Inputs!$D$10)*(Inputs!$E$10-Inputs!$D$10)),Inputs!$F$10-SQRT((1-D1486)*(Inputs!$F$10-Inputs!$D$10)*(Inputs!$F$10-Inputs!$E$10)))</f>
        <v>0.0315473359608232</v>
      </c>
      <c r="F1486" s="81" t="n">
        <f aca="true">RAND()</f>
        <v>0.0719979680962113</v>
      </c>
      <c r="G1486" s="83" t="n">
        <f aca="false">IF(F1486&lt;(Inputs!$E$15-Inputs!$D$15)/(Inputs!$F$15-Inputs!$D$15),Inputs!$D$15+SQRT(F1486*(Inputs!$F$15-Inputs!$D$15)*(Inputs!$E$15-Inputs!$D$15)),Inputs!$F$15-SQRT((1-F1486)*(Inputs!$F$15-Inputs!$D$15)*(Inputs!$F$15-Inputs!$E$15)))</f>
        <v>0.63794679646458</v>
      </c>
      <c r="H1486" s="81" t="n">
        <f aca="true">RAND()</f>
        <v>0.406321765778546</v>
      </c>
      <c r="I1486" s="82" t="n">
        <f aca="false">ROUND(IF(H1486&lt;(Inputs!$E$17-Inputs!$D$17)/(Inputs!$F$17-Inputs!$D$17),Inputs!$D$17+SQRT(H1486*(Inputs!$F$17-Inputs!$D$17)*(Inputs!$E$17-Inputs!$D$17)),Inputs!$F$17-SQRT((1-H1486)*(Inputs!$F$17-Inputs!$D$17)*(Inputs!$F$17-Inputs!$E$17))),0)</f>
        <v>106</v>
      </c>
      <c r="J1486" s="81" t="n">
        <f aca="true">RAND()</f>
        <v>0.00628246690992302</v>
      </c>
      <c r="K1486" s="83" t="n">
        <f aca="false">IF(J1486&lt;(Inputs!$E$18-Inputs!$D$18)/(Inputs!$F$18-Inputs!$D$18),Inputs!$D$18+SQRT(J1486*(Inputs!$F$18-Inputs!$D$18)*(Inputs!$E$18-Inputs!$D$18)),Inputs!$F$18-SQRT((1-J1486)*(Inputs!$F$18-Inputs!$D$18)*(Inputs!$F$18-Inputs!$E$18)))</f>
        <v>0.914828565063664</v>
      </c>
      <c r="L1486" s="81" t="n">
        <f aca="true">RAND()</f>
        <v>0.585350142358056</v>
      </c>
      <c r="M1486" s="83" t="n">
        <f aca="false">IF(L1486&lt;(Inputs!$E$24-Inputs!$D$24)/(Inputs!$F$24-Inputs!$D$24),Inputs!$D$24+SQRT(L1486*(Inputs!$F$24-Inputs!$D$24)*(Inputs!$E$24-Inputs!$D$24)),Inputs!$F$24-SQRT((1-L1486)*(Inputs!$F$24-Inputs!$D$24)*(Inputs!$F$24-Inputs!$E$24)))</f>
        <v>0.884538487555032</v>
      </c>
      <c r="N1486" s="81" t="n">
        <f aca="true">RAND()</f>
        <v>0.0960476460852744</v>
      </c>
      <c r="O1486" s="83" t="n">
        <f aca="false">IF(N1486&lt;(Inputs!$E$26-Inputs!$D$26)/(Inputs!$F$26-Inputs!$D$26),Inputs!$D$26+SQRT(N1486*(Inputs!$F$26-Inputs!$D$26)*(Inputs!$E$26-Inputs!$D$26)),Inputs!$F$26-SQRT((1-N1486)*(Inputs!$F$26-Inputs!$D$26)*(Inputs!$F$26-Inputs!$E$26)))</f>
        <v>0.426421233614412</v>
      </c>
      <c r="P1486" s="81" t="n">
        <f aca="true">RAND()</f>
        <v>0.416640878378082</v>
      </c>
      <c r="Q1486" s="82" t="n">
        <f aca="false">IF(P1486&lt;(Inputs!$E$27-Inputs!$D$27)/(Inputs!$F$27-Inputs!$D$27),Inputs!$D$27+SQRT(P1486*(Inputs!$F$27-Inputs!$D$27)*(Inputs!$E$27-Inputs!$D$27)),Inputs!$F$27-SQRT((1-P1486)*(Inputs!$F$27-Inputs!$D$27)*(Inputs!$F$27-Inputs!$E$27)))</f>
        <v>83.854755181008</v>
      </c>
      <c r="R1486" s="81" t="n">
        <f aca="true">RAND()</f>
        <v>0.109698511778252</v>
      </c>
      <c r="S1486" s="82" t="n">
        <f aca="false">IF(R1486&lt;(Inputs!$E$29-Inputs!$D$29)/(Inputs!$F$29-Inputs!$D$29),Inputs!$D$29+SQRT(R1486*(Inputs!$F$29-Inputs!$D$29)*(Inputs!$E$29-Inputs!$D$29)),Inputs!$F$29-SQRT((1-R1486)*(Inputs!$F$29-Inputs!$D$29)*(Inputs!$F$29-Inputs!$E$29)))</f>
        <v>4.0683911524061</v>
      </c>
      <c r="T1486" s="68" t="n">
        <f aca="false">Inputs!$E$9*(1+E1486)+Inputs!$E$5*C1486*(Inputs!$E$11*Inputs!$E$14*(G1486*I1486/Inputs!$E$16+(1-G1486))*K1486+Inputs!$E$23*M1486)*(1+O1486)+Inputs!$E$5*(Q1486+S1486)</f>
        <v>5779.64957591726</v>
      </c>
    </row>
    <row r="1487" customFormat="false" ht="15" hidden="false" customHeight="false" outlineLevel="0" collapsed="false">
      <c r="A1487" s="1" t="n">
        <v>1483</v>
      </c>
      <c r="B1487" s="81" t="n">
        <f aca="true">RAND()</f>
        <v>0.40028366215413</v>
      </c>
      <c r="C1487" s="82" t="n">
        <f aca="false">ROUND(IF(B1487&lt;(Inputs!$E$8-Inputs!$D$8)/(Inputs!$F$8-Inputs!$D$8),Inputs!$D$8+SQRT(B1487*(Inputs!$F$8-Inputs!$D$8)*(Inputs!$E$8-Inputs!$D$8)),Inputs!$F$8-SQRT((1-B1487)*(Inputs!$F$8-Inputs!$D$8)*(Inputs!$F$8-Inputs!$E$8))),0)</f>
        <v>24</v>
      </c>
      <c r="D1487" s="81" t="n">
        <f aca="true">RAND()</f>
        <v>0.68209154621703</v>
      </c>
      <c r="E1487" s="83" t="n">
        <f aca="false">IF(D1487&lt;(Inputs!$E$10-Inputs!$D$10)/(Inputs!$F$10-Inputs!$D$10),Inputs!$D$10+SQRT(D1487*(Inputs!$F$10-Inputs!$D$10)*(Inputs!$E$10-Inputs!$D$10)),Inputs!$F$10-SQRT((1-D1487)*(Inputs!$F$10-Inputs!$D$10)*(Inputs!$F$10-Inputs!$E$10)))</f>
        <v>0.102341136533906</v>
      </c>
      <c r="F1487" s="81" t="n">
        <f aca="true">RAND()</f>
        <v>0.0797364173280794</v>
      </c>
      <c r="G1487" s="83" t="n">
        <f aca="false">IF(F1487&lt;(Inputs!$E$15-Inputs!$D$15)/(Inputs!$F$15-Inputs!$D$15),Inputs!$D$15+SQRT(F1487*(Inputs!$F$15-Inputs!$D$15)*(Inputs!$E$15-Inputs!$D$15)),Inputs!$F$15-SQRT((1-F1487)*(Inputs!$F$15-Inputs!$D$15)*(Inputs!$F$15-Inputs!$E$15)))</f>
        <v>0.63993404996443</v>
      </c>
      <c r="H1487" s="81" t="n">
        <f aca="true">RAND()</f>
        <v>0.174759276966794</v>
      </c>
      <c r="I1487" s="82" t="n">
        <f aca="false">ROUND(IF(H1487&lt;(Inputs!$E$17-Inputs!$D$17)/(Inputs!$F$17-Inputs!$D$17),Inputs!$D$17+SQRT(H1487*(Inputs!$F$17-Inputs!$D$17)*(Inputs!$E$17-Inputs!$D$17)),Inputs!$F$17-SQRT((1-H1487)*(Inputs!$F$17-Inputs!$D$17)*(Inputs!$F$17-Inputs!$E$17))),0)</f>
        <v>104</v>
      </c>
      <c r="J1487" s="81" t="n">
        <f aca="true">RAND()</f>
        <v>0.0475108125808238</v>
      </c>
      <c r="K1487" s="83" t="n">
        <f aca="false">IF(J1487&lt;(Inputs!$E$18-Inputs!$D$18)/(Inputs!$F$18-Inputs!$D$18),Inputs!$D$18+SQRT(J1487*(Inputs!$F$18-Inputs!$D$18)*(Inputs!$E$18-Inputs!$D$18)),Inputs!$F$18-SQRT((1-J1487)*(Inputs!$F$18-Inputs!$D$18)*(Inputs!$F$18-Inputs!$E$18)))</f>
        <v>0.940778406544749</v>
      </c>
      <c r="L1487" s="81" t="n">
        <f aca="true">RAND()</f>
        <v>0.381099397668785</v>
      </c>
      <c r="M1487" s="83" t="n">
        <f aca="false">IF(L1487&lt;(Inputs!$E$24-Inputs!$D$24)/(Inputs!$F$24-Inputs!$D$24),Inputs!$D$24+SQRT(L1487*(Inputs!$F$24-Inputs!$D$24)*(Inputs!$E$24-Inputs!$D$24)),Inputs!$F$24-SQRT((1-L1487)*(Inputs!$F$24-Inputs!$D$24)*(Inputs!$F$24-Inputs!$E$24)))</f>
        <v>0.814596127991049</v>
      </c>
      <c r="N1487" s="81" t="n">
        <f aca="true">RAND()</f>
        <v>0.645498724908295</v>
      </c>
      <c r="O1487" s="83" t="n">
        <f aca="false">IF(N1487&lt;(Inputs!$E$26-Inputs!$D$26)/(Inputs!$F$26-Inputs!$D$26),Inputs!$D$26+SQRT(N1487*(Inputs!$F$26-Inputs!$D$26)*(Inputs!$E$26-Inputs!$D$26)),Inputs!$F$26-SQRT((1-N1487)*(Inputs!$F$26-Inputs!$D$26)*(Inputs!$F$26-Inputs!$E$26)))</f>
        <v>0.627989238297596</v>
      </c>
      <c r="P1487" s="81" t="n">
        <f aca="true">RAND()</f>
        <v>0.78960248674099</v>
      </c>
      <c r="Q1487" s="82" t="n">
        <f aca="false">IF(P1487&lt;(Inputs!$E$27-Inputs!$D$27)/(Inputs!$F$27-Inputs!$D$27),Inputs!$D$27+SQRT(P1487*(Inputs!$F$27-Inputs!$D$27)*(Inputs!$E$27-Inputs!$D$27)),Inputs!$F$27-SQRT((1-P1487)*(Inputs!$F$27-Inputs!$D$27)*(Inputs!$F$27-Inputs!$E$27)))</f>
        <v>110.276186620082</v>
      </c>
      <c r="R1487" s="81" t="n">
        <f aca="true">RAND()</f>
        <v>0.954305071206597</v>
      </c>
      <c r="S1487" s="82" t="n">
        <f aca="false">IF(R1487&lt;(Inputs!$E$29-Inputs!$D$29)/(Inputs!$F$29-Inputs!$D$29),Inputs!$D$29+SQRT(R1487*(Inputs!$F$29-Inputs!$D$29)*(Inputs!$E$29-Inputs!$D$29)),Inputs!$F$29-SQRT((1-R1487)*(Inputs!$F$29-Inputs!$D$29)*(Inputs!$F$29-Inputs!$E$29)))</f>
        <v>12.5627185753093</v>
      </c>
      <c r="T1487" s="68" t="n">
        <f aca="false">Inputs!$E$9*(1+E1487)+Inputs!$E$5*C1487*(Inputs!$E$11*Inputs!$E$14*(G1487*I1487/Inputs!$E$16+(1-G1487))*K1487+Inputs!$E$23*M1487)*(1+O1487)+Inputs!$E$5*(Q1487+S1487)</f>
        <v>6211.7042676385</v>
      </c>
    </row>
    <row r="1488" customFormat="false" ht="15" hidden="false" customHeight="false" outlineLevel="0" collapsed="false">
      <c r="A1488" s="1" t="n">
        <v>1484</v>
      </c>
      <c r="B1488" s="81" t="n">
        <f aca="true">RAND()</f>
        <v>0.689334478678932</v>
      </c>
      <c r="C1488" s="82" t="n">
        <f aca="false">ROUND(IF(B1488&lt;(Inputs!$E$8-Inputs!$D$8)/(Inputs!$F$8-Inputs!$D$8),Inputs!$D$8+SQRT(B1488*(Inputs!$F$8-Inputs!$D$8)*(Inputs!$E$8-Inputs!$D$8)),Inputs!$F$8-SQRT((1-B1488)*(Inputs!$F$8-Inputs!$D$8)*(Inputs!$F$8-Inputs!$E$8))),0)</f>
        <v>26</v>
      </c>
      <c r="D1488" s="81" t="n">
        <f aca="true">RAND()</f>
        <v>0.456826111797679</v>
      </c>
      <c r="E1488" s="83" t="n">
        <f aca="false">IF(D1488&lt;(Inputs!$E$10-Inputs!$D$10)/(Inputs!$F$10-Inputs!$D$10),Inputs!$D$10+SQRT(D1488*(Inputs!$F$10-Inputs!$D$10)*(Inputs!$E$10-Inputs!$D$10)),Inputs!$F$10-SQRT((1-D1488)*(Inputs!$F$10-Inputs!$D$10)*(Inputs!$F$10-Inputs!$E$10)))</f>
        <v>0.0723472810862627</v>
      </c>
      <c r="F1488" s="81" t="n">
        <f aca="true">RAND()</f>
        <v>0.776896158010489</v>
      </c>
      <c r="G1488" s="83" t="n">
        <f aca="false">IF(F1488&lt;(Inputs!$E$15-Inputs!$D$15)/(Inputs!$F$15-Inputs!$D$15),Inputs!$D$15+SQRT(F1488*(Inputs!$F$15-Inputs!$D$15)*(Inputs!$E$15-Inputs!$D$15)),Inputs!$F$15-SQRT((1-F1488)*(Inputs!$F$15-Inputs!$D$15)*(Inputs!$F$15-Inputs!$E$15)))</f>
        <v>0.733201221270219</v>
      </c>
      <c r="H1488" s="81" t="n">
        <f aca="true">RAND()</f>
        <v>0.863502871634183</v>
      </c>
      <c r="I1488" s="82" t="n">
        <f aca="false">ROUND(IF(H1488&lt;(Inputs!$E$17-Inputs!$D$17)/(Inputs!$F$17-Inputs!$D$17),Inputs!$D$17+SQRT(H1488*(Inputs!$F$17-Inputs!$D$17)*(Inputs!$E$17-Inputs!$D$17)),Inputs!$F$17-SQRT((1-H1488)*(Inputs!$F$17-Inputs!$D$17)*(Inputs!$F$17-Inputs!$E$17))),0)</f>
        <v>110</v>
      </c>
      <c r="J1488" s="81" t="n">
        <f aca="true">RAND()</f>
        <v>0.742253000745312</v>
      </c>
      <c r="K1488" s="83" t="n">
        <f aca="false">IF(J1488&lt;(Inputs!$E$18-Inputs!$D$18)/(Inputs!$F$18-Inputs!$D$18),Inputs!$D$18+SQRT(J1488*(Inputs!$F$18-Inputs!$D$18)*(Inputs!$E$18-Inputs!$D$18)),Inputs!$F$18-SQRT((1-J1488)*(Inputs!$F$18-Inputs!$D$18)*(Inputs!$F$18-Inputs!$E$18)))</f>
        <v>1.09982389526031</v>
      </c>
      <c r="L1488" s="81" t="n">
        <f aca="true">RAND()</f>
        <v>0.664432004812782</v>
      </c>
      <c r="M1488" s="83" t="n">
        <f aca="false">IF(L1488&lt;(Inputs!$E$24-Inputs!$D$24)/(Inputs!$F$24-Inputs!$D$24),Inputs!$D$24+SQRT(L1488*(Inputs!$F$24-Inputs!$D$24)*(Inputs!$E$24-Inputs!$D$24)),Inputs!$F$24-SQRT((1-L1488)*(Inputs!$F$24-Inputs!$D$24)*(Inputs!$F$24-Inputs!$E$24)))</f>
        <v>0.916210784480924</v>
      </c>
      <c r="N1488" s="81" t="n">
        <f aca="true">RAND()</f>
        <v>0.379183994896706</v>
      </c>
      <c r="O1488" s="83" t="n">
        <f aca="false">IF(N1488&lt;(Inputs!$E$26-Inputs!$D$26)/(Inputs!$F$26-Inputs!$D$26),Inputs!$D$26+SQRT(N1488*(Inputs!$F$26-Inputs!$D$26)*(Inputs!$E$26-Inputs!$D$26)),Inputs!$F$26-SQRT((1-N1488)*(Inputs!$F$26-Inputs!$D$26)*(Inputs!$F$26-Inputs!$E$26)))</f>
        <v>0.551189603190124</v>
      </c>
      <c r="P1488" s="81" t="n">
        <f aca="true">RAND()</f>
        <v>0.357511069029943</v>
      </c>
      <c r="Q1488" s="82" t="n">
        <f aca="false">IF(P1488&lt;(Inputs!$E$27-Inputs!$D$27)/(Inputs!$F$27-Inputs!$D$27),Inputs!$D$27+SQRT(P1488*(Inputs!$F$27-Inputs!$D$27)*(Inputs!$E$27-Inputs!$D$27)),Inputs!$F$27-SQRT((1-P1488)*(Inputs!$F$27-Inputs!$D$27)*(Inputs!$F$27-Inputs!$E$27)))</f>
        <v>80.5833810800654</v>
      </c>
      <c r="R1488" s="81" t="n">
        <f aca="true">RAND()</f>
        <v>0.47765792547527</v>
      </c>
      <c r="S1488" s="82" t="n">
        <f aca="false">IF(R1488&lt;(Inputs!$E$29-Inputs!$D$29)/(Inputs!$F$29-Inputs!$D$29),Inputs!$D$29+SQRT(R1488*(Inputs!$F$29-Inputs!$D$29)*(Inputs!$E$29-Inputs!$D$29)),Inputs!$F$29-SQRT((1-R1488)*(Inputs!$F$29-Inputs!$D$29)*(Inputs!$F$29-Inputs!$E$29)))</f>
        <v>6.75958316053035</v>
      </c>
      <c r="T1488" s="68" t="n">
        <f aca="false">Inputs!$E$9*(1+E1488)+Inputs!$E$5*C1488*(Inputs!$E$11*Inputs!$E$14*(G1488*I1488/Inputs!$E$16+(1-G1488))*K1488+Inputs!$E$23*M1488)*(1+O1488)+Inputs!$E$5*(Q1488+S1488)</f>
        <v>6513.89995306395</v>
      </c>
    </row>
    <row r="1489" customFormat="false" ht="15" hidden="false" customHeight="false" outlineLevel="0" collapsed="false">
      <c r="A1489" s="1" t="n">
        <v>1485</v>
      </c>
      <c r="B1489" s="81" t="n">
        <f aca="true">RAND()</f>
        <v>0.118133465604489</v>
      </c>
      <c r="C1489" s="82" t="n">
        <f aca="false">ROUND(IF(B1489&lt;(Inputs!$E$8-Inputs!$D$8)/(Inputs!$F$8-Inputs!$D$8),Inputs!$D$8+SQRT(B1489*(Inputs!$F$8-Inputs!$D$8)*(Inputs!$E$8-Inputs!$D$8)),Inputs!$F$8-SQRT((1-B1489)*(Inputs!$F$8-Inputs!$D$8)*(Inputs!$F$8-Inputs!$E$8))),0)</f>
        <v>22</v>
      </c>
      <c r="D1489" s="81" t="n">
        <f aca="true">RAND()</f>
        <v>0.0666771087517676</v>
      </c>
      <c r="E1489" s="83" t="n">
        <f aca="false">IF(D1489&lt;(Inputs!$E$10-Inputs!$D$10)/(Inputs!$F$10-Inputs!$D$10),Inputs!$D$10+SQRT(D1489*(Inputs!$F$10-Inputs!$D$10)*(Inputs!$E$10-Inputs!$D$10)),Inputs!$F$10-SQRT((1-D1489)*(Inputs!$F$10-Inputs!$D$10)*(Inputs!$F$10-Inputs!$E$10)))</f>
        <v>0.025821910996626</v>
      </c>
      <c r="F1489" s="81" t="n">
        <f aca="true">RAND()</f>
        <v>0.524590335553932</v>
      </c>
      <c r="G1489" s="83" t="n">
        <f aca="false">IF(F1489&lt;(Inputs!$E$15-Inputs!$D$15)/(Inputs!$F$15-Inputs!$D$15),Inputs!$D$15+SQRT(F1489*(Inputs!$F$15-Inputs!$D$15)*(Inputs!$E$15-Inputs!$D$15)),Inputs!$F$15-SQRT((1-F1489)*(Inputs!$F$15-Inputs!$D$15)*(Inputs!$F$15-Inputs!$E$15)))</f>
        <v>0.702490034925033</v>
      </c>
      <c r="H1489" s="81" t="n">
        <f aca="true">RAND()</f>
        <v>0.544035698350431</v>
      </c>
      <c r="I1489" s="82" t="n">
        <f aca="false">ROUND(IF(H1489&lt;(Inputs!$E$17-Inputs!$D$17)/(Inputs!$F$17-Inputs!$D$17),Inputs!$D$17+SQRT(H1489*(Inputs!$F$17-Inputs!$D$17)*(Inputs!$E$17-Inputs!$D$17)),Inputs!$F$17-SQRT((1-H1489)*(Inputs!$F$17-Inputs!$D$17)*(Inputs!$F$17-Inputs!$E$17))),0)</f>
        <v>107</v>
      </c>
      <c r="J1489" s="81" t="n">
        <f aca="true">RAND()</f>
        <v>0.906959349360065</v>
      </c>
      <c r="K1489" s="83" t="n">
        <f aca="false">IF(J1489&lt;(Inputs!$E$18-Inputs!$D$18)/(Inputs!$F$18-Inputs!$D$18),Inputs!$D$18+SQRT(J1489*(Inputs!$F$18-Inputs!$D$18)*(Inputs!$E$18-Inputs!$D$18)),Inputs!$F$18-SQRT((1-J1489)*(Inputs!$F$18-Inputs!$D$18)*(Inputs!$F$18-Inputs!$E$18)))</f>
        <v>1.15977219424704</v>
      </c>
      <c r="L1489" s="81" t="n">
        <f aca="true">RAND()</f>
        <v>0.462534045865941</v>
      </c>
      <c r="M1489" s="83" t="n">
        <f aca="false">IF(L1489&lt;(Inputs!$E$24-Inputs!$D$24)/(Inputs!$F$24-Inputs!$D$24),Inputs!$D$24+SQRT(L1489*(Inputs!$F$24-Inputs!$D$24)*(Inputs!$E$24-Inputs!$D$24)),Inputs!$F$24-SQRT((1-L1489)*(Inputs!$F$24-Inputs!$D$24)*(Inputs!$F$24-Inputs!$E$24)))</f>
        <v>0.84084567524228</v>
      </c>
      <c r="N1489" s="81" t="n">
        <f aca="true">RAND()</f>
        <v>0.677978730828837</v>
      </c>
      <c r="O1489" s="83" t="n">
        <f aca="false">IF(N1489&lt;(Inputs!$E$26-Inputs!$D$26)/(Inputs!$F$26-Inputs!$D$26),Inputs!$D$26+SQRT(N1489*(Inputs!$F$26-Inputs!$D$26)*(Inputs!$E$26-Inputs!$D$26)),Inputs!$F$26-SQRT((1-N1489)*(Inputs!$F$26-Inputs!$D$26)*(Inputs!$F$26-Inputs!$E$26)))</f>
        <v>0.636996688571488</v>
      </c>
      <c r="P1489" s="81" t="n">
        <f aca="true">RAND()</f>
        <v>0.90705448896952</v>
      </c>
      <c r="Q1489" s="82" t="n">
        <f aca="false">IF(P1489&lt;(Inputs!$E$27-Inputs!$D$27)/(Inputs!$F$27-Inputs!$D$27),Inputs!$D$27+SQRT(P1489*(Inputs!$F$27-Inputs!$D$27)*(Inputs!$E$27-Inputs!$D$27)),Inputs!$F$27-SQRT((1-P1489)*(Inputs!$F$27-Inputs!$D$27)*(Inputs!$F$27-Inputs!$E$27)))</f>
        <v>123.597512754882</v>
      </c>
      <c r="R1489" s="81" t="n">
        <f aca="true">RAND()</f>
        <v>0.0436632003003739</v>
      </c>
      <c r="S1489" s="82" t="n">
        <f aca="false">IF(R1489&lt;(Inputs!$E$29-Inputs!$D$29)/(Inputs!$F$29-Inputs!$D$29),Inputs!$D$29+SQRT(R1489*(Inputs!$F$29-Inputs!$D$29)*(Inputs!$E$29-Inputs!$D$29)),Inputs!$F$29-SQRT((1-R1489)*(Inputs!$F$29-Inputs!$D$29)*(Inputs!$F$29-Inputs!$E$29)))</f>
        <v>3.30493862373469</v>
      </c>
      <c r="T1489" s="68" t="n">
        <f aca="false">Inputs!$E$9*(1+E1489)+Inputs!$E$5*C1489*(Inputs!$E$11*Inputs!$E$14*(G1489*I1489/Inputs!$E$16+(1-G1489))*K1489+Inputs!$E$23*M1489)*(1+O1489)+Inputs!$E$5*(Q1489+S1489)</f>
        <v>6234.85271717691</v>
      </c>
    </row>
    <row r="1490" customFormat="false" ht="15" hidden="false" customHeight="false" outlineLevel="0" collapsed="false">
      <c r="A1490" s="1" t="n">
        <v>1486</v>
      </c>
      <c r="B1490" s="81" t="n">
        <f aca="true">RAND()</f>
        <v>0.347817371498843</v>
      </c>
      <c r="C1490" s="82" t="n">
        <f aca="false">ROUND(IF(B1490&lt;(Inputs!$E$8-Inputs!$D$8)/(Inputs!$F$8-Inputs!$D$8),Inputs!$D$8+SQRT(B1490*(Inputs!$F$8-Inputs!$D$8)*(Inputs!$E$8-Inputs!$D$8)),Inputs!$F$8-SQRT((1-B1490)*(Inputs!$F$8-Inputs!$D$8)*(Inputs!$F$8-Inputs!$E$8))),0)</f>
        <v>24</v>
      </c>
      <c r="D1490" s="81" t="n">
        <f aca="true">RAND()</f>
        <v>0.0501400179553469</v>
      </c>
      <c r="E1490" s="83" t="n">
        <f aca="false">IF(D1490&lt;(Inputs!$E$10-Inputs!$D$10)/(Inputs!$F$10-Inputs!$D$10),Inputs!$D$10+SQRT(D1490*(Inputs!$F$10-Inputs!$D$10)*(Inputs!$E$10-Inputs!$D$10)),Inputs!$F$10-SQRT((1-D1490)*(Inputs!$F$10-Inputs!$D$10)*(Inputs!$F$10-Inputs!$E$10)))</f>
        <v>0.0223919668531701</v>
      </c>
      <c r="F1490" s="81" t="n">
        <f aca="true">RAND()</f>
        <v>0.861256206855363</v>
      </c>
      <c r="G1490" s="83" t="n">
        <f aca="false">IF(F1490&lt;(Inputs!$E$15-Inputs!$D$15)/(Inputs!$F$15-Inputs!$D$15),Inputs!$D$15+SQRT(F1490*(Inputs!$F$15-Inputs!$D$15)*(Inputs!$E$15-Inputs!$D$15)),Inputs!$F$15-SQRT((1-F1490)*(Inputs!$F$15-Inputs!$D$15)*(Inputs!$F$15-Inputs!$E$15)))</f>
        <v>0.747322909506193</v>
      </c>
      <c r="H1490" s="81" t="n">
        <f aca="true">RAND()</f>
        <v>0.322833667708589</v>
      </c>
      <c r="I1490" s="82" t="n">
        <f aca="false">ROUND(IF(H1490&lt;(Inputs!$E$17-Inputs!$D$17)/(Inputs!$F$17-Inputs!$D$17),Inputs!$D$17+SQRT(H1490*(Inputs!$F$17-Inputs!$D$17)*(Inputs!$E$17-Inputs!$D$17)),Inputs!$F$17-SQRT((1-H1490)*(Inputs!$F$17-Inputs!$D$17)*(Inputs!$F$17-Inputs!$E$17))),0)</f>
        <v>105</v>
      </c>
      <c r="J1490" s="81" t="n">
        <f aca="true">RAND()</f>
        <v>0.164197846573699</v>
      </c>
      <c r="K1490" s="83" t="n">
        <f aca="false">IF(J1490&lt;(Inputs!$E$18-Inputs!$D$18)/(Inputs!$F$18-Inputs!$D$18),Inputs!$D$18+SQRT(J1490*(Inputs!$F$18-Inputs!$D$18)*(Inputs!$E$18-Inputs!$D$18)),Inputs!$F$18-SQRT((1-J1490)*(Inputs!$F$18-Inputs!$D$18)*(Inputs!$F$18-Inputs!$E$18)))</f>
        <v>0.975808473339591</v>
      </c>
      <c r="L1490" s="81" t="n">
        <f aca="true">RAND()</f>
        <v>0.190882986165674</v>
      </c>
      <c r="M1490" s="83" t="n">
        <f aca="false">IF(L1490&lt;(Inputs!$E$24-Inputs!$D$24)/(Inputs!$F$24-Inputs!$D$24),Inputs!$D$24+SQRT(L1490*(Inputs!$F$24-Inputs!$D$24)*(Inputs!$E$24-Inputs!$D$24)),Inputs!$F$24-SQRT((1-L1490)*(Inputs!$F$24-Inputs!$D$24)*(Inputs!$F$24-Inputs!$E$24)))</f>
        <v>0.751347145132906</v>
      </c>
      <c r="N1490" s="81" t="n">
        <f aca="true">RAND()</f>
        <v>0.245705883252337</v>
      </c>
      <c r="O1490" s="83" t="n">
        <f aca="false">IF(N1490&lt;(Inputs!$E$26-Inputs!$D$26)/(Inputs!$F$26-Inputs!$D$26),Inputs!$D$26+SQRT(N1490*(Inputs!$F$26-Inputs!$D$26)*(Inputs!$E$26-Inputs!$D$26)),Inputs!$F$26-SQRT((1-N1490)*(Inputs!$F$26-Inputs!$D$26)*(Inputs!$F$26-Inputs!$E$26)))</f>
        <v>0.502201530590619</v>
      </c>
      <c r="P1490" s="81" t="n">
        <f aca="true">RAND()</f>
        <v>0.0740474567603107</v>
      </c>
      <c r="Q1490" s="82" t="n">
        <f aca="false">IF(P1490&lt;(Inputs!$E$27-Inputs!$D$27)/(Inputs!$F$27-Inputs!$D$27),Inputs!$D$27+SQRT(P1490*(Inputs!$F$27-Inputs!$D$27)*(Inputs!$E$27-Inputs!$D$27)),Inputs!$F$27-SQRT((1-P1490)*(Inputs!$F$27-Inputs!$D$27)*(Inputs!$F$27-Inputs!$E$27)))</f>
        <v>63.605831172728</v>
      </c>
      <c r="R1490" s="81" t="n">
        <f aca="true">RAND()</f>
        <v>0.389432451835673</v>
      </c>
      <c r="S1490" s="82" t="n">
        <f aca="false">IF(R1490&lt;(Inputs!$E$29-Inputs!$D$29)/(Inputs!$F$29-Inputs!$D$29),Inputs!$D$29+SQRT(R1490*(Inputs!$F$29-Inputs!$D$29)*(Inputs!$E$29-Inputs!$D$29)),Inputs!$F$29-SQRT((1-R1490)*(Inputs!$F$29-Inputs!$D$29)*(Inputs!$F$29-Inputs!$E$29)))</f>
        <v>6.0908035569215</v>
      </c>
      <c r="T1490" s="68" t="n">
        <f aca="false">Inputs!$E$9*(1+E1490)+Inputs!$E$5*C1490*(Inputs!$E$11*Inputs!$E$14*(G1490*I1490/Inputs!$E$16+(1-G1490))*K1490+Inputs!$E$23*M1490)*(1+O1490)+Inputs!$E$5*(Q1490+S1490)</f>
        <v>5397.25803094659</v>
      </c>
    </row>
    <row r="1491" customFormat="false" ht="15" hidden="false" customHeight="false" outlineLevel="0" collapsed="false">
      <c r="A1491" s="1" t="n">
        <v>1487</v>
      </c>
      <c r="B1491" s="81" t="n">
        <f aca="true">RAND()</f>
        <v>0.108804128060693</v>
      </c>
      <c r="C1491" s="82" t="n">
        <f aca="false">ROUND(IF(B1491&lt;(Inputs!$E$8-Inputs!$D$8)/(Inputs!$F$8-Inputs!$D$8),Inputs!$D$8+SQRT(B1491*(Inputs!$F$8-Inputs!$D$8)*(Inputs!$E$8-Inputs!$D$8)),Inputs!$F$8-SQRT((1-B1491)*(Inputs!$F$8-Inputs!$D$8)*(Inputs!$F$8-Inputs!$E$8))),0)</f>
        <v>22</v>
      </c>
      <c r="D1491" s="81" t="n">
        <f aca="true">RAND()</f>
        <v>0.510460245766496</v>
      </c>
      <c r="E1491" s="83" t="n">
        <f aca="false">IF(D1491&lt;(Inputs!$E$10-Inputs!$D$10)/(Inputs!$F$10-Inputs!$D$10),Inputs!$D$10+SQRT(D1491*(Inputs!$F$10-Inputs!$D$10)*(Inputs!$E$10-Inputs!$D$10)),Inputs!$F$10-SQRT((1-D1491)*(Inputs!$F$10-Inputs!$D$10)*(Inputs!$F$10-Inputs!$E$10)))</f>
        <v>0.0788133974937613</v>
      </c>
      <c r="F1491" s="81" t="n">
        <f aca="true">RAND()</f>
        <v>0.889439222237765</v>
      </c>
      <c r="G1491" s="83" t="n">
        <f aca="false">IF(F1491&lt;(Inputs!$E$15-Inputs!$D$15)/(Inputs!$F$15-Inputs!$D$15),Inputs!$D$15+SQRT(F1491*(Inputs!$F$15-Inputs!$D$15)*(Inputs!$E$15-Inputs!$D$15)),Inputs!$F$15-SQRT((1-F1491)*(Inputs!$F$15-Inputs!$D$15)*(Inputs!$F$15-Inputs!$E$15)))</f>
        <v>0.752976436170312</v>
      </c>
      <c r="H1491" s="81" t="n">
        <f aca="true">RAND()</f>
        <v>0.705860029932342</v>
      </c>
      <c r="I1491" s="82" t="n">
        <f aca="false">ROUND(IF(H1491&lt;(Inputs!$E$17-Inputs!$D$17)/(Inputs!$F$17-Inputs!$D$17),Inputs!$D$17+SQRT(H1491*(Inputs!$F$17-Inputs!$D$17)*(Inputs!$E$17-Inputs!$D$17)),Inputs!$F$17-SQRT((1-H1491)*(Inputs!$F$17-Inputs!$D$17)*(Inputs!$F$17-Inputs!$E$17))),0)</f>
        <v>108</v>
      </c>
      <c r="J1491" s="81" t="n">
        <f aca="true">RAND()</f>
        <v>0.432411153172444</v>
      </c>
      <c r="K1491" s="83" t="n">
        <f aca="false">IF(J1491&lt;(Inputs!$E$18-Inputs!$D$18)/(Inputs!$F$18-Inputs!$D$18),Inputs!$D$18+SQRT(J1491*(Inputs!$F$18-Inputs!$D$18)*(Inputs!$E$18-Inputs!$D$18)),Inputs!$F$18-SQRT((1-J1491)*(Inputs!$F$18-Inputs!$D$18)*(Inputs!$F$18-Inputs!$E$18)))</f>
        <v>1.02714573349965</v>
      </c>
      <c r="L1491" s="81" t="n">
        <f aca="true">RAND()</f>
        <v>0.413749437142021</v>
      </c>
      <c r="M1491" s="83" t="n">
        <f aca="false">IF(L1491&lt;(Inputs!$E$24-Inputs!$D$24)/(Inputs!$F$24-Inputs!$D$24),Inputs!$D$24+SQRT(L1491*(Inputs!$F$24-Inputs!$D$24)*(Inputs!$E$24-Inputs!$D$24)),Inputs!$F$24-SQRT((1-L1491)*(Inputs!$F$24-Inputs!$D$24)*(Inputs!$F$24-Inputs!$E$24)))</f>
        <v>0.82489983326328</v>
      </c>
      <c r="N1491" s="81" t="n">
        <f aca="true">RAND()</f>
        <v>0.345875388284282</v>
      </c>
      <c r="O1491" s="83" t="n">
        <f aca="false">IF(N1491&lt;(Inputs!$E$26-Inputs!$D$26)/(Inputs!$F$26-Inputs!$D$26),Inputs!$D$26+SQRT(N1491*(Inputs!$F$26-Inputs!$D$26)*(Inputs!$E$26-Inputs!$D$26)),Inputs!$F$26-SQRT((1-N1491)*(Inputs!$F$26-Inputs!$D$26)*(Inputs!$F$26-Inputs!$E$26)))</f>
        <v>0.539903448517324</v>
      </c>
      <c r="P1491" s="81" t="n">
        <f aca="true">RAND()</f>
        <v>0.435597479708708</v>
      </c>
      <c r="Q1491" s="82" t="n">
        <f aca="false">IF(P1491&lt;(Inputs!$E$27-Inputs!$D$27)/(Inputs!$F$27-Inputs!$D$27),Inputs!$D$27+SQRT(P1491*(Inputs!$F$27-Inputs!$D$27)*(Inputs!$E$27-Inputs!$D$27)),Inputs!$F$27-SQRT((1-P1491)*(Inputs!$F$27-Inputs!$D$27)*(Inputs!$F$27-Inputs!$E$27)))</f>
        <v>84.938345377752</v>
      </c>
      <c r="R1491" s="81" t="n">
        <f aca="true">RAND()</f>
        <v>0.210653816974476</v>
      </c>
      <c r="S1491" s="82" t="n">
        <f aca="false">IF(R1491&lt;(Inputs!$E$29-Inputs!$D$29)/(Inputs!$F$29-Inputs!$D$29),Inputs!$D$29+SQRT(R1491*(Inputs!$F$29-Inputs!$D$29)*(Inputs!$E$29-Inputs!$D$29)),Inputs!$F$29-SQRT((1-R1491)*(Inputs!$F$29-Inputs!$D$29)*(Inputs!$F$29-Inputs!$E$29)))</f>
        <v>4.86626915379637</v>
      </c>
      <c r="T1491" s="68" t="n">
        <f aca="false">Inputs!$E$9*(1+E1491)+Inputs!$E$5*C1491*(Inputs!$E$11*Inputs!$E$14*(G1491*I1491/Inputs!$E$16+(1-G1491))*K1491+Inputs!$E$23*M1491)*(1+O1491)+Inputs!$E$5*(Q1491+S1491)</f>
        <v>5658.70088696148</v>
      </c>
    </row>
    <row r="1492" customFormat="false" ht="15" hidden="false" customHeight="false" outlineLevel="0" collapsed="false">
      <c r="A1492" s="1" t="n">
        <v>1488</v>
      </c>
      <c r="B1492" s="81" t="n">
        <f aca="true">RAND()</f>
        <v>0.803644768676786</v>
      </c>
      <c r="C1492" s="82" t="n">
        <f aca="false">ROUND(IF(B1492&lt;(Inputs!$E$8-Inputs!$D$8)/(Inputs!$F$8-Inputs!$D$8),Inputs!$D$8+SQRT(B1492*(Inputs!$F$8-Inputs!$D$8)*(Inputs!$E$8-Inputs!$D$8)),Inputs!$F$8-SQRT((1-B1492)*(Inputs!$F$8-Inputs!$D$8)*(Inputs!$F$8-Inputs!$E$8))),0)</f>
        <v>27</v>
      </c>
      <c r="D1492" s="81" t="n">
        <f aca="true">RAND()</f>
        <v>0.0242192399106759</v>
      </c>
      <c r="E1492" s="83" t="n">
        <f aca="false">IF(D1492&lt;(Inputs!$E$10-Inputs!$D$10)/(Inputs!$F$10-Inputs!$D$10),Inputs!$D$10+SQRT(D1492*(Inputs!$F$10-Inputs!$D$10)*(Inputs!$E$10-Inputs!$D$10)),Inputs!$F$10-SQRT((1-D1492)*(Inputs!$F$10-Inputs!$D$10)*(Inputs!$F$10-Inputs!$E$10)))</f>
        <v>0.0155625318989796</v>
      </c>
      <c r="F1492" s="81" t="n">
        <f aca="true">RAND()</f>
        <v>0.754181344734652</v>
      </c>
      <c r="G1492" s="83" t="n">
        <f aca="false">IF(F1492&lt;(Inputs!$E$15-Inputs!$D$15)/(Inputs!$F$15-Inputs!$D$15),Inputs!$D$15+SQRT(F1492*(Inputs!$F$15-Inputs!$D$15)*(Inputs!$E$15-Inputs!$D$15)),Inputs!$F$15-SQRT((1-F1492)*(Inputs!$F$15-Inputs!$D$15)*(Inputs!$F$15-Inputs!$E$15)))</f>
        <v>0.729883146781198</v>
      </c>
      <c r="H1492" s="81" t="n">
        <f aca="true">RAND()</f>
        <v>0.934982937267055</v>
      </c>
      <c r="I1492" s="82" t="n">
        <f aca="false">ROUND(IF(H1492&lt;(Inputs!$E$17-Inputs!$D$17)/(Inputs!$F$17-Inputs!$D$17),Inputs!$D$17+SQRT(H1492*(Inputs!$F$17-Inputs!$D$17)*(Inputs!$E$17-Inputs!$D$17)),Inputs!$F$17-SQRT((1-H1492)*(Inputs!$F$17-Inputs!$D$17)*(Inputs!$F$17-Inputs!$E$17))),0)</f>
        <v>112</v>
      </c>
      <c r="J1492" s="81" t="n">
        <f aca="true">RAND()</f>
        <v>0.322892015281696</v>
      </c>
      <c r="K1492" s="83" t="n">
        <f aca="false">IF(J1492&lt;(Inputs!$E$18-Inputs!$D$18)/(Inputs!$F$18-Inputs!$D$18),Inputs!$D$18+SQRT(J1492*(Inputs!$F$18-Inputs!$D$18)*(Inputs!$E$18-Inputs!$D$18)),Inputs!$F$18-SQRT((1-J1492)*(Inputs!$F$18-Inputs!$D$18)*(Inputs!$F$18-Inputs!$E$18)))</f>
        <v>1.00659303900083</v>
      </c>
      <c r="L1492" s="81" t="n">
        <f aca="true">RAND()</f>
        <v>0.525296813338659</v>
      </c>
      <c r="M1492" s="83" t="n">
        <f aca="false">IF(L1492&lt;(Inputs!$E$24-Inputs!$D$24)/(Inputs!$F$24-Inputs!$D$24),Inputs!$D$24+SQRT(L1492*(Inputs!$F$24-Inputs!$D$24)*(Inputs!$E$24-Inputs!$D$24)),Inputs!$F$24-SQRT((1-L1492)*(Inputs!$F$24-Inputs!$D$24)*(Inputs!$F$24-Inputs!$E$24)))</f>
        <v>0.862466646390728</v>
      </c>
      <c r="N1492" s="81" t="n">
        <f aca="true">RAND()</f>
        <v>0.769716741759993</v>
      </c>
      <c r="O1492" s="83" t="n">
        <f aca="false">IF(N1492&lt;(Inputs!$E$26-Inputs!$D$26)/(Inputs!$F$26-Inputs!$D$26),Inputs!$D$26+SQRT(N1492*(Inputs!$F$26-Inputs!$D$26)*(Inputs!$E$26-Inputs!$D$26)),Inputs!$F$26-SQRT((1-N1492)*(Inputs!$F$26-Inputs!$D$26)*(Inputs!$F$26-Inputs!$E$26)))</f>
        <v>0.665243872958255</v>
      </c>
      <c r="P1492" s="81" t="n">
        <f aca="true">RAND()</f>
        <v>0.230907788593213</v>
      </c>
      <c r="Q1492" s="82" t="n">
        <f aca="false">IF(P1492&lt;(Inputs!$E$27-Inputs!$D$27)/(Inputs!$F$27-Inputs!$D$27),Inputs!$D$27+SQRT(P1492*(Inputs!$F$27-Inputs!$D$27)*(Inputs!$E$27-Inputs!$D$27)),Inputs!$F$27-SQRT((1-P1492)*(Inputs!$F$27-Inputs!$D$27)*(Inputs!$F$27-Inputs!$E$27)))</f>
        <v>74.0264327664977</v>
      </c>
      <c r="R1492" s="81" t="n">
        <f aca="true">RAND()</f>
        <v>0.352882412448108</v>
      </c>
      <c r="S1492" s="82" t="n">
        <f aca="false">IF(R1492&lt;(Inputs!$E$29-Inputs!$D$29)/(Inputs!$F$29-Inputs!$D$29),Inputs!$D$29+SQRT(R1492*(Inputs!$F$29-Inputs!$D$29)*(Inputs!$E$29-Inputs!$D$29)),Inputs!$F$29-SQRT((1-R1492)*(Inputs!$F$29-Inputs!$D$29)*(Inputs!$F$29-Inputs!$E$29)))</f>
        <v>5.82801622429771</v>
      </c>
      <c r="T1492" s="68" t="n">
        <f aca="false">Inputs!$E$9*(1+E1492)+Inputs!$E$5*C1492*(Inputs!$E$11*Inputs!$E$14*(G1492*I1492/Inputs!$E$16+(1-G1492))*K1492+Inputs!$E$23*M1492)*(1+O1492)+Inputs!$E$5*(Q1492+S1492)</f>
        <v>6497.59795043085</v>
      </c>
    </row>
    <row r="1493" customFormat="false" ht="15" hidden="false" customHeight="false" outlineLevel="0" collapsed="false">
      <c r="A1493" s="1" t="n">
        <v>1489</v>
      </c>
      <c r="B1493" s="81" t="n">
        <f aca="true">RAND()</f>
        <v>0.978063172919416</v>
      </c>
      <c r="C1493" s="82" t="n">
        <f aca="false">ROUND(IF(B1493&lt;(Inputs!$E$8-Inputs!$D$8)/(Inputs!$F$8-Inputs!$D$8),Inputs!$D$8+SQRT(B1493*(Inputs!$F$8-Inputs!$D$8)*(Inputs!$E$8-Inputs!$D$8)),Inputs!$F$8-SQRT((1-B1493)*(Inputs!$F$8-Inputs!$D$8)*(Inputs!$F$8-Inputs!$E$8))),0)</f>
        <v>29</v>
      </c>
      <c r="D1493" s="81" t="n">
        <f aca="true">RAND()</f>
        <v>0.776563655659343</v>
      </c>
      <c r="E1493" s="83" t="n">
        <f aca="false">IF(D1493&lt;(Inputs!$E$10-Inputs!$D$10)/(Inputs!$F$10-Inputs!$D$10),Inputs!$D$10+SQRT(D1493*(Inputs!$F$10-Inputs!$D$10)*(Inputs!$E$10-Inputs!$D$10)),Inputs!$F$10-SQRT((1-D1493)*(Inputs!$F$10-Inputs!$D$10)*(Inputs!$F$10-Inputs!$E$10)))</f>
        <v>0.118127597261228</v>
      </c>
      <c r="F1493" s="81" t="n">
        <f aca="true">RAND()</f>
        <v>0.0741861470169223</v>
      </c>
      <c r="G1493" s="83" t="n">
        <f aca="false">IF(F1493&lt;(Inputs!$E$15-Inputs!$D$15)/(Inputs!$F$15-Inputs!$D$15),Inputs!$D$15+SQRT(F1493*(Inputs!$F$15-Inputs!$D$15)*(Inputs!$E$15-Inputs!$D$15)),Inputs!$F$15-SQRT((1-F1493)*(Inputs!$F$15-Inputs!$D$15)*(Inputs!$F$15-Inputs!$E$15)))</f>
        <v>0.638519124345427</v>
      </c>
      <c r="H1493" s="81" t="n">
        <f aca="true">RAND()</f>
        <v>0.956511013352149</v>
      </c>
      <c r="I1493" s="82" t="n">
        <f aca="false">ROUND(IF(H1493&lt;(Inputs!$E$17-Inputs!$D$17)/(Inputs!$F$17-Inputs!$D$17),Inputs!$D$17+SQRT(H1493*(Inputs!$F$17-Inputs!$D$17)*(Inputs!$E$17-Inputs!$D$17)),Inputs!$F$17-SQRT((1-H1493)*(Inputs!$F$17-Inputs!$D$17)*(Inputs!$F$17-Inputs!$E$17))),0)</f>
        <v>112</v>
      </c>
      <c r="J1493" s="81" t="n">
        <f aca="true">RAND()</f>
        <v>0.650642708335746</v>
      </c>
      <c r="K1493" s="83" t="n">
        <f aca="false">IF(J1493&lt;(Inputs!$E$18-Inputs!$D$18)/(Inputs!$F$18-Inputs!$D$18),Inputs!$D$18+SQRT(J1493*(Inputs!$F$18-Inputs!$D$18)*(Inputs!$E$18-Inputs!$D$18)),Inputs!$F$18-SQRT((1-J1493)*(Inputs!$F$18-Inputs!$D$18)*(Inputs!$F$18-Inputs!$E$18)))</f>
        <v>1.07516075091496</v>
      </c>
      <c r="L1493" s="81" t="n">
        <f aca="true">RAND()</f>
        <v>0.206386215037319</v>
      </c>
      <c r="M1493" s="83" t="n">
        <f aca="false">IF(L1493&lt;(Inputs!$E$24-Inputs!$D$24)/(Inputs!$F$24-Inputs!$D$24),Inputs!$D$24+SQRT(L1493*(Inputs!$F$24-Inputs!$D$24)*(Inputs!$E$24-Inputs!$D$24)),Inputs!$F$24-SQRT((1-L1493)*(Inputs!$F$24-Inputs!$D$24)*(Inputs!$F$24-Inputs!$E$24)))</f>
        <v>0.757373269027743</v>
      </c>
      <c r="N1493" s="81" t="n">
        <f aca="true">RAND()</f>
        <v>0.35579838119085</v>
      </c>
      <c r="O1493" s="83" t="n">
        <f aca="false">IF(N1493&lt;(Inputs!$E$26-Inputs!$D$26)/(Inputs!$F$26-Inputs!$D$26),Inputs!$D$26+SQRT(N1493*(Inputs!$F$26-Inputs!$D$26)*(Inputs!$E$26-Inputs!$D$26)),Inputs!$F$26-SQRT((1-N1493)*(Inputs!$F$26-Inputs!$D$26)*(Inputs!$F$26-Inputs!$E$26)))</f>
        <v>0.543320468991323</v>
      </c>
      <c r="P1493" s="81" t="n">
        <f aca="true">RAND()</f>
        <v>0.0834925672981078</v>
      </c>
      <c r="Q1493" s="82" t="n">
        <f aca="false">IF(P1493&lt;(Inputs!$E$27-Inputs!$D$27)/(Inputs!$F$27-Inputs!$D$27),Inputs!$D$27+SQRT(P1493*(Inputs!$F$27-Inputs!$D$27)*(Inputs!$E$27-Inputs!$D$27)),Inputs!$F$27-SQRT((1-P1493)*(Inputs!$F$27-Inputs!$D$27)*(Inputs!$F$27-Inputs!$E$27)))</f>
        <v>64.4475402143503</v>
      </c>
      <c r="R1493" s="81" t="n">
        <f aca="true">RAND()</f>
        <v>0.769096091291493</v>
      </c>
      <c r="S1493" s="82" t="n">
        <f aca="false">IF(R1493&lt;(Inputs!$E$29-Inputs!$D$29)/(Inputs!$F$29-Inputs!$D$29),Inputs!$D$29+SQRT(R1493*(Inputs!$F$29-Inputs!$D$29)*(Inputs!$E$29-Inputs!$D$29)),Inputs!$F$29-SQRT((1-R1493)*(Inputs!$F$29-Inputs!$D$29)*(Inputs!$F$29-Inputs!$E$29)))</f>
        <v>9.52117639158679</v>
      </c>
      <c r="T1493" s="68" t="n">
        <f aca="false">Inputs!$E$9*(1+E1493)+Inputs!$E$5*C1493*(Inputs!$E$11*Inputs!$E$14*(G1493*I1493/Inputs!$E$16+(1-G1493))*K1493+Inputs!$E$23*M1493)*(1+O1493)+Inputs!$E$5*(Q1493+S1493)</f>
        <v>6810.35291769076</v>
      </c>
    </row>
    <row r="1494" customFormat="false" ht="15" hidden="false" customHeight="false" outlineLevel="0" collapsed="false">
      <c r="A1494" s="1" t="n">
        <v>1490</v>
      </c>
      <c r="B1494" s="81" t="n">
        <f aca="true">RAND()</f>
        <v>0.544455605113599</v>
      </c>
      <c r="C1494" s="82" t="n">
        <f aca="false">ROUND(IF(B1494&lt;(Inputs!$E$8-Inputs!$D$8)/(Inputs!$F$8-Inputs!$D$8),Inputs!$D$8+SQRT(B1494*(Inputs!$F$8-Inputs!$D$8)*(Inputs!$E$8-Inputs!$D$8)),Inputs!$F$8-SQRT((1-B1494)*(Inputs!$F$8-Inputs!$D$8)*(Inputs!$F$8-Inputs!$E$8))),0)</f>
        <v>25</v>
      </c>
      <c r="D1494" s="81" t="n">
        <f aca="true">RAND()</f>
        <v>0.0778808800867852</v>
      </c>
      <c r="E1494" s="83" t="n">
        <f aca="false">IF(D1494&lt;(Inputs!$E$10-Inputs!$D$10)/(Inputs!$F$10-Inputs!$D$10),Inputs!$D$10+SQRT(D1494*(Inputs!$F$10-Inputs!$D$10)*(Inputs!$E$10-Inputs!$D$10)),Inputs!$F$10-SQRT((1-D1494)*(Inputs!$F$10-Inputs!$D$10)*(Inputs!$F$10-Inputs!$E$10)))</f>
        <v>0.0279071460537951</v>
      </c>
      <c r="F1494" s="81" t="n">
        <f aca="true">RAND()</f>
        <v>0.168666969499524</v>
      </c>
      <c r="G1494" s="83" t="n">
        <f aca="false">IF(F1494&lt;(Inputs!$E$15-Inputs!$D$15)/(Inputs!$F$15-Inputs!$D$15),Inputs!$D$15+SQRT(F1494*(Inputs!$F$15-Inputs!$D$15)*(Inputs!$E$15-Inputs!$D$15)),Inputs!$F$15-SQRT((1-F1494)*(Inputs!$F$15-Inputs!$D$15)*(Inputs!$F$15-Inputs!$E$15)))</f>
        <v>0.658080456179256</v>
      </c>
      <c r="H1494" s="81" t="n">
        <f aca="true">RAND()</f>
        <v>0.968310928679645</v>
      </c>
      <c r="I1494" s="82" t="n">
        <f aca="false">ROUND(IF(H1494&lt;(Inputs!$E$17-Inputs!$D$17)/(Inputs!$F$17-Inputs!$D$17),Inputs!$D$17+SQRT(H1494*(Inputs!$F$17-Inputs!$D$17)*(Inputs!$E$17-Inputs!$D$17)),Inputs!$F$17-SQRT((1-H1494)*(Inputs!$F$17-Inputs!$D$17)*(Inputs!$F$17-Inputs!$E$17))),0)</f>
        <v>113</v>
      </c>
      <c r="J1494" s="81" t="n">
        <f aca="true">RAND()</f>
        <v>0.800680265891187</v>
      </c>
      <c r="K1494" s="83" t="n">
        <f aca="false">IF(J1494&lt;(Inputs!$E$18-Inputs!$D$18)/(Inputs!$F$18-Inputs!$D$18),Inputs!$D$18+SQRT(J1494*(Inputs!$F$18-Inputs!$D$18)*(Inputs!$E$18-Inputs!$D$18)),Inputs!$F$18-SQRT((1-J1494)*(Inputs!$F$18-Inputs!$D$18)*(Inputs!$F$18-Inputs!$E$18)))</f>
        <v>1.11793760287455</v>
      </c>
      <c r="L1494" s="81" t="n">
        <f aca="true">RAND()</f>
        <v>0.458902842217982</v>
      </c>
      <c r="M1494" s="83" t="n">
        <f aca="false">IF(L1494&lt;(Inputs!$E$24-Inputs!$D$24)/(Inputs!$F$24-Inputs!$D$24),Inputs!$D$24+SQRT(L1494*(Inputs!$F$24-Inputs!$D$24)*(Inputs!$E$24-Inputs!$D$24)),Inputs!$F$24-SQRT((1-L1494)*(Inputs!$F$24-Inputs!$D$24)*(Inputs!$F$24-Inputs!$E$24)))</f>
        <v>0.839634466315542</v>
      </c>
      <c r="N1494" s="81" t="n">
        <f aca="true">RAND()</f>
        <v>0.620493725096089</v>
      </c>
      <c r="O1494" s="83" t="n">
        <f aca="false">IF(N1494&lt;(Inputs!$E$26-Inputs!$D$26)/(Inputs!$F$26-Inputs!$D$26),Inputs!$D$26+SQRT(N1494*(Inputs!$F$26-Inputs!$D$26)*(Inputs!$E$26-Inputs!$D$26)),Inputs!$F$26-SQRT((1-N1494)*(Inputs!$F$26-Inputs!$D$26)*(Inputs!$F$26-Inputs!$E$26)))</f>
        <v>0.621332809477743</v>
      </c>
      <c r="P1494" s="81" t="n">
        <f aca="true">RAND()</f>
        <v>0.510279054770892</v>
      </c>
      <c r="Q1494" s="82" t="n">
        <f aca="false">IF(P1494&lt;(Inputs!$E$27-Inputs!$D$27)/(Inputs!$F$27-Inputs!$D$27),Inputs!$D$27+SQRT(P1494*(Inputs!$F$27-Inputs!$D$27)*(Inputs!$E$27-Inputs!$D$27)),Inputs!$F$27-SQRT((1-P1494)*(Inputs!$F$27-Inputs!$D$27)*(Inputs!$F$27-Inputs!$E$27)))</f>
        <v>89.3954862306584</v>
      </c>
      <c r="R1494" s="81" t="n">
        <f aca="true">RAND()</f>
        <v>0.548872434259303</v>
      </c>
      <c r="S1494" s="82" t="n">
        <f aca="false">IF(R1494&lt;(Inputs!$E$29-Inputs!$D$29)/(Inputs!$F$29-Inputs!$D$29),Inputs!$D$29+SQRT(R1494*(Inputs!$F$29-Inputs!$D$29)*(Inputs!$E$29-Inputs!$D$29)),Inputs!$F$29-SQRT((1-R1494)*(Inputs!$F$29-Inputs!$D$29)*(Inputs!$F$29-Inputs!$E$29)))</f>
        <v>7.3418942586113</v>
      </c>
      <c r="T1494" s="68" t="n">
        <f aca="false">Inputs!$E$9*(1+E1494)+Inputs!$E$5*C1494*(Inputs!$E$11*Inputs!$E$14*(G1494*I1494/Inputs!$E$16+(1-G1494))*K1494+Inputs!$E$23*M1494)*(1+O1494)+Inputs!$E$5*(Q1494+S1494)</f>
        <v>6554.35731010224</v>
      </c>
    </row>
    <row r="1495" customFormat="false" ht="15" hidden="false" customHeight="false" outlineLevel="0" collapsed="false">
      <c r="A1495" s="1" t="n">
        <v>1491</v>
      </c>
      <c r="B1495" s="81" t="n">
        <f aca="true">RAND()</f>
        <v>0.475601334090964</v>
      </c>
      <c r="C1495" s="82" t="n">
        <f aca="false">ROUND(IF(B1495&lt;(Inputs!$E$8-Inputs!$D$8)/(Inputs!$F$8-Inputs!$D$8),Inputs!$D$8+SQRT(B1495*(Inputs!$F$8-Inputs!$D$8)*(Inputs!$E$8-Inputs!$D$8)),Inputs!$F$8-SQRT((1-B1495)*(Inputs!$F$8-Inputs!$D$8)*(Inputs!$F$8-Inputs!$E$8))),0)</f>
        <v>25</v>
      </c>
      <c r="D1495" s="81" t="n">
        <f aca="true">RAND()</f>
        <v>0.91513411412108</v>
      </c>
      <c r="E1495" s="83" t="n">
        <f aca="false">IF(D1495&lt;(Inputs!$E$10-Inputs!$D$10)/(Inputs!$F$10-Inputs!$D$10),Inputs!$D$10+SQRT(D1495*(Inputs!$F$10-Inputs!$D$10)*(Inputs!$E$10-Inputs!$D$10)),Inputs!$F$10-SQRT((1-D1495)*(Inputs!$F$10-Inputs!$D$10)*(Inputs!$F$10-Inputs!$E$10)))</f>
        <v>0.149542328865002</v>
      </c>
      <c r="F1495" s="81" t="n">
        <f aca="true">RAND()</f>
        <v>0.605046791436808</v>
      </c>
      <c r="G1495" s="83" t="n">
        <f aca="false">IF(F1495&lt;(Inputs!$E$15-Inputs!$D$15)/(Inputs!$F$15-Inputs!$D$15),Inputs!$D$15+SQRT(F1495*(Inputs!$F$15-Inputs!$D$15)*(Inputs!$E$15-Inputs!$D$15)),Inputs!$F$15-SQRT((1-F1495)*(Inputs!$F$15-Inputs!$D$15)*(Inputs!$F$15-Inputs!$E$15)))</f>
        <v>0.711123320430701</v>
      </c>
      <c r="H1495" s="81" t="n">
        <f aca="true">RAND()</f>
        <v>0.0694989418089462</v>
      </c>
      <c r="I1495" s="82" t="n">
        <f aca="false">ROUND(IF(H1495&lt;(Inputs!$E$17-Inputs!$D$17)/(Inputs!$F$17-Inputs!$D$17),Inputs!$D$17+SQRT(H1495*(Inputs!$F$17-Inputs!$D$17)*(Inputs!$E$17-Inputs!$D$17)),Inputs!$F$17-SQRT((1-H1495)*(Inputs!$F$17-Inputs!$D$17)*(Inputs!$F$17-Inputs!$E$17))),0)</f>
        <v>102</v>
      </c>
      <c r="J1495" s="81" t="n">
        <f aca="true">RAND()</f>
        <v>0.732369874974398</v>
      </c>
      <c r="K1495" s="83" t="n">
        <f aca="false">IF(J1495&lt;(Inputs!$E$18-Inputs!$D$18)/(Inputs!$F$18-Inputs!$D$18),Inputs!$D$18+SQRT(J1495*(Inputs!$F$18-Inputs!$D$18)*(Inputs!$E$18-Inputs!$D$18)),Inputs!$F$18-SQRT((1-J1495)*(Inputs!$F$18-Inputs!$D$18)*(Inputs!$F$18-Inputs!$E$18)))</f>
        <v>1.09697178057711</v>
      </c>
      <c r="L1495" s="81" t="n">
        <f aca="true">RAND()</f>
        <v>0.146036653784147</v>
      </c>
      <c r="M1495" s="83" t="n">
        <f aca="false">IF(L1495&lt;(Inputs!$E$24-Inputs!$D$24)/(Inputs!$F$24-Inputs!$D$24),Inputs!$D$24+SQRT(L1495*(Inputs!$F$24-Inputs!$D$24)*(Inputs!$E$24-Inputs!$D$24)),Inputs!$F$24-SQRT((1-L1495)*(Inputs!$F$24-Inputs!$D$24)*(Inputs!$F$24-Inputs!$E$24)))</f>
        <v>0.732379750921724</v>
      </c>
      <c r="N1495" s="81" t="n">
        <f aca="true">RAND()</f>
        <v>0.471943839815755</v>
      </c>
      <c r="O1495" s="83" t="n">
        <f aca="false">IF(N1495&lt;(Inputs!$E$26-Inputs!$D$26)/(Inputs!$F$26-Inputs!$D$26),Inputs!$D$26+SQRT(N1495*(Inputs!$F$26-Inputs!$D$26)*(Inputs!$E$26-Inputs!$D$26)),Inputs!$F$26-SQRT((1-N1495)*(Inputs!$F$26-Inputs!$D$26)*(Inputs!$F$26-Inputs!$E$26)))</f>
        <v>0.580234642657437</v>
      </c>
      <c r="P1495" s="81" t="n">
        <f aca="true">RAND()</f>
        <v>0.514459578938386</v>
      </c>
      <c r="Q1495" s="82" t="n">
        <f aca="false">IF(P1495&lt;(Inputs!$E$27-Inputs!$D$27)/(Inputs!$F$27-Inputs!$D$27),Inputs!$D$27+SQRT(P1495*(Inputs!$F$27-Inputs!$D$27)*(Inputs!$E$27-Inputs!$D$27)),Inputs!$F$27-SQRT((1-P1495)*(Inputs!$F$27-Inputs!$D$27)*(Inputs!$F$27-Inputs!$E$27)))</f>
        <v>89.6547171854991</v>
      </c>
      <c r="R1495" s="81" t="n">
        <f aca="true">RAND()</f>
        <v>0.743725626282897</v>
      </c>
      <c r="S1495" s="82" t="n">
        <f aca="false">IF(R1495&lt;(Inputs!$E$29-Inputs!$D$29)/(Inputs!$F$29-Inputs!$D$29),Inputs!$D$29+SQRT(R1495*(Inputs!$F$29-Inputs!$D$29)*(Inputs!$E$29-Inputs!$D$29)),Inputs!$F$29-SQRT((1-R1495)*(Inputs!$F$29-Inputs!$D$29)*(Inputs!$F$29-Inputs!$E$29)))</f>
        <v>9.22802732307027</v>
      </c>
      <c r="T1495" s="68" t="n">
        <f aca="false">Inputs!$E$9*(1+E1495)+Inputs!$E$5*C1495*(Inputs!$E$11*Inputs!$E$14*(G1495*I1495/Inputs!$E$16+(1-G1495))*K1495+Inputs!$E$23*M1495)*(1+O1495)+Inputs!$E$5*(Q1495+S1495)</f>
        <v>6327.59379632159</v>
      </c>
    </row>
    <row r="1496" customFormat="false" ht="15" hidden="false" customHeight="false" outlineLevel="0" collapsed="false">
      <c r="A1496" s="1" t="n">
        <v>1492</v>
      </c>
      <c r="B1496" s="81" t="n">
        <f aca="true">RAND()</f>
        <v>0.315981768545473</v>
      </c>
      <c r="C1496" s="82" t="n">
        <f aca="false">ROUND(IF(B1496&lt;(Inputs!$E$8-Inputs!$D$8)/(Inputs!$F$8-Inputs!$D$8),Inputs!$D$8+SQRT(B1496*(Inputs!$F$8-Inputs!$D$8)*(Inputs!$E$8-Inputs!$D$8)),Inputs!$F$8-SQRT((1-B1496)*(Inputs!$F$8-Inputs!$D$8)*(Inputs!$F$8-Inputs!$E$8))),0)</f>
        <v>24</v>
      </c>
      <c r="D1496" s="81" t="n">
        <f aca="true">RAND()</f>
        <v>0.172758520855371</v>
      </c>
      <c r="E1496" s="83" t="n">
        <f aca="false">IF(D1496&lt;(Inputs!$E$10-Inputs!$D$10)/(Inputs!$F$10-Inputs!$D$10),Inputs!$D$10+SQRT(D1496*(Inputs!$F$10-Inputs!$D$10)*(Inputs!$E$10-Inputs!$D$10)),Inputs!$F$10-SQRT((1-D1496)*(Inputs!$F$10-Inputs!$D$10)*(Inputs!$F$10-Inputs!$E$10)))</f>
        <v>0.0415642299165245</v>
      </c>
      <c r="F1496" s="81" t="n">
        <f aca="true">RAND()</f>
        <v>0.387136885746431</v>
      </c>
      <c r="G1496" s="83" t="n">
        <f aca="false">IF(F1496&lt;(Inputs!$E$15-Inputs!$D$15)/(Inputs!$F$15-Inputs!$D$15),Inputs!$D$15+SQRT(F1496*(Inputs!$F$15-Inputs!$D$15)*(Inputs!$E$15-Inputs!$D$15)),Inputs!$F$15-SQRT((1-F1496)*(Inputs!$F$15-Inputs!$D$15)*(Inputs!$F$15-Inputs!$E$15)))</f>
        <v>0.687992827633442</v>
      </c>
      <c r="H1496" s="81" t="n">
        <f aca="true">RAND()</f>
        <v>0.0492028933506865</v>
      </c>
      <c r="I1496" s="82" t="n">
        <f aca="false">ROUND(IF(H1496&lt;(Inputs!$E$17-Inputs!$D$17)/(Inputs!$F$17-Inputs!$D$17),Inputs!$D$17+SQRT(H1496*(Inputs!$F$17-Inputs!$D$17)*(Inputs!$E$17-Inputs!$D$17)),Inputs!$F$17-SQRT((1-H1496)*(Inputs!$F$17-Inputs!$D$17)*(Inputs!$F$17-Inputs!$E$17))),0)</f>
        <v>102</v>
      </c>
      <c r="J1496" s="81" t="n">
        <f aca="true">RAND()</f>
        <v>0.457542307330276</v>
      </c>
      <c r="K1496" s="83" t="n">
        <f aca="false">IF(J1496&lt;(Inputs!$E$18-Inputs!$D$18)/(Inputs!$F$18-Inputs!$D$18),Inputs!$D$18+SQRT(J1496*(Inputs!$F$18-Inputs!$D$18)*(Inputs!$E$18-Inputs!$D$18)),Inputs!$F$18-SQRT((1-J1496)*(Inputs!$F$18-Inputs!$D$18)*(Inputs!$F$18-Inputs!$E$18)))</f>
        <v>1.03213525271719</v>
      </c>
      <c r="L1496" s="81" t="n">
        <f aca="true">RAND()</f>
        <v>0.00317061606748138</v>
      </c>
      <c r="M1496" s="83" t="n">
        <f aca="false">IF(L1496&lt;(Inputs!$E$24-Inputs!$D$24)/(Inputs!$F$24-Inputs!$D$24),Inputs!$D$24+SQRT(L1496*(Inputs!$F$24-Inputs!$D$24)*(Inputs!$E$24-Inputs!$D$24)),Inputs!$F$24-SQRT((1-L1496)*(Inputs!$F$24-Inputs!$D$24)*(Inputs!$F$24-Inputs!$E$24)))</f>
        <v>0.619505740901021</v>
      </c>
      <c r="N1496" s="81" t="n">
        <f aca="true">RAND()</f>
        <v>0.777306252265035</v>
      </c>
      <c r="O1496" s="83" t="n">
        <f aca="false">IF(N1496&lt;(Inputs!$E$26-Inputs!$D$26)/(Inputs!$F$26-Inputs!$D$26),Inputs!$D$26+SQRT(N1496*(Inputs!$F$26-Inputs!$D$26)*(Inputs!$E$26-Inputs!$D$26)),Inputs!$F$26-SQRT((1-N1496)*(Inputs!$F$26-Inputs!$D$26)*(Inputs!$F$26-Inputs!$E$26)))</f>
        <v>0.667815408912609</v>
      </c>
      <c r="P1496" s="81" t="n">
        <f aca="true">RAND()</f>
        <v>0.0991627609688975</v>
      </c>
      <c r="Q1496" s="82" t="n">
        <f aca="false">IF(P1496&lt;(Inputs!$E$27-Inputs!$D$27)/(Inputs!$F$27-Inputs!$D$27),Inputs!$D$27+SQRT(P1496*(Inputs!$F$27-Inputs!$D$27)*(Inputs!$E$27-Inputs!$D$27)),Inputs!$F$27-SQRT((1-P1496)*(Inputs!$F$27-Inputs!$D$27)*(Inputs!$F$27-Inputs!$E$27)))</f>
        <v>65.7450596195201</v>
      </c>
      <c r="R1496" s="81" t="n">
        <f aca="true">RAND()</f>
        <v>0.133656513338739</v>
      </c>
      <c r="S1496" s="82" t="n">
        <f aca="false">IF(R1496&lt;(Inputs!$E$29-Inputs!$D$29)/(Inputs!$F$29-Inputs!$D$29),Inputs!$D$29+SQRT(R1496*(Inputs!$F$29-Inputs!$D$29)*(Inputs!$E$29-Inputs!$D$29)),Inputs!$F$29-SQRT((1-R1496)*(Inputs!$F$29-Inputs!$D$29)*(Inputs!$F$29-Inputs!$E$29)))</f>
        <v>4.28311279182847</v>
      </c>
      <c r="T1496" s="68" t="n">
        <f aca="false">Inputs!$E$9*(1+E1496)+Inputs!$E$5*C1496*(Inputs!$E$11*Inputs!$E$14*(G1496*I1496/Inputs!$E$16+(1-G1496))*K1496+Inputs!$E$23*M1496)*(1+O1496)+Inputs!$E$5*(Q1496+S1496)</f>
        <v>5725.24485037775</v>
      </c>
    </row>
    <row r="1497" customFormat="false" ht="15" hidden="false" customHeight="false" outlineLevel="0" collapsed="false">
      <c r="A1497" s="1" t="n">
        <v>1493</v>
      </c>
      <c r="B1497" s="81" t="n">
        <f aca="true">RAND()</f>
        <v>0.254233284804267</v>
      </c>
      <c r="C1497" s="82" t="n">
        <f aca="false">ROUND(IF(B1497&lt;(Inputs!$E$8-Inputs!$D$8)/(Inputs!$F$8-Inputs!$D$8),Inputs!$D$8+SQRT(B1497*(Inputs!$F$8-Inputs!$D$8)*(Inputs!$E$8-Inputs!$D$8)),Inputs!$F$8-SQRT((1-B1497)*(Inputs!$F$8-Inputs!$D$8)*(Inputs!$F$8-Inputs!$E$8))),0)</f>
        <v>24</v>
      </c>
      <c r="D1497" s="81" t="n">
        <f aca="true">RAND()</f>
        <v>0.465033012501646</v>
      </c>
      <c r="E1497" s="83" t="n">
        <f aca="false">IF(D1497&lt;(Inputs!$E$10-Inputs!$D$10)/(Inputs!$F$10-Inputs!$D$10),Inputs!$D$10+SQRT(D1497*(Inputs!$F$10-Inputs!$D$10)*(Inputs!$E$10-Inputs!$D$10)),Inputs!$F$10-SQRT((1-D1497)*(Inputs!$F$10-Inputs!$D$10)*(Inputs!$F$10-Inputs!$E$10)))</f>
        <v>0.0733153141656395</v>
      </c>
      <c r="F1497" s="81" t="n">
        <f aca="true">RAND()</f>
        <v>0.860659846196155</v>
      </c>
      <c r="G1497" s="83" t="n">
        <f aca="false">IF(F1497&lt;(Inputs!$E$15-Inputs!$D$15)/(Inputs!$F$15-Inputs!$D$15),Inputs!$D$15+SQRT(F1497*(Inputs!$F$15-Inputs!$D$15)*(Inputs!$E$15-Inputs!$D$15)),Inputs!$F$15-SQRT((1-F1497)*(Inputs!$F$15-Inputs!$D$15)*(Inputs!$F$15-Inputs!$E$15)))</f>
        <v>0.747209820268568</v>
      </c>
      <c r="H1497" s="81" t="n">
        <f aca="true">RAND()</f>
        <v>0.363603437392594</v>
      </c>
      <c r="I1497" s="82" t="n">
        <f aca="false">ROUND(IF(H1497&lt;(Inputs!$E$17-Inputs!$D$17)/(Inputs!$F$17-Inputs!$D$17),Inputs!$D$17+SQRT(H1497*(Inputs!$F$17-Inputs!$D$17)*(Inputs!$E$17-Inputs!$D$17)),Inputs!$F$17-SQRT((1-H1497)*(Inputs!$F$17-Inputs!$D$17)*(Inputs!$F$17-Inputs!$E$17))),0)</f>
        <v>105</v>
      </c>
      <c r="J1497" s="81" t="n">
        <f aca="true">RAND()</f>
        <v>0.161018579045789</v>
      </c>
      <c r="K1497" s="83" t="n">
        <f aca="false">IF(J1497&lt;(Inputs!$E$18-Inputs!$D$18)/(Inputs!$F$18-Inputs!$D$18),Inputs!$D$18+SQRT(J1497*(Inputs!$F$18-Inputs!$D$18)*(Inputs!$E$18-Inputs!$D$18)),Inputs!$F$18-SQRT((1-J1497)*(Inputs!$F$18-Inputs!$D$18)*(Inputs!$F$18-Inputs!$E$18)))</f>
        <v>0.975070968200781</v>
      </c>
      <c r="L1497" s="81" t="n">
        <f aca="true">RAND()</f>
        <v>0.302296667848382</v>
      </c>
      <c r="M1497" s="83" t="n">
        <f aca="false">IF(L1497&lt;(Inputs!$E$24-Inputs!$D$24)/(Inputs!$F$24-Inputs!$D$24),Inputs!$D$24+SQRT(L1497*(Inputs!$F$24-Inputs!$D$24)*(Inputs!$E$24-Inputs!$D$24)),Inputs!$F$24-SQRT((1-L1497)*(Inputs!$F$24-Inputs!$D$24)*(Inputs!$F$24-Inputs!$E$24)))</f>
        <v>0.790461545047303</v>
      </c>
      <c r="N1497" s="81" t="n">
        <f aca="true">RAND()</f>
        <v>0.0280329207442993</v>
      </c>
      <c r="O1497" s="83" t="n">
        <f aca="false">IF(N1497&lt;(Inputs!$E$26-Inputs!$D$26)/(Inputs!$F$26-Inputs!$D$26),Inputs!$D$26+SQRT(N1497*(Inputs!$F$26-Inputs!$D$26)*(Inputs!$E$26-Inputs!$D$26)),Inputs!$F$26-SQRT((1-N1497)*(Inputs!$F$26-Inputs!$D$26)*(Inputs!$F$26-Inputs!$E$26)))</f>
        <v>0.368298448092555</v>
      </c>
      <c r="P1497" s="81" t="n">
        <f aca="true">RAND()</f>
        <v>0.7691359004064</v>
      </c>
      <c r="Q1497" s="82" t="n">
        <f aca="false">IF(P1497&lt;(Inputs!$E$27-Inputs!$D$27)/(Inputs!$F$27-Inputs!$D$27),Inputs!$D$27+SQRT(P1497*(Inputs!$F$27-Inputs!$D$27)*(Inputs!$E$27-Inputs!$D$27)),Inputs!$F$27-SQRT((1-P1497)*(Inputs!$F$27-Inputs!$D$27)*(Inputs!$F$27-Inputs!$E$27)))</f>
        <v>108.388934801522</v>
      </c>
      <c r="R1497" s="81" t="n">
        <f aca="true">RAND()</f>
        <v>0.0660034705286754</v>
      </c>
      <c r="S1497" s="82" t="n">
        <f aca="false">IF(R1497&lt;(Inputs!$E$29-Inputs!$D$29)/(Inputs!$F$29-Inputs!$D$29),Inputs!$D$29+SQRT(R1497*(Inputs!$F$29-Inputs!$D$29)*(Inputs!$E$29-Inputs!$D$29)),Inputs!$F$29-SQRT((1-R1497)*(Inputs!$F$29-Inputs!$D$29)*(Inputs!$F$29-Inputs!$E$29)))</f>
        <v>3.60441121618441</v>
      </c>
      <c r="T1497" s="68" t="n">
        <f aca="false">Inputs!$E$9*(1+E1497)+Inputs!$E$5*C1497*(Inputs!$E$11*Inputs!$E$14*(G1497*I1497/Inputs!$E$16+(1-G1497))*K1497+Inputs!$E$23*M1497)*(1+O1497)+Inputs!$E$5*(Q1497+S1497)</f>
        <v>5515.88229004475</v>
      </c>
    </row>
    <row r="1498" customFormat="false" ht="15" hidden="false" customHeight="false" outlineLevel="0" collapsed="false">
      <c r="A1498" s="1" t="n">
        <v>1494</v>
      </c>
      <c r="B1498" s="81" t="n">
        <f aca="true">RAND()</f>
        <v>0.800203419216165</v>
      </c>
      <c r="C1498" s="82" t="n">
        <f aca="false">ROUND(IF(B1498&lt;(Inputs!$E$8-Inputs!$D$8)/(Inputs!$F$8-Inputs!$D$8),Inputs!$D$8+SQRT(B1498*(Inputs!$F$8-Inputs!$D$8)*(Inputs!$E$8-Inputs!$D$8)),Inputs!$F$8-SQRT((1-B1498)*(Inputs!$F$8-Inputs!$D$8)*(Inputs!$F$8-Inputs!$E$8))),0)</f>
        <v>27</v>
      </c>
      <c r="D1498" s="81" t="n">
        <f aca="true">RAND()</f>
        <v>0.241318592714701</v>
      </c>
      <c r="E1498" s="83" t="n">
        <f aca="false">IF(D1498&lt;(Inputs!$E$10-Inputs!$D$10)/(Inputs!$F$10-Inputs!$D$10),Inputs!$D$10+SQRT(D1498*(Inputs!$F$10-Inputs!$D$10)*(Inputs!$E$10-Inputs!$D$10)),Inputs!$F$10-SQRT((1-D1498)*(Inputs!$F$10-Inputs!$D$10)*(Inputs!$F$10-Inputs!$E$10)))</f>
        <v>0.0491241888192264</v>
      </c>
      <c r="F1498" s="81" t="n">
        <f aca="true">RAND()</f>
        <v>0.240396284824934</v>
      </c>
      <c r="G1498" s="83" t="n">
        <f aca="false">IF(F1498&lt;(Inputs!$E$15-Inputs!$D$15)/(Inputs!$F$15-Inputs!$D$15),Inputs!$D$15+SQRT(F1498*(Inputs!$F$15-Inputs!$D$15)*(Inputs!$E$15-Inputs!$D$15)),Inputs!$F$15-SQRT((1-F1498)*(Inputs!$F$15-Inputs!$D$15)*(Inputs!$F$15-Inputs!$E$15)))</f>
        <v>0.669339207498346</v>
      </c>
      <c r="H1498" s="81" t="n">
        <f aca="true">RAND()</f>
        <v>0.579783975836289</v>
      </c>
      <c r="I1498" s="82" t="n">
        <f aca="false">ROUND(IF(H1498&lt;(Inputs!$E$17-Inputs!$D$17)/(Inputs!$F$17-Inputs!$D$17),Inputs!$D$17+SQRT(H1498*(Inputs!$F$17-Inputs!$D$17)*(Inputs!$E$17-Inputs!$D$17)),Inputs!$F$17-SQRT((1-H1498)*(Inputs!$F$17-Inputs!$D$17)*(Inputs!$F$17-Inputs!$E$17))),0)</f>
        <v>107</v>
      </c>
      <c r="J1498" s="81" t="n">
        <f aca="true">RAND()</f>
        <v>0.315558149644814</v>
      </c>
      <c r="K1498" s="83" t="n">
        <f aca="false">IF(J1498&lt;(Inputs!$E$18-Inputs!$D$18)/(Inputs!$F$18-Inputs!$D$18),Inputs!$D$18+SQRT(J1498*(Inputs!$F$18-Inputs!$D$18)*(Inputs!$E$18-Inputs!$D$18)),Inputs!$F$18-SQRT((1-J1498)*(Inputs!$F$18-Inputs!$D$18)*(Inputs!$F$18-Inputs!$E$18)))</f>
        <v>1.00527839918373</v>
      </c>
      <c r="L1498" s="81" t="n">
        <f aca="true">RAND()</f>
        <v>0.735326998577863</v>
      </c>
      <c r="M1498" s="83" t="n">
        <f aca="false">IF(L1498&lt;(Inputs!$E$24-Inputs!$D$24)/(Inputs!$F$24-Inputs!$D$24),Inputs!$D$24+SQRT(L1498*(Inputs!$F$24-Inputs!$D$24)*(Inputs!$E$24-Inputs!$D$24)),Inputs!$F$24-SQRT((1-L1498)*(Inputs!$F$24-Inputs!$D$24)*(Inputs!$F$24-Inputs!$E$24)))</f>
        <v>0.947965239815392</v>
      </c>
      <c r="N1498" s="81" t="n">
        <f aca="true">RAND()</f>
        <v>0.597957622435513</v>
      </c>
      <c r="O1498" s="83" t="n">
        <f aca="false">IF(N1498&lt;(Inputs!$E$26-Inputs!$D$26)/(Inputs!$F$26-Inputs!$D$26),Inputs!$D$26+SQRT(N1498*(Inputs!$F$26-Inputs!$D$26)*(Inputs!$E$26-Inputs!$D$26)),Inputs!$F$26-SQRT((1-N1498)*(Inputs!$F$26-Inputs!$D$26)*(Inputs!$F$26-Inputs!$E$26)))</f>
        <v>0.615436441099105</v>
      </c>
      <c r="P1498" s="81" t="n">
        <f aca="true">RAND()</f>
        <v>0.358052815300729</v>
      </c>
      <c r="Q1498" s="82" t="n">
        <f aca="false">IF(P1498&lt;(Inputs!$E$27-Inputs!$D$27)/(Inputs!$F$27-Inputs!$D$27),Inputs!$D$27+SQRT(P1498*(Inputs!$F$27-Inputs!$D$27)*(Inputs!$E$27-Inputs!$D$27)),Inputs!$F$27-SQRT((1-P1498)*(Inputs!$F$27-Inputs!$D$27)*(Inputs!$F$27-Inputs!$E$27)))</f>
        <v>80.6126532770958</v>
      </c>
      <c r="R1498" s="81" t="n">
        <f aca="true">RAND()</f>
        <v>0.451196585234444</v>
      </c>
      <c r="S1498" s="82" t="n">
        <f aca="false">IF(R1498&lt;(Inputs!$E$29-Inputs!$D$29)/(Inputs!$F$29-Inputs!$D$29),Inputs!$D$29+SQRT(R1498*(Inputs!$F$29-Inputs!$D$29)*(Inputs!$E$29-Inputs!$D$29)),Inputs!$F$29-SQRT((1-R1498)*(Inputs!$F$29-Inputs!$D$29)*(Inputs!$F$29-Inputs!$E$29)))</f>
        <v>6.55343596960739</v>
      </c>
      <c r="T1498" s="68" t="n">
        <f aca="false">Inputs!$E$9*(1+E1498)+Inputs!$E$5*C1498*(Inputs!$E$11*Inputs!$E$14*(G1498*I1498/Inputs!$E$16+(1-G1498))*K1498+Inputs!$E$23*M1498)*(1+O1498)+Inputs!$E$5*(Q1498+S1498)</f>
        <v>6641.80898741025</v>
      </c>
    </row>
    <row r="1499" customFormat="false" ht="15" hidden="false" customHeight="false" outlineLevel="0" collapsed="false">
      <c r="A1499" s="1" t="n">
        <v>1495</v>
      </c>
      <c r="B1499" s="81" t="n">
        <f aca="true">RAND()</f>
        <v>0.295571767241114</v>
      </c>
      <c r="C1499" s="82" t="n">
        <f aca="false">ROUND(IF(B1499&lt;(Inputs!$E$8-Inputs!$D$8)/(Inputs!$F$8-Inputs!$D$8),Inputs!$D$8+SQRT(B1499*(Inputs!$F$8-Inputs!$D$8)*(Inputs!$E$8-Inputs!$D$8)),Inputs!$F$8-SQRT((1-B1499)*(Inputs!$F$8-Inputs!$D$8)*(Inputs!$F$8-Inputs!$E$8))),0)</f>
        <v>24</v>
      </c>
      <c r="D1499" s="81" t="n">
        <f aca="true">RAND()</f>
        <v>0.700164103047409</v>
      </c>
      <c r="E1499" s="83" t="n">
        <f aca="false">IF(D1499&lt;(Inputs!$E$10-Inputs!$D$10)/(Inputs!$F$10-Inputs!$D$10),Inputs!$D$10+SQRT(D1499*(Inputs!$F$10-Inputs!$D$10)*(Inputs!$E$10-Inputs!$D$10)),Inputs!$F$10-SQRT((1-D1499)*(Inputs!$F$10-Inputs!$D$10)*(Inputs!$F$10-Inputs!$E$10)))</f>
        <v>0.105157620714273</v>
      </c>
      <c r="F1499" s="81" t="n">
        <f aca="true">RAND()</f>
        <v>0.731391100959964</v>
      </c>
      <c r="G1499" s="83" t="n">
        <f aca="false">IF(F1499&lt;(Inputs!$E$15-Inputs!$D$15)/(Inputs!$F$15-Inputs!$D$15),Inputs!$D$15+SQRT(F1499*(Inputs!$F$15-Inputs!$D$15)*(Inputs!$E$15-Inputs!$D$15)),Inputs!$F$15-SQRT((1-F1499)*(Inputs!$F$15-Inputs!$D$15)*(Inputs!$F$15-Inputs!$E$15)))</f>
        <v>0.726704857044953</v>
      </c>
      <c r="H1499" s="81" t="n">
        <f aca="true">RAND()</f>
        <v>0.42301410396734</v>
      </c>
      <c r="I1499" s="82" t="n">
        <f aca="false">ROUND(IF(H1499&lt;(Inputs!$E$17-Inputs!$D$17)/(Inputs!$F$17-Inputs!$D$17),Inputs!$D$17+SQRT(H1499*(Inputs!$F$17-Inputs!$D$17)*(Inputs!$E$17-Inputs!$D$17)),Inputs!$F$17-SQRT((1-H1499)*(Inputs!$F$17-Inputs!$D$17)*(Inputs!$F$17-Inputs!$E$17))),0)</f>
        <v>106</v>
      </c>
      <c r="J1499" s="81" t="n">
        <f aca="true">RAND()</f>
        <v>0.670021006823311</v>
      </c>
      <c r="K1499" s="83" t="n">
        <f aca="false">IF(J1499&lt;(Inputs!$E$18-Inputs!$D$18)/(Inputs!$F$18-Inputs!$D$18),Inputs!$D$18+SQRT(J1499*(Inputs!$F$18-Inputs!$D$18)*(Inputs!$E$18-Inputs!$D$18)),Inputs!$F$18-SQRT((1-J1499)*(Inputs!$F$18-Inputs!$D$18)*(Inputs!$F$18-Inputs!$E$18)))</f>
        <v>1.080078953914</v>
      </c>
      <c r="L1499" s="81" t="n">
        <f aca="true">RAND()</f>
        <v>0.325998833359591</v>
      </c>
      <c r="M1499" s="83" t="n">
        <f aca="false">IF(L1499&lt;(Inputs!$E$24-Inputs!$D$24)/(Inputs!$F$24-Inputs!$D$24),Inputs!$D$24+SQRT(L1499*(Inputs!$F$24-Inputs!$D$24)*(Inputs!$E$24-Inputs!$D$24)),Inputs!$F$24-SQRT((1-L1499)*(Inputs!$F$24-Inputs!$D$24)*(Inputs!$F$24-Inputs!$E$24)))</f>
        <v>0.797787411134154</v>
      </c>
      <c r="N1499" s="81" t="n">
        <f aca="true">RAND()</f>
        <v>0.0635310497894292</v>
      </c>
      <c r="O1499" s="83" t="n">
        <f aca="false">IF(N1499&lt;(Inputs!$E$26-Inputs!$D$26)/(Inputs!$F$26-Inputs!$D$26),Inputs!$D$26+SQRT(N1499*(Inputs!$F$26-Inputs!$D$26)*(Inputs!$E$26-Inputs!$D$26)),Inputs!$F$26-SQRT((1-N1499)*(Inputs!$F$26-Inputs!$D$26)*(Inputs!$F$26-Inputs!$E$26)))</f>
        <v>0.4028181243019</v>
      </c>
      <c r="P1499" s="81" t="n">
        <f aca="true">RAND()</f>
        <v>0.284310889169028</v>
      </c>
      <c r="Q1499" s="82" t="n">
        <f aca="false">IF(P1499&lt;(Inputs!$E$27-Inputs!$D$27)/(Inputs!$F$27-Inputs!$D$27),Inputs!$D$27+SQRT(P1499*(Inputs!$F$27-Inputs!$D$27)*(Inputs!$E$27-Inputs!$D$27)),Inputs!$F$27-SQRT((1-P1499)*(Inputs!$F$27-Inputs!$D$27)*(Inputs!$F$27-Inputs!$E$27)))</f>
        <v>76.735627135474</v>
      </c>
      <c r="R1499" s="81" t="n">
        <f aca="true">RAND()</f>
        <v>0.862234806063244</v>
      </c>
      <c r="S1499" s="82" t="n">
        <f aca="false">IF(R1499&lt;(Inputs!$E$29-Inputs!$D$29)/(Inputs!$F$29-Inputs!$D$29),Inputs!$D$29+SQRT(R1499*(Inputs!$F$29-Inputs!$D$29)*(Inputs!$E$29-Inputs!$D$29)),Inputs!$F$29-SQRT((1-R1499)*(Inputs!$F$29-Inputs!$D$29)*(Inputs!$F$29-Inputs!$E$29)))</f>
        <v>10.7680412086389</v>
      </c>
      <c r="T1499" s="68" t="n">
        <f aca="false">Inputs!$E$9*(1+E1499)+Inputs!$E$5*C1499*(Inputs!$E$11*Inputs!$E$14*(G1499*I1499/Inputs!$E$16+(1-G1499))*K1499+Inputs!$E$23*M1499)*(1+O1499)+Inputs!$E$5*(Q1499+S1499)</f>
        <v>5757.86308557758</v>
      </c>
    </row>
    <row r="1500" customFormat="false" ht="15" hidden="false" customHeight="false" outlineLevel="0" collapsed="false">
      <c r="A1500" s="1" t="n">
        <v>1496</v>
      </c>
      <c r="B1500" s="81" t="n">
        <f aca="true">RAND()</f>
        <v>0.299056284548477</v>
      </c>
      <c r="C1500" s="82" t="n">
        <f aca="false">ROUND(IF(B1500&lt;(Inputs!$E$8-Inputs!$D$8)/(Inputs!$F$8-Inputs!$D$8),Inputs!$D$8+SQRT(B1500*(Inputs!$F$8-Inputs!$D$8)*(Inputs!$E$8-Inputs!$D$8)),Inputs!$F$8-SQRT((1-B1500)*(Inputs!$F$8-Inputs!$D$8)*(Inputs!$F$8-Inputs!$E$8))),0)</f>
        <v>24</v>
      </c>
      <c r="D1500" s="81" t="n">
        <f aca="true">RAND()</f>
        <v>0.0809123867935246</v>
      </c>
      <c r="E1500" s="83" t="n">
        <f aca="false">IF(D1500&lt;(Inputs!$E$10-Inputs!$D$10)/(Inputs!$F$10-Inputs!$D$10),Inputs!$D$10+SQRT(D1500*(Inputs!$F$10-Inputs!$D$10)*(Inputs!$E$10-Inputs!$D$10)),Inputs!$F$10-SQRT((1-D1500)*(Inputs!$F$10-Inputs!$D$10)*(Inputs!$F$10-Inputs!$E$10)))</f>
        <v>0.0284451027056547</v>
      </c>
      <c r="F1500" s="81" t="n">
        <f aca="true">RAND()</f>
        <v>0.00130566989412055</v>
      </c>
      <c r="G1500" s="83" t="n">
        <f aca="false">IF(F1500&lt;(Inputs!$E$15-Inputs!$D$15)/(Inputs!$F$15-Inputs!$D$15),Inputs!$D$15+SQRT(F1500*(Inputs!$F$15-Inputs!$D$15)*(Inputs!$E$15-Inputs!$D$15)),Inputs!$F$15-SQRT((1-F1500)*(Inputs!$F$15-Inputs!$D$15)*(Inputs!$F$15-Inputs!$E$15)))</f>
        <v>0.605110126992787</v>
      </c>
      <c r="H1500" s="81" t="n">
        <f aca="true">RAND()</f>
        <v>0.199489306433229</v>
      </c>
      <c r="I1500" s="82" t="n">
        <f aca="false">ROUND(IF(H1500&lt;(Inputs!$E$17-Inputs!$D$17)/(Inputs!$F$17-Inputs!$D$17),Inputs!$D$17+SQRT(H1500*(Inputs!$F$17-Inputs!$D$17)*(Inputs!$E$17-Inputs!$D$17)),Inputs!$F$17-SQRT((1-H1500)*(Inputs!$F$17-Inputs!$D$17)*(Inputs!$F$17-Inputs!$E$17))),0)</f>
        <v>104</v>
      </c>
      <c r="J1500" s="81" t="n">
        <f aca="true">RAND()</f>
        <v>0.0263861137133908</v>
      </c>
      <c r="K1500" s="83" t="n">
        <f aca="false">IF(J1500&lt;(Inputs!$E$18-Inputs!$D$18)/(Inputs!$F$18-Inputs!$D$18),Inputs!$D$18+SQRT(J1500*(Inputs!$F$18-Inputs!$D$18)*(Inputs!$E$18-Inputs!$D$18)),Inputs!$F$18-SQRT((1-J1500)*(Inputs!$F$18-Inputs!$D$18)*(Inputs!$F$18-Inputs!$E$18)))</f>
        <v>0.930389372813019</v>
      </c>
      <c r="L1500" s="81" t="n">
        <f aca="true">RAND()</f>
        <v>0.680118738903473</v>
      </c>
      <c r="M1500" s="83" t="n">
        <f aca="false">IF(L1500&lt;(Inputs!$E$24-Inputs!$D$24)/(Inputs!$F$24-Inputs!$D$24),Inputs!$D$24+SQRT(L1500*(Inputs!$F$24-Inputs!$D$24)*(Inputs!$E$24-Inputs!$D$24)),Inputs!$F$24-SQRT((1-L1500)*(Inputs!$F$24-Inputs!$D$24)*(Inputs!$F$24-Inputs!$E$24)))</f>
        <v>0.92292329101282</v>
      </c>
      <c r="N1500" s="81" t="n">
        <f aca="true">RAND()</f>
        <v>0.135142740224718</v>
      </c>
      <c r="O1500" s="83" t="n">
        <f aca="false">IF(N1500&lt;(Inputs!$E$26-Inputs!$D$26)/(Inputs!$F$26-Inputs!$D$26),Inputs!$D$26+SQRT(N1500*(Inputs!$F$26-Inputs!$D$26)*(Inputs!$E$26-Inputs!$D$26)),Inputs!$F$26-SQRT((1-N1500)*(Inputs!$F$26-Inputs!$D$26)*(Inputs!$F$26-Inputs!$E$26)))</f>
        <v>0.449959167687051</v>
      </c>
      <c r="P1500" s="81" t="n">
        <f aca="true">RAND()</f>
        <v>0.442120507635561</v>
      </c>
      <c r="Q1500" s="82" t="n">
        <f aca="false">IF(P1500&lt;(Inputs!$E$27-Inputs!$D$27)/(Inputs!$F$27-Inputs!$D$27),Inputs!$D$27+SQRT(P1500*(Inputs!$F$27-Inputs!$D$27)*(Inputs!$E$27-Inputs!$D$27)),Inputs!$F$27-SQRT((1-P1500)*(Inputs!$F$27-Inputs!$D$27)*(Inputs!$F$27-Inputs!$E$27)))</f>
        <v>85.3154099283818</v>
      </c>
      <c r="R1500" s="81" t="n">
        <f aca="true">RAND()</f>
        <v>0.660741440832413</v>
      </c>
      <c r="S1500" s="82" t="n">
        <f aca="false">IF(R1500&lt;(Inputs!$E$29-Inputs!$D$29)/(Inputs!$F$29-Inputs!$D$29),Inputs!$D$29+SQRT(R1500*(Inputs!$F$29-Inputs!$D$29)*(Inputs!$E$29-Inputs!$D$29)),Inputs!$F$29-SQRT((1-R1500)*(Inputs!$F$29-Inputs!$D$29)*(Inputs!$F$29-Inputs!$E$29)))</f>
        <v>8.35894491125195</v>
      </c>
      <c r="T1500" s="68" t="n">
        <f aca="false">Inputs!$E$9*(1+E1500)+Inputs!$E$5*C1500*(Inputs!$E$11*Inputs!$E$14*(G1500*I1500/Inputs!$E$16+(1-G1500))*K1500+Inputs!$E$23*M1500)*(1+O1500)+Inputs!$E$5*(Q1500+S1500)</f>
        <v>5708.76547928455</v>
      </c>
    </row>
    <row r="1501" customFormat="false" ht="15" hidden="false" customHeight="false" outlineLevel="0" collapsed="false">
      <c r="A1501" s="1" t="n">
        <v>1497</v>
      </c>
      <c r="B1501" s="81" t="n">
        <f aca="true">RAND()</f>
        <v>0.530030117336309</v>
      </c>
      <c r="C1501" s="82" t="n">
        <f aca="false">ROUND(IF(B1501&lt;(Inputs!$E$8-Inputs!$D$8)/(Inputs!$F$8-Inputs!$D$8),Inputs!$D$8+SQRT(B1501*(Inputs!$F$8-Inputs!$D$8)*(Inputs!$E$8-Inputs!$D$8)),Inputs!$F$8-SQRT((1-B1501)*(Inputs!$F$8-Inputs!$D$8)*(Inputs!$F$8-Inputs!$E$8))),0)</f>
        <v>25</v>
      </c>
      <c r="D1501" s="81" t="n">
        <f aca="true">RAND()</f>
        <v>0.968037512702862</v>
      </c>
      <c r="E1501" s="83" t="n">
        <f aca="false">IF(D1501&lt;(Inputs!$E$10-Inputs!$D$10)/(Inputs!$F$10-Inputs!$D$10),Inputs!$D$10+SQRT(D1501*(Inputs!$F$10-Inputs!$D$10)*(Inputs!$E$10-Inputs!$D$10)),Inputs!$F$10-SQRT((1-D1501)*(Inputs!$F$10-Inputs!$D$10)*(Inputs!$F$10-Inputs!$E$10)))</f>
        <v>0.169034299314982</v>
      </c>
      <c r="F1501" s="81" t="n">
        <f aca="true">RAND()</f>
        <v>0.027718900509284</v>
      </c>
      <c r="G1501" s="83" t="n">
        <f aca="false">IF(F1501&lt;(Inputs!$E$15-Inputs!$D$15)/(Inputs!$F$15-Inputs!$D$15),Inputs!$D$15+SQRT(F1501*(Inputs!$F$15-Inputs!$D$15)*(Inputs!$E$15-Inputs!$D$15)),Inputs!$F$15-SQRT((1-F1501)*(Inputs!$F$15-Inputs!$D$15)*(Inputs!$F$15-Inputs!$E$15)))</f>
        <v>0.623545233279492</v>
      </c>
      <c r="H1501" s="81" t="n">
        <f aca="true">RAND()</f>
        <v>0.364318574415569</v>
      </c>
      <c r="I1501" s="82" t="n">
        <f aca="false">ROUND(IF(H1501&lt;(Inputs!$E$17-Inputs!$D$17)/(Inputs!$F$17-Inputs!$D$17),Inputs!$D$17+SQRT(H1501*(Inputs!$F$17-Inputs!$D$17)*(Inputs!$E$17-Inputs!$D$17)),Inputs!$F$17-SQRT((1-H1501)*(Inputs!$F$17-Inputs!$D$17)*(Inputs!$F$17-Inputs!$E$17))),0)</f>
        <v>105</v>
      </c>
      <c r="J1501" s="81" t="n">
        <f aca="true">RAND()</f>
        <v>0.405991352485301</v>
      </c>
      <c r="K1501" s="83" t="n">
        <f aca="false">IF(J1501&lt;(Inputs!$E$18-Inputs!$D$18)/(Inputs!$F$18-Inputs!$D$18),Inputs!$D$18+SQRT(J1501*(Inputs!$F$18-Inputs!$D$18)*(Inputs!$E$18-Inputs!$D$18)),Inputs!$F$18-SQRT((1-J1501)*(Inputs!$F$18-Inputs!$D$18)*(Inputs!$F$18-Inputs!$E$18)))</f>
        <v>1.02201807822212</v>
      </c>
      <c r="L1501" s="81" t="n">
        <f aca="true">RAND()</f>
        <v>0.146303297331307</v>
      </c>
      <c r="M1501" s="83" t="n">
        <f aca="false">IF(L1501&lt;(Inputs!$E$24-Inputs!$D$24)/(Inputs!$F$24-Inputs!$D$24),Inputs!$D$24+SQRT(L1501*(Inputs!$F$24-Inputs!$D$24)*(Inputs!$E$24-Inputs!$D$24)),Inputs!$F$24-SQRT((1-L1501)*(Inputs!$F$24-Inputs!$D$24)*(Inputs!$F$24-Inputs!$E$24)))</f>
        <v>0.732500549733791</v>
      </c>
      <c r="N1501" s="81" t="n">
        <f aca="true">RAND()</f>
        <v>0.302271614887492</v>
      </c>
      <c r="O1501" s="83" t="n">
        <f aca="false">IF(N1501&lt;(Inputs!$E$26-Inputs!$D$26)/(Inputs!$F$26-Inputs!$D$26),Inputs!$D$26+SQRT(N1501*(Inputs!$F$26-Inputs!$D$26)*(Inputs!$E$26-Inputs!$D$26)),Inputs!$F$26-SQRT((1-N1501)*(Inputs!$F$26-Inputs!$D$26)*(Inputs!$F$26-Inputs!$E$26)))</f>
        <v>0.524272148777504</v>
      </c>
      <c r="P1501" s="81" t="n">
        <f aca="true">RAND()</f>
        <v>0.376486984725018</v>
      </c>
      <c r="Q1501" s="82" t="n">
        <f aca="false">IF(P1501&lt;(Inputs!$E$27-Inputs!$D$27)/(Inputs!$F$27-Inputs!$D$27),Inputs!$D$27+SQRT(P1501*(Inputs!$F$27-Inputs!$D$27)*(Inputs!$E$27-Inputs!$D$27)),Inputs!$F$27-SQRT((1-P1501)*(Inputs!$F$27-Inputs!$D$27)*(Inputs!$F$27-Inputs!$E$27)))</f>
        <v>81.6161743205138</v>
      </c>
      <c r="R1501" s="81" t="n">
        <f aca="true">RAND()</f>
        <v>0.683529121549598</v>
      </c>
      <c r="S1501" s="82" t="n">
        <f aca="false">IF(R1501&lt;(Inputs!$E$29-Inputs!$D$29)/(Inputs!$F$29-Inputs!$D$29),Inputs!$D$29+SQRT(R1501*(Inputs!$F$29-Inputs!$D$29)*(Inputs!$E$29-Inputs!$D$29)),Inputs!$F$29-SQRT((1-R1501)*(Inputs!$F$29-Inputs!$D$29)*(Inputs!$F$29-Inputs!$E$29)))</f>
        <v>8.58585826485319</v>
      </c>
      <c r="T1501" s="68" t="n">
        <f aca="false">Inputs!$E$9*(1+E1501)+Inputs!$E$5*C1501*(Inputs!$E$11*Inputs!$E$14*(G1501*I1501/Inputs!$E$16+(1-G1501))*K1501+Inputs!$E$23*M1501)*(1+O1501)+Inputs!$E$5*(Q1501+S1501)</f>
        <v>6208.61082697201</v>
      </c>
    </row>
    <row r="1502" customFormat="false" ht="15" hidden="false" customHeight="false" outlineLevel="0" collapsed="false">
      <c r="A1502" s="1" t="n">
        <v>1498</v>
      </c>
      <c r="B1502" s="81" t="n">
        <f aca="true">RAND()</f>
        <v>0.790153336575858</v>
      </c>
      <c r="C1502" s="82" t="n">
        <f aca="false">ROUND(IF(B1502&lt;(Inputs!$E$8-Inputs!$D$8)/(Inputs!$F$8-Inputs!$D$8),Inputs!$D$8+SQRT(B1502*(Inputs!$F$8-Inputs!$D$8)*(Inputs!$E$8-Inputs!$D$8)),Inputs!$F$8-SQRT((1-B1502)*(Inputs!$F$8-Inputs!$D$8)*(Inputs!$F$8-Inputs!$E$8))),0)</f>
        <v>27</v>
      </c>
      <c r="D1502" s="81" t="n">
        <f aca="true">RAND()</f>
        <v>0.324749336601845</v>
      </c>
      <c r="E1502" s="83" t="n">
        <f aca="false">IF(D1502&lt;(Inputs!$E$10-Inputs!$D$10)/(Inputs!$F$10-Inputs!$D$10),Inputs!$D$10+SQRT(D1502*(Inputs!$F$10-Inputs!$D$10)*(Inputs!$E$10-Inputs!$D$10)),Inputs!$F$10-SQRT((1-D1502)*(Inputs!$F$10-Inputs!$D$10)*(Inputs!$F$10-Inputs!$E$10)))</f>
        <v>0.0576710855028233</v>
      </c>
      <c r="F1502" s="81" t="n">
        <f aca="true">RAND()</f>
        <v>0.649111433366248</v>
      </c>
      <c r="G1502" s="83" t="n">
        <f aca="false">IF(F1502&lt;(Inputs!$E$15-Inputs!$D$15)/(Inputs!$F$15-Inputs!$D$15),Inputs!$D$15+SQRT(F1502*(Inputs!$F$15-Inputs!$D$15)*(Inputs!$E$15-Inputs!$D$15)),Inputs!$F$15-SQRT((1-F1502)*(Inputs!$F$15-Inputs!$D$15)*(Inputs!$F$15-Inputs!$E$15)))</f>
        <v>0.716227860641649</v>
      </c>
      <c r="H1502" s="81" t="n">
        <f aca="true">RAND()</f>
        <v>0.0732213759644498</v>
      </c>
      <c r="I1502" s="82" t="n">
        <f aca="false">ROUND(IF(H1502&lt;(Inputs!$E$17-Inputs!$D$17)/(Inputs!$F$17-Inputs!$D$17),Inputs!$D$17+SQRT(H1502*(Inputs!$F$17-Inputs!$D$17)*(Inputs!$E$17-Inputs!$D$17)),Inputs!$F$17-SQRT((1-H1502)*(Inputs!$F$17-Inputs!$D$17)*(Inputs!$F$17-Inputs!$E$17))),0)</f>
        <v>102</v>
      </c>
      <c r="J1502" s="81" t="n">
        <f aca="true">RAND()</f>
        <v>0.563964623499641</v>
      </c>
      <c r="K1502" s="83" t="n">
        <f aca="false">IF(J1502&lt;(Inputs!$E$18-Inputs!$D$18)/(Inputs!$F$18-Inputs!$D$18),Inputs!$D$18+SQRT(J1502*(Inputs!$F$18-Inputs!$D$18)*(Inputs!$E$18-Inputs!$D$18)),Inputs!$F$18-SQRT((1-J1502)*(Inputs!$F$18-Inputs!$D$18)*(Inputs!$F$18-Inputs!$E$18)))</f>
        <v>1.05467182629282</v>
      </c>
      <c r="L1502" s="81" t="n">
        <f aca="true">RAND()</f>
        <v>0.172832213256993</v>
      </c>
      <c r="M1502" s="83" t="n">
        <f aca="false">IF(L1502&lt;(Inputs!$E$24-Inputs!$D$24)/(Inputs!$F$24-Inputs!$D$24),Inputs!$D$24+SQRT(L1502*(Inputs!$F$24-Inputs!$D$24)*(Inputs!$E$24-Inputs!$D$24)),Inputs!$F$24-SQRT((1-L1502)*(Inputs!$F$24-Inputs!$D$24)*(Inputs!$F$24-Inputs!$E$24)))</f>
        <v>0.744013421564933</v>
      </c>
      <c r="N1502" s="81" t="n">
        <f aca="true">RAND()</f>
        <v>0.0676993859872606</v>
      </c>
      <c r="O1502" s="83" t="n">
        <f aca="false">IF(N1502&lt;(Inputs!$E$26-Inputs!$D$26)/(Inputs!$F$26-Inputs!$D$26),Inputs!$D$26+SQRT(N1502*(Inputs!$F$26-Inputs!$D$26)*(Inputs!$E$26-Inputs!$D$26)),Inputs!$F$26-SQRT((1-N1502)*(Inputs!$F$26-Inputs!$D$26)*(Inputs!$F$26-Inputs!$E$26)))</f>
        <v>0.406137542030519</v>
      </c>
      <c r="P1502" s="81" t="n">
        <f aca="true">RAND()</f>
        <v>0.961301455397109</v>
      </c>
      <c r="Q1502" s="82" t="n">
        <f aca="false">IF(P1502&lt;(Inputs!$E$27-Inputs!$D$27)/(Inputs!$F$27-Inputs!$D$27),Inputs!$D$27+SQRT(P1502*(Inputs!$F$27-Inputs!$D$27)*(Inputs!$E$27-Inputs!$D$27)),Inputs!$F$27-SQRT((1-P1502)*(Inputs!$F$27-Inputs!$D$27)*(Inputs!$F$27-Inputs!$E$27)))</f>
        <v>132.963595317037</v>
      </c>
      <c r="R1502" s="81" t="n">
        <f aca="true">RAND()</f>
        <v>0.8254001125108</v>
      </c>
      <c r="S1502" s="82" t="n">
        <f aca="false">IF(R1502&lt;(Inputs!$E$29-Inputs!$D$29)/(Inputs!$F$29-Inputs!$D$29),Inputs!$D$29+SQRT(R1502*(Inputs!$F$29-Inputs!$D$29)*(Inputs!$E$29-Inputs!$D$29)),Inputs!$F$29-SQRT((1-R1502)*(Inputs!$F$29-Inputs!$D$29)*(Inputs!$F$29-Inputs!$E$29)))</f>
        <v>10.235759727554</v>
      </c>
      <c r="T1502" s="68" t="n">
        <f aca="false">Inputs!$E$9*(1+E1502)+Inputs!$E$5*C1502*(Inputs!$E$11*Inputs!$E$14*(G1502*I1502/Inputs!$E$16+(1-G1502))*K1502+Inputs!$E$23*M1502)*(1+O1502)+Inputs!$E$5*(Q1502+S1502)</f>
        <v>6142.71034749377</v>
      </c>
    </row>
    <row r="1503" customFormat="false" ht="15" hidden="false" customHeight="false" outlineLevel="0" collapsed="false">
      <c r="A1503" s="1" t="n">
        <v>1499</v>
      </c>
      <c r="B1503" s="81" t="n">
        <f aca="true">RAND()</f>
        <v>0.89133233635451</v>
      </c>
      <c r="C1503" s="82" t="n">
        <f aca="false">ROUND(IF(B1503&lt;(Inputs!$E$8-Inputs!$D$8)/(Inputs!$F$8-Inputs!$D$8),Inputs!$D$8+SQRT(B1503*(Inputs!$F$8-Inputs!$D$8)*(Inputs!$E$8-Inputs!$D$8)),Inputs!$F$8-SQRT((1-B1503)*(Inputs!$F$8-Inputs!$D$8)*(Inputs!$F$8-Inputs!$E$8))),0)</f>
        <v>28</v>
      </c>
      <c r="D1503" s="81" t="n">
        <f aca="true">RAND()</f>
        <v>0.826582673155034</v>
      </c>
      <c r="E1503" s="83" t="n">
        <f aca="false">IF(D1503&lt;(Inputs!$E$10-Inputs!$D$10)/(Inputs!$F$10-Inputs!$D$10),Inputs!$D$10+SQRT(D1503*(Inputs!$F$10-Inputs!$D$10)*(Inputs!$E$10-Inputs!$D$10)),Inputs!$F$10-SQRT((1-D1503)*(Inputs!$F$10-Inputs!$D$10)*(Inputs!$F$10-Inputs!$E$10)))</f>
        <v>0.127871504900289</v>
      </c>
      <c r="F1503" s="81" t="n">
        <f aca="true">RAND()</f>
        <v>0.285923487543739</v>
      </c>
      <c r="G1503" s="83" t="n">
        <f aca="false">IF(F1503&lt;(Inputs!$E$15-Inputs!$D$15)/(Inputs!$F$15-Inputs!$D$15),Inputs!$D$15+SQRT(F1503*(Inputs!$F$15-Inputs!$D$15)*(Inputs!$E$15-Inputs!$D$15)),Inputs!$F$15-SQRT((1-F1503)*(Inputs!$F$15-Inputs!$D$15)*(Inputs!$F$15-Inputs!$E$15)))</f>
        <v>0.67562056433851</v>
      </c>
      <c r="H1503" s="81" t="n">
        <f aca="true">RAND()</f>
        <v>0.141752182566527</v>
      </c>
      <c r="I1503" s="82" t="n">
        <f aca="false">ROUND(IF(H1503&lt;(Inputs!$E$17-Inputs!$D$17)/(Inputs!$F$17-Inputs!$D$17),Inputs!$D$17+SQRT(H1503*(Inputs!$F$17-Inputs!$D$17)*(Inputs!$E$17-Inputs!$D$17)),Inputs!$F$17-SQRT((1-H1503)*(Inputs!$F$17-Inputs!$D$17)*(Inputs!$F$17-Inputs!$E$17))),0)</f>
        <v>103</v>
      </c>
      <c r="J1503" s="81" t="n">
        <f aca="true">RAND()</f>
        <v>0.643009395850975</v>
      </c>
      <c r="K1503" s="83" t="n">
        <f aca="false">IF(J1503&lt;(Inputs!$E$18-Inputs!$D$18)/(Inputs!$F$18-Inputs!$D$18),Inputs!$D$18+SQRT(J1503*(Inputs!$F$18-Inputs!$D$18)*(Inputs!$E$18-Inputs!$D$18)),Inputs!$F$18-SQRT((1-J1503)*(Inputs!$F$18-Inputs!$D$18)*(Inputs!$F$18-Inputs!$E$18)))</f>
        <v>1.07326098941366</v>
      </c>
      <c r="L1503" s="81" t="n">
        <f aca="true">RAND()</f>
        <v>0.701610337724441</v>
      </c>
      <c r="M1503" s="83" t="n">
        <f aca="false">IF(L1503&lt;(Inputs!$E$24-Inputs!$D$24)/(Inputs!$F$24-Inputs!$D$24),Inputs!$D$24+SQRT(L1503*(Inputs!$F$24-Inputs!$D$24)*(Inputs!$E$24-Inputs!$D$24)),Inputs!$F$24-SQRT((1-L1503)*(Inputs!$F$24-Inputs!$D$24)*(Inputs!$F$24-Inputs!$E$24)))</f>
        <v>0.932392976650212</v>
      </c>
      <c r="N1503" s="81" t="n">
        <f aca="true">RAND()</f>
        <v>0.349083810671218</v>
      </c>
      <c r="O1503" s="83" t="n">
        <f aca="false">IF(N1503&lt;(Inputs!$E$26-Inputs!$D$26)/(Inputs!$F$26-Inputs!$D$26),Inputs!$D$26+SQRT(N1503*(Inputs!$F$26-Inputs!$D$26)*(Inputs!$E$26-Inputs!$D$26)),Inputs!$F$26-SQRT((1-N1503)*(Inputs!$F$26-Inputs!$D$26)*(Inputs!$F$26-Inputs!$E$26)))</f>
        <v>0.541013580728744</v>
      </c>
      <c r="P1503" s="81" t="n">
        <f aca="true">RAND()</f>
        <v>0.344207294931811</v>
      </c>
      <c r="Q1503" s="82" t="n">
        <f aca="false">IF(P1503&lt;(Inputs!$E$27-Inputs!$D$27)/(Inputs!$F$27-Inputs!$D$27),Inputs!$D$27+SQRT(P1503*(Inputs!$F$27-Inputs!$D$27)*(Inputs!$E$27-Inputs!$D$27)),Inputs!$F$27-SQRT((1-P1503)*(Inputs!$F$27-Inputs!$D$27)*(Inputs!$F$27-Inputs!$E$27)))</f>
        <v>79.8683716999853</v>
      </c>
      <c r="R1503" s="81" t="n">
        <f aca="true">RAND()</f>
        <v>0.603122918837904</v>
      </c>
      <c r="S1503" s="82" t="n">
        <f aca="false">IF(R1503&lt;(Inputs!$E$29-Inputs!$D$29)/(Inputs!$F$29-Inputs!$D$29),Inputs!$D$29+SQRT(R1503*(Inputs!$F$29-Inputs!$D$29)*(Inputs!$E$29-Inputs!$D$29)),Inputs!$F$29-SQRT((1-R1503)*(Inputs!$F$29-Inputs!$D$29)*(Inputs!$F$29-Inputs!$E$29)))</f>
        <v>7.81710221769288</v>
      </c>
      <c r="T1503" s="68" t="n">
        <f aca="false">Inputs!$E$9*(1+E1503)+Inputs!$E$5*C1503*(Inputs!$E$11*Inputs!$E$14*(G1503*I1503/Inputs!$E$16+(1-G1503))*K1503+Inputs!$E$23*M1503)*(1+O1503)+Inputs!$E$5*(Q1503+S1503)</f>
        <v>6852.44381957431</v>
      </c>
    </row>
    <row r="1504" customFormat="false" ht="15" hidden="false" customHeight="false" outlineLevel="0" collapsed="false">
      <c r="A1504" s="1" t="n">
        <v>1500</v>
      </c>
      <c r="B1504" s="81" t="n">
        <f aca="true">RAND()</f>
        <v>0.281222496440822</v>
      </c>
      <c r="C1504" s="82" t="n">
        <f aca="false">ROUND(IF(B1504&lt;(Inputs!$E$8-Inputs!$D$8)/(Inputs!$F$8-Inputs!$D$8),Inputs!$D$8+SQRT(B1504*(Inputs!$F$8-Inputs!$D$8)*(Inputs!$E$8-Inputs!$D$8)),Inputs!$F$8-SQRT((1-B1504)*(Inputs!$F$8-Inputs!$D$8)*(Inputs!$F$8-Inputs!$E$8))),0)</f>
        <v>24</v>
      </c>
      <c r="D1504" s="81" t="n">
        <f aca="true">RAND()</f>
        <v>0.965706861977645</v>
      </c>
      <c r="E1504" s="83" t="n">
        <f aca="false">IF(D1504&lt;(Inputs!$E$10-Inputs!$D$10)/(Inputs!$F$10-Inputs!$D$10),Inputs!$D$10+SQRT(D1504*(Inputs!$F$10-Inputs!$D$10)*(Inputs!$E$10-Inputs!$D$10)),Inputs!$F$10-SQRT((1-D1504)*(Inputs!$F$10-Inputs!$D$10)*(Inputs!$F$10-Inputs!$E$10)))</f>
        <v>0.16792517902356</v>
      </c>
      <c r="F1504" s="81" t="n">
        <f aca="true">RAND()</f>
        <v>0.300192327231678</v>
      </c>
      <c r="G1504" s="83" t="n">
        <f aca="false">IF(F1504&lt;(Inputs!$E$15-Inputs!$D$15)/(Inputs!$F$15-Inputs!$D$15),Inputs!$D$15+SQRT(F1504*(Inputs!$F$15-Inputs!$D$15)*(Inputs!$E$15-Inputs!$D$15)),Inputs!$F$15-SQRT((1-F1504)*(Inputs!$F$15-Inputs!$D$15)*(Inputs!$F$15-Inputs!$E$15)))</f>
        <v>0.677484492284802</v>
      </c>
      <c r="H1504" s="81" t="n">
        <f aca="true">RAND()</f>
        <v>0.884618433719846</v>
      </c>
      <c r="I1504" s="82" t="n">
        <f aca="false">ROUND(IF(H1504&lt;(Inputs!$E$17-Inputs!$D$17)/(Inputs!$F$17-Inputs!$D$17),Inputs!$D$17+SQRT(H1504*(Inputs!$F$17-Inputs!$D$17)*(Inputs!$E$17-Inputs!$D$17)),Inputs!$F$17-SQRT((1-H1504)*(Inputs!$F$17-Inputs!$D$17)*(Inputs!$F$17-Inputs!$E$17))),0)</f>
        <v>111</v>
      </c>
      <c r="J1504" s="81" t="n">
        <f aca="true">RAND()</f>
        <v>0.336326424680846</v>
      </c>
      <c r="K1504" s="83" t="n">
        <f aca="false">IF(J1504&lt;(Inputs!$E$18-Inputs!$D$18)/(Inputs!$F$18-Inputs!$D$18),Inputs!$D$18+SQRT(J1504*(Inputs!$F$18-Inputs!$D$18)*(Inputs!$E$18-Inputs!$D$18)),Inputs!$F$18-SQRT((1-J1504)*(Inputs!$F$18-Inputs!$D$18)*(Inputs!$F$18-Inputs!$E$18)))</f>
        <v>1.00901983932194</v>
      </c>
      <c r="L1504" s="81" t="n">
        <f aca="true">RAND()</f>
        <v>0.200742439842719</v>
      </c>
      <c r="M1504" s="83" t="n">
        <f aca="false">IF(L1504&lt;(Inputs!$E$24-Inputs!$D$24)/(Inputs!$F$24-Inputs!$D$24),Inputs!$D$24+SQRT(L1504*(Inputs!$F$24-Inputs!$D$24)*(Inputs!$E$24-Inputs!$D$24)),Inputs!$F$24-SQRT((1-L1504)*(Inputs!$F$24-Inputs!$D$24)*(Inputs!$F$24-Inputs!$E$24)))</f>
        <v>0.75520661320036</v>
      </c>
      <c r="N1504" s="81" t="n">
        <f aca="true">RAND()</f>
        <v>0.422420882246341</v>
      </c>
      <c r="O1504" s="83" t="n">
        <f aca="false">IF(N1504&lt;(Inputs!$E$26-Inputs!$D$26)/(Inputs!$F$26-Inputs!$D$26),Inputs!$D$26+SQRT(N1504*(Inputs!$F$26-Inputs!$D$26)*(Inputs!$E$26-Inputs!$D$26)),Inputs!$F$26-SQRT((1-N1504)*(Inputs!$F$26-Inputs!$D$26)*(Inputs!$F$26-Inputs!$E$26)))</f>
        <v>0.56512418751557</v>
      </c>
      <c r="P1504" s="81" t="n">
        <f aca="true">RAND()</f>
        <v>0.076422599593399</v>
      </c>
      <c r="Q1504" s="82" t="n">
        <f aca="false">IF(P1504&lt;(Inputs!$E$27-Inputs!$D$27)/(Inputs!$F$27-Inputs!$D$27),Inputs!$D$27+SQRT(P1504*(Inputs!$F$27-Inputs!$D$27)*(Inputs!$E$27-Inputs!$D$27)),Inputs!$F$27-SQRT((1-P1504)*(Inputs!$F$27-Inputs!$D$27)*(Inputs!$F$27-Inputs!$E$27)))</f>
        <v>63.8223188714303</v>
      </c>
      <c r="R1504" s="81" t="n">
        <f aca="true">RAND()</f>
        <v>0.360089420995712</v>
      </c>
      <c r="S1504" s="82" t="n">
        <f aca="false">IF(R1504&lt;(Inputs!$E$29-Inputs!$D$29)/(Inputs!$F$29-Inputs!$D$29),Inputs!$D$29+SQRT(R1504*(Inputs!$F$29-Inputs!$D$29)*(Inputs!$E$29-Inputs!$D$29)),Inputs!$F$29-SQRT((1-R1504)*(Inputs!$F$29-Inputs!$D$29)*(Inputs!$F$29-Inputs!$E$29)))</f>
        <v>5.87923384410293</v>
      </c>
      <c r="T1504" s="68" t="n">
        <f aca="false">Inputs!$E$9*(1+E1504)+Inputs!$E$5*C1504*(Inputs!$E$11*Inputs!$E$14*(G1504*I1504/Inputs!$E$16+(1-G1504))*K1504+Inputs!$E$23*M1504)*(1+O1504)+Inputs!$E$5*(Q1504+S1504)</f>
        <v>6057.20147402163</v>
      </c>
    </row>
    <row r="1505" customFormat="false" ht="15" hidden="false" customHeight="false" outlineLevel="0" collapsed="false">
      <c r="A1505" s="1" t="n">
        <v>1501</v>
      </c>
      <c r="B1505" s="81" t="n">
        <f aca="true">RAND()</f>
        <v>0.518984343285827</v>
      </c>
      <c r="C1505" s="82" t="n">
        <f aca="false">ROUND(IF(B1505&lt;(Inputs!$E$8-Inputs!$D$8)/(Inputs!$F$8-Inputs!$D$8),Inputs!$D$8+SQRT(B1505*(Inputs!$F$8-Inputs!$D$8)*(Inputs!$E$8-Inputs!$D$8)),Inputs!$F$8-SQRT((1-B1505)*(Inputs!$F$8-Inputs!$D$8)*(Inputs!$F$8-Inputs!$E$8))),0)</f>
        <v>25</v>
      </c>
      <c r="D1505" s="81" t="n">
        <f aca="true">RAND()</f>
        <v>0.0578788786237087</v>
      </c>
      <c r="E1505" s="83" t="n">
        <f aca="false">IF(D1505&lt;(Inputs!$E$10-Inputs!$D$10)/(Inputs!$F$10-Inputs!$D$10),Inputs!$D$10+SQRT(D1505*(Inputs!$F$10-Inputs!$D$10)*(Inputs!$E$10-Inputs!$D$10)),Inputs!$F$10-SQRT((1-D1505)*(Inputs!$F$10-Inputs!$D$10)*(Inputs!$F$10-Inputs!$E$10)))</f>
        <v>0.0240580295584881</v>
      </c>
      <c r="F1505" s="81" t="n">
        <f aca="true">RAND()</f>
        <v>0.316898253665374</v>
      </c>
      <c r="G1505" s="83" t="n">
        <f aca="false">IF(F1505&lt;(Inputs!$E$15-Inputs!$D$15)/(Inputs!$F$15-Inputs!$D$15),Inputs!$D$15+SQRT(F1505*(Inputs!$F$15-Inputs!$D$15)*(Inputs!$E$15-Inputs!$D$15)),Inputs!$F$15-SQRT((1-F1505)*(Inputs!$F$15-Inputs!$D$15)*(Inputs!$F$15-Inputs!$E$15)))</f>
        <v>0.679611337592754</v>
      </c>
      <c r="H1505" s="81" t="n">
        <f aca="true">RAND()</f>
        <v>0.241474154286954</v>
      </c>
      <c r="I1505" s="82" t="n">
        <f aca="false">ROUND(IF(H1505&lt;(Inputs!$E$17-Inputs!$D$17)/(Inputs!$F$17-Inputs!$D$17),Inputs!$D$17+SQRT(H1505*(Inputs!$F$17-Inputs!$D$17)*(Inputs!$E$17-Inputs!$D$17)),Inputs!$F$17-SQRT((1-H1505)*(Inputs!$F$17-Inputs!$D$17)*(Inputs!$F$17-Inputs!$E$17))),0)</f>
        <v>104</v>
      </c>
      <c r="J1505" s="81" t="n">
        <f aca="true">RAND()</f>
        <v>0.853730414870763</v>
      </c>
      <c r="K1505" s="83" t="n">
        <f aca="false">IF(J1505&lt;(Inputs!$E$18-Inputs!$D$18)/(Inputs!$F$18-Inputs!$D$18),Inputs!$D$18+SQRT(J1505*(Inputs!$F$18-Inputs!$D$18)*(Inputs!$E$18-Inputs!$D$18)),Inputs!$F$18-SQRT((1-J1505)*(Inputs!$F$18-Inputs!$D$18)*(Inputs!$F$18-Inputs!$E$18)))</f>
        <v>1.1368691523111</v>
      </c>
      <c r="L1505" s="81" t="n">
        <f aca="true">RAND()</f>
        <v>0.365235304211583</v>
      </c>
      <c r="M1505" s="83" t="n">
        <f aca="false">IF(L1505&lt;(Inputs!$E$24-Inputs!$D$24)/(Inputs!$F$24-Inputs!$D$24),Inputs!$D$24+SQRT(L1505*(Inputs!$F$24-Inputs!$D$24)*(Inputs!$E$24-Inputs!$D$24)),Inputs!$F$24-SQRT((1-L1505)*(Inputs!$F$24-Inputs!$D$24)*(Inputs!$F$24-Inputs!$E$24)))</f>
        <v>0.809687910782641</v>
      </c>
      <c r="N1505" s="81" t="n">
        <f aca="true">RAND()</f>
        <v>0.883995345037622</v>
      </c>
      <c r="O1505" s="83" t="n">
        <f aca="false">IF(N1505&lt;(Inputs!$E$26-Inputs!$D$26)/(Inputs!$F$26-Inputs!$D$26),Inputs!$D$26+SQRT(N1505*(Inputs!$F$26-Inputs!$D$26)*(Inputs!$E$26-Inputs!$D$26)),Inputs!$F$26-SQRT((1-N1505)*(Inputs!$F$26-Inputs!$D$26)*(Inputs!$F$26-Inputs!$E$26)))</f>
        <v>0.710161554471636</v>
      </c>
      <c r="P1505" s="81" t="n">
        <f aca="true">RAND()</f>
        <v>0.84397821864588</v>
      </c>
      <c r="Q1505" s="82" t="n">
        <f aca="false">IF(P1505&lt;(Inputs!$E$27-Inputs!$D$27)/(Inputs!$F$27-Inputs!$D$27),Inputs!$D$27+SQRT(P1505*(Inputs!$F$27-Inputs!$D$27)*(Inputs!$E$27-Inputs!$D$27)),Inputs!$F$27-SQRT((1-P1505)*(Inputs!$F$27-Inputs!$D$27)*(Inputs!$F$27-Inputs!$E$27)))</f>
        <v>115.792349391461</v>
      </c>
      <c r="R1505" s="81" t="n">
        <f aca="true">RAND()</f>
        <v>0.988869517145918</v>
      </c>
      <c r="S1505" s="82" t="n">
        <f aca="false">IF(R1505&lt;(Inputs!$E$29-Inputs!$D$29)/(Inputs!$F$29-Inputs!$D$29),Inputs!$D$29+SQRT(R1505*(Inputs!$F$29-Inputs!$D$29)*(Inputs!$E$29-Inputs!$D$29)),Inputs!$F$29-SQRT((1-R1505)*(Inputs!$F$29-Inputs!$D$29)*(Inputs!$F$29-Inputs!$E$29)))</f>
        <v>13.7971023439084</v>
      </c>
      <c r="T1505" s="68" t="n">
        <f aca="false">Inputs!$E$9*(1+E1505)+Inputs!$E$5*C1505*(Inputs!$E$11*Inputs!$E$14*(G1505*I1505/Inputs!$E$16+(1-G1505))*K1505+Inputs!$E$23*M1505)*(1+O1505)+Inputs!$E$5*(Q1505+S1505)</f>
        <v>6764.44658953327</v>
      </c>
    </row>
    <row r="1506" customFormat="false" ht="15" hidden="false" customHeight="false" outlineLevel="0" collapsed="false">
      <c r="A1506" s="1" t="n">
        <v>1502</v>
      </c>
      <c r="B1506" s="81" t="n">
        <f aca="true">RAND()</f>
        <v>0.784689321912758</v>
      </c>
      <c r="C1506" s="82" t="n">
        <f aca="false">ROUND(IF(B1506&lt;(Inputs!$E$8-Inputs!$D$8)/(Inputs!$F$8-Inputs!$D$8),Inputs!$D$8+SQRT(B1506*(Inputs!$F$8-Inputs!$D$8)*(Inputs!$E$8-Inputs!$D$8)),Inputs!$F$8-SQRT((1-B1506)*(Inputs!$F$8-Inputs!$D$8)*(Inputs!$F$8-Inputs!$E$8))),0)</f>
        <v>27</v>
      </c>
      <c r="D1506" s="81" t="n">
        <f aca="true">RAND()</f>
        <v>0.92988991626581</v>
      </c>
      <c r="E1506" s="83" t="n">
        <f aca="false">IF(D1506&lt;(Inputs!$E$10-Inputs!$D$10)/(Inputs!$F$10-Inputs!$D$10),Inputs!$D$10+SQRT(D1506*(Inputs!$F$10-Inputs!$D$10)*(Inputs!$E$10-Inputs!$D$10)),Inputs!$F$10-SQRT((1-D1506)*(Inputs!$F$10-Inputs!$D$10)*(Inputs!$F$10-Inputs!$E$10)))</f>
        <v>0.154138223845715</v>
      </c>
      <c r="F1506" s="81" t="n">
        <f aca="true">RAND()</f>
        <v>0.920158273800741</v>
      </c>
      <c r="G1506" s="83" t="n">
        <f aca="false">IF(F1506&lt;(Inputs!$E$15-Inputs!$D$15)/(Inputs!$F$15-Inputs!$D$15),Inputs!$D$15+SQRT(F1506*(Inputs!$F$15-Inputs!$D$15)*(Inputs!$E$15-Inputs!$D$15)),Inputs!$F$15-SQRT((1-F1506)*(Inputs!$F$15-Inputs!$D$15)*(Inputs!$F$15-Inputs!$E$15)))</f>
        <v>0.760039588040347</v>
      </c>
      <c r="H1506" s="81" t="n">
        <f aca="true">RAND()</f>
        <v>0.534348625330729</v>
      </c>
      <c r="I1506" s="82" t="n">
        <f aca="false">ROUND(IF(H1506&lt;(Inputs!$E$17-Inputs!$D$17)/(Inputs!$F$17-Inputs!$D$17),Inputs!$D$17+SQRT(H1506*(Inputs!$F$17-Inputs!$D$17)*(Inputs!$E$17-Inputs!$D$17)),Inputs!$F$17-SQRT((1-H1506)*(Inputs!$F$17-Inputs!$D$17)*(Inputs!$F$17-Inputs!$E$17))),0)</f>
        <v>107</v>
      </c>
      <c r="J1506" s="81" t="n">
        <f aca="true">RAND()</f>
        <v>0.975742097560192</v>
      </c>
      <c r="K1506" s="83" t="n">
        <f aca="false">IF(J1506&lt;(Inputs!$E$18-Inputs!$D$18)/(Inputs!$F$18-Inputs!$D$18),Inputs!$D$18+SQRT(J1506*(Inputs!$F$18-Inputs!$D$18)*(Inputs!$E$18-Inputs!$D$18)),Inputs!$F$18-SQRT((1-J1506)*(Inputs!$F$18-Inputs!$D$18)*(Inputs!$F$18-Inputs!$E$18)))</f>
        <v>1.20392868068437</v>
      </c>
      <c r="L1506" s="81" t="n">
        <f aca="true">RAND()</f>
        <v>0.800974048651395</v>
      </c>
      <c r="M1506" s="83" t="n">
        <f aca="false">IF(L1506&lt;(Inputs!$E$24-Inputs!$D$24)/(Inputs!$F$24-Inputs!$D$24),Inputs!$D$24+SQRT(L1506*(Inputs!$F$24-Inputs!$D$24)*(Inputs!$E$24-Inputs!$D$24)),Inputs!$F$24-SQRT((1-L1506)*(Inputs!$F$24-Inputs!$D$24)*(Inputs!$F$24-Inputs!$E$24)))</f>
        <v>0.981445136581989</v>
      </c>
      <c r="N1506" s="81" t="n">
        <f aca="true">RAND()</f>
        <v>0.0206356498260755</v>
      </c>
      <c r="O1506" s="83" t="n">
        <f aca="false">IF(N1506&lt;(Inputs!$E$26-Inputs!$D$26)/(Inputs!$F$26-Inputs!$D$26),Inputs!$D$26+SQRT(N1506*(Inputs!$F$26-Inputs!$D$26)*(Inputs!$E$26-Inputs!$D$26)),Inputs!$F$26-SQRT((1-N1506)*(Inputs!$F$26-Inputs!$D$26)*(Inputs!$F$26-Inputs!$E$26)))</f>
        <v>0.358598397000762</v>
      </c>
      <c r="P1506" s="81" t="n">
        <f aca="true">RAND()</f>
        <v>0.931835068312664</v>
      </c>
      <c r="Q1506" s="82" t="n">
        <f aca="false">IF(P1506&lt;(Inputs!$E$27-Inputs!$D$27)/(Inputs!$F$27-Inputs!$D$27),Inputs!$D$27+SQRT(P1506*(Inputs!$F$27-Inputs!$D$27)*(Inputs!$E$27-Inputs!$D$27)),Inputs!$F$27-SQRT((1-P1506)*(Inputs!$F$27-Inputs!$D$27)*(Inputs!$F$27-Inputs!$E$27)))</f>
        <v>127.389449638387</v>
      </c>
      <c r="R1506" s="81" t="n">
        <f aca="true">RAND()</f>
        <v>0.162746060750644</v>
      </c>
      <c r="S1506" s="82" t="n">
        <f aca="false">IF(R1506&lt;(Inputs!$E$29-Inputs!$D$29)/(Inputs!$F$29-Inputs!$D$29),Inputs!$D$29+SQRT(R1506*(Inputs!$F$29-Inputs!$D$29)*(Inputs!$E$29-Inputs!$D$29)),Inputs!$F$29-SQRT((1-R1506)*(Inputs!$F$29-Inputs!$D$29)*(Inputs!$F$29-Inputs!$E$29)))</f>
        <v>4.51934443244172</v>
      </c>
      <c r="T1506" s="68" t="n">
        <f aca="false">Inputs!$E$9*(1+E1506)+Inputs!$E$5*C1506*(Inputs!$E$11*Inputs!$E$14*(G1506*I1506/Inputs!$E$16+(1-G1506))*K1506+Inputs!$E$23*M1506)*(1+O1506)+Inputs!$E$5*(Q1506+S1506)</f>
        <v>6793.36171809107</v>
      </c>
    </row>
    <row r="1507" customFormat="false" ht="15" hidden="false" customHeight="false" outlineLevel="0" collapsed="false">
      <c r="A1507" s="1" t="n">
        <v>1503</v>
      </c>
      <c r="B1507" s="81" t="n">
        <f aca="true">RAND()</f>
        <v>0.0169612233853792</v>
      </c>
      <c r="C1507" s="82" t="n">
        <f aca="false">ROUND(IF(B1507&lt;(Inputs!$E$8-Inputs!$D$8)/(Inputs!$F$8-Inputs!$D$8),Inputs!$D$8+SQRT(B1507*(Inputs!$F$8-Inputs!$D$8)*(Inputs!$E$8-Inputs!$D$8)),Inputs!$F$8-SQRT((1-B1507)*(Inputs!$F$8-Inputs!$D$8)*(Inputs!$F$8-Inputs!$E$8))),0)</f>
        <v>21</v>
      </c>
      <c r="D1507" s="81" t="n">
        <f aca="true">RAND()</f>
        <v>0.58803585765225</v>
      </c>
      <c r="E1507" s="83" t="n">
        <f aca="false">IF(D1507&lt;(Inputs!$E$10-Inputs!$D$10)/(Inputs!$F$10-Inputs!$D$10),Inputs!$D$10+SQRT(D1507*(Inputs!$F$10-Inputs!$D$10)*(Inputs!$E$10-Inputs!$D$10)),Inputs!$F$10-SQRT((1-D1507)*(Inputs!$F$10-Inputs!$D$10)*(Inputs!$F$10-Inputs!$E$10)))</f>
        <v>0.0888293012056122</v>
      </c>
      <c r="F1507" s="81" t="n">
        <f aca="true">RAND()</f>
        <v>0.304452790884483</v>
      </c>
      <c r="G1507" s="83" t="n">
        <f aca="false">IF(F1507&lt;(Inputs!$E$15-Inputs!$D$15)/(Inputs!$F$15-Inputs!$D$15),Inputs!$D$15+SQRT(F1507*(Inputs!$F$15-Inputs!$D$15)*(Inputs!$E$15-Inputs!$D$15)),Inputs!$F$15-SQRT((1-F1507)*(Inputs!$F$15-Inputs!$D$15)*(Inputs!$F$15-Inputs!$E$15)))</f>
        <v>0.678032402357544</v>
      </c>
      <c r="H1507" s="81" t="n">
        <f aca="true">RAND()</f>
        <v>0.330297569266335</v>
      </c>
      <c r="I1507" s="82" t="n">
        <f aca="false">ROUND(IF(H1507&lt;(Inputs!$E$17-Inputs!$D$17)/(Inputs!$F$17-Inputs!$D$17),Inputs!$D$17+SQRT(H1507*(Inputs!$F$17-Inputs!$D$17)*(Inputs!$E$17-Inputs!$D$17)),Inputs!$F$17-SQRT((1-H1507)*(Inputs!$F$17-Inputs!$D$17)*(Inputs!$F$17-Inputs!$E$17))),0)</f>
        <v>105</v>
      </c>
      <c r="J1507" s="81" t="n">
        <f aca="true">RAND()</f>
        <v>0.713873453769039</v>
      </c>
      <c r="K1507" s="83" t="n">
        <f aca="false">IF(J1507&lt;(Inputs!$E$18-Inputs!$D$18)/(Inputs!$F$18-Inputs!$D$18),Inputs!$D$18+SQRT(J1507*(Inputs!$F$18-Inputs!$D$18)*(Inputs!$E$18-Inputs!$D$18)),Inputs!$F$18-SQRT((1-J1507)*(Inputs!$F$18-Inputs!$D$18)*(Inputs!$F$18-Inputs!$E$18)))</f>
        <v>1.09177208591652</v>
      </c>
      <c r="L1507" s="81" t="n">
        <f aca="true">RAND()</f>
        <v>0.537620614859098</v>
      </c>
      <c r="M1507" s="83" t="n">
        <f aca="false">IF(L1507&lt;(Inputs!$E$24-Inputs!$D$24)/(Inputs!$F$24-Inputs!$D$24),Inputs!$D$24+SQRT(L1507*(Inputs!$F$24-Inputs!$D$24)*(Inputs!$E$24-Inputs!$D$24)),Inputs!$F$24-SQRT((1-L1507)*(Inputs!$F$24-Inputs!$D$24)*(Inputs!$F$24-Inputs!$E$24)))</f>
        <v>0.86687682092983</v>
      </c>
      <c r="N1507" s="81" t="n">
        <f aca="true">RAND()</f>
        <v>0.809370825037182</v>
      </c>
      <c r="O1507" s="83" t="n">
        <f aca="false">IF(N1507&lt;(Inputs!$E$26-Inputs!$D$26)/(Inputs!$F$26-Inputs!$D$26),Inputs!$D$26+SQRT(N1507*(Inputs!$F$26-Inputs!$D$26)*(Inputs!$E$26-Inputs!$D$26)),Inputs!$F$26-SQRT((1-N1507)*(Inputs!$F$26-Inputs!$D$26)*(Inputs!$F$26-Inputs!$E$26)))</f>
        <v>0.679197179729477</v>
      </c>
      <c r="P1507" s="81" t="n">
        <f aca="true">RAND()</f>
        <v>0.390094056266961</v>
      </c>
      <c r="Q1507" s="82" t="n">
        <f aca="false">IF(P1507&lt;(Inputs!$E$27-Inputs!$D$27)/(Inputs!$F$27-Inputs!$D$27),Inputs!$D$27+SQRT(P1507*(Inputs!$F$27-Inputs!$D$27)*(Inputs!$E$27-Inputs!$D$27)),Inputs!$F$27-SQRT((1-P1507)*(Inputs!$F$27-Inputs!$D$27)*(Inputs!$F$27-Inputs!$E$27)))</f>
        <v>82.3664685381741</v>
      </c>
      <c r="R1507" s="81" t="n">
        <f aca="true">RAND()</f>
        <v>0.03479792135766</v>
      </c>
      <c r="S1507" s="82" t="n">
        <f aca="false">IF(R1507&lt;(Inputs!$E$29-Inputs!$D$29)/(Inputs!$F$29-Inputs!$D$29),Inputs!$D$29+SQRT(R1507*(Inputs!$F$29-Inputs!$D$29)*(Inputs!$E$29-Inputs!$D$29)),Inputs!$F$29-SQRT((1-R1507)*(Inputs!$F$29-Inputs!$D$29)*(Inputs!$F$29-Inputs!$E$29)))</f>
        <v>3.16495447677098</v>
      </c>
      <c r="T1507" s="68" t="n">
        <f aca="false">Inputs!$E$9*(1+E1507)+Inputs!$E$5*C1507*(Inputs!$E$11*Inputs!$E$14*(G1507*I1507/Inputs!$E$16+(1-G1507))*K1507+Inputs!$E$23*M1507)*(1+O1507)+Inputs!$E$5*(Q1507+S1507)</f>
        <v>6008.50552492235</v>
      </c>
    </row>
    <row r="1508" customFormat="false" ht="15" hidden="false" customHeight="false" outlineLevel="0" collapsed="false">
      <c r="A1508" s="1" t="n">
        <v>1504</v>
      </c>
      <c r="B1508" s="81" t="n">
        <f aca="true">RAND()</f>
        <v>0.650010915040778</v>
      </c>
      <c r="C1508" s="82" t="n">
        <f aca="false">ROUND(IF(B1508&lt;(Inputs!$E$8-Inputs!$D$8)/(Inputs!$F$8-Inputs!$D$8),Inputs!$D$8+SQRT(B1508*(Inputs!$F$8-Inputs!$D$8)*(Inputs!$E$8-Inputs!$D$8)),Inputs!$F$8-SQRT((1-B1508)*(Inputs!$F$8-Inputs!$D$8)*(Inputs!$F$8-Inputs!$E$8))),0)</f>
        <v>26</v>
      </c>
      <c r="D1508" s="81" t="n">
        <f aca="true">RAND()</f>
        <v>0.137337574324789</v>
      </c>
      <c r="E1508" s="83" t="n">
        <f aca="false">IF(D1508&lt;(Inputs!$E$10-Inputs!$D$10)/(Inputs!$F$10-Inputs!$D$10),Inputs!$D$10+SQRT(D1508*(Inputs!$F$10-Inputs!$D$10)*(Inputs!$E$10-Inputs!$D$10)),Inputs!$F$10-SQRT((1-D1508)*(Inputs!$F$10-Inputs!$D$10)*(Inputs!$F$10-Inputs!$E$10)))</f>
        <v>0.0370590844901475</v>
      </c>
      <c r="F1508" s="81" t="n">
        <f aca="true">RAND()</f>
        <v>0.0758220076805794</v>
      </c>
      <c r="G1508" s="83" t="n">
        <f aca="false">IF(F1508&lt;(Inputs!$E$15-Inputs!$D$15)/(Inputs!$F$15-Inputs!$D$15),Inputs!$D$15+SQRT(F1508*(Inputs!$F$15-Inputs!$D$15)*(Inputs!$E$15-Inputs!$D$15)),Inputs!$F$15-SQRT((1-F1508)*(Inputs!$F$15-Inputs!$D$15)*(Inputs!$F$15-Inputs!$E$15)))</f>
        <v>0.638941496550744</v>
      </c>
      <c r="H1508" s="81" t="n">
        <f aca="true">RAND()</f>
        <v>0.0798401416956497</v>
      </c>
      <c r="I1508" s="82" t="n">
        <f aca="false">ROUND(IF(H1508&lt;(Inputs!$E$17-Inputs!$D$17)/(Inputs!$F$17-Inputs!$D$17),Inputs!$D$17+SQRT(H1508*(Inputs!$F$17-Inputs!$D$17)*(Inputs!$E$17-Inputs!$D$17)),Inputs!$F$17-SQRT((1-H1508)*(Inputs!$F$17-Inputs!$D$17)*(Inputs!$F$17-Inputs!$E$17))),0)</f>
        <v>102</v>
      </c>
      <c r="J1508" s="81" t="n">
        <f aca="true">RAND()</f>
        <v>0.387455078348926</v>
      </c>
      <c r="K1508" s="83" t="n">
        <f aca="false">IF(J1508&lt;(Inputs!$E$18-Inputs!$D$18)/(Inputs!$F$18-Inputs!$D$18),Inputs!$D$18+SQRT(J1508*(Inputs!$F$18-Inputs!$D$18)*(Inputs!$E$18-Inputs!$D$18)),Inputs!$F$18-SQRT((1-J1508)*(Inputs!$F$18-Inputs!$D$18)*(Inputs!$F$18-Inputs!$E$18)))</f>
        <v>1.01848827104341</v>
      </c>
      <c r="L1508" s="81" t="n">
        <f aca="true">RAND()</f>
        <v>0.712483084850958</v>
      </c>
      <c r="M1508" s="83" t="n">
        <f aca="false">IF(L1508&lt;(Inputs!$E$24-Inputs!$D$24)/(Inputs!$F$24-Inputs!$D$24),Inputs!$D$24+SQRT(L1508*(Inputs!$F$24-Inputs!$D$24)*(Inputs!$E$24-Inputs!$D$24)),Inputs!$F$24-SQRT((1-L1508)*(Inputs!$F$24-Inputs!$D$24)*(Inputs!$F$24-Inputs!$E$24)))</f>
        <v>0.937313761997759</v>
      </c>
      <c r="N1508" s="81" t="n">
        <f aca="true">RAND()</f>
        <v>0.249136611386532</v>
      </c>
      <c r="O1508" s="83" t="n">
        <f aca="false">IF(N1508&lt;(Inputs!$E$26-Inputs!$D$26)/(Inputs!$F$26-Inputs!$D$26),Inputs!$D$26+SQRT(N1508*(Inputs!$F$26-Inputs!$D$26)*(Inputs!$E$26-Inputs!$D$26)),Inputs!$F$26-SQRT((1-N1508)*(Inputs!$F$26-Inputs!$D$26)*(Inputs!$F$26-Inputs!$E$26)))</f>
        <v>0.503608281105457</v>
      </c>
      <c r="P1508" s="81" t="n">
        <f aca="true">RAND()</f>
        <v>0.690172413660547</v>
      </c>
      <c r="Q1508" s="82" t="n">
        <f aca="false">IF(P1508&lt;(Inputs!$E$27-Inputs!$D$27)/(Inputs!$F$27-Inputs!$D$27),Inputs!$D$27+SQRT(P1508*(Inputs!$F$27-Inputs!$D$27)*(Inputs!$E$27-Inputs!$D$27)),Inputs!$F$27-SQRT((1-P1508)*(Inputs!$F$27-Inputs!$D$27)*(Inputs!$F$27-Inputs!$E$27)))</f>
        <v>101.795156907776</v>
      </c>
      <c r="R1508" s="81" t="n">
        <f aca="true">RAND()</f>
        <v>0.274146923636633</v>
      </c>
      <c r="S1508" s="82" t="n">
        <f aca="false">IF(R1508&lt;(Inputs!$E$29-Inputs!$D$29)/(Inputs!$F$29-Inputs!$D$29),Inputs!$D$29+SQRT(R1508*(Inputs!$F$29-Inputs!$D$29)*(Inputs!$E$29-Inputs!$D$29)),Inputs!$F$29-SQRT((1-R1508)*(Inputs!$F$29-Inputs!$D$29)*(Inputs!$F$29-Inputs!$E$29)))</f>
        <v>5.28604612285822</v>
      </c>
      <c r="T1508" s="68" t="n">
        <f aca="false">Inputs!$E$9*(1+E1508)+Inputs!$E$5*C1508*(Inputs!$E$11*Inputs!$E$14*(G1508*I1508/Inputs!$E$16+(1-G1508))*K1508+Inputs!$E$23*M1508)*(1+O1508)+Inputs!$E$5*(Q1508+S1508)</f>
        <v>6310.68600895024</v>
      </c>
    </row>
    <row r="1509" customFormat="false" ht="15" hidden="false" customHeight="false" outlineLevel="0" collapsed="false">
      <c r="A1509" s="1" t="n">
        <v>1505</v>
      </c>
      <c r="B1509" s="81" t="n">
        <f aca="true">RAND()</f>
        <v>0.375584206959836</v>
      </c>
      <c r="C1509" s="82" t="n">
        <f aca="false">ROUND(IF(B1509&lt;(Inputs!$E$8-Inputs!$D$8)/(Inputs!$F$8-Inputs!$D$8),Inputs!$D$8+SQRT(B1509*(Inputs!$F$8-Inputs!$D$8)*(Inputs!$E$8-Inputs!$D$8)),Inputs!$F$8-SQRT((1-B1509)*(Inputs!$F$8-Inputs!$D$8)*(Inputs!$F$8-Inputs!$E$8))),0)</f>
        <v>24</v>
      </c>
      <c r="D1509" s="81" t="n">
        <f aca="true">RAND()</f>
        <v>0.12210420156389</v>
      </c>
      <c r="E1509" s="83" t="n">
        <f aca="false">IF(D1509&lt;(Inputs!$E$10-Inputs!$D$10)/(Inputs!$F$10-Inputs!$D$10),Inputs!$D$10+SQRT(D1509*(Inputs!$F$10-Inputs!$D$10)*(Inputs!$E$10-Inputs!$D$10)),Inputs!$F$10-SQRT((1-D1509)*(Inputs!$F$10-Inputs!$D$10)*(Inputs!$F$10-Inputs!$E$10)))</f>
        <v>0.0349434116199163</v>
      </c>
      <c r="F1509" s="81" t="n">
        <f aca="true">RAND()</f>
        <v>0.637145301635062</v>
      </c>
      <c r="G1509" s="83" t="n">
        <f aca="false">IF(F1509&lt;(Inputs!$E$15-Inputs!$D$15)/(Inputs!$F$15-Inputs!$D$15),Inputs!$D$15+SQRT(F1509*(Inputs!$F$15-Inputs!$D$15)*(Inputs!$E$15-Inputs!$D$15)),Inputs!$F$15-SQRT((1-F1509)*(Inputs!$F$15-Inputs!$D$15)*(Inputs!$F$15-Inputs!$E$15)))</f>
        <v>0.71481142114521</v>
      </c>
      <c r="H1509" s="81" t="n">
        <f aca="true">RAND()</f>
        <v>0.708518653334005</v>
      </c>
      <c r="I1509" s="82" t="n">
        <f aca="false">ROUND(IF(H1509&lt;(Inputs!$E$17-Inputs!$D$17)/(Inputs!$F$17-Inputs!$D$17),Inputs!$D$17+SQRT(H1509*(Inputs!$F$17-Inputs!$D$17)*(Inputs!$E$17-Inputs!$D$17)),Inputs!$F$17-SQRT((1-H1509)*(Inputs!$F$17-Inputs!$D$17)*(Inputs!$F$17-Inputs!$E$17))),0)</f>
        <v>108</v>
      </c>
      <c r="J1509" s="81" t="n">
        <f aca="true">RAND()</f>
        <v>0.549287851783337</v>
      </c>
      <c r="K1509" s="83" t="n">
        <f aca="false">IF(J1509&lt;(Inputs!$E$18-Inputs!$D$18)/(Inputs!$F$18-Inputs!$D$18),Inputs!$D$18+SQRT(J1509*(Inputs!$F$18-Inputs!$D$18)*(Inputs!$E$18-Inputs!$D$18)),Inputs!$F$18-SQRT((1-J1509)*(Inputs!$F$18-Inputs!$D$18)*(Inputs!$F$18-Inputs!$E$18)))</f>
        <v>1.05141169981855</v>
      </c>
      <c r="L1509" s="81" t="n">
        <f aca="true">RAND()</f>
        <v>0.694496933818659</v>
      </c>
      <c r="M1509" s="83" t="n">
        <f aca="false">IF(L1509&lt;(Inputs!$E$24-Inputs!$D$24)/(Inputs!$F$24-Inputs!$D$24),Inputs!$D$24+SQRT(L1509*(Inputs!$F$24-Inputs!$D$24)*(Inputs!$E$24-Inputs!$D$24)),Inputs!$F$24-SQRT((1-L1509)*(Inputs!$F$24-Inputs!$D$24)*(Inputs!$F$24-Inputs!$E$24)))</f>
        <v>0.929221980427654</v>
      </c>
      <c r="N1509" s="81" t="n">
        <f aca="true">RAND()</f>
        <v>0.503225451766821</v>
      </c>
      <c r="O1509" s="83" t="n">
        <f aca="false">IF(N1509&lt;(Inputs!$E$26-Inputs!$D$26)/(Inputs!$F$26-Inputs!$D$26),Inputs!$D$26+SQRT(N1509*(Inputs!$F$26-Inputs!$D$26)*(Inputs!$E$26-Inputs!$D$26)),Inputs!$F$26-SQRT((1-N1509)*(Inputs!$F$26-Inputs!$D$26)*(Inputs!$F$26-Inputs!$E$26)))</f>
        <v>0.589372968976024</v>
      </c>
      <c r="P1509" s="81" t="n">
        <f aca="true">RAND()</f>
        <v>0.393468334029374</v>
      </c>
      <c r="Q1509" s="82" t="n">
        <f aca="false">IF(P1509&lt;(Inputs!$E$27-Inputs!$D$27)/(Inputs!$F$27-Inputs!$D$27),Inputs!$D$27+SQRT(P1509*(Inputs!$F$27-Inputs!$D$27)*(Inputs!$E$27-Inputs!$D$27)),Inputs!$F$27-SQRT((1-P1509)*(Inputs!$F$27-Inputs!$D$27)*(Inputs!$F$27-Inputs!$E$27)))</f>
        <v>82.5538177894427</v>
      </c>
      <c r="R1509" s="81" t="n">
        <f aca="true">RAND()</f>
        <v>0.482144053732107</v>
      </c>
      <c r="S1509" s="82" t="n">
        <f aca="false">IF(R1509&lt;(Inputs!$E$29-Inputs!$D$29)/(Inputs!$F$29-Inputs!$D$29),Inputs!$D$29+SQRT(R1509*(Inputs!$F$29-Inputs!$D$29)*(Inputs!$E$29-Inputs!$D$29)),Inputs!$F$29-SQRT((1-R1509)*(Inputs!$F$29-Inputs!$D$29)*(Inputs!$F$29-Inputs!$E$29)))</f>
        <v>6.79504582494051</v>
      </c>
      <c r="T1509" s="68" t="n">
        <f aca="false">Inputs!$E$9*(1+E1509)+Inputs!$E$5*C1509*(Inputs!$E$11*Inputs!$E$14*(G1509*I1509/Inputs!$E$16+(1-G1509))*K1509+Inputs!$E$23*M1509)*(1+O1509)+Inputs!$E$5*(Q1509+S1509)</f>
        <v>6157.02916998439</v>
      </c>
    </row>
    <row r="1510" customFormat="false" ht="15" hidden="false" customHeight="false" outlineLevel="0" collapsed="false">
      <c r="A1510" s="1" t="n">
        <v>1506</v>
      </c>
      <c r="B1510" s="81" t="n">
        <f aca="true">RAND()</f>
        <v>0.906433062688256</v>
      </c>
      <c r="C1510" s="82" t="n">
        <f aca="false">ROUND(IF(B1510&lt;(Inputs!$E$8-Inputs!$D$8)/(Inputs!$F$8-Inputs!$D$8),Inputs!$D$8+SQRT(B1510*(Inputs!$F$8-Inputs!$D$8)*(Inputs!$E$8-Inputs!$D$8)),Inputs!$F$8-SQRT((1-B1510)*(Inputs!$F$8-Inputs!$D$8)*(Inputs!$F$8-Inputs!$E$8))),0)</f>
        <v>28</v>
      </c>
      <c r="D1510" s="81" t="n">
        <f aca="true">RAND()</f>
        <v>0.166511864253582</v>
      </c>
      <c r="E1510" s="83" t="n">
        <f aca="false">IF(D1510&lt;(Inputs!$E$10-Inputs!$D$10)/(Inputs!$F$10-Inputs!$D$10),Inputs!$D$10+SQRT(D1510*(Inputs!$F$10-Inputs!$D$10)*(Inputs!$E$10-Inputs!$D$10)),Inputs!$F$10-SQRT((1-D1510)*(Inputs!$F$10-Inputs!$D$10)*(Inputs!$F$10-Inputs!$E$10)))</f>
        <v>0.0408058652957613</v>
      </c>
      <c r="F1510" s="81" t="n">
        <f aca="true">RAND()</f>
        <v>0.12231330775374</v>
      </c>
      <c r="G1510" s="83" t="n">
        <f aca="false">IF(F1510&lt;(Inputs!$E$15-Inputs!$D$15)/(Inputs!$F$15-Inputs!$D$15),Inputs!$D$15+SQRT(F1510*(Inputs!$F$15-Inputs!$D$15)*(Inputs!$E$15-Inputs!$D$15)),Inputs!$F$15-SQRT((1-F1510)*(Inputs!$F$15-Inputs!$D$15)*(Inputs!$F$15-Inputs!$E$15)))</f>
        <v>0.649459742772024</v>
      </c>
      <c r="H1510" s="81" t="n">
        <f aca="true">RAND()</f>
        <v>0.752458692426213</v>
      </c>
      <c r="I1510" s="82" t="n">
        <f aca="false">ROUND(IF(H1510&lt;(Inputs!$E$17-Inputs!$D$17)/(Inputs!$F$17-Inputs!$D$17),Inputs!$D$17+SQRT(H1510*(Inputs!$F$17-Inputs!$D$17)*(Inputs!$E$17-Inputs!$D$17)),Inputs!$F$17-SQRT((1-H1510)*(Inputs!$F$17-Inputs!$D$17)*(Inputs!$F$17-Inputs!$E$17))),0)</f>
        <v>109</v>
      </c>
      <c r="J1510" s="81" t="n">
        <f aca="true">RAND()</f>
        <v>0.32592789193325</v>
      </c>
      <c r="K1510" s="83" t="n">
        <f aca="false">IF(J1510&lt;(Inputs!$E$18-Inputs!$D$18)/(Inputs!$F$18-Inputs!$D$18),Inputs!$D$18+SQRT(J1510*(Inputs!$F$18-Inputs!$D$18)*(Inputs!$E$18-Inputs!$D$18)),Inputs!$F$18-SQRT((1-J1510)*(Inputs!$F$18-Inputs!$D$18)*(Inputs!$F$18-Inputs!$E$18)))</f>
        <v>1.00713932089397</v>
      </c>
      <c r="L1510" s="81" t="n">
        <f aca="true">RAND()</f>
        <v>0.425099833289002</v>
      </c>
      <c r="M1510" s="83" t="n">
        <f aca="false">IF(L1510&lt;(Inputs!$E$24-Inputs!$D$24)/(Inputs!$F$24-Inputs!$D$24),Inputs!$D$24+SQRT(L1510*(Inputs!$F$24-Inputs!$D$24)*(Inputs!$E$24-Inputs!$D$24)),Inputs!$F$24-SQRT((1-L1510)*(Inputs!$F$24-Inputs!$D$24)*(Inputs!$F$24-Inputs!$E$24)))</f>
        <v>0.828548738041396</v>
      </c>
      <c r="N1510" s="81" t="n">
        <f aca="true">RAND()</f>
        <v>0.391451450131501</v>
      </c>
      <c r="O1510" s="83" t="n">
        <f aca="false">IF(N1510&lt;(Inputs!$E$26-Inputs!$D$26)/(Inputs!$F$26-Inputs!$D$26),Inputs!$D$26+SQRT(N1510*(Inputs!$F$26-Inputs!$D$26)*(Inputs!$E$26-Inputs!$D$26)),Inputs!$F$26-SQRT((1-N1510)*(Inputs!$F$26-Inputs!$D$26)*(Inputs!$F$26-Inputs!$E$26)))</f>
        <v>0.55522053463991</v>
      </c>
      <c r="P1510" s="81" t="n">
        <f aca="true">RAND()</f>
        <v>0.615332034004842</v>
      </c>
      <c r="Q1510" s="82" t="n">
        <f aca="false">IF(P1510&lt;(Inputs!$E$27-Inputs!$D$27)/(Inputs!$F$27-Inputs!$D$27),Inputs!$D$27+SQRT(P1510*(Inputs!$F$27-Inputs!$D$27)*(Inputs!$E$27-Inputs!$D$27)),Inputs!$F$27-SQRT((1-P1510)*(Inputs!$F$27-Inputs!$D$27)*(Inputs!$F$27-Inputs!$E$27)))</f>
        <v>96.2877132774661</v>
      </c>
      <c r="R1510" s="81" t="n">
        <f aca="true">RAND()</f>
        <v>0.303782475286366</v>
      </c>
      <c r="S1510" s="82" t="n">
        <f aca="false">IF(R1510&lt;(Inputs!$E$29-Inputs!$D$29)/(Inputs!$F$29-Inputs!$D$29),Inputs!$D$29+SQRT(R1510*(Inputs!$F$29-Inputs!$D$29)*(Inputs!$E$29-Inputs!$D$29)),Inputs!$F$29-SQRT((1-R1510)*(Inputs!$F$29-Inputs!$D$29)*(Inputs!$F$29-Inputs!$E$29)))</f>
        <v>5.48641612152537</v>
      </c>
      <c r="T1510" s="68" t="n">
        <f aca="false">Inputs!$E$9*(1+E1510)+Inputs!$E$5*C1510*(Inputs!$E$11*Inputs!$E$14*(G1510*I1510/Inputs!$E$16+(1-G1510))*K1510+Inputs!$E$23*M1510)*(1+O1510)+Inputs!$E$5*(Q1510+S1510)</f>
        <v>6561.34931835066</v>
      </c>
    </row>
    <row r="1511" customFormat="false" ht="15" hidden="false" customHeight="false" outlineLevel="0" collapsed="false">
      <c r="A1511" s="1" t="n">
        <v>1507</v>
      </c>
      <c r="B1511" s="81" t="n">
        <f aca="true">RAND()</f>
        <v>0.660342930817523</v>
      </c>
      <c r="C1511" s="82" t="n">
        <f aca="false">ROUND(IF(B1511&lt;(Inputs!$E$8-Inputs!$D$8)/(Inputs!$F$8-Inputs!$D$8),Inputs!$D$8+SQRT(B1511*(Inputs!$F$8-Inputs!$D$8)*(Inputs!$E$8-Inputs!$D$8)),Inputs!$F$8-SQRT((1-B1511)*(Inputs!$F$8-Inputs!$D$8)*(Inputs!$F$8-Inputs!$E$8))),0)</f>
        <v>26</v>
      </c>
      <c r="D1511" s="81" t="n">
        <f aca="true">RAND()</f>
        <v>0.212734801311307</v>
      </c>
      <c r="E1511" s="83" t="n">
        <f aca="false">IF(D1511&lt;(Inputs!$E$10-Inputs!$D$10)/(Inputs!$F$10-Inputs!$D$10),Inputs!$D$10+SQRT(D1511*(Inputs!$F$10-Inputs!$D$10)*(Inputs!$E$10-Inputs!$D$10)),Inputs!$F$10-SQRT((1-D1511)*(Inputs!$F$10-Inputs!$D$10)*(Inputs!$F$10-Inputs!$E$10)))</f>
        <v>0.0461231830331892</v>
      </c>
      <c r="F1511" s="81" t="n">
        <f aca="true">RAND()</f>
        <v>0.775444284501359</v>
      </c>
      <c r="G1511" s="83" t="n">
        <f aca="false">IF(F1511&lt;(Inputs!$E$15-Inputs!$D$15)/(Inputs!$F$15-Inputs!$D$15),Inputs!$D$15+SQRT(F1511*(Inputs!$F$15-Inputs!$D$15)*(Inputs!$E$15-Inputs!$D$15)),Inputs!$F$15-SQRT((1-F1511)*(Inputs!$F$15-Inputs!$D$15)*(Inputs!$F$15-Inputs!$E$15)))</f>
        <v>0.732984223424832</v>
      </c>
      <c r="H1511" s="81" t="n">
        <f aca="true">RAND()</f>
        <v>0.869442435852151</v>
      </c>
      <c r="I1511" s="82" t="n">
        <f aca="false">ROUND(IF(H1511&lt;(Inputs!$E$17-Inputs!$D$17)/(Inputs!$F$17-Inputs!$D$17),Inputs!$D$17+SQRT(H1511*(Inputs!$F$17-Inputs!$D$17)*(Inputs!$E$17-Inputs!$D$17)),Inputs!$F$17-SQRT((1-H1511)*(Inputs!$F$17-Inputs!$D$17)*(Inputs!$F$17-Inputs!$E$17))),0)</f>
        <v>111</v>
      </c>
      <c r="J1511" s="81" t="n">
        <f aca="true">RAND()</f>
        <v>0.196597922311046</v>
      </c>
      <c r="K1511" s="83" t="n">
        <f aca="false">IF(J1511&lt;(Inputs!$E$18-Inputs!$D$18)/(Inputs!$F$18-Inputs!$D$18),Inputs!$D$18+SQRT(J1511*(Inputs!$F$18-Inputs!$D$18)*(Inputs!$E$18-Inputs!$D$18)),Inputs!$F$18-SQRT((1-J1511)*(Inputs!$F$18-Inputs!$D$18)*(Inputs!$F$18-Inputs!$E$18)))</f>
        <v>0.982951354906877</v>
      </c>
      <c r="L1511" s="81" t="n">
        <f aca="true">RAND()</f>
        <v>0.0912682948978037</v>
      </c>
      <c r="M1511" s="83" t="n">
        <f aca="false">IF(L1511&lt;(Inputs!$E$24-Inputs!$D$24)/(Inputs!$F$24-Inputs!$D$24),Inputs!$D$24+SQRT(L1511*(Inputs!$F$24-Inputs!$D$24)*(Inputs!$E$24-Inputs!$D$24)),Inputs!$F$24-SQRT((1-L1511)*(Inputs!$F$24-Inputs!$D$24)*(Inputs!$F$24-Inputs!$E$24)))</f>
        <v>0.704652737124915</v>
      </c>
      <c r="N1511" s="81" t="n">
        <f aca="true">RAND()</f>
        <v>0.504371494371982</v>
      </c>
      <c r="O1511" s="83" t="n">
        <f aca="false">IF(N1511&lt;(Inputs!$E$26-Inputs!$D$26)/(Inputs!$F$26-Inputs!$D$26),Inputs!$D$26+SQRT(N1511*(Inputs!$F$26-Inputs!$D$26)*(Inputs!$E$26-Inputs!$D$26)),Inputs!$F$26-SQRT((1-N1511)*(Inputs!$F$26-Inputs!$D$26)*(Inputs!$F$26-Inputs!$E$26)))</f>
        <v>0.589702289710485</v>
      </c>
      <c r="P1511" s="81" t="n">
        <f aca="true">RAND()</f>
        <v>0.273380252247592</v>
      </c>
      <c r="Q1511" s="82" t="n">
        <f aca="false">IF(P1511&lt;(Inputs!$E$27-Inputs!$D$27)/(Inputs!$F$27-Inputs!$D$27),Inputs!$D$27+SQRT(P1511*(Inputs!$F$27-Inputs!$D$27)*(Inputs!$E$27-Inputs!$D$27)),Inputs!$F$27-SQRT((1-P1511)*(Inputs!$F$27-Inputs!$D$27)*(Inputs!$F$27-Inputs!$E$27)))</f>
        <v>76.1782680496925</v>
      </c>
      <c r="R1511" s="81" t="n">
        <f aca="true">RAND()</f>
        <v>0.980763355703019</v>
      </c>
      <c r="S1511" s="82" t="n">
        <f aca="false">IF(R1511&lt;(Inputs!$E$29-Inputs!$D$29)/(Inputs!$F$29-Inputs!$D$29),Inputs!$D$29+SQRT(R1511*(Inputs!$F$29-Inputs!$D$29)*(Inputs!$E$29-Inputs!$D$29)),Inputs!$F$29-SQRT((1-R1511)*(Inputs!$F$29-Inputs!$D$29)*(Inputs!$F$29-Inputs!$E$29)))</f>
        <v>13.4186196666812</v>
      </c>
      <c r="T1511" s="68" t="n">
        <f aca="false">Inputs!$E$9*(1+E1511)+Inputs!$E$5*C1511*(Inputs!$E$11*Inputs!$E$14*(G1511*I1511/Inputs!$E$16+(1-G1511))*K1511+Inputs!$E$23*M1511)*(1+O1511)+Inputs!$E$5*(Q1511+S1511)</f>
        <v>5999.2788393107</v>
      </c>
    </row>
    <row r="1512" customFormat="false" ht="15" hidden="false" customHeight="false" outlineLevel="0" collapsed="false">
      <c r="A1512" s="1" t="n">
        <v>1508</v>
      </c>
      <c r="B1512" s="81" t="n">
        <f aca="true">RAND()</f>
        <v>0.00730023636114624</v>
      </c>
      <c r="C1512" s="82" t="n">
        <f aca="false">ROUND(IF(B1512&lt;(Inputs!$E$8-Inputs!$D$8)/(Inputs!$F$8-Inputs!$D$8),Inputs!$D$8+SQRT(B1512*(Inputs!$F$8-Inputs!$D$8)*(Inputs!$E$8-Inputs!$D$8)),Inputs!$F$8-SQRT((1-B1512)*(Inputs!$F$8-Inputs!$D$8)*(Inputs!$F$8-Inputs!$E$8))),0)</f>
        <v>21</v>
      </c>
      <c r="D1512" s="81" t="n">
        <f aca="true">RAND()</f>
        <v>0.630167609824299</v>
      </c>
      <c r="E1512" s="83" t="n">
        <f aca="false">IF(D1512&lt;(Inputs!$E$10-Inputs!$D$10)/(Inputs!$F$10-Inputs!$D$10),Inputs!$D$10+SQRT(D1512*(Inputs!$F$10-Inputs!$D$10)*(Inputs!$E$10-Inputs!$D$10)),Inputs!$F$10-SQRT((1-D1512)*(Inputs!$F$10-Inputs!$D$10)*(Inputs!$F$10-Inputs!$E$10)))</f>
        <v>0.094667328405328</v>
      </c>
      <c r="F1512" s="81" t="n">
        <f aca="true">RAND()</f>
        <v>0.723789425504275</v>
      </c>
      <c r="G1512" s="83" t="n">
        <f aca="false">IF(F1512&lt;(Inputs!$E$15-Inputs!$D$15)/(Inputs!$F$15-Inputs!$D$15),Inputs!$D$15+SQRT(F1512*(Inputs!$F$15-Inputs!$D$15)*(Inputs!$E$15-Inputs!$D$15)),Inputs!$F$15-SQRT((1-F1512)*(Inputs!$F$15-Inputs!$D$15)*(Inputs!$F$15-Inputs!$E$15)))</f>
        <v>0.72567496054549</v>
      </c>
      <c r="H1512" s="81" t="n">
        <f aca="true">RAND()</f>
        <v>0.721564698277913</v>
      </c>
      <c r="I1512" s="82" t="n">
        <f aca="false">ROUND(IF(H1512&lt;(Inputs!$E$17-Inputs!$D$17)/(Inputs!$F$17-Inputs!$D$17),Inputs!$D$17+SQRT(H1512*(Inputs!$F$17-Inputs!$D$17)*(Inputs!$E$17-Inputs!$D$17)),Inputs!$F$17-SQRT((1-H1512)*(Inputs!$F$17-Inputs!$D$17)*(Inputs!$F$17-Inputs!$E$17))),0)</f>
        <v>109</v>
      </c>
      <c r="J1512" s="81" t="n">
        <f aca="true">RAND()</f>
        <v>0.622982939415834</v>
      </c>
      <c r="K1512" s="83" t="n">
        <f aca="false">IF(J1512&lt;(Inputs!$E$18-Inputs!$D$18)/(Inputs!$F$18-Inputs!$D$18),Inputs!$D$18+SQRT(J1512*(Inputs!$F$18-Inputs!$D$18)*(Inputs!$E$18-Inputs!$D$18)),Inputs!$F$18-SQRT((1-J1512)*(Inputs!$F$18-Inputs!$D$18)*(Inputs!$F$18-Inputs!$E$18)))</f>
        <v>1.06837127759874</v>
      </c>
      <c r="L1512" s="81" t="n">
        <f aca="true">RAND()</f>
        <v>0.762771704630303</v>
      </c>
      <c r="M1512" s="83" t="n">
        <f aca="false">IF(L1512&lt;(Inputs!$E$24-Inputs!$D$24)/(Inputs!$F$24-Inputs!$D$24),Inputs!$D$24+SQRT(L1512*(Inputs!$F$24-Inputs!$D$24)*(Inputs!$E$24-Inputs!$D$24)),Inputs!$F$24-SQRT((1-L1512)*(Inputs!$F$24-Inputs!$D$24)*(Inputs!$F$24-Inputs!$E$24)))</f>
        <v>0.961389876810041</v>
      </c>
      <c r="N1512" s="81" t="n">
        <f aca="true">RAND()</f>
        <v>0.00918922602068125</v>
      </c>
      <c r="O1512" s="83" t="n">
        <f aca="false">IF(N1512&lt;(Inputs!$E$26-Inputs!$D$26)/(Inputs!$F$26-Inputs!$D$26),Inputs!$D$26+SQRT(N1512*(Inputs!$F$26-Inputs!$D$26)*(Inputs!$E$26-Inputs!$D$26)),Inputs!$F$26-SQRT((1-N1512)*(Inputs!$F$26-Inputs!$D$26)*(Inputs!$F$26-Inputs!$E$26)))</f>
        <v>0.339103544722203</v>
      </c>
      <c r="P1512" s="81" t="n">
        <f aca="true">RAND()</f>
        <v>0.976641839224078</v>
      </c>
      <c r="Q1512" s="82" t="n">
        <f aca="false">IF(P1512&lt;(Inputs!$E$27-Inputs!$D$27)/(Inputs!$F$27-Inputs!$D$27),Inputs!$D$27+SQRT(P1512*(Inputs!$F$27-Inputs!$D$27)*(Inputs!$E$27-Inputs!$D$27)),Inputs!$F$27-SQRT((1-P1512)*(Inputs!$F$27-Inputs!$D$27)*(Inputs!$F$27-Inputs!$E$27)))</f>
        <v>136.764207397386</v>
      </c>
      <c r="R1512" s="81" t="n">
        <f aca="true">RAND()</f>
        <v>0.167301970307482</v>
      </c>
      <c r="S1512" s="82" t="n">
        <f aca="false">IF(R1512&lt;(Inputs!$E$29-Inputs!$D$29)/(Inputs!$F$29-Inputs!$D$29),Inputs!$D$29+SQRT(R1512*(Inputs!$F$29-Inputs!$D$29)*(Inputs!$E$29-Inputs!$D$29)),Inputs!$F$29-SQRT((1-R1512)*(Inputs!$F$29-Inputs!$D$29)*(Inputs!$F$29-Inputs!$E$29)))</f>
        <v>4.55436427355062</v>
      </c>
      <c r="T1512" s="68" t="n">
        <f aca="false">Inputs!$E$9*(1+E1512)+Inputs!$E$5*C1512*(Inputs!$E$11*Inputs!$E$14*(G1512*I1512/Inputs!$E$16+(1-G1512))*K1512+Inputs!$E$23*M1512)*(1+O1512)+Inputs!$E$5*(Q1512+S1512)</f>
        <v>5702.7007322214</v>
      </c>
    </row>
    <row r="1513" customFormat="false" ht="15" hidden="false" customHeight="false" outlineLevel="0" collapsed="false">
      <c r="A1513" s="1" t="n">
        <v>1509</v>
      </c>
      <c r="B1513" s="81" t="n">
        <f aca="true">RAND()</f>
        <v>0.889545793662946</v>
      </c>
      <c r="C1513" s="82" t="n">
        <f aca="false">ROUND(IF(B1513&lt;(Inputs!$E$8-Inputs!$D$8)/(Inputs!$F$8-Inputs!$D$8),Inputs!$D$8+SQRT(B1513*(Inputs!$F$8-Inputs!$D$8)*(Inputs!$E$8-Inputs!$D$8)),Inputs!$F$8-SQRT((1-B1513)*(Inputs!$F$8-Inputs!$D$8)*(Inputs!$F$8-Inputs!$E$8))),0)</f>
        <v>28</v>
      </c>
      <c r="D1513" s="81" t="n">
        <f aca="true">RAND()</f>
        <v>0.17317990822189</v>
      </c>
      <c r="E1513" s="83" t="n">
        <f aca="false">IF(D1513&lt;(Inputs!$E$10-Inputs!$D$10)/(Inputs!$F$10-Inputs!$D$10),Inputs!$D$10+SQRT(D1513*(Inputs!$F$10-Inputs!$D$10)*(Inputs!$E$10-Inputs!$D$10)),Inputs!$F$10-SQRT((1-D1513)*(Inputs!$F$10-Inputs!$D$10)*(Inputs!$F$10-Inputs!$E$10)))</f>
        <v>0.0416148901502684</v>
      </c>
      <c r="F1513" s="81" t="n">
        <f aca="true">RAND()</f>
        <v>0.813182301094149</v>
      </c>
      <c r="G1513" s="83" t="n">
        <f aca="false">IF(F1513&lt;(Inputs!$E$15-Inputs!$D$15)/(Inputs!$F$15-Inputs!$D$15),Inputs!$D$15+SQRT(F1513*(Inputs!$F$15-Inputs!$D$15)*(Inputs!$E$15-Inputs!$D$15)),Inputs!$F$15-SQRT((1-F1513)*(Inputs!$F$15-Inputs!$D$15)*(Inputs!$F$15-Inputs!$E$15)))</f>
        <v>0.738874277279389</v>
      </c>
      <c r="H1513" s="81" t="n">
        <f aca="true">RAND()</f>
        <v>0.272180583695939</v>
      </c>
      <c r="I1513" s="82" t="n">
        <f aca="false">ROUND(IF(H1513&lt;(Inputs!$E$17-Inputs!$D$17)/(Inputs!$F$17-Inputs!$D$17),Inputs!$D$17+SQRT(H1513*(Inputs!$F$17-Inputs!$D$17)*(Inputs!$E$17-Inputs!$D$17)),Inputs!$F$17-SQRT((1-H1513)*(Inputs!$F$17-Inputs!$D$17)*(Inputs!$F$17-Inputs!$E$17))),0)</f>
        <v>105</v>
      </c>
      <c r="J1513" s="81" t="n">
        <f aca="true">RAND()</f>
        <v>0.0547737479567458</v>
      </c>
      <c r="K1513" s="83" t="n">
        <f aca="false">IF(J1513&lt;(Inputs!$E$18-Inputs!$D$18)/(Inputs!$F$18-Inputs!$D$18),Inputs!$D$18+SQRT(J1513*(Inputs!$F$18-Inputs!$D$18)*(Inputs!$E$18-Inputs!$D$18)),Inputs!$F$18-SQRT((1-J1513)*(Inputs!$F$18-Inputs!$D$18)*(Inputs!$F$18-Inputs!$E$18)))</f>
        <v>0.943784485591201</v>
      </c>
      <c r="L1513" s="81" t="n">
        <f aca="true">RAND()</f>
        <v>0.952501081822352</v>
      </c>
      <c r="M1513" s="83" t="n">
        <f aca="false">IF(L1513&lt;(Inputs!$E$24-Inputs!$D$24)/(Inputs!$F$24-Inputs!$D$24),Inputs!$D$24+SQRT(L1513*(Inputs!$F$24-Inputs!$D$24)*(Inputs!$E$24-Inputs!$D$24)),Inputs!$F$24-SQRT((1-L1513)*(Inputs!$F$24-Inputs!$D$24)*(Inputs!$F$24-Inputs!$E$24)))</f>
        <v>1.09323043334997</v>
      </c>
      <c r="N1513" s="81" t="n">
        <f aca="true">RAND()</f>
        <v>0.227630652252343</v>
      </c>
      <c r="O1513" s="83" t="n">
        <f aca="false">IF(N1513&lt;(Inputs!$E$26-Inputs!$D$26)/(Inputs!$F$26-Inputs!$D$26),Inputs!$D$26+SQRT(N1513*(Inputs!$F$26-Inputs!$D$26)*(Inputs!$E$26-Inputs!$D$26)),Inputs!$F$26-SQRT((1-N1513)*(Inputs!$F$26-Inputs!$D$26)*(Inputs!$F$26-Inputs!$E$26)))</f>
        <v>0.494622045346332</v>
      </c>
      <c r="P1513" s="81" t="n">
        <f aca="true">RAND()</f>
        <v>0.581733685112088</v>
      </c>
      <c r="Q1513" s="82" t="n">
        <f aca="false">IF(P1513&lt;(Inputs!$E$27-Inputs!$D$27)/(Inputs!$F$27-Inputs!$D$27),Inputs!$D$27+SQRT(P1513*(Inputs!$F$27-Inputs!$D$27)*(Inputs!$E$27-Inputs!$D$27)),Inputs!$F$27-SQRT((1-P1513)*(Inputs!$F$27-Inputs!$D$27)*(Inputs!$F$27-Inputs!$E$27)))</f>
        <v>93.9910956931013</v>
      </c>
      <c r="R1513" s="81" t="n">
        <f aca="true">RAND()</f>
        <v>0.234545155140558</v>
      </c>
      <c r="S1513" s="82" t="n">
        <f aca="false">IF(R1513&lt;(Inputs!$E$29-Inputs!$D$29)/(Inputs!$F$29-Inputs!$D$29),Inputs!$D$29+SQRT(R1513*(Inputs!$F$29-Inputs!$D$29)*(Inputs!$E$29-Inputs!$D$29)),Inputs!$F$29-SQRT((1-R1513)*(Inputs!$F$29-Inputs!$D$29)*(Inputs!$F$29-Inputs!$E$29)))</f>
        <v>5.02457370175452</v>
      </c>
      <c r="T1513" s="68" t="n">
        <f aca="false">Inputs!$E$9*(1+E1513)+Inputs!$E$5*C1513*(Inputs!$E$11*Inputs!$E$14*(G1513*I1513/Inputs!$E$16+(1-G1513))*K1513+Inputs!$E$23*M1513)*(1+O1513)+Inputs!$E$5*(Q1513+S1513)</f>
        <v>6487.59420222954</v>
      </c>
    </row>
    <row r="1514" customFormat="false" ht="15" hidden="false" customHeight="false" outlineLevel="0" collapsed="false">
      <c r="A1514" s="1" t="n">
        <v>1510</v>
      </c>
      <c r="B1514" s="81" t="n">
        <f aca="true">RAND()</f>
        <v>0.114111812865636</v>
      </c>
      <c r="C1514" s="82" t="n">
        <f aca="false">ROUND(IF(B1514&lt;(Inputs!$E$8-Inputs!$D$8)/(Inputs!$F$8-Inputs!$D$8),Inputs!$D$8+SQRT(B1514*(Inputs!$F$8-Inputs!$D$8)*(Inputs!$E$8-Inputs!$D$8)),Inputs!$F$8-SQRT((1-B1514)*(Inputs!$F$8-Inputs!$D$8)*(Inputs!$F$8-Inputs!$E$8))),0)</f>
        <v>22</v>
      </c>
      <c r="D1514" s="81" t="n">
        <f aca="true">RAND()</f>
        <v>0.355981357298262</v>
      </c>
      <c r="E1514" s="83" t="n">
        <f aca="false">IF(D1514&lt;(Inputs!$E$10-Inputs!$D$10)/(Inputs!$F$10-Inputs!$D$10),Inputs!$D$10+SQRT(D1514*(Inputs!$F$10-Inputs!$D$10)*(Inputs!$E$10-Inputs!$D$10)),Inputs!$F$10-SQRT((1-D1514)*(Inputs!$F$10-Inputs!$D$10)*(Inputs!$F$10-Inputs!$E$10)))</f>
        <v>0.0610015853289968</v>
      </c>
      <c r="F1514" s="81" t="n">
        <f aca="true">RAND()</f>
        <v>0.0545103052715281</v>
      </c>
      <c r="G1514" s="83" t="n">
        <f aca="false">IF(F1514&lt;(Inputs!$E$15-Inputs!$D$15)/(Inputs!$F$15-Inputs!$D$15),Inputs!$D$15+SQRT(F1514*(Inputs!$F$15-Inputs!$D$15)*(Inputs!$E$15-Inputs!$D$15)),Inputs!$F$15-SQRT((1-F1514)*(Inputs!$F$15-Inputs!$D$15)*(Inputs!$F$15-Inputs!$E$15)))</f>
        <v>0.633018269267643</v>
      </c>
      <c r="H1514" s="81" t="n">
        <f aca="true">RAND()</f>
        <v>0.525952580457445</v>
      </c>
      <c r="I1514" s="82" t="n">
        <f aca="false">ROUND(IF(H1514&lt;(Inputs!$E$17-Inputs!$D$17)/(Inputs!$F$17-Inputs!$D$17),Inputs!$D$17+SQRT(H1514*(Inputs!$F$17-Inputs!$D$17)*(Inputs!$E$17-Inputs!$D$17)),Inputs!$F$17-SQRT((1-H1514)*(Inputs!$F$17-Inputs!$D$17)*(Inputs!$F$17-Inputs!$E$17))),0)</f>
        <v>107</v>
      </c>
      <c r="J1514" s="81" t="n">
        <f aca="true">RAND()</f>
        <v>0.994534903524457</v>
      </c>
      <c r="K1514" s="83" t="n">
        <f aca="false">IF(J1514&lt;(Inputs!$E$18-Inputs!$D$18)/(Inputs!$F$18-Inputs!$D$18),Inputs!$D$18+SQRT(J1514*(Inputs!$F$18-Inputs!$D$18)*(Inputs!$E$18-Inputs!$D$18)),Inputs!$F$18-SQRT((1-J1514)*(Inputs!$F$18-Inputs!$D$18)*(Inputs!$F$18-Inputs!$E$18)))</f>
        <v>1.22813230826973</v>
      </c>
      <c r="L1514" s="81" t="n">
        <f aca="true">RAND()</f>
        <v>0.875019899521664</v>
      </c>
      <c r="M1514" s="83" t="n">
        <f aca="false">IF(L1514&lt;(Inputs!$E$24-Inputs!$D$24)/(Inputs!$F$24-Inputs!$D$24),Inputs!$D$24+SQRT(L1514*(Inputs!$F$24-Inputs!$D$24)*(Inputs!$E$24-Inputs!$D$24)),Inputs!$F$24-SQRT((1-L1514)*(Inputs!$F$24-Inputs!$D$24)*(Inputs!$F$24-Inputs!$E$24)))</f>
        <v>1.02680870658488</v>
      </c>
      <c r="N1514" s="81" t="n">
        <f aca="true">RAND()</f>
        <v>0.0413012043352434</v>
      </c>
      <c r="O1514" s="83" t="n">
        <f aca="false">IF(N1514&lt;(Inputs!$E$26-Inputs!$D$26)/(Inputs!$F$26-Inputs!$D$26),Inputs!$D$26+SQRT(N1514*(Inputs!$F$26-Inputs!$D$26)*(Inputs!$E$26-Inputs!$D$26)),Inputs!$F$26-SQRT((1-N1514)*(Inputs!$F$26-Inputs!$D$26)*(Inputs!$F$26-Inputs!$E$26)))</f>
        <v>0.382900665868161</v>
      </c>
      <c r="P1514" s="81" t="n">
        <f aca="true">RAND()</f>
        <v>0.94333821698228</v>
      </c>
      <c r="Q1514" s="82" t="n">
        <f aca="false">IF(P1514&lt;(Inputs!$E$27-Inputs!$D$27)/(Inputs!$F$27-Inputs!$D$27),Inputs!$D$27+SQRT(P1514*(Inputs!$F$27-Inputs!$D$27)*(Inputs!$E$27-Inputs!$D$27)),Inputs!$F$27-SQRT((1-P1514)*(Inputs!$F$27-Inputs!$D$27)*(Inputs!$F$27-Inputs!$E$27)))</f>
        <v>129.38536023519</v>
      </c>
      <c r="R1514" s="81" t="n">
        <f aca="true">RAND()</f>
        <v>0.564675621530454</v>
      </c>
      <c r="S1514" s="82" t="n">
        <f aca="false">IF(R1514&lt;(Inputs!$E$29-Inputs!$D$29)/(Inputs!$F$29-Inputs!$D$29),Inputs!$D$29+SQRT(R1514*(Inputs!$F$29-Inputs!$D$29)*(Inputs!$E$29-Inputs!$D$29)),Inputs!$F$29-SQRT((1-R1514)*(Inputs!$F$29-Inputs!$D$29)*(Inputs!$F$29-Inputs!$E$29)))</f>
        <v>7.47722330511925</v>
      </c>
      <c r="T1514" s="68" t="n">
        <f aca="false">Inputs!$E$9*(1+E1514)+Inputs!$E$5*C1514*(Inputs!$E$11*Inputs!$E$14*(G1514*I1514/Inputs!$E$16+(1-G1514))*K1514+Inputs!$E$23*M1514)*(1+O1514)+Inputs!$E$5*(Q1514+S1514)</f>
        <v>6241.78262720871</v>
      </c>
    </row>
    <row r="1515" customFormat="false" ht="15" hidden="false" customHeight="false" outlineLevel="0" collapsed="false">
      <c r="A1515" s="1" t="n">
        <v>1511</v>
      </c>
      <c r="B1515" s="81" t="n">
        <f aca="true">RAND()</f>
        <v>0.587070404445952</v>
      </c>
      <c r="C1515" s="82" t="n">
        <f aca="false">ROUND(IF(B1515&lt;(Inputs!$E$8-Inputs!$D$8)/(Inputs!$F$8-Inputs!$D$8),Inputs!$D$8+SQRT(B1515*(Inputs!$F$8-Inputs!$D$8)*(Inputs!$E$8-Inputs!$D$8)),Inputs!$F$8-SQRT((1-B1515)*(Inputs!$F$8-Inputs!$D$8)*(Inputs!$F$8-Inputs!$E$8))),0)</f>
        <v>25</v>
      </c>
      <c r="D1515" s="81" t="n">
        <f aca="true">RAND()</f>
        <v>0.860879602957358</v>
      </c>
      <c r="E1515" s="83" t="n">
        <f aca="false">IF(D1515&lt;(Inputs!$E$10-Inputs!$D$10)/(Inputs!$F$10-Inputs!$D$10),Inputs!$D$10+SQRT(D1515*(Inputs!$F$10-Inputs!$D$10)*(Inputs!$E$10-Inputs!$D$10)),Inputs!$F$10-SQRT((1-D1515)*(Inputs!$F$10-Inputs!$D$10)*(Inputs!$F$10-Inputs!$E$10)))</f>
        <v>0.135396502329369</v>
      </c>
      <c r="F1515" s="81" t="n">
        <f aca="true">RAND()</f>
        <v>0.219087529462126</v>
      </c>
      <c r="G1515" s="83" t="n">
        <f aca="false">IF(F1515&lt;(Inputs!$E$15-Inputs!$D$15)/(Inputs!$F$15-Inputs!$D$15),Inputs!$D$15+SQRT(F1515*(Inputs!$F$15-Inputs!$D$15)*(Inputs!$E$15-Inputs!$D$15)),Inputs!$F$15-SQRT((1-F1515)*(Inputs!$F$15-Inputs!$D$15)*(Inputs!$F$15-Inputs!$E$15)))</f>
        <v>0.666194792765311</v>
      </c>
      <c r="H1515" s="81" t="n">
        <f aca="true">RAND()</f>
        <v>0.0248302270305933</v>
      </c>
      <c r="I1515" s="82" t="n">
        <f aca="false">ROUND(IF(H1515&lt;(Inputs!$E$17-Inputs!$D$17)/(Inputs!$F$17-Inputs!$D$17),Inputs!$D$17+SQRT(H1515*(Inputs!$F$17-Inputs!$D$17)*(Inputs!$E$17-Inputs!$D$17)),Inputs!$F$17-SQRT((1-H1515)*(Inputs!$F$17-Inputs!$D$17)*(Inputs!$F$17-Inputs!$E$17))),0)</f>
        <v>101</v>
      </c>
      <c r="J1515" s="81" t="n">
        <f aca="true">RAND()</f>
        <v>0.594983094987065</v>
      </c>
      <c r="K1515" s="83" t="n">
        <f aca="false">IF(J1515&lt;(Inputs!$E$18-Inputs!$D$18)/(Inputs!$F$18-Inputs!$D$18),Inputs!$D$18+SQRT(J1515*(Inputs!$F$18-Inputs!$D$18)*(Inputs!$E$18-Inputs!$D$18)),Inputs!$F$18-SQRT((1-J1515)*(Inputs!$F$18-Inputs!$D$18)*(Inputs!$F$18-Inputs!$E$18)))</f>
        <v>1.06174756525178</v>
      </c>
      <c r="L1515" s="81" t="n">
        <f aca="true">RAND()</f>
        <v>0.820251788264965</v>
      </c>
      <c r="M1515" s="83" t="n">
        <f aca="false">IF(L1515&lt;(Inputs!$E$24-Inputs!$D$24)/(Inputs!$F$24-Inputs!$D$24),Inputs!$D$24+SQRT(L1515*(Inputs!$F$24-Inputs!$D$24)*(Inputs!$E$24-Inputs!$D$24)),Inputs!$F$24-SQRT((1-L1515)*(Inputs!$F$24-Inputs!$D$24)*(Inputs!$F$24-Inputs!$E$24)))</f>
        <v>0.992299323986636</v>
      </c>
      <c r="N1515" s="81" t="n">
        <f aca="true">RAND()</f>
        <v>0.387867819703313</v>
      </c>
      <c r="O1515" s="83" t="n">
        <f aca="false">IF(N1515&lt;(Inputs!$E$26-Inputs!$D$26)/(Inputs!$F$26-Inputs!$D$26),Inputs!$D$26+SQRT(N1515*(Inputs!$F$26-Inputs!$D$26)*(Inputs!$E$26-Inputs!$D$26)),Inputs!$F$26-SQRT((1-N1515)*(Inputs!$F$26-Inputs!$D$26)*(Inputs!$F$26-Inputs!$E$26)))</f>
        <v>0.554049611687622</v>
      </c>
      <c r="P1515" s="81" t="n">
        <f aca="true">RAND()</f>
        <v>0.0055283440229116</v>
      </c>
      <c r="Q1515" s="82" t="n">
        <f aca="false">IF(P1515&lt;(Inputs!$E$27-Inputs!$D$27)/(Inputs!$F$27-Inputs!$D$27),Inputs!$D$27+SQRT(P1515*(Inputs!$F$27-Inputs!$D$27)*(Inputs!$E$27-Inputs!$D$27)),Inputs!$F$27-SQRT((1-P1515)*(Inputs!$F$27-Inputs!$D$27)*(Inputs!$F$27-Inputs!$E$27)))</f>
        <v>53.7176417333141</v>
      </c>
      <c r="R1515" s="81" t="n">
        <f aca="true">RAND()</f>
        <v>0.372339561921609</v>
      </c>
      <c r="S1515" s="82" t="n">
        <f aca="false">IF(R1515&lt;(Inputs!$E$29-Inputs!$D$29)/(Inputs!$F$29-Inputs!$D$29),Inputs!$D$29+SQRT(R1515*(Inputs!$F$29-Inputs!$D$29)*(Inputs!$E$29-Inputs!$D$29)),Inputs!$F$29-SQRT((1-R1515)*(Inputs!$F$29-Inputs!$D$29)*(Inputs!$F$29-Inputs!$E$29)))</f>
        <v>5.96695749206333</v>
      </c>
      <c r="T1515" s="68" t="n">
        <f aca="false">Inputs!$E$9*(1+E1515)+Inputs!$E$5*C1515*(Inputs!$E$11*Inputs!$E$14*(G1515*I1515/Inputs!$E$16+(1-G1515))*K1515+Inputs!$E$23*M1515)*(1+O1515)+Inputs!$E$5*(Q1515+S1515)</f>
        <v>6386.57460426312</v>
      </c>
    </row>
    <row r="1516" customFormat="false" ht="15" hidden="false" customHeight="false" outlineLevel="0" collapsed="false">
      <c r="A1516" s="1" t="n">
        <v>1512</v>
      </c>
      <c r="B1516" s="81" t="n">
        <f aca="true">RAND()</f>
        <v>0.145368063825023</v>
      </c>
      <c r="C1516" s="82" t="n">
        <f aca="false">ROUND(IF(B1516&lt;(Inputs!$E$8-Inputs!$D$8)/(Inputs!$F$8-Inputs!$D$8),Inputs!$D$8+SQRT(B1516*(Inputs!$F$8-Inputs!$D$8)*(Inputs!$E$8-Inputs!$D$8)),Inputs!$F$8-SQRT((1-B1516)*(Inputs!$F$8-Inputs!$D$8)*(Inputs!$F$8-Inputs!$E$8))),0)</f>
        <v>23</v>
      </c>
      <c r="D1516" s="81" t="n">
        <f aca="true">RAND()</f>
        <v>0.970059248571596</v>
      </c>
      <c r="E1516" s="83" t="n">
        <f aca="false">IF(D1516&lt;(Inputs!$E$10-Inputs!$D$10)/(Inputs!$F$10-Inputs!$D$10),Inputs!$D$10+SQRT(D1516*(Inputs!$F$10-Inputs!$D$10)*(Inputs!$E$10-Inputs!$D$10)),Inputs!$F$10-SQRT((1-D1516)*(Inputs!$F$10-Inputs!$D$10)*(Inputs!$F$10-Inputs!$E$10)))</f>
        <v>0.170029638926898</v>
      </c>
      <c r="F1516" s="81" t="n">
        <f aca="true">RAND()</f>
        <v>0.915220273448382</v>
      </c>
      <c r="G1516" s="83" t="n">
        <f aca="false">IF(F1516&lt;(Inputs!$E$15-Inputs!$D$15)/(Inputs!$F$15-Inputs!$D$15),Inputs!$D$15+SQRT(F1516*(Inputs!$F$15-Inputs!$D$15)*(Inputs!$E$15-Inputs!$D$15)),Inputs!$F$15-SQRT((1-F1516)*(Inputs!$F$15-Inputs!$D$15)*(Inputs!$F$15-Inputs!$E$15)))</f>
        <v>0.758822402558765</v>
      </c>
      <c r="H1516" s="81" t="n">
        <f aca="true">RAND()</f>
        <v>0.806319016853978</v>
      </c>
      <c r="I1516" s="82" t="n">
        <f aca="false">ROUND(IF(H1516&lt;(Inputs!$E$17-Inputs!$D$17)/(Inputs!$F$17-Inputs!$D$17),Inputs!$D$17+SQRT(H1516*(Inputs!$F$17-Inputs!$D$17)*(Inputs!$E$17-Inputs!$D$17)),Inputs!$F$17-SQRT((1-H1516)*(Inputs!$F$17-Inputs!$D$17)*(Inputs!$F$17-Inputs!$E$17))),0)</f>
        <v>110</v>
      </c>
      <c r="J1516" s="81" t="n">
        <f aca="true">RAND()</f>
        <v>0.211695132473626</v>
      </c>
      <c r="K1516" s="83" t="n">
        <f aca="false">IF(J1516&lt;(Inputs!$E$18-Inputs!$D$18)/(Inputs!$F$18-Inputs!$D$18),Inputs!$D$18+SQRT(J1516*(Inputs!$F$18-Inputs!$D$18)*(Inputs!$E$18-Inputs!$D$18)),Inputs!$F$18-SQRT((1-J1516)*(Inputs!$F$18-Inputs!$D$18)*(Inputs!$F$18-Inputs!$E$18)))</f>
        <v>0.986077463000352</v>
      </c>
      <c r="L1516" s="81" t="n">
        <f aca="true">RAND()</f>
        <v>0.815190115394117</v>
      </c>
      <c r="M1516" s="83" t="n">
        <f aca="false">IF(L1516&lt;(Inputs!$E$24-Inputs!$D$24)/(Inputs!$F$24-Inputs!$D$24),Inputs!$D$24+SQRT(L1516*(Inputs!$F$24-Inputs!$D$24)*(Inputs!$E$24-Inputs!$D$24)),Inputs!$F$24-SQRT((1-L1516)*(Inputs!$F$24-Inputs!$D$24)*(Inputs!$F$24-Inputs!$E$24)))</f>
        <v>0.989395222500979</v>
      </c>
      <c r="N1516" s="81" t="n">
        <f aca="true">RAND()</f>
        <v>0.615198982682076</v>
      </c>
      <c r="O1516" s="83" t="n">
        <f aca="false">IF(N1516&lt;(Inputs!$E$26-Inputs!$D$26)/(Inputs!$F$26-Inputs!$D$26),Inputs!$D$26+SQRT(N1516*(Inputs!$F$26-Inputs!$D$26)*(Inputs!$E$26-Inputs!$D$26)),Inputs!$F$26-SQRT((1-N1516)*(Inputs!$F$26-Inputs!$D$26)*(Inputs!$F$26-Inputs!$E$26)))</f>
        <v>0.619951731857006</v>
      </c>
      <c r="P1516" s="81" t="n">
        <f aca="true">RAND()</f>
        <v>0.174084114222639</v>
      </c>
      <c r="Q1516" s="82" t="n">
        <f aca="false">IF(P1516&lt;(Inputs!$E$27-Inputs!$D$27)/(Inputs!$F$27-Inputs!$D$27),Inputs!$D$27+SQRT(P1516*(Inputs!$F$27-Inputs!$D$27)*(Inputs!$E$27-Inputs!$D$27)),Inputs!$F$27-SQRT((1-P1516)*(Inputs!$F$27-Inputs!$D$27)*(Inputs!$F$27-Inputs!$E$27)))</f>
        <v>70.8616942158732</v>
      </c>
      <c r="R1516" s="81" t="n">
        <f aca="true">RAND()</f>
        <v>0.547868193913905</v>
      </c>
      <c r="S1516" s="82" t="n">
        <f aca="false">IF(R1516&lt;(Inputs!$E$29-Inputs!$D$29)/(Inputs!$F$29-Inputs!$D$29),Inputs!$D$29+SQRT(R1516*(Inputs!$F$29-Inputs!$D$29)*(Inputs!$E$29-Inputs!$D$29)),Inputs!$F$29-SQRT((1-R1516)*(Inputs!$F$29-Inputs!$D$29)*(Inputs!$F$29-Inputs!$E$29)))</f>
        <v>7.33337526735576</v>
      </c>
      <c r="T1516" s="68" t="n">
        <f aca="false">Inputs!$E$9*(1+E1516)+Inputs!$E$5*C1516*(Inputs!$E$11*Inputs!$E$14*(G1516*I1516/Inputs!$E$16+(1-G1516))*K1516+Inputs!$E$23*M1516)*(1+O1516)+Inputs!$E$5*(Q1516+S1516)</f>
        <v>6238.31287533823</v>
      </c>
    </row>
    <row r="1517" customFormat="false" ht="15" hidden="false" customHeight="false" outlineLevel="0" collapsed="false">
      <c r="A1517" s="1" t="n">
        <v>1513</v>
      </c>
      <c r="B1517" s="81" t="n">
        <f aca="true">RAND()</f>
        <v>0.109524779743987</v>
      </c>
      <c r="C1517" s="82" t="n">
        <f aca="false">ROUND(IF(B1517&lt;(Inputs!$E$8-Inputs!$D$8)/(Inputs!$F$8-Inputs!$D$8),Inputs!$D$8+SQRT(B1517*(Inputs!$F$8-Inputs!$D$8)*(Inputs!$E$8-Inputs!$D$8)),Inputs!$F$8-SQRT((1-B1517)*(Inputs!$F$8-Inputs!$D$8)*(Inputs!$F$8-Inputs!$E$8))),0)</f>
        <v>22</v>
      </c>
      <c r="D1517" s="81" t="n">
        <f aca="true">RAND()</f>
        <v>0.672206385755196</v>
      </c>
      <c r="E1517" s="83" t="n">
        <f aca="false">IF(D1517&lt;(Inputs!$E$10-Inputs!$D$10)/(Inputs!$F$10-Inputs!$D$10),Inputs!$D$10+SQRT(D1517*(Inputs!$F$10-Inputs!$D$10)*(Inputs!$E$10-Inputs!$D$10)),Inputs!$F$10-SQRT((1-D1517)*(Inputs!$F$10-Inputs!$D$10)*(Inputs!$F$10-Inputs!$E$10)))</f>
        <v>0.100834439308074</v>
      </c>
      <c r="F1517" s="81" t="n">
        <f aca="true">RAND()</f>
        <v>0.296112925099749</v>
      </c>
      <c r="G1517" s="83" t="n">
        <f aca="false">IF(F1517&lt;(Inputs!$E$15-Inputs!$D$15)/(Inputs!$F$15-Inputs!$D$15),Inputs!$D$15+SQRT(F1517*(Inputs!$F$15-Inputs!$D$15)*(Inputs!$E$15-Inputs!$D$15)),Inputs!$F$15-SQRT((1-F1517)*(Inputs!$F$15-Inputs!$D$15)*(Inputs!$F$15-Inputs!$E$15)))</f>
        <v>0.676956211588117</v>
      </c>
      <c r="H1517" s="81" t="n">
        <f aca="true">RAND()</f>
        <v>0.626418905377873</v>
      </c>
      <c r="I1517" s="82" t="n">
        <f aca="false">ROUND(IF(H1517&lt;(Inputs!$E$17-Inputs!$D$17)/(Inputs!$F$17-Inputs!$D$17),Inputs!$D$17+SQRT(H1517*(Inputs!$F$17-Inputs!$D$17)*(Inputs!$E$17-Inputs!$D$17)),Inputs!$F$17-SQRT((1-H1517)*(Inputs!$F$17-Inputs!$D$17)*(Inputs!$F$17-Inputs!$E$17))),0)</f>
        <v>108</v>
      </c>
      <c r="J1517" s="81" t="n">
        <f aca="true">RAND()</f>
        <v>0.564748107453861</v>
      </c>
      <c r="K1517" s="83" t="n">
        <f aca="false">IF(J1517&lt;(Inputs!$E$18-Inputs!$D$18)/(Inputs!$F$18-Inputs!$D$18),Inputs!$D$18+SQRT(J1517*(Inputs!$F$18-Inputs!$D$18)*(Inputs!$E$18-Inputs!$D$18)),Inputs!$F$18-SQRT((1-J1517)*(Inputs!$F$18-Inputs!$D$18)*(Inputs!$F$18-Inputs!$E$18)))</f>
        <v>1.05484739151683</v>
      </c>
      <c r="L1517" s="81" t="n">
        <f aca="true">RAND()</f>
        <v>0.33612266939429</v>
      </c>
      <c r="M1517" s="83" t="n">
        <f aca="false">IF(L1517&lt;(Inputs!$E$24-Inputs!$D$24)/(Inputs!$F$24-Inputs!$D$24),Inputs!$D$24+SQRT(L1517*(Inputs!$F$24-Inputs!$D$24)*(Inputs!$E$24-Inputs!$D$24)),Inputs!$F$24-SQRT((1-L1517)*(Inputs!$F$24-Inputs!$D$24)*(Inputs!$F$24-Inputs!$E$24)))</f>
        <v>0.800837677948719</v>
      </c>
      <c r="N1517" s="81" t="n">
        <f aca="true">RAND()</f>
        <v>0.336487256936576</v>
      </c>
      <c r="O1517" s="83" t="n">
        <f aca="false">IF(N1517&lt;(Inputs!$E$26-Inputs!$D$26)/(Inputs!$F$26-Inputs!$D$26),Inputs!$D$26+SQRT(N1517*(Inputs!$F$26-Inputs!$D$26)*(Inputs!$E$26-Inputs!$D$26)),Inputs!$F$26-SQRT((1-N1517)*(Inputs!$F$26-Inputs!$D$26)*(Inputs!$F$26-Inputs!$E$26)))</f>
        <v>0.536625187911698</v>
      </c>
      <c r="P1517" s="81" t="n">
        <f aca="true">RAND()</f>
        <v>0.306883999323013</v>
      </c>
      <c r="Q1517" s="82" t="n">
        <f aca="false">IF(P1517&lt;(Inputs!$E$27-Inputs!$D$27)/(Inputs!$F$27-Inputs!$D$27),Inputs!$D$27+SQRT(P1517*(Inputs!$F$27-Inputs!$D$27)*(Inputs!$E$27-Inputs!$D$27)),Inputs!$F$27-SQRT((1-P1517)*(Inputs!$F$27-Inputs!$D$27)*(Inputs!$F$27-Inputs!$E$27)))</f>
        <v>77.9002773578331</v>
      </c>
      <c r="R1517" s="81" t="n">
        <f aca="true">RAND()</f>
        <v>0.779146228535923</v>
      </c>
      <c r="S1517" s="82" t="n">
        <f aca="false">IF(R1517&lt;(Inputs!$E$29-Inputs!$D$29)/(Inputs!$F$29-Inputs!$D$29),Inputs!$D$29+SQRT(R1517*(Inputs!$F$29-Inputs!$D$29)*(Inputs!$E$29-Inputs!$D$29)),Inputs!$F$29-SQRT((1-R1517)*(Inputs!$F$29-Inputs!$D$29)*(Inputs!$F$29-Inputs!$E$29)))</f>
        <v>9.64173626159276</v>
      </c>
      <c r="T1517" s="68" t="n">
        <f aca="false">Inputs!$E$9*(1+E1517)+Inputs!$E$5*C1517*(Inputs!$E$11*Inputs!$E$14*(G1517*I1517/Inputs!$E$16+(1-G1517))*K1517+Inputs!$E$23*M1517)*(1+O1517)+Inputs!$E$5*(Q1517+S1517)</f>
        <v>5797.20730871805</v>
      </c>
    </row>
    <row r="1518" customFormat="false" ht="15" hidden="false" customHeight="false" outlineLevel="0" collapsed="false">
      <c r="A1518" s="1" t="n">
        <v>1514</v>
      </c>
      <c r="B1518" s="81" t="n">
        <f aca="true">RAND()</f>
        <v>0.419566258930928</v>
      </c>
      <c r="C1518" s="82" t="n">
        <f aca="false">ROUND(IF(B1518&lt;(Inputs!$E$8-Inputs!$D$8)/(Inputs!$F$8-Inputs!$D$8),Inputs!$D$8+SQRT(B1518*(Inputs!$F$8-Inputs!$D$8)*(Inputs!$E$8-Inputs!$D$8)),Inputs!$F$8-SQRT((1-B1518)*(Inputs!$F$8-Inputs!$D$8)*(Inputs!$F$8-Inputs!$E$8))),0)</f>
        <v>25</v>
      </c>
      <c r="D1518" s="81" t="n">
        <f aca="true">RAND()</f>
        <v>0.288565296344407</v>
      </c>
      <c r="E1518" s="83" t="n">
        <f aca="false">IF(D1518&lt;(Inputs!$E$10-Inputs!$D$10)/(Inputs!$F$10-Inputs!$D$10),Inputs!$D$10+SQRT(D1518*(Inputs!$F$10-Inputs!$D$10)*(Inputs!$E$10-Inputs!$D$10)),Inputs!$F$10-SQRT((1-D1518)*(Inputs!$F$10-Inputs!$D$10)*(Inputs!$F$10-Inputs!$E$10)))</f>
        <v>0.0539074228111921</v>
      </c>
      <c r="F1518" s="81" t="n">
        <f aca="true">RAND()</f>
        <v>0.0685450554559135</v>
      </c>
      <c r="G1518" s="83" t="n">
        <f aca="false">IF(F1518&lt;(Inputs!$E$15-Inputs!$D$15)/(Inputs!$F$15-Inputs!$D$15),Inputs!$D$15+SQRT(F1518*(Inputs!$F$15-Inputs!$D$15)*(Inputs!$E$15-Inputs!$D$15)),Inputs!$F$15-SQRT((1-F1518)*(Inputs!$F$15-Inputs!$D$15)*(Inputs!$F$15-Inputs!$E$15)))</f>
        <v>0.637025681750891</v>
      </c>
      <c r="H1518" s="81" t="n">
        <f aca="true">RAND()</f>
        <v>0.496209902967182</v>
      </c>
      <c r="I1518" s="82" t="n">
        <f aca="false">ROUND(IF(H1518&lt;(Inputs!$E$17-Inputs!$D$17)/(Inputs!$F$17-Inputs!$D$17),Inputs!$D$17+SQRT(H1518*(Inputs!$F$17-Inputs!$D$17)*(Inputs!$E$17-Inputs!$D$17)),Inputs!$F$17-SQRT((1-H1518)*(Inputs!$F$17-Inputs!$D$17)*(Inputs!$F$17-Inputs!$E$17))),0)</f>
        <v>106</v>
      </c>
      <c r="J1518" s="81" t="n">
        <f aca="true">RAND()</f>
        <v>0.416708725312552</v>
      </c>
      <c r="K1518" s="83" t="n">
        <f aca="false">IF(J1518&lt;(Inputs!$E$18-Inputs!$D$18)/(Inputs!$F$18-Inputs!$D$18),Inputs!$D$18+SQRT(J1518*(Inputs!$F$18-Inputs!$D$18)*(Inputs!$E$18-Inputs!$D$18)),Inputs!$F$18-SQRT((1-J1518)*(Inputs!$F$18-Inputs!$D$18)*(Inputs!$F$18-Inputs!$E$18)))</f>
        <v>1.0240841162398</v>
      </c>
      <c r="L1518" s="81" t="n">
        <f aca="true">RAND()</f>
        <v>0.414235985223202</v>
      </c>
      <c r="M1518" s="83" t="n">
        <f aca="false">IF(L1518&lt;(Inputs!$E$24-Inputs!$D$24)/(Inputs!$F$24-Inputs!$D$24),Inputs!$D$24+SQRT(L1518*(Inputs!$F$24-Inputs!$D$24)*(Inputs!$E$24-Inputs!$D$24)),Inputs!$F$24-SQRT((1-L1518)*(Inputs!$F$24-Inputs!$D$24)*(Inputs!$F$24-Inputs!$E$24)))</f>
        <v>0.825055519381293</v>
      </c>
      <c r="N1518" s="81" t="n">
        <f aca="true">RAND()</f>
        <v>0.421197676235602</v>
      </c>
      <c r="O1518" s="83" t="n">
        <f aca="false">IF(N1518&lt;(Inputs!$E$26-Inputs!$D$26)/(Inputs!$F$26-Inputs!$D$26),Inputs!$D$26+SQRT(N1518*(Inputs!$F$26-Inputs!$D$26)*(Inputs!$E$26-Inputs!$D$26)),Inputs!$F$26-SQRT((1-N1518)*(Inputs!$F$26-Inputs!$D$26)*(Inputs!$F$26-Inputs!$E$26)))</f>
        <v>0.564740048586541</v>
      </c>
      <c r="P1518" s="81" t="n">
        <f aca="true">RAND()</f>
        <v>0.502234708120754</v>
      </c>
      <c r="Q1518" s="82" t="n">
        <f aca="false">IF(P1518&lt;(Inputs!$E$27-Inputs!$D$27)/(Inputs!$F$27-Inputs!$D$27),Inputs!$D$27+SQRT(P1518*(Inputs!$F$27-Inputs!$D$27)*(Inputs!$E$27-Inputs!$D$27)),Inputs!$F$27-SQRT((1-P1518)*(Inputs!$F$27-Inputs!$D$27)*(Inputs!$F$27-Inputs!$E$27)))</f>
        <v>88.8997570455375</v>
      </c>
      <c r="R1518" s="81" t="n">
        <f aca="true">RAND()</f>
        <v>0.0303948656440802</v>
      </c>
      <c r="S1518" s="82" t="n">
        <f aca="false">IF(R1518&lt;(Inputs!$E$29-Inputs!$D$29)/(Inputs!$F$29-Inputs!$D$29),Inputs!$D$29+SQRT(R1518*(Inputs!$F$29-Inputs!$D$29)*(Inputs!$E$29-Inputs!$D$29)),Inputs!$F$29-SQRT((1-R1518)*(Inputs!$F$29-Inputs!$D$29)*(Inputs!$F$29-Inputs!$E$29)))</f>
        <v>3.08876065327469</v>
      </c>
      <c r="T1518" s="68" t="n">
        <f aca="false">Inputs!$E$9*(1+E1518)+Inputs!$E$5*C1518*(Inputs!$E$11*Inputs!$E$14*(G1518*I1518/Inputs!$E$16+(1-G1518))*K1518+Inputs!$E$23*M1518)*(1+O1518)+Inputs!$E$5*(Q1518+S1518)</f>
        <v>6175.10689713119</v>
      </c>
    </row>
    <row r="1519" customFormat="false" ht="15" hidden="false" customHeight="false" outlineLevel="0" collapsed="false">
      <c r="A1519" s="1" t="n">
        <v>1515</v>
      </c>
      <c r="B1519" s="81" t="n">
        <f aca="true">RAND()</f>
        <v>0.27488030075621</v>
      </c>
      <c r="C1519" s="82" t="n">
        <f aca="false">ROUND(IF(B1519&lt;(Inputs!$E$8-Inputs!$D$8)/(Inputs!$F$8-Inputs!$D$8),Inputs!$D$8+SQRT(B1519*(Inputs!$F$8-Inputs!$D$8)*(Inputs!$E$8-Inputs!$D$8)),Inputs!$F$8-SQRT((1-B1519)*(Inputs!$F$8-Inputs!$D$8)*(Inputs!$F$8-Inputs!$E$8))),0)</f>
        <v>24</v>
      </c>
      <c r="D1519" s="81" t="n">
        <f aca="true">RAND()</f>
        <v>0.706527066976036</v>
      </c>
      <c r="E1519" s="83" t="n">
        <f aca="false">IF(D1519&lt;(Inputs!$E$10-Inputs!$D$10)/(Inputs!$F$10-Inputs!$D$10),Inputs!$D$10+SQRT(D1519*(Inputs!$F$10-Inputs!$D$10)*(Inputs!$E$10-Inputs!$D$10)),Inputs!$F$10-SQRT((1-D1519)*(Inputs!$F$10-Inputs!$D$10)*(Inputs!$F$10-Inputs!$E$10)))</f>
        <v>0.106169365393178</v>
      </c>
      <c r="F1519" s="81" t="n">
        <f aca="true">RAND()</f>
        <v>0.179385380699177</v>
      </c>
      <c r="G1519" s="83" t="n">
        <f aca="false">IF(F1519&lt;(Inputs!$E$15-Inputs!$D$15)/(Inputs!$F$15-Inputs!$D$15),Inputs!$D$15+SQRT(F1519*(Inputs!$F$15-Inputs!$D$15)*(Inputs!$E$15-Inputs!$D$15)),Inputs!$F$15-SQRT((1-F1519)*(Inputs!$F$15-Inputs!$D$15)*(Inputs!$F$15-Inputs!$E$15)))</f>
        <v>0.65989747585653</v>
      </c>
      <c r="H1519" s="81" t="n">
        <f aca="true">RAND()</f>
        <v>0.159580950049206</v>
      </c>
      <c r="I1519" s="82" t="n">
        <f aca="false">ROUND(IF(H1519&lt;(Inputs!$E$17-Inputs!$D$17)/(Inputs!$F$17-Inputs!$D$17),Inputs!$D$17+SQRT(H1519*(Inputs!$F$17-Inputs!$D$17)*(Inputs!$E$17-Inputs!$D$17)),Inputs!$F$17-SQRT((1-H1519)*(Inputs!$F$17-Inputs!$D$17)*(Inputs!$F$17-Inputs!$E$17))),0)</f>
        <v>103</v>
      </c>
      <c r="J1519" s="81" t="n">
        <f aca="true">RAND()</f>
        <v>0.76103642514479</v>
      </c>
      <c r="K1519" s="83" t="n">
        <f aca="false">IF(J1519&lt;(Inputs!$E$18-Inputs!$D$18)/(Inputs!$F$18-Inputs!$D$18),Inputs!$D$18+SQRT(J1519*(Inputs!$F$18-Inputs!$D$18)*(Inputs!$E$18-Inputs!$D$18)),Inputs!$F$18-SQRT((1-J1519)*(Inputs!$F$18-Inputs!$D$18)*(Inputs!$F$18-Inputs!$E$18)))</f>
        <v>1.10539947164747</v>
      </c>
      <c r="L1519" s="81" t="n">
        <f aca="true">RAND()</f>
        <v>0.105923960869309</v>
      </c>
      <c r="M1519" s="83" t="n">
        <f aca="false">IF(L1519&lt;(Inputs!$E$24-Inputs!$D$24)/(Inputs!$F$24-Inputs!$D$24),Inputs!$D$24+SQRT(L1519*(Inputs!$F$24-Inputs!$D$24)*(Inputs!$E$24-Inputs!$D$24)),Inputs!$F$24-SQRT((1-L1519)*(Inputs!$F$24-Inputs!$D$24)*(Inputs!$F$24-Inputs!$E$24)))</f>
        <v>0.712742517730966</v>
      </c>
      <c r="N1519" s="81" t="n">
        <f aca="true">RAND()</f>
        <v>0.624380965628149</v>
      </c>
      <c r="O1519" s="83" t="n">
        <f aca="false">IF(N1519&lt;(Inputs!$E$26-Inputs!$D$26)/(Inputs!$F$26-Inputs!$D$26),Inputs!$D$26+SQRT(N1519*(Inputs!$F$26-Inputs!$D$26)*(Inputs!$E$26-Inputs!$D$26)),Inputs!$F$26-SQRT((1-N1519)*(Inputs!$F$26-Inputs!$D$26)*(Inputs!$F$26-Inputs!$E$26)))</f>
        <v>0.622352891307076</v>
      </c>
      <c r="P1519" s="81" t="n">
        <f aca="true">RAND()</f>
        <v>0.466838888776477</v>
      </c>
      <c r="Q1519" s="82" t="n">
        <f aca="false">IF(P1519&lt;(Inputs!$E$27-Inputs!$D$27)/(Inputs!$F$27-Inputs!$D$27),Inputs!$D$27+SQRT(P1519*(Inputs!$F$27-Inputs!$D$27)*(Inputs!$E$27-Inputs!$D$27)),Inputs!$F$27-SQRT((1-P1519)*(Inputs!$F$27-Inputs!$D$27)*(Inputs!$F$27-Inputs!$E$27)))</f>
        <v>86.7646591360779</v>
      </c>
      <c r="R1519" s="81" t="n">
        <f aca="true">RAND()</f>
        <v>0.196756817401532</v>
      </c>
      <c r="S1519" s="82" t="n">
        <f aca="false">IF(R1519&lt;(Inputs!$E$29-Inputs!$D$29)/(Inputs!$F$29-Inputs!$D$29),Inputs!$D$29+SQRT(R1519*(Inputs!$F$29-Inputs!$D$29)*(Inputs!$E$29-Inputs!$D$29)),Inputs!$F$29-SQRT((1-R1519)*(Inputs!$F$29-Inputs!$D$29)*(Inputs!$F$29-Inputs!$E$29)))</f>
        <v>4.77011116720246</v>
      </c>
      <c r="T1519" s="68" t="n">
        <f aca="false">Inputs!$E$9*(1+E1519)+Inputs!$E$5*C1519*(Inputs!$E$11*Inputs!$E$14*(G1519*I1519/Inputs!$E$16+(1-G1519))*K1519+Inputs!$E$23*M1519)*(1+O1519)+Inputs!$E$5*(Q1519+S1519)</f>
        <v>6225.76135549285</v>
      </c>
    </row>
    <row r="1520" customFormat="false" ht="15" hidden="false" customHeight="false" outlineLevel="0" collapsed="false">
      <c r="A1520" s="1" t="n">
        <v>1516</v>
      </c>
      <c r="B1520" s="81" t="n">
        <f aca="true">RAND()</f>
        <v>0.199031595605986</v>
      </c>
      <c r="C1520" s="82" t="n">
        <f aca="false">ROUND(IF(B1520&lt;(Inputs!$E$8-Inputs!$D$8)/(Inputs!$F$8-Inputs!$D$8),Inputs!$D$8+SQRT(B1520*(Inputs!$F$8-Inputs!$D$8)*(Inputs!$E$8-Inputs!$D$8)),Inputs!$F$8-SQRT((1-B1520)*(Inputs!$F$8-Inputs!$D$8)*(Inputs!$F$8-Inputs!$E$8))),0)</f>
        <v>23</v>
      </c>
      <c r="D1520" s="81" t="n">
        <f aca="true">RAND()</f>
        <v>0.551816156468431</v>
      </c>
      <c r="E1520" s="83" t="n">
        <f aca="false">IF(D1520&lt;(Inputs!$E$10-Inputs!$D$10)/(Inputs!$F$10-Inputs!$D$10),Inputs!$D$10+SQRT(D1520*(Inputs!$F$10-Inputs!$D$10)*(Inputs!$E$10-Inputs!$D$10)),Inputs!$F$10-SQRT((1-D1520)*(Inputs!$F$10-Inputs!$D$10)*(Inputs!$F$10-Inputs!$E$10)))</f>
        <v>0.0840452014535532</v>
      </c>
      <c r="F1520" s="81" t="n">
        <f aca="true">RAND()</f>
        <v>0.0229417677950311</v>
      </c>
      <c r="G1520" s="83" t="n">
        <f aca="false">IF(F1520&lt;(Inputs!$E$15-Inputs!$D$15)/(Inputs!$F$15-Inputs!$D$15),Inputs!$D$15+SQRT(F1520*(Inputs!$F$15-Inputs!$D$15)*(Inputs!$E$15-Inputs!$D$15)),Inputs!$F$15-SQRT((1-F1520)*(Inputs!$F$15-Inputs!$D$15)*(Inputs!$F$15-Inputs!$E$15)))</f>
        <v>0.62142044247677</v>
      </c>
      <c r="H1520" s="81" t="n">
        <f aca="true">RAND()</f>
        <v>0.177847336328144</v>
      </c>
      <c r="I1520" s="82" t="n">
        <f aca="false">ROUND(IF(H1520&lt;(Inputs!$E$17-Inputs!$D$17)/(Inputs!$F$17-Inputs!$D$17),Inputs!$D$17+SQRT(H1520*(Inputs!$F$17-Inputs!$D$17)*(Inputs!$E$17-Inputs!$D$17)),Inputs!$F$17-SQRT((1-H1520)*(Inputs!$F$17-Inputs!$D$17)*(Inputs!$F$17-Inputs!$E$17))),0)</f>
        <v>104</v>
      </c>
      <c r="J1520" s="81" t="n">
        <f aca="true">RAND()</f>
        <v>0.0148152914289615</v>
      </c>
      <c r="K1520" s="83" t="n">
        <f aca="false">IF(J1520&lt;(Inputs!$E$18-Inputs!$D$18)/(Inputs!$F$18-Inputs!$D$18),Inputs!$D$18+SQRT(J1520*(Inputs!$F$18-Inputs!$D$18)*(Inputs!$E$18-Inputs!$D$18)),Inputs!$F$18-SQRT((1-J1520)*(Inputs!$F$18-Inputs!$D$18)*(Inputs!$F$18-Inputs!$E$18)))</f>
        <v>0.922771367987314</v>
      </c>
      <c r="L1520" s="81" t="n">
        <f aca="true">RAND()</f>
        <v>0.146142753291696</v>
      </c>
      <c r="M1520" s="83" t="n">
        <f aca="false">IF(L1520&lt;(Inputs!$E$24-Inputs!$D$24)/(Inputs!$F$24-Inputs!$D$24),Inputs!$D$24+SQRT(L1520*(Inputs!$F$24-Inputs!$D$24)*(Inputs!$E$24-Inputs!$D$24)),Inputs!$F$24-SQRT((1-L1520)*(Inputs!$F$24-Inputs!$D$24)*(Inputs!$F$24-Inputs!$E$24)))</f>
        <v>0.732427830892919</v>
      </c>
      <c r="N1520" s="81" t="n">
        <f aca="true">RAND()</f>
        <v>0.257028458370585</v>
      </c>
      <c r="O1520" s="83" t="n">
        <f aca="false">IF(N1520&lt;(Inputs!$E$26-Inputs!$D$26)/(Inputs!$F$26-Inputs!$D$26),Inputs!$D$26+SQRT(N1520*(Inputs!$F$26-Inputs!$D$26)*(Inputs!$E$26-Inputs!$D$26)),Inputs!$F$26-SQRT((1-N1520)*(Inputs!$F$26-Inputs!$D$26)*(Inputs!$F$26-Inputs!$E$26)))</f>
        <v>0.506807967624232</v>
      </c>
      <c r="P1520" s="81" t="n">
        <f aca="true">RAND()</f>
        <v>0.683987098264076</v>
      </c>
      <c r="Q1520" s="82" t="n">
        <f aca="false">IF(P1520&lt;(Inputs!$E$27-Inputs!$D$27)/(Inputs!$F$27-Inputs!$D$27),Inputs!$D$27+SQRT(P1520*(Inputs!$F$27-Inputs!$D$27)*(Inputs!$E$27-Inputs!$D$27)),Inputs!$F$27-SQRT((1-P1520)*(Inputs!$F$27-Inputs!$D$27)*(Inputs!$F$27-Inputs!$E$27)))</f>
        <v>101.316360417288</v>
      </c>
      <c r="R1520" s="81" t="n">
        <f aca="true">RAND()</f>
        <v>0.852901422908648</v>
      </c>
      <c r="S1520" s="82" t="n">
        <f aca="false">IF(R1520&lt;(Inputs!$E$29-Inputs!$D$29)/(Inputs!$F$29-Inputs!$D$29),Inputs!$D$29+SQRT(R1520*(Inputs!$F$29-Inputs!$D$29)*(Inputs!$E$29-Inputs!$D$29)),Inputs!$F$29-SQRT((1-R1520)*(Inputs!$F$29-Inputs!$D$29)*(Inputs!$F$29-Inputs!$E$29)))</f>
        <v>10.6270358997728</v>
      </c>
      <c r="T1520" s="68" t="n">
        <f aca="false">Inputs!$E$9*(1+E1520)+Inputs!$E$5*C1520*(Inputs!$E$11*Inputs!$E$14*(G1520*I1520/Inputs!$E$16+(1-G1520))*K1520+Inputs!$E$23*M1520)*(1+O1520)+Inputs!$E$5*(Q1520+S1520)</f>
        <v>5642.34032232203</v>
      </c>
    </row>
    <row r="1521" customFormat="false" ht="15" hidden="false" customHeight="false" outlineLevel="0" collapsed="false">
      <c r="A1521" s="1" t="n">
        <v>1517</v>
      </c>
      <c r="B1521" s="81" t="n">
        <f aca="true">RAND()</f>
        <v>0.00247219582022611</v>
      </c>
      <c r="C1521" s="82" t="n">
        <f aca="false">ROUND(IF(B1521&lt;(Inputs!$E$8-Inputs!$D$8)/(Inputs!$F$8-Inputs!$D$8),Inputs!$D$8+SQRT(B1521*(Inputs!$F$8-Inputs!$D$8)*(Inputs!$E$8-Inputs!$D$8)),Inputs!$F$8-SQRT((1-B1521)*(Inputs!$F$8-Inputs!$D$8)*(Inputs!$F$8-Inputs!$E$8))),0)</f>
        <v>20</v>
      </c>
      <c r="D1521" s="81" t="n">
        <f aca="true">RAND()</f>
        <v>0.890947566004857</v>
      </c>
      <c r="E1521" s="83" t="n">
        <f aca="false">IF(D1521&lt;(Inputs!$E$10-Inputs!$D$10)/(Inputs!$F$10-Inputs!$D$10),Inputs!$D$10+SQRT(D1521*(Inputs!$F$10-Inputs!$D$10)*(Inputs!$E$10-Inputs!$D$10)),Inputs!$F$10-SQRT((1-D1521)*(Inputs!$F$10-Inputs!$D$10)*(Inputs!$F$10-Inputs!$E$10)))</f>
        <v>0.142802333790142</v>
      </c>
      <c r="F1521" s="81" t="n">
        <f aca="true">RAND()</f>
        <v>0.861532159503203</v>
      </c>
      <c r="G1521" s="83" t="n">
        <f aca="false">IF(F1521&lt;(Inputs!$E$15-Inputs!$D$15)/(Inputs!$F$15-Inputs!$D$15),Inputs!$D$15+SQRT(F1521*(Inputs!$F$15-Inputs!$D$15)*(Inputs!$E$15-Inputs!$D$15)),Inputs!$F$15-SQRT((1-F1521)*(Inputs!$F$15-Inputs!$D$15)*(Inputs!$F$15-Inputs!$E$15)))</f>
        <v>0.74737532128425</v>
      </c>
      <c r="H1521" s="81" t="n">
        <f aca="true">RAND()</f>
        <v>0.851885845419642</v>
      </c>
      <c r="I1521" s="82" t="n">
        <f aca="false">ROUND(IF(H1521&lt;(Inputs!$E$17-Inputs!$D$17)/(Inputs!$F$17-Inputs!$D$17),Inputs!$D$17+SQRT(H1521*(Inputs!$F$17-Inputs!$D$17)*(Inputs!$E$17-Inputs!$D$17)),Inputs!$F$17-SQRT((1-H1521)*(Inputs!$F$17-Inputs!$D$17)*(Inputs!$F$17-Inputs!$E$17))),0)</f>
        <v>110</v>
      </c>
      <c r="J1521" s="81" t="n">
        <f aca="true">RAND()</f>
        <v>0.721615092764278</v>
      </c>
      <c r="K1521" s="83" t="n">
        <f aca="false">IF(J1521&lt;(Inputs!$E$18-Inputs!$D$18)/(Inputs!$F$18-Inputs!$D$18),Inputs!$D$18+SQRT(J1521*(Inputs!$F$18-Inputs!$D$18)*(Inputs!$E$18-Inputs!$D$18)),Inputs!$F$18-SQRT((1-J1521)*(Inputs!$F$18-Inputs!$D$18)*(Inputs!$F$18-Inputs!$E$18)))</f>
        <v>1.09392732659711</v>
      </c>
      <c r="L1521" s="81" t="n">
        <f aca="true">RAND()</f>
        <v>0.00904790632470689</v>
      </c>
      <c r="M1521" s="83" t="n">
        <f aca="false">IF(L1521&lt;(Inputs!$E$24-Inputs!$D$24)/(Inputs!$F$24-Inputs!$D$24),Inputs!$D$24+SQRT(L1521*(Inputs!$F$24-Inputs!$D$24)*(Inputs!$E$24-Inputs!$D$24)),Inputs!$F$24-SQRT((1-L1521)*(Inputs!$F$24-Inputs!$D$24)*(Inputs!$F$24-Inputs!$E$24)))</f>
        <v>0.632950701949501</v>
      </c>
      <c r="N1521" s="81" t="n">
        <f aca="true">RAND()</f>
        <v>0.703116048973138</v>
      </c>
      <c r="O1521" s="83" t="n">
        <f aca="false">IF(N1521&lt;(Inputs!$E$26-Inputs!$D$26)/(Inputs!$F$26-Inputs!$D$26),Inputs!$D$26+SQRT(N1521*(Inputs!$F$26-Inputs!$D$26)*(Inputs!$E$26-Inputs!$D$26)),Inputs!$F$26-SQRT((1-N1521)*(Inputs!$F$26-Inputs!$D$26)*(Inputs!$F$26-Inputs!$E$26)))</f>
        <v>0.644284517168254</v>
      </c>
      <c r="P1521" s="81" t="n">
        <f aca="true">RAND()</f>
        <v>0.323938671108619</v>
      </c>
      <c r="Q1521" s="82" t="n">
        <f aca="false">IF(P1521&lt;(Inputs!$E$27-Inputs!$D$27)/(Inputs!$F$27-Inputs!$D$27),Inputs!$D$27+SQRT(P1521*(Inputs!$F$27-Inputs!$D$27)*(Inputs!$E$27-Inputs!$D$27)),Inputs!$F$27-SQRT((1-P1521)*(Inputs!$F$27-Inputs!$D$27)*(Inputs!$F$27-Inputs!$E$27)))</f>
        <v>78.7928376728481</v>
      </c>
      <c r="R1521" s="81" t="n">
        <f aca="true">RAND()</f>
        <v>0.242937549241834</v>
      </c>
      <c r="S1521" s="82" t="n">
        <f aca="false">IF(R1521&lt;(Inputs!$E$29-Inputs!$D$29)/(Inputs!$F$29-Inputs!$D$29),Inputs!$D$29+SQRT(R1521*(Inputs!$F$29-Inputs!$D$29)*(Inputs!$E$29-Inputs!$D$29)),Inputs!$F$29-SQRT((1-R1521)*(Inputs!$F$29-Inputs!$D$29)*(Inputs!$F$29-Inputs!$E$29)))</f>
        <v>5.07940936241387</v>
      </c>
      <c r="T1521" s="68" t="n">
        <f aca="false">Inputs!$E$9*(1+E1521)+Inputs!$E$5*C1521*(Inputs!$E$11*Inputs!$E$14*(G1521*I1521/Inputs!$E$16+(1-G1521))*K1521+Inputs!$E$23*M1521)*(1+O1521)+Inputs!$E$5*(Q1521+S1521)</f>
        <v>5606.6711898751</v>
      </c>
    </row>
    <row r="1522" customFormat="false" ht="15" hidden="false" customHeight="false" outlineLevel="0" collapsed="false">
      <c r="A1522" s="1" t="n">
        <v>1518</v>
      </c>
      <c r="B1522" s="81" t="n">
        <f aca="true">RAND()</f>
        <v>0.455955372481128</v>
      </c>
      <c r="C1522" s="82" t="n">
        <f aca="false">ROUND(IF(B1522&lt;(Inputs!$E$8-Inputs!$D$8)/(Inputs!$F$8-Inputs!$D$8),Inputs!$D$8+SQRT(B1522*(Inputs!$F$8-Inputs!$D$8)*(Inputs!$E$8-Inputs!$D$8)),Inputs!$F$8-SQRT((1-B1522)*(Inputs!$F$8-Inputs!$D$8)*(Inputs!$F$8-Inputs!$E$8))),0)</f>
        <v>25</v>
      </c>
      <c r="D1522" s="81" t="n">
        <f aca="true">RAND()</f>
        <v>0.854724829354996</v>
      </c>
      <c r="E1522" s="83" t="n">
        <f aca="false">IF(D1522&lt;(Inputs!$E$10-Inputs!$D$10)/(Inputs!$F$10-Inputs!$D$10),Inputs!$D$10+SQRT(D1522*(Inputs!$F$10-Inputs!$D$10)*(Inputs!$E$10-Inputs!$D$10)),Inputs!$F$10-SQRT((1-D1522)*(Inputs!$F$10-Inputs!$D$10)*(Inputs!$F$10-Inputs!$E$10)))</f>
        <v>0.133982917973072</v>
      </c>
      <c r="F1522" s="81" t="n">
        <f aca="true">RAND()</f>
        <v>0.0554109544029292</v>
      </c>
      <c r="G1522" s="83" t="n">
        <f aca="false">IF(F1522&lt;(Inputs!$E$15-Inputs!$D$15)/(Inputs!$F$15-Inputs!$D$15),Inputs!$D$15+SQRT(F1522*(Inputs!$F$15-Inputs!$D$15)*(Inputs!$E$15-Inputs!$D$15)),Inputs!$F$15-SQRT((1-F1522)*(Inputs!$F$15-Inputs!$D$15)*(Inputs!$F$15-Inputs!$E$15)))</f>
        <v>0.633289924722934</v>
      </c>
      <c r="H1522" s="81" t="n">
        <f aca="true">RAND()</f>
        <v>0.426450974333242</v>
      </c>
      <c r="I1522" s="82" t="n">
        <f aca="false">ROUND(IF(H1522&lt;(Inputs!$E$17-Inputs!$D$17)/(Inputs!$F$17-Inputs!$D$17),Inputs!$D$17+SQRT(H1522*(Inputs!$F$17-Inputs!$D$17)*(Inputs!$E$17-Inputs!$D$17)),Inputs!$F$17-SQRT((1-H1522)*(Inputs!$F$17-Inputs!$D$17)*(Inputs!$F$17-Inputs!$E$17))),0)</f>
        <v>106</v>
      </c>
      <c r="J1522" s="81" t="n">
        <f aca="true">RAND()</f>
        <v>0.0848194749161081</v>
      </c>
      <c r="K1522" s="83" t="n">
        <f aca="false">IF(J1522&lt;(Inputs!$E$18-Inputs!$D$18)/(Inputs!$F$18-Inputs!$D$18),Inputs!$D$18+SQRT(J1522*(Inputs!$F$18-Inputs!$D$18)*(Inputs!$E$18-Inputs!$D$18)),Inputs!$F$18-SQRT((1-J1522)*(Inputs!$F$18-Inputs!$D$18)*(Inputs!$F$18-Inputs!$E$18)))</f>
        <v>0.954485609311669</v>
      </c>
      <c r="L1522" s="81" t="n">
        <f aca="true">RAND()</f>
        <v>0.251926258818642</v>
      </c>
      <c r="M1522" s="83" t="n">
        <f aca="false">IF(L1522&lt;(Inputs!$E$24-Inputs!$D$24)/(Inputs!$F$24-Inputs!$D$24),Inputs!$D$24+SQRT(L1522*(Inputs!$F$24-Inputs!$D$24)*(Inputs!$E$24-Inputs!$D$24)),Inputs!$F$24-SQRT((1-L1522)*(Inputs!$F$24-Inputs!$D$24)*(Inputs!$F$24-Inputs!$E$24)))</f>
        <v>0.773871075967905</v>
      </c>
      <c r="N1522" s="81" t="n">
        <f aca="true">RAND()</f>
        <v>0.458791726501656</v>
      </c>
      <c r="O1522" s="83" t="n">
        <f aca="false">IF(N1522&lt;(Inputs!$E$26-Inputs!$D$26)/(Inputs!$F$26-Inputs!$D$26),Inputs!$D$26+SQRT(N1522*(Inputs!$F$26-Inputs!$D$26)*(Inputs!$E$26-Inputs!$D$26)),Inputs!$F$26-SQRT((1-N1522)*(Inputs!$F$26-Inputs!$D$26)*(Inputs!$F$26-Inputs!$E$26)))</f>
        <v>0.576302267978161</v>
      </c>
      <c r="P1522" s="81" t="n">
        <f aca="true">RAND()</f>
        <v>0.340444645213956</v>
      </c>
      <c r="Q1522" s="82" t="n">
        <f aca="false">IF(P1522&lt;(Inputs!$E$27-Inputs!$D$27)/(Inputs!$F$27-Inputs!$D$27),Inputs!$D$27+SQRT(P1522*(Inputs!$F$27-Inputs!$D$27)*(Inputs!$E$27-Inputs!$D$27)),Inputs!$F$27-SQRT((1-P1522)*(Inputs!$F$27-Inputs!$D$27)*(Inputs!$F$27-Inputs!$E$27)))</f>
        <v>79.6674672651743</v>
      </c>
      <c r="R1522" s="81" t="n">
        <f aca="true">RAND()</f>
        <v>0.175752693187342</v>
      </c>
      <c r="S1522" s="82" t="n">
        <f aca="false">IF(R1522&lt;(Inputs!$E$29-Inputs!$D$29)/(Inputs!$F$29-Inputs!$D$29),Inputs!$D$29+SQRT(R1522*(Inputs!$F$29-Inputs!$D$29)*(Inputs!$E$29-Inputs!$D$29)),Inputs!$F$29-SQRT((1-R1522)*(Inputs!$F$29-Inputs!$D$29)*(Inputs!$F$29-Inputs!$E$29)))</f>
        <v>4.61808232000186</v>
      </c>
      <c r="T1522" s="68" t="n">
        <f aca="false">Inputs!$E$9*(1+E1522)+Inputs!$E$5*C1522*(Inputs!$E$11*Inputs!$E$14*(G1522*I1522/Inputs!$E$16+(1-G1522))*K1522+Inputs!$E$23*M1522)*(1+O1522)+Inputs!$E$5*(Q1522+S1522)</f>
        <v>6116.80194780598</v>
      </c>
    </row>
    <row r="1523" customFormat="false" ht="15" hidden="false" customHeight="false" outlineLevel="0" collapsed="false">
      <c r="A1523" s="1" t="n">
        <v>1519</v>
      </c>
      <c r="B1523" s="81" t="n">
        <f aca="true">RAND()</f>
        <v>0.626757599039505</v>
      </c>
      <c r="C1523" s="82" t="n">
        <f aca="false">ROUND(IF(B1523&lt;(Inputs!$E$8-Inputs!$D$8)/(Inputs!$F$8-Inputs!$D$8),Inputs!$D$8+SQRT(B1523*(Inputs!$F$8-Inputs!$D$8)*(Inputs!$E$8-Inputs!$D$8)),Inputs!$F$8-SQRT((1-B1523)*(Inputs!$F$8-Inputs!$D$8)*(Inputs!$F$8-Inputs!$E$8))),0)</f>
        <v>26</v>
      </c>
      <c r="D1523" s="81" t="n">
        <f aca="true">RAND()</f>
        <v>0.976620721575789</v>
      </c>
      <c r="E1523" s="83" t="n">
        <f aca="false">IF(D1523&lt;(Inputs!$E$10-Inputs!$D$10)/(Inputs!$F$10-Inputs!$D$10),Inputs!$D$10+SQRT(D1523*(Inputs!$F$10-Inputs!$D$10)*(Inputs!$E$10-Inputs!$D$10)),Inputs!$F$10-SQRT((1-D1523)*(Inputs!$F$10-Inputs!$D$10)*(Inputs!$F$10-Inputs!$E$10)))</f>
        <v>0.173516451281478</v>
      </c>
      <c r="F1523" s="81" t="n">
        <f aca="true">RAND()</f>
        <v>0.561385591817475</v>
      </c>
      <c r="G1523" s="83" t="n">
        <f aca="false">IF(F1523&lt;(Inputs!$E$15-Inputs!$D$15)/(Inputs!$F$15-Inputs!$D$15),Inputs!$D$15+SQRT(F1523*(Inputs!$F$15-Inputs!$D$15)*(Inputs!$E$15-Inputs!$D$15)),Inputs!$F$15-SQRT((1-F1523)*(Inputs!$F$15-Inputs!$D$15)*(Inputs!$F$15-Inputs!$E$15)))</f>
        <v>0.70633950585412</v>
      </c>
      <c r="H1523" s="81" t="n">
        <f aca="true">RAND()</f>
        <v>0.809788478191271</v>
      </c>
      <c r="I1523" s="82" t="n">
        <f aca="false">ROUND(IF(H1523&lt;(Inputs!$E$17-Inputs!$D$17)/(Inputs!$F$17-Inputs!$D$17),Inputs!$D$17+SQRT(H1523*(Inputs!$F$17-Inputs!$D$17)*(Inputs!$E$17-Inputs!$D$17)),Inputs!$F$17-SQRT((1-H1523)*(Inputs!$F$17-Inputs!$D$17)*(Inputs!$F$17-Inputs!$E$17))),0)</f>
        <v>110</v>
      </c>
      <c r="J1523" s="81" t="n">
        <f aca="true">RAND()</f>
        <v>0.712069820767053</v>
      </c>
      <c r="K1523" s="83" t="n">
        <f aca="false">IF(J1523&lt;(Inputs!$E$18-Inputs!$D$18)/(Inputs!$F$18-Inputs!$D$18),Inputs!$D$18+SQRT(J1523*(Inputs!$F$18-Inputs!$D$18)*(Inputs!$E$18-Inputs!$D$18)),Inputs!$F$18-SQRT((1-J1523)*(Inputs!$F$18-Inputs!$D$18)*(Inputs!$F$18-Inputs!$E$18)))</f>
        <v>1.09127416504273</v>
      </c>
      <c r="L1523" s="81" t="n">
        <f aca="true">RAND()</f>
        <v>0.573849180647758</v>
      </c>
      <c r="M1523" s="83" t="n">
        <f aca="false">IF(L1523&lt;(Inputs!$E$24-Inputs!$D$24)/(Inputs!$F$24-Inputs!$D$24),Inputs!$D$24+SQRT(L1523*(Inputs!$F$24-Inputs!$D$24)*(Inputs!$E$24-Inputs!$D$24)),Inputs!$F$24-SQRT((1-L1523)*(Inputs!$F$24-Inputs!$D$24)*(Inputs!$F$24-Inputs!$E$24)))</f>
        <v>0.880193501247179</v>
      </c>
      <c r="N1523" s="81" t="n">
        <f aca="true">RAND()</f>
        <v>0.0016216109852818</v>
      </c>
      <c r="O1523" s="83" t="n">
        <f aca="false">IF(N1523&lt;(Inputs!$E$26-Inputs!$D$26)/(Inputs!$F$26-Inputs!$D$26),Inputs!$D$26+SQRT(N1523*(Inputs!$F$26-Inputs!$D$26)*(Inputs!$E$26-Inputs!$D$26)),Inputs!$F$26-SQRT((1-N1523)*(Inputs!$F$26-Inputs!$D$26)*(Inputs!$F$26-Inputs!$E$26)))</f>
        <v>0.316426687674358</v>
      </c>
      <c r="P1523" s="81" t="n">
        <f aca="true">RAND()</f>
        <v>0.517368069541878</v>
      </c>
      <c r="Q1523" s="82" t="n">
        <f aca="false">IF(P1523&lt;(Inputs!$E$27-Inputs!$D$27)/(Inputs!$F$27-Inputs!$D$27),Inputs!$D$27+SQRT(P1523*(Inputs!$F$27-Inputs!$D$27)*(Inputs!$E$27-Inputs!$D$27)),Inputs!$F$27-SQRT((1-P1523)*(Inputs!$F$27-Inputs!$D$27)*(Inputs!$F$27-Inputs!$E$27)))</f>
        <v>89.8357292204425</v>
      </c>
      <c r="R1523" s="81" t="n">
        <f aca="true">RAND()</f>
        <v>0.49967816316953</v>
      </c>
      <c r="S1523" s="82" t="n">
        <f aca="false">IF(R1523&lt;(Inputs!$E$29-Inputs!$D$29)/(Inputs!$F$29-Inputs!$D$29),Inputs!$D$29+SQRT(R1523*(Inputs!$F$29-Inputs!$D$29)*(Inputs!$E$29-Inputs!$D$29)),Inputs!$F$29-SQRT((1-R1523)*(Inputs!$F$29-Inputs!$D$29)*(Inputs!$F$29-Inputs!$E$29)))</f>
        <v>6.93514793762706</v>
      </c>
      <c r="T1523" s="68" t="n">
        <f aca="false">Inputs!$E$9*(1+E1523)+Inputs!$E$5*C1523*(Inputs!$E$11*Inputs!$E$14*(G1523*I1523/Inputs!$E$16+(1-G1523))*K1523+Inputs!$E$23*M1523)*(1+O1523)+Inputs!$E$5*(Q1523+S1523)</f>
        <v>6192.4495003187</v>
      </c>
    </row>
    <row r="1524" customFormat="false" ht="15" hidden="false" customHeight="false" outlineLevel="0" collapsed="false">
      <c r="A1524" s="1" t="n">
        <v>1520</v>
      </c>
      <c r="B1524" s="81" t="n">
        <f aca="true">RAND()</f>
        <v>0.180655222787779</v>
      </c>
      <c r="C1524" s="82" t="n">
        <f aca="false">ROUND(IF(B1524&lt;(Inputs!$E$8-Inputs!$D$8)/(Inputs!$F$8-Inputs!$D$8),Inputs!$D$8+SQRT(B1524*(Inputs!$F$8-Inputs!$D$8)*(Inputs!$E$8-Inputs!$D$8)),Inputs!$F$8-SQRT((1-B1524)*(Inputs!$F$8-Inputs!$D$8)*(Inputs!$F$8-Inputs!$E$8))),0)</f>
        <v>23</v>
      </c>
      <c r="D1524" s="81" t="n">
        <f aca="true">RAND()</f>
        <v>0.685987431799517</v>
      </c>
      <c r="E1524" s="83" t="n">
        <f aca="false">IF(D1524&lt;(Inputs!$E$10-Inputs!$D$10)/(Inputs!$F$10-Inputs!$D$10),Inputs!$D$10+SQRT(D1524*(Inputs!$F$10-Inputs!$D$10)*(Inputs!$E$10-Inputs!$D$10)),Inputs!$F$10-SQRT((1-D1524)*(Inputs!$F$10-Inputs!$D$10)*(Inputs!$F$10-Inputs!$E$10)))</f>
        <v>0.102941373149964</v>
      </c>
      <c r="F1524" s="81" t="n">
        <f aca="true">RAND()</f>
        <v>0.0629783909593913</v>
      </c>
      <c r="G1524" s="83" t="n">
        <f aca="false">IF(F1524&lt;(Inputs!$E$15-Inputs!$D$15)/(Inputs!$F$15-Inputs!$D$15),Inputs!$D$15+SQRT(F1524*(Inputs!$F$15-Inputs!$D$15)*(Inputs!$E$15-Inputs!$D$15)),Inputs!$F$15-SQRT((1-F1524)*(Inputs!$F$15-Inputs!$D$15)*(Inputs!$F$15-Inputs!$E$15)))</f>
        <v>0.635490390518954</v>
      </c>
      <c r="H1524" s="81" t="n">
        <f aca="true">RAND()</f>
        <v>0.329295985661403</v>
      </c>
      <c r="I1524" s="82" t="n">
        <f aca="false">ROUND(IF(H1524&lt;(Inputs!$E$17-Inputs!$D$17)/(Inputs!$F$17-Inputs!$D$17),Inputs!$D$17+SQRT(H1524*(Inputs!$F$17-Inputs!$D$17)*(Inputs!$E$17-Inputs!$D$17)),Inputs!$F$17-SQRT((1-H1524)*(Inputs!$F$17-Inputs!$D$17)*(Inputs!$F$17-Inputs!$E$17))),0)</f>
        <v>105</v>
      </c>
      <c r="J1524" s="81" t="n">
        <f aca="true">RAND()</f>
        <v>0.966574951948234</v>
      </c>
      <c r="K1524" s="83" t="n">
        <f aca="false">IF(J1524&lt;(Inputs!$E$18-Inputs!$D$18)/(Inputs!$F$18-Inputs!$D$18),Inputs!$D$18+SQRT(J1524*(Inputs!$F$18-Inputs!$D$18)*(Inputs!$E$18-Inputs!$D$18)),Inputs!$F$18-SQRT((1-J1524)*(Inputs!$F$18-Inputs!$D$18)*(Inputs!$F$18-Inputs!$E$18)))</f>
        <v>1.19591958113578</v>
      </c>
      <c r="L1524" s="81" t="n">
        <f aca="true">RAND()</f>
        <v>0.806803015002469</v>
      </c>
      <c r="M1524" s="83" t="n">
        <f aca="false">IF(L1524&lt;(Inputs!$E$24-Inputs!$D$24)/(Inputs!$F$24-Inputs!$D$24),Inputs!$D$24+SQRT(L1524*(Inputs!$F$24-Inputs!$D$24)*(Inputs!$E$24-Inputs!$D$24)),Inputs!$F$24-SQRT((1-L1524)*(Inputs!$F$24-Inputs!$D$24)*(Inputs!$F$24-Inputs!$E$24)))</f>
        <v>0.984669378862626</v>
      </c>
      <c r="N1524" s="81" t="n">
        <f aca="true">RAND()</f>
        <v>0.0680992621957072</v>
      </c>
      <c r="O1524" s="83" t="n">
        <f aca="false">IF(N1524&lt;(Inputs!$E$26-Inputs!$D$26)/(Inputs!$F$26-Inputs!$D$26),Inputs!$D$26+SQRT(N1524*(Inputs!$F$26-Inputs!$D$26)*(Inputs!$E$26-Inputs!$D$26)),Inputs!$F$26-SQRT((1-N1524)*(Inputs!$F$26-Inputs!$D$26)*(Inputs!$F$26-Inputs!$E$26)))</f>
        <v>0.406450538887155</v>
      </c>
      <c r="P1524" s="81" t="n">
        <f aca="true">RAND()</f>
        <v>0.35287087319715</v>
      </c>
      <c r="Q1524" s="82" t="n">
        <f aca="false">IF(P1524&lt;(Inputs!$E$27-Inputs!$D$27)/(Inputs!$F$27-Inputs!$D$27),Inputs!$D$27+SQRT(P1524*(Inputs!$F$27-Inputs!$D$27)*(Inputs!$E$27-Inputs!$D$27)),Inputs!$F$27-SQRT((1-P1524)*(Inputs!$F$27-Inputs!$D$27)*(Inputs!$F$27-Inputs!$E$27)))</f>
        <v>80.3331610375397</v>
      </c>
      <c r="R1524" s="81" t="n">
        <f aca="true">RAND()</f>
        <v>0.624183226933253</v>
      </c>
      <c r="S1524" s="82" t="n">
        <f aca="false">IF(R1524&lt;(Inputs!$E$29-Inputs!$D$29)/(Inputs!$F$29-Inputs!$D$29),Inputs!$D$29+SQRT(R1524*(Inputs!$F$29-Inputs!$D$29)*(Inputs!$E$29-Inputs!$D$29)),Inputs!$F$29-SQRT((1-R1524)*(Inputs!$F$29-Inputs!$D$29)*(Inputs!$F$29-Inputs!$E$29)))</f>
        <v>8.01028037052436</v>
      </c>
      <c r="T1524" s="68" t="n">
        <f aca="false">Inputs!$E$9*(1+E1524)+Inputs!$E$5*C1524*(Inputs!$E$11*Inputs!$E$14*(G1524*I1524/Inputs!$E$16+(1-G1524))*K1524+Inputs!$E$23*M1524)*(1+O1524)+Inputs!$E$5*(Q1524+S1524)</f>
        <v>6164.34887746659</v>
      </c>
    </row>
    <row r="1525" customFormat="false" ht="15" hidden="false" customHeight="false" outlineLevel="0" collapsed="false">
      <c r="A1525" s="1" t="n">
        <v>1521</v>
      </c>
      <c r="B1525" s="81" t="n">
        <f aca="true">RAND()</f>
        <v>0.0599541845499924</v>
      </c>
      <c r="C1525" s="82" t="n">
        <f aca="false">ROUND(IF(B1525&lt;(Inputs!$E$8-Inputs!$D$8)/(Inputs!$F$8-Inputs!$D$8),Inputs!$D$8+SQRT(B1525*(Inputs!$F$8-Inputs!$D$8)*(Inputs!$E$8-Inputs!$D$8)),Inputs!$F$8-SQRT((1-B1525)*(Inputs!$F$8-Inputs!$D$8)*(Inputs!$F$8-Inputs!$E$8))),0)</f>
        <v>22</v>
      </c>
      <c r="D1525" s="81" t="n">
        <f aca="true">RAND()</f>
        <v>0.643517675219646</v>
      </c>
      <c r="E1525" s="83" t="n">
        <f aca="false">IF(D1525&lt;(Inputs!$E$10-Inputs!$D$10)/(Inputs!$F$10-Inputs!$D$10),Inputs!$D$10+SQRT(D1525*(Inputs!$F$10-Inputs!$D$10)*(Inputs!$E$10-Inputs!$D$10)),Inputs!$F$10-SQRT((1-D1525)*(Inputs!$F$10-Inputs!$D$10)*(Inputs!$F$10-Inputs!$E$10)))</f>
        <v>0.0965859306312211</v>
      </c>
      <c r="F1525" s="81" t="n">
        <f aca="true">RAND()</f>
        <v>0.582791328061188</v>
      </c>
      <c r="G1525" s="83" t="n">
        <f aca="false">IF(F1525&lt;(Inputs!$E$15-Inputs!$D$15)/(Inputs!$F$15-Inputs!$D$15),Inputs!$D$15+SQRT(F1525*(Inputs!$F$15-Inputs!$D$15)*(Inputs!$E$15-Inputs!$D$15)),Inputs!$F$15-SQRT((1-F1525)*(Inputs!$F$15-Inputs!$D$15)*(Inputs!$F$15-Inputs!$E$15)))</f>
        <v>0.708653552675672</v>
      </c>
      <c r="H1525" s="81" t="n">
        <f aca="true">RAND()</f>
        <v>0.729780244912294</v>
      </c>
      <c r="I1525" s="82" t="n">
        <f aca="false">ROUND(IF(H1525&lt;(Inputs!$E$17-Inputs!$D$17)/(Inputs!$F$17-Inputs!$D$17),Inputs!$D$17+SQRT(H1525*(Inputs!$F$17-Inputs!$D$17)*(Inputs!$E$17-Inputs!$D$17)),Inputs!$F$17-SQRT((1-H1525)*(Inputs!$F$17-Inputs!$D$17)*(Inputs!$F$17-Inputs!$E$17))),0)</f>
        <v>109</v>
      </c>
      <c r="J1525" s="81" t="n">
        <f aca="true">RAND()</f>
        <v>0.193369655714684</v>
      </c>
      <c r="K1525" s="83" t="n">
        <f aca="false">IF(J1525&lt;(Inputs!$E$18-Inputs!$D$18)/(Inputs!$F$18-Inputs!$D$18),Inputs!$D$18+SQRT(J1525*(Inputs!$F$18-Inputs!$D$18)*(Inputs!$E$18-Inputs!$D$18)),Inputs!$F$18-SQRT((1-J1525)*(Inputs!$F$18-Inputs!$D$18)*(Inputs!$F$18-Inputs!$E$18)))</f>
        <v>0.982267478082253</v>
      </c>
      <c r="L1525" s="81" t="n">
        <f aca="true">RAND()</f>
        <v>0.199799386254792</v>
      </c>
      <c r="M1525" s="83" t="n">
        <f aca="false">IF(L1525&lt;(Inputs!$E$24-Inputs!$D$24)/(Inputs!$F$24-Inputs!$D$24),Inputs!$D$24+SQRT(L1525*(Inputs!$F$24-Inputs!$D$24)*(Inputs!$E$24-Inputs!$D$24)),Inputs!$F$24-SQRT((1-L1525)*(Inputs!$F$24-Inputs!$D$24)*(Inputs!$F$24-Inputs!$E$24)))</f>
        <v>0.754841616985147</v>
      </c>
      <c r="N1525" s="81" t="n">
        <f aca="true">RAND()</f>
        <v>0.893240085661141</v>
      </c>
      <c r="O1525" s="83" t="n">
        <f aca="false">IF(N1525&lt;(Inputs!$E$26-Inputs!$D$26)/(Inputs!$F$26-Inputs!$D$26),Inputs!$D$26+SQRT(N1525*(Inputs!$F$26-Inputs!$D$26)*(Inputs!$E$26-Inputs!$D$26)),Inputs!$F$26-SQRT((1-N1525)*(Inputs!$F$26-Inputs!$D$26)*(Inputs!$F$26-Inputs!$E$26)))</f>
        <v>0.714629078530928</v>
      </c>
      <c r="P1525" s="81" t="n">
        <f aca="true">RAND()</f>
        <v>0.650246289274334</v>
      </c>
      <c r="Q1525" s="82" t="n">
        <f aca="false">IF(P1525&lt;(Inputs!$E$27-Inputs!$D$27)/(Inputs!$F$27-Inputs!$D$27),Inputs!$D$27+SQRT(P1525*(Inputs!$F$27-Inputs!$D$27)*(Inputs!$E$27-Inputs!$D$27)),Inputs!$F$27-SQRT((1-P1525)*(Inputs!$F$27-Inputs!$D$27)*(Inputs!$F$27-Inputs!$E$27)))</f>
        <v>98.7832758716208</v>
      </c>
      <c r="R1525" s="81" t="n">
        <f aca="true">RAND()</f>
        <v>0.391326651634966</v>
      </c>
      <c r="S1525" s="82" t="n">
        <f aca="false">IF(R1525&lt;(Inputs!$E$29-Inputs!$D$29)/(Inputs!$F$29-Inputs!$D$29),Inputs!$D$29+SQRT(R1525*(Inputs!$F$29-Inputs!$D$29)*(Inputs!$E$29-Inputs!$D$29)),Inputs!$F$29-SQRT((1-R1525)*(Inputs!$F$29-Inputs!$D$29)*(Inputs!$F$29-Inputs!$E$29)))</f>
        <v>6.10463405545031</v>
      </c>
      <c r="T1525" s="68" t="n">
        <f aca="false">Inputs!$E$9*(1+E1525)+Inputs!$E$5*C1525*(Inputs!$E$11*Inputs!$E$14*(G1525*I1525/Inputs!$E$16+(1-G1525))*K1525+Inputs!$E$23*M1525)*(1+O1525)+Inputs!$E$5*(Q1525+S1525)</f>
        <v>5974.87817056534</v>
      </c>
    </row>
    <row r="1526" customFormat="false" ht="15" hidden="false" customHeight="false" outlineLevel="0" collapsed="false">
      <c r="A1526" s="1" t="n">
        <v>1522</v>
      </c>
      <c r="B1526" s="81" t="n">
        <f aca="true">RAND()</f>
        <v>0.130543221538129</v>
      </c>
      <c r="C1526" s="82" t="n">
        <f aca="false">ROUND(IF(B1526&lt;(Inputs!$E$8-Inputs!$D$8)/(Inputs!$F$8-Inputs!$D$8),Inputs!$D$8+SQRT(B1526*(Inputs!$F$8-Inputs!$D$8)*(Inputs!$E$8-Inputs!$D$8)),Inputs!$F$8-SQRT((1-B1526)*(Inputs!$F$8-Inputs!$D$8)*(Inputs!$F$8-Inputs!$E$8))),0)</f>
        <v>23</v>
      </c>
      <c r="D1526" s="81" t="n">
        <f aca="true">RAND()</f>
        <v>0.730406390349871</v>
      </c>
      <c r="E1526" s="83" t="n">
        <f aca="false">IF(D1526&lt;(Inputs!$E$10-Inputs!$D$10)/(Inputs!$F$10-Inputs!$D$10),Inputs!$D$10+SQRT(D1526*(Inputs!$F$10-Inputs!$D$10)*(Inputs!$E$10-Inputs!$D$10)),Inputs!$F$10-SQRT((1-D1526)*(Inputs!$F$10-Inputs!$D$10)*(Inputs!$F$10-Inputs!$E$10)))</f>
        <v>0.110067757230769</v>
      </c>
      <c r="F1526" s="81" t="n">
        <f aca="true">RAND()</f>
        <v>0.310637144454832</v>
      </c>
      <c r="G1526" s="83" t="n">
        <f aca="false">IF(F1526&lt;(Inputs!$E$15-Inputs!$D$15)/(Inputs!$F$15-Inputs!$D$15),Inputs!$D$15+SQRT(F1526*(Inputs!$F$15-Inputs!$D$15)*(Inputs!$E$15-Inputs!$D$15)),Inputs!$F$15-SQRT((1-F1526)*(Inputs!$F$15-Inputs!$D$15)*(Inputs!$F$15-Inputs!$E$15)))</f>
        <v>0.67882095463198</v>
      </c>
      <c r="H1526" s="81" t="n">
        <f aca="true">RAND()</f>
        <v>0.137700347482627</v>
      </c>
      <c r="I1526" s="82" t="n">
        <f aca="false">ROUND(IF(H1526&lt;(Inputs!$E$17-Inputs!$D$17)/(Inputs!$F$17-Inputs!$D$17),Inputs!$D$17+SQRT(H1526*(Inputs!$F$17-Inputs!$D$17)*(Inputs!$E$17-Inputs!$D$17)),Inputs!$F$17-SQRT((1-H1526)*(Inputs!$F$17-Inputs!$D$17)*(Inputs!$F$17-Inputs!$E$17))),0)</f>
        <v>103</v>
      </c>
      <c r="J1526" s="81" t="n">
        <f aca="true">RAND()</f>
        <v>0.00585298200668325</v>
      </c>
      <c r="K1526" s="83" t="n">
        <f aca="false">IF(J1526&lt;(Inputs!$E$18-Inputs!$D$18)/(Inputs!$F$18-Inputs!$D$18),Inputs!$D$18+SQRT(J1526*(Inputs!$F$18-Inputs!$D$18)*(Inputs!$E$18-Inputs!$D$18)),Inputs!$F$18-SQRT((1-J1526)*(Inputs!$F$18-Inputs!$D$18)*(Inputs!$F$18-Inputs!$E$18)))</f>
        <v>0.914312734547735</v>
      </c>
      <c r="L1526" s="81" t="n">
        <f aca="true">RAND()</f>
        <v>0.226362578007283</v>
      </c>
      <c r="M1526" s="83" t="n">
        <f aca="false">IF(L1526&lt;(Inputs!$E$24-Inputs!$D$24)/(Inputs!$F$24-Inputs!$D$24),Inputs!$D$24+SQRT(L1526*(Inputs!$F$24-Inputs!$D$24)*(Inputs!$E$24-Inputs!$D$24)),Inputs!$F$24-SQRT((1-L1526)*(Inputs!$F$24-Inputs!$D$24)*(Inputs!$F$24-Inputs!$E$24)))</f>
        <v>0.764813559396289</v>
      </c>
      <c r="N1526" s="81" t="n">
        <f aca="true">RAND()</f>
        <v>0.0154643598970547</v>
      </c>
      <c r="O1526" s="83" t="n">
        <f aca="false">IF(N1526&lt;(Inputs!$E$26-Inputs!$D$26)/(Inputs!$F$26-Inputs!$D$26),Inputs!$D$26+SQRT(N1526*(Inputs!$F$26-Inputs!$D$26)*(Inputs!$E$26-Inputs!$D$26)),Inputs!$F$26-SQRT((1-N1526)*(Inputs!$F$26-Inputs!$D$26)*(Inputs!$F$26-Inputs!$E$26)))</f>
        <v>0.350727403707167</v>
      </c>
      <c r="P1526" s="81" t="n">
        <f aca="true">RAND()</f>
        <v>0.188855296109743</v>
      </c>
      <c r="Q1526" s="82" t="n">
        <f aca="false">IF(P1526&lt;(Inputs!$E$27-Inputs!$D$27)/(Inputs!$F$27-Inputs!$D$27),Inputs!$D$27+SQRT(P1526*(Inputs!$F$27-Inputs!$D$27)*(Inputs!$E$27-Inputs!$D$27)),Inputs!$F$27-SQRT((1-P1526)*(Inputs!$F$27-Inputs!$D$27)*(Inputs!$F$27-Inputs!$E$27)))</f>
        <v>71.7287422616763</v>
      </c>
      <c r="R1526" s="81" t="n">
        <f aca="true">RAND()</f>
        <v>0.950658259454614</v>
      </c>
      <c r="S1526" s="82" t="n">
        <f aca="false">IF(R1526&lt;(Inputs!$E$29-Inputs!$D$29)/(Inputs!$F$29-Inputs!$D$29),Inputs!$D$29+SQRT(R1526*(Inputs!$F$29-Inputs!$D$29)*(Inputs!$E$29-Inputs!$D$29)),Inputs!$F$29-SQRT((1-R1526)*(Inputs!$F$29-Inputs!$D$29)*(Inputs!$F$29-Inputs!$E$29)))</f>
        <v>12.4673282346699</v>
      </c>
      <c r="T1526" s="68" t="n">
        <f aca="false">Inputs!$E$9*(1+E1526)+Inputs!$E$5*C1526*(Inputs!$E$11*Inputs!$E$14*(G1526*I1526/Inputs!$E$16+(1-G1526))*K1526+Inputs!$E$23*M1526)*(1+O1526)+Inputs!$E$5*(Q1526+S1526)</f>
        <v>5239.54827895527</v>
      </c>
    </row>
    <row r="1527" customFormat="false" ht="15" hidden="false" customHeight="false" outlineLevel="0" collapsed="false">
      <c r="A1527" s="1" t="n">
        <v>1523</v>
      </c>
      <c r="B1527" s="81" t="n">
        <f aca="true">RAND()</f>
        <v>0.221869700263808</v>
      </c>
      <c r="C1527" s="82" t="n">
        <f aca="false">ROUND(IF(B1527&lt;(Inputs!$E$8-Inputs!$D$8)/(Inputs!$F$8-Inputs!$D$8),Inputs!$D$8+SQRT(B1527*(Inputs!$F$8-Inputs!$D$8)*(Inputs!$E$8-Inputs!$D$8)),Inputs!$F$8-SQRT((1-B1527)*(Inputs!$F$8-Inputs!$D$8)*(Inputs!$F$8-Inputs!$E$8))),0)</f>
        <v>23</v>
      </c>
      <c r="D1527" s="81" t="n">
        <f aca="true">RAND()</f>
        <v>0.337606465450719</v>
      </c>
      <c r="E1527" s="83" t="n">
        <f aca="false">IF(D1527&lt;(Inputs!$E$10-Inputs!$D$10)/(Inputs!$F$10-Inputs!$D$10),Inputs!$D$10+SQRT(D1527*(Inputs!$F$10-Inputs!$D$10)*(Inputs!$E$10-Inputs!$D$10)),Inputs!$F$10-SQRT((1-D1527)*(Inputs!$F$10-Inputs!$D$10)*(Inputs!$F$10-Inputs!$E$10)))</f>
        <v>0.0590326064776736</v>
      </c>
      <c r="F1527" s="81" t="n">
        <f aca="true">RAND()</f>
        <v>0.656719356081948</v>
      </c>
      <c r="G1527" s="83" t="n">
        <f aca="false">IF(F1527&lt;(Inputs!$E$15-Inputs!$D$15)/(Inputs!$F$15-Inputs!$D$15),Inputs!$D$15+SQRT(F1527*(Inputs!$F$15-Inputs!$D$15)*(Inputs!$E$15-Inputs!$D$15)),Inputs!$F$15-SQRT((1-F1527)*(Inputs!$F$15-Inputs!$D$15)*(Inputs!$F$15-Inputs!$E$15)))</f>
        <v>0.717141006050272</v>
      </c>
      <c r="H1527" s="81" t="n">
        <f aca="true">RAND()</f>
        <v>0.139325635752623</v>
      </c>
      <c r="I1527" s="82" t="n">
        <f aca="false">ROUND(IF(H1527&lt;(Inputs!$E$17-Inputs!$D$17)/(Inputs!$F$17-Inputs!$D$17),Inputs!$D$17+SQRT(H1527*(Inputs!$F$17-Inputs!$D$17)*(Inputs!$E$17-Inputs!$D$17)),Inputs!$F$17-SQRT((1-H1527)*(Inputs!$F$17-Inputs!$D$17)*(Inputs!$F$17-Inputs!$E$17))),0)</f>
        <v>103</v>
      </c>
      <c r="J1527" s="81" t="n">
        <f aca="true">RAND()</f>
        <v>0.403111820342018</v>
      </c>
      <c r="K1527" s="83" t="n">
        <f aca="false">IF(J1527&lt;(Inputs!$E$18-Inputs!$D$18)/(Inputs!$F$18-Inputs!$D$18),Inputs!$D$18+SQRT(J1527*(Inputs!$F$18-Inputs!$D$18)*(Inputs!$E$18-Inputs!$D$18)),Inputs!$F$18-SQRT((1-J1527)*(Inputs!$F$18-Inputs!$D$18)*(Inputs!$F$18-Inputs!$E$18)))</f>
        <v>1.02146616066746</v>
      </c>
      <c r="L1527" s="81" t="n">
        <f aca="true">RAND()</f>
        <v>0.767362562646763</v>
      </c>
      <c r="M1527" s="83" t="n">
        <f aca="false">IF(L1527&lt;(Inputs!$E$24-Inputs!$D$24)/(Inputs!$F$24-Inputs!$D$24),Inputs!$D$24+SQRT(L1527*(Inputs!$F$24-Inputs!$D$24)*(Inputs!$E$24-Inputs!$D$24)),Inputs!$F$24-SQRT((1-L1527)*(Inputs!$F$24-Inputs!$D$24)*(Inputs!$F$24-Inputs!$E$24)))</f>
        <v>0.963709955849221</v>
      </c>
      <c r="N1527" s="81" t="n">
        <f aca="true">RAND()</f>
        <v>0.953759325398484</v>
      </c>
      <c r="O1527" s="83" t="n">
        <f aca="false">IF(N1527&lt;(Inputs!$E$26-Inputs!$D$26)/(Inputs!$F$26-Inputs!$D$26),Inputs!$D$26+SQRT(N1527*(Inputs!$F$26-Inputs!$D$26)*(Inputs!$E$26-Inputs!$D$26)),Inputs!$F$26-SQRT((1-N1527)*(Inputs!$F$26-Inputs!$D$26)*(Inputs!$F$26-Inputs!$E$26)))</f>
        <v>0.750652828763116</v>
      </c>
      <c r="P1527" s="81" t="n">
        <f aca="true">RAND()</f>
        <v>0.832860385290997</v>
      </c>
      <c r="Q1527" s="82" t="n">
        <f aca="false">IF(P1527&lt;(Inputs!$E$27-Inputs!$D$27)/(Inputs!$F$27-Inputs!$D$27),Inputs!$D$27+SQRT(P1527*(Inputs!$F$27-Inputs!$D$27)*(Inputs!$E$27-Inputs!$D$27)),Inputs!$F$27-SQRT((1-P1527)*(Inputs!$F$27-Inputs!$D$27)*(Inputs!$F$27-Inputs!$E$27)))</f>
        <v>114.594532762333</v>
      </c>
      <c r="R1527" s="81" t="n">
        <f aca="true">RAND()</f>
        <v>0.824869394902612</v>
      </c>
      <c r="S1527" s="82" t="n">
        <f aca="false">IF(R1527&lt;(Inputs!$E$29-Inputs!$D$29)/(Inputs!$F$29-Inputs!$D$29),Inputs!$D$29+SQRT(R1527*(Inputs!$F$29-Inputs!$D$29)*(Inputs!$E$29-Inputs!$D$29)),Inputs!$F$29-SQRT((1-R1527)*(Inputs!$F$29-Inputs!$D$29)*(Inputs!$F$29-Inputs!$E$29)))</f>
        <v>10.2285244774116</v>
      </c>
      <c r="T1527" s="68" t="n">
        <f aca="false">Inputs!$E$9*(1+E1527)+Inputs!$E$5*C1527*(Inputs!$E$11*Inputs!$E$14*(G1527*I1527/Inputs!$E$16+(1-G1527))*K1527+Inputs!$E$23*M1527)*(1+O1527)+Inputs!$E$5*(Q1527+S1527)</f>
        <v>6498.03490074242</v>
      </c>
    </row>
    <row r="1528" customFormat="false" ht="15" hidden="false" customHeight="false" outlineLevel="0" collapsed="false">
      <c r="A1528" s="1" t="n">
        <v>1524</v>
      </c>
      <c r="B1528" s="81" t="n">
        <f aca="true">RAND()</f>
        <v>0.532707894815269</v>
      </c>
      <c r="C1528" s="82" t="n">
        <f aca="false">ROUND(IF(B1528&lt;(Inputs!$E$8-Inputs!$D$8)/(Inputs!$F$8-Inputs!$D$8),Inputs!$D$8+SQRT(B1528*(Inputs!$F$8-Inputs!$D$8)*(Inputs!$E$8-Inputs!$D$8)),Inputs!$F$8-SQRT((1-B1528)*(Inputs!$F$8-Inputs!$D$8)*(Inputs!$F$8-Inputs!$E$8))),0)</f>
        <v>25</v>
      </c>
      <c r="D1528" s="81" t="n">
        <f aca="true">RAND()</f>
        <v>0.205278105221512</v>
      </c>
      <c r="E1528" s="83" t="n">
        <f aca="false">IF(D1528&lt;(Inputs!$E$10-Inputs!$D$10)/(Inputs!$F$10-Inputs!$D$10),Inputs!$D$10+SQRT(D1528*(Inputs!$F$10-Inputs!$D$10)*(Inputs!$E$10-Inputs!$D$10)),Inputs!$F$10-SQRT((1-D1528)*(Inputs!$F$10-Inputs!$D$10)*(Inputs!$F$10-Inputs!$E$10)))</f>
        <v>0.0453076268658503</v>
      </c>
      <c r="F1528" s="81" t="n">
        <f aca="true">RAND()</f>
        <v>0.159648797357982</v>
      </c>
      <c r="G1528" s="83" t="n">
        <f aca="false">IF(F1528&lt;(Inputs!$E$15-Inputs!$D$15)/(Inputs!$F$15-Inputs!$D$15),Inputs!$D$15+SQRT(F1528*(Inputs!$F$15-Inputs!$D$15)*(Inputs!$E$15-Inputs!$D$15)),Inputs!$F$15-SQRT((1-F1528)*(Inputs!$F$15-Inputs!$D$15)*(Inputs!$F$15-Inputs!$E$15)))</f>
        <v>0.656506423945952</v>
      </c>
      <c r="H1528" s="81" t="n">
        <f aca="true">RAND()</f>
        <v>0.811801186925908</v>
      </c>
      <c r="I1528" s="82" t="n">
        <f aca="false">ROUND(IF(H1528&lt;(Inputs!$E$17-Inputs!$D$17)/(Inputs!$F$17-Inputs!$D$17),Inputs!$D$17+SQRT(H1528*(Inputs!$F$17-Inputs!$D$17)*(Inputs!$E$17-Inputs!$D$17)),Inputs!$F$17-SQRT((1-H1528)*(Inputs!$F$17-Inputs!$D$17)*(Inputs!$F$17-Inputs!$E$17))),0)</f>
        <v>110</v>
      </c>
      <c r="J1528" s="81" t="n">
        <f aca="true">RAND()</f>
        <v>0.718297552138582</v>
      </c>
      <c r="K1528" s="83" t="n">
        <f aca="false">IF(J1528&lt;(Inputs!$E$18-Inputs!$D$18)/(Inputs!$F$18-Inputs!$D$18),Inputs!$D$18+SQRT(J1528*(Inputs!$F$18-Inputs!$D$18)*(Inputs!$E$18-Inputs!$D$18)),Inputs!$F$18-SQRT((1-J1528)*(Inputs!$F$18-Inputs!$D$18)*(Inputs!$F$18-Inputs!$E$18)))</f>
        <v>1.0930001140514</v>
      </c>
      <c r="L1528" s="81" t="n">
        <f aca="true">RAND()</f>
        <v>0.0542296577365849</v>
      </c>
      <c r="M1528" s="83" t="n">
        <f aca="false">IF(L1528&lt;(Inputs!$E$24-Inputs!$D$24)/(Inputs!$F$24-Inputs!$D$24),Inputs!$D$24+SQRT(L1528*(Inputs!$F$24-Inputs!$D$24)*(Inputs!$E$24-Inputs!$D$24)),Inputs!$F$24-SQRT((1-L1528)*(Inputs!$F$24-Inputs!$D$24)*(Inputs!$F$24-Inputs!$E$24)))</f>
        <v>0.680669442345849</v>
      </c>
      <c r="N1528" s="81" t="n">
        <f aca="true">RAND()</f>
        <v>0.811902110220738</v>
      </c>
      <c r="O1528" s="83" t="n">
        <f aca="false">IF(N1528&lt;(Inputs!$E$26-Inputs!$D$26)/(Inputs!$F$26-Inputs!$D$26),Inputs!$D$26+SQRT(N1528*(Inputs!$F$26-Inputs!$D$26)*(Inputs!$E$26-Inputs!$D$26)),Inputs!$F$26-SQRT((1-N1528)*(Inputs!$F$26-Inputs!$D$26)*(Inputs!$F$26-Inputs!$E$26)))</f>
        <v>0.680135134729829</v>
      </c>
      <c r="P1528" s="81" t="n">
        <f aca="true">RAND()</f>
        <v>0.0887626114077066</v>
      </c>
      <c r="Q1528" s="82" t="n">
        <f aca="false">IF(P1528&lt;(Inputs!$E$27-Inputs!$D$27)/(Inputs!$F$27-Inputs!$D$27),Inputs!$D$27+SQRT(P1528*(Inputs!$F$27-Inputs!$D$27)*(Inputs!$E$27-Inputs!$D$27)),Inputs!$F$27-SQRT((1-P1528)*(Inputs!$F$27-Inputs!$D$27)*(Inputs!$F$27-Inputs!$E$27)))</f>
        <v>64.8965273979967</v>
      </c>
      <c r="R1528" s="81" t="n">
        <f aca="true">RAND()</f>
        <v>0.847607806719349</v>
      </c>
      <c r="S1528" s="82" t="n">
        <f aca="false">IF(R1528&lt;(Inputs!$E$29-Inputs!$D$29)/(Inputs!$F$29-Inputs!$D$29),Inputs!$D$29+SQRT(R1528*(Inputs!$F$29-Inputs!$D$29)*(Inputs!$E$29-Inputs!$D$29)),Inputs!$F$29-SQRT((1-R1528)*(Inputs!$F$29-Inputs!$D$29)*(Inputs!$F$29-Inputs!$E$29)))</f>
        <v>10.5490467171083</v>
      </c>
      <c r="T1528" s="68" t="n">
        <f aca="false">Inputs!$E$9*(1+E1528)+Inputs!$E$5*C1528*(Inputs!$E$11*Inputs!$E$14*(G1528*I1528/Inputs!$E$16+(1-G1528))*K1528+Inputs!$E$23*M1528)*(1+O1528)+Inputs!$E$5*(Q1528+S1528)</f>
        <v>6290.80465533804</v>
      </c>
    </row>
    <row r="1529" customFormat="false" ht="15" hidden="false" customHeight="false" outlineLevel="0" collapsed="false">
      <c r="A1529" s="1" t="n">
        <v>1525</v>
      </c>
      <c r="B1529" s="81" t="n">
        <f aca="true">RAND()</f>
        <v>0.601527717979171</v>
      </c>
      <c r="C1529" s="82" t="n">
        <f aca="false">ROUND(IF(B1529&lt;(Inputs!$E$8-Inputs!$D$8)/(Inputs!$F$8-Inputs!$D$8),Inputs!$D$8+SQRT(B1529*(Inputs!$F$8-Inputs!$D$8)*(Inputs!$E$8-Inputs!$D$8)),Inputs!$F$8-SQRT((1-B1529)*(Inputs!$F$8-Inputs!$D$8)*(Inputs!$F$8-Inputs!$E$8))),0)</f>
        <v>26</v>
      </c>
      <c r="D1529" s="81" t="n">
        <f aca="true">RAND()</f>
        <v>0.59562100784129</v>
      </c>
      <c r="E1529" s="83" t="n">
        <f aca="false">IF(D1529&lt;(Inputs!$E$10-Inputs!$D$10)/(Inputs!$F$10-Inputs!$D$10),Inputs!$D$10+SQRT(D1529*(Inputs!$F$10-Inputs!$D$10)*(Inputs!$E$10-Inputs!$D$10)),Inputs!$F$10-SQRT((1-D1529)*(Inputs!$F$10-Inputs!$D$10)*(Inputs!$F$10-Inputs!$E$10)))</f>
        <v>0.0898575024581279</v>
      </c>
      <c r="F1529" s="81" t="n">
        <f aca="true">RAND()</f>
        <v>0.706569651629452</v>
      </c>
      <c r="G1529" s="83" t="n">
        <f aca="false">IF(F1529&lt;(Inputs!$E$15-Inputs!$D$15)/(Inputs!$F$15-Inputs!$D$15),Inputs!$D$15+SQRT(F1529*(Inputs!$F$15-Inputs!$D$15)*(Inputs!$E$15-Inputs!$D$15)),Inputs!$F$15-SQRT((1-F1529)*(Inputs!$F$15-Inputs!$D$15)*(Inputs!$F$15-Inputs!$E$15)))</f>
        <v>0.723393166313892</v>
      </c>
      <c r="H1529" s="81" t="n">
        <f aca="true">RAND()</f>
        <v>0.640772379757275</v>
      </c>
      <c r="I1529" s="82" t="n">
        <f aca="false">ROUND(IF(H1529&lt;(Inputs!$E$17-Inputs!$D$17)/(Inputs!$F$17-Inputs!$D$17),Inputs!$D$17+SQRT(H1529*(Inputs!$F$17-Inputs!$D$17)*(Inputs!$E$17-Inputs!$D$17)),Inputs!$F$17-SQRT((1-H1529)*(Inputs!$F$17-Inputs!$D$17)*(Inputs!$F$17-Inputs!$E$17))),0)</f>
        <v>108</v>
      </c>
      <c r="J1529" s="81" t="n">
        <f aca="true">RAND()</f>
        <v>0.601483780521227</v>
      </c>
      <c r="K1529" s="83" t="n">
        <f aca="false">IF(J1529&lt;(Inputs!$E$18-Inputs!$D$18)/(Inputs!$F$18-Inputs!$D$18),Inputs!$D$18+SQRT(J1529*(Inputs!$F$18-Inputs!$D$18)*(Inputs!$E$18-Inputs!$D$18)),Inputs!$F$18-SQRT((1-J1529)*(Inputs!$F$18-Inputs!$D$18)*(Inputs!$F$18-Inputs!$E$18)))</f>
        <v>1.06326444043945</v>
      </c>
      <c r="L1529" s="81" t="n">
        <f aca="true">RAND()</f>
        <v>0.546794373306673</v>
      </c>
      <c r="M1529" s="83" t="n">
        <f aca="false">IF(L1529&lt;(Inputs!$E$24-Inputs!$D$24)/(Inputs!$F$24-Inputs!$D$24),Inputs!$D$24+SQRT(L1529*(Inputs!$F$24-Inputs!$D$24)*(Inputs!$E$24-Inputs!$D$24)),Inputs!$F$24-SQRT((1-L1529)*(Inputs!$F$24-Inputs!$D$24)*(Inputs!$F$24-Inputs!$E$24)))</f>
        <v>0.870198013337702</v>
      </c>
      <c r="N1529" s="81" t="n">
        <f aca="true">RAND()</f>
        <v>0.927509803030136</v>
      </c>
      <c r="O1529" s="83" t="n">
        <f aca="false">IF(N1529&lt;(Inputs!$E$26-Inputs!$D$26)/(Inputs!$F$26-Inputs!$D$26),Inputs!$D$26+SQRT(N1529*(Inputs!$F$26-Inputs!$D$26)*(Inputs!$E$26-Inputs!$D$26)),Inputs!$F$26-SQRT((1-N1529)*(Inputs!$F$26-Inputs!$D$26)*(Inputs!$F$26-Inputs!$E$26)))</f>
        <v>0.733172697353506</v>
      </c>
      <c r="P1529" s="81" t="n">
        <f aca="true">RAND()</f>
        <v>0.874705509417224</v>
      </c>
      <c r="Q1529" s="82" t="n">
        <f aca="false">IF(P1529&lt;(Inputs!$E$27-Inputs!$D$27)/(Inputs!$F$27-Inputs!$D$27),Inputs!$D$27+SQRT(P1529*(Inputs!$F$27-Inputs!$D$27)*(Inputs!$E$27-Inputs!$D$27)),Inputs!$F$27-SQRT((1-P1529)*(Inputs!$F$27-Inputs!$D$27)*(Inputs!$F$27-Inputs!$E$27)))</f>
        <v>119.345331850258</v>
      </c>
      <c r="R1529" s="81" t="n">
        <f aca="true">RAND()</f>
        <v>0.990282814911874</v>
      </c>
      <c r="S1529" s="82" t="n">
        <f aca="false">IF(R1529&lt;(Inputs!$E$29-Inputs!$D$29)/(Inputs!$F$29-Inputs!$D$29),Inputs!$D$29+SQRT(R1529*(Inputs!$F$29-Inputs!$D$29)*(Inputs!$E$29-Inputs!$D$29)),Inputs!$F$29-SQRT((1-R1529)*(Inputs!$F$29-Inputs!$D$29)*(Inputs!$F$29-Inputs!$E$29)))</f>
        <v>13.8760631416951</v>
      </c>
      <c r="T1529" s="68" t="n">
        <f aca="false">Inputs!$E$9*(1+E1529)+Inputs!$E$5*C1529*(Inputs!$E$11*Inputs!$E$14*(G1529*I1529/Inputs!$E$16+(1-G1529))*K1529+Inputs!$E$23*M1529)*(1+O1529)+Inputs!$E$5*(Q1529+S1529)</f>
        <v>7040.73823637042</v>
      </c>
    </row>
    <row r="1530" customFormat="false" ht="15" hidden="false" customHeight="false" outlineLevel="0" collapsed="false">
      <c r="A1530" s="1" t="n">
        <v>1526</v>
      </c>
      <c r="B1530" s="81" t="n">
        <f aca="true">RAND()</f>
        <v>0.325888034847826</v>
      </c>
      <c r="C1530" s="82" t="n">
        <f aca="false">ROUND(IF(B1530&lt;(Inputs!$E$8-Inputs!$D$8)/(Inputs!$F$8-Inputs!$D$8),Inputs!$D$8+SQRT(B1530*(Inputs!$F$8-Inputs!$D$8)*(Inputs!$E$8-Inputs!$D$8)),Inputs!$F$8-SQRT((1-B1530)*(Inputs!$F$8-Inputs!$D$8)*(Inputs!$F$8-Inputs!$E$8))),0)</f>
        <v>24</v>
      </c>
      <c r="D1530" s="81" t="n">
        <f aca="true">RAND()</f>
        <v>0.173751741992131</v>
      </c>
      <c r="E1530" s="83" t="n">
        <f aca="false">IF(D1530&lt;(Inputs!$E$10-Inputs!$D$10)/(Inputs!$F$10-Inputs!$D$10),Inputs!$D$10+SQRT(D1530*(Inputs!$F$10-Inputs!$D$10)*(Inputs!$E$10-Inputs!$D$10)),Inputs!$F$10-SQRT((1-D1530)*(Inputs!$F$10-Inputs!$D$10)*(Inputs!$F$10-Inputs!$E$10)))</f>
        <v>0.0416835389562992</v>
      </c>
      <c r="F1530" s="81" t="n">
        <f aca="true">RAND()</f>
        <v>0.0624388513160091</v>
      </c>
      <c r="G1530" s="83" t="n">
        <f aca="false">IF(F1530&lt;(Inputs!$E$15-Inputs!$D$15)/(Inputs!$F$15-Inputs!$D$15),Inputs!$D$15+SQRT(F1530*(Inputs!$F$15-Inputs!$D$15)*(Inputs!$E$15-Inputs!$D$15)),Inputs!$F$15-SQRT((1-F1530)*(Inputs!$F$15-Inputs!$D$15)*(Inputs!$F$15-Inputs!$E$15)))</f>
        <v>0.635338039367234</v>
      </c>
      <c r="H1530" s="81" t="n">
        <f aca="true">RAND()</f>
        <v>0.266723909212911</v>
      </c>
      <c r="I1530" s="82" t="n">
        <f aca="false">ROUND(IF(H1530&lt;(Inputs!$E$17-Inputs!$D$17)/(Inputs!$F$17-Inputs!$D$17),Inputs!$D$17+SQRT(H1530*(Inputs!$F$17-Inputs!$D$17)*(Inputs!$E$17-Inputs!$D$17)),Inputs!$F$17-SQRT((1-H1530)*(Inputs!$F$17-Inputs!$D$17)*(Inputs!$F$17-Inputs!$E$17))),0)</f>
        <v>104</v>
      </c>
      <c r="J1530" s="81" t="n">
        <f aca="true">RAND()</f>
        <v>0.360867096711927</v>
      </c>
      <c r="K1530" s="83" t="n">
        <f aca="false">IF(J1530&lt;(Inputs!$E$18-Inputs!$D$18)/(Inputs!$F$18-Inputs!$D$18),Inputs!$D$18+SQRT(J1530*(Inputs!$F$18-Inputs!$D$18)*(Inputs!$E$18-Inputs!$D$18)),Inputs!$F$18-SQRT((1-J1530)*(Inputs!$F$18-Inputs!$D$18)*(Inputs!$F$18-Inputs!$E$18)))</f>
        <v>1.01351716967673</v>
      </c>
      <c r="L1530" s="81" t="n">
        <f aca="true">RAND()</f>
        <v>0.244157352041973</v>
      </c>
      <c r="M1530" s="83" t="n">
        <f aca="false">IF(L1530&lt;(Inputs!$E$24-Inputs!$D$24)/(Inputs!$F$24-Inputs!$D$24),Inputs!$D$24+SQRT(L1530*(Inputs!$F$24-Inputs!$D$24)*(Inputs!$E$24-Inputs!$D$24)),Inputs!$F$24-SQRT((1-L1530)*(Inputs!$F$24-Inputs!$D$24)*(Inputs!$F$24-Inputs!$E$24)))</f>
        <v>0.771169162657988</v>
      </c>
      <c r="N1530" s="81" t="n">
        <f aca="true">RAND()</f>
        <v>0.278061659273316</v>
      </c>
      <c r="O1530" s="83" t="n">
        <f aca="false">IF(N1530&lt;(Inputs!$E$26-Inputs!$D$26)/(Inputs!$F$26-Inputs!$D$26),Inputs!$D$26+SQRT(N1530*(Inputs!$F$26-Inputs!$D$26)*(Inputs!$E$26-Inputs!$D$26)),Inputs!$F$26-SQRT((1-N1530)*(Inputs!$F$26-Inputs!$D$26)*(Inputs!$F$26-Inputs!$E$26)))</f>
        <v>0.515103370738536</v>
      </c>
      <c r="P1530" s="81" t="n">
        <f aca="true">RAND()</f>
        <v>0.434702926623054</v>
      </c>
      <c r="Q1530" s="82" t="n">
        <f aca="false">IF(P1530&lt;(Inputs!$E$27-Inputs!$D$27)/(Inputs!$F$27-Inputs!$D$27),Inputs!$D$27+SQRT(P1530*(Inputs!$F$27-Inputs!$D$27)*(Inputs!$E$27-Inputs!$D$27)),Inputs!$F$27-SQRT((1-P1530)*(Inputs!$F$27-Inputs!$D$27)*(Inputs!$F$27-Inputs!$E$27)))</f>
        <v>84.8868058660374</v>
      </c>
      <c r="R1530" s="81" t="n">
        <f aca="true">RAND()</f>
        <v>0.543327468204619</v>
      </c>
      <c r="S1530" s="82" t="n">
        <f aca="false">IF(R1530&lt;(Inputs!$E$29-Inputs!$D$29)/(Inputs!$F$29-Inputs!$D$29),Inputs!$D$29+SQRT(R1530*(Inputs!$F$29-Inputs!$D$29)*(Inputs!$E$29-Inputs!$D$29)),Inputs!$F$29-SQRT((1-R1530)*(Inputs!$F$29-Inputs!$D$29)*(Inputs!$F$29-Inputs!$E$29)))</f>
        <v>7.29497377464557</v>
      </c>
      <c r="T1530" s="68" t="n">
        <f aca="false">Inputs!$E$9*(1+E1530)+Inputs!$E$5*C1530*(Inputs!$E$11*Inputs!$E$14*(G1530*I1530/Inputs!$E$16+(1-G1530))*K1530+Inputs!$E$23*M1530)*(1+O1530)+Inputs!$E$5*(Q1530+S1530)</f>
        <v>5801.03422161015</v>
      </c>
    </row>
    <row r="1531" customFormat="false" ht="15" hidden="false" customHeight="false" outlineLevel="0" collapsed="false">
      <c r="A1531" s="1" t="n">
        <v>1527</v>
      </c>
      <c r="B1531" s="81" t="n">
        <f aca="true">RAND()</f>
        <v>0.272883901865682</v>
      </c>
      <c r="C1531" s="82" t="n">
        <f aca="false">ROUND(IF(B1531&lt;(Inputs!$E$8-Inputs!$D$8)/(Inputs!$F$8-Inputs!$D$8),Inputs!$D$8+SQRT(B1531*(Inputs!$F$8-Inputs!$D$8)*(Inputs!$E$8-Inputs!$D$8)),Inputs!$F$8-SQRT((1-B1531)*(Inputs!$F$8-Inputs!$D$8)*(Inputs!$F$8-Inputs!$E$8))),0)</f>
        <v>24</v>
      </c>
      <c r="D1531" s="81" t="n">
        <f aca="true">RAND()</f>
        <v>0.822243903947749</v>
      </c>
      <c r="E1531" s="83" t="n">
        <f aca="false">IF(D1531&lt;(Inputs!$E$10-Inputs!$D$10)/(Inputs!$F$10-Inputs!$D$10),Inputs!$D$10+SQRT(D1531*(Inputs!$F$10-Inputs!$D$10)*(Inputs!$E$10-Inputs!$D$10)),Inputs!$F$10-SQRT((1-D1531)*(Inputs!$F$10-Inputs!$D$10)*(Inputs!$F$10-Inputs!$E$10)))</f>
        <v>0.126974779140577</v>
      </c>
      <c r="F1531" s="81" t="n">
        <f aca="true">RAND()</f>
        <v>0.858886808942692</v>
      </c>
      <c r="G1531" s="83" t="n">
        <f aca="false">IF(F1531&lt;(Inputs!$E$15-Inputs!$D$15)/(Inputs!$F$15-Inputs!$D$15),Inputs!$D$15+SQRT(F1531*(Inputs!$F$15-Inputs!$D$15)*(Inputs!$E$15-Inputs!$D$15)),Inputs!$F$15-SQRT((1-F1531)*(Inputs!$F$15-Inputs!$D$15)*(Inputs!$F$15-Inputs!$E$15)))</f>
        <v>0.746875016977451</v>
      </c>
      <c r="H1531" s="81" t="n">
        <f aca="true">RAND()</f>
        <v>0.86669172922325</v>
      </c>
      <c r="I1531" s="82" t="n">
        <f aca="false">ROUND(IF(H1531&lt;(Inputs!$E$17-Inputs!$D$17)/(Inputs!$F$17-Inputs!$D$17),Inputs!$D$17+SQRT(H1531*(Inputs!$F$17-Inputs!$D$17)*(Inputs!$E$17-Inputs!$D$17)),Inputs!$F$17-SQRT((1-H1531)*(Inputs!$F$17-Inputs!$D$17)*(Inputs!$F$17-Inputs!$E$17))),0)</f>
        <v>111</v>
      </c>
      <c r="J1531" s="81" t="n">
        <f aca="true">RAND()</f>
        <v>0.338052068540754</v>
      </c>
      <c r="K1531" s="83" t="n">
        <f aca="false">IF(J1531&lt;(Inputs!$E$18-Inputs!$D$18)/(Inputs!$F$18-Inputs!$D$18),Inputs!$D$18+SQRT(J1531*(Inputs!$F$18-Inputs!$D$18)*(Inputs!$E$18-Inputs!$D$18)),Inputs!$F$18-SQRT((1-J1531)*(Inputs!$F$18-Inputs!$D$18)*(Inputs!$F$18-Inputs!$E$18)))</f>
        <v>1.00933333425112</v>
      </c>
      <c r="L1531" s="81" t="n">
        <f aca="true">RAND()</f>
        <v>0.484005670849844</v>
      </c>
      <c r="M1531" s="83" t="n">
        <f aca="false">IF(L1531&lt;(Inputs!$E$24-Inputs!$D$24)/(Inputs!$F$24-Inputs!$D$24),Inputs!$D$24+SQRT(L1531*(Inputs!$F$24-Inputs!$D$24)*(Inputs!$E$24-Inputs!$D$24)),Inputs!$F$24-SQRT((1-L1531)*(Inputs!$F$24-Inputs!$D$24)*(Inputs!$F$24-Inputs!$E$24)))</f>
        <v>0.848092854582295</v>
      </c>
      <c r="N1531" s="81" t="n">
        <f aca="true">RAND()</f>
        <v>0.853793154593241</v>
      </c>
      <c r="O1531" s="83" t="n">
        <f aca="false">IF(N1531&lt;(Inputs!$E$26-Inputs!$D$26)/(Inputs!$F$26-Inputs!$D$26),Inputs!$D$26+SQRT(N1531*(Inputs!$F$26-Inputs!$D$26)*(Inputs!$E$26-Inputs!$D$26)),Inputs!$F$26-SQRT((1-N1531)*(Inputs!$F$26-Inputs!$D$26)*(Inputs!$F$26-Inputs!$E$26)))</f>
        <v>0.696689368170044</v>
      </c>
      <c r="P1531" s="81" t="n">
        <f aca="true">RAND()</f>
        <v>0.341031739003161</v>
      </c>
      <c r="Q1531" s="82" t="n">
        <f aca="false">IF(P1531&lt;(Inputs!$E$27-Inputs!$D$27)/(Inputs!$F$27-Inputs!$D$27),Inputs!$D$27+SQRT(P1531*(Inputs!$F$27-Inputs!$D$27)*(Inputs!$E$27-Inputs!$D$27)),Inputs!$F$27-SQRT((1-P1531)*(Inputs!$F$27-Inputs!$D$27)*(Inputs!$F$27-Inputs!$E$27)))</f>
        <v>79.6987769844913</v>
      </c>
      <c r="R1531" s="81" t="n">
        <f aca="true">RAND()</f>
        <v>0.536201885184585</v>
      </c>
      <c r="S1531" s="82" t="n">
        <f aca="false">IF(R1531&lt;(Inputs!$E$29-Inputs!$D$29)/(Inputs!$F$29-Inputs!$D$29),Inputs!$D$29+SQRT(R1531*(Inputs!$F$29-Inputs!$D$29)*(Inputs!$E$29-Inputs!$D$29)),Inputs!$F$29-SQRT((1-R1531)*(Inputs!$F$29-Inputs!$D$29)*(Inputs!$F$29-Inputs!$E$29)))</f>
        <v>7.23509466084718</v>
      </c>
      <c r="T1531" s="68" t="n">
        <f aca="false">Inputs!$E$9*(1+E1531)+Inputs!$E$5*C1531*(Inputs!$E$11*Inputs!$E$14*(G1531*I1531/Inputs!$E$16+(1-G1531))*K1531+Inputs!$E$23*M1531)*(1+O1531)+Inputs!$E$5*(Q1531+S1531)</f>
        <v>6364.86860155664</v>
      </c>
    </row>
    <row r="1532" customFormat="false" ht="15" hidden="false" customHeight="false" outlineLevel="0" collapsed="false">
      <c r="A1532" s="1" t="n">
        <v>1528</v>
      </c>
      <c r="B1532" s="81" t="n">
        <f aca="true">RAND()</f>
        <v>0.859078984790257</v>
      </c>
      <c r="C1532" s="82" t="n">
        <f aca="false">ROUND(IF(B1532&lt;(Inputs!$E$8-Inputs!$D$8)/(Inputs!$F$8-Inputs!$D$8),Inputs!$D$8+SQRT(B1532*(Inputs!$F$8-Inputs!$D$8)*(Inputs!$E$8-Inputs!$D$8)),Inputs!$F$8-SQRT((1-B1532)*(Inputs!$F$8-Inputs!$D$8)*(Inputs!$F$8-Inputs!$E$8))),0)</f>
        <v>27</v>
      </c>
      <c r="D1532" s="81" t="n">
        <f aca="true">RAND()</f>
        <v>0.237456000827081</v>
      </c>
      <c r="E1532" s="83" t="n">
        <f aca="false">IF(D1532&lt;(Inputs!$E$10-Inputs!$D$10)/(Inputs!$F$10-Inputs!$D$10),Inputs!$D$10+SQRT(D1532*(Inputs!$F$10-Inputs!$D$10)*(Inputs!$E$10-Inputs!$D$10)),Inputs!$F$10-SQRT((1-D1532)*(Inputs!$F$10-Inputs!$D$10)*(Inputs!$F$10-Inputs!$E$10)))</f>
        <v>0.0487294572950573</v>
      </c>
      <c r="F1532" s="81" t="n">
        <f aca="true">RAND()</f>
        <v>0.806964265778263</v>
      </c>
      <c r="G1532" s="83" t="n">
        <f aca="false">IF(F1532&lt;(Inputs!$E$15-Inputs!$D$15)/(Inputs!$F$15-Inputs!$D$15),Inputs!$D$15+SQRT(F1532*(Inputs!$F$15-Inputs!$D$15)*(Inputs!$E$15-Inputs!$D$15)),Inputs!$F$15-SQRT((1-F1532)*(Inputs!$F$15-Inputs!$D$15)*(Inputs!$F$15-Inputs!$E$15)))</f>
        <v>0.737865350371675</v>
      </c>
      <c r="H1532" s="81" t="n">
        <f aca="true">RAND()</f>
        <v>0.565341022845011</v>
      </c>
      <c r="I1532" s="82" t="n">
        <f aca="false">ROUND(IF(H1532&lt;(Inputs!$E$17-Inputs!$D$17)/(Inputs!$F$17-Inputs!$D$17),Inputs!$D$17+SQRT(H1532*(Inputs!$F$17-Inputs!$D$17)*(Inputs!$E$17-Inputs!$D$17)),Inputs!$F$17-SQRT((1-H1532)*(Inputs!$F$17-Inputs!$D$17)*(Inputs!$F$17-Inputs!$E$17))),0)</f>
        <v>107</v>
      </c>
      <c r="J1532" s="81" t="n">
        <f aca="true">RAND()</f>
        <v>0.0229962022449655</v>
      </c>
      <c r="K1532" s="83" t="n">
        <f aca="false">IF(J1532&lt;(Inputs!$E$18-Inputs!$D$18)/(Inputs!$F$18-Inputs!$D$18),Inputs!$D$18+SQRT(J1532*(Inputs!$F$18-Inputs!$D$18)*(Inputs!$E$18-Inputs!$D$18)),Inputs!$F$18-SQRT((1-J1532)*(Inputs!$F$18-Inputs!$D$18)*(Inputs!$F$18-Inputs!$E$18)))</f>
        <v>0.928370179389172</v>
      </c>
      <c r="L1532" s="81" t="n">
        <f aca="true">RAND()</f>
        <v>0.277152698318207</v>
      </c>
      <c r="M1532" s="83" t="n">
        <f aca="false">IF(L1532&lt;(Inputs!$E$24-Inputs!$D$24)/(Inputs!$F$24-Inputs!$D$24),Inputs!$D$24+SQRT(L1532*(Inputs!$F$24-Inputs!$D$24)*(Inputs!$E$24-Inputs!$D$24)),Inputs!$F$24-SQRT((1-L1532)*(Inputs!$F$24-Inputs!$D$24)*(Inputs!$F$24-Inputs!$E$24)))</f>
        <v>0.782368648068096</v>
      </c>
      <c r="N1532" s="81" t="n">
        <f aca="true">RAND()</f>
        <v>0.467505170820981</v>
      </c>
      <c r="O1532" s="83" t="n">
        <f aca="false">IF(N1532&lt;(Inputs!$E$26-Inputs!$D$26)/(Inputs!$F$26-Inputs!$D$26),Inputs!$D$26+SQRT(N1532*(Inputs!$F$26-Inputs!$D$26)*(Inputs!$E$26-Inputs!$D$26)),Inputs!$F$26-SQRT((1-N1532)*(Inputs!$F$26-Inputs!$D$26)*(Inputs!$F$26-Inputs!$E$26)))</f>
        <v>0.578913715017048</v>
      </c>
      <c r="P1532" s="81" t="n">
        <f aca="true">RAND()</f>
        <v>0.666303595872714</v>
      </c>
      <c r="Q1532" s="82" t="n">
        <f aca="false">IF(P1532&lt;(Inputs!$E$27-Inputs!$D$27)/(Inputs!$F$27-Inputs!$D$27),Inputs!$D$27+SQRT(P1532*(Inputs!$F$27-Inputs!$D$27)*(Inputs!$E$27-Inputs!$D$27)),Inputs!$F$27-SQRT((1-P1532)*(Inputs!$F$27-Inputs!$D$27)*(Inputs!$F$27-Inputs!$E$27)))</f>
        <v>99.9727771013157</v>
      </c>
      <c r="R1532" s="81" t="n">
        <f aca="true">RAND()</f>
        <v>0.168908861725033</v>
      </c>
      <c r="S1532" s="82" t="n">
        <f aca="false">IF(R1532&lt;(Inputs!$E$29-Inputs!$D$29)/(Inputs!$F$29-Inputs!$D$29),Inputs!$D$29+SQRT(R1532*(Inputs!$F$29-Inputs!$D$29)*(Inputs!$E$29-Inputs!$D$29)),Inputs!$F$29-SQRT((1-R1532)*(Inputs!$F$29-Inputs!$D$29)*(Inputs!$F$29-Inputs!$E$29)))</f>
        <v>4.56660195731171</v>
      </c>
      <c r="T1532" s="68" t="n">
        <f aca="false">Inputs!$E$9*(1+E1532)+Inputs!$E$5*C1532*(Inputs!$E$11*Inputs!$E$14*(G1532*I1532/Inputs!$E$16+(1-G1532))*K1532+Inputs!$E$23*M1532)*(1+O1532)+Inputs!$E$5*(Q1532+S1532)</f>
        <v>6118.69817116267</v>
      </c>
    </row>
    <row r="1533" customFormat="false" ht="15" hidden="false" customHeight="false" outlineLevel="0" collapsed="false">
      <c r="A1533" s="1" t="n">
        <v>1529</v>
      </c>
      <c r="B1533" s="81" t="n">
        <f aca="true">RAND()</f>
        <v>0.320932881024521</v>
      </c>
      <c r="C1533" s="82" t="n">
        <f aca="false">ROUND(IF(B1533&lt;(Inputs!$E$8-Inputs!$D$8)/(Inputs!$F$8-Inputs!$D$8),Inputs!$D$8+SQRT(B1533*(Inputs!$F$8-Inputs!$D$8)*(Inputs!$E$8-Inputs!$D$8)),Inputs!$F$8-SQRT((1-B1533)*(Inputs!$F$8-Inputs!$D$8)*(Inputs!$F$8-Inputs!$E$8))),0)</f>
        <v>24</v>
      </c>
      <c r="D1533" s="81" t="n">
        <f aca="true">RAND()</f>
        <v>0.963532084762525</v>
      </c>
      <c r="E1533" s="83" t="n">
        <f aca="false">IF(D1533&lt;(Inputs!$E$10-Inputs!$D$10)/(Inputs!$F$10-Inputs!$D$10),Inputs!$D$10+SQRT(D1533*(Inputs!$F$10-Inputs!$D$10)*(Inputs!$E$10-Inputs!$D$10)),Inputs!$F$10-SQRT((1-D1533)*(Inputs!$F$10-Inputs!$D$10)*(Inputs!$F$10-Inputs!$E$10)))</f>
        <v>0.166923762953984</v>
      </c>
      <c r="F1533" s="81" t="n">
        <f aca="true">RAND()</f>
        <v>0.105596617891309</v>
      </c>
      <c r="G1533" s="83" t="n">
        <f aca="false">IF(F1533&lt;(Inputs!$E$15-Inputs!$D$15)/(Inputs!$F$15-Inputs!$D$15),Inputs!$D$15+SQRT(F1533*(Inputs!$F$15-Inputs!$D$15)*(Inputs!$E$15-Inputs!$D$15)),Inputs!$F$15-SQRT((1-F1533)*(Inputs!$F$15-Inputs!$D$15)*(Inputs!$F$15-Inputs!$E$15)))</f>
        <v>0.64595576522947</v>
      </c>
      <c r="H1533" s="81" t="n">
        <f aca="true">RAND()</f>
        <v>0.10326604289215</v>
      </c>
      <c r="I1533" s="82" t="n">
        <f aca="false">ROUND(IF(H1533&lt;(Inputs!$E$17-Inputs!$D$17)/(Inputs!$F$17-Inputs!$D$17),Inputs!$D$17+SQRT(H1533*(Inputs!$F$17-Inputs!$D$17)*(Inputs!$E$17-Inputs!$D$17)),Inputs!$F$17-SQRT((1-H1533)*(Inputs!$F$17-Inputs!$D$17)*(Inputs!$F$17-Inputs!$E$17))),0)</f>
        <v>103</v>
      </c>
      <c r="J1533" s="81" t="n">
        <f aca="true">RAND()</f>
        <v>0.626897559860263</v>
      </c>
      <c r="K1533" s="83" t="n">
        <f aca="false">IF(J1533&lt;(Inputs!$E$18-Inputs!$D$18)/(Inputs!$F$18-Inputs!$D$18),Inputs!$D$18+SQRT(J1533*(Inputs!$F$18-Inputs!$D$18)*(Inputs!$E$18-Inputs!$D$18)),Inputs!$F$18-SQRT((1-J1533)*(Inputs!$F$18-Inputs!$D$18)*(Inputs!$F$18-Inputs!$E$18)))</f>
        <v>1.06931667616455</v>
      </c>
      <c r="L1533" s="81" t="n">
        <f aca="true">RAND()</f>
        <v>0.881499539244372</v>
      </c>
      <c r="M1533" s="83" t="n">
        <f aca="false">IF(L1533&lt;(Inputs!$E$24-Inputs!$D$24)/(Inputs!$F$24-Inputs!$D$24),Inputs!$D$24+SQRT(L1533*(Inputs!$F$24-Inputs!$D$24)*(Inputs!$E$24-Inputs!$D$24)),Inputs!$F$24-SQRT((1-L1533)*(Inputs!$F$24-Inputs!$D$24)*(Inputs!$F$24-Inputs!$E$24)))</f>
        <v>1.03135804027066</v>
      </c>
      <c r="N1533" s="81" t="n">
        <f aca="true">RAND()</f>
        <v>0.450052559977729</v>
      </c>
      <c r="O1533" s="83" t="n">
        <f aca="false">IF(N1533&lt;(Inputs!$E$26-Inputs!$D$26)/(Inputs!$F$26-Inputs!$D$26),Inputs!$D$26+SQRT(N1533*(Inputs!$F$26-Inputs!$D$26)*(Inputs!$E$26-Inputs!$D$26)),Inputs!$F$26-SQRT((1-N1533)*(Inputs!$F$26-Inputs!$D$26)*(Inputs!$F$26-Inputs!$E$26)))</f>
        <v>0.573658082249171</v>
      </c>
      <c r="P1533" s="81" t="n">
        <f aca="true">RAND()</f>
        <v>0.106663312140173</v>
      </c>
      <c r="Q1533" s="82" t="n">
        <f aca="false">IF(P1533&lt;(Inputs!$E$27-Inputs!$D$27)/(Inputs!$F$27-Inputs!$D$27),Inputs!$D$27+SQRT(P1533*(Inputs!$F$27-Inputs!$D$27)*(Inputs!$E$27-Inputs!$D$27)),Inputs!$F$27-SQRT((1-P1533)*(Inputs!$F$27-Inputs!$D$27)*(Inputs!$F$27-Inputs!$E$27)))</f>
        <v>66.3296748390907</v>
      </c>
      <c r="R1533" s="81" t="n">
        <f aca="true">RAND()</f>
        <v>0.738911077584308</v>
      </c>
      <c r="S1533" s="82" t="n">
        <f aca="false">IF(R1533&lt;(Inputs!$E$29-Inputs!$D$29)/(Inputs!$F$29-Inputs!$D$29),Inputs!$D$29+SQRT(R1533*(Inputs!$F$29-Inputs!$D$29)*(Inputs!$E$29-Inputs!$D$29)),Inputs!$F$29-SQRT((1-R1533)*(Inputs!$F$29-Inputs!$D$29)*(Inputs!$F$29-Inputs!$E$29)))</f>
        <v>9.17406145637975</v>
      </c>
      <c r="T1533" s="68" t="n">
        <f aca="false">Inputs!$E$9*(1+E1533)+Inputs!$E$5*C1533*(Inputs!$E$11*Inputs!$E$14*(G1533*I1533/Inputs!$E$16+(1-G1533))*K1533+Inputs!$E$23*M1533)*(1+O1533)+Inputs!$E$5*(Q1533+S1533)</f>
        <v>6553.15680937569</v>
      </c>
    </row>
    <row r="1534" customFormat="false" ht="15" hidden="false" customHeight="false" outlineLevel="0" collapsed="false">
      <c r="A1534" s="1" t="n">
        <v>1530</v>
      </c>
      <c r="B1534" s="81" t="n">
        <f aca="true">RAND()</f>
        <v>0.408073415660549</v>
      </c>
      <c r="C1534" s="82" t="n">
        <f aca="false">ROUND(IF(B1534&lt;(Inputs!$E$8-Inputs!$D$8)/(Inputs!$F$8-Inputs!$D$8),Inputs!$D$8+SQRT(B1534*(Inputs!$F$8-Inputs!$D$8)*(Inputs!$E$8-Inputs!$D$8)),Inputs!$F$8-SQRT((1-B1534)*(Inputs!$F$8-Inputs!$D$8)*(Inputs!$F$8-Inputs!$E$8))),0)</f>
        <v>25</v>
      </c>
      <c r="D1534" s="81" t="n">
        <f aca="true">RAND()</f>
        <v>0.885966571360397</v>
      </c>
      <c r="E1534" s="83" t="n">
        <f aca="false">IF(D1534&lt;(Inputs!$E$10-Inputs!$D$10)/(Inputs!$F$10-Inputs!$D$10),Inputs!$D$10+SQRT(D1534*(Inputs!$F$10-Inputs!$D$10)*(Inputs!$E$10-Inputs!$D$10)),Inputs!$F$10-SQRT((1-D1534)*(Inputs!$F$10-Inputs!$D$10)*(Inputs!$F$10-Inputs!$E$10)))</f>
        <v>0.141510660294477</v>
      </c>
      <c r="F1534" s="81" t="n">
        <f aca="true">RAND()</f>
        <v>0.187912036827242</v>
      </c>
      <c r="G1534" s="83" t="n">
        <f aca="false">IF(F1534&lt;(Inputs!$E$15-Inputs!$D$15)/(Inputs!$F$15-Inputs!$D$15),Inputs!$D$15+SQRT(F1534*(Inputs!$F$15-Inputs!$D$15)*(Inputs!$E$15-Inputs!$D$15)),Inputs!$F$15-SQRT((1-F1534)*(Inputs!$F$15-Inputs!$D$15)*(Inputs!$F$15-Inputs!$E$15)))</f>
        <v>0.661304491976892</v>
      </c>
      <c r="H1534" s="81" t="n">
        <f aca="true">RAND()</f>
        <v>0.696629838174132</v>
      </c>
      <c r="I1534" s="82" t="n">
        <f aca="false">ROUND(IF(H1534&lt;(Inputs!$E$17-Inputs!$D$17)/(Inputs!$F$17-Inputs!$D$17),Inputs!$D$17+SQRT(H1534*(Inputs!$F$17-Inputs!$D$17)*(Inputs!$E$17-Inputs!$D$17)),Inputs!$F$17-SQRT((1-H1534)*(Inputs!$F$17-Inputs!$D$17)*(Inputs!$F$17-Inputs!$E$17))),0)</f>
        <v>108</v>
      </c>
      <c r="J1534" s="81" t="n">
        <f aca="true">RAND()</f>
        <v>0.599632737258881</v>
      </c>
      <c r="K1534" s="83" t="n">
        <f aca="false">IF(J1534&lt;(Inputs!$E$18-Inputs!$D$18)/(Inputs!$F$18-Inputs!$D$18),Inputs!$D$18+SQRT(J1534*(Inputs!$F$18-Inputs!$D$18)*(Inputs!$E$18-Inputs!$D$18)),Inputs!$F$18-SQRT((1-J1534)*(Inputs!$F$18-Inputs!$D$18)*(Inputs!$F$18-Inputs!$E$18)))</f>
        <v>1.06283126465713</v>
      </c>
      <c r="L1534" s="81" t="n">
        <f aca="true">RAND()</f>
        <v>0.265311534688454</v>
      </c>
      <c r="M1534" s="83" t="n">
        <f aca="false">IF(L1534&lt;(Inputs!$E$24-Inputs!$D$24)/(Inputs!$F$24-Inputs!$D$24),Inputs!$D$24+SQRT(L1534*(Inputs!$F$24-Inputs!$D$24)*(Inputs!$E$24-Inputs!$D$24)),Inputs!$F$24-SQRT((1-L1534)*(Inputs!$F$24-Inputs!$D$24)*(Inputs!$F$24-Inputs!$E$24)))</f>
        <v>0.778430334199694</v>
      </c>
      <c r="N1534" s="81" t="n">
        <f aca="true">RAND()</f>
        <v>0.289029874055915</v>
      </c>
      <c r="O1534" s="83" t="n">
        <f aca="false">IF(N1534&lt;(Inputs!$E$26-Inputs!$D$26)/(Inputs!$F$26-Inputs!$D$26),Inputs!$D$26+SQRT(N1534*(Inputs!$F$26-Inputs!$D$26)*(Inputs!$E$26-Inputs!$D$26)),Inputs!$F$26-SQRT((1-N1534)*(Inputs!$F$26-Inputs!$D$26)*(Inputs!$F$26-Inputs!$E$26)))</f>
        <v>0.519304744688537</v>
      </c>
      <c r="P1534" s="81" t="n">
        <f aca="true">RAND()</f>
        <v>0.140205799616692</v>
      </c>
      <c r="Q1534" s="82" t="n">
        <f aca="false">IF(P1534&lt;(Inputs!$E$27-Inputs!$D$27)/(Inputs!$F$27-Inputs!$D$27),Inputs!$D$27+SQRT(P1534*(Inputs!$F$27-Inputs!$D$27)*(Inputs!$E$27-Inputs!$D$27)),Inputs!$F$27-SQRT((1-P1534)*(Inputs!$F$27-Inputs!$D$27)*(Inputs!$F$27-Inputs!$E$27)))</f>
        <v>68.7220324495427</v>
      </c>
      <c r="R1534" s="81" t="n">
        <f aca="true">RAND()</f>
        <v>0.783387684121445</v>
      </c>
      <c r="S1534" s="82" t="n">
        <f aca="false">IF(R1534&lt;(Inputs!$E$29-Inputs!$D$29)/(Inputs!$F$29-Inputs!$D$29),Inputs!$D$29+SQRT(R1534*(Inputs!$F$29-Inputs!$D$29)*(Inputs!$E$29-Inputs!$D$29)),Inputs!$F$29-SQRT((1-R1534)*(Inputs!$F$29-Inputs!$D$29)*(Inputs!$F$29-Inputs!$E$29)))</f>
        <v>9.69343792421005</v>
      </c>
      <c r="T1534" s="68" t="n">
        <f aca="false">Inputs!$E$9*(1+E1534)+Inputs!$E$5*C1534*(Inputs!$E$11*Inputs!$E$14*(G1534*I1534/Inputs!$E$16+(1-G1534))*K1534+Inputs!$E$23*M1534)*(1+O1534)+Inputs!$E$5*(Q1534+S1534)</f>
        <v>6210.70871384225</v>
      </c>
    </row>
    <row r="1535" customFormat="false" ht="15" hidden="false" customHeight="false" outlineLevel="0" collapsed="false">
      <c r="A1535" s="1" t="n">
        <v>1531</v>
      </c>
      <c r="B1535" s="81" t="n">
        <f aca="true">RAND()</f>
        <v>0.817401142116937</v>
      </c>
      <c r="C1535" s="82" t="n">
        <f aca="false">ROUND(IF(B1535&lt;(Inputs!$E$8-Inputs!$D$8)/(Inputs!$F$8-Inputs!$D$8),Inputs!$D$8+SQRT(B1535*(Inputs!$F$8-Inputs!$D$8)*(Inputs!$E$8-Inputs!$D$8)),Inputs!$F$8-SQRT((1-B1535)*(Inputs!$F$8-Inputs!$D$8)*(Inputs!$F$8-Inputs!$E$8))),0)</f>
        <v>27</v>
      </c>
      <c r="D1535" s="81" t="n">
        <f aca="true">RAND()</f>
        <v>0.753004900641722</v>
      </c>
      <c r="E1535" s="83" t="n">
        <f aca="false">IF(D1535&lt;(Inputs!$E$10-Inputs!$D$10)/(Inputs!$F$10-Inputs!$D$10),Inputs!$D$10+SQRT(D1535*(Inputs!$F$10-Inputs!$D$10)*(Inputs!$E$10-Inputs!$D$10)),Inputs!$F$10-SQRT((1-D1535)*(Inputs!$F$10-Inputs!$D$10)*(Inputs!$F$10-Inputs!$E$10)))</f>
        <v>0.113919497092847</v>
      </c>
      <c r="F1535" s="81" t="n">
        <f aca="true">RAND()</f>
        <v>0.41870473478206</v>
      </c>
      <c r="G1535" s="83" t="n">
        <f aca="false">IF(F1535&lt;(Inputs!$E$15-Inputs!$D$15)/(Inputs!$F$15-Inputs!$D$15),Inputs!$D$15+SQRT(F1535*(Inputs!$F$15-Inputs!$D$15)*(Inputs!$E$15-Inputs!$D$15)),Inputs!$F$15-SQRT((1-F1535)*(Inputs!$F$15-Inputs!$D$15)*(Inputs!$F$15-Inputs!$E$15)))</f>
        <v>0.691510079748852</v>
      </c>
      <c r="H1535" s="81" t="n">
        <f aca="true">RAND()</f>
        <v>0.195494974220496</v>
      </c>
      <c r="I1535" s="82" t="n">
        <f aca="false">ROUND(IF(H1535&lt;(Inputs!$E$17-Inputs!$D$17)/(Inputs!$F$17-Inputs!$D$17),Inputs!$D$17+SQRT(H1535*(Inputs!$F$17-Inputs!$D$17)*(Inputs!$E$17-Inputs!$D$17)),Inputs!$F$17-SQRT((1-H1535)*(Inputs!$F$17-Inputs!$D$17)*(Inputs!$F$17-Inputs!$E$17))),0)</f>
        <v>104</v>
      </c>
      <c r="J1535" s="81" t="n">
        <f aca="true">RAND()</f>
        <v>0.958604486097344</v>
      </c>
      <c r="K1535" s="83" t="n">
        <f aca="false">IF(J1535&lt;(Inputs!$E$18-Inputs!$D$18)/(Inputs!$F$18-Inputs!$D$18),Inputs!$D$18+SQRT(J1535*(Inputs!$F$18-Inputs!$D$18)*(Inputs!$E$18-Inputs!$D$18)),Inputs!$F$18-SQRT((1-J1535)*(Inputs!$F$18-Inputs!$D$18)*(Inputs!$F$18-Inputs!$E$18)))</f>
        <v>1.18981605308321</v>
      </c>
      <c r="L1535" s="81" t="n">
        <f aca="true">RAND()</f>
        <v>0.486985473736987</v>
      </c>
      <c r="M1535" s="83" t="n">
        <f aca="false">IF(L1535&lt;(Inputs!$E$24-Inputs!$D$24)/(Inputs!$F$24-Inputs!$D$24),Inputs!$D$24+SQRT(L1535*(Inputs!$F$24-Inputs!$D$24)*(Inputs!$E$24-Inputs!$D$24)),Inputs!$F$24-SQRT((1-L1535)*(Inputs!$F$24-Inputs!$D$24)*(Inputs!$F$24-Inputs!$E$24)))</f>
        <v>0.849110435744916</v>
      </c>
      <c r="N1535" s="81" t="n">
        <f aca="true">RAND()</f>
        <v>0.696362387915259</v>
      </c>
      <c r="O1535" s="83" t="n">
        <f aca="false">IF(N1535&lt;(Inputs!$E$26-Inputs!$D$26)/(Inputs!$F$26-Inputs!$D$26),Inputs!$D$26+SQRT(N1535*(Inputs!$F$26-Inputs!$D$26)*(Inputs!$E$26-Inputs!$D$26)),Inputs!$F$26-SQRT((1-N1535)*(Inputs!$F$26-Inputs!$D$26)*(Inputs!$F$26-Inputs!$E$26)))</f>
        <v>0.642297125355798</v>
      </c>
      <c r="P1535" s="81" t="n">
        <f aca="true">RAND()</f>
        <v>0.279416438951002</v>
      </c>
      <c r="Q1535" s="82" t="n">
        <f aca="false">IF(P1535&lt;(Inputs!$E$27-Inputs!$D$27)/(Inputs!$F$27-Inputs!$D$27),Inputs!$D$27+SQRT(P1535*(Inputs!$F$27-Inputs!$D$27)*(Inputs!$E$27-Inputs!$D$27)),Inputs!$F$27-SQRT((1-P1535)*(Inputs!$F$27-Inputs!$D$27)*(Inputs!$F$27-Inputs!$E$27)))</f>
        <v>76.4855340231089</v>
      </c>
      <c r="R1535" s="81" t="n">
        <f aca="true">RAND()</f>
        <v>0.0166642552912685</v>
      </c>
      <c r="S1535" s="82" t="n">
        <f aca="false">IF(R1535&lt;(Inputs!$E$29-Inputs!$D$29)/(Inputs!$F$29-Inputs!$D$29),Inputs!$D$29+SQRT(R1535*(Inputs!$F$29-Inputs!$D$29)*(Inputs!$E$29-Inputs!$D$29)),Inputs!$F$29-SQRT((1-R1535)*(Inputs!$F$29-Inputs!$D$29)*(Inputs!$F$29-Inputs!$E$29)))</f>
        <v>2.80616744933015</v>
      </c>
      <c r="T1535" s="68" t="n">
        <f aca="false">Inputs!$E$9*(1+E1535)+Inputs!$E$5*C1535*(Inputs!$E$11*Inputs!$E$14*(G1535*I1535/Inputs!$E$16+(1-G1535))*K1535+Inputs!$E$23*M1535)*(1+O1535)+Inputs!$E$5*(Q1535+S1535)</f>
        <v>7022.31560467233</v>
      </c>
    </row>
    <row r="1536" customFormat="false" ht="15" hidden="false" customHeight="false" outlineLevel="0" collapsed="false">
      <c r="A1536" s="1" t="n">
        <v>1532</v>
      </c>
      <c r="B1536" s="81" t="n">
        <f aca="true">RAND()</f>
        <v>0.964800339150367</v>
      </c>
      <c r="C1536" s="82" t="n">
        <f aca="false">ROUND(IF(B1536&lt;(Inputs!$E$8-Inputs!$D$8)/(Inputs!$F$8-Inputs!$D$8),Inputs!$D$8+SQRT(B1536*(Inputs!$F$8-Inputs!$D$8)*(Inputs!$E$8-Inputs!$D$8)),Inputs!$F$8-SQRT((1-B1536)*(Inputs!$F$8-Inputs!$D$8)*(Inputs!$F$8-Inputs!$E$8))),0)</f>
        <v>29</v>
      </c>
      <c r="D1536" s="81" t="n">
        <f aca="true">RAND()</f>
        <v>0.263919207503031</v>
      </c>
      <c r="E1536" s="83" t="n">
        <f aca="false">IF(D1536&lt;(Inputs!$E$10-Inputs!$D$10)/(Inputs!$F$10-Inputs!$D$10),Inputs!$D$10+SQRT(D1536*(Inputs!$F$10-Inputs!$D$10)*(Inputs!$E$10-Inputs!$D$10)),Inputs!$F$10-SQRT((1-D1536)*(Inputs!$F$10-Inputs!$D$10)*(Inputs!$F$10-Inputs!$E$10)))</f>
        <v>0.0513984395273419</v>
      </c>
      <c r="F1536" s="81" t="n">
        <f aca="true">RAND()</f>
        <v>0.39037579983114</v>
      </c>
      <c r="G1536" s="83" t="n">
        <f aca="false">IF(F1536&lt;(Inputs!$E$15-Inputs!$D$15)/(Inputs!$F$15-Inputs!$D$15),Inputs!$D$15+SQRT(F1536*(Inputs!$F$15-Inputs!$D$15)*(Inputs!$E$15-Inputs!$D$15)),Inputs!$F$15-SQRT((1-F1536)*(Inputs!$F$15-Inputs!$D$15)*(Inputs!$F$15-Inputs!$E$15)))</f>
        <v>0.688360149369627</v>
      </c>
      <c r="H1536" s="81" t="n">
        <f aca="true">RAND()</f>
        <v>0.513822698996599</v>
      </c>
      <c r="I1536" s="82" t="n">
        <f aca="false">ROUND(IF(H1536&lt;(Inputs!$E$17-Inputs!$D$17)/(Inputs!$F$17-Inputs!$D$17),Inputs!$D$17+SQRT(H1536*(Inputs!$F$17-Inputs!$D$17)*(Inputs!$E$17-Inputs!$D$17)),Inputs!$F$17-SQRT((1-H1536)*(Inputs!$F$17-Inputs!$D$17)*(Inputs!$F$17-Inputs!$E$17))),0)</f>
        <v>106</v>
      </c>
      <c r="J1536" s="81" t="n">
        <f aca="true">RAND()</f>
        <v>0.265470547350964</v>
      </c>
      <c r="K1536" s="83" t="n">
        <f aca="false">IF(J1536&lt;(Inputs!$E$18-Inputs!$D$18)/(Inputs!$F$18-Inputs!$D$18),Inputs!$D$18+SQRT(J1536*(Inputs!$F$18-Inputs!$D$18)*(Inputs!$E$18-Inputs!$D$18)),Inputs!$F$18-SQRT((1-J1536)*(Inputs!$F$18-Inputs!$D$18)*(Inputs!$F$18-Inputs!$E$18)))</f>
        <v>0.996392267103143</v>
      </c>
      <c r="L1536" s="81" t="n">
        <f aca="true">RAND()</f>
        <v>0.226821251659866</v>
      </c>
      <c r="M1536" s="83" t="n">
        <f aca="false">IF(L1536&lt;(Inputs!$E$24-Inputs!$D$24)/(Inputs!$F$24-Inputs!$D$24),Inputs!$D$24+SQRT(L1536*(Inputs!$F$24-Inputs!$D$24)*(Inputs!$E$24-Inputs!$D$24)),Inputs!$F$24-SQRT((1-L1536)*(Inputs!$F$24-Inputs!$D$24)*(Inputs!$F$24-Inputs!$E$24)))</f>
        <v>0.764980453991326</v>
      </c>
      <c r="N1536" s="81" t="n">
        <f aca="true">RAND()</f>
        <v>0.834693393037844</v>
      </c>
      <c r="O1536" s="83" t="n">
        <f aca="false">IF(N1536&lt;(Inputs!$E$26-Inputs!$D$26)/(Inputs!$F$26-Inputs!$D$26),Inputs!$D$26+SQRT(N1536*(Inputs!$F$26-Inputs!$D$26)*(Inputs!$E$26-Inputs!$D$26)),Inputs!$F$26-SQRT((1-N1536)*(Inputs!$F$26-Inputs!$D$26)*(Inputs!$F$26-Inputs!$E$26)))</f>
        <v>0.68888216321162</v>
      </c>
      <c r="P1536" s="81" t="n">
        <f aca="true">RAND()</f>
        <v>0.627371793876853</v>
      </c>
      <c r="Q1536" s="82" t="n">
        <f aca="false">IF(P1536&lt;(Inputs!$E$27-Inputs!$D$27)/(Inputs!$F$27-Inputs!$D$27),Inputs!$D$27+SQRT(P1536*(Inputs!$F$27-Inputs!$D$27)*(Inputs!$E$27-Inputs!$D$27)),Inputs!$F$27-SQRT((1-P1536)*(Inputs!$F$27-Inputs!$D$27)*(Inputs!$F$27-Inputs!$E$27)))</f>
        <v>97.1349685905361</v>
      </c>
      <c r="R1536" s="81" t="n">
        <f aca="true">RAND()</f>
        <v>0.245115493919462</v>
      </c>
      <c r="S1536" s="82" t="n">
        <f aca="false">IF(R1536&lt;(Inputs!$E$29-Inputs!$D$29)/(Inputs!$F$29-Inputs!$D$29),Inputs!$D$29+SQRT(R1536*(Inputs!$F$29-Inputs!$D$29)*(Inputs!$E$29-Inputs!$D$29)),Inputs!$F$29-SQRT((1-R1536)*(Inputs!$F$29-Inputs!$D$29)*(Inputs!$F$29-Inputs!$E$29)))</f>
        <v>5.09368959751059</v>
      </c>
      <c r="T1536" s="68" t="n">
        <f aca="false">Inputs!$E$9*(1+E1536)+Inputs!$E$5*C1536*(Inputs!$E$11*Inputs!$E$14*(G1536*I1536/Inputs!$E$16+(1-G1536))*K1536+Inputs!$E$23*M1536)*(1+O1536)+Inputs!$E$5*(Q1536+S1536)</f>
        <v>6813.50728666703</v>
      </c>
    </row>
    <row r="1537" customFormat="false" ht="15" hidden="false" customHeight="false" outlineLevel="0" collapsed="false">
      <c r="A1537" s="1" t="n">
        <v>1533</v>
      </c>
      <c r="B1537" s="81" t="n">
        <f aca="true">RAND()</f>
        <v>0.756073354288561</v>
      </c>
      <c r="C1537" s="82" t="n">
        <f aca="false">ROUND(IF(B1537&lt;(Inputs!$E$8-Inputs!$D$8)/(Inputs!$F$8-Inputs!$D$8),Inputs!$D$8+SQRT(B1537*(Inputs!$F$8-Inputs!$D$8)*(Inputs!$E$8-Inputs!$D$8)),Inputs!$F$8-SQRT((1-B1537)*(Inputs!$F$8-Inputs!$D$8)*(Inputs!$F$8-Inputs!$E$8))),0)</f>
        <v>27</v>
      </c>
      <c r="D1537" s="81" t="n">
        <f aca="true">RAND()</f>
        <v>0.386399840212295</v>
      </c>
      <c r="E1537" s="83" t="n">
        <f aca="false">IF(D1537&lt;(Inputs!$E$10-Inputs!$D$10)/(Inputs!$F$10-Inputs!$D$10),Inputs!$D$10+SQRT(D1537*(Inputs!$F$10-Inputs!$D$10)*(Inputs!$E$10-Inputs!$D$10)),Inputs!$F$10-SQRT((1-D1537)*(Inputs!$F$10-Inputs!$D$10)*(Inputs!$F$10-Inputs!$E$10)))</f>
        <v>0.0643238974851092</v>
      </c>
      <c r="F1537" s="81" t="n">
        <f aca="true">RAND()</f>
        <v>0.877107499687384</v>
      </c>
      <c r="G1537" s="83" t="n">
        <f aca="false">IF(F1537&lt;(Inputs!$E$15-Inputs!$D$15)/(Inputs!$F$15-Inputs!$D$15),Inputs!$D$15+SQRT(F1537*(Inputs!$F$15-Inputs!$D$15)*(Inputs!$E$15-Inputs!$D$15)),Inputs!$F$15-SQRT((1-F1537)*(Inputs!$F$15-Inputs!$D$15)*(Inputs!$F$15-Inputs!$E$15)))</f>
        <v>0.750423291696077</v>
      </c>
      <c r="H1537" s="81" t="n">
        <f aca="true">RAND()</f>
        <v>0.908551679722793</v>
      </c>
      <c r="I1537" s="82" t="n">
        <f aca="false">ROUND(IF(H1537&lt;(Inputs!$E$17-Inputs!$D$17)/(Inputs!$F$17-Inputs!$D$17),Inputs!$D$17+SQRT(H1537*(Inputs!$F$17-Inputs!$D$17)*(Inputs!$E$17-Inputs!$D$17)),Inputs!$F$17-SQRT((1-H1537)*(Inputs!$F$17-Inputs!$D$17)*(Inputs!$F$17-Inputs!$E$17))),0)</f>
        <v>111</v>
      </c>
      <c r="J1537" s="81" t="n">
        <f aca="true">RAND()</f>
        <v>0.059720188156269</v>
      </c>
      <c r="K1537" s="83" t="n">
        <f aca="false">IF(J1537&lt;(Inputs!$E$18-Inputs!$D$18)/(Inputs!$F$18-Inputs!$D$18),Inputs!$D$18+SQRT(J1537*(Inputs!$F$18-Inputs!$D$18)*(Inputs!$E$18-Inputs!$D$18)),Inputs!$F$18-SQRT((1-J1537)*(Inputs!$F$18-Inputs!$D$18)*(Inputs!$F$18-Inputs!$E$18)))</f>
        <v>0.945718777165071</v>
      </c>
      <c r="L1537" s="81" t="n">
        <f aca="true">RAND()</f>
        <v>0.300304547890666</v>
      </c>
      <c r="M1537" s="83" t="n">
        <f aca="false">IF(L1537&lt;(Inputs!$E$24-Inputs!$D$24)/(Inputs!$F$24-Inputs!$D$24),Inputs!$D$24+SQRT(L1537*(Inputs!$F$24-Inputs!$D$24)*(Inputs!$E$24-Inputs!$D$24)),Inputs!$F$24-SQRT((1-L1537)*(Inputs!$F$24-Inputs!$D$24)*(Inputs!$F$24-Inputs!$E$24)))</f>
        <v>0.789832941679994</v>
      </c>
      <c r="N1537" s="81" t="n">
        <f aca="true">RAND()</f>
        <v>0.0395709204460271</v>
      </c>
      <c r="O1537" s="83" t="n">
        <f aca="false">IF(N1537&lt;(Inputs!$E$26-Inputs!$D$26)/(Inputs!$F$26-Inputs!$D$26),Inputs!$D$26+SQRT(N1537*(Inputs!$F$26-Inputs!$D$26)*(Inputs!$E$26-Inputs!$D$26)),Inputs!$F$26-SQRT((1-N1537)*(Inputs!$F$26-Inputs!$D$26)*(Inputs!$F$26-Inputs!$E$26)))</f>
        <v>0.381145555406436</v>
      </c>
      <c r="P1537" s="81" t="n">
        <f aca="true">RAND()</f>
        <v>0.659239880679981</v>
      </c>
      <c r="Q1537" s="82" t="n">
        <f aca="false">IF(P1537&lt;(Inputs!$E$27-Inputs!$D$27)/(Inputs!$F$27-Inputs!$D$27),Inputs!$D$27+SQRT(P1537*(Inputs!$F$27-Inputs!$D$27)*(Inputs!$E$27-Inputs!$D$27)),Inputs!$F$27-SQRT((1-P1537)*(Inputs!$F$27-Inputs!$D$27)*(Inputs!$F$27-Inputs!$E$27)))</f>
        <v>99.4460595512067</v>
      </c>
      <c r="R1537" s="81" t="n">
        <f aca="true">RAND()</f>
        <v>0.0625393265398846</v>
      </c>
      <c r="S1537" s="82" t="n">
        <f aca="false">IF(R1537&lt;(Inputs!$E$29-Inputs!$D$29)/(Inputs!$F$29-Inputs!$D$29),Inputs!$D$29+SQRT(R1537*(Inputs!$F$29-Inputs!$D$29)*(Inputs!$E$29-Inputs!$D$29)),Inputs!$F$29-SQRT((1-R1537)*(Inputs!$F$29-Inputs!$D$29)*(Inputs!$F$29-Inputs!$E$29)))</f>
        <v>3.56174061068268</v>
      </c>
      <c r="T1537" s="68" t="n">
        <f aca="false">Inputs!$E$9*(1+E1537)+Inputs!$E$5*C1537*(Inputs!$E$11*Inputs!$E$14*(G1537*I1537/Inputs!$E$16+(1-G1537))*K1537+Inputs!$E$23*M1537)*(1+O1537)+Inputs!$E$5*(Q1537+S1537)</f>
        <v>5807.34109748211</v>
      </c>
    </row>
    <row r="1538" customFormat="false" ht="15" hidden="false" customHeight="false" outlineLevel="0" collapsed="false">
      <c r="A1538" s="1" t="n">
        <v>1534</v>
      </c>
      <c r="B1538" s="81" t="n">
        <f aca="true">RAND()</f>
        <v>0.870701789864926</v>
      </c>
      <c r="C1538" s="82" t="n">
        <f aca="false">ROUND(IF(B1538&lt;(Inputs!$E$8-Inputs!$D$8)/(Inputs!$F$8-Inputs!$D$8),Inputs!$D$8+SQRT(B1538*(Inputs!$F$8-Inputs!$D$8)*(Inputs!$E$8-Inputs!$D$8)),Inputs!$F$8-SQRT((1-B1538)*(Inputs!$F$8-Inputs!$D$8)*(Inputs!$F$8-Inputs!$E$8))),0)</f>
        <v>27</v>
      </c>
      <c r="D1538" s="81" t="n">
        <f aca="true">RAND()</f>
        <v>0.908515523919491</v>
      </c>
      <c r="E1538" s="83" t="n">
        <f aca="false">IF(D1538&lt;(Inputs!$E$10-Inputs!$D$10)/(Inputs!$F$10-Inputs!$D$10),Inputs!$D$10+SQRT(D1538*(Inputs!$F$10-Inputs!$D$10)*(Inputs!$E$10-Inputs!$D$10)),Inputs!$F$10-SQRT((1-D1538)*(Inputs!$F$10-Inputs!$D$10)*(Inputs!$F$10-Inputs!$E$10)))</f>
        <v>0.147611697084031</v>
      </c>
      <c r="F1538" s="81" t="n">
        <f aca="true">RAND()</f>
        <v>0.698880450405233</v>
      </c>
      <c r="G1538" s="83" t="n">
        <f aca="false">IF(F1538&lt;(Inputs!$E$15-Inputs!$D$15)/(Inputs!$F$15-Inputs!$D$15),Inputs!$D$15+SQRT(F1538*(Inputs!$F$15-Inputs!$D$15)*(Inputs!$E$15-Inputs!$D$15)),Inputs!$F$15-SQRT((1-F1538)*(Inputs!$F$15-Inputs!$D$15)*(Inputs!$F$15-Inputs!$E$15)))</f>
        <v>0.722395934437071</v>
      </c>
      <c r="H1538" s="81" t="n">
        <f aca="true">RAND()</f>
        <v>0.257864512799145</v>
      </c>
      <c r="I1538" s="82" t="n">
        <f aca="false">ROUND(IF(H1538&lt;(Inputs!$E$17-Inputs!$D$17)/(Inputs!$F$17-Inputs!$D$17),Inputs!$D$17+SQRT(H1538*(Inputs!$F$17-Inputs!$D$17)*(Inputs!$E$17-Inputs!$D$17)),Inputs!$F$17-SQRT((1-H1538)*(Inputs!$F$17-Inputs!$D$17)*(Inputs!$F$17-Inputs!$E$17))),0)</f>
        <v>104</v>
      </c>
      <c r="J1538" s="81" t="n">
        <f aca="true">RAND()</f>
        <v>0.122173170560539</v>
      </c>
      <c r="K1538" s="83" t="n">
        <f aca="false">IF(J1538&lt;(Inputs!$E$18-Inputs!$D$18)/(Inputs!$F$18-Inputs!$D$18),Inputs!$D$18+SQRT(J1538*(Inputs!$F$18-Inputs!$D$18)*(Inputs!$E$18-Inputs!$D$18)),Inputs!$F$18-SQRT((1-J1538)*(Inputs!$F$18-Inputs!$D$18)*(Inputs!$F$18-Inputs!$E$18)))</f>
        <v>0.965391597087232</v>
      </c>
      <c r="L1538" s="81" t="n">
        <f aca="true">RAND()</f>
        <v>0.779364038866495</v>
      </c>
      <c r="M1538" s="83" t="n">
        <f aca="false">IF(L1538&lt;(Inputs!$E$24-Inputs!$D$24)/(Inputs!$F$24-Inputs!$D$24),Inputs!$D$24+SQRT(L1538*(Inputs!$F$24-Inputs!$D$24)*(Inputs!$E$24-Inputs!$D$24)),Inputs!$F$24-SQRT((1-L1538)*(Inputs!$F$24-Inputs!$D$24)*(Inputs!$F$24-Inputs!$E$24)))</f>
        <v>0.969885613939412</v>
      </c>
      <c r="N1538" s="81" t="n">
        <f aca="true">RAND()</f>
        <v>0.571448454840664</v>
      </c>
      <c r="O1538" s="83" t="n">
        <f aca="false">IF(N1538&lt;(Inputs!$E$26-Inputs!$D$26)/(Inputs!$F$26-Inputs!$D$26),Inputs!$D$26+SQRT(N1538*(Inputs!$F$26-Inputs!$D$26)*(Inputs!$E$26-Inputs!$D$26)),Inputs!$F$26-SQRT((1-N1538)*(Inputs!$F$26-Inputs!$D$26)*(Inputs!$F$26-Inputs!$E$26)))</f>
        <v>0.608365080522238</v>
      </c>
      <c r="P1538" s="81" t="n">
        <f aca="true">RAND()</f>
        <v>0.0926718901504487</v>
      </c>
      <c r="Q1538" s="82" t="n">
        <f aca="false">IF(P1538&lt;(Inputs!$E$27-Inputs!$D$27)/(Inputs!$F$27-Inputs!$D$27),Inputs!$D$27+SQRT(P1538*(Inputs!$F$27-Inputs!$D$27)*(Inputs!$E$27-Inputs!$D$27)),Inputs!$F$27-SQRT((1-P1538)*(Inputs!$F$27-Inputs!$D$27)*(Inputs!$F$27-Inputs!$E$27)))</f>
        <v>65.2210290511556</v>
      </c>
      <c r="R1538" s="81" t="n">
        <f aca="true">RAND()</f>
        <v>0.317763484415993</v>
      </c>
      <c r="S1538" s="82" t="n">
        <f aca="false">IF(R1538&lt;(Inputs!$E$29-Inputs!$D$29)/(Inputs!$F$29-Inputs!$D$29),Inputs!$D$29+SQRT(R1538*(Inputs!$F$29-Inputs!$D$29)*(Inputs!$E$29-Inputs!$D$29)),Inputs!$F$29-SQRT((1-R1538)*(Inputs!$F$29-Inputs!$D$29)*(Inputs!$F$29-Inputs!$E$29)))</f>
        <v>5.58242350570377</v>
      </c>
      <c r="T1538" s="68" t="n">
        <f aca="false">Inputs!$E$9*(1+E1538)+Inputs!$E$5*C1538*(Inputs!$E$11*Inputs!$E$14*(G1538*I1538/Inputs!$E$16+(1-G1538))*K1538+Inputs!$E$23*M1538)*(1+O1538)+Inputs!$E$5*(Q1538+S1538)</f>
        <v>6587.7487029634</v>
      </c>
    </row>
    <row r="1539" customFormat="false" ht="15" hidden="false" customHeight="false" outlineLevel="0" collapsed="false">
      <c r="A1539" s="1" t="n">
        <v>1535</v>
      </c>
      <c r="B1539" s="81" t="n">
        <f aca="true">RAND()</f>
        <v>0.529866260067066</v>
      </c>
      <c r="C1539" s="82" t="n">
        <f aca="false">ROUND(IF(B1539&lt;(Inputs!$E$8-Inputs!$D$8)/(Inputs!$F$8-Inputs!$D$8),Inputs!$D$8+SQRT(B1539*(Inputs!$F$8-Inputs!$D$8)*(Inputs!$E$8-Inputs!$D$8)),Inputs!$F$8-SQRT((1-B1539)*(Inputs!$F$8-Inputs!$D$8)*(Inputs!$F$8-Inputs!$E$8))),0)</f>
        <v>25</v>
      </c>
      <c r="D1539" s="81" t="n">
        <f aca="true">RAND()</f>
        <v>0.650683232394564</v>
      </c>
      <c r="E1539" s="83" t="n">
        <f aca="false">IF(D1539&lt;(Inputs!$E$10-Inputs!$D$10)/(Inputs!$F$10-Inputs!$D$10),Inputs!$D$10+SQRT(D1539*(Inputs!$F$10-Inputs!$D$10)*(Inputs!$E$10-Inputs!$D$10)),Inputs!$F$10-SQRT((1-D1539)*(Inputs!$F$10-Inputs!$D$10)*(Inputs!$F$10-Inputs!$E$10)))</f>
        <v>0.0976305561792823</v>
      </c>
      <c r="F1539" s="81" t="n">
        <f aca="true">RAND()</f>
        <v>0.98887900376678</v>
      </c>
      <c r="G1539" s="83" t="n">
        <f aca="false">IF(F1539&lt;(Inputs!$E$15-Inputs!$D$15)/(Inputs!$F$15-Inputs!$D$15),Inputs!$D$15+SQRT(F1539*(Inputs!$F$15-Inputs!$D$15)*(Inputs!$E$15-Inputs!$D$15)),Inputs!$F$15-SQRT((1-F1539)*(Inputs!$F$15-Inputs!$D$15)*(Inputs!$F$15-Inputs!$E$15)))</f>
        <v>0.785086250482712</v>
      </c>
      <c r="H1539" s="81" t="n">
        <f aca="true">RAND()</f>
        <v>0.531721107951825</v>
      </c>
      <c r="I1539" s="82" t="n">
        <f aca="false">ROUND(IF(H1539&lt;(Inputs!$E$17-Inputs!$D$17)/(Inputs!$F$17-Inputs!$D$17),Inputs!$D$17+SQRT(H1539*(Inputs!$F$17-Inputs!$D$17)*(Inputs!$E$17-Inputs!$D$17)),Inputs!$F$17-SQRT((1-H1539)*(Inputs!$F$17-Inputs!$D$17)*(Inputs!$F$17-Inputs!$E$17))),0)</f>
        <v>107</v>
      </c>
      <c r="J1539" s="81" t="n">
        <f aca="true">RAND()</f>
        <v>0.000563880340177425</v>
      </c>
      <c r="K1539" s="83" t="n">
        <f aca="false">IF(J1539&lt;(Inputs!$E$18-Inputs!$D$18)/(Inputs!$F$18-Inputs!$D$18),Inputs!$D$18+SQRT(J1539*(Inputs!$F$18-Inputs!$D$18)*(Inputs!$E$18-Inputs!$D$18)),Inputs!$F$18-SQRT((1-J1539)*(Inputs!$F$18-Inputs!$D$18)*(Inputs!$F$18-Inputs!$E$18)))</f>
        <v>0.904442500636602</v>
      </c>
      <c r="L1539" s="81" t="n">
        <f aca="true">RAND()</f>
        <v>0.948322358164764</v>
      </c>
      <c r="M1539" s="83" t="n">
        <f aca="false">IF(L1539&lt;(Inputs!$E$24-Inputs!$D$24)/(Inputs!$F$24-Inputs!$D$24),Inputs!$D$24+SQRT(L1539*(Inputs!$F$24-Inputs!$D$24)*(Inputs!$E$24-Inputs!$D$24)),Inputs!$F$24-SQRT((1-L1539)*(Inputs!$F$24-Inputs!$D$24)*(Inputs!$F$24-Inputs!$E$24)))</f>
        <v>1.08863288618063</v>
      </c>
      <c r="N1539" s="81" t="n">
        <f aca="true">RAND()</f>
        <v>0.286011650038244</v>
      </c>
      <c r="O1539" s="83" t="n">
        <f aca="false">IF(N1539&lt;(Inputs!$E$26-Inputs!$D$26)/(Inputs!$F$26-Inputs!$D$26),Inputs!$D$26+SQRT(N1539*(Inputs!$F$26-Inputs!$D$26)*(Inputs!$E$26-Inputs!$D$26)),Inputs!$F$26-SQRT((1-N1539)*(Inputs!$F$26-Inputs!$D$26)*(Inputs!$F$26-Inputs!$E$26)))</f>
        <v>0.518156683524397</v>
      </c>
      <c r="P1539" s="81" t="n">
        <f aca="true">RAND()</f>
        <v>0.0975512716898242</v>
      </c>
      <c r="Q1539" s="82" t="n">
        <f aca="false">IF(P1539&lt;(Inputs!$E$27-Inputs!$D$27)/(Inputs!$F$27-Inputs!$D$27),Inputs!$D$27+SQRT(P1539*(Inputs!$F$27-Inputs!$D$27)*(Inputs!$E$27-Inputs!$D$27)),Inputs!$F$27-SQRT((1-P1539)*(Inputs!$F$27-Inputs!$D$27)*(Inputs!$F$27-Inputs!$E$27)))</f>
        <v>65.6165994769848</v>
      </c>
      <c r="R1539" s="81" t="n">
        <f aca="true">RAND()</f>
        <v>0.206017644389656</v>
      </c>
      <c r="S1539" s="82" t="n">
        <f aca="false">IF(R1539&lt;(Inputs!$E$29-Inputs!$D$29)/(Inputs!$F$29-Inputs!$D$29),Inputs!$D$29+SQRT(R1539*(Inputs!$F$29-Inputs!$D$29)*(Inputs!$E$29-Inputs!$D$29)),Inputs!$F$29-SQRT((1-R1539)*(Inputs!$F$29-Inputs!$D$29)*(Inputs!$F$29-Inputs!$E$29)))</f>
        <v>4.83455254514652</v>
      </c>
      <c r="T1539" s="68" t="n">
        <f aca="false">Inputs!$E$9*(1+E1539)+Inputs!$E$5*C1539*(Inputs!$E$11*Inputs!$E$14*(G1539*I1539/Inputs!$E$16+(1-G1539))*K1539+Inputs!$E$23*M1539)*(1+O1539)+Inputs!$E$5*(Q1539+S1539)</f>
        <v>6008.64258900854</v>
      </c>
    </row>
    <row r="1540" customFormat="false" ht="15" hidden="false" customHeight="false" outlineLevel="0" collapsed="false">
      <c r="A1540" s="1" t="n">
        <v>1536</v>
      </c>
      <c r="B1540" s="81" t="n">
        <f aca="true">RAND()</f>
        <v>0.529774853463577</v>
      </c>
      <c r="C1540" s="82" t="n">
        <f aca="false">ROUND(IF(B1540&lt;(Inputs!$E$8-Inputs!$D$8)/(Inputs!$F$8-Inputs!$D$8),Inputs!$D$8+SQRT(B1540*(Inputs!$F$8-Inputs!$D$8)*(Inputs!$E$8-Inputs!$D$8)),Inputs!$F$8-SQRT((1-B1540)*(Inputs!$F$8-Inputs!$D$8)*(Inputs!$F$8-Inputs!$E$8))),0)</f>
        <v>25</v>
      </c>
      <c r="D1540" s="81" t="n">
        <f aca="true">RAND()</f>
        <v>0.96536612080773</v>
      </c>
      <c r="E1540" s="83" t="n">
        <f aca="false">IF(D1540&lt;(Inputs!$E$10-Inputs!$D$10)/(Inputs!$F$10-Inputs!$D$10),Inputs!$D$10+SQRT(D1540*(Inputs!$F$10-Inputs!$D$10)*(Inputs!$E$10-Inputs!$D$10)),Inputs!$F$10-SQRT((1-D1540)*(Inputs!$F$10-Inputs!$D$10)*(Inputs!$F$10-Inputs!$E$10)))</f>
        <v>0.167766223060769</v>
      </c>
      <c r="F1540" s="81" t="n">
        <f aca="true">RAND()</f>
        <v>0.105499448332472</v>
      </c>
      <c r="G1540" s="83" t="n">
        <f aca="false">IF(F1540&lt;(Inputs!$E$15-Inputs!$D$15)/(Inputs!$F$15-Inputs!$D$15),Inputs!$D$15+SQRT(F1540*(Inputs!$F$15-Inputs!$D$15)*(Inputs!$E$15-Inputs!$D$15)),Inputs!$F$15-SQRT((1-F1540)*(Inputs!$F$15-Inputs!$D$15)*(Inputs!$F$15-Inputs!$E$15)))</f>
        <v>0.645934616213151</v>
      </c>
      <c r="H1540" s="81" t="n">
        <f aca="true">RAND()</f>
        <v>0.0057808431705643</v>
      </c>
      <c r="I1540" s="82" t="n">
        <f aca="false">ROUND(IF(H1540&lt;(Inputs!$E$17-Inputs!$D$17)/(Inputs!$F$17-Inputs!$D$17),Inputs!$D$17+SQRT(H1540*(Inputs!$F$17-Inputs!$D$17)*(Inputs!$E$17-Inputs!$D$17)),Inputs!$F$17-SQRT((1-H1540)*(Inputs!$F$17-Inputs!$D$17)*(Inputs!$F$17-Inputs!$E$17))),0)</f>
        <v>101</v>
      </c>
      <c r="J1540" s="81" t="n">
        <f aca="true">RAND()</f>
        <v>0.360852163189897</v>
      </c>
      <c r="K1540" s="83" t="n">
        <f aca="false">IF(J1540&lt;(Inputs!$E$18-Inputs!$D$18)/(Inputs!$F$18-Inputs!$D$18),Inputs!$D$18+SQRT(J1540*(Inputs!$F$18-Inputs!$D$18)*(Inputs!$E$18-Inputs!$D$18)),Inputs!$F$18-SQRT((1-J1540)*(Inputs!$F$18-Inputs!$D$18)*(Inputs!$F$18-Inputs!$E$18)))</f>
        <v>1.01351440694858</v>
      </c>
      <c r="L1540" s="81" t="n">
        <f aca="true">RAND()</f>
        <v>0.369478207205674</v>
      </c>
      <c r="M1540" s="83" t="n">
        <f aca="false">IF(L1540&lt;(Inputs!$E$24-Inputs!$D$24)/(Inputs!$F$24-Inputs!$D$24),Inputs!$D$24+SQRT(L1540*(Inputs!$F$24-Inputs!$D$24)*(Inputs!$E$24-Inputs!$D$24)),Inputs!$F$24-SQRT((1-L1540)*(Inputs!$F$24-Inputs!$D$24)*(Inputs!$F$24-Inputs!$E$24)))</f>
        <v>0.810994562672142</v>
      </c>
      <c r="N1540" s="81" t="n">
        <f aca="true">RAND()</f>
        <v>0.098632446326454</v>
      </c>
      <c r="O1540" s="83" t="n">
        <f aca="false">IF(N1540&lt;(Inputs!$E$26-Inputs!$D$26)/(Inputs!$F$26-Inputs!$D$26),Inputs!$D$26+SQRT(N1540*(Inputs!$F$26-Inputs!$D$26)*(Inputs!$E$26-Inputs!$D$26)),Inputs!$F$26-SQRT((1-N1540)*(Inputs!$F$26-Inputs!$D$26)*(Inputs!$F$26-Inputs!$E$26)))</f>
        <v>0.428111041946906</v>
      </c>
      <c r="P1540" s="81" t="n">
        <f aca="true">RAND()</f>
        <v>0.0932946819637605</v>
      </c>
      <c r="Q1540" s="82" t="n">
        <f aca="false">IF(P1540&lt;(Inputs!$E$27-Inputs!$D$27)/(Inputs!$F$27-Inputs!$D$27),Inputs!$D$27+SQRT(P1540*(Inputs!$F$27-Inputs!$D$27)*(Inputs!$E$27-Inputs!$D$27)),Inputs!$F$27-SQRT((1-P1540)*(Inputs!$F$27-Inputs!$D$27)*(Inputs!$F$27-Inputs!$E$27)))</f>
        <v>65.2720890813733</v>
      </c>
      <c r="R1540" s="81" t="n">
        <f aca="true">RAND()</f>
        <v>0.0106355840012906</v>
      </c>
      <c r="S1540" s="82" t="n">
        <f aca="false">IF(R1540&lt;(Inputs!$E$29-Inputs!$D$29)/(Inputs!$F$29-Inputs!$D$29),Inputs!$D$29+SQRT(R1540*(Inputs!$F$29-Inputs!$D$29)*(Inputs!$E$29-Inputs!$D$29)),Inputs!$F$29-SQRT((1-R1540)*(Inputs!$F$29-Inputs!$D$29)*(Inputs!$F$29-Inputs!$E$29)))</f>
        <v>2.64404019754231</v>
      </c>
      <c r="T1540" s="68" t="n">
        <f aca="false">Inputs!$E$9*(1+E1540)+Inputs!$E$5*C1540*(Inputs!$E$11*Inputs!$E$14*(G1540*I1540/Inputs!$E$16+(1-G1540))*K1540+Inputs!$E$23*M1540)*(1+O1540)+Inputs!$E$5*(Q1540+S1540)</f>
        <v>5910.34962874058</v>
      </c>
    </row>
    <row r="1541" customFormat="false" ht="15" hidden="false" customHeight="false" outlineLevel="0" collapsed="false">
      <c r="A1541" s="1" t="n">
        <v>1537</v>
      </c>
      <c r="B1541" s="81" t="n">
        <f aca="true">RAND()</f>
        <v>0.913649733801368</v>
      </c>
      <c r="C1541" s="82" t="n">
        <f aca="false">ROUND(IF(B1541&lt;(Inputs!$E$8-Inputs!$D$8)/(Inputs!$F$8-Inputs!$D$8),Inputs!$D$8+SQRT(B1541*(Inputs!$F$8-Inputs!$D$8)*(Inputs!$E$8-Inputs!$D$8)),Inputs!$F$8-SQRT((1-B1541)*(Inputs!$F$8-Inputs!$D$8)*(Inputs!$F$8-Inputs!$E$8))),0)</f>
        <v>28</v>
      </c>
      <c r="D1541" s="81" t="n">
        <f aca="true">RAND()</f>
        <v>0.938399572631451</v>
      </c>
      <c r="E1541" s="83" t="n">
        <f aca="false">IF(D1541&lt;(Inputs!$E$10-Inputs!$D$10)/(Inputs!$F$10-Inputs!$D$10),Inputs!$D$10+SQRT(D1541*(Inputs!$F$10-Inputs!$D$10)*(Inputs!$E$10-Inputs!$D$10)),Inputs!$F$10-SQRT((1-D1541)*(Inputs!$F$10-Inputs!$D$10)*(Inputs!$F$10-Inputs!$E$10)))</f>
        <v>0.157011480357467</v>
      </c>
      <c r="F1541" s="81" t="n">
        <f aca="true">RAND()</f>
        <v>0.696047347130215</v>
      </c>
      <c r="G1541" s="83" t="n">
        <f aca="false">IF(F1541&lt;(Inputs!$E$15-Inputs!$D$15)/(Inputs!$F$15-Inputs!$D$15),Inputs!$D$15+SQRT(F1541*(Inputs!$F$15-Inputs!$D$15)*(Inputs!$E$15-Inputs!$D$15)),Inputs!$F$15-SQRT((1-F1541)*(Inputs!$F$15-Inputs!$D$15)*(Inputs!$F$15-Inputs!$E$15)))</f>
        <v>0.722031717619306</v>
      </c>
      <c r="H1541" s="81" t="n">
        <f aca="true">RAND()</f>
        <v>0.409428605798474</v>
      </c>
      <c r="I1541" s="82" t="n">
        <f aca="false">ROUND(IF(H1541&lt;(Inputs!$E$17-Inputs!$D$17)/(Inputs!$F$17-Inputs!$D$17),Inputs!$D$17+SQRT(H1541*(Inputs!$F$17-Inputs!$D$17)*(Inputs!$E$17-Inputs!$D$17)),Inputs!$F$17-SQRT((1-H1541)*(Inputs!$F$17-Inputs!$D$17)*(Inputs!$F$17-Inputs!$E$17))),0)</f>
        <v>106</v>
      </c>
      <c r="J1541" s="81" t="n">
        <f aca="true">RAND()</f>
        <v>0.982767525809075</v>
      </c>
      <c r="K1541" s="83" t="n">
        <f aca="false">IF(J1541&lt;(Inputs!$E$18-Inputs!$D$18)/(Inputs!$F$18-Inputs!$D$18),Inputs!$D$18+SQRT(J1541*(Inputs!$F$18-Inputs!$D$18)*(Inputs!$E$18-Inputs!$D$18)),Inputs!$F$18-SQRT((1-J1541)*(Inputs!$F$18-Inputs!$D$18)*(Inputs!$F$18-Inputs!$E$18)))</f>
        <v>1.21116906527386</v>
      </c>
      <c r="L1541" s="81" t="n">
        <f aca="true">RAND()</f>
        <v>0.524326060962863</v>
      </c>
      <c r="M1541" s="83" t="n">
        <f aca="false">IF(L1541&lt;(Inputs!$E$24-Inputs!$D$24)/(Inputs!$F$24-Inputs!$D$24),Inputs!$D$24+SQRT(L1541*(Inputs!$F$24-Inputs!$D$24)*(Inputs!$E$24-Inputs!$D$24)),Inputs!$F$24-SQRT((1-L1541)*(Inputs!$F$24-Inputs!$D$24)*(Inputs!$F$24-Inputs!$E$24)))</f>
        <v>0.862121700358083</v>
      </c>
      <c r="N1541" s="81" t="n">
        <f aca="true">RAND()</f>
        <v>0.221646303381366</v>
      </c>
      <c r="O1541" s="83" t="n">
        <f aca="false">IF(N1541&lt;(Inputs!$E$26-Inputs!$D$26)/(Inputs!$F$26-Inputs!$D$26),Inputs!$D$26+SQRT(N1541*(Inputs!$F$26-Inputs!$D$26)*(Inputs!$E$26-Inputs!$D$26)),Inputs!$F$26-SQRT((1-N1541)*(Inputs!$F$26-Inputs!$D$26)*(Inputs!$F$26-Inputs!$E$26)))</f>
        <v>0.492046725779586</v>
      </c>
      <c r="P1541" s="81" t="n">
        <f aca="true">RAND()</f>
        <v>0.160564690625131</v>
      </c>
      <c r="Q1541" s="82" t="n">
        <f aca="false">IF(P1541&lt;(Inputs!$E$27-Inputs!$D$27)/(Inputs!$F$27-Inputs!$D$27),Inputs!$D$27+SQRT(P1541*(Inputs!$F$27-Inputs!$D$27)*(Inputs!$E$27-Inputs!$D$27)),Inputs!$F$27-SQRT((1-P1541)*(Inputs!$F$27-Inputs!$D$27)*(Inputs!$F$27-Inputs!$E$27)))</f>
        <v>70.0352620787158</v>
      </c>
      <c r="R1541" s="81" t="n">
        <f aca="true">RAND()</f>
        <v>0.601349062730992</v>
      </c>
      <c r="S1541" s="82" t="n">
        <f aca="false">IF(R1541&lt;(Inputs!$E$29-Inputs!$D$29)/(Inputs!$F$29-Inputs!$D$29),Inputs!$D$29+SQRT(R1541*(Inputs!$F$29-Inputs!$D$29)*(Inputs!$E$29-Inputs!$D$29)),Inputs!$F$29-SQRT((1-R1541)*(Inputs!$F$29-Inputs!$D$29)*(Inputs!$F$29-Inputs!$E$29)))</f>
        <v>7.80106800664355</v>
      </c>
      <c r="T1541" s="68" t="n">
        <f aca="false">Inputs!$E$9*(1+E1541)+Inputs!$E$5*C1541*(Inputs!$E$11*Inputs!$E$14*(G1541*I1541/Inputs!$E$16+(1-G1541))*K1541+Inputs!$E$23*M1541)*(1+O1541)+Inputs!$E$5*(Q1541+S1541)</f>
        <v>6913.97024854582</v>
      </c>
    </row>
    <row r="1542" customFormat="false" ht="15" hidden="false" customHeight="false" outlineLevel="0" collapsed="false">
      <c r="A1542" s="1" t="n">
        <v>1538</v>
      </c>
      <c r="B1542" s="81" t="n">
        <f aca="true">RAND()</f>
        <v>0.36735326781756</v>
      </c>
      <c r="C1542" s="82" t="n">
        <f aca="false">ROUND(IF(B1542&lt;(Inputs!$E$8-Inputs!$D$8)/(Inputs!$F$8-Inputs!$D$8),Inputs!$D$8+SQRT(B1542*(Inputs!$F$8-Inputs!$D$8)*(Inputs!$E$8-Inputs!$D$8)),Inputs!$F$8-SQRT((1-B1542)*(Inputs!$F$8-Inputs!$D$8)*(Inputs!$F$8-Inputs!$E$8))),0)</f>
        <v>24</v>
      </c>
      <c r="D1542" s="81" t="n">
        <f aca="true">RAND()</f>
        <v>0.435855152314319</v>
      </c>
      <c r="E1542" s="83" t="n">
        <f aca="false">IF(D1542&lt;(Inputs!$E$10-Inputs!$D$10)/(Inputs!$F$10-Inputs!$D$10),Inputs!$D$10+SQRT(D1542*(Inputs!$F$10-Inputs!$D$10)*(Inputs!$E$10-Inputs!$D$10)),Inputs!$F$10-SQRT((1-D1542)*(Inputs!$F$10-Inputs!$D$10)*(Inputs!$F$10-Inputs!$E$10)))</f>
        <v>0.0699063974264283</v>
      </c>
      <c r="F1542" s="81" t="n">
        <f aca="true">RAND()</f>
        <v>0.760259987950189</v>
      </c>
      <c r="G1542" s="83" t="n">
        <f aca="false">IF(F1542&lt;(Inputs!$E$15-Inputs!$D$15)/(Inputs!$F$15-Inputs!$D$15),Inputs!$D$15+SQRT(F1542*(Inputs!$F$15-Inputs!$D$15)*(Inputs!$E$15-Inputs!$D$15)),Inputs!$F$15-SQRT((1-F1542)*(Inputs!$F$15-Inputs!$D$15)*(Inputs!$F$15-Inputs!$E$15)))</f>
        <v>0.730755503893839</v>
      </c>
      <c r="H1542" s="81" t="n">
        <f aca="true">RAND()</f>
        <v>0.141303630744707</v>
      </c>
      <c r="I1542" s="82" t="n">
        <f aca="false">ROUND(IF(H1542&lt;(Inputs!$E$17-Inputs!$D$17)/(Inputs!$F$17-Inputs!$D$17),Inputs!$D$17+SQRT(H1542*(Inputs!$F$17-Inputs!$D$17)*(Inputs!$E$17-Inputs!$D$17)),Inputs!$F$17-SQRT((1-H1542)*(Inputs!$F$17-Inputs!$D$17)*(Inputs!$F$17-Inputs!$E$17))),0)</f>
        <v>103</v>
      </c>
      <c r="J1542" s="81" t="n">
        <f aca="true">RAND()</f>
        <v>0.763061442333384</v>
      </c>
      <c r="K1542" s="83" t="n">
        <f aca="false">IF(J1542&lt;(Inputs!$E$18-Inputs!$D$18)/(Inputs!$F$18-Inputs!$D$18),Inputs!$D$18+SQRT(J1542*(Inputs!$F$18-Inputs!$D$18)*(Inputs!$E$18-Inputs!$D$18)),Inputs!$F$18-SQRT((1-J1542)*(Inputs!$F$18-Inputs!$D$18)*(Inputs!$F$18-Inputs!$E$18)))</f>
        <v>1.1060134596713</v>
      </c>
      <c r="L1542" s="81" t="n">
        <f aca="true">RAND()</f>
        <v>0.728352005000582</v>
      </c>
      <c r="M1542" s="83" t="n">
        <f aca="false">IF(L1542&lt;(Inputs!$E$24-Inputs!$D$24)/(Inputs!$F$24-Inputs!$D$24),Inputs!$D$24+SQRT(L1542*(Inputs!$F$24-Inputs!$D$24)*(Inputs!$E$24-Inputs!$D$24)),Inputs!$F$24-SQRT((1-L1542)*(Inputs!$F$24-Inputs!$D$24)*(Inputs!$F$24-Inputs!$E$24)))</f>
        <v>0.9446658683218</v>
      </c>
      <c r="N1542" s="81" t="n">
        <f aca="true">RAND()</f>
        <v>0.782836968877221</v>
      </c>
      <c r="O1542" s="83" t="n">
        <f aca="false">IF(N1542&lt;(Inputs!$E$26-Inputs!$D$26)/(Inputs!$F$26-Inputs!$D$26),Inputs!$D$26+SQRT(N1542*(Inputs!$F$26-Inputs!$D$26)*(Inputs!$E$26-Inputs!$D$26)),Inputs!$F$26-SQRT((1-N1542)*(Inputs!$F$26-Inputs!$D$26)*(Inputs!$F$26-Inputs!$E$26)))</f>
        <v>0.669717082684794</v>
      </c>
      <c r="P1542" s="81" t="n">
        <f aca="true">RAND()</f>
        <v>0.693914726729458</v>
      </c>
      <c r="Q1542" s="82" t="n">
        <f aca="false">IF(P1542&lt;(Inputs!$E$27-Inputs!$D$27)/(Inputs!$F$27-Inputs!$D$27),Inputs!$D$27+SQRT(P1542*(Inputs!$F$27-Inputs!$D$27)*(Inputs!$E$27-Inputs!$D$27)),Inputs!$F$27-SQRT((1-P1542)*(Inputs!$F$27-Inputs!$D$27)*(Inputs!$F$27-Inputs!$E$27)))</f>
        <v>102.087167172781</v>
      </c>
      <c r="R1542" s="81" t="n">
        <f aca="true">RAND()</f>
        <v>0.607180394379285</v>
      </c>
      <c r="S1542" s="82" t="n">
        <f aca="false">IF(R1542&lt;(Inputs!$E$29-Inputs!$D$29)/(Inputs!$F$29-Inputs!$D$29),Inputs!$D$29+SQRT(R1542*(Inputs!$F$29-Inputs!$D$29)*(Inputs!$E$29-Inputs!$D$29)),Inputs!$F$29-SQRT((1-R1542)*(Inputs!$F$29-Inputs!$D$29)*(Inputs!$F$29-Inputs!$E$29)))</f>
        <v>7.85391374732344</v>
      </c>
      <c r="T1542" s="68" t="n">
        <f aca="false">Inputs!$E$9*(1+E1542)+Inputs!$E$5*C1542*(Inputs!$E$11*Inputs!$E$14*(G1542*I1542/Inputs!$E$16+(1-G1542))*K1542+Inputs!$E$23*M1542)*(1+O1542)+Inputs!$E$5*(Q1542+S1542)</f>
        <v>6560.84451200115</v>
      </c>
    </row>
    <row r="1543" customFormat="false" ht="15" hidden="false" customHeight="false" outlineLevel="0" collapsed="false">
      <c r="A1543" s="1" t="n">
        <v>1539</v>
      </c>
      <c r="B1543" s="81" t="n">
        <f aca="true">RAND()</f>
        <v>0.769580303384493</v>
      </c>
      <c r="C1543" s="82" t="n">
        <f aca="false">ROUND(IF(B1543&lt;(Inputs!$E$8-Inputs!$D$8)/(Inputs!$F$8-Inputs!$D$8),Inputs!$D$8+SQRT(B1543*(Inputs!$F$8-Inputs!$D$8)*(Inputs!$E$8-Inputs!$D$8)),Inputs!$F$8-SQRT((1-B1543)*(Inputs!$F$8-Inputs!$D$8)*(Inputs!$F$8-Inputs!$E$8))),0)</f>
        <v>27</v>
      </c>
      <c r="D1543" s="81" t="n">
        <f aca="true">RAND()</f>
        <v>0.860144090900584</v>
      </c>
      <c r="E1543" s="83" t="n">
        <f aca="false">IF(D1543&lt;(Inputs!$E$10-Inputs!$D$10)/(Inputs!$F$10-Inputs!$D$10),Inputs!$D$10+SQRT(D1543*(Inputs!$F$10-Inputs!$D$10)*(Inputs!$E$10-Inputs!$D$10)),Inputs!$F$10-SQRT((1-D1543)*(Inputs!$F$10-Inputs!$D$10)*(Inputs!$F$10-Inputs!$E$10)))</f>
        <v>0.135225952164602</v>
      </c>
      <c r="F1543" s="81" t="n">
        <f aca="true">RAND()</f>
        <v>0.704443597191592</v>
      </c>
      <c r="G1543" s="83" t="n">
        <f aca="false">IF(F1543&lt;(Inputs!$E$15-Inputs!$D$15)/(Inputs!$F$15-Inputs!$D$15),Inputs!$D$15+SQRT(F1543*(Inputs!$F$15-Inputs!$D$15)*(Inputs!$E$15-Inputs!$D$15)),Inputs!$F$15-SQRT((1-F1543)*(Inputs!$F$15-Inputs!$D$15)*(Inputs!$F$15-Inputs!$E$15)))</f>
        <v>0.723116139169731</v>
      </c>
      <c r="H1543" s="81" t="n">
        <f aca="true">RAND()</f>
        <v>0.539748358885562</v>
      </c>
      <c r="I1543" s="82" t="n">
        <f aca="false">ROUND(IF(H1543&lt;(Inputs!$E$17-Inputs!$D$17)/(Inputs!$F$17-Inputs!$D$17),Inputs!$D$17+SQRT(H1543*(Inputs!$F$17-Inputs!$D$17)*(Inputs!$E$17-Inputs!$D$17)),Inputs!$F$17-SQRT((1-H1543)*(Inputs!$F$17-Inputs!$D$17)*(Inputs!$F$17-Inputs!$E$17))),0)</f>
        <v>107</v>
      </c>
      <c r="J1543" s="81" t="n">
        <f aca="true">RAND()</f>
        <v>0.734444226087456</v>
      </c>
      <c r="K1543" s="83" t="n">
        <f aca="false">IF(J1543&lt;(Inputs!$E$18-Inputs!$D$18)/(Inputs!$F$18-Inputs!$D$18),Inputs!$D$18+SQRT(J1543*(Inputs!$F$18-Inputs!$D$18)*(Inputs!$E$18-Inputs!$D$18)),Inputs!$F$18-SQRT((1-J1543)*(Inputs!$F$18-Inputs!$D$18)*(Inputs!$F$18-Inputs!$E$18)))</f>
        <v>1.09756598077415</v>
      </c>
      <c r="L1543" s="81" t="n">
        <f aca="true">RAND()</f>
        <v>0.988865876463419</v>
      </c>
      <c r="M1543" s="83" t="n">
        <f aca="false">IF(L1543&lt;(Inputs!$E$24-Inputs!$D$24)/(Inputs!$F$24-Inputs!$D$24),Inputs!$D$24+SQRT(L1543*(Inputs!$F$24-Inputs!$D$24)*(Inputs!$E$24-Inputs!$D$24)),Inputs!$F$24-SQRT((1-L1543)*(Inputs!$F$24-Inputs!$D$24)*(Inputs!$F$24-Inputs!$E$24)))</f>
        <v>1.14830677366637</v>
      </c>
      <c r="N1543" s="81" t="n">
        <f aca="true">RAND()</f>
        <v>0.688650761703075</v>
      </c>
      <c r="O1543" s="83" t="n">
        <f aca="false">IF(N1543&lt;(Inputs!$E$26-Inputs!$D$26)/(Inputs!$F$26-Inputs!$D$26),Inputs!$D$26+SQRT(N1543*(Inputs!$F$26-Inputs!$D$26)*(Inputs!$E$26-Inputs!$D$26)),Inputs!$F$26-SQRT((1-N1543)*(Inputs!$F$26-Inputs!$D$26)*(Inputs!$F$26-Inputs!$E$26)))</f>
        <v>0.640054672795095</v>
      </c>
      <c r="P1543" s="81" t="n">
        <f aca="true">RAND()</f>
        <v>0.975485423218036</v>
      </c>
      <c r="Q1543" s="82" t="n">
        <f aca="false">IF(P1543&lt;(Inputs!$E$27-Inputs!$D$27)/(Inputs!$F$27-Inputs!$D$27),Inputs!$D$27+SQRT(P1543*(Inputs!$F$27-Inputs!$D$27)*(Inputs!$E$27-Inputs!$D$27)),Inputs!$F$27-SQRT((1-P1543)*(Inputs!$F$27-Inputs!$D$27)*(Inputs!$F$27-Inputs!$E$27)))</f>
        <v>136.440526342637</v>
      </c>
      <c r="R1543" s="81" t="n">
        <f aca="true">RAND()</f>
        <v>0.473793615770367</v>
      </c>
      <c r="S1543" s="82" t="n">
        <f aca="false">IF(R1543&lt;(Inputs!$E$29-Inputs!$D$29)/(Inputs!$F$29-Inputs!$D$29),Inputs!$D$29+SQRT(R1543*(Inputs!$F$29-Inputs!$D$29)*(Inputs!$E$29-Inputs!$D$29)),Inputs!$F$29-SQRT((1-R1543)*(Inputs!$F$29-Inputs!$D$29)*(Inputs!$F$29-Inputs!$E$29)))</f>
        <v>6.72915784518576</v>
      </c>
      <c r="T1543" s="68" t="n">
        <f aca="false">Inputs!$E$9*(1+E1543)+Inputs!$E$5*C1543*(Inputs!$E$11*Inputs!$E$14*(G1543*I1543/Inputs!$E$16+(1-G1543))*K1543+Inputs!$E$23*M1543)*(1+O1543)+Inputs!$E$5*(Q1543+S1543)</f>
        <v>7627.97072482257</v>
      </c>
    </row>
    <row r="1544" customFormat="false" ht="15" hidden="false" customHeight="false" outlineLevel="0" collapsed="false">
      <c r="A1544" s="1" t="n">
        <v>1540</v>
      </c>
      <c r="B1544" s="81" t="n">
        <f aca="true">RAND()</f>
        <v>0.226865939614971</v>
      </c>
      <c r="C1544" s="82" t="n">
        <f aca="false">ROUND(IF(B1544&lt;(Inputs!$E$8-Inputs!$D$8)/(Inputs!$F$8-Inputs!$D$8),Inputs!$D$8+SQRT(B1544*(Inputs!$F$8-Inputs!$D$8)*(Inputs!$E$8-Inputs!$D$8)),Inputs!$F$8-SQRT((1-B1544)*(Inputs!$F$8-Inputs!$D$8)*(Inputs!$F$8-Inputs!$E$8))),0)</f>
        <v>23</v>
      </c>
      <c r="D1544" s="81" t="n">
        <f aca="true">RAND()</f>
        <v>0.142861450261267</v>
      </c>
      <c r="E1544" s="83" t="n">
        <f aca="false">IF(D1544&lt;(Inputs!$E$10-Inputs!$D$10)/(Inputs!$F$10-Inputs!$D$10),Inputs!$D$10+SQRT(D1544*(Inputs!$F$10-Inputs!$D$10)*(Inputs!$E$10-Inputs!$D$10)),Inputs!$F$10-SQRT((1-D1544)*(Inputs!$F$10-Inputs!$D$10)*(Inputs!$F$10-Inputs!$E$10)))</f>
        <v>0.037797017112633</v>
      </c>
      <c r="F1544" s="81" t="n">
        <f aca="true">RAND()</f>
        <v>0.279788247211044</v>
      </c>
      <c r="G1544" s="83" t="n">
        <f aca="false">IF(F1544&lt;(Inputs!$E$15-Inputs!$D$15)/(Inputs!$F$15-Inputs!$D$15),Inputs!$D$15+SQRT(F1544*(Inputs!$F$15-Inputs!$D$15)*(Inputs!$E$15-Inputs!$D$15)),Inputs!$F$15-SQRT((1-F1544)*(Inputs!$F$15-Inputs!$D$15)*(Inputs!$F$15-Inputs!$E$15)))</f>
        <v>0.67480484572687</v>
      </c>
      <c r="H1544" s="81" t="n">
        <f aca="true">RAND()</f>
        <v>0.475946918437171</v>
      </c>
      <c r="I1544" s="82" t="n">
        <f aca="false">ROUND(IF(H1544&lt;(Inputs!$E$17-Inputs!$D$17)/(Inputs!$F$17-Inputs!$D$17),Inputs!$D$17+SQRT(H1544*(Inputs!$F$17-Inputs!$D$17)*(Inputs!$E$17-Inputs!$D$17)),Inputs!$F$17-SQRT((1-H1544)*(Inputs!$F$17-Inputs!$D$17)*(Inputs!$F$17-Inputs!$E$17))),0)</f>
        <v>106</v>
      </c>
      <c r="J1544" s="81" t="n">
        <f aca="true">RAND()</f>
        <v>0.985894613736772</v>
      </c>
      <c r="K1544" s="83" t="n">
        <f aca="false">IF(J1544&lt;(Inputs!$E$18-Inputs!$D$18)/(Inputs!$F$18-Inputs!$D$18),Inputs!$D$18+SQRT(J1544*(Inputs!$F$18-Inputs!$D$18)*(Inputs!$E$18-Inputs!$D$18)),Inputs!$F$18-SQRT((1-J1544)*(Inputs!$F$18-Inputs!$D$18)*(Inputs!$F$18-Inputs!$E$18)))</f>
        <v>1.21486851414995</v>
      </c>
      <c r="L1544" s="81" t="n">
        <f aca="true">RAND()</f>
        <v>0.875164740618</v>
      </c>
      <c r="M1544" s="83" t="n">
        <f aca="false">IF(L1544&lt;(Inputs!$E$24-Inputs!$D$24)/(Inputs!$F$24-Inputs!$D$24),Inputs!$D$24+SQRT(L1544*(Inputs!$F$24-Inputs!$D$24)*(Inputs!$E$24-Inputs!$D$24)),Inputs!$F$24-SQRT((1-L1544)*(Inputs!$F$24-Inputs!$D$24)*(Inputs!$F$24-Inputs!$E$24)))</f>
        <v>1.02690909252165</v>
      </c>
      <c r="N1544" s="81" t="n">
        <f aca="true">RAND()</f>
        <v>0.469679170922688</v>
      </c>
      <c r="O1544" s="83" t="n">
        <f aca="false">IF(N1544&lt;(Inputs!$E$26-Inputs!$D$26)/(Inputs!$F$26-Inputs!$D$26),Inputs!$D$26+SQRT(N1544*(Inputs!$F$26-Inputs!$D$26)*(Inputs!$E$26-Inputs!$D$26)),Inputs!$F$26-SQRT((1-N1544)*(Inputs!$F$26-Inputs!$D$26)*(Inputs!$F$26-Inputs!$E$26)))</f>
        <v>0.579561467376202</v>
      </c>
      <c r="P1544" s="81" t="n">
        <f aca="true">RAND()</f>
        <v>0.83412031219897</v>
      </c>
      <c r="Q1544" s="82" t="n">
        <f aca="false">IF(P1544&lt;(Inputs!$E$27-Inputs!$D$27)/(Inputs!$F$27-Inputs!$D$27),Inputs!$D$27+SQRT(P1544*(Inputs!$F$27-Inputs!$D$27)*(Inputs!$E$27-Inputs!$D$27)),Inputs!$F$27-SQRT((1-P1544)*(Inputs!$F$27-Inputs!$D$27)*(Inputs!$F$27-Inputs!$E$27)))</f>
        <v>114.728231423591</v>
      </c>
      <c r="R1544" s="81" t="n">
        <f aca="true">RAND()</f>
        <v>0.706040952633541</v>
      </c>
      <c r="S1544" s="82" t="n">
        <f aca="false">IF(R1544&lt;(Inputs!$E$29-Inputs!$D$29)/(Inputs!$F$29-Inputs!$D$29),Inputs!$D$29+SQRT(R1544*(Inputs!$F$29-Inputs!$D$29)*(Inputs!$E$29-Inputs!$D$29)),Inputs!$F$29-SQRT((1-R1544)*(Inputs!$F$29-Inputs!$D$29)*(Inputs!$F$29-Inputs!$E$29)))</f>
        <v>8.81819798459707</v>
      </c>
      <c r="T1544" s="68" t="n">
        <f aca="false">Inputs!$E$9*(1+E1544)+Inputs!$E$5*C1544*(Inputs!$E$11*Inputs!$E$14*(G1544*I1544/Inputs!$E$16+(1-G1544))*K1544+Inputs!$E$23*M1544)*(1+O1544)+Inputs!$E$5*(Q1544+S1544)</f>
        <v>6650.5180363399</v>
      </c>
    </row>
    <row r="1545" customFormat="false" ht="15" hidden="false" customHeight="false" outlineLevel="0" collapsed="false">
      <c r="A1545" s="1" t="n">
        <v>1541</v>
      </c>
      <c r="B1545" s="81" t="n">
        <f aca="true">RAND()</f>
        <v>0.729345344452389</v>
      </c>
      <c r="C1545" s="82" t="n">
        <f aca="false">ROUND(IF(B1545&lt;(Inputs!$E$8-Inputs!$D$8)/(Inputs!$F$8-Inputs!$D$8),Inputs!$D$8+SQRT(B1545*(Inputs!$F$8-Inputs!$D$8)*(Inputs!$E$8-Inputs!$D$8)),Inputs!$F$8-SQRT((1-B1545)*(Inputs!$F$8-Inputs!$D$8)*(Inputs!$F$8-Inputs!$E$8))),0)</f>
        <v>26</v>
      </c>
      <c r="D1545" s="81" t="n">
        <f aca="true">RAND()</f>
        <v>0.42491058814484</v>
      </c>
      <c r="E1545" s="83" t="n">
        <f aca="false">IF(D1545&lt;(Inputs!$E$10-Inputs!$D$10)/(Inputs!$F$10-Inputs!$D$10),Inputs!$D$10+SQRT(D1545*(Inputs!$F$10-Inputs!$D$10)*(Inputs!$E$10-Inputs!$D$10)),Inputs!$F$10-SQRT((1-D1545)*(Inputs!$F$10-Inputs!$D$10)*(Inputs!$F$10-Inputs!$E$10)))</f>
        <v>0.0686505334778447</v>
      </c>
      <c r="F1545" s="81" t="n">
        <f aca="true">RAND()</f>
        <v>0.194253828717581</v>
      </c>
      <c r="G1545" s="83" t="n">
        <f aca="false">IF(F1545&lt;(Inputs!$E$15-Inputs!$D$15)/(Inputs!$F$15-Inputs!$D$15),Inputs!$D$15+SQRT(F1545*(Inputs!$F$15-Inputs!$D$15)*(Inputs!$E$15-Inputs!$D$15)),Inputs!$F$15-SQRT((1-F1545)*(Inputs!$F$15-Inputs!$D$15)*(Inputs!$F$15-Inputs!$E$15)))</f>
        <v>0.662330382433863</v>
      </c>
      <c r="H1545" s="81" t="n">
        <f aca="true">RAND()</f>
        <v>0.662171212050574</v>
      </c>
      <c r="I1545" s="82" t="n">
        <f aca="false">ROUND(IF(H1545&lt;(Inputs!$E$17-Inputs!$D$17)/(Inputs!$F$17-Inputs!$D$17),Inputs!$D$17+SQRT(H1545*(Inputs!$F$17-Inputs!$D$17)*(Inputs!$E$17-Inputs!$D$17)),Inputs!$F$17-SQRT((1-H1545)*(Inputs!$F$17-Inputs!$D$17)*(Inputs!$F$17-Inputs!$E$17))),0)</f>
        <v>108</v>
      </c>
      <c r="J1545" s="81" t="n">
        <f aca="true">RAND()</f>
        <v>0.199250823852876</v>
      </c>
      <c r="K1545" s="83" t="n">
        <f aca="false">IF(J1545&lt;(Inputs!$E$18-Inputs!$D$18)/(Inputs!$F$18-Inputs!$D$18),Inputs!$D$18+SQRT(J1545*(Inputs!$F$18-Inputs!$D$18)*(Inputs!$E$18-Inputs!$D$18)),Inputs!$F$18-SQRT((1-J1545)*(Inputs!$F$18-Inputs!$D$18)*(Inputs!$F$18-Inputs!$E$18)))</f>
        <v>0.983509154197912</v>
      </c>
      <c r="L1545" s="81" t="n">
        <f aca="true">RAND()</f>
        <v>0.481354899640302</v>
      </c>
      <c r="M1545" s="83" t="n">
        <f aca="false">IF(L1545&lt;(Inputs!$E$24-Inputs!$D$24)/(Inputs!$F$24-Inputs!$D$24),Inputs!$D$24+SQRT(L1545*(Inputs!$F$24-Inputs!$D$24)*(Inputs!$E$24-Inputs!$D$24)),Inputs!$F$24-SQRT((1-L1545)*(Inputs!$F$24-Inputs!$D$24)*(Inputs!$F$24-Inputs!$E$24)))</f>
        <v>0.847190102057315</v>
      </c>
      <c r="N1545" s="81" t="n">
        <f aca="true">RAND()</f>
        <v>0.615184177691229</v>
      </c>
      <c r="O1545" s="83" t="n">
        <f aca="false">IF(N1545&lt;(Inputs!$E$26-Inputs!$D$26)/(Inputs!$F$26-Inputs!$D$26),Inputs!$D$26+SQRT(N1545*(Inputs!$F$26-Inputs!$D$26)*(Inputs!$E$26-Inputs!$D$26)),Inputs!$F$26-SQRT((1-N1545)*(Inputs!$F$26-Inputs!$D$26)*(Inputs!$F$26-Inputs!$E$26)))</f>
        <v>0.619947881955516</v>
      </c>
      <c r="P1545" s="81" t="n">
        <f aca="true">RAND()</f>
        <v>0.321457979067305</v>
      </c>
      <c r="Q1545" s="82" t="n">
        <f aca="false">IF(P1545&lt;(Inputs!$E$27-Inputs!$D$27)/(Inputs!$F$27-Inputs!$D$27),Inputs!$D$27+SQRT(P1545*(Inputs!$F$27-Inputs!$D$27)*(Inputs!$E$27-Inputs!$D$27)),Inputs!$F$27-SQRT((1-P1545)*(Inputs!$F$27-Inputs!$D$27)*(Inputs!$F$27-Inputs!$E$27)))</f>
        <v>78.6623160104338</v>
      </c>
      <c r="R1545" s="81" t="n">
        <f aca="true">RAND()</f>
        <v>0.526649763352206</v>
      </c>
      <c r="S1545" s="82" t="n">
        <f aca="false">IF(R1545&lt;(Inputs!$E$29-Inputs!$D$29)/(Inputs!$F$29-Inputs!$D$29),Inputs!$D$29+SQRT(R1545*(Inputs!$F$29-Inputs!$D$29)*(Inputs!$E$29-Inputs!$D$29)),Inputs!$F$29-SQRT((1-R1545)*(Inputs!$F$29-Inputs!$D$29)*(Inputs!$F$29-Inputs!$E$29)))</f>
        <v>7.15554139763532</v>
      </c>
      <c r="T1545" s="68" t="n">
        <f aca="false">Inputs!$E$9*(1+E1545)+Inputs!$E$5*C1545*(Inputs!$E$11*Inputs!$E$14*(G1545*I1545/Inputs!$E$16+(1-G1545))*K1545+Inputs!$E$23*M1545)*(1+O1545)+Inputs!$E$5*(Q1545+S1545)</f>
        <v>6362.98192371902</v>
      </c>
    </row>
    <row r="1546" customFormat="false" ht="15" hidden="false" customHeight="false" outlineLevel="0" collapsed="false">
      <c r="A1546" s="1" t="n">
        <v>1542</v>
      </c>
      <c r="B1546" s="81" t="n">
        <f aca="true">RAND()</f>
        <v>0.387658502697878</v>
      </c>
      <c r="C1546" s="82" t="n">
        <f aca="false">ROUND(IF(B1546&lt;(Inputs!$E$8-Inputs!$D$8)/(Inputs!$F$8-Inputs!$D$8),Inputs!$D$8+SQRT(B1546*(Inputs!$F$8-Inputs!$D$8)*(Inputs!$E$8-Inputs!$D$8)),Inputs!$F$8-SQRT((1-B1546)*(Inputs!$F$8-Inputs!$D$8)*(Inputs!$F$8-Inputs!$E$8))),0)</f>
        <v>24</v>
      </c>
      <c r="D1546" s="81" t="n">
        <f aca="true">RAND()</f>
        <v>0.228749993179439</v>
      </c>
      <c r="E1546" s="83" t="n">
        <f aca="false">IF(D1546&lt;(Inputs!$E$10-Inputs!$D$10)/(Inputs!$F$10-Inputs!$D$10),Inputs!$D$10+SQRT(D1546*(Inputs!$F$10-Inputs!$D$10)*(Inputs!$E$10-Inputs!$D$10)),Inputs!$F$10-SQRT((1-D1546)*(Inputs!$F$10-Inputs!$D$10)*(Inputs!$F$10-Inputs!$E$10)))</f>
        <v>0.0478278154612396</v>
      </c>
      <c r="F1546" s="81" t="n">
        <f aca="true">RAND()</f>
        <v>0.233638979928113</v>
      </c>
      <c r="G1546" s="83" t="n">
        <f aca="false">IF(F1546&lt;(Inputs!$E$15-Inputs!$D$15)/(Inputs!$F$15-Inputs!$D$15),Inputs!$D$15+SQRT(F1546*(Inputs!$F$15-Inputs!$D$15)*(Inputs!$E$15-Inputs!$D$15)),Inputs!$F$15-SQRT((1-F1546)*(Inputs!$F$15-Inputs!$D$15)*(Inputs!$F$15-Inputs!$E$15)))</f>
        <v>0.668357732544038</v>
      </c>
      <c r="H1546" s="81" t="n">
        <f aca="true">RAND()</f>
        <v>0.540748325148764</v>
      </c>
      <c r="I1546" s="82" t="n">
        <f aca="false">ROUND(IF(H1546&lt;(Inputs!$E$17-Inputs!$D$17)/(Inputs!$F$17-Inputs!$D$17),Inputs!$D$17+SQRT(H1546*(Inputs!$F$17-Inputs!$D$17)*(Inputs!$E$17-Inputs!$D$17)),Inputs!$F$17-SQRT((1-H1546)*(Inputs!$F$17-Inputs!$D$17)*(Inputs!$F$17-Inputs!$E$17))),0)</f>
        <v>107</v>
      </c>
      <c r="J1546" s="81" t="n">
        <f aca="true">RAND()</f>
        <v>0.735004017941829</v>
      </c>
      <c r="K1546" s="83" t="n">
        <f aca="false">IF(J1546&lt;(Inputs!$E$18-Inputs!$D$18)/(Inputs!$F$18-Inputs!$D$18),Inputs!$D$18+SQRT(J1546*(Inputs!$F$18-Inputs!$D$18)*(Inputs!$E$18-Inputs!$D$18)),Inputs!$F$18-SQRT((1-J1546)*(Inputs!$F$18-Inputs!$D$18)*(Inputs!$F$18-Inputs!$E$18)))</f>
        <v>1.09772673107177</v>
      </c>
      <c r="L1546" s="81" t="n">
        <f aca="true">RAND()</f>
        <v>0.760643766886664</v>
      </c>
      <c r="M1546" s="83" t="n">
        <f aca="false">IF(L1546&lt;(Inputs!$E$24-Inputs!$D$24)/(Inputs!$F$24-Inputs!$D$24),Inputs!$D$24+SQRT(L1546*(Inputs!$F$24-Inputs!$D$24)*(Inputs!$E$24-Inputs!$D$24)),Inputs!$F$24-SQRT((1-L1546)*(Inputs!$F$24-Inputs!$D$24)*(Inputs!$F$24-Inputs!$E$24)))</f>
        <v>0.960322099585296</v>
      </c>
      <c r="N1546" s="81" t="n">
        <f aca="true">RAND()</f>
        <v>0.561545465901901</v>
      </c>
      <c r="O1546" s="83" t="n">
        <f aca="false">IF(N1546&lt;(Inputs!$E$26-Inputs!$D$26)/(Inputs!$F$26-Inputs!$D$26),Inputs!$D$26+SQRT(N1546*(Inputs!$F$26-Inputs!$D$26)*(Inputs!$E$26-Inputs!$D$26)),Inputs!$F$26-SQRT((1-N1546)*(Inputs!$F$26-Inputs!$D$26)*(Inputs!$F$26-Inputs!$E$26)))</f>
        <v>0.605681477237461</v>
      </c>
      <c r="P1546" s="81" t="n">
        <f aca="true">RAND()</f>
        <v>0.0112613372589511</v>
      </c>
      <c r="Q1546" s="82" t="n">
        <f aca="false">IF(P1546&lt;(Inputs!$E$27-Inputs!$D$27)/(Inputs!$F$27-Inputs!$D$27),Inputs!$D$27+SQRT(P1546*(Inputs!$F$27-Inputs!$D$27)*(Inputs!$E$27-Inputs!$D$27)),Inputs!$F$27-SQRT((1-P1546)*(Inputs!$F$27-Inputs!$D$27)*(Inputs!$F$27-Inputs!$E$27)))</f>
        <v>55.3059724035635</v>
      </c>
      <c r="R1546" s="81" t="n">
        <f aca="true">RAND()</f>
        <v>0.27964442090846</v>
      </c>
      <c r="S1546" s="82" t="n">
        <f aca="false">IF(R1546&lt;(Inputs!$E$29-Inputs!$D$29)/(Inputs!$F$29-Inputs!$D$29),Inputs!$D$29+SQRT(R1546*(Inputs!$F$29-Inputs!$D$29)*(Inputs!$E$29-Inputs!$D$29)),Inputs!$F$29-SQRT((1-R1546)*(Inputs!$F$29-Inputs!$D$29)*(Inputs!$F$29-Inputs!$E$29)))</f>
        <v>5.32290202168541</v>
      </c>
      <c r="T1546" s="68" t="n">
        <f aca="false">Inputs!$E$9*(1+E1546)+Inputs!$E$5*C1546*(Inputs!$E$11*Inputs!$E$14*(G1546*I1546/Inputs!$E$16+(1-G1546))*K1546+Inputs!$E$23*M1546)*(1+O1546)+Inputs!$E$5*(Q1546+S1546)</f>
        <v>6267.51057293885</v>
      </c>
    </row>
    <row r="1547" customFormat="false" ht="15" hidden="false" customHeight="false" outlineLevel="0" collapsed="false">
      <c r="A1547" s="1" t="n">
        <v>1543</v>
      </c>
      <c r="B1547" s="81" t="n">
        <f aca="true">RAND()</f>
        <v>0.382310684263967</v>
      </c>
      <c r="C1547" s="82" t="n">
        <f aca="false">ROUND(IF(B1547&lt;(Inputs!$E$8-Inputs!$D$8)/(Inputs!$F$8-Inputs!$D$8),Inputs!$D$8+SQRT(B1547*(Inputs!$F$8-Inputs!$D$8)*(Inputs!$E$8-Inputs!$D$8)),Inputs!$F$8-SQRT((1-B1547)*(Inputs!$F$8-Inputs!$D$8)*(Inputs!$F$8-Inputs!$E$8))),0)</f>
        <v>24</v>
      </c>
      <c r="D1547" s="81" t="n">
        <f aca="true">RAND()</f>
        <v>0.228858989540718</v>
      </c>
      <c r="E1547" s="83" t="n">
        <f aca="false">IF(D1547&lt;(Inputs!$E$10-Inputs!$D$10)/(Inputs!$F$10-Inputs!$D$10),Inputs!$D$10+SQRT(D1547*(Inputs!$F$10-Inputs!$D$10)*(Inputs!$E$10-Inputs!$D$10)),Inputs!$F$10-SQRT((1-D1547)*(Inputs!$F$10-Inputs!$D$10)*(Inputs!$F$10-Inputs!$E$10)))</f>
        <v>0.0478392087665251</v>
      </c>
      <c r="F1547" s="81" t="n">
        <f aca="true">RAND()</f>
        <v>0.624449148716832</v>
      </c>
      <c r="G1547" s="83" t="n">
        <f aca="false">IF(F1547&lt;(Inputs!$E$15-Inputs!$D$15)/(Inputs!$F$15-Inputs!$D$15),Inputs!$D$15+SQRT(F1547*(Inputs!$F$15-Inputs!$D$15)*(Inputs!$E$15-Inputs!$D$15)),Inputs!$F$15-SQRT((1-F1547)*(Inputs!$F$15-Inputs!$D$15)*(Inputs!$F$15-Inputs!$E$15)))</f>
        <v>0.713333876135693</v>
      </c>
      <c r="H1547" s="81" t="n">
        <f aca="true">RAND()</f>
        <v>0.825689150166284</v>
      </c>
      <c r="I1547" s="82" t="n">
        <f aca="false">ROUND(IF(H1547&lt;(Inputs!$E$17-Inputs!$D$17)/(Inputs!$F$17-Inputs!$D$17),Inputs!$D$17+SQRT(H1547*(Inputs!$F$17-Inputs!$D$17)*(Inputs!$E$17-Inputs!$D$17)),Inputs!$F$17-SQRT((1-H1547)*(Inputs!$F$17-Inputs!$D$17)*(Inputs!$F$17-Inputs!$E$17))),0)</f>
        <v>110</v>
      </c>
      <c r="J1547" s="81" t="n">
        <f aca="true">RAND()</f>
        <v>0.0448059290172749</v>
      </c>
      <c r="K1547" s="83" t="n">
        <f aca="false">IF(J1547&lt;(Inputs!$E$18-Inputs!$D$18)/(Inputs!$F$18-Inputs!$D$18),Inputs!$D$18+SQRT(J1547*(Inputs!$F$18-Inputs!$D$18)*(Inputs!$E$18-Inputs!$D$18)),Inputs!$F$18-SQRT((1-J1547)*(Inputs!$F$18-Inputs!$D$18)*(Inputs!$F$18-Inputs!$E$18)))</f>
        <v>0.939600599939958</v>
      </c>
      <c r="L1547" s="81" t="n">
        <f aca="true">RAND()</f>
        <v>0.925802090152085</v>
      </c>
      <c r="M1547" s="83" t="n">
        <f aca="false">IF(L1547&lt;(Inputs!$E$24-Inputs!$D$24)/(Inputs!$F$24-Inputs!$D$24),Inputs!$D$24+SQRT(L1547*(Inputs!$F$24-Inputs!$D$24)*(Inputs!$E$24-Inputs!$D$24)),Inputs!$F$24-SQRT((1-L1547)*(Inputs!$F$24-Inputs!$D$24)*(Inputs!$F$24-Inputs!$E$24)))</f>
        <v>1.06655526101228</v>
      </c>
      <c r="N1547" s="81" t="n">
        <f aca="true">RAND()</f>
        <v>0.3514810480029</v>
      </c>
      <c r="O1547" s="83" t="n">
        <f aca="false">IF(N1547&lt;(Inputs!$E$26-Inputs!$D$26)/(Inputs!$F$26-Inputs!$D$26),Inputs!$D$26+SQRT(N1547*(Inputs!$F$26-Inputs!$D$26)*(Inputs!$E$26-Inputs!$D$26)),Inputs!$F$26-SQRT((1-N1547)*(Inputs!$F$26-Inputs!$D$26)*(Inputs!$F$26-Inputs!$E$26)))</f>
        <v>0.54183971218078</v>
      </c>
      <c r="P1547" s="81" t="n">
        <f aca="true">RAND()</f>
        <v>0.376973049224342</v>
      </c>
      <c r="Q1547" s="82" t="n">
        <f aca="false">IF(P1547&lt;(Inputs!$E$27-Inputs!$D$27)/(Inputs!$F$27-Inputs!$D$27),Inputs!$D$27+SQRT(P1547*(Inputs!$F$27-Inputs!$D$27)*(Inputs!$E$27-Inputs!$D$27)),Inputs!$F$27-SQRT((1-P1547)*(Inputs!$F$27-Inputs!$D$27)*(Inputs!$F$27-Inputs!$E$27)))</f>
        <v>81.642834093144</v>
      </c>
      <c r="R1547" s="81" t="n">
        <f aca="true">RAND()</f>
        <v>0.35480987169536</v>
      </c>
      <c r="S1547" s="82" t="n">
        <f aca="false">IF(R1547&lt;(Inputs!$E$29-Inputs!$D$29)/(Inputs!$F$29-Inputs!$D$29),Inputs!$D$29+SQRT(R1547*(Inputs!$F$29-Inputs!$D$29)*(Inputs!$E$29-Inputs!$D$29)),Inputs!$F$29-SQRT((1-R1547)*(Inputs!$F$29-Inputs!$D$29)*(Inputs!$F$29-Inputs!$E$29)))</f>
        <v>5.84168592591392</v>
      </c>
      <c r="T1547" s="68" t="n">
        <f aca="false">Inputs!$E$9*(1+E1547)+Inputs!$E$5*C1547*(Inputs!$E$11*Inputs!$E$14*(G1547*I1547/Inputs!$E$16+(1-G1547))*K1547+Inputs!$E$23*M1547)*(1+O1547)+Inputs!$E$5*(Q1547+S1547)</f>
        <v>6053.03164073982</v>
      </c>
    </row>
    <row r="1548" customFormat="false" ht="15" hidden="false" customHeight="false" outlineLevel="0" collapsed="false">
      <c r="A1548" s="1" t="n">
        <v>1544</v>
      </c>
      <c r="B1548" s="81" t="n">
        <f aca="true">RAND()</f>
        <v>0.567506540319229</v>
      </c>
      <c r="C1548" s="82" t="n">
        <f aca="false">ROUND(IF(B1548&lt;(Inputs!$E$8-Inputs!$D$8)/(Inputs!$F$8-Inputs!$D$8),Inputs!$D$8+SQRT(B1548*(Inputs!$F$8-Inputs!$D$8)*(Inputs!$E$8-Inputs!$D$8)),Inputs!$F$8-SQRT((1-B1548)*(Inputs!$F$8-Inputs!$D$8)*(Inputs!$F$8-Inputs!$E$8))),0)</f>
        <v>25</v>
      </c>
      <c r="D1548" s="81" t="n">
        <f aca="true">RAND()</f>
        <v>0.478073440369366</v>
      </c>
      <c r="E1548" s="83" t="n">
        <f aca="false">IF(D1548&lt;(Inputs!$E$10-Inputs!$D$10)/(Inputs!$F$10-Inputs!$D$10),Inputs!$D$10+SQRT(D1548*(Inputs!$F$10-Inputs!$D$10)*(Inputs!$E$10-Inputs!$D$10)),Inputs!$F$10-SQRT((1-D1548)*(Inputs!$F$10-Inputs!$D$10)*(Inputs!$F$10-Inputs!$E$10)))</f>
        <v>0.0748688816124501</v>
      </c>
      <c r="F1548" s="81" t="n">
        <f aca="true">RAND()</f>
        <v>0.81710993694549</v>
      </c>
      <c r="G1548" s="83" t="n">
        <f aca="false">IF(F1548&lt;(Inputs!$E$15-Inputs!$D$15)/(Inputs!$F$15-Inputs!$D$15),Inputs!$D$15+SQRT(F1548*(Inputs!$F$15-Inputs!$D$15)*(Inputs!$E$15-Inputs!$D$15)),Inputs!$F$15-SQRT((1-F1548)*(Inputs!$F$15-Inputs!$D$15)*(Inputs!$F$15-Inputs!$E$15)))</f>
        <v>0.739520240897552</v>
      </c>
      <c r="H1548" s="81" t="n">
        <f aca="true">RAND()</f>
        <v>0.935228177315976</v>
      </c>
      <c r="I1548" s="82" t="n">
        <f aca="false">ROUND(IF(H1548&lt;(Inputs!$E$17-Inputs!$D$17)/(Inputs!$F$17-Inputs!$D$17),Inputs!$D$17+SQRT(H1548*(Inputs!$F$17-Inputs!$D$17)*(Inputs!$E$17-Inputs!$D$17)),Inputs!$F$17-SQRT((1-H1548)*(Inputs!$F$17-Inputs!$D$17)*(Inputs!$F$17-Inputs!$E$17))),0)</f>
        <v>112</v>
      </c>
      <c r="J1548" s="81" t="n">
        <f aca="true">RAND()</f>
        <v>0.698692731833484</v>
      </c>
      <c r="K1548" s="83" t="n">
        <f aca="false">IF(J1548&lt;(Inputs!$E$18-Inputs!$D$18)/(Inputs!$F$18-Inputs!$D$18),Inputs!$D$18+SQRT(J1548*(Inputs!$F$18-Inputs!$D$18)*(Inputs!$E$18-Inputs!$D$18)),Inputs!$F$18-SQRT((1-J1548)*(Inputs!$F$18-Inputs!$D$18)*(Inputs!$F$18-Inputs!$E$18)))</f>
        <v>1.08762886351149</v>
      </c>
      <c r="L1548" s="81" t="n">
        <f aca="true">RAND()</f>
        <v>0.282870026575326</v>
      </c>
      <c r="M1548" s="83" t="n">
        <f aca="false">IF(L1548&lt;(Inputs!$E$24-Inputs!$D$24)/(Inputs!$F$24-Inputs!$D$24),Inputs!$D$24+SQRT(L1548*(Inputs!$F$24-Inputs!$D$24)*(Inputs!$E$24-Inputs!$D$24)),Inputs!$F$24-SQRT((1-L1548)*(Inputs!$F$24-Inputs!$D$24)*(Inputs!$F$24-Inputs!$E$24)))</f>
        <v>0.784240069444839</v>
      </c>
      <c r="N1548" s="81" t="n">
        <f aca="true">RAND()</f>
        <v>0.324414431023123</v>
      </c>
      <c r="O1548" s="83" t="n">
        <f aca="false">IF(N1548&lt;(Inputs!$E$26-Inputs!$D$26)/(Inputs!$F$26-Inputs!$D$26),Inputs!$D$26+SQRT(N1548*(Inputs!$F$26-Inputs!$D$26)*(Inputs!$E$26-Inputs!$D$26)),Inputs!$F$26-SQRT((1-N1548)*(Inputs!$F$26-Inputs!$D$26)*(Inputs!$F$26-Inputs!$E$26)))</f>
        <v>0.532341475682341</v>
      </c>
      <c r="P1548" s="81" t="n">
        <f aca="true">RAND()</f>
        <v>0.33109675180819</v>
      </c>
      <c r="Q1548" s="82" t="n">
        <f aca="false">IF(P1548&lt;(Inputs!$E$27-Inputs!$D$27)/(Inputs!$F$27-Inputs!$D$27),Inputs!$D$27+SQRT(P1548*(Inputs!$F$27-Inputs!$D$27)*(Inputs!$E$27-Inputs!$D$27)),Inputs!$F$27-SQRT((1-P1548)*(Inputs!$F$27-Inputs!$D$27)*(Inputs!$F$27-Inputs!$E$27)))</f>
        <v>79.1708085501566</v>
      </c>
      <c r="R1548" s="81" t="n">
        <f aca="true">RAND()</f>
        <v>0.207959295698983</v>
      </c>
      <c r="S1548" s="82" t="n">
        <f aca="false">IF(R1548&lt;(Inputs!$E$29-Inputs!$D$29)/(Inputs!$F$29-Inputs!$D$29),Inputs!$D$29+SQRT(R1548*(Inputs!$F$29-Inputs!$D$29)*(Inputs!$E$29-Inputs!$D$29)),Inputs!$F$29-SQRT((1-R1548)*(Inputs!$F$29-Inputs!$D$29)*(Inputs!$F$29-Inputs!$E$29)))</f>
        <v>4.8478786020932</v>
      </c>
      <c r="T1548" s="68" t="n">
        <f aca="false">Inputs!$E$9*(1+E1548)+Inputs!$E$5*C1548*(Inputs!$E$11*Inputs!$E$14*(G1548*I1548/Inputs!$E$16+(1-G1548))*K1548+Inputs!$E$23*M1548)*(1+O1548)+Inputs!$E$5*(Q1548+S1548)</f>
        <v>6128.2955416415</v>
      </c>
    </row>
    <row r="1549" customFormat="false" ht="15" hidden="false" customHeight="false" outlineLevel="0" collapsed="false">
      <c r="A1549" s="1" t="n">
        <v>1545</v>
      </c>
      <c r="B1549" s="81" t="n">
        <f aca="true">RAND()</f>
        <v>0.368327882905269</v>
      </c>
      <c r="C1549" s="82" t="n">
        <f aca="false">ROUND(IF(B1549&lt;(Inputs!$E$8-Inputs!$D$8)/(Inputs!$F$8-Inputs!$D$8),Inputs!$D$8+SQRT(B1549*(Inputs!$F$8-Inputs!$D$8)*(Inputs!$E$8-Inputs!$D$8)),Inputs!$F$8-SQRT((1-B1549)*(Inputs!$F$8-Inputs!$D$8)*(Inputs!$F$8-Inputs!$E$8))),0)</f>
        <v>24</v>
      </c>
      <c r="D1549" s="81" t="n">
        <f aca="true">RAND()</f>
        <v>0.0521087303688663</v>
      </c>
      <c r="E1549" s="83" t="n">
        <f aca="false">IF(D1549&lt;(Inputs!$E$10-Inputs!$D$10)/(Inputs!$F$10-Inputs!$D$10),Inputs!$D$10+SQRT(D1549*(Inputs!$F$10-Inputs!$D$10)*(Inputs!$E$10-Inputs!$D$10)),Inputs!$F$10-SQRT((1-D1549)*(Inputs!$F$10-Inputs!$D$10)*(Inputs!$F$10-Inputs!$E$10)))</f>
        <v>0.0228273367629398</v>
      </c>
      <c r="F1549" s="81" t="n">
        <f aca="true">RAND()</f>
        <v>0.119496371397376</v>
      </c>
      <c r="G1549" s="83" t="n">
        <f aca="false">IF(F1549&lt;(Inputs!$E$15-Inputs!$D$15)/(Inputs!$F$15-Inputs!$D$15),Inputs!$D$15+SQRT(F1549*(Inputs!$F$15-Inputs!$D$15)*(Inputs!$E$15-Inputs!$D$15)),Inputs!$F$15-SQRT((1-F1549)*(Inputs!$F$15-Inputs!$D$15)*(Inputs!$F$15-Inputs!$E$15)))</f>
        <v>0.648886884007344</v>
      </c>
      <c r="H1549" s="81" t="n">
        <f aca="true">RAND()</f>
        <v>0.531092756547564</v>
      </c>
      <c r="I1549" s="82" t="n">
        <f aca="false">ROUND(IF(H1549&lt;(Inputs!$E$17-Inputs!$D$17)/(Inputs!$F$17-Inputs!$D$17),Inputs!$D$17+SQRT(H1549*(Inputs!$F$17-Inputs!$D$17)*(Inputs!$E$17-Inputs!$D$17)),Inputs!$F$17-SQRT((1-H1549)*(Inputs!$F$17-Inputs!$D$17)*(Inputs!$F$17-Inputs!$E$17))),0)</f>
        <v>107</v>
      </c>
      <c r="J1549" s="81" t="n">
        <f aca="true">RAND()</f>
        <v>0.636771686617835</v>
      </c>
      <c r="K1549" s="83" t="n">
        <f aca="false">IF(J1549&lt;(Inputs!$E$18-Inputs!$D$18)/(Inputs!$F$18-Inputs!$D$18),Inputs!$D$18+SQRT(J1549*(Inputs!$F$18-Inputs!$D$18)*(Inputs!$E$18-Inputs!$D$18)),Inputs!$F$18-SQRT((1-J1549)*(Inputs!$F$18-Inputs!$D$18)*(Inputs!$F$18-Inputs!$E$18)))</f>
        <v>1.0717235926407</v>
      </c>
      <c r="L1549" s="81" t="n">
        <f aca="true">RAND()</f>
        <v>0.856153623044761</v>
      </c>
      <c r="M1549" s="83" t="n">
        <f aca="false">IF(L1549&lt;(Inputs!$E$24-Inputs!$D$24)/(Inputs!$F$24-Inputs!$D$24),Inputs!$D$24+SQRT(L1549*(Inputs!$F$24-Inputs!$D$24)*(Inputs!$E$24-Inputs!$D$24)),Inputs!$F$24-SQRT((1-L1549)*(Inputs!$F$24-Inputs!$D$24)*(Inputs!$F$24-Inputs!$E$24)))</f>
        <v>1.01419598909265</v>
      </c>
      <c r="N1549" s="81" t="n">
        <f aca="true">RAND()</f>
        <v>0.242474599272166</v>
      </c>
      <c r="O1549" s="83" t="n">
        <f aca="false">IF(N1549&lt;(Inputs!$E$26-Inputs!$D$26)/(Inputs!$F$26-Inputs!$D$26),Inputs!$D$26+SQRT(N1549*(Inputs!$F$26-Inputs!$D$26)*(Inputs!$E$26-Inputs!$D$26)),Inputs!$F$26-SQRT((1-N1549)*(Inputs!$F$26-Inputs!$D$26)*(Inputs!$F$26-Inputs!$E$26)))</f>
        <v>0.500867551682417</v>
      </c>
      <c r="P1549" s="81" t="n">
        <f aca="true">RAND()</f>
        <v>0.279790359539856</v>
      </c>
      <c r="Q1549" s="82" t="n">
        <f aca="false">IF(P1549&lt;(Inputs!$E$27-Inputs!$D$27)/(Inputs!$F$27-Inputs!$D$27),Inputs!$D$27+SQRT(P1549*(Inputs!$F$27-Inputs!$D$27)*(Inputs!$E$27-Inputs!$D$27)),Inputs!$F$27-SQRT((1-P1549)*(Inputs!$F$27-Inputs!$D$27)*(Inputs!$F$27-Inputs!$E$27)))</f>
        <v>76.5046103251974</v>
      </c>
      <c r="R1549" s="81" t="n">
        <f aca="true">RAND()</f>
        <v>0.999368547514527</v>
      </c>
      <c r="S1549" s="82" t="n">
        <f aca="false">IF(R1549&lt;(Inputs!$E$29-Inputs!$D$29)/(Inputs!$F$29-Inputs!$D$29),Inputs!$D$29+SQRT(R1549*(Inputs!$F$29-Inputs!$D$29)*(Inputs!$E$29-Inputs!$D$29)),Inputs!$F$29-SQRT((1-R1549)*(Inputs!$F$29-Inputs!$D$29)*(Inputs!$F$29-Inputs!$E$29)))</f>
        <v>14.7134885288309</v>
      </c>
      <c r="T1549" s="68" t="n">
        <f aca="false">Inputs!$E$9*(1+E1549)+Inputs!$E$5*C1549*(Inputs!$E$11*Inputs!$E$14*(G1549*I1549/Inputs!$E$16+(1-G1549))*K1549+Inputs!$E$23*M1549)*(1+O1549)+Inputs!$E$5*(Q1549+S1549)</f>
        <v>6168.38202309985</v>
      </c>
    </row>
    <row r="1550" customFormat="false" ht="15" hidden="false" customHeight="false" outlineLevel="0" collapsed="false">
      <c r="A1550" s="1" t="n">
        <v>1546</v>
      </c>
      <c r="B1550" s="81" t="n">
        <f aca="true">RAND()</f>
        <v>0.611898553569702</v>
      </c>
      <c r="C1550" s="82" t="n">
        <f aca="false">ROUND(IF(B1550&lt;(Inputs!$E$8-Inputs!$D$8)/(Inputs!$F$8-Inputs!$D$8),Inputs!$D$8+SQRT(B1550*(Inputs!$F$8-Inputs!$D$8)*(Inputs!$E$8-Inputs!$D$8)),Inputs!$F$8-SQRT((1-B1550)*(Inputs!$F$8-Inputs!$D$8)*(Inputs!$F$8-Inputs!$E$8))),0)</f>
        <v>26</v>
      </c>
      <c r="D1550" s="81" t="n">
        <f aca="true">RAND()</f>
        <v>0.337095377292667</v>
      </c>
      <c r="E1550" s="83" t="n">
        <f aca="false">IF(D1550&lt;(Inputs!$E$10-Inputs!$D$10)/(Inputs!$F$10-Inputs!$D$10),Inputs!$D$10+SQRT(D1550*(Inputs!$F$10-Inputs!$D$10)*(Inputs!$E$10-Inputs!$D$10)),Inputs!$F$10-SQRT((1-D1550)*(Inputs!$F$10-Inputs!$D$10)*(Inputs!$F$10-Inputs!$E$10)))</f>
        <v>0.0589782333069821</v>
      </c>
      <c r="F1550" s="81" t="n">
        <f aca="true">RAND()</f>
        <v>0.509558528094342</v>
      </c>
      <c r="G1550" s="83" t="n">
        <f aca="false">IF(F1550&lt;(Inputs!$E$15-Inputs!$D$15)/(Inputs!$F$15-Inputs!$D$15),Inputs!$D$15+SQRT(F1550*(Inputs!$F$15-Inputs!$D$15)*(Inputs!$E$15-Inputs!$D$15)),Inputs!$F$15-SQRT((1-F1550)*(Inputs!$F$15-Inputs!$D$15)*(Inputs!$F$15-Inputs!$E$15)))</f>
        <v>0.700960465277178</v>
      </c>
      <c r="H1550" s="81" t="n">
        <f aca="true">RAND()</f>
        <v>0.0748598005557263</v>
      </c>
      <c r="I1550" s="82" t="n">
        <f aca="false">ROUND(IF(H1550&lt;(Inputs!$E$17-Inputs!$D$17)/(Inputs!$F$17-Inputs!$D$17),Inputs!$D$17+SQRT(H1550*(Inputs!$F$17-Inputs!$D$17)*(Inputs!$E$17-Inputs!$D$17)),Inputs!$F$17-SQRT((1-H1550)*(Inputs!$F$17-Inputs!$D$17)*(Inputs!$F$17-Inputs!$E$17))),0)</f>
        <v>102</v>
      </c>
      <c r="J1550" s="81" t="n">
        <f aca="true">RAND()</f>
        <v>0.868612894790199</v>
      </c>
      <c r="K1550" s="83" t="n">
        <f aca="false">IF(J1550&lt;(Inputs!$E$18-Inputs!$D$18)/(Inputs!$F$18-Inputs!$D$18),Inputs!$D$18+SQRT(J1550*(Inputs!$F$18-Inputs!$D$18)*(Inputs!$E$18-Inputs!$D$18)),Inputs!$F$18-SQRT((1-J1550)*(Inputs!$F$18-Inputs!$D$18)*(Inputs!$F$18-Inputs!$E$18)))</f>
        <v>1.14277886539559</v>
      </c>
      <c r="L1550" s="81" t="n">
        <f aca="true">RAND()</f>
        <v>0.535010208107934</v>
      </c>
      <c r="M1550" s="83" t="n">
        <f aca="false">IF(L1550&lt;(Inputs!$E$24-Inputs!$D$24)/(Inputs!$F$24-Inputs!$D$24),Inputs!$D$24+SQRT(L1550*(Inputs!$F$24-Inputs!$D$24)*(Inputs!$E$24-Inputs!$D$24)),Inputs!$F$24-SQRT((1-L1550)*(Inputs!$F$24-Inputs!$D$24)*(Inputs!$F$24-Inputs!$E$24)))</f>
        <v>0.865937805110941</v>
      </c>
      <c r="N1550" s="81" t="n">
        <f aca="true">RAND()</f>
        <v>0.308739323991363</v>
      </c>
      <c r="O1550" s="83" t="n">
        <f aca="false">IF(N1550&lt;(Inputs!$E$26-Inputs!$D$26)/(Inputs!$F$26-Inputs!$D$26),Inputs!$D$26+SQRT(N1550*(Inputs!$F$26-Inputs!$D$26)*(Inputs!$E$26-Inputs!$D$26)),Inputs!$F$26-SQRT((1-N1550)*(Inputs!$F$26-Inputs!$D$26)*(Inputs!$F$26-Inputs!$E$26)))</f>
        <v>0.526658826239268</v>
      </c>
      <c r="P1550" s="81" t="n">
        <f aca="true">RAND()</f>
        <v>0.521005098859108</v>
      </c>
      <c r="Q1550" s="82" t="n">
        <f aca="false">IF(P1550&lt;(Inputs!$E$27-Inputs!$D$27)/(Inputs!$F$27-Inputs!$D$27),Inputs!$D$27+SQRT(P1550*(Inputs!$F$27-Inputs!$D$27)*(Inputs!$E$27-Inputs!$D$27)),Inputs!$F$27-SQRT((1-P1550)*(Inputs!$F$27-Inputs!$D$27)*(Inputs!$F$27-Inputs!$E$27)))</f>
        <v>90.0628515980557</v>
      </c>
      <c r="R1550" s="81" t="n">
        <f aca="true">RAND()</f>
        <v>0.749781814734562</v>
      </c>
      <c r="S1550" s="82" t="n">
        <f aca="false">IF(R1550&lt;(Inputs!$E$29-Inputs!$D$29)/(Inputs!$F$29-Inputs!$D$29),Inputs!$D$29+SQRT(R1550*(Inputs!$F$29-Inputs!$D$29)*(Inputs!$E$29-Inputs!$D$29)),Inputs!$F$29-SQRT((1-R1550)*(Inputs!$F$29-Inputs!$D$29)*(Inputs!$F$29-Inputs!$E$29)))</f>
        <v>9.29663572226822</v>
      </c>
      <c r="T1550" s="68" t="n">
        <f aca="false">Inputs!$E$9*(1+E1550)+Inputs!$E$5*C1550*(Inputs!$E$11*Inputs!$E$14*(G1550*I1550/Inputs!$E$16+(1-G1550))*K1550+Inputs!$E$23*M1550)*(1+O1550)+Inputs!$E$5*(Q1550+S1550)</f>
        <v>6446.67899075047</v>
      </c>
    </row>
    <row r="1551" customFormat="false" ht="15" hidden="false" customHeight="false" outlineLevel="0" collapsed="false">
      <c r="A1551" s="1" t="n">
        <v>1547</v>
      </c>
      <c r="B1551" s="81" t="n">
        <f aca="true">RAND()</f>
        <v>0.340174588834901</v>
      </c>
      <c r="C1551" s="82" t="n">
        <f aca="false">ROUND(IF(B1551&lt;(Inputs!$E$8-Inputs!$D$8)/(Inputs!$F$8-Inputs!$D$8),Inputs!$D$8+SQRT(B1551*(Inputs!$F$8-Inputs!$D$8)*(Inputs!$E$8-Inputs!$D$8)),Inputs!$F$8-SQRT((1-B1551)*(Inputs!$F$8-Inputs!$D$8)*(Inputs!$F$8-Inputs!$E$8))),0)</f>
        <v>24</v>
      </c>
      <c r="D1551" s="81" t="n">
        <f aca="true">RAND()</f>
        <v>0.0693565063148637</v>
      </c>
      <c r="E1551" s="83" t="n">
        <f aca="false">IF(D1551&lt;(Inputs!$E$10-Inputs!$D$10)/(Inputs!$F$10-Inputs!$D$10),Inputs!$D$10+SQRT(D1551*(Inputs!$F$10-Inputs!$D$10)*(Inputs!$E$10-Inputs!$D$10)),Inputs!$F$10-SQRT((1-D1551)*(Inputs!$F$10-Inputs!$D$10)*(Inputs!$F$10-Inputs!$E$10)))</f>
        <v>0.0263356234623112</v>
      </c>
      <c r="F1551" s="81" t="n">
        <f aca="true">RAND()</f>
        <v>0.990321284592752</v>
      </c>
      <c r="G1551" s="83" t="n">
        <f aca="false">IF(F1551&lt;(Inputs!$E$15-Inputs!$D$15)/(Inputs!$F$15-Inputs!$D$15),Inputs!$D$15+SQRT(F1551*(Inputs!$F$15-Inputs!$D$15)*(Inputs!$E$15-Inputs!$D$15)),Inputs!$F$15-SQRT((1-F1551)*(Inputs!$F$15-Inputs!$D$15)*(Inputs!$F$15-Inputs!$E$15)))</f>
        <v>0.786086901562019</v>
      </c>
      <c r="H1551" s="81" t="n">
        <f aca="true">RAND()</f>
        <v>0.0764325469589173</v>
      </c>
      <c r="I1551" s="82" t="n">
        <f aca="false">ROUND(IF(H1551&lt;(Inputs!$E$17-Inputs!$D$17)/(Inputs!$F$17-Inputs!$D$17),Inputs!$D$17+SQRT(H1551*(Inputs!$F$17-Inputs!$D$17)*(Inputs!$E$17-Inputs!$D$17)),Inputs!$F$17-SQRT((1-H1551)*(Inputs!$F$17-Inputs!$D$17)*(Inputs!$F$17-Inputs!$E$17))),0)</f>
        <v>102</v>
      </c>
      <c r="J1551" s="81" t="n">
        <f aca="true">RAND()</f>
        <v>0.389345690186864</v>
      </c>
      <c r="K1551" s="83" t="n">
        <f aca="false">IF(J1551&lt;(Inputs!$E$18-Inputs!$D$18)/(Inputs!$F$18-Inputs!$D$18),Inputs!$D$18+SQRT(J1551*(Inputs!$F$18-Inputs!$D$18)*(Inputs!$E$18-Inputs!$D$18)),Inputs!$F$18-SQRT((1-J1551)*(Inputs!$F$18-Inputs!$D$18)*(Inputs!$F$18-Inputs!$E$18)))</f>
        <v>1.01884582610593</v>
      </c>
      <c r="L1551" s="81" t="n">
        <f aca="true">RAND()</f>
        <v>0.494487917061236</v>
      </c>
      <c r="M1551" s="83" t="n">
        <f aca="false">IF(L1551&lt;(Inputs!$E$24-Inputs!$D$24)/(Inputs!$F$24-Inputs!$D$24),Inputs!$D$24+SQRT(L1551*(Inputs!$F$24-Inputs!$D$24)*(Inputs!$E$24-Inputs!$D$24)),Inputs!$F$24-SQRT((1-L1551)*(Inputs!$F$24-Inputs!$D$24)*(Inputs!$F$24-Inputs!$E$24)))</f>
        <v>0.851685630636198</v>
      </c>
      <c r="N1551" s="81" t="n">
        <f aca="true">RAND()</f>
        <v>0.559122980057651</v>
      </c>
      <c r="O1551" s="83" t="n">
        <f aca="false">IF(N1551&lt;(Inputs!$E$26-Inputs!$D$26)/(Inputs!$F$26-Inputs!$D$26),Inputs!$D$26+SQRT(N1551*(Inputs!$F$26-Inputs!$D$26)*(Inputs!$E$26-Inputs!$D$26)),Inputs!$F$26-SQRT((1-N1551)*(Inputs!$F$26-Inputs!$D$26)*(Inputs!$F$26-Inputs!$E$26)))</f>
        <v>0.605021415447494</v>
      </c>
      <c r="P1551" s="81" t="n">
        <f aca="true">RAND()</f>
        <v>0.81798302388228</v>
      </c>
      <c r="Q1551" s="82" t="n">
        <f aca="false">IF(P1551&lt;(Inputs!$E$27-Inputs!$D$27)/(Inputs!$F$27-Inputs!$D$27),Inputs!$D$27+SQRT(P1551*(Inputs!$F$27-Inputs!$D$27)*(Inputs!$E$27-Inputs!$D$27)),Inputs!$F$27-SQRT((1-P1551)*(Inputs!$F$27-Inputs!$D$27)*(Inputs!$F$27-Inputs!$E$27)))</f>
        <v>113.052370564772</v>
      </c>
      <c r="R1551" s="81" t="n">
        <f aca="true">RAND()</f>
        <v>0.41164790648947</v>
      </c>
      <c r="S1551" s="82" t="n">
        <f aca="false">IF(R1551&lt;(Inputs!$E$29-Inputs!$D$29)/(Inputs!$F$29-Inputs!$D$29),Inputs!$D$29+SQRT(R1551*(Inputs!$F$29-Inputs!$D$29)*(Inputs!$E$29-Inputs!$D$29)),Inputs!$F$29-SQRT((1-R1551)*(Inputs!$F$29-Inputs!$D$29)*(Inputs!$F$29-Inputs!$E$29)))</f>
        <v>6.25438554723747</v>
      </c>
      <c r="T1551" s="68" t="n">
        <f aca="false">Inputs!$E$9*(1+E1551)+Inputs!$E$5*C1551*(Inputs!$E$11*Inputs!$E$14*(G1551*I1551/Inputs!$E$16+(1-G1551))*K1551+Inputs!$E$23*M1551)*(1+O1551)+Inputs!$E$5*(Q1551+S1551)</f>
        <v>5980.61657216134</v>
      </c>
    </row>
    <row r="1552" customFormat="false" ht="15" hidden="false" customHeight="false" outlineLevel="0" collapsed="false">
      <c r="A1552" s="1" t="n">
        <v>1548</v>
      </c>
      <c r="B1552" s="81" t="n">
        <f aca="true">RAND()</f>
        <v>0.908327184829499</v>
      </c>
      <c r="C1552" s="82" t="n">
        <f aca="false">ROUND(IF(B1552&lt;(Inputs!$E$8-Inputs!$D$8)/(Inputs!$F$8-Inputs!$D$8),Inputs!$D$8+SQRT(B1552*(Inputs!$F$8-Inputs!$D$8)*(Inputs!$E$8-Inputs!$D$8)),Inputs!$F$8-SQRT((1-B1552)*(Inputs!$F$8-Inputs!$D$8)*(Inputs!$F$8-Inputs!$E$8))),0)</f>
        <v>28</v>
      </c>
      <c r="D1552" s="81" t="n">
        <f aca="true">RAND()</f>
        <v>0.100963269143535</v>
      </c>
      <c r="E1552" s="83" t="n">
        <f aca="false">IF(D1552&lt;(Inputs!$E$10-Inputs!$D$10)/(Inputs!$F$10-Inputs!$D$10),Inputs!$D$10+SQRT(D1552*(Inputs!$F$10-Inputs!$D$10)*(Inputs!$E$10-Inputs!$D$10)),Inputs!$F$10-SQRT((1-D1552)*(Inputs!$F$10-Inputs!$D$10)*(Inputs!$F$10-Inputs!$E$10)))</f>
        <v>0.0317747178026076</v>
      </c>
      <c r="F1552" s="81" t="n">
        <f aca="true">RAND()</f>
        <v>0.472450202325889</v>
      </c>
      <c r="G1552" s="83" t="n">
        <f aca="false">IF(F1552&lt;(Inputs!$E$15-Inputs!$D$15)/(Inputs!$F$15-Inputs!$D$15),Inputs!$D$15+SQRT(F1552*(Inputs!$F$15-Inputs!$D$15)*(Inputs!$E$15-Inputs!$D$15)),Inputs!$F$15-SQRT((1-F1552)*(Inputs!$F$15-Inputs!$D$15)*(Inputs!$F$15-Inputs!$E$15)))</f>
        <v>0.697205987709183</v>
      </c>
      <c r="H1552" s="81" t="n">
        <f aca="true">RAND()</f>
        <v>0.983540755206485</v>
      </c>
      <c r="I1552" s="82" t="n">
        <f aca="false">ROUND(IF(H1552&lt;(Inputs!$E$17-Inputs!$D$17)/(Inputs!$F$17-Inputs!$D$17),Inputs!$D$17+SQRT(H1552*(Inputs!$F$17-Inputs!$D$17)*(Inputs!$E$17-Inputs!$D$17)),Inputs!$F$17-SQRT((1-H1552)*(Inputs!$F$17-Inputs!$D$17)*(Inputs!$F$17-Inputs!$E$17))),0)</f>
        <v>113</v>
      </c>
      <c r="J1552" s="81" t="n">
        <f aca="true">RAND()</f>
        <v>0.486790772441133</v>
      </c>
      <c r="K1552" s="83" t="n">
        <f aca="false">IF(J1552&lt;(Inputs!$E$18-Inputs!$D$18)/(Inputs!$F$18-Inputs!$D$18),Inputs!$D$18+SQRT(J1552*(Inputs!$F$18-Inputs!$D$18)*(Inputs!$E$18-Inputs!$D$18)),Inputs!$F$18-SQRT((1-J1552)*(Inputs!$F$18-Inputs!$D$18)*(Inputs!$F$18-Inputs!$E$18)))</f>
        <v>1.03809009600446</v>
      </c>
      <c r="L1552" s="81" t="n">
        <f aca="true">RAND()</f>
        <v>0.563560287242075</v>
      </c>
      <c r="M1552" s="83" t="n">
        <f aca="false">IF(L1552&lt;(Inputs!$E$24-Inputs!$D$24)/(Inputs!$F$24-Inputs!$D$24),Inputs!$D$24+SQRT(L1552*(Inputs!$F$24-Inputs!$D$24)*(Inputs!$E$24-Inputs!$D$24)),Inputs!$F$24-SQRT((1-L1552)*(Inputs!$F$24-Inputs!$D$24)*(Inputs!$F$24-Inputs!$E$24)))</f>
        <v>0.876355857365065</v>
      </c>
      <c r="N1552" s="81" t="n">
        <f aca="true">RAND()</f>
        <v>0.874075411122348</v>
      </c>
      <c r="O1552" s="83" t="n">
        <f aca="false">IF(N1552&lt;(Inputs!$E$26-Inputs!$D$26)/(Inputs!$F$26-Inputs!$D$26),Inputs!$D$26+SQRT(N1552*(Inputs!$F$26-Inputs!$D$26)*(Inputs!$E$26-Inputs!$D$26)),Inputs!$F$26-SQRT((1-N1552)*(Inputs!$F$26-Inputs!$D$26)*(Inputs!$F$26-Inputs!$E$26)))</f>
        <v>0.705561556969365</v>
      </c>
      <c r="P1552" s="81" t="n">
        <f aca="true">RAND()</f>
        <v>0.732781808609298</v>
      </c>
      <c r="Q1552" s="82" t="n">
        <f aca="false">IF(P1552&lt;(Inputs!$E$27-Inputs!$D$27)/(Inputs!$F$27-Inputs!$D$27),Inputs!$D$27+SQRT(P1552*(Inputs!$F$27-Inputs!$D$27)*(Inputs!$E$27-Inputs!$D$27)),Inputs!$F$27-SQRT((1-P1552)*(Inputs!$F$27-Inputs!$D$27)*(Inputs!$F$27-Inputs!$E$27)))</f>
        <v>105.232417583364</v>
      </c>
      <c r="R1552" s="81" t="n">
        <f aca="true">RAND()</f>
        <v>0.660745030491272</v>
      </c>
      <c r="S1552" s="82" t="n">
        <f aca="false">IF(R1552&lt;(Inputs!$E$29-Inputs!$D$29)/(Inputs!$F$29-Inputs!$D$29),Inputs!$D$29+SQRT(R1552*(Inputs!$F$29-Inputs!$D$29)*(Inputs!$E$29-Inputs!$D$29)),Inputs!$F$29-SQRT((1-R1552)*(Inputs!$F$29-Inputs!$D$29)*(Inputs!$F$29-Inputs!$E$29)))</f>
        <v>8.35898004549493</v>
      </c>
      <c r="T1552" s="68" t="n">
        <f aca="false">Inputs!$E$9*(1+E1552)+Inputs!$E$5*C1552*(Inputs!$E$11*Inputs!$E$14*(G1552*I1552/Inputs!$E$16+(1-G1552))*K1552+Inputs!$E$23*M1552)*(1+O1552)+Inputs!$E$5*(Q1552+S1552)</f>
        <v>7111.82421848693</v>
      </c>
    </row>
    <row r="1553" customFormat="false" ht="15" hidden="false" customHeight="false" outlineLevel="0" collapsed="false">
      <c r="A1553" s="1" t="n">
        <v>1549</v>
      </c>
      <c r="B1553" s="81" t="n">
        <f aca="true">RAND()</f>
        <v>0.631172778379707</v>
      </c>
      <c r="C1553" s="82" t="n">
        <f aca="false">ROUND(IF(B1553&lt;(Inputs!$E$8-Inputs!$D$8)/(Inputs!$F$8-Inputs!$D$8),Inputs!$D$8+SQRT(B1553*(Inputs!$F$8-Inputs!$D$8)*(Inputs!$E$8-Inputs!$D$8)),Inputs!$F$8-SQRT((1-B1553)*(Inputs!$F$8-Inputs!$D$8)*(Inputs!$F$8-Inputs!$E$8))),0)</f>
        <v>26</v>
      </c>
      <c r="D1553" s="81" t="n">
        <f aca="true">RAND()</f>
        <v>0.322591284527646</v>
      </c>
      <c r="E1553" s="83" t="n">
        <f aca="false">IF(D1553&lt;(Inputs!$E$10-Inputs!$D$10)/(Inputs!$F$10-Inputs!$D$10),Inputs!$D$10+SQRT(D1553*(Inputs!$F$10-Inputs!$D$10)*(Inputs!$E$10-Inputs!$D$10)),Inputs!$F$10-SQRT((1-D1553)*(Inputs!$F$10-Inputs!$D$10)*(Inputs!$F$10-Inputs!$E$10)))</f>
        <v>0.0574438304941851</v>
      </c>
      <c r="F1553" s="81" t="n">
        <f aca="true">RAND()</f>
        <v>0.864110500152235</v>
      </c>
      <c r="G1553" s="83" t="n">
        <f aca="false">IF(F1553&lt;(Inputs!$E$15-Inputs!$D$15)/(Inputs!$F$15-Inputs!$D$15),Inputs!$D$15+SQRT(F1553*(Inputs!$F$15-Inputs!$D$15)*(Inputs!$E$15-Inputs!$D$15)),Inputs!$F$15-SQRT((1-F1553)*(Inputs!$F$15-Inputs!$D$15)*(Inputs!$F$15-Inputs!$E$15)))</f>
        <v>0.747867572500839</v>
      </c>
      <c r="H1553" s="81" t="n">
        <f aca="true">RAND()</f>
        <v>0.520832909576963</v>
      </c>
      <c r="I1553" s="82" t="n">
        <f aca="false">ROUND(IF(H1553&lt;(Inputs!$E$17-Inputs!$D$17)/(Inputs!$F$17-Inputs!$D$17),Inputs!$D$17+SQRT(H1553*(Inputs!$F$17-Inputs!$D$17)*(Inputs!$E$17-Inputs!$D$17)),Inputs!$F$17-SQRT((1-H1553)*(Inputs!$F$17-Inputs!$D$17)*(Inputs!$F$17-Inputs!$E$17))),0)</f>
        <v>107</v>
      </c>
      <c r="J1553" s="81" t="n">
        <f aca="true">RAND()</f>
        <v>0.283665247241807</v>
      </c>
      <c r="K1553" s="83" t="n">
        <f aca="false">IF(J1553&lt;(Inputs!$E$18-Inputs!$D$18)/(Inputs!$F$18-Inputs!$D$18),Inputs!$D$18+SQRT(J1553*(Inputs!$F$18-Inputs!$D$18)*(Inputs!$E$18-Inputs!$D$18)),Inputs!$F$18-SQRT((1-J1553)*(Inputs!$F$18-Inputs!$D$18)*(Inputs!$F$18-Inputs!$E$18)))</f>
        <v>0.999640773047299</v>
      </c>
      <c r="L1553" s="81" t="n">
        <f aca="true">RAND()</f>
        <v>0.152683866997695</v>
      </c>
      <c r="M1553" s="83" t="n">
        <f aca="false">IF(L1553&lt;(Inputs!$E$24-Inputs!$D$24)/(Inputs!$F$24-Inputs!$D$24),Inputs!$D$24+SQRT(L1553*(Inputs!$F$24-Inputs!$D$24)*(Inputs!$E$24-Inputs!$D$24)),Inputs!$F$24-SQRT((1-L1553)*(Inputs!$F$24-Inputs!$D$24)*(Inputs!$F$24-Inputs!$E$24)))</f>
        <v>0.735359019055708</v>
      </c>
      <c r="N1553" s="81" t="n">
        <f aca="true">RAND()</f>
        <v>0.152527559996735</v>
      </c>
      <c r="O1553" s="83" t="n">
        <f aca="false">IF(N1553&lt;(Inputs!$E$26-Inputs!$D$26)/(Inputs!$F$26-Inputs!$D$26),Inputs!$D$26+SQRT(N1553*(Inputs!$F$26-Inputs!$D$26)*(Inputs!$E$26-Inputs!$D$26)),Inputs!$F$26-SQRT((1-N1553)*(Inputs!$F$26-Inputs!$D$26)*(Inputs!$F$26-Inputs!$E$26)))</f>
        <v>0.459312855675419</v>
      </c>
      <c r="P1553" s="81" t="n">
        <f aca="true">RAND()</f>
        <v>0.405543362439752</v>
      </c>
      <c r="Q1553" s="82" t="n">
        <f aca="false">IF(P1553&lt;(Inputs!$E$27-Inputs!$D$27)/(Inputs!$F$27-Inputs!$D$27),Inputs!$D$27+SQRT(P1553*(Inputs!$F$27-Inputs!$D$27)*(Inputs!$E$27-Inputs!$D$27)),Inputs!$F$27-SQRT((1-P1553)*(Inputs!$F$27-Inputs!$D$27)*(Inputs!$F$27-Inputs!$E$27)))</f>
        <v>83.2285631298692</v>
      </c>
      <c r="R1553" s="81" t="n">
        <f aca="true">RAND()</f>
        <v>0.92648944187197</v>
      </c>
      <c r="S1553" s="82" t="n">
        <f aca="false">IF(R1553&lt;(Inputs!$E$29-Inputs!$D$29)/(Inputs!$F$29-Inputs!$D$29),Inputs!$D$29+SQRT(R1553*(Inputs!$F$29-Inputs!$D$29)*(Inputs!$E$29-Inputs!$D$29)),Inputs!$F$29-SQRT((1-R1553)*(Inputs!$F$29-Inputs!$D$29)*(Inputs!$F$29-Inputs!$E$29)))</f>
        <v>11.9086616884197</v>
      </c>
      <c r="T1553" s="68" t="n">
        <f aca="false">Inputs!$E$9*(1+E1553)+Inputs!$E$5*C1553*(Inputs!$E$11*Inputs!$E$14*(G1553*I1553/Inputs!$E$16+(1-G1553))*K1553+Inputs!$E$23*M1553)*(1+O1553)+Inputs!$E$5*(Q1553+S1553)</f>
        <v>5796.71425411236</v>
      </c>
    </row>
    <row r="1554" customFormat="false" ht="15" hidden="false" customHeight="false" outlineLevel="0" collapsed="false">
      <c r="A1554" s="1" t="n">
        <v>1550</v>
      </c>
      <c r="B1554" s="81" t="n">
        <f aca="true">RAND()</f>
        <v>0.470783182458771</v>
      </c>
      <c r="C1554" s="82" t="n">
        <f aca="false">ROUND(IF(B1554&lt;(Inputs!$E$8-Inputs!$D$8)/(Inputs!$F$8-Inputs!$D$8),Inputs!$D$8+SQRT(B1554*(Inputs!$F$8-Inputs!$D$8)*(Inputs!$E$8-Inputs!$D$8)),Inputs!$F$8-SQRT((1-B1554)*(Inputs!$F$8-Inputs!$D$8)*(Inputs!$F$8-Inputs!$E$8))),0)</f>
        <v>25</v>
      </c>
      <c r="D1554" s="81" t="n">
        <f aca="true">RAND()</f>
        <v>0.987987379574447</v>
      </c>
      <c r="E1554" s="83" t="n">
        <f aca="false">IF(D1554&lt;(Inputs!$E$10-Inputs!$D$10)/(Inputs!$F$10-Inputs!$D$10),Inputs!$D$10+SQRT(D1554*(Inputs!$F$10-Inputs!$D$10)*(Inputs!$E$10-Inputs!$D$10)),Inputs!$F$10-SQRT((1-D1554)*(Inputs!$F$10-Inputs!$D$10)*(Inputs!$F$10-Inputs!$E$10)))</f>
        <v>0.181016359338457</v>
      </c>
      <c r="F1554" s="81" t="n">
        <f aca="true">RAND()</f>
        <v>0.215638982835967</v>
      </c>
      <c r="G1554" s="83" t="n">
        <f aca="false">IF(F1554&lt;(Inputs!$E$15-Inputs!$D$15)/(Inputs!$F$15-Inputs!$D$15),Inputs!$D$15+SQRT(F1554*(Inputs!$F$15-Inputs!$D$15)*(Inputs!$E$15-Inputs!$D$15)),Inputs!$F$15-SQRT((1-F1554)*(Inputs!$F$15-Inputs!$D$15)*(Inputs!$F$15-Inputs!$E$15)))</f>
        <v>0.665671756918171</v>
      </c>
      <c r="H1554" s="81" t="n">
        <f aca="true">RAND()</f>
        <v>0.135186000066325</v>
      </c>
      <c r="I1554" s="82" t="n">
        <f aca="false">ROUND(IF(H1554&lt;(Inputs!$E$17-Inputs!$D$17)/(Inputs!$F$17-Inputs!$D$17),Inputs!$D$17+SQRT(H1554*(Inputs!$F$17-Inputs!$D$17)*(Inputs!$E$17-Inputs!$D$17)),Inputs!$F$17-SQRT((1-H1554)*(Inputs!$F$17-Inputs!$D$17)*(Inputs!$F$17-Inputs!$E$17))),0)</f>
        <v>103</v>
      </c>
      <c r="J1554" s="81" t="n">
        <f aca="true">RAND()</f>
        <v>0.415125913770585</v>
      </c>
      <c r="K1554" s="83" t="n">
        <f aca="false">IF(J1554&lt;(Inputs!$E$18-Inputs!$D$18)/(Inputs!$F$18-Inputs!$D$18),Inputs!$D$18+SQRT(J1554*(Inputs!$F$18-Inputs!$D$18)*(Inputs!$E$18-Inputs!$D$18)),Inputs!$F$18-SQRT((1-J1554)*(Inputs!$F$18-Inputs!$D$18)*(Inputs!$F$18-Inputs!$E$18)))</f>
        <v>1.02377780271363</v>
      </c>
      <c r="L1554" s="81" t="n">
        <f aca="true">RAND()</f>
        <v>0.654843239881361</v>
      </c>
      <c r="M1554" s="83" t="n">
        <f aca="false">IF(L1554&lt;(Inputs!$E$24-Inputs!$D$24)/(Inputs!$F$24-Inputs!$D$24),Inputs!$D$24+SQRT(L1554*(Inputs!$F$24-Inputs!$D$24)*(Inputs!$E$24-Inputs!$D$24)),Inputs!$F$24-SQRT((1-L1554)*(Inputs!$F$24-Inputs!$D$24)*(Inputs!$F$24-Inputs!$E$24)))</f>
        <v>0.912184742537034</v>
      </c>
      <c r="N1554" s="81" t="n">
        <f aca="true">RAND()</f>
        <v>0.499382645546246</v>
      </c>
      <c r="O1554" s="83" t="n">
        <f aca="false">IF(N1554&lt;(Inputs!$E$26-Inputs!$D$26)/(Inputs!$F$26-Inputs!$D$26),Inputs!$D$26+SQRT(N1554*(Inputs!$F$26-Inputs!$D$26)*(Inputs!$E$26-Inputs!$D$26)),Inputs!$F$26-SQRT((1-N1554)*(Inputs!$F$26-Inputs!$D$26)*(Inputs!$F$26-Inputs!$E$26)))</f>
        <v>0.588265974785259</v>
      </c>
      <c r="P1554" s="81" t="n">
        <f aca="true">RAND()</f>
        <v>0.901295474854137</v>
      </c>
      <c r="Q1554" s="82" t="n">
        <f aca="false">IF(P1554&lt;(Inputs!$E$27-Inputs!$D$27)/(Inputs!$F$27-Inputs!$D$27),Inputs!$D$27+SQRT(P1554*(Inputs!$F$27-Inputs!$D$27)*(Inputs!$E$27-Inputs!$D$27)),Inputs!$F$27-SQRT((1-P1554)*(Inputs!$F$27-Inputs!$D$27)*(Inputs!$F$27-Inputs!$E$27)))</f>
        <v>122.791840587905</v>
      </c>
      <c r="R1554" s="81" t="n">
        <f aca="true">RAND()</f>
        <v>0.213600640002786</v>
      </c>
      <c r="S1554" s="82" t="n">
        <f aca="false">IF(R1554&lt;(Inputs!$E$29-Inputs!$D$29)/(Inputs!$F$29-Inputs!$D$29),Inputs!$D$29+SQRT(R1554*(Inputs!$F$29-Inputs!$D$29)*(Inputs!$E$29-Inputs!$D$29)),Inputs!$F$29-SQRT((1-R1554)*(Inputs!$F$29-Inputs!$D$29)*(Inputs!$F$29-Inputs!$E$29)))</f>
        <v>4.88624755696885</v>
      </c>
      <c r="T1554" s="68" t="n">
        <f aca="false">Inputs!$E$9*(1+E1554)+Inputs!$E$5*C1554*(Inputs!$E$11*Inputs!$E$14*(G1554*I1554/Inputs!$E$16+(1-G1554))*K1554+Inputs!$E$23*M1554)*(1+O1554)+Inputs!$E$5*(Q1554+S1554)</f>
        <v>6734.83067434836</v>
      </c>
    </row>
    <row r="1555" customFormat="false" ht="15" hidden="false" customHeight="false" outlineLevel="0" collapsed="false">
      <c r="A1555" s="1" t="n">
        <v>1551</v>
      </c>
      <c r="B1555" s="81" t="n">
        <f aca="true">RAND()</f>
        <v>0.187786229318608</v>
      </c>
      <c r="C1555" s="82" t="n">
        <f aca="false">ROUND(IF(B1555&lt;(Inputs!$E$8-Inputs!$D$8)/(Inputs!$F$8-Inputs!$D$8),Inputs!$D$8+SQRT(B1555*(Inputs!$F$8-Inputs!$D$8)*(Inputs!$E$8-Inputs!$D$8)),Inputs!$F$8-SQRT((1-B1555)*(Inputs!$F$8-Inputs!$D$8)*(Inputs!$F$8-Inputs!$E$8))),0)</f>
        <v>23</v>
      </c>
      <c r="D1555" s="81" t="n">
        <f aca="true">RAND()</f>
        <v>0.416688424707213</v>
      </c>
      <c r="E1555" s="83" t="n">
        <f aca="false">IF(D1555&lt;(Inputs!$E$10-Inputs!$D$10)/(Inputs!$F$10-Inputs!$D$10),Inputs!$D$10+SQRT(D1555*(Inputs!$F$10-Inputs!$D$10)*(Inputs!$E$10-Inputs!$D$10)),Inputs!$F$10-SQRT((1-D1555)*(Inputs!$F$10-Inputs!$D$10)*(Inputs!$F$10-Inputs!$E$10)))</f>
        <v>0.0677149015996752</v>
      </c>
      <c r="F1555" s="81" t="n">
        <f aca="true">RAND()</f>
        <v>0.884201264740639</v>
      </c>
      <c r="G1555" s="83" t="n">
        <f aca="false">IF(F1555&lt;(Inputs!$E$15-Inputs!$D$15)/(Inputs!$F$15-Inputs!$D$15),Inputs!$D$15+SQRT(F1555*(Inputs!$F$15-Inputs!$D$15)*(Inputs!$E$15-Inputs!$D$15)),Inputs!$F$15-SQRT((1-F1555)*(Inputs!$F$15-Inputs!$D$15)*(Inputs!$F$15-Inputs!$E$15)))</f>
        <v>0.75187542514279</v>
      </c>
      <c r="H1555" s="81" t="n">
        <f aca="true">RAND()</f>
        <v>0.891433778016799</v>
      </c>
      <c r="I1555" s="82" t="n">
        <f aca="false">ROUND(IF(H1555&lt;(Inputs!$E$17-Inputs!$D$17)/(Inputs!$F$17-Inputs!$D$17),Inputs!$D$17+SQRT(H1555*(Inputs!$F$17-Inputs!$D$17)*(Inputs!$E$17-Inputs!$D$17)),Inputs!$F$17-SQRT((1-H1555)*(Inputs!$F$17-Inputs!$D$17)*(Inputs!$F$17-Inputs!$E$17))),0)</f>
        <v>111</v>
      </c>
      <c r="J1555" s="81" t="n">
        <f aca="true">RAND()</f>
        <v>0.126146674064727</v>
      </c>
      <c r="K1555" s="83" t="n">
        <f aca="false">IF(J1555&lt;(Inputs!$E$18-Inputs!$D$18)/(Inputs!$F$18-Inputs!$D$18),Inputs!$D$18+SQRT(J1555*(Inputs!$F$18-Inputs!$D$18)*(Inputs!$E$18-Inputs!$D$18)),Inputs!$F$18-SQRT((1-J1555)*(Inputs!$F$18-Inputs!$D$18)*(Inputs!$F$18-Inputs!$E$18)))</f>
        <v>0.966446471631423</v>
      </c>
      <c r="L1555" s="81" t="n">
        <f aca="true">RAND()</f>
        <v>0.124531481876556</v>
      </c>
      <c r="M1555" s="83" t="n">
        <f aca="false">IF(L1555&lt;(Inputs!$E$24-Inputs!$D$24)/(Inputs!$F$24-Inputs!$D$24),Inputs!$D$24+SQRT(L1555*(Inputs!$F$24-Inputs!$D$24)*(Inputs!$E$24-Inputs!$D$24)),Inputs!$F$24-SQRT((1-L1555)*(Inputs!$F$24-Inputs!$D$24)*(Inputs!$F$24-Inputs!$E$24)))</f>
        <v>0.722244745593366</v>
      </c>
      <c r="N1555" s="81" t="n">
        <f aca="true">RAND()</f>
        <v>0.554226083474506</v>
      </c>
      <c r="O1555" s="83" t="n">
        <f aca="false">IF(N1555&lt;(Inputs!$E$26-Inputs!$D$26)/(Inputs!$F$26-Inputs!$D$26),Inputs!$D$26+SQRT(N1555*(Inputs!$F$26-Inputs!$D$26)*(Inputs!$E$26-Inputs!$D$26)),Inputs!$F$26-SQRT((1-N1555)*(Inputs!$F$26-Inputs!$D$26)*(Inputs!$F$26-Inputs!$E$26)))</f>
        <v>0.60368276258319</v>
      </c>
      <c r="P1555" s="81" t="n">
        <f aca="true">RAND()</f>
        <v>0.86926682896326</v>
      </c>
      <c r="Q1555" s="82" t="n">
        <f aca="false">IF(P1555&lt;(Inputs!$E$27-Inputs!$D$27)/(Inputs!$F$27-Inputs!$D$27),Inputs!$D$27+SQRT(P1555*(Inputs!$F$27-Inputs!$D$27)*(Inputs!$E$27-Inputs!$D$27)),Inputs!$F$27-SQRT((1-P1555)*(Inputs!$F$27-Inputs!$D$27)*(Inputs!$F$27-Inputs!$E$27)))</f>
        <v>118.68708281275</v>
      </c>
      <c r="R1555" s="81" t="n">
        <f aca="true">RAND()</f>
        <v>0.714416779466727</v>
      </c>
      <c r="S1555" s="82" t="n">
        <f aca="false">IF(R1555&lt;(Inputs!$E$29-Inputs!$D$29)/(Inputs!$F$29-Inputs!$D$29),Inputs!$D$29+SQRT(R1555*(Inputs!$F$29-Inputs!$D$29)*(Inputs!$E$29-Inputs!$D$29)),Inputs!$F$29-SQRT((1-R1555)*(Inputs!$F$29-Inputs!$D$29)*(Inputs!$F$29-Inputs!$E$29)))</f>
        <v>8.9069040160748</v>
      </c>
      <c r="T1555" s="68" t="n">
        <f aca="false">Inputs!$E$9*(1+E1555)+Inputs!$E$5*C1555*(Inputs!$E$11*Inputs!$E$14*(G1555*I1555/Inputs!$E$16+(1-G1555))*K1555+Inputs!$E$23*M1555)*(1+O1555)+Inputs!$E$5*(Q1555+S1555)</f>
        <v>5856.32033038577</v>
      </c>
    </row>
    <row r="1556" customFormat="false" ht="15" hidden="false" customHeight="false" outlineLevel="0" collapsed="false">
      <c r="A1556" s="1" t="n">
        <v>1552</v>
      </c>
      <c r="B1556" s="81" t="n">
        <f aca="true">RAND()</f>
        <v>0.926608189089352</v>
      </c>
      <c r="C1556" s="82" t="n">
        <f aca="false">ROUND(IF(B1556&lt;(Inputs!$E$8-Inputs!$D$8)/(Inputs!$F$8-Inputs!$D$8),Inputs!$D$8+SQRT(B1556*(Inputs!$F$8-Inputs!$D$8)*(Inputs!$E$8-Inputs!$D$8)),Inputs!$F$8-SQRT((1-B1556)*(Inputs!$F$8-Inputs!$D$8)*(Inputs!$F$8-Inputs!$E$8))),0)</f>
        <v>28</v>
      </c>
      <c r="D1556" s="81" t="n">
        <f aca="true">RAND()</f>
        <v>0.447866420954285</v>
      </c>
      <c r="E1556" s="83" t="n">
        <f aca="false">IF(D1556&lt;(Inputs!$E$10-Inputs!$D$10)/(Inputs!$F$10-Inputs!$D$10),Inputs!$D$10+SQRT(D1556*(Inputs!$F$10-Inputs!$D$10)*(Inputs!$E$10-Inputs!$D$10)),Inputs!$F$10-SQRT((1-D1556)*(Inputs!$F$10-Inputs!$D$10)*(Inputs!$F$10-Inputs!$E$10)))</f>
        <v>0.0712987670168951</v>
      </c>
      <c r="F1556" s="81" t="n">
        <f aca="true">RAND()</f>
        <v>0.340991593285613</v>
      </c>
      <c r="G1556" s="83" t="n">
        <f aca="false">IF(F1556&lt;(Inputs!$E$15-Inputs!$D$15)/(Inputs!$F$15-Inputs!$D$15),Inputs!$D$15+SQRT(F1556*(Inputs!$F$15-Inputs!$D$15)*(Inputs!$E$15-Inputs!$D$15)),Inputs!$F$15-SQRT((1-F1556)*(Inputs!$F$15-Inputs!$D$15)*(Inputs!$F$15-Inputs!$E$15)))</f>
        <v>0.682582273314025</v>
      </c>
      <c r="H1556" s="81" t="n">
        <f aca="true">RAND()</f>
        <v>0.273313742764731</v>
      </c>
      <c r="I1556" s="82" t="n">
        <f aca="false">ROUND(IF(H1556&lt;(Inputs!$E$17-Inputs!$D$17)/(Inputs!$F$17-Inputs!$D$17),Inputs!$D$17+SQRT(H1556*(Inputs!$F$17-Inputs!$D$17)*(Inputs!$E$17-Inputs!$D$17)),Inputs!$F$17-SQRT((1-H1556)*(Inputs!$F$17-Inputs!$D$17)*(Inputs!$F$17-Inputs!$E$17))),0)</f>
        <v>105</v>
      </c>
      <c r="J1556" s="81" t="n">
        <f aca="true">RAND()</f>
        <v>0.828081624093215</v>
      </c>
      <c r="K1556" s="83" t="n">
        <f aca="false">IF(J1556&lt;(Inputs!$E$18-Inputs!$D$18)/(Inputs!$F$18-Inputs!$D$18),Inputs!$D$18+SQRT(J1556*(Inputs!$F$18-Inputs!$D$18)*(Inputs!$E$18-Inputs!$D$18)),Inputs!$F$18-SQRT((1-J1556)*(Inputs!$F$18-Inputs!$D$18)*(Inputs!$F$18-Inputs!$E$18)))</f>
        <v>1.12735067105017</v>
      </c>
      <c r="L1556" s="81" t="n">
        <f aca="true">RAND()</f>
        <v>0.574402173729478</v>
      </c>
      <c r="M1556" s="83" t="n">
        <f aca="false">IF(L1556&lt;(Inputs!$E$24-Inputs!$D$24)/(Inputs!$F$24-Inputs!$D$24),Inputs!$D$24+SQRT(L1556*(Inputs!$F$24-Inputs!$D$24)*(Inputs!$E$24-Inputs!$D$24)),Inputs!$F$24-SQRT((1-L1556)*(Inputs!$F$24-Inputs!$D$24)*(Inputs!$F$24-Inputs!$E$24)))</f>
        <v>0.880401066483436</v>
      </c>
      <c r="N1556" s="81" t="n">
        <f aca="true">RAND()</f>
        <v>0.976033570975401</v>
      </c>
      <c r="O1556" s="83" t="n">
        <f aca="false">IF(N1556&lt;(Inputs!$E$26-Inputs!$D$26)/(Inputs!$F$26-Inputs!$D$26),Inputs!$D$26+SQRT(N1556*(Inputs!$F$26-Inputs!$D$26)*(Inputs!$E$26-Inputs!$D$26)),Inputs!$F$26-SQRT((1-N1556)*(Inputs!$F$26-Inputs!$D$26)*(Inputs!$F$26-Inputs!$E$26)))</f>
        <v>0.770074970019455</v>
      </c>
      <c r="P1556" s="81" t="n">
        <f aca="true">RAND()</f>
        <v>0.331188172126825</v>
      </c>
      <c r="Q1556" s="82" t="n">
        <f aca="false">IF(P1556&lt;(Inputs!$E$27-Inputs!$D$27)/(Inputs!$F$27-Inputs!$D$27),Inputs!$D$27+SQRT(P1556*(Inputs!$F$27-Inputs!$D$27)*(Inputs!$E$27-Inputs!$D$27)),Inputs!$F$27-SQRT((1-P1556)*(Inputs!$F$27-Inputs!$D$27)*(Inputs!$F$27-Inputs!$E$27)))</f>
        <v>79.1756488977921</v>
      </c>
      <c r="R1556" s="81" t="n">
        <f aca="true">RAND()</f>
        <v>0.0878020189156704</v>
      </c>
      <c r="S1556" s="82" t="n">
        <f aca="false">IF(R1556&lt;(Inputs!$E$29-Inputs!$D$29)/(Inputs!$F$29-Inputs!$D$29),Inputs!$D$29+SQRT(R1556*(Inputs!$F$29-Inputs!$D$29)*(Inputs!$E$29-Inputs!$D$29)),Inputs!$F$29-SQRT((1-R1556)*(Inputs!$F$29-Inputs!$D$29)*(Inputs!$F$29-Inputs!$E$29)))</f>
        <v>3.85048067747576</v>
      </c>
      <c r="T1556" s="68" t="n">
        <f aca="false">Inputs!$E$9*(1+E1556)+Inputs!$E$5*C1556*(Inputs!$E$11*Inputs!$E$14*(G1556*I1556/Inputs!$E$16+(1-G1556))*K1556+Inputs!$E$23*M1556)*(1+O1556)+Inputs!$E$5*(Q1556+S1556)</f>
        <v>7360.49270694707</v>
      </c>
    </row>
    <row r="1557" customFormat="false" ht="15" hidden="false" customHeight="false" outlineLevel="0" collapsed="false">
      <c r="A1557" s="1" t="n">
        <v>1553</v>
      </c>
      <c r="B1557" s="81" t="n">
        <f aca="true">RAND()</f>
        <v>0.561913074024826</v>
      </c>
      <c r="C1557" s="82" t="n">
        <f aca="false">ROUND(IF(B1557&lt;(Inputs!$E$8-Inputs!$D$8)/(Inputs!$F$8-Inputs!$D$8),Inputs!$D$8+SQRT(B1557*(Inputs!$F$8-Inputs!$D$8)*(Inputs!$E$8-Inputs!$D$8)),Inputs!$F$8-SQRT((1-B1557)*(Inputs!$F$8-Inputs!$D$8)*(Inputs!$F$8-Inputs!$E$8))),0)</f>
        <v>25</v>
      </c>
      <c r="D1557" s="81" t="n">
        <f aca="true">RAND()</f>
        <v>0.549318763777283</v>
      </c>
      <c r="E1557" s="83" t="n">
        <f aca="false">IF(D1557&lt;(Inputs!$E$10-Inputs!$D$10)/(Inputs!$F$10-Inputs!$D$10),Inputs!$D$10+SQRT(D1557*(Inputs!$F$10-Inputs!$D$10)*(Inputs!$E$10-Inputs!$D$10)),Inputs!$F$10-SQRT((1-D1557)*(Inputs!$F$10-Inputs!$D$10)*(Inputs!$F$10-Inputs!$E$10)))</f>
        <v>0.0837225856553324</v>
      </c>
      <c r="F1557" s="81" t="n">
        <f aca="true">RAND()</f>
        <v>0.150105817532569</v>
      </c>
      <c r="G1557" s="83" t="n">
        <f aca="false">IF(F1557&lt;(Inputs!$E$15-Inputs!$D$15)/(Inputs!$F$15-Inputs!$D$15),Inputs!$D$15+SQRT(F1557*(Inputs!$F$15-Inputs!$D$15)*(Inputs!$E$15-Inputs!$D$15)),Inputs!$F$15-SQRT((1-F1557)*(Inputs!$F$15-Inputs!$D$15)*(Inputs!$F$15-Inputs!$E$15)))</f>
        <v>0.654791571894329</v>
      </c>
      <c r="H1557" s="81" t="n">
        <f aca="true">RAND()</f>
        <v>0.622084763384819</v>
      </c>
      <c r="I1557" s="82" t="n">
        <f aca="false">ROUND(IF(H1557&lt;(Inputs!$E$17-Inputs!$D$17)/(Inputs!$F$17-Inputs!$D$17),Inputs!$D$17+SQRT(H1557*(Inputs!$F$17-Inputs!$D$17)*(Inputs!$E$17-Inputs!$D$17)),Inputs!$F$17-SQRT((1-H1557)*(Inputs!$F$17-Inputs!$D$17)*(Inputs!$F$17-Inputs!$E$17))),0)</f>
        <v>107</v>
      </c>
      <c r="J1557" s="81" t="n">
        <f aca="true">RAND()</f>
        <v>0.431997723834301</v>
      </c>
      <c r="K1557" s="83" t="n">
        <f aca="false">IF(J1557&lt;(Inputs!$E$18-Inputs!$D$18)/(Inputs!$F$18-Inputs!$D$18),Inputs!$D$18+SQRT(J1557*(Inputs!$F$18-Inputs!$D$18)*(Inputs!$E$18-Inputs!$D$18)),Inputs!$F$18-SQRT((1-J1557)*(Inputs!$F$18-Inputs!$D$18)*(Inputs!$F$18-Inputs!$E$18)))</f>
        <v>1.02706458521693</v>
      </c>
      <c r="L1557" s="81" t="n">
        <f aca="true">RAND()</f>
        <v>0.967294437011696</v>
      </c>
      <c r="M1557" s="83" t="n">
        <f aca="false">IF(L1557&lt;(Inputs!$E$24-Inputs!$D$24)/(Inputs!$F$24-Inputs!$D$24),Inputs!$D$24+SQRT(L1557*(Inputs!$F$24-Inputs!$D$24)*(Inputs!$E$24-Inputs!$D$24)),Inputs!$F$24-SQRT((1-L1557)*(Inputs!$F$24-Inputs!$D$24)*(Inputs!$F$24-Inputs!$E$24)))</f>
        <v>1.11140352649686</v>
      </c>
      <c r="N1557" s="81" t="n">
        <f aca="true">RAND()</f>
        <v>0.384226479946</v>
      </c>
      <c r="O1557" s="83" t="n">
        <f aca="false">IF(N1557&lt;(Inputs!$E$26-Inputs!$D$26)/(Inputs!$F$26-Inputs!$D$26),Inputs!$D$26+SQRT(N1557*(Inputs!$F$26-Inputs!$D$26)*(Inputs!$E$26-Inputs!$D$26)),Inputs!$F$26-SQRT((1-N1557)*(Inputs!$F$26-Inputs!$D$26)*(Inputs!$F$26-Inputs!$E$26)))</f>
        <v>0.552854278712096</v>
      </c>
      <c r="P1557" s="81" t="n">
        <f aca="true">RAND()</f>
        <v>0.108041568880339</v>
      </c>
      <c r="Q1557" s="82" t="n">
        <f aca="false">IF(P1557&lt;(Inputs!$E$27-Inputs!$D$27)/(Inputs!$F$27-Inputs!$D$27),Inputs!$D$27+SQRT(P1557*(Inputs!$F$27-Inputs!$D$27)*(Inputs!$E$27-Inputs!$D$27)),Inputs!$F$27-SQRT((1-P1557)*(Inputs!$F$27-Inputs!$D$27)*(Inputs!$F$27-Inputs!$E$27)))</f>
        <v>66.4348386727965</v>
      </c>
      <c r="R1557" s="81" t="n">
        <f aca="true">RAND()</f>
        <v>0.88464987885268</v>
      </c>
      <c r="S1557" s="82" t="n">
        <f aca="false">IF(R1557&lt;(Inputs!$E$29-Inputs!$D$29)/(Inputs!$F$29-Inputs!$D$29),Inputs!$D$29+SQRT(R1557*(Inputs!$F$29-Inputs!$D$29)*(Inputs!$E$29-Inputs!$D$29)),Inputs!$F$29-SQRT((1-R1557)*(Inputs!$F$29-Inputs!$D$29)*(Inputs!$F$29-Inputs!$E$29)))</f>
        <v>11.1275956113609</v>
      </c>
      <c r="T1557" s="68" t="n">
        <f aca="false">Inputs!$E$9*(1+E1557)+Inputs!$E$5*C1557*(Inputs!$E$11*Inputs!$E$14*(G1557*I1557/Inputs!$E$16+(1-G1557))*K1557+Inputs!$E$23*M1557)*(1+O1557)+Inputs!$E$5*(Q1557+S1557)</f>
        <v>6533.14625971082</v>
      </c>
    </row>
    <row r="1558" customFormat="false" ht="15" hidden="false" customHeight="false" outlineLevel="0" collapsed="false">
      <c r="A1558" s="1" t="n">
        <v>1554</v>
      </c>
      <c r="B1558" s="81" t="n">
        <f aca="true">RAND()</f>
        <v>0.580643370052652</v>
      </c>
      <c r="C1558" s="82" t="n">
        <f aca="false">ROUND(IF(B1558&lt;(Inputs!$E$8-Inputs!$D$8)/(Inputs!$F$8-Inputs!$D$8),Inputs!$D$8+SQRT(B1558*(Inputs!$F$8-Inputs!$D$8)*(Inputs!$E$8-Inputs!$D$8)),Inputs!$F$8-SQRT((1-B1558)*(Inputs!$F$8-Inputs!$D$8)*(Inputs!$F$8-Inputs!$E$8))),0)</f>
        <v>25</v>
      </c>
      <c r="D1558" s="81" t="n">
        <f aca="true">RAND()</f>
        <v>0.914929563223417</v>
      </c>
      <c r="E1558" s="83" t="n">
        <f aca="false">IF(D1558&lt;(Inputs!$E$10-Inputs!$D$10)/(Inputs!$F$10-Inputs!$D$10),Inputs!$D$10+SQRT(D1558*(Inputs!$F$10-Inputs!$D$10)*(Inputs!$E$10-Inputs!$D$10)),Inputs!$F$10-SQRT((1-D1558)*(Inputs!$F$10-Inputs!$D$10)*(Inputs!$F$10-Inputs!$E$10)))</f>
        <v>0.149481556800536</v>
      </c>
      <c r="F1558" s="81" t="n">
        <f aca="true">RAND()</f>
        <v>0.491463266044163</v>
      </c>
      <c r="G1558" s="83" t="n">
        <f aca="false">IF(F1558&lt;(Inputs!$E$15-Inputs!$D$15)/(Inputs!$F$15-Inputs!$D$15),Inputs!$D$15+SQRT(F1558*(Inputs!$F$15-Inputs!$D$15)*(Inputs!$E$15-Inputs!$D$15)),Inputs!$F$15-SQRT((1-F1558)*(Inputs!$F$15-Inputs!$D$15)*(Inputs!$F$15-Inputs!$E$15)))</f>
        <v>0.699142651371059</v>
      </c>
      <c r="H1558" s="81" t="n">
        <f aca="true">RAND()</f>
        <v>0.909370330345968</v>
      </c>
      <c r="I1558" s="82" t="n">
        <f aca="false">ROUND(IF(H1558&lt;(Inputs!$E$17-Inputs!$D$17)/(Inputs!$F$17-Inputs!$D$17),Inputs!$D$17+SQRT(H1558*(Inputs!$F$17-Inputs!$D$17)*(Inputs!$E$17-Inputs!$D$17)),Inputs!$F$17-SQRT((1-H1558)*(Inputs!$F$17-Inputs!$D$17)*(Inputs!$F$17-Inputs!$E$17))),0)</f>
        <v>111</v>
      </c>
      <c r="J1558" s="81" t="n">
        <f aca="true">RAND()</f>
        <v>0.336981619896732</v>
      </c>
      <c r="K1558" s="83" t="n">
        <f aca="false">IF(J1558&lt;(Inputs!$E$18-Inputs!$D$18)/(Inputs!$F$18-Inputs!$D$18),Inputs!$D$18+SQRT(J1558*(Inputs!$F$18-Inputs!$D$18)*(Inputs!$E$18-Inputs!$D$18)),Inputs!$F$18-SQRT((1-J1558)*(Inputs!$F$18-Inputs!$D$18)*(Inputs!$F$18-Inputs!$E$18)))</f>
        <v>1.00913881952661</v>
      </c>
      <c r="L1558" s="81" t="n">
        <f aca="true">RAND()</f>
        <v>0.136406190637729</v>
      </c>
      <c r="M1558" s="83" t="n">
        <f aca="false">IF(L1558&lt;(Inputs!$E$24-Inputs!$D$24)/(Inputs!$F$24-Inputs!$D$24),Inputs!$D$24+SQRT(L1558*(Inputs!$F$24-Inputs!$D$24)*(Inputs!$E$24-Inputs!$D$24)),Inputs!$F$24-SQRT((1-L1558)*(Inputs!$F$24-Inputs!$D$24)*(Inputs!$F$24-Inputs!$E$24)))</f>
        <v>0.727940387980213</v>
      </c>
      <c r="N1558" s="81" t="n">
        <f aca="true">RAND()</f>
        <v>0.0387803935341174</v>
      </c>
      <c r="O1558" s="83" t="n">
        <f aca="false">IF(N1558&lt;(Inputs!$E$26-Inputs!$D$26)/(Inputs!$F$26-Inputs!$D$26),Inputs!$D$26+SQRT(N1558*(Inputs!$F$26-Inputs!$D$26)*(Inputs!$E$26-Inputs!$D$26)),Inputs!$F$26-SQRT((1-N1558)*(Inputs!$F$26-Inputs!$D$26)*(Inputs!$F$26-Inputs!$E$26)))</f>
        <v>0.380330924830212</v>
      </c>
      <c r="P1558" s="81" t="n">
        <f aca="true">RAND()</f>
        <v>0.471282938520861</v>
      </c>
      <c r="Q1558" s="82" t="n">
        <f aca="false">IF(P1558&lt;(Inputs!$E$27-Inputs!$D$27)/(Inputs!$F$27-Inputs!$D$27),Inputs!$D$27+SQRT(P1558*(Inputs!$F$27-Inputs!$D$27)*(Inputs!$E$27-Inputs!$D$27)),Inputs!$F$27-SQRT((1-P1558)*(Inputs!$F$27-Inputs!$D$27)*(Inputs!$F$27-Inputs!$E$27)))</f>
        <v>87.0287529018716</v>
      </c>
      <c r="R1558" s="81" t="n">
        <f aca="true">RAND()</f>
        <v>0.293891944900253</v>
      </c>
      <c r="S1558" s="82" t="n">
        <f aca="false">IF(R1558&lt;(Inputs!$E$29-Inputs!$D$29)/(Inputs!$F$29-Inputs!$D$29),Inputs!$D$29+SQRT(R1558*(Inputs!$F$29-Inputs!$D$29)*(Inputs!$E$29-Inputs!$D$29)),Inputs!$F$29-SQRT((1-R1558)*(Inputs!$F$29-Inputs!$D$29)*(Inputs!$F$29-Inputs!$E$29)))</f>
        <v>5.41907900236271</v>
      </c>
      <c r="T1558" s="68" t="n">
        <f aca="false">Inputs!$E$9*(1+E1558)+Inputs!$E$5*C1558*(Inputs!$E$11*Inputs!$E$14*(G1558*I1558/Inputs!$E$16+(1-G1558))*K1558+Inputs!$E$23*M1558)*(1+O1558)+Inputs!$E$5*(Q1558+S1558)</f>
        <v>5818.51727505834</v>
      </c>
    </row>
    <row r="1559" customFormat="false" ht="15" hidden="false" customHeight="false" outlineLevel="0" collapsed="false">
      <c r="A1559" s="1" t="n">
        <v>1555</v>
      </c>
      <c r="B1559" s="81" t="n">
        <f aca="true">RAND()</f>
        <v>0.0491963276671886</v>
      </c>
      <c r="C1559" s="82" t="n">
        <f aca="false">ROUND(IF(B1559&lt;(Inputs!$E$8-Inputs!$D$8)/(Inputs!$F$8-Inputs!$D$8),Inputs!$D$8+SQRT(B1559*(Inputs!$F$8-Inputs!$D$8)*(Inputs!$E$8-Inputs!$D$8)),Inputs!$F$8-SQRT((1-B1559)*(Inputs!$F$8-Inputs!$D$8)*(Inputs!$F$8-Inputs!$E$8))),0)</f>
        <v>22</v>
      </c>
      <c r="D1559" s="81" t="n">
        <f aca="true">RAND()</f>
        <v>0.847892046885556</v>
      </c>
      <c r="E1559" s="83" t="n">
        <f aca="false">IF(D1559&lt;(Inputs!$E$10-Inputs!$D$10)/(Inputs!$F$10-Inputs!$D$10),Inputs!$D$10+SQRT(D1559*(Inputs!$F$10-Inputs!$D$10)*(Inputs!$E$10-Inputs!$D$10)),Inputs!$F$10-SQRT((1-D1559)*(Inputs!$F$10-Inputs!$D$10)*(Inputs!$F$10-Inputs!$E$10)))</f>
        <v>0.132448252476836</v>
      </c>
      <c r="F1559" s="81" t="n">
        <f aca="true">RAND()</f>
        <v>0.412158781773406</v>
      </c>
      <c r="G1559" s="83" t="n">
        <f aca="false">IF(F1559&lt;(Inputs!$E$15-Inputs!$D$15)/(Inputs!$F$15-Inputs!$D$15),Inputs!$D$15+SQRT(F1559*(Inputs!$F$15-Inputs!$D$15)*(Inputs!$E$15-Inputs!$D$15)),Inputs!$F$15-SQRT((1-F1559)*(Inputs!$F$15-Inputs!$D$15)*(Inputs!$F$15-Inputs!$E$15)))</f>
        <v>0.690791935960569</v>
      </c>
      <c r="H1559" s="81" t="n">
        <f aca="true">RAND()</f>
        <v>0.895022807218025</v>
      </c>
      <c r="I1559" s="82" t="n">
        <f aca="false">ROUND(IF(H1559&lt;(Inputs!$E$17-Inputs!$D$17)/(Inputs!$F$17-Inputs!$D$17),Inputs!$D$17+SQRT(H1559*(Inputs!$F$17-Inputs!$D$17)*(Inputs!$E$17-Inputs!$D$17)),Inputs!$F$17-SQRT((1-H1559)*(Inputs!$F$17-Inputs!$D$17)*(Inputs!$F$17-Inputs!$E$17))),0)</f>
        <v>111</v>
      </c>
      <c r="J1559" s="81" t="n">
        <f aca="true">RAND()</f>
        <v>0.453210731765719</v>
      </c>
      <c r="K1559" s="83" t="n">
        <f aca="false">IF(J1559&lt;(Inputs!$E$18-Inputs!$D$18)/(Inputs!$F$18-Inputs!$D$18),Inputs!$D$18+SQRT(J1559*(Inputs!$F$18-Inputs!$D$18)*(Inputs!$E$18-Inputs!$D$18)),Inputs!$F$18-SQRT((1-J1559)*(Inputs!$F$18-Inputs!$D$18)*(Inputs!$F$18-Inputs!$E$18)))</f>
        <v>1.03126714702519</v>
      </c>
      <c r="L1559" s="81" t="n">
        <f aca="true">RAND()</f>
        <v>0.752336100231911</v>
      </c>
      <c r="M1559" s="83" t="n">
        <f aca="false">IF(L1559&lt;(Inputs!$E$24-Inputs!$D$24)/(Inputs!$F$24-Inputs!$D$24),Inputs!$D$24+SQRT(L1559*(Inputs!$F$24-Inputs!$D$24)*(Inputs!$E$24-Inputs!$D$24)),Inputs!$F$24-SQRT((1-L1559)*(Inputs!$F$24-Inputs!$D$24)*(Inputs!$F$24-Inputs!$E$24)))</f>
        <v>0.956198162549292</v>
      </c>
      <c r="N1559" s="81" t="n">
        <f aca="true">RAND()</f>
        <v>0.628339495845391</v>
      </c>
      <c r="O1559" s="83" t="n">
        <f aca="false">IF(N1559&lt;(Inputs!$E$26-Inputs!$D$26)/(Inputs!$F$26-Inputs!$D$26),Inputs!$D$26+SQRT(N1559*(Inputs!$F$26-Inputs!$D$26)*(Inputs!$E$26-Inputs!$D$26)),Inputs!$F$26-SQRT((1-N1559)*(Inputs!$F$26-Inputs!$D$26)*(Inputs!$F$26-Inputs!$E$26)))</f>
        <v>0.623397119980201</v>
      </c>
      <c r="P1559" s="81" t="n">
        <f aca="true">RAND()</f>
        <v>0.880899649604919</v>
      </c>
      <c r="Q1559" s="82" t="n">
        <f aca="false">IF(P1559&lt;(Inputs!$E$27-Inputs!$D$27)/(Inputs!$F$27-Inputs!$D$27),Inputs!$D$27+SQRT(P1559*(Inputs!$F$27-Inputs!$D$27)*(Inputs!$E$27-Inputs!$D$27)),Inputs!$F$27-SQRT((1-P1559)*(Inputs!$F$27-Inputs!$D$27)*(Inputs!$F$27-Inputs!$E$27)))</f>
        <v>120.112667767713</v>
      </c>
      <c r="R1559" s="81" t="n">
        <f aca="true">RAND()</f>
        <v>0.983280837034107</v>
      </c>
      <c r="S1559" s="82" t="n">
        <f aca="false">IF(R1559&lt;(Inputs!$E$29-Inputs!$D$29)/(Inputs!$F$29-Inputs!$D$29),Inputs!$D$29+SQRT(R1559*(Inputs!$F$29-Inputs!$D$29)*(Inputs!$E$29-Inputs!$D$29)),Inputs!$F$29-SQRT((1-R1559)*(Inputs!$F$29-Inputs!$D$29)*(Inputs!$F$29-Inputs!$E$29)))</f>
        <v>13.5257235043703</v>
      </c>
      <c r="T1559" s="68" t="n">
        <f aca="false">Inputs!$E$9*(1+E1559)+Inputs!$E$5*C1559*(Inputs!$E$11*Inputs!$E$14*(G1559*I1559/Inputs!$E$16+(1-G1559))*K1559+Inputs!$E$23*M1559)*(1+O1559)+Inputs!$E$5*(Q1559+S1559)</f>
        <v>6429.80212454476</v>
      </c>
    </row>
    <row r="1560" customFormat="false" ht="15" hidden="false" customHeight="false" outlineLevel="0" collapsed="false">
      <c r="A1560" s="1" t="n">
        <v>1556</v>
      </c>
      <c r="B1560" s="81" t="n">
        <f aca="true">RAND()</f>
        <v>0.0244853124089246</v>
      </c>
      <c r="C1560" s="82" t="n">
        <f aca="false">ROUND(IF(B1560&lt;(Inputs!$E$8-Inputs!$D$8)/(Inputs!$F$8-Inputs!$D$8),Inputs!$D$8+SQRT(B1560*(Inputs!$F$8-Inputs!$D$8)*(Inputs!$E$8-Inputs!$D$8)),Inputs!$F$8-SQRT((1-B1560)*(Inputs!$F$8-Inputs!$D$8)*(Inputs!$F$8-Inputs!$E$8))),0)</f>
        <v>21</v>
      </c>
      <c r="D1560" s="81" t="n">
        <f aca="true">RAND()</f>
        <v>0.904237309656018</v>
      </c>
      <c r="E1560" s="83" t="n">
        <f aca="false">IF(D1560&lt;(Inputs!$E$10-Inputs!$D$10)/(Inputs!$F$10-Inputs!$D$10),Inputs!$D$10+SQRT(D1560*(Inputs!$F$10-Inputs!$D$10)*(Inputs!$E$10-Inputs!$D$10)),Inputs!$F$10-SQRT((1-D1560)*(Inputs!$F$10-Inputs!$D$10)*(Inputs!$F$10-Inputs!$E$10)))</f>
        <v>0.146400739647646</v>
      </c>
      <c r="F1560" s="81" t="n">
        <f aca="true">RAND()</f>
        <v>0.833984726620697</v>
      </c>
      <c r="G1560" s="83" t="n">
        <f aca="false">IF(F1560&lt;(Inputs!$E$15-Inputs!$D$15)/(Inputs!$F$15-Inputs!$D$15),Inputs!$D$15+SQRT(F1560*(Inputs!$F$15-Inputs!$D$15)*(Inputs!$E$15-Inputs!$D$15)),Inputs!$F$15-SQRT((1-F1560)*(Inputs!$F$15-Inputs!$D$15)*(Inputs!$F$15-Inputs!$E$15)))</f>
        <v>0.742377908163743</v>
      </c>
      <c r="H1560" s="81" t="n">
        <f aca="true">RAND()</f>
        <v>0.0887299306363856</v>
      </c>
      <c r="I1560" s="82" t="n">
        <f aca="false">ROUND(IF(H1560&lt;(Inputs!$E$17-Inputs!$D$17)/(Inputs!$F$17-Inputs!$D$17),Inputs!$D$17+SQRT(H1560*(Inputs!$F$17-Inputs!$D$17)*(Inputs!$E$17-Inputs!$D$17)),Inputs!$F$17-SQRT((1-H1560)*(Inputs!$F$17-Inputs!$D$17)*(Inputs!$F$17-Inputs!$E$17))),0)</f>
        <v>103</v>
      </c>
      <c r="J1560" s="81" t="n">
        <f aca="true">RAND()</f>
        <v>0.0321011019203949</v>
      </c>
      <c r="K1560" s="83" t="n">
        <f aca="false">IF(J1560&lt;(Inputs!$E$18-Inputs!$D$18)/(Inputs!$F$18-Inputs!$D$18),Inputs!$D$18+SQRT(J1560*(Inputs!$F$18-Inputs!$D$18)*(Inputs!$E$18-Inputs!$D$18)),Inputs!$F$18-SQRT((1-J1560)*(Inputs!$F$18-Inputs!$D$18)*(Inputs!$F$18-Inputs!$E$18)))</f>
        <v>0.933519226828998</v>
      </c>
      <c r="L1560" s="81" t="n">
        <f aca="true">RAND()</f>
        <v>0.51520703686141</v>
      </c>
      <c r="M1560" s="83" t="n">
        <f aca="false">IF(L1560&lt;(Inputs!$E$24-Inputs!$D$24)/(Inputs!$F$24-Inputs!$D$24),Inputs!$D$24+SQRT(L1560*(Inputs!$F$24-Inputs!$D$24)*(Inputs!$E$24-Inputs!$D$24)),Inputs!$F$24-SQRT((1-L1560)*(Inputs!$F$24-Inputs!$D$24)*(Inputs!$F$24-Inputs!$E$24)))</f>
        <v>0.858898385882943</v>
      </c>
      <c r="N1560" s="81" t="n">
        <f aca="true">RAND()</f>
        <v>0.787909425700972</v>
      </c>
      <c r="O1560" s="83" t="n">
        <f aca="false">IF(N1560&lt;(Inputs!$E$26-Inputs!$D$26)/(Inputs!$F$26-Inputs!$D$26),Inputs!$D$26+SQRT(N1560*(Inputs!$F$26-Inputs!$D$26)*(Inputs!$E$26-Inputs!$D$26)),Inputs!$F$26-SQRT((1-N1560)*(Inputs!$F$26-Inputs!$D$26)*(Inputs!$F$26-Inputs!$E$26)))</f>
        <v>0.671482594531486</v>
      </c>
      <c r="P1560" s="81" t="n">
        <f aca="true">RAND()</f>
        <v>0.0653547536756872</v>
      </c>
      <c r="Q1560" s="82" t="n">
        <f aca="false">IF(P1560&lt;(Inputs!$E$27-Inputs!$D$27)/(Inputs!$F$27-Inputs!$D$27),Inputs!$D$27+SQRT(P1560*(Inputs!$F$27-Inputs!$D$27)*(Inputs!$E$27-Inputs!$D$27)),Inputs!$F$27-SQRT((1-P1560)*(Inputs!$F$27-Inputs!$D$27)*(Inputs!$F$27-Inputs!$E$27)))</f>
        <v>62.7822879090254</v>
      </c>
      <c r="R1560" s="81" t="n">
        <f aca="true">RAND()</f>
        <v>0.384768745548172</v>
      </c>
      <c r="S1560" s="82" t="n">
        <f aca="false">IF(R1560&lt;(Inputs!$E$29-Inputs!$D$29)/(Inputs!$F$29-Inputs!$D$29),Inputs!$D$29+SQRT(R1560*(Inputs!$F$29-Inputs!$D$29)*(Inputs!$E$29-Inputs!$D$29)),Inputs!$F$29-SQRT((1-R1560)*(Inputs!$F$29-Inputs!$D$29)*(Inputs!$F$29-Inputs!$E$29)))</f>
        <v>6.05684266722665</v>
      </c>
      <c r="T1560" s="68" t="n">
        <f aca="false">Inputs!$E$9*(1+E1560)+Inputs!$E$5*C1560*(Inputs!$E$11*Inputs!$E$14*(G1560*I1560/Inputs!$E$16+(1-G1560))*K1560+Inputs!$E$23*M1560)*(1+O1560)+Inputs!$E$5*(Q1560+S1560)</f>
        <v>5634.24993123213</v>
      </c>
    </row>
    <row r="1561" customFormat="false" ht="15" hidden="false" customHeight="false" outlineLevel="0" collapsed="false">
      <c r="A1561" s="1" t="n">
        <v>1557</v>
      </c>
      <c r="B1561" s="81" t="n">
        <f aca="true">RAND()</f>
        <v>0.364162277442981</v>
      </c>
      <c r="C1561" s="82" t="n">
        <f aca="false">ROUND(IF(B1561&lt;(Inputs!$E$8-Inputs!$D$8)/(Inputs!$F$8-Inputs!$D$8),Inputs!$D$8+SQRT(B1561*(Inputs!$F$8-Inputs!$D$8)*(Inputs!$E$8-Inputs!$D$8)),Inputs!$F$8-SQRT((1-B1561)*(Inputs!$F$8-Inputs!$D$8)*(Inputs!$F$8-Inputs!$E$8))),0)</f>
        <v>24</v>
      </c>
      <c r="D1561" s="81" t="n">
        <f aca="true">RAND()</f>
        <v>0.547534718403369</v>
      </c>
      <c r="E1561" s="83" t="n">
        <f aca="false">IF(D1561&lt;(Inputs!$E$10-Inputs!$D$10)/(Inputs!$F$10-Inputs!$D$10),Inputs!$D$10+SQRT(D1561*(Inputs!$F$10-Inputs!$D$10)*(Inputs!$E$10-Inputs!$D$10)),Inputs!$F$10-SQRT((1-D1561)*(Inputs!$F$10-Inputs!$D$10)*(Inputs!$F$10-Inputs!$E$10)))</f>
        <v>0.0834926678363163</v>
      </c>
      <c r="F1561" s="81" t="n">
        <f aca="true">RAND()</f>
        <v>0.969101665089346</v>
      </c>
      <c r="G1561" s="83" t="n">
        <f aca="false">IF(F1561&lt;(Inputs!$E$15-Inputs!$D$15)/(Inputs!$F$15-Inputs!$D$15),Inputs!$D$15+SQRT(F1561*(Inputs!$F$15-Inputs!$D$15)*(Inputs!$E$15-Inputs!$D$15)),Inputs!$F$15-SQRT((1-F1561)*(Inputs!$F$15-Inputs!$D$15)*(Inputs!$F$15-Inputs!$E$15)))</f>
        <v>0.775141064016875</v>
      </c>
      <c r="H1561" s="81" t="n">
        <f aca="true">RAND()</f>
        <v>0.980132920000313</v>
      </c>
      <c r="I1561" s="82" t="n">
        <f aca="false">ROUND(IF(H1561&lt;(Inputs!$E$17-Inputs!$D$17)/(Inputs!$F$17-Inputs!$D$17),Inputs!$D$17+SQRT(H1561*(Inputs!$F$17-Inputs!$D$17)*(Inputs!$E$17-Inputs!$D$17)),Inputs!$F$17-SQRT((1-H1561)*(Inputs!$F$17-Inputs!$D$17)*(Inputs!$F$17-Inputs!$E$17))),0)</f>
        <v>113</v>
      </c>
      <c r="J1561" s="81" t="n">
        <f aca="true">RAND()</f>
        <v>0.945995300685819</v>
      </c>
      <c r="K1561" s="83" t="n">
        <f aca="false">IF(J1561&lt;(Inputs!$E$18-Inputs!$D$18)/(Inputs!$F$18-Inputs!$D$18),Inputs!$D$18+SQRT(J1561*(Inputs!$F$18-Inputs!$D$18)*(Inputs!$E$18-Inputs!$D$18)),Inputs!$F$18-SQRT((1-J1561)*(Inputs!$F$18-Inputs!$D$18)*(Inputs!$F$18-Inputs!$E$18)))</f>
        <v>1.18125837367366</v>
      </c>
      <c r="L1561" s="81" t="n">
        <f aca="true">RAND()</f>
        <v>0.183414191227228</v>
      </c>
      <c r="M1561" s="83" t="n">
        <f aca="false">IF(L1561&lt;(Inputs!$E$24-Inputs!$D$24)/(Inputs!$F$24-Inputs!$D$24),Inputs!$D$24+SQRT(L1561*(Inputs!$F$24-Inputs!$D$24)*(Inputs!$E$24-Inputs!$D$24)),Inputs!$F$24-SQRT((1-L1561)*(Inputs!$F$24-Inputs!$D$24)*(Inputs!$F$24-Inputs!$E$24)))</f>
        <v>0.748356674764796</v>
      </c>
      <c r="N1561" s="81" t="n">
        <f aca="true">RAND()</f>
        <v>0.557073061127349</v>
      </c>
      <c r="O1561" s="83" t="n">
        <f aca="false">IF(N1561&lt;(Inputs!$E$26-Inputs!$D$26)/(Inputs!$F$26-Inputs!$D$26),Inputs!$D$26+SQRT(N1561*(Inputs!$F$26-Inputs!$D$26)*(Inputs!$E$26-Inputs!$D$26)),Inputs!$F$26-SQRT((1-N1561)*(Inputs!$F$26-Inputs!$D$26)*(Inputs!$F$26-Inputs!$E$26)))</f>
        <v>0.604461750260342</v>
      </c>
      <c r="P1561" s="81" t="n">
        <f aca="true">RAND()</f>
        <v>0.746675305271056</v>
      </c>
      <c r="Q1561" s="82" t="n">
        <f aca="false">IF(P1561&lt;(Inputs!$E$27-Inputs!$D$27)/(Inputs!$F$27-Inputs!$D$27),Inputs!$D$27+SQRT(P1561*(Inputs!$F$27-Inputs!$D$27)*(Inputs!$E$27-Inputs!$D$27)),Inputs!$F$27-SQRT((1-P1561)*(Inputs!$F$27-Inputs!$D$27)*(Inputs!$F$27-Inputs!$E$27)))</f>
        <v>106.411753757841</v>
      </c>
      <c r="R1561" s="81" t="n">
        <f aca="true">RAND()</f>
        <v>0.133524510362582</v>
      </c>
      <c r="S1561" s="82" t="n">
        <f aca="false">IF(R1561&lt;(Inputs!$E$29-Inputs!$D$29)/(Inputs!$F$29-Inputs!$D$29),Inputs!$D$29+SQRT(R1561*(Inputs!$F$29-Inputs!$D$29)*(Inputs!$E$29-Inputs!$D$29)),Inputs!$F$29-SQRT((1-R1561)*(Inputs!$F$29-Inputs!$D$29)*(Inputs!$F$29-Inputs!$E$29)))</f>
        <v>4.28198507973665</v>
      </c>
      <c r="T1561" s="68" t="n">
        <f aca="false">Inputs!$E$9*(1+E1561)+Inputs!$E$5*C1561*(Inputs!$E$11*Inputs!$E$14*(G1561*I1561/Inputs!$E$16+(1-G1561))*K1561+Inputs!$E$23*M1561)*(1+O1561)+Inputs!$E$5*(Q1561+S1561)</f>
        <v>6410.7854625223</v>
      </c>
    </row>
    <row r="1562" customFormat="false" ht="15" hidden="false" customHeight="false" outlineLevel="0" collapsed="false">
      <c r="A1562" s="1" t="n">
        <v>1558</v>
      </c>
      <c r="B1562" s="81" t="n">
        <f aca="true">RAND()</f>
        <v>0.0220613965350323</v>
      </c>
      <c r="C1562" s="82" t="n">
        <f aca="false">ROUND(IF(B1562&lt;(Inputs!$E$8-Inputs!$D$8)/(Inputs!$F$8-Inputs!$D$8),Inputs!$D$8+SQRT(B1562*(Inputs!$F$8-Inputs!$D$8)*(Inputs!$E$8-Inputs!$D$8)),Inputs!$F$8-SQRT((1-B1562)*(Inputs!$F$8-Inputs!$D$8)*(Inputs!$F$8-Inputs!$E$8))),0)</f>
        <v>21</v>
      </c>
      <c r="D1562" s="81" t="n">
        <f aca="true">RAND()</f>
        <v>0.345164925133387</v>
      </c>
      <c r="E1562" s="83" t="n">
        <f aca="false">IF(D1562&lt;(Inputs!$E$10-Inputs!$D$10)/(Inputs!$F$10-Inputs!$D$10),Inputs!$D$10+SQRT(D1562*(Inputs!$F$10-Inputs!$D$10)*(Inputs!$E$10-Inputs!$D$10)),Inputs!$F$10-SQRT((1-D1562)*(Inputs!$F$10-Inputs!$D$10)*(Inputs!$F$10-Inputs!$E$10)))</f>
        <v>0.0598391914763675</v>
      </c>
      <c r="F1562" s="81" t="n">
        <f aca="true">RAND()</f>
        <v>0.630402857618221</v>
      </c>
      <c r="G1562" s="83" t="n">
        <f aca="false">IF(F1562&lt;(Inputs!$E$15-Inputs!$D$15)/(Inputs!$F$15-Inputs!$D$15),Inputs!$D$15+SQRT(F1562*(Inputs!$F$15-Inputs!$D$15)*(Inputs!$E$15-Inputs!$D$15)),Inputs!$F$15-SQRT((1-F1562)*(Inputs!$F$15-Inputs!$D$15)*(Inputs!$F$15-Inputs!$E$15)))</f>
        <v>0.714023591330903</v>
      </c>
      <c r="H1562" s="81" t="n">
        <f aca="true">RAND()</f>
        <v>0.574397362335134</v>
      </c>
      <c r="I1562" s="82" t="n">
        <f aca="false">ROUND(IF(H1562&lt;(Inputs!$E$17-Inputs!$D$17)/(Inputs!$F$17-Inputs!$D$17),Inputs!$D$17+SQRT(H1562*(Inputs!$F$17-Inputs!$D$17)*(Inputs!$E$17-Inputs!$D$17)),Inputs!$F$17-SQRT((1-H1562)*(Inputs!$F$17-Inputs!$D$17)*(Inputs!$F$17-Inputs!$E$17))),0)</f>
        <v>107</v>
      </c>
      <c r="J1562" s="81" t="n">
        <f aca="true">RAND()</f>
        <v>0.802265339861154</v>
      </c>
      <c r="K1562" s="83" t="n">
        <f aca="false">IF(J1562&lt;(Inputs!$E$18-Inputs!$D$18)/(Inputs!$F$18-Inputs!$D$18),Inputs!$D$18+SQRT(J1562*(Inputs!$F$18-Inputs!$D$18)*(Inputs!$E$18-Inputs!$D$18)),Inputs!$F$18-SQRT((1-J1562)*(Inputs!$F$18-Inputs!$D$18)*(Inputs!$F$18-Inputs!$E$18)))</f>
        <v>1.11846375875011</v>
      </c>
      <c r="L1562" s="81" t="n">
        <f aca="true">RAND()</f>
        <v>0.410484531576002</v>
      </c>
      <c r="M1562" s="83" t="n">
        <f aca="false">IF(L1562&lt;(Inputs!$E$24-Inputs!$D$24)/(Inputs!$F$24-Inputs!$D$24),Inputs!$D$24+SQRT(L1562*(Inputs!$F$24-Inputs!$D$24)*(Inputs!$E$24-Inputs!$D$24)),Inputs!$F$24-SQRT((1-L1562)*(Inputs!$F$24-Inputs!$D$24)*(Inputs!$F$24-Inputs!$E$24)))</f>
        <v>0.823856792668325</v>
      </c>
      <c r="N1562" s="81" t="n">
        <f aca="true">RAND()</f>
        <v>0.959576350594386</v>
      </c>
      <c r="O1562" s="83" t="n">
        <f aca="false">IF(N1562&lt;(Inputs!$E$26-Inputs!$D$26)/(Inputs!$F$26-Inputs!$D$26),Inputs!$D$26+SQRT(N1562*(Inputs!$F$26-Inputs!$D$26)*(Inputs!$E$26-Inputs!$D$26)),Inputs!$F$26-SQRT((1-N1562)*(Inputs!$F$26-Inputs!$D$26)*(Inputs!$F$26-Inputs!$E$26)))</f>
        <v>0.755161280563355</v>
      </c>
      <c r="P1562" s="81" t="n">
        <f aca="true">RAND()</f>
        <v>0.499299311702543</v>
      </c>
      <c r="Q1562" s="82" t="n">
        <f aca="false">IF(P1562&lt;(Inputs!$E$27-Inputs!$D$27)/(Inputs!$F$27-Inputs!$D$27),Inputs!$D$27+SQRT(P1562*(Inputs!$F$27-Inputs!$D$27)*(Inputs!$E$27-Inputs!$D$27)),Inputs!$F$27-SQRT((1-P1562)*(Inputs!$F$27-Inputs!$D$27)*(Inputs!$F$27-Inputs!$E$27)))</f>
        <v>88.7198632326026</v>
      </c>
      <c r="R1562" s="81" t="n">
        <f aca="true">RAND()</f>
        <v>0.92425744706381</v>
      </c>
      <c r="S1562" s="82" t="n">
        <f aca="false">IF(R1562&lt;(Inputs!$E$29-Inputs!$D$29)/(Inputs!$F$29-Inputs!$D$29),Inputs!$D$29+SQRT(R1562*(Inputs!$F$29-Inputs!$D$29)*(Inputs!$E$29-Inputs!$D$29)),Inputs!$F$29-SQRT((1-R1562)*(Inputs!$F$29-Inputs!$D$29)*(Inputs!$F$29-Inputs!$E$29)))</f>
        <v>11.8620816005344</v>
      </c>
      <c r="T1562" s="68" t="n">
        <f aca="false">Inputs!$E$9*(1+E1562)+Inputs!$E$5*C1562*(Inputs!$E$11*Inputs!$E$14*(G1562*I1562/Inputs!$E$16+(1-G1562))*K1562+Inputs!$E$23*M1562)*(1+O1562)+Inputs!$E$5*(Q1562+S1562)</f>
        <v>6136.19826881513</v>
      </c>
    </row>
    <row r="1563" customFormat="false" ht="15" hidden="false" customHeight="false" outlineLevel="0" collapsed="false">
      <c r="A1563" s="1" t="n">
        <v>1559</v>
      </c>
      <c r="B1563" s="81" t="n">
        <f aca="true">RAND()</f>
        <v>0.580163458532919</v>
      </c>
      <c r="C1563" s="82" t="n">
        <f aca="false">ROUND(IF(B1563&lt;(Inputs!$E$8-Inputs!$D$8)/(Inputs!$F$8-Inputs!$D$8),Inputs!$D$8+SQRT(B1563*(Inputs!$F$8-Inputs!$D$8)*(Inputs!$E$8-Inputs!$D$8)),Inputs!$F$8-SQRT((1-B1563)*(Inputs!$F$8-Inputs!$D$8)*(Inputs!$F$8-Inputs!$E$8))),0)</f>
        <v>25</v>
      </c>
      <c r="D1563" s="81" t="n">
        <f aca="true">RAND()</f>
        <v>0.112714656726101</v>
      </c>
      <c r="E1563" s="83" t="n">
        <f aca="false">IF(D1563&lt;(Inputs!$E$10-Inputs!$D$10)/(Inputs!$F$10-Inputs!$D$10),Inputs!$D$10+SQRT(D1563*(Inputs!$F$10-Inputs!$D$10)*(Inputs!$E$10-Inputs!$D$10)),Inputs!$F$10-SQRT((1-D1563)*(Inputs!$F$10-Inputs!$D$10)*(Inputs!$F$10-Inputs!$E$10)))</f>
        <v>0.033573003548402</v>
      </c>
      <c r="F1563" s="81" t="n">
        <f aca="true">RAND()</f>
        <v>0.243617633413681</v>
      </c>
      <c r="G1563" s="83" t="n">
        <f aca="false">IF(F1563&lt;(Inputs!$E$15-Inputs!$D$15)/(Inputs!$F$15-Inputs!$D$15),Inputs!$D$15+SQRT(F1563*(Inputs!$F$15-Inputs!$D$15)*(Inputs!$E$15-Inputs!$D$15)),Inputs!$F$15-SQRT((1-F1563)*(Inputs!$F$15-Inputs!$D$15)*(Inputs!$F$15-Inputs!$E$15)))</f>
        <v>0.669802239708147</v>
      </c>
      <c r="H1563" s="81" t="n">
        <f aca="true">RAND()</f>
        <v>0.0500462655766018</v>
      </c>
      <c r="I1563" s="82" t="n">
        <f aca="false">ROUND(IF(H1563&lt;(Inputs!$E$17-Inputs!$D$17)/(Inputs!$F$17-Inputs!$D$17),Inputs!$D$17+SQRT(H1563*(Inputs!$F$17-Inputs!$D$17)*(Inputs!$E$17-Inputs!$D$17)),Inputs!$F$17-SQRT((1-H1563)*(Inputs!$F$17-Inputs!$D$17)*(Inputs!$F$17-Inputs!$E$17))),0)</f>
        <v>102</v>
      </c>
      <c r="J1563" s="81" t="n">
        <f aca="true">RAND()</f>
        <v>0.496177594540115</v>
      </c>
      <c r="K1563" s="83" t="n">
        <f aca="false">IF(J1563&lt;(Inputs!$E$18-Inputs!$D$18)/(Inputs!$F$18-Inputs!$D$18),Inputs!$D$18+SQRT(J1563*(Inputs!$F$18-Inputs!$D$18)*(Inputs!$E$18-Inputs!$D$18)),Inputs!$F$18-SQRT((1-J1563)*(Inputs!$F$18-Inputs!$D$18)*(Inputs!$F$18-Inputs!$E$18)))</f>
        <v>1.04003700212242</v>
      </c>
      <c r="L1563" s="81" t="n">
        <f aca="true">RAND()</f>
        <v>0.0797919242549054</v>
      </c>
      <c r="M1563" s="83" t="n">
        <f aca="false">IF(L1563&lt;(Inputs!$E$24-Inputs!$D$24)/(Inputs!$F$24-Inputs!$D$24),Inputs!$D$24+SQRT(L1563*(Inputs!$F$24-Inputs!$D$24)*(Inputs!$E$24-Inputs!$D$24)),Inputs!$F$24-SQRT((1-L1563)*(Inputs!$F$24-Inputs!$D$24)*(Inputs!$F$24-Inputs!$E$24)))</f>
        <v>0.697852086899507</v>
      </c>
      <c r="N1563" s="81" t="n">
        <f aca="true">RAND()</f>
        <v>0.288644864418128</v>
      </c>
      <c r="O1563" s="83" t="n">
        <f aca="false">IF(N1563&lt;(Inputs!$E$26-Inputs!$D$26)/(Inputs!$F$26-Inputs!$D$26),Inputs!$D$26+SQRT(N1563*(Inputs!$F$26-Inputs!$D$26)*(Inputs!$E$26-Inputs!$D$26)),Inputs!$F$26-SQRT((1-N1563)*(Inputs!$F$26-Inputs!$D$26)*(Inputs!$F$26-Inputs!$E$26)))</f>
        <v>0.519158630765883</v>
      </c>
      <c r="P1563" s="81" t="n">
        <f aca="true">RAND()</f>
        <v>0.980219171796157</v>
      </c>
      <c r="Q1563" s="82" t="n">
        <f aca="false">IF(P1563&lt;(Inputs!$E$27-Inputs!$D$27)/(Inputs!$F$27-Inputs!$D$27),Inputs!$D$27+SQRT(P1563*(Inputs!$F$27-Inputs!$D$27)*(Inputs!$E$27-Inputs!$D$27)),Inputs!$F$27-SQRT((1-P1563)*(Inputs!$F$27-Inputs!$D$27)*(Inputs!$F$27-Inputs!$E$27)))</f>
        <v>137.819843534305</v>
      </c>
      <c r="R1563" s="81" t="n">
        <f aca="true">RAND()</f>
        <v>0.101272438404973</v>
      </c>
      <c r="S1563" s="82" t="n">
        <f aca="false">IF(R1563&lt;(Inputs!$E$29-Inputs!$D$29)/(Inputs!$F$29-Inputs!$D$29),Inputs!$D$29+SQRT(R1563*(Inputs!$F$29-Inputs!$D$29)*(Inputs!$E$29-Inputs!$D$29)),Inputs!$F$29-SQRT((1-R1563)*(Inputs!$F$29-Inputs!$D$29)*(Inputs!$F$29-Inputs!$E$29)))</f>
        <v>3.98736637231134</v>
      </c>
      <c r="T1563" s="68" t="n">
        <f aca="false">Inputs!$E$9*(1+E1563)+Inputs!$E$5*C1563*(Inputs!$E$11*Inputs!$E$14*(G1563*I1563/Inputs!$E$16+(1-G1563))*K1563+Inputs!$E$23*M1563)*(1+O1563)+Inputs!$E$5*(Q1563+S1563)</f>
        <v>6055.62323098846</v>
      </c>
    </row>
    <row r="1564" customFormat="false" ht="15" hidden="false" customHeight="false" outlineLevel="0" collapsed="false">
      <c r="A1564" s="1" t="n">
        <v>1560</v>
      </c>
      <c r="B1564" s="81" t="n">
        <f aca="true">RAND()</f>
        <v>0.475176942901837</v>
      </c>
      <c r="C1564" s="82" t="n">
        <f aca="false">ROUND(IF(B1564&lt;(Inputs!$E$8-Inputs!$D$8)/(Inputs!$F$8-Inputs!$D$8),Inputs!$D$8+SQRT(B1564*(Inputs!$F$8-Inputs!$D$8)*(Inputs!$E$8-Inputs!$D$8)),Inputs!$F$8-SQRT((1-B1564)*(Inputs!$F$8-Inputs!$D$8)*(Inputs!$F$8-Inputs!$E$8))),0)</f>
        <v>25</v>
      </c>
      <c r="D1564" s="81" t="n">
        <f aca="true">RAND()</f>
        <v>0.0550798447814446</v>
      </c>
      <c r="E1564" s="83" t="n">
        <f aca="false">IF(D1564&lt;(Inputs!$E$10-Inputs!$D$10)/(Inputs!$F$10-Inputs!$D$10),Inputs!$D$10+SQRT(D1564*(Inputs!$F$10-Inputs!$D$10)*(Inputs!$E$10-Inputs!$D$10)),Inputs!$F$10-SQRT((1-D1564)*(Inputs!$F$10-Inputs!$D$10)*(Inputs!$F$10-Inputs!$E$10)))</f>
        <v>0.0234690955900402</v>
      </c>
      <c r="F1564" s="81" t="n">
        <f aca="true">RAND()</f>
        <v>0.602462062868304</v>
      </c>
      <c r="G1564" s="83" t="n">
        <f aca="false">IF(F1564&lt;(Inputs!$E$15-Inputs!$D$15)/(Inputs!$F$15-Inputs!$D$15),Inputs!$D$15+SQRT(F1564*(Inputs!$F$15-Inputs!$D$15)*(Inputs!$E$15-Inputs!$D$15)),Inputs!$F$15-SQRT((1-F1564)*(Inputs!$F$15-Inputs!$D$15)*(Inputs!$F$15-Inputs!$E$15)))</f>
        <v>0.710832972783467</v>
      </c>
      <c r="H1564" s="81" t="n">
        <f aca="true">RAND()</f>
        <v>0.302834705799714</v>
      </c>
      <c r="I1564" s="82" t="n">
        <f aca="false">ROUND(IF(H1564&lt;(Inputs!$E$17-Inputs!$D$17)/(Inputs!$F$17-Inputs!$D$17),Inputs!$D$17+SQRT(H1564*(Inputs!$F$17-Inputs!$D$17)*(Inputs!$E$17-Inputs!$D$17)),Inputs!$F$17-SQRT((1-H1564)*(Inputs!$F$17-Inputs!$D$17)*(Inputs!$F$17-Inputs!$E$17))),0)</f>
        <v>105</v>
      </c>
      <c r="J1564" s="81" t="n">
        <f aca="true">RAND()</f>
        <v>0.642639795780422</v>
      </c>
      <c r="K1564" s="83" t="n">
        <f aca="false">IF(J1564&lt;(Inputs!$E$18-Inputs!$D$18)/(Inputs!$F$18-Inputs!$D$18),Inputs!$D$18+SQRT(J1564*(Inputs!$F$18-Inputs!$D$18)*(Inputs!$E$18-Inputs!$D$18)),Inputs!$F$18-SQRT((1-J1564)*(Inputs!$F$18-Inputs!$D$18)*(Inputs!$F$18-Inputs!$E$18)))</f>
        <v>1.07316952222761</v>
      </c>
      <c r="L1564" s="81" t="n">
        <f aca="true">RAND()</f>
        <v>0.581642509734614</v>
      </c>
      <c r="M1564" s="83" t="n">
        <f aca="false">IF(L1564&lt;(Inputs!$E$24-Inputs!$D$24)/(Inputs!$F$24-Inputs!$D$24),Inputs!$D$24+SQRT(L1564*(Inputs!$F$24-Inputs!$D$24)*(Inputs!$E$24-Inputs!$D$24)),Inputs!$F$24-SQRT((1-L1564)*(Inputs!$F$24-Inputs!$D$24)*(Inputs!$F$24-Inputs!$E$24)))</f>
        <v>0.883131261144788</v>
      </c>
      <c r="N1564" s="81" t="n">
        <f aca="true">RAND()</f>
        <v>0.640367214345172</v>
      </c>
      <c r="O1564" s="83" t="n">
        <f aca="false">IF(N1564&lt;(Inputs!$E$26-Inputs!$D$26)/(Inputs!$F$26-Inputs!$D$26),Inputs!$D$26+SQRT(N1564*(Inputs!$F$26-Inputs!$D$26)*(Inputs!$E$26-Inputs!$D$26)),Inputs!$F$26-SQRT((1-N1564)*(Inputs!$F$26-Inputs!$D$26)*(Inputs!$F$26-Inputs!$E$26)))</f>
        <v>0.626604525109551</v>
      </c>
      <c r="P1564" s="81" t="n">
        <f aca="true">RAND()</f>
        <v>0.0373687055021006</v>
      </c>
      <c r="Q1564" s="82" t="n">
        <f aca="false">IF(P1564&lt;(Inputs!$E$27-Inputs!$D$27)/(Inputs!$F$27-Inputs!$D$27),Inputs!$D$27+SQRT(P1564*(Inputs!$F$27-Inputs!$D$27)*(Inputs!$E$27-Inputs!$D$27)),Inputs!$F$27-SQRT((1-P1564)*(Inputs!$F$27-Inputs!$D$27)*(Inputs!$F$27-Inputs!$E$27)))</f>
        <v>59.6654934563762</v>
      </c>
      <c r="R1564" s="81" t="n">
        <f aca="true">RAND()</f>
        <v>0.635919788945732</v>
      </c>
      <c r="S1564" s="82" t="n">
        <f aca="false">IF(R1564&lt;(Inputs!$E$29-Inputs!$D$29)/(Inputs!$F$29-Inputs!$D$29),Inputs!$D$29+SQRT(R1564*(Inputs!$F$29-Inputs!$D$29)*(Inputs!$E$29-Inputs!$D$29)),Inputs!$F$29-SQRT((1-R1564)*(Inputs!$F$29-Inputs!$D$29)*(Inputs!$F$29-Inputs!$E$29)))</f>
        <v>8.12028870976006</v>
      </c>
      <c r="T1564" s="68" t="n">
        <f aca="false">Inputs!$E$9*(1+E1564)+Inputs!$E$5*C1564*(Inputs!$E$11*Inputs!$E$14*(G1564*I1564/Inputs!$E$16+(1-G1564))*K1564+Inputs!$E$23*M1564)*(1+O1564)+Inputs!$E$5*(Q1564+S1564)</f>
        <v>6198.67908624999</v>
      </c>
    </row>
    <row r="1565" customFormat="false" ht="15" hidden="false" customHeight="false" outlineLevel="0" collapsed="false">
      <c r="A1565" s="1" t="n">
        <v>1561</v>
      </c>
      <c r="B1565" s="81" t="n">
        <f aca="true">RAND()</f>
        <v>0.399227479528804</v>
      </c>
      <c r="C1565" s="82" t="n">
        <f aca="false">ROUND(IF(B1565&lt;(Inputs!$E$8-Inputs!$D$8)/(Inputs!$F$8-Inputs!$D$8),Inputs!$D$8+SQRT(B1565*(Inputs!$F$8-Inputs!$D$8)*(Inputs!$E$8-Inputs!$D$8)),Inputs!$F$8-SQRT((1-B1565)*(Inputs!$F$8-Inputs!$D$8)*(Inputs!$F$8-Inputs!$E$8))),0)</f>
        <v>24</v>
      </c>
      <c r="D1565" s="81" t="n">
        <f aca="true">RAND()</f>
        <v>0.4019691433135</v>
      </c>
      <c r="E1565" s="83" t="n">
        <f aca="false">IF(D1565&lt;(Inputs!$E$10-Inputs!$D$10)/(Inputs!$F$10-Inputs!$D$10),Inputs!$D$10+SQRT(D1565*(Inputs!$F$10-Inputs!$D$10)*(Inputs!$E$10-Inputs!$D$10)),Inputs!$F$10-SQRT((1-D1565)*(Inputs!$F$10-Inputs!$D$10)*(Inputs!$F$10-Inputs!$E$10)))</f>
        <v>0.0660562591959034</v>
      </c>
      <c r="F1565" s="81" t="n">
        <f aca="true">RAND()</f>
        <v>0.0922888022317937</v>
      </c>
      <c r="G1565" s="83" t="n">
        <f aca="false">IF(F1565&lt;(Inputs!$E$15-Inputs!$D$15)/(Inputs!$F$15-Inputs!$D$15),Inputs!$D$15+SQRT(F1565*(Inputs!$F$15-Inputs!$D$15)*(Inputs!$E$15-Inputs!$D$15)),Inputs!$F$15-SQRT((1-F1565)*(Inputs!$F$15-Inputs!$D$15)*(Inputs!$F$15-Inputs!$E$15)))</f>
        <v>0.642962495791514</v>
      </c>
      <c r="H1565" s="81" t="n">
        <f aca="true">RAND()</f>
        <v>0.39856089000079</v>
      </c>
      <c r="I1565" s="82" t="n">
        <f aca="false">ROUND(IF(H1565&lt;(Inputs!$E$17-Inputs!$D$17)/(Inputs!$F$17-Inputs!$D$17),Inputs!$D$17+SQRT(H1565*(Inputs!$F$17-Inputs!$D$17)*(Inputs!$E$17-Inputs!$D$17)),Inputs!$F$17-SQRT((1-H1565)*(Inputs!$F$17-Inputs!$D$17)*(Inputs!$F$17-Inputs!$E$17))),0)</f>
        <v>106</v>
      </c>
      <c r="J1565" s="81" t="n">
        <f aca="true">RAND()</f>
        <v>0.720437905805341</v>
      </c>
      <c r="K1565" s="83" t="n">
        <f aca="false">IF(J1565&lt;(Inputs!$E$18-Inputs!$D$18)/(Inputs!$F$18-Inputs!$D$18),Inputs!$D$18+SQRT(J1565*(Inputs!$F$18-Inputs!$D$18)*(Inputs!$E$18-Inputs!$D$18)),Inputs!$F$18-SQRT((1-J1565)*(Inputs!$F$18-Inputs!$D$18)*(Inputs!$F$18-Inputs!$E$18)))</f>
        <v>1.09359768786225</v>
      </c>
      <c r="L1565" s="81" t="n">
        <f aca="true">RAND()</f>
        <v>0.413412265400798</v>
      </c>
      <c r="M1565" s="83" t="n">
        <f aca="false">IF(L1565&lt;(Inputs!$E$24-Inputs!$D$24)/(Inputs!$F$24-Inputs!$D$24),Inputs!$D$24+SQRT(L1565*(Inputs!$F$24-Inputs!$D$24)*(Inputs!$E$24-Inputs!$D$24)),Inputs!$F$24-SQRT((1-L1565)*(Inputs!$F$24-Inputs!$D$24)*(Inputs!$F$24-Inputs!$E$24)))</f>
        <v>0.824791982623227</v>
      </c>
      <c r="N1565" s="81" t="n">
        <f aca="true">RAND()</f>
        <v>0.436814687384418</v>
      </c>
      <c r="O1565" s="83" t="n">
        <f aca="false">IF(N1565&lt;(Inputs!$E$26-Inputs!$D$26)/(Inputs!$F$26-Inputs!$D$26),Inputs!$D$26+SQRT(N1565*(Inputs!$F$26-Inputs!$D$26)*(Inputs!$E$26-Inputs!$D$26)),Inputs!$F$26-SQRT((1-N1565)*(Inputs!$F$26-Inputs!$D$26)*(Inputs!$F$26-Inputs!$E$26)))</f>
        <v>0.569603345640901</v>
      </c>
      <c r="P1565" s="81" t="n">
        <f aca="true">RAND()</f>
        <v>0.729785457927168</v>
      </c>
      <c r="Q1565" s="82" t="n">
        <f aca="false">IF(P1565&lt;(Inputs!$E$27-Inputs!$D$27)/(Inputs!$F$27-Inputs!$D$27),Inputs!$D$27+SQRT(P1565*(Inputs!$F$27-Inputs!$D$27)*(Inputs!$E$27-Inputs!$D$27)),Inputs!$F$27-SQRT((1-P1565)*(Inputs!$F$27-Inputs!$D$27)*(Inputs!$F$27-Inputs!$E$27)))</f>
        <v>104.982125044087</v>
      </c>
      <c r="R1565" s="81" t="n">
        <f aca="true">RAND()</f>
        <v>0.0696881447037232</v>
      </c>
      <c r="S1565" s="82" t="n">
        <f aca="false">IF(R1565&lt;(Inputs!$E$29-Inputs!$D$29)/(Inputs!$F$29-Inputs!$D$29),Inputs!$D$29+SQRT(R1565*(Inputs!$F$29-Inputs!$D$29)*(Inputs!$E$29-Inputs!$D$29)),Inputs!$F$29-SQRT((1-R1565)*(Inputs!$F$29-Inputs!$D$29)*(Inputs!$F$29-Inputs!$E$29)))</f>
        <v>3.64858655928198</v>
      </c>
      <c r="T1565" s="68" t="n">
        <f aca="false">Inputs!$E$9*(1+E1565)+Inputs!$E$5*C1565*(Inputs!$E$11*Inputs!$E$14*(G1565*I1565/Inputs!$E$16+(1-G1565))*K1565+Inputs!$E$23*M1565)*(1+O1565)+Inputs!$E$5*(Q1565+S1565)</f>
        <v>6297.72690803871</v>
      </c>
    </row>
    <row r="1566" customFormat="false" ht="15" hidden="false" customHeight="false" outlineLevel="0" collapsed="false">
      <c r="A1566" s="1" t="n">
        <v>1562</v>
      </c>
      <c r="B1566" s="81" t="n">
        <f aca="true">RAND()</f>
        <v>0.763831415391895</v>
      </c>
      <c r="C1566" s="82" t="n">
        <f aca="false">ROUND(IF(B1566&lt;(Inputs!$E$8-Inputs!$D$8)/(Inputs!$F$8-Inputs!$D$8),Inputs!$D$8+SQRT(B1566*(Inputs!$F$8-Inputs!$D$8)*(Inputs!$E$8-Inputs!$D$8)),Inputs!$F$8-SQRT((1-B1566)*(Inputs!$F$8-Inputs!$D$8)*(Inputs!$F$8-Inputs!$E$8))),0)</f>
        <v>27</v>
      </c>
      <c r="D1566" s="81" t="n">
        <f aca="true">RAND()</f>
        <v>0.400547398740295</v>
      </c>
      <c r="E1566" s="83" t="n">
        <f aca="false">IF(D1566&lt;(Inputs!$E$10-Inputs!$D$10)/(Inputs!$F$10-Inputs!$D$10),Inputs!$D$10+SQRT(D1566*(Inputs!$F$10-Inputs!$D$10)*(Inputs!$E$10-Inputs!$D$10)),Inputs!$F$10-SQRT((1-D1566)*(Inputs!$F$10-Inputs!$D$10)*(Inputs!$F$10-Inputs!$E$10)))</f>
        <v>0.0658971363549937</v>
      </c>
      <c r="F1566" s="81" t="n">
        <f aca="true">RAND()</f>
        <v>0.800247518269573</v>
      </c>
      <c r="G1566" s="83" t="n">
        <f aca="false">IF(F1566&lt;(Inputs!$E$15-Inputs!$D$15)/(Inputs!$F$15-Inputs!$D$15),Inputs!$D$15+SQRT(F1566*(Inputs!$F$15-Inputs!$D$15)*(Inputs!$E$15-Inputs!$D$15)),Inputs!$F$15-SQRT((1-F1566)*(Inputs!$F$15-Inputs!$D$15)*(Inputs!$F$15-Inputs!$E$15)))</f>
        <v>0.736793594987466</v>
      </c>
      <c r="H1566" s="81" t="n">
        <f aca="true">RAND()</f>
        <v>0.709913325912823</v>
      </c>
      <c r="I1566" s="82" t="n">
        <f aca="false">ROUND(IF(H1566&lt;(Inputs!$E$17-Inputs!$D$17)/(Inputs!$F$17-Inputs!$D$17),Inputs!$D$17+SQRT(H1566*(Inputs!$F$17-Inputs!$D$17)*(Inputs!$E$17-Inputs!$D$17)),Inputs!$F$17-SQRT((1-H1566)*(Inputs!$F$17-Inputs!$D$17)*(Inputs!$F$17-Inputs!$E$17))),0)</f>
        <v>108</v>
      </c>
      <c r="J1566" s="81" t="n">
        <f aca="true">RAND()</f>
        <v>0.592077954299788</v>
      </c>
      <c r="K1566" s="83" t="n">
        <f aca="false">IF(J1566&lt;(Inputs!$E$18-Inputs!$D$18)/(Inputs!$F$18-Inputs!$D$18),Inputs!$D$18+SQRT(J1566*(Inputs!$F$18-Inputs!$D$18)*(Inputs!$E$18-Inputs!$D$18)),Inputs!$F$18-SQRT((1-J1566)*(Inputs!$F$18-Inputs!$D$18)*(Inputs!$F$18-Inputs!$E$18)))</f>
        <v>1.06107361486873</v>
      </c>
      <c r="L1566" s="81" t="n">
        <f aca="true">RAND()</f>
        <v>0.627266338520369</v>
      </c>
      <c r="M1566" s="83" t="n">
        <f aca="false">IF(L1566&lt;(Inputs!$E$24-Inputs!$D$24)/(Inputs!$F$24-Inputs!$D$24),Inputs!$D$24+SQRT(L1566*(Inputs!$F$24-Inputs!$D$24)*(Inputs!$E$24-Inputs!$D$24)),Inputs!$F$24-SQRT((1-L1566)*(Inputs!$F$24-Inputs!$D$24)*(Inputs!$F$24-Inputs!$E$24)))</f>
        <v>0.900907909240128</v>
      </c>
      <c r="N1566" s="81" t="n">
        <f aca="true">RAND()</f>
        <v>0.3134233329274</v>
      </c>
      <c r="O1566" s="83" t="n">
        <f aca="false">IF(N1566&lt;(Inputs!$E$26-Inputs!$D$26)/(Inputs!$F$26-Inputs!$D$26),Inputs!$D$26+SQRT(N1566*(Inputs!$F$26-Inputs!$D$26)*(Inputs!$E$26-Inputs!$D$26)),Inputs!$F$26-SQRT((1-N1566)*(Inputs!$F$26-Inputs!$D$26)*(Inputs!$F$26-Inputs!$E$26)))</f>
        <v>0.5283717202263</v>
      </c>
      <c r="P1566" s="81" t="n">
        <f aca="true">RAND()</f>
        <v>0.0872172274650852</v>
      </c>
      <c r="Q1566" s="82" t="n">
        <f aca="false">IF(P1566&lt;(Inputs!$E$27-Inputs!$D$27)/(Inputs!$F$27-Inputs!$D$27),Inputs!$D$27+SQRT(P1566*(Inputs!$F$27-Inputs!$D$27)*(Inputs!$E$27-Inputs!$D$27)),Inputs!$F$27-SQRT((1-P1566)*(Inputs!$F$27-Inputs!$D$27)*(Inputs!$F$27-Inputs!$E$27)))</f>
        <v>64.7662814771598</v>
      </c>
      <c r="R1566" s="81" t="n">
        <f aca="true">RAND()</f>
        <v>0.957926243867679</v>
      </c>
      <c r="S1566" s="82" t="n">
        <f aca="false">IF(R1566&lt;(Inputs!$E$29-Inputs!$D$29)/(Inputs!$F$29-Inputs!$D$29),Inputs!$D$29+SQRT(R1566*(Inputs!$F$29-Inputs!$D$29)*(Inputs!$E$29-Inputs!$D$29)),Inputs!$F$29-SQRT((1-R1566)*(Inputs!$F$29-Inputs!$D$29)*(Inputs!$F$29-Inputs!$E$29)))</f>
        <v>12.6612849046535</v>
      </c>
      <c r="T1566" s="68" t="n">
        <f aca="false">Inputs!$E$9*(1+E1566)+Inputs!$E$5*C1566*(Inputs!$E$11*Inputs!$E$14*(G1566*I1566/Inputs!$E$16+(1-G1566))*K1566+Inputs!$E$23*M1566)*(1+O1566)+Inputs!$E$5*(Q1566+S1566)</f>
        <v>6395.51050381115</v>
      </c>
    </row>
    <row r="1567" customFormat="false" ht="15" hidden="false" customHeight="false" outlineLevel="0" collapsed="false">
      <c r="A1567" s="1" t="n">
        <v>1563</v>
      </c>
      <c r="B1567" s="81" t="n">
        <f aca="true">RAND()</f>
        <v>0.66668182532744</v>
      </c>
      <c r="C1567" s="82" t="n">
        <f aca="false">ROUND(IF(B1567&lt;(Inputs!$E$8-Inputs!$D$8)/(Inputs!$F$8-Inputs!$D$8),Inputs!$D$8+SQRT(B1567*(Inputs!$F$8-Inputs!$D$8)*(Inputs!$E$8-Inputs!$D$8)),Inputs!$F$8-SQRT((1-B1567)*(Inputs!$F$8-Inputs!$D$8)*(Inputs!$F$8-Inputs!$E$8))),0)</f>
        <v>26</v>
      </c>
      <c r="D1567" s="81" t="n">
        <f aca="true">RAND()</f>
        <v>0.411643814913343</v>
      </c>
      <c r="E1567" s="83" t="n">
        <f aca="false">IF(D1567&lt;(Inputs!$E$10-Inputs!$D$10)/(Inputs!$F$10-Inputs!$D$10),Inputs!$D$10+SQRT(D1567*(Inputs!$F$10-Inputs!$D$10)*(Inputs!$E$10-Inputs!$D$10)),Inputs!$F$10-SQRT((1-D1567)*(Inputs!$F$10-Inputs!$D$10)*(Inputs!$F$10-Inputs!$E$10)))</f>
        <v>0.0671441173579442</v>
      </c>
      <c r="F1567" s="81" t="n">
        <f aca="true">RAND()</f>
        <v>0.975205186239805</v>
      </c>
      <c r="G1567" s="83" t="n">
        <f aca="false">IF(F1567&lt;(Inputs!$E$15-Inputs!$D$15)/(Inputs!$F$15-Inputs!$D$15),Inputs!$D$15+SQRT(F1567*(Inputs!$F$15-Inputs!$D$15)*(Inputs!$E$15-Inputs!$D$15)),Inputs!$F$15-SQRT((1-F1567)*(Inputs!$F$15-Inputs!$D$15)*(Inputs!$F$15-Inputs!$E$15)))</f>
        <v>0.777731271360854</v>
      </c>
      <c r="H1567" s="81" t="n">
        <f aca="true">RAND()</f>
        <v>0.954245254198767</v>
      </c>
      <c r="I1567" s="82" t="n">
        <f aca="false">ROUND(IF(H1567&lt;(Inputs!$E$17-Inputs!$D$17)/(Inputs!$F$17-Inputs!$D$17),Inputs!$D$17+SQRT(H1567*(Inputs!$F$17-Inputs!$D$17)*(Inputs!$E$17-Inputs!$D$17)),Inputs!$F$17-SQRT((1-H1567)*(Inputs!$F$17-Inputs!$D$17)*(Inputs!$F$17-Inputs!$E$17))),0)</f>
        <v>112</v>
      </c>
      <c r="J1567" s="81" t="n">
        <f aca="true">RAND()</f>
        <v>0.721841006178729</v>
      </c>
      <c r="K1567" s="83" t="n">
        <f aca="false">IF(J1567&lt;(Inputs!$E$18-Inputs!$D$18)/(Inputs!$F$18-Inputs!$D$18),Inputs!$D$18+SQRT(J1567*(Inputs!$F$18-Inputs!$D$18)*(Inputs!$E$18-Inputs!$D$18)),Inputs!$F$18-SQRT((1-J1567)*(Inputs!$F$18-Inputs!$D$18)*(Inputs!$F$18-Inputs!$E$18)))</f>
        <v>1.0939906670761</v>
      </c>
      <c r="L1567" s="81" t="n">
        <f aca="true">RAND()</f>
        <v>0.624994069550833</v>
      </c>
      <c r="M1567" s="83" t="n">
        <f aca="false">IF(L1567&lt;(Inputs!$E$24-Inputs!$D$24)/(Inputs!$F$24-Inputs!$D$24),Inputs!$D$24+SQRT(L1567*(Inputs!$F$24-Inputs!$D$24)*(Inputs!$E$24-Inputs!$D$24)),Inputs!$F$24-SQRT((1-L1567)*(Inputs!$F$24-Inputs!$D$24)*(Inputs!$F$24-Inputs!$E$24)))</f>
        <v>0.899997627829712</v>
      </c>
      <c r="N1567" s="81" t="n">
        <f aca="true">RAND()</f>
        <v>0.575428712373524</v>
      </c>
      <c r="O1567" s="83" t="n">
        <f aca="false">IF(N1567&lt;(Inputs!$E$26-Inputs!$D$26)/(Inputs!$F$26-Inputs!$D$26),Inputs!$D$26+SQRT(N1567*(Inputs!$F$26-Inputs!$D$26)*(Inputs!$E$26-Inputs!$D$26)),Inputs!$F$26-SQRT((1-N1567)*(Inputs!$F$26-Inputs!$D$26)*(Inputs!$F$26-Inputs!$E$26)))</f>
        <v>0.609437130511118</v>
      </c>
      <c r="P1567" s="81" t="n">
        <f aca="true">RAND()</f>
        <v>0.972083990956778</v>
      </c>
      <c r="Q1567" s="82" t="n">
        <f aca="false">IF(P1567&lt;(Inputs!$E$27-Inputs!$D$27)/(Inputs!$F$27-Inputs!$D$27),Inputs!$D$27+SQRT(P1567*(Inputs!$F$27-Inputs!$D$27)*(Inputs!$E$27-Inputs!$D$27)),Inputs!$F$27-SQRT((1-P1567)*(Inputs!$F$27-Inputs!$D$27)*(Inputs!$F$27-Inputs!$E$27)))</f>
        <v>135.530374302555</v>
      </c>
      <c r="R1567" s="81" t="n">
        <f aca="true">RAND()</f>
        <v>0.551668603978887</v>
      </c>
      <c r="S1567" s="82" t="n">
        <f aca="false">IF(R1567&lt;(Inputs!$E$29-Inputs!$D$29)/(Inputs!$F$29-Inputs!$D$29),Inputs!$D$29+SQRT(R1567*(Inputs!$F$29-Inputs!$D$29)*(Inputs!$E$29-Inputs!$D$29)),Inputs!$F$29-SQRT((1-R1567)*(Inputs!$F$29-Inputs!$D$29)*(Inputs!$F$29-Inputs!$E$29)))</f>
        <v>7.36566430638889</v>
      </c>
      <c r="T1567" s="68" t="n">
        <f aca="false">Inputs!$E$9*(1+E1567)+Inputs!$E$5*C1567*(Inputs!$E$11*Inputs!$E$14*(G1567*I1567/Inputs!$E$16+(1-G1567))*K1567+Inputs!$E$23*M1567)*(1+O1567)+Inputs!$E$5*(Q1567+S1567)</f>
        <v>6848.42983760045</v>
      </c>
    </row>
    <row r="1568" customFormat="false" ht="15" hidden="false" customHeight="false" outlineLevel="0" collapsed="false">
      <c r="A1568" s="1" t="n">
        <v>1564</v>
      </c>
      <c r="B1568" s="81" t="n">
        <f aca="true">RAND()</f>
        <v>0.658747330346424</v>
      </c>
      <c r="C1568" s="82" t="n">
        <f aca="false">ROUND(IF(B1568&lt;(Inputs!$E$8-Inputs!$D$8)/(Inputs!$F$8-Inputs!$D$8),Inputs!$D$8+SQRT(B1568*(Inputs!$F$8-Inputs!$D$8)*(Inputs!$E$8-Inputs!$D$8)),Inputs!$F$8-SQRT((1-B1568)*(Inputs!$F$8-Inputs!$D$8)*(Inputs!$F$8-Inputs!$E$8))),0)</f>
        <v>26</v>
      </c>
      <c r="D1568" s="81" t="n">
        <f aca="true">RAND()</f>
        <v>0.593614261740041</v>
      </c>
      <c r="E1568" s="83" t="n">
        <f aca="false">IF(D1568&lt;(Inputs!$E$10-Inputs!$D$10)/(Inputs!$F$10-Inputs!$D$10),Inputs!$D$10+SQRT(D1568*(Inputs!$F$10-Inputs!$D$10)*(Inputs!$E$10-Inputs!$D$10)),Inputs!$F$10-SQRT((1-D1568)*(Inputs!$F$10-Inputs!$D$10)*(Inputs!$F$10-Inputs!$E$10)))</f>
        <v>0.0895845475134989</v>
      </c>
      <c r="F1568" s="81" t="n">
        <f aca="true">RAND()</f>
        <v>0.989500734193138</v>
      </c>
      <c r="G1568" s="83" t="n">
        <f aca="false">IF(F1568&lt;(Inputs!$E$15-Inputs!$D$15)/(Inputs!$F$15-Inputs!$D$15),Inputs!$D$15+SQRT(F1568*(Inputs!$F$15-Inputs!$D$15)*(Inputs!$E$15-Inputs!$D$15)),Inputs!$F$15-SQRT((1-F1568)*(Inputs!$F$15-Inputs!$D$15)*(Inputs!$F$15-Inputs!$E$15)))</f>
        <v>0.785509129904066</v>
      </c>
      <c r="H1568" s="81" t="n">
        <f aca="true">RAND()</f>
        <v>0.808653202222812</v>
      </c>
      <c r="I1568" s="82" t="n">
        <f aca="false">ROUND(IF(H1568&lt;(Inputs!$E$17-Inputs!$D$17)/(Inputs!$F$17-Inputs!$D$17),Inputs!$D$17+SQRT(H1568*(Inputs!$F$17-Inputs!$D$17)*(Inputs!$E$17-Inputs!$D$17)),Inputs!$F$17-SQRT((1-H1568)*(Inputs!$F$17-Inputs!$D$17)*(Inputs!$F$17-Inputs!$E$17))),0)</f>
        <v>110</v>
      </c>
      <c r="J1568" s="81" t="n">
        <f aca="true">RAND()</f>
        <v>0.417415322483839</v>
      </c>
      <c r="K1568" s="83" t="n">
        <f aca="false">IF(J1568&lt;(Inputs!$E$18-Inputs!$D$18)/(Inputs!$F$18-Inputs!$D$18),Inputs!$D$18+SQRT(J1568*(Inputs!$F$18-Inputs!$D$18)*(Inputs!$E$18-Inputs!$D$18)),Inputs!$F$18-SQRT((1-J1568)*(Inputs!$F$18-Inputs!$D$18)*(Inputs!$F$18-Inputs!$E$18)))</f>
        <v>1.0242209945928</v>
      </c>
      <c r="L1568" s="81" t="n">
        <f aca="true">RAND()</f>
        <v>0.268658438133585</v>
      </c>
      <c r="M1568" s="83" t="n">
        <f aca="false">IF(L1568&lt;(Inputs!$E$24-Inputs!$D$24)/(Inputs!$F$24-Inputs!$D$24),Inputs!$D$24+SQRT(L1568*(Inputs!$F$24-Inputs!$D$24)*(Inputs!$E$24-Inputs!$D$24)),Inputs!$F$24-SQRT((1-L1568)*(Inputs!$F$24-Inputs!$D$24)*(Inputs!$F$24-Inputs!$E$24)))</f>
        <v>0.779552255836651</v>
      </c>
      <c r="N1568" s="81" t="n">
        <f aca="true">RAND()</f>
        <v>0.0214544755958022</v>
      </c>
      <c r="O1568" s="83" t="n">
        <f aca="false">IF(N1568&lt;(Inputs!$E$26-Inputs!$D$26)/(Inputs!$F$26-Inputs!$D$26),Inputs!$D$26+SQRT(N1568*(Inputs!$F$26-Inputs!$D$26)*(Inputs!$E$26-Inputs!$D$26)),Inputs!$F$26-SQRT((1-N1568)*(Inputs!$F$26-Inputs!$D$26)*(Inputs!$F$26-Inputs!$E$26)))</f>
        <v>0.359749684008717</v>
      </c>
      <c r="P1568" s="81" t="n">
        <f aca="true">RAND()</f>
        <v>0.780793997645115</v>
      </c>
      <c r="Q1568" s="82" t="n">
        <f aca="false">IF(P1568&lt;(Inputs!$E$27-Inputs!$D$27)/(Inputs!$F$27-Inputs!$D$27),Inputs!$D$27+SQRT(P1568*(Inputs!$F$27-Inputs!$D$27)*(Inputs!$E$27-Inputs!$D$27)),Inputs!$F$27-SQRT((1-P1568)*(Inputs!$F$27-Inputs!$D$27)*(Inputs!$F$27-Inputs!$E$27)))</f>
        <v>109.453174999001</v>
      </c>
      <c r="R1568" s="81" t="n">
        <f aca="true">RAND()</f>
        <v>0.729330154845252</v>
      </c>
      <c r="S1568" s="82" t="n">
        <f aca="false">IF(R1568&lt;(Inputs!$E$29-Inputs!$D$29)/(Inputs!$F$29-Inputs!$D$29),Inputs!$D$29+SQRT(R1568*(Inputs!$F$29-Inputs!$D$29)*(Inputs!$E$29-Inputs!$D$29)),Inputs!$F$29-SQRT((1-R1568)*(Inputs!$F$29-Inputs!$D$29)*(Inputs!$F$29-Inputs!$E$29)))</f>
        <v>9.06813015398035</v>
      </c>
      <c r="T1568" s="68" t="n">
        <f aca="false">Inputs!$E$9*(1+E1568)+Inputs!$E$5*C1568*(Inputs!$E$11*Inputs!$E$14*(G1568*I1568/Inputs!$E$16+(1-G1568))*K1568+Inputs!$E$23*M1568)*(1+O1568)+Inputs!$E$5*(Q1568+S1568)</f>
        <v>5872.81841497779</v>
      </c>
    </row>
    <row r="1569" customFormat="false" ht="15" hidden="false" customHeight="false" outlineLevel="0" collapsed="false">
      <c r="A1569" s="1" t="n">
        <v>1565</v>
      </c>
      <c r="B1569" s="81" t="n">
        <f aca="true">RAND()</f>
        <v>0.226493147519542</v>
      </c>
      <c r="C1569" s="82" t="n">
        <f aca="false">ROUND(IF(B1569&lt;(Inputs!$E$8-Inputs!$D$8)/(Inputs!$F$8-Inputs!$D$8),Inputs!$D$8+SQRT(B1569*(Inputs!$F$8-Inputs!$D$8)*(Inputs!$E$8-Inputs!$D$8)),Inputs!$F$8-SQRT((1-B1569)*(Inputs!$F$8-Inputs!$D$8)*(Inputs!$F$8-Inputs!$E$8))),0)</f>
        <v>23</v>
      </c>
      <c r="D1569" s="81" t="n">
        <f aca="true">RAND()</f>
        <v>0.912622651657437</v>
      </c>
      <c r="E1569" s="83" t="n">
        <f aca="false">IF(D1569&lt;(Inputs!$E$10-Inputs!$D$10)/(Inputs!$F$10-Inputs!$D$10),Inputs!$D$10+SQRT(D1569*(Inputs!$F$10-Inputs!$D$10)*(Inputs!$E$10-Inputs!$D$10)),Inputs!$F$10-SQRT((1-D1569)*(Inputs!$F$10-Inputs!$D$10)*(Inputs!$F$10-Inputs!$E$10)))</f>
        <v>0.148801167491076</v>
      </c>
      <c r="F1569" s="81" t="n">
        <f aca="true">RAND()</f>
        <v>0.999358710450668</v>
      </c>
      <c r="G1569" s="83" t="n">
        <f aca="false">IF(F1569&lt;(Inputs!$E$15-Inputs!$D$15)/(Inputs!$F$15-Inputs!$D$15),Inputs!$D$15+SQRT(F1569*(Inputs!$F$15-Inputs!$D$15)*(Inputs!$E$15-Inputs!$D$15)),Inputs!$F$15-SQRT((1-F1569)*(Inputs!$F$15-Inputs!$D$15)*(Inputs!$F$15-Inputs!$E$15)))</f>
        <v>0.796418688649861</v>
      </c>
      <c r="H1569" s="81" t="n">
        <f aca="true">RAND()</f>
        <v>0.865148616783629</v>
      </c>
      <c r="I1569" s="82" t="n">
        <f aca="false">ROUND(IF(H1569&lt;(Inputs!$E$17-Inputs!$D$17)/(Inputs!$F$17-Inputs!$D$17),Inputs!$D$17+SQRT(H1569*(Inputs!$F$17-Inputs!$D$17)*(Inputs!$E$17-Inputs!$D$17)),Inputs!$F$17-SQRT((1-H1569)*(Inputs!$F$17-Inputs!$D$17)*(Inputs!$F$17-Inputs!$E$17))),0)</f>
        <v>111</v>
      </c>
      <c r="J1569" s="81" t="n">
        <f aca="true">RAND()</f>
        <v>0.545889870022116</v>
      </c>
      <c r="K1569" s="83" t="n">
        <f aca="false">IF(J1569&lt;(Inputs!$E$18-Inputs!$D$18)/(Inputs!$F$18-Inputs!$D$18),Inputs!$D$18+SQRT(J1569*(Inputs!$F$18-Inputs!$D$18)*(Inputs!$E$18-Inputs!$D$18)),Inputs!$F$18-SQRT((1-J1569)*(Inputs!$F$18-Inputs!$D$18)*(Inputs!$F$18-Inputs!$E$18)))</f>
        <v>1.05066451301119</v>
      </c>
      <c r="L1569" s="81" t="n">
        <f aca="true">RAND()</f>
        <v>0.339465812373073</v>
      </c>
      <c r="M1569" s="83" t="n">
        <f aca="false">IF(L1569&lt;(Inputs!$E$24-Inputs!$D$24)/(Inputs!$F$24-Inputs!$D$24),Inputs!$D$24+SQRT(L1569*(Inputs!$F$24-Inputs!$D$24)*(Inputs!$E$24-Inputs!$D$24)),Inputs!$F$24-SQRT((1-L1569)*(Inputs!$F$24-Inputs!$D$24)*(Inputs!$F$24-Inputs!$E$24)))</f>
        <v>0.801843994104745</v>
      </c>
      <c r="N1569" s="81" t="n">
        <f aca="true">RAND()</f>
        <v>0.93905309686379</v>
      </c>
      <c r="O1569" s="83" t="n">
        <f aca="false">IF(N1569&lt;(Inputs!$E$26-Inputs!$D$26)/(Inputs!$F$26-Inputs!$D$26),Inputs!$D$26+SQRT(N1569*(Inputs!$F$26-Inputs!$D$26)*(Inputs!$E$26-Inputs!$D$26)),Inputs!$F$26-SQRT((1-N1569)*(Inputs!$F$26-Inputs!$D$26)*(Inputs!$F$26-Inputs!$E$26)))</f>
        <v>0.74038544149362</v>
      </c>
      <c r="P1569" s="81" t="n">
        <f aca="true">RAND()</f>
        <v>0.968372561912375</v>
      </c>
      <c r="Q1569" s="82" t="n">
        <f aca="false">IF(P1569&lt;(Inputs!$E$27-Inputs!$D$27)/(Inputs!$F$27-Inputs!$D$27),Inputs!$D$27+SQRT(P1569*(Inputs!$F$27-Inputs!$D$27)*(Inputs!$E$27-Inputs!$D$27)),Inputs!$F$27-SQRT((1-P1569)*(Inputs!$F$27-Inputs!$D$27)*(Inputs!$F$27-Inputs!$E$27)))</f>
        <v>134.598513524429</v>
      </c>
      <c r="R1569" s="81" t="n">
        <f aca="true">RAND()</f>
        <v>0.50109333965937</v>
      </c>
      <c r="S1569" s="82" t="n">
        <f aca="false">IF(R1569&lt;(Inputs!$E$29-Inputs!$D$29)/(Inputs!$F$29-Inputs!$D$29),Inputs!$D$29+SQRT(R1569*(Inputs!$F$29-Inputs!$D$29)*(Inputs!$E$29-Inputs!$D$29)),Inputs!$F$29-SQRT((1-R1569)*(Inputs!$F$29-Inputs!$D$29)*(Inputs!$F$29-Inputs!$E$29)))</f>
        <v>6.94656186189514</v>
      </c>
      <c r="T1569" s="68" t="n">
        <f aca="false">Inputs!$E$9*(1+E1569)+Inputs!$E$5*C1569*(Inputs!$E$11*Inputs!$E$14*(G1569*I1569/Inputs!$E$16+(1-G1569))*K1569+Inputs!$E$23*M1569)*(1+O1569)+Inputs!$E$5*(Q1569+S1569)</f>
        <v>6586.48623452314</v>
      </c>
    </row>
    <row r="1570" customFormat="false" ht="15" hidden="false" customHeight="false" outlineLevel="0" collapsed="false">
      <c r="A1570" s="1" t="n">
        <v>1566</v>
      </c>
      <c r="B1570" s="81" t="n">
        <f aca="true">RAND()</f>
        <v>0.38484440719843</v>
      </c>
      <c r="C1570" s="82" t="n">
        <f aca="false">ROUND(IF(B1570&lt;(Inputs!$E$8-Inputs!$D$8)/(Inputs!$F$8-Inputs!$D$8),Inputs!$D$8+SQRT(B1570*(Inputs!$F$8-Inputs!$D$8)*(Inputs!$E$8-Inputs!$D$8)),Inputs!$F$8-SQRT((1-B1570)*(Inputs!$F$8-Inputs!$D$8)*(Inputs!$F$8-Inputs!$E$8))),0)</f>
        <v>24</v>
      </c>
      <c r="D1570" s="81" t="n">
        <f aca="true">RAND()</f>
        <v>0.192581705949794</v>
      </c>
      <c r="E1570" s="83" t="n">
        <f aca="false">IF(D1570&lt;(Inputs!$E$10-Inputs!$D$10)/(Inputs!$F$10-Inputs!$D$10),Inputs!$D$10+SQRT(D1570*(Inputs!$F$10-Inputs!$D$10)*(Inputs!$E$10-Inputs!$D$10)),Inputs!$F$10-SQRT((1-D1570)*(Inputs!$F$10-Inputs!$D$10)*(Inputs!$F$10-Inputs!$E$10)))</f>
        <v>0.0438841322062764</v>
      </c>
      <c r="F1570" s="81" t="n">
        <f aca="true">RAND()</f>
        <v>0.901746848272508</v>
      </c>
      <c r="G1570" s="83" t="n">
        <f aca="false">IF(F1570&lt;(Inputs!$E$15-Inputs!$D$15)/(Inputs!$F$15-Inputs!$D$15),Inputs!$D$15+SQRT(F1570*(Inputs!$F$15-Inputs!$D$15)*(Inputs!$E$15-Inputs!$D$15)),Inputs!$F$15-SQRT((1-F1570)*(Inputs!$F$15-Inputs!$D$15)*(Inputs!$F$15-Inputs!$E$15)))</f>
        <v>0.75567096849073</v>
      </c>
      <c r="H1570" s="81" t="n">
        <f aca="true">RAND()</f>
        <v>0.958067217223747</v>
      </c>
      <c r="I1570" s="82" t="n">
        <f aca="false">ROUND(IF(H1570&lt;(Inputs!$E$17-Inputs!$D$17)/(Inputs!$F$17-Inputs!$D$17),Inputs!$D$17+SQRT(H1570*(Inputs!$F$17-Inputs!$D$17)*(Inputs!$E$17-Inputs!$D$17)),Inputs!$F$17-SQRT((1-H1570)*(Inputs!$F$17-Inputs!$D$17)*(Inputs!$F$17-Inputs!$E$17))),0)</f>
        <v>112</v>
      </c>
      <c r="J1570" s="81" t="n">
        <f aca="true">RAND()</f>
        <v>0.262936771815105</v>
      </c>
      <c r="K1570" s="83" t="n">
        <f aca="false">IF(J1570&lt;(Inputs!$E$18-Inputs!$D$18)/(Inputs!$F$18-Inputs!$D$18),Inputs!$D$18+SQRT(J1570*(Inputs!$F$18-Inputs!$D$18)*(Inputs!$E$18-Inputs!$D$18)),Inputs!$F$18-SQRT((1-J1570)*(Inputs!$F$18-Inputs!$D$18)*(Inputs!$F$18-Inputs!$E$18)))</f>
        <v>0.995931157678455</v>
      </c>
      <c r="L1570" s="81" t="n">
        <f aca="true">RAND()</f>
        <v>0.954901479709106</v>
      </c>
      <c r="M1570" s="83" t="n">
        <f aca="false">IF(L1570&lt;(Inputs!$E$24-Inputs!$D$24)/(Inputs!$F$24-Inputs!$D$24),Inputs!$D$24+SQRT(L1570*(Inputs!$F$24-Inputs!$D$24)*(Inputs!$E$24-Inputs!$D$24)),Inputs!$F$24-SQRT((1-L1570)*(Inputs!$F$24-Inputs!$D$24)*(Inputs!$F$24-Inputs!$E$24)))</f>
        <v>1.09596325231047</v>
      </c>
      <c r="N1570" s="81" t="n">
        <f aca="true">RAND()</f>
        <v>0.449149698807086</v>
      </c>
      <c r="O1570" s="83" t="n">
        <f aca="false">IF(N1570&lt;(Inputs!$E$26-Inputs!$D$26)/(Inputs!$F$26-Inputs!$D$26),Inputs!$D$26+SQRT(N1570*(Inputs!$F$26-Inputs!$D$26)*(Inputs!$E$26-Inputs!$D$26)),Inputs!$F$26-SQRT((1-N1570)*(Inputs!$F$26-Inputs!$D$26)*(Inputs!$F$26-Inputs!$E$26)))</f>
        <v>0.573383448441011</v>
      </c>
      <c r="P1570" s="81" t="n">
        <f aca="true">RAND()</f>
        <v>0.316499477567595</v>
      </c>
      <c r="Q1570" s="82" t="n">
        <f aca="false">IF(P1570&lt;(Inputs!$E$27-Inputs!$D$27)/(Inputs!$F$27-Inputs!$D$27),Inputs!$D$27+SQRT(P1570*(Inputs!$F$27-Inputs!$D$27)*(Inputs!$E$27-Inputs!$D$27)),Inputs!$F$27-SQRT((1-P1570)*(Inputs!$F$27-Inputs!$D$27)*(Inputs!$F$27-Inputs!$E$27)))</f>
        <v>78.4021374743419</v>
      </c>
      <c r="R1570" s="81" t="n">
        <f aca="true">RAND()</f>
        <v>0.665941268066449</v>
      </c>
      <c r="S1570" s="82" t="n">
        <f aca="false">IF(R1570&lt;(Inputs!$E$29-Inputs!$D$29)/(Inputs!$F$29-Inputs!$D$29),Inputs!$D$29+SQRT(R1570*(Inputs!$F$29-Inputs!$D$29)*(Inputs!$E$29-Inputs!$D$29)),Inputs!$F$29-SQRT((1-R1570)*(Inputs!$F$29-Inputs!$D$29)*(Inputs!$F$29-Inputs!$E$29)))</f>
        <v>8.41003526933857</v>
      </c>
      <c r="T1570" s="68" t="n">
        <f aca="false">Inputs!$E$9*(1+E1570)+Inputs!$E$5*C1570*(Inputs!$E$11*Inputs!$E$14*(G1570*I1570/Inputs!$E$16+(1-G1570))*K1570+Inputs!$E$23*M1570)*(1+O1570)+Inputs!$E$5*(Q1570+S1570)</f>
        <v>6238.67513594972</v>
      </c>
    </row>
    <row r="1571" customFormat="false" ht="15" hidden="false" customHeight="false" outlineLevel="0" collapsed="false">
      <c r="A1571" s="1" t="n">
        <v>1567</v>
      </c>
      <c r="B1571" s="81" t="n">
        <f aca="true">RAND()</f>
        <v>0.64924324608604</v>
      </c>
      <c r="C1571" s="82" t="n">
        <f aca="false">ROUND(IF(B1571&lt;(Inputs!$E$8-Inputs!$D$8)/(Inputs!$F$8-Inputs!$D$8),Inputs!$D$8+SQRT(B1571*(Inputs!$F$8-Inputs!$D$8)*(Inputs!$E$8-Inputs!$D$8)),Inputs!$F$8-SQRT((1-B1571)*(Inputs!$F$8-Inputs!$D$8)*(Inputs!$F$8-Inputs!$E$8))),0)</f>
        <v>26</v>
      </c>
      <c r="D1571" s="81" t="n">
        <f aca="true">RAND()</f>
        <v>0.423769006653186</v>
      </c>
      <c r="E1571" s="83" t="n">
        <f aca="false">IF(D1571&lt;(Inputs!$E$10-Inputs!$D$10)/(Inputs!$F$10-Inputs!$D$10),Inputs!$D$10+SQRT(D1571*(Inputs!$F$10-Inputs!$D$10)*(Inputs!$E$10-Inputs!$D$10)),Inputs!$F$10-SQRT((1-D1571)*(Inputs!$F$10-Inputs!$D$10)*(Inputs!$F$10-Inputs!$E$10)))</f>
        <v>0.0685202304519648</v>
      </c>
      <c r="F1571" s="81" t="n">
        <f aca="true">RAND()</f>
        <v>0.102572937788133</v>
      </c>
      <c r="G1571" s="83" t="n">
        <f aca="false">IF(F1571&lt;(Inputs!$E$15-Inputs!$D$15)/(Inputs!$F$15-Inputs!$D$15),Inputs!$D$15+SQRT(F1571*(Inputs!$F$15-Inputs!$D$15)*(Inputs!$E$15-Inputs!$D$15)),Inputs!$F$15-SQRT((1-F1571)*(Inputs!$F$15-Inputs!$D$15)*(Inputs!$F$15-Inputs!$E$15)))</f>
        <v>0.64529303208842</v>
      </c>
      <c r="H1571" s="81" t="n">
        <f aca="true">RAND()</f>
        <v>0.0877607962547579</v>
      </c>
      <c r="I1571" s="82" t="n">
        <f aca="false">ROUND(IF(H1571&lt;(Inputs!$E$17-Inputs!$D$17)/(Inputs!$F$17-Inputs!$D$17),Inputs!$D$17+SQRT(H1571*(Inputs!$F$17-Inputs!$D$17)*(Inputs!$E$17-Inputs!$D$17)),Inputs!$F$17-SQRT((1-H1571)*(Inputs!$F$17-Inputs!$D$17)*(Inputs!$F$17-Inputs!$E$17))),0)</f>
        <v>103</v>
      </c>
      <c r="J1571" s="81" t="n">
        <f aca="true">RAND()</f>
        <v>0.224595531788057</v>
      </c>
      <c r="K1571" s="83" t="n">
        <f aca="false">IF(J1571&lt;(Inputs!$E$18-Inputs!$D$18)/(Inputs!$F$18-Inputs!$D$18),Inputs!$D$18+SQRT(J1571*(Inputs!$F$18-Inputs!$D$18)*(Inputs!$E$18-Inputs!$D$18)),Inputs!$F$18-SQRT((1-J1571)*(Inputs!$F$18-Inputs!$D$18)*(Inputs!$F$18-Inputs!$E$18)))</f>
        <v>0.988661398661323</v>
      </c>
      <c r="L1571" s="81" t="n">
        <f aca="true">RAND()</f>
        <v>0.414421448654428</v>
      </c>
      <c r="M1571" s="83" t="n">
        <f aca="false">IF(L1571&lt;(Inputs!$E$24-Inputs!$D$24)/(Inputs!$F$24-Inputs!$D$24),Inputs!$D$24+SQRT(L1571*(Inputs!$F$24-Inputs!$D$24)*(Inputs!$E$24-Inputs!$D$24)),Inputs!$F$24-SQRT((1-L1571)*(Inputs!$F$24-Inputs!$D$24)*(Inputs!$F$24-Inputs!$E$24)))</f>
        <v>0.825114881166327</v>
      </c>
      <c r="N1571" s="81" t="n">
        <f aca="true">RAND()</f>
        <v>0.231254950902562</v>
      </c>
      <c r="O1571" s="83" t="n">
        <f aca="false">IF(N1571&lt;(Inputs!$E$26-Inputs!$D$26)/(Inputs!$F$26-Inputs!$D$26),Inputs!$D$26+SQRT(N1571*(Inputs!$F$26-Inputs!$D$26)*(Inputs!$E$26-Inputs!$D$26)),Inputs!$F$26-SQRT((1-N1571)*(Inputs!$F$26-Inputs!$D$26)*(Inputs!$F$26-Inputs!$E$26)))</f>
        <v>0.496165297211781</v>
      </c>
      <c r="P1571" s="81" t="n">
        <f aca="true">RAND()</f>
        <v>0.950165756715016</v>
      </c>
      <c r="Q1571" s="82" t="n">
        <f aca="false">IF(P1571&lt;(Inputs!$E$27-Inputs!$D$27)/(Inputs!$F$27-Inputs!$D$27),Inputs!$D$27+SQRT(P1571*(Inputs!$F$27-Inputs!$D$27)*(Inputs!$E$27-Inputs!$D$27)),Inputs!$F$27-SQRT((1-P1571)*(Inputs!$F$27-Inputs!$D$27)*(Inputs!$F$27-Inputs!$E$27)))</f>
        <v>130.667208565823</v>
      </c>
      <c r="R1571" s="81" t="n">
        <f aca="true">RAND()</f>
        <v>0.700950458014679</v>
      </c>
      <c r="S1571" s="82" t="n">
        <f aca="false">IF(R1571&lt;(Inputs!$E$29-Inputs!$D$29)/(Inputs!$F$29-Inputs!$D$29),Inputs!$D$29+SQRT(R1571*(Inputs!$F$29-Inputs!$D$29)*(Inputs!$E$29-Inputs!$D$29)),Inputs!$F$29-SQRT((1-R1571)*(Inputs!$F$29-Inputs!$D$29)*(Inputs!$F$29-Inputs!$E$29)))</f>
        <v>8.76490253018514</v>
      </c>
      <c r="T1571" s="68" t="n">
        <f aca="false">Inputs!$E$9*(1+E1571)+Inputs!$E$5*C1571*(Inputs!$E$11*Inputs!$E$14*(G1571*I1571/Inputs!$E$16+(1-G1571))*K1571+Inputs!$E$23*M1571)*(1+O1571)+Inputs!$E$5*(Q1571+S1571)</f>
        <v>6306.9073594243</v>
      </c>
    </row>
    <row r="1572" customFormat="false" ht="15" hidden="false" customHeight="false" outlineLevel="0" collapsed="false">
      <c r="A1572" s="1" t="n">
        <v>1568</v>
      </c>
      <c r="B1572" s="81" t="n">
        <f aca="true">RAND()</f>
        <v>0.690034294894479</v>
      </c>
      <c r="C1572" s="82" t="n">
        <f aca="false">ROUND(IF(B1572&lt;(Inputs!$E$8-Inputs!$D$8)/(Inputs!$F$8-Inputs!$D$8),Inputs!$D$8+SQRT(B1572*(Inputs!$F$8-Inputs!$D$8)*(Inputs!$E$8-Inputs!$D$8)),Inputs!$F$8-SQRT((1-B1572)*(Inputs!$F$8-Inputs!$D$8)*(Inputs!$F$8-Inputs!$E$8))),0)</f>
        <v>26</v>
      </c>
      <c r="D1572" s="81" t="n">
        <f aca="true">RAND()</f>
        <v>0.22609332230145</v>
      </c>
      <c r="E1572" s="83" t="n">
        <f aca="false">IF(D1572&lt;(Inputs!$E$10-Inputs!$D$10)/(Inputs!$F$10-Inputs!$D$10),Inputs!$D$10+SQRT(D1572*(Inputs!$F$10-Inputs!$D$10)*(Inputs!$E$10-Inputs!$D$10)),Inputs!$F$10-SQRT((1-D1572)*(Inputs!$F$10-Inputs!$D$10)*(Inputs!$F$10-Inputs!$E$10)))</f>
        <v>0.0475492715297985</v>
      </c>
      <c r="F1572" s="81" t="n">
        <f aca="true">RAND()</f>
        <v>0.93324239646644</v>
      </c>
      <c r="G1572" s="83" t="n">
        <f aca="false">IF(F1572&lt;(Inputs!$E$15-Inputs!$D$15)/(Inputs!$F$15-Inputs!$D$15),Inputs!$D$15+SQRT(F1572*(Inputs!$F$15-Inputs!$D$15)*(Inputs!$E$15-Inputs!$D$15)),Inputs!$F$15-SQRT((1-F1572)*(Inputs!$F$15-Inputs!$D$15)*(Inputs!$F$15-Inputs!$E$15)))</f>
        <v>0.763460267233172</v>
      </c>
      <c r="H1572" s="81" t="n">
        <f aca="true">RAND()</f>
        <v>0.855961703852809</v>
      </c>
      <c r="I1572" s="82" t="n">
        <f aca="false">ROUND(IF(H1572&lt;(Inputs!$E$17-Inputs!$D$17)/(Inputs!$F$17-Inputs!$D$17),Inputs!$D$17+SQRT(H1572*(Inputs!$F$17-Inputs!$D$17)*(Inputs!$E$17-Inputs!$D$17)),Inputs!$F$17-SQRT((1-H1572)*(Inputs!$F$17-Inputs!$D$17)*(Inputs!$F$17-Inputs!$E$17))),0)</f>
        <v>110</v>
      </c>
      <c r="J1572" s="81" t="n">
        <f aca="true">RAND()</f>
        <v>0.205913453462087</v>
      </c>
      <c r="K1572" s="83" t="n">
        <f aca="false">IF(J1572&lt;(Inputs!$E$18-Inputs!$D$18)/(Inputs!$F$18-Inputs!$D$18),Inputs!$D$18+SQRT(J1572*(Inputs!$F$18-Inputs!$D$18)*(Inputs!$E$18-Inputs!$D$18)),Inputs!$F$18-SQRT((1-J1572)*(Inputs!$F$18-Inputs!$D$18)*(Inputs!$F$18-Inputs!$E$18)))</f>
        <v>0.98489388005724</v>
      </c>
      <c r="L1572" s="81" t="n">
        <f aca="true">RAND()</f>
        <v>0.656291465035769</v>
      </c>
      <c r="M1572" s="83" t="n">
        <f aca="false">IF(L1572&lt;(Inputs!$E$24-Inputs!$D$24)/(Inputs!$F$24-Inputs!$D$24),Inputs!$D$24+SQRT(L1572*(Inputs!$F$24-Inputs!$D$24)*(Inputs!$E$24-Inputs!$D$24)),Inputs!$F$24-SQRT((1-L1572)*(Inputs!$F$24-Inputs!$D$24)*(Inputs!$F$24-Inputs!$E$24)))</f>
        <v>0.912789191722499</v>
      </c>
      <c r="N1572" s="81" t="n">
        <f aca="true">RAND()</f>
        <v>0.280647351348419</v>
      </c>
      <c r="O1572" s="83" t="n">
        <f aca="false">IF(N1572&lt;(Inputs!$E$26-Inputs!$D$26)/(Inputs!$F$26-Inputs!$D$26),Inputs!$D$26+SQRT(N1572*(Inputs!$F$26-Inputs!$D$26)*(Inputs!$E$26-Inputs!$D$26)),Inputs!$F$26-SQRT((1-N1572)*(Inputs!$F$26-Inputs!$D$26)*(Inputs!$F$26-Inputs!$E$26)))</f>
        <v>0.516101178303999</v>
      </c>
      <c r="P1572" s="81" t="n">
        <f aca="true">RAND()</f>
        <v>0.451058379928362</v>
      </c>
      <c r="Q1572" s="82" t="n">
        <f aca="false">IF(P1572&lt;(Inputs!$E$27-Inputs!$D$27)/(Inputs!$F$27-Inputs!$D$27),Inputs!$D$27+SQRT(P1572*(Inputs!$F$27-Inputs!$D$27)*(Inputs!$E$27-Inputs!$D$27)),Inputs!$F$27-SQRT((1-P1572)*(Inputs!$F$27-Inputs!$D$27)*(Inputs!$F$27-Inputs!$E$27)))</f>
        <v>85.835662938535</v>
      </c>
      <c r="R1572" s="81" t="n">
        <f aca="true">RAND()</f>
        <v>0.243776458088393</v>
      </c>
      <c r="S1572" s="82" t="n">
        <f aca="false">IF(R1572&lt;(Inputs!$E$29-Inputs!$D$29)/(Inputs!$F$29-Inputs!$D$29),Inputs!$D$29+SQRT(R1572*(Inputs!$F$29-Inputs!$D$29)*(Inputs!$E$29-Inputs!$D$29)),Inputs!$F$29-SQRT((1-R1572)*(Inputs!$F$29-Inputs!$D$29)*(Inputs!$F$29-Inputs!$E$29)))</f>
        <v>5.08490744125357</v>
      </c>
      <c r="T1572" s="68" t="n">
        <f aca="false">Inputs!$E$9*(1+E1572)+Inputs!$E$5*C1572*(Inputs!$E$11*Inputs!$E$14*(G1572*I1572/Inputs!$E$16+(1-G1572))*K1572+Inputs!$E$23*M1572)*(1+O1572)+Inputs!$E$5*(Q1572+S1572)</f>
        <v>6106.45502124532</v>
      </c>
    </row>
    <row r="1573" customFormat="false" ht="15" hidden="false" customHeight="false" outlineLevel="0" collapsed="false">
      <c r="A1573" s="1" t="n">
        <v>1569</v>
      </c>
      <c r="B1573" s="81" t="n">
        <f aca="true">RAND()</f>
        <v>0.30131494923169</v>
      </c>
      <c r="C1573" s="82" t="n">
        <f aca="false">ROUND(IF(B1573&lt;(Inputs!$E$8-Inputs!$D$8)/(Inputs!$F$8-Inputs!$D$8),Inputs!$D$8+SQRT(B1573*(Inputs!$F$8-Inputs!$D$8)*(Inputs!$E$8-Inputs!$D$8)),Inputs!$F$8-SQRT((1-B1573)*(Inputs!$F$8-Inputs!$D$8)*(Inputs!$F$8-Inputs!$E$8))),0)</f>
        <v>24</v>
      </c>
      <c r="D1573" s="81" t="n">
        <f aca="true">RAND()</f>
        <v>0.984534760892655</v>
      </c>
      <c r="E1573" s="83" t="n">
        <f aca="false">IF(D1573&lt;(Inputs!$E$10-Inputs!$D$10)/(Inputs!$F$10-Inputs!$D$10),Inputs!$D$10+SQRT(D1573*(Inputs!$F$10-Inputs!$D$10)*(Inputs!$E$10-Inputs!$D$10)),Inputs!$F$10-SQRT((1-D1573)*(Inputs!$F$10-Inputs!$D$10)*(Inputs!$F$10-Inputs!$E$10)))</f>
        <v>0.178460334886067</v>
      </c>
      <c r="F1573" s="81" t="n">
        <f aca="true">RAND()</f>
        <v>0.033363300732365</v>
      </c>
      <c r="G1573" s="83" t="n">
        <f aca="false">IF(F1573&lt;(Inputs!$E$15-Inputs!$D$15)/(Inputs!$F$15-Inputs!$D$15),Inputs!$D$15+SQRT(F1573*(Inputs!$F$15-Inputs!$D$15)*(Inputs!$E$15-Inputs!$D$15)),Inputs!$F$15-SQRT((1-F1573)*(Inputs!$F$15-Inputs!$D$15)*(Inputs!$F$15-Inputs!$E$15)))</f>
        <v>0.625831492691041</v>
      </c>
      <c r="H1573" s="81" t="n">
        <f aca="true">RAND()</f>
        <v>0.471388097847478</v>
      </c>
      <c r="I1573" s="82" t="n">
        <f aca="false">ROUND(IF(H1573&lt;(Inputs!$E$17-Inputs!$D$17)/(Inputs!$F$17-Inputs!$D$17),Inputs!$D$17+SQRT(H1573*(Inputs!$F$17-Inputs!$D$17)*(Inputs!$E$17-Inputs!$D$17)),Inputs!$F$17-SQRT((1-H1573)*(Inputs!$F$17-Inputs!$D$17)*(Inputs!$F$17-Inputs!$E$17))),0)</f>
        <v>106</v>
      </c>
      <c r="J1573" s="81" t="n">
        <f aca="true">RAND()</f>
        <v>0.893926079984287</v>
      </c>
      <c r="K1573" s="83" t="n">
        <f aca="false">IF(J1573&lt;(Inputs!$E$18-Inputs!$D$18)/(Inputs!$F$18-Inputs!$D$18),Inputs!$D$18+SQRT(J1573*(Inputs!$F$18-Inputs!$D$18)*(Inputs!$E$18-Inputs!$D$18)),Inputs!$F$18-SQRT((1-J1573)*(Inputs!$F$18-Inputs!$D$18)*(Inputs!$F$18-Inputs!$E$18)))</f>
        <v>1.15365962424105</v>
      </c>
      <c r="L1573" s="81" t="n">
        <f aca="true">RAND()</f>
        <v>0.959068072486327</v>
      </c>
      <c r="M1573" s="83" t="n">
        <f aca="false">IF(L1573&lt;(Inputs!$E$24-Inputs!$D$24)/(Inputs!$F$24-Inputs!$D$24),Inputs!$D$24+SQRT(L1573*(Inputs!$F$24-Inputs!$D$24)*(Inputs!$E$24-Inputs!$D$24)),Inputs!$F$24-SQRT((1-L1573)*(Inputs!$F$24-Inputs!$D$24)*(Inputs!$F$24-Inputs!$E$24)))</f>
        <v>1.10088560849563</v>
      </c>
      <c r="N1573" s="81" t="n">
        <f aca="true">RAND()</f>
        <v>0.265503818016901</v>
      </c>
      <c r="O1573" s="83" t="n">
        <f aca="false">IF(N1573&lt;(Inputs!$E$26-Inputs!$D$26)/(Inputs!$F$26-Inputs!$D$26),Inputs!$D$26+SQRT(N1573*(Inputs!$F$26-Inputs!$D$26)*(Inputs!$E$26-Inputs!$D$26)),Inputs!$F$26-SQRT((1-N1573)*(Inputs!$F$26-Inputs!$D$26)*(Inputs!$F$26-Inputs!$E$26)))</f>
        <v>0.510189998139808</v>
      </c>
      <c r="P1573" s="81" t="n">
        <f aca="true">RAND()</f>
        <v>0.198060782975161</v>
      </c>
      <c r="Q1573" s="82" t="n">
        <f aca="false">IF(P1573&lt;(Inputs!$E$27-Inputs!$D$27)/(Inputs!$F$27-Inputs!$D$27),Inputs!$D$27+SQRT(P1573*(Inputs!$F$27-Inputs!$D$27)*(Inputs!$E$27-Inputs!$D$27)),Inputs!$F$27-SQRT((1-P1573)*(Inputs!$F$27-Inputs!$D$27)*(Inputs!$F$27-Inputs!$E$27)))</f>
        <v>72.2520101886976</v>
      </c>
      <c r="R1573" s="81" t="n">
        <f aca="true">RAND()</f>
        <v>0.9838960595462</v>
      </c>
      <c r="S1573" s="82" t="n">
        <f aca="false">IF(R1573&lt;(Inputs!$E$29-Inputs!$D$29)/(Inputs!$F$29-Inputs!$D$29),Inputs!$D$29+SQRT(R1573*(Inputs!$F$29-Inputs!$D$29)*(Inputs!$E$29-Inputs!$D$29)),Inputs!$F$29-SQRT((1-R1573)*(Inputs!$F$29-Inputs!$D$29)*(Inputs!$F$29-Inputs!$E$29)))</f>
        <v>13.5531025402628</v>
      </c>
      <c r="T1573" s="68" t="n">
        <f aca="false">Inputs!$E$9*(1+E1573)+Inputs!$E$5*C1573*(Inputs!$E$11*Inputs!$E$14*(G1573*I1573/Inputs!$E$16+(1-G1573))*K1573+Inputs!$E$23*M1573)*(1+O1573)+Inputs!$E$5*(Q1573+S1573)</f>
        <v>6803.77669239252</v>
      </c>
    </row>
    <row r="1574" customFormat="false" ht="15" hidden="false" customHeight="false" outlineLevel="0" collapsed="false">
      <c r="A1574" s="1" t="n">
        <v>1570</v>
      </c>
      <c r="B1574" s="81" t="n">
        <f aca="true">RAND()</f>
        <v>0.183083617498952</v>
      </c>
      <c r="C1574" s="82" t="n">
        <f aca="false">ROUND(IF(B1574&lt;(Inputs!$E$8-Inputs!$D$8)/(Inputs!$F$8-Inputs!$D$8),Inputs!$D$8+SQRT(B1574*(Inputs!$F$8-Inputs!$D$8)*(Inputs!$E$8-Inputs!$D$8)),Inputs!$F$8-SQRT((1-B1574)*(Inputs!$F$8-Inputs!$D$8)*(Inputs!$F$8-Inputs!$E$8))),0)</f>
        <v>23</v>
      </c>
      <c r="D1574" s="81" t="n">
        <f aca="true">RAND()</f>
        <v>0.262737243244632</v>
      </c>
      <c r="E1574" s="83" t="n">
        <f aca="false">IF(D1574&lt;(Inputs!$E$10-Inputs!$D$10)/(Inputs!$F$10-Inputs!$D$10),Inputs!$D$10+SQRT(D1574*(Inputs!$F$10-Inputs!$D$10)*(Inputs!$E$10-Inputs!$D$10)),Inputs!$F$10-SQRT((1-D1574)*(Inputs!$F$10-Inputs!$D$10)*(Inputs!$F$10-Inputs!$E$10)))</f>
        <v>0.0512791786512022</v>
      </c>
      <c r="F1574" s="81" t="n">
        <f aca="true">RAND()</f>
        <v>0.0630999330630691</v>
      </c>
      <c r="G1574" s="83" t="n">
        <f aca="false">IF(F1574&lt;(Inputs!$E$15-Inputs!$D$15)/(Inputs!$F$15-Inputs!$D$15),Inputs!$D$15+SQRT(F1574*(Inputs!$F$15-Inputs!$D$15)*(Inputs!$E$15-Inputs!$D$15)),Inputs!$F$15-SQRT((1-F1574)*(Inputs!$F$15-Inputs!$D$15)*(Inputs!$F$15-Inputs!$E$15)))</f>
        <v>0.635524620494263</v>
      </c>
      <c r="H1574" s="81" t="n">
        <f aca="true">RAND()</f>
        <v>0.514982765036119</v>
      </c>
      <c r="I1574" s="82" t="n">
        <f aca="false">ROUND(IF(H1574&lt;(Inputs!$E$17-Inputs!$D$17)/(Inputs!$F$17-Inputs!$D$17),Inputs!$D$17+SQRT(H1574*(Inputs!$F$17-Inputs!$D$17)*(Inputs!$E$17-Inputs!$D$17)),Inputs!$F$17-SQRT((1-H1574)*(Inputs!$F$17-Inputs!$D$17)*(Inputs!$F$17-Inputs!$E$17))),0)</f>
        <v>106</v>
      </c>
      <c r="J1574" s="81" t="n">
        <f aca="true">RAND()</f>
        <v>0.520822890564176</v>
      </c>
      <c r="K1574" s="83" t="n">
        <f aca="false">IF(J1574&lt;(Inputs!$E$18-Inputs!$D$18)/(Inputs!$F$18-Inputs!$D$18),Inputs!$D$18+SQRT(J1574*(Inputs!$F$18-Inputs!$D$18)*(Inputs!$E$18-Inputs!$D$18)),Inputs!$F$18-SQRT((1-J1574)*(Inputs!$F$18-Inputs!$D$18)*(Inputs!$F$18-Inputs!$E$18)))</f>
        <v>1.0452367291831</v>
      </c>
      <c r="L1574" s="81" t="n">
        <f aca="true">RAND()</f>
        <v>0.963056308096926</v>
      </c>
      <c r="M1574" s="83" t="n">
        <f aca="false">IF(L1574&lt;(Inputs!$E$24-Inputs!$D$24)/(Inputs!$F$24-Inputs!$D$24),Inputs!$D$24+SQRT(L1574*(Inputs!$F$24-Inputs!$D$24)*(Inputs!$E$24-Inputs!$D$24)),Inputs!$F$24-SQRT((1-L1574)*(Inputs!$F$24-Inputs!$D$24)*(Inputs!$F$24-Inputs!$E$24)))</f>
        <v>1.10583797975437</v>
      </c>
      <c r="N1574" s="81" t="n">
        <f aca="true">RAND()</f>
        <v>0.177766413254389</v>
      </c>
      <c r="O1574" s="83" t="n">
        <f aca="false">IF(N1574&lt;(Inputs!$E$26-Inputs!$D$26)/(Inputs!$F$26-Inputs!$D$26),Inputs!$D$26+SQRT(N1574*(Inputs!$F$26-Inputs!$D$26)*(Inputs!$E$26-Inputs!$D$26)),Inputs!$F$26-SQRT((1-N1574)*(Inputs!$F$26-Inputs!$D$26)*(Inputs!$F$26-Inputs!$E$26)))</f>
        <v>0.471989334452839</v>
      </c>
      <c r="P1574" s="81" t="n">
        <f aca="true">RAND()</f>
        <v>0.549244204179761</v>
      </c>
      <c r="Q1574" s="82" t="n">
        <f aca="false">IF(P1574&lt;(Inputs!$E$27-Inputs!$D$27)/(Inputs!$F$27-Inputs!$D$27),Inputs!$D$27+SQRT(P1574*(Inputs!$F$27-Inputs!$D$27)*(Inputs!$E$27-Inputs!$D$27)),Inputs!$F$27-SQRT((1-P1574)*(Inputs!$F$27-Inputs!$D$27)*(Inputs!$F$27-Inputs!$E$27)))</f>
        <v>91.8564838640473</v>
      </c>
      <c r="R1574" s="81" t="n">
        <f aca="true">RAND()</f>
        <v>0.65289325258641</v>
      </c>
      <c r="S1574" s="82" t="n">
        <f aca="false">IF(R1574&lt;(Inputs!$E$29-Inputs!$D$29)/(Inputs!$F$29-Inputs!$D$29),Inputs!$D$29+SQRT(R1574*(Inputs!$F$29-Inputs!$D$29)*(Inputs!$E$29-Inputs!$D$29)),Inputs!$F$29-SQRT((1-R1574)*(Inputs!$F$29-Inputs!$D$29)*(Inputs!$F$29-Inputs!$E$29)))</f>
        <v>8.28256915452294</v>
      </c>
      <c r="T1574" s="68" t="n">
        <f aca="false">Inputs!$E$9*(1+E1574)+Inputs!$E$5*C1574*(Inputs!$E$11*Inputs!$E$14*(G1574*I1574/Inputs!$E$16+(1-G1574))*K1574+Inputs!$E$23*M1574)*(1+O1574)+Inputs!$E$5*(Q1574+S1574)</f>
        <v>6133.92807572207</v>
      </c>
    </row>
    <row r="1575" customFormat="false" ht="15" hidden="false" customHeight="false" outlineLevel="0" collapsed="false">
      <c r="A1575" s="1" t="n">
        <v>1571</v>
      </c>
      <c r="B1575" s="81" t="n">
        <f aca="true">RAND()</f>
        <v>0.67169491659845</v>
      </c>
      <c r="C1575" s="82" t="n">
        <f aca="false">ROUND(IF(B1575&lt;(Inputs!$E$8-Inputs!$D$8)/(Inputs!$F$8-Inputs!$D$8),Inputs!$D$8+SQRT(B1575*(Inputs!$F$8-Inputs!$D$8)*(Inputs!$E$8-Inputs!$D$8)),Inputs!$F$8-SQRT((1-B1575)*(Inputs!$F$8-Inputs!$D$8)*(Inputs!$F$8-Inputs!$E$8))),0)</f>
        <v>26</v>
      </c>
      <c r="D1575" s="81" t="n">
        <f aca="true">RAND()</f>
        <v>0.146137270774241</v>
      </c>
      <c r="E1575" s="83" t="n">
        <f aca="false">IF(D1575&lt;(Inputs!$E$10-Inputs!$D$10)/(Inputs!$F$10-Inputs!$D$10),Inputs!$D$10+SQRT(D1575*(Inputs!$F$10-Inputs!$D$10)*(Inputs!$E$10-Inputs!$D$10)),Inputs!$F$10-SQRT((1-D1575)*(Inputs!$F$10-Inputs!$D$10)*(Inputs!$F$10-Inputs!$E$10)))</f>
        <v>0.0382279048306654</v>
      </c>
      <c r="F1575" s="81" t="n">
        <f aca="true">RAND()</f>
        <v>0.94740585429706</v>
      </c>
      <c r="G1575" s="83" t="n">
        <f aca="false">IF(F1575&lt;(Inputs!$E$15-Inputs!$D$15)/(Inputs!$F$15-Inputs!$D$15),Inputs!$D$15+SQRT(F1575*(Inputs!$F$15-Inputs!$D$15)*(Inputs!$E$15-Inputs!$D$15)),Inputs!$F$15-SQRT((1-F1575)*(Inputs!$F$15-Inputs!$D$15)*(Inputs!$F$15-Inputs!$E$15)))</f>
        <v>0.767567255526878</v>
      </c>
      <c r="H1575" s="81" t="n">
        <f aca="true">RAND()</f>
        <v>0.8296611166391</v>
      </c>
      <c r="I1575" s="82" t="n">
        <f aca="false">ROUND(IF(H1575&lt;(Inputs!$E$17-Inputs!$D$17)/(Inputs!$F$17-Inputs!$D$17),Inputs!$D$17+SQRT(H1575*(Inputs!$F$17-Inputs!$D$17)*(Inputs!$E$17-Inputs!$D$17)),Inputs!$F$17-SQRT((1-H1575)*(Inputs!$F$17-Inputs!$D$17)*(Inputs!$F$17-Inputs!$E$17))),0)</f>
        <v>110</v>
      </c>
      <c r="J1575" s="81" t="n">
        <f aca="true">RAND()</f>
        <v>0.0964609488262868</v>
      </c>
      <c r="K1575" s="83" t="n">
        <f aca="false">IF(J1575&lt;(Inputs!$E$18-Inputs!$D$18)/(Inputs!$F$18-Inputs!$D$18),Inputs!$D$18+SQRT(J1575*(Inputs!$F$18-Inputs!$D$18)*(Inputs!$E$18-Inputs!$D$18)),Inputs!$F$18-SQRT((1-J1575)*(Inputs!$F$18-Inputs!$D$18)*(Inputs!$F$18-Inputs!$E$18)))</f>
        <v>0.958104502484059</v>
      </c>
      <c r="L1575" s="81" t="n">
        <f aca="true">RAND()</f>
        <v>0.576160921088254</v>
      </c>
      <c r="M1575" s="83" t="n">
        <f aca="false">IF(L1575&lt;(Inputs!$E$24-Inputs!$D$24)/(Inputs!$F$24-Inputs!$D$24),Inputs!$D$24+SQRT(L1575*(Inputs!$F$24-Inputs!$D$24)*(Inputs!$E$24-Inputs!$D$24)),Inputs!$F$24-SQRT((1-L1575)*(Inputs!$F$24-Inputs!$D$24)*(Inputs!$F$24-Inputs!$E$24)))</f>
        <v>0.881062108022864</v>
      </c>
      <c r="N1575" s="81" t="n">
        <f aca="true">RAND()</f>
        <v>0.356182352234169</v>
      </c>
      <c r="O1575" s="83" t="n">
        <f aca="false">IF(N1575&lt;(Inputs!$E$26-Inputs!$D$26)/(Inputs!$F$26-Inputs!$D$26),Inputs!$D$26+SQRT(N1575*(Inputs!$F$26-Inputs!$D$26)*(Inputs!$E$26-Inputs!$D$26)),Inputs!$F$26-SQRT((1-N1575)*(Inputs!$F$26-Inputs!$D$26)*(Inputs!$F$26-Inputs!$E$26)))</f>
        <v>0.543451727066714</v>
      </c>
      <c r="P1575" s="81" t="n">
        <f aca="true">RAND()</f>
        <v>0.567405518633115</v>
      </c>
      <c r="Q1575" s="82" t="n">
        <f aca="false">IF(P1575&lt;(Inputs!$E$27-Inputs!$D$27)/(Inputs!$F$27-Inputs!$D$27),Inputs!$D$27+SQRT(P1575*(Inputs!$F$27-Inputs!$D$27)*(Inputs!$E$27-Inputs!$D$27)),Inputs!$F$27-SQRT((1-P1575)*(Inputs!$F$27-Inputs!$D$27)*(Inputs!$F$27-Inputs!$E$27)))</f>
        <v>93.0398506826779</v>
      </c>
      <c r="R1575" s="81" t="n">
        <f aca="true">RAND()</f>
        <v>0.505657844332724</v>
      </c>
      <c r="S1575" s="82" t="n">
        <f aca="false">IF(R1575&lt;(Inputs!$E$29-Inputs!$D$29)/(Inputs!$F$29-Inputs!$D$29),Inputs!$D$29+SQRT(R1575*(Inputs!$F$29-Inputs!$D$29)*(Inputs!$E$29-Inputs!$D$29)),Inputs!$F$29-SQRT((1-R1575)*(Inputs!$F$29-Inputs!$D$29)*(Inputs!$F$29-Inputs!$E$29)))</f>
        <v>6.98348702759449</v>
      </c>
      <c r="T1575" s="68" t="n">
        <f aca="false">Inputs!$E$9*(1+E1575)+Inputs!$E$5*C1575*(Inputs!$E$11*Inputs!$E$14*(G1575*I1575/Inputs!$E$16+(1-G1575))*K1575+Inputs!$E$23*M1575)*(1+O1575)+Inputs!$E$5*(Q1575+S1575)</f>
        <v>6084.35757595812</v>
      </c>
    </row>
    <row r="1576" customFormat="false" ht="15" hidden="false" customHeight="false" outlineLevel="0" collapsed="false">
      <c r="A1576" s="1" t="n">
        <v>1572</v>
      </c>
      <c r="B1576" s="81" t="n">
        <f aca="true">RAND()</f>
        <v>0.925312530690765</v>
      </c>
      <c r="C1576" s="82" t="n">
        <f aca="false">ROUND(IF(B1576&lt;(Inputs!$E$8-Inputs!$D$8)/(Inputs!$F$8-Inputs!$D$8),Inputs!$D$8+SQRT(B1576*(Inputs!$F$8-Inputs!$D$8)*(Inputs!$E$8-Inputs!$D$8)),Inputs!$F$8-SQRT((1-B1576)*(Inputs!$F$8-Inputs!$D$8)*(Inputs!$F$8-Inputs!$E$8))),0)</f>
        <v>28</v>
      </c>
      <c r="D1576" s="81" t="n">
        <f aca="true">RAND()</f>
        <v>0.194831226855979</v>
      </c>
      <c r="E1576" s="83" t="n">
        <f aca="false">IF(D1576&lt;(Inputs!$E$10-Inputs!$D$10)/(Inputs!$F$10-Inputs!$D$10),Inputs!$D$10+SQRT(D1576*(Inputs!$F$10-Inputs!$D$10)*(Inputs!$E$10-Inputs!$D$10)),Inputs!$F$10-SQRT((1-D1576)*(Inputs!$F$10-Inputs!$D$10)*(Inputs!$F$10-Inputs!$E$10)))</f>
        <v>0.0441396903994555</v>
      </c>
      <c r="F1576" s="81" t="n">
        <f aca="true">RAND()</f>
        <v>0.248356360484969</v>
      </c>
      <c r="G1576" s="83" t="n">
        <f aca="false">IF(F1576&lt;(Inputs!$E$15-Inputs!$D$15)/(Inputs!$F$15-Inputs!$D$15),Inputs!$D$15+SQRT(F1576*(Inputs!$F$15-Inputs!$D$15)*(Inputs!$E$15-Inputs!$D$15)),Inputs!$F$15-SQRT((1-F1576)*(Inputs!$F$15-Inputs!$D$15)*(Inputs!$F$15-Inputs!$E$15)))</f>
        <v>0.670477849071175</v>
      </c>
      <c r="H1576" s="81" t="n">
        <f aca="true">RAND()</f>
        <v>0.122161184475497</v>
      </c>
      <c r="I1576" s="82" t="n">
        <f aca="false">ROUND(IF(H1576&lt;(Inputs!$E$17-Inputs!$D$17)/(Inputs!$F$17-Inputs!$D$17),Inputs!$D$17+SQRT(H1576*(Inputs!$F$17-Inputs!$D$17)*(Inputs!$E$17-Inputs!$D$17)),Inputs!$F$17-SQRT((1-H1576)*(Inputs!$F$17-Inputs!$D$17)*(Inputs!$F$17-Inputs!$E$17))),0)</f>
        <v>103</v>
      </c>
      <c r="J1576" s="81" t="n">
        <f aca="true">RAND()</f>
        <v>0.838739403130222</v>
      </c>
      <c r="K1576" s="83" t="n">
        <f aca="false">IF(J1576&lt;(Inputs!$E$18-Inputs!$D$18)/(Inputs!$F$18-Inputs!$D$18),Inputs!$D$18+SQRT(J1576*(Inputs!$F$18-Inputs!$D$18)*(Inputs!$E$18-Inputs!$D$18)),Inputs!$F$18-SQRT((1-J1576)*(Inputs!$F$18-Inputs!$D$18)*(Inputs!$F$18-Inputs!$E$18)))</f>
        <v>1.13121320685318</v>
      </c>
      <c r="L1576" s="81" t="n">
        <f aca="true">RAND()</f>
        <v>0.565865791492363</v>
      </c>
      <c r="M1576" s="83" t="n">
        <f aca="false">IF(L1576&lt;(Inputs!$E$24-Inputs!$D$24)/(Inputs!$F$24-Inputs!$D$24),Inputs!$D$24+SQRT(L1576*(Inputs!$F$24-Inputs!$D$24)*(Inputs!$E$24-Inputs!$D$24)),Inputs!$F$24-SQRT((1-L1576)*(Inputs!$F$24-Inputs!$D$24)*(Inputs!$F$24-Inputs!$E$24)))</f>
        <v>0.877211818615004</v>
      </c>
      <c r="N1576" s="81" t="n">
        <f aca="true">RAND()</f>
        <v>0.681240951282752</v>
      </c>
      <c r="O1576" s="83" t="n">
        <f aca="false">IF(N1576&lt;(Inputs!$E$26-Inputs!$D$26)/(Inputs!$F$26-Inputs!$D$26),Inputs!$D$26+SQRT(N1576*(Inputs!$F$26-Inputs!$D$26)*(Inputs!$E$26-Inputs!$D$26)),Inputs!$F$26-SQRT((1-N1576)*(Inputs!$F$26-Inputs!$D$26)*(Inputs!$F$26-Inputs!$E$26)))</f>
        <v>0.637926001124285</v>
      </c>
      <c r="P1576" s="81" t="n">
        <f aca="true">RAND()</f>
        <v>0.59200024367639</v>
      </c>
      <c r="Q1576" s="82" t="n">
        <f aca="false">IF(P1576&lt;(Inputs!$E$27-Inputs!$D$27)/(Inputs!$F$27-Inputs!$D$27),Inputs!$D$27+SQRT(P1576*(Inputs!$F$27-Inputs!$D$27)*(Inputs!$E$27-Inputs!$D$27)),Inputs!$F$27-SQRT((1-P1576)*(Inputs!$F$27-Inputs!$D$27)*(Inputs!$F$27-Inputs!$E$27)))</f>
        <v>94.6827497752548</v>
      </c>
      <c r="R1576" s="81" t="n">
        <f aca="true">RAND()</f>
        <v>0.254792930494857</v>
      </c>
      <c r="S1576" s="82" t="n">
        <f aca="false">IF(R1576&lt;(Inputs!$E$29-Inputs!$D$29)/(Inputs!$F$29-Inputs!$D$29),Inputs!$D$29+SQRT(R1576*(Inputs!$F$29-Inputs!$D$29)*(Inputs!$E$29-Inputs!$D$29)),Inputs!$F$29-SQRT((1-R1576)*(Inputs!$F$29-Inputs!$D$29)*(Inputs!$F$29-Inputs!$E$29)))</f>
        <v>5.15739267085857</v>
      </c>
      <c r="T1576" s="68" t="n">
        <f aca="false">Inputs!$E$9*(1+E1576)+Inputs!$E$5*C1576*(Inputs!$E$11*Inputs!$E$14*(G1576*I1576/Inputs!$E$16+(1-G1576))*K1576+Inputs!$E$23*M1576)*(1+O1576)+Inputs!$E$5*(Q1576+S1576)</f>
        <v>7038.60149140411</v>
      </c>
    </row>
    <row r="1577" customFormat="false" ht="15" hidden="false" customHeight="false" outlineLevel="0" collapsed="false">
      <c r="A1577" s="1" t="n">
        <v>1573</v>
      </c>
      <c r="B1577" s="81" t="n">
        <f aca="true">RAND()</f>
        <v>0.149242306769649</v>
      </c>
      <c r="C1577" s="82" t="n">
        <f aca="false">ROUND(IF(B1577&lt;(Inputs!$E$8-Inputs!$D$8)/(Inputs!$F$8-Inputs!$D$8),Inputs!$D$8+SQRT(B1577*(Inputs!$F$8-Inputs!$D$8)*(Inputs!$E$8-Inputs!$D$8)),Inputs!$F$8-SQRT((1-B1577)*(Inputs!$F$8-Inputs!$D$8)*(Inputs!$F$8-Inputs!$E$8))),0)</f>
        <v>23</v>
      </c>
      <c r="D1577" s="81" t="n">
        <f aca="true">RAND()</f>
        <v>0.41277171052493</v>
      </c>
      <c r="E1577" s="83" t="n">
        <f aca="false">IF(D1577&lt;(Inputs!$E$10-Inputs!$D$10)/(Inputs!$F$10-Inputs!$D$10),Inputs!$D$10+SQRT(D1577*(Inputs!$F$10-Inputs!$D$10)*(Inputs!$E$10-Inputs!$D$10)),Inputs!$F$10-SQRT((1-D1577)*(Inputs!$F$10-Inputs!$D$10)*(Inputs!$F$10-Inputs!$E$10)))</f>
        <v>0.0672715227080033</v>
      </c>
      <c r="F1577" s="81" t="n">
        <f aca="true">RAND()</f>
        <v>0.141223392865651</v>
      </c>
      <c r="G1577" s="83" t="n">
        <f aca="false">IF(F1577&lt;(Inputs!$E$15-Inputs!$D$15)/(Inputs!$F$15-Inputs!$D$15),Inputs!$D$15+SQRT(F1577*(Inputs!$F$15-Inputs!$D$15)*(Inputs!$E$15-Inputs!$D$15)),Inputs!$F$15-SQRT((1-F1577)*(Inputs!$F$15-Inputs!$D$15)*(Inputs!$F$15-Inputs!$E$15)))</f>
        <v>0.653145722850602</v>
      </c>
      <c r="H1577" s="81" t="n">
        <f aca="true">RAND()</f>
        <v>0.251960864616219</v>
      </c>
      <c r="I1577" s="82" t="n">
        <f aca="false">ROUND(IF(H1577&lt;(Inputs!$E$17-Inputs!$D$17)/(Inputs!$F$17-Inputs!$D$17),Inputs!$D$17+SQRT(H1577*(Inputs!$F$17-Inputs!$D$17)*(Inputs!$E$17-Inputs!$D$17)),Inputs!$F$17-SQRT((1-H1577)*(Inputs!$F$17-Inputs!$D$17)*(Inputs!$F$17-Inputs!$E$17))),0)</f>
        <v>104</v>
      </c>
      <c r="J1577" s="81" t="n">
        <f aca="true">RAND()</f>
        <v>0.455070043262361</v>
      </c>
      <c r="K1577" s="83" t="n">
        <f aca="false">IF(J1577&lt;(Inputs!$E$18-Inputs!$D$18)/(Inputs!$F$18-Inputs!$D$18),Inputs!$D$18+SQRT(J1577*(Inputs!$F$18-Inputs!$D$18)*(Inputs!$E$18-Inputs!$D$18)),Inputs!$F$18-SQRT((1-J1577)*(Inputs!$F$18-Inputs!$D$18)*(Inputs!$F$18-Inputs!$E$18)))</f>
        <v>1.03163935516091</v>
      </c>
      <c r="L1577" s="81" t="n">
        <f aca="true">RAND()</f>
        <v>0.149836707712319</v>
      </c>
      <c r="M1577" s="83" t="n">
        <f aca="false">IF(L1577&lt;(Inputs!$E$24-Inputs!$D$24)/(Inputs!$F$24-Inputs!$D$24),Inputs!$D$24+SQRT(L1577*(Inputs!$F$24-Inputs!$D$24)*(Inputs!$E$24-Inputs!$D$24)),Inputs!$F$24-SQRT((1-L1577)*(Inputs!$F$24-Inputs!$D$24)*(Inputs!$F$24-Inputs!$E$24)))</f>
        <v>0.734091032233622</v>
      </c>
      <c r="N1577" s="81" t="n">
        <f aca="true">RAND()</f>
        <v>0.653676935276886</v>
      </c>
      <c r="O1577" s="83" t="n">
        <f aca="false">IF(N1577&lt;(Inputs!$E$26-Inputs!$D$26)/(Inputs!$F$26-Inputs!$D$26),Inputs!$D$26+SQRT(N1577*(Inputs!$F$26-Inputs!$D$26)*(Inputs!$E$26-Inputs!$D$26)),Inputs!$F$26-SQRT((1-N1577)*(Inputs!$F$26-Inputs!$D$26)*(Inputs!$F$26-Inputs!$E$26)))</f>
        <v>0.630216969327593</v>
      </c>
      <c r="P1577" s="81" t="n">
        <f aca="true">RAND()</f>
        <v>0.652485216504843</v>
      </c>
      <c r="Q1577" s="82" t="n">
        <f aca="false">IF(P1577&lt;(Inputs!$E$27-Inputs!$D$27)/(Inputs!$F$27-Inputs!$D$27),Inputs!$D$27+SQRT(P1577*(Inputs!$F$27-Inputs!$D$27)*(Inputs!$E$27-Inputs!$D$27)),Inputs!$F$27-SQRT((1-P1577)*(Inputs!$F$27-Inputs!$D$27)*(Inputs!$F$27-Inputs!$E$27)))</f>
        <v>98.9474694435851</v>
      </c>
      <c r="R1577" s="81" t="n">
        <f aca="true">RAND()</f>
        <v>0.862031567164113</v>
      </c>
      <c r="S1577" s="82" t="n">
        <f aca="false">IF(R1577&lt;(Inputs!$E$29-Inputs!$D$29)/(Inputs!$F$29-Inputs!$D$29),Inputs!$D$29+SQRT(R1577*(Inputs!$F$29-Inputs!$D$29)*(Inputs!$E$29-Inputs!$D$29)),Inputs!$F$29-SQRT((1-R1577)*(Inputs!$F$29-Inputs!$D$29)*(Inputs!$F$29-Inputs!$E$29)))</f>
        <v>10.7649207482427</v>
      </c>
      <c r="T1577" s="68" t="n">
        <f aca="false">Inputs!$E$9*(1+E1577)+Inputs!$E$5*C1577*(Inputs!$E$11*Inputs!$E$14*(G1577*I1577/Inputs!$E$16+(1-G1577))*K1577+Inputs!$E$23*M1577)*(1+O1577)+Inputs!$E$5*(Q1577+S1577)</f>
        <v>6004.90573979697</v>
      </c>
    </row>
    <row r="1578" customFormat="false" ht="15" hidden="false" customHeight="false" outlineLevel="0" collapsed="false">
      <c r="A1578" s="1" t="n">
        <v>1574</v>
      </c>
      <c r="B1578" s="81" t="n">
        <f aca="true">RAND()</f>
        <v>0.441172559012358</v>
      </c>
      <c r="C1578" s="82" t="n">
        <f aca="false">ROUND(IF(B1578&lt;(Inputs!$E$8-Inputs!$D$8)/(Inputs!$F$8-Inputs!$D$8),Inputs!$D$8+SQRT(B1578*(Inputs!$F$8-Inputs!$D$8)*(Inputs!$E$8-Inputs!$D$8)),Inputs!$F$8-SQRT((1-B1578)*(Inputs!$F$8-Inputs!$D$8)*(Inputs!$F$8-Inputs!$E$8))),0)</f>
        <v>25</v>
      </c>
      <c r="D1578" s="81" t="n">
        <f aca="true">RAND()</f>
        <v>0.104589582446212</v>
      </c>
      <c r="E1578" s="83" t="n">
        <f aca="false">IF(D1578&lt;(Inputs!$E$10-Inputs!$D$10)/(Inputs!$F$10-Inputs!$D$10),Inputs!$D$10+SQRT(D1578*(Inputs!$F$10-Inputs!$D$10)*(Inputs!$E$10-Inputs!$D$10)),Inputs!$F$10-SQRT((1-D1578)*(Inputs!$F$10-Inputs!$D$10)*(Inputs!$F$10-Inputs!$E$10)))</f>
        <v>0.0323403126834316</v>
      </c>
      <c r="F1578" s="81" t="n">
        <f aca="true">RAND()</f>
        <v>0.318135993497672</v>
      </c>
      <c r="G1578" s="83" t="n">
        <f aca="false">IF(F1578&lt;(Inputs!$E$15-Inputs!$D$15)/(Inputs!$F$15-Inputs!$D$15),Inputs!$D$15+SQRT(F1578*(Inputs!$F$15-Inputs!$D$15)*(Inputs!$E$15-Inputs!$D$15)),Inputs!$F$15-SQRT((1-F1578)*(Inputs!$F$15-Inputs!$D$15)*(Inputs!$F$15-Inputs!$E$15)))</f>
        <v>0.679766658886739</v>
      </c>
      <c r="H1578" s="81" t="n">
        <f aca="true">RAND()</f>
        <v>0.756412359223812</v>
      </c>
      <c r="I1578" s="82" t="n">
        <f aca="false">ROUND(IF(H1578&lt;(Inputs!$E$17-Inputs!$D$17)/(Inputs!$F$17-Inputs!$D$17),Inputs!$D$17+SQRT(H1578*(Inputs!$F$17-Inputs!$D$17)*(Inputs!$E$17-Inputs!$D$17)),Inputs!$F$17-SQRT((1-H1578)*(Inputs!$F$17-Inputs!$D$17)*(Inputs!$F$17-Inputs!$E$17))),0)</f>
        <v>109</v>
      </c>
      <c r="J1578" s="81" t="n">
        <f aca="true">RAND()</f>
        <v>0.859375916743758</v>
      </c>
      <c r="K1578" s="83" t="n">
        <f aca="false">IF(J1578&lt;(Inputs!$E$18-Inputs!$D$18)/(Inputs!$F$18-Inputs!$D$18),Inputs!$D$18+SQRT(J1578*(Inputs!$F$18-Inputs!$D$18)*(Inputs!$E$18-Inputs!$D$18)),Inputs!$F$18-SQRT((1-J1578)*(Inputs!$F$18-Inputs!$D$18)*(Inputs!$F$18-Inputs!$E$18)))</f>
        <v>1.13907386563609</v>
      </c>
      <c r="L1578" s="81" t="n">
        <f aca="true">RAND()</f>
        <v>0.3038984294984</v>
      </c>
      <c r="M1578" s="83" t="n">
        <f aca="false">IF(L1578&lt;(Inputs!$E$24-Inputs!$D$24)/(Inputs!$F$24-Inputs!$D$24),Inputs!$D$24+SQRT(L1578*(Inputs!$F$24-Inputs!$D$24)*(Inputs!$E$24-Inputs!$D$24)),Inputs!$F$24-SQRT((1-L1578)*(Inputs!$F$24-Inputs!$D$24)*(Inputs!$F$24-Inputs!$E$24)))</f>
        <v>0.790965472114223</v>
      </c>
      <c r="N1578" s="81" t="n">
        <f aca="true">RAND()</f>
        <v>0.311622912979162</v>
      </c>
      <c r="O1578" s="83" t="n">
        <f aca="false">IF(N1578&lt;(Inputs!$E$26-Inputs!$D$26)/(Inputs!$F$26-Inputs!$D$26),Inputs!$D$26+SQRT(N1578*(Inputs!$F$26-Inputs!$D$26)*(Inputs!$E$26-Inputs!$D$26)),Inputs!$F$26-SQRT((1-N1578)*(Inputs!$F$26-Inputs!$D$26)*(Inputs!$F$26-Inputs!$E$26)))</f>
        <v>0.527714849581077</v>
      </c>
      <c r="P1578" s="81" t="n">
        <f aca="true">RAND()</f>
        <v>0.501954620355657</v>
      </c>
      <c r="Q1578" s="82" t="n">
        <f aca="false">IF(P1578&lt;(Inputs!$E$27-Inputs!$D$27)/(Inputs!$F$27-Inputs!$D$27),Inputs!$D$27+SQRT(P1578*(Inputs!$F$27-Inputs!$D$27)*(Inputs!$E$27-Inputs!$D$27)),Inputs!$F$27-SQRT((1-P1578)*(Inputs!$F$27-Inputs!$D$27)*(Inputs!$F$27-Inputs!$E$27)))</f>
        <v>88.8825692021289</v>
      </c>
      <c r="R1578" s="81" t="n">
        <f aca="true">RAND()</f>
        <v>0.590787513604544</v>
      </c>
      <c r="S1578" s="82" t="n">
        <f aca="false">IF(R1578&lt;(Inputs!$E$29-Inputs!$D$29)/(Inputs!$F$29-Inputs!$D$29),Inputs!$D$29+SQRT(R1578*(Inputs!$F$29-Inputs!$D$29)*(Inputs!$E$29-Inputs!$D$29)),Inputs!$F$29-SQRT((1-R1578)*(Inputs!$F$29-Inputs!$D$29)*(Inputs!$F$29-Inputs!$E$29)))</f>
        <v>7.70632992030697</v>
      </c>
      <c r="T1578" s="68" t="n">
        <f aca="false">Inputs!$E$9*(1+E1578)+Inputs!$E$5*C1578*(Inputs!$E$11*Inputs!$E$14*(G1578*I1578/Inputs!$E$16+(1-G1578))*K1578+Inputs!$E$23*M1578)*(1+O1578)+Inputs!$E$5*(Q1578+S1578)</f>
        <v>6245.87173500713</v>
      </c>
    </row>
    <row r="1579" customFormat="false" ht="15" hidden="false" customHeight="false" outlineLevel="0" collapsed="false">
      <c r="A1579" s="1" t="n">
        <v>1575</v>
      </c>
      <c r="B1579" s="81" t="n">
        <f aca="true">RAND()</f>
        <v>0.108603934596984</v>
      </c>
      <c r="C1579" s="82" t="n">
        <f aca="false">ROUND(IF(B1579&lt;(Inputs!$E$8-Inputs!$D$8)/(Inputs!$F$8-Inputs!$D$8),Inputs!$D$8+SQRT(B1579*(Inputs!$F$8-Inputs!$D$8)*(Inputs!$E$8-Inputs!$D$8)),Inputs!$F$8-SQRT((1-B1579)*(Inputs!$F$8-Inputs!$D$8)*(Inputs!$F$8-Inputs!$E$8))),0)</f>
        <v>22</v>
      </c>
      <c r="D1579" s="81" t="n">
        <f aca="true">RAND()</f>
        <v>0.18769194324279</v>
      </c>
      <c r="E1579" s="83" t="n">
        <f aca="false">IF(D1579&lt;(Inputs!$E$10-Inputs!$D$10)/(Inputs!$F$10-Inputs!$D$10),Inputs!$D$10+SQRT(D1579*(Inputs!$F$10-Inputs!$D$10)*(Inputs!$E$10-Inputs!$D$10)),Inputs!$F$10-SQRT((1-D1579)*(Inputs!$F$10-Inputs!$D$10)*(Inputs!$F$10-Inputs!$E$10)))</f>
        <v>0.0433234282164732</v>
      </c>
      <c r="F1579" s="81" t="n">
        <f aca="true">RAND()</f>
        <v>0.399467268831401</v>
      </c>
      <c r="G1579" s="83" t="n">
        <f aca="false">IF(F1579&lt;(Inputs!$E$15-Inputs!$D$15)/(Inputs!$F$15-Inputs!$D$15),Inputs!$D$15+SQRT(F1579*(Inputs!$F$15-Inputs!$D$15)*(Inputs!$E$15-Inputs!$D$15)),Inputs!$F$15-SQRT((1-F1579)*(Inputs!$F$15-Inputs!$D$15)*(Inputs!$F$15-Inputs!$E$15)))</f>
        <v>0.689383138100136</v>
      </c>
      <c r="H1579" s="81" t="n">
        <f aca="true">RAND()</f>
        <v>0.845539326227066</v>
      </c>
      <c r="I1579" s="82" t="n">
        <f aca="false">ROUND(IF(H1579&lt;(Inputs!$E$17-Inputs!$D$17)/(Inputs!$F$17-Inputs!$D$17),Inputs!$D$17+SQRT(H1579*(Inputs!$F$17-Inputs!$D$17)*(Inputs!$E$17-Inputs!$D$17)),Inputs!$F$17-SQRT((1-H1579)*(Inputs!$F$17-Inputs!$D$17)*(Inputs!$F$17-Inputs!$E$17))),0)</f>
        <v>110</v>
      </c>
      <c r="J1579" s="81" t="n">
        <f aca="true">RAND()</f>
        <v>0.747736732597073</v>
      </c>
      <c r="K1579" s="83" t="n">
        <f aca="false">IF(J1579&lt;(Inputs!$E$18-Inputs!$D$18)/(Inputs!$F$18-Inputs!$D$18),Inputs!$D$18+SQRT(J1579*(Inputs!$F$18-Inputs!$D$18)*(Inputs!$E$18-Inputs!$D$18)),Inputs!$F$18-SQRT((1-J1579)*(Inputs!$F$18-Inputs!$D$18)*(Inputs!$F$18-Inputs!$E$18)))</f>
        <v>1.10143003029631</v>
      </c>
      <c r="L1579" s="81" t="n">
        <f aca="true">RAND()</f>
        <v>0.384753388543836</v>
      </c>
      <c r="M1579" s="83" t="n">
        <f aca="false">IF(L1579&lt;(Inputs!$E$24-Inputs!$D$24)/(Inputs!$F$24-Inputs!$D$24),Inputs!$D$24+SQRT(L1579*(Inputs!$F$24-Inputs!$D$24)*(Inputs!$E$24-Inputs!$D$24)),Inputs!$F$24-SQRT((1-L1579)*(Inputs!$F$24-Inputs!$D$24)*(Inputs!$F$24-Inputs!$E$24)))</f>
        <v>0.815735524996807</v>
      </c>
      <c r="N1579" s="81" t="n">
        <f aca="true">RAND()</f>
        <v>0.0685571344362037</v>
      </c>
      <c r="O1579" s="83" t="n">
        <f aca="false">IF(N1579&lt;(Inputs!$E$26-Inputs!$D$26)/(Inputs!$F$26-Inputs!$D$26),Inputs!$D$26+SQRT(N1579*(Inputs!$F$26-Inputs!$D$26)*(Inputs!$E$26-Inputs!$D$26)),Inputs!$F$26-SQRT((1-N1579)*(Inputs!$F$26-Inputs!$D$26)*(Inputs!$F$26-Inputs!$E$26)))</f>
        <v>0.406807804818676</v>
      </c>
      <c r="P1579" s="81" t="n">
        <f aca="true">RAND()</f>
        <v>0.448212683711215</v>
      </c>
      <c r="Q1579" s="82" t="n">
        <f aca="false">IF(P1579&lt;(Inputs!$E$27-Inputs!$D$27)/(Inputs!$F$27-Inputs!$D$27),Inputs!$D$27+SQRT(P1579*(Inputs!$F$27-Inputs!$D$27)*(Inputs!$E$27-Inputs!$D$27)),Inputs!$F$27-SQRT((1-P1579)*(Inputs!$F$27-Inputs!$D$27)*(Inputs!$F$27-Inputs!$E$27)))</f>
        <v>85.6695649620968</v>
      </c>
      <c r="R1579" s="81" t="n">
        <f aca="true">RAND()</f>
        <v>0.503674663385449</v>
      </c>
      <c r="S1579" s="82" t="n">
        <f aca="false">IF(R1579&lt;(Inputs!$E$29-Inputs!$D$29)/(Inputs!$F$29-Inputs!$D$29),Inputs!$D$29+SQRT(R1579*(Inputs!$F$29-Inputs!$D$29)*(Inputs!$E$29-Inputs!$D$29)),Inputs!$F$29-SQRT((1-R1579)*(Inputs!$F$29-Inputs!$D$29)*(Inputs!$F$29-Inputs!$E$29)))</f>
        <v>6.96742296894131</v>
      </c>
      <c r="T1579" s="68" t="n">
        <f aca="false">Inputs!$E$9*(1+E1579)+Inputs!$E$5*C1579*(Inputs!$E$11*Inputs!$E$14*(G1579*I1579/Inputs!$E$16+(1-G1579))*K1579+Inputs!$E$23*M1579)*(1+O1579)+Inputs!$E$5*(Q1579+S1579)</f>
        <v>5550.14990030074</v>
      </c>
    </row>
    <row r="1580" customFormat="false" ht="15" hidden="false" customHeight="false" outlineLevel="0" collapsed="false">
      <c r="A1580" s="1" t="n">
        <v>1576</v>
      </c>
      <c r="B1580" s="81" t="n">
        <f aca="true">RAND()</f>
        <v>0.249278542722297</v>
      </c>
      <c r="C1580" s="82" t="n">
        <f aca="false">ROUND(IF(B1580&lt;(Inputs!$E$8-Inputs!$D$8)/(Inputs!$F$8-Inputs!$D$8),Inputs!$D$8+SQRT(B1580*(Inputs!$F$8-Inputs!$D$8)*(Inputs!$E$8-Inputs!$D$8)),Inputs!$F$8-SQRT((1-B1580)*(Inputs!$F$8-Inputs!$D$8)*(Inputs!$F$8-Inputs!$E$8))),0)</f>
        <v>24</v>
      </c>
      <c r="D1580" s="81" t="n">
        <f aca="true">RAND()</f>
        <v>0.827320444149831</v>
      </c>
      <c r="E1580" s="83" t="n">
        <f aca="false">IF(D1580&lt;(Inputs!$E$10-Inputs!$D$10)/(Inputs!$F$10-Inputs!$D$10),Inputs!$D$10+SQRT(D1580*(Inputs!$F$10-Inputs!$D$10)*(Inputs!$E$10-Inputs!$D$10)),Inputs!$F$10-SQRT((1-D1580)*(Inputs!$F$10-Inputs!$D$10)*(Inputs!$F$10-Inputs!$E$10)))</f>
        <v>0.128025096905205</v>
      </c>
      <c r="F1580" s="81" t="n">
        <f aca="true">RAND()</f>
        <v>0.16920062002787</v>
      </c>
      <c r="G1580" s="83" t="n">
        <f aca="false">IF(F1580&lt;(Inputs!$E$15-Inputs!$D$15)/(Inputs!$F$15-Inputs!$D$15),Inputs!$D$15+SQRT(F1580*(Inputs!$F$15-Inputs!$D$15)*(Inputs!$E$15-Inputs!$D$15)),Inputs!$F$15-SQRT((1-F1580)*(Inputs!$F$15-Inputs!$D$15)*(Inputs!$F$15-Inputs!$E$15)))</f>
        <v>0.658172264873885</v>
      </c>
      <c r="H1580" s="81" t="n">
        <f aca="true">RAND()</f>
        <v>0.522008167348576</v>
      </c>
      <c r="I1580" s="82" t="n">
        <f aca="false">ROUND(IF(H1580&lt;(Inputs!$E$17-Inputs!$D$17)/(Inputs!$F$17-Inputs!$D$17),Inputs!$D$17+SQRT(H1580*(Inputs!$F$17-Inputs!$D$17)*(Inputs!$E$17-Inputs!$D$17)),Inputs!$F$17-SQRT((1-H1580)*(Inputs!$F$17-Inputs!$D$17)*(Inputs!$F$17-Inputs!$E$17))),0)</f>
        <v>107</v>
      </c>
      <c r="J1580" s="81" t="n">
        <f aca="true">RAND()</f>
        <v>0.602943223615093</v>
      </c>
      <c r="K1580" s="83" t="n">
        <f aca="false">IF(J1580&lt;(Inputs!$E$18-Inputs!$D$18)/(Inputs!$F$18-Inputs!$D$18),Inputs!$D$18+SQRT(J1580*(Inputs!$F$18-Inputs!$D$18)*(Inputs!$E$18-Inputs!$D$18)),Inputs!$F$18-SQRT((1-J1580)*(Inputs!$F$18-Inputs!$D$18)*(Inputs!$F$18-Inputs!$E$18)))</f>
        <v>1.06360668484712</v>
      </c>
      <c r="L1580" s="81" t="n">
        <f aca="true">RAND()</f>
        <v>0.0902517239798298</v>
      </c>
      <c r="M1580" s="83" t="n">
        <f aca="false">IF(L1580&lt;(Inputs!$E$24-Inputs!$D$24)/(Inputs!$F$24-Inputs!$D$24),Inputs!$D$24+SQRT(L1580*(Inputs!$F$24-Inputs!$D$24)*(Inputs!$E$24-Inputs!$D$24)),Inputs!$F$24-SQRT((1-L1580)*(Inputs!$F$24-Inputs!$D$24)*(Inputs!$F$24-Inputs!$E$24)))</f>
        <v>0.70406827988191</v>
      </c>
      <c r="N1580" s="81" t="n">
        <f aca="true">RAND()</f>
        <v>0.295940746872704</v>
      </c>
      <c r="O1580" s="83" t="n">
        <f aca="false">IF(N1580&lt;(Inputs!$E$26-Inputs!$D$26)/(Inputs!$F$26-Inputs!$D$26),Inputs!$D$26+SQRT(N1580*(Inputs!$F$26-Inputs!$D$26)*(Inputs!$E$26-Inputs!$D$26)),Inputs!$F$26-SQRT((1-N1580)*(Inputs!$F$26-Inputs!$D$26)*(Inputs!$F$26-Inputs!$E$26)))</f>
        <v>0.521911108959462</v>
      </c>
      <c r="P1580" s="81" t="n">
        <f aca="true">RAND()</f>
        <v>0.958936416562459</v>
      </c>
      <c r="Q1580" s="82" t="n">
        <f aca="false">IF(P1580&lt;(Inputs!$E$27-Inputs!$D$27)/(Inputs!$F$27-Inputs!$D$27),Inputs!$D$27+SQRT(P1580*(Inputs!$F$27-Inputs!$D$27)*(Inputs!$E$27-Inputs!$D$27)),Inputs!$F$27-SQRT((1-P1580)*(Inputs!$F$27-Inputs!$D$27)*(Inputs!$F$27-Inputs!$E$27)))</f>
        <v>132.450730049898</v>
      </c>
      <c r="R1580" s="81" t="n">
        <f aca="true">RAND()</f>
        <v>0.950628255438443</v>
      </c>
      <c r="S1580" s="82" t="n">
        <f aca="false">IF(R1580&lt;(Inputs!$E$29-Inputs!$D$29)/(Inputs!$F$29-Inputs!$D$29),Inputs!$D$29+SQRT(R1580*(Inputs!$F$29-Inputs!$D$29)*(Inputs!$E$29-Inputs!$D$29)),Inputs!$F$29-SQRT((1-R1580)*(Inputs!$F$29-Inputs!$D$29)*(Inputs!$F$29-Inputs!$E$29)))</f>
        <v>12.466558310716</v>
      </c>
      <c r="T1580" s="68" t="n">
        <f aca="false">Inputs!$E$9*(1+E1580)+Inputs!$E$5*C1580*(Inputs!$E$11*Inputs!$E$14*(G1580*I1580/Inputs!$E$16+(1-G1580))*K1580+Inputs!$E$23*M1580)*(1+O1580)+Inputs!$E$5*(Q1580+S1580)</f>
        <v>6284.70669101091</v>
      </c>
    </row>
    <row r="1581" customFormat="false" ht="15" hidden="false" customHeight="false" outlineLevel="0" collapsed="false">
      <c r="A1581" s="1" t="n">
        <v>1577</v>
      </c>
      <c r="B1581" s="81" t="n">
        <f aca="true">RAND()</f>
        <v>0.975041867211598</v>
      </c>
      <c r="C1581" s="82" t="n">
        <f aca="false">ROUND(IF(B1581&lt;(Inputs!$E$8-Inputs!$D$8)/(Inputs!$F$8-Inputs!$D$8),Inputs!$D$8+SQRT(B1581*(Inputs!$F$8-Inputs!$D$8)*(Inputs!$E$8-Inputs!$D$8)),Inputs!$F$8-SQRT((1-B1581)*(Inputs!$F$8-Inputs!$D$8)*(Inputs!$F$8-Inputs!$E$8))),0)</f>
        <v>29</v>
      </c>
      <c r="D1581" s="81" t="n">
        <f aca="true">RAND()</f>
        <v>0.452797630261703</v>
      </c>
      <c r="E1581" s="83" t="n">
        <f aca="false">IF(D1581&lt;(Inputs!$E$10-Inputs!$D$10)/(Inputs!$F$10-Inputs!$D$10),Inputs!$D$10+SQRT(D1581*(Inputs!$F$10-Inputs!$D$10)*(Inputs!$E$10-Inputs!$D$10)),Inputs!$F$10-SQRT((1-D1581)*(Inputs!$F$10-Inputs!$D$10)*(Inputs!$F$10-Inputs!$E$10)))</f>
        <v>0.0718747835430164</v>
      </c>
      <c r="F1581" s="81" t="n">
        <f aca="true">RAND()</f>
        <v>0.738534769510368</v>
      </c>
      <c r="G1581" s="83" t="n">
        <f aca="false">IF(F1581&lt;(Inputs!$E$15-Inputs!$D$15)/(Inputs!$F$15-Inputs!$D$15),Inputs!$D$15+SQRT(F1581*(Inputs!$F$15-Inputs!$D$15)*(Inputs!$E$15-Inputs!$D$15)),Inputs!$F$15-SQRT((1-F1581)*(Inputs!$F$15-Inputs!$D$15)*(Inputs!$F$15-Inputs!$E$15)))</f>
        <v>0.727686069047571</v>
      </c>
      <c r="H1581" s="81" t="n">
        <f aca="true">RAND()</f>
        <v>0.50796933300426</v>
      </c>
      <c r="I1581" s="82" t="n">
        <f aca="false">ROUND(IF(H1581&lt;(Inputs!$E$17-Inputs!$D$17)/(Inputs!$F$17-Inputs!$D$17),Inputs!$D$17+SQRT(H1581*(Inputs!$F$17-Inputs!$D$17)*(Inputs!$E$17-Inputs!$D$17)),Inputs!$F$17-SQRT((1-H1581)*(Inputs!$F$17-Inputs!$D$17)*(Inputs!$F$17-Inputs!$E$17))),0)</f>
        <v>106</v>
      </c>
      <c r="J1581" s="81" t="n">
        <f aca="true">RAND()</f>
        <v>0.270811963474942</v>
      </c>
      <c r="K1581" s="83" t="n">
        <f aca="false">IF(J1581&lt;(Inputs!$E$18-Inputs!$D$18)/(Inputs!$F$18-Inputs!$D$18),Inputs!$D$18+SQRT(J1581*(Inputs!$F$18-Inputs!$D$18)*(Inputs!$E$18-Inputs!$D$18)),Inputs!$F$18-SQRT((1-J1581)*(Inputs!$F$18-Inputs!$D$18)*(Inputs!$F$18-Inputs!$E$18)))</f>
        <v>0.997357170879309</v>
      </c>
      <c r="L1581" s="81" t="n">
        <f aca="true">RAND()</f>
        <v>0.538903564066482</v>
      </c>
      <c r="M1581" s="83" t="n">
        <f aca="false">IF(L1581&lt;(Inputs!$E$24-Inputs!$D$24)/(Inputs!$F$24-Inputs!$D$24),Inputs!$D$24+SQRT(L1581*(Inputs!$F$24-Inputs!$D$24)*(Inputs!$E$24-Inputs!$D$24)),Inputs!$F$24-SQRT((1-L1581)*(Inputs!$F$24-Inputs!$D$24)*(Inputs!$F$24-Inputs!$E$24)))</f>
        <v>0.867339295040661</v>
      </c>
      <c r="N1581" s="81" t="n">
        <f aca="true">RAND()</f>
        <v>0.09414873828389</v>
      </c>
      <c r="O1581" s="83" t="n">
        <f aca="false">IF(N1581&lt;(Inputs!$E$26-Inputs!$D$26)/(Inputs!$F$26-Inputs!$D$26),Inputs!$D$26+SQRT(N1581*(Inputs!$F$26-Inputs!$D$26)*(Inputs!$E$26-Inputs!$D$26)),Inputs!$F$26-SQRT((1-N1581)*(Inputs!$F$26-Inputs!$D$26)*(Inputs!$F$26-Inputs!$E$26)))</f>
        <v>0.425165290917408</v>
      </c>
      <c r="P1581" s="81" t="n">
        <f aca="true">RAND()</f>
        <v>0.823904805874502</v>
      </c>
      <c r="Q1581" s="82" t="n">
        <f aca="false">IF(P1581&lt;(Inputs!$E$27-Inputs!$D$27)/(Inputs!$F$27-Inputs!$D$27),Inputs!$D$27+SQRT(P1581*(Inputs!$F$27-Inputs!$D$27)*(Inputs!$E$27-Inputs!$D$27)),Inputs!$F$27-SQRT((1-P1581)*(Inputs!$F$27-Inputs!$D$27)*(Inputs!$F$27-Inputs!$E$27)))</f>
        <v>113.658371583799</v>
      </c>
      <c r="R1581" s="81" t="n">
        <f aca="true">RAND()</f>
        <v>0.0862800656868785</v>
      </c>
      <c r="S1581" s="82" t="n">
        <f aca="false">IF(R1581&lt;(Inputs!$E$29-Inputs!$D$29)/(Inputs!$F$29-Inputs!$D$29),Inputs!$D$29+SQRT(R1581*(Inputs!$F$29-Inputs!$D$29)*(Inputs!$E$29-Inputs!$D$29)),Inputs!$F$29-SQRT((1-R1581)*(Inputs!$F$29-Inputs!$D$29)*(Inputs!$F$29-Inputs!$E$29)))</f>
        <v>3.83437252535799</v>
      </c>
      <c r="T1581" s="68" t="n">
        <f aca="false">Inputs!$E$9*(1+E1581)+Inputs!$E$5*C1581*(Inputs!$E$11*Inputs!$E$14*(G1581*I1581/Inputs!$E$16+(1-G1581))*K1581+Inputs!$E$23*M1581)*(1+O1581)+Inputs!$E$5*(Q1581+S1581)</f>
        <v>6411.63438847944</v>
      </c>
    </row>
    <row r="1582" customFormat="false" ht="15" hidden="false" customHeight="false" outlineLevel="0" collapsed="false">
      <c r="A1582" s="1" t="n">
        <v>1578</v>
      </c>
      <c r="B1582" s="81" t="n">
        <f aca="true">RAND()</f>
        <v>0.686299306560333</v>
      </c>
      <c r="C1582" s="82" t="n">
        <f aca="false">ROUND(IF(B1582&lt;(Inputs!$E$8-Inputs!$D$8)/(Inputs!$F$8-Inputs!$D$8),Inputs!$D$8+SQRT(B1582*(Inputs!$F$8-Inputs!$D$8)*(Inputs!$E$8-Inputs!$D$8)),Inputs!$F$8-SQRT((1-B1582)*(Inputs!$F$8-Inputs!$D$8)*(Inputs!$F$8-Inputs!$E$8))),0)</f>
        <v>26</v>
      </c>
      <c r="D1582" s="81" t="n">
        <f aca="true">RAND()</f>
        <v>0.411587631498196</v>
      </c>
      <c r="E1582" s="83" t="n">
        <f aca="false">IF(D1582&lt;(Inputs!$E$10-Inputs!$D$10)/(Inputs!$F$10-Inputs!$D$10),Inputs!$D$10+SQRT(D1582*(Inputs!$F$10-Inputs!$D$10)*(Inputs!$E$10-Inputs!$D$10)),Inputs!$F$10-SQRT((1-D1582)*(Inputs!$F$10-Inputs!$D$10)*(Inputs!$F$10-Inputs!$E$10)))</f>
        <v>0.0671377741603953</v>
      </c>
      <c r="F1582" s="81" t="n">
        <f aca="true">RAND()</f>
        <v>0.481450742406806</v>
      </c>
      <c r="G1582" s="83" t="n">
        <f aca="false">IF(F1582&lt;(Inputs!$E$15-Inputs!$D$15)/(Inputs!$F$15-Inputs!$D$15),Inputs!$D$15+SQRT(F1582*(Inputs!$F$15-Inputs!$D$15)*(Inputs!$E$15-Inputs!$D$15)),Inputs!$F$15-SQRT((1-F1582)*(Inputs!$F$15-Inputs!$D$15)*(Inputs!$F$15-Inputs!$E$15)))</f>
        <v>0.698127543779186</v>
      </c>
      <c r="H1582" s="81" t="n">
        <f aca="true">RAND()</f>
        <v>0.912097371021358</v>
      </c>
      <c r="I1582" s="82" t="n">
        <f aca="false">ROUND(IF(H1582&lt;(Inputs!$E$17-Inputs!$D$17)/(Inputs!$F$17-Inputs!$D$17),Inputs!$D$17+SQRT(H1582*(Inputs!$F$17-Inputs!$D$17)*(Inputs!$E$17-Inputs!$D$17)),Inputs!$F$17-SQRT((1-H1582)*(Inputs!$F$17-Inputs!$D$17)*(Inputs!$F$17-Inputs!$E$17))),0)</f>
        <v>111</v>
      </c>
      <c r="J1582" s="81" t="n">
        <f aca="true">RAND()</f>
        <v>0.828895539063154</v>
      </c>
      <c r="K1582" s="83" t="n">
        <f aca="false">IF(J1582&lt;(Inputs!$E$18-Inputs!$D$18)/(Inputs!$F$18-Inputs!$D$18),Inputs!$D$18+SQRT(J1582*(Inputs!$F$18-Inputs!$D$18)*(Inputs!$E$18-Inputs!$D$18)),Inputs!$F$18-SQRT((1-J1582)*(Inputs!$F$18-Inputs!$D$18)*(Inputs!$F$18-Inputs!$E$18)))</f>
        <v>1.12764134549623</v>
      </c>
      <c r="L1582" s="81" t="n">
        <f aca="true">RAND()</f>
        <v>0.381816932351237</v>
      </c>
      <c r="M1582" s="83" t="n">
        <f aca="false">IF(L1582&lt;(Inputs!$E$24-Inputs!$D$24)/(Inputs!$F$24-Inputs!$D$24),Inputs!$D$24+SQRT(L1582*(Inputs!$F$24-Inputs!$D$24)*(Inputs!$E$24-Inputs!$D$24)),Inputs!$F$24-SQRT((1-L1582)*(Inputs!$F$24-Inputs!$D$24)*(Inputs!$F$24-Inputs!$E$24)))</f>
        <v>0.814819605592778</v>
      </c>
      <c r="N1582" s="81" t="n">
        <f aca="true">RAND()</f>
        <v>0.409369272257191</v>
      </c>
      <c r="O1582" s="83" t="n">
        <f aca="false">IF(N1582&lt;(Inputs!$E$26-Inputs!$D$26)/(Inputs!$F$26-Inputs!$D$26),Inputs!$D$26+SQRT(N1582*(Inputs!$F$26-Inputs!$D$26)*(Inputs!$E$26-Inputs!$D$26)),Inputs!$F$26-SQRT((1-N1582)*(Inputs!$F$26-Inputs!$D$26)*(Inputs!$F$26-Inputs!$E$26)))</f>
        <v>0.56099625840919</v>
      </c>
      <c r="P1582" s="81" t="n">
        <f aca="true">RAND()</f>
        <v>0.152287683530754</v>
      </c>
      <c r="Q1582" s="82" t="n">
        <f aca="false">IF(P1582&lt;(Inputs!$E$27-Inputs!$D$27)/(Inputs!$F$27-Inputs!$D$27),Inputs!$D$27+SQRT(P1582*(Inputs!$F$27-Inputs!$D$27)*(Inputs!$E$27-Inputs!$D$27)),Inputs!$F$27-SQRT((1-P1582)*(Inputs!$F$27-Inputs!$D$27)*(Inputs!$F$27-Inputs!$E$27)))</f>
        <v>69.5120272864427</v>
      </c>
      <c r="R1582" s="81" t="n">
        <f aca="true">RAND()</f>
        <v>0.510794667300127</v>
      </c>
      <c r="S1582" s="82" t="n">
        <f aca="false">IF(R1582&lt;(Inputs!$E$29-Inputs!$D$29)/(Inputs!$F$29-Inputs!$D$29),Inputs!$D$29+SQRT(R1582*(Inputs!$F$29-Inputs!$D$29)*(Inputs!$E$29-Inputs!$D$29)),Inputs!$F$29-SQRT((1-R1582)*(Inputs!$F$29-Inputs!$D$29)*(Inputs!$F$29-Inputs!$E$29)))</f>
        <v>7.02524650845034</v>
      </c>
      <c r="T1582" s="68" t="n">
        <f aca="false">Inputs!$E$9*(1+E1582)+Inputs!$E$5*C1582*(Inputs!$E$11*Inputs!$E$14*(G1582*I1582/Inputs!$E$16+(1-G1582))*K1582+Inputs!$E$23*M1582)*(1+O1582)+Inputs!$E$5*(Q1582+S1582)</f>
        <v>6449.72724717408</v>
      </c>
    </row>
    <row r="1583" customFormat="false" ht="15" hidden="false" customHeight="false" outlineLevel="0" collapsed="false">
      <c r="A1583" s="1" t="n">
        <v>1579</v>
      </c>
      <c r="B1583" s="81" t="n">
        <f aca="true">RAND()</f>
        <v>0.698419058977074</v>
      </c>
      <c r="C1583" s="82" t="n">
        <f aca="false">ROUND(IF(B1583&lt;(Inputs!$E$8-Inputs!$D$8)/(Inputs!$F$8-Inputs!$D$8),Inputs!$D$8+SQRT(B1583*(Inputs!$F$8-Inputs!$D$8)*(Inputs!$E$8-Inputs!$D$8)),Inputs!$F$8-SQRT((1-B1583)*(Inputs!$F$8-Inputs!$D$8)*(Inputs!$F$8-Inputs!$E$8))),0)</f>
        <v>26</v>
      </c>
      <c r="D1583" s="81" t="n">
        <f aca="true">RAND()</f>
        <v>0.896303553650379</v>
      </c>
      <c r="E1583" s="83" t="n">
        <f aca="false">IF(D1583&lt;(Inputs!$E$10-Inputs!$D$10)/(Inputs!$F$10-Inputs!$D$10),Inputs!$D$10+SQRT(D1583*(Inputs!$F$10-Inputs!$D$10)*(Inputs!$E$10-Inputs!$D$10)),Inputs!$F$10-SQRT((1-D1583)*(Inputs!$F$10-Inputs!$D$10)*(Inputs!$F$10-Inputs!$E$10)))</f>
        <v>0.144224616626251</v>
      </c>
      <c r="F1583" s="81" t="n">
        <f aca="true">RAND()</f>
        <v>0.240884678493021</v>
      </c>
      <c r="G1583" s="83" t="n">
        <f aca="false">IF(F1583&lt;(Inputs!$E$15-Inputs!$D$15)/(Inputs!$F$15-Inputs!$D$15),Inputs!$D$15+SQRT(F1583*(Inputs!$F$15-Inputs!$D$15)*(Inputs!$E$15-Inputs!$D$15)),Inputs!$F$15-SQRT((1-F1583)*(Inputs!$F$15-Inputs!$D$15)*(Inputs!$F$15-Inputs!$E$15)))</f>
        <v>0.669409607187049</v>
      </c>
      <c r="H1583" s="81" t="n">
        <f aca="true">RAND()</f>
        <v>0.593557372635956</v>
      </c>
      <c r="I1583" s="82" t="n">
        <f aca="false">ROUND(IF(H1583&lt;(Inputs!$E$17-Inputs!$D$17)/(Inputs!$F$17-Inputs!$D$17),Inputs!$D$17+SQRT(H1583*(Inputs!$F$17-Inputs!$D$17)*(Inputs!$E$17-Inputs!$D$17)),Inputs!$F$17-SQRT((1-H1583)*(Inputs!$F$17-Inputs!$D$17)*(Inputs!$F$17-Inputs!$E$17))),0)</f>
        <v>107</v>
      </c>
      <c r="J1583" s="81" t="n">
        <f aca="true">RAND()</f>
        <v>0.0817427182148106</v>
      </c>
      <c r="K1583" s="83" t="n">
        <f aca="false">IF(J1583&lt;(Inputs!$E$18-Inputs!$D$18)/(Inputs!$F$18-Inputs!$D$18),Inputs!$D$18+SQRT(J1583*(Inputs!$F$18-Inputs!$D$18)*(Inputs!$E$18-Inputs!$D$18)),Inputs!$F$18-SQRT((1-J1583)*(Inputs!$F$18-Inputs!$D$18)*(Inputs!$F$18-Inputs!$E$18)))</f>
        <v>0.953488271027566</v>
      </c>
      <c r="L1583" s="81" t="n">
        <f aca="true">RAND()</f>
        <v>0.769526578582464</v>
      </c>
      <c r="M1583" s="83" t="n">
        <f aca="false">IF(L1583&lt;(Inputs!$E$24-Inputs!$D$24)/(Inputs!$F$24-Inputs!$D$24),Inputs!$D$24+SQRT(L1583*(Inputs!$F$24-Inputs!$D$24)*(Inputs!$E$24-Inputs!$D$24)),Inputs!$F$24-SQRT((1-L1583)*(Inputs!$F$24-Inputs!$D$24)*(Inputs!$F$24-Inputs!$E$24)))</f>
        <v>0.964811519967051</v>
      </c>
      <c r="N1583" s="81" t="n">
        <f aca="true">RAND()</f>
        <v>0.825629972313825</v>
      </c>
      <c r="O1583" s="83" t="n">
        <f aca="false">IF(N1583&lt;(Inputs!$E$26-Inputs!$D$26)/(Inputs!$F$26-Inputs!$D$26),Inputs!$D$26+SQRT(N1583*(Inputs!$F$26-Inputs!$D$26)*(Inputs!$E$26-Inputs!$D$26)),Inputs!$F$26-SQRT((1-N1583)*(Inputs!$F$26-Inputs!$D$26)*(Inputs!$F$26-Inputs!$E$26)))</f>
        <v>0.685335665897157</v>
      </c>
      <c r="P1583" s="81" t="n">
        <f aca="true">RAND()</f>
        <v>0.25534511471217</v>
      </c>
      <c r="Q1583" s="82" t="n">
        <f aca="false">IF(P1583&lt;(Inputs!$E$27-Inputs!$D$27)/(Inputs!$F$27-Inputs!$D$27),Inputs!$D$27+SQRT(P1583*(Inputs!$F$27-Inputs!$D$27)*(Inputs!$E$27-Inputs!$D$27)),Inputs!$F$27-SQRT((1-P1583)*(Inputs!$F$27-Inputs!$D$27)*(Inputs!$F$27-Inputs!$E$27)))</f>
        <v>75.267733610851</v>
      </c>
      <c r="R1583" s="81" t="n">
        <f aca="true">RAND()</f>
        <v>0.624994820280616</v>
      </c>
      <c r="S1583" s="82" t="n">
        <f aca="false">IF(R1583&lt;(Inputs!$E$29-Inputs!$D$29)/(Inputs!$F$29-Inputs!$D$29),Inputs!$D$29+SQRT(R1583*(Inputs!$F$29-Inputs!$D$29)*(Inputs!$E$29-Inputs!$D$29)),Inputs!$F$29-SQRT((1-R1583)*(Inputs!$F$29-Inputs!$D$29)*(Inputs!$F$29-Inputs!$E$29)))</f>
        <v>8.01783175771881</v>
      </c>
      <c r="T1583" s="68" t="n">
        <f aca="false">Inputs!$E$9*(1+E1583)+Inputs!$E$5*C1583*(Inputs!$E$11*Inputs!$E$14*(G1583*I1583/Inputs!$E$16+(1-G1583))*K1583+Inputs!$E$23*M1583)*(1+O1583)+Inputs!$E$5*(Q1583+S1583)</f>
        <v>6750.44749960455</v>
      </c>
    </row>
    <row r="1584" customFormat="false" ht="15" hidden="false" customHeight="false" outlineLevel="0" collapsed="false">
      <c r="A1584" s="1" t="n">
        <v>1580</v>
      </c>
      <c r="B1584" s="81" t="n">
        <f aca="true">RAND()</f>
        <v>0.471353111542303</v>
      </c>
      <c r="C1584" s="82" t="n">
        <f aca="false">ROUND(IF(B1584&lt;(Inputs!$E$8-Inputs!$D$8)/(Inputs!$F$8-Inputs!$D$8),Inputs!$D$8+SQRT(B1584*(Inputs!$F$8-Inputs!$D$8)*(Inputs!$E$8-Inputs!$D$8)),Inputs!$F$8-SQRT((1-B1584)*(Inputs!$F$8-Inputs!$D$8)*(Inputs!$F$8-Inputs!$E$8))),0)</f>
        <v>25</v>
      </c>
      <c r="D1584" s="81" t="n">
        <f aca="true">RAND()</f>
        <v>0.751519694914677</v>
      </c>
      <c r="E1584" s="83" t="n">
        <f aca="false">IF(D1584&lt;(Inputs!$E$10-Inputs!$D$10)/(Inputs!$F$10-Inputs!$D$10),Inputs!$D$10+SQRT(D1584*(Inputs!$F$10-Inputs!$D$10)*(Inputs!$E$10-Inputs!$D$10)),Inputs!$F$10-SQRT((1-D1584)*(Inputs!$F$10-Inputs!$D$10)*(Inputs!$F$10-Inputs!$E$10)))</f>
        <v>0.113661079734805</v>
      </c>
      <c r="F1584" s="81" t="n">
        <f aca="true">RAND()</f>
        <v>0.678272275052371</v>
      </c>
      <c r="G1584" s="83" t="n">
        <f aca="false">IF(F1584&lt;(Inputs!$E$15-Inputs!$D$15)/(Inputs!$F$15-Inputs!$D$15),Inputs!$D$15+SQRT(F1584*(Inputs!$F$15-Inputs!$D$15)*(Inputs!$E$15-Inputs!$D$15)),Inputs!$F$15-SQRT((1-F1584)*(Inputs!$F$15-Inputs!$D$15)*(Inputs!$F$15-Inputs!$E$15)))</f>
        <v>0.719784325104425</v>
      </c>
      <c r="H1584" s="81" t="n">
        <f aca="true">RAND()</f>
        <v>0.627995433604691</v>
      </c>
      <c r="I1584" s="82" t="n">
        <f aca="false">ROUND(IF(H1584&lt;(Inputs!$E$17-Inputs!$D$17)/(Inputs!$F$17-Inputs!$D$17),Inputs!$D$17+SQRT(H1584*(Inputs!$F$17-Inputs!$D$17)*(Inputs!$E$17-Inputs!$D$17)),Inputs!$F$17-SQRT((1-H1584)*(Inputs!$F$17-Inputs!$D$17)*(Inputs!$F$17-Inputs!$E$17))),0)</f>
        <v>108</v>
      </c>
      <c r="J1584" s="81" t="n">
        <f aca="true">RAND()</f>
        <v>0.3767418224616</v>
      </c>
      <c r="K1584" s="83" t="n">
        <f aca="false">IF(J1584&lt;(Inputs!$E$18-Inputs!$D$18)/(Inputs!$F$18-Inputs!$D$18),Inputs!$D$18+SQRT(J1584*(Inputs!$F$18-Inputs!$D$18)*(Inputs!$E$18-Inputs!$D$18)),Inputs!$F$18-SQRT((1-J1584)*(Inputs!$F$18-Inputs!$D$18)*(Inputs!$F$18-Inputs!$E$18)))</f>
        <v>1.01647250582724</v>
      </c>
      <c r="L1584" s="81" t="n">
        <f aca="true">RAND()</f>
        <v>0.399795101528812</v>
      </c>
      <c r="M1584" s="83" t="n">
        <f aca="false">IF(L1584&lt;(Inputs!$E$24-Inputs!$D$24)/(Inputs!$F$24-Inputs!$D$24),Inputs!$D$24+SQRT(L1584*(Inputs!$F$24-Inputs!$D$24)*(Inputs!$E$24-Inputs!$D$24)),Inputs!$F$24-SQRT((1-L1584)*(Inputs!$F$24-Inputs!$D$24)*(Inputs!$F$24-Inputs!$E$24)))</f>
        <v>0.820461891724843</v>
      </c>
      <c r="N1584" s="81" t="n">
        <f aca="true">RAND()</f>
        <v>0.818883569440555</v>
      </c>
      <c r="O1584" s="83" t="n">
        <f aca="false">IF(N1584&lt;(Inputs!$E$26-Inputs!$D$26)/(Inputs!$F$26-Inputs!$D$26),Inputs!$D$26+SQRT(N1584*(Inputs!$F$26-Inputs!$D$26)*(Inputs!$E$26-Inputs!$D$26)),Inputs!$F$26-SQRT((1-N1584)*(Inputs!$F$26-Inputs!$D$26)*(Inputs!$F$26-Inputs!$E$26)))</f>
        <v>0.682755295992223</v>
      </c>
      <c r="P1584" s="81" t="n">
        <f aca="true">RAND()</f>
        <v>0.283126810138561</v>
      </c>
      <c r="Q1584" s="82" t="n">
        <f aca="false">IF(P1584&lt;(Inputs!$E$27-Inputs!$D$27)/(Inputs!$F$27-Inputs!$D$27),Inputs!$D$27+SQRT(P1584*(Inputs!$F$27-Inputs!$D$27)*(Inputs!$E$27-Inputs!$D$27)),Inputs!$F$27-SQRT((1-P1584)*(Inputs!$F$27-Inputs!$D$27)*(Inputs!$F$27-Inputs!$E$27)))</f>
        <v>76.6750456941104</v>
      </c>
      <c r="R1584" s="81" t="n">
        <f aca="true">RAND()</f>
        <v>0.69093359072093</v>
      </c>
      <c r="S1584" s="82" t="n">
        <f aca="false">IF(R1584&lt;(Inputs!$E$29-Inputs!$D$29)/(Inputs!$F$29-Inputs!$D$29),Inputs!$D$29+SQRT(R1584*(Inputs!$F$29-Inputs!$D$29)*(Inputs!$E$29-Inputs!$D$29)),Inputs!$F$29-SQRT((1-R1584)*(Inputs!$F$29-Inputs!$D$29)*(Inputs!$F$29-Inputs!$E$29)))</f>
        <v>8.66133821644671</v>
      </c>
      <c r="T1584" s="68" t="n">
        <f aca="false">Inputs!$E$9*(1+E1584)+Inputs!$E$5*C1584*(Inputs!$E$11*Inputs!$E$14*(G1584*I1584/Inputs!$E$16+(1-G1584))*K1584+Inputs!$E$23*M1584)*(1+O1584)+Inputs!$E$5*(Q1584+S1584)</f>
        <v>6413.8810784426</v>
      </c>
    </row>
    <row r="1585" customFormat="false" ht="15" hidden="false" customHeight="false" outlineLevel="0" collapsed="false">
      <c r="A1585" s="1" t="n">
        <v>1581</v>
      </c>
      <c r="B1585" s="81" t="n">
        <f aca="true">RAND()</f>
        <v>0.596983163021796</v>
      </c>
      <c r="C1585" s="82" t="n">
        <f aca="false">ROUND(IF(B1585&lt;(Inputs!$E$8-Inputs!$D$8)/(Inputs!$F$8-Inputs!$D$8),Inputs!$D$8+SQRT(B1585*(Inputs!$F$8-Inputs!$D$8)*(Inputs!$E$8-Inputs!$D$8)),Inputs!$F$8-SQRT((1-B1585)*(Inputs!$F$8-Inputs!$D$8)*(Inputs!$F$8-Inputs!$E$8))),0)</f>
        <v>26</v>
      </c>
      <c r="D1585" s="81" t="n">
        <f aca="true">RAND()</f>
        <v>0.411588425703752</v>
      </c>
      <c r="E1585" s="83" t="n">
        <f aca="false">IF(D1585&lt;(Inputs!$E$10-Inputs!$D$10)/(Inputs!$F$10-Inputs!$D$10),Inputs!$D$10+SQRT(D1585*(Inputs!$F$10-Inputs!$D$10)*(Inputs!$E$10-Inputs!$D$10)),Inputs!$F$10-SQRT((1-D1585)*(Inputs!$F$10-Inputs!$D$10)*(Inputs!$F$10-Inputs!$E$10)))</f>
        <v>0.0671378638253643</v>
      </c>
      <c r="F1585" s="81" t="n">
        <f aca="true">RAND()</f>
        <v>0.708599112970036</v>
      </c>
      <c r="G1585" s="83" t="n">
        <f aca="false">IF(F1585&lt;(Inputs!$E$15-Inputs!$D$15)/(Inputs!$F$15-Inputs!$D$15),Inputs!$D$15+SQRT(F1585*(Inputs!$F$15-Inputs!$D$15)*(Inputs!$E$15-Inputs!$D$15)),Inputs!$F$15-SQRT((1-F1585)*(Inputs!$F$15-Inputs!$D$15)*(Inputs!$F$15-Inputs!$E$15)))</f>
        <v>0.723658545071506</v>
      </c>
      <c r="H1585" s="81" t="n">
        <f aca="true">RAND()</f>
        <v>0.560262986664134</v>
      </c>
      <c r="I1585" s="82" t="n">
        <f aca="false">ROUND(IF(H1585&lt;(Inputs!$E$17-Inputs!$D$17)/(Inputs!$F$17-Inputs!$D$17),Inputs!$D$17+SQRT(H1585*(Inputs!$F$17-Inputs!$D$17)*(Inputs!$E$17-Inputs!$D$17)),Inputs!$F$17-SQRT((1-H1585)*(Inputs!$F$17-Inputs!$D$17)*(Inputs!$F$17-Inputs!$E$17))),0)</f>
        <v>107</v>
      </c>
      <c r="J1585" s="81" t="n">
        <f aca="true">RAND()</f>
        <v>0.0721368615256804</v>
      </c>
      <c r="K1585" s="83" t="n">
        <f aca="false">IF(J1585&lt;(Inputs!$E$18-Inputs!$D$18)/(Inputs!$F$18-Inputs!$D$18),Inputs!$D$18+SQRT(J1585*(Inputs!$F$18-Inputs!$D$18)*(Inputs!$E$18-Inputs!$D$18)),Inputs!$F$18-SQRT((1-J1585)*(Inputs!$F$18-Inputs!$D$18)*(Inputs!$F$18-Inputs!$E$18)))</f>
        <v>0.950247290010495</v>
      </c>
      <c r="L1585" s="81" t="n">
        <f aca="true">RAND()</f>
        <v>0.384210179496666</v>
      </c>
      <c r="M1585" s="83" t="n">
        <f aca="false">IF(L1585&lt;(Inputs!$E$24-Inputs!$D$24)/(Inputs!$F$24-Inputs!$D$24),Inputs!$D$24+SQRT(L1585*(Inputs!$F$24-Inputs!$D$24)*(Inputs!$E$24-Inputs!$D$24)),Inputs!$F$24-SQRT((1-L1585)*(Inputs!$F$24-Inputs!$D$24)*(Inputs!$F$24-Inputs!$E$24)))</f>
        <v>0.815565926431072</v>
      </c>
      <c r="N1585" s="81" t="n">
        <f aca="true">RAND()</f>
        <v>0.646543571363387</v>
      </c>
      <c r="O1585" s="83" t="n">
        <f aca="false">IF(N1585&lt;(Inputs!$E$26-Inputs!$D$26)/(Inputs!$F$26-Inputs!$D$26),Inputs!$D$26+SQRT(N1585*(Inputs!$F$26-Inputs!$D$26)*(Inputs!$E$26-Inputs!$D$26)),Inputs!$F$26-SQRT((1-N1585)*(Inputs!$F$26-Inputs!$D$26)*(Inputs!$F$26-Inputs!$E$26)))</f>
        <v>0.628272410492888</v>
      </c>
      <c r="P1585" s="81" t="n">
        <f aca="true">RAND()</f>
        <v>0.554971680874562</v>
      </c>
      <c r="Q1585" s="82" t="n">
        <f aca="false">IF(P1585&lt;(Inputs!$E$27-Inputs!$D$27)/(Inputs!$F$27-Inputs!$D$27),Inputs!$D$27+SQRT(P1585*(Inputs!$F$27-Inputs!$D$27)*(Inputs!$E$27-Inputs!$D$27)),Inputs!$F$27-SQRT((1-P1585)*(Inputs!$F$27-Inputs!$D$27)*(Inputs!$F$27-Inputs!$E$27)))</f>
        <v>92.2270617551713</v>
      </c>
      <c r="R1585" s="81" t="n">
        <f aca="true">RAND()</f>
        <v>0.0763177419229872</v>
      </c>
      <c r="S1585" s="82" t="n">
        <f aca="false">IF(R1585&lt;(Inputs!$E$29-Inputs!$D$29)/(Inputs!$F$29-Inputs!$D$29),Inputs!$D$29+SQRT(R1585*(Inputs!$F$29-Inputs!$D$29)*(Inputs!$E$29-Inputs!$D$29)),Inputs!$F$29-SQRT((1-R1585)*(Inputs!$F$29-Inputs!$D$29)*(Inputs!$F$29-Inputs!$E$29)))</f>
        <v>3.72522228567698</v>
      </c>
      <c r="T1585" s="68" t="n">
        <f aca="false">Inputs!$E$9*(1+E1585)+Inputs!$E$5*C1585*(Inputs!$E$11*Inputs!$E$14*(G1585*I1585/Inputs!$E$16+(1-G1585))*K1585+Inputs!$E$23*M1585)*(1+O1585)+Inputs!$E$5*(Q1585+S1585)</f>
        <v>6211.25695257342</v>
      </c>
    </row>
    <row r="1586" customFormat="false" ht="15" hidden="false" customHeight="false" outlineLevel="0" collapsed="false">
      <c r="A1586" s="1" t="n">
        <v>1582</v>
      </c>
      <c r="B1586" s="81" t="n">
        <f aca="true">RAND()</f>
        <v>0.639732784051551</v>
      </c>
      <c r="C1586" s="82" t="n">
        <f aca="false">ROUND(IF(B1586&lt;(Inputs!$E$8-Inputs!$D$8)/(Inputs!$F$8-Inputs!$D$8),Inputs!$D$8+SQRT(B1586*(Inputs!$F$8-Inputs!$D$8)*(Inputs!$E$8-Inputs!$D$8)),Inputs!$F$8-SQRT((1-B1586)*(Inputs!$F$8-Inputs!$D$8)*(Inputs!$F$8-Inputs!$E$8))),0)</f>
        <v>26</v>
      </c>
      <c r="D1586" s="81" t="n">
        <f aca="true">RAND()</f>
        <v>0.470003433432116</v>
      </c>
      <c r="E1586" s="83" t="n">
        <f aca="false">IF(D1586&lt;(Inputs!$E$10-Inputs!$D$10)/(Inputs!$F$10-Inputs!$D$10),Inputs!$D$10+SQRT(D1586*(Inputs!$F$10-Inputs!$D$10)*(Inputs!$E$10-Inputs!$D$10)),Inputs!$F$10-SQRT((1-D1586)*(Inputs!$F$10-Inputs!$D$10)*(Inputs!$F$10-Inputs!$E$10)))</f>
        <v>0.0739052063047942</v>
      </c>
      <c r="F1586" s="81" t="n">
        <f aca="true">RAND()</f>
        <v>0.990447362331838</v>
      </c>
      <c r="G1586" s="83" t="n">
        <f aca="false">IF(F1586&lt;(Inputs!$E$15-Inputs!$D$15)/(Inputs!$F$15-Inputs!$D$15),Inputs!$D$15+SQRT(F1586*(Inputs!$F$15-Inputs!$D$15)*(Inputs!$E$15-Inputs!$D$15)),Inputs!$F$15-SQRT((1-F1586)*(Inputs!$F$15-Inputs!$D$15)*(Inputs!$F$15-Inputs!$E$15)))</f>
        <v>0.78617781662098</v>
      </c>
      <c r="H1586" s="81" t="n">
        <f aca="true">RAND()</f>
        <v>0.642742065293767</v>
      </c>
      <c r="I1586" s="82" t="n">
        <f aca="false">ROUND(IF(H1586&lt;(Inputs!$E$17-Inputs!$D$17)/(Inputs!$F$17-Inputs!$D$17),Inputs!$D$17+SQRT(H1586*(Inputs!$F$17-Inputs!$D$17)*(Inputs!$E$17-Inputs!$D$17)),Inputs!$F$17-SQRT((1-H1586)*(Inputs!$F$17-Inputs!$D$17)*(Inputs!$F$17-Inputs!$E$17))),0)</f>
        <v>108</v>
      </c>
      <c r="J1586" s="81" t="n">
        <f aca="true">RAND()</f>
        <v>0.355388516370537</v>
      </c>
      <c r="K1586" s="83" t="n">
        <f aca="false">IF(J1586&lt;(Inputs!$E$18-Inputs!$D$18)/(Inputs!$F$18-Inputs!$D$18),Inputs!$D$18+SQRT(J1586*(Inputs!$F$18-Inputs!$D$18)*(Inputs!$E$18-Inputs!$D$18)),Inputs!$F$18-SQRT((1-J1586)*(Inputs!$F$18-Inputs!$D$18)*(Inputs!$F$18-Inputs!$E$18)))</f>
        <v>1.01250577940173</v>
      </c>
      <c r="L1586" s="81" t="n">
        <f aca="true">RAND()</f>
        <v>0.573511922546142</v>
      </c>
      <c r="M1586" s="83" t="n">
        <f aca="false">IF(L1586&lt;(Inputs!$E$24-Inputs!$D$24)/(Inputs!$F$24-Inputs!$D$24),Inputs!$D$24+SQRT(L1586*(Inputs!$F$24-Inputs!$D$24)*(Inputs!$E$24-Inputs!$D$24)),Inputs!$F$24-SQRT((1-L1586)*(Inputs!$F$24-Inputs!$D$24)*(Inputs!$F$24-Inputs!$E$24)))</f>
        <v>0.880066977964253</v>
      </c>
      <c r="N1586" s="81" t="n">
        <f aca="true">RAND()</f>
        <v>0.360427897418724</v>
      </c>
      <c r="O1586" s="83" t="n">
        <f aca="false">IF(N1586&lt;(Inputs!$E$26-Inputs!$D$26)/(Inputs!$F$26-Inputs!$D$26),Inputs!$D$26+SQRT(N1586*(Inputs!$F$26-Inputs!$D$26)*(Inputs!$E$26-Inputs!$D$26)),Inputs!$F$26-SQRT((1-N1586)*(Inputs!$F$26-Inputs!$D$26)*(Inputs!$F$26-Inputs!$E$26)))</f>
        <v>0.544898350607912</v>
      </c>
      <c r="P1586" s="81" t="n">
        <f aca="true">RAND()</f>
        <v>0.39458311086627</v>
      </c>
      <c r="Q1586" s="82" t="n">
        <f aca="false">IF(P1586&lt;(Inputs!$E$27-Inputs!$D$27)/(Inputs!$F$27-Inputs!$D$27),Inputs!$D$27+SQRT(P1586*(Inputs!$F$27-Inputs!$D$27)*(Inputs!$E$27-Inputs!$D$27)),Inputs!$F$27-SQRT((1-P1586)*(Inputs!$F$27-Inputs!$D$27)*(Inputs!$F$27-Inputs!$E$27)))</f>
        <v>82.6158277597553</v>
      </c>
      <c r="R1586" s="81" t="n">
        <f aca="true">RAND()</f>
        <v>0.936105069831631</v>
      </c>
      <c r="S1586" s="82" t="n">
        <f aca="false">IF(R1586&lt;(Inputs!$E$29-Inputs!$D$29)/(Inputs!$F$29-Inputs!$D$29),Inputs!$D$29+SQRT(R1586*(Inputs!$F$29-Inputs!$D$29)*(Inputs!$E$29-Inputs!$D$29)),Inputs!$F$29-SQRT((1-R1586)*(Inputs!$F$29-Inputs!$D$29)*(Inputs!$F$29-Inputs!$E$29)))</f>
        <v>12.117927668866</v>
      </c>
      <c r="T1586" s="68" t="n">
        <f aca="false">Inputs!$E$9*(1+E1586)+Inputs!$E$5*C1586*(Inputs!$E$11*Inputs!$E$14*(G1586*I1586/Inputs!$E$16+(1-G1586))*K1586+Inputs!$E$23*M1586)*(1+O1586)+Inputs!$E$5*(Q1586+S1586)</f>
        <v>6203.7348689423</v>
      </c>
    </row>
    <row r="1587" customFormat="false" ht="15" hidden="false" customHeight="false" outlineLevel="0" collapsed="false">
      <c r="A1587" s="1" t="n">
        <v>1583</v>
      </c>
      <c r="B1587" s="81" t="n">
        <f aca="true">RAND()</f>
        <v>0.798976858028341</v>
      </c>
      <c r="C1587" s="82" t="n">
        <f aca="false">ROUND(IF(B1587&lt;(Inputs!$E$8-Inputs!$D$8)/(Inputs!$F$8-Inputs!$D$8),Inputs!$D$8+SQRT(B1587*(Inputs!$F$8-Inputs!$D$8)*(Inputs!$E$8-Inputs!$D$8)),Inputs!$F$8-SQRT((1-B1587)*(Inputs!$F$8-Inputs!$D$8)*(Inputs!$F$8-Inputs!$E$8))),0)</f>
        <v>27</v>
      </c>
      <c r="D1587" s="81" t="n">
        <f aca="true">RAND()</f>
        <v>0.49711741053176</v>
      </c>
      <c r="E1587" s="83" t="n">
        <f aca="false">IF(D1587&lt;(Inputs!$E$10-Inputs!$D$10)/(Inputs!$F$10-Inputs!$D$10),Inputs!$D$10+SQRT(D1587*(Inputs!$F$10-Inputs!$D$10)*(Inputs!$E$10-Inputs!$D$10)),Inputs!$F$10-SQRT((1-D1587)*(Inputs!$F$10-Inputs!$D$10)*(Inputs!$F$10-Inputs!$E$10)))</f>
        <v>0.0771729765725506</v>
      </c>
      <c r="F1587" s="81" t="n">
        <f aca="true">RAND()</f>
        <v>0.643338193718968</v>
      </c>
      <c r="G1587" s="83" t="n">
        <f aca="false">IF(F1587&lt;(Inputs!$E$15-Inputs!$D$15)/(Inputs!$F$15-Inputs!$D$15),Inputs!$D$15+SQRT(F1587*(Inputs!$F$15-Inputs!$D$15)*(Inputs!$E$15-Inputs!$D$15)),Inputs!$F$15-SQRT((1-F1587)*(Inputs!$F$15-Inputs!$D$15)*(Inputs!$F$15-Inputs!$E$15)))</f>
        <v>0.715541512412188</v>
      </c>
      <c r="H1587" s="81" t="n">
        <f aca="true">RAND()</f>
        <v>0.496702532454361</v>
      </c>
      <c r="I1587" s="82" t="n">
        <f aca="false">ROUND(IF(H1587&lt;(Inputs!$E$17-Inputs!$D$17)/(Inputs!$F$17-Inputs!$D$17),Inputs!$D$17+SQRT(H1587*(Inputs!$F$17-Inputs!$D$17)*(Inputs!$E$17-Inputs!$D$17)),Inputs!$F$17-SQRT((1-H1587)*(Inputs!$F$17-Inputs!$D$17)*(Inputs!$F$17-Inputs!$E$17))),0)</f>
        <v>106</v>
      </c>
      <c r="J1587" s="81" t="n">
        <f aca="true">RAND()</f>
        <v>0.982902577160162</v>
      </c>
      <c r="K1587" s="83" t="n">
        <f aca="false">IF(J1587&lt;(Inputs!$E$18-Inputs!$D$18)/(Inputs!$F$18-Inputs!$D$18),Inputs!$D$18+SQRT(J1587*(Inputs!$F$18-Inputs!$D$18)*(Inputs!$E$18-Inputs!$D$18)),Inputs!$F$18-SQRT((1-J1587)*(Inputs!$F$18-Inputs!$D$18)*(Inputs!$F$18-Inputs!$E$18)))</f>
        <v>1.21132152409303</v>
      </c>
      <c r="L1587" s="81" t="n">
        <f aca="true">RAND()</f>
        <v>0.271708783882886</v>
      </c>
      <c r="M1587" s="83" t="n">
        <f aca="false">IF(L1587&lt;(Inputs!$E$24-Inputs!$D$24)/(Inputs!$F$24-Inputs!$D$24),Inputs!$D$24+SQRT(L1587*(Inputs!$F$24-Inputs!$D$24)*(Inputs!$E$24-Inputs!$D$24)),Inputs!$F$24-SQRT((1-L1587)*(Inputs!$F$24-Inputs!$D$24)*(Inputs!$F$24-Inputs!$E$24)))</f>
        <v>0.780568696251444</v>
      </c>
      <c r="N1587" s="81" t="n">
        <f aca="true">RAND()</f>
        <v>0.763742374579488</v>
      </c>
      <c r="O1587" s="83" t="n">
        <f aca="false">IF(N1587&lt;(Inputs!$E$26-Inputs!$D$26)/(Inputs!$F$26-Inputs!$D$26),Inputs!$D$26+SQRT(N1587*(Inputs!$F$26-Inputs!$D$26)*(Inputs!$E$26-Inputs!$D$26)),Inputs!$F$26-SQRT((1-N1587)*(Inputs!$F$26-Inputs!$D$26)*(Inputs!$F$26-Inputs!$E$26)))</f>
        <v>0.663249264615016</v>
      </c>
      <c r="P1587" s="81" t="n">
        <f aca="true">RAND()</f>
        <v>0.826373930529284</v>
      </c>
      <c r="Q1587" s="82" t="n">
        <f aca="false">IF(P1587&lt;(Inputs!$E$27-Inputs!$D$27)/(Inputs!$F$27-Inputs!$D$27),Inputs!$D$27+SQRT(P1587*(Inputs!$F$27-Inputs!$D$27)*(Inputs!$E$27-Inputs!$D$27)),Inputs!$F$27-SQRT((1-P1587)*(Inputs!$F$27-Inputs!$D$27)*(Inputs!$F$27-Inputs!$E$27)))</f>
        <v>113.914053690801</v>
      </c>
      <c r="R1587" s="81" t="n">
        <f aca="true">RAND()</f>
        <v>0.0102620234566053</v>
      </c>
      <c r="S1587" s="82" t="n">
        <f aca="false">IF(R1587&lt;(Inputs!$E$29-Inputs!$D$29)/(Inputs!$F$29-Inputs!$D$29),Inputs!$D$29+SQRT(R1587*(Inputs!$F$29-Inputs!$D$29)*(Inputs!$E$29-Inputs!$D$29)),Inputs!$F$29-SQRT((1-R1587)*(Inputs!$F$29-Inputs!$D$29)*(Inputs!$F$29-Inputs!$E$29)))</f>
        <v>2.63262857571217</v>
      </c>
      <c r="T1587" s="68" t="n">
        <f aca="false">Inputs!$E$9*(1+E1587)+Inputs!$E$5*C1587*(Inputs!$E$11*Inputs!$E$14*(G1587*I1587/Inputs!$E$16+(1-G1587))*K1587+Inputs!$E$23*M1587)*(1+O1587)+Inputs!$E$5*(Q1587+S1587)</f>
        <v>7111.46219784275</v>
      </c>
    </row>
    <row r="1588" customFormat="false" ht="15" hidden="false" customHeight="false" outlineLevel="0" collapsed="false">
      <c r="A1588" s="1" t="n">
        <v>1584</v>
      </c>
      <c r="B1588" s="81" t="n">
        <f aca="true">RAND()</f>
        <v>0.997315606883634</v>
      </c>
      <c r="C1588" s="82" t="n">
        <f aca="false">ROUND(IF(B1588&lt;(Inputs!$E$8-Inputs!$D$8)/(Inputs!$F$8-Inputs!$D$8),Inputs!$D$8+SQRT(B1588*(Inputs!$F$8-Inputs!$D$8)*(Inputs!$E$8-Inputs!$D$8)),Inputs!$F$8-SQRT((1-B1588)*(Inputs!$F$8-Inputs!$D$8)*(Inputs!$F$8-Inputs!$E$8))),0)</f>
        <v>30</v>
      </c>
      <c r="D1588" s="81" t="n">
        <f aca="true">RAND()</f>
        <v>0.637348564256054</v>
      </c>
      <c r="E1588" s="83" t="n">
        <f aca="false">IF(D1588&lt;(Inputs!$E$10-Inputs!$D$10)/(Inputs!$F$10-Inputs!$D$10),Inputs!$D$10+SQRT(D1588*(Inputs!$F$10-Inputs!$D$10)*(Inputs!$E$10-Inputs!$D$10)),Inputs!$F$10-SQRT((1-D1588)*(Inputs!$F$10-Inputs!$D$10)*(Inputs!$F$10-Inputs!$E$10)))</f>
        <v>0.0956949518368436</v>
      </c>
      <c r="F1588" s="81" t="n">
        <f aca="true">RAND()</f>
        <v>0.316879377182185</v>
      </c>
      <c r="G1588" s="83" t="n">
        <f aca="false">IF(F1588&lt;(Inputs!$E$15-Inputs!$D$15)/(Inputs!$F$15-Inputs!$D$15),Inputs!$D$15+SQRT(F1588*(Inputs!$F$15-Inputs!$D$15)*(Inputs!$E$15-Inputs!$D$15)),Inputs!$F$15-SQRT((1-F1588)*(Inputs!$F$15-Inputs!$D$15)*(Inputs!$F$15-Inputs!$E$15)))</f>
        <v>0.679608966477676</v>
      </c>
      <c r="H1588" s="81" t="n">
        <f aca="true">RAND()</f>
        <v>0.133015097132268</v>
      </c>
      <c r="I1588" s="82" t="n">
        <f aca="false">ROUND(IF(H1588&lt;(Inputs!$E$17-Inputs!$D$17)/(Inputs!$F$17-Inputs!$D$17),Inputs!$D$17+SQRT(H1588*(Inputs!$F$17-Inputs!$D$17)*(Inputs!$E$17-Inputs!$D$17)),Inputs!$F$17-SQRT((1-H1588)*(Inputs!$F$17-Inputs!$D$17)*(Inputs!$F$17-Inputs!$E$17))),0)</f>
        <v>103</v>
      </c>
      <c r="J1588" s="81" t="n">
        <f aca="true">RAND()</f>
        <v>0.250200888246122</v>
      </c>
      <c r="K1588" s="83" t="n">
        <f aca="false">IF(J1588&lt;(Inputs!$E$18-Inputs!$D$18)/(Inputs!$F$18-Inputs!$D$18),Inputs!$D$18+SQRT(J1588*(Inputs!$F$18-Inputs!$D$18)*(Inputs!$E$18-Inputs!$D$18)),Inputs!$F$18-SQRT((1-J1588)*(Inputs!$F$18-Inputs!$D$18)*(Inputs!$F$18-Inputs!$E$18)))</f>
        <v>0.993579009871949</v>
      </c>
      <c r="L1588" s="81" t="n">
        <f aca="true">RAND()</f>
        <v>0.6823088987598</v>
      </c>
      <c r="M1588" s="83" t="n">
        <f aca="false">IF(L1588&lt;(Inputs!$E$24-Inputs!$D$24)/(Inputs!$F$24-Inputs!$D$24),Inputs!$D$24+SQRT(L1588*(Inputs!$F$24-Inputs!$D$24)*(Inputs!$E$24-Inputs!$D$24)),Inputs!$F$24-SQRT((1-L1588)*(Inputs!$F$24-Inputs!$D$24)*(Inputs!$F$24-Inputs!$E$24)))</f>
        <v>0.923873463249821</v>
      </c>
      <c r="N1588" s="81" t="n">
        <f aca="true">RAND()</f>
        <v>0.816936849100343</v>
      </c>
      <c r="O1588" s="83" t="n">
        <f aca="false">IF(N1588&lt;(Inputs!$E$26-Inputs!$D$26)/(Inputs!$F$26-Inputs!$D$26),Inputs!$D$26+SQRT(N1588*(Inputs!$F$26-Inputs!$D$26)*(Inputs!$E$26-Inputs!$D$26)),Inputs!$F$26-SQRT((1-N1588)*(Inputs!$F$26-Inputs!$D$26)*(Inputs!$F$26-Inputs!$E$26)))</f>
        <v>0.682019683673488</v>
      </c>
      <c r="P1588" s="81" t="n">
        <f aca="true">RAND()</f>
        <v>0.030724987967445</v>
      </c>
      <c r="Q1588" s="82" t="n">
        <f aca="false">IF(P1588&lt;(Inputs!$E$27-Inputs!$D$27)/(Inputs!$F$27-Inputs!$D$27),Inputs!$D$27+SQRT(P1588*(Inputs!$F$27-Inputs!$D$27)*(Inputs!$E$27-Inputs!$D$27)),Inputs!$F$27-SQRT((1-P1588)*(Inputs!$F$27-Inputs!$D$27)*(Inputs!$F$27-Inputs!$E$27)))</f>
        <v>58.764272355342</v>
      </c>
      <c r="R1588" s="81" t="n">
        <f aca="true">RAND()</f>
        <v>0.988757068838964</v>
      </c>
      <c r="S1588" s="82" t="n">
        <f aca="false">IF(R1588&lt;(Inputs!$E$29-Inputs!$D$29)/(Inputs!$F$29-Inputs!$D$29),Inputs!$D$29+SQRT(R1588*(Inputs!$F$29-Inputs!$D$29)*(Inputs!$E$29-Inputs!$D$29)),Inputs!$F$29-SQRT((1-R1588)*(Inputs!$F$29-Inputs!$D$29)*(Inputs!$F$29-Inputs!$E$29)))</f>
        <v>13.7910413361348</v>
      </c>
      <c r="T1588" s="68" t="n">
        <f aca="false">Inputs!$E$9*(1+E1588)+Inputs!$E$5*C1588*(Inputs!$E$11*Inputs!$E$14*(G1588*I1588/Inputs!$E$16+(1-G1588))*K1588+Inputs!$E$23*M1588)*(1+O1588)+Inputs!$E$5*(Q1588+S1588)</f>
        <v>7133.39143162387</v>
      </c>
    </row>
    <row r="1589" customFormat="false" ht="15" hidden="false" customHeight="false" outlineLevel="0" collapsed="false">
      <c r="A1589" s="1" t="n">
        <v>1585</v>
      </c>
      <c r="B1589" s="81" t="n">
        <f aca="true">RAND()</f>
        <v>0.512506610369889</v>
      </c>
      <c r="C1589" s="82" t="n">
        <f aca="false">ROUND(IF(B1589&lt;(Inputs!$E$8-Inputs!$D$8)/(Inputs!$F$8-Inputs!$D$8),Inputs!$D$8+SQRT(B1589*(Inputs!$F$8-Inputs!$D$8)*(Inputs!$E$8-Inputs!$D$8)),Inputs!$F$8-SQRT((1-B1589)*(Inputs!$F$8-Inputs!$D$8)*(Inputs!$F$8-Inputs!$E$8))),0)</f>
        <v>25</v>
      </c>
      <c r="D1589" s="81" t="n">
        <f aca="true">RAND()</f>
        <v>0.675662105044124</v>
      </c>
      <c r="E1589" s="83" t="n">
        <f aca="false">IF(D1589&lt;(Inputs!$E$10-Inputs!$D$10)/(Inputs!$F$10-Inputs!$D$10),Inputs!$D$10+SQRT(D1589*(Inputs!$F$10-Inputs!$D$10)*(Inputs!$E$10-Inputs!$D$10)),Inputs!$F$10-SQRT((1-D1589)*(Inputs!$F$10-Inputs!$D$10)*(Inputs!$F$10-Inputs!$E$10)))</f>
        <v>0.101358543965145</v>
      </c>
      <c r="F1589" s="81" t="n">
        <f aca="true">RAND()</f>
        <v>0.377913344517492</v>
      </c>
      <c r="G1589" s="83" t="n">
        <f aca="false">IF(F1589&lt;(Inputs!$E$15-Inputs!$D$15)/(Inputs!$F$15-Inputs!$D$15),Inputs!$D$15+SQRT(F1589*(Inputs!$F$15-Inputs!$D$15)*(Inputs!$E$15-Inputs!$D$15)),Inputs!$F$15-SQRT((1-F1589)*(Inputs!$F$15-Inputs!$D$15)*(Inputs!$F$15-Inputs!$E$15)))</f>
        <v>0.686938293578548</v>
      </c>
      <c r="H1589" s="81" t="n">
        <f aca="true">RAND()</f>
        <v>0.997217463086673</v>
      </c>
      <c r="I1589" s="82" t="n">
        <f aca="false">ROUND(IF(H1589&lt;(Inputs!$E$17-Inputs!$D$17)/(Inputs!$F$17-Inputs!$D$17),Inputs!$D$17+SQRT(H1589*(Inputs!$F$17-Inputs!$D$17)*(Inputs!$E$17-Inputs!$D$17)),Inputs!$F$17-SQRT((1-H1589)*(Inputs!$F$17-Inputs!$D$17)*(Inputs!$F$17-Inputs!$E$17))),0)</f>
        <v>114</v>
      </c>
      <c r="J1589" s="81" t="n">
        <f aca="true">RAND()</f>
        <v>0.818652174307789</v>
      </c>
      <c r="K1589" s="83" t="n">
        <f aca="false">IF(J1589&lt;(Inputs!$E$18-Inputs!$D$18)/(Inputs!$F$18-Inputs!$D$18),Inputs!$D$18+SQRT(J1589*(Inputs!$F$18-Inputs!$D$18)*(Inputs!$E$18-Inputs!$D$18)),Inputs!$F$18-SQRT((1-J1589)*(Inputs!$F$18-Inputs!$D$18)*(Inputs!$F$18-Inputs!$E$18)))</f>
        <v>1.12403200903377</v>
      </c>
      <c r="L1589" s="81" t="n">
        <f aca="true">RAND()</f>
        <v>0.0236069891786344</v>
      </c>
      <c r="M1589" s="83" t="n">
        <f aca="false">IF(L1589&lt;(Inputs!$E$24-Inputs!$D$24)/(Inputs!$F$24-Inputs!$D$24),Inputs!$D$24+SQRT(L1589*(Inputs!$F$24-Inputs!$D$24)*(Inputs!$E$24-Inputs!$D$24)),Inputs!$F$24-SQRT((1-L1589)*(Inputs!$F$24-Inputs!$D$24)*(Inputs!$F$24-Inputs!$E$24)))</f>
        <v>0.653224418281801</v>
      </c>
      <c r="N1589" s="81" t="n">
        <f aca="true">RAND()</f>
        <v>0.809781084413006</v>
      </c>
      <c r="O1589" s="83" t="n">
        <f aca="false">IF(N1589&lt;(Inputs!$E$26-Inputs!$D$26)/(Inputs!$F$26-Inputs!$D$26),Inputs!$D$26+SQRT(N1589*(Inputs!$F$26-Inputs!$D$26)*(Inputs!$E$26-Inputs!$D$26)),Inputs!$F$26-SQRT((1-N1589)*(Inputs!$F$26-Inputs!$D$26)*(Inputs!$F$26-Inputs!$E$26)))</f>
        <v>0.679348774548362</v>
      </c>
      <c r="P1589" s="81" t="n">
        <f aca="true">RAND()</f>
        <v>0.133990215240626</v>
      </c>
      <c r="Q1589" s="82" t="n">
        <f aca="false">IF(P1589&lt;(Inputs!$E$27-Inputs!$D$27)/(Inputs!$F$27-Inputs!$D$27),Inputs!$D$27+SQRT(P1589*(Inputs!$F$27-Inputs!$D$27)*(Inputs!$E$27-Inputs!$D$27)),Inputs!$F$27-SQRT((1-P1589)*(Inputs!$F$27-Inputs!$D$27)*(Inputs!$F$27-Inputs!$E$27)))</f>
        <v>68.3023369573824</v>
      </c>
      <c r="R1589" s="81" t="n">
        <f aca="true">RAND()</f>
        <v>0.497185902520067</v>
      </c>
      <c r="S1589" s="82" t="n">
        <f aca="false">IF(R1589&lt;(Inputs!$E$29-Inputs!$D$29)/(Inputs!$F$29-Inputs!$D$29),Inputs!$D$29+SQRT(R1589*(Inputs!$F$29-Inputs!$D$29)*(Inputs!$E$29-Inputs!$D$29)),Inputs!$F$29-SQRT((1-R1589)*(Inputs!$F$29-Inputs!$D$29)*(Inputs!$F$29-Inputs!$E$29)))</f>
        <v>6.91508610606203</v>
      </c>
      <c r="T1589" s="68" t="n">
        <f aca="false">Inputs!$E$9*(1+E1589)+Inputs!$E$5*C1589*(Inputs!$E$11*Inputs!$E$14*(G1589*I1589/Inputs!$E$16+(1-G1589))*K1589+Inputs!$E$23*M1589)*(1+O1589)+Inputs!$E$5*(Q1589+S1589)</f>
        <v>6452.97752686883</v>
      </c>
    </row>
    <row r="1590" customFormat="false" ht="15" hidden="false" customHeight="false" outlineLevel="0" collapsed="false">
      <c r="A1590" s="1" t="n">
        <v>1586</v>
      </c>
      <c r="B1590" s="81" t="n">
        <f aca="true">RAND()</f>
        <v>0.821174086213507</v>
      </c>
      <c r="C1590" s="82" t="n">
        <f aca="false">ROUND(IF(B1590&lt;(Inputs!$E$8-Inputs!$D$8)/(Inputs!$F$8-Inputs!$D$8),Inputs!$D$8+SQRT(B1590*(Inputs!$F$8-Inputs!$D$8)*(Inputs!$E$8-Inputs!$D$8)),Inputs!$F$8-SQRT((1-B1590)*(Inputs!$F$8-Inputs!$D$8)*(Inputs!$F$8-Inputs!$E$8))),0)</f>
        <v>27</v>
      </c>
      <c r="D1590" s="81" t="n">
        <f aca="true">RAND()</f>
        <v>0.959346387572904</v>
      </c>
      <c r="E1590" s="83" t="n">
        <f aca="false">IF(D1590&lt;(Inputs!$E$10-Inputs!$D$10)/(Inputs!$F$10-Inputs!$D$10),Inputs!$D$10+SQRT(D1590*(Inputs!$F$10-Inputs!$D$10)*(Inputs!$E$10-Inputs!$D$10)),Inputs!$F$10-SQRT((1-D1590)*(Inputs!$F$10-Inputs!$D$10)*(Inputs!$F$10-Inputs!$E$10)))</f>
        <v>0.165077108183702</v>
      </c>
      <c r="F1590" s="81" t="n">
        <f aca="true">RAND()</f>
        <v>0.60933271899209</v>
      </c>
      <c r="G1590" s="83" t="n">
        <f aca="false">IF(F1590&lt;(Inputs!$E$15-Inputs!$D$15)/(Inputs!$F$15-Inputs!$D$15),Inputs!$D$15+SQRT(F1590*(Inputs!$F$15-Inputs!$D$15)*(Inputs!$E$15-Inputs!$D$15)),Inputs!$F$15-SQRT((1-F1590)*(Inputs!$F$15-Inputs!$D$15)*(Inputs!$F$15-Inputs!$E$15)))</f>
        <v>0.711606868931131</v>
      </c>
      <c r="H1590" s="81" t="n">
        <f aca="true">RAND()</f>
        <v>0.184946152414907</v>
      </c>
      <c r="I1590" s="82" t="n">
        <f aca="false">ROUND(IF(H1590&lt;(Inputs!$E$17-Inputs!$D$17)/(Inputs!$F$17-Inputs!$D$17),Inputs!$D$17+SQRT(H1590*(Inputs!$F$17-Inputs!$D$17)*(Inputs!$E$17-Inputs!$D$17)),Inputs!$F$17-SQRT((1-H1590)*(Inputs!$F$17-Inputs!$D$17)*(Inputs!$F$17-Inputs!$E$17))),0)</f>
        <v>104</v>
      </c>
      <c r="J1590" s="81" t="n">
        <f aca="true">RAND()</f>
        <v>0.935465276443632</v>
      </c>
      <c r="K1590" s="83" t="n">
        <f aca="false">IF(J1590&lt;(Inputs!$E$18-Inputs!$D$18)/(Inputs!$F$18-Inputs!$D$18),Inputs!$D$18+SQRT(J1590*(Inputs!$F$18-Inputs!$D$18)*(Inputs!$E$18-Inputs!$D$18)),Inputs!$F$18-SQRT((1-J1590)*(Inputs!$F$18-Inputs!$D$18)*(Inputs!$F$18-Inputs!$E$18)))</f>
        <v>1.17485488498124</v>
      </c>
      <c r="L1590" s="81" t="n">
        <f aca="true">RAND()</f>
        <v>0.17660132113406</v>
      </c>
      <c r="M1590" s="83" t="n">
        <f aca="false">IF(L1590&lt;(Inputs!$E$24-Inputs!$D$24)/(Inputs!$F$24-Inputs!$D$24),Inputs!$D$24+SQRT(L1590*(Inputs!$F$24-Inputs!$D$24)*(Inputs!$E$24-Inputs!$D$24)),Inputs!$F$24-SQRT((1-L1590)*(Inputs!$F$24-Inputs!$D$24)*(Inputs!$F$24-Inputs!$E$24)))</f>
        <v>0.745575267597512</v>
      </c>
      <c r="N1590" s="81" t="n">
        <f aca="true">RAND()</f>
        <v>0.193768054437932</v>
      </c>
      <c r="O1590" s="83" t="n">
        <f aca="false">IF(N1590&lt;(Inputs!$E$26-Inputs!$D$26)/(Inputs!$F$26-Inputs!$D$26),Inputs!$D$26+SQRT(N1590*(Inputs!$F$26-Inputs!$D$26)*(Inputs!$E$26-Inputs!$D$26)),Inputs!$F$26-SQRT((1-N1590)*(Inputs!$F$26-Inputs!$D$26)*(Inputs!$F$26-Inputs!$E$26)))</f>
        <v>0.479563371149218</v>
      </c>
      <c r="P1590" s="81" t="n">
        <f aca="true">RAND()</f>
        <v>0.138392113587839</v>
      </c>
      <c r="Q1590" s="82" t="n">
        <f aca="false">IF(P1590&lt;(Inputs!$E$27-Inputs!$D$27)/(Inputs!$F$27-Inputs!$D$27),Inputs!$D$27+SQRT(P1590*(Inputs!$F$27-Inputs!$D$27)*(Inputs!$E$27-Inputs!$D$27)),Inputs!$F$27-SQRT((1-P1590)*(Inputs!$F$27-Inputs!$D$27)*(Inputs!$F$27-Inputs!$E$27)))</f>
        <v>68.6005452600078</v>
      </c>
      <c r="R1590" s="81" t="n">
        <f aca="true">RAND()</f>
        <v>0.219145261980586</v>
      </c>
      <c r="S1590" s="82" t="n">
        <f aca="false">IF(R1590&lt;(Inputs!$E$29-Inputs!$D$29)/(Inputs!$F$29-Inputs!$D$29),Inputs!$D$29+SQRT(R1590*(Inputs!$F$29-Inputs!$D$29)*(Inputs!$E$29-Inputs!$D$29)),Inputs!$F$29-SQRT((1-R1590)*(Inputs!$F$29-Inputs!$D$29)*(Inputs!$F$29-Inputs!$E$29)))</f>
        <v>4.92346801200951</v>
      </c>
      <c r="T1590" s="68" t="n">
        <f aca="false">Inputs!$E$9*(1+E1590)+Inputs!$E$5*C1590*(Inputs!$E$11*Inputs!$E$14*(G1590*I1590/Inputs!$E$16+(1-G1590))*K1590+Inputs!$E$23*M1590)*(1+O1590)+Inputs!$E$5*(Q1590+S1590)</f>
        <v>6480.95112543068</v>
      </c>
    </row>
    <row r="1591" customFormat="false" ht="15" hidden="false" customHeight="false" outlineLevel="0" collapsed="false">
      <c r="A1591" s="1" t="n">
        <v>1587</v>
      </c>
      <c r="B1591" s="81" t="n">
        <f aca="true">RAND()</f>
        <v>0.943585816992144</v>
      </c>
      <c r="C1591" s="82" t="n">
        <f aca="false">ROUND(IF(B1591&lt;(Inputs!$E$8-Inputs!$D$8)/(Inputs!$F$8-Inputs!$D$8),Inputs!$D$8+SQRT(B1591*(Inputs!$F$8-Inputs!$D$8)*(Inputs!$E$8-Inputs!$D$8)),Inputs!$F$8-SQRT((1-B1591)*(Inputs!$F$8-Inputs!$D$8)*(Inputs!$F$8-Inputs!$E$8))),0)</f>
        <v>28</v>
      </c>
      <c r="D1591" s="81" t="n">
        <f aca="true">RAND()</f>
        <v>0.20568150664692</v>
      </c>
      <c r="E1591" s="83" t="n">
        <f aca="false">IF(D1591&lt;(Inputs!$E$10-Inputs!$D$10)/(Inputs!$F$10-Inputs!$D$10),Inputs!$D$10+SQRT(D1591*(Inputs!$F$10-Inputs!$D$10)*(Inputs!$E$10-Inputs!$D$10)),Inputs!$F$10-SQRT((1-D1591)*(Inputs!$F$10-Inputs!$D$10)*(Inputs!$F$10-Inputs!$E$10)))</f>
        <v>0.0453521230646284</v>
      </c>
      <c r="F1591" s="81" t="n">
        <f aca="true">RAND()</f>
        <v>0.354743497792631</v>
      </c>
      <c r="G1591" s="83" t="n">
        <f aca="false">IF(F1591&lt;(Inputs!$E$15-Inputs!$D$15)/(Inputs!$F$15-Inputs!$D$15),Inputs!$D$15+SQRT(F1591*(Inputs!$F$15-Inputs!$D$15)*(Inputs!$E$15-Inputs!$D$15)),Inputs!$F$15-SQRT((1-F1591)*(Inputs!$F$15-Inputs!$D$15)*(Inputs!$F$15-Inputs!$E$15)))</f>
        <v>0.684231051019518</v>
      </c>
      <c r="H1591" s="81" t="n">
        <f aca="true">RAND()</f>
        <v>0.278902177037614</v>
      </c>
      <c r="I1591" s="82" t="n">
        <f aca="false">ROUND(IF(H1591&lt;(Inputs!$E$17-Inputs!$D$17)/(Inputs!$F$17-Inputs!$D$17),Inputs!$D$17+SQRT(H1591*(Inputs!$F$17-Inputs!$D$17)*(Inputs!$E$17-Inputs!$D$17)),Inputs!$F$17-SQRT((1-H1591)*(Inputs!$F$17-Inputs!$D$17)*(Inputs!$F$17-Inputs!$E$17))),0)</f>
        <v>105</v>
      </c>
      <c r="J1591" s="81" t="n">
        <f aca="true">RAND()</f>
        <v>0.0318797637977186</v>
      </c>
      <c r="K1591" s="83" t="n">
        <f aca="false">IF(J1591&lt;(Inputs!$E$18-Inputs!$D$18)/(Inputs!$F$18-Inputs!$D$18),Inputs!$D$18+SQRT(J1591*(Inputs!$F$18-Inputs!$D$18)*(Inputs!$E$18-Inputs!$D$18)),Inputs!$F$18-SQRT((1-J1591)*(Inputs!$F$18-Inputs!$D$18)*(Inputs!$F$18-Inputs!$E$18)))</f>
        <v>0.933403468875555</v>
      </c>
      <c r="L1591" s="81" t="n">
        <f aca="true">RAND()</f>
        <v>0.12230692855165</v>
      </c>
      <c r="M1591" s="83" t="n">
        <f aca="false">IF(L1591&lt;(Inputs!$E$24-Inputs!$D$24)/(Inputs!$F$24-Inputs!$D$24),Inputs!$D$24+SQRT(L1591*(Inputs!$F$24-Inputs!$D$24)*(Inputs!$E$24-Inputs!$D$24)),Inputs!$F$24-SQRT((1-L1591)*(Inputs!$F$24-Inputs!$D$24)*(Inputs!$F$24-Inputs!$E$24)))</f>
        <v>0.721147973264921</v>
      </c>
      <c r="N1591" s="81" t="n">
        <f aca="true">RAND()</f>
        <v>0.694349027726467</v>
      </c>
      <c r="O1591" s="83" t="n">
        <f aca="false">IF(N1591&lt;(Inputs!$E$26-Inputs!$D$26)/(Inputs!$F$26-Inputs!$D$26),Inputs!$D$26+SQRT(N1591*(Inputs!$F$26-Inputs!$D$26)*(Inputs!$E$26-Inputs!$D$26)),Inputs!$F$26-SQRT((1-N1591)*(Inputs!$F$26-Inputs!$D$26)*(Inputs!$F$26-Inputs!$E$26)))</f>
        <v>0.641708942690758</v>
      </c>
      <c r="P1591" s="81" t="n">
        <f aca="true">RAND()</f>
        <v>0.0505730090321597</v>
      </c>
      <c r="Q1591" s="82" t="n">
        <f aca="false">IF(P1591&lt;(Inputs!$E$27-Inputs!$D$27)/(Inputs!$F$27-Inputs!$D$27),Inputs!$D$27+SQRT(P1591*(Inputs!$F$27-Inputs!$D$27)*(Inputs!$E$27-Inputs!$D$27)),Inputs!$F$27-SQRT((1-P1591)*(Inputs!$F$27-Inputs!$D$27)*(Inputs!$F$27-Inputs!$E$27)))</f>
        <v>61.2442217418725</v>
      </c>
      <c r="R1591" s="81" t="n">
        <f aca="true">RAND()</f>
        <v>0.0783964923718077</v>
      </c>
      <c r="S1591" s="82" t="n">
        <f aca="false">IF(R1591&lt;(Inputs!$E$29-Inputs!$D$29)/(Inputs!$F$29-Inputs!$D$29),Inputs!$D$29+SQRT(R1591*(Inputs!$F$29-Inputs!$D$29)*(Inputs!$E$29-Inputs!$D$29)),Inputs!$F$29-SQRT((1-R1591)*(Inputs!$F$29-Inputs!$D$29)*(Inputs!$F$29-Inputs!$E$29)))</f>
        <v>3.7485603228086</v>
      </c>
      <c r="T1591" s="68" t="n">
        <f aca="false">Inputs!$E$9*(1+E1591)+Inputs!$E$5*C1591*(Inputs!$E$11*Inputs!$E$14*(G1591*I1591/Inputs!$E$16+(1-G1591))*K1591+Inputs!$E$23*M1591)*(1+O1591)+Inputs!$E$5*(Q1591+S1591)</f>
        <v>6133.21090836523</v>
      </c>
    </row>
    <row r="1592" customFormat="false" ht="15" hidden="false" customHeight="false" outlineLevel="0" collapsed="false">
      <c r="A1592" s="1" t="n">
        <v>1588</v>
      </c>
      <c r="B1592" s="81" t="n">
        <f aca="true">RAND()</f>
        <v>0.780044262722738</v>
      </c>
      <c r="C1592" s="82" t="n">
        <f aca="false">ROUND(IF(B1592&lt;(Inputs!$E$8-Inputs!$D$8)/(Inputs!$F$8-Inputs!$D$8),Inputs!$D$8+SQRT(B1592*(Inputs!$F$8-Inputs!$D$8)*(Inputs!$E$8-Inputs!$D$8)),Inputs!$F$8-SQRT((1-B1592)*(Inputs!$F$8-Inputs!$D$8)*(Inputs!$F$8-Inputs!$E$8))),0)</f>
        <v>27</v>
      </c>
      <c r="D1592" s="81" t="n">
        <f aca="true">RAND()</f>
        <v>0.191648791231151</v>
      </c>
      <c r="E1592" s="83" t="n">
        <f aca="false">IF(D1592&lt;(Inputs!$E$10-Inputs!$D$10)/(Inputs!$F$10-Inputs!$D$10),Inputs!$D$10+SQRT(D1592*(Inputs!$F$10-Inputs!$D$10)*(Inputs!$E$10-Inputs!$D$10)),Inputs!$F$10-SQRT((1-D1592)*(Inputs!$F$10-Inputs!$D$10)*(Inputs!$F$10-Inputs!$E$10)))</f>
        <v>0.0437777102223439</v>
      </c>
      <c r="F1592" s="81" t="n">
        <f aca="true">RAND()</f>
        <v>0.0437854228088652</v>
      </c>
      <c r="G1592" s="83" t="n">
        <f aca="false">IF(F1592&lt;(Inputs!$E$15-Inputs!$D$15)/(Inputs!$F$15-Inputs!$D$15),Inputs!$D$15+SQRT(F1592*(Inputs!$F$15-Inputs!$D$15)*(Inputs!$E$15-Inputs!$D$15)),Inputs!$F$15-SQRT((1-F1592)*(Inputs!$F$15-Inputs!$D$15)*(Inputs!$F$15-Inputs!$E$15)))</f>
        <v>0.629592371587578</v>
      </c>
      <c r="H1592" s="81" t="n">
        <f aca="true">RAND()</f>
        <v>0.5860029765018</v>
      </c>
      <c r="I1592" s="82" t="n">
        <f aca="false">ROUND(IF(H1592&lt;(Inputs!$E$17-Inputs!$D$17)/(Inputs!$F$17-Inputs!$D$17),Inputs!$D$17+SQRT(H1592*(Inputs!$F$17-Inputs!$D$17)*(Inputs!$E$17-Inputs!$D$17)),Inputs!$F$17-SQRT((1-H1592)*(Inputs!$F$17-Inputs!$D$17)*(Inputs!$F$17-Inputs!$E$17))),0)</f>
        <v>107</v>
      </c>
      <c r="J1592" s="81" t="n">
        <f aca="true">RAND()</f>
        <v>0.767962555569751</v>
      </c>
      <c r="K1592" s="83" t="n">
        <f aca="false">IF(J1592&lt;(Inputs!$E$18-Inputs!$D$18)/(Inputs!$F$18-Inputs!$D$18),Inputs!$D$18+SQRT(J1592*(Inputs!$F$18-Inputs!$D$18)*(Inputs!$E$18-Inputs!$D$18)),Inputs!$F$18-SQRT((1-J1592)*(Inputs!$F$18-Inputs!$D$18)*(Inputs!$F$18-Inputs!$E$18)))</f>
        <v>1.10751043410956</v>
      </c>
      <c r="L1592" s="81" t="n">
        <f aca="true">RAND()</f>
        <v>0.138631319721102</v>
      </c>
      <c r="M1592" s="83" t="n">
        <f aca="false">IF(L1592&lt;(Inputs!$E$24-Inputs!$D$24)/(Inputs!$F$24-Inputs!$D$24),Inputs!$D$24+SQRT(L1592*(Inputs!$F$24-Inputs!$D$24)*(Inputs!$E$24-Inputs!$D$24)),Inputs!$F$24-SQRT((1-L1592)*(Inputs!$F$24-Inputs!$D$24)*(Inputs!$F$24-Inputs!$E$24)))</f>
        <v>0.728979681991127</v>
      </c>
      <c r="N1592" s="81" t="n">
        <f aca="true">RAND()</f>
        <v>0.953050321733897</v>
      </c>
      <c r="O1592" s="83" t="n">
        <f aca="false">IF(N1592&lt;(Inputs!$E$26-Inputs!$D$26)/(Inputs!$F$26-Inputs!$D$26),Inputs!$D$26+SQRT(N1592*(Inputs!$F$26-Inputs!$D$26)*(Inputs!$E$26-Inputs!$D$26)),Inputs!$F$26-SQRT((1-N1592)*(Inputs!$F$26-Inputs!$D$26)*(Inputs!$F$26-Inputs!$E$26)))</f>
        <v>0.750123204569223</v>
      </c>
      <c r="P1592" s="81" t="n">
        <f aca="true">RAND()</f>
        <v>0.996903202822037</v>
      </c>
      <c r="Q1592" s="82" t="n">
        <f aca="false">IF(P1592&lt;(Inputs!$E$27-Inputs!$D$27)/(Inputs!$F$27-Inputs!$D$27),Inputs!$D$27+SQRT(P1592*(Inputs!$F$27-Inputs!$D$27)*(Inputs!$E$27-Inputs!$D$27)),Inputs!$F$27-SQRT((1-P1592)*(Inputs!$F$27-Inputs!$D$27)*(Inputs!$F$27-Inputs!$E$27)))</f>
        <v>145.180666142015</v>
      </c>
      <c r="R1592" s="81" t="n">
        <f aca="true">RAND()</f>
        <v>0.758296176632569</v>
      </c>
      <c r="S1592" s="82" t="n">
        <f aca="false">IF(R1592&lt;(Inputs!$E$29-Inputs!$D$29)/(Inputs!$F$29-Inputs!$D$29),Inputs!$D$29+SQRT(R1592*(Inputs!$F$29-Inputs!$D$29)*(Inputs!$E$29-Inputs!$D$29)),Inputs!$F$29-SQRT((1-R1592)*(Inputs!$F$29-Inputs!$D$29)*(Inputs!$F$29-Inputs!$E$29)))</f>
        <v>9.39451188229196</v>
      </c>
      <c r="T1592" s="68" t="n">
        <f aca="false">Inputs!$E$9*(1+E1592)+Inputs!$E$5*C1592*(Inputs!$E$11*Inputs!$E$14*(G1592*I1592/Inputs!$E$16+(1-G1592))*K1592+Inputs!$E$23*M1592)*(1+O1592)+Inputs!$E$5*(Q1592+S1592)</f>
        <v>7257.74725497933</v>
      </c>
    </row>
    <row r="1593" customFormat="false" ht="15" hidden="false" customHeight="false" outlineLevel="0" collapsed="false">
      <c r="A1593" s="1" t="n">
        <v>1589</v>
      </c>
      <c r="B1593" s="81" t="n">
        <f aca="true">RAND()</f>
        <v>0.893615547456736</v>
      </c>
      <c r="C1593" s="82" t="n">
        <f aca="false">ROUND(IF(B1593&lt;(Inputs!$E$8-Inputs!$D$8)/(Inputs!$F$8-Inputs!$D$8),Inputs!$D$8+SQRT(B1593*(Inputs!$F$8-Inputs!$D$8)*(Inputs!$E$8-Inputs!$D$8)),Inputs!$F$8-SQRT((1-B1593)*(Inputs!$F$8-Inputs!$D$8)*(Inputs!$F$8-Inputs!$E$8))),0)</f>
        <v>28</v>
      </c>
      <c r="D1593" s="81" t="n">
        <f aca="true">RAND()</f>
        <v>0.864589471841526</v>
      </c>
      <c r="E1593" s="83" t="n">
        <f aca="false">IF(D1593&lt;(Inputs!$E$10-Inputs!$D$10)/(Inputs!$F$10-Inputs!$D$10),Inputs!$D$10+SQRT(D1593*(Inputs!$F$10-Inputs!$D$10)*(Inputs!$E$10-Inputs!$D$10)),Inputs!$F$10-SQRT((1-D1593)*(Inputs!$F$10-Inputs!$D$10)*(Inputs!$F$10-Inputs!$E$10)))</f>
        <v>0.136263700729065</v>
      </c>
      <c r="F1593" s="81" t="n">
        <f aca="true">RAND()</f>
        <v>0.191425182741271</v>
      </c>
      <c r="G1593" s="83" t="n">
        <f aca="false">IF(F1593&lt;(Inputs!$E$15-Inputs!$D$15)/(Inputs!$F$15-Inputs!$D$15),Inputs!$D$15+SQRT(F1593*(Inputs!$F$15-Inputs!$D$15)*(Inputs!$E$15-Inputs!$D$15)),Inputs!$F$15-SQRT((1-F1593)*(Inputs!$F$15-Inputs!$D$15)*(Inputs!$F$15-Inputs!$E$15)))</f>
        <v>0.661874903271241</v>
      </c>
      <c r="H1593" s="81" t="n">
        <f aca="true">RAND()</f>
        <v>0.209509481141103</v>
      </c>
      <c r="I1593" s="82" t="n">
        <f aca="false">ROUND(IF(H1593&lt;(Inputs!$E$17-Inputs!$D$17)/(Inputs!$F$17-Inputs!$D$17),Inputs!$D$17+SQRT(H1593*(Inputs!$F$17-Inputs!$D$17)*(Inputs!$E$17-Inputs!$D$17)),Inputs!$F$17-SQRT((1-H1593)*(Inputs!$F$17-Inputs!$D$17)*(Inputs!$F$17-Inputs!$E$17))),0)</f>
        <v>104</v>
      </c>
      <c r="J1593" s="81" t="n">
        <f aca="true">RAND()</f>
        <v>0.842637774799058</v>
      </c>
      <c r="K1593" s="83" t="n">
        <f aca="false">IF(J1593&lt;(Inputs!$E$18-Inputs!$D$18)/(Inputs!$F$18-Inputs!$D$18),Inputs!$D$18+SQRT(J1593*(Inputs!$F$18-Inputs!$D$18)*(Inputs!$E$18-Inputs!$D$18)),Inputs!$F$18-SQRT((1-J1593)*(Inputs!$F$18-Inputs!$D$18)*(Inputs!$F$18-Inputs!$E$18)))</f>
        <v>1.13265778805101</v>
      </c>
      <c r="L1593" s="81" t="n">
        <f aca="true">RAND()</f>
        <v>0.821059964633849</v>
      </c>
      <c r="M1593" s="83" t="n">
        <f aca="false">IF(L1593&lt;(Inputs!$E$24-Inputs!$D$24)/(Inputs!$F$24-Inputs!$D$24),Inputs!$D$24+SQRT(L1593*(Inputs!$F$24-Inputs!$D$24)*(Inputs!$E$24-Inputs!$D$24)),Inputs!$F$24-SQRT((1-L1593)*(Inputs!$F$24-Inputs!$D$24)*(Inputs!$F$24-Inputs!$E$24)))</f>
        <v>0.992766777547913</v>
      </c>
      <c r="N1593" s="81" t="n">
        <f aca="true">RAND()</f>
        <v>0.555030873045732</v>
      </c>
      <c r="O1593" s="83" t="n">
        <f aca="false">IF(N1593&lt;(Inputs!$E$26-Inputs!$D$26)/(Inputs!$F$26-Inputs!$D$26),Inputs!$D$26+SQRT(N1593*(Inputs!$F$26-Inputs!$D$26)*(Inputs!$E$26-Inputs!$D$26)),Inputs!$F$26-SQRT((1-N1593)*(Inputs!$F$26-Inputs!$D$26)*(Inputs!$F$26-Inputs!$E$26)))</f>
        <v>0.603903170886402</v>
      </c>
      <c r="P1593" s="81" t="n">
        <f aca="true">RAND()</f>
        <v>0.0732315424373847</v>
      </c>
      <c r="Q1593" s="82" t="n">
        <f aca="false">IF(P1593&lt;(Inputs!$E$27-Inputs!$D$27)/(Inputs!$F$27-Inputs!$D$27),Inputs!$D$27+SQRT(P1593*(Inputs!$F$27-Inputs!$D$27)*(Inputs!$E$27-Inputs!$D$27)),Inputs!$F$27-SQRT((1-P1593)*(Inputs!$F$27-Inputs!$D$27)*(Inputs!$F$27-Inputs!$E$27)))</f>
        <v>63.5306635496365</v>
      </c>
      <c r="R1593" s="81" t="n">
        <f aca="true">RAND()</f>
        <v>0.260029638635521</v>
      </c>
      <c r="S1593" s="82" t="n">
        <f aca="false">IF(R1593&lt;(Inputs!$E$29-Inputs!$D$29)/(Inputs!$F$29-Inputs!$D$29),Inputs!$D$29+SQRT(R1593*(Inputs!$F$29-Inputs!$D$29)*(Inputs!$E$29-Inputs!$D$29)),Inputs!$F$29-SQRT((1-R1593)*(Inputs!$F$29-Inputs!$D$29)*(Inputs!$F$29-Inputs!$E$29)))</f>
        <v>5.19203655301559</v>
      </c>
      <c r="T1593" s="68" t="n">
        <f aca="false">Inputs!$E$9*(1+E1593)+Inputs!$E$5*C1593*(Inputs!$E$11*Inputs!$E$14*(G1593*I1593/Inputs!$E$16+(1-G1593))*K1593+Inputs!$E$23*M1593)*(1+O1593)+Inputs!$E$5*(Q1593+S1593)</f>
        <v>7215.04419980169</v>
      </c>
    </row>
    <row r="1594" customFormat="false" ht="15" hidden="false" customHeight="false" outlineLevel="0" collapsed="false">
      <c r="A1594" s="1" t="n">
        <v>1590</v>
      </c>
      <c r="B1594" s="81" t="n">
        <f aca="true">RAND()</f>
        <v>0.756187265581212</v>
      </c>
      <c r="C1594" s="82" t="n">
        <f aca="false">ROUND(IF(B1594&lt;(Inputs!$E$8-Inputs!$D$8)/(Inputs!$F$8-Inputs!$D$8),Inputs!$D$8+SQRT(B1594*(Inputs!$F$8-Inputs!$D$8)*(Inputs!$E$8-Inputs!$D$8)),Inputs!$F$8-SQRT((1-B1594)*(Inputs!$F$8-Inputs!$D$8)*(Inputs!$F$8-Inputs!$E$8))),0)</f>
        <v>27</v>
      </c>
      <c r="D1594" s="81" t="n">
        <f aca="true">RAND()</f>
        <v>0.137765550040113</v>
      </c>
      <c r="E1594" s="83" t="n">
        <f aca="false">IF(D1594&lt;(Inputs!$E$10-Inputs!$D$10)/(Inputs!$F$10-Inputs!$D$10),Inputs!$D$10+SQRT(D1594*(Inputs!$F$10-Inputs!$D$10)*(Inputs!$E$10-Inputs!$D$10)),Inputs!$F$10-SQRT((1-D1594)*(Inputs!$F$10-Inputs!$D$10)*(Inputs!$F$10-Inputs!$E$10)))</f>
        <v>0.0371167819240991</v>
      </c>
      <c r="F1594" s="81" t="n">
        <f aca="true">RAND()</f>
        <v>0.656256948972091</v>
      </c>
      <c r="G1594" s="83" t="n">
        <f aca="false">IF(F1594&lt;(Inputs!$E$15-Inputs!$D$15)/(Inputs!$F$15-Inputs!$D$15),Inputs!$D$15+SQRT(F1594*(Inputs!$F$15-Inputs!$D$15)*(Inputs!$E$15-Inputs!$D$15)),Inputs!$F$15-SQRT((1-F1594)*(Inputs!$F$15-Inputs!$D$15)*(Inputs!$F$15-Inputs!$E$15)))</f>
        <v>0.717085218322918</v>
      </c>
      <c r="H1594" s="81" t="n">
        <f aca="true">RAND()</f>
        <v>0.262073981645827</v>
      </c>
      <c r="I1594" s="82" t="n">
        <f aca="false">ROUND(IF(H1594&lt;(Inputs!$E$17-Inputs!$D$17)/(Inputs!$F$17-Inputs!$D$17),Inputs!$D$17+SQRT(H1594*(Inputs!$F$17-Inputs!$D$17)*(Inputs!$E$17-Inputs!$D$17)),Inputs!$F$17-SQRT((1-H1594)*(Inputs!$F$17-Inputs!$D$17)*(Inputs!$F$17-Inputs!$E$17))),0)</f>
        <v>104</v>
      </c>
      <c r="J1594" s="81" t="n">
        <f aca="true">RAND()</f>
        <v>0.164204890504207</v>
      </c>
      <c r="K1594" s="83" t="n">
        <f aca="false">IF(J1594&lt;(Inputs!$E$18-Inputs!$D$18)/(Inputs!$F$18-Inputs!$D$18),Inputs!$D$18+SQRT(J1594*(Inputs!$F$18-Inputs!$D$18)*(Inputs!$E$18-Inputs!$D$18)),Inputs!$F$18-SQRT((1-J1594)*(Inputs!$F$18-Inputs!$D$18)*(Inputs!$F$18-Inputs!$E$18)))</f>
        <v>0.975810099377637</v>
      </c>
      <c r="L1594" s="81" t="n">
        <f aca="true">RAND()</f>
        <v>0.183114649099672</v>
      </c>
      <c r="M1594" s="83" t="n">
        <f aca="false">IF(L1594&lt;(Inputs!$E$24-Inputs!$D$24)/(Inputs!$F$24-Inputs!$D$24),Inputs!$D$24+SQRT(L1594*(Inputs!$F$24-Inputs!$D$24)*(Inputs!$E$24-Inputs!$D$24)),Inputs!$F$24-SQRT((1-L1594)*(Inputs!$F$24-Inputs!$D$24)*(Inputs!$F$24-Inputs!$E$24)))</f>
        <v>0.748235481218096</v>
      </c>
      <c r="N1594" s="81" t="n">
        <f aca="true">RAND()</f>
        <v>0.937905325193004</v>
      </c>
      <c r="O1594" s="83" t="n">
        <f aca="false">IF(N1594&lt;(Inputs!$E$26-Inputs!$D$26)/(Inputs!$F$26-Inputs!$D$26),Inputs!$D$26+SQRT(N1594*(Inputs!$F$26-Inputs!$D$26)*(Inputs!$E$26-Inputs!$D$26)),Inputs!$F$26-SQRT((1-N1594)*(Inputs!$F$26-Inputs!$D$26)*(Inputs!$F$26-Inputs!$E$26)))</f>
        <v>0.739639274642848</v>
      </c>
      <c r="P1594" s="81" t="n">
        <f aca="true">RAND()</f>
        <v>0.107906333219865</v>
      </c>
      <c r="Q1594" s="82" t="n">
        <f aca="false">IF(P1594&lt;(Inputs!$E$27-Inputs!$D$27)/(Inputs!$F$27-Inputs!$D$27),Inputs!$D$27+SQRT(P1594*(Inputs!$F$27-Inputs!$D$27)*(Inputs!$E$27-Inputs!$D$27)),Inputs!$F$27-SQRT((1-P1594)*(Inputs!$F$27-Inputs!$D$27)*(Inputs!$F$27-Inputs!$E$27)))</f>
        <v>66.4245497061461</v>
      </c>
      <c r="R1594" s="81" t="n">
        <f aca="true">RAND()</f>
        <v>0.154268036177191</v>
      </c>
      <c r="S1594" s="82" t="n">
        <f aca="false">IF(R1594&lt;(Inputs!$E$29-Inputs!$D$29)/(Inputs!$F$29-Inputs!$D$29),Inputs!$D$29+SQRT(R1594*(Inputs!$F$29-Inputs!$D$29)*(Inputs!$E$29-Inputs!$D$29)),Inputs!$F$29-SQRT((1-R1594)*(Inputs!$F$29-Inputs!$D$29)*(Inputs!$F$29-Inputs!$E$29)))</f>
        <v>4.45284598189744</v>
      </c>
      <c r="T1594" s="68" t="n">
        <f aca="false">Inputs!$E$9*(1+E1594)+Inputs!$E$5*C1594*(Inputs!$E$11*Inputs!$E$14*(G1594*I1594/Inputs!$E$16+(1-G1594))*K1594+Inputs!$E$23*M1594)*(1+O1594)+Inputs!$E$5*(Q1594+S1594)</f>
        <v>6310.56339401941</v>
      </c>
    </row>
    <row r="1595" customFormat="false" ht="15" hidden="false" customHeight="false" outlineLevel="0" collapsed="false">
      <c r="A1595" s="1" t="n">
        <v>1591</v>
      </c>
      <c r="B1595" s="81" t="n">
        <f aca="true">RAND()</f>
        <v>0.0933286290957616</v>
      </c>
      <c r="C1595" s="82" t="n">
        <f aca="false">ROUND(IF(B1595&lt;(Inputs!$E$8-Inputs!$D$8)/(Inputs!$F$8-Inputs!$D$8),Inputs!$D$8+SQRT(B1595*(Inputs!$F$8-Inputs!$D$8)*(Inputs!$E$8-Inputs!$D$8)),Inputs!$F$8-SQRT((1-B1595)*(Inputs!$F$8-Inputs!$D$8)*(Inputs!$F$8-Inputs!$E$8))),0)</f>
        <v>22</v>
      </c>
      <c r="D1595" s="81" t="n">
        <f aca="true">RAND()</f>
        <v>0.914021647346472</v>
      </c>
      <c r="E1595" s="83" t="n">
        <f aca="false">IF(D1595&lt;(Inputs!$E$10-Inputs!$D$10)/(Inputs!$F$10-Inputs!$D$10),Inputs!$D$10+SQRT(D1595*(Inputs!$F$10-Inputs!$D$10)*(Inputs!$E$10-Inputs!$D$10)),Inputs!$F$10-SQRT((1-D1595)*(Inputs!$F$10-Inputs!$D$10)*(Inputs!$F$10-Inputs!$E$10)))</f>
        <v>0.149212692731295</v>
      </c>
      <c r="F1595" s="81" t="n">
        <f aca="true">RAND()</f>
        <v>0.0159958458975761</v>
      </c>
      <c r="G1595" s="83" t="n">
        <f aca="false">IF(F1595&lt;(Inputs!$E$15-Inputs!$D$15)/(Inputs!$F$15-Inputs!$D$15),Inputs!$D$15+SQRT(F1595*(Inputs!$F$15-Inputs!$D$15)*(Inputs!$E$15-Inputs!$D$15)),Inputs!$F$15-SQRT((1-F1595)*(Inputs!$F$15-Inputs!$D$15)*(Inputs!$F$15-Inputs!$E$15)))</f>
        <v>0.617886221455398</v>
      </c>
      <c r="H1595" s="81" t="n">
        <f aca="true">RAND()</f>
        <v>0.992362875877683</v>
      </c>
      <c r="I1595" s="82" t="n">
        <f aca="false">ROUND(IF(H1595&lt;(Inputs!$E$17-Inputs!$D$17)/(Inputs!$F$17-Inputs!$D$17),Inputs!$D$17+SQRT(H1595*(Inputs!$F$17-Inputs!$D$17)*(Inputs!$E$17-Inputs!$D$17)),Inputs!$F$17-SQRT((1-H1595)*(Inputs!$F$17-Inputs!$D$17)*(Inputs!$F$17-Inputs!$E$17))),0)</f>
        <v>114</v>
      </c>
      <c r="J1595" s="81" t="n">
        <f aca="true">RAND()</f>
        <v>0.725133273006542</v>
      </c>
      <c r="K1595" s="83" t="n">
        <f aca="false">IF(J1595&lt;(Inputs!$E$18-Inputs!$D$18)/(Inputs!$F$18-Inputs!$D$18),Inputs!$D$18+SQRT(J1595*(Inputs!$F$18-Inputs!$D$18)*(Inputs!$E$18-Inputs!$D$18)),Inputs!$F$18-SQRT((1-J1595)*(Inputs!$F$18-Inputs!$D$18)*(Inputs!$F$18-Inputs!$E$18)))</f>
        <v>1.09491667203749</v>
      </c>
      <c r="L1595" s="81" t="n">
        <f aca="true">RAND()</f>
        <v>0.118164707411247</v>
      </c>
      <c r="M1595" s="83" t="n">
        <f aca="false">IF(L1595&lt;(Inputs!$E$24-Inputs!$D$24)/(Inputs!$F$24-Inputs!$D$24),Inputs!$D$24+SQRT(L1595*(Inputs!$F$24-Inputs!$D$24)*(Inputs!$E$24-Inputs!$D$24)),Inputs!$F$24-SQRT((1-L1595)*(Inputs!$F$24-Inputs!$D$24)*(Inputs!$F$24-Inputs!$E$24)))</f>
        <v>0.719078817970912</v>
      </c>
      <c r="N1595" s="81" t="n">
        <f aca="true">RAND()</f>
        <v>0.939192020211032</v>
      </c>
      <c r="O1595" s="83" t="n">
        <f aca="false">IF(N1595&lt;(Inputs!$E$26-Inputs!$D$26)/(Inputs!$F$26-Inputs!$D$26),Inputs!$D$26+SQRT(N1595*(Inputs!$F$26-Inputs!$D$26)*(Inputs!$E$26-Inputs!$D$26)),Inputs!$F$26-SQRT((1-N1595)*(Inputs!$F$26-Inputs!$D$26)*(Inputs!$F$26-Inputs!$E$26)))</f>
        <v>0.740476230609631</v>
      </c>
      <c r="P1595" s="81" t="n">
        <f aca="true">RAND()</f>
        <v>0.962682408912581</v>
      </c>
      <c r="Q1595" s="82" t="n">
        <f aca="false">IF(P1595&lt;(Inputs!$E$27-Inputs!$D$27)/(Inputs!$F$27-Inputs!$D$27),Inputs!$D$27+SQRT(P1595*(Inputs!$F$27-Inputs!$D$27)*(Inputs!$E$27-Inputs!$D$27)),Inputs!$F$27-SQRT((1-P1595)*(Inputs!$F$27-Inputs!$D$27)*(Inputs!$F$27-Inputs!$E$27)))</f>
        <v>133.270327763054</v>
      </c>
      <c r="R1595" s="81" t="n">
        <f aca="true">RAND()</f>
        <v>0.648757094543907</v>
      </c>
      <c r="S1595" s="82" t="n">
        <f aca="false">IF(R1595&lt;(Inputs!$E$29-Inputs!$D$29)/(Inputs!$F$29-Inputs!$D$29),Inputs!$D$29+SQRT(R1595*(Inputs!$F$29-Inputs!$D$29)*(Inputs!$E$29-Inputs!$D$29)),Inputs!$F$29-SQRT((1-R1595)*(Inputs!$F$29-Inputs!$D$29)*(Inputs!$F$29-Inputs!$E$29)))</f>
        <v>8.24266489588594</v>
      </c>
      <c r="T1595" s="68" t="n">
        <f aca="false">Inputs!$E$9*(1+E1595)+Inputs!$E$5*C1595*(Inputs!$E$11*Inputs!$E$14*(G1595*I1595/Inputs!$E$16+(1-G1595))*K1595+Inputs!$E$23*M1595)*(1+O1595)+Inputs!$E$5*(Q1595+S1595)</f>
        <v>6680.54848999144</v>
      </c>
    </row>
    <row r="1596" customFormat="false" ht="15" hidden="false" customHeight="false" outlineLevel="0" collapsed="false">
      <c r="A1596" s="1" t="n">
        <v>1592</v>
      </c>
      <c r="B1596" s="81" t="n">
        <f aca="true">RAND()</f>
        <v>0.189075789494744</v>
      </c>
      <c r="C1596" s="82" t="n">
        <f aca="false">ROUND(IF(B1596&lt;(Inputs!$E$8-Inputs!$D$8)/(Inputs!$F$8-Inputs!$D$8),Inputs!$D$8+SQRT(B1596*(Inputs!$F$8-Inputs!$D$8)*(Inputs!$E$8-Inputs!$D$8)),Inputs!$F$8-SQRT((1-B1596)*(Inputs!$F$8-Inputs!$D$8)*(Inputs!$F$8-Inputs!$E$8))),0)</f>
        <v>23</v>
      </c>
      <c r="D1596" s="81" t="n">
        <f aca="true">RAND()</f>
        <v>0.936862615228472</v>
      </c>
      <c r="E1596" s="83" t="n">
        <f aca="false">IF(D1596&lt;(Inputs!$E$10-Inputs!$D$10)/(Inputs!$F$10-Inputs!$D$10),Inputs!$D$10+SQRT(D1596*(Inputs!$F$10-Inputs!$D$10)*(Inputs!$E$10-Inputs!$D$10)),Inputs!$F$10-SQRT((1-D1596)*(Inputs!$F$10-Inputs!$D$10)*(Inputs!$F$10-Inputs!$E$10)))</f>
        <v>0.156478493326335</v>
      </c>
      <c r="F1596" s="81" t="n">
        <f aca="true">RAND()</f>
        <v>0.550783928660542</v>
      </c>
      <c r="G1596" s="83" t="n">
        <f aca="false">IF(F1596&lt;(Inputs!$E$15-Inputs!$D$15)/(Inputs!$F$15-Inputs!$D$15),Inputs!$D$15+SQRT(F1596*(Inputs!$F$15-Inputs!$D$15)*(Inputs!$E$15-Inputs!$D$15)),Inputs!$F$15-SQRT((1-F1596)*(Inputs!$F$15-Inputs!$D$15)*(Inputs!$F$15-Inputs!$E$15)))</f>
        <v>0.70521433955081</v>
      </c>
      <c r="H1596" s="81" t="n">
        <f aca="true">RAND()</f>
        <v>0.870099125473842</v>
      </c>
      <c r="I1596" s="82" t="n">
        <f aca="false">ROUND(IF(H1596&lt;(Inputs!$E$17-Inputs!$D$17)/(Inputs!$F$17-Inputs!$D$17),Inputs!$D$17+SQRT(H1596*(Inputs!$F$17-Inputs!$D$17)*(Inputs!$E$17-Inputs!$D$17)),Inputs!$F$17-SQRT((1-H1596)*(Inputs!$F$17-Inputs!$D$17)*(Inputs!$F$17-Inputs!$E$17))),0)</f>
        <v>111</v>
      </c>
      <c r="J1596" s="81" t="n">
        <f aca="true">RAND()</f>
        <v>0.603339445890953</v>
      </c>
      <c r="K1596" s="83" t="n">
        <f aca="false">IF(J1596&lt;(Inputs!$E$18-Inputs!$D$18)/(Inputs!$F$18-Inputs!$D$18),Inputs!$D$18+SQRT(J1596*(Inputs!$F$18-Inputs!$D$18)*(Inputs!$E$18-Inputs!$D$18)),Inputs!$F$18-SQRT((1-J1596)*(Inputs!$F$18-Inputs!$D$18)*(Inputs!$F$18-Inputs!$E$18)))</f>
        <v>1.06369970884472</v>
      </c>
      <c r="L1596" s="81" t="n">
        <f aca="true">RAND()</f>
        <v>0.906363995514981</v>
      </c>
      <c r="M1596" s="83" t="n">
        <f aca="false">IF(L1596&lt;(Inputs!$E$24-Inputs!$D$24)/(Inputs!$F$24-Inputs!$D$24),Inputs!$D$24+SQRT(L1596*(Inputs!$F$24-Inputs!$D$24)*(Inputs!$E$24-Inputs!$D$24)),Inputs!$F$24-SQRT((1-L1596)*(Inputs!$F$24-Inputs!$D$24)*(Inputs!$F$24-Inputs!$E$24)))</f>
        <v>1.05009122415147</v>
      </c>
      <c r="N1596" s="81" t="n">
        <f aca="true">RAND()</f>
        <v>0.36671059131943</v>
      </c>
      <c r="O1596" s="83" t="n">
        <f aca="false">IF(N1596&lt;(Inputs!$E$26-Inputs!$D$26)/(Inputs!$F$26-Inputs!$D$26),Inputs!$D$26+SQRT(N1596*(Inputs!$F$26-Inputs!$D$26)*(Inputs!$E$26-Inputs!$D$26)),Inputs!$F$26-SQRT((1-N1596)*(Inputs!$F$26-Inputs!$D$26)*(Inputs!$F$26-Inputs!$E$26)))</f>
        <v>0.547023566478086</v>
      </c>
      <c r="P1596" s="81" t="n">
        <f aca="true">RAND()</f>
        <v>0.875697613179259</v>
      </c>
      <c r="Q1596" s="82" t="n">
        <f aca="false">IF(P1596&lt;(Inputs!$E$27-Inputs!$D$27)/(Inputs!$F$27-Inputs!$D$27),Inputs!$D$27+SQRT(P1596*(Inputs!$F$27-Inputs!$D$27)*(Inputs!$E$27-Inputs!$D$27)),Inputs!$F$27-SQRT((1-P1596)*(Inputs!$F$27-Inputs!$D$27)*(Inputs!$F$27-Inputs!$E$27)))</f>
        <v>119.466937573254</v>
      </c>
      <c r="R1596" s="81" t="n">
        <f aca="true">RAND()</f>
        <v>0.729795292645573</v>
      </c>
      <c r="S1596" s="82" t="n">
        <f aca="false">IF(R1596&lt;(Inputs!$E$29-Inputs!$D$29)/(Inputs!$F$29-Inputs!$D$29),Inputs!$D$29+SQRT(R1596*(Inputs!$F$29-Inputs!$D$29)*(Inputs!$E$29-Inputs!$D$29)),Inputs!$F$29-SQRT((1-R1596)*(Inputs!$F$29-Inputs!$D$29)*(Inputs!$F$29-Inputs!$E$29)))</f>
        <v>9.07322921346914</v>
      </c>
      <c r="T1596" s="68" t="n">
        <f aca="false">Inputs!$E$9*(1+E1596)+Inputs!$E$5*C1596*(Inputs!$E$11*Inputs!$E$14*(G1596*I1596/Inputs!$E$16+(1-G1596))*K1596+Inputs!$E$23*M1596)*(1+O1596)+Inputs!$E$5*(Q1596+S1596)</f>
        <v>6611.58851677797</v>
      </c>
    </row>
    <row r="1597" customFormat="false" ht="15" hidden="false" customHeight="false" outlineLevel="0" collapsed="false">
      <c r="A1597" s="1" t="n">
        <v>1593</v>
      </c>
      <c r="B1597" s="81" t="n">
        <f aca="true">RAND()</f>
        <v>0.861760305473106</v>
      </c>
      <c r="C1597" s="82" t="n">
        <f aca="false">ROUND(IF(B1597&lt;(Inputs!$E$8-Inputs!$D$8)/(Inputs!$F$8-Inputs!$D$8),Inputs!$D$8+SQRT(B1597*(Inputs!$F$8-Inputs!$D$8)*(Inputs!$E$8-Inputs!$D$8)),Inputs!$F$8-SQRT((1-B1597)*(Inputs!$F$8-Inputs!$D$8)*(Inputs!$F$8-Inputs!$E$8))),0)</f>
        <v>27</v>
      </c>
      <c r="D1597" s="81" t="n">
        <f aca="true">RAND()</f>
        <v>0.474052827886557</v>
      </c>
      <c r="E1597" s="83" t="n">
        <f aca="false">IF(D1597&lt;(Inputs!$E$10-Inputs!$D$10)/(Inputs!$F$10-Inputs!$D$10),Inputs!$D$10+SQRT(D1597*(Inputs!$F$10-Inputs!$D$10)*(Inputs!$E$10-Inputs!$D$10)),Inputs!$F$10-SQRT((1-D1597)*(Inputs!$F$10-Inputs!$D$10)*(Inputs!$F$10-Inputs!$E$10)))</f>
        <v>0.0743878383141055</v>
      </c>
      <c r="F1597" s="81" t="n">
        <f aca="true">RAND()</f>
        <v>0.636147485086865</v>
      </c>
      <c r="G1597" s="83" t="n">
        <f aca="false">IF(F1597&lt;(Inputs!$E$15-Inputs!$D$15)/(Inputs!$F$15-Inputs!$D$15),Inputs!$D$15+SQRT(F1597*(Inputs!$F$15-Inputs!$D$15)*(Inputs!$E$15-Inputs!$D$15)),Inputs!$F$15-SQRT((1-F1597)*(Inputs!$F$15-Inputs!$D$15)*(Inputs!$F$15-Inputs!$E$15)))</f>
        <v>0.714694371239275</v>
      </c>
      <c r="H1597" s="81" t="n">
        <f aca="true">RAND()</f>
        <v>0.381149161651843</v>
      </c>
      <c r="I1597" s="82" t="n">
        <f aca="false">ROUND(IF(H1597&lt;(Inputs!$E$17-Inputs!$D$17)/(Inputs!$F$17-Inputs!$D$17),Inputs!$D$17+SQRT(H1597*(Inputs!$F$17-Inputs!$D$17)*(Inputs!$E$17-Inputs!$D$17)),Inputs!$F$17-SQRT((1-H1597)*(Inputs!$F$17-Inputs!$D$17)*(Inputs!$F$17-Inputs!$E$17))),0)</f>
        <v>105</v>
      </c>
      <c r="J1597" s="81" t="n">
        <f aca="true">RAND()</f>
        <v>0.979201170477474</v>
      </c>
      <c r="K1597" s="83" t="n">
        <f aca="false">IF(J1597&lt;(Inputs!$E$18-Inputs!$D$18)/(Inputs!$F$18-Inputs!$D$18),Inputs!$D$18+SQRT(J1597*(Inputs!$F$18-Inputs!$D$18)*(Inputs!$E$18-Inputs!$D$18)),Inputs!$F$18-SQRT((1-J1597)*(Inputs!$F$18-Inputs!$D$18)*(Inputs!$F$18-Inputs!$E$18)))</f>
        <v>1.20733974234465</v>
      </c>
      <c r="L1597" s="81" t="n">
        <f aca="true">RAND()</f>
        <v>0.187288004253545</v>
      </c>
      <c r="M1597" s="83" t="n">
        <f aca="false">IF(L1597&lt;(Inputs!$E$24-Inputs!$D$24)/(Inputs!$F$24-Inputs!$D$24),Inputs!$D$24+SQRT(L1597*(Inputs!$F$24-Inputs!$D$24)*(Inputs!$E$24-Inputs!$D$24)),Inputs!$F$24-SQRT((1-L1597)*(Inputs!$F$24-Inputs!$D$24)*(Inputs!$F$24-Inputs!$E$24)))</f>
        <v>0.749915177718687</v>
      </c>
      <c r="N1597" s="81" t="n">
        <f aca="true">RAND()</f>
        <v>0.203542181178053</v>
      </c>
      <c r="O1597" s="83" t="n">
        <f aca="false">IF(N1597&lt;(Inputs!$E$26-Inputs!$D$26)/(Inputs!$F$26-Inputs!$D$26),Inputs!$D$26+SQRT(N1597*(Inputs!$F$26-Inputs!$D$26)*(Inputs!$E$26-Inputs!$D$26)),Inputs!$F$26-SQRT((1-N1597)*(Inputs!$F$26-Inputs!$D$26)*(Inputs!$F$26-Inputs!$E$26)))</f>
        <v>0.484036460920189</v>
      </c>
      <c r="P1597" s="81" t="n">
        <f aca="true">RAND()</f>
        <v>0.0478382909923365</v>
      </c>
      <c r="Q1597" s="82" t="n">
        <f aca="false">IF(P1597&lt;(Inputs!$E$27-Inputs!$D$27)/(Inputs!$F$27-Inputs!$D$27),Inputs!$D$27+SQRT(P1597*(Inputs!$F$27-Inputs!$D$27)*(Inputs!$E$27-Inputs!$D$27)),Inputs!$F$27-SQRT((1-P1597)*(Inputs!$F$27-Inputs!$D$27)*(Inputs!$F$27-Inputs!$E$27)))</f>
        <v>60.9359831510862</v>
      </c>
      <c r="R1597" s="81" t="n">
        <f aca="true">RAND()</f>
        <v>0.439057675580302</v>
      </c>
      <c r="S1597" s="82" t="n">
        <f aca="false">IF(R1597&lt;(Inputs!$E$29-Inputs!$D$29)/(Inputs!$F$29-Inputs!$D$29),Inputs!$D$29+SQRT(R1597*(Inputs!$F$29-Inputs!$D$29)*(Inputs!$E$29-Inputs!$D$29)),Inputs!$F$29-SQRT((1-R1597)*(Inputs!$F$29-Inputs!$D$29)*(Inputs!$F$29-Inputs!$E$29)))</f>
        <v>6.46053267618168</v>
      </c>
      <c r="T1597" s="68" t="n">
        <f aca="false">Inputs!$E$9*(1+E1597)+Inputs!$E$5*C1597*(Inputs!$E$11*Inputs!$E$14*(G1597*I1597/Inputs!$E$16+(1-G1597))*K1597+Inputs!$E$23*M1597)*(1+O1597)+Inputs!$E$5*(Q1597+S1597)</f>
        <v>6346.096218518</v>
      </c>
    </row>
    <row r="1598" customFormat="false" ht="15" hidden="false" customHeight="false" outlineLevel="0" collapsed="false">
      <c r="A1598" s="1" t="n">
        <v>1594</v>
      </c>
      <c r="B1598" s="81" t="n">
        <f aca="true">RAND()</f>
        <v>0.18330444381098</v>
      </c>
      <c r="C1598" s="82" t="n">
        <f aca="false">ROUND(IF(B1598&lt;(Inputs!$E$8-Inputs!$D$8)/(Inputs!$F$8-Inputs!$D$8),Inputs!$D$8+SQRT(B1598*(Inputs!$F$8-Inputs!$D$8)*(Inputs!$E$8-Inputs!$D$8)),Inputs!$F$8-SQRT((1-B1598)*(Inputs!$F$8-Inputs!$D$8)*(Inputs!$F$8-Inputs!$E$8))),0)</f>
        <v>23</v>
      </c>
      <c r="D1598" s="81" t="n">
        <f aca="true">RAND()</f>
        <v>0.260099572489098</v>
      </c>
      <c r="E1598" s="83" t="n">
        <f aca="false">IF(D1598&lt;(Inputs!$E$10-Inputs!$D$10)/(Inputs!$F$10-Inputs!$D$10),Inputs!$D$10+SQRT(D1598*(Inputs!$F$10-Inputs!$D$10)*(Inputs!$E$10-Inputs!$D$10)),Inputs!$F$10-SQRT((1-D1598)*(Inputs!$F$10-Inputs!$D$10)*(Inputs!$F$10-Inputs!$E$10)))</f>
        <v>0.051013380381569</v>
      </c>
      <c r="F1598" s="81" t="n">
        <f aca="true">RAND()</f>
        <v>0.403136725843269</v>
      </c>
      <c r="G1598" s="83" t="n">
        <f aca="false">IF(F1598&lt;(Inputs!$E$15-Inputs!$D$15)/(Inputs!$F$15-Inputs!$D$15),Inputs!$D$15+SQRT(F1598*(Inputs!$F$15-Inputs!$D$15)*(Inputs!$E$15-Inputs!$D$15)),Inputs!$F$15-SQRT((1-F1598)*(Inputs!$F$15-Inputs!$D$15)*(Inputs!$F$15-Inputs!$E$15)))</f>
        <v>0.689792730868737</v>
      </c>
      <c r="H1598" s="81" t="n">
        <f aca="true">RAND()</f>
        <v>0.534267003269384</v>
      </c>
      <c r="I1598" s="82" t="n">
        <f aca="false">ROUND(IF(H1598&lt;(Inputs!$E$17-Inputs!$D$17)/(Inputs!$F$17-Inputs!$D$17),Inputs!$D$17+SQRT(H1598*(Inputs!$F$17-Inputs!$D$17)*(Inputs!$E$17-Inputs!$D$17)),Inputs!$F$17-SQRT((1-H1598)*(Inputs!$F$17-Inputs!$D$17)*(Inputs!$F$17-Inputs!$E$17))),0)</f>
        <v>107</v>
      </c>
      <c r="J1598" s="81" t="n">
        <f aca="true">RAND()</f>
        <v>0.166721416644801</v>
      </c>
      <c r="K1598" s="83" t="n">
        <f aca="false">IF(J1598&lt;(Inputs!$E$18-Inputs!$D$18)/(Inputs!$F$18-Inputs!$D$18),Inputs!$D$18+SQRT(J1598*(Inputs!$F$18-Inputs!$D$18)*(Inputs!$E$18-Inputs!$D$18)),Inputs!$F$18-SQRT((1-J1598)*(Inputs!$F$18-Inputs!$D$18)*(Inputs!$F$18-Inputs!$E$18)))</f>
        <v>0.97638880534848</v>
      </c>
      <c r="L1598" s="81" t="n">
        <f aca="true">RAND()</f>
        <v>0.861799273821321</v>
      </c>
      <c r="M1598" s="83" t="n">
        <f aca="false">IF(L1598&lt;(Inputs!$E$24-Inputs!$D$24)/(Inputs!$F$24-Inputs!$D$24),Inputs!$D$24+SQRT(L1598*(Inputs!$F$24-Inputs!$D$24)*(Inputs!$E$24-Inputs!$D$24)),Inputs!$F$24-SQRT((1-L1598)*(Inputs!$F$24-Inputs!$D$24)*(Inputs!$F$24-Inputs!$E$24)))</f>
        <v>1.01787868251387</v>
      </c>
      <c r="N1598" s="81" t="n">
        <f aca="true">RAND()</f>
        <v>0.244046378156545</v>
      </c>
      <c r="O1598" s="83" t="n">
        <f aca="false">IF(N1598&lt;(Inputs!$E$26-Inputs!$D$26)/(Inputs!$F$26-Inputs!$D$26),Inputs!$D$26+SQRT(N1598*(Inputs!$F$26-Inputs!$D$26)*(Inputs!$E$26-Inputs!$D$26)),Inputs!$F$26-SQRT((1-N1598)*(Inputs!$F$26-Inputs!$D$26)*(Inputs!$F$26-Inputs!$E$26)))</f>
        <v>0.501517536024161</v>
      </c>
      <c r="P1598" s="81" t="n">
        <f aca="true">RAND()</f>
        <v>0.902284960967058</v>
      </c>
      <c r="Q1598" s="82" t="n">
        <f aca="false">IF(P1598&lt;(Inputs!$E$27-Inputs!$D$27)/(Inputs!$F$27-Inputs!$D$27),Inputs!$D$27+SQRT(P1598*(Inputs!$F$27-Inputs!$D$27)*(Inputs!$E$27-Inputs!$D$27)),Inputs!$F$27-SQRT((1-P1598)*(Inputs!$F$27-Inputs!$D$27)*(Inputs!$F$27-Inputs!$E$27)))</f>
        <v>122.928561309988</v>
      </c>
      <c r="R1598" s="81" t="n">
        <f aca="true">RAND()</f>
        <v>0.903959416144652</v>
      </c>
      <c r="S1598" s="82" t="n">
        <f aca="false">IF(R1598&lt;(Inputs!$E$29-Inputs!$D$29)/(Inputs!$F$29-Inputs!$D$29),Inputs!$D$29+SQRT(R1598*(Inputs!$F$29-Inputs!$D$29)*(Inputs!$E$29-Inputs!$D$29)),Inputs!$F$29-SQRT((1-R1598)*(Inputs!$F$29-Inputs!$D$29)*(Inputs!$F$29-Inputs!$E$29)))</f>
        <v>11.4665490096514</v>
      </c>
      <c r="T1598" s="68" t="n">
        <f aca="false">Inputs!$E$9*(1+E1598)+Inputs!$E$5*C1598*(Inputs!$E$11*Inputs!$E$14*(G1598*I1598/Inputs!$E$16+(1-G1598))*K1598+Inputs!$E$23*M1598)*(1+O1598)+Inputs!$E$5*(Q1598+S1598)</f>
        <v>6079.02216307769</v>
      </c>
    </row>
    <row r="1599" customFormat="false" ht="15" hidden="false" customHeight="false" outlineLevel="0" collapsed="false">
      <c r="A1599" s="1" t="n">
        <v>1595</v>
      </c>
      <c r="B1599" s="81" t="n">
        <f aca="true">RAND()</f>
        <v>0.465718164565354</v>
      </c>
      <c r="C1599" s="82" t="n">
        <f aca="false">ROUND(IF(B1599&lt;(Inputs!$E$8-Inputs!$D$8)/(Inputs!$F$8-Inputs!$D$8),Inputs!$D$8+SQRT(B1599*(Inputs!$F$8-Inputs!$D$8)*(Inputs!$E$8-Inputs!$D$8)),Inputs!$F$8-SQRT((1-B1599)*(Inputs!$F$8-Inputs!$D$8)*(Inputs!$F$8-Inputs!$E$8))),0)</f>
        <v>25</v>
      </c>
      <c r="D1599" s="81" t="n">
        <f aca="true">RAND()</f>
        <v>0.583365548426687</v>
      </c>
      <c r="E1599" s="83" t="n">
        <f aca="false">IF(D1599&lt;(Inputs!$E$10-Inputs!$D$10)/(Inputs!$F$10-Inputs!$D$10),Inputs!$D$10+SQRT(D1599*(Inputs!$F$10-Inputs!$D$10)*(Inputs!$E$10-Inputs!$D$10)),Inputs!$F$10-SQRT((1-D1599)*(Inputs!$F$10-Inputs!$D$10)*(Inputs!$F$10-Inputs!$E$10)))</f>
        <v>0.0882009233168744</v>
      </c>
      <c r="F1599" s="81" t="n">
        <f aca="true">RAND()</f>
        <v>0.346503280624238</v>
      </c>
      <c r="G1599" s="83" t="n">
        <f aca="false">IF(F1599&lt;(Inputs!$E$15-Inputs!$D$15)/(Inputs!$F$15-Inputs!$D$15),Inputs!$D$15+SQRT(F1599*(Inputs!$F$15-Inputs!$D$15)*(Inputs!$E$15-Inputs!$D$15)),Inputs!$F$15-SQRT((1-F1599)*(Inputs!$F$15-Inputs!$D$15)*(Inputs!$F$15-Inputs!$E$15)))</f>
        <v>0.683247015637107</v>
      </c>
      <c r="H1599" s="81" t="n">
        <f aca="true">RAND()</f>
        <v>0.015832108164047</v>
      </c>
      <c r="I1599" s="82" t="n">
        <f aca="false">ROUND(IF(H1599&lt;(Inputs!$E$17-Inputs!$D$17)/(Inputs!$F$17-Inputs!$D$17),Inputs!$D$17+SQRT(H1599*(Inputs!$F$17-Inputs!$D$17)*(Inputs!$E$17-Inputs!$D$17)),Inputs!$F$17-SQRT((1-H1599)*(Inputs!$F$17-Inputs!$D$17)*(Inputs!$F$17-Inputs!$E$17))),0)</f>
        <v>101</v>
      </c>
      <c r="J1599" s="81" t="n">
        <f aca="true">RAND()</f>
        <v>0.72974431411694</v>
      </c>
      <c r="K1599" s="83" t="n">
        <f aca="false">IF(J1599&lt;(Inputs!$E$18-Inputs!$D$18)/(Inputs!$F$18-Inputs!$D$18),Inputs!$D$18+SQRT(J1599*(Inputs!$F$18-Inputs!$D$18)*(Inputs!$E$18-Inputs!$D$18)),Inputs!$F$18-SQRT((1-J1599)*(Inputs!$F$18-Inputs!$D$18)*(Inputs!$F$18-Inputs!$E$18)))</f>
        <v>1.09622297793634</v>
      </c>
      <c r="L1599" s="81" t="n">
        <f aca="true">RAND()</f>
        <v>0.260118527323176</v>
      </c>
      <c r="M1599" s="83" t="n">
        <f aca="false">IF(L1599&lt;(Inputs!$E$24-Inputs!$D$24)/(Inputs!$F$24-Inputs!$D$24),Inputs!$D$24+SQRT(L1599*(Inputs!$F$24-Inputs!$D$24)*(Inputs!$E$24-Inputs!$D$24)),Inputs!$F$24-SQRT((1-L1599)*(Inputs!$F$24-Inputs!$D$24)*(Inputs!$F$24-Inputs!$E$24)))</f>
        <v>0.776675474468816</v>
      </c>
      <c r="N1599" s="81" t="n">
        <f aca="true">RAND()</f>
        <v>0.254139276603965</v>
      </c>
      <c r="O1599" s="83" t="n">
        <f aca="false">IF(N1599&lt;(Inputs!$E$26-Inputs!$D$26)/(Inputs!$F$26-Inputs!$D$26),Inputs!$D$26+SQRT(N1599*(Inputs!$F$26-Inputs!$D$26)*(Inputs!$E$26-Inputs!$D$26)),Inputs!$F$26-SQRT((1-N1599)*(Inputs!$F$26-Inputs!$D$26)*(Inputs!$F$26-Inputs!$E$26)))</f>
        <v>0.505642348816823</v>
      </c>
      <c r="P1599" s="81" t="n">
        <f aca="true">RAND()</f>
        <v>0.9473948973424</v>
      </c>
      <c r="Q1599" s="82" t="n">
        <f aca="false">IF(P1599&lt;(Inputs!$E$27-Inputs!$D$27)/(Inputs!$F$27-Inputs!$D$27),Inputs!$D$27+SQRT(P1599*(Inputs!$F$27-Inputs!$D$27)*(Inputs!$E$27-Inputs!$D$27)),Inputs!$F$27-SQRT((1-P1599)*(Inputs!$F$27-Inputs!$D$27)*(Inputs!$F$27-Inputs!$E$27)))</f>
        <v>130.137012562759</v>
      </c>
      <c r="R1599" s="81" t="n">
        <f aca="true">RAND()</f>
        <v>0.933377698281447</v>
      </c>
      <c r="S1599" s="82" t="n">
        <f aca="false">IF(R1599&lt;(Inputs!$E$29-Inputs!$D$29)/(Inputs!$F$29-Inputs!$D$29),Inputs!$D$29+SQRT(R1599*(Inputs!$F$29-Inputs!$D$29)*(Inputs!$E$29-Inputs!$D$29)),Inputs!$F$29-SQRT((1-R1599)*(Inputs!$F$29-Inputs!$D$29)*(Inputs!$F$29-Inputs!$E$29)))</f>
        <v>12.0570594257763</v>
      </c>
      <c r="T1599" s="68" t="n">
        <f aca="false">Inputs!$E$9*(1+E1599)+Inputs!$E$5*C1599*(Inputs!$E$11*Inputs!$E$14*(G1599*I1599/Inputs!$E$16+(1-G1599))*K1599+Inputs!$E$23*M1599)*(1+O1599)+Inputs!$E$5*(Q1599+S1599)</f>
        <v>6339.20283704031</v>
      </c>
    </row>
    <row r="1600" customFormat="false" ht="15" hidden="false" customHeight="false" outlineLevel="0" collapsed="false">
      <c r="A1600" s="1" t="n">
        <v>1596</v>
      </c>
      <c r="B1600" s="81" t="n">
        <f aca="true">RAND()</f>
        <v>0.254084375089869</v>
      </c>
      <c r="C1600" s="82" t="n">
        <f aca="false">ROUND(IF(B1600&lt;(Inputs!$E$8-Inputs!$D$8)/(Inputs!$F$8-Inputs!$D$8),Inputs!$D$8+SQRT(B1600*(Inputs!$F$8-Inputs!$D$8)*(Inputs!$E$8-Inputs!$D$8)),Inputs!$F$8-SQRT((1-B1600)*(Inputs!$F$8-Inputs!$D$8)*(Inputs!$F$8-Inputs!$E$8))),0)</f>
        <v>24</v>
      </c>
      <c r="D1600" s="81" t="n">
        <f aca="true">RAND()</f>
        <v>0.0862871313416494</v>
      </c>
      <c r="E1600" s="83" t="n">
        <f aca="false">IF(D1600&lt;(Inputs!$E$10-Inputs!$D$10)/(Inputs!$F$10-Inputs!$D$10),Inputs!$D$10+SQRT(D1600*(Inputs!$F$10-Inputs!$D$10)*(Inputs!$E$10-Inputs!$D$10)),Inputs!$F$10-SQRT((1-D1600)*(Inputs!$F$10-Inputs!$D$10)*(Inputs!$F$10-Inputs!$E$10)))</f>
        <v>0.0293746712903565</v>
      </c>
      <c r="F1600" s="81" t="n">
        <f aca="true">RAND()</f>
        <v>0.285883414526203</v>
      </c>
      <c r="G1600" s="83" t="n">
        <f aca="false">IF(F1600&lt;(Inputs!$E$15-Inputs!$D$15)/(Inputs!$F$15-Inputs!$D$15),Inputs!$D$15+SQRT(F1600*(Inputs!$F$15-Inputs!$D$15)*(Inputs!$E$15-Inputs!$D$15)),Inputs!$F$15-SQRT((1-F1600)*(Inputs!$F$15-Inputs!$D$15)*(Inputs!$F$15-Inputs!$E$15)))</f>
        <v>0.675615264930595</v>
      </c>
      <c r="H1600" s="81" t="n">
        <f aca="true">RAND()</f>
        <v>0.442054587132342</v>
      </c>
      <c r="I1600" s="82" t="n">
        <f aca="false">ROUND(IF(H1600&lt;(Inputs!$E$17-Inputs!$D$17)/(Inputs!$F$17-Inputs!$D$17),Inputs!$D$17+SQRT(H1600*(Inputs!$F$17-Inputs!$D$17)*(Inputs!$E$17-Inputs!$D$17)),Inputs!$F$17-SQRT((1-H1600)*(Inputs!$F$17-Inputs!$D$17)*(Inputs!$F$17-Inputs!$E$17))),0)</f>
        <v>106</v>
      </c>
      <c r="J1600" s="81" t="n">
        <f aca="true">RAND()</f>
        <v>0.00914611019723439</v>
      </c>
      <c r="K1600" s="83" t="n">
        <f aca="false">IF(J1600&lt;(Inputs!$E$18-Inputs!$D$18)/(Inputs!$F$18-Inputs!$D$18),Inputs!$D$18+SQRT(J1600*(Inputs!$F$18-Inputs!$D$18)*(Inputs!$E$18-Inputs!$D$18)),Inputs!$F$18-SQRT((1-J1600)*(Inputs!$F$18-Inputs!$D$18)*(Inputs!$F$18-Inputs!$E$18)))</f>
        <v>0.917891725934163</v>
      </c>
      <c r="L1600" s="81" t="n">
        <f aca="true">RAND()</f>
        <v>0.183372484019627</v>
      </c>
      <c r="M1600" s="83" t="n">
        <f aca="false">IF(L1600&lt;(Inputs!$E$24-Inputs!$D$24)/(Inputs!$F$24-Inputs!$D$24),Inputs!$D$24+SQRT(L1600*(Inputs!$F$24-Inputs!$D$24)*(Inputs!$E$24-Inputs!$D$24)),Inputs!$F$24-SQRT((1-L1600)*(Inputs!$F$24-Inputs!$D$24)*(Inputs!$F$24-Inputs!$E$24)))</f>
        <v>0.748339806128885</v>
      </c>
      <c r="N1600" s="81" t="n">
        <f aca="true">RAND()</f>
        <v>0.150982655511165</v>
      </c>
      <c r="O1600" s="83" t="n">
        <f aca="false">IF(N1600&lt;(Inputs!$E$26-Inputs!$D$26)/(Inputs!$F$26-Inputs!$D$26),Inputs!$D$26+SQRT(N1600*(Inputs!$F$26-Inputs!$D$26)*(Inputs!$E$26-Inputs!$D$26)),Inputs!$F$26-SQRT((1-N1600)*(Inputs!$F$26-Inputs!$D$26)*(Inputs!$F$26-Inputs!$E$26)))</f>
        <v>0.458503986943729</v>
      </c>
      <c r="P1600" s="81" t="n">
        <f aca="true">RAND()</f>
        <v>0.386131829701113</v>
      </c>
      <c r="Q1600" s="82" t="n">
        <f aca="false">IF(P1600&lt;(Inputs!$E$27-Inputs!$D$27)/(Inputs!$F$27-Inputs!$D$27),Inputs!$D$27+SQRT(P1600*(Inputs!$F$27-Inputs!$D$27)*(Inputs!$E$27-Inputs!$D$27)),Inputs!$F$27-SQRT((1-P1600)*(Inputs!$F$27-Inputs!$D$27)*(Inputs!$F$27-Inputs!$E$27)))</f>
        <v>82.1471350844959</v>
      </c>
      <c r="R1600" s="81" t="n">
        <f aca="true">RAND()</f>
        <v>0.0417347047316432</v>
      </c>
      <c r="S1600" s="82" t="n">
        <f aca="false">IF(R1600&lt;(Inputs!$E$29-Inputs!$D$29)/(Inputs!$F$29-Inputs!$D$29),Inputs!$D$29+SQRT(R1600*(Inputs!$F$29-Inputs!$D$29)*(Inputs!$E$29-Inputs!$D$29)),Inputs!$F$29-SQRT((1-R1600)*(Inputs!$F$29-Inputs!$D$29)*(Inputs!$F$29-Inputs!$E$29)))</f>
        <v>3.27579523613082</v>
      </c>
      <c r="T1600" s="68" t="n">
        <f aca="false">Inputs!$E$9*(1+E1600)+Inputs!$E$5*C1600*(Inputs!$E$11*Inputs!$E$14*(G1600*I1600/Inputs!$E$16+(1-G1600))*K1600+Inputs!$E$23*M1600)*(1+O1600)+Inputs!$E$5*(Q1600+S1600)</f>
        <v>5386.15469251819</v>
      </c>
    </row>
    <row r="1601" customFormat="false" ht="15" hidden="false" customHeight="false" outlineLevel="0" collapsed="false">
      <c r="A1601" s="1" t="n">
        <v>1597</v>
      </c>
      <c r="B1601" s="81" t="n">
        <f aca="true">RAND()</f>
        <v>0.232376016501419</v>
      </c>
      <c r="C1601" s="82" t="n">
        <f aca="false">ROUND(IF(B1601&lt;(Inputs!$E$8-Inputs!$D$8)/(Inputs!$F$8-Inputs!$D$8),Inputs!$D$8+SQRT(B1601*(Inputs!$F$8-Inputs!$D$8)*(Inputs!$E$8-Inputs!$D$8)),Inputs!$F$8-SQRT((1-B1601)*(Inputs!$F$8-Inputs!$D$8)*(Inputs!$F$8-Inputs!$E$8))),0)</f>
        <v>23</v>
      </c>
      <c r="D1601" s="81" t="n">
        <f aca="true">RAND()</f>
        <v>0.299013905630004</v>
      </c>
      <c r="E1601" s="83" t="n">
        <f aca="false">IF(D1601&lt;(Inputs!$E$10-Inputs!$D$10)/(Inputs!$F$10-Inputs!$D$10),Inputs!$D$10+SQRT(D1601*(Inputs!$F$10-Inputs!$D$10)*(Inputs!$E$10-Inputs!$D$10)),Inputs!$F$10-SQRT((1-D1601)*(Inputs!$F$10-Inputs!$D$10)*(Inputs!$F$10-Inputs!$E$10)))</f>
        <v>0.0549841979951844</v>
      </c>
      <c r="F1601" s="81" t="n">
        <f aca="true">RAND()</f>
        <v>0.696370145659978</v>
      </c>
      <c r="G1601" s="83" t="n">
        <f aca="false">IF(F1601&lt;(Inputs!$E$15-Inputs!$D$15)/(Inputs!$F$15-Inputs!$D$15),Inputs!$D$15+SQRT(F1601*(Inputs!$F$15-Inputs!$D$15)*(Inputs!$E$15-Inputs!$D$15)),Inputs!$F$15-SQRT((1-F1601)*(Inputs!$F$15-Inputs!$D$15)*(Inputs!$F$15-Inputs!$E$15)))</f>
        <v>0.722073129879351</v>
      </c>
      <c r="H1601" s="81" t="n">
        <f aca="true">RAND()</f>
        <v>0.766439292063087</v>
      </c>
      <c r="I1601" s="82" t="n">
        <f aca="false">ROUND(IF(H1601&lt;(Inputs!$E$17-Inputs!$D$17)/(Inputs!$F$17-Inputs!$D$17),Inputs!$D$17+SQRT(H1601*(Inputs!$F$17-Inputs!$D$17)*(Inputs!$E$17-Inputs!$D$17)),Inputs!$F$17-SQRT((1-H1601)*(Inputs!$F$17-Inputs!$D$17)*(Inputs!$F$17-Inputs!$E$17))),0)</f>
        <v>109</v>
      </c>
      <c r="J1601" s="81" t="n">
        <f aca="true">RAND()</f>
        <v>0.281497614290825</v>
      </c>
      <c r="K1601" s="83" t="n">
        <f aca="false">IF(J1601&lt;(Inputs!$E$18-Inputs!$D$18)/(Inputs!$F$18-Inputs!$D$18),Inputs!$D$18+SQRT(J1601*(Inputs!$F$18-Inputs!$D$18)*(Inputs!$E$18-Inputs!$D$18)),Inputs!$F$18-SQRT((1-J1601)*(Inputs!$F$18-Inputs!$D$18)*(Inputs!$F$18-Inputs!$E$18)))</f>
        <v>0.999259339611841</v>
      </c>
      <c r="L1601" s="81" t="n">
        <f aca="true">RAND()</f>
        <v>0.893093322048376</v>
      </c>
      <c r="M1601" s="83" t="n">
        <f aca="false">IF(L1601&lt;(Inputs!$E$24-Inputs!$D$24)/(Inputs!$F$24-Inputs!$D$24),Inputs!$D$24+SQRT(L1601*(Inputs!$F$24-Inputs!$D$24)*(Inputs!$E$24-Inputs!$D$24)),Inputs!$F$24-SQRT((1-L1601)*(Inputs!$F$24-Inputs!$D$24)*(Inputs!$F$24-Inputs!$E$24)))</f>
        <v>1.03982009268204</v>
      </c>
      <c r="N1601" s="81" t="n">
        <f aca="true">RAND()</f>
        <v>0.361165911768073</v>
      </c>
      <c r="O1601" s="83" t="n">
        <f aca="false">IF(N1601&lt;(Inputs!$E$26-Inputs!$D$26)/(Inputs!$F$26-Inputs!$D$26),Inputs!$D$26+SQRT(N1601*(Inputs!$F$26-Inputs!$D$26)*(Inputs!$E$26-Inputs!$D$26)),Inputs!$F$26-SQRT((1-N1601)*(Inputs!$F$26-Inputs!$D$26)*(Inputs!$F$26-Inputs!$E$26)))</f>
        <v>0.54514895006548</v>
      </c>
      <c r="P1601" s="81" t="n">
        <f aca="true">RAND()</f>
        <v>0.274407790280899</v>
      </c>
      <c r="Q1601" s="82" t="n">
        <f aca="false">IF(P1601&lt;(Inputs!$E$27-Inputs!$D$27)/(Inputs!$F$27-Inputs!$D$27),Inputs!$D$27+SQRT(P1601*(Inputs!$F$27-Inputs!$D$27)*(Inputs!$E$27-Inputs!$D$27)),Inputs!$F$27-SQRT((1-P1601)*(Inputs!$F$27-Inputs!$D$27)*(Inputs!$F$27-Inputs!$E$27)))</f>
        <v>76.2304834440861</v>
      </c>
      <c r="R1601" s="81" t="n">
        <f aca="true">RAND()</f>
        <v>0.561204605523015</v>
      </c>
      <c r="S1601" s="82" t="n">
        <f aca="false">IF(R1601&lt;(Inputs!$E$29-Inputs!$D$29)/(Inputs!$F$29-Inputs!$D$29),Inputs!$D$29+SQRT(R1601*(Inputs!$F$29-Inputs!$D$29)*(Inputs!$E$29-Inputs!$D$29)),Inputs!$F$29-SQRT((1-R1601)*(Inputs!$F$29-Inputs!$D$29)*(Inputs!$F$29-Inputs!$E$29)))</f>
        <v>7.44729179154867</v>
      </c>
      <c r="T1601" s="68" t="n">
        <f aca="false">Inputs!$E$9*(1+E1601)+Inputs!$E$5*C1601*(Inputs!$E$11*Inputs!$E$14*(G1601*I1601/Inputs!$E$16+(1-G1601))*K1601+Inputs!$E$23*M1601)*(1+O1601)+Inputs!$E$5*(Q1601+S1601)</f>
        <v>5980.41785418301</v>
      </c>
    </row>
    <row r="1602" customFormat="false" ht="15" hidden="false" customHeight="false" outlineLevel="0" collapsed="false">
      <c r="A1602" s="1" t="n">
        <v>1598</v>
      </c>
      <c r="B1602" s="81" t="n">
        <f aca="true">RAND()</f>
        <v>0.383670313427269</v>
      </c>
      <c r="C1602" s="82" t="n">
        <f aca="false">ROUND(IF(B1602&lt;(Inputs!$E$8-Inputs!$D$8)/(Inputs!$F$8-Inputs!$D$8),Inputs!$D$8+SQRT(B1602*(Inputs!$F$8-Inputs!$D$8)*(Inputs!$E$8-Inputs!$D$8)),Inputs!$F$8-SQRT((1-B1602)*(Inputs!$F$8-Inputs!$D$8)*(Inputs!$F$8-Inputs!$E$8))),0)</f>
        <v>24</v>
      </c>
      <c r="D1602" s="81" t="n">
        <f aca="true">RAND()</f>
        <v>0.960155208673345</v>
      </c>
      <c r="E1602" s="83" t="n">
        <f aca="false">IF(D1602&lt;(Inputs!$E$10-Inputs!$D$10)/(Inputs!$F$10-Inputs!$D$10),Inputs!$D$10+SQRT(D1602*(Inputs!$F$10-Inputs!$D$10)*(Inputs!$E$10-Inputs!$D$10)),Inputs!$F$10-SQRT((1-D1602)*(Inputs!$F$10-Inputs!$D$10)*(Inputs!$F$10-Inputs!$E$10)))</f>
        <v>0.165426256497168</v>
      </c>
      <c r="F1602" s="81" t="n">
        <f aca="true">RAND()</f>
        <v>0.630380387230941</v>
      </c>
      <c r="G1602" s="83" t="n">
        <f aca="false">IF(F1602&lt;(Inputs!$E$15-Inputs!$D$15)/(Inputs!$F$15-Inputs!$D$15),Inputs!$D$15+SQRT(F1602*(Inputs!$F$15-Inputs!$D$15)*(Inputs!$E$15-Inputs!$D$15)),Inputs!$F$15-SQRT((1-F1602)*(Inputs!$F$15-Inputs!$D$15)*(Inputs!$F$15-Inputs!$E$15)))</f>
        <v>0.714020977817952</v>
      </c>
      <c r="H1602" s="81" t="n">
        <f aca="true">RAND()</f>
        <v>0.0133960306631637</v>
      </c>
      <c r="I1602" s="82" t="n">
        <f aca="false">ROUND(IF(H1602&lt;(Inputs!$E$17-Inputs!$D$17)/(Inputs!$F$17-Inputs!$D$17),Inputs!$D$17+SQRT(H1602*(Inputs!$F$17-Inputs!$D$17)*(Inputs!$E$17-Inputs!$D$17)),Inputs!$F$17-SQRT((1-H1602)*(Inputs!$F$17-Inputs!$D$17)*(Inputs!$F$17-Inputs!$E$17))),0)</f>
        <v>101</v>
      </c>
      <c r="J1602" s="81" t="n">
        <f aca="true">RAND()</f>
        <v>0.77853499689555</v>
      </c>
      <c r="K1602" s="83" t="n">
        <f aca="false">IF(J1602&lt;(Inputs!$E$18-Inputs!$D$18)/(Inputs!$F$18-Inputs!$D$18),Inputs!$D$18+SQRT(J1602*(Inputs!$F$18-Inputs!$D$18)*(Inputs!$E$18-Inputs!$D$18)),Inputs!$F$18-SQRT((1-J1602)*(Inputs!$F$18-Inputs!$D$18)*(Inputs!$F$18-Inputs!$E$18)))</f>
        <v>1.11079444058645</v>
      </c>
      <c r="L1602" s="81" t="n">
        <f aca="true">RAND()</f>
        <v>0.536682002203857</v>
      </c>
      <c r="M1602" s="83" t="n">
        <f aca="false">IF(L1602&lt;(Inputs!$E$24-Inputs!$D$24)/(Inputs!$F$24-Inputs!$D$24),Inputs!$D$24+SQRT(L1602*(Inputs!$F$24-Inputs!$D$24)*(Inputs!$E$24-Inputs!$D$24)),Inputs!$F$24-SQRT((1-L1602)*(Inputs!$F$24-Inputs!$D$24)*(Inputs!$F$24-Inputs!$E$24)))</f>
        <v>0.866538878621399</v>
      </c>
      <c r="N1602" s="81" t="n">
        <f aca="true">RAND()</f>
        <v>0.303613464560368</v>
      </c>
      <c r="O1602" s="83" t="n">
        <f aca="false">IF(N1602&lt;(Inputs!$E$26-Inputs!$D$26)/(Inputs!$F$26-Inputs!$D$26),Inputs!$D$26+SQRT(N1602*(Inputs!$F$26-Inputs!$D$26)*(Inputs!$E$26-Inputs!$D$26)),Inputs!$F$26-SQRT((1-N1602)*(Inputs!$F$26-Inputs!$D$26)*(Inputs!$F$26-Inputs!$E$26)))</f>
        <v>0.524769394052761</v>
      </c>
      <c r="P1602" s="81" t="n">
        <f aca="true">RAND()</f>
        <v>0.182494230234844</v>
      </c>
      <c r="Q1602" s="82" t="n">
        <f aca="false">IF(P1602&lt;(Inputs!$E$27-Inputs!$D$27)/(Inputs!$F$27-Inputs!$D$27),Inputs!$D$27+SQRT(P1602*(Inputs!$F$27-Inputs!$D$27)*(Inputs!$E$27-Inputs!$D$27)),Inputs!$F$27-SQRT((1-P1602)*(Inputs!$F$27-Inputs!$D$27)*(Inputs!$F$27-Inputs!$E$27)))</f>
        <v>71.3596717106586</v>
      </c>
      <c r="R1602" s="81" t="n">
        <f aca="true">RAND()</f>
        <v>0.640733131161228</v>
      </c>
      <c r="S1602" s="82" t="n">
        <f aca="false">IF(R1602&lt;(Inputs!$E$29-Inputs!$D$29)/(Inputs!$F$29-Inputs!$D$29),Inputs!$D$29+SQRT(R1602*(Inputs!$F$29-Inputs!$D$29)*(Inputs!$E$29-Inputs!$D$29)),Inputs!$F$29-SQRT((1-R1602)*(Inputs!$F$29-Inputs!$D$29)*(Inputs!$F$29-Inputs!$E$29)))</f>
        <v>8.16591681722849</v>
      </c>
      <c r="T1602" s="68" t="n">
        <f aca="false">Inputs!$E$9*(1+E1602)+Inputs!$E$5*C1602*(Inputs!$E$11*Inputs!$E$14*(G1602*I1602/Inputs!$E$16+(1-G1602))*K1602+Inputs!$E$23*M1602)*(1+O1602)+Inputs!$E$5*(Q1602+S1602)</f>
        <v>6207.65464244563</v>
      </c>
    </row>
    <row r="1603" customFormat="false" ht="15" hidden="false" customHeight="false" outlineLevel="0" collapsed="false">
      <c r="A1603" s="1" t="n">
        <v>1599</v>
      </c>
      <c r="B1603" s="81" t="n">
        <f aca="true">RAND()</f>
        <v>0.782135478260513</v>
      </c>
      <c r="C1603" s="82" t="n">
        <f aca="false">ROUND(IF(B1603&lt;(Inputs!$E$8-Inputs!$D$8)/(Inputs!$F$8-Inputs!$D$8),Inputs!$D$8+SQRT(B1603*(Inputs!$F$8-Inputs!$D$8)*(Inputs!$E$8-Inputs!$D$8)),Inputs!$F$8-SQRT((1-B1603)*(Inputs!$F$8-Inputs!$D$8)*(Inputs!$F$8-Inputs!$E$8))),0)</f>
        <v>27</v>
      </c>
      <c r="D1603" s="81" t="n">
        <f aca="true">RAND()</f>
        <v>0.586380991774823</v>
      </c>
      <c r="E1603" s="83" t="n">
        <f aca="false">IF(D1603&lt;(Inputs!$E$10-Inputs!$D$10)/(Inputs!$F$10-Inputs!$D$10),Inputs!$D$10+SQRT(D1603*(Inputs!$F$10-Inputs!$D$10)*(Inputs!$E$10-Inputs!$D$10)),Inputs!$F$10-SQRT((1-D1603)*(Inputs!$F$10-Inputs!$D$10)*(Inputs!$F$10-Inputs!$E$10)))</f>
        <v>0.088606237846299</v>
      </c>
      <c r="F1603" s="81" t="n">
        <f aca="true">RAND()</f>
        <v>0.613699901087958</v>
      </c>
      <c r="G1603" s="83" t="n">
        <f aca="false">IF(F1603&lt;(Inputs!$E$15-Inputs!$D$15)/(Inputs!$F$15-Inputs!$D$15),Inputs!$D$15+SQRT(F1603*(Inputs!$F$15-Inputs!$D$15)*(Inputs!$E$15-Inputs!$D$15)),Inputs!$F$15-SQRT((1-F1603)*(Inputs!$F$15-Inputs!$D$15)*(Inputs!$F$15-Inputs!$E$15)))</f>
        <v>0.712102320973527</v>
      </c>
      <c r="H1603" s="81" t="n">
        <f aca="true">RAND()</f>
        <v>0.25302127436441</v>
      </c>
      <c r="I1603" s="82" t="n">
        <f aca="false">ROUND(IF(H1603&lt;(Inputs!$E$17-Inputs!$D$17)/(Inputs!$F$17-Inputs!$D$17),Inputs!$D$17+SQRT(H1603*(Inputs!$F$17-Inputs!$D$17)*(Inputs!$E$17-Inputs!$D$17)),Inputs!$F$17-SQRT((1-H1603)*(Inputs!$F$17-Inputs!$D$17)*(Inputs!$F$17-Inputs!$E$17))),0)</f>
        <v>104</v>
      </c>
      <c r="J1603" s="81" t="n">
        <f aca="true">RAND()</f>
        <v>0.185800156015324</v>
      </c>
      <c r="K1603" s="83" t="n">
        <f aca="false">IF(J1603&lt;(Inputs!$E$18-Inputs!$D$18)/(Inputs!$F$18-Inputs!$D$18),Inputs!$D$18+SQRT(J1603*(Inputs!$F$18-Inputs!$D$18)*(Inputs!$E$18-Inputs!$D$18)),Inputs!$F$18-SQRT((1-J1603)*(Inputs!$F$18-Inputs!$D$18)*(Inputs!$F$18-Inputs!$E$18)))</f>
        <v>0.980641214403904</v>
      </c>
      <c r="L1603" s="81" t="n">
        <f aca="true">RAND()</f>
        <v>0.709028333679843</v>
      </c>
      <c r="M1603" s="83" t="n">
        <f aca="false">IF(L1603&lt;(Inputs!$E$24-Inputs!$D$24)/(Inputs!$F$24-Inputs!$D$24),Inputs!$D$24+SQRT(L1603*(Inputs!$F$24-Inputs!$D$24)*(Inputs!$E$24-Inputs!$D$24)),Inputs!$F$24-SQRT((1-L1603)*(Inputs!$F$24-Inputs!$D$24)*(Inputs!$F$24-Inputs!$E$24)))</f>
        <v>0.935740279427913</v>
      </c>
      <c r="N1603" s="81" t="n">
        <f aca="true">RAND()</f>
        <v>0.499249578708885</v>
      </c>
      <c r="O1603" s="83" t="n">
        <f aca="false">IF(N1603&lt;(Inputs!$E$26-Inputs!$D$26)/(Inputs!$F$26-Inputs!$D$26),Inputs!$D$26+SQRT(N1603*(Inputs!$F$26-Inputs!$D$26)*(Inputs!$E$26-Inputs!$D$26)),Inputs!$F$26-SQRT((1-N1603)*(Inputs!$F$26-Inputs!$D$26)*(Inputs!$F$26-Inputs!$E$26)))</f>
        <v>0.588227566164582</v>
      </c>
      <c r="P1603" s="81" t="n">
        <f aca="true">RAND()</f>
        <v>0.098500010541704</v>
      </c>
      <c r="Q1603" s="82" t="n">
        <f aca="false">IF(P1603&lt;(Inputs!$E$27-Inputs!$D$27)/(Inputs!$F$27-Inputs!$D$27),Inputs!$D$27+SQRT(P1603*(Inputs!$F$27-Inputs!$D$27)*(Inputs!$E$27-Inputs!$D$27)),Inputs!$F$27-SQRT((1-P1603)*(Inputs!$F$27-Inputs!$D$27)*(Inputs!$F$27-Inputs!$E$27)))</f>
        <v>65.6923556661917</v>
      </c>
      <c r="R1603" s="81" t="n">
        <f aca="true">RAND()</f>
        <v>0.994474166242311</v>
      </c>
      <c r="S1603" s="82" t="n">
        <f aca="false">IF(R1603&lt;(Inputs!$E$29-Inputs!$D$29)/(Inputs!$F$29-Inputs!$D$29),Inputs!$D$29+SQRT(R1603*(Inputs!$F$29-Inputs!$D$29)*(Inputs!$E$29-Inputs!$D$29)),Inputs!$F$29-SQRT((1-R1603)*(Inputs!$F$29-Inputs!$D$29)*(Inputs!$F$29-Inputs!$E$29)))</f>
        <v>14.1524397434403</v>
      </c>
      <c r="T1603" s="68" t="n">
        <f aca="false">Inputs!$E$9*(1+E1603)+Inputs!$E$5*C1603*(Inputs!$E$11*Inputs!$E$14*(G1603*I1603/Inputs!$E$16+(1-G1603))*K1603+Inputs!$E$23*M1603)*(1+O1603)+Inputs!$E$5*(Q1603+S1603)</f>
        <v>6453.53143398037</v>
      </c>
    </row>
    <row r="1604" customFormat="false" ht="15" hidden="false" customHeight="false" outlineLevel="0" collapsed="false">
      <c r="A1604" s="1" t="n">
        <v>1600</v>
      </c>
      <c r="B1604" s="81" t="n">
        <f aca="true">RAND()</f>
        <v>0.58819377358708</v>
      </c>
      <c r="C1604" s="82" t="n">
        <f aca="false">ROUND(IF(B1604&lt;(Inputs!$E$8-Inputs!$D$8)/(Inputs!$F$8-Inputs!$D$8),Inputs!$D$8+SQRT(B1604*(Inputs!$F$8-Inputs!$D$8)*(Inputs!$E$8-Inputs!$D$8)),Inputs!$F$8-SQRT((1-B1604)*(Inputs!$F$8-Inputs!$D$8)*(Inputs!$F$8-Inputs!$E$8))),0)</f>
        <v>25</v>
      </c>
      <c r="D1604" s="81" t="n">
        <f aca="true">RAND()</f>
        <v>0.807256397511277</v>
      </c>
      <c r="E1604" s="83" t="n">
        <f aca="false">IF(D1604&lt;(Inputs!$E$10-Inputs!$D$10)/(Inputs!$F$10-Inputs!$D$10),Inputs!$D$10+SQRT(D1604*(Inputs!$F$10-Inputs!$D$10)*(Inputs!$E$10-Inputs!$D$10)),Inputs!$F$10-SQRT((1-D1604)*(Inputs!$F$10-Inputs!$D$10)*(Inputs!$F$10-Inputs!$E$10)))</f>
        <v>0.123958510833482</v>
      </c>
      <c r="F1604" s="81" t="n">
        <f aca="true">RAND()</f>
        <v>0.789989886995435</v>
      </c>
      <c r="G1604" s="83" t="n">
        <f aca="false">IF(F1604&lt;(Inputs!$E$15-Inputs!$D$15)/(Inputs!$F$15-Inputs!$D$15),Inputs!$D$15+SQRT(F1604*(Inputs!$F$15-Inputs!$D$15)*(Inputs!$E$15-Inputs!$D$15)),Inputs!$F$15-SQRT((1-F1604)*(Inputs!$F$15-Inputs!$D$15)*(Inputs!$F$15-Inputs!$E$15)))</f>
        <v>0.735191032564225</v>
      </c>
      <c r="H1604" s="81" t="n">
        <f aca="true">RAND()</f>
        <v>0.150007635319701</v>
      </c>
      <c r="I1604" s="82" t="n">
        <f aca="false">ROUND(IF(H1604&lt;(Inputs!$E$17-Inputs!$D$17)/(Inputs!$F$17-Inputs!$D$17),Inputs!$D$17+SQRT(H1604*(Inputs!$F$17-Inputs!$D$17)*(Inputs!$E$17-Inputs!$D$17)),Inputs!$F$17-SQRT((1-H1604)*(Inputs!$F$17-Inputs!$D$17)*(Inputs!$F$17-Inputs!$E$17))),0)</f>
        <v>103</v>
      </c>
      <c r="J1604" s="81" t="n">
        <f aca="true">RAND()</f>
        <v>0.631361306219377</v>
      </c>
      <c r="K1604" s="83" t="n">
        <f aca="false">IF(J1604&lt;(Inputs!$E$18-Inputs!$D$18)/(Inputs!$F$18-Inputs!$D$18),Inputs!$D$18+SQRT(J1604*(Inputs!$F$18-Inputs!$D$18)*(Inputs!$E$18-Inputs!$D$18)),Inputs!$F$18-SQRT((1-J1604)*(Inputs!$F$18-Inputs!$D$18)*(Inputs!$F$18-Inputs!$E$18)))</f>
        <v>1.07040076362689</v>
      </c>
      <c r="L1604" s="81" t="n">
        <f aca="true">RAND()</f>
        <v>0.558226044577313</v>
      </c>
      <c r="M1604" s="83" t="n">
        <f aca="false">IF(L1604&lt;(Inputs!$E$24-Inputs!$D$24)/(Inputs!$F$24-Inputs!$D$24),Inputs!$D$24+SQRT(L1604*(Inputs!$F$24-Inputs!$D$24)*(Inputs!$E$24-Inputs!$D$24)),Inputs!$F$24-SQRT((1-L1604)*(Inputs!$F$24-Inputs!$D$24)*(Inputs!$F$24-Inputs!$E$24)))</f>
        <v>0.874384046303863</v>
      </c>
      <c r="N1604" s="81" t="n">
        <f aca="true">RAND()</f>
        <v>0.832743868330274</v>
      </c>
      <c r="O1604" s="83" t="n">
        <f aca="false">IF(N1604&lt;(Inputs!$E$26-Inputs!$D$26)/(Inputs!$F$26-Inputs!$D$26),Inputs!$D$26+SQRT(N1604*(Inputs!$F$26-Inputs!$D$26)*(Inputs!$E$26-Inputs!$D$26)),Inputs!$F$26-SQRT((1-N1604)*(Inputs!$F$26-Inputs!$D$26)*(Inputs!$F$26-Inputs!$E$26)))</f>
        <v>0.688111267753263</v>
      </c>
      <c r="P1604" s="81" t="n">
        <f aca="true">RAND()</f>
        <v>0.400078948172541</v>
      </c>
      <c r="Q1604" s="82" t="n">
        <f aca="false">IF(P1604&lt;(Inputs!$E$27-Inputs!$D$27)/(Inputs!$F$27-Inputs!$D$27),Inputs!$D$27+SQRT(P1604*(Inputs!$F$27-Inputs!$D$27)*(Inputs!$E$27-Inputs!$D$27)),Inputs!$F$27-SQRT((1-P1604)*(Inputs!$F$27-Inputs!$D$27)*(Inputs!$F$27-Inputs!$E$27)))</f>
        <v>82.9223741572055</v>
      </c>
      <c r="R1604" s="81" t="n">
        <f aca="true">RAND()</f>
        <v>0.739500998242484</v>
      </c>
      <c r="S1604" s="82" t="n">
        <f aca="false">IF(R1604&lt;(Inputs!$E$29-Inputs!$D$29)/(Inputs!$F$29-Inputs!$D$29),Inputs!$D$29+SQRT(R1604*(Inputs!$F$29-Inputs!$D$29)*(Inputs!$E$29-Inputs!$D$29)),Inputs!$F$29-SQRT((1-R1604)*(Inputs!$F$29-Inputs!$D$29)*(Inputs!$F$29-Inputs!$E$29)))</f>
        <v>9.18064692354235</v>
      </c>
      <c r="T1604" s="68" t="n">
        <f aca="false">Inputs!$E$9*(1+E1604)+Inputs!$E$5*C1604*(Inputs!$E$11*Inputs!$E$14*(G1604*I1604/Inputs!$E$16+(1-G1604))*K1604+Inputs!$E$23*M1604)*(1+O1604)+Inputs!$E$5*(Q1604+S1604)</f>
        <v>6594.08664834795</v>
      </c>
    </row>
    <row r="1605" customFormat="false" ht="15" hidden="false" customHeight="false" outlineLevel="0" collapsed="false">
      <c r="A1605" s="1" t="n">
        <v>1601</v>
      </c>
      <c r="B1605" s="81" t="n">
        <f aca="true">RAND()</f>
        <v>0.848928413681083</v>
      </c>
      <c r="C1605" s="82" t="n">
        <f aca="false">ROUND(IF(B1605&lt;(Inputs!$E$8-Inputs!$D$8)/(Inputs!$F$8-Inputs!$D$8),Inputs!$D$8+SQRT(B1605*(Inputs!$F$8-Inputs!$D$8)*(Inputs!$E$8-Inputs!$D$8)),Inputs!$F$8-SQRT((1-B1605)*(Inputs!$F$8-Inputs!$D$8)*(Inputs!$F$8-Inputs!$E$8))),0)</f>
        <v>27</v>
      </c>
      <c r="D1605" s="81" t="n">
        <f aca="true">RAND()</f>
        <v>0.449810026786903</v>
      </c>
      <c r="E1605" s="83" t="n">
        <f aca="false">IF(D1605&lt;(Inputs!$E$10-Inputs!$D$10)/(Inputs!$F$10-Inputs!$D$10),Inputs!$D$10+SQRT(D1605*(Inputs!$F$10-Inputs!$D$10)*(Inputs!$E$10-Inputs!$D$10)),Inputs!$F$10-SQRT((1-D1605)*(Inputs!$F$10-Inputs!$D$10)*(Inputs!$F$10-Inputs!$E$10)))</f>
        <v>0.0715254920367745</v>
      </c>
      <c r="F1605" s="81" t="n">
        <f aca="true">RAND()</f>
        <v>0.76509513464674</v>
      </c>
      <c r="G1605" s="83" t="n">
        <f aca="false">IF(F1605&lt;(Inputs!$E$15-Inputs!$D$15)/(Inputs!$F$15-Inputs!$D$15),Inputs!$D$15+SQRT(F1605*(Inputs!$F$15-Inputs!$D$15)*(Inputs!$E$15-Inputs!$D$15)),Inputs!$F$15-SQRT((1-F1605)*(Inputs!$F$15-Inputs!$D$15)*(Inputs!$F$15-Inputs!$E$15)))</f>
        <v>0.731457332215143</v>
      </c>
      <c r="H1605" s="81" t="n">
        <f aca="true">RAND()</f>
        <v>0.942930094235457</v>
      </c>
      <c r="I1605" s="82" t="n">
        <f aca="false">ROUND(IF(H1605&lt;(Inputs!$E$17-Inputs!$D$17)/(Inputs!$F$17-Inputs!$D$17),Inputs!$D$17+SQRT(H1605*(Inputs!$F$17-Inputs!$D$17)*(Inputs!$E$17-Inputs!$D$17)),Inputs!$F$17-SQRT((1-H1605)*(Inputs!$F$17-Inputs!$D$17)*(Inputs!$F$17-Inputs!$E$17))),0)</f>
        <v>112</v>
      </c>
      <c r="J1605" s="81" t="n">
        <f aca="true">RAND()</f>
        <v>0.833903488848743</v>
      </c>
      <c r="K1605" s="83" t="n">
        <f aca="false">IF(J1605&lt;(Inputs!$E$18-Inputs!$D$18)/(Inputs!$F$18-Inputs!$D$18),Inputs!$D$18+SQRT(J1605*(Inputs!$F$18-Inputs!$D$18)*(Inputs!$E$18-Inputs!$D$18)),Inputs!$F$18-SQRT((1-J1605)*(Inputs!$F$18-Inputs!$D$18)*(Inputs!$F$18-Inputs!$E$18)))</f>
        <v>1.12944526253301</v>
      </c>
      <c r="L1605" s="81" t="n">
        <f aca="true">RAND()</f>
        <v>0.626532771171204</v>
      </c>
      <c r="M1605" s="83" t="n">
        <f aca="false">IF(L1605&lt;(Inputs!$E$24-Inputs!$D$24)/(Inputs!$F$24-Inputs!$D$24),Inputs!$D$24+SQRT(L1605*(Inputs!$F$24-Inputs!$D$24)*(Inputs!$E$24-Inputs!$D$24)),Inputs!$F$24-SQRT((1-L1605)*(Inputs!$F$24-Inputs!$D$24)*(Inputs!$F$24-Inputs!$E$24)))</f>
        <v>0.900613736255467</v>
      </c>
      <c r="N1605" s="81" t="n">
        <f aca="true">RAND()</f>
        <v>0.0275386419490784</v>
      </c>
      <c r="O1605" s="83" t="n">
        <f aca="false">IF(N1605&lt;(Inputs!$E$26-Inputs!$D$26)/(Inputs!$F$26-Inputs!$D$26),Inputs!$D$26+SQRT(N1605*(Inputs!$F$26-Inputs!$D$26)*(Inputs!$E$26-Inputs!$D$26)),Inputs!$F$26-SQRT((1-N1605)*(Inputs!$F$26-Inputs!$D$26)*(Inputs!$F$26-Inputs!$E$26)))</f>
        <v>0.367693648301201</v>
      </c>
      <c r="P1605" s="81" t="n">
        <f aca="true">RAND()</f>
        <v>0.308721059026406</v>
      </c>
      <c r="Q1605" s="82" t="n">
        <f aca="false">IF(P1605&lt;(Inputs!$E$27-Inputs!$D$27)/(Inputs!$F$27-Inputs!$D$27),Inputs!$D$27+SQRT(P1605*(Inputs!$F$27-Inputs!$D$27)*(Inputs!$E$27-Inputs!$D$27)),Inputs!$F$27-SQRT((1-P1605)*(Inputs!$F$27-Inputs!$D$27)*(Inputs!$F$27-Inputs!$E$27)))</f>
        <v>77.9958886083444</v>
      </c>
      <c r="R1605" s="81" t="n">
        <f aca="true">RAND()</f>
        <v>0.165369908161135</v>
      </c>
      <c r="S1605" s="82" t="n">
        <f aca="false">IF(R1605&lt;(Inputs!$E$29-Inputs!$D$29)/(Inputs!$F$29-Inputs!$D$29),Inputs!$D$29+SQRT(R1605*(Inputs!$F$29-Inputs!$D$29)*(Inputs!$E$29-Inputs!$D$29)),Inputs!$F$29-SQRT((1-R1605)*(Inputs!$F$29-Inputs!$D$29)*(Inputs!$F$29-Inputs!$E$29)))</f>
        <v>4.53957209353943</v>
      </c>
      <c r="T1605" s="68" t="n">
        <f aca="false">Inputs!$E$9*(1+E1605)+Inputs!$E$5*C1605*(Inputs!$E$11*Inputs!$E$14*(G1605*I1605/Inputs!$E$16+(1-G1605))*K1605+Inputs!$E$23*M1605)*(1+O1605)+Inputs!$E$5*(Q1605+S1605)</f>
        <v>6240.65736830648</v>
      </c>
    </row>
    <row r="1606" customFormat="false" ht="15" hidden="false" customHeight="false" outlineLevel="0" collapsed="false">
      <c r="A1606" s="1" t="n">
        <v>1602</v>
      </c>
      <c r="B1606" s="81" t="n">
        <f aca="true">RAND()</f>
        <v>0.079269292521503</v>
      </c>
      <c r="C1606" s="82" t="n">
        <f aca="false">ROUND(IF(B1606&lt;(Inputs!$E$8-Inputs!$D$8)/(Inputs!$F$8-Inputs!$D$8),Inputs!$D$8+SQRT(B1606*(Inputs!$F$8-Inputs!$D$8)*(Inputs!$E$8-Inputs!$D$8)),Inputs!$F$8-SQRT((1-B1606)*(Inputs!$F$8-Inputs!$D$8)*(Inputs!$F$8-Inputs!$E$8))),0)</f>
        <v>22</v>
      </c>
      <c r="D1606" s="81" t="n">
        <f aca="true">RAND()</f>
        <v>0.275049256420371</v>
      </c>
      <c r="E1606" s="83" t="n">
        <f aca="false">IF(D1606&lt;(Inputs!$E$10-Inputs!$D$10)/(Inputs!$F$10-Inputs!$D$10),Inputs!$D$10+SQRT(D1606*(Inputs!$F$10-Inputs!$D$10)*(Inputs!$E$10-Inputs!$D$10)),Inputs!$F$10-SQRT((1-D1606)*(Inputs!$F$10-Inputs!$D$10)*(Inputs!$F$10-Inputs!$E$10)))</f>
        <v>0.0525261978947146</v>
      </c>
      <c r="F1606" s="81" t="n">
        <f aca="true">RAND()</f>
        <v>0.324065030702855</v>
      </c>
      <c r="G1606" s="83" t="n">
        <f aca="false">IF(F1606&lt;(Inputs!$E$15-Inputs!$D$15)/(Inputs!$F$15-Inputs!$D$15),Inputs!$D$15+SQRT(F1606*(Inputs!$F$15-Inputs!$D$15)*(Inputs!$E$15-Inputs!$D$15)),Inputs!$F$15-SQRT((1-F1606)*(Inputs!$F$15-Inputs!$D$15)*(Inputs!$F$15-Inputs!$E$15)))</f>
        <v>0.680506525288682</v>
      </c>
      <c r="H1606" s="81" t="n">
        <f aca="true">RAND()</f>
        <v>0.0856974923414773</v>
      </c>
      <c r="I1606" s="82" t="n">
        <f aca="false">ROUND(IF(H1606&lt;(Inputs!$E$17-Inputs!$D$17)/(Inputs!$F$17-Inputs!$D$17),Inputs!$D$17+SQRT(H1606*(Inputs!$F$17-Inputs!$D$17)*(Inputs!$E$17-Inputs!$D$17)),Inputs!$F$17-SQRT((1-H1606)*(Inputs!$F$17-Inputs!$D$17)*(Inputs!$F$17-Inputs!$E$17))),0)</f>
        <v>103</v>
      </c>
      <c r="J1606" s="81" t="n">
        <f aca="true">RAND()</f>
        <v>0.0771803693624955</v>
      </c>
      <c r="K1606" s="83" t="n">
        <f aca="false">IF(J1606&lt;(Inputs!$E$18-Inputs!$D$18)/(Inputs!$F$18-Inputs!$D$18),Inputs!$D$18+SQRT(J1606*(Inputs!$F$18-Inputs!$D$18)*(Inputs!$E$18-Inputs!$D$18)),Inputs!$F$18-SQRT((1-J1606)*(Inputs!$F$18-Inputs!$D$18)*(Inputs!$F$18-Inputs!$E$18)))</f>
        <v>0.951974156344162</v>
      </c>
      <c r="L1606" s="81" t="n">
        <f aca="true">RAND()</f>
        <v>0.396833847737753</v>
      </c>
      <c r="M1606" s="83" t="n">
        <f aca="false">IF(L1606&lt;(Inputs!$E$24-Inputs!$D$24)/(Inputs!$F$24-Inputs!$D$24),Inputs!$D$24+SQRT(L1606*(Inputs!$F$24-Inputs!$D$24)*(Inputs!$E$24-Inputs!$D$24)),Inputs!$F$24-SQRT((1-L1606)*(Inputs!$F$24-Inputs!$D$24)*(Inputs!$F$24-Inputs!$E$24)))</f>
        <v>0.819526772895991</v>
      </c>
      <c r="N1606" s="81" t="n">
        <f aca="true">RAND()</f>
        <v>0.45548055499212</v>
      </c>
      <c r="O1606" s="83" t="n">
        <f aca="false">IF(N1606&lt;(Inputs!$E$26-Inputs!$D$26)/(Inputs!$F$26-Inputs!$D$26),Inputs!$D$26+SQRT(N1606*(Inputs!$F$26-Inputs!$D$26)*(Inputs!$E$26-Inputs!$D$26)),Inputs!$F$26-SQRT((1-N1606)*(Inputs!$F$26-Inputs!$D$26)*(Inputs!$F$26-Inputs!$E$26)))</f>
        <v>0.575303404175627</v>
      </c>
      <c r="P1606" s="81" t="n">
        <f aca="true">RAND()</f>
        <v>0.742924824283829</v>
      </c>
      <c r="Q1606" s="82" t="n">
        <f aca="false">IF(P1606&lt;(Inputs!$E$27-Inputs!$D$27)/(Inputs!$F$27-Inputs!$D$27),Inputs!$D$27+SQRT(P1606*(Inputs!$F$27-Inputs!$D$27)*(Inputs!$E$27-Inputs!$D$27)),Inputs!$F$27-SQRT((1-P1606)*(Inputs!$F$27-Inputs!$D$27)*(Inputs!$F$27-Inputs!$E$27)))</f>
        <v>106.090276499717</v>
      </c>
      <c r="R1606" s="81" t="n">
        <f aca="true">RAND()</f>
        <v>0.685300736359903</v>
      </c>
      <c r="S1606" s="82" t="n">
        <f aca="false">IF(R1606&lt;(Inputs!$E$29-Inputs!$D$29)/(Inputs!$F$29-Inputs!$D$29),Inputs!$D$29+SQRT(R1606*(Inputs!$F$29-Inputs!$D$29)*(Inputs!$E$29-Inputs!$D$29)),Inputs!$F$29-SQRT((1-R1606)*(Inputs!$F$29-Inputs!$D$29)*(Inputs!$F$29-Inputs!$E$29)))</f>
        <v>8.60383675370831</v>
      </c>
      <c r="T1606" s="68" t="n">
        <f aca="false">Inputs!$E$9*(1+E1606)+Inputs!$E$5*C1606*(Inputs!$E$11*Inputs!$E$14*(G1606*I1606/Inputs!$E$16+(1-G1606))*K1606+Inputs!$E$23*M1606)*(1+O1606)+Inputs!$E$5*(Q1606+S1606)</f>
        <v>5676.03362166588</v>
      </c>
    </row>
    <row r="1607" customFormat="false" ht="15" hidden="false" customHeight="false" outlineLevel="0" collapsed="false">
      <c r="A1607" s="1" t="n">
        <v>1603</v>
      </c>
      <c r="B1607" s="81" t="n">
        <f aca="true">RAND()</f>
        <v>0.612890722083383</v>
      </c>
      <c r="C1607" s="82" t="n">
        <f aca="false">ROUND(IF(B1607&lt;(Inputs!$E$8-Inputs!$D$8)/(Inputs!$F$8-Inputs!$D$8),Inputs!$D$8+SQRT(B1607*(Inputs!$F$8-Inputs!$D$8)*(Inputs!$E$8-Inputs!$D$8)),Inputs!$F$8-SQRT((1-B1607)*(Inputs!$F$8-Inputs!$D$8)*(Inputs!$F$8-Inputs!$E$8))),0)</f>
        <v>26</v>
      </c>
      <c r="D1607" s="81" t="n">
        <f aca="true">RAND()</f>
        <v>0.133219203320508</v>
      </c>
      <c r="E1607" s="83" t="n">
        <f aca="false">IF(D1607&lt;(Inputs!$E$10-Inputs!$D$10)/(Inputs!$F$10-Inputs!$D$10),Inputs!$D$10+SQRT(D1607*(Inputs!$F$10-Inputs!$D$10)*(Inputs!$E$10-Inputs!$D$10)),Inputs!$F$10-SQRT((1-D1607)*(Inputs!$F$10-Inputs!$D$10)*(Inputs!$F$10-Inputs!$E$10)))</f>
        <v>0.0364992059256785</v>
      </c>
      <c r="F1607" s="81" t="n">
        <f aca="true">RAND()</f>
        <v>0.555352693914657</v>
      </c>
      <c r="G1607" s="83" t="n">
        <f aca="false">IF(F1607&lt;(Inputs!$E$15-Inputs!$D$15)/(Inputs!$F$15-Inputs!$D$15),Inputs!$D$15+SQRT(F1607*(Inputs!$F$15-Inputs!$D$15)*(Inputs!$E$15-Inputs!$D$15)),Inputs!$F$15-SQRT((1-F1607)*(Inputs!$F$15-Inputs!$D$15)*(Inputs!$F$15-Inputs!$E$15)))</f>
        <v>0.705697581570212</v>
      </c>
      <c r="H1607" s="81" t="n">
        <f aca="true">RAND()</f>
        <v>0.197972737018841</v>
      </c>
      <c r="I1607" s="82" t="n">
        <f aca="false">ROUND(IF(H1607&lt;(Inputs!$E$17-Inputs!$D$17)/(Inputs!$F$17-Inputs!$D$17),Inputs!$D$17+SQRT(H1607*(Inputs!$F$17-Inputs!$D$17)*(Inputs!$E$17-Inputs!$D$17)),Inputs!$F$17-SQRT((1-H1607)*(Inputs!$F$17-Inputs!$D$17)*(Inputs!$F$17-Inputs!$E$17))),0)</f>
        <v>104</v>
      </c>
      <c r="J1607" s="81" t="n">
        <f aca="true">RAND()</f>
        <v>0.840609782100322</v>
      </c>
      <c r="K1607" s="83" t="n">
        <f aca="false">IF(J1607&lt;(Inputs!$E$18-Inputs!$D$18)/(Inputs!$F$18-Inputs!$D$18),Inputs!$D$18+SQRT(J1607*(Inputs!$F$18-Inputs!$D$18)*(Inputs!$E$18-Inputs!$D$18)),Inputs!$F$18-SQRT((1-J1607)*(Inputs!$F$18-Inputs!$D$18)*(Inputs!$F$18-Inputs!$E$18)))</f>
        <v>1.13190408954489</v>
      </c>
      <c r="L1607" s="81" t="n">
        <f aca="true">RAND()</f>
        <v>0.197189976094691</v>
      </c>
      <c r="M1607" s="83" t="n">
        <f aca="false">IF(L1607&lt;(Inputs!$E$24-Inputs!$D$24)/(Inputs!$F$24-Inputs!$D$24),Inputs!$D$24+SQRT(L1607*(Inputs!$F$24-Inputs!$D$24)*(Inputs!$E$24-Inputs!$D$24)),Inputs!$F$24-SQRT((1-L1607)*(Inputs!$F$24-Inputs!$D$24)*(Inputs!$F$24-Inputs!$E$24)))</f>
        <v>0.75382716642831</v>
      </c>
      <c r="N1607" s="81" t="n">
        <f aca="true">RAND()</f>
        <v>0.399226006919151</v>
      </c>
      <c r="O1607" s="83" t="n">
        <f aca="false">IF(N1607&lt;(Inputs!$E$26-Inputs!$D$26)/(Inputs!$F$26-Inputs!$D$26),Inputs!$D$26+SQRT(N1607*(Inputs!$F$26-Inputs!$D$26)*(Inputs!$E$26-Inputs!$D$26)),Inputs!$F$26-SQRT((1-N1607)*(Inputs!$F$26-Inputs!$D$26)*(Inputs!$F$26-Inputs!$E$26)))</f>
        <v>0.557742521814595</v>
      </c>
      <c r="P1607" s="81" t="n">
        <f aca="true">RAND()</f>
        <v>0.0056294989881348</v>
      </c>
      <c r="Q1607" s="82" t="n">
        <f aca="false">IF(P1607&lt;(Inputs!$E$27-Inputs!$D$27)/(Inputs!$F$27-Inputs!$D$27),Inputs!$D$27+SQRT(P1607*(Inputs!$F$27-Inputs!$D$27)*(Inputs!$E$27-Inputs!$D$27)),Inputs!$F$27-SQRT((1-P1607)*(Inputs!$F$27-Inputs!$D$27)*(Inputs!$F$27-Inputs!$E$27)))</f>
        <v>53.7514993629664</v>
      </c>
      <c r="R1607" s="81" t="n">
        <f aca="true">RAND()</f>
        <v>0.913114797672859</v>
      </c>
      <c r="S1607" s="82" t="n">
        <f aca="false">IF(R1607&lt;(Inputs!$E$29-Inputs!$D$29)/(Inputs!$F$29-Inputs!$D$29),Inputs!$D$29+SQRT(R1607*(Inputs!$F$29-Inputs!$D$29)*(Inputs!$E$29-Inputs!$D$29)),Inputs!$F$29-SQRT((1-R1607)*(Inputs!$F$29-Inputs!$D$29)*(Inputs!$F$29-Inputs!$E$29)))</f>
        <v>11.6391851728296</v>
      </c>
      <c r="T1607" s="68" t="n">
        <f aca="false">Inputs!$E$9*(1+E1607)+Inputs!$E$5*C1607*(Inputs!$E$11*Inputs!$E$14*(G1607*I1607/Inputs!$E$16+(1-G1607))*K1607+Inputs!$E$23*M1607)*(1+O1607)+Inputs!$E$5*(Q1607+S1607)</f>
        <v>6135.38806307479</v>
      </c>
    </row>
    <row r="1608" customFormat="false" ht="15" hidden="false" customHeight="false" outlineLevel="0" collapsed="false">
      <c r="A1608" s="1" t="n">
        <v>1604</v>
      </c>
      <c r="B1608" s="81" t="n">
        <f aca="true">RAND()</f>
        <v>0.776003015129901</v>
      </c>
      <c r="C1608" s="82" t="n">
        <f aca="false">ROUND(IF(B1608&lt;(Inputs!$E$8-Inputs!$D$8)/(Inputs!$F$8-Inputs!$D$8),Inputs!$D$8+SQRT(B1608*(Inputs!$F$8-Inputs!$D$8)*(Inputs!$E$8-Inputs!$D$8)),Inputs!$F$8-SQRT((1-B1608)*(Inputs!$F$8-Inputs!$D$8)*(Inputs!$F$8-Inputs!$E$8))),0)</f>
        <v>27</v>
      </c>
      <c r="D1608" s="81" t="n">
        <f aca="true">RAND()</f>
        <v>0.18849898517253</v>
      </c>
      <c r="E1608" s="83" t="n">
        <f aca="false">IF(D1608&lt;(Inputs!$E$10-Inputs!$D$10)/(Inputs!$F$10-Inputs!$D$10),Inputs!$D$10+SQRT(D1608*(Inputs!$F$10-Inputs!$D$10)*(Inputs!$E$10-Inputs!$D$10)),Inputs!$F$10-SQRT((1-D1608)*(Inputs!$F$10-Inputs!$D$10)*(Inputs!$F$10-Inputs!$E$10)))</f>
        <v>0.0434164698210863</v>
      </c>
      <c r="F1608" s="81" t="n">
        <f aca="true">RAND()</f>
        <v>0.0456427730879156</v>
      </c>
      <c r="G1608" s="83" t="n">
        <f aca="false">IF(F1608&lt;(Inputs!$E$15-Inputs!$D$15)/(Inputs!$F$15-Inputs!$D$15),Inputs!$D$15+SQRT(F1608*(Inputs!$F$15-Inputs!$D$15)*(Inputs!$E$15-Inputs!$D$15)),Inputs!$F$15-SQRT((1-F1608)*(Inputs!$F$15-Inputs!$D$15)*(Inputs!$F$15-Inputs!$E$15)))</f>
        <v>0.630213498005996</v>
      </c>
      <c r="H1608" s="81" t="n">
        <f aca="true">RAND()</f>
        <v>0.0722137146391259</v>
      </c>
      <c r="I1608" s="82" t="n">
        <f aca="false">ROUND(IF(H1608&lt;(Inputs!$E$17-Inputs!$D$17)/(Inputs!$F$17-Inputs!$D$17),Inputs!$D$17+SQRT(H1608*(Inputs!$F$17-Inputs!$D$17)*(Inputs!$E$17-Inputs!$D$17)),Inputs!$F$17-SQRT((1-H1608)*(Inputs!$F$17-Inputs!$D$17)*(Inputs!$F$17-Inputs!$E$17))),0)</f>
        <v>102</v>
      </c>
      <c r="J1608" s="81" t="n">
        <f aca="true">RAND()</f>
        <v>0.172368423219081</v>
      </c>
      <c r="K1608" s="83" t="n">
        <f aca="false">IF(J1608&lt;(Inputs!$E$18-Inputs!$D$18)/(Inputs!$F$18-Inputs!$D$18),Inputs!$D$18+SQRT(J1608*(Inputs!$F$18-Inputs!$D$18)*(Inputs!$E$18-Inputs!$D$18)),Inputs!$F$18-SQRT((1-J1608)*(Inputs!$F$18-Inputs!$D$18)*(Inputs!$F$18-Inputs!$E$18)))</f>
        <v>0.977671711791796</v>
      </c>
      <c r="L1608" s="81" t="n">
        <f aca="true">RAND()</f>
        <v>0.420075390944432</v>
      </c>
      <c r="M1608" s="83" t="n">
        <f aca="false">IF(L1608&lt;(Inputs!$E$24-Inputs!$D$24)/(Inputs!$F$24-Inputs!$D$24),Inputs!$D$24+SQRT(L1608*(Inputs!$F$24-Inputs!$D$24)*(Inputs!$E$24-Inputs!$D$24)),Inputs!$F$24-SQRT((1-L1608)*(Inputs!$F$24-Inputs!$D$24)*(Inputs!$F$24-Inputs!$E$24)))</f>
        <v>0.826929086937434</v>
      </c>
      <c r="N1608" s="81" t="n">
        <f aca="true">RAND()</f>
        <v>0.335947838033226</v>
      </c>
      <c r="O1608" s="83" t="n">
        <f aca="false">IF(N1608&lt;(Inputs!$E$26-Inputs!$D$26)/(Inputs!$F$26-Inputs!$D$26),Inputs!$D$26+SQRT(N1608*(Inputs!$F$26-Inputs!$D$26)*(Inputs!$E$26-Inputs!$D$26)),Inputs!$F$26-SQRT((1-N1608)*(Inputs!$F$26-Inputs!$D$26)*(Inputs!$F$26-Inputs!$E$26)))</f>
        <v>0.536435446261191</v>
      </c>
      <c r="P1608" s="81" t="n">
        <f aca="true">RAND()</f>
        <v>0.245220448241348</v>
      </c>
      <c r="Q1608" s="82" t="n">
        <f aca="false">IF(P1608&lt;(Inputs!$E$27-Inputs!$D$27)/(Inputs!$F$27-Inputs!$D$27),Inputs!$D$27+SQRT(P1608*(Inputs!$F$27-Inputs!$D$27)*(Inputs!$E$27-Inputs!$D$27)),Inputs!$F$27-SQRT((1-P1608)*(Inputs!$F$27-Inputs!$D$27)*(Inputs!$F$27-Inputs!$E$27)))</f>
        <v>74.7598691556189</v>
      </c>
      <c r="R1608" s="81" t="n">
        <f aca="true">RAND()</f>
        <v>0.810239619204306</v>
      </c>
      <c r="S1608" s="82" t="n">
        <f aca="false">IF(R1608&lt;(Inputs!$E$29-Inputs!$D$29)/(Inputs!$F$29-Inputs!$D$29),Inputs!$D$29+SQRT(R1608*(Inputs!$F$29-Inputs!$D$29)*(Inputs!$E$29-Inputs!$D$29)),Inputs!$F$29-SQRT((1-R1608)*(Inputs!$F$29-Inputs!$D$29)*(Inputs!$F$29-Inputs!$E$29)))</f>
        <v>10.03322544266</v>
      </c>
      <c r="T1608" s="68" t="n">
        <f aca="false">Inputs!$E$9*(1+E1608)+Inputs!$E$5*C1608*(Inputs!$E$11*Inputs!$E$14*(G1608*I1608/Inputs!$E$16+(1-G1608))*K1608+Inputs!$E$23*M1608)*(1+O1608)+Inputs!$E$5*(Q1608+S1608)</f>
        <v>6182.77422651284</v>
      </c>
    </row>
    <row r="1609" customFormat="false" ht="15" hidden="false" customHeight="false" outlineLevel="0" collapsed="false">
      <c r="A1609" s="1" t="n">
        <v>1605</v>
      </c>
      <c r="B1609" s="81" t="n">
        <f aca="true">RAND()</f>
        <v>0.622376078648903</v>
      </c>
      <c r="C1609" s="82" t="n">
        <f aca="false">ROUND(IF(B1609&lt;(Inputs!$E$8-Inputs!$D$8)/(Inputs!$F$8-Inputs!$D$8),Inputs!$D$8+SQRT(B1609*(Inputs!$F$8-Inputs!$D$8)*(Inputs!$E$8-Inputs!$D$8)),Inputs!$F$8-SQRT((1-B1609)*(Inputs!$F$8-Inputs!$D$8)*(Inputs!$F$8-Inputs!$E$8))),0)</f>
        <v>26</v>
      </c>
      <c r="D1609" s="81" t="n">
        <f aca="true">RAND()</f>
        <v>0.322223250438322</v>
      </c>
      <c r="E1609" s="83" t="n">
        <f aca="false">IF(D1609&lt;(Inputs!$E$10-Inputs!$D$10)/(Inputs!$F$10-Inputs!$D$10),Inputs!$D$10+SQRT(D1609*(Inputs!$F$10-Inputs!$D$10)*(Inputs!$E$10-Inputs!$D$10)),Inputs!$F$10-SQRT((1-D1609)*(Inputs!$F$10-Inputs!$D$10)*(Inputs!$F$10-Inputs!$E$10)))</f>
        <v>0.0574051105864928</v>
      </c>
      <c r="F1609" s="81" t="n">
        <f aca="true">RAND()</f>
        <v>0.48278824980161</v>
      </c>
      <c r="G1609" s="83" t="n">
        <f aca="false">IF(F1609&lt;(Inputs!$E$15-Inputs!$D$15)/(Inputs!$F$15-Inputs!$D$15),Inputs!$D$15+SQRT(F1609*(Inputs!$F$15-Inputs!$D$15)*(Inputs!$E$15-Inputs!$D$15)),Inputs!$F$15-SQRT((1-F1609)*(Inputs!$F$15-Inputs!$D$15)*(Inputs!$F$15-Inputs!$E$15)))</f>
        <v>0.698263752198012</v>
      </c>
      <c r="H1609" s="81" t="n">
        <f aca="true">RAND()</f>
        <v>0.920618231506575</v>
      </c>
      <c r="I1609" s="82" t="n">
        <f aca="false">ROUND(IF(H1609&lt;(Inputs!$E$17-Inputs!$D$17)/(Inputs!$F$17-Inputs!$D$17),Inputs!$D$17+SQRT(H1609*(Inputs!$F$17-Inputs!$D$17)*(Inputs!$E$17-Inputs!$D$17)),Inputs!$F$17-SQRT((1-H1609)*(Inputs!$F$17-Inputs!$D$17)*(Inputs!$F$17-Inputs!$E$17))),0)</f>
        <v>112</v>
      </c>
      <c r="J1609" s="81" t="n">
        <f aca="true">RAND()</f>
        <v>0.454577947363088</v>
      </c>
      <c r="K1609" s="83" t="n">
        <f aca="false">IF(J1609&lt;(Inputs!$E$18-Inputs!$D$18)/(Inputs!$F$18-Inputs!$D$18),Inputs!$D$18+SQRT(J1609*(Inputs!$F$18-Inputs!$D$18)*(Inputs!$E$18-Inputs!$D$18)),Inputs!$F$18-SQRT((1-J1609)*(Inputs!$F$18-Inputs!$D$18)*(Inputs!$F$18-Inputs!$E$18)))</f>
        <v>1.03154078274028</v>
      </c>
      <c r="L1609" s="81" t="n">
        <f aca="true">RAND()</f>
        <v>0.710050648330261</v>
      </c>
      <c r="M1609" s="83" t="n">
        <f aca="false">IF(L1609&lt;(Inputs!$E$24-Inputs!$D$24)/(Inputs!$F$24-Inputs!$D$24),Inputs!$D$24+SQRT(L1609*(Inputs!$F$24-Inputs!$D$24)*(Inputs!$E$24-Inputs!$D$24)),Inputs!$F$24-SQRT((1-L1609)*(Inputs!$F$24-Inputs!$D$24)*(Inputs!$F$24-Inputs!$E$24)))</f>
        <v>0.936204919680565</v>
      </c>
      <c r="N1609" s="81" t="n">
        <f aca="true">RAND()</f>
        <v>0.798967862757798</v>
      </c>
      <c r="O1609" s="83" t="n">
        <f aca="false">IF(N1609&lt;(Inputs!$E$26-Inputs!$D$26)/(Inputs!$F$26-Inputs!$D$26),Inputs!$D$26+SQRT(N1609*(Inputs!$F$26-Inputs!$D$26)*(Inputs!$E$26-Inputs!$D$26)),Inputs!$F$26-SQRT((1-N1609)*(Inputs!$F$26-Inputs!$D$26)*(Inputs!$F$26-Inputs!$E$26)))</f>
        <v>0.675406285499027</v>
      </c>
      <c r="P1609" s="81" t="n">
        <f aca="true">RAND()</f>
        <v>0.825568211364607</v>
      </c>
      <c r="Q1609" s="82" t="n">
        <f aca="false">IF(P1609&lt;(Inputs!$E$27-Inputs!$D$27)/(Inputs!$F$27-Inputs!$D$27),Inputs!$D$27+SQRT(P1609*(Inputs!$F$27-Inputs!$D$27)*(Inputs!$E$27-Inputs!$D$27)),Inputs!$F$27-SQRT((1-P1609)*(Inputs!$F$27-Inputs!$D$27)*(Inputs!$F$27-Inputs!$E$27)))</f>
        <v>113.83042141847</v>
      </c>
      <c r="R1609" s="81" t="n">
        <f aca="true">RAND()</f>
        <v>0.40088139812319</v>
      </c>
      <c r="S1609" s="82" t="n">
        <f aca="false">IF(R1609&lt;(Inputs!$E$29-Inputs!$D$29)/(Inputs!$F$29-Inputs!$D$29),Inputs!$D$29+SQRT(R1609*(Inputs!$F$29-Inputs!$D$29)*(Inputs!$E$29-Inputs!$D$29)),Inputs!$F$29-SQRT((1-R1609)*(Inputs!$F$29-Inputs!$D$29)*(Inputs!$F$29-Inputs!$E$29)))</f>
        <v>6.17472843228123</v>
      </c>
      <c r="T1609" s="68" t="n">
        <f aca="false">Inputs!$E$9*(1+E1609)+Inputs!$E$5*C1609*(Inputs!$E$11*Inputs!$E$14*(G1609*I1609/Inputs!$E$16+(1-G1609))*K1609+Inputs!$E$23*M1609)*(1+O1609)+Inputs!$E$5*(Q1609+S1609)</f>
        <v>6887.27868652347</v>
      </c>
    </row>
    <row r="1610" customFormat="false" ht="15" hidden="false" customHeight="false" outlineLevel="0" collapsed="false">
      <c r="A1610" s="1" t="n">
        <v>1606</v>
      </c>
      <c r="B1610" s="81" t="n">
        <f aca="true">RAND()</f>
        <v>0.207814833357758</v>
      </c>
      <c r="C1610" s="82" t="n">
        <f aca="false">ROUND(IF(B1610&lt;(Inputs!$E$8-Inputs!$D$8)/(Inputs!$F$8-Inputs!$D$8),Inputs!$D$8+SQRT(B1610*(Inputs!$F$8-Inputs!$D$8)*(Inputs!$E$8-Inputs!$D$8)),Inputs!$F$8-SQRT((1-B1610)*(Inputs!$F$8-Inputs!$D$8)*(Inputs!$F$8-Inputs!$E$8))),0)</f>
        <v>23</v>
      </c>
      <c r="D1610" s="81" t="n">
        <f aca="true">RAND()</f>
        <v>0.683053186286178</v>
      </c>
      <c r="E1610" s="83" t="n">
        <f aca="false">IF(D1610&lt;(Inputs!$E$10-Inputs!$D$10)/(Inputs!$F$10-Inputs!$D$10),Inputs!$D$10+SQRT(D1610*(Inputs!$F$10-Inputs!$D$10)*(Inputs!$E$10-Inputs!$D$10)),Inputs!$F$10-SQRT((1-D1610)*(Inputs!$F$10-Inputs!$D$10)*(Inputs!$F$10-Inputs!$E$10)))</f>
        <v>0.102488952362234</v>
      </c>
      <c r="F1610" s="81" t="n">
        <f aca="true">RAND()</f>
        <v>0.00966472130989745</v>
      </c>
      <c r="G1610" s="83" t="n">
        <f aca="false">IF(F1610&lt;(Inputs!$E$15-Inputs!$D$15)/(Inputs!$F$15-Inputs!$D$15),Inputs!$D$15+SQRT(F1610*(Inputs!$F$15-Inputs!$D$15)*(Inputs!$E$15-Inputs!$D$15)),Inputs!$F$15-SQRT((1-F1610)*(Inputs!$F$15-Inputs!$D$15)*(Inputs!$F$15-Inputs!$E$15)))</f>
        <v>0.613903036581911</v>
      </c>
      <c r="H1610" s="81" t="n">
        <f aca="true">RAND()</f>
        <v>0.347024168563282</v>
      </c>
      <c r="I1610" s="82" t="n">
        <f aca="false">ROUND(IF(H1610&lt;(Inputs!$E$17-Inputs!$D$17)/(Inputs!$F$17-Inputs!$D$17),Inputs!$D$17+SQRT(H1610*(Inputs!$F$17-Inputs!$D$17)*(Inputs!$E$17-Inputs!$D$17)),Inputs!$F$17-SQRT((1-H1610)*(Inputs!$F$17-Inputs!$D$17)*(Inputs!$F$17-Inputs!$E$17))),0)</f>
        <v>105</v>
      </c>
      <c r="J1610" s="81" t="n">
        <f aca="true">RAND()</f>
        <v>0.282542214027922</v>
      </c>
      <c r="K1610" s="83" t="n">
        <f aca="false">IF(J1610&lt;(Inputs!$E$18-Inputs!$D$18)/(Inputs!$F$18-Inputs!$D$18),Inputs!$D$18+SQRT(J1610*(Inputs!$F$18-Inputs!$D$18)*(Inputs!$E$18-Inputs!$D$18)),Inputs!$F$18-SQRT((1-J1610)*(Inputs!$F$18-Inputs!$D$18)*(Inputs!$F$18-Inputs!$E$18)))</f>
        <v>0.99944333809249</v>
      </c>
      <c r="L1610" s="81" t="n">
        <f aca="true">RAND()</f>
        <v>0.421669594289318</v>
      </c>
      <c r="M1610" s="83" t="n">
        <f aca="false">IF(L1610&lt;(Inputs!$E$24-Inputs!$D$24)/(Inputs!$F$24-Inputs!$D$24),Inputs!$D$24+SQRT(L1610*(Inputs!$F$24-Inputs!$D$24)*(Inputs!$E$24-Inputs!$D$24)),Inputs!$F$24-SQRT((1-L1610)*(Inputs!$F$24-Inputs!$D$24)*(Inputs!$F$24-Inputs!$E$24)))</f>
        <v>0.827442222775361</v>
      </c>
      <c r="N1610" s="81" t="n">
        <f aca="true">RAND()</f>
        <v>0.222951840022688</v>
      </c>
      <c r="O1610" s="83" t="n">
        <f aca="false">IF(N1610&lt;(Inputs!$E$26-Inputs!$D$26)/(Inputs!$F$26-Inputs!$D$26),Inputs!$D$26+SQRT(N1610*(Inputs!$F$26-Inputs!$D$26)*(Inputs!$E$26-Inputs!$D$26)),Inputs!$F$26-SQRT((1-N1610)*(Inputs!$F$26-Inputs!$D$26)*(Inputs!$F$26-Inputs!$E$26)))</f>
        <v>0.492611490258954</v>
      </c>
      <c r="P1610" s="81" t="n">
        <f aca="true">RAND()</f>
        <v>0.316860822245364</v>
      </c>
      <c r="Q1610" s="82" t="n">
        <f aca="false">IF(P1610&lt;(Inputs!$E$27-Inputs!$D$27)/(Inputs!$F$27-Inputs!$D$27),Inputs!$D$27+SQRT(P1610*(Inputs!$F$27-Inputs!$D$27)*(Inputs!$E$27-Inputs!$D$27)),Inputs!$F$27-SQRT((1-P1610)*(Inputs!$F$27-Inputs!$D$27)*(Inputs!$F$27-Inputs!$E$27)))</f>
        <v>78.4210657165129</v>
      </c>
      <c r="R1610" s="81" t="n">
        <f aca="true">RAND()</f>
        <v>0.944291416454801</v>
      </c>
      <c r="S1610" s="82" t="n">
        <f aca="false">IF(R1610&lt;(Inputs!$E$29-Inputs!$D$29)/(Inputs!$F$29-Inputs!$D$29),Inputs!$D$29+SQRT(R1610*(Inputs!$F$29-Inputs!$D$29)*(Inputs!$E$29-Inputs!$D$29)),Inputs!$F$29-SQRT((1-R1610)*(Inputs!$F$29-Inputs!$D$29)*(Inputs!$F$29-Inputs!$E$29)))</f>
        <v>12.3088820425563</v>
      </c>
      <c r="T1610" s="68" t="n">
        <f aca="false">Inputs!$E$9*(1+E1610)+Inputs!$E$5*C1610*(Inputs!$E$11*Inputs!$E$14*(G1610*I1610/Inputs!$E$16+(1-G1610))*K1610+Inputs!$E$23*M1610)*(1+O1610)+Inputs!$E$5*(Q1610+S1610)</f>
        <v>5832.74333475279</v>
      </c>
    </row>
    <row r="1611" customFormat="false" ht="15" hidden="false" customHeight="false" outlineLevel="0" collapsed="false">
      <c r="A1611" s="1" t="n">
        <v>1607</v>
      </c>
      <c r="B1611" s="81" t="n">
        <f aca="true">RAND()</f>
        <v>0.290066524494219</v>
      </c>
      <c r="C1611" s="82" t="n">
        <f aca="false">ROUND(IF(B1611&lt;(Inputs!$E$8-Inputs!$D$8)/(Inputs!$F$8-Inputs!$D$8),Inputs!$D$8+SQRT(B1611*(Inputs!$F$8-Inputs!$D$8)*(Inputs!$E$8-Inputs!$D$8)),Inputs!$F$8-SQRT((1-B1611)*(Inputs!$F$8-Inputs!$D$8)*(Inputs!$F$8-Inputs!$E$8))),0)</f>
        <v>24</v>
      </c>
      <c r="D1611" s="81" t="n">
        <f aca="true">RAND()</f>
        <v>0.148039648259052</v>
      </c>
      <c r="E1611" s="83" t="n">
        <f aca="false">IF(D1611&lt;(Inputs!$E$10-Inputs!$D$10)/(Inputs!$F$10-Inputs!$D$10),Inputs!$D$10+SQRT(D1611*(Inputs!$F$10-Inputs!$D$10)*(Inputs!$E$10-Inputs!$D$10)),Inputs!$F$10-SQRT((1-D1611)*(Inputs!$F$10-Inputs!$D$10)*(Inputs!$F$10-Inputs!$E$10)))</f>
        <v>0.0384759208153687</v>
      </c>
      <c r="F1611" s="81" t="n">
        <f aca="true">RAND()</f>
        <v>0.270939071085838</v>
      </c>
      <c r="G1611" s="83" t="n">
        <f aca="false">IF(F1611&lt;(Inputs!$E$15-Inputs!$D$15)/(Inputs!$F$15-Inputs!$D$15),Inputs!$D$15+SQRT(F1611*(Inputs!$F$15-Inputs!$D$15)*(Inputs!$E$15-Inputs!$D$15)),Inputs!$F$15-SQRT((1-F1611)*(Inputs!$F$15-Inputs!$D$15)*(Inputs!$F$15-Inputs!$E$15)))</f>
        <v>0.673612372748858</v>
      </c>
      <c r="H1611" s="81" t="n">
        <f aca="true">RAND()</f>
        <v>0.751307528824307</v>
      </c>
      <c r="I1611" s="82" t="n">
        <f aca="false">ROUND(IF(H1611&lt;(Inputs!$E$17-Inputs!$D$17)/(Inputs!$F$17-Inputs!$D$17),Inputs!$D$17+SQRT(H1611*(Inputs!$F$17-Inputs!$D$17)*(Inputs!$E$17-Inputs!$D$17)),Inputs!$F$17-SQRT((1-H1611)*(Inputs!$F$17-Inputs!$D$17)*(Inputs!$F$17-Inputs!$E$17))),0)</f>
        <v>109</v>
      </c>
      <c r="J1611" s="81" t="n">
        <f aca="true">RAND()</f>
        <v>0.419950779711296</v>
      </c>
      <c r="K1611" s="83" t="n">
        <f aca="false">IF(J1611&lt;(Inputs!$E$18-Inputs!$D$18)/(Inputs!$F$18-Inputs!$D$18),Inputs!$D$18+SQRT(J1611*(Inputs!$F$18-Inputs!$D$18)*(Inputs!$E$18-Inputs!$D$18)),Inputs!$F$18-SQRT((1-J1611)*(Inputs!$F$18-Inputs!$D$18)*(Inputs!$F$18-Inputs!$E$18)))</f>
        <v>1.02471283486345</v>
      </c>
      <c r="L1611" s="81" t="n">
        <f aca="true">RAND()</f>
        <v>0.437799328941272</v>
      </c>
      <c r="M1611" s="83" t="n">
        <f aca="false">IF(L1611&lt;(Inputs!$E$24-Inputs!$D$24)/(Inputs!$F$24-Inputs!$D$24),Inputs!$D$24+SQRT(L1611*(Inputs!$F$24-Inputs!$D$24)*(Inputs!$E$24-Inputs!$D$24)),Inputs!$F$24-SQRT((1-L1611)*(Inputs!$F$24-Inputs!$D$24)*(Inputs!$F$24-Inputs!$E$24)))</f>
        <v>0.832674312014399</v>
      </c>
      <c r="N1611" s="81" t="n">
        <f aca="true">RAND()</f>
        <v>0.211788015891464</v>
      </c>
      <c r="O1611" s="83" t="n">
        <f aca="false">IF(N1611&lt;(Inputs!$E$26-Inputs!$D$26)/(Inputs!$F$26-Inputs!$D$26),Inputs!$D$26+SQRT(N1611*(Inputs!$F$26-Inputs!$D$26)*(Inputs!$E$26-Inputs!$D$26)),Inputs!$F$26-SQRT((1-N1611)*(Inputs!$F$26-Inputs!$D$26)*(Inputs!$F$26-Inputs!$E$26)))</f>
        <v>0.487727264520473</v>
      </c>
      <c r="P1611" s="81" t="n">
        <f aca="true">RAND()</f>
        <v>0.617933289930805</v>
      </c>
      <c r="Q1611" s="82" t="n">
        <f aca="false">IF(P1611&lt;(Inputs!$E$27-Inputs!$D$27)/(Inputs!$F$27-Inputs!$D$27),Inputs!$D$27+SQRT(P1611*(Inputs!$F$27-Inputs!$D$27)*(Inputs!$E$27-Inputs!$D$27)),Inputs!$F$27-SQRT((1-P1611)*(Inputs!$F$27-Inputs!$D$27)*(Inputs!$F$27-Inputs!$E$27)))</f>
        <v>96.4696317449715</v>
      </c>
      <c r="R1611" s="81" t="n">
        <f aca="true">RAND()</f>
        <v>0.418052988327518</v>
      </c>
      <c r="S1611" s="82" t="n">
        <f aca="false">IF(R1611&lt;(Inputs!$E$29-Inputs!$D$29)/(Inputs!$F$29-Inputs!$D$29),Inputs!$D$29+SQRT(R1611*(Inputs!$F$29-Inputs!$D$29)*(Inputs!$E$29-Inputs!$D$29)),Inputs!$F$29-SQRT((1-R1611)*(Inputs!$F$29-Inputs!$D$29)*(Inputs!$F$29-Inputs!$E$29)))</f>
        <v>6.3021202861029</v>
      </c>
      <c r="T1611" s="68" t="n">
        <f aca="false">Inputs!$E$9*(1+E1611)+Inputs!$E$5*C1611*(Inputs!$E$11*Inputs!$E$14*(G1611*I1611/Inputs!$E$16+(1-G1611))*K1611+Inputs!$E$23*M1611)*(1+O1611)+Inputs!$E$5*(Q1611+S1611)</f>
        <v>5896.44034492256</v>
      </c>
    </row>
    <row r="1612" customFormat="false" ht="15" hidden="false" customHeight="false" outlineLevel="0" collapsed="false">
      <c r="A1612" s="1" t="n">
        <v>1608</v>
      </c>
      <c r="B1612" s="81" t="n">
        <f aca="true">RAND()</f>
        <v>0.195912799671481</v>
      </c>
      <c r="C1612" s="82" t="n">
        <f aca="false">ROUND(IF(B1612&lt;(Inputs!$E$8-Inputs!$D$8)/(Inputs!$F$8-Inputs!$D$8),Inputs!$D$8+SQRT(B1612*(Inputs!$F$8-Inputs!$D$8)*(Inputs!$E$8-Inputs!$D$8)),Inputs!$F$8-SQRT((1-B1612)*(Inputs!$F$8-Inputs!$D$8)*(Inputs!$F$8-Inputs!$E$8))),0)</f>
        <v>23</v>
      </c>
      <c r="D1612" s="81" t="n">
        <f aca="true">RAND()</f>
        <v>0.446055649651823</v>
      </c>
      <c r="E1612" s="83" t="n">
        <f aca="false">IF(D1612&lt;(Inputs!$E$10-Inputs!$D$10)/(Inputs!$F$10-Inputs!$D$10),Inputs!$D$10+SQRT(D1612*(Inputs!$F$10-Inputs!$D$10)*(Inputs!$E$10-Inputs!$D$10)),Inputs!$F$10-SQRT((1-D1612)*(Inputs!$F$10-Inputs!$D$10)*(Inputs!$F$10-Inputs!$E$10)))</f>
        <v>0.071087896183309</v>
      </c>
      <c r="F1612" s="81" t="n">
        <f aca="true">RAND()</f>
        <v>0.39777774861069</v>
      </c>
      <c r="G1612" s="83" t="n">
        <f aca="false">IF(F1612&lt;(Inputs!$E$15-Inputs!$D$15)/(Inputs!$F$15-Inputs!$D$15),Inputs!$D$15+SQRT(F1612*(Inputs!$F$15-Inputs!$D$15)*(Inputs!$E$15-Inputs!$D$15)),Inputs!$F$15-SQRT((1-F1612)*(Inputs!$F$15-Inputs!$D$15)*(Inputs!$F$15-Inputs!$E$15)))</f>
        <v>0.689193917798322</v>
      </c>
      <c r="H1612" s="81" t="n">
        <f aca="true">RAND()</f>
        <v>0.924377581554164</v>
      </c>
      <c r="I1612" s="82" t="n">
        <f aca="false">ROUND(IF(H1612&lt;(Inputs!$E$17-Inputs!$D$17)/(Inputs!$F$17-Inputs!$D$17),Inputs!$D$17+SQRT(H1612*(Inputs!$F$17-Inputs!$D$17)*(Inputs!$E$17-Inputs!$D$17)),Inputs!$F$17-SQRT((1-H1612)*(Inputs!$F$17-Inputs!$D$17)*(Inputs!$F$17-Inputs!$E$17))),0)</f>
        <v>112</v>
      </c>
      <c r="J1612" s="81" t="n">
        <f aca="true">RAND()</f>
        <v>0.805763491696616</v>
      </c>
      <c r="K1612" s="83" t="n">
        <f aca="false">IF(J1612&lt;(Inputs!$E$18-Inputs!$D$18)/(Inputs!$F$18-Inputs!$D$18),Inputs!$D$18+SQRT(J1612*(Inputs!$F$18-Inputs!$D$18)*(Inputs!$E$18-Inputs!$D$18)),Inputs!$F$18-SQRT((1-J1612)*(Inputs!$F$18-Inputs!$D$18)*(Inputs!$F$18-Inputs!$E$18)))</f>
        <v>1.11963246387023</v>
      </c>
      <c r="L1612" s="81" t="n">
        <f aca="true">RAND()</f>
        <v>0.0579743192713261</v>
      </c>
      <c r="M1612" s="83" t="n">
        <f aca="false">IF(L1612&lt;(Inputs!$E$24-Inputs!$D$24)/(Inputs!$F$24-Inputs!$D$24),Inputs!$D$24+SQRT(L1612*(Inputs!$F$24-Inputs!$D$24)*(Inputs!$E$24-Inputs!$D$24)),Inputs!$F$24-SQRT((1-L1612)*(Inputs!$F$24-Inputs!$D$24)*(Inputs!$F$24-Inputs!$E$24)))</f>
        <v>0.683408142963137</v>
      </c>
      <c r="N1612" s="81" t="n">
        <f aca="true">RAND()</f>
        <v>0.928706097234812</v>
      </c>
      <c r="O1612" s="83" t="n">
        <f aca="false">IF(N1612&lt;(Inputs!$E$26-Inputs!$D$26)/(Inputs!$F$26-Inputs!$D$26),Inputs!$D$26+SQRT(N1612*(Inputs!$F$26-Inputs!$D$26)*(Inputs!$E$26-Inputs!$D$26)),Inputs!$F$26-SQRT((1-N1612)*(Inputs!$F$26-Inputs!$D$26)*(Inputs!$F$26-Inputs!$E$26)))</f>
        <v>0.733892126448393</v>
      </c>
      <c r="P1612" s="81" t="n">
        <f aca="true">RAND()</f>
        <v>0.330611776794692</v>
      </c>
      <c r="Q1612" s="82" t="n">
        <f aca="false">IF(P1612&lt;(Inputs!$E$27-Inputs!$D$27)/(Inputs!$F$27-Inputs!$D$27),Inputs!$D$27+SQRT(P1612*(Inputs!$F$27-Inputs!$D$27)*(Inputs!$E$27-Inputs!$D$27)),Inputs!$F$27-SQRT((1-P1612)*(Inputs!$F$27-Inputs!$D$27)*(Inputs!$F$27-Inputs!$E$27)))</f>
        <v>79.1451365533755</v>
      </c>
      <c r="R1612" s="81" t="n">
        <f aca="true">RAND()</f>
        <v>0.351919878674448</v>
      </c>
      <c r="S1612" s="82" t="n">
        <f aca="false">IF(R1612&lt;(Inputs!$E$29-Inputs!$D$29)/(Inputs!$F$29-Inputs!$D$29),Inputs!$D$29+SQRT(R1612*(Inputs!$F$29-Inputs!$D$29)*(Inputs!$E$29-Inputs!$D$29)),Inputs!$F$29-SQRT((1-R1612)*(Inputs!$F$29-Inputs!$D$29)*(Inputs!$F$29-Inputs!$E$29)))</f>
        <v>5.82119747612349</v>
      </c>
      <c r="T1612" s="68" t="n">
        <f aca="false">Inputs!$E$9*(1+E1612)+Inputs!$E$5*C1612*(Inputs!$E$11*Inputs!$E$14*(G1612*I1612/Inputs!$E$16+(1-G1612))*K1612+Inputs!$E$23*M1612)*(1+O1612)+Inputs!$E$5*(Q1612+S1612)</f>
        <v>6256.36247000255</v>
      </c>
    </row>
    <row r="1613" customFormat="false" ht="15" hidden="false" customHeight="false" outlineLevel="0" collapsed="false">
      <c r="A1613" s="1" t="n">
        <v>1609</v>
      </c>
      <c r="B1613" s="81" t="n">
        <f aca="true">RAND()</f>
        <v>0.990508345334632</v>
      </c>
      <c r="C1613" s="82" t="n">
        <f aca="false">ROUND(IF(B1613&lt;(Inputs!$E$8-Inputs!$D$8)/(Inputs!$F$8-Inputs!$D$8),Inputs!$D$8+SQRT(B1613*(Inputs!$F$8-Inputs!$D$8)*(Inputs!$E$8-Inputs!$D$8)),Inputs!$F$8-SQRT((1-B1613)*(Inputs!$F$8-Inputs!$D$8)*(Inputs!$F$8-Inputs!$E$8))),0)</f>
        <v>29</v>
      </c>
      <c r="D1613" s="81" t="n">
        <f aca="true">RAND()</f>
        <v>0.679319981467503</v>
      </c>
      <c r="E1613" s="83" t="n">
        <f aca="false">IF(D1613&lt;(Inputs!$E$10-Inputs!$D$10)/(Inputs!$F$10-Inputs!$D$10),Inputs!$D$10+SQRT(D1613*(Inputs!$F$10-Inputs!$D$10)*(Inputs!$E$10-Inputs!$D$10)),Inputs!$F$10-SQRT((1-D1613)*(Inputs!$F$10-Inputs!$D$10)*(Inputs!$F$10-Inputs!$E$10)))</f>
        <v>0.101916359386619</v>
      </c>
      <c r="F1613" s="81" t="n">
        <f aca="true">RAND()</f>
        <v>0.439052900494411</v>
      </c>
      <c r="G1613" s="83" t="n">
        <f aca="false">IF(F1613&lt;(Inputs!$E$15-Inputs!$D$15)/(Inputs!$F$15-Inputs!$D$15),Inputs!$D$15+SQRT(F1613*(Inputs!$F$15-Inputs!$D$15)*(Inputs!$E$15-Inputs!$D$15)),Inputs!$F$15-SQRT((1-F1613)*(Inputs!$F$15-Inputs!$D$15)*(Inputs!$F$15-Inputs!$E$15)))</f>
        <v>0.693707299661703</v>
      </c>
      <c r="H1613" s="81" t="n">
        <f aca="true">RAND()</f>
        <v>0.774081135597021</v>
      </c>
      <c r="I1613" s="82" t="n">
        <f aca="false">ROUND(IF(H1613&lt;(Inputs!$E$17-Inputs!$D$17)/(Inputs!$F$17-Inputs!$D$17),Inputs!$D$17+SQRT(H1613*(Inputs!$F$17-Inputs!$D$17)*(Inputs!$E$17-Inputs!$D$17)),Inputs!$F$17-SQRT((1-H1613)*(Inputs!$F$17-Inputs!$D$17)*(Inputs!$F$17-Inputs!$E$17))),0)</f>
        <v>109</v>
      </c>
      <c r="J1613" s="81" t="n">
        <f aca="true">RAND()</f>
        <v>0.279423092171449</v>
      </c>
      <c r="K1613" s="83" t="n">
        <f aca="false">IF(J1613&lt;(Inputs!$E$18-Inputs!$D$18)/(Inputs!$F$18-Inputs!$D$18),Inputs!$D$18+SQRT(J1613*(Inputs!$F$18-Inputs!$D$18)*(Inputs!$E$18-Inputs!$D$18)),Inputs!$F$18-SQRT((1-J1613)*(Inputs!$F$18-Inputs!$D$18)*(Inputs!$F$18-Inputs!$E$18)))</f>
        <v>0.998892912921001</v>
      </c>
      <c r="L1613" s="81" t="n">
        <f aca="true">RAND()</f>
        <v>0.142791985496594</v>
      </c>
      <c r="M1613" s="83" t="n">
        <f aca="false">IF(L1613&lt;(Inputs!$E$24-Inputs!$D$24)/(Inputs!$F$24-Inputs!$D$24),Inputs!$D$24+SQRT(L1613*(Inputs!$F$24-Inputs!$D$24)*(Inputs!$E$24-Inputs!$D$24)),Inputs!$F$24-SQRT((1-L1613)*(Inputs!$F$24-Inputs!$D$24)*(Inputs!$F$24-Inputs!$E$24)))</f>
        <v>0.730900871882472</v>
      </c>
      <c r="N1613" s="81" t="n">
        <f aca="true">RAND()</f>
        <v>0.139767094754449</v>
      </c>
      <c r="O1613" s="83" t="n">
        <f aca="false">IF(N1613&lt;(Inputs!$E$26-Inputs!$D$26)/(Inputs!$F$26-Inputs!$D$26),Inputs!$D$26+SQRT(N1613*(Inputs!$F$26-Inputs!$D$26)*(Inputs!$E$26-Inputs!$D$26)),Inputs!$F$26-SQRT((1-N1613)*(Inputs!$F$26-Inputs!$D$26)*(Inputs!$F$26-Inputs!$E$26)))</f>
        <v>0.452503260841007</v>
      </c>
      <c r="P1613" s="81" t="n">
        <f aca="true">RAND()</f>
        <v>0.260704529619957</v>
      </c>
      <c r="Q1613" s="82" t="n">
        <f aca="false">IF(P1613&lt;(Inputs!$E$27-Inputs!$D$27)/(Inputs!$F$27-Inputs!$D$27),Inputs!$D$27+SQRT(P1613*(Inputs!$F$27-Inputs!$D$27)*(Inputs!$E$27-Inputs!$D$27)),Inputs!$F$27-SQRT((1-P1613)*(Inputs!$F$27-Inputs!$D$27)*(Inputs!$F$27-Inputs!$E$27)))</f>
        <v>75.5371500152571</v>
      </c>
      <c r="R1613" s="81" t="n">
        <f aca="true">RAND()</f>
        <v>0.0294297747743046</v>
      </c>
      <c r="S1613" s="82" t="n">
        <f aca="false">IF(R1613&lt;(Inputs!$E$29-Inputs!$D$29)/(Inputs!$F$29-Inputs!$D$29),Inputs!$D$29+SQRT(R1613*(Inputs!$F$29-Inputs!$D$29)*(Inputs!$E$29-Inputs!$D$29)),Inputs!$F$29-SQRT((1-R1613)*(Inputs!$F$29-Inputs!$D$29)*(Inputs!$F$29-Inputs!$E$29)))</f>
        <v>3.07133618262331</v>
      </c>
      <c r="T1613" s="68" t="n">
        <f aca="false">Inputs!$E$9*(1+E1613)+Inputs!$E$5*C1613*(Inputs!$E$11*Inputs!$E$14*(G1613*I1613/Inputs!$E$16+(1-G1613))*K1613+Inputs!$E$23*M1613)*(1+O1613)+Inputs!$E$5*(Q1613+S1613)</f>
        <v>6231.80016551597</v>
      </c>
    </row>
    <row r="1614" customFormat="false" ht="15" hidden="false" customHeight="false" outlineLevel="0" collapsed="false">
      <c r="A1614" s="1" t="n">
        <v>1610</v>
      </c>
      <c r="B1614" s="81" t="n">
        <f aca="true">RAND()</f>
        <v>0.434775424443066</v>
      </c>
      <c r="C1614" s="82" t="n">
        <f aca="false">ROUND(IF(B1614&lt;(Inputs!$E$8-Inputs!$D$8)/(Inputs!$F$8-Inputs!$D$8),Inputs!$D$8+SQRT(B1614*(Inputs!$F$8-Inputs!$D$8)*(Inputs!$E$8-Inputs!$D$8)),Inputs!$F$8-SQRT((1-B1614)*(Inputs!$F$8-Inputs!$D$8)*(Inputs!$F$8-Inputs!$E$8))),0)</f>
        <v>25</v>
      </c>
      <c r="D1614" s="81" t="n">
        <f aca="true">RAND()</f>
        <v>0.122695996302134</v>
      </c>
      <c r="E1614" s="83" t="n">
        <f aca="false">IF(D1614&lt;(Inputs!$E$10-Inputs!$D$10)/(Inputs!$F$10-Inputs!$D$10),Inputs!$D$10+SQRT(D1614*(Inputs!$F$10-Inputs!$D$10)*(Inputs!$E$10-Inputs!$D$10)),Inputs!$F$10-SQRT((1-D1614)*(Inputs!$F$10-Inputs!$D$10)*(Inputs!$F$10-Inputs!$E$10)))</f>
        <v>0.0350279882811067</v>
      </c>
      <c r="F1614" s="81" t="n">
        <f aca="true">RAND()</f>
        <v>0.93081207142978</v>
      </c>
      <c r="G1614" s="83" t="n">
        <f aca="false">IF(F1614&lt;(Inputs!$E$15-Inputs!$D$15)/(Inputs!$F$15-Inputs!$D$15),Inputs!$D$15+SQRT(F1614*(Inputs!$F$15-Inputs!$D$15)*(Inputs!$E$15-Inputs!$D$15)),Inputs!$F$15-SQRT((1-F1614)*(Inputs!$F$15-Inputs!$D$15)*(Inputs!$F$15-Inputs!$E$15)))</f>
        <v>0.762801094486472</v>
      </c>
      <c r="H1614" s="81" t="n">
        <f aca="true">RAND()</f>
        <v>0.5490057766111</v>
      </c>
      <c r="I1614" s="82" t="n">
        <f aca="false">ROUND(IF(H1614&lt;(Inputs!$E$17-Inputs!$D$17)/(Inputs!$F$17-Inputs!$D$17),Inputs!$D$17+SQRT(H1614*(Inputs!$F$17-Inputs!$D$17)*(Inputs!$E$17-Inputs!$D$17)),Inputs!$F$17-SQRT((1-H1614)*(Inputs!$F$17-Inputs!$D$17)*(Inputs!$F$17-Inputs!$E$17))),0)</f>
        <v>107</v>
      </c>
      <c r="J1614" s="81" t="n">
        <f aca="true">RAND()</f>
        <v>0.619668837005581</v>
      </c>
      <c r="K1614" s="83" t="n">
        <f aca="false">IF(J1614&lt;(Inputs!$E$18-Inputs!$D$18)/(Inputs!$F$18-Inputs!$D$18),Inputs!$D$18+SQRT(J1614*(Inputs!$F$18-Inputs!$D$18)*(Inputs!$E$18-Inputs!$D$18)),Inputs!$F$18-SQRT((1-J1614)*(Inputs!$F$18-Inputs!$D$18)*(Inputs!$F$18-Inputs!$E$18)))</f>
        <v>1.06757473650283</v>
      </c>
      <c r="L1614" s="81" t="n">
        <f aca="true">RAND()</f>
        <v>0.237500916352951</v>
      </c>
      <c r="M1614" s="83" t="n">
        <f aca="false">IF(L1614&lt;(Inputs!$E$24-Inputs!$D$24)/(Inputs!$F$24-Inputs!$D$24),Inputs!$D$24+SQRT(L1614*(Inputs!$F$24-Inputs!$D$24)*(Inputs!$E$24-Inputs!$D$24)),Inputs!$F$24-SQRT((1-L1614)*(Inputs!$F$24-Inputs!$D$24)*(Inputs!$F$24-Inputs!$E$24)))</f>
        <v>0.768819755841412</v>
      </c>
      <c r="N1614" s="81" t="n">
        <f aca="true">RAND()</f>
        <v>0.871370025741425</v>
      </c>
      <c r="O1614" s="83" t="n">
        <f aca="false">IF(N1614&lt;(Inputs!$E$26-Inputs!$D$26)/(Inputs!$F$26-Inputs!$D$26),Inputs!$D$26+SQRT(N1614*(Inputs!$F$26-Inputs!$D$26)*(Inputs!$E$26-Inputs!$D$26)),Inputs!$F$26-SQRT((1-N1614)*(Inputs!$F$26-Inputs!$D$26)*(Inputs!$F$26-Inputs!$E$26)))</f>
        <v>0.704338782113918</v>
      </c>
      <c r="P1614" s="81" t="n">
        <f aca="true">RAND()</f>
        <v>0.593854188912116</v>
      </c>
      <c r="Q1614" s="82" t="n">
        <f aca="false">IF(P1614&lt;(Inputs!$E$27-Inputs!$D$27)/(Inputs!$F$27-Inputs!$D$27),Inputs!$D$27+SQRT(P1614*(Inputs!$F$27-Inputs!$D$27)*(Inputs!$E$27-Inputs!$D$27)),Inputs!$F$27-SQRT((1-P1614)*(Inputs!$F$27-Inputs!$D$27)*(Inputs!$F$27-Inputs!$E$27)))</f>
        <v>94.8085732820836</v>
      </c>
      <c r="R1614" s="81" t="n">
        <f aca="true">RAND()</f>
        <v>0.544382787016126</v>
      </c>
      <c r="S1614" s="82" t="n">
        <f aca="false">IF(R1614&lt;(Inputs!$E$29-Inputs!$D$29)/(Inputs!$F$29-Inputs!$D$29),Inputs!$D$29+SQRT(R1614*(Inputs!$F$29-Inputs!$D$29)*(Inputs!$E$29-Inputs!$D$29)),Inputs!$F$29-SQRT((1-R1614)*(Inputs!$F$29-Inputs!$D$29)*(Inputs!$F$29-Inputs!$E$29)))</f>
        <v>7.30388164800569</v>
      </c>
      <c r="T1614" s="68" t="n">
        <f aca="false">Inputs!$E$9*(1+E1614)+Inputs!$E$5*C1614*(Inputs!$E$11*Inputs!$E$14*(G1614*I1614/Inputs!$E$16+(1-G1614))*K1614+Inputs!$E$23*M1614)*(1+O1614)+Inputs!$E$5*(Q1614+S1614)</f>
        <v>6331.97422368813</v>
      </c>
    </row>
    <row r="1615" customFormat="false" ht="15" hidden="false" customHeight="false" outlineLevel="0" collapsed="false">
      <c r="A1615" s="1" t="n">
        <v>1611</v>
      </c>
      <c r="B1615" s="81" t="n">
        <f aca="true">RAND()</f>
        <v>0.861004958548952</v>
      </c>
      <c r="C1615" s="82" t="n">
        <f aca="false">ROUND(IF(B1615&lt;(Inputs!$E$8-Inputs!$D$8)/(Inputs!$F$8-Inputs!$D$8),Inputs!$D$8+SQRT(B1615*(Inputs!$F$8-Inputs!$D$8)*(Inputs!$E$8-Inputs!$D$8)),Inputs!$F$8-SQRT((1-B1615)*(Inputs!$F$8-Inputs!$D$8)*(Inputs!$F$8-Inputs!$E$8))),0)</f>
        <v>27</v>
      </c>
      <c r="D1615" s="81" t="n">
        <f aca="true">RAND()</f>
        <v>0.389604255423135</v>
      </c>
      <c r="E1615" s="83" t="n">
        <f aca="false">IF(D1615&lt;(Inputs!$E$10-Inputs!$D$10)/(Inputs!$F$10-Inputs!$D$10),Inputs!$D$10+SQRT(D1615*(Inputs!$F$10-Inputs!$D$10)*(Inputs!$E$10-Inputs!$D$10)),Inputs!$F$10-SQRT((1-D1615)*(Inputs!$F$10-Inputs!$D$10)*(Inputs!$F$10-Inputs!$E$10)))</f>
        <v>0.0646786331087882</v>
      </c>
      <c r="F1615" s="81" t="n">
        <f aca="true">RAND()</f>
        <v>0.511196518963993</v>
      </c>
      <c r="G1615" s="83" t="n">
        <f aca="false">IF(F1615&lt;(Inputs!$E$15-Inputs!$D$15)/(Inputs!$F$15-Inputs!$D$15),Inputs!$D$15+SQRT(F1615*(Inputs!$F$15-Inputs!$D$15)*(Inputs!$E$15-Inputs!$D$15)),Inputs!$F$15-SQRT((1-F1615)*(Inputs!$F$15-Inputs!$D$15)*(Inputs!$F$15-Inputs!$E$15)))</f>
        <v>0.701125991177053</v>
      </c>
      <c r="H1615" s="81" t="n">
        <f aca="true">RAND()</f>
        <v>0.718601172516028</v>
      </c>
      <c r="I1615" s="82" t="n">
        <f aca="false">ROUND(IF(H1615&lt;(Inputs!$E$17-Inputs!$D$17)/(Inputs!$F$17-Inputs!$D$17),Inputs!$D$17+SQRT(H1615*(Inputs!$F$17-Inputs!$D$17)*(Inputs!$E$17-Inputs!$D$17)),Inputs!$F$17-SQRT((1-H1615)*(Inputs!$F$17-Inputs!$D$17)*(Inputs!$F$17-Inputs!$E$17))),0)</f>
        <v>109</v>
      </c>
      <c r="J1615" s="81" t="n">
        <f aca="true">RAND()</f>
        <v>0.947467331333971</v>
      </c>
      <c r="K1615" s="83" t="n">
        <f aca="false">IF(J1615&lt;(Inputs!$E$18-Inputs!$D$18)/(Inputs!$F$18-Inputs!$D$18),Inputs!$D$18+SQRT(J1615*(Inputs!$F$18-Inputs!$D$18)*(Inputs!$E$18-Inputs!$D$18)),Inputs!$F$18-SQRT((1-J1615)*(Inputs!$F$18-Inputs!$D$18)*(Inputs!$F$18-Inputs!$E$18)))</f>
        <v>1.18220170718759</v>
      </c>
      <c r="L1615" s="81" t="n">
        <f aca="true">RAND()</f>
        <v>0.388460444056534</v>
      </c>
      <c r="M1615" s="83" t="n">
        <f aca="false">IF(L1615&lt;(Inputs!$E$24-Inputs!$D$24)/(Inputs!$F$24-Inputs!$D$24),Inputs!$D$24+SQRT(L1615*(Inputs!$F$24-Inputs!$D$24)*(Inputs!$E$24-Inputs!$D$24)),Inputs!$F$24-SQRT((1-L1615)*(Inputs!$F$24-Inputs!$D$24)*(Inputs!$F$24-Inputs!$E$24)))</f>
        <v>0.816894931609576</v>
      </c>
      <c r="N1615" s="81" t="n">
        <f aca="true">RAND()</f>
        <v>0.875759446866326</v>
      </c>
      <c r="O1615" s="83" t="n">
        <f aca="false">IF(N1615&lt;(Inputs!$E$26-Inputs!$D$26)/(Inputs!$F$26-Inputs!$D$26),Inputs!$D$26+SQRT(N1615*(Inputs!$F$26-Inputs!$D$26)*(Inputs!$E$26-Inputs!$D$26)),Inputs!$F$26-SQRT((1-N1615)*(Inputs!$F$26-Inputs!$D$26)*(Inputs!$F$26-Inputs!$E$26)))</f>
        <v>0.706329346241424</v>
      </c>
      <c r="P1615" s="81" t="n">
        <f aca="true">RAND()</f>
        <v>0.742297689452591</v>
      </c>
      <c r="Q1615" s="82" t="n">
        <f aca="false">IF(P1615&lt;(Inputs!$E$27-Inputs!$D$27)/(Inputs!$F$27-Inputs!$D$27),Inputs!$D$27+SQRT(P1615*(Inputs!$F$27-Inputs!$D$27)*(Inputs!$E$27-Inputs!$D$27)),Inputs!$F$27-SQRT((1-P1615)*(Inputs!$F$27-Inputs!$D$27)*(Inputs!$F$27-Inputs!$E$27)))</f>
        <v>106.036750244033</v>
      </c>
      <c r="R1615" s="81" t="n">
        <f aca="true">RAND()</f>
        <v>0.31266062718639</v>
      </c>
      <c r="S1615" s="82" t="n">
        <f aca="false">IF(R1615&lt;(Inputs!$E$29-Inputs!$D$29)/(Inputs!$F$29-Inputs!$D$29),Inputs!$D$29+SQRT(R1615*(Inputs!$F$29-Inputs!$D$29)*(Inputs!$E$29-Inputs!$D$29)),Inputs!$F$29-SQRT((1-R1615)*(Inputs!$F$29-Inputs!$D$29)*(Inputs!$F$29-Inputs!$E$29)))</f>
        <v>5.5472692587925</v>
      </c>
      <c r="T1615" s="68" t="n">
        <f aca="false">Inputs!$E$9*(1+E1615)+Inputs!$E$5*C1615*(Inputs!$E$11*Inputs!$E$14*(G1615*I1615/Inputs!$E$16+(1-G1615))*K1615+Inputs!$E$23*M1615)*(1+O1615)+Inputs!$E$5*(Q1615+S1615)</f>
        <v>7228.31022279928</v>
      </c>
    </row>
    <row r="1616" customFormat="false" ht="15" hidden="false" customHeight="false" outlineLevel="0" collapsed="false">
      <c r="A1616" s="1" t="n">
        <v>1612</v>
      </c>
      <c r="B1616" s="81" t="n">
        <f aca="true">RAND()</f>
        <v>0.398564900152723</v>
      </c>
      <c r="C1616" s="82" t="n">
        <f aca="false">ROUND(IF(B1616&lt;(Inputs!$E$8-Inputs!$D$8)/(Inputs!$F$8-Inputs!$D$8),Inputs!$D$8+SQRT(B1616*(Inputs!$F$8-Inputs!$D$8)*(Inputs!$E$8-Inputs!$D$8)),Inputs!$F$8-SQRT((1-B1616)*(Inputs!$F$8-Inputs!$D$8)*(Inputs!$F$8-Inputs!$E$8))),0)</f>
        <v>24</v>
      </c>
      <c r="D1616" s="81" t="n">
        <f aca="true">RAND()</f>
        <v>0.33880668627189</v>
      </c>
      <c r="E1616" s="83" t="n">
        <f aca="false">IF(D1616&lt;(Inputs!$E$10-Inputs!$D$10)/(Inputs!$F$10-Inputs!$D$10),Inputs!$D$10+SQRT(D1616*(Inputs!$F$10-Inputs!$D$10)*(Inputs!$E$10-Inputs!$D$10)),Inputs!$F$10-SQRT((1-D1616)*(Inputs!$F$10-Inputs!$D$10)*(Inputs!$F$10-Inputs!$E$10)))</f>
        <v>0.0591603769820322</v>
      </c>
      <c r="F1616" s="81" t="n">
        <f aca="true">RAND()</f>
        <v>0.614333517504279</v>
      </c>
      <c r="G1616" s="83" t="n">
        <f aca="false">IF(F1616&lt;(Inputs!$E$15-Inputs!$D$15)/(Inputs!$F$15-Inputs!$D$15),Inputs!$D$15+SQRT(F1616*(Inputs!$F$15-Inputs!$D$15)*(Inputs!$E$15-Inputs!$D$15)),Inputs!$F$15-SQRT((1-F1616)*(Inputs!$F$15-Inputs!$D$15)*(Inputs!$F$15-Inputs!$E$15)))</f>
        <v>0.712174436239131</v>
      </c>
      <c r="H1616" s="81" t="n">
        <f aca="true">RAND()</f>
        <v>0.468751622845507</v>
      </c>
      <c r="I1616" s="82" t="n">
        <f aca="false">ROUND(IF(H1616&lt;(Inputs!$E$17-Inputs!$D$17)/(Inputs!$F$17-Inputs!$D$17),Inputs!$D$17+SQRT(H1616*(Inputs!$F$17-Inputs!$D$17)*(Inputs!$E$17-Inputs!$D$17)),Inputs!$F$17-SQRT((1-H1616)*(Inputs!$F$17-Inputs!$D$17)*(Inputs!$F$17-Inputs!$E$17))),0)</f>
        <v>106</v>
      </c>
      <c r="J1616" s="81" t="n">
        <f aca="true">RAND()</f>
        <v>0.211605613432965</v>
      </c>
      <c r="K1616" s="83" t="n">
        <f aca="false">IF(J1616&lt;(Inputs!$E$18-Inputs!$D$18)/(Inputs!$F$18-Inputs!$D$18),Inputs!$D$18+SQRT(J1616*(Inputs!$F$18-Inputs!$D$18)*(Inputs!$E$18-Inputs!$D$18)),Inputs!$F$18-SQRT((1-J1616)*(Inputs!$F$18-Inputs!$D$18)*(Inputs!$F$18-Inputs!$E$18)))</f>
        <v>0.986059261385128</v>
      </c>
      <c r="L1616" s="81" t="n">
        <f aca="true">RAND()</f>
        <v>0.23392939838614</v>
      </c>
      <c r="M1616" s="83" t="n">
        <f aca="false">IF(L1616&lt;(Inputs!$E$24-Inputs!$D$24)/(Inputs!$F$24-Inputs!$D$24),Inputs!$D$24+SQRT(L1616*(Inputs!$F$24-Inputs!$D$24)*(Inputs!$E$24-Inputs!$D$24)),Inputs!$F$24-SQRT((1-L1616)*(Inputs!$F$24-Inputs!$D$24)*(Inputs!$F$24-Inputs!$E$24)))</f>
        <v>0.767545599185227</v>
      </c>
      <c r="N1616" s="81" t="n">
        <f aca="true">RAND()</f>
        <v>0.501435602043705</v>
      </c>
      <c r="O1616" s="83" t="n">
        <f aca="false">IF(N1616&lt;(Inputs!$E$26-Inputs!$D$26)/(Inputs!$F$26-Inputs!$D$26),Inputs!$D$26+SQRT(N1616*(Inputs!$F$26-Inputs!$D$26)*(Inputs!$E$26-Inputs!$D$26)),Inputs!$F$26-SQRT((1-N1616)*(Inputs!$F$26-Inputs!$D$26)*(Inputs!$F$26-Inputs!$E$26)))</f>
        <v>0.588857896170543</v>
      </c>
      <c r="P1616" s="81" t="n">
        <f aca="true">RAND()</f>
        <v>0.277245566496444</v>
      </c>
      <c r="Q1616" s="82" t="n">
        <f aca="false">IF(P1616&lt;(Inputs!$E$27-Inputs!$D$27)/(Inputs!$F$27-Inputs!$D$27),Inputs!$D$27+SQRT(P1616*(Inputs!$F$27-Inputs!$D$27)*(Inputs!$E$27-Inputs!$D$27)),Inputs!$F$27-SQRT((1-P1616)*(Inputs!$F$27-Inputs!$D$27)*(Inputs!$F$27-Inputs!$E$27)))</f>
        <v>76.37488029703</v>
      </c>
      <c r="R1616" s="81" t="n">
        <f aca="true">RAND()</f>
        <v>0.430346380959812</v>
      </c>
      <c r="S1616" s="82" t="n">
        <f aca="false">IF(R1616&lt;(Inputs!$E$29-Inputs!$D$29)/(Inputs!$F$29-Inputs!$D$29),Inputs!$D$29+SQRT(R1616*(Inputs!$F$29-Inputs!$D$29)*(Inputs!$E$29-Inputs!$D$29)),Inputs!$F$29-SQRT((1-R1616)*(Inputs!$F$29-Inputs!$D$29)*(Inputs!$F$29-Inputs!$E$29)))</f>
        <v>6.39448023212866</v>
      </c>
      <c r="T1616" s="68" t="n">
        <f aca="false">Inputs!$E$9*(1+E1616)+Inputs!$E$5*C1616*(Inputs!$E$11*Inputs!$E$14*(G1616*I1616/Inputs!$E$16+(1-G1616))*K1616+Inputs!$E$23*M1616)*(1+O1616)+Inputs!$E$5*(Q1616+S1616)</f>
        <v>5802.56283177904</v>
      </c>
    </row>
    <row r="1617" customFormat="false" ht="15" hidden="false" customHeight="false" outlineLevel="0" collapsed="false">
      <c r="A1617" s="1" t="n">
        <v>1613</v>
      </c>
      <c r="B1617" s="81" t="n">
        <f aca="true">RAND()</f>
        <v>0.447891264977539</v>
      </c>
      <c r="C1617" s="82" t="n">
        <f aca="false">ROUND(IF(B1617&lt;(Inputs!$E$8-Inputs!$D$8)/(Inputs!$F$8-Inputs!$D$8),Inputs!$D$8+SQRT(B1617*(Inputs!$F$8-Inputs!$D$8)*(Inputs!$E$8-Inputs!$D$8)),Inputs!$F$8-SQRT((1-B1617)*(Inputs!$F$8-Inputs!$D$8)*(Inputs!$F$8-Inputs!$E$8))),0)</f>
        <v>25</v>
      </c>
      <c r="D1617" s="81" t="n">
        <f aca="true">RAND()</f>
        <v>0.881436886565672</v>
      </c>
      <c r="E1617" s="83" t="n">
        <f aca="false">IF(D1617&lt;(Inputs!$E$10-Inputs!$D$10)/(Inputs!$F$10-Inputs!$D$10),Inputs!$D$10+SQRT(D1617*(Inputs!$F$10-Inputs!$D$10)*(Inputs!$E$10-Inputs!$D$10)),Inputs!$F$10-SQRT((1-D1617)*(Inputs!$F$10-Inputs!$D$10)*(Inputs!$F$10-Inputs!$E$10)))</f>
        <v>0.140360303462963</v>
      </c>
      <c r="F1617" s="81" t="n">
        <f aca="true">RAND()</f>
        <v>0.384963723707118</v>
      </c>
      <c r="G1617" s="83" t="n">
        <f aca="false">IF(F1617&lt;(Inputs!$E$15-Inputs!$D$15)/(Inputs!$F$15-Inputs!$D$15),Inputs!$D$15+SQRT(F1617*(Inputs!$F$15-Inputs!$D$15)*(Inputs!$E$15-Inputs!$D$15)),Inputs!$F$15-SQRT((1-F1617)*(Inputs!$F$15-Inputs!$D$15)*(Inputs!$F$15-Inputs!$E$15)))</f>
        <v>0.687745509709286</v>
      </c>
      <c r="H1617" s="81" t="n">
        <f aca="true">RAND()</f>
        <v>0.611879966738917</v>
      </c>
      <c r="I1617" s="82" t="n">
        <f aca="false">ROUND(IF(H1617&lt;(Inputs!$E$17-Inputs!$D$17)/(Inputs!$F$17-Inputs!$D$17),Inputs!$D$17+SQRT(H1617*(Inputs!$F$17-Inputs!$D$17)*(Inputs!$E$17-Inputs!$D$17)),Inputs!$F$17-SQRT((1-H1617)*(Inputs!$F$17-Inputs!$D$17)*(Inputs!$F$17-Inputs!$E$17))),0)</f>
        <v>107</v>
      </c>
      <c r="J1617" s="81" t="n">
        <f aca="true">RAND()</f>
        <v>0.785587858439417</v>
      </c>
      <c r="K1617" s="83" t="n">
        <f aca="false">IF(J1617&lt;(Inputs!$E$18-Inputs!$D$18)/(Inputs!$F$18-Inputs!$D$18),Inputs!$D$18+SQRT(J1617*(Inputs!$F$18-Inputs!$D$18)*(Inputs!$E$18-Inputs!$D$18)),Inputs!$F$18-SQRT((1-J1617)*(Inputs!$F$18-Inputs!$D$18)*(Inputs!$F$18-Inputs!$E$18)))</f>
        <v>1.11302897245566</v>
      </c>
      <c r="L1617" s="81" t="n">
        <f aca="true">RAND()</f>
        <v>0.336041704792493</v>
      </c>
      <c r="M1617" s="83" t="n">
        <f aca="false">IF(L1617&lt;(Inputs!$E$24-Inputs!$D$24)/(Inputs!$F$24-Inputs!$D$24),Inputs!$D$24+SQRT(L1617*(Inputs!$F$24-Inputs!$D$24)*(Inputs!$E$24-Inputs!$D$24)),Inputs!$F$24-SQRT((1-L1617)*(Inputs!$F$24-Inputs!$D$24)*(Inputs!$F$24-Inputs!$E$24)))</f>
        <v>0.800813338336811</v>
      </c>
      <c r="N1617" s="81" t="n">
        <f aca="true">RAND()</f>
        <v>0.633171136700084</v>
      </c>
      <c r="O1617" s="83" t="n">
        <f aca="false">IF(N1617&lt;(Inputs!$E$26-Inputs!$D$26)/(Inputs!$F$26-Inputs!$D$26),Inputs!$D$26+SQRT(N1617*(Inputs!$F$26-Inputs!$D$26)*(Inputs!$E$26-Inputs!$D$26)),Inputs!$F$26-SQRT((1-N1617)*(Inputs!$F$26-Inputs!$D$26)*(Inputs!$F$26-Inputs!$E$26)))</f>
        <v>0.624679233609963</v>
      </c>
      <c r="P1617" s="81" t="n">
        <f aca="true">RAND()</f>
        <v>0.1682922779916</v>
      </c>
      <c r="Q1617" s="82" t="n">
        <f aca="false">IF(P1617&lt;(Inputs!$E$27-Inputs!$D$27)/(Inputs!$F$27-Inputs!$D$27),Inputs!$D$27+SQRT(P1617*(Inputs!$F$27-Inputs!$D$27)*(Inputs!$E$27-Inputs!$D$27)),Inputs!$F$27-SQRT((1-P1617)*(Inputs!$F$27-Inputs!$D$27)*(Inputs!$F$27-Inputs!$E$27)))</f>
        <v>70.5117209170513</v>
      </c>
      <c r="R1617" s="81" t="n">
        <f aca="true">RAND()</f>
        <v>0.424163414698146</v>
      </c>
      <c r="S1617" s="82" t="n">
        <f aca="false">IF(R1617&lt;(Inputs!$E$29-Inputs!$D$29)/(Inputs!$F$29-Inputs!$D$29),Inputs!$D$29+SQRT(R1617*(Inputs!$F$29-Inputs!$D$29)*(Inputs!$E$29-Inputs!$D$29)),Inputs!$F$29-SQRT((1-R1617)*(Inputs!$F$29-Inputs!$D$29)*(Inputs!$F$29-Inputs!$E$29)))</f>
        <v>6.34790452611387</v>
      </c>
      <c r="T1617" s="68" t="n">
        <f aca="false">Inputs!$E$9*(1+E1617)+Inputs!$E$5*C1617*(Inputs!$E$11*Inputs!$E$14*(G1617*I1617/Inputs!$E$16+(1-G1617))*K1617+Inputs!$E$23*M1617)*(1+O1617)+Inputs!$E$5*(Q1617+S1617)</f>
        <v>6524.73774490583</v>
      </c>
    </row>
    <row r="1618" customFormat="false" ht="15" hidden="false" customHeight="false" outlineLevel="0" collapsed="false">
      <c r="A1618" s="1" t="n">
        <v>1614</v>
      </c>
      <c r="B1618" s="81" t="n">
        <f aca="true">RAND()</f>
        <v>0.675868661427834</v>
      </c>
      <c r="C1618" s="82" t="n">
        <f aca="false">ROUND(IF(B1618&lt;(Inputs!$E$8-Inputs!$D$8)/(Inputs!$F$8-Inputs!$D$8),Inputs!$D$8+SQRT(B1618*(Inputs!$F$8-Inputs!$D$8)*(Inputs!$E$8-Inputs!$D$8)),Inputs!$F$8-SQRT((1-B1618)*(Inputs!$F$8-Inputs!$D$8)*(Inputs!$F$8-Inputs!$E$8))),0)</f>
        <v>26</v>
      </c>
      <c r="D1618" s="81" t="n">
        <f aca="true">RAND()</f>
        <v>0.523668408402841</v>
      </c>
      <c r="E1618" s="83" t="n">
        <f aca="false">IF(D1618&lt;(Inputs!$E$10-Inputs!$D$10)/(Inputs!$F$10-Inputs!$D$10),Inputs!$D$10+SQRT(D1618*(Inputs!$F$10-Inputs!$D$10)*(Inputs!$E$10-Inputs!$D$10)),Inputs!$F$10-SQRT((1-D1618)*(Inputs!$F$10-Inputs!$D$10)*(Inputs!$F$10-Inputs!$E$10)))</f>
        <v>0.0804594305354255</v>
      </c>
      <c r="F1618" s="81" t="n">
        <f aca="true">RAND()</f>
        <v>0.761769226754365</v>
      </c>
      <c r="G1618" s="83" t="n">
        <f aca="false">IF(F1618&lt;(Inputs!$E$15-Inputs!$D$15)/(Inputs!$F$15-Inputs!$D$15),Inputs!$D$15+SQRT(F1618*(Inputs!$F$15-Inputs!$D$15)*(Inputs!$E$15-Inputs!$D$15)),Inputs!$F$15-SQRT((1-F1618)*(Inputs!$F$15-Inputs!$D$15)*(Inputs!$F$15-Inputs!$E$15)))</f>
        <v>0.730973805950837</v>
      </c>
      <c r="H1618" s="81" t="n">
        <f aca="true">RAND()</f>
        <v>0.627633578377864</v>
      </c>
      <c r="I1618" s="82" t="n">
        <f aca="false">ROUND(IF(H1618&lt;(Inputs!$E$17-Inputs!$D$17)/(Inputs!$F$17-Inputs!$D$17),Inputs!$D$17+SQRT(H1618*(Inputs!$F$17-Inputs!$D$17)*(Inputs!$E$17-Inputs!$D$17)),Inputs!$F$17-SQRT((1-H1618)*(Inputs!$F$17-Inputs!$D$17)*(Inputs!$F$17-Inputs!$E$17))),0)</f>
        <v>108</v>
      </c>
      <c r="J1618" s="81" t="n">
        <f aca="true">RAND()</f>
        <v>0.973403220005042</v>
      </c>
      <c r="K1618" s="83" t="n">
        <f aca="false">IF(J1618&lt;(Inputs!$E$18-Inputs!$D$18)/(Inputs!$F$18-Inputs!$D$18),Inputs!$D$18+SQRT(J1618*(Inputs!$F$18-Inputs!$D$18)*(Inputs!$E$18-Inputs!$D$18)),Inputs!$F$18-SQRT((1-J1618)*(Inputs!$F$18-Inputs!$D$18)*(Inputs!$F$18-Inputs!$E$18)))</f>
        <v>1.20175874950254</v>
      </c>
      <c r="L1618" s="81" t="n">
        <f aca="true">RAND()</f>
        <v>0.0415868245614878</v>
      </c>
      <c r="M1618" s="83" t="n">
        <f aca="false">IF(L1618&lt;(Inputs!$E$24-Inputs!$D$24)/(Inputs!$F$24-Inputs!$D$24),Inputs!$D$24+SQRT(L1618*(Inputs!$F$24-Inputs!$D$24)*(Inputs!$E$24-Inputs!$D$24)),Inputs!$F$24-SQRT((1-L1618)*(Inputs!$F$24-Inputs!$D$24)*(Inputs!$F$24-Inputs!$E$24)))</f>
        <v>0.670642897359738</v>
      </c>
      <c r="N1618" s="81" t="n">
        <f aca="true">RAND()</f>
        <v>0.420398847585739</v>
      </c>
      <c r="O1618" s="83" t="n">
        <f aca="false">IF(N1618&lt;(Inputs!$E$26-Inputs!$D$26)/(Inputs!$F$26-Inputs!$D$26),Inputs!$D$26+SQRT(N1618*(Inputs!$F$26-Inputs!$D$26)*(Inputs!$E$26-Inputs!$D$26)),Inputs!$F$26-SQRT((1-N1618)*(Inputs!$F$26-Inputs!$D$26)*(Inputs!$F$26-Inputs!$E$26)))</f>
        <v>0.564488881124079</v>
      </c>
      <c r="P1618" s="81" t="n">
        <f aca="true">RAND()</f>
        <v>0.482440326284746</v>
      </c>
      <c r="Q1618" s="82" t="n">
        <f aca="false">IF(P1618&lt;(Inputs!$E$27-Inputs!$D$27)/(Inputs!$F$27-Inputs!$D$27),Inputs!$D$27+SQRT(P1618*(Inputs!$F$27-Inputs!$D$27)*(Inputs!$E$27-Inputs!$D$27)),Inputs!$F$27-SQRT((1-P1618)*(Inputs!$F$27-Inputs!$D$27)*(Inputs!$F$27-Inputs!$E$27)))</f>
        <v>87.6967291960976</v>
      </c>
      <c r="R1618" s="81" t="n">
        <f aca="true">RAND()</f>
        <v>0.150084087668125</v>
      </c>
      <c r="S1618" s="82" t="n">
        <f aca="false">IF(R1618&lt;(Inputs!$E$29-Inputs!$D$29)/(Inputs!$F$29-Inputs!$D$29),Inputs!$D$29+SQRT(R1618*(Inputs!$F$29-Inputs!$D$29)*(Inputs!$E$29-Inputs!$D$29)),Inputs!$F$29-SQRT((1-R1618)*(Inputs!$F$29-Inputs!$D$29)*(Inputs!$F$29-Inputs!$E$29)))</f>
        <v>4.4193551659599</v>
      </c>
      <c r="T1618" s="68" t="n">
        <f aca="false">Inputs!$E$9*(1+E1618)+Inputs!$E$5*C1618*(Inputs!$E$11*Inputs!$E$14*(G1618*I1618/Inputs!$E$16+(1-G1618))*K1618+Inputs!$E$23*M1618)*(1+O1618)+Inputs!$E$5*(Q1618+S1618)</f>
        <v>6429.42540319085</v>
      </c>
    </row>
    <row r="1619" customFormat="false" ht="15" hidden="false" customHeight="false" outlineLevel="0" collapsed="false">
      <c r="A1619" s="1" t="n">
        <v>1615</v>
      </c>
      <c r="B1619" s="81" t="n">
        <f aca="true">RAND()</f>
        <v>0.396118406314568</v>
      </c>
      <c r="C1619" s="82" t="n">
        <f aca="false">ROUND(IF(B1619&lt;(Inputs!$E$8-Inputs!$D$8)/(Inputs!$F$8-Inputs!$D$8),Inputs!$D$8+SQRT(B1619*(Inputs!$F$8-Inputs!$D$8)*(Inputs!$E$8-Inputs!$D$8)),Inputs!$F$8-SQRT((1-B1619)*(Inputs!$F$8-Inputs!$D$8)*(Inputs!$F$8-Inputs!$E$8))),0)</f>
        <v>24</v>
      </c>
      <c r="D1619" s="81" t="n">
        <f aca="true">RAND()</f>
        <v>0.963027940135643</v>
      </c>
      <c r="E1619" s="83" t="n">
        <f aca="false">IF(D1619&lt;(Inputs!$E$10-Inputs!$D$10)/(Inputs!$F$10-Inputs!$D$10),Inputs!$D$10+SQRT(D1619*(Inputs!$F$10-Inputs!$D$10)*(Inputs!$E$10-Inputs!$D$10)),Inputs!$F$10-SQRT((1-D1619)*(Inputs!$F$10-Inputs!$D$10)*(Inputs!$F$10-Inputs!$E$10)))</f>
        <v>0.16669591923006</v>
      </c>
      <c r="F1619" s="81" t="n">
        <f aca="true">RAND()</f>
        <v>0.246948013225528</v>
      </c>
      <c r="G1619" s="83" t="n">
        <f aca="false">IF(F1619&lt;(Inputs!$E$15-Inputs!$D$15)/(Inputs!$F$15-Inputs!$D$15),Inputs!$D$15+SQRT(F1619*(Inputs!$F$15-Inputs!$D$15)*(Inputs!$E$15-Inputs!$D$15)),Inputs!$F$15-SQRT((1-F1619)*(Inputs!$F$15-Inputs!$D$15)*(Inputs!$F$15-Inputs!$E$15)))</f>
        <v>0.670277736620573</v>
      </c>
      <c r="H1619" s="81" t="n">
        <f aca="true">RAND()</f>
        <v>0.431102822198095</v>
      </c>
      <c r="I1619" s="82" t="n">
        <f aca="false">ROUND(IF(H1619&lt;(Inputs!$E$17-Inputs!$D$17)/(Inputs!$F$17-Inputs!$D$17),Inputs!$D$17+SQRT(H1619*(Inputs!$F$17-Inputs!$D$17)*(Inputs!$E$17-Inputs!$D$17)),Inputs!$F$17-SQRT((1-H1619)*(Inputs!$F$17-Inputs!$D$17)*(Inputs!$F$17-Inputs!$E$17))),0)</f>
        <v>106</v>
      </c>
      <c r="J1619" s="81" t="n">
        <f aca="true">RAND()</f>
        <v>0.945592199818502</v>
      </c>
      <c r="K1619" s="83" t="n">
        <f aca="false">IF(J1619&lt;(Inputs!$E$18-Inputs!$D$18)/(Inputs!$F$18-Inputs!$D$18),Inputs!$D$18+SQRT(J1619*(Inputs!$F$18-Inputs!$D$18)*(Inputs!$E$18-Inputs!$D$18)),Inputs!$F$18-SQRT((1-J1619)*(Inputs!$F$18-Inputs!$D$18)*(Inputs!$F$18-Inputs!$E$18)))</f>
        <v>1.18100230064791</v>
      </c>
      <c r="L1619" s="81" t="n">
        <f aca="true">RAND()</f>
        <v>0.0653844192843902</v>
      </c>
      <c r="M1619" s="83" t="n">
        <f aca="false">IF(L1619&lt;(Inputs!$E$24-Inputs!$D$24)/(Inputs!$F$24-Inputs!$D$24),Inputs!$D$24+SQRT(L1619*(Inputs!$F$24-Inputs!$D$24)*(Inputs!$E$24-Inputs!$D$24)),Inputs!$F$24-SQRT((1-L1619)*(Inputs!$F$24-Inputs!$D$24)*(Inputs!$F$24-Inputs!$E$24)))</f>
        <v>0.688578385140658</v>
      </c>
      <c r="N1619" s="81" t="n">
        <f aca="true">RAND()</f>
        <v>0.120178964004302</v>
      </c>
      <c r="O1619" s="83" t="n">
        <f aca="false">IF(N1619&lt;(Inputs!$E$26-Inputs!$D$26)/(Inputs!$F$26-Inputs!$D$26),Inputs!$D$26+SQRT(N1619*(Inputs!$F$26-Inputs!$D$26)*(Inputs!$E$26-Inputs!$D$26)),Inputs!$F$26-SQRT((1-N1619)*(Inputs!$F$26-Inputs!$D$26)*(Inputs!$F$26-Inputs!$E$26)))</f>
        <v>0.441413505756401</v>
      </c>
      <c r="P1619" s="81" t="n">
        <f aca="true">RAND()</f>
        <v>0.128126943680316</v>
      </c>
      <c r="Q1619" s="82" t="n">
        <f aca="false">IF(P1619&lt;(Inputs!$E$27-Inputs!$D$27)/(Inputs!$F$27-Inputs!$D$27),Inputs!$D$27+SQRT(P1619*(Inputs!$F$27-Inputs!$D$27)*(Inputs!$E$27-Inputs!$D$27)),Inputs!$F$27-SQRT((1-P1619)*(Inputs!$F$27-Inputs!$D$27)*(Inputs!$F$27-Inputs!$E$27)))</f>
        <v>67.8974120811024</v>
      </c>
      <c r="R1619" s="81" t="n">
        <f aca="true">RAND()</f>
        <v>0.301307012769404</v>
      </c>
      <c r="S1619" s="82" t="n">
        <f aca="false">IF(R1619&lt;(Inputs!$E$29-Inputs!$D$29)/(Inputs!$F$29-Inputs!$D$29),Inputs!$D$29+SQRT(R1619*(Inputs!$F$29-Inputs!$D$29)*(Inputs!$E$29-Inputs!$D$29)),Inputs!$F$29-SQRT((1-R1619)*(Inputs!$F$29-Inputs!$D$29)*(Inputs!$F$29-Inputs!$E$29)))</f>
        <v>5.46951793769185</v>
      </c>
      <c r="T1619" s="68" t="n">
        <f aca="false">Inputs!$E$9*(1+E1619)+Inputs!$E$5*C1619*(Inputs!$E$11*Inputs!$E$14*(G1619*I1619/Inputs!$E$16+(1-G1619))*K1619+Inputs!$E$23*M1619)*(1+O1619)+Inputs!$E$5*(Q1619+S1619)</f>
        <v>6028.61033475871</v>
      </c>
    </row>
    <row r="1620" customFormat="false" ht="15" hidden="false" customHeight="false" outlineLevel="0" collapsed="false">
      <c r="A1620" s="1" t="n">
        <v>1616</v>
      </c>
      <c r="B1620" s="81" t="n">
        <f aca="true">RAND()</f>
        <v>0.104845484805996</v>
      </c>
      <c r="C1620" s="82" t="n">
        <f aca="false">ROUND(IF(B1620&lt;(Inputs!$E$8-Inputs!$D$8)/(Inputs!$F$8-Inputs!$D$8),Inputs!$D$8+SQRT(B1620*(Inputs!$F$8-Inputs!$D$8)*(Inputs!$E$8-Inputs!$D$8)),Inputs!$F$8-SQRT((1-B1620)*(Inputs!$F$8-Inputs!$D$8)*(Inputs!$F$8-Inputs!$E$8))),0)</f>
        <v>22</v>
      </c>
      <c r="D1620" s="81" t="n">
        <f aca="true">RAND()</f>
        <v>0.369028867059</v>
      </c>
      <c r="E1620" s="83" t="n">
        <f aca="false">IF(D1620&lt;(Inputs!$E$10-Inputs!$D$10)/(Inputs!$F$10-Inputs!$D$10),Inputs!$D$10+SQRT(D1620*(Inputs!$F$10-Inputs!$D$10)*(Inputs!$E$10-Inputs!$D$10)),Inputs!$F$10-SQRT((1-D1620)*(Inputs!$F$10-Inputs!$D$10)*(Inputs!$F$10-Inputs!$E$10)))</f>
        <v>0.0624168106626758</v>
      </c>
      <c r="F1620" s="81" t="n">
        <f aca="true">RAND()</f>
        <v>0.406891954870988</v>
      </c>
      <c r="G1620" s="83" t="n">
        <f aca="false">IF(F1620&lt;(Inputs!$E$15-Inputs!$D$15)/(Inputs!$F$15-Inputs!$D$15),Inputs!$D$15+SQRT(F1620*(Inputs!$F$15-Inputs!$D$15)*(Inputs!$E$15-Inputs!$D$15)),Inputs!$F$15-SQRT((1-F1620)*(Inputs!$F$15-Inputs!$D$15)*(Inputs!$F$15-Inputs!$E$15)))</f>
        <v>0.690209972272581</v>
      </c>
      <c r="H1620" s="81" t="n">
        <f aca="true">RAND()</f>
        <v>0.131375593052996</v>
      </c>
      <c r="I1620" s="82" t="n">
        <f aca="false">ROUND(IF(H1620&lt;(Inputs!$E$17-Inputs!$D$17)/(Inputs!$F$17-Inputs!$D$17),Inputs!$D$17+SQRT(H1620*(Inputs!$F$17-Inputs!$D$17)*(Inputs!$E$17-Inputs!$D$17)),Inputs!$F$17-SQRT((1-H1620)*(Inputs!$F$17-Inputs!$D$17)*(Inputs!$F$17-Inputs!$E$17))),0)</f>
        <v>103</v>
      </c>
      <c r="J1620" s="81" t="n">
        <f aca="true">RAND()</f>
        <v>0.824864632419811</v>
      </c>
      <c r="K1620" s="83" t="n">
        <f aca="false">IF(J1620&lt;(Inputs!$E$18-Inputs!$D$18)/(Inputs!$F$18-Inputs!$D$18),Inputs!$D$18+SQRT(J1620*(Inputs!$F$18-Inputs!$D$18)*(Inputs!$E$18-Inputs!$D$18)),Inputs!$F$18-SQRT((1-J1620)*(Inputs!$F$18-Inputs!$D$18)*(Inputs!$F$18-Inputs!$E$18)))</f>
        <v>1.12620846287703</v>
      </c>
      <c r="L1620" s="81" t="n">
        <f aca="true">RAND()</f>
        <v>0.57504003490802</v>
      </c>
      <c r="M1620" s="83" t="n">
        <f aca="false">IF(L1620&lt;(Inputs!$E$24-Inputs!$D$24)/(Inputs!$F$24-Inputs!$D$24),Inputs!$D$24+SQRT(L1620*(Inputs!$F$24-Inputs!$D$24)*(Inputs!$E$24-Inputs!$D$24)),Inputs!$F$24-SQRT((1-L1620)*(Inputs!$F$24-Inputs!$D$24)*(Inputs!$F$24-Inputs!$E$24)))</f>
        <v>0.880640654399976</v>
      </c>
      <c r="N1620" s="81" t="n">
        <f aca="true">RAND()</f>
        <v>0.911550627173135</v>
      </c>
      <c r="O1620" s="83" t="n">
        <f aca="false">IF(N1620&lt;(Inputs!$E$26-Inputs!$D$26)/(Inputs!$F$26-Inputs!$D$26),Inputs!$D$26+SQRT(N1620*(Inputs!$F$26-Inputs!$D$26)*(Inputs!$E$26-Inputs!$D$26)),Inputs!$F$26-SQRT((1-N1620)*(Inputs!$F$26-Inputs!$D$26)*(Inputs!$F$26-Inputs!$E$26)))</f>
        <v>0.724089965207003</v>
      </c>
      <c r="P1620" s="81" t="n">
        <f aca="true">RAND()</f>
        <v>0.638367005212925</v>
      </c>
      <c r="Q1620" s="82" t="n">
        <f aca="false">IF(P1620&lt;(Inputs!$E$27-Inputs!$D$27)/(Inputs!$F$27-Inputs!$D$27),Inputs!$D$27+SQRT(P1620*(Inputs!$F$27-Inputs!$D$27)*(Inputs!$E$27-Inputs!$D$27)),Inputs!$F$27-SQRT((1-P1620)*(Inputs!$F$27-Inputs!$D$27)*(Inputs!$F$27-Inputs!$E$27)))</f>
        <v>97.9207578693481</v>
      </c>
      <c r="R1620" s="81" t="n">
        <f aca="true">RAND()</f>
        <v>0.401051172295919</v>
      </c>
      <c r="S1620" s="82" t="n">
        <f aca="false">IF(R1620&lt;(Inputs!$E$29-Inputs!$D$29)/(Inputs!$F$29-Inputs!$D$29),Inputs!$D$29+SQRT(R1620*(Inputs!$F$29-Inputs!$D$29)*(Inputs!$E$29-Inputs!$D$29)),Inputs!$F$29-SQRT((1-R1620)*(Inputs!$F$29-Inputs!$D$29)*(Inputs!$F$29-Inputs!$E$29)))</f>
        <v>6.17597894372806</v>
      </c>
      <c r="T1620" s="68" t="n">
        <f aca="false">Inputs!$E$9*(1+E1620)+Inputs!$E$5*C1620*(Inputs!$E$11*Inputs!$E$14*(G1620*I1620/Inputs!$E$16+(1-G1620))*K1620+Inputs!$E$23*M1620)*(1+O1620)+Inputs!$E$5*(Q1620+S1620)</f>
        <v>6331.96711021542</v>
      </c>
    </row>
    <row r="1621" customFormat="false" ht="15" hidden="false" customHeight="false" outlineLevel="0" collapsed="false">
      <c r="A1621" s="1" t="n">
        <v>1617</v>
      </c>
      <c r="B1621" s="81" t="n">
        <f aca="true">RAND()</f>
        <v>0.256747266803389</v>
      </c>
      <c r="C1621" s="82" t="n">
        <f aca="false">ROUND(IF(B1621&lt;(Inputs!$E$8-Inputs!$D$8)/(Inputs!$F$8-Inputs!$D$8),Inputs!$D$8+SQRT(B1621*(Inputs!$F$8-Inputs!$D$8)*(Inputs!$E$8-Inputs!$D$8)),Inputs!$F$8-SQRT((1-B1621)*(Inputs!$F$8-Inputs!$D$8)*(Inputs!$F$8-Inputs!$E$8))),0)</f>
        <v>24</v>
      </c>
      <c r="D1621" s="81" t="n">
        <f aca="true">RAND()</f>
        <v>0.801177431942759</v>
      </c>
      <c r="E1621" s="83" t="n">
        <f aca="false">IF(D1621&lt;(Inputs!$E$10-Inputs!$D$10)/(Inputs!$F$10-Inputs!$D$10),Inputs!$D$10+SQRT(D1621*(Inputs!$F$10-Inputs!$D$10)*(Inputs!$E$10-Inputs!$D$10)),Inputs!$F$10-SQRT((1-D1621)*(Inputs!$F$10-Inputs!$D$10)*(Inputs!$F$10-Inputs!$E$10)))</f>
        <v>0.122768678363521</v>
      </c>
      <c r="F1621" s="81" t="n">
        <f aca="true">RAND()</f>
        <v>0.881042420256255</v>
      </c>
      <c r="G1621" s="83" t="n">
        <f aca="false">IF(F1621&lt;(Inputs!$E$15-Inputs!$D$15)/(Inputs!$F$15-Inputs!$D$15),Inputs!$D$15+SQRT(F1621*(Inputs!$F$15-Inputs!$D$15)*(Inputs!$E$15-Inputs!$D$15)),Inputs!$F$15-SQRT((1-F1621)*(Inputs!$F$15-Inputs!$D$15)*(Inputs!$F$15-Inputs!$E$15)))</f>
        <v>0.751223452409228</v>
      </c>
      <c r="H1621" s="81" t="n">
        <f aca="true">RAND()</f>
        <v>0.312692675531828</v>
      </c>
      <c r="I1621" s="82" t="n">
        <f aca="false">ROUND(IF(H1621&lt;(Inputs!$E$17-Inputs!$D$17)/(Inputs!$F$17-Inputs!$D$17),Inputs!$D$17+SQRT(H1621*(Inputs!$F$17-Inputs!$D$17)*(Inputs!$E$17-Inputs!$D$17)),Inputs!$F$17-SQRT((1-H1621)*(Inputs!$F$17-Inputs!$D$17)*(Inputs!$F$17-Inputs!$E$17))),0)</f>
        <v>105</v>
      </c>
      <c r="J1621" s="81" t="n">
        <f aca="true">RAND()</f>
        <v>0.350292179905263</v>
      </c>
      <c r="K1621" s="83" t="n">
        <f aca="false">IF(J1621&lt;(Inputs!$E$18-Inputs!$D$18)/(Inputs!$F$18-Inputs!$D$18),Inputs!$D$18+SQRT(J1621*(Inputs!$F$18-Inputs!$D$18)*(Inputs!$E$18-Inputs!$D$18)),Inputs!$F$18-SQRT((1-J1621)*(Inputs!$F$18-Inputs!$D$18)*(Inputs!$F$18-Inputs!$E$18)))</f>
        <v>1.01156880602931</v>
      </c>
      <c r="L1621" s="81" t="n">
        <f aca="true">RAND()</f>
        <v>0.0612252855905389</v>
      </c>
      <c r="M1621" s="83" t="n">
        <f aca="false">IF(L1621&lt;(Inputs!$E$24-Inputs!$D$24)/(Inputs!$F$24-Inputs!$D$24),Inputs!$D$24+SQRT(L1621*(Inputs!$F$24-Inputs!$D$24)*(Inputs!$E$24-Inputs!$D$24)),Inputs!$F$24-SQRT((1-L1621)*(Inputs!$F$24-Inputs!$D$24)*(Inputs!$F$24-Inputs!$E$24)))</f>
        <v>0.68571484276871</v>
      </c>
      <c r="N1621" s="81" t="n">
        <f aca="true">RAND()</f>
        <v>0.759120212729178</v>
      </c>
      <c r="O1621" s="83" t="n">
        <f aca="false">IF(N1621&lt;(Inputs!$E$26-Inputs!$D$26)/(Inputs!$F$26-Inputs!$D$26),Inputs!$D$26+SQRT(N1621*(Inputs!$F$26-Inputs!$D$26)*(Inputs!$E$26-Inputs!$D$26)),Inputs!$F$26-SQRT((1-N1621)*(Inputs!$F$26-Inputs!$D$26)*(Inputs!$F$26-Inputs!$E$26)))</f>
        <v>0.661723350186563</v>
      </c>
      <c r="P1621" s="81" t="n">
        <f aca="true">RAND()</f>
        <v>0.780338560857615</v>
      </c>
      <c r="Q1621" s="82" t="n">
        <f aca="false">IF(P1621&lt;(Inputs!$E$27-Inputs!$D$27)/(Inputs!$F$27-Inputs!$D$27),Inputs!$D$27+SQRT(P1621*(Inputs!$F$27-Inputs!$D$27)*(Inputs!$E$27-Inputs!$D$27)),Inputs!$F$27-SQRT((1-P1621)*(Inputs!$F$27-Inputs!$D$27)*(Inputs!$F$27-Inputs!$E$27)))</f>
        <v>109.411075481507</v>
      </c>
      <c r="R1621" s="81" t="n">
        <f aca="true">RAND()</f>
        <v>0.417032304161057</v>
      </c>
      <c r="S1621" s="82" t="n">
        <f aca="false">IF(R1621&lt;(Inputs!$E$29-Inputs!$D$29)/(Inputs!$F$29-Inputs!$D$29),Inputs!$D$29+SQRT(R1621*(Inputs!$F$29-Inputs!$D$29)*(Inputs!$E$29-Inputs!$D$29)),Inputs!$F$29-SQRT((1-R1621)*(Inputs!$F$29-Inputs!$D$29)*(Inputs!$F$29-Inputs!$E$29)))</f>
        <v>6.29449596754659</v>
      </c>
      <c r="T1621" s="68" t="n">
        <f aca="false">Inputs!$E$9*(1+E1621)+Inputs!$E$5*C1621*(Inputs!$E$11*Inputs!$E$14*(G1621*I1621/Inputs!$E$16+(1-G1621))*K1621+Inputs!$E$23*M1621)*(1+O1621)+Inputs!$E$5*(Q1621+S1621)</f>
        <v>6121.19742953541</v>
      </c>
    </row>
    <row r="1622" customFormat="false" ht="15" hidden="false" customHeight="false" outlineLevel="0" collapsed="false">
      <c r="A1622" s="1" t="n">
        <v>1618</v>
      </c>
      <c r="B1622" s="81" t="n">
        <f aca="true">RAND()</f>
        <v>0.692363698449634</v>
      </c>
      <c r="C1622" s="82" t="n">
        <f aca="false">ROUND(IF(B1622&lt;(Inputs!$E$8-Inputs!$D$8)/(Inputs!$F$8-Inputs!$D$8),Inputs!$D$8+SQRT(B1622*(Inputs!$F$8-Inputs!$D$8)*(Inputs!$E$8-Inputs!$D$8)),Inputs!$F$8-SQRT((1-B1622)*(Inputs!$F$8-Inputs!$D$8)*(Inputs!$F$8-Inputs!$E$8))),0)</f>
        <v>26</v>
      </c>
      <c r="D1622" s="81" t="n">
        <f aca="true">RAND()</f>
        <v>0.28052836217027</v>
      </c>
      <c r="E1622" s="83" t="n">
        <f aca="false">IF(D1622&lt;(Inputs!$E$10-Inputs!$D$10)/(Inputs!$F$10-Inputs!$D$10),Inputs!$D$10+SQRT(D1622*(Inputs!$F$10-Inputs!$D$10)*(Inputs!$E$10-Inputs!$D$10)),Inputs!$F$10-SQRT((1-D1622)*(Inputs!$F$10-Inputs!$D$10)*(Inputs!$F$10-Inputs!$E$10)))</f>
        <v>0.0530845510679973</v>
      </c>
      <c r="F1622" s="81" t="n">
        <f aca="true">RAND()</f>
        <v>0.281295701170212</v>
      </c>
      <c r="G1622" s="83" t="n">
        <f aca="false">IF(F1622&lt;(Inputs!$E$15-Inputs!$D$15)/(Inputs!$F$15-Inputs!$D$15),Inputs!$D$15+SQRT(F1622*(Inputs!$F$15-Inputs!$D$15)*(Inputs!$E$15-Inputs!$D$15)),Inputs!$F$15-SQRT((1-F1622)*(Inputs!$F$15-Inputs!$D$15)*(Inputs!$F$15-Inputs!$E$15)))</f>
        <v>0.675006093241844</v>
      </c>
      <c r="H1622" s="81" t="n">
        <f aca="true">RAND()</f>
        <v>0.847612559350816</v>
      </c>
      <c r="I1622" s="82" t="n">
        <f aca="false">ROUND(IF(H1622&lt;(Inputs!$E$17-Inputs!$D$17)/(Inputs!$F$17-Inputs!$D$17),Inputs!$D$17+SQRT(H1622*(Inputs!$F$17-Inputs!$D$17)*(Inputs!$E$17-Inputs!$D$17)),Inputs!$F$17-SQRT((1-H1622)*(Inputs!$F$17-Inputs!$D$17)*(Inputs!$F$17-Inputs!$E$17))),0)</f>
        <v>110</v>
      </c>
      <c r="J1622" s="81" t="n">
        <f aca="true">RAND()</f>
        <v>0.188628053459219</v>
      </c>
      <c r="K1622" s="83" t="n">
        <f aca="false">IF(J1622&lt;(Inputs!$E$18-Inputs!$D$18)/(Inputs!$F$18-Inputs!$D$18),Inputs!$D$18+SQRT(J1622*(Inputs!$F$18-Inputs!$D$18)*(Inputs!$E$18-Inputs!$D$18)),Inputs!$F$18-SQRT((1-J1622)*(Inputs!$F$18-Inputs!$D$18)*(Inputs!$F$18-Inputs!$E$18)))</f>
        <v>0.981252580704078</v>
      </c>
      <c r="L1622" s="81" t="n">
        <f aca="true">RAND()</f>
        <v>0.713942031898064</v>
      </c>
      <c r="M1622" s="83" t="n">
        <f aca="false">IF(L1622&lt;(Inputs!$E$24-Inputs!$D$24)/(Inputs!$F$24-Inputs!$D$24),Inputs!$D$24+SQRT(L1622*(Inputs!$F$24-Inputs!$D$24)*(Inputs!$E$24-Inputs!$D$24)),Inputs!$F$24-SQRT((1-L1622)*(Inputs!$F$24-Inputs!$D$24)*(Inputs!$F$24-Inputs!$E$24)))</f>
        <v>0.937981083994944</v>
      </c>
      <c r="N1622" s="81" t="n">
        <f aca="true">RAND()</f>
        <v>0.575685804473171</v>
      </c>
      <c r="O1622" s="83" t="n">
        <f aca="false">IF(N1622&lt;(Inputs!$E$26-Inputs!$D$26)/(Inputs!$F$26-Inputs!$D$26),Inputs!$D$26+SQRT(N1622*(Inputs!$F$26-Inputs!$D$26)*(Inputs!$E$26-Inputs!$D$26)),Inputs!$F$26-SQRT((1-N1622)*(Inputs!$F$26-Inputs!$D$26)*(Inputs!$F$26-Inputs!$E$26)))</f>
        <v>0.609506248506126</v>
      </c>
      <c r="P1622" s="81" t="n">
        <f aca="true">RAND()</f>
        <v>0.842995647757005</v>
      </c>
      <c r="Q1622" s="82" t="n">
        <f aca="false">IF(P1622&lt;(Inputs!$E$27-Inputs!$D$27)/(Inputs!$F$27-Inputs!$D$27),Inputs!$D$27+SQRT(P1622*(Inputs!$F$27-Inputs!$D$27)*(Inputs!$E$27-Inputs!$D$27)),Inputs!$F$27-SQRT((1-P1622)*(Inputs!$F$27-Inputs!$D$27)*(Inputs!$F$27-Inputs!$E$27)))</f>
        <v>115.684804505548</v>
      </c>
      <c r="R1622" s="81" t="n">
        <f aca="true">RAND()</f>
        <v>0.788545384908249</v>
      </c>
      <c r="S1622" s="82" t="n">
        <f aca="false">IF(R1622&lt;(Inputs!$E$29-Inputs!$D$29)/(Inputs!$F$29-Inputs!$D$29),Inputs!$D$29+SQRT(R1622*(Inputs!$F$29-Inputs!$D$29)*(Inputs!$E$29-Inputs!$D$29)),Inputs!$F$29-SQRT((1-R1622)*(Inputs!$F$29-Inputs!$D$29)*(Inputs!$F$29-Inputs!$E$29)))</f>
        <v>9.75699514000534</v>
      </c>
      <c r="T1622" s="68" t="n">
        <f aca="false">Inputs!$E$9*(1+E1622)+Inputs!$E$5*C1622*(Inputs!$E$11*Inputs!$E$14*(G1622*I1622/Inputs!$E$16+(1-G1622))*K1622+Inputs!$E$23*M1622)*(1+O1622)+Inputs!$E$5*(Q1622+S1622)</f>
        <v>6640.3401319542</v>
      </c>
    </row>
    <row r="1623" customFormat="false" ht="15" hidden="false" customHeight="false" outlineLevel="0" collapsed="false">
      <c r="A1623" s="1" t="n">
        <v>1619</v>
      </c>
      <c r="B1623" s="81" t="n">
        <f aca="true">RAND()</f>
        <v>0.176096942835844</v>
      </c>
      <c r="C1623" s="82" t="n">
        <f aca="false">ROUND(IF(B1623&lt;(Inputs!$E$8-Inputs!$D$8)/(Inputs!$F$8-Inputs!$D$8),Inputs!$D$8+SQRT(B1623*(Inputs!$F$8-Inputs!$D$8)*(Inputs!$E$8-Inputs!$D$8)),Inputs!$F$8-SQRT((1-B1623)*(Inputs!$F$8-Inputs!$D$8)*(Inputs!$F$8-Inputs!$E$8))),0)</f>
        <v>23</v>
      </c>
      <c r="D1623" s="81" t="n">
        <f aca="true">RAND()</f>
        <v>0.151296634230195</v>
      </c>
      <c r="E1623" s="83" t="n">
        <f aca="false">IF(D1623&lt;(Inputs!$E$10-Inputs!$D$10)/(Inputs!$F$10-Inputs!$D$10),Inputs!$D$10+SQRT(D1623*(Inputs!$F$10-Inputs!$D$10)*(Inputs!$E$10-Inputs!$D$10)),Inputs!$F$10-SQRT((1-D1623)*(Inputs!$F$10-Inputs!$D$10)*(Inputs!$F$10-Inputs!$E$10)))</f>
        <v>0.0388968680268984</v>
      </c>
      <c r="F1623" s="81" t="n">
        <f aca="true">RAND()</f>
        <v>0.743945183094611</v>
      </c>
      <c r="G1623" s="83" t="n">
        <f aca="false">IF(F1623&lt;(Inputs!$E$15-Inputs!$D$15)/(Inputs!$F$15-Inputs!$D$15),Inputs!$D$15+SQRT(F1623*(Inputs!$F$15-Inputs!$D$15)*(Inputs!$E$15-Inputs!$D$15)),Inputs!$F$15-SQRT((1-F1623)*(Inputs!$F$15-Inputs!$D$15)*(Inputs!$F$15-Inputs!$E$15)))</f>
        <v>0.728438164234644</v>
      </c>
      <c r="H1623" s="81" t="n">
        <f aca="true">RAND()</f>
        <v>0.779944206267853</v>
      </c>
      <c r="I1623" s="82" t="n">
        <f aca="false">ROUND(IF(H1623&lt;(Inputs!$E$17-Inputs!$D$17)/(Inputs!$F$17-Inputs!$D$17),Inputs!$D$17+SQRT(H1623*(Inputs!$F$17-Inputs!$D$17)*(Inputs!$E$17-Inputs!$D$17)),Inputs!$F$17-SQRT((1-H1623)*(Inputs!$F$17-Inputs!$D$17)*(Inputs!$F$17-Inputs!$E$17))),0)</f>
        <v>109</v>
      </c>
      <c r="J1623" s="81" t="n">
        <f aca="true">RAND()</f>
        <v>0.362373563985017</v>
      </c>
      <c r="K1623" s="83" t="n">
        <f aca="false">IF(J1623&lt;(Inputs!$E$18-Inputs!$D$18)/(Inputs!$F$18-Inputs!$D$18),Inputs!$D$18+SQRT(J1623*(Inputs!$F$18-Inputs!$D$18)*(Inputs!$E$18-Inputs!$D$18)),Inputs!$F$18-SQRT((1-J1623)*(Inputs!$F$18-Inputs!$D$18)*(Inputs!$F$18-Inputs!$E$18)))</f>
        <v>1.01379603485269</v>
      </c>
      <c r="L1623" s="81" t="n">
        <f aca="true">RAND()</f>
        <v>0.438857938603988</v>
      </c>
      <c r="M1623" s="83" t="n">
        <f aca="false">IF(L1623&lt;(Inputs!$E$24-Inputs!$D$24)/(Inputs!$F$24-Inputs!$D$24),Inputs!$D$24+SQRT(L1623*(Inputs!$F$24-Inputs!$D$24)*(Inputs!$E$24-Inputs!$D$24)),Inputs!$F$24-SQRT((1-L1623)*(Inputs!$F$24-Inputs!$D$24)*(Inputs!$F$24-Inputs!$E$24)))</f>
        <v>0.83302030746233</v>
      </c>
      <c r="N1623" s="81" t="n">
        <f aca="true">RAND()</f>
        <v>0.585981621588652</v>
      </c>
      <c r="O1623" s="83" t="n">
        <f aca="false">IF(N1623&lt;(Inputs!$E$26-Inputs!$D$26)/(Inputs!$F$26-Inputs!$D$26),Inputs!$D$26+SQRT(N1623*(Inputs!$F$26-Inputs!$D$26)*(Inputs!$E$26-Inputs!$D$26)),Inputs!$F$26-SQRT((1-N1623)*(Inputs!$F$26-Inputs!$D$26)*(Inputs!$F$26-Inputs!$E$26)))</f>
        <v>0.612261656039213</v>
      </c>
      <c r="P1623" s="81" t="n">
        <f aca="true">RAND()</f>
        <v>0.710178942460352</v>
      </c>
      <c r="Q1623" s="82" t="n">
        <f aca="false">IF(P1623&lt;(Inputs!$E$27-Inputs!$D$27)/(Inputs!$F$27-Inputs!$D$27),Inputs!$D$27+SQRT(P1623*(Inputs!$F$27-Inputs!$D$27)*(Inputs!$E$27-Inputs!$D$27)),Inputs!$F$27-SQRT((1-P1623)*(Inputs!$F$27-Inputs!$D$27)*(Inputs!$F$27-Inputs!$E$27)))</f>
        <v>103.377495438926</v>
      </c>
      <c r="R1623" s="81" t="n">
        <f aca="true">RAND()</f>
        <v>0.250443551420708</v>
      </c>
      <c r="S1623" s="82" t="n">
        <f aca="false">IF(R1623&lt;(Inputs!$E$29-Inputs!$D$29)/(Inputs!$F$29-Inputs!$D$29),Inputs!$D$29+SQRT(R1623*(Inputs!$F$29-Inputs!$D$29)*(Inputs!$E$29-Inputs!$D$29)),Inputs!$F$29-SQRT((1-R1623)*(Inputs!$F$29-Inputs!$D$29)*(Inputs!$F$29-Inputs!$E$29)))</f>
        <v>5.12871141566067</v>
      </c>
      <c r="T1623" s="68" t="n">
        <f aca="false">Inputs!$E$9*(1+E1623)+Inputs!$E$5*C1623*(Inputs!$E$11*Inputs!$E$14*(G1623*I1623/Inputs!$E$16+(1-G1623))*K1623+Inputs!$E$23*M1623)*(1+O1623)+Inputs!$E$5*(Q1623+S1623)</f>
        <v>5958.17496838345</v>
      </c>
    </row>
    <row r="1624" customFormat="false" ht="15" hidden="false" customHeight="false" outlineLevel="0" collapsed="false">
      <c r="A1624" s="1" t="n">
        <v>1620</v>
      </c>
      <c r="B1624" s="81" t="n">
        <f aca="true">RAND()</f>
        <v>0.0151640474598364</v>
      </c>
      <c r="C1624" s="82" t="n">
        <f aca="false">ROUND(IF(B1624&lt;(Inputs!$E$8-Inputs!$D$8)/(Inputs!$F$8-Inputs!$D$8),Inputs!$D$8+SQRT(B1624*(Inputs!$F$8-Inputs!$D$8)*(Inputs!$E$8-Inputs!$D$8)),Inputs!$F$8-SQRT((1-B1624)*(Inputs!$F$8-Inputs!$D$8)*(Inputs!$F$8-Inputs!$E$8))),0)</f>
        <v>21</v>
      </c>
      <c r="D1624" s="81" t="n">
        <f aca="true">RAND()</f>
        <v>0.9439838772395</v>
      </c>
      <c r="E1624" s="83" t="n">
        <f aca="false">IF(D1624&lt;(Inputs!$E$10-Inputs!$D$10)/(Inputs!$F$10-Inputs!$D$10),Inputs!$D$10+SQRT(D1624*(Inputs!$F$10-Inputs!$D$10)*(Inputs!$E$10-Inputs!$D$10)),Inputs!$F$10-SQRT((1-D1624)*(Inputs!$F$10-Inputs!$D$10)*(Inputs!$F$10-Inputs!$E$10)))</f>
        <v>0.159006297034605</v>
      </c>
      <c r="F1624" s="81" t="n">
        <f aca="true">RAND()</f>
        <v>0.440313424050417</v>
      </c>
      <c r="G1624" s="83" t="n">
        <f aca="false">IF(F1624&lt;(Inputs!$E$15-Inputs!$D$15)/(Inputs!$F$15-Inputs!$D$15),Inputs!$D$15+SQRT(F1624*(Inputs!$F$15-Inputs!$D$15)*(Inputs!$E$15-Inputs!$D$15)),Inputs!$F$15-SQRT((1-F1624)*(Inputs!$F$15-Inputs!$D$15)*(Inputs!$F$15-Inputs!$E$15)))</f>
        <v>0.69384172036471</v>
      </c>
      <c r="H1624" s="81" t="n">
        <f aca="true">RAND()</f>
        <v>0.446060709180318</v>
      </c>
      <c r="I1624" s="82" t="n">
        <f aca="false">ROUND(IF(H1624&lt;(Inputs!$E$17-Inputs!$D$17)/(Inputs!$F$17-Inputs!$D$17),Inputs!$D$17+SQRT(H1624*(Inputs!$F$17-Inputs!$D$17)*(Inputs!$E$17-Inputs!$D$17)),Inputs!$F$17-SQRT((1-H1624)*(Inputs!$F$17-Inputs!$D$17)*(Inputs!$F$17-Inputs!$E$17))),0)</f>
        <v>106</v>
      </c>
      <c r="J1624" s="81" t="n">
        <f aca="true">RAND()</f>
        <v>0.910026589288523</v>
      </c>
      <c r="K1624" s="83" t="n">
        <f aca="false">IF(J1624&lt;(Inputs!$E$18-Inputs!$D$18)/(Inputs!$F$18-Inputs!$D$18),Inputs!$D$18+SQRT(J1624*(Inputs!$F$18-Inputs!$D$18)*(Inputs!$E$18-Inputs!$D$18)),Inputs!$F$18-SQRT((1-J1624)*(Inputs!$F$18-Inputs!$D$18)*(Inputs!$F$18-Inputs!$E$18)))</f>
        <v>1.16127191291787</v>
      </c>
      <c r="L1624" s="81" t="n">
        <f aca="true">RAND()</f>
        <v>0.238451356985856</v>
      </c>
      <c r="M1624" s="83" t="n">
        <f aca="false">IF(L1624&lt;(Inputs!$E$24-Inputs!$D$24)/(Inputs!$F$24-Inputs!$D$24),Inputs!$D$24+SQRT(L1624*(Inputs!$F$24-Inputs!$D$24)*(Inputs!$E$24-Inputs!$D$24)),Inputs!$F$24-SQRT((1-L1624)*(Inputs!$F$24-Inputs!$D$24)*(Inputs!$F$24-Inputs!$E$24)))</f>
        <v>0.769157213379456</v>
      </c>
      <c r="N1624" s="81" t="n">
        <f aca="true">RAND()</f>
        <v>0.357649179700892</v>
      </c>
      <c r="O1624" s="83" t="n">
        <f aca="false">IF(N1624&lt;(Inputs!$E$26-Inputs!$D$26)/(Inputs!$F$26-Inputs!$D$26),Inputs!$D$26+SQRT(N1624*(Inputs!$F$26-Inputs!$D$26)*(Inputs!$E$26-Inputs!$D$26)),Inputs!$F$26-SQRT((1-N1624)*(Inputs!$F$26-Inputs!$D$26)*(Inputs!$F$26-Inputs!$E$26)))</f>
        <v>0.543952502553732</v>
      </c>
      <c r="P1624" s="81" t="n">
        <f aca="true">RAND()</f>
        <v>0.389654210286236</v>
      </c>
      <c r="Q1624" s="82" t="n">
        <f aca="false">IF(P1624&lt;(Inputs!$E$27-Inputs!$D$27)/(Inputs!$F$27-Inputs!$D$27),Inputs!$D$27+SQRT(P1624*(Inputs!$F$27-Inputs!$D$27)*(Inputs!$E$27-Inputs!$D$27)),Inputs!$F$27-SQRT((1-P1624)*(Inputs!$F$27-Inputs!$D$27)*(Inputs!$F$27-Inputs!$E$27)))</f>
        <v>82.3420852903873</v>
      </c>
      <c r="R1624" s="81" t="n">
        <f aca="true">RAND()</f>
        <v>0.774810201992653</v>
      </c>
      <c r="S1624" s="82" t="n">
        <f aca="false">IF(R1624&lt;(Inputs!$E$29-Inputs!$D$29)/(Inputs!$F$29-Inputs!$D$29),Inputs!$D$29+SQRT(R1624*(Inputs!$F$29-Inputs!$D$29)*(Inputs!$E$29-Inputs!$D$29)),Inputs!$F$29-SQRT((1-R1624)*(Inputs!$F$29-Inputs!$D$29)*(Inputs!$F$29-Inputs!$E$29)))</f>
        <v>9.58939247949409</v>
      </c>
      <c r="T1624" s="68" t="n">
        <f aca="false">Inputs!$E$9*(1+E1624)+Inputs!$E$5*C1624*(Inputs!$E$11*Inputs!$E$14*(G1624*I1624/Inputs!$E$16+(1-G1624))*K1624+Inputs!$E$23*M1624)*(1+O1624)+Inputs!$E$5*(Q1624+S1624)</f>
        <v>5939.08888094116</v>
      </c>
    </row>
    <row r="1625" customFormat="false" ht="15" hidden="false" customHeight="false" outlineLevel="0" collapsed="false">
      <c r="A1625" s="1" t="n">
        <v>1621</v>
      </c>
      <c r="B1625" s="81" t="n">
        <f aca="true">RAND()</f>
        <v>0.97382781483828</v>
      </c>
      <c r="C1625" s="82" t="n">
        <f aca="false">ROUND(IF(B1625&lt;(Inputs!$E$8-Inputs!$D$8)/(Inputs!$F$8-Inputs!$D$8),Inputs!$D$8+SQRT(B1625*(Inputs!$F$8-Inputs!$D$8)*(Inputs!$E$8-Inputs!$D$8)),Inputs!$F$8-SQRT((1-B1625)*(Inputs!$F$8-Inputs!$D$8)*(Inputs!$F$8-Inputs!$E$8))),0)</f>
        <v>29</v>
      </c>
      <c r="D1625" s="81" t="n">
        <f aca="true">RAND()</f>
        <v>0.598855013783419</v>
      </c>
      <c r="E1625" s="83" t="n">
        <f aca="false">IF(D1625&lt;(Inputs!$E$10-Inputs!$D$10)/(Inputs!$F$10-Inputs!$D$10),Inputs!$D$10+SQRT(D1625*(Inputs!$F$10-Inputs!$D$10)*(Inputs!$E$10-Inputs!$D$10)),Inputs!$F$10-SQRT((1-D1625)*(Inputs!$F$10-Inputs!$D$10)*(Inputs!$F$10-Inputs!$E$10)))</f>
        <v>0.0902988168409409</v>
      </c>
      <c r="F1625" s="81" t="n">
        <f aca="true">RAND()</f>
        <v>0.854356277792963</v>
      </c>
      <c r="G1625" s="83" t="n">
        <f aca="false">IF(F1625&lt;(Inputs!$E$15-Inputs!$D$15)/(Inputs!$F$15-Inputs!$D$15),Inputs!$D$15+SQRT(F1625*(Inputs!$F$15-Inputs!$D$15)*(Inputs!$E$15-Inputs!$D$15)),Inputs!$F$15-SQRT((1-F1625)*(Inputs!$F$15-Inputs!$D$15)*(Inputs!$F$15-Inputs!$E$15)))</f>
        <v>0.746028948091215</v>
      </c>
      <c r="H1625" s="81" t="n">
        <f aca="true">RAND()</f>
        <v>0.713396414895543</v>
      </c>
      <c r="I1625" s="82" t="n">
        <f aca="false">ROUND(IF(H1625&lt;(Inputs!$E$17-Inputs!$D$17)/(Inputs!$F$17-Inputs!$D$17),Inputs!$D$17+SQRT(H1625*(Inputs!$F$17-Inputs!$D$17)*(Inputs!$E$17-Inputs!$D$17)),Inputs!$F$17-SQRT((1-H1625)*(Inputs!$F$17-Inputs!$D$17)*(Inputs!$F$17-Inputs!$E$17))),0)</f>
        <v>108</v>
      </c>
      <c r="J1625" s="81" t="n">
        <f aca="true">RAND()</f>
        <v>0.504285136655696</v>
      </c>
      <c r="K1625" s="83" t="n">
        <f aca="false">IF(J1625&lt;(Inputs!$E$18-Inputs!$D$18)/(Inputs!$F$18-Inputs!$D$18),Inputs!$D$18+SQRT(J1625*(Inputs!$F$18-Inputs!$D$18)*(Inputs!$E$18-Inputs!$D$18)),Inputs!$F$18-SQRT((1-J1625)*(Inputs!$F$18-Inputs!$D$18)*(Inputs!$F$18-Inputs!$E$18)))</f>
        <v>1.04173322266231</v>
      </c>
      <c r="L1625" s="81" t="n">
        <f aca="true">RAND()</f>
        <v>0.362741019387324</v>
      </c>
      <c r="M1625" s="83" t="n">
        <f aca="false">IF(L1625&lt;(Inputs!$E$24-Inputs!$D$24)/(Inputs!$F$24-Inputs!$D$24),Inputs!$D$24+SQRT(L1625*(Inputs!$F$24-Inputs!$D$24)*(Inputs!$E$24-Inputs!$D$24)),Inputs!$F$24-SQRT((1-L1625)*(Inputs!$F$24-Inputs!$D$24)*(Inputs!$F$24-Inputs!$E$24)))</f>
        <v>0.808921804050593</v>
      </c>
      <c r="N1625" s="81" t="n">
        <f aca="true">RAND()</f>
        <v>0.923589462135764</v>
      </c>
      <c r="O1625" s="83" t="n">
        <f aca="false">IF(N1625&lt;(Inputs!$E$26-Inputs!$D$26)/(Inputs!$F$26-Inputs!$D$26),Inputs!$D$26+SQRT(N1625*(Inputs!$F$26-Inputs!$D$26)*(Inputs!$E$26-Inputs!$D$26)),Inputs!$F$26-SQRT((1-N1625)*(Inputs!$F$26-Inputs!$D$26)*(Inputs!$F$26-Inputs!$E$26)))</f>
        <v>0.730855757685195</v>
      </c>
      <c r="P1625" s="81" t="n">
        <f aca="true">RAND()</f>
        <v>0.721335074490083</v>
      </c>
      <c r="Q1625" s="82" t="n">
        <f aca="false">IF(P1625&lt;(Inputs!$E$27-Inputs!$D$27)/(Inputs!$F$27-Inputs!$D$27),Inputs!$D$27+SQRT(P1625*(Inputs!$F$27-Inputs!$D$27)*(Inputs!$E$27-Inputs!$D$27)),Inputs!$F$27-SQRT((1-P1625)*(Inputs!$F$27-Inputs!$D$27)*(Inputs!$F$27-Inputs!$E$27)))</f>
        <v>104.283625019864</v>
      </c>
      <c r="R1625" s="81" t="n">
        <f aca="true">RAND()</f>
        <v>0.996171302332392</v>
      </c>
      <c r="S1625" s="82" t="n">
        <f aca="false">IF(R1625&lt;(Inputs!$E$29-Inputs!$D$29)/(Inputs!$F$29-Inputs!$D$29),Inputs!$D$29+SQRT(R1625*(Inputs!$F$29-Inputs!$D$29)*(Inputs!$E$29-Inputs!$D$29)),Inputs!$F$29-SQRT((1-R1625)*(Inputs!$F$29-Inputs!$D$29)*(Inputs!$F$29-Inputs!$E$29)))</f>
        <v>14.2944996833529</v>
      </c>
      <c r="T1625" s="68" t="n">
        <f aca="false">Inputs!$E$9*(1+E1625)+Inputs!$E$5*C1625*(Inputs!$E$11*Inputs!$E$14*(G1625*I1625/Inputs!$E$16+(1-G1625))*K1625+Inputs!$E$23*M1625)*(1+O1625)+Inputs!$E$5*(Q1625+S1625)</f>
        <v>7215.6750455688</v>
      </c>
    </row>
    <row r="1626" customFormat="false" ht="15" hidden="false" customHeight="false" outlineLevel="0" collapsed="false">
      <c r="A1626" s="1" t="n">
        <v>1622</v>
      </c>
      <c r="B1626" s="81" t="n">
        <f aca="true">RAND()</f>
        <v>0.0763876368149442</v>
      </c>
      <c r="C1626" s="82" t="n">
        <f aca="false">ROUND(IF(B1626&lt;(Inputs!$E$8-Inputs!$D$8)/(Inputs!$F$8-Inputs!$D$8),Inputs!$D$8+SQRT(B1626*(Inputs!$F$8-Inputs!$D$8)*(Inputs!$E$8-Inputs!$D$8)),Inputs!$F$8-SQRT((1-B1626)*(Inputs!$F$8-Inputs!$D$8)*(Inputs!$F$8-Inputs!$E$8))),0)</f>
        <v>22</v>
      </c>
      <c r="D1626" s="81" t="n">
        <f aca="true">RAND()</f>
        <v>0.320295494217737</v>
      </c>
      <c r="E1626" s="83" t="n">
        <f aca="false">IF(D1626&lt;(Inputs!$E$10-Inputs!$D$10)/(Inputs!$F$10-Inputs!$D$10),Inputs!$D$10+SQRT(D1626*(Inputs!$F$10-Inputs!$D$10)*(Inputs!$E$10-Inputs!$D$10)),Inputs!$F$10-SQRT((1-D1626)*(Inputs!$F$10-Inputs!$D$10)*(Inputs!$F$10-Inputs!$E$10)))</f>
        <v>0.0572024679013398</v>
      </c>
      <c r="F1626" s="81" t="n">
        <f aca="true">RAND()</f>
        <v>0.377118736876655</v>
      </c>
      <c r="G1626" s="83" t="n">
        <f aca="false">IF(F1626&lt;(Inputs!$E$15-Inputs!$D$15)/(Inputs!$F$15-Inputs!$D$15),Inputs!$D$15+SQRT(F1626*(Inputs!$F$15-Inputs!$D$15)*(Inputs!$E$15-Inputs!$D$15)),Inputs!$F$15-SQRT((1-F1626)*(Inputs!$F$15-Inputs!$D$15)*(Inputs!$F$15-Inputs!$E$15)))</f>
        <v>0.686846846445528</v>
      </c>
      <c r="H1626" s="81" t="n">
        <f aca="true">RAND()</f>
        <v>0.860989164161765</v>
      </c>
      <c r="I1626" s="82" t="n">
        <f aca="false">ROUND(IF(H1626&lt;(Inputs!$E$17-Inputs!$D$17)/(Inputs!$F$17-Inputs!$D$17),Inputs!$D$17+SQRT(H1626*(Inputs!$F$17-Inputs!$D$17)*(Inputs!$E$17-Inputs!$D$17)),Inputs!$F$17-SQRT((1-H1626)*(Inputs!$F$17-Inputs!$D$17)*(Inputs!$F$17-Inputs!$E$17))),0)</f>
        <v>110</v>
      </c>
      <c r="J1626" s="81" t="n">
        <f aca="true">RAND()</f>
        <v>0.952225537339929</v>
      </c>
      <c r="K1626" s="83" t="n">
        <f aca="false">IF(J1626&lt;(Inputs!$E$18-Inputs!$D$18)/(Inputs!$F$18-Inputs!$D$18),Inputs!$D$18+SQRT(J1626*(Inputs!$F$18-Inputs!$D$18)*(Inputs!$E$18-Inputs!$D$18)),Inputs!$F$18-SQRT((1-J1626)*(Inputs!$F$18-Inputs!$D$18)*(Inputs!$F$18-Inputs!$E$18)))</f>
        <v>1.18534502739343</v>
      </c>
      <c r="L1626" s="81" t="n">
        <f aca="true">RAND()</f>
        <v>0.199883252104159</v>
      </c>
      <c r="M1626" s="83" t="n">
        <f aca="false">IF(L1626&lt;(Inputs!$E$24-Inputs!$D$24)/(Inputs!$F$24-Inputs!$D$24),Inputs!$D$24+SQRT(L1626*(Inputs!$F$24-Inputs!$D$24)*(Inputs!$E$24-Inputs!$D$24)),Inputs!$F$24-SQRT((1-L1626)*(Inputs!$F$24-Inputs!$D$24)*(Inputs!$F$24-Inputs!$E$24)))</f>
        <v>0.75487411098211</v>
      </c>
      <c r="N1626" s="81" t="n">
        <f aca="true">RAND()</f>
        <v>0.815664742049904</v>
      </c>
      <c r="O1626" s="83" t="n">
        <f aca="false">IF(N1626&lt;(Inputs!$E$26-Inputs!$D$26)/(Inputs!$F$26-Inputs!$D$26),Inputs!$D$26+SQRT(N1626*(Inputs!$F$26-Inputs!$D$26)*(Inputs!$E$26-Inputs!$D$26)),Inputs!$F$26-SQRT((1-N1626)*(Inputs!$F$26-Inputs!$D$26)*(Inputs!$F$26-Inputs!$E$26)))</f>
        <v>0.681541100586456</v>
      </c>
      <c r="P1626" s="81" t="n">
        <f aca="true">RAND()</f>
        <v>0.619454388903591</v>
      </c>
      <c r="Q1626" s="82" t="n">
        <f aca="false">IF(P1626&lt;(Inputs!$E$27-Inputs!$D$27)/(Inputs!$F$27-Inputs!$D$27),Inputs!$D$27+SQRT(P1626*(Inputs!$F$27-Inputs!$D$27)*(Inputs!$E$27-Inputs!$D$27)),Inputs!$F$27-SQRT((1-P1626)*(Inputs!$F$27-Inputs!$D$27)*(Inputs!$F$27-Inputs!$E$27)))</f>
        <v>96.5762966163608</v>
      </c>
      <c r="R1626" s="81" t="n">
        <f aca="true">RAND()</f>
        <v>0.740207901591183</v>
      </c>
      <c r="S1626" s="82" t="n">
        <f aca="false">IF(R1626&lt;(Inputs!$E$29-Inputs!$D$29)/(Inputs!$F$29-Inputs!$D$29),Inputs!$D$29+SQRT(R1626*(Inputs!$F$29-Inputs!$D$29)*(Inputs!$E$29-Inputs!$D$29)),Inputs!$F$29-SQRT((1-R1626)*(Inputs!$F$29-Inputs!$D$29)*(Inputs!$F$29-Inputs!$E$29)))</f>
        <v>9.18854813380115</v>
      </c>
      <c r="T1626" s="68" t="n">
        <f aca="false">Inputs!$E$9*(1+E1626)+Inputs!$E$5*C1626*(Inputs!$E$11*Inputs!$E$14*(G1626*I1626/Inputs!$E$16+(1-G1626))*K1626+Inputs!$E$23*M1626)*(1+O1626)+Inputs!$E$5*(Q1626+S1626)</f>
        <v>6286.96060534243</v>
      </c>
    </row>
    <row r="1627" customFormat="false" ht="15" hidden="false" customHeight="false" outlineLevel="0" collapsed="false">
      <c r="A1627" s="1" t="n">
        <v>1623</v>
      </c>
      <c r="B1627" s="81" t="n">
        <f aca="true">RAND()</f>
        <v>0.463863016476834</v>
      </c>
      <c r="C1627" s="82" t="n">
        <f aca="false">ROUND(IF(B1627&lt;(Inputs!$E$8-Inputs!$D$8)/(Inputs!$F$8-Inputs!$D$8),Inputs!$D$8+SQRT(B1627*(Inputs!$F$8-Inputs!$D$8)*(Inputs!$E$8-Inputs!$D$8)),Inputs!$F$8-SQRT((1-B1627)*(Inputs!$F$8-Inputs!$D$8)*(Inputs!$F$8-Inputs!$E$8))),0)</f>
        <v>25</v>
      </c>
      <c r="D1627" s="81" t="n">
        <f aca="true">RAND()</f>
        <v>0.949285789258103</v>
      </c>
      <c r="E1627" s="83" t="n">
        <f aca="false">IF(D1627&lt;(Inputs!$E$10-Inputs!$D$10)/(Inputs!$F$10-Inputs!$D$10),Inputs!$D$10+SQRT(D1627*(Inputs!$F$10-Inputs!$D$10)*(Inputs!$E$10-Inputs!$D$10)),Inputs!$F$10-SQRT((1-D1627)*(Inputs!$F$10-Inputs!$D$10)*(Inputs!$F$10-Inputs!$E$10)))</f>
        <v>0.16099453471298</v>
      </c>
      <c r="F1627" s="81" t="n">
        <f aca="true">RAND()</f>
        <v>0.648205961960947</v>
      </c>
      <c r="G1627" s="83" t="n">
        <f aca="false">IF(F1627&lt;(Inputs!$E$15-Inputs!$D$15)/(Inputs!$F$15-Inputs!$D$15),Inputs!$D$15+SQRT(F1627*(Inputs!$F$15-Inputs!$D$15)*(Inputs!$E$15-Inputs!$D$15)),Inputs!$F$15-SQRT((1-F1627)*(Inputs!$F$15-Inputs!$D$15)*(Inputs!$F$15-Inputs!$E$15)))</f>
        <v>0.716119842866259</v>
      </c>
      <c r="H1627" s="81" t="n">
        <f aca="true">RAND()</f>
        <v>0.831431519052031</v>
      </c>
      <c r="I1627" s="82" t="n">
        <f aca="false">ROUND(IF(H1627&lt;(Inputs!$E$17-Inputs!$D$17)/(Inputs!$F$17-Inputs!$D$17),Inputs!$D$17+SQRT(H1627*(Inputs!$F$17-Inputs!$D$17)*(Inputs!$E$17-Inputs!$D$17)),Inputs!$F$17-SQRT((1-H1627)*(Inputs!$F$17-Inputs!$D$17)*(Inputs!$F$17-Inputs!$E$17))),0)</f>
        <v>110</v>
      </c>
      <c r="J1627" s="81" t="n">
        <f aca="true">RAND()</f>
        <v>0.160225486255291</v>
      </c>
      <c r="K1627" s="83" t="n">
        <f aca="false">IF(J1627&lt;(Inputs!$E$18-Inputs!$D$18)/(Inputs!$F$18-Inputs!$D$18),Inputs!$D$18+SQRT(J1627*(Inputs!$F$18-Inputs!$D$18)*(Inputs!$E$18-Inputs!$D$18)),Inputs!$F$18-SQRT((1-J1627)*(Inputs!$F$18-Inputs!$D$18)*(Inputs!$F$18-Inputs!$E$18)))</f>
        <v>0.974885859939879</v>
      </c>
      <c r="L1627" s="81" t="n">
        <f aca="true">RAND()</f>
        <v>0.932037321273635</v>
      </c>
      <c r="M1627" s="83" t="n">
        <f aca="false">IF(L1627&lt;(Inputs!$E$24-Inputs!$D$24)/(Inputs!$F$24-Inputs!$D$24),Inputs!$D$24+SQRT(L1627*(Inputs!$F$24-Inputs!$D$24)*(Inputs!$E$24-Inputs!$D$24)),Inputs!$F$24-SQRT((1-L1627)*(Inputs!$F$24-Inputs!$D$24)*(Inputs!$F$24-Inputs!$E$24)))</f>
        <v>1.07228530666236</v>
      </c>
      <c r="N1627" s="81" t="n">
        <f aca="true">RAND()</f>
        <v>0.385742767900454</v>
      </c>
      <c r="O1627" s="83" t="n">
        <f aca="false">IF(N1627&lt;(Inputs!$E$26-Inputs!$D$26)/(Inputs!$F$26-Inputs!$D$26),Inputs!$D$26+SQRT(N1627*(Inputs!$F$26-Inputs!$D$26)*(Inputs!$E$26-Inputs!$D$26)),Inputs!$F$26-SQRT((1-N1627)*(Inputs!$F$26-Inputs!$D$26)*(Inputs!$F$26-Inputs!$E$26)))</f>
        <v>0.553352711804384</v>
      </c>
      <c r="P1627" s="81" t="n">
        <f aca="true">RAND()</f>
        <v>0.202983085371778</v>
      </c>
      <c r="Q1627" s="82" t="n">
        <f aca="false">IF(P1627&lt;(Inputs!$E$27-Inputs!$D$27)/(Inputs!$F$27-Inputs!$D$27),Inputs!$D$27+SQRT(P1627*(Inputs!$F$27-Inputs!$D$27)*(Inputs!$E$27-Inputs!$D$27)),Inputs!$F$27-SQRT((1-P1627)*(Inputs!$F$27-Inputs!$D$27)*(Inputs!$F$27-Inputs!$E$27)))</f>
        <v>72.5268220889997</v>
      </c>
      <c r="R1627" s="81" t="n">
        <f aca="true">RAND()</f>
        <v>0.990200366958479</v>
      </c>
      <c r="S1627" s="82" t="n">
        <f aca="false">IF(R1627&lt;(Inputs!$E$29-Inputs!$D$29)/(Inputs!$F$29-Inputs!$D$29),Inputs!$D$29+SQRT(R1627*(Inputs!$F$29-Inputs!$D$29)*(Inputs!$E$29-Inputs!$D$29)),Inputs!$F$29-SQRT((1-R1627)*(Inputs!$F$29-Inputs!$D$29)*(Inputs!$F$29-Inputs!$E$29)))</f>
        <v>13.8713050476778</v>
      </c>
      <c r="T1627" s="68" t="n">
        <f aca="false">Inputs!$E$9*(1+E1627)+Inputs!$E$5*C1627*(Inputs!$E$11*Inputs!$E$14*(G1627*I1627/Inputs!$E$16+(1-G1627))*K1627+Inputs!$E$23*M1627)*(1+O1627)+Inputs!$E$5*(Q1627+S1627)</f>
        <v>6539.87176740686</v>
      </c>
    </row>
    <row r="1628" customFormat="false" ht="15" hidden="false" customHeight="false" outlineLevel="0" collapsed="false">
      <c r="A1628" s="1" t="n">
        <v>1624</v>
      </c>
      <c r="B1628" s="81" t="n">
        <f aca="true">RAND()</f>
        <v>0.232209335182469</v>
      </c>
      <c r="C1628" s="82" t="n">
        <f aca="false">ROUND(IF(B1628&lt;(Inputs!$E$8-Inputs!$D$8)/(Inputs!$F$8-Inputs!$D$8),Inputs!$D$8+SQRT(B1628*(Inputs!$F$8-Inputs!$D$8)*(Inputs!$E$8-Inputs!$D$8)),Inputs!$F$8-SQRT((1-B1628)*(Inputs!$F$8-Inputs!$D$8)*(Inputs!$F$8-Inputs!$E$8))),0)</f>
        <v>23</v>
      </c>
      <c r="D1628" s="81" t="n">
        <f aca="true">RAND()</f>
        <v>0.288150685996629</v>
      </c>
      <c r="E1628" s="83" t="n">
        <f aca="false">IF(D1628&lt;(Inputs!$E$10-Inputs!$D$10)/(Inputs!$F$10-Inputs!$D$10),Inputs!$D$10+SQRT(D1628*(Inputs!$F$10-Inputs!$D$10)*(Inputs!$E$10-Inputs!$D$10)),Inputs!$F$10-SQRT((1-D1628)*(Inputs!$F$10-Inputs!$D$10)*(Inputs!$F$10-Inputs!$E$10)))</f>
        <v>0.0538648590512839</v>
      </c>
      <c r="F1628" s="81" t="n">
        <f aca="true">RAND()</f>
        <v>0.15067786770331</v>
      </c>
      <c r="G1628" s="83" t="n">
        <f aca="false">IF(F1628&lt;(Inputs!$E$15-Inputs!$D$15)/(Inputs!$F$15-Inputs!$D$15),Inputs!$D$15+SQRT(F1628*(Inputs!$F$15-Inputs!$D$15)*(Inputs!$E$15-Inputs!$D$15)),Inputs!$F$15-SQRT((1-F1628)*(Inputs!$F$15-Inputs!$D$15)*(Inputs!$F$15-Inputs!$E$15)))</f>
        <v>0.654895877386797</v>
      </c>
      <c r="H1628" s="81" t="n">
        <f aca="true">RAND()</f>
        <v>0.125169515774419</v>
      </c>
      <c r="I1628" s="82" t="n">
        <f aca="false">ROUND(IF(H1628&lt;(Inputs!$E$17-Inputs!$D$17)/(Inputs!$F$17-Inputs!$D$17),Inputs!$D$17+SQRT(H1628*(Inputs!$F$17-Inputs!$D$17)*(Inputs!$E$17-Inputs!$D$17)),Inputs!$F$17-SQRT((1-H1628)*(Inputs!$F$17-Inputs!$D$17)*(Inputs!$F$17-Inputs!$E$17))),0)</f>
        <v>103</v>
      </c>
      <c r="J1628" s="81" t="n">
        <f aca="true">RAND()</f>
        <v>0.322421062224336</v>
      </c>
      <c r="K1628" s="83" t="n">
        <f aca="false">IF(J1628&lt;(Inputs!$E$18-Inputs!$D$18)/(Inputs!$F$18-Inputs!$D$18),Inputs!$D$18+SQRT(J1628*(Inputs!$F$18-Inputs!$D$18)*(Inputs!$E$18-Inputs!$D$18)),Inputs!$F$18-SQRT((1-J1628)*(Inputs!$F$18-Inputs!$D$18)*(Inputs!$F$18-Inputs!$E$18)))</f>
        <v>1.0065084045488</v>
      </c>
      <c r="L1628" s="81" t="n">
        <f aca="true">RAND()</f>
        <v>0.140650766063665</v>
      </c>
      <c r="M1628" s="83" t="n">
        <f aca="false">IF(L1628&lt;(Inputs!$E$24-Inputs!$D$24)/(Inputs!$F$24-Inputs!$D$24),Inputs!$D$24+SQRT(L1628*(Inputs!$F$24-Inputs!$D$24)*(Inputs!$E$24-Inputs!$D$24)),Inputs!$F$24-SQRT((1-L1628)*(Inputs!$F$24-Inputs!$D$24)*(Inputs!$F$24-Inputs!$E$24)))</f>
        <v>0.729915710857616</v>
      </c>
      <c r="N1628" s="81" t="n">
        <f aca="true">RAND()</f>
        <v>0.0923420367032521</v>
      </c>
      <c r="O1628" s="83" t="n">
        <f aca="false">IF(N1628&lt;(Inputs!$E$26-Inputs!$D$26)/(Inputs!$F$26-Inputs!$D$26),Inputs!$D$26+SQRT(N1628*(Inputs!$F$26-Inputs!$D$26)*(Inputs!$E$26-Inputs!$D$26)),Inputs!$F$26-SQRT((1-N1628)*(Inputs!$F$26-Inputs!$D$26)*(Inputs!$F$26-Inputs!$E$26)))</f>
        <v>0.423958520914946</v>
      </c>
      <c r="P1628" s="81" t="n">
        <f aca="true">RAND()</f>
        <v>0.551799564322728</v>
      </c>
      <c r="Q1628" s="82" t="n">
        <f aca="false">IF(P1628&lt;(Inputs!$E$27-Inputs!$D$27)/(Inputs!$F$27-Inputs!$D$27),Inputs!$D$27+SQRT(P1628*(Inputs!$F$27-Inputs!$D$27)*(Inputs!$E$27-Inputs!$D$27)),Inputs!$F$27-SQRT((1-P1628)*(Inputs!$F$27-Inputs!$D$27)*(Inputs!$F$27-Inputs!$E$27)))</f>
        <v>92.0215275504818</v>
      </c>
      <c r="R1628" s="81" t="n">
        <f aca="true">RAND()</f>
        <v>0.386320875410959</v>
      </c>
      <c r="S1628" s="82" t="n">
        <f aca="false">IF(R1628&lt;(Inputs!$E$29-Inputs!$D$29)/(Inputs!$F$29-Inputs!$D$29),Inputs!$D$29+SQRT(R1628*(Inputs!$F$29-Inputs!$D$29)*(Inputs!$E$29-Inputs!$D$29)),Inputs!$F$29-SQRT((1-R1628)*(Inputs!$F$29-Inputs!$D$29)*(Inputs!$F$29-Inputs!$E$29)))</f>
        <v>6.06813086769766</v>
      </c>
      <c r="T1628" s="68" t="n">
        <f aca="false">Inputs!$E$9*(1+E1628)+Inputs!$E$5*C1628*(Inputs!$E$11*Inputs!$E$14*(G1628*I1628/Inputs!$E$16+(1-G1628))*K1628+Inputs!$E$23*M1628)*(1+O1628)+Inputs!$E$5*(Q1628+S1628)</f>
        <v>5462.9560907693</v>
      </c>
    </row>
    <row r="1629" customFormat="false" ht="15" hidden="false" customHeight="false" outlineLevel="0" collapsed="false">
      <c r="A1629" s="1" t="n">
        <v>1625</v>
      </c>
      <c r="B1629" s="81" t="n">
        <f aca="true">RAND()</f>
        <v>0.906310334453113</v>
      </c>
      <c r="C1629" s="82" t="n">
        <f aca="false">ROUND(IF(B1629&lt;(Inputs!$E$8-Inputs!$D$8)/(Inputs!$F$8-Inputs!$D$8),Inputs!$D$8+SQRT(B1629*(Inputs!$F$8-Inputs!$D$8)*(Inputs!$E$8-Inputs!$D$8)),Inputs!$F$8-SQRT((1-B1629)*(Inputs!$F$8-Inputs!$D$8)*(Inputs!$F$8-Inputs!$E$8))),0)</f>
        <v>28</v>
      </c>
      <c r="D1629" s="81" t="n">
        <f aca="true">RAND()</f>
        <v>0.647299096999187</v>
      </c>
      <c r="E1629" s="83" t="n">
        <f aca="false">IF(D1629&lt;(Inputs!$E$10-Inputs!$D$10)/(Inputs!$F$10-Inputs!$D$10),Inputs!$D$10+SQRT(D1629*(Inputs!$F$10-Inputs!$D$10)*(Inputs!$E$10-Inputs!$D$10)),Inputs!$F$10-SQRT((1-D1629)*(Inputs!$F$10-Inputs!$D$10)*(Inputs!$F$10-Inputs!$E$10)))</f>
        <v>0.097135880453754</v>
      </c>
      <c r="F1629" s="81" t="n">
        <f aca="true">RAND()</f>
        <v>0.705479685864133</v>
      </c>
      <c r="G1629" s="83" t="n">
        <f aca="false">IF(F1629&lt;(Inputs!$E$15-Inputs!$D$15)/(Inputs!$F$15-Inputs!$D$15),Inputs!$D$15+SQRT(F1629*(Inputs!$F$15-Inputs!$D$15)*(Inputs!$E$15-Inputs!$D$15)),Inputs!$F$15-SQRT((1-F1629)*(Inputs!$F$15-Inputs!$D$15)*(Inputs!$F$15-Inputs!$E$15)))</f>
        <v>0.723251017708915</v>
      </c>
      <c r="H1629" s="81" t="n">
        <f aca="true">RAND()</f>
        <v>0.699549760626361</v>
      </c>
      <c r="I1629" s="82" t="n">
        <f aca="false">ROUND(IF(H1629&lt;(Inputs!$E$17-Inputs!$D$17)/(Inputs!$F$17-Inputs!$D$17),Inputs!$D$17+SQRT(H1629*(Inputs!$F$17-Inputs!$D$17)*(Inputs!$E$17-Inputs!$D$17)),Inputs!$F$17-SQRT((1-H1629)*(Inputs!$F$17-Inputs!$D$17)*(Inputs!$F$17-Inputs!$E$17))),0)</f>
        <v>108</v>
      </c>
      <c r="J1629" s="81" t="n">
        <f aca="true">RAND()</f>
        <v>0.890030147520018</v>
      </c>
      <c r="K1629" s="83" t="n">
        <f aca="false">IF(J1629&lt;(Inputs!$E$18-Inputs!$D$18)/(Inputs!$F$18-Inputs!$D$18),Inputs!$D$18+SQRT(J1629*(Inputs!$F$18-Inputs!$D$18)*(Inputs!$E$18-Inputs!$D$18)),Inputs!$F$18-SQRT((1-J1629)*(Inputs!$F$18-Inputs!$D$18)*(Inputs!$F$18-Inputs!$E$18)))</f>
        <v>1.15190636059357</v>
      </c>
      <c r="L1629" s="81" t="n">
        <f aca="true">RAND()</f>
        <v>0.20986331917467</v>
      </c>
      <c r="M1629" s="83" t="n">
        <f aca="false">IF(L1629&lt;(Inputs!$E$24-Inputs!$D$24)/(Inputs!$F$24-Inputs!$D$24),Inputs!$D$24+SQRT(L1629*(Inputs!$F$24-Inputs!$D$24)*(Inputs!$E$24-Inputs!$D$24)),Inputs!$F$24-SQRT((1-L1629)*(Inputs!$F$24-Inputs!$D$24)*(Inputs!$F$24-Inputs!$E$24)))</f>
        <v>0.758693409759071</v>
      </c>
      <c r="N1629" s="81" t="n">
        <f aca="true">RAND()</f>
        <v>0.15621558912712</v>
      </c>
      <c r="O1629" s="83" t="n">
        <f aca="false">IF(N1629&lt;(Inputs!$E$26-Inputs!$D$26)/(Inputs!$F$26-Inputs!$D$26),Inputs!$D$26+SQRT(N1629*(Inputs!$F$26-Inputs!$D$26)*(Inputs!$E$26-Inputs!$D$26)),Inputs!$F$26-SQRT((1-N1629)*(Inputs!$F$26-Inputs!$D$26)*(Inputs!$F$26-Inputs!$E$26)))</f>
        <v>0.461227398511397</v>
      </c>
      <c r="P1629" s="81" t="n">
        <f aca="true">RAND()</f>
        <v>0.505978347936829</v>
      </c>
      <c r="Q1629" s="82" t="n">
        <f aca="false">IF(P1629&lt;(Inputs!$E$27-Inputs!$D$27)/(Inputs!$F$27-Inputs!$D$27),Inputs!$D$27+SQRT(P1629*(Inputs!$F$27-Inputs!$D$27)*(Inputs!$E$27-Inputs!$D$27)),Inputs!$F$27-SQRT((1-P1629)*(Inputs!$F$27-Inputs!$D$27)*(Inputs!$F$27-Inputs!$E$27)))</f>
        <v>89.1299549000185</v>
      </c>
      <c r="R1629" s="81" t="n">
        <f aca="true">RAND()</f>
        <v>0.308225942177346</v>
      </c>
      <c r="S1629" s="82" t="n">
        <f aca="false">IF(R1629&lt;(Inputs!$E$29-Inputs!$D$29)/(Inputs!$F$29-Inputs!$D$29),Inputs!$D$29+SQRT(R1629*(Inputs!$F$29-Inputs!$D$29)*(Inputs!$E$29-Inputs!$D$29)),Inputs!$F$29-SQRT((1-R1629)*(Inputs!$F$29-Inputs!$D$29)*(Inputs!$F$29-Inputs!$E$29)))</f>
        <v>5.5168239752209</v>
      </c>
      <c r="T1629" s="68" t="n">
        <f aca="false">Inputs!$E$9*(1+E1629)+Inputs!$E$5*C1629*(Inputs!$E$11*Inputs!$E$14*(G1629*I1629/Inputs!$E$16+(1-G1629))*K1629+Inputs!$E$23*M1629)*(1+O1629)+Inputs!$E$5*(Q1629+S1629)</f>
        <v>6530.56501841797</v>
      </c>
    </row>
    <row r="1630" customFormat="false" ht="15" hidden="false" customHeight="false" outlineLevel="0" collapsed="false">
      <c r="A1630" s="1" t="n">
        <v>1626</v>
      </c>
      <c r="B1630" s="81" t="n">
        <f aca="true">RAND()</f>
        <v>0.958392598390987</v>
      </c>
      <c r="C1630" s="82" t="n">
        <f aca="false">ROUND(IF(B1630&lt;(Inputs!$E$8-Inputs!$D$8)/(Inputs!$F$8-Inputs!$D$8),Inputs!$D$8+SQRT(B1630*(Inputs!$F$8-Inputs!$D$8)*(Inputs!$E$8-Inputs!$D$8)),Inputs!$F$8-SQRT((1-B1630)*(Inputs!$F$8-Inputs!$D$8)*(Inputs!$F$8-Inputs!$E$8))),0)</f>
        <v>29</v>
      </c>
      <c r="D1630" s="81" t="n">
        <f aca="true">RAND()</f>
        <v>0.766003326473965</v>
      </c>
      <c r="E1630" s="83" t="n">
        <f aca="false">IF(D1630&lt;(Inputs!$E$10-Inputs!$D$10)/(Inputs!$F$10-Inputs!$D$10),Inputs!$D$10+SQRT(D1630*(Inputs!$F$10-Inputs!$D$10)*(Inputs!$E$10-Inputs!$D$10)),Inputs!$F$10-SQRT((1-D1630)*(Inputs!$F$10-Inputs!$D$10)*(Inputs!$F$10-Inputs!$E$10)))</f>
        <v>0.116215155273874</v>
      </c>
      <c r="F1630" s="81" t="n">
        <f aca="true">RAND()</f>
        <v>0.789097500575792</v>
      </c>
      <c r="G1630" s="83" t="n">
        <f aca="false">IF(F1630&lt;(Inputs!$E$15-Inputs!$D$15)/(Inputs!$F$15-Inputs!$D$15),Inputs!$D$15+SQRT(F1630*(Inputs!$F$15-Inputs!$D$15)*(Inputs!$E$15-Inputs!$D$15)),Inputs!$F$15-SQRT((1-F1630)*(Inputs!$F$15-Inputs!$D$15)*(Inputs!$F$15-Inputs!$E$15)))</f>
        <v>0.735053483630882</v>
      </c>
      <c r="H1630" s="81" t="n">
        <f aca="true">RAND()</f>
        <v>0.403073972138478</v>
      </c>
      <c r="I1630" s="82" t="n">
        <f aca="false">ROUND(IF(H1630&lt;(Inputs!$E$17-Inputs!$D$17)/(Inputs!$F$17-Inputs!$D$17),Inputs!$D$17+SQRT(H1630*(Inputs!$F$17-Inputs!$D$17)*(Inputs!$E$17-Inputs!$D$17)),Inputs!$F$17-SQRT((1-H1630)*(Inputs!$F$17-Inputs!$D$17)*(Inputs!$F$17-Inputs!$E$17))),0)</f>
        <v>106</v>
      </c>
      <c r="J1630" s="81" t="n">
        <f aca="true">RAND()</f>
        <v>0.499300185160131</v>
      </c>
      <c r="K1630" s="83" t="n">
        <f aca="false">IF(J1630&lt;(Inputs!$E$18-Inputs!$D$18)/(Inputs!$F$18-Inputs!$D$18),Inputs!$D$18+SQRT(J1630*(Inputs!$F$18-Inputs!$D$18)*(Inputs!$E$18-Inputs!$D$18)),Inputs!$F$18-SQRT((1-J1630)*(Inputs!$F$18-Inputs!$D$18)*(Inputs!$F$18-Inputs!$E$18)))</f>
        <v>1.04068866777337</v>
      </c>
      <c r="L1630" s="81" t="n">
        <f aca="true">RAND()</f>
        <v>0.0193838119442705</v>
      </c>
      <c r="M1630" s="83" t="n">
        <f aca="false">IF(L1630&lt;(Inputs!$E$24-Inputs!$D$24)/(Inputs!$F$24-Inputs!$D$24),Inputs!$D$24+SQRT(L1630*(Inputs!$F$24-Inputs!$D$24)*(Inputs!$E$24-Inputs!$D$24)),Inputs!$F$24-SQRT((1-L1630)*(Inputs!$F$24-Inputs!$D$24)*(Inputs!$F$24-Inputs!$E$24)))</f>
        <v>0.648229217631146</v>
      </c>
      <c r="N1630" s="81" t="n">
        <f aca="true">RAND()</f>
        <v>0.181313807517778</v>
      </c>
      <c r="O1630" s="83" t="n">
        <f aca="false">IF(N1630&lt;(Inputs!$E$26-Inputs!$D$26)/(Inputs!$F$26-Inputs!$D$26),Inputs!$D$26+SQRT(N1630*(Inputs!$F$26-Inputs!$D$26)*(Inputs!$E$26-Inputs!$D$26)),Inputs!$F$26-SQRT((1-N1630)*(Inputs!$F$26-Inputs!$D$26)*(Inputs!$F$26-Inputs!$E$26)))</f>
        <v>0.47369691295748</v>
      </c>
      <c r="P1630" s="81" t="n">
        <f aca="true">RAND()</f>
        <v>0.0909791311881941</v>
      </c>
      <c r="Q1630" s="82" t="n">
        <f aca="false">IF(P1630&lt;(Inputs!$E$27-Inputs!$D$27)/(Inputs!$F$27-Inputs!$D$27),Inputs!$D$27+SQRT(P1630*(Inputs!$F$27-Inputs!$D$27)*(Inputs!$E$27-Inputs!$D$27)),Inputs!$F$27-SQRT((1-P1630)*(Inputs!$F$27-Inputs!$D$27)*(Inputs!$F$27-Inputs!$E$27)))</f>
        <v>65.0813735438946</v>
      </c>
      <c r="R1630" s="81" t="n">
        <f aca="true">RAND()</f>
        <v>0.136262631129731</v>
      </c>
      <c r="S1630" s="82" t="n">
        <f aca="false">IF(R1630&lt;(Inputs!$E$29-Inputs!$D$29)/(Inputs!$F$29-Inputs!$D$29),Inputs!$D$29+SQRT(R1630*(Inputs!$F$29-Inputs!$D$29)*(Inputs!$E$29-Inputs!$D$29)),Inputs!$F$29-SQRT((1-R1630)*(Inputs!$F$29-Inputs!$D$29)*(Inputs!$F$29-Inputs!$E$29)))</f>
        <v>4.30526410939387</v>
      </c>
      <c r="T1630" s="68" t="n">
        <f aca="false">Inputs!$E$9*(1+E1630)+Inputs!$E$5*C1630*(Inputs!$E$11*Inputs!$E$14*(G1630*I1630/Inputs!$E$16+(1-G1630))*K1630+Inputs!$E$23*M1630)*(1+O1630)+Inputs!$E$5*(Q1630+S1630)</f>
        <v>6140.36062954725</v>
      </c>
    </row>
    <row r="1631" customFormat="false" ht="15" hidden="false" customHeight="false" outlineLevel="0" collapsed="false">
      <c r="A1631" s="1" t="n">
        <v>1627</v>
      </c>
      <c r="B1631" s="81" t="n">
        <f aca="true">RAND()</f>
        <v>0.470632180779482</v>
      </c>
      <c r="C1631" s="82" t="n">
        <f aca="false">ROUND(IF(B1631&lt;(Inputs!$E$8-Inputs!$D$8)/(Inputs!$F$8-Inputs!$D$8),Inputs!$D$8+SQRT(B1631*(Inputs!$F$8-Inputs!$D$8)*(Inputs!$E$8-Inputs!$D$8)),Inputs!$F$8-SQRT((1-B1631)*(Inputs!$F$8-Inputs!$D$8)*(Inputs!$F$8-Inputs!$E$8))),0)</f>
        <v>25</v>
      </c>
      <c r="D1631" s="81" t="n">
        <f aca="true">RAND()</f>
        <v>0.527237557923055</v>
      </c>
      <c r="E1631" s="83" t="n">
        <f aca="false">IF(D1631&lt;(Inputs!$E$10-Inputs!$D$10)/(Inputs!$F$10-Inputs!$D$10),Inputs!$D$10+SQRT(D1631*(Inputs!$F$10-Inputs!$D$10)*(Inputs!$E$10-Inputs!$D$10)),Inputs!$F$10-SQRT((1-D1631)*(Inputs!$F$10-Inputs!$D$10)*(Inputs!$F$10-Inputs!$E$10)))</f>
        <v>0.0809081309983409</v>
      </c>
      <c r="F1631" s="81" t="n">
        <f aca="true">RAND()</f>
        <v>0.547385768026788</v>
      </c>
      <c r="G1631" s="83" t="n">
        <f aca="false">IF(F1631&lt;(Inputs!$E$15-Inputs!$D$15)/(Inputs!$F$15-Inputs!$D$15),Inputs!$D$15+SQRT(F1631*(Inputs!$F$15-Inputs!$D$15)*(Inputs!$E$15-Inputs!$D$15)),Inputs!$F$15-SQRT((1-F1631)*(Inputs!$F$15-Inputs!$D$15)*(Inputs!$F$15-Inputs!$E$15)))</f>
        <v>0.704856505007099</v>
      </c>
      <c r="H1631" s="81" t="n">
        <f aca="true">RAND()</f>
        <v>0.574898654036086</v>
      </c>
      <c r="I1631" s="82" t="n">
        <f aca="false">ROUND(IF(H1631&lt;(Inputs!$E$17-Inputs!$D$17)/(Inputs!$F$17-Inputs!$D$17),Inputs!$D$17+SQRT(H1631*(Inputs!$F$17-Inputs!$D$17)*(Inputs!$E$17-Inputs!$D$17)),Inputs!$F$17-SQRT((1-H1631)*(Inputs!$F$17-Inputs!$D$17)*(Inputs!$F$17-Inputs!$E$17))),0)</f>
        <v>107</v>
      </c>
      <c r="J1631" s="81" t="n">
        <f aca="true">RAND()</f>
        <v>0.178946237762534</v>
      </c>
      <c r="K1631" s="83" t="n">
        <f aca="false">IF(J1631&lt;(Inputs!$E$18-Inputs!$D$18)/(Inputs!$F$18-Inputs!$D$18),Inputs!$D$18+SQRT(J1631*(Inputs!$F$18-Inputs!$D$18)*(Inputs!$E$18-Inputs!$D$18)),Inputs!$F$18-SQRT((1-J1631)*(Inputs!$F$18-Inputs!$D$18)*(Inputs!$F$18-Inputs!$E$18)))</f>
        <v>0.979139865565268</v>
      </c>
      <c r="L1631" s="81" t="n">
        <f aca="true">RAND()</f>
        <v>0.320376818431132</v>
      </c>
      <c r="M1631" s="83" t="n">
        <f aca="false">IF(L1631&lt;(Inputs!$E$24-Inputs!$D$24)/(Inputs!$F$24-Inputs!$D$24),Inputs!$D$24+SQRT(L1631*(Inputs!$F$24-Inputs!$D$24)*(Inputs!$E$24-Inputs!$D$24)),Inputs!$F$24-SQRT((1-L1631)*(Inputs!$F$24-Inputs!$D$24)*(Inputs!$F$24-Inputs!$E$24)))</f>
        <v>0.796074522087231</v>
      </c>
      <c r="N1631" s="81" t="n">
        <f aca="true">RAND()</f>
        <v>0.222982040437093</v>
      </c>
      <c r="O1631" s="83" t="n">
        <f aca="false">IF(N1631&lt;(Inputs!$E$26-Inputs!$D$26)/(Inputs!$F$26-Inputs!$D$26),Inputs!$D$26+SQRT(N1631*(Inputs!$F$26-Inputs!$D$26)*(Inputs!$E$26-Inputs!$D$26)),Inputs!$F$26-SQRT((1-N1631)*(Inputs!$F$26-Inputs!$D$26)*(Inputs!$F$26-Inputs!$E$26)))</f>
        <v>0.4926245351162</v>
      </c>
      <c r="P1631" s="81" t="n">
        <f aca="true">RAND()</f>
        <v>0.0972634503311737</v>
      </c>
      <c r="Q1631" s="82" t="n">
        <f aca="false">IF(P1631&lt;(Inputs!$E$27-Inputs!$D$27)/(Inputs!$F$27-Inputs!$D$27),Inputs!$D$27+SQRT(P1631*(Inputs!$F$27-Inputs!$D$27)*(Inputs!$E$27-Inputs!$D$27)),Inputs!$F$27-SQRT((1-P1631)*(Inputs!$F$27-Inputs!$D$27)*(Inputs!$F$27-Inputs!$E$27)))</f>
        <v>65.5935443638685</v>
      </c>
      <c r="R1631" s="81" t="n">
        <f aca="true">RAND()</f>
        <v>0.00197959682154459</v>
      </c>
      <c r="S1631" s="82" t="n">
        <f aca="false">IF(R1631&lt;(Inputs!$E$29-Inputs!$D$29)/(Inputs!$F$29-Inputs!$D$29),Inputs!$D$29+SQRT(R1631*(Inputs!$F$29-Inputs!$D$29)*(Inputs!$E$29-Inputs!$D$29)),Inputs!$F$29-SQRT((1-R1631)*(Inputs!$F$29-Inputs!$D$29)*(Inputs!$F$29-Inputs!$E$29)))</f>
        <v>2.27785657458523</v>
      </c>
      <c r="T1631" s="68" t="n">
        <f aca="false">Inputs!$E$9*(1+E1631)+Inputs!$E$5*C1631*(Inputs!$E$11*Inputs!$E$14*(G1631*I1631/Inputs!$E$16+(1-G1631))*K1631+Inputs!$E$23*M1631)*(1+O1631)+Inputs!$E$5*(Q1631+S1631)</f>
        <v>5754.01960980439</v>
      </c>
    </row>
    <row r="1632" customFormat="false" ht="15" hidden="false" customHeight="false" outlineLevel="0" collapsed="false">
      <c r="A1632" s="1" t="n">
        <v>1628</v>
      </c>
      <c r="B1632" s="81" t="n">
        <f aca="true">RAND()</f>
        <v>0.441140827555484</v>
      </c>
      <c r="C1632" s="82" t="n">
        <f aca="false">ROUND(IF(B1632&lt;(Inputs!$E$8-Inputs!$D$8)/(Inputs!$F$8-Inputs!$D$8),Inputs!$D$8+SQRT(B1632*(Inputs!$F$8-Inputs!$D$8)*(Inputs!$E$8-Inputs!$D$8)),Inputs!$F$8-SQRT((1-B1632)*(Inputs!$F$8-Inputs!$D$8)*(Inputs!$F$8-Inputs!$E$8))),0)</f>
        <v>25</v>
      </c>
      <c r="D1632" s="81" t="n">
        <f aca="true">RAND()</f>
        <v>0.0954439108267008</v>
      </c>
      <c r="E1632" s="83" t="n">
        <f aca="false">IF(D1632&lt;(Inputs!$E$10-Inputs!$D$10)/(Inputs!$F$10-Inputs!$D$10),Inputs!$D$10+SQRT(D1632*(Inputs!$F$10-Inputs!$D$10)*(Inputs!$E$10-Inputs!$D$10)),Inputs!$F$10-SQRT((1-D1632)*(Inputs!$F$10-Inputs!$D$10)*(Inputs!$F$10-Inputs!$E$10)))</f>
        <v>0.0308939979327216</v>
      </c>
      <c r="F1632" s="81" t="n">
        <f aca="true">RAND()</f>
        <v>0.207526402845613</v>
      </c>
      <c r="G1632" s="83" t="n">
        <f aca="false">IF(F1632&lt;(Inputs!$E$15-Inputs!$D$15)/(Inputs!$F$15-Inputs!$D$15),Inputs!$D$15+SQRT(F1632*(Inputs!$F$15-Inputs!$D$15)*(Inputs!$E$15-Inputs!$D$15)),Inputs!$F$15-SQRT((1-F1632)*(Inputs!$F$15-Inputs!$D$15)*(Inputs!$F$15-Inputs!$E$15)))</f>
        <v>0.664424592019758</v>
      </c>
      <c r="H1632" s="81" t="n">
        <f aca="true">RAND()</f>
        <v>0.824605451948947</v>
      </c>
      <c r="I1632" s="82" t="n">
        <f aca="false">ROUND(IF(H1632&lt;(Inputs!$E$17-Inputs!$D$17)/(Inputs!$F$17-Inputs!$D$17),Inputs!$D$17+SQRT(H1632*(Inputs!$F$17-Inputs!$D$17)*(Inputs!$E$17-Inputs!$D$17)),Inputs!$F$17-SQRT((1-H1632)*(Inputs!$F$17-Inputs!$D$17)*(Inputs!$F$17-Inputs!$E$17))),0)</f>
        <v>110</v>
      </c>
      <c r="J1632" s="81" t="n">
        <f aca="true">RAND()</f>
        <v>0.0176893923001153</v>
      </c>
      <c r="K1632" s="83" t="n">
        <f aca="false">IF(J1632&lt;(Inputs!$E$18-Inputs!$D$18)/(Inputs!$F$18-Inputs!$D$18),Inputs!$D$18+SQRT(J1632*(Inputs!$F$18-Inputs!$D$18)*(Inputs!$E$18-Inputs!$D$18)),Inputs!$F$18-SQRT((1-J1632)*(Inputs!$F$18-Inputs!$D$18)*(Inputs!$F$18-Inputs!$E$18)))</f>
        <v>0.924882297532664</v>
      </c>
      <c r="L1632" s="81" t="n">
        <f aca="true">RAND()</f>
        <v>0.499272088973475</v>
      </c>
      <c r="M1632" s="83" t="n">
        <f aca="false">IF(L1632&lt;(Inputs!$E$24-Inputs!$D$24)/(Inputs!$F$24-Inputs!$D$24),Inputs!$D$24+SQRT(L1632*(Inputs!$F$24-Inputs!$D$24)*(Inputs!$E$24-Inputs!$D$24)),Inputs!$F$24-SQRT((1-L1632)*(Inputs!$F$24-Inputs!$D$24)*(Inputs!$F$24-Inputs!$E$24)))</f>
        <v>0.853337774416701</v>
      </c>
      <c r="N1632" s="81" t="n">
        <f aca="true">RAND()</f>
        <v>0.811460088298509</v>
      </c>
      <c r="O1632" s="83" t="n">
        <f aca="false">IF(N1632&lt;(Inputs!$E$26-Inputs!$D$26)/(Inputs!$F$26-Inputs!$D$26),Inputs!$D$26+SQRT(N1632*(Inputs!$F$26-Inputs!$D$26)*(Inputs!$E$26-Inputs!$D$26)),Inputs!$F$26-SQRT((1-N1632)*(Inputs!$F$26-Inputs!$D$26)*(Inputs!$F$26-Inputs!$E$26)))</f>
        <v>0.67997089296523</v>
      </c>
      <c r="P1632" s="81" t="n">
        <f aca="true">RAND()</f>
        <v>0.895948003450053</v>
      </c>
      <c r="Q1632" s="82" t="n">
        <f aca="false">IF(P1632&lt;(Inputs!$E$27-Inputs!$D$27)/(Inputs!$F$27-Inputs!$D$27),Inputs!$D$27+SQRT(P1632*(Inputs!$F$27-Inputs!$D$27)*(Inputs!$E$27-Inputs!$D$27)),Inputs!$F$27-SQRT((1-P1632)*(Inputs!$F$27-Inputs!$D$27)*(Inputs!$F$27-Inputs!$E$27)))</f>
        <v>122.064539128115</v>
      </c>
      <c r="R1632" s="81" t="n">
        <f aca="true">RAND()</f>
        <v>0.575661773939229</v>
      </c>
      <c r="S1632" s="82" t="n">
        <f aca="false">IF(R1632&lt;(Inputs!$E$29-Inputs!$D$29)/(Inputs!$F$29-Inputs!$D$29),Inputs!$D$29+SQRT(R1632*(Inputs!$F$29-Inputs!$D$29)*(Inputs!$E$29-Inputs!$D$29)),Inputs!$F$29-SQRT((1-R1632)*(Inputs!$F$29-Inputs!$D$29)*(Inputs!$F$29-Inputs!$E$29)))</f>
        <v>7.57275492609135</v>
      </c>
      <c r="T1632" s="68" t="n">
        <f aca="false">Inputs!$E$9*(1+E1632)+Inputs!$E$5*C1632*(Inputs!$E$11*Inputs!$E$14*(G1632*I1632/Inputs!$E$16+(1-G1632))*K1632+Inputs!$E$23*M1632)*(1+O1632)+Inputs!$E$5*(Q1632+S1632)</f>
        <v>6379.59394360041</v>
      </c>
    </row>
    <row r="1633" customFormat="false" ht="15" hidden="false" customHeight="false" outlineLevel="0" collapsed="false">
      <c r="A1633" s="1" t="n">
        <v>1629</v>
      </c>
      <c r="B1633" s="81" t="n">
        <f aca="true">RAND()</f>
        <v>0.139772515381662</v>
      </c>
      <c r="C1633" s="82" t="n">
        <f aca="false">ROUND(IF(B1633&lt;(Inputs!$E$8-Inputs!$D$8)/(Inputs!$F$8-Inputs!$D$8),Inputs!$D$8+SQRT(B1633*(Inputs!$F$8-Inputs!$D$8)*(Inputs!$E$8-Inputs!$D$8)),Inputs!$F$8-SQRT((1-B1633)*(Inputs!$F$8-Inputs!$D$8)*(Inputs!$F$8-Inputs!$E$8))),0)</f>
        <v>23</v>
      </c>
      <c r="D1633" s="81" t="n">
        <f aca="true">RAND()</f>
        <v>0.785129226171776</v>
      </c>
      <c r="E1633" s="83" t="n">
        <f aca="false">IF(D1633&lt;(Inputs!$E$10-Inputs!$D$10)/(Inputs!$F$10-Inputs!$D$10),Inputs!$D$10+SQRT(D1633*(Inputs!$F$10-Inputs!$D$10)*(Inputs!$E$10-Inputs!$D$10)),Inputs!$F$10-SQRT((1-D1633)*(Inputs!$F$10-Inputs!$D$10)*(Inputs!$F$10-Inputs!$E$10)))</f>
        <v>0.11971224741689</v>
      </c>
      <c r="F1633" s="81" t="n">
        <f aca="true">RAND()</f>
        <v>0.538912348625066</v>
      </c>
      <c r="G1633" s="83" t="n">
        <f aca="false">IF(F1633&lt;(Inputs!$E$15-Inputs!$D$15)/(Inputs!$F$15-Inputs!$D$15),Inputs!$D$15+SQRT(F1633*(Inputs!$F$15-Inputs!$D$15)*(Inputs!$E$15-Inputs!$D$15)),Inputs!$F$15-SQRT((1-F1633)*(Inputs!$F$15-Inputs!$D$15)*(Inputs!$F$15-Inputs!$E$15)))</f>
        <v>0.70397004098981</v>
      </c>
      <c r="H1633" s="81" t="n">
        <f aca="true">RAND()</f>
        <v>0.000442596803385777</v>
      </c>
      <c r="I1633" s="82" t="n">
        <f aca="false">ROUND(IF(H1633&lt;(Inputs!$E$17-Inputs!$D$17)/(Inputs!$F$17-Inputs!$D$17),Inputs!$D$17+SQRT(H1633*(Inputs!$F$17-Inputs!$D$17)*(Inputs!$E$17-Inputs!$D$17)),Inputs!$F$17-SQRT((1-H1633)*(Inputs!$F$17-Inputs!$D$17)*(Inputs!$F$17-Inputs!$E$17))),0)</f>
        <v>100</v>
      </c>
      <c r="J1633" s="81" t="n">
        <f aca="true">RAND()</f>
        <v>0.749100225240759</v>
      </c>
      <c r="K1633" s="83" t="n">
        <f aca="false">IF(J1633&lt;(Inputs!$E$18-Inputs!$D$18)/(Inputs!$F$18-Inputs!$D$18),Inputs!$D$18+SQRT(J1633*(Inputs!$F$18-Inputs!$D$18)*(Inputs!$E$18-Inputs!$D$18)),Inputs!$F$18-SQRT((1-J1633)*(Inputs!$F$18-Inputs!$D$18)*(Inputs!$F$18-Inputs!$E$18)))</f>
        <v>1.10183208751071</v>
      </c>
      <c r="L1633" s="81" t="n">
        <f aca="true">RAND()</f>
        <v>0.272312907334974</v>
      </c>
      <c r="M1633" s="83" t="n">
        <f aca="false">IF(L1633&lt;(Inputs!$E$24-Inputs!$D$24)/(Inputs!$F$24-Inputs!$D$24),Inputs!$D$24+SQRT(L1633*(Inputs!$F$24-Inputs!$D$24)*(Inputs!$E$24-Inputs!$D$24)),Inputs!$F$24-SQRT((1-L1633)*(Inputs!$F$24-Inputs!$D$24)*(Inputs!$F$24-Inputs!$E$24)))</f>
        <v>0.78076932505322</v>
      </c>
      <c r="N1633" s="81" t="n">
        <f aca="true">RAND()</f>
        <v>0.503506689979543</v>
      </c>
      <c r="O1633" s="83" t="n">
        <f aca="false">IF(N1633&lt;(Inputs!$E$26-Inputs!$D$26)/(Inputs!$F$26-Inputs!$D$26),Inputs!$D$26+SQRT(N1633*(Inputs!$F$26-Inputs!$D$26)*(Inputs!$E$26-Inputs!$D$26)),Inputs!$F$26-SQRT((1-N1633)*(Inputs!$F$26-Inputs!$D$26)*(Inputs!$F$26-Inputs!$E$26)))</f>
        <v>0.589453818790832</v>
      </c>
      <c r="P1633" s="81" t="n">
        <f aca="true">RAND()</f>
        <v>0.994777278977773</v>
      </c>
      <c r="Q1633" s="82" t="n">
        <f aca="false">IF(P1633&lt;(Inputs!$E$27-Inputs!$D$27)/(Inputs!$F$27-Inputs!$D$27),Inputs!$D$27+SQRT(P1633*(Inputs!$F$27-Inputs!$D$27)*(Inputs!$E$27-Inputs!$D$27)),Inputs!$F$27-SQRT((1-P1633)*(Inputs!$F$27-Inputs!$D$27)*(Inputs!$F$27-Inputs!$E$27)))</f>
        <v>143.741373340204</v>
      </c>
      <c r="R1633" s="81" t="n">
        <f aca="true">RAND()</f>
        <v>0.353894074034868</v>
      </c>
      <c r="S1633" s="82" t="n">
        <f aca="false">IF(R1633&lt;(Inputs!$E$29-Inputs!$D$29)/(Inputs!$F$29-Inputs!$D$29),Inputs!$D$29+SQRT(R1633*(Inputs!$F$29-Inputs!$D$29)*(Inputs!$E$29-Inputs!$D$29)),Inputs!$F$29-SQRT((1-R1633)*(Inputs!$F$29-Inputs!$D$29)*(Inputs!$F$29-Inputs!$E$29)))</f>
        <v>5.83518847027026</v>
      </c>
      <c r="T1633" s="68" t="n">
        <f aca="false">Inputs!$E$9*(1+E1633)+Inputs!$E$5*C1633*(Inputs!$E$11*Inputs!$E$14*(G1633*I1633/Inputs!$E$16+(1-G1633))*K1633+Inputs!$E$23*M1633)*(1+O1633)+Inputs!$E$5*(Q1633+S1633)</f>
        <v>6327.56904749259</v>
      </c>
    </row>
    <row r="1634" customFormat="false" ht="15" hidden="false" customHeight="false" outlineLevel="0" collapsed="false">
      <c r="A1634" s="1" t="n">
        <v>1630</v>
      </c>
      <c r="B1634" s="81" t="n">
        <f aca="true">RAND()</f>
        <v>0.116286909214705</v>
      </c>
      <c r="C1634" s="82" t="n">
        <f aca="false">ROUND(IF(B1634&lt;(Inputs!$E$8-Inputs!$D$8)/(Inputs!$F$8-Inputs!$D$8),Inputs!$D$8+SQRT(B1634*(Inputs!$F$8-Inputs!$D$8)*(Inputs!$E$8-Inputs!$D$8)),Inputs!$F$8-SQRT((1-B1634)*(Inputs!$F$8-Inputs!$D$8)*(Inputs!$F$8-Inputs!$E$8))),0)</f>
        <v>22</v>
      </c>
      <c r="D1634" s="81" t="n">
        <f aca="true">RAND()</f>
        <v>0.466244118622872</v>
      </c>
      <c r="E1634" s="83" t="n">
        <f aca="false">IF(D1634&lt;(Inputs!$E$10-Inputs!$D$10)/(Inputs!$F$10-Inputs!$D$10),Inputs!$D$10+SQRT(D1634*(Inputs!$F$10-Inputs!$D$10)*(Inputs!$E$10-Inputs!$D$10)),Inputs!$F$10-SQRT((1-D1634)*(Inputs!$F$10-Inputs!$D$10)*(Inputs!$F$10-Inputs!$E$10)))</f>
        <v>0.0734587954802317</v>
      </c>
      <c r="F1634" s="81" t="n">
        <f aca="true">RAND()</f>
        <v>0.605193259884233</v>
      </c>
      <c r="G1634" s="83" t="n">
        <f aca="false">IF(F1634&lt;(Inputs!$E$15-Inputs!$D$15)/(Inputs!$F$15-Inputs!$D$15),Inputs!$D$15+SQRT(F1634*(Inputs!$F$15-Inputs!$D$15)*(Inputs!$E$15-Inputs!$D$15)),Inputs!$F$15-SQRT((1-F1634)*(Inputs!$F$15-Inputs!$D$15)*(Inputs!$F$15-Inputs!$E$15)))</f>
        <v>0.711139801922822</v>
      </c>
      <c r="H1634" s="81" t="n">
        <f aca="true">RAND()</f>
        <v>0.52982059528782</v>
      </c>
      <c r="I1634" s="82" t="n">
        <f aca="false">ROUND(IF(H1634&lt;(Inputs!$E$17-Inputs!$D$17)/(Inputs!$F$17-Inputs!$D$17),Inputs!$D$17+SQRT(H1634*(Inputs!$F$17-Inputs!$D$17)*(Inputs!$E$17-Inputs!$D$17)),Inputs!$F$17-SQRT((1-H1634)*(Inputs!$F$17-Inputs!$D$17)*(Inputs!$F$17-Inputs!$E$17))),0)</f>
        <v>107</v>
      </c>
      <c r="J1634" s="81" t="n">
        <f aca="true">RAND()</f>
        <v>0.794542781990082</v>
      </c>
      <c r="K1634" s="83" t="n">
        <f aca="false">IF(J1634&lt;(Inputs!$E$18-Inputs!$D$18)/(Inputs!$F$18-Inputs!$D$18),Inputs!$D$18+SQRT(J1634*(Inputs!$F$18-Inputs!$D$18)*(Inputs!$E$18-Inputs!$D$18)),Inputs!$F$18-SQRT((1-J1634)*(Inputs!$F$18-Inputs!$D$18)*(Inputs!$F$18-Inputs!$E$18)))</f>
        <v>1.11591977559734</v>
      </c>
      <c r="L1634" s="81" t="n">
        <f aca="true">RAND()</f>
        <v>0.744081368901209</v>
      </c>
      <c r="M1634" s="83" t="n">
        <f aca="false">IF(L1634&lt;(Inputs!$E$24-Inputs!$D$24)/(Inputs!$F$24-Inputs!$D$24),Inputs!$D$24+SQRT(L1634*(Inputs!$F$24-Inputs!$D$24)*(Inputs!$E$24-Inputs!$D$24)),Inputs!$F$24-SQRT((1-L1634)*(Inputs!$F$24-Inputs!$D$24)*(Inputs!$F$24-Inputs!$E$24)))</f>
        <v>0.952168461523337</v>
      </c>
      <c r="N1634" s="81" t="n">
        <f aca="true">RAND()</f>
        <v>0.30228265116855</v>
      </c>
      <c r="O1634" s="83" t="n">
        <f aca="false">IF(N1634&lt;(Inputs!$E$26-Inputs!$D$26)/(Inputs!$F$26-Inputs!$D$26),Inputs!$D$26+SQRT(N1634*(Inputs!$F$26-Inputs!$D$26)*(Inputs!$E$26-Inputs!$D$26)),Inputs!$F$26-SQRT((1-N1634)*(Inputs!$F$26-Inputs!$D$26)*(Inputs!$F$26-Inputs!$E$26)))</f>
        <v>0.524276242955973</v>
      </c>
      <c r="P1634" s="81" t="n">
        <f aca="true">RAND()</f>
        <v>0.514058002331616</v>
      </c>
      <c r="Q1634" s="82" t="n">
        <f aca="false">IF(P1634&lt;(Inputs!$E$27-Inputs!$D$27)/(Inputs!$F$27-Inputs!$D$27),Inputs!$D$27+SQRT(P1634*(Inputs!$F$27-Inputs!$D$27)*(Inputs!$E$27-Inputs!$D$27)),Inputs!$F$27-SQRT((1-P1634)*(Inputs!$F$27-Inputs!$D$27)*(Inputs!$F$27-Inputs!$E$27)))</f>
        <v>89.6297674137918</v>
      </c>
      <c r="R1634" s="81" t="n">
        <f aca="true">RAND()</f>
        <v>0.413304223358151</v>
      </c>
      <c r="S1634" s="82" t="n">
        <f aca="false">IF(R1634&lt;(Inputs!$E$29-Inputs!$D$29)/(Inputs!$F$29-Inputs!$D$29),Inputs!$D$29+SQRT(R1634*(Inputs!$F$29-Inputs!$D$29)*(Inputs!$E$29-Inputs!$D$29)),Inputs!$F$29-SQRT((1-R1634)*(Inputs!$F$29-Inputs!$D$29)*(Inputs!$F$29-Inputs!$E$29)))</f>
        <v>6.26670446146242</v>
      </c>
      <c r="T1634" s="68" t="n">
        <f aca="false">Inputs!$E$9*(1+E1634)+Inputs!$E$5*C1634*(Inputs!$E$11*Inputs!$E$14*(G1634*I1634/Inputs!$E$16+(1-G1634))*K1634+Inputs!$E$23*M1634)*(1+O1634)+Inputs!$E$5*(Q1634+S1634)</f>
        <v>5997.26805043371</v>
      </c>
    </row>
    <row r="1635" customFormat="false" ht="15" hidden="false" customHeight="false" outlineLevel="0" collapsed="false">
      <c r="A1635" s="1" t="n">
        <v>1631</v>
      </c>
      <c r="B1635" s="81" t="n">
        <f aca="true">RAND()</f>
        <v>0.78816307284551</v>
      </c>
      <c r="C1635" s="82" t="n">
        <f aca="false">ROUND(IF(B1635&lt;(Inputs!$E$8-Inputs!$D$8)/(Inputs!$F$8-Inputs!$D$8),Inputs!$D$8+SQRT(B1635*(Inputs!$F$8-Inputs!$D$8)*(Inputs!$E$8-Inputs!$D$8)),Inputs!$F$8-SQRT((1-B1635)*(Inputs!$F$8-Inputs!$D$8)*(Inputs!$F$8-Inputs!$E$8))),0)</f>
        <v>27</v>
      </c>
      <c r="D1635" s="81" t="n">
        <f aca="true">RAND()</f>
        <v>0.456444283761374</v>
      </c>
      <c r="E1635" s="83" t="n">
        <f aca="false">IF(D1635&lt;(Inputs!$E$10-Inputs!$D$10)/(Inputs!$F$10-Inputs!$D$10),Inputs!$D$10+SQRT(D1635*(Inputs!$F$10-Inputs!$D$10)*(Inputs!$E$10-Inputs!$D$10)),Inputs!$F$10-SQRT((1-D1635)*(Inputs!$F$10-Inputs!$D$10)*(Inputs!$F$10-Inputs!$E$10)))</f>
        <v>0.072302421764707</v>
      </c>
      <c r="F1635" s="81" t="n">
        <f aca="true">RAND()</f>
        <v>0.434833416403791</v>
      </c>
      <c r="G1635" s="83" t="n">
        <f aca="false">IF(F1635&lt;(Inputs!$E$15-Inputs!$D$15)/(Inputs!$F$15-Inputs!$D$15),Inputs!$D$15+SQRT(F1635*(Inputs!$F$15-Inputs!$D$15)*(Inputs!$E$15-Inputs!$D$15)),Inputs!$F$15-SQRT((1-F1635)*(Inputs!$F$15-Inputs!$D$15)*(Inputs!$F$15-Inputs!$E$15)))</f>
        <v>0.693255929184561</v>
      </c>
      <c r="H1635" s="81" t="n">
        <f aca="true">RAND()</f>
        <v>0.940867947258071</v>
      </c>
      <c r="I1635" s="82" t="n">
        <f aca="false">ROUND(IF(H1635&lt;(Inputs!$E$17-Inputs!$D$17)/(Inputs!$F$17-Inputs!$D$17),Inputs!$D$17+SQRT(H1635*(Inputs!$F$17-Inputs!$D$17)*(Inputs!$E$17-Inputs!$D$17)),Inputs!$F$17-SQRT((1-H1635)*(Inputs!$F$17-Inputs!$D$17)*(Inputs!$F$17-Inputs!$E$17))),0)</f>
        <v>112</v>
      </c>
      <c r="J1635" s="81" t="n">
        <f aca="true">RAND()</f>
        <v>0.245858907216539</v>
      </c>
      <c r="K1635" s="83" t="n">
        <f aca="false">IF(J1635&lt;(Inputs!$E$18-Inputs!$D$18)/(Inputs!$F$18-Inputs!$D$18),Inputs!$D$18+SQRT(J1635*(Inputs!$F$18-Inputs!$D$18)*(Inputs!$E$18-Inputs!$D$18)),Inputs!$F$18-SQRT((1-J1635)*(Inputs!$F$18-Inputs!$D$18)*(Inputs!$F$18-Inputs!$E$18)))</f>
        <v>0.992763472081304</v>
      </c>
      <c r="L1635" s="81" t="n">
        <f aca="true">RAND()</f>
        <v>0.037796532994671</v>
      </c>
      <c r="M1635" s="83" t="n">
        <f aca="false">IF(L1635&lt;(Inputs!$E$24-Inputs!$D$24)/(Inputs!$F$24-Inputs!$D$24),Inputs!$D$24+SQRT(L1635*(Inputs!$F$24-Inputs!$D$24)*(Inputs!$E$24-Inputs!$D$24)),Inputs!$F$24-SQRT((1-L1635)*(Inputs!$F$24-Inputs!$D$24)*(Inputs!$F$24-Inputs!$E$24)))</f>
        <v>0.667346744237272</v>
      </c>
      <c r="N1635" s="81" t="n">
        <f aca="true">RAND()</f>
        <v>0.537735156030614</v>
      </c>
      <c r="O1635" s="83" t="n">
        <f aca="false">IF(N1635&lt;(Inputs!$E$26-Inputs!$D$26)/(Inputs!$F$26-Inputs!$D$26),Inputs!$D$26+SQRT(N1635*(Inputs!$F$26-Inputs!$D$26)*(Inputs!$E$26-Inputs!$D$26)),Inputs!$F$26-SQRT((1-N1635)*(Inputs!$F$26-Inputs!$D$26)*(Inputs!$F$26-Inputs!$E$26)))</f>
        <v>0.599130623580225</v>
      </c>
      <c r="P1635" s="81" t="n">
        <f aca="true">RAND()</f>
        <v>0.797503269203671</v>
      </c>
      <c r="Q1635" s="82" t="n">
        <f aca="false">IF(P1635&lt;(Inputs!$E$27-Inputs!$D$27)/(Inputs!$F$27-Inputs!$D$27),Inputs!$D$27+SQRT(P1635*(Inputs!$F$27-Inputs!$D$27)*(Inputs!$E$27-Inputs!$D$27)),Inputs!$F$27-SQRT((1-P1635)*(Inputs!$F$27-Inputs!$D$27)*(Inputs!$F$27-Inputs!$E$27)))</f>
        <v>111.02917141024</v>
      </c>
      <c r="R1635" s="81" t="n">
        <f aca="true">RAND()</f>
        <v>0.303445460813727</v>
      </c>
      <c r="S1635" s="82" t="n">
        <f aca="false">IF(R1635&lt;(Inputs!$E$29-Inputs!$D$29)/(Inputs!$F$29-Inputs!$D$29),Inputs!$D$29+SQRT(R1635*(Inputs!$F$29-Inputs!$D$29)*(Inputs!$E$29-Inputs!$D$29)),Inputs!$F$29-SQRT((1-R1635)*(Inputs!$F$29-Inputs!$D$29)*(Inputs!$F$29-Inputs!$E$29)))</f>
        <v>5.48411380405296</v>
      </c>
      <c r="T1635" s="68" t="n">
        <f aca="false">Inputs!$E$9*(1+E1635)+Inputs!$E$5*C1635*(Inputs!$E$11*Inputs!$E$14*(G1635*I1635/Inputs!$E$16+(1-G1635))*K1635+Inputs!$E$23*M1635)*(1+O1635)+Inputs!$E$5*(Q1635+S1635)</f>
        <v>6366.92770043569</v>
      </c>
    </row>
    <row r="1636" customFormat="false" ht="15" hidden="false" customHeight="false" outlineLevel="0" collapsed="false">
      <c r="A1636" s="1" t="n">
        <v>1632</v>
      </c>
      <c r="B1636" s="81" t="n">
        <f aca="true">RAND()</f>
        <v>0.180965321387482</v>
      </c>
      <c r="C1636" s="82" t="n">
        <f aca="false">ROUND(IF(B1636&lt;(Inputs!$E$8-Inputs!$D$8)/(Inputs!$F$8-Inputs!$D$8),Inputs!$D$8+SQRT(B1636*(Inputs!$F$8-Inputs!$D$8)*(Inputs!$E$8-Inputs!$D$8)),Inputs!$F$8-SQRT((1-B1636)*(Inputs!$F$8-Inputs!$D$8)*(Inputs!$F$8-Inputs!$E$8))),0)</f>
        <v>23</v>
      </c>
      <c r="D1636" s="81" t="n">
        <f aca="true">RAND()</f>
        <v>0.0126026759867521</v>
      </c>
      <c r="E1636" s="83" t="n">
        <f aca="false">IF(D1636&lt;(Inputs!$E$10-Inputs!$D$10)/(Inputs!$F$10-Inputs!$D$10),Inputs!$D$10+SQRT(D1636*(Inputs!$F$10-Inputs!$D$10)*(Inputs!$E$10-Inputs!$D$10)),Inputs!$F$10-SQRT((1-D1636)*(Inputs!$F$10-Inputs!$D$10)*(Inputs!$F$10-Inputs!$E$10)))</f>
        <v>0.0112261640762783</v>
      </c>
      <c r="F1636" s="81" t="n">
        <f aca="true">RAND()</f>
        <v>0.9602117080142</v>
      </c>
      <c r="G1636" s="83" t="n">
        <f aca="false">IF(F1636&lt;(Inputs!$E$15-Inputs!$D$15)/(Inputs!$F$15-Inputs!$D$15),Inputs!$D$15+SQRT(F1636*(Inputs!$F$15-Inputs!$D$15)*(Inputs!$E$15-Inputs!$D$15)),Inputs!$F$15-SQRT((1-F1636)*(Inputs!$F$15-Inputs!$D$15)*(Inputs!$F$15-Inputs!$E$15)))</f>
        <v>0.771790678141508</v>
      </c>
      <c r="H1636" s="81" t="n">
        <f aca="true">RAND()</f>
        <v>0.478220254456897</v>
      </c>
      <c r="I1636" s="82" t="n">
        <f aca="false">ROUND(IF(H1636&lt;(Inputs!$E$17-Inputs!$D$17)/(Inputs!$F$17-Inputs!$D$17),Inputs!$D$17+SQRT(H1636*(Inputs!$F$17-Inputs!$D$17)*(Inputs!$E$17-Inputs!$D$17)),Inputs!$F$17-SQRT((1-H1636)*(Inputs!$F$17-Inputs!$D$17)*(Inputs!$F$17-Inputs!$E$17))),0)</f>
        <v>106</v>
      </c>
      <c r="J1636" s="81" t="n">
        <f aca="true">RAND()</f>
        <v>0.795283799696759</v>
      </c>
      <c r="K1636" s="83" t="n">
        <f aca="false">IF(J1636&lt;(Inputs!$E$18-Inputs!$D$18)/(Inputs!$F$18-Inputs!$D$18),Inputs!$D$18+SQRT(J1636*(Inputs!$F$18-Inputs!$D$18)*(Inputs!$E$18-Inputs!$D$18)),Inputs!$F$18-SQRT((1-J1636)*(Inputs!$F$18-Inputs!$D$18)*(Inputs!$F$18-Inputs!$E$18)))</f>
        <v>1.11616178600066</v>
      </c>
      <c r="L1636" s="81" t="n">
        <f aca="true">RAND()</f>
        <v>0.528971773356593</v>
      </c>
      <c r="M1636" s="83" t="n">
        <f aca="false">IF(L1636&lt;(Inputs!$E$24-Inputs!$D$24)/(Inputs!$F$24-Inputs!$D$24),Inputs!$D$24+SQRT(L1636*(Inputs!$F$24-Inputs!$D$24)*(Inputs!$E$24-Inputs!$D$24)),Inputs!$F$24-SQRT((1-L1636)*(Inputs!$F$24-Inputs!$D$24)*(Inputs!$F$24-Inputs!$E$24)))</f>
        <v>0.863775708202965</v>
      </c>
      <c r="N1636" s="81" t="n">
        <f aca="true">RAND()</f>
        <v>0.0652744393863124</v>
      </c>
      <c r="O1636" s="83" t="n">
        <f aca="false">IF(N1636&lt;(Inputs!$E$26-Inputs!$D$26)/(Inputs!$F$26-Inputs!$D$26),Inputs!$D$26+SQRT(N1636*(Inputs!$F$26-Inputs!$D$26)*(Inputs!$E$26-Inputs!$D$26)),Inputs!$F$26-SQRT((1-N1636)*(Inputs!$F$26-Inputs!$D$26)*(Inputs!$F$26-Inputs!$E$26)))</f>
        <v>0.404219320252448</v>
      </c>
      <c r="P1636" s="81" t="n">
        <f aca="true">RAND()</f>
        <v>0.528765783518509</v>
      </c>
      <c r="Q1636" s="82" t="n">
        <f aca="false">IF(P1636&lt;(Inputs!$E$27-Inputs!$D$27)/(Inputs!$F$27-Inputs!$D$27),Inputs!$D$27+SQRT(P1636*(Inputs!$F$27-Inputs!$D$27)*(Inputs!$E$27-Inputs!$D$27)),Inputs!$F$27-SQRT((1-P1636)*(Inputs!$F$27-Inputs!$D$27)*(Inputs!$F$27-Inputs!$E$27)))</f>
        <v>90.5503858413599</v>
      </c>
      <c r="R1636" s="81" t="n">
        <f aca="true">RAND()</f>
        <v>0.792488097229203</v>
      </c>
      <c r="S1636" s="82" t="n">
        <f aca="false">IF(R1636&lt;(Inputs!$E$29-Inputs!$D$29)/(Inputs!$F$29-Inputs!$D$29),Inputs!$D$29+SQRT(R1636*(Inputs!$F$29-Inputs!$D$29)*(Inputs!$E$29-Inputs!$D$29)),Inputs!$F$29-SQRT((1-R1636)*(Inputs!$F$29-Inputs!$D$29)*(Inputs!$F$29-Inputs!$E$29)))</f>
        <v>9.80610479888133</v>
      </c>
      <c r="T1636" s="68" t="n">
        <f aca="false">Inputs!$E$9*(1+E1636)+Inputs!$E$5*C1636*(Inputs!$E$11*Inputs!$E$14*(G1636*I1636/Inputs!$E$16+(1-G1636))*K1636+Inputs!$E$23*M1636)*(1+O1636)+Inputs!$E$5*(Q1636+S1636)</f>
        <v>5582.29725299298</v>
      </c>
    </row>
    <row r="1637" customFormat="false" ht="15" hidden="false" customHeight="false" outlineLevel="0" collapsed="false">
      <c r="A1637" s="1" t="n">
        <v>1633</v>
      </c>
      <c r="B1637" s="81" t="n">
        <f aca="true">RAND()</f>
        <v>0.953220663055773</v>
      </c>
      <c r="C1637" s="82" t="n">
        <f aca="false">ROUND(IF(B1637&lt;(Inputs!$E$8-Inputs!$D$8)/(Inputs!$F$8-Inputs!$D$8),Inputs!$D$8+SQRT(B1637*(Inputs!$F$8-Inputs!$D$8)*(Inputs!$E$8-Inputs!$D$8)),Inputs!$F$8-SQRT((1-B1637)*(Inputs!$F$8-Inputs!$D$8)*(Inputs!$F$8-Inputs!$E$8))),0)</f>
        <v>28</v>
      </c>
      <c r="D1637" s="81" t="n">
        <f aca="true">RAND()</f>
        <v>0.350649792035222</v>
      </c>
      <c r="E1637" s="83" t="n">
        <f aca="false">IF(D1637&lt;(Inputs!$E$10-Inputs!$D$10)/(Inputs!$F$10-Inputs!$D$10),Inputs!$D$10+SQRT(D1637*(Inputs!$F$10-Inputs!$D$10)*(Inputs!$E$10-Inputs!$D$10)),Inputs!$F$10-SQRT((1-D1637)*(Inputs!$F$10-Inputs!$D$10)*(Inputs!$F$10-Inputs!$E$10)))</f>
        <v>0.0604274158763859</v>
      </c>
      <c r="F1637" s="81" t="n">
        <f aca="true">RAND()</f>
        <v>0.859005346484826</v>
      </c>
      <c r="G1637" s="83" t="n">
        <f aca="false">IF(F1637&lt;(Inputs!$E$15-Inputs!$D$15)/(Inputs!$F$15-Inputs!$D$15),Inputs!$D$15+SQRT(F1637*(Inputs!$F$15-Inputs!$D$15)*(Inputs!$E$15-Inputs!$D$15)),Inputs!$F$15-SQRT((1-F1637)*(Inputs!$F$15-Inputs!$D$15)*(Inputs!$F$15-Inputs!$E$15)))</f>
        <v>0.746897334621476</v>
      </c>
      <c r="H1637" s="81" t="n">
        <f aca="true">RAND()</f>
        <v>0.293434293692396</v>
      </c>
      <c r="I1637" s="82" t="n">
        <f aca="false">ROUND(IF(H1637&lt;(Inputs!$E$17-Inputs!$D$17)/(Inputs!$F$17-Inputs!$D$17),Inputs!$D$17+SQRT(H1637*(Inputs!$F$17-Inputs!$D$17)*(Inputs!$E$17-Inputs!$D$17)),Inputs!$F$17-SQRT((1-H1637)*(Inputs!$F$17-Inputs!$D$17)*(Inputs!$F$17-Inputs!$E$17))),0)</f>
        <v>105</v>
      </c>
      <c r="J1637" s="81" t="n">
        <f aca="true">RAND()</f>
        <v>0.635763703718907</v>
      </c>
      <c r="K1637" s="83" t="n">
        <f aca="false">IF(J1637&lt;(Inputs!$E$18-Inputs!$D$18)/(Inputs!$F$18-Inputs!$D$18),Inputs!$D$18+SQRT(J1637*(Inputs!$F$18-Inputs!$D$18)*(Inputs!$E$18-Inputs!$D$18)),Inputs!$F$18-SQRT((1-J1637)*(Inputs!$F$18-Inputs!$D$18)*(Inputs!$F$18-Inputs!$E$18)))</f>
        <v>1.07147639953049</v>
      </c>
      <c r="L1637" s="81" t="n">
        <f aca="true">RAND()</f>
        <v>0.589015130843134</v>
      </c>
      <c r="M1637" s="83" t="n">
        <f aca="false">IF(L1637&lt;(Inputs!$E$24-Inputs!$D$24)/(Inputs!$F$24-Inputs!$D$24),Inputs!$D$24+SQRT(L1637*(Inputs!$F$24-Inputs!$D$24)*(Inputs!$E$24-Inputs!$D$24)),Inputs!$F$24-SQRT((1-L1637)*(Inputs!$F$24-Inputs!$D$24)*(Inputs!$F$24-Inputs!$E$24)))</f>
        <v>0.885935725371942</v>
      </c>
      <c r="N1637" s="81" t="n">
        <f aca="true">RAND()</f>
        <v>0.653566702466917</v>
      </c>
      <c r="O1637" s="83" t="n">
        <f aca="false">IF(N1637&lt;(Inputs!$E$26-Inputs!$D$26)/(Inputs!$F$26-Inputs!$D$26),Inputs!$D$26+SQRT(N1637*(Inputs!$F$26-Inputs!$D$26)*(Inputs!$E$26-Inputs!$D$26)),Inputs!$F$26-SQRT((1-N1637)*(Inputs!$F$26-Inputs!$D$26)*(Inputs!$F$26-Inputs!$E$26)))</f>
        <v>0.630186768260375</v>
      </c>
      <c r="P1637" s="81" t="n">
        <f aca="true">RAND()</f>
        <v>0.307913450503233</v>
      </c>
      <c r="Q1637" s="82" t="n">
        <f aca="false">IF(P1637&lt;(Inputs!$E$27-Inputs!$D$27)/(Inputs!$F$27-Inputs!$D$27),Inputs!$D$27+SQRT(P1637*(Inputs!$F$27-Inputs!$D$27)*(Inputs!$E$27-Inputs!$D$27)),Inputs!$F$27-SQRT((1-P1637)*(Inputs!$F$27-Inputs!$D$27)*(Inputs!$F$27-Inputs!$E$27)))</f>
        <v>77.9538403436675</v>
      </c>
      <c r="R1637" s="81" t="n">
        <f aca="true">RAND()</f>
        <v>0.625701510541135</v>
      </c>
      <c r="S1637" s="82" t="n">
        <f aca="false">IF(R1637&lt;(Inputs!$E$29-Inputs!$D$29)/(Inputs!$F$29-Inputs!$D$29),Inputs!$D$29+SQRT(R1637*(Inputs!$F$29-Inputs!$D$29)*(Inputs!$E$29-Inputs!$D$29)),Inputs!$F$29-SQRT((1-R1637)*(Inputs!$F$29-Inputs!$D$29)*(Inputs!$F$29-Inputs!$E$29)))</f>
        <v>8.02441374294229</v>
      </c>
      <c r="T1637" s="68" t="n">
        <f aca="false">Inputs!$E$9*(1+E1637)+Inputs!$E$5*C1637*(Inputs!$E$11*Inputs!$E$14*(G1637*I1637/Inputs!$E$16+(1-G1637))*K1637+Inputs!$E$23*M1637)*(1+O1637)+Inputs!$E$5*(Q1637+S1637)</f>
        <v>6754.52487678177</v>
      </c>
    </row>
    <row r="1638" customFormat="false" ht="15" hidden="false" customHeight="false" outlineLevel="0" collapsed="false">
      <c r="A1638" s="1" t="n">
        <v>1634</v>
      </c>
      <c r="B1638" s="81" t="n">
        <f aca="true">RAND()</f>
        <v>0.499219257198113</v>
      </c>
      <c r="C1638" s="82" t="n">
        <f aca="false">ROUND(IF(B1638&lt;(Inputs!$E$8-Inputs!$D$8)/(Inputs!$F$8-Inputs!$D$8),Inputs!$D$8+SQRT(B1638*(Inputs!$F$8-Inputs!$D$8)*(Inputs!$E$8-Inputs!$D$8)),Inputs!$F$8-SQRT((1-B1638)*(Inputs!$F$8-Inputs!$D$8)*(Inputs!$F$8-Inputs!$E$8))),0)</f>
        <v>25</v>
      </c>
      <c r="D1638" s="81" t="n">
        <f aca="true">RAND()</f>
        <v>0.964255696145097</v>
      </c>
      <c r="E1638" s="83" t="n">
        <f aca="false">IF(D1638&lt;(Inputs!$E$10-Inputs!$D$10)/(Inputs!$F$10-Inputs!$D$10),Inputs!$D$10+SQRT(D1638*(Inputs!$F$10-Inputs!$D$10)*(Inputs!$E$10-Inputs!$D$10)),Inputs!$F$10-SQRT((1-D1638)*(Inputs!$F$10-Inputs!$D$10)*(Inputs!$F$10-Inputs!$E$10)))</f>
        <v>0.167253563313742</v>
      </c>
      <c r="F1638" s="81" t="n">
        <f aca="true">RAND()</f>
        <v>0.942868726815279</v>
      </c>
      <c r="G1638" s="83" t="n">
        <f aca="false">IF(F1638&lt;(Inputs!$E$15-Inputs!$D$15)/(Inputs!$F$15-Inputs!$D$15),Inputs!$D$15+SQRT(F1638*(Inputs!$F$15-Inputs!$D$15)*(Inputs!$E$15-Inputs!$D$15)),Inputs!$F$15-SQRT((1-F1638)*(Inputs!$F$15-Inputs!$D$15)*(Inputs!$F$15-Inputs!$E$15)))</f>
        <v>0.766197256565562</v>
      </c>
      <c r="H1638" s="81" t="n">
        <f aca="true">RAND()</f>
        <v>0.882247452314758</v>
      </c>
      <c r="I1638" s="82" t="n">
        <f aca="false">ROUND(IF(H1638&lt;(Inputs!$E$17-Inputs!$D$17)/(Inputs!$F$17-Inputs!$D$17),Inputs!$D$17+SQRT(H1638*(Inputs!$F$17-Inputs!$D$17)*(Inputs!$E$17-Inputs!$D$17)),Inputs!$F$17-SQRT((1-H1638)*(Inputs!$F$17-Inputs!$D$17)*(Inputs!$F$17-Inputs!$E$17))),0)</f>
        <v>111</v>
      </c>
      <c r="J1638" s="81" t="n">
        <f aca="true">RAND()</f>
        <v>0.373679027604341</v>
      </c>
      <c r="K1638" s="83" t="n">
        <f aca="false">IF(J1638&lt;(Inputs!$E$18-Inputs!$D$18)/(Inputs!$F$18-Inputs!$D$18),Inputs!$D$18+SQRT(J1638*(Inputs!$F$18-Inputs!$D$18)*(Inputs!$E$18-Inputs!$D$18)),Inputs!$F$18-SQRT((1-J1638)*(Inputs!$F$18-Inputs!$D$18)*(Inputs!$F$18-Inputs!$E$18)))</f>
        <v>1.01589941246417</v>
      </c>
      <c r="L1638" s="81" t="n">
        <f aca="true">RAND()</f>
        <v>0.80220545388708</v>
      </c>
      <c r="M1638" s="83" t="n">
        <f aca="false">IF(L1638&lt;(Inputs!$E$24-Inputs!$D$24)/(Inputs!$F$24-Inputs!$D$24),Inputs!$D$24+SQRT(L1638*(Inputs!$F$24-Inputs!$D$24)*(Inputs!$E$24-Inputs!$D$24)),Inputs!$F$24-SQRT((1-L1638)*(Inputs!$F$24-Inputs!$D$24)*(Inputs!$F$24-Inputs!$E$24)))</f>
        <v>0.982122302501838</v>
      </c>
      <c r="N1638" s="81" t="n">
        <f aca="true">RAND()</f>
        <v>0.235264942214489</v>
      </c>
      <c r="O1638" s="83" t="n">
        <f aca="false">IF(N1638&lt;(Inputs!$E$26-Inputs!$D$26)/(Inputs!$F$26-Inputs!$D$26),Inputs!$D$26+SQRT(N1638*(Inputs!$F$26-Inputs!$D$26)*(Inputs!$E$26-Inputs!$D$26)),Inputs!$F$26-SQRT((1-N1638)*(Inputs!$F$26-Inputs!$D$26)*(Inputs!$F$26-Inputs!$E$26)))</f>
        <v>0.497858753621089</v>
      </c>
      <c r="P1638" s="81" t="n">
        <f aca="true">RAND()</f>
        <v>0.518047133697818</v>
      </c>
      <c r="Q1638" s="82" t="n">
        <f aca="false">IF(P1638&lt;(Inputs!$E$27-Inputs!$D$27)/(Inputs!$F$27-Inputs!$D$27),Inputs!$D$27+SQRT(P1638*(Inputs!$F$27-Inputs!$D$27)*(Inputs!$E$27-Inputs!$D$27)),Inputs!$F$27-SQRT((1-P1638)*(Inputs!$F$27-Inputs!$D$27)*(Inputs!$F$27-Inputs!$E$27)))</f>
        <v>89.8780697476672</v>
      </c>
      <c r="R1638" s="81" t="n">
        <f aca="true">RAND()</f>
        <v>0.135854874235504</v>
      </c>
      <c r="S1638" s="82" t="n">
        <f aca="false">IF(R1638&lt;(Inputs!$E$29-Inputs!$D$29)/(Inputs!$F$29-Inputs!$D$29),Inputs!$D$29+SQRT(R1638*(Inputs!$F$29-Inputs!$D$29)*(Inputs!$E$29-Inputs!$D$29)),Inputs!$F$29-SQRT((1-R1638)*(Inputs!$F$29-Inputs!$D$29)*(Inputs!$F$29-Inputs!$E$29)))</f>
        <v>4.30181235012428</v>
      </c>
      <c r="T1638" s="68" t="n">
        <f aca="false">Inputs!$E$9*(1+E1638)+Inputs!$E$5*C1638*(Inputs!$E$11*Inputs!$E$14*(G1638*I1638/Inputs!$E$16+(1-G1638))*K1638+Inputs!$E$23*M1638)*(1+O1638)+Inputs!$E$5*(Q1638+S1638)</f>
        <v>6381.81872376843</v>
      </c>
    </row>
    <row r="1639" customFormat="false" ht="15" hidden="false" customHeight="false" outlineLevel="0" collapsed="false">
      <c r="A1639" s="1" t="n">
        <v>1635</v>
      </c>
      <c r="B1639" s="81" t="n">
        <f aca="true">RAND()</f>
        <v>0.29415702265995</v>
      </c>
      <c r="C1639" s="82" t="n">
        <f aca="false">ROUND(IF(B1639&lt;(Inputs!$E$8-Inputs!$D$8)/(Inputs!$F$8-Inputs!$D$8),Inputs!$D$8+SQRT(B1639*(Inputs!$F$8-Inputs!$D$8)*(Inputs!$E$8-Inputs!$D$8)),Inputs!$F$8-SQRT((1-B1639)*(Inputs!$F$8-Inputs!$D$8)*(Inputs!$F$8-Inputs!$E$8))),0)</f>
        <v>24</v>
      </c>
      <c r="D1639" s="81" t="n">
        <f aca="true">RAND()</f>
        <v>0.534214324645778</v>
      </c>
      <c r="E1639" s="83" t="n">
        <f aca="false">IF(D1639&lt;(Inputs!$E$10-Inputs!$D$10)/(Inputs!$F$10-Inputs!$D$10),Inputs!$D$10+SQRT(D1639*(Inputs!$F$10-Inputs!$D$10)*(Inputs!$E$10-Inputs!$D$10)),Inputs!$F$10-SQRT((1-D1639)*(Inputs!$F$10-Inputs!$D$10)*(Inputs!$F$10-Inputs!$E$10)))</f>
        <v>0.0817901431325346</v>
      </c>
      <c r="F1639" s="81" t="n">
        <f aca="true">RAND()</f>
        <v>0.490123690900758</v>
      </c>
      <c r="G1639" s="83" t="n">
        <f aca="false">IF(F1639&lt;(Inputs!$E$15-Inputs!$D$15)/(Inputs!$F$15-Inputs!$D$15),Inputs!$D$15+SQRT(F1639*(Inputs!$F$15-Inputs!$D$15)*(Inputs!$E$15-Inputs!$D$15)),Inputs!$F$15-SQRT((1-F1639)*(Inputs!$F$15-Inputs!$D$15)*(Inputs!$F$15-Inputs!$E$15)))</f>
        <v>0.699007443245522</v>
      </c>
      <c r="H1639" s="81" t="n">
        <f aca="true">RAND()</f>
        <v>0.612728388083827</v>
      </c>
      <c r="I1639" s="82" t="n">
        <f aca="false">ROUND(IF(H1639&lt;(Inputs!$E$17-Inputs!$D$17)/(Inputs!$F$17-Inputs!$D$17),Inputs!$D$17+SQRT(H1639*(Inputs!$F$17-Inputs!$D$17)*(Inputs!$E$17-Inputs!$D$17)),Inputs!$F$17-SQRT((1-H1639)*(Inputs!$F$17-Inputs!$D$17)*(Inputs!$F$17-Inputs!$E$17))),0)</f>
        <v>107</v>
      </c>
      <c r="J1639" s="81" t="n">
        <f aca="true">RAND()</f>
        <v>0.658303532628233</v>
      </c>
      <c r="K1639" s="83" t="n">
        <f aca="false">IF(J1639&lt;(Inputs!$E$18-Inputs!$D$18)/(Inputs!$F$18-Inputs!$D$18),Inputs!$D$18+SQRT(J1639*(Inputs!$F$18-Inputs!$D$18)*(Inputs!$E$18-Inputs!$D$18)),Inputs!$F$18-SQRT((1-J1639)*(Inputs!$F$18-Inputs!$D$18)*(Inputs!$F$18-Inputs!$E$18)))</f>
        <v>1.07708834366929</v>
      </c>
      <c r="L1639" s="81" t="n">
        <f aca="true">RAND()</f>
        <v>0.526767084073446</v>
      </c>
      <c r="M1639" s="83" t="n">
        <f aca="false">IF(L1639&lt;(Inputs!$E$24-Inputs!$D$24)/(Inputs!$F$24-Inputs!$D$24),Inputs!$D$24+SQRT(L1639*(Inputs!$F$24-Inputs!$D$24)*(Inputs!$E$24-Inputs!$D$24)),Inputs!$F$24-SQRT((1-L1639)*(Inputs!$F$24-Inputs!$D$24)*(Inputs!$F$24-Inputs!$E$24)))</f>
        <v>0.862989763030301</v>
      </c>
      <c r="N1639" s="81" t="n">
        <f aca="true">RAND()</f>
        <v>0.647496984964885</v>
      </c>
      <c r="O1639" s="83" t="n">
        <f aca="false">IF(N1639&lt;(Inputs!$E$26-Inputs!$D$26)/(Inputs!$F$26-Inputs!$D$26),Inputs!$D$26+SQRT(N1639*(Inputs!$F$26-Inputs!$D$26)*(Inputs!$E$26-Inputs!$D$26)),Inputs!$F$26-SQRT((1-N1639)*(Inputs!$F$26-Inputs!$D$26)*(Inputs!$F$26-Inputs!$E$26)))</f>
        <v>0.628531168166587</v>
      </c>
      <c r="P1639" s="81" t="n">
        <f aca="true">RAND()</f>
        <v>0.110877388805135</v>
      </c>
      <c r="Q1639" s="82" t="n">
        <f aca="false">IF(P1639&lt;(Inputs!$E$27-Inputs!$D$27)/(Inputs!$F$27-Inputs!$D$27),Inputs!$D$27+SQRT(P1639*(Inputs!$F$27-Inputs!$D$27)*(Inputs!$E$27-Inputs!$D$27)),Inputs!$F$27-SQRT((1-P1639)*(Inputs!$F$27-Inputs!$D$27)*(Inputs!$F$27-Inputs!$E$27)))</f>
        <v>66.6491282658534</v>
      </c>
      <c r="R1639" s="81" t="n">
        <f aca="true">RAND()</f>
        <v>0.515418678510583</v>
      </c>
      <c r="S1639" s="82" t="n">
        <f aca="false">IF(R1639&lt;(Inputs!$E$29-Inputs!$D$29)/(Inputs!$F$29-Inputs!$D$29),Inputs!$D$29+SQRT(R1639*(Inputs!$F$29-Inputs!$D$29)*(Inputs!$E$29-Inputs!$D$29)),Inputs!$F$29-SQRT((1-R1639)*(Inputs!$F$29-Inputs!$D$29)*(Inputs!$F$29-Inputs!$E$29)))</f>
        <v>7.06302502248973</v>
      </c>
      <c r="T1639" s="68" t="n">
        <f aca="false">Inputs!$E$9*(1+E1639)+Inputs!$E$5*C1639*(Inputs!$E$11*Inputs!$E$14*(G1639*I1639/Inputs!$E$16+(1-G1639))*K1639+Inputs!$E$23*M1639)*(1+O1639)+Inputs!$E$5*(Q1639+S1639)</f>
        <v>6237.5779373198</v>
      </c>
    </row>
    <row r="1640" customFormat="false" ht="15" hidden="false" customHeight="false" outlineLevel="0" collapsed="false">
      <c r="A1640" s="1" t="n">
        <v>1636</v>
      </c>
      <c r="B1640" s="81" t="n">
        <f aca="true">RAND()</f>
        <v>0.962273248629813</v>
      </c>
      <c r="C1640" s="82" t="n">
        <f aca="false">ROUND(IF(B1640&lt;(Inputs!$E$8-Inputs!$D$8)/(Inputs!$F$8-Inputs!$D$8),Inputs!$D$8+SQRT(B1640*(Inputs!$F$8-Inputs!$D$8)*(Inputs!$E$8-Inputs!$D$8)),Inputs!$F$8-SQRT((1-B1640)*(Inputs!$F$8-Inputs!$D$8)*(Inputs!$F$8-Inputs!$E$8))),0)</f>
        <v>29</v>
      </c>
      <c r="D1640" s="81" t="n">
        <f aca="true">RAND()</f>
        <v>0.539462771696556</v>
      </c>
      <c r="E1640" s="83" t="n">
        <f aca="false">IF(D1640&lt;(Inputs!$E$10-Inputs!$D$10)/(Inputs!$F$10-Inputs!$D$10),Inputs!$D$10+SQRT(D1640*(Inputs!$F$10-Inputs!$D$10)*(Inputs!$E$10-Inputs!$D$10)),Inputs!$F$10-SQRT((1-D1640)*(Inputs!$F$10-Inputs!$D$10)*(Inputs!$F$10-Inputs!$E$10)))</f>
        <v>0.0824580209069827</v>
      </c>
      <c r="F1640" s="81" t="n">
        <f aca="true">RAND()</f>
        <v>0.845769902547709</v>
      </c>
      <c r="G1640" s="83" t="n">
        <f aca="false">IF(F1640&lt;(Inputs!$E$15-Inputs!$D$15)/(Inputs!$F$15-Inputs!$D$15),Inputs!$D$15+SQRT(F1640*(Inputs!$F$15-Inputs!$D$15)*(Inputs!$E$15-Inputs!$D$15)),Inputs!$F$15-SQRT((1-F1640)*(Inputs!$F$15-Inputs!$D$15)*(Inputs!$F$15-Inputs!$E$15)))</f>
        <v>0.744460807090436</v>
      </c>
      <c r="H1640" s="81" t="n">
        <f aca="true">RAND()</f>
        <v>0.493146630093195</v>
      </c>
      <c r="I1640" s="82" t="n">
        <f aca="false">ROUND(IF(H1640&lt;(Inputs!$E$17-Inputs!$D$17)/(Inputs!$F$17-Inputs!$D$17),Inputs!$D$17+SQRT(H1640*(Inputs!$F$17-Inputs!$D$17)*(Inputs!$E$17-Inputs!$D$17)),Inputs!$F$17-SQRT((1-H1640)*(Inputs!$F$17-Inputs!$D$17)*(Inputs!$F$17-Inputs!$E$17))),0)</f>
        <v>106</v>
      </c>
      <c r="J1640" s="81" t="n">
        <f aca="true">RAND()</f>
        <v>0.118545754063494</v>
      </c>
      <c r="K1640" s="83" t="n">
        <f aca="false">IF(J1640&lt;(Inputs!$E$18-Inputs!$D$18)/(Inputs!$F$18-Inputs!$D$18),Inputs!$D$18+SQRT(J1640*(Inputs!$F$18-Inputs!$D$18)*(Inputs!$E$18-Inputs!$D$18)),Inputs!$F$18-SQRT((1-J1640)*(Inputs!$F$18-Inputs!$D$18)*(Inputs!$F$18-Inputs!$E$18)))</f>
        <v>0.964413518707041</v>
      </c>
      <c r="L1640" s="81" t="n">
        <f aca="true">RAND()</f>
        <v>0.538250068176901</v>
      </c>
      <c r="M1640" s="83" t="n">
        <f aca="false">IF(L1640&lt;(Inputs!$E$24-Inputs!$D$24)/(Inputs!$F$24-Inputs!$D$24),Inputs!$D$24+SQRT(L1640*(Inputs!$F$24-Inputs!$D$24)*(Inputs!$E$24-Inputs!$D$24)),Inputs!$F$24-SQRT((1-L1640)*(Inputs!$F$24-Inputs!$D$24)*(Inputs!$F$24-Inputs!$E$24)))</f>
        <v>0.867103644301197</v>
      </c>
      <c r="N1640" s="81" t="n">
        <f aca="true">RAND()</f>
        <v>0.0729853350897573</v>
      </c>
      <c r="O1640" s="83" t="n">
        <f aca="false">IF(N1640&lt;(Inputs!$E$26-Inputs!$D$26)/(Inputs!$F$26-Inputs!$D$26),Inputs!$D$26+SQRT(N1640*(Inputs!$F$26-Inputs!$D$26)*(Inputs!$E$26-Inputs!$D$26)),Inputs!$F$26-SQRT((1-N1640)*(Inputs!$F$26-Inputs!$D$26)*(Inputs!$F$26-Inputs!$E$26)))</f>
        <v>0.410203265645514</v>
      </c>
      <c r="P1640" s="81" t="n">
        <f aca="true">RAND()</f>
        <v>0.47206292704257</v>
      </c>
      <c r="Q1640" s="82" t="n">
        <f aca="false">IF(P1640&lt;(Inputs!$E$27-Inputs!$D$27)/(Inputs!$F$27-Inputs!$D$27),Inputs!$D$27+SQRT(P1640*(Inputs!$F$27-Inputs!$D$27)*(Inputs!$E$27-Inputs!$D$27)),Inputs!$F$27-SQRT((1-P1640)*(Inputs!$F$27-Inputs!$D$27)*(Inputs!$F$27-Inputs!$E$27)))</f>
        <v>87.0752191328351</v>
      </c>
      <c r="R1640" s="81" t="n">
        <f aca="true">RAND()</f>
        <v>0.28386184950149</v>
      </c>
      <c r="S1640" s="82" t="n">
        <f aca="false">IF(R1640&lt;(Inputs!$E$29-Inputs!$D$29)/(Inputs!$F$29-Inputs!$D$29),Inputs!$D$29+SQRT(R1640*(Inputs!$F$29-Inputs!$D$29)*(Inputs!$E$29-Inputs!$D$29)),Inputs!$F$29-SQRT((1-R1640)*(Inputs!$F$29-Inputs!$D$29)*(Inputs!$F$29-Inputs!$E$29)))</f>
        <v>5.3512716089214</v>
      </c>
      <c r="T1640" s="68" t="n">
        <f aca="false">Inputs!$E$9*(1+E1640)+Inputs!$E$5*C1640*(Inputs!$E$11*Inputs!$E$14*(G1640*I1640/Inputs!$E$16+(1-G1640))*K1640+Inputs!$E$23*M1640)*(1+O1640)+Inputs!$E$5*(Q1640+S1640)</f>
        <v>6179.582219806</v>
      </c>
    </row>
    <row r="1641" customFormat="false" ht="15" hidden="false" customHeight="false" outlineLevel="0" collapsed="false">
      <c r="A1641" s="1" t="n">
        <v>1637</v>
      </c>
      <c r="B1641" s="81" t="n">
        <f aca="true">RAND()</f>
        <v>0.347798279111356</v>
      </c>
      <c r="C1641" s="82" t="n">
        <f aca="false">ROUND(IF(B1641&lt;(Inputs!$E$8-Inputs!$D$8)/(Inputs!$F$8-Inputs!$D$8),Inputs!$D$8+SQRT(B1641*(Inputs!$F$8-Inputs!$D$8)*(Inputs!$E$8-Inputs!$D$8)),Inputs!$F$8-SQRT((1-B1641)*(Inputs!$F$8-Inputs!$D$8)*(Inputs!$F$8-Inputs!$E$8))),0)</f>
        <v>24</v>
      </c>
      <c r="D1641" s="81" t="n">
        <f aca="true">RAND()</f>
        <v>0.121460859896709</v>
      </c>
      <c r="E1641" s="83" t="n">
        <f aca="false">IF(D1641&lt;(Inputs!$E$10-Inputs!$D$10)/(Inputs!$F$10-Inputs!$D$10),Inputs!$D$10+SQRT(D1641*(Inputs!$F$10-Inputs!$D$10)*(Inputs!$E$10-Inputs!$D$10)),Inputs!$F$10-SQRT((1-D1641)*(Inputs!$F$10-Inputs!$D$10)*(Inputs!$F$10-Inputs!$E$10)))</f>
        <v>0.0348512352574064</v>
      </c>
      <c r="F1641" s="81" t="n">
        <f aca="true">RAND()</f>
        <v>0.81802019353805</v>
      </c>
      <c r="G1641" s="83" t="n">
        <f aca="false">IF(F1641&lt;(Inputs!$E$15-Inputs!$D$15)/(Inputs!$F$15-Inputs!$D$15),Inputs!$D$15+SQRT(F1641*(Inputs!$F$15-Inputs!$D$15)*(Inputs!$E$15-Inputs!$D$15)),Inputs!$F$15-SQRT((1-F1641)*(Inputs!$F$15-Inputs!$D$15)*(Inputs!$F$15-Inputs!$E$15)))</f>
        <v>0.739670934623193</v>
      </c>
      <c r="H1641" s="81" t="n">
        <f aca="true">RAND()</f>
        <v>0.419656881925215</v>
      </c>
      <c r="I1641" s="82" t="n">
        <f aca="false">ROUND(IF(H1641&lt;(Inputs!$E$17-Inputs!$D$17)/(Inputs!$F$17-Inputs!$D$17),Inputs!$D$17+SQRT(H1641*(Inputs!$F$17-Inputs!$D$17)*(Inputs!$E$17-Inputs!$D$17)),Inputs!$F$17-SQRT((1-H1641)*(Inputs!$F$17-Inputs!$D$17)*(Inputs!$F$17-Inputs!$E$17))),0)</f>
        <v>106</v>
      </c>
      <c r="J1641" s="81" t="n">
        <f aca="true">RAND()</f>
        <v>0.577987663857729</v>
      </c>
      <c r="K1641" s="83" t="n">
        <f aca="false">IF(J1641&lt;(Inputs!$E$18-Inputs!$D$18)/(Inputs!$F$18-Inputs!$D$18),Inputs!$D$18+SQRT(J1641*(Inputs!$F$18-Inputs!$D$18)*(Inputs!$E$18-Inputs!$D$18)),Inputs!$F$18-SQRT((1-J1641)*(Inputs!$F$18-Inputs!$D$18)*(Inputs!$F$18-Inputs!$E$18)))</f>
        <v>1.05783840286767</v>
      </c>
      <c r="L1641" s="81" t="n">
        <f aca="true">RAND()</f>
        <v>0.835371602314447</v>
      </c>
      <c r="M1641" s="83" t="n">
        <f aca="false">IF(L1641&lt;(Inputs!$E$24-Inputs!$D$24)/(Inputs!$F$24-Inputs!$D$24),Inputs!$D$24+SQRT(L1641*(Inputs!$F$24-Inputs!$D$24)*(Inputs!$E$24-Inputs!$D$24)),Inputs!$F$24-SQRT((1-L1641)*(Inputs!$F$24-Inputs!$D$24)*(Inputs!$F$24-Inputs!$E$24)))</f>
        <v>1.00122672351512</v>
      </c>
      <c r="N1641" s="81" t="n">
        <f aca="true">RAND()</f>
        <v>0.909042511758042</v>
      </c>
      <c r="O1641" s="83" t="n">
        <f aca="false">IF(N1641&lt;(Inputs!$E$26-Inputs!$D$26)/(Inputs!$F$26-Inputs!$D$26),Inputs!$D$26+SQRT(N1641*(Inputs!$F$26-Inputs!$D$26)*(Inputs!$E$26-Inputs!$D$26)),Inputs!$F$26-SQRT((1-N1641)*(Inputs!$F$26-Inputs!$D$26)*(Inputs!$F$26-Inputs!$E$26)))</f>
        <v>0.722739634088887</v>
      </c>
      <c r="P1641" s="81" t="n">
        <f aca="true">RAND()</f>
        <v>0.452259211333379</v>
      </c>
      <c r="Q1641" s="82" t="n">
        <f aca="false">IF(P1641&lt;(Inputs!$E$27-Inputs!$D$27)/(Inputs!$F$27-Inputs!$D$27),Inputs!$D$27+SQRT(P1641*(Inputs!$F$27-Inputs!$D$27)*(Inputs!$E$27-Inputs!$D$27)),Inputs!$F$27-SQRT((1-P1641)*(Inputs!$F$27-Inputs!$D$27)*(Inputs!$F$27-Inputs!$E$27)))</f>
        <v>85.905882368195</v>
      </c>
      <c r="R1641" s="81" t="n">
        <f aca="true">RAND()</f>
        <v>0.161680048025725</v>
      </c>
      <c r="S1641" s="82" t="n">
        <f aca="false">IF(R1641&lt;(Inputs!$E$29-Inputs!$D$29)/(Inputs!$F$29-Inputs!$D$29),Inputs!$D$29+SQRT(R1641*(Inputs!$F$29-Inputs!$D$29)*(Inputs!$E$29-Inputs!$D$29)),Inputs!$F$29-SQRT((1-R1641)*(Inputs!$F$29-Inputs!$D$29)*(Inputs!$F$29-Inputs!$E$29)))</f>
        <v>4.51107982210906</v>
      </c>
      <c r="T1641" s="68" t="n">
        <f aca="false">Inputs!$E$9*(1+E1641)+Inputs!$E$5*C1641*(Inputs!$E$11*Inputs!$E$14*(G1641*I1641/Inputs!$E$16+(1-G1641))*K1641+Inputs!$E$23*M1641)*(1+O1641)+Inputs!$E$5*(Q1641+S1641)</f>
        <v>6508.99641940146</v>
      </c>
    </row>
    <row r="1642" customFormat="false" ht="15" hidden="false" customHeight="false" outlineLevel="0" collapsed="false">
      <c r="A1642" s="1" t="n">
        <v>1638</v>
      </c>
      <c r="B1642" s="81" t="n">
        <f aca="true">RAND()</f>
        <v>0.533355379315599</v>
      </c>
      <c r="C1642" s="82" t="n">
        <f aca="false">ROUND(IF(B1642&lt;(Inputs!$E$8-Inputs!$D$8)/(Inputs!$F$8-Inputs!$D$8),Inputs!$D$8+SQRT(B1642*(Inputs!$F$8-Inputs!$D$8)*(Inputs!$E$8-Inputs!$D$8)),Inputs!$F$8-SQRT((1-B1642)*(Inputs!$F$8-Inputs!$D$8)*(Inputs!$F$8-Inputs!$E$8))),0)</f>
        <v>25</v>
      </c>
      <c r="D1642" s="81" t="n">
        <f aca="true">RAND()</f>
        <v>0.489893759821373</v>
      </c>
      <c r="E1642" s="83" t="n">
        <f aca="false">IF(D1642&lt;(Inputs!$E$10-Inputs!$D$10)/(Inputs!$F$10-Inputs!$D$10),Inputs!$D$10+SQRT(D1642*(Inputs!$F$10-Inputs!$D$10)*(Inputs!$E$10-Inputs!$D$10)),Inputs!$F$10-SQRT((1-D1642)*(Inputs!$F$10-Inputs!$D$10)*(Inputs!$F$10-Inputs!$E$10)))</f>
        <v>0.076293948388291</v>
      </c>
      <c r="F1642" s="81" t="n">
        <f aca="true">RAND()</f>
        <v>0.308520301337097</v>
      </c>
      <c r="G1642" s="83" t="n">
        <f aca="false">IF(F1642&lt;(Inputs!$E$15-Inputs!$D$15)/(Inputs!$F$15-Inputs!$D$15),Inputs!$D$15+SQRT(F1642*(Inputs!$F$15-Inputs!$D$15)*(Inputs!$E$15-Inputs!$D$15)),Inputs!$F$15-SQRT((1-F1642)*(Inputs!$F$15-Inputs!$D$15)*(Inputs!$F$15-Inputs!$E$15)))</f>
        <v>0.678551932036978</v>
      </c>
      <c r="H1642" s="81" t="n">
        <f aca="true">RAND()</f>
        <v>0.358752952168047</v>
      </c>
      <c r="I1642" s="82" t="n">
        <f aca="false">ROUND(IF(H1642&lt;(Inputs!$E$17-Inputs!$D$17)/(Inputs!$F$17-Inputs!$D$17),Inputs!$D$17+SQRT(H1642*(Inputs!$F$17-Inputs!$D$17)*(Inputs!$E$17-Inputs!$D$17)),Inputs!$F$17-SQRT((1-H1642)*(Inputs!$F$17-Inputs!$D$17)*(Inputs!$F$17-Inputs!$E$17))),0)</f>
        <v>105</v>
      </c>
      <c r="J1642" s="81" t="n">
        <f aca="true">RAND()</f>
        <v>0.693819564968237</v>
      </c>
      <c r="K1642" s="83" t="n">
        <f aca="false">IF(J1642&lt;(Inputs!$E$18-Inputs!$D$18)/(Inputs!$F$18-Inputs!$D$18),Inputs!$D$18+SQRT(J1642*(Inputs!$F$18-Inputs!$D$18)*(Inputs!$E$18-Inputs!$D$18)),Inputs!$F$18-SQRT((1-J1642)*(Inputs!$F$18-Inputs!$D$18)*(Inputs!$F$18-Inputs!$E$18)))</f>
        <v>1.08632108240436</v>
      </c>
      <c r="L1642" s="81" t="n">
        <f aca="true">RAND()</f>
        <v>0.829789244956988</v>
      </c>
      <c r="M1642" s="83" t="n">
        <f aca="false">IF(L1642&lt;(Inputs!$E$24-Inputs!$D$24)/(Inputs!$F$24-Inputs!$D$24),Inputs!$D$24+SQRT(L1642*(Inputs!$F$24-Inputs!$D$24)*(Inputs!$E$24-Inputs!$D$24)),Inputs!$F$24-SQRT((1-L1642)*(Inputs!$F$24-Inputs!$D$24)*(Inputs!$F$24-Inputs!$E$24)))</f>
        <v>0.997884732861857</v>
      </c>
      <c r="N1642" s="81" t="n">
        <f aca="true">RAND()</f>
        <v>0.977092195056169</v>
      </c>
      <c r="O1642" s="83" t="n">
        <f aca="false">IF(N1642&lt;(Inputs!$E$26-Inputs!$D$26)/(Inputs!$F$26-Inputs!$D$26),Inputs!$D$26+SQRT(N1642*(Inputs!$F$26-Inputs!$D$26)*(Inputs!$E$26-Inputs!$D$26)),Inputs!$F$26-SQRT((1-N1642)*(Inputs!$F$26-Inputs!$D$26)*(Inputs!$F$26-Inputs!$E$26)))</f>
        <v>0.771190044927715</v>
      </c>
      <c r="P1642" s="81" t="n">
        <f aca="true">RAND()</f>
        <v>0.344042806371211</v>
      </c>
      <c r="Q1642" s="82" t="n">
        <f aca="false">IF(P1642&lt;(Inputs!$E$27-Inputs!$D$27)/(Inputs!$F$27-Inputs!$D$27),Inputs!$D$27+SQRT(P1642*(Inputs!$F$27-Inputs!$D$27)*(Inputs!$E$27-Inputs!$D$27)),Inputs!$F$27-SQRT((1-P1642)*(Inputs!$F$27-Inputs!$D$27)*(Inputs!$F$27-Inputs!$E$27)))</f>
        <v>79.8595769030731</v>
      </c>
      <c r="R1642" s="81" t="n">
        <f aca="true">RAND()</f>
        <v>0.370300768171211</v>
      </c>
      <c r="S1642" s="82" t="n">
        <f aca="false">IF(R1642&lt;(Inputs!$E$29-Inputs!$D$29)/(Inputs!$F$29-Inputs!$D$29),Inputs!$D$29+SQRT(R1642*(Inputs!$F$29-Inputs!$D$29)*(Inputs!$E$29-Inputs!$D$29)),Inputs!$F$29-SQRT((1-R1642)*(Inputs!$F$29-Inputs!$D$29)*(Inputs!$F$29-Inputs!$E$29)))</f>
        <v>5.95229862684767</v>
      </c>
      <c r="T1642" s="68" t="n">
        <f aca="false">Inputs!$E$9*(1+E1642)+Inputs!$E$5*C1642*(Inputs!$E$11*Inputs!$E$14*(G1642*I1642/Inputs!$E$16+(1-G1642))*K1642+Inputs!$E$23*M1642)*(1+O1642)+Inputs!$E$5*(Q1642+S1642)</f>
        <v>6989.67100452036</v>
      </c>
    </row>
    <row r="1643" customFormat="false" ht="15" hidden="false" customHeight="false" outlineLevel="0" collapsed="false">
      <c r="A1643" s="1" t="n">
        <v>1639</v>
      </c>
      <c r="B1643" s="81" t="n">
        <f aca="true">RAND()</f>
        <v>0.30757449978594</v>
      </c>
      <c r="C1643" s="82" t="n">
        <f aca="false">ROUND(IF(B1643&lt;(Inputs!$E$8-Inputs!$D$8)/(Inputs!$F$8-Inputs!$D$8),Inputs!$D$8+SQRT(B1643*(Inputs!$F$8-Inputs!$D$8)*(Inputs!$E$8-Inputs!$D$8)),Inputs!$F$8-SQRT((1-B1643)*(Inputs!$F$8-Inputs!$D$8)*(Inputs!$F$8-Inputs!$E$8))),0)</f>
        <v>24</v>
      </c>
      <c r="D1643" s="81" t="n">
        <f aca="true">RAND()</f>
        <v>0.864080975561451</v>
      </c>
      <c r="E1643" s="83" t="n">
        <f aca="false">IF(D1643&lt;(Inputs!$E$10-Inputs!$D$10)/(Inputs!$F$10-Inputs!$D$10),Inputs!$D$10+SQRT(D1643*(Inputs!$F$10-Inputs!$D$10)*(Inputs!$E$10-Inputs!$D$10)),Inputs!$F$10-SQRT((1-D1643)*(Inputs!$F$10-Inputs!$D$10)*(Inputs!$F$10-Inputs!$E$10)))</f>
        <v>0.136144140964541</v>
      </c>
      <c r="F1643" s="81" t="n">
        <f aca="true">RAND()</f>
        <v>0.781463644301567</v>
      </c>
      <c r="G1643" s="83" t="n">
        <f aca="false">IF(F1643&lt;(Inputs!$E$15-Inputs!$D$15)/(Inputs!$F$15-Inputs!$D$15),Inputs!$D$15+SQRT(F1643*(Inputs!$F$15-Inputs!$D$15)*(Inputs!$E$15-Inputs!$D$15)),Inputs!$F$15-SQRT((1-F1643)*(Inputs!$F$15-Inputs!$D$15)*(Inputs!$F$15-Inputs!$E$15)))</f>
        <v>0.733888525096103</v>
      </c>
      <c r="H1643" s="81" t="n">
        <f aca="true">RAND()</f>
        <v>0.109826770496832</v>
      </c>
      <c r="I1643" s="82" t="n">
        <f aca="false">ROUND(IF(H1643&lt;(Inputs!$E$17-Inputs!$D$17)/(Inputs!$F$17-Inputs!$D$17),Inputs!$D$17+SQRT(H1643*(Inputs!$F$17-Inputs!$D$17)*(Inputs!$E$17-Inputs!$D$17)),Inputs!$F$17-SQRT((1-H1643)*(Inputs!$F$17-Inputs!$D$17)*(Inputs!$F$17-Inputs!$E$17))),0)</f>
        <v>103</v>
      </c>
      <c r="J1643" s="81" t="n">
        <f aca="true">RAND()</f>
        <v>0.952975809217668</v>
      </c>
      <c r="K1643" s="83" t="n">
        <f aca="false">IF(J1643&lt;(Inputs!$E$18-Inputs!$D$18)/(Inputs!$F$18-Inputs!$D$18),Inputs!$D$18+SQRT(J1643*(Inputs!$F$18-Inputs!$D$18)*(Inputs!$E$18-Inputs!$D$18)),Inputs!$F$18-SQRT((1-J1643)*(Inputs!$F$18-Inputs!$D$18)*(Inputs!$F$18-Inputs!$E$18)))</f>
        <v>1.18585472197072</v>
      </c>
      <c r="L1643" s="81" t="n">
        <f aca="true">RAND()</f>
        <v>0.94576914022268</v>
      </c>
      <c r="M1643" s="83" t="n">
        <f aca="false">IF(L1643&lt;(Inputs!$E$24-Inputs!$D$24)/(Inputs!$F$24-Inputs!$D$24),Inputs!$D$24+SQRT(L1643*(Inputs!$F$24-Inputs!$D$24)*(Inputs!$E$24-Inputs!$D$24)),Inputs!$F$24-SQRT((1-L1643)*(Inputs!$F$24-Inputs!$D$24)*(Inputs!$F$24-Inputs!$E$24)))</f>
        <v>1.08591491619604</v>
      </c>
      <c r="N1643" s="81" t="n">
        <f aca="true">RAND()</f>
        <v>0.311314509992877</v>
      </c>
      <c r="O1643" s="83" t="n">
        <f aca="false">IF(N1643&lt;(Inputs!$E$26-Inputs!$D$26)/(Inputs!$F$26-Inputs!$D$26),Inputs!$D$26+SQRT(N1643*(Inputs!$F$26-Inputs!$D$26)*(Inputs!$E$26-Inputs!$D$26)),Inputs!$F$26-SQRT((1-N1643)*(Inputs!$F$26-Inputs!$D$26)*(Inputs!$F$26-Inputs!$E$26)))</f>
        <v>0.527602140725466</v>
      </c>
      <c r="P1643" s="81" t="n">
        <f aca="true">RAND()</f>
        <v>0.736073988910762</v>
      </c>
      <c r="Q1643" s="82" t="n">
        <f aca="false">IF(P1643&lt;(Inputs!$E$27-Inputs!$D$27)/(Inputs!$F$27-Inputs!$D$27),Inputs!$D$27+SQRT(P1643*(Inputs!$F$27-Inputs!$D$27)*(Inputs!$E$27-Inputs!$D$27)),Inputs!$F$27-SQRT((1-P1643)*(Inputs!$F$27-Inputs!$D$27)*(Inputs!$F$27-Inputs!$E$27)))</f>
        <v>105.509044928556</v>
      </c>
      <c r="R1643" s="81" t="n">
        <f aca="true">RAND()</f>
        <v>0.294441461374376</v>
      </c>
      <c r="S1643" s="82" t="n">
        <f aca="false">IF(R1643&lt;(Inputs!$E$29-Inputs!$D$29)/(Inputs!$F$29-Inputs!$D$29),Inputs!$D$29+SQRT(R1643*(Inputs!$F$29-Inputs!$D$29)*(Inputs!$E$29-Inputs!$D$29)),Inputs!$F$29-SQRT((1-R1643)*(Inputs!$F$29-Inputs!$D$29)*(Inputs!$F$29-Inputs!$E$29)))</f>
        <v>5.42280782163524</v>
      </c>
      <c r="T1643" s="68" t="n">
        <f aca="false">Inputs!$E$9*(1+E1643)+Inputs!$E$5*C1643*(Inputs!$E$11*Inputs!$E$14*(G1643*I1643/Inputs!$E$16+(1-G1643))*K1643+Inputs!$E$23*M1643)*(1+O1643)+Inputs!$E$5*(Q1643+S1643)</f>
        <v>6732.61811784521</v>
      </c>
    </row>
    <row r="1644" customFormat="false" ht="15" hidden="false" customHeight="false" outlineLevel="0" collapsed="false">
      <c r="A1644" s="1" t="n">
        <v>1640</v>
      </c>
      <c r="B1644" s="81" t="n">
        <f aca="true">RAND()</f>
        <v>0.848126784820824</v>
      </c>
      <c r="C1644" s="82" t="n">
        <f aca="false">ROUND(IF(B1644&lt;(Inputs!$E$8-Inputs!$D$8)/(Inputs!$F$8-Inputs!$D$8),Inputs!$D$8+SQRT(B1644*(Inputs!$F$8-Inputs!$D$8)*(Inputs!$E$8-Inputs!$D$8)),Inputs!$F$8-SQRT((1-B1644)*(Inputs!$F$8-Inputs!$D$8)*(Inputs!$F$8-Inputs!$E$8))),0)</f>
        <v>27</v>
      </c>
      <c r="D1644" s="81" t="n">
        <f aca="true">RAND()</f>
        <v>0.313895142103104</v>
      </c>
      <c r="E1644" s="83" t="n">
        <f aca="false">IF(D1644&lt;(Inputs!$E$10-Inputs!$D$10)/(Inputs!$F$10-Inputs!$D$10),Inputs!$D$10+SQRT(D1644*(Inputs!$F$10-Inputs!$D$10)*(Inputs!$E$10-Inputs!$D$10)),Inputs!$F$10-SQRT((1-D1644)*(Inputs!$F$10-Inputs!$D$10)*(Inputs!$F$10-Inputs!$E$10)))</f>
        <v>0.0565317256780898</v>
      </c>
      <c r="F1644" s="81" t="n">
        <f aca="true">RAND()</f>
        <v>0.528523054458401</v>
      </c>
      <c r="G1644" s="83" t="n">
        <f aca="false">IF(F1644&lt;(Inputs!$E$15-Inputs!$D$15)/(Inputs!$F$15-Inputs!$D$15),Inputs!$D$15+SQRT(F1644*(Inputs!$F$15-Inputs!$D$15)*(Inputs!$E$15-Inputs!$D$15)),Inputs!$F$15-SQRT((1-F1644)*(Inputs!$F$15-Inputs!$D$15)*(Inputs!$F$15-Inputs!$E$15)))</f>
        <v>0.702894187038921</v>
      </c>
      <c r="H1644" s="81" t="n">
        <f aca="true">RAND()</f>
        <v>0.24735623817874</v>
      </c>
      <c r="I1644" s="82" t="n">
        <f aca="false">ROUND(IF(H1644&lt;(Inputs!$E$17-Inputs!$D$17)/(Inputs!$F$17-Inputs!$D$17),Inputs!$D$17+SQRT(H1644*(Inputs!$F$17-Inputs!$D$17)*(Inputs!$E$17-Inputs!$D$17)),Inputs!$F$17-SQRT((1-H1644)*(Inputs!$F$17-Inputs!$D$17)*(Inputs!$F$17-Inputs!$E$17))),0)</f>
        <v>104</v>
      </c>
      <c r="J1644" s="81" t="n">
        <f aca="true">RAND()</f>
        <v>0.935068693037942</v>
      </c>
      <c r="K1644" s="83" t="n">
        <f aca="false">IF(J1644&lt;(Inputs!$E$18-Inputs!$D$18)/(Inputs!$F$18-Inputs!$D$18),Inputs!$D$18+SQRT(J1644*(Inputs!$F$18-Inputs!$D$18)*(Inputs!$E$18-Inputs!$D$18)),Inputs!$F$18-SQRT((1-J1644)*(Inputs!$F$18-Inputs!$D$18)*(Inputs!$F$18-Inputs!$E$18)))</f>
        <v>1.17462434504974</v>
      </c>
      <c r="L1644" s="81" t="n">
        <f aca="true">RAND()</f>
        <v>0.192792975086765</v>
      </c>
      <c r="M1644" s="83" t="n">
        <f aca="false">IF(L1644&lt;(Inputs!$E$24-Inputs!$D$24)/(Inputs!$F$24-Inputs!$D$24),Inputs!$D$24+SQRT(L1644*(Inputs!$F$24-Inputs!$D$24)*(Inputs!$E$24-Inputs!$D$24)),Inputs!$F$24-SQRT((1-L1644)*(Inputs!$F$24-Inputs!$D$24)*(Inputs!$F$24-Inputs!$E$24)))</f>
        <v>0.752102455635706</v>
      </c>
      <c r="N1644" s="81" t="n">
        <f aca="true">RAND()</f>
        <v>0.954188119998405</v>
      </c>
      <c r="O1644" s="83" t="n">
        <f aca="false">IF(N1644&lt;(Inputs!$E$26-Inputs!$D$26)/(Inputs!$F$26-Inputs!$D$26),Inputs!$D$26+SQRT(N1644*(Inputs!$F$26-Inputs!$D$26)*(Inputs!$E$26-Inputs!$D$26)),Inputs!$F$26-SQRT((1-N1644)*(Inputs!$F$26-Inputs!$D$26)*(Inputs!$F$26-Inputs!$E$26)))</f>
        <v>0.750975109415763</v>
      </c>
      <c r="P1644" s="81" t="n">
        <f aca="true">RAND()</f>
        <v>0.367900750453885</v>
      </c>
      <c r="Q1644" s="82" t="n">
        <f aca="false">IF(P1644&lt;(Inputs!$E$27-Inputs!$D$27)/(Inputs!$F$27-Inputs!$D$27),Inputs!$D$27+SQRT(P1644*(Inputs!$F$27-Inputs!$D$27)*(Inputs!$E$27-Inputs!$D$27)),Inputs!$F$27-SQRT((1-P1644)*(Inputs!$F$27-Inputs!$D$27)*(Inputs!$F$27-Inputs!$E$27)))</f>
        <v>81.1469363673928</v>
      </c>
      <c r="R1644" s="81" t="n">
        <f aca="true">RAND()</f>
        <v>0.0420342817429264</v>
      </c>
      <c r="S1644" s="82" t="n">
        <f aca="false">IF(R1644&lt;(Inputs!$E$29-Inputs!$D$29)/(Inputs!$F$29-Inputs!$D$29),Inputs!$D$29+SQRT(R1644*(Inputs!$F$29-Inputs!$D$29)*(Inputs!$E$29-Inputs!$D$29)),Inputs!$F$29-SQRT((1-R1644)*(Inputs!$F$29-Inputs!$D$29)*(Inputs!$F$29-Inputs!$E$29)))</f>
        <v>3.28036595861267</v>
      </c>
      <c r="T1644" s="68" t="n">
        <f aca="false">Inputs!$E$9*(1+E1644)+Inputs!$E$5*C1644*(Inputs!$E$11*Inputs!$E$14*(G1644*I1644/Inputs!$E$16+(1-G1644))*K1644+Inputs!$E$23*M1644)*(1+O1644)+Inputs!$E$5*(Q1644+S1644)</f>
        <v>6974.64872232796</v>
      </c>
    </row>
    <row r="1645" customFormat="false" ht="15" hidden="false" customHeight="false" outlineLevel="0" collapsed="false">
      <c r="A1645" s="1" t="n">
        <v>1641</v>
      </c>
      <c r="B1645" s="81" t="n">
        <f aca="true">RAND()</f>
        <v>0.84338756389692</v>
      </c>
      <c r="C1645" s="82" t="n">
        <f aca="false">ROUND(IF(B1645&lt;(Inputs!$E$8-Inputs!$D$8)/(Inputs!$F$8-Inputs!$D$8),Inputs!$D$8+SQRT(B1645*(Inputs!$F$8-Inputs!$D$8)*(Inputs!$E$8-Inputs!$D$8)),Inputs!$F$8-SQRT((1-B1645)*(Inputs!$F$8-Inputs!$D$8)*(Inputs!$F$8-Inputs!$E$8))),0)</f>
        <v>27</v>
      </c>
      <c r="D1645" s="81" t="n">
        <f aca="true">RAND()</f>
        <v>0.724066321763637</v>
      </c>
      <c r="E1645" s="83" t="n">
        <f aca="false">IF(D1645&lt;(Inputs!$E$10-Inputs!$D$10)/(Inputs!$F$10-Inputs!$D$10),Inputs!$D$10+SQRT(D1645*(Inputs!$F$10-Inputs!$D$10)*(Inputs!$E$10-Inputs!$D$10)),Inputs!$F$10-SQRT((1-D1645)*(Inputs!$F$10-Inputs!$D$10)*(Inputs!$F$10-Inputs!$E$10)))</f>
        <v>0.109016428147215</v>
      </c>
      <c r="F1645" s="81" t="n">
        <f aca="true">RAND()</f>
        <v>0.297926578589993</v>
      </c>
      <c r="G1645" s="83" t="n">
        <f aca="false">IF(F1645&lt;(Inputs!$E$15-Inputs!$D$15)/(Inputs!$F$15-Inputs!$D$15),Inputs!$D$15+SQRT(F1645*(Inputs!$F$15-Inputs!$D$15)*(Inputs!$E$15-Inputs!$D$15)),Inputs!$F$15-SQRT((1-F1645)*(Inputs!$F$15-Inputs!$D$15)*(Inputs!$F$15-Inputs!$E$15)))</f>
        <v>0.677191525258929</v>
      </c>
      <c r="H1645" s="81" t="n">
        <f aca="true">RAND()</f>
        <v>0.769151394990546</v>
      </c>
      <c r="I1645" s="82" t="n">
        <f aca="false">ROUND(IF(H1645&lt;(Inputs!$E$17-Inputs!$D$17)/(Inputs!$F$17-Inputs!$D$17),Inputs!$D$17+SQRT(H1645*(Inputs!$F$17-Inputs!$D$17)*(Inputs!$E$17-Inputs!$D$17)),Inputs!$F$17-SQRT((1-H1645)*(Inputs!$F$17-Inputs!$D$17)*(Inputs!$F$17-Inputs!$E$17))),0)</f>
        <v>109</v>
      </c>
      <c r="J1645" s="81" t="n">
        <f aca="true">RAND()</f>
        <v>0.171841167877174</v>
      </c>
      <c r="K1645" s="83" t="n">
        <f aca="false">IF(J1645&lt;(Inputs!$E$18-Inputs!$D$18)/(Inputs!$F$18-Inputs!$D$18),Inputs!$D$18+SQRT(J1645*(Inputs!$F$18-Inputs!$D$18)*(Inputs!$E$18-Inputs!$D$18)),Inputs!$F$18-SQRT((1-J1645)*(Inputs!$F$18-Inputs!$D$18)*(Inputs!$F$18-Inputs!$E$18)))</f>
        <v>0.977552826355337</v>
      </c>
      <c r="L1645" s="81" t="n">
        <f aca="true">RAND()</f>
        <v>0.964956588762166</v>
      </c>
      <c r="M1645" s="83" t="n">
        <f aca="false">IF(L1645&lt;(Inputs!$E$24-Inputs!$D$24)/(Inputs!$F$24-Inputs!$D$24),Inputs!$D$24+SQRT(L1645*(Inputs!$F$24-Inputs!$D$24)*(Inputs!$E$24-Inputs!$D$24)),Inputs!$F$24-SQRT((1-L1645)*(Inputs!$F$24-Inputs!$D$24)*(Inputs!$F$24-Inputs!$E$24)))</f>
        <v>1.10829166506211</v>
      </c>
      <c r="N1645" s="81" t="n">
        <f aca="true">RAND()</f>
        <v>0.302936188643795</v>
      </c>
      <c r="O1645" s="83" t="n">
        <f aca="false">IF(N1645&lt;(Inputs!$E$26-Inputs!$D$26)/(Inputs!$F$26-Inputs!$D$26),Inputs!$D$26+SQRT(N1645*(Inputs!$F$26-Inputs!$D$26)*(Inputs!$E$26-Inputs!$D$26)),Inputs!$F$26-SQRT((1-N1645)*(Inputs!$F$26-Inputs!$D$26)*(Inputs!$F$26-Inputs!$E$26)))</f>
        <v>0.524518555559062</v>
      </c>
      <c r="P1645" s="81" t="n">
        <f aca="true">RAND()</f>
        <v>0.872049219214957</v>
      </c>
      <c r="Q1645" s="82" t="n">
        <f aca="false">IF(P1645&lt;(Inputs!$E$27-Inputs!$D$27)/(Inputs!$F$27-Inputs!$D$27),Inputs!$D$27+SQRT(P1645*(Inputs!$F$27-Inputs!$D$27)*(Inputs!$E$27-Inputs!$D$27)),Inputs!$F$27-SQRT((1-P1645)*(Inputs!$F$27-Inputs!$D$27)*(Inputs!$F$27-Inputs!$E$27)))</f>
        <v>119.022090840603</v>
      </c>
      <c r="R1645" s="81" t="n">
        <f aca="true">RAND()</f>
        <v>0.191083464581304</v>
      </c>
      <c r="S1645" s="82" t="n">
        <f aca="false">IF(R1645&lt;(Inputs!$E$29-Inputs!$D$29)/(Inputs!$F$29-Inputs!$D$29),Inputs!$D$29+SQRT(R1645*(Inputs!$F$29-Inputs!$D$29)*(Inputs!$E$29-Inputs!$D$29)),Inputs!$F$29-SQRT((1-R1645)*(Inputs!$F$29-Inputs!$D$29)*(Inputs!$F$29-Inputs!$E$29)))</f>
        <v>4.7298818873114</v>
      </c>
      <c r="T1645" s="68" t="n">
        <f aca="false">Inputs!$E$9*(1+E1645)+Inputs!$E$5*C1645*(Inputs!$E$11*Inputs!$E$14*(G1645*I1645/Inputs!$E$16+(1-G1645))*K1645+Inputs!$E$23*M1645)*(1+O1645)+Inputs!$E$5*(Q1645+S1645)</f>
        <v>6921.74223384947</v>
      </c>
    </row>
    <row r="1646" customFormat="false" ht="15" hidden="false" customHeight="false" outlineLevel="0" collapsed="false">
      <c r="A1646" s="1" t="n">
        <v>1642</v>
      </c>
      <c r="B1646" s="81" t="n">
        <f aca="true">RAND()</f>
        <v>0.63446052686427</v>
      </c>
      <c r="C1646" s="82" t="n">
        <f aca="false">ROUND(IF(B1646&lt;(Inputs!$E$8-Inputs!$D$8)/(Inputs!$F$8-Inputs!$D$8),Inputs!$D$8+SQRT(B1646*(Inputs!$F$8-Inputs!$D$8)*(Inputs!$E$8-Inputs!$D$8)),Inputs!$F$8-SQRT((1-B1646)*(Inputs!$F$8-Inputs!$D$8)*(Inputs!$F$8-Inputs!$E$8))),0)</f>
        <v>26</v>
      </c>
      <c r="D1646" s="81" t="n">
        <f aca="true">RAND()</f>
        <v>0.174489761995237</v>
      </c>
      <c r="E1646" s="83" t="n">
        <f aca="false">IF(D1646&lt;(Inputs!$E$10-Inputs!$D$10)/(Inputs!$F$10-Inputs!$D$10),Inputs!$D$10+SQRT(D1646*(Inputs!$F$10-Inputs!$D$10)*(Inputs!$E$10-Inputs!$D$10)),Inputs!$F$10-SQRT((1-D1646)*(Inputs!$F$10-Inputs!$D$10)*(Inputs!$F$10-Inputs!$E$10)))</f>
        <v>0.0417719717029537</v>
      </c>
      <c r="F1646" s="81" t="n">
        <f aca="true">RAND()</f>
        <v>0.0272590841818707</v>
      </c>
      <c r="G1646" s="83" t="n">
        <f aca="false">IF(F1646&lt;(Inputs!$E$15-Inputs!$D$15)/(Inputs!$F$15-Inputs!$D$15),Inputs!$D$15+SQRT(F1646*(Inputs!$F$15-Inputs!$D$15)*(Inputs!$E$15-Inputs!$D$15)),Inputs!$F$15-SQRT((1-F1646)*(Inputs!$F$15-Inputs!$D$15)*(Inputs!$F$15-Inputs!$E$15)))</f>
        <v>0.623349125971595</v>
      </c>
      <c r="H1646" s="81" t="n">
        <f aca="true">RAND()</f>
        <v>0.787243926681995</v>
      </c>
      <c r="I1646" s="82" t="n">
        <f aca="false">ROUND(IF(H1646&lt;(Inputs!$E$17-Inputs!$D$17)/(Inputs!$F$17-Inputs!$D$17),Inputs!$D$17+SQRT(H1646*(Inputs!$F$17-Inputs!$D$17)*(Inputs!$E$17-Inputs!$D$17)),Inputs!$F$17-SQRT((1-H1646)*(Inputs!$F$17-Inputs!$D$17)*(Inputs!$F$17-Inputs!$E$17))),0)</f>
        <v>109</v>
      </c>
      <c r="J1646" s="81" t="n">
        <f aca="true">RAND()</f>
        <v>0.820480196613233</v>
      </c>
      <c r="K1646" s="83" t="n">
        <f aca="false">IF(J1646&lt;(Inputs!$E$18-Inputs!$D$18)/(Inputs!$F$18-Inputs!$D$18),Inputs!$D$18+SQRT(J1646*(Inputs!$F$18-Inputs!$D$18)*(Inputs!$E$18-Inputs!$D$18)),Inputs!$F$18-SQRT((1-J1646)*(Inputs!$F$18-Inputs!$D$18)*(Inputs!$F$18-Inputs!$E$18)))</f>
        <v>1.12466850836146</v>
      </c>
      <c r="L1646" s="81" t="n">
        <f aca="true">RAND()</f>
        <v>0.456234763837192</v>
      </c>
      <c r="M1646" s="83" t="n">
        <f aca="false">IF(L1646&lt;(Inputs!$E$24-Inputs!$D$24)/(Inputs!$F$24-Inputs!$D$24),Inputs!$D$24+SQRT(L1646*(Inputs!$F$24-Inputs!$D$24)*(Inputs!$E$24-Inputs!$D$24)),Inputs!$F$24-SQRT((1-L1646)*(Inputs!$F$24-Inputs!$D$24)*(Inputs!$F$24-Inputs!$E$24)))</f>
        <v>0.838747101493879</v>
      </c>
      <c r="N1646" s="81" t="n">
        <f aca="true">RAND()</f>
        <v>0.645259374073009</v>
      </c>
      <c r="O1646" s="83" t="n">
        <f aca="false">IF(N1646&lt;(Inputs!$E$26-Inputs!$D$26)/(Inputs!$F$26-Inputs!$D$26),Inputs!$D$26+SQRT(N1646*(Inputs!$F$26-Inputs!$D$26)*(Inputs!$E$26-Inputs!$D$26)),Inputs!$F$26-SQRT((1-N1646)*(Inputs!$F$26-Inputs!$D$26)*(Inputs!$F$26-Inputs!$E$26)))</f>
        <v>0.627924428683898</v>
      </c>
      <c r="P1646" s="81" t="n">
        <f aca="true">RAND()</f>
        <v>0.26098336327238</v>
      </c>
      <c r="Q1646" s="82" t="n">
        <f aca="false">IF(P1646&lt;(Inputs!$E$27-Inputs!$D$27)/(Inputs!$F$27-Inputs!$D$27),Inputs!$D$27+SQRT(P1646*(Inputs!$F$27-Inputs!$D$27)*(Inputs!$E$27-Inputs!$D$27)),Inputs!$F$27-SQRT((1-P1646)*(Inputs!$F$27-Inputs!$D$27)*(Inputs!$F$27-Inputs!$E$27)))</f>
        <v>75.5511935927973</v>
      </c>
      <c r="R1646" s="81" t="n">
        <f aca="true">RAND()</f>
        <v>0.334144588979619</v>
      </c>
      <c r="S1646" s="82" t="n">
        <f aca="false">IF(R1646&lt;(Inputs!$E$29-Inputs!$D$29)/(Inputs!$F$29-Inputs!$D$29),Inputs!$D$29+SQRT(R1646*(Inputs!$F$29-Inputs!$D$29)*(Inputs!$E$29-Inputs!$D$29)),Inputs!$F$29-SQRT((1-R1646)*(Inputs!$F$29-Inputs!$D$29)*(Inputs!$F$29-Inputs!$E$29)))</f>
        <v>5.69617264602092</v>
      </c>
      <c r="T1646" s="68" t="n">
        <f aca="false">Inputs!$E$9*(1+E1646)+Inputs!$E$5*C1646*(Inputs!$E$11*Inputs!$E$14*(G1646*I1646/Inputs!$E$16+(1-G1646))*K1646+Inputs!$E$23*M1646)*(1+O1646)+Inputs!$E$5*(Q1646+S1646)</f>
        <v>6691.01293797361</v>
      </c>
    </row>
    <row r="1647" customFormat="false" ht="15" hidden="false" customHeight="false" outlineLevel="0" collapsed="false">
      <c r="A1647" s="1" t="n">
        <v>1643</v>
      </c>
      <c r="B1647" s="81" t="n">
        <f aca="true">RAND()</f>
        <v>0.308848516249213</v>
      </c>
      <c r="C1647" s="82" t="n">
        <f aca="false">ROUND(IF(B1647&lt;(Inputs!$E$8-Inputs!$D$8)/(Inputs!$F$8-Inputs!$D$8),Inputs!$D$8+SQRT(B1647*(Inputs!$F$8-Inputs!$D$8)*(Inputs!$E$8-Inputs!$D$8)),Inputs!$F$8-SQRT((1-B1647)*(Inputs!$F$8-Inputs!$D$8)*(Inputs!$F$8-Inputs!$E$8))),0)</f>
        <v>24</v>
      </c>
      <c r="D1647" s="81" t="n">
        <f aca="true">RAND()</f>
        <v>0.113821585046299</v>
      </c>
      <c r="E1647" s="83" t="n">
        <f aca="false">IF(D1647&lt;(Inputs!$E$10-Inputs!$D$10)/(Inputs!$F$10-Inputs!$D$10),Inputs!$D$10+SQRT(D1647*(Inputs!$F$10-Inputs!$D$10)*(Inputs!$E$10-Inputs!$D$10)),Inputs!$F$10-SQRT((1-D1647)*(Inputs!$F$10-Inputs!$D$10)*(Inputs!$F$10-Inputs!$E$10)))</f>
        <v>0.0337374547122778</v>
      </c>
      <c r="F1647" s="81" t="n">
        <f aca="true">RAND()</f>
        <v>0.683420443545608</v>
      </c>
      <c r="G1647" s="83" t="n">
        <f aca="false">IF(F1647&lt;(Inputs!$E$15-Inputs!$D$15)/(Inputs!$F$15-Inputs!$D$15),Inputs!$D$15+SQRT(F1647*(Inputs!$F$15-Inputs!$D$15)*(Inputs!$E$15-Inputs!$D$15)),Inputs!$F$15-SQRT((1-F1647)*(Inputs!$F$15-Inputs!$D$15)*(Inputs!$F$15-Inputs!$E$15)))</f>
        <v>0.720428704113306</v>
      </c>
      <c r="H1647" s="81" t="n">
        <f aca="true">RAND()</f>
        <v>0.583830265600434</v>
      </c>
      <c r="I1647" s="82" t="n">
        <f aca="false">ROUND(IF(H1647&lt;(Inputs!$E$17-Inputs!$D$17)/(Inputs!$F$17-Inputs!$D$17),Inputs!$D$17+SQRT(H1647*(Inputs!$F$17-Inputs!$D$17)*(Inputs!$E$17-Inputs!$D$17)),Inputs!$F$17-SQRT((1-H1647)*(Inputs!$F$17-Inputs!$D$17)*(Inputs!$F$17-Inputs!$E$17))),0)</f>
        <v>107</v>
      </c>
      <c r="J1647" s="81" t="n">
        <f aca="true">RAND()</f>
        <v>0.124705466123902</v>
      </c>
      <c r="K1647" s="83" t="n">
        <f aca="false">IF(J1647&lt;(Inputs!$E$18-Inputs!$D$18)/(Inputs!$F$18-Inputs!$D$18),Inputs!$D$18+SQRT(J1647*(Inputs!$F$18-Inputs!$D$18)*(Inputs!$E$18-Inputs!$D$18)),Inputs!$F$18-SQRT((1-J1647)*(Inputs!$F$18-Inputs!$D$18)*(Inputs!$F$18-Inputs!$E$18)))</f>
        <v>0.966065810479677</v>
      </c>
      <c r="L1647" s="81" t="n">
        <f aca="true">RAND()</f>
        <v>0.939660283104047</v>
      </c>
      <c r="M1647" s="83" t="n">
        <f aca="false">IF(L1647&lt;(Inputs!$E$24-Inputs!$D$24)/(Inputs!$F$24-Inputs!$D$24),Inputs!$D$24+SQRT(L1647*(Inputs!$F$24-Inputs!$D$24)*(Inputs!$E$24-Inputs!$D$24)),Inputs!$F$24-SQRT((1-L1647)*(Inputs!$F$24-Inputs!$D$24)*(Inputs!$F$24-Inputs!$E$24)))</f>
        <v>1.0796607626124</v>
      </c>
      <c r="N1647" s="81" t="n">
        <f aca="true">RAND()</f>
        <v>0.0727336367683181</v>
      </c>
      <c r="O1647" s="83" t="n">
        <f aca="false">IF(N1647&lt;(Inputs!$E$26-Inputs!$D$26)/(Inputs!$F$26-Inputs!$D$26),Inputs!$D$26+SQRT(N1647*(Inputs!$F$26-Inputs!$D$26)*(Inputs!$E$26-Inputs!$D$26)),Inputs!$F$26-SQRT((1-N1647)*(Inputs!$F$26-Inputs!$D$26)*(Inputs!$F$26-Inputs!$E$26)))</f>
        <v>0.410013077214703</v>
      </c>
      <c r="P1647" s="81" t="n">
        <f aca="true">RAND()</f>
        <v>0.087023486921967</v>
      </c>
      <c r="Q1647" s="82" t="n">
        <f aca="false">IF(P1647&lt;(Inputs!$E$27-Inputs!$D$27)/(Inputs!$F$27-Inputs!$D$27),Inputs!$D$27+SQRT(P1647*(Inputs!$F$27-Inputs!$D$27)*(Inputs!$E$27-Inputs!$D$27)),Inputs!$F$27-SQRT((1-P1647)*(Inputs!$F$27-Inputs!$D$27)*(Inputs!$F$27-Inputs!$E$27)))</f>
        <v>64.7498717724907</v>
      </c>
      <c r="R1647" s="81" t="n">
        <f aca="true">RAND()</f>
        <v>0.482036280168235</v>
      </c>
      <c r="S1647" s="82" t="n">
        <f aca="false">IF(R1647&lt;(Inputs!$E$29-Inputs!$D$29)/(Inputs!$F$29-Inputs!$D$29),Inputs!$D$29+SQRT(R1647*(Inputs!$F$29-Inputs!$D$29)*(Inputs!$E$29-Inputs!$D$29)),Inputs!$F$29-SQRT((1-R1647)*(Inputs!$F$29-Inputs!$D$29)*(Inputs!$F$29-Inputs!$E$29)))</f>
        <v>6.7941920825473</v>
      </c>
      <c r="T1647" s="68" t="n">
        <f aca="false">Inputs!$E$9*(1+E1647)+Inputs!$E$5*C1647*(Inputs!$E$11*Inputs!$E$14*(G1647*I1647/Inputs!$E$16+(1-G1647))*K1647+Inputs!$E$23*M1647)*(1+O1647)+Inputs!$E$5*(Q1647+S1647)</f>
        <v>5687.45312557014</v>
      </c>
    </row>
    <row r="1648" customFormat="false" ht="15" hidden="false" customHeight="false" outlineLevel="0" collapsed="false">
      <c r="A1648" s="1" t="n">
        <v>1644</v>
      </c>
      <c r="B1648" s="81" t="n">
        <f aca="true">RAND()</f>
        <v>0.867074296981024</v>
      </c>
      <c r="C1648" s="82" t="n">
        <f aca="false">ROUND(IF(B1648&lt;(Inputs!$E$8-Inputs!$D$8)/(Inputs!$F$8-Inputs!$D$8),Inputs!$D$8+SQRT(B1648*(Inputs!$F$8-Inputs!$D$8)*(Inputs!$E$8-Inputs!$D$8)),Inputs!$F$8-SQRT((1-B1648)*(Inputs!$F$8-Inputs!$D$8)*(Inputs!$F$8-Inputs!$E$8))),0)</f>
        <v>27</v>
      </c>
      <c r="D1648" s="81" t="n">
        <f aca="true">RAND()</f>
        <v>0.0500101638388948</v>
      </c>
      <c r="E1648" s="83" t="n">
        <f aca="false">IF(D1648&lt;(Inputs!$E$10-Inputs!$D$10)/(Inputs!$F$10-Inputs!$D$10),Inputs!$D$10+SQRT(D1648*(Inputs!$F$10-Inputs!$D$10)*(Inputs!$E$10-Inputs!$D$10)),Inputs!$F$10-SQRT((1-D1648)*(Inputs!$F$10-Inputs!$D$10)*(Inputs!$F$10-Inputs!$E$10)))</f>
        <v>0.0223629523629808</v>
      </c>
      <c r="F1648" s="81" t="n">
        <f aca="true">RAND()</f>
        <v>0.559502659019741</v>
      </c>
      <c r="G1648" s="83" t="n">
        <f aca="false">IF(F1648&lt;(Inputs!$E$15-Inputs!$D$15)/(Inputs!$F$15-Inputs!$D$15),Inputs!$D$15+SQRT(F1648*(Inputs!$F$15-Inputs!$D$15)*(Inputs!$E$15-Inputs!$D$15)),Inputs!$F$15-SQRT((1-F1648)*(Inputs!$F$15-Inputs!$D$15)*(Inputs!$F$15-Inputs!$E$15)))</f>
        <v>0.70613868304991</v>
      </c>
      <c r="H1648" s="81" t="n">
        <f aca="true">RAND()</f>
        <v>0.0881538113723853</v>
      </c>
      <c r="I1648" s="82" t="n">
        <f aca="false">ROUND(IF(H1648&lt;(Inputs!$E$17-Inputs!$D$17)/(Inputs!$F$17-Inputs!$D$17),Inputs!$D$17+SQRT(H1648*(Inputs!$F$17-Inputs!$D$17)*(Inputs!$E$17-Inputs!$D$17)),Inputs!$F$17-SQRT((1-H1648)*(Inputs!$F$17-Inputs!$D$17)*(Inputs!$F$17-Inputs!$E$17))),0)</f>
        <v>103</v>
      </c>
      <c r="J1648" s="81" t="n">
        <f aca="true">RAND()</f>
        <v>0.737675625500357</v>
      </c>
      <c r="K1648" s="83" t="n">
        <f aca="false">IF(J1648&lt;(Inputs!$E$18-Inputs!$D$18)/(Inputs!$F$18-Inputs!$D$18),Inputs!$D$18+SQRT(J1648*(Inputs!$F$18-Inputs!$D$18)*(Inputs!$E$18-Inputs!$D$18)),Inputs!$F$18-SQRT((1-J1648)*(Inputs!$F$18-Inputs!$D$18)*(Inputs!$F$18-Inputs!$E$18)))</f>
        <v>1.0984962615355</v>
      </c>
      <c r="L1648" s="81" t="n">
        <f aca="true">RAND()</f>
        <v>0.144301884756558</v>
      </c>
      <c r="M1648" s="83" t="n">
        <f aca="false">IF(L1648&lt;(Inputs!$E$24-Inputs!$D$24)/(Inputs!$F$24-Inputs!$D$24),Inputs!$D$24+SQRT(L1648*(Inputs!$F$24-Inputs!$D$24)*(Inputs!$E$24-Inputs!$D$24)),Inputs!$F$24-SQRT((1-L1648)*(Inputs!$F$24-Inputs!$D$24)*(Inputs!$F$24-Inputs!$E$24)))</f>
        <v>0.731591132568981</v>
      </c>
      <c r="N1648" s="81" t="n">
        <f aca="true">RAND()</f>
        <v>0.773702203412773</v>
      </c>
      <c r="O1648" s="83" t="n">
        <f aca="false">IF(N1648&lt;(Inputs!$E$26-Inputs!$D$26)/(Inputs!$F$26-Inputs!$D$26),Inputs!$D$26+SQRT(N1648*(Inputs!$F$26-Inputs!$D$26)*(Inputs!$E$26-Inputs!$D$26)),Inputs!$F$26-SQRT((1-N1648)*(Inputs!$F$26-Inputs!$D$26)*(Inputs!$F$26-Inputs!$E$26)))</f>
        <v>0.666588882915639</v>
      </c>
      <c r="P1648" s="81" t="n">
        <f aca="true">RAND()</f>
        <v>0.781150071527632</v>
      </c>
      <c r="Q1648" s="82" t="n">
        <f aca="false">IF(P1648&lt;(Inputs!$E$27-Inputs!$D$27)/(Inputs!$F$27-Inputs!$D$27),Inputs!$D$27+SQRT(P1648*(Inputs!$F$27-Inputs!$D$27)*(Inputs!$E$27-Inputs!$D$27)),Inputs!$F$27-SQRT((1-P1648)*(Inputs!$F$27-Inputs!$D$27)*(Inputs!$F$27-Inputs!$E$27)))</f>
        <v>109.486120112451</v>
      </c>
      <c r="R1648" s="81" t="n">
        <f aca="true">RAND()</f>
        <v>0.35233680951217</v>
      </c>
      <c r="S1648" s="82" t="n">
        <f aca="false">IF(R1648&lt;(Inputs!$E$29-Inputs!$D$29)/(Inputs!$F$29-Inputs!$D$29),Inputs!$D$29+SQRT(R1648*(Inputs!$F$29-Inputs!$D$29)*(Inputs!$E$29-Inputs!$D$29)),Inputs!$F$29-SQRT((1-R1648)*(Inputs!$F$29-Inputs!$D$29)*(Inputs!$F$29-Inputs!$E$29)))</f>
        <v>5.82415046094271</v>
      </c>
      <c r="T1648" s="68" t="n">
        <f aca="false">Inputs!$E$9*(1+E1648)+Inputs!$E$5*C1648*(Inputs!$E$11*Inputs!$E$14*(G1648*I1648/Inputs!$E$16+(1-G1648))*K1648+Inputs!$E$23*M1648)*(1+O1648)+Inputs!$E$5*(Q1648+S1648)</f>
        <v>6614.65449502278</v>
      </c>
    </row>
    <row r="1649" customFormat="false" ht="15" hidden="false" customHeight="false" outlineLevel="0" collapsed="false">
      <c r="A1649" s="1" t="n">
        <v>1645</v>
      </c>
      <c r="B1649" s="81" t="n">
        <f aca="true">RAND()</f>
        <v>0.90790968165315</v>
      </c>
      <c r="C1649" s="82" t="n">
        <f aca="false">ROUND(IF(B1649&lt;(Inputs!$E$8-Inputs!$D$8)/(Inputs!$F$8-Inputs!$D$8),Inputs!$D$8+SQRT(B1649*(Inputs!$F$8-Inputs!$D$8)*(Inputs!$E$8-Inputs!$D$8)),Inputs!$F$8-SQRT((1-B1649)*(Inputs!$F$8-Inputs!$D$8)*(Inputs!$F$8-Inputs!$E$8))),0)</f>
        <v>28</v>
      </c>
      <c r="D1649" s="81" t="n">
        <f aca="true">RAND()</f>
        <v>0.570415152215574</v>
      </c>
      <c r="E1649" s="83" t="n">
        <f aca="false">IF(D1649&lt;(Inputs!$E$10-Inputs!$D$10)/(Inputs!$F$10-Inputs!$D$10),Inputs!$D$10+SQRT(D1649*(Inputs!$F$10-Inputs!$D$10)*(Inputs!$E$10-Inputs!$D$10)),Inputs!$F$10-SQRT((1-D1649)*(Inputs!$F$10-Inputs!$D$10)*(Inputs!$F$10-Inputs!$E$10)))</f>
        <v>0.086476674495799</v>
      </c>
      <c r="F1649" s="81" t="n">
        <f aca="true">RAND()</f>
        <v>0.307422926954101</v>
      </c>
      <c r="G1649" s="83" t="n">
        <f aca="false">IF(F1649&lt;(Inputs!$E$15-Inputs!$D$15)/(Inputs!$F$15-Inputs!$D$15),Inputs!$D$15+SQRT(F1649*(Inputs!$F$15-Inputs!$D$15)*(Inputs!$E$15-Inputs!$D$15)),Inputs!$F$15-SQRT((1-F1649)*(Inputs!$F$15-Inputs!$D$15)*(Inputs!$F$15-Inputs!$E$15)))</f>
        <v>0.678412107095027</v>
      </c>
      <c r="H1649" s="81" t="n">
        <f aca="true">RAND()</f>
        <v>0.164198105308762</v>
      </c>
      <c r="I1649" s="82" t="n">
        <f aca="false">ROUND(IF(H1649&lt;(Inputs!$E$17-Inputs!$D$17)/(Inputs!$F$17-Inputs!$D$17),Inputs!$D$17+SQRT(H1649*(Inputs!$F$17-Inputs!$D$17)*(Inputs!$E$17-Inputs!$D$17)),Inputs!$F$17-SQRT((1-H1649)*(Inputs!$F$17-Inputs!$D$17)*(Inputs!$F$17-Inputs!$E$17))),0)</f>
        <v>104</v>
      </c>
      <c r="J1649" s="81" t="n">
        <f aca="true">RAND()</f>
        <v>0.406688674221614</v>
      </c>
      <c r="K1649" s="83" t="n">
        <f aca="false">IF(J1649&lt;(Inputs!$E$18-Inputs!$D$18)/(Inputs!$F$18-Inputs!$D$18),Inputs!$D$18+SQRT(J1649*(Inputs!$F$18-Inputs!$D$18)*(Inputs!$E$18-Inputs!$D$18)),Inputs!$F$18-SQRT((1-J1649)*(Inputs!$F$18-Inputs!$D$18)*(Inputs!$F$18-Inputs!$E$18)))</f>
        <v>1.02215193438256</v>
      </c>
      <c r="L1649" s="81" t="n">
        <f aca="true">RAND()</f>
        <v>0.837023515069536</v>
      </c>
      <c r="M1649" s="83" t="n">
        <f aca="false">IF(L1649&lt;(Inputs!$E$24-Inputs!$D$24)/(Inputs!$F$24-Inputs!$D$24),Inputs!$D$24+SQRT(L1649*(Inputs!$F$24-Inputs!$D$24)*(Inputs!$E$24-Inputs!$D$24)),Inputs!$F$24-SQRT((1-L1649)*(Inputs!$F$24-Inputs!$D$24)*(Inputs!$F$24-Inputs!$E$24)))</f>
        <v>1.00222650232321</v>
      </c>
      <c r="N1649" s="81" t="n">
        <f aca="true">RAND()</f>
        <v>0.684279462011122</v>
      </c>
      <c r="O1649" s="83" t="n">
        <f aca="false">IF(N1649&lt;(Inputs!$E$26-Inputs!$D$26)/(Inputs!$F$26-Inputs!$D$26),Inputs!$D$26+SQRT(N1649*(Inputs!$F$26-Inputs!$D$26)*(Inputs!$E$26-Inputs!$D$26)),Inputs!$F$26-SQRT((1-N1649)*(Inputs!$F$26-Inputs!$D$26)*(Inputs!$F$26-Inputs!$E$26)))</f>
        <v>0.63879587214734</v>
      </c>
      <c r="P1649" s="81" t="n">
        <f aca="true">RAND()</f>
        <v>0.410174949474248</v>
      </c>
      <c r="Q1649" s="82" t="n">
        <f aca="false">IF(P1649&lt;(Inputs!$E$27-Inputs!$D$27)/(Inputs!$F$27-Inputs!$D$27),Inputs!$D$27+SQRT(P1649*(Inputs!$F$27-Inputs!$D$27)*(Inputs!$E$27-Inputs!$D$27)),Inputs!$F$27-SQRT((1-P1649)*(Inputs!$F$27-Inputs!$D$27)*(Inputs!$F$27-Inputs!$E$27)))</f>
        <v>83.4891897587833</v>
      </c>
      <c r="R1649" s="81" t="n">
        <f aca="true">RAND()</f>
        <v>0.670382475862509</v>
      </c>
      <c r="S1649" s="82" t="n">
        <f aca="false">IF(R1649&lt;(Inputs!$E$29-Inputs!$D$29)/(Inputs!$F$29-Inputs!$D$29),Inputs!$D$29+SQRT(R1649*(Inputs!$F$29-Inputs!$D$29)*(Inputs!$E$29-Inputs!$D$29)),Inputs!$F$29-SQRT((1-R1649)*(Inputs!$F$29-Inputs!$D$29)*(Inputs!$F$29-Inputs!$E$29)))</f>
        <v>8.45398761551173</v>
      </c>
      <c r="T1649" s="68" t="n">
        <f aca="false">Inputs!$E$9*(1+E1649)+Inputs!$E$5*C1649*(Inputs!$E$11*Inputs!$E$14*(G1649*I1649/Inputs!$E$16+(1-G1649))*K1649+Inputs!$E$23*M1649)*(1+O1649)+Inputs!$E$5*(Q1649+S1649)</f>
        <v>7028.70075781216</v>
      </c>
    </row>
    <row r="1650" customFormat="false" ht="15" hidden="false" customHeight="false" outlineLevel="0" collapsed="false">
      <c r="A1650" s="1" t="n">
        <v>1646</v>
      </c>
      <c r="B1650" s="81" t="n">
        <f aca="true">RAND()</f>
        <v>0.695813701383338</v>
      </c>
      <c r="C1650" s="82" t="n">
        <f aca="false">ROUND(IF(B1650&lt;(Inputs!$E$8-Inputs!$D$8)/(Inputs!$F$8-Inputs!$D$8),Inputs!$D$8+SQRT(B1650*(Inputs!$F$8-Inputs!$D$8)*(Inputs!$E$8-Inputs!$D$8)),Inputs!$F$8-SQRT((1-B1650)*(Inputs!$F$8-Inputs!$D$8)*(Inputs!$F$8-Inputs!$E$8))),0)</f>
        <v>26</v>
      </c>
      <c r="D1650" s="81" t="n">
        <f aca="true">RAND()</f>
        <v>0.133891450234694</v>
      </c>
      <c r="E1650" s="83" t="n">
        <f aca="false">IF(D1650&lt;(Inputs!$E$10-Inputs!$D$10)/(Inputs!$F$10-Inputs!$D$10),Inputs!$D$10+SQRT(D1650*(Inputs!$F$10-Inputs!$D$10)*(Inputs!$E$10-Inputs!$D$10)),Inputs!$F$10-SQRT((1-D1650)*(Inputs!$F$10-Inputs!$D$10)*(Inputs!$F$10-Inputs!$E$10)))</f>
        <v>0.0365911806634732</v>
      </c>
      <c r="F1650" s="81" t="n">
        <f aca="true">RAND()</f>
        <v>0.596087303804076</v>
      </c>
      <c r="G1650" s="83" t="n">
        <f aca="false">IF(F1650&lt;(Inputs!$E$15-Inputs!$D$15)/(Inputs!$F$15-Inputs!$D$15),Inputs!$D$15+SQRT(F1650*(Inputs!$F$15-Inputs!$D$15)*(Inputs!$E$15-Inputs!$D$15)),Inputs!$F$15-SQRT((1-F1650)*(Inputs!$F$15-Inputs!$D$15)*(Inputs!$F$15-Inputs!$E$15)))</f>
        <v>0.710120892728518</v>
      </c>
      <c r="H1650" s="81" t="n">
        <f aca="true">RAND()</f>
        <v>0.870684484341736</v>
      </c>
      <c r="I1650" s="82" t="n">
        <f aca="false">ROUND(IF(H1650&lt;(Inputs!$E$17-Inputs!$D$17)/(Inputs!$F$17-Inputs!$D$17),Inputs!$D$17+SQRT(H1650*(Inputs!$F$17-Inputs!$D$17)*(Inputs!$E$17-Inputs!$D$17)),Inputs!$F$17-SQRT((1-H1650)*(Inputs!$F$17-Inputs!$D$17)*(Inputs!$F$17-Inputs!$E$17))),0)</f>
        <v>111</v>
      </c>
      <c r="J1650" s="81" t="n">
        <f aca="true">RAND()</f>
        <v>0.0567411680169016</v>
      </c>
      <c r="K1650" s="83" t="n">
        <f aca="false">IF(J1650&lt;(Inputs!$E$18-Inputs!$D$18)/(Inputs!$F$18-Inputs!$D$18),Inputs!$D$18+SQRT(J1650*(Inputs!$F$18-Inputs!$D$18)*(Inputs!$E$18-Inputs!$D$18)),Inputs!$F$18-SQRT((1-J1650)*(Inputs!$F$18-Inputs!$D$18)*(Inputs!$F$18-Inputs!$E$18)))</f>
        <v>0.944563896604668</v>
      </c>
      <c r="L1650" s="81" t="n">
        <f aca="true">RAND()</f>
        <v>0.435990959312237</v>
      </c>
      <c r="M1650" s="83" t="n">
        <f aca="false">IF(L1650&lt;(Inputs!$E$24-Inputs!$D$24)/(Inputs!$F$24-Inputs!$D$24),Inputs!$D$24+SQRT(L1650*(Inputs!$F$24-Inputs!$D$24)*(Inputs!$E$24-Inputs!$D$24)),Inputs!$F$24-SQRT((1-L1650)*(Inputs!$F$24-Inputs!$D$24)*(Inputs!$F$24-Inputs!$E$24)))</f>
        <v>0.832084018062462</v>
      </c>
      <c r="N1650" s="81" t="n">
        <f aca="true">RAND()</f>
        <v>0.221014464710997</v>
      </c>
      <c r="O1650" s="83" t="n">
        <f aca="false">IF(N1650&lt;(Inputs!$E$26-Inputs!$D$26)/(Inputs!$F$26-Inputs!$D$26),Inputs!$D$26+SQRT(N1650*(Inputs!$F$26-Inputs!$D$26)*(Inputs!$E$26-Inputs!$D$26)),Inputs!$F$26-SQRT((1-N1650)*(Inputs!$F$26-Inputs!$D$26)*(Inputs!$F$26-Inputs!$E$26)))</f>
        <v>0.491772800281766</v>
      </c>
      <c r="P1650" s="81" t="n">
        <f aca="true">RAND()</f>
        <v>0.526133505038279</v>
      </c>
      <c r="Q1650" s="82" t="n">
        <f aca="false">IF(P1650&lt;(Inputs!$E$27-Inputs!$D$27)/(Inputs!$F$27-Inputs!$D$27),Inputs!$D$27+SQRT(P1650*(Inputs!$F$27-Inputs!$D$27)*(Inputs!$E$27-Inputs!$D$27)),Inputs!$F$27-SQRT((1-P1650)*(Inputs!$F$27-Inputs!$D$27)*(Inputs!$F$27-Inputs!$E$27)))</f>
        <v>90.3845765576314</v>
      </c>
      <c r="R1650" s="81" t="n">
        <f aca="true">RAND()</f>
        <v>0.738398333038012</v>
      </c>
      <c r="S1650" s="82" t="n">
        <f aca="false">IF(R1650&lt;(Inputs!$E$29-Inputs!$D$29)/(Inputs!$F$29-Inputs!$D$29),Inputs!$D$29+SQRT(R1650*(Inputs!$F$29-Inputs!$D$29)*(Inputs!$E$29-Inputs!$D$29)),Inputs!$F$29-SQRT((1-R1650)*(Inputs!$F$29-Inputs!$D$29)*(Inputs!$F$29-Inputs!$E$29)))</f>
        <v>9.1683435710719</v>
      </c>
      <c r="T1650" s="68" t="n">
        <f aca="false">Inputs!$E$9*(1+E1650)+Inputs!$E$5*C1650*(Inputs!$E$11*Inputs!$E$14*(G1650*I1650/Inputs!$E$16+(1-G1650))*K1650+Inputs!$E$23*M1650)*(1+O1650)+Inputs!$E$5*(Q1650+S1650)</f>
        <v>5948.85922904133</v>
      </c>
    </row>
    <row r="1651" customFormat="false" ht="15" hidden="false" customHeight="false" outlineLevel="0" collapsed="false">
      <c r="A1651" s="1" t="n">
        <v>1647</v>
      </c>
      <c r="B1651" s="81" t="n">
        <f aca="true">RAND()</f>
        <v>0.754008528123228</v>
      </c>
      <c r="C1651" s="82" t="n">
        <f aca="false">ROUND(IF(B1651&lt;(Inputs!$E$8-Inputs!$D$8)/(Inputs!$F$8-Inputs!$D$8),Inputs!$D$8+SQRT(B1651*(Inputs!$F$8-Inputs!$D$8)*(Inputs!$E$8-Inputs!$D$8)),Inputs!$F$8-SQRT((1-B1651)*(Inputs!$F$8-Inputs!$D$8)*(Inputs!$F$8-Inputs!$E$8))),0)</f>
        <v>26</v>
      </c>
      <c r="D1651" s="81" t="n">
        <f aca="true">RAND()</f>
        <v>0.62352578607565</v>
      </c>
      <c r="E1651" s="83" t="n">
        <f aca="false">IF(D1651&lt;(Inputs!$E$10-Inputs!$D$10)/(Inputs!$F$10-Inputs!$D$10),Inputs!$D$10+SQRT(D1651*(Inputs!$F$10-Inputs!$D$10)*(Inputs!$E$10-Inputs!$D$10)),Inputs!$F$10-SQRT((1-D1651)*(Inputs!$F$10-Inputs!$D$10)*(Inputs!$F$10-Inputs!$E$10)))</f>
        <v>0.0937257019890016</v>
      </c>
      <c r="F1651" s="81" t="n">
        <f aca="true">RAND()</f>
        <v>0.333726467422613</v>
      </c>
      <c r="G1651" s="83" t="n">
        <f aca="false">IF(F1651&lt;(Inputs!$E$15-Inputs!$D$15)/(Inputs!$F$15-Inputs!$D$15),Inputs!$D$15+SQRT(F1651*(Inputs!$F$15-Inputs!$D$15)*(Inputs!$E$15-Inputs!$D$15)),Inputs!$F$15-SQRT((1-F1651)*(Inputs!$F$15-Inputs!$D$15)*(Inputs!$F$15-Inputs!$E$15)))</f>
        <v>0.681697792800371</v>
      </c>
      <c r="H1651" s="81" t="n">
        <f aca="true">RAND()</f>
        <v>0.683670394774339</v>
      </c>
      <c r="I1651" s="82" t="n">
        <f aca="false">ROUND(IF(H1651&lt;(Inputs!$E$17-Inputs!$D$17)/(Inputs!$F$17-Inputs!$D$17),Inputs!$D$17+SQRT(H1651*(Inputs!$F$17-Inputs!$D$17)*(Inputs!$E$17-Inputs!$D$17)),Inputs!$F$17-SQRT((1-H1651)*(Inputs!$F$17-Inputs!$D$17)*(Inputs!$F$17-Inputs!$E$17))),0)</f>
        <v>108</v>
      </c>
      <c r="J1651" s="81" t="n">
        <f aca="true">RAND()</f>
        <v>0.22561313388887</v>
      </c>
      <c r="K1651" s="83" t="n">
        <f aca="false">IF(J1651&lt;(Inputs!$E$18-Inputs!$D$18)/(Inputs!$F$18-Inputs!$D$18),Inputs!$D$18+SQRT(J1651*(Inputs!$F$18-Inputs!$D$18)*(Inputs!$E$18-Inputs!$D$18)),Inputs!$F$18-SQRT((1-J1651)*(Inputs!$F$18-Inputs!$D$18)*(Inputs!$F$18-Inputs!$E$18)))</f>
        <v>0.988862026119769</v>
      </c>
      <c r="L1651" s="81" t="n">
        <f aca="true">RAND()</f>
        <v>0.51169335263272</v>
      </c>
      <c r="M1651" s="83" t="n">
        <f aca="false">IF(L1651&lt;(Inputs!$E$24-Inputs!$D$24)/(Inputs!$F$24-Inputs!$D$24),Inputs!$D$24+SQRT(L1651*(Inputs!$F$24-Inputs!$D$24)*(Inputs!$E$24-Inputs!$D$24)),Inputs!$F$24-SQRT((1-L1651)*(Inputs!$F$24-Inputs!$D$24)*(Inputs!$F$24-Inputs!$E$24)))</f>
        <v>0.857664498820021</v>
      </c>
      <c r="N1651" s="81" t="n">
        <f aca="true">RAND()</f>
        <v>0.471511806397265</v>
      </c>
      <c r="O1651" s="83" t="n">
        <f aca="false">IF(N1651&lt;(Inputs!$E$26-Inputs!$D$26)/(Inputs!$F$26-Inputs!$D$26),Inputs!$D$26+SQRT(N1651*(Inputs!$F$26-Inputs!$D$26)*(Inputs!$E$26-Inputs!$D$26)),Inputs!$F$26-SQRT((1-N1651)*(Inputs!$F$26-Inputs!$D$26)*(Inputs!$F$26-Inputs!$E$26)))</f>
        <v>0.580106345134317</v>
      </c>
      <c r="P1651" s="81" t="n">
        <f aca="true">RAND()</f>
        <v>0.964251208166372</v>
      </c>
      <c r="Q1651" s="82" t="n">
        <f aca="false">IF(P1651&lt;(Inputs!$E$27-Inputs!$D$27)/(Inputs!$F$27-Inputs!$D$27),Inputs!$D$27+SQRT(P1651*(Inputs!$F$27-Inputs!$D$27)*(Inputs!$E$27-Inputs!$D$27)),Inputs!$F$27-SQRT((1-P1651)*(Inputs!$F$27-Inputs!$D$27)*(Inputs!$F$27-Inputs!$E$27)))</f>
        <v>133.625753795908</v>
      </c>
      <c r="R1651" s="81" t="n">
        <f aca="true">RAND()</f>
        <v>0.27537530454768</v>
      </c>
      <c r="S1651" s="82" t="n">
        <f aca="false">IF(R1651&lt;(Inputs!$E$29-Inputs!$D$29)/(Inputs!$F$29-Inputs!$D$29),Inputs!$D$29+SQRT(R1651*(Inputs!$F$29-Inputs!$D$29)*(Inputs!$E$29-Inputs!$D$29)),Inputs!$F$29-SQRT((1-R1651)*(Inputs!$F$29-Inputs!$D$29)*(Inputs!$F$29-Inputs!$E$29)))</f>
        <v>5.29426919759251</v>
      </c>
      <c r="T1651" s="68" t="n">
        <f aca="false">Inputs!$E$9*(1+E1651)+Inputs!$E$5*C1651*(Inputs!$E$11*Inputs!$E$14*(G1651*I1651/Inputs!$E$16+(1-G1651))*K1651+Inputs!$E$23*M1651)*(1+O1651)+Inputs!$E$5*(Q1651+S1651)</f>
        <v>6597.92850857286</v>
      </c>
    </row>
    <row r="1652" customFormat="false" ht="15" hidden="false" customHeight="false" outlineLevel="0" collapsed="false">
      <c r="A1652" s="1" t="n">
        <v>1648</v>
      </c>
      <c r="B1652" s="81" t="n">
        <f aca="true">RAND()</f>
        <v>0.450296186015986</v>
      </c>
      <c r="C1652" s="82" t="n">
        <f aca="false">ROUND(IF(B1652&lt;(Inputs!$E$8-Inputs!$D$8)/(Inputs!$F$8-Inputs!$D$8),Inputs!$D$8+SQRT(B1652*(Inputs!$F$8-Inputs!$D$8)*(Inputs!$E$8-Inputs!$D$8)),Inputs!$F$8-SQRT((1-B1652)*(Inputs!$F$8-Inputs!$D$8)*(Inputs!$F$8-Inputs!$E$8))),0)</f>
        <v>25</v>
      </c>
      <c r="D1652" s="81" t="n">
        <f aca="true">RAND()</f>
        <v>0.0323819319101418</v>
      </c>
      <c r="E1652" s="83" t="n">
        <f aca="false">IF(D1652&lt;(Inputs!$E$10-Inputs!$D$10)/(Inputs!$F$10-Inputs!$D$10),Inputs!$D$10+SQRT(D1652*(Inputs!$F$10-Inputs!$D$10)*(Inputs!$E$10-Inputs!$D$10)),Inputs!$F$10-SQRT((1-D1652)*(Inputs!$F$10-Inputs!$D$10)*(Inputs!$F$10-Inputs!$E$10)))</f>
        <v>0.0179949803862471</v>
      </c>
      <c r="F1652" s="81" t="n">
        <f aca="true">RAND()</f>
        <v>0.237081079618521</v>
      </c>
      <c r="G1652" s="83" t="n">
        <f aca="false">IF(F1652&lt;(Inputs!$E$15-Inputs!$D$15)/(Inputs!$F$15-Inputs!$D$15),Inputs!$D$15+SQRT(F1652*(Inputs!$F$15-Inputs!$D$15)*(Inputs!$E$15-Inputs!$D$15)),Inputs!$F$15-SQRT((1-F1652)*(Inputs!$F$15-Inputs!$D$15)*(Inputs!$F$15-Inputs!$E$15)))</f>
        <v>0.66885943357573</v>
      </c>
      <c r="H1652" s="81" t="n">
        <f aca="true">RAND()</f>
        <v>0.674271078279505</v>
      </c>
      <c r="I1652" s="82" t="n">
        <f aca="false">ROUND(IF(H1652&lt;(Inputs!$E$17-Inputs!$D$17)/(Inputs!$F$17-Inputs!$D$17),Inputs!$D$17+SQRT(H1652*(Inputs!$F$17-Inputs!$D$17)*(Inputs!$E$17-Inputs!$D$17)),Inputs!$F$17-SQRT((1-H1652)*(Inputs!$F$17-Inputs!$D$17)*(Inputs!$F$17-Inputs!$E$17))),0)</f>
        <v>108</v>
      </c>
      <c r="J1652" s="81" t="n">
        <f aca="true">RAND()</f>
        <v>0.164271518511626</v>
      </c>
      <c r="K1652" s="83" t="n">
        <f aca="false">IF(J1652&lt;(Inputs!$E$18-Inputs!$D$18)/(Inputs!$F$18-Inputs!$D$18),Inputs!$D$18+SQRT(J1652*(Inputs!$F$18-Inputs!$D$18)*(Inputs!$E$18-Inputs!$D$18)),Inputs!$F$18-SQRT((1-J1652)*(Inputs!$F$18-Inputs!$D$18)*(Inputs!$F$18-Inputs!$E$18)))</f>
        <v>0.975825478224057</v>
      </c>
      <c r="L1652" s="81" t="n">
        <f aca="true">RAND()</f>
        <v>0.259738281958984</v>
      </c>
      <c r="M1652" s="83" t="n">
        <f aca="false">IF(L1652&lt;(Inputs!$E$24-Inputs!$D$24)/(Inputs!$F$24-Inputs!$D$24),Inputs!$D$24+SQRT(L1652*(Inputs!$F$24-Inputs!$D$24)*(Inputs!$E$24-Inputs!$D$24)),Inputs!$F$24-SQRT((1-L1652)*(Inputs!$F$24-Inputs!$D$24)*(Inputs!$F$24-Inputs!$E$24)))</f>
        <v>0.77654629374495</v>
      </c>
      <c r="N1652" s="81" t="n">
        <f aca="true">RAND()</f>
        <v>0.629666215834296</v>
      </c>
      <c r="O1652" s="83" t="n">
        <f aca="false">IF(N1652&lt;(Inputs!$E$26-Inputs!$D$26)/(Inputs!$F$26-Inputs!$D$26),Inputs!$D$26+SQRT(N1652*(Inputs!$F$26-Inputs!$D$26)*(Inputs!$E$26-Inputs!$D$26)),Inputs!$F$26-SQRT((1-N1652)*(Inputs!$F$26-Inputs!$D$26)*(Inputs!$F$26-Inputs!$E$26)))</f>
        <v>0.623748341272658</v>
      </c>
      <c r="P1652" s="81" t="n">
        <f aca="true">RAND()</f>
        <v>0.636478142551125</v>
      </c>
      <c r="Q1652" s="82" t="n">
        <f aca="false">IF(P1652&lt;(Inputs!$E$27-Inputs!$D$27)/(Inputs!$F$27-Inputs!$D$27),Inputs!$D$27+SQRT(P1652*(Inputs!$F$27-Inputs!$D$27)*(Inputs!$E$27-Inputs!$D$27)),Inputs!$F$27-SQRT((1-P1652)*(Inputs!$F$27-Inputs!$D$27)*(Inputs!$F$27-Inputs!$E$27)))</f>
        <v>97.7849262102737</v>
      </c>
      <c r="R1652" s="81" t="n">
        <f aca="true">RAND()</f>
        <v>0.875998794615672</v>
      </c>
      <c r="S1652" s="82" t="n">
        <f aca="false">IF(R1652&lt;(Inputs!$E$29-Inputs!$D$29)/(Inputs!$F$29-Inputs!$D$29),Inputs!$D$29+SQRT(R1652*(Inputs!$F$29-Inputs!$D$29)*(Inputs!$E$29-Inputs!$D$29)),Inputs!$F$29-SQRT((1-R1652)*(Inputs!$F$29-Inputs!$D$29)*(Inputs!$F$29-Inputs!$E$29)))</f>
        <v>10.9850085056176</v>
      </c>
      <c r="T1652" s="68" t="n">
        <f aca="false">Inputs!$E$9*(1+E1652)+Inputs!$E$5*C1652*(Inputs!$E$11*Inputs!$E$14*(G1652*I1652/Inputs!$E$16+(1-G1652))*K1652+Inputs!$E$23*M1652)*(1+O1652)+Inputs!$E$5*(Q1652+S1652)</f>
        <v>6108.65324024745</v>
      </c>
    </row>
    <row r="1653" customFormat="false" ht="15" hidden="false" customHeight="false" outlineLevel="0" collapsed="false">
      <c r="A1653" s="1" t="n">
        <v>1649</v>
      </c>
      <c r="B1653" s="81" t="n">
        <f aca="true">RAND()</f>
        <v>0.678363613844177</v>
      </c>
      <c r="C1653" s="82" t="n">
        <f aca="false">ROUND(IF(B1653&lt;(Inputs!$E$8-Inputs!$D$8)/(Inputs!$F$8-Inputs!$D$8),Inputs!$D$8+SQRT(B1653*(Inputs!$F$8-Inputs!$D$8)*(Inputs!$E$8-Inputs!$D$8)),Inputs!$F$8-SQRT((1-B1653)*(Inputs!$F$8-Inputs!$D$8)*(Inputs!$F$8-Inputs!$E$8))),0)</f>
        <v>26</v>
      </c>
      <c r="D1653" s="81" t="n">
        <f aca="true">RAND()</f>
        <v>0.222123408895155</v>
      </c>
      <c r="E1653" s="83" t="n">
        <f aca="false">IF(D1653&lt;(Inputs!$E$10-Inputs!$D$10)/(Inputs!$F$10-Inputs!$D$10),Inputs!$D$10+SQRT(D1653*(Inputs!$F$10-Inputs!$D$10)*(Inputs!$E$10-Inputs!$D$10)),Inputs!$F$10-SQRT((1-D1653)*(Inputs!$F$10-Inputs!$D$10)*(Inputs!$F$10-Inputs!$E$10)))</f>
        <v>0.047129970177707</v>
      </c>
      <c r="F1653" s="81" t="n">
        <f aca="true">RAND()</f>
        <v>0.682031967237331</v>
      </c>
      <c r="G1653" s="83" t="n">
        <f aca="false">IF(F1653&lt;(Inputs!$E$15-Inputs!$D$15)/(Inputs!$F$15-Inputs!$D$15),Inputs!$D$15+SQRT(F1653*(Inputs!$F$15-Inputs!$D$15)*(Inputs!$E$15-Inputs!$D$15)),Inputs!$F$15-SQRT((1-F1653)*(Inputs!$F$15-Inputs!$D$15)*(Inputs!$F$15-Inputs!$E$15)))</f>
        <v>0.720254400401945</v>
      </c>
      <c r="H1653" s="81" t="n">
        <f aca="true">RAND()</f>
        <v>0.81262104781242</v>
      </c>
      <c r="I1653" s="82" t="n">
        <f aca="false">ROUND(IF(H1653&lt;(Inputs!$E$17-Inputs!$D$17)/(Inputs!$F$17-Inputs!$D$17),Inputs!$D$17+SQRT(H1653*(Inputs!$F$17-Inputs!$D$17)*(Inputs!$E$17-Inputs!$D$17)),Inputs!$F$17-SQRT((1-H1653)*(Inputs!$F$17-Inputs!$D$17)*(Inputs!$F$17-Inputs!$E$17))),0)</f>
        <v>110</v>
      </c>
      <c r="J1653" s="81" t="n">
        <f aca="true">RAND()</f>
        <v>0.75910089549758</v>
      </c>
      <c r="K1653" s="83" t="n">
        <f aca="false">IF(J1653&lt;(Inputs!$E$18-Inputs!$D$18)/(Inputs!$F$18-Inputs!$D$18),Inputs!$D$18+SQRT(J1653*(Inputs!$F$18-Inputs!$D$18)*(Inputs!$E$18-Inputs!$D$18)),Inputs!$F$18-SQRT((1-J1653)*(Inputs!$F$18-Inputs!$D$18)*(Inputs!$F$18-Inputs!$E$18)))</f>
        <v>1.10481504332762</v>
      </c>
      <c r="L1653" s="81" t="n">
        <f aca="true">RAND()</f>
        <v>0.669262593136531</v>
      </c>
      <c r="M1653" s="83" t="n">
        <f aca="false">IF(L1653&lt;(Inputs!$E$24-Inputs!$D$24)/(Inputs!$F$24-Inputs!$D$24),Inputs!$D$24+SQRT(L1653*(Inputs!$F$24-Inputs!$D$24)*(Inputs!$E$24-Inputs!$D$24)),Inputs!$F$24-SQRT((1-L1653)*(Inputs!$F$24-Inputs!$D$24)*(Inputs!$F$24-Inputs!$E$24)))</f>
        <v>0.918260798525955</v>
      </c>
      <c r="N1653" s="81" t="n">
        <f aca="true">RAND()</f>
        <v>0.764640733454587</v>
      </c>
      <c r="O1653" s="83" t="n">
        <f aca="false">IF(N1653&lt;(Inputs!$E$26-Inputs!$D$26)/(Inputs!$F$26-Inputs!$D$26),Inputs!$D$26+SQRT(N1653*(Inputs!$F$26-Inputs!$D$26)*(Inputs!$E$26-Inputs!$D$26)),Inputs!$F$26-SQRT((1-N1653)*(Inputs!$F$26-Inputs!$D$26)*(Inputs!$F$26-Inputs!$E$26)))</f>
        <v>0.663547567226575</v>
      </c>
      <c r="P1653" s="81" t="n">
        <f aca="true">RAND()</f>
        <v>0.77864083957941</v>
      </c>
      <c r="Q1653" s="82" t="n">
        <f aca="false">IF(P1653&lt;(Inputs!$E$27-Inputs!$D$27)/(Inputs!$F$27-Inputs!$D$27),Inputs!$D$27+SQRT(P1653*(Inputs!$F$27-Inputs!$D$27)*(Inputs!$E$27-Inputs!$D$27)),Inputs!$F$27-SQRT((1-P1653)*(Inputs!$F$27-Inputs!$D$27)*(Inputs!$F$27-Inputs!$E$27)))</f>
        <v>109.254525365945</v>
      </c>
      <c r="R1653" s="81" t="n">
        <f aca="true">RAND()</f>
        <v>0.543222179413553</v>
      </c>
      <c r="S1653" s="82" t="n">
        <f aca="false">IF(R1653&lt;(Inputs!$E$29-Inputs!$D$29)/(Inputs!$F$29-Inputs!$D$29),Inputs!$D$29+SQRT(R1653*(Inputs!$F$29-Inputs!$D$29)*(Inputs!$E$29-Inputs!$D$29)),Inputs!$F$29-SQRT((1-R1653)*(Inputs!$F$29-Inputs!$D$29)*(Inputs!$F$29-Inputs!$E$29)))</f>
        <v>7.29408560414547</v>
      </c>
      <c r="T1653" s="68" t="n">
        <f aca="false">Inputs!$E$9*(1+E1653)+Inputs!$E$5*C1653*(Inputs!$E$11*Inputs!$E$14*(G1653*I1653/Inputs!$E$16+(1-G1653))*K1653+Inputs!$E$23*M1653)*(1+O1653)+Inputs!$E$5*(Q1653+S1653)</f>
        <v>6907.91951224927</v>
      </c>
    </row>
    <row r="1654" customFormat="false" ht="15" hidden="false" customHeight="false" outlineLevel="0" collapsed="false">
      <c r="A1654" s="1" t="n">
        <v>1650</v>
      </c>
      <c r="B1654" s="81" t="n">
        <f aca="true">RAND()</f>
        <v>0.795541408891312</v>
      </c>
      <c r="C1654" s="82" t="n">
        <f aca="false">ROUND(IF(B1654&lt;(Inputs!$E$8-Inputs!$D$8)/(Inputs!$F$8-Inputs!$D$8),Inputs!$D$8+SQRT(B1654*(Inputs!$F$8-Inputs!$D$8)*(Inputs!$E$8-Inputs!$D$8)),Inputs!$F$8-SQRT((1-B1654)*(Inputs!$F$8-Inputs!$D$8)*(Inputs!$F$8-Inputs!$E$8))),0)</f>
        <v>27</v>
      </c>
      <c r="D1654" s="81" t="n">
        <f aca="true">RAND()</f>
        <v>0.632766096460967</v>
      </c>
      <c r="E1654" s="83" t="n">
        <f aca="false">IF(D1654&lt;(Inputs!$E$10-Inputs!$D$10)/(Inputs!$F$10-Inputs!$D$10),Inputs!$D$10+SQRT(D1654*(Inputs!$F$10-Inputs!$D$10)*(Inputs!$E$10-Inputs!$D$10)),Inputs!$F$10-SQRT((1-D1654)*(Inputs!$F$10-Inputs!$D$10)*(Inputs!$F$10-Inputs!$E$10)))</f>
        <v>0.0950380206638089</v>
      </c>
      <c r="F1654" s="81" t="n">
        <f aca="true">RAND()</f>
        <v>0.956349225420483</v>
      </c>
      <c r="G1654" s="83" t="n">
        <f aca="false">IF(F1654&lt;(Inputs!$E$15-Inputs!$D$15)/(Inputs!$F$15-Inputs!$D$15),Inputs!$D$15+SQRT(F1654*(Inputs!$F$15-Inputs!$D$15)*(Inputs!$E$15-Inputs!$D$15)),Inputs!$F$15-SQRT((1-F1654)*(Inputs!$F$15-Inputs!$D$15)*(Inputs!$F$15-Inputs!$E$15)))</f>
        <v>0.770453164440327</v>
      </c>
      <c r="H1654" s="81" t="n">
        <f aca="true">RAND()</f>
        <v>0.765043811394875</v>
      </c>
      <c r="I1654" s="82" t="n">
        <f aca="false">ROUND(IF(H1654&lt;(Inputs!$E$17-Inputs!$D$17)/(Inputs!$F$17-Inputs!$D$17),Inputs!$D$17+SQRT(H1654*(Inputs!$F$17-Inputs!$D$17)*(Inputs!$E$17-Inputs!$D$17)),Inputs!$F$17-SQRT((1-H1654)*(Inputs!$F$17-Inputs!$D$17)*(Inputs!$F$17-Inputs!$E$17))),0)</f>
        <v>109</v>
      </c>
      <c r="J1654" s="81" t="n">
        <f aca="true">RAND()</f>
        <v>0.469106866423221</v>
      </c>
      <c r="K1654" s="83" t="n">
        <f aca="false">IF(J1654&lt;(Inputs!$E$18-Inputs!$D$18)/(Inputs!$F$18-Inputs!$D$18),Inputs!$D$18+SQRT(J1654*(Inputs!$F$18-Inputs!$D$18)*(Inputs!$E$18-Inputs!$D$18)),Inputs!$F$18-SQRT((1-J1654)*(Inputs!$F$18-Inputs!$D$18)*(Inputs!$F$18-Inputs!$E$18)))</f>
        <v>1.03447007356757</v>
      </c>
      <c r="L1654" s="81" t="n">
        <f aca="true">RAND()</f>
        <v>0.296913812783537</v>
      </c>
      <c r="M1654" s="83" t="n">
        <f aca="false">IF(L1654&lt;(Inputs!$E$24-Inputs!$D$24)/(Inputs!$F$24-Inputs!$D$24),Inputs!$D$24+SQRT(L1654*(Inputs!$F$24-Inputs!$D$24)*(Inputs!$E$24-Inputs!$D$24)),Inputs!$F$24-SQRT((1-L1654)*(Inputs!$F$24-Inputs!$D$24)*(Inputs!$F$24-Inputs!$E$24)))</f>
        <v>0.78875819858757</v>
      </c>
      <c r="N1654" s="81" t="n">
        <f aca="true">RAND()</f>
        <v>0.0512177344814263</v>
      </c>
      <c r="O1654" s="83" t="n">
        <f aca="false">IF(N1654&lt;(Inputs!$E$26-Inputs!$D$26)/(Inputs!$F$26-Inputs!$D$26),Inputs!$D$26+SQRT(N1654*(Inputs!$F$26-Inputs!$D$26)*(Inputs!$E$26-Inputs!$D$26)),Inputs!$F$26-SQRT((1-N1654)*(Inputs!$F$26-Inputs!$D$26)*(Inputs!$F$26-Inputs!$E$26)))</f>
        <v>0.392318096913386</v>
      </c>
      <c r="P1654" s="81" t="n">
        <f aca="true">RAND()</f>
        <v>0.900630158727867</v>
      </c>
      <c r="Q1654" s="82" t="n">
        <f aca="false">IF(P1654&lt;(Inputs!$E$27-Inputs!$D$27)/(Inputs!$F$27-Inputs!$D$27),Inputs!$D$27+SQRT(P1654*(Inputs!$F$27-Inputs!$D$27)*(Inputs!$E$27-Inputs!$D$27)),Inputs!$F$27-SQRT((1-P1654)*(Inputs!$F$27-Inputs!$D$27)*(Inputs!$F$27-Inputs!$E$27)))</f>
        <v>122.700296530164</v>
      </c>
      <c r="R1654" s="81" t="n">
        <f aca="true">RAND()</f>
        <v>0.379466406624595</v>
      </c>
      <c r="S1654" s="82" t="n">
        <f aca="false">IF(R1654&lt;(Inputs!$E$29-Inputs!$D$29)/(Inputs!$F$29-Inputs!$D$29),Inputs!$D$29+SQRT(R1654*(Inputs!$F$29-Inputs!$D$29)*(Inputs!$E$29-Inputs!$D$29)),Inputs!$F$29-SQRT((1-R1654)*(Inputs!$F$29-Inputs!$D$29)*(Inputs!$F$29-Inputs!$E$29)))</f>
        <v>6.01838727517142</v>
      </c>
      <c r="T1654" s="68" t="n">
        <f aca="false">Inputs!$E$9*(1+E1654)+Inputs!$E$5*C1654*(Inputs!$E$11*Inputs!$E$14*(G1654*I1654/Inputs!$E$16+(1-G1654))*K1654+Inputs!$E$23*M1654)*(1+O1654)+Inputs!$E$5*(Q1654+S1654)</f>
        <v>6156.77306053973</v>
      </c>
    </row>
    <row r="1655" customFormat="false" ht="15" hidden="false" customHeight="false" outlineLevel="0" collapsed="false">
      <c r="A1655" s="1" t="n">
        <v>1651</v>
      </c>
      <c r="B1655" s="81" t="n">
        <f aca="true">RAND()</f>
        <v>0.0897241615304677</v>
      </c>
      <c r="C1655" s="82" t="n">
        <f aca="false">ROUND(IF(B1655&lt;(Inputs!$E$8-Inputs!$D$8)/(Inputs!$F$8-Inputs!$D$8),Inputs!$D$8+SQRT(B1655*(Inputs!$F$8-Inputs!$D$8)*(Inputs!$E$8-Inputs!$D$8)),Inputs!$F$8-SQRT((1-B1655)*(Inputs!$F$8-Inputs!$D$8)*(Inputs!$F$8-Inputs!$E$8))),0)</f>
        <v>22</v>
      </c>
      <c r="D1655" s="81" t="n">
        <f aca="true">RAND()</f>
        <v>0.568286880836419</v>
      </c>
      <c r="E1655" s="83" t="n">
        <f aca="false">IF(D1655&lt;(Inputs!$E$10-Inputs!$D$10)/(Inputs!$F$10-Inputs!$D$10),Inputs!$D$10+SQRT(D1655*(Inputs!$F$10-Inputs!$D$10)*(Inputs!$E$10-Inputs!$D$10)),Inputs!$F$10-SQRT((1-D1655)*(Inputs!$F$10-Inputs!$D$10)*(Inputs!$F$10-Inputs!$E$10)))</f>
        <v>0.0861958103806919</v>
      </c>
      <c r="F1655" s="81" t="n">
        <f aca="true">RAND()</f>
        <v>0.693722236472504</v>
      </c>
      <c r="G1655" s="83" t="n">
        <f aca="false">IF(F1655&lt;(Inputs!$E$15-Inputs!$D$15)/(Inputs!$F$15-Inputs!$D$15),Inputs!$D$15+SQRT(F1655*(Inputs!$F$15-Inputs!$D$15)*(Inputs!$E$15-Inputs!$D$15)),Inputs!$F$15-SQRT((1-F1655)*(Inputs!$F$15-Inputs!$D$15)*(Inputs!$F$15-Inputs!$E$15)))</f>
        <v>0.721734073374489</v>
      </c>
      <c r="H1655" s="81" t="n">
        <f aca="true">RAND()</f>
        <v>0.132320506565458</v>
      </c>
      <c r="I1655" s="82" t="n">
        <f aca="false">ROUND(IF(H1655&lt;(Inputs!$E$17-Inputs!$D$17)/(Inputs!$F$17-Inputs!$D$17),Inputs!$D$17+SQRT(H1655*(Inputs!$F$17-Inputs!$D$17)*(Inputs!$E$17-Inputs!$D$17)),Inputs!$F$17-SQRT((1-H1655)*(Inputs!$F$17-Inputs!$D$17)*(Inputs!$F$17-Inputs!$E$17))),0)</f>
        <v>103</v>
      </c>
      <c r="J1655" s="81" t="n">
        <f aca="true">RAND()</f>
        <v>0.159136669995728</v>
      </c>
      <c r="K1655" s="83" t="n">
        <f aca="false">IF(J1655&lt;(Inputs!$E$18-Inputs!$D$18)/(Inputs!$F$18-Inputs!$D$18),Inputs!$D$18+SQRT(J1655*(Inputs!$F$18-Inputs!$D$18)*(Inputs!$E$18-Inputs!$D$18)),Inputs!$F$18-SQRT((1-J1655)*(Inputs!$F$18-Inputs!$D$18)*(Inputs!$F$18-Inputs!$E$18)))</f>
        <v>0.974630981836302</v>
      </c>
      <c r="L1655" s="81" t="n">
        <f aca="true">RAND()</f>
        <v>0.00845885012908601</v>
      </c>
      <c r="M1655" s="83" t="n">
        <f aca="false">IF(L1655&lt;(Inputs!$E$24-Inputs!$D$24)/(Inputs!$F$24-Inputs!$D$24),Inputs!$D$24+SQRT(L1655*(Inputs!$F$24-Inputs!$D$24)*(Inputs!$E$24-Inputs!$D$24)),Inputs!$F$24-SQRT((1-L1655)*(Inputs!$F$24-Inputs!$D$24)*(Inputs!$F$24-Inputs!$E$24)))</f>
        <v>0.631860037907861</v>
      </c>
      <c r="N1655" s="81" t="n">
        <f aca="true">RAND()</f>
        <v>0.428408070063925</v>
      </c>
      <c r="O1655" s="83" t="n">
        <f aca="false">IF(N1655&lt;(Inputs!$E$26-Inputs!$D$26)/(Inputs!$F$26-Inputs!$D$26),Inputs!$D$26+SQRT(N1655*(Inputs!$F$26-Inputs!$D$26)*(Inputs!$E$26-Inputs!$D$26)),Inputs!$F$26-SQRT((1-N1655)*(Inputs!$F$26-Inputs!$D$26)*(Inputs!$F$26-Inputs!$E$26)))</f>
        <v>0.566996447277182</v>
      </c>
      <c r="P1655" s="81" t="n">
        <f aca="true">RAND()</f>
        <v>0.353607836225451</v>
      </c>
      <c r="Q1655" s="82" t="n">
        <f aca="false">IF(P1655&lt;(Inputs!$E$27-Inputs!$D$27)/(Inputs!$F$27-Inputs!$D$27),Inputs!$D$27+SQRT(P1655*(Inputs!$F$27-Inputs!$D$27)*(Inputs!$E$27-Inputs!$D$27)),Inputs!$F$27-SQRT((1-P1655)*(Inputs!$F$27-Inputs!$D$27)*(Inputs!$F$27-Inputs!$E$27)))</f>
        <v>80.3728413023401</v>
      </c>
      <c r="R1655" s="81" t="n">
        <f aca="true">RAND()</f>
        <v>0.515083254725686</v>
      </c>
      <c r="S1655" s="82" t="n">
        <f aca="false">IF(R1655&lt;(Inputs!$E$29-Inputs!$D$29)/(Inputs!$F$29-Inputs!$D$29),Inputs!$D$29+SQRT(R1655*(Inputs!$F$29-Inputs!$D$29)*(Inputs!$E$29-Inputs!$D$29)),Inputs!$F$29-SQRT((1-R1655)*(Inputs!$F$29-Inputs!$D$29)*(Inputs!$F$29-Inputs!$E$29)))</f>
        <v>7.06027853853418</v>
      </c>
      <c r="T1655" s="68" t="n">
        <f aca="false">Inputs!$E$9*(1+E1655)+Inputs!$E$5*C1655*(Inputs!$E$11*Inputs!$E$14*(G1655*I1655/Inputs!$E$16+(1-G1655))*K1655+Inputs!$E$23*M1655)*(1+O1655)+Inputs!$E$5*(Q1655+S1655)</f>
        <v>5363.17753356061</v>
      </c>
    </row>
    <row r="1656" customFormat="false" ht="15" hidden="false" customHeight="false" outlineLevel="0" collapsed="false">
      <c r="A1656" s="1" t="n">
        <v>1652</v>
      </c>
      <c r="B1656" s="81" t="n">
        <f aca="true">RAND()</f>
        <v>0.0645713889434087</v>
      </c>
      <c r="C1656" s="82" t="n">
        <f aca="false">ROUND(IF(B1656&lt;(Inputs!$E$8-Inputs!$D$8)/(Inputs!$F$8-Inputs!$D$8),Inputs!$D$8+SQRT(B1656*(Inputs!$F$8-Inputs!$D$8)*(Inputs!$E$8-Inputs!$D$8)),Inputs!$F$8-SQRT((1-B1656)*(Inputs!$F$8-Inputs!$D$8)*(Inputs!$F$8-Inputs!$E$8))),0)</f>
        <v>22</v>
      </c>
      <c r="D1656" s="81" t="n">
        <f aca="true">RAND()</f>
        <v>0.903911762833285</v>
      </c>
      <c r="E1656" s="83" t="n">
        <f aca="false">IF(D1656&lt;(Inputs!$E$10-Inputs!$D$10)/(Inputs!$F$10-Inputs!$D$10),Inputs!$D$10+SQRT(D1656*(Inputs!$F$10-Inputs!$D$10)*(Inputs!$E$10-Inputs!$D$10)),Inputs!$F$10-SQRT((1-D1656)*(Inputs!$F$10-Inputs!$D$10)*(Inputs!$F$10-Inputs!$E$10)))</f>
        <v>0.146309711166716</v>
      </c>
      <c r="F1656" s="81" t="n">
        <f aca="true">RAND()</f>
        <v>0.805434328540644</v>
      </c>
      <c r="G1656" s="83" t="n">
        <f aca="false">IF(F1656&lt;(Inputs!$E$15-Inputs!$D$15)/(Inputs!$F$15-Inputs!$D$15),Inputs!$D$15+SQRT(F1656*(Inputs!$F$15-Inputs!$D$15)*(Inputs!$E$15-Inputs!$D$15)),Inputs!$F$15-SQRT((1-F1656)*(Inputs!$F$15-Inputs!$D$15)*(Inputs!$F$15-Inputs!$E$15)))</f>
        <v>0.737619607013204</v>
      </c>
      <c r="H1656" s="81" t="n">
        <f aca="true">RAND()</f>
        <v>0.560914978120486</v>
      </c>
      <c r="I1656" s="82" t="n">
        <f aca="false">ROUND(IF(H1656&lt;(Inputs!$E$17-Inputs!$D$17)/(Inputs!$F$17-Inputs!$D$17),Inputs!$D$17+SQRT(H1656*(Inputs!$F$17-Inputs!$D$17)*(Inputs!$E$17-Inputs!$D$17)),Inputs!$F$17-SQRT((1-H1656)*(Inputs!$F$17-Inputs!$D$17)*(Inputs!$F$17-Inputs!$E$17))),0)</f>
        <v>107</v>
      </c>
      <c r="J1656" s="81" t="n">
        <f aca="true">RAND()</f>
        <v>0.933952944663091</v>
      </c>
      <c r="K1656" s="83" t="n">
        <f aca="false">IF(J1656&lt;(Inputs!$E$18-Inputs!$D$18)/(Inputs!$F$18-Inputs!$D$18),Inputs!$D$18+SQRT(J1656*(Inputs!$F$18-Inputs!$D$18)*(Inputs!$E$18-Inputs!$D$18)),Inputs!$F$18-SQRT((1-J1656)*(Inputs!$F$18-Inputs!$D$18)*(Inputs!$F$18-Inputs!$E$18)))</f>
        <v>1.17397949393763</v>
      </c>
      <c r="L1656" s="81" t="n">
        <f aca="true">RAND()</f>
        <v>0.839016337784047</v>
      </c>
      <c r="M1656" s="83" t="n">
        <f aca="false">IF(L1656&lt;(Inputs!$E$24-Inputs!$D$24)/(Inputs!$F$24-Inputs!$D$24),Inputs!$D$24+SQRT(L1656*(Inputs!$F$24-Inputs!$D$24)*(Inputs!$E$24-Inputs!$D$24)),Inputs!$F$24-SQRT((1-L1656)*(Inputs!$F$24-Inputs!$D$24)*(Inputs!$F$24-Inputs!$E$24)))</f>
        <v>1.00343937593753</v>
      </c>
      <c r="N1656" s="81" t="n">
        <f aca="true">RAND()</f>
        <v>0.809641922154946</v>
      </c>
      <c r="O1656" s="83" t="n">
        <f aca="false">IF(N1656&lt;(Inputs!$E$26-Inputs!$D$26)/(Inputs!$F$26-Inputs!$D$26),Inputs!$D$26+SQRT(N1656*(Inputs!$F$26-Inputs!$D$26)*(Inputs!$E$26-Inputs!$D$26)),Inputs!$F$26-SQRT((1-N1656)*(Inputs!$F$26-Inputs!$D$26)*(Inputs!$F$26-Inputs!$E$26)))</f>
        <v>0.679297334439302</v>
      </c>
      <c r="P1656" s="81" t="n">
        <f aca="true">RAND()</f>
        <v>0.375172154079771</v>
      </c>
      <c r="Q1656" s="82" t="n">
        <f aca="false">IF(P1656&lt;(Inputs!$E$27-Inputs!$D$27)/(Inputs!$F$27-Inputs!$D$27),Inputs!$D$27+SQRT(P1656*(Inputs!$F$27-Inputs!$D$27)*(Inputs!$E$27-Inputs!$D$27)),Inputs!$F$27-SQRT((1-P1656)*(Inputs!$F$27-Inputs!$D$27)*(Inputs!$F$27-Inputs!$E$27)))</f>
        <v>81.5441102285441</v>
      </c>
      <c r="R1656" s="81" t="n">
        <f aca="true">RAND()</f>
        <v>0.629262330952999</v>
      </c>
      <c r="S1656" s="82" t="n">
        <f aca="false">IF(R1656&lt;(Inputs!$E$29-Inputs!$D$29)/(Inputs!$F$29-Inputs!$D$29),Inputs!$D$29+SQRT(R1656*(Inputs!$F$29-Inputs!$D$29)*(Inputs!$E$29-Inputs!$D$29)),Inputs!$F$29-SQRT((1-R1656)*(Inputs!$F$29-Inputs!$D$29)*(Inputs!$F$29-Inputs!$E$29)))</f>
        <v>8.05767351847307</v>
      </c>
      <c r="T1656" s="68" t="n">
        <f aca="false">Inputs!$E$9*(1+E1656)+Inputs!$E$5*C1656*(Inputs!$E$11*Inputs!$E$14*(G1656*I1656/Inputs!$E$16+(1-G1656))*K1656+Inputs!$E$23*M1656)*(1+O1656)+Inputs!$E$5*(Q1656+S1656)</f>
        <v>6592.95463187666</v>
      </c>
    </row>
    <row r="1657" customFormat="false" ht="15" hidden="false" customHeight="false" outlineLevel="0" collapsed="false">
      <c r="A1657" s="1" t="n">
        <v>1653</v>
      </c>
      <c r="B1657" s="81" t="n">
        <f aca="true">RAND()</f>
        <v>0.836902695081306</v>
      </c>
      <c r="C1657" s="82" t="n">
        <f aca="false">ROUND(IF(B1657&lt;(Inputs!$E$8-Inputs!$D$8)/(Inputs!$F$8-Inputs!$D$8),Inputs!$D$8+SQRT(B1657*(Inputs!$F$8-Inputs!$D$8)*(Inputs!$E$8-Inputs!$D$8)),Inputs!$F$8-SQRT((1-B1657)*(Inputs!$F$8-Inputs!$D$8)*(Inputs!$F$8-Inputs!$E$8))),0)</f>
        <v>27</v>
      </c>
      <c r="D1657" s="81" t="n">
        <f aca="true">RAND()</f>
        <v>0.991233688017975</v>
      </c>
      <c r="E1657" s="83" t="n">
        <f aca="false">IF(D1657&lt;(Inputs!$E$10-Inputs!$D$10)/(Inputs!$F$10-Inputs!$D$10),Inputs!$D$10+SQRT(D1657*(Inputs!$F$10-Inputs!$D$10)*(Inputs!$E$10-Inputs!$D$10)),Inputs!$F$10-SQRT((1-D1657)*(Inputs!$F$10-Inputs!$D$10)*(Inputs!$F$10-Inputs!$E$10)))</f>
        <v>0.18378305332497</v>
      </c>
      <c r="F1657" s="81" t="n">
        <f aca="true">RAND()</f>
        <v>0.967145331848591</v>
      </c>
      <c r="G1657" s="83" t="n">
        <f aca="false">IF(F1657&lt;(Inputs!$E$15-Inputs!$D$15)/(Inputs!$F$15-Inputs!$D$15),Inputs!$D$15+SQRT(F1657*(Inputs!$F$15-Inputs!$D$15)*(Inputs!$E$15-Inputs!$D$15)),Inputs!$F$15-SQRT((1-F1657)*(Inputs!$F$15-Inputs!$D$15)*(Inputs!$F$15-Inputs!$E$15)))</f>
        <v>0.774366167609423</v>
      </c>
      <c r="H1657" s="81" t="n">
        <f aca="true">RAND()</f>
        <v>0.70512287825224</v>
      </c>
      <c r="I1657" s="82" t="n">
        <f aca="false">ROUND(IF(H1657&lt;(Inputs!$E$17-Inputs!$D$17)/(Inputs!$F$17-Inputs!$D$17),Inputs!$D$17+SQRT(H1657*(Inputs!$F$17-Inputs!$D$17)*(Inputs!$E$17-Inputs!$D$17)),Inputs!$F$17-SQRT((1-H1657)*(Inputs!$F$17-Inputs!$D$17)*(Inputs!$F$17-Inputs!$E$17))),0)</f>
        <v>108</v>
      </c>
      <c r="J1657" s="81" t="n">
        <f aca="true">RAND()</f>
        <v>0.394877137994774</v>
      </c>
      <c r="K1657" s="83" t="n">
        <f aca="false">IF(J1657&lt;(Inputs!$E$18-Inputs!$D$18)/(Inputs!$F$18-Inputs!$D$18),Inputs!$D$18+SQRT(J1657*(Inputs!$F$18-Inputs!$D$18)*(Inputs!$E$18-Inputs!$D$18)),Inputs!$F$18-SQRT((1-J1657)*(Inputs!$F$18-Inputs!$D$18)*(Inputs!$F$18-Inputs!$E$18)))</f>
        <v>1.01989513167806</v>
      </c>
      <c r="L1657" s="81" t="n">
        <f aca="true">RAND()</f>
        <v>0.0404140938558094</v>
      </c>
      <c r="M1657" s="83" t="n">
        <f aca="false">IF(L1657&lt;(Inputs!$E$24-Inputs!$D$24)/(Inputs!$F$24-Inputs!$D$24),Inputs!$D$24+SQRT(L1657*(Inputs!$F$24-Inputs!$D$24)*(Inputs!$E$24-Inputs!$D$24)),Inputs!$F$24-SQRT((1-L1657)*(Inputs!$F$24-Inputs!$D$24)*(Inputs!$F$24-Inputs!$E$24)))</f>
        <v>0.669639724745989</v>
      </c>
      <c r="N1657" s="81" t="n">
        <f aca="true">RAND()</f>
        <v>0.107124081893102</v>
      </c>
      <c r="O1657" s="83" t="n">
        <f aca="false">IF(N1657&lt;(Inputs!$E$26-Inputs!$D$26)/(Inputs!$F$26-Inputs!$D$26),Inputs!$D$26+SQRT(N1657*(Inputs!$F$26-Inputs!$D$26)*(Inputs!$E$26-Inputs!$D$26)),Inputs!$F$26-SQRT((1-N1657)*(Inputs!$F$26-Inputs!$D$26)*(Inputs!$F$26-Inputs!$E$26)))</f>
        <v>0.433511974096004</v>
      </c>
      <c r="P1657" s="81" t="n">
        <f aca="true">RAND()</f>
        <v>0.455122374312364</v>
      </c>
      <c r="Q1657" s="82" t="n">
        <f aca="false">IF(P1657&lt;(Inputs!$E$27-Inputs!$D$27)/(Inputs!$F$27-Inputs!$D$27),Inputs!$D$27+SQRT(P1657*(Inputs!$F$27-Inputs!$D$27)*(Inputs!$E$27-Inputs!$D$27)),Inputs!$F$27-SQRT((1-P1657)*(Inputs!$F$27-Inputs!$D$27)*(Inputs!$F$27-Inputs!$E$27)))</f>
        <v>86.0736189616738</v>
      </c>
      <c r="R1657" s="81" t="n">
        <f aca="true">RAND()</f>
        <v>0.874949162903061</v>
      </c>
      <c r="S1657" s="82" t="n">
        <f aca="false">IF(R1657&lt;(Inputs!$E$29-Inputs!$D$29)/(Inputs!$F$29-Inputs!$D$29),Inputs!$D$29+SQRT(R1657*(Inputs!$F$29-Inputs!$D$29)*(Inputs!$E$29-Inputs!$D$29)),Inputs!$F$29-SQRT((1-R1657)*(Inputs!$F$29-Inputs!$D$29)*(Inputs!$F$29-Inputs!$E$29)))</f>
        <v>10.9680514856211</v>
      </c>
      <c r="T1657" s="68" t="n">
        <f aca="false">Inputs!$E$9*(1+E1657)+Inputs!$E$5*C1657*(Inputs!$E$11*Inputs!$E$14*(G1657*I1657/Inputs!$E$16+(1-G1657))*K1657+Inputs!$E$23*M1657)*(1+O1657)+Inputs!$E$5*(Q1657+S1657)</f>
        <v>6073.79109501408</v>
      </c>
    </row>
    <row r="1658" customFormat="false" ht="15" hidden="false" customHeight="false" outlineLevel="0" collapsed="false">
      <c r="A1658" s="1" t="n">
        <v>1654</v>
      </c>
      <c r="B1658" s="81" t="n">
        <f aca="true">RAND()</f>
        <v>0.0996958268943165</v>
      </c>
      <c r="C1658" s="82" t="n">
        <f aca="false">ROUND(IF(B1658&lt;(Inputs!$E$8-Inputs!$D$8)/(Inputs!$F$8-Inputs!$D$8),Inputs!$D$8+SQRT(B1658*(Inputs!$F$8-Inputs!$D$8)*(Inputs!$E$8-Inputs!$D$8)),Inputs!$F$8-SQRT((1-B1658)*(Inputs!$F$8-Inputs!$D$8)*(Inputs!$F$8-Inputs!$E$8))),0)</f>
        <v>22</v>
      </c>
      <c r="D1658" s="81" t="n">
        <f aca="true">RAND()</f>
        <v>0.796294390744826</v>
      </c>
      <c r="E1658" s="83" t="n">
        <f aca="false">IF(D1658&lt;(Inputs!$E$10-Inputs!$D$10)/(Inputs!$F$10-Inputs!$D$10),Inputs!$D$10+SQRT(D1658*(Inputs!$F$10-Inputs!$D$10)*(Inputs!$E$10-Inputs!$D$10)),Inputs!$F$10-SQRT((1-D1658)*(Inputs!$F$10-Inputs!$D$10)*(Inputs!$F$10-Inputs!$E$10)))</f>
        <v>0.121826038365353</v>
      </c>
      <c r="F1658" s="81" t="n">
        <f aca="true">RAND()</f>
        <v>0.728661004306402</v>
      </c>
      <c r="G1658" s="83" t="n">
        <f aca="false">IF(F1658&lt;(Inputs!$E$15-Inputs!$D$15)/(Inputs!$F$15-Inputs!$D$15),Inputs!$D$15+SQRT(F1658*(Inputs!$F$15-Inputs!$D$15)*(Inputs!$E$15-Inputs!$D$15)),Inputs!$F$15-SQRT((1-F1658)*(Inputs!$F$15-Inputs!$D$15)*(Inputs!$F$15-Inputs!$E$15)))</f>
        <v>0.726333318834958</v>
      </c>
      <c r="H1658" s="81" t="n">
        <f aca="true">RAND()</f>
        <v>0.725815725935943</v>
      </c>
      <c r="I1658" s="82" t="n">
        <f aca="false">ROUND(IF(H1658&lt;(Inputs!$E$17-Inputs!$D$17)/(Inputs!$F$17-Inputs!$D$17),Inputs!$D$17+SQRT(H1658*(Inputs!$F$17-Inputs!$D$17)*(Inputs!$E$17-Inputs!$D$17)),Inputs!$F$17-SQRT((1-H1658)*(Inputs!$F$17-Inputs!$D$17)*(Inputs!$F$17-Inputs!$E$17))),0)</f>
        <v>109</v>
      </c>
      <c r="J1658" s="81" t="n">
        <f aca="true">RAND()</f>
        <v>0.602799450336917</v>
      </c>
      <c r="K1658" s="83" t="n">
        <f aca="false">IF(J1658&lt;(Inputs!$E$18-Inputs!$D$18)/(Inputs!$F$18-Inputs!$D$18),Inputs!$D$18+SQRT(J1658*(Inputs!$F$18-Inputs!$D$18)*(Inputs!$E$18-Inputs!$D$18)),Inputs!$F$18-SQRT((1-J1658)*(Inputs!$F$18-Inputs!$D$18)*(Inputs!$F$18-Inputs!$E$18)))</f>
        <v>1.06357294162188</v>
      </c>
      <c r="L1658" s="81" t="n">
        <f aca="true">RAND()</f>
        <v>0.24399314280736</v>
      </c>
      <c r="M1658" s="83" t="n">
        <f aca="false">IF(L1658&lt;(Inputs!$E$24-Inputs!$D$24)/(Inputs!$F$24-Inputs!$D$24),Inputs!$D$24+SQRT(L1658*(Inputs!$F$24-Inputs!$D$24)*(Inputs!$E$24-Inputs!$D$24)),Inputs!$F$24-SQRT((1-L1658)*(Inputs!$F$24-Inputs!$D$24)*(Inputs!$F$24-Inputs!$E$24)))</f>
        <v>0.771111592643173</v>
      </c>
      <c r="N1658" s="81" t="n">
        <f aca="true">RAND()</f>
        <v>0.184407769944663</v>
      </c>
      <c r="O1658" s="83" t="n">
        <f aca="false">IF(N1658&lt;(Inputs!$E$26-Inputs!$D$26)/(Inputs!$F$26-Inputs!$D$26),Inputs!$D$26+SQRT(N1658*(Inputs!$F$26-Inputs!$D$26)*(Inputs!$E$26-Inputs!$D$26)),Inputs!$F$26-SQRT((1-N1658)*(Inputs!$F$26-Inputs!$D$26)*(Inputs!$F$26-Inputs!$E$26)))</f>
        <v>0.475172637471701</v>
      </c>
      <c r="P1658" s="81" t="n">
        <f aca="true">RAND()</f>
        <v>0.983526718571637</v>
      </c>
      <c r="Q1658" s="82" t="n">
        <f aca="false">IF(P1658&lt;(Inputs!$E$27-Inputs!$D$27)/(Inputs!$F$27-Inputs!$D$27),Inputs!$D$27+SQRT(P1658*(Inputs!$F$27-Inputs!$D$27)*(Inputs!$E$27-Inputs!$D$27)),Inputs!$F$27-SQRT((1-P1658)*(Inputs!$F$27-Inputs!$D$27)*(Inputs!$F$27-Inputs!$E$27)))</f>
        <v>138.884712747179</v>
      </c>
      <c r="R1658" s="81" t="n">
        <f aca="true">RAND()</f>
        <v>0.146563181231448</v>
      </c>
      <c r="S1658" s="82" t="n">
        <f aca="false">IF(R1658&lt;(Inputs!$E$29-Inputs!$D$29)/(Inputs!$F$29-Inputs!$D$29),Inputs!$D$29+SQRT(R1658*(Inputs!$F$29-Inputs!$D$29)*(Inputs!$E$29-Inputs!$D$29)),Inputs!$F$29-SQRT((1-R1658)*(Inputs!$F$29-Inputs!$D$29)*(Inputs!$F$29-Inputs!$E$29)))</f>
        <v>4.39080824576679</v>
      </c>
      <c r="T1658" s="68" t="n">
        <f aca="false">Inputs!$E$9*(1+E1658)+Inputs!$E$5*C1658*(Inputs!$E$11*Inputs!$E$14*(G1658*I1658/Inputs!$E$16+(1-G1658))*K1658+Inputs!$E$23*M1658)*(1+O1658)+Inputs!$E$5*(Q1658+S1658)</f>
        <v>5941.64901103948</v>
      </c>
    </row>
    <row r="1659" customFormat="false" ht="15" hidden="false" customHeight="false" outlineLevel="0" collapsed="false">
      <c r="A1659" s="1" t="n">
        <v>1655</v>
      </c>
      <c r="B1659" s="81" t="n">
        <f aca="true">RAND()</f>
        <v>0.912926536894634</v>
      </c>
      <c r="C1659" s="82" t="n">
        <f aca="false">ROUND(IF(B1659&lt;(Inputs!$E$8-Inputs!$D$8)/(Inputs!$F$8-Inputs!$D$8),Inputs!$D$8+SQRT(B1659*(Inputs!$F$8-Inputs!$D$8)*(Inputs!$E$8-Inputs!$D$8)),Inputs!$F$8-SQRT((1-B1659)*(Inputs!$F$8-Inputs!$D$8)*(Inputs!$F$8-Inputs!$E$8))),0)</f>
        <v>28</v>
      </c>
      <c r="D1659" s="81" t="n">
        <f aca="true">RAND()</f>
        <v>0.501791350169411</v>
      </c>
      <c r="E1659" s="83" t="n">
        <f aca="false">IF(D1659&lt;(Inputs!$E$10-Inputs!$D$10)/(Inputs!$F$10-Inputs!$D$10),Inputs!$D$10+SQRT(D1659*(Inputs!$F$10-Inputs!$D$10)*(Inputs!$E$10-Inputs!$D$10)),Inputs!$F$10-SQRT((1-D1659)*(Inputs!$F$10-Inputs!$D$10)*(Inputs!$F$10-Inputs!$E$10)))</f>
        <v>0.0777451044132887</v>
      </c>
      <c r="F1659" s="81" t="n">
        <f aca="true">RAND()</f>
        <v>0.743578546469818</v>
      </c>
      <c r="G1659" s="83" t="n">
        <f aca="false">IF(F1659&lt;(Inputs!$E$15-Inputs!$D$15)/(Inputs!$F$15-Inputs!$D$15),Inputs!$D$15+SQRT(F1659*(Inputs!$F$15-Inputs!$D$15)*(Inputs!$E$15-Inputs!$D$15)),Inputs!$F$15-SQRT((1-F1659)*(Inputs!$F$15-Inputs!$D$15)*(Inputs!$F$15-Inputs!$E$15)))</f>
        <v>0.728386949020422</v>
      </c>
      <c r="H1659" s="81" t="n">
        <f aca="true">RAND()</f>
        <v>0.307281127571952</v>
      </c>
      <c r="I1659" s="82" t="n">
        <f aca="false">ROUND(IF(H1659&lt;(Inputs!$E$17-Inputs!$D$17)/(Inputs!$F$17-Inputs!$D$17),Inputs!$D$17+SQRT(H1659*(Inputs!$F$17-Inputs!$D$17)*(Inputs!$E$17-Inputs!$D$17)),Inputs!$F$17-SQRT((1-H1659)*(Inputs!$F$17-Inputs!$D$17)*(Inputs!$F$17-Inputs!$E$17))),0)</f>
        <v>105</v>
      </c>
      <c r="J1659" s="81" t="n">
        <f aca="true">RAND()</f>
        <v>0.702383724621438</v>
      </c>
      <c r="K1659" s="83" t="n">
        <f aca="false">IF(J1659&lt;(Inputs!$E$18-Inputs!$D$18)/(Inputs!$F$18-Inputs!$D$18),Inputs!$D$18+SQRT(J1659*(Inputs!$F$18-Inputs!$D$18)*(Inputs!$E$18-Inputs!$D$18)),Inputs!$F$18-SQRT((1-J1659)*(Inputs!$F$18-Inputs!$D$18)*(Inputs!$F$18-Inputs!$E$18)))</f>
        <v>1.08862644548866</v>
      </c>
      <c r="L1659" s="81" t="n">
        <f aca="true">RAND()</f>
        <v>0.458489512235968</v>
      </c>
      <c r="M1659" s="83" t="n">
        <f aca="false">IF(L1659&lt;(Inputs!$E$24-Inputs!$D$24)/(Inputs!$F$24-Inputs!$D$24),Inputs!$D$24+SQRT(L1659*(Inputs!$F$24-Inputs!$D$24)*(Inputs!$E$24-Inputs!$D$24)),Inputs!$F$24-SQRT((1-L1659)*(Inputs!$F$24-Inputs!$D$24)*(Inputs!$F$24-Inputs!$E$24)))</f>
        <v>0.839496855681718</v>
      </c>
      <c r="N1659" s="81" t="n">
        <f aca="true">RAND()</f>
        <v>0.996873582475885</v>
      </c>
      <c r="O1659" s="83" t="n">
        <f aca="false">IF(N1659&lt;(Inputs!$E$26-Inputs!$D$26)/(Inputs!$F$26-Inputs!$D$26),Inputs!$D$26+SQRT(N1659*(Inputs!$F$26-Inputs!$D$26)*(Inputs!$E$26-Inputs!$D$26)),Inputs!$F$26-SQRT((1-N1659)*(Inputs!$F$26-Inputs!$D$26)*(Inputs!$F$26-Inputs!$E$26)))</f>
        <v>0.801968155321545</v>
      </c>
      <c r="P1659" s="81" t="n">
        <f aca="true">RAND()</f>
        <v>0.617415126821358</v>
      </c>
      <c r="Q1659" s="82" t="n">
        <f aca="false">IF(P1659&lt;(Inputs!$E$27-Inputs!$D$27)/(Inputs!$F$27-Inputs!$D$27),Inputs!$D$27+SQRT(P1659*(Inputs!$F$27-Inputs!$D$27)*(Inputs!$E$27-Inputs!$D$27)),Inputs!$F$27-SQRT((1-P1659)*(Inputs!$F$27-Inputs!$D$27)*(Inputs!$F$27-Inputs!$E$27)))</f>
        <v>96.4333448044419</v>
      </c>
      <c r="R1659" s="81" t="n">
        <f aca="true">RAND()</f>
        <v>0.898337514374392</v>
      </c>
      <c r="S1659" s="82" t="n">
        <f aca="false">IF(R1659&lt;(Inputs!$E$29-Inputs!$D$29)/(Inputs!$F$29-Inputs!$D$29),Inputs!$D$29+SQRT(R1659*(Inputs!$F$29-Inputs!$D$29)*(Inputs!$E$29-Inputs!$D$29)),Inputs!$F$29-SQRT((1-R1659)*(Inputs!$F$29-Inputs!$D$29)*(Inputs!$F$29-Inputs!$E$29)))</f>
        <v>11.364601379308</v>
      </c>
      <c r="T1659" s="68" t="n">
        <f aca="false">Inputs!$E$9*(1+E1659)+Inputs!$E$5*C1659*(Inputs!$E$11*Inputs!$E$14*(G1659*I1659/Inputs!$E$16+(1-G1659))*K1659+Inputs!$E$23*M1659)*(1+O1659)+Inputs!$E$5*(Q1659+S1659)</f>
        <v>7317.78915837192</v>
      </c>
    </row>
    <row r="1660" customFormat="false" ht="15" hidden="false" customHeight="false" outlineLevel="0" collapsed="false">
      <c r="A1660" s="1" t="n">
        <v>1656</v>
      </c>
      <c r="B1660" s="81" t="n">
        <f aca="true">RAND()</f>
        <v>0.47522684262688</v>
      </c>
      <c r="C1660" s="82" t="n">
        <f aca="false">ROUND(IF(B1660&lt;(Inputs!$E$8-Inputs!$D$8)/(Inputs!$F$8-Inputs!$D$8),Inputs!$D$8+SQRT(B1660*(Inputs!$F$8-Inputs!$D$8)*(Inputs!$E$8-Inputs!$D$8)),Inputs!$F$8-SQRT((1-B1660)*(Inputs!$F$8-Inputs!$D$8)*(Inputs!$F$8-Inputs!$E$8))),0)</f>
        <v>25</v>
      </c>
      <c r="D1660" s="81" t="n">
        <f aca="true">RAND()</f>
        <v>0.359114195196908</v>
      </c>
      <c r="E1660" s="83" t="n">
        <f aca="false">IF(D1660&lt;(Inputs!$E$10-Inputs!$D$10)/(Inputs!$F$10-Inputs!$D$10),Inputs!$D$10+SQRT(D1660*(Inputs!$F$10-Inputs!$D$10)*(Inputs!$E$10-Inputs!$D$10)),Inputs!$F$10-SQRT((1-D1660)*(Inputs!$F$10-Inputs!$D$10)*(Inputs!$F$10-Inputs!$E$10)))</f>
        <v>0.0613400773687914</v>
      </c>
      <c r="F1660" s="81" t="n">
        <f aca="true">RAND()</f>
        <v>0.0318469608789625</v>
      </c>
      <c r="G1660" s="83" t="n">
        <f aca="false">IF(F1660&lt;(Inputs!$E$15-Inputs!$D$15)/(Inputs!$F$15-Inputs!$D$15),Inputs!$D$15+SQRT(F1660*(Inputs!$F$15-Inputs!$D$15)*(Inputs!$E$15-Inputs!$D$15)),Inputs!$F$15-SQRT((1-F1660)*(Inputs!$F$15-Inputs!$D$15)*(Inputs!$F$15-Inputs!$E$15)))</f>
        <v>0.625237654755925</v>
      </c>
      <c r="H1660" s="81" t="n">
        <f aca="true">RAND()</f>
        <v>0.805801211141323</v>
      </c>
      <c r="I1660" s="82" t="n">
        <f aca="false">ROUND(IF(H1660&lt;(Inputs!$E$17-Inputs!$D$17)/(Inputs!$F$17-Inputs!$D$17),Inputs!$D$17+SQRT(H1660*(Inputs!$F$17-Inputs!$D$17)*(Inputs!$E$17-Inputs!$D$17)),Inputs!$F$17-SQRT((1-H1660)*(Inputs!$F$17-Inputs!$D$17)*(Inputs!$F$17-Inputs!$E$17))),0)</f>
        <v>110</v>
      </c>
      <c r="J1660" s="81" t="n">
        <f aca="true">RAND()</f>
        <v>0.13711002423829</v>
      </c>
      <c r="K1660" s="83" t="n">
        <f aca="false">IF(J1660&lt;(Inputs!$E$18-Inputs!$D$18)/(Inputs!$F$18-Inputs!$D$18),Inputs!$D$18+SQRT(J1660*(Inputs!$F$18-Inputs!$D$18)*(Inputs!$E$18-Inputs!$D$18)),Inputs!$F$18-SQRT((1-J1660)*(Inputs!$F$18-Inputs!$D$18)*(Inputs!$F$18-Inputs!$E$18)))</f>
        <v>0.969273738518577</v>
      </c>
      <c r="L1660" s="81" t="n">
        <f aca="true">RAND()</f>
        <v>0.922184893892651</v>
      </c>
      <c r="M1660" s="83" t="n">
        <f aca="false">IF(L1660&lt;(Inputs!$E$24-Inputs!$D$24)/(Inputs!$F$24-Inputs!$D$24),Inputs!$D$24+SQRT(L1660*(Inputs!$F$24-Inputs!$D$24)*(Inputs!$E$24-Inputs!$D$24)),Inputs!$F$24-SQRT((1-L1660)*(Inputs!$F$24-Inputs!$D$24)*(Inputs!$F$24-Inputs!$E$24)))</f>
        <v>1.06334120787244</v>
      </c>
      <c r="N1660" s="81" t="n">
        <f aca="true">RAND()</f>
        <v>0.0443588780765025</v>
      </c>
      <c r="O1660" s="83" t="n">
        <f aca="false">IF(N1660&lt;(Inputs!$E$26-Inputs!$D$26)/(Inputs!$F$26-Inputs!$D$26),Inputs!$D$26+SQRT(N1660*(Inputs!$F$26-Inputs!$D$26)*(Inputs!$E$26-Inputs!$D$26)),Inputs!$F$26-SQRT((1-N1660)*(Inputs!$F$26-Inputs!$D$26)*(Inputs!$F$26-Inputs!$E$26)))</f>
        <v>0.385914593125557</v>
      </c>
      <c r="P1660" s="81" t="n">
        <f aca="true">RAND()</f>
        <v>0.86912576979646</v>
      </c>
      <c r="Q1660" s="82" t="n">
        <f aca="false">IF(P1660&lt;(Inputs!$E$27-Inputs!$D$27)/(Inputs!$F$27-Inputs!$D$27),Inputs!$D$27+SQRT(P1660*(Inputs!$F$27-Inputs!$D$27)*(Inputs!$E$27-Inputs!$D$27)),Inputs!$F$27-SQRT((1-P1660)*(Inputs!$F$27-Inputs!$D$27)*(Inputs!$F$27-Inputs!$E$27)))</f>
        <v>118.670194278825</v>
      </c>
      <c r="R1660" s="81" t="n">
        <f aca="true">RAND()</f>
        <v>0.416115092706306</v>
      </c>
      <c r="S1660" s="82" t="n">
        <f aca="false">IF(R1660&lt;(Inputs!$E$29-Inputs!$D$29)/(Inputs!$F$29-Inputs!$D$29),Inputs!$D$29+SQRT(R1660*(Inputs!$F$29-Inputs!$D$29)*(Inputs!$E$29-Inputs!$D$29)),Inputs!$F$29-SQRT((1-R1660)*(Inputs!$F$29-Inputs!$D$29)*(Inputs!$F$29-Inputs!$E$29)))</f>
        <v>6.28765026251929</v>
      </c>
      <c r="T1660" s="68" t="n">
        <f aca="false">Inputs!$E$9*(1+E1660)+Inputs!$E$5*C1660*(Inputs!$E$11*Inputs!$E$14*(G1660*I1660/Inputs!$E$16+(1-G1660))*K1660+Inputs!$E$23*M1660)*(1+O1660)+Inputs!$E$5*(Q1660+S1660)</f>
        <v>6203.98829685235</v>
      </c>
    </row>
    <row r="1661" customFormat="false" ht="15" hidden="false" customHeight="false" outlineLevel="0" collapsed="false">
      <c r="A1661" s="1" t="n">
        <v>1657</v>
      </c>
      <c r="B1661" s="81" t="n">
        <f aca="true">RAND()</f>
        <v>0.960119291518847</v>
      </c>
      <c r="C1661" s="82" t="n">
        <f aca="false">ROUND(IF(B1661&lt;(Inputs!$E$8-Inputs!$D$8)/(Inputs!$F$8-Inputs!$D$8),Inputs!$D$8+SQRT(B1661*(Inputs!$F$8-Inputs!$D$8)*(Inputs!$E$8-Inputs!$D$8)),Inputs!$F$8-SQRT((1-B1661)*(Inputs!$F$8-Inputs!$D$8)*(Inputs!$F$8-Inputs!$E$8))),0)</f>
        <v>29</v>
      </c>
      <c r="D1661" s="81" t="n">
        <f aca="true">RAND()</f>
        <v>0.947773286808955</v>
      </c>
      <c r="E1661" s="83" t="n">
        <f aca="false">IF(D1661&lt;(Inputs!$E$10-Inputs!$D$10)/(Inputs!$F$10-Inputs!$D$10),Inputs!$D$10+SQRT(D1661*(Inputs!$F$10-Inputs!$D$10)*(Inputs!$E$10-Inputs!$D$10)),Inputs!$F$10-SQRT((1-D1661)*(Inputs!$F$10-Inputs!$D$10)*(Inputs!$F$10-Inputs!$E$10)))</f>
        <v>0.160417157811353</v>
      </c>
      <c r="F1661" s="81" t="n">
        <f aca="true">RAND()</f>
        <v>0.694035405385597</v>
      </c>
      <c r="G1661" s="83" t="n">
        <f aca="false">IF(F1661&lt;(Inputs!$E$15-Inputs!$D$15)/(Inputs!$F$15-Inputs!$D$15),Inputs!$D$15+SQRT(F1661*(Inputs!$F$15-Inputs!$D$15)*(Inputs!$E$15-Inputs!$D$15)),Inputs!$F$15-SQRT((1-F1661)*(Inputs!$F$15-Inputs!$D$15)*(Inputs!$F$15-Inputs!$E$15)))</f>
        <v>0.72177409705035</v>
      </c>
      <c r="H1661" s="81" t="n">
        <f aca="true">RAND()</f>
        <v>0.430132386984038</v>
      </c>
      <c r="I1661" s="82" t="n">
        <f aca="false">ROUND(IF(H1661&lt;(Inputs!$E$17-Inputs!$D$17)/(Inputs!$F$17-Inputs!$D$17),Inputs!$D$17+SQRT(H1661*(Inputs!$F$17-Inputs!$D$17)*(Inputs!$E$17-Inputs!$D$17)),Inputs!$F$17-SQRT((1-H1661)*(Inputs!$F$17-Inputs!$D$17)*(Inputs!$F$17-Inputs!$E$17))),0)</f>
        <v>106</v>
      </c>
      <c r="J1661" s="81" t="n">
        <f aca="true">RAND()</f>
        <v>0.123648381287123</v>
      </c>
      <c r="K1661" s="83" t="n">
        <f aca="false">IF(J1661&lt;(Inputs!$E$18-Inputs!$D$18)/(Inputs!$F$18-Inputs!$D$18),Inputs!$D$18+SQRT(J1661*(Inputs!$F$18-Inputs!$D$18)*(Inputs!$E$18-Inputs!$D$18)),Inputs!$F$18-SQRT((1-J1661)*(Inputs!$F$18-Inputs!$D$18)*(Inputs!$F$18-Inputs!$E$18)))</f>
        <v>0.965785206126068</v>
      </c>
      <c r="L1661" s="81" t="n">
        <f aca="true">RAND()</f>
        <v>0.952541075065098</v>
      </c>
      <c r="M1661" s="83" t="n">
        <f aca="false">IF(L1661&lt;(Inputs!$E$24-Inputs!$D$24)/(Inputs!$F$24-Inputs!$D$24),Inputs!$D$24+SQRT(L1661*(Inputs!$F$24-Inputs!$D$24)*(Inputs!$E$24-Inputs!$D$24)),Inputs!$F$24-SQRT((1-L1661)*(Inputs!$F$24-Inputs!$D$24)*(Inputs!$F$24-Inputs!$E$24)))</f>
        <v>1.09327539185185</v>
      </c>
      <c r="N1661" s="81" t="n">
        <f aca="true">RAND()</f>
        <v>0.26229194548075</v>
      </c>
      <c r="O1661" s="83" t="n">
        <f aca="false">IF(N1661&lt;(Inputs!$E$26-Inputs!$D$26)/(Inputs!$F$26-Inputs!$D$26),Inputs!$D$26+SQRT(N1661*(Inputs!$F$26-Inputs!$D$26)*(Inputs!$E$26-Inputs!$D$26)),Inputs!$F$26-SQRT((1-N1661)*(Inputs!$F$26-Inputs!$D$26)*(Inputs!$F$26-Inputs!$E$26)))</f>
        <v>0.508914766658551</v>
      </c>
      <c r="P1661" s="81" t="n">
        <f aca="true">RAND()</f>
        <v>0.798137565973785</v>
      </c>
      <c r="Q1661" s="82" t="n">
        <f aca="false">IF(P1661&lt;(Inputs!$E$27-Inputs!$D$27)/(Inputs!$F$27-Inputs!$D$27),Inputs!$D$27+SQRT(P1661*(Inputs!$F$27-Inputs!$D$27)*(Inputs!$E$27-Inputs!$D$27)),Inputs!$F$27-SQRT((1-P1661)*(Inputs!$F$27-Inputs!$D$27)*(Inputs!$F$27-Inputs!$E$27)))</f>
        <v>111.090255009874</v>
      </c>
      <c r="R1661" s="81" t="n">
        <f aca="true">RAND()</f>
        <v>0.798380715833809</v>
      </c>
      <c r="S1661" s="82" t="n">
        <f aca="false">IF(R1661&lt;(Inputs!$E$29-Inputs!$D$29)/(Inputs!$F$29-Inputs!$D$29),Inputs!$D$29+SQRT(R1661*(Inputs!$F$29-Inputs!$D$29)*(Inputs!$E$29-Inputs!$D$29)),Inputs!$F$29-SQRT((1-R1661)*(Inputs!$F$29-Inputs!$D$29)*(Inputs!$F$29-Inputs!$E$29)))</f>
        <v>9.88038019559998</v>
      </c>
      <c r="T1661" s="68" t="n">
        <f aca="false">Inputs!$E$9*(1+E1661)+Inputs!$E$5*C1661*(Inputs!$E$11*Inputs!$E$14*(G1661*I1661/Inputs!$E$16+(1-G1661))*K1661+Inputs!$E$23*M1661)*(1+O1661)+Inputs!$E$5*(Q1661+S1661)</f>
        <v>7114.85405060429</v>
      </c>
    </row>
    <row r="1662" customFormat="false" ht="15" hidden="false" customHeight="false" outlineLevel="0" collapsed="false">
      <c r="A1662" s="1" t="n">
        <v>1658</v>
      </c>
      <c r="B1662" s="81" t="n">
        <f aca="true">RAND()</f>
        <v>0.0212304118519325</v>
      </c>
      <c r="C1662" s="82" t="n">
        <f aca="false">ROUND(IF(B1662&lt;(Inputs!$E$8-Inputs!$D$8)/(Inputs!$F$8-Inputs!$D$8),Inputs!$D$8+SQRT(B1662*(Inputs!$F$8-Inputs!$D$8)*(Inputs!$E$8-Inputs!$D$8)),Inputs!$F$8-SQRT((1-B1662)*(Inputs!$F$8-Inputs!$D$8)*(Inputs!$F$8-Inputs!$E$8))),0)</f>
        <v>21</v>
      </c>
      <c r="D1662" s="81" t="n">
        <f aca="true">RAND()</f>
        <v>0.80213685903562</v>
      </c>
      <c r="E1662" s="83" t="n">
        <f aca="false">IF(D1662&lt;(Inputs!$E$10-Inputs!$D$10)/(Inputs!$F$10-Inputs!$D$10),Inputs!$D$10+SQRT(D1662*(Inputs!$F$10-Inputs!$D$10)*(Inputs!$E$10-Inputs!$D$10)),Inputs!$F$10-SQRT((1-D1662)*(Inputs!$F$10-Inputs!$D$10)*(Inputs!$F$10-Inputs!$E$10)))</f>
        <v>0.122955245286059</v>
      </c>
      <c r="F1662" s="81" t="n">
        <f aca="true">RAND()</f>
        <v>0.546741111606486</v>
      </c>
      <c r="G1662" s="83" t="n">
        <f aca="false">IF(F1662&lt;(Inputs!$E$15-Inputs!$D$15)/(Inputs!$F$15-Inputs!$D$15),Inputs!$D$15+SQRT(F1662*(Inputs!$F$15-Inputs!$D$15)*(Inputs!$E$15-Inputs!$D$15)),Inputs!$F$15-SQRT((1-F1662)*(Inputs!$F$15-Inputs!$D$15)*(Inputs!$F$15-Inputs!$E$15)))</f>
        <v>0.704788772889589</v>
      </c>
      <c r="H1662" s="81" t="n">
        <f aca="true">RAND()</f>
        <v>0.358441584492087</v>
      </c>
      <c r="I1662" s="82" t="n">
        <f aca="false">ROUND(IF(H1662&lt;(Inputs!$E$17-Inputs!$D$17)/(Inputs!$F$17-Inputs!$D$17),Inputs!$D$17+SQRT(H1662*(Inputs!$F$17-Inputs!$D$17)*(Inputs!$E$17-Inputs!$D$17)),Inputs!$F$17-SQRT((1-H1662)*(Inputs!$F$17-Inputs!$D$17)*(Inputs!$F$17-Inputs!$E$17))),0)</f>
        <v>105</v>
      </c>
      <c r="J1662" s="81" t="n">
        <f aca="true">RAND()</f>
        <v>0.192559433892156</v>
      </c>
      <c r="K1662" s="83" t="n">
        <f aca="false">IF(J1662&lt;(Inputs!$E$18-Inputs!$D$18)/(Inputs!$F$18-Inputs!$D$18),Inputs!$D$18+SQRT(J1662*(Inputs!$F$18-Inputs!$D$18)*(Inputs!$E$18-Inputs!$D$18)),Inputs!$F$18-SQRT((1-J1662)*(Inputs!$F$18-Inputs!$D$18)*(Inputs!$F$18-Inputs!$E$18)))</f>
        <v>0.982094946167383</v>
      </c>
      <c r="L1662" s="81" t="n">
        <f aca="true">RAND()</f>
        <v>0.908836002619221</v>
      </c>
      <c r="M1662" s="83" t="n">
        <f aca="false">IF(L1662&lt;(Inputs!$E$24-Inputs!$D$24)/(Inputs!$F$24-Inputs!$D$24),Inputs!$D$24+SQRT(L1662*(Inputs!$F$24-Inputs!$D$24)*(Inputs!$E$24-Inputs!$D$24)),Inputs!$F$24-SQRT((1-L1662)*(Inputs!$F$24-Inputs!$D$24)*(Inputs!$F$24-Inputs!$E$24)))</f>
        <v>1.05208326879157</v>
      </c>
      <c r="N1662" s="81" t="n">
        <f aca="true">RAND()</f>
        <v>0.413257553042017</v>
      </c>
      <c r="O1662" s="83" t="n">
        <f aca="false">IF(N1662&lt;(Inputs!$E$26-Inputs!$D$26)/(Inputs!$F$26-Inputs!$D$26),Inputs!$D$26+SQRT(N1662*(Inputs!$F$26-Inputs!$D$26)*(Inputs!$E$26-Inputs!$D$26)),Inputs!$F$26-SQRT((1-N1662)*(Inputs!$F$26-Inputs!$D$26)*(Inputs!$F$26-Inputs!$E$26)))</f>
        <v>0.562232829421092</v>
      </c>
      <c r="P1662" s="81" t="n">
        <f aca="true">RAND()</f>
        <v>0.657498638953162</v>
      </c>
      <c r="Q1662" s="82" t="n">
        <f aca="false">IF(P1662&lt;(Inputs!$E$27-Inputs!$D$27)/(Inputs!$F$27-Inputs!$D$27),Inputs!$D$27+SQRT(P1662*(Inputs!$F$27-Inputs!$D$27)*(Inputs!$E$27-Inputs!$D$27)),Inputs!$F$27-SQRT((1-P1662)*(Inputs!$F$27-Inputs!$D$27)*(Inputs!$F$27-Inputs!$E$27)))</f>
        <v>99.3170619650825</v>
      </c>
      <c r="R1662" s="81" t="n">
        <f aca="true">RAND()</f>
        <v>0.525293969223954</v>
      </c>
      <c r="S1662" s="82" t="n">
        <f aca="false">IF(R1662&lt;(Inputs!$E$29-Inputs!$D$29)/(Inputs!$F$29-Inputs!$D$29),Inputs!$D$29+SQRT(R1662*(Inputs!$F$29-Inputs!$D$29)*(Inputs!$E$29-Inputs!$D$29)),Inputs!$F$29-SQRT((1-R1662)*(Inputs!$F$29-Inputs!$D$29)*(Inputs!$F$29-Inputs!$E$29)))</f>
        <v>7.14431517938214</v>
      </c>
      <c r="T1662" s="68" t="n">
        <f aca="false">Inputs!$E$9*(1+E1662)+Inputs!$E$5*C1662*(Inputs!$E$11*Inputs!$E$14*(G1662*I1662/Inputs!$E$16+(1-G1662))*K1662+Inputs!$E$23*M1662)*(1+O1662)+Inputs!$E$5*(Q1662+S1662)</f>
        <v>5958.40690454475</v>
      </c>
    </row>
    <row r="1663" customFormat="false" ht="15" hidden="false" customHeight="false" outlineLevel="0" collapsed="false">
      <c r="A1663" s="1" t="n">
        <v>1659</v>
      </c>
      <c r="B1663" s="81" t="n">
        <f aca="true">RAND()</f>
        <v>0.133133771843003</v>
      </c>
      <c r="C1663" s="82" t="n">
        <f aca="false">ROUND(IF(B1663&lt;(Inputs!$E$8-Inputs!$D$8)/(Inputs!$F$8-Inputs!$D$8),Inputs!$D$8+SQRT(B1663*(Inputs!$F$8-Inputs!$D$8)*(Inputs!$E$8-Inputs!$D$8)),Inputs!$F$8-SQRT((1-B1663)*(Inputs!$F$8-Inputs!$D$8)*(Inputs!$F$8-Inputs!$E$8))),0)</f>
        <v>23</v>
      </c>
      <c r="D1663" s="81" t="n">
        <f aca="true">RAND()</f>
        <v>0.0793905521938773</v>
      </c>
      <c r="E1663" s="83" t="n">
        <f aca="false">IF(D1663&lt;(Inputs!$E$10-Inputs!$D$10)/(Inputs!$F$10-Inputs!$D$10),Inputs!$D$10+SQRT(D1663*(Inputs!$F$10-Inputs!$D$10)*(Inputs!$E$10-Inputs!$D$10)),Inputs!$F$10-SQRT((1-D1663)*(Inputs!$F$10-Inputs!$D$10)*(Inputs!$F$10-Inputs!$E$10)))</f>
        <v>0.0281763291068722</v>
      </c>
      <c r="F1663" s="81" t="n">
        <f aca="true">RAND()</f>
        <v>0.0693799591863884</v>
      </c>
      <c r="G1663" s="83" t="n">
        <f aca="false">IF(F1663&lt;(Inputs!$E$15-Inputs!$D$15)/(Inputs!$F$15-Inputs!$D$15),Inputs!$D$15+SQRT(F1663*(Inputs!$F$15-Inputs!$D$15)*(Inputs!$E$15-Inputs!$D$15)),Inputs!$F$15-SQRT((1-F1663)*(Inputs!$F$15-Inputs!$D$15)*(Inputs!$F$15-Inputs!$E$15)))</f>
        <v>0.637250492395776</v>
      </c>
      <c r="H1663" s="81" t="n">
        <f aca="true">RAND()</f>
        <v>0.394011444683585</v>
      </c>
      <c r="I1663" s="82" t="n">
        <f aca="false">ROUND(IF(H1663&lt;(Inputs!$E$17-Inputs!$D$17)/(Inputs!$F$17-Inputs!$D$17),Inputs!$D$17+SQRT(H1663*(Inputs!$F$17-Inputs!$D$17)*(Inputs!$E$17-Inputs!$D$17)),Inputs!$F$17-SQRT((1-H1663)*(Inputs!$F$17-Inputs!$D$17)*(Inputs!$F$17-Inputs!$E$17))),0)</f>
        <v>105</v>
      </c>
      <c r="J1663" s="81" t="n">
        <f aca="true">RAND()</f>
        <v>0.976069239253551</v>
      </c>
      <c r="K1663" s="83" t="n">
        <f aca="false">IF(J1663&lt;(Inputs!$E$18-Inputs!$D$18)/(Inputs!$F$18-Inputs!$D$18),Inputs!$D$18+SQRT(J1663*(Inputs!$F$18-Inputs!$D$18)*(Inputs!$E$18-Inputs!$D$18)),Inputs!$F$18-SQRT((1-J1663)*(Inputs!$F$18-Inputs!$D$18)*(Inputs!$F$18-Inputs!$E$18)))</f>
        <v>1.20424039373733</v>
      </c>
      <c r="L1663" s="81" t="n">
        <f aca="true">RAND()</f>
        <v>0.624478383568486</v>
      </c>
      <c r="M1663" s="83" t="n">
        <f aca="false">IF(L1663&lt;(Inputs!$E$24-Inputs!$D$24)/(Inputs!$F$24-Inputs!$D$24),Inputs!$D$24+SQRT(L1663*(Inputs!$F$24-Inputs!$D$24)*(Inputs!$E$24-Inputs!$D$24)),Inputs!$F$24-SQRT((1-L1663)*(Inputs!$F$24-Inputs!$D$24)*(Inputs!$F$24-Inputs!$E$24)))</f>
        <v>0.89979142593263</v>
      </c>
      <c r="N1663" s="81" t="n">
        <f aca="true">RAND()</f>
        <v>0.247317988120657</v>
      </c>
      <c r="O1663" s="83" t="n">
        <f aca="false">IF(N1663&lt;(Inputs!$E$26-Inputs!$D$26)/(Inputs!$F$26-Inputs!$D$26),Inputs!$D$26+SQRT(N1663*(Inputs!$F$26-Inputs!$D$26)*(Inputs!$E$26-Inputs!$D$26)),Inputs!$F$26-SQRT((1-N1663)*(Inputs!$F$26-Inputs!$D$26)*(Inputs!$F$26-Inputs!$E$26)))</f>
        <v>0.502863779968918</v>
      </c>
      <c r="P1663" s="81" t="n">
        <f aca="true">RAND()</f>
        <v>0.542243467789979</v>
      </c>
      <c r="Q1663" s="82" t="n">
        <f aca="false">IF(P1663&lt;(Inputs!$E$27-Inputs!$D$27)/(Inputs!$F$27-Inputs!$D$27),Inputs!$D$27+SQRT(P1663*(Inputs!$F$27-Inputs!$D$27)*(Inputs!$E$27-Inputs!$D$27)),Inputs!$F$27-SQRT((1-P1663)*(Inputs!$F$27-Inputs!$D$27)*(Inputs!$F$27-Inputs!$E$27)))</f>
        <v>91.4067069403404</v>
      </c>
      <c r="R1663" s="81" t="n">
        <f aca="true">RAND()</f>
        <v>0.319046617822735</v>
      </c>
      <c r="S1663" s="82" t="n">
        <f aca="false">IF(R1663&lt;(Inputs!$E$29-Inputs!$D$29)/(Inputs!$F$29-Inputs!$D$29),Inputs!$D$29+SQRT(R1663*(Inputs!$F$29-Inputs!$D$29)*(Inputs!$E$29-Inputs!$D$29)),Inputs!$F$29-SQRT((1-R1663)*(Inputs!$F$29-Inputs!$D$29)*(Inputs!$F$29-Inputs!$E$29)))</f>
        <v>5.59128384512295</v>
      </c>
      <c r="T1663" s="68" t="n">
        <f aca="false">Inputs!$E$9*(1+E1663)+Inputs!$E$5*C1663*(Inputs!$E$11*Inputs!$E$14*(G1663*I1663/Inputs!$E$16+(1-G1663))*K1663+Inputs!$E$23*M1663)*(1+O1663)+Inputs!$E$5*(Q1663+S1663)</f>
        <v>6178.11866043339</v>
      </c>
    </row>
    <row r="1664" customFormat="false" ht="15" hidden="false" customHeight="false" outlineLevel="0" collapsed="false">
      <c r="A1664" s="1" t="n">
        <v>1660</v>
      </c>
      <c r="B1664" s="81" t="n">
        <f aca="true">RAND()</f>
        <v>0.959749579587764</v>
      </c>
      <c r="C1664" s="82" t="n">
        <f aca="false">ROUND(IF(B1664&lt;(Inputs!$E$8-Inputs!$D$8)/(Inputs!$F$8-Inputs!$D$8),Inputs!$D$8+SQRT(B1664*(Inputs!$F$8-Inputs!$D$8)*(Inputs!$E$8-Inputs!$D$8)),Inputs!$F$8-SQRT((1-B1664)*(Inputs!$F$8-Inputs!$D$8)*(Inputs!$F$8-Inputs!$E$8))),0)</f>
        <v>29</v>
      </c>
      <c r="D1664" s="81" t="n">
        <f aca="true">RAND()</f>
        <v>0.0630202242743737</v>
      </c>
      <c r="E1664" s="83" t="n">
        <f aca="false">IF(D1664&lt;(Inputs!$E$10-Inputs!$D$10)/(Inputs!$F$10-Inputs!$D$10),Inputs!$D$10+SQRT(D1664*(Inputs!$F$10-Inputs!$D$10)*(Inputs!$E$10-Inputs!$D$10)),Inputs!$F$10-SQRT((1-D1664)*(Inputs!$F$10-Inputs!$D$10)*(Inputs!$F$10-Inputs!$E$10)))</f>
        <v>0.0251038292446339</v>
      </c>
      <c r="F1664" s="81" t="n">
        <f aca="true">RAND()</f>
        <v>0.377559064502508</v>
      </c>
      <c r="G1664" s="83" t="n">
        <f aca="false">IF(F1664&lt;(Inputs!$E$15-Inputs!$D$15)/(Inputs!$F$15-Inputs!$D$15),Inputs!$D$15+SQRT(F1664*(Inputs!$F$15-Inputs!$D$15)*(Inputs!$E$15-Inputs!$D$15)),Inputs!$F$15-SQRT((1-F1664)*(Inputs!$F$15-Inputs!$D$15)*(Inputs!$F$15-Inputs!$E$15)))</f>
        <v>0.686897533279433</v>
      </c>
      <c r="H1664" s="81" t="n">
        <f aca="true">RAND()</f>
        <v>0.533588048860373</v>
      </c>
      <c r="I1664" s="82" t="n">
        <f aca="false">ROUND(IF(H1664&lt;(Inputs!$E$17-Inputs!$D$17)/(Inputs!$F$17-Inputs!$D$17),Inputs!$D$17+SQRT(H1664*(Inputs!$F$17-Inputs!$D$17)*(Inputs!$E$17-Inputs!$D$17)),Inputs!$F$17-SQRT((1-H1664)*(Inputs!$F$17-Inputs!$D$17)*(Inputs!$F$17-Inputs!$E$17))),0)</f>
        <v>107</v>
      </c>
      <c r="J1664" s="81" t="n">
        <f aca="true">RAND()</f>
        <v>0.721845867042566</v>
      </c>
      <c r="K1664" s="83" t="n">
        <f aca="false">IF(J1664&lt;(Inputs!$E$18-Inputs!$D$18)/(Inputs!$F$18-Inputs!$D$18),Inputs!$D$18+SQRT(J1664*(Inputs!$F$18-Inputs!$D$18)*(Inputs!$E$18-Inputs!$D$18)),Inputs!$F$18-SQRT((1-J1664)*(Inputs!$F$18-Inputs!$D$18)*(Inputs!$F$18-Inputs!$E$18)))</f>
        <v>1.09399203022353</v>
      </c>
      <c r="L1664" s="81" t="n">
        <f aca="true">RAND()</f>
        <v>0.560277526159755</v>
      </c>
      <c r="M1664" s="83" t="n">
        <f aca="false">IF(L1664&lt;(Inputs!$E$24-Inputs!$D$24)/(Inputs!$F$24-Inputs!$D$24),Inputs!$D$24+SQRT(L1664*(Inputs!$F$24-Inputs!$D$24)*(Inputs!$E$24-Inputs!$D$24)),Inputs!$F$24-SQRT((1-L1664)*(Inputs!$F$24-Inputs!$D$24)*(Inputs!$F$24-Inputs!$E$24)))</f>
        <v>0.875140963306146</v>
      </c>
      <c r="N1664" s="81" t="n">
        <f aca="true">RAND()</f>
        <v>0.0363624197070332</v>
      </c>
      <c r="O1664" s="83" t="n">
        <f aca="false">IF(N1664&lt;(Inputs!$E$26-Inputs!$D$26)/(Inputs!$F$26-Inputs!$D$26),Inputs!$D$26+SQRT(N1664*(Inputs!$F$26-Inputs!$D$26)*(Inputs!$E$26-Inputs!$D$26)),Inputs!$F$26-SQRT((1-N1664)*(Inputs!$F$26-Inputs!$D$26)*(Inputs!$F$26-Inputs!$E$26)))</f>
        <v>0.377786288247032</v>
      </c>
      <c r="P1664" s="81" t="n">
        <f aca="true">RAND()</f>
        <v>0.787311791638758</v>
      </c>
      <c r="Q1664" s="82" t="n">
        <f aca="false">IF(P1664&lt;(Inputs!$E$27-Inputs!$D$27)/(Inputs!$F$27-Inputs!$D$27),Inputs!$D$27+SQRT(P1664*(Inputs!$F$27-Inputs!$D$27)*(Inputs!$E$27-Inputs!$D$27)),Inputs!$F$27-SQRT((1-P1664)*(Inputs!$F$27-Inputs!$D$27)*(Inputs!$F$27-Inputs!$E$27)))</f>
        <v>110.060526258984</v>
      </c>
      <c r="R1664" s="81" t="n">
        <f aca="true">RAND()</f>
        <v>0.0445425547188757</v>
      </c>
      <c r="S1664" s="82" t="n">
        <f aca="false">IF(R1664&lt;(Inputs!$E$29-Inputs!$D$29)/(Inputs!$F$29-Inputs!$D$29),Inputs!$D$29+SQRT(R1664*(Inputs!$F$29-Inputs!$D$29)*(Inputs!$E$29-Inputs!$D$29)),Inputs!$F$29-SQRT((1-R1664)*(Inputs!$F$29-Inputs!$D$29)*(Inputs!$F$29-Inputs!$E$29)))</f>
        <v>3.3180135181538</v>
      </c>
      <c r="T1664" s="68" t="n">
        <f aca="false">Inputs!$E$9*(1+E1664)+Inputs!$E$5*C1664*(Inputs!$E$11*Inputs!$E$14*(G1664*I1664/Inputs!$E$16+(1-G1664))*K1664+Inputs!$E$23*M1664)*(1+O1664)+Inputs!$E$5*(Q1664+S1664)</f>
        <v>6460.14032913048</v>
      </c>
    </row>
    <row r="1665" customFormat="false" ht="15" hidden="false" customHeight="false" outlineLevel="0" collapsed="false">
      <c r="A1665" s="1" t="n">
        <v>1661</v>
      </c>
      <c r="B1665" s="81" t="n">
        <f aca="true">RAND()</f>
        <v>0.991569155900448</v>
      </c>
      <c r="C1665" s="82" t="n">
        <f aca="false">ROUND(IF(B1665&lt;(Inputs!$E$8-Inputs!$D$8)/(Inputs!$F$8-Inputs!$D$8),Inputs!$D$8+SQRT(B1665*(Inputs!$F$8-Inputs!$D$8)*(Inputs!$E$8-Inputs!$D$8)),Inputs!$F$8-SQRT((1-B1665)*(Inputs!$F$8-Inputs!$D$8)*(Inputs!$F$8-Inputs!$E$8))),0)</f>
        <v>29</v>
      </c>
      <c r="D1665" s="81" t="n">
        <f aca="true">RAND()</f>
        <v>0.234325961477585</v>
      </c>
      <c r="E1665" s="83" t="n">
        <f aca="false">IF(D1665&lt;(Inputs!$E$10-Inputs!$D$10)/(Inputs!$F$10-Inputs!$D$10),Inputs!$D$10+SQRT(D1665*(Inputs!$F$10-Inputs!$D$10)*(Inputs!$E$10-Inputs!$D$10)),Inputs!$F$10-SQRT((1-D1665)*(Inputs!$F$10-Inputs!$D$10)*(Inputs!$F$10-Inputs!$E$10)))</f>
        <v>0.0484072268858262</v>
      </c>
      <c r="F1665" s="81" t="n">
        <f aca="true">RAND()</f>
        <v>0.0985280150090727</v>
      </c>
      <c r="G1665" s="83" t="n">
        <f aca="false">IF(F1665&lt;(Inputs!$E$15-Inputs!$D$15)/(Inputs!$F$15-Inputs!$D$15),Inputs!$D$15+SQRT(F1665*(Inputs!$F$15-Inputs!$D$15)*(Inputs!$E$15-Inputs!$D$15)),Inputs!$F$15-SQRT((1-F1665)*(Inputs!$F$15-Inputs!$D$15)*(Inputs!$F$15-Inputs!$E$15)))</f>
        <v>0.644390993457924</v>
      </c>
      <c r="H1665" s="81" t="n">
        <f aca="true">RAND()</f>
        <v>0.158695751400592</v>
      </c>
      <c r="I1665" s="82" t="n">
        <f aca="false">ROUND(IF(H1665&lt;(Inputs!$E$17-Inputs!$D$17)/(Inputs!$F$17-Inputs!$D$17),Inputs!$D$17+SQRT(H1665*(Inputs!$F$17-Inputs!$D$17)*(Inputs!$E$17-Inputs!$D$17)),Inputs!$F$17-SQRT((1-H1665)*(Inputs!$F$17-Inputs!$D$17)*(Inputs!$F$17-Inputs!$E$17))),0)</f>
        <v>103</v>
      </c>
      <c r="J1665" s="81" t="n">
        <f aca="true">RAND()</f>
        <v>0.0788109565793149</v>
      </c>
      <c r="K1665" s="83" t="n">
        <f aca="false">IF(J1665&lt;(Inputs!$E$18-Inputs!$D$18)/(Inputs!$F$18-Inputs!$D$18),Inputs!$D$18+SQRT(J1665*(Inputs!$F$18-Inputs!$D$18)*(Inputs!$E$18-Inputs!$D$18)),Inputs!$F$18-SQRT((1-J1665)*(Inputs!$F$18-Inputs!$D$18)*(Inputs!$F$18-Inputs!$E$18)))</f>
        <v>0.95252031492933</v>
      </c>
      <c r="L1665" s="81" t="n">
        <f aca="true">RAND()</f>
        <v>0.785132760326074</v>
      </c>
      <c r="M1665" s="83" t="n">
        <f aca="false">IF(L1665&lt;(Inputs!$E$24-Inputs!$D$24)/(Inputs!$F$24-Inputs!$D$24),Inputs!$D$24+SQRT(L1665*(Inputs!$F$24-Inputs!$D$24)*(Inputs!$E$24-Inputs!$D$24)),Inputs!$F$24-SQRT((1-L1665)*(Inputs!$F$24-Inputs!$D$24)*(Inputs!$F$24-Inputs!$E$24)))</f>
        <v>0.972913810367645</v>
      </c>
      <c r="N1665" s="81" t="n">
        <f aca="true">RAND()</f>
        <v>0.169027225717911</v>
      </c>
      <c r="O1665" s="83" t="n">
        <f aca="false">IF(N1665&lt;(Inputs!$E$26-Inputs!$D$26)/(Inputs!$F$26-Inputs!$D$26),Inputs!$D$26+SQRT(N1665*(Inputs!$F$26-Inputs!$D$26)*(Inputs!$E$26-Inputs!$D$26)),Inputs!$F$26-SQRT((1-N1665)*(Inputs!$F$26-Inputs!$D$26)*(Inputs!$F$26-Inputs!$E$26)))</f>
        <v>0.467708468359413</v>
      </c>
      <c r="P1665" s="81" t="n">
        <f aca="true">RAND()</f>
        <v>0.789924571687523</v>
      </c>
      <c r="Q1665" s="82" t="n">
        <f aca="false">IF(P1665&lt;(Inputs!$E$27-Inputs!$D$27)/(Inputs!$F$27-Inputs!$D$27),Inputs!$D$27+SQRT(P1665*(Inputs!$F$27-Inputs!$D$27)*(Inputs!$E$27-Inputs!$D$27)),Inputs!$F$27-SQRT((1-P1665)*(Inputs!$F$27-Inputs!$D$27)*(Inputs!$F$27-Inputs!$E$27)))</f>
        <v>110.306603668323</v>
      </c>
      <c r="R1665" s="81" t="n">
        <f aca="true">RAND()</f>
        <v>0.549182152855271</v>
      </c>
      <c r="S1665" s="82" t="n">
        <f aca="false">IF(R1665&lt;(Inputs!$E$29-Inputs!$D$29)/(Inputs!$F$29-Inputs!$D$29),Inputs!$D$29+SQRT(R1665*(Inputs!$F$29-Inputs!$D$29)*(Inputs!$E$29-Inputs!$D$29)),Inputs!$F$29-SQRT((1-R1665)*(Inputs!$F$29-Inputs!$D$29)*(Inputs!$F$29-Inputs!$E$29)))</f>
        <v>7.34452352045839</v>
      </c>
      <c r="T1665" s="68" t="n">
        <f aca="false">Inputs!$E$9*(1+E1665)+Inputs!$E$5*C1665*(Inputs!$E$11*Inputs!$E$14*(G1665*I1665/Inputs!$E$16+(1-G1665))*K1665+Inputs!$E$23*M1665)*(1+O1665)+Inputs!$E$5*(Q1665+S1665)</f>
        <v>6601.59789196476</v>
      </c>
    </row>
    <row r="1666" customFormat="false" ht="15" hidden="false" customHeight="false" outlineLevel="0" collapsed="false">
      <c r="A1666" s="1" t="n">
        <v>1662</v>
      </c>
      <c r="B1666" s="81" t="n">
        <f aca="true">RAND()</f>
        <v>0.993794809392701</v>
      </c>
      <c r="C1666" s="82" t="n">
        <f aca="false">ROUND(IF(B1666&lt;(Inputs!$E$8-Inputs!$D$8)/(Inputs!$F$8-Inputs!$D$8),Inputs!$D$8+SQRT(B1666*(Inputs!$F$8-Inputs!$D$8)*(Inputs!$E$8-Inputs!$D$8)),Inputs!$F$8-SQRT((1-B1666)*(Inputs!$F$8-Inputs!$D$8)*(Inputs!$F$8-Inputs!$E$8))),0)</f>
        <v>29</v>
      </c>
      <c r="D1666" s="81" t="n">
        <f aca="true">RAND()</f>
        <v>0.716675909008767</v>
      </c>
      <c r="E1666" s="83" t="n">
        <f aca="false">IF(D1666&lt;(Inputs!$E$10-Inputs!$D$10)/(Inputs!$F$10-Inputs!$D$10),Inputs!$D$10+SQRT(D1666*(Inputs!$F$10-Inputs!$D$10)*(Inputs!$E$10-Inputs!$D$10)),Inputs!$F$10-SQRT((1-D1666)*(Inputs!$F$10-Inputs!$D$10)*(Inputs!$F$10-Inputs!$E$10)))</f>
        <v>0.107806059148461</v>
      </c>
      <c r="F1666" s="81" t="n">
        <f aca="true">RAND()</f>
        <v>0.959054905285842</v>
      </c>
      <c r="G1666" s="83" t="n">
        <f aca="false">IF(F1666&lt;(Inputs!$E$15-Inputs!$D$15)/(Inputs!$F$15-Inputs!$D$15),Inputs!$D$15+SQRT(F1666*(Inputs!$F$15-Inputs!$D$15)*(Inputs!$E$15-Inputs!$D$15)),Inputs!$F$15-SQRT((1-F1666)*(Inputs!$F$15-Inputs!$D$15)*(Inputs!$F$15-Inputs!$E$15)))</f>
        <v>0.771383538054414</v>
      </c>
      <c r="H1666" s="81" t="n">
        <f aca="true">RAND()</f>
        <v>0.61451884528251</v>
      </c>
      <c r="I1666" s="82" t="n">
        <f aca="false">ROUND(IF(H1666&lt;(Inputs!$E$17-Inputs!$D$17)/(Inputs!$F$17-Inputs!$D$17),Inputs!$D$17+SQRT(H1666*(Inputs!$F$17-Inputs!$D$17)*(Inputs!$E$17-Inputs!$D$17)),Inputs!$F$17-SQRT((1-H1666)*(Inputs!$F$17-Inputs!$D$17)*(Inputs!$F$17-Inputs!$E$17))),0)</f>
        <v>107</v>
      </c>
      <c r="J1666" s="81" t="n">
        <f aca="true">RAND()</f>
        <v>0.0455152608723311</v>
      </c>
      <c r="K1666" s="83" t="n">
        <f aca="false">IF(J1666&lt;(Inputs!$E$18-Inputs!$D$18)/(Inputs!$F$18-Inputs!$D$18),Inputs!$D$18+SQRT(J1666*(Inputs!$F$18-Inputs!$D$18)*(Inputs!$E$18-Inputs!$D$18)),Inputs!$F$18-SQRT((1-J1666)*(Inputs!$F$18-Inputs!$D$18)*(Inputs!$F$18-Inputs!$E$18)))</f>
        <v>0.939912831652635</v>
      </c>
      <c r="L1666" s="81" t="n">
        <f aca="true">RAND()</f>
        <v>0.082268734207127</v>
      </c>
      <c r="M1666" s="83" t="n">
        <f aca="false">IF(L1666&lt;(Inputs!$E$24-Inputs!$D$24)/(Inputs!$F$24-Inputs!$D$24),Inputs!$D$24+SQRT(L1666*(Inputs!$F$24-Inputs!$D$24)*(Inputs!$E$24-Inputs!$D$24)),Inputs!$F$24-SQRT((1-L1666)*(Inputs!$F$24-Inputs!$D$24)*(Inputs!$F$24-Inputs!$E$24)))</f>
        <v>0.699359187319821</v>
      </c>
      <c r="N1666" s="81" t="n">
        <f aca="true">RAND()</f>
        <v>0.615275742408626</v>
      </c>
      <c r="O1666" s="83" t="n">
        <f aca="false">IF(N1666&lt;(Inputs!$E$26-Inputs!$D$26)/(Inputs!$F$26-Inputs!$D$26),Inputs!$D$26+SQRT(N1666*(Inputs!$F$26-Inputs!$D$26)*(Inputs!$E$26-Inputs!$D$26)),Inputs!$F$26-SQRT((1-N1666)*(Inputs!$F$26-Inputs!$D$26)*(Inputs!$F$26-Inputs!$E$26)))</f>
        <v>0.619971691774125</v>
      </c>
      <c r="P1666" s="81" t="n">
        <f aca="true">RAND()</f>
        <v>0.618015479510653</v>
      </c>
      <c r="Q1666" s="82" t="n">
        <f aca="false">IF(P1666&lt;(Inputs!$E$27-Inputs!$D$27)/(Inputs!$F$27-Inputs!$D$27),Inputs!$D$27+SQRT(P1666*(Inputs!$F$27-Inputs!$D$27)*(Inputs!$E$27-Inputs!$D$27)),Inputs!$F$27-SQRT((1-P1666)*(Inputs!$F$27-Inputs!$D$27)*(Inputs!$F$27-Inputs!$E$27)))</f>
        <v>96.4753897382699</v>
      </c>
      <c r="R1666" s="81" t="n">
        <f aca="true">RAND()</f>
        <v>0.952941933837272</v>
      </c>
      <c r="S1666" s="82" t="n">
        <f aca="false">IF(R1666&lt;(Inputs!$E$29-Inputs!$D$29)/(Inputs!$F$29-Inputs!$D$29),Inputs!$D$29+SQRT(R1666*(Inputs!$F$29-Inputs!$D$29)*(Inputs!$E$29-Inputs!$D$29)),Inputs!$F$29-SQRT((1-R1666)*(Inputs!$F$29-Inputs!$D$29)*(Inputs!$F$29-Inputs!$E$29)))</f>
        <v>12.5266321338801</v>
      </c>
      <c r="T1666" s="68" t="n">
        <f aca="false">Inputs!$E$9*(1+E1666)+Inputs!$E$5*C1666*(Inputs!$E$11*Inputs!$E$14*(G1666*I1666/Inputs!$E$16+(1-G1666))*K1666+Inputs!$E$23*M1666)*(1+O1666)+Inputs!$E$5*(Q1666+S1666)</f>
        <v>6448.13242411549</v>
      </c>
    </row>
    <row r="1667" customFormat="false" ht="15" hidden="false" customHeight="false" outlineLevel="0" collapsed="false">
      <c r="A1667" s="1" t="n">
        <v>1663</v>
      </c>
      <c r="B1667" s="81" t="n">
        <f aca="true">RAND()</f>
        <v>0.882130587605703</v>
      </c>
      <c r="C1667" s="82" t="n">
        <f aca="false">ROUND(IF(B1667&lt;(Inputs!$E$8-Inputs!$D$8)/(Inputs!$F$8-Inputs!$D$8),Inputs!$D$8+SQRT(B1667*(Inputs!$F$8-Inputs!$D$8)*(Inputs!$E$8-Inputs!$D$8)),Inputs!$F$8-SQRT((1-B1667)*(Inputs!$F$8-Inputs!$D$8)*(Inputs!$F$8-Inputs!$E$8))),0)</f>
        <v>28</v>
      </c>
      <c r="D1667" s="81" t="n">
        <f aca="true">RAND()</f>
        <v>0.360800716641904</v>
      </c>
      <c r="E1667" s="83" t="n">
        <f aca="false">IF(D1667&lt;(Inputs!$E$10-Inputs!$D$10)/(Inputs!$F$10-Inputs!$D$10),Inputs!$D$10+SQRT(D1667*(Inputs!$F$10-Inputs!$D$10)*(Inputs!$E$10-Inputs!$D$10)),Inputs!$F$10-SQRT((1-D1667)*(Inputs!$F$10-Inputs!$D$10)*(Inputs!$F$10-Inputs!$E$10)))</f>
        <v>0.0615226426424057</v>
      </c>
      <c r="F1667" s="81" t="n">
        <f aca="true">RAND()</f>
        <v>0.395059384596199</v>
      </c>
      <c r="G1667" s="83" t="n">
        <f aca="false">IF(F1667&lt;(Inputs!$E$15-Inputs!$D$15)/(Inputs!$F$15-Inputs!$D$15),Inputs!$D$15+SQRT(F1667*(Inputs!$F$15-Inputs!$D$15)*(Inputs!$E$15-Inputs!$D$15)),Inputs!$F$15-SQRT((1-F1667)*(Inputs!$F$15-Inputs!$D$15)*(Inputs!$F$15-Inputs!$E$15)))</f>
        <v>0.688888625211126</v>
      </c>
      <c r="H1667" s="81" t="n">
        <f aca="true">RAND()</f>
        <v>0.101175923558836</v>
      </c>
      <c r="I1667" s="82" t="n">
        <f aca="false">ROUND(IF(H1667&lt;(Inputs!$E$17-Inputs!$D$17)/(Inputs!$F$17-Inputs!$D$17),Inputs!$D$17+SQRT(H1667*(Inputs!$F$17-Inputs!$D$17)*(Inputs!$E$17-Inputs!$D$17)),Inputs!$F$17-SQRT((1-H1667)*(Inputs!$F$17-Inputs!$D$17)*(Inputs!$F$17-Inputs!$E$17))),0)</f>
        <v>103</v>
      </c>
      <c r="J1667" s="81" t="n">
        <f aca="true">RAND()</f>
        <v>0.160227602763924</v>
      </c>
      <c r="K1667" s="83" t="n">
        <f aca="false">IF(J1667&lt;(Inputs!$E$18-Inputs!$D$18)/(Inputs!$F$18-Inputs!$D$18),Inputs!$D$18+SQRT(J1667*(Inputs!$F$18-Inputs!$D$18)*(Inputs!$E$18-Inputs!$D$18)),Inputs!$F$18-SQRT((1-J1667)*(Inputs!$F$18-Inputs!$D$18)*(Inputs!$F$18-Inputs!$E$18)))</f>
        <v>0.974886354542983</v>
      </c>
      <c r="L1667" s="81" t="n">
        <f aca="true">RAND()</f>
        <v>0.832410865793785</v>
      </c>
      <c r="M1667" s="83" t="n">
        <f aca="false">IF(L1667&lt;(Inputs!$E$24-Inputs!$D$24)/(Inputs!$F$24-Inputs!$D$24),Inputs!$D$24+SQRT(L1667*(Inputs!$F$24-Inputs!$D$24)*(Inputs!$E$24-Inputs!$D$24)),Inputs!$F$24-SQRT((1-L1667)*(Inputs!$F$24-Inputs!$D$24)*(Inputs!$F$24-Inputs!$E$24)))</f>
        <v>0.99944728321588</v>
      </c>
      <c r="N1667" s="81" t="n">
        <f aca="true">RAND()</f>
        <v>0.309421687250631</v>
      </c>
      <c r="O1667" s="83" t="n">
        <f aca="false">IF(N1667&lt;(Inputs!$E$26-Inputs!$D$26)/(Inputs!$F$26-Inputs!$D$26),Inputs!$D$26+SQRT(N1667*(Inputs!$F$26-Inputs!$D$26)*(Inputs!$E$26-Inputs!$D$26)),Inputs!$F$26-SQRT((1-N1667)*(Inputs!$F$26-Inputs!$D$26)*(Inputs!$F$26-Inputs!$E$26)))</f>
        <v>0.526909164113099</v>
      </c>
      <c r="P1667" s="81" t="n">
        <f aca="true">RAND()</f>
        <v>0.793776916461267</v>
      </c>
      <c r="Q1667" s="82" t="n">
        <f aca="false">IF(P1667&lt;(Inputs!$E$27-Inputs!$D$27)/(Inputs!$F$27-Inputs!$D$27),Inputs!$D$27+SQRT(P1667*(Inputs!$F$27-Inputs!$D$27)*(Inputs!$E$27-Inputs!$D$27)),Inputs!$F$27-SQRT((1-P1667)*(Inputs!$F$27-Inputs!$D$27)*(Inputs!$F$27-Inputs!$E$27)))</f>
        <v>110.672234661241</v>
      </c>
      <c r="R1667" s="81" t="n">
        <f aca="true">RAND()</f>
        <v>0.682219508073923</v>
      </c>
      <c r="S1667" s="82" t="n">
        <f aca="false">IF(R1667&lt;(Inputs!$E$29-Inputs!$D$29)/(Inputs!$F$29-Inputs!$D$29),Inputs!$D$29+SQRT(R1667*(Inputs!$F$29-Inputs!$D$29)*(Inputs!$E$29-Inputs!$D$29)),Inputs!$F$29-SQRT((1-R1667)*(Inputs!$F$29-Inputs!$D$29)*(Inputs!$F$29-Inputs!$E$29)))</f>
        <v>8.57260052973288</v>
      </c>
      <c r="T1667" s="68" t="n">
        <f aca="false">Inputs!$E$9*(1+E1667)+Inputs!$E$5*C1667*(Inputs!$E$11*Inputs!$E$14*(G1667*I1667/Inputs!$E$16+(1-G1667))*K1667+Inputs!$E$23*M1667)*(1+O1667)+Inputs!$E$5*(Q1667+S1667)</f>
        <v>6684.70138313661</v>
      </c>
    </row>
    <row r="1668" customFormat="false" ht="15" hidden="false" customHeight="false" outlineLevel="0" collapsed="false">
      <c r="A1668" s="1" t="n">
        <v>1664</v>
      </c>
      <c r="B1668" s="81" t="n">
        <f aca="true">RAND()</f>
        <v>0.222642465753249</v>
      </c>
      <c r="C1668" s="82" t="n">
        <f aca="false">ROUND(IF(B1668&lt;(Inputs!$E$8-Inputs!$D$8)/(Inputs!$F$8-Inputs!$D$8),Inputs!$D$8+SQRT(B1668*(Inputs!$F$8-Inputs!$D$8)*(Inputs!$E$8-Inputs!$D$8)),Inputs!$F$8-SQRT((1-B1668)*(Inputs!$F$8-Inputs!$D$8)*(Inputs!$F$8-Inputs!$E$8))),0)</f>
        <v>23</v>
      </c>
      <c r="D1668" s="81" t="n">
        <f aca="true">RAND()</f>
        <v>0.499898124857828</v>
      </c>
      <c r="E1668" s="83" t="n">
        <f aca="false">IF(D1668&lt;(Inputs!$E$10-Inputs!$D$10)/(Inputs!$F$10-Inputs!$D$10),Inputs!$D$10+SQRT(D1668*(Inputs!$F$10-Inputs!$D$10)*(Inputs!$E$10-Inputs!$D$10)),Inputs!$F$10-SQRT((1-D1668)*(Inputs!$F$10-Inputs!$D$10)*(Inputs!$F$10-Inputs!$E$10)))</f>
        <v>0.07751303639054</v>
      </c>
      <c r="F1668" s="81" t="n">
        <f aca="true">RAND()</f>
        <v>0.476511037603658</v>
      </c>
      <c r="G1668" s="83" t="n">
        <f aca="false">IF(F1668&lt;(Inputs!$E$15-Inputs!$D$15)/(Inputs!$F$15-Inputs!$D$15),Inputs!$D$15+SQRT(F1668*(Inputs!$F$15-Inputs!$D$15)*(Inputs!$E$15-Inputs!$D$15)),Inputs!$F$15-SQRT((1-F1668)*(Inputs!$F$15-Inputs!$D$15)*(Inputs!$F$15-Inputs!$E$15)))</f>
        <v>0.69762284953879</v>
      </c>
      <c r="H1668" s="81" t="n">
        <f aca="true">RAND()</f>
        <v>0.729457269525918</v>
      </c>
      <c r="I1668" s="82" t="n">
        <f aca="false">ROUND(IF(H1668&lt;(Inputs!$E$17-Inputs!$D$17)/(Inputs!$F$17-Inputs!$D$17),Inputs!$D$17+SQRT(H1668*(Inputs!$F$17-Inputs!$D$17)*(Inputs!$E$17-Inputs!$D$17)),Inputs!$F$17-SQRT((1-H1668)*(Inputs!$F$17-Inputs!$D$17)*(Inputs!$F$17-Inputs!$E$17))),0)</f>
        <v>109</v>
      </c>
      <c r="J1668" s="81" t="n">
        <f aca="true">RAND()</f>
        <v>0.0608697668194363</v>
      </c>
      <c r="K1668" s="83" t="n">
        <f aca="false">IF(J1668&lt;(Inputs!$E$18-Inputs!$D$18)/(Inputs!$F$18-Inputs!$D$18),Inputs!$D$18+SQRT(J1668*(Inputs!$F$18-Inputs!$D$18)*(Inputs!$E$18-Inputs!$D$18)),Inputs!$F$18-SQRT((1-J1668)*(Inputs!$F$18-Inputs!$D$18)*(Inputs!$F$18-Inputs!$E$18)))</f>
        <v>0.946156709573802</v>
      </c>
      <c r="L1668" s="81" t="n">
        <f aca="true">RAND()</f>
        <v>0.621324977479738</v>
      </c>
      <c r="M1668" s="83" t="n">
        <f aca="false">IF(L1668&lt;(Inputs!$E$24-Inputs!$D$24)/(Inputs!$F$24-Inputs!$D$24),Inputs!$D$24+SQRT(L1668*(Inputs!$F$24-Inputs!$D$24)*(Inputs!$E$24-Inputs!$D$24)),Inputs!$F$24-SQRT((1-L1668)*(Inputs!$F$24-Inputs!$D$24)*(Inputs!$F$24-Inputs!$E$24)))</f>
        <v>0.898533574995717</v>
      </c>
      <c r="N1668" s="81" t="n">
        <f aca="true">RAND()</f>
        <v>0.540598002961796</v>
      </c>
      <c r="O1668" s="83" t="n">
        <f aca="false">IF(N1668&lt;(Inputs!$E$26-Inputs!$D$26)/(Inputs!$F$26-Inputs!$D$26),Inputs!$D$26+SQRT(N1668*(Inputs!$F$26-Inputs!$D$26)*(Inputs!$E$26-Inputs!$D$26)),Inputs!$F$26-SQRT((1-N1668)*(Inputs!$F$26-Inputs!$D$26)*(Inputs!$F$26-Inputs!$E$26)))</f>
        <v>0.599925836987817</v>
      </c>
      <c r="P1668" s="81" t="n">
        <f aca="true">RAND()</f>
        <v>0.204632552996036</v>
      </c>
      <c r="Q1668" s="82" t="n">
        <f aca="false">IF(P1668&lt;(Inputs!$E$27-Inputs!$D$27)/(Inputs!$F$27-Inputs!$D$27),Inputs!$D$27+SQRT(P1668*(Inputs!$F$27-Inputs!$D$27)*(Inputs!$E$27-Inputs!$D$27)),Inputs!$F$27-SQRT((1-P1668)*(Inputs!$F$27-Inputs!$D$27)*(Inputs!$F$27-Inputs!$E$27)))</f>
        <v>72.6181648789218</v>
      </c>
      <c r="R1668" s="81" t="n">
        <f aca="true">RAND()</f>
        <v>0.852212366723525</v>
      </c>
      <c r="S1668" s="82" t="n">
        <f aca="false">IF(R1668&lt;(Inputs!$E$29-Inputs!$D$29)/(Inputs!$F$29-Inputs!$D$29),Inputs!$D$29+SQRT(R1668*(Inputs!$F$29-Inputs!$D$29)*(Inputs!$E$29-Inputs!$D$29)),Inputs!$F$29-SQRT((1-R1668)*(Inputs!$F$29-Inputs!$D$29)*(Inputs!$F$29-Inputs!$E$29)))</f>
        <v>10.6168056937957</v>
      </c>
      <c r="T1668" s="68" t="n">
        <f aca="false">Inputs!$E$9*(1+E1668)+Inputs!$E$5*C1668*(Inputs!$E$11*Inputs!$E$14*(G1668*I1668/Inputs!$E$16+(1-G1668))*K1668+Inputs!$E$23*M1668)*(1+O1668)+Inputs!$E$5*(Q1668+S1668)</f>
        <v>5878.39389902428</v>
      </c>
    </row>
    <row r="1669" customFormat="false" ht="15" hidden="false" customHeight="false" outlineLevel="0" collapsed="false">
      <c r="A1669" s="1" t="n">
        <v>1665</v>
      </c>
      <c r="B1669" s="81" t="n">
        <f aca="true">RAND()</f>
        <v>0.592304566884386</v>
      </c>
      <c r="C1669" s="82" t="n">
        <f aca="false">ROUND(IF(B1669&lt;(Inputs!$E$8-Inputs!$D$8)/(Inputs!$F$8-Inputs!$D$8),Inputs!$D$8+SQRT(B1669*(Inputs!$F$8-Inputs!$D$8)*(Inputs!$E$8-Inputs!$D$8)),Inputs!$F$8-SQRT((1-B1669)*(Inputs!$F$8-Inputs!$D$8)*(Inputs!$F$8-Inputs!$E$8))),0)</f>
        <v>25</v>
      </c>
      <c r="D1669" s="81" t="n">
        <f aca="true">RAND()</f>
        <v>0.310952988555887</v>
      </c>
      <c r="E1669" s="83" t="n">
        <f aca="false">IF(D1669&lt;(Inputs!$E$10-Inputs!$D$10)/(Inputs!$F$10-Inputs!$D$10),Inputs!$D$10+SQRT(D1669*(Inputs!$F$10-Inputs!$D$10)*(Inputs!$E$10-Inputs!$D$10)),Inputs!$F$10-SQRT((1-D1669)*(Inputs!$F$10-Inputs!$D$10)*(Inputs!$F$10-Inputs!$E$10)))</f>
        <v>0.0562244445556778</v>
      </c>
      <c r="F1669" s="81" t="n">
        <f aca="true">RAND()</f>
        <v>0.615721799142388</v>
      </c>
      <c r="G1669" s="83" t="n">
        <f aca="false">IF(F1669&lt;(Inputs!$E$15-Inputs!$D$15)/(Inputs!$F$15-Inputs!$D$15),Inputs!$D$15+SQRT(F1669*(Inputs!$F$15-Inputs!$D$15)*(Inputs!$E$15-Inputs!$D$15)),Inputs!$F$15-SQRT((1-F1669)*(Inputs!$F$15-Inputs!$D$15)*(Inputs!$F$15-Inputs!$E$15)))</f>
        <v>0.712332651362367</v>
      </c>
      <c r="H1669" s="81" t="n">
        <f aca="true">RAND()</f>
        <v>0.148847951328018</v>
      </c>
      <c r="I1669" s="82" t="n">
        <f aca="false">ROUND(IF(H1669&lt;(Inputs!$E$17-Inputs!$D$17)/(Inputs!$F$17-Inputs!$D$17),Inputs!$D$17+SQRT(H1669*(Inputs!$F$17-Inputs!$D$17)*(Inputs!$E$17-Inputs!$D$17)),Inputs!$F$17-SQRT((1-H1669)*(Inputs!$F$17-Inputs!$D$17)*(Inputs!$F$17-Inputs!$E$17))),0)</f>
        <v>103</v>
      </c>
      <c r="J1669" s="81" t="n">
        <f aca="true">RAND()</f>
        <v>0.736554096583966</v>
      </c>
      <c r="K1669" s="83" t="n">
        <f aca="false">IF(J1669&lt;(Inputs!$E$18-Inputs!$D$18)/(Inputs!$F$18-Inputs!$D$18),Inputs!$D$18+SQRT(J1669*(Inputs!$F$18-Inputs!$D$18)*(Inputs!$E$18-Inputs!$D$18)),Inputs!$F$18-SQRT((1-J1669)*(Inputs!$F$18-Inputs!$D$18)*(Inputs!$F$18-Inputs!$E$18)))</f>
        <v>1.09817274108744</v>
      </c>
      <c r="L1669" s="81" t="n">
        <f aca="true">RAND()</f>
        <v>0.337963327361628</v>
      </c>
      <c r="M1669" s="83" t="n">
        <f aca="false">IF(L1669&lt;(Inputs!$E$24-Inputs!$D$24)/(Inputs!$F$24-Inputs!$D$24),Inputs!$D$24+SQRT(L1669*(Inputs!$F$24-Inputs!$D$24)*(Inputs!$E$24-Inputs!$D$24)),Inputs!$F$24-SQRT((1-L1669)*(Inputs!$F$24-Inputs!$D$24)*(Inputs!$F$24-Inputs!$E$24)))</f>
        <v>0.801391418264472</v>
      </c>
      <c r="N1669" s="81" t="n">
        <f aca="true">RAND()</f>
        <v>0.49027241784468</v>
      </c>
      <c r="O1669" s="83" t="n">
        <f aca="false">IF(N1669&lt;(Inputs!$E$26-Inputs!$D$26)/(Inputs!$F$26-Inputs!$D$26),Inputs!$D$26+SQRT(N1669*(Inputs!$F$26-Inputs!$D$26)*(Inputs!$E$26-Inputs!$D$26)),Inputs!$F$26-SQRT((1-N1669)*(Inputs!$F$26-Inputs!$D$26)*(Inputs!$F$26-Inputs!$E$26)))</f>
        <v>0.585624456812358</v>
      </c>
      <c r="P1669" s="81" t="n">
        <f aca="true">RAND()</f>
        <v>0.310411702296899</v>
      </c>
      <c r="Q1669" s="82" t="n">
        <f aca="false">IF(P1669&lt;(Inputs!$E$27-Inputs!$D$27)/(Inputs!$F$27-Inputs!$D$27),Inputs!$D$27+SQRT(P1669*(Inputs!$F$27-Inputs!$D$27)*(Inputs!$E$27-Inputs!$D$27)),Inputs!$F$27-SQRT((1-P1669)*(Inputs!$F$27-Inputs!$D$27)*(Inputs!$F$27-Inputs!$E$27)))</f>
        <v>78.0839918184188</v>
      </c>
      <c r="R1669" s="81" t="n">
        <f aca="true">RAND()</f>
        <v>0.699438350072948</v>
      </c>
      <c r="S1669" s="82" t="n">
        <f aca="false">IF(R1669&lt;(Inputs!$E$29-Inputs!$D$29)/(Inputs!$F$29-Inputs!$D$29),Inputs!$D$29+SQRT(R1669*(Inputs!$F$29-Inputs!$D$29)*(Inputs!$E$29-Inputs!$D$29)),Inputs!$F$29-SQRT((1-R1669)*(Inputs!$F$29-Inputs!$D$29)*(Inputs!$F$29-Inputs!$E$29)))</f>
        <v>8.74915889735495</v>
      </c>
      <c r="T1669" s="68" t="n">
        <f aca="false">Inputs!$E$9*(1+E1669)+Inputs!$E$5*C1669*(Inputs!$E$11*Inputs!$E$14*(G1669*I1669/Inputs!$E$16+(1-G1669))*K1669+Inputs!$E$23*M1669)*(1+O1669)+Inputs!$E$5*(Q1669+S1669)</f>
        <v>6184.4332392726</v>
      </c>
    </row>
    <row r="1670" customFormat="false" ht="15" hidden="false" customHeight="false" outlineLevel="0" collapsed="false">
      <c r="A1670" s="1" t="n">
        <v>1666</v>
      </c>
      <c r="B1670" s="81" t="n">
        <f aca="true">RAND()</f>
        <v>0.793106211908943</v>
      </c>
      <c r="C1670" s="82" t="n">
        <f aca="false">ROUND(IF(B1670&lt;(Inputs!$E$8-Inputs!$D$8)/(Inputs!$F$8-Inputs!$D$8),Inputs!$D$8+SQRT(B1670*(Inputs!$F$8-Inputs!$D$8)*(Inputs!$E$8-Inputs!$D$8)),Inputs!$F$8-SQRT((1-B1670)*(Inputs!$F$8-Inputs!$D$8)*(Inputs!$F$8-Inputs!$E$8))),0)</f>
        <v>27</v>
      </c>
      <c r="D1670" s="81" t="n">
        <f aca="true">RAND()</f>
        <v>0.504299501061617</v>
      </c>
      <c r="E1670" s="83" t="n">
        <f aca="false">IF(D1670&lt;(Inputs!$E$10-Inputs!$D$10)/(Inputs!$F$10-Inputs!$D$10),Inputs!$D$10+SQRT(D1670*(Inputs!$F$10-Inputs!$D$10)*(Inputs!$E$10-Inputs!$D$10)),Inputs!$F$10-SQRT((1-D1670)*(Inputs!$F$10-Inputs!$D$10)*(Inputs!$F$10-Inputs!$E$10)))</f>
        <v>0.0780532289556157</v>
      </c>
      <c r="F1670" s="81" t="n">
        <f aca="true">RAND()</f>
        <v>0.225826176142913</v>
      </c>
      <c r="G1670" s="83" t="n">
        <f aca="false">IF(F1670&lt;(Inputs!$E$15-Inputs!$D$15)/(Inputs!$F$15-Inputs!$D$15),Inputs!$D$15+SQRT(F1670*(Inputs!$F$15-Inputs!$D$15)*(Inputs!$E$15-Inputs!$D$15)),Inputs!$F$15-SQRT((1-F1670)*(Inputs!$F$15-Inputs!$D$15)*(Inputs!$F$15-Inputs!$E$15)))</f>
        <v>0.667205085543121</v>
      </c>
      <c r="H1670" s="81" t="n">
        <f aca="true">RAND()</f>
        <v>0.672906147308135</v>
      </c>
      <c r="I1670" s="82" t="n">
        <f aca="false">ROUND(IF(H1670&lt;(Inputs!$E$17-Inputs!$D$17)/(Inputs!$F$17-Inputs!$D$17),Inputs!$D$17+SQRT(H1670*(Inputs!$F$17-Inputs!$D$17)*(Inputs!$E$17-Inputs!$D$17)),Inputs!$F$17-SQRT((1-H1670)*(Inputs!$F$17-Inputs!$D$17)*(Inputs!$F$17-Inputs!$E$17))),0)</f>
        <v>108</v>
      </c>
      <c r="J1670" s="81" t="n">
        <f aca="true">RAND()</f>
        <v>0.538562313937919</v>
      </c>
      <c r="K1670" s="83" t="n">
        <f aca="false">IF(J1670&lt;(Inputs!$E$18-Inputs!$D$18)/(Inputs!$F$18-Inputs!$D$18),Inputs!$D$18+SQRT(J1670*(Inputs!$F$18-Inputs!$D$18)*(Inputs!$E$18-Inputs!$D$18)),Inputs!$F$18-SQRT((1-J1670)*(Inputs!$F$18-Inputs!$D$18)*(Inputs!$F$18-Inputs!$E$18)))</f>
        <v>1.04906270249047</v>
      </c>
      <c r="L1670" s="81" t="n">
        <f aca="true">RAND()</f>
        <v>0.670005398868779</v>
      </c>
      <c r="M1670" s="83" t="n">
        <f aca="false">IF(L1670&lt;(Inputs!$E$24-Inputs!$D$24)/(Inputs!$F$24-Inputs!$D$24),Inputs!$D$24+SQRT(L1670*(Inputs!$F$24-Inputs!$D$24)*(Inputs!$E$24-Inputs!$D$24)),Inputs!$F$24-SQRT((1-L1670)*(Inputs!$F$24-Inputs!$D$24)*(Inputs!$F$24-Inputs!$E$24)))</f>
        <v>0.918577356505392</v>
      </c>
      <c r="N1670" s="81" t="n">
        <f aca="true">RAND()</f>
        <v>0.164380495385854</v>
      </c>
      <c r="O1670" s="83" t="n">
        <f aca="false">IF(N1670&lt;(Inputs!$E$26-Inputs!$D$26)/(Inputs!$F$26-Inputs!$D$26),Inputs!$D$26+SQRT(N1670*(Inputs!$F$26-Inputs!$D$26)*(Inputs!$E$26-Inputs!$D$26)),Inputs!$F$26-SQRT((1-N1670)*(Inputs!$F$26-Inputs!$D$26)*(Inputs!$F$26-Inputs!$E$26)))</f>
        <v>0.465387165258391</v>
      </c>
      <c r="P1670" s="81" t="n">
        <f aca="true">RAND()</f>
        <v>0.402109823764045</v>
      </c>
      <c r="Q1670" s="82" t="n">
        <f aca="false">IF(P1670&lt;(Inputs!$E$27-Inputs!$D$27)/(Inputs!$F$27-Inputs!$D$27),Inputs!$D$27+SQRT(P1670*(Inputs!$F$27-Inputs!$D$27)*(Inputs!$E$27-Inputs!$D$27)),Inputs!$F$27-SQRT((1-P1670)*(Inputs!$F$27-Inputs!$D$27)*(Inputs!$F$27-Inputs!$E$27)))</f>
        <v>83.0360072742846</v>
      </c>
      <c r="R1670" s="81" t="n">
        <f aca="true">RAND()</f>
        <v>0.599131908096519</v>
      </c>
      <c r="S1670" s="82" t="n">
        <f aca="false">IF(R1670&lt;(Inputs!$E$29-Inputs!$D$29)/(Inputs!$F$29-Inputs!$D$29),Inputs!$D$29+SQRT(R1670*(Inputs!$F$29-Inputs!$D$29)*(Inputs!$E$29-Inputs!$D$29)),Inputs!$F$29-SQRT((1-R1670)*(Inputs!$F$29-Inputs!$D$29)*(Inputs!$F$29-Inputs!$E$29)))</f>
        <v>7.78107681524089</v>
      </c>
      <c r="T1670" s="68" t="n">
        <f aca="false">Inputs!$E$9*(1+E1670)+Inputs!$E$5*C1670*(Inputs!$E$11*Inputs!$E$14*(G1670*I1670/Inputs!$E$16+(1-G1670))*K1670+Inputs!$E$23*M1670)*(1+O1670)+Inputs!$E$5*(Q1670+S1670)</f>
        <v>6430.36532036346</v>
      </c>
    </row>
    <row r="1671" customFormat="false" ht="15" hidden="false" customHeight="false" outlineLevel="0" collapsed="false">
      <c r="A1671" s="1" t="n">
        <v>1667</v>
      </c>
      <c r="B1671" s="81" t="n">
        <f aca="true">RAND()</f>
        <v>0.805934102953958</v>
      </c>
      <c r="C1671" s="82" t="n">
        <f aca="false">ROUND(IF(B1671&lt;(Inputs!$E$8-Inputs!$D$8)/(Inputs!$F$8-Inputs!$D$8),Inputs!$D$8+SQRT(B1671*(Inputs!$F$8-Inputs!$D$8)*(Inputs!$E$8-Inputs!$D$8)),Inputs!$F$8-SQRT((1-B1671)*(Inputs!$F$8-Inputs!$D$8)*(Inputs!$F$8-Inputs!$E$8))),0)</f>
        <v>27</v>
      </c>
      <c r="D1671" s="81" t="n">
        <f aca="true">RAND()</f>
        <v>0.506167695610197</v>
      </c>
      <c r="E1671" s="83" t="n">
        <f aca="false">IF(D1671&lt;(Inputs!$E$10-Inputs!$D$10)/(Inputs!$F$10-Inputs!$D$10),Inputs!$D$10+SQRT(D1671*(Inputs!$F$10-Inputs!$D$10)*(Inputs!$E$10-Inputs!$D$10)),Inputs!$F$10-SQRT((1-D1671)*(Inputs!$F$10-Inputs!$D$10)*(Inputs!$F$10-Inputs!$E$10)))</f>
        <v>0.0782832421903455</v>
      </c>
      <c r="F1671" s="81" t="n">
        <f aca="true">RAND()</f>
        <v>0.798627621211241</v>
      </c>
      <c r="G1671" s="83" t="n">
        <f aca="false">IF(F1671&lt;(Inputs!$E$15-Inputs!$D$15)/(Inputs!$F$15-Inputs!$D$15),Inputs!$D$15+SQRT(F1671*(Inputs!$F$15-Inputs!$D$15)*(Inputs!$E$15-Inputs!$D$15)),Inputs!$F$15-SQRT((1-F1671)*(Inputs!$F$15-Inputs!$D$15)*(Inputs!$F$15-Inputs!$E$15)))</f>
        <v>0.736537825629946</v>
      </c>
      <c r="H1671" s="81" t="n">
        <f aca="true">RAND()</f>
        <v>0.559392951675395</v>
      </c>
      <c r="I1671" s="82" t="n">
        <f aca="false">ROUND(IF(H1671&lt;(Inputs!$E$17-Inputs!$D$17)/(Inputs!$F$17-Inputs!$D$17),Inputs!$D$17+SQRT(H1671*(Inputs!$F$17-Inputs!$D$17)*(Inputs!$E$17-Inputs!$D$17)),Inputs!$F$17-SQRT((1-H1671)*(Inputs!$F$17-Inputs!$D$17)*(Inputs!$F$17-Inputs!$E$17))),0)</f>
        <v>107</v>
      </c>
      <c r="J1671" s="81" t="n">
        <f aca="true">RAND()</f>
        <v>0.585673820440328</v>
      </c>
      <c r="K1671" s="83" t="n">
        <f aca="false">IF(J1671&lt;(Inputs!$E$18-Inputs!$D$18)/(Inputs!$F$18-Inputs!$D$18),Inputs!$D$18+SQRT(J1671*(Inputs!$F$18-Inputs!$D$18)*(Inputs!$E$18-Inputs!$D$18)),Inputs!$F$18-SQRT((1-J1671)*(Inputs!$F$18-Inputs!$D$18)*(Inputs!$F$18-Inputs!$E$18)))</f>
        <v>1.05959637421658</v>
      </c>
      <c r="L1671" s="81" t="n">
        <f aca="true">RAND()</f>
        <v>0.858482805380194</v>
      </c>
      <c r="M1671" s="83" t="n">
        <f aca="false">IF(L1671&lt;(Inputs!$E$24-Inputs!$D$24)/(Inputs!$F$24-Inputs!$D$24),Inputs!$D$24+SQRT(L1671*(Inputs!$F$24-Inputs!$D$24)*(Inputs!$E$24-Inputs!$D$24)),Inputs!$F$24-SQRT((1-L1671)*(Inputs!$F$24-Inputs!$D$24)*(Inputs!$F$24-Inputs!$E$24)))</f>
        <v>1.01570641164502</v>
      </c>
      <c r="N1671" s="81" t="n">
        <f aca="true">RAND()</f>
        <v>0.164668785716374</v>
      </c>
      <c r="O1671" s="83" t="n">
        <f aca="false">IF(N1671&lt;(Inputs!$E$26-Inputs!$D$26)/(Inputs!$F$26-Inputs!$D$26),Inputs!$D$26+SQRT(N1671*(Inputs!$F$26-Inputs!$D$26)*(Inputs!$E$26-Inputs!$D$26)),Inputs!$F$26-SQRT((1-N1671)*(Inputs!$F$26-Inputs!$D$26)*(Inputs!$F$26-Inputs!$E$26)))</f>
        <v>0.465532129640154</v>
      </c>
      <c r="P1671" s="81" t="n">
        <f aca="true">RAND()</f>
        <v>0.842452669978696</v>
      </c>
      <c r="Q1671" s="82" t="n">
        <f aca="false">IF(P1671&lt;(Inputs!$E$27-Inputs!$D$27)/(Inputs!$F$27-Inputs!$D$27),Inputs!$D$27+SQRT(P1671*(Inputs!$F$27-Inputs!$D$27)*(Inputs!$E$27-Inputs!$D$27)),Inputs!$F$27-SQRT((1-P1671)*(Inputs!$F$27-Inputs!$D$27)*(Inputs!$F$27-Inputs!$E$27)))</f>
        <v>115.625518547042</v>
      </c>
      <c r="R1671" s="81" t="n">
        <f aca="true">RAND()</f>
        <v>0.822530436289652</v>
      </c>
      <c r="S1671" s="82" t="n">
        <f aca="false">IF(R1671&lt;(Inputs!$E$29-Inputs!$D$29)/(Inputs!$F$29-Inputs!$D$29),Inputs!$D$29+SQRT(R1671*(Inputs!$F$29-Inputs!$D$29)*(Inputs!$E$29-Inputs!$D$29)),Inputs!$F$29-SQRT((1-R1671)*(Inputs!$F$29-Inputs!$D$29)*(Inputs!$F$29-Inputs!$E$29)))</f>
        <v>10.1967674132575</v>
      </c>
      <c r="T1671" s="68" t="n">
        <f aca="false">Inputs!$E$9*(1+E1671)+Inputs!$E$5*C1671*(Inputs!$E$11*Inputs!$E$14*(G1671*I1671/Inputs!$E$16+(1-G1671))*K1671+Inputs!$E$23*M1671)*(1+O1671)+Inputs!$E$5*(Q1671+S1671)</f>
        <v>6660.42588093812</v>
      </c>
    </row>
    <row r="1672" customFormat="false" ht="15" hidden="false" customHeight="false" outlineLevel="0" collapsed="false">
      <c r="A1672" s="1" t="n">
        <v>1668</v>
      </c>
      <c r="B1672" s="81" t="n">
        <f aca="true">RAND()</f>
        <v>0.13665181368893</v>
      </c>
      <c r="C1672" s="82" t="n">
        <f aca="false">ROUND(IF(B1672&lt;(Inputs!$E$8-Inputs!$D$8)/(Inputs!$F$8-Inputs!$D$8),Inputs!$D$8+SQRT(B1672*(Inputs!$F$8-Inputs!$D$8)*(Inputs!$E$8-Inputs!$D$8)),Inputs!$F$8-SQRT((1-B1672)*(Inputs!$F$8-Inputs!$D$8)*(Inputs!$F$8-Inputs!$E$8))),0)</f>
        <v>23</v>
      </c>
      <c r="D1672" s="81" t="n">
        <f aca="true">RAND()</f>
        <v>0.395699822447456</v>
      </c>
      <c r="E1672" s="83" t="n">
        <f aca="false">IF(D1672&lt;(Inputs!$E$10-Inputs!$D$10)/(Inputs!$F$10-Inputs!$D$10),Inputs!$D$10+SQRT(D1672*(Inputs!$F$10-Inputs!$D$10)*(Inputs!$E$10-Inputs!$D$10)),Inputs!$F$10-SQRT((1-D1672)*(Inputs!$F$10-Inputs!$D$10)*(Inputs!$F$10-Inputs!$E$10)))</f>
        <v>0.0653560052338898</v>
      </c>
      <c r="F1672" s="81" t="n">
        <f aca="true">RAND()</f>
        <v>0.320060537231771</v>
      </c>
      <c r="G1672" s="83" t="n">
        <f aca="false">IF(F1672&lt;(Inputs!$E$15-Inputs!$D$15)/(Inputs!$F$15-Inputs!$D$15),Inputs!$D$15+SQRT(F1672*(Inputs!$F$15-Inputs!$D$15)*(Inputs!$E$15-Inputs!$D$15)),Inputs!$F$15-SQRT((1-F1672)*(Inputs!$F$15-Inputs!$D$15)*(Inputs!$F$15-Inputs!$E$15)))</f>
        <v>0.680007566796119</v>
      </c>
      <c r="H1672" s="81" t="n">
        <f aca="true">RAND()</f>
        <v>0.824134073682245</v>
      </c>
      <c r="I1672" s="82" t="n">
        <f aca="false">ROUND(IF(H1672&lt;(Inputs!$E$17-Inputs!$D$17)/(Inputs!$F$17-Inputs!$D$17),Inputs!$D$17+SQRT(H1672*(Inputs!$F$17-Inputs!$D$17)*(Inputs!$E$17-Inputs!$D$17)),Inputs!$F$17-SQRT((1-H1672)*(Inputs!$F$17-Inputs!$D$17)*(Inputs!$F$17-Inputs!$E$17))),0)</f>
        <v>110</v>
      </c>
      <c r="J1672" s="81" t="n">
        <f aca="true">RAND()</f>
        <v>0.10783947468977</v>
      </c>
      <c r="K1672" s="83" t="n">
        <f aca="false">IF(J1672&lt;(Inputs!$E$18-Inputs!$D$18)/(Inputs!$F$18-Inputs!$D$18),Inputs!$D$18+SQRT(J1672*(Inputs!$F$18-Inputs!$D$18)*(Inputs!$E$18-Inputs!$D$18)),Inputs!$F$18-SQRT((1-J1672)*(Inputs!$F$18-Inputs!$D$18)*(Inputs!$F$18-Inputs!$E$18)))</f>
        <v>0.961435996078374</v>
      </c>
      <c r="L1672" s="81" t="n">
        <f aca="true">RAND()</f>
        <v>0.858783024966258</v>
      </c>
      <c r="M1672" s="83" t="n">
        <f aca="false">IF(L1672&lt;(Inputs!$E$24-Inputs!$D$24)/(Inputs!$F$24-Inputs!$D$24),Inputs!$D$24+SQRT(L1672*(Inputs!$F$24-Inputs!$D$24)*(Inputs!$E$24-Inputs!$D$24)),Inputs!$F$24-SQRT((1-L1672)*(Inputs!$F$24-Inputs!$D$24)*(Inputs!$F$24-Inputs!$E$24)))</f>
        <v>1.01590199890249</v>
      </c>
      <c r="N1672" s="81" t="n">
        <f aca="true">RAND()</f>
        <v>0.91269069158173</v>
      </c>
      <c r="O1672" s="83" t="n">
        <f aca="false">IF(N1672&lt;(Inputs!$E$26-Inputs!$D$26)/(Inputs!$F$26-Inputs!$D$26),Inputs!$D$26+SQRT(N1672*(Inputs!$F$26-Inputs!$D$26)*(Inputs!$E$26-Inputs!$D$26)),Inputs!$F$26-SQRT((1-N1672)*(Inputs!$F$26-Inputs!$D$26)*(Inputs!$F$26-Inputs!$E$26)))</f>
        <v>0.724710084082837</v>
      </c>
      <c r="P1672" s="81" t="n">
        <f aca="true">RAND()</f>
        <v>0.195687834198054</v>
      </c>
      <c r="Q1672" s="82" t="n">
        <f aca="false">IF(P1672&lt;(Inputs!$E$27-Inputs!$D$27)/(Inputs!$F$27-Inputs!$D$27),Inputs!$D$27+SQRT(P1672*(Inputs!$F$27-Inputs!$D$27)*(Inputs!$E$27-Inputs!$D$27)),Inputs!$F$27-SQRT((1-P1672)*(Inputs!$F$27-Inputs!$D$27)*(Inputs!$F$27-Inputs!$E$27)))</f>
        <v>72.1183088299069</v>
      </c>
      <c r="R1672" s="81" t="n">
        <f aca="true">RAND()</f>
        <v>0.494923673238429</v>
      </c>
      <c r="S1672" s="82" t="n">
        <f aca="false">IF(R1672&lt;(Inputs!$E$29-Inputs!$D$29)/(Inputs!$F$29-Inputs!$D$29),Inputs!$D$29+SQRT(R1672*(Inputs!$F$29-Inputs!$D$29)*(Inputs!$E$29-Inputs!$D$29)),Inputs!$F$29-SQRT((1-R1672)*(Inputs!$F$29-Inputs!$D$29)*(Inputs!$F$29-Inputs!$E$29)))</f>
        <v>6.89691895147258</v>
      </c>
      <c r="T1672" s="68" t="n">
        <f aca="false">Inputs!$E$9*(1+E1672)+Inputs!$E$5*C1672*(Inputs!$E$11*Inputs!$E$14*(G1672*I1672/Inputs!$E$16+(1-G1672))*K1672+Inputs!$E$23*M1672)*(1+O1672)+Inputs!$E$5*(Q1672+S1672)</f>
        <v>6303.02002335846</v>
      </c>
    </row>
    <row r="1673" customFormat="false" ht="15" hidden="false" customHeight="false" outlineLevel="0" collapsed="false">
      <c r="A1673" s="1" t="n">
        <v>1669</v>
      </c>
      <c r="B1673" s="81" t="n">
        <f aca="true">RAND()</f>
        <v>0.628094482209335</v>
      </c>
      <c r="C1673" s="82" t="n">
        <f aca="false">ROUND(IF(B1673&lt;(Inputs!$E$8-Inputs!$D$8)/(Inputs!$F$8-Inputs!$D$8),Inputs!$D$8+SQRT(B1673*(Inputs!$F$8-Inputs!$D$8)*(Inputs!$E$8-Inputs!$D$8)),Inputs!$F$8-SQRT((1-B1673)*(Inputs!$F$8-Inputs!$D$8)*(Inputs!$F$8-Inputs!$E$8))),0)</f>
        <v>26</v>
      </c>
      <c r="D1673" s="81" t="n">
        <f aca="true">RAND()</f>
        <v>0.62462822019682</v>
      </c>
      <c r="E1673" s="83" t="n">
        <f aca="false">IF(D1673&lt;(Inputs!$E$10-Inputs!$D$10)/(Inputs!$F$10-Inputs!$D$10),Inputs!$D$10+SQRT(D1673*(Inputs!$F$10-Inputs!$D$10)*(Inputs!$E$10-Inputs!$D$10)),Inputs!$F$10-SQRT((1-D1673)*(Inputs!$F$10-Inputs!$D$10)*(Inputs!$F$10-Inputs!$E$10)))</f>
        <v>0.0938814182431023</v>
      </c>
      <c r="F1673" s="81" t="n">
        <f aca="true">RAND()</f>
        <v>0.770733243403869</v>
      </c>
      <c r="G1673" s="83" t="n">
        <f aca="false">IF(F1673&lt;(Inputs!$E$15-Inputs!$D$15)/(Inputs!$F$15-Inputs!$D$15),Inputs!$D$15+SQRT(F1673*(Inputs!$F$15-Inputs!$D$15)*(Inputs!$E$15-Inputs!$D$15)),Inputs!$F$15-SQRT((1-F1673)*(Inputs!$F$15-Inputs!$D$15)*(Inputs!$F$15-Inputs!$E$15)))</f>
        <v>0.732284897312914</v>
      </c>
      <c r="H1673" s="81" t="n">
        <f aca="true">RAND()</f>
        <v>0.260574229415283</v>
      </c>
      <c r="I1673" s="82" t="n">
        <f aca="false">ROUND(IF(H1673&lt;(Inputs!$E$17-Inputs!$D$17)/(Inputs!$F$17-Inputs!$D$17),Inputs!$D$17+SQRT(H1673*(Inputs!$F$17-Inputs!$D$17)*(Inputs!$E$17-Inputs!$D$17)),Inputs!$F$17-SQRT((1-H1673)*(Inputs!$F$17-Inputs!$D$17)*(Inputs!$F$17-Inputs!$E$17))),0)</f>
        <v>104</v>
      </c>
      <c r="J1673" s="81" t="n">
        <f aca="true">RAND()</f>
        <v>0.871930054282654</v>
      </c>
      <c r="K1673" s="83" t="n">
        <f aca="false">IF(J1673&lt;(Inputs!$E$18-Inputs!$D$18)/(Inputs!$F$18-Inputs!$D$18),Inputs!$D$18+SQRT(J1673*(Inputs!$F$18-Inputs!$D$18)*(Inputs!$E$18-Inputs!$D$18)),Inputs!$F$18-SQRT((1-J1673)*(Inputs!$F$18-Inputs!$D$18)*(Inputs!$F$18-Inputs!$E$18)))</f>
        <v>1.14414103604197</v>
      </c>
      <c r="L1673" s="81" t="n">
        <f aca="true">RAND()</f>
        <v>0.572254656999245</v>
      </c>
      <c r="M1673" s="83" t="n">
        <f aca="false">IF(L1673&lt;(Inputs!$E$24-Inputs!$D$24)/(Inputs!$F$24-Inputs!$D$24),Inputs!$D$24+SQRT(L1673*(Inputs!$F$24-Inputs!$D$24)*(Inputs!$E$24-Inputs!$D$24)),Inputs!$F$24-SQRT((1-L1673)*(Inputs!$F$24-Inputs!$D$24)*(Inputs!$F$24-Inputs!$E$24)))</f>
        <v>0.879595751713275</v>
      </c>
      <c r="N1673" s="81" t="n">
        <f aca="true">RAND()</f>
        <v>0.150654178306017</v>
      </c>
      <c r="O1673" s="83" t="n">
        <f aca="false">IF(N1673&lt;(Inputs!$E$26-Inputs!$D$26)/(Inputs!$F$26-Inputs!$D$26),Inputs!$D$26+SQRT(N1673*(Inputs!$F$26-Inputs!$D$26)*(Inputs!$E$26-Inputs!$D$26)),Inputs!$F$26-SQRT((1-N1673)*(Inputs!$F$26-Inputs!$D$26)*(Inputs!$F$26-Inputs!$E$26)))</f>
        <v>0.458331472771907</v>
      </c>
      <c r="P1673" s="81" t="n">
        <f aca="true">RAND()</f>
        <v>0.247589286598895</v>
      </c>
      <c r="Q1673" s="82" t="n">
        <f aca="false">IF(P1673&lt;(Inputs!$E$27-Inputs!$D$27)/(Inputs!$F$27-Inputs!$D$27),Inputs!$D$27+SQRT(P1673*(Inputs!$F$27-Inputs!$D$27)*(Inputs!$E$27-Inputs!$D$27)),Inputs!$F$27-SQRT((1-P1673)*(Inputs!$F$27-Inputs!$D$27)*(Inputs!$F$27-Inputs!$E$27)))</f>
        <v>74.8791723434932</v>
      </c>
      <c r="R1673" s="81" t="n">
        <f aca="true">RAND()</f>
        <v>0.164692669173588</v>
      </c>
      <c r="S1673" s="82" t="n">
        <f aca="false">IF(R1673&lt;(Inputs!$E$29-Inputs!$D$29)/(Inputs!$F$29-Inputs!$D$29),Inputs!$D$29+SQRT(R1673*(Inputs!$F$29-Inputs!$D$29)*(Inputs!$E$29-Inputs!$D$29)),Inputs!$F$29-SQRT((1-R1673)*(Inputs!$F$29-Inputs!$D$29)*(Inputs!$F$29-Inputs!$E$29)))</f>
        <v>4.53436660682111</v>
      </c>
      <c r="T1673" s="68" t="n">
        <f aca="false">Inputs!$E$9*(1+E1673)+Inputs!$E$5*C1673*(Inputs!$E$11*Inputs!$E$14*(G1673*I1673/Inputs!$E$16+(1-G1673))*K1673+Inputs!$E$23*M1673)*(1+O1673)+Inputs!$E$5*(Q1673+S1673)</f>
        <v>6262.39891131544</v>
      </c>
    </row>
    <row r="1674" customFormat="false" ht="15" hidden="false" customHeight="false" outlineLevel="0" collapsed="false">
      <c r="A1674" s="1" t="n">
        <v>1670</v>
      </c>
      <c r="B1674" s="81" t="n">
        <f aca="true">RAND()</f>
        <v>0.29449894223441</v>
      </c>
      <c r="C1674" s="82" t="n">
        <f aca="false">ROUND(IF(B1674&lt;(Inputs!$E$8-Inputs!$D$8)/(Inputs!$F$8-Inputs!$D$8),Inputs!$D$8+SQRT(B1674*(Inputs!$F$8-Inputs!$D$8)*(Inputs!$E$8-Inputs!$D$8)),Inputs!$F$8-SQRT((1-B1674)*(Inputs!$F$8-Inputs!$D$8)*(Inputs!$F$8-Inputs!$E$8))),0)</f>
        <v>24</v>
      </c>
      <c r="D1674" s="81" t="n">
        <f aca="true">RAND()</f>
        <v>0.623255547677332</v>
      </c>
      <c r="E1674" s="83" t="n">
        <f aca="false">IF(D1674&lt;(Inputs!$E$10-Inputs!$D$10)/(Inputs!$F$10-Inputs!$D$10),Inputs!$D$10+SQRT(D1674*(Inputs!$F$10-Inputs!$D$10)*(Inputs!$E$10-Inputs!$D$10)),Inputs!$F$10-SQRT((1-D1674)*(Inputs!$F$10-Inputs!$D$10)*(Inputs!$F$10-Inputs!$E$10)))</f>
        <v>0.0936875662507907</v>
      </c>
      <c r="F1674" s="81" t="n">
        <f aca="true">RAND()</f>
        <v>0.900528871809054</v>
      </c>
      <c r="G1674" s="83" t="n">
        <f aca="false">IF(F1674&lt;(Inputs!$E$15-Inputs!$D$15)/(Inputs!$F$15-Inputs!$D$15),Inputs!$D$15+SQRT(F1674*(Inputs!$F$15-Inputs!$D$15)*(Inputs!$E$15-Inputs!$D$15)),Inputs!$F$15-SQRT((1-F1674)*(Inputs!$F$15-Inputs!$D$15)*(Inputs!$F$15-Inputs!$E$15)))</f>
        <v>0.755397056556558</v>
      </c>
      <c r="H1674" s="81" t="n">
        <f aca="true">RAND()</f>
        <v>0.931059206311332</v>
      </c>
      <c r="I1674" s="82" t="n">
        <f aca="false">ROUND(IF(H1674&lt;(Inputs!$E$17-Inputs!$D$17)/(Inputs!$F$17-Inputs!$D$17),Inputs!$D$17+SQRT(H1674*(Inputs!$F$17-Inputs!$D$17)*(Inputs!$E$17-Inputs!$D$17)),Inputs!$F$17-SQRT((1-H1674)*(Inputs!$F$17-Inputs!$D$17)*(Inputs!$F$17-Inputs!$E$17))),0)</f>
        <v>112</v>
      </c>
      <c r="J1674" s="81" t="n">
        <f aca="true">RAND()</f>
        <v>0.685936757960154</v>
      </c>
      <c r="K1674" s="83" t="n">
        <f aca="false">IF(J1674&lt;(Inputs!$E$18-Inputs!$D$18)/(Inputs!$F$18-Inputs!$D$18),Inputs!$D$18+SQRT(J1674*(Inputs!$F$18-Inputs!$D$18)*(Inputs!$E$18-Inputs!$D$18)),Inputs!$F$18-SQRT((1-J1674)*(Inputs!$F$18-Inputs!$D$18)*(Inputs!$F$18-Inputs!$E$18)))</f>
        <v>1.08422746404037</v>
      </c>
      <c r="L1674" s="81" t="n">
        <f aca="true">RAND()</f>
        <v>0.00410114914587222</v>
      </c>
      <c r="M1674" s="83" t="n">
        <f aca="false">IF(L1674&lt;(Inputs!$E$24-Inputs!$D$24)/(Inputs!$F$24-Inputs!$D$24),Inputs!$D$24+SQRT(L1674*(Inputs!$F$24-Inputs!$D$24)*(Inputs!$E$24-Inputs!$D$24)),Inputs!$F$24-SQRT((1-L1674)*(Inputs!$F$24-Inputs!$D$24)*(Inputs!$F$24-Inputs!$E$24)))</f>
        <v>0.622184181244857</v>
      </c>
      <c r="N1674" s="81" t="n">
        <f aca="true">RAND()</f>
        <v>0.839866363513845</v>
      </c>
      <c r="O1674" s="83" t="n">
        <f aca="false">IF(N1674&lt;(Inputs!$E$26-Inputs!$D$26)/(Inputs!$F$26-Inputs!$D$26),Inputs!$D$26+SQRT(N1674*(Inputs!$F$26-Inputs!$D$26)*(Inputs!$E$26-Inputs!$D$26)),Inputs!$F$26-SQRT((1-N1674)*(Inputs!$F$26-Inputs!$D$26)*(Inputs!$F$26-Inputs!$E$26)))</f>
        <v>0.690950016681287</v>
      </c>
      <c r="P1674" s="81" t="n">
        <f aca="true">RAND()</f>
        <v>0.459743097041006</v>
      </c>
      <c r="Q1674" s="82" t="n">
        <f aca="false">IF(P1674&lt;(Inputs!$E$27-Inputs!$D$27)/(Inputs!$F$27-Inputs!$D$27),Inputs!$D$27+SQRT(P1674*(Inputs!$F$27-Inputs!$D$27)*(Inputs!$E$27-Inputs!$D$27)),Inputs!$F$27-SQRT((1-P1674)*(Inputs!$F$27-Inputs!$D$27)*(Inputs!$F$27-Inputs!$E$27)))</f>
        <v>86.345253341228</v>
      </c>
      <c r="R1674" s="81" t="n">
        <f aca="true">RAND()</f>
        <v>0.270167863126846</v>
      </c>
      <c r="S1674" s="82" t="n">
        <f aca="false">IF(R1674&lt;(Inputs!$E$29-Inputs!$D$29)/(Inputs!$F$29-Inputs!$D$29),Inputs!$D$29+SQRT(R1674*(Inputs!$F$29-Inputs!$D$29)*(Inputs!$E$29-Inputs!$D$29)),Inputs!$F$29-SQRT((1-R1674)*(Inputs!$F$29-Inputs!$D$29)*(Inputs!$F$29-Inputs!$E$29)))</f>
        <v>5.25945700725519</v>
      </c>
      <c r="T1674" s="68" t="n">
        <f aca="false">Inputs!$E$9*(1+E1674)+Inputs!$E$5*C1674*(Inputs!$E$11*Inputs!$E$14*(G1674*I1674/Inputs!$E$16+(1-G1674))*K1674+Inputs!$E$23*M1674)*(1+O1674)+Inputs!$E$5*(Q1674+S1674)</f>
        <v>6142.89322418209</v>
      </c>
    </row>
    <row r="1675" customFormat="false" ht="15" hidden="false" customHeight="false" outlineLevel="0" collapsed="false">
      <c r="A1675" s="1" t="n">
        <v>1671</v>
      </c>
      <c r="B1675" s="81" t="n">
        <f aca="true">RAND()</f>
        <v>0.569927095082497</v>
      </c>
      <c r="C1675" s="82" t="n">
        <f aca="false">ROUND(IF(B1675&lt;(Inputs!$E$8-Inputs!$D$8)/(Inputs!$F$8-Inputs!$D$8),Inputs!$D$8+SQRT(B1675*(Inputs!$F$8-Inputs!$D$8)*(Inputs!$E$8-Inputs!$D$8)),Inputs!$F$8-SQRT((1-B1675)*(Inputs!$F$8-Inputs!$D$8)*(Inputs!$F$8-Inputs!$E$8))),0)</f>
        <v>25</v>
      </c>
      <c r="D1675" s="81" t="n">
        <f aca="true">RAND()</f>
        <v>0.797169933160014</v>
      </c>
      <c r="E1675" s="83" t="n">
        <f aca="false">IF(D1675&lt;(Inputs!$E$10-Inputs!$D$10)/(Inputs!$F$10-Inputs!$D$10),Inputs!$D$10+SQRT(D1675*(Inputs!$F$10-Inputs!$D$10)*(Inputs!$E$10-Inputs!$D$10)),Inputs!$F$10-SQRT((1-D1675)*(Inputs!$F$10-Inputs!$D$10)*(Inputs!$F$10-Inputs!$E$10)))</f>
        <v>0.121994218129682</v>
      </c>
      <c r="F1675" s="81" t="n">
        <f aca="true">RAND()</f>
        <v>0.835179439306197</v>
      </c>
      <c r="G1675" s="83" t="n">
        <f aca="false">IF(F1675&lt;(Inputs!$E$15-Inputs!$D$15)/(Inputs!$F$15-Inputs!$D$15),Inputs!$D$15+SQRT(F1675*(Inputs!$F$15-Inputs!$D$15)*(Inputs!$E$15-Inputs!$D$15)),Inputs!$F$15-SQRT((1-F1675)*(Inputs!$F$15-Inputs!$D$15)*(Inputs!$F$15-Inputs!$E$15)))</f>
        <v>0.742585618405524</v>
      </c>
      <c r="H1675" s="81" t="n">
        <f aca="true">RAND()</f>
        <v>0.0439943194762801</v>
      </c>
      <c r="I1675" s="82" t="n">
        <f aca="false">ROUND(IF(H1675&lt;(Inputs!$E$17-Inputs!$D$17)/(Inputs!$F$17-Inputs!$D$17),Inputs!$D$17+SQRT(H1675*(Inputs!$F$17-Inputs!$D$17)*(Inputs!$E$17-Inputs!$D$17)),Inputs!$F$17-SQRT((1-H1675)*(Inputs!$F$17-Inputs!$D$17)*(Inputs!$F$17-Inputs!$E$17))),0)</f>
        <v>102</v>
      </c>
      <c r="J1675" s="81" t="n">
        <f aca="true">RAND()</f>
        <v>0.405204228706615</v>
      </c>
      <c r="K1675" s="83" t="n">
        <f aca="false">IF(J1675&lt;(Inputs!$E$18-Inputs!$D$18)/(Inputs!$F$18-Inputs!$D$18),Inputs!$D$18+SQRT(J1675*(Inputs!$F$18-Inputs!$D$18)*(Inputs!$E$18-Inputs!$D$18)),Inputs!$F$18-SQRT((1-J1675)*(Inputs!$F$18-Inputs!$D$18)*(Inputs!$F$18-Inputs!$E$18)))</f>
        <v>1.02186707824566</v>
      </c>
      <c r="L1675" s="81" t="n">
        <f aca="true">RAND()</f>
        <v>0.938847605190908</v>
      </c>
      <c r="M1675" s="83" t="n">
        <f aca="false">IF(L1675&lt;(Inputs!$E$24-Inputs!$D$24)/(Inputs!$F$24-Inputs!$D$24),Inputs!$D$24+SQRT(L1675*(Inputs!$F$24-Inputs!$D$24)*(Inputs!$E$24-Inputs!$D$24)),Inputs!$F$24-SQRT((1-L1675)*(Inputs!$F$24-Inputs!$D$24)*(Inputs!$F$24-Inputs!$E$24)))</f>
        <v>1.0788530860724</v>
      </c>
      <c r="N1675" s="81" t="n">
        <f aca="true">RAND()</f>
        <v>0.665330326905092</v>
      </c>
      <c r="O1675" s="83" t="n">
        <f aca="false">IF(N1675&lt;(Inputs!$E$26-Inputs!$D$26)/(Inputs!$F$26-Inputs!$D$26),Inputs!$D$26+SQRT(N1675*(Inputs!$F$26-Inputs!$D$26)*(Inputs!$E$26-Inputs!$D$26)),Inputs!$F$26-SQRT((1-N1675)*(Inputs!$F$26-Inputs!$D$26)*(Inputs!$F$26-Inputs!$E$26)))</f>
        <v>0.633437286678526</v>
      </c>
      <c r="P1675" s="81" t="n">
        <f aca="true">RAND()</f>
        <v>0.853647672132084</v>
      </c>
      <c r="Q1675" s="82" t="n">
        <f aca="false">IF(P1675&lt;(Inputs!$E$27-Inputs!$D$27)/(Inputs!$F$27-Inputs!$D$27),Inputs!$D$27+SQRT(P1675*(Inputs!$F$27-Inputs!$D$27)*(Inputs!$E$27-Inputs!$D$27)),Inputs!$F$27-SQRT((1-P1675)*(Inputs!$F$27-Inputs!$D$27)*(Inputs!$F$27-Inputs!$E$27)))</f>
        <v>116.86931242776</v>
      </c>
      <c r="R1675" s="81" t="n">
        <f aca="true">RAND()</f>
        <v>0.713768240407599</v>
      </c>
      <c r="S1675" s="82" t="n">
        <f aca="false">IF(R1675&lt;(Inputs!$E$29-Inputs!$D$29)/(Inputs!$F$29-Inputs!$D$29),Inputs!$D$29+SQRT(R1675*(Inputs!$F$29-Inputs!$D$29)*(Inputs!$E$29-Inputs!$D$29)),Inputs!$F$29-SQRT((1-R1675)*(Inputs!$F$29-Inputs!$D$29)*(Inputs!$F$29-Inputs!$E$29)))</f>
        <v>8.89998944697535</v>
      </c>
      <c r="T1675" s="68" t="n">
        <f aca="false">Inputs!$E$9*(1+E1675)+Inputs!$E$5*C1675*(Inputs!$E$11*Inputs!$E$14*(G1675*I1675/Inputs!$E$16+(1-G1675))*K1675+Inputs!$E$23*M1675)*(1+O1675)+Inputs!$E$5*(Q1675+S1675)</f>
        <v>6810.88188778709</v>
      </c>
    </row>
    <row r="1676" customFormat="false" ht="15" hidden="false" customHeight="false" outlineLevel="0" collapsed="false">
      <c r="A1676" s="1" t="n">
        <v>1672</v>
      </c>
      <c r="B1676" s="81" t="n">
        <f aca="true">RAND()</f>
        <v>0.0474463976810659</v>
      </c>
      <c r="C1676" s="82" t="n">
        <f aca="false">ROUND(IF(B1676&lt;(Inputs!$E$8-Inputs!$D$8)/(Inputs!$F$8-Inputs!$D$8),Inputs!$D$8+SQRT(B1676*(Inputs!$F$8-Inputs!$D$8)*(Inputs!$E$8-Inputs!$D$8)),Inputs!$F$8-SQRT((1-B1676)*(Inputs!$F$8-Inputs!$D$8)*(Inputs!$F$8-Inputs!$E$8))),0)</f>
        <v>22</v>
      </c>
      <c r="D1676" s="81" t="n">
        <f aca="true">RAND()</f>
        <v>0.813716731230822</v>
      </c>
      <c r="E1676" s="83" t="n">
        <f aca="false">IF(D1676&lt;(Inputs!$E$10-Inputs!$D$10)/(Inputs!$F$10-Inputs!$D$10),Inputs!$D$10+SQRT(D1676*(Inputs!$F$10-Inputs!$D$10)*(Inputs!$E$10-Inputs!$D$10)),Inputs!$F$10-SQRT((1-D1676)*(Inputs!$F$10-Inputs!$D$10)*(Inputs!$F$10-Inputs!$E$10)))</f>
        <v>0.125243742314938</v>
      </c>
      <c r="F1676" s="81" t="n">
        <f aca="true">RAND()</f>
        <v>0.350162877246265</v>
      </c>
      <c r="G1676" s="83" t="n">
        <f aca="false">IF(F1676&lt;(Inputs!$E$15-Inputs!$D$15)/(Inputs!$F$15-Inputs!$D$15),Inputs!$D$15+SQRT(F1676*(Inputs!$F$15-Inputs!$D$15)*(Inputs!$E$15-Inputs!$D$15)),Inputs!$F$15-SQRT((1-F1676)*(Inputs!$F$15-Inputs!$D$15)*(Inputs!$F$15-Inputs!$E$15)))</f>
        <v>0.683685467943516</v>
      </c>
      <c r="H1676" s="81" t="n">
        <f aca="true">RAND()</f>
        <v>0.491054913796956</v>
      </c>
      <c r="I1676" s="82" t="n">
        <f aca="false">ROUND(IF(H1676&lt;(Inputs!$E$17-Inputs!$D$17)/(Inputs!$F$17-Inputs!$D$17),Inputs!$D$17+SQRT(H1676*(Inputs!$F$17-Inputs!$D$17)*(Inputs!$E$17-Inputs!$D$17)),Inputs!$F$17-SQRT((1-H1676)*(Inputs!$F$17-Inputs!$D$17)*(Inputs!$F$17-Inputs!$E$17))),0)</f>
        <v>106</v>
      </c>
      <c r="J1676" s="81" t="n">
        <f aca="true">RAND()</f>
        <v>0.986205804086092</v>
      </c>
      <c r="K1676" s="83" t="n">
        <f aca="false">IF(J1676&lt;(Inputs!$E$18-Inputs!$D$18)/(Inputs!$F$18-Inputs!$D$18),Inputs!$D$18+SQRT(J1676*(Inputs!$F$18-Inputs!$D$18)*(Inputs!$E$18-Inputs!$D$18)),Inputs!$F$18-SQRT((1-J1676)*(Inputs!$F$18-Inputs!$D$18)*(Inputs!$F$18-Inputs!$E$18)))</f>
        <v>1.21525820755247</v>
      </c>
      <c r="L1676" s="81" t="n">
        <f aca="true">RAND()</f>
        <v>0.313463315372038</v>
      </c>
      <c r="M1676" s="83" t="n">
        <f aca="false">IF(L1676&lt;(Inputs!$E$24-Inputs!$D$24)/(Inputs!$F$24-Inputs!$D$24),Inputs!$D$24+SQRT(L1676*(Inputs!$F$24-Inputs!$D$24)*(Inputs!$E$24-Inputs!$D$24)),Inputs!$F$24-SQRT((1-L1676)*(Inputs!$F$24-Inputs!$D$24)*(Inputs!$F$24-Inputs!$E$24)))</f>
        <v>0.793947409997258</v>
      </c>
      <c r="N1676" s="81" t="n">
        <f aca="true">RAND()</f>
        <v>0.987785117944682</v>
      </c>
      <c r="O1676" s="83" t="n">
        <f aca="false">IF(N1676&lt;(Inputs!$E$26-Inputs!$D$26)/(Inputs!$F$26-Inputs!$D$26),Inputs!$D$26+SQRT(N1676*(Inputs!$F$26-Inputs!$D$26)*(Inputs!$E$26-Inputs!$D$26)),Inputs!$F$26-SQRT((1-N1676)*(Inputs!$F$26-Inputs!$D$26)*(Inputs!$F$26-Inputs!$E$26)))</f>
        <v>0.784358062149302</v>
      </c>
      <c r="P1676" s="81" t="n">
        <f aca="true">RAND()</f>
        <v>0.342100591273664</v>
      </c>
      <c r="Q1676" s="82" t="n">
        <f aca="false">IF(P1676&lt;(Inputs!$E$27-Inputs!$D$27)/(Inputs!$F$27-Inputs!$D$27),Inputs!$D$27+SQRT(P1676*(Inputs!$F$27-Inputs!$D$27)*(Inputs!$E$27-Inputs!$D$27)),Inputs!$F$27-SQRT((1-P1676)*(Inputs!$F$27-Inputs!$D$27)*(Inputs!$F$27-Inputs!$E$27)))</f>
        <v>79.7558147214482</v>
      </c>
      <c r="R1676" s="81" t="n">
        <f aca="true">RAND()</f>
        <v>0.131514612038814</v>
      </c>
      <c r="S1676" s="82" t="n">
        <f aca="false">IF(R1676&lt;(Inputs!$E$29-Inputs!$D$29)/(Inputs!$F$29-Inputs!$D$29),Inputs!$D$29+SQRT(R1676*(Inputs!$F$29-Inputs!$D$29)*(Inputs!$E$29-Inputs!$D$29)),Inputs!$F$29-SQRT((1-R1676)*(Inputs!$F$29-Inputs!$D$29)*(Inputs!$F$29-Inputs!$E$29)))</f>
        <v>4.26474498995223</v>
      </c>
      <c r="T1676" s="68" t="n">
        <f aca="false">Inputs!$E$9*(1+E1676)+Inputs!$E$5*C1676*(Inputs!$E$11*Inputs!$E$14*(G1676*I1676/Inputs!$E$16+(1-G1676))*K1676+Inputs!$E$23*M1676)*(1+O1676)+Inputs!$E$5*(Q1676+S1676)</f>
        <v>6608.13075972394</v>
      </c>
    </row>
    <row r="1677" customFormat="false" ht="15" hidden="false" customHeight="false" outlineLevel="0" collapsed="false">
      <c r="A1677" s="1" t="n">
        <v>1673</v>
      </c>
      <c r="B1677" s="81" t="n">
        <f aca="true">RAND()</f>
        <v>0.312173561509023</v>
      </c>
      <c r="C1677" s="82" t="n">
        <f aca="false">ROUND(IF(B1677&lt;(Inputs!$E$8-Inputs!$D$8)/(Inputs!$F$8-Inputs!$D$8),Inputs!$D$8+SQRT(B1677*(Inputs!$F$8-Inputs!$D$8)*(Inputs!$E$8-Inputs!$D$8)),Inputs!$F$8-SQRT((1-B1677)*(Inputs!$F$8-Inputs!$D$8)*(Inputs!$F$8-Inputs!$E$8))),0)</f>
        <v>24</v>
      </c>
      <c r="D1677" s="81" t="n">
        <f aca="true">RAND()</f>
        <v>0.545844056782833</v>
      </c>
      <c r="E1677" s="83" t="n">
        <f aca="false">IF(D1677&lt;(Inputs!$E$10-Inputs!$D$10)/(Inputs!$F$10-Inputs!$D$10),Inputs!$D$10+SQRT(D1677*(Inputs!$F$10-Inputs!$D$10)*(Inputs!$E$10-Inputs!$D$10)),Inputs!$F$10-SQRT((1-D1677)*(Inputs!$F$10-Inputs!$D$10)*(Inputs!$F$10-Inputs!$E$10)))</f>
        <v>0.0832752027351728</v>
      </c>
      <c r="F1677" s="81" t="n">
        <f aca="true">RAND()</f>
        <v>0.890963014469379</v>
      </c>
      <c r="G1677" s="83" t="n">
        <f aca="false">IF(F1677&lt;(Inputs!$E$15-Inputs!$D$15)/(Inputs!$F$15-Inputs!$D$15),Inputs!$D$15+SQRT(F1677*(Inputs!$F$15-Inputs!$D$15)*(Inputs!$E$15-Inputs!$D$15)),Inputs!$F$15-SQRT((1-F1677)*(Inputs!$F$15-Inputs!$D$15)*(Inputs!$F$15-Inputs!$E$15)))</f>
        <v>0.753301609121808</v>
      </c>
      <c r="H1677" s="81" t="n">
        <f aca="true">RAND()</f>
        <v>0.317631658313576</v>
      </c>
      <c r="I1677" s="82" t="n">
        <f aca="false">ROUND(IF(H1677&lt;(Inputs!$E$17-Inputs!$D$17)/(Inputs!$F$17-Inputs!$D$17),Inputs!$D$17+SQRT(H1677*(Inputs!$F$17-Inputs!$D$17)*(Inputs!$E$17-Inputs!$D$17)),Inputs!$F$17-SQRT((1-H1677)*(Inputs!$F$17-Inputs!$D$17)*(Inputs!$F$17-Inputs!$E$17))),0)</f>
        <v>105</v>
      </c>
      <c r="J1677" s="81" t="n">
        <f aca="true">RAND()</f>
        <v>0.677572250957472</v>
      </c>
      <c r="K1677" s="83" t="n">
        <f aca="false">IF(J1677&lt;(Inputs!$E$18-Inputs!$D$18)/(Inputs!$F$18-Inputs!$D$18),Inputs!$D$18+SQRT(J1677*(Inputs!$F$18-Inputs!$D$18)*(Inputs!$E$18-Inputs!$D$18)),Inputs!$F$18-SQRT((1-J1677)*(Inputs!$F$18-Inputs!$D$18)*(Inputs!$F$18-Inputs!$E$18)))</f>
        <v>1.0820344438844</v>
      </c>
      <c r="L1677" s="81" t="n">
        <f aca="true">RAND()</f>
        <v>0.500528630500864</v>
      </c>
      <c r="M1677" s="83" t="n">
        <f aca="false">IF(L1677&lt;(Inputs!$E$24-Inputs!$D$24)/(Inputs!$F$24-Inputs!$D$24),Inputs!$D$24+SQRT(L1677*(Inputs!$F$24-Inputs!$D$24)*(Inputs!$E$24-Inputs!$D$24)),Inputs!$F$24-SQRT((1-L1677)*(Inputs!$F$24-Inputs!$D$24)*(Inputs!$F$24-Inputs!$E$24)))</f>
        <v>0.853773009891209</v>
      </c>
      <c r="N1677" s="81" t="n">
        <f aca="true">RAND()</f>
        <v>0.598414857809882</v>
      </c>
      <c r="O1677" s="83" t="n">
        <f aca="false">IF(N1677&lt;(Inputs!$E$26-Inputs!$D$26)/(Inputs!$F$26-Inputs!$D$26),Inputs!$D$26+SQRT(N1677*(Inputs!$F$26-Inputs!$D$26)*(Inputs!$E$26-Inputs!$D$26)),Inputs!$F$26-SQRT((1-N1677)*(Inputs!$F$26-Inputs!$D$26)*(Inputs!$F$26-Inputs!$E$26)))</f>
        <v>0.615557019157496</v>
      </c>
      <c r="P1677" s="81" t="n">
        <f aca="true">RAND()</f>
        <v>0.410541298070139</v>
      </c>
      <c r="Q1677" s="82" t="n">
        <f aca="false">IF(P1677&lt;(Inputs!$E$27-Inputs!$D$27)/(Inputs!$F$27-Inputs!$D$27),Inputs!$D$27+SQRT(P1677*(Inputs!$F$27-Inputs!$D$27)*(Inputs!$E$27-Inputs!$D$27)),Inputs!$F$27-SQRT((1-P1677)*(Inputs!$F$27-Inputs!$D$27)*(Inputs!$F$27-Inputs!$E$27)))</f>
        <v>83.5098483647845</v>
      </c>
      <c r="R1677" s="81" t="n">
        <f aca="true">RAND()</f>
        <v>0.810745395998097</v>
      </c>
      <c r="S1677" s="82" t="n">
        <f aca="false">IF(R1677&lt;(Inputs!$E$29-Inputs!$D$29)/(Inputs!$F$29-Inputs!$D$29),Inputs!$D$29+SQRT(R1677*(Inputs!$F$29-Inputs!$D$29)*(Inputs!$E$29-Inputs!$D$29)),Inputs!$F$29-SQRT((1-R1677)*(Inputs!$F$29-Inputs!$D$29)*(Inputs!$F$29-Inputs!$E$29)))</f>
        <v>10.0398489417914</v>
      </c>
      <c r="T1677" s="68" t="n">
        <f aca="false">Inputs!$E$9*(1+E1677)+Inputs!$E$5*C1677*(Inputs!$E$11*Inputs!$E$14*(G1677*I1677/Inputs!$E$16+(1-G1677))*K1677+Inputs!$E$23*M1677)*(1+O1677)+Inputs!$E$5*(Q1677+S1677)</f>
        <v>6209.63694293784</v>
      </c>
    </row>
    <row r="1678" customFormat="false" ht="15" hidden="false" customHeight="false" outlineLevel="0" collapsed="false">
      <c r="A1678" s="1" t="n">
        <v>1674</v>
      </c>
      <c r="B1678" s="81" t="n">
        <f aca="true">RAND()</f>
        <v>0.966954651626064</v>
      </c>
      <c r="C1678" s="82" t="n">
        <f aca="false">ROUND(IF(B1678&lt;(Inputs!$E$8-Inputs!$D$8)/(Inputs!$F$8-Inputs!$D$8),Inputs!$D$8+SQRT(B1678*(Inputs!$F$8-Inputs!$D$8)*(Inputs!$E$8-Inputs!$D$8)),Inputs!$F$8-SQRT((1-B1678)*(Inputs!$F$8-Inputs!$D$8)*(Inputs!$F$8-Inputs!$E$8))),0)</f>
        <v>29</v>
      </c>
      <c r="D1678" s="81" t="n">
        <f aca="true">RAND()</f>
        <v>0.015076169597028</v>
      </c>
      <c r="E1678" s="83" t="n">
        <f aca="false">IF(D1678&lt;(Inputs!$E$10-Inputs!$D$10)/(Inputs!$F$10-Inputs!$D$10),Inputs!$D$10+SQRT(D1678*(Inputs!$F$10-Inputs!$D$10)*(Inputs!$E$10-Inputs!$D$10)),Inputs!$F$10-SQRT((1-D1678)*(Inputs!$F$10-Inputs!$D$10)*(Inputs!$F$10-Inputs!$E$10)))</f>
        <v>0.0122785054453007</v>
      </c>
      <c r="F1678" s="81" t="n">
        <f aca="true">RAND()</f>
        <v>0.909713874773838</v>
      </c>
      <c r="G1678" s="83" t="n">
        <f aca="false">IF(F1678&lt;(Inputs!$E$15-Inputs!$D$15)/(Inputs!$F$15-Inputs!$D$15),Inputs!$D$15+SQRT(F1678*(Inputs!$F$15-Inputs!$D$15)*(Inputs!$E$15-Inputs!$D$15)),Inputs!$F$15-SQRT((1-F1678)*(Inputs!$F$15-Inputs!$D$15)*(Inputs!$F$15-Inputs!$E$15)))</f>
        <v>0.757506206282291</v>
      </c>
      <c r="H1678" s="81" t="n">
        <f aca="true">RAND()</f>
        <v>0.329750257564562</v>
      </c>
      <c r="I1678" s="82" t="n">
        <f aca="false">ROUND(IF(H1678&lt;(Inputs!$E$17-Inputs!$D$17)/(Inputs!$F$17-Inputs!$D$17),Inputs!$D$17+SQRT(H1678*(Inputs!$F$17-Inputs!$D$17)*(Inputs!$E$17-Inputs!$D$17)),Inputs!$F$17-SQRT((1-H1678)*(Inputs!$F$17-Inputs!$D$17)*(Inputs!$F$17-Inputs!$E$17))),0)</f>
        <v>105</v>
      </c>
      <c r="J1678" s="81" t="n">
        <f aca="true">RAND()</f>
        <v>0.273886796746077</v>
      </c>
      <c r="K1678" s="83" t="n">
        <f aca="false">IF(J1678&lt;(Inputs!$E$18-Inputs!$D$18)/(Inputs!$F$18-Inputs!$D$18),Inputs!$D$18+SQRT(J1678*(Inputs!$F$18-Inputs!$D$18)*(Inputs!$E$18-Inputs!$D$18)),Inputs!$F$18-SQRT((1-J1678)*(Inputs!$F$18-Inputs!$D$18)*(Inputs!$F$18-Inputs!$E$18)))</f>
        <v>0.997908313672092</v>
      </c>
      <c r="L1678" s="81" t="n">
        <f aca="true">RAND()</f>
        <v>0.605424730738705</v>
      </c>
      <c r="M1678" s="83" t="n">
        <f aca="false">IF(L1678&lt;(Inputs!$E$24-Inputs!$D$24)/(Inputs!$F$24-Inputs!$D$24),Inputs!$D$24+SQRT(L1678*(Inputs!$F$24-Inputs!$D$24)*(Inputs!$E$24-Inputs!$D$24)),Inputs!$F$24-SQRT((1-L1678)*(Inputs!$F$24-Inputs!$D$24)*(Inputs!$F$24-Inputs!$E$24)))</f>
        <v>0.892269493513056</v>
      </c>
      <c r="N1678" s="81" t="n">
        <f aca="true">RAND()</f>
        <v>0.760953227241842</v>
      </c>
      <c r="O1678" s="83" t="n">
        <f aca="false">IF(N1678&lt;(Inputs!$E$26-Inputs!$D$26)/(Inputs!$F$26-Inputs!$D$26),Inputs!$D$26+SQRT(N1678*(Inputs!$F$26-Inputs!$D$26)*(Inputs!$E$26-Inputs!$D$26)),Inputs!$F$26-SQRT((1-N1678)*(Inputs!$F$26-Inputs!$D$26)*(Inputs!$F$26-Inputs!$E$26)))</f>
        <v>0.662326716382107</v>
      </c>
      <c r="P1678" s="81" t="n">
        <f aca="true">RAND()</f>
        <v>0.0178411331776943</v>
      </c>
      <c r="Q1678" s="82" t="n">
        <f aca="false">IF(P1678&lt;(Inputs!$E$27-Inputs!$D$27)/(Inputs!$F$27-Inputs!$D$27),Inputs!$D$27+SQRT(P1678*(Inputs!$F$27-Inputs!$D$27)*(Inputs!$E$27-Inputs!$D$27)),Inputs!$F$27-SQRT((1-P1678)*(Inputs!$F$27-Inputs!$D$27)*(Inputs!$F$27-Inputs!$E$27)))</f>
        <v>56.6785352394246</v>
      </c>
      <c r="R1678" s="81" t="n">
        <f aca="true">RAND()</f>
        <v>0.822767209723233</v>
      </c>
      <c r="S1678" s="82" t="n">
        <f aca="false">IF(R1678&lt;(Inputs!$E$29-Inputs!$D$29)/(Inputs!$F$29-Inputs!$D$29),Inputs!$D$29+SQRT(R1678*(Inputs!$F$29-Inputs!$D$29)*(Inputs!$E$29-Inputs!$D$29)),Inputs!$F$29-SQRT((1-R1678)*(Inputs!$F$29-Inputs!$D$29)*(Inputs!$F$29-Inputs!$E$29)))</f>
        <v>10.1999726317468</v>
      </c>
      <c r="T1678" s="68" t="n">
        <f aca="false">Inputs!$E$9*(1+E1678)+Inputs!$E$5*C1678*(Inputs!$E$11*Inputs!$E$14*(G1678*I1678/Inputs!$E$16+(1-G1678))*K1678+Inputs!$E$23*M1678)*(1+O1678)+Inputs!$E$5*(Q1678+S1678)</f>
        <v>6586.14556110211</v>
      </c>
    </row>
    <row r="1679" customFormat="false" ht="15" hidden="false" customHeight="false" outlineLevel="0" collapsed="false">
      <c r="A1679" s="1" t="n">
        <v>1675</v>
      </c>
      <c r="B1679" s="81" t="n">
        <f aca="true">RAND()</f>
        <v>0.640870854361126</v>
      </c>
      <c r="C1679" s="82" t="n">
        <f aca="false">ROUND(IF(B1679&lt;(Inputs!$E$8-Inputs!$D$8)/(Inputs!$F$8-Inputs!$D$8),Inputs!$D$8+SQRT(B1679*(Inputs!$F$8-Inputs!$D$8)*(Inputs!$E$8-Inputs!$D$8)),Inputs!$F$8-SQRT((1-B1679)*(Inputs!$F$8-Inputs!$D$8)*(Inputs!$F$8-Inputs!$E$8))),0)</f>
        <v>26</v>
      </c>
      <c r="D1679" s="81" t="n">
        <f aca="true">RAND()</f>
        <v>0.315659359488456</v>
      </c>
      <c r="E1679" s="83" t="n">
        <f aca="false">IF(D1679&lt;(Inputs!$E$10-Inputs!$D$10)/(Inputs!$F$10-Inputs!$D$10),Inputs!$D$10+SQRT(D1679*(Inputs!$F$10-Inputs!$D$10)*(Inputs!$E$10-Inputs!$D$10)),Inputs!$F$10-SQRT((1-D1679)*(Inputs!$F$10-Inputs!$D$10)*(Inputs!$F$10-Inputs!$E$10)))</f>
        <v>0.0567162981517217</v>
      </c>
      <c r="F1679" s="81" t="n">
        <f aca="true">RAND()</f>
        <v>0.359377968246987</v>
      </c>
      <c r="G1679" s="83" t="n">
        <f aca="false">IF(F1679&lt;(Inputs!$E$15-Inputs!$D$15)/(Inputs!$F$15-Inputs!$D$15),Inputs!$D$15+SQRT(F1679*(Inputs!$F$15-Inputs!$D$15)*(Inputs!$E$15-Inputs!$D$15)),Inputs!$F$15-SQRT((1-F1679)*(Inputs!$F$15-Inputs!$D$15)*(Inputs!$F$15-Inputs!$E$15)))</f>
        <v>0.684779474903657</v>
      </c>
      <c r="H1679" s="81" t="n">
        <f aca="true">RAND()</f>
        <v>0.406808508831595</v>
      </c>
      <c r="I1679" s="82" t="n">
        <f aca="false">ROUND(IF(H1679&lt;(Inputs!$E$17-Inputs!$D$17)/(Inputs!$F$17-Inputs!$D$17),Inputs!$D$17+SQRT(H1679*(Inputs!$F$17-Inputs!$D$17)*(Inputs!$E$17-Inputs!$D$17)),Inputs!$F$17-SQRT((1-H1679)*(Inputs!$F$17-Inputs!$D$17)*(Inputs!$F$17-Inputs!$E$17))),0)</f>
        <v>106</v>
      </c>
      <c r="J1679" s="81" t="n">
        <f aca="true">RAND()</f>
        <v>0.730399566858842</v>
      </c>
      <c r="K1679" s="83" t="n">
        <f aca="false">IF(J1679&lt;(Inputs!$E$18-Inputs!$D$18)/(Inputs!$F$18-Inputs!$D$18),Inputs!$D$18+SQRT(J1679*(Inputs!$F$18-Inputs!$D$18)*(Inputs!$E$18-Inputs!$D$18)),Inputs!$F$18-SQRT((1-J1679)*(Inputs!$F$18-Inputs!$D$18)*(Inputs!$F$18-Inputs!$E$18)))</f>
        <v>1.0964095123393</v>
      </c>
      <c r="L1679" s="81" t="n">
        <f aca="true">RAND()</f>
        <v>0.562740533826196</v>
      </c>
      <c r="M1679" s="83" t="n">
        <f aca="false">IF(L1679&lt;(Inputs!$E$24-Inputs!$D$24)/(Inputs!$F$24-Inputs!$D$24),Inputs!$D$24+SQRT(L1679*(Inputs!$F$24-Inputs!$D$24)*(Inputs!$E$24-Inputs!$D$24)),Inputs!$F$24-SQRT((1-L1679)*(Inputs!$F$24-Inputs!$D$24)*(Inputs!$F$24-Inputs!$E$24)))</f>
        <v>0.876052053746728</v>
      </c>
      <c r="N1679" s="81" t="n">
        <f aca="true">RAND()</f>
        <v>0.27557828423479</v>
      </c>
      <c r="O1679" s="83" t="n">
        <f aca="false">IF(N1679&lt;(Inputs!$E$26-Inputs!$D$26)/(Inputs!$F$26-Inputs!$D$26),Inputs!$D$26+SQRT(N1679*(Inputs!$F$26-Inputs!$D$26)*(Inputs!$E$26-Inputs!$D$26)),Inputs!$F$26-SQRT((1-N1679)*(Inputs!$F$26-Inputs!$D$26)*(Inputs!$F$26-Inputs!$E$26)))</f>
        <v>0.514140669880033</v>
      </c>
      <c r="P1679" s="81" t="n">
        <f aca="true">RAND()</f>
        <v>0.647993624813487</v>
      </c>
      <c r="Q1679" s="82" t="n">
        <f aca="false">IF(P1679&lt;(Inputs!$E$27-Inputs!$D$27)/(Inputs!$F$27-Inputs!$D$27),Inputs!$D$27+SQRT(P1679*(Inputs!$F$27-Inputs!$D$27)*(Inputs!$E$27-Inputs!$D$27)),Inputs!$F$27-SQRT((1-P1679)*(Inputs!$F$27-Inputs!$D$27)*(Inputs!$F$27-Inputs!$E$27)))</f>
        <v>98.6186043990741</v>
      </c>
      <c r="R1679" s="81" t="n">
        <f aca="true">RAND()</f>
        <v>0.0669203561452918</v>
      </c>
      <c r="S1679" s="82" t="n">
        <f aca="false">IF(R1679&lt;(Inputs!$E$29-Inputs!$D$29)/(Inputs!$F$29-Inputs!$D$29),Inputs!$D$29+SQRT(R1679*(Inputs!$F$29-Inputs!$D$29)*(Inputs!$E$29-Inputs!$D$29)),Inputs!$F$29-SQRT((1-R1679)*(Inputs!$F$29-Inputs!$D$29)*(Inputs!$F$29-Inputs!$E$29)))</f>
        <v>3.61551660148275</v>
      </c>
      <c r="T1679" s="68" t="n">
        <f aca="false">Inputs!$E$9*(1+E1679)+Inputs!$E$5*C1679*(Inputs!$E$11*Inputs!$E$14*(G1679*I1679/Inputs!$E$16+(1-G1679))*K1679+Inputs!$E$23*M1679)*(1+O1679)+Inputs!$E$5*(Q1679+S1679)</f>
        <v>6417.56414337575</v>
      </c>
    </row>
    <row r="1680" customFormat="false" ht="15" hidden="false" customHeight="false" outlineLevel="0" collapsed="false">
      <c r="A1680" s="1" t="n">
        <v>1676</v>
      </c>
      <c r="B1680" s="81" t="n">
        <f aca="true">RAND()</f>
        <v>0.722591052399671</v>
      </c>
      <c r="C1680" s="82" t="n">
        <f aca="false">ROUND(IF(B1680&lt;(Inputs!$E$8-Inputs!$D$8)/(Inputs!$F$8-Inputs!$D$8),Inputs!$D$8+SQRT(B1680*(Inputs!$F$8-Inputs!$D$8)*(Inputs!$E$8-Inputs!$D$8)),Inputs!$F$8-SQRT((1-B1680)*(Inputs!$F$8-Inputs!$D$8)*(Inputs!$F$8-Inputs!$E$8))),0)</f>
        <v>26</v>
      </c>
      <c r="D1680" s="81" t="n">
        <f aca="true">RAND()</f>
        <v>0.100302247324812</v>
      </c>
      <c r="E1680" s="83" t="n">
        <f aca="false">IF(D1680&lt;(Inputs!$E$10-Inputs!$D$10)/(Inputs!$F$10-Inputs!$D$10),Inputs!$D$10+SQRT(D1680*(Inputs!$F$10-Inputs!$D$10)*(Inputs!$E$10-Inputs!$D$10)),Inputs!$F$10-SQRT((1-D1680)*(Inputs!$F$10-Inputs!$D$10)*(Inputs!$F$10-Inputs!$E$10)))</f>
        <v>0.0316705300436876</v>
      </c>
      <c r="F1680" s="81" t="n">
        <f aca="true">RAND()</f>
        <v>0.510714251720892</v>
      </c>
      <c r="G1680" s="83" t="n">
        <f aca="false">IF(F1680&lt;(Inputs!$E$15-Inputs!$D$15)/(Inputs!$F$15-Inputs!$D$15),Inputs!$D$15+SQRT(F1680*(Inputs!$F$15-Inputs!$D$15)*(Inputs!$E$15-Inputs!$D$15)),Inputs!$F$15-SQRT((1-F1680)*(Inputs!$F$15-Inputs!$D$15)*(Inputs!$F$15-Inputs!$E$15)))</f>
        <v>0.701077227264991</v>
      </c>
      <c r="H1680" s="81" t="n">
        <f aca="true">RAND()</f>
        <v>0.570256181174637</v>
      </c>
      <c r="I1680" s="82" t="n">
        <f aca="false">ROUND(IF(H1680&lt;(Inputs!$E$17-Inputs!$D$17)/(Inputs!$F$17-Inputs!$D$17),Inputs!$D$17+SQRT(H1680*(Inputs!$F$17-Inputs!$D$17)*(Inputs!$E$17-Inputs!$D$17)),Inputs!$F$17-SQRT((1-H1680)*(Inputs!$F$17-Inputs!$D$17)*(Inputs!$F$17-Inputs!$E$17))),0)</f>
        <v>107</v>
      </c>
      <c r="J1680" s="81" t="n">
        <f aca="true">RAND()</f>
        <v>0.774753675768039</v>
      </c>
      <c r="K1680" s="83" t="n">
        <f aca="false">IF(J1680&lt;(Inputs!$E$18-Inputs!$D$18)/(Inputs!$F$18-Inputs!$D$18),Inputs!$D$18+SQRT(J1680*(Inputs!$F$18-Inputs!$D$18)*(Inputs!$E$18-Inputs!$D$18)),Inputs!$F$18-SQRT((1-J1680)*(Inputs!$F$18-Inputs!$D$18)*(Inputs!$F$18-Inputs!$E$18)))</f>
        <v>1.10961106393203</v>
      </c>
      <c r="L1680" s="81" t="n">
        <f aca="true">RAND()</f>
        <v>0.500542032271105</v>
      </c>
      <c r="M1680" s="83" t="n">
        <f aca="false">IF(L1680&lt;(Inputs!$E$24-Inputs!$D$24)/(Inputs!$F$24-Inputs!$D$24),Inputs!$D$24+SQRT(L1680*(Inputs!$F$24-Inputs!$D$24)*(Inputs!$E$24-Inputs!$D$24)),Inputs!$F$24-SQRT((1-L1680)*(Inputs!$F$24-Inputs!$D$24)*(Inputs!$F$24-Inputs!$E$24)))</f>
        <v>0.853777654887882</v>
      </c>
      <c r="N1680" s="81" t="n">
        <f aca="true">RAND()</f>
        <v>0.296884502148303</v>
      </c>
      <c r="O1680" s="83" t="n">
        <f aca="false">IF(N1680&lt;(Inputs!$E$26-Inputs!$D$26)/(Inputs!$F$26-Inputs!$D$26),Inputs!$D$26+SQRT(N1680*(Inputs!$F$26-Inputs!$D$26)*(Inputs!$E$26-Inputs!$D$26)),Inputs!$F$26-SQRT((1-N1680)*(Inputs!$F$26-Inputs!$D$26)*(Inputs!$F$26-Inputs!$E$26)))</f>
        <v>0.522264664662374</v>
      </c>
      <c r="P1680" s="81" t="n">
        <f aca="true">RAND()</f>
        <v>0.33232225058005</v>
      </c>
      <c r="Q1680" s="82" t="n">
        <f aca="false">IF(P1680&lt;(Inputs!$E$27-Inputs!$D$27)/(Inputs!$F$27-Inputs!$D$27),Inputs!$D$27+SQRT(P1680*(Inputs!$F$27-Inputs!$D$27)*(Inputs!$E$27-Inputs!$D$27)),Inputs!$F$27-SQRT((1-P1680)*(Inputs!$F$27-Inputs!$D$27)*(Inputs!$F$27-Inputs!$E$27)))</f>
        <v>79.2357214362386</v>
      </c>
      <c r="R1680" s="81" t="n">
        <f aca="true">RAND()</f>
        <v>0.0871841919504682</v>
      </c>
      <c r="S1680" s="82" t="n">
        <f aca="false">IF(R1680&lt;(Inputs!$E$29-Inputs!$D$29)/(Inputs!$F$29-Inputs!$D$29),Inputs!$D$29+SQRT(R1680*(Inputs!$F$29-Inputs!$D$29)*(Inputs!$E$29-Inputs!$D$29)),Inputs!$F$29-SQRT((1-R1680)*(Inputs!$F$29-Inputs!$D$29)*(Inputs!$F$29-Inputs!$E$29)))</f>
        <v>3.84395864543331</v>
      </c>
      <c r="T1680" s="68" t="n">
        <f aca="false">Inputs!$E$9*(1+E1680)+Inputs!$E$5*C1680*(Inputs!$E$11*Inputs!$E$14*(G1680*I1680/Inputs!$E$16+(1-G1680))*K1680+Inputs!$E$23*M1680)*(1+O1680)+Inputs!$E$5*(Q1680+S1680)</f>
        <v>6272.22898728962</v>
      </c>
    </row>
    <row r="1681" customFormat="false" ht="15" hidden="false" customHeight="false" outlineLevel="0" collapsed="false">
      <c r="A1681" s="1" t="n">
        <v>1677</v>
      </c>
      <c r="B1681" s="81" t="n">
        <f aca="true">RAND()</f>
        <v>0.754852033561594</v>
      </c>
      <c r="C1681" s="82" t="n">
        <f aca="false">ROUND(IF(B1681&lt;(Inputs!$E$8-Inputs!$D$8)/(Inputs!$F$8-Inputs!$D$8),Inputs!$D$8+SQRT(B1681*(Inputs!$F$8-Inputs!$D$8)*(Inputs!$E$8-Inputs!$D$8)),Inputs!$F$8-SQRT((1-B1681)*(Inputs!$F$8-Inputs!$D$8)*(Inputs!$F$8-Inputs!$E$8))),0)</f>
        <v>26</v>
      </c>
      <c r="D1681" s="81" t="n">
        <f aca="true">RAND()</f>
        <v>0.427106212627445</v>
      </c>
      <c r="E1681" s="83" t="n">
        <f aca="false">IF(D1681&lt;(Inputs!$E$10-Inputs!$D$10)/(Inputs!$F$10-Inputs!$D$10),Inputs!$D$10+SQRT(D1681*(Inputs!$F$10-Inputs!$D$10)*(Inputs!$E$10-Inputs!$D$10)),Inputs!$F$10-SQRT((1-D1681)*(Inputs!$F$10-Inputs!$D$10)*(Inputs!$F$10-Inputs!$E$10)))</f>
        <v>0.0689015117509868</v>
      </c>
      <c r="F1681" s="81" t="n">
        <f aca="true">RAND()</f>
        <v>0.237676254358948</v>
      </c>
      <c r="G1681" s="83" t="n">
        <f aca="false">IF(F1681&lt;(Inputs!$E$15-Inputs!$D$15)/(Inputs!$F$15-Inputs!$D$15),Inputs!$D$15+SQRT(F1681*(Inputs!$F$15-Inputs!$D$15)*(Inputs!$E$15-Inputs!$D$15)),Inputs!$F$15-SQRT((1-F1681)*(Inputs!$F$15-Inputs!$D$15)*(Inputs!$F$15-Inputs!$E$15)))</f>
        <v>0.668945812687784</v>
      </c>
      <c r="H1681" s="81" t="n">
        <f aca="true">RAND()</f>
        <v>0.805492498562545</v>
      </c>
      <c r="I1681" s="82" t="n">
        <f aca="false">ROUND(IF(H1681&lt;(Inputs!$E$17-Inputs!$D$17)/(Inputs!$F$17-Inputs!$D$17),Inputs!$D$17+SQRT(H1681*(Inputs!$F$17-Inputs!$D$17)*(Inputs!$E$17-Inputs!$D$17)),Inputs!$F$17-SQRT((1-H1681)*(Inputs!$F$17-Inputs!$D$17)*(Inputs!$F$17-Inputs!$E$17))),0)</f>
        <v>110</v>
      </c>
      <c r="J1681" s="81" t="n">
        <f aca="true">RAND()</f>
        <v>0.938763755872049</v>
      </c>
      <c r="K1681" s="83" t="n">
        <f aca="false">IF(J1681&lt;(Inputs!$E$18-Inputs!$D$18)/(Inputs!$F$18-Inputs!$D$18),Inputs!$D$18+SQRT(J1681*(Inputs!$F$18-Inputs!$D$18)*(Inputs!$E$18-Inputs!$D$18)),Inputs!$F$18-SQRT((1-J1681)*(Inputs!$F$18-Inputs!$D$18)*(Inputs!$F$18-Inputs!$E$18)))</f>
        <v>1.17680046884579</v>
      </c>
      <c r="L1681" s="81" t="n">
        <f aca="true">RAND()</f>
        <v>0.923050977062424</v>
      </c>
      <c r="M1681" s="83" t="n">
        <f aca="false">IF(L1681&lt;(Inputs!$E$24-Inputs!$D$24)/(Inputs!$F$24-Inputs!$D$24),Inputs!$D$24+SQRT(L1681*(Inputs!$F$24-Inputs!$D$24)*(Inputs!$E$24-Inputs!$D$24)),Inputs!$F$24-SQRT((1-L1681)*(Inputs!$F$24-Inputs!$D$24)*(Inputs!$F$24-Inputs!$E$24)))</f>
        <v>1.06410384293506</v>
      </c>
      <c r="N1681" s="81" t="n">
        <f aca="true">RAND()</f>
        <v>0.251500308951888</v>
      </c>
      <c r="O1681" s="83" t="n">
        <f aca="false">IF(N1681&lt;(Inputs!$E$26-Inputs!$D$26)/(Inputs!$F$26-Inputs!$D$26),Inputs!$D$26+SQRT(N1681*(Inputs!$F$26-Inputs!$D$26)*(Inputs!$E$26-Inputs!$D$26)),Inputs!$F$26-SQRT((1-N1681)*(Inputs!$F$26-Inputs!$D$26)*(Inputs!$F$26-Inputs!$E$26)))</f>
        <v>0.504571873456725</v>
      </c>
      <c r="P1681" s="81" t="n">
        <f aca="true">RAND()</f>
        <v>0.445355720769499</v>
      </c>
      <c r="Q1681" s="82" t="n">
        <f aca="false">IF(P1681&lt;(Inputs!$E$27-Inputs!$D$27)/(Inputs!$F$27-Inputs!$D$27),Inputs!$D$27+SQRT(P1681*(Inputs!$F$27-Inputs!$D$27)*(Inputs!$E$27-Inputs!$D$27)),Inputs!$F$27-SQRT((1-P1681)*(Inputs!$F$27-Inputs!$D$27)*(Inputs!$F$27-Inputs!$E$27)))</f>
        <v>85.5032396609817</v>
      </c>
      <c r="R1681" s="81" t="n">
        <f aca="true">RAND()</f>
        <v>0.924080085688054</v>
      </c>
      <c r="S1681" s="82" t="n">
        <f aca="false">IF(R1681&lt;(Inputs!$E$29-Inputs!$D$29)/(Inputs!$F$29-Inputs!$D$29),Inputs!$D$29+SQRT(R1681*(Inputs!$F$29-Inputs!$D$29)*(Inputs!$E$29-Inputs!$D$29)),Inputs!$F$29-SQRT((1-R1681)*(Inputs!$F$29-Inputs!$D$29)*(Inputs!$F$29-Inputs!$E$29)))</f>
        <v>11.8584098197644</v>
      </c>
      <c r="T1681" s="68" t="n">
        <f aca="false">Inputs!$E$9*(1+E1681)+Inputs!$E$5*C1681*(Inputs!$E$11*Inputs!$E$14*(G1681*I1681/Inputs!$E$16+(1-G1681))*K1681+Inputs!$E$23*M1681)*(1+O1681)+Inputs!$E$5*(Q1681+S1681)</f>
        <v>6906.25764989767</v>
      </c>
    </row>
    <row r="1682" customFormat="false" ht="15" hidden="false" customHeight="false" outlineLevel="0" collapsed="false">
      <c r="A1682" s="1" t="n">
        <v>1678</v>
      </c>
      <c r="B1682" s="81" t="n">
        <f aca="true">RAND()</f>
        <v>0.787225157540285</v>
      </c>
      <c r="C1682" s="82" t="n">
        <f aca="false">ROUND(IF(B1682&lt;(Inputs!$E$8-Inputs!$D$8)/(Inputs!$F$8-Inputs!$D$8),Inputs!$D$8+SQRT(B1682*(Inputs!$F$8-Inputs!$D$8)*(Inputs!$E$8-Inputs!$D$8)),Inputs!$F$8-SQRT((1-B1682)*(Inputs!$F$8-Inputs!$D$8)*(Inputs!$F$8-Inputs!$E$8))),0)</f>
        <v>27</v>
      </c>
      <c r="D1682" s="81" t="n">
        <f aca="true">RAND()</f>
        <v>0.643827008525767</v>
      </c>
      <c r="E1682" s="83" t="n">
        <f aca="false">IF(D1682&lt;(Inputs!$E$10-Inputs!$D$10)/(Inputs!$F$10-Inputs!$D$10),Inputs!$D$10+SQRT(D1682*(Inputs!$F$10-Inputs!$D$10)*(Inputs!$E$10-Inputs!$D$10)),Inputs!$F$10-SQRT((1-D1682)*(Inputs!$F$10-Inputs!$D$10)*(Inputs!$F$10-Inputs!$E$10)))</f>
        <v>0.0966308085345203</v>
      </c>
      <c r="F1682" s="81" t="n">
        <f aca="true">RAND()</f>
        <v>0.542150996818106</v>
      </c>
      <c r="G1682" s="83" t="n">
        <f aca="false">IF(F1682&lt;(Inputs!$E$15-Inputs!$D$15)/(Inputs!$F$15-Inputs!$D$15),Inputs!$D$15+SQRT(F1682*(Inputs!$F$15-Inputs!$D$15)*(Inputs!$E$15-Inputs!$D$15)),Inputs!$F$15-SQRT((1-F1682)*(Inputs!$F$15-Inputs!$D$15)*(Inputs!$F$15-Inputs!$E$15)))</f>
        <v>0.704307889229896</v>
      </c>
      <c r="H1682" s="81" t="n">
        <f aca="true">RAND()</f>
        <v>0.454269857874628</v>
      </c>
      <c r="I1682" s="82" t="n">
        <f aca="false">ROUND(IF(H1682&lt;(Inputs!$E$17-Inputs!$D$17)/(Inputs!$F$17-Inputs!$D$17),Inputs!$D$17+SQRT(H1682*(Inputs!$F$17-Inputs!$D$17)*(Inputs!$E$17-Inputs!$D$17)),Inputs!$F$17-SQRT((1-H1682)*(Inputs!$F$17-Inputs!$D$17)*(Inputs!$F$17-Inputs!$E$17))),0)</f>
        <v>106</v>
      </c>
      <c r="J1682" s="81" t="n">
        <f aca="true">RAND()</f>
        <v>0.630824655880218</v>
      </c>
      <c r="K1682" s="83" t="n">
        <f aca="false">IF(J1682&lt;(Inputs!$E$18-Inputs!$D$18)/(Inputs!$F$18-Inputs!$D$18),Inputs!$D$18+SQRT(J1682*(Inputs!$F$18-Inputs!$D$18)*(Inputs!$E$18-Inputs!$D$18)),Inputs!$F$18-SQRT((1-J1682)*(Inputs!$F$18-Inputs!$D$18)*(Inputs!$F$18-Inputs!$E$18)))</f>
        <v>1.07027008426397</v>
      </c>
      <c r="L1682" s="81" t="n">
        <f aca="true">RAND()</f>
        <v>0.787765614330978</v>
      </c>
      <c r="M1682" s="83" t="n">
        <f aca="false">IF(L1682&lt;(Inputs!$E$24-Inputs!$D$24)/(Inputs!$F$24-Inputs!$D$24),Inputs!$D$24+SQRT(L1682*(Inputs!$F$24-Inputs!$D$24)*(Inputs!$E$24-Inputs!$D$24)),Inputs!$F$24-SQRT((1-L1682)*(Inputs!$F$24-Inputs!$D$24)*(Inputs!$F$24-Inputs!$E$24)))</f>
        <v>0.974309387522287</v>
      </c>
      <c r="N1682" s="81" t="n">
        <f aca="true">RAND()</f>
        <v>0.00961527852075034</v>
      </c>
      <c r="O1682" s="83" t="n">
        <f aca="false">IF(N1682&lt;(Inputs!$E$26-Inputs!$D$26)/(Inputs!$F$26-Inputs!$D$26),Inputs!$D$26+SQRT(N1682*(Inputs!$F$26-Inputs!$D$26)*(Inputs!$E$26-Inputs!$D$26)),Inputs!$F$26-SQRT((1-N1682)*(Inputs!$F$26-Inputs!$D$26)*(Inputs!$F$26-Inputs!$E$26)))</f>
        <v>0.339999779322552</v>
      </c>
      <c r="P1682" s="81" t="n">
        <f aca="true">RAND()</f>
        <v>0.45762705588843</v>
      </c>
      <c r="Q1682" s="82" t="n">
        <f aca="false">IF(P1682&lt;(Inputs!$E$27-Inputs!$D$27)/(Inputs!$F$27-Inputs!$D$27),Inputs!$D$27+SQRT(P1682*(Inputs!$F$27-Inputs!$D$27)*(Inputs!$E$27-Inputs!$D$27)),Inputs!$F$27-SQRT((1-P1682)*(Inputs!$F$27-Inputs!$D$27)*(Inputs!$F$27-Inputs!$E$27)))</f>
        <v>86.2207158958587</v>
      </c>
      <c r="R1682" s="81" t="n">
        <f aca="true">RAND()</f>
        <v>0.704315285540557</v>
      </c>
      <c r="S1682" s="82" t="n">
        <f aca="false">IF(R1682&lt;(Inputs!$E$29-Inputs!$D$29)/(Inputs!$F$29-Inputs!$D$29),Inputs!$D$29+SQRT(R1682*(Inputs!$F$29-Inputs!$D$29)*(Inputs!$E$29-Inputs!$D$29)),Inputs!$F$29-SQRT((1-R1682)*(Inputs!$F$29-Inputs!$D$29)*(Inputs!$F$29-Inputs!$E$29)))</f>
        <v>8.80007960698465</v>
      </c>
      <c r="T1682" s="68" t="n">
        <f aca="false">Inputs!$E$9*(1+E1682)+Inputs!$E$5*C1682*(Inputs!$E$11*Inputs!$E$14*(G1682*I1682/Inputs!$E$16+(1-G1682))*K1682+Inputs!$E$23*M1682)*(1+O1682)+Inputs!$E$5*(Q1682+S1682)</f>
        <v>6229.63623398347</v>
      </c>
    </row>
    <row r="1683" customFormat="false" ht="15" hidden="false" customHeight="false" outlineLevel="0" collapsed="false">
      <c r="A1683" s="1" t="n">
        <v>1679</v>
      </c>
      <c r="B1683" s="81" t="n">
        <f aca="true">RAND()</f>
        <v>0.804967126152079</v>
      </c>
      <c r="C1683" s="82" t="n">
        <f aca="false">ROUND(IF(B1683&lt;(Inputs!$E$8-Inputs!$D$8)/(Inputs!$F$8-Inputs!$D$8),Inputs!$D$8+SQRT(B1683*(Inputs!$F$8-Inputs!$D$8)*(Inputs!$E$8-Inputs!$D$8)),Inputs!$F$8-SQRT((1-B1683)*(Inputs!$F$8-Inputs!$D$8)*(Inputs!$F$8-Inputs!$E$8))),0)</f>
        <v>27</v>
      </c>
      <c r="D1683" s="81" t="n">
        <f aca="true">RAND()</f>
        <v>0.39185411121664</v>
      </c>
      <c r="E1683" s="83" t="n">
        <f aca="false">IF(D1683&lt;(Inputs!$E$10-Inputs!$D$10)/(Inputs!$F$10-Inputs!$D$10),Inputs!$D$10+SQRT(D1683*(Inputs!$F$10-Inputs!$D$10)*(Inputs!$E$10-Inputs!$D$10)),Inputs!$F$10-SQRT((1-D1683)*(Inputs!$F$10-Inputs!$D$10)*(Inputs!$F$10-Inputs!$E$10)))</f>
        <v>0.0649282536445879</v>
      </c>
      <c r="F1683" s="81" t="n">
        <f aca="true">RAND()</f>
        <v>0.856317063695992</v>
      </c>
      <c r="G1683" s="83" t="n">
        <f aca="false">IF(F1683&lt;(Inputs!$E$15-Inputs!$D$15)/(Inputs!$F$15-Inputs!$D$15),Inputs!$D$15+SQRT(F1683*(Inputs!$F$15-Inputs!$D$15)*(Inputs!$E$15-Inputs!$D$15)),Inputs!$F$15-SQRT((1-F1683)*(Inputs!$F$15-Inputs!$D$15)*(Inputs!$F$15-Inputs!$E$15)))</f>
        <v>0.746393482429091</v>
      </c>
      <c r="H1683" s="81" t="n">
        <f aca="true">RAND()</f>
        <v>0.624665166497983</v>
      </c>
      <c r="I1683" s="82" t="n">
        <f aca="false">ROUND(IF(H1683&lt;(Inputs!$E$17-Inputs!$D$17)/(Inputs!$F$17-Inputs!$D$17),Inputs!$D$17+SQRT(H1683*(Inputs!$F$17-Inputs!$D$17)*(Inputs!$E$17-Inputs!$D$17)),Inputs!$F$17-SQRT((1-H1683)*(Inputs!$F$17-Inputs!$D$17)*(Inputs!$F$17-Inputs!$E$17))),0)</f>
        <v>107</v>
      </c>
      <c r="J1683" s="81" t="n">
        <f aca="true">RAND()</f>
        <v>0.635220613514558</v>
      </c>
      <c r="K1683" s="83" t="n">
        <f aca="false">IF(J1683&lt;(Inputs!$E$18-Inputs!$D$18)/(Inputs!$F$18-Inputs!$D$18),Inputs!$D$18+SQRT(J1683*(Inputs!$F$18-Inputs!$D$18)*(Inputs!$E$18-Inputs!$D$18)),Inputs!$F$18-SQRT((1-J1683)*(Inputs!$F$18-Inputs!$D$18)*(Inputs!$F$18-Inputs!$E$18)))</f>
        <v>1.07134335635786</v>
      </c>
      <c r="L1683" s="81" t="n">
        <f aca="true">RAND()</f>
        <v>0.210671226602177</v>
      </c>
      <c r="M1683" s="83" t="n">
        <f aca="false">IF(L1683&lt;(Inputs!$E$24-Inputs!$D$24)/(Inputs!$F$24-Inputs!$D$24),Inputs!$D$24+SQRT(L1683*(Inputs!$F$24-Inputs!$D$24)*(Inputs!$E$24-Inputs!$D$24)),Inputs!$F$24-SQRT((1-L1683)*(Inputs!$F$24-Inputs!$D$24)*(Inputs!$F$24-Inputs!$E$24)))</f>
        <v>0.758998576069917</v>
      </c>
      <c r="N1683" s="81" t="n">
        <f aca="true">RAND()</f>
        <v>0.18072824157196</v>
      </c>
      <c r="O1683" s="83" t="n">
        <f aca="false">IF(N1683&lt;(Inputs!$E$26-Inputs!$D$26)/(Inputs!$F$26-Inputs!$D$26),Inputs!$D$26+SQRT(N1683*(Inputs!$F$26-Inputs!$D$26)*(Inputs!$E$26-Inputs!$D$26)),Inputs!$F$26-SQRT((1-N1683)*(Inputs!$F$26-Inputs!$D$26)*(Inputs!$F$26-Inputs!$E$26)))</f>
        <v>0.473416202811543</v>
      </c>
      <c r="P1683" s="81" t="n">
        <f aca="true">RAND()</f>
        <v>0.967339929038116</v>
      </c>
      <c r="Q1683" s="82" t="n">
        <f aca="false">IF(P1683&lt;(Inputs!$E$27-Inputs!$D$27)/(Inputs!$F$27-Inputs!$D$27),Inputs!$D$27+SQRT(P1683*(Inputs!$F$27-Inputs!$D$27)*(Inputs!$E$27-Inputs!$D$27)),Inputs!$F$27-SQRT((1-P1683)*(Inputs!$F$27-Inputs!$D$27)*(Inputs!$F$27-Inputs!$E$27)))</f>
        <v>134.349104427729</v>
      </c>
      <c r="R1683" s="81" t="n">
        <f aca="true">RAND()</f>
        <v>0.844840139820407</v>
      </c>
      <c r="S1683" s="82" t="n">
        <f aca="false">IF(R1683&lt;(Inputs!$E$29-Inputs!$D$29)/(Inputs!$F$29-Inputs!$D$29),Inputs!$D$29+SQRT(R1683*(Inputs!$F$29-Inputs!$D$29)*(Inputs!$E$29-Inputs!$D$29)),Inputs!$F$29-SQRT((1-R1683)*(Inputs!$F$29-Inputs!$D$29)*(Inputs!$F$29-Inputs!$E$29)))</f>
        <v>10.5088106449018</v>
      </c>
      <c r="T1683" s="68" t="n">
        <f aca="false">Inputs!$E$9*(1+E1683)+Inputs!$E$5*C1683*(Inputs!$E$11*Inputs!$E$14*(G1683*I1683/Inputs!$E$16+(1-G1683))*K1683+Inputs!$E$23*M1683)*(1+O1683)+Inputs!$E$5*(Q1683+S1683)</f>
        <v>6392.99397204204</v>
      </c>
    </row>
    <row r="1684" customFormat="false" ht="15" hidden="false" customHeight="false" outlineLevel="0" collapsed="false">
      <c r="A1684" s="1" t="n">
        <v>1680</v>
      </c>
      <c r="B1684" s="81" t="n">
        <f aca="true">RAND()</f>
        <v>0.668857394260665</v>
      </c>
      <c r="C1684" s="82" t="n">
        <f aca="false">ROUND(IF(B1684&lt;(Inputs!$E$8-Inputs!$D$8)/(Inputs!$F$8-Inputs!$D$8),Inputs!$D$8+SQRT(B1684*(Inputs!$F$8-Inputs!$D$8)*(Inputs!$E$8-Inputs!$D$8)),Inputs!$F$8-SQRT((1-B1684)*(Inputs!$F$8-Inputs!$D$8)*(Inputs!$F$8-Inputs!$E$8))),0)</f>
        <v>26</v>
      </c>
      <c r="D1684" s="81" t="n">
        <f aca="true">RAND()</f>
        <v>0.547093832692563</v>
      </c>
      <c r="E1684" s="83" t="n">
        <f aca="false">IF(D1684&lt;(Inputs!$E$10-Inputs!$D$10)/(Inputs!$F$10-Inputs!$D$10),Inputs!$D$10+SQRT(D1684*(Inputs!$F$10-Inputs!$D$10)*(Inputs!$E$10-Inputs!$D$10)),Inputs!$F$10-SQRT((1-D1684)*(Inputs!$F$10-Inputs!$D$10)*(Inputs!$F$10-Inputs!$E$10)))</f>
        <v>0.0834359188290702</v>
      </c>
      <c r="F1684" s="81" t="n">
        <f aca="true">RAND()</f>
        <v>0.640428090240956</v>
      </c>
      <c r="G1684" s="83" t="n">
        <f aca="false">IF(F1684&lt;(Inputs!$E$15-Inputs!$D$15)/(Inputs!$F$15-Inputs!$D$15),Inputs!$D$15+SQRT(F1684*(Inputs!$F$15-Inputs!$D$15)*(Inputs!$E$15-Inputs!$D$15)),Inputs!$F$15-SQRT((1-F1684)*(Inputs!$F$15-Inputs!$D$15)*(Inputs!$F$15-Inputs!$E$15)))</f>
        <v>0.715197652183558</v>
      </c>
      <c r="H1684" s="81" t="n">
        <f aca="true">RAND()</f>
        <v>0.351594271242651</v>
      </c>
      <c r="I1684" s="82" t="n">
        <f aca="false">ROUND(IF(H1684&lt;(Inputs!$E$17-Inputs!$D$17)/(Inputs!$F$17-Inputs!$D$17),Inputs!$D$17+SQRT(H1684*(Inputs!$F$17-Inputs!$D$17)*(Inputs!$E$17-Inputs!$D$17)),Inputs!$F$17-SQRT((1-H1684)*(Inputs!$F$17-Inputs!$D$17)*(Inputs!$F$17-Inputs!$E$17))),0)</f>
        <v>105</v>
      </c>
      <c r="J1684" s="81" t="n">
        <f aca="true">RAND()</f>
        <v>0.688367019539087</v>
      </c>
      <c r="K1684" s="83" t="n">
        <f aca="false">IF(J1684&lt;(Inputs!$E$18-Inputs!$D$18)/(Inputs!$F$18-Inputs!$D$18),Inputs!$D$18+SQRT(J1684*(Inputs!$F$18-Inputs!$D$18)*(Inputs!$E$18-Inputs!$D$18)),Inputs!$F$18-SQRT((1-J1684)*(Inputs!$F$18-Inputs!$D$18)*(Inputs!$F$18-Inputs!$E$18)))</f>
        <v>1.08487009419754</v>
      </c>
      <c r="L1684" s="81" t="n">
        <f aca="true">RAND()</f>
        <v>0.643910686216495</v>
      </c>
      <c r="M1684" s="83" t="n">
        <f aca="false">IF(L1684&lt;(Inputs!$E$24-Inputs!$D$24)/(Inputs!$F$24-Inputs!$D$24),Inputs!$D$24+SQRT(L1684*(Inputs!$F$24-Inputs!$D$24)*(Inputs!$E$24-Inputs!$D$24)),Inputs!$F$24-SQRT((1-L1684)*(Inputs!$F$24-Inputs!$D$24)*(Inputs!$F$24-Inputs!$E$24)))</f>
        <v>0.90766212132527</v>
      </c>
      <c r="N1684" s="81" t="n">
        <f aca="true">RAND()</f>
        <v>0.793281145421155</v>
      </c>
      <c r="O1684" s="83" t="n">
        <f aca="false">IF(N1684&lt;(Inputs!$E$26-Inputs!$D$26)/(Inputs!$F$26-Inputs!$D$26),Inputs!$D$26+SQRT(N1684*(Inputs!$F$26-Inputs!$D$26)*(Inputs!$E$26-Inputs!$D$26)),Inputs!$F$26-SQRT((1-N1684)*(Inputs!$F$26-Inputs!$D$26)*(Inputs!$F$26-Inputs!$E$26)))</f>
        <v>0.673375442451819</v>
      </c>
      <c r="P1684" s="81" t="n">
        <f aca="true">RAND()</f>
        <v>0.799213705468442</v>
      </c>
      <c r="Q1684" s="82" t="n">
        <f aca="false">IF(P1684&lt;(Inputs!$E$27-Inputs!$D$27)/(Inputs!$F$27-Inputs!$D$27),Inputs!$D$27+SQRT(P1684*(Inputs!$F$27-Inputs!$D$27)*(Inputs!$E$27-Inputs!$D$27)),Inputs!$F$27-SQRT((1-P1684)*(Inputs!$F$27-Inputs!$D$27)*(Inputs!$F$27-Inputs!$E$27)))</f>
        <v>111.194108578894</v>
      </c>
      <c r="R1684" s="81" t="n">
        <f aca="true">RAND()</f>
        <v>0.0868542394120074</v>
      </c>
      <c r="S1684" s="82" t="n">
        <f aca="false">IF(R1684&lt;(Inputs!$E$29-Inputs!$D$29)/(Inputs!$F$29-Inputs!$D$29),Inputs!$D$29+SQRT(R1684*(Inputs!$F$29-Inputs!$D$29)*(Inputs!$E$29-Inputs!$D$29)),Inputs!$F$29-SQRT((1-R1684)*(Inputs!$F$29-Inputs!$D$29)*(Inputs!$F$29-Inputs!$E$29)))</f>
        <v>3.84046606517705</v>
      </c>
      <c r="T1684" s="68" t="n">
        <f aca="false">Inputs!$E$9*(1+E1684)+Inputs!$E$5*C1684*(Inputs!$E$11*Inputs!$E$14*(G1684*I1684/Inputs!$E$16+(1-G1684))*K1684+Inputs!$E$23*M1684)*(1+O1684)+Inputs!$E$5*(Q1684+S1684)</f>
        <v>6877.41433651099</v>
      </c>
    </row>
    <row r="1685" customFormat="false" ht="15" hidden="false" customHeight="false" outlineLevel="0" collapsed="false">
      <c r="A1685" s="1" t="n">
        <v>1681</v>
      </c>
      <c r="B1685" s="81" t="n">
        <f aca="true">RAND()</f>
        <v>0.579714767629532</v>
      </c>
      <c r="C1685" s="82" t="n">
        <f aca="false">ROUND(IF(B1685&lt;(Inputs!$E$8-Inputs!$D$8)/(Inputs!$F$8-Inputs!$D$8),Inputs!$D$8+SQRT(B1685*(Inputs!$F$8-Inputs!$D$8)*(Inputs!$E$8-Inputs!$D$8)),Inputs!$F$8-SQRT((1-B1685)*(Inputs!$F$8-Inputs!$D$8)*(Inputs!$F$8-Inputs!$E$8))),0)</f>
        <v>25</v>
      </c>
      <c r="D1685" s="81" t="n">
        <f aca="true">RAND()</f>
        <v>0.349464403984382</v>
      </c>
      <c r="E1685" s="83" t="n">
        <f aca="false">IF(D1685&lt;(Inputs!$E$10-Inputs!$D$10)/(Inputs!$F$10-Inputs!$D$10),Inputs!$D$10+SQRT(D1685*(Inputs!$F$10-Inputs!$D$10)*(Inputs!$E$10-Inputs!$D$10)),Inputs!$F$10-SQRT((1-D1685)*(Inputs!$F$10-Inputs!$D$10)*(Inputs!$F$10-Inputs!$E$10)))</f>
        <v>0.0603000791679947</v>
      </c>
      <c r="F1685" s="81" t="n">
        <f aca="true">RAND()</f>
        <v>0.399070565974232</v>
      </c>
      <c r="G1685" s="83" t="n">
        <f aca="false">IF(F1685&lt;(Inputs!$E$15-Inputs!$D$15)/(Inputs!$F$15-Inputs!$D$15),Inputs!$D$15+SQRT(F1685*(Inputs!$F$15-Inputs!$D$15)*(Inputs!$E$15-Inputs!$D$15)),Inputs!$F$15-SQRT((1-F1685)*(Inputs!$F$15-Inputs!$D$15)*(Inputs!$F$15-Inputs!$E$15)))</f>
        <v>0.689338744783463</v>
      </c>
      <c r="H1685" s="81" t="n">
        <f aca="true">RAND()</f>
        <v>0.0949732899911734</v>
      </c>
      <c r="I1685" s="82" t="n">
        <f aca="false">ROUND(IF(H1685&lt;(Inputs!$E$17-Inputs!$D$17)/(Inputs!$F$17-Inputs!$D$17),Inputs!$D$17+SQRT(H1685*(Inputs!$F$17-Inputs!$D$17)*(Inputs!$E$17-Inputs!$D$17)),Inputs!$F$17-SQRT((1-H1685)*(Inputs!$F$17-Inputs!$D$17)*(Inputs!$F$17-Inputs!$E$17))),0)</f>
        <v>103</v>
      </c>
      <c r="J1685" s="81" t="n">
        <f aca="true">RAND()</f>
        <v>0.841202871833562</v>
      </c>
      <c r="K1685" s="83" t="n">
        <f aca="false">IF(J1685&lt;(Inputs!$E$18-Inputs!$D$18)/(Inputs!$F$18-Inputs!$D$18),Inputs!$D$18+SQRT(J1685*(Inputs!$F$18-Inputs!$D$18)*(Inputs!$E$18-Inputs!$D$18)),Inputs!$F$18-SQRT((1-J1685)*(Inputs!$F$18-Inputs!$D$18)*(Inputs!$F$18-Inputs!$E$18)))</f>
        <v>1.13212401128914</v>
      </c>
      <c r="L1685" s="81" t="n">
        <f aca="true">RAND()</f>
        <v>0.949067441329904</v>
      </c>
      <c r="M1685" s="83" t="n">
        <f aca="false">IF(L1685&lt;(Inputs!$E$24-Inputs!$D$24)/(Inputs!$F$24-Inputs!$D$24),Inputs!$D$24+SQRT(L1685*(Inputs!$F$24-Inputs!$D$24)*(Inputs!$E$24-Inputs!$D$24)),Inputs!$F$24-SQRT((1-L1685)*(Inputs!$F$24-Inputs!$D$24)*(Inputs!$F$24-Inputs!$E$24)))</f>
        <v>1.08943864110448</v>
      </c>
      <c r="N1685" s="81" t="n">
        <f aca="true">RAND()</f>
        <v>0.976521780849847</v>
      </c>
      <c r="O1685" s="83" t="n">
        <f aca="false">IF(N1685&lt;(Inputs!$E$26-Inputs!$D$26)/(Inputs!$F$26-Inputs!$D$26),Inputs!$D$26+SQRT(N1685*(Inputs!$F$26-Inputs!$D$26)*(Inputs!$E$26-Inputs!$D$26)),Inputs!$F$26-SQRT((1-N1685)*(Inputs!$F$26-Inputs!$D$26)*(Inputs!$F$26-Inputs!$E$26)))</f>
        <v>0.770586087064311</v>
      </c>
      <c r="P1685" s="81" t="n">
        <f aca="true">RAND()</f>
        <v>0.738732344171742</v>
      </c>
      <c r="Q1685" s="82" t="n">
        <f aca="false">IF(P1685&lt;(Inputs!$E$27-Inputs!$D$27)/(Inputs!$F$27-Inputs!$D$27),Inputs!$D$27+SQRT(P1685*(Inputs!$F$27-Inputs!$D$27)*(Inputs!$E$27-Inputs!$D$27)),Inputs!$F$27-SQRT((1-P1685)*(Inputs!$F$27-Inputs!$D$27)*(Inputs!$F$27-Inputs!$E$27)))</f>
        <v>105.733676245797</v>
      </c>
      <c r="R1685" s="81" t="n">
        <f aca="true">RAND()</f>
        <v>0.198173340793015</v>
      </c>
      <c r="S1685" s="82" t="n">
        <f aca="false">IF(R1685&lt;(Inputs!$E$29-Inputs!$D$29)/(Inputs!$F$29-Inputs!$D$29),Inputs!$D$29+SQRT(R1685*(Inputs!$F$29-Inputs!$D$29)*(Inputs!$E$29-Inputs!$D$29)),Inputs!$F$29-SQRT((1-R1685)*(Inputs!$F$29-Inputs!$D$29)*(Inputs!$F$29-Inputs!$E$29)))</f>
        <v>4.78006479977133</v>
      </c>
      <c r="T1685" s="68" t="n">
        <f aca="false">Inputs!$E$9*(1+E1685)+Inputs!$E$5*C1685*(Inputs!$E$11*Inputs!$E$14*(G1685*I1685/Inputs!$E$16+(1-G1685))*K1685+Inputs!$E$23*M1685)*(1+O1685)+Inputs!$E$5*(Q1685+S1685)</f>
        <v>7284.60589899218</v>
      </c>
    </row>
    <row r="1686" customFormat="false" ht="15" hidden="false" customHeight="false" outlineLevel="0" collapsed="false">
      <c r="A1686" s="1" t="n">
        <v>1682</v>
      </c>
      <c r="B1686" s="81" t="n">
        <f aca="true">RAND()</f>
        <v>0.775912796696465</v>
      </c>
      <c r="C1686" s="82" t="n">
        <f aca="false">ROUND(IF(B1686&lt;(Inputs!$E$8-Inputs!$D$8)/(Inputs!$F$8-Inputs!$D$8),Inputs!$D$8+SQRT(B1686*(Inputs!$F$8-Inputs!$D$8)*(Inputs!$E$8-Inputs!$D$8)),Inputs!$F$8-SQRT((1-B1686)*(Inputs!$F$8-Inputs!$D$8)*(Inputs!$F$8-Inputs!$E$8))),0)</f>
        <v>27</v>
      </c>
      <c r="D1686" s="81" t="n">
        <f aca="true">RAND()</f>
        <v>0.565887945023512</v>
      </c>
      <c r="E1686" s="83" t="n">
        <f aca="false">IF(D1686&lt;(Inputs!$E$10-Inputs!$D$10)/(Inputs!$F$10-Inputs!$D$10),Inputs!$D$10+SQRT(D1686*(Inputs!$F$10-Inputs!$D$10)*(Inputs!$E$10-Inputs!$D$10)),Inputs!$F$10-SQRT((1-D1686)*(Inputs!$F$10-Inputs!$D$10)*(Inputs!$F$10-Inputs!$E$10)))</f>
        <v>0.0858800558653544</v>
      </c>
      <c r="F1686" s="81" t="n">
        <f aca="true">RAND()</f>
        <v>0.945952399608914</v>
      </c>
      <c r="G1686" s="83" t="n">
        <f aca="false">IF(F1686&lt;(Inputs!$E$15-Inputs!$D$15)/(Inputs!$F$15-Inputs!$D$15),Inputs!$D$15+SQRT(F1686*(Inputs!$F$15-Inputs!$D$15)*(Inputs!$E$15-Inputs!$D$15)),Inputs!$F$15-SQRT((1-F1686)*(Inputs!$F$15-Inputs!$D$15)*(Inputs!$F$15-Inputs!$E$15)))</f>
        <v>0.767122165402482</v>
      </c>
      <c r="H1686" s="81" t="n">
        <f aca="true">RAND()</f>
        <v>0.925692677945074</v>
      </c>
      <c r="I1686" s="82" t="n">
        <f aca="false">ROUND(IF(H1686&lt;(Inputs!$E$17-Inputs!$D$17)/(Inputs!$F$17-Inputs!$D$17),Inputs!$D$17+SQRT(H1686*(Inputs!$F$17-Inputs!$D$17)*(Inputs!$E$17-Inputs!$D$17)),Inputs!$F$17-SQRT((1-H1686)*(Inputs!$F$17-Inputs!$D$17)*(Inputs!$F$17-Inputs!$E$17))),0)</f>
        <v>112</v>
      </c>
      <c r="J1686" s="81" t="n">
        <f aca="true">RAND()</f>
        <v>0.216013010698679</v>
      </c>
      <c r="K1686" s="83" t="n">
        <f aca="false">IF(J1686&lt;(Inputs!$E$18-Inputs!$D$18)/(Inputs!$F$18-Inputs!$D$18),Inputs!$D$18+SQRT(J1686*(Inputs!$F$18-Inputs!$D$18)*(Inputs!$E$18-Inputs!$D$18)),Inputs!$F$18-SQRT((1-J1686)*(Inputs!$F$18-Inputs!$D$18)*(Inputs!$F$18-Inputs!$E$18)))</f>
        <v>0.986950879089597</v>
      </c>
      <c r="L1686" s="81" t="n">
        <f aca="true">RAND()</f>
        <v>0.647020201824686</v>
      </c>
      <c r="M1686" s="83" t="n">
        <f aca="false">IF(L1686&lt;(Inputs!$E$24-Inputs!$D$24)/(Inputs!$F$24-Inputs!$D$24),Inputs!$D$24+SQRT(L1686*(Inputs!$F$24-Inputs!$D$24)*(Inputs!$E$24-Inputs!$D$24)),Inputs!$F$24-SQRT((1-L1686)*(Inputs!$F$24-Inputs!$D$24)*(Inputs!$F$24-Inputs!$E$24)))</f>
        <v>0.908941326255211</v>
      </c>
      <c r="N1686" s="81" t="n">
        <f aca="true">RAND()</f>
        <v>0.715411950993134</v>
      </c>
      <c r="O1686" s="83" t="n">
        <f aca="false">IF(N1686&lt;(Inputs!$E$26-Inputs!$D$26)/(Inputs!$F$26-Inputs!$D$26),Inputs!$D$26+SQRT(N1686*(Inputs!$F$26-Inputs!$D$26)*(Inputs!$E$26-Inputs!$D$26)),Inputs!$F$26-SQRT((1-N1686)*(Inputs!$F$26-Inputs!$D$26)*(Inputs!$F$26-Inputs!$E$26)))</f>
        <v>0.647961756877391</v>
      </c>
      <c r="P1686" s="81" t="n">
        <f aca="true">RAND()</f>
        <v>0.882220152873954</v>
      </c>
      <c r="Q1686" s="82" t="n">
        <f aca="false">IF(P1686&lt;(Inputs!$E$27-Inputs!$D$27)/(Inputs!$F$27-Inputs!$D$27),Inputs!$D$27+SQRT(P1686*(Inputs!$F$27-Inputs!$D$27)*(Inputs!$E$27-Inputs!$D$27)),Inputs!$F$27-SQRT((1-P1686)*(Inputs!$F$27-Inputs!$D$27)*(Inputs!$F$27-Inputs!$E$27)))</f>
        <v>120.278814736869</v>
      </c>
      <c r="R1686" s="81" t="n">
        <f aca="true">RAND()</f>
        <v>0.151599660480964</v>
      </c>
      <c r="S1686" s="82" t="n">
        <f aca="false">IF(R1686&lt;(Inputs!$E$29-Inputs!$D$29)/(Inputs!$F$29-Inputs!$D$29),Inputs!$D$29+SQRT(R1686*(Inputs!$F$29-Inputs!$D$29)*(Inputs!$E$29-Inputs!$D$29)),Inputs!$F$29-SQRT((1-R1686)*(Inputs!$F$29-Inputs!$D$29)*(Inputs!$F$29-Inputs!$E$29)))</f>
        <v>4.43153999735921</v>
      </c>
      <c r="T1686" s="68" t="n">
        <f aca="false">Inputs!$E$9*(1+E1686)+Inputs!$E$5*C1686*(Inputs!$E$11*Inputs!$E$14*(G1686*I1686/Inputs!$E$16+(1-G1686))*K1686+Inputs!$E$23*M1686)*(1+O1686)+Inputs!$E$5*(Q1686+S1686)</f>
        <v>6812.57983693116</v>
      </c>
    </row>
    <row r="1687" customFormat="false" ht="15" hidden="false" customHeight="false" outlineLevel="0" collapsed="false">
      <c r="A1687" s="1" t="n">
        <v>1683</v>
      </c>
      <c r="B1687" s="81" t="n">
        <f aca="true">RAND()</f>
        <v>0.843503794865858</v>
      </c>
      <c r="C1687" s="82" t="n">
        <f aca="false">ROUND(IF(B1687&lt;(Inputs!$E$8-Inputs!$D$8)/(Inputs!$F$8-Inputs!$D$8),Inputs!$D$8+SQRT(B1687*(Inputs!$F$8-Inputs!$D$8)*(Inputs!$E$8-Inputs!$D$8)),Inputs!$F$8-SQRT((1-B1687)*(Inputs!$F$8-Inputs!$D$8)*(Inputs!$F$8-Inputs!$E$8))),0)</f>
        <v>27</v>
      </c>
      <c r="D1687" s="81" t="n">
        <f aca="true">RAND()</f>
        <v>0.883368243641057</v>
      </c>
      <c r="E1687" s="83" t="n">
        <f aca="false">IF(D1687&lt;(Inputs!$E$10-Inputs!$D$10)/(Inputs!$F$10-Inputs!$D$10),Inputs!$D$10+SQRT(D1687*(Inputs!$F$10-Inputs!$D$10)*(Inputs!$E$10-Inputs!$D$10)),Inputs!$F$10-SQRT((1-D1687)*(Inputs!$F$10-Inputs!$D$10)*(Inputs!$F$10-Inputs!$E$10)))</f>
        <v>0.140848054209787</v>
      </c>
      <c r="F1687" s="81" t="n">
        <f aca="true">RAND()</f>
        <v>0.585881708961534</v>
      </c>
      <c r="G1687" s="83" t="n">
        <f aca="false">IF(F1687&lt;(Inputs!$E$15-Inputs!$D$15)/(Inputs!$F$15-Inputs!$D$15),Inputs!$D$15+SQRT(F1687*(Inputs!$F$15-Inputs!$D$15)*(Inputs!$E$15-Inputs!$D$15)),Inputs!$F$15-SQRT((1-F1687)*(Inputs!$F$15-Inputs!$D$15)*(Inputs!$F$15-Inputs!$E$15)))</f>
        <v>0.708992495799691</v>
      </c>
      <c r="H1687" s="81" t="n">
        <f aca="true">RAND()</f>
        <v>0.440368166041436</v>
      </c>
      <c r="I1687" s="82" t="n">
        <f aca="false">ROUND(IF(H1687&lt;(Inputs!$E$17-Inputs!$D$17)/(Inputs!$F$17-Inputs!$D$17),Inputs!$D$17+SQRT(H1687*(Inputs!$F$17-Inputs!$D$17)*(Inputs!$E$17-Inputs!$D$17)),Inputs!$F$17-SQRT((1-H1687)*(Inputs!$F$17-Inputs!$D$17)*(Inputs!$F$17-Inputs!$E$17))),0)</f>
        <v>106</v>
      </c>
      <c r="J1687" s="81" t="n">
        <f aca="true">RAND()</f>
        <v>0.854566868163124</v>
      </c>
      <c r="K1687" s="83" t="n">
        <f aca="false">IF(J1687&lt;(Inputs!$E$18-Inputs!$D$18)/(Inputs!$F$18-Inputs!$D$18),Inputs!$D$18+SQRT(J1687*(Inputs!$F$18-Inputs!$D$18)*(Inputs!$E$18-Inputs!$D$18)),Inputs!$F$18-SQRT((1-J1687)*(Inputs!$F$18-Inputs!$D$18)*(Inputs!$F$18-Inputs!$E$18)))</f>
        <v>1.13719308959232</v>
      </c>
      <c r="L1687" s="81" t="n">
        <f aca="true">RAND()</f>
        <v>0.106965730160744</v>
      </c>
      <c r="M1687" s="83" t="n">
        <f aca="false">IF(L1687&lt;(Inputs!$E$24-Inputs!$D$24)/(Inputs!$F$24-Inputs!$D$24),Inputs!$D$24+SQRT(L1687*(Inputs!$F$24-Inputs!$D$24)*(Inputs!$E$24-Inputs!$D$24)),Inputs!$F$24-SQRT((1-L1687)*(Inputs!$F$24-Inputs!$D$24)*(Inputs!$F$24-Inputs!$E$24)))</f>
        <v>0.713295576344751</v>
      </c>
      <c r="N1687" s="81" t="n">
        <f aca="true">RAND()</f>
        <v>0.0834746301779798</v>
      </c>
      <c r="O1687" s="83" t="n">
        <f aca="false">IF(N1687&lt;(Inputs!$E$26-Inputs!$D$26)/(Inputs!$F$26-Inputs!$D$26),Inputs!$D$26+SQRT(N1687*(Inputs!$F$26-Inputs!$D$26)*(Inputs!$E$26-Inputs!$D$26)),Inputs!$F$26-SQRT((1-N1687)*(Inputs!$F$26-Inputs!$D$26)*(Inputs!$F$26-Inputs!$E$26)))</f>
        <v>0.417856601264485</v>
      </c>
      <c r="P1687" s="81" t="n">
        <f aca="true">RAND()</f>
        <v>0.90397247150824</v>
      </c>
      <c r="Q1687" s="82" t="n">
        <f aca="false">IF(P1687&lt;(Inputs!$E$27-Inputs!$D$27)/(Inputs!$F$27-Inputs!$D$27),Inputs!$D$27+SQRT(P1687*(Inputs!$F$27-Inputs!$D$27)*(Inputs!$E$27-Inputs!$D$27)),Inputs!$F$27-SQRT((1-P1687)*(Inputs!$F$27-Inputs!$D$27)*(Inputs!$F$27-Inputs!$E$27)))</f>
        <v>123.163337322085</v>
      </c>
      <c r="R1687" s="81" t="n">
        <f aca="true">RAND()</f>
        <v>0.4961216599627</v>
      </c>
      <c r="S1687" s="82" t="n">
        <f aca="false">IF(R1687&lt;(Inputs!$E$29-Inputs!$D$29)/(Inputs!$F$29-Inputs!$D$29),Inputs!$D$29+SQRT(R1687*(Inputs!$F$29-Inputs!$D$29)*(Inputs!$E$29-Inputs!$D$29)),Inputs!$F$29-SQRT((1-R1687)*(Inputs!$F$29-Inputs!$D$29)*(Inputs!$F$29-Inputs!$E$29)))</f>
        <v>6.90653447497001</v>
      </c>
      <c r="T1687" s="68" t="n">
        <f aca="false">Inputs!$E$9*(1+E1687)+Inputs!$E$5*C1687*(Inputs!$E$11*Inputs!$E$14*(G1687*I1687/Inputs!$E$16+(1-G1687))*K1687+Inputs!$E$23*M1687)*(1+O1687)+Inputs!$E$5*(Q1687+S1687)</f>
        <v>6471.35295603438</v>
      </c>
    </row>
    <row r="1688" customFormat="false" ht="15" hidden="false" customHeight="false" outlineLevel="0" collapsed="false">
      <c r="A1688" s="1" t="n">
        <v>1684</v>
      </c>
      <c r="B1688" s="81" t="n">
        <f aca="true">RAND()</f>
        <v>0.530533275733497</v>
      </c>
      <c r="C1688" s="82" t="n">
        <f aca="false">ROUND(IF(B1688&lt;(Inputs!$E$8-Inputs!$D$8)/(Inputs!$F$8-Inputs!$D$8),Inputs!$D$8+SQRT(B1688*(Inputs!$F$8-Inputs!$D$8)*(Inputs!$E$8-Inputs!$D$8)),Inputs!$F$8-SQRT((1-B1688)*(Inputs!$F$8-Inputs!$D$8)*(Inputs!$F$8-Inputs!$E$8))),0)</f>
        <v>25</v>
      </c>
      <c r="D1688" s="81" t="n">
        <f aca="true">RAND()</f>
        <v>0.443335667274181</v>
      </c>
      <c r="E1688" s="83" t="n">
        <f aca="false">IF(D1688&lt;(Inputs!$E$10-Inputs!$D$10)/(Inputs!$F$10-Inputs!$D$10),Inputs!$D$10+SQRT(D1688*(Inputs!$F$10-Inputs!$D$10)*(Inputs!$E$10-Inputs!$D$10)),Inputs!$F$10-SQRT((1-D1688)*(Inputs!$F$10-Inputs!$D$10)*(Inputs!$F$10-Inputs!$E$10)))</f>
        <v>0.0707717910757308</v>
      </c>
      <c r="F1688" s="81" t="n">
        <f aca="true">RAND()</f>
        <v>0.649314906627168</v>
      </c>
      <c r="G1688" s="83" t="n">
        <f aca="false">IF(F1688&lt;(Inputs!$E$15-Inputs!$D$15)/(Inputs!$F$15-Inputs!$D$15),Inputs!$D$15+SQRT(F1688*(Inputs!$F$15-Inputs!$D$15)*(Inputs!$E$15-Inputs!$D$15)),Inputs!$F$15-SQRT((1-F1688)*(Inputs!$F$15-Inputs!$D$15)*(Inputs!$F$15-Inputs!$E$15)))</f>
        <v>0.716252153057785</v>
      </c>
      <c r="H1688" s="81" t="n">
        <f aca="true">RAND()</f>
        <v>0.985217998786763</v>
      </c>
      <c r="I1688" s="82" t="n">
        <f aca="false">ROUND(IF(H1688&lt;(Inputs!$E$17-Inputs!$D$17)/(Inputs!$F$17-Inputs!$D$17),Inputs!$D$17+SQRT(H1688*(Inputs!$F$17-Inputs!$D$17)*(Inputs!$E$17-Inputs!$D$17)),Inputs!$F$17-SQRT((1-H1688)*(Inputs!$F$17-Inputs!$D$17)*(Inputs!$F$17-Inputs!$E$17))),0)</f>
        <v>114</v>
      </c>
      <c r="J1688" s="81" t="n">
        <f aca="true">RAND()</f>
        <v>0.138743873037901</v>
      </c>
      <c r="K1688" s="83" t="n">
        <f aca="false">IF(J1688&lt;(Inputs!$E$18-Inputs!$D$18)/(Inputs!$F$18-Inputs!$D$18),Inputs!$D$18+SQRT(J1688*(Inputs!$F$18-Inputs!$D$18)*(Inputs!$E$18-Inputs!$D$18)),Inputs!$F$18-SQRT((1-J1688)*(Inputs!$F$18-Inputs!$D$18)*(Inputs!$F$18-Inputs!$E$18)))</f>
        <v>0.969685260682059</v>
      </c>
      <c r="L1688" s="81" t="n">
        <f aca="true">RAND()</f>
        <v>0.32905258890032</v>
      </c>
      <c r="M1688" s="83" t="n">
        <f aca="false">IF(L1688&lt;(Inputs!$E$24-Inputs!$D$24)/(Inputs!$F$24-Inputs!$D$24),Inputs!$D$24+SQRT(L1688*(Inputs!$F$24-Inputs!$D$24)*(Inputs!$E$24-Inputs!$D$24)),Inputs!$F$24-SQRT((1-L1688)*(Inputs!$F$24-Inputs!$D$24)*(Inputs!$F$24-Inputs!$E$24)))</f>
        <v>0.798711626907029</v>
      </c>
      <c r="N1688" s="81" t="n">
        <f aca="true">RAND()</f>
        <v>0.512722542783223</v>
      </c>
      <c r="O1688" s="83" t="n">
        <f aca="false">IF(N1688&lt;(Inputs!$E$26-Inputs!$D$26)/(Inputs!$F$26-Inputs!$D$26),Inputs!$D$26+SQRT(N1688*(Inputs!$F$26-Inputs!$D$26)*(Inputs!$E$26-Inputs!$D$26)),Inputs!$F$26-SQRT((1-N1688)*(Inputs!$F$26-Inputs!$D$26)*(Inputs!$F$26-Inputs!$E$26)))</f>
        <v>0.592090792595604</v>
      </c>
      <c r="P1688" s="81" t="n">
        <f aca="true">RAND()</f>
        <v>0.944991934406225</v>
      </c>
      <c r="Q1688" s="82" t="n">
        <f aca="false">IF(P1688&lt;(Inputs!$E$27-Inputs!$D$27)/(Inputs!$F$27-Inputs!$D$27),Inputs!$D$27+SQRT(P1688*(Inputs!$F$27-Inputs!$D$27)*(Inputs!$E$27-Inputs!$D$27)),Inputs!$F$27-SQRT((1-P1688)*(Inputs!$F$27-Inputs!$D$27)*(Inputs!$F$27-Inputs!$E$27)))</f>
        <v>129.688414834058</v>
      </c>
      <c r="R1688" s="81" t="n">
        <f aca="true">RAND()</f>
        <v>0.153328467846185</v>
      </c>
      <c r="S1688" s="82" t="n">
        <f aca="false">IF(R1688&lt;(Inputs!$E$29-Inputs!$D$29)/(Inputs!$F$29-Inputs!$D$29),Inputs!$D$29+SQRT(R1688*(Inputs!$F$29-Inputs!$D$29)*(Inputs!$E$29-Inputs!$D$29)),Inputs!$F$29-SQRT((1-R1688)*(Inputs!$F$29-Inputs!$D$29)*(Inputs!$F$29-Inputs!$E$29)))</f>
        <v>4.44536505372945</v>
      </c>
      <c r="T1688" s="68" t="n">
        <f aca="false">Inputs!$E$9*(1+E1688)+Inputs!$E$5*C1688*(Inputs!$E$11*Inputs!$E$14*(G1688*I1688/Inputs!$E$16+(1-G1688))*K1688+Inputs!$E$23*M1688)*(1+O1688)+Inputs!$E$5*(Q1688+S1688)</f>
        <v>6315.03789249016</v>
      </c>
    </row>
    <row r="1689" customFormat="false" ht="15" hidden="false" customHeight="false" outlineLevel="0" collapsed="false">
      <c r="A1689" s="1" t="n">
        <v>1685</v>
      </c>
      <c r="B1689" s="81" t="n">
        <f aca="true">RAND()</f>
        <v>0.848712947250002</v>
      </c>
      <c r="C1689" s="82" t="n">
        <f aca="false">ROUND(IF(B1689&lt;(Inputs!$E$8-Inputs!$D$8)/(Inputs!$F$8-Inputs!$D$8),Inputs!$D$8+SQRT(B1689*(Inputs!$F$8-Inputs!$D$8)*(Inputs!$E$8-Inputs!$D$8)),Inputs!$F$8-SQRT((1-B1689)*(Inputs!$F$8-Inputs!$D$8)*(Inputs!$F$8-Inputs!$E$8))),0)</f>
        <v>27</v>
      </c>
      <c r="D1689" s="81" t="n">
        <f aca="true">RAND()</f>
        <v>0.11569757838573</v>
      </c>
      <c r="E1689" s="83" t="n">
        <f aca="false">IF(D1689&lt;(Inputs!$E$10-Inputs!$D$10)/(Inputs!$F$10-Inputs!$D$10),Inputs!$D$10+SQRT(D1689*(Inputs!$F$10-Inputs!$D$10)*(Inputs!$E$10-Inputs!$D$10)),Inputs!$F$10-SQRT((1-D1689)*(Inputs!$F$10-Inputs!$D$10)*(Inputs!$F$10-Inputs!$E$10)))</f>
        <v>0.0340143467357129</v>
      </c>
      <c r="F1689" s="81" t="n">
        <f aca="true">RAND()</f>
        <v>0.891256727559401</v>
      </c>
      <c r="G1689" s="83" t="n">
        <f aca="false">IF(F1689&lt;(Inputs!$E$15-Inputs!$D$15)/(Inputs!$F$15-Inputs!$D$15),Inputs!$D$15+SQRT(F1689*(Inputs!$F$15-Inputs!$D$15)*(Inputs!$E$15-Inputs!$D$15)),Inputs!$F$15-SQRT((1-F1689)*(Inputs!$F$15-Inputs!$D$15)*(Inputs!$F$15-Inputs!$E$15)))</f>
        <v>0.753364547297019</v>
      </c>
      <c r="H1689" s="81" t="n">
        <f aca="true">RAND()</f>
        <v>0.0943073446382464</v>
      </c>
      <c r="I1689" s="82" t="n">
        <f aca="false">ROUND(IF(H1689&lt;(Inputs!$E$17-Inputs!$D$17)/(Inputs!$F$17-Inputs!$D$17),Inputs!$D$17+SQRT(H1689*(Inputs!$F$17-Inputs!$D$17)*(Inputs!$E$17-Inputs!$D$17)),Inputs!$F$17-SQRT((1-H1689)*(Inputs!$F$17-Inputs!$D$17)*(Inputs!$F$17-Inputs!$E$17))),0)</f>
        <v>103</v>
      </c>
      <c r="J1689" s="81" t="n">
        <f aca="true">RAND()</f>
        <v>0.0341467656106778</v>
      </c>
      <c r="K1689" s="83" t="n">
        <f aca="false">IF(J1689&lt;(Inputs!$E$18-Inputs!$D$18)/(Inputs!$F$18-Inputs!$D$18),Inputs!$D$18+SQRT(J1689*(Inputs!$F$18-Inputs!$D$18)*(Inputs!$E$18-Inputs!$D$18)),Inputs!$F$18-SQRT((1-J1689)*(Inputs!$F$18-Inputs!$D$18)*(Inputs!$F$18-Inputs!$E$18)))</f>
        <v>0.934570750590257</v>
      </c>
      <c r="L1689" s="81" t="n">
        <f aca="true">RAND()</f>
        <v>0.433739575694552</v>
      </c>
      <c r="M1689" s="83" t="n">
        <f aca="false">IF(L1689&lt;(Inputs!$E$24-Inputs!$D$24)/(Inputs!$F$24-Inputs!$D$24),Inputs!$D$24+SQRT(L1689*(Inputs!$F$24-Inputs!$D$24)*(Inputs!$E$24-Inputs!$D$24)),Inputs!$F$24-SQRT((1-L1689)*(Inputs!$F$24-Inputs!$D$24)*(Inputs!$F$24-Inputs!$E$24)))</f>
        <v>0.831350434920496</v>
      </c>
      <c r="N1689" s="81" t="n">
        <f aca="true">RAND()</f>
        <v>0.91455269771051</v>
      </c>
      <c r="O1689" s="83" t="n">
        <f aca="false">IF(N1689&lt;(Inputs!$E$26-Inputs!$D$26)/(Inputs!$F$26-Inputs!$D$26),Inputs!$D$26+SQRT(N1689*(Inputs!$F$26-Inputs!$D$26)*(Inputs!$E$26-Inputs!$D$26)),Inputs!$F$26-SQRT((1-N1689)*(Inputs!$F$26-Inputs!$D$26)*(Inputs!$F$26-Inputs!$E$26)))</f>
        <v>0.725731662589674</v>
      </c>
      <c r="P1689" s="81" t="n">
        <f aca="true">RAND()</f>
        <v>0.539135083944372</v>
      </c>
      <c r="Q1689" s="82" t="n">
        <f aca="false">IF(P1689&lt;(Inputs!$E$27-Inputs!$D$27)/(Inputs!$F$27-Inputs!$D$27),Inputs!$D$27+SQRT(P1689*(Inputs!$F$27-Inputs!$D$27)*(Inputs!$E$27-Inputs!$D$27)),Inputs!$F$27-SQRT((1-P1689)*(Inputs!$F$27-Inputs!$D$27)*(Inputs!$F$27-Inputs!$E$27)))</f>
        <v>91.2081054020437</v>
      </c>
      <c r="R1689" s="81" t="n">
        <f aca="true">RAND()</f>
        <v>0.854679087570117</v>
      </c>
      <c r="S1689" s="82" t="n">
        <f aca="false">IF(R1689&lt;(Inputs!$E$29-Inputs!$D$29)/(Inputs!$F$29-Inputs!$D$29),Inputs!$D$29+SQRT(R1689*(Inputs!$F$29-Inputs!$D$29)*(Inputs!$E$29-Inputs!$D$29)),Inputs!$F$29-SQRT((1-R1689)*(Inputs!$F$29-Inputs!$D$29)*(Inputs!$F$29-Inputs!$E$29)))</f>
        <v>10.6535395301597</v>
      </c>
      <c r="T1689" s="68" t="n">
        <f aca="false">Inputs!$E$9*(1+E1689)+Inputs!$E$5*C1689*(Inputs!$E$11*Inputs!$E$14*(G1689*I1689/Inputs!$E$16+(1-G1689))*K1689+Inputs!$E$23*M1689)*(1+O1689)+Inputs!$E$5*(Q1689+S1689)</f>
        <v>6398.9042440516</v>
      </c>
    </row>
    <row r="1690" customFormat="false" ht="15" hidden="false" customHeight="false" outlineLevel="0" collapsed="false">
      <c r="A1690" s="1" t="n">
        <v>1686</v>
      </c>
      <c r="B1690" s="81" t="n">
        <f aca="true">RAND()</f>
        <v>0.129017060267981</v>
      </c>
      <c r="C1690" s="82" t="n">
        <f aca="false">ROUND(IF(B1690&lt;(Inputs!$E$8-Inputs!$D$8)/(Inputs!$F$8-Inputs!$D$8),Inputs!$D$8+SQRT(B1690*(Inputs!$F$8-Inputs!$D$8)*(Inputs!$E$8-Inputs!$D$8)),Inputs!$F$8-SQRT((1-B1690)*(Inputs!$F$8-Inputs!$D$8)*(Inputs!$F$8-Inputs!$E$8))),0)</f>
        <v>23</v>
      </c>
      <c r="D1690" s="81" t="n">
        <f aca="true">RAND()</f>
        <v>0.523620115944628</v>
      </c>
      <c r="E1690" s="83" t="n">
        <f aca="false">IF(D1690&lt;(Inputs!$E$10-Inputs!$D$10)/(Inputs!$F$10-Inputs!$D$10),Inputs!$D$10+SQRT(D1690*(Inputs!$F$10-Inputs!$D$10)*(Inputs!$E$10-Inputs!$D$10)),Inputs!$F$10-SQRT((1-D1690)*(Inputs!$F$10-Inputs!$D$10)*(Inputs!$F$10-Inputs!$E$10)))</f>
        <v>0.0804533709314178</v>
      </c>
      <c r="F1690" s="81" t="n">
        <f aca="true">RAND()</f>
        <v>0.138875971594023</v>
      </c>
      <c r="G1690" s="83" t="n">
        <f aca="false">IF(F1690&lt;(Inputs!$E$15-Inputs!$D$15)/(Inputs!$F$15-Inputs!$D$15),Inputs!$D$15+SQRT(F1690*(Inputs!$F$15-Inputs!$D$15)*(Inputs!$E$15-Inputs!$D$15)),Inputs!$F$15-SQRT((1-F1690)*(Inputs!$F$15-Inputs!$D$15)*(Inputs!$F$15-Inputs!$E$15)))</f>
        <v>0.652702176728106</v>
      </c>
      <c r="H1690" s="81" t="n">
        <f aca="true">RAND()</f>
        <v>0.941569045152503</v>
      </c>
      <c r="I1690" s="82" t="n">
        <f aca="false">ROUND(IF(H1690&lt;(Inputs!$E$17-Inputs!$D$17)/(Inputs!$F$17-Inputs!$D$17),Inputs!$D$17+SQRT(H1690*(Inputs!$F$17-Inputs!$D$17)*(Inputs!$E$17-Inputs!$D$17)),Inputs!$F$17-SQRT((1-H1690)*(Inputs!$F$17-Inputs!$D$17)*(Inputs!$F$17-Inputs!$E$17))),0)</f>
        <v>112</v>
      </c>
      <c r="J1690" s="81" t="n">
        <f aca="true">RAND()</f>
        <v>0.0878916205080428</v>
      </c>
      <c r="K1690" s="83" t="n">
        <f aca="false">IF(J1690&lt;(Inputs!$E$18-Inputs!$D$18)/(Inputs!$F$18-Inputs!$D$18),Inputs!$D$18+SQRT(J1690*(Inputs!$F$18-Inputs!$D$18)*(Inputs!$E$18-Inputs!$D$18)),Inputs!$F$18-SQRT((1-J1690)*(Inputs!$F$18-Inputs!$D$18)*(Inputs!$F$18-Inputs!$E$18)))</f>
        <v>0.955463562072603</v>
      </c>
      <c r="L1690" s="81" t="n">
        <f aca="true">RAND()</f>
        <v>0.606496080927823</v>
      </c>
      <c r="M1690" s="83" t="n">
        <f aca="false">IF(L1690&lt;(Inputs!$E$24-Inputs!$D$24)/(Inputs!$F$24-Inputs!$D$24),Inputs!$D$24+SQRT(L1690*(Inputs!$F$24-Inputs!$D$24)*(Inputs!$E$24-Inputs!$D$24)),Inputs!$F$24-SQRT((1-L1690)*(Inputs!$F$24-Inputs!$D$24)*(Inputs!$F$24-Inputs!$E$24)))</f>
        <v>0.892687552192687</v>
      </c>
      <c r="N1690" s="81" t="n">
        <f aca="true">RAND()</f>
        <v>0.95156418213533</v>
      </c>
      <c r="O1690" s="83" t="n">
        <f aca="false">IF(N1690&lt;(Inputs!$E$26-Inputs!$D$26)/(Inputs!$F$26-Inputs!$D$26),Inputs!$D$26+SQRT(N1690*(Inputs!$F$26-Inputs!$D$26)*(Inputs!$E$26-Inputs!$D$26)),Inputs!$F$26-SQRT((1-N1690)*(Inputs!$F$26-Inputs!$D$26)*(Inputs!$F$26-Inputs!$E$26)))</f>
        <v>0.749025884592158</v>
      </c>
      <c r="P1690" s="81" t="n">
        <f aca="true">RAND()</f>
        <v>0.631735791565811</v>
      </c>
      <c r="Q1690" s="82" t="n">
        <f aca="false">IF(P1690&lt;(Inputs!$E$27-Inputs!$D$27)/(Inputs!$F$27-Inputs!$D$27),Inputs!$D$27+SQRT(P1690*(Inputs!$F$27-Inputs!$D$27)*(Inputs!$E$27-Inputs!$D$27)),Inputs!$F$27-SQRT((1-P1690)*(Inputs!$F$27-Inputs!$D$27)*(Inputs!$F$27-Inputs!$E$27)))</f>
        <v>97.4454420315762</v>
      </c>
      <c r="R1690" s="81" t="n">
        <f aca="true">RAND()</f>
        <v>0.535444516679858</v>
      </c>
      <c r="S1690" s="82" t="n">
        <f aca="false">IF(R1690&lt;(Inputs!$E$29-Inputs!$D$29)/(Inputs!$F$29-Inputs!$D$29),Inputs!$D$29+SQRT(R1690*(Inputs!$F$29-Inputs!$D$29)*(Inputs!$E$29-Inputs!$D$29)),Inputs!$F$29-SQRT((1-R1690)*(Inputs!$F$29-Inputs!$D$29)*(Inputs!$F$29-Inputs!$E$29)))</f>
        <v>7.2287573174158</v>
      </c>
      <c r="T1690" s="68" t="n">
        <f aca="false">Inputs!$E$9*(1+E1690)+Inputs!$E$5*C1690*(Inputs!$E$11*Inputs!$E$14*(G1690*I1690/Inputs!$E$16+(1-G1690))*K1690+Inputs!$E$23*M1690)*(1+O1690)+Inputs!$E$5*(Q1690+S1690)</f>
        <v>6378.31921605358</v>
      </c>
    </row>
    <row r="1691" customFormat="false" ht="15" hidden="false" customHeight="false" outlineLevel="0" collapsed="false">
      <c r="A1691" s="1" t="n">
        <v>1687</v>
      </c>
      <c r="B1691" s="81" t="n">
        <f aca="true">RAND()</f>
        <v>0.139020300763236</v>
      </c>
      <c r="C1691" s="82" t="n">
        <f aca="false">ROUND(IF(B1691&lt;(Inputs!$E$8-Inputs!$D$8)/(Inputs!$F$8-Inputs!$D$8),Inputs!$D$8+SQRT(B1691*(Inputs!$F$8-Inputs!$D$8)*(Inputs!$E$8-Inputs!$D$8)),Inputs!$F$8-SQRT((1-B1691)*(Inputs!$F$8-Inputs!$D$8)*(Inputs!$F$8-Inputs!$E$8))),0)</f>
        <v>23</v>
      </c>
      <c r="D1691" s="81" t="n">
        <f aca="true">RAND()</f>
        <v>0.0928780832506655</v>
      </c>
      <c r="E1691" s="83" t="n">
        <f aca="false">IF(D1691&lt;(Inputs!$E$10-Inputs!$D$10)/(Inputs!$F$10-Inputs!$D$10),Inputs!$D$10+SQRT(D1691*(Inputs!$F$10-Inputs!$D$10)*(Inputs!$E$10-Inputs!$D$10)),Inputs!$F$10-SQRT((1-D1691)*(Inputs!$F$10-Inputs!$D$10)*(Inputs!$F$10-Inputs!$E$10)))</f>
        <v>0.0304759057700777</v>
      </c>
      <c r="F1691" s="81" t="n">
        <f aca="true">RAND()</f>
        <v>0.946705778377384</v>
      </c>
      <c r="G1691" s="83" t="n">
        <f aca="false">IF(F1691&lt;(Inputs!$E$15-Inputs!$D$15)/(Inputs!$F$15-Inputs!$D$15),Inputs!$D$15+SQRT(F1691*(Inputs!$F$15-Inputs!$D$15)*(Inputs!$E$15-Inputs!$D$15)),Inputs!$F$15-SQRT((1-F1691)*(Inputs!$F$15-Inputs!$D$15)*(Inputs!$F$15-Inputs!$E$15)))</f>
        <v>0.76735211442601</v>
      </c>
      <c r="H1691" s="81" t="n">
        <f aca="true">RAND()</f>
        <v>0.870352671716056</v>
      </c>
      <c r="I1691" s="82" t="n">
        <f aca="false">ROUND(IF(H1691&lt;(Inputs!$E$17-Inputs!$D$17)/(Inputs!$F$17-Inputs!$D$17),Inputs!$D$17+SQRT(H1691*(Inputs!$F$17-Inputs!$D$17)*(Inputs!$E$17-Inputs!$D$17)),Inputs!$F$17-SQRT((1-H1691)*(Inputs!$F$17-Inputs!$D$17)*(Inputs!$F$17-Inputs!$E$17))),0)</f>
        <v>111</v>
      </c>
      <c r="J1691" s="81" t="n">
        <f aca="true">RAND()</f>
        <v>0.303158496473235</v>
      </c>
      <c r="K1691" s="83" t="n">
        <f aca="false">IF(J1691&lt;(Inputs!$E$18-Inputs!$D$18)/(Inputs!$F$18-Inputs!$D$18),Inputs!$D$18+SQRT(J1691*(Inputs!$F$18-Inputs!$D$18)*(Inputs!$E$18-Inputs!$D$18)),Inputs!$F$18-SQRT((1-J1691)*(Inputs!$F$18-Inputs!$D$18)*(Inputs!$F$18-Inputs!$E$18)))</f>
        <v>1.00307160641475</v>
      </c>
      <c r="L1691" s="81" t="n">
        <f aca="true">RAND()</f>
        <v>0.864468755292573</v>
      </c>
      <c r="M1691" s="83" t="n">
        <f aca="false">IF(L1691&lt;(Inputs!$E$24-Inputs!$D$24)/(Inputs!$F$24-Inputs!$D$24),Inputs!$D$24+SQRT(L1691*(Inputs!$F$24-Inputs!$D$24)*(Inputs!$E$24-Inputs!$D$24)),Inputs!$F$24-SQRT((1-L1691)*(Inputs!$F$24-Inputs!$D$24)*(Inputs!$F$24-Inputs!$E$24)))</f>
        <v>1.01964618459877</v>
      </c>
      <c r="N1691" s="81" t="n">
        <f aca="true">RAND()</f>
        <v>0.14777527718723</v>
      </c>
      <c r="O1691" s="83" t="n">
        <f aca="false">IF(N1691&lt;(Inputs!$E$26-Inputs!$D$26)/(Inputs!$F$26-Inputs!$D$26),Inputs!$D$26+SQRT(N1691*(Inputs!$F$26-Inputs!$D$26)*(Inputs!$E$26-Inputs!$D$26)),Inputs!$F$26-SQRT((1-N1691)*(Inputs!$F$26-Inputs!$D$26)*(Inputs!$F$26-Inputs!$E$26)))</f>
        <v>0.456811371156415</v>
      </c>
      <c r="P1691" s="81" t="n">
        <f aca="true">RAND()</f>
        <v>0.527356950130239</v>
      </c>
      <c r="Q1691" s="82" t="n">
        <f aca="false">IF(P1691&lt;(Inputs!$E$27-Inputs!$D$27)/(Inputs!$F$27-Inputs!$D$27),Inputs!$D$27+SQRT(P1691*(Inputs!$F$27-Inputs!$D$27)*(Inputs!$E$27-Inputs!$D$27)),Inputs!$F$27-SQRT((1-P1691)*(Inputs!$F$27-Inputs!$D$27)*(Inputs!$F$27-Inputs!$E$27)))</f>
        <v>90.4615848882152</v>
      </c>
      <c r="R1691" s="81" t="n">
        <f aca="true">RAND()</f>
        <v>0.0776779953418777</v>
      </c>
      <c r="S1691" s="82" t="n">
        <f aca="false">IF(R1691&lt;(Inputs!$E$29-Inputs!$D$29)/(Inputs!$F$29-Inputs!$D$29),Inputs!$D$29+SQRT(R1691*(Inputs!$F$29-Inputs!$D$29)*(Inputs!$E$29-Inputs!$D$29)),Inputs!$F$29-SQRT((1-R1691)*(Inputs!$F$29-Inputs!$D$29)*(Inputs!$F$29-Inputs!$E$29)))</f>
        <v>3.74052917767363</v>
      </c>
      <c r="T1691" s="68" t="n">
        <f aca="false">Inputs!$E$9*(1+E1691)+Inputs!$E$5*C1691*(Inputs!$E$11*Inputs!$E$14*(G1691*I1691/Inputs!$E$16+(1-G1691))*K1691+Inputs!$E$23*M1691)*(1+O1691)+Inputs!$E$5*(Q1691+S1691)</f>
        <v>5749.97288221271</v>
      </c>
    </row>
    <row r="1692" customFormat="false" ht="15" hidden="false" customHeight="false" outlineLevel="0" collapsed="false">
      <c r="A1692" s="1" t="n">
        <v>1688</v>
      </c>
      <c r="B1692" s="81" t="n">
        <f aca="true">RAND()</f>
        <v>0.522108202045796</v>
      </c>
      <c r="C1692" s="82" t="n">
        <f aca="false">ROUND(IF(B1692&lt;(Inputs!$E$8-Inputs!$D$8)/(Inputs!$F$8-Inputs!$D$8),Inputs!$D$8+SQRT(B1692*(Inputs!$F$8-Inputs!$D$8)*(Inputs!$E$8-Inputs!$D$8)),Inputs!$F$8-SQRT((1-B1692)*(Inputs!$F$8-Inputs!$D$8)*(Inputs!$F$8-Inputs!$E$8))),0)</f>
        <v>25</v>
      </c>
      <c r="D1692" s="81" t="n">
        <f aca="true">RAND()</f>
        <v>0.374791601299399</v>
      </c>
      <c r="E1692" s="83" t="n">
        <f aca="false">IF(D1692&lt;(Inputs!$E$10-Inputs!$D$10)/(Inputs!$F$10-Inputs!$D$10),Inputs!$D$10+SQRT(D1692*(Inputs!$F$10-Inputs!$D$10)*(Inputs!$E$10-Inputs!$D$10)),Inputs!$F$10-SQRT((1-D1692)*(Inputs!$F$10-Inputs!$D$10)*(Inputs!$F$10-Inputs!$E$10)))</f>
        <v>0.0630465335925445</v>
      </c>
      <c r="F1692" s="81" t="n">
        <f aca="true">RAND()</f>
        <v>0.0306193262471589</v>
      </c>
      <c r="G1692" s="83" t="n">
        <f aca="false">IF(F1692&lt;(Inputs!$E$15-Inputs!$D$15)/(Inputs!$F$15-Inputs!$D$15),Inputs!$D$15+SQRT(F1692*(Inputs!$F$15-Inputs!$D$15)*(Inputs!$E$15-Inputs!$D$15)),Inputs!$F$15-SQRT((1-F1692)*(Inputs!$F$15-Inputs!$D$15)*(Inputs!$F$15-Inputs!$E$15)))</f>
        <v>0.624746444692989</v>
      </c>
      <c r="H1692" s="81" t="n">
        <f aca="true">RAND()</f>
        <v>0.491805290448057</v>
      </c>
      <c r="I1692" s="82" t="n">
        <f aca="false">ROUND(IF(H1692&lt;(Inputs!$E$17-Inputs!$D$17)/(Inputs!$F$17-Inputs!$D$17),Inputs!$D$17+SQRT(H1692*(Inputs!$F$17-Inputs!$D$17)*(Inputs!$E$17-Inputs!$D$17)),Inputs!$F$17-SQRT((1-H1692)*(Inputs!$F$17-Inputs!$D$17)*(Inputs!$F$17-Inputs!$E$17))),0)</f>
        <v>106</v>
      </c>
      <c r="J1692" s="81" t="n">
        <f aca="true">RAND()</f>
        <v>0.350843908881996</v>
      </c>
      <c r="K1692" s="83" t="n">
        <f aca="false">IF(J1692&lt;(Inputs!$E$18-Inputs!$D$18)/(Inputs!$F$18-Inputs!$D$18),Inputs!$D$18+SQRT(J1692*(Inputs!$F$18-Inputs!$D$18)*(Inputs!$E$18-Inputs!$D$18)),Inputs!$F$18-SQRT((1-J1692)*(Inputs!$F$18-Inputs!$D$18)*(Inputs!$F$18-Inputs!$E$18)))</f>
        <v>1.0116700648831</v>
      </c>
      <c r="L1692" s="81" t="n">
        <f aca="true">RAND()</f>
        <v>0.0115282837766628</v>
      </c>
      <c r="M1692" s="83" t="n">
        <f aca="false">IF(L1692&lt;(Inputs!$E$24-Inputs!$D$24)/(Inputs!$F$24-Inputs!$D$24),Inputs!$D$24+SQRT(L1692*(Inputs!$F$24-Inputs!$D$24)*(Inputs!$E$24-Inputs!$D$24)),Inputs!$F$24-SQRT((1-L1692)*(Inputs!$F$24-Inputs!$D$24)*(Inputs!$F$24-Inputs!$E$24)))</f>
        <v>0.637194005608425</v>
      </c>
      <c r="N1692" s="81" t="n">
        <f aca="true">RAND()</f>
        <v>0.158229009237529</v>
      </c>
      <c r="O1692" s="83" t="n">
        <f aca="false">IF(N1692&lt;(Inputs!$E$26-Inputs!$D$26)/(Inputs!$F$26-Inputs!$D$26),Inputs!$D$26+SQRT(N1692*(Inputs!$F$26-Inputs!$D$26)*(Inputs!$E$26-Inputs!$D$26)),Inputs!$F$26-SQRT((1-N1692)*(Inputs!$F$26-Inputs!$D$26)*(Inputs!$F$26-Inputs!$E$26)))</f>
        <v>0.462263080018607</v>
      </c>
      <c r="P1692" s="81" t="n">
        <f aca="true">RAND()</f>
        <v>0.50931945941309</v>
      </c>
      <c r="Q1692" s="82" t="n">
        <f aca="false">IF(P1692&lt;(Inputs!$E$27-Inputs!$D$27)/(Inputs!$F$27-Inputs!$D$27),Inputs!$D$27+SQRT(P1692*(Inputs!$F$27-Inputs!$D$27)*(Inputs!$E$27-Inputs!$D$27)),Inputs!$F$27-SQRT((1-P1692)*(Inputs!$F$27-Inputs!$D$27)*(Inputs!$F$27-Inputs!$E$27)))</f>
        <v>89.3361388106409</v>
      </c>
      <c r="R1692" s="81" t="n">
        <f aca="true">RAND()</f>
        <v>0.179766175557468</v>
      </c>
      <c r="S1692" s="82" t="n">
        <f aca="false">IF(R1692&lt;(Inputs!$E$29-Inputs!$D$29)/(Inputs!$F$29-Inputs!$D$29),Inputs!$D$29+SQRT(R1692*(Inputs!$F$29-Inputs!$D$29)*(Inputs!$E$29-Inputs!$D$29)),Inputs!$F$29-SQRT((1-R1692)*(Inputs!$F$29-Inputs!$D$29)*(Inputs!$F$29-Inputs!$E$29)))</f>
        <v>4.64780679936079</v>
      </c>
      <c r="T1692" s="68" t="n">
        <f aca="false">Inputs!$E$9*(1+E1692)+Inputs!$E$5*C1692*(Inputs!$E$11*Inputs!$E$14*(G1692*I1692/Inputs!$E$16+(1-G1692))*K1692+Inputs!$E$23*M1692)*(1+O1692)+Inputs!$E$5*(Q1692+S1692)</f>
        <v>5727.39709975365</v>
      </c>
    </row>
    <row r="1693" customFormat="false" ht="15" hidden="false" customHeight="false" outlineLevel="0" collapsed="false">
      <c r="A1693" s="1" t="n">
        <v>1689</v>
      </c>
      <c r="B1693" s="81" t="n">
        <f aca="true">RAND()</f>
        <v>0.385172147182957</v>
      </c>
      <c r="C1693" s="82" t="n">
        <f aca="false">ROUND(IF(B1693&lt;(Inputs!$E$8-Inputs!$D$8)/(Inputs!$F$8-Inputs!$D$8),Inputs!$D$8+SQRT(B1693*(Inputs!$F$8-Inputs!$D$8)*(Inputs!$E$8-Inputs!$D$8)),Inputs!$F$8-SQRT((1-B1693)*(Inputs!$F$8-Inputs!$D$8)*(Inputs!$F$8-Inputs!$E$8))),0)</f>
        <v>24</v>
      </c>
      <c r="D1693" s="81" t="n">
        <f aca="true">RAND()</f>
        <v>0.53144145487903</v>
      </c>
      <c r="E1693" s="83" t="n">
        <f aca="false">IF(D1693&lt;(Inputs!$E$10-Inputs!$D$10)/(Inputs!$F$10-Inputs!$D$10),Inputs!$D$10+SQRT(D1693*(Inputs!$F$10-Inputs!$D$10)*(Inputs!$E$10-Inputs!$D$10)),Inputs!$F$10-SQRT((1-D1693)*(Inputs!$F$10-Inputs!$D$10)*(Inputs!$F$10-Inputs!$E$10)))</f>
        <v>0.0814388075564812</v>
      </c>
      <c r="F1693" s="81" t="n">
        <f aca="true">RAND()</f>
        <v>0.0240733966997282</v>
      </c>
      <c r="G1693" s="83" t="n">
        <f aca="false">IF(F1693&lt;(Inputs!$E$15-Inputs!$D$15)/(Inputs!$F$15-Inputs!$D$15),Inputs!$D$15+SQRT(F1693*(Inputs!$F$15-Inputs!$D$15)*(Inputs!$E$15-Inputs!$D$15)),Inputs!$F$15-SQRT((1-F1693)*(Inputs!$F$15-Inputs!$D$15)*(Inputs!$F$15-Inputs!$E$15)))</f>
        <v>0.621942377582991</v>
      </c>
      <c r="H1693" s="81" t="n">
        <f aca="true">RAND()</f>
        <v>0.407828330001421</v>
      </c>
      <c r="I1693" s="82" t="n">
        <f aca="false">ROUND(IF(H1693&lt;(Inputs!$E$17-Inputs!$D$17)/(Inputs!$F$17-Inputs!$D$17),Inputs!$D$17+SQRT(H1693*(Inputs!$F$17-Inputs!$D$17)*(Inputs!$E$17-Inputs!$D$17)),Inputs!$F$17-SQRT((1-H1693)*(Inputs!$F$17-Inputs!$D$17)*(Inputs!$F$17-Inputs!$E$17))),0)</f>
        <v>106</v>
      </c>
      <c r="J1693" s="81" t="n">
        <f aca="true">RAND()</f>
        <v>0.0874084435476181</v>
      </c>
      <c r="K1693" s="83" t="n">
        <f aca="false">IF(J1693&lt;(Inputs!$E$18-Inputs!$D$18)/(Inputs!$F$18-Inputs!$D$18),Inputs!$D$18+SQRT(J1693*(Inputs!$F$18-Inputs!$D$18)*(Inputs!$E$18-Inputs!$D$18)),Inputs!$F$18-SQRT((1-J1693)*(Inputs!$F$18-Inputs!$D$18)*(Inputs!$F$18-Inputs!$E$18)))</f>
        <v>0.95531089878285</v>
      </c>
      <c r="L1693" s="81" t="n">
        <f aca="true">RAND()</f>
        <v>0.481320975945136</v>
      </c>
      <c r="M1693" s="83" t="n">
        <f aca="false">IF(L1693&lt;(Inputs!$E$24-Inputs!$D$24)/(Inputs!$F$24-Inputs!$D$24),Inputs!$D$24+SQRT(L1693*(Inputs!$F$24-Inputs!$D$24)*(Inputs!$E$24-Inputs!$D$24)),Inputs!$F$24-SQRT((1-L1693)*(Inputs!$F$24-Inputs!$D$24)*(Inputs!$F$24-Inputs!$E$24)))</f>
        <v>0.847178563897873</v>
      </c>
      <c r="N1693" s="81" t="n">
        <f aca="true">RAND()</f>
        <v>0.51343719292785</v>
      </c>
      <c r="O1693" s="83" t="n">
        <f aca="false">IF(N1693&lt;(Inputs!$E$26-Inputs!$D$26)/(Inputs!$F$26-Inputs!$D$26),Inputs!$D$26+SQRT(N1693*(Inputs!$F$26-Inputs!$D$26)*(Inputs!$E$26-Inputs!$D$26)),Inputs!$F$26-SQRT((1-N1693)*(Inputs!$F$26-Inputs!$D$26)*(Inputs!$F$26-Inputs!$E$26)))</f>
        <v>0.592294284759717</v>
      </c>
      <c r="P1693" s="81" t="n">
        <f aca="true">RAND()</f>
        <v>0.465282623667855</v>
      </c>
      <c r="Q1693" s="82" t="n">
        <f aca="false">IF(P1693&lt;(Inputs!$E$27-Inputs!$D$27)/(Inputs!$F$27-Inputs!$D$27),Inputs!$D$27+SQRT(P1693*(Inputs!$F$27-Inputs!$D$27)*(Inputs!$E$27-Inputs!$D$27)),Inputs!$F$27-SQRT((1-P1693)*(Inputs!$F$27-Inputs!$D$27)*(Inputs!$F$27-Inputs!$E$27)))</f>
        <v>86.6724363133155</v>
      </c>
      <c r="R1693" s="81" t="n">
        <f aca="true">RAND()</f>
        <v>0.542657600462952</v>
      </c>
      <c r="S1693" s="82" t="n">
        <f aca="false">IF(R1693&lt;(Inputs!$E$29-Inputs!$D$29)/(Inputs!$F$29-Inputs!$D$29),Inputs!$D$29+SQRT(R1693*(Inputs!$F$29-Inputs!$D$29)*(Inputs!$E$29-Inputs!$D$29)),Inputs!$F$29-SQRT((1-R1693)*(Inputs!$F$29-Inputs!$D$29)*(Inputs!$F$29-Inputs!$E$29)))</f>
        <v>7.28932480648963</v>
      </c>
      <c r="T1693" s="68" t="n">
        <f aca="false">Inputs!$E$9*(1+E1693)+Inputs!$E$5*C1693*(Inputs!$E$11*Inputs!$E$14*(G1693*I1693/Inputs!$E$16+(1-G1693))*K1693+Inputs!$E$23*M1693)*(1+O1693)+Inputs!$E$5*(Q1693+S1693)</f>
        <v>6068.00546616413</v>
      </c>
    </row>
    <row r="1694" customFormat="false" ht="15" hidden="false" customHeight="false" outlineLevel="0" collapsed="false">
      <c r="A1694" s="1" t="n">
        <v>1690</v>
      </c>
      <c r="B1694" s="81" t="n">
        <f aca="true">RAND()</f>
        <v>0.548836827978223</v>
      </c>
      <c r="C1694" s="82" t="n">
        <f aca="false">ROUND(IF(B1694&lt;(Inputs!$E$8-Inputs!$D$8)/(Inputs!$F$8-Inputs!$D$8),Inputs!$D$8+SQRT(B1694*(Inputs!$F$8-Inputs!$D$8)*(Inputs!$E$8-Inputs!$D$8)),Inputs!$F$8-SQRT((1-B1694)*(Inputs!$F$8-Inputs!$D$8)*(Inputs!$F$8-Inputs!$E$8))),0)</f>
        <v>25</v>
      </c>
      <c r="D1694" s="81" t="n">
        <f aca="true">RAND()</f>
        <v>0.647317758364205</v>
      </c>
      <c r="E1694" s="83" t="n">
        <f aca="false">IF(D1694&lt;(Inputs!$E$10-Inputs!$D$10)/(Inputs!$F$10-Inputs!$D$10),Inputs!$D$10+SQRT(D1694*(Inputs!$F$10-Inputs!$D$10)*(Inputs!$E$10-Inputs!$D$10)),Inputs!$F$10-SQRT((1-D1694)*(Inputs!$F$10-Inputs!$D$10)*(Inputs!$F$10-Inputs!$E$10)))</f>
        <v>0.097138601754235</v>
      </c>
      <c r="F1694" s="81" t="n">
        <f aca="true">RAND()</f>
        <v>0.547929744361622</v>
      </c>
      <c r="G1694" s="83" t="n">
        <f aca="false">IF(F1694&lt;(Inputs!$E$15-Inputs!$D$15)/(Inputs!$F$15-Inputs!$D$15),Inputs!$D$15+SQRT(F1694*(Inputs!$F$15-Inputs!$D$15)*(Inputs!$E$15-Inputs!$D$15)),Inputs!$F$15-SQRT((1-F1694)*(Inputs!$F$15-Inputs!$D$15)*(Inputs!$F$15-Inputs!$E$15)))</f>
        <v>0.704913696502769</v>
      </c>
      <c r="H1694" s="81" t="n">
        <f aca="true">RAND()</f>
        <v>0.573825611904158</v>
      </c>
      <c r="I1694" s="82" t="n">
        <f aca="false">ROUND(IF(H1694&lt;(Inputs!$E$17-Inputs!$D$17)/(Inputs!$F$17-Inputs!$D$17),Inputs!$D$17+SQRT(H1694*(Inputs!$F$17-Inputs!$D$17)*(Inputs!$E$17-Inputs!$D$17)),Inputs!$F$17-SQRT((1-H1694)*(Inputs!$F$17-Inputs!$D$17)*(Inputs!$F$17-Inputs!$E$17))),0)</f>
        <v>107</v>
      </c>
      <c r="J1694" s="81" t="n">
        <f aca="true">RAND()</f>
        <v>0.328223457253573</v>
      </c>
      <c r="K1694" s="83" t="n">
        <f aca="false">IF(J1694&lt;(Inputs!$E$18-Inputs!$D$18)/(Inputs!$F$18-Inputs!$D$18),Inputs!$D$18+SQRT(J1694*(Inputs!$F$18-Inputs!$D$18)*(Inputs!$E$18-Inputs!$D$18)),Inputs!$F$18-SQRT((1-J1694)*(Inputs!$F$18-Inputs!$D$18)*(Inputs!$F$18-Inputs!$E$18)))</f>
        <v>1.00755320688796</v>
      </c>
      <c r="L1694" s="81" t="n">
        <f aca="true">RAND()</f>
        <v>0.620309075805917</v>
      </c>
      <c r="M1694" s="83" t="n">
        <f aca="false">IF(L1694&lt;(Inputs!$E$24-Inputs!$D$24)/(Inputs!$F$24-Inputs!$D$24),Inputs!$D$24+SQRT(L1694*(Inputs!$F$24-Inputs!$D$24)*(Inputs!$E$24-Inputs!$D$24)),Inputs!$F$24-SQRT((1-L1694)*(Inputs!$F$24-Inputs!$D$24)*(Inputs!$F$24-Inputs!$E$24)))</f>
        <v>0.898129461844022</v>
      </c>
      <c r="N1694" s="81" t="n">
        <f aca="true">RAND()</f>
        <v>0.416105539643646</v>
      </c>
      <c r="O1694" s="83" t="n">
        <f aca="false">IF(N1694&lt;(Inputs!$E$26-Inputs!$D$26)/(Inputs!$F$26-Inputs!$D$26),Inputs!$D$26+SQRT(N1694*(Inputs!$F$26-Inputs!$D$26)*(Inputs!$E$26-Inputs!$D$26)),Inputs!$F$26-SQRT((1-N1694)*(Inputs!$F$26-Inputs!$D$26)*(Inputs!$F$26-Inputs!$E$26)))</f>
        <v>0.563134873775223</v>
      </c>
      <c r="P1694" s="81" t="n">
        <f aca="true">RAND()</f>
        <v>0.562681915174641</v>
      </c>
      <c r="Q1694" s="82" t="n">
        <f aca="false">IF(P1694&lt;(Inputs!$E$27-Inputs!$D$27)/(Inputs!$F$27-Inputs!$D$27),Inputs!$D$27+SQRT(P1694*(Inputs!$F$27-Inputs!$D$27)*(Inputs!$E$27-Inputs!$D$27)),Inputs!$F$27-SQRT((1-P1694)*(Inputs!$F$27-Inputs!$D$27)*(Inputs!$F$27-Inputs!$E$27)))</f>
        <v>92.7297141949667</v>
      </c>
      <c r="R1694" s="81" t="n">
        <f aca="true">RAND()</f>
        <v>0.373066762999034</v>
      </c>
      <c r="S1694" s="82" t="n">
        <f aca="false">IF(R1694&lt;(Inputs!$E$29-Inputs!$D$29)/(Inputs!$F$29-Inputs!$D$29),Inputs!$D$29+SQRT(R1694*(Inputs!$F$29-Inputs!$D$29)*(Inputs!$E$29-Inputs!$D$29)),Inputs!$F$29-SQRT((1-R1694)*(Inputs!$F$29-Inputs!$D$29)*(Inputs!$F$29-Inputs!$E$29)))</f>
        <v>5.9721918047554</v>
      </c>
      <c r="T1694" s="68" t="n">
        <f aca="false">Inputs!$E$9*(1+E1694)+Inputs!$E$5*C1694*(Inputs!$E$11*Inputs!$E$14*(G1694*I1694/Inputs!$E$16+(1-G1694))*K1694+Inputs!$E$23*M1694)*(1+O1694)+Inputs!$E$5*(Q1694+S1694)</f>
        <v>6289.53710396777</v>
      </c>
    </row>
    <row r="1695" customFormat="false" ht="15" hidden="false" customHeight="false" outlineLevel="0" collapsed="false">
      <c r="A1695" s="1" t="n">
        <v>1691</v>
      </c>
      <c r="B1695" s="81" t="n">
        <f aca="true">RAND()</f>
        <v>0.0743105380355128</v>
      </c>
      <c r="C1695" s="82" t="n">
        <f aca="false">ROUND(IF(B1695&lt;(Inputs!$E$8-Inputs!$D$8)/(Inputs!$F$8-Inputs!$D$8),Inputs!$D$8+SQRT(B1695*(Inputs!$F$8-Inputs!$D$8)*(Inputs!$E$8-Inputs!$D$8)),Inputs!$F$8-SQRT((1-B1695)*(Inputs!$F$8-Inputs!$D$8)*(Inputs!$F$8-Inputs!$E$8))),0)</f>
        <v>22</v>
      </c>
      <c r="D1695" s="81" t="n">
        <f aca="true">RAND()</f>
        <v>0.458958385997089</v>
      </c>
      <c r="E1695" s="83" t="n">
        <f aca="false">IF(D1695&lt;(Inputs!$E$10-Inputs!$D$10)/(Inputs!$F$10-Inputs!$D$10),Inputs!$D$10+SQRT(D1695*(Inputs!$F$10-Inputs!$D$10)*(Inputs!$E$10-Inputs!$D$10)),Inputs!$F$10-SQRT((1-D1695)*(Inputs!$F$10-Inputs!$D$10)*(Inputs!$F$10-Inputs!$E$10)))</f>
        <v>0.0725980831380967</v>
      </c>
      <c r="F1695" s="81" t="n">
        <f aca="true">RAND()</f>
        <v>0.695553215521815</v>
      </c>
      <c r="G1695" s="83" t="n">
        <f aca="false">IF(F1695&lt;(Inputs!$E$15-Inputs!$D$15)/(Inputs!$F$15-Inputs!$D$15),Inputs!$D$15+SQRT(F1695*(Inputs!$F$15-Inputs!$D$15)*(Inputs!$E$15-Inputs!$D$15)),Inputs!$F$15-SQRT((1-F1695)*(Inputs!$F$15-Inputs!$D$15)*(Inputs!$F$15-Inputs!$E$15)))</f>
        <v>0.721968367378584</v>
      </c>
      <c r="H1695" s="81" t="n">
        <f aca="true">RAND()</f>
        <v>0.530899818699261</v>
      </c>
      <c r="I1695" s="82" t="n">
        <f aca="false">ROUND(IF(H1695&lt;(Inputs!$E$17-Inputs!$D$17)/(Inputs!$F$17-Inputs!$D$17),Inputs!$D$17+SQRT(H1695*(Inputs!$F$17-Inputs!$D$17)*(Inputs!$E$17-Inputs!$D$17)),Inputs!$F$17-SQRT((1-H1695)*(Inputs!$F$17-Inputs!$D$17)*(Inputs!$F$17-Inputs!$E$17))),0)</f>
        <v>107</v>
      </c>
      <c r="J1695" s="81" t="n">
        <f aca="true">RAND()</f>
        <v>0.371692217538915</v>
      </c>
      <c r="K1695" s="83" t="n">
        <f aca="false">IF(J1695&lt;(Inputs!$E$18-Inputs!$D$18)/(Inputs!$F$18-Inputs!$D$18),Inputs!$D$18+SQRT(J1695*(Inputs!$F$18-Inputs!$D$18)*(Inputs!$E$18-Inputs!$D$18)),Inputs!$F$18-SQRT((1-J1695)*(Inputs!$F$18-Inputs!$D$18)*(Inputs!$F$18-Inputs!$E$18)))</f>
        <v>1.01552840051438</v>
      </c>
      <c r="L1695" s="81" t="n">
        <f aca="true">RAND()</f>
        <v>0.739910340323098</v>
      </c>
      <c r="M1695" s="83" t="n">
        <f aca="false">IF(L1695&lt;(Inputs!$E$24-Inputs!$D$24)/(Inputs!$F$24-Inputs!$D$24),Inputs!$D$24+SQRT(L1695*(Inputs!$F$24-Inputs!$D$24)*(Inputs!$E$24-Inputs!$D$24)),Inputs!$F$24-SQRT((1-L1695)*(Inputs!$F$24-Inputs!$D$24)*(Inputs!$F$24-Inputs!$E$24)))</f>
        <v>0.950157012661038</v>
      </c>
      <c r="N1695" s="81" t="n">
        <f aca="true">RAND()</f>
        <v>0.963471348591094</v>
      </c>
      <c r="O1695" s="83" t="n">
        <f aca="false">IF(N1695&lt;(Inputs!$E$26-Inputs!$D$26)/(Inputs!$F$26-Inputs!$D$26),Inputs!$D$26+SQRT(N1695*(Inputs!$F$26-Inputs!$D$26)*(Inputs!$E$26-Inputs!$D$26)),Inputs!$F$26-SQRT((1-N1695)*(Inputs!$F$26-Inputs!$D$26)*(Inputs!$F$26-Inputs!$E$26)))</f>
        <v>0.758364135874264</v>
      </c>
      <c r="P1695" s="81" t="n">
        <f aca="true">RAND()</f>
        <v>0.393045830630697</v>
      </c>
      <c r="Q1695" s="82" t="n">
        <f aca="false">IF(P1695&lt;(Inputs!$E$27-Inputs!$D$27)/(Inputs!$F$27-Inputs!$D$27),Inputs!$D$27+SQRT(P1695*(Inputs!$F$27-Inputs!$D$27)*(Inputs!$E$27-Inputs!$D$27)),Inputs!$F$27-SQRT((1-P1695)*(Inputs!$F$27-Inputs!$D$27)*(Inputs!$F$27-Inputs!$E$27)))</f>
        <v>82.5303307383994</v>
      </c>
      <c r="R1695" s="81" t="n">
        <f aca="true">RAND()</f>
        <v>0.624084350089335</v>
      </c>
      <c r="S1695" s="82" t="n">
        <f aca="false">IF(R1695&lt;(Inputs!$E$29-Inputs!$D$29)/(Inputs!$F$29-Inputs!$D$29),Inputs!$D$29+SQRT(R1695*(Inputs!$F$29-Inputs!$D$29)*(Inputs!$E$29-Inputs!$D$29)),Inputs!$F$29-SQRT((1-R1695)*(Inputs!$F$29-Inputs!$D$29)*(Inputs!$F$29-Inputs!$E$29)))</f>
        <v>8.00936093848449</v>
      </c>
      <c r="T1695" s="68" t="n">
        <f aca="false">Inputs!$E$9*(1+E1695)+Inputs!$E$5*C1695*(Inputs!$E$11*Inputs!$E$14*(G1695*I1695/Inputs!$E$16+(1-G1695))*K1695+Inputs!$E$23*M1695)*(1+O1695)+Inputs!$E$5*(Q1695+S1695)</f>
        <v>6227.30081392641</v>
      </c>
    </row>
    <row r="1696" customFormat="false" ht="15" hidden="false" customHeight="false" outlineLevel="0" collapsed="false">
      <c r="A1696" s="1" t="n">
        <v>1692</v>
      </c>
      <c r="B1696" s="81" t="n">
        <f aca="true">RAND()</f>
        <v>0.764003083009256</v>
      </c>
      <c r="C1696" s="82" t="n">
        <f aca="false">ROUND(IF(B1696&lt;(Inputs!$E$8-Inputs!$D$8)/(Inputs!$F$8-Inputs!$D$8),Inputs!$D$8+SQRT(B1696*(Inputs!$F$8-Inputs!$D$8)*(Inputs!$E$8-Inputs!$D$8)),Inputs!$F$8-SQRT((1-B1696)*(Inputs!$F$8-Inputs!$D$8)*(Inputs!$F$8-Inputs!$E$8))),0)</f>
        <v>27</v>
      </c>
      <c r="D1696" s="81" t="n">
        <f aca="true">RAND()</f>
        <v>0.905053810449162</v>
      </c>
      <c r="E1696" s="83" t="n">
        <f aca="false">IF(D1696&lt;(Inputs!$E$10-Inputs!$D$10)/(Inputs!$F$10-Inputs!$D$10),Inputs!$D$10+SQRT(D1696*(Inputs!$F$10-Inputs!$D$10)*(Inputs!$E$10-Inputs!$D$10)),Inputs!$F$10-SQRT((1-D1696)*(Inputs!$F$10-Inputs!$D$10)*(Inputs!$F$10-Inputs!$E$10)))</f>
        <v>0.146629730312419</v>
      </c>
      <c r="F1696" s="81" t="n">
        <f aca="true">RAND()</f>
        <v>0.13575945703879</v>
      </c>
      <c r="G1696" s="83" t="n">
        <f aca="false">IF(F1696&lt;(Inputs!$E$15-Inputs!$D$15)/(Inputs!$F$15-Inputs!$D$15),Inputs!$D$15+SQRT(F1696*(Inputs!$F$15-Inputs!$D$15)*(Inputs!$E$15-Inputs!$D$15)),Inputs!$F$15-SQRT((1-F1696)*(Inputs!$F$15-Inputs!$D$15)*(Inputs!$F$15-Inputs!$E$15)))</f>
        <v>0.652107476822197</v>
      </c>
      <c r="H1696" s="81" t="n">
        <f aca="true">RAND()</f>
        <v>0.910847047792515</v>
      </c>
      <c r="I1696" s="82" t="n">
        <f aca="false">ROUND(IF(H1696&lt;(Inputs!$E$17-Inputs!$D$17)/(Inputs!$F$17-Inputs!$D$17),Inputs!$D$17+SQRT(H1696*(Inputs!$F$17-Inputs!$D$17)*(Inputs!$E$17-Inputs!$D$17)),Inputs!$F$17-SQRT((1-H1696)*(Inputs!$F$17-Inputs!$D$17)*(Inputs!$F$17-Inputs!$E$17))),0)</f>
        <v>111</v>
      </c>
      <c r="J1696" s="81" t="n">
        <f aca="true">RAND()</f>
        <v>0.86226676608745</v>
      </c>
      <c r="K1696" s="83" t="n">
        <f aca="false">IF(J1696&lt;(Inputs!$E$18-Inputs!$D$18)/(Inputs!$F$18-Inputs!$D$18),Inputs!$D$18+SQRT(J1696*(Inputs!$F$18-Inputs!$D$18)*(Inputs!$E$18-Inputs!$D$18)),Inputs!$F$18-SQRT((1-J1696)*(Inputs!$F$18-Inputs!$D$18)*(Inputs!$F$18-Inputs!$E$18)))</f>
        <v>1.14021995642491</v>
      </c>
      <c r="L1696" s="81" t="n">
        <f aca="true">RAND()</f>
        <v>0.550249541736309</v>
      </c>
      <c r="M1696" s="83" t="n">
        <f aca="false">IF(L1696&lt;(Inputs!$E$24-Inputs!$D$24)/(Inputs!$F$24-Inputs!$D$24),Inputs!$D$24+SQRT(L1696*(Inputs!$F$24-Inputs!$D$24)*(Inputs!$E$24-Inputs!$D$24)),Inputs!$F$24-SQRT((1-L1696)*(Inputs!$F$24-Inputs!$D$24)*(Inputs!$F$24-Inputs!$E$24)))</f>
        <v>0.871457597891405</v>
      </c>
      <c r="N1696" s="81" t="n">
        <f aca="true">RAND()</f>
        <v>0.689605829179441</v>
      </c>
      <c r="O1696" s="83" t="n">
        <f aca="false">IF(N1696&lt;(Inputs!$E$26-Inputs!$D$26)/(Inputs!$F$26-Inputs!$D$26),Inputs!$D$26+SQRT(N1696*(Inputs!$F$26-Inputs!$D$26)*(Inputs!$E$26-Inputs!$D$26)),Inputs!$F$26-SQRT((1-N1696)*(Inputs!$F$26-Inputs!$D$26)*(Inputs!$F$26-Inputs!$E$26)))</f>
        <v>0.640330876984001</v>
      </c>
      <c r="P1696" s="81" t="n">
        <f aca="true">RAND()</f>
        <v>0.881257926512533</v>
      </c>
      <c r="Q1696" s="82" t="n">
        <f aca="false">IF(P1696&lt;(Inputs!$E$27-Inputs!$D$27)/(Inputs!$F$27-Inputs!$D$27),Inputs!$D$27+SQRT(P1696*(Inputs!$F$27-Inputs!$D$27)*(Inputs!$E$27-Inputs!$D$27)),Inputs!$F$27-SQRT((1-P1696)*(Inputs!$F$27-Inputs!$D$27)*(Inputs!$F$27-Inputs!$E$27)))</f>
        <v>120.157655066064</v>
      </c>
      <c r="R1696" s="81" t="n">
        <f aca="true">RAND()</f>
        <v>0.21821399281446</v>
      </c>
      <c r="S1696" s="82" t="n">
        <f aca="false">IF(R1696&lt;(Inputs!$E$29-Inputs!$D$29)/(Inputs!$F$29-Inputs!$D$29),Inputs!$D$29+SQRT(R1696*(Inputs!$F$29-Inputs!$D$29)*(Inputs!$E$29-Inputs!$D$29)),Inputs!$F$29-SQRT((1-R1696)*(Inputs!$F$29-Inputs!$D$29)*(Inputs!$F$29-Inputs!$E$29)))</f>
        <v>4.91724968416554</v>
      </c>
      <c r="T1696" s="68" t="n">
        <f aca="false">Inputs!$E$9*(1+E1696)+Inputs!$E$5*C1696*(Inputs!$E$11*Inputs!$E$14*(G1696*I1696/Inputs!$E$16+(1-G1696))*K1696+Inputs!$E$23*M1696)*(1+O1696)+Inputs!$E$5*(Q1696+S1696)</f>
        <v>7398.58947963293</v>
      </c>
    </row>
    <row r="1697" customFormat="false" ht="15" hidden="false" customHeight="false" outlineLevel="0" collapsed="false">
      <c r="A1697" s="1" t="n">
        <v>1693</v>
      </c>
      <c r="B1697" s="81" t="n">
        <f aca="true">RAND()</f>
        <v>0.695405086421612</v>
      </c>
      <c r="C1697" s="82" t="n">
        <f aca="false">ROUND(IF(B1697&lt;(Inputs!$E$8-Inputs!$D$8)/(Inputs!$F$8-Inputs!$D$8),Inputs!$D$8+SQRT(B1697*(Inputs!$F$8-Inputs!$D$8)*(Inputs!$E$8-Inputs!$D$8)),Inputs!$F$8-SQRT((1-B1697)*(Inputs!$F$8-Inputs!$D$8)*(Inputs!$F$8-Inputs!$E$8))),0)</f>
        <v>26</v>
      </c>
      <c r="D1697" s="81" t="n">
        <f aca="true">RAND()</f>
        <v>0.710104251900544</v>
      </c>
      <c r="E1697" s="83" t="n">
        <f aca="false">IF(D1697&lt;(Inputs!$E$10-Inputs!$D$10)/(Inputs!$F$10-Inputs!$D$10),Inputs!$D$10+SQRT(D1697*(Inputs!$F$10-Inputs!$D$10)*(Inputs!$E$10-Inputs!$D$10)),Inputs!$F$10-SQRT((1-D1697)*(Inputs!$F$10-Inputs!$D$10)*(Inputs!$F$10-Inputs!$E$10)))</f>
        <v>0.106742976441537</v>
      </c>
      <c r="F1697" s="81" t="n">
        <f aca="true">RAND()</f>
        <v>0.75439501028455</v>
      </c>
      <c r="G1697" s="83" t="n">
        <f aca="false">IF(F1697&lt;(Inputs!$E$15-Inputs!$D$15)/(Inputs!$F$15-Inputs!$D$15),Inputs!$D$15+SQRT(F1697*(Inputs!$F$15-Inputs!$D$15)*(Inputs!$E$15-Inputs!$D$15)),Inputs!$F$15-SQRT((1-F1697)*(Inputs!$F$15-Inputs!$D$15)*(Inputs!$F$15-Inputs!$E$15)))</f>
        <v>0.729913626186619</v>
      </c>
      <c r="H1697" s="81" t="n">
        <f aca="true">RAND()</f>
        <v>0.0440421534940591</v>
      </c>
      <c r="I1697" s="82" t="n">
        <f aca="false">ROUND(IF(H1697&lt;(Inputs!$E$17-Inputs!$D$17)/(Inputs!$F$17-Inputs!$D$17),Inputs!$D$17+SQRT(H1697*(Inputs!$F$17-Inputs!$D$17)*(Inputs!$E$17-Inputs!$D$17)),Inputs!$F$17-SQRT((1-H1697)*(Inputs!$F$17-Inputs!$D$17)*(Inputs!$F$17-Inputs!$E$17))),0)</f>
        <v>102</v>
      </c>
      <c r="J1697" s="81" t="n">
        <f aca="true">RAND()</f>
        <v>0.193823591875944</v>
      </c>
      <c r="K1697" s="83" t="n">
        <f aca="false">IF(J1697&lt;(Inputs!$E$18-Inputs!$D$18)/(Inputs!$F$18-Inputs!$D$18),Inputs!$D$18+SQRT(J1697*(Inputs!$F$18-Inputs!$D$18)*(Inputs!$E$18-Inputs!$D$18)),Inputs!$F$18-SQRT((1-J1697)*(Inputs!$F$18-Inputs!$D$18)*(Inputs!$F$18-Inputs!$E$18)))</f>
        <v>0.982363983121617</v>
      </c>
      <c r="L1697" s="81" t="n">
        <f aca="true">RAND()</f>
        <v>0.284652935190421</v>
      </c>
      <c r="M1697" s="83" t="n">
        <f aca="false">IF(L1697&lt;(Inputs!$E$24-Inputs!$D$24)/(Inputs!$F$24-Inputs!$D$24),Inputs!$D$24+SQRT(L1697*(Inputs!$F$24-Inputs!$D$24)*(Inputs!$E$24-Inputs!$D$24)),Inputs!$F$24-SQRT((1-L1697)*(Inputs!$F$24-Inputs!$D$24)*(Inputs!$F$24-Inputs!$E$24)))</f>
        <v>0.78481978309383</v>
      </c>
      <c r="N1697" s="81" t="n">
        <f aca="true">RAND()</f>
        <v>0.326491097244762</v>
      </c>
      <c r="O1697" s="83" t="n">
        <f aca="false">IF(N1697&lt;(Inputs!$E$26-Inputs!$D$26)/(Inputs!$F$26-Inputs!$D$26),Inputs!$D$26+SQRT(N1697*(Inputs!$F$26-Inputs!$D$26)*(Inputs!$E$26-Inputs!$D$26)),Inputs!$F$26-SQRT((1-N1697)*(Inputs!$F$26-Inputs!$D$26)*(Inputs!$F$26-Inputs!$E$26)))</f>
        <v>0.533083930337397</v>
      </c>
      <c r="P1697" s="81" t="n">
        <f aca="true">RAND()</f>
        <v>0.374517143171459</v>
      </c>
      <c r="Q1697" s="82" t="n">
        <f aca="false">IF(P1697&lt;(Inputs!$E$27-Inputs!$D$27)/(Inputs!$F$27-Inputs!$D$27),Inputs!$D$27+SQRT(P1697*(Inputs!$F$27-Inputs!$D$27)*(Inputs!$E$27-Inputs!$D$27)),Inputs!$F$27-SQRT((1-P1697)*(Inputs!$F$27-Inputs!$D$27)*(Inputs!$F$27-Inputs!$E$27)))</f>
        <v>81.5082382602546</v>
      </c>
      <c r="R1697" s="81" t="n">
        <f aca="true">RAND()</f>
        <v>0.756446850391915</v>
      </c>
      <c r="S1697" s="82" t="n">
        <f aca="false">IF(R1697&lt;(Inputs!$E$29-Inputs!$D$29)/(Inputs!$F$29-Inputs!$D$29),Inputs!$D$29+SQRT(R1697*(Inputs!$F$29-Inputs!$D$29)*(Inputs!$E$29-Inputs!$D$29)),Inputs!$F$29-SQRT((1-R1697)*(Inputs!$F$29-Inputs!$D$29)*(Inputs!$F$29-Inputs!$E$29)))</f>
        <v>9.37310836704215</v>
      </c>
      <c r="T1697" s="68" t="n">
        <f aca="false">Inputs!$E$9*(1+E1697)+Inputs!$E$5*C1697*(Inputs!$E$11*Inputs!$E$14*(G1697*I1697/Inputs!$E$16+(1-G1697))*K1697+Inputs!$E$23*M1697)*(1+O1697)+Inputs!$E$5*(Q1697+S1697)</f>
        <v>6032.59126097756</v>
      </c>
    </row>
    <row r="1698" customFormat="false" ht="15" hidden="false" customHeight="false" outlineLevel="0" collapsed="false">
      <c r="A1698" s="1" t="n">
        <v>1694</v>
      </c>
      <c r="B1698" s="81" t="n">
        <f aca="true">RAND()</f>
        <v>0.588366279622917</v>
      </c>
      <c r="C1698" s="82" t="n">
        <f aca="false">ROUND(IF(B1698&lt;(Inputs!$E$8-Inputs!$D$8)/(Inputs!$F$8-Inputs!$D$8),Inputs!$D$8+SQRT(B1698*(Inputs!$F$8-Inputs!$D$8)*(Inputs!$E$8-Inputs!$D$8)),Inputs!$F$8-SQRT((1-B1698)*(Inputs!$F$8-Inputs!$D$8)*(Inputs!$F$8-Inputs!$E$8))),0)</f>
        <v>25</v>
      </c>
      <c r="D1698" s="81" t="n">
        <f aca="true">RAND()</f>
        <v>0.0785001290765417</v>
      </c>
      <c r="E1698" s="83" t="n">
        <f aca="false">IF(D1698&lt;(Inputs!$E$10-Inputs!$D$10)/(Inputs!$F$10-Inputs!$D$10),Inputs!$D$10+SQRT(D1698*(Inputs!$F$10-Inputs!$D$10)*(Inputs!$E$10-Inputs!$D$10)),Inputs!$F$10-SQRT((1-D1698)*(Inputs!$F$10-Inputs!$D$10)*(Inputs!$F$10-Inputs!$E$10)))</f>
        <v>0.028017874486931</v>
      </c>
      <c r="F1698" s="81" t="n">
        <f aca="true">RAND()</f>
        <v>0.122366243343306</v>
      </c>
      <c r="G1698" s="83" t="n">
        <f aca="false">IF(F1698&lt;(Inputs!$E$15-Inputs!$D$15)/(Inputs!$F$15-Inputs!$D$15),Inputs!$D$15+SQRT(F1698*(Inputs!$F$15-Inputs!$D$15)*(Inputs!$E$15-Inputs!$D$15)),Inputs!$F$15-SQRT((1-F1698)*(Inputs!$F$15-Inputs!$D$15)*(Inputs!$F$15-Inputs!$E$15)))</f>
        <v>0.649470444377084</v>
      </c>
      <c r="H1698" s="81" t="n">
        <f aca="true">RAND()</f>
        <v>0.454532490889875</v>
      </c>
      <c r="I1698" s="82" t="n">
        <f aca="false">ROUND(IF(H1698&lt;(Inputs!$E$17-Inputs!$D$17)/(Inputs!$F$17-Inputs!$D$17),Inputs!$D$17+SQRT(H1698*(Inputs!$F$17-Inputs!$D$17)*(Inputs!$E$17-Inputs!$D$17)),Inputs!$F$17-SQRT((1-H1698)*(Inputs!$F$17-Inputs!$D$17)*(Inputs!$F$17-Inputs!$E$17))),0)</f>
        <v>106</v>
      </c>
      <c r="J1698" s="81" t="n">
        <f aca="true">RAND()</f>
        <v>0.250790215119197</v>
      </c>
      <c r="K1698" s="83" t="n">
        <f aca="false">IF(J1698&lt;(Inputs!$E$18-Inputs!$D$18)/(Inputs!$F$18-Inputs!$D$18),Inputs!$D$18+SQRT(J1698*(Inputs!$F$18-Inputs!$D$18)*(Inputs!$E$18-Inputs!$D$18)),Inputs!$F$18-SQRT((1-J1698)*(Inputs!$F$18-Inputs!$D$18)*(Inputs!$F$18-Inputs!$E$18)))</f>
        <v>0.993689153743493</v>
      </c>
      <c r="L1698" s="81" t="n">
        <f aca="true">RAND()</f>
        <v>0.445173285566189</v>
      </c>
      <c r="M1698" s="83" t="n">
        <f aca="false">IF(L1698&lt;(Inputs!$E$24-Inputs!$D$24)/(Inputs!$F$24-Inputs!$D$24),Inputs!$D$24+SQRT(L1698*(Inputs!$F$24-Inputs!$D$24)*(Inputs!$E$24-Inputs!$D$24)),Inputs!$F$24-SQRT((1-L1698)*(Inputs!$F$24-Inputs!$D$24)*(Inputs!$F$24-Inputs!$E$24)))</f>
        <v>0.83509122857334</v>
      </c>
      <c r="N1698" s="81" t="n">
        <f aca="true">RAND()</f>
        <v>0.318379704608192</v>
      </c>
      <c r="O1698" s="83" t="n">
        <f aca="false">IF(N1698&lt;(Inputs!$E$26-Inputs!$D$26)/(Inputs!$F$26-Inputs!$D$26),Inputs!$D$26+SQRT(N1698*(Inputs!$F$26-Inputs!$D$26)*(Inputs!$E$26-Inputs!$D$26)),Inputs!$F$26-SQRT((1-N1698)*(Inputs!$F$26-Inputs!$D$26)*(Inputs!$F$26-Inputs!$E$26)))</f>
        <v>0.530170334419541</v>
      </c>
      <c r="P1698" s="81" t="n">
        <f aca="true">RAND()</f>
        <v>0.801681790434237</v>
      </c>
      <c r="Q1698" s="82" t="n">
        <f aca="false">IF(P1698&lt;(Inputs!$E$27-Inputs!$D$27)/(Inputs!$F$27-Inputs!$D$27),Inputs!$D$27+SQRT(P1698*(Inputs!$F$27-Inputs!$D$27)*(Inputs!$E$27-Inputs!$D$27)),Inputs!$F$27-SQRT((1-P1698)*(Inputs!$F$27-Inputs!$D$27)*(Inputs!$F$27-Inputs!$E$27)))</f>
        <v>111.433348969048</v>
      </c>
      <c r="R1698" s="81" t="n">
        <f aca="true">RAND()</f>
        <v>0.642593985108412</v>
      </c>
      <c r="S1698" s="82" t="n">
        <f aca="false">IF(R1698&lt;(Inputs!$E$29-Inputs!$D$29)/(Inputs!$F$29-Inputs!$D$29),Inputs!$D$29+SQRT(R1698*(Inputs!$F$29-Inputs!$D$29)*(Inputs!$E$29-Inputs!$D$29)),Inputs!$F$29-SQRT((1-R1698)*(Inputs!$F$29-Inputs!$D$29)*(Inputs!$F$29-Inputs!$E$29)))</f>
        <v>8.18363865864592</v>
      </c>
      <c r="T1698" s="68" t="n">
        <f aca="false">Inputs!$E$9*(1+E1698)+Inputs!$E$5*C1698*(Inputs!$E$11*Inputs!$E$14*(G1698*I1698/Inputs!$E$16+(1-G1698))*K1698+Inputs!$E$23*M1698)*(1+O1698)+Inputs!$E$5*(Q1698+S1698)</f>
        <v>6114.19525875576</v>
      </c>
    </row>
    <row r="1699" customFormat="false" ht="15" hidden="false" customHeight="false" outlineLevel="0" collapsed="false">
      <c r="A1699" s="1" t="n">
        <v>1695</v>
      </c>
      <c r="B1699" s="81" t="n">
        <f aca="true">RAND()</f>
        <v>0.806167685169811</v>
      </c>
      <c r="C1699" s="82" t="n">
        <f aca="false">ROUND(IF(B1699&lt;(Inputs!$E$8-Inputs!$D$8)/(Inputs!$F$8-Inputs!$D$8),Inputs!$D$8+SQRT(B1699*(Inputs!$F$8-Inputs!$D$8)*(Inputs!$E$8-Inputs!$D$8)),Inputs!$F$8-SQRT((1-B1699)*(Inputs!$F$8-Inputs!$D$8)*(Inputs!$F$8-Inputs!$E$8))),0)</f>
        <v>27</v>
      </c>
      <c r="D1699" s="81" t="n">
        <f aca="true">RAND()</f>
        <v>0.367019175813071</v>
      </c>
      <c r="E1699" s="83" t="n">
        <f aca="false">IF(D1699&lt;(Inputs!$E$10-Inputs!$D$10)/(Inputs!$F$10-Inputs!$D$10),Inputs!$D$10+SQRT(D1699*(Inputs!$F$10-Inputs!$D$10)*(Inputs!$E$10-Inputs!$D$10)),Inputs!$F$10-SQRT((1-D1699)*(Inputs!$F$10-Inputs!$D$10)*(Inputs!$F$10-Inputs!$E$10)))</f>
        <v>0.0621978783704406</v>
      </c>
      <c r="F1699" s="81" t="n">
        <f aca="true">RAND()</f>
        <v>0.698318120856041</v>
      </c>
      <c r="G1699" s="83" t="n">
        <f aca="false">IF(F1699&lt;(Inputs!$E$15-Inputs!$D$15)/(Inputs!$F$15-Inputs!$D$15),Inputs!$D$15+SQRT(F1699*(Inputs!$F$15-Inputs!$D$15)*(Inputs!$E$15-Inputs!$D$15)),Inputs!$F$15-SQRT((1-F1699)*(Inputs!$F$15-Inputs!$D$15)*(Inputs!$F$15-Inputs!$E$15)))</f>
        <v>0.72232350688349</v>
      </c>
      <c r="H1699" s="81" t="n">
        <f aca="true">RAND()</f>
        <v>0.415924642445504</v>
      </c>
      <c r="I1699" s="82" t="n">
        <f aca="false">ROUND(IF(H1699&lt;(Inputs!$E$17-Inputs!$D$17)/(Inputs!$F$17-Inputs!$D$17),Inputs!$D$17+SQRT(H1699*(Inputs!$F$17-Inputs!$D$17)*(Inputs!$E$17-Inputs!$D$17)),Inputs!$F$17-SQRT((1-H1699)*(Inputs!$F$17-Inputs!$D$17)*(Inputs!$F$17-Inputs!$E$17))),0)</f>
        <v>106</v>
      </c>
      <c r="J1699" s="81" t="n">
        <f aca="true">RAND()</f>
        <v>0.224077152584964</v>
      </c>
      <c r="K1699" s="83" t="n">
        <f aca="false">IF(J1699&lt;(Inputs!$E$18-Inputs!$D$18)/(Inputs!$F$18-Inputs!$D$18),Inputs!$D$18+SQRT(J1699*(Inputs!$F$18-Inputs!$D$18)*(Inputs!$E$18-Inputs!$D$18)),Inputs!$F$18-SQRT((1-J1699)*(Inputs!$F$18-Inputs!$D$18)*(Inputs!$F$18-Inputs!$E$18)))</f>
        <v>0.988559021790407</v>
      </c>
      <c r="L1699" s="81" t="n">
        <f aca="true">RAND()</f>
        <v>0.0422066064724518</v>
      </c>
      <c r="M1699" s="83" t="n">
        <f aca="false">IF(L1699&lt;(Inputs!$E$24-Inputs!$D$24)/(Inputs!$F$24-Inputs!$D$24),Inputs!$D$24+SQRT(L1699*(Inputs!$F$24-Inputs!$D$24)*(Inputs!$E$24-Inputs!$D$24)),Inputs!$F$24-SQRT((1-L1699)*(Inputs!$F$24-Inputs!$D$24)*(Inputs!$F$24-Inputs!$E$24)))</f>
        <v>0.671167357522211</v>
      </c>
      <c r="N1699" s="81" t="n">
        <f aca="true">RAND()</f>
        <v>0.934567789989662</v>
      </c>
      <c r="O1699" s="83" t="n">
        <f aca="false">IF(N1699&lt;(Inputs!$E$26-Inputs!$D$26)/(Inputs!$F$26-Inputs!$D$26),Inputs!$D$26+SQRT(N1699*(Inputs!$F$26-Inputs!$D$26)*(Inputs!$E$26-Inputs!$D$26)),Inputs!$F$26-SQRT((1-N1699)*(Inputs!$F$26-Inputs!$D$26)*(Inputs!$F$26-Inputs!$E$26)))</f>
        <v>0.737507880127402</v>
      </c>
      <c r="P1699" s="81" t="n">
        <f aca="true">RAND()</f>
        <v>0.638490033363969</v>
      </c>
      <c r="Q1699" s="82" t="n">
        <f aca="false">IF(P1699&lt;(Inputs!$E$27-Inputs!$D$27)/(Inputs!$F$27-Inputs!$D$27),Inputs!$D$27+SQRT(P1699*(Inputs!$F$27-Inputs!$D$27)*(Inputs!$E$27-Inputs!$D$27)),Inputs!$F$27-SQRT((1-P1699)*(Inputs!$F$27-Inputs!$D$27)*(Inputs!$F$27-Inputs!$E$27)))</f>
        <v>97.9296173456519</v>
      </c>
      <c r="R1699" s="81" t="n">
        <f aca="true">RAND()</f>
        <v>0.669957333798997</v>
      </c>
      <c r="S1699" s="82" t="n">
        <f aca="false">IF(R1699&lt;(Inputs!$E$29-Inputs!$D$29)/(Inputs!$F$29-Inputs!$D$29),Inputs!$D$29+SQRT(R1699*(Inputs!$F$29-Inputs!$D$29)*(Inputs!$E$29-Inputs!$D$29)),Inputs!$F$29-SQRT((1-R1699)*(Inputs!$F$29-Inputs!$D$29)*(Inputs!$F$29-Inputs!$E$29)))</f>
        <v>8.44976743877514</v>
      </c>
      <c r="T1699" s="68" t="n">
        <f aca="false">Inputs!$E$9*(1+E1699)+Inputs!$E$5*C1699*(Inputs!$E$11*Inputs!$E$14*(G1699*I1699/Inputs!$E$16+(1-G1699))*K1699+Inputs!$E$23*M1699)*(1+O1699)+Inputs!$E$5*(Q1699+S1699)</f>
        <v>6461.14968354023</v>
      </c>
    </row>
    <row r="1700" customFormat="false" ht="15" hidden="false" customHeight="false" outlineLevel="0" collapsed="false">
      <c r="A1700" s="1" t="n">
        <v>1696</v>
      </c>
      <c r="B1700" s="81" t="n">
        <f aca="true">RAND()</f>
        <v>0.244763887313537</v>
      </c>
      <c r="C1700" s="82" t="n">
        <f aca="false">ROUND(IF(B1700&lt;(Inputs!$E$8-Inputs!$D$8)/(Inputs!$F$8-Inputs!$D$8),Inputs!$D$8+SQRT(B1700*(Inputs!$F$8-Inputs!$D$8)*(Inputs!$E$8-Inputs!$D$8)),Inputs!$F$8-SQRT((1-B1700)*(Inputs!$F$8-Inputs!$D$8)*(Inputs!$F$8-Inputs!$E$8))),0)</f>
        <v>23</v>
      </c>
      <c r="D1700" s="81" t="n">
        <f aca="true">RAND()</f>
        <v>0.86413512567577</v>
      </c>
      <c r="E1700" s="83" t="n">
        <f aca="false">IF(D1700&lt;(Inputs!$E$10-Inputs!$D$10)/(Inputs!$F$10-Inputs!$D$10),Inputs!$D$10+SQRT(D1700*(Inputs!$F$10-Inputs!$D$10)*(Inputs!$E$10-Inputs!$D$10)),Inputs!$F$10-SQRT((1-D1700)*(Inputs!$F$10-Inputs!$D$10)*(Inputs!$F$10-Inputs!$E$10)))</f>
        <v>0.136156862312956</v>
      </c>
      <c r="F1700" s="81" t="n">
        <f aca="true">RAND()</f>
        <v>0.623047939768688</v>
      </c>
      <c r="G1700" s="83" t="n">
        <f aca="false">IF(F1700&lt;(Inputs!$E$15-Inputs!$D$15)/(Inputs!$F$15-Inputs!$D$15),Inputs!$D$15+SQRT(F1700*(Inputs!$F$15-Inputs!$D$15)*(Inputs!$E$15-Inputs!$D$15)),Inputs!$F$15-SQRT((1-F1700)*(Inputs!$F$15-Inputs!$D$15)*(Inputs!$F$15-Inputs!$E$15)))</f>
        <v>0.713172347695989</v>
      </c>
      <c r="H1700" s="81" t="n">
        <f aca="true">RAND()</f>
        <v>0.893764069147124</v>
      </c>
      <c r="I1700" s="82" t="n">
        <f aca="false">ROUND(IF(H1700&lt;(Inputs!$E$17-Inputs!$D$17)/(Inputs!$F$17-Inputs!$D$17),Inputs!$D$17+SQRT(H1700*(Inputs!$F$17-Inputs!$D$17)*(Inputs!$E$17-Inputs!$D$17)),Inputs!$F$17-SQRT((1-H1700)*(Inputs!$F$17-Inputs!$D$17)*(Inputs!$F$17-Inputs!$E$17))),0)</f>
        <v>111</v>
      </c>
      <c r="J1700" s="81" t="n">
        <f aca="true">RAND()</f>
        <v>0.44084866177904</v>
      </c>
      <c r="K1700" s="83" t="n">
        <f aca="false">IF(J1700&lt;(Inputs!$E$18-Inputs!$D$18)/(Inputs!$F$18-Inputs!$D$18),Inputs!$D$18+SQRT(J1700*(Inputs!$F$18-Inputs!$D$18)*(Inputs!$E$18-Inputs!$D$18)),Inputs!$F$18-SQRT((1-J1700)*(Inputs!$F$18-Inputs!$D$18)*(Inputs!$F$18-Inputs!$E$18)))</f>
        <v>1.02880835889588</v>
      </c>
      <c r="L1700" s="81" t="n">
        <f aca="true">RAND()</f>
        <v>0.0303655228961901</v>
      </c>
      <c r="M1700" s="83" t="n">
        <f aca="false">IF(L1700&lt;(Inputs!$E$24-Inputs!$D$24)/(Inputs!$F$24-Inputs!$D$24),Inputs!$D$24+SQRT(L1700*(Inputs!$F$24-Inputs!$D$24)*(Inputs!$E$24-Inputs!$D$24)),Inputs!$F$24-SQRT((1-L1700)*(Inputs!$F$24-Inputs!$D$24)*(Inputs!$F$24-Inputs!$E$24)))</f>
        <v>0.660364416236246</v>
      </c>
      <c r="N1700" s="81" t="n">
        <f aca="true">RAND()</f>
        <v>0.188668842253023</v>
      </c>
      <c r="O1700" s="83" t="n">
        <f aca="false">IF(N1700&lt;(Inputs!$E$26-Inputs!$D$26)/(Inputs!$F$26-Inputs!$D$26),Inputs!$D$26+SQRT(N1700*(Inputs!$F$26-Inputs!$D$26)*(Inputs!$E$26-Inputs!$D$26)),Inputs!$F$26-SQRT((1-N1700)*(Inputs!$F$26-Inputs!$D$26)*(Inputs!$F$26-Inputs!$E$26)))</f>
        <v>0.477184918519898</v>
      </c>
      <c r="P1700" s="81" t="n">
        <f aca="true">RAND()</f>
        <v>0.035378781463838</v>
      </c>
      <c r="Q1700" s="82" t="n">
        <f aca="false">IF(P1700&lt;(Inputs!$E$27-Inputs!$D$27)/(Inputs!$F$27-Inputs!$D$27),Inputs!$D$27+SQRT(P1700*(Inputs!$F$27-Inputs!$D$27)*(Inputs!$E$27-Inputs!$D$27)),Inputs!$F$27-SQRT((1-P1700)*(Inputs!$F$27-Inputs!$D$27)*(Inputs!$F$27-Inputs!$E$27)))</f>
        <v>59.4046240573239</v>
      </c>
      <c r="R1700" s="81" t="n">
        <f aca="true">RAND()</f>
        <v>0.942749412629074</v>
      </c>
      <c r="S1700" s="82" t="n">
        <f aca="false">IF(R1700&lt;(Inputs!$E$29-Inputs!$D$29)/(Inputs!$F$29-Inputs!$D$29),Inputs!$D$29+SQRT(R1700*(Inputs!$F$29-Inputs!$D$29)*(Inputs!$E$29-Inputs!$D$29)),Inputs!$F$29-SQRT((1-R1700)*(Inputs!$F$29-Inputs!$D$29)*(Inputs!$F$29-Inputs!$E$29)))</f>
        <v>12.2718914321053</v>
      </c>
      <c r="T1700" s="68" t="n">
        <f aca="false">Inputs!$E$9*(1+E1700)+Inputs!$E$5*C1700*(Inputs!$E$11*Inputs!$E$14*(G1700*I1700/Inputs!$E$16+(1-G1700))*K1700+Inputs!$E$23*M1700)*(1+O1700)+Inputs!$E$5*(Q1700+S1700)</f>
        <v>5581.78728770984</v>
      </c>
    </row>
    <row r="1701" customFormat="false" ht="15" hidden="false" customHeight="false" outlineLevel="0" collapsed="false">
      <c r="A1701" s="1" t="n">
        <v>1697</v>
      </c>
      <c r="B1701" s="81" t="n">
        <f aca="true">RAND()</f>
        <v>0.610415816996442</v>
      </c>
      <c r="C1701" s="82" t="n">
        <f aca="false">ROUND(IF(B1701&lt;(Inputs!$E$8-Inputs!$D$8)/(Inputs!$F$8-Inputs!$D$8),Inputs!$D$8+SQRT(B1701*(Inputs!$F$8-Inputs!$D$8)*(Inputs!$E$8-Inputs!$D$8)),Inputs!$F$8-SQRT((1-B1701)*(Inputs!$F$8-Inputs!$D$8)*(Inputs!$F$8-Inputs!$E$8))),0)</f>
        <v>26</v>
      </c>
      <c r="D1701" s="81" t="n">
        <f aca="true">RAND()</f>
        <v>0.439888705069317</v>
      </c>
      <c r="E1701" s="83" t="n">
        <f aca="false">IF(D1701&lt;(Inputs!$E$10-Inputs!$D$10)/(Inputs!$F$10-Inputs!$D$10),Inputs!$D$10+SQRT(D1701*(Inputs!$F$10-Inputs!$D$10)*(Inputs!$E$10-Inputs!$D$10)),Inputs!$F$10-SQRT((1-D1701)*(Inputs!$F$10-Inputs!$D$10)*(Inputs!$F$10-Inputs!$E$10)))</f>
        <v>0.0703723067862407</v>
      </c>
      <c r="F1701" s="81" t="n">
        <f aca="true">RAND()</f>
        <v>0.358079520627017</v>
      </c>
      <c r="G1701" s="83" t="n">
        <f aca="false">IF(F1701&lt;(Inputs!$E$15-Inputs!$D$15)/(Inputs!$F$15-Inputs!$D$15),Inputs!$D$15+SQRT(F1701*(Inputs!$F$15-Inputs!$D$15)*(Inputs!$E$15-Inputs!$D$15)),Inputs!$F$15-SQRT((1-F1701)*(Inputs!$F$15-Inputs!$D$15)*(Inputs!$F$15-Inputs!$E$15)))</f>
        <v>0.684626180420366</v>
      </c>
      <c r="H1701" s="81" t="n">
        <f aca="true">RAND()</f>
        <v>0.204643129137428</v>
      </c>
      <c r="I1701" s="82" t="n">
        <f aca="false">ROUND(IF(H1701&lt;(Inputs!$E$17-Inputs!$D$17)/(Inputs!$F$17-Inputs!$D$17),Inputs!$D$17+SQRT(H1701*(Inputs!$F$17-Inputs!$D$17)*(Inputs!$E$17-Inputs!$D$17)),Inputs!$F$17-SQRT((1-H1701)*(Inputs!$F$17-Inputs!$D$17)*(Inputs!$F$17-Inputs!$E$17))),0)</f>
        <v>104</v>
      </c>
      <c r="J1701" s="81" t="n">
        <f aca="true">RAND()</f>
        <v>0.413294852057081</v>
      </c>
      <c r="K1701" s="83" t="n">
        <f aca="false">IF(J1701&lt;(Inputs!$E$18-Inputs!$D$18)/(Inputs!$F$18-Inputs!$D$18),Inputs!$D$18+SQRT(J1701*(Inputs!$F$18-Inputs!$D$18)*(Inputs!$E$18-Inputs!$D$18)),Inputs!$F$18-SQRT((1-J1701)*(Inputs!$F$18-Inputs!$D$18)*(Inputs!$F$18-Inputs!$E$18)))</f>
        <v>1.02342396321542</v>
      </c>
      <c r="L1701" s="81" t="n">
        <f aca="true">RAND()</f>
        <v>0.214864762125772</v>
      </c>
      <c r="M1701" s="83" t="n">
        <f aca="false">IF(L1701&lt;(Inputs!$E$24-Inputs!$D$24)/(Inputs!$F$24-Inputs!$D$24),Inputs!$D$24+SQRT(L1701*(Inputs!$F$24-Inputs!$D$24)*(Inputs!$E$24-Inputs!$D$24)),Inputs!$F$24-SQRT((1-L1701)*(Inputs!$F$24-Inputs!$D$24)*(Inputs!$F$24-Inputs!$E$24)))</f>
        <v>0.760573258841853</v>
      </c>
      <c r="N1701" s="81" t="n">
        <f aca="true">RAND()</f>
        <v>0.674105426261315</v>
      </c>
      <c r="O1701" s="83" t="n">
        <f aca="false">IF(N1701&lt;(Inputs!$E$26-Inputs!$D$26)/(Inputs!$F$26-Inputs!$D$26),Inputs!$D$26+SQRT(N1701*(Inputs!$F$26-Inputs!$D$26)*(Inputs!$E$26-Inputs!$D$26)),Inputs!$F$26-SQRT((1-N1701)*(Inputs!$F$26-Inputs!$D$26)*(Inputs!$F$26-Inputs!$E$26)))</f>
        <v>0.635899387103619</v>
      </c>
      <c r="P1701" s="81" t="n">
        <f aca="true">RAND()</f>
        <v>0.926604143632636</v>
      </c>
      <c r="Q1701" s="82" t="n">
        <f aca="false">IF(P1701&lt;(Inputs!$E$27-Inputs!$D$27)/(Inputs!$F$27-Inputs!$D$27),Inputs!$D$27+SQRT(P1701*(Inputs!$F$27-Inputs!$D$27)*(Inputs!$E$27-Inputs!$D$27)),Inputs!$F$27-SQRT((1-P1701)*(Inputs!$F$27-Inputs!$D$27)*(Inputs!$F$27-Inputs!$E$27)))</f>
        <v>126.537925864169</v>
      </c>
      <c r="R1701" s="81" t="n">
        <f aca="true">RAND()</f>
        <v>0.614307176215031</v>
      </c>
      <c r="S1701" s="82" t="n">
        <f aca="false">IF(R1701&lt;(Inputs!$E$29-Inputs!$D$29)/(Inputs!$F$29-Inputs!$D$29),Inputs!$D$29+SQRT(R1701*(Inputs!$F$29-Inputs!$D$29)*(Inputs!$E$29-Inputs!$D$29)),Inputs!$F$29-SQRT((1-R1701)*(Inputs!$F$29-Inputs!$D$29)*(Inputs!$F$29-Inputs!$E$29)))</f>
        <v>7.91903487566519</v>
      </c>
      <c r="T1701" s="68" t="n">
        <f aca="false">Inputs!$E$9*(1+E1701)+Inputs!$E$5*C1701*(Inputs!$E$11*Inputs!$E$14*(G1701*I1701/Inputs!$E$16+(1-G1701))*K1701+Inputs!$E$23*M1701)*(1+O1701)+Inputs!$E$5*(Q1701+S1701)</f>
        <v>6527.87086982471</v>
      </c>
    </row>
    <row r="1702" customFormat="false" ht="15" hidden="false" customHeight="false" outlineLevel="0" collapsed="false">
      <c r="A1702" s="1" t="n">
        <v>1698</v>
      </c>
      <c r="B1702" s="81" t="n">
        <f aca="true">RAND()</f>
        <v>0.23243416915706</v>
      </c>
      <c r="C1702" s="82" t="n">
        <f aca="false">ROUND(IF(B1702&lt;(Inputs!$E$8-Inputs!$D$8)/(Inputs!$F$8-Inputs!$D$8),Inputs!$D$8+SQRT(B1702*(Inputs!$F$8-Inputs!$D$8)*(Inputs!$E$8-Inputs!$D$8)),Inputs!$F$8-SQRT((1-B1702)*(Inputs!$F$8-Inputs!$D$8)*(Inputs!$F$8-Inputs!$E$8))),0)</f>
        <v>23</v>
      </c>
      <c r="D1702" s="81" t="n">
        <f aca="true">RAND()</f>
        <v>0.951867374593574</v>
      </c>
      <c r="E1702" s="83" t="n">
        <f aca="false">IF(D1702&lt;(Inputs!$E$10-Inputs!$D$10)/(Inputs!$F$10-Inputs!$D$10),Inputs!$D$10+SQRT(D1702*(Inputs!$F$10-Inputs!$D$10)*(Inputs!$E$10-Inputs!$D$10)),Inputs!$F$10-SQRT((1-D1702)*(Inputs!$F$10-Inputs!$D$10)*(Inputs!$F$10-Inputs!$E$10)))</f>
        <v>0.162000279445859</v>
      </c>
      <c r="F1702" s="81" t="n">
        <f aca="true">RAND()</f>
        <v>0.0765367895505003</v>
      </c>
      <c r="G1702" s="83" t="n">
        <f aca="false">IF(F1702&lt;(Inputs!$E$15-Inputs!$D$15)/(Inputs!$F$15-Inputs!$D$15),Inputs!$D$15+SQRT(F1702*(Inputs!$F$15-Inputs!$D$15)*(Inputs!$E$15-Inputs!$D$15)),Inputs!$F$15-SQRT((1-F1702)*(Inputs!$F$15-Inputs!$D$15)*(Inputs!$F$15-Inputs!$E$15)))</f>
        <v>0.639124618733095</v>
      </c>
      <c r="H1702" s="81" t="n">
        <f aca="true">RAND()</f>
        <v>0.403223676234906</v>
      </c>
      <c r="I1702" s="82" t="n">
        <f aca="false">ROUND(IF(H1702&lt;(Inputs!$E$17-Inputs!$D$17)/(Inputs!$F$17-Inputs!$D$17),Inputs!$D$17+SQRT(H1702*(Inputs!$F$17-Inputs!$D$17)*(Inputs!$E$17-Inputs!$D$17)),Inputs!$F$17-SQRT((1-H1702)*(Inputs!$F$17-Inputs!$D$17)*(Inputs!$F$17-Inputs!$E$17))),0)</f>
        <v>106</v>
      </c>
      <c r="J1702" s="81" t="n">
        <f aca="true">RAND()</f>
        <v>0.794838794730352</v>
      </c>
      <c r="K1702" s="83" t="n">
        <f aca="false">IF(J1702&lt;(Inputs!$E$18-Inputs!$D$18)/(Inputs!$F$18-Inputs!$D$18),Inputs!$D$18+SQRT(J1702*(Inputs!$F$18-Inputs!$D$18)*(Inputs!$E$18-Inputs!$D$18)),Inputs!$F$18-SQRT((1-J1702)*(Inputs!$F$18-Inputs!$D$18)*(Inputs!$F$18-Inputs!$E$18)))</f>
        <v>1.11601639853663</v>
      </c>
      <c r="L1702" s="81" t="n">
        <f aca="true">RAND()</f>
        <v>0.967898329499449</v>
      </c>
      <c r="M1702" s="83" t="n">
        <f aca="false">IF(L1702&lt;(Inputs!$E$24-Inputs!$D$24)/(Inputs!$F$24-Inputs!$D$24),Inputs!$D$24+SQRT(L1702*(Inputs!$F$24-Inputs!$D$24)*(Inputs!$E$24-Inputs!$D$24)),Inputs!$F$24-SQRT((1-L1702)*(Inputs!$F$24-Inputs!$D$24)*(Inputs!$F$24-Inputs!$E$24)))</f>
        <v>1.11222528313841</v>
      </c>
      <c r="N1702" s="81" t="n">
        <f aca="true">RAND()</f>
        <v>0.0085443182914663</v>
      </c>
      <c r="O1702" s="83" t="n">
        <f aca="false">IF(N1702&lt;(Inputs!$E$26-Inputs!$D$26)/(Inputs!$F$26-Inputs!$D$26),Inputs!$D$26+SQRT(N1702*(Inputs!$F$26-Inputs!$D$26)*(Inputs!$E$26-Inputs!$D$26)),Inputs!$F$26-SQRT((1-N1702)*(Inputs!$F$26-Inputs!$D$26)*(Inputs!$F$26-Inputs!$E$26)))</f>
        <v>0.337706426026607</v>
      </c>
      <c r="P1702" s="81" t="n">
        <f aca="true">RAND()</f>
        <v>0.436477569645635</v>
      </c>
      <c r="Q1702" s="82" t="n">
        <f aca="false">IF(P1702&lt;(Inputs!$E$27-Inputs!$D$27)/(Inputs!$F$27-Inputs!$D$27),Inputs!$D$27+SQRT(P1702*(Inputs!$F$27-Inputs!$D$27)*(Inputs!$E$27-Inputs!$D$27)),Inputs!$F$27-SQRT((1-P1702)*(Inputs!$F$27-Inputs!$D$27)*(Inputs!$F$27-Inputs!$E$27)))</f>
        <v>84.9890914718327</v>
      </c>
      <c r="R1702" s="81" t="n">
        <f aca="true">RAND()</f>
        <v>0.861054942293155</v>
      </c>
      <c r="S1702" s="82" t="n">
        <f aca="false">IF(R1702&lt;(Inputs!$E$29-Inputs!$D$29)/(Inputs!$F$29-Inputs!$D$29),Inputs!$D$29+SQRT(R1702*(Inputs!$F$29-Inputs!$D$29)*(Inputs!$E$29-Inputs!$D$29)),Inputs!$F$29-SQRT((1-R1702)*(Inputs!$F$29-Inputs!$D$29)*(Inputs!$F$29-Inputs!$E$29)))</f>
        <v>10.7499579411622</v>
      </c>
      <c r="T1702" s="68" t="n">
        <f aca="false">Inputs!$E$9*(1+E1702)+Inputs!$E$5*C1702*(Inputs!$E$11*Inputs!$E$14*(G1702*I1702/Inputs!$E$16+(1-G1702))*K1702+Inputs!$E$23*M1702)*(1+O1702)+Inputs!$E$5*(Q1702+S1702)</f>
        <v>6177.74437360423</v>
      </c>
    </row>
    <row r="1703" customFormat="false" ht="15" hidden="false" customHeight="false" outlineLevel="0" collapsed="false">
      <c r="A1703" s="1" t="n">
        <v>1699</v>
      </c>
      <c r="B1703" s="81" t="n">
        <f aca="true">RAND()</f>
        <v>0.44172077193401</v>
      </c>
      <c r="C1703" s="82" t="n">
        <f aca="false">ROUND(IF(B1703&lt;(Inputs!$E$8-Inputs!$D$8)/(Inputs!$F$8-Inputs!$D$8),Inputs!$D$8+SQRT(B1703*(Inputs!$F$8-Inputs!$D$8)*(Inputs!$E$8-Inputs!$D$8)),Inputs!$F$8-SQRT((1-B1703)*(Inputs!$F$8-Inputs!$D$8)*(Inputs!$F$8-Inputs!$E$8))),0)</f>
        <v>25</v>
      </c>
      <c r="D1703" s="81" t="n">
        <f aca="true">RAND()</f>
        <v>0.508235406469295</v>
      </c>
      <c r="E1703" s="83" t="n">
        <f aca="false">IF(D1703&lt;(Inputs!$E$10-Inputs!$D$10)/(Inputs!$F$10-Inputs!$D$10),Inputs!$D$10+SQRT(D1703*(Inputs!$F$10-Inputs!$D$10)*(Inputs!$E$10-Inputs!$D$10)),Inputs!$F$10-SQRT((1-D1703)*(Inputs!$F$10-Inputs!$D$10)*(Inputs!$F$10-Inputs!$E$10)))</f>
        <v>0.0785383278316936</v>
      </c>
      <c r="F1703" s="81" t="n">
        <f aca="true">RAND()</f>
        <v>0.713377494254589</v>
      </c>
      <c r="G1703" s="83" t="n">
        <f aca="false">IF(F1703&lt;(Inputs!$E$15-Inputs!$D$15)/(Inputs!$F$15-Inputs!$D$15),Inputs!$D$15+SQRT(F1703*(Inputs!$F$15-Inputs!$D$15)*(Inputs!$E$15-Inputs!$D$15)),Inputs!$F$15-SQRT((1-F1703)*(Inputs!$F$15-Inputs!$D$15)*(Inputs!$F$15-Inputs!$E$15)))</f>
        <v>0.724287054509099</v>
      </c>
      <c r="H1703" s="81" t="n">
        <f aca="true">RAND()</f>
        <v>0.892342087533965</v>
      </c>
      <c r="I1703" s="82" t="n">
        <f aca="false">ROUND(IF(H1703&lt;(Inputs!$E$17-Inputs!$D$17)/(Inputs!$F$17-Inputs!$D$17),Inputs!$D$17+SQRT(H1703*(Inputs!$F$17-Inputs!$D$17)*(Inputs!$E$17-Inputs!$D$17)),Inputs!$F$17-SQRT((1-H1703)*(Inputs!$F$17-Inputs!$D$17)*(Inputs!$F$17-Inputs!$E$17))),0)</f>
        <v>111</v>
      </c>
      <c r="J1703" s="81" t="n">
        <f aca="true">RAND()</f>
        <v>0.079455447166923</v>
      </c>
      <c r="K1703" s="83" t="n">
        <f aca="false">IF(J1703&lt;(Inputs!$E$18-Inputs!$D$18)/(Inputs!$F$18-Inputs!$D$18),Inputs!$D$18+SQRT(J1703*(Inputs!$F$18-Inputs!$D$18)*(Inputs!$E$18-Inputs!$D$18)),Inputs!$F$18-SQRT((1-J1703)*(Inputs!$F$18-Inputs!$D$18)*(Inputs!$F$18-Inputs!$E$18)))</f>
        <v>0.952734624781469</v>
      </c>
      <c r="L1703" s="81" t="n">
        <f aca="true">RAND()</f>
        <v>0.992153216529758</v>
      </c>
      <c r="M1703" s="83" t="n">
        <f aca="false">IF(L1703&lt;(Inputs!$E$24-Inputs!$D$24)/(Inputs!$F$24-Inputs!$D$24),Inputs!$D$24+SQRT(L1703*(Inputs!$F$24-Inputs!$D$24)*(Inputs!$E$24-Inputs!$D$24)),Inputs!$F$24-SQRT((1-L1703)*(Inputs!$F$24-Inputs!$D$24)*(Inputs!$F$24-Inputs!$E$24)))</f>
        <v>1.15660382467477</v>
      </c>
      <c r="N1703" s="81" t="n">
        <f aca="true">RAND()</f>
        <v>0.940299871837593</v>
      </c>
      <c r="O1703" s="83" t="n">
        <f aca="false">IF(N1703&lt;(Inputs!$E$26-Inputs!$D$26)/(Inputs!$F$26-Inputs!$D$26),Inputs!$D$26+SQRT(N1703*(Inputs!$F$26-Inputs!$D$26)*(Inputs!$E$26-Inputs!$D$26)),Inputs!$F$26-SQRT((1-N1703)*(Inputs!$F$26-Inputs!$D$26)*(Inputs!$F$26-Inputs!$E$26)))</f>
        <v>0.741203976439859</v>
      </c>
      <c r="P1703" s="81" t="n">
        <f aca="true">RAND()</f>
        <v>0.381115361838471</v>
      </c>
      <c r="Q1703" s="82" t="n">
        <f aca="false">IF(P1703&lt;(Inputs!$E$27-Inputs!$D$27)/(Inputs!$F$27-Inputs!$D$27),Inputs!$D$27+SQRT(P1703*(Inputs!$F$27-Inputs!$D$27)*(Inputs!$E$27-Inputs!$D$27)),Inputs!$F$27-SQRT((1-P1703)*(Inputs!$F$27-Inputs!$D$27)*(Inputs!$F$27-Inputs!$E$27)))</f>
        <v>81.8704558490851</v>
      </c>
      <c r="R1703" s="81" t="n">
        <f aca="true">RAND()</f>
        <v>0.139412614194389</v>
      </c>
      <c r="S1703" s="82" t="n">
        <f aca="false">IF(R1703&lt;(Inputs!$E$29-Inputs!$D$29)/(Inputs!$F$29-Inputs!$D$29),Inputs!$D$29+SQRT(R1703*(Inputs!$F$29-Inputs!$D$29)*(Inputs!$E$29-Inputs!$D$29)),Inputs!$F$29-SQRT((1-R1703)*(Inputs!$F$29-Inputs!$D$29)*(Inputs!$F$29-Inputs!$E$29)))</f>
        <v>4.3317572672946</v>
      </c>
      <c r="T1703" s="68" t="n">
        <f aca="false">Inputs!$E$9*(1+E1703)+Inputs!$E$5*C1703*(Inputs!$E$11*Inputs!$E$14*(G1703*I1703/Inputs!$E$16+(1-G1703))*K1703+Inputs!$E$23*M1703)*(1+O1703)+Inputs!$E$5*(Q1703+S1703)</f>
        <v>6867.33072560443</v>
      </c>
    </row>
    <row r="1704" customFormat="false" ht="15" hidden="false" customHeight="false" outlineLevel="0" collapsed="false">
      <c r="A1704" s="1" t="n">
        <v>1700</v>
      </c>
      <c r="B1704" s="81" t="n">
        <f aca="true">RAND()</f>
        <v>0.0652541071965114</v>
      </c>
      <c r="C1704" s="82" t="n">
        <f aca="false">ROUND(IF(B1704&lt;(Inputs!$E$8-Inputs!$D$8)/(Inputs!$F$8-Inputs!$D$8),Inputs!$D$8+SQRT(B1704*(Inputs!$F$8-Inputs!$D$8)*(Inputs!$E$8-Inputs!$D$8)),Inputs!$F$8-SQRT((1-B1704)*(Inputs!$F$8-Inputs!$D$8)*(Inputs!$F$8-Inputs!$E$8))),0)</f>
        <v>22</v>
      </c>
      <c r="D1704" s="81" t="n">
        <f aca="true">RAND()</f>
        <v>0.32345785986227</v>
      </c>
      <c r="E1704" s="83" t="n">
        <f aca="false">IF(D1704&lt;(Inputs!$E$10-Inputs!$D$10)/(Inputs!$F$10-Inputs!$D$10),Inputs!$D$10+SQRT(D1704*(Inputs!$F$10-Inputs!$D$10)*(Inputs!$E$10-Inputs!$D$10)),Inputs!$F$10-SQRT((1-D1704)*(Inputs!$F$10-Inputs!$D$10)*(Inputs!$F$10-Inputs!$E$10)))</f>
        <v>0.057535042188853</v>
      </c>
      <c r="F1704" s="81" t="n">
        <f aca="true">RAND()</f>
        <v>0.487333494325884</v>
      </c>
      <c r="G1704" s="83" t="n">
        <f aca="false">IF(F1704&lt;(Inputs!$E$15-Inputs!$D$15)/(Inputs!$F$15-Inputs!$D$15),Inputs!$D$15+SQRT(F1704*(Inputs!$F$15-Inputs!$D$15)*(Inputs!$E$15-Inputs!$D$15)),Inputs!$F$15-SQRT((1-F1704)*(Inputs!$F$15-Inputs!$D$15)*(Inputs!$F$15-Inputs!$E$15)))</f>
        <v>0.698725224165447</v>
      </c>
      <c r="H1704" s="81" t="n">
        <f aca="true">RAND()</f>
        <v>0.268338005027041</v>
      </c>
      <c r="I1704" s="82" t="n">
        <f aca="false">ROUND(IF(H1704&lt;(Inputs!$E$17-Inputs!$D$17)/(Inputs!$F$17-Inputs!$D$17),Inputs!$D$17+SQRT(H1704*(Inputs!$F$17-Inputs!$D$17)*(Inputs!$E$17-Inputs!$D$17)),Inputs!$F$17-SQRT((1-H1704)*(Inputs!$F$17-Inputs!$D$17)*(Inputs!$F$17-Inputs!$E$17))),0)</f>
        <v>104</v>
      </c>
      <c r="J1704" s="81" t="n">
        <f aca="true">RAND()</f>
        <v>0.531077321995778</v>
      </c>
      <c r="K1704" s="83" t="n">
        <f aca="false">IF(J1704&lt;(Inputs!$E$18-Inputs!$D$18)/(Inputs!$F$18-Inputs!$D$18),Inputs!$D$18+SQRT(J1704*(Inputs!$F$18-Inputs!$D$18)*(Inputs!$E$18-Inputs!$D$18)),Inputs!$F$18-SQRT((1-J1704)*(Inputs!$F$18-Inputs!$D$18)*(Inputs!$F$18-Inputs!$E$18)))</f>
        <v>1.04743955389719</v>
      </c>
      <c r="L1704" s="81" t="n">
        <f aca="true">RAND()</f>
        <v>0.202549123636006</v>
      </c>
      <c r="M1704" s="83" t="n">
        <f aca="false">IF(L1704&lt;(Inputs!$E$24-Inputs!$D$24)/(Inputs!$F$24-Inputs!$D$24),Inputs!$D$24+SQRT(L1704*(Inputs!$F$24-Inputs!$D$24)*(Inputs!$E$24-Inputs!$D$24)),Inputs!$F$24-SQRT((1-L1704)*(Inputs!$F$24-Inputs!$D$24)*(Inputs!$F$24-Inputs!$E$24)))</f>
        <v>0.755903479230967</v>
      </c>
      <c r="N1704" s="81" t="n">
        <f aca="true">RAND()</f>
        <v>0.00476296148712265</v>
      </c>
      <c r="O1704" s="83" t="n">
        <f aca="false">IF(N1704&lt;(Inputs!$E$26-Inputs!$D$26)/(Inputs!$F$26-Inputs!$D$26),Inputs!$D$26+SQRT(N1704*(Inputs!$F$26-Inputs!$D$26)*(Inputs!$E$26-Inputs!$D$26)),Inputs!$F$26-SQRT((1-N1704)*(Inputs!$F$26-Inputs!$D$26)*(Inputs!$F$26-Inputs!$E$26)))</f>
        <v>0.328152385182382</v>
      </c>
      <c r="P1704" s="81" t="n">
        <f aca="true">RAND()</f>
        <v>0.746090521678181</v>
      </c>
      <c r="Q1704" s="82" t="n">
        <f aca="false">IF(P1704&lt;(Inputs!$E$27-Inputs!$D$27)/(Inputs!$F$27-Inputs!$D$27),Inputs!$D$27+SQRT(P1704*(Inputs!$F$27-Inputs!$D$27)*(Inputs!$E$27-Inputs!$D$27)),Inputs!$F$27-SQRT((1-P1704)*(Inputs!$F$27-Inputs!$D$27)*(Inputs!$F$27-Inputs!$E$27)))</f>
        <v>106.361472442191</v>
      </c>
      <c r="R1704" s="81" t="n">
        <f aca="true">RAND()</f>
        <v>0.166296739901517</v>
      </c>
      <c r="S1704" s="82" t="n">
        <f aca="false">IF(R1704&lt;(Inputs!$E$29-Inputs!$D$29)/(Inputs!$F$29-Inputs!$D$29),Inputs!$D$29+SQRT(R1704*(Inputs!$F$29-Inputs!$D$29)*(Inputs!$E$29-Inputs!$D$29)),Inputs!$F$29-SQRT((1-R1704)*(Inputs!$F$29-Inputs!$D$29)*(Inputs!$F$29-Inputs!$E$29)))</f>
        <v>4.54667878935667</v>
      </c>
      <c r="T1704" s="68" t="n">
        <f aca="false">Inputs!$E$9*(1+E1704)+Inputs!$E$5*C1704*(Inputs!$E$11*Inputs!$E$14*(G1704*I1704/Inputs!$E$16+(1-G1704))*K1704+Inputs!$E$23*M1704)*(1+O1704)+Inputs!$E$5*(Q1704+S1704)</f>
        <v>5304.48313907028</v>
      </c>
    </row>
    <row r="1705" customFormat="false" ht="15" hidden="false" customHeight="false" outlineLevel="0" collapsed="false">
      <c r="A1705" s="1" t="n">
        <v>1701</v>
      </c>
      <c r="B1705" s="81" t="n">
        <f aca="true">RAND()</f>
        <v>0.041980054895309</v>
      </c>
      <c r="C1705" s="82" t="n">
        <f aca="false">ROUND(IF(B1705&lt;(Inputs!$E$8-Inputs!$D$8)/(Inputs!$F$8-Inputs!$D$8),Inputs!$D$8+SQRT(B1705*(Inputs!$F$8-Inputs!$D$8)*(Inputs!$E$8-Inputs!$D$8)),Inputs!$F$8-SQRT((1-B1705)*(Inputs!$F$8-Inputs!$D$8)*(Inputs!$F$8-Inputs!$E$8))),0)</f>
        <v>21</v>
      </c>
      <c r="D1705" s="81" t="n">
        <f aca="true">RAND()</f>
        <v>0.237205676742466</v>
      </c>
      <c r="E1705" s="83" t="n">
        <f aca="false">IF(D1705&lt;(Inputs!$E$10-Inputs!$D$10)/(Inputs!$F$10-Inputs!$D$10),Inputs!$D$10+SQRT(D1705*(Inputs!$F$10-Inputs!$D$10)*(Inputs!$E$10-Inputs!$D$10)),Inputs!$F$10-SQRT((1-D1705)*(Inputs!$F$10-Inputs!$D$10)*(Inputs!$F$10-Inputs!$E$10)))</f>
        <v>0.0487037654337389</v>
      </c>
      <c r="F1705" s="81" t="n">
        <f aca="true">RAND()</f>
        <v>0.173678647538156</v>
      </c>
      <c r="G1705" s="83" t="n">
        <f aca="false">IF(F1705&lt;(Inputs!$E$15-Inputs!$D$15)/(Inputs!$F$15-Inputs!$D$15),Inputs!$D$15+SQRT(F1705*(Inputs!$F$15-Inputs!$D$15)*(Inputs!$E$15-Inputs!$D$15)),Inputs!$F$15-SQRT((1-F1705)*(Inputs!$F$15-Inputs!$D$15)*(Inputs!$F$15-Inputs!$E$15)))</f>
        <v>0.658937025296185</v>
      </c>
      <c r="H1705" s="81" t="n">
        <f aca="true">RAND()</f>
        <v>0.391113808622847</v>
      </c>
      <c r="I1705" s="82" t="n">
        <f aca="false">ROUND(IF(H1705&lt;(Inputs!$E$17-Inputs!$D$17)/(Inputs!$F$17-Inputs!$D$17),Inputs!$D$17+SQRT(H1705*(Inputs!$F$17-Inputs!$D$17)*(Inputs!$E$17-Inputs!$D$17)),Inputs!$F$17-SQRT((1-H1705)*(Inputs!$F$17-Inputs!$D$17)*(Inputs!$F$17-Inputs!$E$17))),0)</f>
        <v>105</v>
      </c>
      <c r="J1705" s="81" t="n">
        <f aca="true">RAND()</f>
        <v>0.561407682567926</v>
      </c>
      <c r="K1705" s="83" t="n">
        <f aca="false">IF(J1705&lt;(Inputs!$E$18-Inputs!$D$18)/(Inputs!$F$18-Inputs!$D$18),Inputs!$D$18+SQRT(J1705*(Inputs!$F$18-Inputs!$D$18)*(Inputs!$E$18-Inputs!$D$18)),Inputs!$F$18-SQRT((1-J1705)*(Inputs!$F$18-Inputs!$D$18)*(Inputs!$F$18-Inputs!$E$18)))</f>
        <v>1.05409995463169</v>
      </c>
      <c r="L1705" s="81" t="n">
        <f aca="true">RAND()</f>
        <v>0.742658040449421</v>
      </c>
      <c r="M1705" s="83" t="n">
        <f aca="false">IF(L1705&lt;(Inputs!$E$24-Inputs!$D$24)/(Inputs!$F$24-Inputs!$D$24),Inputs!$D$24+SQRT(L1705*(Inputs!$F$24-Inputs!$D$24)*(Inputs!$E$24-Inputs!$D$24)),Inputs!$F$24-SQRT((1-L1705)*(Inputs!$F$24-Inputs!$D$24)*(Inputs!$F$24-Inputs!$E$24)))</f>
        <v>0.951480241646386</v>
      </c>
      <c r="N1705" s="81" t="n">
        <f aca="true">RAND()</f>
        <v>0.671452526271329</v>
      </c>
      <c r="O1705" s="83" t="n">
        <f aca="false">IF(N1705&lt;(Inputs!$E$26-Inputs!$D$26)/(Inputs!$F$26-Inputs!$D$26),Inputs!$D$26+SQRT(N1705*(Inputs!$F$26-Inputs!$D$26)*(Inputs!$E$26-Inputs!$D$26)),Inputs!$F$26-SQRT((1-N1705)*(Inputs!$F$26-Inputs!$D$26)*(Inputs!$F$26-Inputs!$E$26)))</f>
        <v>0.635151582998983</v>
      </c>
      <c r="P1705" s="81" t="n">
        <f aca="true">RAND()</f>
        <v>0.60438787265379</v>
      </c>
      <c r="Q1705" s="82" t="n">
        <f aca="false">IF(P1705&lt;(Inputs!$E$27-Inputs!$D$27)/(Inputs!$F$27-Inputs!$D$27),Inputs!$D$27+SQRT(P1705*(Inputs!$F$27-Inputs!$D$27)*(Inputs!$E$27-Inputs!$D$27)),Inputs!$F$27-SQRT((1-P1705)*(Inputs!$F$27-Inputs!$D$27)*(Inputs!$F$27-Inputs!$E$27)))</f>
        <v>95.5289897734899</v>
      </c>
      <c r="R1705" s="81" t="n">
        <f aca="true">RAND()</f>
        <v>0.710057122123029</v>
      </c>
      <c r="S1705" s="82" t="n">
        <f aca="false">IF(R1705&lt;(Inputs!$E$29-Inputs!$D$29)/(Inputs!$F$29-Inputs!$D$29),Inputs!$D$29+SQRT(R1705*(Inputs!$F$29-Inputs!$D$29)*(Inputs!$E$29-Inputs!$D$29)),Inputs!$F$29-SQRT((1-R1705)*(Inputs!$F$29-Inputs!$D$29)*(Inputs!$F$29-Inputs!$E$29)))</f>
        <v>8.86057216639806</v>
      </c>
      <c r="T1705" s="68" t="n">
        <f aca="false">Inputs!$E$9*(1+E1705)+Inputs!$E$5*C1705*(Inputs!$E$11*Inputs!$E$14*(G1705*I1705/Inputs!$E$16+(1-G1705))*K1705+Inputs!$E$23*M1705)*(1+O1705)+Inputs!$E$5*(Q1705+S1705)</f>
        <v>5987.14302379186</v>
      </c>
    </row>
    <row r="1706" customFormat="false" ht="15" hidden="false" customHeight="false" outlineLevel="0" collapsed="false">
      <c r="A1706" s="1" t="n">
        <v>1702</v>
      </c>
      <c r="B1706" s="81" t="n">
        <f aca="true">RAND()</f>
        <v>0.410104210751082</v>
      </c>
      <c r="C1706" s="82" t="n">
        <f aca="false">ROUND(IF(B1706&lt;(Inputs!$E$8-Inputs!$D$8)/(Inputs!$F$8-Inputs!$D$8),Inputs!$D$8+SQRT(B1706*(Inputs!$F$8-Inputs!$D$8)*(Inputs!$E$8-Inputs!$D$8)),Inputs!$F$8-SQRT((1-B1706)*(Inputs!$F$8-Inputs!$D$8)*(Inputs!$F$8-Inputs!$E$8))),0)</f>
        <v>25</v>
      </c>
      <c r="D1706" s="81" t="n">
        <f aca="true">RAND()</f>
        <v>0.469464207268879</v>
      </c>
      <c r="E1706" s="83" t="n">
        <f aca="false">IF(D1706&lt;(Inputs!$E$10-Inputs!$D$10)/(Inputs!$F$10-Inputs!$D$10),Inputs!$D$10+SQRT(D1706*(Inputs!$F$10-Inputs!$D$10)*(Inputs!$E$10-Inputs!$D$10)),Inputs!$F$10-SQRT((1-D1706)*(Inputs!$F$10-Inputs!$D$10)*(Inputs!$F$10-Inputs!$E$10)))</f>
        <v>0.0738410772797515</v>
      </c>
      <c r="F1706" s="81" t="n">
        <f aca="true">RAND()</f>
        <v>0.224538957776446</v>
      </c>
      <c r="G1706" s="83" t="n">
        <f aca="false">IF(F1706&lt;(Inputs!$E$15-Inputs!$D$15)/(Inputs!$F$15-Inputs!$D$15),Inputs!$D$15+SQRT(F1706*(Inputs!$F$15-Inputs!$D$15)*(Inputs!$E$15-Inputs!$D$15)),Inputs!$F$15-SQRT((1-F1706)*(Inputs!$F$15-Inputs!$D$15)*(Inputs!$F$15-Inputs!$E$15)))</f>
        <v>0.667013275964759</v>
      </c>
      <c r="H1706" s="81" t="n">
        <f aca="true">RAND()</f>
        <v>0.865785110201967</v>
      </c>
      <c r="I1706" s="82" t="n">
        <f aca="false">ROUND(IF(H1706&lt;(Inputs!$E$17-Inputs!$D$17)/(Inputs!$F$17-Inputs!$D$17),Inputs!$D$17+SQRT(H1706*(Inputs!$F$17-Inputs!$D$17)*(Inputs!$E$17-Inputs!$D$17)),Inputs!$F$17-SQRT((1-H1706)*(Inputs!$F$17-Inputs!$D$17)*(Inputs!$F$17-Inputs!$E$17))),0)</f>
        <v>111</v>
      </c>
      <c r="J1706" s="81" t="n">
        <f aca="true">RAND()</f>
        <v>0.524746386108004</v>
      </c>
      <c r="K1706" s="83" t="n">
        <f aca="false">IF(J1706&lt;(Inputs!$E$18-Inputs!$D$18)/(Inputs!$F$18-Inputs!$D$18),Inputs!$D$18+SQRT(J1706*(Inputs!$F$18-Inputs!$D$18)*(Inputs!$E$18-Inputs!$D$18)),Inputs!$F$18-SQRT((1-J1706)*(Inputs!$F$18-Inputs!$D$18)*(Inputs!$F$18-Inputs!$E$18)))</f>
        <v>1.04607675165507</v>
      </c>
      <c r="L1706" s="81" t="n">
        <f aca="true">RAND()</f>
        <v>0.018420313813252</v>
      </c>
      <c r="M1706" s="83" t="n">
        <f aca="false">IF(L1706&lt;(Inputs!$E$24-Inputs!$D$24)/(Inputs!$F$24-Inputs!$D$24),Inputs!$D$24+SQRT(L1706*(Inputs!$F$24-Inputs!$D$24)*(Inputs!$E$24-Inputs!$D$24)),Inputs!$F$24-SQRT((1-L1706)*(Inputs!$F$24-Inputs!$D$24)*(Inputs!$F$24-Inputs!$E$24)))</f>
        <v>0.647015291742052</v>
      </c>
      <c r="N1706" s="81" t="n">
        <f aca="true">RAND()</f>
        <v>0.661109360613359</v>
      </c>
      <c r="O1706" s="83" t="n">
        <f aca="false">IF(N1706&lt;(Inputs!$E$26-Inputs!$D$26)/(Inputs!$F$26-Inputs!$D$26),Inputs!$D$26+SQRT(N1706*(Inputs!$F$26-Inputs!$D$26)*(Inputs!$E$26-Inputs!$D$26)),Inputs!$F$26-SQRT((1-N1706)*(Inputs!$F$26-Inputs!$D$26)*(Inputs!$F$26-Inputs!$E$26)))</f>
        <v>0.632264477265994</v>
      </c>
      <c r="P1706" s="81" t="n">
        <f aca="true">RAND()</f>
        <v>0.733668138456824</v>
      </c>
      <c r="Q1706" s="82" t="n">
        <f aca="false">IF(P1706&lt;(Inputs!$E$27-Inputs!$D$27)/(Inputs!$F$27-Inputs!$D$27),Inputs!$D$27+SQRT(P1706*(Inputs!$F$27-Inputs!$D$27)*(Inputs!$E$27-Inputs!$D$27)),Inputs!$F$27-SQRT((1-P1706)*(Inputs!$F$27-Inputs!$D$27)*(Inputs!$F$27-Inputs!$E$27)))</f>
        <v>105.30672353056</v>
      </c>
      <c r="R1706" s="81" t="n">
        <f aca="true">RAND()</f>
        <v>0.688344764777861</v>
      </c>
      <c r="S1706" s="82" t="n">
        <f aca="false">IF(R1706&lt;(Inputs!$E$29-Inputs!$D$29)/(Inputs!$F$29-Inputs!$D$29),Inputs!$D$29+SQRT(R1706*(Inputs!$F$29-Inputs!$D$29)*(Inputs!$E$29-Inputs!$D$29)),Inputs!$F$29-SQRT((1-R1706)*(Inputs!$F$29-Inputs!$D$29)*(Inputs!$F$29-Inputs!$E$29)))</f>
        <v>8.63484638214614</v>
      </c>
      <c r="T1706" s="68" t="n">
        <f aca="false">Inputs!$E$9*(1+E1706)+Inputs!$E$5*C1706*(Inputs!$E$11*Inputs!$E$14*(G1706*I1706/Inputs!$E$16+(1-G1706))*K1706+Inputs!$E$23*M1706)*(1+O1706)+Inputs!$E$5*(Q1706+S1706)</f>
        <v>6283.76475014115</v>
      </c>
    </row>
    <row r="1707" customFormat="false" ht="15" hidden="false" customHeight="false" outlineLevel="0" collapsed="false">
      <c r="A1707" s="1" t="n">
        <v>1703</v>
      </c>
      <c r="B1707" s="81" t="n">
        <f aca="true">RAND()</f>
        <v>0.122031739483429</v>
      </c>
      <c r="C1707" s="82" t="n">
        <f aca="false">ROUND(IF(B1707&lt;(Inputs!$E$8-Inputs!$D$8)/(Inputs!$F$8-Inputs!$D$8),Inputs!$D$8+SQRT(B1707*(Inputs!$F$8-Inputs!$D$8)*(Inputs!$E$8-Inputs!$D$8)),Inputs!$F$8-SQRT((1-B1707)*(Inputs!$F$8-Inputs!$D$8)*(Inputs!$F$8-Inputs!$E$8))),0)</f>
        <v>22</v>
      </c>
      <c r="D1707" s="81" t="n">
        <f aca="true">RAND()</f>
        <v>0.369596542717156</v>
      </c>
      <c r="E1707" s="83" t="n">
        <f aca="false">IF(D1707&lt;(Inputs!$E$10-Inputs!$D$10)/(Inputs!$F$10-Inputs!$D$10),Inputs!$D$10+SQRT(D1707*(Inputs!$F$10-Inputs!$D$10)*(Inputs!$E$10-Inputs!$D$10)),Inputs!$F$10-SQRT((1-D1707)*(Inputs!$F$10-Inputs!$D$10)*(Inputs!$F$10-Inputs!$E$10)))</f>
        <v>0.0624787153983598</v>
      </c>
      <c r="F1707" s="81" t="n">
        <f aca="true">RAND()</f>
        <v>0.369695198426478</v>
      </c>
      <c r="G1707" s="83" t="n">
        <f aca="false">IF(F1707&lt;(Inputs!$E$15-Inputs!$D$15)/(Inputs!$F$15-Inputs!$D$15),Inputs!$D$15+SQRT(F1707*(Inputs!$F$15-Inputs!$D$15)*(Inputs!$E$15-Inputs!$D$15)),Inputs!$F$15-SQRT((1-F1707)*(Inputs!$F$15-Inputs!$D$15)*(Inputs!$F$15-Inputs!$E$15)))</f>
        <v>0.685987812907002</v>
      </c>
      <c r="H1707" s="81" t="n">
        <f aca="true">RAND()</f>
        <v>0.264426268627275</v>
      </c>
      <c r="I1707" s="82" t="n">
        <f aca="false">ROUND(IF(H1707&lt;(Inputs!$E$17-Inputs!$D$17)/(Inputs!$F$17-Inputs!$D$17),Inputs!$D$17+SQRT(H1707*(Inputs!$F$17-Inputs!$D$17)*(Inputs!$E$17-Inputs!$D$17)),Inputs!$F$17-SQRT((1-H1707)*(Inputs!$F$17-Inputs!$D$17)*(Inputs!$F$17-Inputs!$E$17))),0)</f>
        <v>104</v>
      </c>
      <c r="J1707" s="81" t="n">
        <f aca="true">RAND()</f>
        <v>0.379024229943653</v>
      </c>
      <c r="K1707" s="83" t="n">
        <f aca="false">IF(J1707&lt;(Inputs!$E$18-Inputs!$D$18)/(Inputs!$F$18-Inputs!$D$18),Inputs!$D$18+SQRT(J1707*(Inputs!$F$18-Inputs!$D$18)*(Inputs!$E$18-Inputs!$D$18)),Inputs!$F$18-SQRT((1-J1707)*(Inputs!$F$18-Inputs!$D$18)*(Inputs!$F$18-Inputs!$E$18)))</f>
        <v>1.01690049360857</v>
      </c>
      <c r="L1707" s="81" t="n">
        <f aca="true">RAND()</f>
        <v>0.637930038152455</v>
      </c>
      <c r="M1707" s="83" t="n">
        <f aca="false">IF(L1707&lt;(Inputs!$E$24-Inputs!$D$24)/(Inputs!$F$24-Inputs!$D$24),Inputs!$D$24+SQRT(L1707*(Inputs!$F$24-Inputs!$D$24)*(Inputs!$E$24-Inputs!$D$24)),Inputs!$F$24-SQRT((1-L1707)*(Inputs!$F$24-Inputs!$D$24)*(Inputs!$F$24-Inputs!$E$24)))</f>
        <v>0.905217383749634</v>
      </c>
      <c r="N1707" s="81" t="n">
        <f aca="true">RAND()</f>
        <v>0.171387202205439</v>
      </c>
      <c r="O1707" s="83" t="n">
        <f aca="false">IF(N1707&lt;(Inputs!$E$26-Inputs!$D$26)/(Inputs!$F$26-Inputs!$D$26),Inputs!$D$26+SQRT(N1707*(Inputs!$F$26-Inputs!$D$26)*(Inputs!$E$26-Inputs!$D$26)),Inputs!$F$26-SQRT((1-N1707)*(Inputs!$F$26-Inputs!$D$26)*(Inputs!$F$26-Inputs!$E$26)))</f>
        <v>0.468875191922867</v>
      </c>
      <c r="P1707" s="81" t="n">
        <f aca="true">RAND()</f>
        <v>0.0601205274267814</v>
      </c>
      <c r="Q1707" s="82" t="n">
        <f aca="false">IF(P1707&lt;(Inputs!$E$27-Inputs!$D$27)/(Inputs!$F$27-Inputs!$D$27),Inputs!$D$27+SQRT(P1707*(Inputs!$F$27-Inputs!$D$27)*(Inputs!$E$27-Inputs!$D$27)),Inputs!$F$27-SQRT((1-P1707)*(Inputs!$F$27-Inputs!$D$27)*(Inputs!$F$27-Inputs!$E$27)))</f>
        <v>62.2597438214244</v>
      </c>
      <c r="R1707" s="81" t="n">
        <f aca="true">RAND()</f>
        <v>0.0194512797128485</v>
      </c>
      <c r="S1707" s="82" t="n">
        <f aca="false">IF(R1707&lt;(Inputs!$E$29-Inputs!$D$29)/(Inputs!$F$29-Inputs!$D$29),Inputs!$D$29+SQRT(R1707*(Inputs!$F$29-Inputs!$D$29)*(Inputs!$E$29-Inputs!$D$29)),Inputs!$F$29-SQRT((1-R1707)*(Inputs!$F$29-Inputs!$D$29)*(Inputs!$F$29-Inputs!$E$29)))</f>
        <v>2.87097641116226</v>
      </c>
      <c r="T1707" s="68" t="n">
        <f aca="false">Inputs!$E$9*(1+E1707)+Inputs!$E$5*C1707*(Inputs!$E$11*Inputs!$E$14*(G1707*I1707/Inputs!$E$16+(1-G1707))*K1707+Inputs!$E$23*M1707)*(1+O1707)+Inputs!$E$5*(Q1707+S1707)</f>
        <v>5476.62257254217</v>
      </c>
    </row>
    <row r="1708" customFormat="false" ht="15" hidden="false" customHeight="false" outlineLevel="0" collapsed="false">
      <c r="A1708" s="1" t="n">
        <v>1704</v>
      </c>
      <c r="B1708" s="81" t="n">
        <f aca="true">RAND()</f>
        <v>0.705510634042189</v>
      </c>
      <c r="C1708" s="82" t="n">
        <f aca="false">ROUND(IF(B1708&lt;(Inputs!$E$8-Inputs!$D$8)/(Inputs!$F$8-Inputs!$D$8),Inputs!$D$8+SQRT(B1708*(Inputs!$F$8-Inputs!$D$8)*(Inputs!$E$8-Inputs!$D$8)),Inputs!$F$8-SQRT((1-B1708)*(Inputs!$F$8-Inputs!$D$8)*(Inputs!$F$8-Inputs!$E$8))),0)</f>
        <v>26</v>
      </c>
      <c r="D1708" s="81" t="n">
        <f aca="true">RAND()</f>
        <v>0.972636153964035</v>
      </c>
      <c r="E1708" s="83" t="n">
        <f aca="false">IF(D1708&lt;(Inputs!$E$10-Inputs!$D$10)/(Inputs!$F$10-Inputs!$D$10),Inputs!$D$10+SQRT(D1708*(Inputs!$F$10-Inputs!$D$10)*(Inputs!$E$10-Inputs!$D$10)),Inputs!$F$10-SQRT((1-D1708)*(Inputs!$F$10-Inputs!$D$10)*(Inputs!$F$10-Inputs!$E$10)))</f>
        <v>0.171348379084614</v>
      </c>
      <c r="F1708" s="81" t="n">
        <f aca="true">RAND()</f>
        <v>0.992318628208662</v>
      </c>
      <c r="G1708" s="83" t="n">
        <f aca="false">IF(F1708&lt;(Inputs!$E$15-Inputs!$D$15)/(Inputs!$F$15-Inputs!$D$15),Inputs!$D$15+SQRT(F1708*(Inputs!$F$15-Inputs!$D$15)*(Inputs!$E$15-Inputs!$D$15)),Inputs!$F$15-SQRT((1-F1708)*(Inputs!$F$15-Inputs!$D$15)*(Inputs!$F$15-Inputs!$E$15)))</f>
        <v>0.787605346482182</v>
      </c>
      <c r="H1708" s="81" t="n">
        <f aca="true">RAND()</f>
        <v>0.174345345209189</v>
      </c>
      <c r="I1708" s="82" t="n">
        <f aca="false">ROUND(IF(H1708&lt;(Inputs!$E$17-Inputs!$D$17)/(Inputs!$F$17-Inputs!$D$17),Inputs!$D$17+SQRT(H1708*(Inputs!$F$17-Inputs!$D$17)*(Inputs!$E$17-Inputs!$D$17)),Inputs!$F$17-SQRT((1-H1708)*(Inputs!$F$17-Inputs!$D$17)*(Inputs!$F$17-Inputs!$E$17))),0)</f>
        <v>104</v>
      </c>
      <c r="J1708" s="81" t="n">
        <f aca="true">RAND()</f>
        <v>0.511880795024566</v>
      </c>
      <c r="K1708" s="83" t="n">
        <f aca="false">IF(J1708&lt;(Inputs!$E$18-Inputs!$D$18)/(Inputs!$F$18-Inputs!$D$18),Inputs!$D$18+SQRT(J1708*(Inputs!$F$18-Inputs!$D$18)*(Inputs!$E$18-Inputs!$D$18)),Inputs!$F$18-SQRT((1-J1708)*(Inputs!$F$18-Inputs!$D$18)*(Inputs!$F$18-Inputs!$E$18)))</f>
        <v>1.04333498013609</v>
      </c>
      <c r="L1708" s="81" t="n">
        <f aca="true">RAND()</f>
        <v>0.795281808124233</v>
      </c>
      <c r="M1708" s="83" t="n">
        <f aca="false">IF(L1708&lt;(Inputs!$E$24-Inputs!$D$24)/(Inputs!$F$24-Inputs!$D$24),Inputs!$D$24+SQRT(L1708*(Inputs!$F$24-Inputs!$D$24)*(Inputs!$E$24-Inputs!$D$24)),Inputs!$F$24-SQRT((1-L1708)*(Inputs!$F$24-Inputs!$D$24)*(Inputs!$F$24-Inputs!$E$24)))</f>
        <v>0.978341781000153</v>
      </c>
      <c r="N1708" s="81" t="n">
        <f aca="true">RAND()</f>
        <v>0.937717411348285</v>
      </c>
      <c r="O1708" s="83" t="n">
        <f aca="false">IF(N1708&lt;(Inputs!$E$26-Inputs!$D$26)/(Inputs!$F$26-Inputs!$D$26),Inputs!$D$26+SQRT(N1708*(Inputs!$F$26-Inputs!$D$26)*(Inputs!$E$26-Inputs!$D$26)),Inputs!$F$26-SQRT((1-N1708)*(Inputs!$F$26-Inputs!$D$26)*(Inputs!$F$26-Inputs!$E$26)))</f>
        <v>0.739517770782748</v>
      </c>
      <c r="P1708" s="81" t="n">
        <f aca="true">RAND()</f>
        <v>0.235993485198555</v>
      </c>
      <c r="Q1708" s="82" t="n">
        <f aca="false">IF(P1708&lt;(Inputs!$E$27-Inputs!$D$27)/(Inputs!$F$27-Inputs!$D$27),Inputs!$D$27+SQRT(P1708*(Inputs!$F$27-Inputs!$D$27)*(Inputs!$E$27-Inputs!$D$27)),Inputs!$F$27-SQRT((1-P1708)*(Inputs!$F$27-Inputs!$D$27)*(Inputs!$F$27-Inputs!$E$27)))</f>
        <v>74.2895803380048</v>
      </c>
      <c r="R1708" s="81" t="n">
        <f aca="true">RAND()</f>
        <v>0.961232606716274</v>
      </c>
      <c r="S1708" s="82" t="n">
        <f aca="false">IF(R1708&lt;(Inputs!$E$29-Inputs!$D$29)/(Inputs!$F$29-Inputs!$D$29),Inputs!$D$29+SQRT(R1708*(Inputs!$F$29-Inputs!$D$29)*(Inputs!$E$29-Inputs!$D$29)),Inputs!$F$29-SQRT((1-R1708)*(Inputs!$F$29-Inputs!$D$29)*(Inputs!$F$29-Inputs!$E$29)))</f>
        <v>12.7550587698373</v>
      </c>
      <c r="T1708" s="68" t="n">
        <f aca="false">Inputs!$E$9*(1+E1708)+Inputs!$E$5*C1708*(Inputs!$E$11*Inputs!$E$14*(G1708*I1708/Inputs!$E$16+(1-G1708))*K1708+Inputs!$E$23*M1708)*(1+O1708)+Inputs!$E$5*(Q1708+S1708)</f>
        <v>6970.5442236699</v>
      </c>
    </row>
    <row r="1709" customFormat="false" ht="15" hidden="false" customHeight="false" outlineLevel="0" collapsed="false">
      <c r="A1709" s="1" t="n">
        <v>1705</v>
      </c>
      <c r="B1709" s="81" t="n">
        <f aca="true">RAND()</f>
        <v>0.674529164783734</v>
      </c>
      <c r="C1709" s="82" t="n">
        <f aca="false">ROUND(IF(B1709&lt;(Inputs!$E$8-Inputs!$D$8)/(Inputs!$F$8-Inputs!$D$8),Inputs!$D$8+SQRT(B1709*(Inputs!$F$8-Inputs!$D$8)*(Inputs!$E$8-Inputs!$D$8)),Inputs!$F$8-SQRT((1-B1709)*(Inputs!$F$8-Inputs!$D$8)*(Inputs!$F$8-Inputs!$E$8))),0)</f>
        <v>26</v>
      </c>
      <c r="D1709" s="81" t="n">
        <f aca="true">RAND()</f>
        <v>0.716408384822967</v>
      </c>
      <c r="E1709" s="83" t="n">
        <f aca="false">IF(D1709&lt;(Inputs!$E$10-Inputs!$D$10)/(Inputs!$F$10-Inputs!$D$10),Inputs!$D$10+SQRT(D1709*(Inputs!$F$10-Inputs!$D$10)*(Inputs!$E$10-Inputs!$D$10)),Inputs!$F$10-SQRT((1-D1709)*(Inputs!$F$10-Inputs!$D$10)*(Inputs!$F$10-Inputs!$E$10)))</f>
        <v>0.107762543100371</v>
      </c>
      <c r="F1709" s="81" t="n">
        <f aca="true">RAND()</f>
        <v>0.267855007377496</v>
      </c>
      <c r="G1709" s="83" t="n">
        <f aca="false">IF(F1709&lt;(Inputs!$E$15-Inputs!$D$15)/(Inputs!$F$15-Inputs!$D$15),Inputs!$D$15+SQRT(F1709*(Inputs!$F$15-Inputs!$D$15)*(Inputs!$E$15-Inputs!$D$15)),Inputs!$F$15-SQRT((1-F1709)*(Inputs!$F$15-Inputs!$D$15)*(Inputs!$F$15-Inputs!$E$15)))</f>
        <v>0.673192213708495</v>
      </c>
      <c r="H1709" s="81" t="n">
        <f aca="true">RAND()</f>
        <v>0.597235517659783</v>
      </c>
      <c r="I1709" s="82" t="n">
        <f aca="false">ROUND(IF(H1709&lt;(Inputs!$E$17-Inputs!$D$17)/(Inputs!$F$17-Inputs!$D$17),Inputs!$D$17+SQRT(H1709*(Inputs!$F$17-Inputs!$D$17)*(Inputs!$E$17-Inputs!$D$17)),Inputs!$F$17-SQRT((1-H1709)*(Inputs!$F$17-Inputs!$D$17)*(Inputs!$F$17-Inputs!$E$17))),0)</f>
        <v>107</v>
      </c>
      <c r="J1709" s="81" t="n">
        <f aca="true">RAND()</f>
        <v>0.332686060039675</v>
      </c>
      <c r="K1709" s="83" t="n">
        <f aca="false">IF(J1709&lt;(Inputs!$E$18-Inputs!$D$18)/(Inputs!$F$18-Inputs!$D$18),Inputs!$D$18+SQRT(J1709*(Inputs!$F$18-Inputs!$D$18)*(Inputs!$E$18-Inputs!$D$18)),Inputs!$F$18-SQRT((1-J1709)*(Inputs!$F$18-Inputs!$D$18)*(Inputs!$F$18-Inputs!$E$18)))</f>
        <v>1.00835983416135</v>
      </c>
      <c r="L1709" s="81" t="n">
        <f aca="true">RAND()</f>
        <v>0.368972372146086</v>
      </c>
      <c r="M1709" s="83" t="n">
        <f aca="false">IF(L1709&lt;(Inputs!$E$24-Inputs!$D$24)/(Inputs!$F$24-Inputs!$D$24),Inputs!$D$24+SQRT(L1709*(Inputs!$F$24-Inputs!$D$24)*(Inputs!$E$24-Inputs!$D$24)),Inputs!$F$24-SQRT((1-L1709)*(Inputs!$F$24-Inputs!$D$24)*(Inputs!$F$24-Inputs!$E$24)))</f>
        <v>0.810838554472647</v>
      </c>
      <c r="N1709" s="81" t="n">
        <f aca="true">RAND()</f>
        <v>0.79888714865312</v>
      </c>
      <c r="O1709" s="83" t="n">
        <f aca="false">IF(N1709&lt;(Inputs!$E$26-Inputs!$D$26)/(Inputs!$F$26-Inputs!$D$26),Inputs!$D$26+SQRT(N1709*(Inputs!$F$26-Inputs!$D$26)*(Inputs!$E$26-Inputs!$D$26)),Inputs!$F$26-SQRT((1-N1709)*(Inputs!$F$26-Inputs!$D$26)*(Inputs!$F$26-Inputs!$E$26)))</f>
        <v>0.67537726133116</v>
      </c>
      <c r="P1709" s="81" t="n">
        <f aca="true">RAND()</f>
        <v>0.448425317652415</v>
      </c>
      <c r="Q1709" s="82" t="n">
        <f aca="false">IF(P1709&lt;(Inputs!$E$27-Inputs!$D$27)/(Inputs!$F$27-Inputs!$D$27),Inputs!$D$27+SQRT(P1709*(Inputs!$F$27-Inputs!$D$27)*(Inputs!$E$27-Inputs!$D$27)),Inputs!$F$27-SQRT((1-P1709)*(Inputs!$F$27-Inputs!$D$27)*(Inputs!$F$27-Inputs!$E$27)))</f>
        <v>85.6819611803431</v>
      </c>
      <c r="R1709" s="81" t="n">
        <f aca="true">RAND()</f>
        <v>0.887993001048793</v>
      </c>
      <c r="S1709" s="82" t="n">
        <f aca="false">IF(R1709&lt;(Inputs!$E$29-Inputs!$D$29)/(Inputs!$F$29-Inputs!$D$29),Inputs!$D$29+SQRT(R1709*(Inputs!$F$29-Inputs!$D$29)*(Inputs!$E$29-Inputs!$D$29)),Inputs!$F$29-SQRT((1-R1709)*(Inputs!$F$29-Inputs!$D$29)*(Inputs!$F$29-Inputs!$E$29)))</f>
        <v>11.1841239716604</v>
      </c>
      <c r="T1709" s="68" t="n">
        <f aca="false">Inputs!$E$9*(1+E1709)+Inputs!$E$5*C1709*(Inputs!$E$11*Inputs!$E$14*(G1709*I1709/Inputs!$E$16+(1-G1709))*K1709+Inputs!$E$23*M1709)*(1+O1709)+Inputs!$E$5*(Q1709+S1709)</f>
        <v>6603.19227026148</v>
      </c>
    </row>
    <row r="1710" customFormat="false" ht="15" hidden="false" customHeight="false" outlineLevel="0" collapsed="false">
      <c r="A1710" s="1" t="n">
        <v>1706</v>
      </c>
      <c r="B1710" s="81" t="n">
        <f aca="true">RAND()</f>
        <v>0.554012253278398</v>
      </c>
      <c r="C1710" s="82" t="n">
        <f aca="false">ROUND(IF(B1710&lt;(Inputs!$E$8-Inputs!$D$8)/(Inputs!$F$8-Inputs!$D$8),Inputs!$D$8+SQRT(B1710*(Inputs!$F$8-Inputs!$D$8)*(Inputs!$E$8-Inputs!$D$8)),Inputs!$F$8-SQRT((1-B1710)*(Inputs!$F$8-Inputs!$D$8)*(Inputs!$F$8-Inputs!$E$8))),0)</f>
        <v>25</v>
      </c>
      <c r="D1710" s="81" t="n">
        <f aca="true">RAND()</f>
        <v>0.630979343449779</v>
      </c>
      <c r="E1710" s="83" t="n">
        <f aca="false">IF(D1710&lt;(Inputs!$E$10-Inputs!$D$10)/(Inputs!$F$10-Inputs!$D$10),Inputs!$D$10+SQRT(D1710*(Inputs!$F$10-Inputs!$D$10)*(Inputs!$E$10-Inputs!$D$10)),Inputs!$F$10-SQRT((1-D1710)*(Inputs!$F$10-Inputs!$D$10)*(Inputs!$F$10-Inputs!$E$10)))</f>
        <v>0.0947829876089107</v>
      </c>
      <c r="F1710" s="81" t="n">
        <f aca="true">RAND()</f>
        <v>0.209766301991518</v>
      </c>
      <c r="G1710" s="83" t="n">
        <f aca="false">IF(F1710&lt;(Inputs!$E$15-Inputs!$D$15)/(Inputs!$F$15-Inputs!$D$15),Inputs!$D$15+SQRT(F1710*(Inputs!$F$15-Inputs!$D$15)*(Inputs!$E$15-Inputs!$D$15)),Inputs!$F$15-SQRT((1-F1710)*(Inputs!$F$15-Inputs!$D$15)*(Inputs!$F$15-Inputs!$E$15)))</f>
        <v>0.664771336560475</v>
      </c>
      <c r="H1710" s="81" t="n">
        <f aca="true">RAND()</f>
        <v>0.0263338905334883</v>
      </c>
      <c r="I1710" s="82" t="n">
        <f aca="false">ROUND(IF(H1710&lt;(Inputs!$E$17-Inputs!$D$17)/(Inputs!$F$17-Inputs!$D$17),Inputs!$D$17+SQRT(H1710*(Inputs!$F$17-Inputs!$D$17)*(Inputs!$E$17-Inputs!$D$17)),Inputs!$F$17-SQRT((1-H1710)*(Inputs!$F$17-Inputs!$D$17)*(Inputs!$F$17-Inputs!$E$17))),0)</f>
        <v>101</v>
      </c>
      <c r="J1710" s="81" t="n">
        <f aca="true">RAND()</f>
        <v>0.409547629188988</v>
      </c>
      <c r="K1710" s="83" t="n">
        <f aca="false">IF(J1710&lt;(Inputs!$E$18-Inputs!$D$18)/(Inputs!$F$18-Inputs!$D$18),Inputs!$D$18+SQRT(J1710*(Inputs!$F$18-Inputs!$D$18)*(Inputs!$E$18-Inputs!$D$18)),Inputs!$F$18-SQRT((1-J1710)*(Inputs!$F$18-Inputs!$D$18)*(Inputs!$F$18-Inputs!$E$18)))</f>
        <v>1.02270155643744</v>
      </c>
      <c r="L1710" s="81" t="n">
        <f aca="true">RAND()</f>
        <v>0.998984467101132</v>
      </c>
      <c r="M1710" s="83" t="n">
        <f aca="false">IF(L1710&lt;(Inputs!$E$24-Inputs!$D$24)/(Inputs!$F$24-Inputs!$D$24),Inputs!$D$24+SQRT(L1710*(Inputs!$F$24-Inputs!$D$24)*(Inputs!$E$24-Inputs!$D$24)),Inputs!$F$24-SQRT((1-L1710)*(Inputs!$F$24-Inputs!$D$24)*(Inputs!$F$24-Inputs!$E$24)))</f>
        <v>1.1843882129233</v>
      </c>
      <c r="N1710" s="81" t="n">
        <f aca="true">RAND()</f>
        <v>0.169444732773559</v>
      </c>
      <c r="O1710" s="83" t="n">
        <f aca="false">IF(N1710&lt;(Inputs!$E$26-Inputs!$D$26)/(Inputs!$F$26-Inputs!$D$26),Inputs!$D$26+SQRT(N1710*(Inputs!$F$26-Inputs!$D$26)*(Inputs!$E$26-Inputs!$D$26)),Inputs!$F$26-SQRT((1-N1710)*(Inputs!$F$26-Inputs!$D$26)*(Inputs!$F$26-Inputs!$E$26)))</f>
        <v>0.467915465438774</v>
      </c>
      <c r="P1710" s="81" t="n">
        <f aca="true">RAND()</f>
        <v>0.773822906948906</v>
      </c>
      <c r="Q1710" s="82" t="n">
        <f aca="false">IF(P1710&lt;(Inputs!$E$27-Inputs!$D$27)/(Inputs!$F$27-Inputs!$D$27),Inputs!$D$27+SQRT(P1710*(Inputs!$F$27-Inputs!$D$27)*(Inputs!$E$27-Inputs!$D$27)),Inputs!$F$27-SQRT((1-P1710)*(Inputs!$F$27-Inputs!$D$27)*(Inputs!$F$27-Inputs!$E$27)))</f>
        <v>108.813494954255</v>
      </c>
      <c r="R1710" s="81" t="n">
        <f aca="true">RAND()</f>
        <v>0.138851205667981</v>
      </c>
      <c r="S1710" s="82" t="n">
        <f aca="false">IF(R1710&lt;(Inputs!$E$29-Inputs!$D$29)/(Inputs!$F$29-Inputs!$D$29),Inputs!$D$29+SQRT(R1710*(Inputs!$F$29-Inputs!$D$29)*(Inputs!$E$29-Inputs!$D$29)),Inputs!$F$29-SQRT((1-R1710)*(Inputs!$F$29-Inputs!$D$29)*(Inputs!$F$29-Inputs!$E$29)))</f>
        <v>4.32705758868388</v>
      </c>
      <c r="T1710" s="68" t="n">
        <f aca="false">Inputs!$E$9*(1+E1710)+Inputs!$E$5*C1710*(Inputs!$E$11*Inputs!$E$14*(G1710*I1710/Inputs!$E$16+(1-G1710))*K1710+Inputs!$E$23*M1710)*(1+O1710)+Inputs!$E$5*(Q1710+S1710)</f>
        <v>6541.72450115683</v>
      </c>
    </row>
    <row r="1711" customFormat="false" ht="15" hidden="false" customHeight="false" outlineLevel="0" collapsed="false">
      <c r="A1711" s="1" t="n">
        <v>1707</v>
      </c>
      <c r="B1711" s="81" t="n">
        <f aca="true">RAND()</f>
        <v>0.278545217137554</v>
      </c>
      <c r="C1711" s="82" t="n">
        <f aca="false">ROUND(IF(B1711&lt;(Inputs!$E$8-Inputs!$D$8)/(Inputs!$F$8-Inputs!$D$8),Inputs!$D$8+SQRT(B1711*(Inputs!$F$8-Inputs!$D$8)*(Inputs!$E$8-Inputs!$D$8)),Inputs!$F$8-SQRT((1-B1711)*(Inputs!$F$8-Inputs!$D$8)*(Inputs!$F$8-Inputs!$E$8))),0)</f>
        <v>24</v>
      </c>
      <c r="D1711" s="81" t="n">
        <f aca="true">RAND()</f>
        <v>0.355576025321931</v>
      </c>
      <c r="E1711" s="83" t="n">
        <f aca="false">IF(D1711&lt;(Inputs!$E$10-Inputs!$D$10)/(Inputs!$F$10-Inputs!$D$10),Inputs!$D$10+SQRT(D1711*(Inputs!$F$10-Inputs!$D$10)*(Inputs!$E$10-Inputs!$D$10)),Inputs!$F$10-SQRT((1-D1711)*(Inputs!$F$10-Inputs!$D$10)*(Inputs!$F$10-Inputs!$E$10)))</f>
        <v>0.0609578508496719</v>
      </c>
      <c r="F1711" s="81" t="n">
        <f aca="true">RAND()</f>
        <v>0.611859905973702</v>
      </c>
      <c r="G1711" s="83" t="n">
        <f aca="false">IF(F1711&lt;(Inputs!$E$15-Inputs!$D$15)/(Inputs!$F$15-Inputs!$D$15),Inputs!$D$15+SQRT(F1711*(Inputs!$F$15-Inputs!$D$15)*(Inputs!$E$15-Inputs!$D$15)),Inputs!$F$15-SQRT((1-F1711)*(Inputs!$F$15-Inputs!$D$15)*(Inputs!$F$15-Inputs!$E$15)))</f>
        <v>0.711893235897997</v>
      </c>
      <c r="H1711" s="81" t="n">
        <f aca="true">RAND()</f>
        <v>0.712691303237381</v>
      </c>
      <c r="I1711" s="82" t="n">
        <f aca="false">ROUND(IF(H1711&lt;(Inputs!$E$17-Inputs!$D$17)/(Inputs!$F$17-Inputs!$D$17),Inputs!$D$17+SQRT(H1711*(Inputs!$F$17-Inputs!$D$17)*(Inputs!$E$17-Inputs!$D$17)),Inputs!$F$17-SQRT((1-H1711)*(Inputs!$F$17-Inputs!$D$17)*(Inputs!$F$17-Inputs!$E$17))),0)</f>
        <v>108</v>
      </c>
      <c r="J1711" s="81" t="n">
        <f aca="true">RAND()</f>
        <v>0.111297750196679</v>
      </c>
      <c r="K1711" s="83" t="n">
        <f aca="false">IF(J1711&lt;(Inputs!$E$18-Inputs!$D$18)/(Inputs!$F$18-Inputs!$D$18),Inputs!$D$18+SQRT(J1711*(Inputs!$F$18-Inputs!$D$18)*(Inputs!$E$18-Inputs!$D$18)),Inputs!$F$18-SQRT((1-J1711)*(Inputs!$F$18-Inputs!$D$18)*(Inputs!$F$18-Inputs!$E$18)))</f>
        <v>0.96241330993373</v>
      </c>
      <c r="L1711" s="81" t="n">
        <f aca="true">RAND()</f>
        <v>0.900824654069079</v>
      </c>
      <c r="M1711" s="83" t="n">
        <f aca="false">IF(L1711&lt;(Inputs!$E$24-Inputs!$D$24)/(Inputs!$F$24-Inputs!$D$24),Inputs!$D$24+SQRT(L1711*(Inputs!$F$24-Inputs!$D$24)*(Inputs!$E$24-Inputs!$D$24)),Inputs!$F$24-SQRT((1-L1711)*(Inputs!$F$24-Inputs!$D$24)*(Inputs!$F$24-Inputs!$E$24)))</f>
        <v>1.04572076282461</v>
      </c>
      <c r="N1711" s="81" t="n">
        <f aca="true">RAND()</f>
        <v>0.363092342586398</v>
      </c>
      <c r="O1711" s="83" t="n">
        <f aca="false">IF(N1711&lt;(Inputs!$E$26-Inputs!$D$26)/(Inputs!$F$26-Inputs!$D$26),Inputs!$D$26+SQRT(N1711*(Inputs!$F$26-Inputs!$D$26)*(Inputs!$E$26-Inputs!$D$26)),Inputs!$F$26-SQRT((1-N1711)*(Inputs!$F$26-Inputs!$D$26)*(Inputs!$F$26-Inputs!$E$26)))</f>
        <v>0.545801883244162</v>
      </c>
      <c r="P1711" s="81" t="n">
        <f aca="true">RAND()</f>
        <v>0.912221436590009</v>
      </c>
      <c r="Q1711" s="82" t="n">
        <f aca="false">IF(P1711&lt;(Inputs!$E$27-Inputs!$D$27)/(Inputs!$F$27-Inputs!$D$27),Inputs!$D$27+SQRT(P1711*(Inputs!$F$27-Inputs!$D$27)*(Inputs!$E$27-Inputs!$D$27)),Inputs!$F$27-SQRT((1-P1711)*(Inputs!$F$27-Inputs!$D$27)*(Inputs!$F$27-Inputs!$E$27)))</f>
        <v>124.341877980356</v>
      </c>
      <c r="R1711" s="81" t="n">
        <f aca="true">RAND()</f>
        <v>0.720651161188379</v>
      </c>
      <c r="S1711" s="82" t="n">
        <f aca="false">IF(R1711&lt;(Inputs!$E$29-Inputs!$D$29)/(Inputs!$F$29-Inputs!$D$29),Inputs!$D$29+SQRT(R1711*(Inputs!$F$29-Inputs!$D$29)*(Inputs!$E$29-Inputs!$D$29)),Inputs!$F$29-SQRT((1-R1711)*(Inputs!$F$29-Inputs!$D$29)*(Inputs!$F$29-Inputs!$E$29)))</f>
        <v>8.97377821139059</v>
      </c>
      <c r="T1711" s="68" t="n">
        <f aca="false">Inputs!$E$9*(1+E1711)+Inputs!$E$5*C1711*(Inputs!$E$11*Inputs!$E$14*(G1711*I1711/Inputs!$E$16+(1-G1711))*K1711+Inputs!$E$23*M1711)*(1+O1711)+Inputs!$E$5*(Q1711+S1711)</f>
        <v>6318.77172892119</v>
      </c>
    </row>
    <row r="1712" customFormat="false" ht="15" hidden="false" customHeight="false" outlineLevel="0" collapsed="false">
      <c r="A1712" s="1" t="n">
        <v>1708</v>
      </c>
      <c r="B1712" s="81" t="n">
        <f aca="true">RAND()</f>
        <v>0.115061819819599</v>
      </c>
      <c r="C1712" s="82" t="n">
        <f aca="false">ROUND(IF(B1712&lt;(Inputs!$E$8-Inputs!$D$8)/(Inputs!$F$8-Inputs!$D$8),Inputs!$D$8+SQRT(B1712*(Inputs!$F$8-Inputs!$D$8)*(Inputs!$E$8-Inputs!$D$8)),Inputs!$F$8-SQRT((1-B1712)*(Inputs!$F$8-Inputs!$D$8)*(Inputs!$F$8-Inputs!$E$8))),0)</f>
        <v>22</v>
      </c>
      <c r="D1712" s="81" t="n">
        <f aca="true">RAND()</f>
        <v>0.869206601597084</v>
      </c>
      <c r="E1712" s="83" t="n">
        <f aca="false">IF(D1712&lt;(Inputs!$E$10-Inputs!$D$10)/(Inputs!$F$10-Inputs!$D$10),Inputs!$D$10+SQRT(D1712*(Inputs!$F$10-Inputs!$D$10)*(Inputs!$E$10-Inputs!$D$10)),Inputs!$F$10-SQRT((1-D1712)*(Inputs!$F$10-Inputs!$D$10)*(Inputs!$F$10-Inputs!$E$10)))</f>
        <v>0.137359741762286</v>
      </c>
      <c r="F1712" s="81" t="n">
        <f aca="true">RAND()</f>
        <v>0.43142888185439</v>
      </c>
      <c r="G1712" s="83" t="n">
        <f aca="false">IF(F1712&lt;(Inputs!$E$15-Inputs!$D$15)/(Inputs!$F$15-Inputs!$D$15),Inputs!$D$15+SQRT(F1712*(Inputs!$F$15-Inputs!$D$15)*(Inputs!$E$15-Inputs!$D$15)),Inputs!$F$15-SQRT((1-F1712)*(Inputs!$F$15-Inputs!$D$15)*(Inputs!$F$15-Inputs!$E$15)))</f>
        <v>0.692890137458655</v>
      </c>
      <c r="H1712" s="81" t="n">
        <f aca="true">RAND()</f>
        <v>0.639222127231501</v>
      </c>
      <c r="I1712" s="82" t="n">
        <f aca="false">ROUND(IF(H1712&lt;(Inputs!$E$17-Inputs!$D$17)/(Inputs!$F$17-Inputs!$D$17),Inputs!$D$17+SQRT(H1712*(Inputs!$F$17-Inputs!$D$17)*(Inputs!$E$17-Inputs!$D$17)),Inputs!$F$17-SQRT((1-H1712)*(Inputs!$F$17-Inputs!$D$17)*(Inputs!$F$17-Inputs!$E$17))),0)</f>
        <v>108</v>
      </c>
      <c r="J1712" s="81" t="n">
        <f aca="true">RAND()</f>
        <v>0.625408827741517</v>
      </c>
      <c r="K1712" s="83" t="n">
        <f aca="false">IF(J1712&lt;(Inputs!$E$18-Inputs!$D$18)/(Inputs!$F$18-Inputs!$D$18),Inputs!$D$18+SQRT(J1712*(Inputs!$F$18-Inputs!$D$18)*(Inputs!$E$18-Inputs!$D$18)),Inputs!$F$18-SQRT((1-J1712)*(Inputs!$F$18-Inputs!$D$18)*(Inputs!$F$18-Inputs!$E$18)))</f>
        <v>1.06895655887987</v>
      </c>
      <c r="L1712" s="81" t="n">
        <f aca="true">RAND()</f>
        <v>0.561571359419334</v>
      </c>
      <c r="M1712" s="83" t="n">
        <f aca="false">IF(L1712&lt;(Inputs!$E$24-Inputs!$D$24)/(Inputs!$F$24-Inputs!$D$24),Inputs!$D$24+SQRT(L1712*(Inputs!$F$24-Inputs!$D$24)*(Inputs!$E$24-Inputs!$D$24)),Inputs!$F$24-SQRT((1-L1712)*(Inputs!$F$24-Inputs!$D$24)*(Inputs!$F$24-Inputs!$E$24)))</f>
        <v>0.87561924573218</v>
      </c>
      <c r="N1712" s="81" t="n">
        <f aca="true">RAND()</f>
        <v>0.76787806197691</v>
      </c>
      <c r="O1712" s="83" t="n">
        <f aca="false">IF(N1712&lt;(Inputs!$E$26-Inputs!$D$26)/(Inputs!$F$26-Inputs!$D$26),Inputs!$D$26+SQRT(N1712*(Inputs!$F$26-Inputs!$D$26)*(Inputs!$E$26-Inputs!$D$26)),Inputs!$F$26-SQRT((1-N1712)*(Inputs!$F$26-Inputs!$D$26)*(Inputs!$F$26-Inputs!$E$26)))</f>
        <v>0.664627281820774</v>
      </c>
      <c r="P1712" s="81" t="n">
        <f aca="true">RAND()</f>
        <v>0.970762718573618</v>
      </c>
      <c r="Q1712" s="82" t="n">
        <f aca="false">IF(P1712&lt;(Inputs!$E$27-Inputs!$D$27)/(Inputs!$F$27-Inputs!$D$27),Inputs!$D$27+SQRT(P1712*(Inputs!$F$27-Inputs!$D$27)*(Inputs!$E$27-Inputs!$D$27)),Inputs!$F$27-SQRT((1-P1712)*(Inputs!$F$27-Inputs!$D$27)*(Inputs!$F$27-Inputs!$E$27)))</f>
        <v>135.191907256575</v>
      </c>
      <c r="R1712" s="81" t="n">
        <f aca="true">RAND()</f>
        <v>0.236502953078216</v>
      </c>
      <c r="S1712" s="82" t="n">
        <f aca="false">IF(R1712&lt;(Inputs!$E$29-Inputs!$D$29)/(Inputs!$F$29-Inputs!$D$29),Inputs!$D$29+SQRT(R1712*(Inputs!$F$29-Inputs!$D$29)*(Inputs!$E$29-Inputs!$D$29)),Inputs!$F$29-SQRT((1-R1712)*(Inputs!$F$29-Inputs!$D$29)*(Inputs!$F$29-Inputs!$E$29)))</f>
        <v>5.03733890469861</v>
      </c>
      <c r="T1712" s="68" t="n">
        <f aca="false">Inputs!$E$9*(1+E1712)+Inputs!$E$5*C1712*(Inputs!$E$11*Inputs!$E$14*(G1712*I1712/Inputs!$E$16+(1-G1712))*K1712+Inputs!$E$23*M1712)*(1+O1712)+Inputs!$E$5*(Q1712+S1712)</f>
        <v>6491.93165213404</v>
      </c>
    </row>
    <row r="1713" customFormat="false" ht="15" hidden="false" customHeight="false" outlineLevel="0" collapsed="false">
      <c r="A1713" s="1" t="n">
        <v>1709</v>
      </c>
      <c r="B1713" s="81" t="n">
        <f aca="true">RAND()</f>
        <v>0.939664493046556</v>
      </c>
      <c r="C1713" s="82" t="n">
        <f aca="false">ROUND(IF(B1713&lt;(Inputs!$E$8-Inputs!$D$8)/(Inputs!$F$8-Inputs!$D$8),Inputs!$D$8+SQRT(B1713*(Inputs!$F$8-Inputs!$D$8)*(Inputs!$E$8-Inputs!$D$8)),Inputs!$F$8-SQRT((1-B1713)*(Inputs!$F$8-Inputs!$D$8)*(Inputs!$F$8-Inputs!$E$8))),0)</f>
        <v>28</v>
      </c>
      <c r="D1713" s="81" t="n">
        <f aca="true">RAND()</f>
        <v>0.120311346472897</v>
      </c>
      <c r="E1713" s="83" t="n">
        <f aca="false">IF(D1713&lt;(Inputs!$E$10-Inputs!$D$10)/(Inputs!$F$10-Inputs!$D$10),Inputs!$D$10+SQRT(D1713*(Inputs!$F$10-Inputs!$D$10)*(Inputs!$E$10-Inputs!$D$10)),Inputs!$F$10-SQRT((1-D1713)*(Inputs!$F$10-Inputs!$D$10)*(Inputs!$F$10-Inputs!$E$10)))</f>
        <v>0.0346859260324554</v>
      </c>
      <c r="F1713" s="81" t="n">
        <f aca="true">RAND()</f>
        <v>0.7418304087359</v>
      </c>
      <c r="G1713" s="83" t="n">
        <f aca="false">IF(F1713&lt;(Inputs!$E$15-Inputs!$D$15)/(Inputs!$F$15-Inputs!$D$15),Inputs!$D$15+SQRT(F1713*(Inputs!$F$15-Inputs!$D$15)*(Inputs!$E$15-Inputs!$D$15)),Inputs!$F$15-SQRT((1-F1713)*(Inputs!$F$15-Inputs!$D$15)*(Inputs!$F$15-Inputs!$E$15)))</f>
        <v>0.728143254837963</v>
      </c>
      <c r="H1713" s="81" t="n">
        <f aca="true">RAND()</f>
        <v>0.405632409224979</v>
      </c>
      <c r="I1713" s="82" t="n">
        <f aca="false">ROUND(IF(H1713&lt;(Inputs!$E$17-Inputs!$D$17)/(Inputs!$F$17-Inputs!$D$17),Inputs!$D$17+SQRT(H1713*(Inputs!$F$17-Inputs!$D$17)*(Inputs!$E$17-Inputs!$D$17)),Inputs!$F$17-SQRT((1-H1713)*(Inputs!$F$17-Inputs!$D$17)*(Inputs!$F$17-Inputs!$E$17))),0)</f>
        <v>106</v>
      </c>
      <c r="J1713" s="81" t="n">
        <f aca="true">RAND()</f>
        <v>0.0890864574779057</v>
      </c>
      <c r="K1713" s="83" t="n">
        <f aca="false">IF(J1713&lt;(Inputs!$E$18-Inputs!$D$18)/(Inputs!$F$18-Inputs!$D$18),Inputs!$D$18+SQRT(J1713*(Inputs!$F$18-Inputs!$D$18)*(Inputs!$E$18-Inputs!$D$18)),Inputs!$F$18-SQRT((1-J1713)*(Inputs!$F$18-Inputs!$D$18)*(Inputs!$F$18-Inputs!$E$18)))</f>
        <v>0.955839287349739</v>
      </c>
      <c r="L1713" s="81" t="n">
        <f aca="true">RAND()</f>
        <v>0.591613206259858</v>
      </c>
      <c r="M1713" s="83" t="n">
        <f aca="false">IF(L1713&lt;(Inputs!$E$24-Inputs!$D$24)/(Inputs!$F$24-Inputs!$D$24),Inputs!$D$24+SQRT(L1713*(Inputs!$F$24-Inputs!$D$24)*(Inputs!$E$24-Inputs!$D$24)),Inputs!$F$24-SQRT((1-L1713)*(Inputs!$F$24-Inputs!$D$24)*(Inputs!$F$24-Inputs!$E$24)))</f>
        <v>0.886929991060092</v>
      </c>
      <c r="N1713" s="81" t="n">
        <f aca="true">RAND()</f>
        <v>0.816123682051843</v>
      </c>
      <c r="O1713" s="83" t="n">
        <f aca="false">IF(N1713&lt;(Inputs!$E$26-Inputs!$D$26)/(Inputs!$F$26-Inputs!$D$26),Inputs!$D$26+SQRT(N1713*(Inputs!$F$26-Inputs!$D$26)*(Inputs!$E$26-Inputs!$D$26)),Inputs!$F$26-SQRT((1-N1713)*(Inputs!$F$26-Inputs!$D$26)*(Inputs!$F$26-Inputs!$E$26)))</f>
        <v>0.681713568754529</v>
      </c>
      <c r="P1713" s="81" t="n">
        <f aca="true">RAND()</f>
        <v>0.882868552780504</v>
      </c>
      <c r="Q1713" s="82" t="n">
        <f aca="false">IF(P1713&lt;(Inputs!$E$27-Inputs!$D$27)/(Inputs!$F$27-Inputs!$D$27),Inputs!$D$27+SQRT(P1713*(Inputs!$F$27-Inputs!$D$27)*(Inputs!$E$27-Inputs!$D$27)),Inputs!$F$27-SQRT((1-P1713)*(Inputs!$F$27-Inputs!$D$27)*(Inputs!$F$27-Inputs!$E$27)))</f>
        <v>120.360737962186</v>
      </c>
      <c r="R1713" s="81" t="n">
        <f aca="true">RAND()</f>
        <v>0.240411872478797</v>
      </c>
      <c r="S1713" s="82" t="n">
        <f aca="false">IF(R1713&lt;(Inputs!$E$29-Inputs!$D$29)/(Inputs!$F$29-Inputs!$D$29),Inputs!$D$29+SQRT(R1713*(Inputs!$F$29-Inputs!$D$29)*(Inputs!$E$29-Inputs!$D$29)),Inputs!$F$29-SQRT((1-R1713)*(Inputs!$F$29-Inputs!$D$29)*(Inputs!$F$29-Inputs!$E$29)))</f>
        <v>5.06287483334559</v>
      </c>
      <c r="T1713" s="68" t="n">
        <f aca="false">Inputs!$E$9*(1+E1713)+Inputs!$E$5*C1713*(Inputs!$E$11*Inputs!$E$14*(G1713*I1713/Inputs!$E$16+(1-G1713))*K1713+Inputs!$E$23*M1713)*(1+O1713)+Inputs!$E$5*(Q1713+S1713)</f>
        <v>6780.81025031248</v>
      </c>
    </row>
    <row r="1714" customFormat="false" ht="15" hidden="false" customHeight="false" outlineLevel="0" collapsed="false">
      <c r="A1714" s="1" t="n">
        <v>1710</v>
      </c>
      <c r="B1714" s="81" t="n">
        <f aca="true">RAND()</f>
        <v>0.457619672731207</v>
      </c>
      <c r="C1714" s="82" t="n">
        <f aca="false">ROUND(IF(B1714&lt;(Inputs!$E$8-Inputs!$D$8)/(Inputs!$F$8-Inputs!$D$8),Inputs!$D$8+SQRT(B1714*(Inputs!$F$8-Inputs!$D$8)*(Inputs!$E$8-Inputs!$D$8)),Inputs!$F$8-SQRT((1-B1714)*(Inputs!$F$8-Inputs!$D$8)*(Inputs!$F$8-Inputs!$E$8))),0)</f>
        <v>25</v>
      </c>
      <c r="D1714" s="81" t="n">
        <f aca="true">RAND()</f>
        <v>0.939868678433659</v>
      </c>
      <c r="E1714" s="83" t="n">
        <f aca="false">IF(D1714&lt;(Inputs!$E$10-Inputs!$D$10)/(Inputs!$F$10-Inputs!$D$10),Inputs!$D$10+SQRT(D1714*(Inputs!$F$10-Inputs!$D$10)*(Inputs!$E$10-Inputs!$D$10)),Inputs!$F$10-SQRT((1-D1714)*(Inputs!$F$10-Inputs!$D$10)*(Inputs!$F$10-Inputs!$E$10)))</f>
        <v>0.157527189320811</v>
      </c>
      <c r="F1714" s="81" t="n">
        <f aca="true">RAND()</f>
        <v>0.035625234369226</v>
      </c>
      <c r="G1714" s="83" t="n">
        <f aca="false">IF(F1714&lt;(Inputs!$E$15-Inputs!$D$15)/(Inputs!$F$15-Inputs!$D$15),Inputs!$D$15+SQRT(F1714*(Inputs!$F$15-Inputs!$D$15)*(Inputs!$E$15-Inputs!$D$15)),Inputs!$F$15-SQRT((1-F1714)*(Inputs!$F$15-Inputs!$D$15)*(Inputs!$F$15-Inputs!$E$15)))</f>
        <v>0.626692783432691</v>
      </c>
      <c r="H1714" s="81" t="n">
        <f aca="true">RAND()</f>
        <v>0.114202501696636</v>
      </c>
      <c r="I1714" s="82" t="n">
        <f aca="false">ROUND(IF(H1714&lt;(Inputs!$E$17-Inputs!$D$17)/(Inputs!$F$17-Inputs!$D$17),Inputs!$D$17+SQRT(H1714*(Inputs!$F$17-Inputs!$D$17)*(Inputs!$E$17-Inputs!$D$17)),Inputs!$F$17-SQRT((1-H1714)*(Inputs!$F$17-Inputs!$D$17)*(Inputs!$F$17-Inputs!$E$17))),0)</f>
        <v>103</v>
      </c>
      <c r="J1714" s="81" t="n">
        <f aca="true">RAND()</f>
        <v>0.203397670436141</v>
      </c>
      <c r="K1714" s="83" t="n">
        <f aca="false">IF(J1714&lt;(Inputs!$E$18-Inputs!$D$18)/(Inputs!$F$18-Inputs!$D$18),Inputs!$D$18+SQRT(J1714*(Inputs!$F$18-Inputs!$D$18)*(Inputs!$E$18-Inputs!$D$18)),Inputs!$F$18-SQRT((1-J1714)*(Inputs!$F$18-Inputs!$D$18)*(Inputs!$F$18-Inputs!$E$18)))</f>
        <v>0.984373683487596</v>
      </c>
      <c r="L1714" s="81" t="n">
        <f aca="true">RAND()</f>
        <v>0.131230556730547</v>
      </c>
      <c r="M1714" s="83" t="n">
        <f aca="false">IF(L1714&lt;(Inputs!$E$24-Inputs!$D$24)/(Inputs!$F$24-Inputs!$D$24),Inputs!$D$24+SQRT(L1714*(Inputs!$F$24-Inputs!$D$24)*(Inputs!$E$24-Inputs!$D$24)),Inputs!$F$24-SQRT((1-L1714)*(Inputs!$F$24-Inputs!$D$24)*(Inputs!$F$24-Inputs!$E$24)))</f>
        <v>0.725489707975059</v>
      </c>
      <c r="N1714" s="81" t="n">
        <f aca="true">RAND()</f>
        <v>0.9881748413639</v>
      </c>
      <c r="O1714" s="83" t="n">
        <f aca="false">IF(N1714&lt;(Inputs!$E$26-Inputs!$D$26)/(Inputs!$F$26-Inputs!$D$26),Inputs!$D$26+SQRT(N1714*(Inputs!$F$26-Inputs!$D$26)*(Inputs!$E$26-Inputs!$D$26)),Inputs!$F$26-SQRT((1-N1714)*(Inputs!$F$26-Inputs!$D$26)*(Inputs!$F$26-Inputs!$E$26)))</f>
        <v>0.784931260385431</v>
      </c>
      <c r="P1714" s="81" t="n">
        <f aca="true">RAND()</f>
        <v>0.775911498424859</v>
      </c>
      <c r="Q1714" s="82" t="n">
        <f aca="false">IF(P1714&lt;(Inputs!$E$27-Inputs!$D$27)/(Inputs!$F$27-Inputs!$D$27),Inputs!$D$27+SQRT(P1714*(Inputs!$F$27-Inputs!$D$27)*(Inputs!$E$27-Inputs!$D$27)),Inputs!$F$27-SQRT((1-P1714)*(Inputs!$F$27-Inputs!$D$27)*(Inputs!$F$27-Inputs!$E$27)))</f>
        <v>109.004100670755</v>
      </c>
      <c r="R1714" s="81" t="n">
        <f aca="true">RAND()</f>
        <v>0.97370398109978</v>
      </c>
      <c r="S1714" s="82" t="n">
        <f aca="false">IF(R1714&lt;(Inputs!$E$29-Inputs!$D$29)/(Inputs!$F$29-Inputs!$D$29),Inputs!$D$29+SQRT(R1714*(Inputs!$F$29-Inputs!$D$29)*(Inputs!$E$29-Inputs!$D$29)),Inputs!$F$29-SQRT((1-R1714)*(Inputs!$F$29-Inputs!$D$29)*(Inputs!$F$29-Inputs!$E$29)))</f>
        <v>13.1510861412633</v>
      </c>
      <c r="T1714" s="68" t="n">
        <f aca="false">Inputs!$E$9*(1+E1714)+Inputs!$E$5*C1714*(Inputs!$E$11*Inputs!$E$14*(G1714*I1714/Inputs!$E$16+(1-G1714))*K1714+Inputs!$E$23*M1714)*(1+O1714)+Inputs!$E$5*(Q1714+S1714)</f>
        <v>6754.67690072339</v>
      </c>
    </row>
    <row r="1715" customFormat="false" ht="15" hidden="false" customHeight="false" outlineLevel="0" collapsed="false">
      <c r="A1715" s="1" t="n">
        <v>1711</v>
      </c>
      <c r="B1715" s="81" t="n">
        <f aca="true">RAND()</f>
        <v>0.237350964216899</v>
      </c>
      <c r="C1715" s="82" t="n">
        <f aca="false">ROUND(IF(B1715&lt;(Inputs!$E$8-Inputs!$D$8)/(Inputs!$F$8-Inputs!$D$8),Inputs!$D$8+SQRT(B1715*(Inputs!$F$8-Inputs!$D$8)*(Inputs!$E$8-Inputs!$D$8)),Inputs!$F$8-SQRT((1-B1715)*(Inputs!$F$8-Inputs!$D$8)*(Inputs!$F$8-Inputs!$E$8))),0)</f>
        <v>23</v>
      </c>
      <c r="D1715" s="81" t="n">
        <f aca="true">RAND()</f>
        <v>0.85333172401023</v>
      </c>
      <c r="E1715" s="83" t="n">
        <f aca="false">IF(D1715&lt;(Inputs!$E$10-Inputs!$D$10)/(Inputs!$F$10-Inputs!$D$10),Inputs!$D$10+SQRT(D1715*(Inputs!$F$10-Inputs!$D$10)*(Inputs!$E$10-Inputs!$D$10)),Inputs!$F$10-SQRT((1-D1715)*(Inputs!$F$10-Inputs!$D$10)*(Inputs!$F$10-Inputs!$E$10)))</f>
        <v>0.133667140272011</v>
      </c>
      <c r="F1715" s="81" t="n">
        <f aca="true">RAND()</f>
        <v>0.645348431875275</v>
      </c>
      <c r="G1715" s="83" t="n">
        <f aca="false">IF(F1715&lt;(Inputs!$E$15-Inputs!$D$15)/(Inputs!$F$15-Inputs!$D$15),Inputs!$D$15+SQRT(F1715*(Inputs!$F$15-Inputs!$D$15)*(Inputs!$E$15-Inputs!$D$15)),Inputs!$F$15-SQRT((1-F1715)*(Inputs!$F$15-Inputs!$D$15)*(Inputs!$F$15-Inputs!$E$15)))</f>
        <v>0.715779863675636</v>
      </c>
      <c r="H1715" s="81" t="n">
        <f aca="true">RAND()</f>
        <v>0.75642142745251</v>
      </c>
      <c r="I1715" s="82" t="n">
        <f aca="false">ROUND(IF(H1715&lt;(Inputs!$E$17-Inputs!$D$17)/(Inputs!$F$17-Inputs!$D$17),Inputs!$D$17+SQRT(H1715*(Inputs!$F$17-Inputs!$D$17)*(Inputs!$E$17-Inputs!$D$17)),Inputs!$F$17-SQRT((1-H1715)*(Inputs!$F$17-Inputs!$D$17)*(Inputs!$F$17-Inputs!$E$17))),0)</f>
        <v>109</v>
      </c>
      <c r="J1715" s="81" t="n">
        <f aca="true">RAND()</f>
        <v>0.0414213436330038</v>
      </c>
      <c r="K1715" s="83" t="n">
        <f aca="false">IF(J1715&lt;(Inputs!$E$18-Inputs!$D$18)/(Inputs!$F$18-Inputs!$D$18),Inputs!$D$18+SQRT(J1715*(Inputs!$F$18-Inputs!$D$18)*(Inputs!$E$18-Inputs!$D$18)),Inputs!$F$18-SQRT((1-J1715)*(Inputs!$F$18-Inputs!$D$18)*(Inputs!$F$18-Inputs!$E$18)))</f>
        <v>0.938075543688241</v>
      </c>
      <c r="L1715" s="81" t="n">
        <f aca="true">RAND()</f>
        <v>0.571586671322204</v>
      </c>
      <c r="M1715" s="83" t="n">
        <f aca="false">IF(L1715&lt;(Inputs!$E$24-Inputs!$D$24)/(Inputs!$F$24-Inputs!$D$24),Inputs!$D$24+SQRT(L1715*(Inputs!$F$24-Inputs!$D$24)*(Inputs!$E$24-Inputs!$D$24)),Inputs!$F$24-SQRT((1-L1715)*(Inputs!$F$24-Inputs!$D$24)*(Inputs!$F$24-Inputs!$E$24)))</f>
        <v>0.879345670725201</v>
      </c>
      <c r="N1715" s="81" t="n">
        <f aca="true">RAND()</f>
        <v>0.760275555694239</v>
      </c>
      <c r="O1715" s="83" t="n">
        <f aca="false">IF(N1715&lt;(Inputs!$E$26-Inputs!$D$26)/(Inputs!$F$26-Inputs!$D$26),Inputs!$D$26+SQRT(N1715*(Inputs!$F$26-Inputs!$D$26)*(Inputs!$E$26-Inputs!$D$26)),Inputs!$F$26-SQRT((1-N1715)*(Inputs!$F$26-Inputs!$D$26)*(Inputs!$F$26-Inputs!$E$26)))</f>
        <v>0.662103381265465</v>
      </c>
      <c r="P1715" s="81" t="n">
        <f aca="true">RAND()</f>
        <v>0.66492274013346</v>
      </c>
      <c r="Q1715" s="82" t="n">
        <f aca="false">IF(P1715&lt;(Inputs!$E$27-Inputs!$D$27)/(Inputs!$F$27-Inputs!$D$27),Inputs!$D$27+SQRT(P1715*(Inputs!$F$27-Inputs!$D$27)*(Inputs!$E$27-Inputs!$D$27)),Inputs!$F$27-SQRT((1-P1715)*(Inputs!$F$27-Inputs!$D$27)*(Inputs!$F$27-Inputs!$E$27)))</f>
        <v>99.8693761359481</v>
      </c>
      <c r="R1715" s="81" t="n">
        <f aca="true">RAND()</f>
        <v>0.59852714176428</v>
      </c>
      <c r="S1715" s="82" t="n">
        <f aca="false">IF(R1715&lt;(Inputs!$E$29-Inputs!$D$29)/(Inputs!$F$29-Inputs!$D$29),Inputs!$D$29+SQRT(R1715*(Inputs!$F$29-Inputs!$D$29)*(Inputs!$E$29-Inputs!$D$29)),Inputs!$F$29-SQRT((1-R1715)*(Inputs!$F$29-Inputs!$D$29)*(Inputs!$F$29-Inputs!$E$29)))</f>
        <v>7.77563348309046</v>
      </c>
      <c r="T1715" s="68" t="n">
        <f aca="false">Inputs!$E$9*(1+E1715)+Inputs!$E$5*C1715*(Inputs!$E$11*Inputs!$E$14*(G1715*I1715/Inputs!$E$16+(1-G1715))*K1715+Inputs!$E$23*M1715)*(1+O1715)+Inputs!$E$5*(Q1715+S1715)</f>
        <v>6180.41038019712</v>
      </c>
    </row>
    <row r="1716" customFormat="false" ht="15" hidden="false" customHeight="false" outlineLevel="0" collapsed="false">
      <c r="A1716" s="1" t="n">
        <v>1712</v>
      </c>
      <c r="B1716" s="81" t="n">
        <f aca="true">RAND()</f>
        <v>0.505785546926703</v>
      </c>
      <c r="C1716" s="82" t="n">
        <f aca="false">ROUND(IF(B1716&lt;(Inputs!$E$8-Inputs!$D$8)/(Inputs!$F$8-Inputs!$D$8),Inputs!$D$8+SQRT(B1716*(Inputs!$F$8-Inputs!$D$8)*(Inputs!$E$8-Inputs!$D$8)),Inputs!$F$8-SQRT((1-B1716)*(Inputs!$F$8-Inputs!$D$8)*(Inputs!$F$8-Inputs!$E$8))),0)</f>
        <v>25</v>
      </c>
      <c r="D1716" s="81" t="n">
        <f aca="true">RAND()</f>
        <v>0.992735097447773</v>
      </c>
      <c r="E1716" s="83" t="n">
        <f aca="false">IF(D1716&lt;(Inputs!$E$10-Inputs!$D$10)/(Inputs!$F$10-Inputs!$D$10),Inputs!$D$10+SQRT(D1716*(Inputs!$F$10-Inputs!$D$10)*(Inputs!$E$10-Inputs!$D$10)),Inputs!$F$10-SQRT((1-D1716)*(Inputs!$F$10-Inputs!$D$10)*(Inputs!$F$10-Inputs!$E$10)))</f>
        <v>0.185236969262147</v>
      </c>
      <c r="F1716" s="81" t="n">
        <f aca="true">RAND()</f>
        <v>0.309965568783532</v>
      </c>
      <c r="G1716" s="83" t="n">
        <f aca="false">IF(F1716&lt;(Inputs!$E$15-Inputs!$D$15)/(Inputs!$F$15-Inputs!$D$15),Inputs!$D$15+SQRT(F1716*(Inputs!$F$15-Inputs!$D$15)*(Inputs!$E$15-Inputs!$D$15)),Inputs!$F$15-SQRT((1-F1716)*(Inputs!$F$15-Inputs!$D$15)*(Inputs!$F$15-Inputs!$E$15)))</f>
        <v>0.678735705849828</v>
      </c>
      <c r="H1716" s="81" t="n">
        <f aca="true">RAND()</f>
        <v>0.215462984091282</v>
      </c>
      <c r="I1716" s="82" t="n">
        <f aca="false">ROUND(IF(H1716&lt;(Inputs!$E$17-Inputs!$D$17)/(Inputs!$F$17-Inputs!$D$17),Inputs!$D$17+SQRT(H1716*(Inputs!$F$17-Inputs!$D$17)*(Inputs!$E$17-Inputs!$D$17)),Inputs!$F$17-SQRT((1-H1716)*(Inputs!$F$17-Inputs!$D$17)*(Inputs!$F$17-Inputs!$E$17))),0)</f>
        <v>104</v>
      </c>
      <c r="J1716" s="81" t="n">
        <f aca="true">RAND()</f>
        <v>0.197973587171225</v>
      </c>
      <c r="K1716" s="83" t="n">
        <f aca="false">IF(J1716&lt;(Inputs!$E$18-Inputs!$D$18)/(Inputs!$F$18-Inputs!$D$18),Inputs!$D$18+SQRT(J1716*(Inputs!$F$18-Inputs!$D$18)*(Inputs!$E$18-Inputs!$D$18)),Inputs!$F$18-SQRT((1-J1716)*(Inputs!$F$18-Inputs!$D$18)*(Inputs!$F$18-Inputs!$E$18)))</f>
        <v>0.983241068896266</v>
      </c>
      <c r="L1716" s="81" t="n">
        <f aca="true">RAND()</f>
        <v>0.312610240638657</v>
      </c>
      <c r="M1716" s="83" t="n">
        <f aca="false">IF(L1716&lt;(Inputs!$E$24-Inputs!$D$24)/(Inputs!$F$24-Inputs!$D$24),Inputs!$D$24+SQRT(L1716*(Inputs!$F$24-Inputs!$D$24)*(Inputs!$E$24-Inputs!$D$24)),Inputs!$F$24-SQRT((1-L1716)*(Inputs!$F$24-Inputs!$D$24)*(Inputs!$F$24-Inputs!$E$24)))</f>
        <v>0.793683321111135</v>
      </c>
      <c r="N1716" s="81" t="n">
        <f aca="true">RAND()</f>
        <v>0.366172140320063</v>
      </c>
      <c r="O1716" s="83" t="n">
        <f aca="false">IF(N1716&lt;(Inputs!$E$26-Inputs!$D$26)/(Inputs!$F$26-Inputs!$D$26),Inputs!$D$26+SQRT(N1716*(Inputs!$F$26-Inputs!$D$26)*(Inputs!$E$26-Inputs!$D$26)),Inputs!$F$26-SQRT((1-N1716)*(Inputs!$F$26-Inputs!$D$26)*(Inputs!$F$26-Inputs!$E$26)))</f>
        <v>0.546842144191908</v>
      </c>
      <c r="P1716" s="81" t="n">
        <f aca="true">RAND()</f>
        <v>0.202178133312819</v>
      </c>
      <c r="Q1716" s="82" t="n">
        <f aca="false">IF(P1716&lt;(Inputs!$E$27-Inputs!$D$27)/(Inputs!$F$27-Inputs!$D$27),Inputs!$D$27+SQRT(P1716*(Inputs!$F$27-Inputs!$D$27)*(Inputs!$E$27-Inputs!$D$27)),Inputs!$F$27-SQRT((1-P1716)*(Inputs!$F$27-Inputs!$D$27)*(Inputs!$F$27-Inputs!$E$27)))</f>
        <v>72.482111406228</v>
      </c>
      <c r="R1716" s="81" t="n">
        <f aca="true">RAND()</f>
        <v>0.846642730000542</v>
      </c>
      <c r="S1716" s="82" t="n">
        <f aca="false">IF(R1716&lt;(Inputs!$E$29-Inputs!$D$29)/(Inputs!$F$29-Inputs!$D$29),Inputs!$D$29+SQRT(R1716*(Inputs!$F$29-Inputs!$D$29)*(Inputs!$E$29-Inputs!$D$29)),Inputs!$F$29-SQRT((1-R1716)*(Inputs!$F$29-Inputs!$D$29)*(Inputs!$F$29-Inputs!$E$29)))</f>
        <v>10.5349753528195</v>
      </c>
      <c r="T1716" s="68" t="n">
        <f aca="false">Inputs!$E$9*(1+E1716)+Inputs!$E$5*C1716*(Inputs!$E$11*Inputs!$E$14*(G1716*I1716/Inputs!$E$16+(1-G1716))*K1716+Inputs!$E$23*M1716)*(1+O1716)+Inputs!$E$5*(Q1716+S1716)</f>
        <v>6174.88105067344</v>
      </c>
    </row>
    <row r="1717" customFormat="false" ht="15" hidden="false" customHeight="false" outlineLevel="0" collapsed="false">
      <c r="A1717" s="1" t="n">
        <v>1713</v>
      </c>
      <c r="B1717" s="81" t="n">
        <f aca="true">RAND()</f>
        <v>0.20035229115627</v>
      </c>
      <c r="C1717" s="82" t="n">
        <f aca="false">ROUND(IF(B1717&lt;(Inputs!$E$8-Inputs!$D$8)/(Inputs!$F$8-Inputs!$D$8),Inputs!$D$8+SQRT(B1717*(Inputs!$F$8-Inputs!$D$8)*(Inputs!$E$8-Inputs!$D$8)),Inputs!$F$8-SQRT((1-B1717)*(Inputs!$F$8-Inputs!$D$8)*(Inputs!$F$8-Inputs!$E$8))),0)</f>
        <v>23</v>
      </c>
      <c r="D1717" s="81" t="n">
        <f aca="true">RAND()</f>
        <v>0.276736176955857</v>
      </c>
      <c r="E1717" s="83" t="n">
        <f aca="false">IF(D1717&lt;(Inputs!$E$10-Inputs!$D$10)/(Inputs!$F$10-Inputs!$D$10),Inputs!$D$10+SQRT(D1717*(Inputs!$F$10-Inputs!$D$10)*(Inputs!$E$10-Inputs!$D$10)),Inputs!$F$10-SQRT((1-D1717)*(Inputs!$F$10-Inputs!$D$10)*(Inputs!$F$10-Inputs!$E$10)))</f>
        <v>0.0526978795423355</v>
      </c>
      <c r="F1717" s="81" t="n">
        <f aca="true">RAND()</f>
        <v>0.00505882566401662</v>
      </c>
      <c r="G1717" s="83" t="n">
        <f aca="false">IF(F1717&lt;(Inputs!$E$15-Inputs!$D$15)/(Inputs!$F$15-Inputs!$D$15),Inputs!$D$15+SQRT(F1717*(Inputs!$F$15-Inputs!$D$15)*(Inputs!$E$15-Inputs!$D$15)),Inputs!$F$15-SQRT((1-F1717)*(Inputs!$F$15-Inputs!$D$15)*(Inputs!$F$15-Inputs!$E$15)))</f>
        <v>0.610058653651475</v>
      </c>
      <c r="H1717" s="81" t="n">
        <f aca="true">RAND()</f>
        <v>0.453813580750359</v>
      </c>
      <c r="I1717" s="82" t="n">
        <f aca="false">ROUND(IF(H1717&lt;(Inputs!$E$17-Inputs!$D$17)/(Inputs!$F$17-Inputs!$D$17),Inputs!$D$17+SQRT(H1717*(Inputs!$F$17-Inputs!$D$17)*(Inputs!$E$17-Inputs!$D$17)),Inputs!$F$17-SQRT((1-H1717)*(Inputs!$F$17-Inputs!$D$17)*(Inputs!$F$17-Inputs!$E$17))),0)</f>
        <v>106</v>
      </c>
      <c r="J1717" s="81" t="n">
        <f aca="true">RAND()</f>
        <v>0.600366723074131</v>
      </c>
      <c r="K1717" s="83" t="n">
        <f aca="false">IF(J1717&lt;(Inputs!$E$18-Inputs!$D$18)/(Inputs!$F$18-Inputs!$D$18),Inputs!$D$18+SQRT(J1717*(Inputs!$F$18-Inputs!$D$18)*(Inputs!$E$18-Inputs!$D$18)),Inputs!$F$18-SQRT((1-J1717)*(Inputs!$F$18-Inputs!$D$18)*(Inputs!$F$18-Inputs!$E$18)))</f>
        <v>1.06300290983276</v>
      </c>
      <c r="L1717" s="81" t="n">
        <f aca="true">RAND()</f>
        <v>0.68266393109921</v>
      </c>
      <c r="M1717" s="83" t="n">
        <f aca="false">IF(L1717&lt;(Inputs!$E$24-Inputs!$D$24)/(Inputs!$F$24-Inputs!$D$24),Inputs!$D$24+SQRT(L1717*(Inputs!$F$24-Inputs!$D$24)*(Inputs!$E$24-Inputs!$D$24)),Inputs!$F$24-SQRT((1-L1717)*(Inputs!$F$24-Inputs!$D$24)*(Inputs!$F$24-Inputs!$E$24)))</f>
        <v>0.924027797529915</v>
      </c>
      <c r="N1717" s="81" t="n">
        <f aca="true">RAND()</f>
        <v>0.347023532690016</v>
      </c>
      <c r="O1717" s="83" t="n">
        <f aca="false">IF(N1717&lt;(Inputs!$E$26-Inputs!$D$26)/(Inputs!$F$26-Inputs!$D$26),Inputs!$D$26+SQRT(N1717*(Inputs!$F$26-Inputs!$D$26)*(Inputs!$E$26-Inputs!$D$26)),Inputs!$F$26-SQRT((1-N1717)*(Inputs!$F$26-Inputs!$D$26)*(Inputs!$F$26-Inputs!$E$26)))</f>
        <v>0.540301302201255</v>
      </c>
      <c r="P1717" s="81" t="n">
        <f aca="true">RAND()</f>
        <v>0.508733215454023</v>
      </c>
      <c r="Q1717" s="82" t="n">
        <f aca="false">IF(P1717&lt;(Inputs!$E$27-Inputs!$D$27)/(Inputs!$F$27-Inputs!$D$27),Inputs!$D$27+SQRT(P1717*(Inputs!$F$27-Inputs!$D$27)*(Inputs!$E$27-Inputs!$D$27)),Inputs!$F$27-SQRT((1-P1717)*(Inputs!$F$27-Inputs!$D$27)*(Inputs!$F$27-Inputs!$E$27)))</f>
        <v>89.2999103452489</v>
      </c>
      <c r="R1717" s="81" t="n">
        <f aca="true">RAND()</f>
        <v>0.365396482087104</v>
      </c>
      <c r="S1717" s="82" t="n">
        <f aca="false">IF(R1717&lt;(Inputs!$E$29-Inputs!$D$29)/(Inputs!$F$29-Inputs!$D$29),Inputs!$D$29+SQRT(R1717*(Inputs!$F$29-Inputs!$D$29)*(Inputs!$E$29-Inputs!$D$29)),Inputs!$F$29-SQRT((1-R1717)*(Inputs!$F$29-Inputs!$D$29)*(Inputs!$F$29-Inputs!$E$29)))</f>
        <v>5.91713385936595</v>
      </c>
      <c r="T1717" s="68" t="n">
        <f aca="false">Inputs!$E$9*(1+E1717)+Inputs!$E$5*C1717*(Inputs!$E$11*Inputs!$E$14*(G1717*I1717/Inputs!$E$16+(1-G1717))*K1717+Inputs!$E$23*M1717)*(1+O1717)+Inputs!$E$5*(Q1717+S1717)</f>
        <v>6103.75823359324</v>
      </c>
    </row>
    <row r="1718" customFormat="false" ht="15" hidden="false" customHeight="false" outlineLevel="0" collapsed="false">
      <c r="A1718" s="1" t="n">
        <v>1714</v>
      </c>
      <c r="B1718" s="81" t="n">
        <f aca="true">RAND()</f>
        <v>0.92955725037448</v>
      </c>
      <c r="C1718" s="82" t="n">
        <f aca="false">ROUND(IF(B1718&lt;(Inputs!$E$8-Inputs!$D$8)/(Inputs!$F$8-Inputs!$D$8),Inputs!$D$8+SQRT(B1718*(Inputs!$F$8-Inputs!$D$8)*(Inputs!$E$8-Inputs!$D$8)),Inputs!$F$8-SQRT((1-B1718)*(Inputs!$F$8-Inputs!$D$8)*(Inputs!$F$8-Inputs!$E$8))),0)</f>
        <v>28</v>
      </c>
      <c r="D1718" s="81" t="n">
        <f aca="true">RAND()</f>
        <v>0.450421068234555</v>
      </c>
      <c r="E1718" s="83" t="n">
        <f aca="false">IF(D1718&lt;(Inputs!$E$10-Inputs!$D$10)/(Inputs!$F$10-Inputs!$D$10),Inputs!$D$10+SQRT(D1718*(Inputs!$F$10-Inputs!$D$10)*(Inputs!$E$10-Inputs!$D$10)),Inputs!$F$10-SQRT((1-D1718)*(Inputs!$F$10-Inputs!$D$10)*(Inputs!$F$10-Inputs!$E$10)))</f>
        <v>0.0715968538042648</v>
      </c>
      <c r="F1718" s="81" t="n">
        <f aca="true">RAND()</f>
        <v>0.525788144364501</v>
      </c>
      <c r="G1718" s="83" t="n">
        <f aca="false">IF(F1718&lt;(Inputs!$E$15-Inputs!$D$15)/(Inputs!$F$15-Inputs!$D$15),Inputs!$D$15+SQRT(F1718*(Inputs!$F$15-Inputs!$D$15)*(Inputs!$E$15-Inputs!$D$15)),Inputs!$F$15-SQRT((1-F1718)*(Inputs!$F$15-Inputs!$D$15)*(Inputs!$F$15-Inputs!$E$15)))</f>
        <v>0.702612952027952</v>
      </c>
      <c r="H1718" s="81" t="n">
        <f aca="true">RAND()</f>
        <v>0.621900344730034</v>
      </c>
      <c r="I1718" s="82" t="n">
        <f aca="false">ROUND(IF(H1718&lt;(Inputs!$E$17-Inputs!$D$17)/(Inputs!$F$17-Inputs!$D$17),Inputs!$D$17+SQRT(H1718*(Inputs!$F$17-Inputs!$D$17)*(Inputs!$E$17-Inputs!$D$17)),Inputs!$F$17-SQRT((1-H1718)*(Inputs!$F$17-Inputs!$D$17)*(Inputs!$F$17-Inputs!$E$17))),0)</f>
        <v>107</v>
      </c>
      <c r="J1718" s="81" t="n">
        <f aca="true">RAND()</f>
        <v>0.28240839862549</v>
      </c>
      <c r="K1718" s="83" t="n">
        <f aca="false">IF(J1718&lt;(Inputs!$E$18-Inputs!$D$18)/(Inputs!$F$18-Inputs!$D$18),Inputs!$D$18+SQRT(J1718*(Inputs!$F$18-Inputs!$D$18)*(Inputs!$E$18-Inputs!$D$18)),Inputs!$F$18-SQRT((1-J1718)*(Inputs!$F$18-Inputs!$D$18)*(Inputs!$F$18-Inputs!$E$18)))</f>
        <v>0.999419786521055</v>
      </c>
      <c r="L1718" s="81" t="n">
        <f aca="true">RAND()</f>
        <v>0.264098305740302</v>
      </c>
      <c r="M1718" s="83" t="n">
        <f aca="false">IF(L1718&lt;(Inputs!$E$24-Inputs!$D$24)/(Inputs!$F$24-Inputs!$D$24),Inputs!$D$24+SQRT(L1718*(Inputs!$F$24-Inputs!$D$24)*(Inputs!$E$24-Inputs!$D$24)),Inputs!$F$24-SQRT((1-L1718)*(Inputs!$F$24-Inputs!$D$24)*(Inputs!$F$24-Inputs!$E$24)))</f>
        <v>0.778021899464185</v>
      </c>
      <c r="N1718" s="81" t="n">
        <f aca="true">RAND()</f>
        <v>0.584914646541815</v>
      </c>
      <c r="O1718" s="83" t="n">
        <f aca="false">IF(N1718&lt;(Inputs!$E$26-Inputs!$D$26)/(Inputs!$F$26-Inputs!$D$26),Inputs!$D$26+SQRT(N1718*(Inputs!$F$26-Inputs!$D$26)*(Inputs!$E$26-Inputs!$D$26)),Inputs!$F$26-SQRT((1-N1718)*(Inputs!$F$26-Inputs!$D$26)*(Inputs!$F$26-Inputs!$E$26)))</f>
        <v>0.611977238247533</v>
      </c>
      <c r="P1718" s="81" t="n">
        <f aca="true">RAND()</f>
        <v>0.0761293380011759</v>
      </c>
      <c r="Q1718" s="82" t="n">
        <f aca="false">IF(P1718&lt;(Inputs!$E$27-Inputs!$D$27)/(Inputs!$F$27-Inputs!$D$27),Inputs!$D$27+SQRT(P1718*(Inputs!$F$27-Inputs!$D$27)*(Inputs!$E$27-Inputs!$D$27)),Inputs!$F$27-SQRT((1-P1718)*(Inputs!$F$27-Inputs!$D$27)*(Inputs!$F$27-Inputs!$E$27)))</f>
        <v>63.7957727222124</v>
      </c>
      <c r="R1718" s="81" t="n">
        <f aca="true">RAND()</f>
        <v>0.0521120439727104</v>
      </c>
      <c r="S1718" s="82" t="n">
        <f aca="false">IF(R1718&lt;(Inputs!$E$29-Inputs!$D$29)/(Inputs!$F$29-Inputs!$D$29),Inputs!$D$29+SQRT(R1718*(Inputs!$F$29-Inputs!$D$29)*(Inputs!$E$29-Inputs!$D$29)),Inputs!$F$29-SQRT((1-R1718)*(Inputs!$F$29-Inputs!$D$29)*(Inputs!$F$29-Inputs!$E$29)))</f>
        <v>3.4256120492391</v>
      </c>
      <c r="T1718" s="68" t="n">
        <f aca="false">Inputs!$E$9*(1+E1718)+Inputs!$E$5*C1718*(Inputs!$E$11*Inputs!$E$14*(G1718*I1718/Inputs!$E$16+(1-G1718))*K1718+Inputs!$E$23*M1718)*(1+O1718)+Inputs!$E$5*(Q1718+S1718)</f>
        <v>6390.41950546337</v>
      </c>
    </row>
    <row r="1719" customFormat="false" ht="15" hidden="false" customHeight="false" outlineLevel="0" collapsed="false">
      <c r="A1719" s="1" t="n">
        <v>1715</v>
      </c>
      <c r="B1719" s="81" t="n">
        <f aca="true">RAND()</f>
        <v>0.0847824577901175</v>
      </c>
      <c r="C1719" s="82" t="n">
        <f aca="false">ROUND(IF(B1719&lt;(Inputs!$E$8-Inputs!$D$8)/(Inputs!$F$8-Inputs!$D$8),Inputs!$D$8+SQRT(B1719*(Inputs!$F$8-Inputs!$D$8)*(Inputs!$E$8-Inputs!$D$8)),Inputs!$F$8-SQRT((1-B1719)*(Inputs!$F$8-Inputs!$D$8)*(Inputs!$F$8-Inputs!$E$8))),0)</f>
        <v>22</v>
      </c>
      <c r="D1719" s="81" t="n">
        <f aca="true">RAND()</f>
        <v>0.540236647914009</v>
      </c>
      <c r="E1719" s="83" t="n">
        <f aca="false">IF(D1719&lt;(Inputs!$E$10-Inputs!$D$10)/(Inputs!$F$10-Inputs!$D$10),Inputs!$D$10+SQRT(D1719*(Inputs!$F$10-Inputs!$D$10)*(Inputs!$E$10-Inputs!$D$10)),Inputs!$F$10-SQRT((1-D1719)*(Inputs!$F$10-Inputs!$D$10)*(Inputs!$F$10-Inputs!$E$10)))</f>
        <v>0.0825568198549625</v>
      </c>
      <c r="F1719" s="81" t="n">
        <f aca="true">RAND()</f>
        <v>0.683474384084494</v>
      </c>
      <c r="G1719" s="83" t="n">
        <f aca="false">IF(F1719&lt;(Inputs!$E$15-Inputs!$D$15)/(Inputs!$F$15-Inputs!$D$15),Inputs!$D$15+SQRT(F1719*(Inputs!$F$15-Inputs!$D$15)*(Inputs!$E$15-Inputs!$D$15)),Inputs!$F$15-SQRT((1-F1719)*(Inputs!$F$15-Inputs!$D$15)*(Inputs!$F$15-Inputs!$E$15)))</f>
        <v>0.720435483296195</v>
      </c>
      <c r="H1719" s="81" t="n">
        <f aca="true">RAND()</f>
        <v>0.189248288887228</v>
      </c>
      <c r="I1719" s="82" t="n">
        <f aca="false">ROUND(IF(H1719&lt;(Inputs!$E$17-Inputs!$D$17)/(Inputs!$F$17-Inputs!$D$17),Inputs!$D$17+SQRT(H1719*(Inputs!$F$17-Inputs!$D$17)*(Inputs!$E$17-Inputs!$D$17)),Inputs!$F$17-SQRT((1-H1719)*(Inputs!$F$17-Inputs!$D$17)*(Inputs!$F$17-Inputs!$E$17))),0)</f>
        <v>104</v>
      </c>
      <c r="J1719" s="81" t="n">
        <f aca="true">RAND()</f>
        <v>0.0339864574316803</v>
      </c>
      <c r="K1719" s="83" t="n">
        <f aca="false">IF(J1719&lt;(Inputs!$E$18-Inputs!$D$18)/(Inputs!$F$18-Inputs!$D$18),Inputs!$D$18+SQRT(J1719*(Inputs!$F$18-Inputs!$D$18)*(Inputs!$E$18-Inputs!$D$18)),Inputs!$F$18-SQRT((1-J1719)*(Inputs!$F$18-Inputs!$D$18)*(Inputs!$F$18-Inputs!$E$18)))</f>
        <v>0.934489505796819</v>
      </c>
      <c r="L1719" s="81" t="n">
        <f aca="true">RAND()</f>
        <v>0.96414807866287</v>
      </c>
      <c r="M1719" s="83" t="n">
        <f aca="false">IF(L1719&lt;(Inputs!$E$24-Inputs!$D$24)/(Inputs!$F$24-Inputs!$D$24),Inputs!$D$24+SQRT(L1719*(Inputs!$F$24-Inputs!$D$24)*(Inputs!$E$24-Inputs!$D$24)),Inputs!$F$24-SQRT((1-L1719)*(Inputs!$F$24-Inputs!$D$24)*(Inputs!$F$24-Inputs!$E$24)))</f>
        <v>1.10723976541151</v>
      </c>
      <c r="N1719" s="81" t="n">
        <f aca="true">RAND()</f>
        <v>0.405443170258866</v>
      </c>
      <c r="O1719" s="83" t="n">
        <f aca="false">IF(N1719&lt;(Inputs!$E$26-Inputs!$D$26)/(Inputs!$F$26-Inputs!$D$26),Inputs!$D$26+SQRT(N1719*(Inputs!$F$26-Inputs!$D$26)*(Inputs!$E$26-Inputs!$D$26)),Inputs!$F$26-SQRT((1-N1719)*(Inputs!$F$26-Inputs!$D$26)*(Inputs!$F$26-Inputs!$E$26)))</f>
        <v>0.559741686163533</v>
      </c>
      <c r="P1719" s="81" t="n">
        <f aca="true">RAND()</f>
        <v>0.600808153423227</v>
      </c>
      <c r="Q1719" s="82" t="n">
        <f aca="false">IF(P1719&lt;(Inputs!$E$27-Inputs!$D$27)/(Inputs!$F$27-Inputs!$D$27),Inputs!$D$27+SQRT(P1719*(Inputs!$F$27-Inputs!$D$27)*(Inputs!$E$27-Inputs!$D$27)),Inputs!$F$27-SQRT((1-P1719)*(Inputs!$F$27-Inputs!$D$27)*(Inputs!$F$27-Inputs!$E$27)))</f>
        <v>95.2831027074287</v>
      </c>
      <c r="R1719" s="81" t="n">
        <f aca="true">RAND()</f>
        <v>0.0449729850553866</v>
      </c>
      <c r="S1719" s="82" t="n">
        <f aca="false">IF(R1719&lt;(Inputs!$E$29-Inputs!$D$29)/(Inputs!$F$29-Inputs!$D$29),Inputs!$D$29+SQRT(R1719*(Inputs!$F$29-Inputs!$D$29)*(Inputs!$E$29-Inputs!$D$29)),Inputs!$F$29-SQRT((1-R1719)*(Inputs!$F$29-Inputs!$D$29)*(Inputs!$F$29-Inputs!$E$29)))</f>
        <v>3.32436642103312</v>
      </c>
      <c r="T1719" s="68" t="n">
        <f aca="false">Inputs!$E$9*(1+E1719)+Inputs!$E$5*C1719*(Inputs!$E$11*Inputs!$E$14*(G1719*I1719/Inputs!$E$16+(1-G1719))*K1719+Inputs!$E$23*M1719)*(1+O1719)+Inputs!$E$5*(Q1719+S1719)</f>
        <v>5919.75441703322</v>
      </c>
    </row>
    <row r="1720" customFormat="false" ht="15" hidden="false" customHeight="false" outlineLevel="0" collapsed="false">
      <c r="A1720" s="1" t="n">
        <v>1716</v>
      </c>
      <c r="B1720" s="81" t="n">
        <f aca="true">RAND()</f>
        <v>0.987657603452079</v>
      </c>
      <c r="C1720" s="82" t="n">
        <f aca="false">ROUND(IF(B1720&lt;(Inputs!$E$8-Inputs!$D$8)/(Inputs!$F$8-Inputs!$D$8),Inputs!$D$8+SQRT(B1720*(Inputs!$F$8-Inputs!$D$8)*(Inputs!$E$8-Inputs!$D$8)),Inputs!$F$8-SQRT((1-B1720)*(Inputs!$F$8-Inputs!$D$8)*(Inputs!$F$8-Inputs!$E$8))),0)</f>
        <v>29</v>
      </c>
      <c r="D1720" s="81" t="n">
        <f aca="true">RAND()</f>
        <v>0.315098074323645</v>
      </c>
      <c r="E1720" s="83" t="n">
        <f aca="false">IF(D1720&lt;(Inputs!$E$10-Inputs!$D$10)/(Inputs!$F$10-Inputs!$D$10),Inputs!$D$10+SQRT(D1720*(Inputs!$F$10-Inputs!$D$10)*(Inputs!$E$10-Inputs!$D$10)),Inputs!$F$10-SQRT((1-D1720)*(Inputs!$F$10-Inputs!$D$10)*(Inputs!$F$10-Inputs!$E$10)))</f>
        <v>0.0566575507036012</v>
      </c>
      <c r="F1720" s="81" t="n">
        <f aca="true">RAND()</f>
        <v>0.960723734434521</v>
      </c>
      <c r="G1720" s="83" t="n">
        <f aca="false">IF(F1720&lt;(Inputs!$E$15-Inputs!$D$15)/(Inputs!$F$15-Inputs!$D$15),Inputs!$D$15+SQRT(F1720*(Inputs!$F$15-Inputs!$D$15)*(Inputs!$E$15-Inputs!$D$15)),Inputs!$F$15-SQRT((1-F1720)*(Inputs!$F$15-Inputs!$D$15)*(Inputs!$F$15-Inputs!$E$15)))</f>
        <v>0.77197277553325</v>
      </c>
      <c r="H1720" s="81" t="n">
        <f aca="true">RAND()</f>
        <v>0.516632366190646</v>
      </c>
      <c r="I1720" s="82" t="n">
        <f aca="false">ROUND(IF(H1720&lt;(Inputs!$E$17-Inputs!$D$17)/(Inputs!$F$17-Inputs!$D$17),Inputs!$D$17+SQRT(H1720*(Inputs!$F$17-Inputs!$D$17)*(Inputs!$E$17-Inputs!$D$17)),Inputs!$F$17-SQRT((1-H1720)*(Inputs!$F$17-Inputs!$D$17)*(Inputs!$F$17-Inputs!$E$17))),0)</f>
        <v>106</v>
      </c>
      <c r="J1720" s="81" t="n">
        <f aca="true">RAND()</f>
        <v>0.236092977712447</v>
      </c>
      <c r="K1720" s="83" t="n">
        <f aca="false">IF(J1720&lt;(Inputs!$E$18-Inputs!$D$18)/(Inputs!$F$18-Inputs!$D$18),Inputs!$D$18+SQRT(J1720*(Inputs!$F$18-Inputs!$D$18)*(Inputs!$E$18-Inputs!$D$18)),Inputs!$F$18-SQRT((1-J1720)*(Inputs!$F$18-Inputs!$D$18)*(Inputs!$F$18-Inputs!$E$18)))</f>
        <v>0.990902443421152</v>
      </c>
      <c r="L1720" s="81" t="n">
        <f aca="true">RAND()</f>
        <v>0.843293214705672</v>
      </c>
      <c r="M1720" s="83" t="n">
        <f aca="false">IF(L1720&lt;(Inputs!$E$24-Inputs!$D$24)/(Inputs!$F$24-Inputs!$D$24),Inputs!$D$24+SQRT(L1720*(Inputs!$F$24-Inputs!$D$24)*(Inputs!$E$24-Inputs!$D$24)),Inputs!$F$24-SQRT((1-L1720)*(Inputs!$F$24-Inputs!$D$24)*(Inputs!$F$24-Inputs!$E$24)))</f>
        <v>1.00606797976961</v>
      </c>
      <c r="N1720" s="81" t="n">
        <f aca="true">RAND()</f>
        <v>0.89832528359622</v>
      </c>
      <c r="O1720" s="83" t="n">
        <f aca="false">IF(N1720&lt;(Inputs!$E$26-Inputs!$D$26)/(Inputs!$F$26-Inputs!$D$26),Inputs!$D$26+SQRT(N1720*(Inputs!$F$26-Inputs!$D$26)*(Inputs!$E$26-Inputs!$D$26)),Inputs!$F$26-SQRT((1-N1720)*(Inputs!$F$26-Inputs!$D$26)*(Inputs!$F$26-Inputs!$E$26)))</f>
        <v>0.717169214210952</v>
      </c>
      <c r="P1720" s="81" t="n">
        <f aca="true">RAND()</f>
        <v>0.703121958658358</v>
      </c>
      <c r="Q1720" s="82" t="n">
        <f aca="false">IF(P1720&lt;(Inputs!$E$27-Inputs!$D$27)/(Inputs!$F$27-Inputs!$D$27),Inputs!$D$27+SQRT(P1720*(Inputs!$F$27-Inputs!$D$27)*(Inputs!$E$27-Inputs!$D$27)),Inputs!$F$27-SQRT((1-P1720)*(Inputs!$F$27-Inputs!$D$27)*(Inputs!$F$27-Inputs!$E$27)))</f>
        <v>102.813293078852</v>
      </c>
      <c r="R1720" s="81" t="n">
        <f aca="true">RAND()</f>
        <v>0.236599757180492</v>
      </c>
      <c r="S1720" s="82" t="n">
        <f aca="false">IF(R1720&lt;(Inputs!$E$29-Inputs!$D$29)/(Inputs!$F$29-Inputs!$D$29),Inputs!$D$29+SQRT(R1720*(Inputs!$F$29-Inputs!$D$29)*(Inputs!$E$29-Inputs!$D$29)),Inputs!$F$29-SQRT((1-R1720)*(Inputs!$F$29-Inputs!$D$29)*(Inputs!$F$29-Inputs!$E$29)))</f>
        <v>5.03797050965337</v>
      </c>
      <c r="T1720" s="68" t="n">
        <f aca="false">Inputs!$E$9*(1+E1720)+Inputs!$E$5*C1720*(Inputs!$E$11*Inputs!$E$14*(G1720*I1720/Inputs!$E$16+(1-G1720))*K1720+Inputs!$E$23*M1720)*(1+O1720)+Inputs!$E$5*(Q1720+S1720)</f>
        <v>7197.4771093778</v>
      </c>
    </row>
    <row r="1721" customFormat="false" ht="15" hidden="false" customHeight="false" outlineLevel="0" collapsed="false">
      <c r="A1721" s="1" t="n">
        <v>1717</v>
      </c>
      <c r="B1721" s="81" t="n">
        <f aca="true">RAND()</f>
        <v>0.10821009416718</v>
      </c>
      <c r="C1721" s="82" t="n">
        <f aca="false">ROUND(IF(B1721&lt;(Inputs!$E$8-Inputs!$D$8)/(Inputs!$F$8-Inputs!$D$8),Inputs!$D$8+SQRT(B1721*(Inputs!$F$8-Inputs!$D$8)*(Inputs!$E$8-Inputs!$D$8)),Inputs!$F$8-SQRT((1-B1721)*(Inputs!$F$8-Inputs!$D$8)*(Inputs!$F$8-Inputs!$E$8))),0)</f>
        <v>22</v>
      </c>
      <c r="D1721" s="81" t="n">
        <f aca="true">RAND()</f>
        <v>0.0920599011681362</v>
      </c>
      <c r="E1721" s="83" t="n">
        <f aca="false">IF(D1721&lt;(Inputs!$E$10-Inputs!$D$10)/(Inputs!$F$10-Inputs!$D$10),Inputs!$D$10+SQRT(D1721*(Inputs!$F$10-Inputs!$D$10)*(Inputs!$E$10-Inputs!$D$10)),Inputs!$F$10-SQRT((1-D1721)*(Inputs!$F$10-Inputs!$D$10)*(Inputs!$F$10-Inputs!$E$10)))</f>
        <v>0.0303413745845728</v>
      </c>
      <c r="F1721" s="81" t="n">
        <f aca="true">RAND()</f>
        <v>0.320676801071808</v>
      </c>
      <c r="G1721" s="83" t="n">
        <f aca="false">IF(F1721&lt;(Inputs!$E$15-Inputs!$D$15)/(Inputs!$F$15-Inputs!$D$15),Inputs!$D$15+SQRT(F1721*(Inputs!$F$15-Inputs!$D$15)*(Inputs!$E$15-Inputs!$D$15)),Inputs!$F$15-SQRT((1-F1721)*(Inputs!$F$15-Inputs!$D$15)*(Inputs!$F$15-Inputs!$E$15)))</f>
        <v>0.680084555448826</v>
      </c>
      <c r="H1721" s="81" t="n">
        <f aca="true">RAND()</f>
        <v>0.850243466760562</v>
      </c>
      <c r="I1721" s="82" t="n">
        <f aca="false">ROUND(IF(H1721&lt;(Inputs!$E$17-Inputs!$D$17)/(Inputs!$F$17-Inputs!$D$17),Inputs!$D$17+SQRT(H1721*(Inputs!$F$17-Inputs!$D$17)*(Inputs!$E$17-Inputs!$D$17)),Inputs!$F$17-SQRT((1-H1721)*(Inputs!$F$17-Inputs!$D$17)*(Inputs!$F$17-Inputs!$E$17))),0)</f>
        <v>110</v>
      </c>
      <c r="J1721" s="81" t="n">
        <f aca="true">RAND()</f>
        <v>0.96841826126691</v>
      </c>
      <c r="K1721" s="83" t="n">
        <f aca="false">IF(J1721&lt;(Inputs!$E$18-Inputs!$D$18)/(Inputs!$F$18-Inputs!$D$18),Inputs!$D$18+SQRT(J1721*(Inputs!$F$18-Inputs!$D$18)*(Inputs!$E$18-Inputs!$D$18)),Inputs!$F$18-SQRT((1-J1721)*(Inputs!$F$18-Inputs!$D$18)*(Inputs!$F$18-Inputs!$E$18)))</f>
        <v>1.19743192851982</v>
      </c>
      <c r="L1721" s="81" t="n">
        <f aca="true">RAND()</f>
        <v>0.436008073208503</v>
      </c>
      <c r="M1721" s="83" t="n">
        <f aca="false">IF(L1721&lt;(Inputs!$E$24-Inputs!$D$24)/(Inputs!$F$24-Inputs!$D$24),Inputs!$D$24+SQRT(L1721*(Inputs!$F$24-Inputs!$D$24)*(Inputs!$E$24-Inputs!$D$24)),Inputs!$F$24-SQRT((1-L1721)*(Inputs!$F$24-Inputs!$D$24)*(Inputs!$F$24-Inputs!$E$24)))</f>
        <v>0.832089599997555</v>
      </c>
      <c r="N1721" s="81" t="n">
        <f aca="true">RAND()</f>
        <v>0.953897803504914</v>
      </c>
      <c r="O1721" s="83" t="n">
        <f aca="false">IF(N1721&lt;(Inputs!$E$26-Inputs!$D$26)/(Inputs!$F$26-Inputs!$D$26),Inputs!$D$26+SQRT(N1721*(Inputs!$F$26-Inputs!$D$26)*(Inputs!$E$26-Inputs!$D$26)),Inputs!$F$26-SQRT((1-N1721)*(Inputs!$F$26-Inputs!$D$26)*(Inputs!$F$26-Inputs!$E$26)))</f>
        <v>0.750756744476527</v>
      </c>
      <c r="P1721" s="81" t="n">
        <f aca="true">RAND()</f>
        <v>0.784007104972462</v>
      </c>
      <c r="Q1721" s="82" t="n">
        <f aca="false">IF(P1721&lt;(Inputs!$E$27-Inputs!$D$27)/(Inputs!$F$27-Inputs!$D$27),Inputs!$D$27+SQRT(P1721*(Inputs!$F$27-Inputs!$D$27)*(Inputs!$E$27-Inputs!$D$27)),Inputs!$F$27-SQRT((1-P1721)*(Inputs!$F$27-Inputs!$D$27)*(Inputs!$F$27-Inputs!$E$27)))</f>
        <v>109.751438377173</v>
      </c>
      <c r="R1721" s="81" t="n">
        <f aca="true">RAND()</f>
        <v>0.439637007952009</v>
      </c>
      <c r="S1721" s="82" t="n">
        <f aca="false">IF(R1721&lt;(Inputs!$E$29-Inputs!$D$29)/(Inputs!$F$29-Inputs!$D$29),Inputs!$D$29+SQRT(R1721*(Inputs!$F$29-Inputs!$D$29)*(Inputs!$E$29-Inputs!$D$29)),Inputs!$F$29-SQRT((1-R1721)*(Inputs!$F$29-Inputs!$D$29)*(Inputs!$F$29-Inputs!$E$29)))</f>
        <v>6.46494352881958</v>
      </c>
      <c r="T1721" s="68" t="n">
        <f aca="false">Inputs!$E$9*(1+E1721)+Inputs!$E$5*C1721*(Inputs!$E$11*Inputs!$E$14*(G1721*I1721/Inputs!$E$16+(1-G1721))*K1721+Inputs!$E$23*M1721)*(1+O1721)+Inputs!$E$5*(Q1721+S1721)</f>
        <v>6563.04149038362</v>
      </c>
    </row>
    <row r="1722" customFormat="false" ht="15" hidden="false" customHeight="false" outlineLevel="0" collapsed="false">
      <c r="A1722" s="1" t="n">
        <v>1718</v>
      </c>
      <c r="B1722" s="81" t="n">
        <f aca="true">RAND()</f>
        <v>0.284665356651197</v>
      </c>
      <c r="C1722" s="82" t="n">
        <f aca="false">ROUND(IF(B1722&lt;(Inputs!$E$8-Inputs!$D$8)/(Inputs!$F$8-Inputs!$D$8),Inputs!$D$8+SQRT(B1722*(Inputs!$F$8-Inputs!$D$8)*(Inputs!$E$8-Inputs!$D$8)),Inputs!$F$8-SQRT((1-B1722)*(Inputs!$F$8-Inputs!$D$8)*(Inputs!$F$8-Inputs!$E$8))),0)</f>
        <v>24</v>
      </c>
      <c r="D1722" s="81" t="n">
        <f aca="true">RAND()</f>
        <v>0.329759616280781</v>
      </c>
      <c r="E1722" s="83" t="n">
        <f aca="false">IF(D1722&lt;(Inputs!$E$10-Inputs!$D$10)/(Inputs!$F$10-Inputs!$D$10),Inputs!$D$10+SQRT(D1722*(Inputs!$F$10-Inputs!$D$10)*(Inputs!$E$10-Inputs!$D$10)),Inputs!$F$10-SQRT((1-D1722)*(Inputs!$F$10-Inputs!$D$10)*(Inputs!$F$10-Inputs!$E$10)))</f>
        <v>0.0582001004528685</v>
      </c>
      <c r="F1722" s="81" t="n">
        <f aca="true">RAND()</f>
        <v>0.828447785673753</v>
      </c>
      <c r="G1722" s="83" t="n">
        <f aca="false">IF(F1722&lt;(Inputs!$E$15-Inputs!$D$15)/(Inputs!$F$15-Inputs!$D$15),Inputs!$D$15+SQRT(F1722*(Inputs!$F$15-Inputs!$D$15)*(Inputs!$E$15-Inputs!$D$15)),Inputs!$F$15-SQRT((1-F1722)*(Inputs!$F$15-Inputs!$D$15)*(Inputs!$F$15-Inputs!$E$15)))</f>
        <v>0.741424883384453</v>
      </c>
      <c r="H1722" s="81" t="n">
        <f aca="true">RAND()</f>
        <v>0.304180970999815</v>
      </c>
      <c r="I1722" s="82" t="n">
        <f aca="false">ROUND(IF(H1722&lt;(Inputs!$E$17-Inputs!$D$17)/(Inputs!$F$17-Inputs!$D$17),Inputs!$D$17+SQRT(H1722*(Inputs!$F$17-Inputs!$D$17)*(Inputs!$E$17-Inputs!$D$17)),Inputs!$F$17-SQRT((1-H1722)*(Inputs!$F$17-Inputs!$D$17)*(Inputs!$F$17-Inputs!$E$17))),0)</f>
        <v>105</v>
      </c>
      <c r="J1722" s="81" t="n">
        <f aca="true">RAND()</f>
        <v>0.279056593856816</v>
      </c>
      <c r="K1722" s="83" t="n">
        <f aca="false">IF(J1722&lt;(Inputs!$E$18-Inputs!$D$18)/(Inputs!$F$18-Inputs!$D$18),Inputs!$D$18+SQRT(J1722*(Inputs!$F$18-Inputs!$D$18)*(Inputs!$E$18-Inputs!$D$18)),Inputs!$F$18-SQRT((1-J1722)*(Inputs!$F$18-Inputs!$D$18)*(Inputs!$F$18-Inputs!$E$18)))</f>
        <v>0.998828036431918</v>
      </c>
      <c r="L1722" s="81" t="n">
        <f aca="true">RAND()</f>
        <v>0.367509455293875</v>
      </c>
      <c r="M1722" s="83" t="n">
        <f aca="false">IF(L1722&lt;(Inputs!$E$24-Inputs!$D$24)/(Inputs!$F$24-Inputs!$D$24),Inputs!$D$24+SQRT(L1722*(Inputs!$F$24-Inputs!$D$24)*(Inputs!$E$24-Inputs!$D$24)),Inputs!$F$24-SQRT((1-L1722)*(Inputs!$F$24-Inputs!$D$24)*(Inputs!$F$24-Inputs!$E$24)))</f>
        <v>0.810387717429917</v>
      </c>
      <c r="N1722" s="81" t="n">
        <f aca="true">RAND()</f>
        <v>0.373902880928654</v>
      </c>
      <c r="O1722" s="83" t="n">
        <f aca="false">IF(N1722&lt;(Inputs!$E$26-Inputs!$D$26)/(Inputs!$F$26-Inputs!$D$26),Inputs!$D$26+SQRT(N1722*(Inputs!$F$26-Inputs!$D$26)*(Inputs!$E$26-Inputs!$D$26)),Inputs!$F$26-SQRT((1-N1722)*(Inputs!$F$26-Inputs!$D$26)*(Inputs!$F$26-Inputs!$E$26)))</f>
        <v>0.549434238601135</v>
      </c>
      <c r="P1722" s="81" t="n">
        <f aca="true">RAND()</f>
        <v>0.657298972127959</v>
      </c>
      <c r="Q1722" s="82" t="n">
        <f aca="false">IF(P1722&lt;(Inputs!$E$27-Inputs!$D$27)/(Inputs!$F$27-Inputs!$D$27),Inputs!$D$27+SQRT(P1722*(Inputs!$F$27-Inputs!$D$27)*(Inputs!$E$27-Inputs!$D$27)),Inputs!$F$27-SQRT((1-P1722)*(Inputs!$F$27-Inputs!$D$27)*(Inputs!$F$27-Inputs!$E$27)))</f>
        <v>99.3022908896239</v>
      </c>
      <c r="R1722" s="81" t="n">
        <f aca="true">RAND()</f>
        <v>0.677661862696495</v>
      </c>
      <c r="S1722" s="82" t="n">
        <f aca="false">IF(R1722&lt;(Inputs!$E$29-Inputs!$D$29)/(Inputs!$F$29-Inputs!$D$29),Inputs!$D$29+SQRT(R1722*(Inputs!$F$29-Inputs!$D$29)*(Inputs!$E$29-Inputs!$D$29)),Inputs!$F$29-SQRT((1-R1722)*(Inputs!$F$29-Inputs!$D$29)*(Inputs!$F$29-Inputs!$E$29)))</f>
        <v>8.52667335526349</v>
      </c>
      <c r="T1722" s="68" t="n">
        <f aca="false">Inputs!$E$9*(1+E1722)+Inputs!$E$5*C1722*(Inputs!$E$11*Inputs!$E$14*(G1722*I1722/Inputs!$E$16+(1-G1722))*K1722+Inputs!$E$23*M1722)*(1+O1722)+Inputs!$E$5*(Q1722+S1722)</f>
        <v>5884.90895651023</v>
      </c>
    </row>
    <row r="1723" customFormat="false" ht="15" hidden="false" customHeight="false" outlineLevel="0" collapsed="false">
      <c r="A1723" s="1" t="n">
        <v>1719</v>
      </c>
      <c r="B1723" s="81" t="n">
        <f aca="true">RAND()</f>
        <v>0.282823987944132</v>
      </c>
      <c r="C1723" s="82" t="n">
        <f aca="false">ROUND(IF(B1723&lt;(Inputs!$E$8-Inputs!$D$8)/(Inputs!$F$8-Inputs!$D$8),Inputs!$D$8+SQRT(B1723*(Inputs!$F$8-Inputs!$D$8)*(Inputs!$E$8-Inputs!$D$8)),Inputs!$F$8-SQRT((1-B1723)*(Inputs!$F$8-Inputs!$D$8)*(Inputs!$F$8-Inputs!$E$8))),0)</f>
        <v>24</v>
      </c>
      <c r="D1723" s="81" t="n">
        <f aca="true">RAND()</f>
        <v>0.710069248175071</v>
      </c>
      <c r="E1723" s="83" t="n">
        <f aca="false">IF(D1723&lt;(Inputs!$E$10-Inputs!$D$10)/(Inputs!$F$10-Inputs!$D$10),Inputs!$D$10+SQRT(D1723*(Inputs!$F$10-Inputs!$D$10)*(Inputs!$E$10-Inputs!$D$10)),Inputs!$F$10-SQRT((1-D1723)*(Inputs!$F$10-Inputs!$D$10)*(Inputs!$F$10-Inputs!$E$10)))</f>
        <v>0.106737346409466</v>
      </c>
      <c r="F1723" s="81" t="n">
        <f aca="true">RAND()</f>
        <v>0.0286485886974653</v>
      </c>
      <c r="G1723" s="83" t="n">
        <f aca="false">IF(F1723&lt;(Inputs!$E$15-Inputs!$D$15)/(Inputs!$F$15-Inputs!$D$15),Inputs!$D$15+SQRT(F1723*(Inputs!$F$15-Inputs!$D$15)*(Inputs!$E$15-Inputs!$D$15)),Inputs!$F$15-SQRT((1-F1723)*(Inputs!$F$15-Inputs!$D$15)*(Inputs!$F$15-Inputs!$E$15)))</f>
        <v>0.623936828819819</v>
      </c>
      <c r="H1723" s="81" t="n">
        <f aca="true">RAND()</f>
        <v>0.168979688484746</v>
      </c>
      <c r="I1723" s="82" t="n">
        <f aca="false">ROUND(IF(H1723&lt;(Inputs!$E$17-Inputs!$D$17)/(Inputs!$F$17-Inputs!$D$17),Inputs!$D$17+SQRT(H1723*(Inputs!$F$17-Inputs!$D$17)*(Inputs!$E$17-Inputs!$D$17)),Inputs!$F$17-SQRT((1-H1723)*(Inputs!$F$17-Inputs!$D$17)*(Inputs!$F$17-Inputs!$E$17))),0)</f>
        <v>104</v>
      </c>
      <c r="J1723" s="81" t="n">
        <f aca="true">RAND()</f>
        <v>0.893174845827102</v>
      </c>
      <c r="K1723" s="83" t="n">
        <f aca="false">IF(J1723&lt;(Inputs!$E$18-Inputs!$D$18)/(Inputs!$F$18-Inputs!$D$18),Inputs!$D$18+SQRT(J1723*(Inputs!$F$18-Inputs!$D$18)*(Inputs!$E$18-Inputs!$D$18)),Inputs!$F$18-SQRT((1-J1723)*(Inputs!$F$18-Inputs!$D$18)*(Inputs!$F$18-Inputs!$E$18)))</f>
        <v>1.15331907638976</v>
      </c>
      <c r="L1723" s="81" t="n">
        <f aca="true">RAND()</f>
        <v>0.178985256776993</v>
      </c>
      <c r="M1723" s="83" t="n">
        <f aca="false">IF(L1723&lt;(Inputs!$E$24-Inputs!$D$24)/(Inputs!$F$24-Inputs!$D$24),Inputs!$D$24+SQRT(L1723*(Inputs!$F$24-Inputs!$D$24)*(Inputs!$E$24-Inputs!$D$24)),Inputs!$F$24-SQRT((1-L1723)*(Inputs!$F$24-Inputs!$D$24)*(Inputs!$F$24-Inputs!$E$24)))</f>
        <v>0.746554531875474</v>
      </c>
      <c r="N1723" s="81" t="n">
        <f aca="true">RAND()</f>
        <v>0.926628411886361</v>
      </c>
      <c r="O1723" s="83" t="n">
        <f aca="false">IF(N1723&lt;(Inputs!$E$26-Inputs!$D$26)/(Inputs!$F$26-Inputs!$D$26),Inputs!$D$26+SQRT(N1723*(Inputs!$F$26-Inputs!$D$26)*(Inputs!$E$26-Inputs!$D$26)),Inputs!$F$26-SQRT((1-N1723)*(Inputs!$F$26-Inputs!$D$26)*(Inputs!$F$26-Inputs!$E$26)))</f>
        <v>0.732646435883712</v>
      </c>
      <c r="P1723" s="81" t="n">
        <f aca="true">RAND()</f>
        <v>0.742961869319725</v>
      </c>
      <c r="Q1723" s="82" t="n">
        <f aca="false">IF(P1723&lt;(Inputs!$E$27-Inputs!$D$27)/(Inputs!$F$27-Inputs!$D$27),Inputs!$D$27+SQRT(P1723*(Inputs!$F$27-Inputs!$D$27)*(Inputs!$E$27-Inputs!$D$27)),Inputs!$F$27-SQRT((1-P1723)*(Inputs!$F$27-Inputs!$D$27)*(Inputs!$F$27-Inputs!$E$27)))</f>
        <v>106.093440352243</v>
      </c>
      <c r="R1723" s="81" t="n">
        <f aca="true">RAND()</f>
        <v>0.56626560882038</v>
      </c>
      <c r="S1723" s="82" t="n">
        <f aca="false">IF(R1723&lt;(Inputs!$E$29-Inputs!$D$29)/(Inputs!$F$29-Inputs!$D$29),Inputs!$D$29+SQRT(R1723*(Inputs!$F$29-Inputs!$D$29)*(Inputs!$E$29-Inputs!$D$29)),Inputs!$F$29-SQRT((1-R1723)*(Inputs!$F$29-Inputs!$D$29)*(Inputs!$F$29-Inputs!$E$29)))</f>
        <v>7.49097404097238</v>
      </c>
      <c r="T1723" s="68" t="n">
        <f aca="false">Inputs!$E$9*(1+E1723)+Inputs!$E$5*C1723*(Inputs!$E$11*Inputs!$E$14*(G1723*I1723/Inputs!$E$16+(1-G1723))*K1723+Inputs!$E$23*M1723)*(1+O1723)+Inputs!$E$5*(Q1723+S1723)</f>
        <v>6793.97990605138</v>
      </c>
    </row>
    <row r="1724" customFormat="false" ht="15" hidden="false" customHeight="false" outlineLevel="0" collapsed="false">
      <c r="A1724" s="1" t="n">
        <v>1720</v>
      </c>
      <c r="B1724" s="81" t="n">
        <f aca="true">RAND()</f>
        <v>0.558573638155821</v>
      </c>
      <c r="C1724" s="82" t="n">
        <f aca="false">ROUND(IF(B1724&lt;(Inputs!$E$8-Inputs!$D$8)/(Inputs!$F$8-Inputs!$D$8),Inputs!$D$8+SQRT(B1724*(Inputs!$F$8-Inputs!$D$8)*(Inputs!$E$8-Inputs!$D$8)),Inputs!$F$8-SQRT((1-B1724)*(Inputs!$F$8-Inputs!$D$8)*(Inputs!$F$8-Inputs!$E$8))),0)</f>
        <v>25</v>
      </c>
      <c r="D1724" s="81" t="n">
        <f aca="true">RAND()</f>
        <v>0.37135130570217</v>
      </c>
      <c r="E1724" s="83" t="n">
        <f aca="false">IF(D1724&lt;(Inputs!$E$10-Inputs!$D$10)/(Inputs!$F$10-Inputs!$D$10),Inputs!$D$10+SQRT(D1724*(Inputs!$F$10-Inputs!$D$10)*(Inputs!$E$10-Inputs!$D$10)),Inputs!$F$10-SQRT((1-D1724)*(Inputs!$F$10-Inputs!$D$10)*(Inputs!$F$10-Inputs!$E$10)))</f>
        <v>0.0626702478377868</v>
      </c>
      <c r="F1724" s="81" t="n">
        <f aca="true">RAND()</f>
        <v>0.701080486872876</v>
      </c>
      <c r="G1724" s="83" t="n">
        <f aca="false">IF(F1724&lt;(Inputs!$E$15-Inputs!$D$15)/(Inputs!$F$15-Inputs!$D$15),Inputs!$D$15+SQRT(F1724*(Inputs!$F$15-Inputs!$D$15)*(Inputs!$E$15-Inputs!$D$15)),Inputs!$F$15-SQRT((1-F1724)*(Inputs!$F$15-Inputs!$D$15)*(Inputs!$F$15-Inputs!$E$15)))</f>
        <v>0.722679949155846</v>
      </c>
      <c r="H1724" s="81" t="n">
        <f aca="true">RAND()</f>
        <v>0.468497149591987</v>
      </c>
      <c r="I1724" s="82" t="n">
        <f aca="false">ROUND(IF(H1724&lt;(Inputs!$E$17-Inputs!$D$17)/(Inputs!$F$17-Inputs!$D$17),Inputs!$D$17+SQRT(H1724*(Inputs!$F$17-Inputs!$D$17)*(Inputs!$E$17-Inputs!$D$17)),Inputs!$F$17-SQRT((1-H1724)*(Inputs!$F$17-Inputs!$D$17)*(Inputs!$F$17-Inputs!$E$17))),0)</f>
        <v>106</v>
      </c>
      <c r="J1724" s="81" t="n">
        <f aca="true">RAND()</f>
        <v>0.985592196692321</v>
      </c>
      <c r="K1724" s="83" t="n">
        <f aca="false">IF(J1724&lt;(Inputs!$E$18-Inputs!$D$18)/(Inputs!$F$18-Inputs!$D$18),Inputs!$D$18+SQRT(J1724*(Inputs!$F$18-Inputs!$D$18)*(Inputs!$E$18-Inputs!$D$18)),Inputs!$F$18-SQRT((1-J1724)*(Inputs!$F$18-Inputs!$D$18)*(Inputs!$F$18-Inputs!$E$18)))</f>
        <v>1.21449390489758</v>
      </c>
      <c r="L1724" s="81" t="n">
        <f aca="true">RAND()</f>
        <v>0.48922488471188</v>
      </c>
      <c r="M1724" s="83" t="n">
        <f aca="false">IF(L1724&lt;(Inputs!$E$24-Inputs!$D$24)/(Inputs!$F$24-Inputs!$D$24),Inputs!$D$24+SQRT(L1724*(Inputs!$F$24-Inputs!$D$24)*(Inputs!$E$24-Inputs!$D$24)),Inputs!$F$24-SQRT((1-L1724)*(Inputs!$F$24-Inputs!$D$24)*(Inputs!$F$24-Inputs!$E$24)))</f>
        <v>0.849877124898774</v>
      </c>
      <c r="N1724" s="81" t="n">
        <f aca="true">RAND()</f>
        <v>0.0593947894728555</v>
      </c>
      <c r="O1724" s="83" t="n">
        <f aca="false">IF(N1724&lt;(Inputs!$E$26-Inputs!$D$26)/(Inputs!$F$26-Inputs!$D$26),Inputs!$D$26+SQRT(N1724*(Inputs!$F$26-Inputs!$D$26)*(Inputs!$E$26-Inputs!$D$26)),Inputs!$F$26-SQRT((1-N1724)*(Inputs!$F$26-Inputs!$D$26)*(Inputs!$F$26-Inputs!$E$26)))</f>
        <v>0.39941475226687</v>
      </c>
      <c r="P1724" s="81" t="n">
        <f aca="true">RAND()</f>
        <v>0.824006898394373</v>
      </c>
      <c r="Q1724" s="82" t="n">
        <f aca="false">IF(P1724&lt;(Inputs!$E$27-Inputs!$D$27)/(Inputs!$F$27-Inputs!$D$27),Inputs!$D$27+SQRT(P1724*(Inputs!$F$27-Inputs!$D$27)*(Inputs!$E$27-Inputs!$D$27)),Inputs!$F$27-SQRT((1-P1724)*(Inputs!$F$27-Inputs!$D$27)*(Inputs!$F$27-Inputs!$E$27)))</f>
        <v>113.668907778017</v>
      </c>
      <c r="R1724" s="81" t="n">
        <f aca="true">RAND()</f>
        <v>0.15452912541886</v>
      </c>
      <c r="S1724" s="82" t="n">
        <f aca="false">IF(R1724&lt;(Inputs!$E$29-Inputs!$D$29)/(Inputs!$F$29-Inputs!$D$29),Inputs!$D$29+SQRT(R1724*(Inputs!$F$29-Inputs!$D$29)*(Inputs!$E$29-Inputs!$D$29)),Inputs!$F$29-SQRT((1-R1724)*(Inputs!$F$29-Inputs!$D$29)*(Inputs!$F$29-Inputs!$E$29)))</f>
        <v>4.45492075052037</v>
      </c>
      <c r="T1724" s="68" t="n">
        <f aca="false">Inputs!$E$9*(1+E1724)+Inputs!$E$5*C1724*(Inputs!$E$11*Inputs!$E$14*(G1724*I1724/Inputs!$E$16+(1-G1724))*K1724+Inputs!$E$23*M1724)*(1+O1724)+Inputs!$E$5*(Q1724+S1724)</f>
        <v>6250.9305246378</v>
      </c>
    </row>
    <row r="1725" customFormat="false" ht="15" hidden="false" customHeight="false" outlineLevel="0" collapsed="false">
      <c r="A1725" s="1" t="n">
        <v>1721</v>
      </c>
      <c r="B1725" s="81" t="n">
        <f aca="true">RAND()</f>
        <v>0.235087435145884</v>
      </c>
      <c r="C1725" s="82" t="n">
        <f aca="false">ROUND(IF(B1725&lt;(Inputs!$E$8-Inputs!$D$8)/(Inputs!$F$8-Inputs!$D$8),Inputs!$D$8+SQRT(B1725*(Inputs!$F$8-Inputs!$D$8)*(Inputs!$E$8-Inputs!$D$8)),Inputs!$F$8-SQRT((1-B1725)*(Inputs!$F$8-Inputs!$D$8)*(Inputs!$F$8-Inputs!$E$8))),0)</f>
        <v>23</v>
      </c>
      <c r="D1725" s="81" t="n">
        <f aca="true">RAND()</f>
        <v>0.937149075541692</v>
      </c>
      <c r="E1725" s="83" t="n">
        <f aca="false">IF(D1725&lt;(Inputs!$E$10-Inputs!$D$10)/(Inputs!$F$10-Inputs!$D$10),Inputs!$D$10+SQRT(D1725*(Inputs!$F$10-Inputs!$D$10)*(Inputs!$E$10-Inputs!$D$10)),Inputs!$F$10-SQRT((1-D1725)*(Inputs!$F$10-Inputs!$D$10)*(Inputs!$F$10-Inputs!$E$10)))</f>
        <v>0.15657733617396</v>
      </c>
      <c r="F1725" s="81" t="n">
        <f aca="true">RAND()</f>
        <v>0.0386749245122504</v>
      </c>
      <c r="G1725" s="83" t="n">
        <f aca="false">IF(F1725&lt;(Inputs!$E$15-Inputs!$D$15)/(Inputs!$F$15-Inputs!$D$15),Inputs!$D$15+SQRT(F1725*(Inputs!$F$15-Inputs!$D$15)*(Inputs!$E$15-Inputs!$D$15)),Inputs!$F$15-SQRT((1-F1725)*(Inputs!$F$15-Inputs!$D$15)*(Inputs!$F$15-Inputs!$E$15)))</f>
        <v>0.627811840828054</v>
      </c>
      <c r="H1725" s="81" t="n">
        <f aca="true">RAND()</f>
        <v>0.30868380210638</v>
      </c>
      <c r="I1725" s="82" t="n">
        <f aca="false">ROUND(IF(H1725&lt;(Inputs!$E$17-Inputs!$D$17)/(Inputs!$F$17-Inputs!$D$17),Inputs!$D$17+SQRT(H1725*(Inputs!$F$17-Inputs!$D$17)*(Inputs!$E$17-Inputs!$D$17)),Inputs!$F$17-SQRT((1-H1725)*(Inputs!$F$17-Inputs!$D$17)*(Inputs!$F$17-Inputs!$E$17))),0)</f>
        <v>105</v>
      </c>
      <c r="J1725" s="81" t="n">
        <f aca="true">RAND()</f>
        <v>0.855951504889484</v>
      </c>
      <c r="K1725" s="83" t="n">
        <f aca="false">IF(J1725&lt;(Inputs!$E$18-Inputs!$D$18)/(Inputs!$F$18-Inputs!$D$18),Inputs!$D$18+SQRT(J1725*(Inputs!$F$18-Inputs!$D$18)*(Inputs!$E$18-Inputs!$D$18)),Inputs!$F$18-SQRT((1-J1725)*(Inputs!$F$18-Inputs!$D$18)*(Inputs!$F$18-Inputs!$E$18)))</f>
        <v>1.13773137872865</v>
      </c>
      <c r="L1725" s="81" t="n">
        <f aca="true">RAND()</f>
        <v>0.733799817383276</v>
      </c>
      <c r="M1725" s="83" t="n">
        <f aca="false">IF(L1725&lt;(Inputs!$E$24-Inputs!$D$24)/(Inputs!$F$24-Inputs!$D$24),Inputs!$D$24+SQRT(L1725*(Inputs!$F$24-Inputs!$D$24)*(Inputs!$E$24-Inputs!$D$24)),Inputs!$F$24-SQRT((1-L1725)*(Inputs!$F$24-Inputs!$D$24)*(Inputs!$F$24-Inputs!$E$24)))</f>
        <v>0.947239156853729</v>
      </c>
      <c r="N1725" s="81" t="n">
        <f aca="true">RAND()</f>
        <v>0.755844366173902</v>
      </c>
      <c r="O1725" s="83" t="n">
        <f aca="false">IF(N1725&lt;(Inputs!$E$26-Inputs!$D$26)/(Inputs!$F$26-Inputs!$D$26),Inputs!$D$26+SQRT(N1725*(Inputs!$F$26-Inputs!$D$26)*(Inputs!$E$26-Inputs!$D$26)),Inputs!$F$26-SQRT((1-N1725)*(Inputs!$F$26-Inputs!$D$26)*(Inputs!$F$26-Inputs!$E$26)))</f>
        <v>0.660650742336482</v>
      </c>
      <c r="P1725" s="81" t="n">
        <f aca="true">RAND()</f>
        <v>0.578564895348301</v>
      </c>
      <c r="Q1725" s="82" t="n">
        <f aca="false">IF(P1725&lt;(Inputs!$E$27-Inputs!$D$27)/(Inputs!$F$27-Inputs!$D$27),Inputs!$D$27+SQRT(P1725*(Inputs!$F$27-Inputs!$D$27)*(Inputs!$E$27-Inputs!$D$27)),Inputs!$F$27-SQRT((1-P1725)*(Inputs!$F$27-Inputs!$D$27)*(Inputs!$F$27-Inputs!$E$27)))</f>
        <v>93.7793340052989</v>
      </c>
      <c r="R1725" s="81" t="n">
        <f aca="true">RAND()</f>
        <v>0.950977190591615</v>
      </c>
      <c r="S1725" s="82" t="n">
        <f aca="false">IF(R1725&lt;(Inputs!$E$29-Inputs!$D$29)/(Inputs!$F$29-Inputs!$D$29),Inputs!$D$29+SQRT(R1725*(Inputs!$F$29-Inputs!$D$29)*(Inputs!$E$29-Inputs!$D$29)),Inputs!$F$29-SQRT((1-R1725)*(Inputs!$F$29-Inputs!$D$29)*(Inputs!$F$29-Inputs!$E$29)))</f>
        <v>12.4755267434393</v>
      </c>
      <c r="T1725" s="68" t="n">
        <f aca="false">Inputs!$E$9*(1+E1725)+Inputs!$E$5*C1725*(Inputs!$E$11*Inputs!$E$14*(G1725*I1725/Inputs!$E$16+(1-G1725))*K1725+Inputs!$E$23*M1725)*(1+O1725)+Inputs!$E$5*(Q1725+S1725)</f>
        <v>6803.66853107531</v>
      </c>
    </row>
    <row r="1726" customFormat="false" ht="15" hidden="false" customHeight="false" outlineLevel="0" collapsed="false">
      <c r="A1726" s="1" t="n">
        <v>1722</v>
      </c>
      <c r="B1726" s="81" t="n">
        <f aca="true">RAND()</f>
        <v>0.939532585051437</v>
      </c>
      <c r="C1726" s="82" t="n">
        <f aca="false">ROUND(IF(B1726&lt;(Inputs!$E$8-Inputs!$D$8)/(Inputs!$F$8-Inputs!$D$8),Inputs!$D$8+SQRT(B1726*(Inputs!$F$8-Inputs!$D$8)*(Inputs!$E$8-Inputs!$D$8)),Inputs!$F$8-SQRT((1-B1726)*(Inputs!$F$8-Inputs!$D$8)*(Inputs!$F$8-Inputs!$E$8))),0)</f>
        <v>28</v>
      </c>
      <c r="D1726" s="81" t="n">
        <f aca="true">RAND()</f>
        <v>0.585826128730145</v>
      </c>
      <c r="E1726" s="83" t="n">
        <f aca="false">IF(D1726&lt;(Inputs!$E$10-Inputs!$D$10)/(Inputs!$F$10-Inputs!$D$10),Inputs!$D$10+SQRT(D1726*(Inputs!$F$10-Inputs!$D$10)*(Inputs!$E$10-Inputs!$D$10)),Inputs!$F$10-SQRT((1-D1726)*(Inputs!$F$10-Inputs!$D$10)*(Inputs!$F$10-Inputs!$E$10)))</f>
        <v>0.0885315464443162</v>
      </c>
      <c r="F1726" s="81" t="n">
        <f aca="true">RAND()</f>
        <v>0.680627224940733</v>
      </c>
      <c r="G1726" s="83" t="n">
        <f aca="false">IF(F1726&lt;(Inputs!$E$15-Inputs!$D$15)/(Inputs!$F$15-Inputs!$D$15),Inputs!$D$15+SQRT(F1726*(Inputs!$F$15-Inputs!$D$15)*(Inputs!$E$15-Inputs!$D$15)),Inputs!$F$15-SQRT((1-F1726)*(Inputs!$F$15-Inputs!$D$15)*(Inputs!$F$15-Inputs!$E$15)))</f>
        <v>0.720078441574345</v>
      </c>
      <c r="H1726" s="81" t="n">
        <f aca="true">RAND()</f>
        <v>0.257012379310202</v>
      </c>
      <c r="I1726" s="82" t="n">
        <f aca="false">ROUND(IF(H1726&lt;(Inputs!$E$17-Inputs!$D$17)/(Inputs!$F$17-Inputs!$D$17),Inputs!$D$17+SQRT(H1726*(Inputs!$F$17-Inputs!$D$17)*(Inputs!$E$17-Inputs!$D$17)),Inputs!$F$17-SQRT((1-H1726)*(Inputs!$F$17-Inputs!$D$17)*(Inputs!$F$17-Inputs!$E$17))),0)</f>
        <v>104</v>
      </c>
      <c r="J1726" s="81" t="n">
        <f aca="true">RAND()</f>
        <v>0.00307592947942655</v>
      </c>
      <c r="K1726" s="83" t="n">
        <f aca="false">IF(J1726&lt;(Inputs!$E$18-Inputs!$D$18)/(Inputs!$F$18-Inputs!$D$18),Inputs!$D$18+SQRT(J1726*(Inputs!$F$18-Inputs!$D$18)*(Inputs!$E$18-Inputs!$D$18)),Inputs!$F$18-SQRT((1-J1726)*(Inputs!$F$18-Inputs!$D$18)*(Inputs!$F$18-Inputs!$E$18)))</f>
        <v>0.910375814752584</v>
      </c>
      <c r="L1726" s="81" t="n">
        <f aca="true">RAND()</f>
        <v>0.241773133969057</v>
      </c>
      <c r="M1726" s="83" t="n">
        <f aca="false">IF(L1726&lt;(Inputs!$E$24-Inputs!$D$24)/(Inputs!$F$24-Inputs!$D$24),Inputs!$D$24+SQRT(L1726*(Inputs!$F$24-Inputs!$D$24)*(Inputs!$E$24-Inputs!$D$24)),Inputs!$F$24-SQRT((1-L1726)*(Inputs!$F$24-Inputs!$D$24)*(Inputs!$F$24-Inputs!$E$24)))</f>
        <v>0.77033137138028</v>
      </c>
      <c r="N1726" s="81" t="n">
        <f aca="true">RAND()</f>
        <v>0.374576447387255</v>
      </c>
      <c r="O1726" s="83" t="n">
        <f aca="false">IF(N1726&lt;(Inputs!$E$26-Inputs!$D$26)/(Inputs!$F$26-Inputs!$D$26),Inputs!$D$26+SQRT(N1726*(Inputs!$F$26-Inputs!$D$26)*(Inputs!$E$26-Inputs!$D$26)),Inputs!$F$26-SQRT((1-N1726)*(Inputs!$F$26-Inputs!$D$26)*(Inputs!$F$26-Inputs!$E$26)))</f>
        <v>0.549658808867701</v>
      </c>
      <c r="P1726" s="81" t="n">
        <f aca="true">RAND()</f>
        <v>0.151826960321383</v>
      </c>
      <c r="Q1726" s="82" t="n">
        <f aca="false">IF(P1726&lt;(Inputs!$E$27-Inputs!$D$27)/(Inputs!$F$27-Inputs!$D$27),Inputs!$D$27+SQRT(P1726*(Inputs!$F$27-Inputs!$D$27)*(Inputs!$E$27-Inputs!$D$27)),Inputs!$F$27-SQRT((1-P1726)*(Inputs!$F$27-Inputs!$D$27)*(Inputs!$F$27-Inputs!$E$27)))</f>
        <v>69.4824895945938</v>
      </c>
      <c r="R1726" s="81" t="n">
        <f aca="true">RAND()</f>
        <v>0.208549299477041</v>
      </c>
      <c r="S1726" s="82" t="n">
        <f aca="false">IF(R1726&lt;(Inputs!$E$29-Inputs!$D$29)/(Inputs!$F$29-Inputs!$D$29),Inputs!$D$29+SQRT(R1726*(Inputs!$F$29-Inputs!$D$29)*(Inputs!$E$29-Inputs!$D$29)),Inputs!$F$29-SQRT((1-R1726)*(Inputs!$F$29-Inputs!$D$29)*(Inputs!$F$29-Inputs!$E$29)))</f>
        <v>4.85191561579311</v>
      </c>
      <c r="T1726" s="68" t="n">
        <f aca="false">Inputs!$E$9*(1+E1726)+Inputs!$E$5*C1726*(Inputs!$E$11*Inputs!$E$14*(G1726*I1726/Inputs!$E$16+(1-G1726))*K1726+Inputs!$E$23*M1726)*(1+O1726)+Inputs!$E$5*(Q1726+S1726)</f>
        <v>6041.09857905659</v>
      </c>
    </row>
    <row r="1727" customFormat="false" ht="15" hidden="false" customHeight="false" outlineLevel="0" collapsed="false">
      <c r="A1727" s="1" t="n">
        <v>1723</v>
      </c>
      <c r="B1727" s="81" t="n">
        <f aca="true">RAND()</f>
        <v>0.0965122340839745</v>
      </c>
      <c r="C1727" s="82" t="n">
        <f aca="false">ROUND(IF(B1727&lt;(Inputs!$E$8-Inputs!$D$8)/(Inputs!$F$8-Inputs!$D$8),Inputs!$D$8+SQRT(B1727*(Inputs!$F$8-Inputs!$D$8)*(Inputs!$E$8-Inputs!$D$8)),Inputs!$F$8-SQRT((1-B1727)*(Inputs!$F$8-Inputs!$D$8)*(Inputs!$F$8-Inputs!$E$8))),0)</f>
        <v>22</v>
      </c>
      <c r="D1727" s="81" t="n">
        <f aca="true">RAND()</f>
        <v>0.271103901614561</v>
      </c>
      <c r="E1727" s="83" t="n">
        <f aca="false">IF(D1727&lt;(Inputs!$E$10-Inputs!$D$10)/(Inputs!$F$10-Inputs!$D$10),Inputs!$D$10+SQRT(D1727*(Inputs!$F$10-Inputs!$D$10)*(Inputs!$E$10-Inputs!$D$10)),Inputs!$F$10-SQRT((1-D1727)*(Inputs!$F$10-Inputs!$D$10)*(Inputs!$F$10-Inputs!$E$10)))</f>
        <v>0.0521254486006359</v>
      </c>
      <c r="F1727" s="81" t="n">
        <f aca="true">RAND()</f>
        <v>0.976907057207975</v>
      </c>
      <c r="G1727" s="83" t="n">
        <f aca="false">IF(F1727&lt;(Inputs!$E$15-Inputs!$D$15)/(Inputs!$F$15-Inputs!$D$15),Inputs!$D$15+SQRT(F1727*(Inputs!$F$15-Inputs!$D$15)*(Inputs!$E$15-Inputs!$D$15)),Inputs!$F$15-SQRT((1-F1727)*(Inputs!$F$15-Inputs!$D$15)*(Inputs!$F$15-Inputs!$E$15)))</f>
        <v>0.778509098300897</v>
      </c>
      <c r="H1727" s="81" t="n">
        <f aca="true">RAND()</f>
        <v>0.123276917417023</v>
      </c>
      <c r="I1727" s="82" t="n">
        <f aca="false">ROUND(IF(H1727&lt;(Inputs!$E$17-Inputs!$D$17)/(Inputs!$F$17-Inputs!$D$17),Inputs!$D$17+SQRT(H1727*(Inputs!$F$17-Inputs!$D$17)*(Inputs!$E$17-Inputs!$D$17)),Inputs!$F$17-SQRT((1-H1727)*(Inputs!$F$17-Inputs!$D$17)*(Inputs!$F$17-Inputs!$E$17))),0)</f>
        <v>103</v>
      </c>
      <c r="J1727" s="81" t="n">
        <f aca="true">RAND()</f>
        <v>0.104589741840059</v>
      </c>
      <c r="K1727" s="83" t="n">
        <f aca="false">IF(J1727&lt;(Inputs!$E$18-Inputs!$D$18)/(Inputs!$F$18-Inputs!$D$18),Inputs!$D$18+SQRT(J1727*(Inputs!$F$18-Inputs!$D$18)*(Inputs!$E$18-Inputs!$D$18)),Inputs!$F$18-SQRT((1-J1727)*(Inputs!$F$18-Inputs!$D$18)*(Inputs!$F$18-Inputs!$E$18)))</f>
        <v>0.960503231024484</v>
      </c>
      <c r="L1727" s="81" t="n">
        <f aca="true">RAND()</f>
        <v>0.226195505110658</v>
      </c>
      <c r="M1727" s="83" t="n">
        <f aca="false">IF(L1727&lt;(Inputs!$E$24-Inputs!$D$24)/(Inputs!$F$24-Inputs!$D$24),Inputs!$D$24+SQRT(L1727*(Inputs!$F$24-Inputs!$D$24)*(Inputs!$E$24-Inputs!$D$24)),Inputs!$F$24-SQRT((1-L1727)*(Inputs!$F$24-Inputs!$D$24)*(Inputs!$F$24-Inputs!$E$24)))</f>
        <v>0.76475272566267</v>
      </c>
      <c r="N1727" s="81" t="n">
        <f aca="true">RAND()</f>
        <v>0.479915110691981</v>
      </c>
      <c r="O1727" s="83" t="n">
        <f aca="false">IF(N1727&lt;(Inputs!$E$26-Inputs!$D$26)/(Inputs!$F$26-Inputs!$D$26),Inputs!$D$26+SQRT(N1727*(Inputs!$F$26-Inputs!$D$26)*(Inputs!$E$26-Inputs!$D$26)),Inputs!$F$26-SQRT((1-N1727)*(Inputs!$F$26-Inputs!$D$26)*(Inputs!$F$26-Inputs!$E$26)))</f>
        <v>0.582591355881856</v>
      </c>
      <c r="P1727" s="81" t="n">
        <f aca="true">RAND()</f>
        <v>0.770936135466804</v>
      </c>
      <c r="Q1727" s="82" t="n">
        <f aca="false">IF(P1727&lt;(Inputs!$E$27-Inputs!$D$27)/(Inputs!$F$27-Inputs!$D$27),Inputs!$D$27+SQRT(P1727*(Inputs!$F$27-Inputs!$D$27)*(Inputs!$E$27-Inputs!$D$27)),Inputs!$F$27-SQRT((1-P1727)*(Inputs!$F$27-Inputs!$D$27)*(Inputs!$F$27-Inputs!$E$27)))</f>
        <v>108.551489966478</v>
      </c>
      <c r="R1727" s="81" t="n">
        <f aca="true">RAND()</f>
        <v>0.192714202834784</v>
      </c>
      <c r="S1727" s="82" t="n">
        <f aca="false">IF(R1727&lt;(Inputs!$E$29-Inputs!$D$29)/(Inputs!$F$29-Inputs!$D$29),Inputs!$D$29+SQRT(R1727*(Inputs!$F$29-Inputs!$D$29)*(Inputs!$E$29-Inputs!$D$29)),Inputs!$F$29-SQRT((1-R1727)*(Inputs!$F$29-Inputs!$D$29)*(Inputs!$F$29-Inputs!$E$29)))</f>
        <v>4.74150577430663</v>
      </c>
      <c r="T1727" s="68" t="n">
        <f aca="false">Inputs!$E$9*(1+E1727)+Inputs!$E$5*C1727*(Inputs!$E$11*Inputs!$E$14*(G1727*I1727/Inputs!$E$16+(1-G1727))*K1727+Inputs!$E$23*M1727)*(1+O1727)+Inputs!$E$5*(Q1727+S1727)</f>
        <v>5517.14713012545</v>
      </c>
    </row>
    <row r="1728" customFormat="false" ht="15" hidden="false" customHeight="false" outlineLevel="0" collapsed="false">
      <c r="A1728" s="1" t="n">
        <v>1724</v>
      </c>
      <c r="B1728" s="81" t="n">
        <f aca="true">RAND()</f>
        <v>0.903772716744554</v>
      </c>
      <c r="C1728" s="82" t="n">
        <f aca="false">ROUND(IF(B1728&lt;(Inputs!$E$8-Inputs!$D$8)/(Inputs!$F$8-Inputs!$D$8),Inputs!$D$8+SQRT(B1728*(Inputs!$F$8-Inputs!$D$8)*(Inputs!$E$8-Inputs!$D$8)),Inputs!$F$8-SQRT((1-B1728)*(Inputs!$F$8-Inputs!$D$8)*(Inputs!$F$8-Inputs!$E$8))),0)</f>
        <v>28</v>
      </c>
      <c r="D1728" s="81" t="n">
        <f aca="true">RAND()</f>
        <v>0.4854698097156</v>
      </c>
      <c r="E1728" s="83" t="n">
        <f aca="false">IF(D1728&lt;(Inputs!$E$10-Inputs!$D$10)/(Inputs!$F$10-Inputs!$D$10),Inputs!$D$10+SQRT(D1728*(Inputs!$F$10-Inputs!$D$10)*(Inputs!$E$10-Inputs!$D$10)),Inputs!$F$10-SQRT((1-D1728)*(Inputs!$F$10-Inputs!$D$10)*(Inputs!$F$10-Inputs!$E$10)))</f>
        <v>0.0757586795444769</v>
      </c>
      <c r="F1728" s="81" t="n">
        <f aca="true">RAND()</f>
        <v>0.967884829443309</v>
      </c>
      <c r="G1728" s="83" t="n">
        <f aca="false">IF(F1728&lt;(Inputs!$E$15-Inputs!$D$15)/(Inputs!$F$15-Inputs!$D$15),Inputs!$D$15+SQRT(F1728*(Inputs!$F$15-Inputs!$D$15)*(Inputs!$E$15-Inputs!$D$15)),Inputs!$F$15-SQRT((1-F1728)*(Inputs!$F$15-Inputs!$D$15)*(Inputs!$F$15-Inputs!$E$15)))</f>
        <v>0.774656294447461</v>
      </c>
      <c r="H1728" s="81" t="n">
        <f aca="true">RAND()</f>
        <v>0.740174333279426</v>
      </c>
      <c r="I1728" s="82" t="n">
        <f aca="false">ROUND(IF(H1728&lt;(Inputs!$E$17-Inputs!$D$17)/(Inputs!$F$17-Inputs!$D$17),Inputs!$D$17+SQRT(H1728*(Inputs!$F$17-Inputs!$D$17)*(Inputs!$E$17-Inputs!$D$17)),Inputs!$F$17-SQRT((1-H1728)*(Inputs!$F$17-Inputs!$D$17)*(Inputs!$F$17-Inputs!$E$17))),0)</f>
        <v>109</v>
      </c>
      <c r="J1728" s="81" t="n">
        <f aca="true">RAND()</f>
        <v>0.415914366550152</v>
      </c>
      <c r="K1728" s="83" t="n">
        <f aca="false">IF(J1728&lt;(Inputs!$E$18-Inputs!$D$18)/(Inputs!$F$18-Inputs!$D$18),Inputs!$D$18+SQRT(J1728*(Inputs!$F$18-Inputs!$D$18)*(Inputs!$E$18-Inputs!$D$18)),Inputs!$F$18-SQRT((1-J1728)*(Inputs!$F$18-Inputs!$D$18)*(Inputs!$F$18-Inputs!$E$18)))</f>
        <v>1.0239303361199</v>
      </c>
      <c r="L1728" s="81" t="n">
        <f aca="true">RAND()</f>
        <v>0.598825092465221</v>
      </c>
      <c r="M1728" s="83" t="n">
        <f aca="false">IF(L1728&lt;(Inputs!$E$24-Inputs!$D$24)/(Inputs!$F$24-Inputs!$D$24),Inputs!$D$24+SQRT(L1728*(Inputs!$F$24-Inputs!$D$24)*(Inputs!$E$24-Inputs!$D$24)),Inputs!$F$24-SQRT((1-L1728)*(Inputs!$F$24-Inputs!$D$24)*(Inputs!$F$24-Inputs!$E$24)))</f>
        <v>0.889706626225524</v>
      </c>
      <c r="N1728" s="81" t="n">
        <f aca="true">RAND()</f>
        <v>0.636462859564951</v>
      </c>
      <c r="O1728" s="83" t="n">
        <f aca="false">IF(N1728&lt;(Inputs!$E$26-Inputs!$D$26)/(Inputs!$F$26-Inputs!$D$26),Inputs!$D$26+SQRT(N1728*(Inputs!$F$26-Inputs!$D$26)*(Inputs!$E$26-Inputs!$D$26)),Inputs!$F$26-SQRT((1-N1728)*(Inputs!$F$26-Inputs!$D$26)*(Inputs!$F$26-Inputs!$E$26)))</f>
        <v>0.625557559660333</v>
      </c>
      <c r="P1728" s="81" t="n">
        <f aca="true">RAND()</f>
        <v>0.926762718086031</v>
      </c>
      <c r="Q1728" s="82" t="n">
        <f aca="false">IF(P1728&lt;(Inputs!$E$27-Inputs!$D$27)/(Inputs!$F$27-Inputs!$D$27),Inputs!$D$27+SQRT(P1728*(Inputs!$F$27-Inputs!$D$27)*(Inputs!$E$27-Inputs!$D$27)),Inputs!$F$27-SQRT((1-P1728)*(Inputs!$F$27-Inputs!$D$27)*(Inputs!$F$27-Inputs!$E$27)))</f>
        <v>126.563284906908</v>
      </c>
      <c r="R1728" s="81" t="n">
        <f aca="true">RAND()</f>
        <v>0.356788290501918</v>
      </c>
      <c r="S1728" s="82" t="n">
        <f aca="false">IF(R1728&lt;(Inputs!$E$29-Inputs!$D$29)/(Inputs!$F$29-Inputs!$D$29),Inputs!$D$29+SQRT(R1728*(Inputs!$F$29-Inputs!$D$29)*(Inputs!$E$29-Inputs!$D$29)),Inputs!$F$29-SQRT((1-R1728)*(Inputs!$F$29-Inputs!$D$29)*(Inputs!$F$29-Inputs!$E$29)))</f>
        <v>5.8557382892466</v>
      </c>
      <c r="T1728" s="68" t="n">
        <f aca="false">Inputs!$E$9*(1+E1728)+Inputs!$E$5*C1728*(Inputs!$E$11*Inputs!$E$14*(G1728*I1728/Inputs!$E$16+(1-G1728))*K1728+Inputs!$E$23*M1728)*(1+O1728)+Inputs!$E$5*(Q1728+S1728)</f>
        <v>6919.44069213365</v>
      </c>
    </row>
    <row r="1729" customFormat="false" ht="15" hidden="false" customHeight="false" outlineLevel="0" collapsed="false">
      <c r="A1729" s="1" t="n">
        <v>1725</v>
      </c>
      <c r="B1729" s="81" t="n">
        <f aca="true">RAND()</f>
        <v>0.0850075051777225</v>
      </c>
      <c r="C1729" s="82" t="n">
        <f aca="false">ROUND(IF(B1729&lt;(Inputs!$E$8-Inputs!$D$8)/(Inputs!$F$8-Inputs!$D$8),Inputs!$D$8+SQRT(B1729*(Inputs!$F$8-Inputs!$D$8)*(Inputs!$E$8-Inputs!$D$8)),Inputs!$F$8-SQRT((1-B1729)*(Inputs!$F$8-Inputs!$D$8)*(Inputs!$F$8-Inputs!$E$8))),0)</f>
        <v>22</v>
      </c>
      <c r="D1729" s="81" t="n">
        <f aca="true">RAND()</f>
        <v>0.13947180555344</v>
      </c>
      <c r="E1729" s="83" t="n">
        <f aca="false">IF(D1729&lt;(Inputs!$E$10-Inputs!$D$10)/(Inputs!$F$10-Inputs!$D$10),Inputs!$D$10+SQRT(D1729*(Inputs!$F$10-Inputs!$D$10)*(Inputs!$E$10-Inputs!$D$10)),Inputs!$F$10-SQRT((1-D1729)*(Inputs!$F$10-Inputs!$D$10)*(Inputs!$F$10-Inputs!$E$10)))</f>
        <v>0.0373459242158284</v>
      </c>
      <c r="F1729" s="81" t="n">
        <f aca="true">RAND()</f>
        <v>0.103307415828446</v>
      </c>
      <c r="G1729" s="83" t="n">
        <f aca="false">IF(F1729&lt;(Inputs!$E$15-Inputs!$D$15)/(Inputs!$F$15-Inputs!$D$15),Inputs!$D$15+SQRT(F1729*(Inputs!$F$15-Inputs!$D$15)*(Inputs!$E$15-Inputs!$D$15)),Inputs!$F$15-SQRT((1-F1729)*(Inputs!$F$15-Inputs!$D$15)*(Inputs!$F$15-Inputs!$E$15)))</f>
        <v>0.645454904208115</v>
      </c>
      <c r="H1729" s="81" t="n">
        <f aca="true">RAND()</f>
        <v>0.196489965322598</v>
      </c>
      <c r="I1729" s="82" t="n">
        <f aca="false">ROUND(IF(H1729&lt;(Inputs!$E$17-Inputs!$D$17)/(Inputs!$F$17-Inputs!$D$17),Inputs!$D$17+SQRT(H1729*(Inputs!$F$17-Inputs!$D$17)*(Inputs!$E$17-Inputs!$D$17)),Inputs!$F$17-SQRT((1-H1729)*(Inputs!$F$17-Inputs!$D$17)*(Inputs!$F$17-Inputs!$E$17))),0)</f>
        <v>104</v>
      </c>
      <c r="J1729" s="81" t="n">
        <f aca="true">RAND()</f>
        <v>0.881909376993091</v>
      </c>
      <c r="K1729" s="83" t="n">
        <f aca="false">IF(J1729&lt;(Inputs!$E$18-Inputs!$D$18)/(Inputs!$F$18-Inputs!$D$18),Inputs!$D$18+SQRT(J1729*(Inputs!$F$18-Inputs!$D$18)*(Inputs!$E$18-Inputs!$D$18)),Inputs!$F$18-SQRT((1-J1729)*(Inputs!$F$18-Inputs!$D$18)*(Inputs!$F$18-Inputs!$E$18)))</f>
        <v>1.14834898174094</v>
      </c>
      <c r="L1729" s="81" t="n">
        <f aca="true">RAND()</f>
        <v>0.553885231349869</v>
      </c>
      <c r="M1729" s="83" t="n">
        <f aca="false">IF(L1729&lt;(Inputs!$E$24-Inputs!$D$24)/(Inputs!$F$24-Inputs!$D$24),Inputs!$D$24+SQRT(L1729*(Inputs!$F$24-Inputs!$D$24)*(Inputs!$E$24-Inputs!$D$24)),Inputs!$F$24-SQRT((1-L1729)*(Inputs!$F$24-Inputs!$D$24)*(Inputs!$F$24-Inputs!$E$24)))</f>
        <v>0.872788226868238</v>
      </c>
      <c r="N1729" s="81" t="n">
        <f aca="true">RAND()</f>
        <v>0.162258957095712</v>
      </c>
      <c r="O1729" s="83" t="n">
        <f aca="false">IF(N1729&lt;(Inputs!$E$26-Inputs!$D$26)/(Inputs!$F$26-Inputs!$D$26),Inputs!$D$26+SQRT(N1729*(Inputs!$F$26-Inputs!$D$26)*(Inputs!$E$26-Inputs!$D$26)),Inputs!$F$26-SQRT((1-N1729)*(Inputs!$F$26-Inputs!$D$26)*(Inputs!$F$26-Inputs!$E$26)))</f>
        <v>0.464316433933817</v>
      </c>
      <c r="P1729" s="81" t="n">
        <f aca="true">RAND()</f>
        <v>0.880995211950045</v>
      </c>
      <c r="Q1729" s="82" t="n">
        <f aca="false">IF(P1729&lt;(Inputs!$E$27-Inputs!$D$27)/(Inputs!$F$27-Inputs!$D$27),Inputs!$D$27+SQRT(P1729*(Inputs!$F$27-Inputs!$D$27)*(Inputs!$E$27-Inputs!$D$27)),Inputs!$F$27-SQRT((1-P1729)*(Inputs!$F$27-Inputs!$D$27)*(Inputs!$F$27-Inputs!$E$27)))</f>
        <v>120.124660497751</v>
      </c>
      <c r="R1729" s="81" t="n">
        <f aca="true">RAND()</f>
        <v>0.889769187317481</v>
      </c>
      <c r="S1729" s="82" t="n">
        <f aca="false">IF(R1729&lt;(Inputs!$E$29-Inputs!$D$29)/(Inputs!$F$29-Inputs!$D$29),Inputs!$D$29+SQRT(R1729*(Inputs!$F$29-Inputs!$D$29)*(Inputs!$E$29-Inputs!$D$29)),Inputs!$F$29-SQRT((1-R1729)*(Inputs!$F$29-Inputs!$D$29)*(Inputs!$F$29-Inputs!$E$29)))</f>
        <v>11.2145006077497</v>
      </c>
      <c r="T1729" s="68" t="n">
        <f aca="false">Inputs!$E$9*(1+E1729)+Inputs!$E$5*C1729*(Inputs!$E$11*Inputs!$E$14*(G1729*I1729/Inputs!$E$16+(1-G1729))*K1729+Inputs!$E$23*M1729)*(1+O1729)+Inputs!$E$5*(Q1729+S1729)</f>
        <v>5985.12375623289</v>
      </c>
    </row>
    <row r="1730" customFormat="false" ht="15" hidden="false" customHeight="false" outlineLevel="0" collapsed="false">
      <c r="A1730" s="1" t="n">
        <v>1726</v>
      </c>
      <c r="B1730" s="81" t="n">
        <f aca="true">RAND()</f>
        <v>0.195041021454394</v>
      </c>
      <c r="C1730" s="82" t="n">
        <f aca="false">ROUND(IF(B1730&lt;(Inputs!$E$8-Inputs!$D$8)/(Inputs!$F$8-Inputs!$D$8),Inputs!$D$8+SQRT(B1730*(Inputs!$F$8-Inputs!$D$8)*(Inputs!$E$8-Inputs!$D$8)),Inputs!$F$8-SQRT((1-B1730)*(Inputs!$F$8-Inputs!$D$8)*(Inputs!$F$8-Inputs!$E$8))),0)</f>
        <v>23</v>
      </c>
      <c r="D1730" s="81" t="n">
        <f aca="true">RAND()</f>
        <v>0.347327582109429</v>
      </c>
      <c r="E1730" s="83" t="n">
        <f aca="false">IF(D1730&lt;(Inputs!$E$10-Inputs!$D$10)/(Inputs!$F$10-Inputs!$D$10),Inputs!$D$10+SQRT(D1730*(Inputs!$F$10-Inputs!$D$10)*(Inputs!$E$10-Inputs!$D$10)),Inputs!$F$10-SQRT((1-D1730)*(Inputs!$F$10-Inputs!$D$10)*(Inputs!$F$10-Inputs!$E$10)))</f>
        <v>0.0600708302864727</v>
      </c>
      <c r="F1730" s="81" t="n">
        <f aca="true">RAND()</f>
        <v>0.0667932541335978</v>
      </c>
      <c r="G1730" s="83" t="n">
        <f aca="false">IF(F1730&lt;(Inputs!$E$15-Inputs!$D$15)/(Inputs!$F$15-Inputs!$D$15),Inputs!$D$15+SQRT(F1730*(Inputs!$F$15-Inputs!$D$15)*(Inputs!$E$15-Inputs!$D$15)),Inputs!$F$15-SQRT((1-F1730)*(Inputs!$F$15-Inputs!$D$15)*(Inputs!$F$15-Inputs!$E$15)))</f>
        <v>0.636549488131463</v>
      </c>
      <c r="H1730" s="81" t="n">
        <f aca="true">RAND()</f>
        <v>0.47208633728817</v>
      </c>
      <c r="I1730" s="82" t="n">
        <f aca="false">ROUND(IF(H1730&lt;(Inputs!$E$17-Inputs!$D$17)/(Inputs!$F$17-Inputs!$D$17),Inputs!$D$17+SQRT(H1730*(Inputs!$F$17-Inputs!$D$17)*(Inputs!$E$17-Inputs!$D$17)),Inputs!$F$17-SQRT((1-H1730)*(Inputs!$F$17-Inputs!$D$17)*(Inputs!$F$17-Inputs!$E$17))),0)</f>
        <v>106</v>
      </c>
      <c r="J1730" s="81" t="n">
        <f aca="true">RAND()</f>
        <v>0.290676992126639</v>
      </c>
      <c r="K1730" s="83" t="n">
        <f aca="false">IF(J1730&lt;(Inputs!$E$18-Inputs!$D$18)/(Inputs!$F$18-Inputs!$D$18),Inputs!$D$18+SQRT(J1730*(Inputs!$F$18-Inputs!$D$18)*(Inputs!$E$18-Inputs!$D$18)),Inputs!$F$18-SQRT((1-J1730)*(Inputs!$F$18-Inputs!$D$18)*(Inputs!$F$18-Inputs!$E$18)))</f>
        <v>1.00086998737824</v>
      </c>
      <c r="L1730" s="81" t="n">
        <f aca="true">RAND()</f>
        <v>0.790348934078056</v>
      </c>
      <c r="M1730" s="83" t="n">
        <f aca="false">IF(L1730&lt;(Inputs!$E$24-Inputs!$D$24)/(Inputs!$F$24-Inputs!$D$24),Inputs!$D$24+SQRT(L1730*(Inputs!$F$24-Inputs!$D$24)*(Inputs!$E$24-Inputs!$D$24)),Inputs!$F$24-SQRT((1-L1730)*(Inputs!$F$24-Inputs!$D$24)*(Inputs!$F$24-Inputs!$E$24)))</f>
        <v>0.975687147445211</v>
      </c>
      <c r="N1730" s="81" t="n">
        <f aca="true">RAND()</f>
        <v>0.0954559058319801</v>
      </c>
      <c r="O1730" s="83" t="n">
        <f aca="false">IF(N1730&lt;(Inputs!$E$26-Inputs!$D$26)/(Inputs!$F$26-Inputs!$D$26),Inputs!$D$26+SQRT(N1730*(Inputs!$F$26-Inputs!$D$26)*(Inputs!$E$26-Inputs!$D$26)),Inputs!$F$26-SQRT((1-N1730)*(Inputs!$F$26-Inputs!$D$26)*(Inputs!$F$26-Inputs!$E$26)))</f>
        <v>0.42603119744905</v>
      </c>
      <c r="P1730" s="81" t="n">
        <f aca="true">RAND()</f>
        <v>0.24828732965437</v>
      </c>
      <c r="Q1730" s="82" t="n">
        <f aca="false">IF(P1730&lt;(Inputs!$E$27-Inputs!$D$27)/(Inputs!$F$27-Inputs!$D$27),Inputs!$D$27+SQRT(P1730*(Inputs!$F$27-Inputs!$D$27)*(Inputs!$E$27-Inputs!$D$27)),Inputs!$F$27-SQRT((1-P1730)*(Inputs!$F$27-Inputs!$D$27)*(Inputs!$F$27-Inputs!$E$27)))</f>
        <v>74.9142193162042</v>
      </c>
      <c r="R1730" s="81" t="n">
        <f aca="true">RAND()</f>
        <v>0.774091307241267</v>
      </c>
      <c r="S1730" s="82" t="n">
        <f aca="false">IF(R1730&lt;(Inputs!$E$29-Inputs!$D$29)/(Inputs!$F$29-Inputs!$D$29),Inputs!$D$29+SQRT(R1730*(Inputs!$F$29-Inputs!$D$29)*(Inputs!$E$29-Inputs!$D$29)),Inputs!$F$29-SQRT((1-R1730)*(Inputs!$F$29-Inputs!$D$29)*(Inputs!$F$29-Inputs!$E$29)))</f>
        <v>9.58076296342047</v>
      </c>
      <c r="T1730" s="68" t="n">
        <f aca="false">Inputs!$E$9*(1+E1730)+Inputs!$E$5*C1730*(Inputs!$E$11*Inputs!$E$14*(G1730*I1730/Inputs!$E$16+(1-G1730))*K1730+Inputs!$E$23*M1730)*(1+O1730)+Inputs!$E$5*(Q1730+S1730)</f>
        <v>5736.43195937549</v>
      </c>
    </row>
    <row r="1731" customFormat="false" ht="15" hidden="false" customHeight="false" outlineLevel="0" collapsed="false">
      <c r="A1731" s="1" t="n">
        <v>1727</v>
      </c>
      <c r="B1731" s="81" t="n">
        <f aca="true">RAND()</f>
        <v>0.613636523258393</v>
      </c>
      <c r="C1731" s="82" t="n">
        <f aca="false">ROUND(IF(B1731&lt;(Inputs!$E$8-Inputs!$D$8)/(Inputs!$F$8-Inputs!$D$8),Inputs!$D$8+SQRT(B1731*(Inputs!$F$8-Inputs!$D$8)*(Inputs!$E$8-Inputs!$D$8)),Inputs!$F$8-SQRT((1-B1731)*(Inputs!$F$8-Inputs!$D$8)*(Inputs!$F$8-Inputs!$E$8))),0)</f>
        <v>26</v>
      </c>
      <c r="D1731" s="81" t="n">
        <f aca="true">RAND()</f>
        <v>0.785818861017309</v>
      </c>
      <c r="E1731" s="83" t="n">
        <f aca="false">IF(D1731&lt;(Inputs!$E$10-Inputs!$D$10)/(Inputs!$F$10-Inputs!$D$10),Inputs!$D$10+SQRT(D1731*(Inputs!$F$10-Inputs!$D$10)*(Inputs!$E$10-Inputs!$D$10)),Inputs!$F$10-SQRT((1-D1731)*(Inputs!$F$10-Inputs!$D$10)*(Inputs!$F$10-Inputs!$E$10)))</f>
        <v>0.119841194061533</v>
      </c>
      <c r="F1731" s="81" t="n">
        <f aca="true">RAND()</f>
        <v>0.466564134601654</v>
      </c>
      <c r="G1731" s="83" t="n">
        <f aca="false">IF(F1731&lt;(Inputs!$E$15-Inputs!$D$15)/(Inputs!$F$15-Inputs!$D$15),Inputs!$D$15+SQRT(F1731*(Inputs!$F$15-Inputs!$D$15)*(Inputs!$E$15-Inputs!$D$15)),Inputs!$F$15-SQRT((1-F1731)*(Inputs!$F$15-Inputs!$D$15)*(Inputs!$F$15-Inputs!$E$15)))</f>
        <v>0.696598564647893</v>
      </c>
      <c r="H1731" s="81" t="n">
        <f aca="true">RAND()</f>
        <v>0.871868745964537</v>
      </c>
      <c r="I1731" s="82" t="n">
        <f aca="false">ROUND(IF(H1731&lt;(Inputs!$E$17-Inputs!$D$17)/(Inputs!$F$17-Inputs!$D$17),Inputs!$D$17+SQRT(H1731*(Inputs!$F$17-Inputs!$D$17)*(Inputs!$E$17-Inputs!$D$17)),Inputs!$F$17-SQRT((1-H1731)*(Inputs!$F$17-Inputs!$D$17)*(Inputs!$F$17-Inputs!$E$17))),0)</f>
        <v>111</v>
      </c>
      <c r="J1731" s="81" t="n">
        <f aca="true">RAND()</f>
        <v>0.335183930620935</v>
      </c>
      <c r="K1731" s="83" t="n">
        <f aca="false">IF(J1731&lt;(Inputs!$E$18-Inputs!$D$18)/(Inputs!$F$18-Inputs!$D$18),Inputs!$D$18+SQRT(J1731*(Inputs!$F$18-Inputs!$D$18)*(Inputs!$E$18-Inputs!$D$18)),Inputs!$F$18-SQRT((1-J1731)*(Inputs!$F$18-Inputs!$D$18)*(Inputs!$F$18-Inputs!$E$18)))</f>
        <v>1.00881250846972</v>
      </c>
      <c r="L1731" s="81" t="n">
        <f aca="true">RAND()</f>
        <v>0.68300171265422</v>
      </c>
      <c r="M1731" s="83" t="n">
        <f aca="false">IF(L1731&lt;(Inputs!$E$24-Inputs!$D$24)/(Inputs!$F$24-Inputs!$D$24),Inputs!$D$24+SQRT(L1731*(Inputs!$F$24-Inputs!$D$24)*(Inputs!$E$24-Inputs!$D$24)),Inputs!$F$24-SQRT((1-L1731)*(Inputs!$F$24-Inputs!$D$24)*(Inputs!$F$24-Inputs!$E$24)))</f>
        <v>0.924174712973979</v>
      </c>
      <c r="N1731" s="81" t="n">
        <f aca="true">RAND()</f>
        <v>0.947820921555423</v>
      </c>
      <c r="O1731" s="83" t="n">
        <f aca="false">IF(N1731&lt;(Inputs!$E$26-Inputs!$D$26)/(Inputs!$F$26-Inputs!$D$26),Inputs!$D$26+SQRT(N1731*(Inputs!$F$26-Inputs!$D$26)*(Inputs!$E$26-Inputs!$D$26)),Inputs!$F$26-SQRT((1-N1731)*(Inputs!$F$26-Inputs!$D$26)*(Inputs!$F$26-Inputs!$E$26)))</f>
        <v>0.746334376007286</v>
      </c>
      <c r="P1731" s="81" t="n">
        <f aca="true">RAND()</f>
        <v>0.0172732374847952</v>
      </c>
      <c r="Q1731" s="82" t="n">
        <f aca="false">IF(P1731&lt;(Inputs!$E$27-Inputs!$D$27)/(Inputs!$F$27-Inputs!$D$27),Inputs!$D$27+SQRT(P1731*(Inputs!$F$27-Inputs!$D$27)*(Inputs!$E$27-Inputs!$D$27)),Inputs!$F$27-SQRT((1-P1731)*(Inputs!$F$27-Inputs!$D$27)*(Inputs!$F$27-Inputs!$E$27)))</f>
        <v>56.5713844593044</v>
      </c>
      <c r="R1731" s="81" t="n">
        <f aca="true">RAND()</f>
        <v>0.916030076150109</v>
      </c>
      <c r="S1731" s="82" t="n">
        <f aca="false">IF(R1731&lt;(Inputs!$E$29-Inputs!$D$29)/(Inputs!$F$29-Inputs!$D$29),Inputs!$D$29+SQRT(R1731*(Inputs!$F$29-Inputs!$D$29)*(Inputs!$E$29-Inputs!$D$29)),Inputs!$F$29-SQRT((1-R1731)*(Inputs!$F$29-Inputs!$D$29)*(Inputs!$F$29-Inputs!$E$29)))</f>
        <v>11.6960493193018</v>
      </c>
      <c r="T1731" s="68" t="n">
        <f aca="false">Inputs!$E$9*(1+E1731)+Inputs!$E$5*C1731*(Inputs!$E$11*Inputs!$E$14*(G1731*I1731/Inputs!$E$16+(1-G1731))*K1731+Inputs!$E$23*M1731)*(1+O1731)+Inputs!$E$5*(Q1731+S1731)</f>
        <v>6845.62082548478</v>
      </c>
    </row>
    <row r="1732" customFormat="false" ht="15" hidden="false" customHeight="false" outlineLevel="0" collapsed="false">
      <c r="A1732" s="1" t="n">
        <v>1728</v>
      </c>
      <c r="B1732" s="81" t="n">
        <f aca="true">RAND()</f>
        <v>0.40182068023815</v>
      </c>
      <c r="C1732" s="82" t="n">
        <f aca="false">ROUND(IF(B1732&lt;(Inputs!$E$8-Inputs!$D$8)/(Inputs!$F$8-Inputs!$D$8),Inputs!$D$8+SQRT(B1732*(Inputs!$F$8-Inputs!$D$8)*(Inputs!$E$8-Inputs!$D$8)),Inputs!$F$8-SQRT((1-B1732)*(Inputs!$F$8-Inputs!$D$8)*(Inputs!$F$8-Inputs!$E$8))),0)</f>
        <v>24</v>
      </c>
      <c r="D1732" s="81" t="n">
        <f aca="true">RAND()</f>
        <v>0.554023522322147</v>
      </c>
      <c r="E1732" s="83" t="n">
        <f aca="false">IF(D1732&lt;(Inputs!$E$10-Inputs!$D$10)/(Inputs!$F$10-Inputs!$D$10),Inputs!$D$10+SQRT(D1732*(Inputs!$F$10-Inputs!$D$10)*(Inputs!$E$10-Inputs!$D$10)),Inputs!$F$10-SQRT((1-D1732)*(Inputs!$F$10-Inputs!$D$10)*(Inputs!$F$10-Inputs!$E$10)))</f>
        <v>0.0843311004187574</v>
      </c>
      <c r="F1732" s="81" t="n">
        <f aca="true">RAND()</f>
        <v>0.444508392760152</v>
      </c>
      <c r="G1732" s="83" t="n">
        <f aca="false">IF(F1732&lt;(Inputs!$E$15-Inputs!$D$15)/(Inputs!$F$15-Inputs!$D$15),Inputs!$D$15+SQRT(F1732*(Inputs!$F$15-Inputs!$D$15)*(Inputs!$E$15-Inputs!$D$15)),Inputs!$F$15-SQRT((1-F1732)*(Inputs!$F$15-Inputs!$D$15)*(Inputs!$F$15-Inputs!$E$15)))</f>
        <v>0.694287686657395</v>
      </c>
      <c r="H1732" s="81" t="n">
        <f aca="true">RAND()</f>
        <v>0.983538054456497</v>
      </c>
      <c r="I1732" s="82" t="n">
        <f aca="false">ROUND(IF(H1732&lt;(Inputs!$E$17-Inputs!$D$17)/(Inputs!$F$17-Inputs!$D$17),Inputs!$D$17+SQRT(H1732*(Inputs!$F$17-Inputs!$D$17)*(Inputs!$E$17-Inputs!$D$17)),Inputs!$F$17-SQRT((1-H1732)*(Inputs!$F$17-Inputs!$D$17)*(Inputs!$F$17-Inputs!$E$17))),0)</f>
        <v>113</v>
      </c>
      <c r="J1732" s="81" t="n">
        <f aca="true">RAND()</f>
        <v>0.91945592892441</v>
      </c>
      <c r="K1732" s="83" t="n">
        <f aca="false">IF(J1732&lt;(Inputs!$E$18-Inputs!$D$18)/(Inputs!$F$18-Inputs!$D$18),Inputs!$D$18+SQRT(J1732*(Inputs!$F$18-Inputs!$D$18)*(Inputs!$E$18-Inputs!$D$18)),Inputs!$F$18-SQRT((1-J1732)*(Inputs!$F$18-Inputs!$D$18)*(Inputs!$F$18-Inputs!$E$18)))</f>
        <v>1.16604997784923</v>
      </c>
      <c r="L1732" s="81" t="n">
        <f aca="true">RAND()</f>
        <v>0.154747410972027</v>
      </c>
      <c r="M1732" s="83" t="n">
        <f aca="false">IF(L1732&lt;(Inputs!$E$24-Inputs!$D$24)/(Inputs!$F$24-Inputs!$D$24),Inputs!$D$24+SQRT(L1732*(Inputs!$F$24-Inputs!$D$24)*(Inputs!$E$24-Inputs!$D$24)),Inputs!$F$24-SQRT((1-L1732)*(Inputs!$F$24-Inputs!$D$24)*(Inputs!$F$24-Inputs!$E$24)))</f>
        <v>0.736270647303971</v>
      </c>
      <c r="N1732" s="81" t="n">
        <f aca="true">RAND()</f>
        <v>0.433559694778509</v>
      </c>
      <c r="O1732" s="83" t="n">
        <f aca="false">IF(N1732&lt;(Inputs!$E$26-Inputs!$D$26)/(Inputs!$F$26-Inputs!$D$26),Inputs!$D$26+SQRT(N1732*(Inputs!$F$26-Inputs!$D$26)*(Inputs!$E$26-Inputs!$D$26)),Inputs!$F$26-SQRT((1-N1732)*(Inputs!$F$26-Inputs!$D$26)*(Inputs!$F$26-Inputs!$E$26)))</f>
        <v>0.568596971708811</v>
      </c>
      <c r="P1732" s="81" t="n">
        <f aca="true">RAND()</f>
        <v>0.0162813887574149</v>
      </c>
      <c r="Q1732" s="82" t="n">
        <f aca="false">IF(P1732&lt;(Inputs!$E$27-Inputs!$D$27)/(Inputs!$F$27-Inputs!$D$27),Inputs!$D$27+SQRT(P1732*(Inputs!$F$27-Inputs!$D$27)*(Inputs!$E$27-Inputs!$D$27)),Inputs!$F$27-SQRT((1-P1732)*(Inputs!$F$27-Inputs!$D$27)*(Inputs!$F$27-Inputs!$E$27)))</f>
        <v>56.3799272639692</v>
      </c>
      <c r="R1732" s="81" t="n">
        <f aca="true">RAND()</f>
        <v>0.777320172745085</v>
      </c>
      <c r="S1732" s="82" t="n">
        <f aca="false">IF(R1732&lt;(Inputs!$E$29-Inputs!$D$29)/(Inputs!$F$29-Inputs!$D$29),Inputs!$D$29+SQRT(R1732*(Inputs!$F$29-Inputs!$D$29)*(Inputs!$E$29-Inputs!$D$29)),Inputs!$F$29-SQRT((1-R1732)*(Inputs!$F$29-Inputs!$D$29)*(Inputs!$F$29-Inputs!$E$29)))</f>
        <v>9.61963035255579</v>
      </c>
      <c r="T1732" s="68" t="n">
        <f aca="false">Inputs!$E$9*(1+E1732)+Inputs!$E$5*C1732*(Inputs!$E$11*Inputs!$E$14*(G1732*I1732/Inputs!$E$16+(1-G1732))*K1732+Inputs!$E$23*M1732)*(1+O1732)+Inputs!$E$5*(Q1732+S1732)</f>
        <v>6170.88012818092</v>
      </c>
    </row>
    <row r="1733" customFormat="false" ht="15" hidden="false" customHeight="false" outlineLevel="0" collapsed="false">
      <c r="A1733" s="1" t="n">
        <v>1729</v>
      </c>
      <c r="B1733" s="81" t="n">
        <f aca="true">RAND()</f>
        <v>0.10548716234794</v>
      </c>
      <c r="C1733" s="82" t="n">
        <f aca="false">ROUND(IF(B1733&lt;(Inputs!$E$8-Inputs!$D$8)/(Inputs!$F$8-Inputs!$D$8),Inputs!$D$8+SQRT(B1733*(Inputs!$F$8-Inputs!$D$8)*(Inputs!$E$8-Inputs!$D$8)),Inputs!$F$8-SQRT((1-B1733)*(Inputs!$F$8-Inputs!$D$8)*(Inputs!$F$8-Inputs!$E$8))),0)</f>
        <v>22</v>
      </c>
      <c r="D1733" s="81" t="n">
        <f aca="true">RAND()</f>
        <v>0.695748491361284</v>
      </c>
      <c r="E1733" s="83" t="n">
        <f aca="false">IF(D1733&lt;(Inputs!$E$10-Inputs!$D$10)/(Inputs!$F$10-Inputs!$D$10),Inputs!$D$10+SQRT(D1733*(Inputs!$F$10-Inputs!$D$10)*(Inputs!$E$10-Inputs!$D$10)),Inputs!$F$10-SQRT((1-D1733)*(Inputs!$F$10-Inputs!$D$10)*(Inputs!$F$10-Inputs!$E$10)))</f>
        <v>0.104461812560833</v>
      </c>
      <c r="F1733" s="81" t="n">
        <f aca="true">RAND()</f>
        <v>0.716926742925398</v>
      </c>
      <c r="G1733" s="83" t="n">
        <f aca="false">IF(F1733&lt;(Inputs!$E$15-Inputs!$D$15)/(Inputs!$F$15-Inputs!$D$15),Inputs!$D$15+SQRT(F1733*(Inputs!$F$15-Inputs!$D$15)*(Inputs!$E$15-Inputs!$D$15)),Inputs!$F$15-SQRT((1-F1733)*(Inputs!$F$15-Inputs!$D$15)*(Inputs!$F$15-Inputs!$E$15)))</f>
        <v>0.724757291771946</v>
      </c>
      <c r="H1733" s="81" t="n">
        <f aca="true">RAND()</f>
        <v>0.303396637373537</v>
      </c>
      <c r="I1733" s="82" t="n">
        <f aca="false">ROUND(IF(H1733&lt;(Inputs!$E$17-Inputs!$D$17)/(Inputs!$F$17-Inputs!$D$17),Inputs!$D$17+SQRT(H1733*(Inputs!$F$17-Inputs!$D$17)*(Inputs!$E$17-Inputs!$D$17)),Inputs!$F$17-SQRT((1-H1733)*(Inputs!$F$17-Inputs!$D$17)*(Inputs!$F$17-Inputs!$E$17))),0)</f>
        <v>105</v>
      </c>
      <c r="J1733" s="81" t="n">
        <f aca="true">RAND()</f>
        <v>0.289822475181822</v>
      </c>
      <c r="K1733" s="83" t="n">
        <f aca="false">IF(J1733&lt;(Inputs!$E$18-Inputs!$D$18)/(Inputs!$F$18-Inputs!$D$18),Inputs!$D$18+SQRT(J1733*(Inputs!$F$18-Inputs!$D$18)*(Inputs!$E$18-Inputs!$D$18)),Inputs!$F$18-SQRT((1-J1733)*(Inputs!$F$18-Inputs!$D$18)*(Inputs!$F$18-Inputs!$E$18)))</f>
        <v>1.00071996987005</v>
      </c>
      <c r="L1733" s="81" t="n">
        <f aca="true">RAND()</f>
        <v>0.235354125723803</v>
      </c>
      <c r="M1733" s="83" t="n">
        <f aca="false">IF(L1733&lt;(Inputs!$E$24-Inputs!$D$24)/(Inputs!$F$24-Inputs!$D$24),Inputs!$D$24+SQRT(L1733*(Inputs!$F$24-Inputs!$D$24)*(Inputs!$E$24-Inputs!$D$24)),Inputs!$F$24-SQRT((1-L1733)*(Inputs!$F$24-Inputs!$D$24)*(Inputs!$F$24-Inputs!$E$24)))</f>
        <v>0.76805503588663</v>
      </c>
      <c r="N1733" s="81" t="n">
        <f aca="true">RAND()</f>
        <v>0.610751103950783</v>
      </c>
      <c r="O1733" s="83" t="n">
        <f aca="false">IF(N1733&lt;(Inputs!$E$26-Inputs!$D$26)/(Inputs!$F$26-Inputs!$D$26),Inputs!$D$26+SQRT(N1733*(Inputs!$F$26-Inputs!$D$26)*(Inputs!$E$26-Inputs!$D$26)),Inputs!$F$26-SQRT((1-N1733)*(Inputs!$F$26-Inputs!$D$26)*(Inputs!$F$26-Inputs!$E$26)))</f>
        <v>0.618793010741155</v>
      </c>
      <c r="P1733" s="81" t="n">
        <f aca="true">RAND()</f>
        <v>0.316842429479196</v>
      </c>
      <c r="Q1733" s="82" t="n">
        <f aca="false">IF(P1733&lt;(Inputs!$E$27-Inputs!$D$27)/(Inputs!$F$27-Inputs!$D$27),Inputs!$D$27+SQRT(P1733*(Inputs!$F$27-Inputs!$D$27)*(Inputs!$E$27-Inputs!$D$27)),Inputs!$F$27-SQRT((1-P1733)*(Inputs!$F$27-Inputs!$D$27)*(Inputs!$F$27-Inputs!$E$27)))</f>
        <v>78.4201021312126</v>
      </c>
      <c r="R1733" s="81" t="n">
        <f aca="true">RAND()</f>
        <v>0.704389951080533</v>
      </c>
      <c r="S1733" s="82" t="n">
        <f aca="false">IF(R1733&lt;(Inputs!$E$29-Inputs!$D$29)/(Inputs!$F$29-Inputs!$D$29),Inputs!$D$29+SQRT(R1733*(Inputs!$F$29-Inputs!$D$29)*(Inputs!$E$29-Inputs!$D$29)),Inputs!$F$29-SQRT((1-R1733)*(Inputs!$F$29-Inputs!$D$29)*(Inputs!$F$29-Inputs!$E$29)))</f>
        <v>8.80086245034596</v>
      </c>
      <c r="T1733" s="68" t="n">
        <f aca="false">Inputs!$E$9*(1+E1733)+Inputs!$E$5*C1733*(Inputs!$E$11*Inputs!$E$14*(G1733*I1733/Inputs!$E$16+(1-G1733))*K1733+Inputs!$E$23*M1733)*(1+O1733)+Inputs!$E$5*(Q1733+S1733)</f>
        <v>5725.55482732914</v>
      </c>
    </row>
    <row r="1734" customFormat="false" ht="15" hidden="false" customHeight="false" outlineLevel="0" collapsed="false">
      <c r="A1734" s="1" t="n">
        <v>1730</v>
      </c>
      <c r="B1734" s="81" t="n">
        <f aca="true">RAND()</f>
        <v>0.390623657821597</v>
      </c>
      <c r="C1734" s="82" t="n">
        <f aca="false">ROUND(IF(B1734&lt;(Inputs!$E$8-Inputs!$D$8)/(Inputs!$F$8-Inputs!$D$8),Inputs!$D$8+SQRT(B1734*(Inputs!$F$8-Inputs!$D$8)*(Inputs!$E$8-Inputs!$D$8)),Inputs!$F$8-SQRT((1-B1734)*(Inputs!$F$8-Inputs!$D$8)*(Inputs!$F$8-Inputs!$E$8))),0)</f>
        <v>24</v>
      </c>
      <c r="D1734" s="81" t="n">
        <f aca="true">RAND()</f>
        <v>0.855023543474909</v>
      </c>
      <c r="E1734" s="83" t="n">
        <f aca="false">IF(D1734&lt;(Inputs!$E$10-Inputs!$D$10)/(Inputs!$F$10-Inputs!$D$10),Inputs!$D$10+SQRT(D1734*(Inputs!$F$10-Inputs!$D$10)*(Inputs!$E$10-Inputs!$D$10)),Inputs!$F$10-SQRT((1-D1734)*(Inputs!$F$10-Inputs!$D$10)*(Inputs!$F$10-Inputs!$E$10)))</f>
        <v>0.134050824904683</v>
      </c>
      <c r="F1734" s="81" t="n">
        <f aca="true">RAND()</f>
        <v>0.353527316612592</v>
      </c>
      <c r="G1734" s="83" t="n">
        <f aca="false">IF(F1734&lt;(Inputs!$E$15-Inputs!$D$15)/(Inputs!$F$15-Inputs!$D$15),Inputs!$D$15+SQRT(F1734*(Inputs!$F$15-Inputs!$D$15)*(Inputs!$E$15-Inputs!$D$15)),Inputs!$F$15-SQRT((1-F1734)*(Inputs!$F$15-Inputs!$D$15)*(Inputs!$F$15-Inputs!$E$15)))</f>
        <v>0.684086540731867</v>
      </c>
      <c r="H1734" s="81" t="n">
        <f aca="true">RAND()</f>
        <v>0.626059719780551</v>
      </c>
      <c r="I1734" s="82" t="n">
        <f aca="false">ROUND(IF(H1734&lt;(Inputs!$E$17-Inputs!$D$17)/(Inputs!$F$17-Inputs!$D$17),Inputs!$D$17+SQRT(H1734*(Inputs!$F$17-Inputs!$D$17)*(Inputs!$E$17-Inputs!$D$17)),Inputs!$F$17-SQRT((1-H1734)*(Inputs!$F$17-Inputs!$D$17)*(Inputs!$F$17-Inputs!$E$17))),0)</f>
        <v>108</v>
      </c>
      <c r="J1734" s="81" t="n">
        <f aca="true">RAND()</f>
        <v>0.443163500428829</v>
      </c>
      <c r="K1734" s="83" t="n">
        <f aca="false">IF(J1734&lt;(Inputs!$E$18-Inputs!$D$18)/(Inputs!$F$18-Inputs!$D$18),Inputs!$D$18+SQRT(J1734*(Inputs!$F$18-Inputs!$D$18)*(Inputs!$E$18-Inputs!$D$18)),Inputs!$F$18-SQRT((1-J1734)*(Inputs!$F$18-Inputs!$D$18)*(Inputs!$F$18-Inputs!$E$18)))</f>
        <v>1.02926669097647</v>
      </c>
      <c r="L1734" s="81" t="n">
        <f aca="true">RAND()</f>
        <v>0.287094036235238</v>
      </c>
      <c r="M1734" s="83" t="n">
        <f aca="false">IF(L1734&lt;(Inputs!$E$24-Inputs!$D$24)/(Inputs!$F$24-Inputs!$D$24),Inputs!$D$24+SQRT(L1734*(Inputs!$F$24-Inputs!$D$24)*(Inputs!$E$24-Inputs!$D$24)),Inputs!$F$24-SQRT((1-L1734)*(Inputs!$F$24-Inputs!$D$24)*(Inputs!$F$24-Inputs!$E$24)))</f>
        <v>0.785610571757722</v>
      </c>
      <c r="N1734" s="81" t="n">
        <f aca="true">RAND()</f>
        <v>0.097195259133179</v>
      </c>
      <c r="O1734" s="83" t="n">
        <f aca="false">IF(N1734&lt;(Inputs!$E$26-Inputs!$D$26)/(Inputs!$F$26-Inputs!$D$26),Inputs!$D$26+SQRT(N1734*(Inputs!$F$26-Inputs!$D$26)*(Inputs!$E$26-Inputs!$D$26)),Inputs!$F$26-SQRT((1-N1734)*(Inputs!$F$26-Inputs!$D$26)*(Inputs!$F$26-Inputs!$E$26)))</f>
        <v>0.427174254940853</v>
      </c>
      <c r="P1734" s="81" t="n">
        <f aca="true">RAND()</f>
        <v>0.882134880500624</v>
      </c>
      <c r="Q1734" s="82" t="n">
        <f aca="false">IF(P1734&lt;(Inputs!$E$27-Inputs!$D$27)/(Inputs!$F$27-Inputs!$D$27),Inputs!$D$27+SQRT(P1734*(Inputs!$F$27-Inputs!$D$27)*(Inputs!$E$27-Inputs!$D$27)),Inputs!$F$27-SQRT((1-P1734)*(Inputs!$F$27-Inputs!$D$27)*(Inputs!$F$27-Inputs!$E$27)))</f>
        <v>120.268057644255</v>
      </c>
      <c r="R1734" s="81" t="n">
        <f aca="true">RAND()</f>
        <v>0.709293255968568</v>
      </c>
      <c r="S1734" s="82" t="n">
        <f aca="false">IF(R1734&lt;(Inputs!$E$29-Inputs!$D$29)/(Inputs!$F$29-Inputs!$D$29),Inputs!$D$29+SQRT(R1734*(Inputs!$F$29-Inputs!$D$29)*(Inputs!$E$29-Inputs!$D$29)),Inputs!$F$29-SQRT((1-R1734)*(Inputs!$F$29-Inputs!$D$29)*(Inputs!$F$29-Inputs!$E$29)))</f>
        <v>8.85249020138348</v>
      </c>
      <c r="T1734" s="68" t="n">
        <f aca="false">Inputs!$E$9*(1+E1734)+Inputs!$E$5*C1734*(Inputs!$E$11*Inputs!$E$14*(G1734*I1734/Inputs!$E$16+(1-G1734))*K1734+Inputs!$E$23*M1734)*(1+O1734)+Inputs!$E$5*(Q1734+S1734)</f>
        <v>6041.85247711191</v>
      </c>
    </row>
    <row r="1735" customFormat="false" ht="15" hidden="false" customHeight="false" outlineLevel="0" collapsed="false">
      <c r="A1735" s="1" t="n">
        <v>1731</v>
      </c>
      <c r="B1735" s="81" t="n">
        <f aca="true">RAND()</f>
        <v>0.345768061583529</v>
      </c>
      <c r="C1735" s="82" t="n">
        <f aca="false">ROUND(IF(B1735&lt;(Inputs!$E$8-Inputs!$D$8)/(Inputs!$F$8-Inputs!$D$8),Inputs!$D$8+SQRT(B1735*(Inputs!$F$8-Inputs!$D$8)*(Inputs!$E$8-Inputs!$D$8)),Inputs!$F$8-SQRT((1-B1735)*(Inputs!$F$8-Inputs!$D$8)*(Inputs!$F$8-Inputs!$E$8))),0)</f>
        <v>24</v>
      </c>
      <c r="D1735" s="81" t="n">
        <f aca="true">RAND()</f>
        <v>0.834882636649078</v>
      </c>
      <c r="E1735" s="83" t="n">
        <f aca="false">IF(D1735&lt;(Inputs!$E$10-Inputs!$D$10)/(Inputs!$F$10-Inputs!$D$10),Inputs!$D$10+SQRT(D1735*(Inputs!$F$10-Inputs!$D$10)*(Inputs!$E$10-Inputs!$D$10)),Inputs!$F$10-SQRT((1-D1735)*(Inputs!$F$10-Inputs!$D$10)*(Inputs!$F$10-Inputs!$E$10)))</f>
        <v>0.129618746100061</v>
      </c>
      <c r="F1735" s="81" t="n">
        <f aca="true">RAND()</f>
        <v>0.118174863135685</v>
      </c>
      <c r="G1735" s="83" t="n">
        <f aca="false">IF(F1735&lt;(Inputs!$E$15-Inputs!$D$15)/(Inputs!$F$15-Inputs!$D$15),Inputs!$D$15+SQRT(F1735*(Inputs!$F$15-Inputs!$D$15)*(Inputs!$E$15-Inputs!$D$15)),Inputs!$F$15-SQRT((1-F1735)*(Inputs!$F$15-Inputs!$D$15)*(Inputs!$F$15-Inputs!$E$15)))</f>
        <v>0.648615812887513</v>
      </c>
      <c r="H1735" s="81" t="n">
        <f aca="true">RAND()</f>
        <v>0.393809807582887</v>
      </c>
      <c r="I1735" s="82" t="n">
        <f aca="false">ROUND(IF(H1735&lt;(Inputs!$E$17-Inputs!$D$17)/(Inputs!$F$17-Inputs!$D$17),Inputs!$D$17+SQRT(H1735*(Inputs!$F$17-Inputs!$D$17)*(Inputs!$E$17-Inputs!$D$17)),Inputs!$F$17-SQRT((1-H1735)*(Inputs!$F$17-Inputs!$D$17)*(Inputs!$F$17-Inputs!$E$17))),0)</f>
        <v>105</v>
      </c>
      <c r="J1735" s="81" t="n">
        <f aca="true">RAND()</f>
        <v>0.438416713346037</v>
      </c>
      <c r="K1735" s="83" t="n">
        <f aca="false">IF(J1735&lt;(Inputs!$E$18-Inputs!$D$18)/(Inputs!$F$18-Inputs!$D$18),Inputs!$D$18+SQRT(J1735*(Inputs!$F$18-Inputs!$D$18)*(Inputs!$E$18-Inputs!$D$18)),Inputs!$F$18-SQRT((1-J1735)*(Inputs!$F$18-Inputs!$D$18)*(Inputs!$F$18-Inputs!$E$18)))</f>
        <v>1.0283278601578</v>
      </c>
      <c r="L1735" s="81" t="n">
        <f aca="true">RAND()</f>
        <v>0.652461244117256</v>
      </c>
      <c r="M1735" s="83" t="n">
        <f aca="false">IF(L1735&lt;(Inputs!$E$24-Inputs!$D$24)/(Inputs!$F$24-Inputs!$D$24),Inputs!$D$24+SQRT(L1735*(Inputs!$F$24-Inputs!$D$24)*(Inputs!$E$24-Inputs!$D$24)),Inputs!$F$24-SQRT((1-L1735)*(Inputs!$F$24-Inputs!$D$24)*(Inputs!$F$24-Inputs!$E$24)))</f>
        <v>0.911193314807537</v>
      </c>
      <c r="N1735" s="81" t="n">
        <f aca="true">RAND()</f>
        <v>0.0905455520747831</v>
      </c>
      <c r="O1735" s="83" t="n">
        <f aca="false">IF(N1735&lt;(Inputs!$E$26-Inputs!$D$26)/(Inputs!$F$26-Inputs!$D$26),Inputs!$D$26+SQRT(N1735*(Inputs!$F$26-Inputs!$D$26)*(Inputs!$E$26-Inputs!$D$26)),Inputs!$F$26-SQRT((1-N1735)*(Inputs!$F$26-Inputs!$D$26)*(Inputs!$F$26-Inputs!$E$26)))</f>
        <v>0.422746812036989</v>
      </c>
      <c r="P1735" s="81" t="n">
        <f aca="true">RAND()</f>
        <v>0.173047810271717</v>
      </c>
      <c r="Q1735" s="82" t="n">
        <f aca="false">IF(P1735&lt;(Inputs!$E$27-Inputs!$D$27)/(Inputs!$F$27-Inputs!$D$27),Inputs!$D$27+SQRT(P1735*(Inputs!$F$27-Inputs!$D$27)*(Inputs!$E$27-Inputs!$D$27)),Inputs!$F$27-SQRT((1-P1735)*(Inputs!$F$27-Inputs!$D$27)*(Inputs!$F$27-Inputs!$E$27)))</f>
        <v>70.7995078230061</v>
      </c>
      <c r="R1735" s="81" t="n">
        <f aca="true">RAND()</f>
        <v>0.689155101032546</v>
      </c>
      <c r="S1735" s="82" t="n">
        <f aca="false">IF(R1735&lt;(Inputs!$E$29-Inputs!$D$29)/(Inputs!$F$29-Inputs!$D$29),Inputs!$D$29+SQRT(R1735*(Inputs!$F$29-Inputs!$D$29)*(Inputs!$E$29-Inputs!$D$29)),Inputs!$F$29-SQRT((1-R1735)*(Inputs!$F$29-Inputs!$D$29)*(Inputs!$F$29-Inputs!$E$29)))</f>
        <v>8.64312680118842</v>
      </c>
      <c r="T1735" s="68" t="n">
        <f aca="false">Inputs!$E$9*(1+E1735)+Inputs!$E$5*C1735*(Inputs!$E$11*Inputs!$E$14*(G1735*I1735/Inputs!$E$16+(1-G1735))*K1735+Inputs!$E$23*M1735)*(1+O1735)+Inputs!$E$5*(Q1735+S1735)</f>
        <v>5937.30466019608</v>
      </c>
    </row>
    <row r="1736" customFormat="false" ht="15" hidden="false" customHeight="false" outlineLevel="0" collapsed="false">
      <c r="A1736" s="1" t="n">
        <v>1732</v>
      </c>
      <c r="B1736" s="81" t="n">
        <f aca="true">RAND()</f>
        <v>0.190652803520107</v>
      </c>
      <c r="C1736" s="82" t="n">
        <f aca="false">ROUND(IF(B1736&lt;(Inputs!$E$8-Inputs!$D$8)/(Inputs!$F$8-Inputs!$D$8),Inputs!$D$8+SQRT(B1736*(Inputs!$F$8-Inputs!$D$8)*(Inputs!$E$8-Inputs!$D$8)),Inputs!$F$8-SQRT((1-B1736)*(Inputs!$F$8-Inputs!$D$8)*(Inputs!$F$8-Inputs!$E$8))),0)</f>
        <v>23</v>
      </c>
      <c r="D1736" s="81" t="n">
        <f aca="true">RAND()</f>
        <v>0.126241936717713</v>
      </c>
      <c r="E1736" s="83" t="n">
        <f aca="false">IF(D1736&lt;(Inputs!$E$10-Inputs!$D$10)/(Inputs!$F$10-Inputs!$D$10),Inputs!$D$10+SQRT(D1736*(Inputs!$F$10-Inputs!$D$10)*(Inputs!$E$10-Inputs!$D$10)),Inputs!$F$10-SQRT((1-D1736)*(Inputs!$F$10-Inputs!$D$10)*(Inputs!$F$10-Inputs!$E$10)))</f>
        <v>0.0355305413296382</v>
      </c>
      <c r="F1736" s="81" t="n">
        <f aca="true">RAND()</f>
        <v>0.434464501831508</v>
      </c>
      <c r="G1736" s="83" t="n">
        <f aca="false">IF(F1736&lt;(Inputs!$E$15-Inputs!$D$15)/(Inputs!$F$15-Inputs!$D$15),Inputs!$D$15+SQRT(F1736*(Inputs!$F$15-Inputs!$D$15)*(Inputs!$E$15-Inputs!$D$15)),Inputs!$F$15-SQRT((1-F1736)*(Inputs!$F$15-Inputs!$D$15)*(Inputs!$F$15-Inputs!$E$15)))</f>
        <v>0.69321636142132</v>
      </c>
      <c r="H1736" s="81" t="n">
        <f aca="true">RAND()</f>
        <v>0.543988935828518</v>
      </c>
      <c r="I1736" s="82" t="n">
        <f aca="false">ROUND(IF(H1736&lt;(Inputs!$E$17-Inputs!$D$17)/(Inputs!$F$17-Inputs!$D$17),Inputs!$D$17+SQRT(H1736*(Inputs!$F$17-Inputs!$D$17)*(Inputs!$E$17-Inputs!$D$17)),Inputs!$F$17-SQRT((1-H1736)*(Inputs!$F$17-Inputs!$D$17)*(Inputs!$F$17-Inputs!$E$17))),0)</f>
        <v>107</v>
      </c>
      <c r="J1736" s="81" t="n">
        <f aca="true">RAND()</f>
        <v>0.761625210712359</v>
      </c>
      <c r="K1736" s="83" t="n">
        <f aca="false">IF(J1736&lt;(Inputs!$E$18-Inputs!$D$18)/(Inputs!$F$18-Inputs!$D$18),Inputs!$D$18+SQRT(J1736*(Inputs!$F$18-Inputs!$D$18)*(Inputs!$E$18-Inputs!$D$18)),Inputs!$F$18-SQRT((1-J1736)*(Inputs!$F$18-Inputs!$D$18)*(Inputs!$F$18-Inputs!$E$18)))</f>
        <v>1.105577723108</v>
      </c>
      <c r="L1736" s="81" t="n">
        <f aca="true">RAND()</f>
        <v>0.351991628579965</v>
      </c>
      <c r="M1736" s="83" t="n">
        <f aca="false">IF(L1736&lt;(Inputs!$E$24-Inputs!$D$24)/(Inputs!$F$24-Inputs!$D$24),Inputs!$D$24+SQRT(L1736*(Inputs!$F$24-Inputs!$D$24)*(Inputs!$E$24-Inputs!$D$24)),Inputs!$F$24-SQRT((1-L1736)*(Inputs!$F$24-Inputs!$D$24)*(Inputs!$F$24-Inputs!$E$24)))</f>
        <v>0.805637211262512</v>
      </c>
      <c r="N1736" s="81" t="n">
        <f aca="true">RAND()</f>
        <v>0.299178281808421</v>
      </c>
      <c r="O1736" s="83" t="n">
        <f aca="false">IF(N1736&lt;(Inputs!$E$26-Inputs!$D$26)/(Inputs!$F$26-Inputs!$D$26),Inputs!$D$26+SQRT(N1736*(Inputs!$F$26-Inputs!$D$26)*(Inputs!$E$26-Inputs!$D$26)),Inputs!$F$26-SQRT((1-N1736)*(Inputs!$F$26-Inputs!$D$26)*(Inputs!$F$26-Inputs!$E$26)))</f>
        <v>0.523121639678722</v>
      </c>
      <c r="P1736" s="81" t="n">
        <f aca="true">RAND()</f>
        <v>0.452040476824094</v>
      </c>
      <c r="Q1736" s="82" t="n">
        <f aca="false">IF(P1736&lt;(Inputs!$E$27-Inputs!$D$27)/(Inputs!$F$27-Inputs!$D$27),Inputs!$D$27+SQRT(P1736*(Inputs!$F$27-Inputs!$D$27)*(Inputs!$E$27-Inputs!$D$27)),Inputs!$F$27-SQRT((1-P1736)*(Inputs!$F$27-Inputs!$D$27)*(Inputs!$F$27-Inputs!$E$27)))</f>
        <v>85.8930859905166</v>
      </c>
      <c r="R1736" s="81" t="n">
        <f aca="true">RAND()</f>
        <v>0.143561887880733</v>
      </c>
      <c r="S1736" s="82" t="n">
        <f aca="false">IF(R1736&lt;(Inputs!$E$29-Inputs!$D$29)/(Inputs!$F$29-Inputs!$D$29),Inputs!$D$29+SQRT(R1736*(Inputs!$F$29-Inputs!$D$29)*(Inputs!$E$29-Inputs!$D$29)),Inputs!$F$29-SQRT((1-R1736)*(Inputs!$F$29-Inputs!$D$29)*(Inputs!$F$29-Inputs!$E$29)))</f>
        <v>4.36620236398931</v>
      </c>
      <c r="T1736" s="68" t="n">
        <f aca="false">Inputs!$E$9*(1+E1736)+Inputs!$E$5*C1736*(Inputs!$E$11*Inputs!$E$14*(G1736*I1736/Inputs!$E$16+(1-G1736))*K1736+Inputs!$E$23*M1736)*(1+O1736)+Inputs!$E$5*(Q1736+S1736)</f>
        <v>5846.5991843783</v>
      </c>
    </row>
    <row r="1737" customFormat="false" ht="15" hidden="false" customHeight="false" outlineLevel="0" collapsed="false">
      <c r="A1737" s="1" t="n">
        <v>1733</v>
      </c>
      <c r="B1737" s="81" t="n">
        <f aca="true">RAND()</f>
        <v>0.0553560106956154</v>
      </c>
      <c r="C1737" s="82" t="n">
        <f aca="false">ROUND(IF(B1737&lt;(Inputs!$E$8-Inputs!$D$8)/(Inputs!$F$8-Inputs!$D$8),Inputs!$D$8+SQRT(B1737*(Inputs!$F$8-Inputs!$D$8)*(Inputs!$E$8-Inputs!$D$8)),Inputs!$F$8-SQRT((1-B1737)*(Inputs!$F$8-Inputs!$D$8)*(Inputs!$F$8-Inputs!$E$8))),0)</f>
        <v>22</v>
      </c>
      <c r="D1737" s="81" t="n">
        <f aca="true">RAND()</f>
        <v>0.104993699306849</v>
      </c>
      <c r="E1737" s="83" t="n">
        <f aca="false">IF(D1737&lt;(Inputs!$E$10-Inputs!$D$10)/(Inputs!$F$10-Inputs!$D$10),Inputs!$D$10+SQRT(D1737*(Inputs!$F$10-Inputs!$D$10)*(Inputs!$E$10-Inputs!$D$10)),Inputs!$F$10-SQRT((1-D1737)*(Inputs!$F$10-Inputs!$D$10)*(Inputs!$F$10-Inputs!$E$10)))</f>
        <v>0.0324027312593938</v>
      </c>
      <c r="F1737" s="81" t="n">
        <f aca="true">RAND()</f>
        <v>0.843100986166338</v>
      </c>
      <c r="G1737" s="83" t="n">
        <f aca="false">IF(F1737&lt;(Inputs!$E$15-Inputs!$D$15)/(Inputs!$F$15-Inputs!$D$15),Inputs!$D$15+SQRT(F1737*(Inputs!$F$15-Inputs!$D$15)*(Inputs!$E$15-Inputs!$D$15)),Inputs!$F$15-SQRT((1-F1737)*(Inputs!$F$15-Inputs!$D$15)*(Inputs!$F$15-Inputs!$E$15)))</f>
        <v>0.743982321748637</v>
      </c>
      <c r="H1737" s="81" t="n">
        <f aca="true">RAND()</f>
        <v>0.717200203999713</v>
      </c>
      <c r="I1737" s="82" t="n">
        <f aca="false">ROUND(IF(H1737&lt;(Inputs!$E$17-Inputs!$D$17)/(Inputs!$F$17-Inputs!$D$17),Inputs!$D$17+SQRT(H1737*(Inputs!$F$17-Inputs!$D$17)*(Inputs!$E$17-Inputs!$D$17)),Inputs!$F$17-SQRT((1-H1737)*(Inputs!$F$17-Inputs!$D$17)*(Inputs!$F$17-Inputs!$E$17))),0)</f>
        <v>108</v>
      </c>
      <c r="J1737" s="81" t="n">
        <f aca="true">RAND()</f>
        <v>0.0945841699328622</v>
      </c>
      <c r="K1737" s="83" t="n">
        <f aca="false">IF(J1737&lt;(Inputs!$E$18-Inputs!$D$18)/(Inputs!$F$18-Inputs!$D$18),Inputs!$D$18+SQRT(J1737*(Inputs!$F$18-Inputs!$D$18)*(Inputs!$E$18-Inputs!$D$18)),Inputs!$F$18-SQRT((1-J1737)*(Inputs!$F$18-Inputs!$D$18)*(Inputs!$F$18-Inputs!$E$18)))</f>
        <v>0.95753647493243</v>
      </c>
      <c r="L1737" s="81" t="n">
        <f aca="true">RAND()</f>
        <v>0.183716821170784</v>
      </c>
      <c r="M1737" s="83" t="n">
        <f aca="false">IF(L1737&lt;(Inputs!$E$24-Inputs!$D$24)/(Inputs!$F$24-Inputs!$D$24),Inputs!$D$24+SQRT(L1737*(Inputs!$F$24-Inputs!$D$24)*(Inputs!$E$24-Inputs!$D$24)),Inputs!$F$24-SQRT((1-L1737)*(Inputs!$F$24-Inputs!$D$24)*(Inputs!$F$24-Inputs!$E$24)))</f>
        <v>0.748479017172441</v>
      </c>
      <c r="N1737" s="81" t="n">
        <f aca="true">RAND()</f>
        <v>0.278230225671073</v>
      </c>
      <c r="O1737" s="83" t="n">
        <f aca="false">IF(N1737&lt;(Inputs!$E$26-Inputs!$D$26)/(Inputs!$F$26-Inputs!$D$26),Inputs!$D$26+SQRT(N1737*(Inputs!$F$26-Inputs!$D$26)*(Inputs!$E$26-Inputs!$D$26)),Inputs!$F$26-SQRT((1-N1737)*(Inputs!$F$26-Inputs!$D$26)*(Inputs!$F$26-Inputs!$E$26)))</f>
        <v>0.515168560788203</v>
      </c>
      <c r="P1737" s="81" t="n">
        <f aca="true">RAND()</f>
        <v>0.264946214277308</v>
      </c>
      <c r="Q1737" s="82" t="n">
        <f aca="false">IF(P1737&lt;(Inputs!$E$27-Inputs!$D$27)/(Inputs!$F$27-Inputs!$D$27),Inputs!$D$27+SQRT(P1737*(Inputs!$F$27-Inputs!$D$27)*(Inputs!$E$27-Inputs!$D$27)),Inputs!$F$27-SQRT((1-P1737)*(Inputs!$F$27-Inputs!$D$27)*(Inputs!$F$27-Inputs!$E$27)))</f>
        <v>75.7510714358773</v>
      </c>
      <c r="R1737" s="81" t="n">
        <f aca="true">RAND()</f>
        <v>0.181495484151328</v>
      </c>
      <c r="S1737" s="82" t="n">
        <f aca="false">IF(R1737&lt;(Inputs!$E$29-Inputs!$D$29)/(Inputs!$F$29-Inputs!$D$29),Inputs!$D$29+SQRT(R1737*(Inputs!$F$29-Inputs!$D$29)*(Inputs!$E$29-Inputs!$D$29)),Inputs!$F$29-SQRT((1-R1737)*(Inputs!$F$29-Inputs!$D$29)*(Inputs!$F$29-Inputs!$E$29)))</f>
        <v>4.66051195860906</v>
      </c>
      <c r="T1737" s="68" t="n">
        <f aca="false">Inputs!$E$9*(1+E1737)+Inputs!$E$5*C1737*(Inputs!$E$11*Inputs!$E$14*(G1737*I1737/Inputs!$E$16+(1-G1737))*K1737+Inputs!$E$23*M1737)*(1+O1737)+Inputs!$E$5*(Q1737+S1737)</f>
        <v>5259.76610239974</v>
      </c>
    </row>
    <row r="1738" customFormat="false" ht="15" hidden="false" customHeight="false" outlineLevel="0" collapsed="false">
      <c r="A1738" s="1" t="n">
        <v>1734</v>
      </c>
      <c r="B1738" s="81" t="n">
        <f aca="true">RAND()</f>
        <v>0.198163060217889</v>
      </c>
      <c r="C1738" s="82" t="n">
        <f aca="false">ROUND(IF(B1738&lt;(Inputs!$E$8-Inputs!$D$8)/(Inputs!$F$8-Inputs!$D$8),Inputs!$D$8+SQRT(B1738*(Inputs!$F$8-Inputs!$D$8)*(Inputs!$E$8-Inputs!$D$8)),Inputs!$F$8-SQRT((1-B1738)*(Inputs!$F$8-Inputs!$D$8)*(Inputs!$F$8-Inputs!$E$8))),0)</f>
        <v>23</v>
      </c>
      <c r="D1738" s="81" t="n">
        <f aca="true">RAND()</f>
        <v>0.677050738919766</v>
      </c>
      <c r="E1738" s="83" t="n">
        <f aca="false">IF(D1738&lt;(Inputs!$E$10-Inputs!$D$10)/(Inputs!$F$10-Inputs!$D$10),Inputs!$D$10+SQRT(D1738*(Inputs!$F$10-Inputs!$D$10)*(Inputs!$E$10-Inputs!$D$10)),Inputs!$F$10-SQRT((1-D1738)*(Inputs!$F$10-Inputs!$D$10)*(Inputs!$F$10-Inputs!$E$10)))</f>
        <v>0.1015699343066</v>
      </c>
      <c r="F1738" s="81" t="n">
        <f aca="true">RAND()</f>
        <v>0.365515864692903</v>
      </c>
      <c r="G1738" s="83" t="n">
        <f aca="false">IF(F1738&lt;(Inputs!$E$15-Inputs!$D$15)/(Inputs!$F$15-Inputs!$D$15),Inputs!$D$15+SQRT(F1738*(Inputs!$F$15-Inputs!$D$15)*(Inputs!$E$15-Inputs!$D$15)),Inputs!$F$15-SQRT((1-F1738)*(Inputs!$F$15-Inputs!$D$15)*(Inputs!$F$15-Inputs!$E$15)))</f>
        <v>0.685500393530428</v>
      </c>
      <c r="H1738" s="81" t="n">
        <f aca="true">RAND()</f>
        <v>0.172044707870574</v>
      </c>
      <c r="I1738" s="82" t="n">
        <f aca="false">ROUND(IF(H1738&lt;(Inputs!$E$17-Inputs!$D$17)/(Inputs!$F$17-Inputs!$D$17),Inputs!$D$17+SQRT(H1738*(Inputs!$F$17-Inputs!$D$17)*(Inputs!$E$17-Inputs!$D$17)),Inputs!$F$17-SQRT((1-H1738)*(Inputs!$F$17-Inputs!$D$17)*(Inputs!$F$17-Inputs!$E$17))),0)</f>
        <v>104</v>
      </c>
      <c r="J1738" s="81" t="n">
        <f aca="true">RAND()</f>
        <v>0.720410296040913</v>
      </c>
      <c r="K1738" s="83" t="n">
        <f aca="false">IF(J1738&lt;(Inputs!$E$18-Inputs!$D$18)/(Inputs!$F$18-Inputs!$D$18),Inputs!$D$18+SQRT(J1738*(Inputs!$F$18-Inputs!$D$18)*(Inputs!$E$18-Inputs!$D$18)),Inputs!$F$18-SQRT((1-J1738)*(Inputs!$F$18-Inputs!$D$18)*(Inputs!$F$18-Inputs!$E$18)))</f>
        <v>1.09358996484746</v>
      </c>
      <c r="L1738" s="81" t="n">
        <f aca="true">RAND()</f>
        <v>0.891384111587718</v>
      </c>
      <c r="M1738" s="83" t="n">
        <f aca="false">IF(L1738&lt;(Inputs!$E$24-Inputs!$D$24)/(Inputs!$F$24-Inputs!$D$24),Inputs!$D$24+SQRT(L1738*(Inputs!$F$24-Inputs!$D$24)*(Inputs!$E$24-Inputs!$D$24)),Inputs!$F$24-SQRT((1-L1738)*(Inputs!$F$24-Inputs!$D$24)*(Inputs!$F$24-Inputs!$E$24)))</f>
        <v>1.03854470210319</v>
      </c>
      <c r="N1738" s="81" t="n">
        <f aca="true">RAND()</f>
        <v>0.81567031852462</v>
      </c>
      <c r="O1738" s="83" t="n">
        <f aca="false">IF(N1738&lt;(Inputs!$E$26-Inputs!$D$26)/(Inputs!$F$26-Inputs!$D$26),Inputs!$D$26+SQRT(N1738*(Inputs!$F$26-Inputs!$D$26)*(Inputs!$E$26-Inputs!$D$26)),Inputs!$F$26-SQRT((1-N1738)*(Inputs!$F$26-Inputs!$D$26)*(Inputs!$F$26-Inputs!$E$26)))</f>
        <v>0.681543194918272</v>
      </c>
      <c r="P1738" s="81" t="n">
        <f aca="true">RAND()</f>
        <v>0.517165913342903</v>
      </c>
      <c r="Q1738" s="82" t="n">
        <f aca="false">IF(P1738&lt;(Inputs!$E$27-Inputs!$D$27)/(Inputs!$F$27-Inputs!$D$27),Inputs!$D$27+SQRT(P1738*(Inputs!$F$27-Inputs!$D$27)*(Inputs!$E$27-Inputs!$D$27)),Inputs!$F$27-SQRT((1-P1738)*(Inputs!$F$27-Inputs!$D$27)*(Inputs!$F$27-Inputs!$E$27)))</f>
        <v>89.8231302747623</v>
      </c>
      <c r="R1738" s="81" t="n">
        <f aca="true">RAND()</f>
        <v>0.660714050998063</v>
      </c>
      <c r="S1738" s="82" t="n">
        <f aca="false">IF(R1738&lt;(Inputs!$E$29-Inputs!$D$29)/(Inputs!$F$29-Inputs!$D$29),Inputs!$D$29+SQRT(R1738*(Inputs!$F$29-Inputs!$D$29)*(Inputs!$E$29-Inputs!$D$29)),Inputs!$F$29-SQRT((1-R1738)*(Inputs!$F$29-Inputs!$D$29)*(Inputs!$F$29-Inputs!$E$29)))</f>
        <v>8.35867683588189</v>
      </c>
      <c r="T1738" s="68" t="n">
        <f aca="false">Inputs!$E$9*(1+E1738)+Inputs!$E$5*C1738*(Inputs!$E$11*Inputs!$E$14*(G1738*I1738/Inputs!$E$16+(1-G1738))*K1738+Inputs!$E$23*M1738)*(1+O1738)+Inputs!$E$5*(Q1738+S1738)</f>
        <v>6625.97586367388</v>
      </c>
    </row>
    <row r="1739" customFormat="false" ht="15" hidden="false" customHeight="false" outlineLevel="0" collapsed="false">
      <c r="A1739" s="1" t="n">
        <v>1735</v>
      </c>
      <c r="B1739" s="81" t="n">
        <f aca="true">RAND()</f>
        <v>0.981280754580756</v>
      </c>
      <c r="C1739" s="82" t="n">
        <f aca="false">ROUND(IF(B1739&lt;(Inputs!$E$8-Inputs!$D$8)/(Inputs!$F$8-Inputs!$D$8),Inputs!$D$8+SQRT(B1739*(Inputs!$F$8-Inputs!$D$8)*(Inputs!$E$8-Inputs!$D$8)),Inputs!$F$8-SQRT((1-B1739)*(Inputs!$F$8-Inputs!$D$8)*(Inputs!$F$8-Inputs!$E$8))),0)</f>
        <v>29</v>
      </c>
      <c r="D1739" s="81" t="n">
        <f aca="true">RAND()</f>
        <v>0.0637535751062039</v>
      </c>
      <c r="E1739" s="83" t="n">
        <f aca="false">IF(D1739&lt;(Inputs!$E$10-Inputs!$D$10)/(Inputs!$F$10-Inputs!$D$10),Inputs!$D$10+SQRT(D1739*(Inputs!$F$10-Inputs!$D$10)*(Inputs!$E$10-Inputs!$D$10)),Inputs!$F$10-SQRT((1-D1739)*(Inputs!$F$10-Inputs!$D$10)*(Inputs!$F$10-Inputs!$E$10)))</f>
        <v>0.0252494703125044</v>
      </c>
      <c r="F1739" s="81" t="n">
        <f aca="true">RAND()</f>
        <v>0.178750981892546</v>
      </c>
      <c r="G1739" s="83" t="n">
        <f aca="false">IF(F1739&lt;(Inputs!$E$15-Inputs!$D$15)/(Inputs!$F$15-Inputs!$D$15),Inputs!$D$15+SQRT(F1739*(Inputs!$F$15-Inputs!$D$15)*(Inputs!$E$15-Inputs!$D$15)),Inputs!$F$15-SQRT((1-F1739)*(Inputs!$F$15-Inputs!$D$15)*(Inputs!$F$15-Inputs!$E$15)))</f>
        <v>0.659791467935241</v>
      </c>
      <c r="H1739" s="81" t="n">
        <f aca="true">RAND()</f>
        <v>0.758915086736249</v>
      </c>
      <c r="I1739" s="82" t="n">
        <f aca="false">ROUND(IF(H1739&lt;(Inputs!$E$17-Inputs!$D$17)/(Inputs!$F$17-Inputs!$D$17),Inputs!$D$17+SQRT(H1739*(Inputs!$F$17-Inputs!$D$17)*(Inputs!$E$17-Inputs!$D$17)),Inputs!$F$17-SQRT((1-H1739)*(Inputs!$F$17-Inputs!$D$17)*(Inputs!$F$17-Inputs!$E$17))),0)</f>
        <v>109</v>
      </c>
      <c r="J1739" s="81" t="n">
        <f aca="true">RAND()</f>
        <v>0.30744815032652</v>
      </c>
      <c r="K1739" s="83" t="n">
        <f aca="false">IF(J1739&lt;(Inputs!$E$18-Inputs!$D$18)/(Inputs!$F$18-Inputs!$D$18),Inputs!$D$18+SQRT(J1739*(Inputs!$F$18-Inputs!$D$18)*(Inputs!$E$18-Inputs!$D$18)),Inputs!$F$18-SQRT((1-J1739)*(Inputs!$F$18-Inputs!$D$18)*(Inputs!$F$18-Inputs!$E$18)))</f>
        <v>1.0038328071281</v>
      </c>
      <c r="L1739" s="81" t="n">
        <f aca="true">RAND()</f>
        <v>0.518553972051873</v>
      </c>
      <c r="M1739" s="83" t="n">
        <f aca="false">IF(L1739&lt;(Inputs!$E$24-Inputs!$D$24)/(Inputs!$F$24-Inputs!$D$24),Inputs!$D$24+SQRT(L1739*(Inputs!$F$24-Inputs!$D$24)*(Inputs!$E$24-Inputs!$D$24)),Inputs!$F$24-SQRT((1-L1739)*(Inputs!$F$24-Inputs!$D$24)*(Inputs!$F$24-Inputs!$E$24)))</f>
        <v>0.86007788140877</v>
      </c>
      <c r="N1739" s="81" t="n">
        <f aca="true">RAND()</f>
        <v>0.368308043931674</v>
      </c>
      <c r="O1739" s="83" t="n">
        <f aca="false">IF(N1739&lt;(Inputs!$E$26-Inputs!$D$26)/(Inputs!$F$26-Inputs!$D$26),Inputs!$D$26+SQRT(N1739*(Inputs!$F$26-Inputs!$D$26)*(Inputs!$E$26-Inputs!$D$26)),Inputs!$F$26-SQRT((1-N1739)*(Inputs!$F$26-Inputs!$D$26)*(Inputs!$F$26-Inputs!$E$26)))</f>
        <v>0.54756101977135</v>
      </c>
      <c r="P1739" s="81" t="n">
        <f aca="true">RAND()</f>
        <v>0.18557639984242</v>
      </c>
      <c r="Q1739" s="82" t="n">
        <f aca="false">IF(P1739&lt;(Inputs!$E$27-Inputs!$D$27)/(Inputs!$F$27-Inputs!$D$27),Inputs!$D$27+SQRT(P1739*(Inputs!$F$27-Inputs!$D$27)*(Inputs!$E$27-Inputs!$D$27)),Inputs!$F$27-SQRT((1-P1739)*(Inputs!$F$27-Inputs!$D$27)*(Inputs!$F$27-Inputs!$E$27)))</f>
        <v>71.5392896727364</v>
      </c>
      <c r="R1739" s="81" t="n">
        <f aca="true">RAND()</f>
        <v>0.0279092725997428</v>
      </c>
      <c r="S1739" s="82" t="n">
        <f aca="false">IF(R1739&lt;(Inputs!$E$29-Inputs!$D$29)/(Inputs!$F$29-Inputs!$D$29),Inputs!$D$29+SQRT(R1739*(Inputs!$F$29-Inputs!$D$29)*(Inputs!$E$29-Inputs!$D$29)),Inputs!$F$29-SQRT((1-R1739)*(Inputs!$F$29-Inputs!$D$29)*(Inputs!$F$29-Inputs!$E$29)))</f>
        <v>3.04329364581117</v>
      </c>
      <c r="T1739" s="68" t="n">
        <f aca="false">Inputs!$E$9*(1+E1739)+Inputs!$E$5*C1739*(Inputs!$E$11*Inputs!$E$14*(G1739*I1739/Inputs!$E$16+(1-G1739))*K1739+Inputs!$E$23*M1739)*(1+O1739)+Inputs!$E$5*(Q1739+S1739)</f>
        <v>6533.69863390132</v>
      </c>
    </row>
    <row r="1740" customFormat="false" ht="15" hidden="false" customHeight="false" outlineLevel="0" collapsed="false">
      <c r="A1740" s="1" t="n">
        <v>1736</v>
      </c>
      <c r="B1740" s="81" t="n">
        <f aca="true">RAND()</f>
        <v>0.597142776429582</v>
      </c>
      <c r="C1740" s="82" t="n">
        <f aca="false">ROUND(IF(B1740&lt;(Inputs!$E$8-Inputs!$D$8)/(Inputs!$F$8-Inputs!$D$8),Inputs!$D$8+SQRT(B1740*(Inputs!$F$8-Inputs!$D$8)*(Inputs!$E$8-Inputs!$D$8)),Inputs!$F$8-SQRT((1-B1740)*(Inputs!$F$8-Inputs!$D$8)*(Inputs!$F$8-Inputs!$E$8))),0)</f>
        <v>26</v>
      </c>
      <c r="D1740" s="81" t="n">
        <f aca="true">RAND()</f>
        <v>0.22872589553245</v>
      </c>
      <c r="E1740" s="83" t="n">
        <f aca="false">IF(D1740&lt;(Inputs!$E$10-Inputs!$D$10)/(Inputs!$F$10-Inputs!$D$10),Inputs!$D$10+SQRT(D1740*(Inputs!$F$10-Inputs!$D$10)*(Inputs!$E$10-Inputs!$D$10)),Inputs!$F$10-SQRT((1-D1740)*(Inputs!$F$10-Inputs!$D$10)*(Inputs!$F$10-Inputs!$E$10)))</f>
        <v>0.0478252961864796</v>
      </c>
      <c r="F1740" s="81" t="n">
        <f aca="true">RAND()</f>
        <v>0.364433184681966</v>
      </c>
      <c r="G1740" s="83" t="n">
        <f aca="false">IF(F1740&lt;(Inputs!$E$15-Inputs!$D$15)/(Inputs!$F$15-Inputs!$D$15),Inputs!$D$15+SQRT(F1740*(Inputs!$F$15-Inputs!$D$15)*(Inputs!$E$15-Inputs!$D$15)),Inputs!$F$15-SQRT((1-F1740)*(Inputs!$F$15-Inputs!$D$15)*(Inputs!$F$15-Inputs!$E$15)))</f>
        <v>0.685373670962653</v>
      </c>
      <c r="H1740" s="81" t="n">
        <f aca="true">RAND()</f>
        <v>0.1801668792134</v>
      </c>
      <c r="I1740" s="82" t="n">
        <f aca="false">ROUND(IF(H1740&lt;(Inputs!$E$17-Inputs!$D$17)/(Inputs!$F$17-Inputs!$D$17),Inputs!$D$17+SQRT(H1740*(Inputs!$F$17-Inputs!$D$17)*(Inputs!$E$17-Inputs!$D$17)),Inputs!$F$17-SQRT((1-H1740)*(Inputs!$F$17-Inputs!$D$17)*(Inputs!$F$17-Inputs!$E$17))),0)</f>
        <v>104</v>
      </c>
      <c r="J1740" s="81" t="n">
        <f aca="true">RAND()</f>
        <v>0.371820782495341</v>
      </c>
      <c r="K1740" s="83" t="n">
        <f aca="false">IF(J1740&lt;(Inputs!$E$18-Inputs!$D$18)/(Inputs!$F$18-Inputs!$D$18),Inputs!$D$18+SQRT(J1740*(Inputs!$F$18-Inputs!$D$18)*(Inputs!$E$18-Inputs!$D$18)),Inputs!$F$18-SQRT((1-J1740)*(Inputs!$F$18-Inputs!$D$18)*(Inputs!$F$18-Inputs!$E$18)))</f>
        <v>1.01555239064632</v>
      </c>
      <c r="L1740" s="81" t="n">
        <f aca="true">RAND()</f>
        <v>0.136481000966703</v>
      </c>
      <c r="M1740" s="83" t="n">
        <f aca="false">IF(L1740&lt;(Inputs!$E$24-Inputs!$D$24)/(Inputs!$F$24-Inputs!$D$24),Inputs!$D$24+SQRT(L1740*(Inputs!$F$24-Inputs!$D$24)*(Inputs!$E$24-Inputs!$D$24)),Inputs!$F$24-SQRT((1-L1740)*(Inputs!$F$24-Inputs!$D$24)*(Inputs!$F$24-Inputs!$E$24)))</f>
        <v>0.727975466852066</v>
      </c>
      <c r="N1740" s="81" t="n">
        <f aca="true">RAND()</f>
        <v>0.736335636392727</v>
      </c>
      <c r="O1740" s="83" t="n">
        <f aca="false">IF(N1740&lt;(Inputs!$E$26-Inputs!$D$26)/(Inputs!$F$26-Inputs!$D$26),Inputs!$D$26+SQRT(N1740*(Inputs!$F$26-Inputs!$D$26)*(Inputs!$E$26-Inputs!$D$26)),Inputs!$F$26-SQRT((1-N1740)*(Inputs!$F$26-Inputs!$D$26)*(Inputs!$F$26-Inputs!$E$26)))</f>
        <v>0.654406842486906</v>
      </c>
      <c r="P1740" s="81" t="n">
        <f aca="true">RAND()</f>
        <v>0.797612569709035</v>
      </c>
      <c r="Q1740" s="82" t="n">
        <f aca="false">IF(P1740&lt;(Inputs!$E$27-Inputs!$D$27)/(Inputs!$F$27-Inputs!$D$27),Inputs!$D$27+SQRT(P1740*(Inputs!$F$27-Inputs!$D$27)*(Inputs!$E$27-Inputs!$D$27)),Inputs!$F$27-SQRT((1-P1740)*(Inputs!$F$27-Inputs!$D$27)*(Inputs!$F$27-Inputs!$E$27)))</f>
        <v>111.039690360801</v>
      </c>
      <c r="R1740" s="81" t="n">
        <f aca="true">RAND()</f>
        <v>0.410005944403631</v>
      </c>
      <c r="S1740" s="82" t="n">
        <f aca="false">IF(R1740&lt;(Inputs!$E$29-Inputs!$D$29)/(Inputs!$F$29-Inputs!$D$29),Inputs!$D$29+SQRT(R1740*(Inputs!$F$29-Inputs!$D$29)*(Inputs!$E$29-Inputs!$D$29)),Inputs!$F$29-SQRT((1-R1740)*(Inputs!$F$29-Inputs!$D$29)*(Inputs!$F$29-Inputs!$E$29)))</f>
        <v>6.24219050061444</v>
      </c>
      <c r="T1740" s="68" t="n">
        <f aca="false">Inputs!$E$9*(1+E1740)+Inputs!$E$5*C1740*(Inputs!$E$11*Inputs!$E$14*(G1740*I1740/Inputs!$E$16+(1-G1740))*K1740+Inputs!$E$23*M1740)*(1+O1740)+Inputs!$E$5*(Q1740+S1740)</f>
        <v>6362.64701440885</v>
      </c>
    </row>
    <row r="1741" customFormat="false" ht="15" hidden="false" customHeight="false" outlineLevel="0" collapsed="false">
      <c r="A1741" s="1" t="n">
        <v>1737</v>
      </c>
      <c r="B1741" s="81" t="n">
        <f aca="true">RAND()</f>
        <v>0.721490517256987</v>
      </c>
      <c r="C1741" s="82" t="n">
        <f aca="false">ROUND(IF(B1741&lt;(Inputs!$E$8-Inputs!$D$8)/(Inputs!$F$8-Inputs!$D$8),Inputs!$D$8+SQRT(B1741*(Inputs!$F$8-Inputs!$D$8)*(Inputs!$E$8-Inputs!$D$8)),Inputs!$F$8-SQRT((1-B1741)*(Inputs!$F$8-Inputs!$D$8)*(Inputs!$F$8-Inputs!$E$8))),0)</f>
        <v>26</v>
      </c>
      <c r="D1741" s="81" t="n">
        <f aca="true">RAND()</f>
        <v>0.793363273831278</v>
      </c>
      <c r="E1741" s="83" t="n">
        <f aca="false">IF(D1741&lt;(Inputs!$E$10-Inputs!$D$10)/(Inputs!$F$10-Inputs!$D$10),Inputs!$D$10+SQRT(D1741*(Inputs!$F$10-Inputs!$D$10)*(Inputs!$E$10-Inputs!$D$10)),Inputs!$F$10-SQRT((1-D1741)*(Inputs!$F$10-Inputs!$D$10)*(Inputs!$F$10-Inputs!$E$10)))</f>
        <v>0.121265625137036</v>
      </c>
      <c r="F1741" s="81" t="n">
        <f aca="true">RAND()</f>
        <v>0.279164056309157</v>
      </c>
      <c r="G1741" s="83" t="n">
        <f aca="false">IF(F1741&lt;(Inputs!$E$15-Inputs!$D$15)/(Inputs!$F$15-Inputs!$D$15),Inputs!$D$15+SQRT(F1741*(Inputs!$F$15-Inputs!$D$15)*(Inputs!$E$15-Inputs!$D$15)),Inputs!$F$15-SQRT((1-F1741)*(Inputs!$F$15-Inputs!$D$15)*(Inputs!$F$15-Inputs!$E$15)))</f>
        <v>0.67472135656011</v>
      </c>
      <c r="H1741" s="81" t="n">
        <f aca="true">RAND()</f>
        <v>0.0425117124975906</v>
      </c>
      <c r="I1741" s="82" t="n">
        <f aca="false">ROUND(IF(H1741&lt;(Inputs!$E$17-Inputs!$D$17)/(Inputs!$F$17-Inputs!$D$17),Inputs!$D$17+SQRT(H1741*(Inputs!$F$17-Inputs!$D$17)*(Inputs!$E$17-Inputs!$D$17)),Inputs!$F$17-SQRT((1-H1741)*(Inputs!$F$17-Inputs!$D$17)*(Inputs!$F$17-Inputs!$E$17))),0)</f>
        <v>102</v>
      </c>
      <c r="J1741" s="81" t="n">
        <f aca="true">RAND()</f>
        <v>0.905815830082052</v>
      </c>
      <c r="K1741" s="83" t="n">
        <f aca="false">IF(J1741&lt;(Inputs!$E$18-Inputs!$D$18)/(Inputs!$F$18-Inputs!$D$18),Inputs!$D$18+SQRT(J1741*(Inputs!$F$18-Inputs!$D$18)*(Inputs!$E$18-Inputs!$D$18)),Inputs!$F$18-SQRT((1-J1741)*(Inputs!$F$18-Inputs!$D$18)*(Inputs!$F$18-Inputs!$E$18)))</f>
        <v>1.15921941359619</v>
      </c>
      <c r="L1741" s="81" t="n">
        <f aca="true">RAND()</f>
        <v>0.76431932262114</v>
      </c>
      <c r="M1741" s="83" t="n">
        <f aca="false">IF(L1741&lt;(Inputs!$E$24-Inputs!$D$24)/(Inputs!$F$24-Inputs!$D$24),Inputs!$D$24+SQRT(L1741*(Inputs!$F$24-Inputs!$D$24)*(Inputs!$E$24-Inputs!$D$24)),Inputs!$F$24-SQRT((1-L1741)*(Inputs!$F$24-Inputs!$D$24)*(Inputs!$F$24-Inputs!$E$24)))</f>
        <v>0.962169466697553</v>
      </c>
      <c r="N1741" s="81" t="n">
        <f aca="true">RAND()</f>
        <v>0.578469952102636</v>
      </c>
      <c r="O1741" s="83" t="n">
        <f aca="false">IF(N1741&lt;(Inputs!$E$26-Inputs!$D$26)/(Inputs!$F$26-Inputs!$D$26),Inputs!$D$26+SQRT(N1741*(Inputs!$F$26-Inputs!$D$26)*(Inputs!$E$26-Inputs!$D$26)),Inputs!$F$26-SQRT((1-N1741)*(Inputs!$F$26-Inputs!$D$26)*(Inputs!$F$26-Inputs!$E$26)))</f>
        <v>0.610253767148569</v>
      </c>
      <c r="P1741" s="81" t="n">
        <f aca="true">RAND()</f>
        <v>0.495248666843407</v>
      </c>
      <c r="Q1741" s="82" t="n">
        <f aca="false">IF(P1741&lt;(Inputs!$E$27-Inputs!$D$27)/(Inputs!$F$27-Inputs!$D$27),Inputs!$D$27+SQRT(P1741*(Inputs!$F$27-Inputs!$D$27)*(Inputs!$E$27-Inputs!$D$27)),Inputs!$F$27-SQRT((1-P1741)*(Inputs!$F$27-Inputs!$D$27)*(Inputs!$F$27-Inputs!$E$27)))</f>
        <v>88.4724858402808</v>
      </c>
      <c r="R1741" s="81" t="n">
        <f aca="true">RAND()</f>
        <v>0.648390848659115</v>
      </c>
      <c r="S1741" s="82" t="n">
        <f aca="false">IF(R1741&lt;(Inputs!$E$29-Inputs!$D$29)/(Inputs!$F$29-Inputs!$D$29),Inputs!$D$29+SQRT(R1741*(Inputs!$F$29-Inputs!$D$29)*(Inputs!$E$29-Inputs!$D$29)),Inputs!$F$29-SQRT((1-R1741)*(Inputs!$F$29-Inputs!$D$29)*(Inputs!$F$29-Inputs!$E$29)))</f>
        <v>8.23914282991313</v>
      </c>
      <c r="T1741" s="68" t="n">
        <f aca="false">Inputs!$E$9*(1+E1741)+Inputs!$E$5*C1741*(Inputs!$E$11*Inputs!$E$14*(G1741*I1741/Inputs!$E$16+(1-G1741))*K1741+Inputs!$E$23*M1741)*(1+O1741)+Inputs!$E$5*(Q1741+S1741)</f>
        <v>6992.67250129932</v>
      </c>
    </row>
    <row r="1742" customFormat="false" ht="15" hidden="false" customHeight="false" outlineLevel="0" collapsed="false">
      <c r="A1742" s="1" t="n">
        <v>1738</v>
      </c>
      <c r="B1742" s="81" t="n">
        <f aca="true">RAND()</f>
        <v>0.0355218715694299</v>
      </c>
      <c r="C1742" s="82" t="n">
        <f aca="false">ROUND(IF(B1742&lt;(Inputs!$E$8-Inputs!$D$8)/(Inputs!$F$8-Inputs!$D$8),Inputs!$D$8+SQRT(B1742*(Inputs!$F$8-Inputs!$D$8)*(Inputs!$E$8-Inputs!$D$8)),Inputs!$F$8-SQRT((1-B1742)*(Inputs!$F$8-Inputs!$D$8)*(Inputs!$F$8-Inputs!$E$8))),0)</f>
        <v>21</v>
      </c>
      <c r="D1742" s="81" t="n">
        <f aca="true">RAND()</f>
        <v>0.767258242027824</v>
      </c>
      <c r="E1742" s="83" t="n">
        <f aca="false">IF(D1742&lt;(Inputs!$E$10-Inputs!$D$10)/(Inputs!$F$10-Inputs!$D$10),Inputs!$D$10+SQRT(D1742*(Inputs!$F$10-Inputs!$D$10)*(Inputs!$E$10-Inputs!$D$10)),Inputs!$F$10-SQRT((1-D1742)*(Inputs!$F$10-Inputs!$D$10)*(Inputs!$F$10-Inputs!$E$10)))</f>
        <v>0.116440124825576</v>
      </c>
      <c r="F1742" s="81" t="n">
        <f aca="true">RAND()</f>
        <v>0.069339659490962</v>
      </c>
      <c r="G1742" s="83" t="n">
        <f aca="false">IF(F1742&lt;(Inputs!$E$15-Inputs!$D$15)/(Inputs!$F$15-Inputs!$D$15),Inputs!$D$15+SQRT(F1742*(Inputs!$F$15-Inputs!$D$15)*(Inputs!$E$15-Inputs!$D$15)),Inputs!$F$15-SQRT((1-F1742)*(Inputs!$F$15-Inputs!$D$15)*(Inputs!$F$15-Inputs!$E$15)))</f>
        <v>0.637239672257141</v>
      </c>
      <c r="H1742" s="81" t="n">
        <f aca="true">RAND()</f>
        <v>0.550564683023752</v>
      </c>
      <c r="I1742" s="82" t="n">
        <f aca="false">ROUND(IF(H1742&lt;(Inputs!$E$17-Inputs!$D$17)/(Inputs!$F$17-Inputs!$D$17),Inputs!$D$17+SQRT(H1742*(Inputs!$F$17-Inputs!$D$17)*(Inputs!$E$17-Inputs!$D$17)),Inputs!$F$17-SQRT((1-H1742)*(Inputs!$F$17-Inputs!$D$17)*(Inputs!$F$17-Inputs!$E$17))),0)</f>
        <v>107</v>
      </c>
      <c r="J1742" s="81" t="n">
        <f aca="true">RAND()</f>
        <v>0.798332902727576</v>
      </c>
      <c r="K1742" s="83" t="n">
        <f aca="false">IF(J1742&lt;(Inputs!$E$18-Inputs!$D$18)/(Inputs!$F$18-Inputs!$D$18),Inputs!$D$18+SQRT(J1742*(Inputs!$F$18-Inputs!$D$18)*(Inputs!$E$18-Inputs!$D$18)),Inputs!$F$18-SQRT((1-J1742)*(Inputs!$F$18-Inputs!$D$18)*(Inputs!$F$18-Inputs!$E$18)))</f>
        <v>1.11716223800689</v>
      </c>
      <c r="L1742" s="81" t="n">
        <f aca="true">RAND()</f>
        <v>0.576431924913396</v>
      </c>
      <c r="M1742" s="83" t="n">
        <f aca="false">IF(L1742&lt;(Inputs!$E$24-Inputs!$D$24)/(Inputs!$F$24-Inputs!$D$24),Inputs!$D$24+SQRT(L1742*(Inputs!$F$24-Inputs!$D$24)*(Inputs!$E$24-Inputs!$D$24)),Inputs!$F$24-SQRT((1-L1742)*(Inputs!$F$24-Inputs!$D$24)*(Inputs!$F$24-Inputs!$E$24)))</f>
        <v>0.881164089191972</v>
      </c>
      <c r="N1742" s="81" t="n">
        <f aca="true">RAND()</f>
        <v>0.16695261040037</v>
      </c>
      <c r="O1742" s="83" t="n">
        <f aca="false">IF(N1742&lt;(Inputs!$E$26-Inputs!$D$26)/(Inputs!$F$26-Inputs!$D$26),Inputs!$D$26+SQRT(N1742*(Inputs!$F$26-Inputs!$D$26)*(Inputs!$E$26-Inputs!$D$26)),Inputs!$F$26-SQRT((1-N1742)*(Inputs!$F$26-Inputs!$D$26)*(Inputs!$F$26-Inputs!$E$26)))</f>
        <v>0.466676076179581</v>
      </c>
      <c r="P1742" s="81" t="n">
        <f aca="true">RAND()</f>
        <v>0.794050898591896</v>
      </c>
      <c r="Q1742" s="82" t="n">
        <f aca="false">IF(P1742&lt;(Inputs!$E$27-Inputs!$D$27)/(Inputs!$F$27-Inputs!$D$27),Inputs!$D$27+SQRT(P1742*(Inputs!$F$27-Inputs!$D$27)*(Inputs!$E$27-Inputs!$D$27)),Inputs!$F$27-SQRT((1-P1742)*(Inputs!$F$27-Inputs!$D$27)*(Inputs!$F$27-Inputs!$E$27)))</f>
        <v>110.698368220126</v>
      </c>
      <c r="R1742" s="81" t="n">
        <f aca="true">RAND()</f>
        <v>0.414196905149821</v>
      </c>
      <c r="S1742" s="82" t="n">
        <f aca="false">IF(R1742&lt;(Inputs!$E$29-Inputs!$D$29)/(Inputs!$F$29-Inputs!$D$29),Inputs!$D$29+SQRT(R1742*(Inputs!$F$29-Inputs!$D$29)*(Inputs!$E$29-Inputs!$D$29)),Inputs!$F$29-SQRT((1-R1742)*(Inputs!$F$29-Inputs!$D$29)*(Inputs!$F$29-Inputs!$E$29)))</f>
        <v>6.27335102513437</v>
      </c>
      <c r="T1742" s="68" t="n">
        <f aca="false">Inputs!$E$9*(1+E1742)+Inputs!$E$5*C1742*(Inputs!$E$11*Inputs!$E$14*(G1742*I1742/Inputs!$E$16+(1-G1742))*K1742+Inputs!$E$23*M1742)*(1+O1742)+Inputs!$E$5*(Q1742+S1742)</f>
        <v>5946.55555969303</v>
      </c>
    </row>
    <row r="1743" customFormat="false" ht="15" hidden="false" customHeight="false" outlineLevel="0" collapsed="false">
      <c r="A1743" s="1" t="n">
        <v>1739</v>
      </c>
      <c r="B1743" s="81" t="n">
        <f aca="true">RAND()</f>
        <v>0.700731160697917</v>
      </c>
      <c r="C1743" s="82" t="n">
        <f aca="false">ROUND(IF(B1743&lt;(Inputs!$E$8-Inputs!$D$8)/(Inputs!$F$8-Inputs!$D$8),Inputs!$D$8+SQRT(B1743*(Inputs!$F$8-Inputs!$D$8)*(Inputs!$E$8-Inputs!$D$8)),Inputs!$F$8-SQRT((1-B1743)*(Inputs!$F$8-Inputs!$D$8)*(Inputs!$F$8-Inputs!$E$8))),0)</f>
        <v>26</v>
      </c>
      <c r="D1743" s="81" t="n">
        <f aca="true">RAND()</f>
        <v>0.672011687357672</v>
      </c>
      <c r="E1743" s="83" t="n">
        <f aca="false">IF(D1743&lt;(Inputs!$E$10-Inputs!$D$10)/(Inputs!$F$10-Inputs!$D$10),Inputs!$D$10+SQRT(D1743*(Inputs!$F$10-Inputs!$D$10)*(Inputs!$E$10-Inputs!$D$10)),Inputs!$F$10-SQRT((1-D1743)*(Inputs!$F$10-Inputs!$D$10)*(Inputs!$F$10-Inputs!$E$10)))</f>
        <v>0.100804993173699</v>
      </c>
      <c r="F1743" s="81" t="n">
        <f aca="true">RAND()</f>
        <v>0.369869715472657</v>
      </c>
      <c r="G1743" s="83" t="n">
        <f aca="false">IF(F1743&lt;(Inputs!$E$15-Inputs!$D$15)/(Inputs!$F$15-Inputs!$D$15),Inputs!$D$15+SQRT(F1743*(Inputs!$F$15-Inputs!$D$15)*(Inputs!$E$15-Inputs!$D$15)),Inputs!$F$15-SQRT((1-F1743)*(Inputs!$F$15-Inputs!$D$15)*(Inputs!$F$15-Inputs!$E$15)))</f>
        <v>0.686008106068284</v>
      </c>
      <c r="H1743" s="81" t="n">
        <f aca="true">RAND()</f>
        <v>0.843985078280996</v>
      </c>
      <c r="I1743" s="82" t="n">
        <f aca="false">ROUND(IF(H1743&lt;(Inputs!$E$17-Inputs!$D$17)/(Inputs!$F$17-Inputs!$D$17),Inputs!$D$17+SQRT(H1743*(Inputs!$F$17-Inputs!$D$17)*(Inputs!$E$17-Inputs!$D$17)),Inputs!$F$17-SQRT((1-H1743)*(Inputs!$F$17-Inputs!$D$17)*(Inputs!$F$17-Inputs!$E$17))),0)</f>
        <v>110</v>
      </c>
      <c r="J1743" s="81" t="n">
        <f aca="true">RAND()</f>
        <v>0.618462317066907</v>
      </c>
      <c r="K1743" s="83" t="n">
        <f aca="false">IF(J1743&lt;(Inputs!$E$18-Inputs!$D$18)/(Inputs!$F$18-Inputs!$D$18),Inputs!$D$18+SQRT(J1743*(Inputs!$F$18-Inputs!$D$18)*(Inputs!$E$18-Inputs!$D$18)),Inputs!$F$18-SQRT((1-J1743)*(Inputs!$F$18-Inputs!$D$18)*(Inputs!$F$18-Inputs!$E$18)))</f>
        <v>1.06728561289092</v>
      </c>
      <c r="L1743" s="81" t="n">
        <f aca="true">RAND()</f>
        <v>0.0291394164046363</v>
      </c>
      <c r="M1743" s="83" t="n">
        <f aca="false">IF(L1743&lt;(Inputs!$E$24-Inputs!$D$24)/(Inputs!$F$24-Inputs!$D$24),Inputs!$D$24+SQRT(L1743*(Inputs!$F$24-Inputs!$D$24)*(Inputs!$E$24-Inputs!$D$24)),Inputs!$F$24-SQRT((1-L1743)*(Inputs!$F$24-Inputs!$D$24)*(Inputs!$F$24-Inputs!$E$24)))</f>
        <v>0.659133154562871</v>
      </c>
      <c r="N1743" s="81" t="n">
        <f aca="true">RAND()</f>
        <v>0.58468119646928</v>
      </c>
      <c r="O1743" s="83" t="n">
        <f aca="false">IF(N1743&lt;(Inputs!$E$26-Inputs!$D$26)/(Inputs!$F$26-Inputs!$D$26),Inputs!$D$26+SQRT(N1743*(Inputs!$F$26-Inputs!$D$26)*(Inputs!$E$26-Inputs!$D$26)),Inputs!$F$26-SQRT((1-N1743)*(Inputs!$F$26-Inputs!$D$26)*(Inputs!$F$26-Inputs!$E$26)))</f>
        <v>0.611914974139569</v>
      </c>
      <c r="P1743" s="81" t="n">
        <f aca="true">RAND()</f>
        <v>0.683138136892717</v>
      </c>
      <c r="Q1743" s="82" t="n">
        <f aca="false">IF(P1743&lt;(Inputs!$E$27-Inputs!$D$27)/(Inputs!$F$27-Inputs!$D$27),Inputs!$D$27+SQRT(P1743*(Inputs!$F$27-Inputs!$D$27)*(Inputs!$E$27-Inputs!$D$27)),Inputs!$F$27-SQRT((1-P1743)*(Inputs!$F$27-Inputs!$D$27)*(Inputs!$F$27-Inputs!$E$27)))</f>
        <v>101.251010540683</v>
      </c>
      <c r="R1743" s="81" t="n">
        <f aca="true">RAND()</f>
        <v>0.647453087334335</v>
      </c>
      <c r="S1743" s="82" t="n">
        <f aca="false">IF(R1743&lt;(Inputs!$E$29-Inputs!$D$29)/(Inputs!$F$29-Inputs!$D$29),Inputs!$D$29+SQRT(R1743*(Inputs!$F$29-Inputs!$D$29)*(Inputs!$E$29-Inputs!$D$29)),Inputs!$F$29-SQRT((1-R1743)*(Inputs!$F$29-Inputs!$D$29)*(Inputs!$F$29-Inputs!$E$29)))</f>
        <v>8.2301330407063</v>
      </c>
      <c r="T1743" s="68" t="n">
        <f aca="false">Inputs!$E$9*(1+E1743)+Inputs!$E$5*C1743*(Inputs!$E$11*Inputs!$E$14*(G1743*I1743/Inputs!$E$16+(1-G1743))*K1743+Inputs!$E$23*M1743)*(1+O1743)+Inputs!$E$5*(Q1743+S1743)</f>
        <v>6440.74032463596</v>
      </c>
    </row>
    <row r="1744" customFormat="false" ht="15" hidden="false" customHeight="false" outlineLevel="0" collapsed="false">
      <c r="A1744" s="1" t="n">
        <v>1740</v>
      </c>
      <c r="B1744" s="81" t="n">
        <f aca="true">RAND()</f>
        <v>0.593187979936625</v>
      </c>
      <c r="C1744" s="82" t="n">
        <f aca="false">ROUND(IF(B1744&lt;(Inputs!$E$8-Inputs!$D$8)/(Inputs!$F$8-Inputs!$D$8),Inputs!$D$8+SQRT(B1744*(Inputs!$F$8-Inputs!$D$8)*(Inputs!$E$8-Inputs!$D$8)),Inputs!$F$8-SQRT((1-B1744)*(Inputs!$F$8-Inputs!$D$8)*(Inputs!$F$8-Inputs!$E$8))),0)</f>
        <v>25</v>
      </c>
      <c r="D1744" s="81" t="n">
        <f aca="true">RAND()</f>
        <v>0.916889065266726</v>
      </c>
      <c r="E1744" s="83" t="n">
        <f aca="false">IF(D1744&lt;(Inputs!$E$10-Inputs!$D$10)/(Inputs!$F$10-Inputs!$D$10),Inputs!$D$10+SQRT(D1744*(Inputs!$F$10-Inputs!$D$10)*(Inputs!$E$10-Inputs!$D$10)),Inputs!$F$10-SQRT((1-D1744)*(Inputs!$F$10-Inputs!$D$10)*(Inputs!$F$10-Inputs!$E$10)))</f>
        <v>0.150066764154541</v>
      </c>
      <c r="F1744" s="81" t="n">
        <f aca="true">RAND()</f>
        <v>0.0759255091832518</v>
      </c>
      <c r="G1744" s="83" t="n">
        <f aca="false">IF(F1744&lt;(Inputs!$E$15-Inputs!$D$15)/(Inputs!$F$15-Inputs!$D$15),Inputs!$D$15+SQRT(F1744*(Inputs!$F$15-Inputs!$D$15)*(Inputs!$E$15-Inputs!$D$15)),Inputs!$F$15-SQRT((1-F1744)*(Inputs!$F$15-Inputs!$D$15)*(Inputs!$F$15-Inputs!$E$15)))</f>
        <v>0.638968066203817</v>
      </c>
      <c r="H1744" s="81" t="n">
        <f aca="true">RAND()</f>
        <v>0.988475389408316</v>
      </c>
      <c r="I1744" s="82" t="n">
        <f aca="false">ROUND(IF(H1744&lt;(Inputs!$E$17-Inputs!$D$17)/(Inputs!$F$17-Inputs!$D$17),Inputs!$D$17+SQRT(H1744*(Inputs!$F$17-Inputs!$D$17)*(Inputs!$E$17-Inputs!$D$17)),Inputs!$F$17-SQRT((1-H1744)*(Inputs!$F$17-Inputs!$D$17)*(Inputs!$F$17-Inputs!$E$17))),0)</f>
        <v>114</v>
      </c>
      <c r="J1744" s="81" t="n">
        <f aca="true">RAND()</f>
        <v>0.0109933730710658</v>
      </c>
      <c r="K1744" s="83" t="n">
        <f aca="false">IF(J1744&lt;(Inputs!$E$18-Inputs!$D$18)/(Inputs!$F$18-Inputs!$D$18),Inputs!$D$18+SQRT(J1744*(Inputs!$F$18-Inputs!$D$18)*(Inputs!$E$18-Inputs!$D$18)),Inputs!$F$18-SQRT((1-J1744)*(Inputs!$F$18-Inputs!$D$18)*(Inputs!$F$18-Inputs!$E$18)))</f>
        <v>0.919615505537388</v>
      </c>
      <c r="L1744" s="81" t="n">
        <f aca="true">RAND()</f>
        <v>0.85437798933156</v>
      </c>
      <c r="M1744" s="83" t="n">
        <f aca="false">IF(L1744&lt;(Inputs!$E$24-Inputs!$D$24)/(Inputs!$F$24-Inputs!$D$24),Inputs!$D$24+SQRT(L1744*(Inputs!$F$24-Inputs!$D$24)*(Inputs!$E$24-Inputs!$D$24)),Inputs!$F$24-SQRT((1-L1744)*(Inputs!$F$24-Inputs!$D$24)*(Inputs!$F$24-Inputs!$E$24)))</f>
        <v>1.01305272786043</v>
      </c>
      <c r="N1744" s="81" t="n">
        <f aca="true">RAND()</f>
        <v>0.311985237327286</v>
      </c>
      <c r="O1744" s="83" t="n">
        <f aca="false">IF(N1744&lt;(Inputs!$E$26-Inputs!$D$26)/(Inputs!$F$26-Inputs!$D$26),Inputs!$D$26+SQRT(N1744*(Inputs!$F$26-Inputs!$D$26)*(Inputs!$E$26-Inputs!$D$26)),Inputs!$F$26-SQRT((1-N1744)*(Inputs!$F$26-Inputs!$D$26)*(Inputs!$F$26-Inputs!$E$26)))</f>
        <v>0.527847193292479</v>
      </c>
      <c r="P1744" s="81" t="n">
        <f aca="true">RAND()</f>
        <v>0.998858745919016</v>
      </c>
      <c r="Q1744" s="82" t="n">
        <f aca="false">IF(P1744&lt;(Inputs!$E$27-Inputs!$D$27)/(Inputs!$F$27-Inputs!$D$27),Inputs!$D$27+SQRT(P1744*(Inputs!$F$27-Inputs!$D$27)*(Inputs!$E$27-Inputs!$D$27)),Inputs!$F$27-SQRT((1-P1744)*(Inputs!$F$27-Inputs!$D$27)*(Inputs!$F$27-Inputs!$E$27)))</f>
        <v>147.074353813705</v>
      </c>
      <c r="R1744" s="81" t="n">
        <f aca="true">RAND()</f>
        <v>0.894843870770924</v>
      </c>
      <c r="S1744" s="82" t="n">
        <f aca="false">IF(R1744&lt;(Inputs!$E$29-Inputs!$D$29)/(Inputs!$F$29-Inputs!$D$29),Inputs!$D$29+SQRT(R1744*(Inputs!$F$29-Inputs!$D$29)*(Inputs!$E$29-Inputs!$D$29)),Inputs!$F$29-SQRT((1-R1744)*(Inputs!$F$29-Inputs!$D$29)*(Inputs!$F$29-Inputs!$E$29)))</f>
        <v>11.3026635533428</v>
      </c>
      <c r="T1744" s="68" t="n">
        <f aca="false">Inputs!$E$9*(1+E1744)+Inputs!$E$5*C1744*(Inputs!$E$11*Inputs!$E$14*(G1744*I1744/Inputs!$E$16+(1-G1744))*K1744+Inputs!$E$23*M1744)*(1+O1744)+Inputs!$E$5*(Q1744+S1744)</f>
        <v>6743.31596976008</v>
      </c>
    </row>
    <row r="1745" customFormat="false" ht="15" hidden="false" customHeight="false" outlineLevel="0" collapsed="false">
      <c r="A1745" s="1" t="n">
        <v>1741</v>
      </c>
      <c r="B1745" s="81" t="n">
        <f aca="true">RAND()</f>
        <v>0.585676156961361</v>
      </c>
      <c r="C1745" s="82" t="n">
        <f aca="false">ROUND(IF(B1745&lt;(Inputs!$E$8-Inputs!$D$8)/(Inputs!$F$8-Inputs!$D$8),Inputs!$D$8+SQRT(B1745*(Inputs!$F$8-Inputs!$D$8)*(Inputs!$E$8-Inputs!$D$8)),Inputs!$F$8-SQRT((1-B1745)*(Inputs!$F$8-Inputs!$D$8)*(Inputs!$F$8-Inputs!$E$8))),0)</f>
        <v>25</v>
      </c>
      <c r="D1745" s="81" t="n">
        <f aca="true">RAND()</f>
        <v>0.382098604486754</v>
      </c>
      <c r="E1745" s="83" t="n">
        <f aca="false">IF(D1745&lt;(Inputs!$E$10-Inputs!$D$10)/(Inputs!$F$10-Inputs!$D$10),Inputs!$D$10+SQRT(D1745*(Inputs!$F$10-Inputs!$D$10)*(Inputs!$E$10-Inputs!$D$10)),Inputs!$F$10-SQRT((1-D1745)*(Inputs!$F$10-Inputs!$D$10)*(Inputs!$F$10-Inputs!$E$10)))</f>
        <v>0.0638491944004834</v>
      </c>
      <c r="F1745" s="81" t="n">
        <f aca="true">RAND()</f>
        <v>0.338943698440021</v>
      </c>
      <c r="G1745" s="83" t="n">
        <f aca="false">IF(F1745&lt;(Inputs!$E$15-Inputs!$D$15)/(Inputs!$F$15-Inputs!$D$15),Inputs!$D$15+SQRT(F1745*(Inputs!$F$15-Inputs!$D$15)*(Inputs!$E$15-Inputs!$D$15)),Inputs!$F$15-SQRT((1-F1745)*(Inputs!$F$15-Inputs!$D$15)*(Inputs!$F$15-Inputs!$E$15)))</f>
        <v>0.682333917487269</v>
      </c>
      <c r="H1745" s="81" t="n">
        <f aca="true">RAND()</f>
        <v>0.258383293111892</v>
      </c>
      <c r="I1745" s="82" t="n">
        <f aca="false">ROUND(IF(H1745&lt;(Inputs!$E$17-Inputs!$D$17)/(Inputs!$F$17-Inputs!$D$17),Inputs!$D$17+SQRT(H1745*(Inputs!$F$17-Inputs!$D$17)*(Inputs!$E$17-Inputs!$D$17)),Inputs!$F$17-SQRT((1-H1745)*(Inputs!$F$17-Inputs!$D$17)*(Inputs!$F$17-Inputs!$E$17))),0)</f>
        <v>104</v>
      </c>
      <c r="J1745" s="81" t="n">
        <f aca="true">RAND()</f>
        <v>0.620090089370048</v>
      </c>
      <c r="K1745" s="83" t="n">
        <f aca="false">IF(J1745&lt;(Inputs!$E$18-Inputs!$D$18)/(Inputs!$F$18-Inputs!$D$18),Inputs!$D$18+SQRT(J1745*(Inputs!$F$18-Inputs!$D$18)*(Inputs!$E$18-Inputs!$D$18)),Inputs!$F$18-SQRT((1-J1745)*(Inputs!$F$18-Inputs!$D$18)*(Inputs!$F$18-Inputs!$E$18)))</f>
        <v>1.06767579102017</v>
      </c>
      <c r="L1745" s="81" t="n">
        <f aca="true">RAND()</f>
        <v>0.524314444327892</v>
      </c>
      <c r="M1745" s="83" t="n">
        <f aca="false">IF(L1745&lt;(Inputs!$E$24-Inputs!$D$24)/(Inputs!$F$24-Inputs!$D$24),Inputs!$D$24+SQRT(L1745*(Inputs!$F$24-Inputs!$D$24)*(Inputs!$E$24-Inputs!$D$24)),Inputs!$F$24-SQRT((1-L1745)*(Inputs!$F$24-Inputs!$D$24)*(Inputs!$F$24-Inputs!$E$24)))</f>
        <v>0.862117574648657</v>
      </c>
      <c r="N1745" s="81" t="n">
        <f aca="true">RAND()</f>
        <v>0.450371037811724</v>
      </c>
      <c r="O1745" s="83" t="n">
        <f aca="false">IF(N1745&lt;(Inputs!$E$26-Inputs!$D$26)/(Inputs!$F$26-Inputs!$D$26),Inputs!$D$26+SQRT(N1745*(Inputs!$F$26-Inputs!$D$26)*(Inputs!$E$26-Inputs!$D$26)),Inputs!$F$26-SQRT((1-N1745)*(Inputs!$F$26-Inputs!$D$26)*(Inputs!$F$26-Inputs!$E$26)))</f>
        <v>0.573754891630946</v>
      </c>
      <c r="P1745" s="81" t="n">
        <f aca="true">RAND()</f>
        <v>0.60355702950557</v>
      </c>
      <c r="Q1745" s="82" t="n">
        <f aca="false">IF(P1745&lt;(Inputs!$E$27-Inputs!$D$27)/(Inputs!$F$27-Inputs!$D$27),Inputs!$D$27+SQRT(P1745*(Inputs!$F$27-Inputs!$D$27)*(Inputs!$E$27-Inputs!$D$27)),Inputs!$F$27-SQRT((1-P1745)*(Inputs!$F$27-Inputs!$D$27)*(Inputs!$F$27-Inputs!$E$27)))</f>
        <v>95.4718212415982</v>
      </c>
      <c r="R1745" s="81" t="n">
        <f aca="true">RAND()</f>
        <v>0.76710147139373</v>
      </c>
      <c r="S1745" s="82" t="n">
        <f aca="false">IF(R1745&lt;(Inputs!$E$29-Inputs!$D$29)/(Inputs!$F$29-Inputs!$D$29),Inputs!$D$29+SQRT(R1745*(Inputs!$F$29-Inputs!$D$29)*(Inputs!$E$29-Inputs!$D$29)),Inputs!$F$29-SQRT((1-R1745)*(Inputs!$F$29-Inputs!$D$29)*(Inputs!$F$29-Inputs!$E$29)))</f>
        <v>9.49756338348045</v>
      </c>
      <c r="T1745" s="68" t="n">
        <f aca="false">Inputs!$E$9*(1+E1745)+Inputs!$E$5*C1745*(Inputs!$E$11*Inputs!$E$14*(G1745*I1745/Inputs!$E$16+(1-G1745))*K1745+Inputs!$E$23*M1745)*(1+O1745)+Inputs!$E$5*(Q1745+S1745)</f>
        <v>6343.13486807576</v>
      </c>
    </row>
    <row r="1746" customFormat="false" ht="15" hidden="false" customHeight="false" outlineLevel="0" collapsed="false">
      <c r="A1746" s="1" t="n">
        <v>1742</v>
      </c>
      <c r="B1746" s="81" t="n">
        <f aca="true">RAND()</f>
        <v>0.121652612663221</v>
      </c>
      <c r="C1746" s="82" t="n">
        <f aca="false">ROUND(IF(B1746&lt;(Inputs!$E$8-Inputs!$D$8)/(Inputs!$F$8-Inputs!$D$8),Inputs!$D$8+SQRT(B1746*(Inputs!$F$8-Inputs!$D$8)*(Inputs!$E$8-Inputs!$D$8)),Inputs!$F$8-SQRT((1-B1746)*(Inputs!$F$8-Inputs!$D$8)*(Inputs!$F$8-Inputs!$E$8))),0)</f>
        <v>22</v>
      </c>
      <c r="D1746" s="81" t="n">
        <f aca="true">RAND()</f>
        <v>0.402097901222862</v>
      </c>
      <c r="E1746" s="83" t="n">
        <f aca="false">IF(D1746&lt;(Inputs!$E$10-Inputs!$D$10)/(Inputs!$F$10-Inputs!$D$10),Inputs!$D$10+SQRT(D1746*(Inputs!$F$10-Inputs!$D$10)*(Inputs!$E$10-Inputs!$D$10)),Inputs!$F$10-SQRT((1-D1746)*(Inputs!$F$10-Inputs!$D$10)*(Inputs!$F$10-Inputs!$E$10)))</f>
        <v>0.0660706792247711</v>
      </c>
      <c r="F1746" s="81" t="n">
        <f aca="true">RAND()</f>
        <v>0.871029615271858</v>
      </c>
      <c r="G1746" s="83" t="n">
        <f aca="false">IF(F1746&lt;(Inputs!$E$15-Inputs!$D$15)/(Inputs!$F$15-Inputs!$D$15),Inputs!$D$15+SQRT(F1746*(Inputs!$F$15-Inputs!$D$15)*(Inputs!$E$15-Inputs!$D$15)),Inputs!$F$15-SQRT((1-F1746)*(Inputs!$F$15-Inputs!$D$15)*(Inputs!$F$15-Inputs!$E$15)))</f>
        <v>0.749212130438826</v>
      </c>
      <c r="H1746" s="81" t="n">
        <f aca="true">RAND()</f>
        <v>0.0847676710982238</v>
      </c>
      <c r="I1746" s="82" t="n">
        <f aca="false">ROUND(IF(H1746&lt;(Inputs!$E$17-Inputs!$D$17)/(Inputs!$F$17-Inputs!$D$17),Inputs!$D$17+SQRT(H1746*(Inputs!$F$17-Inputs!$D$17)*(Inputs!$E$17-Inputs!$D$17)),Inputs!$F$17-SQRT((1-H1746)*(Inputs!$F$17-Inputs!$D$17)*(Inputs!$F$17-Inputs!$E$17))),0)</f>
        <v>103</v>
      </c>
      <c r="J1746" s="81" t="n">
        <f aca="true">RAND()</f>
        <v>0.0822985984763107</v>
      </c>
      <c r="K1746" s="83" t="n">
        <f aca="false">IF(J1746&lt;(Inputs!$E$18-Inputs!$D$18)/(Inputs!$F$18-Inputs!$D$18),Inputs!$D$18+SQRT(J1746*(Inputs!$F$18-Inputs!$D$18)*(Inputs!$E$18-Inputs!$D$18)),Inputs!$F$18-SQRT((1-J1746)*(Inputs!$F$18-Inputs!$D$18)*(Inputs!$F$18-Inputs!$E$18)))</f>
        <v>0.953669832743087</v>
      </c>
      <c r="L1746" s="81" t="n">
        <f aca="true">RAND()</f>
        <v>0.54851447537933</v>
      </c>
      <c r="M1746" s="83" t="n">
        <f aca="false">IF(L1746&lt;(Inputs!$E$24-Inputs!$D$24)/(Inputs!$F$24-Inputs!$D$24),Inputs!$D$24+SQRT(L1746*(Inputs!$F$24-Inputs!$D$24)*(Inputs!$E$24-Inputs!$D$24)),Inputs!$F$24-SQRT((1-L1746)*(Inputs!$F$24-Inputs!$D$24)*(Inputs!$F$24-Inputs!$E$24)))</f>
        <v>0.87082447553173</v>
      </c>
      <c r="N1746" s="81" t="n">
        <f aca="true">RAND()</f>
        <v>0.0349923937117168</v>
      </c>
      <c r="O1746" s="83" t="n">
        <f aca="false">IF(N1746&lt;(Inputs!$E$26-Inputs!$D$26)/(Inputs!$F$26-Inputs!$D$26),Inputs!$D$26+SQRT(N1746*(Inputs!$F$26-Inputs!$D$26)*(Inputs!$E$26-Inputs!$D$26)),Inputs!$F$26-SQRT((1-N1746)*(Inputs!$F$26-Inputs!$D$26)*(Inputs!$F$26-Inputs!$E$26)))</f>
        <v>0.376306843163832</v>
      </c>
      <c r="P1746" s="81" t="n">
        <f aca="true">RAND()</f>
        <v>0.794289232685101</v>
      </c>
      <c r="Q1746" s="82" t="n">
        <f aca="false">IF(P1746&lt;(Inputs!$E$27-Inputs!$D$27)/(Inputs!$F$27-Inputs!$D$27),Inputs!$D$27+SQRT(P1746*(Inputs!$F$27-Inputs!$D$27)*(Inputs!$E$27-Inputs!$D$27)),Inputs!$F$27-SQRT((1-P1746)*(Inputs!$F$27-Inputs!$D$27)*(Inputs!$F$27-Inputs!$E$27)))</f>
        <v>110.721115661698</v>
      </c>
      <c r="R1746" s="81" t="n">
        <f aca="true">RAND()</f>
        <v>0.616003976219464</v>
      </c>
      <c r="S1746" s="82" t="n">
        <f aca="false">IF(R1746&lt;(Inputs!$E$29-Inputs!$D$29)/(Inputs!$F$29-Inputs!$D$29),Inputs!$D$29+SQRT(R1746*(Inputs!$F$29-Inputs!$D$29)*(Inputs!$E$29-Inputs!$D$29)),Inputs!$F$29-SQRT((1-R1746)*(Inputs!$F$29-Inputs!$D$29)*(Inputs!$F$29-Inputs!$E$29)))</f>
        <v>7.93462788726102</v>
      </c>
      <c r="T1746" s="68" t="n">
        <f aca="false">Inputs!$E$9*(1+E1746)+Inputs!$E$5*C1746*(Inputs!$E$11*Inputs!$E$14*(G1746*I1746/Inputs!$E$16+(1-G1746))*K1746+Inputs!$E$23*M1746)*(1+O1746)+Inputs!$E$5*(Q1746+S1746)</f>
        <v>5363.9918090379</v>
      </c>
    </row>
    <row r="1747" customFormat="false" ht="15" hidden="false" customHeight="false" outlineLevel="0" collapsed="false">
      <c r="A1747" s="1" t="n">
        <v>1743</v>
      </c>
      <c r="B1747" s="81" t="n">
        <f aca="true">RAND()</f>
        <v>0.602745509677871</v>
      </c>
      <c r="C1747" s="82" t="n">
        <f aca="false">ROUND(IF(B1747&lt;(Inputs!$E$8-Inputs!$D$8)/(Inputs!$F$8-Inputs!$D$8),Inputs!$D$8+SQRT(B1747*(Inputs!$F$8-Inputs!$D$8)*(Inputs!$E$8-Inputs!$D$8)),Inputs!$F$8-SQRT((1-B1747)*(Inputs!$F$8-Inputs!$D$8)*(Inputs!$F$8-Inputs!$E$8))),0)</f>
        <v>26</v>
      </c>
      <c r="D1747" s="81" t="n">
        <f aca="true">RAND()</f>
        <v>0.862108682920392</v>
      </c>
      <c r="E1747" s="83" t="n">
        <f aca="false">IF(D1747&lt;(Inputs!$E$10-Inputs!$D$10)/(Inputs!$F$10-Inputs!$D$10),Inputs!$D$10+SQRT(D1747*(Inputs!$F$10-Inputs!$D$10)*(Inputs!$E$10-Inputs!$D$10)),Inputs!$F$10-SQRT((1-D1747)*(Inputs!$F$10-Inputs!$D$10)*(Inputs!$F$10-Inputs!$E$10)))</f>
        <v>0.135682510058397</v>
      </c>
      <c r="F1747" s="81" t="n">
        <f aca="true">RAND()</f>
        <v>0.855026052502303</v>
      </c>
      <c r="G1747" s="83" t="n">
        <f aca="false">IF(F1747&lt;(Inputs!$E$15-Inputs!$D$15)/(Inputs!$F$15-Inputs!$D$15),Inputs!$D$15+SQRT(F1747*(Inputs!$F$15-Inputs!$D$15)*(Inputs!$E$15-Inputs!$D$15)),Inputs!$F$15-SQRT((1-F1747)*(Inputs!$F$15-Inputs!$D$15)*(Inputs!$F$15-Inputs!$E$15)))</f>
        <v>0.746153189974206</v>
      </c>
      <c r="H1747" s="81" t="n">
        <f aca="true">RAND()</f>
        <v>0.786172250113886</v>
      </c>
      <c r="I1747" s="82" t="n">
        <f aca="false">ROUND(IF(H1747&lt;(Inputs!$E$17-Inputs!$D$17)/(Inputs!$F$17-Inputs!$D$17),Inputs!$D$17+SQRT(H1747*(Inputs!$F$17-Inputs!$D$17)*(Inputs!$E$17-Inputs!$D$17)),Inputs!$F$17-SQRT((1-H1747)*(Inputs!$F$17-Inputs!$D$17)*(Inputs!$F$17-Inputs!$E$17))),0)</f>
        <v>109</v>
      </c>
      <c r="J1747" s="81" t="n">
        <f aca="true">RAND()</f>
        <v>0.0352523301924334</v>
      </c>
      <c r="K1747" s="83" t="n">
        <f aca="false">IF(J1747&lt;(Inputs!$E$18-Inputs!$D$18)/(Inputs!$F$18-Inputs!$D$18),Inputs!$D$18+SQRT(J1747*(Inputs!$F$18-Inputs!$D$18)*(Inputs!$E$18-Inputs!$D$18)),Inputs!$F$18-SQRT((1-J1747)*(Inputs!$F$18-Inputs!$D$18)*(Inputs!$F$18-Inputs!$E$18)))</f>
        <v>0.9351259385175</v>
      </c>
      <c r="L1747" s="81" t="n">
        <f aca="true">RAND()</f>
        <v>0.23620962610878</v>
      </c>
      <c r="M1747" s="83" t="n">
        <f aca="false">IF(L1747&lt;(Inputs!$E$24-Inputs!$D$24)/(Inputs!$F$24-Inputs!$D$24),Inputs!$D$24+SQRT(L1747*(Inputs!$F$24-Inputs!$D$24)*(Inputs!$E$24-Inputs!$D$24)),Inputs!$F$24-SQRT((1-L1747)*(Inputs!$F$24-Inputs!$D$24)*(Inputs!$F$24-Inputs!$E$24)))</f>
        <v>0.768360194621691</v>
      </c>
      <c r="N1747" s="81" t="n">
        <f aca="true">RAND()</f>
        <v>0.903752395664767</v>
      </c>
      <c r="O1747" s="83" t="n">
        <f aca="false">IF(N1747&lt;(Inputs!$E$26-Inputs!$D$26)/(Inputs!$F$26-Inputs!$D$26),Inputs!$D$26+SQRT(N1747*(Inputs!$F$26-Inputs!$D$26)*(Inputs!$E$26-Inputs!$D$26)),Inputs!$F$26-SQRT((1-N1747)*(Inputs!$F$26-Inputs!$D$26)*(Inputs!$F$26-Inputs!$E$26)))</f>
        <v>0.719951257624775</v>
      </c>
      <c r="P1747" s="81" t="n">
        <f aca="true">RAND()</f>
        <v>0.68141756776737</v>
      </c>
      <c r="Q1747" s="82" t="n">
        <f aca="false">IF(P1747&lt;(Inputs!$E$27-Inputs!$D$27)/(Inputs!$F$27-Inputs!$D$27),Inputs!$D$27+SQRT(P1747*(Inputs!$F$27-Inputs!$D$27)*(Inputs!$E$27-Inputs!$D$27)),Inputs!$F$27-SQRT((1-P1747)*(Inputs!$F$27-Inputs!$D$27)*(Inputs!$F$27-Inputs!$E$27)))</f>
        <v>101.118835511572</v>
      </c>
      <c r="R1747" s="81" t="n">
        <f aca="true">RAND()</f>
        <v>0.0048967491150646</v>
      </c>
      <c r="S1747" s="82" t="n">
        <f aca="false">IF(R1747&lt;(Inputs!$E$29-Inputs!$D$29)/(Inputs!$F$29-Inputs!$D$29),Inputs!$D$29+SQRT(R1747*(Inputs!$F$29-Inputs!$D$29)*(Inputs!$E$29-Inputs!$D$29)),Inputs!$F$29-SQRT((1-R1747)*(Inputs!$F$29-Inputs!$D$29)*(Inputs!$F$29-Inputs!$E$29)))</f>
        <v>2.43700482318565</v>
      </c>
      <c r="T1747" s="68" t="n">
        <f aca="false">Inputs!$E$9*(1+E1747)+Inputs!$E$5*C1747*(Inputs!$E$11*Inputs!$E$14*(G1747*I1747/Inputs!$E$16+(1-G1747))*K1747+Inputs!$E$23*M1747)*(1+O1747)+Inputs!$E$5*(Q1747+S1747)</f>
        <v>6474.58252212313</v>
      </c>
    </row>
    <row r="1748" customFormat="false" ht="15" hidden="false" customHeight="false" outlineLevel="0" collapsed="false">
      <c r="A1748" s="1" t="n">
        <v>1744</v>
      </c>
      <c r="B1748" s="81" t="n">
        <f aca="true">RAND()</f>
        <v>0.460434643228325</v>
      </c>
      <c r="C1748" s="82" t="n">
        <f aca="false">ROUND(IF(B1748&lt;(Inputs!$E$8-Inputs!$D$8)/(Inputs!$F$8-Inputs!$D$8),Inputs!$D$8+SQRT(B1748*(Inputs!$F$8-Inputs!$D$8)*(Inputs!$E$8-Inputs!$D$8)),Inputs!$F$8-SQRT((1-B1748)*(Inputs!$F$8-Inputs!$D$8)*(Inputs!$F$8-Inputs!$E$8))),0)</f>
        <v>25</v>
      </c>
      <c r="D1748" s="81" t="n">
        <f aca="true">RAND()</f>
        <v>0.113205931121645</v>
      </c>
      <c r="E1748" s="83" t="n">
        <f aca="false">IF(D1748&lt;(Inputs!$E$10-Inputs!$D$10)/(Inputs!$F$10-Inputs!$D$10),Inputs!$D$10+SQRT(D1748*(Inputs!$F$10-Inputs!$D$10)*(Inputs!$E$10-Inputs!$D$10)),Inputs!$F$10-SQRT((1-D1748)*(Inputs!$F$10-Inputs!$D$10)*(Inputs!$F$10-Inputs!$E$10)))</f>
        <v>0.0336460890924405</v>
      </c>
      <c r="F1748" s="81" t="n">
        <f aca="true">RAND()</f>
        <v>0.0554929491126685</v>
      </c>
      <c r="G1748" s="83" t="n">
        <f aca="false">IF(F1748&lt;(Inputs!$E$15-Inputs!$D$15)/(Inputs!$F$15-Inputs!$D$15),Inputs!$D$15+SQRT(F1748*(Inputs!$F$15-Inputs!$D$15)*(Inputs!$E$15-Inputs!$D$15)),Inputs!$F$15-SQRT((1-F1748)*(Inputs!$F$15-Inputs!$D$15)*(Inputs!$F$15-Inputs!$E$15)))</f>
        <v>0.633314546106069</v>
      </c>
      <c r="H1748" s="81" t="n">
        <f aca="true">RAND()</f>
        <v>0.606395755212942</v>
      </c>
      <c r="I1748" s="82" t="n">
        <f aca="false">ROUND(IF(H1748&lt;(Inputs!$E$17-Inputs!$D$17)/(Inputs!$F$17-Inputs!$D$17),Inputs!$D$17+SQRT(H1748*(Inputs!$F$17-Inputs!$D$17)*(Inputs!$E$17-Inputs!$D$17)),Inputs!$F$17-SQRT((1-H1748)*(Inputs!$F$17-Inputs!$D$17)*(Inputs!$F$17-Inputs!$E$17))),0)</f>
        <v>107</v>
      </c>
      <c r="J1748" s="81" t="n">
        <f aca="true">RAND()</f>
        <v>0.250545789859483</v>
      </c>
      <c r="K1748" s="83" t="n">
        <f aca="false">IF(J1748&lt;(Inputs!$E$18-Inputs!$D$18)/(Inputs!$F$18-Inputs!$D$18),Inputs!$D$18+SQRT(J1748*(Inputs!$F$18-Inputs!$D$18)*(Inputs!$E$18-Inputs!$D$18)),Inputs!$F$18-SQRT((1-J1748)*(Inputs!$F$18-Inputs!$D$18)*(Inputs!$F$18-Inputs!$E$18)))</f>
        <v>0.993643486933593</v>
      </c>
      <c r="L1748" s="81" t="n">
        <f aca="true">RAND()</f>
        <v>0.0956616810730211</v>
      </c>
      <c r="M1748" s="83" t="n">
        <f aca="false">IF(L1748&lt;(Inputs!$E$24-Inputs!$D$24)/(Inputs!$F$24-Inputs!$D$24),Inputs!$D$24+SQRT(L1748*(Inputs!$F$24-Inputs!$D$24)*(Inputs!$E$24-Inputs!$D$24)),Inputs!$F$24-SQRT((1-L1748)*(Inputs!$F$24-Inputs!$D$24)*(Inputs!$F$24-Inputs!$E$24)))</f>
        <v>0.707141969968647</v>
      </c>
      <c r="N1748" s="81" t="n">
        <f aca="true">RAND()</f>
        <v>0.0457631481573355</v>
      </c>
      <c r="O1748" s="83" t="n">
        <f aca="false">IF(N1748&lt;(Inputs!$E$26-Inputs!$D$26)/(Inputs!$F$26-Inputs!$D$26),Inputs!$D$26+SQRT(N1748*(Inputs!$F$26-Inputs!$D$26)*(Inputs!$E$26-Inputs!$D$26)),Inputs!$F$26-SQRT((1-N1748)*(Inputs!$F$26-Inputs!$D$26)*(Inputs!$F$26-Inputs!$E$26)))</f>
        <v>0.387263897766377</v>
      </c>
      <c r="P1748" s="81" t="n">
        <f aca="true">RAND()</f>
        <v>0.888139703550389</v>
      </c>
      <c r="Q1748" s="82" t="n">
        <f aca="false">IF(P1748&lt;(Inputs!$E$27-Inputs!$D$27)/(Inputs!$F$27-Inputs!$D$27),Inputs!$D$27+SQRT(P1748*(Inputs!$F$27-Inputs!$D$27)*(Inputs!$E$27-Inputs!$D$27)),Inputs!$F$27-SQRT((1-P1748)*(Inputs!$F$27-Inputs!$D$27)*(Inputs!$F$27-Inputs!$E$27)))</f>
        <v>121.035328012006</v>
      </c>
      <c r="R1748" s="81" t="n">
        <f aca="true">RAND()</f>
        <v>0.374277428576066</v>
      </c>
      <c r="S1748" s="82" t="n">
        <f aca="false">IF(R1748&lt;(Inputs!$E$29-Inputs!$D$29)/(Inputs!$F$29-Inputs!$D$29),Inputs!$D$29+SQRT(R1748*(Inputs!$F$29-Inputs!$D$29)*(Inputs!$E$29-Inputs!$D$29)),Inputs!$F$29-SQRT((1-R1748)*(Inputs!$F$29-Inputs!$D$29)*(Inputs!$F$29-Inputs!$E$29)))</f>
        <v>5.9809127798257</v>
      </c>
      <c r="T1748" s="68" t="n">
        <f aca="false">Inputs!$E$9*(1+E1748)+Inputs!$E$5*C1748*(Inputs!$E$11*Inputs!$E$14*(G1748*I1748/Inputs!$E$16+(1-G1748))*K1748+Inputs!$E$23*M1748)*(1+O1748)+Inputs!$E$5*(Q1748+S1748)</f>
        <v>5728.73400915087</v>
      </c>
    </row>
    <row r="1749" customFormat="false" ht="15" hidden="false" customHeight="false" outlineLevel="0" collapsed="false">
      <c r="A1749" s="1" t="n">
        <v>1745</v>
      </c>
      <c r="B1749" s="81" t="n">
        <f aca="true">RAND()</f>
        <v>0.232098425866916</v>
      </c>
      <c r="C1749" s="82" t="n">
        <f aca="false">ROUND(IF(B1749&lt;(Inputs!$E$8-Inputs!$D$8)/(Inputs!$F$8-Inputs!$D$8),Inputs!$D$8+SQRT(B1749*(Inputs!$F$8-Inputs!$D$8)*(Inputs!$E$8-Inputs!$D$8)),Inputs!$F$8-SQRT((1-B1749)*(Inputs!$F$8-Inputs!$D$8)*(Inputs!$F$8-Inputs!$E$8))),0)</f>
        <v>23</v>
      </c>
      <c r="D1749" s="81" t="n">
        <f aca="true">RAND()</f>
        <v>0.554933958047487</v>
      </c>
      <c r="E1749" s="83" t="n">
        <f aca="false">IF(D1749&lt;(Inputs!$E$10-Inputs!$D$10)/(Inputs!$F$10-Inputs!$D$10),Inputs!$D$10+SQRT(D1749*(Inputs!$F$10-Inputs!$D$10)*(Inputs!$E$10-Inputs!$D$10)),Inputs!$F$10-SQRT((1-D1749)*(Inputs!$F$10-Inputs!$D$10)*(Inputs!$F$10-Inputs!$E$10)))</f>
        <v>0.0844492264907959</v>
      </c>
      <c r="F1749" s="81" t="n">
        <f aca="true">RAND()</f>
        <v>0.150591945465836</v>
      </c>
      <c r="G1749" s="83" t="n">
        <f aca="false">IF(F1749&lt;(Inputs!$E$15-Inputs!$D$15)/(Inputs!$F$15-Inputs!$D$15),Inputs!$D$15+SQRT(F1749*(Inputs!$F$15-Inputs!$D$15)*(Inputs!$E$15-Inputs!$D$15)),Inputs!$F$15-SQRT((1-F1749)*(Inputs!$F$15-Inputs!$D$15)*(Inputs!$F$15-Inputs!$E$15)))</f>
        <v>0.654880223298714</v>
      </c>
      <c r="H1749" s="81" t="n">
        <f aca="true">RAND()</f>
        <v>0.593752435428509</v>
      </c>
      <c r="I1749" s="82" t="n">
        <f aca="false">ROUND(IF(H1749&lt;(Inputs!$E$17-Inputs!$D$17)/(Inputs!$F$17-Inputs!$D$17),Inputs!$D$17+SQRT(H1749*(Inputs!$F$17-Inputs!$D$17)*(Inputs!$E$17-Inputs!$D$17)),Inputs!$F$17-SQRT((1-H1749)*(Inputs!$F$17-Inputs!$D$17)*(Inputs!$F$17-Inputs!$E$17))),0)</f>
        <v>107</v>
      </c>
      <c r="J1749" s="81" t="n">
        <f aca="true">RAND()</f>
        <v>0.620713571983199</v>
      </c>
      <c r="K1749" s="83" t="n">
        <f aca="false">IF(J1749&lt;(Inputs!$E$18-Inputs!$D$18)/(Inputs!$F$18-Inputs!$D$18),Inputs!$D$18+SQRT(J1749*(Inputs!$F$18-Inputs!$D$18)*(Inputs!$E$18-Inputs!$D$18)),Inputs!$F$18-SQRT((1-J1749)*(Inputs!$F$18-Inputs!$D$18)*(Inputs!$F$18-Inputs!$E$18)))</f>
        <v>1.06782546157196</v>
      </c>
      <c r="L1749" s="81" t="n">
        <f aca="true">RAND()</f>
        <v>0.766234283823942</v>
      </c>
      <c r="M1749" s="83" t="n">
        <f aca="false">IF(L1749&lt;(Inputs!$E$24-Inputs!$D$24)/(Inputs!$F$24-Inputs!$D$24),Inputs!$D$24+SQRT(L1749*(Inputs!$F$24-Inputs!$D$24)*(Inputs!$E$24-Inputs!$D$24)),Inputs!$F$24-SQRT((1-L1749)*(Inputs!$F$24-Inputs!$D$24)*(Inputs!$F$24-Inputs!$E$24)))</f>
        <v>0.963137652037615</v>
      </c>
      <c r="N1749" s="81" t="n">
        <f aca="true">RAND()</f>
        <v>0.440956829654808</v>
      </c>
      <c r="O1749" s="83" t="n">
        <f aca="false">IF(N1749&lt;(Inputs!$E$26-Inputs!$D$26)/(Inputs!$F$26-Inputs!$D$26),Inputs!$D$26+SQRT(N1749*(Inputs!$F$26-Inputs!$D$26)*(Inputs!$E$26-Inputs!$D$26)),Inputs!$F$26-SQRT((1-N1749)*(Inputs!$F$26-Inputs!$D$26)*(Inputs!$F$26-Inputs!$E$26)))</f>
        <v>0.570878600953564</v>
      </c>
      <c r="P1749" s="81" t="n">
        <f aca="true">RAND()</f>
        <v>0.186202622251505</v>
      </c>
      <c r="Q1749" s="82" t="n">
        <f aca="false">IF(P1749&lt;(Inputs!$E$27-Inputs!$D$27)/(Inputs!$F$27-Inputs!$D$27),Inputs!$D$27+SQRT(P1749*(Inputs!$F$27-Inputs!$D$27)*(Inputs!$E$27-Inputs!$D$27)),Inputs!$F$27-SQRT((1-P1749)*(Inputs!$F$27-Inputs!$D$27)*(Inputs!$F$27-Inputs!$E$27)))</f>
        <v>71.5756009332015</v>
      </c>
      <c r="R1749" s="81" t="n">
        <f aca="true">RAND()</f>
        <v>0.482298616896643</v>
      </c>
      <c r="S1749" s="82" t="n">
        <f aca="false">IF(R1749&lt;(Inputs!$E$29-Inputs!$D$29)/(Inputs!$F$29-Inputs!$D$29),Inputs!$D$29+SQRT(R1749*(Inputs!$F$29-Inputs!$D$29)*(Inputs!$E$29-Inputs!$D$29)),Inputs!$F$29-SQRT((1-R1749)*(Inputs!$F$29-Inputs!$D$29)*(Inputs!$F$29-Inputs!$E$29)))</f>
        <v>6.7962703723589</v>
      </c>
      <c r="T1749" s="68" t="n">
        <f aca="false">Inputs!$E$9*(1+E1749)+Inputs!$E$5*C1749*(Inputs!$E$11*Inputs!$E$14*(G1749*I1749/Inputs!$E$16+(1-G1749))*K1749+Inputs!$E$23*M1749)*(1+O1749)+Inputs!$E$5*(Q1749+S1749)</f>
        <v>6169.07743701843</v>
      </c>
    </row>
    <row r="1750" customFormat="false" ht="15" hidden="false" customHeight="false" outlineLevel="0" collapsed="false">
      <c r="A1750" s="1" t="n">
        <v>1746</v>
      </c>
      <c r="B1750" s="81" t="n">
        <f aca="true">RAND()</f>
        <v>0.295187207393463</v>
      </c>
      <c r="C1750" s="82" t="n">
        <f aca="false">ROUND(IF(B1750&lt;(Inputs!$E$8-Inputs!$D$8)/(Inputs!$F$8-Inputs!$D$8),Inputs!$D$8+SQRT(B1750*(Inputs!$F$8-Inputs!$D$8)*(Inputs!$E$8-Inputs!$D$8)),Inputs!$F$8-SQRT((1-B1750)*(Inputs!$F$8-Inputs!$D$8)*(Inputs!$F$8-Inputs!$E$8))),0)</f>
        <v>24</v>
      </c>
      <c r="D1750" s="81" t="n">
        <f aca="true">RAND()</f>
        <v>0.314262236987621</v>
      </c>
      <c r="E1750" s="83" t="n">
        <f aca="false">IF(D1750&lt;(Inputs!$E$10-Inputs!$D$10)/(Inputs!$F$10-Inputs!$D$10),Inputs!$D$10+SQRT(D1750*(Inputs!$F$10-Inputs!$D$10)*(Inputs!$E$10-Inputs!$D$10)),Inputs!$F$10-SQRT((1-D1750)*(Inputs!$F$10-Inputs!$D$10)*(Inputs!$F$10-Inputs!$E$10)))</f>
        <v>0.0565701115862828</v>
      </c>
      <c r="F1750" s="81" t="n">
        <f aca="true">RAND()</f>
        <v>0.870748057029311</v>
      </c>
      <c r="G1750" s="83" t="n">
        <f aca="false">IF(F1750&lt;(Inputs!$E$15-Inputs!$D$15)/(Inputs!$F$15-Inputs!$D$15),Inputs!$D$15+SQRT(F1750*(Inputs!$F$15-Inputs!$D$15)*(Inputs!$E$15-Inputs!$D$15)),Inputs!$F$15-SQRT((1-F1750)*(Inputs!$F$15-Inputs!$D$15)*(Inputs!$F$15-Inputs!$E$15)))</f>
        <v>0.749156722574034</v>
      </c>
      <c r="H1750" s="81" t="n">
        <f aca="true">RAND()</f>
        <v>0.0907084197949946</v>
      </c>
      <c r="I1750" s="82" t="n">
        <f aca="false">ROUND(IF(H1750&lt;(Inputs!$E$17-Inputs!$D$17)/(Inputs!$F$17-Inputs!$D$17),Inputs!$D$17+SQRT(H1750*(Inputs!$F$17-Inputs!$D$17)*(Inputs!$E$17-Inputs!$D$17)),Inputs!$F$17-SQRT((1-H1750)*(Inputs!$F$17-Inputs!$D$17)*(Inputs!$F$17-Inputs!$E$17))),0)</f>
        <v>103</v>
      </c>
      <c r="J1750" s="81" t="n">
        <f aca="true">RAND()</f>
        <v>0.0283559348462451</v>
      </c>
      <c r="K1750" s="83" t="n">
        <f aca="false">IF(J1750&lt;(Inputs!$E$18-Inputs!$D$18)/(Inputs!$F$18-Inputs!$D$18),Inputs!$D$18+SQRT(J1750*(Inputs!$F$18-Inputs!$D$18)*(Inputs!$E$18-Inputs!$D$18)),Inputs!$F$18-SQRT((1-J1750)*(Inputs!$F$18-Inputs!$D$18)*(Inputs!$F$18-Inputs!$E$18)))</f>
        <v>0.931503296964264</v>
      </c>
      <c r="L1750" s="81" t="n">
        <f aca="true">RAND()</f>
        <v>0.400416944419506</v>
      </c>
      <c r="M1750" s="83" t="n">
        <f aca="false">IF(L1750&lt;(Inputs!$E$24-Inputs!$D$24)/(Inputs!$F$24-Inputs!$D$24),Inputs!$D$24+SQRT(L1750*(Inputs!$F$24-Inputs!$D$24)*(Inputs!$E$24-Inputs!$D$24)),Inputs!$F$24-SQRT((1-L1750)*(Inputs!$F$24-Inputs!$D$24)*(Inputs!$F$24-Inputs!$E$24)))</f>
        <v>0.820658553095871</v>
      </c>
      <c r="N1750" s="81" t="n">
        <f aca="true">RAND()</f>
        <v>0.954454691765807</v>
      </c>
      <c r="O1750" s="83" t="n">
        <f aca="false">IF(N1750&lt;(Inputs!$E$26-Inputs!$D$26)/(Inputs!$F$26-Inputs!$D$26),Inputs!$D$26+SQRT(N1750*(Inputs!$F$26-Inputs!$D$26)*(Inputs!$E$26-Inputs!$D$26)),Inputs!$F$26-SQRT((1-N1750)*(Inputs!$F$26-Inputs!$D$26)*(Inputs!$F$26-Inputs!$E$26)))</f>
        <v>0.751176224628722</v>
      </c>
      <c r="P1750" s="81" t="n">
        <f aca="true">RAND()</f>
        <v>0.0266910397295321</v>
      </c>
      <c r="Q1750" s="82" t="n">
        <f aca="false">IF(P1750&lt;(Inputs!$E$27-Inputs!$D$27)/(Inputs!$F$27-Inputs!$D$27),Inputs!$D$27+SQRT(P1750*(Inputs!$F$27-Inputs!$D$27)*(Inputs!$E$27-Inputs!$D$27)),Inputs!$F$27-SQRT((1-P1750)*(Inputs!$F$27-Inputs!$D$27)*(Inputs!$F$27-Inputs!$E$27)))</f>
        <v>58.1686963050312</v>
      </c>
      <c r="R1750" s="81" t="n">
        <f aca="true">RAND()</f>
        <v>0.679469348877763</v>
      </c>
      <c r="S1750" s="82" t="n">
        <f aca="false">IF(R1750&lt;(Inputs!$E$29-Inputs!$D$29)/(Inputs!$F$29-Inputs!$D$29),Inputs!$D$29+SQRT(R1750*(Inputs!$F$29-Inputs!$D$29)*(Inputs!$E$29-Inputs!$D$29)),Inputs!$F$29-SQRT((1-R1750)*(Inputs!$F$29-Inputs!$D$29)*(Inputs!$F$29-Inputs!$E$29)))</f>
        <v>8.54484820891942</v>
      </c>
      <c r="T1750" s="68" t="n">
        <f aca="false">Inputs!$E$9*(1+E1750)+Inputs!$E$5*C1750*(Inputs!$E$11*Inputs!$E$14*(G1750*I1750/Inputs!$E$16+(1-G1750))*K1750+Inputs!$E$23*M1750)*(1+O1750)+Inputs!$E$5*(Q1750+S1750)</f>
        <v>5901.51068216652</v>
      </c>
    </row>
    <row r="1751" customFormat="false" ht="15" hidden="false" customHeight="false" outlineLevel="0" collapsed="false">
      <c r="A1751" s="1" t="n">
        <v>1747</v>
      </c>
      <c r="B1751" s="81" t="n">
        <f aca="true">RAND()</f>
        <v>0.919147941524853</v>
      </c>
      <c r="C1751" s="82" t="n">
        <f aca="false">ROUND(IF(B1751&lt;(Inputs!$E$8-Inputs!$D$8)/(Inputs!$F$8-Inputs!$D$8),Inputs!$D$8+SQRT(B1751*(Inputs!$F$8-Inputs!$D$8)*(Inputs!$E$8-Inputs!$D$8)),Inputs!$F$8-SQRT((1-B1751)*(Inputs!$F$8-Inputs!$D$8)*(Inputs!$F$8-Inputs!$E$8))),0)</f>
        <v>28</v>
      </c>
      <c r="D1751" s="81" t="n">
        <f aca="true">RAND()</f>
        <v>0.571369977988043</v>
      </c>
      <c r="E1751" s="83" t="n">
        <f aca="false">IF(D1751&lt;(Inputs!$E$10-Inputs!$D$10)/(Inputs!$F$10-Inputs!$D$10),Inputs!$D$10+SQRT(D1751*(Inputs!$F$10-Inputs!$D$10)*(Inputs!$E$10-Inputs!$D$10)),Inputs!$F$10-SQRT((1-D1751)*(Inputs!$F$10-Inputs!$D$10)*(Inputs!$F$10-Inputs!$E$10)))</f>
        <v>0.0866029071785405</v>
      </c>
      <c r="F1751" s="81" t="n">
        <f aca="true">RAND()</f>
        <v>0.0999504317590471</v>
      </c>
      <c r="G1751" s="83" t="n">
        <f aca="false">IF(F1751&lt;(Inputs!$E$15-Inputs!$D$15)/(Inputs!$F$15-Inputs!$D$15),Inputs!$D$15+SQRT(F1751*(Inputs!$F$15-Inputs!$D$15)*(Inputs!$E$15-Inputs!$D$15)),Inputs!$F$15-SQRT((1-F1751)*(Inputs!$F$15-Inputs!$D$15)*(Inputs!$F$15-Inputs!$E$15)))</f>
        <v>0.644710274380515</v>
      </c>
      <c r="H1751" s="81" t="n">
        <f aca="true">RAND()</f>
        <v>0.294461435270321</v>
      </c>
      <c r="I1751" s="82" t="n">
        <f aca="false">ROUND(IF(H1751&lt;(Inputs!$E$17-Inputs!$D$17)/(Inputs!$F$17-Inputs!$D$17),Inputs!$D$17+SQRT(H1751*(Inputs!$F$17-Inputs!$D$17)*(Inputs!$E$17-Inputs!$D$17)),Inputs!$F$17-SQRT((1-H1751)*(Inputs!$F$17-Inputs!$D$17)*(Inputs!$F$17-Inputs!$E$17))),0)</f>
        <v>105</v>
      </c>
      <c r="J1751" s="81" t="n">
        <f aca="true">RAND()</f>
        <v>0.411231299241262</v>
      </c>
      <c r="K1751" s="83" t="n">
        <f aca="false">IF(J1751&lt;(Inputs!$E$18-Inputs!$D$18)/(Inputs!$F$18-Inputs!$D$18),Inputs!$D$18+SQRT(J1751*(Inputs!$F$18-Inputs!$D$18)*(Inputs!$E$18-Inputs!$D$18)),Inputs!$F$18-SQRT((1-J1751)*(Inputs!$F$18-Inputs!$D$18)*(Inputs!$F$18-Inputs!$E$18)))</f>
        <v>1.02302585760402</v>
      </c>
      <c r="L1751" s="81" t="n">
        <f aca="true">RAND()</f>
        <v>0.698082774367602</v>
      </c>
      <c r="M1751" s="83" t="n">
        <f aca="false">IF(L1751&lt;(Inputs!$E$24-Inputs!$D$24)/(Inputs!$F$24-Inputs!$D$24),Inputs!$D$24+SQRT(L1751*(Inputs!$F$24-Inputs!$D$24)*(Inputs!$E$24-Inputs!$D$24)),Inputs!$F$24-SQRT((1-L1751)*(Inputs!$F$24-Inputs!$D$24)*(Inputs!$F$24-Inputs!$E$24)))</f>
        <v>0.930815798844406</v>
      </c>
      <c r="N1751" s="81" t="n">
        <f aca="true">RAND()</f>
        <v>0.391174087210933</v>
      </c>
      <c r="O1751" s="83" t="n">
        <f aca="false">IF(N1751&lt;(Inputs!$E$26-Inputs!$D$26)/(Inputs!$F$26-Inputs!$D$26),Inputs!$D$26+SQRT(N1751*(Inputs!$F$26-Inputs!$D$26)*(Inputs!$E$26-Inputs!$D$26)),Inputs!$F$26-SQRT((1-N1751)*(Inputs!$F$26-Inputs!$D$26)*(Inputs!$F$26-Inputs!$E$26)))</f>
        <v>0.555130100364303</v>
      </c>
      <c r="P1751" s="81" t="n">
        <f aca="true">RAND()</f>
        <v>0.771291502165384</v>
      </c>
      <c r="Q1751" s="82" t="n">
        <f aca="false">IF(P1751&lt;(Inputs!$E$27-Inputs!$D$27)/(Inputs!$F$27-Inputs!$D$27),Inputs!$D$27+SQRT(P1751*(Inputs!$F$27-Inputs!$D$27)*(Inputs!$E$27-Inputs!$D$27)),Inputs!$F$27-SQRT((1-P1751)*(Inputs!$F$27-Inputs!$D$27)*(Inputs!$F$27-Inputs!$E$27)))</f>
        <v>108.583653785497</v>
      </c>
      <c r="R1751" s="81" t="n">
        <f aca="true">RAND()</f>
        <v>0.41421589013895</v>
      </c>
      <c r="S1751" s="82" t="n">
        <f aca="false">IF(R1751&lt;(Inputs!$E$29-Inputs!$D$29)/(Inputs!$F$29-Inputs!$D$29),Inputs!$D$29+SQRT(R1751*(Inputs!$F$29-Inputs!$D$29)*(Inputs!$E$29-Inputs!$D$29)),Inputs!$F$29-SQRT((1-R1751)*(Inputs!$F$29-Inputs!$D$29)*(Inputs!$F$29-Inputs!$E$29)))</f>
        <v>6.27349243500377</v>
      </c>
      <c r="T1751" s="68" t="n">
        <f aca="false">Inputs!$E$9*(1+E1751)+Inputs!$E$5*C1751*(Inputs!$E$11*Inputs!$E$14*(G1751*I1751/Inputs!$E$16+(1-G1751))*K1751+Inputs!$E$23*M1751)*(1+O1751)+Inputs!$E$5*(Q1751+S1751)</f>
        <v>6883.99022657505</v>
      </c>
    </row>
    <row r="1752" customFormat="false" ht="15" hidden="false" customHeight="false" outlineLevel="0" collapsed="false">
      <c r="A1752" s="1" t="n">
        <v>1748</v>
      </c>
      <c r="B1752" s="81" t="n">
        <f aca="true">RAND()</f>
        <v>0.0284867283385508</v>
      </c>
      <c r="C1752" s="82" t="n">
        <f aca="false">ROUND(IF(B1752&lt;(Inputs!$E$8-Inputs!$D$8)/(Inputs!$F$8-Inputs!$D$8),Inputs!$D$8+SQRT(B1752*(Inputs!$F$8-Inputs!$D$8)*(Inputs!$E$8-Inputs!$D$8)),Inputs!$F$8-SQRT((1-B1752)*(Inputs!$F$8-Inputs!$D$8)*(Inputs!$F$8-Inputs!$E$8))),0)</f>
        <v>21</v>
      </c>
      <c r="D1752" s="81" t="n">
        <f aca="true">RAND()</f>
        <v>0.580213669948035</v>
      </c>
      <c r="E1752" s="83" t="n">
        <f aca="false">IF(D1752&lt;(Inputs!$E$10-Inputs!$D$10)/(Inputs!$F$10-Inputs!$D$10),Inputs!$D$10+SQRT(D1752*(Inputs!$F$10-Inputs!$D$10)*(Inputs!$E$10-Inputs!$D$10)),Inputs!$F$10-SQRT((1-D1752)*(Inputs!$F$10-Inputs!$D$10)*(Inputs!$F$10-Inputs!$E$10)))</f>
        <v>0.0877788348770209</v>
      </c>
      <c r="F1752" s="81" t="n">
        <f aca="true">RAND()</f>
        <v>0.454976563145964</v>
      </c>
      <c r="G1752" s="83" t="n">
        <f aca="false">IF(F1752&lt;(Inputs!$E$15-Inputs!$D$15)/(Inputs!$F$15-Inputs!$D$15),Inputs!$D$15+SQRT(F1752*(Inputs!$F$15-Inputs!$D$15)*(Inputs!$E$15-Inputs!$D$15)),Inputs!$F$15-SQRT((1-F1752)*(Inputs!$F$15-Inputs!$D$15)*(Inputs!$F$15-Inputs!$E$15)))</f>
        <v>0.695391463260185</v>
      </c>
      <c r="H1752" s="81" t="n">
        <f aca="true">RAND()</f>
        <v>0.737856157479163</v>
      </c>
      <c r="I1752" s="82" t="n">
        <f aca="false">ROUND(IF(H1752&lt;(Inputs!$E$17-Inputs!$D$17)/(Inputs!$F$17-Inputs!$D$17),Inputs!$D$17+SQRT(H1752*(Inputs!$F$17-Inputs!$D$17)*(Inputs!$E$17-Inputs!$D$17)),Inputs!$F$17-SQRT((1-H1752)*(Inputs!$F$17-Inputs!$D$17)*(Inputs!$F$17-Inputs!$E$17))),0)</f>
        <v>109</v>
      </c>
      <c r="J1752" s="81" t="n">
        <f aca="true">RAND()</f>
        <v>0.606019807961232</v>
      </c>
      <c r="K1752" s="83" t="n">
        <f aca="false">IF(J1752&lt;(Inputs!$E$18-Inputs!$D$18)/(Inputs!$F$18-Inputs!$D$18),Inputs!$D$18+SQRT(J1752*(Inputs!$F$18-Inputs!$D$18)*(Inputs!$E$18-Inputs!$D$18)),Inputs!$F$18-SQRT((1-J1752)*(Inputs!$F$18-Inputs!$D$18)*(Inputs!$F$18-Inputs!$E$18)))</f>
        <v>1.06433022108218</v>
      </c>
      <c r="L1752" s="81" t="n">
        <f aca="true">RAND()</f>
        <v>0.6028377260362</v>
      </c>
      <c r="M1752" s="83" t="n">
        <f aca="false">IF(L1752&lt;(Inputs!$E$24-Inputs!$D$24)/(Inputs!$F$24-Inputs!$D$24),Inputs!$D$24+SQRT(L1752*(Inputs!$F$24-Inputs!$D$24)*(Inputs!$E$24-Inputs!$D$24)),Inputs!$F$24-SQRT((1-L1752)*(Inputs!$F$24-Inputs!$D$24)*(Inputs!$F$24-Inputs!$E$24)))</f>
        <v>0.891262335062092</v>
      </c>
      <c r="N1752" s="81" t="n">
        <f aca="true">RAND()</f>
        <v>0.0536914489276189</v>
      </c>
      <c r="O1752" s="83" t="n">
        <f aca="false">IF(N1752&lt;(Inputs!$E$26-Inputs!$D$26)/(Inputs!$F$26-Inputs!$D$26),Inputs!$D$26+SQRT(N1752*(Inputs!$F$26-Inputs!$D$26)*(Inputs!$E$26-Inputs!$D$26)),Inputs!$F$26-SQRT((1-N1752)*(Inputs!$F$26-Inputs!$D$26)*(Inputs!$F$26-Inputs!$E$26)))</f>
        <v>0.394521199217719</v>
      </c>
      <c r="P1752" s="81" t="n">
        <f aca="true">RAND()</f>
        <v>0.628396560572397</v>
      </c>
      <c r="Q1752" s="82" t="n">
        <f aca="false">IF(P1752&lt;(Inputs!$E$27-Inputs!$D$27)/(Inputs!$F$27-Inputs!$D$27),Inputs!$D$27+SQRT(P1752*(Inputs!$F$27-Inputs!$D$27)*(Inputs!$E$27-Inputs!$D$27)),Inputs!$F$27-SQRT((1-P1752)*(Inputs!$F$27-Inputs!$D$27)*(Inputs!$F$27-Inputs!$E$27)))</f>
        <v>97.2077108309649</v>
      </c>
      <c r="R1752" s="81" t="n">
        <f aca="true">RAND()</f>
        <v>0.331836908473641</v>
      </c>
      <c r="S1752" s="82" t="n">
        <f aca="false">IF(R1752&lt;(Inputs!$E$29-Inputs!$D$29)/(Inputs!$F$29-Inputs!$D$29),Inputs!$D$29+SQRT(R1752*(Inputs!$F$29-Inputs!$D$29)*(Inputs!$E$29-Inputs!$D$29)),Inputs!$F$29-SQRT((1-R1752)*(Inputs!$F$29-Inputs!$D$29)*(Inputs!$F$29-Inputs!$E$29)))</f>
        <v>5.68006427605712</v>
      </c>
      <c r="T1752" s="68" t="n">
        <f aca="false">Inputs!$E$9*(1+E1752)+Inputs!$E$5*C1752*(Inputs!$E$11*Inputs!$E$14*(G1752*I1752/Inputs!$E$16+(1-G1752))*K1752+Inputs!$E$23*M1752)*(1+O1752)+Inputs!$E$5*(Q1752+S1752)</f>
        <v>5552.73663364178</v>
      </c>
    </row>
    <row r="1753" customFormat="false" ht="15" hidden="false" customHeight="false" outlineLevel="0" collapsed="false">
      <c r="A1753" s="1" t="n">
        <v>1749</v>
      </c>
      <c r="B1753" s="81" t="n">
        <f aca="true">RAND()</f>
        <v>0.280358028264036</v>
      </c>
      <c r="C1753" s="82" t="n">
        <f aca="false">ROUND(IF(B1753&lt;(Inputs!$E$8-Inputs!$D$8)/(Inputs!$F$8-Inputs!$D$8),Inputs!$D$8+SQRT(B1753*(Inputs!$F$8-Inputs!$D$8)*(Inputs!$E$8-Inputs!$D$8)),Inputs!$F$8-SQRT((1-B1753)*(Inputs!$F$8-Inputs!$D$8)*(Inputs!$F$8-Inputs!$E$8))),0)</f>
        <v>24</v>
      </c>
      <c r="D1753" s="81" t="n">
        <f aca="true">RAND()</f>
        <v>0.0799817889127256</v>
      </c>
      <c r="E1753" s="83" t="n">
        <f aca="false">IF(D1753&lt;(Inputs!$E$10-Inputs!$D$10)/(Inputs!$F$10-Inputs!$D$10),Inputs!$D$10+SQRT(D1753*(Inputs!$F$10-Inputs!$D$10)*(Inputs!$E$10-Inputs!$D$10)),Inputs!$F$10-SQRT((1-D1753)*(Inputs!$F$10-Inputs!$D$10)*(Inputs!$F$10-Inputs!$E$10)))</f>
        <v>0.0282810517684059</v>
      </c>
      <c r="F1753" s="81" t="n">
        <f aca="true">RAND()</f>
        <v>0.889207241229129</v>
      </c>
      <c r="G1753" s="83" t="n">
        <f aca="false">IF(F1753&lt;(Inputs!$E$15-Inputs!$D$15)/(Inputs!$F$15-Inputs!$D$15),Inputs!$D$15+SQRT(F1753*(Inputs!$F$15-Inputs!$D$15)*(Inputs!$E$15-Inputs!$D$15)),Inputs!$F$15-SQRT((1-F1753)*(Inputs!$F$15-Inputs!$D$15)*(Inputs!$F$15-Inputs!$E$15)))</f>
        <v>0.752927129093103</v>
      </c>
      <c r="H1753" s="81" t="n">
        <f aca="true">RAND()</f>
        <v>0.696752726347919</v>
      </c>
      <c r="I1753" s="82" t="n">
        <f aca="false">ROUND(IF(H1753&lt;(Inputs!$E$17-Inputs!$D$17)/(Inputs!$F$17-Inputs!$D$17),Inputs!$D$17+SQRT(H1753*(Inputs!$F$17-Inputs!$D$17)*(Inputs!$E$17-Inputs!$D$17)),Inputs!$F$17-SQRT((1-H1753)*(Inputs!$F$17-Inputs!$D$17)*(Inputs!$F$17-Inputs!$E$17))),0)</f>
        <v>108</v>
      </c>
      <c r="J1753" s="81" t="n">
        <f aca="true">RAND()</f>
        <v>0.662057573371503</v>
      </c>
      <c r="K1753" s="83" t="n">
        <f aca="false">IF(J1753&lt;(Inputs!$E$18-Inputs!$D$18)/(Inputs!$F$18-Inputs!$D$18),Inputs!$D$18+SQRT(J1753*(Inputs!$F$18-Inputs!$D$18)*(Inputs!$E$18-Inputs!$D$18)),Inputs!$F$18-SQRT((1-J1753)*(Inputs!$F$18-Inputs!$D$18)*(Inputs!$F$18-Inputs!$E$18)))</f>
        <v>1.07804081202217</v>
      </c>
      <c r="L1753" s="81" t="n">
        <f aca="true">RAND()</f>
        <v>0.0218612040407855</v>
      </c>
      <c r="M1753" s="83" t="n">
        <f aca="false">IF(L1753&lt;(Inputs!$E$24-Inputs!$D$24)/(Inputs!$F$24-Inputs!$D$24),Inputs!$D$24+SQRT(L1753*(Inputs!$F$24-Inputs!$D$24)*(Inputs!$E$24-Inputs!$D$24)),Inputs!$F$24-SQRT((1-L1753)*(Inputs!$F$24-Inputs!$D$24)*(Inputs!$F$24-Inputs!$E$24)))</f>
        <v>0.651218595108557</v>
      </c>
      <c r="N1753" s="81" t="n">
        <f aca="true">RAND()</f>
        <v>0.880563737525705</v>
      </c>
      <c r="O1753" s="83" t="n">
        <f aca="false">IF(N1753&lt;(Inputs!$E$26-Inputs!$D$26)/(Inputs!$F$26-Inputs!$D$26),Inputs!$D$26+SQRT(N1753*(Inputs!$F$26-Inputs!$D$26)*(Inputs!$E$26-Inputs!$D$26)),Inputs!$F$26-SQRT((1-N1753)*(Inputs!$F$26-Inputs!$D$26)*(Inputs!$F$26-Inputs!$E$26)))</f>
        <v>0.708548794096579</v>
      </c>
      <c r="P1753" s="81" t="n">
        <f aca="true">RAND()</f>
        <v>0.0725691799650706</v>
      </c>
      <c r="Q1753" s="82" t="n">
        <f aca="false">IF(P1753&lt;(Inputs!$E$27-Inputs!$D$27)/(Inputs!$F$27-Inputs!$D$27),Inputs!$D$27+SQRT(P1753*(Inputs!$F$27-Inputs!$D$27)*(Inputs!$E$27-Inputs!$D$27)),Inputs!$F$27-SQRT((1-P1753)*(Inputs!$F$27-Inputs!$D$27)*(Inputs!$F$27-Inputs!$E$27)))</f>
        <v>63.469333684807</v>
      </c>
      <c r="R1753" s="81" t="n">
        <f aca="true">RAND()</f>
        <v>0.557094737650487</v>
      </c>
      <c r="S1753" s="82" t="n">
        <f aca="false">IF(R1753&lt;(Inputs!$E$29-Inputs!$D$29)/(Inputs!$F$29-Inputs!$D$29),Inputs!$D$29+SQRT(R1753*(Inputs!$F$29-Inputs!$D$29)*(Inputs!$E$29-Inputs!$D$29)),Inputs!$F$29-SQRT((1-R1753)*(Inputs!$F$29-Inputs!$D$29)*(Inputs!$F$29-Inputs!$E$29)))</f>
        <v>7.4120039466644</v>
      </c>
      <c r="T1753" s="68" t="n">
        <f aca="false">Inputs!$E$9*(1+E1753)+Inputs!$E$5*C1753*(Inputs!$E$11*Inputs!$E$14*(G1753*I1753/Inputs!$E$16+(1-G1753))*K1753+Inputs!$E$23*M1753)*(1+O1753)+Inputs!$E$5*(Q1753+S1753)</f>
        <v>5906.13476514423</v>
      </c>
    </row>
    <row r="1754" customFormat="false" ht="15" hidden="false" customHeight="false" outlineLevel="0" collapsed="false">
      <c r="A1754" s="1" t="n">
        <v>1750</v>
      </c>
      <c r="B1754" s="81" t="n">
        <f aca="true">RAND()</f>
        <v>0.966058833768045</v>
      </c>
      <c r="C1754" s="82" t="n">
        <f aca="false">ROUND(IF(B1754&lt;(Inputs!$E$8-Inputs!$D$8)/(Inputs!$F$8-Inputs!$D$8),Inputs!$D$8+SQRT(B1754*(Inputs!$F$8-Inputs!$D$8)*(Inputs!$E$8-Inputs!$D$8)),Inputs!$F$8-SQRT((1-B1754)*(Inputs!$F$8-Inputs!$D$8)*(Inputs!$F$8-Inputs!$E$8))),0)</f>
        <v>29</v>
      </c>
      <c r="D1754" s="81" t="n">
        <f aca="true">RAND()</f>
        <v>0.27839547316858</v>
      </c>
      <c r="E1754" s="83" t="n">
        <f aca="false">IF(D1754&lt;(Inputs!$E$10-Inputs!$D$10)/(Inputs!$F$10-Inputs!$D$10),Inputs!$D$10+SQRT(D1754*(Inputs!$F$10-Inputs!$D$10)*(Inputs!$E$10-Inputs!$D$10)),Inputs!$F$10-SQRT((1-D1754)*(Inputs!$F$10-Inputs!$D$10)*(Inputs!$F$10-Inputs!$E$10)))</f>
        <v>0.0528669452334297</v>
      </c>
      <c r="F1754" s="81" t="n">
        <f aca="true">RAND()</f>
        <v>0.582178636301522</v>
      </c>
      <c r="G1754" s="83" t="n">
        <f aca="false">IF(F1754&lt;(Inputs!$E$15-Inputs!$D$15)/(Inputs!$F$15-Inputs!$D$15),Inputs!$D$15+SQRT(F1754*(Inputs!$F$15-Inputs!$D$15)*(Inputs!$E$15-Inputs!$D$15)),Inputs!$F$15-SQRT((1-F1754)*(Inputs!$F$15-Inputs!$D$15)*(Inputs!$F$15-Inputs!$E$15)))</f>
        <v>0.708586503874047</v>
      </c>
      <c r="H1754" s="81" t="n">
        <f aca="true">RAND()</f>
        <v>0.55738483982321</v>
      </c>
      <c r="I1754" s="82" t="n">
        <f aca="false">ROUND(IF(H1754&lt;(Inputs!$E$17-Inputs!$D$17)/(Inputs!$F$17-Inputs!$D$17),Inputs!$D$17+SQRT(H1754*(Inputs!$F$17-Inputs!$D$17)*(Inputs!$E$17-Inputs!$D$17)),Inputs!$F$17-SQRT((1-H1754)*(Inputs!$F$17-Inputs!$D$17)*(Inputs!$F$17-Inputs!$E$17))),0)</f>
        <v>107</v>
      </c>
      <c r="J1754" s="81" t="n">
        <f aca="true">RAND()</f>
        <v>0.27075105569395</v>
      </c>
      <c r="K1754" s="83" t="n">
        <f aca="false">IF(J1754&lt;(Inputs!$E$18-Inputs!$D$18)/(Inputs!$F$18-Inputs!$D$18),Inputs!$D$18+SQRT(J1754*(Inputs!$F$18-Inputs!$D$18)*(Inputs!$E$18-Inputs!$D$18)),Inputs!$F$18-SQRT((1-J1754)*(Inputs!$F$18-Inputs!$D$18)*(Inputs!$F$18-Inputs!$E$18)))</f>
        <v>0.997346222059658</v>
      </c>
      <c r="L1754" s="81" t="n">
        <f aca="true">RAND()</f>
        <v>0.15624379689061</v>
      </c>
      <c r="M1754" s="83" t="n">
        <f aca="false">IF(L1754&lt;(Inputs!$E$24-Inputs!$D$24)/(Inputs!$F$24-Inputs!$D$24),Inputs!$D$24+SQRT(L1754*(Inputs!$F$24-Inputs!$D$24)*(Inputs!$E$24-Inputs!$D$24)),Inputs!$F$24-SQRT((1-L1754)*(Inputs!$F$24-Inputs!$D$24)*(Inputs!$F$24-Inputs!$E$24)))</f>
        <v>0.736927921282963</v>
      </c>
      <c r="N1754" s="81" t="n">
        <f aca="true">RAND()</f>
        <v>0.97066721119066</v>
      </c>
      <c r="O1754" s="83" t="n">
        <f aca="false">IF(N1754&lt;(Inputs!$E$26-Inputs!$D$26)/(Inputs!$F$26-Inputs!$D$26),Inputs!$D$26+SQRT(N1754*(Inputs!$F$26-Inputs!$D$26)*(Inputs!$E$26-Inputs!$D$26)),Inputs!$F$26-SQRT((1-N1754)*(Inputs!$F$26-Inputs!$D$26)*(Inputs!$F$26-Inputs!$E$26)))</f>
        <v>0.764767672182214</v>
      </c>
      <c r="P1754" s="81" t="n">
        <f aca="true">RAND()</f>
        <v>0.875530729824757</v>
      </c>
      <c r="Q1754" s="82" t="n">
        <f aca="false">IF(P1754&lt;(Inputs!$E$27-Inputs!$D$27)/(Inputs!$F$27-Inputs!$D$27),Inputs!$D$27+SQRT(P1754*(Inputs!$F$27-Inputs!$D$27)*(Inputs!$E$27-Inputs!$D$27)),Inputs!$F$27-SQRT((1-P1754)*(Inputs!$F$27-Inputs!$D$27)*(Inputs!$F$27-Inputs!$E$27)))</f>
        <v>119.446448220963</v>
      </c>
      <c r="R1754" s="81" t="n">
        <f aca="true">RAND()</f>
        <v>0.795503598416758</v>
      </c>
      <c r="S1754" s="82" t="n">
        <f aca="false">IF(R1754&lt;(Inputs!$E$29-Inputs!$D$29)/(Inputs!$F$29-Inputs!$D$29),Inputs!$D$29+SQRT(R1754*(Inputs!$F$29-Inputs!$D$29)*(Inputs!$E$29-Inputs!$D$29)),Inputs!$F$29-SQRT((1-R1754)*(Inputs!$F$29-Inputs!$D$29)*(Inputs!$F$29-Inputs!$E$29)))</f>
        <v>9.84398097309354</v>
      </c>
      <c r="T1754" s="68" t="n">
        <f aca="false">Inputs!$E$9*(1+E1754)+Inputs!$E$5*C1754*(Inputs!$E$11*Inputs!$E$14*(G1754*I1754/Inputs!$E$16+(1-G1754))*K1754+Inputs!$E$23*M1754)*(1+O1754)+Inputs!$E$5*(Q1754+S1754)</f>
        <v>7063.86971276715</v>
      </c>
    </row>
    <row r="1755" customFormat="false" ht="15" hidden="false" customHeight="false" outlineLevel="0" collapsed="false">
      <c r="A1755" s="1" t="n">
        <v>1751</v>
      </c>
      <c r="B1755" s="81" t="n">
        <f aca="true">RAND()</f>
        <v>0.119400544847351</v>
      </c>
      <c r="C1755" s="82" t="n">
        <f aca="false">ROUND(IF(B1755&lt;(Inputs!$E$8-Inputs!$D$8)/(Inputs!$F$8-Inputs!$D$8),Inputs!$D$8+SQRT(B1755*(Inputs!$F$8-Inputs!$D$8)*(Inputs!$E$8-Inputs!$D$8)),Inputs!$F$8-SQRT((1-B1755)*(Inputs!$F$8-Inputs!$D$8)*(Inputs!$F$8-Inputs!$E$8))),0)</f>
        <v>22</v>
      </c>
      <c r="D1755" s="81" t="n">
        <f aca="true">RAND()</f>
        <v>0.838133279181481</v>
      </c>
      <c r="E1755" s="83" t="n">
        <f aca="false">IF(D1755&lt;(Inputs!$E$10-Inputs!$D$10)/(Inputs!$F$10-Inputs!$D$10),Inputs!$D$10+SQRT(D1755*(Inputs!$F$10-Inputs!$D$10)*(Inputs!$E$10-Inputs!$D$10)),Inputs!$F$10-SQRT((1-D1755)*(Inputs!$F$10-Inputs!$D$10)*(Inputs!$F$10-Inputs!$E$10)))</f>
        <v>0.130314982782842</v>
      </c>
      <c r="F1755" s="81" t="n">
        <f aca="true">RAND()</f>
        <v>0.253575013673348</v>
      </c>
      <c r="G1755" s="83" t="n">
        <f aca="false">IF(F1755&lt;(Inputs!$E$15-Inputs!$D$15)/(Inputs!$F$15-Inputs!$D$15),Inputs!$D$15+SQRT(F1755*(Inputs!$F$15-Inputs!$D$15)*(Inputs!$E$15-Inputs!$D$15)),Inputs!$F$15-SQRT((1-F1755)*(Inputs!$F$15-Inputs!$D$15)*(Inputs!$F$15-Inputs!$E$15)))</f>
        <v>0.671214466742839</v>
      </c>
      <c r="H1755" s="81" t="n">
        <f aca="true">RAND()</f>
        <v>0.469058876533374</v>
      </c>
      <c r="I1755" s="82" t="n">
        <f aca="false">ROUND(IF(H1755&lt;(Inputs!$E$17-Inputs!$D$17)/(Inputs!$F$17-Inputs!$D$17),Inputs!$D$17+SQRT(H1755*(Inputs!$F$17-Inputs!$D$17)*(Inputs!$E$17-Inputs!$D$17)),Inputs!$F$17-SQRT((1-H1755)*(Inputs!$F$17-Inputs!$D$17)*(Inputs!$F$17-Inputs!$E$17))),0)</f>
        <v>106</v>
      </c>
      <c r="J1755" s="81" t="n">
        <f aca="true">RAND()</f>
        <v>0.368181508060859</v>
      </c>
      <c r="K1755" s="83" t="n">
        <f aca="false">IF(J1755&lt;(Inputs!$E$18-Inputs!$D$18)/(Inputs!$F$18-Inputs!$D$18),Inputs!$D$18+SQRT(J1755*(Inputs!$F$18-Inputs!$D$18)*(Inputs!$E$18-Inputs!$D$18)),Inputs!$F$18-SQRT((1-J1755)*(Inputs!$F$18-Inputs!$D$18)*(Inputs!$F$18-Inputs!$E$18)))</f>
        <v>1.01487425057073</v>
      </c>
      <c r="L1755" s="81" t="n">
        <f aca="true">RAND()</f>
        <v>0.122184034869106</v>
      </c>
      <c r="M1755" s="83" t="n">
        <f aca="false">IF(L1755&lt;(Inputs!$E$24-Inputs!$D$24)/(Inputs!$F$24-Inputs!$D$24),Inputs!$D$24+SQRT(L1755*(Inputs!$F$24-Inputs!$D$24)*(Inputs!$E$24-Inputs!$D$24)),Inputs!$F$24-SQRT((1-L1755)*(Inputs!$F$24-Inputs!$D$24)*(Inputs!$F$24-Inputs!$E$24)))</f>
        <v>0.721087093384442</v>
      </c>
      <c r="N1755" s="81" t="n">
        <f aca="true">RAND()</f>
        <v>0.486952712691702</v>
      </c>
      <c r="O1755" s="83" t="n">
        <f aca="false">IF(N1755&lt;(Inputs!$E$26-Inputs!$D$26)/(Inputs!$F$26-Inputs!$D$26),Inputs!$D$26+SQRT(N1755*(Inputs!$F$26-Inputs!$D$26)*(Inputs!$E$26-Inputs!$D$26)),Inputs!$F$26-SQRT((1-N1755)*(Inputs!$F$26-Inputs!$D$26)*(Inputs!$F$26-Inputs!$E$26)))</f>
        <v>0.584655812151973</v>
      </c>
      <c r="P1755" s="81" t="n">
        <f aca="true">RAND()</f>
        <v>0.203369078609104</v>
      </c>
      <c r="Q1755" s="82" t="n">
        <f aca="false">IF(P1755&lt;(Inputs!$E$27-Inputs!$D$27)/(Inputs!$F$27-Inputs!$D$27),Inputs!$D$27+SQRT(P1755*(Inputs!$F$27-Inputs!$D$27)*(Inputs!$E$27-Inputs!$D$27)),Inputs!$F$27-SQRT((1-P1755)*(Inputs!$F$27-Inputs!$D$27)*(Inputs!$F$27-Inputs!$E$27)))</f>
        <v>72.5482304521388</v>
      </c>
      <c r="R1755" s="81" t="n">
        <f aca="true">RAND()</f>
        <v>0.518095798729682</v>
      </c>
      <c r="S1755" s="82" t="n">
        <f aca="false">IF(R1755&lt;(Inputs!$E$29-Inputs!$D$29)/(Inputs!$F$29-Inputs!$D$29),Inputs!$D$29+SQRT(R1755*(Inputs!$F$29-Inputs!$D$29)*(Inputs!$E$29-Inputs!$D$29)),Inputs!$F$29-SQRT((1-R1755)*(Inputs!$F$29-Inputs!$D$29)*(Inputs!$F$29-Inputs!$E$29)))</f>
        <v>7.08497971164058</v>
      </c>
      <c r="T1755" s="68" t="n">
        <f aca="false">Inputs!$E$9*(1+E1755)+Inputs!$E$5*C1755*(Inputs!$E$11*Inputs!$E$14*(G1755*I1755/Inputs!$E$16+(1-G1755))*K1755+Inputs!$E$23*M1755)*(1+O1755)+Inputs!$E$5*(Q1755+S1755)</f>
        <v>5724.87885860876</v>
      </c>
    </row>
    <row r="1756" customFormat="false" ht="15" hidden="false" customHeight="false" outlineLevel="0" collapsed="false">
      <c r="A1756" s="1" t="n">
        <v>1752</v>
      </c>
      <c r="B1756" s="81" t="n">
        <f aca="true">RAND()</f>
        <v>0.386525554996255</v>
      </c>
      <c r="C1756" s="82" t="n">
        <f aca="false">ROUND(IF(B1756&lt;(Inputs!$E$8-Inputs!$D$8)/(Inputs!$F$8-Inputs!$D$8),Inputs!$D$8+SQRT(B1756*(Inputs!$F$8-Inputs!$D$8)*(Inputs!$E$8-Inputs!$D$8)),Inputs!$F$8-SQRT((1-B1756)*(Inputs!$F$8-Inputs!$D$8)*(Inputs!$F$8-Inputs!$E$8))),0)</f>
        <v>24</v>
      </c>
      <c r="D1756" s="81" t="n">
        <f aca="true">RAND()</f>
        <v>0.894962739839036</v>
      </c>
      <c r="E1756" s="83" t="n">
        <f aca="false">IF(D1756&lt;(Inputs!$E$10-Inputs!$D$10)/(Inputs!$F$10-Inputs!$D$10),Inputs!$D$10+SQRT(D1756*(Inputs!$F$10-Inputs!$D$10)*(Inputs!$E$10-Inputs!$D$10)),Inputs!$F$10-SQRT((1-D1756)*(Inputs!$F$10-Inputs!$D$10)*(Inputs!$F$10-Inputs!$E$10)))</f>
        <v>0.143865181884779</v>
      </c>
      <c r="F1756" s="81" t="n">
        <f aca="true">RAND()</f>
        <v>0.577928107212646</v>
      </c>
      <c r="G1756" s="83" t="n">
        <f aca="false">IF(F1756&lt;(Inputs!$E$15-Inputs!$D$15)/(Inputs!$F$15-Inputs!$D$15),Inputs!$D$15+SQRT(F1756*(Inputs!$F$15-Inputs!$D$15)*(Inputs!$E$15-Inputs!$D$15)),Inputs!$F$15-SQRT((1-F1756)*(Inputs!$F$15-Inputs!$D$15)*(Inputs!$F$15-Inputs!$E$15)))</f>
        <v>0.708122702174329</v>
      </c>
      <c r="H1756" s="81" t="n">
        <f aca="true">RAND()</f>
        <v>0.613693103809446</v>
      </c>
      <c r="I1756" s="82" t="n">
        <f aca="false">ROUND(IF(H1756&lt;(Inputs!$E$17-Inputs!$D$17)/(Inputs!$F$17-Inputs!$D$17),Inputs!$D$17+SQRT(H1756*(Inputs!$F$17-Inputs!$D$17)*(Inputs!$E$17-Inputs!$D$17)),Inputs!$F$17-SQRT((1-H1756)*(Inputs!$F$17-Inputs!$D$17)*(Inputs!$F$17-Inputs!$E$17))),0)</f>
        <v>107</v>
      </c>
      <c r="J1756" s="81" t="n">
        <f aca="true">RAND()</f>
        <v>0.24423424892437</v>
      </c>
      <c r="K1756" s="83" t="n">
        <f aca="false">IF(J1756&lt;(Inputs!$E$18-Inputs!$D$18)/(Inputs!$F$18-Inputs!$D$18),Inputs!$D$18+SQRT(J1756*(Inputs!$F$18-Inputs!$D$18)*(Inputs!$E$18-Inputs!$D$18)),Inputs!$F$18-SQRT((1-J1756)*(Inputs!$F$18-Inputs!$D$18)*(Inputs!$F$18-Inputs!$E$18)))</f>
        <v>0.992456469283404</v>
      </c>
      <c r="L1756" s="81" t="n">
        <f aca="true">RAND()</f>
        <v>0.380103214220383</v>
      </c>
      <c r="M1756" s="83" t="n">
        <f aca="false">IF(L1756&lt;(Inputs!$E$24-Inputs!$D$24)/(Inputs!$F$24-Inputs!$D$24),Inputs!$D$24+SQRT(L1756*(Inputs!$F$24-Inputs!$D$24)*(Inputs!$E$24-Inputs!$D$24)),Inputs!$F$24-SQRT((1-L1756)*(Inputs!$F$24-Inputs!$D$24)*(Inputs!$F$24-Inputs!$E$24)))</f>
        <v>0.814286079344927</v>
      </c>
      <c r="N1756" s="81" t="n">
        <f aca="true">RAND()</f>
        <v>0.320745284804913</v>
      </c>
      <c r="O1756" s="83" t="n">
        <f aca="false">IF(N1756&lt;(Inputs!$E$26-Inputs!$D$26)/(Inputs!$F$26-Inputs!$D$26),Inputs!$D$26+SQRT(N1756*(Inputs!$F$26-Inputs!$D$26)*(Inputs!$E$26-Inputs!$D$26)),Inputs!$F$26-SQRT((1-N1756)*(Inputs!$F$26-Inputs!$D$26)*(Inputs!$F$26-Inputs!$E$26)))</f>
        <v>0.531023841608474</v>
      </c>
      <c r="P1756" s="81" t="n">
        <f aca="true">RAND()</f>
        <v>0.659536635592488</v>
      </c>
      <c r="Q1756" s="82" t="n">
        <f aca="false">IF(P1756&lt;(Inputs!$E$27-Inputs!$D$27)/(Inputs!$F$27-Inputs!$D$27),Inputs!$D$27+SQRT(P1756*(Inputs!$F$27-Inputs!$D$27)*(Inputs!$E$27-Inputs!$D$27)),Inputs!$F$27-SQRT((1-P1756)*(Inputs!$F$27-Inputs!$D$27)*(Inputs!$F$27-Inputs!$E$27)))</f>
        <v>99.4680770892662</v>
      </c>
      <c r="R1756" s="81" t="n">
        <f aca="true">RAND()</f>
        <v>0.0304066448477542</v>
      </c>
      <c r="S1756" s="82" t="n">
        <f aca="false">IF(R1756&lt;(Inputs!$E$29-Inputs!$D$29)/(Inputs!$F$29-Inputs!$D$29),Inputs!$D$29+SQRT(R1756*(Inputs!$F$29-Inputs!$D$29)*(Inputs!$E$29-Inputs!$D$29)),Inputs!$F$29-SQRT((1-R1756)*(Inputs!$F$29-Inputs!$D$29)*(Inputs!$F$29-Inputs!$E$29)))</f>
        <v>3.08897160158675</v>
      </c>
      <c r="T1756" s="68" t="n">
        <f aca="false">Inputs!$E$9*(1+E1756)+Inputs!$E$5*C1756*(Inputs!$E$11*Inputs!$E$14*(G1756*I1756/Inputs!$E$16+(1-G1756))*K1756+Inputs!$E$23*M1756)*(1+O1756)+Inputs!$E$5*(Q1756+S1756)</f>
        <v>6065.95726846111</v>
      </c>
    </row>
    <row r="1757" customFormat="false" ht="15" hidden="false" customHeight="false" outlineLevel="0" collapsed="false">
      <c r="A1757" s="1" t="n">
        <v>1753</v>
      </c>
      <c r="B1757" s="81" t="n">
        <f aca="true">RAND()</f>
        <v>0.926802443752844</v>
      </c>
      <c r="C1757" s="82" t="n">
        <f aca="false">ROUND(IF(B1757&lt;(Inputs!$E$8-Inputs!$D$8)/(Inputs!$F$8-Inputs!$D$8),Inputs!$D$8+SQRT(B1757*(Inputs!$F$8-Inputs!$D$8)*(Inputs!$E$8-Inputs!$D$8)),Inputs!$F$8-SQRT((1-B1757)*(Inputs!$F$8-Inputs!$D$8)*(Inputs!$F$8-Inputs!$E$8))),0)</f>
        <v>28</v>
      </c>
      <c r="D1757" s="81" t="n">
        <f aca="true">RAND()</f>
        <v>0.383095426274978</v>
      </c>
      <c r="E1757" s="83" t="n">
        <f aca="false">IF(D1757&lt;(Inputs!$E$10-Inputs!$D$10)/(Inputs!$F$10-Inputs!$D$10),Inputs!$D$10+SQRT(D1757*(Inputs!$F$10-Inputs!$D$10)*(Inputs!$E$10-Inputs!$D$10)),Inputs!$F$10-SQRT((1-D1757)*(Inputs!$F$10-Inputs!$D$10)*(Inputs!$F$10-Inputs!$E$10)))</f>
        <v>0.0639590605304762</v>
      </c>
      <c r="F1757" s="81" t="n">
        <f aca="true">RAND()</f>
        <v>0.738263590102379</v>
      </c>
      <c r="G1757" s="83" t="n">
        <f aca="false">IF(F1757&lt;(Inputs!$E$15-Inputs!$D$15)/(Inputs!$F$15-Inputs!$D$15),Inputs!$D$15+SQRT(F1757*(Inputs!$F$15-Inputs!$D$15)*(Inputs!$E$15-Inputs!$D$15)),Inputs!$F$15-SQRT((1-F1757)*(Inputs!$F$15-Inputs!$D$15)*(Inputs!$F$15-Inputs!$E$15)))</f>
        <v>0.727648578466264</v>
      </c>
      <c r="H1757" s="81" t="n">
        <f aca="true">RAND()</f>
        <v>0.764237672431625</v>
      </c>
      <c r="I1757" s="82" t="n">
        <f aca="false">ROUND(IF(H1757&lt;(Inputs!$E$17-Inputs!$D$17)/(Inputs!$F$17-Inputs!$D$17),Inputs!$D$17+SQRT(H1757*(Inputs!$F$17-Inputs!$D$17)*(Inputs!$E$17-Inputs!$D$17)),Inputs!$F$17-SQRT((1-H1757)*(Inputs!$F$17-Inputs!$D$17)*(Inputs!$F$17-Inputs!$E$17))),0)</f>
        <v>109</v>
      </c>
      <c r="J1757" s="81" t="n">
        <f aca="true">RAND()</f>
        <v>0.0828667810021061</v>
      </c>
      <c r="K1757" s="83" t="n">
        <f aca="false">IF(J1757&lt;(Inputs!$E$18-Inputs!$D$18)/(Inputs!$F$18-Inputs!$D$18),Inputs!$D$18+SQRT(J1757*(Inputs!$F$18-Inputs!$D$18)*(Inputs!$E$18-Inputs!$D$18)),Inputs!$F$18-SQRT((1-J1757)*(Inputs!$F$18-Inputs!$D$18)*(Inputs!$F$18-Inputs!$E$18)))</f>
        <v>0.953854780057797</v>
      </c>
      <c r="L1757" s="81" t="n">
        <f aca="true">RAND()</f>
        <v>0.848802761642666</v>
      </c>
      <c r="M1757" s="83" t="n">
        <f aca="false">IF(L1757&lt;(Inputs!$E$24-Inputs!$D$24)/(Inputs!$F$24-Inputs!$D$24),Inputs!$D$24+SQRT(L1757*(Inputs!$F$24-Inputs!$D$24)*(Inputs!$E$24-Inputs!$D$24)),Inputs!$F$24-SQRT((1-L1757)*(Inputs!$F$24-Inputs!$D$24)*(Inputs!$F$24-Inputs!$E$24)))</f>
        <v>1.00950764528265</v>
      </c>
      <c r="N1757" s="81" t="n">
        <f aca="true">RAND()</f>
        <v>0.148682306357382</v>
      </c>
      <c r="O1757" s="83" t="n">
        <f aca="false">IF(N1757&lt;(Inputs!$E$26-Inputs!$D$26)/(Inputs!$F$26-Inputs!$D$26),Inputs!$D$26+SQRT(N1757*(Inputs!$F$26-Inputs!$D$26)*(Inputs!$E$26-Inputs!$D$26)),Inputs!$F$26-SQRT((1-N1757)*(Inputs!$F$26-Inputs!$D$26)*(Inputs!$F$26-Inputs!$E$26)))</f>
        <v>0.457291880838994</v>
      </c>
      <c r="P1757" s="81" t="n">
        <f aca="true">RAND()</f>
        <v>0.486004766995329</v>
      </c>
      <c r="Q1757" s="82" t="n">
        <f aca="false">IF(P1757&lt;(Inputs!$E$27-Inputs!$D$27)/(Inputs!$F$27-Inputs!$D$27),Inputs!$D$27+SQRT(P1757*(Inputs!$F$27-Inputs!$D$27)*(Inputs!$E$27-Inputs!$D$27)),Inputs!$F$27-SQRT((1-P1757)*(Inputs!$F$27-Inputs!$D$27)*(Inputs!$F$27-Inputs!$E$27)))</f>
        <v>87.911641610242</v>
      </c>
      <c r="R1757" s="81" t="n">
        <f aca="true">RAND()</f>
        <v>0.960342410652317</v>
      </c>
      <c r="S1757" s="82" t="n">
        <f aca="false">IF(R1757&lt;(Inputs!$E$29-Inputs!$D$29)/(Inputs!$F$29-Inputs!$D$29),Inputs!$D$29+SQRT(R1757*(Inputs!$F$29-Inputs!$D$29)*(Inputs!$E$29-Inputs!$D$29)),Inputs!$F$29-SQRT((1-R1757)*(Inputs!$F$29-Inputs!$D$29)*(Inputs!$F$29-Inputs!$E$29)))</f>
        <v>12.7294303324499</v>
      </c>
      <c r="T1757" s="68" t="n">
        <f aca="false">Inputs!$E$9*(1+E1757)+Inputs!$E$5*C1757*(Inputs!$E$11*Inputs!$E$14*(G1757*I1757/Inputs!$E$16+(1-G1757))*K1757+Inputs!$E$23*M1757)*(1+O1757)+Inputs!$E$5*(Q1757+S1757)</f>
        <v>6413.89075243507</v>
      </c>
    </row>
    <row r="1758" customFormat="false" ht="15" hidden="false" customHeight="false" outlineLevel="0" collapsed="false">
      <c r="A1758" s="1" t="n">
        <v>1754</v>
      </c>
      <c r="B1758" s="81" t="n">
        <f aca="true">RAND()</f>
        <v>0.728796433021806</v>
      </c>
      <c r="C1758" s="82" t="n">
        <f aca="false">ROUND(IF(B1758&lt;(Inputs!$E$8-Inputs!$D$8)/(Inputs!$F$8-Inputs!$D$8),Inputs!$D$8+SQRT(B1758*(Inputs!$F$8-Inputs!$D$8)*(Inputs!$E$8-Inputs!$D$8)),Inputs!$F$8-SQRT((1-B1758)*(Inputs!$F$8-Inputs!$D$8)*(Inputs!$F$8-Inputs!$E$8))),0)</f>
        <v>26</v>
      </c>
      <c r="D1758" s="81" t="n">
        <f aca="true">RAND()</f>
        <v>0.767993639957843</v>
      </c>
      <c r="E1758" s="83" t="n">
        <f aca="false">IF(D1758&lt;(Inputs!$E$10-Inputs!$D$10)/(Inputs!$F$10-Inputs!$D$10),Inputs!$D$10+SQRT(D1758*(Inputs!$F$10-Inputs!$D$10)*(Inputs!$E$10-Inputs!$D$10)),Inputs!$F$10-SQRT((1-D1758)*(Inputs!$F$10-Inputs!$D$10)*(Inputs!$F$10-Inputs!$E$10)))</f>
        <v>0.116572242021826</v>
      </c>
      <c r="F1758" s="81" t="n">
        <f aca="true">RAND()</f>
        <v>0.945528410108546</v>
      </c>
      <c r="G1758" s="83" t="n">
        <f aca="false">IF(F1758&lt;(Inputs!$E$15-Inputs!$D$15)/(Inputs!$F$15-Inputs!$D$15),Inputs!$D$15+SQRT(F1758*(Inputs!$F$15-Inputs!$D$15)*(Inputs!$E$15-Inputs!$D$15)),Inputs!$F$15-SQRT((1-F1758)*(Inputs!$F$15-Inputs!$D$15)*(Inputs!$F$15-Inputs!$E$15)))</f>
        <v>0.76699345825705</v>
      </c>
      <c r="H1758" s="81" t="n">
        <f aca="true">RAND()</f>
        <v>0.67748686635578</v>
      </c>
      <c r="I1758" s="82" t="n">
        <f aca="false">ROUND(IF(H1758&lt;(Inputs!$E$17-Inputs!$D$17)/(Inputs!$F$17-Inputs!$D$17),Inputs!$D$17+SQRT(H1758*(Inputs!$F$17-Inputs!$D$17)*(Inputs!$E$17-Inputs!$D$17)),Inputs!$F$17-SQRT((1-H1758)*(Inputs!$F$17-Inputs!$D$17)*(Inputs!$F$17-Inputs!$E$17))),0)</f>
        <v>108</v>
      </c>
      <c r="J1758" s="81" t="n">
        <f aca="true">RAND()</f>
        <v>0.693900531573161</v>
      </c>
      <c r="K1758" s="83" t="n">
        <f aca="false">IF(J1758&lt;(Inputs!$E$18-Inputs!$D$18)/(Inputs!$F$18-Inputs!$D$18),Inputs!$D$18+SQRT(J1758*(Inputs!$F$18-Inputs!$D$18)*(Inputs!$E$18-Inputs!$D$18)),Inputs!$F$18-SQRT((1-J1758)*(Inputs!$F$18-Inputs!$D$18)*(Inputs!$F$18-Inputs!$E$18)))</f>
        <v>1.08634272552878</v>
      </c>
      <c r="L1758" s="81" t="n">
        <f aca="true">RAND()</f>
        <v>0.188338511210732</v>
      </c>
      <c r="M1758" s="83" t="n">
        <f aca="false">IF(L1758&lt;(Inputs!$E$24-Inputs!$D$24)/(Inputs!$F$24-Inputs!$D$24),Inputs!$D$24+SQRT(L1758*(Inputs!$F$24-Inputs!$D$24)*(Inputs!$E$24-Inputs!$D$24)),Inputs!$F$24-SQRT((1-L1758)*(Inputs!$F$24-Inputs!$D$24)*(Inputs!$F$24-Inputs!$E$24)))</f>
        <v>0.750335030333212</v>
      </c>
      <c r="N1758" s="81" t="n">
        <f aca="true">RAND()</f>
        <v>0.157001783808557</v>
      </c>
      <c r="O1758" s="83" t="n">
        <f aca="false">IF(N1758&lt;(Inputs!$E$26-Inputs!$D$26)/(Inputs!$F$26-Inputs!$D$26),Inputs!$D$26+SQRT(N1758*(Inputs!$F$26-Inputs!$D$26)*(Inputs!$E$26-Inputs!$D$26)),Inputs!$F$26-SQRT((1-N1758)*(Inputs!$F$26-Inputs!$D$26)*(Inputs!$F$26-Inputs!$E$26)))</f>
        <v>0.461632598276906</v>
      </c>
      <c r="P1758" s="81" t="n">
        <f aca="true">RAND()</f>
        <v>0.361058384539765</v>
      </c>
      <c r="Q1758" s="82" t="n">
        <f aca="false">IF(P1758&lt;(Inputs!$E$27-Inputs!$D$27)/(Inputs!$F$27-Inputs!$D$27),Inputs!$D$27+SQRT(P1758*(Inputs!$F$27-Inputs!$D$27)*(Inputs!$E$27-Inputs!$D$27)),Inputs!$F$27-SQRT((1-P1758)*(Inputs!$F$27-Inputs!$D$27)*(Inputs!$F$27-Inputs!$E$27)))</f>
        <v>80.7752781446414</v>
      </c>
      <c r="R1758" s="81" t="n">
        <f aca="true">RAND()</f>
        <v>0.340996050928309</v>
      </c>
      <c r="S1758" s="82" t="n">
        <f aca="false">IF(R1758&lt;(Inputs!$E$29-Inputs!$D$29)/(Inputs!$F$29-Inputs!$D$29),Inputs!$D$29+SQRT(R1758*(Inputs!$F$29-Inputs!$D$29)*(Inputs!$E$29-Inputs!$D$29)),Inputs!$F$29-SQRT((1-R1758)*(Inputs!$F$29-Inputs!$D$29)*(Inputs!$F$29-Inputs!$E$29)))</f>
        <v>5.7441632804311</v>
      </c>
      <c r="T1758" s="68" t="n">
        <f aca="false">Inputs!$E$9*(1+E1758)+Inputs!$E$5*C1758*(Inputs!$E$11*Inputs!$E$14*(G1758*I1758/Inputs!$E$16+(1-G1758))*K1758+Inputs!$E$23*M1758)*(1+O1758)+Inputs!$E$5*(Q1758+S1758)</f>
        <v>6070.03807055005</v>
      </c>
    </row>
    <row r="1759" customFormat="false" ht="15" hidden="false" customHeight="false" outlineLevel="0" collapsed="false">
      <c r="A1759" s="1" t="n">
        <v>1755</v>
      </c>
      <c r="B1759" s="81" t="n">
        <f aca="true">RAND()</f>
        <v>0.169305393497365</v>
      </c>
      <c r="C1759" s="82" t="n">
        <f aca="false">ROUND(IF(B1759&lt;(Inputs!$E$8-Inputs!$D$8)/(Inputs!$F$8-Inputs!$D$8),Inputs!$D$8+SQRT(B1759*(Inputs!$F$8-Inputs!$D$8)*(Inputs!$E$8-Inputs!$D$8)),Inputs!$F$8-SQRT((1-B1759)*(Inputs!$F$8-Inputs!$D$8)*(Inputs!$F$8-Inputs!$E$8))),0)</f>
        <v>23</v>
      </c>
      <c r="D1759" s="81" t="n">
        <f aca="true">RAND()</f>
        <v>0.502932004543074</v>
      </c>
      <c r="E1759" s="83" t="n">
        <f aca="false">IF(D1759&lt;(Inputs!$E$10-Inputs!$D$10)/(Inputs!$F$10-Inputs!$D$10),Inputs!$D$10+SQRT(D1759*(Inputs!$F$10-Inputs!$D$10)*(Inputs!$E$10-Inputs!$D$10)),Inputs!$F$10-SQRT((1-D1759)*(Inputs!$F$10-Inputs!$D$10)*(Inputs!$F$10-Inputs!$E$10)))</f>
        <v>0.0778851365979236</v>
      </c>
      <c r="F1759" s="81" t="n">
        <f aca="true">RAND()</f>
        <v>0.493848938107978</v>
      </c>
      <c r="G1759" s="83" t="n">
        <f aca="false">IF(F1759&lt;(Inputs!$E$15-Inputs!$D$15)/(Inputs!$F$15-Inputs!$D$15),Inputs!$D$15+SQRT(F1759*(Inputs!$F$15-Inputs!$D$15)*(Inputs!$E$15-Inputs!$D$15)),Inputs!$F$15-SQRT((1-F1759)*(Inputs!$F$15-Inputs!$D$15)*(Inputs!$F$15-Inputs!$E$15)))</f>
        <v>0.699382990305985</v>
      </c>
      <c r="H1759" s="81" t="n">
        <f aca="true">RAND()</f>
        <v>0.94631349462402</v>
      </c>
      <c r="I1759" s="82" t="n">
        <f aca="false">ROUND(IF(H1759&lt;(Inputs!$E$17-Inputs!$D$17)/(Inputs!$F$17-Inputs!$D$17),Inputs!$D$17+SQRT(H1759*(Inputs!$F$17-Inputs!$D$17)*(Inputs!$E$17-Inputs!$D$17)),Inputs!$F$17-SQRT((1-H1759)*(Inputs!$F$17-Inputs!$D$17)*(Inputs!$F$17-Inputs!$E$17))),0)</f>
        <v>112</v>
      </c>
      <c r="J1759" s="81" t="n">
        <f aca="true">RAND()</f>
        <v>0.640266704222421</v>
      </c>
      <c r="K1759" s="83" t="n">
        <f aca="false">IF(J1759&lt;(Inputs!$E$18-Inputs!$D$18)/(Inputs!$F$18-Inputs!$D$18),Inputs!$D$18+SQRT(J1759*(Inputs!$F$18-Inputs!$D$18)*(Inputs!$E$18-Inputs!$D$18)),Inputs!$F$18-SQRT((1-J1759)*(Inputs!$F$18-Inputs!$D$18)*(Inputs!$F$18-Inputs!$E$18)))</f>
        <v>1.07258336216539</v>
      </c>
      <c r="L1759" s="81" t="n">
        <f aca="true">RAND()</f>
        <v>0.427034066873058</v>
      </c>
      <c r="M1759" s="83" t="n">
        <f aca="false">IF(L1759&lt;(Inputs!$E$24-Inputs!$D$24)/(Inputs!$F$24-Inputs!$D$24),Inputs!$D$24+SQRT(L1759*(Inputs!$F$24-Inputs!$D$24)*(Inputs!$E$24-Inputs!$D$24)),Inputs!$F$24-SQRT((1-L1759)*(Inputs!$F$24-Inputs!$D$24)*(Inputs!$F$24-Inputs!$E$24)))</f>
        <v>0.829174132576399</v>
      </c>
      <c r="N1759" s="81" t="n">
        <f aca="true">RAND()</f>
        <v>0.621171046013127</v>
      </c>
      <c r="O1759" s="83" t="n">
        <f aca="false">IF(N1759&lt;(Inputs!$E$26-Inputs!$D$26)/(Inputs!$F$26-Inputs!$D$26),Inputs!$D$26+SQRT(N1759*(Inputs!$F$26-Inputs!$D$26)*(Inputs!$E$26-Inputs!$D$26)),Inputs!$F$26-SQRT((1-N1759)*(Inputs!$F$26-Inputs!$D$26)*(Inputs!$F$26-Inputs!$E$26)))</f>
        <v>0.621510173523591</v>
      </c>
      <c r="P1759" s="81" t="n">
        <f aca="true">RAND()</f>
        <v>0.322384316775506</v>
      </c>
      <c r="Q1759" s="82" t="n">
        <f aca="false">IF(P1759&lt;(Inputs!$E$27-Inputs!$D$27)/(Inputs!$F$27-Inputs!$D$27),Inputs!$D$27+SQRT(P1759*(Inputs!$F$27-Inputs!$D$27)*(Inputs!$E$27-Inputs!$D$27)),Inputs!$F$27-SQRT((1-P1759)*(Inputs!$F$27-Inputs!$D$27)*(Inputs!$F$27-Inputs!$E$27)))</f>
        <v>78.7110273311243</v>
      </c>
      <c r="R1759" s="81" t="n">
        <f aca="true">RAND()</f>
        <v>0.19510718211962</v>
      </c>
      <c r="S1759" s="82" t="n">
        <f aca="false">IF(R1759&lt;(Inputs!$E$29-Inputs!$D$29)/(Inputs!$F$29-Inputs!$D$29),Inputs!$D$29+SQRT(R1759*(Inputs!$F$29-Inputs!$D$29)*(Inputs!$E$29-Inputs!$D$29)),Inputs!$F$29-SQRT((1-R1759)*(Inputs!$F$29-Inputs!$D$29)*(Inputs!$F$29-Inputs!$E$29)))</f>
        <v>4.758474234548</v>
      </c>
      <c r="T1759" s="68" t="n">
        <f aca="false">Inputs!$E$9*(1+E1759)+Inputs!$E$5*C1759*(Inputs!$E$11*Inputs!$E$14*(G1759*I1759/Inputs!$E$16+(1-G1759))*K1759+Inputs!$E$23*M1759)*(1+O1759)+Inputs!$E$5*(Q1759+S1759)</f>
        <v>6121.6354824505</v>
      </c>
    </row>
    <row r="1760" customFormat="false" ht="15" hidden="false" customHeight="false" outlineLevel="0" collapsed="false">
      <c r="A1760" s="1" t="n">
        <v>1756</v>
      </c>
      <c r="B1760" s="81" t="n">
        <f aca="true">RAND()</f>
        <v>0.969502414824987</v>
      </c>
      <c r="C1760" s="82" t="n">
        <f aca="false">ROUND(IF(B1760&lt;(Inputs!$E$8-Inputs!$D$8)/(Inputs!$F$8-Inputs!$D$8),Inputs!$D$8+SQRT(B1760*(Inputs!$F$8-Inputs!$D$8)*(Inputs!$E$8-Inputs!$D$8)),Inputs!$F$8-SQRT((1-B1760)*(Inputs!$F$8-Inputs!$D$8)*(Inputs!$F$8-Inputs!$E$8))),0)</f>
        <v>29</v>
      </c>
      <c r="D1760" s="81" t="n">
        <f aca="true">RAND()</f>
        <v>0.712334218134039</v>
      </c>
      <c r="E1760" s="83" t="n">
        <f aca="false">IF(D1760&lt;(Inputs!$E$10-Inputs!$D$10)/(Inputs!$F$10-Inputs!$D$10),Inputs!$D$10+SQRT(D1760*(Inputs!$F$10-Inputs!$D$10)*(Inputs!$E$10-Inputs!$D$10)),Inputs!$F$10-SQRT((1-D1760)*(Inputs!$F$10-Inputs!$D$10)*(Inputs!$F$10-Inputs!$E$10)))</f>
        <v>0.107102349566962</v>
      </c>
      <c r="F1760" s="81" t="n">
        <f aca="true">RAND()</f>
        <v>0.500686783724432</v>
      </c>
      <c r="G1760" s="83" t="n">
        <f aca="false">IF(F1760&lt;(Inputs!$E$15-Inputs!$D$15)/(Inputs!$F$15-Inputs!$D$15),Inputs!$D$15+SQRT(F1760*(Inputs!$F$15-Inputs!$D$15)*(Inputs!$E$15-Inputs!$D$15)),Inputs!$F$15-SQRT((1-F1760)*(Inputs!$F$15-Inputs!$D$15)*(Inputs!$F$15-Inputs!$E$15)))</f>
        <v>0.700068701972248</v>
      </c>
      <c r="H1760" s="81" t="n">
        <f aca="true">RAND()</f>
        <v>0.890160530623966</v>
      </c>
      <c r="I1760" s="82" t="n">
        <f aca="false">ROUND(IF(H1760&lt;(Inputs!$E$17-Inputs!$D$17)/(Inputs!$F$17-Inputs!$D$17),Inputs!$D$17+SQRT(H1760*(Inputs!$F$17-Inputs!$D$17)*(Inputs!$E$17-Inputs!$D$17)),Inputs!$F$17-SQRT((1-H1760)*(Inputs!$F$17-Inputs!$D$17)*(Inputs!$F$17-Inputs!$E$17))),0)</f>
        <v>111</v>
      </c>
      <c r="J1760" s="81" t="n">
        <f aca="true">RAND()</f>
        <v>0.377967287558594</v>
      </c>
      <c r="K1760" s="83" t="n">
        <f aca="false">IF(J1760&lt;(Inputs!$E$18-Inputs!$D$18)/(Inputs!$F$18-Inputs!$D$18),Inputs!$D$18+SQRT(J1760*(Inputs!$F$18-Inputs!$D$18)*(Inputs!$E$18-Inputs!$D$18)),Inputs!$F$18-SQRT((1-J1760)*(Inputs!$F$18-Inputs!$D$18)*(Inputs!$F$18-Inputs!$E$18)))</f>
        <v>1.01670220245655</v>
      </c>
      <c r="L1760" s="81" t="n">
        <f aca="true">RAND()</f>
        <v>0.581592199774087</v>
      </c>
      <c r="M1760" s="83" t="n">
        <f aca="false">IF(L1760&lt;(Inputs!$E$24-Inputs!$D$24)/(Inputs!$F$24-Inputs!$D$24),Inputs!$D$24+SQRT(L1760*(Inputs!$F$24-Inputs!$D$24)*(Inputs!$E$24-Inputs!$D$24)),Inputs!$F$24-SQRT((1-L1760)*(Inputs!$F$24-Inputs!$D$24)*(Inputs!$F$24-Inputs!$E$24)))</f>
        <v>0.883112209048346</v>
      </c>
      <c r="N1760" s="81" t="n">
        <f aca="true">RAND()</f>
        <v>0.0351214926330722</v>
      </c>
      <c r="O1760" s="83" t="n">
        <f aca="false">IF(N1760&lt;(Inputs!$E$26-Inputs!$D$26)/(Inputs!$F$26-Inputs!$D$26),Inputs!$D$26+SQRT(N1760*(Inputs!$F$26-Inputs!$D$26)*(Inputs!$E$26-Inputs!$D$26)),Inputs!$F$26-SQRT((1-N1760)*(Inputs!$F$26-Inputs!$D$26)*(Inputs!$F$26-Inputs!$E$26)))</f>
        <v>0.376447474609324</v>
      </c>
      <c r="P1760" s="81" t="n">
        <f aca="true">RAND()</f>
        <v>0.228530190485486</v>
      </c>
      <c r="Q1760" s="82" t="n">
        <f aca="false">IF(P1760&lt;(Inputs!$E$27-Inputs!$D$27)/(Inputs!$F$27-Inputs!$D$27),Inputs!$D$27+SQRT(P1760*(Inputs!$F$27-Inputs!$D$27)*(Inputs!$E$27-Inputs!$D$27)),Inputs!$F$27-SQRT((1-P1760)*(Inputs!$F$27-Inputs!$D$27)*(Inputs!$F$27-Inputs!$E$27)))</f>
        <v>73.902415698287</v>
      </c>
      <c r="R1760" s="81" t="n">
        <f aca="true">RAND()</f>
        <v>0.322981970405421</v>
      </c>
      <c r="S1760" s="82" t="n">
        <f aca="false">IF(R1760&lt;(Inputs!$E$29-Inputs!$D$29)/(Inputs!$F$29-Inputs!$D$29),Inputs!$D$29+SQRT(R1760*(Inputs!$F$29-Inputs!$D$29)*(Inputs!$E$29-Inputs!$D$29)),Inputs!$F$29-SQRT((1-R1760)*(Inputs!$F$29-Inputs!$D$29)*(Inputs!$F$29-Inputs!$E$29)))</f>
        <v>5.61851057415214</v>
      </c>
      <c r="T1760" s="68" t="n">
        <f aca="false">Inputs!$E$9*(1+E1760)+Inputs!$E$5*C1760*(Inputs!$E$11*Inputs!$E$14*(G1760*I1760/Inputs!$E$16+(1-G1760))*K1760+Inputs!$E$23*M1760)*(1+O1760)+Inputs!$E$5*(Q1760+S1760)</f>
        <v>6340.2238305602</v>
      </c>
    </row>
    <row r="1761" customFormat="false" ht="15" hidden="false" customHeight="false" outlineLevel="0" collapsed="false">
      <c r="A1761" s="1" t="n">
        <v>1757</v>
      </c>
      <c r="B1761" s="81" t="n">
        <f aca="true">RAND()</f>
        <v>0.0755643676128349</v>
      </c>
      <c r="C1761" s="82" t="n">
        <f aca="false">ROUND(IF(B1761&lt;(Inputs!$E$8-Inputs!$D$8)/(Inputs!$F$8-Inputs!$D$8),Inputs!$D$8+SQRT(B1761*(Inputs!$F$8-Inputs!$D$8)*(Inputs!$E$8-Inputs!$D$8)),Inputs!$F$8-SQRT((1-B1761)*(Inputs!$F$8-Inputs!$D$8)*(Inputs!$F$8-Inputs!$E$8))),0)</f>
        <v>22</v>
      </c>
      <c r="D1761" s="81" t="n">
        <f aca="true">RAND()</f>
        <v>0.664035944251144</v>
      </c>
      <c r="E1761" s="83" t="n">
        <f aca="false">IF(D1761&lt;(Inputs!$E$10-Inputs!$D$10)/(Inputs!$F$10-Inputs!$D$10),Inputs!$D$10+SQRT(D1761*(Inputs!$F$10-Inputs!$D$10)*(Inputs!$E$10-Inputs!$D$10)),Inputs!$F$10-SQRT((1-D1761)*(Inputs!$F$10-Inputs!$D$10)*(Inputs!$F$10-Inputs!$E$10)))</f>
        <v>0.099606167159204</v>
      </c>
      <c r="F1761" s="81" t="n">
        <f aca="true">RAND()</f>
        <v>0.103891590663182</v>
      </c>
      <c r="G1761" s="83" t="n">
        <f aca="false">IF(F1761&lt;(Inputs!$E$15-Inputs!$D$15)/(Inputs!$F$15-Inputs!$D$15),Inputs!$D$15+SQRT(F1761*(Inputs!$F$15-Inputs!$D$15)*(Inputs!$E$15-Inputs!$D$15)),Inputs!$F$15-SQRT((1-F1761)*(Inputs!$F$15-Inputs!$D$15)*(Inputs!$F$15-Inputs!$E$15)))</f>
        <v>0.645583240486649</v>
      </c>
      <c r="H1761" s="81" t="n">
        <f aca="true">RAND()</f>
        <v>0.0032056547367496</v>
      </c>
      <c r="I1761" s="82" t="n">
        <f aca="false">ROUND(IF(H1761&lt;(Inputs!$E$17-Inputs!$D$17)/(Inputs!$F$17-Inputs!$D$17),Inputs!$D$17+SQRT(H1761*(Inputs!$F$17-Inputs!$D$17)*(Inputs!$E$17-Inputs!$D$17)),Inputs!$F$17-SQRT((1-H1761)*(Inputs!$F$17-Inputs!$D$17)*(Inputs!$F$17-Inputs!$E$17))),0)</f>
        <v>100</v>
      </c>
      <c r="J1761" s="81" t="n">
        <f aca="true">RAND()</f>
        <v>0.147141943792233</v>
      </c>
      <c r="K1761" s="83" t="n">
        <f aca="false">IF(J1761&lt;(Inputs!$E$18-Inputs!$D$18)/(Inputs!$F$18-Inputs!$D$18),Inputs!$D$18+SQRT(J1761*(Inputs!$F$18-Inputs!$D$18)*(Inputs!$E$18-Inputs!$D$18)),Inputs!$F$18-SQRT((1-J1761)*(Inputs!$F$18-Inputs!$D$18)*(Inputs!$F$18-Inputs!$E$18)))</f>
        <v>0.971763277745154</v>
      </c>
      <c r="L1761" s="81" t="n">
        <f aca="true">RAND()</f>
        <v>0.0903474601821655</v>
      </c>
      <c r="M1761" s="83" t="n">
        <f aca="false">IF(L1761&lt;(Inputs!$E$24-Inputs!$D$24)/(Inputs!$F$24-Inputs!$D$24),Inputs!$D$24+SQRT(L1761*(Inputs!$F$24-Inputs!$D$24)*(Inputs!$E$24-Inputs!$D$24)),Inputs!$F$24-SQRT((1-L1761)*(Inputs!$F$24-Inputs!$D$24)*(Inputs!$F$24-Inputs!$E$24)))</f>
        <v>0.70412346143814</v>
      </c>
      <c r="N1761" s="81" t="n">
        <f aca="true">RAND()</f>
        <v>0.17101472071103</v>
      </c>
      <c r="O1761" s="83" t="n">
        <f aca="false">IF(N1761&lt;(Inputs!$E$26-Inputs!$D$26)/(Inputs!$F$26-Inputs!$D$26),Inputs!$D$26+SQRT(N1761*(Inputs!$F$26-Inputs!$D$26)*(Inputs!$E$26-Inputs!$D$26)),Inputs!$F$26-SQRT((1-N1761)*(Inputs!$F$26-Inputs!$D$26)*(Inputs!$F$26-Inputs!$E$26)))</f>
        <v>0.46869158107717</v>
      </c>
      <c r="P1761" s="81" t="n">
        <f aca="true">RAND()</f>
        <v>0.165222872019278</v>
      </c>
      <c r="Q1761" s="82" t="n">
        <f aca="false">IF(P1761&lt;(Inputs!$E$27-Inputs!$D$27)/(Inputs!$F$27-Inputs!$D$27),Inputs!$D$27+SQRT(P1761*(Inputs!$F$27-Inputs!$D$27)*(Inputs!$E$27-Inputs!$D$27)),Inputs!$F$27-SQRT((1-P1761)*(Inputs!$F$27-Inputs!$D$27)*(Inputs!$F$27-Inputs!$E$27)))</f>
        <v>70.3238082073266</v>
      </c>
      <c r="R1761" s="81" t="n">
        <f aca="true">RAND()</f>
        <v>0.692254542897105</v>
      </c>
      <c r="S1761" s="82" t="n">
        <f aca="false">IF(R1761&lt;(Inputs!$E$29-Inputs!$D$29)/(Inputs!$F$29-Inputs!$D$29),Inputs!$D$29+SQRT(R1761*(Inputs!$F$29-Inputs!$D$29)*(Inputs!$E$29-Inputs!$D$29)),Inputs!$F$29-SQRT((1-R1761)*(Inputs!$F$29-Inputs!$D$29)*(Inputs!$F$29-Inputs!$E$29)))</f>
        <v>8.67489846537019</v>
      </c>
      <c r="T1761" s="68" t="n">
        <f aca="false">Inputs!$E$9*(1+E1761)+Inputs!$E$5*C1761*(Inputs!$E$11*Inputs!$E$14*(G1761*I1761/Inputs!$E$16+(1-G1761))*K1761+Inputs!$E$23*M1761)*(1+O1761)+Inputs!$E$5*(Q1761+S1761)</f>
        <v>5326.08385865167</v>
      </c>
    </row>
    <row r="1762" customFormat="false" ht="15" hidden="false" customHeight="false" outlineLevel="0" collapsed="false">
      <c r="A1762" s="1" t="n">
        <v>1758</v>
      </c>
      <c r="B1762" s="81" t="n">
        <f aca="true">RAND()</f>
        <v>0.414123515775253</v>
      </c>
      <c r="C1762" s="82" t="n">
        <f aca="false">ROUND(IF(B1762&lt;(Inputs!$E$8-Inputs!$D$8)/(Inputs!$F$8-Inputs!$D$8),Inputs!$D$8+SQRT(B1762*(Inputs!$F$8-Inputs!$D$8)*(Inputs!$E$8-Inputs!$D$8)),Inputs!$F$8-SQRT((1-B1762)*(Inputs!$F$8-Inputs!$D$8)*(Inputs!$F$8-Inputs!$E$8))),0)</f>
        <v>25</v>
      </c>
      <c r="D1762" s="81" t="n">
        <f aca="true">RAND()</f>
        <v>0.0643519836847355</v>
      </c>
      <c r="E1762" s="83" t="n">
        <f aca="false">IF(D1762&lt;(Inputs!$E$10-Inputs!$D$10)/(Inputs!$F$10-Inputs!$D$10),Inputs!$D$10+SQRT(D1762*(Inputs!$F$10-Inputs!$D$10)*(Inputs!$E$10-Inputs!$D$10)),Inputs!$F$10-SQRT((1-D1762)*(Inputs!$F$10-Inputs!$D$10)*(Inputs!$F$10-Inputs!$E$10)))</f>
        <v>0.0253676927773764</v>
      </c>
      <c r="F1762" s="81" t="n">
        <f aca="true">RAND()</f>
        <v>0.0921521754934383</v>
      </c>
      <c r="G1762" s="83" t="n">
        <f aca="false">IF(F1762&lt;(Inputs!$E$15-Inputs!$D$15)/(Inputs!$F$15-Inputs!$D$15),Inputs!$D$15+SQRT(F1762*(Inputs!$F$15-Inputs!$D$15)*(Inputs!$E$15-Inputs!$D$15)),Inputs!$F$15-SQRT((1-F1762)*(Inputs!$F$15-Inputs!$D$15)*(Inputs!$F$15-Inputs!$E$15)))</f>
        <v>0.642930682615919</v>
      </c>
      <c r="H1762" s="81" t="n">
        <f aca="true">RAND()</f>
        <v>0.000602134460238435</v>
      </c>
      <c r="I1762" s="82" t="n">
        <f aca="false">ROUND(IF(H1762&lt;(Inputs!$E$17-Inputs!$D$17)/(Inputs!$F$17-Inputs!$D$17),Inputs!$D$17+SQRT(H1762*(Inputs!$F$17-Inputs!$D$17)*(Inputs!$E$17-Inputs!$D$17)),Inputs!$F$17-SQRT((1-H1762)*(Inputs!$F$17-Inputs!$D$17)*(Inputs!$F$17-Inputs!$E$17))),0)</f>
        <v>100</v>
      </c>
      <c r="J1762" s="81" t="n">
        <f aca="true">RAND()</f>
        <v>0.0838205059500073</v>
      </c>
      <c r="K1762" s="83" t="n">
        <f aca="false">IF(J1762&lt;(Inputs!$E$18-Inputs!$D$18)/(Inputs!$F$18-Inputs!$D$18),Inputs!$D$18+SQRT(J1762*(Inputs!$F$18-Inputs!$D$18)*(Inputs!$E$18-Inputs!$D$18)),Inputs!$F$18-SQRT((1-J1762)*(Inputs!$F$18-Inputs!$D$18)*(Inputs!$F$18-Inputs!$E$18)))</f>
        <v>0.95416380441079</v>
      </c>
      <c r="L1762" s="81" t="n">
        <f aca="true">RAND()</f>
        <v>0.0784861478208524</v>
      </c>
      <c r="M1762" s="83" t="n">
        <f aca="false">IF(L1762&lt;(Inputs!$E$24-Inputs!$D$24)/(Inputs!$F$24-Inputs!$D$24),Inputs!$D$24+SQRT(L1762*(Inputs!$F$24-Inputs!$D$24)*(Inputs!$E$24-Inputs!$D$24)),Inputs!$F$24-SQRT((1-L1762)*(Inputs!$F$24-Inputs!$D$24)*(Inputs!$F$24-Inputs!$E$24)))</f>
        <v>0.697048120736582</v>
      </c>
      <c r="N1762" s="81" t="n">
        <f aca="true">RAND()</f>
        <v>0.193235956254487</v>
      </c>
      <c r="O1762" s="83" t="n">
        <f aca="false">IF(N1762&lt;(Inputs!$E$26-Inputs!$D$26)/(Inputs!$F$26-Inputs!$D$26),Inputs!$D$26+SQRT(N1762*(Inputs!$F$26-Inputs!$D$26)*(Inputs!$E$26-Inputs!$D$26)),Inputs!$F$26-SQRT((1-N1762)*(Inputs!$F$26-Inputs!$D$26)*(Inputs!$F$26-Inputs!$E$26)))</f>
        <v>0.479316656004808</v>
      </c>
      <c r="P1762" s="81" t="n">
        <f aca="true">RAND()</f>
        <v>0.435289792809281</v>
      </c>
      <c r="Q1762" s="82" t="n">
        <f aca="false">IF(P1762&lt;(Inputs!$E$27-Inputs!$D$27)/(Inputs!$F$27-Inputs!$D$27),Inputs!$D$27+SQRT(P1762*(Inputs!$F$27-Inputs!$D$27)*(Inputs!$E$27-Inputs!$D$27)),Inputs!$F$27-SQRT((1-P1762)*(Inputs!$F$27-Inputs!$D$27)*(Inputs!$F$27-Inputs!$E$27)))</f>
        <v>84.9206134484168</v>
      </c>
      <c r="R1762" s="81" t="n">
        <f aca="true">RAND()</f>
        <v>0.615037067916226</v>
      </c>
      <c r="S1762" s="82" t="n">
        <f aca="false">IF(R1762&lt;(Inputs!$E$29-Inputs!$D$29)/(Inputs!$F$29-Inputs!$D$29),Inputs!$D$29+SQRT(R1762*(Inputs!$F$29-Inputs!$D$29)*(Inputs!$E$29-Inputs!$D$29)),Inputs!$F$29-SQRT((1-R1762)*(Inputs!$F$29-Inputs!$D$29)*(Inputs!$F$29-Inputs!$E$29)))</f>
        <v>7.9257381182988</v>
      </c>
      <c r="T1762" s="68" t="n">
        <f aca="false">Inputs!$E$9*(1+E1762)+Inputs!$E$5*C1762*(Inputs!$E$11*Inputs!$E$14*(G1762*I1762/Inputs!$E$16+(1-G1762))*K1762+Inputs!$E$23*M1762)*(1+O1762)+Inputs!$E$5*(Q1762+S1762)</f>
        <v>5553.91320117905</v>
      </c>
    </row>
    <row r="1763" customFormat="false" ht="15" hidden="false" customHeight="false" outlineLevel="0" collapsed="false">
      <c r="A1763" s="1" t="n">
        <v>1759</v>
      </c>
      <c r="B1763" s="81" t="n">
        <f aca="true">RAND()</f>
        <v>0.546325666511379</v>
      </c>
      <c r="C1763" s="82" t="n">
        <f aca="false">ROUND(IF(B1763&lt;(Inputs!$E$8-Inputs!$D$8)/(Inputs!$F$8-Inputs!$D$8),Inputs!$D$8+SQRT(B1763*(Inputs!$F$8-Inputs!$D$8)*(Inputs!$E$8-Inputs!$D$8)),Inputs!$F$8-SQRT((1-B1763)*(Inputs!$F$8-Inputs!$D$8)*(Inputs!$F$8-Inputs!$E$8))),0)</f>
        <v>25</v>
      </c>
      <c r="D1763" s="81" t="n">
        <f aca="true">RAND()</f>
        <v>0.590359880425725</v>
      </c>
      <c r="E1763" s="83" t="n">
        <f aca="false">IF(D1763&lt;(Inputs!$E$10-Inputs!$D$10)/(Inputs!$F$10-Inputs!$D$10),Inputs!$D$10+SQRT(D1763*(Inputs!$F$10-Inputs!$D$10)*(Inputs!$E$10-Inputs!$D$10)),Inputs!$F$10-SQRT((1-D1763)*(Inputs!$F$10-Inputs!$D$10)*(Inputs!$F$10-Inputs!$E$10)))</f>
        <v>0.0891433196093792</v>
      </c>
      <c r="F1763" s="81" t="n">
        <f aca="true">RAND()</f>
        <v>0.816277396643542</v>
      </c>
      <c r="G1763" s="83" t="n">
        <f aca="false">IF(F1763&lt;(Inputs!$E$15-Inputs!$D$15)/(Inputs!$F$15-Inputs!$D$15),Inputs!$D$15+SQRT(F1763*(Inputs!$F$15-Inputs!$D$15)*(Inputs!$E$15-Inputs!$D$15)),Inputs!$F$15-SQRT((1-F1763)*(Inputs!$F$15-Inputs!$D$15)*(Inputs!$F$15-Inputs!$E$15)))</f>
        <v>0.739382741177705</v>
      </c>
      <c r="H1763" s="81" t="n">
        <f aca="true">RAND()</f>
        <v>0.315195894202874</v>
      </c>
      <c r="I1763" s="82" t="n">
        <f aca="false">ROUND(IF(H1763&lt;(Inputs!$E$17-Inputs!$D$17)/(Inputs!$F$17-Inputs!$D$17),Inputs!$D$17+SQRT(H1763*(Inputs!$F$17-Inputs!$D$17)*(Inputs!$E$17-Inputs!$D$17)),Inputs!$F$17-SQRT((1-H1763)*(Inputs!$F$17-Inputs!$D$17)*(Inputs!$F$17-Inputs!$E$17))),0)</f>
        <v>105</v>
      </c>
      <c r="J1763" s="81" t="n">
        <f aca="true">RAND()</f>
        <v>0.504308281102223</v>
      </c>
      <c r="K1763" s="83" t="n">
        <f aca="false">IF(J1763&lt;(Inputs!$E$18-Inputs!$D$18)/(Inputs!$F$18-Inputs!$D$18),Inputs!$D$18+SQRT(J1763*(Inputs!$F$18-Inputs!$D$18)*(Inputs!$E$18-Inputs!$D$18)),Inputs!$F$18-SQRT((1-J1763)*(Inputs!$F$18-Inputs!$D$18)*(Inputs!$F$18-Inputs!$E$18)))</f>
        <v>1.04173808460605</v>
      </c>
      <c r="L1763" s="81" t="n">
        <f aca="true">RAND()</f>
        <v>0.374137433104333</v>
      </c>
      <c r="M1763" s="83" t="n">
        <f aca="false">IF(L1763&lt;(Inputs!$E$24-Inputs!$D$24)/(Inputs!$F$24-Inputs!$D$24),Inputs!$D$24+SQRT(L1763*(Inputs!$F$24-Inputs!$D$24)*(Inputs!$E$24-Inputs!$D$24)),Inputs!$F$24-SQRT((1-L1763)*(Inputs!$F$24-Inputs!$D$24)*(Inputs!$F$24-Inputs!$E$24)))</f>
        <v>0.812434500948601</v>
      </c>
      <c r="N1763" s="81" t="n">
        <f aca="true">RAND()</f>
        <v>0.683462163952892</v>
      </c>
      <c r="O1763" s="83" t="n">
        <f aca="false">IF(N1763&lt;(Inputs!$E$26-Inputs!$D$26)/(Inputs!$F$26-Inputs!$D$26),Inputs!$D$26+SQRT(N1763*(Inputs!$F$26-Inputs!$D$26)*(Inputs!$E$26-Inputs!$D$26)),Inputs!$F$26-SQRT((1-N1763)*(Inputs!$F$26-Inputs!$D$26)*(Inputs!$F$26-Inputs!$E$26)))</f>
        <v>0.638561484384105</v>
      </c>
      <c r="P1763" s="81" t="n">
        <f aca="true">RAND()</f>
        <v>0.505788019628246</v>
      </c>
      <c r="Q1763" s="82" t="n">
        <f aca="false">IF(P1763&lt;(Inputs!$E$27-Inputs!$D$27)/(Inputs!$F$27-Inputs!$D$27),Inputs!$D$27+SQRT(P1763*(Inputs!$F$27-Inputs!$D$27)*(Inputs!$E$27-Inputs!$D$27)),Inputs!$F$27-SQRT((1-P1763)*(Inputs!$F$27-Inputs!$D$27)*(Inputs!$F$27-Inputs!$E$27)))</f>
        <v>89.1182305382954</v>
      </c>
      <c r="R1763" s="81" t="n">
        <f aca="true">RAND()</f>
        <v>0.576595301929446</v>
      </c>
      <c r="S1763" s="82" t="n">
        <f aca="false">IF(R1763&lt;(Inputs!$E$29-Inputs!$D$29)/(Inputs!$F$29-Inputs!$D$29),Inputs!$D$29+SQRT(R1763*(Inputs!$F$29-Inputs!$D$29)*(Inputs!$E$29-Inputs!$D$29)),Inputs!$F$29-SQRT((1-R1763)*(Inputs!$F$29-Inputs!$D$29)*(Inputs!$F$29-Inputs!$E$29)))</f>
        <v>7.58092925298781</v>
      </c>
      <c r="T1763" s="68" t="n">
        <f aca="false">Inputs!$E$9*(1+E1763)+Inputs!$E$5*C1763*(Inputs!$E$11*Inputs!$E$14*(G1763*I1763/Inputs!$E$16+(1-G1763))*K1763+Inputs!$E$23*M1763)*(1+O1763)+Inputs!$E$5*(Q1763+S1763)</f>
        <v>6301.75275513665</v>
      </c>
    </row>
    <row r="1764" customFormat="false" ht="15" hidden="false" customHeight="false" outlineLevel="0" collapsed="false">
      <c r="A1764" s="1" t="n">
        <v>1760</v>
      </c>
      <c r="B1764" s="81" t="n">
        <f aca="true">RAND()</f>
        <v>0.0808690939727137</v>
      </c>
      <c r="C1764" s="82" t="n">
        <f aca="false">ROUND(IF(B1764&lt;(Inputs!$E$8-Inputs!$D$8)/(Inputs!$F$8-Inputs!$D$8),Inputs!$D$8+SQRT(B1764*(Inputs!$F$8-Inputs!$D$8)*(Inputs!$E$8-Inputs!$D$8)),Inputs!$F$8-SQRT((1-B1764)*(Inputs!$F$8-Inputs!$D$8)*(Inputs!$F$8-Inputs!$E$8))),0)</f>
        <v>22</v>
      </c>
      <c r="D1764" s="81" t="n">
        <f aca="true">RAND()</f>
        <v>0.022836640670213</v>
      </c>
      <c r="E1764" s="83" t="n">
        <f aca="false">IF(D1764&lt;(Inputs!$E$10-Inputs!$D$10)/(Inputs!$F$10-Inputs!$D$10),Inputs!$D$10+SQRT(D1764*(Inputs!$F$10-Inputs!$D$10)*(Inputs!$E$10-Inputs!$D$10)),Inputs!$F$10-SQRT((1-D1764)*(Inputs!$F$10-Inputs!$D$10)*(Inputs!$F$10-Inputs!$E$10)))</f>
        <v>0.0151117969382244</v>
      </c>
      <c r="F1764" s="81" t="n">
        <f aca="true">RAND()</f>
        <v>0.402178153241078</v>
      </c>
      <c r="G1764" s="83" t="n">
        <f aca="false">IF(F1764&lt;(Inputs!$E$15-Inputs!$D$15)/(Inputs!$F$15-Inputs!$D$15),Inputs!$D$15+SQRT(F1764*(Inputs!$F$15-Inputs!$D$15)*(Inputs!$E$15-Inputs!$D$15)),Inputs!$F$15-SQRT((1-F1764)*(Inputs!$F$15-Inputs!$D$15)*(Inputs!$F$15-Inputs!$E$15)))</f>
        <v>0.689685913413543</v>
      </c>
      <c r="H1764" s="81" t="n">
        <f aca="true">RAND()</f>
        <v>0.348972126907486</v>
      </c>
      <c r="I1764" s="82" t="n">
        <f aca="false">ROUND(IF(H1764&lt;(Inputs!$E$17-Inputs!$D$17)/(Inputs!$F$17-Inputs!$D$17),Inputs!$D$17+SQRT(H1764*(Inputs!$F$17-Inputs!$D$17)*(Inputs!$E$17-Inputs!$D$17)),Inputs!$F$17-SQRT((1-H1764)*(Inputs!$F$17-Inputs!$D$17)*(Inputs!$F$17-Inputs!$E$17))),0)</f>
        <v>105</v>
      </c>
      <c r="J1764" s="81" t="n">
        <f aca="true">RAND()</f>
        <v>0.362748511270996</v>
      </c>
      <c r="K1764" s="83" t="n">
        <f aca="false">IF(J1764&lt;(Inputs!$E$18-Inputs!$D$18)/(Inputs!$F$18-Inputs!$D$18),Inputs!$D$18+SQRT(J1764*(Inputs!$F$18-Inputs!$D$18)*(Inputs!$E$18-Inputs!$D$18)),Inputs!$F$18-SQRT((1-J1764)*(Inputs!$F$18-Inputs!$D$18)*(Inputs!$F$18-Inputs!$E$18)))</f>
        <v>1.01386549328023</v>
      </c>
      <c r="L1764" s="81" t="n">
        <f aca="true">RAND()</f>
        <v>0.420521387479973</v>
      </c>
      <c r="M1764" s="83" t="n">
        <f aca="false">IF(L1764&lt;(Inputs!$E$24-Inputs!$D$24)/(Inputs!$F$24-Inputs!$D$24),Inputs!$D$24+SQRT(L1764*(Inputs!$F$24-Inputs!$D$24)*(Inputs!$E$24-Inputs!$D$24)),Inputs!$F$24-SQRT((1-L1764)*(Inputs!$F$24-Inputs!$D$24)*(Inputs!$F$24-Inputs!$E$24)))</f>
        <v>0.827072571396516</v>
      </c>
      <c r="N1764" s="81" t="n">
        <f aca="true">RAND()</f>
        <v>0.372318297409642</v>
      </c>
      <c r="O1764" s="83" t="n">
        <f aca="false">IF(N1764&lt;(Inputs!$E$26-Inputs!$D$26)/(Inputs!$F$26-Inputs!$D$26),Inputs!$D$26+SQRT(N1764*(Inputs!$F$26-Inputs!$D$26)*(Inputs!$E$26-Inputs!$D$26)),Inputs!$F$26-SQRT((1-N1764)*(Inputs!$F$26-Inputs!$D$26)*(Inputs!$F$26-Inputs!$E$26)))</f>
        <v>0.548905131905641</v>
      </c>
      <c r="P1764" s="81" t="n">
        <f aca="true">RAND()</f>
        <v>0.723097961531071</v>
      </c>
      <c r="Q1764" s="82" t="n">
        <f aca="false">IF(P1764&lt;(Inputs!$E$27-Inputs!$D$27)/(Inputs!$F$27-Inputs!$D$27),Inputs!$D$27+SQRT(P1764*(Inputs!$F$27-Inputs!$D$27)*(Inputs!$E$27-Inputs!$D$27)),Inputs!$F$27-SQRT((1-P1764)*(Inputs!$F$27-Inputs!$D$27)*(Inputs!$F$27-Inputs!$E$27)))</f>
        <v>104.428459664864</v>
      </c>
      <c r="R1764" s="81" t="n">
        <f aca="true">RAND()</f>
        <v>0.412986035088218</v>
      </c>
      <c r="S1764" s="82" t="n">
        <f aca="false">IF(R1764&lt;(Inputs!$E$29-Inputs!$D$29)/(Inputs!$F$29-Inputs!$D$29),Inputs!$D$29+SQRT(R1764*(Inputs!$F$29-Inputs!$D$29)*(Inputs!$E$29-Inputs!$D$29)),Inputs!$F$29-SQRT((1-R1764)*(Inputs!$F$29-Inputs!$D$29)*(Inputs!$F$29-Inputs!$E$29)))</f>
        <v>6.26433657708061</v>
      </c>
      <c r="T1764" s="68" t="n">
        <f aca="false">Inputs!$E$9*(1+E1764)+Inputs!$E$5*C1764*(Inputs!$E$11*Inputs!$E$14*(G1764*I1764/Inputs!$E$16+(1-G1764))*K1764+Inputs!$E$23*M1764)*(1+O1764)+Inputs!$E$5*(Q1764+S1764)</f>
        <v>5658.62049087251</v>
      </c>
    </row>
    <row r="1765" customFormat="false" ht="15" hidden="false" customHeight="false" outlineLevel="0" collapsed="false">
      <c r="A1765" s="1" t="n">
        <v>1761</v>
      </c>
      <c r="B1765" s="81" t="n">
        <f aca="true">RAND()</f>
        <v>0.497883043469246</v>
      </c>
      <c r="C1765" s="82" t="n">
        <f aca="false">ROUND(IF(B1765&lt;(Inputs!$E$8-Inputs!$D$8)/(Inputs!$F$8-Inputs!$D$8),Inputs!$D$8+SQRT(B1765*(Inputs!$F$8-Inputs!$D$8)*(Inputs!$E$8-Inputs!$D$8)),Inputs!$F$8-SQRT((1-B1765)*(Inputs!$F$8-Inputs!$D$8)*(Inputs!$F$8-Inputs!$E$8))),0)</f>
        <v>25</v>
      </c>
      <c r="D1765" s="81" t="n">
        <f aca="true">RAND()</f>
        <v>0.0709010259648704</v>
      </c>
      <c r="E1765" s="83" t="n">
        <f aca="false">IF(D1765&lt;(Inputs!$E$10-Inputs!$D$10)/(Inputs!$F$10-Inputs!$D$10),Inputs!$D$10+SQRT(D1765*(Inputs!$F$10-Inputs!$D$10)*(Inputs!$E$10-Inputs!$D$10)),Inputs!$F$10-SQRT((1-D1765)*(Inputs!$F$10-Inputs!$D$10)*(Inputs!$F$10-Inputs!$E$10)))</f>
        <v>0.0266272465652892</v>
      </c>
      <c r="F1765" s="81" t="n">
        <f aca="true">RAND()</f>
        <v>0.938921331344734</v>
      </c>
      <c r="G1765" s="83" t="n">
        <f aca="false">IF(F1765&lt;(Inputs!$E$15-Inputs!$D$15)/(Inputs!$F$15-Inputs!$D$15),Inputs!$D$15+SQRT(F1765*(Inputs!$F$15-Inputs!$D$15)*(Inputs!$E$15-Inputs!$D$15)),Inputs!$F$15-SQRT((1-F1765)*(Inputs!$F$15-Inputs!$D$15)*(Inputs!$F$15-Inputs!$E$15)))</f>
        <v>0.765048986093315</v>
      </c>
      <c r="H1765" s="81" t="n">
        <f aca="true">RAND()</f>
        <v>0.106614546278567</v>
      </c>
      <c r="I1765" s="82" t="n">
        <f aca="false">ROUND(IF(H1765&lt;(Inputs!$E$17-Inputs!$D$17)/(Inputs!$F$17-Inputs!$D$17),Inputs!$D$17+SQRT(H1765*(Inputs!$F$17-Inputs!$D$17)*(Inputs!$E$17-Inputs!$D$17)),Inputs!$F$17-SQRT((1-H1765)*(Inputs!$F$17-Inputs!$D$17)*(Inputs!$F$17-Inputs!$E$17))),0)</f>
        <v>103</v>
      </c>
      <c r="J1765" s="81" t="n">
        <f aca="true">RAND()</f>
        <v>0.132875862005407</v>
      </c>
      <c r="K1765" s="83" t="n">
        <f aca="false">IF(J1765&lt;(Inputs!$E$18-Inputs!$D$18)/(Inputs!$F$18-Inputs!$D$18),Inputs!$D$18+SQRT(J1765*(Inputs!$F$18-Inputs!$D$18)*(Inputs!$E$18-Inputs!$D$18)),Inputs!$F$18-SQRT((1-J1765)*(Inputs!$F$18-Inputs!$D$18)*(Inputs!$F$18-Inputs!$E$18)))</f>
        <v>0.968195712256631</v>
      </c>
      <c r="L1765" s="81" t="n">
        <f aca="true">RAND()</f>
        <v>0.0497604986321656</v>
      </c>
      <c r="M1765" s="83" t="n">
        <f aca="false">IF(L1765&lt;(Inputs!$E$24-Inputs!$D$24)/(Inputs!$F$24-Inputs!$D$24),Inputs!$D$24+SQRT(L1765*(Inputs!$F$24-Inputs!$D$24)*(Inputs!$E$24-Inputs!$D$24)),Inputs!$F$24-SQRT((1-L1765)*(Inputs!$F$24-Inputs!$D$24)*(Inputs!$F$24-Inputs!$E$24)))</f>
        <v>0.677273927270845</v>
      </c>
      <c r="N1765" s="81" t="n">
        <f aca="true">RAND()</f>
        <v>0.909985096231361</v>
      </c>
      <c r="O1765" s="83" t="n">
        <f aca="false">IF(N1765&lt;(Inputs!$E$26-Inputs!$D$26)/(Inputs!$F$26-Inputs!$D$26),Inputs!$D$26+SQRT(N1765*(Inputs!$F$26-Inputs!$D$26)*(Inputs!$E$26-Inputs!$D$26)),Inputs!$F$26-SQRT((1-N1765)*(Inputs!$F$26-Inputs!$D$26)*(Inputs!$F$26-Inputs!$E$26)))</f>
        <v>0.723244896817075</v>
      </c>
      <c r="P1765" s="81" t="n">
        <f aca="true">RAND()</f>
        <v>0.900231621818811</v>
      </c>
      <c r="Q1765" s="82" t="n">
        <f aca="false">IF(P1765&lt;(Inputs!$E$27-Inputs!$D$27)/(Inputs!$F$27-Inputs!$D$27),Inputs!$D$27+SQRT(P1765*(Inputs!$F$27-Inputs!$D$27)*(Inputs!$E$27-Inputs!$D$27)),Inputs!$F$27-SQRT((1-P1765)*(Inputs!$F$27-Inputs!$D$27)*(Inputs!$F$27-Inputs!$E$27)))</f>
        <v>122.645606635151</v>
      </c>
      <c r="R1765" s="81" t="n">
        <f aca="true">RAND()</f>
        <v>0.937192805930176</v>
      </c>
      <c r="S1765" s="82" t="n">
        <f aca="false">IF(R1765&lt;(Inputs!$E$29-Inputs!$D$29)/(Inputs!$F$29-Inputs!$D$29),Inputs!$D$29+SQRT(R1765*(Inputs!$F$29-Inputs!$D$29)*(Inputs!$E$29-Inputs!$D$29)),Inputs!$F$29-SQRT((1-R1765)*(Inputs!$F$29-Inputs!$D$29)*(Inputs!$F$29-Inputs!$E$29)))</f>
        <v>12.1425649212839</v>
      </c>
      <c r="T1765" s="68" t="n">
        <f aca="false">Inputs!$E$9*(1+E1765)+Inputs!$E$5*C1765*(Inputs!$E$11*Inputs!$E$14*(G1765*I1765/Inputs!$E$16+(1-G1765))*K1765+Inputs!$E$23*M1765)*(1+O1765)+Inputs!$E$5*(Q1765+S1765)</f>
        <v>6095.72588672044</v>
      </c>
    </row>
    <row r="1766" customFormat="false" ht="15" hidden="false" customHeight="false" outlineLevel="0" collapsed="false">
      <c r="A1766" s="1" t="n">
        <v>1762</v>
      </c>
      <c r="B1766" s="81" t="n">
        <f aca="true">RAND()</f>
        <v>0.874460132444038</v>
      </c>
      <c r="C1766" s="82" t="n">
        <f aca="false">ROUND(IF(B1766&lt;(Inputs!$E$8-Inputs!$D$8)/(Inputs!$F$8-Inputs!$D$8),Inputs!$D$8+SQRT(B1766*(Inputs!$F$8-Inputs!$D$8)*(Inputs!$E$8-Inputs!$D$8)),Inputs!$F$8-SQRT((1-B1766)*(Inputs!$F$8-Inputs!$D$8)*(Inputs!$F$8-Inputs!$E$8))),0)</f>
        <v>27</v>
      </c>
      <c r="D1766" s="81" t="n">
        <f aca="true">RAND()</f>
        <v>0.121347336383557</v>
      </c>
      <c r="E1766" s="83" t="n">
        <f aca="false">IF(D1766&lt;(Inputs!$E$10-Inputs!$D$10)/(Inputs!$F$10-Inputs!$D$10),Inputs!$D$10+SQRT(D1766*(Inputs!$F$10-Inputs!$D$10)*(Inputs!$E$10-Inputs!$D$10)),Inputs!$F$10-SQRT((1-D1766)*(Inputs!$F$10-Inputs!$D$10)*(Inputs!$F$10-Inputs!$E$10)))</f>
        <v>0.0348349445791948</v>
      </c>
      <c r="F1766" s="81" t="n">
        <f aca="true">RAND()</f>
        <v>0.63513548008849</v>
      </c>
      <c r="G1766" s="83" t="n">
        <f aca="false">IF(F1766&lt;(Inputs!$E$15-Inputs!$D$15)/(Inputs!$F$15-Inputs!$D$15),Inputs!$D$15+SQRT(F1766*(Inputs!$F$15-Inputs!$D$15)*(Inputs!$E$15-Inputs!$D$15)),Inputs!$F$15-SQRT((1-F1766)*(Inputs!$F$15-Inputs!$D$15)*(Inputs!$F$15-Inputs!$E$15)))</f>
        <v>0.714575820763497</v>
      </c>
      <c r="H1766" s="81" t="n">
        <f aca="true">RAND()</f>
        <v>0.395097959252925</v>
      </c>
      <c r="I1766" s="82" t="n">
        <f aca="false">ROUND(IF(H1766&lt;(Inputs!$E$17-Inputs!$D$17)/(Inputs!$F$17-Inputs!$D$17),Inputs!$D$17+SQRT(H1766*(Inputs!$F$17-Inputs!$D$17)*(Inputs!$E$17-Inputs!$D$17)),Inputs!$F$17-SQRT((1-H1766)*(Inputs!$F$17-Inputs!$D$17)*(Inputs!$F$17-Inputs!$E$17))),0)</f>
        <v>105</v>
      </c>
      <c r="J1766" s="81" t="n">
        <f aca="true">RAND()</f>
        <v>0.505810765724388</v>
      </c>
      <c r="K1766" s="83" t="n">
        <f aca="false">IF(J1766&lt;(Inputs!$E$18-Inputs!$D$18)/(Inputs!$F$18-Inputs!$D$18),Inputs!$D$18+SQRT(J1766*(Inputs!$F$18-Inputs!$D$18)*(Inputs!$E$18-Inputs!$D$18)),Inputs!$F$18-SQRT((1-J1766)*(Inputs!$F$18-Inputs!$D$18)*(Inputs!$F$18-Inputs!$E$18)))</f>
        <v>1.04205395411522</v>
      </c>
      <c r="L1766" s="81" t="n">
        <f aca="true">RAND()</f>
        <v>0.546494314051701</v>
      </c>
      <c r="M1766" s="83" t="n">
        <f aca="false">IF(L1766&lt;(Inputs!$E$24-Inputs!$D$24)/(Inputs!$F$24-Inputs!$D$24),Inputs!$D$24+SQRT(L1766*(Inputs!$F$24-Inputs!$D$24)*(Inputs!$E$24-Inputs!$D$24)),Inputs!$F$24-SQRT((1-L1766)*(Inputs!$F$24-Inputs!$D$24)*(Inputs!$F$24-Inputs!$E$24)))</f>
        <v>0.870088853435365</v>
      </c>
      <c r="N1766" s="81" t="n">
        <f aca="true">RAND()</f>
        <v>0.308660837471758</v>
      </c>
      <c r="O1766" s="83" t="n">
        <f aca="false">IF(N1766&lt;(Inputs!$E$26-Inputs!$D$26)/(Inputs!$F$26-Inputs!$D$26),Inputs!$D$26+SQRT(N1766*(Inputs!$F$26-Inputs!$D$26)*(Inputs!$E$26-Inputs!$D$26)),Inputs!$F$26-SQRT((1-N1766)*(Inputs!$F$26-Inputs!$D$26)*(Inputs!$F$26-Inputs!$E$26)))</f>
        <v>0.526630014241937</v>
      </c>
      <c r="P1766" s="81" t="n">
        <f aca="true">RAND()</f>
        <v>0.537954773134412</v>
      </c>
      <c r="Q1766" s="82" t="n">
        <f aca="false">IF(P1766&lt;(Inputs!$E$27-Inputs!$D$27)/(Inputs!$F$27-Inputs!$D$27),Inputs!$D$27+SQRT(P1766*(Inputs!$F$27-Inputs!$D$27)*(Inputs!$E$27-Inputs!$D$27)),Inputs!$F$27-SQRT((1-P1766)*(Inputs!$F$27-Inputs!$D$27)*(Inputs!$F$27-Inputs!$E$27)))</f>
        <v>91.132868241336</v>
      </c>
      <c r="R1766" s="81" t="n">
        <f aca="true">RAND()</f>
        <v>0.995897660840087</v>
      </c>
      <c r="S1766" s="82" t="n">
        <f aca="false">IF(R1766&lt;(Inputs!$E$29-Inputs!$D$29)/(Inputs!$F$29-Inputs!$D$29),Inputs!$D$29+SQRT(R1766*(Inputs!$F$29-Inputs!$D$29)*(Inputs!$E$29-Inputs!$D$29)),Inputs!$F$29-SQRT((1-R1766)*(Inputs!$F$29-Inputs!$D$29)*(Inputs!$F$29-Inputs!$E$29)))</f>
        <v>14.2697232779359</v>
      </c>
      <c r="T1766" s="68" t="n">
        <f aca="false">Inputs!$E$9*(1+E1766)+Inputs!$E$5*C1766*(Inputs!$E$11*Inputs!$E$14*(G1766*I1766/Inputs!$E$16+(1-G1766))*K1766+Inputs!$E$23*M1766)*(1+O1766)+Inputs!$E$5*(Q1766+S1766)</f>
        <v>6367.98290615806</v>
      </c>
    </row>
    <row r="1767" customFormat="false" ht="15" hidden="false" customHeight="false" outlineLevel="0" collapsed="false">
      <c r="A1767" s="1" t="n">
        <v>1763</v>
      </c>
      <c r="B1767" s="81" t="n">
        <f aca="true">RAND()</f>
        <v>0.0923820167362971</v>
      </c>
      <c r="C1767" s="82" t="n">
        <f aca="false">ROUND(IF(B1767&lt;(Inputs!$E$8-Inputs!$D$8)/(Inputs!$F$8-Inputs!$D$8),Inputs!$D$8+SQRT(B1767*(Inputs!$F$8-Inputs!$D$8)*(Inputs!$E$8-Inputs!$D$8)),Inputs!$F$8-SQRT((1-B1767)*(Inputs!$F$8-Inputs!$D$8)*(Inputs!$F$8-Inputs!$E$8))),0)</f>
        <v>22</v>
      </c>
      <c r="D1767" s="81" t="n">
        <f aca="true">RAND()</f>
        <v>0.748486969043259</v>
      </c>
      <c r="E1767" s="83" t="n">
        <f aca="false">IF(D1767&lt;(Inputs!$E$10-Inputs!$D$10)/(Inputs!$F$10-Inputs!$D$10),Inputs!$D$10+SQRT(D1767*(Inputs!$F$10-Inputs!$D$10)*(Inputs!$E$10-Inputs!$D$10)),Inputs!$F$10-SQRT((1-D1767)*(Inputs!$F$10-Inputs!$D$10)*(Inputs!$F$10-Inputs!$E$10)))</f>
        <v>0.113135790289083</v>
      </c>
      <c r="F1767" s="81" t="n">
        <f aca="true">RAND()</f>
        <v>0.0743453346915457</v>
      </c>
      <c r="G1767" s="83" t="n">
        <f aca="false">IF(F1767&lt;(Inputs!$E$15-Inputs!$D$15)/(Inputs!$F$15-Inputs!$D$15),Inputs!$D$15+SQRT(F1767*(Inputs!$F$15-Inputs!$D$15)*(Inputs!$E$15-Inputs!$D$15)),Inputs!$F$15-SQRT((1-F1767)*(Inputs!$F$15-Inputs!$D$15)*(Inputs!$F$15-Inputs!$E$15)))</f>
        <v>0.638560429118864</v>
      </c>
      <c r="H1767" s="81" t="n">
        <f aca="true">RAND()</f>
        <v>0.699414794105743</v>
      </c>
      <c r="I1767" s="82" t="n">
        <f aca="false">ROUND(IF(H1767&lt;(Inputs!$E$17-Inputs!$D$17)/(Inputs!$F$17-Inputs!$D$17),Inputs!$D$17+SQRT(H1767*(Inputs!$F$17-Inputs!$D$17)*(Inputs!$E$17-Inputs!$D$17)),Inputs!$F$17-SQRT((1-H1767)*(Inputs!$F$17-Inputs!$D$17)*(Inputs!$F$17-Inputs!$E$17))),0)</f>
        <v>108</v>
      </c>
      <c r="J1767" s="81" t="n">
        <f aca="true">RAND()</f>
        <v>0.734367847782755</v>
      </c>
      <c r="K1767" s="83" t="n">
        <f aca="false">IF(J1767&lt;(Inputs!$E$18-Inputs!$D$18)/(Inputs!$F$18-Inputs!$D$18),Inputs!$D$18+SQRT(J1767*(Inputs!$F$18-Inputs!$D$18)*(Inputs!$E$18-Inputs!$D$18)),Inputs!$F$18-SQRT((1-J1767)*(Inputs!$F$18-Inputs!$D$18)*(Inputs!$F$18-Inputs!$E$18)))</f>
        <v>1.09754406105694</v>
      </c>
      <c r="L1767" s="81" t="n">
        <f aca="true">RAND()</f>
        <v>0.982956404972309</v>
      </c>
      <c r="M1767" s="83" t="n">
        <f aca="false">IF(L1767&lt;(Inputs!$E$24-Inputs!$D$24)/(Inputs!$F$24-Inputs!$D$24),Inputs!$D$24+SQRT(L1767*(Inputs!$F$24-Inputs!$D$24)*(Inputs!$E$24-Inputs!$D$24)),Inputs!$F$24-SQRT((1-L1767)*(Inputs!$F$24-Inputs!$D$24)*(Inputs!$F$24-Inputs!$E$24)))</f>
        <v>1.13604327395304</v>
      </c>
      <c r="N1767" s="81" t="n">
        <f aca="true">RAND()</f>
        <v>0.657390993035275</v>
      </c>
      <c r="O1767" s="83" t="n">
        <f aca="false">IF(N1767&lt;(Inputs!$E$26-Inputs!$D$26)/(Inputs!$F$26-Inputs!$D$26),Inputs!$D$26+SQRT(N1767*(Inputs!$F$26-Inputs!$D$26)*(Inputs!$E$26-Inputs!$D$26)),Inputs!$F$26-SQRT((1-N1767)*(Inputs!$F$26-Inputs!$D$26)*(Inputs!$F$26-Inputs!$E$26)))</f>
        <v>0.631237353471797</v>
      </c>
      <c r="P1767" s="81" t="n">
        <f aca="true">RAND()</f>
        <v>0.312504342649927</v>
      </c>
      <c r="Q1767" s="82" t="n">
        <f aca="false">IF(P1767&lt;(Inputs!$E$27-Inputs!$D$27)/(Inputs!$F$27-Inputs!$D$27),Inputs!$D$27+SQRT(P1767*(Inputs!$F$27-Inputs!$D$27)*(Inputs!$E$27-Inputs!$D$27)),Inputs!$F$27-SQRT((1-P1767)*(Inputs!$F$27-Inputs!$D$27)*(Inputs!$F$27-Inputs!$E$27)))</f>
        <v>78.1931937061287</v>
      </c>
      <c r="R1767" s="81" t="n">
        <f aca="true">RAND()</f>
        <v>0.862352953500483</v>
      </c>
      <c r="S1767" s="82" t="n">
        <f aca="false">IF(R1767&lt;(Inputs!$E$29-Inputs!$D$29)/(Inputs!$F$29-Inputs!$D$29),Inputs!$D$29+SQRT(R1767*(Inputs!$F$29-Inputs!$D$29)*(Inputs!$E$29-Inputs!$D$29)),Inputs!$F$29-SQRT((1-R1767)*(Inputs!$F$29-Inputs!$D$29)*(Inputs!$F$29-Inputs!$E$29)))</f>
        <v>10.7698562619058</v>
      </c>
      <c r="T1767" s="68" t="n">
        <f aca="false">Inputs!$E$9*(1+E1767)+Inputs!$E$5*C1767*(Inputs!$E$11*Inputs!$E$14*(G1767*I1767/Inputs!$E$16+(1-G1767))*K1767+Inputs!$E$23*M1767)*(1+O1767)+Inputs!$E$5*(Q1767+S1767)</f>
        <v>6574.35536486416</v>
      </c>
    </row>
    <row r="1768" customFormat="false" ht="15" hidden="false" customHeight="false" outlineLevel="0" collapsed="false">
      <c r="A1768" s="1" t="n">
        <v>1764</v>
      </c>
      <c r="B1768" s="81" t="n">
        <f aca="true">RAND()</f>
        <v>0.326579378402567</v>
      </c>
      <c r="C1768" s="82" t="n">
        <f aca="false">ROUND(IF(B1768&lt;(Inputs!$E$8-Inputs!$D$8)/(Inputs!$F$8-Inputs!$D$8),Inputs!$D$8+SQRT(B1768*(Inputs!$F$8-Inputs!$D$8)*(Inputs!$E$8-Inputs!$D$8)),Inputs!$F$8-SQRT((1-B1768)*(Inputs!$F$8-Inputs!$D$8)*(Inputs!$F$8-Inputs!$E$8))),0)</f>
        <v>24</v>
      </c>
      <c r="D1768" s="81" t="n">
        <f aca="true">RAND()</f>
        <v>0.65737110223341</v>
      </c>
      <c r="E1768" s="83" t="n">
        <f aca="false">IF(D1768&lt;(Inputs!$E$10-Inputs!$D$10)/(Inputs!$F$10-Inputs!$D$10),Inputs!$D$10+SQRT(D1768*(Inputs!$F$10-Inputs!$D$10)*(Inputs!$E$10-Inputs!$D$10)),Inputs!$F$10-SQRT((1-D1768)*(Inputs!$F$10-Inputs!$D$10)*(Inputs!$F$10-Inputs!$E$10)))</f>
        <v>0.0986152529568786</v>
      </c>
      <c r="F1768" s="81" t="n">
        <f aca="true">RAND()</f>
        <v>0.985341227660766</v>
      </c>
      <c r="G1768" s="83" t="n">
        <f aca="false">IF(F1768&lt;(Inputs!$E$15-Inputs!$D$15)/(Inputs!$F$15-Inputs!$D$15),Inputs!$D$15+SQRT(F1768*(Inputs!$F$15-Inputs!$D$15)*(Inputs!$E$15-Inputs!$D$15)),Inputs!$F$15-SQRT((1-F1768)*(Inputs!$F$15-Inputs!$D$15)*(Inputs!$F$15-Inputs!$E$15)))</f>
        <v>0.78287763314303</v>
      </c>
      <c r="H1768" s="81" t="n">
        <f aca="true">RAND()</f>
        <v>0.313328800164533</v>
      </c>
      <c r="I1768" s="82" t="n">
        <f aca="false">ROUND(IF(H1768&lt;(Inputs!$E$17-Inputs!$D$17)/(Inputs!$F$17-Inputs!$D$17),Inputs!$D$17+SQRT(H1768*(Inputs!$F$17-Inputs!$D$17)*(Inputs!$E$17-Inputs!$D$17)),Inputs!$F$17-SQRT((1-H1768)*(Inputs!$F$17-Inputs!$D$17)*(Inputs!$F$17-Inputs!$E$17))),0)</f>
        <v>105</v>
      </c>
      <c r="J1768" s="81" t="n">
        <f aca="true">RAND()</f>
        <v>0.330309224302718</v>
      </c>
      <c r="K1768" s="83" t="n">
        <f aca="false">IF(J1768&lt;(Inputs!$E$18-Inputs!$D$18)/(Inputs!$F$18-Inputs!$D$18),Inputs!$D$18+SQRT(J1768*(Inputs!$F$18-Inputs!$D$18)*(Inputs!$E$18-Inputs!$D$18)),Inputs!$F$18-SQRT((1-J1768)*(Inputs!$F$18-Inputs!$D$18)*(Inputs!$F$18-Inputs!$E$18)))</f>
        <v>1.00792988025468</v>
      </c>
      <c r="L1768" s="81" t="n">
        <f aca="true">RAND()</f>
        <v>0.848608922870098</v>
      </c>
      <c r="M1768" s="83" t="n">
        <f aca="false">IF(L1768&lt;(Inputs!$E$24-Inputs!$D$24)/(Inputs!$F$24-Inputs!$D$24),Inputs!$D$24+SQRT(L1768*(Inputs!$F$24-Inputs!$D$24)*(Inputs!$E$24-Inputs!$D$24)),Inputs!$F$24-SQRT((1-L1768)*(Inputs!$F$24-Inputs!$D$24)*(Inputs!$F$24-Inputs!$E$24)))</f>
        <v>1.00938557632966</v>
      </c>
      <c r="N1768" s="81" t="n">
        <f aca="true">RAND()</f>
        <v>0.250864288165159</v>
      </c>
      <c r="O1768" s="83" t="n">
        <f aca="false">IF(N1768&lt;(Inputs!$E$26-Inputs!$D$26)/(Inputs!$F$26-Inputs!$D$26),Inputs!$D$26+SQRT(N1768*(Inputs!$F$26-Inputs!$D$26)*(Inputs!$E$26-Inputs!$D$26)),Inputs!$F$26-SQRT((1-N1768)*(Inputs!$F$26-Inputs!$D$26)*(Inputs!$F$26-Inputs!$E$26)))</f>
        <v>0.504313038131888</v>
      </c>
      <c r="P1768" s="81" t="n">
        <f aca="true">RAND()</f>
        <v>0.195801734139989</v>
      </c>
      <c r="Q1768" s="82" t="n">
        <f aca="false">IF(P1768&lt;(Inputs!$E$27-Inputs!$D$27)/(Inputs!$F$27-Inputs!$D$27),Inputs!$D$27+SQRT(P1768*(Inputs!$F$27-Inputs!$D$27)*(Inputs!$E$27-Inputs!$D$27)),Inputs!$F$27-SQRT((1-P1768)*(Inputs!$F$27-Inputs!$D$27)*(Inputs!$F$27-Inputs!$E$27)))</f>
        <v>72.124744865195</v>
      </c>
      <c r="R1768" s="81" t="n">
        <f aca="true">RAND()</f>
        <v>0.0501157888387248</v>
      </c>
      <c r="S1768" s="82" t="n">
        <f aca="false">IF(R1768&lt;(Inputs!$E$29-Inputs!$D$29)/(Inputs!$F$29-Inputs!$D$29),Inputs!$D$29+SQRT(R1768*(Inputs!$F$29-Inputs!$D$29)*(Inputs!$E$29-Inputs!$D$29)),Inputs!$F$29-SQRT((1-R1768)*(Inputs!$F$29-Inputs!$D$29)*(Inputs!$F$29-Inputs!$E$29)))</f>
        <v>3.39803997250088</v>
      </c>
      <c r="T1768" s="68" t="n">
        <f aca="false">Inputs!$E$9*(1+E1768)+Inputs!$E$5*C1768*(Inputs!$E$11*Inputs!$E$14*(G1768*I1768/Inputs!$E$16+(1-G1768))*K1768+Inputs!$E$23*M1768)*(1+O1768)+Inputs!$E$5*(Q1768+S1768)</f>
        <v>5947.50855403766</v>
      </c>
    </row>
    <row r="1769" customFormat="false" ht="15" hidden="false" customHeight="false" outlineLevel="0" collapsed="false">
      <c r="A1769" s="1" t="n">
        <v>1765</v>
      </c>
      <c r="B1769" s="81" t="n">
        <f aca="true">RAND()</f>
        <v>0.369993246811622</v>
      </c>
      <c r="C1769" s="82" t="n">
        <f aca="false">ROUND(IF(B1769&lt;(Inputs!$E$8-Inputs!$D$8)/(Inputs!$F$8-Inputs!$D$8),Inputs!$D$8+SQRT(B1769*(Inputs!$F$8-Inputs!$D$8)*(Inputs!$E$8-Inputs!$D$8)),Inputs!$F$8-SQRT((1-B1769)*(Inputs!$F$8-Inputs!$D$8)*(Inputs!$F$8-Inputs!$E$8))),0)</f>
        <v>24</v>
      </c>
      <c r="D1769" s="81" t="n">
        <f aca="true">RAND()</f>
        <v>0.919453623926978</v>
      </c>
      <c r="E1769" s="83" t="n">
        <f aca="false">IF(D1769&lt;(Inputs!$E$10-Inputs!$D$10)/(Inputs!$F$10-Inputs!$D$10),Inputs!$D$10+SQRT(D1769*(Inputs!$F$10-Inputs!$D$10)*(Inputs!$E$10-Inputs!$D$10)),Inputs!$F$10-SQRT((1-D1769)*(Inputs!$F$10-Inputs!$D$10)*(Inputs!$F$10-Inputs!$E$10)))</f>
        <v>0.150843196989728</v>
      </c>
      <c r="F1769" s="81" t="n">
        <f aca="true">RAND()</f>
        <v>0.374853019896188</v>
      </c>
      <c r="G1769" s="83" t="n">
        <f aca="false">IF(F1769&lt;(Inputs!$E$15-Inputs!$D$15)/(Inputs!$F$15-Inputs!$D$15),Inputs!$D$15+SQRT(F1769*(Inputs!$F$15-Inputs!$D$15)*(Inputs!$E$15-Inputs!$D$15)),Inputs!$F$15-SQRT((1-F1769)*(Inputs!$F$15-Inputs!$D$15)*(Inputs!$F$15-Inputs!$E$15)))</f>
        <v>0.686585566914606</v>
      </c>
      <c r="H1769" s="81" t="n">
        <f aca="true">RAND()</f>
        <v>0.0648737645341355</v>
      </c>
      <c r="I1769" s="82" t="n">
        <f aca="false">ROUND(IF(H1769&lt;(Inputs!$E$17-Inputs!$D$17)/(Inputs!$F$17-Inputs!$D$17),Inputs!$D$17+SQRT(H1769*(Inputs!$F$17-Inputs!$D$17)*(Inputs!$E$17-Inputs!$D$17)),Inputs!$F$17-SQRT((1-H1769)*(Inputs!$F$17-Inputs!$D$17)*(Inputs!$F$17-Inputs!$E$17))),0)</f>
        <v>102</v>
      </c>
      <c r="J1769" s="81" t="n">
        <f aca="true">RAND()</f>
        <v>0.0880623546030666</v>
      </c>
      <c r="K1769" s="83" t="n">
        <f aca="false">IF(J1769&lt;(Inputs!$E$18-Inputs!$D$18)/(Inputs!$F$18-Inputs!$D$18),Inputs!$D$18+SQRT(J1769*(Inputs!$F$18-Inputs!$D$18)*(Inputs!$E$18-Inputs!$D$18)),Inputs!$F$18-SQRT((1-J1769)*(Inputs!$F$18-Inputs!$D$18)*(Inputs!$F$18-Inputs!$E$18)))</f>
        <v>0.955517406379507</v>
      </c>
      <c r="L1769" s="81" t="n">
        <f aca="true">RAND()</f>
        <v>0.98619070661148</v>
      </c>
      <c r="M1769" s="83" t="n">
        <f aca="false">IF(L1769&lt;(Inputs!$E$24-Inputs!$D$24)/(Inputs!$F$24-Inputs!$D$24),Inputs!$D$24+SQRT(L1769*(Inputs!$F$24-Inputs!$D$24)*(Inputs!$E$24-Inputs!$D$24)),Inputs!$F$24-SQRT((1-L1769)*(Inputs!$F$24-Inputs!$D$24)*(Inputs!$F$24-Inputs!$E$24)))</f>
        <v>1.14243064692699</v>
      </c>
      <c r="N1769" s="81" t="n">
        <f aca="true">RAND()</f>
        <v>0.740834662004184</v>
      </c>
      <c r="O1769" s="83" t="n">
        <f aca="false">IF(N1769&lt;(Inputs!$E$26-Inputs!$D$26)/(Inputs!$F$26-Inputs!$D$26),Inputs!$D$26+SQRT(N1769*(Inputs!$F$26-Inputs!$D$26)*(Inputs!$E$26-Inputs!$D$26)),Inputs!$F$26-SQRT((1-N1769)*(Inputs!$F$26-Inputs!$D$26)*(Inputs!$F$26-Inputs!$E$26)))</f>
        <v>0.655825717143138</v>
      </c>
      <c r="P1769" s="81" t="n">
        <f aca="true">RAND()</f>
        <v>0.326383709143788</v>
      </c>
      <c r="Q1769" s="82" t="n">
        <f aca="false">IF(P1769&lt;(Inputs!$E$27-Inputs!$D$27)/(Inputs!$F$27-Inputs!$D$27),Inputs!$D$27+SQRT(P1769*(Inputs!$F$27-Inputs!$D$27)*(Inputs!$E$27-Inputs!$D$27)),Inputs!$F$27-SQRT((1-P1769)*(Inputs!$F$27-Inputs!$D$27)*(Inputs!$F$27-Inputs!$E$27)))</f>
        <v>78.921717934227</v>
      </c>
      <c r="R1769" s="81" t="n">
        <f aca="true">RAND()</f>
        <v>0.625351697841147</v>
      </c>
      <c r="S1769" s="82" t="n">
        <f aca="false">IF(R1769&lt;(Inputs!$E$29-Inputs!$D$29)/(Inputs!$F$29-Inputs!$D$29),Inputs!$D$29+SQRT(R1769*(Inputs!$F$29-Inputs!$D$29)*(Inputs!$E$29-Inputs!$D$29)),Inputs!$F$29-SQRT((1-R1769)*(Inputs!$F$29-Inputs!$D$29)*(Inputs!$F$29-Inputs!$E$29)))</f>
        <v>8.02115487486283</v>
      </c>
      <c r="T1769" s="68" t="n">
        <f aca="false">Inputs!$E$9*(1+E1769)+Inputs!$E$5*C1769*(Inputs!$E$11*Inputs!$E$14*(G1769*I1769/Inputs!$E$16+(1-G1769))*K1769+Inputs!$E$23*M1769)*(1+O1769)+Inputs!$E$5*(Q1769+S1769)</f>
        <v>6608.67459055502</v>
      </c>
    </row>
    <row r="1770" customFormat="false" ht="15" hidden="false" customHeight="false" outlineLevel="0" collapsed="false">
      <c r="A1770" s="1" t="n">
        <v>1766</v>
      </c>
      <c r="B1770" s="81" t="n">
        <f aca="true">RAND()</f>
        <v>0.67526195099136</v>
      </c>
      <c r="C1770" s="82" t="n">
        <f aca="false">ROUND(IF(B1770&lt;(Inputs!$E$8-Inputs!$D$8)/(Inputs!$F$8-Inputs!$D$8),Inputs!$D$8+SQRT(B1770*(Inputs!$F$8-Inputs!$D$8)*(Inputs!$E$8-Inputs!$D$8)),Inputs!$F$8-SQRT((1-B1770)*(Inputs!$F$8-Inputs!$D$8)*(Inputs!$F$8-Inputs!$E$8))),0)</f>
        <v>26</v>
      </c>
      <c r="D1770" s="81" t="n">
        <f aca="true">RAND()</f>
        <v>0.490643873484201</v>
      </c>
      <c r="E1770" s="83" t="n">
        <f aca="false">IF(D1770&lt;(Inputs!$E$10-Inputs!$D$10)/(Inputs!$F$10-Inputs!$D$10),Inputs!$D$10+SQRT(D1770*(Inputs!$F$10-Inputs!$D$10)*(Inputs!$E$10-Inputs!$D$10)),Inputs!$F$10-SQRT((1-D1770)*(Inputs!$F$10-Inputs!$D$10)*(Inputs!$F$10-Inputs!$E$10)))</f>
        <v>0.076384937020305</v>
      </c>
      <c r="F1770" s="81" t="n">
        <f aca="true">RAND()</f>
        <v>0.232323092347364</v>
      </c>
      <c r="G1770" s="83" t="n">
        <f aca="false">IF(F1770&lt;(Inputs!$E$15-Inputs!$D$15)/(Inputs!$F$15-Inputs!$D$15),Inputs!$D$15+SQRT(F1770*(Inputs!$F$15-Inputs!$D$15)*(Inputs!$E$15-Inputs!$D$15)),Inputs!$F$15-SQRT((1-F1770)*(Inputs!$F$15-Inputs!$D$15)*(Inputs!$F$15-Inputs!$E$15)))</f>
        <v>0.668164960551205</v>
      </c>
      <c r="H1770" s="81" t="n">
        <f aca="true">RAND()</f>
        <v>0.295304977001546</v>
      </c>
      <c r="I1770" s="82" t="n">
        <f aca="false">ROUND(IF(H1770&lt;(Inputs!$E$17-Inputs!$D$17)/(Inputs!$F$17-Inputs!$D$17),Inputs!$D$17+SQRT(H1770*(Inputs!$F$17-Inputs!$D$17)*(Inputs!$E$17-Inputs!$D$17)),Inputs!$F$17-SQRT((1-H1770)*(Inputs!$F$17-Inputs!$D$17)*(Inputs!$F$17-Inputs!$E$17))),0)</f>
        <v>105</v>
      </c>
      <c r="J1770" s="81" t="n">
        <f aca="true">RAND()</f>
        <v>0.109061542220772</v>
      </c>
      <c r="K1770" s="83" t="n">
        <f aca="false">IF(J1770&lt;(Inputs!$E$18-Inputs!$D$18)/(Inputs!$F$18-Inputs!$D$18),Inputs!$D$18+SQRT(J1770*(Inputs!$F$18-Inputs!$D$18)*(Inputs!$E$18-Inputs!$D$18)),Inputs!$F$18-SQRT((1-J1770)*(Inputs!$F$18-Inputs!$D$18)*(Inputs!$F$18-Inputs!$E$18)))</f>
        <v>0.961783120491984</v>
      </c>
      <c r="L1770" s="81" t="n">
        <f aca="true">RAND()</f>
        <v>0.507266719027374</v>
      </c>
      <c r="M1770" s="83" t="n">
        <f aca="false">IF(L1770&lt;(Inputs!$E$24-Inputs!$D$24)/(Inputs!$F$24-Inputs!$D$24),Inputs!$D$24+SQRT(L1770*(Inputs!$F$24-Inputs!$D$24)*(Inputs!$E$24-Inputs!$D$24)),Inputs!$F$24-SQRT((1-L1770)*(Inputs!$F$24-Inputs!$D$24)*(Inputs!$F$24-Inputs!$E$24)))</f>
        <v>0.856116317000311</v>
      </c>
      <c r="N1770" s="81" t="n">
        <f aca="true">RAND()</f>
        <v>0.251351762648402</v>
      </c>
      <c r="O1770" s="83" t="n">
        <f aca="false">IF(N1770&lt;(Inputs!$E$26-Inputs!$D$26)/(Inputs!$F$26-Inputs!$D$26),Inputs!$D$26+SQRT(N1770*(Inputs!$F$26-Inputs!$D$26)*(Inputs!$E$26-Inputs!$D$26)),Inputs!$F$26-SQRT((1-N1770)*(Inputs!$F$26-Inputs!$D$26)*(Inputs!$F$26-Inputs!$E$26)))</f>
        <v>0.504511450302163</v>
      </c>
      <c r="P1770" s="81" t="n">
        <f aca="true">RAND()</f>
        <v>0.29181262269057</v>
      </c>
      <c r="Q1770" s="82" t="n">
        <f aca="false">IF(P1770&lt;(Inputs!$E$27-Inputs!$D$27)/(Inputs!$F$27-Inputs!$D$27),Inputs!$D$27+SQRT(P1770*(Inputs!$F$27-Inputs!$D$27)*(Inputs!$E$27-Inputs!$D$27)),Inputs!$F$27-SQRT((1-P1770)*(Inputs!$F$27-Inputs!$D$27)*(Inputs!$F$27-Inputs!$E$27)))</f>
        <v>77.1206110767885</v>
      </c>
      <c r="R1770" s="81" t="n">
        <f aca="true">RAND()</f>
        <v>0.0833215234507913</v>
      </c>
      <c r="S1770" s="82" t="n">
        <f aca="false">IF(R1770&lt;(Inputs!$E$29-Inputs!$D$29)/(Inputs!$F$29-Inputs!$D$29),Inputs!$D$29+SQRT(R1770*(Inputs!$F$29-Inputs!$D$29)*(Inputs!$E$29-Inputs!$D$29)),Inputs!$F$29-SQRT((1-R1770)*(Inputs!$F$29-Inputs!$D$29)*(Inputs!$F$29-Inputs!$E$29)))</f>
        <v>3.80264788979458</v>
      </c>
      <c r="T1770" s="68" t="n">
        <f aca="false">Inputs!$E$9*(1+E1770)+Inputs!$E$5*C1770*(Inputs!$E$11*Inputs!$E$14*(G1770*I1770/Inputs!$E$16+(1-G1770))*K1770+Inputs!$E$23*M1770)*(1+O1770)+Inputs!$E$5*(Q1770+S1770)</f>
        <v>6026.82371022621</v>
      </c>
    </row>
    <row r="1771" customFormat="false" ht="15" hidden="false" customHeight="false" outlineLevel="0" collapsed="false">
      <c r="A1771" s="1" t="n">
        <v>1767</v>
      </c>
      <c r="B1771" s="81" t="n">
        <f aca="true">RAND()</f>
        <v>0.846538793594696</v>
      </c>
      <c r="C1771" s="82" t="n">
        <f aca="false">ROUND(IF(B1771&lt;(Inputs!$E$8-Inputs!$D$8)/(Inputs!$F$8-Inputs!$D$8),Inputs!$D$8+SQRT(B1771*(Inputs!$F$8-Inputs!$D$8)*(Inputs!$E$8-Inputs!$D$8)),Inputs!$F$8-SQRT((1-B1771)*(Inputs!$F$8-Inputs!$D$8)*(Inputs!$F$8-Inputs!$E$8))),0)</f>
        <v>27</v>
      </c>
      <c r="D1771" s="81" t="n">
        <f aca="true">RAND()</f>
        <v>0.344801560672847</v>
      </c>
      <c r="E1771" s="83" t="n">
        <f aca="false">IF(D1771&lt;(Inputs!$E$10-Inputs!$D$10)/(Inputs!$F$10-Inputs!$D$10),Inputs!$D$10+SQRT(D1771*(Inputs!$F$10-Inputs!$D$10)*(Inputs!$E$10-Inputs!$D$10)),Inputs!$F$10-SQRT((1-D1771)*(Inputs!$F$10-Inputs!$D$10)*(Inputs!$F$10-Inputs!$E$10)))</f>
        <v>0.0598003096301044</v>
      </c>
      <c r="F1771" s="81" t="n">
        <f aca="true">RAND()</f>
        <v>0.215995212118407</v>
      </c>
      <c r="G1771" s="83" t="n">
        <f aca="false">IF(F1771&lt;(Inputs!$E$15-Inputs!$D$15)/(Inputs!$F$15-Inputs!$D$15),Inputs!$D$15+SQRT(F1771*(Inputs!$F$15-Inputs!$D$15)*(Inputs!$E$15-Inputs!$D$15)),Inputs!$F$15-SQRT((1-F1771)*(Inputs!$F$15-Inputs!$D$15)*(Inputs!$F$15-Inputs!$E$15)))</f>
        <v>0.665725978443597</v>
      </c>
      <c r="H1771" s="81" t="n">
        <f aca="true">RAND()</f>
        <v>0.252368331356985</v>
      </c>
      <c r="I1771" s="82" t="n">
        <f aca="false">ROUND(IF(H1771&lt;(Inputs!$E$17-Inputs!$D$17)/(Inputs!$F$17-Inputs!$D$17),Inputs!$D$17+SQRT(H1771*(Inputs!$F$17-Inputs!$D$17)*(Inputs!$E$17-Inputs!$D$17)),Inputs!$F$17-SQRT((1-H1771)*(Inputs!$F$17-Inputs!$D$17)*(Inputs!$F$17-Inputs!$E$17))),0)</f>
        <v>104</v>
      </c>
      <c r="J1771" s="81" t="n">
        <f aca="true">RAND()</f>
        <v>0.572299250395334</v>
      </c>
      <c r="K1771" s="83" t="n">
        <f aca="false">IF(J1771&lt;(Inputs!$E$18-Inputs!$D$18)/(Inputs!$F$18-Inputs!$D$18),Inputs!$D$18+SQRT(J1771*(Inputs!$F$18-Inputs!$D$18)*(Inputs!$E$18-Inputs!$D$18)),Inputs!$F$18-SQRT((1-J1771)*(Inputs!$F$18-Inputs!$D$18)*(Inputs!$F$18-Inputs!$E$18)))</f>
        <v>1.05654763999783</v>
      </c>
      <c r="L1771" s="81" t="n">
        <f aca="true">RAND()</f>
        <v>0.302231282176831</v>
      </c>
      <c r="M1771" s="83" t="n">
        <f aca="false">IF(L1771&lt;(Inputs!$E$24-Inputs!$D$24)/(Inputs!$F$24-Inputs!$D$24),Inputs!$D$24+SQRT(L1771*(Inputs!$F$24-Inputs!$D$24)*(Inputs!$E$24-Inputs!$D$24)),Inputs!$F$24-SQRT((1-L1771)*(Inputs!$F$24-Inputs!$D$24)*(Inputs!$F$24-Inputs!$E$24)))</f>
        <v>0.790440945863068</v>
      </c>
      <c r="N1771" s="81" t="n">
        <f aca="true">RAND()</f>
        <v>0.522369288634877</v>
      </c>
      <c r="O1771" s="83" t="n">
        <f aca="false">IF(N1771&lt;(Inputs!$E$26-Inputs!$D$26)/(Inputs!$F$26-Inputs!$D$26),Inputs!$D$26+SQRT(N1771*(Inputs!$F$26-Inputs!$D$26)*(Inputs!$E$26-Inputs!$D$26)),Inputs!$F$26-SQRT((1-N1771)*(Inputs!$F$26-Inputs!$D$26)*(Inputs!$F$26-Inputs!$E$26)))</f>
        <v>0.59482579539254</v>
      </c>
      <c r="P1771" s="81" t="n">
        <f aca="true">RAND()</f>
        <v>0.680273054282623</v>
      </c>
      <c r="Q1771" s="82" t="n">
        <f aca="false">IF(P1771&lt;(Inputs!$E$27-Inputs!$D$27)/(Inputs!$F$27-Inputs!$D$27),Inputs!$D$27+SQRT(P1771*(Inputs!$F$27-Inputs!$D$27)*(Inputs!$E$27-Inputs!$D$27)),Inputs!$F$27-SQRT((1-P1771)*(Inputs!$F$27-Inputs!$D$27)*(Inputs!$F$27-Inputs!$E$27)))</f>
        <v>101.031110969511</v>
      </c>
      <c r="R1771" s="81" t="n">
        <f aca="true">RAND()</f>
        <v>0.609275712825781</v>
      </c>
      <c r="S1771" s="82" t="n">
        <f aca="false">IF(R1771&lt;(Inputs!$E$29-Inputs!$D$29)/(Inputs!$F$29-Inputs!$D$29),Inputs!$D$29+SQRT(R1771*(Inputs!$F$29-Inputs!$D$29)*(Inputs!$E$29-Inputs!$D$29)),Inputs!$F$29-SQRT((1-R1771)*(Inputs!$F$29-Inputs!$D$29)*(Inputs!$F$29-Inputs!$E$29)))</f>
        <v>7.8729980123022</v>
      </c>
      <c r="T1771" s="68" t="n">
        <f aca="false">Inputs!$E$9*(1+E1771)+Inputs!$E$5*C1771*(Inputs!$E$11*Inputs!$E$14*(G1771*I1771/Inputs!$E$16+(1-G1771))*K1771+Inputs!$E$23*M1771)*(1+O1771)+Inputs!$E$5*(Q1771+S1771)</f>
        <v>6571.97986250102</v>
      </c>
    </row>
    <row r="1772" customFormat="false" ht="15" hidden="false" customHeight="false" outlineLevel="0" collapsed="false">
      <c r="A1772" s="1" t="n">
        <v>1768</v>
      </c>
      <c r="B1772" s="81" t="n">
        <f aca="true">RAND()</f>
        <v>0.999453006059557</v>
      </c>
      <c r="C1772" s="82" t="n">
        <f aca="false">ROUND(IF(B1772&lt;(Inputs!$E$8-Inputs!$D$8)/(Inputs!$F$8-Inputs!$D$8),Inputs!$D$8+SQRT(B1772*(Inputs!$F$8-Inputs!$D$8)*(Inputs!$E$8-Inputs!$D$8)),Inputs!$F$8-SQRT((1-B1772)*(Inputs!$F$8-Inputs!$D$8)*(Inputs!$F$8-Inputs!$E$8))),0)</f>
        <v>30</v>
      </c>
      <c r="D1772" s="81" t="n">
        <f aca="true">RAND()</f>
        <v>0.378592453149594</v>
      </c>
      <c r="E1772" s="83" t="n">
        <f aca="false">IF(D1772&lt;(Inputs!$E$10-Inputs!$D$10)/(Inputs!$F$10-Inputs!$D$10),Inputs!$D$10+SQRT(D1772*(Inputs!$F$10-Inputs!$D$10)*(Inputs!$E$10-Inputs!$D$10)),Inputs!$F$10-SQRT((1-D1772)*(Inputs!$F$10-Inputs!$D$10)*(Inputs!$F$10-Inputs!$E$10)))</f>
        <v>0.063463461280461</v>
      </c>
      <c r="F1772" s="81" t="n">
        <f aca="true">RAND()</f>
        <v>0.000549292124844651</v>
      </c>
      <c r="G1772" s="83" t="n">
        <f aca="false">IF(F1772&lt;(Inputs!$E$15-Inputs!$D$15)/(Inputs!$F$15-Inputs!$D$15),Inputs!$D$15+SQRT(F1772*(Inputs!$F$15-Inputs!$D$15)*(Inputs!$E$15-Inputs!$D$15)),Inputs!$F$15-SQRT((1-F1772)*(Inputs!$F$15-Inputs!$D$15)*(Inputs!$F$15-Inputs!$E$15)))</f>
        <v>0.603314489779271</v>
      </c>
      <c r="H1772" s="81" t="n">
        <f aca="true">RAND()</f>
        <v>0.209077494807393</v>
      </c>
      <c r="I1772" s="82" t="n">
        <f aca="false">ROUND(IF(H1772&lt;(Inputs!$E$17-Inputs!$D$17)/(Inputs!$F$17-Inputs!$D$17),Inputs!$D$17+SQRT(H1772*(Inputs!$F$17-Inputs!$D$17)*(Inputs!$E$17-Inputs!$D$17)),Inputs!$F$17-SQRT((1-H1772)*(Inputs!$F$17-Inputs!$D$17)*(Inputs!$F$17-Inputs!$E$17))),0)</f>
        <v>104</v>
      </c>
      <c r="J1772" s="81" t="n">
        <f aca="true">RAND()</f>
        <v>0.788194742965495</v>
      </c>
      <c r="K1772" s="83" t="n">
        <f aca="false">IF(J1772&lt;(Inputs!$E$18-Inputs!$D$18)/(Inputs!$F$18-Inputs!$D$18),Inputs!$D$18+SQRT(J1772*(Inputs!$F$18-Inputs!$D$18)*(Inputs!$E$18-Inputs!$D$18)),Inputs!$F$18-SQRT((1-J1772)*(Inputs!$F$18-Inputs!$D$18)*(Inputs!$F$18-Inputs!$E$18)))</f>
        <v>1.11386418549654</v>
      </c>
      <c r="L1772" s="81" t="n">
        <f aca="true">RAND()</f>
        <v>0.258030524234936</v>
      </c>
      <c r="M1772" s="83" t="n">
        <f aca="false">IF(L1772&lt;(Inputs!$E$24-Inputs!$D$24)/(Inputs!$F$24-Inputs!$D$24),Inputs!$D$24+SQRT(L1772*(Inputs!$F$24-Inputs!$D$24)*(Inputs!$E$24-Inputs!$D$24)),Inputs!$F$24-SQRT((1-L1772)*(Inputs!$F$24-Inputs!$D$24)*(Inputs!$F$24-Inputs!$E$24)))</f>
        <v>0.775964947953257</v>
      </c>
      <c r="N1772" s="81" t="n">
        <f aca="true">RAND()</f>
        <v>0.372649033344982</v>
      </c>
      <c r="O1772" s="83" t="n">
        <f aca="false">IF(N1772&lt;(Inputs!$E$26-Inputs!$D$26)/(Inputs!$F$26-Inputs!$D$26),Inputs!$D$26+SQRT(N1772*(Inputs!$F$26-Inputs!$D$26)*(Inputs!$E$26-Inputs!$D$26)),Inputs!$F$26-SQRT((1-N1772)*(Inputs!$F$26-Inputs!$D$26)*(Inputs!$F$26-Inputs!$E$26)))</f>
        <v>0.549015660448505</v>
      </c>
      <c r="P1772" s="81" t="n">
        <f aca="true">RAND()</f>
        <v>0.792822046676377</v>
      </c>
      <c r="Q1772" s="82" t="n">
        <f aca="false">IF(P1772&lt;(Inputs!$E$27-Inputs!$D$27)/(Inputs!$F$27-Inputs!$D$27),Inputs!$D$27+SQRT(P1772*(Inputs!$F$27-Inputs!$D$27)*(Inputs!$E$27-Inputs!$D$27)),Inputs!$F$27-SQRT((1-P1772)*(Inputs!$F$27-Inputs!$D$27)*(Inputs!$F$27-Inputs!$E$27)))</f>
        <v>110.581290610585</v>
      </c>
      <c r="R1772" s="81" t="n">
        <f aca="true">RAND()</f>
        <v>0.331316131414099</v>
      </c>
      <c r="S1772" s="82" t="n">
        <f aca="false">IF(R1772&lt;(Inputs!$E$29-Inputs!$D$29)/(Inputs!$F$29-Inputs!$D$29),Inputs!$D$29+SQRT(R1772*(Inputs!$F$29-Inputs!$D$29)*(Inputs!$E$29-Inputs!$D$29)),Inputs!$F$29-SQRT((1-R1772)*(Inputs!$F$29-Inputs!$D$29)*(Inputs!$F$29-Inputs!$E$29)))</f>
        <v>5.67643292960429</v>
      </c>
      <c r="T1772" s="68" t="n">
        <f aca="false">Inputs!$E$9*(1+E1772)+Inputs!$E$5*C1772*(Inputs!$E$11*Inputs!$E$14*(G1772*I1772/Inputs!$E$16+(1-G1772))*K1772+Inputs!$E$23*M1772)*(1+O1772)+Inputs!$E$5*(Q1772+S1772)</f>
        <v>7139.78672861079</v>
      </c>
    </row>
    <row r="1773" customFormat="false" ht="15" hidden="false" customHeight="false" outlineLevel="0" collapsed="false">
      <c r="A1773" s="1" t="n">
        <v>1769</v>
      </c>
      <c r="B1773" s="81" t="n">
        <f aca="true">RAND()</f>
        <v>0.881972605216838</v>
      </c>
      <c r="C1773" s="82" t="n">
        <f aca="false">ROUND(IF(B1773&lt;(Inputs!$E$8-Inputs!$D$8)/(Inputs!$F$8-Inputs!$D$8),Inputs!$D$8+SQRT(B1773*(Inputs!$F$8-Inputs!$D$8)*(Inputs!$E$8-Inputs!$D$8)),Inputs!$F$8-SQRT((1-B1773)*(Inputs!$F$8-Inputs!$D$8)*(Inputs!$F$8-Inputs!$E$8))),0)</f>
        <v>28</v>
      </c>
      <c r="D1773" s="81" t="n">
        <f aca="true">RAND()</f>
        <v>0.256128409404986</v>
      </c>
      <c r="E1773" s="83" t="n">
        <f aca="false">IF(D1773&lt;(Inputs!$E$10-Inputs!$D$10)/(Inputs!$F$10-Inputs!$D$10),Inputs!$D$10+SQRT(D1773*(Inputs!$F$10-Inputs!$D$10)*(Inputs!$E$10-Inputs!$D$10)),Inputs!$F$10-SQRT((1-D1773)*(Inputs!$F$10-Inputs!$D$10)*(Inputs!$F$10-Inputs!$E$10)))</f>
        <v>0.0506140979949901</v>
      </c>
      <c r="F1773" s="81" t="n">
        <f aca="true">RAND()</f>
        <v>0.239282404988277</v>
      </c>
      <c r="G1773" s="83" t="n">
        <f aca="false">IF(F1773&lt;(Inputs!$E$15-Inputs!$D$15)/(Inputs!$F$15-Inputs!$D$15),Inputs!$D$15+SQRT(F1773*(Inputs!$F$15-Inputs!$D$15)*(Inputs!$E$15-Inputs!$D$15)),Inputs!$F$15-SQRT((1-F1773)*(Inputs!$F$15-Inputs!$D$15)*(Inputs!$F$15-Inputs!$E$15)))</f>
        <v>0.669178378846035</v>
      </c>
      <c r="H1773" s="81" t="n">
        <f aca="true">RAND()</f>
        <v>0.12217198521418</v>
      </c>
      <c r="I1773" s="82" t="n">
        <f aca="false">ROUND(IF(H1773&lt;(Inputs!$E$17-Inputs!$D$17)/(Inputs!$F$17-Inputs!$D$17),Inputs!$D$17+SQRT(H1773*(Inputs!$F$17-Inputs!$D$17)*(Inputs!$E$17-Inputs!$D$17)),Inputs!$F$17-SQRT((1-H1773)*(Inputs!$F$17-Inputs!$D$17)*(Inputs!$F$17-Inputs!$E$17))),0)</f>
        <v>103</v>
      </c>
      <c r="J1773" s="81" t="n">
        <f aca="true">RAND()</f>
        <v>0.518010718816718</v>
      </c>
      <c r="K1773" s="83" t="n">
        <f aca="false">IF(J1773&lt;(Inputs!$E$18-Inputs!$D$18)/(Inputs!$F$18-Inputs!$D$18),Inputs!$D$18+SQRT(J1773*(Inputs!$F$18-Inputs!$D$18)*(Inputs!$E$18-Inputs!$D$18)),Inputs!$F$18-SQRT((1-J1773)*(Inputs!$F$18-Inputs!$D$18)*(Inputs!$F$18-Inputs!$E$18)))</f>
        <v>1.04463675571433</v>
      </c>
      <c r="L1773" s="81" t="n">
        <f aca="true">RAND()</f>
        <v>0.880460602861394</v>
      </c>
      <c r="M1773" s="83" t="n">
        <f aca="false">IF(L1773&lt;(Inputs!$E$24-Inputs!$D$24)/(Inputs!$F$24-Inputs!$D$24),Inputs!$D$24+SQRT(L1773*(Inputs!$F$24-Inputs!$D$24)*(Inputs!$E$24-Inputs!$D$24)),Inputs!$F$24-SQRT((1-L1773)*(Inputs!$F$24-Inputs!$D$24)*(Inputs!$F$24-Inputs!$E$24)))</f>
        <v>1.03062038105703</v>
      </c>
      <c r="N1773" s="81" t="n">
        <f aca="true">RAND()</f>
        <v>0.116841654589173</v>
      </c>
      <c r="O1773" s="83" t="n">
        <f aca="false">IF(N1773&lt;(Inputs!$E$26-Inputs!$D$26)/(Inputs!$F$26-Inputs!$D$26),Inputs!$D$26+SQRT(N1773*(Inputs!$F$26-Inputs!$D$26)*(Inputs!$E$26-Inputs!$D$26)),Inputs!$F$26-SQRT((1-N1773)*(Inputs!$F$26-Inputs!$D$26)*(Inputs!$F$26-Inputs!$E$26)))</f>
        <v>0.439436190867502</v>
      </c>
      <c r="P1773" s="81" t="n">
        <f aca="true">RAND()</f>
        <v>0.625899147176944</v>
      </c>
      <c r="Q1773" s="82" t="n">
        <f aca="false">IF(P1773&lt;(Inputs!$E$27-Inputs!$D$27)/(Inputs!$F$27-Inputs!$D$27),Inputs!$D$27+SQRT(P1773*(Inputs!$F$27-Inputs!$D$27)*(Inputs!$E$27-Inputs!$D$27)),Inputs!$F$27-SQRT((1-P1773)*(Inputs!$F$27-Inputs!$D$27)*(Inputs!$F$27-Inputs!$E$27)))</f>
        <v>97.0306088748141</v>
      </c>
      <c r="R1773" s="81" t="n">
        <f aca="true">RAND()</f>
        <v>0.148301122733108</v>
      </c>
      <c r="S1773" s="82" t="n">
        <f aca="false">IF(R1773&lt;(Inputs!$E$29-Inputs!$D$29)/(Inputs!$F$29-Inputs!$D$29),Inputs!$D$29+SQRT(R1773*(Inputs!$F$29-Inputs!$D$29)*(Inputs!$E$29-Inputs!$D$29)),Inputs!$F$29-SQRT((1-R1773)*(Inputs!$F$29-Inputs!$D$29)*(Inputs!$F$29-Inputs!$E$29)))</f>
        <v>4.40494153496321</v>
      </c>
      <c r="T1773" s="68" t="n">
        <f aca="false">Inputs!$E$9*(1+E1773)+Inputs!$E$5*C1773*(Inputs!$E$11*Inputs!$E$14*(G1773*I1773/Inputs!$E$16+(1-G1773))*K1773+Inputs!$E$23*M1773)*(1+O1773)+Inputs!$E$5*(Q1773+S1773)</f>
        <v>6580.16174110768</v>
      </c>
    </row>
    <row r="1774" customFormat="false" ht="15" hidden="false" customHeight="false" outlineLevel="0" collapsed="false">
      <c r="A1774" s="1" t="n">
        <v>1770</v>
      </c>
      <c r="B1774" s="81" t="n">
        <f aca="true">RAND()</f>
        <v>0.216421919402082</v>
      </c>
      <c r="C1774" s="82" t="n">
        <f aca="false">ROUND(IF(B1774&lt;(Inputs!$E$8-Inputs!$D$8)/(Inputs!$F$8-Inputs!$D$8),Inputs!$D$8+SQRT(B1774*(Inputs!$F$8-Inputs!$D$8)*(Inputs!$E$8-Inputs!$D$8)),Inputs!$F$8-SQRT((1-B1774)*(Inputs!$F$8-Inputs!$D$8)*(Inputs!$F$8-Inputs!$E$8))),0)</f>
        <v>23</v>
      </c>
      <c r="D1774" s="81" t="n">
        <f aca="true">RAND()</f>
        <v>0.147437965444832</v>
      </c>
      <c r="E1774" s="83" t="n">
        <f aca="false">IF(D1774&lt;(Inputs!$E$10-Inputs!$D$10)/(Inputs!$F$10-Inputs!$D$10),Inputs!$D$10+SQRT(D1774*(Inputs!$F$10-Inputs!$D$10)*(Inputs!$E$10-Inputs!$D$10)),Inputs!$F$10-SQRT((1-D1774)*(Inputs!$F$10-Inputs!$D$10)*(Inputs!$F$10-Inputs!$E$10)))</f>
        <v>0.0383976516788243</v>
      </c>
      <c r="F1774" s="81" t="n">
        <f aca="true">RAND()</f>
        <v>0.377391005740788</v>
      </c>
      <c r="G1774" s="83" t="n">
        <f aca="false">IF(F1774&lt;(Inputs!$E$15-Inputs!$D$15)/(Inputs!$F$15-Inputs!$D$15),Inputs!$D$15+SQRT(F1774*(Inputs!$F$15-Inputs!$D$15)*(Inputs!$E$15-Inputs!$D$15)),Inputs!$F$15-SQRT((1-F1774)*(Inputs!$F$15-Inputs!$D$15)*(Inputs!$F$15-Inputs!$E$15)))</f>
        <v>0.686878191249679</v>
      </c>
      <c r="H1774" s="81" t="n">
        <f aca="true">RAND()</f>
        <v>0.486080295807578</v>
      </c>
      <c r="I1774" s="82" t="n">
        <f aca="false">ROUND(IF(H1774&lt;(Inputs!$E$17-Inputs!$D$17)/(Inputs!$F$17-Inputs!$D$17),Inputs!$D$17+SQRT(H1774*(Inputs!$F$17-Inputs!$D$17)*(Inputs!$E$17-Inputs!$D$17)),Inputs!$F$17-SQRT((1-H1774)*(Inputs!$F$17-Inputs!$D$17)*(Inputs!$F$17-Inputs!$E$17))),0)</f>
        <v>106</v>
      </c>
      <c r="J1774" s="81" t="n">
        <f aca="true">RAND()</f>
        <v>0.000343655915910403</v>
      </c>
      <c r="K1774" s="83" t="n">
        <f aca="false">IF(J1774&lt;(Inputs!$E$18-Inputs!$D$18)/(Inputs!$F$18-Inputs!$D$18),Inputs!$D$18+SQRT(J1774*(Inputs!$F$18-Inputs!$D$18)*(Inputs!$E$18-Inputs!$D$18)),Inputs!$F$18-SQRT((1-J1774)*(Inputs!$F$18-Inputs!$D$18)*(Inputs!$F$18-Inputs!$E$18)))</f>
        <v>0.90346813452116</v>
      </c>
      <c r="L1774" s="81" t="n">
        <f aca="true">RAND()</f>
        <v>0.0168840942446282</v>
      </c>
      <c r="M1774" s="83" t="n">
        <f aca="false">IF(L1774&lt;(Inputs!$E$24-Inputs!$D$24)/(Inputs!$F$24-Inputs!$D$24),Inputs!$D$24+SQRT(L1774*(Inputs!$F$24-Inputs!$D$24)*(Inputs!$E$24-Inputs!$D$24)),Inputs!$F$24-SQRT((1-L1774)*(Inputs!$F$24-Inputs!$D$24)*(Inputs!$F$24-Inputs!$E$24)))</f>
        <v>0.64501212402626</v>
      </c>
      <c r="N1774" s="81" t="n">
        <f aca="true">RAND()</f>
        <v>0.387343197704936</v>
      </c>
      <c r="O1774" s="83" t="n">
        <f aca="false">IF(N1774&lt;(Inputs!$E$26-Inputs!$D$26)/(Inputs!$F$26-Inputs!$D$26),Inputs!$D$26+SQRT(N1774*(Inputs!$F$26-Inputs!$D$26)*(Inputs!$E$26-Inputs!$D$26)),Inputs!$F$26-SQRT((1-N1774)*(Inputs!$F$26-Inputs!$D$26)*(Inputs!$F$26-Inputs!$E$26)))</f>
        <v>0.553877742423595</v>
      </c>
      <c r="P1774" s="81" t="n">
        <f aca="true">RAND()</f>
        <v>0.900182791694987</v>
      </c>
      <c r="Q1774" s="82" t="n">
        <f aca="false">IF(P1774&lt;(Inputs!$E$27-Inputs!$D$27)/(Inputs!$F$27-Inputs!$D$27),Inputs!$D$27+SQRT(P1774*(Inputs!$F$27-Inputs!$D$27)*(Inputs!$E$27-Inputs!$D$27)),Inputs!$F$27-SQRT((1-P1774)*(Inputs!$F$27-Inputs!$D$27)*(Inputs!$F$27-Inputs!$E$27)))</f>
        <v>122.638913356966</v>
      </c>
      <c r="R1774" s="81" t="n">
        <f aca="true">RAND()</f>
        <v>0.431520359554826</v>
      </c>
      <c r="S1774" s="82" t="n">
        <f aca="false">IF(R1774&lt;(Inputs!$E$29-Inputs!$D$29)/(Inputs!$F$29-Inputs!$D$29),Inputs!$D$29+SQRT(R1774*(Inputs!$F$29-Inputs!$D$29)*(Inputs!$E$29-Inputs!$D$29)),Inputs!$F$29-SQRT((1-R1774)*(Inputs!$F$29-Inputs!$D$29)*(Inputs!$F$29-Inputs!$E$29)))</f>
        <v>6.4033522081062</v>
      </c>
      <c r="T1774" s="68" t="n">
        <f aca="false">Inputs!$E$9*(1+E1774)+Inputs!$E$5*C1774*(Inputs!$E$11*Inputs!$E$14*(G1774*I1774/Inputs!$E$16+(1-G1774))*K1774+Inputs!$E$23*M1774)*(1+O1774)+Inputs!$E$5*(Q1774+S1774)</f>
        <v>5508.82415291978</v>
      </c>
    </row>
    <row r="1775" customFormat="false" ht="15" hidden="false" customHeight="false" outlineLevel="0" collapsed="false">
      <c r="A1775" s="1" t="n">
        <v>1771</v>
      </c>
      <c r="B1775" s="81" t="n">
        <f aca="true">RAND()</f>
        <v>0.83314270254809</v>
      </c>
      <c r="C1775" s="82" t="n">
        <f aca="false">ROUND(IF(B1775&lt;(Inputs!$E$8-Inputs!$D$8)/(Inputs!$F$8-Inputs!$D$8),Inputs!$D$8+SQRT(B1775*(Inputs!$F$8-Inputs!$D$8)*(Inputs!$E$8-Inputs!$D$8)),Inputs!$F$8-SQRT((1-B1775)*(Inputs!$F$8-Inputs!$D$8)*(Inputs!$F$8-Inputs!$E$8))),0)</f>
        <v>27</v>
      </c>
      <c r="D1775" s="81" t="n">
        <f aca="true">RAND()</f>
        <v>0.629010136378566</v>
      </c>
      <c r="E1775" s="83" t="n">
        <f aca="false">IF(D1775&lt;(Inputs!$E$10-Inputs!$D$10)/(Inputs!$F$10-Inputs!$D$10),Inputs!$D$10+SQRT(D1775*(Inputs!$F$10-Inputs!$D$10)*(Inputs!$E$10-Inputs!$D$10)),Inputs!$F$10-SQRT((1-D1775)*(Inputs!$F$10-Inputs!$D$10)*(Inputs!$F$10-Inputs!$E$10)))</f>
        <v>0.0945026260580718</v>
      </c>
      <c r="F1775" s="81" t="n">
        <f aca="true">RAND()</f>
        <v>0.652557012764943</v>
      </c>
      <c r="G1775" s="83" t="n">
        <f aca="false">IF(F1775&lt;(Inputs!$E$15-Inputs!$D$15)/(Inputs!$F$15-Inputs!$D$15),Inputs!$D$15+SQRT(F1775*(Inputs!$F$15-Inputs!$D$15)*(Inputs!$E$15-Inputs!$D$15)),Inputs!$F$15-SQRT((1-F1775)*(Inputs!$F$15-Inputs!$D$15)*(Inputs!$F$15-Inputs!$E$15)))</f>
        <v>0.716640179074682</v>
      </c>
      <c r="H1775" s="81" t="n">
        <f aca="true">RAND()</f>
        <v>0.0598046467534159</v>
      </c>
      <c r="I1775" s="82" t="n">
        <f aca="false">ROUND(IF(H1775&lt;(Inputs!$E$17-Inputs!$D$17)/(Inputs!$F$17-Inputs!$D$17),Inputs!$D$17+SQRT(H1775*(Inputs!$F$17-Inputs!$D$17)*(Inputs!$E$17-Inputs!$D$17)),Inputs!$F$17-SQRT((1-H1775)*(Inputs!$F$17-Inputs!$D$17)*(Inputs!$F$17-Inputs!$E$17))),0)</f>
        <v>102</v>
      </c>
      <c r="J1775" s="81" t="n">
        <f aca="true">RAND()</f>
        <v>0.196961032799813</v>
      </c>
      <c r="K1775" s="83" t="n">
        <f aca="false">IF(J1775&lt;(Inputs!$E$18-Inputs!$D$18)/(Inputs!$F$18-Inputs!$D$18),Inputs!$D$18+SQRT(J1775*(Inputs!$F$18-Inputs!$D$18)*(Inputs!$E$18-Inputs!$D$18)),Inputs!$F$18-SQRT((1-J1775)*(Inputs!$F$18-Inputs!$D$18)*(Inputs!$F$18-Inputs!$E$18)))</f>
        <v>0.983027923905114</v>
      </c>
      <c r="L1775" s="81" t="n">
        <f aca="true">RAND()</f>
        <v>0.975071537630044</v>
      </c>
      <c r="M1775" s="83" t="n">
        <f aca="false">IF(L1775&lt;(Inputs!$E$24-Inputs!$D$24)/(Inputs!$F$24-Inputs!$D$24),Inputs!$D$24+SQRT(L1775*(Inputs!$F$24-Inputs!$D$24)*(Inputs!$E$24-Inputs!$D$24)),Inputs!$F$24-SQRT((1-L1775)*(Inputs!$F$24-Inputs!$D$24)*(Inputs!$F$24-Inputs!$E$24)))</f>
        <v>1.12265123809142</v>
      </c>
      <c r="N1775" s="81" t="n">
        <f aca="true">RAND()</f>
        <v>0.546460170585772</v>
      </c>
      <c r="O1775" s="83" t="n">
        <f aca="false">IF(N1775&lt;(Inputs!$E$26-Inputs!$D$26)/(Inputs!$F$26-Inputs!$D$26),Inputs!$D$26+SQRT(N1775*(Inputs!$F$26-Inputs!$D$26)*(Inputs!$E$26-Inputs!$D$26)),Inputs!$F$26-SQRT((1-N1775)*(Inputs!$F$26-Inputs!$D$26)*(Inputs!$F$26-Inputs!$E$26)))</f>
        <v>0.601547628718039</v>
      </c>
      <c r="P1775" s="81" t="n">
        <f aca="true">RAND()</f>
        <v>0.597095601482599</v>
      </c>
      <c r="Q1775" s="82" t="n">
        <f aca="false">IF(P1775&lt;(Inputs!$E$27-Inputs!$D$27)/(Inputs!$F$27-Inputs!$D$27),Inputs!$D$27+SQRT(P1775*(Inputs!$F$27-Inputs!$D$27)*(Inputs!$E$27-Inputs!$D$27)),Inputs!$F$27-SQRT((1-P1775)*(Inputs!$F$27-Inputs!$D$27)*(Inputs!$F$27-Inputs!$E$27)))</f>
        <v>95.0292533352465</v>
      </c>
      <c r="R1775" s="81" t="n">
        <f aca="true">RAND()</f>
        <v>0.0800725108629286</v>
      </c>
      <c r="S1775" s="82" t="n">
        <f aca="false">IF(R1775&lt;(Inputs!$E$29-Inputs!$D$29)/(Inputs!$F$29-Inputs!$D$29),Inputs!$D$29+SQRT(R1775*(Inputs!$F$29-Inputs!$D$29)*(Inputs!$E$29-Inputs!$D$29)),Inputs!$F$29-SQRT((1-R1775)*(Inputs!$F$29-Inputs!$D$29)*(Inputs!$F$29-Inputs!$E$29)))</f>
        <v>3.76715249020966</v>
      </c>
      <c r="T1775" s="68" t="n">
        <f aca="false">Inputs!$E$9*(1+E1775)+Inputs!$E$5*C1775*(Inputs!$E$11*Inputs!$E$14*(G1775*I1775/Inputs!$E$16+(1-G1775))*K1775+Inputs!$E$23*M1775)*(1+O1775)+Inputs!$E$5*(Q1775+S1775)</f>
        <v>6853.70372698479</v>
      </c>
    </row>
    <row r="1776" customFormat="false" ht="15" hidden="false" customHeight="false" outlineLevel="0" collapsed="false">
      <c r="A1776" s="1" t="n">
        <v>1772</v>
      </c>
      <c r="B1776" s="81" t="n">
        <f aca="true">RAND()</f>
        <v>0.806014701406965</v>
      </c>
      <c r="C1776" s="82" t="n">
        <f aca="false">ROUND(IF(B1776&lt;(Inputs!$E$8-Inputs!$D$8)/(Inputs!$F$8-Inputs!$D$8),Inputs!$D$8+SQRT(B1776*(Inputs!$F$8-Inputs!$D$8)*(Inputs!$E$8-Inputs!$D$8)),Inputs!$F$8-SQRT((1-B1776)*(Inputs!$F$8-Inputs!$D$8)*(Inputs!$F$8-Inputs!$E$8))),0)</f>
        <v>27</v>
      </c>
      <c r="D1776" s="81" t="n">
        <f aca="true">RAND()</f>
        <v>0.614823582500418</v>
      </c>
      <c r="E1776" s="83" t="n">
        <f aca="false">IF(D1776&lt;(Inputs!$E$10-Inputs!$D$10)/(Inputs!$F$10-Inputs!$D$10),Inputs!$D$10+SQRT(D1776*(Inputs!$F$10-Inputs!$D$10)*(Inputs!$E$10-Inputs!$D$10)),Inputs!$F$10-SQRT((1-D1776)*(Inputs!$F$10-Inputs!$D$10)*(Inputs!$F$10-Inputs!$E$10)))</f>
        <v>0.0925044534643995</v>
      </c>
      <c r="F1776" s="81" t="n">
        <f aca="true">RAND()</f>
        <v>0.462287850968965</v>
      </c>
      <c r="G1776" s="83" t="n">
        <f aca="false">IF(F1776&lt;(Inputs!$E$15-Inputs!$D$15)/(Inputs!$F$15-Inputs!$D$15),Inputs!$D$15+SQRT(F1776*(Inputs!$F$15-Inputs!$D$15)*(Inputs!$E$15-Inputs!$D$15)),Inputs!$F$15-SQRT((1-F1776)*(Inputs!$F$15-Inputs!$D$15)*(Inputs!$F$15-Inputs!$E$15)))</f>
        <v>0.696154859572355</v>
      </c>
      <c r="H1776" s="81" t="n">
        <f aca="true">RAND()</f>
        <v>0.484193780896073</v>
      </c>
      <c r="I1776" s="82" t="n">
        <f aca="false">ROUND(IF(H1776&lt;(Inputs!$E$17-Inputs!$D$17)/(Inputs!$F$17-Inputs!$D$17),Inputs!$D$17+SQRT(H1776*(Inputs!$F$17-Inputs!$D$17)*(Inputs!$E$17-Inputs!$D$17)),Inputs!$F$17-SQRT((1-H1776)*(Inputs!$F$17-Inputs!$D$17)*(Inputs!$F$17-Inputs!$E$17))),0)</f>
        <v>106</v>
      </c>
      <c r="J1776" s="81" t="n">
        <f aca="true">RAND()</f>
        <v>0.592796009697032</v>
      </c>
      <c r="K1776" s="83" t="n">
        <f aca="false">IF(J1776&lt;(Inputs!$E$18-Inputs!$D$18)/(Inputs!$F$18-Inputs!$D$18),Inputs!$D$18+SQRT(J1776*(Inputs!$F$18-Inputs!$D$18)*(Inputs!$E$18-Inputs!$D$18)),Inputs!$F$18-SQRT((1-J1776)*(Inputs!$F$18-Inputs!$D$18)*(Inputs!$F$18-Inputs!$E$18)))</f>
        <v>1.0612399694016</v>
      </c>
      <c r="L1776" s="81" t="n">
        <f aca="true">RAND()</f>
        <v>0.971203036010583</v>
      </c>
      <c r="M1776" s="83" t="n">
        <f aca="false">IF(L1776&lt;(Inputs!$E$24-Inputs!$D$24)/(Inputs!$F$24-Inputs!$D$24),Inputs!$D$24+SQRT(L1776*(Inputs!$F$24-Inputs!$D$24)*(Inputs!$E$24-Inputs!$D$24)),Inputs!$F$24-SQRT((1-L1776)*(Inputs!$F$24-Inputs!$D$24)*(Inputs!$F$24-Inputs!$E$24)))</f>
        <v>1.116865943456</v>
      </c>
      <c r="N1776" s="81" t="n">
        <f aca="true">RAND()</f>
        <v>0.228886978628697</v>
      </c>
      <c r="O1776" s="83" t="n">
        <f aca="false">IF(N1776&lt;(Inputs!$E$26-Inputs!$D$26)/(Inputs!$F$26-Inputs!$D$26),Inputs!$D$26+SQRT(N1776*(Inputs!$F$26-Inputs!$D$26)*(Inputs!$E$26-Inputs!$D$26)),Inputs!$F$26-SQRT((1-N1776)*(Inputs!$F$26-Inputs!$D$26)*(Inputs!$F$26-Inputs!$E$26)))</f>
        <v>0.495158379896471</v>
      </c>
      <c r="P1776" s="81" t="n">
        <f aca="true">RAND()</f>
        <v>0.136733187436955</v>
      </c>
      <c r="Q1776" s="82" t="n">
        <f aca="false">IF(P1776&lt;(Inputs!$E$27-Inputs!$D$27)/(Inputs!$F$27-Inputs!$D$27),Inputs!$D$27+SQRT(P1776*(Inputs!$F$27-Inputs!$D$27)*(Inputs!$E$27-Inputs!$D$27)),Inputs!$F$27-SQRT((1-P1776)*(Inputs!$F$27-Inputs!$D$27)*(Inputs!$F$27-Inputs!$E$27)))</f>
        <v>68.488725445319</v>
      </c>
      <c r="R1776" s="81" t="n">
        <f aca="true">RAND()</f>
        <v>0.744146940480696</v>
      </c>
      <c r="S1776" s="82" t="n">
        <f aca="false">IF(R1776&lt;(Inputs!$E$29-Inputs!$D$29)/(Inputs!$F$29-Inputs!$D$29),Inputs!$D$29+SQRT(R1776*(Inputs!$F$29-Inputs!$D$29)*(Inputs!$E$29-Inputs!$D$29)),Inputs!$F$29-SQRT((1-R1776)*(Inputs!$F$29-Inputs!$D$29)*(Inputs!$F$29-Inputs!$E$29)))</f>
        <v>9.23277382639543</v>
      </c>
      <c r="T1776" s="68" t="n">
        <f aca="false">Inputs!$E$9*(1+E1776)+Inputs!$E$5*C1776*(Inputs!$E$11*Inputs!$E$14*(G1776*I1776/Inputs!$E$16+(1-G1776))*K1776+Inputs!$E$23*M1776)*(1+O1776)+Inputs!$E$5*(Q1776+S1776)</f>
        <v>6718.05294870565</v>
      </c>
    </row>
    <row r="1777" customFormat="false" ht="15" hidden="false" customHeight="false" outlineLevel="0" collapsed="false">
      <c r="A1777" s="1" t="n">
        <v>1773</v>
      </c>
      <c r="B1777" s="81" t="n">
        <f aca="true">RAND()</f>
        <v>0.850647096870903</v>
      </c>
      <c r="C1777" s="82" t="n">
        <f aca="false">ROUND(IF(B1777&lt;(Inputs!$E$8-Inputs!$D$8)/(Inputs!$F$8-Inputs!$D$8),Inputs!$D$8+SQRT(B1777*(Inputs!$F$8-Inputs!$D$8)*(Inputs!$E$8-Inputs!$D$8)),Inputs!$F$8-SQRT((1-B1777)*(Inputs!$F$8-Inputs!$D$8)*(Inputs!$F$8-Inputs!$E$8))),0)</f>
        <v>27</v>
      </c>
      <c r="D1777" s="81" t="n">
        <f aca="true">RAND()</f>
        <v>0.298138820077881</v>
      </c>
      <c r="E1777" s="83" t="n">
        <f aca="false">IF(D1777&lt;(Inputs!$E$10-Inputs!$D$10)/(Inputs!$F$10-Inputs!$D$10),Inputs!$D$10+SQRT(D1777*(Inputs!$F$10-Inputs!$D$10)*(Inputs!$E$10-Inputs!$D$10)),Inputs!$F$10-SQRT((1-D1777)*(Inputs!$F$10-Inputs!$D$10)*(Inputs!$F$10-Inputs!$E$10)))</f>
        <v>0.0548937099996573</v>
      </c>
      <c r="F1777" s="81" t="n">
        <f aca="true">RAND()</f>
        <v>0.325386619005681</v>
      </c>
      <c r="G1777" s="83" t="n">
        <f aca="false">IF(F1777&lt;(Inputs!$E$15-Inputs!$D$15)/(Inputs!$F$15-Inputs!$D$15),Inputs!$D$15+SQRT(F1777*(Inputs!$F$15-Inputs!$D$15)*(Inputs!$E$15-Inputs!$D$15)),Inputs!$F$15-SQRT((1-F1777)*(Inputs!$F$15-Inputs!$D$15)*(Inputs!$F$15-Inputs!$E$15)))</f>
        <v>0.680670517415681</v>
      </c>
      <c r="H1777" s="81" t="n">
        <f aca="true">RAND()</f>
        <v>0.243736276411636</v>
      </c>
      <c r="I1777" s="82" t="n">
        <f aca="false">ROUND(IF(H1777&lt;(Inputs!$E$17-Inputs!$D$17)/(Inputs!$F$17-Inputs!$D$17),Inputs!$D$17+SQRT(H1777*(Inputs!$F$17-Inputs!$D$17)*(Inputs!$E$17-Inputs!$D$17)),Inputs!$F$17-SQRT((1-H1777)*(Inputs!$F$17-Inputs!$D$17)*(Inputs!$F$17-Inputs!$E$17))),0)</f>
        <v>104</v>
      </c>
      <c r="J1777" s="81" t="n">
        <f aca="true">RAND()</f>
        <v>0.261317572061639</v>
      </c>
      <c r="K1777" s="83" t="n">
        <f aca="false">IF(J1777&lt;(Inputs!$E$18-Inputs!$D$18)/(Inputs!$F$18-Inputs!$D$18),Inputs!$D$18+SQRT(J1777*(Inputs!$F$18-Inputs!$D$18)*(Inputs!$E$18-Inputs!$D$18)),Inputs!$F$18-SQRT((1-J1777)*(Inputs!$F$18-Inputs!$D$18)*(Inputs!$F$18-Inputs!$E$18)))</f>
        <v>0.995635323088059</v>
      </c>
      <c r="L1777" s="81" t="n">
        <f aca="true">RAND()</f>
        <v>0.218075559677636</v>
      </c>
      <c r="M1777" s="83" t="n">
        <f aca="false">IF(L1777&lt;(Inputs!$E$24-Inputs!$D$24)/(Inputs!$F$24-Inputs!$D$24),Inputs!$D$24+SQRT(L1777*(Inputs!$F$24-Inputs!$D$24)*(Inputs!$E$24-Inputs!$D$24)),Inputs!$F$24-SQRT((1-L1777)*(Inputs!$F$24-Inputs!$D$24)*(Inputs!$F$24-Inputs!$E$24)))</f>
        <v>0.761768560484775</v>
      </c>
      <c r="N1777" s="81" t="n">
        <f aca="true">RAND()</f>
        <v>0.617745344054465</v>
      </c>
      <c r="O1777" s="83" t="n">
        <f aca="false">IF(N1777&lt;(Inputs!$E$26-Inputs!$D$26)/(Inputs!$F$26-Inputs!$D$26),Inputs!$D$26+SQRT(N1777*(Inputs!$F$26-Inputs!$D$26)*(Inputs!$E$26-Inputs!$D$26)),Inputs!$F$26-SQRT((1-N1777)*(Inputs!$F$26-Inputs!$D$26)*(Inputs!$F$26-Inputs!$E$26)))</f>
        <v>0.620614734199501</v>
      </c>
      <c r="P1777" s="81" t="n">
        <f aca="true">RAND()</f>
        <v>0.582017678648156</v>
      </c>
      <c r="Q1777" s="82" t="n">
        <f aca="false">IF(P1777&lt;(Inputs!$E$27-Inputs!$D$27)/(Inputs!$F$27-Inputs!$D$27),Inputs!$D$27+SQRT(P1777*(Inputs!$F$27-Inputs!$D$27)*(Inputs!$E$27-Inputs!$D$27)),Inputs!$F$27-SQRT((1-P1777)*(Inputs!$F$27-Inputs!$D$27)*(Inputs!$F$27-Inputs!$E$27)))</f>
        <v>94.0101133226827</v>
      </c>
      <c r="R1777" s="81" t="n">
        <f aca="true">RAND()</f>
        <v>0.355165543554576</v>
      </c>
      <c r="S1777" s="82" t="n">
        <f aca="false">IF(R1777&lt;(Inputs!$E$29-Inputs!$D$29)/(Inputs!$F$29-Inputs!$D$29),Inputs!$D$29+SQRT(R1777*(Inputs!$F$29-Inputs!$D$29)*(Inputs!$E$29-Inputs!$D$29)),Inputs!$F$29-SQRT((1-R1777)*(Inputs!$F$29-Inputs!$D$29)*(Inputs!$F$29-Inputs!$E$29)))</f>
        <v>5.84421061088094</v>
      </c>
      <c r="T1777" s="68" t="n">
        <f aca="false">Inputs!$E$9*(1+E1777)+Inputs!$E$5*C1777*(Inputs!$E$11*Inputs!$E$14*(G1777*I1777/Inputs!$E$16+(1-G1777))*K1777+Inputs!$E$23*M1777)*(1+O1777)+Inputs!$E$5*(Q1777+S1777)</f>
        <v>6363.58602221192</v>
      </c>
    </row>
    <row r="1778" customFormat="false" ht="15" hidden="false" customHeight="false" outlineLevel="0" collapsed="false">
      <c r="A1778" s="1" t="n">
        <v>1774</v>
      </c>
      <c r="B1778" s="81" t="n">
        <f aca="true">RAND()</f>
        <v>0.994968584445044</v>
      </c>
      <c r="C1778" s="82" t="n">
        <f aca="false">ROUND(IF(B1778&lt;(Inputs!$E$8-Inputs!$D$8)/(Inputs!$F$8-Inputs!$D$8),Inputs!$D$8+SQRT(B1778*(Inputs!$F$8-Inputs!$D$8)*(Inputs!$E$8-Inputs!$D$8)),Inputs!$F$8-SQRT((1-B1778)*(Inputs!$F$8-Inputs!$D$8)*(Inputs!$F$8-Inputs!$E$8))),0)</f>
        <v>29</v>
      </c>
      <c r="D1778" s="81" t="n">
        <f aca="true">RAND()</f>
        <v>0.112841521052746</v>
      </c>
      <c r="E1778" s="83" t="n">
        <f aca="false">IF(D1778&lt;(Inputs!$E$10-Inputs!$D$10)/(Inputs!$F$10-Inputs!$D$10),Inputs!$D$10+SQRT(D1778*(Inputs!$F$10-Inputs!$D$10)*(Inputs!$E$10-Inputs!$D$10)),Inputs!$F$10-SQRT((1-D1778)*(Inputs!$F$10-Inputs!$D$10)*(Inputs!$F$10-Inputs!$E$10)))</f>
        <v>0.0335918920355412</v>
      </c>
      <c r="F1778" s="81" t="n">
        <f aca="true">RAND()</f>
        <v>0.765256371092332</v>
      </c>
      <c r="G1778" s="83" t="n">
        <f aca="false">IF(F1778&lt;(Inputs!$E$15-Inputs!$D$15)/(Inputs!$F$15-Inputs!$D$15),Inputs!$D$15+SQRT(F1778*(Inputs!$F$15-Inputs!$D$15)*(Inputs!$E$15-Inputs!$D$15)),Inputs!$F$15-SQRT((1-F1778)*(Inputs!$F$15-Inputs!$D$15)*(Inputs!$F$15-Inputs!$E$15)))</f>
        <v>0.731480859767848</v>
      </c>
      <c r="H1778" s="81" t="n">
        <f aca="true">RAND()</f>
        <v>0.736208936836596</v>
      </c>
      <c r="I1778" s="82" t="n">
        <f aca="false">ROUND(IF(H1778&lt;(Inputs!$E$17-Inputs!$D$17)/(Inputs!$F$17-Inputs!$D$17),Inputs!$D$17+SQRT(H1778*(Inputs!$F$17-Inputs!$D$17)*(Inputs!$E$17-Inputs!$D$17)),Inputs!$F$17-SQRT((1-H1778)*(Inputs!$F$17-Inputs!$D$17)*(Inputs!$F$17-Inputs!$E$17))),0)</f>
        <v>109</v>
      </c>
      <c r="J1778" s="81" t="n">
        <f aca="true">RAND()</f>
        <v>0.170011660157877</v>
      </c>
      <c r="K1778" s="83" t="n">
        <f aca="false">IF(J1778&lt;(Inputs!$E$18-Inputs!$D$18)/(Inputs!$F$18-Inputs!$D$18),Inputs!$D$18+SQRT(J1778*(Inputs!$F$18-Inputs!$D$18)*(Inputs!$E$18-Inputs!$D$18)),Inputs!$F$18-SQRT((1-J1778)*(Inputs!$F$18-Inputs!$D$18)*(Inputs!$F$18-Inputs!$E$18)))</f>
        <v>0.977138888412562</v>
      </c>
      <c r="L1778" s="81" t="n">
        <f aca="true">RAND()</f>
        <v>0.23096846194348</v>
      </c>
      <c r="M1778" s="83" t="n">
        <f aca="false">IF(L1778&lt;(Inputs!$E$24-Inputs!$D$24)/(Inputs!$F$24-Inputs!$D$24),Inputs!$D$24+SQRT(L1778*(Inputs!$F$24-Inputs!$D$24)*(Inputs!$E$24-Inputs!$D$24)),Inputs!$F$24-SQRT((1-L1778)*(Inputs!$F$24-Inputs!$D$24)*(Inputs!$F$24-Inputs!$E$24)))</f>
        <v>0.766481877191536</v>
      </c>
      <c r="N1778" s="81" t="n">
        <f aca="true">RAND()</f>
        <v>0.537199019836044</v>
      </c>
      <c r="O1778" s="83" t="n">
        <f aca="false">IF(N1778&lt;(Inputs!$E$26-Inputs!$D$26)/(Inputs!$F$26-Inputs!$D$26),Inputs!$D$26+SQRT(N1778*(Inputs!$F$26-Inputs!$D$26)*(Inputs!$E$26-Inputs!$D$26)),Inputs!$F$26-SQRT((1-N1778)*(Inputs!$F$26-Inputs!$D$26)*(Inputs!$F$26-Inputs!$E$26)))</f>
        <v>0.598981465814719</v>
      </c>
      <c r="P1778" s="81" t="n">
        <f aca="true">RAND()</f>
        <v>0.695925464771481</v>
      </c>
      <c r="Q1778" s="82" t="n">
        <f aca="false">IF(P1778&lt;(Inputs!$E$27-Inputs!$D$27)/(Inputs!$F$27-Inputs!$D$27),Inputs!$D$27+SQRT(P1778*(Inputs!$F$27-Inputs!$D$27)*(Inputs!$E$27-Inputs!$D$27)),Inputs!$F$27-SQRT((1-P1778)*(Inputs!$F$27-Inputs!$D$27)*(Inputs!$F$27-Inputs!$E$27)))</f>
        <v>102.244801181297</v>
      </c>
      <c r="R1778" s="81" t="n">
        <f aca="true">RAND()</f>
        <v>0.0221007674277301</v>
      </c>
      <c r="S1778" s="82" t="n">
        <f aca="false">IF(R1778&lt;(Inputs!$E$29-Inputs!$D$29)/(Inputs!$F$29-Inputs!$D$29),Inputs!$D$29+SQRT(R1778*(Inputs!$F$29-Inputs!$D$29)*(Inputs!$E$29-Inputs!$D$29)),Inputs!$F$29-SQRT((1-R1778)*(Inputs!$F$29-Inputs!$D$29)*(Inputs!$F$29-Inputs!$E$29)))</f>
        <v>2.92840181477713</v>
      </c>
      <c r="T1778" s="68" t="n">
        <f aca="false">Inputs!$E$9*(1+E1778)+Inputs!$E$5*C1778*(Inputs!$E$11*Inputs!$E$14*(G1778*I1778/Inputs!$E$16+(1-G1778))*K1778+Inputs!$E$23*M1778)*(1+O1778)+Inputs!$E$5*(Q1778+S1778)</f>
        <v>6507.77682382864</v>
      </c>
    </row>
    <row r="1779" customFormat="false" ht="15" hidden="false" customHeight="false" outlineLevel="0" collapsed="false">
      <c r="A1779" s="1" t="n">
        <v>1775</v>
      </c>
      <c r="B1779" s="81" t="n">
        <f aca="true">RAND()</f>
        <v>0.0799381428638682</v>
      </c>
      <c r="C1779" s="82" t="n">
        <f aca="false">ROUND(IF(B1779&lt;(Inputs!$E$8-Inputs!$D$8)/(Inputs!$F$8-Inputs!$D$8),Inputs!$D$8+SQRT(B1779*(Inputs!$F$8-Inputs!$D$8)*(Inputs!$E$8-Inputs!$D$8)),Inputs!$F$8-SQRT((1-B1779)*(Inputs!$F$8-Inputs!$D$8)*(Inputs!$F$8-Inputs!$E$8))),0)</f>
        <v>22</v>
      </c>
      <c r="D1779" s="81" t="n">
        <f aca="true">RAND()</f>
        <v>0.344600375454407</v>
      </c>
      <c r="E1779" s="83" t="n">
        <f aca="false">IF(D1779&lt;(Inputs!$E$10-Inputs!$D$10)/(Inputs!$F$10-Inputs!$D$10),Inputs!$D$10+SQRT(D1779*(Inputs!$F$10-Inputs!$D$10)*(Inputs!$E$10-Inputs!$D$10)),Inputs!$F$10-SQRT((1-D1779)*(Inputs!$F$10-Inputs!$D$10)*(Inputs!$F$10-Inputs!$E$10)))</f>
        <v>0.0597787864252781</v>
      </c>
      <c r="F1779" s="81" t="n">
        <f aca="true">RAND()</f>
        <v>0.505133928379109</v>
      </c>
      <c r="G1779" s="83" t="n">
        <f aca="false">IF(F1779&lt;(Inputs!$E$15-Inputs!$D$15)/(Inputs!$F$15-Inputs!$D$15),Inputs!$D$15+SQRT(F1779*(Inputs!$F$15-Inputs!$D$15)*(Inputs!$E$15-Inputs!$D$15)),Inputs!$F$15-SQRT((1-F1779)*(Inputs!$F$15-Inputs!$D$15)*(Inputs!$F$15-Inputs!$E$15)))</f>
        <v>0.700514717508479</v>
      </c>
      <c r="H1779" s="81" t="n">
        <f aca="true">RAND()</f>
        <v>0.562371032903711</v>
      </c>
      <c r="I1779" s="82" t="n">
        <f aca="false">ROUND(IF(H1779&lt;(Inputs!$E$17-Inputs!$D$17)/(Inputs!$F$17-Inputs!$D$17),Inputs!$D$17+SQRT(H1779*(Inputs!$F$17-Inputs!$D$17)*(Inputs!$E$17-Inputs!$D$17)),Inputs!$F$17-SQRT((1-H1779)*(Inputs!$F$17-Inputs!$D$17)*(Inputs!$F$17-Inputs!$E$17))),0)</f>
        <v>107</v>
      </c>
      <c r="J1779" s="81" t="n">
        <f aca="true">RAND()</f>
        <v>0.289321486295743</v>
      </c>
      <c r="K1779" s="83" t="n">
        <f aca="false">IF(J1779&lt;(Inputs!$E$18-Inputs!$D$18)/(Inputs!$F$18-Inputs!$D$18),Inputs!$D$18+SQRT(J1779*(Inputs!$F$18-Inputs!$D$18)*(Inputs!$E$18-Inputs!$D$18)),Inputs!$F$18-SQRT((1-J1779)*(Inputs!$F$18-Inputs!$D$18)*(Inputs!$F$18-Inputs!$E$18)))</f>
        <v>1.00063205909916</v>
      </c>
      <c r="L1779" s="81" t="n">
        <f aca="true">RAND()</f>
        <v>0.46122772602823</v>
      </c>
      <c r="M1779" s="83" t="n">
        <f aca="false">IF(L1779&lt;(Inputs!$E$24-Inputs!$D$24)/(Inputs!$F$24-Inputs!$D$24),Inputs!$D$24+SQRT(L1779*(Inputs!$F$24-Inputs!$D$24)*(Inputs!$E$24-Inputs!$D$24)),Inputs!$F$24-SQRT((1-L1779)*(Inputs!$F$24-Inputs!$D$24)*(Inputs!$F$24-Inputs!$E$24)))</f>
        <v>0.840409474883966</v>
      </c>
      <c r="N1779" s="81" t="n">
        <f aca="true">RAND()</f>
        <v>0.158647733316373</v>
      </c>
      <c r="O1779" s="83" t="n">
        <f aca="false">IF(N1779&lt;(Inputs!$E$26-Inputs!$D$26)/(Inputs!$F$26-Inputs!$D$26),Inputs!$D$26+SQRT(N1779*(Inputs!$F$26-Inputs!$D$26)*(Inputs!$E$26-Inputs!$D$26)),Inputs!$F$26-SQRT((1-N1779)*(Inputs!$F$26-Inputs!$D$26)*(Inputs!$F$26-Inputs!$E$26)))</f>
        <v>0.462477637919328</v>
      </c>
      <c r="P1779" s="81" t="n">
        <f aca="true">RAND()</f>
        <v>0.29586598736928</v>
      </c>
      <c r="Q1779" s="82" t="n">
        <f aca="false">IF(P1779&lt;(Inputs!$E$27-Inputs!$D$27)/(Inputs!$F$27-Inputs!$D$27),Inputs!$D$27+SQRT(P1779*(Inputs!$F$27-Inputs!$D$27)*(Inputs!$E$27-Inputs!$D$27)),Inputs!$F$27-SQRT((1-P1779)*(Inputs!$F$27-Inputs!$D$27)*(Inputs!$F$27-Inputs!$E$27)))</f>
        <v>77.3294757502714</v>
      </c>
      <c r="R1779" s="81" t="n">
        <f aca="true">RAND()</f>
        <v>0.96365009854019</v>
      </c>
      <c r="S1779" s="82" t="n">
        <f aca="false">IF(R1779&lt;(Inputs!$E$29-Inputs!$D$29)/(Inputs!$F$29-Inputs!$D$29),Inputs!$D$29+SQRT(R1779*(Inputs!$F$29-Inputs!$D$29)*(Inputs!$E$29-Inputs!$D$29)),Inputs!$F$29-SQRT((1-R1779)*(Inputs!$F$29-Inputs!$D$29)*(Inputs!$F$29-Inputs!$E$29)))</f>
        <v>12.8261814266652</v>
      </c>
      <c r="T1779" s="68" t="n">
        <f aca="false">Inputs!$E$9*(1+E1779)+Inputs!$E$5*C1779*(Inputs!$E$11*Inputs!$E$14*(G1779*I1779/Inputs!$E$16+(1-G1779))*K1779+Inputs!$E$23*M1779)*(1+O1779)+Inputs!$E$5*(Q1779+S1779)</f>
        <v>5493.40619287983</v>
      </c>
    </row>
    <row r="1780" customFormat="false" ht="15" hidden="false" customHeight="false" outlineLevel="0" collapsed="false">
      <c r="A1780" s="1" t="n">
        <v>1776</v>
      </c>
      <c r="B1780" s="81" t="n">
        <f aca="true">RAND()</f>
        <v>0.679938450237695</v>
      </c>
      <c r="C1780" s="82" t="n">
        <f aca="false">ROUND(IF(B1780&lt;(Inputs!$E$8-Inputs!$D$8)/(Inputs!$F$8-Inputs!$D$8),Inputs!$D$8+SQRT(B1780*(Inputs!$F$8-Inputs!$D$8)*(Inputs!$E$8-Inputs!$D$8)),Inputs!$F$8-SQRT((1-B1780)*(Inputs!$F$8-Inputs!$D$8)*(Inputs!$F$8-Inputs!$E$8))),0)</f>
        <v>26</v>
      </c>
      <c r="D1780" s="81" t="n">
        <f aca="true">RAND()</f>
        <v>0.352900894577156</v>
      </c>
      <c r="E1780" s="83" t="n">
        <f aca="false">IF(D1780&lt;(Inputs!$E$10-Inputs!$D$10)/(Inputs!$F$10-Inputs!$D$10),Inputs!$D$10+SQRT(D1780*(Inputs!$F$10-Inputs!$D$10)*(Inputs!$E$10-Inputs!$D$10)),Inputs!$F$10-SQRT((1-D1780)*(Inputs!$F$10-Inputs!$D$10)*(Inputs!$F$10-Inputs!$E$10)))</f>
        <v>0.0606695540713182</v>
      </c>
      <c r="F1780" s="81" t="n">
        <f aca="true">RAND()</f>
        <v>0.670887302319635</v>
      </c>
      <c r="G1780" s="83" t="n">
        <f aca="false">IF(F1780&lt;(Inputs!$E$15-Inputs!$D$15)/(Inputs!$F$15-Inputs!$D$15),Inputs!$D$15+SQRT(F1780*(Inputs!$F$15-Inputs!$D$15)*(Inputs!$E$15-Inputs!$D$15)),Inputs!$F$15-SQRT((1-F1780)*(Inputs!$F$15-Inputs!$D$15)*(Inputs!$F$15-Inputs!$E$15)))</f>
        <v>0.7188689088351</v>
      </c>
      <c r="H1780" s="81" t="n">
        <f aca="true">RAND()</f>
        <v>0.734707455974813</v>
      </c>
      <c r="I1780" s="82" t="n">
        <f aca="false">ROUND(IF(H1780&lt;(Inputs!$E$17-Inputs!$D$17)/(Inputs!$F$17-Inputs!$D$17),Inputs!$D$17+SQRT(H1780*(Inputs!$F$17-Inputs!$D$17)*(Inputs!$E$17-Inputs!$D$17)),Inputs!$F$17-SQRT((1-H1780)*(Inputs!$F$17-Inputs!$D$17)*(Inputs!$F$17-Inputs!$E$17))),0)</f>
        <v>109</v>
      </c>
      <c r="J1780" s="81" t="n">
        <f aca="true">RAND()</f>
        <v>0.909949835632155</v>
      </c>
      <c r="K1780" s="83" t="n">
        <f aca="false">IF(J1780&lt;(Inputs!$E$18-Inputs!$D$18)/(Inputs!$F$18-Inputs!$D$18),Inputs!$D$18+SQRT(J1780*(Inputs!$F$18-Inputs!$D$18)*(Inputs!$E$18-Inputs!$D$18)),Inputs!$F$18-SQRT((1-J1780)*(Inputs!$F$18-Inputs!$D$18)*(Inputs!$F$18-Inputs!$E$18)))</f>
        <v>1.16123407533188</v>
      </c>
      <c r="L1780" s="81" t="n">
        <f aca="true">RAND()</f>
        <v>0.155075241685674</v>
      </c>
      <c r="M1780" s="83" t="n">
        <f aca="false">IF(L1780&lt;(Inputs!$E$24-Inputs!$D$24)/(Inputs!$F$24-Inputs!$D$24),Inputs!$D$24+SQRT(L1780*(Inputs!$F$24-Inputs!$D$24)*(Inputs!$E$24-Inputs!$D$24)),Inputs!$F$24-SQRT((1-L1780)*(Inputs!$F$24-Inputs!$D$24)*(Inputs!$F$24-Inputs!$E$24)))</f>
        <v>0.736414914882065</v>
      </c>
      <c r="N1780" s="81" t="n">
        <f aca="true">RAND()</f>
        <v>0.788961360697187</v>
      </c>
      <c r="O1780" s="83" t="n">
        <f aca="false">IF(N1780&lt;(Inputs!$E$26-Inputs!$D$26)/(Inputs!$F$26-Inputs!$D$26),Inputs!$D$26+SQRT(N1780*(Inputs!$F$26-Inputs!$D$26)*(Inputs!$E$26-Inputs!$D$26)),Inputs!$F$26-SQRT((1-N1780)*(Inputs!$F$26-Inputs!$D$26)*(Inputs!$F$26-Inputs!$E$26)))</f>
        <v>0.671851363531443</v>
      </c>
      <c r="P1780" s="81" t="n">
        <f aca="true">RAND()</f>
        <v>0.628442368154086</v>
      </c>
      <c r="Q1780" s="82" t="n">
        <f aca="false">IF(P1780&lt;(Inputs!$E$27-Inputs!$D$27)/(Inputs!$F$27-Inputs!$D$27),Inputs!$D$27+SQRT(P1780*(Inputs!$F$27-Inputs!$D$27)*(Inputs!$E$27-Inputs!$D$27)),Inputs!$F$27-SQRT((1-P1780)*(Inputs!$F$27-Inputs!$D$27)*(Inputs!$F$27-Inputs!$E$27)))</f>
        <v>97.2109647858161</v>
      </c>
      <c r="R1780" s="81" t="n">
        <f aca="true">RAND()</f>
        <v>0.509782546193109</v>
      </c>
      <c r="S1780" s="82" t="n">
        <f aca="false">IF(R1780&lt;(Inputs!$E$29-Inputs!$D$29)/(Inputs!$F$29-Inputs!$D$29),Inputs!$D$29+SQRT(R1780*(Inputs!$F$29-Inputs!$D$29)*(Inputs!$E$29-Inputs!$D$29)),Inputs!$F$29-SQRT((1-R1780)*(Inputs!$F$29-Inputs!$D$29)*(Inputs!$F$29-Inputs!$E$29)))</f>
        <v>7.01700125298169</v>
      </c>
      <c r="T1780" s="68" t="n">
        <f aca="false">Inputs!$E$9*(1+E1780)+Inputs!$E$5*C1780*(Inputs!$E$11*Inputs!$E$14*(G1780*I1780/Inputs!$E$16+(1-G1780))*K1780+Inputs!$E$23*M1780)*(1+O1780)+Inputs!$E$5*(Q1780+S1780)</f>
        <v>6735.16702002496</v>
      </c>
    </row>
    <row r="1781" customFormat="false" ht="15" hidden="false" customHeight="false" outlineLevel="0" collapsed="false">
      <c r="A1781" s="1" t="n">
        <v>1777</v>
      </c>
      <c r="B1781" s="81" t="n">
        <f aca="true">RAND()</f>
        <v>0.352007359972739</v>
      </c>
      <c r="C1781" s="82" t="n">
        <f aca="false">ROUND(IF(B1781&lt;(Inputs!$E$8-Inputs!$D$8)/(Inputs!$F$8-Inputs!$D$8),Inputs!$D$8+SQRT(B1781*(Inputs!$F$8-Inputs!$D$8)*(Inputs!$E$8-Inputs!$D$8)),Inputs!$F$8-SQRT((1-B1781)*(Inputs!$F$8-Inputs!$D$8)*(Inputs!$F$8-Inputs!$E$8))),0)</f>
        <v>24</v>
      </c>
      <c r="D1781" s="81" t="n">
        <f aca="true">RAND()</f>
        <v>0.609883688137384</v>
      </c>
      <c r="E1781" s="83" t="n">
        <f aca="false">IF(D1781&lt;(Inputs!$E$10-Inputs!$D$10)/(Inputs!$F$10-Inputs!$D$10),Inputs!$D$10+SQRT(D1781*(Inputs!$F$10-Inputs!$D$10)*(Inputs!$E$10-Inputs!$D$10)),Inputs!$F$10-SQRT((1-D1781)*(Inputs!$F$10-Inputs!$D$10)*(Inputs!$F$10-Inputs!$E$10)))</f>
        <v>0.0918173333852485</v>
      </c>
      <c r="F1781" s="81" t="n">
        <f aca="true">RAND()</f>
        <v>0.615538985431876</v>
      </c>
      <c r="G1781" s="83" t="n">
        <f aca="false">IF(F1781&lt;(Inputs!$E$15-Inputs!$D$15)/(Inputs!$F$15-Inputs!$D$15),Inputs!$D$15+SQRT(F1781*(Inputs!$F$15-Inputs!$D$15)*(Inputs!$E$15-Inputs!$D$15)),Inputs!$F$15-SQRT((1-F1781)*(Inputs!$F$15-Inputs!$D$15)*(Inputs!$F$15-Inputs!$E$15)))</f>
        <v>0.71231180072916</v>
      </c>
      <c r="H1781" s="81" t="n">
        <f aca="true">RAND()</f>
        <v>0.934258878042479</v>
      </c>
      <c r="I1781" s="82" t="n">
        <f aca="false">ROUND(IF(H1781&lt;(Inputs!$E$17-Inputs!$D$17)/(Inputs!$F$17-Inputs!$D$17),Inputs!$D$17+SQRT(H1781*(Inputs!$F$17-Inputs!$D$17)*(Inputs!$E$17-Inputs!$D$17)),Inputs!$F$17-SQRT((1-H1781)*(Inputs!$F$17-Inputs!$D$17)*(Inputs!$F$17-Inputs!$E$17))),0)</f>
        <v>112</v>
      </c>
      <c r="J1781" s="81" t="n">
        <f aca="true">RAND()</f>
        <v>0.281985146497532</v>
      </c>
      <c r="K1781" s="83" t="n">
        <f aca="false">IF(J1781&lt;(Inputs!$E$18-Inputs!$D$18)/(Inputs!$F$18-Inputs!$D$18),Inputs!$D$18+SQRT(J1781*(Inputs!$F$18-Inputs!$D$18)*(Inputs!$E$18-Inputs!$D$18)),Inputs!$F$18-SQRT((1-J1781)*(Inputs!$F$18-Inputs!$D$18)*(Inputs!$F$18-Inputs!$E$18)))</f>
        <v>0.999345257196374</v>
      </c>
      <c r="L1781" s="81" t="n">
        <f aca="true">RAND()</f>
        <v>0.0966611489507332</v>
      </c>
      <c r="M1781" s="83" t="n">
        <f aca="false">IF(L1781&lt;(Inputs!$E$24-Inputs!$D$24)/(Inputs!$F$24-Inputs!$D$24),Inputs!$D$24+SQRT(L1781*(Inputs!$F$24-Inputs!$D$24)*(Inputs!$E$24-Inputs!$D$24)),Inputs!$F$24-SQRT((1-L1781)*(Inputs!$F$24-Inputs!$D$24)*(Inputs!$F$24-Inputs!$E$24)))</f>
        <v>0.707700222256447</v>
      </c>
      <c r="N1781" s="81" t="n">
        <f aca="true">RAND()</f>
        <v>0.147176836214204</v>
      </c>
      <c r="O1781" s="83" t="n">
        <f aca="false">IF(N1781&lt;(Inputs!$E$26-Inputs!$D$26)/(Inputs!$F$26-Inputs!$D$26),Inputs!$D$26+SQRT(N1781*(Inputs!$F$26-Inputs!$D$26)*(Inputs!$E$26-Inputs!$D$26)),Inputs!$F$26-SQRT((1-N1781)*(Inputs!$F$26-Inputs!$D$26)*(Inputs!$F$26-Inputs!$E$26)))</f>
        <v>0.456493531962326</v>
      </c>
      <c r="P1781" s="81" t="n">
        <f aca="true">RAND()</f>
        <v>0.468670310558862</v>
      </c>
      <c r="Q1781" s="82" t="n">
        <f aca="false">IF(P1781&lt;(Inputs!$E$27-Inputs!$D$27)/(Inputs!$F$27-Inputs!$D$27),Inputs!$D$27+SQRT(P1781*(Inputs!$F$27-Inputs!$D$27)*(Inputs!$E$27-Inputs!$D$27)),Inputs!$F$27-SQRT((1-P1781)*(Inputs!$F$27-Inputs!$D$27)*(Inputs!$F$27-Inputs!$E$27)))</f>
        <v>86.8733600545021</v>
      </c>
      <c r="R1781" s="81" t="n">
        <f aca="true">RAND()</f>
        <v>0.943401919115842</v>
      </c>
      <c r="S1781" s="82" t="n">
        <f aca="false">IF(R1781&lt;(Inputs!$E$29-Inputs!$D$29)/(Inputs!$F$29-Inputs!$D$29),Inputs!$D$29+SQRT(R1781*(Inputs!$F$29-Inputs!$D$29)*(Inputs!$E$29-Inputs!$D$29)),Inputs!$F$29-SQRT((1-R1781)*(Inputs!$F$29-Inputs!$D$29)*(Inputs!$F$29-Inputs!$E$29)))</f>
        <v>12.2874826240297</v>
      </c>
      <c r="T1781" s="68" t="n">
        <f aca="false">Inputs!$E$9*(1+E1781)+Inputs!$E$5*C1781*(Inputs!$E$11*Inputs!$E$14*(G1781*I1781/Inputs!$E$16+(1-G1781))*K1781+Inputs!$E$23*M1781)*(1+O1781)+Inputs!$E$5*(Q1781+S1781)</f>
        <v>5713.8641752854</v>
      </c>
    </row>
    <row r="1782" customFormat="false" ht="15" hidden="false" customHeight="false" outlineLevel="0" collapsed="false">
      <c r="A1782" s="1" t="n">
        <v>1778</v>
      </c>
      <c r="B1782" s="81" t="n">
        <f aca="true">RAND()</f>
        <v>0.131291703380614</v>
      </c>
      <c r="C1782" s="82" t="n">
        <f aca="false">ROUND(IF(B1782&lt;(Inputs!$E$8-Inputs!$D$8)/(Inputs!$F$8-Inputs!$D$8),Inputs!$D$8+SQRT(B1782*(Inputs!$F$8-Inputs!$D$8)*(Inputs!$E$8-Inputs!$D$8)),Inputs!$F$8-SQRT((1-B1782)*(Inputs!$F$8-Inputs!$D$8)*(Inputs!$F$8-Inputs!$E$8))),0)</f>
        <v>23</v>
      </c>
      <c r="D1782" s="81" t="n">
        <f aca="true">RAND()</f>
        <v>0.44052181277414</v>
      </c>
      <c r="E1782" s="83" t="n">
        <f aca="false">IF(D1782&lt;(Inputs!$E$10-Inputs!$D$10)/(Inputs!$F$10-Inputs!$D$10),Inputs!$D$10+SQRT(D1782*(Inputs!$F$10-Inputs!$D$10)*(Inputs!$E$10-Inputs!$D$10)),Inputs!$F$10-SQRT((1-D1782)*(Inputs!$F$10-Inputs!$D$10)*(Inputs!$F$10-Inputs!$E$10)))</f>
        <v>0.0704455882002631</v>
      </c>
      <c r="F1782" s="81" t="n">
        <f aca="true">RAND()</f>
        <v>0.122287710802681</v>
      </c>
      <c r="G1782" s="83" t="n">
        <f aca="false">IF(F1782&lt;(Inputs!$E$15-Inputs!$D$15)/(Inputs!$F$15-Inputs!$D$15),Inputs!$D$15+SQRT(F1782*(Inputs!$F$15-Inputs!$D$15)*(Inputs!$E$15-Inputs!$D$15)),Inputs!$F$15-SQRT((1-F1782)*(Inputs!$F$15-Inputs!$D$15)*(Inputs!$F$15-Inputs!$E$15)))</f>
        <v>0.649454567191045</v>
      </c>
      <c r="H1782" s="81" t="n">
        <f aca="true">RAND()</f>
        <v>0.0054739907506635</v>
      </c>
      <c r="I1782" s="82" t="n">
        <f aca="false">ROUND(IF(H1782&lt;(Inputs!$E$17-Inputs!$D$17)/(Inputs!$F$17-Inputs!$D$17),Inputs!$D$17+SQRT(H1782*(Inputs!$F$17-Inputs!$D$17)*(Inputs!$E$17-Inputs!$D$17)),Inputs!$F$17-SQRT((1-H1782)*(Inputs!$F$17-Inputs!$D$17)*(Inputs!$F$17-Inputs!$E$17))),0)</f>
        <v>101</v>
      </c>
      <c r="J1782" s="81" t="n">
        <f aca="true">RAND()</f>
        <v>0.624575107217981</v>
      </c>
      <c r="K1782" s="83" t="n">
        <f aca="false">IF(J1782&lt;(Inputs!$E$18-Inputs!$D$18)/(Inputs!$F$18-Inputs!$D$18),Inputs!$D$18+SQRT(J1782*(Inputs!$F$18-Inputs!$D$18)*(Inputs!$E$18-Inputs!$D$18)),Inputs!$F$18-SQRT((1-J1782)*(Inputs!$F$18-Inputs!$D$18)*(Inputs!$F$18-Inputs!$E$18)))</f>
        <v>1.06875519836854</v>
      </c>
      <c r="L1782" s="81" t="n">
        <f aca="true">RAND()</f>
        <v>0.295672679924159</v>
      </c>
      <c r="M1782" s="83" t="n">
        <f aca="false">IF(L1782&lt;(Inputs!$E$24-Inputs!$D$24)/(Inputs!$F$24-Inputs!$D$24),Inputs!$D$24+SQRT(L1782*(Inputs!$F$24-Inputs!$D$24)*(Inputs!$E$24-Inputs!$D$24)),Inputs!$F$24-SQRT((1-L1782)*(Inputs!$F$24-Inputs!$D$24)*(Inputs!$F$24-Inputs!$E$24)))</f>
        <v>0.788363270280857</v>
      </c>
      <c r="N1782" s="81" t="n">
        <f aca="true">RAND()</f>
        <v>0.115997411681607</v>
      </c>
      <c r="O1782" s="83" t="n">
        <f aca="false">IF(N1782&lt;(Inputs!$E$26-Inputs!$D$26)/(Inputs!$F$26-Inputs!$D$26),Inputs!$D$26+SQRT(N1782*(Inputs!$F$26-Inputs!$D$26)*(Inputs!$E$26-Inputs!$D$26)),Inputs!$F$26-SQRT((1-N1782)*(Inputs!$F$26-Inputs!$D$26)*(Inputs!$F$26-Inputs!$E$26)))</f>
        <v>0.438931527393243</v>
      </c>
      <c r="P1782" s="81" t="n">
        <f aca="true">RAND()</f>
        <v>0.892856081961337</v>
      </c>
      <c r="Q1782" s="82" t="n">
        <f aca="false">IF(P1782&lt;(Inputs!$E$27-Inputs!$D$27)/(Inputs!$F$27-Inputs!$D$27),Inputs!$D$27+SQRT(P1782*(Inputs!$F$27-Inputs!$D$27)*(Inputs!$E$27-Inputs!$D$27)),Inputs!$F$27-SQRT((1-P1782)*(Inputs!$F$27-Inputs!$D$27)*(Inputs!$F$27-Inputs!$E$27)))</f>
        <v>121.652524181332</v>
      </c>
      <c r="R1782" s="81" t="n">
        <f aca="true">RAND()</f>
        <v>0.937531670775466</v>
      </c>
      <c r="S1782" s="82" t="n">
        <f aca="false">IF(R1782&lt;(Inputs!$E$29-Inputs!$D$29)/(Inputs!$F$29-Inputs!$D$29),Inputs!$D$29+SQRT(R1782*(Inputs!$F$29-Inputs!$D$29)*(Inputs!$E$29-Inputs!$D$29)),Inputs!$F$29-SQRT((1-R1782)*(Inputs!$F$29-Inputs!$D$29)*(Inputs!$F$29-Inputs!$E$29)))</f>
        <v>12.1502837335641</v>
      </c>
      <c r="T1782" s="68" t="n">
        <f aca="false">Inputs!$E$9*(1+E1782)+Inputs!$E$5*C1782*(Inputs!$E$11*Inputs!$E$14*(G1782*I1782/Inputs!$E$16+(1-G1782))*K1782+Inputs!$E$23*M1782)*(1+O1782)+Inputs!$E$5*(Q1782+S1782)</f>
        <v>5874.91195222545</v>
      </c>
    </row>
    <row r="1783" customFormat="false" ht="15" hidden="false" customHeight="false" outlineLevel="0" collapsed="false">
      <c r="A1783" s="1" t="n">
        <v>1779</v>
      </c>
      <c r="B1783" s="81" t="n">
        <f aca="true">RAND()</f>
        <v>0.530320013572056</v>
      </c>
      <c r="C1783" s="82" t="n">
        <f aca="false">ROUND(IF(B1783&lt;(Inputs!$E$8-Inputs!$D$8)/(Inputs!$F$8-Inputs!$D$8),Inputs!$D$8+SQRT(B1783*(Inputs!$F$8-Inputs!$D$8)*(Inputs!$E$8-Inputs!$D$8)),Inputs!$F$8-SQRT((1-B1783)*(Inputs!$F$8-Inputs!$D$8)*(Inputs!$F$8-Inputs!$E$8))),0)</f>
        <v>25</v>
      </c>
      <c r="D1783" s="81" t="n">
        <f aca="true">RAND()</f>
        <v>0.230510379285382</v>
      </c>
      <c r="E1783" s="83" t="n">
        <f aca="false">IF(D1783&lt;(Inputs!$E$10-Inputs!$D$10)/(Inputs!$F$10-Inputs!$D$10),Inputs!$D$10+SQRT(D1783*(Inputs!$F$10-Inputs!$D$10)*(Inputs!$E$10-Inputs!$D$10)),Inputs!$F$10-SQRT((1-D1783)*(Inputs!$F$10-Inputs!$D$10)*(Inputs!$F$10-Inputs!$E$10)))</f>
        <v>0.0480114964654698</v>
      </c>
      <c r="F1783" s="81" t="n">
        <f aca="true">RAND()</f>
        <v>0.622955073336704</v>
      </c>
      <c r="G1783" s="83" t="n">
        <f aca="false">IF(F1783&lt;(Inputs!$E$15-Inputs!$D$15)/(Inputs!$F$15-Inputs!$D$15),Inputs!$D$15+SQRT(F1783*(Inputs!$F$15-Inputs!$D$15)*(Inputs!$E$15-Inputs!$D$15)),Inputs!$F$15-SQRT((1-F1783)*(Inputs!$F$15-Inputs!$D$15)*(Inputs!$F$15-Inputs!$E$15)))</f>
        <v>0.713161652864268</v>
      </c>
      <c r="H1783" s="81" t="n">
        <f aca="true">RAND()</f>
        <v>0.177008699487845</v>
      </c>
      <c r="I1783" s="82" t="n">
        <f aca="false">ROUND(IF(H1783&lt;(Inputs!$E$17-Inputs!$D$17)/(Inputs!$F$17-Inputs!$D$17),Inputs!$D$17+SQRT(H1783*(Inputs!$F$17-Inputs!$D$17)*(Inputs!$E$17-Inputs!$D$17)),Inputs!$F$17-SQRT((1-H1783)*(Inputs!$F$17-Inputs!$D$17)*(Inputs!$F$17-Inputs!$E$17))),0)</f>
        <v>104</v>
      </c>
      <c r="J1783" s="81" t="n">
        <f aca="true">RAND()</f>
        <v>0.487002849215734</v>
      </c>
      <c r="K1783" s="83" t="n">
        <f aca="false">IF(J1783&lt;(Inputs!$E$18-Inputs!$D$18)/(Inputs!$F$18-Inputs!$D$18),Inputs!$D$18+SQRT(J1783*(Inputs!$F$18-Inputs!$D$18)*(Inputs!$E$18-Inputs!$D$18)),Inputs!$F$18-SQRT((1-J1783)*(Inputs!$F$18-Inputs!$D$18)*(Inputs!$F$18-Inputs!$E$18)))</f>
        <v>1.03813388498011</v>
      </c>
      <c r="L1783" s="81" t="n">
        <f aca="true">RAND()</f>
        <v>0.791536766941735</v>
      </c>
      <c r="M1783" s="83" t="n">
        <f aca="false">IF(L1783&lt;(Inputs!$E$24-Inputs!$D$24)/(Inputs!$F$24-Inputs!$D$24),Inputs!$D$24+SQRT(L1783*(Inputs!$F$24-Inputs!$D$24)*(Inputs!$E$24-Inputs!$D$24)),Inputs!$F$24-SQRT((1-L1783)*(Inputs!$F$24-Inputs!$D$24)*(Inputs!$F$24-Inputs!$E$24)))</f>
        <v>0.976323501605592</v>
      </c>
      <c r="N1783" s="81" t="n">
        <f aca="true">RAND()</f>
        <v>0.609211798538569</v>
      </c>
      <c r="O1783" s="83" t="n">
        <f aca="false">IF(N1783&lt;(Inputs!$E$26-Inputs!$D$26)/(Inputs!$F$26-Inputs!$D$26),Inputs!$D$26+SQRT(N1783*(Inputs!$F$26-Inputs!$D$26)*(Inputs!$E$26-Inputs!$D$26)),Inputs!$F$26-SQRT((1-N1783)*(Inputs!$F$26-Inputs!$D$26)*(Inputs!$F$26-Inputs!$E$26)))</f>
        <v>0.618391022607136</v>
      </c>
      <c r="P1783" s="81" t="n">
        <f aca="true">RAND()</f>
        <v>0.990535116548284</v>
      </c>
      <c r="Q1783" s="82" t="n">
        <f aca="false">IF(P1783&lt;(Inputs!$E$27-Inputs!$D$27)/(Inputs!$F$27-Inputs!$D$27),Inputs!$D$27+SQRT(P1783*(Inputs!$F$27-Inputs!$D$27)*(Inputs!$E$27-Inputs!$D$27)),Inputs!$F$27-SQRT((1-P1783)*(Inputs!$F$27-Inputs!$D$27)*(Inputs!$F$27-Inputs!$E$27)))</f>
        <v>141.574643871748</v>
      </c>
      <c r="R1783" s="81" t="n">
        <f aca="true">RAND()</f>
        <v>0.535252467279089</v>
      </c>
      <c r="S1783" s="82" t="n">
        <f aca="false">IF(R1783&lt;(Inputs!$E$29-Inputs!$D$29)/(Inputs!$F$29-Inputs!$D$29),Inputs!$D$29+SQRT(R1783*(Inputs!$F$29-Inputs!$D$29)*(Inputs!$E$29-Inputs!$D$29)),Inputs!$F$29-SQRT((1-R1783)*(Inputs!$F$29-Inputs!$D$29)*(Inputs!$F$29-Inputs!$E$29)))</f>
        <v>7.22715114943572</v>
      </c>
      <c r="T1783" s="68" t="n">
        <f aca="false">Inputs!$E$9*(1+E1783)+Inputs!$E$5*C1783*(Inputs!$E$11*Inputs!$E$14*(G1783*I1783/Inputs!$E$16+(1-G1783))*K1783+Inputs!$E$23*M1783)*(1+O1783)+Inputs!$E$5*(Q1783+S1783)</f>
        <v>6682.62071388826</v>
      </c>
    </row>
    <row r="1784" customFormat="false" ht="15" hidden="false" customHeight="false" outlineLevel="0" collapsed="false">
      <c r="A1784" s="1" t="n">
        <v>1780</v>
      </c>
      <c r="B1784" s="81" t="n">
        <f aca="true">RAND()</f>
        <v>0.851027566459745</v>
      </c>
      <c r="C1784" s="82" t="n">
        <f aca="false">ROUND(IF(B1784&lt;(Inputs!$E$8-Inputs!$D$8)/(Inputs!$F$8-Inputs!$D$8),Inputs!$D$8+SQRT(B1784*(Inputs!$F$8-Inputs!$D$8)*(Inputs!$E$8-Inputs!$D$8)),Inputs!$F$8-SQRT((1-B1784)*(Inputs!$F$8-Inputs!$D$8)*(Inputs!$F$8-Inputs!$E$8))),0)</f>
        <v>27</v>
      </c>
      <c r="D1784" s="81" t="n">
        <f aca="true">RAND()</f>
        <v>0.448128315866963</v>
      </c>
      <c r="E1784" s="83" t="n">
        <f aca="false">IF(D1784&lt;(Inputs!$E$10-Inputs!$D$10)/(Inputs!$F$10-Inputs!$D$10),Inputs!$D$10+SQRT(D1784*(Inputs!$F$10-Inputs!$D$10)*(Inputs!$E$10-Inputs!$D$10)),Inputs!$F$10-SQRT((1-D1784)*(Inputs!$F$10-Inputs!$D$10)*(Inputs!$F$10-Inputs!$E$10)))</f>
        <v>0.0713292942275083</v>
      </c>
      <c r="F1784" s="81" t="n">
        <f aca="true">RAND()</f>
        <v>0.607073561710029</v>
      </c>
      <c r="G1784" s="83" t="n">
        <f aca="false">IF(F1784&lt;(Inputs!$E$15-Inputs!$D$15)/(Inputs!$F$15-Inputs!$D$15),Inputs!$D$15+SQRT(F1784*(Inputs!$F$15-Inputs!$D$15)*(Inputs!$E$15-Inputs!$D$15)),Inputs!$F$15-SQRT((1-F1784)*(Inputs!$F$15-Inputs!$D$15)*(Inputs!$F$15-Inputs!$E$15)))</f>
        <v>0.71135165672276</v>
      </c>
      <c r="H1784" s="81" t="n">
        <f aca="true">RAND()</f>
        <v>0.779150197450308</v>
      </c>
      <c r="I1784" s="82" t="n">
        <f aca="false">ROUND(IF(H1784&lt;(Inputs!$E$17-Inputs!$D$17)/(Inputs!$F$17-Inputs!$D$17),Inputs!$D$17+SQRT(H1784*(Inputs!$F$17-Inputs!$D$17)*(Inputs!$E$17-Inputs!$D$17)),Inputs!$F$17-SQRT((1-H1784)*(Inputs!$F$17-Inputs!$D$17)*(Inputs!$F$17-Inputs!$E$17))),0)</f>
        <v>109</v>
      </c>
      <c r="J1784" s="81" t="n">
        <f aca="true">RAND()</f>
        <v>0.00582354961175253</v>
      </c>
      <c r="K1784" s="83" t="n">
        <f aca="false">IF(J1784&lt;(Inputs!$E$18-Inputs!$D$18)/(Inputs!$F$18-Inputs!$D$18),Inputs!$D$18+SQRT(J1784*(Inputs!$F$18-Inputs!$D$18)*(Inputs!$E$18-Inputs!$D$18)),Inputs!$F$18-SQRT((1-J1784)*(Inputs!$F$18-Inputs!$D$18)*(Inputs!$F$18-Inputs!$E$18)))</f>
        <v>0.914276702574871</v>
      </c>
      <c r="L1784" s="81" t="n">
        <f aca="true">RAND()</f>
        <v>0.0549448176033877</v>
      </c>
      <c r="M1784" s="83" t="n">
        <f aca="false">IF(L1784&lt;(Inputs!$E$24-Inputs!$D$24)/(Inputs!$F$24-Inputs!$D$24),Inputs!$D$24+SQRT(L1784*(Inputs!$F$24-Inputs!$D$24)*(Inputs!$E$24-Inputs!$D$24)),Inputs!$F$24-SQRT((1-L1784)*(Inputs!$F$24-Inputs!$D$24)*(Inputs!$F$24-Inputs!$E$24)))</f>
        <v>0.681199618917865</v>
      </c>
      <c r="N1784" s="81" t="n">
        <f aca="true">RAND()</f>
        <v>0.206962764073549</v>
      </c>
      <c r="O1784" s="83" t="n">
        <f aca="false">IF(N1784&lt;(Inputs!$E$26-Inputs!$D$26)/(Inputs!$F$26-Inputs!$D$26),Inputs!$D$26+SQRT(N1784*(Inputs!$F$26-Inputs!$D$26)*(Inputs!$E$26-Inputs!$D$26)),Inputs!$F$26-SQRT((1-N1784)*(Inputs!$F$26-Inputs!$D$26)*(Inputs!$F$26-Inputs!$E$26)))</f>
        <v>0.485576409982084</v>
      </c>
      <c r="P1784" s="81" t="n">
        <f aca="true">RAND()</f>
        <v>0.061737888488958</v>
      </c>
      <c r="Q1784" s="82" t="n">
        <f aca="false">IF(P1784&lt;(Inputs!$E$27-Inputs!$D$27)/(Inputs!$F$27-Inputs!$D$27),Inputs!$D$27+SQRT(P1784*(Inputs!$F$27-Inputs!$D$27)*(Inputs!$E$27-Inputs!$D$27)),Inputs!$F$27-SQRT((1-P1784)*(Inputs!$F$27-Inputs!$D$27)*(Inputs!$F$27-Inputs!$E$27)))</f>
        <v>62.4235550959617</v>
      </c>
      <c r="R1784" s="81" t="n">
        <f aca="true">RAND()</f>
        <v>0.325831690548647</v>
      </c>
      <c r="S1784" s="82" t="n">
        <f aca="false">IF(R1784&lt;(Inputs!$E$29-Inputs!$D$29)/(Inputs!$F$29-Inputs!$D$29),Inputs!$D$29+SQRT(R1784*(Inputs!$F$29-Inputs!$D$29)*(Inputs!$E$29-Inputs!$D$29)),Inputs!$F$29-SQRT((1-R1784)*(Inputs!$F$29-Inputs!$D$29)*(Inputs!$F$29-Inputs!$E$29)))</f>
        <v>5.63827578761926</v>
      </c>
      <c r="T1784" s="68" t="n">
        <f aca="false">Inputs!$E$9*(1+E1784)+Inputs!$E$5*C1784*(Inputs!$E$11*Inputs!$E$14*(G1784*I1784/Inputs!$E$16+(1-G1784))*K1784+Inputs!$E$23*M1784)*(1+O1784)+Inputs!$E$5*(Q1784+S1784)</f>
        <v>5670.24023410225</v>
      </c>
    </row>
    <row r="1785" customFormat="false" ht="15" hidden="false" customHeight="false" outlineLevel="0" collapsed="false">
      <c r="A1785" s="1" t="n">
        <v>1781</v>
      </c>
      <c r="B1785" s="81" t="n">
        <f aca="true">RAND()</f>
        <v>0.728573050976889</v>
      </c>
      <c r="C1785" s="82" t="n">
        <f aca="false">ROUND(IF(B1785&lt;(Inputs!$E$8-Inputs!$D$8)/(Inputs!$F$8-Inputs!$D$8),Inputs!$D$8+SQRT(B1785*(Inputs!$F$8-Inputs!$D$8)*(Inputs!$E$8-Inputs!$D$8)),Inputs!$F$8-SQRT((1-B1785)*(Inputs!$F$8-Inputs!$D$8)*(Inputs!$F$8-Inputs!$E$8))),0)</f>
        <v>26</v>
      </c>
      <c r="D1785" s="81" t="n">
        <f aca="true">RAND()</f>
        <v>0.656659931596342</v>
      </c>
      <c r="E1785" s="83" t="n">
        <f aca="false">IF(D1785&lt;(Inputs!$E$10-Inputs!$D$10)/(Inputs!$F$10-Inputs!$D$10),Inputs!$D$10+SQRT(D1785*(Inputs!$F$10-Inputs!$D$10)*(Inputs!$E$10-Inputs!$D$10)),Inputs!$F$10-SQRT((1-D1785)*(Inputs!$F$10-Inputs!$D$10)*(Inputs!$F$10-Inputs!$E$10)))</f>
        <v>0.0985100889146623</v>
      </c>
      <c r="F1785" s="81" t="n">
        <f aca="true">RAND()</f>
        <v>0.921929953679829</v>
      </c>
      <c r="G1785" s="83" t="n">
        <f aca="false">IF(F1785&lt;(Inputs!$E$15-Inputs!$D$15)/(Inputs!$F$15-Inputs!$D$15),Inputs!$D$15+SQRT(F1785*(Inputs!$F$15-Inputs!$D$15)*(Inputs!$E$15-Inputs!$D$15)),Inputs!$F$15-SQRT((1-F1785)*(Inputs!$F$15-Inputs!$D$15)*(Inputs!$F$15-Inputs!$E$15)))</f>
        <v>0.760485433997026</v>
      </c>
      <c r="H1785" s="81" t="n">
        <f aca="true">RAND()</f>
        <v>0.342703858493644</v>
      </c>
      <c r="I1785" s="82" t="n">
        <f aca="false">ROUND(IF(H1785&lt;(Inputs!$E$17-Inputs!$D$17)/(Inputs!$F$17-Inputs!$D$17),Inputs!$D$17+SQRT(H1785*(Inputs!$F$17-Inputs!$D$17)*(Inputs!$E$17-Inputs!$D$17)),Inputs!$F$17-SQRT((1-H1785)*(Inputs!$F$17-Inputs!$D$17)*(Inputs!$F$17-Inputs!$E$17))),0)</f>
        <v>105</v>
      </c>
      <c r="J1785" s="81" t="n">
        <f aca="true">RAND()</f>
        <v>0.842391357095366</v>
      </c>
      <c r="K1785" s="83" t="n">
        <f aca="false">IF(J1785&lt;(Inputs!$E$18-Inputs!$D$18)/(Inputs!$F$18-Inputs!$D$18),Inputs!$D$18+SQRT(J1785*(Inputs!$F$18-Inputs!$D$18)*(Inputs!$E$18-Inputs!$D$18)),Inputs!$F$18-SQRT((1-J1785)*(Inputs!$F$18-Inputs!$D$18)*(Inputs!$F$18-Inputs!$E$18)))</f>
        <v>1.13256594934111</v>
      </c>
      <c r="L1785" s="81" t="n">
        <f aca="true">RAND()</f>
        <v>0.752956236457477</v>
      </c>
      <c r="M1785" s="83" t="n">
        <f aca="false">IF(L1785&lt;(Inputs!$E$24-Inputs!$D$24)/(Inputs!$F$24-Inputs!$D$24),Inputs!$D$24+SQRT(L1785*(Inputs!$F$24-Inputs!$D$24)*(Inputs!$E$24-Inputs!$D$24)),Inputs!$F$24-SQRT((1-L1785)*(Inputs!$F$24-Inputs!$D$24)*(Inputs!$F$24-Inputs!$E$24)))</f>
        <v>0.956503586781642</v>
      </c>
      <c r="N1785" s="81" t="n">
        <f aca="true">RAND()</f>
        <v>0.091237196786662</v>
      </c>
      <c r="O1785" s="83" t="n">
        <f aca="false">IF(N1785&lt;(Inputs!$E$26-Inputs!$D$26)/(Inputs!$F$26-Inputs!$D$26),Inputs!$D$26+SQRT(N1785*(Inputs!$F$26-Inputs!$D$26)*(Inputs!$E$26-Inputs!$D$26)),Inputs!$F$26-SQRT((1-N1785)*(Inputs!$F$26-Inputs!$D$26)*(Inputs!$F$26-Inputs!$E$26)))</f>
        <v>0.423214729416984</v>
      </c>
      <c r="P1785" s="81" t="n">
        <f aca="true">RAND()</f>
        <v>0.15648462362715</v>
      </c>
      <c r="Q1785" s="82" t="n">
        <f aca="false">IF(P1785&lt;(Inputs!$E$27-Inputs!$D$27)/(Inputs!$F$27-Inputs!$D$27),Inputs!$D$27+SQRT(P1785*(Inputs!$F$27-Inputs!$D$27)*(Inputs!$E$27-Inputs!$D$27)),Inputs!$F$27-SQRT((1-P1785)*(Inputs!$F$27-Inputs!$D$27)*(Inputs!$F$27-Inputs!$E$27)))</f>
        <v>69.7790687108336</v>
      </c>
      <c r="R1785" s="81" t="n">
        <f aca="true">RAND()</f>
        <v>0.402073038380426</v>
      </c>
      <c r="S1785" s="82" t="n">
        <f aca="false">IF(R1785&lt;(Inputs!$E$29-Inputs!$D$29)/(Inputs!$F$29-Inputs!$D$29),Inputs!$D$29+SQRT(R1785*(Inputs!$F$29-Inputs!$D$29)*(Inputs!$E$29-Inputs!$D$29)),Inputs!$F$29-SQRT((1-R1785)*(Inputs!$F$29-Inputs!$D$29)*(Inputs!$F$29-Inputs!$E$29)))</f>
        <v>6.18350948446352</v>
      </c>
      <c r="T1785" s="68" t="n">
        <f aca="false">Inputs!$E$9*(1+E1785)+Inputs!$E$5*C1785*(Inputs!$E$11*Inputs!$E$14*(G1785*I1785/Inputs!$E$16+(1-G1785))*K1785+Inputs!$E$23*M1785)*(1+O1785)+Inputs!$E$5*(Q1785+S1785)</f>
        <v>6224.5051626045</v>
      </c>
    </row>
    <row r="1786" customFormat="false" ht="15" hidden="false" customHeight="false" outlineLevel="0" collapsed="false">
      <c r="A1786" s="1" t="n">
        <v>1782</v>
      </c>
      <c r="B1786" s="81" t="n">
        <f aca="true">RAND()</f>
        <v>0.255789387530496</v>
      </c>
      <c r="C1786" s="82" t="n">
        <f aca="false">ROUND(IF(B1786&lt;(Inputs!$E$8-Inputs!$D$8)/(Inputs!$F$8-Inputs!$D$8),Inputs!$D$8+SQRT(B1786*(Inputs!$F$8-Inputs!$D$8)*(Inputs!$E$8-Inputs!$D$8)),Inputs!$F$8-SQRT((1-B1786)*(Inputs!$F$8-Inputs!$D$8)*(Inputs!$F$8-Inputs!$E$8))),0)</f>
        <v>24</v>
      </c>
      <c r="D1786" s="81" t="n">
        <f aca="true">RAND()</f>
        <v>0.879178374335748</v>
      </c>
      <c r="E1786" s="83" t="n">
        <f aca="false">IF(D1786&lt;(Inputs!$E$10-Inputs!$D$10)/(Inputs!$F$10-Inputs!$D$10),Inputs!$D$10+SQRT(D1786*(Inputs!$F$10-Inputs!$D$10)*(Inputs!$E$10-Inputs!$D$10)),Inputs!$F$10-SQRT((1-D1786)*(Inputs!$F$10-Inputs!$D$10)*(Inputs!$F$10-Inputs!$E$10)))</f>
        <v>0.139794943983686</v>
      </c>
      <c r="F1786" s="81" t="n">
        <f aca="true">RAND()</f>
        <v>0.830086262369227</v>
      </c>
      <c r="G1786" s="83" t="n">
        <f aca="false">IF(F1786&lt;(Inputs!$E$15-Inputs!$D$15)/(Inputs!$F$15-Inputs!$D$15),Inputs!$D$15+SQRT(F1786*(Inputs!$F$15-Inputs!$D$15)*(Inputs!$E$15-Inputs!$D$15)),Inputs!$F$15-SQRT((1-F1786)*(Inputs!$F$15-Inputs!$D$15)*(Inputs!$F$15-Inputs!$E$15)))</f>
        <v>0.741705276802995</v>
      </c>
      <c r="H1786" s="81" t="n">
        <f aca="true">RAND()</f>
        <v>0.76615022919247</v>
      </c>
      <c r="I1786" s="82" t="n">
        <f aca="false">ROUND(IF(H1786&lt;(Inputs!$E$17-Inputs!$D$17)/(Inputs!$F$17-Inputs!$D$17),Inputs!$D$17+SQRT(H1786*(Inputs!$F$17-Inputs!$D$17)*(Inputs!$E$17-Inputs!$D$17)),Inputs!$F$17-SQRT((1-H1786)*(Inputs!$F$17-Inputs!$D$17)*(Inputs!$F$17-Inputs!$E$17))),0)</f>
        <v>109</v>
      </c>
      <c r="J1786" s="81" t="n">
        <f aca="true">RAND()</f>
        <v>0.848304121623488</v>
      </c>
      <c r="K1786" s="83" t="n">
        <f aca="false">IF(J1786&lt;(Inputs!$E$18-Inputs!$D$18)/(Inputs!$F$18-Inputs!$D$18),Inputs!$D$18+SQRT(J1786*(Inputs!$F$18-Inputs!$D$18)*(Inputs!$E$18-Inputs!$D$18)),Inputs!$F$18-SQRT((1-J1786)*(Inputs!$F$18-Inputs!$D$18)*(Inputs!$F$18-Inputs!$E$18)))</f>
        <v>1.13478980358517</v>
      </c>
      <c r="L1786" s="81" t="n">
        <f aca="true">RAND()</f>
        <v>0.437466497147528</v>
      </c>
      <c r="M1786" s="83" t="n">
        <f aca="false">IF(L1786&lt;(Inputs!$E$24-Inputs!$D$24)/(Inputs!$F$24-Inputs!$D$24),Inputs!$D$24+SQRT(L1786*(Inputs!$F$24-Inputs!$D$24)*(Inputs!$E$24-Inputs!$D$24)),Inputs!$F$24-SQRT((1-L1786)*(Inputs!$F$24-Inputs!$D$24)*(Inputs!$F$24-Inputs!$E$24)))</f>
        <v>0.832565596759649</v>
      </c>
      <c r="N1786" s="81" t="n">
        <f aca="true">RAND()</f>
        <v>0.695810810202354</v>
      </c>
      <c r="O1786" s="83" t="n">
        <f aca="false">IF(N1786&lt;(Inputs!$E$26-Inputs!$D$26)/(Inputs!$F$26-Inputs!$D$26),Inputs!$D$26+SQRT(N1786*(Inputs!$F$26-Inputs!$D$26)*(Inputs!$E$26-Inputs!$D$26)),Inputs!$F$26-SQRT((1-N1786)*(Inputs!$F$26-Inputs!$D$26)*(Inputs!$F$26-Inputs!$E$26)))</f>
        <v>0.642135794104167</v>
      </c>
      <c r="P1786" s="81" t="n">
        <f aca="true">RAND()</f>
        <v>0.806803282436614</v>
      </c>
      <c r="Q1786" s="82" t="n">
        <f aca="false">IF(P1786&lt;(Inputs!$E$27-Inputs!$D$27)/(Inputs!$F$27-Inputs!$D$27),Inputs!$D$27+SQRT(P1786*(Inputs!$F$27-Inputs!$D$27)*(Inputs!$E$27-Inputs!$D$27)),Inputs!$F$27-SQRT((1-P1786)*(Inputs!$F$27-Inputs!$D$27)*(Inputs!$F$27-Inputs!$E$27)))</f>
        <v>111.934590745332</v>
      </c>
      <c r="R1786" s="81" t="n">
        <f aca="true">RAND()</f>
        <v>0.778684866157269</v>
      </c>
      <c r="S1786" s="82" t="n">
        <f aca="false">IF(R1786&lt;(Inputs!$E$29-Inputs!$D$29)/(Inputs!$F$29-Inputs!$D$29),Inputs!$D$29+SQRT(R1786*(Inputs!$F$29-Inputs!$D$29)*(Inputs!$E$29-Inputs!$D$29)),Inputs!$F$29-SQRT((1-R1786)*(Inputs!$F$29-Inputs!$D$29)*(Inputs!$F$29-Inputs!$E$29)))</f>
        <v>9.63614248888404</v>
      </c>
      <c r="T1786" s="68" t="n">
        <f aca="false">Inputs!$E$9*(1+E1786)+Inputs!$E$5*C1786*(Inputs!$E$11*Inputs!$E$14*(G1786*I1786/Inputs!$E$16+(1-G1786))*K1786+Inputs!$E$23*M1786)*(1+O1786)+Inputs!$E$5*(Q1786+S1786)</f>
        <v>6680.01197837002</v>
      </c>
    </row>
    <row r="1787" customFormat="false" ht="15" hidden="false" customHeight="false" outlineLevel="0" collapsed="false">
      <c r="A1787" s="1" t="n">
        <v>1783</v>
      </c>
      <c r="B1787" s="81" t="n">
        <f aca="true">RAND()</f>
        <v>0.885848365709515</v>
      </c>
      <c r="C1787" s="82" t="n">
        <f aca="false">ROUND(IF(B1787&lt;(Inputs!$E$8-Inputs!$D$8)/(Inputs!$F$8-Inputs!$D$8),Inputs!$D$8+SQRT(B1787*(Inputs!$F$8-Inputs!$D$8)*(Inputs!$E$8-Inputs!$D$8)),Inputs!$F$8-SQRT((1-B1787)*(Inputs!$F$8-Inputs!$D$8)*(Inputs!$F$8-Inputs!$E$8))),0)</f>
        <v>28</v>
      </c>
      <c r="D1787" s="81" t="n">
        <f aca="true">RAND()</f>
        <v>0.342439483185018</v>
      </c>
      <c r="E1787" s="83" t="n">
        <f aca="false">IF(D1787&lt;(Inputs!$E$10-Inputs!$D$10)/(Inputs!$F$10-Inputs!$D$10),Inputs!$D$10+SQRT(D1787*(Inputs!$F$10-Inputs!$D$10)*(Inputs!$E$10-Inputs!$D$10)),Inputs!$F$10-SQRT((1-D1787)*(Inputs!$F$10-Inputs!$D$10)*(Inputs!$F$10-Inputs!$E$10)))</f>
        <v>0.0595478177298428</v>
      </c>
      <c r="F1787" s="81" t="n">
        <f aca="true">RAND()</f>
        <v>0.7684459485338</v>
      </c>
      <c r="G1787" s="83" t="n">
        <f aca="false">IF(F1787&lt;(Inputs!$E$15-Inputs!$D$15)/(Inputs!$F$15-Inputs!$D$15),Inputs!$D$15+SQRT(F1787*(Inputs!$F$15-Inputs!$D$15)*(Inputs!$E$15-Inputs!$D$15)),Inputs!$F$15-SQRT((1-F1787)*(Inputs!$F$15-Inputs!$D$15)*(Inputs!$F$15-Inputs!$E$15)))</f>
        <v>0.73194795352582</v>
      </c>
      <c r="H1787" s="81" t="n">
        <f aca="true">RAND()</f>
        <v>0.266600421645827</v>
      </c>
      <c r="I1787" s="82" t="n">
        <f aca="false">ROUND(IF(H1787&lt;(Inputs!$E$17-Inputs!$D$17)/(Inputs!$F$17-Inputs!$D$17),Inputs!$D$17+SQRT(H1787*(Inputs!$F$17-Inputs!$D$17)*(Inputs!$E$17-Inputs!$D$17)),Inputs!$F$17-SQRT((1-H1787)*(Inputs!$F$17-Inputs!$D$17)*(Inputs!$F$17-Inputs!$E$17))),0)</f>
        <v>104</v>
      </c>
      <c r="J1787" s="81" t="n">
        <f aca="true">RAND()</f>
        <v>0.633199120309219</v>
      </c>
      <c r="K1787" s="83" t="n">
        <f aca="false">IF(J1787&lt;(Inputs!$E$18-Inputs!$D$18)/(Inputs!$F$18-Inputs!$D$18),Inputs!$D$18+SQRT(J1787*(Inputs!$F$18-Inputs!$D$18)*(Inputs!$E$18-Inputs!$D$18)),Inputs!$F$18-SQRT((1-J1787)*(Inputs!$F$18-Inputs!$D$18)*(Inputs!$F$18-Inputs!$E$18)))</f>
        <v>1.07084901068388</v>
      </c>
      <c r="L1787" s="81" t="n">
        <f aca="true">RAND()</f>
        <v>0.0830860089064004</v>
      </c>
      <c r="M1787" s="83" t="n">
        <f aca="false">IF(L1787&lt;(Inputs!$E$24-Inputs!$D$24)/(Inputs!$F$24-Inputs!$D$24),Inputs!$D$24+SQRT(L1787*(Inputs!$F$24-Inputs!$D$24)*(Inputs!$E$24-Inputs!$D$24)),Inputs!$F$24-SQRT((1-L1787)*(Inputs!$F$24-Inputs!$D$24)*(Inputs!$F$24-Inputs!$E$24)))</f>
        <v>0.699851495075277</v>
      </c>
      <c r="N1787" s="81" t="n">
        <f aca="true">RAND()</f>
        <v>0.742416999641694</v>
      </c>
      <c r="O1787" s="83" t="n">
        <f aca="false">IF(N1787&lt;(Inputs!$E$26-Inputs!$D$26)/(Inputs!$F$26-Inputs!$D$26),Inputs!$D$26+SQRT(N1787*(Inputs!$F$26-Inputs!$D$26)*(Inputs!$E$26-Inputs!$D$26)),Inputs!$F$26-SQRT((1-N1787)*(Inputs!$F$26-Inputs!$D$26)*(Inputs!$F$26-Inputs!$E$26)))</f>
        <v>0.656327668687515</v>
      </c>
      <c r="P1787" s="81" t="n">
        <f aca="true">RAND()</f>
        <v>0.959987755792324</v>
      </c>
      <c r="Q1787" s="82" t="n">
        <f aca="false">IF(P1787&lt;(Inputs!$E$27-Inputs!$D$27)/(Inputs!$F$27-Inputs!$D$27),Inputs!$D$27+SQRT(P1787*(Inputs!$F$27-Inputs!$D$27)*(Inputs!$E$27-Inputs!$D$27)),Inputs!$F$27-SQRT((1-P1787)*(Inputs!$F$27-Inputs!$D$27)*(Inputs!$F$27-Inputs!$E$27)))</f>
        <v>132.676841178423</v>
      </c>
      <c r="R1787" s="81" t="n">
        <f aca="true">RAND()</f>
        <v>0.865292296508965</v>
      </c>
      <c r="S1787" s="82" t="n">
        <f aca="false">IF(R1787&lt;(Inputs!$E$29-Inputs!$D$29)/(Inputs!$F$29-Inputs!$D$29),Inputs!$D$29+SQRT(R1787*(Inputs!$F$29-Inputs!$D$29)*(Inputs!$E$29-Inputs!$D$29)),Inputs!$F$29-SQRT((1-R1787)*(Inputs!$F$29-Inputs!$D$29)*(Inputs!$F$29-Inputs!$E$29)))</f>
        <v>10.8152656650828</v>
      </c>
      <c r="T1787" s="68" t="n">
        <f aca="false">Inputs!$E$9*(1+E1787)+Inputs!$E$5*C1787*(Inputs!$E$11*Inputs!$E$14*(G1787*I1787/Inputs!$E$16+(1-G1787))*K1787+Inputs!$E$23*M1787)*(1+O1787)+Inputs!$E$5*(Q1787+S1787)</f>
        <v>6804.56884427166</v>
      </c>
    </row>
    <row r="1788" customFormat="false" ht="15" hidden="false" customHeight="false" outlineLevel="0" collapsed="false">
      <c r="A1788" s="1" t="n">
        <v>1784</v>
      </c>
      <c r="B1788" s="81" t="n">
        <f aca="true">RAND()</f>
        <v>0.607451733783487</v>
      </c>
      <c r="C1788" s="82" t="n">
        <f aca="false">ROUND(IF(B1788&lt;(Inputs!$E$8-Inputs!$D$8)/(Inputs!$F$8-Inputs!$D$8),Inputs!$D$8+SQRT(B1788*(Inputs!$F$8-Inputs!$D$8)*(Inputs!$E$8-Inputs!$D$8)),Inputs!$F$8-SQRT((1-B1788)*(Inputs!$F$8-Inputs!$D$8)*(Inputs!$F$8-Inputs!$E$8))),0)</f>
        <v>26</v>
      </c>
      <c r="D1788" s="81" t="n">
        <f aca="true">RAND()</f>
        <v>0.485060384682906</v>
      </c>
      <c r="E1788" s="83" t="n">
        <f aca="false">IF(D1788&lt;(Inputs!$E$10-Inputs!$D$10)/(Inputs!$F$10-Inputs!$D$10),Inputs!$D$10+SQRT(D1788*(Inputs!$F$10-Inputs!$D$10)*(Inputs!$E$10-Inputs!$D$10)),Inputs!$F$10-SQRT((1-D1788)*(Inputs!$F$10-Inputs!$D$10)*(Inputs!$F$10-Inputs!$E$10)))</f>
        <v>0.0757092583515859</v>
      </c>
      <c r="F1788" s="81" t="n">
        <f aca="true">RAND()</f>
        <v>0.194828436072346</v>
      </c>
      <c r="G1788" s="83" t="n">
        <f aca="false">IF(F1788&lt;(Inputs!$E$15-Inputs!$D$15)/(Inputs!$F$15-Inputs!$D$15),Inputs!$D$15+SQRT(F1788*(Inputs!$F$15-Inputs!$D$15)*(Inputs!$E$15-Inputs!$D$15)),Inputs!$F$15-SQRT((1-F1788)*(Inputs!$F$15-Inputs!$D$15)*(Inputs!$F$15-Inputs!$E$15)))</f>
        <v>0.662422501723713</v>
      </c>
      <c r="H1788" s="81" t="n">
        <f aca="true">RAND()</f>
        <v>0.262325788790813</v>
      </c>
      <c r="I1788" s="82" t="n">
        <f aca="false">ROUND(IF(H1788&lt;(Inputs!$E$17-Inputs!$D$17)/(Inputs!$F$17-Inputs!$D$17),Inputs!$D$17+SQRT(H1788*(Inputs!$F$17-Inputs!$D$17)*(Inputs!$E$17-Inputs!$D$17)),Inputs!$F$17-SQRT((1-H1788)*(Inputs!$F$17-Inputs!$D$17)*(Inputs!$F$17-Inputs!$E$17))),0)</f>
        <v>104</v>
      </c>
      <c r="J1788" s="81" t="n">
        <f aca="true">RAND()</f>
        <v>0.26588791418913</v>
      </c>
      <c r="K1788" s="83" t="n">
        <f aca="false">IF(J1788&lt;(Inputs!$E$18-Inputs!$D$18)/(Inputs!$F$18-Inputs!$D$18),Inputs!$D$18+SQRT(J1788*(Inputs!$F$18-Inputs!$D$18)*(Inputs!$E$18-Inputs!$D$18)),Inputs!$F$18-SQRT((1-J1788)*(Inputs!$F$18-Inputs!$D$18)*(Inputs!$F$18-Inputs!$E$18)))</f>
        <v>0.996468010224217</v>
      </c>
      <c r="L1788" s="81" t="n">
        <f aca="true">RAND()</f>
        <v>0.705008598908084</v>
      </c>
      <c r="M1788" s="83" t="n">
        <f aca="false">IF(L1788&lt;(Inputs!$E$24-Inputs!$D$24)/(Inputs!$F$24-Inputs!$D$24),Inputs!$D$24+SQRT(L1788*(Inputs!$F$24-Inputs!$D$24)*(Inputs!$E$24-Inputs!$D$24)),Inputs!$F$24-SQRT((1-L1788)*(Inputs!$F$24-Inputs!$D$24)*(Inputs!$F$24-Inputs!$E$24)))</f>
        <v>0.933921184116323</v>
      </c>
      <c r="N1788" s="81" t="n">
        <f aca="true">RAND()</f>
        <v>0.170314199275907</v>
      </c>
      <c r="O1788" s="83" t="n">
        <f aca="false">IF(N1788&lt;(Inputs!$E$26-Inputs!$D$26)/(Inputs!$F$26-Inputs!$D$26),Inputs!$D$26+SQRT(N1788*(Inputs!$F$26-Inputs!$D$26)*(Inputs!$E$26-Inputs!$D$26)),Inputs!$F$26-SQRT((1-N1788)*(Inputs!$F$26-Inputs!$D$26)*(Inputs!$F$26-Inputs!$E$26)))</f>
        <v>0.468345723912165</v>
      </c>
      <c r="P1788" s="81" t="n">
        <f aca="true">RAND()</f>
        <v>0.83988744774042</v>
      </c>
      <c r="Q1788" s="82" t="n">
        <f aca="false">IF(P1788&lt;(Inputs!$E$27-Inputs!$D$27)/(Inputs!$F$27-Inputs!$D$27),Inputs!$D$27+SQRT(P1788*(Inputs!$F$27-Inputs!$D$27)*(Inputs!$E$27-Inputs!$D$27)),Inputs!$F$27-SQRT((1-P1788)*(Inputs!$F$27-Inputs!$D$27)*(Inputs!$F$27-Inputs!$E$27)))</f>
        <v>115.346801851101</v>
      </c>
      <c r="R1788" s="81" t="n">
        <f aca="true">RAND()</f>
        <v>0.00512924917993442</v>
      </c>
      <c r="S1788" s="82" t="n">
        <f aca="false">IF(R1788&lt;(Inputs!$E$29-Inputs!$D$29)/(Inputs!$F$29-Inputs!$D$29),Inputs!$D$29+SQRT(R1788*(Inputs!$F$29-Inputs!$D$29)*(Inputs!$E$29-Inputs!$D$29)),Inputs!$F$29-SQRT((1-R1788)*(Inputs!$F$29-Inputs!$D$29)*(Inputs!$F$29-Inputs!$E$29)))</f>
        <v>2.44725911731058</v>
      </c>
      <c r="T1788" s="68" t="n">
        <f aca="false">Inputs!$E$9*(1+E1788)+Inputs!$E$5*C1788*(Inputs!$E$11*Inputs!$E$14*(G1788*I1788/Inputs!$E$16+(1-G1788))*K1788+Inputs!$E$23*M1788)*(1+O1788)+Inputs!$E$5*(Q1788+S1788)</f>
        <v>6306.661855455</v>
      </c>
    </row>
    <row r="1789" customFormat="false" ht="15" hidden="false" customHeight="false" outlineLevel="0" collapsed="false">
      <c r="A1789" s="1" t="n">
        <v>1785</v>
      </c>
      <c r="B1789" s="81" t="n">
        <f aca="true">RAND()</f>
        <v>0.510019203427677</v>
      </c>
      <c r="C1789" s="82" t="n">
        <f aca="false">ROUND(IF(B1789&lt;(Inputs!$E$8-Inputs!$D$8)/(Inputs!$F$8-Inputs!$D$8),Inputs!$D$8+SQRT(B1789*(Inputs!$F$8-Inputs!$D$8)*(Inputs!$E$8-Inputs!$D$8)),Inputs!$F$8-SQRT((1-B1789)*(Inputs!$F$8-Inputs!$D$8)*(Inputs!$F$8-Inputs!$E$8))),0)</f>
        <v>25</v>
      </c>
      <c r="D1789" s="81" t="n">
        <f aca="true">RAND()</f>
        <v>0.313171471123974</v>
      </c>
      <c r="E1789" s="83" t="n">
        <f aca="false">IF(D1789&lt;(Inputs!$E$10-Inputs!$D$10)/(Inputs!$F$10-Inputs!$D$10),Inputs!$D$10+SQRT(D1789*(Inputs!$F$10-Inputs!$D$10)*(Inputs!$E$10-Inputs!$D$10)),Inputs!$F$10-SQRT((1-D1789)*(Inputs!$F$10-Inputs!$D$10)*(Inputs!$F$10-Inputs!$E$10)))</f>
        <v>0.0564560838409346</v>
      </c>
      <c r="F1789" s="81" t="n">
        <f aca="true">RAND()</f>
        <v>0.33313160960044</v>
      </c>
      <c r="G1789" s="83" t="n">
        <f aca="false">IF(F1789&lt;(Inputs!$E$15-Inputs!$D$15)/(Inputs!$F$15-Inputs!$D$15),Inputs!$D$15+SQRT(F1789*(Inputs!$F$15-Inputs!$D$15)*(Inputs!$E$15-Inputs!$D$15)),Inputs!$F$15-SQRT((1-F1789)*(Inputs!$F$15-Inputs!$D$15)*(Inputs!$F$15-Inputs!$E$15)))</f>
        <v>0.68162494834307</v>
      </c>
      <c r="H1789" s="81" t="n">
        <f aca="true">RAND()</f>
        <v>0.716613074479205</v>
      </c>
      <c r="I1789" s="82" t="n">
        <f aca="false">ROUND(IF(H1789&lt;(Inputs!$E$17-Inputs!$D$17)/(Inputs!$F$17-Inputs!$D$17),Inputs!$D$17+SQRT(H1789*(Inputs!$F$17-Inputs!$D$17)*(Inputs!$E$17-Inputs!$D$17)),Inputs!$F$17-SQRT((1-H1789)*(Inputs!$F$17-Inputs!$D$17)*(Inputs!$F$17-Inputs!$E$17))),0)</f>
        <v>108</v>
      </c>
      <c r="J1789" s="81" t="n">
        <f aca="true">RAND()</f>
        <v>0.309337937241403</v>
      </c>
      <c r="K1789" s="83" t="n">
        <f aca="false">IF(J1789&lt;(Inputs!$E$18-Inputs!$D$18)/(Inputs!$F$18-Inputs!$D$18),Inputs!$D$18+SQRT(J1789*(Inputs!$F$18-Inputs!$D$18)*(Inputs!$E$18-Inputs!$D$18)),Inputs!$F$18-SQRT((1-J1789)*(Inputs!$F$18-Inputs!$D$18)*(Inputs!$F$18-Inputs!$E$18)))</f>
        <v>1.00416889844575</v>
      </c>
      <c r="L1789" s="81" t="n">
        <f aca="true">RAND()</f>
        <v>0.432066845717661</v>
      </c>
      <c r="M1789" s="83" t="n">
        <f aca="false">IF(L1789&lt;(Inputs!$E$24-Inputs!$D$24)/(Inputs!$F$24-Inputs!$D$24),Inputs!$D$24+SQRT(L1789*(Inputs!$F$24-Inputs!$D$24)*(Inputs!$E$24-Inputs!$D$24)),Inputs!$F$24-SQRT((1-L1789)*(Inputs!$F$24-Inputs!$D$24)*(Inputs!$F$24-Inputs!$E$24)))</f>
        <v>0.830806342107883</v>
      </c>
      <c r="N1789" s="81" t="n">
        <f aca="true">RAND()</f>
        <v>0.692961577507844</v>
      </c>
      <c r="O1789" s="83" t="n">
        <f aca="false">IF(N1789&lt;(Inputs!$E$26-Inputs!$D$26)/(Inputs!$F$26-Inputs!$D$26),Inputs!$D$26+SQRT(N1789*(Inputs!$F$26-Inputs!$D$26)*(Inputs!$E$26-Inputs!$D$26)),Inputs!$F$26-SQRT((1-N1789)*(Inputs!$F$26-Inputs!$D$26)*(Inputs!$F$26-Inputs!$E$26)))</f>
        <v>0.641304740020379</v>
      </c>
      <c r="P1789" s="81" t="n">
        <f aca="true">RAND()</f>
        <v>0.560024368510245</v>
      </c>
      <c r="Q1789" s="82" t="n">
        <f aca="false">IF(P1789&lt;(Inputs!$E$27-Inputs!$D$27)/(Inputs!$F$27-Inputs!$D$27),Inputs!$D$27+SQRT(P1789*(Inputs!$F$27-Inputs!$D$27)*(Inputs!$E$27-Inputs!$D$27)),Inputs!$F$27-SQRT((1-P1789)*(Inputs!$F$27-Inputs!$D$27)*(Inputs!$F$27-Inputs!$E$27)))</f>
        <v>92.555964311574</v>
      </c>
      <c r="R1789" s="81" t="n">
        <f aca="true">RAND()</f>
        <v>0.965372012284077</v>
      </c>
      <c r="S1789" s="82" t="n">
        <f aca="false">IF(R1789&lt;(Inputs!$E$29-Inputs!$D$29)/(Inputs!$F$29-Inputs!$D$29),Inputs!$D$29+SQRT(R1789*(Inputs!$F$29-Inputs!$D$29)*(Inputs!$E$29-Inputs!$D$29)),Inputs!$F$29-SQRT((1-R1789)*(Inputs!$F$29-Inputs!$D$29)*(Inputs!$F$29-Inputs!$E$29)))</f>
        <v>12.8782935162775</v>
      </c>
      <c r="T1789" s="68" t="n">
        <f aca="false">Inputs!$E$9*(1+E1789)+Inputs!$E$5*C1789*(Inputs!$E$11*Inputs!$E$14*(G1789*I1789/Inputs!$E$16+(1-G1789))*K1789+Inputs!$E$23*M1789)*(1+O1789)+Inputs!$E$5*(Q1789+S1789)</f>
        <v>6339.68976940798</v>
      </c>
    </row>
    <row r="1790" customFormat="false" ht="15" hidden="false" customHeight="false" outlineLevel="0" collapsed="false">
      <c r="A1790" s="1" t="n">
        <v>1786</v>
      </c>
      <c r="B1790" s="81" t="n">
        <f aca="true">RAND()</f>
        <v>0.0279346532636234</v>
      </c>
      <c r="C1790" s="82" t="n">
        <f aca="false">ROUND(IF(B1790&lt;(Inputs!$E$8-Inputs!$D$8)/(Inputs!$F$8-Inputs!$D$8),Inputs!$D$8+SQRT(B1790*(Inputs!$F$8-Inputs!$D$8)*(Inputs!$E$8-Inputs!$D$8)),Inputs!$F$8-SQRT((1-B1790)*(Inputs!$F$8-Inputs!$D$8)*(Inputs!$F$8-Inputs!$E$8))),0)</f>
        <v>21</v>
      </c>
      <c r="D1790" s="81" t="n">
        <f aca="true">RAND()</f>
        <v>0.61985350744654</v>
      </c>
      <c r="E1790" s="83" t="n">
        <f aca="false">IF(D1790&lt;(Inputs!$E$10-Inputs!$D$10)/(Inputs!$F$10-Inputs!$D$10),Inputs!$D$10+SQRT(D1790*(Inputs!$F$10-Inputs!$D$10)*(Inputs!$E$10-Inputs!$D$10)),Inputs!$F$10-SQRT((1-D1790)*(Inputs!$F$10-Inputs!$D$10)*(Inputs!$F$10-Inputs!$E$10)))</f>
        <v>0.0932086390357169</v>
      </c>
      <c r="F1790" s="81" t="n">
        <f aca="true">RAND()</f>
        <v>0.0173012366692106</v>
      </c>
      <c r="G1790" s="83" t="n">
        <f aca="false">IF(F1790&lt;(Inputs!$E$15-Inputs!$D$15)/(Inputs!$F$15-Inputs!$D$15),Inputs!$D$15+SQRT(F1790*(Inputs!$F$15-Inputs!$D$15)*(Inputs!$E$15-Inputs!$D$15)),Inputs!$F$15-SQRT((1-F1790)*(Inputs!$F$15-Inputs!$D$15)*(Inputs!$F$15-Inputs!$E$15)))</f>
        <v>0.618601740063344</v>
      </c>
      <c r="H1790" s="81" t="n">
        <f aca="true">RAND()</f>
        <v>0.438285108428387</v>
      </c>
      <c r="I1790" s="82" t="n">
        <f aca="false">ROUND(IF(H1790&lt;(Inputs!$E$17-Inputs!$D$17)/(Inputs!$F$17-Inputs!$D$17),Inputs!$D$17+SQRT(H1790*(Inputs!$F$17-Inputs!$D$17)*(Inputs!$E$17-Inputs!$D$17)),Inputs!$F$17-SQRT((1-H1790)*(Inputs!$F$17-Inputs!$D$17)*(Inputs!$F$17-Inputs!$E$17))),0)</f>
        <v>106</v>
      </c>
      <c r="J1790" s="81" t="n">
        <f aca="true">RAND()</f>
        <v>0.169812229555582</v>
      </c>
      <c r="K1790" s="83" t="n">
        <f aca="false">IF(J1790&lt;(Inputs!$E$18-Inputs!$D$18)/(Inputs!$F$18-Inputs!$D$18),Inputs!$D$18+SQRT(J1790*(Inputs!$F$18-Inputs!$D$18)*(Inputs!$E$18-Inputs!$D$18)),Inputs!$F$18-SQRT((1-J1790)*(Inputs!$F$18-Inputs!$D$18)*(Inputs!$F$18-Inputs!$E$18)))</f>
        <v>0.977093631607581</v>
      </c>
      <c r="L1790" s="81" t="n">
        <f aca="true">RAND()</f>
        <v>0.957200450721733</v>
      </c>
      <c r="M1790" s="83" t="n">
        <f aca="false">IF(L1790&lt;(Inputs!$E$24-Inputs!$D$24)/(Inputs!$F$24-Inputs!$D$24),Inputs!$D$24+SQRT(L1790*(Inputs!$F$24-Inputs!$D$24)*(Inputs!$E$24-Inputs!$D$24)),Inputs!$F$24-SQRT((1-L1790)*(Inputs!$F$24-Inputs!$D$24)*(Inputs!$F$24-Inputs!$E$24)))</f>
        <v>1.09864965798388</v>
      </c>
      <c r="N1790" s="81" t="n">
        <f aca="true">RAND()</f>
        <v>0.919484876139405</v>
      </c>
      <c r="O1790" s="83" t="n">
        <f aca="false">IF(N1790&lt;(Inputs!$E$26-Inputs!$D$26)/(Inputs!$F$26-Inputs!$D$26),Inputs!$D$26+SQRT(N1790*(Inputs!$F$26-Inputs!$D$26)*(Inputs!$E$26-Inputs!$D$26)),Inputs!$F$26-SQRT((1-N1790)*(Inputs!$F$26-Inputs!$D$26)*(Inputs!$F$26-Inputs!$E$26)))</f>
        <v>0.728492771424866</v>
      </c>
      <c r="P1790" s="81" t="n">
        <f aca="true">RAND()</f>
        <v>0.829575814962376</v>
      </c>
      <c r="Q1790" s="82" t="n">
        <f aca="false">IF(P1790&lt;(Inputs!$E$27-Inputs!$D$27)/(Inputs!$F$27-Inputs!$D$27),Inputs!$D$27+SQRT(P1790*(Inputs!$F$27-Inputs!$D$27)*(Inputs!$E$27-Inputs!$D$27)),Inputs!$F$27-SQRT((1-P1790)*(Inputs!$F$27-Inputs!$D$27)*(Inputs!$F$27-Inputs!$E$27)))</f>
        <v>114.248337272482</v>
      </c>
      <c r="R1790" s="81" t="n">
        <f aca="true">RAND()</f>
        <v>0.379145560034657</v>
      </c>
      <c r="S1790" s="82" t="n">
        <f aca="false">IF(R1790&lt;(Inputs!$E$29-Inputs!$D$29)/(Inputs!$F$29-Inputs!$D$29),Inputs!$D$29+SQRT(R1790*(Inputs!$F$29-Inputs!$D$29)*(Inputs!$E$29-Inputs!$D$29)),Inputs!$F$29-SQRT((1-R1790)*(Inputs!$F$29-Inputs!$D$29)*(Inputs!$F$29-Inputs!$E$29)))</f>
        <v>6.01606560601122</v>
      </c>
      <c r="T1790" s="68" t="n">
        <f aca="false">Inputs!$E$9*(1+E1790)+Inputs!$E$5*C1790*(Inputs!$E$11*Inputs!$E$14*(G1790*I1790/Inputs!$E$16+(1-G1790))*K1790+Inputs!$E$23*M1790)*(1+O1790)+Inputs!$E$5*(Q1790+S1790)</f>
        <v>6438.00143437849</v>
      </c>
    </row>
    <row r="1791" customFormat="false" ht="15" hidden="false" customHeight="false" outlineLevel="0" collapsed="false">
      <c r="A1791" s="1" t="n">
        <v>1787</v>
      </c>
      <c r="B1791" s="81" t="n">
        <f aca="true">RAND()</f>
        <v>0.515230682244164</v>
      </c>
      <c r="C1791" s="82" t="n">
        <f aca="false">ROUND(IF(B1791&lt;(Inputs!$E$8-Inputs!$D$8)/(Inputs!$F$8-Inputs!$D$8),Inputs!$D$8+SQRT(B1791*(Inputs!$F$8-Inputs!$D$8)*(Inputs!$E$8-Inputs!$D$8)),Inputs!$F$8-SQRT((1-B1791)*(Inputs!$F$8-Inputs!$D$8)*(Inputs!$F$8-Inputs!$E$8))),0)</f>
        <v>25</v>
      </c>
      <c r="D1791" s="81" t="n">
        <f aca="true">RAND()</f>
        <v>0.610856445251508</v>
      </c>
      <c r="E1791" s="83" t="n">
        <f aca="false">IF(D1791&lt;(Inputs!$E$10-Inputs!$D$10)/(Inputs!$F$10-Inputs!$D$10),Inputs!$D$10+SQRT(D1791*(Inputs!$F$10-Inputs!$D$10)*(Inputs!$E$10-Inputs!$D$10)),Inputs!$F$10-SQRT((1-D1791)*(Inputs!$F$10-Inputs!$D$10)*(Inputs!$F$10-Inputs!$E$10)))</f>
        <v>0.0919522945988451</v>
      </c>
      <c r="F1791" s="81" t="n">
        <f aca="true">RAND()</f>
        <v>0.4844400289904</v>
      </c>
      <c r="G1791" s="83" t="n">
        <f aca="false">IF(F1791&lt;(Inputs!$E$15-Inputs!$D$15)/(Inputs!$F$15-Inputs!$D$15),Inputs!$D$15+SQRT(F1791*(Inputs!$F$15-Inputs!$D$15)*(Inputs!$E$15-Inputs!$D$15)),Inputs!$F$15-SQRT((1-F1791)*(Inputs!$F$15-Inputs!$D$15)*(Inputs!$F$15-Inputs!$E$15)))</f>
        <v>0.698431705155443</v>
      </c>
      <c r="H1791" s="81" t="n">
        <f aca="true">RAND()</f>
        <v>0.212695163441945</v>
      </c>
      <c r="I1791" s="82" t="n">
        <f aca="false">ROUND(IF(H1791&lt;(Inputs!$E$17-Inputs!$D$17)/(Inputs!$F$17-Inputs!$D$17),Inputs!$D$17+SQRT(H1791*(Inputs!$F$17-Inputs!$D$17)*(Inputs!$E$17-Inputs!$D$17)),Inputs!$F$17-SQRT((1-H1791)*(Inputs!$F$17-Inputs!$D$17)*(Inputs!$F$17-Inputs!$E$17))),0)</f>
        <v>104</v>
      </c>
      <c r="J1791" s="81" t="n">
        <f aca="true">RAND()</f>
        <v>0.947217284984193</v>
      </c>
      <c r="K1791" s="83" t="n">
        <f aca="false">IF(J1791&lt;(Inputs!$E$18-Inputs!$D$18)/(Inputs!$F$18-Inputs!$D$18),Inputs!$D$18+SQRT(J1791*(Inputs!$F$18-Inputs!$D$18)*(Inputs!$E$18-Inputs!$D$18)),Inputs!$F$18-SQRT((1-J1791)*(Inputs!$F$18-Inputs!$D$18)*(Inputs!$F$18-Inputs!$E$18)))</f>
        <v>1.18204054470581</v>
      </c>
      <c r="L1791" s="81" t="n">
        <f aca="true">RAND()</f>
        <v>0.685667888095599</v>
      </c>
      <c r="M1791" s="83" t="n">
        <f aca="false">IF(L1791&lt;(Inputs!$E$24-Inputs!$D$24)/(Inputs!$F$24-Inputs!$D$24),Inputs!$D$24+SQRT(L1791*(Inputs!$F$24-Inputs!$D$24)*(Inputs!$E$24-Inputs!$D$24)),Inputs!$F$24-SQRT((1-L1791)*(Inputs!$F$24-Inputs!$D$24)*(Inputs!$F$24-Inputs!$E$24)))</f>
        <v>0.925337103239159</v>
      </c>
      <c r="N1791" s="81" t="n">
        <f aca="true">RAND()</f>
        <v>0.661559569687737</v>
      </c>
      <c r="O1791" s="83" t="n">
        <f aca="false">IF(N1791&lt;(Inputs!$E$26-Inputs!$D$26)/(Inputs!$F$26-Inputs!$D$26),Inputs!$D$26+SQRT(N1791*(Inputs!$F$26-Inputs!$D$26)*(Inputs!$E$26-Inputs!$D$26)),Inputs!$F$26-SQRT((1-N1791)*(Inputs!$F$26-Inputs!$D$26)*(Inputs!$F$26-Inputs!$E$26)))</f>
        <v>0.632389220052591</v>
      </c>
      <c r="P1791" s="81" t="n">
        <f aca="true">RAND()</f>
        <v>0.798724321457728</v>
      </c>
      <c r="Q1791" s="82" t="n">
        <f aca="false">IF(P1791&lt;(Inputs!$E$27-Inputs!$D$27)/(Inputs!$F$27-Inputs!$D$27),Inputs!$D$27+SQRT(P1791*(Inputs!$F$27-Inputs!$D$27)*(Inputs!$E$27-Inputs!$D$27)),Inputs!$F$27-SQRT((1-P1791)*(Inputs!$F$27-Inputs!$D$27)*(Inputs!$F$27-Inputs!$E$27)))</f>
        <v>111.146845828594</v>
      </c>
      <c r="R1791" s="81" t="n">
        <f aca="true">RAND()</f>
        <v>0.548173688379416</v>
      </c>
      <c r="S1791" s="82" t="n">
        <f aca="false">IF(R1791&lt;(Inputs!$E$29-Inputs!$D$29)/(Inputs!$F$29-Inputs!$D$29),Inputs!$D$29+SQRT(R1791*(Inputs!$F$29-Inputs!$D$29)*(Inputs!$E$29-Inputs!$D$29)),Inputs!$F$29-SQRT((1-R1791)*(Inputs!$F$29-Inputs!$D$29)*(Inputs!$F$29-Inputs!$E$29)))</f>
        <v>7.33596578095609</v>
      </c>
      <c r="T1791" s="68" t="n">
        <f aca="false">Inputs!$E$9*(1+E1791)+Inputs!$E$5*C1791*(Inputs!$E$11*Inputs!$E$14*(G1791*I1791/Inputs!$E$16+(1-G1791))*K1791+Inputs!$E$23*M1791)*(1+O1791)+Inputs!$E$5*(Q1791+S1791)</f>
        <v>6919.95103707737</v>
      </c>
    </row>
    <row r="1792" customFormat="false" ht="15" hidden="false" customHeight="false" outlineLevel="0" collapsed="false">
      <c r="A1792" s="1" t="n">
        <v>1788</v>
      </c>
      <c r="B1792" s="81" t="n">
        <f aca="true">RAND()</f>
        <v>0.185862666838898</v>
      </c>
      <c r="C1792" s="82" t="n">
        <f aca="false">ROUND(IF(B1792&lt;(Inputs!$E$8-Inputs!$D$8)/(Inputs!$F$8-Inputs!$D$8),Inputs!$D$8+SQRT(B1792*(Inputs!$F$8-Inputs!$D$8)*(Inputs!$E$8-Inputs!$D$8)),Inputs!$F$8-SQRT((1-B1792)*(Inputs!$F$8-Inputs!$D$8)*(Inputs!$F$8-Inputs!$E$8))),0)</f>
        <v>23</v>
      </c>
      <c r="D1792" s="81" t="n">
        <f aca="true">RAND()</f>
        <v>0.906662371155737</v>
      </c>
      <c r="E1792" s="83" t="n">
        <f aca="false">IF(D1792&lt;(Inputs!$E$10-Inputs!$D$10)/(Inputs!$F$10-Inputs!$D$10),Inputs!$D$10+SQRT(D1792*(Inputs!$F$10-Inputs!$D$10)*(Inputs!$E$10-Inputs!$D$10)),Inputs!$F$10-SQRT((1-D1792)*(Inputs!$F$10-Inputs!$D$10)*(Inputs!$F$10-Inputs!$E$10)))</f>
        <v>0.147083756129825</v>
      </c>
      <c r="F1792" s="81" t="n">
        <f aca="true">RAND()</f>
        <v>0.244960562338861</v>
      </c>
      <c r="G1792" s="83" t="n">
        <f aca="false">IF(F1792&lt;(Inputs!$E$15-Inputs!$D$15)/(Inputs!$F$15-Inputs!$D$15),Inputs!$D$15+SQRT(F1792*(Inputs!$F$15-Inputs!$D$15)*(Inputs!$E$15-Inputs!$D$15)),Inputs!$F$15-SQRT((1-F1792)*(Inputs!$F$15-Inputs!$D$15)*(Inputs!$F$15-Inputs!$E$15)))</f>
        <v>0.669994365821666</v>
      </c>
      <c r="H1792" s="81" t="n">
        <f aca="true">RAND()</f>
        <v>0.960010597847268</v>
      </c>
      <c r="I1792" s="82" t="n">
        <f aca="false">ROUND(IF(H1792&lt;(Inputs!$E$17-Inputs!$D$17)/(Inputs!$F$17-Inputs!$D$17),Inputs!$D$17+SQRT(H1792*(Inputs!$F$17-Inputs!$D$17)*(Inputs!$E$17-Inputs!$D$17)),Inputs!$F$17-SQRT((1-H1792)*(Inputs!$F$17-Inputs!$D$17)*(Inputs!$F$17-Inputs!$E$17))),0)</f>
        <v>113</v>
      </c>
      <c r="J1792" s="81" t="n">
        <f aca="true">RAND()</f>
        <v>0.689382755620231</v>
      </c>
      <c r="K1792" s="83" t="n">
        <f aca="false">IF(J1792&lt;(Inputs!$E$18-Inputs!$D$18)/(Inputs!$F$18-Inputs!$D$18),Inputs!$D$18+SQRT(J1792*(Inputs!$F$18-Inputs!$D$18)*(Inputs!$E$18-Inputs!$D$18)),Inputs!$F$18-SQRT((1-J1792)*(Inputs!$F$18-Inputs!$D$18)*(Inputs!$F$18-Inputs!$E$18)))</f>
        <v>1.08513942592836</v>
      </c>
      <c r="L1792" s="81" t="n">
        <f aca="true">RAND()</f>
        <v>0.985602002572743</v>
      </c>
      <c r="M1792" s="83" t="n">
        <f aca="false">IF(L1792&lt;(Inputs!$E$24-Inputs!$D$24)/(Inputs!$F$24-Inputs!$D$24),Inputs!$D$24+SQRT(L1792*(Inputs!$F$24-Inputs!$D$24)*(Inputs!$E$24-Inputs!$D$24)),Inputs!$F$24-SQRT((1-L1792)*(Inputs!$F$24-Inputs!$D$24)*(Inputs!$F$24-Inputs!$E$24)))</f>
        <v>1.14121633404983</v>
      </c>
      <c r="N1792" s="81" t="n">
        <f aca="true">RAND()</f>
        <v>0.655133141566209</v>
      </c>
      <c r="O1792" s="83" t="n">
        <f aca="false">IF(N1792&lt;(Inputs!$E$26-Inputs!$D$26)/(Inputs!$F$26-Inputs!$D$26),Inputs!$D$26+SQRT(N1792*(Inputs!$F$26-Inputs!$D$26)*(Inputs!$E$26-Inputs!$D$26)),Inputs!$F$26-SQRT((1-N1792)*(Inputs!$F$26-Inputs!$D$26)*(Inputs!$F$26-Inputs!$E$26)))</f>
        <v>0.630616385932905</v>
      </c>
      <c r="P1792" s="81" t="n">
        <f aca="true">RAND()</f>
        <v>0.115862306627498</v>
      </c>
      <c r="Q1792" s="82" t="n">
        <f aca="false">IF(P1792&lt;(Inputs!$E$27-Inputs!$D$27)/(Inputs!$F$27-Inputs!$D$27),Inputs!$D$27+SQRT(P1792*(Inputs!$F$27-Inputs!$D$27)*(Inputs!$E$27-Inputs!$D$27)),Inputs!$F$27-SQRT((1-P1792)*(Inputs!$F$27-Inputs!$D$27)*(Inputs!$F$27-Inputs!$E$27)))</f>
        <v>67.0192763232972</v>
      </c>
      <c r="R1792" s="81" t="n">
        <f aca="true">RAND()</f>
        <v>0.681586019683874</v>
      </c>
      <c r="S1792" s="82" t="n">
        <f aca="false">IF(R1792&lt;(Inputs!$E$29-Inputs!$D$29)/(Inputs!$F$29-Inputs!$D$29),Inputs!$D$29+SQRT(R1792*(Inputs!$F$29-Inputs!$D$29)*(Inputs!$E$29-Inputs!$D$29)),Inputs!$F$29-SQRT((1-R1792)*(Inputs!$F$29-Inputs!$D$29)*(Inputs!$F$29-Inputs!$E$29)))</f>
        <v>8.56619727990542</v>
      </c>
      <c r="T1792" s="68" t="n">
        <f aca="false">Inputs!$E$9*(1+E1792)+Inputs!$E$5*C1792*(Inputs!$E$11*Inputs!$E$14*(G1792*I1792/Inputs!$E$16+(1-G1792))*K1792+Inputs!$E$23*M1792)*(1+O1792)+Inputs!$E$5*(Q1792+S1792)</f>
        <v>6744.34930983609</v>
      </c>
    </row>
    <row r="1793" customFormat="false" ht="15" hidden="false" customHeight="false" outlineLevel="0" collapsed="false">
      <c r="A1793" s="1" t="n">
        <v>1789</v>
      </c>
      <c r="B1793" s="81" t="n">
        <f aca="true">RAND()</f>
        <v>0.144377248451723</v>
      </c>
      <c r="C1793" s="82" t="n">
        <f aca="false">ROUND(IF(B1793&lt;(Inputs!$E$8-Inputs!$D$8)/(Inputs!$F$8-Inputs!$D$8),Inputs!$D$8+SQRT(B1793*(Inputs!$F$8-Inputs!$D$8)*(Inputs!$E$8-Inputs!$D$8)),Inputs!$F$8-SQRT((1-B1793)*(Inputs!$F$8-Inputs!$D$8)*(Inputs!$F$8-Inputs!$E$8))),0)</f>
        <v>23</v>
      </c>
      <c r="D1793" s="81" t="n">
        <f aca="true">RAND()</f>
        <v>0.435037783972569</v>
      </c>
      <c r="E1793" s="83" t="n">
        <f aca="false">IF(D1793&lt;(Inputs!$E$10-Inputs!$D$10)/(Inputs!$F$10-Inputs!$D$10),Inputs!$D$10+SQRT(D1793*(Inputs!$F$10-Inputs!$D$10)*(Inputs!$E$10-Inputs!$D$10)),Inputs!$F$10-SQRT((1-D1793)*(Inputs!$F$10-Inputs!$D$10)*(Inputs!$F$10-Inputs!$E$10)))</f>
        <v>0.0698121876640408</v>
      </c>
      <c r="F1793" s="81" t="n">
        <f aca="true">RAND()</f>
        <v>0.61049370469564</v>
      </c>
      <c r="G1793" s="83" t="n">
        <f aca="false">IF(F1793&lt;(Inputs!$E$15-Inputs!$D$15)/(Inputs!$F$15-Inputs!$D$15),Inputs!$D$15+SQRT(F1793*(Inputs!$F$15-Inputs!$D$15)*(Inputs!$E$15-Inputs!$D$15)),Inputs!$F$15-SQRT((1-F1793)*(Inputs!$F$15-Inputs!$D$15)*(Inputs!$F$15-Inputs!$E$15)))</f>
        <v>0.711738310088197</v>
      </c>
      <c r="H1793" s="81" t="n">
        <f aca="true">RAND()</f>
        <v>0.105047334469102</v>
      </c>
      <c r="I1793" s="82" t="n">
        <f aca="false">ROUND(IF(H1793&lt;(Inputs!$E$17-Inputs!$D$17)/(Inputs!$F$17-Inputs!$D$17),Inputs!$D$17+SQRT(H1793*(Inputs!$F$17-Inputs!$D$17)*(Inputs!$E$17-Inputs!$D$17)),Inputs!$F$17-SQRT((1-H1793)*(Inputs!$F$17-Inputs!$D$17)*(Inputs!$F$17-Inputs!$E$17))),0)</f>
        <v>103</v>
      </c>
      <c r="J1793" s="81" t="n">
        <f aca="true">RAND()</f>
        <v>0.367577143973883</v>
      </c>
      <c r="K1793" s="83" t="n">
        <f aca="false">IF(J1793&lt;(Inputs!$E$18-Inputs!$D$18)/(Inputs!$F$18-Inputs!$D$18),Inputs!$D$18+SQRT(J1793*(Inputs!$F$18-Inputs!$D$18)*(Inputs!$E$18-Inputs!$D$18)),Inputs!$F$18-SQRT((1-J1793)*(Inputs!$F$18-Inputs!$D$18)*(Inputs!$F$18-Inputs!$E$18)))</f>
        <v>1.014761823034</v>
      </c>
      <c r="L1793" s="81" t="n">
        <f aca="true">RAND()</f>
        <v>0.672706736188286</v>
      </c>
      <c r="M1793" s="83" t="n">
        <f aca="false">IF(L1793&lt;(Inputs!$E$24-Inputs!$D$24)/(Inputs!$F$24-Inputs!$D$24),Inputs!$D$24+SQRT(L1793*(Inputs!$F$24-Inputs!$D$24)*(Inputs!$E$24-Inputs!$D$24)),Inputs!$F$24-SQRT((1-L1793)*(Inputs!$F$24-Inputs!$D$24)*(Inputs!$F$24-Inputs!$E$24)))</f>
        <v>0.919731587019137</v>
      </c>
      <c r="N1793" s="81" t="n">
        <f aca="true">RAND()</f>
        <v>0.909892165015628</v>
      </c>
      <c r="O1793" s="83" t="n">
        <f aca="false">IF(N1793&lt;(Inputs!$E$26-Inputs!$D$26)/(Inputs!$F$26-Inputs!$D$26),Inputs!$D$26+SQRT(N1793*(Inputs!$F$26-Inputs!$D$26)*(Inputs!$E$26-Inputs!$D$26)),Inputs!$F$26-SQRT((1-N1793)*(Inputs!$F$26-Inputs!$D$26)*(Inputs!$F$26-Inputs!$E$26)))</f>
        <v>0.723194964808773</v>
      </c>
      <c r="P1793" s="81" t="n">
        <f aca="true">RAND()</f>
        <v>0.149795993017116</v>
      </c>
      <c r="Q1793" s="82" t="n">
        <f aca="false">IF(P1793&lt;(Inputs!$E$27-Inputs!$D$27)/(Inputs!$F$27-Inputs!$D$27),Inputs!$D$27+SQRT(P1793*(Inputs!$F$27-Inputs!$D$27)*(Inputs!$E$27-Inputs!$D$27)),Inputs!$F$27-SQRT((1-P1793)*(Inputs!$F$27-Inputs!$D$27)*(Inputs!$F$27-Inputs!$E$27)))</f>
        <v>69.3517436563941</v>
      </c>
      <c r="R1793" s="81" t="n">
        <f aca="true">RAND()</f>
        <v>0.682723239479208</v>
      </c>
      <c r="S1793" s="82" t="n">
        <f aca="false">IF(R1793&lt;(Inputs!$E$29-Inputs!$D$29)/(Inputs!$F$29-Inputs!$D$29),Inputs!$D$29+SQRT(R1793*(Inputs!$F$29-Inputs!$D$29)*(Inputs!$E$29-Inputs!$D$29)),Inputs!$F$29-SQRT((1-R1793)*(Inputs!$F$29-Inputs!$D$29)*(Inputs!$F$29-Inputs!$E$29)))</f>
        <v>8.57769676302163</v>
      </c>
      <c r="T1793" s="68" t="n">
        <f aca="false">Inputs!$E$9*(1+E1793)+Inputs!$E$5*C1793*(Inputs!$E$11*Inputs!$E$14*(G1793*I1793/Inputs!$E$16+(1-G1793))*K1793+Inputs!$E$23*M1793)*(1+O1793)+Inputs!$E$5*(Q1793+S1793)</f>
        <v>6163.01304060619</v>
      </c>
    </row>
    <row r="1794" customFormat="false" ht="15" hidden="false" customHeight="false" outlineLevel="0" collapsed="false">
      <c r="A1794" s="1" t="n">
        <v>1790</v>
      </c>
      <c r="B1794" s="81" t="n">
        <f aca="true">RAND()</f>
        <v>0.593255081016616</v>
      </c>
      <c r="C1794" s="82" t="n">
        <f aca="false">ROUND(IF(B1794&lt;(Inputs!$E$8-Inputs!$D$8)/(Inputs!$F$8-Inputs!$D$8),Inputs!$D$8+SQRT(B1794*(Inputs!$F$8-Inputs!$D$8)*(Inputs!$E$8-Inputs!$D$8)),Inputs!$F$8-SQRT((1-B1794)*(Inputs!$F$8-Inputs!$D$8)*(Inputs!$F$8-Inputs!$E$8))),0)</f>
        <v>25</v>
      </c>
      <c r="D1794" s="81" t="n">
        <f aca="true">RAND()</f>
        <v>0.00949078918343711</v>
      </c>
      <c r="E1794" s="83" t="n">
        <f aca="false">IF(D1794&lt;(Inputs!$E$10-Inputs!$D$10)/(Inputs!$F$10-Inputs!$D$10),Inputs!$D$10+SQRT(D1794*(Inputs!$F$10-Inputs!$D$10)*(Inputs!$E$10-Inputs!$D$10)),Inputs!$F$10-SQRT((1-D1794)*(Inputs!$F$10-Inputs!$D$10)*(Inputs!$F$10-Inputs!$E$10)))</f>
        <v>0.00974206814974988</v>
      </c>
      <c r="F1794" s="81" t="n">
        <f aca="true">RAND()</f>
        <v>0.451568385412373</v>
      </c>
      <c r="G1794" s="83" t="n">
        <f aca="false">IF(F1794&lt;(Inputs!$E$15-Inputs!$D$15)/(Inputs!$F$15-Inputs!$D$15),Inputs!$D$15+SQRT(F1794*(Inputs!$F$15-Inputs!$D$15)*(Inputs!$E$15-Inputs!$D$15)),Inputs!$F$15-SQRT((1-F1794)*(Inputs!$F$15-Inputs!$D$15)*(Inputs!$F$15-Inputs!$E$15)))</f>
        <v>0.695033508344412</v>
      </c>
      <c r="H1794" s="81" t="n">
        <f aca="true">RAND()</f>
        <v>0.601567045740471</v>
      </c>
      <c r="I1794" s="82" t="n">
        <f aca="false">ROUND(IF(H1794&lt;(Inputs!$E$17-Inputs!$D$17)/(Inputs!$F$17-Inputs!$D$17),Inputs!$D$17+SQRT(H1794*(Inputs!$F$17-Inputs!$D$17)*(Inputs!$E$17-Inputs!$D$17)),Inputs!$F$17-SQRT((1-H1794)*(Inputs!$F$17-Inputs!$D$17)*(Inputs!$F$17-Inputs!$E$17))),0)</f>
        <v>107</v>
      </c>
      <c r="J1794" s="81" t="n">
        <f aca="true">RAND()</f>
        <v>0.820262275865971</v>
      </c>
      <c r="K1794" s="83" t="n">
        <f aca="false">IF(J1794&lt;(Inputs!$E$18-Inputs!$D$18)/(Inputs!$F$18-Inputs!$D$18),Inputs!$D$18+SQRT(J1794*(Inputs!$F$18-Inputs!$D$18)*(Inputs!$E$18-Inputs!$D$18)),Inputs!$F$18-SQRT((1-J1794)*(Inputs!$F$18-Inputs!$D$18)*(Inputs!$F$18-Inputs!$E$18)))</f>
        <v>1.12459246090554</v>
      </c>
      <c r="L1794" s="81" t="n">
        <f aca="true">RAND()</f>
        <v>0.695609216020737</v>
      </c>
      <c r="M1794" s="83" t="n">
        <f aca="false">IF(L1794&lt;(Inputs!$E$24-Inputs!$D$24)/(Inputs!$F$24-Inputs!$D$24),Inputs!$D$24+SQRT(L1794*(Inputs!$F$24-Inputs!$D$24)*(Inputs!$E$24-Inputs!$D$24)),Inputs!$F$24-SQRT((1-L1794)*(Inputs!$F$24-Inputs!$D$24)*(Inputs!$F$24-Inputs!$E$24)))</f>
        <v>0.929715357160228</v>
      </c>
      <c r="N1794" s="81" t="n">
        <f aca="true">RAND()</f>
        <v>0.494473811659275</v>
      </c>
      <c r="O1794" s="83" t="n">
        <f aca="false">IF(N1794&lt;(Inputs!$E$26-Inputs!$D$26)/(Inputs!$F$26-Inputs!$D$26),Inputs!$D$26+SQRT(N1794*(Inputs!$F$26-Inputs!$D$26)*(Inputs!$E$26-Inputs!$D$26)),Inputs!$F$26-SQRT((1-N1794)*(Inputs!$F$26-Inputs!$D$26)*(Inputs!$F$26-Inputs!$E$26)))</f>
        <v>0.586845676732461</v>
      </c>
      <c r="P1794" s="81" t="n">
        <f aca="true">RAND()</f>
        <v>0.548449374827613</v>
      </c>
      <c r="Q1794" s="82" t="n">
        <f aca="false">IF(P1794&lt;(Inputs!$E$27-Inputs!$D$27)/(Inputs!$F$27-Inputs!$D$27),Inputs!$D$27+SQRT(P1794*(Inputs!$F$27-Inputs!$D$27)*(Inputs!$E$27-Inputs!$D$27)),Inputs!$F$27-SQRT((1-P1794)*(Inputs!$F$27-Inputs!$D$27)*(Inputs!$F$27-Inputs!$E$27)))</f>
        <v>91.8052434596303</v>
      </c>
      <c r="R1794" s="81" t="n">
        <f aca="true">RAND()</f>
        <v>0.0343301784439655</v>
      </c>
      <c r="S1794" s="82" t="n">
        <f aca="false">IF(R1794&lt;(Inputs!$E$29-Inputs!$D$29)/(Inputs!$F$29-Inputs!$D$29),Inputs!$D$29+SQRT(R1794*(Inputs!$F$29-Inputs!$D$29)*(Inputs!$E$29-Inputs!$D$29)),Inputs!$F$29-SQRT((1-R1794)*(Inputs!$F$29-Inputs!$D$29)*(Inputs!$F$29-Inputs!$E$29)))</f>
        <v>3.15709850890693</v>
      </c>
      <c r="T1794" s="68" t="n">
        <f aca="false">Inputs!$E$9*(1+E1794)+Inputs!$E$5*C1794*(Inputs!$E$11*Inputs!$E$14*(G1794*I1794/Inputs!$E$16+(1-G1794))*K1794+Inputs!$E$23*M1794)*(1+O1794)+Inputs!$E$5*(Q1794+S1794)</f>
        <v>6440.15942019067</v>
      </c>
    </row>
    <row r="1795" customFormat="false" ht="15" hidden="false" customHeight="false" outlineLevel="0" collapsed="false">
      <c r="A1795" s="1" t="n">
        <v>1791</v>
      </c>
      <c r="B1795" s="81" t="n">
        <f aca="true">RAND()</f>
        <v>0.843727211676678</v>
      </c>
      <c r="C1795" s="82" t="n">
        <f aca="false">ROUND(IF(B1795&lt;(Inputs!$E$8-Inputs!$D$8)/(Inputs!$F$8-Inputs!$D$8),Inputs!$D$8+SQRT(B1795*(Inputs!$F$8-Inputs!$D$8)*(Inputs!$E$8-Inputs!$D$8)),Inputs!$F$8-SQRT((1-B1795)*(Inputs!$F$8-Inputs!$D$8)*(Inputs!$F$8-Inputs!$E$8))),0)</f>
        <v>27</v>
      </c>
      <c r="D1795" s="81" t="n">
        <f aca="true">RAND()</f>
        <v>0.694074258226543</v>
      </c>
      <c r="E1795" s="83" t="n">
        <f aca="false">IF(D1795&lt;(Inputs!$E$10-Inputs!$D$10)/(Inputs!$F$10-Inputs!$D$10),Inputs!$D$10+SQRT(D1795*(Inputs!$F$10-Inputs!$D$10)*(Inputs!$E$10-Inputs!$D$10)),Inputs!$F$10-SQRT((1-D1795)*(Inputs!$F$10-Inputs!$D$10)*(Inputs!$F$10-Inputs!$E$10)))</f>
        <v>0.104199309745682</v>
      </c>
      <c r="F1795" s="81" t="n">
        <f aca="true">RAND()</f>
        <v>0.353012538029916</v>
      </c>
      <c r="G1795" s="83" t="n">
        <f aca="false">IF(F1795&lt;(Inputs!$E$15-Inputs!$D$15)/(Inputs!$F$15-Inputs!$D$15),Inputs!$D$15+SQRT(F1795*(Inputs!$F$15-Inputs!$D$15)*(Inputs!$E$15-Inputs!$D$15)),Inputs!$F$15-SQRT((1-F1795)*(Inputs!$F$15-Inputs!$D$15)*(Inputs!$F$15-Inputs!$E$15)))</f>
        <v>0.68402529833686</v>
      </c>
      <c r="H1795" s="81" t="n">
        <f aca="true">RAND()</f>
        <v>0.674586723668935</v>
      </c>
      <c r="I1795" s="82" t="n">
        <f aca="false">ROUND(IF(H1795&lt;(Inputs!$E$17-Inputs!$D$17)/(Inputs!$F$17-Inputs!$D$17),Inputs!$D$17+SQRT(H1795*(Inputs!$F$17-Inputs!$D$17)*(Inputs!$E$17-Inputs!$D$17)),Inputs!$F$17-SQRT((1-H1795)*(Inputs!$F$17-Inputs!$D$17)*(Inputs!$F$17-Inputs!$E$17))),0)</f>
        <v>108</v>
      </c>
      <c r="J1795" s="81" t="n">
        <f aca="true">RAND()</f>
        <v>0.880464990059594</v>
      </c>
      <c r="K1795" s="83" t="n">
        <f aca="false">IF(J1795&lt;(Inputs!$E$18-Inputs!$D$18)/(Inputs!$F$18-Inputs!$D$18),Inputs!$D$18+SQRT(J1795*(Inputs!$F$18-Inputs!$D$18)*(Inputs!$E$18-Inputs!$D$18)),Inputs!$F$18-SQRT((1-J1795)*(Inputs!$F$18-Inputs!$D$18)*(Inputs!$F$18-Inputs!$E$18)))</f>
        <v>1.14772921546314</v>
      </c>
      <c r="L1795" s="81" t="n">
        <f aca="true">RAND()</f>
        <v>0.647636419368124</v>
      </c>
      <c r="M1795" s="83" t="n">
        <f aca="false">IF(L1795&lt;(Inputs!$E$24-Inputs!$D$24)/(Inputs!$F$24-Inputs!$D$24),Inputs!$D$24+SQRT(L1795*(Inputs!$F$24-Inputs!$D$24)*(Inputs!$E$24-Inputs!$D$24)),Inputs!$F$24-SQRT((1-L1795)*(Inputs!$F$24-Inputs!$D$24)*(Inputs!$F$24-Inputs!$E$24)))</f>
        <v>0.909195496335338</v>
      </c>
      <c r="N1795" s="81" t="n">
        <f aca="true">RAND()</f>
        <v>0.807646083187875</v>
      </c>
      <c r="O1795" s="83" t="n">
        <f aca="false">IF(N1795&lt;(Inputs!$E$26-Inputs!$D$26)/(Inputs!$F$26-Inputs!$D$26),Inputs!$D$26+SQRT(N1795*(Inputs!$F$26-Inputs!$D$26)*(Inputs!$E$26-Inputs!$D$26)),Inputs!$F$26-SQRT((1-N1795)*(Inputs!$F$26-Inputs!$D$26)*(Inputs!$F$26-Inputs!$E$26)))</f>
        <v>0.67856164824044</v>
      </c>
      <c r="P1795" s="81" t="n">
        <f aca="true">RAND()</f>
        <v>0.311420453167347</v>
      </c>
      <c r="Q1795" s="82" t="n">
        <f aca="false">IF(P1795&lt;(Inputs!$E$27-Inputs!$D$27)/(Inputs!$F$27-Inputs!$D$27),Inputs!$D$27+SQRT(P1795*(Inputs!$F$27-Inputs!$D$27)*(Inputs!$E$27-Inputs!$D$27)),Inputs!$F$27-SQRT((1-P1795)*(Inputs!$F$27-Inputs!$D$27)*(Inputs!$F$27-Inputs!$E$27)))</f>
        <v>78.1366115379681</v>
      </c>
      <c r="R1795" s="81" t="n">
        <f aca="true">RAND()</f>
        <v>0.33567454591035</v>
      </c>
      <c r="S1795" s="82" t="n">
        <f aca="false">IF(R1795&lt;(Inputs!$E$29-Inputs!$D$29)/(Inputs!$F$29-Inputs!$D$29),Inputs!$D$29+SQRT(R1795*(Inputs!$F$29-Inputs!$D$29)*(Inputs!$E$29-Inputs!$D$29)),Inputs!$F$29-SQRT((1-R1795)*(Inputs!$F$29-Inputs!$D$29)*(Inputs!$F$29-Inputs!$E$29)))</f>
        <v>5.70686764155086</v>
      </c>
      <c r="T1795" s="68" t="n">
        <f aca="false">Inputs!$E$9*(1+E1795)+Inputs!$E$5*C1795*(Inputs!$E$11*Inputs!$E$14*(G1795*I1795/Inputs!$E$16+(1-G1795))*K1795+Inputs!$E$23*M1795)*(1+O1795)+Inputs!$E$5*(Q1795+S1795)</f>
        <v>7182.9236398148</v>
      </c>
    </row>
    <row r="1796" customFormat="false" ht="15" hidden="false" customHeight="false" outlineLevel="0" collapsed="false">
      <c r="A1796" s="1" t="n">
        <v>1792</v>
      </c>
      <c r="B1796" s="81" t="n">
        <f aca="true">RAND()</f>
        <v>0.0684411214379302</v>
      </c>
      <c r="C1796" s="82" t="n">
        <f aca="false">ROUND(IF(B1796&lt;(Inputs!$E$8-Inputs!$D$8)/(Inputs!$F$8-Inputs!$D$8),Inputs!$D$8+SQRT(B1796*(Inputs!$F$8-Inputs!$D$8)*(Inputs!$E$8-Inputs!$D$8)),Inputs!$F$8-SQRT((1-B1796)*(Inputs!$F$8-Inputs!$D$8)*(Inputs!$F$8-Inputs!$E$8))),0)</f>
        <v>22</v>
      </c>
      <c r="D1796" s="81" t="n">
        <f aca="true">RAND()</f>
        <v>0.800251336112057</v>
      </c>
      <c r="E1796" s="83" t="n">
        <f aca="false">IF(D1796&lt;(Inputs!$E$10-Inputs!$D$10)/(Inputs!$F$10-Inputs!$D$10),Inputs!$D$10+SQRT(D1796*(Inputs!$F$10-Inputs!$D$10)*(Inputs!$E$10-Inputs!$D$10)),Inputs!$F$10-SQRT((1-D1796)*(Inputs!$F$10-Inputs!$D$10)*(Inputs!$F$10-Inputs!$E$10)))</f>
        <v>0.122589019405266</v>
      </c>
      <c r="F1796" s="81" t="n">
        <f aca="true">RAND()</f>
        <v>0.449025331514995</v>
      </c>
      <c r="G1796" s="83" t="n">
        <f aca="false">IF(F1796&lt;(Inputs!$E$15-Inputs!$D$15)/(Inputs!$F$15-Inputs!$D$15),Inputs!$D$15+SQRT(F1796*(Inputs!$F$15-Inputs!$D$15)*(Inputs!$E$15-Inputs!$D$15)),Inputs!$F$15-SQRT((1-F1796)*(Inputs!$F$15-Inputs!$D$15)*(Inputs!$F$15-Inputs!$E$15)))</f>
        <v>0.694765535034104</v>
      </c>
      <c r="H1796" s="81" t="n">
        <f aca="true">RAND()</f>
        <v>0.732438058957163</v>
      </c>
      <c r="I1796" s="82" t="n">
        <f aca="false">ROUND(IF(H1796&lt;(Inputs!$E$17-Inputs!$D$17)/(Inputs!$F$17-Inputs!$D$17),Inputs!$D$17+SQRT(H1796*(Inputs!$F$17-Inputs!$D$17)*(Inputs!$E$17-Inputs!$D$17)),Inputs!$F$17-SQRT((1-H1796)*(Inputs!$F$17-Inputs!$D$17)*(Inputs!$F$17-Inputs!$E$17))),0)</f>
        <v>109</v>
      </c>
      <c r="J1796" s="81" t="n">
        <f aca="true">RAND()</f>
        <v>0.235158425669599</v>
      </c>
      <c r="K1796" s="83" t="n">
        <f aca="false">IF(J1796&lt;(Inputs!$E$18-Inputs!$D$18)/(Inputs!$F$18-Inputs!$D$18),Inputs!$D$18+SQRT(J1796*(Inputs!$F$18-Inputs!$D$18)*(Inputs!$E$18-Inputs!$D$18)),Inputs!$F$18-SQRT((1-J1796)*(Inputs!$F$18-Inputs!$D$18)*(Inputs!$F$18-Inputs!$E$18)))</f>
        <v>0.990722350600257</v>
      </c>
      <c r="L1796" s="81" t="n">
        <f aca="true">RAND()</f>
        <v>0.785594514209068</v>
      </c>
      <c r="M1796" s="83" t="n">
        <f aca="false">IF(L1796&lt;(Inputs!$E$24-Inputs!$D$24)/(Inputs!$F$24-Inputs!$D$24),Inputs!$D$24+SQRT(L1796*(Inputs!$F$24-Inputs!$D$24)*(Inputs!$E$24-Inputs!$D$24)),Inputs!$F$24-SQRT((1-L1796)*(Inputs!$F$24-Inputs!$D$24)*(Inputs!$F$24-Inputs!$E$24)))</f>
        <v>0.9731579479245</v>
      </c>
      <c r="N1796" s="81" t="n">
        <f aca="true">RAND()</f>
        <v>0.300665032950904</v>
      </c>
      <c r="O1796" s="83" t="n">
        <f aca="false">IF(N1796&lt;(Inputs!$E$26-Inputs!$D$26)/(Inputs!$F$26-Inputs!$D$26),Inputs!$D$26+SQRT(N1796*(Inputs!$F$26-Inputs!$D$26)*(Inputs!$E$26-Inputs!$D$26)),Inputs!$F$26-SQRT((1-N1796)*(Inputs!$F$26-Inputs!$D$26)*(Inputs!$F$26-Inputs!$E$26)))</f>
        <v>0.523675348402613</v>
      </c>
      <c r="P1796" s="81" t="n">
        <f aca="true">RAND()</f>
        <v>0.38949003174897</v>
      </c>
      <c r="Q1796" s="82" t="n">
        <f aca="false">IF(P1796&lt;(Inputs!$E$27-Inputs!$D$27)/(Inputs!$F$27-Inputs!$D$27),Inputs!$D$27+SQRT(P1796*(Inputs!$F$27-Inputs!$D$27)*(Inputs!$E$27-Inputs!$D$27)),Inputs!$F$27-SQRT((1-P1796)*(Inputs!$F$27-Inputs!$D$27)*(Inputs!$F$27-Inputs!$E$27)))</f>
        <v>82.3329861610347</v>
      </c>
      <c r="R1796" s="81" t="n">
        <f aca="true">RAND()</f>
        <v>0.196402572822838</v>
      </c>
      <c r="S1796" s="82" t="n">
        <f aca="false">IF(R1796&lt;(Inputs!$E$29-Inputs!$D$29)/(Inputs!$F$29-Inputs!$D$29),Inputs!$D$29+SQRT(R1796*(Inputs!$F$29-Inputs!$D$29)*(Inputs!$E$29-Inputs!$D$29)),Inputs!$F$29-SQRT((1-R1796)*(Inputs!$F$29-Inputs!$D$29)*(Inputs!$F$29-Inputs!$E$29)))</f>
        <v>4.76761636432702</v>
      </c>
      <c r="T1796" s="68" t="n">
        <f aca="false">Inputs!$E$9*(1+E1796)+Inputs!$E$5*C1796*(Inputs!$E$11*Inputs!$E$14*(G1796*I1796/Inputs!$E$16+(1-G1796))*K1796+Inputs!$E$23*M1796)*(1+O1796)+Inputs!$E$5*(Q1796+S1796)</f>
        <v>5895.78724930261</v>
      </c>
    </row>
    <row r="1797" customFormat="false" ht="15" hidden="false" customHeight="false" outlineLevel="0" collapsed="false">
      <c r="A1797" s="1" t="n">
        <v>1793</v>
      </c>
      <c r="B1797" s="81" t="n">
        <f aca="true">RAND()</f>
        <v>0.581190060457549</v>
      </c>
      <c r="C1797" s="82" t="n">
        <f aca="false">ROUND(IF(B1797&lt;(Inputs!$E$8-Inputs!$D$8)/(Inputs!$F$8-Inputs!$D$8),Inputs!$D$8+SQRT(B1797*(Inputs!$F$8-Inputs!$D$8)*(Inputs!$E$8-Inputs!$D$8)),Inputs!$F$8-SQRT((1-B1797)*(Inputs!$F$8-Inputs!$D$8)*(Inputs!$F$8-Inputs!$E$8))),0)</f>
        <v>25</v>
      </c>
      <c r="D1797" s="81" t="n">
        <f aca="true">RAND()</f>
        <v>0.14678346119313</v>
      </c>
      <c r="E1797" s="83" t="n">
        <f aca="false">IF(D1797&lt;(Inputs!$E$10-Inputs!$D$10)/(Inputs!$F$10-Inputs!$D$10),Inputs!$D$10+SQRT(D1797*(Inputs!$F$10-Inputs!$D$10)*(Inputs!$E$10-Inputs!$D$10)),Inputs!$F$10-SQRT((1-D1797)*(Inputs!$F$10-Inputs!$D$10)*(Inputs!$F$10-Inputs!$E$10)))</f>
        <v>0.0383123297638149</v>
      </c>
      <c r="F1797" s="81" t="n">
        <f aca="true">RAND()</f>
        <v>0.137827159094694</v>
      </c>
      <c r="G1797" s="83" t="n">
        <f aca="false">IF(F1797&lt;(Inputs!$E$15-Inputs!$D$15)/(Inputs!$F$15-Inputs!$D$15),Inputs!$D$15+SQRT(F1797*(Inputs!$F$15-Inputs!$D$15)*(Inputs!$E$15-Inputs!$D$15)),Inputs!$F$15-SQRT((1-F1797)*(Inputs!$F$15-Inputs!$D$15)*(Inputs!$F$15-Inputs!$E$15)))</f>
        <v>0.652502792134265</v>
      </c>
      <c r="H1797" s="81" t="n">
        <f aca="true">RAND()</f>
        <v>0.315789667241001</v>
      </c>
      <c r="I1797" s="82" t="n">
        <f aca="false">ROUND(IF(H1797&lt;(Inputs!$E$17-Inputs!$D$17)/(Inputs!$F$17-Inputs!$D$17),Inputs!$D$17+SQRT(H1797*(Inputs!$F$17-Inputs!$D$17)*(Inputs!$E$17-Inputs!$D$17)),Inputs!$F$17-SQRT((1-H1797)*(Inputs!$F$17-Inputs!$D$17)*(Inputs!$F$17-Inputs!$E$17))),0)</f>
        <v>105</v>
      </c>
      <c r="J1797" s="81" t="n">
        <f aca="true">RAND()</f>
        <v>0.216757492768253</v>
      </c>
      <c r="K1797" s="83" t="n">
        <f aca="false">IF(J1797&lt;(Inputs!$E$18-Inputs!$D$18)/(Inputs!$F$18-Inputs!$D$18),Inputs!$D$18+SQRT(J1797*(Inputs!$F$18-Inputs!$D$18)*(Inputs!$E$18-Inputs!$D$18)),Inputs!$F$18-SQRT((1-J1797)*(Inputs!$F$18-Inputs!$D$18)*(Inputs!$F$18-Inputs!$E$18)))</f>
        <v>0.987100586949164</v>
      </c>
      <c r="L1797" s="81" t="n">
        <f aca="true">RAND()</f>
        <v>0.556059952389568</v>
      </c>
      <c r="M1797" s="83" t="n">
        <f aca="false">IF(L1797&lt;(Inputs!$E$24-Inputs!$D$24)/(Inputs!$F$24-Inputs!$D$24),Inputs!$D$24+SQRT(L1797*(Inputs!$F$24-Inputs!$D$24)*(Inputs!$E$24-Inputs!$D$24)),Inputs!$F$24-SQRT((1-L1797)*(Inputs!$F$24-Inputs!$D$24)*(Inputs!$F$24-Inputs!$E$24)))</f>
        <v>0.873586747471087</v>
      </c>
      <c r="N1797" s="81" t="n">
        <f aca="true">RAND()</f>
        <v>0.316007067452282</v>
      </c>
      <c r="O1797" s="83" t="n">
        <f aca="false">IF(N1797&lt;(Inputs!$E$26-Inputs!$D$26)/(Inputs!$F$26-Inputs!$D$26),Inputs!$D$26+SQRT(N1797*(Inputs!$F$26-Inputs!$D$26)*(Inputs!$E$26-Inputs!$D$26)),Inputs!$F$26-SQRT((1-N1797)*(Inputs!$F$26-Inputs!$D$26)*(Inputs!$F$26-Inputs!$E$26)))</f>
        <v>0.529311090059028</v>
      </c>
      <c r="P1797" s="81" t="n">
        <f aca="true">RAND()</f>
        <v>0.204153649708203</v>
      </c>
      <c r="Q1797" s="82" t="n">
        <f aca="false">IF(P1797&lt;(Inputs!$E$27-Inputs!$D$27)/(Inputs!$F$27-Inputs!$D$27),Inputs!$D$27+SQRT(P1797*(Inputs!$F$27-Inputs!$D$27)*(Inputs!$E$27-Inputs!$D$27)),Inputs!$F$27-SQRT((1-P1797)*(Inputs!$F$27-Inputs!$D$27)*(Inputs!$F$27-Inputs!$E$27)))</f>
        <v>72.5916826347775</v>
      </c>
      <c r="R1797" s="81" t="n">
        <f aca="true">RAND()</f>
        <v>0.330889439632699</v>
      </c>
      <c r="S1797" s="82" t="n">
        <f aca="false">IF(R1797&lt;(Inputs!$E$29-Inputs!$D$29)/(Inputs!$F$29-Inputs!$D$29),Inputs!$D$29+SQRT(R1797*(Inputs!$F$29-Inputs!$D$29)*(Inputs!$E$29-Inputs!$D$29)),Inputs!$F$29-SQRT((1-R1797)*(Inputs!$F$29-Inputs!$D$29)*(Inputs!$F$29-Inputs!$E$29)))</f>
        <v>5.67345868782274</v>
      </c>
      <c r="T1797" s="68" t="n">
        <f aca="false">Inputs!$E$9*(1+E1797)+Inputs!$E$5*C1797*(Inputs!$E$11*Inputs!$E$14*(G1797*I1797/Inputs!$E$16+(1-G1797))*K1797+Inputs!$E$23*M1797)*(1+O1797)+Inputs!$E$5*(Q1797+S1797)</f>
        <v>5952.69420964001</v>
      </c>
    </row>
    <row r="1798" customFormat="false" ht="15" hidden="false" customHeight="false" outlineLevel="0" collapsed="false">
      <c r="A1798" s="1" t="n">
        <v>1794</v>
      </c>
      <c r="B1798" s="81" t="n">
        <f aca="true">RAND()</f>
        <v>0.528586193661493</v>
      </c>
      <c r="C1798" s="82" t="n">
        <f aca="false">ROUND(IF(B1798&lt;(Inputs!$E$8-Inputs!$D$8)/(Inputs!$F$8-Inputs!$D$8),Inputs!$D$8+SQRT(B1798*(Inputs!$F$8-Inputs!$D$8)*(Inputs!$E$8-Inputs!$D$8)),Inputs!$F$8-SQRT((1-B1798)*(Inputs!$F$8-Inputs!$D$8)*(Inputs!$F$8-Inputs!$E$8))),0)</f>
        <v>25</v>
      </c>
      <c r="D1798" s="81" t="n">
        <f aca="true">RAND()</f>
        <v>0.246995382769334</v>
      </c>
      <c r="E1798" s="83" t="n">
        <f aca="false">IF(D1798&lt;(Inputs!$E$10-Inputs!$D$10)/(Inputs!$F$10-Inputs!$D$10),Inputs!$D$10+SQRT(D1798*(Inputs!$F$10-Inputs!$D$10)*(Inputs!$E$10-Inputs!$D$10)),Inputs!$F$10-SQRT((1-D1798)*(Inputs!$F$10-Inputs!$D$10)*(Inputs!$F$10-Inputs!$E$10)))</f>
        <v>0.0496986300383959</v>
      </c>
      <c r="F1798" s="81" t="n">
        <f aca="true">RAND()</f>
        <v>0.385361206483233</v>
      </c>
      <c r="G1798" s="83" t="n">
        <f aca="false">IF(F1798&lt;(Inputs!$E$15-Inputs!$D$15)/(Inputs!$F$15-Inputs!$D$15),Inputs!$D$15+SQRT(F1798*(Inputs!$F$15-Inputs!$D$15)*(Inputs!$E$15-Inputs!$D$15)),Inputs!$F$15-SQRT((1-F1798)*(Inputs!$F$15-Inputs!$D$15)*(Inputs!$F$15-Inputs!$E$15)))</f>
        <v>0.68779079752266</v>
      </c>
      <c r="H1798" s="81" t="n">
        <f aca="true">RAND()</f>
        <v>0.080702117259803</v>
      </c>
      <c r="I1798" s="82" t="n">
        <f aca="false">ROUND(IF(H1798&lt;(Inputs!$E$17-Inputs!$D$17)/(Inputs!$F$17-Inputs!$D$17),Inputs!$D$17+SQRT(H1798*(Inputs!$F$17-Inputs!$D$17)*(Inputs!$E$17-Inputs!$D$17)),Inputs!$F$17-SQRT((1-H1798)*(Inputs!$F$17-Inputs!$D$17)*(Inputs!$F$17-Inputs!$E$17))),0)</f>
        <v>102</v>
      </c>
      <c r="J1798" s="81" t="n">
        <f aca="true">RAND()</f>
        <v>0.246532514247997</v>
      </c>
      <c r="K1798" s="83" t="n">
        <f aca="false">IF(J1798&lt;(Inputs!$E$18-Inputs!$D$18)/(Inputs!$F$18-Inputs!$D$18),Inputs!$D$18+SQRT(J1798*(Inputs!$F$18-Inputs!$D$18)*(Inputs!$E$18-Inputs!$D$18)),Inputs!$F$18-SQRT((1-J1798)*(Inputs!$F$18-Inputs!$D$18)*(Inputs!$F$18-Inputs!$E$18)))</f>
        <v>0.992890462366596</v>
      </c>
      <c r="L1798" s="81" t="n">
        <f aca="true">RAND()</f>
        <v>0.168201280550492</v>
      </c>
      <c r="M1798" s="83" t="n">
        <f aca="false">IF(L1798&lt;(Inputs!$E$24-Inputs!$D$24)/(Inputs!$F$24-Inputs!$D$24),Inputs!$D$24+SQRT(L1798*(Inputs!$F$24-Inputs!$D$24)*(Inputs!$E$24-Inputs!$D$24)),Inputs!$F$24-SQRT((1-L1798)*(Inputs!$F$24-Inputs!$D$24)*(Inputs!$F$24-Inputs!$E$24)))</f>
        <v>0.742070945889929</v>
      </c>
      <c r="N1798" s="81" t="n">
        <f aca="true">RAND()</f>
        <v>0.87834176611566</v>
      </c>
      <c r="O1798" s="83" t="n">
        <f aca="false">IF(N1798&lt;(Inputs!$E$26-Inputs!$D$26)/(Inputs!$F$26-Inputs!$D$26),Inputs!$D$26+SQRT(N1798*(Inputs!$F$26-Inputs!$D$26)*(Inputs!$E$26-Inputs!$D$26)),Inputs!$F$26-SQRT((1-N1798)*(Inputs!$F$26-Inputs!$D$26)*(Inputs!$F$26-Inputs!$E$26)))</f>
        <v>0.707516862046032</v>
      </c>
      <c r="P1798" s="81" t="n">
        <f aca="true">RAND()</f>
        <v>0.785287924115813</v>
      </c>
      <c r="Q1798" s="82" t="n">
        <f aca="false">IF(P1798&lt;(Inputs!$E$27-Inputs!$D$27)/(Inputs!$F$27-Inputs!$D$27),Inputs!$D$27+SQRT(P1798*(Inputs!$F$27-Inputs!$D$27)*(Inputs!$E$27-Inputs!$D$27)),Inputs!$F$27-SQRT((1-P1798)*(Inputs!$F$27-Inputs!$D$27)*(Inputs!$F$27-Inputs!$E$27)))</f>
        <v>109.870951056231</v>
      </c>
      <c r="R1798" s="81" t="n">
        <f aca="true">RAND()</f>
        <v>0.659514839384793</v>
      </c>
      <c r="S1798" s="82" t="n">
        <f aca="false">IF(R1798&lt;(Inputs!$E$29-Inputs!$D$29)/(Inputs!$F$29-Inputs!$D$29),Inputs!$D$29+SQRT(R1798*(Inputs!$F$29-Inputs!$D$29)*(Inputs!$E$29-Inputs!$D$29)),Inputs!$F$29-SQRT((1-R1798)*(Inputs!$F$29-Inputs!$D$29)*(Inputs!$F$29-Inputs!$E$29)))</f>
        <v>8.34695025721459</v>
      </c>
      <c r="T1798" s="68" t="n">
        <f aca="false">Inputs!$E$9*(1+E1798)+Inputs!$E$5*C1798*(Inputs!$E$11*Inputs!$E$14*(G1798*I1798/Inputs!$E$16+(1-G1798))*K1798+Inputs!$E$23*M1798)*(1+O1798)+Inputs!$E$5*(Q1798+S1798)</f>
        <v>6286.67121911913</v>
      </c>
    </row>
    <row r="1799" customFormat="false" ht="15" hidden="false" customHeight="false" outlineLevel="0" collapsed="false">
      <c r="A1799" s="1" t="n">
        <v>1795</v>
      </c>
      <c r="B1799" s="81" t="n">
        <f aca="true">RAND()</f>
        <v>0.998021353738687</v>
      </c>
      <c r="C1799" s="82" t="n">
        <f aca="false">ROUND(IF(B1799&lt;(Inputs!$E$8-Inputs!$D$8)/(Inputs!$F$8-Inputs!$D$8),Inputs!$D$8+SQRT(B1799*(Inputs!$F$8-Inputs!$D$8)*(Inputs!$E$8-Inputs!$D$8)),Inputs!$F$8-SQRT((1-B1799)*(Inputs!$F$8-Inputs!$D$8)*(Inputs!$F$8-Inputs!$E$8))),0)</f>
        <v>30</v>
      </c>
      <c r="D1799" s="81" t="n">
        <f aca="true">RAND()</f>
        <v>0.473713218529128</v>
      </c>
      <c r="E1799" s="83" t="n">
        <f aca="false">IF(D1799&lt;(Inputs!$E$10-Inputs!$D$10)/(Inputs!$F$10-Inputs!$D$10),Inputs!$D$10+SQRT(D1799*(Inputs!$F$10-Inputs!$D$10)*(Inputs!$E$10-Inputs!$D$10)),Inputs!$F$10-SQRT((1-D1799)*(Inputs!$F$10-Inputs!$D$10)*(Inputs!$F$10-Inputs!$E$10)))</f>
        <v>0.0743472903430804</v>
      </c>
      <c r="F1799" s="81" t="n">
        <f aca="true">RAND()</f>
        <v>0.95398890622119</v>
      </c>
      <c r="G1799" s="83" t="n">
        <f aca="false">IF(F1799&lt;(Inputs!$E$15-Inputs!$D$15)/(Inputs!$F$15-Inputs!$D$15),Inputs!$D$15+SQRT(F1799*(Inputs!$F$15-Inputs!$D$15)*(Inputs!$E$15-Inputs!$D$15)),Inputs!$F$15-SQRT((1-F1799)*(Inputs!$F$15-Inputs!$D$15)*(Inputs!$F$15-Inputs!$E$15)))</f>
        <v>0.769664840933725</v>
      </c>
      <c r="H1799" s="81" t="n">
        <f aca="true">RAND()</f>
        <v>0.773616965234304</v>
      </c>
      <c r="I1799" s="82" t="n">
        <f aca="false">ROUND(IF(H1799&lt;(Inputs!$E$17-Inputs!$D$17)/(Inputs!$F$17-Inputs!$D$17),Inputs!$D$17+SQRT(H1799*(Inputs!$F$17-Inputs!$D$17)*(Inputs!$E$17-Inputs!$D$17)),Inputs!$F$17-SQRT((1-H1799)*(Inputs!$F$17-Inputs!$D$17)*(Inputs!$F$17-Inputs!$E$17))),0)</f>
        <v>109</v>
      </c>
      <c r="J1799" s="81" t="n">
        <f aca="true">RAND()</f>
        <v>0.3864813604951</v>
      </c>
      <c r="K1799" s="83" t="n">
        <f aca="false">IF(J1799&lt;(Inputs!$E$18-Inputs!$D$18)/(Inputs!$F$18-Inputs!$D$18),Inputs!$D$18+SQRT(J1799*(Inputs!$F$18-Inputs!$D$18)*(Inputs!$E$18-Inputs!$D$18)),Inputs!$F$18-SQRT((1-J1799)*(Inputs!$F$18-Inputs!$D$18)*(Inputs!$F$18-Inputs!$E$18)))</f>
        <v>1.01830433548148</v>
      </c>
      <c r="L1799" s="81" t="n">
        <f aca="true">RAND()</f>
        <v>0.621224664443965</v>
      </c>
      <c r="M1799" s="83" t="n">
        <f aca="false">IF(L1799&lt;(Inputs!$E$24-Inputs!$D$24)/(Inputs!$F$24-Inputs!$D$24),Inputs!$D$24+SQRT(L1799*(Inputs!$F$24-Inputs!$D$24)*(Inputs!$E$24-Inputs!$D$24)),Inputs!$F$24-SQRT((1-L1799)*(Inputs!$F$24-Inputs!$D$24)*(Inputs!$F$24-Inputs!$E$24)))</f>
        <v>0.898493647606807</v>
      </c>
      <c r="N1799" s="81" t="n">
        <f aca="true">RAND()</f>
        <v>0.0989245020747332</v>
      </c>
      <c r="O1799" s="83" t="n">
        <f aca="false">IF(N1799&lt;(Inputs!$E$26-Inputs!$D$26)/(Inputs!$F$26-Inputs!$D$26),Inputs!$D$26+SQRT(N1799*(Inputs!$F$26-Inputs!$D$26)*(Inputs!$E$26-Inputs!$D$26)),Inputs!$F$26-SQRT((1-N1799)*(Inputs!$F$26-Inputs!$D$26)*(Inputs!$F$26-Inputs!$E$26)))</f>
        <v>0.42830057344079</v>
      </c>
      <c r="P1799" s="81" t="n">
        <f aca="true">RAND()</f>
        <v>0.313037965573112</v>
      </c>
      <c r="Q1799" s="82" t="n">
        <f aca="false">IF(P1799&lt;(Inputs!$E$27-Inputs!$D$27)/(Inputs!$F$27-Inputs!$D$27),Inputs!$D$27+SQRT(P1799*(Inputs!$F$27-Inputs!$D$27)*(Inputs!$E$27-Inputs!$D$27)),Inputs!$F$27-SQRT((1-P1799)*(Inputs!$F$27-Inputs!$D$27)*(Inputs!$F$27-Inputs!$E$27)))</f>
        <v>78.2210667521336</v>
      </c>
      <c r="R1799" s="81" t="n">
        <f aca="true">RAND()</f>
        <v>0.852757712489335</v>
      </c>
      <c r="S1799" s="82" t="n">
        <f aca="false">IF(R1799&lt;(Inputs!$E$29-Inputs!$D$29)/(Inputs!$F$29-Inputs!$D$29),Inputs!$D$29+SQRT(R1799*(Inputs!$F$29-Inputs!$D$29)*(Inputs!$E$29-Inputs!$D$29)),Inputs!$F$29-SQRT((1-R1799)*(Inputs!$F$29-Inputs!$D$29)*(Inputs!$F$29-Inputs!$E$29)))</f>
        <v>10.6249003009775</v>
      </c>
      <c r="T1799" s="68" t="n">
        <f aca="false">Inputs!$E$9*(1+E1799)+Inputs!$E$5*C1799*(Inputs!$E$11*Inputs!$E$14*(G1799*I1799/Inputs!$E$16+(1-G1799))*K1799+Inputs!$E$23*M1799)*(1+O1799)+Inputs!$E$5*(Q1799+S1799)</f>
        <v>6478.18642445222</v>
      </c>
    </row>
    <row r="1800" customFormat="false" ht="15" hidden="false" customHeight="false" outlineLevel="0" collapsed="false">
      <c r="A1800" s="1" t="n">
        <v>1796</v>
      </c>
      <c r="B1800" s="81" t="n">
        <f aca="true">RAND()</f>
        <v>0.213874850493657</v>
      </c>
      <c r="C1800" s="82" t="n">
        <f aca="false">ROUND(IF(B1800&lt;(Inputs!$E$8-Inputs!$D$8)/(Inputs!$F$8-Inputs!$D$8),Inputs!$D$8+SQRT(B1800*(Inputs!$F$8-Inputs!$D$8)*(Inputs!$E$8-Inputs!$D$8)),Inputs!$F$8-SQRT((1-B1800)*(Inputs!$F$8-Inputs!$D$8)*(Inputs!$F$8-Inputs!$E$8))),0)</f>
        <v>23</v>
      </c>
      <c r="D1800" s="81" t="n">
        <f aca="true">RAND()</f>
        <v>0.0631718094725686</v>
      </c>
      <c r="E1800" s="83" t="n">
        <f aca="false">IF(D1800&lt;(Inputs!$E$10-Inputs!$D$10)/(Inputs!$F$10-Inputs!$D$10),Inputs!$D$10+SQRT(D1800*(Inputs!$F$10-Inputs!$D$10)*(Inputs!$E$10-Inputs!$D$10)),Inputs!$F$10-SQRT((1-D1800)*(Inputs!$F$10-Inputs!$D$10)*(Inputs!$F$10-Inputs!$E$10)))</f>
        <v>0.0251340027597215</v>
      </c>
      <c r="F1800" s="81" t="n">
        <f aca="true">RAND()</f>
        <v>0.159387229877914</v>
      </c>
      <c r="G1800" s="83" t="n">
        <f aca="false">IF(F1800&lt;(Inputs!$E$15-Inputs!$D$15)/(Inputs!$F$15-Inputs!$D$15),Inputs!$D$15+SQRT(F1800*(Inputs!$F$15-Inputs!$D$15)*(Inputs!$E$15-Inputs!$D$15)),Inputs!$F$15-SQRT((1-F1800)*(Inputs!$F$15-Inputs!$D$15)*(Inputs!$F$15-Inputs!$E$15)))</f>
        <v>0.656460115104012</v>
      </c>
      <c r="H1800" s="81" t="n">
        <f aca="true">RAND()</f>
        <v>0.696823436398252</v>
      </c>
      <c r="I1800" s="82" t="n">
        <f aca="false">ROUND(IF(H1800&lt;(Inputs!$E$17-Inputs!$D$17)/(Inputs!$F$17-Inputs!$D$17),Inputs!$D$17+SQRT(H1800*(Inputs!$F$17-Inputs!$D$17)*(Inputs!$E$17-Inputs!$D$17)),Inputs!$F$17-SQRT((1-H1800)*(Inputs!$F$17-Inputs!$D$17)*(Inputs!$F$17-Inputs!$E$17))),0)</f>
        <v>108</v>
      </c>
      <c r="J1800" s="81" t="n">
        <f aca="true">RAND()</f>
        <v>0.896532793803807</v>
      </c>
      <c r="K1800" s="83" t="n">
        <f aca="false">IF(J1800&lt;(Inputs!$E$18-Inputs!$D$18)/(Inputs!$F$18-Inputs!$D$18),Inputs!$D$18+SQRT(J1800*(Inputs!$F$18-Inputs!$D$18)*(Inputs!$E$18-Inputs!$D$18)),Inputs!$F$18-SQRT((1-J1800)*(Inputs!$F$18-Inputs!$D$18)*(Inputs!$F$18-Inputs!$E$18)))</f>
        <v>1.15485074597157</v>
      </c>
      <c r="L1800" s="81" t="n">
        <f aca="true">RAND()</f>
        <v>0.984160544496037</v>
      </c>
      <c r="M1800" s="83" t="n">
        <f aca="false">IF(L1800&lt;(Inputs!$E$24-Inputs!$D$24)/(Inputs!$F$24-Inputs!$D$24),Inputs!$D$24+SQRT(L1800*(Inputs!$F$24-Inputs!$D$24)*(Inputs!$E$24-Inputs!$D$24)),Inputs!$F$24-SQRT((1-L1800)*(Inputs!$F$24-Inputs!$D$24)*(Inputs!$F$24-Inputs!$E$24)))</f>
        <v>1.13834394335549</v>
      </c>
      <c r="N1800" s="81" t="n">
        <f aca="true">RAND()</f>
        <v>0.998403948696788</v>
      </c>
      <c r="O1800" s="83" t="n">
        <f aca="false">IF(N1800&lt;(Inputs!$E$26-Inputs!$D$26)/(Inputs!$F$26-Inputs!$D$26),Inputs!$D$26+SQRT(N1800*(Inputs!$F$26-Inputs!$D$26)*(Inputs!$E$26-Inputs!$D$26)),Inputs!$F$26-SQRT((1-N1800)*(Inputs!$F$26-Inputs!$D$26)*(Inputs!$F$26-Inputs!$E$26)))</f>
        <v>0.807116315141463</v>
      </c>
      <c r="P1800" s="81" t="n">
        <f aca="true">RAND()</f>
        <v>0.0534651971268093</v>
      </c>
      <c r="Q1800" s="82" t="n">
        <f aca="false">IF(P1800&lt;(Inputs!$E$27-Inputs!$D$27)/(Inputs!$F$27-Inputs!$D$27),Inputs!$D$27+SQRT(P1800*(Inputs!$F$27-Inputs!$D$27)*(Inputs!$E$27-Inputs!$D$27)),Inputs!$F$27-SQRT((1-P1800)*(Inputs!$F$27-Inputs!$D$27)*(Inputs!$F$27-Inputs!$E$27)))</f>
        <v>61.5612712457162</v>
      </c>
      <c r="R1800" s="81" t="n">
        <f aca="true">RAND()</f>
        <v>0.312535385838596</v>
      </c>
      <c r="S1800" s="82" t="n">
        <f aca="false">IF(R1800&lt;(Inputs!$E$29-Inputs!$D$29)/(Inputs!$F$29-Inputs!$D$29),Inputs!$D$29+SQRT(R1800*(Inputs!$F$29-Inputs!$D$29)*(Inputs!$E$29-Inputs!$D$29)),Inputs!$F$29-SQRT((1-R1800)*(Inputs!$F$29-Inputs!$D$29)*(Inputs!$F$29-Inputs!$E$29)))</f>
        <v>5.54640809845366</v>
      </c>
      <c r="T1800" s="68" t="n">
        <f aca="false">Inputs!$E$9*(1+E1800)+Inputs!$E$5*C1800*(Inputs!$E$11*Inputs!$E$14*(G1800*I1800/Inputs!$E$16+(1-G1800))*K1800+Inputs!$E$23*M1800)*(1+O1800)+Inputs!$E$5*(Q1800+S1800)</f>
        <v>6964.20943072319</v>
      </c>
    </row>
    <row r="1801" customFormat="false" ht="15" hidden="false" customHeight="false" outlineLevel="0" collapsed="false">
      <c r="A1801" s="1" t="n">
        <v>1797</v>
      </c>
      <c r="B1801" s="81" t="n">
        <f aca="true">RAND()</f>
        <v>0.161338513580513</v>
      </c>
      <c r="C1801" s="82" t="n">
        <f aca="false">ROUND(IF(B1801&lt;(Inputs!$E$8-Inputs!$D$8)/(Inputs!$F$8-Inputs!$D$8),Inputs!$D$8+SQRT(B1801*(Inputs!$F$8-Inputs!$D$8)*(Inputs!$E$8-Inputs!$D$8)),Inputs!$F$8-SQRT((1-B1801)*(Inputs!$F$8-Inputs!$D$8)*(Inputs!$F$8-Inputs!$E$8))),0)</f>
        <v>23</v>
      </c>
      <c r="D1801" s="81" t="n">
        <f aca="true">RAND()</f>
        <v>0.57331002983549</v>
      </c>
      <c r="E1801" s="83" t="n">
        <f aca="false">IF(D1801&lt;(Inputs!$E$10-Inputs!$D$10)/(Inputs!$F$10-Inputs!$D$10),Inputs!$D$10+SQRT(D1801*(Inputs!$F$10-Inputs!$D$10)*(Inputs!$E$10-Inputs!$D$10)),Inputs!$F$10-SQRT((1-D1801)*(Inputs!$F$10-Inputs!$D$10)*(Inputs!$F$10-Inputs!$E$10)))</f>
        <v>0.0868598254158352</v>
      </c>
      <c r="F1801" s="81" t="n">
        <f aca="true">RAND()</f>
        <v>0.567475408039873</v>
      </c>
      <c r="G1801" s="83" t="n">
        <f aca="false">IF(F1801&lt;(Inputs!$E$15-Inputs!$D$15)/(Inputs!$F$15-Inputs!$D$15),Inputs!$D$15+SQRT(F1801*(Inputs!$F$15-Inputs!$D$15)*(Inputs!$E$15-Inputs!$D$15)),Inputs!$F$15-SQRT((1-F1801)*(Inputs!$F$15-Inputs!$D$15)*(Inputs!$F$15-Inputs!$E$15)))</f>
        <v>0.70699197970496</v>
      </c>
      <c r="H1801" s="81" t="n">
        <f aca="true">RAND()</f>
        <v>0.77961074677191</v>
      </c>
      <c r="I1801" s="82" t="n">
        <f aca="false">ROUND(IF(H1801&lt;(Inputs!$E$17-Inputs!$D$17)/(Inputs!$F$17-Inputs!$D$17),Inputs!$D$17+SQRT(H1801*(Inputs!$F$17-Inputs!$D$17)*(Inputs!$E$17-Inputs!$D$17)),Inputs!$F$17-SQRT((1-H1801)*(Inputs!$F$17-Inputs!$D$17)*(Inputs!$F$17-Inputs!$E$17))),0)</f>
        <v>109</v>
      </c>
      <c r="J1801" s="81" t="n">
        <f aca="true">RAND()</f>
        <v>0.107968592808597</v>
      </c>
      <c r="K1801" s="83" t="n">
        <f aca="false">IF(J1801&lt;(Inputs!$E$18-Inputs!$D$18)/(Inputs!$F$18-Inputs!$D$18),Inputs!$D$18+SQRT(J1801*(Inputs!$F$18-Inputs!$D$18)*(Inputs!$E$18-Inputs!$D$18)),Inputs!$F$18-SQRT((1-J1801)*(Inputs!$F$18-Inputs!$D$18)*(Inputs!$F$18-Inputs!$E$18)))</f>
        <v>0.961472764280622</v>
      </c>
      <c r="L1801" s="81" t="n">
        <f aca="true">RAND()</f>
        <v>0.896315769077496</v>
      </c>
      <c r="M1801" s="83" t="n">
        <f aca="false">IF(L1801&lt;(Inputs!$E$24-Inputs!$D$24)/(Inputs!$F$24-Inputs!$D$24),Inputs!$D$24+SQRT(L1801*(Inputs!$F$24-Inputs!$D$24)*(Inputs!$E$24-Inputs!$D$24)),Inputs!$F$24-SQRT((1-L1801)*(Inputs!$F$24-Inputs!$D$24)*(Inputs!$F$24-Inputs!$E$24)))</f>
        <v>1.04225268489955</v>
      </c>
      <c r="N1801" s="81" t="n">
        <f aca="true">RAND()</f>
        <v>0.807398747316944</v>
      </c>
      <c r="O1801" s="83" t="n">
        <f aca="false">IF(N1801&lt;(Inputs!$E$26-Inputs!$D$26)/(Inputs!$F$26-Inputs!$D$26),Inputs!$D$26+SQRT(N1801*(Inputs!$F$26-Inputs!$D$26)*(Inputs!$E$26-Inputs!$D$26)),Inputs!$F$26-SQRT((1-N1801)*(Inputs!$F$26-Inputs!$D$26)*(Inputs!$F$26-Inputs!$E$26)))</f>
        <v>0.678470744087882</v>
      </c>
      <c r="P1801" s="81" t="n">
        <f aca="true">RAND()</f>
        <v>0.466702268287625</v>
      </c>
      <c r="Q1801" s="82" t="n">
        <f aca="false">IF(P1801&lt;(Inputs!$E$27-Inputs!$D$27)/(Inputs!$F$27-Inputs!$D$27),Inputs!$D$27+SQRT(P1801*(Inputs!$F$27-Inputs!$D$27)*(Inputs!$E$27-Inputs!$D$27)),Inputs!$F$27-SQRT((1-P1801)*(Inputs!$F$27-Inputs!$D$27)*(Inputs!$F$27-Inputs!$E$27)))</f>
        <v>86.7565577483103</v>
      </c>
      <c r="R1801" s="81" t="n">
        <f aca="true">RAND()</f>
        <v>0.0484323740116165</v>
      </c>
      <c r="S1801" s="82" t="n">
        <f aca="false">IF(R1801&lt;(Inputs!$E$29-Inputs!$D$29)/(Inputs!$F$29-Inputs!$D$29),Inputs!$D$29+SQRT(R1801*(Inputs!$F$29-Inputs!$D$29)*(Inputs!$E$29-Inputs!$D$29)),Inputs!$F$29-SQRT((1-R1801)*(Inputs!$F$29-Inputs!$D$29)*(Inputs!$F$29-Inputs!$E$29)))</f>
        <v>3.37435897292267</v>
      </c>
      <c r="T1801" s="68" t="n">
        <f aca="false">Inputs!$E$9*(1+E1801)+Inputs!$E$5*C1801*(Inputs!$E$11*Inputs!$E$14*(G1801*I1801/Inputs!$E$16+(1-G1801))*K1801+Inputs!$E$23*M1801)*(1+O1801)+Inputs!$E$5*(Q1801+S1801)</f>
        <v>6304.50315433097</v>
      </c>
    </row>
    <row r="1802" customFormat="false" ht="15" hidden="false" customHeight="false" outlineLevel="0" collapsed="false">
      <c r="A1802" s="1" t="n">
        <v>1798</v>
      </c>
      <c r="B1802" s="81" t="n">
        <f aca="true">RAND()</f>
        <v>0.0573878151206479</v>
      </c>
      <c r="C1802" s="82" t="n">
        <f aca="false">ROUND(IF(B1802&lt;(Inputs!$E$8-Inputs!$D$8)/(Inputs!$F$8-Inputs!$D$8),Inputs!$D$8+SQRT(B1802*(Inputs!$F$8-Inputs!$D$8)*(Inputs!$E$8-Inputs!$D$8)),Inputs!$F$8-SQRT((1-B1802)*(Inputs!$F$8-Inputs!$D$8)*(Inputs!$F$8-Inputs!$E$8))),0)</f>
        <v>22</v>
      </c>
      <c r="D1802" s="81" t="n">
        <f aca="true">RAND()</f>
        <v>0.161835676460502</v>
      </c>
      <c r="E1802" s="83" t="n">
        <f aca="false">IF(D1802&lt;(Inputs!$E$10-Inputs!$D$10)/(Inputs!$F$10-Inputs!$D$10),Inputs!$D$10+SQRT(D1802*(Inputs!$F$10-Inputs!$D$10)*(Inputs!$E$10-Inputs!$D$10)),Inputs!$F$10-SQRT((1-D1802)*(Inputs!$F$10-Inputs!$D$10)*(Inputs!$F$10-Inputs!$E$10)))</f>
        <v>0.0402288051600469</v>
      </c>
      <c r="F1802" s="81" t="n">
        <f aca="true">RAND()</f>
        <v>0.602947824436562</v>
      </c>
      <c r="G1802" s="83" t="n">
        <f aca="false">IF(F1802&lt;(Inputs!$E$15-Inputs!$D$15)/(Inputs!$F$15-Inputs!$D$15),Inputs!$D$15+SQRT(F1802*(Inputs!$F$15-Inputs!$D$15)*(Inputs!$E$15-Inputs!$D$15)),Inputs!$F$15-SQRT((1-F1802)*(Inputs!$F$15-Inputs!$D$15)*(Inputs!$F$15-Inputs!$E$15)))</f>
        <v>0.710887467148168</v>
      </c>
      <c r="H1802" s="81" t="n">
        <f aca="true">RAND()</f>
        <v>0.462516759780323</v>
      </c>
      <c r="I1802" s="82" t="n">
        <f aca="false">ROUND(IF(H1802&lt;(Inputs!$E$17-Inputs!$D$17)/(Inputs!$F$17-Inputs!$D$17),Inputs!$D$17+SQRT(H1802*(Inputs!$F$17-Inputs!$D$17)*(Inputs!$E$17-Inputs!$D$17)),Inputs!$F$17-SQRT((1-H1802)*(Inputs!$F$17-Inputs!$D$17)*(Inputs!$F$17-Inputs!$E$17))),0)</f>
        <v>106</v>
      </c>
      <c r="J1802" s="81" t="n">
        <f aca="true">RAND()</f>
        <v>0.784231713011444</v>
      </c>
      <c r="K1802" s="83" t="n">
        <f aca="false">IF(J1802&lt;(Inputs!$E$18-Inputs!$D$18)/(Inputs!$F$18-Inputs!$D$18),Inputs!$D$18+SQRT(J1802*(Inputs!$F$18-Inputs!$D$18)*(Inputs!$E$18-Inputs!$D$18)),Inputs!$F$18-SQRT((1-J1802)*(Inputs!$F$18-Inputs!$D$18)*(Inputs!$F$18-Inputs!$E$18)))</f>
        <v>1.11259648799431</v>
      </c>
      <c r="L1802" s="81" t="n">
        <f aca="true">RAND()</f>
        <v>0.479181665953002</v>
      </c>
      <c r="M1802" s="83" t="n">
        <f aca="false">IF(L1802&lt;(Inputs!$E$24-Inputs!$D$24)/(Inputs!$F$24-Inputs!$D$24),Inputs!$D$24+SQRT(L1802*(Inputs!$F$24-Inputs!$D$24)*(Inputs!$E$24-Inputs!$D$24)),Inputs!$F$24-SQRT((1-L1802)*(Inputs!$F$24-Inputs!$D$24)*(Inputs!$F$24-Inputs!$E$24)))</f>
        <v>0.846451700369979</v>
      </c>
      <c r="N1802" s="81" t="n">
        <f aca="true">RAND()</f>
        <v>0.932586099817322</v>
      </c>
      <c r="O1802" s="83" t="n">
        <f aca="false">IF(N1802&lt;(Inputs!$E$26-Inputs!$D$26)/(Inputs!$F$26-Inputs!$D$26),Inputs!$D$26+SQRT(N1802*(Inputs!$F$26-Inputs!$D$26)*(Inputs!$E$26-Inputs!$D$26)),Inputs!$F$26-SQRT((1-N1802)*(Inputs!$F$26-Inputs!$D$26)*(Inputs!$F$26-Inputs!$E$26)))</f>
        <v>0.736268013167019</v>
      </c>
      <c r="P1802" s="81" t="n">
        <f aca="true">RAND()</f>
        <v>0.546251207657798</v>
      </c>
      <c r="Q1802" s="82" t="n">
        <f aca="false">IF(P1802&lt;(Inputs!$E$27-Inputs!$D$27)/(Inputs!$F$27-Inputs!$D$27),Inputs!$D$27+SQRT(P1802*(Inputs!$F$27-Inputs!$D$27)*(Inputs!$E$27-Inputs!$D$27)),Inputs!$F$27-SQRT((1-P1802)*(Inputs!$F$27-Inputs!$D$27)*(Inputs!$F$27-Inputs!$E$27)))</f>
        <v>91.663768183345</v>
      </c>
      <c r="R1802" s="81" t="n">
        <f aca="true">RAND()</f>
        <v>0.939475743184734</v>
      </c>
      <c r="S1802" s="82" t="n">
        <f aca="false">IF(R1802&lt;(Inputs!$E$29-Inputs!$D$29)/(Inputs!$F$29-Inputs!$D$29),Inputs!$D$29+SQRT(R1802*(Inputs!$F$29-Inputs!$D$29)*(Inputs!$E$29-Inputs!$D$29)),Inputs!$F$29-SQRT((1-R1802)*(Inputs!$F$29-Inputs!$D$29)*(Inputs!$F$29-Inputs!$E$29)))</f>
        <v>12.1949771148911</v>
      </c>
      <c r="T1802" s="68" t="n">
        <f aca="false">Inputs!$E$9*(1+E1802)+Inputs!$E$5*C1802*(Inputs!$E$11*Inputs!$E$14*(G1802*I1802/Inputs!$E$16+(1-G1802))*K1802+Inputs!$E$23*M1802)*(1+O1802)+Inputs!$E$5*(Q1802+S1802)</f>
        <v>6239.88507827431</v>
      </c>
    </row>
    <row r="1803" customFormat="false" ht="15" hidden="false" customHeight="false" outlineLevel="0" collapsed="false">
      <c r="A1803" s="1" t="n">
        <v>1799</v>
      </c>
      <c r="B1803" s="81" t="n">
        <f aca="true">RAND()</f>
        <v>0.694405558103996</v>
      </c>
      <c r="C1803" s="82" t="n">
        <f aca="false">ROUND(IF(B1803&lt;(Inputs!$E$8-Inputs!$D$8)/(Inputs!$F$8-Inputs!$D$8),Inputs!$D$8+SQRT(B1803*(Inputs!$F$8-Inputs!$D$8)*(Inputs!$E$8-Inputs!$D$8)),Inputs!$F$8-SQRT((1-B1803)*(Inputs!$F$8-Inputs!$D$8)*(Inputs!$F$8-Inputs!$E$8))),0)</f>
        <v>26</v>
      </c>
      <c r="D1803" s="81" t="n">
        <f aca="true">RAND()</f>
        <v>0.962587823972905</v>
      </c>
      <c r="E1803" s="83" t="n">
        <f aca="false">IF(D1803&lt;(Inputs!$E$10-Inputs!$D$10)/(Inputs!$F$10-Inputs!$D$10),Inputs!$D$10+SQRT(D1803*(Inputs!$F$10-Inputs!$D$10)*(Inputs!$E$10-Inputs!$D$10)),Inputs!$F$10-SQRT((1-D1803)*(Inputs!$F$10-Inputs!$D$10)*(Inputs!$F$10-Inputs!$E$10)))</f>
        <v>0.166498279435037</v>
      </c>
      <c r="F1803" s="81" t="n">
        <f aca="true">RAND()</f>
        <v>0.165199547715783</v>
      </c>
      <c r="G1803" s="83" t="n">
        <f aca="false">IF(F1803&lt;(Inputs!$E$15-Inputs!$D$15)/(Inputs!$F$15-Inputs!$D$15),Inputs!$D$15+SQRT(F1803*(Inputs!$F$15-Inputs!$D$15)*(Inputs!$E$15-Inputs!$D$15)),Inputs!$F$15-SQRT((1-F1803)*(Inputs!$F$15-Inputs!$D$15)*(Inputs!$F$15-Inputs!$E$15)))</f>
        <v>0.657480352767843</v>
      </c>
      <c r="H1803" s="81" t="n">
        <f aca="true">RAND()</f>
        <v>0.313707368284654</v>
      </c>
      <c r="I1803" s="82" t="n">
        <f aca="false">ROUND(IF(H1803&lt;(Inputs!$E$17-Inputs!$D$17)/(Inputs!$F$17-Inputs!$D$17),Inputs!$D$17+SQRT(H1803*(Inputs!$F$17-Inputs!$D$17)*(Inputs!$E$17-Inputs!$D$17)),Inputs!$F$17-SQRT((1-H1803)*(Inputs!$F$17-Inputs!$D$17)*(Inputs!$F$17-Inputs!$E$17))),0)</f>
        <v>105</v>
      </c>
      <c r="J1803" s="81" t="n">
        <f aca="true">RAND()</f>
        <v>0.406374138129125</v>
      </c>
      <c r="K1803" s="83" t="n">
        <f aca="false">IF(J1803&lt;(Inputs!$E$18-Inputs!$D$18)/(Inputs!$F$18-Inputs!$D$18),Inputs!$D$18+SQRT(J1803*(Inputs!$F$18-Inputs!$D$18)*(Inputs!$E$18-Inputs!$D$18)),Inputs!$F$18-SQRT((1-J1803)*(Inputs!$F$18-Inputs!$D$18)*(Inputs!$F$18-Inputs!$E$18)))</f>
        <v>1.02209154707712</v>
      </c>
      <c r="L1803" s="81" t="n">
        <f aca="true">RAND()</f>
        <v>0.285494898965015</v>
      </c>
      <c r="M1803" s="83" t="n">
        <f aca="false">IF(L1803&lt;(Inputs!$E$24-Inputs!$D$24)/(Inputs!$F$24-Inputs!$D$24),Inputs!$D$24+SQRT(L1803*(Inputs!$F$24-Inputs!$D$24)*(Inputs!$E$24-Inputs!$D$24)),Inputs!$F$24-SQRT((1-L1803)*(Inputs!$F$24-Inputs!$D$24)*(Inputs!$F$24-Inputs!$E$24)))</f>
        <v>0.785092916870964</v>
      </c>
      <c r="N1803" s="81" t="n">
        <f aca="true">RAND()</f>
        <v>0.633972929519278</v>
      </c>
      <c r="O1803" s="83" t="n">
        <f aca="false">IF(N1803&lt;(Inputs!$E$26-Inputs!$D$26)/(Inputs!$F$26-Inputs!$D$26),Inputs!$D$26+SQRT(N1803*(Inputs!$F$26-Inputs!$D$26)*(Inputs!$E$26-Inputs!$D$26)),Inputs!$F$26-SQRT((1-N1803)*(Inputs!$F$26-Inputs!$D$26)*(Inputs!$F$26-Inputs!$E$26)))</f>
        <v>0.624892810665534</v>
      </c>
      <c r="P1803" s="81" t="n">
        <f aca="true">RAND()</f>
        <v>0.0436409680215428</v>
      </c>
      <c r="Q1803" s="82" t="n">
        <f aca="false">IF(P1803&lt;(Inputs!$E$27-Inputs!$D$27)/(Inputs!$F$27-Inputs!$D$27),Inputs!$D$27+SQRT(P1803*(Inputs!$F$27-Inputs!$D$27)*(Inputs!$E$27-Inputs!$D$27)),Inputs!$F$27-SQRT((1-P1803)*(Inputs!$F$27-Inputs!$D$27)*(Inputs!$F$27-Inputs!$E$27)))</f>
        <v>60.4452103882046</v>
      </c>
      <c r="R1803" s="81" t="n">
        <f aca="true">RAND()</f>
        <v>0.591578301713684</v>
      </c>
      <c r="S1803" s="82" t="n">
        <f aca="false">IF(R1803&lt;(Inputs!$E$29-Inputs!$D$29)/(Inputs!$F$29-Inputs!$D$29),Inputs!$D$29+SQRT(R1803*(Inputs!$F$29-Inputs!$D$29)*(Inputs!$E$29-Inputs!$D$29)),Inputs!$F$29-SQRT((1-R1803)*(Inputs!$F$29-Inputs!$D$29)*(Inputs!$F$29-Inputs!$E$29)))</f>
        <v>7.71338070315039</v>
      </c>
      <c r="T1803" s="68" t="n">
        <f aca="false">Inputs!$E$9*(1+E1803)+Inputs!$E$5*C1803*(Inputs!$E$11*Inputs!$E$14*(G1803*I1803/Inputs!$E$16+(1-G1803))*K1803+Inputs!$E$23*M1803)*(1+O1803)+Inputs!$E$5*(Q1803+S1803)</f>
        <v>6469.54060474735</v>
      </c>
    </row>
    <row r="1804" customFormat="false" ht="15" hidden="false" customHeight="false" outlineLevel="0" collapsed="false">
      <c r="A1804" s="1" t="n">
        <v>1800</v>
      </c>
      <c r="B1804" s="81" t="n">
        <f aca="true">RAND()</f>
        <v>0.513705756793502</v>
      </c>
      <c r="C1804" s="82" t="n">
        <f aca="false">ROUND(IF(B1804&lt;(Inputs!$E$8-Inputs!$D$8)/(Inputs!$F$8-Inputs!$D$8),Inputs!$D$8+SQRT(B1804*(Inputs!$F$8-Inputs!$D$8)*(Inputs!$E$8-Inputs!$D$8)),Inputs!$F$8-SQRT((1-B1804)*(Inputs!$F$8-Inputs!$D$8)*(Inputs!$F$8-Inputs!$E$8))),0)</f>
        <v>25</v>
      </c>
      <c r="D1804" s="81" t="n">
        <f aca="true">RAND()</f>
        <v>0.116621935001255</v>
      </c>
      <c r="E1804" s="83" t="n">
        <f aca="false">IF(D1804&lt;(Inputs!$E$10-Inputs!$D$10)/(Inputs!$F$10-Inputs!$D$10),Inputs!$D$10+SQRT(D1804*(Inputs!$F$10-Inputs!$D$10)*(Inputs!$E$10-Inputs!$D$10)),Inputs!$F$10-SQRT((1-D1804)*(Inputs!$F$10-Inputs!$D$10)*(Inputs!$F$10-Inputs!$E$10)))</f>
        <v>0.034149953880094</v>
      </c>
      <c r="F1804" s="81" t="n">
        <f aca="true">RAND()</f>
        <v>0.0123471032296461</v>
      </c>
      <c r="G1804" s="83" t="n">
        <f aca="false">IF(F1804&lt;(Inputs!$E$15-Inputs!$D$15)/(Inputs!$F$15-Inputs!$D$15),Inputs!$D$15+SQRT(F1804*(Inputs!$F$15-Inputs!$D$15)*(Inputs!$E$15-Inputs!$D$15)),Inputs!$F$15-SQRT((1-F1804)*(Inputs!$F$15-Inputs!$D$15)*(Inputs!$F$15-Inputs!$E$15)))</f>
        <v>0.615714390366569</v>
      </c>
      <c r="H1804" s="81" t="n">
        <f aca="true">RAND()</f>
        <v>0.0154277338695389</v>
      </c>
      <c r="I1804" s="82" t="n">
        <f aca="false">ROUND(IF(H1804&lt;(Inputs!$E$17-Inputs!$D$17)/(Inputs!$F$17-Inputs!$D$17),Inputs!$D$17+SQRT(H1804*(Inputs!$F$17-Inputs!$D$17)*(Inputs!$E$17-Inputs!$D$17)),Inputs!$F$17-SQRT((1-H1804)*(Inputs!$F$17-Inputs!$D$17)*(Inputs!$F$17-Inputs!$E$17))),0)</f>
        <v>101</v>
      </c>
      <c r="J1804" s="81" t="n">
        <f aca="true">RAND()</f>
        <v>0.11297541629291</v>
      </c>
      <c r="K1804" s="83" t="n">
        <f aca="false">IF(J1804&lt;(Inputs!$E$18-Inputs!$D$18)/(Inputs!$F$18-Inputs!$D$18),Inputs!$D$18+SQRT(J1804*(Inputs!$F$18-Inputs!$D$18)*(Inputs!$E$18-Inputs!$D$18)),Inputs!$F$18-SQRT((1-J1804)*(Inputs!$F$18-Inputs!$D$18)*(Inputs!$F$18-Inputs!$E$18)))</f>
        <v>0.96288194947878</v>
      </c>
      <c r="L1804" s="81" t="n">
        <f aca="true">RAND()</f>
        <v>0.616978057046977</v>
      </c>
      <c r="M1804" s="83" t="n">
        <f aca="false">IF(L1804&lt;(Inputs!$E$24-Inputs!$D$24)/(Inputs!$F$24-Inputs!$D$24),Inputs!$D$24+SQRT(L1804*(Inputs!$F$24-Inputs!$D$24)*(Inputs!$E$24-Inputs!$D$24)),Inputs!$F$24-SQRT((1-L1804)*(Inputs!$F$24-Inputs!$D$24)*(Inputs!$F$24-Inputs!$E$24)))</f>
        <v>0.896808202108425</v>
      </c>
      <c r="N1804" s="81" t="n">
        <f aca="true">RAND()</f>
        <v>0.385306903290512</v>
      </c>
      <c r="O1804" s="83" t="n">
        <f aca="false">IF(N1804&lt;(Inputs!$E$26-Inputs!$D$26)/(Inputs!$F$26-Inputs!$D$26),Inputs!$D$26+SQRT(N1804*(Inputs!$F$26-Inputs!$D$26)*(Inputs!$E$26-Inputs!$D$26)),Inputs!$F$26-SQRT((1-N1804)*(Inputs!$F$26-Inputs!$D$26)*(Inputs!$F$26-Inputs!$E$26)))</f>
        <v>0.553209535182902</v>
      </c>
      <c r="P1804" s="81" t="n">
        <f aca="true">RAND()</f>
        <v>0.945268044411748</v>
      </c>
      <c r="Q1804" s="82" t="n">
        <f aca="false">IF(P1804&lt;(Inputs!$E$27-Inputs!$D$27)/(Inputs!$F$27-Inputs!$D$27),Inputs!$D$27+SQRT(P1804*(Inputs!$F$27-Inputs!$D$27)*(Inputs!$E$27-Inputs!$D$27)),Inputs!$F$27-SQRT((1-P1804)*(Inputs!$F$27-Inputs!$D$27)*(Inputs!$F$27-Inputs!$E$27)))</f>
        <v>129.739455414232</v>
      </c>
      <c r="R1804" s="81" t="n">
        <f aca="true">RAND()</f>
        <v>0.659466836508803</v>
      </c>
      <c r="S1804" s="82" t="n">
        <f aca="false">IF(R1804&lt;(Inputs!$E$29-Inputs!$D$29)/(Inputs!$F$29-Inputs!$D$29),Inputs!$D$29+SQRT(R1804*(Inputs!$F$29-Inputs!$D$29)*(Inputs!$E$29-Inputs!$D$29)),Inputs!$F$29-SQRT((1-R1804)*(Inputs!$F$29-Inputs!$D$29)*(Inputs!$F$29-Inputs!$E$29)))</f>
        <v>8.34648128778046</v>
      </c>
      <c r="T1804" s="68" t="n">
        <f aca="false">Inputs!$E$9*(1+E1804)+Inputs!$E$5*C1804*(Inputs!$E$11*Inputs!$E$14*(G1804*I1804/Inputs!$E$16+(1-G1804))*K1804+Inputs!$E$23*M1804)*(1+O1804)+Inputs!$E$5*(Q1804+S1804)</f>
        <v>6281.4843551929</v>
      </c>
    </row>
    <row r="1805" customFormat="false" ht="15" hidden="false" customHeight="false" outlineLevel="0" collapsed="false">
      <c r="A1805" s="1" t="n">
        <v>1801</v>
      </c>
      <c r="B1805" s="81" t="n">
        <f aca="true">RAND()</f>
        <v>0.736973938260102</v>
      </c>
      <c r="C1805" s="82" t="n">
        <f aca="false">ROUND(IF(B1805&lt;(Inputs!$E$8-Inputs!$D$8)/(Inputs!$F$8-Inputs!$D$8),Inputs!$D$8+SQRT(B1805*(Inputs!$F$8-Inputs!$D$8)*(Inputs!$E$8-Inputs!$D$8)),Inputs!$F$8-SQRT((1-B1805)*(Inputs!$F$8-Inputs!$D$8)*(Inputs!$F$8-Inputs!$E$8))),0)</f>
        <v>26</v>
      </c>
      <c r="D1805" s="81" t="n">
        <f aca="true">RAND()</f>
        <v>0.809262096426465</v>
      </c>
      <c r="E1805" s="83" t="n">
        <f aca="false">IF(D1805&lt;(Inputs!$E$10-Inputs!$D$10)/(Inputs!$F$10-Inputs!$D$10),Inputs!$D$10+SQRT(D1805*(Inputs!$F$10-Inputs!$D$10)*(Inputs!$E$10-Inputs!$D$10)),Inputs!$F$10-SQRT((1-D1805)*(Inputs!$F$10-Inputs!$D$10)*(Inputs!$F$10-Inputs!$E$10)))</f>
        <v>0.124355191141718</v>
      </c>
      <c r="F1805" s="81" t="n">
        <f aca="true">RAND()</f>
        <v>0.875168659971323</v>
      </c>
      <c r="G1805" s="83" t="n">
        <f aca="false">IF(F1805&lt;(Inputs!$E$15-Inputs!$D$15)/(Inputs!$F$15-Inputs!$D$15),Inputs!$D$15+SQRT(F1805*(Inputs!$F$15-Inputs!$D$15)*(Inputs!$E$15-Inputs!$D$15)),Inputs!$F$15-SQRT((1-F1805)*(Inputs!$F$15-Inputs!$D$15)*(Inputs!$F$15-Inputs!$E$15)))</f>
        <v>0.750033743380422</v>
      </c>
      <c r="H1805" s="81" t="n">
        <f aca="true">RAND()</f>
        <v>0.0559182245852533</v>
      </c>
      <c r="I1805" s="82" t="n">
        <f aca="false">ROUND(IF(H1805&lt;(Inputs!$E$17-Inputs!$D$17)/(Inputs!$F$17-Inputs!$D$17),Inputs!$D$17+SQRT(H1805*(Inputs!$F$17-Inputs!$D$17)*(Inputs!$E$17-Inputs!$D$17)),Inputs!$F$17-SQRT((1-H1805)*(Inputs!$F$17-Inputs!$D$17)*(Inputs!$F$17-Inputs!$E$17))),0)</f>
        <v>102</v>
      </c>
      <c r="J1805" s="81" t="n">
        <f aca="true">RAND()</f>
        <v>0.342338926795568</v>
      </c>
      <c r="K1805" s="83" t="n">
        <f aca="false">IF(J1805&lt;(Inputs!$E$18-Inputs!$D$18)/(Inputs!$F$18-Inputs!$D$18),Inputs!$D$18+SQRT(J1805*(Inputs!$F$18-Inputs!$D$18)*(Inputs!$E$18-Inputs!$D$18)),Inputs!$F$18-SQRT((1-J1805)*(Inputs!$F$18-Inputs!$D$18)*(Inputs!$F$18-Inputs!$E$18)))</f>
        <v>1.0101138938884</v>
      </c>
      <c r="L1805" s="81" t="n">
        <f aca="true">RAND()</f>
        <v>0.989555635181783</v>
      </c>
      <c r="M1805" s="83" t="n">
        <f aca="false">IF(L1805&lt;(Inputs!$E$24-Inputs!$D$24)/(Inputs!$F$24-Inputs!$D$24),Inputs!$D$24+SQRT(L1805*(Inputs!$F$24-Inputs!$D$24)*(Inputs!$E$24-Inputs!$D$24)),Inputs!$F$24-SQRT((1-L1805)*(Inputs!$F$24-Inputs!$D$24)*(Inputs!$F$24-Inputs!$E$24)))</f>
        <v>1.14993356856763</v>
      </c>
      <c r="N1805" s="81" t="n">
        <f aca="true">RAND()</f>
        <v>0.279212527405346</v>
      </c>
      <c r="O1805" s="83" t="n">
        <f aca="false">IF(N1805&lt;(Inputs!$E$26-Inputs!$D$26)/(Inputs!$F$26-Inputs!$D$26),Inputs!$D$26+SQRT(N1805*(Inputs!$F$26-Inputs!$D$26)*(Inputs!$E$26-Inputs!$D$26)),Inputs!$F$26-SQRT((1-N1805)*(Inputs!$F$26-Inputs!$D$26)*(Inputs!$F$26-Inputs!$E$26)))</f>
        <v>0.515548056266461</v>
      </c>
      <c r="P1805" s="81" t="n">
        <f aca="true">RAND()</f>
        <v>0.0379578151535499</v>
      </c>
      <c r="Q1805" s="82" t="n">
        <f aca="false">IF(P1805&lt;(Inputs!$E$27-Inputs!$D$27)/(Inputs!$F$27-Inputs!$D$27),Inputs!$D$27+SQRT(P1805*(Inputs!$F$27-Inputs!$D$27)*(Inputs!$E$27-Inputs!$D$27)),Inputs!$F$27-SQRT((1-P1805)*(Inputs!$F$27-Inputs!$D$27)*(Inputs!$F$27-Inputs!$E$27)))</f>
        <v>59.7413827500964</v>
      </c>
      <c r="R1805" s="81" t="n">
        <f aca="true">RAND()</f>
        <v>0.976134511720438</v>
      </c>
      <c r="S1805" s="82" t="n">
        <f aca="false">IF(R1805&lt;(Inputs!$E$29-Inputs!$D$29)/(Inputs!$F$29-Inputs!$D$29),Inputs!$D$29+SQRT(R1805*(Inputs!$F$29-Inputs!$D$29)*(Inputs!$E$29-Inputs!$D$29)),Inputs!$F$29-SQRT((1-R1805)*(Inputs!$F$29-Inputs!$D$29)*(Inputs!$F$29-Inputs!$E$29)))</f>
        <v>13.2386046791413</v>
      </c>
      <c r="T1805" s="68" t="n">
        <f aca="false">Inputs!$E$9*(1+E1805)+Inputs!$E$5*C1805*(Inputs!$E$11*Inputs!$E$14*(G1805*I1805/Inputs!$E$16+(1-G1805))*K1805+Inputs!$E$23*M1805)*(1+O1805)+Inputs!$E$5*(Q1805+S1805)</f>
        <v>6487.75980448584</v>
      </c>
    </row>
    <row r="1806" customFormat="false" ht="15" hidden="false" customHeight="false" outlineLevel="0" collapsed="false">
      <c r="A1806" s="1" t="n">
        <v>1802</v>
      </c>
      <c r="B1806" s="81" t="n">
        <f aca="true">RAND()</f>
        <v>0.404506436653461</v>
      </c>
      <c r="C1806" s="82" t="n">
        <f aca="false">ROUND(IF(B1806&lt;(Inputs!$E$8-Inputs!$D$8)/(Inputs!$F$8-Inputs!$D$8),Inputs!$D$8+SQRT(B1806*(Inputs!$F$8-Inputs!$D$8)*(Inputs!$E$8-Inputs!$D$8)),Inputs!$F$8-SQRT((1-B1806)*(Inputs!$F$8-Inputs!$D$8)*(Inputs!$F$8-Inputs!$E$8))),0)</f>
        <v>24</v>
      </c>
      <c r="D1806" s="81" t="n">
        <f aca="true">RAND()</f>
        <v>0.468943032661202</v>
      </c>
      <c r="E1806" s="83" t="n">
        <f aca="false">IF(D1806&lt;(Inputs!$E$10-Inputs!$D$10)/(Inputs!$F$10-Inputs!$D$10),Inputs!$D$10+SQRT(D1806*(Inputs!$F$10-Inputs!$D$10)*(Inputs!$E$10-Inputs!$D$10)),Inputs!$F$10-SQRT((1-D1806)*(Inputs!$F$10-Inputs!$D$10)*(Inputs!$F$10-Inputs!$E$10)))</f>
        <v>0.0737791260521306</v>
      </c>
      <c r="F1806" s="81" t="n">
        <f aca="true">RAND()</f>
        <v>0.182119765138351</v>
      </c>
      <c r="G1806" s="83" t="n">
        <f aca="false">IF(F1806&lt;(Inputs!$E$15-Inputs!$D$15)/(Inputs!$F$15-Inputs!$D$15),Inputs!$D$15+SQRT(F1806*(Inputs!$F$15-Inputs!$D$15)*(Inputs!$E$15-Inputs!$D$15)),Inputs!$F$15-SQRT((1-F1806)*(Inputs!$F$15-Inputs!$D$15)*(Inputs!$F$15-Inputs!$E$15)))</f>
        <v>0.660352260129734</v>
      </c>
      <c r="H1806" s="81" t="n">
        <f aca="true">RAND()</f>
        <v>0.340456474159794</v>
      </c>
      <c r="I1806" s="82" t="n">
        <f aca="false">ROUND(IF(H1806&lt;(Inputs!$E$17-Inputs!$D$17)/(Inputs!$F$17-Inputs!$D$17),Inputs!$D$17+SQRT(H1806*(Inputs!$F$17-Inputs!$D$17)*(Inputs!$E$17-Inputs!$D$17)),Inputs!$F$17-SQRT((1-H1806)*(Inputs!$F$17-Inputs!$D$17)*(Inputs!$F$17-Inputs!$E$17))),0)</f>
        <v>105</v>
      </c>
      <c r="J1806" s="81" t="n">
        <f aca="true">RAND()</f>
        <v>0.980182354045471</v>
      </c>
      <c r="K1806" s="83" t="n">
        <f aca="false">IF(J1806&lt;(Inputs!$E$18-Inputs!$D$18)/(Inputs!$F$18-Inputs!$D$18),Inputs!$D$18+SQRT(J1806*(Inputs!$F$18-Inputs!$D$18)*(Inputs!$E$18-Inputs!$D$18)),Inputs!$F$18-SQRT((1-J1806)*(Inputs!$F$18-Inputs!$D$18)*(Inputs!$F$18-Inputs!$E$18)))</f>
        <v>1.20835814580231</v>
      </c>
      <c r="L1806" s="81" t="n">
        <f aca="true">RAND()</f>
        <v>0.950976655814454</v>
      </c>
      <c r="M1806" s="83" t="n">
        <f aca="false">IF(L1806&lt;(Inputs!$E$24-Inputs!$D$24)/(Inputs!$F$24-Inputs!$D$24),Inputs!$D$24+SQRT(L1806*(Inputs!$F$24-Inputs!$D$24)*(Inputs!$E$24-Inputs!$D$24)),Inputs!$F$24-SQRT((1-L1806)*(Inputs!$F$24-Inputs!$D$24)*(Inputs!$F$24-Inputs!$E$24)))</f>
        <v>1.09153063748444</v>
      </c>
      <c r="N1806" s="81" t="n">
        <f aca="true">RAND()</f>
        <v>0.525086139389095</v>
      </c>
      <c r="O1806" s="83" t="n">
        <f aca="false">IF(N1806&lt;(Inputs!$E$26-Inputs!$D$26)/(Inputs!$F$26-Inputs!$D$26),Inputs!$D$26+SQRT(N1806*(Inputs!$F$26-Inputs!$D$26)*(Inputs!$E$26-Inputs!$D$26)),Inputs!$F$26-SQRT((1-N1806)*(Inputs!$F$26-Inputs!$D$26)*(Inputs!$F$26-Inputs!$E$26)))</f>
        <v>0.595591497838394</v>
      </c>
      <c r="P1806" s="81" t="n">
        <f aca="true">RAND()</f>
        <v>0.822123818583075</v>
      </c>
      <c r="Q1806" s="82" t="n">
        <f aca="false">IF(P1806&lt;(Inputs!$E$27-Inputs!$D$27)/(Inputs!$F$27-Inputs!$D$27),Inputs!$D$27+SQRT(P1806*(Inputs!$F$27-Inputs!$D$27)*(Inputs!$E$27-Inputs!$D$27)),Inputs!$F$27-SQRT((1-P1806)*(Inputs!$F$27-Inputs!$D$27)*(Inputs!$F$27-Inputs!$E$27)))</f>
        <v>113.475058376132</v>
      </c>
      <c r="R1806" s="81" t="n">
        <f aca="true">RAND()</f>
        <v>0.0342728343698953</v>
      </c>
      <c r="S1806" s="82" t="n">
        <f aca="false">IF(R1806&lt;(Inputs!$E$29-Inputs!$D$29)/(Inputs!$F$29-Inputs!$D$29),Inputs!$D$29+SQRT(R1806*(Inputs!$F$29-Inputs!$D$29)*(Inputs!$E$29-Inputs!$D$29)),Inputs!$F$29-SQRT((1-R1806)*(Inputs!$F$29-Inputs!$D$29)*(Inputs!$F$29-Inputs!$E$29)))</f>
        <v>3.15613171413378</v>
      </c>
      <c r="T1806" s="68" t="n">
        <f aca="false">Inputs!$E$9*(1+E1806)+Inputs!$E$5*C1806*(Inputs!$E$11*Inputs!$E$14*(G1806*I1806/Inputs!$E$16+(1-G1806))*K1806+Inputs!$E$23*M1806)*(1+O1806)+Inputs!$E$5*(Q1806+S1806)</f>
        <v>6981.66739422688</v>
      </c>
    </row>
    <row r="1807" customFormat="false" ht="15" hidden="false" customHeight="false" outlineLevel="0" collapsed="false">
      <c r="A1807" s="1" t="n">
        <v>1803</v>
      </c>
      <c r="B1807" s="81" t="n">
        <f aca="true">RAND()</f>
        <v>0.924245701476697</v>
      </c>
      <c r="C1807" s="82" t="n">
        <f aca="false">ROUND(IF(B1807&lt;(Inputs!$E$8-Inputs!$D$8)/(Inputs!$F$8-Inputs!$D$8),Inputs!$D$8+SQRT(B1807*(Inputs!$F$8-Inputs!$D$8)*(Inputs!$E$8-Inputs!$D$8)),Inputs!$F$8-SQRT((1-B1807)*(Inputs!$F$8-Inputs!$D$8)*(Inputs!$F$8-Inputs!$E$8))),0)</f>
        <v>28</v>
      </c>
      <c r="D1807" s="81" t="n">
        <f aca="true">RAND()</f>
        <v>0.371038070864275</v>
      </c>
      <c r="E1807" s="83" t="n">
        <f aca="false">IF(D1807&lt;(Inputs!$E$10-Inputs!$D$10)/(Inputs!$F$10-Inputs!$D$10),Inputs!$D$10+SQRT(D1807*(Inputs!$F$10-Inputs!$D$10)*(Inputs!$E$10-Inputs!$D$10)),Inputs!$F$10-SQRT((1-D1807)*(Inputs!$F$10-Inputs!$D$10)*(Inputs!$F$10-Inputs!$E$10)))</f>
        <v>0.0626360386634407</v>
      </c>
      <c r="F1807" s="81" t="n">
        <f aca="true">RAND()</f>
        <v>0.379756542673342</v>
      </c>
      <c r="G1807" s="83" t="n">
        <f aca="false">IF(F1807&lt;(Inputs!$E$15-Inputs!$D$15)/(Inputs!$F$15-Inputs!$D$15),Inputs!$D$15+SQRT(F1807*(Inputs!$F$15-Inputs!$D$15)*(Inputs!$E$15-Inputs!$D$15)),Inputs!$F$15-SQRT((1-F1807)*(Inputs!$F$15-Inputs!$D$15)*(Inputs!$F$15-Inputs!$E$15)))</f>
        <v>0.687150047925786</v>
      </c>
      <c r="H1807" s="81" t="n">
        <f aca="true">RAND()</f>
        <v>0.345230237349291</v>
      </c>
      <c r="I1807" s="82" t="n">
        <f aca="false">ROUND(IF(H1807&lt;(Inputs!$E$17-Inputs!$D$17)/(Inputs!$F$17-Inputs!$D$17),Inputs!$D$17+SQRT(H1807*(Inputs!$F$17-Inputs!$D$17)*(Inputs!$E$17-Inputs!$D$17)),Inputs!$F$17-SQRT((1-H1807)*(Inputs!$F$17-Inputs!$D$17)*(Inputs!$F$17-Inputs!$E$17))),0)</f>
        <v>105</v>
      </c>
      <c r="J1807" s="81" t="n">
        <f aca="true">RAND()</f>
        <v>0.27573864188751</v>
      </c>
      <c r="K1807" s="83" t="n">
        <f aca="false">IF(J1807&lt;(Inputs!$E$18-Inputs!$D$18)/(Inputs!$F$18-Inputs!$D$18),Inputs!$D$18+SQRT(J1807*(Inputs!$F$18-Inputs!$D$18)*(Inputs!$E$18-Inputs!$D$18)),Inputs!$F$18-SQRT((1-J1807)*(Inputs!$F$18-Inputs!$D$18)*(Inputs!$F$18-Inputs!$E$18)))</f>
        <v>0.99823875236414</v>
      </c>
      <c r="L1807" s="81" t="n">
        <f aca="true">RAND()</f>
        <v>0.963903113083658</v>
      </c>
      <c r="M1807" s="83" t="n">
        <f aca="false">IF(L1807&lt;(Inputs!$E$24-Inputs!$D$24)/(Inputs!$F$24-Inputs!$D$24),Inputs!$D$24+SQRT(L1807*(Inputs!$F$24-Inputs!$D$24)*(Inputs!$E$24-Inputs!$D$24)),Inputs!$F$24-SQRT((1-L1807)*(Inputs!$F$24-Inputs!$D$24)*(Inputs!$F$24-Inputs!$E$24)))</f>
        <v>1.10692340326418</v>
      </c>
      <c r="N1807" s="81" t="n">
        <f aca="true">RAND()</f>
        <v>0.329800742489764</v>
      </c>
      <c r="O1807" s="83" t="n">
        <f aca="false">IF(N1807&lt;(Inputs!$E$26-Inputs!$D$26)/(Inputs!$F$26-Inputs!$D$26),Inputs!$D$26+SQRT(N1807*(Inputs!$F$26-Inputs!$D$26)*(Inputs!$E$26-Inputs!$D$26)),Inputs!$F$26-SQRT((1-N1807)*(Inputs!$F$26-Inputs!$D$26)*(Inputs!$F$26-Inputs!$E$26)))</f>
        <v>0.534262339163376</v>
      </c>
      <c r="P1807" s="81" t="n">
        <f aca="true">RAND()</f>
        <v>0.681879919365599</v>
      </c>
      <c r="Q1807" s="82" t="n">
        <f aca="false">IF(P1807&lt;(Inputs!$E$27-Inputs!$D$27)/(Inputs!$F$27-Inputs!$D$27),Inputs!$D$27+SQRT(P1807*(Inputs!$F$27-Inputs!$D$27)*(Inputs!$E$27-Inputs!$D$27)),Inputs!$F$27-SQRT((1-P1807)*(Inputs!$F$27-Inputs!$D$27)*(Inputs!$F$27-Inputs!$E$27)))</f>
        <v>101.154318463573</v>
      </c>
      <c r="R1807" s="81" t="n">
        <f aca="true">RAND()</f>
        <v>0.954511086703035</v>
      </c>
      <c r="S1807" s="82" t="n">
        <f aca="false">IF(R1807&lt;(Inputs!$E$29-Inputs!$D$29)/(Inputs!$F$29-Inputs!$D$29),Inputs!$D$29+SQRT(R1807*(Inputs!$F$29-Inputs!$D$29)*(Inputs!$E$29-Inputs!$D$29)),Inputs!$F$29-SQRT((1-R1807)*(Inputs!$F$29-Inputs!$D$29)*(Inputs!$F$29-Inputs!$E$29)))</f>
        <v>12.568219021251</v>
      </c>
      <c r="T1807" s="68" t="n">
        <f aca="false">Inputs!$E$9*(1+E1807)+Inputs!$E$5*C1807*(Inputs!$E$11*Inputs!$E$14*(G1807*I1807/Inputs!$E$16+(1-G1807))*K1807+Inputs!$E$23*M1807)*(1+O1807)+Inputs!$E$5*(Q1807+S1807)</f>
        <v>6922.96727364294</v>
      </c>
    </row>
    <row r="1808" customFormat="false" ht="15" hidden="false" customHeight="false" outlineLevel="0" collapsed="false">
      <c r="A1808" s="1" t="n">
        <v>1804</v>
      </c>
      <c r="B1808" s="81" t="n">
        <f aca="true">RAND()</f>
        <v>0.675480327975185</v>
      </c>
      <c r="C1808" s="82" t="n">
        <f aca="false">ROUND(IF(B1808&lt;(Inputs!$E$8-Inputs!$D$8)/(Inputs!$F$8-Inputs!$D$8),Inputs!$D$8+SQRT(B1808*(Inputs!$F$8-Inputs!$D$8)*(Inputs!$E$8-Inputs!$D$8)),Inputs!$F$8-SQRT((1-B1808)*(Inputs!$F$8-Inputs!$D$8)*(Inputs!$F$8-Inputs!$E$8))),0)</f>
        <v>26</v>
      </c>
      <c r="D1808" s="81" t="n">
        <f aca="true">RAND()</f>
        <v>0.409384922703204</v>
      </c>
      <c r="E1808" s="83" t="n">
        <f aca="false">IF(D1808&lt;(Inputs!$E$10-Inputs!$D$10)/(Inputs!$F$10-Inputs!$D$10),Inputs!$D$10+SQRT(D1808*(Inputs!$F$10-Inputs!$D$10)*(Inputs!$E$10-Inputs!$D$10)),Inputs!$F$10-SQRT((1-D1808)*(Inputs!$F$10-Inputs!$D$10)*(Inputs!$F$10-Inputs!$E$10)))</f>
        <v>0.0668893230469326</v>
      </c>
      <c r="F1808" s="81" t="n">
        <f aca="true">RAND()</f>
        <v>0.609448518718494</v>
      </c>
      <c r="G1808" s="83" t="n">
        <f aca="false">IF(F1808&lt;(Inputs!$E$15-Inputs!$D$15)/(Inputs!$F$15-Inputs!$D$15),Inputs!$D$15+SQRT(F1808*(Inputs!$F$15-Inputs!$D$15)*(Inputs!$E$15-Inputs!$D$15)),Inputs!$F$15-SQRT((1-F1808)*(Inputs!$F$15-Inputs!$D$15)*(Inputs!$F$15-Inputs!$E$15)))</f>
        <v>0.711619970436585</v>
      </c>
      <c r="H1808" s="81" t="n">
        <f aca="true">RAND()</f>
        <v>0.250638552076821</v>
      </c>
      <c r="I1808" s="82" t="n">
        <f aca="false">ROUND(IF(H1808&lt;(Inputs!$E$17-Inputs!$D$17)/(Inputs!$F$17-Inputs!$D$17),Inputs!$D$17+SQRT(H1808*(Inputs!$F$17-Inputs!$D$17)*(Inputs!$E$17-Inputs!$D$17)),Inputs!$F$17-SQRT((1-H1808)*(Inputs!$F$17-Inputs!$D$17)*(Inputs!$F$17-Inputs!$E$17))),0)</f>
        <v>104</v>
      </c>
      <c r="J1808" s="81" t="n">
        <f aca="true">RAND()</f>
        <v>0.718982766961064</v>
      </c>
      <c r="K1808" s="83" t="n">
        <f aca="false">IF(J1808&lt;(Inputs!$E$18-Inputs!$D$18)/(Inputs!$F$18-Inputs!$D$18),Inputs!$D$18+SQRT(J1808*(Inputs!$F$18-Inputs!$D$18)*(Inputs!$E$18-Inputs!$D$18)),Inputs!$F$18-SQRT((1-J1808)*(Inputs!$F$18-Inputs!$D$18)*(Inputs!$F$18-Inputs!$E$18)))</f>
        <v>1.09319117406566</v>
      </c>
      <c r="L1808" s="81" t="n">
        <f aca="true">RAND()</f>
        <v>0.119065397506403</v>
      </c>
      <c r="M1808" s="83" t="n">
        <f aca="false">IF(L1808&lt;(Inputs!$E$24-Inputs!$D$24)/(Inputs!$F$24-Inputs!$D$24),Inputs!$D$24+SQRT(L1808*(Inputs!$F$24-Inputs!$D$24)*(Inputs!$E$24-Inputs!$D$24)),Inputs!$F$24-SQRT((1-L1808)*(Inputs!$F$24-Inputs!$D$24)*(Inputs!$F$24-Inputs!$E$24)))</f>
        <v>0.719531785315741</v>
      </c>
      <c r="N1808" s="81" t="n">
        <f aca="true">RAND()</f>
        <v>0.222370898342143</v>
      </c>
      <c r="O1808" s="83" t="n">
        <f aca="false">IF(N1808&lt;(Inputs!$E$26-Inputs!$D$26)/(Inputs!$F$26-Inputs!$D$26),Inputs!$D$26+SQRT(N1808*(Inputs!$F$26-Inputs!$D$26)*(Inputs!$E$26-Inputs!$D$26)),Inputs!$F$26-SQRT((1-N1808)*(Inputs!$F$26-Inputs!$D$26)*(Inputs!$F$26-Inputs!$E$26)))</f>
        <v>0.492360384393806</v>
      </c>
      <c r="P1808" s="81" t="n">
        <f aca="true">RAND()</f>
        <v>0.922459478609478</v>
      </c>
      <c r="Q1808" s="82" t="n">
        <f aca="false">IF(P1808&lt;(Inputs!$E$27-Inputs!$D$27)/(Inputs!$F$27-Inputs!$D$27),Inputs!$D$27+SQRT(P1808*(Inputs!$F$27-Inputs!$D$27)*(Inputs!$E$27-Inputs!$D$27)),Inputs!$F$27-SQRT((1-P1808)*(Inputs!$F$27-Inputs!$D$27)*(Inputs!$F$27-Inputs!$E$27)))</f>
        <v>125.884571112483</v>
      </c>
      <c r="R1808" s="81" t="n">
        <f aca="true">RAND()</f>
        <v>0.127924770154753</v>
      </c>
      <c r="S1808" s="82" t="n">
        <f aca="false">IF(R1808&lt;(Inputs!$E$29-Inputs!$D$29)/(Inputs!$F$29-Inputs!$D$29),Inputs!$D$29+SQRT(R1808*(Inputs!$F$29-Inputs!$D$29)*(Inputs!$E$29-Inputs!$D$29)),Inputs!$F$29-SQRT((1-R1808)*(Inputs!$F$29-Inputs!$D$29)*(Inputs!$F$29-Inputs!$E$29)))</f>
        <v>4.23362173074031</v>
      </c>
      <c r="T1808" s="68" t="n">
        <f aca="false">Inputs!$E$9*(1+E1808)+Inputs!$E$5*C1808*(Inputs!$E$11*Inputs!$E$14*(G1808*I1808/Inputs!$E$16+(1-G1808))*K1808+Inputs!$E$23*M1808)*(1+O1808)+Inputs!$E$5*(Q1808+S1808)</f>
        <v>6241.94921026044</v>
      </c>
    </row>
    <row r="1809" customFormat="false" ht="15" hidden="false" customHeight="false" outlineLevel="0" collapsed="false">
      <c r="A1809" s="1" t="n">
        <v>1805</v>
      </c>
      <c r="B1809" s="81" t="n">
        <f aca="true">RAND()</f>
        <v>0.595827486217682</v>
      </c>
      <c r="C1809" s="82" t="n">
        <f aca="false">ROUND(IF(B1809&lt;(Inputs!$E$8-Inputs!$D$8)/(Inputs!$F$8-Inputs!$D$8),Inputs!$D$8+SQRT(B1809*(Inputs!$F$8-Inputs!$D$8)*(Inputs!$E$8-Inputs!$D$8)),Inputs!$F$8-SQRT((1-B1809)*(Inputs!$F$8-Inputs!$D$8)*(Inputs!$F$8-Inputs!$E$8))),0)</f>
        <v>26</v>
      </c>
      <c r="D1809" s="81" t="n">
        <f aca="true">RAND()</f>
        <v>0.291484910212685</v>
      </c>
      <c r="E1809" s="83" t="n">
        <f aca="false">IF(D1809&lt;(Inputs!$E$10-Inputs!$D$10)/(Inputs!$F$10-Inputs!$D$10),Inputs!$D$10+SQRT(D1809*(Inputs!$F$10-Inputs!$D$10)*(Inputs!$E$10-Inputs!$D$10)),Inputs!$F$10-SQRT((1-D1809)*(Inputs!$F$10-Inputs!$D$10)*(Inputs!$F$10-Inputs!$E$10)))</f>
        <v>0.054207501243653</v>
      </c>
      <c r="F1809" s="81" t="n">
        <f aca="true">RAND()</f>
        <v>0.101508642001914</v>
      </c>
      <c r="G1809" s="83" t="n">
        <f aca="false">IF(F1809&lt;(Inputs!$E$15-Inputs!$D$15)/(Inputs!$F$15-Inputs!$D$15),Inputs!$D$15+SQRT(F1809*(Inputs!$F$15-Inputs!$D$15)*(Inputs!$E$15-Inputs!$D$15)),Inputs!$F$15-SQRT((1-F1809)*(Inputs!$F$15-Inputs!$D$15)*(Inputs!$F$15-Inputs!$E$15)))</f>
        <v>0.645057439341781</v>
      </c>
      <c r="H1809" s="81" t="n">
        <f aca="true">RAND()</f>
        <v>0.0607004800757919</v>
      </c>
      <c r="I1809" s="82" t="n">
        <f aca="false">ROUND(IF(H1809&lt;(Inputs!$E$17-Inputs!$D$17)/(Inputs!$F$17-Inputs!$D$17),Inputs!$D$17+SQRT(H1809*(Inputs!$F$17-Inputs!$D$17)*(Inputs!$E$17-Inputs!$D$17)),Inputs!$F$17-SQRT((1-H1809)*(Inputs!$F$17-Inputs!$D$17)*(Inputs!$F$17-Inputs!$E$17))),0)</f>
        <v>102</v>
      </c>
      <c r="J1809" s="81" t="n">
        <f aca="true">RAND()</f>
        <v>0.547417651904566</v>
      </c>
      <c r="K1809" s="83" t="n">
        <f aca="false">IF(J1809&lt;(Inputs!$E$18-Inputs!$D$18)/(Inputs!$F$18-Inputs!$D$18),Inputs!$D$18+SQRT(J1809*(Inputs!$F$18-Inputs!$D$18)*(Inputs!$E$18-Inputs!$D$18)),Inputs!$F$18-SQRT((1-J1809)*(Inputs!$F$18-Inputs!$D$18)*(Inputs!$F$18-Inputs!$E$18)))</f>
        <v>1.05100011191372</v>
      </c>
      <c r="L1809" s="81" t="n">
        <f aca="true">RAND()</f>
        <v>0.788303391388863</v>
      </c>
      <c r="M1809" s="83" t="n">
        <f aca="false">IF(L1809&lt;(Inputs!$E$24-Inputs!$D$24)/(Inputs!$F$24-Inputs!$D$24),Inputs!$D$24+SQRT(L1809*(Inputs!$F$24-Inputs!$D$24)*(Inputs!$E$24-Inputs!$D$24)),Inputs!$F$24-SQRT((1-L1809)*(Inputs!$F$24-Inputs!$D$24)*(Inputs!$F$24-Inputs!$E$24)))</f>
        <v>0.974595505664433</v>
      </c>
      <c r="N1809" s="81" t="n">
        <f aca="true">RAND()</f>
        <v>0.996795518319949</v>
      </c>
      <c r="O1809" s="83" t="n">
        <f aca="false">IF(N1809&lt;(Inputs!$E$26-Inputs!$D$26)/(Inputs!$F$26-Inputs!$D$26),Inputs!$D$26+SQRT(N1809*(Inputs!$F$26-Inputs!$D$26)*(Inputs!$E$26-Inputs!$D$26)),Inputs!$F$26-SQRT((1-N1809)*(Inputs!$F$26-Inputs!$D$26)*(Inputs!$F$26-Inputs!$E$26)))</f>
        <v>0.801744422914481</v>
      </c>
      <c r="P1809" s="81" t="n">
        <f aca="true">RAND()</f>
        <v>0.266153017670933</v>
      </c>
      <c r="Q1809" s="82" t="n">
        <f aca="false">IF(P1809&lt;(Inputs!$E$27-Inputs!$D$27)/(Inputs!$F$27-Inputs!$D$27),Inputs!$D$27+SQRT(P1809*(Inputs!$F$27-Inputs!$D$27)*(Inputs!$E$27-Inputs!$D$27)),Inputs!$F$27-SQRT((1-P1809)*(Inputs!$F$27-Inputs!$D$27)*(Inputs!$F$27-Inputs!$E$27)))</f>
        <v>75.8120470192903</v>
      </c>
      <c r="R1809" s="81" t="n">
        <f aca="true">RAND()</f>
        <v>0.753775140991547</v>
      </c>
      <c r="S1809" s="82" t="n">
        <f aca="false">IF(R1809&lt;(Inputs!$E$29-Inputs!$D$29)/(Inputs!$F$29-Inputs!$D$29),Inputs!$D$29+SQRT(R1809*(Inputs!$F$29-Inputs!$D$29)*(Inputs!$E$29-Inputs!$D$29)),Inputs!$F$29-SQRT((1-R1809)*(Inputs!$F$29-Inputs!$D$29)*(Inputs!$F$29-Inputs!$E$29)))</f>
        <v>9.34232983719457</v>
      </c>
      <c r="T1809" s="68" t="n">
        <f aca="false">Inputs!$E$9*(1+E1809)+Inputs!$E$5*C1809*(Inputs!$E$11*Inputs!$E$14*(G1809*I1809/Inputs!$E$16+(1-G1809))*K1809+Inputs!$E$23*M1809)*(1+O1809)+Inputs!$E$5*(Q1809+S1809)</f>
        <v>7067.05044767134</v>
      </c>
    </row>
    <row r="1810" customFormat="false" ht="15" hidden="false" customHeight="false" outlineLevel="0" collapsed="false">
      <c r="A1810" s="1" t="n">
        <v>1806</v>
      </c>
      <c r="B1810" s="81" t="n">
        <f aca="true">RAND()</f>
        <v>0.130406708936235</v>
      </c>
      <c r="C1810" s="82" t="n">
        <f aca="false">ROUND(IF(B1810&lt;(Inputs!$E$8-Inputs!$D$8)/(Inputs!$F$8-Inputs!$D$8),Inputs!$D$8+SQRT(B1810*(Inputs!$F$8-Inputs!$D$8)*(Inputs!$E$8-Inputs!$D$8)),Inputs!$F$8-SQRT((1-B1810)*(Inputs!$F$8-Inputs!$D$8)*(Inputs!$F$8-Inputs!$E$8))),0)</f>
        <v>23</v>
      </c>
      <c r="D1810" s="81" t="n">
        <f aca="true">RAND()</f>
        <v>0.908721179874467</v>
      </c>
      <c r="E1810" s="83" t="n">
        <f aca="false">IF(D1810&lt;(Inputs!$E$10-Inputs!$D$10)/(Inputs!$F$10-Inputs!$D$10),Inputs!$D$10+SQRT(D1810*(Inputs!$F$10-Inputs!$D$10)*(Inputs!$E$10-Inputs!$D$10)),Inputs!$F$10-SQRT((1-D1810)*(Inputs!$F$10-Inputs!$D$10)*(Inputs!$F$10-Inputs!$E$10)))</f>
        <v>0.147670614337965</v>
      </c>
      <c r="F1810" s="81" t="n">
        <f aca="true">RAND()</f>
        <v>0.965791382386524</v>
      </c>
      <c r="G1810" s="83" t="n">
        <f aca="false">IF(F1810&lt;(Inputs!$E$15-Inputs!$D$15)/(Inputs!$F$15-Inputs!$D$15),Inputs!$D$15+SQRT(F1810*(Inputs!$F$15-Inputs!$D$15)*(Inputs!$E$15-Inputs!$D$15)),Inputs!$F$15-SQRT((1-F1810)*(Inputs!$F$15-Inputs!$D$15)*(Inputs!$F$15-Inputs!$E$15)))</f>
        <v>0.773843311519431</v>
      </c>
      <c r="H1810" s="81" t="n">
        <f aca="true">RAND()</f>
        <v>0.448101089962896</v>
      </c>
      <c r="I1810" s="82" t="n">
        <f aca="false">ROUND(IF(H1810&lt;(Inputs!$E$17-Inputs!$D$17)/(Inputs!$F$17-Inputs!$D$17),Inputs!$D$17+SQRT(H1810*(Inputs!$F$17-Inputs!$D$17)*(Inputs!$E$17-Inputs!$D$17)),Inputs!$F$17-SQRT((1-H1810)*(Inputs!$F$17-Inputs!$D$17)*(Inputs!$F$17-Inputs!$E$17))),0)</f>
        <v>106</v>
      </c>
      <c r="J1810" s="81" t="n">
        <f aca="true">RAND()</f>
        <v>0.144846268948312</v>
      </c>
      <c r="K1810" s="83" t="n">
        <f aca="false">IF(J1810&lt;(Inputs!$E$18-Inputs!$D$18)/(Inputs!$F$18-Inputs!$D$18),Inputs!$D$18+SQRT(J1810*(Inputs!$F$18-Inputs!$D$18)*(Inputs!$E$18-Inputs!$D$18)),Inputs!$F$18-SQRT((1-J1810)*(Inputs!$F$18-Inputs!$D$18)*(Inputs!$F$18-Inputs!$E$18)))</f>
        <v>0.971201259912946</v>
      </c>
      <c r="L1810" s="81" t="n">
        <f aca="true">RAND()</f>
        <v>0.819024743352351</v>
      </c>
      <c r="M1810" s="83" t="n">
        <f aca="false">IF(L1810&lt;(Inputs!$E$24-Inputs!$D$24)/(Inputs!$F$24-Inputs!$D$24),Inputs!$D$24+SQRT(L1810*(Inputs!$F$24-Inputs!$D$24)*(Inputs!$E$24-Inputs!$D$24)),Inputs!$F$24-SQRT((1-L1810)*(Inputs!$F$24-Inputs!$D$24)*(Inputs!$F$24-Inputs!$E$24)))</f>
        <v>0.991591599028648</v>
      </c>
      <c r="N1810" s="81" t="n">
        <f aca="true">RAND()</f>
        <v>0.262854465297761</v>
      </c>
      <c r="O1810" s="83" t="n">
        <f aca="false">IF(N1810&lt;(Inputs!$E$26-Inputs!$D$26)/(Inputs!$F$26-Inputs!$D$26),Inputs!$D$26+SQRT(N1810*(Inputs!$F$26-Inputs!$D$26)*(Inputs!$E$26-Inputs!$D$26)),Inputs!$F$26-SQRT((1-N1810)*(Inputs!$F$26-Inputs!$D$26)*(Inputs!$F$26-Inputs!$E$26)))</f>
        <v>0.509138669369267</v>
      </c>
      <c r="P1810" s="81" t="n">
        <f aca="true">RAND()</f>
        <v>0.163361315176193</v>
      </c>
      <c r="Q1810" s="82" t="n">
        <f aca="false">IF(P1810&lt;(Inputs!$E$27-Inputs!$D$27)/(Inputs!$F$27-Inputs!$D$27),Inputs!$D$27+SQRT(P1810*(Inputs!$F$27-Inputs!$D$27)*(Inputs!$E$27-Inputs!$D$27)),Inputs!$F$27-SQRT((1-P1810)*(Inputs!$F$27-Inputs!$D$27)*(Inputs!$F$27-Inputs!$E$27)))</f>
        <v>70.2089902751346</v>
      </c>
      <c r="R1810" s="81" t="n">
        <f aca="true">RAND()</f>
        <v>0.303524121778454</v>
      </c>
      <c r="S1810" s="82" t="n">
        <f aca="false">IF(R1810&lt;(Inputs!$E$29-Inputs!$D$29)/(Inputs!$F$29-Inputs!$D$29),Inputs!$D$29+SQRT(R1810*(Inputs!$F$29-Inputs!$D$29)*(Inputs!$E$29-Inputs!$D$29)),Inputs!$F$29-SQRT((1-R1810)*(Inputs!$F$29-Inputs!$D$29)*(Inputs!$F$29-Inputs!$E$29)))</f>
        <v>5.48465112732061</v>
      </c>
      <c r="T1810" s="68" t="n">
        <f aca="false">Inputs!$E$9*(1+E1810)+Inputs!$E$5*C1810*(Inputs!$E$11*Inputs!$E$14*(G1810*I1810/Inputs!$E$16+(1-G1810))*K1810+Inputs!$E$23*M1810)*(1+O1810)+Inputs!$E$5*(Q1810+S1810)</f>
        <v>5868.6453173777</v>
      </c>
    </row>
    <row r="1811" customFormat="false" ht="15" hidden="false" customHeight="false" outlineLevel="0" collapsed="false">
      <c r="A1811" s="1" t="n">
        <v>1807</v>
      </c>
      <c r="B1811" s="81" t="n">
        <f aca="true">RAND()</f>
        <v>0.764843248004793</v>
      </c>
      <c r="C1811" s="82" t="n">
        <f aca="false">ROUND(IF(B1811&lt;(Inputs!$E$8-Inputs!$D$8)/(Inputs!$F$8-Inputs!$D$8),Inputs!$D$8+SQRT(B1811*(Inputs!$F$8-Inputs!$D$8)*(Inputs!$E$8-Inputs!$D$8)),Inputs!$F$8-SQRT((1-B1811)*(Inputs!$F$8-Inputs!$D$8)*(Inputs!$F$8-Inputs!$E$8))),0)</f>
        <v>27</v>
      </c>
      <c r="D1811" s="81" t="n">
        <f aca="true">RAND()</f>
        <v>0.553805201653764</v>
      </c>
      <c r="E1811" s="83" t="n">
        <f aca="false">IF(D1811&lt;(Inputs!$E$10-Inputs!$D$10)/(Inputs!$F$10-Inputs!$D$10),Inputs!$D$10+SQRT(D1811*(Inputs!$F$10-Inputs!$D$10)*(Inputs!$E$10-Inputs!$D$10)),Inputs!$F$10-SQRT((1-D1811)*(Inputs!$F$10-Inputs!$D$10)*(Inputs!$F$10-Inputs!$E$10)))</f>
        <v>0.0843027919507688</v>
      </c>
      <c r="F1811" s="81" t="n">
        <f aca="true">RAND()</f>
        <v>0.224909249401257</v>
      </c>
      <c r="G1811" s="83" t="n">
        <f aca="false">IF(F1811&lt;(Inputs!$E$15-Inputs!$D$15)/(Inputs!$F$15-Inputs!$D$15),Inputs!$D$15+SQRT(F1811*(Inputs!$F$15-Inputs!$D$15)*(Inputs!$E$15-Inputs!$D$15)),Inputs!$F$15-SQRT((1-F1811)*(Inputs!$F$15-Inputs!$D$15)*(Inputs!$F$15-Inputs!$E$15)))</f>
        <v>0.667068509660087</v>
      </c>
      <c r="H1811" s="81" t="n">
        <f aca="true">RAND()</f>
        <v>0.200586017797734</v>
      </c>
      <c r="I1811" s="82" t="n">
        <f aca="false">ROUND(IF(H1811&lt;(Inputs!$E$17-Inputs!$D$17)/(Inputs!$F$17-Inputs!$D$17),Inputs!$D$17+SQRT(H1811*(Inputs!$F$17-Inputs!$D$17)*(Inputs!$E$17-Inputs!$D$17)),Inputs!$F$17-SQRT((1-H1811)*(Inputs!$F$17-Inputs!$D$17)*(Inputs!$F$17-Inputs!$E$17))),0)</f>
        <v>104</v>
      </c>
      <c r="J1811" s="81" t="n">
        <f aca="true">RAND()</f>
        <v>0.153002368773408</v>
      </c>
      <c r="K1811" s="83" t="n">
        <f aca="false">IF(J1811&lt;(Inputs!$E$18-Inputs!$D$18)/(Inputs!$F$18-Inputs!$D$18),Inputs!$D$18+SQRT(J1811*(Inputs!$F$18-Inputs!$D$18)*(Inputs!$E$18-Inputs!$D$18)),Inputs!$F$18-SQRT((1-J1811)*(Inputs!$F$18-Inputs!$D$18)*(Inputs!$F$18-Inputs!$E$18)))</f>
        <v>0.973178431980122</v>
      </c>
      <c r="L1811" s="81" t="n">
        <f aca="true">RAND()</f>
        <v>0.190700140675325</v>
      </c>
      <c r="M1811" s="83" t="n">
        <f aca="false">IF(L1811&lt;(Inputs!$E$24-Inputs!$D$24)/(Inputs!$F$24-Inputs!$D$24),Inputs!$D$24+SQRT(L1811*(Inputs!$F$24-Inputs!$D$24)*(Inputs!$E$24-Inputs!$D$24)),Inputs!$F$24-SQRT((1-L1811)*(Inputs!$F$24-Inputs!$D$24)*(Inputs!$F$24-Inputs!$E$24)))</f>
        <v>0.751274640574814</v>
      </c>
      <c r="N1811" s="81" t="n">
        <f aca="true">RAND()</f>
        <v>0.44492406519797</v>
      </c>
      <c r="O1811" s="83" t="n">
        <f aca="false">IF(N1811&lt;(Inputs!$E$26-Inputs!$D$26)/(Inputs!$F$26-Inputs!$D$26),Inputs!$D$26+SQRT(N1811*(Inputs!$F$26-Inputs!$D$26)*(Inputs!$E$26-Inputs!$D$26)),Inputs!$F$26-SQRT((1-N1811)*(Inputs!$F$26-Inputs!$D$26)*(Inputs!$F$26-Inputs!$E$26)))</f>
        <v>0.572094403560496</v>
      </c>
      <c r="P1811" s="81" t="n">
        <f aca="true">RAND()</f>
        <v>0.278613024703517</v>
      </c>
      <c r="Q1811" s="82" t="n">
        <f aca="false">IF(P1811&lt;(Inputs!$E$27-Inputs!$D$27)/(Inputs!$F$27-Inputs!$D$27),Inputs!$D$27+SQRT(P1811*(Inputs!$F$27-Inputs!$D$27)*(Inputs!$E$27-Inputs!$D$27)),Inputs!$F$27-SQRT((1-P1811)*(Inputs!$F$27-Inputs!$D$27)*(Inputs!$F$27-Inputs!$E$27)))</f>
        <v>76.4445629832599</v>
      </c>
      <c r="R1811" s="81" t="n">
        <f aca="true">RAND()</f>
        <v>0.0695974000391084</v>
      </c>
      <c r="S1811" s="82" t="n">
        <f aca="false">IF(R1811&lt;(Inputs!$E$29-Inputs!$D$29)/(Inputs!$F$29-Inputs!$D$29),Inputs!$D$29+SQRT(R1811*(Inputs!$F$29-Inputs!$D$29)*(Inputs!$E$29-Inputs!$D$29)),Inputs!$F$29-SQRT((1-R1811)*(Inputs!$F$29-Inputs!$D$29)*(Inputs!$F$29-Inputs!$E$29)))</f>
        <v>3.64751285322004</v>
      </c>
      <c r="T1811" s="68" t="n">
        <f aca="false">Inputs!$E$9*(1+E1811)+Inputs!$E$5*C1811*(Inputs!$E$11*Inputs!$E$14*(G1811*I1811/Inputs!$E$16+(1-G1811))*K1811+Inputs!$E$23*M1811)*(1+O1811)+Inputs!$E$5*(Q1811+S1811)</f>
        <v>6174.91649287415</v>
      </c>
    </row>
    <row r="1812" customFormat="false" ht="15" hidden="false" customHeight="false" outlineLevel="0" collapsed="false">
      <c r="A1812" s="1" t="n">
        <v>1808</v>
      </c>
      <c r="B1812" s="81" t="n">
        <f aca="true">RAND()</f>
        <v>0.69448718374008</v>
      </c>
      <c r="C1812" s="82" t="n">
        <f aca="false">ROUND(IF(B1812&lt;(Inputs!$E$8-Inputs!$D$8)/(Inputs!$F$8-Inputs!$D$8),Inputs!$D$8+SQRT(B1812*(Inputs!$F$8-Inputs!$D$8)*(Inputs!$E$8-Inputs!$D$8)),Inputs!$F$8-SQRT((1-B1812)*(Inputs!$F$8-Inputs!$D$8)*(Inputs!$F$8-Inputs!$E$8))),0)</f>
        <v>26</v>
      </c>
      <c r="D1812" s="81" t="n">
        <f aca="true">RAND()</f>
        <v>0.274279275149204</v>
      </c>
      <c r="E1812" s="83" t="n">
        <f aca="false">IF(D1812&lt;(Inputs!$E$10-Inputs!$D$10)/(Inputs!$F$10-Inputs!$D$10),Inputs!$D$10+SQRT(D1812*(Inputs!$F$10-Inputs!$D$10)*(Inputs!$E$10-Inputs!$D$10)),Inputs!$F$10-SQRT((1-D1812)*(Inputs!$F$10-Inputs!$D$10)*(Inputs!$F$10-Inputs!$E$10)))</f>
        <v>0.0524479015888833</v>
      </c>
      <c r="F1812" s="81" t="n">
        <f aca="true">RAND()</f>
        <v>0.737933914988226</v>
      </c>
      <c r="G1812" s="83" t="n">
        <f aca="false">IF(F1812&lt;(Inputs!$E$15-Inputs!$D$15)/(Inputs!$F$15-Inputs!$D$15),Inputs!$D$15+SQRT(F1812*(Inputs!$F$15-Inputs!$D$15)*(Inputs!$E$15-Inputs!$D$15)),Inputs!$F$15-SQRT((1-F1812)*(Inputs!$F$15-Inputs!$D$15)*(Inputs!$F$15-Inputs!$E$15)))</f>
        <v>0.727603026995354</v>
      </c>
      <c r="H1812" s="81" t="n">
        <f aca="true">RAND()</f>
        <v>0.350264711503692</v>
      </c>
      <c r="I1812" s="82" t="n">
        <f aca="false">ROUND(IF(H1812&lt;(Inputs!$E$17-Inputs!$D$17)/(Inputs!$F$17-Inputs!$D$17),Inputs!$D$17+SQRT(H1812*(Inputs!$F$17-Inputs!$D$17)*(Inputs!$E$17-Inputs!$D$17)),Inputs!$F$17-SQRT((1-H1812)*(Inputs!$F$17-Inputs!$D$17)*(Inputs!$F$17-Inputs!$E$17))),0)</f>
        <v>105</v>
      </c>
      <c r="J1812" s="81" t="n">
        <f aca="true">RAND()</f>
        <v>0.73044715820693</v>
      </c>
      <c r="K1812" s="83" t="n">
        <f aca="false">IF(J1812&lt;(Inputs!$E$18-Inputs!$D$18)/(Inputs!$F$18-Inputs!$D$18),Inputs!$D$18+SQRT(J1812*(Inputs!$F$18-Inputs!$D$18)*(Inputs!$E$18-Inputs!$D$18)),Inputs!$F$18-SQRT((1-J1812)*(Inputs!$F$18-Inputs!$D$18)*(Inputs!$F$18-Inputs!$E$18)))</f>
        <v>1.09642306925552</v>
      </c>
      <c r="L1812" s="81" t="n">
        <f aca="true">RAND()</f>
        <v>0.251853090574688</v>
      </c>
      <c r="M1812" s="83" t="n">
        <f aca="false">IF(L1812&lt;(Inputs!$E$24-Inputs!$D$24)/(Inputs!$F$24-Inputs!$D$24),Inputs!$D$24+SQRT(L1812*(Inputs!$F$24-Inputs!$D$24)*(Inputs!$E$24-Inputs!$D$24)),Inputs!$F$24-SQRT((1-L1812)*(Inputs!$F$24-Inputs!$D$24)*(Inputs!$F$24-Inputs!$E$24)))</f>
        <v>0.773845824997216</v>
      </c>
      <c r="N1812" s="81" t="n">
        <f aca="true">RAND()</f>
        <v>0.571441219832612</v>
      </c>
      <c r="O1812" s="83" t="n">
        <f aca="false">IF(N1812&lt;(Inputs!$E$26-Inputs!$D$26)/(Inputs!$F$26-Inputs!$D$26),Inputs!$D$26+SQRT(N1812*(Inputs!$F$26-Inputs!$D$26)*(Inputs!$E$26-Inputs!$D$26)),Inputs!$F$26-SQRT((1-N1812)*(Inputs!$F$26-Inputs!$D$26)*(Inputs!$F$26-Inputs!$E$26)))</f>
        <v>0.608363128438124</v>
      </c>
      <c r="P1812" s="81" t="n">
        <f aca="true">RAND()</f>
        <v>0.132512380039448</v>
      </c>
      <c r="Q1812" s="82" t="n">
        <f aca="false">IF(P1812&lt;(Inputs!$E$27-Inputs!$D$27)/(Inputs!$F$27-Inputs!$D$27),Inputs!$D$27+SQRT(P1812*(Inputs!$F$27-Inputs!$D$27)*(Inputs!$E$27-Inputs!$D$27)),Inputs!$F$27-SQRT((1-P1812)*(Inputs!$F$27-Inputs!$D$27)*(Inputs!$F$27-Inputs!$E$27)))</f>
        <v>68.2011249679414</v>
      </c>
      <c r="R1812" s="81" t="n">
        <f aca="true">RAND()</f>
        <v>0.555059274497952</v>
      </c>
      <c r="S1812" s="82" t="n">
        <f aca="false">IF(R1812&lt;(Inputs!$E$29-Inputs!$D$29)/(Inputs!$F$29-Inputs!$D$29),Inputs!$D$29+SQRT(R1812*(Inputs!$F$29-Inputs!$D$29)*(Inputs!$E$29-Inputs!$D$29)),Inputs!$F$29-SQRT((1-R1812)*(Inputs!$F$29-Inputs!$D$29)*(Inputs!$F$29-Inputs!$E$29)))</f>
        <v>7.3945878273912</v>
      </c>
      <c r="T1812" s="68" t="n">
        <f aca="false">Inputs!$E$9*(1+E1812)+Inputs!$E$5*C1812*(Inputs!$E$11*Inputs!$E$14*(G1812*I1812/Inputs!$E$16+(1-G1812))*K1812+Inputs!$E$23*M1812)*(1+O1812)+Inputs!$E$5*(Q1812+S1812)</f>
        <v>6267.05806289862</v>
      </c>
    </row>
    <row r="1813" customFormat="false" ht="15" hidden="false" customHeight="false" outlineLevel="0" collapsed="false">
      <c r="A1813" s="1" t="n">
        <v>1809</v>
      </c>
      <c r="B1813" s="81" t="n">
        <f aca="true">RAND()</f>
        <v>0.273881272635167</v>
      </c>
      <c r="C1813" s="82" t="n">
        <f aca="false">ROUND(IF(B1813&lt;(Inputs!$E$8-Inputs!$D$8)/(Inputs!$F$8-Inputs!$D$8),Inputs!$D$8+SQRT(B1813*(Inputs!$F$8-Inputs!$D$8)*(Inputs!$E$8-Inputs!$D$8)),Inputs!$F$8-SQRT((1-B1813)*(Inputs!$F$8-Inputs!$D$8)*(Inputs!$F$8-Inputs!$E$8))),0)</f>
        <v>24</v>
      </c>
      <c r="D1813" s="81" t="n">
        <f aca="true">RAND()</f>
        <v>0.616230642432454</v>
      </c>
      <c r="E1813" s="83" t="n">
        <f aca="false">IF(D1813&lt;(Inputs!$E$10-Inputs!$D$10)/(Inputs!$F$10-Inputs!$D$10),Inputs!$D$10+SQRT(D1813*(Inputs!$F$10-Inputs!$D$10)*(Inputs!$E$10-Inputs!$D$10)),Inputs!$F$10-SQRT((1-D1813)*(Inputs!$F$10-Inputs!$D$10)*(Inputs!$F$10-Inputs!$E$10)))</f>
        <v>0.0927009751813821</v>
      </c>
      <c r="F1813" s="81" t="n">
        <f aca="true">RAND()</f>
        <v>0.670180064662232</v>
      </c>
      <c r="G1813" s="83" t="n">
        <f aca="false">IF(F1813&lt;(Inputs!$E$15-Inputs!$D$15)/(Inputs!$F$15-Inputs!$D$15),Inputs!$D$15+SQRT(F1813*(Inputs!$F$15-Inputs!$D$15)*(Inputs!$E$15-Inputs!$D$15)),Inputs!$F$15-SQRT((1-F1813)*(Inputs!$F$15-Inputs!$D$15)*(Inputs!$F$15-Inputs!$E$15)))</f>
        <v>0.71878178340572</v>
      </c>
      <c r="H1813" s="81" t="n">
        <f aca="true">RAND()</f>
        <v>0.371126694757066</v>
      </c>
      <c r="I1813" s="82" t="n">
        <f aca="false">ROUND(IF(H1813&lt;(Inputs!$E$17-Inputs!$D$17)/(Inputs!$F$17-Inputs!$D$17),Inputs!$D$17+SQRT(H1813*(Inputs!$F$17-Inputs!$D$17)*(Inputs!$E$17-Inputs!$D$17)),Inputs!$F$17-SQRT((1-H1813)*(Inputs!$F$17-Inputs!$D$17)*(Inputs!$F$17-Inputs!$E$17))),0)</f>
        <v>105</v>
      </c>
      <c r="J1813" s="81" t="n">
        <f aca="true">RAND()</f>
        <v>0.0167052647154341</v>
      </c>
      <c r="K1813" s="83" t="n">
        <f aca="false">IF(J1813&lt;(Inputs!$E$18-Inputs!$D$18)/(Inputs!$F$18-Inputs!$D$18),Inputs!$D$18+SQRT(J1813*(Inputs!$F$18-Inputs!$D$18)*(Inputs!$E$18-Inputs!$D$18)),Inputs!$F$18-SQRT((1-J1813)*(Inputs!$F$18-Inputs!$D$18)*(Inputs!$F$18-Inputs!$E$18)))</f>
        <v>0.924180245346981</v>
      </c>
      <c r="L1813" s="81" t="n">
        <f aca="true">RAND()</f>
        <v>0.605686848771996</v>
      </c>
      <c r="M1813" s="83" t="n">
        <f aca="false">IF(L1813&lt;(Inputs!$E$24-Inputs!$D$24)/(Inputs!$F$24-Inputs!$D$24),Inputs!$D$24+SQRT(L1813*(Inputs!$F$24-Inputs!$D$24)*(Inputs!$E$24-Inputs!$D$24)),Inputs!$F$24-SQRT((1-L1813)*(Inputs!$F$24-Inputs!$D$24)*(Inputs!$F$24-Inputs!$E$24)))</f>
        <v>0.892371723837484</v>
      </c>
      <c r="N1813" s="81" t="n">
        <f aca="true">RAND()</f>
        <v>0.661055004625598</v>
      </c>
      <c r="O1813" s="83" t="n">
        <f aca="false">IF(N1813&lt;(Inputs!$E$26-Inputs!$D$26)/(Inputs!$F$26-Inputs!$D$26),Inputs!$D$26+SQRT(N1813*(Inputs!$F$26-Inputs!$D$26)*(Inputs!$E$26-Inputs!$D$26)),Inputs!$F$26-SQRT((1-N1813)*(Inputs!$F$26-Inputs!$D$26)*(Inputs!$F$26-Inputs!$E$26)))</f>
        <v>0.632249422054318</v>
      </c>
      <c r="P1813" s="81" t="n">
        <f aca="true">RAND()</f>
        <v>0.0171965074995258</v>
      </c>
      <c r="Q1813" s="82" t="n">
        <f aca="false">IF(P1813&lt;(Inputs!$E$27-Inputs!$D$27)/(Inputs!$F$27-Inputs!$D$27),Inputs!$D$27+SQRT(P1813*(Inputs!$F$27-Inputs!$D$27)*(Inputs!$E$27-Inputs!$D$27)),Inputs!$F$27-SQRT((1-P1813)*(Inputs!$F$27-Inputs!$D$27)*(Inputs!$F$27-Inputs!$E$27)))</f>
        <v>56.5567727388415</v>
      </c>
      <c r="R1813" s="81" t="n">
        <f aca="true">RAND()</f>
        <v>0.345118987714374</v>
      </c>
      <c r="S1813" s="82" t="n">
        <f aca="false">IF(R1813&lt;(Inputs!$E$29-Inputs!$D$29)/(Inputs!$F$29-Inputs!$D$29),Inputs!$D$29+SQRT(R1813*(Inputs!$F$29-Inputs!$D$29)*(Inputs!$E$29-Inputs!$D$29)),Inputs!$F$29-SQRT((1-R1813)*(Inputs!$F$29-Inputs!$D$29)*(Inputs!$F$29-Inputs!$E$29)))</f>
        <v>5.77316242707549</v>
      </c>
      <c r="T1813" s="68" t="n">
        <f aca="false">Inputs!$E$9*(1+E1813)+Inputs!$E$5*C1813*(Inputs!$E$11*Inputs!$E$14*(G1813*I1813/Inputs!$E$16+(1-G1813))*K1813+Inputs!$E$23*M1813)*(1+O1813)+Inputs!$E$5*(Q1813+S1813)</f>
        <v>5883.40953994493</v>
      </c>
    </row>
    <row r="1814" customFormat="false" ht="15" hidden="false" customHeight="false" outlineLevel="0" collapsed="false">
      <c r="A1814" s="1" t="n">
        <v>1810</v>
      </c>
      <c r="B1814" s="81" t="n">
        <f aca="true">RAND()</f>
        <v>0.0952191994971627</v>
      </c>
      <c r="C1814" s="82" t="n">
        <f aca="false">ROUND(IF(B1814&lt;(Inputs!$E$8-Inputs!$D$8)/(Inputs!$F$8-Inputs!$D$8),Inputs!$D$8+SQRT(B1814*(Inputs!$F$8-Inputs!$D$8)*(Inputs!$E$8-Inputs!$D$8)),Inputs!$F$8-SQRT((1-B1814)*(Inputs!$F$8-Inputs!$D$8)*(Inputs!$F$8-Inputs!$E$8))),0)</f>
        <v>22</v>
      </c>
      <c r="D1814" s="81" t="n">
        <f aca="true">RAND()</f>
        <v>0.255329867822752</v>
      </c>
      <c r="E1814" s="83" t="n">
        <f aca="false">IF(D1814&lt;(Inputs!$E$10-Inputs!$D$10)/(Inputs!$F$10-Inputs!$D$10),Inputs!$D$10+SQRT(D1814*(Inputs!$F$10-Inputs!$D$10)*(Inputs!$E$10-Inputs!$D$10)),Inputs!$F$10-SQRT((1-D1814)*(Inputs!$F$10-Inputs!$D$10)*(Inputs!$F$10-Inputs!$E$10)))</f>
        <v>0.0505339370782871</v>
      </c>
      <c r="F1814" s="81" t="n">
        <f aca="true">RAND()</f>
        <v>0.217670763133158</v>
      </c>
      <c r="G1814" s="83" t="n">
        <f aca="false">IF(F1814&lt;(Inputs!$E$15-Inputs!$D$15)/(Inputs!$F$15-Inputs!$D$15),Inputs!$D$15+SQRT(F1814*(Inputs!$F$15-Inputs!$D$15)*(Inputs!$E$15-Inputs!$D$15)),Inputs!$F$15-SQRT((1-F1814)*(Inputs!$F$15-Inputs!$D$15)*(Inputs!$F$15-Inputs!$E$15)))</f>
        <v>0.665980415750912</v>
      </c>
      <c r="H1814" s="81" t="n">
        <f aca="true">RAND()</f>
        <v>0.290215165897961</v>
      </c>
      <c r="I1814" s="82" t="n">
        <f aca="false">ROUND(IF(H1814&lt;(Inputs!$E$17-Inputs!$D$17)/(Inputs!$F$17-Inputs!$D$17),Inputs!$D$17+SQRT(H1814*(Inputs!$F$17-Inputs!$D$17)*(Inputs!$E$17-Inputs!$D$17)),Inputs!$F$17-SQRT((1-H1814)*(Inputs!$F$17-Inputs!$D$17)*(Inputs!$F$17-Inputs!$E$17))),0)</f>
        <v>105</v>
      </c>
      <c r="J1814" s="81" t="n">
        <f aca="true">RAND()</f>
        <v>0.665995670672261</v>
      </c>
      <c r="K1814" s="83" t="n">
        <f aca="false">IF(J1814&lt;(Inputs!$E$18-Inputs!$D$18)/(Inputs!$F$18-Inputs!$D$18),Inputs!$D$18+SQRT(J1814*(Inputs!$F$18-Inputs!$D$18)*(Inputs!$E$18-Inputs!$D$18)),Inputs!$F$18-SQRT((1-J1814)*(Inputs!$F$18-Inputs!$D$18)*(Inputs!$F$18-Inputs!$E$18)))</f>
        <v>1.079045682078</v>
      </c>
      <c r="L1814" s="81" t="n">
        <f aca="true">RAND()</f>
        <v>0.101316802563535</v>
      </c>
      <c r="M1814" s="83" t="n">
        <f aca="false">IF(L1814&lt;(Inputs!$E$24-Inputs!$D$24)/(Inputs!$F$24-Inputs!$D$24),Inputs!$D$24+SQRT(L1814*(Inputs!$F$24-Inputs!$D$24)*(Inputs!$E$24-Inputs!$D$24)),Inputs!$F$24-SQRT((1-L1814)*(Inputs!$F$24-Inputs!$D$24)*(Inputs!$F$24-Inputs!$E$24)))</f>
        <v>0.710263395139204</v>
      </c>
      <c r="N1814" s="81" t="n">
        <f aca="true">RAND()</f>
        <v>0.185577727750209</v>
      </c>
      <c r="O1814" s="83" t="n">
        <f aca="false">IF(N1814&lt;(Inputs!$E$26-Inputs!$D$26)/(Inputs!$F$26-Inputs!$D$26),Inputs!$D$26+SQRT(N1814*(Inputs!$F$26-Inputs!$D$26)*(Inputs!$E$26-Inputs!$D$26)),Inputs!$F$26-SQRT((1-N1814)*(Inputs!$F$26-Inputs!$D$26)*(Inputs!$F$26-Inputs!$E$26)))</f>
        <v>0.475727442073328</v>
      </c>
      <c r="P1814" s="81" t="n">
        <f aca="true">RAND()</f>
        <v>0.661451878651599</v>
      </c>
      <c r="Q1814" s="82" t="n">
        <f aca="false">IF(P1814&lt;(Inputs!$E$27-Inputs!$D$27)/(Inputs!$F$27-Inputs!$D$27),Inputs!$D$27+SQRT(P1814*(Inputs!$F$27-Inputs!$D$27)*(Inputs!$E$27-Inputs!$D$27)),Inputs!$F$27-SQRT((1-P1814)*(Inputs!$F$27-Inputs!$D$27)*(Inputs!$F$27-Inputs!$E$27)))</f>
        <v>99.6104087125823</v>
      </c>
      <c r="R1814" s="81" t="n">
        <f aca="true">RAND()</f>
        <v>0.769617239988895</v>
      </c>
      <c r="S1814" s="82" t="n">
        <f aca="false">IF(R1814&lt;(Inputs!$E$29-Inputs!$D$29)/(Inputs!$F$29-Inputs!$D$29),Inputs!$D$29+SQRT(R1814*(Inputs!$F$29-Inputs!$D$29)*(Inputs!$E$29-Inputs!$D$29)),Inputs!$F$29-SQRT((1-R1814)*(Inputs!$F$29-Inputs!$D$29)*(Inputs!$F$29-Inputs!$E$29)))</f>
        <v>9.5273627197261</v>
      </c>
      <c r="T1814" s="68" t="n">
        <f aca="false">Inputs!$E$9*(1+E1814)+Inputs!$E$5*C1814*(Inputs!$E$11*Inputs!$E$14*(G1814*I1814/Inputs!$E$16+(1-G1814))*K1814+Inputs!$E$23*M1814)*(1+O1814)+Inputs!$E$5*(Q1814+S1814)</f>
        <v>5599.91032513155</v>
      </c>
    </row>
    <row r="1815" customFormat="false" ht="15" hidden="false" customHeight="false" outlineLevel="0" collapsed="false">
      <c r="A1815" s="1" t="n">
        <v>1811</v>
      </c>
      <c r="B1815" s="81" t="n">
        <f aca="true">RAND()</f>
        <v>0.608858686123875</v>
      </c>
      <c r="C1815" s="82" t="n">
        <f aca="false">ROUND(IF(B1815&lt;(Inputs!$E$8-Inputs!$D$8)/(Inputs!$F$8-Inputs!$D$8),Inputs!$D$8+SQRT(B1815*(Inputs!$F$8-Inputs!$D$8)*(Inputs!$E$8-Inputs!$D$8)),Inputs!$F$8-SQRT((1-B1815)*(Inputs!$F$8-Inputs!$D$8)*(Inputs!$F$8-Inputs!$E$8))),0)</f>
        <v>26</v>
      </c>
      <c r="D1815" s="81" t="n">
        <f aca="true">RAND()</f>
        <v>0.824696214246897</v>
      </c>
      <c r="E1815" s="83" t="n">
        <f aca="false">IF(D1815&lt;(Inputs!$E$10-Inputs!$D$10)/(Inputs!$F$10-Inputs!$D$10),Inputs!$D$10+SQRT(D1815*(Inputs!$F$10-Inputs!$D$10)*(Inputs!$E$10-Inputs!$D$10)),Inputs!$F$10-SQRT((1-D1815)*(Inputs!$F$10-Inputs!$D$10)*(Inputs!$F$10-Inputs!$E$10)))</f>
        <v>0.127480253912516</v>
      </c>
      <c r="F1815" s="81" t="n">
        <f aca="true">RAND()</f>
        <v>0.66899831317781</v>
      </c>
      <c r="G1815" s="83" t="n">
        <f aca="false">IF(F1815&lt;(Inputs!$E$15-Inputs!$D$15)/(Inputs!$F$15-Inputs!$D$15),Inputs!$D$15+SQRT(F1815*(Inputs!$F$15-Inputs!$D$15)*(Inputs!$E$15-Inputs!$D$15)),Inputs!$F$15-SQRT((1-F1815)*(Inputs!$F$15-Inputs!$D$15)*(Inputs!$F$15-Inputs!$E$15)))</f>
        <v>0.718636410253457</v>
      </c>
      <c r="H1815" s="81" t="n">
        <f aca="true">RAND()</f>
        <v>0.554511331609683</v>
      </c>
      <c r="I1815" s="82" t="n">
        <f aca="false">ROUND(IF(H1815&lt;(Inputs!$E$17-Inputs!$D$17)/(Inputs!$F$17-Inputs!$D$17),Inputs!$D$17+SQRT(H1815*(Inputs!$F$17-Inputs!$D$17)*(Inputs!$E$17-Inputs!$D$17)),Inputs!$F$17-SQRT((1-H1815)*(Inputs!$F$17-Inputs!$D$17)*(Inputs!$F$17-Inputs!$E$17))),0)</f>
        <v>107</v>
      </c>
      <c r="J1815" s="81" t="n">
        <f aca="true">RAND()</f>
        <v>0.589041964676524</v>
      </c>
      <c r="K1815" s="83" t="n">
        <f aca="false">IF(J1815&lt;(Inputs!$E$18-Inputs!$D$18)/(Inputs!$F$18-Inputs!$D$18),Inputs!$D$18+SQRT(J1815*(Inputs!$F$18-Inputs!$D$18)*(Inputs!$E$18-Inputs!$D$18)),Inputs!$F$18-SQRT((1-J1815)*(Inputs!$F$18-Inputs!$D$18)*(Inputs!$F$18-Inputs!$E$18)))</f>
        <v>1.06037186893606</v>
      </c>
      <c r="L1815" s="81" t="n">
        <f aca="true">RAND()</f>
        <v>0.545649101162814</v>
      </c>
      <c r="M1815" s="83" t="n">
        <f aca="false">IF(L1815&lt;(Inputs!$E$24-Inputs!$D$24)/(Inputs!$F$24-Inputs!$D$24),Inputs!$D$24+SQRT(L1815*(Inputs!$F$24-Inputs!$D$24)*(Inputs!$E$24-Inputs!$D$24)),Inputs!$F$24-SQRT((1-L1815)*(Inputs!$F$24-Inputs!$D$24)*(Inputs!$F$24-Inputs!$E$24)))</f>
        <v>0.869781563626553</v>
      </c>
      <c r="N1815" s="81" t="n">
        <f aca="true">RAND()</f>
        <v>0.623228499300373</v>
      </c>
      <c r="O1815" s="83" t="n">
        <f aca="false">IF(N1815&lt;(Inputs!$E$26-Inputs!$D$26)/(Inputs!$F$26-Inputs!$D$26),Inputs!$D$26+SQRT(N1815*(Inputs!$F$26-Inputs!$D$26)*(Inputs!$E$26-Inputs!$D$26)),Inputs!$F$26-SQRT((1-N1815)*(Inputs!$F$26-Inputs!$D$26)*(Inputs!$F$26-Inputs!$E$26)))</f>
        <v>0.622049915198904</v>
      </c>
      <c r="P1815" s="81" t="n">
        <f aca="true">RAND()</f>
        <v>0.151374917463056</v>
      </c>
      <c r="Q1815" s="82" t="n">
        <f aca="false">IF(P1815&lt;(Inputs!$E$27-Inputs!$D$27)/(Inputs!$F$27-Inputs!$D$27),Inputs!$D$27+SQRT(P1815*(Inputs!$F$27-Inputs!$D$27)*(Inputs!$E$27-Inputs!$D$27)),Inputs!$F$27-SQRT((1-P1815)*(Inputs!$F$27-Inputs!$D$27)*(Inputs!$F$27-Inputs!$E$27)))</f>
        <v>69.4534648239752</v>
      </c>
      <c r="R1815" s="81" t="n">
        <f aca="true">RAND()</f>
        <v>0.585705207519491</v>
      </c>
      <c r="S1815" s="82" t="n">
        <f aca="false">IF(R1815&lt;(Inputs!$E$29-Inputs!$D$29)/(Inputs!$F$29-Inputs!$D$29),Inputs!$D$29+SQRT(R1815*(Inputs!$F$29-Inputs!$D$29)*(Inputs!$E$29-Inputs!$D$29)),Inputs!$F$29-SQRT((1-R1815)*(Inputs!$F$29-Inputs!$D$29)*(Inputs!$F$29-Inputs!$E$29)))</f>
        <v>7.66117700019504</v>
      </c>
      <c r="T1815" s="68" t="n">
        <f aca="false">Inputs!$E$9*(1+E1815)+Inputs!$E$5*C1815*(Inputs!$E$11*Inputs!$E$14*(G1815*I1815/Inputs!$E$16+(1-G1815))*K1815+Inputs!$E$23*M1815)*(1+O1815)+Inputs!$E$5*(Q1815+S1815)</f>
        <v>6574.2399209486</v>
      </c>
    </row>
    <row r="1816" customFormat="false" ht="15" hidden="false" customHeight="false" outlineLevel="0" collapsed="false">
      <c r="A1816" s="1" t="n">
        <v>1812</v>
      </c>
      <c r="B1816" s="81" t="n">
        <f aca="true">RAND()</f>
        <v>0.605762899674779</v>
      </c>
      <c r="C1816" s="82" t="n">
        <f aca="false">ROUND(IF(B1816&lt;(Inputs!$E$8-Inputs!$D$8)/(Inputs!$F$8-Inputs!$D$8),Inputs!$D$8+SQRT(B1816*(Inputs!$F$8-Inputs!$D$8)*(Inputs!$E$8-Inputs!$D$8)),Inputs!$F$8-SQRT((1-B1816)*(Inputs!$F$8-Inputs!$D$8)*(Inputs!$F$8-Inputs!$E$8))),0)</f>
        <v>26</v>
      </c>
      <c r="D1816" s="81" t="n">
        <f aca="true">RAND()</f>
        <v>0.295659430727604</v>
      </c>
      <c r="E1816" s="83" t="n">
        <f aca="false">IF(D1816&lt;(Inputs!$E$10-Inputs!$D$10)/(Inputs!$F$10-Inputs!$D$10),Inputs!$D$10+SQRT(D1816*(Inputs!$F$10-Inputs!$D$10)*(Inputs!$E$10-Inputs!$D$10)),Inputs!$F$10-SQRT((1-D1816)*(Inputs!$F$10-Inputs!$D$10)*(Inputs!$F$10-Inputs!$E$10)))</f>
        <v>0.0546376352759358</v>
      </c>
      <c r="F1816" s="81" t="n">
        <f aca="true">RAND()</f>
        <v>0.297449287070583</v>
      </c>
      <c r="G1816" s="83" t="n">
        <f aca="false">IF(F1816&lt;(Inputs!$E$15-Inputs!$D$15)/(Inputs!$F$15-Inputs!$D$15),Inputs!$D$15+SQRT(F1816*(Inputs!$F$15-Inputs!$D$15)*(Inputs!$E$15-Inputs!$D$15)),Inputs!$F$15-SQRT((1-F1816)*(Inputs!$F$15-Inputs!$D$15)*(Inputs!$F$15-Inputs!$E$15)))</f>
        <v>0.677129668360571</v>
      </c>
      <c r="H1816" s="81" t="n">
        <f aca="true">RAND()</f>
        <v>0.313001503933291</v>
      </c>
      <c r="I1816" s="82" t="n">
        <f aca="false">ROUND(IF(H1816&lt;(Inputs!$E$17-Inputs!$D$17)/(Inputs!$F$17-Inputs!$D$17),Inputs!$D$17+SQRT(H1816*(Inputs!$F$17-Inputs!$D$17)*(Inputs!$E$17-Inputs!$D$17)),Inputs!$F$17-SQRT((1-H1816)*(Inputs!$F$17-Inputs!$D$17)*(Inputs!$F$17-Inputs!$E$17))),0)</f>
        <v>105</v>
      </c>
      <c r="J1816" s="81" t="n">
        <f aca="true">RAND()</f>
        <v>0.361506385347219</v>
      </c>
      <c r="K1816" s="83" t="n">
        <f aca="false">IF(J1816&lt;(Inputs!$E$18-Inputs!$D$18)/(Inputs!$F$18-Inputs!$D$18),Inputs!$D$18+SQRT(J1816*(Inputs!$F$18-Inputs!$D$18)*(Inputs!$E$18-Inputs!$D$18)),Inputs!$F$18-SQRT((1-J1816)*(Inputs!$F$18-Inputs!$D$18)*(Inputs!$F$18-Inputs!$E$18)))</f>
        <v>1.01363546949232</v>
      </c>
      <c r="L1816" s="81" t="n">
        <f aca="true">RAND()</f>
        <v>0.853225967476707</v>
      </c>
      <c r="M1816" s="83" t="n">
        <f aca="false">IF(L1816&lt;(Inputs!$E$24-Inputs!$D$24)/(Inputs!$F$24-Inputs!$D$24),Inputs!$D$24+SQRT(L1816*(Inputs!$F$24-Inputs!$D$24)*(Inputs!$E$24-Inputs!$D$24)),Inputs!$F$24-SQRT((1-L1816)*(Inputs!$F$24-Inputs!$D$24)*(Inputs!$F$24-Inputs!$E$24)))</f>
        <v>1.01231471073739</v>
      </c>
      <c r="N1816" s="81" t="n">
        <f aca="true">RAND()</f>
        <v>0.136883284628084</v>
      </c>
      <c r="O1816" s="83" t="n">
        <f aca="false">IF(N1816&lt;(Inputs!$E$26-Inputs!$D$26)/(Inputs!$F$26-Inputs!$D$26),Inputs!$D$26+SQRT(N1816*(Inputs!$F$26-Inputs!$D$26)*(Inputs!$E$26-Inputs!$D$26)),Inputs!$F$26-SQRT((1-N1816)*(Inputs!$F$26-Inputs!$D$26)*(Inputs!$F$26-Inputs!$E$26)))</f>
        <v>0.450921763049976</v>
      </c>
      <c r="P1816" s="81" t="n">
        <f aca="true">RAND()</f>
        <v>0.897449456954195</v>
      </c>
      <c r="Q1816" s="82" t="n">
        <f aca="false">IF(P1816&lt;(Inputs!$E$27-Inputs!$D$27)/(Inputs!$F$27-Inputs!$D$27),Inputs!$D$27+SQRT(P1816*(Inputs!$F$27-Inputs!$D$27)*(Inputs!$E$27-Inputs!$D$27)),Inputs!$F$27-SQRT((1-P1816)*(Inputs!$F$27-Inputs!$D$27)*(Inputs!$F$27-Inputs!$E$27)))</f>
        <v>122.266823607031</v>
      </c>
      <c r="R1816" s="81" t="n">
        <f aca="true">RAND()</f>
        <v>0.00949942098777704</v>
      </c>
      <c r="S1816" s="82" t="n">
        <f aca="false">IF(R1816&lt;(Inputs!$E$29-Inputs!$D$29)/(Inputs!$F$29-Inputs!$D$29),Inputs!$D$29+SQRT(R1816*(Inputs!$F$29-Inputs!$D$29)*(Inputs!$E$29-Inputs!$D$29)),Inputs!$F$29-SQRT((1-R1816)*(Inputs!$F$29-Inputs!$D$29)*(Inputs!$F$29-Inputs!$E$29)))</f>
        <v>2.60866856212828</v>
      </c>
      <c r="T1816" s="68" t="n">
        <f aca="false">Inputs!$E$9*(1+E1816)+Inputs!$E$5*C1816*(Inputs!$E$11*Inputs!$E$14*(G1816*I1816/Inputs!$E$16+(1-G1816))*K1816+Inputs!$E$23*M1816)*(1+O1816)+Inputs!$E$5*(Q1816+S1816)</f>
        <v>6388.60379580842</v>
      </c>
    </row>
    <row r="1817" customFormat="false" ht="15" hidden="false" customHeight="false" outlineLevel="0" collapsed="false">
      <c r="A1817" s="1" t="n">
        <v>1813</v>
      </c>
      <c r="B1817" s="81" t="n">
        <f aca="true">RAND()</f>
        <v>0.779491830881592</v>
      </c>
      <c r="C1817" s="82" t="n">
        <f aca="false">ROUND(IF(B1817&lt;(Inputs!$E$8-Inputs!$D$8)/(Inputs!$F$8-Inputs!$D$8),Inputs!$D$8+SQRT(B1817*(Inputs!$F$8-Inputs!$D$8)*(Inputs!$E$8-Inputs!$D$8)),Inputs!$F$8-SQRT((1-B1817)*(Inputs!$F$8-Inputs!$D$8)*(Inputs!$F$8-Inputs!$E$8))),0)</f>
        <v>27</v>
      </c>
      <c r="D1817" s="81" t="n">
        <f aca="true">RAND()</f>
        <v>0.585255011082309</v>
      </c>
      <c r="E1817" s="83" t="n">
        <f aca="false">IF(D1817&lt;(Inputs!$E$10-Inputs!$D$10)/(Inputs!$F$10-Inputs!$D$10),Inputs!$D$10+SQRT(D1817*(Inputs!$F$10-Inputs!$D$10)*(Inputs!$E$10-Inputs!$D$10)),Inputs!$F$10-SQRT((1-D1817)*(Inputs!$F$10-Inputs!$D$10)*(Inputs!$F$10-Inputs!$E$10)))</f>
        <v>0.0884547192054691</v>
      </c>
      <c r="F1817" s="81" t="n">
        <f aca="true">RAND()</f>
        <v>0.649701794992565</v>
      </c>
      <c r="G1817" s="83" t="n">
        <f aca="false">IF(F1817&lt;(Inputs!$E$15-Inputs!$D$15)/(Inputs!$F$15-Inputs!$D$15),Inputs!$D$15+SQRT(F1817*(Inputs!$F$15-Inputs!$D$15)*(Inputs!$E$15-Inputs!$D$15)),Inputs!$F$15-SQRT((1-F1817)*(Inputs!$F$15-Inputs!$D$15)*(Inputs!$F$15-Inputs!$E$15)))</f>
        <v>0.716298362619667</v>
      </c>
      <c r="H1817" s="81" t="n">
        <f aca="true">RAND()</f>
        <v>0.0458340775719094</v>
      </c>
      <c r="I1817" s="82" t="n">
        <f aca="false">ROUND(IF(H1817&lt;(Inputs!$E$17-Inputs!$D$17)/(Inputs!$F$17-Inputs!$D$17),Inputs!$D$17+SQRT(H1817*(Inputs!$F$17-Inputs!$D$17)*(Inputs!$E$17-Inputs!$D$17)),Inputs!$F$17-SQRT((1-H1817)*(Inputs!$F$17-Inputs!$D$17)*(Inputs!$F$17-Inputs!$E$17))),0)</f>
        <v>102</v>
      </c>
      <c r="J1817" s="81" t="n">
        <f aca="true">RAND()</f>
        <v>0.606924778541961</v>
      </c>
      <c r="K1817" s="83" t="n">
        <f aca="false">IF(J1817&lt;(Inputs!$E$18-Inputs!$D$18)/(Inputs!$F$18-Inputs!$D$18),Inputs!$D$18+SQRT(J1817*(Inputs!$F$18-Inputs!$D$18)*(Inputs!$E$18-Inputs!$D$18)),Inputs!$F$18-SQRT((1-J1817)*(Inputs!$F$18-Inputs!$D$18)*(Inputs!$F$18-Inputs!$E$18)))</f>
        <v>1.06454358496515</v>
      </c>
      <c r="L1817" s="81" t="n">
        <f aca="true">RAND()</f>
        <v>0.254634022684176</v>
      </c>
      <c r="M1817" s="83" t="n">
        <f aca="false">IF(L1817&lt;(Inputs!$E$24-Inputs!$D$24)/(Inputs!$F$24-Inputs!$D$24),Inputs!$D$24+SQRT(L1817*(Inputs!$F$24-Inputs!$D$24)*(Inputs!$E$24-Inputs!$D$24)),Inputs!$F$24-SQRT((1-L1817)*(Inputs!$F$24-Inputs!$D$24)*(Inputs!$F$24-Inputs!$E$24)))</f>
        <v>0.77480298258926</v>
      </c>
      <c r="N1817" s="81" t="n">
        <f aca="true">RAND()</f>
        <v>0.875513232263938</v>
      </c>
      <c r="O1817" s="83" t="n">
        <f aca="false">IF(N1817&lt;(Inputs!$E$26-Inputs!$D$26)/(Inputs!$F$26-Inputs!$D$26),Inputs!$D$26+SQRT(N1817*(Inputs!$F$26-Inputs!$D$26)*(Inputs!$E$26-Inputs!$D$26)),Inputs!$F$26-SQRT((1-N1817)*(Inputs!$F$26-Inputs!$D$26)*(Inputs!$F$26-Inputs!$E$26)))</f>
        <v>0.706216768174961</v>
      </c>
      <c r="P1817" s="81" t="n">
        <f aca="true">RAND()</f>
        <v>0.350897042615908</v>
      </c>
      <c r="Q1817" s="82" t="n">
        <f aca="false">IF(P1817&lt;(Inputs!$E$27-Inputs!$D$27)/(Inputs!$F$27-Inputs!$D$27),Inputs!$D$27+SQRT(P1817*(Inputs!$F$27-Inputs!$D$27)*(Inputs!$E$27-Inputs!$D$27)),Inputs!$F$27-SQRT((1-P1817)*(Inputs!$F$27-Inputs!$D$27)*(Inputs!$F$27-Inputs!$E$27)))</f>
        <v>80.2269953321438</v>
      </c>
      <c r="R1817" s="81" t="n">
        <f aca="true">RAND()</f>
        <v>0.693483568862257</v>
      </c>
      <c r="S1817" s="82" t="n">
        <f aca="false">IF(R1817&lt;(Inputs!$E$29-Inputs!$D$29)/(Inputs!$F$29-Inputs!$D$29),Inputs!$D$29+SQRT(R1817*(Inputs!$F$29-Inputs!$D$29)*(Inputs!$E$29-Inputs!$D$29)),Inputs!$F$29-SQRT((1-R1817)*(Inputs!$F$29-Inputs!$D$29)*(Inputs!$F$29-Inputs!$E$29)))</f>
        <v>8.68754120426069</v>
      </c>
      <c r="T1817" s="68" t="n">
        <f aca="false">Inputs!$E$9*(1+E1817)+Inputs!$E$5*C1817*(Inputs!$E$11*Inputs!$E$14*(G1817*I1817/Inputs!$E$16+(1-G1817))*K1817+Inputs!$E$23*M1817)*(1+O1817)+Inputs!$E$5*(Q1817+S1817)</f>
        <v>6674.75425285426</v>
      </c>
    </row>
    <row r="1818" customFormat="false" ht="15" hidden="false" customHeight="false" outlineLevel="0" collapsed="false">
      <c r="A1818" s="1" t="n">
        <v>1814</v>
      </c>
      <c r="B1818" s="81" t="n">
        <f aca="true">RAND()</f>
        <v>0.38621445707239</v>
      </c>
      <c r="C1818" s="82" t="n">
        <f aca="false">ROUND(IF(B1818&lt;(Inputs!$E$8-Inputs!$D$8)/(Inputs!$F$8-Inputs!$D$8),Inputs!$D$8+SQRT(B1818*(Inputs!$F$8-Inputs!$D$8)*(Inputs!$E$8-Inputs!$D$8)),Inputs!$F$8-SQRT((1-B1818)*(Inputs!$F$8-Inputs!$D$8)*(Inputs!$F$8-Inputs!$E$8))),0)</f>
        <v>24</v>
      </c>
      <c r="D1818" s="81" t="n">
        <f aca="true">RAND()</f>
        <v>0.899278725808546</v>
      </c>
      <c r="E1818" s="83" t="n">
        <f aca="false">IF(D1818&lt;(Inputs!$E$10-Inputs!$D$10)/(Inputs!$F$10-Inputs!$D$10),Inputs!$D$10+SQRT(D1818*(Inputs!$F$10-Inputs!$D$10)*(Inputs!$E$10-Inputs!$D$10)),Inputs!$F$10-SQRT((1-D1818)*(Inputs!$F$10-Inputs!$D$10)*(Inputs!$F$10-Inputs!$E$10)))</f>
        <v>0.145030570079874</v>
      </c>
      <c r="F1818" s="81" t="n">
        <f aca="true">RAND()</f>
        <v>0.143433443308847</v>
      </c>
      <c r="G1818" s="83" t="n">
        <f aca="false">IF(F1818&lt;(Inputs!$E$15-Inputs!$D$15)/(Inputs!$F$15-Inputs!$D$15),Inputs!$D$15+SQRT(F1818*(Inputs!$F$15-Inputs!$D$15)*(Inputs!$E$15-Inputs!$D$15)),Inputs!$F$15-SQRT((1-F1818)*(Inputs!$F$15-Inputs!$D$15)*(Inputs!$F$15-Inputs!$E$15)))</f>
        <v>0.653559955808206</v>
      </c>
      <c r="H1818" s="81" t="n">
        <f aca="true">RAND()</f>
        <v>0.826966014142155</v>
      </c>
      <c r="I1818" s="82" t="n">
        <f aca="false">ROUND(IF(H1818&lt;(Inputs!$E$17-Inputs!$D$17)/(Inputs!$F$17-Inputs!$D$17),Inputs!$D$17+SQRT(H1818*(Inputs!$F$17-Inputs!$D$17)*(Inputs!$E$17-Inputs!$D$17)),Inputs!$F$17-SQRT((1-H1818)*(Inputs!$F$17-Inputs!$D$17)*(Inputs!$F$17-Inputs!$E$17))),0)</f>
        <v>110</v>
      </c>
      <c r="J1818" s="81" t="n">
        <f aca="true">RAND()</f>
        <v>0.502370799158042</v>
      </c>
      <c r="K1818" s="83" t="n">
        <f aca="false">IF(J1818&lt;(Inputs!$E$18-Inputs!$D$18)/(Inputs!$F$18-Inputs!$D$18),Inputs!$D$18+SQRT(J1818*(Inputs!$F$18-Inputs!$D$18)*(Inputs!$E$18-Inputs!$D$18)),Inputs!$F$18-SQRT((1-J1818)*(Inputs!$F$18-Inputs!$D$18)*(Inputs!$F$18-Inputs!$E$18)))</f>
        <v>1.04133147081155</v>
      </c>
      <c r="L1818" s="81" t="n">
        <f aca="true">RAND()</f>
        <v>0.574994993362518</v>
      </c>
      <c r="M1818" s="83" t="n">
        <f aca="false">IF(L1818&lt;(Inputs!$E$24-Inputs!$D$24)/(Inputs!$F$24-Inputs!$D$24),Inputs!$D$24+SQRT(L1818*(Inputs!$F$24-Inputs!$D$24)*(Inputs!$E$24-Inputs!$D$24)),Inputs!$F$24-SQRT((1-L1818)*(Inputs!$F$24-Inputs!$D$24)*(Inputs!$F$24-Inputs!$E$24)))</f>
        <v>0.880623730385309</v>
      </c>
      <c r="N1818" s="81" t="n">
        <f aca="true">RAND()</f>
        <v>0.570015024866287</v>
      </c>
      <c r="O1818" s="83" t="n">
        <f aca="false">IF(N1818&lt;(Inputs!$E$26-Inputs!$D$26)/(Inputs!$F$26-Inputs!$D$26),Inputs!$D$26+SQRT(N1818*(Inputs!$F$26-Inputs!$D$26)*(Inputs!$E$26-Inputs!$D$26)),Inputs!$F$26-SQRT((1-N1818)*(Inputs!$F$26-Inputs!$D$26)*(Inputs!$F$26-Inputs!$E$26)))</f>
        <v>0.607978083859469</v>
      </c>
      <c r="P1818" s="81" t="n">
        <f aca="true">RAND()</f>
        <v>0.992991303765319</v>
      </c>
      <c r="Q1818" s="82" t="n">
        <f aca="false">IF(P1818&lt;(Inputs!$E$27-Inputs!$D$27)/(Inputs!$F$27-Inputs!$D$27),Inputs!$D$27+SQRT(P1818*(Inputs!$F$27-Inputs!$D$27)*(Inputs!$E$27-Inputs!$D$27)),Inputs!$F$27-SQRT((1-P1818)*(Inputs!$F$27-Inputs!$D$27)*(Inputs!$F$27-Inputs!$E$27)))</f>
        <v>142.749812294836</v>
      </c>
      <c r="R1818" s="81" t="n">
        <f aca="true">RAND()</f>
        <v>0.931001954609476</v>
      </c>
      <c r="S1818" s="82" t="n">
        <f aca="false">IF(R1818&lt;(Inputs!$E$29-Inputs!$D$29)/(Inputs!$F$29-Inputs!$D$29),Inputs!$D$29+SQRT(R1818*(Inputs!$F$29-Inputs!$D$29)*(Inputs!$E$29-Inputs!$D$29)),Inputs!$F$29-SQRT((1-R1818)*(Inputs!$F$29-Inputs!$D$29)*(Inputs!$F$29-Inputs!$E$29)))</f>
        <v>12.0050465945581</v>
      </c>
      <c r="T1818" s="68" t="n">
        <f aca="false">Inputs!$E$9*(1+E1818)+Inputs!$E$5*C1818*(Inputs!$E$11*Inputs!$E$14*(G1818*I1818/Inputs!$E$16+(1-G1818))*K1818+Inputs!$E$23*M1818)*(1+O1818)+Inputs!$E$5*(Q1818+S1818)</f>
        <v>6779.29979997735</v>
      </c>
    </row>
    <row r="1819" customFormat="false" ht="15" hidden="false" customHeight="false" outlineLevel="0" collapsed="false">
      <c r="A1819" s="1" t="n">
        <v>1815</v>
      </c>
      <c r="B1819" s="81" t="n">
        <f aca="true">RAND()</f>
        <v>0.00804400498452032</v>
      </c>
      <c r="C1819" s="82" t="n">
        <f aca="false">ROUND(IF(B1819&lt;(Inputs!$E$8-Inputs!$D$8)/(Inputs!$F$8-Inputs!$D$8),Inputs!$D$8+SQRT(B1819*(Inputs!$F$8-Inputs!$D$8)*(Inputs!$E$8-Inputs!$D$8)),Inputs!$F$8-SQRT((1-B1819)*(Inputs!$F$8-Inputs!$D$8)*(Inputs!$F$8-Inputs!$E$8))),0)</f>
        <v>21</v>
      </c>
      <c r="D1819" s="81" t="n">
        <f aca="true">RAND()</f>
        <v>0.278052412337818</v>
      </c>
      <c r="E1819" s="83" t="n">
        <f aca="false">IF(D1819&lt;(Inputs!$E$10-Inputs!$D$10)/(Inputs!$F$10-Inputs!$D$10),Inputs!$D$10+SQRT(D1819*(Inputs!$F$10-Inputs!$D$10)*(Inputs!$E$10-Inputs!$D$10)),Inputs!$F$10-SQRT((1-D1819)*(Inputs!$F$10-Inputs!$D$10)*(Inputs!$F$10-Inputs!$E$10)))</f>
        <v>0.0528319748387393</v>
      </c>
      <c r="F1819" s="81" t="n">
        <f aca="true">RAND()</f>
        <v>0.271201753110496</v>
      </c>
      <c r="G1819" s="83" t="n">
        <f aca="false">IF(F1819&lt;(Inputs!$E$15-Inputs!$D$15)/(Inputs!$F$15-Inputs!$D$15),Inputs!$D$15+SQRT(F1819*(Inputs!$F$15-Inputs!$D$15)*(Inputs!$E$15-Inputs!$D$15)),Inputs!$F$15-SQRT((1-F1819)*(Inputs!$F$15-Inputs!$D$15)*(Inputs!$F$15-Inputs!$E$15)))</f>
        <v>0.673648048597433</v>
      </c>
      <c r="H1819" s="81" t="n">
        <f aca="true">RAND()</f>
        <v>0.0166337687123802</v>
      </c>
      <c r="I1819" s="82" t="n">
        <f aca="false">ROUND(IF(H1819&lt;(Inputs!$E$17-Inputs!$D$17)/(Inputs!$F$17-Inputs!$D$17),Inputs!$D$17+SQRT(H1819*(Inputs!$F$17-Inputs!$D$17)*(Inputs!$E$17-Inputs!$D$17)),Inputs!$F$17-SQRT((1-H1819)*(Inputs!$F$17-Inputs!$D$17)*(Inputs!$F$17-Inputs!$E$17))),0)</f>
        <v>101</v>
      </c>
      <c r="J1819" s="81" t="n">
        <f aca="true">RAND()</f>
        <v>0.549136775696752</v>
      </c>
      <c r="K1819" s="83" t="n">
        <f aca="false">IF(J1819&lt;(Inputs!$E$18-Inputs!$D$18)/(Inputs!$F$18-Inputs!$D$18),Inputs!$D$18+SQRT(J1819*(Inputs!$F$18-Inputs!$D$18)*(Inputs!$E$18-Inputs!$D$18)),Inputs!$F$18-SQRT((1-J1819)*(Inputs!$F$18-Inputs!$D$18)*(Inputs!$F$18-Inputs!$E$18)))</f>
        <v>1.05137841978643</v>
      </c>
      <c r="L1819" s="81" t="n">
        <f aca="true">RAND()</f>
        <v>0.795212907598381</v>
      </c>
      <c r="M1819" s="83" t="n">
        <f aca="false">IF(L1819&lt;(Inputs!$E$24-Inputs!$D$24)/(Inputs!$F$24-Inputs!$D$24),Inputs!$D$24+SQRT(L1819*(Inputs!$F$24-Inputs!$D$24)*(Inputs!$E$24-Inputs!$D$24)),Inputs!$F$24-SQRT((1-L1819)*(Inputs!$F$24-Inputs!$D$24)*(Inputs!$F$24-Inputs!$E$24)))</f>
        <v>0.97830448318383</v>
      </c>
      <c r="N1819" s="81" t="n">
        <f aca="true">RAND()</f>
        <v>0.310638252128396</v>
      </c>
      <c r="O1819" s="83" t="n">
        <f aca="false">IF(N1819&lt;(Inputs!$E$26-Inputs!$D$26)/(Inputs!$F$26-Inputs!$D$26),Inputs!$D$26+SQRT(N1819*(Inputs!$F$26-Inputs!$D$26)*(Inputs!$E$26-Inputs!$D$26)),Inputs!$F$26-SQRT((1-N1819)*(Inputs!$F$26-Inputs!$D$26)*(Inputs!$F$26-Inputs!$E$26)))</f>
        <v>0.527354800156419</v>
      </c>
      <c r="P1819" s="81" t="n">
        <f aca="true">RAND()</f>
        <v>0.622850334611216</v>
      </c>
      <c r="Q1819" s="82" t="n">
        <f aca="false">IF(P1819&lt;(Inputs!$E$27-Inputs!$D$27)/(Inputs!$F$27-Inputs!$D$27),Inputs!$D$27+SQRT(P1819*(Inputs!$F$27-Inputs!$D$27)*(Inputs!$E$27-Inputs!$D$27)),Inputs!$F$27-SQRT((1-P1819)*(Inputs!$F$27-Inputs!$D$27)*(Inputs!$F$27-Inputs!$E$27)))</f>
        <v>96.8152043304115</v>
      </c>
      <c r="R1819" s="81" t="n">
        <f aca="true">RAND()</f>
        <v>0.425475950227796</v>
      </c>
      <c r="S1819" s="82" t="n">
        <f aca="false">IF(R1819&lt;(Inputs!$E$29-Inputs!$D$29)/(Inputs!$F$29-Inputs!$D$29),Inputs!$D$29+SQRT(R1819*(Inputs!$F$29-Inputs!$D$29)*(Inputs!$E$29-Inputs!$D$29)),Inputs!$F$29-SQRT((1-R1819)*(Inputs!$F$29-Inputs!$D$29)*(Inputs!$F$29-Inputs!$E$29)))</f>
        <v>6.3577707464806</v>
      </c>
      <c r="T1819" s="68" t="n">
        <f aca="false">Inputs!$E$9*(1+E1819)+Inputs!$E$5*C1819*(Inputs!$E$11*Inputs!$E$14*(G1819*I1819/Inputs!$E$16+(1-G1819))*K1819+Inputs!$E$23*M1819)*(1+O1819)+Inputs!$E$5*(Q1819+S1819)</f>
        <v>5753.4676227142</v>
      </c>
    </row>
    <row r="1820" customFormat="false" ht="15" hidden="false" customHeight="false" outlineLevel="0" collapsed="false">
      <c r="A1820" s="1" t="n">
        <v>1816</v>
      </c>
      <c r="B1820" s="81" t="n">
        <f aca="true">RAND()</f>
        <v>0.91805165471108</v>
      </c>
      <c r="C1820" s="82" t="n">
        <f aca="false">ROUND(IF(B1820&lt;(Inputs!$E$8-Inputs!$D$8)/(Inputs!$F$8-Inputs!$D$8),Inputs!$D$8+SQRT(B1820*(Inputs!$F$8-Inputs!$D$8)*(Inputs!$E$8-Inputs!$D$8)),Inputs!$F$8-SQRT((1-B1820)*(Inputs!$F$8-Inputs!$D$8)*(Inputs!$F$8-Inputs!$E$8))),0)</f>
        <v>28</v>
      </c>
      <c r="D1820" s="81" t="n">
        <f aca="true">RAND()</f>
        <v>0.187192356042857</v>
      </c>
      <c r="E1820" s="83" t="n">
        <f aca="false">IF(D1820&lt;(Inputs!$E$10-Inputs!$D$10)/(Inputs!$F$10-Inputs!$D$10),Inputs!$D$10+SQRT(D1820*(Inputs!$F$10-Inputs!$D$10)*(Inputs!$E$10-Inputs!$D$10)),Inputs!$F$10-SQRT((1-D1820)*(Inputs!$F$10-Inputs!$D$10)*(Inputs!$F$10-Inputs!$E$10)))</f>
        <v>0.0432657319414403</v>
      </c>
      <c r="F1820" s="81" t="n">
        <f aca="true">RAND()</f>
        <v>0.457570296757374</v>
      </c>
      <c r="G1820" s="83" t="n">
        <f aca="false">IF(F1820&lt;(Inputs!$E$15-Inputs!$D$15)/(Inputs!$F$15-Inputs!$D$15),Inputs!$D$15+SQRT(F1820*(Inputs!$F$15-Inputs!$D$15)*(Inputs!$E$15-Inputs!$D$15)),Inputs!$F$15-SQRT((1-F1820)*(Inputs!$F$15-Inputs!$D$15)*(Inputs!$F$15-Inputs!$E$15)))</f>
        <v>0.69566298100701</v>
      </c>
      <c r="H1820" s="81" t="n">
        <f aca="true">RAND()</f>
        <v>0.482690168740693</v>
      </c>
      <c r="I1820" s="82" t="n">
        <f aca="false">ROUND(IF(H1820&lt;(Inputs!$E$17-Inputs!$D$17)/(Inputs!$F$17-Inputs!$D$17),Inputs!$D$17+SQRT(H1820*(Inputs!$F$17-Inputs!$D$17)*(Inputs!$E$17-Inputs!$D$17)),Inputs!$F$17-SQRT((1-H1820)*(Inputs!$F$17-Inputs!$D$17)*(Inputs!$F$17-Inputs!$E$17))),0)</f>
        <v>106</v>
      </c>
      <c r="J1820" s="81" t="n">
        <f aca="true">RAND()</f>
        <v>0.602883581851154</v>
      </c>
      <c r="K1820" s="83" t="n">
        <f aca="false">IF(J1820&lt;(Inputs!$E$18-Inputs!$D$18)/(Inputs!$F$18-Inputs!$D$18),Inputs!$D$18+SQRT(J1820*(Inputs!$F$18-Inputs!$D$18)*(Inputs!$E$18-Inputs!$D$18)),Inputs!$F$18-SQRT((1-J1820)*(Inputs!$F$18-Inputs!$D$18)*(Inputs!$F$18-Inputs!$E$18)))</f>
        <v>1.0635926863344</v>
      </c>
      <c r="L1820" s="81" t="n">
        <f aca="true">RAND()</f>
        <v>0.655889621313769</v>
      </c>
      <c r="M1820" s="83" t="n">
        <f aca="false">IF(L1820&lt;(Inputs!$E$24-Inputs!$D$24)/(Inputs!$F$24-Inputs!$D$24),Inputs!$D$24+SQRT(L1820*(Inputs!$F$24-Inputs!$D$24)*(Inputs!$E$24-Inputs!$D$24)),Inputs!$F$24-SQRT((1-L1820)*(Inputs!$F$24-Inputs!$D$24)*(Inputs!$F$24-Inputs!$E$24)))</f>
        <v>0.912621345808887</v>
      </c>
      <c r="N1820" s="81" t="n">
        <f aca="true">RAND()</f>
        <v>0.954345112021136</v>
      </c>
      <c r="O1820" s="83" t="n">
        <f aca="false">IF(N1820&lt;(Inputs!$E$26-Inputs!$D$26)/(Inputs!$F$26-Inputs!$D$26),Inputs!$D$26+SQRT(N1820*(Inputs!$F$26-Inputs!$D$26)*(Inputs!$E$26-Inputs!$D$26)),Inputs!$F$26-SQRT((1-N1820)*(Inputs!$F$26-Inputs!$D$26)*(Inputs!$F$26-Inputs!$E$26)))</f>
        <v>0.75109348107906</v>
      </c>
      <c r="P1820" s="81" t="n">
        <f aca="true">RAND()</f>
        <v>0.677465027795644</v>
      </c>
      <c r="Q1820" s="82" t="n">
        <f aca="false">IF(P1820&lt;(Inputs!$E$27-Inputs!$D$27)/(Inputs!$F$27-Inputs!$D$27),Inputs!$D$27+SQRT(P1820*(Inputs!$F$27-Inputs!$D$27)*(Inputs!$E$27-Inputs!$D$27)),Inputs!$F$27-SQRT((1-P1820)*(Inputs!$F$27-Inputs!$D$27)*(Inputs!$F$27-Inputs!$E$27)))</f>
        <v>100.816544534441</v>
      </c>
      <c r="R1820" s="81" t="n">
        <f aca="true">RAND()</f>
        <v>0.593851040794243</v>
      </c>
      <c r="S1820" s="82" t="n">
        <f aca="false">IF(R1820&lt;(Inputs!$E$29-Inputs!$D$29)/(Inputs!$F$29-Inputs!$D$29),Inputs!$D$29+SQRT(R1820*(Inputs!$F$29-Inputs!$D$29)*(Inputs!$E$29-Inputs!$D$29)),Inputs!$F$29-SQRT((1-R1820)*(Inputs!$F$29-Inputs!$D$29)*(Inputs!$F$29-Inputs!$E$29)))</f>
        <v>7.73368286566376</v>
      </c>
      <c r="T1820" s="68" t="n">
        <f aca="false">Inputs!$E$9*(1+E1820)+Inputs!$E$5*C1820*(Inputs!$E$11*Inputs!$E$14*(G1820*I1820/Inputs!$E$16+(1-G1820))*K1820+Inputs!$E$23*M1820)*(1+O1820)+Inputs!$E$5*(Q1820+S1820)</f>
        <v>7256.25550083283</v>
      </c>
    </row>
    <row r="1821" customFormat="false" ht="15" hidden="false" customHeight="false" outlineLevel="0" collapsed="false">
      <c r="A1821" s="1" t="n">
        <v>1817</v>
      </c>
      <c r="B1821" s="81" t="n">
        <f aca="true">RAND()</f>
        <v>0.0558778119013143</v>
      </c>
      <c r="C1821" s="82" t="n">
        <f aca="false">ROUND(IF(B1821&lt;(Inputs!$E$8-Inputs!$D$8)/(Inputs!$F$8-Inputs!$D$8),Inputs!$D$8+SQRT(B1821*(Inputs!$F$8-Inputs!$D$8)*(Inputs!$E$8-Inputs!$D$8)),Inputs!$F$8-SQRT((1-B1821)*(Inputs!$F$8-Inputs!$D$8)*(Inputs!$F$8-Inputs!$E$8))),0)</f>
        <v>22</v>
      </c>
      <c r="D1821" s="81" t="n">
        <f aca="true">RAND()</f>
        <v>0.240477428204356</v>
      </c>
      <c r="E1821" s="83" t="n">
        <f aca="false">IF(D1821&lt;(Inputs!$E$10-Inputs!$D$10)/(Inputs!$F$10-Inputs!$D$10),Inputs!$D$10+SQRT(D1821*(Inputs!$F$10-Inputs!$D$10)*(Inputs!$E$10-Inputs!$D$10)),Inputs!$F$10-SQRT((1-D1821)*(Inputs!$F$10-Inputs!$D$10)*(Inputs!$F$10-Inputs!$E$10)))</f>
        <v>0.049038497958681</v>
      </c>
      <c r="F1821" s="81" t="n">
        <f aca="true">RAND()</f>
        <v>0.349146721772238</v>
      </c>
      <c r="G1821" s="83" t="n">
        <f aca="false">IF(F1821&lt;(Inputs!$E$15-Inputs!$D$15)/(Inputs!$F$15-Inputs!$D$15),Inputs!$D$15+SQRT(F1821*(Inputs!$F$15-Inputs!$D$15)*(Inputs!$E$15-Inputs!$D$15)),Inputs!$F$15-SQRT((1-F1821)*(Inputs!$F$15-Inputs!$D$15)*(Inputs!$F$15-Inputs!$E$15)))</f>
        <v>0.683563954163531</v>
      </c>
      <c r="H1821" s="81" t="n">
        <f aca="true">RAND()</f>
        <v>0.59717456153857</v>
      </c>
      <c r="I1821" s="82" t="n">
        <f aca="false">ROUND(IF(H1821&lt;(Inputs!$E$17-Inputs!$D$17)/(Inputs!$F$17-Inputs!$D$17),Inputs!$D$17+SQRT(H1821*(Inputs!$F$17-Inputs!$D$17)*(Inputs!$E$17-Inputs!$D$17)),Inputs!$F$17-SQRT((1-H1821)*(Inputs!$F$17-Inputs!$D$17)*(Inputs!$F$17-Inputs!$E$17))),0)</f>
        <v>107</v>
      </c>
      <c r="J1821" s="81" t="n">
        <f aca="true">RAND()</f>
        <v>0.348655789031042</v>
      </c>
      <c r="K1821" s="83" t="n">
        <f aca="false">IF(J1821&lt;(Inputs!$E$18-Inputs!$D$18)/(Inputs!$F$18-Inputs!$D$18),Inputs!$D$18+SQRT(J1821*(Inputs!$F$18-Inputs!$D$18)*(Inputs!$E$18-Inputs!$D$18)),Inputs!$F$18-SQRT((1-J1821)*(Inputs!$F$18-Inputs!$D$18)*(Inputs!$F$18-Inputs!$E$18)))</f>
        <v>1.0112687317091</v>
      </c>
      <c r="L1821" s="81" t="n">
        <f aca="true">RAND()</f>
        <v>0.620585694028753</v>
      </c>
      <c r="M1821" s="83" t="n">
        <f aca="false">IF(L1821&lt;(Inputs!$E$24-Inputs!$D$24)/(Inputs!$F$24-Inputs!$D$24),Inputs!$D$24+SQRT(L1821*(Inputs!$F$24-Inputs!$D$24)*(Inputs!$E$24-Inputs!$D$24)),Inputs!$F$24-SQRT((1-L1821)*(Inputs!$F$24-Inputs!$D$24)*(Inputs!$F$24-Inputs!$E$24)))</f>
        <v>0.89823944354323</v>
      </c>
      <c r="N1821" s="81" t="n">
        <f aca="true">RAND()</f>
        <v>0.259351306630991</v>
      </c>
      <c r="O1821" s="83" t="n">
        <f aca="false">IF(N1821&lt;(Inputs!$E$26-Inputs!$D$26)/(Inputs!$F$26-Inputs!$D$26),Inputs!$D$26+SQRT(N1821*(Inputs!$F$26-Inputs!$D$26)*(Inputs!$E$26-Inputs!$D$26)),Inputs!$F$26-SQRT((1-N1821)*(Inputs!$F$26-Inputs!$D$26)*(Inputs!$F$26-Inputs!$E$26)))</f>
        <v>0.507740360602837</v>
      </c>
      <c r="P1821" s="81" t="n">
        <f aca="true">RAND()</f>
        <v>0.602961527684831</v>
      </c>
      <c r="Q1821" s="82" t="n">
        <f aca="false">IF(P1821&lt;(Inputs!$E$27-Inputs!$D$27)/(Inputs!$F$27-Inputs!$D$27),Inputs!$D$27+SQRT(P1821*(Inputs!$F$27-Inputs!$D$27)*(Inputs!$E$27-Inputs!$D$27)),Inputs!$F$27-SQRT((1-P1821)*(Inputs!$F$27-Inputs!$D$27)*(Inputs!$F$27-Inputs!$E$27)))</f>
        <v>95.4308828881778</v>
      </c>
      <c r="R1821" s="81" t="n">
        <f aca="true">RAND()</f>
        <v>0.516005097128412</v>
      </c>
      <c r="S1821" s="82" t="n">
        <f aca="false">IF(R1821&lt;(Inputs!$E$29-Inputs!$D$29)/(Inputs!$F$29-Inputs!$D$29),Inputs!$D$29+SQRT(R1821*(Inputs!$F$29-Inputs!$D$29)*(Inputs!$E$29-Inputs!$D$29)),Inputs!$F$29-SQRT((1-R1821)*(Inputs!$F$29-Inputs!$D$29)*(Inputs!$F$29-Inputs!$E$29)))</f>
        <v>7.06782896217521</v>
      </c>
      <c r="T1821" s="68" t="n">
        <f aca="false">Inputs!$E$9*(1+E1821)+Inputs!$E$5*C1821*(Inputs!$E$11*Inputs!$E$14*(G1821*I1821/Inputs!$E$16+(1-G1821))*K1821+Inputs!$E$23*M1821)*(1+O1821)+Inputs!$E$5*(Q1821+S1821)</f>
        <v>5721.39695744281</v>
      </c>
    </row>
    <row r="1822" customFormat="false" ht="15" hidden="false" customHeight="false" outlineLevel="0" collapsed="false">
      <c r="A1822" s="1" t="n">
        <v>1818</v>
      </c>
      <c r="B1822" s="81" t="n">
        <f aca="true">RAND()</f>
        <v>0.223211232563178</v>
      </c>
      <c r="C1822" s="82" t="n">
        <f aca="false">ROUND(IF(B1822&lt;(Inputs!$E$8-Inputs!$D$8)/(Inputs!$F$8-Inputs!$D$8),Inputs!$D$8+SQRT(B1822*(Inputs!$F$8-Inputs!$D$8)*(Inputs!$E$8-Inputs!$D$8)),Inputs!$F$8-SQRT((1-B1822)*(Inputs!$F$8-Inputs!$D$8)*(Inputs!$F$8-Inputs!$E$8))),0)</f>
        <v>23</v>
      </c>
      <c r="D1822" s="81" t="n">
        <f aca="true">RAND()</f>
        <v>0.449510361039536</v>
      </c>
      <c r="E1822" s="83" t="n">
        <f aca="false">IF(D1822&lt;(Inputs!$E$10-Inputs!$D$10)/(Inputs!$F$10-Inputs!$D$10),Inputs!$D$10+SQRT(D1822*(Inputs!$F$10-Inputs!$D$10)*(Inputs!$E$10-Inputs!$D$10)),Inputs!$F$10-SQRT((1-D1822)*(Inputs!$F$10-Inputs!$D$10)*(Inputs!$F$10-Inputs!$E$10)))</f>
        <v>0.0714905094212342</v>
      </c>
      <c r="F1822" s="81" t="n">
        <f aca="true">RAND()</f>
        <v>0.178977267284305</v>
      </c>
      <c r="G1822" s="83" t="n">
        <f aca="false">IF(F1822&lt;(Inputs!$E$15-Inputs!$D$15)/(Inputs!$F$15-Inputs!$D$15),Inputs!$D$15+SQRT(F1822*(Inputs!$F$15-Inputs!$D$15)*(Inputs!$E$15-Inputs!$D$15)),Inputs!$F$15-SQRT((1-F1822)*(Inputs!$F$15-Inputs!$D$15)*(Inputs!$F$15-Inputs!$E$15)))</f>
        <v>0.65982930173156</v>
      </c>
      <c r="H1822" s="81" t="n">
        <f aca="true">RAND()</f>
        <v>0.227750891702688</v>
      </c>
      <c r="I1822" s="82" t="n">
        <f aca="false">ROUND(IF(H1822&lt;(Inputs!$E$17-Inputs!$D$17)/(Inputs!$F$17-Inputs!$D$17),Inputs!$D$17+SQRT(H1822*(Inputs!$F$17-Inputs!$D$17)*(Inputs!$E$17-Inputs!$D$17)),Inputs!$F$17-SQRT((1-H1822)*(Inputs!$F$17-Inputs!$D$17)*(Inputs!$F$17-Inputs!$E$17))),0)</f>
        <v>104</v>
      </c>
      <c r="J1822" s="81" t="n">
        <f aca="true">RAND()</f>
        <v>0.629508767919387</v>
      </c>
      <c r="K1822" s="83" t="n">
        <f aca="false">IF(J1822&lt;(Inputs!$E$18-Inputs!$D$18)/(Inputs!$F$18-Inputs!$D$18),Inputs!$D$18+SQRT(J1822*(Inputs!$F$18-Inputs!$D$18)*(Inputs!$E$18-Inputs!$D$18)),Inputs!$F$18-SQRT((1-J1822)*(Inputs!$F$18-Inputs!$D$18)*(Inputs!$F$18-Inputs!$E$18)))</f>
        <v>1.06995005468745</v>
      </c>
      <c r="L1822" s="81" t="n">
        <f aca="true">RAND()</f>
        <v>0.564002441854666</v>
      </c>
      <c r="M1822" s="83" t="n">
        <f aca="false">IF(L1822&lt;(Inputs!$E$24-Inputs!$D$24)/(Inputs!$F$24-Inputs!$D$24),Inputs!$D$24+SQRT(L1822*(Inputs!$F$24-Inputs!$D$24)*(Inputs!$E$24-Inputs!$D$24)),Inputs!$F$24-SQRT((1-L1822)*(Inputs!$F$24-Inputs!$D$24)*(Inputs!$F$24-Inputs!$E$24)))</f>
        <v>0.876519839936233</v>
      </c>
      <c r="N1822" s="81" t="n">
        <f aca="true">RAND()</f>
        <v>0.76964055354666</v>
      </c>
      <c r="O1822" s="83" t="n">
        <f aca="false">IF(N1822&lt;(Inputs!$E$26-Inputs!$D$26)/(Inputs!$F$26-Inputs!$D$26),Inputs!$D$26+SQRT(N1822*(Inputs!$F$26-Inputs!$D$26)*(Inputs!$E$26-Inputs!$D$26)),Inputs!$F$26-SQRT((1-N1822)*(Inputs!$F$26-Inputs!$D$26)*(Inputs!$F$26-Inputs!$E$26)))</f>
        <v>0.665218274879922</v>
      </c>
      <c r="P1822" s="81" t="n">
        <f aca="true">RAND()</f>
        <v>0.147016854793405</v>
      </c>
      <c r="Q1822" s="82" t="n">
        <f aca="false">IF(P1822&lt;(Inputs!$E$27-Inputs!$D$27)/(Inputs!$F$27-Inputs!$D$27),Inputs!$D$27+SQRT(P1822*(Inputs!$F$27-Inputs!$D$27)*(Inputs!$E$27-Inputs!$D$27)),Inputs!$F$27-SQRT((1-P1822)*(Inputs!$F$27-Inputs!$D$27)*(Inputs!$F$27-Inputs!$E$27)))</f>
        <v>69.1713884991023</v>
      </c>
      <c r="R1822" s="81" t="n">
        <f aca="true">RAND()</f>
        <v>0.431645968116619</v>
      </c>
      <c r="S1822" s="82" t="n">
        <f aca="false">IF(R1822&lt;(Inputs!$E$29-Inputs!$D$29)/(Inputs!$F$29-Inputs!$D$29),Inputs!$D$29+SQRT(R1822*(Inputs!$F$29-Inputs!$D$29)*(Inputs!$E$29-Inputs!$D$29)),Inputs!$F$29-SQRT((1-R1822)*(Inputs!$F$29-Inputs!$D$29)*(Inputs!$F$29-Inputs!$E$29)))</f>
        <v>6.40430199781079</v>
      </c>
      <c r="T1822" s="68" t="n">
        <f aca="false">Inputs!$E$9*(1+E1822)+Inputs!$E$5*C1822*(Inputs!$E$11*Inputs!$E$14*(G1822*I1822/Inputs!$E$16+(1-G1822))*K1822+Inputs!$E$23*M1822)*(1+O1822)+Inputs!$E$5*(Q1822+S1822)</f>
        <v>6176.1714633359</v>
      </c>
    </row>
    <row r="1823" customFormat="false" ht="15" hidden="false" customHeight="false" outlineLevel="0" collapsed="false">
      <c r="A1823" s="1" t="n">
        <v>1819</v>
      </c>
      <c r="B1823" s="81" t="n">
        <f aca="true">RAND()</f>
        <v>0.635614839549704</v>
      </c>
      <c r="C1823" s="82" t="n">
        <f aca="false">ROUND(IF(B1823&lt;(Inputs!$E$8-Inputs!$D$8)/(Inputs!$F$8-Inputs!$D$8),Inputs!$D$8+SQRT(B1823*(Inputs!$F$8-Inputs!$D$8)*(Inputs!$E$8-Inputs!$D$8)),Inputs!$F$8-SQRT((1-B1823)*(Inputs!$F$8-Inputs!$D$8)*(Inputs!$F$8-Inputs!$E$8))),0)</f>
        <v>26</v>
      </c>
      <c r="D1823" s="81" t="n">
        <f aca="true">RAND()</f>
        <v>0.0791723469794621</v>
      </c>
      <c r="E1823" s="83" t="n">
        <f aca="false">IF(D1823&lt;(Inputs!$E$10-Inputs!$D$10)/(Inputs!$F$10-Inputs!$D$10),Inputs!$D$10+SQRT(D1823*(Inputs!$F$10-Inputs!$D$10)*(Inputs!$E$10-Inputs!$D$10)),Inputs!$F$10-SQRT((1-D1823)*(Inputs!$F$10-Inputs!$D$10)*(Inputs!$F$10-Inputs!$E$10)))</f>
        <v>0.0281375810935237</v>
      </c>
      <c r="F1823" s="81" t="n">
        <f aca="true">RAND()</f>
        <v>0.142473969556738</v>
      </c>
      <c r="G1823" s="83" t="n">
        <f aca="false">IF(F1823&lt;(Inputs!$E$15-Inputs!$D$15)/(Inputs!$F$15-Inputs!$D$15),Inputs!$D$15+SQRT(F1823*(Inputs!$F$15-Inputs!$D$15)*(Inputs!$E$15-Inputs!$D$15)),Inputs!$F$15-SQRT((1-F1823)*(Inputs!$F$15-Inputs!$D$15)*(Inputs!$F$15-Inputs!$E$15)))</f>
        <v>0.653380515088698</v>
      </c>
      <c r="H1823" s="81" t="n">
        <f aca="true">RAND()</f>
        <v>0.339221847405829</v>
      </c>
      <c r="I1823" s="82" t="n">
        <f aca="false">ROUND(IF(H1823&lt;(Inputs!$E$17-Inputs!$D$17)/(Inputs!$F$17-Inputs!$D$17),Inputs!$D$17+SQRT(H1823*(Inputs!$F$17-Inputs!$D$17)*(Inputs!$E$17-Inputs!$D$17)),Inputs!$F$17-SQRT((1-H1823)*(Inputs!$F$17-Inputs!$D$17)*(Inputs!$F$17-Inputs!$E$17))),0)</f>
        <v>105</v>
      </c>
      <c r="J1823" s="81" t="n">
        <f aca="true">RAND()</f>
        <v>0.687846581786842</v>
      </c>
      <c r="K1823" s="83" t="n">
        <f aca="false">IF(J1823&lt;(Inputs!$E$18-Inputs!$D$18)/(Inputs!$F$18-Inputs!$D$18),Inputs!$D$18+SQRT(J1823*(Inputs!$F$18-Inputs!$D$18)*(Inputs!$E$18-Inputs!$D$18)),Inputs!$F$18-SQRT((1-J1823)*(Inputs!$F$18-Inputs!$D$18)*(Inputs!$F$18-Inputs!$E$18)))</f>
        <v>1.08473226541865</v>
      </c>
      <c r="L1823" s="81" t="n">
        <f aca="true">RAND()</f>
        <v>0.752638083149358</v>
      </c>
      <c r="M1823" s="83" t="n">
        <f aca="false">IF(L1823&lt;(Inputs!$E$24-Inputs!$D$24)/(Inputs!$F$24-Inputs!$D$24),Inputs!$D$24+SQRT(L1823*(Inputs!$F$24-Inputs!$D$24)*(Inputs!$E$24-Inputs!$D$24)),Inputs!$F$24-SQRT((1-L1823)*(Inputs!$F$24-Inputs!$D$24)*(Inputs!$F$24-Inputs!$E$24)))</f>
        <v>0.956346844789249</v>
      </c>
      <c r="N1823" s="81" t="n">
        <f aca="true">RAND()</f>
        <v>0.791112583173172</v>
      </c>
      <c r="O1823" s="83" t="n">
        <f aca="false">IF(N1823&lt;(Inputs!$E$26-Inputs!$D$26)/(Inputs!$F$26-Inputs!$D$26),Inputs!$D$26+SQRT(N1823*(Inputs!$F$26-Inputs!$D$26)*(Inputs!$E$26-Inputs!$D$26)),Inputs!$F$26-SQRT((1-N1823)*(Inputs!$F$26-Inputs!$D$26)*(Inputs!$F$26-Inputs!$E$26)))</f>
        <v>0.672608374220276</v>
      </c>
      <c r="P1823" s="81" t="n">
        <f aca="true">RAND()</f>
        <v>0.849483206382352</v>
      </c>
      <c r="Q1823" s="82" t="n">
        <f aca="false">IF(P1823&lt;(Inputs!$E$27-Inputs!$D$27)/(Inputs!$F$27-Inputs!$D$27),Inputs!$D$27+SQRT(P1823*(Inputs!$F$27-Inputs!$D$27)*(Inputs!$E$27-Inputs!$D$27)),Inputs!$F$27-SQRT((1-P1823)*(Inputs!$F$27-Inputs!$D$27)*(Inputs!$F$27-Inputs!$E$27)))</f>
        <v>116.401250735595</v>
      </c>
      <c r="R1823" s="81" t="n">
        <f aca="true">RAND()</f>
        <v>0.0202232725935194</v>
      </c>
      <c r="S1823" s="82" t="n">
        <f aca="false">IF(R1823&lt;(Inputs!$E$29-Inputs!$D$29)/(Inputs!$F$29-Inputs!$D$29),Inputs!$D$29+SQRT(R1823*(Inputs!$F$29-Inputs!$D$29)*(Inputs!$E$29-Inputs!$D$29)),Inputs!$F$29-SQRT((1-R1823)*(Inputs!$F$29-Inputs!$D$29)*(Inputs!$F$29-Inputs!$E$29)))</f>
        <v>2.88809212987576</v>
      </c>
      <c r="T1823" s="68" t="n">
        <f aca="false">Inputs!$E$9*(1+E1823)+Inputs!$E$5*C1823*(Inputs!$E$11*Inputs!$E$14*(G1823*I1823/Inputs!$E$16+(1-G1823))*K1823+Inputs!$E$23*M1823)*(1+O1823)+Inputs!$E$5*(Q1823+S1823)</f>
        <v>6947.51097577892</v>
      </c>
    </row>
    <row r="1824" customFormat="false" ht="15" hidden="false" customHeight="false" outlineLevel="0" collapsed="false">
      <c r="A1824" s="1" t="n">
        <v>1820</v>
      </c>
      <c r="B1824" s="81" t="n">
        <f aca="true">RAND()</f>
        <v>0.724554963100873</v>
      </c>
      <c r="C1824" s="82" t="n">
        <f aca="false">ROUND(IF(B1824&lt;(Inputs!$E$8-Inputs!$D$8)/(Inputs!$F$8-Inputs!$D$8),Inputs!$D$8+SQRT(B1824*(Inputs!$F$8-Inputs!$D$8)*(Inputs!$E$8-Inputs!$D$8)),Inputs!$F$8-SQRT((1-B1824)*(Inputs!$F$8-Inputs!$D$8)*(Inputs!$F$8-Inputs!$E$8))),0)</f>
        <v>26</v>
      </c>
      <c r="D1824" s="81" t="n">
        <f aca="true">RAND()</f>
        <v>0.368708014785865</v>
      </c>
      <c r="E1824" s="83" t="n">
        <f aca="false">IF(D1824&lt;(Inputs!$E$10-Inputs!$D$10)/(Inputs!$F$10-Inputs!$D$10),Inputs!$D$10+SQRT(D1824*(Inputs!$F$10-Inputs!$D$10)*(Inputs!$E$10-Inputs!$D$10)),Inputs!$F$10-SQRT((1-D1824)*(Inputs!$F$10-Inputs!$D$10)*(Inputs!$F$10-Inputs!$E$10)))</f>
        <v>0.0623818342062936</v>
      </c>
      <c r="F1824" s="81" t="n">
        <f aca="true">RAND()</f>
        <v>0.318365289453503</v>
      </c>
      <c r="G1824" s="83" t="n">
        <f aca="false">IF(F1824&lt;(Inputs!$E$15-Inputs!$D$15)/(Inputs!$F$15-Inputs!$D$15),Inputs!$D$15+SQRT(F1824*(Inputs!$F$15-Inputs!$D$15)*(Inputs!$E$15-Inputs!$D$15)),Inputs!$F$15-SQRT((1-F1824)*(Inputs!$F$15-Inputs!$D$15)*(Inputs!$F$15-Inputs!$E$15)))</f>
        <v>0.679795399548283</v>
      </c>
      <c r="H1824" s="81" t="n">
        <f aca="true">RAND()</f>
        <v>0.524277848045658</v>
      </c>
      <c r="I1824" s="82" t="n">
        <f aca="false">ROUND(IF(H1824&lt;(Inputs!$E$17-Inputs!$D$17)/(Inputs!$F$17-Inputs!$D$17),Inputs!$D$17+SQRT(H1824*(Inputs!$F$17-Inputs!$D$17)*(Inputs!$E$17-Inputs!$D$17)),Inputs!$F$17-SQRT((1-H1824)*(Inputs!$F$17-Inputs!$D$17)*(Inputs!$F$17-Inputs!$E$17))),0)</f>
        <v>107</v>
      </c>
      <c r="J1824" s="81" t="n">
        <f aca="true">RAND()</f>
        <v>0.282030959074333</v>
      </c>
      <c r="K1824" s="83" t="n">
        <f aca="false">IF(J1824&lt;(Inputs!$E$18-Inputs!$D$18)/(Inputs!$F$18-Inputs!$D$18),Inputs!$D$18+SQRT(J1824*(Inputs!$F$18-Inputs!$D$18)*(Inputs!$E$18-Inputs!$D$18)),Inputs!$F$18-SQRT((1-J1824)*(Inputs!$F$18-Inputs!$D$18)*(Inputs!$F$18-Inputs!$E$18)))</f>
        <v>0.999353326907566</v>
      </c>
      <c r="L1824" s="81" t="n">
        <f aca="true">RAND()</f>
        <v>0.333498189927525</v>
      </c>
      <c r="M1824" s="83" t="n">
        <f aca="false">IF(L1824&lt;(Inputs!$E$24-Inputs!$D$24)/(Inputs!$F$24-Inputs!$D$24),Inputs!$D$24+SQRT(L1824*(Inputs!$F$24-Inputs!$D$24)*(Inputs!$E$24-Inputs!$D$24)),Inputs!$F$24-SQRT((1-L1824)*(Inputs!$F$24-Inputs!$D$24)*(Inputs!$F$24-Inputs!$E$24)))</f>
        <v>0.800049460036127</v>
      </c>
      <c r="N1824" s="81" t="n">
        <f aca="true">RAND()</f>
        <v>0.332554230853648</v>
      </c>
      <c r="O1824" s="83" t="n">
        <f aca="false">IF(N1824&lt;(Inputs!$E$26-Inputs!$D$26)/(Inputs!$F$26-Inputs!$D$26),Inputs!$D$26+SQRT(N1824*(Inputs!$F$26-Inputs!$D$26)*(Inputs!$E$26-Inputs!$D$26)),Inputs!$F$26-SQRT((1-N1824)*(Inputs!$F$26-Inputs!$D$26)*(Inputs!$F$26-Inputs!$E$26)))</f>
        <v>0.535238228215669</v>
      </c>
      <c r="P1824" s="81" t="n">
        <f aca="true">RAND()</f>
        <v>0.595076691845147</v>
      </c>
      <c r="Q1824" s="82" t="n">
        <f aca="false">IF(P1824&lt;(Inputs!$E$27-Inputs!$D$27)/(Inputs!$F$27-Inputs!$D$27),Inputs!$D$27+SQRT(P1824*(Inputs!$F$27-Inputs!$D$27)*(Inputs!$E$27-Inputs!$D$27)),Inputs!$F$27-SQRT((1-P1824)*(Inputs!$F$27-Inputs!$D$27)*(Inputs!$F$27-Inputs!$E$27)))</f>
        <v>94.8916992535481</v>
      </c>
      <c r="R1824" s="81" t="n">
        <f aca="true">RAND()</f>
        <v>0.0155725259036493</v>
      </c>
      <c r="S1824" s="82" t="n">
        <f aca="false">IF(R1824&lt;(Inputs!$E$29-Inputs!$D$29)/(Inputs!$F$29-Inputs!$D$29),Inputs!$D$29+SQRT(R1824*(Inputs!$F$29-Inputs!$D$29)*(Inputs!$E$29-Inputs!$D$29)),Inputs!$F$29-SQRT((1-R1824)*(Inputs!$F$29-Inputs!$D$29)*(Inputs!$F$29-Inputs!$E$29)))</f>
        <v>2.77931284491039</v>
      </c>
      <c r="T1824" s="68" t="n">
        <f aca="false">Inputs!$E$9*(1+E1824)+Inputs!$E$5*C1824*(Inputs!$E$11*Inputs!$E$14*(G1824*I1824/Inputs!$E$16+(1-G1824))*K1824+Inputs!$E$23*M1824)*(1+O1824)+Inputs!$E$5*(Q1824+S1824)</f>
        <v>6155.67737632353</v>
      </c>
    </row>
    <row r="1825" customFormat="false" ht="15" hidden="false" customHeight="false" outlineLevel="0" collapsed="false">
      <c r="A1825" s="1" t="n">
        <v>1821</v>
      </c>
      <c r="B1825" s="81" t="n">
        <f aca="true">RAND()</f>
        <v>0.583810581241871</v>
      </c>
      <c r="C1825" s="82" t="n">
        <f aca="false">ROUND(IF(B1825&lt;(Inputs!$E$8-Inputs!$D$8)/(Inputs!$F$8-Inputs!$D$8),Inputs!$D$8+SQRT(B1825*(Inputs!$F$8-Inputs!$D$8)*(Inputs!$E$8-Inputs!$D$8)),Inputs!$F$8-SQRT((1-B1825)*(Inputs!$F$8-Inputs!$D$8)*(Inputs!$F$8-Inputs!$E$8))),0)</f>
        <v>25</v>
      </c>
      <c r="D1825" s="81" t="n">
        <f aca="true">RAND()</f>
        <v>0.851394584475519</v>
      </c>
      <c r="E1825" s="83" t="n">
        <f aca="false">IF(D1825&lt;(Inputs!$E$10-Inputs!$D$10)/(Inputs!$F$10-Inputs!$D$10),Inputs!$D$10+SQRT(D1825*(Inputs!$F$10-Inputs!$D$10)*(Inputs!$E$10-Inputs!$D$10)),Inputs!$F$10-SQRT((1-D1825)*(Inputs!$F$10-Inputs!$D$10)*(Inputs!$F$10-Inputs!$E$10)))</f>
        <v>0.133230527441544</v>
      </c>
      <c r="F1825" s="81" t="n">
        <f aca="true">RAND()</f>
        <v>0.390336279858871</v>
      </c>
      <c r="G1825" s="83" t="n">
        <f aca="false">IF(F1825&lt;(Inputs!$E$15-Inputs!$D$15)/(Inputs!$F$15-Inputs!$D$15),Inputs!$D$15+SQRT(F1825*(Inputs!$F$15-Inputs!$D$15)*(Inputs!$E$15-Inputs!$D$15)),Inputs!$F$15-SQRT((1-F1825)*(Inputs!$F$15-Inputs!$D$15)*(Inputs!$F$15-Inputs!$E$15)))</f>
        <v>0.688355676655082</v>
      </c>
      <c r="H1825" s="81" t="n">
        <f aca="true">RAND()</f>
        <v>0.458360498160001</v>
      </c>
      <c r="I1825" s="82" t="n">
        <f aca="false">ROUND(IF(H1825&lt;(Inputs!$E$17-Inputs!$D$17)/(Inputs!$F$17-Inputs!$D$17),Inputs!$D$17+SQRT(H1825*(Inputs!$F$17-Inputs!$D$17)*(Inputs!$E$17-Inputs!$D$17)),Inputs!$F$17-SQRT((1-H1825)*(Inputs!$F$17-Inputs!$D$17)*(Inputs!$F$17-Inputs!$E$17))),0)</f>
        <v>106</v>
      </c>
      <c r="J1825" s="81" t="n">
        <f aca="true">RAND()</f>
        <v>0.291744281004182</v>
      </c>
      <c r="K1825" s="83" t="n">
        <f aca="false">IF(J1825&lt;(Inputs!$E$18-Inputs!$D$18)/(Inputs!$F$18-Inputs!$D$18),Inputs!$D$18+SQRT(J1825*(Inputs!$F$18-Inputs!$D$18)*(Inputs!$E$18-Inputs!$D$18)),Inputs!$F$18-SQRT((1-J1825)*(Inputs!$F$18-Inputs!$D$18)*(Inputs!$F$18-Inputs!$E$18)))</f>
        <v>1.00105748572786</v>
      </c>
      <c r="L1825" s="81" t="n">
        <f aca="true">RAND()</f>
        <v>0.0503995465938835</v>
      </c>
      <c r="M1825" s="83" t="n">
        <f aca="false">IF(L1825&lt;(Inputs!$E$24-Inputs!$D$24)/(Inputs!$F$24-Inputs!$D$24),Inputs!$D$24+SQRT(L1825*(Inputs!$F$24-Inputs!$D$24)*(Inputs!$E$24-Inputs!$D$24)),Inputs!$F$24-SQRT((1-L1825)*(Inputs!$F$24-Inputs!$D$24)*(Inputs!$F$24-Inputs!$E$24)))</f>
        <v>0.677768538569694</v>
      </c>
      <c r="N1825" s="81" t="n">
        <f aca="true">RAND()</f>
        <v>0.69622240774115</v>
      </c>
      <c r="O1825" s="83" t="n">
        <f aca="false">IF(N1825&lt;(Inputs!$E$26-Inputs!$D$26)/(Inputs!$F$26-Inputs!$D$26),Inputs!$D$26+SQRT(N1825*(Inputs!$F$26-Inputs!$D$26)*(Inputs!$E$26-Inputs!$D$26)),Inputs!$F$26-SQRT((1-N1825)*(Inputs!$F$26-Inputs!$D$26)*(Inputs!$F$26-Inputs!$E$26)))</f>
        <v>0.642256168616403</v>
      </c>
      <c r="P1825" s="81" t="n">
        <f aca="true">RAND()</f>
        <v>0.214767282901889</v>
      </c>
      <c r="Q1825" s="82" t="n">
        <f aca="false">IF(P1825&lt;(Inputs!$E$27-Inputs!$D$27)/(Inputs!$F$27-Inputs!$D$27),Inputs!$D$27+SQRT(P1825*(Inputs!$F$27-Inputs!$D$27)*(Inputs!$E$27-Inputs!$D$27)),Inputs!$F$27-SQRT((1-P1825)*(Inputs!$F$27-Inputs!$D$27)*(Inputs!$F$27-Inputs!$E$27)))</f>
        <v>73.171495576564</v>
      </c>
      <c r="R1825" s="81" t="n">
        <f aca="true">RAND()</f>
        <v>0.518113739525786</v>
      </c>
      <c r="S1825" s="82" t="n">
        <f aca="false">IF(R1825&lt;(Inputs!$E$29-Inputs!$D$29)/(Inputs!$F$29-Inputs!$D$29),Inputs!$D$29+SQRT(R1825*(Inputs!$F$29-Inputs!$D$29)*(Inputs!$E$29-Inputs!$D$29)),Inputs!$F$29-SQRT((1-R1825)*(Inputs!$F$29-Inputs!$D$29)*(Inputs!$F$29-Inputs!$E$29)))</f>
        <v>7.08512704703052</v>
      </c>
      <c r="T1825" s="68" t="n">
        <f aca="false">Inputs!$E$9*(1+E1825)+Inputs!$E$5*C1825*(Inputs!$E$11*Inputs!$E$14*(G1825*I1825/Inputs!$E$16+(1-G1825))*K1825+Inputs!$E$23*M1825)*(1+O1825)+Inputs!$E$5*(Q1825+S1825)</f>
        <v>6121.25421148811</v>
      </c>
    </row>
    <row r="1826" customFormat="false" ht="15" hidden="false" customHeight="false" outlineLevel="0" collapsed="false">
      <c r="A1826" s="1" t="n">
        <v>1822</v>
      </c>
      <c r="B1826" s="81" t="n">
        <f aca="true">RAND()</f>
        <v>0.454205361731671</v>
      </c>
      <c r="C1826" s="82" t="n">
        <f aca="false">ROUND(IF(B1826&lt;(Inputs!$E$8-Inputs!$D$8)/(Inputs!$F$8-Inputs!$D$8),Inputs!$D$8+SQRT(B1826*(Inputs!$F$8-Inputs!$D$8)*(Inputs!$E$8-Inputs!$D$8)),Inputs!$F$8-SQRT((1-B1826)*(Inputs!$F$8-Inputs!$D$8)*(Inputs!$F$8-Inputs!$E$8))),0)</f>
        <v>25</v>
      </c>
      <c r="D1826" s="81" t="n">
        <f aca="true">RAND()</f>
        <v>0.108259800451206</v>
      </c>
      <c r="E1826" s="83" t="n">
        <f aca="false">IF(D1826&lt;(Inputs!$E$10-Inputs!$D$10)/(Inputs!$F$10-Inputs!$D$10),Inputs!$D$10+SQRT(D1826*(Inputs!$F$10-Inputs!$D$10)*(Inputs!$E$10-Inputs!$D$10)),Inputs!$F$10-SQRT((1-D1826)*(Inputs!$F$10-Inputs!$D$10)*(Inputs!$F$10-Inputs!$E$10)))</f>
        <v>0.0329028570873726</v>
      </c>
      <c r="F1826" s="81" t="n">
        <f aca="true">RAND()</f>
        <v>0.930426768475374</v>
      </c>
      <c r="G1826" s="83" t="n">
        <f aca="false">IF(F1826&lt;(Inputs!$E$15-Inputs!$D$15)/(Inputs!$F$15-Inputs!$D$15),Inputs!$D$15+SQRT(F1826*(Inputs!$F$15-Inputs!$D$15)*(Inputs!$E$15-Inputs!$D$15)),Inputs!$F$15-SQRT((1-F1826)*(Inputs!$F$15-Inputs!$D$15)*(Inputs!$F$15-Inputs!$E$15)))</f>
        <v>0.76269765918213</v>
      </c>
      <c r="H1826" s="81" t="n">
        <f aca="true">RAND()</f>
        <v>0.0712392380690016</v>
      </c>
      <c r="I1826" s="82" t="n">
        <f aca="false">ROUND(IF(H1826&lt;(Inputs!$E$17-Inputs!$D$17)/(Inputs!$F$17-Inputs!$D$17),Inputs!$D$17+SQRT(H1826*(Inputs!$F$17-Inputs!$D$17)*(Inputs!$E$17-Inputs!$D$17)),Inputs!$F$17-SQRT((1-H1826)*(Inputs!$F$17-Inputs!$D$17)*(Inputs!$F$17-Inputs!$E$17))),0)</f>
        <v>102</v>
      </c>
      <c r="J1826" s="81" t="n">
        <f aca="true">RAND()</f>
        <v>0.139454807535756</v>
      </c>
      <c r="K1826" s="83" t="n">
        <f aca="false">IF(J1826&lt;(Inputs!$E$18-Inputs!$D$18)/(Inputs!$F$18-Inputs!$D$18),Inputs!$D$18+SQRT(J1826*(Inputs!$F$18-Inputs!$D$18)*(Inputs!$E$18-Inputs!$D$18)),Inputs!$F$18-SQRT((1-J1826)*(Inputs!$F$18-Inputs!$D$18)*(Inputs!$F$18-Inputs!$E$18)))</f>
        <v>0.96986356893082</v>
      </c>
      <c r="L1826" s="81" t="n">
        <f aca="true">RAND()</f>
        <v>0.186347762906647</v>
      </c>
      <c r="M1826" s="83" t="n">
        <f aca="false">IF(L1826&lt;(Inputs!$E$24-Inputs!$D$24)/(Inputs!$F$24-Inputs!$D$24),Inputs!$D$24+SQRT(L1826*(Inputs!$F$24-Inputs!$D$24)*(Inputs!$E$24-Inputs!$D$24)),Inputs!$F$24-SQRT((1-L1826)*(Inputs!$F$24-Inputs!$D$24)*(Inputs!$F$24-Inputs!$E$24)))</f>
        <v>0.749538394898426</v>
      </c>
      <c r="N1826" s="81" t="n">
        <f aca="true">RAND()</f>
        <v>0.169875836625761</v>
      </c>
      <c r="O1826" s="83" t="n">
        <f aca="false">IF(N1826&lt;(Inputs!$E$26-Inputs!$D$26)/(Inputs!$F$26-Inputs!$D$26),Inputs!$D$26+SQRT(N1826*(Inputs!$F$26-Inputs!$D$26)*(Inputs!$E$26-Inputs!$D$26)),Inputs!$F$26-SQRT((1-N1826)*(Inputs!$F$26-Inputs!$D$26)*(Inputs!$F$26-Inputs!$E$26)))</f>
        <v>0.46812893627965</v>
      </c>
      <c r="P1826" s="81" t="n">
        <f aca="true">RAND()</f>
        <v>0.628171012686599</v>
      </c>
      <c r="Q1826" s="82" t="n">
        <f aca="false">IF(P1826&lt;(Inputs!$E$27-Inputs!$D$27)/(Inputs!$F$27-Inputs!$D$27),Inputs!$D$27+SQRT(P1826*(Inputs!$F$27-Inputs!$D$27)*(Inputs!$E$27-Inputs!$D$27)),Inputs!$F$27-SQRT((1-P1826)*(Inputs!$F$27-Inputs!$D$27)*(Inputs!$F$27-Inputs!$E$27)))</f>
        <v>97.191691895588</v>
      </c>
      <c r="R1826" s="81" t="n">
        <f aca="true">RAND()</f>
        <v>0.655828885292323</v>
      </c>
      <c r="S1826" s="82" t="n">
        <f aca="false">IF(R1826&lt;(Inputs!$E$29-Inputs!$D$29)/(Inputs!$F$29-Inputs!$D$29),Inputs!$D$29+SQRT(R1826*(Inputs!$F$29-Inputs!$D$29)*(Inputs!$E$29-Inputs!$D$29)),Inputs!$F$29-SQRT((1-R1826)*(Inputs!$F$29-Inputs!$D$29)*(Inputs!$F$29-Inputs!$E$29)))</f>
        <v>8.31103558747708</v>
      </c>
      <c r="T1826" s="68" t="n">
        <f aca="false">Inputs!$E$9*(1+E1826)+Inputs!$E$5*C1826*(Inputs!$E$11*Inputs!$E$14*(G1826*I1826/Inputs!$E$16+(1-G1826))*K1826+Inputs!$E$23*M1826)*(1+O1826)+Inputs!$E$5*(Q1826+S1826)</f>
        <v>5584.0423949076</v>
      </c>
    </row>
    <row r="1827" customFormat="false" ht="15" hidden="false" customHeight="false" outlineLevel="0" collapsed="false">
      <c r="A1827" s="1" t="n">
        <v>1823</v>
      </c>
      <c r="B1827" s="81" t="n">
        <f aca="true">RAND()</f>
        <v>0.853729132527115</v>
      </c>
      <c r="C1827" s="82" t="n">
        <f aca="false">ROUND(IF(B1827&lt;(Inputs!$E$8-Inputs!$D$8)/(Inputs!$F$8-Inputs!$D$8),Inputs!$D$8+SQRT(B1827*(Inputs!$F$8-Inputs!$D$8)*(Inputs!$E$8-Inputs!$D$8)),Inputs!$F$8-SQRT((1-B1827)*(Inputs!$F$8-Inputs!$D$8)*(Inputs!$F$8-Inputs!$E$8))),0)</f>
        <v>27</v>
      </c>
      <c r="D1827" s="81" t="n">
        <f aca="true">RAND()</f>
        <v>0.263908357771535</v>
      </c>
      <c r="E1827" s="83" t="n">
        <f aca="false">IF(D1827&lt;(Inputs!$E$10-Inputs!$D$10)/(Inputs!$F$10-Inputs!$D$10),Inputs!$D$10+SQRT(D1827*(Inputs!$F$10-Inputs!$D$10)*(Inputs!$E$10-Inputs!$D$10)),Inputs!$F$10-SQRT((1-D1827)*(Inputs!$F$10-Inputs!$D$10)*(Inputs!$F$10-Inputs!$E$10)))</f>
        <v>0.051397344347909</v>
      </c>
      <c r="F1827" s="81" t="n">
        <f aca="true">RAND()</f>
        <v>0.934447092091677</v>
      </c>
      <c r="G1827" s="83" t="n">
        <f aca="false">IF(F1827&lt;(Inputs!$E$15-Inputs!$D$15)/(Inputs!$F$15-Inputs!$D$15),Inputs!$D$15+SQRT(F1827*(Inputs!$F$15-Inputs!$D$15)*(Inputs!$E$15-Inputs!$D$15)),Inputs!$F$15-SQRT((1-F1827)*(Inputs!$F$15-Inputs!$D$15)*(Inputs!$F$15-Inputs!$E$15)))</f>
        <v>0.763791462910434</v>
      </c>
      <c r="H1827" s="81" t="n">
        <f aca="true">RAND()</f>
        <v>0.503755235474896</v>
      </c>
      <c r="I1827" s="82" t="n">
        <f aca="false">ROUND(IF(H1827&lt;(Inputs!$E$17-Inputs!$D$17)/(Inputs!$F$17-Inputs!$D$17),Inputs!$D$17+SQRT(H1827*(Inputs!$F$17-Inputs!$D$17)*(Inputs!$E$17-Inputs!$D$17)),Inputs!$F$17-SQRT((1-H1827)*(Inputs!$F$17-Inputs!$D$17)*(Inputs!$F$17-Inputs!$E$17))),0)</f>
        <v>106</v>
      </c>
      <c r="J1827" s="81" t="n">
        <f aca="true">RAND()</f>
        <v>0.25539310613951</v>
      </c>
      <c r="K1827" s="83" t="n">
        <f aca="false">IF(J1827&lt;(Inputs!$E$18-Inputs!$D$18)/(Inputs!$F$18-Inputs!$D$18),Inputs!$D$18+SQRT(J1827*(Inputs!$F$18-Inputs!$D$18)*(Inputs!$E$18-Inputs!$D$18)),Inputs!$F$18-SQRT((1-J1827)*(Inputs!$F$18-Inputs!$D$18)*(Inputs!$F$18-Inputs!$E$18)))</f>
        <v>0.994545008936923</v>
      </c>
      <c r="L1827" s="81" t="n">
        <f aca="true">RAND()</f>
        <v>0.622293661792541</v>
      </c>
      <c r="M1827" s="83" t="n">
        <f aca="false">IF(L1827&lt;(Inputs!$E$24-Inputs!$D$24)/(Inputs!$F$24-Inputs!$D$24),Inputs!$D$24+SQRT(L1827*(Inputs!$F$24-Inputs!$D$24)*(Inputs!$E$24-Inputs!$D$24)),Inputs!$F$24-SQRT((1-L1827)*(Inputs!$F$24-Inputs!$D$24)*(Inputs!$F$24-Inputs!$E$24)))</f>
        <v>0.898919410838576</v>
      </c>
      <c r="N1827" s="81" t="n">
        <f aca="true">RAND()</f>
        <v>0.809791057209389</v>
      </c>
      <c r="O1827" s="83" t="n">
        <f aca="false">IF(N1827&lt;(Inputs!$E$26-Inputs!$D$26)/(Inputs!$F$26-Inputs!$D$26),Inputs!$D$26+SQRT(N1827*(Inputs!$F$26-Inputs!$D$26)*(Inputs!$E$26-Inputs!$D$26)),Inputs!$F$26-SQRT((1-N1827)*(Inputs!$F$26-Inputs!$D$26)*(Inputs!$F$26-Inputs!$E$26)))</f>
        <v>0.679352461627572</v>
      </c>
      <c r="P1827" s="81" t="n">
        <f aca="true">RAND()</f>
        <v>0.306402222423824</v>
      </c>
      <c r="Q1827" s="82" t="n">
        <f aca="false">IF(P1827&lt;(Inputs!$E$27-Inputs!$D$27)/(Inputs!$F$27-Inputs!$D$27),Inputs!$D$27+SQRT(P1827*(Inputs!$F$27-Inputs!$D$27)*(Inputs!$E$27-Inputs!$D$27)),Inputs!$F$27-SQRT((1-P1827)*(Inputs!$F$27-Inputs!$D$27)*(Inputs!$F$27-Inputs!$E$27)))</f>
        <v>77.8752238698703</v>
      </c>
      <c r="R1827" s="81" t="n">
        <f aca="true">RAND()</f>
        <v>0.922257050481526</v>
      </c>
      <c r="S1827" s="82" t="n">
        <f aca="false">IF(R1827&lt;(Inputs!$E$29-Inputs!$D$29)/(Inputs!$F$29-Inputs!$D$29),Inputs!$D$29+SQRT(R1827*(Inputs!$F$29-Inputs!$D$29)*(Inputs!$E$29-Inputs!$D$29)),Inputs!$F$29-SQRT((1-R1827)*(Inputs!$F$29-Inputs!$D$29)*(Inputs!$F$29-Inputs!$E$29)))</f>
        <v>11.8209146854163</v>
      </c>
      <c r="T1827" s="68" t="n">
        <f aca="false">Inputs!$E$9*(1+E1827)+Inputs!$E$5*C1827*(Inputs!$E$11*Inputs!$E$14*(G1827*I1827/Inputs!$E$16+(1-G1827))*K1827+Inputs!$E$23*M1827)*(1+O1827)+Inputs!$E$5*(Q1827+S1827)</f>
        <v>6554.85735149373</v>
      </c>
    </row>
    <row r="1828" customFormat="false" ht="15" hidden="false" customHeight="false" outlineLevel="0" collapsed="false">
      <c r="A1828" s="1" t="n">
        <v>1824</v>
      </c>
      <c r="B1828" s="81" t="n">
        <f aca="true">RAND()</f>
        <v>0.952997970643313</v>
      </c>
      <c r="C1828" s="82" t="n">
        <f aca="false">ROUND(IF(B1828&lt;(Inputs!$E$8-Inputs!$D$8)/(Inputs!$F$8-Inputs!$D$8),Inputs!$D$8+SQRT(B1828*(Inputs!$F$8-Inputs!$D$8)*(Inputs!$E$8-Inputs!$D$8)),Inputs!$F$8-SQRT((1-B1828)*(Inputs!$F$8-Inputs!$D$8)*(Inputs!$F$8-Inputs!$E$8))),0)</f>
        <v>28</v>
      </c>
      <c r="D1828" s="81" t="n">
        <f aca="true">RAND()</f>
        <v>0.728380528031929</v>
      </c>
      <c r="E1828" s="83" t="n">
        <f aca="false">IF(D1828&lt;(Inputs!$E$10-Inputs!$D$10)/(Inputs!$F$10-Inputs!$D$10),Inputs!$D$10+SQRT(D1828*(Inputs!$F$10-Inputs!$D$10)*(Inputs!$E$10-Inputs!$D$10)),Inputs!$F$10-SQRT((1-D1828)*(Inputs!$F$10-Inputs!$D$10)*(Inputs!$F$10-Inputs!$E$10)))</f>
        <v>0.109730491532068</v>
      </c>
      <c r="F1828" s="81" t="n">
        <f aca="true">RAND()</f>
        <v>0.693549406059402</v>
      </c>
      <c r="G1828" s="83" t="n">
        <f aca="false">IF(F1828&lt;(Inputs!$E$15-Inputs!$D$15)/(Inputs!$F$15-Inputs!$D$15),Inputs!$D$15+SQRT(F1828*(Inputs!$F$15-Inputs!$D$15)*(Inputs!$E$15-Inputs!$D$15)),Inputs!$F$15-SQRT((1-F1828)*(Inputs!$F$15-Inputs!$D$15)*(Inputs!$F$15-Inputs!$E$15)))</f>
        <v>0.72171199402966</v>
      </c>
      <c r="H1828" s="81" t="n">
        <f aca="true">RAND()</f>
        <v>0.84926313512152</v>
      </c>
      <c r="I1828" s="82" t="n">
        <f aca="false">ROUND(IF(H1828&lt;(Inputs!$E$17-Inputs!$D$17)/(Inputs!$F$17-Inputs!$D$17),Inputs!$D$17+SQRT(H1828*(Inputs!$F$17-Inputs!$D$17)*(Inputs!$E$17-Inputs!$D$17)),Inputs!$F$17-SQRT((1-H1828)*(Inputs!$F$17-Inputs!$D$17)*(Inputs!$F$17-Inputs!$E$17))),0)</f>
        <v>110</v>
      </c>
      <c r="J1828" s="81" t="n">
        <f aca="true">RAND()</f>
        <v>0.501803798059082</v>
      </c>
      <c r="K1828" s="83" t="n">
        <f aca="false">IF(J1828&lt;(Inputs!$E$18-Inputs!$D$18)/(Inputs!$F$18-Inputs!$D$18),Inputs!$D$18+SQRT(J1828*(Inputs!$F$18-Inputs!$D$18)*(Inputs!$E$18-Inputs!$D$18)),Inputs!$F$18-SQRT((1-J1828)*(Inputs!$F$18-Inputs!$D$18)*(Inputs!$F$18-Inputs!$E$18)))</f>
        <v>1.04121262569343</v>
      </c>
      <c r="L1828" s="81" t="n">
        <f aca="true">RAND()</f>
        <v>0.990117235366008</v>
      </c>
      <c r="M1828" s="83" t="n">
        <f aca="false">IF(L1828&lt;(Inputs!$E$24-Inputs!$D$24)/(Inputs!$F$24-Inputs!$D$24),Inputs!$D$24+SQRT(L1828*(Inputs!$F$24-Inputs!$D$24)*(Inputs!$E$24-Inputs!$D$24)),Inputs!$F$24-SQRT((1-L1828)*(Inputs!$F$24-Inputs!$D$24)*(Inputs!$F$24-Inputs!$E$24)))</f>
        <v>1.15129821859359</v>
      </c>
      <c r="N1828" s="81" t="n">
        <f aca="true">RAND()</f>
        <v>0.595154195572948</v>
      </c>
      <c r="O1828" s="83" t="n">
        <f aca="false">IF(N1828&lt;(Inputs!$E$26-Inputs!$D$26)/(Inputs!$F$26-Inputs!$D$26),Inputs!$D$26+SQRT(N1828*(Inputs!$F$26-Inputs!$D$26)*(Inputs!$E$26-Inputs!$D$26)),Inputs!$F$26-SQRT((1-N1828)*(Inputs!$F$26-Inputs!$D$26)*(Inputs!$F$26-Inputs!$E$26)))</f>
        <v>0.614696136206561</v>
      </c>
      <c r="P1828" s="81" t="n">
        <f aca="true">RAND()</f>
        <v>0.288055024049234</v>
      </c>
      <c r="Q1828" s="82" t="n">
        <f aca="false">IF(P1828&lt;(Inputs!$E$27-Inputs!$D$27)/(Inputs!$F$27-Inputs!$D$27),Inputs!$D$27+SQRT(P1828*(Inputs!$F$27-Inputs!$D$27)*(Inputs!$E$27-Inputs!$D$27)),Inputs!$F$27-SQRT((1-P1828)*(Inputs!$F$27-Inputs!$D$27)*(Inputs!$F$27-Inputs!$E$27)))</f>
        <v>76.927520093877</v>
      </c>
      <c r="R1828" s="81" t="n">
        <f aca="true">RAND()</f>
        <v>0.784403849886533</v>
      </c>
      <c r="S1828" s="82" t="n">
        <f aca="false">IF(R1828&lt;(Inputs!$E$29-Inputs!$D$29)/(Inputs!$F$29-Inputs!$D$29),Inputs!$D$29+SQRT(R1828*(Inputs!$F$29-Inputs!$D$29)*(Inputs!$E$29-Inputs!$D$29)),Inputs!$F$29-SQRT((1-R1828)*(Inputs!$F$29-Inputs!$D$29)*(Inputs!$F$29-Inputs!$E$29)))</f>
        <v>9.70589955566097</v>
      </c>
      <c r="T1828" s="68" t="n">
        <f aca="false">Inputs!$E$9*(1+E1828)+Inputs!$E$5*C1828*(Inputs!$E$11*Inputs!$E$14*(G1828*I1828/Inputs!$E$16+(1-G1828))*K1828+Inputs!$E$23*M1828)*(1+O1828)+Inputs!$E$5*(Q1828+S1828)</f>
        <v>7294.92215089726</v>
      </c>
    </row>
    <row r="1829" customFormat="false" ht="15" hidden="false" customHeight="false" outlineLevel="0" collapsed="false">
      <c r="A1829" s="1" t="n">
        <v>1825</v>
      </c>
      <c r="B1829" s="81" t="n">
        <f aca="true">RAND()</f>
        <v>0.0527668843956556</v>
      </c>
      <c r="C1829" s="82" t="n">
        <f aca="false">ROUND(IF(B1829&lt;(Inputs!$E$8-Inputs!$D$8)/(Inputs!$F$8-Inputs!$D$8),Inputs!$D$8+SQRT(B1829*(Inputs!$F$8-Inputs!$D$8)*(Inputs!$E$8-Inputs!$D$8)),Inputs!$F$8-SQRT((1-B1829)*(Inputs!$F$8-Inputs!$D$8)*(Inputs!$F$8-Inputs!$E$8))),0)</f>
        <v>22</v>
      </c>
      <c r="D1829" s="81" t="n">
        <f aca="true">RAND()</f>
        <v>0.496080046028972</v>
      </c>
      <c r="E1829" s="83" t="n">
        <f aca="false">IF(D1829&lt;(Inputs!$E$10-Inputs!$D$10)/(Inputs!$F$10-Inputs!$D$10),Inputs!$D$10+SQRT(D1829*(Inputs!$F$10-Inputs!$D$10)*(Inputs!$E$10-Inputs!$D$10)),Inputs!$F$10-SQRT((1-D1829)*(Inputs!$F$10-Inputs!$D$10)*(Inputs!$F$10-Inputs!$E$10)))</f>
        <v>0.0770463558119124</v>
      </c>
      <c r="F1829" s="81" t="n">
        <f aca="true">RAND()</f>
        <v>0.947241414088314</v>
      </c>
      <c r="G1829" s="83" t="n">
        <f aca="false">IF(F1829&lt;(Inputs!$E$15-Inputs!$D$15)/(Inputs!$F$15-Inputs!$D$15),Inputs!$D$15+SQRT(F1829*(Inputs!$F$15-Inputs!$D$15)*(Inputs!$E$15-Inputs!$D$15)),Inputs!$F$15-SQRT((1-F1829)*(Inputs!$F$15-Inputs!$D$15)*(Inputs!$F$15-Inputs!$E$15)))</f>
        <v>0.767516593186156</v>
      </c>
      <c r="H1829" s="81" t="n">
        <f aca="true">RAND()</f>
        <v>0.31079037794039</v>
      </c>
      <c r="I1829" s="82" t="n">
        <f aca="false">ROUND(IF(H1829&lt;(Inputs!$E$17-Inputs!$D$17)/(Inputs!$F$17-Inputs!$D$17),Inputs!$D$17+SQRT(H1829*(Inputs!$F$17-Inputs!$D$17)*(Inputs!$E$17-Inputs!$D$17)),Inputs!$F$17-SQRT((1-H1829)*(Inputs!$F$17-Inputs!$D$17)*(Inputs!$F$17-Inputs!$E$17))),0)</f>
        <v>105</v>
      </c>
      <c r="J1829" s="81" t="n">
        <f aca="true">RAND()</f>
        <v>0.00664052023358576</v>
      </c>
      <c r="K1829" s="83" t="n">
        <f aca="false">IF(J1829&lt;(Inputs!$E$18-Inputs!$D$18)/(Inputs!$F$18-Inputs!$D$18),Inputs!$D$18+SQRT(J1829*(Inputs!$F$18-Inputs!$D$18)*(Inputs!$E$18-Inputs!$D$18)),Inputs!$F$18-SQRT((1-J1829)*(Inputs!$F$18-Inputs!$D$18)*(Inputs!$F$18-Inputs!$E$18)))</f>
        <v>0.91524526838647</v>
      </c>
      <c r="L1829" s="81" t="n">
        <f aca="true">RAND()</f>
        <v>0.0328198095803454</v>
      </c>
      <c r="M1829" s="83" t="n">
        <f aca="false">IF(L1829&lt;(Inputs!$E$24-Inputs!$D$24)/(Inputs!$F$24-Inputs!$D$24),Inputs!$D$24+SQRT(L1829*(Inputs!$F$24-Inputs!$D$24)*(Inputs!$E$24-Inputs!$D$24)),Inputs!$F$24-SQRT((1-L1829)*(Inputs!$F$24-Inputs!$D$24)*(Inputs!$F$24-Inputs!$E$24)))</f>
        <v>0.662756490896492</v>
      </c>
      <c r="N1829" s="81" t="n">
        <f aca="true">RAND()</f>
        <v>0.744232370133931</v>
      </c>
      <c r="O1829" s="83" t="n">
        <f aca="false">IF(N1829&lt;(Inputs!$E$26-Inputs!$D$26)/(Inputs!$F$26-Inputs!$D$26),Inputs!$D$26+SQRT(N1829*(Inputs!$F$26-Inputs!$D$26)*(Inputs!$E$26-Inputs!$D$26)),Inputs!$F$26-SQRT((1-N1829)*(Inputs!$F$26-Inputs!$D$26)*(Inputs!$F$26-Inputs!$E$26)))</f>
        <v>0.656905446117686</v>
      </c>
      <c r="P1829" s="81" t="n">
        <f aca="true">RAND()</f>
        <v>0.860629359610771</v>
      </c>
      <c r="Q1829" s="82" t="n">
        <f aca="false">IF(P1829&lt;(Inputs!$E$27-Inputs!$D$27)/(Inputs!$F$27-Inputs!$D$27),Inputs!$D$27+SQRT(P1829*(Inputs!$F$27-Inputs!$D$27)*(Inputs!$E$27-Inputs!$D$27)),Inputs!$F$27-SQRT((1-P1829)*(Inputs!$F$27-Inputs!$D$27)*(Inputs!$F$27-Inputs!$E$27)))</f>
        <v>117.669212769881</v>
      </c>
      <c r="R1829" s="81" t="n">
        <f aca="true">RAND()</f>
        <v>0.234369811480629</v>
      </c>
      <c r="S1829" s="82" t="n">
        <f aca="false">IF(R1829&lt;(Inputs!$E$29-Inputs!$D$29)/(Inputs!$F$29-Inputs!$D$29),Inputs!$D$29+SQRT(R1829*(Inputs!$F$29-Inputs!$D$29)*(Inputs!$E$29-Inputs!$D$29)),Inputs!$F$29-SQRT((1-R1829)*(Inputs!$F$29-Inputs!$D$29)*(Inputs!$F$29-Inputs!$E$29)))</f>
        <v>5.02343122574108</v>
      </c>
      <c r="T1829" s="68" t="n">
        <f aca="false">Inputs!$E$9*(1+E1829)+Inputs!$E$5*C1829*(Inputs!$E$11*Inputs!$E$14*(G1829*I1829/Inputs!$E$16+(1-G1829))*K1829+Inputs!$E$23*M1829)*(1+O1829)+Inputs!$E$5*(Q1829+S1829)</f>
        <v>5560.82828560408</v>
      </c>
    </row>
    <row r="1830" customFormat="false" ht="15" hidden="false" customHeight="false" outlineLevel="0" collapsed="false">
      <c r="A1830" s="1" t="n">
        <v>1826</v>
      </c>
      <c r="B1830" s="81" t="n">
        <f aca="true">RAND()</f>
        <v>0.806002037533089</v>
      </c>
      <c r="C1830" s="82" t="n">
        <f aca="false">ROUND(IF(B1830&lt;(Inputs!$E$8-Inputs!$D$8)/(Inputs!$F$8-Inputs!$D$8),Inputs!$D$8+SQRT(B1830*(Inputs!$F$8-Inputs!$D$8)*(Inputs!$E$8-Inputs!$D$8)),Inputs!$F$8-SQRT((1-B1830)*(Inputs!$F$8-Inputs!$D$8)*(Inputs!$F$8-Inputs!$E$8))),0)</f>
        <v>27</v>
      </c>
      <c r="D1830" s="81" t="n">
        <f aca="true">RAND()</f>
        <v>0.24352454227406</v>
      </c>
      <c r="E1830" s="83" t="n">
        <f aca="false">IF(D1830&lt;(Inputs!$E$10-Inputs!$D$10)/(Inputs!$F$10-Inputs!$D$10),Inputs!$D$10+SQRT(D1830*(Inputs!$F$10-Inputs!$D$10)*(Inputs!$E$10-Inputs!$D$10)),Inputs!$F$10-SQRT((1-D1830)*(Inputs!$F$10-Inputs!$D$10)*(Inputs!$F$10-Inputs!$E$10)))</f>
        <v>0.0493482058715472</v>
      </c>
      <c r="F1830" s="81" t="n">
        <f aca="true">RAND()</f>
        <v>0.896212306925853</v>
      </c>
      <c r="G1830" s="83" t="n">
        <f aca="false">IF(F1830&lt;(Inputs!$E$15-Inputs!$D$15)/(Inputs!$F$15-Inputs!$D$15),Inputs!$D$15+SQRT(F1830*(Inputs!$F$15-Inputs!$D$15)*(Inputs!$E$15-Inputs!$D$15)),Inputs!$F$15-SQRT((1-F1830)*(Inputs!$F$15-Inputs!$D$15)*(Inputs!$F$15-Inputs!$E$15)))</f>
        <v>0.754439558150925</v>
      </c>
      <c r="H1830" s="81" t="n">
        <f aca="true">RAND()</f>
        <v>0.409173973070077</v>
      </c>
      <c r="I1830" s="82" t="n">
        <f aca="false">ROUND(IF(H1830&lt;(Inputs!$E$17-Inputs!$D$17)/(Inputs!$F$17-Inputs!$D$17),Inputs!$D$17+SQRT(H1830*(Inputs!$F$17-Inputs!$D$17)*(Inputs!$E$17-Inputs!$D$17)),Inputs!$F$17-SQRT((1-H1830)*(Inputs!$F$17-Inputs!$D$17)*(Inputs!$F$17-Inputs!$E$17))),0)</f>
        <v>106</v>
      </c>
      <c r="J1830" s="81" t="n">
        <f aca="true">RAND()</f>
        <v>0.880498302295097</v>
      </c>
      <c r="K1830" s="83" t="n">
        <f aca="false">IF(J1830&lt;(Inputs!$E$18-Inputs!$D$18)/(Inputs!$F$18-Inputs!$D$18),Inputs!$D$18+SQRT(J1830*(Inputs!$F$18-Inputs!$D$18)*(Inputs!$E$18-Inputs!$D$18)),Inputs!$F$18-SQRT((1-J1830)*(Inputs!$F$18-Inputs!$D$18)*(Inputs!$F$18-Inputs!$E$18)))</f>
        <v>1.14774346696089</v>
      </c>
      <c r="L1830" s="81" t="n">
        <f aca="true">RAND()</f>
        <v>0.890917189518782</v>
      </c>
      <c r="M1830" s="83" t="n">
        <f aca="false">IF(L1830&lt;(Inputs!$E$24-Inputs!$D$24)/(Inputs!$F$24-Inputs!$D$24),Inputs!$D$24+SQRT(L1830*(Inputs!$F$24-Inputs!$D$24)*(Inputs!$E$24-Inputs!$D$24)),Inputs!$F$24-SQRT((1-L1830)*(Inputs!$F$24-Inputs!$D$24)*(Inputs!$F$24-Inputs!$E$24)))</f>
        <v>1.03819803920999</v>
      </c>
      <c r="N1830" s="81" t="n">
        <f aca="true">RAND()</f>
        <v>0.972926638107442</v>
      </c>
      <c r="O1830" s="83" t="n">
        <f aca="false">IF(N1830&lt;(Inputs!$E$26-Inputs!$D$26)/(Inputs!$F$26-Inputs!$D$26),Inputs!$D$26+SQRT(N1830*(Inputs!$F$26-Inputs!$D$26)*(Inputs!$E$26-Inputs!$D$26)),Inputs!$F$26-SQRT((1-N1830)*(Inputs!$F$26-Inputs!$D$26)*(Inputs!$F$26-Inputs!$E$26)))</f>
        <v>0.766937493115892</v>
      </c>
      <c r="P1830" s="81" t="n">
        <f aca="true">RAND()</f>
        <v>0.535293881381647</v>
      </c>
      <c r="Q1830" s="82" t="n">
        <f aca="false">IF(P1830&lt;(Inputs!$E$27-Inputs!$D$27)/(Inputs!$F$27-Inputs!$D$27),Inputs!$D$27+SQRT(P1830*(Inputs!$F$27-Inputs!$D$27)*(Inputs!$E$27-Inputs!$D$27)),Inputs!$F$27-SQRT((1-P1830)*(Inputs!$F$27-Inputs!$D$27)*(Inputs!$F$27-Inputs!$E$27)))</f>
        <v>90.9636053807683</v>
      </c>
      <c r="R1830" s="81" t="n">
        <f aca="true">RAND()</f>
        <v>0.898386073432327</v>
      </c>
      <c r="S1830" s="82" t="n">
        <f aca="false">IF(R1830&lt;(Inputs!$E$29-Inputs!$D$29)/(Inputs!$F$29-Inputs!$D$29),Inputs!$D$29+SQRT(R1830*(Inputs!$F$29-Inputs!$D$29)*(Inputs!$E$29-Inputs!$D$29)),Inputs!$F$29-SQRT((1-R1830)*(Inputs!$F$29-Inputs!$D$29)*(Inputs!$F$29-Inputs!$E$29)))</f>
        <v>11.3654697065786</v>
      </c>
      <c r="T1830" s="68" t="n">
        <f aca="false">Inputs!$E$9*(1+E1830)+Inputs!$E$5*C1830*(Inputs!$E$11*Inputs!$E$14*(G1830*I1830/Inputs!$E$16+(1-G1830))*K1830+Inputs!$E$23*M1830)*(1+O1830)+Inputs!$E$5*(Q1830+S1830)</f>
        <v>7444.3581680567</v>
      </c>
    </row>
    <row r="1831" customFormat="false" ht="15" hidden="false" customHeight="false" outlineLevel="0" collapsed="false">
      <c r="A1831" s="1" t="n">
        <v>1827</v>
      </c>
      <c r="B1831" s="81" t="n">
        <f aca="true">RAND()</f>
        <v>0.993202471190604</v>
      </c>
      <c r="C1831" s="82" t="n">
        <f aca="false">ROUND(IF(B1831&lt;(Inputs!$E$8-Inputs!$D$8)/(Inputs!$F$8-Inputs!$D$8),Inputs!$D$8+SQRT(B1831*(Inputs!$F$8-Inputs!$D$8)*(Inputs!$E$8-Inputs!$D$8)),Inputs!$F$8-SQRT((1-B1831)*(Inputs!$F$8-Inputs!$D$8)*(Inputs!$F$8-Inputs!$E$8))),0)</f>
        <v>29</v>
      </c>
      <c r="D1831" s="81" t="n">
        <f aca="true">RAND()</f>
        <v>0.757335830029652</v>
      </c>
      <c r="E1831" s="83" t="n">
        <f aca="false">IF(D1831&lt;(Inputs!$E$10-Inputs!$D$10)/(Inputs!$F$10-Inputs!$D$10),Inputs!$D$10+SQRT(D1831*(Inputs!$F$10-Inputs!$D$10)*(Inputs!$E$10-Inputs!$D$10)),Inputs!$F$10-SQRT((1-D1831)*(Inputs!$F$10-Inputs!$D$10)*(Inputs!$F$10-Inputs!$E$10)))</f>
        <v>0.114677522896306</v>
      </c>
      <c r="F1831" s="81" t="n">
        <f aca="true">RAND()</f>
        <v>0.803712771803075</v>
      </c>
      <c r="G1831" s="83" t="n">
        <f aca="false">IF(F1831&lt;(Inputs!$E$15-Inputs!$D$15)/(Inputs!$F$15-Inputs!$D$15),Inputs!$D$15+SQRT(F1831*(Inputs!$F$15-Inputs!$D$15)*(Inputs!$E$15-Inputs!$D$15)),Inputs!$F$15-SQRT((1-F1831)*(Inputs!$F$15-Inputs!$D$15)*(Inputs!$F$15-Inputs!$E$15)))</f>
        <v>0.737344237583934</v>
      </c>
      <c r="H1831" s="81" t="n">
        <f aca="true">RAND()</f>
        <v>0.1386914163099</v>
      </c>
      <c r="I1831" s="82" t="n">
        <f aca="false">ROUND(IF(H1831&lt;(Inputs!$E$17-Inputs!$D$17)/(Inputs!$F$17-Inputs!$D$17),Inputs!$D$17+SQRT(H1831*(Inputs!$F$17-Inputs!$D$17)*(Inputs!$E$17-Inputs!$D$17)),Inputs!$F$17-SQRT((1-H1831)*(Inputs!$F$17-Inputs!$D$17)*(Inputs!$F$17-Inputs!$E$17))),0)</f>
        <v>103</v>
      </c>
      <c r="J1831" s="81" t="n">
        <f aca="true">RAND()</f>
        <v>0.964844638746985</v>
      </c>
      <c r="K1831" s="83" t="n">
        <f aca="false">IF(J1831&lt;(Inputs!$E$18-Inputs!$D$18)/(Inputs!$F$18-Inputs!$D$18),Inputs!$D$18+SQRT(J1831*(Inputs!$F$18-Inputs!$D$18)*(Inputs!$E$18-Inputs!$D$18)),Inputs!$F$18-SQRT((1-J1831)*(Inputs!$F$18-Inputs!$D$18)*(Inputs!$F$18-Inputs!$E$18)))</f>
        <v>1.19453745309095</v>
      </c>
      <c r="L1831" s="81" t="n">
        <f aca="true">RAND()</f>
        <v>0.208211538500103</v>
      </c>
      <c r="M1831" s="83" t="n">
        <f aca="false">IF(L1831&lt;(Inputs!$E$24-Inputs!$D$24)/(Inputs!$F$24-Inputs!$D$24),Inputs!$D$24+SQRT(L1831*(Inputs!$F$24-Inputs!$D$24)*(Inputs!$E$24-Inputs!$D$24)),Inputs!$F$24-SQRT((1-L1831)*(Inputs!$F$24-Inputs!$D$24)*(Inputs!$F$24-Inputs!$E$24)))</f>
        <v>0.758067658361894</v>
      </c>
      <c r="N1831" s="81" t="n">
        <f aca="true">RAND()</f>
        <v>0.0478211229278243</v>
      </c>
      <c r="O1831" s="83" t="n">
        <f aca="false">IF(N1831&lt;(Inputs!$E$26-Inputs!$D$26)/(Inputs!$F$26-Inputs!$D$26),Inputs!$D$26+SQRT(N1831*(Inputs!$F$26-Inputs!$D$26)*(Inputs!$E$26-Inputs!$D$26)),Inputs!$F$26-SQRT((1-N1831)*(Inputs!$F$26-Inputs!$D$26)*(Inputs!$F$26-Inputs!$E$26)))</f>
        <v>0.389204455355044</v>
      </c>
      <c r="P1831" s="81" t="n">
        <f aca="true">RAND()</f>
        <v>0.276088361944583</v>
      </c>
      <c r="Q1831" s="82" t="n">
        <f aca="false">IF(P1831&lt;(Inputs!$E$27-Inputs!$D$27)/(Inputs!$F$27-Inputs!$D$27),Inputs!$D$27+SQRT(P1831*(Inputs!$F$27-Inputs!$D$27)*(Inputs!$E$27-Inputs!$D$27)),Inputs!$F$27-SQRT((1-P1831)*(Inputs!$F$27-Inputs!$D$27)*(Inputs!$F$27-Inputs!$E$27)))</f>
        <v>76.3159631574408</v>
      </c>
      <c r="R1831" s="81" t="n">
        <f aca="true">RAND()</f>
        <v>0.134497041934446</v>
      </c>
      <c r="S1831" s="82" t="n">
        <f aca="false">IF(R1831&lt;(Inputs!$E$29-Inputs!$D$29)/(Inputs!$F$29-Inputs!$D$29),Inputs!$D$29+SQRT(R1831*(Inputs!$F$29-Inputs!$D$29)*(Inputs!$E$29-Inputs!$D$29)),Inputs!$F$29-SQRT((1-R1831)*(Inputs!$F$29-Inputs!$D$29)*(Inputs!$F$29-Inputs!$E$29)))</f>
        <v>4.29028047091255</v>
      </c>
      <c r="T1831" s="68" t="n">
        <f aca="false">Inputs!$E$9*(1+E1831)+Inputs!$E$5*C1831*(Inputs!$E$11*Inputs!$E$14*(G1831*I1831/Inputs!$E$16+(1-G1831))*K1831+Inputs!$E$23*M1831)*(1+O1831)+Inputs!$E$5*(Q1831+S1831)</f>
        <v>6439.03246635319</v>
      </c>
    </row>
    <row r="1832" customFormat="false" ht="15" hidden="false" customHeight="false" outlineLevel="0" collapsed="false">
      <c r="A1832" s="1" t="n">
        <v>1828</v>
      </c>
      <c r="B1832" s="81" t="n">
        <f aca="true">RAND()</f>
        <v>0.504603586243506</v>
      </c>
      <c r="C1832" s="82" t="n">
        <f aca="false">ROUND(IF(B1832&lt;(Inputs!$E$8-Inputs!$D$8)/(Inputs!$F$8-Inputs!$D$8),Inputs!$D$8+SQRT(B1832*(Inputs!$F$8-Inputs!$D$8)*(Inputs!$E$8-Inputs!$D$8)),Inputs!$F$8-SQRT((1-B1832)*(Inputs!$F$8-Inputs!$D$8)*(Inputs!$F$8-Inputs!$E$8))),0)</f>
        <v>25</v>
      </c>
      <c r="D1832" s="81" t="n">
        <f aca="true">RAND()</f>
        <v>0.0884773800410437</v>
      </c>
      <c r="E1832" s="83" t="n">
        <f aca="false">IF(D1832&lt;(Inputs!$E$10-Inputs!$D$10)/(Inputs!$F$10-Inputs!$D$10),Inputs!$D$10+SQRT(D1832*(Inputs!$F$10-Inputs!$D$10)*(Inputs!$E$10-Inputs!$D$10)),Inputs!$F$10-SQRT((1-D1832)*(Inputs!$F$10-Inputs!$D$10)*(Inputs!$F$10-Inputs!$E$10)))</f>
        <v>0.0297451475103156</v>
      </c>
      <c r="F1832" s="81" t="n">
        <f aca="true">RAND()</f>
        <v>0.328016295366645</v>
      </c>
      <c r="G1832" s="83" t="n">
        <f aca="false">IF(F1832&lt;(Inputs!$E$15-Inputs!$D$15)/(Inputs!$F$15-Inputs!$D$15),Inputs!$D$15+SQRT(F1832*(Inputs!$F$15-Inputs!$D$15)*(Inputs!$E$15-Inputs!$D$15)),Inputs!$F$15-SQRT((1-F1832)*(Inputs!$F$15-Inputs!$D$15)*(Inputs!$F$15-Inputs!$E$15)))</f>
        <v>0.680995838827269</v>
      </c>
      <c r="H1832" s="81" t="n">
        <f aca="true">RAND()</f>
        <v>0.644936849482122</v>
      </c>
      <c r="I1832" s="82" t="n">
        <f aca="false">ROUND(IF(H1832&lt;(Inputs!$E$17-Inputs!$D$17)/(Inputs!$F$17-Inputs!$D$17),Inputs!$D$17+SQRT(H1832*(Inputs!$F$17-Inputs!$D$17)*(Inputs!$E$17-Inputs!$D$17)),Inputs!$F$17-SQRT((1-H1832)*(Inputs!$F$17-Inputs!$D$17)*(Inputs!$F$17-Inputs!$E$17))),0)</f>
        <v>108</v>
      </c>
      <c r="J1832" s="81" t="n">
        <f aca="true">RAND()</f>
        <v>0.247577459032214</v>
      </c>
      <c r="K1832" s="83" t="n">
        <f aca="false">IF(J1832&lt;(Inputs!$E$18-Inputs!$D$18)/(Inputs!$F$18-Inputs!$D$18),Inputs!$D$18+SQRT(J1832*(Inputs!$F$18-Inputs!$D$18)*(Inputs!$E$18-Inputs!$D$18)),Inputs!$F$18-SQRT((1-J1832)*(Inputs!$F$18-Inputs!$D$18)*(Inputs!$F$18-Inputs!$E$18)))</f>
        <v>0.993087115467864</v>
      </c>
      <c r="L1832" s="81" t="n">
        <f aca="true">RAND()</f>
        <v>0.694594897050352</v>
      </c>
      <c r="M1832" s="83" t="n">
        <f aca="false">IF(L1832&lt;(Inputs!$E$24-Inputs!$D$24)/(Inputs!$F$24-Inputs!$D$24),Inputs!$D$24+SQRT(L1832*(Inputs!$F$24-Inputs!$D$24)*(Inputs!$E$24-Inputs!$D$24)),Inputs!$F$24-SQRT((1-L1832)*(Inputs!$F$24-Inputs!$D$24)*(Inputs!$F$24-Inputs!$E$24)))</f>
        <v>0.929265398022499</v>
      </c>
      <c r="N1832" s="81" t="n">
        <f aca="true">RAND()</f>
        <v>0.621938889582568</v>
      </c>
      <c r="O1832" s="83" t="n">
        <f aca="false">IF(N1832&lt;(Inputs!$E$26-Inputs!$D$26)/(Inputs!$F$26-Inputs!$D$26),Inputs!$D$26+SQRT(N1832*(Inputs!$F$26-Inputs!$D$26)*(Inputs!$E$26-Inputs!$D$26)),Inputs!$F$26-SQRT((1-N1832)*(Inputs!$F$26-Inputs!$D$26)*(Inputs!$F$26-Inputs!$E$26)))</f>
        <v>0.621711433805645</v>
      </c>
      <c r="P1832" s="81" t="n">
        <f aca="true">RAND()</f>
        <v>0.0606637135533805</v>
      </c>
      <c r="Q1832" s="82" t="n">
        <f aca="false">IF(P1832&lt;(Inputs!$E$27-Inputs!$D$27)/(Inputs!$F$27-Inputs!$D$27),Inputs!$D$27+SQRT(P1832*(Inputs!$F$27-Inputs!$D$27)*(Inputs!$E$27-Inputs!$D$27)),Inputs!$F$27-SQRT((1-P1832)*(Inputs!$F$27-Inputs!$D$27)*(Inputs!$F$27-Inputs!$E$27)))</f>
        <v>62.3150023907205</v>
      </c>
      <c r="R1832" s="81" t="n">
        <f aca="true">RAND()</f>
        <v>0.97283253609897</v>
      </c>
      <c r="S1832" s="82" t="n">
        <f aca="false">IF(R1832&lt;(Inputs!$E$29-Inputs!$D$29)/(Inputs!$F$29-Inputs!$D$29),Inputs!$D$29+SQRT(R1832*(Inputs!$F$29-Inputs!$D$29)*(Inputs!$E$29-Inputs!$D$29)),Inputs!$F$29-SQRT((1-R1832)*(Inputs!$F$29-Inputs!$D$29)*(Inputs!$F$29-Inputs!$E$29)))</f>
        <v>13.1206995165398</v>
      </c>
      <c r="T1832" s="68" t="n">
        <f aca="false">Inputs!$E$9*(1+E1832)+Inputs!$E$5*C1832*(Inputs!$E$11*Inputs!$E$14*(G1832*I1832/Inputs!$E$16+(1-G1832))*K1832+Inputs!$E$23*M1832)*(1+O1832)+Inputs!$E$5*(Q1832+S1832)</f>
        <v>6207.63214400236</v>
      </c>
    </row>
    <row r="1833" customFormat="false" ht="15" hidden="false" customHeight="false" outlineLevel="0" collapsed="false">
      <c r="A1833" s="1" t="n">
        <v>1829</v>
      </c>
      <c r="B1833" s="81" t="n">
        <f aca="true">RAND()</f>
        <v>0.24350676330771</v>
      </c>
      <c r="C1833" s="82" t="n">
        <f aca="false">ROUND(IF(B1833&lt;(Inputs!$E$8-Inputs!$D$8)/(Inputs!$F$8-Inputs!$D$8),Inputs!$D$8+SQRT(B1833*(Inputs!$F$8-Inputs!$D$8)*(Inputs!$E$8-Inputs!$D$8)),Inputs!$F$8-SQRT((1-B1833)*(Inputs!$F$8-Inputs!$D$8)*(Inputs!$F$8-Inputs!$E$8))),0)</f>
        <v>23</v>
      </c>
      <c r="D1833" s="81" t="n">
        <f aca="true">RAND()</f>
        <v>0.0403459143782661</v>
      </c>
      <c r="E1833" s="83" t="n">
        <f aca="false">IF(D1833&lt;(Inputs!$E$10-Inputs!$D$10)/(Inputs!$F$10-Inputs!$D$10),Inputs!$D$10+SQRT(D1833*(Inputs!$F$10-Inputs!$D$10)*(Inputs!$E$10-Inputs!$D$10)),Inputs!$F$10-SQRT((1-D1833)*(Inputs!$F$10-Inputs!$D$10)*(Inputs!$F$10-Inputs!$E$10)))</f>
        <v>0.0200862924349582</v>
      </c>
      <c r="F1833" s="81" t="n">
        <f aca="true">RAND()</f>
        <v>0.119680149673076</v>
      </c>
      <c r="G1833" s="83" t="n">
        <f aca="false">IF(F1833&lt;(Inputs!$E$15-Inputs!$D$15)/(Inputs!$F$15-Inputs!$D$15),Inputs!$D$15+SQRT(F1833*(Inputs!$F$15-Inputs!$D$15)*(Inputs!$E$15-Inputs!$D$15)),Inputs!$F$15-SQRT((1-F1833)*(Inputs!$F$15-Inputs!$D$15)*(Inputs!$F$15-Inputs!$E$15)))</f>
        <v>0.648924462117243</v>
      </c>
      <c r="H1833" s="81" t="n">
        <f aca="true">RAND()</f>
        <v>0.149303145055327</v>
      </c>
      <c r="I1833" s="82" t="n">
        <f aca="false">ROUND(IF(H1833&lt;(Inputs!$E$17-Inputs!$D$17)/(Inputs!$F$17-Inputs!$D$17),Inputs!$D$17+SQRT(H1833*(Inputs!$F$17-Inputs!$D$17)*(Inputs!$E$17-Inputs!$D$17)),Inputs!$F$17-SQRT((1-H1833)*(Inputs!$F$17-Inputs!$D$17)*(Inputs!$F$17-Inputs!$E$17))),0)</f>
        <v>103</v>
      </c>
      <c r="J1833" s="81" t="n">
        <f aca="true">RAND()</f>
        <v>0.835749476904319</v>
      </c>
      <c r="K1833" s="83" t="n">
        <f aca="false">IF(J1833&lt;(Inputs!$E$18-Inputs!$D$18)/(Inputs!$F$18-Inputs!$D$18),Inputs!$D$18+SQRT(J1833*(Inputs!$F$18-Inputs!$D$18)*(Inputs!$E$18-Inputs!$D$18)),Inputs!$F$18-SQRT((1-J1833)*(Inputs!$F$18-Inputs!$D$18)*(Inputs!$F$18-Inputs!$E$18)))</f>
        <v>1.13011705387808</v>
      </c>
      <c r="L1833" s="81" t="n">
        <f aca="true">RAND()</f>
        <v>0.425687779437067</v>
      </c>
      <c r="M1833" s="83" t="n">
        <f aca="false">IF(L1833&lt;(Inputs!$E$24-Inputs!$D$24)/(Inputs!$F$24-Inputs!$D$24),Inputs!$D$24+SQRT(L1833*(Inputs!$F$24-Inputs!$D$24)*(Inputs!$E$24-Inputs!$D$24)),Inputs!$F$24-SQRT((1-L1833)*(Inputs!$F$24-Inputs!$D$24)*(Inputs!$F$24-Inputs!$E$24)))</f>
        <v>0.828738726857885</v>
      </c>
      <c r="N1833" s="81" t="n">
        <f aca="true">RAND()</f>
        <v>0.192670293967238</v>
      </c>
      <c r="O1833" s="83" t="n">
        <f aca="false">IF(N1833&lt;(Inputs!$E$26-Inputs!$D$26)/(Inputs!$F$26-Inputs!$D$26),Inputs!$D$26+SQRT(N1833*(Inputs!$F$26-Inputs!$D$26)*(Inputs!$E$26-Inputs!$D$26)),Inputs!$F$26-SQRT((1-N1833)*(Inputs!$F$26-Inputs!$D$26)*(Inputs!$F$26-Inputs!$E$26)))</f>
        <v>0.479054005585322</v>
      </c>
      <c r="P1833" s="81" t="n">
        <f aca="true">RAND()</f>
        <v>0.179155270433973</v>
      </c>
      <c r="Q1833" s="82" t="n">
        <f aca="false">IF(P1833&lt;(Inputs!$E$27-Inputs!$D$27)/(Inputs!$F$27-Inputs!$D$27),Inputs!$D$27+SQRT(P1833*(Inputs!$F$27-Inputs!$D$27)*(Inputs!$E$27-Inputs!$D$27)),Inputs!$F$27-SQRT((1-P1833)*(Inputs!$F$27-Inputs!$D$27)*(Inputs!$F$27-Inputs!$E$27)))</f>
        <v>71.1633687319607</v>
      </c>
      <c r="R1833" s="81" t="n">
        <f aca="true">RAND()</f>
        <v>0.527202888282263</v>
      </c>
      <c r="S1833" s="82" t="n">
        <f aca="false">IF(R1833&lt;(Inputs!$E$29-Inputs!$D$29)/(Inputs!$F$29-Inputs!$D$29),Inputs!$D$29+SQRT(R1833*(Inputs!$F$29-Inputs!$D$29)*(Inputs!$E$29-Inputs!$D$29)),Inputs!$F$29-SQRT((1-R1833)*(Inputs!$F$29-Inputs!$D$29)*(Inputs!$F$29-Inputs!$E$29)))</f>
        <v>7.16012598804638</v>
      </c>
      <c r="T1833" s="68" t="n">
        <f aca="false">Inputs!$E$9*(1+E1833)+Inputs!$E$5*C1833*(Inputs!$E$11*Inputs!$E$14*(G1833*I1833/Inputs!$E$16+(1-G1833))*K1833+Inputs!$E$23*M1833)*(1+O1833)+Inputs!$E$5*(Q1833+S1833)</f>
        <v>5750.02130451657</v>
      </c>
    </row>
    <row r="1834" customFormat="false" ht="15" hidden="false" customHeight="false" outlineLevel="0" collapsed="false">
      <c r="A1834" s="1" t="n">
        <v>1830</v>
      </c>
      <c r="B1834" s="81" t="n">
        <f aca="true">RAND()</f>
        <v>0.425058730883165</v>
      </c>
      <c r="C1834" s="82" t="n">
        <f aca="false">ROUND(IF(B1834&lt;(Inputs!$E$8-Inputs!$D$8)/(Inputs!$F$8-Inputs!$D$8),Inputs!$D$8+SQRT(B1834*(Inputs!$F$8-Inputs!$D$8)*(Inputs!$E$8-Inputs!$D$8)),Inputs!$F$8-SQRT((1-B1834)*(Inputs!$F$8-Inputs!$D$8)*(Inputs!$F$8-Inputs!$E$8))),0)</f>
        <v>25</v>
      </c>
      <c r="D1834" s="81" t="n">
        <f aca="true">RAND()</f>
        <v>0.907723549008579</v>
      </c>
      <c r="E1834" s="83" t="n">
        <f aca="false">IF(D1834&lt;(Inputs!$E$10-Inputs!$D$10)/(Inputs!$F$10-Inputs!$D$10),Inputs!$D$10+SQRT(D1834*(Inputs!$F$10-Inputs!$D$10)*(Inputs!$E$10-Inputs!$D$10)),Inputs!$F$10-SQRT((1-D1834)*(Inputs!$F$10-Inputs!$D$10)*(Inputs!$F$10-Inputs!$E$10)))</f>
        <v>0.147385424740452</v>
      </c>
      <c r="F1834" s="81" t="n">
        <f aca="true">RAND()</f>
        <v>0.833304131293447</v>
      </c>
      <c r="G1834" s="83" t="n">
        <f aca="false">IF(F1834&lt;(Inputs!$E$15-Inputs!$D$15)/(Inputs!$F$15-Inputs!$D$15),Inputs!$D$15+SQRT(F1834*(Inputs!$F$15-Inputs!$D$15)*(Inputs!$E$15-Inputs!$D$15)),Inputs!$F$15-SQRT((1-F1834)*(Inputs!$F$15-Inputs!$D$15)*(Inputs!$F$15-Inputs!$E$15)))</f>
        <v>0.742259915360895</v>
      </c>
      <c r="H1834" s="81" t="n">
        <f aca="true">RAND()</f>
        <v>0.188010347011861</v>
      </c>
      <c r="I1834" s="82" t="n">
        <f aca="false">ROUND(IF(H1834&lt;(Inputs!$E$17-Inputs!$D$17)/(Inputs!$F$17-Inputs!$D$17),Inputs!$D$17+SQRT(H1834*(Inputs!$F$17-Inputs!$D$17)*(Inputs!$E$17-Inputs!$D$17)),Inputs!$F$17-SQRT((1-H1834)*(Inputs!$F$17-Inputs!$D$17)*(Inputs!$F$17-Inputs!$E$17))),0)</f>
        <v>104</v>
      </c>
      <c r="J1834" s="81" t="n">
        <f aca="true">RAND()</f>
        <v>0.147736374497451</v>
      </c>
      <c r="K1834" s="83" t="n">
        <f aca="false">IF(J1834&lt;(Inputs!$E$18-Inputs!$D$18)/(Inputs!$F$18-Inputs!$D$18),Inputs!$D$18+SQRT(J1834*(Inputs!$F$18-Inputs!$D$18)*(Inputs!$E$18-Inputs!$D$18)),Inputs!$F$18-SQRT((1-J1834)*(Inputs!$F$18-Inputs!$D$18)*(Inputs!$F$18-Inputs!$E$18)))</f>
        <v>0.971908087913744</v>
      </c>
      <c r="L1834" s="81" t="n">
        <f aca="true">RAND()</f>
        <v>0.45831786652568</v>
      </c>
      <c r="M1834" s="83" t="n">
        <f aca="false">IF(L1834&lt;(Inputs!$E$24-Inputs!$D$24)/(Inputs!$F$24-Inputs!$D$24),Inputs!$D$24+SQRT(L1834*(Inputs!$F$24-Inputs!$D$24)*(Inputs!$E$24-Inputs!$D$24)),Inputs!$F$24-SQRT((1-L1834)*(Inputs!$F$24-Inputs!$D$24)*(Inputs!$F$24-Inputs!$E$24)))</f>
        <v>0.839439724825603</v>
      </c>
      <c r="N1834" s="81" t="n">
        <f aca="true">RAND()</f>
        <v>0.359504882322273</v>
      </c>
      <c r="O1834" s="83" t="n">
        <f aca="false">IF(N1834&lt;(Inputs!$E$26-Inputs!$D$26)/(Inputs!$F$26-Inputs!$D$26),Inputs!$D$26+SQRT(N1834*(Inputs!$F$26-Inputs!$D$26)*(Inputs!$E$26-Inputs!$D$26)),Inputs!$F$26-SQRT((1-N1834)*(Inputs!$F$26-Inputs!$D$26)*(Inputs!$F$26-Inputs!$E$26)))</f>
        <v>0.544584571096433</v>
      </c>
      <c r="P1834" s="81" t="n">
        <f aca="true">RAND()</f>
        <v>0.886745377355076</v>
      </c>
      <c r="Q1834" s="82" t="n">
        <f aca="false">IF(P1834&lt;(Inputs!$E$27-Inputs!$D$27)/(Inputs!$F$27-Inputs!$D$27),Inputs!$D$27+SQRT(P1834*(Inputs!$F$27-Inputs!$D$27)*(Inputs!$E$27-Inputs!$D$27)),Inputs!$F$27-SQRT((1-P1834)*(Inputs!$F$27-Inputs!$D$27)*(Inputs!$F$27-Inputs!$E$27)))</f>
        <v>120.855366362966</v>
      </c>
      <c r="R1834" s="81" t="n">
        <f aca="true">RAND()</f>
        <v>0.0986921998407151</v>
      </c>
      <c r="S1834" s="82" t="n">
        <f aca="false">IF(R1834&lt;(Inputs!$E$29-Inputs!$D$29)/(Inputs!$F$29-Inputs!$D$29),Inputs!$D$29+SQRT(R1834*(Inputs!$F$29-Inputs!$D$29)*(Inputs!$E$29-Inputs!$D$29)),Inputs!$F$29-SQRT((1-R1834)*(Inputs!$F$29-Inputs!$D$29)*(Inputs!$F$29-Inputs!$E$29)))</f>
        <v>3.96188577490839</v>
      </c>
      <c r="T1834" s="68" t="n">
        <f aca="false">Inputs!$E$9*(1+E1834)+Inputs!$E$5*C1834*(Inputs!$E$11*Inputs!$E$14*(G1834*I1834/Inputs!$E$16+(1-G1834))*K1834+Inputs!$E$23*M1834)*(1+O1834)+Inputs!$E$5*(Q1834+S1834)</f>
        <v>6254.92481922518</v>
      </c>
    </row>
    <row r="1835" customFormat="false" ht="15" hidden="false" customHeight="false" outlineLevel="0" collapsed="false">
      <c r="A1835" s="1" t="n">
        <v>1831</v>
      </c>
      <c r="B1835" s="81" t="n">
        <f aca="true">RAND()</f>
        <v>0.366889609798883</v>
      </c>
      <c r="C1835" s="82" t="n">
        <f aca="false">ROUND(IF(B1835&lt;(Inputs!$E$8-Inputs!$D$8)/(Inputs!$F$8-Inputs!$D$8),Inputs!$D$8+SQRT(B1835*(Inputs!$F$8-Inputs!$D$8)*(Inputs!$E$8-Inputs!$D$8)),Inputs!$F$8-SQRT((1-B1835)*(Inputs!$F$8-Inputs!$D$8)*(Inputs!$F$8-Inputs!$E$8))),0)</f>
        <v>24</v>
      </c>
      <c r="D1835" s="81" t="n">
        <f aca="true">RAND()</f>
        <v>0.570566450206535</v>
      </c>
      <c r="E1835" s="83" t="n">
        <f aca="false">IF(D1835&lt;(Inputs!$E$10-Inputs!$D$10)/(Inputs!$F$10-Inputs!$D$10),Inputs!$D$10+SQRT(D1835*(Inputs!$F$10-Inputs!$D$10)*(Inputs!$E$10-Inputs!$D$10)),Inputs!$F$10-SQRT((1-D1835)*(Inputs!$F$10-Inputs!$D$10)*(Inputs!$F$10-Inputs!$E$10)))</f>
        <v>0.0864966674771003</v>
      </c>
      <c r="F1835" s="81" t="n">
        <f aca="true">RAND()</f>
        <v>0.589448815792908</v>
      </c>
      <c r="G1835" s="83" t="n">
        <f aca="false">IF(F1835&lt;(Inputs!$E$15-Inputs!$D$15)/(Inputs!$F$15-Inputs!$D$15),Inputs!$D$15+SQRT(F1835*(Inputs!$F$15-Inputs!$D$15)*(Inputs!$E$15-Inputs!$D$15)),Inputs!$F$15-SQRT((1-F1835)*(Inputs!$F$15-Inputs!$D$15)*(Inputs!$F$15-Inputs!$E$15)))</f>
        <v>0.709385300948787</v>
      </c>
      <c r="H1835" s="81" t="n">
        <f aca="true">RAND()</f>
        <v>0.601474644882816</v>
      </c>
      <c r="I1835" s="82" t="n">
        <f aca="false">ROUND(IF(H1835&lt;(Inputs!$E$17-Inputs!$D$17)/(Inputs!$F$17-Inputs!$D$17),Inputs!$D$17+SQRT(H1835*(Inputs!$F$17-Inputs!$D$17)*(Inputs!$E$17-Inputs!$D$17)),Inputs!$F$17-SQRT((1-H1835)*(Inputs!$F$17-Inputs!$D$17)*(Inputs!$F$17-Inputs!$E$17))),0)</f>
        <v>107</v>
      </c>
      <c r="J1835" s="81" t="n">
        <f aca="true">RAND()</f>
        <v>0.943726304032671</v>
      </c>
      <c r="K1835" s="83" t="n">
        <f aca="false">IF(J1835&lt;(Inputs!$E$18-Inputs!$D$18)/(Inputs!$F$18-Inputs!$D$18),Inputs!$D$18+SQRT(J1835*(Inputs!$F$18-Inputs!$D$18)*(Inputs!$E$18-Inputs!$D$18)),Inputs!$F$18-SQRT((1-J1835)*(Inputs!$F$18-Inputs!$D$18)*(Inputs!$F$18-Inputs!$E$18)))</f>
        <v>1.17982914852204</v>
      </c>
      <c r="L1835" s="81" t="n">
        <f aca="true">RAND()</f>
        <v>0.692209271417039</v>
      </c>
      <c r="M1835" s="83" t="n">
        <f aca="false">IF(L1835&lt;(Inputs!$E$24-Inputs!$D$24)/(Inputs!$F$24-Inputs!$D$24),Inputs!$D$24+SQRT(L1835*(Inputs!$F$24-Inputs!$D$24)*(Inputs!$E$24-Inputs!$D$24)),Inputs!$F$24-SQRT((1-L1835)*(Inputs!$F$24-Inputs!$D$24)*(Inputs!$F$24-Inputs!$E$24)))</f>
        <v>0.9282100537917</v>
      </c>
      <c r="N1835" s="81" t="n">
        <f aca="true">RAND()</f>
        <v>0.802583292959134</v>
      </c>
      <c r="O1835" s="83" t="n">
        <f aca="false">IF(N1835&lt;(Inputs!$E$26-Inputs!$D$26)/(Inputs!$F$26-Inputs!$D$26),Inputs!$D$26+SQRT(N1835*(Inputs!$F$26-Inputs!$D$26)*(Inputs!$E$26-Inputs!$D$26)),Inputs!$F$26-SQRT((1-N1835)*(Inputs!$F$26-Inputs!$D$26)*(Inputs!$F$26-Inputs!$E$26)))</f>
        <v>0.676712395748097</v>
      </c>
      <c r="P1835" s="81" t="n">
        <f aca="true">RAND()</f>
        <v>0.143651673667409</v>
      </c>
      <c r="Q1835" s="82" t="n">
        <f aca="false">IF(P1835&lt;(Inputs!$E$27-Inputs!$D$27)/(Inputs!$F$27-Inputs!$D$27),Inputs!$D$27+SQRT(P1835*(Inputs!$F$27-Inputs!$D$27)*(Inputs!$E$27-Inputs!$D$27)),Inputs!$F$27-SQRT((1-P1835)*(Inputs!$F$27-Inputs!$D$27)*(Inputs!$F$27-Inputs!$E$27)))</f>
        <v>68.9507040546921</v>
      </c>
      <c r="R1835" s="81" t="n">
        <f aca="true">RAND()</f>
        <v>0.289641323514649</v>
      </c>
      <c r="S1835" s="82" t="n">
        <f aca="false">IF(R1835&lt;(Inputs!$E$29-Inputs!$D$29)/(Inputs!$F$29-Inputs!$D$29),Inputs!$D$29+SQRT(R1835*(Inputs!$F$29-Inputs!$D$29)*(Inputs!$E$29-Inputs!$D$29)),Inputs!$F$29-SQRT((1-R1835)*(Inputs!$F$29-Inputs!$D$29)*(Inputs!$F$29-Inputs!$E$29)))</f>
        <v>5.39028471061209</v>
      </c>
      <c r="T1835" s="68" t="n">
        <f aca="false">Inputs!$E$9*(1+E1835)+Inputs!$E$5*C1835*(Inputs!$E$11*Inputs!$E$14*(G1835*I1835/Inputs!$E$16+(1-G1835))*K1835+Inputs!$E$23*M1835)*(1+O1835)+Inputs!$E$5*(Q1835+S1835)</f>
        <v>6656.43594195171</v>
      </c>
    </row>
    <row r="1836" customFormat="false" ht="15" hidden="false" customHeight="false" outlineLevel="0" collapsed="false">
      <c r="A1836" s="1" t="n">
        <v>1832</v>
      </c>
      <c r="B1836" s="81" t="n">
        <f aca="true">RAND()</f>
        <v>0.321740539229855</v>
      </c>
      <c r="C1836" s="82" t="n">
        <f aca="false">ROUND(IF(B1836&lt;(Inputs!$E$8-Inputs!$D$8)/(Inputs!$F$8-Inputs!$D$8),Inputs!$D$8+SQRT(B1836*(Inputs!$F$8-Inputs!$D$8)*(Inputs!$E$8-Inputs!$D$8)),Inputs!$F$8-SQRT((1-B1836)*(Inputs!$F$8-Inputs!$D$8)*(Inputs!$F$8-Inputs!$E$8))),0)</f>
        <v>24</v>
      </c>
      <c r="D1836" s="81" t="n">
        <f aca="true">RAND()</f>
        <v>0.788428921826424</v>
      </c>
      <c r="E1836" s="83" t="n">
        <f aca="false">IF(D1836&lt;(Inputs!$E$10-Inputs!$D$10)/(Inputs!$F$10-Inputs!$D$10),Inputs!$D$10+SQRT(D1836*(Inputs!$F$10-Inputs!$D$10)*(Inputs!$E$10-Inputs!$D$10)),Inputs!$F$10-SQRT((1-D1836)*(Inputs!$F$10-Inputs!$D$10)*(Inputs!$F$10-Inputs!$E$10)))</f>
        <v>0.120331108045817</v>
      </c>
      <c r="F1836" s="81" t="n">
        <f aca="true">RAND()</f>
        <v>0.289752953281836</v>
      </c>
      <c r="G1836" s="83" t="n">
        <f aca="false">IF(F1836&lt;(Inputs!$E$15-Inputs!$D$15)/(Inputs!$F$15-Inputs!$D$15),Inputs!$D$15+SQRT(F1836*(Inputs!$F$15-Inputs!$D$15)*(Inputs!$E$15-Inputs!$D$15)),Inputs!$F$15-SQRT((1-F1836)*(Inputs!$F$15-Inputs!$D$15)*(Inputs!$F$15-Inputs!$E$15)))</f>
        <v>0.676125285323844</v>
      </c>
      <c r="H1836" s="81" t="n">
        <f aca="true">RAND()</f>
        <v>0.52790809620715</v>
      </c>
      <c r="I1836" s="82" t="n">
        <f aca="false">ROUND(IF(H1836&lt;(Inputs!$E$17-Inputs!$D$17)/(Inputs!$F$17-Inputs!$D$17),Inputs!$D$17+SQRT(H1836*(Inputs!$F$17-Inputs!$D$17)*(Inputs!$E$17-Inputs!$D$17)),Inputs!$F$17-SQRT((1-H1836)*(Inputs!$F$17-Inputs!$D$17)*(Inputs!$F$17-Inputs!$E$17))),0)</f>
        <v>107</v>
      </c>
      <c r="J1836" s="81" t="n">
        <f aca="true">RAND()</f>
        <v>0.61305203281044</v>
      </c>
      <c r="K1836" s="83" t="n">
        <f aca="false">IF(J1836&lt;(Inputs!$E$18-Inputs!$D$18)/(Inputs!$F$18-Inputs!$D$18),Inputs!$D$18+SQRT(J1836*(Inputs!$F$18-Inputs!$D$18)*(Inputs!$E$18-Inputs!$D$18)),Inputs!$F$18-SQRT((1-J1836)*(Inputs!$F$18-Inputs!$D$18)*(Inputs!$F$18-Inputs!$E$18)))</f>
        <v>1.06599470896443</v>
      </c>
      <c r="L1836" s="81" t="n">
        <f aca="true">RAND()</f>
        <v>0.469240152628884</v>
      </c>
      <c r="M1836" s="83" t="n">
        <f aca="false">IF(L1836&lt;(Inputs!$E$24-Inputs!$D$24)/(Inputs!$F$24-Inputs!$D$24),Inputs!$D$24+SQRT(L1836*(Inputs!$F$24-Inputs!$D$24)*(Inputs!$E$24-Inputs!$D$24)),Inputs!$F$24-SQRT((1-L1836)*(Inputs!$F$24-Inputs!$D$24)*(Inputs!$F$24-Inputs!$E$24)))</f>
        <v>0.843093340817143</v>
      </c>
      <c r="N1836" s="81" t="n">
        <f aca="true">RAND()</f>
        <v>0.665300279921352</v>
      </c>
      <c r="O1836" s="83" t="n">
        <f aca="false">IF(N1836&lt;(Inputs!$E$26-Inputs!$D$26)/(Inputs!$F$26-Inputs!$D$26),Inputs!$D$26+SQRT(N1836*(Inputs!$F$26-Inputs!$D$26)*(Inputs!$E$26-Inputs!$D$26)),Inputs!$F$26-SQRT((1-N1836)*(Inputs!$F$26-Inputs!$D$26)*(Inputs!$F$26-Inputs!$E$26)))</f>
        <v>0.63342891197139</v>
      </c>
      <c r="P1836" s="81" t="n">
        <f aca="true">RAND()</f>
        <v>0.550084522944768</v>
      </c>
      <c r="Q1836" s="82" t="n">
        <f aca="false">IF(P1836&lt;(Inputs!$E$27-Inputs!$D$27)/(Inputs!$F$27-Inputs!$D$27),Inputs!$D$27+SQRT(P1836*(Inputs!$F$27-Inputs!$D$27)*(Inputs!$E$27-Inputs!$D$27)),Inputs!$F$27-SQRT((1-P1836)*(Inputs!$F$27-Inputs!$D$27)*(Inputs!$F$27-Inputs!$E$27)))</f>
        <v>91.9107059957324</v>
      </c>
      <c r="R1836" s="81" t="n">
        <f aca="true">RAND()</f>
        <v>0.724088046643841</v>
      </c>
      <c r="S1836" s="82" t="n">
        <f aca="false">IF(R1836&lt;(Inputs!$E$29-Inputs!$D$29)/(Inputs!$F$29-Inputs!$D$29),Inputs!$D$29+SQRT(R1836*(Inputs!$F$29-Inputs!$D$29)*(Inputs!$E$29-Inputs!$D$29)),Inputs!$F$29-SQRT((1-R1836)*(Inputs!$F$29-Inputs!$D$29)*(Inputs!$F$29-Inputs!$E$29)))</f>
        <v>9.01096385581948</v>
      </c>
      <c r="T1836" s="68" t="n">
        <f aca="false">Inputs!$E$9*(1+E1836)+Inputs!$E$5*C1836*(Inputs!$E$11*Inputs!$E$14*(G1836*I1836/Inputs!$E$16+(1-G1836))*K1836+Inputs!$E$23*M1836)*(1+O1836)+Inputs!$E$5*(Q1836+S1836)</f>
        <v>6448.52859444047</v>
      </c>
    </row>
    <row r="1837" customFormat="false" ht="15" hidden="false" customHeight="false" outlineLevel="0" collapsed="false">
      <c r="A1837" s="1" t="n">
        <v>1833</v>
      </c>
      <c r="B1837" s="81" t="n">
        <f aca="true">RAND()</f>
        <v>0.247842725598236</v>
      </c>
      <c r="C1837" s="82" t="n">
        <f aca="false">ROUND(IF(B1837&lt;(Inputs!$E$8-Inputs!$D$8)/(Inputs!$F$8-Inputs!$D$8),Inputs!$D$8+SQRT(B1837*(Inputs!$F$8-Inputs!$D$8)*(Inputs!$E$8-Inputs!$D$8)),Inputs!$F$8-SQRT((1-B1837)*(Inputs!$F$8-Inputs!$D$8)*(Inputs!$F$8-Inputs!$E$8))),0)</f>
        <v>24</v>
      </c>
      <c r="D1837" s="81" t="n">
        <f aca="true">RAND()</f>
        <v>0.761832373030048</v>
      </c>
      <c r="E1837" s="83" t="n">
        <f aca="false">IF(D1837&lt;(Inputs!$E$10-Inputs!$D$10)/(Inputs!$F$10-Inputs!$D$10),Inputs!$D$10+SQRT(D1837*(Inputs!$F$10-Inputs!$D$10)*(Inputs!$E$10-Inputs!$D$10)),Inputs!$F$10-SQRT((1-D1837)*(Inputs!$F$10-Inputs!$D$10)*(Inputs!$F$10-Inputs!$E$10)))</f>
        <v>0.115471727752789</v>
      </c>
      <c r="F1837" s="81" t="n">
        <f aca="true">RAND()</f>
        <v>0.0186136073193666</v>
      </c>
      <c r="G1837" s="83" t="n">
        <f aca="false">IF(F1837&lt;(Inputs!$E$15-Inputs!$D$15)/(Inputs!$F$15-Inputs!$D$15),Inputs!$D$15+SQRT(F1837*(Inputs!$F$15-Inputs!$D$15)*(Inputs!$E$15-Inputs!$D$15)),Inputs!$F$15-SQRT((1-F1837)*(Inputs!$F$15-Inputs!$D$15)*(Inputs!$F$15-Inputs!$E$15)))</f>
        <v>0.619294355298567</v>
      </c>
      <c r="H1837" s="81" t="n">
        <f aca="true">RAND()</f>
        <v>0.84476863523407</v>
      </c>
      <c r="I1837" s="82" t="n">
        <f aca="false">ROUND(IF(H1837&lt;(Inputs!$E$17-Inputs!$D$17)/(Inputs!$F$17-Inputs!$D$17),Inputs!$D$17+SQRT(H1837*(Inputs!$F$17-Inputs!$D$17)*(Inputs!$E$17-Inputs!$D$17)),Inputs!$F$17-SQRT((1-H1837)*(Inputs!$F$17-Inputs!$D$17)*(Inputs!$F$17-Inputs!$E$17))),0)</f>
        <v>110</v>
      </c>
      <c r="J1837" s="81" t="n">
        <f aca="true">RAND()</f>
        <v>0.244775203489521</v>
      </c>
      <c r="K1837" s="83" t="n">
        <f aca="false">IF(J1837&lt;(Inputs!$E$18-Inputs!$D$18)/(Inputs!$F$18-Inputs!$D$18),Inputs!$D$18+SQRT(J1837*(Inputs!$F$18-Inputs!$D$18)*(Inputs!$E$18-Inputs!$D$18)),Inputs!$F$18-SQRT((1-J1837)*(Inputs!$F$18-Inputs!$D$18)*(Inputs!$F$18-Inputs!$E$18)))</f>
        <v>0.992558803590654</v>
      </c>
      <c r="L1837" s="81" t="n">
        <f aca="true">RAND()</f>
        <v>0.688875867927374</v>
      </c>
      <c r="M1837" s="83" t="n">
        <f aca="false">IF(L1837&lt;(Inputs!$E$24-Inputs!$D$24)/(Inputs!$F$24-Inputs!$D$24),Inputs!$D$24+SQRT(L1837*(Inputs!$F$24-Inputs!$D$24)*(Inputs!$E$24-Inputs!$D$24)),Inputs!$F$24-SQRT((1-L1837)*(Inputs!$F$24-Inputs!$D$24)*(Inputs!$F$24-Inputs!$E$24)))</f>
        <v>0.926742261413459</v>
      </c>
      <c r="N1837" s="81" t="n">
        <f aca="true">RAND()</f>
        <v>0.206949517268917</v>
      </c>
      <c r="O1837" s="83" t="n">
        <f aca="false">IF(N1837&lt;(Inputs!$E$26-Inputs!$D$26)/(Inputs!$F$26-Inputs!$D$26),Inputs!$D$26+SQRT(N1837*(Inputs!$F$26-Inputs!$D$26)*(Inputs!$E$26-Inputs!$D$26)),Inputs!$F$26-SQRT((1-N1837)*(Inputs!$F$26-Inputs!$D$26)*(Inputs!$F$26-Inputs!$E$26)))</f>
        <v>0.48557047090943</v>
      </c>
      <c r="P1837" s="81" t="n">
        <f aca="true">RAND()</f>
        <v>0.277078613379733</v>
      </c>
      <c r="Q1837" s="82" t="n">
        <f aca="false">IF(P1837&lt;(Inputs!$E$27-Inputs!$D$27)/(Inputs!$F$27-Inputs!$D$27),Inputs!$D$27+SQRT(P1837*(Inputs!$F$27-Inputs!$D$27)*(Inputs!$E$27-Inputs!$D$27)),Inputs!$F$27-SQRT((1-P1837)*(Inputs!$F$27-Inputs!$D$27)*(Inputs!$F$27-Inputs!$E$27)))</f>
        <v>76.3663772475372</v>
      </c>
      <c r="R1837" s="81" t="n">
        <f aca="true">RAND()</f>
        <v>0.755171236844609</v>
      </c>
      <c r="S1837" s="82" t="n">
        <f aca="false">IF(R1837&lt;(Inputs!$E$29-Inputs!$D$29)/(Inputs!$F$29-Inputs!$D$29),Inputs!$D$29+SQRT(R1837*(Inputs!$F$29-Inputs!$D$29)*(Inputs!$E$29-Inputs!$D$29)),Inputs!$F$29-SQRT((1-R1837)*(Inputs!$F$29-Inputs!$D$29)*(Inputs!$F$29-Inputs!$E$29)))</f>
        <v>9.358392143174</v>
      </c>
      <c r="T1837" s="68" t="n">
        <f aca="false">Inputs!$E$9*(1+E1837)+Inputs!$E$5*C1837*(Inputs!$E$11*Inputs!$E$14*(G1837*I1837/Inputs!$E$16+(1-G1837))*K1837+Inputs!$E$23*M1837)*(1+O1837)+Inputs!$E$5*(Q1837+S1837)</f>
        <v>6101.75714607411</v>
      </c>
    </row>
    <row r="1838" customFormat="false" ht="15" hidden="false" customHeight="false" outlineLevel="0" collapsed="false">
      <c r="A1838" s="1" t="n">
        <v>1834</v>
      </c>
      <c r="B1838" s="81" t="n">
        <f aca="true">RAND()</f>
        <v>0.081135742918533</v>
      </c>
      <c r="C1838" s="82" t="n">
        <f aca="false">ROUND(IF(B1838&lt;(Inputs!$E$8-Inputs!$D$8)/(Inputs!$F$8-Inputs!$D$8),Inputs!$D$8+SQRT(B1838*(Inputs!$F$8-Inputs!$D$8)*(Inputs!$E$8-Inputs!$D$8)),Inputs!$F$8-SQRT((1-B1838)*(Inputs!$F$8-Inputs!$D$8)*(Inputs!$F$8-Inputs!$E$8))),0)</f>
        <v>22</v>
      </c>
      <c r="D1838" s="81" t="n">
        <f aca="true">RAND()</f>
        <v>0.0753614519802514</v>
      </c>
      <c r="E1838" s="83" t="n">
        <f aca="false">IF(D1838&lt;(Inputs!$E$10-Inputs!$D$10)/(Inputs!$F$10-Inputs!$D$10),Inputs!$D$10+SQRT(D1838*(Inputs!$F$10-Inputs!$D$10)*(Inputs!$E$10-Inputs!$D$10)),Inputs!$F$10-SQRT((1-D1838)*(Inputs!$F$10-Inputs!$D$10)*(Inputs!$F$10-Inputs!$E$10)))</f>
        <v>0.0274520403577314</v>
      </c>
      <c r="F1838" s="81" t="n">
        <f aca="true">RAND()</f>
        <v>0.702051678916132</v>
      </c>
      <c r="G1838" s="83" t="n">
        <f aca="false">IF(F1838&lt;(Inputs!$E$15-Inputs!$D$15)/(Inputs!$F$15-Inputs!$D$15),Inputs!$D$15+SQRT(F1838*(Inputs!$F$15-Inputs!$D$15)*(Inputs!$E$15-Inputs!$D$15)),Inputs!$F$15-SQRT((1-F1838)*(Inputs!$F$15-Inputs!$D$15)*(Inputs!$F$15-Inputs!$E$15)))</f>
        <v>0.722805658098036</v>
      </c>
      <c r="H1838" s="81" t="n">
        <f aca="true">RAND()</f>
        <v>0.318589033091875</v>
      </c>
      <c r="I1838" s="82" t="n">
        <f aca="false">ROUND(IF(H1838&lt;(Inputs!$E$17-Inputs!$D$17)/(Inputs!$F$17-Inputs!$D$17),Inputs!$D$17+SQRT(H1838*(Inputs!$F$17-Inputs!$D$17)*(Inputs!$E$17-Inputs!$D$17)),Inputs!$F$17-SQRT((1-H1838)*(Inputs!$F$17-Inputs!$D$17)*(Inputs!$F$17-Inputs!$E$17))),0)</f>
        <v>105</v>
      </c>
      <c r="J1838" s="81" t="n">
        <f aca="true">RAND()</f>
        <v>0.577056013407222</v>
      </c>
      <c r="K1838" s="83" t="n">
        <f aca="false">IF(J1838&lt;(Inputs!$E$18-Inputs!$D$18)/(Inputs!$F$18-Inputs!$D$18),Inputs!$D$18+SQRT(J1838*(Inputs!$F$18-Inputs!$D$18)*(Inputs!$E$18-Inputs!$D$18)),Inputs!$F$18-SQRT((1-J1838)*(Inputs!$F$18-Inputs!$D$18)*(Inputs!$F$18-Inputs!$E$18)))</f>
        <v>1.05762640818743</v>
      </c>
      <c r="L1838" s="81" t="n">
        <f aca="true">RAND()</f>
        <v>0.102833708634389</v>
      </c>
      <c r="M1838" s="83" t="n">
        <f aca="false">IF(L1838&lt;(Inputs!$E$24-Inputs!$D$24)/(Inputs!$F$24-Inputs!$D$24),Inputs!$D$24+SQRT(L1838*(Inputs!$F$24-Inputs!$D$24)*(Inputs!$E$24-Inputs!$D$24)),Inputs!$F$24-SQRT((1-L1838)*(Inputs!$F$24-Inputs!$D$24)*(Inputs!$F$24-Inputs!$E$24)))</f>
        <v>0.711085755325004</v>
      </c>
      <c r="N1838" s="81" t="n">
        <f aca="true">RAND()</f>
        <v>0.828512360330861</v>
      </c>
      <c r="O1838" s="83" t="n">
        <f aca="false">IF(N1838&lt;(Inputs!$E$26-Inputs!$D$26)/(Inputs!$F$26-Inputs!$D$26),Inputs!$D$26+SQRT(N1838*(Inputs!$F$26-Inputs!$D$26)*(Inputs!$E$26-Inputs!$D$26)),Inputs!$F$26-SQRT((1-N1838)*(Inputs!$F$26-Inputs!$D$26)*(Inputs!$F$26-Inputs!$E$26)))</f>
        <v>0.6864533245431</v>
      </c>
      <c r="P1838" s="81" t="n">
        <f aca="true">RAND()</f>
        <v>0.0967509086260772</v>
      </c>
      <c r="Q1838" s="82" t="n">
        <f aca="false">IF(P1838&lt;(Inputs!$E$27-Inputs!$D$27)/(Inputs!$F$27-Inputs!$D$27),Inputs!$D$27+SQRT(P1838*(Inputs!$F$27-Inputs!$D$27)*(Inputs!$E$27-Inputs!$D$27)),Inputs!$F$27-SQRT((1-P1838)*(Inputs!$F$27-Inputs!$D$27)*(Inputs!$F$27-Inputs!$E$27)))</f>
        <v>65.5524040445583</v>
      </c>
      <c r="R1838" s="81" t="n">
        <f aca="true">RAND()</f>
        <v>0.398270731382524</v>
      </c>
      <c r="S1838" s="82" t="n">
        <f aca="false">IF(R1838&lt;(Inputs!$E$29-Inputs!$D$29)/(Inputs!$F$29-Inputs!$D$29),Inputs!$D$29+SQRT(R1838*(Inputs!$F$29-Inputs!$D$29)*(Inputs!$E$29-Inputs!$D$29)),Inputs!$F$29-SQRT((1-R1838)*(Inputs!$F$29-Inputs!$D$29)*(Inputs!$F$29-Inputs!$E$29)))</f>
        <v>6.15552121828132</v>
      </c>
      <c r="T1838" s="68" t="n">
        <f aca="false">Inputs!$E$9*(1+E1838)+Inputs!$E$5*C1838*(Inputs!$E$11*Inputs!$E$14*(G1838*I1838/Inputs!$E$16+(1-G1838))*K1838+Inputs!$E$23*M1838)*(1+O1838)+Inputs!$E$5*(Q1838+S1838)</f>
        <v>5636.92577621159</v>
      </c>
    </row>
    <row r="1839" customFormat="false" ht="15" hidden="false" customHeight="false" outlineLevel="0" collapsed="false">
      <c r="A1839" s="1" t="n">
        <v>1835</v>
      </c>
      <c r="B1839" s="81" t="n">
        <f aca="true">RAND()</f>
        <v>0.232172003364673</v>
      </c>
      <c r="C1839" s="82" t="n">
        <f aca="false">ROUND(IF(B1839&lt;(Inputs!$E$8-Inputs!$D$8)/(Inputs!$F$8-Inputs!$D$8),Inputs!$D$8+SQRT(B1839*(Inputs!$F$8-Inputs!$D$8)*(Inputs!$E$8-Inputs!$D$8)),Inputs!$F$8-SQRT((1-B1839)*(Inputs!$F$8-Inputs!$D$8)*(Inputs!$F$8-Inputs!$E$8))),0)</f>
        <v>23</v>
      </c>
      <c r="D1839" s="81" t="n">
        <f aca="true">RAND()</f>
        <v>0.877081687699366</v>
      </c>
      <c r="E1839" s="83" t="n">
        <f aca="false">IF(D1839&lt;(Inputs!$E$10-Inputs!$D$10)/(Inputs!$F$10-Inputs!$D$10),Inputs!$D$10+SQRT(D1839*(Inputs!$F$10-Inputs!$D$10)*(Inputs!$E$10-Inputs!$D$10)),Inputs!$F$10-SQRT((1-D1839)*(Inputs!$F$10-Inputs!$D$10)*(Inputs!$F$10-Inputs!$E$10)))</f>
        <v>0.139274804495835</v>
      </c>
      <c r="F1839" s="81" t="n">
        <f aca="true">RAND()</f>
        <v>0.275553806595752</v>
      </c>
      <c r="G1839" s="83" t="n">
        <f aca="false">IF(F1839&lt;(Inputs!$E$15-Inputs!$D$15)/(Inputs!$F$15-Inputs!$D$15),Inputs!$D$15+SQRT(F1839*(Inputs!$F$15-Inputs!$D$15)*(Inputs!$E$15-Inputs!$D$15)),Inputs!$F$15-SQRT((1-F1839)*(Inputs!$F$15-Inputs!$D$15)*(Inputs!$F$15-Inputs!$E$15)))</f>
        <v>0.674236622578853</v>
      </c>
      <c r="H1839" s="81" t="n">
        <f aca="true">RAND()</f>
        <v>0.292209013677962</v>
      </c>
      <c r="I1839" s="82" t="n">
        <f aca="false">ROUND(IF(H1839&lt;(Inputs!$E$17-Inputs!$D$17)/(Inputs!$F$17-Inputs!$D$17),Inputs!$D$17+SQRT(H1839*(Inputs!$F$17-Inputs!$D$17)*(Inputs!$E$17-Inputs!$D$17)),Inputs!$F$17-SQRT((1-H1839)*(Inputs!$F$17-Inputs!$D$17)*(Inputs!$F$17-Inputs!$E$17))),0)</f>
        <v>105</v>
      </c>
      <c r="J1839" s="81" t="n">
        <f aca="true">RAND()</f>
        <v>0.222631166529026</v>
      </c>
      <c r="K1839" s="83" t="n">
        <f aca="false">IF(J1839&lt;(Inputs!$E$18-Inputs!$D$18)/(Inputs!$F$18-Inputs!$D$18),Inputs!$D$18+SQRT(J1839*(Inputs!$F$18-Inputs!$D$18)*(Inputs!$E$18-Inputs!$D$18)),Inputs!$F$18-SQRT((1-J1839)*(Inputs!$F$18-Inputs!$D$18)*(Inputs!$F$18-Inputs!$E$18)))</f>
        <v>0.988272820440473</v>
      </c>
      <c r="L1839" s="81" t="n">
        <f aca="true">RAND()</f>
        <v>0.059045162965315</v>
      </c>
      <c r="M1839" s="83" t="n">
        <f aca="false">IF(L1839&lt;(Inputs!$E$24-Inputs!$D$24)/(Inputs!$F$24-Inputs!$D$24),Inputs!$D$24+SQRT(L1839*(Inputs!$F$24-Inputs!$D$24)*(Inputs!$E$24-Inputs!$D$24)),Inputs!$F$24-SQRT((1-L1839)*(Inputs!$F$24-Inputs!$D$24)*(Inputs!$F$24-Inputs!$E$24)))</f>
        <v>0.684174934249085</v>
      </c>
      <c r="N1839" s="81" t="n">
        <f aca="true">RAND()</f>
        <v>0.370366910569893</v>
      </c>
      <c r="O1839" s="83" t="n">
        <f aca="false">IF(N1839&lt;(Inputs!$E$26-Inputs!$D$26)/(Inputs!$F$26-Inputs!$D$26),Inputs!$D$26+SQRT(N1839*(Inputs!$F$26-Inputs!$D$26)*(Inputs!$E$26-Inputs!$D$26)),Inputs!$F$26-SQRT((1-N1839)*(Inputs!$F$26-Inputs!$D$26)*(Inputs!$F$26-Inputs!$E$26)))</f>
        <v>0.548251996807337</v>
      </c>
      <c r="P1839" s="81" t="n">
        <f aca="true">RAND()</f>
        <v>0.295453678469203</v>
      </c>
      <c r="Q1839" s="82" t="n">
        <f aca="false">IF(P1839&lt;(Inputs!$E$27-Inputs!$D$27)/(Inputs!$F$27-Inputs!$D$27),Inputs!$D$27+SQRT(P1839*(Inputs!$F$27-Inputs!$D$27)*(Inputs!$E$27-Inputs!$D$27)),Inputs!$F$27-SQRT((1-P1839)*(Inputs!$F$27-Inputs!$D$27)*(Inputs!$F$27-Inputs!$E$27)))</f>
        <v>77.308202584604</v>
      </c>
      <c r="R1839" s="81" t="n">
        <f aca="true">RAND()</f>
        <v>0.206123883475643</v>
      </c>
      <c r="S1839" s="82" t="n">
        <f aca="false">IF(R1839&lt;(Inputs!$E$29-Inputs!$D$29)/(Inputs!$F$29-Inputs!$D$29),Inputs!$D$29+SQRT(R1839*(Inputs!$F$29-Inputs!$D$29)*(Inputs!$E$29-Inputs!$D$29)),Inputs!$F$29-SQRT((1-R1839)*(Inputs!$F$29-Inputs!$D$29)*(Inputs!$F$29-Inputs!$E$29)))</f>
        <v>4.8352833113377</v>
      </c>
      <c r="T1839" s="68" t="n">
        <f aca="false">Inputs!$E$9*(1+E1839)+Inputs!$E$5*C1839*(Inputs!$E$11*Inputs!$E$14*(G1839*I1839/Inputs!$E$16+(1-G1839))*K1839+Inputs!$E$23*M1839)*(1+O1839)+Inputs!$E$5*(Q1839+S1839)</f>
        <v>5705.74660838886</v>
      </c>
    </row>
    <row r="1840" customFormat="false" ht="15" hidden="false" customHeight="false" outlineLevel="0" collapsed="false">
      <c r="A1840" s="1" t="n">
        <v>1836</v>
      </c>
      <c r="B1840" s="81" t="n">
        <f aca="true">RAND()</f>
        <v>0.307885136867732</v>
      </c>
      <c r="C1840" s="82" t="n">
        <f aca="false">ROUND(IF(B1840&lt;(Inputs!$E$8-Inputs!$D$8)/(Inputs!$F$8-Inputs!$D$8),Inputs!$D$8+SQRT(B1840*(Inputs!$F$8-Inputs!$D$8)*(Inputs!$E$8-Inputs!$D$8)),Inputs!$F$8-SQRT((1-B1840)*(Inputs!$F$8-Inputs!$D$8)*(Inputs!$F$8-Inputs!$E$8))),0)</f>
        <v>24</v>
      </c>
      <c r="D1840" s="81" t="n">
        <f aca="true">RAND()</f>
        <v>0.47018564229183</v>
      </c>
      <c r="E1840" s="83" t="n">
        <f aca="false">IF(D1840&lt;(Inputs!$E$10-Inputs!$D$10)/(Inputs!$F$10-Inputs!$D$10),Inputs!$D$10+SQRT(D1840*(Inputs!$F$10-Inputs!$D$10)*(Inputs!$E$10-Inputs!$D$10)),Inputs!$F$10-SQRT((1-D1840)*(Inputs!$F$10-Inputs!$D$10)*(Inputs!$F$10-Inputs!$E$10)))</f>
        <v>0.0739268833920367</v>
      </c>
      <c r="F1840" s="81" t="n">
        <f aca="true">RAND()</f>
        <v>0.833118210316772</v>
      </c>
      <c r="G1840" s="83" t="n">
        <f aca="false">IF(F1840&lt;(Inputs!$E$15-Inputs!$D$15)/(Inputs!$F$15-Inputs!$D$15),Inputs!$D$15+SQRT(F1840*(Inputs!$F$15-Inputs!$D$15)*(Inputs!$E$15-Inputs!$D$15)),Inputs!$F$15-SQRT((1-F1840)*(Inputs!$F$15-Inputs!$D$15)*(Inputs!$F$15-Inputs!$E$15)))</f>
        <v>0.742227724697182</v>
      </c>
      <c r="H1840" s="81" t="n">
        <f aca="true">RAND()</f>
        <v>0.278189932166701</v>
      </c>
      <c r="I1840" s="82" t="n">
        <f aca="false">ROUND(IF(H1840&lt;(Inputs!$E$17-Inputs!$D$17)/(Inputs!$F$17-Inputs!$D$17),Inputs!$D$17+SQRT(H1840*(Inputs!$F$17-Inputs!$D$17)*(Inputs!$E$17-Inputs!$D$17)),Inputs!$F$17-SQRT((1-H1840)*(Inputs!$F$17-Inputs!$D$17)*(Inputs!$F$17-Inputs!$E$17))),0)</f>
        <v>105</v>
      </c>
      <c r="J1840" s="81" t="n">
        <f aca="true">RAND()</f>
        <v>0.456603506695482</v>
      </c>
      <c r="K1840" s="83" t="n">
        <f aca="false">IF(J1840&lt;(Inputs!$E$18-Inputs!$D$18)/(Inputs!$F$18-Inputs!$D$18),Inputs!$D$18+SQRT(J1840*(Inputs!$F$18-Inputs!$D$18)*(Inputs!$E$18-Inputs!$D$18)),Inputs!$F$18-SQRT((1-J1840)*(Inputs!$F$18-Inputs!$D$18)*(Inputs!$F$18-Inputs!$E$18)))</f>
        <v>1.03194681115804</v>
      </c>
      <c r="L1840" s="81" t="n">
        <f aca="true">RAND()</f>
        <v>0.408972105745639</v>
      </c>
      <c r="M1840" s="83" t="n">
        <f aca="false">IF(L1840&lt;(Inputs!$E$24-Inputs!$D$24)/(Inputs!$F$24-Inputs!$D$24),Inputs!$D$24+SQRT(L1840*(Inputs!$F$24-Inputs!$D$24)*(Inputs!$E$24-Inputs!$D$24)),Inputs!$F$24-SQRT((1-L1840)*(Inputs!$F$24-Inputs!$D$24)*(Inputs!$F$24-Inputs!$E$24)))</f>
        <v>0.823374596420997</v>
      </c>
      <c r="N1840" s="81" t="n">
        <f aca="true">RAND()</f>
        <v>0.0679844589971492</v>
      </c>
      <c r="O1840" s="83" t="n">
        <f aca="false">IF(N1840&lt;(Inputs!$E$26-Inputs!$D$26)/(Inputs!$F$26-Inputs!$D$26),Inputs!$D$26+SQRT(N1840*(Inputs!$F$26-Inputs!$D$26)*(Inputs!$E$26-Inputs!$D$26)),Inputs!$F$26-SQRT((1-N1840)*(Inputs!$F$26-Inputs!$D$26)*(Inputs!$F$26-Inputs!$E$26)))</f>
        <v>0.406360772736595</v>
      </c>
      <c r="P1840" s="81" t="n">
        <f aca="true">RAND()</f>
        <v>0.864705178688961</v>
      </c>
      <c r="Q1840" s="82" t="n">
        <f aca="false">IF(P1840&lt;(Inputs!$E$27-Inputs!$D$27)/(Inputs!$F$27-Inputs!$D$27),Inputs!$D$27+SQRT(P1840*(Inputs!$F$27-Inputs!$D$27)*(Inputs!$E$27-Inputs!$D$27)),Inputs!$F$27-SQRT((1-P1840)*(Inputs!$F$27-Inputs!$D$27)*(Inputs!$F$27-Inputs!$E$27)))</f>
        <v>118.145468770789</v>
      </c>
      <c r="R1840" s="81" t="n">
        <f aca="true">RAND()</f>
        <v>0.356826737140985</v>
      </c>
      <c r="S1840" s="82" t="n">
        <f aca="false">IF(R1840&lt;(Inputs!$E$29-Inputs!$D$29)/(Inputs!$F$29-Inputs!$D$29),Inputs!$D$29+SQRT(R1840*(Inputs!$F$29-Inputs!$D$29)*(Inputs!$E$29-Inputs!$D$29)),Inputs!$F$29-SQRT((1-R1840)*(Inputs!$F$29-Inputs!$D$29)*(Inputs!$F$29-Inputs!$E$29)))</f>
        <v>5.85601158292116</v>
      </c>
      <c r="T1840" s="68" t="n">
        <f aca="false">Inputs!$E$9*(1+E1840)+Inputs!$E$5*C1840*(Inputs!$E$11*Inputs!$E$14*(G1840*I1840/Inputs!$E$16+(1-G1840))*K1840+Inputs!$E$23*M1840)*(1+O1840)+Inputs!$E$5*(Q1840+S1840)</f>
        <v>5794.89948441472</v>
      </c>
    </row>
    <row r="1841" customFormat="false" ht="15" hidden="false" customHeight="false" outlineLevel="0" collapsed="false">
      <c r="A1841" s="1" t="n">
        <v>1837</v>
      </c>
      <c r="B1841" s="81" t="n">
        <f aca="true">RAND()</f>
        <v>0.216670192037667</v>
      </c>
      <c r="C1841" s="82" t="n">
        <f aca="false">ROUND(IF(B1841&lt;(Inputs!$E$8-Inputs!$D$8)/(Inputs!$F$8-Inputs!$D$8),Inputs!$D$8+SQRT(B1841*(Inputs!$F$8-Inputs!$D$8)*(Inputs!$E$8-Inputs!$D$8)),Inputs!$F$8-SQRT((1-B1841)*(Inputs!$F$8-Inputs!$D$8)*(Inputs!$F$8-Inputs!$E$8))),0)</f>
        <v>23</v>
      </c>
      <c r="D1841" s="81" t="n">
        <f aca="true">RAND()</f>
        <v>0.766542797926254</v>
      </c>
      <c r="E1841" s="83" t="n">
        <f aca="false">IF(D1841&lt;(Inputs!$E$10-Inputs!$D$10)/(Inputs!$F$10-Inputs!$D$10),Inputs!$D$10+SQRT(D1841*(Inputs!$F$10-Inputs!$D$10)*(Inputs!$E$10-Inputs!$D$10)),Inputs!$F$10-SQRT((1-D1841)*(Inputs!$F$10-Inputs!$D$10)*(Inputs!$F$10-Inputs!$E$10)))</f>
        <v>0.11631179257379</v>
      </c>
      <c r="F1841" s="81" t="n">
        <f aca="true">RAND()</f>
        <v>0.65827041713126</v>
      </c>
      <c r="G1841" s="83" t="n">
        <f aca="false">IF(F1841&lt;(Inputs!$E$15-Inputs!$D$15)/(Inputs!$F$15-Inputs!$D$15),Inputs!$D$15+SQRT(F1841*(Inputs!$F$15-Inputs!$D$15)*(Inputs!$E$15-Inputs!$D$15)),Inputs!$F$15-SQRT((1-F1841)*(Inputs!$F$15-Inputs!$D$15)*(Inputs!$F$15-Inputs!$E$15)))</f>
        <v>0.71732841082104</v>
      </c>
      <c r="H1841" s="81" t="n">
        <f aca="true">RAND()</f>
        <v>0.581025260055722</v>
      </c>
      <c r="I1841" s="82" t="n">
        <f aca="false">ROUND(IF(H1841&lt;(Inputs!$E$17-Inputs!$D$17)/(Inputs!$F$17-Inputs!$D$17),Inputs!$D$17+SQRT(H1841*(Inputs!$F$17-Inputs!$D$17)*(Inputs!$E$17-Inputs!$D$17)),Inputs!$F$17-SQRT((1-H1841)*(Inputs!$F$17-Inputs!$D$17)*(Inputs!$F$17-Inputs!$E$17))),0)</f>
        <v>107</v>
      </c>
      <c r="J1841" s="81" t="n">
        <f aca="true">RAND()</f>
        <v>0.752286655463945</v>
      </c>
      <c r="K1841" s="83" t="n">
        <f aca="false">IF(J1841&lt;(Inputs!$E$18-Inputs!$D$18)/(Inputs!$F$18-Inputs!$D$18),Inputs!$D$18+SQRT(J1841*(Inputs!$F$18-Inputs!$D$18)*(Inputs!$E$18-Inputs!$D$18)),Inputs!$F$18-SQRT((1-J1841)*(Inputs!$F$18-Inputs!$D$18)*(Inputs!$F$18-Inputs!$E$18)))</f>
        <v>1.10277596104269</v>
      </c>
      <c r="L1841" s="81" t="n">
        <f aca="true">RAND()</f>
        <v>0.539198998676411</v>
      </c>
      <c r="M1841" s="83" t="n">
        <f aca="false">IF(L1841&lt;(Inputs!$E$24-Inputs!$D$24)/(Inputs!$F$24-Inputs!$D$24),Inputs!$D$24+SQRT(L1841*(Inputs!$F$24-Inputs!$D$24)*(Inputs!$E$24-Inputs!$D$24)),Inputs!$F$24-SQRT((1-L1841)*(Inputs!$F$24-Inputs!$D$24)*(Inputs!$F$24-Inputs!$E$24)))</f>
        <v>0.867445883625444</v>
      </c>
      <c r="N1841" s="81" t="n">
        <f aca="true">RAND()</f>
        <v>0.637044092155555</v>
      </c>
      <c r="O1841" s="83" t="n">
        <f aca="false">IF(N1841&lt;(Inputs!$E$26-Inputs!$D$26)/(Inputs!$F$26-Inputs!$D$26),Inputs!$D$26+SQRT(N1841*(Inputs!$F$26-Inputs!$D$26)*(Inputs!$E$26-Inputs!$D$26)),Inputs!$F$26-SQRT((1-N1841)*(Inputs!$F$26-Inputs!$D$26)*(Inputs!$F$26-Inputs!$E$26)))</f>
        <v>0.625713061643809</v>
      </c>
      <c r="P1841" s="81" t="n">
        <f aca="true">RAND()</f>
        <v>0.0786557837754738</v>
      </c>
      <c r="Q1841" s="82" t="n">
        <f aca="false">IF(P1841&lt;(Inputs!$E$27-Inputs!$D$27)/(Inputs!$F$27-Inputs!$D$27),Inputs!$D$27+SQRT(P1841*(Inputs!$F$27-Inputs!$D$27)*(Inputs!$E$27-Inputs!$D$27)),Inputs!$F$27-SQRT((1-P1841)*(Inputs!$F$27-Inputs!$D$27)*(Inputs!$F$27-Inputs!$E$27)))</f>
        <v>64.0228192400346</v>
      </c>
      <c r="R1841" s="81" t="n">
        <f aca="true">RAND()</f>
        <v>0.941674146474794</v>
      </c>
      <c r="S1841" s="82" t="n">
        <f aca="false">IF(R1841&lt;(Inputs!$E$29-Inputs!$D$29)/(Inputs!$F$29-Inputs!$D$29),Inputs!$D$29+SQRT(R1841*(Inputs!$F$29-Inputs!$D$29)*(Inputs!$E$29-Inputs!$D$29)),Inputs!$F$29-SQRT((1-R1841)*(Inputs!$F$29-Inputs!$D$29)*(Inputs!$F$29-Inputs!$E$29)))</f>
        <v>12.2463912844638</v>
      </c>
      <c r="T1841" s="68" t="n">
        <f aca="false">Inputs!$E$9*(1+E1841)+Inputs!$E$5*C1841*(Inputs!$E$11*Inputs!$E$14*(G1841*I1841/Inputs!$E$16+(1-G1841))*K1841+Inputs!$E$23*M1841)*(1+O1841)+Inputs!$E$5*(Q1841+S1841)</f>
        <v>6208.7269694737</v>
      </c>
    </row>
    <row r="1842" customFormat="false" ht="15" hidden="false" customHeight="false" outlineLevel="0" collapsed="false">
      <c r="A1842" s="1" t="n">
        <v>1838</v>
      </c>
      <c r="B1842" s="81" t="n">
        <f aca="true">RAND()</f>
        <v>0.0787157501759678</v>
      </c>
      <c r="C1842" s="82" t="n">
        <f aca="false">ROUND(IF(B1842&lt;(Inputs!$E$8-Inputs!$D$8)/(Inputs!$F$8-Inputs!$D$8),Inputs!$D$8+SQRT(B1842*(Inputs!$F$8-Inputs!$D$8)*(Inputs!$E$8-Inputs!$D$8)),Inputs!$F$8-SQRT((1-B1842)*(Inputs!$F$8-Inputs!$D$8)*(Inputs!$F$8-Inputs!$E$8))),0)</f>
        <v>22</v>
      </c>
      <c r="D1842" s="81" t="n">
        <f aca="true">RAND()</f>
        <v>0.252894351912393</v>
      </c>
      <c r="E1842" s="83" t="n">
        <f aca="false">IF(D1842&lt;(Inputs!$E$10-Inputs!$D$10)/(Inputs!$F$10-Inputs!$D$10),Inputs!$D$10+SQRT(D1842*(Inputs!$F$10-Inputs!$D$10)*(Inputs!$E$10-Inputs!$D$10)),Inputs!$F$10-SQRT((1-D1842)*(Inputs!$F$10-Inputs!$D$10)*(Inputs!$F$10-Inputs!$E$10)))</f>
        <v>0.0502897149737927</v>
      </c>
      <c r="F1842" s="81" t="n">
        <f aca="true">RAND()</f>
        <v>0.558715221984627</v>
      </c>
      <c r="G1842" s="83" t="n">
        <f aca="false">IF(F1842&lt;(Inputs!$E$15-Inputs!$D$15)/(Inputs!$F$15-Inputs!$D$15),Inputs!$D$15+SQRT(F1842*(Inputs!$F$15-Inputs!$D$15)*(Inputs!$E$15-Inputs!$D$15)),Inputs!$F$15-SQRT((1-F1842)*(Inputs!$F$15-Inputs!$D$15)*(Inputs!$F$15-Inputs!$E$15)))</f>
        <v>0.706054826838696</v>
      </c>
      <c r="H1842" s="81" t="n">
        <f aca="true">RAND()</f>
        <v>0.286272844308063</v>
      </c>
      <c r="I1842" s="82" t="n">
        <f aca="false">ROUND(IF(H1842&lt;(Inputs!$E$17-Inputs!$D$17)/(Inputs!$F$17-Inputs!$D$17),Inputs!$D$17+SQRT(H1842*(Inputs!$F$17-Inputs!$D$17)*(Inputs!$E$17-Inputs!$D$17)),Inputs!$F$17-SQRT((1-H1842)*(Inputs!$F$17-Inputs!$D$17)*(Inputs!$F$17-Inputs!$E$17))),0)</f>
        <v>105</v>
      </c>
      <c r="J1842" s="81" t="n">
        <f aca="true">RAND()</f>
        <v>0.65733776758304</v>
      </c>
      <c r="K1842" s="83" t="n">
        <f aca="false">IF(J1842&lt;(Inputs!$E$18-Inputs!$D$18)/(Inputs!$F$18-Inputs!$D$18),Inputs!$D$18+SQRT(J1842*(Inputs!$F$18-Inputs!$D$18)*(Inputs!$E$18-Inputs!$D$18)),Inputs!$F$18-SQRT((1-J1842)*(Inputs!$F$18-Inputs!$D$18)*(Inputs!$F$18-Inputs!$E$18)))</f>
        <v>1.076844158815</v>
      </c>
      <c r="L1842" s="81" t="n">
        <f aca="true">RAND()</f>
        <v>0.442349456954063</v>
      </c>
      <c r="M1842" s="83" t="n">
        <f aca="false">IF(L1842&lt;(Inputs!$E$24-Inputs!$D$24)/(Inputs!$F$24-Inputs!$D$24),Inputs!$D$24+SQRT(L1842*(Inputs!$F$24-Inputs!$D$24)*(Inputs!$E$24-Inputs!$D$24)),Inputs!$F$24-SQRT((1-L1842)*(Inputs!$F$24-Inputs!$D$24)*(Inputs!$F$24-Inputs!$E$24)))</f>
        <v>0.834163793028868</v>
      </c>
      <c r="N1842" s="81" t="n">
        <f aca="true">RAND()</f>
        <v>0.122819500078585</v>
      </c>
      <c r="O1842" s="83" t="n">
        <f aca="false">IF(N1842&lt;(Inputs!$E$26-Inputs!$D$26)/(Inputs!$F$26-Inputs!$D$26),Inputs!$D$26+SQRT(N1842*(Inputs!$F$26-Inputs!$D$26)*(Inputs!$E$26-Inputs!$D$26)),Inputs!$F$26-SQRT((1-N1842)*(Inputs!$F$26-Inputs!$D$26)*(Inputs!$F$26-Inputs!$E$26)))</f>
        <v>0.442958612238216</v>
      </c>
      <c r="P1842" s="81" t="n">
        <f aca="true">RAND()</f>
        <v>0.844798442296664</v>
      </c>
      <c r="Q1842" s="82" t="n">
        <f aca="false">IF(P1842&lt;(Inputs!$E$27-Inputs!$D$27)/(Inputs!$F$27-Inputs!$D$27),Inputs!$D$27+SQRT(P1842*(Inputs!$F$27-Inputs!$D$27)*(Inputs!$E$27-Inputs!$D$27)),Inputs!$F$27-SQRT((1-P1842)*(Inputs!$F$27-Inputs!$D$27)*(Inputs!$F$27-Inputs!$E$27)))</f>
        <v>115.882384567866</v>
      </c>
      <c r="R1842" s="81" t="n">
        <f aca="true">RAND()</f>
        <v>0.872144023081303</v>
      </c>
      <c r="S1842" s="82" t="n">
        <f aca="false">IF(R1842&lt;(Inputs!$E$29-Inputs!$D$29)/(Inputs!$F$29-Inputs!$D$29),Inputs!$D$29+SQRT(R1842*(Inputs!$F$29-Inputs!$D$29)*(Inputs!$E$29-Inputs!$D$29)),Inputs!$F$29-SQRT((1-R1842)*(Inputs!$F$29-Inputs!$D$29)*(Inputs!$F$29-Inputs!$E$29)))</f>
        <v>10.9230799616094</v>
      </c>
      <c r="T1842" s="68" t="n">
        <f aca="false">Inputs!$E$9*(1+E1842)+Inputs!$E$5*C1842*(Inputs!$E$11*Inputs!$E$14*(G1842*I1842/Inputs!$E$16+(1-G1842))*K1842+Inputs!$E$23*M1842)*(1+O1842)+Inputs!$E$5*(Q1842+S1842)</f>
        <v>5717.57284893767</v>
      </c>
    </row>
    <row r="1843" customFormat="false" ht="15" hidden="false" customHeight="false" outlineLevel="0" collapsed="false">
      <c r="A1843" s="1" t="n">
        <v>1839</v>
      </c>
      <c r="B1843" s="81" t="n">
        <f aca="true">RAND()</f>
        <v>0.981325382721563</v>
      </c>
      <c r="C1843" s="82" t="n">
        <f aca="false">ROUND(IF(B1843&lt;(Inputs!$E$8-Inputs!$D$8)/(Inputs!$F$8-Inputs!$D$8),Inputs!$D$8+SQRT(B1843*(Inputs!$F$8-Inputs!$D$8)*(Inputs!$E$8-Inputs!$D$8)),Inputs!$F$8-SQRT((1-B1843)*(Inputs!$F$8-Inputs!$D$8)*(Inputs!$F$8-Inputs!$E$8))),0)</f>
        <v>29</v>
      </c>
      <c r="D1843" s="81" t="n">
        <f aca="true">RAND()</f>
        <v>0.120494763681494</v>
      </c>
      <c r="E1843" s="83" t="n">
        <f aca="false">IF(D1843&lt;(Inputs!$E$10-Inputs!$D$10)/(Inputs!$F$10-Inputs!$D$10),Inputs!$D$10+SQRT(D1843*(Inputs!$F$10-Inputs!$D$10)*(Inputs!$E$10-Inputs!$D$10)),Inputs!$F$10-SQRT((1-D1843)*(Inputs!$F$10-Inputs!$D$10)*(Inputs!$F$10-Inputs!$E$10)))</f>
        <v>0.0347123556794255</v>
      </c>
      <c r="F1843" s="81" t="n">
        <f aca="true">RAND()</f>
        <v>0.0338476717818495</v>
      </c>
      <c r="G1843" s="83" t="n">
        <f aca="false">IF(F1843&lt;(Inputs!$E$15-Inputs!$D$15)/(Inputs!$F$15-Inputs!$D$15),Inputs!$D$15+SQRT(F1843*(Inputs!$F$15-Inputs!$D$15)*(Inputs!$E$15-Inputs!$D$15)),Inputs!$F$15-SQRT((1-F1843)*(Inputs!$F$15-Inputs!$D$15)*(Inputs!$F$15-Inputs!$E$15)))</f>
        <v>0.626018328840204</v>
      </c>
      <c r="H1843" s="81" t="n">
        <f aca="true">RAND()</f>
        <v>0.500594188503778</v>
      </c>
      <c r="I1843" s="82" t="n">
        <f aca="false">ROUND(IF(H1843&lt;(Inputs!$E$17-Inputs!$D$17)/(Inputs!$F$17-Inputs!$D$17),Inputs!$D$17+SQRT(H1843*(Inputs!$F$17-Inputs!$D$17)*(Inputs!$E$17-Inputs!$D$17)),Inputs!$F$17-SQRT((1-H1843)*(Inputs!$F$17-Inputs!$D$17)*(Inputs!$F$17-Inputs!$E$17))),0)</f>
        <v>106</v>
      </c>
      <c r="J1843" s="81" t="n">
        <f aca="true">RAND()</f>
        <v>0.0633446745426448</v>
      </c>
      <c r="K1843" s="83" t="n">
        <f aca="false">IF(J1843&lt;(Inputs!$E$18-Inputs!$D$18)/(Inputs!$F$18-Inputs!$D$18),Inputs!$D$18+SQRT(J1843*(Inputs!$F$18-Inputs!$D$18)*(Inputs!$E$18-Inputs!$D$18)),Inputs!$F$18-SQRT((1-J1843)*(Inputs!$F$18-Inputs!$D$18)*(Inputs!$F$18-Inputs!$E$18)))</f>
        <v>0.947085704932522</v>
      </c>
      <c r="L1843" s="81" t="n">
        <f aca="true">RAND()</f>
        <v>0.331250655224215</v>
      </c>
      <c r="M1843" s="83" t="n">
        <f aca="false">IF(L1843&lt;(Inputs!$E$24-Inputs!$D$24)/(Inputs!$F$24-Inputs!$D$24),Inputs!$D$24+SQRT(L1843*(Inputs!$F$24-Inputs!$D$24)*(Inputs!$E$24-Inputs!$D$24)),Inputs!$F$24-SQRT((1-L1843)*(Inputs!$F$24-Inputs!$D$24)*(Inputs!$F$24-Inputs!$E$24)))</f>
        <v>0.799374217558103</v>
      </c>
      <c r="N1843" s="81" t="n">
        <f aca="true">RAND()</f>
        <v>0.509159167593768</v>
      </c>
      <c r="O1843" s="83" t="n">
        <f aca="false">IF(N1843&lt;(Inputs!$E$26-Inputs!$D$26)/(Inputs!$F$26-Inputs!$D$26),Inputs!$D$26+SQRT(N1843*(Inputs!$F$26-Inputs!$D$26)*(Inputs!$E$26-Inputs!$D$26)),Inputs!$F$26-SQRT((1-N1843)*(Inputs!$F$26-Inputs!$D$26)*(Inputs!$F$26-Inputs!$E$26)))</f>
        <v>0.591074020633245</v>
      </c>
      <c r="P1843" s="81" t="n">
        <f aca="true">RAND()</f>
        <v>0.400639484413178</v>
      </c>
      <c r="Q1843" s="82" t="n">
        <f aca="false">IF(P1843&lt;(Inputs!$E$27-Inputs!$D$27)/(Inputs!$F$27-Inputs!$D$27),Inputs!$D$27+SQRT(P1843*(Inputs!$F$27-Inputs!$D$27)*(Inputs!$E$27-Inputs!$D$27)),Inputs!$F$27-SQRT((1-P1843)*(Inputs!$F$27-Inputs!$D$27)*(Inputs!$F$27-Inputs!$E$27)))</f>
        <v>82.9537184707372</v>
      </c>
      <c r="R1843" s="81" t="n">
        <f aca="true">RAND()</f>
        <v>0.457105622080591</v>
      </c>
      <c r="S1843" s="82" t="n">
        <f aca="false">IF(R1843&lt;(Inputs!$E$29-Inputs!$D$29)/(Inputs!$F$29-Inputs!$D$29),Inputs!$D$29+SQRT(R1843*(Inputs!$F$29-Inputs!$D$29)*(Inputs!$E$29-Inputs!$D$29)),Inputs!$F$29-SQRT((1-R1843)*(Inputs!$F$29-Inputs!$D$29)*(Inputs!$F$29-Inputs!$E$29)))</f>
        <v>6.59903165524812</v>
      </c>
      <c r="T1843" s="68" t="n">
        <f aca="false">Inputs!$E$9*(1+E1843)+Inputs!$E$5*C1843*(Inputs!$E$11*Inputs!$E$14*(G1843*I1843/Inputs!$E$16+(1-G1843))*K1843+Inputs!$E$23*M1843)*(1+O1843)+Inputs!$E$5*(Q1843+S1843)</f>
        <v>6504.85173012438</v>
      </c>
    </row>
    <row r="1844" customFormat="false" ht="15" hidden="false" customHeight="false" outlineLevel="0" collapsed="false">
      <c r="A1844" s="1" t="n">
        <v>1840</v>
      </c>
      <c r="B1844" s="81" t="n">
        <f aca="true">RAND()</f>
        <v>0.790490015186067</v>
      </c>
      <c r="C1844" s="82" t="n">
        <f aca="false">ROUND(IF(B1844&lt;(Inputs!$E$8-Inputs!$D$8)/(Inputs!$F$8-Inputs!$D$8),Inputs!$D$8+SQRT(B1844*(Inputs!$F$8-Inputs!$D$8)*(Inputs!$E$8-Inputs!$D$8)),Inputs!$F$8-SQRT((1-B1844)*(Inputs!$F$8-Inputs!$D$8)*(Inputs!$F$8-Inputs!$E$8))),0)</f>
        <v>27</v>
      </c>
      <c r="D1844" s="81" t="n">
        <f aca="true">RAND()</f>
        <v>0.0873515931252085</v>
      </c>
      <c r="E1844" s="83" t="n">
        <f aca="false">IF(D1844&lt;(Inputs!$E$10-Inputs!$D$10)/(Inputs!$F$10-Inputs!$D$10),Inputs!$D$10+SQRT(D1844*(Inputs!$F$10-Inputs!$D$10)*(Inputs!$E$10-Inputs!$D$10)),Inputs!$F$10-SQRT((1-D1844)*(Inputs!$F$10-Inputs!$D$10)*(Inputs!$F$10-Inputs!$E$10)))</f>
        <v>0.029555302929459</v>
      </c>
      <c r="F1844" s="81" t="n">
        <f aca="true">RAND()</f>
        <v>0.919428641743141</v>
      </c>
      <c r="G1844" s="83" t="n">
        <f aca="false">IF(F1844&lt;(Inputs!$E$15-Inputs!$D$15)/(Inputs!$F$15-Inputs!$D$15),Inputs!$D$15+SQRT(F1844*(Inputs!$F$15-Inputs!$D$15)*(Inputs!$E$15-Inputs!$D$15)),Inputs!$F$15-SQRT((1-F1844)*(Inputs!$F$15-Inputs!$D$15)*(Inputs!$F$15-Inputs!$E$15)))</f>
        <v>0.759857414568352</v>
      </c>
      <c r="H1844" s="81" t="n">
        <f aca="true">RAND()</f>
        <v>0.491815291819287</v>
      </c>
      <c r="I1844" s="82" t="n">
        <f aca="false">ROUND(IF(H1844&lt;(Inputs!$E$17-Inputs!$D$17)/(Inputs!$F$17-Inputs!$D$17),Inputs!$D$17+SQRT(H1844*(Inputs!$F$17-Inputs!$D$17)*(Inputs!$E$17-Inputs!$D$17)),Inputs!$F$17-SQRT((1-H1844)*(Inputs!$F$17-Inputs!$D$17)*(Inputs!$F$17-Inputs!$E$17))),0)</f>
        <v>106</v>
      </c>
      <c r="J1844" s="81" t="n">
        <f aca="true">RAND()</f>
        <v>0.46988813593752</v>
      </c>
      <c r="K1844" s="83" t="n">
        <f aca="false">IF(J1844&lt;(Inputs!$E$18-Inputs!$D$18)/(Inputs!$F$18-Inputs!$D$18),Inputs!$D$18+SQRT(J1844*(Inputs!$F$18-Inputs!$D$18)*(Inputs!$E$18-Inputs!$D$18)),Inputs!$F$18-SQRT((1-J1844)*(Inputs!$F$18-Inputs!$D$18)*(Inputs!$F$18-Inputs!$E$18)))</f>
        <v>1.03462872033285</v>
      </c>
      <c r="L1844" s="81" t="n">
        <f aca="true">RAND()</f>
        <v>0.894369843875289</v>
      </c>
      <c r="M1844" s="83" t="n">
        <f aca="false">IF(L1844&lt;(Inputs!$E$24-Inputs!$D$24)/(Inputs!$F$24-Inputs!$D$24),Inputs!$D$24+SQRT(L1844*(Inputs!$F$24-Inputs!$D$24)*(Inputs!$E$24-Inputs!$D$24)),Inputs!$F$24-SQRT((1-L1844)*(Inputs!$F$24-Inputs!$D$24)*(Inputs!$F$24-Inputs!$E$24)))</f>
        <v>1.04077928065126</v>
      </c>
      <c r="N1844" s="81" t="n">
        <f aca="true">RAND()</f>
        <v>0.881354232362464</v>
      </c>
      <c r="O1844" s="83" t="n">
        <f aca="false">IF(N1844&lt;(Inputs!$E$26-Inputs!$D$26)/(Inputs!$F$26-Inputs!$D$26),Inputs!$D$26+SQRT(N1844*(Inputs!$F$26-Inputs!$D$26)*(Inputs!$E$26-Inputs!$D$26)),Inputs!$F$26-SQRT((1-N1844)*(Inputs!$F$26-Inputs!$D$26)*(Inputs!$F$26-Inputs!$E$26)))</f>
        <v>0.708918229063884</v>
      </c>
      <c r="P1844" s="81" t="n">
        <f aca="true">RAND()</f>
        <v>0.56915916213388</v>
      </c>
      <c r="Q1844" s="82" t="n">
        <f aca="false">IF(P1844&lt;(Inputs!$E$27-Inputs!$D$27)/(Inputs!$F$27-Inputs!$D$27),Inputs!$D$27+SQRT(P1844*(Inputs!$F$27-Inputs!$D$27)*(Inputs!$E$27-Inputs!$D$27)),Inputs!$F$27-SQRT((1-P1844)*(Inputs!$F$27-Inputs!$D$27)*(Inputs!$F$27-Inputs!$E$27)))</f>
        <v>93.1554199241836</v>
      </c>
      <c r="R1844" s="81" t="n">
        <f aca="true">RAND()</f>
        <v>0.30087948904212</v>
      </c>
      <c r="S1844" s="82" t="n">
        <f aca="false">IF(R1844&lt;(Inputs!$E$29-Inputs!$D$29)/(Inputs!$F$29-Inputs!$D$29),Inputs!$D$29+SQRT(R1844*(Inputs!$F$29-Inputs!$D$29)*(Inputs!$E$29-Inputs!$D$29)),Inputs!$F$29-SQRT((1-R1844)*(Inputs!$F$29-Inputs!$D$29)*(Inputs!$F$29-Inputs!$E$29)))</f>
        <v>5.46660257701776</v>
      </c>
      <c r="T1844" s="68" t="n">
        <f aca="false">Inputs!$E$9*(1+E1844)+Inputs!$E$5*C1844*(Inputs!$E$11*Inputs!$E$14*(G1844*I1844/Inputs!$E$16+(1-G1844))*K1844+Inputs!$E$23*M1844)*(1+O1844)+Inputs!$E$5*(Q1844+S1844)</f>
        <v>6953.72912117175</v>
      </c>
    </row>
    <row r="1845" customFormat="false" ht="15" hidden="false" customHeight="false" outlineLevel="0" collapsed="false">
      <c r="A1845" s="1" t="n">
        <v>1841</v>
      </c>
      <c r="B1845" s="81" t="n">
        <f aca="true">RAND()</f>
        <v>0.410918134550829</v>
      </c>
      <c r="C1845" s="82" t="n">
        <f aca="false">ROUND(IF(B1845&lt;(Inputs!$E$8-Inputs!$D$8)/(Inputs!$F$8-Inputs!$D$8),Inputs!$D$8+SQRT(B1845*(Inputs!$F$8-Inputs!$D$8)*(Inputs!$E$8-Inputs!$D$8)),Inputs!$F$8-SQRT((1-B1845)*(Inputs!$F$8-Inputs!$D$8)*(Inputs!$F$8-Inputs!$E$8))),0)</f>
        <v>25</v>
      </c>
      <c r="D1845" s="81" t="n">
        <f aca="true">RAND()</f>
        <v>0.686957859486237</v>
      </c>
      <c r="E1845" s="83" t="n">
        <f aca="false">IF(D1845&lt;(Inputs!$E$10-Inputs!$D$10)/(Inputs!$F$10-Inputs!$D$10),Inputs!$D$10+SQRT(D1845*(Inputs!$F$10-Inputs!$D$10)*(Inputs!$E$10-Inputs!$D$10)),Inputs!$F$10-SQRT((1-D1845)*(Inputs!$F$10-Inputs!$D$10)*(Inputs!$F$10-Inputs!$E$10)))</f>
        <v>0.103091464692666</v>
      </c>
      <c r="F1845" s="81" t="n">
        <f aca="true">RAND()</f>
        <v>0.723946408059886</v>
      </c>
      <c r="G1845" s="83" t="n">
        <f aca="false">IF(F1845&lt;(Inputs!$E$15-Inputs!$D$15)/(Inputs!$F$15-Inputs!$D$15),Inputs!$D$15+SQRT(F1845*(Inputs!$F$15-Inputs!$D$15)*(Inputs!$E$15-Inputs!$D$15)),Inputs!$F$15-SQRT((1-F1845)*(Inputs!$F$15-Inputs!$D$15)*(Inputs!$F$15-Inputs!$E$15)))</f>
        <v>0.725696084633431</v>
      </c>
      <c r="H1845" s="81" t="n">
        <f aca="true">RAND()</f>
        <v>0.632190780015348</v>
      </c>
      <c r="I1845" s="82" t="n">
        <f aca="false">ROUND(IF(H1845&lt;(Inputs!$E$17-Inputs!$D$17)/(Inputs!$F$17-Inputs!$D$17),Inputs!$D$17+SQRT(H1845*(Inputs!$F$17-Inputs!$D$17)*(Inputs!$E$17-Inputs!$D$17)),Inputs!$F$17-SQRT((1-H1845)*(Inputs!$F$17-Inputs!$D$17)*(Inputs!$F$17-Inputs!$E$17))),0)</f>
        <v>108</v>
      </c>
      <c r="J1845" s="81" t="n">
        <f aca="true">RAND()</f>
        <v>0.844792618236749</v>
      </c>
      <c r="K1845" s="83" t="n">
        <f aca="false">IF(J1845&lt;(Inputs!$E$18-Inputs!$D$18)/(Inputs!$F$18-Inputs!$D$18),Inputs!$D$18+SQRT(J1845*(Inputs!$F$18-Inputs!$D$18)*(Inputs!$E$18-Inputs!$D$18)),Inputs!$F$18-SQRT((1-J1845)*(Inputs!$F$18-Inputs!$D$18)*(Inputs!$F$18-Inputs!$E$18)))</f>
        <v>1.13346397164703</v>
      </c>
      <c r="L1845" s="81" t="n">
        <f aca="true">RAND()</f>
        <v>0.856690671839993</v>
      </c>
      <c r="M1845" s="83" t="n">
        <f aca="false">IF(L1845&lt;(Inputs!$E$24-Inputs!$D$24)/(Inputs!$F$24-Inputs!$D$24),Inputs!$D$24+SQRT(L1845*(Inputs!$F$24-Inputs!$D$24)*(Inputs!$E$24-Inputs!$D$24)),Inputs!$F$24-SQRT((1-L1845)*(Inputs!$F$24-Inputs!$D$24)*(Inputs!$F$24-Inputs!$E$24)))</f>
        <v>1.01454316200689</v>
      </c>
      <c r="N1845" s="81" t="n">
        <f aca="true">RAND()</f>
        <v>0.29494509853229</v>
      </c>
      <c r="O1845" s="83" t="n">
        <f aca="false">IF(N1845&lt;(Inputs!$E$26-Inputs!$D$26)/(Inputs!$F$26-Inputs!$D$26),Inputs!$D$26+SQRT(N1845*(Inputs!$F$26-Inputs!$D$26)*(Inputs!$E$26-Inputs!$D$26)),Inputs!$F$26-SQRT((1-N1845)*(Inputs!$F$26-Inputs!$D$26)*(Inputs!$F$26-Inputs!$E$26)))</f>
        <v>0.521537501104831</v>
      </c>
      <c r="P1845" s="81" t="n">
        <f aca="true">RAND()</f>
        <v>0.395211482623787</v>
      </c>
      <c r="Q1845" s="82" t="n">
        <f aca="false">IF(P1845&lt;(Inputs!$E$27-Inputs!$D$27)/(Inputs!$F$27-Inputs!$D$27),Inputs!$D$27+SQRT(P1845*(Inputs!$F$27-Inputs!$D$27)*(Inputs!$E$27-Inputs!$D$27)),Inputs!$F$27-SQRT((1-P1845)*(Inputs!$F$27-Inputs!$D$27)*(Inputs!$F$27-Inputs!$E$27)))</f>
        <v>82.6508063869983</v>
      </c>
      <c r="R1845" s="81" t="n">
        <f aca="true">RAND()</f>
        <v>0.487528161855202</v>
      </c>
      <c r="S1845" s="82" t="n">
        <f aca="false">IF(R1845&lt;(Inputs!$E$29-Inputs!$D$29)/(Inputs!$F$29-Inputs!$D$29),Inputs!$D$29+SQRT(R1845*(Inputs!$F$29-Inputs!$D$29)*(Inputs!$E$29-Inputs!$D$29)),Inputs!$F$29-SQRT((1-R1845)*(Inputs!$F$29-Inputs!$D$29)*(Inputs!$F$29-Inputs!$E$29)))</f>
        <v>6.83781040658674</v>
      </c>
      <c r="T1845" s="68" t="n">
        <f aca="false">Inputs!$E$9*(1+E1845)+Inputs!$E$5*C1845*(Inputs!$E$11*Inputs!$E$14*(G1845*I1845/Inputs!$E$16+(1-G1845))*K1845+Inputs!$E$23*M1845)*(1+O1845)+Inputs!$E$5*(Q1845+S1845)</f>
        <v>6567.5838181568</v>
      </c>
    </row>
    <row r="1846" customFormat="false" ht="15" hidden="false" customHeight="false" outlineLevel="0" collapsed="false">
      <c r="A1846" s="1" t="n">
        <v>1842</v>
      </c>
      <c r="B1846" s="81" t="n">
        <f aca="true">RAND()</f>
        <v>0.472844084991842</v>
      </c>
      <c r="C1846" s="82" t="n">
        <f aca="false">ROUND(IF(B1846&lt;(Inputs!$E$8-Inputs!$D$8)/(Inputs!$F$8-Inputs!$D$8),Inputs!$D$8+SQRT(B1846*(Inputs!$F$8-Inputs!$D$8)*(Inputs!$E$8-Inputs!$D$8)),Inputs!$F$8-SQRT((1-B1846)*(Inputs!$F$8-Inputs!$D$8)*(Inputs!$F$8-Inputs!$E$8))),0)</f>
        <v>25</v>
      </c>
      <c r="D1846" s="81" t="n">
        <f aca="true">RAND()</f>
        <v>0.86495502588905</v>
      </c>
      <c r="E1846" s="83" t="n">
        <f aca="false">IF(D1846&lt;(Inputs!$E$10-Inputs!$D$10)/(Inputs!$F$10-Inputs!$D$10),Inputs!$D$10+SQRT(D1846*(Inputs!$F$10-Inputs!$D$10)*(Inputs!$E$10-Inputs!$D$10)),Inputs!$F$10-SQRT((1-D1846)*(Inputs!$F$10-Inputs!$D$10)*(Inputs!$F$10-Inputs!$E$10)))</f>
        <v>0.13634979007632</v>
      </c>
      <c r="F1846" s="81" t="n">
        <f aca="true">RAND()</f>
        <v>0.886151670829302</v>
      </c>
      <c r="G1846" s="83" t="n">
        <f aca="false">IF(F1846&lt;(Inputs!$E$15-Inputs!$D$15)/(Inputs!$F$15-Inputs!$D$15),Inputs!$D$15+SQRT(F1846*(Inputs!$F$15-Inputs!$D$15)*(Inputs!$E$15-Inputs!$D$15)),Inputs!$F$15-SQRT((1-F1846)*(Inputs!$F$15-Inputs!$D$15)*(Inputs!$F$15-Inputs!$E$15)))</f>
        <v>0.752282428986652</v>
      </c>
      <c r="H1846" s="81" t="n">
        <f aca="true">RAND()</f>
        <v>0.85047370788275</v>
      </c>
      <c r="I1846" s="82" t="n">
        <f aca="false">ROUND(IF(H1846&lt;(Inputs!$E$17-Inputs!$D$17)/(Inputs!$F$17-Inputs!$D$17),Inputs!$D$17+SQRT(H1846*(Inputs!$F$17-Inputs!$D$17)*(Inputs!$E$17-Inputs!$D$17)),Inputs!$F$17-SQRT((1-H1846)*(Inputs!$F$17-Inputs!$D$17)*(Inputs!$F$17-Inputs!$E$17))),0)</f>
        <v>110</v>
      </c>
      <c r="J1846" s="81" t="n">
        <f aca="true">RAND()</f>
        <v>0.729909313121034</v>
      </c>
      <c r="K1846" s="83" t="n">
        <f aca="false">IF(J1846&lt;(Inputs!$E$18-Inputs!$D$18)/(Inputs!$F$18-Inputs!$D$18),Inputs!$D$18+SQRT(J1846*(Inputs!$F$18-Inputs!$D$18)*(Inputs!$E$18-Inputs!$D$18)),Inputs!$F$18-SQRT((1-J1846)*(Inputs!$F$18-Inputs!$D$18)*(Inputs!$F$18-Inputs!$E$18)))</f>
        <v>1.09626992778929</v>
      </c>
      <c r="L1846" s="81" t="n">
        <f aca="true">RAND()</f>
        <v>0.00701174142035028</v>
      </c>
      <c r="M1846" s="83" t="n">
        <f aca="false">IF(L1846&lt;(Inputs!$E$24-Inputs!$D$24)/(Inputs!$F$24-Inputs!$D$24),Inputs!$D$24+SQRT(L1846*(Inputs!$F$24-Inputs!$D$24)*(Inputs!$E$24-Inputs!$D$24)),Inputs!$F$24-SQRT((1-L1846)*(Inputs!$F$24-Inputs!$D$24)*(Inputs!$F$24-Inputs!$E$24)))</f>
        <v>0.629007050357491</v>
      </c>
      <c r="N1846" s="81" t="n">
        <f aca="true">RAND()</f>
        <v>0.910579814311497</v>
      </c>
      <c r="O1846" s="83" t="n">
        <f aca="false">IF(N1846&lt;(Inputs!$E$26-Inputs!$D$26)/(Inputs!$F$26-Inputs!$D$26),Inputs!$D$26+SQRT(N1846*(Inputs!$F$26-Inputs!$D$26)*(Inputs!$E$26-Inputs!$D$26)),Inputs!$F$26-SQRT((1-N1846)*(Inputs!$F$26-Inputs!$D$26)*(Inputs!$F$26-Inputs!$E$26)))</f>
        <v>0.723565051399379</v>
      </c>
      <c r="P1846" s="81" t="n">
        <f aca="true">RAND()</f>
        <v>0.632404233637455</v>
      </c>
      <c r="Q1846" s="82" t="n">
        <f aca="false">IF(P1846&lt;(Inputs!$E$27-Inputs!$D$27)/(Inputs!$F$27-Inputs!$D$27),Inputs!$D$27+SQRT(P1846*(Inputs!$F$27-Inputs!$D$27)*(Inputs!$E$27-Inputs!$D$27)),Inputs!$F$27-SQRT((1-P1846)*(Inputs!$F$27-Inputs!$D$27)*(Inputs!$F$27-Inputs!$E$27)))</f>
        <v>97.4931599911108</v>
      </c>
      <c r="R1846" s="81" t="n">
        <f aca="true">RAND()</f>
        <v>0.766697460352728</v>
      </c>
      <c r="S1846" s="82" t="n">
        <f aca="false">IF(R1846&lt;(Inputs!$E$29-Inputs!$D$29)/(Inputs!$F$29-Inputs!$D$29),Inputs!$D$29+SQRT(R1846*(Inputs!$F$29-Inputs!$D$29)*(Inputs!$E$29-Inputs!$D$29)),Inputs!$F$29-SQRT((1-R1846)*(Inputs!$F$29-Inputs!$D$29)*(Inputs!$F$29-Inputs!$E$29)))</f>
        <v>9.49279288984468</v>
      </c>
      <c r="T1846" s="68" t="n">
        <f aca="false">Inputs!$E$9*(1+E1846)+Inputs!$E$5*C1846*(Inputs!$E$11*Inputs!$E$14*(G1846*I1846/Inputs!$E$16+(1-G1846))*K1846+Inputs!$E$23*M1846)*(1+O1846)+Inputs!$E$5*(Q1846+S1846)</f>
        <v>6529.56326508034</v>
      </c>
    </row>
    <row r="1847" customFormat="false" ht="15" hidden="false" customHeight="false" outlineLevel="0" collapsed="false">
      <c r="A1847" s="1" t="n">
        <v>1843</v>
      </c>
      <c r="B1847" s="81" t="n">
        <f aca="true">RAND()</f>
        <v>0.0516040800481846</v>
      </c>
      <c r="C1847" s="82" t="n">
        <f aca="false">ROUND(IF(B1847&lt;(Inputs!$E$8-Inputs!$D$8)/(Inputs!$F$8-Inputs!$D$8),Inputs!$D$8+SQRT(B1847*(Inputs!$F$8-Inputs!$D$8)*(Inputs!$E$8-Inputs!$D$8)),Inputs!$F$8-SQRT((1-B1847)*(Inputs!$F$8-Inputs!$D$8)*(Inputs!$F$8-Inputs!$E$8))),0)</f>
        <v>22</v>
      </c>
      <c r="D1847" s="81" t="n">
        <f aca="true">RAND()</f>
        <v>0.936324529575296</v>
      </c>
      <c r="E1847" s="83" t="n">
        <f aca="false">IF(D1847&lt;(Inputs!$E$10-Inputs!$D$10)/(Inputs!$F$10-Inputs!$D$10),Inputs!$D$10+SQRT(D1847*(Inputs!$F$10-Inputs!$D$10)*(Inputs!$E$10-Inputs!$D$10)),Inputs!$F$10-SQRT((1-D1847)*(Inputs!$F$10-Inputs!$D$10)*(Inputs!$F$10-Inputs!$E$10)))</f>
        <v>0.156293431697957</v>
      </c>
      <c r="F1847" s="81" t="n">
        <f aca="true">RAND()</f>
        <v>0.745457992390276</v>
      </c>
      <c r="G1847" s="83" t="n">
        <f aca="false">IF(F1847&lt;(Inputs!$E$15-Inputs!$D$15)/(Inputs!$F$15-Inputs!$D$15),Inputs!$D$15+SQRT(F1847*(Inputs!$F$15-Inputs!$D$15)*(Inputs!$E$15-Inputs!$D$15)),Inputs!$F$15-SQRT((1-F1847)*(Inputs!$F$15-Inputs!$D$15)*(Inputs!$F$15-Inputs!$E$15)))</f>
        <v>0.728649876298674</v>
      </c>
      <c r="H1847" s="81" t="n">
        <f aca="true">RAND()</f>
        <v>0.485539043890993</v>
      </c>
      <c r="I1847" s="82" t="n">
        <f aca="false">ROUND(IF(H1847&lt;(Inputs!$E$17-Inputs!$D$17)/(Inputs!$F$17-Inputs!$D$17),Inputs!$D$17+SQRT(H1847*(Inputs!$F$17-Inputs!$D$17)*(Inputs!$E$17-Inputs!$D$17)),Inputs!$F$17-SQRT((1-H1847)*(Inputs!$F$17-Inputs!$D$17)*(Inputs!$F$17-Inputs!$E$17))),0)</f>
        <v>106</v>
      </c>
      <c r="J1847" s="81" t="n">
        <f aca="true">RAND()</f>
        <v>0.385644039483438</v>
      </c>
      <c r="K1847" s="83" t="n">
        <f aca="false">IF(J1847&lt;(Inputs!$E$18-Inputs!$D$18)/(Inputs!$F$18-Inputs!$D$18),Inputs!$D$18+SQRT(J1847*(Inputs!$F$18-Inputs!$D$18)*(Inputs!$E$18-Inputs!$D$18)),Inputs!$F$18-SQRT((1-J1847)*(Inputs!$F$18-Inputs!$D$18)*(Inputs!$F$18-Inputs!$E$18)))</f>
        <v>1.01814628201127</v>
      </c>
      <c r="L1847" s="81" t="n">
        <f aca="true">RAND()</f>
        <v>0.0932016156625864</v>
      </c>
      <c r="M1847" s="83" t="n">
        <f aca="false">IF(L1847&lt;(Inputs!$E$24-Inputs!$D$24)/(Inputs!$F$24-Inputs!$D$24),Inputs!$D$24+SQRT(L1847*(Inputs!$F$24-Inputs!$D$24)*(Inputs!$E$24-Inputs!$D$24)),Inputs!$F$24-SQRT((1-L1847)*(Inputs!$F$24-Inputs!$D$24)*(Inputs!$F$24-Inputs!$E$24)))</f>
        <v>0.705755349176817</v>
      </c>
      <c r="N1847" s="81" t="n">
        <f aca="true">RAND()</f>
        <v>0.811274811383549</v>
      </c>
      <c r="O1847" s="83" t="n">
        <f aca="false">IF(N1847&lt;(Inputs!$E$26-Inputs!$D$26)/(Inputs!$F$26-Inputs!$D$26),Inputs!$D$26+SQRT(N1847*(Inputs!$F$26-Inputs!$D$26)*(Inputs!$E$26-Inputs!$D$26)),Inputs!$F$26-SQRT((1-N1847)*(Inputs!$F$26-Inputs!$D$26)*(Inputs!$F$26-Inputs!$E$26)))</f>
        <v>0.679902107024727</v>
      </c>
      <c r="P1847" s="81" t="n">
        <f aca="true">RAND()</f>
        <v>0.336398699064441</v>
      </c>
      <c r="Q1847" s="82" t="n">
        <f aca="false">IF(P1847&lt;(Inputs!$E$27-Inputs!$D$27)/(Inputs!$F$27-Inputs!$D$27),Inputs!$D$27+SQRT(P1847*(Inputs!$F$27-Inputs!$D$27)*(Inputs!$E$27-Inputs!$D$27)),Inputs!$F$27-SQRT((1-P1847)*(Inputs!$F$27-Inputs!$D$27)*(Inputs!$F$27-Inputs!$E$27)))</f>
        <v>79.4520747504458</v>
      </c>
      <c r="R1847" s="81" t="n">
        <f aca="true">RAND()</f>
        <v>0.0877721387044841</v>
      </c>
      <c r="S1847" s="82" t="n">
        <f aca="false">IF(R1847&lt;(Inputs!$E$29-Inputs!$D$29)/(Inputs!$F$29-Inputs!$D$29),Inputs!$D$29+SQRT(R1847*(Inputs!$F$29-Inputs!$D$29)*(Inputs!$E$29-Inputs!$D$29)),Inputs!$F$29-SQRT((1-R1847)*(Inputs!$F$29-Inputs!$D$29)*(Inputs!$F$29-Inputs!$E$29)))</f>
        <v>3.85016577891682</v>
      </c>
      <c r="T1847" s="68" t="n">
        <f aca="false">Inputs!$E$9*(1+E1847)+Inputs!$E$5*C1847*(Inputs!$E$11*Inputs!$E$14*(G1847*I1847/Inputs!$E$16+(1-G1847))*K1847+Inputs!$E$23*M1847)*(1+O1847)+Inputs!$E$5*(Q1847+S1847)</f>
        <v>5886.44508304217</v>
      </c>
    </row>
    <row r="1848" customFormat="false" ht="15" hidden="false" customHeight="false" outlineLevel="0" collapsed="false">
      <c r="A1848" s="1" t="n">
        <v>1844</v>
      </c>
      <c r="B1848" s="81" t="n">
        <f aca="true">RAND()</f>
        <v>0.283806186762498</v>
      </c>
      <c r="C1848" s="82" t="n">
        <f aca="false">ROUND(IF(B1848&lt;(Inputs!$E$8-Inputs!$D$8)/(Inputs!$F$8-Inputs!$D$8),Inputs!$D$8+SQRT(B1848*(Inputs!$F$8-Inputs!$D$8)*(Inputs!$E$8-Inputs!$D$8)),Inputs!$F$8-SQRT((1-B1848)*(Inputs!$F$8-Inputs!$D$8)*(Inputs!$F$8-Inputs!$E$8))),0)</f>
        <v>24</v>
      </c>
      <c r="D1848" s="81" t="n">
        <f aca="true">RAND()</f>
        <v>0.215475453243964</v>
      </c>
      <c r="E1848" s="83" t="n">
        <f aca="false">IF(D1848&lt;(Inputs!$E$10-Inputs!$D$10)/(Inputs!$F$10-Inputs!$D$10),Inputs!$D$10+SQRT(D1848*(Inputs!$F$10-Inputs!$D$10)*(Inputs!$E$10-Inputs!$D$10)),Inputs!$F$10-SQRT((1-D1848)*(Inputs!$F$10-Inputs!$D$10)*(Inputs!$F$10-Inputs!$E$10)))</f>
        <v>0.0464193336061564</v>
      </c>
      <c r="F1848" s="81" t="n">
        <f aca="true">RAND()</f>
        <v>0.179928733257797</v>
      </c>
      <c r="G1848" s="83" t="n">
        <f aca="false">IF(F1848&lt;(Inputs!$E$15-Inputs!$D$15)/(Inputs!$F$15-Inputs!$D$15),Inputs!$D$15+SQRT(F1848*(Inputs!$F$15-Inputs!$D$15)*(Inputs!$E$15-Inputs!$D$15)),Inputs!$F$15-SQRT((1-F1848)*(Inputs!$F$15-Inputs!$D$15)*(Inputs!$F$15-Inputs!$E$15)))</f>
        <v>0.659988121033717</v>
      </c>
      <c r="H1848" s="81" t="n">
        <f aca="true">RAND()</f>
        <v>0.508098753587146</v>
      </c>
      <c r="I1848" s="82" t="n">
        <f aca="false">ROUND(IF(H1848&lt;(Inputs!$E$17-Inputs!$D$17)/(Inputs!$F$17-Inputs!$D$17),Inputs!$D$17+SQRT(H1848*(Inputs!$F$17-Inputs!$D$17)*(Inputs!$E$17-Inputs!$D$17)),Inputs!$F$17-SQRT((1-H1848)*(Inputs!$F$17-Inputs!$D$17)*(Inputs!$F$17-Inputs!$E$17))),0)</f>
        <v>106</v>
      </c>
      <c r="J1848" s="81" t="n">
        <f aca="true">RAND()</f>
        <v>0.838509217418712</v>
      </c>
      <c r="K1848" s="83" t="n">
        <f aca="false">IF(J1848&lt;(Inputs!$E$18-Inputs!$D$18)/(Inputs!$F$18-Inputs!$D$18),Inputs!$D$18+SQRT(J1848*(Inputs!$F$18-Inputs!$D$18)*(Inputs!$E$18-Inputs!$D$18)),Inputs!$F$18-SQRT((1-J1848)*(Inputs!$F$18-Inputs!$D$18)*(Inputs!$F$18-Inputs!$E$18)))</f>
        <v>1.13112845809083</v>
      </c>
      <c r="L1848" s="81" t="n">
        <f aca="true">RAND()</f>
        <v>0.132097352571297</v>
      </c>
      <c r="M1848" s="83" t="n">
        <f aca="false">IF(L1848&lt;(Inputs!$E$24-Inputs!$D$24)/(Inputs!$F$24-Inputs!$D$24),Inputs!$D$24+SQRT(L1848*(Inputs!$F$24-Inputs!$D$24)*(Inputs!$E$24-Inputs!$D$24)),Inputs!$F$24-SQRT((1-L1848)*(Inputs!$F$24-Inputs!$D$24)*(Inputs!$F$24-Inputs!$E$24)))</f>
        <v>0.725903464243664</v>
      </c>
      <c r="N1848" s="81" t="n">
        <f aca="true">RAND()</f>
        <v>0.70462898244421</v>
      </c>
      <c r="O1848" s="83" t="n">
        <f aca="false">IF(N1848&lt;(Inputs!$E$26-Inputs!$D$26)/(Inputs!$F$26-Inputs!$D$26),Inputs!$D$26+SQRT(N1848*(Inputs!$F$26-Inputs!$D$26)*(Inputs!$E$26-Inputs!$D$26)),Inputs!$F$26-SQRT((1-N1848)*(Inputs!$F$26-Inputs!$D$26)*(Inputs!$F$26-Inputs!$E$26)))</f>
        <v>0.644732815890133</v>
      </c>
      <c r="P1848" s="81" t="n">
        <f aca="true">RAND()</f>
        <v>0.378185112017247</v>
      </c>
      <c r="Q1848" s="82" t="n">
        <f aca="false">IF(P1848&lt;(Inputs!$E$27-Inputs!$D$27)/(Inputs!$F$27-Inputs!$D$27),Inputs!$D$27+SQRT(P1848*(Inputs!$F$27-Inputs!$D$27)*(Inputs!$E$27-Inputs!$D$27)),Inputs!$F$27-SQRT((1-P1848)*(Inputs!$F$27-Inputs!$D$27)*(Inputs!$F$27-Inputs!$E$27)))</f>
        <v>81.7093589144849</v>
      </c>
      <c r="R1848" s="81" t="n">
        <f aca="true">RAND()</f>
        <v>0.307339830069657</v>
      </c>
      <c r="S1848" s="82" t="n">
        <f aca="false">IF(R1848&lt;(Inputs!$E$29-Inputs!$D$29)/(Inputs!$F$29-Inputs!$D$29),Inputs!$D$29+SQRT(R1848*(Inputs!$F$29-Inputs!$D$29)*(Inputs!$E$29-Inputs!$D$29)),Inputs!$F$29-SQRT((1-R1848)*(Inputs!$F$29-Inputs!$D$29)*(Inputs!$F$29-Inputs!$E$29)))</f>
        <v>5.51075229056884</v>
      </c>
      <c r="T1848" s="68" t="n">
        <f aca="false">Inputs!$E$9*(1+E1848)+Inputs!$E$5*C1848*(Inputs!$E$11*Inputs!$E$14*(G1848*I1848/Inputs!$E$16+(1-G1848))*K1848+Inputs!$E$23*M1848)*(1+O1848)+Inputs!$E$5*(Q1848+S1848)</f>
        <v>6229.25884617511</v>
      </c>
    </row>
    <row r="1849" customFormat="false" ht="15" hidden="false" customHeight="false" outlineLevel="0" collapsed="false">
      <c r="A1849" s="1" t="n">
        <v>1845</v>
      </c>
      <c r="B1849" s="81" t="n">
        <f aca="true">RAND()</f>
        <v>0.877058905501494</v>
      </c>
      <c r="C1849" s="82" t="n">
        <f aca="false">ROUND(IF(B1849&lt;(Inputs!$E$8-Inputs!$D$8)/(Inputs!$F$8-Inputs!$D$8),Inputs!$D$8+SQRT(B1849*(Inputs!$F$8-Inputs!$D$8)*(Inputs!$E$8-Inputs!$D$8)),Inputs!$F$8-SQRT((1-B1849)*(Inputs!$F$8-Inputs!$D$8)*(Inputs!$F$8-Inputs!$E$8))),0)</f>
        <v>28</v>
      </c>
      <c r="D1849" s="81" t="n">
        <f aca="true">RAND()</f>
        <v>0.124438327949392</v>
      </c>
      <c r="E1849" s="83" t="n">
        <f aca="false">IF(D1849&lt;(Inputs!$E$10-Inputs!$D$10)/(Inputs!$F$10-Inputs!$D$10),Inputs!$D$10+SQRT(D1849*(Inputs!$F$10-Inputs!$D$10)*(Inputs!$E$10-Inputs!$D$10)),Inputs!$F$10-SQRT((1-D1849)*(Inputs!$F$10-Inputs!$D$10)*(Inputs!$F$10-Inputs!$E$10)))</f>
        <v>0.0352758172051892</v>
      </c>
      <c r="F1849" s="81" t="n">
        <f aca="true">RAND()</f>
        <v>0.366532029322038</v>
      </c>
      <c r="G1849" s="83" t="n">
        <f aca="false">IF(F1849&lt;(Inputs!$E$15-Inputs!$D$15)/(Inputs!$F$15-Inputs!$D$15),Inputs!$D$15+SQRT(F1849*(Inputs!$F$15-Inputs!$D$15)*(Inputs!$E$15-Inputs!$D$15)),Inputs!$F$15-SQRT((1-F1849)*(Inputs!$F$15-Inputs!$D$15)*(Inputs!$F$15-Inputs!$E$15)))</f>
        <v>0.685619160159632</v>
      </c>
      <c r="H1849" s="81" t="n">
        <f aca="true">RAND()</f>
        <v>0.644999650107834</v>
      </c>
      <c r="I1849" s="82" t="n">
        <f aca="false">ROUND(IF(H1849&lt;(Inputs!$E$17-Inputs!$D$17)/(Inputs!$F$17-Inputs!$D$17),Inputs!$D$17+SQRT(H1849*(Inputs!$F$17-Inputs!$D$17)*(Inputs!$E$17-Inputs!$D$17)),Inputs!$F$17-SQRT((1-H1849)*(Inputs!$F$17-Inputs!$D$17)*(Inputs!$F$17-Inputs!$E$17))),0)</f>
        <v>108</v>
      </c>
      <c r="J1849" s="81" t="n">
        <f aca="true">RAND()</f>
        <v>0.271367453207383</v>
      </c>
      <c r="K1849" s="83" t="n">
        <f aca="false">IF(J1849&lt;(Inputs!$E$18-Inputs!$D$18)/(Inputs!$F$18-Inputs!$D$18),Inputs!$D$18+SQRT(J1849*(Inputs!$F$18-Inputs!$D$18)*(Inputs!$E$18-Inputs!$D$18)),Inputs!$F$18-SQRT((1-J1849)*(Inputs!$F$18-Inputs!$D$18)*(Inputs!$F$18-Inputs!$E$18)))</f>
        <v>0.99745696928521</v>
      </c>
      <c r="L1849" s="81" t="n">
        <f aca="true">RAND()</f>
        <v>0.0896090870625297</v>
      </c>
      <c r="M1849" s="83" t="n">
        <f aca="false">IF(L1849&lt;(Inputs!$E$24-Inputs!$D$24)/(Inputs!$F$24-Inputs!$D$24),Inputs!$D$24+SQRT(L1849*(Inputs!$F$24-Inputs!$D$24)*(Inputs!$E$24-Inputs!$D$24)),Inputs!$F$24-SQRT((1-L1849)*(Inputs!$F$24-Inputs!$D$24)*(Inputs!$F$24-Inputs!$E$24)))</f>
        <v>0.703697109156927</v>
      </c>
      <c r="N1849" s="81" t="n">
        <f aca="true">RAND()</f>
        <v>0.139575576665218</v>
      </c>
      <c r="O1849" s="83" t="n">
        <f aca="false">IF(N1849&lt;(Inputs!$E$26-Inputs!$D$26)/(Inputs!$F$26-Inputs!$D$26),Inputs!$D$26+SQRT(N1849*(Inputs!$F$26-Inputs!$D$26)*(Inputs!$E$26-Inputs!$D$26)),Inputs!$F$26-SQRT((1-N1849)*(Inputs!$F$26-Inputs!$D$26)*(Inputs!$F$26-Inputs!$E$26)))</f>
        <v>0.452398740011498</v>
      </c>
      <c r="P1849" s="81" t="n">
        <f aca="true">RAND()</f>
        <v>0.515875591663738</v>
      </c>
      <c r="Q1849" s="82" t="n">
        <f aca="false">IF(P1849&lt;(Inputs!$E$27-Inputs!$D$27)/(Inputs!$F$27-Inputs!$D$27),Inputs!$D$27+SQRT(P1849*(Inputs!$F$27-Inputs!$D$27)*(Inputs!$E$27-Inputs!$D$27)),Inputs!$F$27-SQRT((1-P1849)*(Inputs!$F$27-Inputs!$D$27)*(Inputs!$F$27-Inputs!$E$27)))</f>
        <v>89.742775847854</v>
      </c>
      <c r="R1849" s="81" t="n">
        <f aca="true">RAND()</f>
        <v>0.944772576928585</v>
      </c>
      <c r="S1849" s="82" t="n">
        <f aca="false">IF(R1849&lt;(Inputs!$E$29-Inputs!$D$29)/(Inputs!$F$29-Inputs!$D$29),Inputs!$D$29+SQRT(R1849*(Inputs!$F$29-Inputs!$D$29)*(Inputs!$E$29-Inputs!$D$29)),Inputs!$F$29-SQRT((1-R1849)*(Inputs!$F$29-Inputs!$D$29)*(Inputs!$F$29-Inputs!$E$29)))</f>
        <v>12.3205289702473</v>
      </c>
      <c r="T1849" s="68" t="n">
        <f aca="false">Inputs!$E$9*(1+E1849)+Inputs!$E$5*C1849*(Inputs!$E$11*Inputs!$E$14*(G1849*I1849/Inputs!$E$16+(1-G1849))*K1849+Inputs!$E$23*M1849)*(1+O1849)+Inputs!$E$5*(Q1849+S1849)</f>
        <v>6040.63060292975</v>
      </c>
    </row>
    <row r="1850" customFormat="false" ht="15" hidden="false" customHeight="false" outlineLevel="0" collapsed="false">
      <c r="A1850" s="1" t="n">
        <v>1846</v>
      </c>
      <c r="B1850" s="81" t="n">
        <f aca="true">RAND()</f>
        <v>0.188844161365818</v>
      </c>
      <c r="C1850" s="82" t="n">
        <f aca="false">ROUND(IF(B1850&lt;(Inputs!$E$8-Inputs!$D$8)/(Inputs!$F$8-Inputs!$D$8),Inputs!$D$8+SQRT(B1850*(Inputs!$F$8-Inputs!$D$8)*(Inputs!$E$8-Inputs!$D$8)),Inputs!$F$8-SQRT((1-B1850)*(Inputs!$F$8-Inputs!$D$8)*(Inputs!$F$8-Inputs!$E$8))),0)</f>
        <v>23</v>
      </c>
      <c r="D1850" s="81" t="n">
        <f aca="true">RAND()</f>
        <v>0.412737661219271</v>
      </c>
      <c r="E1850" s="83" t="n">
        <f aca="false">IF(D1850&lt;(Inputs!$E$10-Inputs!$D$10)/(Inputs!$F$10-Inputs!$D$10),Inputs!$D$10+SQRT(D1850*(Inputs!$F$10-Inputs!$D$10)*(Inputs!$E$10-Inputs!$D$10)),Inputs!$F$10-SQRT((1-D1850)*(Inputs!$F$10-Inputs!$D$10)*(Inputs!$F$10-Inputs!$E$10)))</f>
        <v>0.0672676747607356</v>
      </c>
      <c r="F1850" s="81" t="n">
        <f aca="true">RAND()</f>
        <v>0.922991979163645</v>
      </c>
      <c r="G1850" s="83" t="n">
        <f aca="false">IF(F1850&lt;(Inputs!$E$15-Inputs!$D$15)/(Inputs!$F$15-Inputs!$D$15),Inputs!$D$15+SQRT(F1850*(Inputs!$F$15-Inputs!$D$15)*(Inputs!$E$15-Inputs!$D$15)),Inputs!$F$15-SQRT((1-F1850)*(Inputs!$F$15-Inputs!$D$15)*(Inputs!$F$15-Inputs!$E$15)))</f>
        <v>0.760755122414166</v>
      </c>
      <c r="H1850" s="81" t="n">
        <f aca="true">RAND()</f>
        <v>0.649888615529317</v>
      </c>
      <c r="I1850" s="82" t="n">
        <f aca="false">ROUND(IF(H1850&lt;(Inputs!$E$17-Inputs!$D$17)/(Inputs!$F$17-Inputs!$D$17),Inputs!$D$17+SQRT(H1850*(Inputs!$F$17-Inputs!$D$17)*(Inputs!$E$17-Inputs!$D$17)),Inputs!$F$17-SQRT((1-H1850)*(Inputs!$F$17-Inputs!$D$17)*(Inputs!$F$17-Inputs!$E$17))),0)</f>
        <v>108</v>
      </c>
      <c r="J1850" s="81" t="n">
        <f aca="true">RAND()</f>
        <v>0.0795927780163186</v>
      </c>
      <c r="K1850" s="83" t="n">
        <f aca="false">IF(J1850&lt;(Inputs!$E$18-Inputs!$D$18)/(Inputs!$F$18-Inputs!$D$18),Inputs!$D$18+SQRT(J1850*(Inputs!$F$18-Inputs!$D$18)*(Inputs!$E$18-Inputs!$D$18)),Inputs!$F$18-SQRT((1-J1850)*(Inputs!$F$18-Inputs!$D$18)*(Inputs!$F$18-Inputs!$E$18)))</f>
        <v>0.952780178387072</v>
      </c>
      <c r="L1850" s="81" t="n">
        <f aca="true">RAND()</f>
        <v>0.226923323575035</v>
      </c>
      <c r="M1850" s="83" t="n">
        <f aca="false">IF(L1850&lt;(Inputs!$E$24-Inputs!$D$24)/(Inputs!$F$24-Inputs!$D$24),Inputs!$D$24+SQRT(L1850*(Inputs!$F$24-Inputs!$D$24)*(Inputs!$E$24-Inputs!$D$24)),Inputs!$F$24-SQRT((1-L1850)*(Inputs!$F$24-Inputs!$D$24)*(Inputs!$F$24-Inputs!$E$24)))</f>
        <v>0.765017571273499</v>
      </c>
      <c r="N1850" s="81" t="n">
        <f aca="true">RAND()</f>
        <v>0.383377416824436</v>
      </c>
      <c r="O1850" s="83" t="n">
        <f aca="false">IF(N1850&lt;(Inputs!$E$26-Inputs!$D$26)/(Inputs!$F$26-Inputs!$D$26),Inputs!$D$26+SQRT(N1850*(Inputs!$F$26-Inputs!$D$26)*(Inputs!$E$26-Inputs!$D$26)),Inputs!$F$26-SQRT((1-N1850)*(Inputs!$F$26-Inputs!$D$26)*(Inputs!$F$26-Inputs!$E$26)))</f>
        <v>0.552574745688452</v>
      </c>
      <c r="P1850" s="81" t="n">
        <f aca="true">RAND()</f>
        <v>0.142726937066391</v>
      </c>
      <c r="Q1850" s="82" t="n">
        <f aca="false">IF(P1850&lt;(Inputs!$E$27-Inputs!$D$27)/(Inputs!$F$27-Inputs!$D$27),Inputs!$D$27+SQRT(P1850*(Inputs!$F$27-Inputs!$D$27)*(Inputs!$E$27-Inputs!$D$27)),Inputs!$F$27-SQRT((1-P1850)*(Inputs!$F$27-Inputs!$D$27)*(Inputs!$F$27-Inputs!$E$27)))</f>
        <v>68.8896093836262</v>
      </c>
      <c r="R1850" s="81" t="n">
        <f aca="true">RAND()</f>
        <v>0.29761853387636</v>
      </c>
      <c r="S1850" s="82" t="n">
        <f aca="false">IF(R1850&lt;(Inputs!$E$29-Inputs!$D$29)/(Inputs!$F$29-Inputs!$D$29),Inputs!$D$29+SQRT(R1850*(Inputs!$F$29-Inputs!$D$29)*(Inputs!$E$29-Inputs!$D$29)),Inputs!$F$29-SQRT((1-R1850)*(Inputs!$F$29-Inputs!$D$29)*(Inputs!$F$29-Inputs!$E$29)))</f>
        <v>5.44439480744033</v>
      </c>
      <c r="T1850" s="68" t="n">
        <f aca="false">Inputs!$E$9*(1+E1850)+Inputs!$E$5*C1850*(Inputs!$E$11*Inputs!$E$14*(G1850*I1850/Inputs!$E$16+(1-G1850))*K1850+Inputs!$E$23*M1850)*(1+O1850)+Inputs!$E$5*(Q1850+S1850)</f>
        <v>5484.13464048598</v>
      </c>
    </row>
    <row r="1851" customFormat="false" ht="15" hidden="false" customHeight="false" outlineLevel="0" collapsed="false">
      <c r="A1851" s="1" t="n">
        <v>1847</v>
      </c>
      <c r="B1851" s="81" t="n">
        <f aca="true">RAND()</f>
        <v>0.915958389154232</v>
      </c>
      <c r="C1851" s="82" t="n">
        <f aca="false">ROUND(IF(B1851&lt;(Inputs!$E$8-Inputs!$D$8)/(Inputs!$F$8-Inputs!$D$8),Inputs!$D$8+SQRT(B1851*(Inputs!$F$8-Inputs!$D$8)*(Inputs!$E$8-Inputs!$D$8)),Inputs!$F$8-SQRT((1-B1851)*(Inputs!$F$8-Inputs!$D$8)*(Inputs!$F$8-Inputs!$E$8))),0)</f>
        <v>28</v>
      </c>
      <c r="D1851" s="81" t="n">
        <f aca="true">RAND()</f>
        <v>0.907802760414013</v>
      </c>
      <c r="E1851" s="83" t="n">
        <f aca="false">IF(D1851&lt;(Inputs!$E$10-Inputs!$D$10)/(Inputs!$F$10-Inputs!$D$10),Inputs!$D$10+SQRT(D1851*(Inputs!$F$10-Inputs!$D$10)*(Inputs!$E$10-Inputs!$D$10)),Inputs!$F$10-SQRT((1-D1851)*(Inputs!$F$10-Inputs!$D$10)*(Inputs!$F$10-Inputs!$E$10)))</f>
        <v>0.147408012135121</v>
      </c>
      <c r="F1851" s="81" t="n">
        <f aca="true">RAND()</f>
        <v>0.839596682859388</v>
      </c>
      <c r="G1851" s="83" t="n">
        <f aca="false">IF(F1851&lt;(Inputs!$E$15-Inputs!$D$15)/(Inputs!$F$15-Inputs!$D$15),Inputs!$D$15+SQRT(F1851*(Inputs!$F$15-Inputs!$D$15)*(Inputs!$E$15-Inputs!$D$15)),Inputs!$F$15-SQRT((1-F1851)*(Inputs!$F$15-Inputs!$D$15)*(Inputs!$F$15-Inputs!$E$15)))</f>
        <v>0.743360205307468</v>
      </c>
      <c r="H1851" s="81" t="n">
        <f aca="true">RAND()</f>
        <v>0.389968504068663</v>
      </c>
      <c r="I1851" s="82" t="n">
        <f aca="false">ROUND(IF(H1851&lt;(Inputs!$E$17-Inputs!$D$17)/(Inputs!$F$17-Inputs!$D$17),Inputs!$D$17+SQRT(H1851*(Inputs!$F$17-Inputs!$D$17)*(Inputs!$E$17-Inputs!$D$17)),Inputs!$F$17-SQRT((1-H1851)*(Inputs!$F$17-Inputs!$D$17)*(Inputs!$F$17-Inputs!$E$17))),0)</f>
        <v>105</v>
      </c>
      <c r="J1851" s="81" t="n">
        <f aca="true">RAND()</f>
        <v>0.561658697303962</v>
      </c>
      <c r="K1851" s="83" t="n">
        <f aca="false">IF(J1851&lt;(Inputs!$E$18-Inputs!$D$18)/(Inputs!$F$18-Inputs!$D$18),Inputs!$D$18+SQRT(J1851*(Inputs!$F$18-Inputs!$D$18)*(Inputs!$E$18-Inputs!$D$18)),Inputs!$F$18-SQRT((1-J1851)*(Inputs!$F$18-Inputs!$D$18)*(Inputs!$F$18-Inputs!$E$18)))</f>
        <v>1.05415602131824</v>
      </c>
      <c r="L1851" s="81" t="n">
        <f aca="true">RAND()</f>
        <v>0.349487297848616</v>
      </c>
      <c r="M1851" s="83" t="n">
        <f aca="false">IF(L1851&lt;(Inputs!$E$24-Inputs!$D$24)/(Inputs!$F$24-Inputs!$D$24),Inputs!$D$24+SQRT(L1851*(Inputs!$F$24-Inputs!$D$24)*(Inputs!$E$24-Inputs!$D$24)),Inputs!$F$24-SQRT((1-L1851)*(Inputs!$F$24-Inputs!$D$24)*(Inputs!$F$24-Inputs!$E$24)))</f>
        <v>0.804875907446367</v>
      </c>
      <c r="N1851" s="81" t="n">
        <f aca="true">RAND()</f>
        <v>0.792556077276888</v>
      </c>
      <c r="O1851" s="83" t="n">
        <f aca="false">IF(N1851&lt;(Inputs!$E$26-Inputs!$D$26)/(Inputs!$F$26-Inputs!$D$26),Inputs!$D$26+SQRT(N1851*(Inputs!$F$26-Inputs!$D$26)*(Inputs!$E$26-Inputs!$D$26)),Inputs!$F$26-SQRT((1-N1851)*(Inputs!$F$26-Inputs!$D$26)*(Inputs!$F$26-Inputs!$E$26)))</f>
        <v>0.673118524097817</v>
      </c>
      <c r="P1851" s="81" t="n">
        <f aca="true">RAND()</f>
        <v>0.93565182120544</v>
      </c>
      <c r="Q1851" s="82" t="n">
        <f aca="false">IF(P1851&lt;(Inputs!$E$27-Inputs!$D$27)/(Inputs!$F$27-Inputs!$D$27),Inputs!$D$27+SQRT(P1851*(Inputs!$F$27-Inputs!$D$27)*(Inputs!$E$27-Inputs!$D$27)),Inputs!$F$27-SQRT((1-P1851)*(Inputs!$F$27-Inputs!$D$27)*(Inputs!$F$27-Inputs!$E$27)))</f>
        <v>128.031583103027</v>
      </c>
      <c r="R1851" s="81" t="n">
        <f aca="true">RAND()</f>
        <v>0.7005777011877</v>
      </c>
      <c r="S1851" s="82" t="n">
        <f aca="false">IF(R1851&lt;(Inputs!$E$29-Inputs!$D$29)/(Inputs!$F$29-Inputs!$D$29),Inputs!$D$29+SQRT(R1851*(Inputs!$F$29-Inputs!$D$29)*(Inputs!$E$29-Inputs!$D$29)),Inputs!$F$29-SQRT((1-R1851)*(Inputs!$F$29-Inputs!$D$29)*(Inputs!$F$29-Inputs!$E$29)))</f>
        <v>8.76101780371197</v>
      </c>
      <c r="T1851" s="68" t="n">
        <f aca="false">Inputs!$E$9*(1+E1851)+Inputs!$E$5*C1851*(Inputs!$E$11*Inputs!$E$14*(G1851*I1851/Inputs!$E$16+(1-G1851))*K1851+Inputs!$E$23*M1851)*(1+O1851)+Inputs!$E$5*(Q1851+S1851)</f>
        <v>7133.20397722849</v>
      </c>
    </row>
    <row r="1852" customFormat="false" ht="15" hidden="false" customHeight="false" outlineLevel="0" collapsed="false">
      <c r="A1852" s="1" t="n">
        <v>1848</v>
      </c>
      <c r="B1852" s="81" t="n">
        <f aca="true">RAND()</f>
        <v>0.240276933867679</v>
      </c>
      <c r="C1852" s="82" t="n">
        <f aca="false">ROUND(IF(B1852&lt;(Inputs!$E$8-Inputs!$D$8)/(Inputs!$F$8-Inputs!$D$8),Inputs!$D$8+SQRT(B1852*(Inputs!$F$8-Inputs!$D$8)*(Inputs!$E$8-Inputs!$D$8)),Inputs!$F$8-SQRT((1-B1852)*(Inputs!$F$8-Inputs!$D$8)*(Inputs!$F$8-Inputs!$E$8))),0)</f>
        <v>23</v>
      </c>
      <c r="D1852" s="81" t="n">
        <f aca="true">RAND()</f>
        <v>0.0618957708706854</v>
      </c>
      <c r="E1852" s="83" t="n">
        <f aca="false">IF(D1852&lt;(Inputs!$E$10-Inputs!$D$10)/(Inputs!$F$10-Inputs!$D$10),Inputs!$D$10+SQRT(D1852*(Inputs!$F$10-Inputs!$D$10)*(Inputs!$E$10-Inputs!$D$10)),Inputs!$F$10-SQRT((1-D1852)*(Inputs!$F$10-Inputs!$D$10)*(Inputs!$F$10-Inputs!$E$10)))</f>
        <v>0.0248788606794374</v>
      </c>
      <c r="F1852" s="81" t="n">
        <f aca="true">RAND()</f>
        <v>0.36677902662153</v>
      </c>
      <c r="G1852" s="83" t="n">
        <f aca="false">IF(F1852&lt;(Inputs!$E$15-Inputs!$D$15)/(Inputs!$F$15-Inputs!$D$15),Inputs!$D$15+SQRT(F1852*(Inputs!$F$15-Inputs!$D$15)*(Inputs!$E$15-Inputs!$D$15)),Inputs!$F$15-SQRT((1-F1852)*(Inputs!$F$15-Inputs!$D$15)*(Inputs!$F$15-Inputs!$E$15)))</f>
        <v>0.685648003668682</v>
      </c>
      <c r="H1852" s="81" t="n">
        <f aca="true">RAND()</f>
        <v>0.66191298980147</v>
      </c>
      <c r="I1852" s="82" t="n">
        <f aca="false">ROUND(IF(H1852&lt;(Inputs!$E$17-Inputs!$D$17)/(Inputs!$F$17-Inputs!$D$17),Inputs!$D$17+SQRT(H1852*(Inputs!$F$17-Inputs!$D$17)*(Inputs!$E$17-Inputs!$D$17)),Inputs!$F$17-SQRT((1-H1852)*(Inputs!$F$17-Inputs!$D$17)*(Inputs!$F$17-Inputs!$E$17))),0)</f>
        <v>108</v>
      </c>
      <c r="J1852" s="81" t="n">
        <f aca="true">RAND()</f>
        <v>0.808230313905192</v>
      </c>
      <c r="K1852" s="83" t="n">
        <f aca="false">IF(J1852&lt;(Inputs!$E$18-Inputs!$D$18)/(Inputs!$F$18-Inputs!$D$18),Inputs!$D$18+SQRT(J1852*(Inputs!$F$18-Inputs!$D$18)*(Inputs!$E$18-Inputs!$D$18)),Inputs!$F$18-SQRT((1-J1852)*(Inputs!$F$18-Inputs!$D$18)*(Inputs!$F$18-Inputs!$E$18)))</f>
        <v>1.12046294918713</v>
      </c>
      <c r="L1852" s="81" t="n">
        <f aca="true">RAND()</f>
        <v>0.854935298265212</v>
      </c>
      <c r="M1852" s="83" t="n">
        <f aca="false">IF(L1852&lt;(Inputs!$E$24-Inputs!$D$24)/(Inputs!$F$24-Inputs!$D$24),Inputs!$D$24+SQRT(L1852*(Inputs!$F$24-Inputs!$D$24)*(Inputs!$E$24-Inputs!$D$24)),Inputs!$F$24-SQRT((1-L1852)*(Inputs!$F$24-Inputs!$D$24)*(Inputs!$F$24-Inputs!$E$24)))</f>
        <v>1.01341080305562</v>
      </c>
      <c r="N1852" s="81" t="n">
        <f aca="true">RAND()</f>
        <v>0.819284561928057</v>
      </c>
      <c r="O1852" s="83" t="n">
        <f aca="false">IF(N1852&lt;(Inputs!$E$26-Inputs!$D$26)/(Inputs!$F$26-Inputs!$D$26),Inputs!$D$26+SQRT(N1852*(Inputs!$F$26-Inputs!$D$26)*(Inputs!$E$26-Inputs!$D$26)),Inputs!$F$26-SQRT((1-N1852)*(Inputs!$F$26-Inputs!$D$26)*(Inputs!$F$26-Inputs!$E$26)))</f>
        <v>0.682907310335372</v>
      </c>
      <c r="P1852" s="81" t="n">
        <f aca="true">RAND()</f>
        <v>0.665672670257042</v>
      </c>
      <c r="Q1852" s="82" t="n">
        <f aca="false">IF(P1852&lt;(Inputs!$E$27-Inputs!$D$27)/(Inputs!$F$27-Inputs!$D$27),Inputs!$D$27+SQRT(P1852*(Inputs!$F$27-Inputs!$D$27)*(Inputs!$E$27-Inputs!$D$27)),Inputs!$F$27-SQRT((1-P1852)*(Inputs!$F$27-Inputs!$D$27)*(Inputs!$F$27-Inputs!$E$27)))</f>
        <v>99.9255057631913</v>
      </c>
      <c r="R1852" s="81" t="n">
        <f aca="true">RAND()</f>
        <v>0.597809998165612</v>
      </c>
      <c r="S1852" s="82" t="n">
        <f aca="false">IF(R1852&lt;(Inputs!$E$29-Inputs!$D$29)/(Inputs!$F$29-Inputs!$D$29),Inputs!$D$29+SQRT(R1852*(Inputs!$F$29-Inputs!$D$29)*(Inputs!$E$29-Inputs!$D$29)),Inputs!$F$29-SQRT((1-R1852)*(Inputs!$F$29-Inputs!$D$29)*(Inputs!$F$29-Inputs!$E$29)))</f>
        <v>7.76918398529804</v>
      </c>
      <c r="T1852" s="68" t="n">
        <f aca="false">Inputs!$E$9*(1+E1852)+Inputs!$E$5*C1852*(Inputs!$E$11*Inputs!$E$14*(G1852*I1852/Inputs!$E$16+(1-G1852))*K1852+Inputs!$E$23*M1852)*(1+O1852)+Inputs!$E$5*(Q1852+S1852)</f>
        <v>6578.50928027104</v>
      </c>
    </row>
    <row r="1853" customFormat="false" ht="15" hidden="false" customHeight="false" outlineLevel="0" collapsed="false">
      <c r="A1853" s="1" t="n">
        <v>1849</v>
      </c>
      <c r="B1853" s="81" t="n">
        <f aca="true">RAND()</f>
        <v>0.0333219522949831</v>
      </c>
      <c r="C1853" s="82" t="n">
        <f aca="false">ROUND(IF(B1853&lt;(Inputs!$E$8-Inputs!$D$8)/(Inputs!$F$8-Inputs!$D$8),Inputs!$D$8+SQRT(B1853*(Inputs!$F$8-Inputs!$D$8)*(Inputs!$E$8-Inputs!$D$8)),Inputs!$F$8-SQRT((1-B1853)*(Inputs!$F$8-Inputs!$D$8)*(Inputs!$F$8-Inputs!$E$8))),0)</f>
        <v>21</v>
      </c>
      <c r="D1853" s="81" t="n">
        <f aca="true">RAND()</f>
        <v>0.946780801682213</v>
      </c>
      <c r="E1853" s="83" t="n">
        <f aca="false">IF(D1853&lt;(Inputs!$E$10-Inputs!$D$10)/(Inputs!$F$10-Inputs!$D$10),Inputs!$D$10+SQRT(D1853*(Inputs!$F$10-Inputs!$D$10)*(Inputs!$E$10-Inputs!$D$10)),Inputs!$F$10-SQRT((1-D1853)*(Inputs!$F$10-Inputs!$D$10)*(Inputs!$F$10-Inputs!$E$10)))</f>
        <v>0.16004282355404</v>
      </c>
      <c r="F1853" s="81" t="n">
        <f aca="true">RAND()</f>
        <v>0.831650810229586</v>
      </c>
      <c r="G1853" s="83" t="n">
        <f aca="false">IF(F1853&lt;(Inputs!$E$15-Inputs!$D$15)/(Inputs!$F$15-Inputs!$D$15),Inputs!$D$15+SQRT(F1853*(Inputs!$F$15-Inputs!$D$15)*(Inputs!$E$15-Inputs!$D$15)),Inputs!$F$15-SQRT((1-F1853)*(Inputs!$F$15-Inputs!$D$15)*(Inputs!$F$15-Inputs!$E$15)))</f>
        <v>0.74197428332706</v>
      </c>
      <c r="H1853" s="81" t="n">
        <f aca="true">RAND()</f>
        <v>0.570380539739769</v>
      </c>
      <c r="I1853" s="82" t="n">
        <f aca="false">ROUND(IF(H1853&lt;(Inputs!$E$17-Inputs!$D$17)/(Inputs!$F$17-Inputs!$D$17),Inputs!$D$17+SQRT(H1853*(Inputs!$F$17-Inputs!$D$17)*(Inputs!$E$17-Inputs!$D$17)),Inputs!$F$17-SQRT((1-H1853)*(Inputs!$F$17-Inputs!$D$17)*(Inputs!$F$17-Inputs!$E$17))),0)</f>
        <v>107</v>
      </c>
      <c r="J1853" s="81" t="n">
        <f aca="true">RAND()</f>
        <v>0.072049551724196</v>
      </c>
      <c r="K1853" s="83" t="n">
        <f aca="false">IF(J1853&lt;(Inputs!$E$18-Inputs!$D$18)/(Inputs!$F$18-Inputs!$D$18),Inputs!$D$18+SQRT(J1853*(Inputs!$F$18-Inputs!$D$18)*(Inputs!$E$18-Inputs!$D$18)),Inputs!$F$18-SQRT((1-J1853)*(Inputs!$F$18-Inputs!$D$18)*(Inputs!$F$18-Inputs!$E$18)))</f>
        <v>0.950216872765505</v>
      </c>
      <c r="L1853" s="81" t="n">
        <f aca="true">RAND()</f>
        <v>0.726656097216076</v>
      </c>
      <c r="M1853" s="83" t="n">
        <f aca="false">IF(L1853&lt;(Inputs!$E$24-Inputs!$D$24)/(Inputs!$F$24-Inputs!$D$24),Inputs!$D$24+SQRT(L1853*(Inputs!$F$24-Inputs!$D$24)*(Inputs!$E$24-Inputs!$D$24)),Inputs!$F$24-SQRT((1-L1853)*(Inputs!$F$24-Inputs!$D$24)*(Inputs!$F$24-Inputs!$E$24)))</f>
        <v>0.943870078537977</v>
      </c>
      <c r="N1853" s="81" t="n">
        <f aca="true">RAND()</f>
        <v>0.617690241494946</v>
      </c>
      <c r="O1853" s="83" t="n">
        <f aca="false">IF(N1853&lt;(Inputs!$E$26-Inputs!$D$26)/(Inputs!$F$26-Inputs!$D$26),Inputs!$D$26+SQRT(N1853*(Inputs!$F$26-Inputs!$D$26)*(Inputs!$E$26-Inputs!$D$26)),Inputs!$F$26-SQRT((1-N1853)*(Inputs!$F$26-Inputs!$D$26)*(Inputs!$F$26-Inputs!$E$26)))</f>
        <v>0.620600363880659</v>
      </c>
      <c r="P1853" s="81" t="n">
        <f aca="true">RAND()</f>
        <v>0.149355112944018</v>
      </c>
      <c r="Q1853" s="82" t="n">
        <f aca="false">IF(P1853&lt;(Inputs!$E$27-Inputs!$D$27)/(Inputs!$F$27-Inputs!$D$27),Inputs!$D$27+SQRT(P1853*(Inputs!$F$27-Inputs!$D$27)*(Inputs!$E$27-Inputs!$D$27)),Inputs!$F$27-SQRT((1-P1853)*(Inputs!$F$27-Inputs!$D$27)*(Inputs!$F$27-Inputs!$E$27)))</f>
        <v>69.3232446126432</v>
      </c>
      <c r="R1853" s="81" t="n">
        <f aca="true">RAND()</f>
        <v>0.800286929718252</v>
      </c>
      <c r="S1853" s="82" t="n">
        <f aca="false">IF(R1853&lt;(Inputs!$E$29-Inputs!$D$29)/(Inputs!$F$29-Inputs!$D$29),Inputs!$D$29+SQRT(R1853*(Inputs!$F$29-Inputs!$D$29)*(Inputs!$E$29-Inputs!$D$29)),Inputs!$F$29-SQRT((1-R1853)*(Inputs!$F$29-Inputs!$D$29)*(Inputs!$F$29-Inputs!$E$29)))</f>
        <v>9.9046394497909</v>
      </c>
      <c r="T1853" s="68" t="n">
        <f aca="false">Inputs!$E$9*(1+E1853)+Inputs!$E$5*C1853*(Inputs!$E$11*Inputs!$E$14*(G1853*I1853/Inputs!$E$16+(1-G1853))*K1853+Inputs!$E$23*M1853)*(1+O1853)+Inputs!$E$5*(Q1853+S1853)</f>
        <v>5804.80477914734</v>
      </c>
    </row>
    <row r="1854" customFormat="false" ht="15" hidden="false" customHeight="false" outlineLevel="0" collapsed="false">
      <c r="A1854" s="1" t="n">
        <v>1850</v>
      </c>
      <c r="B1854" s="81" t="n">
        <f aca="true">RAND()</f>
        <v>0.116357346584881</v>
      </c>
      <c r="C1854" s="82" t="n">
        <f aca="false">ROUND(IF(B1854&lt;(Inputs!$E$8-Inputs!$D$8)/(Inputs!$F$8-Inputs!$D$8),Inputs!$D$8+SQRT(B1854*(Inputs!$F$8-Inputs!$D$8)*(Inputs!$E$8-Inputs!$D$8)),Inputs!$F$8-SQRT((1-B1854)*(Inputs!$F$8-Inputs!$D$8)*(Inputs!$F$8-Inputs!$E$8))),0)</f>
        <v>22</v>
      </c>
      <c r="D1854" s="81" t="n">
        <f aca="true">RAND()</f>
        <v>0.694363240432602</v>
      </c>
      <c r="E1854" s="83" t="n">
        <f aca="false">IF(D1854&lt;(Inputs!$E$10-Inputs!$D$10)/(Inputs!$F$10-Inputs!$D$10),Inputs!$D$10+SQRT(D1854*(Inputs!$F$10-Inputs!$D$10)*(Inputs!$E$10-Inputs!$D$10)),Inputs!$F$10-SQRT((1-D1854)*(Inputs!$F$10-Inputs!$D$10)*(Inputs!$F$10-Inputs!$E$10)))</f>
        <v>0.104244567845882</v>
      </c>
      <c r="F1854" s="81" t="n">
        <f aca="true">RAND()</f>
        <v>0.841504391634187</v>
      </c>
      <c r="G1854" s="83" t="n">
        <f aca="false">IF(F1854&lt;(Inputs!$E$15-Inputs!$D$15)/(Inputs!$F$15-Inputs!$D$15),Inputs!$D$15+SQRT(F1854*(Inputs!$F$15-Inputs!$D$15)*(Inputs!$E$15-Inputs!$D$15)),Inputs!$F$15-SQRT((1-F1854)*(Inputs!$F$15-Inputs!$D$15)*(Inputs!$F$15-Inputs!$E$15)))</f>
        <v>0.743698026967821</v>
      </c>
      <c r="H1854" s="81" t="n">
        <f aca="true">RAND()</f>
        <v>0.944306708966576</v>
      </c>
      <c r="I1854" s="82" t="n">
        <f aca="false">ROUND(IF(H1854&lt;(Inputs!$E$17-Inputs!$D$17)/(Inputs!$F$17-Inputs!$D$17),Inputs!$D$17+SQRT(H1854*(Inputs!$F$17-Inputs!$D$17)*(Inputs!$E$17-Inputs!$D$17)),Inputs!$F$17-SQRT((1-H1854)*(Inputs!$F$17-Inputs!$D$17)*(Inputs!$F$17-Inputs!$E$17))),0)</f>
        <v>112</v>
      </c>
      <c r="J1854" s="81" t="n">
        <f aca="true">RAND()</f>
        <v>0.0612036132835495</v>
      </c>
      <c r="K1854" s="83" t="n">
        <f aca="false">IF(J1854&lt;(Inputs!$E$18-Inputs!$D$18)/(Inputs!$F$18-Inputs!$D$18),Inputs!$D$18+SQRT(J1854*(Inputs!$F$18-Inputs!$D$18)*(Inputs!$E$18-Inputs!$D$18)),Inputs!$F$18-SQRT((1-J1854)*(Inputs!$F$18-Inputs!$D$18)*(Inputs!$F$18-Inputs!$E$18)))</f>
        <v>0.946283112092039</v>
      </c>
      <c r="L1854" s="81" t="n">
        <f aca="true">RAND()</f>
        <v>0.386874110534519</v>
      </c>
      <c r="M1854" s="83" t="n">
        <f aca="false">IF(L1854&lt;(Inputs!$E$24-Inputs!$D$24)/(Inputs!$F$24-Inputs!$D$24),Inputs!$D$24+SQRT(L1854*(Inputs!$F$24-Inputs!$D$24)*(Inputs!$E$24-Inputs!$D$24)),Inputs!$F$24-SQRT((1-L1854)*(Inputs!$F$24-Inputs!$D$24)*(Inputs!$F$24-Inputs!$E$24)))</f>
        <v>0.816398366176947</v>
      </c>
      <c r="N1854" s="81" t="n">
        <f aca="true">RAND()</f>
        <v>0.670993381644249</v>
      </c>
      <c r="O1854" s="83" t="n">
        <f aca="false">IF(N1854&lt;(Inputs!$E$26-Inputs!$D$26)/(Inputs!$F$26-Inputs!$D$26),Inputs!$D$26+SQRT(N1854*(Inputs!$F$26-Inputs!$D$26)*(Inputs!$E$26-Inputs!$D$26)),Inputs!$F$26-SQRT((1-N1854)*(Inputs!$F$26-Inputs!$D$26)*(Inputs!$F$26-Inputs!$E$26)))</f>
        <v>0.635022465393772</v>
      </c>
      <c r="P1854" s="81" t="n">
        <f aca="true">RAND()</f>
        <v>0.748945173025934</v>
      </c>
      <c r="Q1854" s="82" t="n">
        <f aca="false">IF(P1854&lt;(Inputs!$E$27-Inputs!$D$27)/(Inputs!$F$27-Inputs!$D$27),Inputs!$D$27+SQRT(P1854*(Inputs!$F$27-Inputs!$D$27)*(Inputs!$E$27-Inputs!$D$27)),Inputs!$F$27-SQRT((1-P1854)*(Inputs!$F$27-Inputs!$D$27)*(Inputs!$F$27-Inputs!$E$27)))</f>
        <v>106.607475271592</v>
      </c>
      <c r="R1854" s="81" t="n">
        <f aca="true">RAND()</f>
        <v>0.566071287568408</v>
      </c>
      <c r="S1854" s="82" t="n">
        <f aca="false">IF(R1854&lt;(Inputs!$E$29-Inputs!$D$29)/(Inputs!$F$29-Inputs!$D$29),Inputs!$D$29+SQRT(R1854*(Inputs!$F$29-Inputs!$D$29)*(Inputs!$E$29-Inputs!$D$29)),Inputs!$F$29-SQRT((1-R1854)*(Inputs!$F$29-Inputs!$D$29)*(Inputs!$F$29-Inputs!$E$29)))</f>
        <v>7.48929213614942</v>
      </c>
      <c r="T1854" s="68" t="n">
        <f aca="false">Inputs!$E$9*(1+E1854)+Inputs!$E$5*C1854*(Inputs!$E$11*Inputs!$E$14*(G1854*I1854/Inputs!$E$16+(1-G1854))*K1854+Inputs!$E$23*M1854)*(1+O1854)+Inputs!$E$5*(Q1854+S1854)</f>
        <v>5898.87806801974</v>
      </c>
    </row>
    <row r="1855" customFormat="false" ht="15" hidden="false" customHeight="false" outlineLevel="0" collapsed="false">
      <c r="A1855" s="1" t="n">
        <v>1851</v>
      </c>
      <c r="B1855" s="81" t="n">
        <f aca="true">RAND()</f>
        <v>0.19211101039621</v>
      </c>
      <c r="C1855" s="82" t="n">
        <f aca="false">ROUND(IF(B1855&lt;(Inputs!$E$8-Inputs!$D$8)/(Inputs!$F$8-Inputs!$D$8),Inputs!$D$8+SQRT(B1855*(Inputs!$F$8-Inputs!$D$8)*(Inputs!$E$8-Inputs!$D$8)),Inputs!$F$8-SQRT((1-B1855)*(Inputs!$F$8-Inputs!$D$8)*(Inputs!$F$8-Inputs!$E$8))),0)</f>
        <v>23</v>
      </c>
      <c r="D1855" s="81" t="n">
        <f aca="true">RAND()</f>
        <v>0.0371202139408239</v>
      </c>
      <c r="E1855" s="83" t="n">
        <f aca="false">IF(D1855&lt;(Inputs!$E$10-Inputs!$D$10)/(Inputs!$F$10-Inputs!$D$10),Inputs!$D$10+SQRT(D1855*(Inputs!$F$10-Inputs!$D$10)*(Inputs!$E$10-Inputs!$D$10)),Inputs!$F$10-SQRT((1-D1855)*(Inputs!$F$10-Inputs!$D$10)*(Inputs!$F$10-Inputs!$E$10)))</f>
        <v>0.0192666068472951</v>
      </c>
      <c r="F1855" s="81" t="n">
        <f aca="true">RAND()</f>
        <v>0.647139783741341</v>
      </c>
      <c r="G1855" s="83" t="n">
        <f aca="false">IF(F1855&lt;(Inputs!$E$15-Inputs!$D$15)/(Inputs!$F$15-Inputs!$D$15),Inputs!$D$15+SQRT(F1855*(Inputs!$F$15-Inputs!$D$15)*(Inputs!$E$15-Inputs!$D$15)),Inputs!$F$15-SQRT((1-F1855)*(Inputs!$F$15-Inputs!$D$15)*(Inputs!$F$15-Inputs!$E$15)))</f>
        <v>0.715992831703639</v>
      </c>
      <c r="H1855" s="81" t="n">
        <f aca="true">RAND()</f>
        <v>0.0411081927454191</v>
      </c>
      <c r="I1855" s="82" t="n">
        <f aca="false">ROUND(IF(H1855&lt;(Inputs!$E$17-Inputs!$D$17)/(Inputs!$F$17-Inputs!$D$17),Inputs!$D$17+SQRT(H1855*(Inputs!$F$17-Inputs!$D$17)*(Inputs!$E$17-Inputs!$D$17)),Inputs!$F$17-SQRT((1-H1855)*(Inputs!$F$17-Inputs!$D$17)*(Inputs!$F$17-Inputs!$E$17))),0)</f>
        <v>102</v>
      </c>
      <c r="J1855" s="81" t="n">
        <f aca="true">RAND()</f>
        <v>0.565589813597444</v>
      </c>
      <c r="K1855" s="83" t="n">
        <f aca="false">IF(J1855&lt;(Inputs!$E$18-Inputs!$D$18)/(Inputs!$F$18-Inputs!$D$18),Inputs!$D$18+SQRT(J1855*(Inputs!$F$18-Inputs!$D$18)*(Inputs!$E$18-Inputs!$D$18)),Inputs!$F$18-SQRT((1-J1855)*(Inputs!$F$18-Inputs!$D$18)*(Inputs!$F$18-Inputs!$E$18)))</f>
        <v>1.05503617948393</v>
      </c>
      <c r="L1855" s="81" t="n">
        <f aca="true">RAND()</f>
        <v>0.999506048095116</v>
      </c>
      <c r="M1855" s="83" t="n">
        <f aca="false">IF(L1855&lt;(Inputs!$E$24-Inputs!$D$24)/(Inputs!$F$24-Inputs!$D$24),Inputs!$D$24+SQRT(L1855*(Inputs!$F$24-Inputs!$D$24)*(Inputs!$E$24-Inputs!$D$24)),Inputs!$F$24-SQRT((1-L1855)*(Inputs!$F$24-Inputs!$D$24)*(Inputs!$F$24-Inputs!$E$24)))</f>
        <v>1.18911200398732</v>
      </c>
      <c r="N1855" s="81" t="n">
        <f aca="true">RAND()</f>
        <v>0.826443265906097</v>
      </c>
      <c r="O1855" s="83" t="n">
        <f aca="false">IF(N1855&lt;(Inputs!$E$26-Inputs!$D$26)/(Inputs!$F$26-Inputs!$D$26),Inputs!$D$26+SQRT(N1855*(Inputs!$F$26-Inputs!$D$26)*(Inputs!$E$26-Inputs!$D$26)),Inputs!$F$26-SQRT((1-N1855)*(Inputs!$F$26-Inputs!$D$26)*(Inputs!$F$26-Inputs!$E$26)))</f>
        <v>0.685650082449724</v>
      </c>
      <c r="P1855" s="81" t="n">
        <f aca="true">RAND()</f>
        <v>0.825979781754868</v>
      </c>
      <c r="Q1855" s="82" t="n">
        <f aca="false">IF(P1855&lt;(Inputs!$E$27-Inputs!$D$27)/(Inputs!$F$27-Inputs!$D$27),Inputs!$D$27+SQRT(P1855*(Inputs!$F$27-Inputs!$D$27)*(Inputs!$E$27-Inputs!$D$27)),Inputs!$F$27-SQRT((1-P1855)*(Inputs!$F$27-Inputs!$D$27)*(Inputs!$F$27-Inputs!$E$27)))</f>
        <v>113.873117532252</v>
      </c>
      <c r="R1855" s="81" t="n">
        <f aca="true">RAND()</f>
        <v>0.155007050921339</v>
      </c>
      <c r="S1855" s="82" t="n">
        <f aca="false">IF(R1855&lt;(Inputs!$E$29-Inputs!$D$29)/(Inputs!$F$29-Inputs!$D$29),Inputs!$D$29+SQRT(R1855*(Inputs!$F$29-Inputs!$D$29)*(Inputs!$E$29-Inputs!$D$29)),Inputs!$F$29-SQRT((1-R1855)*(Inputs!$F$29-Inputs!$D$29)*(Inputs!$F$29-Inputs!$E$29)))</f>
        <v>4.45871409194567</v>
      </c>
      <c r="T1855" s="68" t="n">
        <f aca="false">Inputs!$E$9*(1+E1855)+Inputs!$E$5*C1855*(Inputs!$E$11*Inputs!$E$14*(G1855*I1855/Inputs!$E$16+(1-G1855))*K1855+Inputs!$E$23*M1855)*(1+O1855)+Inputs!$E$5*(Q1855+S1855)</f>
        <v>6615.83666626734</v>
      </c>
    </row>
    <row r="1856" customFormat="false" ht="15" hidden="false" customHeight="false" outlineLevel="0" collapsed="false">
      <c r="A1856" s="1" t="n">
        <v>1852</v>
      </c>
      <c r="B1856" s="81" t="n">
        <f aca="true">RAND()</f>
        <v>0.483534811073793</v>
      </c>
      <c r="C1856" s="82" t="n">
        <f aca="false">ROUND(IF(B1856&lt;(Inputs!$E$8-Inputs!$D$8)/(Inputs!$F$8-Inputs!$D$8),Inputs!$D$8+SQRT(B1856*(Inputs!$F$8-Inputs!$D$8)*(Inputs!$E$8-Inputs!$D$8)),Inputs!$F$8-SQRT((1-B1856)*(Inputs!$F$8-Inputs!$D$8)*(Inputs!$F$8-Inputs!$E$8))),0)</f>
        <v>25</v>
      </c>
      <c r="D1856" s="81" t="n">
        <f aca="true">RAND()</f>
        <v>0.575769978810571</v>
      </c>
      <c r="E1856" s="83" t="n">
        <f aca="false">IF(D1856&lt;(Inputs!$E$10-Inputs!$D$10)/(Inputs!$F$10-Inputs!$D$10),Inputs!$D$10+SQRT(D1856*(Inputs!$F$10-Inputs!$D$10)*(Inputs!$E$10-Inputs!$D$10)),Inputs!$F$10-SQRT((1-D1856)*(Inputs!$F$10-Inputs!$D$10)*(Inputs!$F$10-Inputs!$E$10)))</f>
        <v>0.0871864341682133</v>
      </c>
      <c r="F1856" s="81" t="n">
        <f aca="true">RAND()</f>
        <v>0.61810452373214</v>
      </c>
      <c r="G1856" s="83" t="n">
        <f aca="false">IF(F1856&lt;(Inputs!$E$15-Inputs!$D$15)/(Inputs!$F$15-Inputs!$D$15),Inputs!$D$15+SQRT(F1856*(Inputs!$F$15-Inputs!$D$15)*(Inputs!$E$15-Inputs!$D$15)),Inputs!$F$15-SQRT((1-F1856)*(Inputs!$F$15-Inputs!$D$15)*(Inputs!$F$15-Inputs!$E$15)))</f>
        <v>0.712604865551009</v>
      </c>
      <c r="H1856" s="81" t="n">
        <f aca="true">RAND()</f>
        <v>0.187991102360343</v>
      </c>
      <c r="I1856" s="82" t="n">
        <f aca="false">ROUND(IF(H1856&lt;(Inputs!$E$17-Inputs!$D$17)/(Inputs!$F$17-Inputs!$D$17),Inputs!$D$17+SQRT(H1856*(Inputs!$F$17-Inputs!$D$17)*(Inputs!$E$17-Inputs!$D$17)),Inputs!$F$17-SQRT((1-H1856)*(Inputs!$F$17-Inputs!$D$17)*(Inputs!$F$17-Inputs!$E$17))),0)</f>
        <v>104</v>
      </c>
      <c r="J1856" s="81" t="n">
        <f aca="true">RAND()</f>
        <v>0.133172262998155</v>
      </c>
      <c r="K1856" s="83" t="n">
        <f aca="false">IF(J1856&lt;(Inputs!$E$18-Inputs!$D$18)/(Inputs!$F$18-Inputs!$D$18),Inputs!$D$18+SQRT(J1856*(Inputs!$F$18-Inputs!$D$18)*(Inputs!$E$18-Inputs!$D$18)),Inputs!$F$18-SQRT((1-J1856)*(Inputs!$F$18-Inputs!$D$18)*(Inputs!$F$18-Inputs!$E$18)))</f>
        <v>0.968271730642598</v>
      </c>
      <c r="L1856" s="81" t="n">
        <f aca="true">RAND()</f>
        <v>0.108943599522637</v>
      </c>
      <c r="M1856" s="83" t="n">
        <f aca="false">IF(L1856&lt;(Inputs!$E$24-Inputs!$D$24)/(Inputs!$F$24-Inputs!$D$24),Inputs!$D$24+SQRT(L1856*(Inputs!$F$24-Inputs!$D$24)*(Inputs!$E$24-Inputs!$D$24)),Inputs!$F$24-SQRT((1-L1856)*(Inputs!$F$24-Inputs!$D$24)*(Inputs!$F$24-Inputs!$E$24)))</f>
        <v>0.714338234824211</v>
      </c>
      <c r="N1856" s="81" t="n">
        <f aca="true">RAND()</f>
        <v>0.997069121045983</v>
      </c>
      <c r="O1856" s="83" t="n">
        <f aca="false">IF(N1856&lt;(Inputs!$E$26-Inputs!$D$26)/(Inputs!$F$26-Inputs!$D$26),Inputs!$D$26+SQRT(N1856*(Inputs!$F$26-Inputs!$D$26)*(Inputs!$E$26-Inputs!$D$26)),Inputs!$F$26-SQRT((1-N1856)*(Inputs!$F$26-Inputs!$D$26)*(Inputs!$F$26-Inputs!$E$26)))</f>
        <v>0.80254115091944</v>
      </c>
      <c r="P1856" s="81" t="n">
        <f aca="true">RAND()</f>
        <v>0.257628972644137</v>
      </c>
      <c r="Q1856" s="82" t="n">
        <f aca="false">IF(P1856&lt;(Inputs!$E$27-Inputs!$D$27)/(Inputs!$F$27-Inputs!$D$27),Inputs!$D$27+SQRT(P1856*(Inputs!$F$27-Inputs!$D$27)*(Inputs!$E$27-Inputs!$D$27)),Inputs!$F$27-SQRT((1-P1856)*(Inputs!$F$27-Inputs!$D$27)*(Inputs!$F$27-Inputs!$E$27)))</f>
        <v>75.382423617696</v>
      </c>
      <c r="R1856" s="81" t="n">
        <f aca="true">RAND()</f>
        <v>0.924506089935817</v>
      </c>
      <c r="S1856" s="82" t="n">
        <f aca="false">IF(R1856&lt;(Inputs!$E$29-Inputs!$D$29)/(Inputs!$F$29-Inputs!$D$29),Inputs!$D$29+SQRT(R1856*(Inputs!$F$29-Inputs!$D$29)*(Inputs!$E$29-Inputs!$D$29)),Inputs!$F$29-SQRT((1-R1856)*(Inputs!$F$29-Inputs!$D$29)*(Inputs!$F$29-Inputs!$E$29)))</f>
        <v>11.8672363146347</v>
      </c>
      <c r="T1856" s="68" t="n">
        <f aca="false">Inputs!$E$9*(1+E1856)+Inputs!$E$5*C1856*(Inputs!$E$11*Inputs!$E$14*(G1856*I1856/Inputs!$E$16+(1-G1856))*K1856+Inputs!$E$23*M1856)*(1+O1856)+Inputs!$E$5*(Q1856+S1856)</f>
        <v>6287.59831858314</v>
      </c>
    </row>
    <row r="1857" customFormat="false" ht="15" hidden="false" customHeight="false" outlineLevel="0" collapsed="false">
      <c r="A1857" s="1" t="n">
        <v>1853</v>
      </c>
      <c r="B1857" s="81" t="n">
        <f aca="true">RAND()</f>
        <v>0.73923251745663</v>
      </c>
      <c r="C1857" s="82" t="n">
        <f aca="false">ROUND(IF(B1857&lt;(Inputs!$E$8-Inputs!$D$8)/(Inputs!$F$8-Inputs!$D$8),Inputs!$D$8+SQRT(B1857*(Inputs!$F$8-Inputs!$D$8)*(Inputs!$E$8-Inputs!$D$8)),Inputs!$F$8-SQRT((1-B1857)*(Inputs!$F$8-Inputs!$D$8)*(Inputs!$F$8-Inputs!$E$8))),0)</f>
        <v>26</v>
      </c>
      <c r="D1857" s="81" t="n">
        <f aca="true">RAND()</f>
        <v>0.188650299986491</v>
      </c>
      <c r="E1857" s="83" t="n">
        <f aca="false">IF(D1857&lt;(Inputs!$E$10-Inputs!$D$10)/(Inputs!$F$10-Inputs!$D$10),Inputs!$D$10+SQRT(D1857*(Inputs!$F$10-Inputs!$D$10)*(Inputs!$E$10-Inputs!$D$10)),Inputs!$F$10-SQRT((1-D1857)*(Inputs!$F$10-Inputs!$D$10)*(Inputs!$F$10-Inputs!$E$10)))</f>
        <v>0.0434338922946691</v>
      </c>
      <c r="F1857" s="81" t="n">
        <f aca="true">RAND()</f>
        <v>0.401875132012578</v>
      </c>
      <c r="G1857" s="83" t="n">
        <f aca="false">IF(F1857&lt;(Inputs!$E$15-Inputs!$D$15)/(Inputs!$F$15-Inputs!$D$15),Inputs!$D$15+SQRT(F1857*(Inputs!$F$15-Inputs!$D$15)*(Inputs!$E$15-Inputs!$D$15)),Inputs!$F$15-SQRT((1-F1857)*(Inputs!$F$15-Inputs!$D$15)*(Inputs!$F$15-Inputs!$E$15)))</f>
        <v>0.689652120110188</v>
      </c>
      <c r="H1857" s="81" t="n">
        <f aca="true">RAND()</f>
        <v>0.802313278634954</v>
      </c>
      <c r="I1857" s="82" t="n">
        <f aca="false">ROUND(IF(H1857&lt;(Inputs!$E$17-Inputs!$D$17)/(Inputs!$F$17-Inputs!$D$17),Inputs!$D$17+SQRT(H1857*(Inputs!$F$17-Inputs!$D$17)*(Inputs!$E$17-Inputs!$D$17)),Inputs!$F$17-SQRT((1-H1857)*(Inputs!$F$17-Inputs!$D$17)*(Inputs!$F$17-Inputs!$E$17))),0)</f>
        <v>110</v>
      </c>
      <c r="J1857" s="81" t="n">
        <f aca="true">RAND()</f>
        <v>0.892238460294821</v>
      </c>
      <c r="K1857" s="83" t="n">
        <f aca="false">IF(J1857&lt;(Inputs!$E$18-Inputs!$D$18)/(Inputs!$F$18-Inputs!$D$18),Inputs!$D$18+SQRT(J1857*(Inputs!$F$18-Inputs!$D$18)*(Inputs!$E$18-Inputs!$D$18)),Inputs!$F$18-SQRT((1-J1857)*(Inputs!$F$18-Inputs!$D$18)*(Inputs!$F$18-Inputs!$E$18)))</f>
        <v>1.1528962682272</v>
      </c>
      <c r="L1857" s="81" t="n">
        <f aca="true">RAND()</f>
        <v>0.574545557934824</v>
      </c>
      <c r="M1857" s="83" t="n">
        <f aca="false">IF(L1857&lt;(Inputs!$E$24-Inputs!$D$24)/(Inputs!$F$24-Inputs!$D$24),Inputs!$D$24+SQRT(L1857*(Inputs!$F$24-Inputs!$D$24)*(Inputs!$E$24-Inputs!$D$24)),Inputs!$F$24-SQRT((1-L1857)*(Inputs!$F$24-Inputs!$D$24)*(Inputs!$F$24-Inputs!$E$24)))</f>
        <v>0.880454907570712</v>
      </c>
      <c r="N1857" s="81" t="n">
        <f aca="true">RAND()</f>
        <v>0.325010458598056</v>
      </c>
      <c r="O1857" s="83" t="n">
        <f aca="false">IF(N1857&lt;(Inputs!$E$26-Inputs!$D$26)/(Inputs!$F$26-Inputs!$D$26),Inputs!$D$26+SQRT(N1857*(Inputs!$F$26-Inputs!$D$26)*(Inputs!$E$26-Inputs!$D$26)),Inputs!$F$26-SQRT((1-N1857)*(Inputs!$F$26-Inputs!$D$26)*(Inputs!$F$26-Inputs!$E$26)))</f>
        <v>0.532554811411668</v>
      </c>
      <c r="P1857" s="81" t="n">
        <f aca="true">RAND()</f>
        <v>0.49442633860217</v>
      </c>
      <c r="Q1857" s="82" t="n">
        <f aca="false">IF(P1857&lt;(Inputs!$E$27-Inputs!$D$27)/(Inputs!$F$27-Inputs!$D$27),Inputs!$D$27+SQRT(P1857*(Inputs!$F$27-Inputs!$D$27)*(Inputs!$E$27-Inputs!$D$27)),Inputs!$F$27-SQRT((1-P1857)*(Inputs!$F$27-Inputs!$D$27)*(Inputs!$F$27-Inputs!$E$27)))</f>
        <v>88.4223866938339</v>
      </c>
      <c r="R1857" s="81" t="n">
        <f aca="true">RAND()</f>
        <v>0.785059882120271</v>
      </c>
      <c r="S1857" s="82" t="n">
        <f aca="false">IF(R1857&lt;(Inputs!$E$29-Inputs!$D$29)/(Inputs!$F$29-Inputs!$D$29),Inputs!$D$29+SQRT(R1857*(Inputs!$F$29-Inputs!$D$29)*(Inputs!$E$29-Inputs!$D$29)),Inputs!$F$29-SQRT((1-R1857)*(Inputs!$F$29-Inputs!$D$29)*(Inputs!$F$29-Inputs!$E$29)))</f>
        <v>9.7139603364745</v>
      </c>
      <c r="T1857" s="68" t="n">
        <f aca="false">Inputs!$E$9*(1+E1857)+Inputs!$E$5*C1857*(Inputs!$E$11*Inputs!$E$14*(G1857*I1857/Inputs!$E$16+(1-G1857))*K1857+Inputs!$E$23*M1857)*(1+O1857)+Inputs!$E$5*(Q1857+S1857)</f>
        <v>6585.71074507959</v>
      </c>
    </row>
    <row r="1858" customFormat="false" ht="15" hidden="false" customHeight="false" outlineLevel="0" collapsed="false">
      <c r="A1858" s="1" t="n">
        <v>1854</v>
      </c>
      <c r="B1858" s="81" t="n">
        <f aca="true">RAND()</f>
        <v>0.179532466449522</v>
      </c>
      <c r="C1858" s="82" t="n">
        <f aca="false">ROUND(IF(B1858&lt;(Inputs!$E$8-Inputs!$D$8)/(Inputs!$F$8-Inputs!$D$8),Inputs!$D$8+SQRT(B1858*(Inputs!$F$8-Inputs!$D$8)*(Inputs!$E$8-Inputs!$D$8)),Inputs!$F$8-SQRT((1-B1858)*(Inputs!$F$8-Inputs!$D$8)*(Inputs!$F$8-Inputs!$E$8))),0)</f>
        <v>23</v>
      </c>
      <c r="D1858" s="81" t="n">
        <f aca="true">RAND()</f>
        <v>0.987988031545284</v>
      </c>
      <c r="E1858" s="83" t="n">
        <f aca="false">IF(D1858&lt;(Inputs!$E$10-Inputs!$D$10)/(Inputs!$F$10-Inputs!$D$10),Inputs!$D$10+SQRT(D1858*(Inputs!$F$10-Inputs!$D$10)*(Inputs!$E$10-Inputs!$D$10)),Inputs!$F$10-SQRT((1-D1858)*(Inputs!$F$10-Inputs!$D$10)*(Inputs!$F$10-Inputs!$E$10)))</f>
        <v>0.181016874502825</v>
      </c>
      <c r="F1858" s="81" t="n">
        <f aca="true">RAND()</f>
        <v>0.21566757063096</v>
      </c>
      <c r="G1858" s="83" t="n">
        <f aca="false">IF(F1858&lt;(Inputs!$E$15-Inputs!$D$15)/(Inputs!$F$15-Inputs!$D$15),Inputs!$D$15+SQRT(F1858*(Inputs!$F$15-Inputs!$D$15)*(Inputs!$E$15-Inputs!$D$15)),Inputs!$F$15-SQRT((1-F1858)*(Inputs!$F$15-Inputs!$D$15)*(Inputs!$F$15-Inputs!$E$15)))</f>
        <v>0.665676109907783</v>
      </c>
      <c r="H1858" s="81" t="n">
        <f aca="true">RAND()</f>
        <v>0.26595995875562</v>
      </c>
      <c r="I1858" s="82" t="n">
        <f aca="false">ROUND(IF(H1858&lt;(Inputs!$E$17-Inputs!$D$17)/(Inputs!$F$17-Inputs!$D$17),Inputs!$D$17+SQRT(H1858*(Inputs!$F$17-Inputs!$D$17)*(Inputs!$E$17-Inputs!$D$17)),Inputs!$F$17-SQRT((1-H1858)*(Inputs!$F$17-Inputs!$D$17)*(Inputs!$F$17-Inputs!$E$17))),0)</f>
        <v>104</v>
      </c>
      <c r="J1858" s="81" t="n">
        <f aca="true">RAND()</f>
        <v>0.998890155524766</v>
      </c>
      <c r="K1858" s="83" t="n">
        <f aca="false">IF(J1858&lt;(Inputs!$E$18-Inputs!$D$18)/(Inputs!$F$18-Inputs!$D$18),Inputs!$D$18+SQRT(J1858*(Inputs!$F$18-Inputs!$D$18)*(Inputs!$E$18-Inputs!$D$18)),Inputs!$F$18-SQRT((1-J1858)*(Inputs!$F$18-Inputs!$D$18)*(Inputs!$F$18-Inputs!$E$18)))</f>
        <v>1.24014548876996</v>
      </c>
      <c r="L1858" s="81" t="n">
        <f aca="true">RAND()</f>
        <v>0.928469807690861</v>
      </c>
      <c r="M1858" s="83" t="n">
        <f aca="false">IF(L1858&lt;(Inputs!$E$24-Inputs!$D$24)/(Inputs!$F$24-Inputs!$D$24),Inputs!$D$24+SQRT(L1858*(Inputs!$F$24-Inputs!$D$24)*(Inputs!$E$24-Inputs!$D$24)),Inputs!$F$24-SQRT((1-L1858)*(Inputs!$F$24-Inputs!$D$24)*(Inputs!$F$24-Inputs!$E$24)))</f>
        <v>1.06897616188573</v>
      </c>
      <c r="N1858" s="81" t="n">
        <f aca="true">RAND()</f>
        <v>0.502639803871607</v>
      </c>
      <c r="O1858" s="83" t="n">
        <f aca="false">IF(N1858&lt;(Inputs!$E$26-Inputs!$D$26)/(Inputs!$F$26-Inputs!$D$26),Inputs!$D$26+SQRT(N1858*(Inputs!$F$26-Inputs!$D$26)*(Inputs!$E$26-Inputs!$D$26)),Inputs!$F$26-SQRT((1-N1858)*(Inputs!$F$26-Inputs!$D$26)*(Inputs!$F$26-Inputs!$E$26)))</f>
        <v>0.589204535518092</v>
      </c>
      <c r="P1858" s="81" t="n">
        <f aca="true">RAND()</f>
        <v>0.559019454092626</v>
      </c>
      <c r="Q1858" s="82" t="n">
        <f aca="false">IF(P1858&lt;(Inputs!$E$27-Inputs!$D$27)/(Inputs!$F$27-Inputs!$D$27),Inputs!$D$27+SQRT(P1858*(Inputs!$F$27-Inputs!$D$27)*(Inputs!$E$27-Inputs!$D$27)),Inputs!$F$27-SQRT((1-P1858)*(Inputs!$F$27-Inputs!$D$27)*(Inputs!$F$27-Inputs!$E$27)))</f>
        <v>92.4903999813483</v>
      </c>
      <c r="R1858" s="81" t="n">
        <f aca="true">RAND()</f>
        <v>0.121234292880649</v>
      </c>
      <c r="S1858" s="82" t="n">
        <f aca="false">IF(R1858&lt;(Inputs!$E$29-Inputs!$D$29)/(Inputs!$F$29-Inputs!$D$29),Inputs!$D$29+SQRT(R1858*(Inputs!$F$29-Inputs!$D$29)*(Inputs!$E$29-Inputs!$D$29)),Inputs!$F$29-SQRT((1-R1858)*(Inputs!$F$29-Inputs!$D$29)*(Inputs!$F$29-Inputs!$E$29)))</f>
        <v>4.17442806787103</v>
      </c>
      <c r="T1858" s="68" t="n">
        <f aca="false">Inputs!$E$9*(1+E1858)+Inputs!$E$5*C1858*(Inputs!$E$11*Inputs!$E$14*(G1858*I1858/Inputs!$E$16+(1-G1858))*K1858+Inputs!$E$23*M1858)*(1+O1858)+Inputs!$E$5*(Q1858+S1858)</f>
        <v>6948.03897559505</v>
      </c>
    </row>
    <row r="1859" customFormat="false" ht="15" hidden="false" customHeight="false" outlineLevel="0" collapsed="false">
      <c r="A1859" s="1" t="n">
        <v>1855</v>
      </c>
      <c r="B1859" s="81" t="n">
        <f aca="true">RAND()</f>
        <v>0.7722962907359</v>
      </c>
      <c r="C1859" s="82" t="n">
        <f aca="false">ROUND(IF(B1859&lt;(Inputs!$E$8-Inputs!$D$8)/(Inputs!$F$8-Inputs!$D$8),Inputs!$D$8+SQRT(B1859*(Inputs!$F$8-Inputs!$D$8)*(Inputs!$E$8-Inputs!$D$8)),Inputs!$F$8-SQRT((1-B1859)*(Inputs!$F$8-Inputs!$D$8)*(Inputs!$F$8-Inputs!$E$8))),0)</f>
        <v>27</v>
      </c>
      <c r="D1859" s="81" t="n">
        <f aca="true">RAND()</f>
        <v>0.709905296207156</v>
      </c>
      <c r="E1859" s="83" t="n">
        <f aca="false">IF(D1859&lt;(Inputs!$E$10-Inputs!$D$10)/(Inputs!$F$10-Inputs!$D$10),Inputs!$D$10+SQRT(D1859*(Inputs!$F$10-Inputs!$D$10)*(Inputs!$E$10-Inputs!$D$10)),Inputs!$F$10-SQRT((1-D1859)*(Inputs!$F$10-Inputs!$D$10)*(Inputs!$F$10-Inputs!$E$10)))</f>
        <v>0.106710980743791</v>
      </c>
      <c r="F1859" s="81" t="n">
        <f aca="true">RAND()</f>
        <v>0.0890944681284432</v>
      </c>
      <c r="G1859" s="83" t="n">
        <f aca="false">IF(F1859&lt;(Inputs!$E$15-Inputs!$D$15)/(Inputs!$F$15-Inputs!$D$15),Inputs!$D$15+SQRT(F1859*(Inputs!$F$15-Inputs!$D$15)*(Inputs!$E$15-Inputs!$D$15)),Inputs!$F$15-SQRT((1-F1859)*(Inputs!$F$15-Inputs!$D$15)*(Inputs!$F$15-Inputs!$E$15)))</f>
        <v>0.642212431374761</v>
      </c>
      <c r="H1859" s="81" t="n">
        <f aca="true">RAND()</f>
        <v>0.665317691014501</v>
      </c>
      <c r="I1859" s="82" t="n">
        <f aca="false">ROUND(IF(H1859&lt;(Inputs!$E$17-Inputs!$D$17)/(Inputs!$F$17-Inputs!$D$17),Inputs!$D$17+SQRT(H1859*(Inputs!$F$17-Inputs!$D$17)*(Inputs!$E$17-Inputs!$D$17)),Inputs!$F$17-SQRT((1-H1859)*(Inputs!$F$17-Inputs!$D$17)*(Inputs!$F$17-Inputs!$E$17))),0)</f>
        <v>108</v>
      </c>
      <c r="J1859" s="81" t="n">
        <f aca="true">RAND()</f>
        <v>0.616232511911573</v>
      </c>
      <c r="K1859" s="83" t="n">
        <f aca="false">IF(J1859&lt;(Inputs!$E$18-Inputs!$D$18)/(Inputs!$F$18-Inputs!$D$18),Inputs!$D$18+SQRT(J1859*(Inputs!$F$18-Inputs!$D$18)*(Inputs!$E$18-Inputs!$D$18)),Inputs!$F$18-SQRT((1-J1859)*(Inputs!$F$18-Inputs!$D$18)*(Inputs!$F$18-Inputs!$E$18)))</f>
        <v>1.06675247557542</v>
      </c>
      <c r="L1859" s="81" t="n">
        <f aca="true">RAND()</f>
        <v>0.317520217804193</v>
      </c>
      <c r="M1859" s="83" t="n">
        <f aca="false">IF(L1859&lt;(Inputs!$E$24-Inputs!$D$24)/(Inputs!$F$24-Inputs!$D$24),Inputs!$D$24+SQRT(L1859*(Inputs!$F$24-Inputs!$D$24)*(Inputs!$E$24-Inputs!$D$24)),Inputs!$F$24-SQRT((1-L1859)*(Inputs!$F$24-Inputs!$D$24)*(Inputs!$F$24-Inputs!$E$24)))</f>
        <v>0.795198427597415</v>
      </c>
      <c r="N1859" s="81" t="n">
        <f aca="true">RAND()</f>
        <v>0.860170618625256</v>
      </c>
      <c r="O1859" s="83" t="n">
        <f aca="false">IF(N1859&lt;(Inputs!$E$26-Inputs!$D$26)/(Inputs!$F$26-Inputs!$D$26),Inputs!$D$26+SQRT(N1859*(Inputs!$F$26-Inputs!$D$26)*(Inputs!$E$26-Inputs!$D$26)),Inputs!$F$26-SQRT((1-N1859)*(Inputs!$F$26-Inputs!$D$26)*(Inputs!$F$26-Inputs!$E$26)))</f>
        <v>0.699408724764296</v>
      </c>
      <c r="P1859" s="81" t="n">
        <f aca="true">RAND()</f>
        <v>0.529000257675633</v>
      </c>
      <c r="Q1859" s="82" t="n">
        <f aca="false">IF(P1859&lt;(Inputs!$E$27-Inputs!$D$27)/(Inputs!$F$27-Inputs!$D$27),Inputs!$D$27+SQRT(P1859*(Inputs!$F$27-Inputs!$D$27)*(Inputs!$E$27-Inputs!$D$27)),Inputs!$F$27-SQRT((1-P1859)*(Inputs!$F$27-Inputs!$D$27)*(Inputs!$F$27-Inputs!$E$27)))</f>
        <v>90.5651779893912</v>
      </c>
      <c r="R1859" s="81" t="n">
        <f aca="true">RAND()</f>
        <v>0.430294061204927</v>
      </c>
      <c r="S1859" s="82" t="n">
        <f aca="false">IF(R1859&lt;(Inputs!$E$29-Inputs!$D$29)/(Inputs!$F$29-Inputs!$D$29),Inputs!$D$29+SQRT(R1859*(Inputs!$F$29-Inputs!$D$29)*(Inputs!$E$29-Inputs!$D$29)),Inputs!$F$29-SQRT((1-R1859)*(Inputs!$F$29-Inputs!$D$29)*(Inputs!$F$29-Inputs!$E$29)))</f>
        <v>6.39408505483818</v>
      </c>
      <c r="T1859" s="68" t="n">
        <f aca="false">Inputs!$E$9*(1+E1859)+Inputs!$E$5*C1859*(Inputs!$E$11*Inputs!$E$14*(G1859*I1859/Inputs!$E$16+(1-G1859))*K1859+Inputs!$E$23*M1859)*(1+O1859)+Inputs!$E$5*(Q1859+S1859)</f>
        <v>6982.30467072986</v>
      </c>
    </row>
    <row r="1860" customFormat="false" ht="15" hidden="false" customHeight="false" outlineLevel="0" collapsed="false">
      <c r="A1860" s="1" t="n">
        <v>1856</v>
      </c>
      <c r="B1860" s="81" t="n">
        <f aca="true">RAND()</f>
        <v>0.652242145073968</v>
      </c>
      <c r="C1860" s="82" t="n">
        <f aca="false">ROUND(IF(B1860&lt;(Inputs!$E$8-Inputs!$D$8)/(Inputs!$F$8-Inputs!$D$8),Inputs!$D$8+SQRT(B1860*(Inputs!$F$8-Inputs!$D$8)*(Inputs!$E$8-Inputs!$D$8)),Inputs!$F$8-SQRT((1-B1860)*(Inputs!$F$8-Inputs!$D$8)*(Inputs!$F$8-Inputs!$E$8))),0)</f>
        <v>26</v>
      </c>
      <c r="D1860" s="81" t="n">
        <f aca="true">RAND()</f>
        <v>0.987454171403836</v>
      </c>
      <c r="E1860" s="83" t="n">
        <f aca="false">IF(D1860&lt;(Inputs!$E$10-Inputs!$D$10)/(Inputs!$F$10-Inputs!$D$10),Inputs!$D$10+SQRT(D1860*(Inputs!$F$10-Inputs!$D$10)*(Inputs!$E$10-Inputs!$D$10)),Inputs!$F$10-SQRT((1-D1860)*(Inputs!$F$10-Inputs!$D$10)*(Inputs!$F$10-Inputs!$E$10)))</f>
        <v>0.180599617068601</v>
      </c>
      <c r="F1860" s="81" t="n">
        <f aca="true">RAND()</f>
        <v>0.684536666275306</v>
      </c>
      <c r="G1860" s="83" t="n">
        <f aca="false">IF(F1860&lt;(Inputs!$E$15-Inputs!$D$15)/(Inputs!$F$15-Inputs!$D$15),Inputs!$D$15+SQRT(F1860*(Inputs!$F$15-Inputs!$D$15)*(Inputs!$E$15-Inputs!$D$15)),Inputs!$F$15-SQRT((1-F1860)*(Inputs!$F$15-Inputs!$D$15)*(Inputs!$F$15-Inputs!$E$15)))</f>
        <v>0.720569107555726</v>
      </c>
      <c r="H1860" s="81" t="n">
        <f aca="true">RAND()</f>
        <v>0.711742438679881</v>
      </c>
      <c r="I1860" s="82" t="n">
        <f aca="false">ROUND(IF(H1860&lt;(Inputs!$E$17-Inputs!$D$17)/(Inputs!$F$17-Inputs!$D$17),Inputs!$D$17+SQRT(H1860*(Inputs!$F$17-Inputs!$D$17)*(Inputs!$E$17-Inputs!$D$17)),Inputs!$F$17-SQRT((1-H1860)*(Inputs!$F$17-Inputs!$D$17)*(Inputs!$F$17-Inputs!$E$17))),0)</f>
        <v>108</v>
      </c>
      <c r="J1860" s="81" t="n">
        <f aca="true">RAND()</f>
        <v>0.645575776453544</v>
      </c>
      <c r="K1860" s="83" t="n">
        <f aca="false">IF(J1860&lt;(Inputs!$E$18-Inputs!$D$18)/(Inputs!$F$18-Inputs!$D$18),Inputs!$D$18+SQRT(J1860*(Inputs!$F$18-Inputs!$D$18)*(Inputs!$E$18-Inputs!$D$18)),Inputs!$F$18-SQRT((1-J1860)*(Inputs!$F$18-Inputs!$D$18)*(Inputs!$F$18-Inputs!$E$18)))</f>
        <v>1.0738974175081</v>
      </c>
      <c r="L1860" s="81" t="n">
        <f aca="true">RAND()</f>
        <v>0.804324744511118</v>
      </c>
      <c r="M1860" s="83" t="n">
        <f aca="false">IF(L1860&lt;(Inputs!$E$24-Inputs!$D$24)/(Inputs!$F$24-Inputs!$D$24),Inputs!$D$24+SQRT(L1860*(Inputs!$F$24-Inputs!$D$24)*(Inputs!$E$24-Inputs!$D$24)),Inputs!$F$24-SQRT((1-L1860)*(Inputs!$F$24-Inputs!$D$24)*(Inputs!$F$24-Inputs!$E$24)))</f>
        <v>0.983292682824664</v>
      </c>
      <c r="N1860" s="81" t="n">
        <f aca="true">RAND()</f>
        <v>0.387491964098004</v>
      </c>
      <c r="O1860" s="83" t="n">
        <f aca="false">IF(N1860&lt;(Inputs!$E$26-Inputs!$D$26)/(Inputs!$F$26-Inputs!$D$26),Inputs!$D$26+SQRT(N1860*(Inputs!$F$26-Inputs!$D$26)*(Inputs!$E$26-Inputs!$D$26)),Inputs!$F$26-SQRT((1-N1860)*(Inputs!$F$26-Inputs!$D$26)*(Inputs!$F$26-Inputs!$E$26)))</f>
        <v>0.553926490988845</v>
      </c>
      <c r="P1860" s="81" t="n">
        <f aca="true">RAND()</f>
        <v>0.530916190828051</v>
      </c>
      <c r="Q1860" s="82" t="n">
        <f aca="false">IF(P1860&lt;(Inputs!$E$27-Inputs!$D$27)/(Inputs!$F$27-Inputs!$D$27),Inputs!$D$27+SQRT(P1860*(Inputs!$F$27-Inputs!$D$27)*(Inputs!$E$27-Inputs!$D$27)),Inputs!$F$27-SQRT((1-P1860)*(Inputs!$F$27-Inputs!$D$27)*(Inputs!$F$27-Inputs!$E$27)))</f>
        <v>90.6861856833535</v>
      </c>
      <c r="R1860" s="81" t="n">
        <f aca="true">RAND()</f>
        <v>0.504341861295782</v>
      </c>
      <c r="S1860" s="82" t="n">
        <f aca="false">IF(R1860&lt;(Inputs!$E$29-Inputs!$D$29)/(Inputs!$F$29-Inputs!$D$29),Inputs!$D$29+SQRT(R1860*(Inputs!$F$29-Inputs!$D$29)*(Inputs!$E$29-Inputs!$D$29)),Inputs!$F$29-SQRT((1-R1860)*(Inputs!$F$29-Inputs!$D$29)*(Inputs!$F$29-Inputs!$E$29)))</f>
        <v>6.97282378220408</v>
      </c>
      <c r="T1860" s="68" t="n">
        <f aca="false">Inputs!$E$9*(1+E1860)+Inputs!$E$5*C1860*(Inputs!$E$11*Inputs!$E$14*(G1860*I1860/Inputs!$E$16+(1-G1860))*K1860+Inputs!$E$23*M1860)*(1+O1860)+Inputs!$E$5*(Q1860+S1860)</f>
        <v>6841.21141971942</v>
      </c>
    </row>
    <row r="1861" customFormat="false" ht="15" hidden="false" customHeight="false" outlineLevel="0" collapsed="false">
      <c r="A1861" s="1" t="n">
        <v>1857</v>
      </c>
      <c r="B1861" s="81" t="n">
        <f aca="true">RAND()</f>
        <v>0.166336484565069</v>
      </c>
      <c r="C1861" s="82" t="n">
        <f aca="false">ROUND(IF(B1861&lt;(Inputs!$E$8-Inputs!$D$8)/(Inputs!$F$8-Inputs!$D$8),Inputs!$D$8+SQRT(B1861*(Inputs!$F$8-Inputs!$D$8)*(Inputs!$E$8-Inputs!$D$8)),Inputs!$F$8-SQRT((1-B1861)*(Inputs!$F$8-Inputs!$D$8)*(Inputs!$F$8-Inputs!$E$8))),0)</f>
        <v>23</v>
      </c>
      <c r="D1861" s="81" t="n">
        <f aca="true">RAND()</f>
        <v>0.951714270407852</v>
      </c>
      <c r="E1861" s="83" t="n">
        <f aca="false">IF(D1861&lt;(Inputs!$E$10-Inputs!$D$10)/(Inputs!$F$10-Inputs!$D$10),Inputs!$D$10+SQRT(D1861*(Inputs!$F$10-Inputs!$D$10)*(Inputs!$E$10-Inputs!$D$10)),Inputs!$F$10-SQRT((1-D1861)*(Inputs!$F$10-Inputs!$D$10)*(Inputs!$F$10-Inputs!$E$10)))</f>
        <v>0.161939891122536</v>
      </c>
      <c r="F1861" s="81" t="n">
        <f aca="true">RAND()</f>
        <v>0.163628998445164</v>
      </c>
      <c r="G1861" s="83" t="n">
        <f aca="false">IF(F1861&lt;(Inputs!$E$15-Inputs!$D$15)/(Inputs!$F$15-Inputs!$D$15),Inputs!$D$15+SQRT(F1861*(Inputs!$F$15-Inputs!$D$15)*(Inputs!$E$15-Inputs!$D$15)),Inputs!$F$15-SQRT((1-F1861)*(Inputs!$F$15-Inputs!$D$15)*(Inputs!$F$15-Inputs!$E$15)))</f>
        <v>0.657206467893965</v>
      </c>
      <c r="H1861" s="81" t="n">
        <f aca="true">RAND()</f>
        <v>0.194006281219845</v>
      </c>
      <c r="I1861" s="82" t="n">
        <f aca="false">ROUND(IF(H1861&lt;(Inputs!$E$17-Inputs!$D$17)/(Inputs!$F$17-Inputs!$D$17),Inputs!$D$17+SQRT(H1861*(Inputs!$F$17-Inputs!$D$17)*(Inputs!$E$17-Inputs!$D$17)),Inputs!$F$17-SQRT((1-H1861)*(Inputs!$F$17-Inputs!$D$17)*(Inputs!$F$17-Inputs!$E$17))),0)</f>
        <v>104</v>
      </c>
      <c r="J1861" s="81" t="n">
        <f aca="true">RAND()</f>
        <v>0.172693880990543</v>
      </c>
      <c r="K1861" s="83" t="n">
        <f aca="false">IF(J1861&lt;(Inputs!$E$18-Inputs!$D$18)/(Inputs!$F$18-Inputs!$D$18),Inputs!$D$18+SQRT(J1861*(Inputs!$F$18-Inputs!$D$18)*(Inputs!$E$18-Inputs!$D$18)),Inputs!$F$18-SQRT((1-J1861)*(Inputs!$F$18-Inputs!$D$18)*(Inputs!$F$18-Inputs!$E$18)))</f>
        <v>0.977745005207209</v>
      </c>
      <c r="L1861" s="81" t="n">
        <f aca="true">RAND()</f>
        <v>0.825277338146533</v>
      </c>
      <c r="M1861" s="83" t="n">
        <f aca="false">IF(L1861&lt;(Inputs!$E$24-Inputs!$D$24)/(Inputs!$F$24-Inputs!$D$24),Inputs!$D$24+SQRT(L1861*(Inputs!$F$24-Inputs!$D$24)*(Inputs!$E$24-Inputs!$D$24)),Inputs!$F$24-SQRT((1-L1861)*(Inputs!$F$24-Inputs!$D$24)*(Inputs!$F$24-Inputs!$E$24)))</f>
        <v>0.995223441661815</v>
      </c>
      <c r="N1861" s="81" t="n">
        <f aca="true">RAND()</f>
        <v>0.0624686918456804</v>
      </c>
      <c r="O1861" s="83" t="n">
        <f aca="false">IF(N1861&lt;(Inputs!$E$26-Inputs!$D$26)/(Inputs!$F$26-Inputs!$D$26),Inputs!$D$26+SQRT(N1861*(Inputs!$F$26-Inputs!$D$26)*(Inputs!$E$26-Inputs!$D$26)),Inputs!$F$26-SQRT((1-N1861)*(Inputs!$F$26-Inputs!$D$26)*(Inputs!$F$26-Inputs!$E$26)))</f>
        <v>0.401954844529925</v>
      </c>
      <c r="P1861" s="81" t="n">
        <f aca="true">RAND()</f>
        <v>0.566240157298152</v>
      </c>
      <c r="Q1861" s="82" t="n">
        <f aca="false">IF(P1861&lt;(Inputs!$E$27-Inputs!$D$27)/(Inputs!$F$27-Inputs!$D$27),Inputs!$D$27+SQRT(P1861*(Inputs!$F$27-Inputs!$D$27)*(Inputs!$E$27-Inputs!$D$27)),Inputs!$F$27-SQRT((1-P1861)*(Inputs!$F$27-Inputs!$D$27)*(Inputs!$F$27-Inputs!$E$27)))</f>
        <v>92.9631801354261</v>
      </c>
      <c r="R1861" s="81" t="n">
        <f aca="true">RAND()</f>
        <v>0.408585541813695</v>
      </c>
      <c r="S1861" s="82" t="n">
        <f aca="false">IF(R1861&lt;(Inputs!$E$29-Inputs!$D$29)/(Inputs!$F$29-Inputs!$D$29),Inputs!$D$29+SQRT(R1861*(Inputs!$F$29-Inputs!$D$29)*(Inputs!$E$29-Inputs!$D$29)),Inputs!$F$29-SQRT((1-R1861)*(Inputs!$F$29-Inputs!$D$29)*(Inputs!$F$29-Inputs!$E$29)))</f>
        <v>6.23165468493516</v>
      </c>
      <c r="T1861" s="68" t="n">
        <f aca="false">Inputs!$E$9*(1+E1861)+Inputs!$E$5*C1861*(Inputs!$E$11*Inputs!$E$14*(G1861*I1861/Inputs!$E$16+(1-G1861))*K1861+Inputs!$E$23*M1861)*(1+O1861)+Inputs!$E$5*(Q1861+S1861)</f>
        <v>5925.67441168195</v>
      </c>
    </row>
    <row r="1862" customFormat="false" ht="15" hidden="false" customHeight="false" outlineLevel="0" collapsed="false">
      <c r="A1862" s="1" t="n">
        <v>1858</v>
      </c>
      <c r="B1862" s="81" t="n">
        <f aca="true">RAND()</f>
        <v>0.292743895362015</v>
      </c>
      <c r="C1862" s="82" t="n">
        <f aca="false">ROUND(IF(B1862&lt;(Inputs!$E$8-Inputs!$D$8)/(Inputs!$F$8-Inputs!$D$8),Inputs!$D$8+SQRT(B1862*(Inputs!$F$8-Inputs!$D$8)*(Inputs!$E$8-Inputs!$D$8)),Inputs!$F$8-SQRT((1-B1862)*(Inputs!$F$8-Inputs!$D$8)*(Inputs!$F$8-Inputs!$E$8))),0)</f>
        <v>24</v>
      </c>
      <c r="D1862" s="81" t="n">
        <f aca="true">RAND()</f>
        <v>0.662876115290931</v>
      </c>
      <c r="E1862" s="83" t="n">
        <f aca="false">IF(D1862&lt;(Inputs!$E$10-Inputs!$D$10)/(Inputs!$F$10-Inputs!$D$10),Inputs!$D$10+SQRT(D1862*(Inputs!$F$10-Inputs!$D$10)*(Inputs!$E$10-Inputs!$D$10)),Inputs!$F$10-SQRT((1-D1862)*(Inputs!$F$10-Inputs!$D$10)*(Inputs!$F$10-Inputs!$E$10)))</f>
        <v>0.0994330245991654</v>
      </c>
      <c r="F1862" s="81" t="n">
        <f aca="true">RAND()</f>
        <v>0.890412945112818</v>
      </c>
      <c r="G1862" s="83" t="n">
        <f aca="false">IF(F1862&lt;(Inputs!$E$15-Inputs!$D$15)/(Inputs!$F$15-Inputs!$D$15),Inputs!$D$15+SQRT(F1862*(Inputs!$F$15-Inputs!$D$15)*(Inputs!$E$15-Inputs!$D$15)),Inputs!$F$15-SQRT((1-F1862)*(Inputs!$F$15-Inputs!$D$15)*(Inputs!$F$15-Inputs!$E$15)))</f>
        <v>0.753183965377836</v>
      </c>
      <c r="H1862" s="81" t="n">
        <f aca="true">RAND()</f>
        <v>0.95246436011973</v>
      </c>
      <c r="I1862" s="82" t="n">
        <f aca="false">ROUND(IF(H1862&lt;(Inputs!$E$17-Inputs!$D$17)/(Inputs!$F$17-Inputs!$D$17),Inputs!$D$17+SQRT(H1862*(Inputs!$F$17-Inputs!$D$17)*(Inputs!$E$17-Inputs!$D$17)),Inputs!$F$17-SQRT((1-H1862)*(Inputs!$F$17-Inputs!$D$17)*(Inputs!$F$17-Inputs!$E$17))),0)</f>
        <v>112</v>
      </c>
      <c r="J1862" s="81" t="n">
        <f aca="true">RAND()</f>
        <v>0.332908163509493</v>
      </c>
      <c r="K1862" s="83" t="n">
        <f aca="false">IF(J1862&lt;(Inputs!$E$18-Inputs!$D$18)/(Inputs!$F$18-Inputs!$D$18),Inputs!$D$18+SQRT(J1862*(Inputs!$F$18-Inputs!$D$18)*(Inputs!$E$18-Inputs!$D$18)),Inputs!$F$18-SQRT((1-J1862)*(Inputs!$F$18-Inputs!$D$18)*(Inputs!$F$18-Inputs!$E$18)))</f>
        <v>1.00840005030439</v>
      </c>
      <c r="L1862" s="81" t="n">
        <f aca="true">RAND()</f>
        <v>0.0412687890069351</v>
      </c>
      <c r="M1862" s="83" t="n">
        <f aca="false">IF(L1862&lt;(Inputs!$E$24-Inputs!$D$24)/(Inputs!$F$24-Inputs!$D$24),Inputs!$D$24+SQRT(L1862*(Inputs!$F$24-Inputs!$D$24)*(Inputs!$E$24-Inputs!$D$24)),Inputs!$F$24-SQRT((1-L1862)*(Inputs!$F$24-Inputs!$D$24)*(Inputs!$F$24-Inputs!$E$24)))</f>
        <v>0.6703722578921</v>
      </c>
      <c r="N1862" s="81" t="n">
        <f aca="true">RAND()</f>
        <v>0.847639346354141</v>
      </c>
      <c r="O1862" s="83" t="n">
        <f aca="false">IF(N1862&lt;(Inputs!$E$26-Inputs!$D$26)/(Inputs!$F$26-Inputs!$D$26),Inputs!$D$26+SQRT(N1862*(Inputs!$F$26-Inputs!$D$26)*(Inputs!$E$26-Inputs!$D$26)),Inputs!$F$26-SQRT((1-N1862)*(Inputs!$F$26-Inputs!$D$26)*(Inputs!$F$26-Inputs!$E$26)))</f>
        <v>0.694121058237808</v>
      </c>
      <c r="P1862" s="81" t="n">
        <f aca="true">RAND()</f>
        <v>0.798783924423149</v>
      </c>
      <c r="Q1862" s="82" t="n">
        <f aca="false">IF(P1862&lt;(Inputs!$E$27-Inputs!$D$27)/(Inputs!$F$27-Inputs!$D$27),Inputs!$D$27+SQRT(P1862*(Inputs!$F$27-Inputs!$D$27)*(Inputs!$E$27-Inputs!$D$27)),Inputs!$F$27-SQRT((1-P1862)*(Inputs!$F$27-Inputs!$D$27)*(Inputs!$F$27-Inputs!$E$27)))</f>
        <v>111.152598969476</v>
      </c>
      <c r="R1862" s="81" t="n">
        <f aca="true">RAND()</f>
        <v>0.401357847331861</v>
      </c>
      <c r="S1862" s="82" t="n">
        <f aca="false">IF(R1862&lt;(Inputs!$E$29-Inputs!$D$29)/(Inputs!$F$29-Inputs!$D$29),Inputs!$D$29+SQRT(R1862*(Inputs!$F$29-Inputs!$D$29)*(Inputs!$E$29-Inputs!$D$29)),Inputs!$F$29-SQRT((1-R1862)*(Inputs!$F$29-Inputs!$D$29)*(Inputs!$F$29-Inputs!$E$29)))</f>
        <v>6.17823827986394</v>
      </c>
      <c r="T1862" s="68" t="n">
        <f aca="false">Inputs!$E$9*(1+E1862)+Inputs!$E$5*C1862*(Inputs!$E$11*Inputs!$E$14*(G1862*I1862/Inputs!$E$16+(1-G1862))*K1862+Inputs!$E$23*M1862)*(1+O1862)+Inputs!$E$5*(Q1862+S1862)</f>
        <v>6196.26037034706</v>
      </c>
    </row>
    <row r="1863" customFormat="false" ht="15" hidden="false" customHeight="false" outlineLevel="0" collapsed="false">
      <c r="A1863" s="1" t="n">
        <v>1859</v>
      </c>
      <c r="B1863" s="81" t="n">
        <f aca="true">RAND()</f>
        <v>0.208254480990797</v>
      </c>
      <c r="C1863" s="82" t="n">
        <f aca="false">ROUND(IF(B1863&lt;(Inputs!$E$8-Inputs!$D$8)/(Inputs!$F$8-Inputs!$D$8),Inputs!$D$8+SQRT(B1863*(Inputs!$F$8-Inputs!$D$8)*(Inputs!$E$8-Inputs!$D$8)),Inputs!$F$8-SQRT((1-B1863)*(Inputs!$F$8-Inputs!$D$8)*(Inputs!$F$8-Inputs!$E$8))),0)</f>
        <v>23</v>
      </c>
      <c r="D1863" s="81" t="n">
        <f aca="true">RAND()</f>
        <v>0.400702763770899</v>
      </c>
      <c r="E1863" s="83" t="n">
        <f aca="false">IF(D1863&lt;(Inputs!$E$10-Inputs!$D$10)/(Inputs!$F$10-Inputs!$D$10),Inputs!$D$10+SQRT(D1863*(Inputs!$F$10-Inputs!$D$10)*(Inputs!$E$10-Inputs!$D$10)),Inputs!$F$10-SQRT((1-D1863)*(Inputs!$F$10-Inputs!$D$10)*(Inputs!$F$10-Inputs!$E$10)))</f>
        <v>0.0659145157488215</v>
      </c>
      <c r="F1863" s="81" t="n">
        <f aca="true">RAND()</f>
        <v>0.762885072617753</v>
      </c>
      <c r="G1863" s="83" t="n">
        <f aca="false">IF(F1863&lt;(Inputs!$E$15-Inputs!$D$15)/(Inputs!$F$15-Inputs!$D$15),Inputs!$D$15+SQRT(F1863*(Inputs!$F$15-Inputs!$D$15)*(Inputs!$E$15-Inputs!$D$15)),Inputs!$F$15-SQRT((1-F1863)*(Inputs!$F$15-Inputs!$D$15)*(Inputs!$F$15-Inputs!$E$15)))</f>
        <v>0.731135651112895</v>
      </c>
      <c r="H1863" s="81" t="n">
        <f aca="true">RAND()</f>
        <v>0.713167770155602</v>
      </c>
      <c r="I1863" s="82" t="n">
        <f aca="false">ROUND(IF(H1863&lt;(Inputs!$E$17-Inputs!$D$17)/(Inputs!$F$17-Inputs!$D$17),Inputs!$D$17+SQRT(H1863*(Inputs!$F$17-Inputs!$D$17)*(Inputs!$E$17-Inputs!$D$17)),Inputs!$F$17-SQRT((1-H1863)*(Inputs!$F$17-Inputs!$D$17)*(Inputs!$F$17-Inputs!$E$17))),0)</f>
        <v>108</v>
      </c>
      <c r="J1863" s="81" t="n">
        <f aca="true">RAND()</f>
        <v>0.0271965289383441</v>
      </c>
      <c r="K1863" s="83" t="n">
        <f aca="false">IF(J1863&lt;(Inputs!$E$18-Inputs!$D$18)/(Inputs!$F$18-Inputs!$D$18),Inputs!$D$18+SQRT(J1863*(Inputs!$F$18-Inputs!$D$18)*(Inputs!$E$18-Inputs!$D$18)),Inputs!$F$18-SQRT((1-J1863)*(Inputs!$F$18-Inputs!$D$18)*(Inputs!$F$18-Inputs!$E$18)))</f>
        <v>0.930852528467567</v>
      </c>
      <c r="L1863" s="81" t="n">
        <f aca="true">RAND()</f>
        <v>0.0162165302158207</v>
      </c>
      <c r="M1863" s="83" t="n">
        <f aca="false">IF(L1863&lt;(Inputs!$E$24-Inputs!$D$24)/(Inputs!$F$24-Inputs!$D$24),Inputs!$D$24+SQRT(L1863*(Inputs!$F$24-Inputs!$D$24)*(Inputs!$E$24-Inputs!$D$24)),Inputs!$F$24-SQRT((1-L1863)*(Inputs!$F$24-Inputs!$D$24)*(Inputs!$F$24-Inputs!$E$24)))</f>
        <v>0.644113304409197</v>
      </c>
      <c r="N1863" s="81" t="n">
        <f aca="true">RAND()</f>
        <v>0.88400704008905</v>
      </c>
      <c r="O1863" s="83" t="n">
        <f aca="false">IF(N1863&lt;(Inputs!$E$26-Inputs!$D$26)/(Inputs!$F$26-Inputs!$D$26),Inputs!$D$26+SQRT(N1863*(Inputs!$F$26-Inputs!$D$26)*(Inputs!$E$26-Inputs!$D$26)),Inputs!$F$26-SQRT((1-N1863)*(Inputs!$F$26-Inputs!$D$26)*(Inputs!$F$26-Inputs!$E$26)))</f>
        <v>0.710167091312581</v>
      </c>
      <c r="P1863" s="81" t="n">
        <f aca="true">RAND()</f>
        <v>0.411595650642263</v>
      </c>
      <c r="Q1863" s="82" t="n">
        <f aca="false">IF(P1863&lt;(Inputs!$E$27-Inputs!$D$27)/(Inputs!$F$27-Inputs!$D$27),Inputs!$D$27+SQRT(P1863*(Inputs!$F$27-Inputs!$D$27)*(Inputs!$E$27-Inputs!$D$27)),Inputs!$F$27-SQRT((1-P1863)*(Inputs!$F$27-Inputs!$D$27)*(Inputs!$F$27-Inputs!$E$27)))</f>
        <v>83.5693397580377</v>
      </c>
      <c r="R1863" s="81" t="n">
        <f aca="true">RAND()</f>
        <v>0.745958785292774</v>
      </c>
      <c r="S1863" s="82" t="n">
        <f aca="false">IF(R1863&lt;(Inputs!$E$29-Inputs!$D$29)/(Inputs!$F$29-Inputs!$D$29),Inputs!$D$29+SQRT(R1863*(Inputs!$F$29-Inputs!$D$29)*(Inputs!$E$29-Inputs!$D$29)),Inputs!$F$29-SQRT((1-R1863)*(Inputs!$F$29-Inputs!$D$29)*(Inputs!$F$29-Inputs!$E$29)))</f>
        <v>9.25323065436419</v>
      </c>
      <c r="T1863" s="68" t="n">
        <f aca="false">Inputs!$E$9*(1+E1863)+Inputs!$E$5*C1863*(Inputs!$E$11*Inputs!$E$14*(G1863*I1863/Inputs!$E$16+(1-G1863))*K1863+Inputs!$E$23*M1863)*(1+O1863)+Inputs!$E$5*(Q1863+S1863)</f>
        <v>5674.03108544503</v>
      </c>
    </row>
    <row r="1864" customFormat="false" ht="15" hidden="false" customHeight="false" outlineLevel="0" collapsed="false">
      <c r="A1864" s="1" t="n">
        <v>1860</v>
      </c>
      <c r="B1864" s="81" t="n">
        <f aca="true">RAND()</f>
        <v>0.252949234640392</v>
      </c>
      <c r="C1864" s="82" t="n">
        <f aca="false">ROUND(IF(B1864&lt;(Inputs!$E$8-Inputs!$D$8)/(Inputs!$F$8-Inputs!$D$8),Inputs!$D$8+SQRT(B1864*(Inputs!$F$8-Inputs!$D$8)*(Inputs!$E$8-Inputs!$D$8)),Inputs!$F$8-SQRT((1-B1864)*(Inputs!$F$8-Inputs!$D$8)*(Inputs!$F$8-Inputs!$E$8))),0)</f>
        <v>24</v>
      </c>
      <c r="D1864" s="81" t="n">
        <f aca="true">RAND()</f>
        <v>0.804125482542267</v>
      </c>
      <c r="E1864" s="83" t="n">
        <f aca="false">IF(D1864&lt;(Inputs!$E$10-Inputs!$D$10)/(Inputs!$F$10-Inputs!$D$10),Inputs!$D$10+SQRT(D1864*(Inputs!$F$10-Inputs!$D$10)*(Inputs!$E$10-Inputs!$D$10)),Inputs!$F$10-SQRT((1-D1864)*(Inputs!$F$10-Inputs!$D$10)*(Inputs!$F$10-Inputs!$E$10)))</f>
        <v>0.123343392171764</v>
      </c>
      <c r="F1864" s="81" t="n">
        <f aca="true">RAND()</f>
        <v>0.494466382171581</v>
      </c>
      <c r="G1864" s="83" t="n">
        <f aca="false">IF(F1864&lt;(Inputs!$E$15-Inputs!$D$15)/(Inputs!$F$15-Inputs!$D$15),Inputs!$D$15+SQRT(F1864*(Inputs!$F$15-Inputs!$D$15)*(Inputs!$E$15-Inputs!$D$15)),Inputs!$F$15-SQRT((1-F1864)*(Inputs!$F$15-Inputs!$D$15)*(Inputs!$F$15-Inputs!$E$15)))</f>
        <v>0.699445098639559</v>
      </c>
      <c r="H1864" s="81" t="n">
        <f aca="true">RAND()</f>
        <v>0.396114809678542</v>
      </c>
      <c r="I1864" s="82" t="n">
        <f aca="false">ROUND(IF(H1864&lt;(Inputs!$E$17-Inputs!$D$17)/(Inputs!$F$17-Inputs!$D$17),Inputs!$D$17+SQRT(H1864*(Inputs!$F$17-Inputs!$D$17)*(Inputs!$E$17-Inputs!$D$17)),Inputs!$F$17-SQRT((1-H1864)*(Inputs!$F$17-Inputs!$D$17)*(Inputs!$F$17-Inputs!$E$17))),0)</f>
        <v>105</v>
      </c>
      <c r="J1864" s="81" t="n">
        <f aca="true">RAND()</f>
        <v>0.622629490585421</v>
      </c>
      <c r="K1864" s="83" t="n">
        <f aca="false">IF(J1864&lt;(Inputs!$E$18-Inputs!$D$18)/(Inputs!$F$18-Inputs!$D$18),Inputs!$D$18+SQRT(J1864*(Inputs!$F$18-Inputs!$D$18)*(Inputs!$E$18-Inputs!$D$18)),Inputs!$F$18-SQRT((1-J1864)*(Inputs!$F$18-Inputs!$D$18)*(Inputs!$F$18-Inputs!$E$18)))</f>
        <v>1.06828616020298</v>
      </c>
      <c r="L1864" s="81" t="n">
        <f aca="true">RAND()</f>
        <v>0.842427603052675</v>
      </c>
      <c r="M1864" s="83" t="n">
        <f aca="false">IF(L1864&lt;(Inputs!$E$24-Inputs!$D$24)/(Inputs!$F$24-Inputs!$D$24),Inputs!$D$24+SQRT(L1864*(Inputs!$F$24-Inputs!$D$24)*(Inputs!$E$24-Inputs!$D$24)),Inputs!$F$24-SQRT((1-L1864)*(Inputs!$F$24-Inputs!$D$24)*(Inputs!$F$24-Inputs!$E$24)))</f>
        <v>1.00553309981553</v>
      </c>
      <c r="N1864" s="81" t="n">
        <f aca="true">RAND()</f>
        <v>0.765959713441779</v>
      </c>
      <c r="O1864" s="83" t="n">
        <f aca="false">IF(N1864&lt;(Inputs!$E$26-Inputs!$D$26)/(Inputs!$F$26-Inputs!$D$26),Inputs!$D$26+SQRT(N1864*(Inputs!$F$26-Inputs!$D$26)*(Inputs!$E$26-Inputs!$D$26)),Inputs!$F$26-SQRT((1-N1864)*(Inputs!$F$26-Inputs!$D$26)*(Inputs!$F$26-Inputs!$E$26)))</f>
        <v>0.663986571725204</v>
      </c>
      <c r="P1864" s="81" t="n">
        <f aca="true">RAND()</f>
        <v>0.297022624203379</v>
      </c>
      <c r="Q1864" s="82" t="n">
        <f aca="false">IF(P1864&lt;(Inputs!$E$27-Inputs!$D$27)/(Inputs!$F$27-Inputs!$D$27),Inputs!$D$27+SQRT(P1864*(Inputs!$F$27-Inputs!$D$27)*(Inputs!$E$27-Inputs!$D$27)),Inputs!$F$27-SQRT((1-P1864)*(Inputs!$F$27-Inputs!$D$27)*(Inputs!$F$27-Inputs!$E$27)))</f>
        <v>77.3891859398708</v>
      </c>
      <c r="R1864" s="81" t="n">
        <f aca="true">RAND()</f>
        <v>0.60320404421335</v>
      </c>
      <c r="S1864" s="82" t="n">
        <f aca="false">IF(R1864&lt;(Inputs!$E$29-Inputs!$D$29)/(Inputs!$F$29-Inputs!$D$29),Inputs!$D$29+SQRT(R1864*(Inputs!$F$29-Inputs!$D$29)*(Inputs!$E$29-Inputs!$D$29)),Inputs!$F$29-SQRT((1-R1864)*(Inputs!$F$29-Inputs!$D$29)*(Inputs!$F$29-Inputs!$E$29)))</f>
        <v>7.81783638084842</v>
      </c>
      <c r="T1864" s="68" t="n">
        <f aca="false">Inputs!$E$9*(1+E1864)+Inputs!$E$5*C1864*(Inputs!$E$11*Inputs!$E$14*(G1864*I1864/Inputs!$E$16+(1-G1864))*K1864+Inputs!$E$23*M1864)*(1+O1864)+Inputs!$E$5*(Q1864+S1864)</f>
        <v>6620.83678322062</v>
      </c>
    </row>
    <row r="1865" customFormat="false" ht="15" hidden="false" customHeight="false" outlineLevel="0" collapsed="false">
      <c r="A1865" s="1" t="n">
        <v>1861</v>
      </c>
      <c r="B1865" s="81" t="n">
        <f aca="true">RAND()</f>
        <v>0.632745288466116</v>
      </c>
      <c r="C1865" s="82" t="n">
        <f aca="false">ROUND(IF(B1865&lt;(Inputs!$E$8-Inputs!$D$8)/(Inputs!$F$8-Inputs!$D$8),Inputs!$D$8+SQRT(B1865*(Inputs!$F$8-Inputs!$D$8)*(Inputs!$E$8-Inputs!$D$8)),Inputs!$F$8-SQRT((1-B1865)*(Inputs!$F$8-Inputs!$D$8)*(Inputs!$F$8-Inputs!$E$8))),0)</f>
        <v>26</v>
      </c>
      <c r="D1865" s="81" t="n">
        <f aca="true">RAND()</f>
        <v>0.81466782947025</v>
      </c>
      <c r="E1865" s="83" t="n">
        <f aca="false">IF(D1865&lt;(Inputs!$E$10-Inputs!$D$10)/(Inputs!$F$10-Inputs!$D$10),Inputs!$D$10+SQRT(D1865*(Inputs!$F$10-Inputs!$D$10)*(Inputs!$E$10-Inputs!$D$10)),Inputs!$F$10-SQRT((1-D1865)*(Inputs!$F$10-Inputs!$D$10)*(Inputs!$F$10-Inputs!$E$10)))</f>
        <v>0.125434826387297</v>
      </c>
      <c r="F1865" s="81" t="n">
        <f aca="true">RAND()</f>
        <v>0.726834456783365</v>
      </c>
      <c r="G1865" s="83" t="n">
        <f aca="false">IF(F1865&lt;(Inputs!$E$15-Inputs!$D$15)/(Inputs!$F$15-Inputs!$D$15),Inputs!$D$15+SQRT(F1865*(Inputs!$F$15-Inputs!$D$15)*(Inputs!$E$15-Inputs!$D$15)),Inputs!$F$15-SQRT((1-F1865)*(Inputs!$F$15-Inputs!$D$15)*(Inputs!$F$15-Inputs!$E$15)))</f>
        <v>0.726085787129046</v>
      </c>
      <c r="H1865" s="81" t="n">
        <f aca="true">RAND()</f>
        <v>0.385828800666682</v>
      </c>
      <c r="I1865" s="82" t="n">
        <f aca="false">ROUND(IF(H1865&lt;(Inputs!$E$17-Inputs!$D$17)/(Inputs!$F$17-Inputs!$D$17),Inputs!$D$17+SQRT(H1865*(Inputs!$F$17-Inputs!$D$17)*(Inputs!$E$17-Inputs!$D$17)),Inputs!$F$17-SQRT((1-H1865)*(Inputs!$F$17-Inputs!$D$17)*(Inputs!$F$17-Inputs!$E$17))),0)</f>
        <v>105</v>
      </c>
      <c r="J1865" s="81" t="n">
        <f aca="true">RAND()</f>
        <v>0.546734504069384</v>
      </c>
      <c r="K1865" s="83" t="n">
        <f aca="false">IF(J1865&lt;(Inputs!$E$18-Inputs!$D$18)/(Inputs!$F$18-Inputs!$D$18),Inputs!$D$18+SQRT(J1865*(Inputs!$F$18-Inputs!$D$18)*(Inputs!$E$18-Inputs!$D$18)),Inputs!$F$18-SQRT((1-J1865)*(Inputs!$F$18-Inputs!$D$18)*(Inputs!$F$18-Inputs!$E$18)))</f>
        <v>1.05084997892561</v>
      </c>
      <c r="L1865" s="81" t="n">
        <f aca="true">RAND()</f>
        <v>0.137756082923918</v>
      </c>
      <c r="M1865" s="83" t="n">
        <f aca="false">IF(L1865&lt;(Inputs!$E$24-Inputs!$D$24)/(Inputs!$F$24-Inputs!$D$24),Inputs!$D$24+SQRT(L1865*(Inputs!$F$24-Inputs!$D$24)*(Inputs!$E$24-Inputs!$D$24)),Inputs!$F$24-SQRT((1-L1865)*(Inputs!$F$24-Inputs!$D$24)*(Inputs!$F$24-Inputs!$E$24)))</f>
        <v>0.728571886316061</v>
      </c>
      <c r="N1865" s="81" t="n">
        <f aca="true">RAND()</f>
        <v>0.651531098042059</v>
      </c>
      <c r="O1865" s="83" t="n">
        <f aca="false">IF(N1865&lt;(Inputs!$E$26-Inputs!$D$26)/(Inputs!$F$26-Inputs!$D$26),Inputs!$D$26+SQRT(N1865*(Inputs!$F$26-Inputs!$D$26)*(Inputs!$E$26-Inputs!$D$26)),Inputs!$F$26-SQRT((1-N1865)*(Inputs!$F$26-Inputs!$D$26)*(Inputs!$F$26-Inputs!$E$26)))</f>
        <v>0.629629924085675</v>
      </c>
      <c r="P1865" s="81" t="n">
        <f aca="true">RAND()</f>
        <v>0.0196417327300443</v>
      </c>
      <c r="Q1865" s="82" t="n">
        <f aca="false">IF(P1865&lt;(Inputs!$E$27-Inputs!$D$27)/(Inputs!$F$27-Inputs!$D$27),Inputs!$D$27+SQRT(P1865*(Inputs!$F$27-Inputs!$D$27)*(Inputs!$E$27-Inputs!$D$27)),Inputs!$F$27-SQRT((1-P1865)*(Inputs!$F$27-Inputs!$D$27)*(Inputs!$F$27-Inputs!$E$27)))</f>
        <v>57.0074483105558</v>
      </c>
      <c r="R1865" s="81" t="n">
        <f aca="true">RAND()</f>
        <v>0.521547968896827</v>
      </c>
      <c r="S1865" s="82" t="n">
        <f aca="false">IF(R1865&lt;(Inputs!$E$29-Inputs!$D$29)/(Inputs!$F$29-Inputs!$D$29),Inputs!$D$29+SQRT(R1865*(Inputs!$F$29-Inputs!$D$29)*(Inputs!$E$29-Inputs!$D$29)),Inputs!$F$29-SQRT((1-R1865)*(Inputs!$F$29-Inputs!$D$29)*(Inputs!$F$29-Inputs!$E$29)))</f>
        <v>7.11338069617834</v>
      </c>
      <c r="T1865" s="68" t="n">
        <f aca="false">Inputs!$E$9*(1+E1865)+Inputs!$E$5*C1865*(Inputs!$E$11*Inputs!$E$14*(G1865*I1865/Inputs!$E$16+(1-G1865))*K1865+Inputs!$E$23*M1865)*(1+O1865)+Inputs!$E$5*(Q1865+S1865)</f>
        <v>6249.45090446407</v>
      </c>
    </row>
    <row r="1866" customFormat="false" ht="15" hidden="false" customHeight="false" outlineLevel="0" collapsed="false">
      <c r="A1866" s="1" t="n">
        <v>1862</v>
      </c>
      <c r="B1866" s="81" t="n">
        <f aca="true">RAND()</f>
        <v>0.33253830066665</v>
      </c>
      <c r="C1866" s="82" t="n">
        <f aca="false">ROUND(IF(B1866&lt;(Inputs!$E$8-Inputs!$D$8)/(Inputs!$F$8-Inputs!$D$8),Inputs!$D$8+SQRT(B1866*(Inputs!$F$8-Inputs!$D$8)*(Inputs!$E$8-Inputs!$D$8)),Inputs!$F$8-SQRT((1-B1866)*(Inputs!$F$8-Inputs!$D$8)*(Inputs!$F$8-Inputs!$E$8))),0)</f>
        <v>24</v>
      </c>
      <c r="D1866" s="81" t="n">
        <f aca="true">RAND()</f>
        <v>0.114039287122253</v>
      </c>
      <c r="E1866" s="83" t="n">
        <f aca="false">IF(D1866&lt;(Inputs!$E$10-Inputs!$D$10)/(Inputs!$F$10-Inputs!$D$10),Inputs!$D$10+SQRT(D1866*(Inputs!$F$10-Inputs!$D$10)*(Inputs!$E$10-Inputs!$D$10)),Inputs!$F$10-SQRT((1-D1866)*(Inputs!$F$10-Inputs!$D$10)*(Inputs!$F$10-Inputs!$E$10)))</f>
        <v>0.0337697034518002</v>
      </c>
      <c r="F1866" s="81" t="n">
        <f aca="true">RAND()</f>
        <v>0.368990032770168</v>
      </c>
      <c r="G1866" s="83" t="n">
        <f aca="false">IF(F1866&lt;(Inputs!$E$15-Inputs!$D$15)/(Inputs!$F$15-Inputs!$D$15),Inputs!$D$15+SQRT(F1866*(Inputs!$F$15-Inputs!$D$15)*(Inputs!$E$15-Inputs!$D$15)),Inputs!$F$15-SQRT((1-F1866)*(Inputs!$F$15-Inputs!$D$15)*(Inputs!$F$15-Inputs!$E$15)))</f>
        <v>0.685905766135943</v>
      </c>
      <c r="H1866" s="81" t="n">
        <f aca="true">RAND()</f>
        <v>0.281898386538196</v>
      </c>
      <c r="I1866" s="82" t="n">
        <f aca="false">ROUND(IF(H1866&lt;(Inputs!$E$17-Inputs!$D$17)/(Inputs!$F$17-Inputs!$D$17),Inputs!$D$17+SQRT(H1866*(Inputs!$F$17-Inputs!$D$17)*(Inputs!$E$17-Inputs!$D$17)),Inputs!$F$17-SQRT((1-H1866)*(Inputs!$F$17-Inputs!$D$17)*(Inputs!$F$17-Inputs!$E$17))),0)</f>
        <v>105</v>
      </c>
      <c r="J1866" s="81" t="n">
        <f aca="true">RAND()</f>
        <v>0.913486299491259</v>
      </c>
      <c r="K1866" s="83" t="n">
        <f aca="false">IF(J1866&lt;(Inputs!$E$18-Inputs!$D$18)/(Inputs!$F$18-Inputs!$D$18),Inputs!$D$18+SQRT(J1866*(Inputs!$F$18-Inputs!$D$18)*(Inputs!$E$18-Inputs!$D$18)),Inputs!$F$18-SQRT((1-J1866)*(Inputs!$F$18-Inputs!$D$18)*(Inputs!$F$18-Inputs!$E$18)))</f>
        <v>1.16299454732883</v>
      </c>
      <c r="L1866" s="81" t="n">
        <f aca="true">RAND()</f>
        <v>0.423911352392356</v>
      </c>
      <c r="M1866" s="83" t="n">
        <f aca="false">IF(L1866&lt;(Inputs!$E$24-Inputs!$D$24)/(Inputs!$F$24-Inputs!$D$24),Inputs!$D$24+SQRT(L1866*(Inputs!$F$24-Inputs!$D$24)*(Inputs!$E$24-Inputs!$D$24)),Inputs!$F$24-SQRT((1-L1866)*(Inputs!$F$24-Inputs!$D$24)*(Inputs!$F$24-Inputs!$E$24)))</f>
        <v>0.828164988972482</v>
      </c>
      <c r="N1866" s="81" t="n">
        <f aca="true">RAND()</f>
        <v>0.936191950072151</v>
      </c>
      <c r="O1866" s="83" t="n">
        <f aca="false">IF(N1866&lt;(Inputs!$E$26-Inputs!$D$26)/(Inputs!$F$26-Inputs!$D$26),Inputs!$D$26+SQRT(N1866*(Inputs!$F$26-Inputs!$D$26)*(Inputs!$E$26-Inputs!$D$26)),Inputs!$F$26-SQRT((1-N1866)*(Inputs!$F$26-Inputs!$D$26)*(Inputs!$F$26-Inputs!$E$26)))</f>
        <v>0.738538124300405</v>
      </c>
      <c r="P1866" s="81" t="n">
        <f aca="true">RAND()</f>
        <v>0.503208875937682</v>
      </c>
      <c r="Q1866" s="82" t="n">
        <f aca="false">IF(P1866&lt;(Inputs!$E$27-Inputs!$D$27)/(Inputs!$F$27-Inputs!$D$27),Inputs!$D$27+SQRT(P1866*(Inputs!$F$27-Inputs!$D$27)*(Inputs!$E$27-Inputs!$D$27)),Inputs!$F$27-SQRT((1-P1866)*(Inputs!$F$27-Inputs!$D$27)*(Inputs!$F$27-Inputs!$E$27)))</f>
        <v>88.9595754399809</v>
      </c>
      <c r="R1866" s="81" t="n">
        <f aca="true">RAND()</f>
        <v>0.897280325127039</v>
      </c>
      <c r="S1866" s="82" t="n">
        <f aca="false">IF(R1866&lt;(Inputs!$E$29-Inputs!$D$29)/(Inputs!$F$29-Inputs!$D$29),Inputs!$D$29+SQRT(R1866*(Inputs!$F$29-Inputs!$D$29)*(Inputs!$E$29-Inputs!$D$29)),Inputs!$F$29-SQRT((1-R1866)*(Inputs!$F$29-Inputs!$D$29)*(Inputs!$F$29-Inputs!$E$29)))</f>
        <v>11.345747992614</v>
      </c>
      <c r="T1866" s="68" t="n">
        <f aca="false">Inputs!$E$9*(1+E1866)+Inputs!$E$5*C1866*(Inputs!$E$11*Inputs!$E$14*(G1866*I1866/Inputs!$E$16+(1-G1866))*K1866+Inputs!$E$23*M1866)*(1+O1866)+Inputs!$E$5*(Q1866+S1866)</f>
        <v>6636.40417612608</v>
      </c>
    </row>
    <row r="1867" customFormat="false" ht="15" hidden="false" customHeight="false" outlineLevel="0" collapsed="false">
      <c r="A1867" s="1" t="n">
        <v>1863</v>
      </c>
      <c r="B1867" s="81" t="n">
        <f aca="true">RAND()</f>
        <v>0.172863614855168</v>
      </c>
      <c r="C1867" s="82" t="n">
        <f aca="false">ROUND(IF(B1867&lt;(Inputs!$E$8-Inputs!$D$8)/(Inputs!$F$8-Inputs!$D$8),Inputs!$D$8+SQRT(B1867*(Inputs!$F$8-Inputs!$D$8)*(Inputs!$E$8-Inputs!$D$8)),Inputs!$F$8-SQRT((1-B1867)*(Inputs!$F$8-Inputs!$D$8)*(Inputs!$F$8-Inputs!$E$8))),0)</f>
        <v>23</v>
      </c>
      <c r="D1867" s="81" t="n">
        <f aca="true">RAND()</f>
        <v>0.103781161539221</v>
      </c>
      <c r="E1867" s="83" t="n">
        <f aca="false">IF(D1867&lt;(Inputs!$E$10-Inputs!$D$10)/(Inputs!$F$10-Inputs!$D$10),Inputs!$D$10+SQRT(D1867*(Inputs!$F$10-Inputs!$D$10)*(Inputs!$E$10-Inputs!$D$10)),Inputs!$F$10-SQRT((1-D1867)*(Inputs!$F$10-Inputs!$D$10)*(Inputs!$F$10-Inputs!$E$10)))</f>
        <v>0.0322150836626604</v>
      </c>
      <c r="F1867" s="81" t="n">
        <f aca="true">RAND()</f>
        <v>0.721497344826987</v>
      </c>
      <c r="G1867" s="83" t="n">
        <f aca="false">IF(F1867&lt;(Inputs!$E$15-Inputs!$D$15)/(Inputs!$F$15-Inputs!$D$15),Inputs!$D$15+SQRT(F1867*(Inputs!$F$15-Inputs!$D$15)*(Inputs!$E$15-Inputs!$D$15)),Inputs!$F$15-SQRT((1-F1867)*(Inputs!$F$15-Inputs!$D$15)*(Inputs!$F$15-Inputs!$E$15)))</f>
        <v>0.725367211606022</v>
      </c>
      <c r="H1867" s="81" t="n">
        <f aca="true">RAND()</f>
        <v>0.638700029593074</v>
      </c>
      <c r="I1867" s="82" t="n">
        <f aca="false">ROUND(IF(H1867&lt;(Inputs!$E$17-Inputs!$D$17)/(Inputs!$F$17-Inputs!$D$17),Inputs!$D$17+SQRT(H1867*(Inputs!$F$17-Inputs!$D$17)*(Inputs!$E$17-Inputs!$D$17)),Inputs!$F$17-SQRT((1-H1867)*(Inputs!$F$17-Inputs!$D$17)*(Inputs!$F$17-Inputs!$E$17))),0)</f>
        <v>108</v>
      </c>
      <c r="J1867" s="81" t="n">
        <f aca="true">RAND()</f>
        <v>0.730167599407331</v>
      </c>
      <c r="K1867" s="83" t="n">
        <f aca="false">IF(J1867&lt;(Inputs!$E$18-Inputs!$D$18)/(Inputs!$F$18-Inputs!$D$18),Inputs!$D$18+SQRT(J1867*(Inputs!$F$18-Inputs!$D$18)*(Inputs!$E$18-Inputs!$D$18)),Inputs!$F$18-SQRT((1-J1867)*(Inputs!$F$18-Inputs!$D$18)*(Inputs!$F$18-Inputs!$E$18)))</f>
        <v>1.09634345099587</v>
      </c>
      <c r="L1867" s="81" t="n">
        <f aca="true">RAND()</f>
        <v>0.102154424307867</v>
      </c>
      <c r="M1867" s="83" t="n">
        <f aca="false">IF(L1867&lt;(Inputs!$E$24-Inputs!$D$24)/(Inputs!$F$24-Inputs!$D$24),Inputs!$D$24+SQRT(L1867*(Inputs!$F$24-Inputs!$D$24)*(Inputs!$E$24-Inputs!$D$24)),Inputs!$F$24-SQRT((1-L1867)*(Inputs!$F$24-Inputs!$D$24)*(Inputs!$F$24-Inputs!$E$24)))</f>
        <v>0.710718250153008</v>
      </c>
      <c r="N1867" s="81" t="n">
        <f aca="true">RAND()</f>
        <v>0.114635614688871</v>
      </c>
      <c r="O1867" s="83" t="n">
        <f aca="false">IF(N1867&lt;(Inputs!$E$26-Inputs!$D$26)/(Inputs!$F$26-Inputs!$D$26),Inputs!$D$26+SQRT(N1867*(Inputs!$F$26-Inputs!$D$26)*(Inputs!$E$26-Inputs!$D$26)),Inputs!$F$26-SQRT((1-N1867)*(Inputs!$F$26-Inputs!$D$26)*(Inputs!$F$26-Inputs!$E$26)))</f>
        <v>0.438113599200904</v>
      </c>
      <c r="P1867" s="81" t="n">
        <f aca="true">RAND()</f>
        <v>0.48650359640132</v>
      </c>
      <c r="Q1867" s="82" t="n">
        <f aca="false">IF(P1867&lt;(Inputs!$E$27-Inputs!$D$27)/(Inputs!$F$27-Inputs!$D$27),Inputs!$D$27+SQRT(P1867*(Inputs!$F$27-Inputs!$D$27)*(Inputs!$E$27-Inputs!$D$27)),Inputs!$F$27-SQRT((1-P1867)*(Inputs!$F$27-Inputs!$D$27)*(Inputs!$F$27-Inputs!$E$27)))</f>
        <v>87.9417771202712</v>
      </c>
      <c r="R1867" s="81" t="n">
        <f aca="true">RAND()</f>
        <v>0.912291675509618</v>
      </c>
      <c r="S1867" s="82" t="n">
        <f aca="false">IF(R1867&lt;(Inputs!$E$29-Inputs!$D$29)/(Inputs!$F$29-Inputs!$D$29),Inputs!$D$29+SQRT(R1867*(Inputs!$F$29-Inputs!$D$29)*(Inputs!$E$29-Inputs!$D$29)),Inputs!$F$29-SQRT((1-R1867)*(Inputs!$F$29-Inputs!$D$29)*(Inputs!$F$29-Inputs!$E$29)))</f>
        <v>11.6233030660497</v>
      </c>
      <c r="T1867" s="68" t="n">
        <f aca="false">Inputs!$E$9*(1+E1867)+Inputs!$E$5*C1867*(Inputs!$E$11*Inputs!$E$14*(G1867*I1867/Inputs!$E$16+(1-G1867))*K1867+Inputs!$E$23*M1867)*(1+O1867)+Inputs!$E$5*(Q1867+S1867)</f>
        <v>5556.37574026823</v>
      </c>
    </row>
    <row r="1868" customFormat="false" ht="15" hidden="false" customHeight="false" outlineLevel="0" collapsed="false">
      <c r="A1868" s="1" t="n">
        <v>1864</v>
      </c>
      <c r="B1868" s="81" t="n">
        <f aca="true">RAND()</f>
        <v>0.570405089033034</v>
      </c>
      <c r="C1868" s="82" t="n">
        <f aca="false">ROUND(IF(B1868&lt;(Inputs!$E$8-Inputs!$D$8)/(Inputs!$F$8-Inputs!$D$8),Inputs!$D$8+SQRT(B1868*(Inputs!$F$8-Inputs!$D$8)*(Inputs!$E$8-Inputs!$D$8)),Inputs!$F$8-SQRT((1-B1868)*(Inputs!$F$8-Inputs!$D$8)*(Inputs!$F$8-Inputs!$E$8))),0)</f>
        <v>25</v>
      </c>
      <c r="D1868" s="81" t="n">
        <f aca="true">RAND()</f>
        <v>0.423512770710602</v>
      </c>
      <c r="E1868" s="83" t="n">
        <f aca="false">IF(D1868&lt;(Inputs!$E$10-Inputs!$D$10)/(Inputs!$F$10-Inputs!$D$10),Inputs!$D$10+SQRT(D1868*(Inputs!$F$10-Inputs!$D$10)*(Inputs!$E$10-Inputs!$D$10)),Inputs!$F$10-SQRT((1-D1868)*(Inputs!$F$10-Inputs!$D$10)*(Inputs!$F$10-Inputs!$E$10)))</f>
        <v>0.0684910007692176</v>
      </c>
      <c r="F1868" s="81" t="n">
        <f aca="true">RAND()</f>
        <v>0.706576367382619</v>
      </c>
      <c r="G1868" s="83" t="n">
        <f aca="false">IF(F1868&lt;(Inputs!$E$15-Inputs!$D$15)/(Inputs!$F$15-Inputs!$D$15),Inputs!$D$15+SQRT(F1868*(Inputs!$F$15-Inputs!$D$15)*(Inputs!$E$15-Inputs!$D$15)),Inputs!$F$15-SQRT((1-F1868)*(Inputs!$F$15-Inputs!$D$15)*(Inputs!$F$15-Inputs!$E$15)))</f>
        <v>0.723394042970879</v>
      </c>
      <c r="H1868" s="81" t="n">
        <f aca="true">RAND()</f>
        <v>0.457693809511617</v>
      </c>
      <c r="I1868" s="82" t="n">
        <f aca="false">ROUND(IF(H1868&lt;(Inputs!$E$17-Inputs!$D$17)/(Inputs!$F$17-Inputs!$D$17),Inputs!$D$17+SQRT(H1868*(Inputs!$F$17-Inputs!$D$17)*(Inputs!$E$17-Inputs!$D$17)),Inputs!$F$17-SQRT((1-H1868)*(Inputs!$F$17-Inputs!$D$17)*(Inputs!$F$17-Inputs!$E$17))),0)</f>
        <v>106</v>
      </c>
      <c r="J1868" s="81" t="n">
        <f aca="true">RAND()</f>
        <v>0.857566199593482</v>
      </c>
      <c r="K1868" s="83" t="n">
        <f aca="false">IF(J1868&lt;(Inputs!$E$18-Inputs!$D$18)/(Inputs!$F$18-Inputs!$D$18),Inputs!$D$18+SQRT(J1868*(Inputs!$F$18-Inputs!$D$18)*(Inputs!$E$18-Inputs!$D$18)),Inputs!$F$18-SQRT((1-J1868)*(Inputs!$F$18-Inputs!$D$18)*(Inputs!$F$18-Inputs!$E$18)))</f>
        <v>1.13836238297254</v>
      </c>
      <c r="L1868" s="81" t="n">
        <f aca="true">RAND()</f>
        <v>0.636153406847738</v>
      </c>
      <c r="M1868" s="83" t="n">
        <f aca="false">IF(L1868&lt;(Inputs!$E$24-Inputs!$D$24)/(Inputs!$F$24-Inputs!$D$24),Inputs!$D$24+SQRT(L1868*(Inputs!$F$24-Inputs!$D$24)*(Inputs!$E$24-Inputs!$D$24)),Inputs!$F$24-SQRT((1-L1868)*(Inputs!$F$24-Inputs!$D$24)*(Inputs!$F$24-Inputs!$E$24)))</f>
        <v>0.904495038355457</v>
      </c>
      <c r="N1868" s="81" t="n">
        <f aca="true">RAND()</f>
        <v>0.230365599096483</v>
      </c>
      <c r="O1868" s="83" t="n">
        <f aca="false">IF(N1868&lt;(Inputs!$E$26-Inputs!$D$26)/(Inputs!$F$26-Inputs!$D$26),Inputs!$D$26+SQRT(N1868*(Inputs!$F$26-Inputs!$D$26)*(Inputs!$E$26-Inputs!$D$26)),Inputs!$F$26-SQRT((1-N1868)*(Inputs!$F$26-Inputs!$D$26)*(Inputs!$F$26-Inputs!$E$26)))</f>
        <v>0.495787731203094</v>
      </c>
      <c r="P1868" s="81" t="n">
        <f aca="true">RAND()</f>
        <v>0.801809582536255</v>
      </c>
      <c r="Q1868" s="82" t="n">
        <f aca="false">IF(P1868&lt;(Inputs!$E$27-Inputs!$D$27)/(Inputs!$F$27-Inputs!$D$27),Inputs!$D$27+SQRT(P1868*(Inputs!$F$27-Inputs!$D$27)*(Inputs!$E$27-Inputs!$D$27)),Inputs!$F$27-SQRT((1-P1868)*(Inputs!$F$27-Inputs!$D$27)*(Inputs!$F$27-Inputs!$E$27)))</f>
        <v>111.445776742644</v>
      </c>
      <c r="R1868" s="81" t="n">
        <f aca="true">RAND()</f>
        <v>0.599913596717564</v>
      </c>
      <c r="S1868" s="82" t="n">
        <f aca="false">IF(R1868&lt;(Inputs!$E$29-Inputs!$D$29)/(Inputs!$F$29-Inputs!$D$29),Inputs!$D$29+SQRT(R1868*(Inputs!$F$29-Inputs!$D$29)*(Inputs!$E$29-Inputs!$D$29)),Inputs!$F$29-SQRT((1-R1868)*(Inputs!$F$29-Inputs!$D$29)*(Inputs!$F$29-Inputs!$E$29)))</f>
        <v>7.78811866246285</v>
      </c>
      <c r="T1868" s="68" t="n">
        <f aca="false">Inputs!$E$9*(1+E1868)+Inputs!$E$5*C1868*(Inputs!$E$11*Inputs!$E$14*(G1868*I1868/Inputs!$E$16+(1-G1868))*K1868+Inputs!$E$23*M1868)*(1+O1868)+Inputs!$E$5*(Q1868+S1868)</f>
        <v>6418.32013173554</v>
      </c>
    </row>
    <row r="1869" customFormat="false" ht="15" hidden="false" customHeight="false" outlineLevel="0" collapsed="false">
      <c r="A1869" s="1" t="n">
        <v>1865</v>
      </c>
      <c r="B1869" s="81" t="n">
        <f aca="true">RAND()</f>
        <v>0.906979584857725</v>
      </c>
      <c r="C1869" s="82" t="n">
        <f aca="false">ROUND(IF(B1869&lt;(Inputs!$E$8-Inputs!$D$8)/(Inputs!$F$8-Inputs!$D$8),Inputs!$D$8+SQRT(B1869*(Inputs!$F$8-Inputs!$D$8)*(Inputs!$E$8-Inputs!$D$8)),Inputs!$F$8-SQRT((1-B1869)*(Inputs!$F$8-Inputs!$D$8)*(Inputs!$F$8-Inputs!$E$8))),0)</f>
        <v>28</v>
      </c>
      <c r="D1869" s="81" t="n">
        <f aca="true">RAND()</f>
        <v>0.616609203423048</v>
      </c>
      <c r="E1869" s="83" t="n">
        <f aca="false">IF(D1869&lt;(Inputs!$E$10-Inputs!$D$10)/(Inputs!$F$10-Inputs!$D$10),Inputs!$D$10+SQRT(D1869*(Inputs!$F$10-Inputs!$D$10)*(Inputs!$E$10-Inputs!$D$10)),Inputs!$F$10-SQRT((1-D1869)*(Inputs!$F$10-Inputs!$D$10)*(Inputs!$F$10-Inputs!$E$10)))</f>
        <v>0.0927539096409172</v>
      </c>
      <c r="F1869" s="81" t="n">
        <f aca="true">RAND()</f>
        <v>0.25989824316432</v>
      </c>
      <c r="G1869" s="83" t="n">
        <f aca="false">IF(F1869&lt;(Inputs!$E$15-Inputs!$D$15)/(Inputs!$F$15-Inputs!$D$15),Inputs!$D$15+SQRT(F1869*(Inputs!$F$15-Inputs!$D$15)*(Inputs!$E$15-Inputs!$D$15)),Inputs!$F$15-SQRT((1-F1869)*(Inputs!$F$15-Inputs!$D$15)*(Inputs!$F$15-Inputs!$E$15)))</f>
        <v>0.672096912994153</v>
      </c>
      <c r="H1869" s="81" t="n">
        <f aca="true">RAND()</f>
        <v>0.344577629346479</v>
      </c>
      <c r="I1869" s="82" t="n">
        <f aca="false">ROUND(IF(H1869&lt;(Inputs!$E$17-Inputs!$D$17)/(Inputs!$F$17-Inputs!$D$17),Inputs!$D$17+SQRT(H1869*(Inputs!$F$17-Inputs!$D$17)*(Inputs!$E$17-Inputs!$D$17)),Inputs!$F$17-SQRT((1-H1869)*(Inputs!$F$17-Inputs!$D$17)*(Inputs!$F$17-Inputs!$E$17))),0)</f>
        <v>105</v>
      </c>
      <c r="J1869" s="81" t="n">
        <f aca="true">RAND()</f>
        <v>0.910070721244705</v>
      </c>
      <c r="K1869" s="83" t="n">
        <f aca="false">IF(J1869&lt;(Inputs!$E$18-Inputs!$D$18)/(Inputs!$F$18-Inputs!$D$18),Inputs!$D$18+SQRT(J1869*(Inputs!$F$18-Inputs!$D$18)*(Inputs!$E$18-Inputs!$D$18)),Inputs!$F$18-SQRT((1-J1869)*(Inputs!$F$18-Inputs!$D$18)*(Inputs!$F$18-Inputs!$E$18)))</f>
        <v>1.1612936761494</v>
      </c>
      <c r="L1869" s="81" t="n">
        <f aca="true">RAND()</f>
        <v>0.983091132200542</v>
      </c>
      <c r="M1869" s="83" t="n">
        <f aca="false">IF(L1869&lt;(Inputs!$E$24-Inputs!$D$24)/(Inputs!$F$24-Inputs!$D$24),Inputs!$D$24+SQRT(L1869*(Inputs!$F$24-Inputs!$D$24)*(Inputs!$E$24-Inputs!$D$24)),Inputs!$F$24-SQRT((1-L1869)*(Inputs!$F$24-Inputs!$D$24)*(Inputs!$F$24-Inputs!$E$24)))</f>
        <v>1.13629655996832</v>
      </c>
      <c r="N1869" s="81" t="n">
        <f aca="true">RAND()</f>
        <v>0.0824297375169925</v>
      </c>
      <c r="O1869" s="83" t="n">
        <f aca="false">IF(N1869&lt;(Inputs!$E$26-Inputs!$D$26)/(Inputs!$F$26-Inputs!$D$26),Inputs!$D$26+SQRT(N1869*(Inputs!$F$26-Inputs!$D$26)*(Inputs!$E$26-Inputs!$D$26)),Inputs!$F$26-SQRT((1-N1869)*(Inputs!$F$26-Inputs!$D$26)*(Inputs!$F$26-Inputs!$E$26)))</f>
        <v>0.417116644089675</v>
      </c>
      <c r="P1869" s="81" t="n">
        <f aca="true">RAND()</f>
        <v>0.141511469251563</v>
      </c>
      <c r="Q1869" s="82" t="n">
        <f aca="false">IF(P1869&lt;(Inputs!$E$27-Inputs!$D$27)/(Inputs!$F$27-Inputs!$D$27),Inputs!$D$27+SQRT(P1869*(Inputs!$F$27-Inputs!$D$27)*(Inputs!$E$27-Inputs!$D$27)),Inputs!$F$27-SQRT((1-P1869)*(Inputs!$F$27-Inputs!$D$27)*(Inputs!$F$27-Inputs!$E$27)))</f>
        <v>68.8090051073656</v>
      </c>
      <c r="R1869" s="81" t="n">
        <f aca="true">RAND()</f>
        <v>0.651432110394993</v>
      </c>
      <c r="S1869" s="82" t="n">
        <f aca="false">IF(R1869&lt;(Inputs!$E$29-Inputs!$D$29)/(Inputs!$F$29-Inputs!$D$29),Inputs!$D$29+SQRT(R1869*(Inputs!$F$29-Inputs!$D$29)*(Inputs!$E$29-Inputs!$D$29)),Inputs!$F$29-SQRT((1-R1869)*(Inputs!$F$29-Inputs!$D$29)*(Inputs!$F$29-Inputs!$E$29)))</f>
        <v>8.26844552509222</v>
      </c>
      <c r="T1869" s="68" t="n">
        <f aca="false">Inputs!$E$9*(1+E1869)+Inputs!$E$5*C1869*(Inputs!$E$11*Inputs!$E$14*(G1869*I1869/Inputs!$E$16+(1-G1869))*K1869+Inputs!$E$23*M1869)*(1+O1869)+Inputs!$E$5*(Q1869+S1869)</f>
        <v>6914.18264419183</v>
      </c>
    </row>
    <row r="1870" customFormat="false" ht="15" hidden="false" customHeight="false" outlineLevel="0" collapsed="false">
      <c r="A1870" s="1" t="n">
        <v>1866</v>
      </c>
      <c r="B1870" s="81" t="n">
        <f aca="true">RAND()</f>
        <v>0.360461314469257</v>
      </c>
      <c r="C1870" s="82" t="n">
        <f aca="false">ROUND(IF(B1870&lt;(Inputs!$E$8-Inputs!$D$8)/(Inputs!$F$8-Inputs!$D$8),Inputs!$D$8+SQRT(B1870*(Inputs!$F$8-Inputs!$D$8)*(Inputs!$E$8-Inputs!$D$8)),Inputs!$F$8-SQRT((1-B1870)*(Inputs!$F$8-Inputs!$D$8)*(Inputs!$F$8-Inputs!$E$8))),0)</f>
        <v>24</v>
      </c>
      <c r="D1870" s="81" t="n">
        <f aca="true">RAND()</f>
        <v>0.758100634481826</v>
      </c>
      <c r="E1870" s="83" t="n">
        <f aca="false">IF(D1870&lt;(Inputs!$E$10-Inputs!$D$10)/(Inputs!$F$10-Inputs!$D$10),Inputs!$D$10+SQRT(D1870*(Inputs!$F$10-Inputs!$D$10)*(Inputs!$E$10-Inputs!$D$10)),Inputs!$F$10-SQRT((1-D1870)*(Inputs!$F$10-Inputs!$D$10)*(Inputs!$F$10-Inputs!$E$10)))</f>
        <v>0.114812084392531</v>
      </c>
      <c r="F1870" s="81" t="n">
        <f aca="true">RAND()</f>
        <v>0.466075868374008</v>
      </c>
      <c r="G1870" s="83" t="n">
        <f aca="false">IF(F1870&lt;(Inputs!$E$15-Inputs!$D$15)/(Inputs!$F$15-Inputs!$D$15),Inputs!$D$15+SQRT(F1870*(Inputs!$F$15-Inputs!$D$15)*(Inputs!$E$15-Inputs!$D$15)),Inputs!$F$15-SQRT((1-F1870)*(Inputs!$F$15-Inputs!$D$15)*(Inputs!$F$15-Inputs!$E$15)))</f>
        <v>0.69654800550752</v>
      </c>
      <c r="H1870" s="81" t="n">
        <f aca="true">RAND()</f>
        <v>0.20765609388075</v>
      </c>
      <c r="I1870" s="82" t="n">
        <f aca="false">ROUND(IF(H1870&lt;(Inputs!$E$17-Inputs!$D$17)/(Inputs!$F$17-Inputs!$D$17),Inputs!$D$17+SQRT(H1870*(Inputs!$F$17-Inputs!$D$17)*(Inputs!$E$17-Inputs!$D$17)),Inputs!$F$17-SQRT((1-H1870)*(Inputs!$F$17-Inputs!$D$17)*(Inputs!$F$17-Inputs!$E$17))),0)</f>
        <v>104</v>
      </c>
      <c r="J1870" s="81" t="n">
        <f aca="true">RAND()</f>
        <v>0.513430669491505</v>
      </c>
      <c r="K1870" s="83" t="n">
        <f aca="false">IF(J1870&lt;(Inputs!$E$18-Inputs!$D$18)/(Inputs!$F$18-Inputs!$D$18),Inputs!$D$18+SQRT(J1870*(Inputs!$F$18-Inputs!$D$18)*(Inputs!$E$18-Inputs!$D$18)),Inputs!$F$18-SQRT((1-J1870)*(Inputs!$F$18-Inputs!$D$18)*(Inputs!$F$18-Inputs!$E$18)))</f>
        <v>1.04366334203663</v>
      </c>
      <c r="L1870" s="81" t="n">
        <f aca="true">RAND()</f>
        <v>0.964442092257992</v>
      </c>
      <c r="M1870" s="83" t="n">
        <f aca="false">IF(L1870&lt;(Inputs!$E$24-Inputs!$D$24)/(Inputs!$F$24-Inputs!$D$24),Inputs!$D$24+SQRT(L1870*(Inputs!$F$24-Inputs!$D$24)*(Inputs!$E$24-Inputs!$D$24)),Inputs!$F$24-SQRT((1-L1870)*(Inputs!$F$24-Inputs!$D$24)*(Inputs!$F$24-Inputs!$E$24)))</f>
        <v>1.10762090140036</v>
      </c>
      <c r="N1870" s="81" t="n">
        <f aca="true">RAND()</f>
        <v>0.132693871811493</v>
      </c>
      <c r="O1870" s="83" t="n">
        <f aca="false">IF(N1870&lt;(Inputs!$E$26-Inputs!$D$26)/(Inputs!$F$26-Inputs!$D$26),Inputs!$D$26+SQRT(N1870*(Inputs!$F$26-Inputs!$D$26)*(Inputs!$E$26-Inputs!$D$26)),Inputs!$F$26-SQRT((1-N1870)*(Inputs!$F$26-Inputs!$D$26)*(Inputs!$F$26-Inputs!$E$26)))</f>
        <v>0.448594280742673</v>
      </c>
      <c r="P1870" s="81" t="n">
        <f aca="true">RAND()</f>
        <v>0.331346330481611</v>
      </c>
      <c r="Q1870" s="82" t="n">
        <f aca="false">IF(P1870&lt;(Inputs!$E$27-Inputs!$D$27)/(Inputs!$F$27-Inputs!$D$27),Inputs!$D$27+SQRT(P1870*(Inputs!$F$27-Inputs!$D$27)*(Inputs!$E$27-Inputs!$D$27)),Inputs!$F$27-SQRT((1-P1870)*(Inputs!$F$27-Inputs!$D$27)*(Inputs!$F$27-Inputs!$E$27)))</f>
        <v>79.1840235442036</v>
      </c>
      <c r="R1870" s="81" t="n">
        <f aca="true">RAND()</f>
        <v>0.0997720592633252</v>
      </c>
      <c r="S1870" s="82" t="n">
        <f aca="false">IF(R1870&lt;(Inputs!$E$29-Inputs!$D$29)/(Inputs!$F$29-Inputs!$D$29),Inputs!$D$29+SQRT(R1870*(Inputs!$F$29-Inputs!$D$29)*(Inputs!$E$29-Inputs!$D$29)),Inputs!$F$29-SQRT((1-R1870)*(Inputs!$F$29-Inputs!$D$29)*(Inputs!$F$29-Inputs!$E$29)))</f>
        <v>3.97258974732956</v>
      </c>
      <c r="T1870" s="68" t="n">
        <f aca="false">Inputs!$E$9*(1+E1870)+Inputs!$E$5*C1870*(Inputs!$E$11*Inputs!$E$14*(G1870*I1870/Inputs!$E$16+(1-G1870))*K1870+Inputs!$E$23*M1870)*(1+O1870)+Inputs!$E$5*(Q1870+S1870)</f>
        <v>6183.36848841609</v>
      </c>
    </row>
    <row r="1871" customFormat="false" ht="15" hidden="false" customHeight="false" outlineLevel="0" collapsed="false">
      <c r="A1871" s="1" t="n">
        <v>1867</v>
      </c>
      <c r="B1871" s="81" t="n">
        <f aca="true">RAND()</f>
        <v>0.0281102849807617</v>
      </c>
      <c r="C1871" s="82" t="n">
        <f aca="false">ROUND(IF(B1871&lt;(Inputs!$E$8-Inputs!$D$8)/(Inputs!$F$8-Inputs!$D$8),Inputs!$D$8+SQRT(B1871*(Inputs!$F$8-Inputs!$D$8)*(Inputs!$E$8-Inputs!$D$8)),Inputs!$F$8-SQRT((1-B1871)*(Inputs!$F$8-Inputs!$D$8)*(Inputs!$F$8-Inputs!$E$8))),0)</f>
        <v>21</v>
      </c>
      <c r="D1871" s="81" t="n">
        <f aca="true">RAND()</f>
        <v>0.567907683521454</v>
      </c>
      <c r="E1871" s="83" t="n">
        <f aca="false">IF(D1871&lt;(Inputs!$E$10-Inputs!$D$10)/(Inputs!$F$10-Inputs!$D$10),Inputs!$D$10+SQRT(D1871*(Inputs!$F$10-Inputs!$D$10)*(Inputs!$E$10-Inputs!$D$10)),Inputs!$F$10-SQRT((1-D1871)*(Inputs!$F$10-Inputs!$D$10)*(Inputs!$F$10-Inputs!$E$10)))</f>
        <v>0.0861458411196307</v>
      </c>
      <c r="F1871" s="81" t="n">
        <f aca="true">RAND()</f>
        <v>0.92574029671019</v>
      </c>
      <c r="G1871" s="83" t="n">
        <f aca="false">IF(F1871&lt;(Inputs!$E$15-Inputs!$D$15)/(Inputs!$F$15-Inputs!$D$15),Inputs!$D$15+SQRT(F1871*(Inputs!$F$15-Inputs!$D$15)*(Inputs!$E$15-Inputs!$D$15)),Inputs!$F$15-SQRT((1-F1871)*(Inputs!$F$15-Inputs!$D$15)*(Inputs!$F$15-Inputs!$E$15)))</f>
        <v>0.761461784345974</v>
      </c>
      <c r="H1871" s="81" t="n">
        <f aca="true">RAND()</f>
        <v>0.124955303071093</v>
      </c>
      <c r="I1871" s="82" t="n">
        <f aca="false">ROUND(IF(H1871&lt;(Inputs!$E$17-Inputs!$D$17)/(Inputs!$F$17-Inputs!$D$17),Inputs!$D$17+SQRT(H1871*(Inputs!$F$17-Inputs!$D$17)*(Inputs!$E$17-Inputs!$D$17)),Inputs!$F$17-SQRT((1-H1871)*(Inputs!$F$17-Inputs!$D$17)*(Inputs!$F$17-Inputs!$E$17))),0)</f>
        <v>103</v>
      </c>
      <c r="J1871" s="81" t="n">
        <f aca="true">RAND()</f>
        <v>0.0427215135270793</v>
      </c>
      <c r="K1871" s="83" t="n">
        <f aca="false">IF(J1871&lt;(Inputs!$E$18-Inputs!$D$18)/(Inputs!$F$18-Inputs!$D$18),Inputs!$D$18+SQRT(J1871*(Inputs!$F$18-Inputs!$D$18)*(Inputs!$E$18-Inputs!$D$18)),Inputs!$F$18-SQRT((1-J1871)*(Inputs!$F$18-Inputs!$D$18)*(Inputs!$F$18-Inputs!$E$18)))</f>
        <v>0.938668501049921</v>
      </c>
      <c r="L1871" s="81" t="n">
        <f aca="true">RAND()</f>
        <v>0.977425683095057</v>
      </c>
      <c r="M1871" s="83" t="n">
        <f aca="false">IF(L1871&lt;(Inputs!$E$24-Inputs!$D$24)/(Inputs!$F$24-Inputs!$D$24),Inputs!$D$24+SQRT(L1871*(Inputs!$F$24-Inputs!$D$24)*(Inputs!$E$24-Inputs!$D$24)),Inputs!$F$24-SQRT((1-L1871)*(Inputs!$F$24-Inputs!$D$24)*(Inputs!$F$24-Inputs!$E$24)))</f>
        <v>1.12639404876516</v>
      </c>
      <c r="N1871" s="81" t="n">
        <f aca="true">RAND()</f>
        <v>0.739281065400044</v>
      </c>
      <c r="O1871" s="83" t="n">
        <f aca="false">IF(N1871&lt;(Inputs!$E$26-Inputs!$D$26)/(Inputs!$F$26-Inputs!$D$26),Inputs!$D$26+SQRT(N1871*(Inputs!$F$26-Inputs!$D$26)*(Inputs!$E$26-Inputs!$D$26)),Inputs!$F$26-SQRT((1-N1871)*(Inputs!$F$26-Inputs!$D$26)*(Inputs!$F$26-Inputs!$E$26)))</f>
        <v>0.655334371533111</v>
      </c>
      <c r="P1871" s="81" t="n">
        <f aca="true">RAND()</f>
        <v>0.501818011089592</v>
      </c>
      <c r="Q1871" s="82" t="n">
        <f aca="false">IF(P1871&lt;(Inputs!$E$27-Inputs!$D$27)/(Inputs!$F$27-Inputs!$D$27),Inputs!$D$27+SQRT(P1871*(Inputs!$F$27-Inputs!$D$27)*(Inputs!$E$27-Inputs!$D$27)),Inputs!$F$27-SQRT((1-P1871)*(Inputs!$F$27-Inputs!$D$27)*(Inputs!$F$27-Inputs!$E$27)))</f>
        <v>88.8741878023035</v>
      </c>
      <c r="R1871" s="81" t="n">
        <f aca="true">RAND()</f>
        <v>0.188574748600736</v>
      </c>
      <c r="S1871" s="82" t="n">
        <f aca="false">IF(R1871&lt;(Inputs!$E$29-Inputs!$D$29)/(Inputs!$F$29-Inputs!$D$29),Inputs!$D$29+SQRT(R1871*(Inputs!$F$29-Inputs!$D$29)*(Inputs!$E$29-Inputs!$D$29)),Inputs!$F$29-SQRT((1-R1871)*(Inputs!$F$29-Inputs!$D$29)*(Inputs!$F$29-Inputs!$E$29)))</f>
        <v>4.71190250477938</v>
      </c>
      <c r="T1871" s="68" t="n">
        <f aca="false">Inputs!$E$9*(1+E1871)+Inputs!$E$5*C1871*(Inputs!$E$11*Inputs!$E$14*(G1871*I1871/Inputs!$E$16+(1-G1871))*K1871+Inputs!$E$23*M1871)*(1+O1871)+Inputs!$E$5*(Q1871+S1871)</f>
        <v>5918.18775145362</v>
      </c>
    </row>
    <row r="1872" customFormat="false" ht="15" hidden="false" customHeight="false" outlineLevel="0" collapsed="false">
      <c r="A1872" s="1" t="n">
        <v>1868</v>
      </c>
      <c r="B1872" s="81" t="n">
        <f aca="true">RAND()</f>
        <v>0.243138918301203</v>
      </c>
      <c r="C1872" s="82" t="n">
        <f aca="false">ROUND(IF(B1872&lt;(Inputs!$E$8-Inputs!$D$8)/(Inputs!$F$8-Inputs!$D$8),Inputs!$D$8+SQRT(B1872*(Inputs!$F$8-Inputs!$D$8)*(Inputs!$E$8-Inputs!$D$8)),Inputs!$F$8-SQRT((1-B1872)*(Inputs!$F$8-Inputs!$D$8)*(Inputs!$F$8-Inputs!$E$8))),0)</f>
        <v>23</v>
      </c>
      <c r="D1872" s="81" t="n">
        <f aca="true">RAND()</f>
        <v>0.629593915550702</v>
      </c>
      <c r="E1872" s="83" t="n">
        <f aca="false">IF(D1872&lt;(Inputs!$E$10-Inputs!$D$10)/(Inputs!$F$10-Inputs!$D$10),Inputs!$D$10+SQRT(D1872*(Inputs!$F$10-Inputs!$D$10)*(Inputs!$E$10-Inputs!$D$10)),Inputs!$F$10-SQRT((1-D1872)*(Inputs!$F$10-Inputs!$D$10)*(Inputs!$F$10-Inputs!$E$10)))</f>
        <v>0.0945856625810372</v>
      </c>
      <c r="F1872" s="81" t="n">
        <f aca="true">RAND()</f>
        <v>0.505830117696631</v>
      </c>
      <c r="G1872" s="83" t="n">
        <f aca="false">IF(F1872&lt;(Inputs!$E$15-Inputs!$D$15)/(Inputs!$F$15-Inputs!$D$15),Inputs!$D$15+SQRT(F1872*(Inputs!$F$15-Inputs!$D$15)*(Inputs!$E$15-Inputs!$D$15)),Inputs!$F$15-SQRT((1-F1872)*(Inputs!$F$15-Inputs!$D$15)*(Inputs!$F$15-Inputs!$E$15)))</f>
        <v>0.700584721264449</v>
      </c>
      <c r="H1872" s="81" t="n">
        <f aca="true">RAND()</f>
        <v>0.938918279048826</v>
      </c>
      <c r="I1872" s="82" t="n">
        <f aca="false">ROUND(IF(H1872&lt;(Inputs!$E$17-Inputs!$D$17)/(Inputs!$F$17-Inputs!$D$17),Inputs!$D$17+SQRT(H1872*(Inputs!$F$17-Inputs!$D$17)*(Inputs!$E$17-Inputs!$D$17)),Inputs!$F$17-SQRT((1-H1872)*(Inputs!$F$17-Inputs!$D$17)*(Inputs!$F$17-Inputs!$E$17))),0)</f>
        <v>112</v>
      </c>
      <c r="J1872" s="81" t="n">
        <f aca="true">RAND()</f>
        <v>0.0456890989690506</v>
      </c>
      <c r="K1872" s="83" t="n">
        <f aca="false">IF(J1872&lt;(Inputs!$E$18-Inputs!$D$18)/(Inputs!$F$18-Inputs!$D$18),Inputs!$D$18+SQRT(J1872*(Inputs!$F$18-Inputs!$D$18)*(Inputs!$E$18-Inputs!$D$18)),Inputs!$F$18-SQRT((1-J1872)*(Inputs!$F$18-Inputs!$D$18)*(Inputs!$F$18-Inputs!$E$18)))</f>
        <v>0.939988979280757</v>
      </c>
      <c r="L1872" s="81" t="n">
        <f aca="true">RAND()</f>
        <v>0.408230805285574</v>
      </c>
      <c r="M1872" s="83" t="n">
        <f aca="false">IF(L1872&lt;(Inputs!$E$24-Inputs!$D$24)/(Inputs!$F$24-Inputs!$D$24),Inputs!$D$24+SQRT(L1872*(Inputs!$F$24-Inputs!$D$24)*(Inputs!$E$24-Inputs!$D$24)),Inputs!$F$24-SQRT((1-L1872)*(Inputs!$F$24-Inputs!$D$24)*(Inputs!$F$24-Inputs!$E$24)))</f>
        <v>0.823138478043377</v>
      </c>
      <c r="N1872" s="81" t="n">
        <f aca="true">RAND()</f>
        <v>0.386797295119934</v>
      </c>
      <c r="O1872" s="83" t="n">
        <f aca="false">IF(N1872&lt;(Inputs!$E$26-Inputs!$D$26)/(Inputs!$F$26-Inputs!$D$26),Inputs!$D$26+SQRT(N1872*(Inputs!$F$26-Inputs!$D$26)*(Inputs!$E$26-Inputs!$D$26)),Inputs!$F$26-SQRT((1-N1872)*(Inputs!$F$26-Inputs!$D$26)*(Inputs!$F$26-Inputs!$E$26)))</f>
        <v>0.553698777900007</v>
      </c>
      <c r="P1872" s="81" t="n">
        <f aca="true">RAND()</f>
        <v>0.871542943060262</v>
      </c>
      <c r="Q1872" s="82" t="n">
        <f aca="false">IF(P1872&lt;(Inputs!$E$27-Inputs!$D$27)/(Inputs!$F$27-Inputs!$D$27),Inputs!$D$27+SQRT(P1872*(Inputs!$F$27-Inputs!$D$27)*(Inputs!$E$27-Inputs!$D$27)),Inputs!$F$27-SQRT((1-P1872)*(Inputs!$F$27-Inputs!$D$27)*(Inputs!$F$27-Inputs!$E$27)))</f>
        <v>118.960864589231</v>
      </c>
      <c r="R1872" s="81" t="n">
        <f aca="true">RAND()</f>
        <v>0.584156797676325</v>
      </c>
      <c r="S1872" s="82" t="n">
        <f aca="false">IF(R1872&lt;(Inputs!$E$29-Inputs!$D$29)/(Inputs!$F$29-Inputs!$D$29),Inputs!$D$29+SQRT(R1872*(Inputs!$F$29-Inputs!$D$29)*(Inputs!$E$29-Inputs!$D$29)),Inputs!$F$29-SQRT((1-R1872)*(Inputs!$F$29-Inputs!$D$29)*(Inputs!$F$29-Inputs!$E$29)))</f>
        <v>7.64747551503038</v>
      </c>
      <c r="T1872" s="68" t="n">
        <f aca="false">Inputs!$E$9*(1+E1872)+Inputs!$E$5*C1872*(Inputs!$E$11*Inputs!$E$14*(G1872*I1872/Inputs!$E$16+(1-G1872))*K1872+Inputs!$E$23*M1872)*(1+O1872)+Inputs!$E$5*(Q1872+S1872)</f>
        <v>5961.56975624836</v>
      </c>
    </row>
    <row r="1873" customFormat="false" ht="15" hidden="false" customHeight="false" outlineLevel="0" collapsed="false">
      <c r="A1873" s="1" t="n">
        <v>1869</v>
      </c>
      <c r="B1873" s="81" t="n">
        <f aca="true">RAND()</f>
        <v>0.30237030340082</v>
      </c>
      <c r="C1873" s="82" t="n">
        <f aca="false">ROUND(IF(B1873&lt;(Inputs!$E$8-Inputs!$D$8)/(Inputs!$F$8-Inputs!$D$8),Inputs!$D$8+SQRT(B1873*(Inputs!$F$8-Inputs!$D$8)*(Inputs!$E$8-Inputs!$D$8)),Inputs!$F$8-SQRT((1-B1873)*(Inputs!$F$8-Inputs!$D$8)*(Inputs!$F$8-Inputs!$E$8))),0)</f>
        <v>24</v>
      </c>
      <c r="D1873" s="81" t="n">
        <f aca="true">RAND()</f>
        <v>0.68258831220335</v>
      </c>
      <c r="E1873" s="83" t="n">
        <f aca="false">IF(D1873&lt;(Inputs!$E$10-Inputs!$D$10)/(Inputs!$F$10-Inputs!$D$10),Inputs!$D$10+SQRT(D1873*(Inputs!$F$10-Inputs!$D$10)*(Inputs!$E$10-Inputs!$D$10)),Inputs!$F$10-SQRT((1-D1873)*(Inputs!$F$10-Inputs!$D$10)*(Inputs!$F$10-Inputs!$E$10)))</f>
        <v>0.102417467577955</v>
      </c>
      <c r="F1873" s="81" t="n">
        <f aca="true">RAND()</f>
        <v>0.35884958711772</v>
      </c>
      <c r="G1873" s="83" t="n">
        <f aca="false">IF(F1873&lt;(Inputs!$E$15-Inputs!$D$15)/(Inputs!$F$15-Inputs!$D$15),Inputs!$D$15+SQRT(F1873*(Inputs!$F$15-Inputs!$D$15)*(Inputs!$E$15-Inputs!$D$15)),Inputs!$F$15-SQRT((1-F1873)*(Inputs!$F$15-Inputs!$D$15)*(Inputs!$F$15-Inputs!$E$15)))</f>
        <v>0.684717127798069</v>
      </c>
      <c r="H1873" s="81" t="n">
        <f aca="true">RAND()</f>
        <v>0.450173507525126</v>
      </c>
      <c r="I1873" s="82" t="n">
        <f aca="false">ROUND(IF(H1873&lt;(Inputs!$E$17-Inputs!$D$17)/(Inputs!$F$17-Inputs!$D$17),Inputs!$D$17+SQRT(H1873*(Inputs!$F$17-Inputs!$D$17)*(Inputs!$E$17-Inputs!$D$17)),Inputs!$F$17-SQRT((1-H1873)*(Inputs!$F$17-Inputs!$D$17)*(Inputs!$F$17-Inputs!$E$17))),0)</f>
        <v>106</v>
      </c>
      <c r="J1873" s="81" t="n">
        <f aca="true">RAND()</f>
        <v>0.729836085520407</v>
      </c>
      <c r="K1873" s="83" t="n">
        <f aca="false">IF(J1873&lt;(Inputs!$E$18-Inputs!$D$18)/(Inputs!$F$18-Inputs!$D$18),Inputs!$D$18+SQRT(J1873*(Inputs!$F$18-Inputs!$D$18)*(Inputs!$E$18-Inputs!$D$18)),Inputs!$F$18-SQRT((1-J1873)*(Inputs!$F$18-Inputs!$D$18)*(Inputs!$F$18-Inputs!$E$18)))</f>
        <v>1.09624908937842</v>
      </c>
      <c r="L1873" s="81" t="n">
        <f aca="true">RAND()</f>
        <v>0.894650941904446</v>
      </c>
      <c r="M1873" s="83" t="n">
        <f aca="false">IF(L1873&lt;(Inputs!$E$24-Inputs!$D$24)/(Inputs!$F$24-Inputs!$D$24),Inputs!$D$24+SQRT(L1873*(Inputs!$F$24-Inputs!$D$24)*(Inputs!$E$24-Inputs!$D$24)),Inputs!$F$24-SQRT((1-L1873)*(Inputs!$F$24-Inputs!$D$24)*(Inputs!$F$24-Inputs!$E$24)))</f>
        <v>1.04099127714829</v>
      </c>
      <c r="N1873" s="81" t="n">
        <f aca="true">RAND()</f>
        <v>0.409579431314713</v>
      </c>
      <c r="O1873" s="83" t="n">
        <f aca="false">IF(N1873&lt;(Inputs!$E$26-Inputs!$D$26)/(Inputs!$F$26-Inputs!$D$26),Inputs!$D$26+SQRT(N1873*(Inputs!$F$26-Inputs!$D$26)*(Inputs!$E$26-Inputs!$D$26)),Inputs!$F$26-SQRT((1-N1873)*(Inputs!$F$26-Inputs!$D$26)*(Inputs!$F$26-Inputs!$E$26)))</f>
        <v>0.561063244005678</v>
      </c>
      <c r="P1873" s="81" t="n">
        <f aca="true">RAND()</f>
        <v>0.246630498940486</v>
      </c>
      <c r="Q1873" s="82" t="n">
        <f aca="false">IF(P1873&lt;(Inputs!$E$27-Inputs!$D$27)/(Inputs!$F$27-Inputs!$D$27),Inputs!$D$27+SQRT(P1873*(Inputs!$F$27-Inputs!$D$27)*(Inputs!$E$27-Inputs!$D$27)),Inputs!$F$27-SQRT((1-P1873)*(Inputs!$F$27-Inputs!$D$27)*(Inputs!$F$27-Inputs!$E$27)))</f>
        <v>74.8309534120463</v>
      </c>
      <c r="R1873" s="81" t="n">
        <f aca="true">RAND()</f>
        <v>0.726918961218474</v>
      </c>
      <c r="S1873" s="82" t="n">
        <f aca="false">IF(R1873&lt;(Inputs!$E$29-Inputs!$D$29)/(Inputs!$F$29-Inputs!$D$29),Inputs!$D$29+SQRT(R1873*(Inputs!$F$29-Inputs!$D$29)*(Inputs!$E$29-Inputs!$D$29)),Inputs!$F$29-SQRT((1-R1873)*(Inputs!$F$29-Inputs!$D$29)*(Inputs!$F$29-Inputs!$E$29)))</f>
        <v>9.04176745656915</v>
      </c>
      <c r="T1873" s="68" t="n">
        <f aca="false">Inputs!$E$9*(1+E1873)+Inputs!$E$5*C1873*(Inputs!$E$11*Inputs!$E$14*(G1873*I1873/Inputs!$E$16+(1-G1873))*K1873+Inputs!$E$23*M1873)*(1+O1873)+Inputs!$E$5*(Q1873+S1873)</f>
        <v>6473.31198387305</v>
      </c>
    </row>
    <row r="1874" customFormat="false" ht="15" hidden="false" customHeight="false" outlineLevel="0" collapsed="false">
      <c r="A1874" s="1" t="n">
        <v>1870</v>
      </c>
      <c r="B1874" s="81" t="n">
        <f aca="true">RAND()</f>
        <v>0.366113778880004</v>
      </c>
      <c r="C1874" s="82" t="n">
        <f aca="false">ROUND(IF(B1874&lt;(Inputs!$E$8-Inputs!$D$8)/(Inputs!$F$8-Inputs!$D$8),Inputs!$D$8+SQRT(B1874*(Inputs!$F$8-Inputs!$D$8)*(Inputs!$E$8-Inputs!$D$8)),Inputs!$F$8-SQRT((1-B1874)*(Inputs!$F$8-Inputs!$D$8)*(Inputs!$F$8-Inputs!$E$8))),0)</f>
        <v>24</v>
      </c>
      <c r="D1874" s="81" t="n">
        <f aca="true">RAND()</f>
        <v>0.858193939621352</v>
      </c>
      <c r="E1874" s="83" t="n">
        <f aca="false">IF(D1874&lt;(Inputs!$E$10-Inputs!$D$10)/(Inputs!$F$10-Inputs!$D$10),Inputs!$D$10+SQRT(D1874*(Inputs!$F$10-Inputs!$D$10)*(Inputs!$E$10-Inputs!$D$10)),Inputs!$F$10-SQRT((1-D1874)*(Inputs!$F$10-Inputs!$D$10)*(Inputs!$F$10-Inputs!$E$10)))</f>
        <v>0.134775910804677</v>
      </c>
      <c r="F1874" s="81" t="n">
        <f aca="true">RAND()</f>
        <v>0.100304007673463</v>
      </c>
      <c r="G1874" s="83" t="n">
        <f aca="false">IF(F1874&lt;(Inputs!$E$15-Inputs!$D$15)/(Inputs!$F$15-Inputs!$D$15),Inputs!$D$15+SQRT(F1874*(Inputs!$F$15-Inputs!$D$15)*(Inputs!$E$15-Inputs!$D$15)),Inputs!$F$15-SQRT((1-F1874)*(Inputs!$F$15-Inputs!$D$15)*(Inputs!$F$15-Inputs!$E$15)))</f>
        <v>0.644789286146011</v>
      </c>
      <c r="H1874" s="81" t="n">
        <f aca="true">RAND()</f>
        <v>0.0947062103341062</v>
      </c>
      <c r="I1874" s="82" t="n">
        <f aca="false">ROUND(IF(H1874&lt;(Inputs!$E$17-Inputs!$D$17)/(Inputs!$F$17-Inputs!$D$17),Inputs!$D$17+SQRT(H1874*(Inputs!$F$17-Inputs!$D$17)*(Inputs!$E$17-Inputs!$D$17)),Inputs!$F$17-SQRT((1-H1874)*(Inputs!$F$17-Inputs!$D$17)*(Inputs!$F$17-Inputs!$E$17))),0)</f>
        <v>103</v>
      </c>
      <c r="J1874" s="81" t="n">
        <f aca="true">RAND()</f>
        <v>0.653614523356455</v>
      </c>
      <c r="K1874" s="83" t="n">
        <f aca="false">IF(J1874&lt;(Inputs!$E$18-Inputs!$D$18)/(Inputs!$F$18-Inputs!$D$18),Inputs!$D$18+SQRT(J1874*(Inputs!$F$18-Inputs!$D$18)*(Inputs!$E$18-Inputs!$D$18)),Inputs!$F$18-SQRT((1-J1874)*(Inputs!$F$18-Inputs!$D$18)*(Inputs!$F$18-Inputs!$E$18)))</f>
        <v>1.07590597596037</v>
      </c>
      <c r="L1874" s="81" t="n">
        <f aca="true">RAND()</f>
        <v>0.288114204843003</v>
      </c>
      <c r="M1874" s="83" t="n">
        <f aca="false">IF(L1874&lt;(Inputs!$E$24-Inputs!$D$24)/(Inputs!$F$24-Inputs!$D$24),Inputs!$D$24+SQRT(L1874*(Inputs!$F$24-Inputs!$D$24)*(Inputs!$E$24-Inputs!$D$24)),Inputs!$F$24-SQRT((1-L1874)*(Inputs!$F$24-Inputs!$D$24)*(Inputs!$F$24-Inputs!$E$24)))</f>
        <v>0.78594005641916</v>
      </c>
      <c r="N1874" s="81" t="n">
        <f aca="true">RAND()</f>
        <v>0.602543873523381</v>
      </c>
      <c r="O1874" s="83" t="n">
        <f aca="false">IF(N1874&lt;(Inputs!$E$26-Inputs!$D$26)/(Inputs!$F$26-Inputs!$D$26),Inputs!$D$26+SQRT(N1874*(Inputs!$F$26-Inputs!$D$26)*(Inputs!$E$26-Inputs!$D$26)),Inputs!$F$26-SQRT((1-N1874)*(Inputs!$F$26-Inputs!$D$26)*(Inputs!$F$26-Inputs!$E$26)))</f>
        <v>0.616643807067643</v>
      </c>
      <c r="P1874" s="81" t="n">
        <f aca="true">RAND()</f>
        <v>0.108724909263286</v>
      </c>
      <c r="Q1874" s="82" t="n">
        <f aca="false">IF(P1874&lt;(Inputs!$E$27-Inputs!$D$27)/(Inputs!$F$27-Inputs!$D$27),Inputs!$D$27+SQRT(P1874*(Inputs!$F$27-Inputs!$D$27)*(Inputs!$E$27-Inputs!$D$27)),Inputs!$F$27-SQRT((1-P1874)*(Inputs!$F$27-Inputs!$D$27)*(Inputs!$F$27-Inputs!$E$27)))</f>
        <v>66.4867302142728</v>
      </c>
      <c r="R1874" s="81" t="n">
        <f aca="true">RAND()</f>
        <v>0.334542311320104</v>
      </c>
      <c r="S1874" s="82" t="n">
        <f aca="false">IF(R1874&lt;(Inputs!$E$29-Inputs!$D$29)/(Inputs!$F$29-Inputs!$D$29),Inputs!$D$29+SQRT(R1874*(Inputs!$F$29-Inputs!$D$29)*(Inputs!$E$29-Inputs!$D$29)),Inputs!$F$29-SQRT((1-R1874)*(Inputs!$F$29-Inputs!$D$29)*(Inputs!$F$29-Inputs!$E$29)))</f>
        <v>5.6989516973415</v>
      </c>
      <c r="T1874" s="68" t="n">
        <f aca="false">Inputs!$E$9*(1+E1874)+Inputs!$E$5*C1874*(Inputs!$E$11*Inputs!$E$14*(G1874*I1874/Inputs!$E$16+(1-G1874))*K1874+Inputs!$E$23*M1874)*(1+O1874)+Inputs!$E$5*(Q1874+S1874)</f>
        <v>6240.64503922479</v>
      </c>
    </row>
    <row r="1875" customFormat="false" ht="15" hidden="false" customHeight="false" outlineLevel="0" collapsed="false">
      <c r="A1875" s="1" t="n">
        <v>1871</v>
      </c>
      <c r="B1875" s="81" t="n">
        <f aca="true">RAND()</f>
        <v>0.0975644353604529</v>
      </c>
      <c r="C1875" s="82" t="n">
        <f aca="false">ROUND(IF(B1875&lt;(Inputs!$E$8-Inputs!$D$8)/(Inputs!$F$8-Inputs!$D$8),Inputs!$D$8+SQRT(B1875*(Inputs!$F$8-Inputs!$D$8)*(Inputs!$E$8-Inputs!$D$8)),Inputs!$F$8-SQRT((1-B1875)*(Inputs!$F$8-Inputs!$D$8)*(Inputs!$F$8-Inputs!$E$8))),0)</f>
        <v>22</v>
      </c>
      <c r="D1875" s="81" t="n">
        <f aca="true">RAND()</f>
        <v>0.362685263391652</v>
      </c>
      <c r="E1875" s="83" t="n">
        <f aca="false">IF(D1875&lt;(Inputs!$E$10-Inputs!$D$10)/(Inputs!$F$10-Inputs!$D$10),Inputs!$D$10+SQRT(D1875*(Inputs!$F$10-Inputs!$D$10)*(Inputs!$E$10-Inputs!$D$10)),Inputs!$F$10-SQRT((1-D1875)*(Inputs!$F$10-Inputs!$D$10)*(Inputs!$F$10-Inputs!$E$10)))</f>
        <v>0.0617269292369247</v>
      </c>
      <c r="F1875" s="81" t="n">
        <f aca="true">RAND()</f>
        <v>0.367757517081267</v>
      </c>
      <c r="G1875" s="83" t="n">
        <f aca="false">IF(F1875&lt;(Inputs!$E$15-Inputs!$D$15)/(Inputs!$F$15-Inputs!$D$15),Inputs!$D$15+SQRT(F1875*(Inputs!$F$15-Inputs!$D$15)*(Inputs!$E$15-Inputs!$D$15)),Inputs!$F$15-SQRT((1-F1875)*(Inputs!$F$15-Inputs!$D$15)*(Inputs!$F$15-Inputs!$E$15)))</f>
        <v>0.685762173139592</v>
      </c>
      <c r="H1875" s="81" t="n">
        <f aca="true">RAND()</f>
        <v>0.949225513623958</v>
      </c>
      <c r="I1875" s="82" t="n">
        <f aca="false">ROUND(IF(H1875&lt;(Inputs!$E$17-Inputs!$D$17)/(Inputs!$F$17-Inputs!$D$17),Inputs!$D$17+SQRT(H1875*(Inputs!$F$17-Inputs!$D$17)*(Inputs!$E$17-Inputs!$D$17)),Inputs!$F$17-SQRT((1-H1875)*(Inputs!$F$17-Inputs!$D$17)*(Inputs!$F$17-Inputs!$E$17))),0)</f>
        <v>112</v>
      </c>
      <c r="J1875" s="81" t="n">
        <f aca="true">RAND()</f>
        <v>0.374128531267223</v>
      </c>
      <c r="K1875" s="83" t="n">
        <f aca="false">IF(J1875&lt;(Inputs!$E$18-Inputs!$D$18)/(Inputs!$F$18-Inputs!$D$18),Inputs!$D$18+SQRT(J1875*(Inputs!$F$18-Inputs!$D$18)*(Inputs!$E$18-Inputs!$D$18)),Inputs!$F$18-SQRT((1-J1875)*(Inputs!$F$18-Inputs!$D$18)*(Inputs!$F$18-Inputs!$E$18)))</f>
        <v>1.01598343324859</v>
      </c>
      <c r="L1875" s="81" t="n">
        <f aca="true">RAND()</f>
        <v>0.559667805912824</v>
      </c>
      <c r="M1875" s="83" t="n">
        <f aca="false">IF(L1875&lt;(Inputs!$E$24-Inputs!$D$24)/(Inputs!$F$24-Inputs!$D$24),Inputs!$D$24+SQRT(L1875*(Inputs!$F$24-Inputs!$D$24)*(Inputs!$E$24-Inputs!$D$24)),Inputs!$F$24-SQRT((1-L1875)*(Inputs!$F$24-Inputs!$D$24)*(Inputs!$F$24-Inputs!$E$24)))</f>
        <v>0.874915816163071</v>
      </c>
      <c r="N1875" s="81" t="n">
        <f aca="true">RAND()</f>
        <v>0.912827929028703</v>
      </c>
      <c r="O1875" s="83" t="n">
        <f aca="false">IF(N1875&lt;(Inputs!$E$26-Inputs!$D$26)/(Inputs!$F$26-Inputs!$D$26),Inputs!$D$26+SQRT(N1875*(Inputs!$F$26-Inputs!$D$26)*(Inputs!$E$26-Inputs!$D$26)),Inputs!$F$26-SQRT((1-N1875)*(Inputs!$F$26-Inputs!$D$26)*(Inputs!$F$26-Inputs!$E$26)))</f>
        <v>0.724785004431997</v>
      </c>
      <c r="P1875" s="81" t="n">
        <f aca="true">RAND()</f>
        <v>0.14567396066016</v>
      </c>
      <c r="Q1875" s="82" t="n">
        <f aca="false">IF(P1875&lt;(Inputs!$E$27-Inputs!$D$27)/(Inputs!$F$27-Inputs!$D$27),Inputs!$D$27+SQRT(P1875*(Inputs!$F$27-Inputs!$D$27)*(Inputs!$E$27-Inputs!$D$27)),Inputs!$F$27-SQRT((1-P1875)*(Inputs!$F$27-Inputs!$D$27)*(Inputs!$F$27-Inputs!$E$27)))</f>
        <v>69.0836291530306</v>
      </c>
      <c r="R1875" s="81" t="n">
        <f aca="true">RAND()</f>
        <v>0.202922925727944</v>
      </c>
      <c r="S1875" s="82" t="n">
        <f aca="false">IF(R1875&lt;(Inputs!$E$29-Inputs!$D$29)/(Inputs!$F$29-Inputs!$D$29),Inputs!$D$29+SQRT(R1875*(Inputs!$F$29-Inputs!$D$29)*(Inputs!$E$29-Inputs!$D$29)),Inputs!$F$29-SQRT((1-R1875)*(Inputs!$F$29-Inputs!$D$29)*(Inputs!$F$29-Inputs!$E$29)))</f>
        <v>4.81318220230931</v>
      </c>
      <c r="T1875" s="68" t="n">
        <f aca="false">Inputs!$E$9*(1+E1875)+Inputs!$E$5*C1875*(Inputs!$E$11*Inputs!$E$14*(G1875*I1875/Inputs!$E$16+(1-G1875))*K1875+Inputs!$E$23*M1875)*(1+O1875)+Inputs!$E$5*(Q1875+S1875)</f>
        <v>6054.44397126233</v>
      </c>
    </row>
    <row r="1876" customFormat="false" ht="15" hidden="false" customHeight="false" outlineLevel="0" collapsed="false">
      <c r="A1876" s="1" t="n">
        <v>1872</v>
      </c>
      <c r="B1876" s="81" t="n">
        <f aca="true">RAND()</f>
        <v>0.0320147749023335</v>
      </c>
      <c r="C1876" s="82" t="n">
        <f aca="false">ROUND(IF(B1876&lt;(Inputs!$E$8-Inputs!$D$8)/(Inputs!$F$8-Inputs!$D$8),Inputs!$D$8+SQRT(B1876*(Inputs!$F$8-Inputs!$D$8)*(Inputs!$E$8-Inputs!$D$8)),Inputs!$F$8-SQRT((1-B1876)*(Inputs!$F$8-Inputs!$D$8)*(Inputs!$F$8-Inputs!$E$8))),0)</f>
        <v>21</v>
      </c>
      <c r="D1876" s="81" t="n">
        <f aca="true">RAND()</f>
        <v>0.198221469349637</v>
      </c>
      <c r="E1876" s="83" t="n">
        <f aca="false">IF(D1876&lt;(Inputs!$E$10-Inputs!$D$10)/(Inputs!$F$10-Inputs!$D$10),Inputs!$D$10+SQRT(D1876*(Inputs!$F$10-Inputs!$D$10)*(Inputs!$E$10-Inputs!$D$10)),Inputs!$F$10-SQRT((1-D1876)*(Inputs!$F$10-Inputs!$D$10)*(Inputs!$F$10-Inputs!$E$10)))</f>
        <v>0.0445220697350917</v>
      </c>
      <c r="F1876" s="81" t="n">
        <f aca="true">RAND()</f>
        <v>0.864593069840086</v>
      </c>
      <c r="G1876" s="83" t="n">
        <f aca="false">IF(F1876&lt;(Inputs!$E$15-Inputs!$D$15)/(Inputs!$F$15-Inputs!$D$15),Inputs!$D$15+SQRT(F1876*(Inputs!$F$15-Inputs!$D$15)*(Inputs!$E$15-Inputs!$D$15)),Inputs!$F$15-SQRT((1-F1876)*(Inputs!$F$15-Inputs!$D$15)*(Inputs!$F$15-Inputs!$E$15)))</f>
        <v>0.747960220953599</v>
      </c>
      <c r="H1876" s="81" t="n">
        <f aca="true">RAND()</f>
        <v>0.0872497671765918</v>
      </c>
      <c r="I1876" s="82" t="n">
        <f aca="false">ROUND(IF(H1876&lt;(Inputs!$E$17-Inputs!$D$17)/(Inputs!$F$17-Inputs!$D$17),Inputs!$D$17+SQRT(H1876*(Inputs!$F$17-Inputs!$D$17)*(Inputs!$E$17-Inputs!$D$17)),Inputs!$F$17-SQRT((1-H1876)*(Inputs!$F$17-Inputs!$D$17)*(Inputs!$F$17-Inputs!$E$17))),0)</f>
        <v>103</v>
      </c>
      <c r="J1876" s="81" t="n">
        <f aca="true">RAND()</f>
        <v>0.928646131443199</v>
      </c>
      <c r="K1876" s="83" t="n">
        <f aca="false">IF(J1876&lt;(Inputs!$E$18-Inputs!$D$18)/(Inputs!$F$18-Inputs!$D$18),Inputs!$D$18+SQRT(J1876*(Inputs!$F$18-Inputs!$D$18)*(Inputs!$E$18-Inputs!$D$18)),Inputs!$F$18-SQRT((1-J1876)*(Inputs!$F$18-Inputs!$D$18)*(Inputs!$F$18-Inputs!$E$18)))</f>
        <v>1.17098440977427</v>
      </c>
      <c r="L1876" s="81" t="n">
        <f aca="true">RAND()</f>
        <v>0.370354499131151</v>
      </c>
      <c r="M1876" s="83" t="n">
        <f aca="false">IF(L1876&lt;(Inputs!$E$24-Inputs!$D$24)/(Inputs!$F$24-Inputs!$D$24),Inputs!$D$24+SQRT(L1876*(Inputs!$F$24-Inputs!$D$24)*(Inputs!$E$24-Inputs!$D$24)),Inputs!$F$24-SQRT((1-L1876)*(Inputs!$F$24-Inputs!$D$24)*(Inputs!$F$24-Inputs!$E$24)))</f>
        <v>0.811264974296728</v>
      </c>
      <c r="N1876" s="81" t="n">
        <f aca="true">RAND()</f>
        <v>0.178396889511198</v>
      </c>
      <c r="O1876" s="83" t="n">
        <f aca="false">IF(N1876&lt;(Inputs!$E$26-Inputs!$D$26)/(Inputs!$F$26-Inputs!$D$26),Inputs!$D$26+SQRT(N1876*(Inputs!$F$26-Inputs!$D$26)*(Inputs!$E$26-Inputs!$D$26)),Inputs!$F$26-SQRT((1-N1876)*(Inputs!$F$26-Inputs!$D$26)*(Inputs!$F$26-Inputs!$E$26)))</f>
        <v>0.472294057978398</v>
      </c>
      <c r="P1876" s="81" t="n">
        <f aca="true">RAND()</f>
        <v>0.915459403388045</v>
      </c>
      <c r="Q1876" s="82" t="n">
        <f aca="false">IF(P1876&lt;(Inputs!$E$27-Inputs!$D$27)/(Inputs!$F$27-Inputs!$D$27),Inputs!$D$27+SQRT(P1876*(Inputs!$F$27-Inputs!$D$27)*(Inputs!$E$27-Inputs!$D$27)),Inputs!$F$27-SQRT((1-P1876)*(Inputs!$F$27-Inputs!$D$27)*(Inputs!$F$27-Inputs!$E$27)))</f>
        <v>124.81956166804</v>
      </c>
      <c r="R1876" s="81" t="n">
        <f aca="true">RAND()</f>
        <v>0.876816917341695</v>
      </c>
      <c r="S1876" s="82" t="n">
        <f aca="false">IF(R1876&lt;(Inputs!$E$29-Inputs!$D$29)/(Inputs!$F$29-Inputs!$D$29),Inputs!$D$29+SQRT(R1876*(Inputs!$F$29-Inputs!$D$29)*(Inputs!$E$29-Inputs!$D$29)),Inputs!$F$29-SQRT((1-R1876)*(Inputs!$F$29-Inputs!$D$29)*(Inputs!$F$29-Inputs!$E$29)))</f>
        <v>10.9982752786355</v>
      </c>
      <c r="T1876" s="68" t="n">
        <f aca="false">Inputs!$E$9*(1+E1876)+Inputs!$E$5*C1876*(Inputs!$E$11*Inputs!$E$14*(G1876*I1876/Inputs!$E$16+(1-G1876))*K1876+Inputs!$E$23*M1876)*(1+O1876)+Inputs!$E$5*(Q1876+S1876)</f>
        <v>5735.11950141454</v>
      </c>
    </row>
    <row r="1877" customFormat="false" ht="15" hidden="false" customHeight="false" outlineLevel="0" collapsed="false">
      <c r="A1877" s="1" t="n">
        <v>1873</v>
      </c>
      <c r="B1877" s="81" t="n">
        <f aca="true">RAND()</f>
        <v>0.543191669824867</v>
      </c>
      <c r="C1877" s="82" t="n">
        <f aca="false">ROUND(IF(B1877&lt;(Inputs!$E$8-Inputs!$D$8)/(Inputs!$F$8-Inputs!$D$8),Inputs!$D$8+SQRT(B1877*(Inputs!$F$8-Inputs!$D$8)*(Inputs!$E$8-Inputs!$D$8)),Inputs!$F$8-SQRT((1-B1877)*(Inputs!$F$8-Inputs!$D$8)*(Inputs!$F$8-Inputs!$E$8))),0)</f>
        <v>25</v>
      </c>
      <c r="D1877" s="81" t="n">
        <f aca="true">RAND()</f>
        <v>0.607806887506135</v>
      </c>
      <c r="E1877" s="83" t="n">
        <f aca="false">IF(D1877&lt;(Inputs!$E$10-Inputs!$D$10)/(Inputs!$F$10-Inputs!$D$10),Inputs!$D$10+SQRT(D1877*(Inputs!$F$10-Inputs!$D$10)*(Inputs!$E$10-Inputs!$D$10)),Inputs!$F$10-SQRT((1-D1877)*(Inputs!$F$10-Inputs!$D$10)*(Inputs!$F$10-Inputs!$E$10)))</f>
        <v>0.0915297581139604</v>
      </c>
      <c r="F1877" s="81" t="n">
        <f aca="true">RAND()</f>
        <v>0.321131314781716</v>
      </c>
      <c r="G1877" s="83" t="n">
        <f aca="false">IF(F1877&lt;(Inputs!$E$15-Inputs!$D$15)/(Inputs!$F$15-Inputs!$D$15),Inputs!$D$15+SQRT(F1877*(Inputs!$F$15-Inputs!$D$15)*(Inputs!$E$15-Inputs!$D$15)),Inputs!$F$15-SQRT((1-F1877)*(Inputs!$F$15-Inputs!$D$15)*(Inputs!$F$15-Inputs!$E$15)))</f>
        <v>0.680141289580555</v>
      </c>
      <c r="H1877" s="81" t="n">
        <f aca="true">RAND()</f>
        <v>0.0913184415095211</v>
      </c>
      <c r="I1877" s="82" t="n">
        <f aca="false">ROUND(IF(H1877&lt;(Inputs!$E$17-Inputs!$D$17)/(Inputs!$F$17-Inputs!$D$17),Inputs!$D$17+SQRT(H1877*(Inputs!$F$17-Inputs!$D$17)*(Inputs!$E$17-Inputs!$D$17)),Inputs!$F$17-SQRT((1-H1877)*(Inputs!$F$17-Inputs!$D$17)*(Inputs!$F$17-Inputs!$E$17))),0)</f>
        <v>103</v>
      </c>
      <c r="J1877" s="81" t="n">
        <f aca="true">RAND()</f>
        <v>0.323998633259685</v>
      </c>
      <c r="K1877" s="83" t="n">
        <f aca="false">IF(J1877&lt;(Inputs!$E$18-Inputs!$D$18)/(Inputs!$F$18-Inputs!$D$18),Inputs!$D$18+SQRT(J1877*(Inputs!$F$18-Inputs!$D$18)*(Inputs!$E$18-Inputs!$D$18)),Inputs!$F$18-SQRT((1-J1877)*(Inputs!$F$18-Inputs!$D$18)*(Inputs!$F$18-Inputs!$E$18)))</f>
        <v>1.00679202400049</v>
      </c>
      <c r="L1877" s="81" t="n">
        <f aca="true">RAND()</f>
        <v>0.288353890910305</v>
      </c>
      <c r="M1877" s="83" t="n">
        <f aca="false">IF(L1877&lt;(Inputs!$E$24-Inputs!$D$24)/(Inputs!$F$24-Inputs!$D$24),Inputs!$D$24+SQRT(L1877*(Inputs!$F$24-Inputs!$D$24)*(Inputs!$E$24-Inputs!$D$24)),Inputs!$F$24-SQRT((1-L1877)*(Inputs!$F$24-Inputs!$D$24)*(Inputs!$F$24-Inputs!$E$24)))</f>
        <v>0.7860173833523</v>
      </c>
      <c r="N1877" s="81" t="n">
        <f aca="true">RAND()</f>
        <v>0.529946172981073</v>
      </c>
      <c r="O1877" s="83" t="n">
        <f aca="false">IF(N1877&lt;(Inputs!$E$26-Inputs!$D$26)/(Inputs!$F$26-Inputs!$D$26),Inputs!$D$26+SQRT(N1877*(Inputs!$F$26-Inputs!$D$26)*(Inputs!$E$26-Inputs!$D$26)),Inputs!$F$26-SQRT((1-N1877)*(Inputs!$F$26-Inputs!$D$26)*(Inputs!$F$26-Inputs!$E$26)))</f>
        <v>0.596956298441455</v>
      </c>
      <c r="P1877" s="81" t="n">
        <f aca="true">RAND()</f>
        <v>0.808715474556374</v>
      </c>
      <c r="Q1877" s="82" t="n">
        <f aca="false">IF(P1877&lt;(Inputs!$E$27-Inputs!$D$27)/(Inputs!$F$27-Inputs!$D$27),Inputs!$D$27+SQRT(P1877*(Inputs!$F$27-Inputs!$D$27)*(Inputs!$E$27-Inputs!$D$27)),Inputs!$F$27-SQRT((1-P1877)*(Inputs!$F$27-Inputs!$D$27)*(Inputs!$F$27-Inputs!$E$27)))</f>
        <v>112.123438107093</v>
      </c>
      <c r="R1877" s="81" t="n">
        <f aca="true">RAND()</f>
        <v>0.375244909576064</v>
      </c>
      <c r="S1877" s="82" t="n">
        <f aca="false">IF(R1877&lt;(Inputs!$E$29-Inputs!$D$29)/(Inputs!$F$29-Inputs!$D$29),Inputs!$D$29+SQRT(R1877*(Inputs!$F$29-Inputs!$D$29)*(Inputs!$E$29-Inputs!$D$29)),Inputs!$F$29-SQRT((1-R1877)*(Inputs!$F$29-Inputs!$D$29)*(Inputs!$F$29-Inputs!$E$29)))</f>
        <v>5.98788805245343</v>
      </c>
      <c r="T1877" s="68" t="n">
        <f aca="false">Inputs!$E$9*(1+E1877)+Inputs!$E$5*C1877*(Inputs!$E$11*Inputs!$E$14*(G1877*I1877/Inputs!$E$16+(1-G1877))*K1877+Inputs!$E$23*M1877)*(1+O1877)+Inputs!$E$5*(Q1877+S1877)</f>
        <v>6273.01797152438</v>
      </c>
    </row>
    <row r="1878" customFormat="false" ht="15" hidden="false" customHeight="false" outlineLevel="0" collapsed="false">
      <c r="A1878" s="1" t="n">
        <v>1874</v>
      </c>
      <c r="B1878" s="81" t="n">
        <f aca="true">RAND()</f>
        <v>0.104757280285197</v>
      </c>
      <c r="C1878" s="82" t="n">
        <f aca="false">ROUND(IF(B1878&lt;(Inputs!$E$8-Inputs!$D$8)/(Inputs!$F$8-Inputs!$D$8),Inputs!$D$8+SQRT(B1878*(Inputs!$F$8-Inputs!$D$8)*(Inputs!$E$8-Inputs!$D$8)),Inputs!$F$8-SQRT((1-B1878)*(Inputs!$F$8-Inputs!$D$8)*(Inputs!$F$8-Inputs!$E$8))),0)</f>
        <v>22</v>
      </c>
      <c r="D1878" s="81" t="n">
        <f aca="true">RAND()</f>
        <v>0.24438451975941</v>
      </c>
      <c r="E1878" s="83" t="n">
        <f aca="false">IF(D1878&lt;(Inputs!$E$10-Inputs!$D$10)/(Inputs!$F$10-Inputs!$D$10),Inputs!$D$10+SQRT(D1878*(Inputs!$F$10-Inputs!$D$10)*(Inputs!$E$10-Inputs!$D$10)),Inputs!$F$10-SQRT((1-D1878)*(Inputs!$F$10-Inputs!$D$10)*(Inputs!$F$10-Inputs!$E$10)))</f>
        <v>0.0494352626936896</v>
      </c>
      <c r="F1878" s="81" t="n">
        <f aca="true">RAND()</f>
        <v>0.335641254406935</v>
      </c>
      <c r="G1878" s="83" t="n">
        <f aca="false">IF(F1878&lt;(Inputs!$E$15-Inputs!$D$15)/(Inputs!$F$15-Inputs!$D$15),Inputs!$D$15+SQRT(F1878*(Inputs!$F$15-Inputs!$D$15)*(Inputs!$E$15-Inputs!$D$15)),Inputs!$F$15-SQRT((1-F1878)*(Inputs!$F$15-Inputs!$D$15)*(Inputs!$F$15-Inputs!$E$15)))</f>
        <v>0.681931831958883</v>
      </c>
      <c r="H1878" s="81" t="n">
        <f aca="true">RAND()</f>
        <v>0.866128215382131</v>
      </c>
      <c r="I1878" s="82" t="n">
        <f aca="false">ROUND(IF(H1878&lt;(Inputs!$E$17-Inputs!$D$17)/(Inputs!$F$17-Inputs!$D$17),Inputs!$D$17+SQRT(H1878*(Inputs!$F$17-Inputs!$D$17)*(Inputs!$E$17-Inputs!$D$17)),Inputs!$F$17-SQRT((1-H1878)*(Inputs!$F$17-Inputs!$D$17)*(Inputs!$F$17-Inputs!$E$17))),0)</f>
        <v>111</v>
      </c>
      <c r="J1878" s="81" t="n">
        <f aca="true">RAND()</f>
        <v>0.441002184190638</v>
      </c>
      <c r="K1878" s="83" t="n">
        <f aca="false">IF(J1878&lt;(Inputs!$E$18-Inputs!$D$18)/(Inputs!$F$18-Inputs!$D$18),Inputs!$D$18+SQRT(J1878*(Inputs!$F$18-Inputs!$D$18)*(Inputs!$E$18-Inputs!$D$18)),Inputs!$F$18-SQRT((1-J1878)*(Inputs!$F$18-Inputs!$D$18)*(Inputs!$F$18-Inputs!$E$18)))</f>
        <v>1.02883872652899</v>
      </c>
      <c r="L1878" s="81" t="n">
        <f aca="true">RAND()</f>
        <v>0.877301786373924</v>
      </c>
      <c r="M1878" s="83" t="n">
        <f aca="false">IF(L1878&lt;(Inputs!$E$24-Inputs!$D$24)/(Inputs!$F$24-Inputs!$D$24),Inputs!$D$24+SQRT(L1878*(Inputs!$F$24-Inputs!$D$24)*(Inputs!$E$24-Inputs!$D$24)),Inputs!$F$24-SQRT((1-L1878)*(Inputs!$F$24-Inputs!$D$24)*(Inputs!$F$24-Inputs!$E$24)))</f>
        <v>1.02839705343364</v>
      </c>
      <c r="N1878" s="81" t="n">
        <f aca="true">RAND()</f>
        <v>0.756196692224531</v>
      </c>
      <c r="O1878" s="83" t="n">
        <f aca="false">IF(N1878&lt;(Inputs!$E$26-Inputs!$D$26)/(Inputs!$F$26-Inputs!$D$26),Inputs!$D$26+SQRT(N1878*(Inputs!$F$26-Inputs!$D$26)*(Inputs!$E$26-Inputs!$D$26)),Inputs!$F$26-SQRT((1-N1878)*(Inputs!$F$26-Inputs!$D$26)*(Inputs!$F$26-Inputs!$E$26)))</f>
        <v>0.660765757424326</v>
      </c>
      <c r="P1878" s="81" t="n">
        <f aca="true">RAND()</f>
        <v>0.123660842348831</v>
      </c>
      <c r="Q1878" s="82" t="n">
        <f aca="false">IF(P1878&lt;(Inputs!$E$27-Inputs!$D$27)/(Inputs!$F$27-Inputs!$D$27),Inputs!$D$27+SQRT(P1878*(Inputs!$F$27-Inputs!$D$27)*(Inputs!$E$27-Inputs!$D$27)),Inputs!$F$27-SQRT((1-P1878)*(Inputs!$F$27-Inputs!$D$27)*(Inputs!$F$27-Inputs!$E$27)))</f>
        <v>67.5827217993142</v>
      </c>
      <c r="R1878" s="81" t="n">
        <f aca="true">RAND()</f>
        <v>0.865156620232294</v>
      </c>
      <c r="S1878" s="82" t="n">
        <f aca="false">IF(R1878&lt;(Inputs!$E$29-Inputs!$D$29)/(Inputs!$F$29-Inputs!$D$29),Inputs!$D$29+SQRT(R1878*(Inputs!$F$29-Inputs!$D$29)*(Inputs!$E$29-Inputs!$D$29)),Inputs!$F$29-SQRT((1-R1878)*(Inputs!$F$29-Inputs!$D$29)*(Inputs!$F$29-Inputs!$E$29)))</f>
        <v>10.8131587837844</v>
      </c>
      <c r="T1878" s="68" t="n">
        <f aca="false">Inputs!$E$9*(1+E1878)+Inputs!$E$5*C1878*(Inputs!$E$11*Inputs!$E$14*(G1878*I1878/Inputs!$E$16+(1-G1878))*K1878+Inputs!$E$23*M1878)*(1+O1878)+Inputs!$E$5*(Q1878+S1878)</f>
        <v>6145.59823321438</v>
      </c>
    </row>
    <row r="1879" customFormat="false" ht="15" hidden="false" customHeight="false" outlineLevel="0" collapsed="false">
      <c r="A1879" s="1" t="n">
        <v>1875</v>
      </c>
      <c r="B1879" s="81" t="n">
        <f aca="true">RAND()</f>
        <v>0.86747711513497</v>
      </c>
      <c r="C1879" s="82" t="n">
        <f aca="false">ROUND(IF(B1879&lt;(Inputs!$E$8-Inputs!$D$8)/(Inputs!$F$8-Inputs!$D$8),Inputs!$D$8+SQRT(B1879*(Inputs!$F$8-Inputs!$D$8)*(Inputs!$E$8-Inputs!$D$8)),Inputs!$F$8-SQRT((1-B1879)*(Inputs!$F$8-Inputs!$D$8)*(Inputs!$F$8-Inputs!$E$8))),0)</f>
        <v>27</v>
      </c>
      <c r="D1879" s="81" t="n">
        <f aca="true">RAND()</f>
        <v>0.694932955360552</v>
      </c>
      <c r="E1879" s="83" t="n">
        <f aca="false">IF(D1879&lt;(Inputs!$E$10-Inputs!$D$10)/(Inputs!$F$10-Inputs!$D$10),Inputs!$D$10+SQRT(D1879*(Inputs!$F$10-Inputs!$D$10)*(Inputs!$E$10-Inputs!$D$10)),Inputs!$F$10-SQRT((1-D1879)*(Inputs!$F$10-Inputs!$D$10)*(Inputs!$F$10-Inputs!$E$10)))</f>
        <v>0.104333854790822</v>
      </c>
      <c r="F1879" s="81" t="n">
        <f aca="true">RAND()</f>
        <v>0.536044548934024</v>
      </c>
      <c r="G1879" s="83" t="n">
        <f aca="false">IF(F1879&lt;(Inputs!$E$15-Inputs!$D$15)/(Inputs!$F$15-Inputs!$D$15),Inputs!$D$15+SQRT(F1879*(Inputs!$F$15-Inputs!$D$15)*(Inputs!$E$15-Inputs!$D$15)),Inputs!$F$15-SQRT((1-F1879)*(Inputs!$F$15-Inputs!$D$15)*(Inputs!$F$15-Inputs!$E$15)))</f>
        <v>0.703671867965171</v>
      </c>
      <c r="H1879" s="81" t="n">
        <f aca="true">RAND()</f>
        <v>0.171949839015805</v>
      </c>
      <c r="I1879" s="82" t="n">
        <f aca="false">ROUND(IF(H1879&lt;(Inputs!$E$17-Inputs!$D$17)/(Inputs!$F$17-Inputs!$D$17),Inputs!$D$17+SQRT(H1879*(Inputs!$F$17-Inputs!$D$17)*(Inputs!$E$17-Inputs!$D$17)),Inputs!$F$17-SQRT((1-H1879)*(Inputs!$F$17-Inputs!$D$17)*(Inputs!$F$17-Inputs!$E$17))),0)</f>
        <v>104</v>
      </c>
      <c r="J1879" s="81" t="n">
        <f aca="true">RAND()</f>
        <v>0.736379435267334</v>
      </c>
      <c r="K1879" s="83" t="n">
        <f aca="false">IF(J1879&lt;(Inputs!$E$18-Inputs!$D$18)/(Inputs!$F$18-Inputs!$D$18),Inputs!$D$18+SQRT(J1879*(Inputs!$F$18-Inputs!$D$18)*(Inputs!$E$18-Inputs!$D$18)),Inputs!$F$18-SQRT((1-J1879)*(Inputs!$F$18-Inputs!$D$18)*(Inputs!$F$18-Inputs!$E$18)))</f>
        <v>1.09812241964626</v>
      </c>
      <c r="L1879" s="81" t="n">
        <f aca="true">RAND()</f>
        <v>0.939195634726541</v>
      </c>
      <c r="M1879" s="83" t="n">
        <f aca="false">IF(L1879&lt;(Inputs!$E$24-Inputs!$D$24)/(Inputs!$F$24-Inputs!$D$24),Inputs!$D$24+SQRT(L1879*(Inputs!$F$24-Inputs!$D$24)*(Inputs!$E$24-Inputs!$D$24)),Inputs!$F$24-SQRT((1-L1879)*(Inputs!$F$24-Inputs!$D$24)*(Inputs!$F$24-Inputs!$E$24)))</f>
        <v>1.07919831265404</v>
      </c>
      <c r="N1879" s="81" t="n">
        <f aca="true">RAND()</f>
        <v>0.516399736365948</v>
      </c>
      <c r="O1879" s="83" t="n">
        <f aca="false">IF(N1879&lt;(Inputs!$E$26-Inputs!$D$26)/(Inputs!$F$26-Inputs!$D$26),Inputs!$D$26+SQRT(N1879*(Inputs!$F$26-Inputs!$D$26)*(Inputs!$E$26-Inputs!$D$26)),Inputs!$F$26-SQRT((1-N1879)*(Inputs!$F$26-Inputs!$D$26)*(Inputs!$F$26-Inputs!$E$26)))</f>
        <v>0.593136343927691</v>
      </c>
      <c r="P1879" s="81" t="n">
        <f aca="true">RAND()</f>
        <v>0.252954354510418</v>
      </c>
      <c r="Q1879" s="82" t="n">
        <f aca="false">IF(P1879&lt;(Inputs!$E$27-Inputs!$D$27)/(Inputs!$F$27-Inputs!$D$27),Inputs!$D$27+SQRT(P1879*(Inputs!$F$27-Inputs!$D$27)*(Inputs!$E$27-Inputs!$D$27)),Inputs!$F$27-SQRT((1-P1879)*(Inputs!$F$27-Inputs!$D$27)*(Inputs!$F$27-Inputs!$E$27)))</f>
        <v>75.1478634829181</v>
      </c>
      <c r="R1879" s="81" t="n">
        <f aca="true">RAND()</f>
        <v>0.347965668692775</v>
      </c>
      <c r="S1879" s="82" t="n">
        <f aca="false">IF(R1879&lt;(Inputs!$E$29-Inputs!$D$29)/(Inputs!$F$29-Inputs!$D$29),Inputs!$D$29+SQRT(R1879*(Inputs!$F$29-Inputs!$D$29)*(Inputs!$E$29-Inputs!$D$29)),Inputs!$F$29-SQRT((1-R1879)*(Inputs!$F$29-Inputs!$D$29)*(Inputs!$F$29-Inputs!$E$29)))</f>
        <v>5.79323818761779</v>
      </c>
      <c r="T1879" s="68" t="n">
        <f aca="false">Inputs!$E$9*(1+E1879)+Inputs!$E$5*C1879*(Inputs!$E$11*Inputs!$E$14*(G1879*I1879/Inputs!$E$16+(1-G1879))*K1879+Inputs!$E$23*M1879)*(1+O1879)+Inputs!$E$5*(Q1879+S1879)</f>
        <v>7006.1862439254</v>
      </c>
    </row>
    <row r="1880" customFormat="false" ht="15" hidden="false" customHeight="false" outlineLevel="0" collapsed="false">
      <c r="A1880" s="1" t="n">
        <v>1876</v>
      </c>
      <c r="B1880" s="81" t="n">
        <f aca="true">RAND()</f>
        <v>0.367962752953448</v>
      </c>
      <c r="C1880" s="82" t="n">
        <f aca="false">ROUND(IF(B1880&lt;(Inputs!$E$8-Inputs!$D$8)/(Inputs!$F$8-Inputs!$D$8),Inputs!$D$8+SQRT(B1880*(Inputs!$F$8-Inputs!$D$8)*(Inputs!$E$8-Inputs!$D$8)),Inputs!$F$8-SQRT((1-B1880)*(Inputs!$F$8-Inputs!$D$8)*(Inputs!$F$8-Inputs!$E$8))),0)</f>
        <v>24</v>
      </c>
      <c r="D1880" s="81" t="n">
        <f aca="true">RAND()</f>
        <v>0.439878228216017</v>
      </c>
      <c r="E1880" s="83" t="n">
        <f aca="false">IF(D1880&lt;(Inputs!$E$10-Inputs!$D$10)/(Inputs!$F$10-Inputs!$D$10),Inputs!$D$10+SQRT(D1880*(Inputs!$F$10-Inputs!$D$10)*(Inputs!$E$10-Inputs!$D$10)),Inputs!$F$10-SQRT((1-D1880)*(Inputs!$F$10-Inputs!$D$10)*(Inputs!$F$10-Inputs!$E$10)))</f>
        <v>0.0703710944522037</v>
      </c>
      <c r="F1880" s="81" t="n">
        <f aca="true">RAND()</f>
        <v>0.96117860670034</v>
      </c>
      <c r="G1880" s="83" t="n">
        <f aca="false">IF(F1880&lt;(Inputs!$E$15-Inputs!$D$15)/(Inputs!$F$15-Inputs!$D$15),Inputs!$D$15+SQRT(F1880*(Inputs!$F$15-Inputs!$D$15)*(Inputs!$E$15-Inputs!$D$15)),Inputs!$F$15-SQRT((1-F1880)*(Inputs!$F$15-Inputs!$D$15)*(Inputs!$F$15-Inputs!$E$15)))</f>
        <v>0.772135544756927</v>
      </c>
      <c r="H1880" s="81" t="n">
        <f aca="true">RAND()</f>
        <v>0.918940150785676</v>
      </c>
      <c r="I1880" s="82" t="n">
        <f aca="false">ROUND(IF(H1880&lt;(Inputs!$E$17-Inputs!$D$17)/(Inputs!$F$17-Inputs!$D$17),Inputs!$D$17+SQRT(H1880*(Inputs!$F$17-Inputs!$D$17)*(Inputs!$E$17-Inputs!$D$17)),Inputs!$F$17-SQRT((1-H1880)*(Inputs!$F$17-Inputs!$D$17)*(Inputs!$F$17-Inputs!$E$17))),0)</f>
        <v>112</v>
      </c>
      <c r="J1880" s="81" t="n">
        <f aca="true">RAND()</f>
        <v>0.209119947254722</v>
      </c>
      <c r="K1880" s="83" t="n">
        <f aca="false">IF(J1880&lt;(Inputs!$E$18-Inputs!$D$18)/(Inputs!$F$18-Inputs!$D$18),Inputs!$D$18+SQRT(J1880*(Inputs!$F$18-Inputs!$D$18)*(Inputs!$E$18-Inputs!$D$18)),Inputs!$F$18-SQRT((1-J1880)*(Inputs!$F$18-Inputs!$D$18)*(Inputs!$F$18-Inputs!$E$18)))</f>
        <v>0.985552312382046</v>
      </c>
      <c r="L1880" s="81" t="n">
        <f aca="true">RAND()</f>
        <v>0.0506872766210915</v>
      </c>
      <c r="M1880" s="83" t="n">
        <f aca="false">IF(L1880&lt;(Inputs!$E$24-Inputs!$D$24)/(Inputs!$F$24-Inputs!$D$24),Inputs!$D$24+SQRT(L1880*(Inputs!$F$24-Inputs!$D$24)*(Inputs!$E$24-Inputs!$D$24)),Inputs!$F$24-SQRT((1-L1880)*(Inputs!$F$24-Inputs!$D$24)*(Inputs!$F$24-Inputs!$E$24)))</f>
        <v>0.677990212171342</v>
      </c>
      <c r="N1880" s="81" t="n">
        <f aca="true">RAND()</f>
        <v>0.907444188511971</v>
      </c>
      <c r="O1880" s="83" t="n">
        <f aca="false">IF(N1880&lt;(Inputs!$E$26-Inputs!$D$26)/(Inputs!$F$26-Inputs!$D$26),Inputs!$D$26+SQRT(N1880*(Inputs!$F$26-Inputs!$D$26)*(Inputs!$E$26-Inputs!$D$26)),Inputs!$F$26-SQRT((1-N1880)*(Inputs!$F$26-Inputs!$D$26)*(Inputs!$F$26-Inputs!$E$26)))</f>
        <v>0.72188881615863</v>
      </c>
      <c r="P1880" s="81" t="n">
        <f aca="true">RAND()</f>
        <v>0.126279695728689</v>
      </c>
      <c r="Q1880" s="82" t="n">
        <f aca="false">IF(P1880&lt;(Inputs!$E$27-Inputs!$D$27)/(Inputs!$F$27-Inputs!$D$27),Inputs!$D$27+SQRT(P1880*(Inputs!$F$27-Inputs!$D$27)*(Inputs!$E$27-Inputs!$D$27)),Inputs!$F$27-SQRT((1-P1880)*(Inputs!$F$27-Inputs!$D$27)*(Inputs!$F$27-Inputs!$E$27)))</f>
        <v>67.7679272657708</v>
      </c>
      <c r="R1880" s="81" t="n">
        <f aca="true">RAND()</f>
        <v>0.112346834899096</v>
      </c>
      <c r="S1880" s="82" t="n">
        <f aca="false">IF(R1880&lt;(Inputs!$E$29-Inputs!$D$29)/(Inputs!$F$29-Inputs!$D$29),Inputs!$D$29+SQRT(R1880*(Inputs!$F$29-Inputs!$D$29)*(Inputs!$E$29-Inputs!$D$29)),Inputs!$F$29-SQRT((1-R1880)*(Inputs!$F$29-Inputs!$D$29)*(Inputs!$F$29-Inputs!$E$29)))</f>
        <v>4.09320963141887</v>
      </c>
      <c r="T1880" s="68" t="n">
        <f aca="false">Inputs!$E$9*(1+E1880)+Inputs!$E$5*C1880*(Inputs!$E$11*Inputs!$E$14*(G1880*I1880/Inputs!$E$16+(1-G1880))*K1880+Inputs!$E$23*M1880)*(1+O1880)+Inputs!$E$5*(Q1880+S1880)</f>
        <v>5893.93994677395</v>
      </c>
    </row>
    <row r="1881" customFormat="false" ht="15" hidden="false" customHeight="false" outlineLevel="0" collapsed="false">
      <c r="A1881" s="1" t="n">
        <v>1877</v>
      </c>
      <c r="B1881" s="81" t="n">
        <f aca="true">RAND()</f>
        <v>0.290842993923148</v>
      </c>
      <c r="C1881" s="82" t="n">
        <f aca="false">ROUND(IF(B1881&lt;(Inputs!$E$8-Inputs!$D$8)/(Inputs!$F$8-Inputs!$D$8),Inputs!$D$8+SQRT(B1881*(Inputs!$F$8-Inputs!$D$8)*(Inputs!$E$8-Inputs!$D$8)),Inputs!$F$8-SQRT((1-B1881)*(Inputs!$F$8-Inputs!$D$8)*(Inputs!$F$8-Inputs!$E$8))),0)</f>
        <v>24</v>
      </c>
      <c r="D1881" s="81" t="n">
        <f aca="true">RAND()</f>
        <v>0.321208230033353</v>
      </c>
      <c r="E1881" s="83" t="n">
        <f aca="false">IF(D1881&lt;(Inputs!$E$10-Inputs!$D$10)/(Inputs!$F$10-Inputs!$D$10),Inputs!$D$10+SQRT(D1881*(Inputs!$F$10-Inputs!$D$10)*(Inputs!$E$10-Inputs!$D$10)),Inputs!$F$10-SQRT((1-D1881)*(Inputs!$F$10-Inputs!$D$10)*(Inputs!$F$10-Inputs!$E$10)))</f>
        <v>0.0572983773778328</v>
      </c>
      <c r="F1881" s="81" t="n">
        <f aca="true">RAND()</f>
        <v>0.0491124873019604</v>
      </c>
      <c r="G1881" s="83" t="n">
        <f aca="false">IF(F1881&lt;(Inputs!$E$15-Inputs!$D$15)/(Inputs!$F$15-Inputs!$D$15),Inputs!$D$15+SQRT(F1881*(Inputs!$F$15-Inputs!$D$15)*(Inputs!$E$15-Inputs!$D$15)),Inputs!$F$15-SQRT((1-F1881)*(Inputs!$F$15-Inputs!$D$15)*(Inputs!$F$15-Inputs!$E$15)))</f>
        <v>0.631340863836838</v>
      </c>
      <c r="H1881" s="81" t="n">
        <f aca="true">RAND()</f>
        <v>0.401233681479094</v>
      </c>
      <c r="I1881" s="82" t="n">
        <f aca="false">ROUND(IF(H1881&lt;(Inputs!$E$17-Inputs!$D$17)/(Inputs!$F$17-Inputs!$D$17),Inputs!$D$17+SQRT(H1881*(Inputs!$F$17-Inputs!$D$17)*(Inputs!$E$17-Inputs!$D$17)),Inputs!$F$17-SQRT((1-H1881)*(Inputs!$F$17-Inputs!$D$17)*(Inputs!$F$17-Inputs!$E$17))),0)</f>
        <v>106</v>
      </c>
      <c r="J1881" s="81" t="n">
        <f aca="true">RAND()</f>
        <v>0.258093845145887</v>
      </c>
      <c r="K1881" s="83" t="n">
        <f aca="false">IF(J1881&lt;(Inputs!$E$18-Inputs!$D$18)/(Inputs!$F$18-Inputs!$D$18),Inputs!$D$18+SQRT(J1881*(Inputs!$F$18-Inputs!$D$18)*(Inputs!$E$18-Inputs!$D$18)),Inputs!$F$18-SQRT((1-J1881)*(Inputs!$F$18-Inputs!$D$18)*(Inputs!$F$18-Inputs!$E$18)))</f>
        <v>0.995043593051326</v>
      </c>
      <c r="L1881" s="81" t="n">
        <f aca="true">RAND()</f>
        <v>0.012869950736428</v>
      </c>
      <c r="M1881" s="83" t="n">
        <f aca="false">IF(L1881&lt;(Inputs!$E$24-Inputs!$D$24)/(Inputs!$F$24-Inputs!$D$24),Inputs!$D$24+SQRT(L1881*(Inputs!$F$24-Inputs!$D$24)*(Inputs!$E$24-Inputs!$D$24)),Inputs!$F$24-SQRT((1-L1881)*(Inputs!$F$24-Inputs!$D$24)*(Inputs!$F$24-Inputs!$E$24)))</f>
        <v>0.639298779731327</v>
      </c>
      <c r="N1881" s="81" t="n">
        <f aca="true">RAND()</f>
        <v>0.971174861532504</v>
      </c>
      <c r="O1881" s="83" t="n">
        <f aca="false">IF(N1881&lt;(Inputs!$E$26-Inputs!$D$26)/(Inputs!$F$26-Inputs!$D$26),Inputs!$D$26+SQRT(N1881*(Inputs!$F$26-Inputs!$D$26)*(Inputs!$E$26-Inputs!$D$26)),Inputs!$F$26-SQRT((1-N1881)*(Inputs!$F$26-Inputs!$D$26)*(Inputs!$F$26-Inputs!$E$26)))</f>
        <v>0.765247699586049</v>
      </c>
      <c r="P1881" s="81" t="n">
        <f aca="true">RAND()</f>
        <v>0.0173627610531699</v>
      </c>
      <c r="Q1881" s="82" t="n">
        <f aca="false">IF(P1881&lt;(Inputs!$E$27-Inputs!$D$27)/(Inputs!$F$27-Inputs!$D$27),Inputs!$D$27+SQRT(P1881*(Inputs!$F$27-Inputs!$D$27)*(Inputs!$E$27-Inputs!$D$27)),Inputs!$F$27-SQRT((1-P1881)*(Inputs!$F$27-Inputs!$D$27)*(Inputs!$F$27-Inputs!$E$27)))</f>
        <v>56.5883915057413</v>
      </c>
      <c r="R1881" s="81" t="n">
        <f aca="true">RAND()</f>
        <v>0.927193803660695</v>
      </c>
      <c r="S1881" s="82" t="n">
        <f aca="false">IF(R1881&lt;(Inputs!$E$29-Inputs!$D$29)/(Inputs!$F$29-Inputs!$D$29),Inputs!$D$29+SQRT(R1881*(Inputs!$F$29-Inputs!$D$29)*(Inputs!$E$29-Inputs!$D$29)),Inputs!$F$29-SQRT((1-R1881)*(Inputs!$F$29-Inputs!$D$29)*(Inputs!$F$29-Inputs!$E$29)))</f>
        <v>11.9235075940107</v>
      </c>
      <c r="T1881" s="68" t="n">
        <f aca="false">Inputs!$E$9*(1+E1881)+Inputs!$E$5*C1881*(Inputs!$E$11*Inputs!$E$14*(G1881*I1881/Inputs!$E$16+(1-G1881))*K1881+Inputs!$E$23*M1881)*(1+O1881)+Inputs!$E$5*(Q1881+S1881)</f>
        <v>6005.48827353856</v>
      </c>
    </row>
    <row r="1882" customFormat="false" ht="15" hidden="false" customHeight="false" outlineLevel="0" collapsed="false">
      <c r="A1882" s="1" t="n">
        <v>1878</v>
      </c>
      <c r="B1882" s="81" t="n">
        <f aca="true">RAND()</f>
        <v>0.923047585457483</v>
      </c>
      <c r="C1882" s="82" t="n">
        <f aca="false">ROUND(IF(B1882&lt;(Inputs!$E$8-Inputs!$D$8)/(Inputs!$F$8-Inputs!$D$8),Inputs!$D$8+SQRT(B1882*(Inputs!$F$8-Inputs!$D$8)*(Inputs!$E$8-Inputs!$D$8)),Inputs!$F$8-SQRT((1-B1882)*(Inputs!$F$8-Inputs!$D$8)*(Inputs!$F$8-Inputs!$E$8))),0)</f>
        <v>28</v>
      </c>
      <c r="D1882" s="81" t="n">
        <f aca="true">RAND()</f>
        <v>0.245763269310067</v>
      </c>
      <c r="E1882" s="83" t="n">
        <f aca="false">IF(D1882&lt;(Inputs!$E$10-Inputs!$D$10)/(Inputs!$F$10-Inputs!$D$10),Inputs!$D$10+SQRT(D1882*(Inputs!$F$10-Inputs!$D$10)*(Inputs!$E$10-Inputs!$D$10)),Inputs!$F$10-SQRT((1-D1882)*(Inputs!$F$10-Inputs!$D$10)*(Inputs!$F$10-Inputs!$E$10)))</f>
        <v>0.0495745165695104</v>
      </c>
      <c r="F1882" s="81" t="n">
        <f aca="true">RAND()</f>
        <v>0.52036212958418</v>
      </c>
      <c r="G1882" s="83" t="n">
        <f aca="false">IF(F1882&lt;(Inputs!$E$15-Inputs!$D$15)/(Inputs!$F$15-Inputs!$D$15),Inputs!$D$15+SQRT(F1882*(Inputs!$F$15-Inputs!$D$15)*(Inputs!$E$15-Inputs!$D$15)),Inputs!$F$15-SQRT((1-F1882)*(Inputs!$F$15-Inputs!$D$15)*(Inputs!$F$15-Inputs!$E$15)))</f>
        <v>0.702057376958158</v>
      </c>
      <c r="H1882" s="81" t="n">
        <f aca="true">RAND()</f>
        <v>0.849794450971046</v>
      </c>
      <c r="I1882" s="82" t="n">
        <f aca="false">ROUND(IF(H1882&lt;(Inputs!$E$17-Inputs!$D$17)/(Inputs!$F$17-Inputs!$D$17),Inputs!$D$17+SQRT(H1882*(Inputs!$F$17-Inputs!$D$17)*(Inputs!$E$17-Inputs!$D$17)),Inputs!$F$17-SQRT((1-H1882)*(Inputs!$F$17-Inputs!$D$17)*(Inputs!$F$17-Inputs!$E$17))),0)</f>
        <v>110</v>
      </c>
      <c r="J1882" s="81" t="n">
        <f aca="true">RAND()</f>
        <v>0.500735618049097</v>
      </c>
      <c r="K1882" s="83" t="n">
        <f aca="false">IF(J1882&lt;(Inputs!$E$18-Inputs!$D$18)/(Inputs!$F$18-Inputs!$D$18),Inputs!$D$18+SQRT(J1882*(Inputs!$F$18-Inputs!$D$18)*(Inputs!$E$18-Inputs!$D$18)),Inputs!$F$18-SQRT((1-J1882)*(Inputs!$F$18-Inputs!$D$18)*(Inputs!$F$18-Inputs!$E$18)))</f>
        <v>1.04098891555541</v>
      </c>
      <c r="L1882" s="81" t="n">
        <f aca="true">RAND()</f>
        <v>0.328449402636458</v>
      </c>
      <c r="M1882" s="83" t="n">
        <f aca="false">IF(L1882&lt;(Inputs!$E$24-Inputs!$D$24)/(Inputs!$F$24-Inputs!$D$24),Inputs!$D$24+SQRT(L1882*(Inputs!$F$24-Inputs!$D$24)*(Inputs!$E$24-Inputs!$D$24)),Inputs!$F$24-SQRT((1-L1882)*(Inputs!$F$24-Inputs!$D$24)*(Inputs!$F$24-Inputs!$E$24)))</f>
        <v>0.798529414234705</v>
      </c>
      <c r="N1882" s="81" t="n">
        <f aca="true">RAND()</f>
        <v>0.430320299790667</v>
      </c>
      <c r="O1882" s="83" t="n">
        <f aca="false">IF(N1882&lt;(Inputs!$E$26-Inputs!$D$26)/(Inputs!$F$26-Inputs!$D$26),Inputs!$D$26+SQRT(N1882*(Inputs!$F$26-Inputs!$D$26)*(Inputs!$E$26-Inputs!$D$26)),Inputs!$F$26-SQRT((1-N1882)*(Inputs!$F$26-Inputs!$D$26)*(Inputs!$F$26-Inputs!$E$26)))</f>
        <v>0.567591662585304</v>
      </c>
      <c r="P1882" s="81" t="n">
        <f aca="true">RAND()</f>
        <v>0.788934784723956</v>
      </c>
      <c r="Q1882" s="82" t="n">
        <f aca="false">IF(P1882&lt;(Inputs!$E$27-Inputs!$D$27)/(Inputs!$F$27-Inputs!$D$27),Inputs!$D$27+SQRT(P1882*(Inputs!$F$27-Inputs!$D$27)*(Inputs!$E$27-Inputs!$D$27)),Inputs!$F$27-SQRT((1-P1882)*(Inputs!$F$27-Inputs!$D$27)*(Inputs!$F$27-Inputs!$E$27)))</f>
        <v>110.213204268623</v>
      </c>
      <c r="R1882" s="81" t="n">
        <f aca="true">RAND()</f>
        <v>0.057131067484588</v>
      </c>
      <c r="S1882" s="82" t="n">
        <f aca="false">IF(R1882&lt;(Inputs!$E$29-Inputs!$D$29)/(Inputs!$F$29-Inputs!$D$29),Inputs!$D$29+SQRT(R1882*(Inputs!$F$29-Inputs!$D$29)*(Inputs!$E$29-Inputs!$D$29)),Inputs!$F$29-SQRT((1-R1882)*(Inputs!$F$29-Inputs!$D$29)*(Inputs!$F$29-Inputs!$E$29)))</f>
        <v>3.4926860459919</v>
      </c>
      <c r="T1882" s="68" t="n">
        <f aca="false">Inputs!$E$9*(1+E1882)+Inputs!$E$5*C1882*(Inputs!$E$11*Inputs!$E$14*(G1882*I1882/Inputs!$E$16+(1-G1882))*K1882+Inputs!$E$23*M1882)*(1+O1882)+Inputs!$E$5*(Q1882+S1882)</f>
        <v>6644.46731436455</v>
      </c>
    </row>
    <row r="1883" customFormat="false" ht="15" hidden="false" customHeight="false" outlineLevel="0" collapsed="false">
      <c r="A1883" s="1" t="n">
        <v>1879</v>
      </c>
      <c r="B1883" s="81" t="n">
        <f aca="true">RAND()</f>
        <v>0.168978758606041</v>
      </c>
      <c r="C1883" s="82" t="n">
        <f aca="false">ROUND(IF(B1883&lt;(Inputs!$E$8-Inputs!$D$8)/(Inputs!$F$8-Inputs!$D$8),Inputs!$D$8+SQRT(B1883*(Inputs!$F$8-Inputs!$D$8)*(Inputs!$E$8-Inputs!$D$8)),Inputs!$F$8-SQRT((1-B1883)*(Inputs!$F$8-Inputs!$D$8)*(Inputs!$F$8-Inputs!$E$8))),0)</f>
        <v>23</v>
      </c>
      <c r="D1883" s="81" t="n">
        <f aca="true">RAND()</f>
        <v>0.729971155193908</v>
      </c>
      <c r="E1883" s="83" t="n">
        <f aca="false">IF(D1883&lt;(Inputs!$E$10-Inputs!$D$10)/(Inputs!$F$10-Inputs!$D$10),Inputs!$D$10+SQRT(D1883*(Inputs!$F$10-Inputs!$D$10)*(Inputs!$E$10-Inputs!$D$10)),Inputs!$F$10-SQRT((1-D1883)*(Inputs!$F$10-Inputs!$D$10)*(Inputs!$F$10-Inputs!$E$10)))</f>
        <v>0.10999519266071</v>
      </c>
      <c r="F1883" s="81" t="n">
        <f aca="true">RAND()</f>
        <v>0.978917706770652</v>
      </c>
      <c r="G1883" s="83" t="n">
        <f aca="false">IF(F1883&lt;(Inputs!$E$15-Inputs!$D$15)/(Inputs!$F$15-Inputs!$D$15),Inputs!$D$15+SQRT(F1883*(Inputs!$F$15-Inputs!$D$15)*(Inputs!$E$15-Inputs!$D$15)),Inputs!$F$15-SQRT((1-F1883)*(Inputs!$F$15-Inputs!$D$15)*(Inputs!$F$15-Inputs!$E$15)))</f>
        <v>0.779465982746015</v>
      </c>
      <c r="H1883" s="81" t="n">
        <f aca="true">RAND()</f>
        <v>0.435613731974068</v>
      </c>
      <c r="I1883" s="82" t="n">
        <f aca="false">ROUND(IF(H1883&lt;(Inputs!$E$17-Inputs!$D$17)/(Inputs!$F$17-Inputs!$D$17),Inputs!$D$17+SQRT(H1883*(Inputs!$F$17-Inputs!$D$17)*(Inputs!$E$17-Inputs!$D$17)),Inputs!$F$17-SQRT((1-H1883)*(Inputs!$F$17-Inputs!$D$17)*(Inputs!$F$17-Inputs!$E$17))),0)</f>
        <v>106</v>
      </c>
      <c r="J1883" s="81" t="n">
        <f aca="true">RAND()</f>
        <v>0.145081336857196</v>
      </c>
      <c r="K1883" s="83" t="n">
        <f aca="false">IF(J1883&lt;(Inputs!$E$18-Inputs!$D$18)/(Inputs!$F$18-Inputs!$D$18),Inputs!$D$18+SQRT(J1883*(Inputs!$F$18-Inputs!$D$18)*(Inputs!$E$18-Inputs!$D$18)),Inputs!$F$18-SQRT((1-J1883)*(Inputs!$F$18-Inputs!$D$18)*(Inputs!$F$18-Inputs!$E$18)))</f>
        <v>0.97125901199148</v>
      </c>
      <c r="L1883" s="81" t="n">
        <f aca="true">RAND()</f>
        <v>0.0384219035406296</v>
      </c>
      <c r="M1883" s="83" t="n">
        <f aca="false">IF(L1883&lt;(Inputs!$E$24-Inputs!$D$24)/(Inputs!$F$24-Inputs!$D$24),Inputs!$D$24+SQRT(L1883*(Inputs!$F$24-Inputs!$D$24)*(Inputs!$E$24-Inputs!$D$24)),Inputs!$F$24-SQRT((1-L1883)*(Inputs!$F$24-Inputs!$D$24)*(Inputs!$F$24-Inputs!$E$24)))</f>
        <v>0.667901608411551</v>
      </c>
      <c r="N1883" s="81" t="n">
        <f aca="true">RAND()</f>
        <v>0.983406879470566</v>
      </c>
      <c r="O1883" s="83" t="n">
        <f aca="false">IF(N1883&lt;(Inputs!$E$26-Inputs!$D$26)/(Inputs!$F$26-Inputs!$D$26),Inputs!$D$26+SQRT(N1883*(Inputs!$F$26-Inputs!$D$26)*(Inputs!$E$26-Inputs!$D$26)),Inputs!$F$26-SQRT((1-N1883)*(Inputs!$F$26-Inputs!$D$26)*(Inputs!$F$26-Inputs!$E$26)))</f>
        <v>0.778458640669073</v>
      </c>
      <c r="P1883" s="81" t="n">
        <f aca="true">RAND()</f>
        <v>0.886915778106885</v>
      </c>
      <c r="Q1883" s="82" t="n">
        <f aca="false">IF(P1883&lt;(Inputs!$E$27-Inputs!$D$27)/(Inputs!$F$27-Inputs!$D$27),Inputs!$D$27+SQRT(P1883*(Inputs!$F$27-Inputs!$D$27)*(Inputs!$E$27-Inputs!$D$27)),Inputs!$F$27-SQRT((1-P1883)*(Inputs!$F$27-Inputs!$D$27)*(Inputs!$F$27-Inputs!$E$27)))</f>
        <v>120.877299847055</v>
      </c>
      <c r="R1883" s="81" t="n">
        <f aca="true">RAND()</f>
        <v>0.295495484420941</v>
      </c>
      <c r="S1883" s="82" t="n">
        <f aca="false">IF(R1883&lt;(Inputs!$E$29-Inputs!$D$29)/(Inputs!$F$29-Inputs!$D$29),Inputs!$D$29+SQRT(R1883*(Inputs!$F$29-Inputs!$D$29)*(Inputs!$E$29-Inputs!$D$29)),Inputs!$F$29-SQRT((1-R1883)*(Inputs!$F$29-Inputs!$D$29)*(Inputs!$F$29-Inputs!$E$29)))</f>
        <v>5.42996410532972</v>
      </c>
      <c r="T1883" s="68" t="n">
        <f aca="false">Inputs!$E$9*(1+E1883)+Inputs!$E$5*C1883*(Inputs!$E$11*Inputs!$E$14*(G1883*I1883/Inputs!$E$16+(1-G1883))*K1883+Inputs!$E$23*M1883)*(1+O1883)+Inputs!$E$5*(Q1883+S1883)</f>
        <v>6088.7489460198</v>
      </c>
    </row>
    <row r="1884" customFormat="false" ht="15" hidden="false" customHeight="false" outlineLevel="0" collapsed="false">
      <c r="A1884" s="1" t="n">
        <v>1880</v>
      </c>
      <c r="B1884" s="81" t="n">
        <f aca="true">RAND()</f>
        <v>0.0762222975111539</v>
      </c>
      <c r="C1884" s="82" t="n">
        <f aca="false">ROUND(IF(B1884&lt;(Inputs!$E$8-Inputs!$D$8)/(Inputs!$F$8-Inputs!$D$8),Inputs!$D$8+SQRT(B1884*(Inputs!$F$8-Inputs!$D$8)*(Inputs!$E$8-Inputs!$D$8)),Inputs!$F$8-SQRT((1-B1884)*(Inputs!$F$8-Inputs!$D$8)*(Inputs!$F$8-Inputs!$E$8))),0)</f>
        <v>22</v>
      </c>
      <c r="D1884" s="81" t="n">
        <f aca="true">RAND()</f>
        <v>0.680146949385506</v>
      </c>
      <c r="E1884" s="83" t="n">
        <f aca="false">IF(D1884&lt;(Inputs!$E$10-Inputs!$D$10)/(Inputs!$F$10-Inputs!$D$10),Inputs!$D$10+SQRT(D1884*(Inputs!$F$10-Inputs!$D$10)*(Inputs!$E$10-Inputs!$D$10)),Inputs!$F$10-SQRT((1-D1884)*(Inputs!$F$10-Inputs!$D$10)*(Inputs!$F$10-Inputs!$E$10)))</f>
        <v>0.102042909810291</v>
      </c>
      <c r="F1884" s="81" t="n">
        <f aca="true">RAND()</f>
        <v>0.678646124627101</v>
      </c>
      <c r="G1884" s="83" t="n">
        <f aca="false">IF(F1884&lt;(Inputs!$E$15-Inputs!$D$15)/(Inputs!$F$15-Inputs!$D$15),Inputs!$D$15+SQRT(F1884*(Inputs!$F$15-Inputs!$D$15)*(Inputs!$E$15-Inputs!$D$15)),Inputs!$F$15-SQRT((1-F1884)*(Inputs!$F$15-Inputs!$D$15)*(Inputs!$F$15-Inputs!$E$15)))</f>
        <v>0.719830944202529</v>
      </c>
      <c r="H1884" s="81" t="n">
        <f aca="true">RAND()</f>
        <v>0.9886702219416</v>
      </c>
      <c r="I1884" s="82" t="n">
        <f aca="false">ROUND(IF(H1884&lt;(Inputs!$E$17-Inputs!$D$17)/(Inputs!$F$17-Inputs!$D$17),Inputs!$D$17+SQRT(H1884*(Inputs!$F$17-Inputs!$D$17)*(Inputs!$E$17-Inputs!$D$17)),Inputs!$F$17-SQRT((1-H1884)*(Inputs!$F$17-Inputs!$D$17)*(Inputs!$F$17-Inputs!$E$17))),0)</f>
        <v>114</v>
      </c>
      <c r="J1884" s="81" t="n">
        <f aca="true">RAND()</f>
        <v>0.830286447254784</v>
      </c>
      <c r="K1884" s="83" t="n">
        <f aca="false">IF(J1884&lt;(Inputs!$E$18-Inputs!$D$18)/(Inputs!$F$18-Inputs!$D$18),Inputs!$D$18+SQRT(J1884*(Inputs!$F$18-Inputs!$D$18)*(Inputs!$E$18-Inputs!$D$18)),Inputs!$F$18-SQRT((1-J1884)*(Inputs!$F$18-Inputs!$D$18)*(Inputs!$F$18-Inputs!$E$18)))</f>
        <v>1.12813968707899</v>
      </c>
      <c r="L1884" s="81" t="n">
        <f aca="true">RAND()</f>
        <v>0.233130410712013</v>
      </c>
      <c r="M1884" s="83" t="n">
        <f aca="false">IF(L1884&lt;(Inputs!$E$24-Inputs!$D$24)/(Inputs!$F$24-Inputs!$D$24),Inputs!$D$24+SQRT(L1884*(Inputs!$F$24-Inputs!$D$24)*(Inputs!$E$24-Inputs!$D$24)),Inputs!$F$24-SQRT((1-L1884)*(Inputs!$F$24-Inputs!$D$24)*(Inputs!$F$24-Inputs!$E$24)))</f>
        <v>0.767259227803555</v>
      </c>
      <c r="N1884" s="81" t="n">
        <f aca="true">RAND()</f>
        <v>0.305747703845196</v>
      </c>
      <c r="O1884" s="83" t="n">
        <f aca="false">IF(N1884&lt;(Inputs!$E$26-Inputs!$D$26)/(Inputs!$F$26-Inputs!$D$26),Inputs!$D$26+SQRT(N1884*(Inputs!$F$26-Inputs!$D$26)*(Inputs!$E$26-Inputs!$D$26)),Inputs!$F$26-SQRT((1-N1884)*(Inputs!$F$26-Inputs!$D$26)*(Inputs!$F$26-Inputs!$E$26)))</f>
        <v>0.525558014532494</v>
      </c>
      <c r="P1884" s="81" t="n">
        <f aca="true">RAND()</f>
        <v>0.323888044178763</v>
      </c>
      <c r="Q1884" s="82" t="n">
        <f aca="false">IF(P1884&lt;(Inputs!$E$27-Inputs!$D$27)/(Inputs!$F$27-Inputs!$D$27),Inputs!$D$27+SQRT(P1884*(Inputs!$F$27-Inputs!$D$27)*(Inputs!$E$27-Inputs!$D$27)),Inputs!$F$27-SQRT((1-P1884)*(Inputs!$F$27-Inputs!$D$27)*(Inputs!$F$27-Inputs!$E$27)))</f>
        <v>78.7901715445173</v>
      </c>
      <c r="R1884" s="81" t="n">
        <f aca="true">RAND()</f>
        <v>0.712942271289517</v>
      </c>
      <c r="S1884" s="82" t="n">
        <f aca="false">IF(R1884&lt;(Inputs!$E$29-Inputs!$D$29)/(Inputs!$F$29-Inputs!$D$29),Inputs!$D$29+SQRT(R1884*(Inputs!$F$29-Inputs!$D$29)*(Inputs!$E$29-Inputs!$D$29)),Inputs!$F$29-SQRT((1-R1884)*(Inputs!$F$29-Inputs!$D$29)*(Inputs!$F$29-Inputs!$E$29)))</f>
        <v>8.89119449218075</v>
      </c>
      <c r="T1884" s="68" t="n">
        <f aca="false">Inputs!$E$9*(1+E1884)+Inputs!$E$5*C1884*(Inputs!$E$11*Inputs!$E$14*(G1884*I1884/Inputs!$E$16+(1-G1884))*K1884+Inputs!$E$23*M1884)*(1+O1884)+Inputs!$E$5*(Q1884+S1884)</f>
        <v>5891.3293593423</v>
      </c>
    </row>
    <row r="1885" customFormat="false" ht="15" hidden="false" customHeight="false" outlineLevel="0" collapsed="false">
      <c r="A1885" s="1" t="n">
        <v>1881</v>
      </c>
      <c r="B1885" s="81" t="n">
        <f aca="true">RAND()</f>
        <v>0.95178666265467</v>
      </c>
      <c r="C1885" s="82" t="n">
        <f aca="false">ROUND(IF(B1885&lt;(Inputs!$E$8-Inputs!$D$8)/(Inputs!$F$8-Inputs!$D$8),Inputs!$D$8+SQRT(B1885*(Inputs!$F$8-Inputs!$D$8)*(Inputs!$E$8-Inputs!$D$8)),Inputs!$F$8-SQRT((1-B1885)*(Inputs!$F$8-Inputs!$D$8)*(Inputs!$F$8-Inputs!$E$8))),0)</f>
        <v>28</v>
      </c>
      <c r="D1885" s="81" t="n">
        <f aca="true">RAND()</f>
        <v>0.974393804037722</v>
      </c>
      <c r="E1885" s="83" t="n">
        <f aca="false">IF(D1885&lt;(Inputs!$E$10-Inputs!$D$10)/(Inputs!$F$10-Inputs!$D$10),Inputs!$D$10+SQRT(D1885*(Inputs!$F$10-Inputs!$D$10)*(Inputs!$E$10-Inputs!$D$10)),Inputs!$F$10-SQRT((1-D1885)*(Inputs!$F$10-Inputs!$D$10)*(Inputs!$F$10-Inputs!$E$10)))</f>
        <v>0.172283833618837</v>
      </c>
      <c r="F1885" s="81" t="n">
        <f aca="true">RAND()</f>
        <v>0.457203144625324</v>
      </c>
      <c r="G1885" s="83" t="n">
        <f aca="false">IF(F1885&lt;(Inputs!$E$15-Inputs!$D$15)/(Inputs!$F$15-Inputs!$D$15),Inputs!$D$15+SQRT(F1885*(Inputs!$F$15-Inputs!$D$15)*(Inputs!$E$15-Inputs!$D$15)),Inputs!$F$15-SQRT((1-F1885)*(Inputs!$F$15-Inputs!$D$15)*(Inputs!$F$15-Inputs!$E$15)))</f>
        <v>0.695624593554726</v>
      </c>
      <c r="H1885" s="81" t="n">
        <f aca="true">RAND()</f>
        <v>0.291579800480528</v>
      </c>
      <c r="I1885" s="82" t="n">
        <f aca="false">ROUND(IF(H1885&lt;(Inputs!$E$17-Inputs!$D$17)/(Inputs!$F$17-Inputs!$D$17),Inputs!$D$17+SQRT(H1885*(Inputs!$F$17-Inputs!$D$17)*(Inputs!$E$17-Inputs!$D$17)),Inputs!$F$17-SQRT((1-H1885)*(Inputs!$F$17-Inputs!$D$17)*(Inputs!$F$17-Inputs!$E$17))),0)</f>
        <v>105</v>
      </c>
      <c r="J1885" s="81" t="n">
        <f aca="true">RAND()</f>
        <v>0.209236945654122</v>
      </c>
      <c r="K1885" s="83" t="n">
        <f aca="false">IF(J1885&lt;(Inputs!$E$18-Inputs!$D$18)/(Inputs!$F$18-Inputs!$D$18),Inputs!$D$18+SQRT(J1885*(Inputs!$F$18-Inputs!$D$18)*(Inputs!$E$18-Inputs!$D$18)),Inputs!$F$18-SQRT((1-J1885)*(Inputs!$F$18-Inputs!$D$18)*(Inputs!$F$18-Inputs!$E$18)))</f>
        <v>0.985576241433556</v>
      </c>
      <c r="L1885" s="81" t="n">
        <f aca="true">RAND()</f>
        <v>0.879046781163715</v>
      </c>
      <c r="M1885" s="83" t="n">
        <f aca="false">IF(L1885&lt;(Inputs!$E$24-Inputs!$D$24)/(Inputs!$F$24-Inputs!$D$24),Inputs!$D$24+SQRT(L1885*(Inputs!$F$24-Inputs!$D$24)*(Inputs!$E$24-Inputs!$D$24)),Inputs!$F$24-SQRT((1-L1885)*(Inputs!$F$24-Inputs!$D$24)*(Inputs!$F$24-Inputs!$E$24)))</f>
        <v>1.02962167825481</v>
      </c>
      <c r="N1885" s="81" t="n">
        <f aca="true">RAND()</f>
        <v>0.930936814108901</v>
      </c>
      <c r="O1885" s="83" t="n">
        <f aca="false">IF(N1885&lt;(Inputs!$E$26-Inputs!$D$26)/(Inputs!$F$26-Inputs!$D$26),Inputs!$D$26+SQRT(N1885*(Inputs!$F$26-Inputs!$D$26)*(Inputs!$E$26-Inputs!$D$26)),Inputs!$F$26-SQRT((1-N1885)*(Inputs!$F$26-Inputs!$D$26)*(Inputs!$F$26-Inputs!$E$26)))</f>
        <v>0.735249947889843</v>
      </c>
      <c r="P1885" s="81" t="n">
        <f aca="true">RAND()</f>
        <v>0.0346104674798047</v>
      </c>
      <c r="Q1885" s="82" t="n">
        <f aca="false">IF(P1885&lt;(Inputs!$E$27-Inputs!$D$27)/(Inputs!$F$27-Inputs!$D$27),Inputs!$D$27+SQRT(P1885*(Inputs!$F$27-Inputs!$D$27)*(Inputs!$E$27-Inputs!$D$27)),Inputs!$F$27-SQRT((1-P1885)*(Inputs!$F$27-Inputs!$D$27)*(Inputs!$F$27-Inputs!$E$27)))</f>
        <v>59.3019443504846</v>
      </c>
      <c r="R1885" s="81" t="n">
        <f aca="true">RAND()</f>
        <v>0.684360974498054</v>
      </c>
      <c r="S1885" s="82" t="n">
        <f aca="false">IF(R1885&lt;(Inputs!$E$29-Inputs!$D$29)/(Inputs!$F$29-Inputs!$D$29),Inputs!$D$29+SQRT(R1885*(Inputs!$F$29-Inputs!$D$29)*(Inputs!$E$29-Inputs!$D$29)),Inputs!$F$29-SQRT((1-R1885)*(Inputs!$F$29-Inputs!$D$29)*(Inputs!$F$29-Inputs!$E$29)))</f>
        <v>8.59429369114904</v>
      </c>
      <c r="T1885" s="68" t="n">
        <f aca="false">Inputs!$E$9*(1+E1885)+Inputs!$E$5*C1885*(Inputs!$E$11*Inputs!$E$14*(G1885*I1885/Inputs!$E$16+(1-G1885))*K1885+Inputs!$E$23*M1885)*(1+O1885)+Inputs!$E$5*(Q1885+S1885)</f>
        <v>7280.50928902687</v>
      </c>
    </row>
    <row r="1886" customFormat="false" ht="15" hidden="false" customHeight="false" outlineLevel="0" collapsed="false">
      <c r="A1886" s="1" t="n">
        <v>1882</v>
      </c>
      <c r="B1886" s="81" t="n">
        <f aca="true">RAND()</f>
        <v>0.452600971400019</v>
      </c>
      <c r="C1886" s="82" t="n">
        <f aca="false">ROUND(IF(B1886&lt;(Inputs!$E$8-Inputs!$D$8)/(Inputs!$F$8-Inputs!$D$8),Inputs!$D$8+SQRT(B1886*(Inputs!$F$8-Inputs!$D$8)*(Inputs!$E$8-Inputs!$D$8)),Inputs!$F$8-SQRT((1-B1886)*(Inputs!$F$8-Inputs!$D$8)*(Inputs!$F$8-Inputs!$E$8))),0)</f>
        <v>25</v>
      </c>
      <c r="D1886" s="81" t="n">
        <f aca="true">RAND()</f>
        <v>0.30348156091669</v>
      </c>
      <c r="E1886" s="83" t="n">
        <f aca="false">IF(D1886&lt;(Inputs!$E$10-Inputs!$D$10)/(Inputs!$F$10-Inputs!$D$10),Inputs!$D$10+SQRT(D1886*(Inputs!$F$10-Inputs!$D$10)*(Inputs!$E$10-Inputs!$D$10)),Inputs!$F$10-SQRT((1-D1886)*(Inputs!$F$10-Inputs!$D$10)*(Inputs!$F$10-Inputs!$E$10)))</f>
        <v>0.0554470575446515</v>
      </c>
      <c r="F1886" s="81" t="n">
        <f aca="true">RAND()</f>
        <v>0.773075712000439</v>
      </c>
      <c r="G1886" s="83" t="n">
        <f aca="false">IF(F1886&lt;(Inputs!$E$15-Inputs!$D$15)/(Inputs!$F$15-Inputs!$D$15),Inputs!$D$15+SQRT(F1886*(Inputs!$F$15-Inputs!$D$15)*(Inputs!$E$15-Inputs!$D$15)),Inputs!$F$15-SQRT((1-F1886)*(Inputs!$F$15-Inputs!$D$15)*(Inputs!$F$15-Inputs!$E$15)))</f>
        <v>0.732631715473888</v>
      </c>
      <c r="H1886" s="81" t="n">
        <f aca="true">RAND()</f>
        <v>0.8412784276943</v>
      </c>
      <c r="I1886" s="82" t="n">
        <f aca="false">ROUND(IF(H1886&lt;(Inputs!$E$17-Inputs!$D$17)/(Inputs!$F$17-Inputs!$D$17),Inputs!$D$17+SQRT(H1886*(Inputs!$F$17-Inputs!$D$17)*(Inputs!$E$17-Inputs!$D$17)),Inputs!$F$17-SQRT((1-H1886)*(Inputs!$F$17-Inputs!$D$17)*(Inputs!$F$17-Inputs!$E$17))),0)</f>
        <v>110</v>
      </c>
      <c r="J1886" s="81" t="n">
        <f aca="true">RAND()</f>
        <v>0.995581116133648</v>
      </c>
      <c r="K1886" s="83" t="n">
        <f aca="false">IF(J1886&lt;(Inputs!$E$18-Inputs!$D$18)/(Inputs!$F$18-Inputs!$D$18),Inputs!$D$18+SQRT(J1886*(Inputs!$F$18-Inputs!$D$18)*(Inputs!$E$18-Inputs!$D$18)),Inputs!$F$18-SQRT((1-J1886)*(Inputs!$F$18-Inputs!$D$18)*(Inputs!$F$18-Inputs!$E$18)))</f>
        <v>1.23033652273107</v>
      </c>
      <c r="L1886" s="81" t="n">
        <f aca="true">RAND()</f>
        <v>0.75846796329011</v>
      </c>
      <c r="M1886" s="83" t="n">
        <f aca="false">IF(L1886&lt;(Inputs!$E$24-Inputs!$D$24)/(Inputs!$F$24-Inputs!$D$24),Inputs!$D$24+SQRT(L1886*(Inputs!$F$24-Inputs!$D$24)*(Inputs!$E$24-Inputs!$D$24)),Inputs!$F$24-SQRT((1-L1886)*(Inputs!$F$24-Inputs!$D$24)*(Inputs!$F$24-Inputs!$E$24)))</f>
        <v>0.959235200225669</v>
      </c>
      <c r="N1886" s="81" t="n">
        <f aca="true">RAND()</f>
        <v>0.825275490158583</v>
      </c>
      <c r="O1886" s="83" t="n">
        <f aca="false">IF(N1886&lt;(Inputs!$E$26-Inputs!$D$26)/(Inputs!$F$26-Inputs!$D$26),Inputs!$D$26+SQRT(N1886*(Inputs!$F$26-Inputs!$D$26)*(Inputs!$E$26-Inputs!$D$26)),Inputs!$F$26-SQRT((1-N1886)*(Inputs!$F$26-Inputs!$D$26)*(Inputs!$F$26-Inputs!$E$26)))</f>
        <v>0.685198853775246</v>
      </c>
      <c r="P1886" s="81" t="n">
        <f aca="true">RAND()</f>
        <v>0.299641912042936</v>
      </c>
      <c r="Q1886" s="82" t="n">
        <f aca="false">IF(P1886&lt;(Inputs!$E$27-Inputs!$D$27)/(Inputs!$F$27-Inputs!$D$27),Inputs!$D$27+SQRT(P1886*(Inputs!$F$27-Inputs!$D$27)*(Inputs!$E$27-Inputs!$D$27)),Inputs!$F$27-SQRT((1-P1886)*(Inputs!$F$27-Inputs!$D$27)*(Inputs!$F$27-Inputs!$E$27)))</f>
        <v>77.5245858261025</v>
      </c>
      <c r="R1886" s="81" t="n">
        <f aca="true">RAND()</f>
        <v>0.292090138994954</v>
      </c>
      <c r="S1886" s="82" t="n">
        <f aca="false">IF(R1886&lt;(Inputs!$E$29-Inputs!$D$29)/(Inputs!$F$29-Inputs!$D$29),Inputs!$D$29+SQRT(R1886*(Inputs!$F$29-Inputs!$D$29)*(Inputs!$E$29-Inputs!$D$29)),Inputs!$F$29-SQRT((1-R1886)*(Inputs!$F$29-Inputs!$D$29)*(Inputs!$F$29-Inputs!$E$29)))</f>
        <v>5.40686276911166</v>
      </c>
      <c r="T1886" s="68" t="n">
        <f aca="false">Inputs!$E$9*(1+E1886)+Inputs!$E$5*C1886*(Inputs!$E$11*Inputs!$E$14*(G1886*I1886/Inputs!$E$16+(1-G1886))*K1886+Inputs!$E$23*M1886)*(1+O1886)+Inputs!$E$5*(Q1886+S1886)</f>
        <v>6983.63961428209</v>
      </c>
    </row>
    <row r="1887" customFormat="false" ht="15" hidden="false" customHeight="false" outlineLevel="0" collapsed="false">
      <c r="A1887" s="1" t="n">
        <v>1883</v>
      </c>
      <c r="B1887" s="81" t="n">
        <f aca="true">RAND()</f>
        <v>0.231007939174621</v>
      </c>
      <c r="C1887" s="82" t="n">
        <f aca="false">ROUND(IF(B1887&lt;(Inputs!$E$8-Inputs!$D$8)/(Inputs!$F$8-Inputs!$D$8),Inputs!$D$8+SQRT(B1887*(Inputs!$F$8-Inputs!$D$8)*(Inputs!$E$8-Inputs!$D$8)),Inputs!$F$8-SQRT((1-B1887)*(Inputs!$F$8-Inputs!$D$8)*(Inputs!$F$8-Inputs!$E$8))),0)</f>
        <v>23</v>
      </c>
      <c r="D1887" s="81" t="n">
        <f aca="true">RAND()</f>
        <v>0.10406620216788</v>
      </c>
      <c r="E1887" s="83" t="n">
        <f aca="false">IF(D1887&lt;(Inputs!$E$10-Inputs!$D$10)/(Inputs!$F$10-Inputs!$D$10),Inputs!$D$10+SQRT(D1887*(Inputs!$F$10-Inputs!$D$10)*(Inputs!$E$10-Inputs!$D$10)),Inputs!$F$10-SQRT((1-D1887)*(Inputs!$F$10-Inputs!$D$10)*(Inputs!$F$10-Inputs!$E$10)))</f>
        <v>0.032259293570672</v>
      </c>
      <c r="F1887" s="81" t="n">
        <f aca="true">RAND()</f>
        <v>0.624919984007288</v>
      </c>
      <c r="G1887" s="83" t="n">
        <f aca="false">IF(F1887&lt;(Inputs!$E$15-Inputs!$D$15)/(Inputs!$F$15-Inputs!$D$15),Inputs!$D$15+SQRT(F1887*(Inputs!$F$15-Inputs!$D$15)*(Inputs!$E$15-Inputs!$D$15)),Inputs!$F$15-SQRT((1-F1887)*(Inputs!$F$15-Inputs!$D$15)*(Inputs!$F$15-Inputs!$E$15)))</f>
        <v>0.713388220663386</v>
      </c>
      <c r="H1887" s="81" t="n">
        <f aca="true">RAND()</f>
        <v>0.168726182266469</v>
      </c>
      <c r="I1887" s="82" t="n">
        <f aca="false">ROUND(IF(H1887&lt;(Inputs!$E$17-Inputs!$D$17)/(Inputs!$F$17-Inputs!$D$17),Inputs!$D$17+SQRT(H1887*(Inputs!$F$17-Inputs!$D$17)*(Inputs!$E$17-Inputs!$D$17)),Inputs!$F$17-SQRT((1-H1887)*(Inputs!$F$17-Inputs!$D$17)*(Inputs!$F$17-Inputs!$E$17))),0)</f>
        <v>104</v>
      </c>
      <c r="J1887" s="81" t="n">
        <f aca="true">RAND()</f>
        <v>0.740971081779742</v>
      </c>
      <c r="K1887" s="83" t="n">
        <f aca="false">IF(J1887&lt;(Inputs!$E$18-Inputs!$D$18)/(Inputs!$F$18-Inputs!$D$18),Inputs!$D$18+SQRT(J1887*(Inputs!$F$18-Inputs!$D$18)*(Inputs!$E$18-Inputs!$D$18)),Inputs!$F$18-SQRT((1-J1887)*(Inputs!$F$18-Inputs!$D$18)*(Inputs!$F$18-Inputs!$E$18)))</f>
        <v>1.09945090387428</v>
      </c>
      <c r="L1887" s="81" t="n">
        <f aca="true">RAND()</f>
        <v>0.0525686693303782</v>
      </c>
      <c r="M1887" s="83" t="n">
        <f aca="false">IF(L1887&lt;(Inputs!$E$24-Inputs!$D$24)/(Inputs!$F$24-Inputs!$D$24),Inputs!$D$24+SQRT(L1887*(Inputs!$F$24-Inputs!$D$24)*(Inputs!$E$24-Inputs!$D$24)),Inputs!$F$24-SQRT((1-L1887)*(Inputs!$F$24-Inputs!$D$24)*(Inputs!$F$24-Inputs!$E$24)))</f>
        <v>0.679424431503445</v>
      </c>
      <c r="N1887" s="81" t="n">
        <f aca="true">RAND()</f>
        <v>0.890679278348405</v>
      </c>
      <c r="O1887" s="83" t="n">
        <f aca="false">IF(N1887&lt;(Inputs!$E$26-Inputs!$D$26)/(Inputs!$F$26-Inputs!$D$26),Inputs!$D$26+SQRT(N1887*(Inputs!$F$26-Inputs!$D$26)*(Inputs!$E$26-Inputs!$D$26)),Inputs!$F$26-SQRT((1-N1887)*(Inputs!$F$26-Inputs!$D$26)*(Inputs!$F$26-Inputs!$E$26)))</f>
        <v>0.713372822171053</v>
      </c>
      <c r="P1887" s="81" t="n">
        <f aca="true">RAND()</f>
        <v>0.172063879313974</v>
      </c>
      <c r="Q1887" s="82" t="n">
        <f aca="false">IF(P1887&lt;(Inputs!$E$27-Inputs!$D$27)/(Inputs!$F$27-Inputs!$D$27),Inputs!$D$27+SQRT(P1887*(Inputs!$F$27-Inputs!$D$27)*(Inputs!$E$27-Inputs!$D$27)),Inputs!$F$27-SQRT((1-P1887)*(Inputs!$F$27-Inputs!$D$27)*(Inputs!$F$27-Inputs!$E$27)))</f>
        <v>70.7402916634491</v>
      </c>
      <c r="R1887" s="81" t="n">
        <f aca="true">RAND()</f>
        <v>0.963627462591606</v>
      </c>
      <c r="S1887" s="82" t="n">
        <f aca="false">IF(R1887&lt;(Inputs!$E$29-Inputs!$D$29)/(Inputs!$F$29-Inputs!$D$29),Inputs!$D$29+SQRT(R1887*(Inputs!$F$29-Inputs!$D$29)*(Inputs!$E$29-Inputs!$D$29)),Inputs!$F$29-SQRT((1-R1887)*(Inputs!$F$29-Inputs!$D$29)*(Inputs!$F$29-Inputs!$E$29)))</f>
        <v>12.8255046877284</v>
      </c>
      <c r="T1887" s="68" t="n">
        <f aca="false">Inputs!$E$9*(1+E1887)+Inputs!$E$5*C1887*(Inputs!$E$11*Inputs!$E$14*(G1887*I1887/Inputs!$E$16+(1-G1887))*K1887+Inputs!$E$23*M1887)*(1+O1887)+Inputs!$E$5*(Q1887+S1887)</f>
        <v>5937.83290877365</v>
      </c>
    </row>
    <row r="1888" customFormat="false" ht="15" hidden="false" customHeight="false" outlineLevel="0" collapsed="false">
      <c r="A1888" s="1" t="n">
        <v>1884</v>
      </c>
      <c r="B1888" s="81" t="n">
        <f aca="true">RAND()</f>
        <v>0.475023695552528</v>
      </c>
      <c r="C1888" s="82" t="n">
        <f aca="false">ROUND(IF(B1888&lt;(Inputs!$E$8-Inputs!$D$8)/(Inputs!$F$8-Inputs!$D$8),Inputs!$D$8+SQRT(B1888*(Inputs!$F$8-Inputs!$D$8)*(Inputs!$E$8-Inputs!$D$8)),Inputs!$F$8-SQRT((1-B1888)*(Inputs!$F$8-Inputs!$D$8)*(Inputs!$F$8-Inputs!$E$8))),0)</f>
        <v>25</v>
      </c>
      <c r="D1888" s="81" t="n">
        <f aca="true">RAND()</f>
        <v>0.326102093573651</v>
      </c>
      <c r="E1888" s="83" t="n">
        <f aca="false">IF(D1888&lt;(Inputs!$E$10-Inputs!$D$10)/(Inputs!$F$10-Inputs!$D$10),Inputs!$D$10+SQRT(D1888*(Inputs!$F$10-Inputs!$D$10)*(Inputs!$E$10-Inputs!$D$10)),Inputs!$F$10-SQRT((1-D1888)*(Inputs!$F$10-Inputs!$D$10)*(Inputs!$F$10-Inputs!$E$10)))</f>
        <v>0.0578137236130347</v>
      </c>
      <c r="F1888" s="81" t="n">
        <f aca="true">RAND()</f>
        <v>0.474472042811797</v>
      </c>
      <c r="G1888" s="83" t="n">
        <f aca="false">IF(F1888&lt;(Inputs!$E$15-Inputs!$D$15)/(Inputs!$F$15-Inputs!$D$15),Inputs!$D$15+SQRT(F1888*(Inputs!$F$15-Inputs!$D$15)*(Inputs!$E$15-Inputs!$D$15)),Inputs!$F$15-SQRT((1-F1888)*(Inputs!$F$15-Inputs!$D$15)*(Inputs!$F$15-Inputs!$E$15)))</f>
        <v>0.697413761123549</v>
      </c>
      <c r="H1888" s="81" t="n">
        <f aca="true">RAND()</f>
        <v>0.313469696147847</v>
      </c>
      <c r="I1888" s="82" t="n">
        <f aca="false">ROUND(IF(H1888&lt;(Inputs!$E$17-Inputs!$D$17)/(Inputs!$F$17-Inputs!$D$17),Inputs!$D$17+SQRT(H1888*(Inputs!$F$17-Inputs!$D$17)*(Inputs!$E$17-Inputs!$D$17)),Inputs!$F$17-SQRT((1-H1888)*(Inputs!$F$17-Inputs!$D$17)*(Inputs!$F$17-Inputs!$E$17))),0)</f>
        <v>105</v>
      </c>
      <c r="J1888" s="81" t="n">
        <f aca="true">RAND()</f>
        <v>0.374311578312707</v>
      </c>
      <c r="K1888" s="83" t="n">
        <f aca="false">IF(J1888&lt;(Inputs!$E$18-Inputs!$D$18)/(Inputs!$F$18-Inputs!$D$18),Inputs!$D$18+SQRT(J1888*(Inputs!$F$18-Inputs!$D$18)*(Inputs!$E$18-Inputs!$D$18)),Inputs!$F$18-SQRT((1-J1888)*(Inputs!$F$18-Inputs!$D$18)*(Inputs!$F$18-Inputs!$E$18)))</f>
        <v>1.01601765686779</v>
      </c>
      <c r="L1888" s="81" t="n">
        <f aca="true">RAND()</f>
        <v>0.387848784347624</v>
      </c>
      <c r="M1888" s="83" t="n">
        <f aca="false">IF(L1888&lt;(Inputs!$E$24-Inputs!$D$24)/(Inputs!$F$24-Inputs!$D$24),Inputs!$D$24+SQRT(L1888*(Inputs!$F$24-Inputs!$D$24)*(Inputs!$E$24-Inputs!$D$24)),Inputs!$F$24-SQRT((1-L1888)*(Inputs!$F$24-Inputs!$D$24)*(Inputs!$F$24-Inputs!$E$24)))</f>
        <v>0.816703389322877</v>
      </c>
      <c r="N1888" s="81" t="n">
        <f aca="true">RAND()</f>
        <v>0.188953324666344</v>
      </c>
      <c r="O1888" s="83" t="n">
        <f aca="false">IF(N1888&lt;(Inputs!$E$26-Inputs!$D$26)/(Inputs!$F$26-Inputs!$D$26),Inputs!$D$26+SQRT(N1888*(Inputs!$F$26-Inputs!$D$26)*(Inputs!$E$26-Inputs!$D$26)),Inputs!$F$26-SQRT((1-N1888)*(Inputs!$F$26-Inputs!$D$26)*(Inputs!$F$26-Inputs!$E$26)))</f>
        <v>0.477318451449587</v>
      </c>
      <c r="P1888" s="81" t="n">
        <f aca="true">RAND()</f>
        <v>0.778216794300223</v>
      </c>
      <c r="Q1888" s="82" t="n">
        <f aca="false">IF(P1888&lt;(Inputs!$E$27-Inputs!$D$27)/(Inputs!$F$27-Inputs!$D$27),Inputs!$D$27+SQRT(P1888*(Inputs!$F$27-Inputs!$D$27)*(Inputs!$E$27-Inputs!$D$27)),Inputs!$F$27-SQRT((1-P1888)*(Inputs!$F$27-Inputs!$D$27)*(Inputs!$F$27-Inputs!$E$27)))</f>
        <v>109.215517132758</v>
      </c>
      <c r="R1888" s="81" t="n">
        <f aca="true">RAND()</f>
        <v>0.379618185274206</v>
      </c>
      <c r="S1888" s="82" t="n">
        <f aca="false">IF(R1888&lt;(Inputs!$E$29-Inputs!$D$29)/(Inputs!$F$29-Inputs!$D$29),Inputs!$D$29+SQRT(R1888*(Inputs!$F$29-Inputs!$D$29)*(Inputs!$E$29-Inputs!$D$29)),Inputs!$F$29-SQRT((1-R1888)*(Inputs!$F$29-Inputs!$D$29)*(Inputs!$F$29-Inputs!$E$29)))</f>
        <v>6.01948576559486</v>
      </c>
      <c r="T1888" s="68" t="n">
        <f aca="false">Inputs!$E$9*(1+E1888)+Inputs!$E$5*C1888*(Inputs!$E$11*Inputs!$E$14*(G1888*I1888/Inputs!$E$16+(1-G1888))*K1888+Inputs!$E$23*M1888)*(1+O1888)+Inputs!$E$5*(Q1888+S1888)</f>
        <v>5997.05240623361</v>
      </c>
    </row>
    <row r="1889" customFormat="false" ht="15" hidden="false" customHeight="false" outlineLevel="0" collapsed="false">
      <c r="A1889" s="1" t="n">
        <v>1885</v>
      </c>
      <c r="B1889" s="81" t="n">
        <f aca="true">RAND()</f>
        <v>0.406952794756871</v>
      </c>
      <c r="C1889" s="82" t="n">
        <f aca="false">ROUND(IF(B1889&lt;(Inputs!$E$8-Inputs!$D$8)/(Inputs!$F$8-Inputs!$D$8),Inputs!$D$8+SQRT(B1889*(Inputs!$F$8-Inputs!$D$8)*(Inputs!$E$8-Inputs!$D$8)),Inputs!$F$8-SQRT((1-B1889)*(Inputs!$F$8-Inputs!$D$8)*(Inputs!$F$8-Inputs!$E$8))),0)</f>
        <v>25</v>
      </c>
      <c r="D1889" s="81" t="n">
        <f aca="true">RAND()</f>
        <v>0.917837713679051</v>
      </c>
      <c r="E1889" s="83" t="n">
        <f aca="false">IF(D1889&lt;(Inputs!$E$10-Inputs!$D$10)/(Inputs!$F$10-Inputs!$D$10),Inputs!$D$10+SQRT(D1889*(Inputs!$F$10-Inputs!$D$10)*(Inputs!$E$10-Inputs!$D$10)),Inputs!$F$10-SQRT((1-D1889)*(Inputs!$F$10-Inputs!$D$10)*(Inputs!$F$10-Inputs!$E$10)))</f>
        <v>0.150352557068581</v>
      </c>
      <c r="F1889" s="81" t="n">
        <f aca="true">RAND()</f>
        <v>0.602911926596613</v>
      </c>
      <c r="G1889" s="83" t="n">
        <f aca="false">IF(F1889&lt;(Inputs!$E$15-Inputs!$D$15)/(Inputs!$F$15-Inputs!$D$15),Inputs!$D$15+SQRT(F1889*(Inputs!$F$15-Inputs!$D$15)*(Inputs!$E$15-Inputs!$D$15)),Inputs!$F$15-SQRT((1-F1889)*(Inputs!$F$15-Inputs!$D$15)*(Inputs!$F$15-Inputs!$E$15)))</f>
        <v>0.710883438867583</v>
      </c>
      <c r="H1889" s="81" t="n">
        <f aca="true">RAND()</f>
        <v>0.0919182933274866</v>
      </c>
      <c r="I1889" s="82" t="n">
        <f aca="false">ROUND(IF(H1889&lt;(Inputs!$E$17-Inputs!$D$17)/(Inputs!$F$17-Inputs!$D$17),Inputs!$D$17+SQRT(H1889*(Inputs!$F$17-Inputs!$D$17)*(Inputs!$E$17-Inputs!$D$17)),Inputs!$F$17-SQRT((1-H1889)*(Inputs!$F$17-Inputs!$D$17)*(Inputs!$F$17-Inputs!$E$17))),0)</f>
        <v>103</v>
      </c>
      <c r="J1889" s="81" t="n">
        <f aca="true">RAND()</f>
        <v>0.196050625145768</v>
      </c>
      <c r="K1889" s="83" t="n">
        <f aca="false">IF(J1889&lt;(Inputs!$E$18-Inputs!$D$18)/(Inputs!$F$18-Inputs!$D$18),Inputs!$D$18+SQRT(J1889*(Inputs!$F$18-Inputs!$D$18)*(Inputs!$E$18-Inputs!$D$18)),Inputs!$F$18-SQRT((1-J1889)*(Inputs!$F$18-Inputs!$D$18)*(Inputs!$F$18-Inputs!$E$18)))</f>
        <v>0.982835812787114</v>
      </c>
      <c r="L1889" s="81" t="n">
        <f aca="true">RAND()</f>
        <v>0.539812587348525</v>
      </c>
      <c r="M1889" s="83" t="n">
        <f aca="false">IF(L1889&lt;(Inputs!$E$24-Inputs!$D$24)/(Inputs!$F$24-Inputs!$D$24),Inputs!$D$24+SQRT(L1889*(Inputs!$F$24-Inputs!$D$24)*(Inputs!$E$24-Inputs!$D$24)),Inputs!$F$24-SQRT((1-L1889)*(Inputs!$F$24-Inputs!$D$24)*(Inputs!$F$24-Inputs!$E$24)))</f>
        <v>0.867667366880178</v>
      </c>
      <c r="N1889" s="81" t="n">
        <f aca="true">RAND()</f>
        <v>0.281896741742579</v>
      </c>
      <c r="O1889" s="83" t="n">
        <f aca="false">IF(N1889&lt;(Inputs!$E$26-Inputs!$D$26)/(Inputs!$F$26-Inputs!$D$26),Inputs!$D$26+SQRT(N1889*(Inputs!$F$26-Inputs!$D$26)*(Inputs!$E$26-Inputs!$D$26)),Inputs!$F$26-SQRT((1-N1889)*(Inputs!$F$26-Inputs!$D$26)*(Inputs!$F$26-Inputs!$E$26)))</f>
        <v>0.516581665488945</v>
      </c>
      <c r="P1889" s="81" t="n">
        <f aca="true">RAND()</f>
        <v>0.0482643892370084</v>
      </c>
      <c r="Q1889" s="82" t="n">
        <f aca="false">IF(P1889&lt;(Inputs!$E$27-Inputs!$D$27)/(Inputs!$F$27-Inputs!$D$27),Inputs!$D$27+SQRT(P1889*(Inputs!$F$27-Inputs!$D$27)*(Inputs!$E$27-Inputs!$D$27)),Inputs!$F$27-SQRT((1-P1889)*(Inputs!$F$27-Inputs!$D$27)*(Inputs!$F$27-Inputs!$E$27)))</f>
        <v>60.9845788764304</v>
      </c>
      <c r="R1889" s="81" t="n">
        <f aca="true">RAND()</f>
        <v>0.978691635645143</v>
      </c>
      <c r="S1889" s="82" t="n">
        <f aca="false">IF(R1889&lt;(Inputs!$E$29-Inputs!$D$29)/(Inputs!$F$29-Inputs!$D$29),Inputs!$D$29+SQRT(R1889*(Inputs!$F$29-Inputs!$D$29)*(Inputs!$E$29-Inputs!$D$29)),Inputs!$F$29-SQRT((1-R1889)*(Inputs!$F$29-Inputs!$D$29)*(Inputs!$F$29-Inputs!$E$29)))</f>
        <v>13.3356420558872</v>
      </c>
      <c r="T1889" s="68" t="n">
        <f aca="false">Inputs!$E$9*(1+E1889)+Inputs!$E$5*C1889*(Inputs!$E$11*Inputs!$E$14*(G1889*I1889/Inputs!$E$16+(1-G1889))*K1889+Inputs!$E$23*M1889)*(1+O1889)+Inputs!$E$5*(Q1889+S1889)</f>
        <v>6040.73635257101</v>
      </c>
    </row>
    <row r="1890" customFormat="false" ht="15" hidden="false" customHeight="false" outlineLevel="0" collapsed="false">
      <c r="A1890" s="1" t="n">
        <v>1886</v>
      </c>
      <c r="B1890" s="81" t="n">
        <f aca="true">RAND()</f>
        <v>0.215826849460558</v>
      </c>
      <c r="C1890" s="82" t="n">
        <f aca="false">ROUND(IF(B1890&lt;(Inputs!$E$8-Inputs!$D$8)/(Inputs!$F$8-Inputs!$D$8),Inputs!$D$8+SQRT(B1890*(Inputs!$F$8-Inputs!$D$8)*(Inputs!$E$8-Inputs!$D$8)),Inputs!$F$8-SQRT((1-B1890)*(Inputs!$F$8-Inputs!$D$8)*(Inputs!$F$8-Inputs!$E$8))),0)</f>
        <v>23</v>
      </c>
      <c r="D1890" s="81" t="n">
        <f aca="true">RAND()</f>
        <v>0.361090559956035</v>
      </c>
      <c r="E1890" s="83" t="n">
        <f aca="false">IF(D1890&lt;(Inputs!$E$10-Inputs!$D$10)/(Inputs!$F$10-Inputs!$D$10),Inputs!$D$10+SQRT(D1890*(Inputs!$F$10-Inputs!$D$10)*(Inputs!$E$10-Inputs!$D$10)),Inputs!$F$10-SQRT((1-D1890)*(Inputs!$F$10-Inputs!$D$10)*(Inputs!$F$10-Inputs!$E$10)))</f>
        <v>0.0615540423077692</v>
      </c>
      <c r="F1890" s="81" t="n">
        <f aca="true">RAND()</f>
        <v>0.0954398247751972</v>
      </c>
      <c r="G1890" s="83" t="n">
        <f aca="false">IF(F1890&lt;(Inputs!$E$15-Inputs!$D$15)/(Inputs!$F$15-Inputs!$D$15),Inputs!$D$15+SQRT(F1890*(Inputs!$F$15-Inputs!$D$15)*(Inputs!$E$15-Inputs!$D$15)),Inputs!$F$15-SQRT((1-F1890)*(Inputs!$F$15-Inputs!$D$15)*(Inputs!$F$15-Inputs!$E$15)))</f>
        <v>0.643689775640348</v>
      </c>
      <c r="H1890" s="81" t="n">
        <f aca="true">RAND()</f>
        <v>0.0148523305076432</v>
      </c>
      <c r="I1890" s="82" t="n">
        <f aca="false">ROUND(IF(H1890&lt;(Inputs!$E$17-Inputs!$D$17)/(Inputs!$F$17-Inputs!$D$17),Inputs!$D$17+SQRT(H1890*(Inputs!$F$17-Inputs!$D$17)*(Inputs!$E$17-Inputs!$D$17)),Inputs!$F$17-SQRT((1-H1890)*(Inputs!$F$17-Inputs!$D$17)*(Inputs!$F$17-Inputs!$E$17))),0)</f>
        <v>101</v>
      </c>
      <c r="J1890" s="81" t="n">
        <f aca="true">RAND()</f>
        <v>0.551175224350518</v>
      </c>
      <c r="K1890" s="83" t="n">
        <f aca="false">IF(J1890&lt;(Inputs!$E$18-Inputs!$D$18)/(Inputs!$F$18-Inputs!$D$18),Inputs!$D$18+SQRT(J1890*(Inputs!$F$18-Inputs!$D$18)*(Inputs!$E$18-Inputs!$D$18)),Inputs!$F$18-SQRT((1-J1890)*(Inputs!$F$18-Inputs!$D$18)*(Inputs!$F$18-Inputs!$E$18)))</f>
        <v>1.05182793368053</v>
      </c>
      <c r="L1890" s="81" t="n">
        <f aca="true">RAND()</f>
        <v>0.201244740456974</v>
      </c>
      <c r="M1890" s="83" t="n">
        <f aca="false">IF(L1890&lt;(Inputs!$E$24-Inputs!$D$24)/(Inputs!$F$24-Inputs!$D$24),Inputs!$D$24+SQRT(L1890*(Inputs!$F$24-Inputs!$D$24)*(Inputs!$E$24-Inputs!$D$24)),Inputs!$F$24-SQRT((1-L1890)*(Inputs!$F$24-Inputs!$D$24)*(Inputs!$F$24-Inputs!$E$24)))</f>
        <v>0.755400671989657</v>
      </c>
      <c r="N1890" s="81" t="n">
        <f aca="true">RAND()</f>
        <v>0.457785705777256</v>
      </c>
      <c r="O1890" s="83" t="n">
        <f aca="false">IF(N1890&lt;(Inputs!$E$26-Inputs!$D$26)/(Inputs!$F$26-Inputs!$D$26),Inputs!$D$26+SQRT(N1890*(Inputs!$F$26-Inputs!$D$26)*(Inputs!$E$26-Inputs!$D$26)),Inputs!$F$26-SQRT((1-N1890)*(Inputs!$F$26-Inputs!$D$26)*(Inputs!$F$26-Inputs!$E$26)))</f>
        <v>0.575999169276532</v>
      </c>
      <c r="P1890" s="81" t="n">
        <f aca="true">RAND()</f>
        <v>0.250852043743022</v>
      </c>
      <c r="Q1890" s="82" t="n">
        <f aca="false">IF(P1890&lt;(Inputs!$E$27-Inputs!$D$27)/(Inputs!$F$27-Inputs!$D$27),Inputs!$D$27+SQRT(P1890*(Inputs!$F$27-Inputs!$D$27)*(Inputs!$E$27-Inputs!$D$27)),Inputs!$F$27-SQRT((1-P1890)*(Inputs!$F$27-Inputs!$D$27)*(Inputs!$F$27-Inputs!$E$27)))</f>
        <v>75.0426142936713</v>
      </c>
      <c r="R1890" s="81" t="n">
        <f aca="true">RAND()</f>
        <v>0.469734408272564</v>
      </c>
      <c r="S1890" s="82" t="n">
        <f aca="false">IF(R1890&lt;(Inputs!$E$29-Inputs!$D$29)/(Inputs!$F$29-Inputs!$D$29),Inputs!$D$29+SQRT(R1890*(Inputs!$F$29-Inputs!$D$29)*(Inputs!$E$29-Inputs!$D$29)),Inputs!$F$29-SQRT((1-R1890)*(Inputs!$F$29-Inputs!$D$29)*(Inputs!$F$29-Inputs!$E$29)))</f>
        <v>6.69731808843873</v>
      </c>
      <c r="T1890" s="68" t="n">
        <f aca="false">Inputs!$E$9*(1+E1890)+Inputs!$E$5*C1890*(Inputs!$E$11*Inputs!$E$14*(G1890*I1890/Inputs!$E$16+(1-G1890))*K1890+Inputs!$E$23*M1890)*(1+O1890)+Inputs!$E$5*(Q1890+S1890)</f>
        <v>5798.37412242531</v>
      </c>
    </row>
    <row r="1891" customFormat="false" ht="15" hidden="false" customHeight="false" outlineLevel="0" collapsed="false">
      <c r="A1891" s="1" t="n">
        <v>1887</v>
      </c>
      <c r="B1891" s="81" t="n">
        <f aca="true">RAND()</f>
        <v>0.242832343525219</v>
      </c>
      <c r="C1891" s="82" t="n">
        <f aca="false">ROUND(IF(B1891&lt;(Inputs!$E$8-Inputs!$D$8)/(Inputs!$F$8-Inputs!$D$8),Inputs!$D$8+SQRT(B1891*(Inputs!$F$8-Inputs!$D$8)*(Inputs!$E$8-Inputs!$D$8)),Inputs!$F$8-SQRT((1-B1891)*(Inputs!$F$8-Inputs!$D$8)*(Inputs!$F$8-Inputs!$E$8))),0)</f>
        <v>23</v>
      </c>
      <c r="D1891" s="81" t="n">
        <f aca="true">RAND()</f>
        <v>0.189153804389516</v>
      </c>
      <c r="E1891" s="83" t="n">
        <f aca="false">IF(D1891&lt;(Inputs!$E$10-Inputs!$D$10)/(Inputs!$F$10-Inputs!$D$10),Inputs!$D$10+SQRT(D1891*(Inputs!$F$10-Inputs!$D$10)*(Inputs!$E$10-Inputs!$D$10)),Inputs!$F$10-SQRT((1-D1891)*(Inputs!$F$10-Inputs!$D$10)*(Inputs!$F$10-Inputs!$E$10)))</f>
        <v>0.043491815826603</v>
      </c>
      <c r="F1891" s="81" t="n">
        <f aca="true">RAND()</f>
        <v>0.926227785460771</v>
      </c>
      <c r="G1891" s="83" t="n">
        <f aca="false">IF(F1891&lt;(Inputs!$E$15-Inputs!$D$15)/(Inputs!$F$15-Inputs!$D$15),Inputs!$D$15+SQRT(F1891*(Inputs!$F$15-Inputs!$D$15)*(Inputs!$E$15-Inputs!$D$15)),Inputs!$F$15-SQRT((1-F1891)*(Inputs!$F$15-Inputs!$D$15)*(Inputs!$F$15-Inputs!$E$15)))</f>
        <v>0.76158848752282</v>
      </c>
      <c r="H1891" s="81" t="n">
        <f aca="true">RAND()</f>
        <v>0.587998102158083</v>
      </c>
      <c r="I1891" s="82" t="n">
        <f aca="false">ROUND(IF(H1891&lt;(Inputs!$E$17-Inputs!$D$17)/(Inputs!$F$17-Inputs!$D$17),Inputs!$D$17+SQRT(H1891*(Inputs!$F$17-Inputs!$D$17)*(Inputs!$E$17-Inputs!$D$17)),Inputs!$F$17-SQRT((1-H1891)*(Inputs!$F$17-Inputs!$D$17)*(Inputs!$F$17-Inputs!$E$17))),0)</f>
        <v>107</v>
      </c>
      <c r="J1891" s="81" t="n">
        <f aca="true">RAND()</f>
        <v>0.63127515530662</v>
      </c>
      <c r="K1891" s="83" t="n">
        <f aca="false">IF(J1891&lt;(Inputs!$E$18-Inputs!$D$18)/(Inputs!$F$18-Inputs!$D$18),Inputs!$D$18+SQRT(J1891*(Inputs!$F$18-Inputs!$D$18)*(Inputs!$E$18-Inputs!$D$18)),Inputs!$F$18-SQRT((1-J1891)*(Inputs!$F$18-Inputs!$D$18)*(Inputs!$F$18-Inputs!$E$18)))</f>
        <v>1.07037977866991</v>
      </c>
      <c r="L1891" s="81" t="n">
        <f aca="true">RAND()</f>
        <v>0.529987362460168</v>
      </c>
      <c r="M1891" s="83" t="n">
        <f aca="false">IF(L1891&lt;(Inputs!$E$24-Inputs!$D$24)/(Inputs!$F$24-Inputs!$D$24),Inputs!$D$24+SQRT(L1891*(Inputs!$F$24-Inputs!$D$24)*(Inputs!$E$24-Inputs!$D$24)),Inputs!$F$24-SQRT((1-L1891)*(Inputs!$F$24-Inputs!$D$24)*(Inputs!$F$24-Inputs!$E$24)))</f>
        <v>0.864138372228146</v>
      </c>
      <c r="N1891" s="81" t="n">
        <f aca="true">RAND()</f>
        <v>0.843839696679644</v>
      </c>
      <c r="O1891" s="83" t="n">
        <f aca="false">IF(N1891&lt;(Inputs!$E$26-Inputs!$D$26)/(Inputs!$F$26-Inputs!$D$26),Inputs!$D$26+SQRT(N1891*(Inputs!$F$26-Inputs!$D$26)*(Inputs!$E$26-Inputs!$D$26)),Inputs!$F$26-SQRT((1-N1891)*(Inputs!$F$26-Inputs!$D$26)*(Inputs!$F$26-Inputs!$E$26)))</f>
        <v>0.692561106622362</v>
      </c>
      <c r="P1891" s="81" t="n">
        <f aca="true">RAND()</f>
        <v>0.0367738535712394</v>
      </c>
      <c r="Q1891" s="82" t="n">
        <f aca="false">IF(P1891&lt;(Inputs!$E$27-Inputs!$D$27)/(Inputs!$F$27-Inputs!$D$27),Inputs!$D$27+SQRT(P1891*(Inputs!$F$27-Inputs!$D$27)*(Inputs!$E$27-Inputs!$D$27)),Inputs!$F$27-SQRT((1-P1891)*(Inputs!$F$27-Inputs!$D$27)*(Inputs!$F$27-Inputs!$E$27)))</f>
        <v>59.5882549991173</v>
      </c>
      <c r="R1891" s="81" t="n">
        <f aca="true">RAND()</f>
        <v>0.0719012484060416</v>
      </c>
      <c r="S1891" s="82" t="n">
        <f aca="false">IF(R1891&lt;(Inputs!$E$29-Inputs!$D$29)/(Inputs!$F$29-Inputs!$D$29),Inputs!$D$29+SQRT(R1891*(Inputs!$F$29-Inputs!$D$29)*(Inputs!$E$29-Inputs!$D$29)),Inputs!$F$29-SQRT((1-R1891)*(Inputs!$F$29-Inputs!$D$29)*(Inputs!$F$29-Inputs!$E$29)))</f>
        <v>3.67455925181393</v>
      </c>
      <c r="T1891" s="68" t="n">
        <f aca="false">Inputs!$E$9*(1+E1891)+Inputs!$E$5*C1891*(Inputs!$E$11*Inputs!$E$14*(G1891*I1891/Inputs!$E$16+(1-G1891))*K1891+Inputs!$E$23*M1891)*(1+O1891)+Inputs!$E$5*(Q1891+S1891)</f>
        <v>5989.90077472822</v>
      </c>
    </row>
    <row r="1892" customFormat="false" ht="15" hidden="false" customHeight="false" outlineLevel="0" collapsed="false">
      <c r="A1892" s="1" t="n">
        <v>1888</v>
      </c>
      <c r="B1892" s="81" t="n">
        <f aca="true">RAND()</f>
        <v>0.724108548175873</v>
      </c>
      <c r="C1892" s="82" t="n">
        <f aca="false">ROUND(IF(B1892&lt;(Inputs!$E$8-Inputs!$D$8)/(Inputs!$F$8-Inputs!$D$8),Inputs!$D$8+SQRT(B1892*(Inputs!$F$8-Inputs!$D$8)*(Inputs!$E$8-Inputs!$D$8)),Inputs!$F$8-SQRT((1-B1892)*(Inputs!$F$8-Inputs!$D$8)*(Inputs!$F$8-Inputs!$E$8))),0)</f>
        <v>26</v>
      </c>
      <c r="D1892" s="81" t="n">
        <f aca="true">RAND()</f>
        <v>0.196062548299469</v>
      </c>
      <c r="E1892" s="83" t="n">
        <f aca="false">IF(D1892&lt;(Inputs!$E$10-Inputs!$D$10)/(Inputs!$F$10-Inputs!$D$10),Inputs!$D$10+SQRT(D1892*(Inputs!$F$10-Inputs!$D$10)*(Inputs!$E$10-Inputs!$D$10)),Inputs!$F$10-SQRT((1-D1892)*(Inputs!$F$10-Inputs!$D$10)*(Inputs!$F$10-Inputs!$E$10)))</f>
        <v>0.0442789507892259</v>
      </c>
      <c r="F1892" s="81" t="n">
        <f aca="true">RAND()</f>
        <v>0.980174741766851</v>
      </c>
      <c r="G1892" s="83" t="n">
        <f aca="false">IF(F1892&lt;(Inputs!$E$15-Inputs!$D$15)/(Inputs!$F$15-Inputs!$D$15),Inputs!$D$15+SQRT(F1892*(Inputs!$F$15-Inputs!$D$15)*(Inputs!$E$15-Inputs!$D$15)),Inputs!$F$15-SQRT((1-F1892)*(Inputs!$F$15-Inputs!$D$15)*(Inputs!$F$15-Inputs!$E$15)))</f>
        <v>0.780087562563489</v>
      </c>
      <c r="H1892" s="81" t="n">
        <f aca="true">RAND()</f>
        <v>0.443591838950951</v>
      </c>
      <c r="I1892" s="82" t="n">
        <f aca="false">ROUND(IF(H1892&lt;(Inputs!$E$17-Inputs!$D$17)/(Inputs!$F$17-Inputs!$D$17),Inputs!$D$17+SQRT(H1892*(Inputs!$F$17-Inputs!$D$17)*(Inputs!$E$17-Inputs!$D$17)),Inputs!$F$17-SQRT((1-H1892)*(Inputs!$F$17-Inputs!$D$17)*(Inputs!$F$17-Inputs!$E$17))),0)</f>
        <v>106</v>
      </c>
      <c r="J1892" s="81" t="n">
        <f aca="true">RAND()</f>
        <v>0.68303314787173</v>
      </c>
      <c r="K1892" s="83" t="n">
        <f aca="false">IF(J1892&lt;(Inputs!$E$18-Inputs!$D$18)/(Inputs!$F$18-Inputs!$D$18),Inputs!$D$18+SQRT(J1892*(Inputs!$F$18-Inputs!$D$18)*(Inputs!$E$18-Inputs!$D$18)),Inputs!$F$18-SQRT((1-J1892)*(Inputs!$F$18-Inputs!$D$18)*(Inputs!$F$18-Inputs!$E$18)))</f>
        <v>1.08346291835983</v>
      </c>
      <c r="L1892" s="81" t="n">
        <f aca="true">RAND()</f>
        <v>0.314538745897068</v>
      </c>
      <c r="M1892" s="83" t="n">
        <f aca="false">IF(L1892&lt;(Inputs!$E$24-Inputs!$D$24)/(Inputs!$F$24-Inputs!$D$24),Inputs!$D$24+SQRT(L1892*(Inputs!$F$24-Inputs!$D$24)*(Inputs!$E$24-Inputs!$D$24)),Inputs!$F$24-SQRT((1-L1892)*(Inputs!$F$24-Inputs!$D$24)*(Inputs!$F$24-Inputs!$E$24)))</f>
        <v>0.794279822698211</v>
      </c>
      <c r="N1892" s="81" t="n">
        <f aca="true">RAND()</f>
        <v>0.827135811523117</v>
      </c>
      <c r="O1892" s="83" t="n">
        <f aca="false">IF(N1892&lt;(Inputs!$E$26-Inputs!$D$26)/(Inputs!$F$26-Inputs!$D$26),Inputs!$D$26+SQRT(N1892*(Inputs!$F$26-Inputs!$D$26)*(Inputs!$E$26-Inputs!$D$26)),Inputs!$F$26-SQRT((1-N1892)*(Inputs!$F$26-Inputs!$D$26)*(Inputs!$F$26-Inputs!$E$26)))</f>
        <v>0.685918399466609</v>
      </c>
      <c r="P1892" s="81" t="n">
        <f aca="true">RAND()</f>
        <v>0.0663438448855816</v>
      </c>
      <c r="Q1892" s="82" t="n">
        <f aca="false">IF(P1892&lt;(Inputs!$E$27-Inputs!$D$27)/(Inputs!$F$27-Inputs!$D$27),Inputs!$D$27+SQRT(P1892*(Inputs!$F$27-Inputs!$D$27)*(Inputs!$E$27-Inputs!$D$27)),Inputs!$F$27-SQRT((1-P1892)*(Inputs!$F$27-Inputs!$D$27)*(Inputs!$F$27-Inputs!$E$27)))</f>
        <v>62.8786494716626</v>
      </c>
      <c r="R1892" s="81" t="n">
        <f aca="true">RAND()</f>
        <v>0.485178502509528</v>
      </c>
      <c r="S1892" s="82" t="n">
        <f aca="false">IF(R1892&lt;(Inputs!$E$29-Inputs!$D$29)/(Inputs!$F$29-Inputs!$D$29),Inputs!$D$29+SQRT(R1892*(Inputs!$F$29-Inputs!$D$29)*(Inputs!$E$29-Inputs!$D$29)),Inputs!$F$29-SQRT((1-R1892)*(Inputs!$F$29-Inputs!$D$29)*(Inputs!$F$29-Inputs!$E$29)))</f>
        <v>6.81912017728158</v>
      </c>
      <c r="T1892" s="68" t="n">
        <f aca="false">Inputs!$E$9*(1+E1892)+Inputs!$E$5*C1892*(Inputs!$E$11*Inputs!$E$14*(G1892*I1892/Inputs!$E$16+(1-G1892))*K1892+Inputs!$E$23*M1892)*(1+O1892)+Inputs!$E$5*(Q1892+S1892)</f>
        <v>6326.28037051469</v>
      </c>
    </row>
    <row r="1893" customFormat="false" ht="15" hidden="false" customHeight="false" outlineLevel="0" collapsed="false">
      <c r="A1893" s="1" t="n">
        <v>1889</v>
      </c>
      <c r="B1893" s="81" t="n">
        <f aca="true">RAND()</f>
        <v>0.471118217470025</v>
      </c>
      <c r="C1893" s="82" t="n">
        <f aca="false">ROUND(IF(B1893&lt;(Inputs!$E$8-Inputs!$D$8)/(Inputs!$F$8-Inputs!$D$8),Inputs!$D$8+SQRT(B1893*(Inputs!$F$8-Inputs!$D$8)*(Inputs!$E$8-Inputs!$D$8)),Inputs!$F$8-SQRT((1-B1893)*(Inputs!$F$8-Inputs!$D$8)*(Inputs!$F$8-Inputs!$E$8))),0)</f>
        <v>25</v>
      </c>
      <c r="D1893" s="81" t="n">
        <f aca="true">RAND()</f>
        <v>0.201585893005413</v>
      </c>
      <c r="E1893" s="83" t="n">
        <f aca="false">IF(D1893&lt;(Inputs!$E$10-Inputs!$D$10)/(Inputs!$F$10-Inputs!$D$10),Inputs!$D$10+SQRT(D1893*(Inputs!$F$10-Inputs!$D$10)*(Inputs!$E$10-Inputs!$D$10)),Inputs!$F$10-SQRT((1-D1893)*(Inputs!$F$10-Inputs!$D$10)*(Inputs!$F$10-Inputs!$E$10)))</f>
        <v>0.0448983176750993</v>
      </c>
      <c r="F1893" s="81" t="n">
        <f aca="true">RAND()</f>
        <v>0.88709130034764</v>
      </c>
      <c r="G1893" s="83" t="n">
        <f aca="false">IF(F1893&lt;(Inputs!$E$15-Inputs!$D$15)/(Inputs!$F$15-Inputs!$D$15),Inputs!$D$15+SQRT(F1893*(Inputs!$F$15-Inputs!$D$15)*(Inputs!$E$15-Inputs!$D$15)),Inputs!$F$15-SQRT((1-F1893)*(Inputs!$F$15-Inputs!$D$15)*(Inputs!$F$15-Inputs!$E$15)))</f>
        <v>0.752479751757307</v>
      </c>
      <c r="H1893" s="81" t="n">
        <f aca="true">RAND()</f>
        <v>0.416850952708917</v>
      </c>
      <c r="I1893" s="82" t="n">
        <f aca="false">ROUND(IF(H1893&lt;(Inputs!$E$17-Inputs!$D$17)/(Inputs!$F$17-Inputs!$D$17),Inputs!$D$17+SQRT(H1893*(Inputs!$F$17-Inputs!$D$17)*(Inputs!$E$17-Inputs!$D$17)),Inputs!$F$17-SQRT((1-H1893)*(Inputs!$F$17-Inputs!$D$17)*(Inputs!$F$17-Inputs!$E$17))),0)</f>
        <v>106</v>
      </c>
      <c r="J1893" s="81" t="n">
        <f aca="true">RAND()</f>
        <v>0.787335525024068</v>
      </c>
      <c r="K1893" s="83" t="n">
        <f aca="false">IF(J1893&lt;(Inputs!$E$18-Inputs!$D$18)/(Inputs!$F$18-Inputs!$D$18),Inputs!$D$18+SQRT(J1893*(Inputs!$F$18-Inputs!$D$18)*(Inputs!$E$18-Inputs!$D$18)),Inputs!$F$18-SQRT((1-J1893)*(Inputs!$F$18-Inputs!$D$18)*(Inputs!$F$18-Inputs!$E$18)))</f>
        <v>1.11358833788714</v>
      </c>
      <c r="L1893" s="81" t="n">
        <f aca="true">RAND()</f>
        <v>0.432767987979762</v>
      </c>
      <c r="M1893" s="83" t="n">
        <f aca="false">IF(L1893&lt;(Inputs!$E$24-Inputs!$D$24)/(Inputs!$F$24-Inputs!$D$24),Inputs!$D$24+SQRT(L1893*(Inputs!$F$24-Inputs!$D$24)*(Inputs!$E$24-Inputs!$D$24)),Inputs!$F$24-SQRT((1-L1893)*(Inputs!$F$24-Inputs!$D$24)*(Inputs!$F$24-Inputs!$E$24)))</f>
        <v>0.831034306628845</v>
      </c>
      <c r="N1893" s="81" t="n">
        <f aca="true">RAND()</f>
        <v>0.720852263493804</v>
      </c>
      <c r="O1893" s="83" t="n">
        <f aca="false">IF(N1893&lt;(Inputs!$E$26-Inputs!$D$26)/(Inputs!$F$26-Inputs!$D$26),Inputs!$D$26+SQRT(N1893*(Inputs!$F$26-Inputs!$D$26)*(Inputs!$E$26-Inputs!$D$26)),Inputs!$F$26-SQRT((1-N1893)*(Inputs!$F$26-Inputs!$D$26)*(Inputs!$F$26-Inputs!$E$26)))</f>
        <v>0.649614071600251</v>
      </c>
      <c r="P1893" s="81" t="n">
        <f aca="true">RAND()</f>
        <v>0.938498117919351</v>
      </c>
      <c r="Q1893" s="82" t="n">
        <f aca="false">IF(P1893&lt;(Inputs!$E$27-Inputs!$D$27)/(Inputs!$F$27-Inputs!$D$27),Inputs!$D$27+SQRT(P1893*(Inputs!$F$27-Inputs!$D$27)*(Inputs!$E$27-Inputs!$D$27)),Inputs!$F$27-SQRT((1-P1893)*(Inputs!$F$27-Inputs!$D$27)*(Inputs!$F$27-Inputs!$E$27)))</f>
        <v>128.522939782064</v>
      </c>
      <c r="R1893" s="81" t="n">
        <f aca="true">RAND()</f>
        <v>0.54468580679291</v>
      </c>
      <c r="S1893" s="82" t="n">
        <f aca="false">IF(R1893&lt;(Inputs!$E$29-Inputs!$D$29)/(Inputs!$F$29-Inputs!$D$29),Inputs!$D$29+SQRT(R1893*(Inputs!$F$29-Inputs!$D$29)*(Inputs!$E$29-Inputs!$D$29)),Inputs!$F$29-SQRT((1-R1893)*(Inputs!$F$29-Inputs!$D$29)*(Inputs!$F$29-Inputs!$E$29)))</f>
        <v>7.30644132296882</v>
      </c>
      <c r="T1893" s="68" t="n">
        <f aca="false">Inputs!$E$9*(1+E1893)+Inputs!$E$5*C1893*(Inputs!$E$11*Inputs!$E$14*(G1893*I1893/Inputs!$E$16+(1-G1893))*K1893+Inputs!$E$23*M1893)*(1+O1893)+Inputs!$E$5*(Q1893+S1893)</f>
        <v>6600.085494108</v>
      </c>
    </row>
    <row r="1894" customFormat="false" ht="15" hidden="false" customHeight="false" outlineLevel="0" collapsed="false">
      <c r="A1894" s="1" t="n">
        <v>1890</v>
      </c>
      <c r="B1894" s="81" t="n">
        <f aca="true">RAND()</f>
        <v>0.0435876081139333</v>
      </c>
      <c r="C1894" s="82" t="n">
        <f aca="false">ROUND(IF(B1894&lt;(Inputs!$E$8-Inputs!$D$8)/(Inputs!$F$8-Inputs!$D$8),Inputs!$D$8+SQRT(B1894*(Inputs!$F$8-Inputs!$D$8)*(Inputs!$E$8-Inputs!$D$8)),Inputs!$F$8-SQRT((1-B1894)*(Inputs!$F$8-Inputs!$D$8)*(Inputs!$F$8-Inputs!$E$8))),0)</f>
        <v>21</v>
      </c>
      <c r="D1894" s="81" t="n">
        <f aca="true">RAND()</f>
        <v>0.205248059829336</v>
      </c>
      <c r="E1894" s="83" t="n">
        <f aca="false">IF(D1894&lt;(Inputs!$E$10-Inputs!$D$10)/(Inputs!$F$10-Inputs!$D$10),Inputs!$D$10+SQRT(D1894*(Inputs!$F$10-Inputs!$D$10)*(Inputs!$E$10-Inputs!$D$10)),Inputs!$F$10-SQRT((1-D1894)*(Inputs!$F$10-Inputs!$D$10)*(Inputs!$F$10-Inputs!$E$10)))</f>
        <v>0.0453043110343084</v>
      </c>
      <c r="F1894" s="81" t="n">
        <f aca="true">RAND()</f>
        <v>0.813462994428702</v>
      </c>
      <c r="G1894" s="83" t="n">
        <f aca="false">IF(F1894&lt;(Inputs!$E$15-Inputs!$D$15)/(Inputs!$F$15-Inputs!$D$15),Inputs!$D$15+SQRT(F1894*(Inputs!$F$15-Inputs!$D$15)*(Inputs!$E$15-Inputs!$D$15)),Inputs!$F$15-SQRT((1-F1894)*(Inputs!$F$15-Inputs!$D$15)*(Inputs!$F$15-Inputs!$E$15)))</f>
        <v>0.738920215198267</v>
      </c>
      <c r="H1894" s="81" t="n">
        <f aca="true">RAND()</f>
        <v>0.800136155786639</v>
      </c>
      <c r="I1894" s="82" t="n">
        <f aca="false">ROUND(IF(H1894&lt;(Inputs!$E$17-Inputs!$D$17)/(Inputs!$F$17-Inputs!$D$17),Inputs!$D$17+SQRT(H1894*(Inputs!$F$17-Inputs!$D$17)*(Inputs!$E$17-Inputs!$D$17)),Inputs!$F$17-SQRT((1-H1894)*(Inputs!$F$17-Inputs!$D$17)*(Inputs!$F$17-Inputs!$E$17))),0)</f>
        <v>110</v>
      </c>
      <c r="J1894" s="81" t="n">
        <f aca="true">RAND()</f>
        <v>0.8972895414767</v>
      </c>
      <c r="K1894" s="83" t="n">
        <f aca="false">IF(J1894&lt;(Inputs!$E$18-Inputs!$D$18)/(Inputs!$F$18-Inputs!$D$18),Inputs!$D$18+SQRT(J1894*(Inputs!$F$18-Inputs!$D$18)*(Inputs!$E$18-Inputs!$D$18)),Inputs!$F$18-SQRT((1-J1894)*(Inputs!$F$18-Inputs!$D$18)*(Inputs!$F$18-Inputs!$E$18)))</f>
        <v>1.15519934008253</v>
      </c>
      <c r="L1894" s="81" t="n">
        <f aca="true">RAND()</f>
        <v>0.608965054256524</v>
      </c>
      <c r="M1894" s="83" t="n">
        <f aca="false">IF(L1894&lt;(Inputs!$E$24-Inputs!$D$24)/(Inputs!$F$24-Inputs!$D$24),Inputs!$D$24+SQRT(L1894*(Inputs!$F$24-Inputs!$D$24)*(Inputs!$E$24-Inputs!$D$24)),Inputs!$F$24-SQRT((1-L1894)*(Inputs!$F$24-Inputs!$D$24)*(Inputs!$F$24-Inputs!$E$24)))</f>
        <v>0.893653159019985</v>
      </c>
      <c r="N1894" s="81" t="n">
        <f aca="true">RAND()</f>
        <v>0.526487402741458</v>
      </c>
      <c r="O1894" s="83" t="n">
        <f aca="false">IF(N1894&lt;(Inputs!$E$26-Inputs!$D$26)/(Inputs!$F$26-Inputs!$D$26),Inputs!$D$26+SQRT(N1894*(Inputs!$F$26-Inputs!$D$26)*(Inputs!$E$26-Inputs!$D$26)),Inputs!$F$26-SQRT((1-N1894)*(Inputs!$F$26-Inputs!$D$26)*(Inputs!$F$26-Inputs!$E$26)))</f>
        <v>0.5959856479902</v>
      </c>
      <c r="P1894" s="81" t="n">
        <f aca="true">RAND()</f>
        <v>0.915975970865107</v>
      </c>
      <c r="Q1894" s="82" t="n">
        <f aca="false">IF(P1894&lt;(Inputs!$E$27-Inputs!$D$27)/(Inputs!$F$27-Inputs!$D$27),Inputs!$D$27+SQRT(P1894*(Inputs!$F$27-Inputs!$D$27)*(Inputs!$E$27-Inputs!$D$27)),Inputs!$F$27-SQRT((1-P1894)*(Inputs!$F$27-Inputs!$D$27)*(Inputs!$F$27-Inputs!$E$27)))</f>
        <v>124.896609421998</v>
      </c>
      <c r="R1894" s="81" t="n">
        <f aca="true">RAND()</f>
        <v>0.456187707764673</v>
      </c>
      <c r="S1894" s="82" t="n">
        <f aca="false">IF(R1894&lt;(Inputs!$E$29-Inputs!$D$29)/(Inputs!$F$29-Inputs!$D$29),Inputs!$D$29+SQRT(R1894*(Inputs!$F$29-Inputs!$D$29)*(Inputs!$E$29-Inputs!$D$29)),Inputs!$F$29-SQRT((1-R1894)*(Inputs!$F$29-Inputs!$D$29)*(Inputs!$F$29-Inputs!$E$29)))</f>
        <v>6.59193256505441</v>
      </c>
      <c r="T1894" s="68" t="n">
        <f aca="false">Inputs!$E$9*(1+E1894)+Inputs!$E$5*C1894*(Inputs!$E$11*Inputs!$E$14*(G1894*I1894/Inputs!$E$16+(1-G1894))*K1894+Inputs!$E$23*M1894)*(1+O1894)+Inputs!$E$5*(Q1894+S1894)</f>
        <v>6113.43062163561</v>
      </c>
    </row>
    <row r="1895" customFormat="false" ht="15" hidden="false" customHeight="false" outlineLevel="0" collapsed="false">
      <c r="A1895" s="1" t="n">
        <v>1891</v>
      </c>
      <c r="B1895" s="81" t="n">
        <f aca="true">RAND()</f>
        <v>0.100058547619106</v>
      </c>
      <c r="C1895" s="82" t="n">
        <f aca="false">ROUND(IF(B1895&lt;(Inputs!$E$8-Inputs!$D$8)/(Inputs!$F$8-Inputs!$D$8),Inputs!$D$8+SQRT(B1895*(Inputs!$F$8-Inputs!$D$8)*(Inputs!$E$8-Inputs!$D$8)),Inputs!$F$8-SQRT((1-B1895)*(Inputs!$F$8-Inputs!$D$8)*(Inputs!$F$8-Inputs!$E$8))),0)</f>
        <v>22</v>
      </c>
      <c r="D1895" s="81" t="n">
        <f aca="true">RAND()</f>
        <v>0.32230272690534</v>
      </c>
      <c r="E1895" s="83" t="n">
        <f aca="false">IF(D1895&lt;(Inputs!$E$10-Inputs!$D$10)/(Inputs!$F$10-Inputs!$D$10),Inputs!$D$10+SQRT(D1895*(Inputs!$F$10-Inputs!$D$10)*(Inputs!$E$10-Inputs!$D$10)),Inputs!$F$10-SQRT((1-D1895)*(Inputs!$F$10-Inputs!$D$10)*(Inputs!$F$10-Inputs!$E$10)))</f>
        <v>0.0574134712083929</v>
      </c>
      <c r="F1895" s="81" t="n">
        <f aca="true">RAND()</f>
        <v>0.18337636866105</v>
      </c>
      <c r="G1895" s="83" t="n">
        <f aca="false">IF(F1895&lt;(Inputs!$E$15-Inputs!$D$15)/(Inputs!$F$15-Inputs!$D$15),Inputs!$D$15+SQRT(F1895*(Inputs!$F$15-Inputs!$D$15)*(Inputs!$E$15-Inputs!$D$15)),Inputs!$F$15-SQRT((1-F1895)*(Inputs!$F$15-Inputs!$D$15)*(Inputs!$F$15-Inputs!$E$15)))</f>
        <v>0.66056011371539</v>
      </c>
      <c r="H1895" s="81" t="n">
        <f aca="true">RAND()</f>
        <v>0.230238675150791</v>
      </c>
      <c r="I1895" s="82" t="n">
        <f aca="false">ROUND(IF(H1895&lt;(Inputs!$E$17-Inputs!$D$17)/(Inputs!$F$17-Inputs!$D$17),Inputs!$D$17+SQRT(H1895*(Inputs!$F$17-Inputs!$D$17)*(Inputs!$E$17-Inputs!$D$17)),Inputs!$F$17-SQRT((1-H1895)*(Inputs!$F$17-Inputs!$D$17)*(Inputs!$F$17-Inputs!$E$17))),0)</f>
        <v>104</v>
      </c>
      <c r="J1895" s="81" t="n">
        <f aca="true">RAND()</f>
        <v>0.264740316529601</v>
      </c>
      <c r="K1895" s="83" t="n">
        <f aca="false">IF(J1895&lt;(Inputs!$E$18-Inputs!$D$18)/(Inputs!$F$18-Inputs!$D$18),Inputs!$D$18+SQRT(J1895*(Inputs!$F$18-Inputs!$D$18)*(Inputs!$E$18-Inputs!$D$18)),Inputs!$F$18-SQRT((1-J1895)*(Inputs!$F$18-Inputs!$D$18)*(Inputs!$F$18-Inputs!$E$18)))</f>
        <v>0.996259602526377</v>
      </c>
      <c r="L1895" s="81" t="n">
        <f aca="true">RAND()</f>
        <v>0.574218417863942</v>
      </c>
      <c r="M1895" s="83" t="n">
        <f aca="false">IF(L1895&lt;(Inputs!$E$24-Inputs!$D$24)/(Inputs!$F$24-Inputs!$D$24),Inputs!$D$24+SQRT(L1895*(Inputs!$F$24-Inputs!$D$24)*(Inputs!$E$24-Inputs!$D$24)),Inputs!$F$24-SQRT((1-L1895)*(Inputs!$F$24-Inputs!$D$24)*(Inputs!$F$24-Inputs!$E$24)))</f>
        <v>0.880332079005957</v>
      </c>
      <c r="N1895" s="81" t="n">
        <f aca="true">RAND()</f>
        <v>0.181185045059236</v>
      </c>
      <c r="O1895" s="83" t="n">
        <f aca="false">IF(N1895&lt;(Inputs!$E$26-Inputs!$D$26)/(Inputs!$F$26-Inputs!$D$26),Inputs!$D$26+SQRT(N1895*(Inputs!$F$26-Inputs!$D$26)*(Inputs!$E$26-Inputs!$D$26)),Inputs!$F$26-SQRT((1-N1895)*(Inputs!$F$26-Inputs!$D$26)*(Inputs!$F$26-Inputs!$E$26)))</f>
        <v>0.473635225394667</v>
      </c>
      <c r="P1895" s="81" t="n">
        <f aca="true">RAND()</f>
        <v>0.970305577658268</v>
      </c>
      <c r="Q1895" s="82" t="n">
        <f aca="false">IF(P1895&lt;(Inputs!$E$27-Inputs!$D$27)/(Inputs!$F$27-Inputs!$D$27),Inputs!$D$27+SQRT(P1895*(Inputs!$F$27-Inputs!$D$27)*(Inputs!$E$27-Inputs!$D$27)),Inputs!$F$27-SQRT((1-P1895)*(Inputs!$F$27-Inputs!$D$27)*(Inputs!$F$27-Inputs!$E$27)))</f>
        <v>135.076589948574</v>
      </c>
      <c r="R1895" s="81" t="n">
        <f aca="true">RAND()</f>
        <v>0.621259222314297</v>
      </c>
      <c r="S1895" s="82" t="n">
        <f aca="false">IF(R1895&lt;(Inputs!$E$29-Inputs!$D$29)/(Inputs!$F$29-Inputs!$D$29),Inputs!$D$29+SQRT(R1895*(Inputs!$F$29-Inputs!$D$29)*(Inputs!$E$29-Inputs!$D$29)),Inputs!$F$29-SQRT((1-R1895)*(Inputs!$F$29-Inputs!$D$29)*(Inputs!$F$29-Inputs!$E$29)))</f>
        <v>7.9831416503437</v>
      </c>
      <c r="T1895" s="68" t="n">
        <f aca="false">Inputs!$E$9*(1+E1895)+Inputs!$E$5*C1895*(Inputs!$E$11*Inputs!$E$14*(G1895*I1895/Inputs!$E$16+(1-G1895))*K1895+Inputs!$E$23*M1895)*(1+O1895)+Inputs!$E$5*(Q1895+S1895)</f>
        <v>5827.11500839604</v>
      </c>
    </row>
    <row r="1896" customFormat="false" ht="15" hidden="false" customHeight="false" outlineLevel="0" collapsed="false">
      <c r="A1896" s="1" t="n">
        <v>1892</v>
      </c>
      <c r="B1896" s="81" t="n">
        <f aca="true">RAND()</f>
        <v>0.410352993242698</v>
      </c>
      <c r="C1896" s="82" t="n">
        <f aca="false">ROUND(IF(B1896&lt;(Inputs!$E$8-Inputs!$D$8)/(Inputs!$F$8-Inputs!$D$8),Inputs!$D$8+SQRT(B1896*(Inputs!$F$8-Inputs!$D$8)*(Inputs!$E$8-Inputs!$D$8)),Inputs!$F$8-SQRT((1-B1896)*(Inputs!$F$8-Inputs!$D$8)*(Inputs!$F$8-Inputs!$E$8))),0)</f>
        <v>25</v>
      </c>
      <c r="D1896" s="81" t="n">
        <f aca="true">RAND()</f>
        <v>0.86077115850997</v>
      </c>
      <c r="E1896" s="83" t="n">
        <f aca="false">IF(D1896&lt;(Inputs!$E$10-Inputs!$D$10)/(Inputs!$F$10-Inputs!$D$10),Inputs!$D$10+SQRT(D1896*(Inputs!$F$10-Inputs!$D$10)*(Inputs!$E$10-Inputs!$D$10)),Inputs!$F$10-SQRT((1-D1896)*(Inputs!$F$10-Inputs!$D$10)*(Inputs!$F$10-Inputs!$E$10)))</f>
        <v>0.135371327998319</v>
      </c>
      <c r="F1896" s="81" t="n">
        <f aca="true">RAND()</f>
        <v>0.637697035601299</v>
      </c>
      <c r="G1896" s="83" t="n">
        <f aca="false">IF(F1896&lt;(Inputs!$E$15-Inputs!$D$15)/(Inputs!$F$15-Inputs!$D$15),Inputs!$D$15+SQRT(F1896*(Inputs!$F$15-Inputs!$D$15)*(Inputs!$E$15-Inputs!$D$15)),Inputs!$F$15-SQRT((1-F1896)*(Inputs!$F$15-Inputs!$D$15)*(Inputs!$F$15-Inputs!$E$15)))</f>
        <v>0.714876211973538</v>
      </c>
      <c r="H1896" s="81" t="n">
        <f aca="true">RAND()</f>
        <v>0.283576286682955</v>
      </c>
      <c r="I1896" s="82" t="n">
        <f aca="false">ROUND(IF(H1896&lt;(Inputs!$E$17-Inputs!$D$17)/(Inputs!$F$17-Inputs!$D$17),Inputs!$D$17+SQRT(H1896*(Inputs!$F$17-Inputs!$D$17)*(Inputs!$E$17-Inputs!$D$17)),Inputs!$F$17-SQRT((1-H1896)*(Inputs!$F$17-Inputs!$D$17)*(Inputs!$F$17-Inputs!$E$17))),0)</f>
        <v>105</v>
      </c>
      <c r="J1896" s="81" t="n">
        <f aca="true">RAND()</f>
        <v>0.702018998531295</v>
      </c>
      <c r="K1896" s="83" t="n">
        <f aca="false">IF(J1896&lt;(Inputs!$E$18-Inputs!$D$18)/(Inputs!$F$18-Inputs!$D$18),Inputs!$D$18+SQRT(J1896*(Inputs!$F$18-Inputs!$D$18)*(Inputs!$E$18-Inputs!$D$18)),Inputs!$F$18-SQRT((1-J1896)*(Inputs!$F$18-Inputs!$D$18)*(Inputs!$F$18-Inputs!$E$18)))</f>
        <v>1.0885275948389</v>
      </c>
      <c r="L1896" s="81" t="n">
        <f aca="true">RAND()</f>
        <v>0.342588407661505</v>
      </c>
      <c r="M1896" s="83" t="n">
        <f aca="false">IF(L1896&lt;(Inputs!$E$24-Inputs!$D$24)/(Inputs!$F$24-Inputs!$D$24),Inputs!$D$24+SQRT(L1896*(Inputs!$F$24-Inputs!$D$24)*(Inputs!$E$24-Inputs!$D$24)),Inputs!$F$24-SQRT((1-L1896)*(Inputs!$F$24-Inputs!$D$24)*(Inputs!$F$24-Inputs!$E$24)))</f>
        <v>0.80278622611843</v>
      </c>
      <c r="N1896" s="81" t="n">
        <f aca="true">RAND()</f>
        <v>0.927619840253138</v>
      </c>
      <c r="O1896" s="83" t="n">
        <f aca="false">IF(N1896&lt;(Inputs!$E$26-Inputs!$D$26)/(Inputs!$F$26-Inputs!$D$26),Inputs!$D$26+SQRT(N1896*(Inputs!$F$26-Inputs!$D$26)*(Inputs!$E$26-Inputs!$D$26)),Inputs!$F$26-SQRT((1-N1896)*(Inputs!$F$26-Inputs!$D$26)*(Inputs!$F$26-Inputs!$E$26)))</f>
        <v>0.733238622569293</v>
      </c>
      <c r="P1896" s="81" t="n">
        <f aca="true">RAND()</f>
        <v>0.280559701246708</v>
      </c>
      <c r="Q1896" s="82" t="n">
        <f aca="false">IF(P1896&lt;(Inputs!$E$27-Inputs!$D$27)/(Inputs!$F$27-Inputs!$D$27),Inputs!$D$27+SQRT(P1896*(Inputs!$F$27-Inputs!$D$27)*(Inputs!$E$27-Inputs!$D$27)),Inputs!$F$27-SQRT((1-P1896)*(Inputs!$F$27-Inputs!$D$27)*(Inputs!$F$27-Inputs!$E$27)))</f>
        <v>76.5438754040911</v>
      </c>
      <c r="R1896" s="81" t="n">
        <f aca="true">RAND()</f>
        <v>0.697951443435266</v>
      </c>
      <c r="S1896" s="82" t="n">
        <f aca="false">IF(R1896&lt;(Inputs!$E$29-Inputs!$D$29)/(Inputs!$F$29-Inputs!$D$29),Inputs!$D$29+SQRT(R1896*(Inputs!$F$29-Inputs!$D$29)*(Inputs!$E$29-Inputs!$D$29)),Inputs!$F$29-SQRT((1-R1896)*(Inputs!$F$29-Inputs!$D$29)*(Inputs!$F$29-Inputs!$E$29)))</f>
        <v>8.73371622463398</v>
      </c>
      <c r="T1896" s="68" t="n">
        <f aca="false">Inputs!$E$9*(1+E1896)+Inputs!$E$5*C1896*(Inputs!$E$11*Inputs!$E$14*(G1896*I1896/Inputs!$E$16+(1-G1896))*K1896+Inputs!$E$23*M1896)*(1+O1896)+Inputs!$E$5*(Q1896+S1896)</f>
        <v>6673.88507963564</v>
      </c>
    </row>
    <row r="1897" customFormat="false" ht="15" hidden="false" customHeight="false" outlineLevel="0" collapsed="false">
      <c r="A1897" s="1" t="n">
        <v>1893</v>
      </c>
      <c r="B1897" s="81" t="n">
        <f aca="true">RAND()</f>
        <v>0.620808782359808</v>
      </c>
      <c r="C1897" s="82" t="n">
        <f aca="false">ROUND(IF(B1897&lt;(Inputs!$E$8-Inputs!$D$8)/(Inputs!$F$8-Inputs!$D$8),Inputs!$D$8+SQRT(B1897*(Inputs!$F$8-Inputs!$D$8)*(Inputs!$E$8-Inputs!$D$8)),Inputs!$F$8-SQRT((1-B1897)*(Inputs!$F$8-Inputs!$D$8)*(Inputs!$F$8-Inputs!$E$8))),0)</f>
        <v>26</v>
      </c>
      <c r="D1897" s="81" t="n">
        <f aca="true">RAND()</f>
        <v>0.831945340236567</v>
      </c>
      <c r="E1897" s="83" t="n">
        <f aca="false">IF(D1897&lt;(Inputs!$E$10-Inputs!$D$10)/(Inputs!$F$10-Inputs!$D$10),Inputs!$D$10+SQRT(D1897*(Inputs!$F$10-Inputs!$D$10)*(Inputs!$E$10-Inputs!$D$10)),Inputs!$F$10-SQRT((1-D1897)*(Inputs!$F$10-Inputs!$D$10)*(Inputs!$F$10-Inputs!$E$10)))</f>
        <v>0.128995494559127</v>
      </c>
      <c r="F1897" s="81" t="n">
        <f aca="true">RAND()</f>
        <v>0.552982592371782</v>
      </c>
      <c r="G1897" s="83" t="n">
        <f aca="false">IF(F1897&lt;(Inputs!$E$15-Inputs!$D$15)/(Inputs!$F$15-Inputs!$D$15),Inputs!$D$15+SQRT(F1897*(Inputs!$F$15-Inputs!$D$15)*(Inputs!$E$15-Inputs!$D$15)),Inputs!$F$15-SQRT((1-F1897)*(Inputs!$F$15-Inputs!$D$15)*(Inputs!$F$15-Inputs!$E$15)))</f>
        <v>0.705446585717044</v>
      </c>
      <c r="H1897" s="81" t="n">
        <f aca="true">RAND()</f>
        <v>0.368263702336333</v>
      </c>
      <c r="I1897" s="82" t="n">
        <f aca="false">ROUND(IF(H1897&lt;(Inputs!$E$17-Inputs!$D$17)/(Inputs!$F$17-Inputs!$D$17),Inputs!$D$17+SQRT(H1897*(Inputs!$F$17-Inputs!$D$17)*(Inputs!$E$17-Inputs!$D$17)),Inputs!$F$17-SQRT((1-H1897)*(Inputs!$F$17-Inputs!$D$17)*(Inputs!$F$17-Inputs!$E$17))),0)</f>
        <v>105</v>
      </c>
      <c r="J1897" s="81" t="n">
        <f aca="true">RAND()</f>
        <v>0.327699572543586</v>
      </c>
      <c r="K1897" s="83" t="n">
        <f aca="false">IF(J1897&lt;(Inputs!$E$18-Inputs!$D$18)/(Inputs!$F$18-Inputs!$D$18),Inputs!$D$18+SQRT(J1897*(Inputs!$F$18-Inputs!$D$18)*(Inputs!$E$18-Inputs!$D$18)),Inputs!$F$18-SQRT((1-J1897)*(Inputs!$F$18-Inputs!$D$18)*(Inputs!$F$18-Inputs!$E$18)))</f>
        <v>1.00745868928688</v>
      </c>
      <c r="L1897" s="81" t="n">
        <f aca="true">RAND()</f>
        <v>0.434907573888156</v>
      </c>
      <c r="M1897" s="83" t="n">
        <f aca="false">IF(L1897&lt;(Inputs!$E$24-Inputs!$D$24)/(Inputs!$F$24-Inputs!$D$24),Inputs!$D$24+SQRT(L1897*(Inputs!$F$24-Inputs!$D$24)*(Inputs!$E$24-Inputs!$D$24)),Inputs!$F$24-SQRT((1-L1897)*(Inputs!$F$24-Inputs!$D$24)*(Inputs!$F$24-Inputs!$E$24)))</f>
        <v>0.831730829057274</v>
      </c>
      <c r="N1897" s="81" t="n">
        <f aca="true">RAND()</f>
        <v>0.206030246823065</v>
      </c>
      <c r="O1897" s="83" t="n">
        <f aca="false">IF(N1897&lt;(Inputs!$E$26-Inputs!$D$26)/(Inputs!$F$26-Inputs!$D$26),Inputs!$D$26+SQRT(N1897*(Inputs!$F$26-Inputs!$D$26)*(Inputs!$E$26-Inputs!$D$26)),Inputs!$F$26-SQRT((1-N1897)*(Inputs!$F$26-Inputs!$D$26)*(Inputs!$F$26-Inputs!$E$26)))</f>
        <v>0.485157859869243</v>
      </c>
      <c r="P1897" s="81" t="n">
        <f aca="true">RAND()</f>
        <v>0.931709492537561</v>
      </c>
      <c r="Q1897" s="82" t="n">
        <f aca="false">IF(P1897&lt;(Inputs!$E$27-Inputs!$D$27)/(Inputs!$F$27-Inputs!$D$27),Inputs!$D$27+SQRT(P1897*(Inputs!$F$27-Inputs!$D$27)*(Inputs!$E$27-Inputs!$D$27)),Inputs!$F$27-SQRT((1-P1897)*(Inputs!$F$27-Inputs!$D$27)*(Inputs!$F$27-Inputs!$E$27)))</f>
        <v>127.368632255909</v>
      </c>
      <c r="R1897" s="81" t="n">
        <f aca="true">RAND()</f>
        <v>0.424100286812158</v>
      </c>
      <c r="S1897" s="82" t="n">
        <f aca="false">IF(R1897&lt;(Inputs!$E$29-Inputs!$D$29)/(Inputs!$F$29-Inputs!$D$29),Inputs!$D$29+SQRT(R1897*(Inputs!$F$29-Inputs!$D$29)*(Inputs!$E$29-Inputs!$D$29)),Inputs!$F$29-SQRT((1-R1897)*(Inputs!$F$29-Inputs!$D$29)*(Inputs!$F$29-Inputs!$E$29)))</f>
        <v>6.34743028260278</v>
      </c>
      <c r="T1897" s="68" t="n">
        <f aca="false">Inputs!$E$9*(1+E1897)+Inputs!$E$5*C1897*(Inputs!$E$11*Inputs!$E$14*(G1897*I1897/Inputs!$E$16+(1-G1897))*K1897+Inputs!$E$23*M1897)*(1+O1897)+Inputs!$E$5*(Q1897+S1897)</f>
        <v>6379.38277726218</v>
      </c>
    </row>
    <row r="1898" customFormat="false" ht="15" hidden="false" customHeight="false" outlineLevel="0" collapsed="false">
      <c r="A1898" s="1" t="n">
        <v>1894</v>
      </c>
      <c r="B1898" s="81" t="n">
        <f aca="true">RAND()</f>
        <v>0.235742818165695</v>
      </c>
      <c r="C1898" s="82" t="n">
        <f aca="false">ROUND(IF(B1898&lt;(Inputs!$E$8-Inputs!$D$8)/(Inputs!$F$8-Inputs!$D$8),Inputs!$D$8+SQRT(B1898*(Inputs!$F$8-Inputs!$D$8)*(Inputs!$E$8-Inputs!$D$8)),Inputs!$F$8-SQRT((1-B1898)*(Inputs!$F$8-Inputs!$D$8)*(Inputs!$F$8-Inputs!$E$8))),0)</f>
        <v>23</v>
      </c>
      <c r="D1898" s="81" t="n">
        <f aca="true">RAND()</f>
        <v>0.322226371296992</v>
      </c>
      <c r="E1898" s="83" t="n">
        <f aca="false">IF(D1898&lt;(Inputs!$E$10-Inputs!$D$10)/(Inputs!$F$10-Inputs!$D$10),Inputs!$D$10+SQRT(D1898*(Inputs!$F$10-Inputs!$D$10)*(Inputs!$E$10-Inputs!$D$10)),Inputs!$F$10-SQRT((1-D1898)*(Inputs!$F$10-Inputs!$D$10)*(Inputs!$F$10-Inputs!$E$10)))</f>
        <v>0.0574054388797026</v>
      </c>
      <c r="F1898" s="81" t="n">
        <f aca="true">RAND()</f>
        <v>0.22409710470707</v>
      </c>
      <c r="G1898" s="83" t="n">
        <f aca="false">IF(F1898&lt;(Inputs!$E$15-Inputs!$D$15)/(Inputs!$F$15-Inputs!$D$15),Inputs!$D$15+SQRT(F1898*(Inputs!$F$15-Inputs!$D$15)*(Inputs!$E$15-Inputs!$D$15)),Inputs!$F$15-SQRT((1-F1898)*(Inputs!$F$15-Inputs!$D$15)*(Inputs!$F$15-Inputs!$E$15)))</f>
        <v>0.666947308341273</v>
      </c>
      <c r="H1898" s="81" t="n">
        <f aca="true">RAND()</f>
        <v>0.94907073408907</v>
      </c>
      <c r="I1898" s="82" t="n">
        <f aca="false">ROUND(IF(H1898&lt;(Inputs!$E$17-Inputs!$D$17)/(Inputs!$F$17-Inputs!$D$17),Inputs!$D$17+SQRT(H1898*(Inputs!$F$17-Inputs!$D$17)*(Inputs!$E$17-Inputs!$D$17)),Inputs!$F$17-SQRT((1-H1898)*(Inputs!$F$17-Inputs!$D$17)*(Inputs!$F$17-Inputs!$E$17))),0)</f>
        <v>112</v>
      </c>
      <c r="J1898" s="81" t="n">
        <f aca="true">RAND()</f>
        <v>0.542630898148457</v>
      </c>
      <c r="K1898" s="83" t="n">
        <f aca="false">IF(J1898&lt;(Inputs!$E$18-Inputs!$D$18)/(Inputs!$F$18-Inputs!$D$18),Inputs!$D$18+SQRT(J1898*(Inputs!$F$18-Inputs!$D$18)*(Inputs!$E$18-Inputs!$D$18)),Inputs!$F$18-SQRT((1-J1898)*(Inputs!$F$18-Inputs!$D$18)*(Inputs!$F$18-Inputs!$E$18)))</f>
        <v>1.04995051509187</v>
      </c>
      <c r="L1898" s="81" t="n">
        <f aca="true">RAND()</f>
        <v>0.415237262818998</v>
      </c>
      <c r="M1898" s="83" t="n">
        <f aca="false">IF(L1898&lt;(Inputs!$E$24-Inputs!$D$24)/(Inputs!$F$24-Inputs!$D$24),Inputs!$D$24+SQRT(L1898*(Inputs!$F$24-Inputs!$D$24)*(Inputs!$E$24-Inputs!$D$24)),Inputs!$F$24-SQRT((1-L1898)*(Inputs!$F$24-Inputs!$D$24)*(Inputs!$F$24-Inputs!$E$24)))</f>
        <v>0.825376112716447</v>
      </c>
      <c r="N1898" s="81" t="n">
        <f aca="true">RAND()</f>
        <v>0.426223194929902</v>
      </c>
      <c r="O1898" s="83" t="n">
        <f aca="false">IF(N1898&lt;(Inputs!$E$26-Inputs!$D$26)/(Inputs!$F$26-Inputs!$D$26),Inputs!$D$26+SQRT(N1898*(Inputs!$F$26-Inputs!$D$26)*(Inputs!$E$26-Inputs!$D$26)),Inputs!$F$26-SQRT((1-N1898)*(Inputs!$F$26-Inputs!$D$26)*(Inputs!$F$26-Inputs!$E$26)))</f>
        <v>0.566314737925515</v>
      </c>
      <c r="P1898" s="81" t="n">
        <f aca="true">RAND()</f>
        <v>0.793567751430222</v>
      </c>
      <c r="Q1898" s="82" t="n">
        <f aca="false">IF(P1898&lt;(Inputs!$E$27-Inputs!$D$27)/(Inputs!$F$27-Inputs!$D$27),Inputs!$D$27+SQRT(P1898*(Inputs!$F$27-Inputs!$D$27)*(Inputs!$E$27-Inputs!$D$27)),Inputs!$F$27-SQRT((1-P1898)*(Inputs!$F$27-Inputs!$D$27)*(Inputs!$F$27-Inputs!$E$27)))</f>
        <v>110.652295311247</v>
      </c>
      <c r="R1898" s="81" t="n">
        <f aca="true">RAND()</f>
        <v>0.822212168044349</v>
      </c>
      <c r="S1898" s="82" t="n">
        <f aca="false">IF(R1898&lt;(Inputs!$E$29-Inputs!$D$29)/(Inputs!$F$29-Inputs!$D$29),Inputs!$D$29+SQRT(R1898*(Inputs!$F$29-Inputs!$D$29)*(Inputs!$E$29-Inputs!$D$29)),Inputs!$F$29-SQRT((1-R1898)*(Inputs!$F$29-Inputs!$D$29)*(Inputs!$F$29-Inputs!$E$29)))</f>
        <v>10.1924623606014</v>
      </c>
      <c r="T1898" s="68" t="n">
        <f aca="false">Inputs!$E$9*(1+E1898)+Inputs!$E$5*C1898*(Inputs!$E$11*Inputs!$E$14*(G1898*I1898/Inputs!$E$16+(1-G1898))*K1898+Inputs!$E$23*M1898)*(1+O1898)+Inputs!$E$5*(Q1898+S1898)</f>
        <v>6136.94630650038</v>
      </c>
    </row>
    <row r="1899" customFormat="false" ht="15" hidden="false" customHeight="false" outlineLevel="0" collapsed="false">
      <c r="A1899" s="1" t="n">
        <v>1895</v>
      </c>
      <c r="B1899" s="81" t="n">
        <f aca="true">RAND()</f>
        <v>0.630143825928986</v>
      </c>
      <c r="C1899" s="82" t="n">
        <f aca="false">ROUND(IF(B1899&lt;(Inputs!$E$8-Inputs!$D$8)/(Inputs!$F$8-Inputs!$D$8),Inputs!$D$8+SQRT(B1899*(Inputs!$F$8-Inputs!$D$8)*(Inputs!$E$8-Inputs!$D$8)),Inputs!$F$8-SQRT((1-B1899)*(Inputs!$F$8-Inputs!$D$8)*(Inputs!$F$8-Inputs!$E$8))),0)</f>
        <v>26</v>
      </c>
      <c r="D1899" s="81" t="n">
        <f aca="true">RAND()</f>
        <v>0.760695623299881</v>
      </c>
      <c r="E1899" s="83" t="n">
        <f aca="false">IF(D1899&lt;(Inputs!$E$10-Inputs!$D$10)/(Inputs!$F$10-Inputs!$D$10),Inputs!$D$10+SQRT(D1899*(Inputs!$F$10-Inputs!$D$10)*(Inputs!$E$10-Inputs!$D$10)),Inputs!$F$10-SQRT((1-D1899)*(Inputs!$F$10-Inputs!$D$10)*(Inputs!$F$10-Inputs!$E$10)))</f>
        <v>0.115270245480094</v>
      </c>
      <c r="F1899" s="81" t="n">
        <f aca="true">RAND()</f>
        <v>0.591171791683787</v>
      </c>
      <c r="G1899" s="83" t="n">
        <f aca="false">IF(F1899&lt;(Inputs!$E$15-Inputs!$D$15)/(Inputs!$F$15-Inputs!$D$15),Inputs!$D$15+SQRT(F1899*(Inputs!$F$15-Inputs!$D$15)*(Inputs!$E$15-Inputs!$D$15)),Inputs!$F$15-SQRT((1-F1899)*(Inputs!$F$15-Inputs!$D$15)*(Inputs!$F$15-Inputs!$E$15)))</f>
        <v>0.709575643954053</v>
      </c>
      <c r="H1899" s="81" t="n">
        <f aca="true">RAND()</f>
        <v>0.768929508497865</v>
      </c>
      <c r="I1899" s="82" t="n">
        <f aca="false">ROUND(IF(H1899&lt;(Inputs!$E$17-Inputs!$D$17)/(Inputs!$F$17-Inputs!$D$17),Inputs!$D$17+SQRT(H1899*(Inputs!$F$17-Inputs!$D$17)*(Inputs!$E$17-Inputs!$D$17)),Inputs!$F$17-SQRT((1-H1899)*(Inputs!$F$17-Inputs!$D$17)*(Inputs!$F$17-Inputs!$E$17))),0)</f>
        <v>109</v>
      </c>
      <c r="J1899" s="81" t="n">
        <f aca="true">RAND()</f>
        <v>0.46631998040483</v>
      </c>
      <c r="K1899" s="83" t="n">
        <f aca="false">IF(J1899&lt;(Inputs!$E$18-Inputs!$D$18)/(Inputs!$F$18-Inputs!$D$18),Inputs!$D$18+SQRT(J1899*(Inputs!$F$18-Inputs!$D$18)*(Inputs!$E$18-Inputs!$D$18)),Inputs!$F$18-SQRT((1-J1899)*(Inputs!$F$18-Inputs!$D$18)*(Inputs!$F$18-Inputs!$E$18)))</f>
        <v>1.03390510946675</v>
      </c>
      <c r="L1899" s="81" t="n">
        <f aca="true">RAND()</f>
        <v>0.679563209653692</v>
      </c>
      <c r="M1899" s="83" t="n">
        <f aca="false">IF(L1899&lt;(Inputs!$E$24-Inputs!$D$24)/(Inputs!$F$24-Inputs!$D$24),Inputs!$D$24+SQRT(L1899*(Inputs!$F$24-Inputs!$D$24)*(Inputs!$E$24-Inputs!$D$24)),Inputs!$F$24-SQRT((1-L1899)*(Inputs!$F$24-Inputs!$D$24)*(Inputs!$F$24-Inputs!$E$24)))</f>
        <v>0.922682799518108</v>
      </c>
      <c r="N1899" s="81" t="n">
        <f aca="true">RAND()</f>
        <v>0.808672122596284</v>
      </c>
      <c r="O1899" s="83" t="n">
        <f aca="false">IF(N1899&lt;(Inputs!$E$26-Inputs!$D$26)/(Inputs!$F$26-Inputs!$D$26),Inputs!$D$26+SQRT(N1899*(Inputs!$F$26-Inputs!$D$26)*(Inputs!$E$26-Inputs!$D$26)),Inputs!$F$26-SQRT((1-N1899)*(Inputs!$F$26-Inputs!$D$26)*(Inputs!$F$26-Inputs!$E$26)))</f>
        <v>0.678939377394021</v>
      </c>
      <c r="P1899" s="81" t="n">
        <f aca="true">RAND()</f>
        <v>0.966546439540224</v>
      </c>
      <c r="Q1899" s="82" t="n">
        <f aca="false">IF(P1899&lt;(Inputs!$E$27-Inputs!$D$27)/(Inputs!$F$27-Inputs!$D$27),Inputs!$D$27+SQRT(P1899*(Inputs!$F$27-Inputs!$D$27)*(Inputs!$E$27-Inputs!$D$27)),Inputs!$F$27-SQRT((1-P1899)*(Inputs!$F$27-Inputs!$D$27)*(Inputs!$F$27-Inputs!$E$27)))</f>
        <v>134.16012299769</v>
      </c>
      <c r="R1899" s="81" t="n">
        <f aca="true">RAND()</f>
        <v>0.416596796230908</v>
      </c>
      <c r="S1899" s="82" t="n">
        <f aca="false">IF(R1899&lt;(Inputs!$E$29-Inputs!$D$29)/(Inputs!$F$29-Inputs!$D$29),Inputs!$D$29+SQRT(R1899*(Inputs!$F$29-Inputs!$D$29)*(Inputs!$E$29-Inputs!$D$29)),Inputs!$F$29-SQRT((1-R1899)*(Inputs!$F$29-Inputs!$D$29)*(Inputs!$F$29-Inputs!$E$29)))</f>
        <v>6.29124483694817</v>
      </c>
      <c r="T1899" s="68" t="n">
        <f aca="false">Inputs!$E$9*(1+E1899)+Inputs!$E$5*C1899*(Inputs!$E$11*Inputs!$E$14*(G1899*I1899/Inputs!$E$16+(1-G1899))*K1899+Inputs!$E$23*M1899)*(1+O1899)+Inputs!$E$5*(Q1899+S1899)</f>
        <v>7054.37138327887</v>
      </c>
    </row>
    <row r="1900" customFormat="false" ht="15" hidden="false" customHeight="false" outlineLevel="0" collapsed="false">
      <c r="A1900" s="1" t="n">
        <v>1896</v>
      </c>
      <c r="B1900" s="81" t="n">
        <f aca="true">RAND()</f>
        <v>0.982808181004807</v>
      </c>
      <c r="C1900" s="82" t="n">
        <f aca="false">ROUND(IF(B1900&lt;(Inputs!$E$8-Inputs!$D$8)/(Inputs!$F$8-Inputs!$D$8),Inputs!$D$8+SQRT(B1900*(Inputs!$F$8-Inputs!$D$8)*(Inputs!$E$8-Inputs!$D$8)),Inputs!$F$8-SQRT((1-B1900)*(Inputs!$F$8-Inputs!$D$8)*(Inputs!$F$8-Inputs!$E$8))),0)</f>
        <v>29</v>
      </c>
      <c r="D1900" s="81" t="n">
        <f aca="true">RAND()</f>
        <v>0.356608494517834</v>
      </c>
      <c r="E1900" s="83" t="n">
        <f aca="false">IF(D1900&lt;(Inputs!$E$10-Inputs!$D$10)/(Inputs!$F$10-Inputs!$D$10),Inputs!$D$10+SQRT(D1900*(Inputs!$F$10-Inputs!$D$10)*(Inputs!$E$10-Inputs!$D$10)),Inputs!$F$10-SQRT((1-D1900)*(Inputs!$F$10-Inputs!$D$10)*(Inputs!$F$10-Inputs!$E$10)))</f>
        <v>0.0610692792631342</v>
      </c>
      <c r="F1900" s="81" t="n">
        <f aca="true">RAND()</f>
        <v>0.226804456006199</v>
      </c>
      <c r="G1900" s="83" t="n">
        <f aca="false">IF(F1900&lt;(Inputs!$E$15-Inputs!$D$15)/(Inputs!$F$15-Inputs!$D$15),Inputs!$D$15+SQRT(F1900*(Inputs!$F$15-Inputs!$D$15)*(Inputs!$E$15-Inputs!$D$15)),Inputs!$F$15-SQRT((1-F1900)*(Inputs!$F$15-Inputs!$D$15)*(Inputs!$F$15-Inputs!$E$15)))</f>
        <v>0.667350494579654</v>
      </c>
      <c r="H1900" s="81" t="n">
        <f aca="true">RAND()</f>
        <v>0.533893136452619</v>
      </c>
      <c r="I1900" s="82" t="n">
        <f aca="false">ROUND(IF(H1900&lt;(Inputs!$E$17-Inputs!$D$17)/(Inputs!$F$17-Inputs!$D$17),Inputs!$D$17+SQRT(H1900*(Inputs!$F$17-Inputs!$D$17)*(Inputs!$E$17-Inputs!$D$17)),Inputs!$F$17-SQRT((1-H1900)*(Inputs!$F$17-Inputs!$D$17)*(Inputs!$F$17-Inputs!$E$17))),0)</f>
        <v>107</v>
      </c>
      <c r="J1900" s="81" t="n">
        <f aca="true">RAND()</f>
        <v>0.356298698164079</v>
      </c>
      <c r="K1900" s="83" t="n">
        <f aca="false">IF(J1900&lt;(Inputs!$E$18-Inputs!$D$18)/(Inputs!$F$18-Inputs!$D$18),Inputs!$D$18+SQRT(J1900*(Inputs!$F$18-Inputs!$D$18)*(Inputs!$E$18-Inputs!$D$18)),Inputs!$F$18-SQRT((1-J1900)*(Inputs!$F$18-Inputs!$D$18)*(Inputs!$F$18-Inputs!$E$18)))</f>
        <v>1.01267350777749</v>
      </c>
      <c r="L1900" s="81" t="n">
        <f aca="true">RAND()</f>
        <v>0.75981024887426</v>
      </c>
      <c r="M1900" s="83" t="n">
        <f aca="false">IF(L1900&lt;(Inputs!$E$24-Inputs!$D$24)/(Inputs!$F$24-Inputs!$D$24),Inputs!$D$24+SQRT(L1900*(Inputs!$F$24-Inputs!$D$24)*(Inputs!$E$24-Inputs!$D$24)),Inputs!$F$24-SQRT((1-L1900)*(Inputs!$F$24-Inputs!$D$24)*(Inputs!$F$24-Inputs!$E$24)))</f>
        <v>0.95990514318258</v>
      </c>
      <c r="N1900" s="81" t="n">
        <f aca="true">RAND()</f>
        <v>0.866391929085606</v>
      </c>
      <c r="O1900" s="83" t="n">
        <f aca="false">IF(N1900&lt;(Inputs!$E$26-Inputs!$D$26)/(Inputs!$F$26-Inputs!$D$26),Inputs!$D$26+SQRT(N1900*(Inputs!$F$26-Inputs!$D$26)*(Inputs!$E$26-Inputs!$D$26)),Inputs!$F$26-SQRT((1-N1900)*(Inputs!$F$26-Inputs!$D$26)*(Inputs!$F$26-Inputs!$E$26)))</f>
        <v>0.70212193005017</v>
      </c>
      <c r="P1900" s="81" t="n">
        <f aca="true">RAND()</f>
        <v>0.386720898569147</v>
      </c>
      <c r="Q1900" s="82" t="n">
        <f aca="false">IF(P1900&lt;(Inputs!$E$27-Inputs!$D$27)/(Inputs!$F$27-Inputs!$D$27),Inputs!$D$27+SQRT(P1900*(Inputs!$F$27-Inputs!$D$27)*(Inputs!$E$27-Inputs!$D$27)),Inputs!$F$27-SQRT((1-P1900)*(Inputs!$F$27-Inputs!$D$27)*(Inputs!$F$27-Inputs!$E$27)))</f>
        <v>82.1796987567041</v>
      </c>
      <c r="R1900" s="81" t="n">
        <f aca="true">RAND()</f>
        <v>0.413681201956941</v>
      </c>
      <c r="S1900" s="82" t="n">
        <f aca="false">IF(R1900&lt;(Inputs!$E$29-Inputs!$D$29)/(Inputs!$F$29-Inputs!$D$29),Inputs!$D$29+SQRT(R1900*(Inputs!$F$29-Inputs!$D$29)*(Inputs!$E$29-Inputs!$D$29)),Inputs!$F$29-SQRT((1-R1900)*(Inputs!$F$29-Inputs!$D$29)*(Inputs!$F$29-Inputs!$E$29)))</f>
        <v>6.26951068120477</v>
      </c>
      <c r="T1900" s="68" t="n">
        <f aca="false">Inputs!$E$9*(1+E1900)+Inputs!$E$5*C1900*(Inputs!$E$11*Inputs!$E$14*(G1900*I1900/Inputs!$E$16+(1-G1900))*K1900+Inputs!$E$23*M1900)*(1+O1900)+Inputs!$E$5*(Q1900+S1900)</f>
        <v>7232.31413462789</v>
      </c>
    </row>
    <row r="1901" customFormat="false" ht="15" hidden="false" customHeight="false" outlineLevel="0" collapsed="false">
      <c r="A1901" s="1" t="n">
        <v>1897</v>
      </c>
      <c r="B1901" s="81" t="n">
        <f aca="true">RAND()</f>
        <v>0.216808168210446</v>
      </c>
      <c r="C1901" s="82" t="n">
        <f aca="false">ROUND(IF(B1901&lt;(Inputs!$E$8-Inputs!$D$8)/(Inputs!$F$8-Inputs!$D$8),Inputs!$D$8+SQRT(B1901*(Inputs!$F$8-Inputs!$D$8)*(Inputs!$E$8-Inputs!$D$8)),Inputs!$F$8-SQRT((1-B1901)*(Inputs!$F$8-Inputs!$D$8)*(Inputs!$F$8-Inputs!$E$8))),0)</f>
        <v>23</v>
      </c>
      <c r="D1901" s="81" t="n">
        <f aca="true">RAND()</f>
        <v>0.769408999066965</v>
      </c>
      <c r="E1901" s="83" t="n">
        <f aca="false">IF(D1901&lt;(Inputs!$E$10-Inputs!$D$10)/(Inputs!$F$10-Inputs!$D$10),Inputs!$D$10+SQRT(D1901*(Inputs!$F$10-Inputs!$D$10)*(Inputs!$E$10-Inputs!$D$10)),Inputs!$F$10-SQRT((1-D1901)*(Inputs!$F$10-Inputs!$D$10)*(Inputs!$F$10-Inputs!$E$10)))</f>
        <v>0.116827107613171</v>
      </c>
      <c r="F1901" s="81" t="n">
        <f aca="true">RAND()</f>
        <v>0.935742607414165</v>
      </c>
      <c r="G1901" s="83" t="n">
        <f aca="false">IF(F1901&lt;(Inputs!$E$15-Inputs!$D$15)/(Inputs!$F$15-Inputs!$D$15),Inputs!$D$15+SQRT(F1901*(Inputs!$F$15-Inputs!$D$15)*(Inputs!$E$15-Inputs!$D$15)),Inputs!$F$15-SQRT((1-F1901)*(Inputs!$F$15-Inputs!$D$15)*(Inputs!$F$15-Inputs!$E$15)))</f>
        <v>0.76415104113483</v>
      </c>
      <c r="H1901" s="81" t="n">
        <f aca="true">RAND()</f>
        <v>0.913647689357313</v>
      </c>
      <c r="I1901" s="82" t="n">
        <f aca="false">ROUND(IF(H1901&lt;(Inputs!$E$17-Inputs!$D$17)/(Inputs!$F$17-Inputs!$D$17),Inputs!$D$17+SQRT(H1901*(Inputs!$F$17-Inputs!$D$17)*(Inputs!$E$17-Inputs!$D$17)),Inputs!$F$17-SQRT((1-H1901)*(Inputs!$F$17-Inputs!$D$17)*(Inputs!$F$17-Inputs!$E$17))),0)</f>
        <v>111</v>
      </c>
      <c r="J1901" s="81" t="n">
        <f aca="true">RAND()</f>
        <v>0.051151893270975</v>
      </c>
      <c r="K1901" s="83" t="n">
        <f aca="false">IF(J1901&lt;(Inputs!$E$18-Inputs!$D$18)/(Inputs!$F$18-Inputs!$D$18),Inputs!$D$18+SQRT(J1901*(Inputs!$F$18-Inputs!$D$18)*(Inputs!$E$18-Inputs!$D$18)),Inputs!$F$18-SQRT((1-J1901)*(Inputs!$F$18-Inputs!$D$18)*(Inputs!$F$18-Inputs!$E$18)))</f>
        <v>0.942312129046931</v>
      </c>
      <c r="L1901" s="81" t="n">
        <f aca="true">RAND()</f>
        <v>0.548666624915661</v>
      </c>
      <c r="M1901" s="83" t="n">
        <f aca="false">IF(L1901&lt;(Inputs!$E$24-Inputs!$D$24)/(Inputs!$F$24-Inputs!$D$24),Inputs!$D$24+SQRT(L1901*(Inputs!$F$24-Inputs!$D$24)*(Inputs!$E$24-Inputs!$D$24)),Inputs!$F$24-SQRT((1-L1901)*(Inputs!$F$24-Inputs!$D$24)*(Inputs!$F$24-Inputs!$E$24)))</f>
        <v>0.870879945885637</v>
      </c>
      <c r="N1901" s="81" t="n">
        <f aca="true">RAND()</f>
        <v>0.776812213579604</v>
      </c>
      <c r="O1901" s="83" t="n">
        <f aca="false">IF(N1901&lt;(Inputs!$E$26-Inputs!$D$26)/(Inputs!$F$26-Inputs!$D$26),Inputs!$D$26+SQRT(N1901*(Inputs!$F$26-Inputs!$D$26)*(Inputs!$E$26-Inputs!$D$26)),Inputs!$F$26-SQRT((1-N1901)*(Inputs!$F$26-Inputs!$D$26)*(Inputs!$F$26-Inputs!$E$26)))</f>
        <v>0.667646694201533</v>
      </c>
      <c r="P1901" s="81" t="n">
        <f aca="true">RAND()</f>
        <v>0.298150100133587</v>
      </c>
      <c r="Q1901" s="82" t="n">
        <f aca="false">IF(P1901&lt;(Inputs!$E$27-Inputs!$D$27)/(Inputs!$F$27-Inputs!$D$27),Inputs!$D$27+SQRT(P1901*(Inputs!$F$27-Inputs!$D$27)*(Inputs!$E$27-Inputs!$D$27)),Inputs!$F$27-SQRT((1-P1901)*(Inputs!$F$27-Inputs!$D$27)*(Inputs!$F$27-Inputs!$E$27)))</f>
        <v>77.4474380259518</v>
      </c>
      <c r="R1901" s="81" t="n">
        <f aca="true">RAND()</f>
        <v>0.161306665036303</v>
      </c>
      <c r="S1901" s="82" t="n">
        <f aca="false">IF(R1901&lt;(Inputs!$E$29-Inputs!$D$29)/(Inputs!$F$29-Inputs!$D$29),Inputs!$D$29+SQRT(R1901*(Inputs!$F$29-Inputs!$D$29)*(Inputs!$E$29-Inputs!$D$29)),Inputs!$F$29-SQRT((1-R1901)*(Inputs!$F$29-Inputs!$D$29)*(Inputs!$F$29-Inputs!$E$29)))</f>
        <v>4.50817860935297</v>
      </c>
      <c r="T1901" s="68" t="n">
        <f aca="false">Inputs!$E$9*(1+E1901)+Inputs!$E$5*C1901*(Inputs!$E$11*Inputs!$E$14*(G1901*I1901/Inputs!$E$16+(1-G1901))*K1901+Inputs!$E$23*M1901)*(1+O1901)+Inputs!$E$5*(Q1901+S1901)</f>
        <v>5990.35576870237</v>
      </c>
    </row>
    <row r="1902" customFormat="false" ht="15" hidden="false" customHeight="false" outlineLevel="0" collapsed="false">
      <c r="A1902" s="1" t="n">
        <v>1898</v>
      </c>
      <c r="B1902" s="81" t="n">
        <f aca="true">RAND()</f>
        <v>0.0995182484820505</v>
      </c>
      <c r="C1902" s="82" t="n">
        <f aca="false">ROUND(IF(B1902&lt;(Inputs!$E$8-Inputs!$D$8)/(Inputs!$F$8-Inputs!$D$8),Inputs!$D$8+SQRT(B1902*(Inputs!$F$8-Inputs!$D$8)*(Inputs!$E$8-Inputs!$D$8)),Inputs!$F$8-SQRT((1-B1902)*(Inputs!$F$8-Inputs!$D$8)*(Inputs!$F$8-Inputs!$E$8))),0)</f>
        <v>22</v>
      </c>
      <c r="D1902" s="81" t="n">
        <f aca="true">RAND()</f>
        <v>0.151909856227002</v>
      </c>
      <c r="E1902" s="83" t="n">
        <f aca="false">IF(D1902&lt;(Inputs!$E$10-Inputs!$D$10)/(Inputs!$F$10-Inputs!$D$10),Inputs!$D$10+SQRT(D1902*(Inputs!$F$10-Inputs!$D$10)*(Inputs!$E$10-Inputs!$D$10)),Inputs!$F$10-SQRT((1-D1902)*(Inputs!$F$10-Inputs!$D$10)*(Inputs!$F$10-Inputs!$E$10)))</f>
        <v>0.0389756149697477</v>
      </c>
      <c r="F1902" s="81" t="n">
        <f aca="true">RAND()</f>
        <v>0.868683665504972</v>
      </c>
      <c r="G1902" s="83" t="n">
        <f aca="false">IF(F1902&lt;(Inputs!$E$15-Inputs!$D$15)/(Inputs!$F$15-Inputs!$D$15),Inputs!$D$15+SQRT(F1902*(Inputs!$F$15-Inputs!$D$15)*(Inputs!$E$15-Inputs!$D$15)),Inputs!$F$15-SQRT((1-F1902)*(Inputs!$F$15-Inputs!$D$15)*(Inputs!$F$15-Inputs!$E$15)))</f>
        <v>0.748752300637974</v>
      </c>
      <c r="H1902" s="81" t="n">
        <f aca="true">RAND()</f>
        <v>0.250137231166322</v>
      </c>
      <c r="I1902" s="82" t="n">
        <f aca="false">ROUND(IF(H1902&lt;(Inputs!$E$17-Inputs!$D$17)/(Inputs!$F$17-Inputs!$D$17),Inputs!$D$17+SQRT(H1902*(Inputs!$F$17-Inputs!$D$17)*(Inputs!$E$17-Inputs!$D$17)),Inputs!$F$17-SQRT((1-H1902)*(Inputs!$F$17-Inputs!$D$17)*(Inputs!$F$17-Inputs!$E$17))),0)</f>
        <v>104</v>
      </c>
      <c r="J1902" s="81" t="n">
        <f aca="true">RAND()</f>
        <v>0.115989869162436</v>
      </c>
      <c r="K1902" s="83" t="n">
        <f aca="false">IF(J1902&lt;(Inputs!$E$18-Inputs!$D$18)/(Inputs!$F$18-Inputs!$D$18),Inputs!$D$18+SQRT(J1902*(Inputs!$F$18-Inputs!$D$18)*(Inputs!$E$18-Inputs!$D$18)),Inputs!$F$18-SQRT((1-J1902)*(Inputs!$F$18-Inputs!$D$18)*(Inputs!$F$18-Inputs!$E$18)))</f>
        <v>0.963715346822294</v>
      </c>
      <c r="L1902" s="81" t="n">
        <f aca="true">RAND()</f>
        <v>0.865866075274746</v>
      </c>
      <c r="M1902" s="83" t="n">
        <f aca="false">IF(L1902&lt;(Inputs!$E$24-Inputs!$D$24)/(Inputs!$F$24-Inputs!$D$24),Inputs!$D$24+SQRT(L1902*(Inputs!$F$24-Inputs!$D$24)*(Inputs!$E$24-Inputs!$D$24)),Inputs!$F$24-SQRT((1-L1902)*(Inputs!$F$24-Inputs!$D$24)*(Inputs!$F$24-Inputs!$E$24)))</f>
        <v>1.02057831253145</v>
      </c>
      <c r="N1902" s="81" t="n">
        <f aca="true">RAND()</f>
        <v>0.719119092018389</v>
      </c>
      <c r="O1902" s="83" t="n">
        <f aca="false">IF(N1902&lt;(Inputs!$E$26-Inputs!$D$26)/(Inputs!$F$26-Inputs!$D$26),Inputs!$D$26+SQRT(N1902*(Inputs!$F$26-Inputs!$D$26)*(Inputs!$E$26-Inputs!$D$26)),Inputs!$F$26-SQRT((1-N1902)*(Inputs!$F$26-Inputs!$D$26)*(Inputs!$F$26-Inputs!$E$26)))</f>
        <v>0.649085944316778</v>
      </c>
      <c r="P1902" s="81" t="n">
        <f aca="true">RAND()</f>
        <v>0.938456559009236</v>
      </c>
      <c r="Q1902" s="82" t="n">
        <f aca="false">IF(P1902&lt;(Inputs!$E$27-Inputs!$D$27)/(Inputs!$F$27-Inputs!$D$27),Inputs!$D$27+SQRT(P1902*(Inputs!$F$27-Inputs!$D$27)*(Inputs!$E$27-Inputs!$D$27)),Inputs!$F$27-SQRT((1-P1902)*(Inputs!$F$27-Inputs!$D$27)*(Inputs!$F$27-Inputs!$E$27)))</f>
        <v>128.515684618058</v>
      </c>
      <c r="R1902" s="81" t="n">
        <f aca="true">RAND()</f>
        <v>0.290614313069605</v>
      </c>
      <c r="S1902" s="82" t="n">
        <f aca="false">IF(R1902&lt;(Inputs!$E$29-Inputs!$D$29)/(Inputs!$F$29-Inputs!$D$29),Inputs!$D$29+SQRT(R1902*(Inputs!$F$29-Inputs!$D$29)*(Inputs!$E$29-Inputs!$D$29)),Inputs!$F$29-SQRT((1-R1902)*(Inputs!$F$29-Inputs!$D$29)*(Inputs!$F$29-Inputs!$E$29)))</f>
        <v>5.39686825556624</v>
      </c>
      <c r="T1902" s="68" t="n">
        <f aca="false">Inputs!$E$9*(1+E1902)+Inputs!$E$5*C1902*(Inputs!$E$11*Inputs!$E$14*(G1902*I1902/Inputs!$E$16+(1-G1902))*K1902+Inputs!$E$23*M1902)*(1+O1902)+Inputs!$E$5*(Q1902+S1902)</f>
        <v>6085.25372358698</v>
      </c>
    </row>
    <row r="1903" customFormat="false" ht="15" hidden="false" customHeight="false" outlineLevel="0" collapsed="false">
      <c r="A1903" s="1" t="n">
        <v>1899</v>
      </c>
      <c r="B1903" s="81" t="n">
        <f aca="true">RAND()</f>
        <v>0.43835885306352</v>
      </c>
      <c r="C1903" s="82" t="n">
        <f aca="false">ROUND(IF(B1903&lt;(Inputs!$E$8-Inputs!$D$8)/(Inputs!$F$8-Inputs!$D$8),Inputs!$D$8+SQRT(B1903*(Inputs!$F$8-Inputs!$D$8)*(Inputs!$E$8-Inputs!$D$8)),Inputs!$F$8-SQRT((1-B1903)*(Inputs!$F$8-Inputs!$D$8)*(Inputs!$F$8-Inputs!$E$8))),0)</f>
        <v>25</v>
      </c>
      <c r="D1903" s="81" t="n">
        <f aca="true">RAND()</f>
        <v>0.0193218733301784</v>
      </c>
      <c r="E1903" s="83" t="n">
        <f aca="false">IF(D1903&lt;(Inputs!$E$10-Inputs!$D$10)/(Inputs!$F$10-Inputs!$D$10),Inputs!$D$10+SQRT(D1903*(Inputs!$F$10-Inputs!$D$10)*(Inputs!$E$10-Inputs!$D$10)),Inputs!$F$10-SQRT((1-D1903)*(Inputs!$F$10-Inputs!$D$10)*(Inputs!$F$10-Inputs!$E$10)))</f>
        <v>0.0139003141439963</v>
      </c>
      <c r="F1903" s="81" t="n">
        <f aca="true">RAND()</f>
        <v>0.552998003211796</v>
      </c>
      <c r="G1903" s="83" t="n">
        <f aca="false">IF(F1903&lt;(Inputs!$E$15-Inputs!$D$15)/(Inputs!$F$15-Inputs!$D$15),Inputs!$D$15+SQRT(F1903*(Inputs!$F$15-Inputs!$D$15)*(Inputs!$E$15-Inputs!$D$15)),Inputs!$F$15-SQRT((1-F1903)*(Inputs!$F$15-Inputs!$D$15)*(Inputs!$F$15-Inputs!$E$15)))</f>
        <v>0.705448215586568</v>
      </c>
      <c r="H1903" s="81" t="n">
        <f aca="true">RAND()</f>
        <v>0.167225651707502</v>
      </c>
      <c r="I1903" s="82" t="n">
        <f aca="false">ROUND(IF(H1903&lt;(Inputs!$E$17-Inputs!$D$17)/(Inputs!$F$17-Inputs!$D$17),Inputs!$D$17+SQRT(H1903*(Inputs!$F$17-Inputs!$D$17)*(Inputs!$E$17-Inputs!$D$17)),Inputs!$F$17-SQRT((1-H1903)*(Inputs!$F$17-Inputs!$D$17)*(Inputs!$F$17-Inputs!$E$17))),0)</f>
        <v>104</v>
      </c>
      <c r="J1903" s="81" t="n">
        <f aca="true">RAND()</f>
        <v>0.137188007348327</v>
      </c>
      <c r="K1903" s="83" t="n">
        <f aca="false">IF(J1903&lt;(Inputs!$E$18-Inputs!$D$18)/(Inputs!$F$18-Inputs!$D$18),Inputs!$D$18+SQRT(J1903*(Inputs!$F$18-Inputs!$D$18)*(Inputs!$E$18-Inputs!$D$18)),Inputs!$F$18-SQRT((1-J1903)*(Inputs!$F$18-Inputs!$D$18)*(Inputs!$F$18-Inputs!$E$18)))</f>
        <v>0.969293435888195</v>
      </c>
      <c r="L1903" s="81" t="n">
        <f aca="true">RAND()</f>
        <v>0.796588375664865</v>
      </c>
      <c r="M1903" s="83" t="n">
        <f aca="false">IF(L1903&lt;(Inputs!$E$24-Inputs!$D$24)/(Inputs!$F$24-Inputs!$D$24),Inputs!$D$24+SQRT(L1903*(Inputs!$F$24-Inputs!$D$24)*(Inputs!$E$24-Inputs!$D$24)),Inputs!$F$24-SQRT((1-L1903)*(Inputs!$F$24-Inputs!$D$24)*(Inputs!$F$24-Inputs!$E$24)))</f>
        <v>0.979050254943726</v>
      </c>
      <c r="N1903" s="81" t="n">
        <f aca="true">RAND()</f>
        <v>0.713340722884276</v>
      </c>
      <c r="O1903" s="83" t="n">
        <f aca="false">IF(N1903&lt;(Inputs!$E$26-Inputs!$D$26)/(Inputs!$F$26-Inputs!$D$26),Inputs!$D$26+SQRT(N1903*(Inputs!$F$26-Inputs!$D$26)*(Inputs!$E$26-Inputs!$D$26)),Inputs!$F$26-SQRT((1-N1903)*(Inputs!$F$26-Inputs!$D$26)*(Inputs!$F$26-Inputs!$E$26)))</f>
        <v>0.647336845794955</v>
      </c>
      <c r="P1903" s="81" t="n">
        <f aca="true">RAND()</f>
        <v>0.371470367752366</v>
      </c>
      <c r="Q1903" s="82" t="n">
        <f aca="false">IF(P1903&lt;(Inputs!$E$27-Inputs!$D$27)/(Inputs!$F$27-Inputs!$D$27),Inputs!$D$27+SQRT(P1903*(Inputs!$F$27-Inputs!$D$27)*(Inputs!$E$27-Inputs!$D$27)),Inputs!$F$27-SQRT((1-P1903)*(Inputs!$F$27-Inputs!$D$27)*(Inputs!$F$27-Inputs!$E$27)))</f>
        <v>81.3416265714279</v>
      </c>
      <c r="R1903" s="81" t="n">
        <f aca="true">RAND()</f>
        <v>0.41622961823131</v>
      </c>
      <c r="S1903" s="82" t="n">
        <f aca="false">IF(R1903&lt;(Inputs!$E$29-Inputs!$D$29)/(Inputs!$F$29-Inputs!$D$29),Inputs!$D$29+SQRT(R1903*(Inputs!$F$29-Inputs!$D$29)*(Inputs!$E$29-Inputs!$D$29)),Inputs!$F$29-SQRT((1-R1903)*(Inputs!$F$29-Inputs!$D$29)*(Inputs!$F$29-Inputs!$E$29)))</f>
        <v>6.28850474201302</v>
      </c>
      <c r="T1903" s="68" t="n">
        <f aca="false">Inputs!$E$9*(1+E1903)+Inputs!$E$5*C1903*(Inputs!$E$11*Inputs!$E$14*(G1903*I1903/Inputs!$E$16+(1-G1903))*K1903+Inputs!$E$23*M1903)*(1+O1903)+Inputs!$E$5*(Q1903+S1903)</f>
        <v>6230.9204654025</v>
      </c>
    </row>
    <row r="1904" customFormat="false" ht="15" hidden="false" customHeight="false" outlineLevel="0" collapsed="false">
      <c r="A1904" s="1" t="n">
        <v>1900</v>
      </c>
      <c r="B1904" s="81" t="n">
        <f aca="true">RAND()</f>
        <v>0.387594653259461</v>
      </c>
      <c r="C1904" s="82" t="n">
        <f aca="false">ROUND(IF(B1904&lt;(Inputs!$E$8-Inputs!$D$8)/(Inputs!$F$8-Inputs!$D$8),Inputs!$D$8+SQRT(B1904*(Inputs!$F$8-Inputs!$D$8)*(Inputs!$E$8-Inputs!$D$8)),Inputs!$F$8-SQRT((1-B1904)*(Inputs!$F$8-Inputs!$D$8)*(Inputs!$F$8-Inputs!$E$8))),0)</f>
        <v>24</v>
      </c>
      <c r="D1904" s="81" t="n">
        <f aca="true">RAND()</f>
        <v>0.888593105705954</v>
      </c>
      <c r="E1904" s="83" t="n">
        <f aca="false">IF(D1904&lt;(Inputs!$E$10-Inputs!$D$10)/(Inputs!$F$10-Inputs!$D$10),Inputs!$D$10+SQRT(D1904*(Inputs!$F$10-Inputs!$D$10)*(Inputs!$E$10-Inputs!$D$10)),Inputs!$F$10-SQRT((1-D1904)*(Inputs!$F$10-Inputs!$D$10)*(Inputs!$F$10-Inputs!$E$10)))</f>
        <v>0.142188177430379</v>
      </c>
      <c r="F1904" s="81" t="n">
        <f aca="true">RAND()</f>
        <v>0.515579778335606</v>
      </c>
      <c r="G1904" s="83" t="n">
        <f aca="false">IF(F1904&lt;(Inputs!$E$15-Inputs!$D$15)/(Inputs!$F$15-Inputs!$D$15),Inputs!$D$15+SQRT(F1904*(Inputs!$F$15-Inputs!$D$15)*(Inputs!$E$15-Inputs!$D$15)),Inputs!$F$15-SQRT((1-F1904)*(Inputs!$F$15-Inputs!$D$15)*(Inputs!$F$15-Inputs!$E$15)))</f>
        <v>0.701570307156388</v>
      </c>
      <c r="H1904" s="81" t="n">
        <f aca="true">RAND()</f>
        <v>0.306839797780409</v>
      </c>
      <c r="I1904" s="82" t="n">
        <f aca="false">ROUND(IF(H1904&lt;(Inputs!$E$17-Inputs!$D$17)/(Inputs!$F$17-Inputs!$D$17),Inputs!$D$17+SQRT(H1904*(Inputs!$F$17-Inputs!$D$17)*(Inputs!$E$17-Inputs!$D$17)),Inputs!$F$17-SQRT((1-H1904)*(Inputs!$F$17-Inputs!$D$17)*(Inputs!$F$17-Inputs!$E$17))),0)</f>
        <v>105</v>
      </c>
      <c r="J1904" s="81" t="n">
        <f aca="true">RAND()</f>
        <v>0.152390622487837</v>
      </c>
      <c r="K1904" s="83" t="n">
        <f aca="false">IF(J1904&lt;(Inputs!$E$18-Inputs!$D$18)/(Inputs!$F$18-Inputs!$D$18),Inputs!$D$18+SQRT(J1904*(Inputs!$F$18-Inputs!$D$18)*(Inputs!$E$18-Inputs!$D$18)),Inputs!$F$18-SQRT((1-J1904)*(Inputs!$F$18-Inputs!$D$18)*(Inputs!$F$18-Inputs!$E$18)))</f>
        <v>0.973031991531618</v>
      </c>
      <c r="L1904" s="81" t="n">
        <f aca="true">RAND()</f>
        <v>0.477702343138524</v>
      </c>
      <c r="M1904" s="83" t="n">
        <f aca="false">IF(L1904&lt;(Inputs!$E$24-Inputs!$D$24)/(Inputs!$F$24-Inputs!$D$24),Inputs!$D$24+SQRT(L1904*(Inputs!$F$24-Inputs!$D$24)*(Inputs!$E$24-Inputs!$D$24)),Inputs!$F$24-SQRT((1-L1904)*(Inputs!$F$24-Inputs!$D$24)*(Inputs!$F$24-Inputs!$E$24)))</f>
        <v>0.845949950364706</v>
      </c>
      <c r="N1904" s="81" t="n">
        <f aca="true">RAND()</f>
        <v>0.859972072416445</v>
      </c>
      <c r="O1904" s="83" t="n">
        <f aca="false">IF(N1904&lt;(Inputs!$E$26-Inputs!$D$26)/(Inputs!$F$26-Inputs!$D$26),Inputs!$D$26+SQRT(N1904*(Inputs!$F$26-Inputs!$D$26)*(Inputs!$E$26-Inputs!$D$26)),Inputs!$F$26-SQRT((1-N1904)*(Inputs!$F$26-Inputs!$D$26)*(Inputs!$F$26-Inputs!$E$26)))</f>
        <v>0.699323140293221</v>
      </c>
      <c r="P1904" s="81" t="n">
        <f aca="true">RAND()</f>
        <v>0.0385398032637563</v>
      </c>
      <c r="Q1904" s="82" t="n">
        <f aca="false">IF(P1904&lt;(Inputs!$E$27-Inputs!$D$27)/(Inputs!$F$27-Inputs!$D$27),Inputs!$D$27+SQRT(P1904*(Inputs!$F$27-Inputs!$D$27)*(Inputs!$E$27-Inputs!$D$27)),Inputs!$F$27-SQRT((1-P1904)*(Inputs!$F$27-Inputs!$D$27)*(Inputs!$F$27-Inputs!$E$27)))</f>
        <v>59.8157785304779</v>
      </c>
      <c r="R1904" s="81" t="n">
        <f aca="true">RAND()</f>
        <v>0.516926672941815</v>
      </c>
      <c r="S1904" s="82" t="n">
        <f aca="false">IF(R1904&lt;(Inputs!$E$29-Inputs!$D$29)/(Inputs!$F$29-Inputs!$D$29),Inputs!$D$29+SQRT(R1904*(Inputs!$F$29-Inputs!$D$29)*(Inputs!$E$29-Inputs!$D$29)),Inputs!$F$29-SQRT((1-R1904)*(Inputs!$F$29-Inputs!$D$29)*(Inputs!$F$29-Inputs!$E$29)))</f>
        <v>7.07538439307218</v>
      </c>
      <c r="T1904" s="68" t="n">
        <f aca="false">Inputs!$E$9*(1+E1904)+Inputs!$E$5*C1904*(Inputs!$E$11*Inputs!$E$14*(G1904*I1904/Inputs!$E$16+(1-G1904))*K1904+Inputs!$E$23*M1904)*(1+O1904)+Inputs!$E$5*(Q1904+S1904)</f>
        <v>6206.25555221097</v>
      </c>
    </row>
    <row r="1905" customFormat="false" ht="15" hidden="false" customHeight="false" outlineLevel="0" collapsed="false">
      <c r="A1905" s="1" t="n">
        <v>1901</v>
      </c>
      <c r="B1905" s="81" t="n">
        <f aca="true">RAND()</f>
        <v>0.386828278270332</v>
      </c>
      <c r="C1905" s="82" t="n">
        <f aca="false">ROUND(IF(B1905&lt;(Inputs!$E$8-Inputs!$D$8)/(Inputs!$F$8-Inputs!$D$8),Inputs!$D$8+SQRT(B1905*(Inputs!$F$8-Inputs!$D$8)*(Inputs!$E$8-Inputs!$D$8)),Inputs!$F$8-SQRT((1-B1905)*(Inputs!$F$8-Inputs!$D$8)*(Inputs!$F$8-Inputs!$E$8))),0)</f>
        <v>24</v>
      </c>
      <c r="D1905" s="81" t="n">
        <f aca="true">RAND()</f>
        <v>0.621715842720313</v>
      </c>
      <c r="E1905" s="83" t="n">
        <f aca="false">IF(D1905&lt;(Inputs!$E$10-Inputs!$D$10)/(Inputs!$F$10-Inputs!$D$10),Inputs!$D$10+SQRT(D1905*(Inputs!$F$10-Inputs!$D$10)*(Inputs!$E$10-Inputs!$D$10)),Inputs!$F$10-SQRT((1-D1905)*(Inputs!$F$10-Inputs!$D$10)*(Inputs!$F$10-Inputs!$E$10)))</f>
        <v>0.0934705453013553</v>
      </c>
      <c r="F1905" s="81" t="n">
        <f aca="true">RAND()</f>
        <v>0.135508949335421</v>
      </c>
      <c r="G1905" s="83" t="n">
        <f aca="false">IF(F1905&lt;(Inputs!$E$15-Inputs!$D$15)/(Inputs!$F$15-Inputs!$D$15),Inputs!$D$15+SQRT(F1905*(Inputs!$F$15-Inputs!$D$15)*(Inputs!$E$15-Inputs!$D$15)),Inputs!$F$15-SQRT((1-F1905)*(Inputs!$F$15-Inputs!$D$15)*(Inputs!$F$15-Inputs!$E$15)))</f>
        <v>0.652059379430689</v>
      </c>
      <c r="H1905" s="81" t="n">
        <f aca="true">RAND()</f>
        <v>0.577661965122307</v>
      </c>
      <c r="I1905" s="82" t="n">
        <f aca="false">ROUND(IF(H1905&lt;(Inputs!$E$17-Inputs!$D$17)/(Inputs!$F$17-Inputs!$D$17),Inputs!$D$17+SQRT(H1905*(Inputs!$F$17-Inputs!$D$17)*(Inputs!$E$17-Inputs!$D$17)),Inputs!$F$17-SQRT((1-H1905)*(Inputs!$F$17-Inputs!$D$17)*(Inputs!$F$17-Inputs!$E$17))),0)</f>
        <v>107</v>
      </c>
      <c r="J1905" s="81" t="n">
        <f aca="true">RAND()</f>
        <v>0.48021270024604</v>
      </c>
      <c r="K1905" s="83" t="n">
        <f aca="false">IF(J1905&lt;(Inputs!$E$18-Inputs!$D$18)/(Inputs!$F$18-Inputs!$D$18),Inputs!$D$18+SQRT(J1905*(Inputs!$F$18-Inputs!$D$18)*(Inputs!$E$18-Inputs!$D$18)),Inputs!$F$18-SQRT((1-J1905)*(Inputs!$F$18-Inputs!$D$18)*(Inputs!$F$18-Inputs!$E$18)))</f>
        <v>1.03673633987838</v>
      </c>
      <c r="L1905" s="81" t="n">
        <f aca="true">RAND()</f>
        <v>0.238666845420456</v>
      </c>
      <c r="M1905" s="83" t="n">
        <f aca="false">IF(L1905&lt;(Inputs!$E$24-Inputs!$D$24)/(Inputs!$F$24-Inputs!$D$24),Inputs!$D$24+SQRT(L1905*(Inputs!$F$24-Inputs!$D$24)*(Inputs!$E$24-Inputs!$D$24)),Inputs!$F$24-SQRT((1-L1905)*(Inputs!$F$24-Inputs!$D$24)*(Inputs!$F$24-Inputs!$E$24)))</f>
        <v>0.769233629785734</v>
      </c>
      <c r="N1905" s="81" t="n">
        <f aca="true">RAND()</f>
        <v>0.271556251350994</v>
      </c>
      <c r="O1905" s="83" t="n">
        <f aca="false">IF(N1905&lt;(Inputs!$E$26-Inputs!$D$26)/(Inputs!$F$26-Inputs!$D$26),Inputs!$D$26+SQRT(N1905*(Inputs!$F$26-Inputs!$D$26)*(Inputs!$E$26-Inputs!$D$26)),Inputs!$F$26-SQRT((1-N1905)*(Inputs!$F$26-Inputs!$D$26)*(Inputs!$F$26-Inputs!$E$26)))</f>
        <v>0.512572247070979</v>
      </c>
      <c r="P1905" s="81" t="n">
        <f aca="true">RAND()</f>
        <v>0.948014219470136</v>
      </c>
      <c r="Q1905" s="82" t="n">
        <f aca="false">IF(P1905&lt;(Inputs!$E$27-Inputs!$D$27)/(Inputs!$F$27-Inputs!$D$27),Inputs!$D$27+SQRT(P1905*(Inputs!$F$27-Inputs!$D$27)*(Inputs!$E$27-Inputs!$D$27)),Inputs!$F$27-SQRT((1-P1905)*(Inputs!$F$27-Inputs!$D$27)*(Inputs!$F$27-Inputs!$E$27)))</f>
        <v>130.254282642204</v>
      </c>
      <c r="R1905" s="81" t="n">
        <f aca="true">RAND()</f>
        <v>0.619194295160486</v>
      </c>
      <c r="S1905" s="82" t="n">
        <f aca="false">IF(R1905&lt;(Inputs!$E$29-Inputs!$D$29)/(Inputs!$F$29-Inputs!$D$29),Inputs!$D$29+SQRT(R1905*(Inputs!$F$29-Inputs!$D$29)*(Inputs!$E$29-Inputs!$D$29)),Inputs!$F$29-SQRT((1-R1905)*(Inputs!$F$29-Inputs!$D$29)*(Inputs!$F$29-Inputs!$E$29)))</f>
        <v>7.96403939542461</v>
      </c>
      <c r="T1905" s="68" t="n">
        <f aca="false">Inputs!$E$9*(1+E1905)+Inputs!$E$5*C1905*(Inputs!$E$11*Inputs!$E$14*(G1905*I1905/Inputs!$E$16+(1-G1905))*K1905+Inputs!$E$23*M1905)*(1+O1905)+Inputs!$E$5*(Q1905+S1905)</f>
        <v>6193.83443932688</v>
      </c>
    </row>
    <row r="1906" customFormat="false" ht="15" hidden="false" customHeight="false" outlineLevel="0" collapsed="false">
      <c r="A1906" s="1" t="n">
        <v>1902</v>
      </c>
      <c r="B1906" s="81" t="n">
        <f aca="true">RAND()</f>
        <v>0.735347116340311</v>
      </c>
      <c r="C1906" s="82" t="n">
        <f aca="false">ROUND(IF(B1906&lt;(Inputs!$E$8-Inputs!$D$8)/(Inputs!$F$8-Inputs!$D$8),Inputs!$D$8+SQRT(B1906*(Inputs!$F$8-Inputs!$D$8)*(Inputs!$E$8-Inputs!$D$8)),Inputs!$F$8-SQRT((1-B1906)*(Inputs!$F$8-Inputs!$D$8)*(Inputs!$F$8-Inputs!$E$8))),0)</f>
        <v>26</v>
      </c>
      <c r="D1906" s="81" t="n">
        <f aca="true">RAND()</f>
        <v>0.0530232578048582</v>
      </c>
      <c r="E1906" s="83" t="n">
        <f aca="false">IF(D1906&lt;(Inputs!$E$10-Inputs!$D$10)/(Inputs!$F$10-Inputs!$D$10),Inputs!$D$10+SQRT(D1906*(Inputs!$F$10-Inputs!$D$10)*(Inputs!$E$10-Inputs!$D$10)),Inputs!$F$10-SQRT((1-D1906)*(Inputs!$F$10-Inputs!$D$10)*(Inputs!$F$10-Inputs!$E$10)))</f>
        <v>0.0230267795848352</v>
      </c>
      <c r="F1906" s="81" t="n">
        <f aca="true">RAND()</f>
        <v>0.0281852481014234</v>
      </c>
      <c r="G1906" s="83" t="n">
        <f aca="false">IF(F1906&lt;(Inputs!$E$15-Inputs!$D$15)/(Inputs!$F$15-Inputs!$D$15),Inputs!$D$15+SQRT(F1906*(Inputs!$F$15-Inputs!$D$15)*(Inputs!$E$15-Inputs!$D$15)),Inputs!$F$15-SQRT((1-F1906)*(Inputs!$F$15-Inputs!$D$15)*(Inputs!$F$15-Inputs!$E$15)))</f>
        <v>0.623742471691643</v>
      </c>
      <c r="H1906" s="81" t="n">
        <f aca="true">RAND()</f>
        <v>0.0934883727522737</v>
      </c>
      <c r="I1906" s="82" t="n">
        <f aca="false">ROUND(IF(H1906&lt;(Inputs!$E$17-Inputs!$D$17)/(Inputs!$F$17-Inputs!$D$17),Inputs!$D$17+SQRT(H1906*(Inputs!$F$17-Inputs!$D$17)*(Inputs!$E$17-Inputs!$D$17)),Inputs!$F$17-SQRT((1-H1906)*(Inputs!$F$17-Inputs!$D$17)*(Inputs!$F$17-Inputs!$E$17))),0)</f>
        <v>103</v>
      </c>
      <c r="J1906" s="81" t="n">
        <f aca="true">RAND()</f>
        <v>0.917156010716333</v>
      </c>
      <c r="K1906" s="83" t="n">
        <f aca="false">IF(J1906&lt;(Inputs!$E$18-Inputs!$D$18)/(Inputs!$F$18-Inputs!$D$18),Inputs!$D$18+SQRT(J1906*(Inputs!$F$18-Inputs!$D$18)*(Inputs!$E$18-Inputs!$D$18)),Inputs!$F$18-SQRT((1-J1906)*(Inputs!$F$18-Inputs!$D$18)*(Inputs!$F$18-Inputs!$E$18)))</f>
        <v>1.16485982697738</v>
      </c>
      <c r="L1906" s="81" t="n">
        <f aca="true">RAND()</f>
        <v>0.974163452616467</v>
      </c>
      <c r="M1906" s="83" t="n">
        <f aca="false">IF(L1906&lt;(Inputs!$E$24-Inputs!$D$24)/(Inputs!$F$24-Inputs!$D$24),Inputs!$D$24+SQRT(L1906*(Inputs!$F$24-Inputs!$D$24)*(Inputs!$E$24-Inputs!$D$24)),Inputs!$F$24-SQRT((1-L1906)*(Inputs!$F$24-Inputs!$D$24)*(Inputs!$F$24-Inputs!$E$24)))</f>
        <v>1.12125502319482</v>
      </c>
      <c r="N1906" s="81" t="n">
        <f aca="true">RAND()</f>
        <v>0.207027571176797</v>
      </c>
      <c r="O1906" s="83" t="n">
        <f aca="false">IF(N1906&lt;(Inputs!$E$26-Inputs!$D$26)/(Inputs!$F$26-Inputs!$D$26),Inputs!$D$26+SQRT(N1906*(Inputs!$F$26-Inputs!$D$26)*(Inputs!$E$26-Inputs!$D$26)),Inputs!$F$26-SQRT((1-N1906)*(Inputs!$F$26-Inputs!$D$26)*(Inputs!$F$26-Inputs!$E$26)))</f>
        <v>0.485605462860927</v>
      </c>
      <c r="P1906" s="81" t="n">
        <f aca="true">RAND()</f>
        <v>0.717331574758526</v>
      </c>
      <c r="Q1906" s="82" t="n">
        <f aca="false">IF(P1906&lt;(Inputs!$E$27-Inputs!$D$27)/(Inputs!$F$27-Inputs!$D$27),Inputs!$D$27+SQRT(P1906*(Inputs!$F$27-Inputs!$D$27)*(Inputs!$E$27-Inputs!$D$27)),Inputs!$F$27-SQRT((1-P1906)*(Inputs!$F$27-Inputs!$D$27)*(Inputs!$F$27-Inputs!$E$27)))</f>
        <v>103.956399040572</v>
      </c>
      <c r="R1906" s="81" t="n">
        <f aca="true">RAND()</f>
        <v>0.628339091252283</v>
      </c>
      <c r="S1906" s="82" t="n">
        <f aca="false">IF(R1906&lt;(Inputs!$E$29-Inputs!$D$29)/(Inputs!$F$29-Inputs!$D$29),Inputs!$D$29+SQRT(R1906*(Inputs!$F$29-Inputs!$D$29)*(Inputs!$E$29-Inputs!$D$29)),Inputs!$F$29-SQRT((1-R1906)*(Inputs!$F$29-Inputs!$D$29)*(Inputs!$F$29-Inputs!$E$29)))</f>
        <v>8.04903473341988</v>
      </c>
      <c r="T1906" s="68" t="n">
        <f aca="false">Inputs!$E$9*(1+E1906)+Inputs!$E$5*C1906*(Inputs!$E$11*Inputs!$E$14*(G1906*I1906/Inputs!$E$16+(1-G1906))*K1906+Inputs!$E$23*M1906)*(1+O1906)+Inputs!$E$5*(Q1906+S1906)</f>
        <v>6861.80791764443</v>
      </c>
    </row>
    <row r="1907" customFormat="false" ht="15" hidden="false" customHeight="false" outlineLevel="0" collapsed="false">
      <c r="A1907" s="1" t="n">
        <v>1903</v>
      </c>
      <c r="B1907" s="81" t="n">
        <f aca="true">RAND()</f>
        <v>0.407593305658027</v>
      </c>
      <c r="C1907" s="82" t="n">
        <f aca="false">ROUND(IF(B1907&lt;(Inputs!$E$8-Inputs!$D$8)/(Inputs!$F$8-Inputs!$D$8),Inputs!$D$8+SQRT(B1907*(Inputs!$F$8-Inputs!$D$8)*(Inputs!$E$8-Inputs!$D$8)),Inputs!$F$8-SQRT((1-B1907)*(Inputs!$F$8-Inputs!$D$8)*(Inputs!$F$8-Inputs!$E$8))),0)</f>
        <v>25</v>
      </c>
      <c r="D1907" s="81" t="n">
        <f aca="true">RAND()</f>
        <v>0.367699037171775</v>
      </c>
      <c r="E1907" s="83" t="n">
        <f aca="false">IF(D1907&lt;(Inputs!$E$10-Inputs!$D$10)/(Inputs!$F$10-Inputs!$D$10),Inputs!$D$10+SQRT(D1907*(Inputs!$F$10-Inputs!$D$10)*(Inputs!$E$10-Inputs!$D$10)),Inputs!$F$10-SQRT((1-D1907)*(Inputs!$F$10-Inputs!$D$10)*(Inputs!$F$10-Inputs!$E$10)))</f>
        <v>0.0622719023407107</v>
      </c>
      <c r="F1907" s="81" t="n">
        <f aca="true">RAND()</f>
        <v>0.936079272917213</v>
      </c>
      <c r="G1907" s="83" t="n">
        <f aca="false">IF(F1907&lt;(Inputs!$E$15-Inputs!$D$15)/(Inputs!$F$15-Inputs!$D$15),Inputs!$D$15+SQRT(F1907*(Inputs!$F$15-Inputs!$D$15)*(Inputs!$E$15-Inputs!$D$15)),Inputs!$F$15-SQRT((1-F1907)*(Inputs!$F$15-Inputs!$D$15)*(Inputs!$F$15-Inputs!$E$15)))</f>
        <v>0.764245076679488</v>
      </c>
      <c r="H1907" s="81" t="n">
        <f aca="true">RAND()</f>
        <v>0.803605734304839</v>
      </c>
      <c r="I1907" s="82" t="n">
        <f aca="false">ROUND(IF(H1907&lt;(Inputs!$E$17-Inputs!$D$17)/(Inputs!$F$17-Inputs!$D$17),Inputs!$D$17+SQRT(H1907*(Inputs!$F$17-Inputs!$D$17)*(Inputs!$E$17-Inputs!$D$17)),Inputs!$F$17-SQRT((1-H1907)*(Inputs!$F$17-Inputs!$D$17)*(Inputs!$F$17-Inputs!$E$17))),0)</f>
        <v>110</v>
      </c>
      <c r="J1907" s="81" t="n">
        <f aca="true">RAND()</f>
        <v>0.874938314910805</v>
      </c>
      <c r="K1907" s="83" t="n">
        <f aca="false">IF(J1907&lt;(Inputs!$E$18-Inputs!$D$18)/(Inputs!$F$18-Inputs!$D$18),Inputs!$D$18+SQRT(J1907*(Inputs!$F$18-Inputs!$D$18)*(Inputs!$E$18-Inputs!$D$18)),Inputs!$F$18-SQRT((1-J1907)*(Inputs!$F$18-Inputs!$D$18)*(Inputs!$F$18-Inputs!$E$18)))</f>
        <v>1.14539169514181</v>
      </c>
      <c r="L1907" s="81" t="n">
        <f aca="true">RAND()</f>
        <v>0.586477379167013</v>
      </c>
      <c r="M1907" s="83" t="n">
        <f aca="false">IF(L1907&lt;(Inputs!$E$24-Inputs!$D$24)/(Inputs!$F$24-Inputs!$D$24),Inputs!$D$24+SQRT(L1907*(Inputs!$F$24-Inputs!$D$24)*(Inputs!$E$24-Inputs!$D$24)),Inputs!$F$24-SQRT((1-L1907)*(Inputs!$F$24-Inputs!$D$24)*(Inputs!$F$24-Inputs!$E$24)))</f>
        <v>0.884967574684896</v>
      </c>
      <c r="N1907" s="81" t="n">
        <f aca="true">RAND()</f>
        <v>0.261364062447705</v>
      </c>
      <c r="O1907" s="83" t="n">
        <f aca="false">IF(N1907&lt;(Inputs!$E$26-Inputs!$D$26)/(Inputs!$F$26-Inputs!$D$26),Inputs!$D$26+SQRT(N1907*(Inputs!$F$26-Inputs!$D$26)*(Inputs!$E$26-Inputs!$D$26)),Inputs!$F$26-SQRT((1-N1907)*(Inputs!$F$26-Inputs!$D$26)*(Inputs!$F$26-Inputs!$E$26)))</f>
        <v>0.508544911209308</v>
      </c>
      <c r="P1907" s="81" t="n">
        <f aca="true">RAND()</f>
        <v>0.205734349446566</v>
      </c>
      <c r="Q1907" s="82" t="n">
        <f aca="false">IF(P1907&lt;(Inputs!$E$27-Inputs!$D$27)/(Inputs!$F$27-Inputs!$D$27),Inputs!$D$27+SQRT(P1907*(Inputs!$F$27-Inputs!$D$27)*(Inputs!$E$27-Inputs!$D$27)),Inputs!$F$27-SQRT((1-P1907)*(Inputs!$F$27-Inputs!$D$27)*(Inputs!$F$27-Inputs!$E$27)))</f>
        <v>72.6789742628809</v>
      </c>
      <c r="R1907" s="81" t="n">
        <f aca="true">RAND()</f>
        <v>0.46033551373931</v>
      </c>
      <c r="S1907" s="82" t="n">
        <f aca="false">IF(R1907&lt;(Inputs!$E$29-Inputs!$D$29)/(Inputs!$F$29-Inputs!$D$29),Inputs!$D$29+SQRT(R1907*(Inputs!$F$29-Inputs!$D$29)*(Inputs!$E$29-Inputs!$D$29)),Inputs!$F$29-SQRT((1-R1907)*(Inputs!$F$29-Inputs!$D$29)*(Inputs!$F$29-Inputs!$E$29)))</f>
        <v>6.62405926394595</v>
      </c>
      <c r="T1907" s="68" t="n">
        <f aca="false">Inputs!$E$9*(1+E1907)+Inputs!$E$5*C1907*(Inputs!$E$11*Inputs!$E$14*(G1907*I1907/Inputs!$E$16+(1-G1907))*K1907+Inputs!$E$23*M1907)*(1+O1907)+Inputs!$E$5*(Q1907+S1907)</f>
        <v>6219.38333040595</v>
      </c>
    </row>
    <row r="1908" customFormat="false" ht="15" hidden="false" customHeight="false" outlineLevel="0" collapsed="false">
      <c r="A1908" s="1" t="n">
        <v>1904</v>
      </c>
      <c r="B1908" s="81" t="n">
        <f aca="true">RAND()</f>
        <v>0.428749977060199</v>
      </c>
      <c r="C1908" s="82" t="n">
        <f aca="false">ROUND(IF(B1908&lt;(Inputs!$E$8-Inputs!$D$8)/(Inputs!$F$8-Inputs!$D$8),Inputs!$D$8+SQRT(B1908*(Inputs!$F$8-Inputs!$D$8)*(Inputs!$E$8-Inputs!$D$8)),Inputs!$F$8-SQRT((1-B1908)*(Inputs!$F$8-Inputs!$D$8)*(Inputs!$F$8-Inputs!$E$8))),0)</f>
        <v>25</v>
      </c>
      <c r="D1908" s="81" t="n">
        <f aca="true">RAND()</f>
        <v>0.201030985477729</v>
      </c>
      <c r="E1908" s="83" t="n">
        <f aca="false">IF(D1908&lt;(Inputs!$E$10-Inputs!$D$10)/(Inputs!$F$10-Inputs!$D$10),Inputs!$D$10+SQRT(D1908*(Inputs!$F$10-Inputs!$D$10)*(Inputs!$E$10-Inputs!$D$10)),Inputs!$F$10-SQRT((1-D1908)*(Inputs!$F$10-Inputs!$D$10)*(Inputs!$F$10-Inputs!$E$10)))</f>
        <v>0.0448364790631166</v>
      </c>
      <c r="F1908" s="81" t="n">
        <f aca="true">RAND()</f>
        <v>0.34465666363583</v>
      </c>
      <c r="G1908" s="83" t="n">
        <f aca="false">IF(F1908&lt;(Inputs!$E$15-Inputs!$D$15)/(Inputs!$F$15-Inputs!$D$15),Inputs!$D$15+SQRT(F1908*(Inputs!$F$15-Inputs!$D$15)*(Inputs!$E$15-Inputs!$D$15)),Inputs!$F$15-SQRT((1-F1908)*(Inputs!$F$15-Inputs!$D$15)*(Inputs!$F$15-Inputs!$E$15)))</f>
        <v>0.683024895499583</v>
      </c>
      <c r="H1908" s="81" t="n">
        <f aca="true">RAND()</f>
        <v>0.774876166393363</v>
      </c>
      <c r="I1908" s="82" t="n">
        <f aca="false">ROUND(IF(H1908&lt;(Inputs!$E$17-Inputs!$D$17)/(Inputs!$F$17-Inputs!$D$17),Inputs!$D$17+SQRT(H1908*(Inputs!$F$17-Inputs!$D$17)*(Inputs!$E$17-Inputs!$D$17)),Inputs!$F$17-SQRT((1-H1908)*(Inputs!$F$17-Inputs!$D$17)*(Inputs!$F$17-Inputs!$E$17))),0)</f>
        <v>109</v>
      </c>
      <c r="J1908" s="81" t="n">
        <f aca="true">RAND()</f>
        <v>0.0579853684667752</v>
      </c>
      <c r="K1908" s="83" t="n">
        <f aca="false">IF(J1908&lt;(Inputs!$E$18-Inputs!$D$18)/(Inputs!$F$18-Inputs!$D$18),Inputs!$D$18+SQRT(J1908*(Inputs!$F$18-Inputs!$D$18)*(Inputs!$E$18-Inputs!$D$18)),Inputs!$F$18-SQRT((1-J1908)*(Inputs!$F$18-Inputs!$D$18)*(Inputs!$F$18-Inputs!$E$18)))</f>
        <v>0.94504983791688</v>
      </c>
      <c r="L1908" s="81" t="n">
        <f aca="true">RAND()</f>
        <v>0.383012350321835</v>
      </c>
      <c r="M1908" s="83" t="n">
        <f aca="false">IF(L1908&lt;(Inputs!$E$24-Inputs!$D$24)/(Inputs!$F$24-Inputs!$D$24),Inputs!$D$24+SQRT(L1908*(Inputs!$F$24-Inputs!$D$24)*(Inputs!$E$24-Inputs!$D$24)),Inputs!$F$24-SQRT((1-L1908)*(Inputs!$F$24-Inputs!$D$24)*(Inputs!$F$24-Inputs!$E$24)))</f>
        <v>0.815192209118943</v>
      </c>
      <c r="N1908" s="81" t="n">
        <f aca="true">RAND()</f>
        <v>0.303170517444589</v>
      </c>
      <c r="O1908" s="83" t="n">
        <f aca="false">IF(N1908&lt;(Inputs!$E$26-Inputs!$D$26)/(Inputs!$F$26-Inputs!$D$26),Inputs!$D$26+SQRT(N1908*(Inputs!$F$26-Inputs!$D$26)*(Inputs!$E$26-Inputs!$D$26)),Inputs!$F$26-SQRT((1-N1908)*(Inputs!$F$26-Inputs!$D$26)*(Inputs!$F$26-Inputs!$E$26)))</f>
        <v>0.524605374162729</v>
      </c>
      <c r="P1908" s="81" t="n">
        <f aca="true">RAND()</f>
        <v>0.26556680443293</v>
      </c>
      <c r="Q1908" s="82" t="n">
        <f aca="false">IF(P1908&lt;(Inputs!$E$27-Inputs!$D$27)/(Inputs!$F$27-Inputs!$D$27),Inputs!$D$27+SQRT(P1908*(Inputs!$F$27-Inputs!$D$27)*(Inputs!$E$27-Inputs!$D$27)),Inputs!$F$27-SQRT((1-P1908)*(Inputs!$F$27-Inputs!$D$27)*(Inputs!$F$27-Inputs!$E$27)))</f>
        <v>75.7824214437508</v>
      </c>
      <c r="R1908" s="81" t="n">
        <f aca="true">RAND()</f>
        <v>0.254949672985232</v>
      </c>
      <c r="S1908" s="82" t="n">
        <f aca="false">IF(R1908&lt;(Inputs!$E$29-Inputs!$D$29)/(Inputs!$F$29-Inputs!$D$29),Inputs!$D$29+SQRT(R1908*(Inputs!$F$29-Inputs!$D$29)*(Inputs!$E$29-Inputs!$D$29)),Inputs!$F$29-SQRT((1-R1908)*(Inputs!$F$29-Inputs!$D$29)*(Inputs!$F$29-Inputs!$E$29)))</f>
        <v>5.15842784348355</v>
      </c>
      <c r="T1908" s="68" t="n">
        <f aca="false">Inputs!$E$9*(1+E1908)+Inputs!$E$5*C1908*(Inputs!$E$11*Inputs!$E$14*(G1908*I1908/Inputs!$E$16+(1-G1908))*K1908+Inputs!$E$23*M1908)*(1+O1908)+Inputs!$E$5*(Q1908+S1908)</f>
        <v>5806.74069521267</v>
      </c>
    </row>
    <row r="1909" customFormat="false" ht="15" hidden="false" customHeight="false" outlineLevel="0" collapsed="false">
      <c r="A1909" s="1" t="n">
        <v>1905</v>
      </c>
      <c r="B1909" s="81" t="n">
        <f aca="true">RAND()</f>
        <v>0.492948160332683</v>
      </c>
      <c r="C1909" s="82" t="n">
        <f aca="false">ROUND(IF(B1909&lt;(Inputs!$E$8-Inputs!$D$8)/(Inputs!$F$8-Inputs!$D$8),Inputs!$D$8+SQRT(B1909*(Inputs!$F$8-Inputs!$D$8)*(Inputs!$E$8-Inputs!$D$8)),Inputs!$F$8-SQRT((1-B1909)*(Inputs!$F$8-Inputs!$D$8)*(Inputs!$F$8-Inputs!$E$8))),0)</f>
        <v>25</v>
      </c>
      <c r="D1909" s="81" t="n">
        <f aca="true">RAND()</f>
        <v>0.0593277020680744</v>
      </c>
      <c r="E1909" s="83" t="n">
        <f aca="false">IF(D1909&lt;(Inputs!$E$10-Inputs!$D$10)/(Inputs!$F$10-Inputs!$D$10),Inputs!$D$10+SQRT(D1909*(Inputs!$F$10-Inputs!$D$10)*(Inputs!$E$10-Inputs!$D$10)),Inputs!$F$10-SQRT((1-D1909)*(Inputs!$F$10-Inputs!$D$10)*(Inputs!$F$10-Inputs!$E$10)))</f>
        <v>0.0243572785975926</v>
      </c>
      <c r="F1909" s="81" t="n">
        <f aca="true">RAND()</f>
        <v>0.337607257692406</v>
      </c>
      <c r="G1909" s="83" t="n">
        <f aca="false">IF(F1909&lt;(Inputs!$E$15-Inputs!$D$15)/(Inputs!$F$15-Inputs!$D$15),Inputs!$D$15+SQRT(F1909*(Inputs!$F$15-Inputs!$D$15)*(Inputs!$E$15-Inputs!$D$15)),Inputs!$F$15-SQRT((1-F1909)*(Inputs!$F$15-Inputs!$D$15)*(Inputs!$F$15-Inputs!$E$15)))</f>
        <v>0.682171437579296</v>
      </c>
      <c r="H1909" s="81" t="n">
        <f aca="true">RAND()</f>
        <v>0.823808155067286</v>
      </c>
      <c r="I1909" s="82" t="n">
        <f aca="false">ROUND(IF(H1909&lt;(Inputs!$E$17-Inputs!$D$17)/(Inputs!$F$17-Inputs!$D$17),Inputs!$D$17+SQRT(H1909*(Inputs!$F$17-Inputs!$D$17)*(Inputs!$E$17-Inputs!$D$17)),Inputs!$F$17-SQRT((1-H1909)*(Inputs!$F$17-Inputs!$D$17)*(Inputs!$F$17-Inputs!$E$17))),0)</f>
        <v>110</v>
      </c>
      <c r="J1909" s="81" t="n">
        <f aca="true">RAND()</f>
        <v>0.898163984748273</v>
      </c>
      <c r="K1909" s="83" t="n">
        <f aca="false">IF(J1909&lt;(Inputs!$E$18-Inputs!$D$18)/(Inputs!$F$18-Inputs!$D$18),Inputs!$D$18+SQRT(J1909*(Inputs!$F$18-Inputs!$D$18)*(Inputs!$E$18-Inputs!$D$18)),Inputs!$F$18-SQRT((1-J1909)*(Inputs!$F$18-Inputs!$D$18)*(Inputs!$F$18-Inputs!$E$18)))</f>
        <v>1.15560375359938</v>
      </c>
      <c r="L1909" s="81" t="n">
        <f aca="true">RAND()</f>
        <v>0.628108860264611</v>
      </c>
      <c r="M1909" s="83" t="n">
        <f aca="false">IF(L1909&lt;(Inputs!$E$24-Inputs!$D$24)/(Inputs!$F$24-Inputs!$D$24),Inputs!$D$24+SQRT(L1909*(Inputs!$F$24-Inputs!$D$24)*(Inputs!$E$24-Inputs!$D$24)),Inputs!$F$24-SQRT((1-L1909)*(Inputs!$F$24-Inputs!$D$24)*(Inputs!$F$24-Inputs!$E$24)))</f>
        <v>0.901246132181534</v>
      </c>
      <c r="N1909" s="81" t="n">
        <f aca="true">RAND()</f>
        <v>0.153878716125773</v>
      </c>
      <c r="O1909" s="83" t="n">
        <f aca="false">IF(N1909&lt;(Inputs!$E$26-Inputs!$D$26)/(Inputs!$F$26-Inputs!$D$26),Inputs!$D$26+SQRT(N1909*(Inputs!$F$26-Inputs!$D$26)*(Inputs!$E$26-Inputs!$D$26)),Inputs!$F$26-SQRT((1-N1909)*(Inputs!$F$26-Inputs!$D$26)*(Inputs!$F$26-Inputs!$E$26)))</f>
        <v>0.460016931489542</v>
      </c>
      <c r="P1909" s="81" t="n">
        <f aca="true">RAND()</f>
        <v>0.237111809253945</v>
      </c>
      <c r="Q1909" s="82" t="n">
        <f aca="false">IF(P1909&lt;(Inputs!$E$27-Inputs!$D$27)/(Inputs!$F$27-Inputs!$D$27),Inputs!$D$27+SQRT(P1909*(Inputs!$F$27-Inputs!$D$27)*(Inputs!$E$27-Inputs!$D$27)),Inputs!$F$27-SQRT((1-P1909)*(Inputs!$F$27-Inputs!$D$27)*(Inputs!$F$27-Inputs!$E$27)))</f>
        <v>74.3470639530696</v>
      </c>
      <c r="R1909" s="81" t="n">
        <f aca="true">RAND()</f>
        <v>0.78313371208875</v>
      </c>
      <c r="S1909" s="82" t="n">
        <f aca="false">IF(R1909&lt;(Inputs!$E$29-Inputs!$D$29)/(Inputs!$F$29-Inputs!$D$29),Inputs!$D$29+SQRT(R1909*(Inputs!$F$29-Inputs!$D$29)*(Inputs!$E$29-Inputs!$D$29)),Inputs!$F$29-SQRT((1-R1909)*(Inputs!$F$29-Inputs!$D$29)*(Inputs!$F$29-Inputs!$E$29)))</f>
        <v>9.69032793588318</v>
      </c>
      <c r="T1909" s="68" t="n">
        <f aca="false">Inputs!$E$9*(1+E1909)+Inputs!$E$5*C1909*(Inputs!$E$11*Inputs!$E$14*(G1909*I1909/Inputs!$E$16+(1-G1909))*K1909+Inputs!$E$23*M1909)*(1+O1909)+Inputs!$E$5*(Q1909+S1909)</f>
        <v>6196.58602654416</v>
      </c>
    </row>
    <row r="1910" customFormat="false" ht="15" hidden="false" customHeight="false" outlineLevel="0" collapsed="false">
      <c r="A1910" s="1" t="n">
        <v>1906</v>
      </c>
      <c r="B1910" s="81" t="n">
        <f aca="true">RAND()</f>
        <v>0.30393298261427</v>
      </c>
      <c r="C1910" s="82" t="n">
        <f aca="false">ROUND(IF(B1910&lt;(Inputs!$E$8-Inputs!$D$8)/(Inputs!$F$8-Inputs!$D$8),Inputs!$D$8+SQRT(B1910*(Inputs!$F$8-Inputs!$D$8)*(Inputs!$E$8-Inputs!$D$8)),Inputs!$F$8-SQRT((1-B1910)*(Inputs!$F$8-Inputs!$D$8)*(Inputs!$F$8-Inputs!$E$8))),0)</f>
        <v>24</v>
      </c>
      <c r="D1910" s="81" t="n">
        <f aca="true">RAND()</f>
        <v>0.0457656324865228</v>
      </c>
      <c r="E1910" s="83" t="n">
        <f aca="false">IF(D1910&lt;(Inputs!$E$10-Inputs!$D$10)/(Inputs!$F$10-Inputs!$D$10),Inputs!$D$10+SQRT(D1910*(Inputs!$F$10-Inputs!$D$10)*(Inputs!$E$10-Inputs!$D$10)),Inputs!$F$10-SQRT((1-D1910)*(Inputs!$F$10-Inputs!$D$10)*(Inputs!$F$10-Inputs!$E$10)))</f>
        <v>0.0213929036099644</v>
      </c>
      <c r="F1910" s="81" t="n">
        <f aca="true">RAND()</f>
        <v>0.282630865902183</v>
      </c>
      <c r="G1910" s="83" t="n">
        <f aca="false">IF(F1910&lt;(Inputs!$E$15-Inputs!$D$15)/(Inputs!$F$15-Inputs!$D$15),Inputs!$D$15+SQRT(F1910*(Inputs!$F$15-Inputs!$D$15)*(Inputs!$E$15-Inputs!$D$15)),Inputs!$F$15-SQRT((1-F1910)*(Inputs!$F$15-Inputs!$D$15)*(Inputs!$F$15-Inputs!$E$15)))</f>
        <v>0.675183890016703</v>
      </c>
      <c r="H1910" s="81" t="n">
        <f aca="true">RAND()</f>
        <v>0.597915752271154</v>
      </c>
      <c r="I1910" s="82" t="n">
        <f aca="false">ROUND(IF(H1910&lt;(Inputs!$E$17-Inputs!$D$17)/(Inputs!$F$17-Inputs!$D$17),Inputs!$D$17+SQRT(H1910*(Inputs!$F$17-Inputs!$D$17)*(Inputs!$E$17-Inputs!$D$17)),Inputs!$F$17-SQRT((1-H1910)*(Inputs!$F$17-Inputs!$D$17)*(Inputs!$F$17-Inputs!$E$17))),0)</f>
        <v>107</v>
      </c>
      <c r="J1910" s="81" t="n">
        <f aca="true">RAND()</f>
        <v>0.404184651325241</v>
      </c>
      <c r="K1910" s="83" t="n">
        <f aca="false">IF(J1910&lt;(Inputs!$E$18-Inputs!$D$18)/(Inputs!$F$18-Inputs!$D$18),Inputs!$D$18+SQRT(J1910*(Inputs!$F$18-Inputs!$D$18)*(Inputs!$E$18-Inputs!$D$18)),Inputs!$F$18-SQRT((1-J1910)*(Inputs!$F$18-Inputs!$D$18)*(Inputs!$F$18-Inputs!$E$18)))</f>
        <v>1.02167163336755</v>
      </c>
      <c r="L1910" s="81" t="n">
        <f aca="true">RAND()</f>
        <v>0.492390381670667</v>
      </c>
      <c r="M1910" s="83" t="n">
        <f aca="false">IF(L1910&lt;(Inputs!$E$24-Inputs!$D$24)/(Inputs!$F$24-Inputs!$D$24),Inputs!$D$24+SQRT(L1910*(Inputs!$F$24-Inputs!$D$24)*(Inputs!$E$24-Inputs!$D$24)),Inputs!$F$24-SQRT((1-L1910)*(Inputs!$F$24-Inputs!$D$24)*(Inputs!$F$24-Inputs!$E$24)))</f>
        <v>0.850963743431947</v>
      </c>
      <c r="N1910" s="81" t="n">
        <f aca="true">RAND()</f>
        <v>0.752406091350312</v>
      </c>
      <c r="O1910" s="83" t="n">
        <f aca="false">IF(N1910&lt;(Inputs!$E$26-Inputs!$D$26)/(Inputs!$F$26-Inputs!$D$26),Inputs!$D$26+SQRT(N1910*(Inputs!$F$26-Inputs!$D$26)*(Inputs!$E$26-Inputs!$D$26)),Inputs!$F$26-SQRT((1-N1910)*(Inputs!$F$26-Inputs!$D$26)*(Inputs!$F$26-Inputs!$E$26)))</f>
        <v>0.659532662203277</v>
      </c>
      <c r="P1910" s="81" t="n">
        <f aca="true">RAND()</f>
        <v>0.524860537234048</v>
      </c>
      <c r="Q1910" s="82" t="n">
        <f aca="false">IF(P1910&lt;(Inputs!$E$27-Inputs!$D$27)/(Inputs!$F$27-Inputs!$D$27),Inputs!$D$27+SQRT(P1910*(Inputs!$F$27-Inputs!$D$27)*(Inputs!$E$27-Inputs!$D$27)),Inputs!$F$27-SQRT((1-P1910)*(Inputs!$F$27-Inputs!$D$27)*(Inputs!$F$27-Inputs!$E$27)))</f>
        <v>90.3045565328087</v>
      </c>
      <c r="R1910" s="81" t="n">
        <f aca="true">RAND()</f>
        <v>0.465842376633323</v>
      </c>
      <c r="S1910" s="82" t="n">
        <f aca="false">IF(R1910&lt;(Inputs!$E$29-Inputs!$D$29)/(Inputs!$F$29-Inputs!$D$29),Inputs!$D$29+SQRT(R1910*(Inputs!$F$29-Inputs!$D$29)*(Inputs!$E$29-Inputs!$D$29)),Inputs!$F$29-SQRT((1-R1910)*(Inputs!$F$29-Inputs!$D$29)*(Inputs!$F$29-Inputs!$E$29)))</f>
        <v>6.6669038744493</v>
      </c>
      <c r="T1910" s="68" t="n">
        <f aca="false">Inputs!$E$9*(1+E1910)+Inputs!$E$5*C1910*(Inputs!$E$11*Inputs!$E$14*(G1910*I1910/Inputs!$E$16+(1-G1910))*K1910+Inputs!$E$23*M1910)*(1+O1910)+Inputs!$E$5*(Q1910+S1910)</f>
        <v>6181.93698827991</v>
      </c>
    </row>
    <row r="1911" customFormat="false" ht="15" hidden="false" customHeight="false" outlineLevel="0" collapsed="false">
      <c r="A1911" s="1" t="n">
        <v>1907</v>
      </c>
      <c r="B1911" s="81" t="n">
        <f aca="true">RAND()</f>
        <v>0.10274236965055</v>
      </c>
      <c r="C1911" s="82" t="n">
        <f aca="false">ROUND(IF(B1911&lt;(Inputs!$E$8-Inputs!$D$8)/(Inputs!$F$8-Inputs!$D$8),Inputs!$D$8+SQRT(B1911*(Inputs!$F$8-Inputs!$D$8)*(Inputs!$E$8-Inputs!$D$8)),Inputs!$F$8-SQRT((1-B1911)*(Inputs!$F$8-Inputs!$D$8)*(Inputs!$F$8-Inputs!$E$8))),0)</f>
        <v>22</v>
      </c>
      <c r="D1911" s="81" t="n">
        <f aca="true">RAND()</f>
        <v>0.970278445076842</v>
      </c>
      <c r="E1911" s="83" t="n">
        <f aca="false">IF(D1911&lt;(Inputs!$E$10-Inputs!$D$10)/(Inputs!$F$10-Inputs!$D$10),Inputs!$D$10+SQRT(D1911*(Inputs!$F$10-Inputs!$D$10)*(Inputs!$E$10-Inputs!$D$10)),Inputs!$F$10-SQRT((1-D1911)*(Inputs!$F$10-Inputs!$D$10)*(Inputs!$F$10-Inputs!$E$10)))</f>
        <v>0.170139547094949</v>
      </c>
      <c r="F1911" s="81" t="n">
        <f aca="true">RAND()</f>
        <v>0.941127695441792</v>
      </c>
      <c r="G1911" s="83" t="n">
        <f aca="false">IF(F1911&lt;(Inputs!$E$15-Inputs!$D$15)/(Inputs!$F$15-Inputs!$D$15),Inputs!$D$15+SQRT(F1911*(Inputs!$F$15-Inputs!$D$15)*(Inputs!$E$15-Inputs!$D$15)),Inputs!$F$15-SQRT((1-F1911)*(Inputs!$F$15-Inputs!$D$15)*(Inputs!$F$15-Inputs!$E$15)))</f>
        <v>0.765686065641431</v>
      </c>
      <c r="H1911" s="81" t="n">
        <f aca="true">RAND()</f>
        <v>0.494217359510238</v>
      </c>
      <c r="I1911" s="82" t="n">
        <f aca="false">ROUND(IF(H1911&lt;(Inputs!$E$17-Inputs!$D$17)/(Inputs!$F$17-Inputs!$D$17),Inputs!$D$17+SQRT(H1911*(Inputs!$F$17-Inputs!$D$17)*(Inputs!$E$17-Inputs!$D$17)),Inputs!$F$17-SQRT((1-H1911)*(Inputs!$F$17-Inputs!$D$17)*(Inputs!$F$17-Inputs!$E$17))),0)</f>
        <v>106</v>
      </c>
      <c r="J1911" s="81" t="n">
        <f aca="true">RAND()</f>
        <v>0.609457197349883</v>
      </c>
      <c r="K1911" s="83" t="n">
        <f aca="false">IF(J1911&lt;(Inputs!$E$18-Inputs!$D$18)/(Inputs!$F$18-Inputs!$D$18),Inputs!$D$18+SQRT(J1911*(Inputs!$F$18-Inputs!$D$18)*(Inputs!$E$18-Inputs!$D$18)),Inputs!$F$18-SQRT((1-J1911)*(Inputs!$F$18-Inputs!$D$18)*(Inputs!$F$18-Inputs!$E$18)))</f>
        <v>1.06514195924471</v>
      </c>
      <c r="L1911" s="81" t="n">
        <f aca="true">RAND()</f>
        <v>0.310315539886395</v>
      </c>
      <c r="M1911" s="83" t="n">
        <f aca="false">IF(L1911&lt;(Inputs!$E$24-Inputs!$D$24)/(Inputs!$F$24-Inputs!$D$24),Inputs!$D$24+SQRT(L1911*(Inputs!$F$24-Inputs!$D$24)*(Inputs!$E$24-Inputs!$D$24)),Inputs!$F$24-SQRT((1-L1911)*(Inputs!$F$24-Inputs!$D$24)*(Inputs!$F$24-Inputs!$E$24)))</f>
        <v>0.792971150140034</v>
      </c>
      <c r="N1911" s="81" t="n">
        <f aca="true">RAND()</f>
        <v>0.269604799675823</v>
      </c>
      <c r="O1911" s="83" t="n">
        <f aca="false">IF(N1911&lt;(Inputs!$E$26-Inputs!$D$26)/(Inputs!$F$26-Inputs!$D$26),Inputs!$D$26+SQRT(N1911*(Inputs!$F$26-Inputs!$D$26)*(Inputs!$E$26-Inputs!$D$26)),Inputs!$F$26-SQRT((1-N1911)*(Inputs!$F$26-Inputs!$D$26)*(Inputs!$F$26-Inputs!$E$26)))</f>
        <v>0.511807078885615</v>
      </c>
      <c r="P1911" s="81" t="n">
        <f aca="true">RAND()</f>
        <v>0.122765197588279</v>
      </c>
      <c r="Q1911" s="82" t="n">
        <f aca="false">IF(P1911&lt;(Inputs!$E$27-Inputs!$D$27)/(Inputs!$F$27-Inputs!$D$27),Inputs!$D$27+SQRT(P1911*(Inputs!$F$27-Inputs!$D$27)*(Inputs!$E$27-Inputs!$D$27)),Inputs!$F$27-SQRT((1-P1911)*(Inputs!$F$27-Inputs!$D$27)*(Inputs!$F$27-Inputs!$E$27)))</f>
        <v>67.5189324438077</v>
      </c>
      <c r="R1911" s="81" t="n">
        <f aca="true">RAND()</f>
        <v>0.424865896242309</v>
      </c>
      <c r="S1911" s="82" t="n">
        <f aca="false">IF(R1911&lt;(Inputs!$E$29-Inputs!$D$29)/(Inputs!$F$29-Inputs!$D$29),Inputs!$D$29+SQRT(R1911*(Inputs!$F$29-Inputs!$D$29)*(Inputs!$E$29-Inputs!$D$29)),Inputs!$F$29-SQRT((1-R1911)*(Inputs!$F$29-Inputs!$D$29)*(Inputs!$F$29-Inputs!$E$29)))</f>
        <v>6.35318362121065</v>
      </c>
      <c r="T1911" s="68" t="n">
        <f aca="false">Inputs!$E$9*(1+E1911)+Inputs!$E$5*C1911*(Inputs!$E$11*Inputs!$E$14*(G1911*I1911/Inputs!$E$16+(1-G1911))*K1911+Inputs!$E$23*M1911)*(1+O1911)+Inputs!$E$5*(Q1911+S1911)</f>
        <v>5720.15296516474</v>
      </c>
    </row>
    <row r="1912" customFormat="false" ht="15" hidden="false" customHeight="false" outlineLevel="0" collapsed="false">
      <c r="A1912" s="1" t="n">
        <v>1908</v>
      </c>
      <c r="B1912" s="81" t="n">
        <f aca="true">RAND()</f>
        <v>0.618732227839726</v>
      </c>
      <c r="C1912" s="82" t="n">
        <f aca="false">ROUND(IF(B1912&lt;(Inputs!$E$8-Inputs!$D$8)/(Inputs!$F$8-Inputs!$D$8),Inputs!$D$8+SQRT(B1912*(Inputs!$F$8-Inputs!$D$8)*(Inputs!$E$8-Inputs!$D$8)),Inputs!$F$8-SQRT((1-B1912)*(Inputs!$F$8-Inputs!$D$8)*(Inputs!$F$8-Inputs!$E$8))),0)</f>
        <v>26</v>
      </c>
      <c r="D1912" s="81" t="n">
        <f aca="true">RAND()</f>
        <v>0.117939158278466</v>
      </c>
      <c r="E1912" s="83" t="n">
        <f aca="false">IF(D1912&lt;(Inputs!$E$10-Inputs!$D$10)/(Inputs!$F$10-Inputs!$D$10),Inputs!$D$10+SQRT(D1912*(Inputs!$F$10-Inputs!$D$10)*(Inputs!$E$10-Inputs!$D$10)),Inputs!$F$10-SQRT((1-D1912)*(Inputs!$F$10-Inputs!$D$10)*(Inputs!$F$10-Inputs!$E$10)))</f>
        <v>0.0343422710778518</v>
      </c>
      <c r="F1912" s="81" t="n">
        <f aca="true">RAND()</f>
        <v>0.658380593560718</v>
      </c>
      <c r="G1912" s="83" t="n">
        <f aca="false">IF(F1912&lt;(Inputs!$E$15-Inputs!$D$15)/(Inputs!$F$15-Inputs!$D$15),Inputs!$D$15+SQRT(F1912*(Inputs!$F$15-Inputs!$D$15)*(Inputs!$E$15-Inputs!$D$15)),Inputs!$F$15-SQRT((1-F1912)*(Inputs!$F$15-Inputs!$D$15)*(Inputs!$F$15-Inputs!$E$15)))</f>
        <v>0.717341738895706</v>
      </c>
      <c r="H1912" s="81" t="n">
        <f aca="true">RAND()</f>
        <v>0.271750443606098</v>
      </c>
      <c r="I1912" s="82" t="n">
        <f aca="false">ROUND(IF(H1912&lt;(Inputs!$E$17-Inputs!$D$17)/(Inputs!$F$17-Inputs!$D$17),Inputs!$D$17+SQRT(H1912*(Inputs!$F$17-Inputs!$D$17)*(Inputs!$E$17-Inputs!$D$17)),Inputs!$F$17-SQRT((1-H1912)*(Inputs!$F$17-Inputs!$D$17)*(Inputs!$F$17-Inputs!$E$17))),0)</f>
        <v>105</v>
      </c>
      <c r="J1912" s="81" t="n">
        <f aca="true">RAND()</f>
        <v>0.458673935678311</v>
      </c>
      <c r="K1912" s="83" t="n">
        <f aca="false">IF(J1912&lt;(Inputs!$E$18-Inputs!$D$18)/(Inputs!$F$18-Inputs!$D$18),Inputs!$D$18+SQRT(J1912*(Inputs!$F$18-Inputs!$D$18)*(Inputs!$E$18-Inputs!$D$18)),Inputs!$F$18-SQRT((1-J1912)*(Inputs!$F$18-Inputs!$D$18)*(Inputs!$F$18-Inputs!$E$18)))</f>
        <v>1.03236261665755</v>
      </c>
      <c r="L1912" s="81" t="n">
        <f aca="true">RAND()</f>
        <v>0.593674444853192</v>
      </c>
      <c r="M1912" s="83" t="n">
        <f aca="false">IF(L1912&lt;(Inputs!$E$24-Inputs!$D$24)/(Inputs!$F$24-Inputs!$D$24),Inputs!$D$24+SQRT(L1912*(Inputs!$F$24-Inputs!$D$24)*(Inputs!$E$24-Inputs!$D$24)),Inputs!$F$24-SQRT((1-L1912)*(Inputs!$F$24-Inputs!$D$24)*(Inputs!$F$24-Inputs!$E$24)))</f>
        <v>0.887721065015211</v>
      </c>
      <c r="N1912" s="81" t="n">
        <f aca="true">RAND()</f>
        <v>0.518826863093139</v>
      </c>
      <c r="O1912" s="83" t="n">
        <f aca="false">IF(N1912&lt;(Inputs!$E$26-Inputs!$D$26)/(Inputs!$F$26-Inputs!$D$26),Inputs!$D$26+SQRT(N1912*(Inputs!$F$26-Inputs!$D$26)*(Inputs!$E$26-Inputs!$D$26)),Inputs!$F$26-SQRT((1-N1912)*(Inputs!$F$26-Inputs!$D$26)*(Inputs!$F$26-Inputs!$E$26)))</f>
        <v>0.593824420392006</v>
      </c>
      <c r="P1912" s="81" t="n">
        <f aca="true">RAND()</f>
        <v>0.355438582594556</v>
      </c>
      <c r="Q1912" s="82" t="n">
        <f aca="false">IF(P1912&lt;(Inputs!$E$27-Inputs!$D$27)/(Inputs!$F$27-Inputs!$D$27),Inputs!$D$27+SQRT(P1912*(Inputs!$F$27-Inputs!$D$27)*(Inputs!$E$27-Inputs!$D$27)),Inputs!$F$27-SQRT((1-P1912)*(Inputs!$F$27-Inputs!$D$27)*(Inputs!$F$27-Inputs!$E$27)))</f>
        <v>80.4715120936689</v>
      </c>
      <c r="R1912" s="81" t="n">
        <f aca="true">RAND()</f>
        <v>0.776377949835758</v>
      </c>
      <c r="S1912" s="82" t="n">
        <f aca="false">IF(R1912&lt;(Inputs!$E$29-Inputs!$D$29)/(Inputs!$F$29-Inputs!$D$29),Inputs!$D$29+SQRT(R1912*(Inputs!$F$29-Inputs!$D$29)*(Inputs!$E$29-Inputs!$D$29)),Inputs!$F$29-SQRT((1-R1912)*(Inputs!$F$29-Inputs!$D$29)*(Inputs!$F$29-Inputs!$E$29)))</f>
        <v>9.6082594163525</v>
      </c>
      <c r="T1912" s="68" t="n">
        <f aca="false">Inputs!$E$9*(1+E1912)+Inputs!$E$5*C1912*(Inputs!$E$11*Inputs!$E$14*(G1912*I1912/Inputs!$E$16+(1-G1912))*K1912+Inputs!$E$23*M1912)*(1+O1912)+Inputs!$E$5*(Q1912+S1912)</f>
        <v>6310.08314681733</v>
      </c>
    </row>
    <row r="1913" customFormat="false" ht="15" hidden="false" customHeight="false" outlineLevel="0" collapsed="false">
      <c r="A1913" s="1" t="n">
        <v>1909</v>
      </c>
      <c r="B1913" s="81" t="n">
        <f aca="true">RAND()</f>
        <v>0.961823451327329</v>
      </c>
      <c r="C1913" s="82" t="n">
        <f aca="false">ROUND(IF(B1913&lt;(Inputs!$E$8-Inputs!$D$8)/(Inputs!$F$8-Inputs!$D$8),Inputs!$D$8+SQRT(B1913*(Inputs!$F$8-Inputs!$D$8)*(Inputs!$E$8-Inputs!$D$8)),Inputs!$F$8-SQRT((1-B1913)*(Inputs!$F$8-Inputs!$D$8)*(Inputs!$F$8-Inputs!$E$8))),0)</f>
        <v>29</v>
      </c>
      <c r="D1913" s="81" t="n">
        <f aca="true">RAND()</f>
        <v>0.486375899270129</v>
      </c>
      <c r="E1913" s="83" t="n">
        <f aca="false">IF(D1913&lt;(Inputs!$E$10-Inputs!$D$10)/(Inputs!$F$10-Inputs!$D$10),Inputs!$D$10+SQRT(D1913*(Inputs!$F$10-Inputs!$D$10)*(Inputs!$E$10-Inputs!$D$10)),Inputs!$F$10-SQRT((1-D1913)*(Inputs!$F$10-Inputs!$D$10)*(Inputs!$F$10-Inputs!$E$10)))</f>
        <v>0.0758681224588295</v>
      </c>
      <c r="F1913" s="81" t="n">
        <f aca="true">RAND()</f>
        <v>0.196633007080594</v>
      </c>
      <c r="G1913" s="83" t="n">
        <f aca="false">IF(F1913&lt;(Inputs!$E$15-Inputs!$D$15)/(Inputs!$F$15-Inputs!$D$15),Inputs!$D$15+SQRT(F1913*(Inputs!$F$15-Inputs!$D$15)*(Inputs!$E$15-Inputs!$D$15)),Inputs!$F$15-SQRT((1-F1913)*(Inputs!$F$15-Inputs!$D$15)*(Inputs!$F$15-Inputs!$E$15)))</f>
        <v>0.662710925217317</v>
      </c>
      <c r="H1913" s="81" t="n">
        <f aca="true">RAND()</f>
        <v>0.12002142968455</v>
      </c>
      <c r="I1913" s="82" t="n">
        <f aca="false">ROUND(IF(H1913&lt;(Inputs!$E$17-Inputs!$D$17)/(Inputs!$F$17-Inputs!$D$17),Inputs!$D$17+SQRT(H1913*(Inputs!$F$17-Inputs!$D$17)*(Inputs!$E$17-Inputs!$D$17)),Inputs!$F$17-SQRT((1-H1913)*(Inputs!$F$17-Inputs!$D$17)*(Inputs!$F$17-Inputs!$E$17))),0)</f>
        <v>103</v>
      </c>
      <c r="J1913" s="81" t="n">
        <f aca="true">RAND()</f>
        <v>0.0394273375178845</v>
      </c>
      <c r="K1913" s="83" t="n">
        <f aca="false">IF(J1913&lt;(Inputs!$E$18-Inputs!$D$18)/(Inputs!$F$18-Inputs!$D$18),Inputs!$D$18+SQRT(J1913*(Inputs!$F$18-Inputs!$D$18)*(Inputs!$E$18-Inputs!$D$18)),Inputs!$F$18-SQRT((1-J1913)*(Inputs!$F$18-Inputs!$D$18)*(Inputs!$F$18-Inputs!$E$18)))</f>
        <v>0.937147769961681</v>
      </c>
      <c r="L1913" s="81" t="n">
        <f aca="true">RAND()</f>
        <v>0.861135233539092</v>
      </c>
      <c r="M1913" s="83" t="n">
        <f aca="false">IF(L1913&lt;(Inputs!$E$24-Inputs!$D$24)/(Inputs!$F$24-Inputs!$D$24),Inputs!$D$24+SQRT(L1913*(Inputs!$F$24-Inputs!$D$24)*(Inputs!$E$24-Inputs!$D$24)),Inputs!$F$24-SQRT((1-L1913)*(Inputs!$F$24-Inputs!$D$24)*(Inputs!$F$24-Inputs!$E$24)))</f>
        <v>1.01744166973097</v>
      </c>
      <c r="N1913" s="81" t="n">
        <f aca="true">RAND()</f>
        <v>0.742469916464407</v>
      </c>
      <c r="O1913" s="83" t="n">
        <f aca="false">IF(N1913&lt;(Inputs!$E$26-Inputs!$D$26)/(Inputs!$F$26-Inputs!$D$26),Inputs!$D$26+SQRT(N1913*(Inputs!$F$26-Inputs!$D$26)*(Inputs!$E$26-Inputs!$D$26)),Inputs!$F$26-SQRT((1-N1913)*(Inputs!$F$26-Inputs!$D$26)*(Inputs!$F$26-Inputs!$E$26)))</f>
        <v>0.656344481646045</v>
      </c>
      <c r="P1913" s="81" t="n">
        <f aca="true">RAND()</f>
        <v>0.48165342293405</v>
      </c>
      <c r="Q1913" s="82" t="n">
        <f aca="false">IF(P1913&lt;(Inputs!$E$27-Inputs!$D$27)/(Inputs!$F$27-Inputs!$D$27),Inputs!$D$27+SQRT(P1913*(Inputs!$F$27-Inputs!$D$27)*(Inputs!$E$27-Inputs!$D$27)),Inputs!$F$27-SQRT((1-P1913)*(Inputs!$F$27-Inputs!$D$27)*(Inputs!$F$27-Inputs!$E$27)))</f>
        <v>87.6493839004407</v>
      </c>
      <c r="R1913" s="81" t="n">
        <f aca="true">RAND()</f>
        <v>0.895591666224214</v>
      </c>
      <c r="S1913" s="82" t="n">
        <f aca="false">IF(R1913&lt;(Inputs!$E$29-Inputs!$D$29)/(Inputs!$F$29-Inputs!$D$29),Inputs!$D$29+SQRT(R1913*(Inputs!$F$29-Inputs!$D$29)*(Inputs!$E$29-Inputs!$D$29)),Inputs!$F$29-SQRT((1-R1913)*(Inputs!$F$29-Inputs!$D$29)*(Inputs!$F$29-Inputs!$E$29)))</f>
        <v>11.3158334197743</v>
      </c>
      <c r="T1913" s="68" t="n">
        <f aca="false">Inputs!$E$9*(1+E1913)+Inputs!$E$5*C1913*(Inputs!$E$11*Inputs!$E$14*(G1913*I1913/Inputs!$E$16+(1-G1913))*K1913+Inputs!$E$23*M1913)*(1+O1913)+Inputs!$E$5*(Q1913+S1913)</f>
        <v>7052.48053918937</v>
      </c>
    </row>
    <row r="1914" customFormat="false" ht="15" hidden="false" customHeight="false" outlineLevel="0" collapsed="false">
      <c r="A1914" s="1" t="n">
        <v>1910</v>
      </c>
      <c r="B1914" s="81" t="n">
        <f aca="true">RAND()</f>
        <v>0.920480433350137</v>
      </c>
      <c r="C1914" s="82" t="n">
        <f aca="false">ROUND(IF(B1914&lt;(Inputs!$E$8-Inputs!$D$8)/(Inputs!$F$8-Inputs!$D$8),Inputs!$D$8+SQRT(B1914*(Inputs!$F$8-Inputs!$D$8)*(Inputs!$E$8-Inputs!$D$8)),Inputs!$F$8-SQRT((1-B1914)*(Inputs!$F$8-Inputs!$D$8)*(Inputs!$F$8-Inputs!$E$8))),0)</f>
        <v>28</v>
      </c>
      <c r="D1914" s="81" t="n">
        <f aca="true">RAND()</f>
        <v>0.043703571184683</v>
      </c>
      <c r="E1914" s="83" t="n">
        <f aca="false">IF(D1914&lt;(Inputs!$E$10-Inputs!$D$10)/(Inputs!$F$10-Inputs!$D$10),Inputs!$D$10+SQRT(D1914*(Inputs!$F$10-Inputs!$D$10)*(Inputs!$E$10-Inputs!$D$10)),Inputs!$F$10-SQRT((1-D1914)*(Inputs!$F$10-Inputs!$D$10)*(Inputs!$F$10-Inputs!$E$10)))</f>
        <v>0.020905399107571</v>
      </c>
      <c r="F1914" s="81" t="n">
        <f aca="true">RAND()</f>
        <v>0.523355739930683</v>
      </c>
      <c r="G1914" s="83" t="n">
        <f aca="false">IF(F1914&lt;(Inputs!$E$15-Inputs!$D$15)/(Inputs!$F$15-Inputs!$D$15),Inputs!$D$15+SQRT(F1914*(Inputs!$F$15-Inputs!$D$15)*(Inputs!$E$15-Inputs!$D$15)),Inputs!$F$15-SQRT((1-F1914)*(Inputs!$F$15-Inputs!$D$15)*(Inputs!$F$15-Inputs!$E$15)))</f>
        <v>0.702363504766986</v>
      </c>
      <c r="H1914" s="81" t="n">
        <f aca="true">RAND()</f>
        <v>0.90919704528455</v>
      </c>
      <c r="I1914" s="82" t="n">
        <f aca="false">ROUND(IF(H1914&lt;(Inputs!$E$17-Inputs!$D$17)/(Inputs!$F$17-Inputs!$D$17),Inputs!$D$17+SQRT(H1914*(Inputs!$F$17-Inputs!$D$17)*(Inputs!$E$17-Inputs!$D$17)),Inputs!$F$17-SQRT((1-H1914)*(Inputs!$F$17-Inputs!$D$17)*(Inputs!$F$17-Inputs!$E$17))),0)</f>
        <v>111</v>
      </c>
      <c r="J1914" s="81" t="n">
        <f aca="true">RAND()</f>
        <v>0.435414722384931</v>
      </c>
      <c r="K1914" s="83" t="n">
        <f aca="false">IF(J1914&lt;(Inputs!$E$18-Inputs!$D$18)/(Inputs!$F$18-Inputs!$D$18),Inputs!$D$18+SQRT(J1914*(Inputs!$F$18-Inputs!$D$18)*(Inputs!$E$18-Inputs!$D$18)),Inputs!$F$18-SQRT((1-J1914)*(Inputs!$F$18-Inputs!$D$18)*(Inputs!$F$18-Inputs!$E$18)))</f>
        <v>1.02773616625434</v>
      </c>
      <c r="L1914" s="81" t="n">
        <f aca="true">RAND()</f>
        <v>0.666185148746647</v>
      </c>
      <c r="M1914" s="83" t="n">
        <f aca="false">IF(L1914&lt;(Inputs!$E$24-Inputs!$D$24)/(Inputs!$F$24-Inputs!$D$24),Inputs!$D$24+SQRT(L1914*(Inputs!$F$24-Inputs!$D$24)*(Inputs!$E$24-Inputs!$D$24)),Inputs!$F$24-SQRT((1-L1914)*(Inputs!$F$24-Inputs!$D$24)*(Inputs!$F$24-Inputs!$E$24)))</f>
        <v>0.91695307049748</v>
      </c>
      <c r="N1914" s="81" t="n">
        <f aca="true">RAND()</f>
        <v>0.24207070934867</v>
      </c>
      <c r="O1914" s="83" t="n">
        <f aca="false">IF(N1914&lt;(Inputs!$E$26-Inputs!$D$26)/(Inputs!$F$26-Inputs!$D$26),Inputs!$D$26+SQRT(N1914*(Inputs!$F$26-Inputs!$D$26)*(Inputs!$E$26-Inputs!$D$26)),Inputs!$F$26-SQRT((1-N1914)*(Inputs!$F$26-Inputs!$D$26)*(Inputs!$F$26-Inputs!$E$26)))</f>
        <v>0.500700189425966</v>
      </c>
      <c r="P1914" s="81" t="n">
        <f aca="true">RAND()</f>
        <v>0.732350476828818</v>
      </c>
      <c r="Q1914" s="82" t="n">
        <f aca="false">IF(P1914&lt;(Inputs!$E$27-Inputs!$D$27)/(Inputs!$F$27-Inputs!$D$27),Inputs!$D$27+SQRT(P1914*(Inputs!$F$27-Inputs!$D$27)*(Inputs!$E$27-Inputs!$D$27)),Inputs!$F$27-SQRT((1-P1914)*(Inputs!$F$27-Inputs!$D$27)*(Inputs!$F$27-Inputs!$E$27)))</f>
        <v>105.19630122653</v>
      </c>
      <c r="R1914" s="81" t="n">
        <f aca="true">RAND()</f>
        <v>0.662954317377791</v>
      </c>
      <c r="S1914" s="82" t="n">
        <f aca="false">IF(R1914&lt;(Inputs!$E$29-Inputs!$D$29)/(Inputs!$F$29-Inputs!$D$29),Inputs!$D$29+SQRT(R1914*(Inputs!$F$29-Inputs!$D$29)*(Inputs!$E$29-Inputs!$D$29)),Inputs!$F$29-SQRT((1-R1914)*(Inputs!$F$29-Inputs!$D$29)*(Inputs!$F$29-Inputs!$E$29)))</f>
        <v>8.38063909875831</v>
      </c>
      <c r="T1914" s="68" t="n">
        <f aca="false">Inputs!$E$9*(1+E1914)+Inputs!$E$5*C1914*(Inputs!$E$11*Inputs!$E$14*(G1914*I1914/Inputs!$E$16+(1-G1914))*K1914+Inputs!$E$23*M1914)*(1+O1914)+Inputs!$E$5*(Q1914+S1914)</f>
        <v>6578.95212123063</v>
      </c>
    </row>
    <row r="1915" customFormat="false" ht="15" hidden="false" customHeight="false" outlineLevel="0" collapsed="false">
      <c r="A1915" s="1" t="n">
        <v>1911</v>
      </c>
      <c r="B1915" s="81" t="n">
        <f aca="true">RAND()</f>
        <v>0.361700432198031</v>
      </c>
      <c r="C1915" s="82" t="n">
        <f aca="false">ROUND(IF(B1915&lt;(Inputs!$E$8-Inputs!$D$8)/(Inputs!$F$8-Inputs!$D$8),Inputs!$D$8+SQRT(B1915*(Inputs!$F$8-Inputs!$D$8)*(Inputs!$E$8-Inputs!$D$8)),Inputs!$F$8-SQRT((1-B1915)*(Inputs!$F$8-Inputs!$D$8)*(Inputs!$F$8-Inputs!$E$8))),0)</f>
        <v>24</v>
      </c>
      <c r="D1915" s="81" t="n">
        <f aca="true">RAND()</f>
        <v>0.88493526879763</v>
      </c>
      <c r="E1915" s="83" t="n">
        <f aca="false">IF(D1915&lt;(Inputs!$E$10-Inputs!$D$10)/(Inputs!$F$10-Inputs!$D$10),Inputs!$D$10+SQRT(D1915*(Inputs!$F$10-Inputs!$D$10)*(Inputs!$E$10-Inputs!$D$10)),Inputs!$F$10-SQRT((1-D1915)*(Inputs!$F$10-Inputs!$D$10)*(Inputs!$F$10-Inputs!$E$10)))</f>
        <v>0.141246770845586</v>
      </c>
      <c r="F1915" s="81" t="n">
        <f aca="true">RAND()</f>
        <v>0.495248387445291</v>
      </c>
      <c r="G1915" s="83" t="n">
        <f aca="false">IF(F1915&lt;(Inputs!$E$15-Inputs!$D$15)/(Inputs!$F$15-Inputs!$D$15),Inputs!$D$15+SQRT(F1915*(Inputs!$F$15-Inputs!$D$15)*(Inputs!$E$15-Inputs!$D$15)),Inputs!$F$15-SQRT((1-F1915)*(Inputs!$F$15-Inputs!$D$15)*(Inputs!$F$15-Inputs!$E$15)))</f>
        <v>0.699523704457309</v>
      </c>
      <c r="H1915" s="81" t="n">
        <f aca="true">RAND()</f>
        <v>0.886608044678256</v>
      </c>
      <c r="I1915" s="82" t="n">
        <f aca="false">ROUND(IF(H1915&lt;(Inputs!$E$17-Inputs!$D$17)/(Inputs!$F$17-Inputs!$D$17),Inputs!$D$17+SQRT(H1915*(Inputs!$F$17-Inputs!$D$17)*(Inputs!$E$17-Inputs!$D$17)),Inputs!$F$17-SQRT((1-H1915)*(Inputs!$F$17-Inputs!$D$17)*(Inputs!$F$17-Inputs!$E$17))),0)</f>
        <v>111</v>
      </c>
      <c r="J1915" s="81" t="n">
        <f aca="true">RAND()</f>
        <v>0.923451598708595</v>
      </c>
      <c r="K1915" s="83" t="n">
        <f aca="false">IF(J1915&lt;(Inputs!$E$18-Inputs!$D$18)/(Inputs!$F$18-Inputs!$D$18),Inputs!$D$18+SQRT(J1915*(Inputs!$F$18-Inputs!$D$18)*(Inputs!$E$18-Inputs!$D$18)),Inputs!$F$18-SQRT((1-J1915)*(Inputs!$F$18-Inputs!$D$18)*(Inputs!$F$18-Inputs!$E$18)))</f>
        <v>1.16815878108802</v>
      </c>
      <c r="L1915" s="81" t="n">
        <f aca="true">RAND()</f>
        <v>0.922440892166624</v>
      </c>
      <c r="M1915" s="83" t="n">
        <f aca="false">IF(L1915&lt;(Inputs!$E$24-Inputs!$D$24)/(Inputs!$F$24-Inputs!$D$24),Inputs!$D$24+SQRT(L1915*(Inputs!$F$24-Inputs!$D$24)*(Inputs!$E$24-Inputs!$D$24)),Inputs!$F$24-SQRT((1-L1915)*(Inputs!$F$24-Inputs!$D$24)*(Inputs!$F$24-Inputs!$E$24)))</f>
        <v>1.0635661849833</v>
      </c>
      <c r="N1915" s="81" t="n">
        <f aca="true">RAND()</f>
        <v>0.709884258766985</v>
      </c>
      <c r="O1915" s="83" t="n">
        <f aca="false">IF(N1915&lt;(Inputs!$E$26-Inputs!$D$26)/(Inputs!$F$26-Inputs!$D$26),Inputs!$D$26+SQRT(N1915*(Inputs!$F$26-Inputs!$D$26)*(Inputs!$E$26-Inputs!$D$26)),Inputs!$F$26-SQRT((1-N1915)*(Inputs!$F$26-Inputs!$D$26)*(Inputs!$F$26-Inputs!$E$26)))</f>
        <v>0.646299000900301</v>
      </c>
      <c r="P1915" s="81" t="n">
        <f aca="true">RAND()</f>
        <v>0.709848580138438</v>
      </c>
      <c r="Q1915" s="82" t="n">
        <f aca="false">IF(P1915&lt;(Inputs!$E$27-Inputs!$D$27)/(Inputs!$F$27-Inputs!$D$27),Inputs!$D$27+SQRT(P1915*(Inputs!$F$27-Inputs!$D$27)*(Inputs!$E$27-Inputs!$D$27)),Inputs!$F$27-SQRT((1-P1915)*(Inputs!$F$27-Inputs!$D$27)*(Inputs!$F$27-Inputs!$E$27)))</f>
        <v>103.350930888583</v>
      </c>
      <c r="R1915" s="81" t="n">
        <f aca="true">RAND()</f>
        <v>0.896069118181297</v>
      </c>
      <c r="S1915" s="82" t="n">
        <f aca="false">IF(R1915&lt;(Inputs!$E$29-Inputs!$D$29)/(Inputs!$F$29-Inputs!$D$29),Inputs!$D$29+SQRT(R1915*(Inputs!$F$29-Inputs!$D$29)*(Inputs!$E$29-Inputs!$D$29)),Inputs!$F$29-SQRT((1-R1915)*(Inputs!$F$29-Inputs!$D$29)*(Inputs!$F$29-Inputs!$E$29)))</f>
        <v>11.3242667892744</v>
      </c>
      <c r="T1915" s="68" t="n">
        <f aca="false">Inputs!$E$9*(1+E1915)+Inputs!$E$5*C1915*(Inputs!$E$11*Inputs!$E$14*(G1915*I1915/Inputs!$E$16+(1-G1915))*K1915+Inputs!$E$23*M1915)*(1+O1915)+Inputs!$E$5*(Q1915+S1915)</f>
        <v>7142.23522268862</v>
      </c>
    </row>
    <row r="1916" customFormat="false" ht="15" hidden="false" customHeight="false" outlineLevel="0" collapsed="false">
      <c r="A1916" s="1" t="n">
        <v>1912</v>
      </c>
      <c r="B1916" s="81" t="n">
        <f aca="true">RAND()</f>
        <v>0.905670962790948</v>
      </c>
      <c r="C1916" s="82" t="n">
        <f aca="false">ROUND(IF(B1916&lt;(Inputs!$E$8-Inputs!$D$8)/(Inputs!$F$8-Inputs!$D$8),Inputs!$D$8+SQRT(B1916*(Inputs!$F$8-Inputs!$D$8)*(Inputs!$E$8-Inputs!$D$8)),Inputs!$F$8-SQRT((1-B1916)*(Inputs!$F$8-Inputs!$D$8)*(Inputs!$F$8-Inputs!$E$8))),0)</f>
        <v>28</v>
      </c>
      <c r="D1916" s="81" t="n">
        <f aca="true">RAND()</f>
        <v>0.0695256149676699</v>
      </c>
      <c r="E1916" s="83" t="n">
        <f aca="false">IF(D1916&lt;(Inputs!$E$10-Inputs!$D$10)/(Inputs!$F$10-Inputs!$D$10),Inputs!$D$10+SQRT(D1916*(Inputs!$F$10-Inputs!$D$10)*(Inputs!$E$10-Inputs!$D$10)),Inputs!$F$10-SQRT((1-D1916)*(Inputs!$F$10-Inputs!$D$10)*(Inputs!$F$10-Inputs!$E$10)))</f>
        <v>0.0263677103609073</v>
      </c>
      <c r="F1916" s="81" t="n">
        <f aca="true">RAND()</f>
        <v>0.107041681870293</v>
      </c>
      <c r="G1916" s="83" t="n">
        <f aca="false">IF(F1916&lt;(Inputs!$E$15-Inputs!$D$15)/(Inputs!$F$15-Inputs!$D$15),Inputs!$D$15+SQRT(F1916*(Inputs!$F$15-Inputs!$D$15)*(Inputs!$E$15-Inputs!$D$15)),Inputs!$F$15-SQRT((1-F1916)*(Inputs!$F$15-Inputs!$D$15)*(Inputs!$F$15-Inputs!$E$15)))</f>
        <v>0.646269143469551</v>
      </c>
      <c r="H1916" s="81" t="n">
        <f aca="true">RAND()</f>
        <v>0.244685818979682</v>
      </c>
      <c r="I1916" s="82" t="n">
        <f aca="false">ROUND(IF(H1916&lt;(Inputs!$E$17-Inputs!$D$17)/(Inputs!$F$17-Inputs!$D$17),Inputs!$D$17+SQRT(H1916*(Inputs!$F$17-Inputs!$D$17)*(Inputs!$E$17-Inputs!$D$17)),Inputs!$F$17-SQRT((1-H1916)*(Inputs!$F$17-Inputs!$D$17)*(Inputs!$F$17-Inputs!$E$17))),0)</f>
        <v>104</v>
      </c>
      <c r="J1916" s="81" t="n">
        <f aca="true">RAND()</f>
        <v>0.635150920843585</v>
      </c>
      <c r="K1916" s="83" t="n">
        <f aca="false">IF(J1916&lt;(Inputs!$E$18-Inputs!$D$18)/(Inputs!$F$18-Inputs!$D$18),Inputs!$D$18+SQRT(J1916*(Inputs!$F$18-Inputs!$D$18)*(Inputs!$E$18-Inputs!$D$18)),Inputs!$F$18-SQRT((1-J1916)*(Inputs!$F$18-Inputs!$D$18)*(Inputs!$F$18-Inputs!$E$18)))</f>
        <v>1.07132629061279</v>
      </c>
      <c r="L1916" s="81" t="n">
        <f aca="true">RAND()</f>
        <v>0.300186007925872</v>
      </c>
      <c r="M1916" s="83" t="n">
        <f aca="false">IF(L1916&lt;(Inputs!$E$24-Inputs!$D$24)/(Inputs!$F$24-Inputs!$D$24),Inputs!$D$24+SQRT(L1916*(Inputs!$F$24-Inputs!$D$24)*(Inputs!$E$24-Inputs!$D$24)),Inputs!$F$24-SQRT((1-L1916)*(Inputs!$F$24-Inputs!$D$24)*(Inputs!$F$24-Inputs!$E$24)))</f>
        <v>0.789795471366165</v>
      </c>
      <c r="N1916" s="81" t="n">
        <f aca="true">RAND()</f>
        <v>0.931073560236282</v>
      </c>
      <c r="O1916" s="83" t="n">
        <f aca="false">IF(N1916&lt;(Inputs!$E$26-Inputs!$D$26)/(Inputs!$F$26-Inputs!$D$26),Inputs!$D$26+SQRT(N1916*(Inputs!$F$26-Inputs!$D$26)*(Inputs!$E$26-Inputs!$D$26)),Inputs!$F$26-SQRT((1-N1916)*(Inputs!$F$26-Inputs!$D$26)*(Inputs!$F$26-Inputs!$E$26)))</f>
        <v>0.735333892640404</v>
      </c>
      <c r="P1916" s="81" t="n">
        <f aca="true">RAND()</f>
        <v>0.0759628722731888</v>
      </c>
      <c r="Q1916" s="82" t="n">
        <f aca="false">IF(P1916&lt;(Inputs!$E$27-Inputs!$D$27)/(Inputs!$F$27-Inputs!$D$27),Inputs!$D$27+SQRT(P1916*(Inputs!$F$27-Inputs!$D$27)*(Inputs!$E$27-Inputs!$D$27)),Inputs!$F$27-SQRT((1-P1916)*(Inputs!$F$27-Inputs!$D$27)*(Inputs!$F$27-Inputs!$E$27)))</f>
        <v>63.7806814302839</v>
      </c>
      <c r="R1916" s="81" t="n">
        <f aca="true">RAND()</f>
        <v>0.548355835353812</v>
      </c>
      <c r="S1916" s="82" t="n">
        <f aca="false">IF(R1916&lt;(Inputs!$E$29-Inputs!$D$29)/(Inputs!$F$29-Inputs!$D$29),Inputs!$D$29+SQRT(R1916*(Inputs!$F$29-Inputs!$D$29)*(Inputs!$E$29-Inputs!$D$29)),Inputs!$F$29-SQRT((1-R1916)*(Inputs!$F$29-Inputs!$D$29)*(Inputs!$F$29-Inputs!$E$29)))</f>
        <v>7.33751075667937</v>
      </c>
      <c r="T1916" s="68" t="n">
        <f aca="false">Inputs!$E$9*(1+E1916)+Inputs!$E$5*C1916*(Inputs!$E$11*Inputs!$E$14*(G1916*I1916/Inputs!$E$16+(1-G1916))*K1916+Inputs!$E$23*M1916)*(1+O1916)+Inputs!$E$5*(Q1916+S1916)</f>
        <v>6856.27692783105</v>
      </c>
    </row>
    <row r="1917" customFormat="false" ht="15" hidden="false" customHeight="false" outlineLevel="0" collapsed="false">
      <c r="A1917" s="1" t="n">
        <v>1913</v>
      </c>
      <c r="B1917" s="81" t="n">
        <f aca="true">RAND()</f>
        <v>0.708557114925122</v>
      </c>
      <c r="C1917" s="82" t="n">
        <f aca="false">ROUND(IF(B1917&lt;(Inputs!$E$8-Inputs!$D$8)/(Inputs!$F$8-Inputs!$D$8),Inputs!$D$8+SQRT(B1917*(Inputs!$F$8-Inputs!$D$8)*(Inputs!$E$8-Inputs!$D$8)),Inputs!$F$8-SQRT((1-B1917)*(Inputs!$F$8-Inputs!$D$8)*(Inputs!$F$8-Inputs!$E$8))),0)</f>
        <v>26</v>
      </c>
      <c r="D1917" s="81" t="n">
        <f aca="true">RAND()</f>
        <v>0.184316133561857</v>
      </c>
      <c r="E1917" s="83" t="n">
        <f aca="false">IF(D1917&lt;(Inputs!$E$10-Inputs!$D$10)/(Inputs!$F$10-Inputs!$D$10),Inputs!$D$10+SQRT(D1917*(Inputs!$F$10-Inputs!$D$10)*(Inputs!$E$10-Inputs!$D$10)),Inputs!$F$10-SQRT((1-D1917)*(Inputs!$F$10-Inputs!$D$10)*(Inputs!$F$10-Inputs!$E$10)))</f>
        <v>0.0429320548730033</v>
      </c>
      <c r="F1917" s="81" t="n">
        <f aca="true">RAND()</f>
        <v>0.83763199265331</v>
      </c>
      <c r="G1917" s="83" t="n">
        <f aca="false">IF(F1917&lt;(Inputs!$E$15-Inputs!$D$15)/(Inputs!$F$15-Inputs!$D$15),Inputs!$D$15+SQRT(F1917*(Inputs!$F$15-Inputs!$D$15)*(Inputs!$E$15-Inputs!$D$15)),Inputs!$F$15-SQRT((1-F1917)*(Inputs!$F$15-Inputs!$D$15)*(Inputs!$F$15-Inputs!$E$15)))</f>
        <v>0.743014386491556</v>
      </c>
      <c r="H1917" s="81" t="n">
        <f aca="true">RAND()</f>
        <v>0.879136050508213</v>
      </c>
      <c r="I1917" s="82" t="n">
        <f aca="false">ROUND(IF(H1917&lt;(Inputs!$E$17-Inputs!$D$17)/(Inputs!$F$17-Inputs!$D$17),Inputs!$D$17+SQRT(H1917*(Inputs!$F$17-Inputs!$D$17)*(Inputs!$E$17-Inputs!$D$17)),Inputs!$F$17-SQRT((1-H1917)*(Inputs!$F$17-Inputs!$D$17)*(Inputs!$F$17-Inputs!$E$17))),0)</f>
        <v>111</v>
      </c>
      <c r="J1917" s="81" t="n">
        <f aca="true">RAND()</f>
        <v>0.0550274067087608</v>
      </c>
      <c r="K1917" s="83" t="n">
        <f aca="false">IF(J1917&lt;(Inputs!$E$18-Inputs!$D$18)/(Inputs!$F$18-Inputs!$D$18),Inputs!$D$18+SQRT(J1917*(Inputs!$F$18-Inputs!$D$18)*(Inputs!$E$18-Inputs!$D$18)),Inputs!$F$18-SQRT((1-J1917)*(Inputs!$F$18-Inputs!$D$18)*(Inputs!$F$18-Inputs!$E$18)))</f>
        <v>0.943885752070651</v>
      </c>
      <c r="L1917" s="81" t="n">
        <f aca="true">RAND()</f>
        <v>0.95331080064494</v>
      </c>
      <c r="M1917" s="83" t="n">
        <f aca="false">IF(L1917&lt;(Inputs!$E$24-Inputs!$D$24)/(Inputs!$F$24-Inputs!$D$24),Inputs!$D$24+SQRT(L1917*(Inputs!$F$24-Inputs!$D$24)*(Inputs!$E$24-Inputs!$D$24)),Inputs!$F$24-SQRT((1-L1917)*(Inputs!$F$24-Inputs!$D$24)*(Inputs!$F$24-Inputs!$E$24)))</f>
        <v>1.09414440097371</v>
      </c>
      <c r="N1917" s="81" t="n">
        <f aca="true">RAND()</f>
        <v>0.846254944461205</v>
      </c>
      <c r="O1917" s="83" t="n">
        <f aca="false">IF(N1917&lt;(Inputs!$E$26-Inputs!$D$26)/(Inputs!$F$26-Inputs!$D$26),Inputs!$D$26+SQRT(N1917*(Inputs!$F$26-Inputs!$D$26)*(Inputs!$E$26-Inputs!$D$26)),Inputs!$F$26-SQRT((1-N1917)*(Inputs!$F$26-Inputs!$D$26)*(Inputs!$F$26-Inputs!$E$26)))</f>
        <v>0.693550461542817</v>
      </c>
      <c r="P1917" s="81" t="n">
        <f aca="true">RAND()</f>
        <v>0.178024610045944</v>
      </c>
      <c r="Q1917" s="82" t="n">
        <f aca="false">IF(P1917&lt;(Inputs!$E$27-Inputs!$D$27)/(Inputs!$F$27-Inputs!$D$27),Inputs!$D$27+SQRT(P1917*(Inputs!$F$27-Inputs!$D$27)*(Inputs!$E$27-Inputs!$D$27)),Inputs!$F$27-SQRT((1-P1917)*(Inputs!$F$27-Inputs!$D$27)*(Inputs!$F$27-Inputs!$E$27)))</f>
        <v>71.0964813444057</v>
      </c>
      <c r="R1917" s="81" t="n">
        <f aca="true">RAND()</f>
        <v>0.436485528819854</v>
      </c>
      <c r="S1917" s="82" t="n">
        <f aca="false">IF(R1917&lt;(Inputs!$E$29-Inputs!$D$29)/(Inputs!$F$29-Inputs!$D$29),Inputs!$D$29+SQRT(R1917*(Inputs!$F$29-Inputs!$D$29)*(Inputs!$E$29-Inputs!$D$29)),Inputs!$F$29-SQRT((1-R1917)*(Inputs!$F$29-Inputs!$D$29)*(Inputs!$F$29-Inputs!$E$29)))</f>
        <v>6.4409766180119</v>
      </c>
      <c r="T1917" s="68" t="n">
        <f aca="false">Inputs!$E$9*(1+E1917)+Inputs!$E$5*C1917*(Inputs!$E$11*Inputs!$E$14*(G1917*I1917/Inputs!$E$16+(1-G1917))*K1917+Inputs!$E$23*M1917)*(1+O1917)+Inputs!$E$5*(Q1917+S1917)</f>
        <v>6649.21471718678</v>
      </c>
    </row>
    <row r="1918" customFormat="false" ht="15" hidden="false" customHeight="false" outlineLevel="0" collapsed="false">
      <c r="A1918" s="1" t="n">
        <v>1914</v>
      </c>
      <c r="B1918" s="81" t="n">
        <f aca="true">RAND()</f>
        <v>0.539690332937882</v>
      </c>
      <c r="C1918" s="82" t="n">
        <f aca="false">ROUND(IF(B1918&lt;(Inputs!$E$8-Inputs!$D$8)/(Inputs!$F$8-Inputs!$D$8),Inputs!$D$8+SQRT(B1918*(Inputs!$F$8-Inputs!$D$8)*(Inputs!$E$8-Inputs!$D$8)),Inputs!$F$8-SQRT((1-B1918)*(Inputs!$F$8-Inputs!$D$8)*(Inputs!$F$8-Inputs!$E$8))),0)</f>
        <v>25</v>
      </c>
      <c r="D1918" s="81" t="n">
        <f aca="true">RAND()</f>
        <v>0.102387289148209</v>
      </c>
      <c r="E1918" s="83" t="n">
        <f aca="false">IF(D1918&lt;(Inputs!$E$10-Inputs!$D$10)/(Inputs!$F$10-Inputs!$D$10),Inputs!$D$10+SQRT(D1918*(Inputs!$F$10-Inputs!$D$10)*(Inputs!$E$10-Inputs!$D$10)),Inputs!$F$10-SQRT((1-D1918)*(Inputs!$F$10-Inputs!$D$10)*(Inputs!$F$10-Inputs!$E$10)))</f>
        <v>0.0319980138677713</v>
      </c>
      <c r="F1918" s="81" t="n">
        <f aca="true">RAND()</f>
        <v>0.696188233689859</v>
      </c>
      <c r="G1918" s="83" t="n">
        <f aca="false">IF(F1918&lt;(Inputs!$E$15-Inputs!$D$15)/(Inputs!$F$15-Inputs!$D$15),Inputs!$D$15+SQRT(F1918*(Inputs!$F$15-Inputs!$D$15)*(Inputs!$E$15-Inputs!$D$15)),Inputs!$F$15-SQRT((1-F1918)*(Inputs!$F$15-Inputs!$D$15)*(Inputs!$F$15-Inputs!$E$15)))</f>
        <v>0.722049789440933</v>
      </c>
      <c r="H1918" s="81" t="n">
        <f aca="true">RAND()</f>
        <v>0.385256361095396</v>
      </c>
      <c r="I1918" s="82" t="n">
        <f aca="false">ROUND(IF(H1918&lt;(Inputs!$E$17-Inputs!$D$17)/(Inputs!$F$17-Inputs!$D$17),Inputs!$D$17+SQRT(H1918*(Inputs!$F$17-Inputs!$D$17)*(Inputs!$E$17-Inputs!$D$17)),Inputs!$F$17-SQRT((1-H1918)*(Inputs!$F$17-Inputs!$D$17)*(Inputs!$F$17-Inputs!$E$17))),0)</f>
        <v>105</v>
      </c>
      <c r="J1918" s="81" t="n">
        <f aca="true">RAND()</f>
        <v>0.317851063732772</v>
      </c>
      <c r="K1918" s="83" t="n">
        <f aca="false">IF(J1918&lt;(Inputs!$E$18-Inputs!$D$18)/(Inputs!$F$18-Inputs!$D$18),Inputs!$D$18+SQRT(J1918*(Inputs!$F$18-Inputs!$D$18)*(Inputs!$E$18-Inputs!$D$18)),Inputs!$F$18-SQRT((1-J1918)*(Inputs!$F$18-Inputs!$D$18)*(Inputs!$F$18-Inputs!$E$18)))</f>
        <v>1.00568865780856</v>
      </c>
      <c r="L1918" s="81" t="n">
        <f aca="true">RAND()</f>
        <v>0.523927173222635</v>
      </c>
      <c r="M1918" s="83" t="n">
        <f aca="false">IF(L1918&lt;(Inputs!$E$24-Inputs!$D$24)/(Inputs!$F$24-Inputs!$D$24),Inputs!$D$24+SQRT(L1918*(Inputs!$F$24-Inputs!$D$24)*(Inputs!$E$24-Inputs!$D$24)),Inputs!$F$24-SQRT((1-L1918)*(Inputs!$F$24-Inputs!$D$24)*(Inputs!$F$24-Inputs!$E$24)))</f>
        <v>0.861980062087208</v>
      </c>
      <c r="N1918" s="81" t="n">
        <f aca="true">RAND()</f>
        <v>0.576453903639557</v>
      </c>
      <c r="O1918" s="83" t="n">
        <f aca="false">IF(N1918&lt;(Inputs!$E$26-Inputs!$D$26)/(Inputs!$F$26-Inputs!$D$26),Inputs!$D$26+SQRT(N1918*(Inputs!$F$26-Inputs!$D$26)*(Inputs!$E$26-Inputs!$D$26)),Inputs!$F$26-SQRT((1-N1918)*(Inputs!$F$26-Inputs!$D$26)*(Inputs!$F$26-Inputs!$E$26)))</f>
        <v>0.609712656450495</v>
      </c>
      <c r="P1918" s="81" t="n">
        <f aca="true">RAND()</f>
        <v>0.931328608695854</v>
      </c>
      <c r="Q1918" s="82" t="n">
        <f aca="false">IF(P1918&lt;(Inputs!$E$27-Inputs!$D$27)/(Inputs!$F$27-Inputs!$D$27),Inputs!$D$27+SQRT(P1918*(Inputs!$F$27-Inputs!$D$27)*(Inputs!$E$27-Inputs!$D$27)),Inputs!$F$27-SQRT((1-P1918)*(Inputs!$F$27-Inputs!$D$27)*(Inputs!$F$27-Inputs!$E$27)))</f>
        <v>127.3056078561</v>
      </c>
      <c r="R1918" s="81" t="n">
        <f aca="true">RAND()</f>
        <v>0.742656015785085</v>
      </c>
      <c r="S1918" s="82" t="n">
        <f aca="false">IF(R1918&lt;(Inputs!$E$29-Inputs!$D$29)/(Inputs!$F$29-Inputs!$D$29),Inputs!$D$29+SQRT(R1918*(Inputs!$F$29-Inputs!$D$29)*(Inputs!$E$29-Inputs!$D$29)),Inputs!$F$29-SQRT((1-R1918)*(Inputs!$F$29-Inputs!$D$29)*(Inputs!$F$29-Inputs!$E$29)))</f>
        <v>9.21599464489019</v>
      </c>
      <c r="T1918" s="68" t="n">
        <f aca="false">Inputs!$E$9*(1+E1918)+Inputs!$E$5*C1918*(Inputs!$E$11*Inputs!$E$14*(G1918*I1918/Inputs!$E$16+(1-G1918))*K1918+Inputs!$E$23*M1918)*(1+O1918)+Inputs!$E$5*(Q1918+S1918)</f>
        <v>6333.33761133324</v>
      </c>
    </row>
    <row r="1919" customFormat="false" ht="15" hidden="false" customHeight="false" outlineLevel="0" collapsed="false">
      <c r="A1919" s="1" t="n">
        <v>1915</v>
      </c>
      <c r="B1919" s="81" t="n">
        <f aca="true">RAND()</f>
        <v>0.442625661036308</v>
      </c>
      <c r="C1919" s="82" t="n">
        <f aca="false">ROUND(IF(B1919&lt;(Inputs!$E$8-Inputs!$D$8)/(Inputs!$F$8-Inputs!$D$8),Inputs!$D$8+SQRT(B1919*(Inputs!$F$8-Inputs!$D$8)*(Inputs!$E$8-Inputs!$D$8)),Inputs!$F$8-SQRT((1-B1919)*(Inputs!$F$8-Inputs!$D$8)*(Inputs!$F$8-Inputs!$E$8))),0)</f>
        <v>25</v>
      </c>
      <c r="D1919" s="81" t="n">
        <f aca="true">RAND()</f>
        <v>0.987369112313973</v>
      </c>
      <c r="E1919" s="83" t="n">
        <f aca="false">IF(D1919&lt;(Inputs!$E$10-Inputs!$D$10)/(Inputs!$F$10-Inputs!$D$10),Inputs!$D$10+SQRT(D1919*(Inputs!$F$10-Inputs!$D$10)*(Inputs!$E$10-Inputs!$D$10)),Inputs!$F$10-SQRT((1-D1919)*(Inputs!$F$10-Inputs!$D$10)*(Inputs!$F$10-Inputs!$E$10)))</f>
        <v>0.180533962124233</v>
      </c>
      <c r="F1919" s="81" t="n">
        <f aca="true">RAND()</f>
        <v>0.257188600270941</v>
      </c>
      <c r="G1919" s="83" t="n">
        <f aca="false">IF(F1919&lt;(Inputs!$E$15-Inputs!$D$15)/(Inputs!$F$15-Inputs!$D$15),Inputs!$D$15+SQRT(F1919*(Inputs!$F$15-Inputs!$D$15)*(Inputs!$E$15-Inputs!$D$15)),Inputs!$F$15-SQRT((1-F1919)*(Inputs!$F$15-Inputs!$D$15)*(Inputs!$F$15-Inputs!$E$15)))</f>
        <v>0.671720094850877</v>
      </c>
      <c r="H1919" s="81" t="n">
        <f aca="true">RAND()</f>
        <v>0.894507844190487</v>
      </c>
      <c r="I1919" s="82" t="n">
        <f aca="false">ROUND(IF(H1919&lt;(Inputs!$E$17-Inputs!$D$17)/(Inputs!$F$17-Inputs!$D$17),Inputs!$D$17+SQRT(H1919*(Inputs!$F$17-Inputs!$D$17)*(Inputs!$E$17-Inputs!$D$17)),Inputs!$F$17-SQRT((1-H1919)*(Inputs!$F$17-Inputs!$D$17)*(Inputs!$F$17-Inputs!$E$17))),0)</f>
        <v>111</v>
      </c>
      <c r="J1919" s="81" t="n">
        <f aca="true">RAND()</f>
        <v>0.0983136992073625</v>
      </c>
      <c r="K1919" s="83" t="n">
        <f aca="false">IF(J1919&lt;(Inputs!$E$18-Inputs!$D$18)/(Inputs!$F$18-Inputs!$D$18),Inputs!$D$18+SQRT(J1919*(Inputs!$F$18-Inputs!$D$18)*(Inputs!$E$18-Inputs!$D$18)),Inputs!$F$18-SQRT((1-J1919)*(Inputs!$F$18-Inputs!$D$18)*(Inputs!$F$18-Inputs!$E$18)))</f>
        <v>0.958659862531868</v>
      </c>
      <c r="L1919" s="81" t="n">
        <f aca="true">RAND()</f>
        <v>0.78818407796232</v>
      </c>
      <c r="M1919" s="83" t="n">
        <f aca="false">IF(L1919&lt;(Inputs!$E$24-Inputs!$D$24)/(Inputs!$F$24-Inputs!$D$24),Inputs!$D$24+SQRT(L1919*(Inputs!$F$24-Inputs!$D$24)*(Inputs!$E$24-Inputs!$D$24)),Inputs!$F$24-SQRT((1-L1919)*(Inputs!$F$24-Inputs!$D$24)*(Inputs!$F$24-Inputs!$E$24)))</f>
        <v>0.974531994977019</v>
      </c>
      <c r="N1919" s="81" t="n">
        <f aca="true">RAND()</f>
        <v>0.24240565523072</v>
      </c>
      <c r="O1919" s="83" t="n">
        <f aca="false">IF(N1919&lt;(Inputs!$E$26-Inputs!$D$26)/(Inputs!$F$26-Inputs!$D$26),Inputs!$D$26+SQRT(N1919*(Inputs!$F$26-Inputs!$D$26)*(Inputs!$E$26-Inputs!$D$26)),Inputs!$F$26-SQRT((1-N1919)*(Inputs!$F$26-Inputs!$D$26)*(Inputs!$F$26-Inputs!$E$26)))</f>
        <v>0.500838992803668</v>
      </c>
      <c r="P1919" s="81" t="n">
        <f aca="true">RAND()</f>
        <v>0.774202113439074</v>
      </c>
      <c r="Q1919" s="82" t="n">
        <f aca="false">IF(P1919&lt;(Inputs!$E$27-Inputs!$D$27)/(Inputs!$F$27-Inputs!$D$27),Inputs!$D$27+SQRT(P1919*(Inputs!$F$27-Inputs!$D$27)*(Inputs!$E$27-Inputs!$D$27)),Inputs!$F$27-SQRT((1-P1919)*(Inputs!$F$27-Inputs!$D$27)*(Inputs!$F$27-Inputs!$E$27)))</f>
        <v>108.848035900981</v>
      </c>
      <c r="R1919" s="81" t="n">
        <f aca="true">RAND()</f>
        <v>0.698210347404599</v>
      </c>
      <c r="S1919" s="82" t="n">
        <f aca="false">IF(R1919&lt;(Inputs!$E$29-Inputs!$D$29)/(Inputs!$F$29-Inputs!$D$29),Inputs!$D$29+SQRT(R1919*(Inputs!$F$29-Inputs!$D$29)*(Inputs!$E$29-Inputs!$D$29)),Inputs!$F$29-SQRT((1-R1919)*(Inputs!$F$29-Inputs!$D$29)*(Inputs!$F$29-Inputs!$E$29)))</f>
        <v>8.73640240457594</v>
      </c>
      <c r="T1919" s="68" t="n">
        <f aca="false">Inputs!$E$9*(1+E1919)+Inputs!$E$5*C1919*(Inputs!$E$11*Inputs!$E$14*(G1919*I1919/Inputs!$E$16+(1-G1919))*K1919+Inputs!$E$23*M1919)*(1+O1919)+Inputs!$E$5*(Q1919+S1919)</f>
        <v>6514.53456886733</v>
      </c>
    </row>
    <row r="1920" customFormat="false" ht="15" hidden="false" customHeight="false" outlineLevel="0" collapsed="false">
      <c r="A1920" s="1" t="n">
        <v>1916</v>
      </c>
      <c r="B1920" s="81" t="n">
        <f aca="true">RAND()</f>
        <v>0.0246761672531467</v>
      </c>
      <c r="C1920" s="82" t="n">
        <f aca="false">ROUND(IF(B1920&lt;(Inputs!$E$8-Inputs!$D$8)/(Inputs!$F$8-Inputs!$D$8),Inputs!$D$8+SQRT(B1920*(Inputs!$F$8-Inputs!$D$8)*(Inputs!$E$8-Inputs!$D$8)),Inputs!$F$8-SQRT((1-B1920)*(Inputs!$F$8-Inputs!$D$8)*(Inputs!$F$8-Inputs!$E$8))),0)</f>
        <v>21</v>
      </c>
      <c r="D1920" s="81" t="n">
        <f aca="true">RAND()</f>
        <v>0.481171796283173</v>
      </c>
      <c r="E1920" s="83" t="n">
        <f aca="false">IF(D1920&lt;(Inputs!$E$10-Inputs!$D$10)/(Inputs!$F$10-Inputs!$D$10),Inputs!$D$10+SQRT(D1920*(Inputs!$F$10-Inputs!$D$10)*(Inputs!$E$10-Inputs!$D$10)),Inputs!$F$10-SQRT((1-D1920)*(Inputs!$F$10-Inputs!$D$10)*(Inputs!$F$10-Inputs!$E$10)))</f>
        <v>0.0752408475842161</v>
      </c>
      <c r="F1920" s="81" t="n">
        <f aca="true">RAND()</f>
        <v>0.497908036158934</v>
      </c>
      <c r="G1920" s="83" t="n">
        <f aca="false">IF(F1920&lt;(Inputs!$E$15-Inputs!$D$15)/(Inputs!$F$15-Inputs!$D$15),Inputs!$D$15+SQRT(F1920*(Inputs!$F$15-Inputs!$D$15)*(Inputs!$E$15-Inputs!$D$15)),Inputs!$F$15-SQRT((1-F1920)*(Inputs!$F$15-Inputs!$D$15)*(Inputs!$F$15-Inputs!$E$15)))</f>
        <v>0.699790584341303</v>
      </c>
      <c r="H1920" s="81" t="n">
        <f aca="true">RAND()</f>
        <v>0.811859666926088</v>
      </c>
      <c r="I1920" s="82" t="n">
        <f aca="false">ROUND(IF(H1920&lt;(Inputs!$E$17-Inputs!$D$17)/(Inputs!$F$17-Inputs!$D$17),Inputs!$D$17+SQRT(H1920*(Inputs!$F$17-Inputs!$D$17)*(Inputs!$E$17-Inputs!$D$17)),Inputs!$F$17-SQRT((1-H1920)*(Inputs!$F$17-Inputs!$D$17)*(Inputs!$F$17-Inputs!$E$17))),0)</f>
        <v>110</v>
      </c>
      <c r="J1920" s="81" t="n">
        <f aca="true">RAND()</f>
        <v>0.651713751541391</v>
      </c>
      <c r="K1920" s="83" t="n">
        <f aca="false">IF(J1920&lt;(Inputs!$E$18-Inputs!$D$18)/(Inputs!$F$18-Inputs!$D$18),Inputs!$D$18+SQRT(J1920*(Inputs!$F$18-Inputs!$D$18)*(Inputs!$E$18-Inputs!$D$18)),Inputs!$F$18-SQRT((1-J1920)*(Inputs!$F$18-Inputs!$D$18)*(Inputs!$F$18-Inputs!$E$18)))</f>
        <v>1.07542896362762</v>
      </c>
      <c r="L1920" s="81" t="n">
        <f aca="true">RAND()</f>
        <v>0.598810876605339</v>
      </c>
      <c r="M1920" s="83" t="n">
        <f aca="false">IF(L1920&lt;(Inputs!$E$24-Inputs!$D$24)/(Inputs!$F$24-Inputs!$D$24),Inputs!$D$24+SQRT(L1920*(Inputs!$F$24-Inputs!$D$24)*(Inputs!$E$24-Inputs!$D$24)),Inputs!$F$24-SQRT((1-L1920)*(Inputs!$F$24-Inputs!$D$24)*(Inputs!$F$24-Inputs!$E$24)))</f>
        <v>0.889701128563576</v>
      </c>
      <c r="N1920" s="81" t="n">
        <f aca="true">RAND()</f>
        <v>0.15167405969855</v>
      </c>
      <c r="O1920" s="83" t="n">
        <f aca="false">IF(N1920&lt;(Inputs!$E$26-Inputs!$D$26)/(Inputs!$F$26-Inputs!$D$26),Inputs!$D$26+SQRT(N1920*(Inputs!$F$26-Inputs!$D$26)*(Inputs!$E$26-Inputs!$D$26)),Inputs!$F$26-SQRT((1-N1920)*(Inputs!$F$26-Inputs!$D$26)*(Inputs!$F$26-Inputs!$E$26)))</f>
        <v>0.458866495944987</v>
      </c>
      <c r="P1920" s="81" t="n">
        <f aca="true">RAND()</f>
        <v>0.405591074036581</v>
      </c>
      <c r="Q1920" s="82" t="n">
        <f aca="false">IF(P1920&lt;(Inputs!$E$27-Inputs!$D$27)/(Inputs!$F$27-Inputs!$D$27),Inputs!$D$27+SQRT(P1920*(Inputs!$F$27-Inputs!$D$27)*(Inputs!$E$27-Inputs!$D$27)),Inputs!$F$27-SQRT((1-P1920)*(Inputs!$F$27-Inputs!$D$27)*(Inputs!$F$27-Inputs!$E$27)))</f>
        <v>83.2312427498786</v>
      </c>
      <c r="R1920" s="81" t="n">
        <f aca="true">RAND()</f>
        <v>0.196495851822824</v>
      </c>
      <c r="S1920" s="82" t="n">
        <f aca="false">IF(R1920&lt;(Inputs!$E$29-Inputs!$D$29)/(Inputs!$F$29-Inputs!$D$29),Inputs!$D$29+SQRT(R1920*(Inputs!$F$29-Inputs!$D$29)*(Inputs!$E$29-Inputs!$D$29)),Inputs!$F$29-SQRT((1-R1920)*(Inputs!$F$29-Inputs!$D$29)*(Inputs!$F$29-Inputs!$E$29)))</f>
        <v>4.7682735090829</v>
      </c>
      <c r="T1920" s="68" t="n">
        <f aca="false">Inputs!$E$9*(1+E1920)+Inputs!$E$5*C1920*(Inputs!$E$11*Inputs!$E$14*(G1920*I1920/Inputs!$E$16+(1-G1920))*K1920+Inputs!$E$23*M1920)*(1+O1920)+Inputs!$E$5*(Q1920+S1920)</f>
        <v>5594.77704804225</v>
      </c>
    </row>
    <row r="1921" customFormat="false" ht="15" hidden="false" customHeight="false" outlineLevel="0" collapsed="false">
      <c r="A1921" s="1" t="n">
        <v>1917</v>
      </c>
      <c r="B1921" s="81" t="n">
        <f aca="true">RAND()</f>
        <v>0.295852784780776</v>
      </c>
      <c r="C1921" s="82" t="n">
        <f aca="false">ROUND(IF(B1921&lt;(Inputs!$E$8-Inputs!$D$8)/(Inputs!$F$8-Inputs!$D$8),Inputs!$D$8+SQRT(B1921*(Inputs!$F$8-Inputs!$D$8)*(Inputs!$E$8-Inputs!$D$8)),Inputs!$F$8-SQRT((1-B1921)*(Inputs!$F$8-Inputs!$D$8)*(Inputs!$F$8-Inputs!$E$8))),0)</f>
        <v>24</v>
      </c>
      <c r="D1921" s="81" t="n">
        <f aca="true">RAND()</f>
        <v>0.0763957721897721</v>
      </c>
      <c r="E1921" s="83" t="n">
        <f aca="false">IF(D1921&lt;(Inputs!$E$10-Inputs!$D$10)/(Inputs!$F$10-Inputs!$D$10),Inputs!$D$10+SQRT(D1921*(Inputs!$F$10-Inputs!$D$10)*(Inputs!$E$10-Inputs!$D$10)),Inputs!$F$10-SQRT((1-D1921)*(Inputs!$F$10-Inputs!$D$10)*(Inputs!$F$10-Inputs!$E$10)))</f>
        <v>0.0276397851275606</v>
      </c>
      <c r="F1921" s="81" t="n">
        <f aca="true">RAND()</f>
        <v>0.726107497206624</v>
      </c>
      <c r="G1921" s="83" t="n">
        <f aca="false">IF(F1921&lt;(Inputs!$E$15-Inputs!$D$15)/(Inputs!$F$15-Inputs!$D$15),Inputs!$D$15+SQRT(F1921*(Inputs!$F$15-Inputs!$D$15)*(Inputs!$E$15-Inputs!$D$15)),Inputs!$F$15-SQRT((1-F1921)*(Inputs!$F$15-Inputs!$D$15)*(Inputs!$F$15-Inputs!$E$15)))</f>
        <v>0.725987500678145</v>
      </c>
      <c r="H1921" s="81" t="n">
        <f aca="true">RAND()</f>
        <v>0.665559164944321</v>
      </c>
      <c r="I1921" s="82" t="n">
        <f aca="false">ROUND(IF(H1921&lt;(Inputs!$E$17-Inputs!$D$17)/(Inputs!$F$17-Inputs!$D$17),Inputs!$D$17+SQRT(H1921*(Inputs!$F$17-Inputs!$D$17)*(Inputs!$E$17-Inputs!$D$17)),Inputs!$F$17-SQRT((1-H1921)*(Inputs!$F$17-Inputs!$D$17)*(Inputs!$F$17-Inputs!$E$17))),0)</f>
        <v>108</v>
      </c>
      <c r="J1921" s="81" t="n">
        <f aca="true">RAND()</f>
        <v>0.426365545629193</v>
      </c>
      <c r="K1921" s="83" t="n">
        <f aca="false">IF(J1921&lt;(Inputs!$E$18-Inputs!$D$18)/(Inputs!$F$18-Inputs!$D$18),Inputs!$D$18+SQRT(J1921*(Inputs!$F$18-Inputs!$D$18)*(Inputs!$E$18-Inputs!$D$18)),Inputs!$F$18-SQRT((1-J1921)*(Inputs!$F$18-Inputs!$D$18)*(Inputs!$F$18-Inputs!$E$18)))</f>
        <v>1.02596202384987</v>
      </c>
      <c r="L1921" s="81" t="n">
        <f aca="true">RAND()</f>
        <v>0.6688424038617</v>
      </c>
      <c r="M1921" s="83" t="n">
        <f aca="false">IF(L1921&lt;(Inputs!$E$24-Inputs!$D$24)/(Inputs!$F$24-Inputs!$D$24),Inputs!$D$24+SQRT(L1921*(Inputs!$F$24-Inputs!$D$24)*(Inputs!$E$24-Inputs!$D$24)),Inputs!$F$24-SQRT((1-L1921)*(Inputs!$F$24-Inputs!$D$24)*(Inputs!$F$24-Inputs!$E$24)))</f>
        <v>0.918081885872525</v>
      </c>
      <c r="N1921" s="81" t="n">
        <f aca="true">RAND()</f>
        <v>0.84942493633348</v>
      </c>
      <c r="O1921" s="83" t="n">
        <f aca="false">IF(N1921&lt;(Inputs!$E$26-Inputs!$D$26)/(Inputs!$F$26-Inputs!$D$26),Inputs!$D$26+SQRT(N1921*(Inputs!$F$26-Inputs!$D$26)*(Inputs!$E$26-Inputs!$D$26)),Inputs!$F$26-SQRT((1-N1921)*(Inputs!$F$26-Inputs!$D$26)*(Inputs!$F$26-Inputs!$E$26)))</f>
        <v>0.694860850964544</v>
      </c>
      <c r="P1921" s="81" t="n">
        <f aca="true">RAND()</f>
        <v>0.129035962718619</v>
      </c>
      <c r="Q1921" s="82" t="n">
        <f aca="false">IF(P1921&lt;(Inputs!$E$27-Inputs!$D$27)/(Inputs!$F$27-Inputs!$D$27),Inputs!$D$27+SQRT(P1921*(Inputs!$F$27-Inputs!$D$27)*(Inputs!$E$27-Inputs!$D$27)),Inputs!$F$27-SQRT((1-P1921)*(Inputs!$F$27-Inputs!$D$27)*(Inputs!$F$27-Inputs!$E$27)))</f>
        <v>67.9607880338405</v>
      </c>
      <c r="R1921" s="81" t="n">
        <f aca="true">RAND()</f>
        <v>0.23820151800913</v>
      </c>
      <c r="S1921" s="82" t="n">
        <f aca="false">IF(R1921&lt;(Inputs!$E$29-Inputs!$D$29)/(Inputs!$F$29-Inputs!$D$29),Inputs!$D$29+SQRT(R1921*(Inputs!$F$29-Inputs!$D$29)*(Inputs!$E$29-Inputs!$D$29)),Inputs!$F$29-SQRT((1-R1921)*(Inputs!$F$29-Inputs!$D$29)*(Inputs!$F$29-Inputs!$E$29)))</f>
        <v>5.04842712638786</v>
      </c>
      <c r="T1921" s="68" t="n">
        <f aca="false">Inputs!$E$9*(1+E1921)+Inputs!$E$5*C1921*(Inputs!$E$11*Inputs!$E$14*(G1921*I1921/Inputs!$E$16+(1-G1921))*K1921+Inputs!$E$23*M1921)*(1+O1921)+Inputs!$E$5*(Q1921+S1921)</f>
        <v>6200.03082643066</v>
      </c>
    </row>
    <row r="1922" customFormat="false" ht="15" hidden="false" customHeight="false" outlineLevel="0" collapsed="false">
      <c r="A1922" s="1" t="n">
        <v>1918</v>
      </c>
      <c r="B1922" s="81" t="n">
        <f aca="true">RAND()</f>
        <v>0.418346721664029</v>
      </c>
      <c r="C1922" s="82" t="n">
        <f aca="false">ROUND(IF(B1922&lt;(Inputs!$E$8-Inputs!$D$8)/(Inputs!$F$8-Inputs!$D$8),Inputs!$D$8+SQRT(B1922*(Inputs!$F$8-Inputs!$D$8)*(Inputs!$E$8-Inputs!$D$8)),Inputs!$F$8-SQRT((1-B1922)*(Inputs!$F$8-Inputs!$D$8)*(Inputs!$F$8-Inputs!$E$8))),0)</f>
        <v>25</v>
      </c>
      <c r="D1922" s="81" t="n">
        <f aca="true">RAND()</f>
        <v>0.172374606947537</v>
      </c>
      <c r="E1922" s="83" t="n">
        <f aca="false">IF(D1922&lt;(Inputs!$E$10-Inputs!$D$10)/(Inputs!$F$10-Inputs!$D$10),Inputs!$D$10+SQRT(D1922*(Inputs!$F$10-Inputs!$D$10)*(Inputs!$E$10-Inputs!$D$10)),Inputs!$F$10-SQRT((1-D1922)*(Inputs!$F$10-Inputs!$D$10)*(Inputs!$F$10-Inputs!$E$10)))</f>
        <v>0.041518021020701</v>
      </c>
      <c r="F1922" s="81" t="n">
        <f aca="true">RAND()</f>
        <v>0.54660720075912</v>
      </c>
      <c r="G1922" s="83" t="n">
        <f aca="false">IF(F1922&lt;(Inputs!$E$15-Inputs!$D$15)/(Inputs!$F$15-Inputs!$D$15),Inputs!$D$15+SQRT(F1922*(Inputs!$F$15-Inputs!$D$15)*(Inputs!$E$15-Inputs!$D$15)),Inputs!$F$15-SQRT((1-F1922)*(Inputs!$F$15-Inputs!$D$15)*(Inputs!$F$15-Inputs!$E$15)))</f>
        <v>0.704774709321433</v>
      </c>
      <c r="H1922" s="81" t="n">
        <f aca="true">RAND()</f>
        <v>0.443204332465508</v>
      </c>
      <c r="I1922" s="82" t="n">
        <f aca="false">ROUND(IF(H1922&lt;(Inputs!$E$17-Inputs!$D$17)/(Inputs!$F$17-Inputs!$D$17),Inputs!$D$17+SQRT(H1922*(Inputs!$F$17-Inputs!$D$17)*(Inputs!$E$17-Inputs!$D$17)),Inputs!$F$17-SQRT((1-H1922)*(Inputs!$F$17-Inputs!$D$17)*(Inputs!$F$17-Inputs!$E$17))),0)</f>
        <v>106</v>
      </c>
      <c r="J1922" s="81" t="n">
        <f aca="true">RAND()</f>
        <v>0.758009352394726</v>
      </c>
      <c r="K1922" s="83" t="n">
        <f aca="false">IF(J1922&lt;(Inputs!$E$18-Inputs!$D$18)/(Inputs!$F$18-Inputs!$D$18),Inputs!$D$18+SQRT(J1922*(Inputs!$F$18-Inputs!$D$18)*(Inputs!$E$18-Inputs!$D$18)),Inputs!$F$18-SQRT((1-J1922)*(Inputs!$F$18-Inputs!$D$18)*(Inputs!$F$18-Inputs!$E$18)))</f>
        <v>1.10448648974937</v>
      </c>
      <c r="L1922" s="81" t="n">
        <f aca="true">RAND()</f>
        <v>0.224266841573113</v>
      </c>
      <c r="M1922" s="83" t="n">
        <f aca="false">IF(L1922&lt;(Inputs!$E$24-Inputs!$D$24)/(Inputs!$F$24-Inputs!$D$24),Inputs!$D$24+SQRT(L1922*(Inputs!$F$24-Inputs!$D$24)*(Inputs!$E$24-Inputs!$D$24)),Inputs!$F$24-SQRT((1-L1922)*(Inputs!$F$24-Inputs!$D$24)*(Inputs!$F$24-Inputs!$E$24)))</f>
        <v>0.764048837206405</v>
      </c>
      <c r="N1922" s="81" t="n">
        <f aca="true">RAND()</f>
        <v>0.821972987707928</v>
      </c>
      <c r="O1922" s="83" t="n">
        <f aca="false">IF(N1922&lt;(Inputs!$E$26-Inputs!$D$26)/(Inputs!$F$26-Inputs!$D$26),Inputs!$D$26+SQRT(N1922*(Inputs!$F$26-Inputs!$D$26)*(Inputs!$E$26-Inputs!$D$26)),Inputs!$F$26-SQRT((1-N1922)*(Inputs!$F$26-Inputs!$D$26)*(Inputs!$F$26-Inputs!$E$26)))</f>
        <v>0.68393086581309</v>
      </c>
      <c r="P1922" s="81" t="n">
        <f aca="true">RAND()</f>
        <v>0.540148555092051</v>
      </c>
      <c r="Q1922" s="82" t="n">
        <f aca="false">IF(P1922&lt;(Inputs!$E$27-Inputs!$D$27)/(Inputs!$F$27-Inputs!$D$27),Inputs!$D$27+SQRT(P1922*(Inputs!$F$27-Inputs!$D$27)*(Inputs!$E$27-Inputs!$D$27)),Inputs!$F$27-SQRT((1-P1922)*(Inputs!$F$27-Inputs!$D$27)*(Inputs!$F$27-Inputs!$E$27)))</f>
        <v>91.2727845304273</v>
      </c>
      <c r="R1922" s="81" t="n">
        <f aca="true">RAND()</f>
        <v>0.425856690937055</v>
      </c>
      <c r="S1922" s="82" t="n">
        <f aca="false">IF(R1922&lt;(Inputs!$E$29-Inputs!$D$29)/(Inputs!$F$29-Inputs!$D$29),Inputs!$D$29+SQRT(R1922*(Inputs!$F$29-Inputs!$D$29)*(Inputs!$E$29-Inputs!$D$29)),Inputs!$F$29-SQRT((1-R1922)*(Inputs!$F$29-Inputs!$D$29)*(Inputs!$F$29-Inputs!$E$29)))</f>
        <v>6.36063485097529</v>
      </c>
      <c r="T1922" s="68" t="n">
        <f aca="false">Inputs!$E$9*(1+E1922)+Inputs!$E$5*C1922*(Inputs!$E$11*Inputs!$E$14*(G1922*I1922/Inputs!$E$16+(1-G1922))*K1922+Inputs!$E$23*M1922)*(1+O1922)+Inputs!$E$5*(Q1922+S1922)</f>
        <v>6429.40401390819</v>
      </c>
    </row>
    <row r="1923" customFormat="false" ht="15" hidden="false" customHeight="false" outlineLevel="0" collapsed="false">
      <c r="A1923" s="1" t="n">
        <v>1919</v>
      </c>
      <c r="B1923" s="81" t="n">
        <f aca="true">RAND()</f>
        <v>0.758061082190311</v>
      </c>
      <c r="C1923" s="82" t="n">
        <f aca="false">ROUND(IF(B1923&lt;(Inputs!$E$8-Inputs!$D$8)/(Inputs!$F$8-Inputs!$D$8),Inputs!$D$8+SQRT(B1923*(Inputs!$F$8-Inputs!$D$8)*(Inputs!$E$8-Inputs!$D$8)),Inputs!$F$8-SQRT((1-B1923)*(Inputs!$F$8-Inputs!$D$8)*(Inputs!$F$8-Inputs!$E$8))),0)</f>
        <v>27</v>
      </c>
      <c r="D1923" s="81" t="n">
        <f aca="true">RAND()</f>
        <v>0.143352316464782</v>
      </c>
      <c r="E1923" s="83" t="n">
        <f aca="false">IF(D1923&lt;(Inputs!$E$10-Inputs!$D$10)/(Inputs!$F$10-Inputs!$D$10),Inputs!$D$10+SQRT(D1923*(Inputs!$F$10-Inputs!$D$10)*(Inputs!$E$10-Inputs!$D$10)),Inputs!$F$10-SQRT((1-D1923)*(Inputs!$F$10-Inputs!$D$10)*(Inputs!$F$10-Inputs!$E$10)))</f>
        <v>0.0378618959462917</v>
      </c>
      <c r="F1923" s="81" t="n">
        <f aca="true">RAND()</f>
        <v>0.998193074878318</v>
      </c>
      <c r="G1923" s="83" t="n">
        <f aca="false">IF(F1923&lt;(Inputs!$E$15-Inputs!$D$15)/(Inputs!$F$15-Inputs!$D$15),Inputs!$D$15+SQRT(F1923*(Inputs!$F$15-Inputs!$D$15)*(Inputs!$E$15-Inputs!$D$15)),Inputs!$F$15-SQRT((1-F1923)*(Inputs!$F$15-Inputs!$D$15)*(Inputs!$F$15-Inputs!$E$15)))</f>
        <v>0.793988469210456</v>
      </c>
      <c r="H1923" s="81" t="n">
        <f aca="true">RAND()</f>
        <v>0.927750422221732</v>
      </c>
      <c r="I1923" s="82" t="n">
        <f aca="false">ROUND(IF(H1923&lt;(Inputs!$E$17-Inputs!$D$17)/(Inputs!$F$17-Inputs!$D$17),Inputs!$D$17+SQRT(H1923*(Inputs!$F$17-Inputs!$D$17)*(Inputs!$E$17-Inputs!$D$17)),Inputs!$F$17-SQRT((1-H1923)*(Inputs!$F$17-Inputs!$D$17)*(Inputs!$F$17-Inputs!$E$17))),0)</f>
        <v>112</v>
      </c>
      <c r="J1923" s="81" t="n">
        <f aca="true">RAND()</f>
        <v>0.270338135014041</v>
      </c>
      <c r="K1923" s="83" t="n">
        <f aca="false">IF(J1923&lt;(Inputs!$E$18-Inputs!$D$18)/(Inputs!$F$18-Inputs!$D$18),Inputs!$D$18+SQRT(J1923*(Inputs!$F$18-Inputs!$D$18)*(Inputs!$E$18-Inputs!$D$18)),Inputs!$F$18-SQRT((1-J1923)*(Inputs!$F$18-Inputs!$D$18)*(Inputs!$F$18-Inputs!$E$18)))</f>
        <v>0.997271962689623</v>
      </c>
      <c r="L1923" s="81" t="n">
        <f aca="true">RAND()</f>
        <v>0.0377099479973228</v>
      </c>
      <c r="M1923" s="83" t="n">
        <f aca="false">IF(L1923&lt;(Inputs!$E$24-Inputs!$D$24)/(Inputs!$F$24-Inputs!$D$24),Inputs!$D$24+SQRT(L1923*(Inputs!$F$24-Inputs!$D$24)*(Inputs!$E$24-Inputs!$D$24)),Inputs!$F$24-SQRT((1-L1923)*(Inputs!$F$24-Inputs!$D$24)*(Inputs!$F$24-Inputs!$E$24)))</f>
        <v>0.667269560424301</v>
      </c>
      <c r="N1923" s="81" t="n">
        <f aca="true">RAND()</f>
        <v>0.106247224381545</v>
      </c>
      <c r="O1923" s="83" t="n">
        <f aca="false">IF(N1923&lt;(Inputs!$E$26-Inputs!$D$26)/(Inputs!$F$26-Inputs!$D$26),Inputs!$D$26+SQRT(N1923*(Inputs!$F$26-Inputs!$D$26)*(Inputs!$E$26-Inputs!$D$26)),Inputs!$F$26-SQRT((1-N1923)*(Inputs!$F$26-Inputs!$D$26)*(Inputs!$F$26-Inputs!$E$26)))</f>
        <v>0.4329644243288</v>
      </c>
      <c r="P1923" s="81" t="n">
        <f aca="true">RAND()</f>
        <v>0.125670700250111</v>
      </c>
      <c r="Q1923" s="82" t="n">
        <f aca="false">IF(P1923&lt;(Inputs!$E$27-Inputs!$D$27)/(Inputs!$F$27-Inputs!$D$27),Inputs!$D$27+SQRT(P1923*(Inputs!$F$27-Inputs!$D$27)*(Inputs!$E$27-Inputs!$D$27)),Inputs!$F$27-SQRT((1-P1923)*(Inputs!$F$27-Inputs!$D$27)*(Inputs!$F$27-Inputs!$E$27)))</f>
        <v>67.7250317524477</v>
      </c>
      <c r="R1923" s="81" t="n">
        <f aca="true">RAND()</f>
        <v>0.865860635195947</v>
      </c>
      <c r="S1923" s="82" t="n">
        <f aca="false">IF(R1923&lt;(Inputs!$E$29-Inputs!$D$29)/(Inputs!$F$29-Inputs!$D$29),Inputs!$D$29+SQRT(R1923*(Inputs!$F$29-Inputs!$D$29)*(Inputs!$E$29-Inputs!$D$29)),Inputs!$F$29-SQRT((1-R1923)*(Inputs!$F$29-Inputs!$D$29)*(Inputs!$F$29-Inputs!$E$29)))</f>
        <v>10.8241028000528</v>
      </c>
      <c r="T1923" s="68" t="n">
        <f aca="false">Inputs!$E$9*(1+E1923)+Inputs!$E$5*C1923*(Inputs!$E$11*Inputs!$E$14*(G1923*I1923/Inputs!$E$16+(1-G1923))*K1923+Inputs!$E$23*M1923)*(1+O1923)+Inputs!$E$5*(Q1923+S1923)</f>
        <v>5636.95428289456</v>
      </c>
    </row>
    <row r="1924" customFormat="false" ht="15" hidden="false" customHeight="false" outlineLevel="0" collapsed="false">
      <c r="A1924" s="1" t="n">
        <v>1920</v>
      </c>
      <c r="B1924" s="81" t="n">
        <f aca="true">RAND()</f>
        <v>0.261707651740842</v>
      </c>
      <c r="C1924" s="82" t="n">
        <f aca="false">ROUND(IF(B1924&lt;(Inputs!$E$8-Inputs!$D$8)/(Inputs!$F$8-Inputs!$D$8),Inputs!$D$8+SQRT(B1924*(Inputs!$F$8-Inputs!$D$8)*(Inputs!$E$8-Inputs!$D$8)),Inputs!$F$8-SQRT((1-B1924)*(Inputs!$F$8-Inputs!$D$8)*(Inputs!$F$8-Inputs!$E$8))),0)</f>
        <v>24</v>
      </c>
      <c r="D1924" s="81" t="n">
        <f aca="true">RAND()</f>
        <v>0.0835509711287253</v>
      </c>
      <c r="E1924" s="83" t="n">
        <f aca="false">IF(D1924&lt;(Inputs!$E$10-Inputs!$D$10)/(Inputs!$F$10-Inputs!$D$10),Inputs!$D$10+SQRT(D1924*(Inputs!$F$10-Inputs!$D$10)*(Inputs!$E$10-Inputs!$D$10)),Inputs!$F$10-SQRT((1-D1924)*(Inputs!$F$10-Inputs!$D$10)*(Inputs!$F$10-Inputs!$E$10)))</f>
        <v>0.0289051848512901</v>
      </c>
      <c r="F1924" s="81" t="n">
        <f aca="true">RAND()</f>
        <v>0.100582664321357</v>
      </c>
      <c r="G1924" s="83" t="n">
        <f aca="false">IF(F1924&lt;(Inputs!$E$15-Inputs!$D$15)/(Inputs!$F$15-Inputs!$D$15),Inputs!$D$15+SQRT(F1924*(Inputs!$F$15-Inputs!$D$15)*(Inputs!$E$15-Inputs!$D$15)),Inputs!$F$15-SQRT((1-F1924)*(Inputs!$F$15-Inputs!$D$15)*(Inputs!$F$15-Inputs!$E$15)))</f>
        <v>0.644851458018967</v>
      </c>
      <c r="H1924" s="81" t="n">
        <f aca="true">RAND()</f>
        <v>0.881056906127563</v>
      </c>
      <c r="I1924" s="82" t="n">
        <f aca="false">ROUND(IF(H1924&lt;(Inputs!$E$17-Inputs!$D$17)/(Inputs!$F$17-Inputs!$D$17),Inputs!$D$17+SQRT(H1924*(Inputs!$F$17-Inputs!$D$17)*(Inputs!$E$17-Inputs!$D$17)),Inputs!$F$17-SQRT((1-H1924)*(Inputs!$F$17-Inputs!$D$17)*(Inputs!$F$17-Inputs!$E$17))),0)</f>
        <v>111</v>
      </c>
      <c r="J1924" s="81" t="n">
        <f aca="true">RAND()</f>
        <v>0.0649254363573037</v>
      </c>
      <c r="K1924" s="83" t="n">
        <f aca="false">IF(J1924&lt;(Inputs!$E$18-Inputs!$D$18)/(Inputs!$F$18-Inputs!$D$18),Inputs!$D$18+SQRT(J1924*(Inputs!$F$18-Inputs!$D$18)*(Inputs!$E$18-Inputs!$D$18)),Inputs!$F$18-SQRT((1-J1924)*(Inputs!$F$18-Inputs!$D$18)*(Inputs!$F$18-Inputs!$E$18)))</f>
        <v>0.947669594843103</v>
      </c>
      <c r="L1924" s="81" t="n">
        <f aca="true">RAND()</f>
        <v>0.0232241806939815</v>
      </c>
      <c r="M1924" s="83" t="n">
        <f aca="false">IF(L1924&lt;(Inputs!$E$24-Inputs!$D$24)/(Inputs!$F$24-Inputs!$D$24),Inputs!$D$24+SQRT(L1924*(Inputs!$F$24-Inputs!$D$24)*(Inputs!$E$24-Inputs!$D$24)),Inputs!$F$24-SQRT((1-L1924)*(Inputs!$F$24-Inputs!$D$24)*(Inputs!$F$24-Inputs!$E$24)))</f>
        <v>0.652791113677188</v>
      </c>
      <c r="N1924" s="81" t="n">
        <f aca="true">RAND()</f>
        <v>0.711485971076836</v>
      </c>
      <c r="O1924" s="83" t="n">
        <f aca="false">IF(N1924&lt;(Inputs!$E$26-Inputs!$D$26)/(Inputs!$F$26-Inputs!$D$26),Inputs!$D$26+SQRT(N1924*(Inputs!$F$26-Inputs!$D$26)*(Inputs!$E$26-Inputs!$D$26)),Inputs!$F$26-SQRT((1-N1924)*(Inputs!$F$26-Inputs!$D$26)*(Inputs!$F$26-Inputs!$E$26)))</f>
        <v>0.646779161161224</v>
      </c>
      <c r="P1924" s="81" t="n">
        <f aca="true">RAND()</f>
        <v>0.173171734857936</v>
      </c>
      <c r="Q1924" s="82" t="n">
        <f aca="false">IF(P1924&lt;(Inputs!$E$27-Inputs!$D$27)/(Inputs!$F$27-Inputs!$D$27),Inputs!$D$27+SQRT(P1924*(Inputs!$F$27-Inputs!$D$27)*(Inputs!$E$27-Inputs!$D$27)),Inputs!$F$27-SQRT((1-P1924)*(Inputs!$F$27-Inputs!$D$27)*(Inputs!$F$27-Inputs!$E$27)))</f>
        <v>70.806954057354</v>
      </c>
      <c r="R1924" s="81" t="n">
        <f aca="true">RAND()</f>
        <v>0.282203682132911</v>
      </c>
      <c r="S1924" s="82" t="n">
        <f aca="false">IF(R1924&lt;(Inputs!$E$29-Inputs!$D$29)/(Inputs!$F$29-Inputs!$D$29),Inputs!$D$29+SQRT(R1924*(Inputs!$F$29-Inputs!$D$29)*(Inputs!$E$29-Inputs!$D$29)),Inputs!$F$29-SQRT((1-R1924)*(Inputs!$F$29-Inputs!$D$29)*(Inputs!$F$29-Inputs!$E$29)))</f>
        <v>5.34010759259082</v>
      </c>
      <c r="T1924" s="68" t="n">
        <f aca="false">Inputs!$E$9*(1+E1924)+Inputs!$E$5*C1924*(Inputs!$E$11*Inputs!$E$14*(G1924*I1924/Inputs!$E$16+(1-G1924))*K1924+Inputs!$E$23*M1924)*(1+O1924)+Inputs!$E$5*(Q1924+S1924)</f>
        <v>5704.57819631253</v>
      </c>
    </row>
    <row r="1925" customFormat="false" ht="15" hidden="false" customHeight="false" outlineLevel="0" collapsed="false">
      <c r="A1925" s="1" t="n">
        <v>1921</v>
      </c>
      <c r="B1925" s="81" t="n">
        <f aca="true">RAND()</f>
        <v>0.488028553976381</v>
      </c>
      <c r="C1925" s="82" t="n">
        <f aca="false">ROUND(IF(B1925&lt;(Inputs!$E$8-Inputs!$D$8)/(Inputs!$F$8-Inputs!$D$8),Inputs!$D$8+SQRT(B1925*(Inputs!$F$8-Inputs!$D$8)*(Inputs!$E$8-Inputs!$D$8)),Inputs!$F$8-SQRT((1-B1925)*(Inputs!$F$8-Inputs!$D$8)*(Inputs!$F$8-Inputs!$E$8))),0)</f>
        <v>25</v>
      </c>
      <c r="D1925" s="81" t="n">
        <f aca="true">RAND()</f>
        <v>0.216321421079666</v>
      </c>
      <c r="E1925" s="83" t="n">
        <f aca="false">IF(D1925&lt;(Inputs!$E$10-Inputs!$D$10)/(Inputs!$F$10-Inputs!$D$10),Inputs!$D$10+SQRT(D1925*(Inputs!$F$10-Inputs!$D$10)*(Inputs!$E$10-Inputs!$D$10)),Inputs!$F$10-SQRT((1-D1925)*(Inputs!$F$10-Inputs!$D$10)*(Inputs!$F$10-Inputs!$E$10)))</f>
        <v>0.0465103667024531</v>
      </c>
      <c r="F1925" s="81" t="n">
        <f aca="true">RAND()</f>
        <v>0.926200929559643</v>
      </c>
      <c r="G1925" s="83" t="n">
        <f aca="false">IF(F1925&lt;(Inputs!$E$15-Inputs!$D$15)/(Inputs!$F$15-Inputs!$D$15),Inputs!$D$15+SQRT(F1925*(Inputs!$F$15-Inputs!$D$15)*(Inputs!$E$15-Inputs!$D$15)),Inputs!$F$15-SQRT((1-F1925)*(Inputs!$F$15-Inputs!$D$15)*(Inputs!$F$15-Inputs!$E$15)))</f>
        <v>0.761581496530875</v>
      </c>
      <c r="H1925" s="81" t="n">
        <f aca="true">RAND()</f>
        <v>0.0810458552351346</v>
      </c>
      <c r="I1925" s="82" t="n">
        <f aca="false">ROUND(IF(H1925&lt;(Inputs!$E$17-Inputs!$D$17)/(Inputs!$F$17-Inputs!$D$17),Inputs!$D$17+SQRT(H1925*(Inputs!$F$17-Inputs!$D$17)*(Inputs!$E$17-Inputs!$D$17)),Inputs!$F$17-SQRT((1-H1925)*(Inputs!$F$17-Inputs!$D$17)*(Inputs!$F$17-Inputs!$E$17))),0)</f>
        <v>102</v>
      </c>
      <c r="J1925" s="81" t="n">
        <f aca="true">RAND()</f>
        <v>0.691881618218805</v>
      </c>
      <c r="K1925" s="83" t="n">
        <f aca="false">IF(J1925&lt;(Inputs!$E$18-Inputs!$D$18)/(Inputs!$F$18-Inputs!$D$18),Inputs!$D$18+SQRT(J1925*(Inputs!$F$18-Inputs!$D$18)*(Inputs!$E$18-Inputs!$D$18)),Inputs!$F$18-SQRT((1-J1925)*(Inputs!$F$18-Inputs!$D$18)*(Inputs!$F$18-Inputs!$E$18)))</f>
        <v>1.08580390258641</v>
      </c>
      <c r="L1925" s="81" t="n">
        <f aca="true">RAND()</f>
        <v>0.979638443508188</v>
      </c>
      <c r="M1925" s="83" t="n">
        <f aca="false">IF(L1925&lt;(Inputs!$E$24-Inputs!$D$24)/(Inputs!$F$24-Inputs!$D$24),Inputs!$D$24+SQRT(L1925*(Inputs!$F$24-Inputs!$D$24)*(Inputs!$E$24-Inputs!$D$24)),Inputs!$F$24-SQRT((1-L1925)*(Inputs!$F$24-Inputs!$D$24)*(Inputs!$F$24-Inputs!$E$24)))</f>
        <v>1.13009453842485</v>
      </c>
      <c r="N1925" s="81" t="n">
        <f aca="true">RAND()</f>
        <v>0.90108514248127</v>
      </c>
      <c r="O1925" s="83" t="n">
        <f aca="false">IF(N1925&lt;(Inputs!$E$26-Inputs!$D$26)/(Inputs!$F$26-Inputs!$D$26),Inputs!$D$26+SQRT(N1925*(Inputs!$F$26-Inputs!$D$26)*(Inputs!$E$26-Inputs!$D$26)),Inputs!$F$26-SQRT((1-N1925)*(Inputs!$F$26-Inputs!$D$26)*(Inputs!$F$26-Inputs!$E$26)))</f>
        <v>0.718574435264338</v>
      </c>
      <c r="P1925" s="81" t="n">
        <f aca="true">RAND()</f>
        <v>0.174238729328177</v>
      </c>
      <c r="Q1925" s="82" t="n">
        <f aca="false">IF(P1925&lt;(Inputs!$E$27-Inputs!$D$27)/(Inputs!$F$27-Inputs!$D$27),Inputs!$D$27+SQRT(P1925*(Inputs!$F$27-Inputs!$D$27)*(Inputs!$E$27-Inputs!$D$27)),Inputs!$F$27-SQRT((1-P1925)*(Inputs!$F$27-Inputs!$D$27)*(Inputs!$F$27-Inputs!$E$27)))</f>
        <v>70.8709564543756</v>
      </c>
      <c r="R1925" s="81" t="n">
        <f aca="true">RAND()</f>
        <v>0.775806275920636</v>
      </c>
      <c r="S1925" s="82" t="n">
        <f aca="false">IF(R1925&lt;(Inputs!$E$29-Inputs!$D$29)/(Inputs!$F$29-Inputs!$D$29),Inputs!$D$29+SQRT(R1925*(Inputs!$F$29-Inputs!$D$29)*(Inputs!$E$29-Inputs!$D$29)),Inputs!$F$29-SQRT((1-R1925)*(Inputs!$F$29-Inputs!$D$29)*(Inputs!$F$29-Inputs!$E$29)))</f>
        <v>9.60137201408383</v>
      </c>
      <c r="T1925" s="68" t="n">
        <f aca="false">Inputs!$E$9*(1+E1925)+Inputs!$E$5*C1925*(Inputs!$E$11*Inputs!$E$14*(G1925*I1925/Inputs!$E$16+(1-G1925))*K1925+Inputs!$E$23*M1925)*(1+O1925)+Inputs!$E$5*(Q1925+S1925)</f>
        <v>6800.83582059811</v>
      </c>
    </row>
    <row r="1926" customFormat="false" ht="15" hidden="false" customHeight="false" outlineLevel="0" collapsed="false">
      <c r="A1926" s="1" t="n">
        <v>1922</v>
      </c>
      <c r="B1926" s="81" t="n">
        <f aca="true">RAND()</f>
        <v>0.688135934184124</v>
      </c>
      <c r="C1926" s="82" t="n">
        <f aca="false">ROUND(IF(B1926&lt;(Inputs!$E$8-Inputs!$D$8)/(Inputs!$F$8-Inputs!$D$8),Inputs!$D$8+SQRT(B1926*(Inputs!$F$8-Inputs!$D$8)*(Inputs!$E$8-Inputs!$D$8)),Inputs!$F$8-SQRT((1-B1926)*(Inputs!$F$8-Inputs!$D$8)*(Inputs!$F$8-Inputs!$E$8))),0)</f>
        <v>26</v>
      </c>
      <c r="D1926" s="81" t="n">
        <f aca="true">RAND()</f>
        <v>0.675444316027663</v>
      </c>
      <c r="E1926" s="83" t="n">
        <f aca="false">IF(D1926&lt;(Inputs!$E$10-Inputs!$D$10)/(Inputs!$F$10-Inputs!$D$10),Inputs!$D$10+SQRT(D1926*(Inputs!$F$10-Inputs!$D$10)*(Inputs!$E$10-Inputs!$D$10)),Inputs!$F$10-SQRT((1-D1926)*(Inputs!$F$10-Inputs!$D$10)*(Inputs!$F$10-Inputs!$E$10)))</f>
        <v>0.101325431244063</v>
      </c>
      <c r="F1926" s="81" t="n">
        <f aca="true">RAND()</f>
        <v>0.775432306473499</v>
      </c>
      <c r="G1926" s="83" t="n">
        <f aca="false">IF(F1926&lt;(Inputs!$E$15-Inputs!$D$15)/(Inputs!$F$15-Inputs!$D$15),Inputs!$D$15+SQRT(F1926*(Inputs!$F$15-Inputs!$D$15)*(Inputs!$E$15-Inputs!$D$15)),Inputs!$F$15-SQRT((1-F1926)*(Inputs!$F$15-Inputs!$D$15)*(Inputs!$F$15-Inputs!$E$15)))</f>
        <v>0.732982436104182</v>
      </c>
      <c r="H1926" s="81" t="n">
        <f aca="true">RAND()</f>
        <v>0.170919820750732</v>
      </c>
      <c r="I1926" s="82" t="n">
        <f aca="false">ROUND(IF(H1926&lt;(Inputs!$E$17-Inputs!$D$17)/(Inputs!$F$17-Inputs!$D$17),Inputs!$D$17+SQRT(H1926*(Inputs!$F$17-Inputs!$D$17)*(Inputs!$E$17-Inputs!$D$17)),Inputs!$F$17-SQRT((1-H1926)*(Inputs!$F$17-Inputs!$D$17)*(Inputs!$F$17-Inputs!$E$17))),0)</f>
        <v>104</v>
      </c>
      <c r="J1926" s="81" t="n">
        <f aca="true">RAND()</f>
        <v>0.153260481808133</v>
      </c>
      <c r="K1926" s="83" t="n">
        <f aca="false">IF(J1926&lt;(Inputs!$E$18-Inputs!$D$18)/(Inputs!$F$18-Inputs!$D$18),Inputs!$D$18+SQRT(J1926*(Inputs!$F$18-Inputs!$D$18)*(Inputs!$E$18-Inputs!$D$18)),Inputs!$F$18-SQRT((1-J1926)*(Inputs!$F$18-Inputs!$D$18)*(Inputs!$F$18-Inputs!$E$18)))</f>
        <v>0.973240131507833</v>
      </c>
      <c r="L1926" s="81" t="n">
        <f aca="true">RAND()</f>
        <v>0.604139981931119</v>
      </c>
      <c r="M1926" s="83" t="n">
        <f aca="false">IF(L1926&lt;(Inputs!$E$24-Inputs!$D$24)/(Inputs!$F$24-Inputs!$D$24),Inputs!$D$24+SQRT(L1926*(Inputs!$F$24-Inputs!$D$24)*(Inputs!$E$24-Inputs!$D$24)),Inputs!$F$24-SQRT((1-L1926)*(Inputs!$F$24-Inputs!$D$24)*(Inputs!$F$24-Inputs!$E$24)))</f>
        <v>0.891768910820905</v>
      </c>
      <c r="N1926" s="81" t="n">
        <f aca="true">RAND()</f>
        <v>0.971109104065756</v>
      </c>
      <c r="O1926" s="83" t="n">
        <f aca="false">IF(N1926&lt;(Inputs!$E$26-Inputs!$D$26)/(Inputs!$F$26-Inputs!$D$26),Inputs!$D$26+SQRT(N1926*(Inputs!$F$26-Inputs!$D$26)*(Inputs!$E$26-Inputs!$D$26)),Inputs!$F$26-SQRT((1-N1926)*(Inputs!$F$26-Inputs!$D$26)*(Inputs!$F$26-Inputs!$E$26)))</f>
        <v>0.765185283206411</v>
      </c>
      <c r="P1926" s="81" t="n">
        <f aca="true">RAND()</f>
        <v>0.357432785734322</v>
      </c>
      <c r="Q1926" s="82" t="n">
        <f aca="false">IF(P1926&lt;(Inputs!$E$27-Inputs!$D$27)/(Inputs!$F$27-Inputs!$D$27),Inputs!$D$27+SQRT(P1926*(Inputs!$F$27-Inputs!$D$27)*(Inputs!$E$27-Inputs!$D$27)),Inputs!$F$27-SQRT((1-P1926)*(Inputs!$F$27-Inputs!$D$27)*(Inputs!$F$27-Inputs!$E$27)))</f>
        <v>80.5791522164085</v>
      </c>
      <c r="R1926" s="81" t="n">
        <f aca="true">RAND()</f>
        <v>0.328941251988395</v>
      </c>
      <c r="S1926" s="82" t="n">
        <f aca="false">IF(R1926&lt;(Inputs!$E$29-Inputs!$D$29)/(Inputs!$F$29-Inputs!$D$29),Inputs!$D$29+SQRT(R1926*(Inputs!$F$29-Inputs!$D$29)*(Inputs!$E$29-Inputs!$D$29)),Inputs!$F$29-SQRT((1-R1926)*(Inputs!$F$29-Inputs!$D$29)*(Inputs!$F$29-Inputs!$E$29)))</f>
        <v>5.65989094059878</v>
      </c>
      <c r="T1926" s="68" t="n">
        <f aca="false">Inputs!$E$9*(1+E1926)+Inputs!$E$5*C1926*(Inputs!$E$11*Inputs!$E$14*(G1926*I1926/Inputs!$E$16+(1-G1926))*K1926+Inputs!$E$23*M1926)*(1+O1926)+Inputs!$E$5*(Q1926+S1926)</f>
        <v>6649.17557791058</v>
      </c>
    </row>
    <row r="1927" customFormat="false" ht="15" hidden="false" customHeight="false" outlineLevel="0" collapsed="false">
      <c r="A1927" s="1" t="n">
        <v>1923</v>
      </c>
      <c r="B1927" s="81" t="n">
        <f aca="true">RAND()</f>
        <v>0.599423756865264</v>
      </c>
      <c r="C1927" s="82" t="n">
        <f aca="false">ROUND(IF(B1927&lt;(Inputs!$E$8-Inputs!$D$8)/(Inputs!$F$8-Inputs!$D$8),Inputs!$D$8+SQRT(B1927*(Inputs!$F$8-Inputs!$D$8)*(Inputs!$E$8-Inputs!$D$8)),Inputs!$F$8-SQRT((1-B1927)*(Inputs!$F$8-Inputs!$D$8)*(Inputs!$F$8-Inputs!$E$8))),0)</f>
        <v>26</v>
      </c>
      <c r="D1927" s="81" t="n">
        <f aca="true">RAND()</f>
        <v>0.476521629954535</v>
      </c>
      <c r="E1927" s="83" t="n">
        <f aca="false">IF(D1927&lt;(Inputs!$E$10-Inputs!$D$10)/(Inputs!$F$10-Inputs!$D$10),Inputs!$D$10+SQRT(D1927*(Inputs!$F$10-Inputs!$D$10)*(Inputs!$E$10-Inputs!$D$10)),Inputs!$F$10-SQRT((1-D1927)*(Inputs!$F$10-Inputs!$D$10)*(Inputs!$F$10-Inputs!$E$10)))</f>
        <v>0.0746829975567404</v>
      </c>
      <c r="F1927" s="81" t="n">
        <f aca="true">RAND()</f>
        <v>0.269495492711451</v>
      </c>
      <c r="G1927" s="83" t="n">
        <f aca="false">IF(F1927&lt;(Inputs!$E$15-Inputs!$D$15)/(Inputs!$F$15-Inputs!$D$15),Inputs!$D$15+SQRT(F1927*(Inputs!$F$15-Inputs!$D$15)*(Inputs!$E$15-Inputs!$D$15)),Inputs!$F$15-SQRT((1-F1927)*(Inputs!$F$15-Inputs!$D$15)*(Inputs!$F$15-Inputs!$E$15)))</f>
        <v>0.673416005436342</v>
      </c>
      <c r="H1927" s="81" t="n">
        <f aca="true">RAND()</f>
        <v>0.480273645607699</v>
      </c>
      <c r="I1927" s="82" t="n">
        <f aca="false">ROUND(IF(H1927&lt;(Inputs!$E$17-Inputs!$D$17)/(Inputs!$F$17-Inputs!$D$17),Inputs!$D$17+SQRT(H1927*(Inputs!$F$17-Inputs!$D$17)*(Inputs!$E$17-Inputs!$D$17)),Inputs!$F$17-SQRT((1-H1927)*(Inputs!$F$17-Inputs!$D$17)*(Inputs!$F$17-Inputs!$E$17))),0)</f>
        <v>106</v>
      </c>
      <c r="J1927" s="81" t="n">
        <f aca="true">RAND()</f>
        <v>0.0420344568891769</v>
      </c>
      <c r="K1927" s="83" t="n">
        <f aca="false">IF(J1927&lt;(Inputs!$E$18-Inputs!$D$18)/(Inputs!$F$18-Inputs!$D$18),Inputs!$D$18+SQRT(J1927*(Inputs!$F$18-Inputs!$D$18)*(Inputs!$E$18-Inputs!$D$18)),Inputs!$F$18-SQRT((1-J1927)*(Inputs!$F$18-Inputs!$D$18)*(Inputs!$F$18-Inputs!$E$18)))</f>
        <v>0.938356303147217</v>
      </c>
      <c r="L1927" s="81" t="n">
        <f aca="true">RAND()</f>
        <v>0.537261378662291</v>
      </c>
      <c r="M1927" s="83" t="n">
        <f aca="false">IF(L1927&lt;(Inputs!$E$24-Inputs!$D$24)/(Inputs!$F$24-Inputs!$D$24),Inputs!$D$24+SQRT(L1927*(Inputs!$F$24-Inputs!$D$24)*(Inputs!$E$24-Inputs!$D$24)),Inputs!$F$24-SQRT((1-L1927)*(Inputs!$F$24-Inputs!$D$24)*(Inputs!$F$24-Inputs!$E$24)))</f>
        <v>0.866747439438119</v>
      </c>
      <c r="N1927" s="81" t="n">
        <f aca="true">RAND()</f>
        <v>0.518260928835481</v>
      </c>
      <c r="O1927" s="83" t="n">
        <f aca="false">IF(N1927&lt;(Inputs!$E$26-Inputs!$D$26)/(Inputs!$F$26-Inputs!$D$26),Inputs!$D$26+SQRT(N1927*(Inputs!$F$26-Inputs!$D$26)*(Inputs!$E$26-Inputs!$D$26)),Inputs!$F$26-SQRT((1-N1927)*(Inputs!$F$26-Inputs!$D$26)*(Inputs!$F$26-Inputs!$E$26)))</f>
        <v>0.593664125419201</v>
      </c>
      <c r="P1927" s="81" t="n">
        <f aca="true">RAND()</f>
        <v>0.377551397735653</v>
      </c>
      <c r="Q1927" s="82" t="n">
        <f aca="false">IF(P1927&lt;(Inputs!$E$27-Inputs!$D$27)/(Inputs!$F$27-Inputs!$D$27),Inputs!$D$27+SQRT(P1927*(Inputs!$F$27-Inputs!$D$27)*(Inputs!$E$27-Inputs!$D$27)),Inputs!$F$27-SQRT((1-P1927)*(Inputs!$F$27-Inputs!$D$27)*(Inputs!$F$27-Inputs!$E$27)))</f>
        <v>81.6745690318561</v>
      </c>
      <c r="R1927" s="81" t="n">
        <f aca="true">RAND()</f>
        <v>0.264218063849717</v>
      </c>
      <c r="S1927" s="82" t="n">
        <f aca="false">IF(R1927&lt;(Inputs!$E$29-Inputs!$D$29)/(Inputs!$F$29-Inputs!$D$29),Inputs!$D$29+SQRT(R1927*(Inputs!$F$29-Inputs!$D$29)*(Inputs!$E$29-Inputs!$D$29)),Inputs!$F$29-SQRT((1-R1927)*(Inputs!$F$29-Inputs!$D$29)*(Inputs!$F$29-Inputs!$E$29)))</f>
        <v>5.21983375910527</v>
      </c>
      <c r="T1927" s="68" t="n">
        <f aca="false">Inputs!$E$9*(1+E1927)+Inputs!$E$5*C1927*(Inputs!$E$11*Inputs!$E$14*(G1927*I1927/Inputs!$E$16+(1-G1927))*K1927+Inputs!$E$23*M1927)*(1+O1927)+Inputs!$E$5*(Q1927+S1927)</f>
        <v>6212.41547667413</v>
      </c>
    </row>
    <row r="1928" customFormat="false" ht="15" hidden="false" customHeight="false" outlineLevel="0" collapsed="false">
      <c r="A1928" s="1" t="n">
        <v>1924</v>
      </c>
      <c r="B1928" s="81" t="n">
        <f aca="true">RAND()</f>
        <v>0.393858700852174</v>
      </c>
      <c r="C1928" s="82" t="n">
        <f aca="false">ROUND(IF(B1928&lt;(Inputs!$E$8-Inputs!$D$8)/(Inputs!$F$8-Inputs!$D$8),Inputs!$D$8+SQRT(B1928*(Inputs!$F$8-Inputs!$D$8)*(Inputs!$E$8-Inputs!$D$8)),Inputs!$F$8-SQRT((1-B1928)*(Inputs!$F$8-Inputs!$D$8)*(Inputs!$F$8-Inputs!$E$8))),0)</f>
        <v>24</v>
      </c>
      <c r="D1928" s="81" t="n">
        <f aca="true">RAND()</f>
        <v>0.741600356196837</v>
      </c>
      <c r="E1928" s="83" t="n">
        <f aca="false">IF(D1928&lt;(Inputs!$E$10-Inputs!$D$10)/(Inputs!$F$10-Inputs!$D$10),Inputs!$D$10+SQRT(D1928*(Inputs!$F$10-Inputs!$D$10)*(Inputs!$E$10-Inputs!$D$10)),Inputs!$F$10-SQRT((1-D1928)*(Inputs!$F$10-Inputs!$D$10)*(Inputs!$F$10-Inputs!$E$10)))</f>
        <v>0.111954617871833</v>
      </c>
      <c r="F1928" s="81" t="n">
        <f aca="true">RAND()</f>
        <v>0.262922444778401</v>
      </c>
      <c r="G1928" s="83" t="n">
        <f aca="false">IF(F1928&lt;(Inputs!$E$15-Inputs!$D$15)/(Inputs!$F$15-Inputs!$D$15),Inputs!$D$15+SQRT(F1928*(Inputs!$F$15-Inputs!$D$15)*(Inputs!$E$15-Inputs!$D$15)),Inputs!$F$15-SQRT((1-F1928)*(Inputs!$F$15-Inputs!$D$15)*(Inputs!$F$15-Inputs!$E$15)))</f>
        <v>0.672515163211345</v>
      </c>
      <c r="H1928" s="81" t="n">
        <f aca="true">RAND()</f>
        <v>0.972594997146368</v>
      </c>
      <c r="I1928" s="82" t="n">
        <f aca="false">ROUND(IF(H1928&lt;(Inputs!$E$17-Inputs!$D$17)/(Inputs!$F$17-Inputs!$D$17),Inputs!$D$17+SQRT(H1928*(Inputs!$F$17-Inputs!$D$17)*(Inputs!$E$17-Inputs!$D$17)),Inputs!$F$17-SQRT((1-H1928)*(Inputs!$F$17-Inputs!$D$17)*(Inputs!$F$17-Inputs!$E$17))),0)</f>
        <v>113</v>
      </c>
      <c r="J1928" s="81" t="n">
        <f aca="true">RAND()</f>
        <v>0.564467659450153</v>
      </c>
      <c r="K1928" s="83" t="n">
        <f aca="false">IF(J1928&lt;(Inputs!$E$18-Inputs!$D$18)/(Inputs!$F$18-Inputs!$D$18),Inputs!$D$18+SQRT(J1928*(Inputs!$F$18-Inputs!$D$18)*(Inputs!$E$18-Inputs!$D$18)),Inputs!$F$18-SQRT((1-J1928)*(Inputs!$F$18-Inputs!$D$18)*(Inputs!$F$18-Inputs!$E$18)))</f>
        <v>1.05478452981869</v>
      </c>
      <c r="L1928" s="81" t="n">
        <f aca="true">RAND()</f>
        <v>0.612164649009131</v>
      </c>
      <c r="M1928" s="83" t="n">
        <f aca="false">IF(L1928&lt;(Inputs!$E$24-Inputs!$D$24)/(Inputs!$F$24-Inputs!$D$24),Inputs!$D$24+SQRT(L1928*(Inputs!$F$24-Inputs!$D$24)*(Inputs!$E$24-Inputs!$D$24)),Inputs!$F$24-SQRT((1-L1928)*(Inputs!$F$24-Inputs!$D$24)*(Inputs!$F$24-Inputs!$E$24)))</f>
        <v>0.89490905579187</v>
      </c>
      <c r="N1928" s="81" t="n">
        <f aca="true">RAND()</f>
        <v>0.283776043618603</v>
      </c>
      <c r="O1928" s="83" t="n">
        <f aca="false">IF(N1928&lt;(Inputs!$E$26-Inputs!$D$26)/(Inputs!$F$26-Inputs!$D$26),Inputs!$D$26+SQRT(N1928*(Inputs!$F$26-Inputs!$D$26)*(Inputs!$E$26-Inputs!$D$26)),Inputs!$F$26-SQRT((1-N1928)*(Inputs!$F$26-Inputs!$D$26)*(Inputs!$F$26-Inputs!$E$26)))</f>
        <v>0.51730240140904</v>
      </c>
      <c r="P1928" s="81" t="n">
        <f aca="true">RAND()</f>
        <v>0.516459624433812</v>
      </c>
      <c r="Q1928" s="82" t="n">
        <f aca="false">IF(P1928&lt;(Inputs!$E$27-Inputs!$D$27)/(Inputs!$F$27-Inputs!$D$27),Inputs!$D$27+SQRT(P1928*(Inputs!$F$27-Inputs!$D$27)*(Inputs!$E$27-Inputs!$D$27)),Inputs!$F$27-SQRT((1-P1928)*(Inputs!$F$27-Inputs!$D$27)*(Inputs!$F$27-Inputs!$E$27)))</f>
        <v>89.779133045543</v>
      </c>
      <c r="R1928" s="81" t="n">
        <f aca="true">RAND()</f>
        <v>0.737814969239762</v>
      </c>
      <c r="S1928" s="82" t="n">
        <f aca="false">IF(R1928&lt;(Inputs!$E$29-Inputs!$D$29)/(Inputs!$F$29-Inputs!$D$29),Inputs!$D$29+SQRT(R1928*(Inputs!$F$29-Inputs!$D$29)*(Inputs!$E$29-Inputs!$D$29)),Inputs!$F$29-SQRT((1-R1928)*(Inputs!$F$29-Inputs!$D$29)*(Inputs!$F$29-Inputs!$E$29)))</f>
        <v>9.16184498331613</v>
      </c>
      <c r="T1928" s="68" t="n">
        <f aca="false">Inputs!$E$9*(1+E1928)+Inputs!$E$5*C1928*(Inputs!$E$11*Inputs!$E$14*(G1928*I1928/Inputs!$E$16+(1-G1928))*K1928+Inputs!$E$23*M1928)*(1+O1928)+Inputs!$E$5*(Q1928+S1928)</f>
        <v>6286.66413270998</v>
      </c>
    </row>
    <row r="1929" customFormat="false" ht="15" hidden="false" customHeight="false" outlineLevel="0" collapsed="false">
      <c r="A1929" s="1" t="n">
        <v>1925</v>
      </c>
      <c r="B1929" s="81" t="n">
        <f aca="true">RAND()</f>
        <v>6.8791972837488E-005</v>
      </c>
      <c r="C1929" s="82" t="n">
        <f aca="false">ROUND(IF(B1929&lt;(Inputs!$E$8-Inputs!$D$8)/(Inputs!$F$8-Inputs!$D$8),Inputs!$D$8+SQRT(B1929*(Inputs!$F$8-Inputs!$D$8)*(Inputs!$E$8-Inputs!$D$8)),Inputs!$F$8-SQRT((1-B1929)*(Inputs!$F$8-Inputs!$D$8)*(Inputs!$F$8-Inputs!$E$8))),0)</f>
        <v>20</v>
      </c>
      <c r="D1929" s="81" t="n">
        <f aca="true">RAND()</f>
        <v>0.379462368413236</v>
      </c>
      <c r="E1929" s="83" t="n">
        <f aca="false">IF(D1929&lt;(Inputs!$E$10-Inputs!$D$10)/(Inputs!$F$10-Inputs!$D$10),Inputs!$D$10+SQRT(D1929*(Inputs!$F$10-Inputs!$D$10)*(Inputs!$E$10-Inputs!$D$10)),Inputs!$F$10-SQRT((1-D1929)*(Inputs!$F$10-Inputs!$D$10)*(Inputs!$F$10-Inputs!$E$10)))</f>
        <v>0.0635590642526851</v>
      </c>
      <c r="F1929" s="81" t="n">
        <f aca="true">RAND()</f>
        <v>0.485269357993923</v>
      </c>
      <c r="G1929" s="83" t="n">
        <f aca="false">IF(F1929&lt;(Inputs!$E$15-Inputs!$D$15)/(Inputs!$F$15-Inputs!$D$15),Inputs!$D$15+SQRT(F1929*(Inputs!$F$15-Inputs!$D$15)*(Inputs!$E$15-Inputs!$D$15)),Inputs!$F$15-SQRT((1-F1929)*(Inputs!$F$15-Inputs!$D$15)*(Inputs!$F$15-Inputs!$E$15)))</f>
        <v>0.698515923382357</v>
      </c>
      <c r="H1929" s="81" t="n">
        <f aca="true">RAND()</f>
        <v>0.0259753972966473</v>
      </c>
      <c r="I1929" s="82" t="n">
        <f aca="false">ROUND(IF(H1929&lt;(Inputs!$E$17-Inputs!$D$17)/(Inputs!$F$17-Inputs!$D$17),Inputs!$D$17+SQRT(H1929*(Inputs!$F$17-Inputs!$D$17)*(Inputs!$E$17-Inputs!$D$17)),Inputs!$F$17-SQRT((1-H1929)*(Inputs!$F$17-Inputs!$D$17)*(Inputs!$F$17-Inputs!$E$17))),0)</f>
        <v>101</v>
      </c>
      <c r="J1929" s="81" t="n">
        <f aca="true">RAND()</f>
        <v>0.191291979862131</v>
      </c>
      <c r="K1929" s="83" t="n">
        <f aca="false">IF(J1929&lt;(Inputs!$E$18-Inputs!$D$18)/(Inputs!$F$18-Inputs!$D$18),Inputs!$D$18+SQRT(J1929*(Inputs!$F$18-Inputs!$D$18)*(Inputs!$E$18-Inputs!$D$18)),Inputs!$F$18-SQRT((1-J1929)*(Inputs!$F$18-Inputs!$D$18)*(Inputs!$F$18-Inputs!$E$18)))</f>
        <v>0.98182431970493</v>
      </c>
      <c r="L1929" s="81" t="n">
        <f aca="true">RAND()</f>
        <v>0.558489032879414</v>
      </c>
      <c r="M1929" s="83" t="n">
        <f aca="false">IF(L1929&lt;(Inputs!$E$24-Inputs!$D$24)/(Inputs!$F$24-Inputs!$D$24),Inputs!$D$24+SQRT(L1929*(Inputs!$F$24-Inputs!$D$24)*(Inputs!$E$24-Inputs!$D$24)),Inputs!$F$24-SQRT((1-L1929)*(Inputs!$F$24-Inputs!$D$24)*(Inputs!$F$24-Inputs!$E$24)))</f>
        <v>0.874480980419053</v>
      </c>
      <c r="N1929" s="81" t="n">
        <f aca="true">RAND()</f>
        <v>0.615952045381849</v>
      </c>
      <c r="O1929" s="83" t="n">
        <f aca="false">IF(N1929&lt;(Inputs!$E$26-Inputs!$D$26)/(Inputs!$F$26-Inputs!$D$26),Inputs!$D$26+SQRT(N1929*(Inputs!$F$26-Inputs!$D$26)*(Inputs!$E$26-Inputs!$D$26)),Inputs!$F$26-SQRT((1-N1929)*(Inputs!$F$26-Inputs!$D$26)*(Inputs!$F$26-Inputs!$E$26)))</f>
        <v>0.620147586253536</v>
      </c>
      <c r="P1929" s="81" t="n">
        <f aca="true">RAND()</f>
        <v>0.793344624787163</v>
      </c>
      <c r="Q1929" s="82" t="n">
        <f aca="false">IF(P1929&lt;(Inputs!$E$27-Inputs!$D$27)/(Inputs!$F$27-Inputs!$D$27),Inputs!$D$27+SQRT(P1929*(Inputs!$F$27-Inputs!$D$27)*(Inputs!$E$27-Inputs!$D$27)),Inputs!$F$27-SQRT((1-P1929)*(Inputs!$F$27-Inputs!$D$27)*(Inputs!$F$27-Inputs!$E$27)))</f>
        <v>110.631036156685</v>
      </c>
      <c r="R1929" s="81" t="n">
        <f aca="true">RAND()</f>
        <v>0.0914795338440498</v>
      </c>
      <c r="S1929" s="82" t="n">
        <f aca="false">IF(R1929&lt;(Inputs!$E$29-Inputs!$D$29)/(Inputs!$F$29-Inputs!$D$29),Inputs!$D$29+SQRT(R1929*(Inputs!$F$29-Inputs!$D$29)*(Inputs!$E$29-Inputs!$D$29)),Inputs!$F$29-SQRT((1-R1929)*(Inputs!$F$29-Inputs!$D$29)*(Inputs!$F$29-Inputs!$E$29)))</f>
        <v>3.88883610192042</v>
      </c>
      <c r="T1929" s="68" t="n">
        <f aca="false">Inputs!$E$9*(1+E1929)+Inputs!$E$5*C1929*(Inputs!$E$11*Inputs!$E$14*(G1929*I1929/Inputs!$E$16+(1-G1929))*K1929+Inputs!$E$23*M1929)*(1+O1929)+Inputs!$E$5*(Q1929+S1929)</f>
        <v>5595.64095179724</v>
      </c>
    </row>
    <row r="1930" customFormat="false" ht="15" hidden="false" customHeight="false" outlineLevel="0" collapsed="false">
      <c r="A1930" s="1" t="n">
        <v>1926</v>
      </c>
      <c r="B1930" s="81" t="n">
        <f aca="true">RAND()</f>
        <v>0.897591632603596</v>
      </c>
      <c r="C1930" s="82" t="n">
        <f aca="false">ROUND(IF(B1930&lt;(Inputs!$E$8-Inputs!$D$8)/(Inputs!$F$8-Inputs!$D$8),Inputs!$D$8+SQRT(B1930*(Inputs!$F$8-Inputs!$D$8)*(Inputs!$E$8-Inputs!$D$8)),Inputs!$F$8-SQRT((1-B1930)*(Inputs!$F$8-Inputs!$D$8)*(Inputs!$F$8-Inputs!$E$8))),0)</f>
        <v>28</v>
      </c>
      <c r="D1930" s="81" t="n">
        <f aca="true">RAND()</f>
        <v>0.0600457758791452</v>
      </c>
      <c r="E1930" s="83" t="n">
        <f aca="false">IF(D1930&lt;(Inputs!$E$10-Inputs!$D$10)/(Inputs!$F$10-Inputs!$D$10),Inputs!$D$10+SQRT(D1930*(Inputs!$F$10-Inputs!$D$10)*(Inputs!$E$10-Inputs!$D$10)),Inputs!$F$10-SQRT((1-D1930)*(Inputs!$F$10-Inputs!$D$10)*(Inputs!$F$10-Inputs!$E$10)))</f>
        <v>0.0245042396085137</v>
      </c>
      <c r="F1930" s="81" t="n">
        <f aca="true">RAND()</f>
        <v>0.768238811297254</v>
      </c>
      <c r="G1930" s="83" t="n">
        <f aca="false">IF(F1930&lt;(Inputs!$E$15-Inputs!$D$15)/(Inputs!$F$15-Inputs!$D$15),Inputs!$D$15+SQRT(F1930*(Inputs!$F$15-Inputs!$D$15)*(Inputs!$E$15-Inputs!$D$15)),Inputs!$F$15-SQRT((1-F1930)*(Inputs!$F$15-Inputs!$D$15)*(Inputs!$F$15-Inputs!$E$15)))</f>
        <v>0.731917522268539</v>
      </c>
      <c r="H1930" s="81" t="n">
        <f aca="true">RAND()</f>
        <v>0.143298427552598</v>
      </c>
      <c r="I1930" s="82" t="n">
        <f aca="false">ROUND(IF(H1930&lt;(Inputs!$E$17-Inputs!$D$17)/(Inputs!$F$17-Inputs!$D$17),Inputs!$D$17+SQRT(H1930*(Inputs!$F$17-Inputs!$D$17)*(Inputs!$E$17-Inputs!$D$17)),Inputs!$F$17-SQRT((1-H1930)*(Inputs!$F$17-Inputs!$D$17)*(Inputs!$F$17-Inputs!$E$17))),0)</f>
        <v>103</v>
      </c>
      <c r="J1930" s="81" t="n">
        <f aca="true">RAND()</f>
        <v>0.364020585291661</v>
      </c>
      <c r="K1930" s="83" t="n">
        <f aca="false">IF(J1930&lt;(Inputs!$E$18-Inputs!$D$18)/(Inputs!$F$18-Inputs!$D$18),Inputs!$D$18+SQRT(J1930*(Inputs!$F$18-Inputs!$D$18)*(Inputs!$E$18-Inputs!$D$18)),Inputs!$F$18-SQRT((1-J1930)*(Inputs!$F$18-Inputs!$D$18)*(Inputs!$F$18-Inputs!$E$18)))</f>
        <v>1.01410129549533</v>
      </c>
      <c r="L1930" s="81" t="n">
        <f aca="true">RAND()</f>
        <v>0.465647826071223</v>
      </c>
      <c r="M1930" s="83" t="n">
        <f aca="false">IF(L1930&lt;(Inputs!$E$24-Inputs!$D$24)/(Inputs!$F$24-Inputs!$D$24),Inputs!$D$24+SQRT(L1930*(Inputs!$F$24-Inputs!$D$24)*(Inputs!$E$24-Inputs!$D$24)),Inputs!$F$24-SQRT((1-L1930)*(Inputs!$F$24-Inputs!$D$24)*(Inputs!$F$24-Inputs!$E$24)))</f>
        <v>0.841887557123595</v>
      </c>
      <c r="N1930" s="81" t="n">
        <f aca="true">RAND()</f>
        <v>0.751750244732132</v>
      </c>
      <c r="O1930" s="83" t="n">
        <f aca="false">IF(N1930&lt;(Inputs!$E$26-Inputs!$D$26)/(Inputs!$F$26-Inputs!$D$26),Inputs!$D$26+SQRT(N1930*(Inputs!$F$26-Inputs!$D$26)*(Inputs!$E$26-Inputs!$D$26)),Inputs!$F$26-SQRT((1-N1930)*(Inputs!$F$26-Inputs!$D$26)*(Inputs!$F$26-Inputs!$E$26)))</f>
        <v>0.659320273376327</v>
      </c>
      <c r="P1930" s="81" t="n">
        <f aca="true">RAND()</f>
        <v>0.850610878493535</v>
      </c>
      <c r="Q1930" s="82" t="n">
        <f aca="false">IF(P1930&lt;(Inputs!$E$27-Inputs!$D$27)/(Inputs!$F$27-Inputs!$D$27),Inputs!$D$27+SQRT(P1930*(Inputs!$F$27-Inputs!$D$27)*(Inputs!$E$27-Inputs!$D$27)),Inputs!$F$27-SQRT((1-P1930)*(Inputs!$F$27-Inputs!$D$27)*(Inputs!$F$27-Inputs!$E$27)))</f>
        <v>116.527348307932</v>
      </c>
      <c r="R1930" s="81" t="n">
        <f aca="true">RAND()</f>
        <v>0.148363128917216</v>
      </c>
      <c r="S1930" s="82" t="n">
        <f aca="false">IF(R1930&lt;(Inputs!$E$29-Inputs!$D$29)/(Inputs!$F$29-Inputs!$D$29),Inputs!$D$29+SQRT(R1930*(Inputs!$F$29-Inputs!$D$29)*(Inputs!$E$29-Inputs!$D$29)),Inputs!$F$29-SQRT((1-R1930)*(Inputs!$F$29-Inputs!$D$29)*(Inputs!$F$29-Inputs!$E$29)))</f>
        <v>4.40544424748765</v>
      </c>
      <c r="T1930" s="68" t="n">
        <f aca="false">Inputs!$E$9*(1+E1930)+Inputs!$E$5*C1930*(Inputs!$E$11*Inputs!$E$14*(G1930*I1930/Inputs!$E$16+(1-G1930))*K1930+Inputs!$E$23*M1930)*(1+O1930)+Inputs!$E$5*(Q1930+S1930)</f>
        <v>6704.44877694754</v>
      </c>
    </row>
    <row r="1931" customFormat="false" ht="15" hidden="false" customHeight="false" outlineLevel="0" collapsed="false">
      <c r="A1931" s="1" t="n">
        <v>1927</v>
      </c>
      <c r="B1931" s="81" t="n">
        <f aca="true">RAND()</f>
        <v>0.475404480252258</v>
      </c>
      <c r="C1931" s="82" t="n">
        <f aca="false">ROUND(IF(B1931&lt;(Inputs!$E$8-Inputs!$D$8)/(Inputs!$F$8-Inputs!$D$8),Inputs!$D$8+SQRT(B1931*(Inputs!$F$8-Inputs!$D$8)*(Inputs!$E$8-Inputs!$D$8)),Inputs!$F$8-SQRT((1-B1931)*(Inputs!$F$8-Inputs!$D$8)*(Inputs!$F$8-Inputs!$E$8))),0)</f>
        <v>25</v>
      </c>
      <c r="D1931" s="81" t="n">
        <f aca="true">RAND()</f>
        <v>0.877675649952259</v>
      </c>
      <c r="E1931" s="83" t="n">
        <f aca="false">IF(D1931&lt;(Inputs!$E$10-Inputs!$D$10)/(Inputs!$F$10-Inputs!$D$10),Inputs!$D$10+SQRT(D1931*(Inputs!$F$10-Inputs!$D$10)*(Inputs!$E$10-Inputs!$D$10)),Inputs!$F$10-SQRT((1-D1931)*(Inputs!$F$10-Inputs!$D$10)*(Inputs!$F$10-Inputs!$E$10)))</f>
        <v>0.13942169941776</v>
      </c>
      <c r="F1931" s="81" t="n">
        <f aca="true">RAND()</f>
        <v>0.37311609181116</v>
      </c>
      <c r="G1931" s="83" t="n">
        <f aca="false">IF(F1931&lt;(Inputs!$E$15-Inputs!$D$15)/(Inputs!$F$15-Inputs!$D$15),Inputs!$D$15+SQRT(F1931*(Inputs!$F$15-Inputs!$D$15)*(Inputs!$E$15-Inputs!$D$15)),Inputs!$F$15-SQRT((1-F1931)*(Inputs!$F$15-Inputs!$D$15)*(Inputs!$F$15-Inputs!$E$15)))</f>
        <v>0.686384731499399</v>
      </c>
      <c r="H1931" s="81" t="n">
        <f aca="true">RAND()</f>
        <v>0.982139172869069</v>
      </c>
      <c r="I1931" s="82" t="n">
        <f aca="false">ROUND(IF(H1931&lt;(Inputs!$E$17-Inputs!$D$17)/(Inputs!$F$17-Inputs!$D$17),Inputs!$D$17+SQRT(H1931*(Inputs!$F$17-Inputs!$D$17)*(Inputs!$E$17-Inputs!$D$17)),Inputs!$F$17-SQRT((1-H1931)*(Inputs!$F$17-Inputs!$D$17)*(Inputs!$F$17-Inputs!$E$17))),0)</f>
        <v>113</v>
      </c>
      <c r="J1931" s="81" t="n">
        <f aca="true">RAND()</f>
        <v>0.546302955971616</v>
      </c>
      <c r="K1931" s="83" t="n">
        <f aca="false">IF(J1931&lt;(Inputs!$E$18-Inputs!$D$18)/(Inputs!$F$18-Inputs!$D$18),Inputs!$D$18+SQRT(J1931*(Inputs!$F$18-Inputs!$D$18)*(Inputs!$E$18-Inputs!$D$18)),Inputs!$F$18-SQRT((1-J1931)*(Inputs!$F$18-Inputs!$D$18)*(Inputs!$F$18-Inputs!$E$18)))</f>
        <v>1.05075519742667</v>
      </c>
      <c r="L1931" s="81" t="n">
        <f aca="true">RAND()</f>
        <v>0.302424595340222</v>
      </c>
      <c r="M1931" s="83" t="n">
        <f aca="false">IF(L1931&lt;(Inputs!$E$24-Inputs!$D$24)/(Inputs!$F$24-Inputs!$D$24),Inputs!$D$24+SQRT(L1931*(Inputs!$F$24-Inputs!$D$24)*(Inputs!$E$24-Inputs!$D$24)),Inputs!$F$24-SQRT((1-L1931)*(Inputs!$F$24-Inputs!$D$24)*(Inputs!$F$24-Inputs!$E$24)))</f>
        <v>0.790501841043142</v>
      </c>
      <c r="N1931" s="81" t="n">
        <f aca="true">RAND()</f>
        <v>0.269656744306701</v>
      </c>
      <c r="O1931" s="83" t="n">
        <f aca="false">IF(N1931&lt;(Inputs!$E$26-Inputs!$D$26)/(Inputs!$F$26-Inputs!$D$26),Inputs!$D$26+SQRT(N1931*(Inputs!$F$26-Inputs!$D$26)*(Inputs!$E$26-Inputs!$D$26)),Inputs!$F$26-SQRT((1-N1931)*(Inputs!$F$26-Inputs!$D$26)*(Inputs!$F$26-Inputs!$E$26)))</f>
        <v>0.511827482288383</v>
      </c>
      <c r="P1931" s="81" t="n">
        <f aca="true">RAND()</f>
        <v>0.775835132832995</v>
      </c>
      <c r="Q1931" s="82" t="n">
        <f aca="false">IF(P1931&lt;(Inputs!$E$27-Inputs!$D$27)/(Inputs!$F$27-Inputs!$D$27),Inputs!$D$27+SQRT(P1931*(Inputs!$F$27-Inputs!$D$27)*(Inputs!$E$27-Inputs!$D$27)),Inputs!$F$27-SQRT((1-P1931)*(Inputs!$F$27-Inputs!$D$27)*(Inputs!$F$27-Inputs!$E$27)))</f>
        <v>108.997115909335</v>
      </c>
      <c r="R1931" s="81" t="n">
        <f aca="true">RAND()</f>
        <v>0.43127711933743</v>
      </c>
      <c r="S1931" s="82" t="n">
        <f aca="false">IF(R1931&lt;(Inputs!$E$29-Inputs!$D$29)/(Inputs!$F$29-Inputs!$D$29),Inputs!$D$29+SQRT(R1931*(Inputs!$F$29-Inputs!$D$29)*(Inputs!$E$29-Inputs!$D$29)),Inputs!$F$29-SQRT((1-R1931)*(Inputs!$F$29-Inputs!$D$29)*(Inputs!$F$29-Inputs!$E$29)))</f>
        <v>6.4015132444055</v>
      </c>
      <c r="T1931" s="68" t="n">
        <f aca="false">Inputs!$E$9*(1+E1931)+Inputs!$E$5*C1931*(Inputs!$E$11*Inputs!$E$14*(G1931*I1931/Inputs!$E$16+(1-G1931))*K1931+Inputs!$E$23*M1931)*(1+O1931)+Inputs!$E$5*(Q1931+S1931)</f>
        <v>6390.35334591356</v>
      </c>
    </row>
    <row r="1932" customFormat="false" ht="15" hidden="false" customHeight="false" outlineLevel="0" collapsed="false">
      <c r="A1932" s="1" t="n">
        <v>1928</v>
      </c>
      <c r="B1932" s="81" t="n">
        <f aca="true">RAND()</f>
        <v>0.84062805441118</v>
      </c>
      <c r="C1932" s="82" t="n">
        <f aca="false">ROUND(IF(B1932&lt;(Inputs!$E$8-Inputs!$D$8)/(Inputs!$F$8-Inputs!$D$8),Inputs!$D$8+SQRT(B1932*(Inputs!$F$8-Inputs!$D$8)*(Inputs!$E$8-Inputs!$D$8)),Inputs!$F$8-SQRT((1-B1932)*(Inputs!$F$8-Inputs!$D$8)*(Inputs!$F$8-Inputs!$E$8))),0)</f>
        <v>27</v>
      </c>
      <c r="D1932" s="81" t="n">
        <f aca="true">RAND()</f>
        <v>0.430273995701891</v>
      </c>
      <c r="E1932" s="83" t="n">
        <f aca="false">IF(D1932&lt;(Inputs!$E$10-Inputs!$D$10)/(Inputs!$F$10-Inputs!$D$10),Inputs!$D$10+SQRT(D1932*(Inputs!$F$10-Inputs!$D$10)*(Inputs!$E$10-Inputs!$D$10)),Inputs!$F$10-SQRT((1-D1932)*(Inputs!$F$10-Inputs!$D$10)*(Inputs!$F$10-Inputs!$E$10)))</f>
        <v>0.0692644649341914</v>
      </c>
      <c r="F1932" s="81" t="n">
        <f aca="true">RAND()</f>
        <v>0.624974710816423</v>
      </c>
      <c r="G1932" s="83" t="n">
        <f aca="false">IF(F1932&lt;(Inputs!$E$15-Inputs!$D$15)/(Inputs!$F$15-Inputs!$D$15),Inputs!$D$15+SQRT(F1932*(Inputs!$F$15-Inputs!$D$15)*(Inputs!$E$15-Inputs!$D$15)),Inputs!$F$15-SQRT((1-F1932)*(Inputs!$F$15-Inputs!$D$15)*(Inputs!$F$15-Inputs!$E$15)))</f>
        <v>0.713394539527397</v>
      </c>
      <c r="H1932" s="81" t="n">
        <f aca="true">RAND()</f>
        <v>0.481189158083425</v>
      </c>
      <c r="I1932" s="82" t="n">
        <f aca="false">ROUND(IF(H1932&lt;(Inputs!$E$17-Inputs!$D$17)/(Inputs!$F$17-Inputs!$D$17),Inputs!$D$17+SQRT(H1932*(Inputs!$F$17-Inputs!$D$17)*(Inputs!$E$17-Inputs!$D$17)),Inputs!$F$17-SQRT((1-H1932)*(Inputs!$F$17-Inputs!$D$17)*(Inputs!$F$17-Inputs!$E$17))),0)</f>
        <v>106</v>
      </c>
      <c r="J1932" s="81" t="n">
        <f aca="true">RAND()</f>
        <v>0.766433640911789</v>
      </c>
      <c r="K1932" s="83" t="n">
        <f aca="false">IF(J1932&lt;(Inputs!$E$18-Inputs!$D$18)/(Inputs!$F$18-Inputs!$D$18),Inputs!$D$18+SQRT(J1932*(Inputs!$F$18-Inputs!$D$18)*(Inputs!$E$18-Inputs!$D$18)),Inputs!$F$18-SQRT((1-J1932)*(Inputs!$F$18-Inputs!$D$18)*(Inputs!$F$18-Inputs!$E$18)))</f>
        <v>1.10704176686802</v>
      </c>
      <c r="L1932" s="81" t="n">
        <f aca="true">RAND()</f>
        <v>0.587376803514016</v>
      </c>
      <c r="M1932" s="83" t="n">
        <f aca="false">IF(L1932&lt;(Inputs!$E$24-Inputs!$D$24)/(Inputs!$F$24-Inputs!$D$24),Inputs!$D$24+SQRT(L1932*(Inputs!$F$24-Inputs!$D$24)*(Inputs!$E$24-Inputs!$D$24)),Inputs!$F$24-SQRT((1-L1932)*(Inputs!$F$24-Inputs!$D$24)*(Inputs!$F$24-Inputs!$E$24)))</f>
        <v>0.885310363760361</v>
      </c>
      <c r="N1932" s="81" t="n">
        <f aca="true">RAND()</f>
        <v>0.535889179998625</v>
      </c>
      <c r="O1932" s="83" t="n">
        <f aca="false">IF(N1932&lt;(Inputs!$E$26-Inputs!$D$26)/(Inputs!$F$26-Inputs!$D$26),Inputs!$D$26+SQRT(N1932*(Inputs!$F$26-Inputs!$D$26)*(Inputs!$E$26-Inputs!$D$26)),Inputs!$F$26-SQRT((1-N1932)*(Inputs!$F$26-Inputs!$D$26)*(Inputs!$F$26-Inputs!$E$26)))</f>
        <v>0.598616743589122</v>
      </c>
      <c r="P1932" s="81" t="n">
        <f aca="true">RAND()</f>
        <v>0.16379278044588</v>
      </c>
      <c r="Q1932" s="82" t="n">
        <f aca="false">IF(P1932&lt;(Inputs!$E$27-Inputs!$D$27)/(Inputs!$F$27-Inputs!$D$27),Inputs!$D$27+SQRT(P1932*(Inputs!$F$27-Inputs!$D$27)*(Inputs!$E$27-Inputs!$D$27)),Inputs!$F$27-SQRT((1-P1932)*(Inputs!$F$27-Inputs!$D$27)*(Inputs!$F$27-Inputs!$E$27)))</f>
        <v>70.2356603824708</v>
      </c>
      <c r="R1932" s="81" t="n">
        <f aca="true">RAND()</f>
        <v>0.816822988072254</v>
      </c>
      <c r="S1932" s="82" t="n">
        <f aca="false">IF(R1932&lt;(Inputs!$E$29-Inputs!$D$29)/(Inputs!$F$29-Inputs!$D$29),Inputs!$D$29+SQRT(R1932*(Inputs!$F$29-Inputs!$D$29)*(Inputs!$E$29-Inputs!$D$29)),Inputs!$F$29-SQRT((1-R1932)*(Inputs!$F$29-Inputs!$D$29)*(Inputs!$F$29-Inputs!$E$29)))</f>
        <v>10.1201422612327</v>
      </c>
      <c r="T1932" s="68" t="n">
        <f aca="false">Inputs!$E$9*(1+E1932)+Inputs!$E$5*C1932*(Inputs!$E$11*Inputs!$E$14*(G1932*I1932/Inputs!$E$16+(1-G1932))*K1932+Inputs!$E$23*M1932)*(1+O1932)+Inputs!$E$5*(Q1932+S1932)</f>
        <v>6675.33058119488</v>
      </c>
    </row>
    <row r="1933" customFormat="false" ht="15" hidden="false" customHeight="false" outlineLevel="0" collapsed="false">
      <c r="A1933" s="1" t="n">
        <v>1929</v>
      </c>
      <c r="B1933" s="81" t="n">
        <f aca="true">RAND()</f>
        <v>0.0508684120747264</v>
      </c>
      <c r="C1933" s="82" t="n">
        <f aca="false">ROUND(IF(B1933&lt;(Inputs!$E$8-Inputs!$D$8)/(Inputs!$F$8-Inputs!$D$8),Inputs!$D$8+SQRT(B1933*(Inputs!$F$8-Inputs!$D$8)*(Inputs!$E$8-Inputs!$D$8)),Inputs!$F$8-SQRT((1-B1933)*(Inputs!$F$8-Inputs!$D$8)*(Inputs!$F$8-Inputs!$E$8))),0)</f>
        <v>22</v>
      </c>
      <c r="D1933" s="81" t="n">
        <f aca="true">RAND()</f>
        <v>0.444845939914783</v>
      </c>
      <c r="E1933" s="83" t="n">
        <f aca="false">IF(D1933&lt;(Inputs!$E$10-Inputs!$D$10)/(Inputs!$F$10-Inputs!$D$10),Inputs!$D$10+SQRT(D1933*(Inputs!$F$10-Inputs!$D$10)*(Inputs!$E$10-Inputs!$D$10)),Inputs!$F$10-SQRT((1-D1933)*(Inputs!$F$10-Inputs!$D$10)*(Inputs!$F$10-Inputs!$E$10)))</f>
        <v>0.0709472131158861</v>
      </c>
      <c r="F1933" s="81" t="n">
        <f aca="true">RAND()</f>
        <v>0.163331173442278</v>
      </c>
      <c r="G1933" s="83" t="n">
        <f aca="false">IF(F1933&lt;(Inputs!$E$15-Inputs!$D$15)/(Inputs!$F$15-Inputs!$D$15),Inputs!$D$15+SQRT(F1933*(Inputs!$F$15-Inputs!$D$15)*(Inputs!$E$15-Inputs!$D$15)),Inputs!$F$15-SQRT((1-F1933)*(Inputs!$F$15-Inputs!$D$15)*(Inputs!$F$15-Inputs!$E$15)))</f>
        <v>0.657154382761478</v>
      </c>
      <c r="H1933" s="81" t="n">
        <f aca="true">RAND()</f>
        <v>0.78003977276927</v>
      </c>
      <c r="I1933" s="82" t="n">
        <f aca="false">ROUND(IF(H1933&lt;(Inputs!$E$17-Inputs!$D$17)/(Inputs!$F$17-Inputs!$D$17),Inputs!$D$17+SQRT(H1933*(Inputs!$F$17-Inputs!$D$17)*(Inputs!$E$17-Inputs!$D$17)),Inputs!$F$17-SQRT((1-H1933)*(Inputs!$F$17-Inputs!$D$17)*(Inputs!$F$17-Inputs!$E$17))),0)</f>
        <v>109</v>
      </c>
      <c r="J1933" s="81" t="n">
        <f aca="true">RAND()</f>
        <v>0.802951919897106</v>
      </c>
      <c r="K1933" s="83" t="n">
        <f aca="false">IF(J1933&lt;(Inputs!$E$18-Inputs!$D$18)/(Inputs!$F$18-Inputs!$D$18),Inputs!$D$18+SQRT(J1933*(Inputs!$F$18-Inputs!$D$18)*(Inputs!$E$18-Inputs!$D$18)),Inputs!$F$18-SQRT((1-J1933)*(Inputs!$F$18-Inputs!$D$18)*(Inputs!$F$18-Inputs!$E$18)))</f>
        <v>1.11869231930689</v>
      </c>
      <c r="L1933" s="81" t="n">
        <f aca="true">RAND()</f>
        <v>0.443305707323531</v>
      </c>
      <c r="M1933" s="83" t="n">
        <f aca="false">IF(L1933&lt;(Inputs!$E$24-Inputs!$D$24)/(Inputs!$F$24-Inputs!$D$24),Inputs!$D$24+SQRT(L1933*(Inputs!$F$24-Inputs!$D$24)*(Inputs!$E$24-Inputs!$D$24)),Inputs!$F$24-SQRT((1-L1933)*(Inputs!$F$24-Inputs!$D$24)*(Inputs!$F$24-Inputs!$E$24)))</f>
        <v>0.834477592694576</v>
      </c>
      <c r="N1933" s="81" t="n">
        <f aca="true">RAND()</f>
        <v>0.976043182995265</v>
      </c>
      <c r="O1933" s="83" t="n">
        <f aca="false">IF(N1933&lt;(Inputs!$E$26-Inputs!$D$26)/(Inputs!$F$26-Inputs!$D$26),Inputs!$D$26+SQRT(N1933*(Inputs!$F$26-Inputs!$D$26)*(Inputs!$E$26-Inputs!$D$26)),Inputs!$F$26-SQRT((1-N1933)*(Inputs!$F$26-Inputs!$D$26)*(Inputs!$F$26-Inputs!$E$26)))</f>
        <v>0.770084982535389</v>
      </c>
      <c r="P1933" s="81" t="n">
        <f aca="true">RAND()</f>
        <v>0.62325033463242</v>
      </c>
      <c r="Q1933" s="82" t="n">
        <f aca="false">IF(P1933&lt;(Inputs!$E$27-Inputs!$D$27)/(Inputs!$F$27-Inputs!$D$27),Inputs!$D$27+SQRT(P1933*(Inputs!$F$27-Inputs!$D$27)*(Inputs!$E$27-Inputs!$D$27)),Inputs!$F$27-SQRT((1-P1933)*(Inputs!$F$27-Inputs!$D$27)*(Inputs!$F$27-Inputs!$E$27)))</f>
        <v>96.8434153631288</v>
      </c>
      <c r="R1933" s="81" t="n">
        <f aca="true">RAND()</f>
        <v>0.530447420161742</v>
      </c>
      <c r="S1933" s="82" t="n">
        <f aca="false">IF(R1933&lt;(Inputs!$E$29-Inputs!$D$29)/(Inputs!$F$29-Inputs!$D$29),Inputs!$D$29+SQRT(R1933*(Inputs!$F$29-Inputs!$D$29)*(Inputs!$E$29-Inputs!$D$29)),Inputs!$F$29-SQRT((1-R1933)*(Inputs!$F$29-Inputs!$D$29)*(Inputs!$F$29-Inputs!$E$29)))</f>
        <v>7.1870725474395</v>
      </c>
      <c r="T1933" s="68" t="n">
        <f aca="false">Inputs!$E$9*(1+E1933)+Inputs!$E$5*C1933*(Inputs!$E$11*Inputs!$E$14*(G1933*I1933/Inputs!$E$16+(1-G1933))*K1933+Inputs!$E$23*M1933)*(1+O1933)+Inputs!$E$5*(Q1933+S1933)</f>
        <v>6484.01184921749</v>
      </c>
    </row>
    <row r="1934" customFormat="false" ht="15" hidden="false" customHeight="false" outlineLevel="0" collapsed="false">
      <c r="A1934" s="1" t="n">
        <v>1930</v>
      </c>
      <c r="B1934" s="81" t="n">
        <f aca="true">RAND()</f>
        <v>0.271045392911672</v>
      </c>
      <c r="C1934" s="82" t="n">
        <f aca="false">ROUND(IF(B1934&lt;(Inputs!$E$8-Inputs!$D$8)/(Inputs!$F$8-Inputs!$D$8),Inputs!$D$8+SQRT(B1934*(Inputs!$F$8-Inputs!$D$8)*(Inputs!$E$8-Inputs!$D$8)),Inputs!$F$8-SQRT((1-B1934)*(Inputs!$F$8-Inputs!$D$8)*(Inputs!$F$8-Inputs!$E$8))),0)</f>
        <v>24</v>
      </c>
      <c r="D1934" s="81" t="n">
        <f aca="true">RAND()</f>
        <v>0.0552148524056392</v>
      </c>
      <c r="E1934" s="83" t="n">
        <f aca="false">IF(D1934&lt;(Inputs!$E$10-Inputs!$D$10)/(Inputs!$F$10-Inputs!$D$10),Inputs!$D$10+SQRT(D1934*(Inputs!$F$10-Inputs!$D$10)*(Inputs!$E$10-Inputs!$D$10)),Inputs!$F$10-SQRT((1-D1934)*(Inputs!$F$10-Inputs!$D$10)*(Inputs!$F$10-Inputs!$E$10)))</f>
        <v>0.023497840838179</v>
      </c>
      <c r="F1934" s="81" t="n">
        <f aca="true">RAND()</f>
        <v>0.406053475655969</v>
      </c>
      <c r="G1934" s="83" t="n">
        <f aca="false">IF(F1934&lt;(Inputs!$E$15-Inputs!$D$15)/(Inputs!$F$15-Inputs!$D$15),Inputs!$D$15+SQRT(F1934*(Inputs!$F$15-Inputs!$D$15)*(Inputs!$E$15-Inputs!$D$15)),Inputs!$F$15-SQRT((1-F1934)*(Inputs!$F$15-Inputs!$D$15)*(Inputs!$F$15-Inputs!$E$15)))</f>
        <v>0.69011697683078</v>
      </c>
      <c r="H1934" s="81" t="n">
        <f aca="true">RAND()</f>
        <v>0.504629677369271</v>
      </c>
      <c r="I1934" s="82" t="n">
        <f aca="false">ROUND(IF(H1934&lt;(Inputs!$E$17-Inputs!$D$17)/(Inputs!$F$17-Inputs!$D$17),Inputs!$D$17+SQRT(H1934*(Inputs!$F$17-Inputs!$D$17)*(Inputs!$E$17-Inputs!$D$17)),Inputs!$F$17-SQRT((1-H1934)*(Inputs!$F$17-Inputs!$D$17)*(Inputs!$F$17-Inputs!$E$17))),0)</f>
        <v>106</v>
      </c>
      <c r="J1934" s="81" t="n">
        <f aca="true">RAND()</f>
        <v>0.750551107233673</v>
      </c>
      <c r="K1934" s="83" t="n">
        <f aca="false">IF(J1934&lt;(Inputs!$E$18-Inputs!$D$18)/(Inputs!$F$18-Inputs!$D$18),Inputs!$D$18+SQRT(J1934*(Inputs!$F$18-Inputs!$D$18)*(Inputs!$E$18-Inputs!$D$18)),Inputs!$F$18-SQRT((1-J1934)*(Inputs!$F$18-Inputs!$D$18)*(Inputs!$F$18-Inputs!$E$18)))</f>
        <v>1.10226111508119</v>
      </c>
      <c r="L1934" s="81" t="n">
        <f aca="true">RAND()</f>
        <v>0.301953397892125</v>
      </c>
      <c r="M1934" s="83" t="n">
        <f aca="false">IF(L1934&lt;(Inputs!$E$24-Inputs!$D$24)/(Inputs!$F$24-Inputs!$D$24),Inputs!$D$24+SQRT(L1934*(Inputs!$F$24-Inputs!$D$24)*(Inputs!$E$24-Inputs!$D$24)),Inputs!$F$24-SQRT((1-L1934)*(Inputs!$F$24-Inputs!$D$24)*(Inputs!$F$24-Inputs!$E$24)))</f>
        <v>0.790353375980189</v>
      </c>
      <c r="N1934" s="81" t="n">
        <f aca="true">RAND()</f>
        <v>0.976643517328964</v>
      </c>
      <c r="O1934" s="83" t="n">
        <f aca="false">IF(N1934&lt;(Inputs!$E$26-Inputs!$D$26)/(Inputs!$F$26-Inputs!$D$26),Inputs!$D$26+SQRT(N1934*(Inputs!$F$26-Inputs!$D$26)*(Inputs!$E$26-Inputs!$D$26)),Inputs!$F$26-SQRT((1-N1934)*(Inputs!$F$26-Inputs!$D$26)*(Inputs!$F$26-Inputs!$E$26)))</f>
        <v>0.770714361140513</v>
      </c>
      <c r="P1934" s="81" t="n">
        <f aca="true">RAND()</f>
        <v>0.799847558343779</v>
      </c>
      <c r="Q1934" s="82" t="n">
        <f aca="false">IF(P1934&lt;(Inputs!$E$27-Inputs!$D$27)/(Inputs!$F$27-Inputs!$D$27),Inputs!$D$27+SQRT(P1934*(Inputs!$F$27-Inputs!$D$27)*(Inputs!$E$27-Inputs!$D$27)),Inputs!$F$27-SQRT((1-P1934)*(Inputs!$F$27-Inputs!$D$27)*(Inputs!$F$27-Inputs!$E$27)))</f>
        <v>111.255409249527</v>
      </c>
      <c r="R1934" s="81" t="n">
        <f aca="true">RAND()</f>
        <v>0.147759262195756</v>
      </c>
      <c r="S1934" s="82" t="n">
        <f aca="false">IF(R1934&lt;(Inputs!$E$29-Inputs!$D$29)/(Inputs!$F$29-Inputs!$D$29),Inputs!$D$29+SQRT(R1934*(Inputs!$F$29-Inputs!$D$29)*(Inputs!$E$29-Inputs!$D$29)),Inputs!$F$29-SQRT((1-R1934)*(Inputs!$F$29-Inputs!$D$29)*(Inputs!$F$29-Inputs!$E$29)))</f>
        <v>4.40054394369994</v>
      </c>
      <c r="T1934" s="68" t="n">
        <f aca="false">Inputs!$E$9*(1+E1934)+Inputs!$E$5*C1934*(Inputs!$E$11*Inputs!$E$14*(G1934*I1934/Inputs!$E$16+(1-G1934))*K1934+Inputs!$E$23*M1934)*(1+O1934)+Inputs!$E$5*(Q1934+S1934)</f>
        <v>6571.79693060149</v>
      </c>
    </row>
    <row r="1935" customFormat="false" ht="15" hidden="false" customHeight="false" outlineLevel="0" collapsed="false">
      <c r="A1935" s="1" t="n">
        <v>1931</v>
      </c>
      <c r="B1935" s="81" t="n">
        <f aca="true">RAND()</f>
        <v>0.949564244361693</v>
      </c>
      <c r="C1935" s="82" t="n">
        <f aca="false">ROUND(IF(B1935&lt;(Inputs!$E$8-Inputs!$D$8)/(Inputs!$F$8-Inputs!$D$8),Inputs!$D$8+SQRT(B1935*(Inputs!$F$8-Inputs!$D$8)*(Inputs!$E$8-Inputs!$D$8)),Inputs!$F$8-SQRT((1-B1935)*(Inputs!$F$8-Inputs!$D$8)*(Inputs!$F$8-Inputs!$E$8))),0)</f>
        <v>28</v>
      </c>
      <c r="D1935" s="81" t="n">
        <f aca="true">RAND()</f>
        <v>0.364349655219903</v>
      </c>
      <c r="E1935" s="83" t="n">
        <f aca="false">IF(D1935&lt;(Inputs!$E$10-Inputs!$D$10)/(Inputs!$F$10-Inputs!$D$10),Inputs!$D$10+SQRT(D1935*(Inputs!$F$10-Inputs!$D$10)*(Inputs!$E$10-Inputs!$D$10)),Inputs!$F$10-SQRT((1-D1935)*(Inputs!$F$10-Inputs!$D$10)*(Inputs!$F$10-Inputs!$E$10)))</f>
        <v>0.0619076021520268</v>
      </c>
      <c r="F1935" s="81" t="n">
        <f aca="true">RAND()</f>
        <v>0.484897129972304</v>
      </c>
      <c r="G1935" s="83" t="n">
        <f aca="false">IF(F1935&lt;(Inputs!$E$15-Inputs!$D$15)/(Inputs!$F$15-Inputs!$D$15),Inputs!$D$15+SQRT(F1935*(Inputs!$F$15-Inputs!$D$15)*(Inputs!$E$15-Inputs!$D$15)),Inputs!$F$15-SQRT((1-F1935)*(Inputs!$F$15-Inputs!$D$15)*(Inputs!$F$15-Inputs!$E$15)))</f>
        <v>0.698478132595242</v>
      </c>
      <c r="H1935" s="81" t="n">
        <f aca="true">RAND()</f>
        <v>0.651272987943578</v>
      </c>
      <c r="I1935" s="82" t="n">
        <f aca="false">ROUND(IF(H1935&lt;(Inputs!$E$17-Inputs!$D$17)/(Inputs!$F$17-Inputs!$D$17),Inputs!$D$17+SQRT(H1935*(Inputs!$F$17-Inputs!$D$17)*(Inputs!$E$17-Inputs!$D$17)),Inputs!$F$17-SQRT((1-H1935)*(Inputs!$F$17-Inputs!$D$17)*(Inputs!$F$17-Inputs!$E$17))),0)</f>
        <v>108</v>
      </c>
      <c r="J1935" s="81" t="n">
        <f aca="true">RAND()</f>
        <v>0.176326848716147</v>
      </c>
      <c r="K1935" s="83" t="n">
        <f aca="false">IF(J1935&lt;(Inputs!$E$18-Inputs!$D$18)/(Inputs!$F$18-Inputs!$D$18),Inputs!$D$18+SQRT(J1935*(Inputs!$F$18-Inputs!$D$18)*(Inputs!$E$18-Inputs!$D$18)),Inputs!$F$18-SQRT((1-J1935)*(Inputs!$F$18-Inputs!$D$18)*(Inputs!$F$18-Inputs!$E$18)))</f>
        <v>0.978558511347054</v>
      </c>
      <c r="L1935" s="81" t="n">
        <f aca="true">RAND()</f>
        <v>0.740313639563653</v>
      </c>
      <c r="M1935" s="83" t="n">
        <f aca="false">IF(L1935&lt;(Inputs!$E$24-Inputs!$D$24)/(Inputs!$F$24-Inputs!$D$24),Inputs!$D$24+SQRT(L1935*(Inputs!$F$24-Inputs!$D$24)*(Inputs!$E$24-Inputs!$D$24)),Inputs!$F$24-SQRT((1-L1935)*(Inputs!$F$24-Inputs!$D$24)*(Inputs!$F$24-Inputs!$E$24)))</f>
        <v>0.950350793102155</v>
      </c>
      <c r="N1935" s="81" t="n">
        <f aca="true">RAND()</f>
        <v>0.52017510961162</v>
      </c>
      <c r="O1935" s="83" t="n">
        <f aca="false">IF(N1935&lt;(Inputs!$E$26-Inputs!$D$26)/(Inputs!$F$26-Inputs!$D$26),Inputs!$D$26+SQRT(N1935*(Inputs!$F$26-Inputs!$D$26)*(Inputs!$E$26-Inputs!$D$26)),Inputs!$F$26-SQRT((1-N1935)*(Inputs!$F$26-Inputs!$D$26)*(Inputs!$F$26-Inputs!$E$26)))</f>
        <v>0.594205945282167</v>
      </c>
      <c r="P1935" s="81" t="n">
        <f aca="true">RAND()</f>
        <v>0.255726429851822</v>
      </c>
      <c r="Q1935" s="82" t="n">
        <f aca="false">IF(P1935&lt;(Inputs!$E$27-Inputs!$D$27)/(Inputs!$F$27-Inputs!$D$27),Inputs!$D$27+SQRT(P1935*(Inputs!$F$27-Inputs!$D$27)*(Inputs!$E$27-Inputs!$D$27)),Inputs!$F$27-SQRT((1-P1935)*(Inputs!$F$27-Inputs!$D$27)*(Inputs!$F$27-Inputs!$E$27)))</f>
        <v>75.2868701223718</v>
      </c>
      <c r="R1935" s="81" t="n">
        <f aca="true">RAND()</f>
        <v>0.352999511010713</v>
      </c>
      <c r="S1935" s="82" t="n">
        <f aca="false">IF(R1935&lt;(Inputs!$E$29-Inputs!$D$29)/(Inputs!$F$29-Inputs!$D$29),Inputs!$D$29+SQRT(R1935*(Inputs!$F$29-Inputs!$D$29)*(Inputs!$E$29-Inputs!$D$29)),Inputs!$F$29-SQRT((1-R1935)*(Inputs!$F$29-Inputs!$D$29)*(Inputs!$F$29-Inputs!$E$29)))</f>
        <v>5.82884611574927</v>
      </c>
      <c r="T1935" s="68" t="n">
        <f aca="false">Inputs!$E$9*(1+E1935)+Inputs!$E$5*C1935*(Inputs!$E$11*Inputs!$E$14*(G1935*I1935/Inputs!$E$16+(1-G1935))*K1935+Inputs!$E$23*M1935)*(1+O1935)+Inputs!$E$5*(Q1935+S1935)</f>
        <v>6640.15980821292</v>
      </c>
    </row>
    <row r="1936" customFormat="false" ht="15" hidden="false" customHeight="false" outlineLevel="0" collapsed="false">
      <c r="A1936" s="1" t="n">
        <v>1932</v>
      </c>
      <c r="B1936" s="81" t="n">
        <f aca="true">RAND()</f>
        <v>0.47454764056317</v>
      </c>
      <c r="C1936" s="82" t="n">
        <f aca="false">ROUND(IF(B1936&lt;(Inputs!$E$8-Inputs!$D$8)/(Inputs!$F$8-Inputs!$D$8),Inputs!$D$8+SQRT(B1936*(Inputs!$F$8-Inputs!$D$8)*(Inputs!$E$8-Inputs!$D$8)),Inputs!$F$8-SQRT((1-B1936)*(Inputs!$F$8-Inputs!$D$8)*(Inputs!$F$8-Inputs!$E$8))),0)</f>
        <v>25</v>
      </c>
      <c r="D1936" s="81" t="n">
        <f aca="true">RAND()</f>
        <v>0.143263296933368</v>
      </c>
      <c r="E1936" s="83" t="n">
        <f aca="false">IF(D1936&lt;(Inputs!$E$10-Inputs!$D$10)/(Inputs!$F$10-Inputs!$D$10),Inputs!$D$10+SQRT(D1936*(Inputs!$F$10-Inputs!$D$10)*(Inputs!$E$10-Inputs!$D$10)),Inputs!$F$10-SQRT((1-D1936)*(Inputs!$F$10-Inputs!$D$10)*(Inputs!$F$10-Inputs!$E$10)))</f>
        <v>0.0378501383000601</v>
      </c>
      <c r="F1936" s="81" t="n">
        <f aca="true">RAND()</f>
        <v>0.974415994520302</v>
      </c>
      <c r="G1936" s="83" t="n">
        <f aca="false">IF(F1936&lt;(Inputs!$E$15-Inputs!$D$15)/(Inputs!$F$15-Inputs!$D$15),Inputs!$D$15+SQRT(F1936*(Inputs!$F$15-Inputs!$D$15)*(Inputs!$E$15-Inputs!$D$15)),Inputs!$F$15-SQRT((1-F1936)*(Inputs!$F$15-Inputs!$D$15)*(Inputs!$F$15-Inputs!$E$15)))</f>
        <v>0.777379652752578</v>
      </c>
      <c r="H1936" s="81" t="n">
        <f aca="true">RAND()</f>
        <v>0.298975111970273</v>
      </c>
      <c r="I1936" s="82" t="n">
        <f aca="false">ROUND(IF(H1936&lt;(Inputs!$E$17-Inputs!$D$17)/(Inputs!$F$17-Inputs!$D$17),Inputs!$D$17+SQRT(H1936*(Inputs!$F$17-Inputs!$D$17)*(Inputs!$E$17-Inputs!$D$17)),Inputs!$F$17-SQRT((1-H1936)*(Inputs!$F$17-Inputs!$D$17)*(Inputs!$F$17-Inputs!$E$17))),0)</f>
        <v>105</v>
      </c>
      <c r="J1936" s="81" t="n">
        <f aca="true">RAND()</f>
        <v>0.866933536392829</v>
      </c>
      <c r="K1936" s="83" t="n">
        <f aca="false">IF(J1936&lt;(Inputs!$E$18-Inputs!$D$18)/(Inputs!$F$18-Inputs!$D$18),Inputs!$D$18+SQRT(J1936*(Inputs!$F$18-Inputs!$D$18)*(Inputs!$E$18-Inputs!$D$18)),Inputs!$F$18-SQRT((1-J1936)*(Inputs!$F$18-Inputs!$D$18)*(Inputs!$F$18-Inputs!$E$18)))</f>
        <v>1.14209580376266</v>
      </c>
      <c r="L1936" s="81" t="n">
        <f aca="true">RAND()</f>
        <v>0.023096790514442</v>
      </c>
      <c r="M1936" s="83" t="n">
        <f aca="false">IF(L1936&lt;(Inputs!$E$24-Inputs!$D$24)/(Inputs!$F$24-Inputs!$D$24),Inputs!$D$24+SQRT(L1936*(Inputs!$F$24-Inputs!$D$24)*(Inputs!$E$24-Inputs!$D$24)),Inputs!$F$24-SQRT((1-L1936)*(Inputs!$F$24-Inputs!$D$24)*(Inputs!$F$24-Inputs!$E$24)))</f>
        <v>0.652646128649057</v>
      </c>
      <c r="N1936" s="81" t="n">
        <f aca="true">RAND()</f>
        <v>0.627660284048962</v>
      </c>
      <c r="O1936" s="83" t="n">
        <f aca="false">IF(N1936&lt;(Inputs!$E$26-Inputs!$D$26)/(Inputs!$F$26-Inputs!$D$26),Inputs!$D$26+SQRT(N1936*(Inputs!$F$26-Inputs!$D$26)*(Inputs!$E$26-Inputs!$D$26)),Inputs!$F$26-SQRT((1-N1936)*(Inputs!$F$26-Inputs!$D$26)*(Inputs!$F$26-Inputs!$E$26)))</f>
        <v>0.623217555511402</v>
      </c>
      <c r="P1936" s="81" t="n">
        <f aca="true">RAND()</f>
        <v>0.651118745947946</v>
      </c>
      <c r="Q1936" s="82" t="n">
        <f aca="false">IF(P1936&lt;(Inputs!$E$27-Inputs!$D$27)/(Inputs!$F$27-Inputs!$D$27),Inputs!$D$27+SQRT(P1936*(Inputs!$F$27-Inputs!$D$27)*(Inputs!$E$27-Inputs!$D$27)),Inputs!$F$27-SQRT((1-P1936)*(Inputs!$F$27-Inputs!$D$27)*(Inputs!$F$27-Inputs!$E$27)))</f>
        <v>98.8471955276115</v>
      </c>
      <c r="R1936" s="81" t="n">
        <f aca="true">RAND()</f>
        <v>0.551058124610564</v>
      </c>
      <c r="S1936" s="82" t="n">
        <f aca="false">IF(R1936&lt;(Inputs!$E$29-Inputs!$D$29)/(Inputs!$F$29-Inputs!$D$29),Inputs!$D$29+SQRT(R1936*(Inputs!$F$29-Inputs!$D$29)*(Inputs!$E$29-Inputs!$D$29)),Inputs!$F$29-SQRT((1-R1936)*(Inputs!$F$29-Inputs!$D$29)*(Inputs!$F$29-Inputs!$E$29)))</f>
        <v>7.36046835201093</v>
      </c>
      <c r="T1936" s="68" t="n">
        <f aca="false">Inputs!$E$9*(1+E1936)+Inputs!$E$5*C1936*(Inputs!$E$11*Inputs!$E$14*(G1936*I1936/Inputs!$E$16+(1-G1936))*K1936+Inputs!$E$23*M1936)*(1+O1936)+Inputs!$E$5*(Q1936+S1936)</f>
        <v>6127.94021732976</v>
      </c>
    </row>
    <row r="1937" customFormat="false" ht="15" hidden="false" customHeight="false" outlineLevel="0" collapsed="false">
      <c r="A1937" s="1" t="n">
        <v>1933</v>
      </c>
      <c r="B1937" s="81" t="n">
        <f aca="true">RAND()</f>
        <v>0.16880271745363</v>
      </c>
      <c r="C1937" s="82" t="n">
        <f aca="false">ROUND(IF(B1937&lt;(Inputs!$E$8-Inputs!$D$8)/(Inputs!$F$8-Inputs!$D$8),Inputs!$D$8+SQRT(B1937*(Inputs!$F$8-Inputs!$D$8)*(Inputs!$E$8-Inputs!$D$8)),Inputs!$F$8-SQRT((1-B1937)*(Inputs!$F$8-Inputs!$D$8)*(Inputs!$F$8-Inputs!$E$8))),0)</f>
        <v>23</v>
      </c>
      <c r="D1937" s="81" t="n">
        <f aca="true">RAND()</f>
        <v>0.242120047087058</v>
      </c>
      <c r="E1937" s="83" t="n">
        <f aca="false">IF(D1937&lt;(Inputs!$E$10-Inputs!$D$10)/(Inputs!$F$10-Inputs!$D$10),Inputs!$D$10+SQRT(D1937*(Inputs!$F$10-Inputs!$D$10)*(Inputs!$E$10-Inputs!$D$10)),Inputs!$F$10-SQRT((1-D1937)*(Inputs!$F$10-Inputs!$D$10)*(Inputs!$F$10-Inputs!$E$10)))</f>
        <v>0.0492056955125174</v>
      </c>
      <c r="F1937" s="81" t="n">
        <f aca="true">RAND()</f>
        <v>0.036858079231229</v>
      </c>
      <c r="G1937" s="83" t="n">
        <f aca="false">IF(F1937&lt;(Inputs!$E$15-Inputs!$D$15)/(Inputs!$F$15-Inputs!$D$15),Inputs!$D$15+SQRT(F1937*(Inputs!$F$15-Inputs!$D$15)*(Inputs!$E$15-Inputs!$D$15)),Inputs!$F$15-SQRT((1-F1937)*(Inputs!$F$15-Inputs!$D$15)*(Inputs!$F$15-Inputs!$E$15)))</f>
        <v>0.627150719780967</v>
      </c>
      <c r="H1937" s="81" t="n">
        <f aca="true">RAND()</f>
        <v>0.470130654142345</v>
      </c>
      <c r="I1937" s="82" t="n">
        <f aca="false">ROUND(IF(H1937&lt;(Inputs!$E$17-Inputs!$D$17)/(Inputs!$F$17-Inputs!$D$17),Inputs!$D$17+SQRT(H1937*(Inputs!$F$17-Inputs!$D$17)*(Inputs!$E$17-Inputs!$D$17)),Inputs!$F$17-SQRT((1-H1937)*(Inputs!$F$17-Inputs!$D$17)*(Inputs!$F$17-Inputs!$E$17))),0)</f>
        <v>106</v>
      </c>
      <c r="J1937" s="81" t="n">
        <f aca="true">RAND()</f>
        <v>0.093570475236755</v>
      </c>
      <c r="K1937" s="83" t="n">
        <f aca="false">IF(J1937&lt;(Inputs!$E$18-Inputs!$D$18)/(Inputs!$F$18-Inputs!$D$18),Inputs!$D$18+SQRT(J1937*(Inputs!$F$18-Inputs!$D$18)*(Inputs!$E$18-Inputs!$D$18)),Inputs!$F$18-SQRT((1-J1937)*(Inputs!$F$18-Inputs!$D$18)*(Inputs!$F$18-Inputs!$E$18)))</f>
        <v>0.957227324184225</v>
      </c>
      <c r="L1937" s="81" t="n">
        <f aca="true">RAND()</f>
        <v>0.403437782562304</v>
      </c>
      <c r="M1937" s="83" t="n">
        <f aca="false">IF(L1937&lt;(Inputs!$E$24-Inputs!$D$24)/(Inputs!$F$24-Inputs!$D$24),Inputs!$D$24+SQRT(L1937*(Inputs!$F$24-Inputs!$D$24)*(Inputs!$E$24-Inputs!$D$24)),Inputs!$F$24-SQRT((1-L1937)*(Inputs!$F$24-Inputs!$D$24)*(Inputs!$F$24-Inputs!$E$24)))</f>
        <v>0.821615364760873</v>
      </c>
      <c r="N1937" s="81" t="n">
        <f aca="true">RAND()</f>
        <v>0.786814394151547</v>
      </c>
      <c r="O1937" s="83" t="n">
        <f aca="false">IF(N1937&lt;(Inputs!$E$26-Inputs!$D$26)/(Inputs!$F$26-Inputs!$D$26),Inputs!$D$26+SQRT(N1937*(Inputs!$F$26-Inputs!$D$26)*(Inputs!$E$26-Inputs!$D$26)),Inputs!$F$26-SQRT((1-N1937)*(Inputs!$F$26-Inputs!$D$26)*(Inputs!$F$26-Inputs!$E$26)))</f>
        <v>0.671099687682533</v>
      </c>
      <c r="P1937" s="81" t="n">
        <f aca="true">RAND()</f>
        <v>0.306509680065366</v>
      </c>
      <c r="Q1937" s="82" t="n">
        <f aca="false">IF(P1937&lt;(Inputs!$E$27-Inputs!$D$27)/(Inputs!$F$27-Inputs!$D$27),Inputs!$D$27+SQRT(P1937*(Inputs!$F$27-Inputs!$D$27)*(Inputs!$E$27-Inputs!$D$27)),Inputs!$F$27-SQRT((1-P1937)*(Inputs!$F$27-Inputs!$D$27)*(Inputs!$F$27-Inputs!$E$27)))</f>
        <v>77.880811156047</v>
      </c>
      <c r="R1937" s="81" t="n">
        <f aca="true">RAND()</f>
        <v>0.462748976075627</v>
      </c>
      <c r="S1937" s="82" t="n">
        <f aca="false">IF(R1937&lt;(Inputs!$E$29-Inputs!$D$29)/(Inputs!$F$29-Inputs!$D$29),Inputs!$D$29+SQRT(R1937*(Inputs!$F$29-Inputs!$D$29)*(Inputs!$E$29-Inputs!$D$29)),Inputs!$F$29-SQRT((1-R1937)*(Inputs!$F$29-Inputs!$D$29)*(Inputs!$F$29-Inputs!$E$29)))</f>
        <v>6.64280949659705</v>
      </c>
      <c r="T1937" s="68" t="n">
        <f aca="false">Inputs!$E$9*(1+E1937)+Inputs!$E$5*C1937*(Inputs!$E$11*Inputs!$E$14*(G1937*I1937/Inputs!$E$16+(1-G1937))*K1937+Inputs!$E$23*M1937)*(1+O1937)+Inputs!$E$5*(Q1937+S1937)</f>
        <v>5931.28855295771</v>
      </c>
    </row>
    <row r="1938" customFormat="false" ht="15" hidden="false" customHeight="false" outlineLevel="0" collapsed="false">
      <c r="A1938" s="1" t="n">
        <v>1934</v>
      </c>
      <c r="B1938" s="81" t="n">
        <f aca="true">RAND()</f>
        <v>0.859714763811862</v>
      </c>
      <c r="C1938" s="82" t="n">
        <f aca="false">ROUND(IF(B1938&lt;(Inputs!$E$8-Inputs!$D$8)/(Inputs!$F$8-Inputs!$D$8),Inputs!$D$8+SQRT(B1938*(Inputs!$F$8-Inputs!$D$8)*(Inputs!$E$8-Inputs!$D$8)),Inputs!$F$8-SQRT((1-B1938)*(Inputs!$F$8-Inputs!$D$8)*(Inputs!$F$8-Inputs!$E$8))),0)</f>
        <v>27</v>
      </c>
      <c r="D1938" s="81" t="n">
        <f aca="true">RAND()</f>
        <v>0.671907862224517</v>
      </c>
      <c r="E1938" s="83" t="n">
        <f aca="false">IF(D1938&lt;(Inputs!$E$10-Inputs!$D$10)/(Inputs!$F$10-Inputs!$D$10),Inputs!$D$10+SQRT(D1938*(Inputs!$F$10-Inputs!$D$10)*(Inputs!$E$10-Inputs!$D$10)),Inputs!$F$10-SQRT((1-D1938)*(Inputs!$F$10-Inputs!$D$10)*(Inputs!$F$10-Inputs!$E$10)))</f>
        <v>0.100789294260828</v>
      </c>
      <c r="F1938" s="81" t="n">
        <f aca="true">RAND()</f>
        <v>0.305836375494878</v>
      </c>
      <c r="G1938" s="83" t="n">
        <f aca="false">IF(F1938&lt;(Inputs!$E$15-Inputs!$D$15)/(Inputs!$F$15-Inputs!$D$15),Inputs!$D$15+SQRT(F1938*(Inputs!$F$15-Inputs!$D$15)*(Inputs!$E$15-Inputs!$D$15)),Inputs!$F$15-SQRT((1-F1938)*(Inputs!$F$15-Inputs!$D$15)*(Inputs!$F$15-Inputs!$E$15)))</f>
        <v>0.678209510354544</v>
      </c>
      <c r="H1938" s="81" t="n">
        <f aca="true">RAND()</f>
        <v>0.860840801118967</v>
      </c>
      <c r="I1938" s="82" t="n">
        <f aca="false">ROUND(IF(H1938&lt;(Inputs!$E$17-Inputs!$D$17)/(Inputs!$F$17-Inputs!$D$17),Inputs!$D$17+SQRT(H1938*(Inputs!$F$17-Inputs!$D$17)*(Inputs!$E$17-Inputs!$D$17)),Inputs!$F$17-SQRT((1-H1938)*(Inputs!$F$17-Inputs!$D$17)*(Inputs!$F$17-Inputs!$E$17))),0)</f>
        <v>110</v>
      </c>
      <c r="J1938" s="81" t="n">
        <f aca="true">RAND()</f>
        <v>0.240520417262194</v>
      </c>
      <c r="K1938" s="83" t="n">
        <f aca="false">IF(J1938&lt;(Inputs!$E$18-Inputs!$D$18)/(Inputs!$F$18-Inputs!$D$18),Inputs!$D$18+SQRT(J1938*(Inputs!$F$18-Inputs!$D$18)*(Inputs!$E$18-Inputs!$D$18)),Inputs!$F$18-SQRT((1-J1938)*(Inputs!$F$18-Inputs!$D$18)*(Inputs!$F$18-Inputs!$E$18)))</f>
        <v>0.991750828901851</v>
      </c>
      <c r="L1938" s="81" t="n">
        <f aca="true">RAND()</f>
        <v>0.529332813645732</v>
      </c>
      <c r="M1938" s="83" t="n">
        <f aca="false">IF(L1938&lt;(Inputs!$E$24-Inputs!$D$24)/(Inputs!$F$24-Inputs!$D$24),Inputs!$D$24+SQRT(L1938*(Inputs!$F$24-Inputs!$D$24)*(Inputs!$E$24-Inputs!$D$24)),Inputs!$F$24-SQRT((1-L1938)*(Inputs!$F$24-Inputs!$D$24)*(Inputs!$F$24-Inputs!$E$24)))</f>
        <v>0.863904589848322</v>
      </c>
      <c r="N1938" s="81" t="n">
        <f aca="true">RAND()</f>
        <v>0.0133185849142545</v>
      </c>
      <c r="O1938" s="83" t="n">
        <f aca="false">IF(N1938&lt;(Inputs!$E$26-Inputs!$D$26)/(Inputs!$F$26-Inputs!$D$26),Inputs!$D$26+SQRT(N1938*(Inputs!$F$26-Inputs!$D$26)*(Inputs!$E$26-Inputs!$D$26)),Inputs!$F$26-SQRT((1-N1938)*(Inputs!$F$26-Inputs!$D$26)*(Inputs!$F$26-Inputs!$E$26)))</f>
        <v>0.347076666510406</v>
      </c>
      <c r="P1938" s="81" t="n">
        <f aca="true">RAND()</f>
        <v>0.503197199866302</v>
      </c>
      <c r="Q1938" s="82" t="n">
        <f aca="false">IF(P1938&lt;(Inputs!$E$27-Inputs!$D$27)/(Inputs!$F$27-Inputs!$D$27),Inputs!$D$27+SQRT(P1938*(Inputs!$F$27-Inputs!$D$27)*(Inputs!$E$27-Inputs!$D$27)),Inputs!$F$27-SQRT((1-P1938)*(Inputs!$F$27-Inputs!$D$27)*(Inputs!$F$27-Inputs!$E$27)))</f>
        <v>88.9588581282858</v>
      </c>
      <c r="R1938" s="81" t="n">
        <f aca="true">RAND()</f>
        <v>0.820000526411096</v>
      </c>
      <c r="S1938" s="82" t="n">
        <f aca="false">IF(R1938&lt;(Inputs!$E$29-Inputs!$D$29)/(Inputs!$F$29-Inputs!$D$29),Inputs!$D$29+SQRT(R1938*(Inputs!$F$29-Inputs!$D$29)*(Inputs!$E$29-Inputs!$D$29)),Inputs!$F$29-SQRT((1-R1938)*(Inputs!$F$29-Inputs!$D$29)*(Inputs!$F$29-Inputs!$E$29)))</f>
        <v>10.1626524244626</v>
      </c>
      <c r="T1938" s="68" t="n">
        <f aca="false">Inputs!$E$9*(1+E1938)+Inputs!$E$5*C1938*(Inputs!$E$11*Inputs!$E$14*(G1938*I1938/Inputs!$E$16+(1-G1938))*K1938+Inputs!$E$23*M1938)*(1+O1938)+Inputs!$E$5*(Q1938+S1938)</f>
        <v>6051.68528837122</v>
      </c>
    </row>
    <row r="1939" customFormat="false" ht="15" hidden="false" customHeight="false" outlineLevel="0" collapsed="false">
      <c r="A1939" s="1" t="n">
        <v>1935</v>
      </c>
      <c r="B1939" s="81" t="n">
        <f aca="true">RAND()</f>
        <v>0.932281598429766</v>
      </c>
      <c r="C1939" s="82" t="n">
        <f aca="false">ROUND(IF(B1939&lt;(Inputs!$E$8-Inputs!$D$8)/(Inputs!$F$8-Inputs!$D$8),Inputs!$D$8+SQRT(B1939*(Inputs!$F$8-Inputs!$D$8)*(Inputs!$E$8-Inputs!$D$8)),Inputs!$F$8-SQRT((1-B1939)*(Inputs!$F$8-Inputs!$D$8)*(Inputs!$F$8-Inputs!$E$8))),0)</f>
        <v>28</v>
      </c>
      <c r="D1939" s="81" t="n">
        <f aca="true">RAND()</f>
        <v>0.906909667207843</v>
      </c>
      <c r="E1939" s="83" t="n">
        <f aca="false">IF(D1939&lt;(Inputs!$E$10-Inputs!$D$10)/(Inputs!$F$10-Inputs!$D$10),Inputs!$D$10+SQRT(D1939*(Inputs!$F$10-Inputs!$D$10)*(Inputs!$E$10-Inputs!$D$10)),Inputs!$F$10-SQRT((1-D1939)*(Inputs!$F$10-Inputs!$D$10)*(Inputs!$F$10-Inputs!$E$10)))</f>
        <v>0.147153902852106</v>
      </c>
      <c r="F1939" s="81" t="n">
        <f aca="true">RAND()</f>
        <v>0.150621628280338</v>
      </c>
      <c r="G1939" s="83" t="n">
        <f aca="false">IF(F1939&lt;(Inputs!$E$15-Inputs!$D$15)/(Inputs!$F$15-Inputs!$D$15),Inputs!$D$15+SQRT(F1939*(Inputs!$F$15-Inputs!$D$15)*(Inputs!$E$15-Inputs!$D$15)),Inputs!$F$15-SQRT((1-F1939)*(Inputs!$F$15-Inputs!$D$15)*(Inputs!$F$15-Inputs!$E$15)))</f>
        <v>0.654885631686324</v>
      </c>
      <c r="H1939" s="81" t="n">
        <f aca="true">RAND()</f>
        <v>0.0283624133678257</v>
      </c>
      <c r="I1939" s="82" t="n">
        <f aca="false">ROUND(IF(H1939&lt;(Inputs!$E$17-Inputs!$D$17)/(Inputs!$F$17-Inputs!$D$17),Inputs!$D$17+SQRT(H1939*(Inputs!$F$17-Inputs!$D$17)*(Inputs!$E$17-Inputs!$D$17)),Inputs!$F$17-SQRT((1-H1939)*(Inputs!$F$17-Inputs!$D$17)*(Inputs!$F$17-Inputs!$E$17))),0)</f>
        <v>101</v>
      </c>
      <c r="J1939" s="81" t="n">
        <f aca="true">RAND()</f>
        <v>0.154398738443854</v>
      </c>
      <c r="K1939" s="83" t="n">
        <f aca="false">IF(J1939&lt;(Inputs!$E$18-Inputs!$D$18)/(Inputs!$F$18-Inputs!$D$18),Inputs!$D$18+SQRT(J1939*(Inputs!$F$18-Inputs!$D$18)*(Inputs!$E$18-Inputs!$D$18)),Inputs!$F$18-SQRT((1-J1939)*(Inputs!$F$18-Inputs!$D$18)*(Inputs!$F$18-Inputs!$E$18)))</f>
        <v>0.973511603475471</v>
      </c>
      <c r="L1939" s="81" t="n">
        <f aca="true">RAND()</f>
        <v>0.242536679415948</v>
      </c>
      <c r="M1939" s="83" t="n">
        <f aca="false">IF(L1939&lt;(Inputs!$E$24-Inputs!$D$24)/(Inputs!$F$24-Inputs!$D$24),Inputs!$D$24+SQRT(L1939*(Inputs!$F$24-Inputs!$D$24)*(Inputs!$E$24-Inputs!$D$24)),Inputs!$F$24-SQRT((1-L1939)*(Inputs!$F$24-Inputs!$D$24)*(Inputs!$F$24-Inputs!$E$24)))</f>
        <v>0.770600121717172</v>
      </c>
      <c r="N1939" s="81" t="n">
        <f aca="true">RAND()</f>
        <v>0.0323325497634828</v>
      </c>
      <c r="O1939" s="83" t="n">
        <f aca="false">IF(N1939&lt;(Inputs!$E$26-Inputs!$D$26)/(Inputs!$F$26-Inputs!$D$26),Inputs!$D$26+SQRT(N1939*(Inputs!$F$26-Inputs!$D$26)*(Inputs!$E$26-Inputs!$D$26)),Inputs!$F$26-SQRT((1-N1939)*(Inputs!$F$26-Inputs!$D$26)*(Inputs!$F$26-Inputs!$E$26)))</f>
        <v>0.373349412271971</v>
      </c>
      <c r="P1939" s="81" t="n">
        <f aca="true">RAND()</f>
        <v>0.8998109272747</v>
      </c>
      <c r="Q1939" s="82" t="n">
        <f aca="false">IF(P1939&lt;(Inputs!$E$27-Inputs!$D$27)/(Inputs!$F$27-Inputs!$D$27),Inputs!$D$27+SQRT(P1939*(Inputs!$F$27-Inputs!$D$27)*(Inputs!$E$27-Inputs!$D$27)),Inputs!$F$27-SQRT((1-P1939)*(Inputs!$F$27-Inputs!$D$27)*(Inputs!$F$27-Inputs!$E$27)))</f>
        <v>122.587994501683</v>
      </c>
      <c r="R1939" s="81" t="n">
        <f aca="true">RAND()</f>
        <v>0.919500770124032</v>
      </c>
      <c r="S1939" s="82" t="n">
        <f aca="false">IF(R1939&lt;(Inputs!$E$29-Inputs!$D$29)/(Inputs!$F$29-Inputs!$D$29),Inputs!$D$29+SQRT(R1939*(Inputs!$F$29-Inputs!$D$29)*(Inputs!$E$29-Inputs!$D$29)),Inputs!$F$29-SQRT((1-R1939)*(Inputs!$F$29-Inputs!$D$29)*(Inputs!$F$29-Inputs!$E$29)))</f>
        <v>11.7650502501776</v>
      </c>
      <c r="T1939" s="68" t="n">
        <f aca="false">Inputs!$E$9*(1+E1939)+Inputs!$E$5*C1939*(Inputs!$E$11*Inputs!$E$14*(G1939*I1939/Inputs!$E$16+(1-G1939))*K1939+Inputs!$E$23*M1939)*(1+O1939)+Inputs!$E$5*(Q1939+S1939)</f>
        <v>6277.66008645209</v>
      </c>
    </row>
    <row r="1940" customFormat="false" ht="15" hidden="false" customHeight="false" outlineLevel="0" collapsed="false">
      <c r="A1940" s="1" t="n">
        <v>1936</v>
      </c>
      <c r="B1940" s="81" t="n">
        <f aca="true">RAND()</f>
        <v>0.202071339786247</v>
      </c>
      <c r="C1940" s="82" t="n">
        <f aca="false">ROUND(IF(B1940&lt;(Inputs!$E$8-Inputs!$D$8)/(Inputs!$F$8-Inputs!$D$8),Inputs!$D$8+SQRT(B1940*(Inputs!$F$8-Inputs!$D$8)*(Inputs!$E$8-Inputs!$D$8)),Inputs!$F$8-SQRT((1-B1940)*(Inputs!$F$8-Inputs!$D$8)*(Inputs!$F$8-Inputs!$E$8))),0)</f>
        <v>23</v>
      </c>
      <c r="D1940" s="81" t="n">
        <f aca="true">RAND()</f>
        <v>0.842387523852789</v>
      </c>
      <c r="E1940" s="83" t="n">
        <f aca="false">IF(D1940&lt;(Inputs!$E$10-Inputs!$D$10)/(Inputs!$F$10-Inputs!$D$10),Inputs!$D$10+SQRT(D1940*(Inputs!$F$10-Inputs!$D$10)*(Inputs!$E$10-Inputs!$D$10)),Inputs!$F$10-SQRT((1-D1940)*(Inputs!$F$10-Inputs!$D$10)*(Inputs!$F$10-Inputs!$E$10)))</f>
        <v>0.131236824648535</v>
      </c>
      <c r="F1940" s="81" t="n">
        <f aca="true">RAND()</f>
        <v>0.516164421047664</v>
      </c>
      <c r="G1940" s="83" t="n">
        <f aca="false">IF(F1940&lt;(Inputs!$E$15-Inputs!$D$15)/(Inputs!$F$15-Inputs!$D$15),Inputs!$D$15+SQRT(F1940*(Inputs!$F$15-Inputs!$D$15)*(Inputs!$E$15-Inputs!$D$15)),Inputs!$F$15-SQRT((1-F1940)*(Inputs!$F$15-Inputs!$D$15)*(Inputs!$F$15-Inputs!$E$15)))</f>
        <v>0.701629722074975</v>
      </c>
      <c r="H1940" s="81" t="n">
        <f aca="true">RAND()</f>
        <v>0.349854289144286</v>
      </c>
      <c r="I1940" s="82" t="n">
        <f aca="false">ROUND(IF(H1940&lt;(Inputs!$E$17-Inputs!$D$17)/(Inputs!$F$17-Inputs!$D$17),Inputs!$D$17+SQRT(H1940*(Inputs!$F$17-Inputs!$D$17)*(Inputs!$E$17-Inputs!$D$17)),Inputs!$F$17-SQRT((1-H1940)*(Inputs!$F$17-Inputs!$D$17)*(Inputs!$F$17-Inputs!$E$17))),0)</f>
        <v>105</v>
      </c>
      <c r="J1940" s="81" t="n">
        <f aca="true">RAND()</f>
        <v>0.697031987959662</v>
      </c>
      <c r="K1940" s="83" t="n">
        <f aca="false">IF(J1940&lt;(Inputs!$E$18-Inputs!$D$18)/(Inputs!$F$18-Inputs!$D$18),Inputs!$D$18+SQRT(J1940*(Inputs!$F$18-Inputs!$D$18)*(Inputs!$E$18-Inputs!$D$18)),Inputs!$F$18-SQRT((1-J1940)*(Inputs!$F$18-Inputs!$D$18)*(Inputs!$F$18-Inputs!$E$18)))</f>
        <v>1.08718200021641</v>
      </c>
      <c r="L1940" s="81" t="n">
        <f aca="true">RAND()</f>
        <v>0.853608111134647</v>
      </c>
      <c r="M1940" s="83" t="n">
        <f aca="false">IF(L1940&lt;(Inputs!$E$24-Inputs!$D$24)/(Inputs!$F$24-Inputs!$D$24),Inputs!$D$24+SQRT(L1940*(Inputs!$F$24-Inputs!$D$24)*(Inputs!$E$24-Inputs!$D$24)),Inputs!$F$24-SQRT((1-L1940)*(Inputs!$F$24-Inputs!$D$24)*(Inputs!$F$24-Inputs!$E$24)))</f>
        <v>1.01255920047203</v>
      </c>
      <c r="N1940" s="81" t="n">
        <f aca="true">RAND()</f>
        <v>0.385879227459386</v>
      </c>
      <c r="O1940" s="83" t="n">
        <f aca="false">IF(N1940&lt;(Inputs!$E$26-Inputs!$D$26)/(Inputs!$F$26-Inputs!$D$26),Inputs!$D$26+SQRT(N1940*(Inputs!$F$26-Inputs!$D$26)*(Inputs!$E$26-Inputs!$D$26)),Inputs!$F$26-SQRT((1-N1940)*(Inputs!$F$26-Inputs!$D$26)*(Inputs!$F$26-Inputs!$E$26)))</f>
        <v>0.553397520605948</v>
      </c>
      <c r="P1940" s="81" t="n">
        <f aca="true">RAND()</f>
        <v>0.908435282792001</v>
      </c>
      <c r="Q1940" s="82" t="n">
        <f aca="false">IF(P1940&lt;(Inputs!$E$27-Inputs!$D$27)/(Inputs!$F$27-Inputs!$D$27),Inputs!$D$27+SQRT(P1940*(Inputs!$F$27-Inputs!$D$27)*(Inputs!$E$27-Inputs!$D$27)),Inputs!$F$27-SQRT((1-P1940)*(Inputs!$F$27-Inputs!$D$27)*(Inputs!$F$27-Inputs!$E$27)))</f>
        <v>123.794363601317</v>
      </c>
      <c r="R1940" s="81" t="n">
        <f aca="true">RAND()</f>
        <v>0.330821969449531</v>
      </c>
      <c r="S1940" s="82" t="n">
        <f aca="false">IF(R1940&lt;(Inputs!$E$29-Inputs!$D$29)/(Inputs!$F$29-Inputs!$D$29),Inputs!$D$29+SQRT(R1940*(Inputs!$F$29-Inputs!$D$29)*(Inputs!$E$29-Inputs!$D$29)),Inputs!$F$29-SQRT((1-R1940)*(Inputs!$F$29-Inputs!$D$29)*(Inputs!$F$29-Inputs!$E$29)))</f>
        <v>5.67298847585353</v>
      </c>
      <c r="T1940" s="68" t="n">
        <f aca="false">Inputs!$E$9*(1+E1940)+Inputs!$E$5*C1940*(Inputs!$E$11*Inputs!$E$14*(G1940*I1940/Inputs!$E$16+(1-G1940))*K1940+Inputs!$E$23*M1940)*(1+O1940)+Inputs!$E$5*(Q1940+S1940)</f>
        <v>6509.59996344359</v>
      </c>
    </row>
    <row r="1941" customFormat="false" ht="15" hidden="false" customHeight="false" outlineLevel="0" collapsed="false">
      <c r="A1941" s="1" t="n">
        <v>1937</v>
      </c>
      <c r="B1941" s="81" t="n">
        <f aca="true">RAND()</f>
        <v>0.871453957135147</v>
      </c>
      <c r="C1941" s="82" t="n">
        <f aca="false">ROUND(IF(B1941&lt;(Inputs!$E$8-Inputs!$D$8)/(Inputs!$F$8-Inputs!$D$8),Inputs!$D$8+SQRT(B1941*(Inputs!$F$8-Inputs!$D$8)*(Inputs!$E$8-Inputs!$D$8)),Inputs!$F$8-SQRT((1-B1941)*(Inputs!$F$8-Inputs!$D$8)*(Inputs!$F$8-Inputs!$E$8))),0)</f>
        <v>27</v>
      </c>
      <c r="D1941" s="81" t="n">
        <f aca="true">RAND()</f>
        <v>0.875038958089637</v>
      </c>
      <c r="E1941" s="83" t="n">
        <f aca="false">IF(D1941&lt;(Inputs!$E$10-Inputs!$D$10)/(Inputs!$F$10-Inputs!$D$10),Inputs!$D$10+SQRT(D1941*(Inputs!$F$10-Inputs!$D$10)*(Inputs!$E$10-Inputs!$D$10)),Inputs!$F$10-SQRT((1-D1941)*(Inputs!$F$10-Inputs!$D$10)*(Inputs!$F$10-Inputs!$E$10)))</f>
        <v>0.138772299918167</v>
      </c>
      <c r="F1941" s="81" t="n">
        <f aca="true">RAND()</f>
        <v>0.252542082394846</v>
      </c>
      <c r="G1941" s="83" t="n">
        <f aca="false">IF(F1941&lt;(Inputs!$E$15-Inputs!$D$15)/(Inputs!$F$15-Inputs!$D$15),Inputs!$D$15+SQRT(F1941*(Inputs!$F$15-Inputs!$D$15)*(Inputs!$E$15-Inputs!$D$15)),Inputs!$F$15-SQRT((1-F1941)*(Inputs!$F$15-Inputs!$D$15)*(Inputs!$F$15-Inputs!$E$15)))</f>
        <v>0.671069273584981</v>
      </c>
      <c r="H1941" s="81" t="n">
        <f aca="true">RAND()</f>
        <v>0.0366744872252088</v>
      </c>
      <c r="I1941" s="82" t="n">
        <f aca="false">ROUND(IF(H1941&lt;(Inputs!$E$17-Inputs!$D$17)/(Inputs!$F$17-Inputs!$D$17),Inputs!$D$17+SQRT(H1941*(Inputs!$F$17-Inputs!$D$17)*(Inputs!$E$17-Inputs!$D$17)),Inputs!$F$17-SQRT((1-H1941)*(Inputs!$F$17-Inputs!$D$17)*(Inputs!$F$17-Inputs!$E$17))),0)</f>
        <v>102</v>
      </c>
      <c r="J1941" s="81" t="n">
        <f aca="true">RAND()</f>
        <v>0.490920840655588</v>
      </c>
      <c r="K1941" s="83" t="n">
        <f aca="false">IF(J1941&lt;(Inputs!$E$18-Inputs!$D$18)/(Inputs!$F$18-Inputs!$D$18),Inputs!$D$18+SQRT(J1941*(Inputs!$F$18-Inputs!$D$18)*(Inputs!$E$18-Inputs!$D$18)),Inputs!$F$18-SQRT((1-J1941)*(Inputs!$F$18-Inputs!$D$18)*(Inputs!$F$18-Inputs!$E$18)))</f>
        <v>1.0389444944034</v>
      </c>
      <c r="L1941" s="81" t="n">
        <f aca="true">RAND()</f>
        <v>0.708478470207049</v>
      </c>
      <c r="M1941" s="83" t="n">
        <f aca="false">IF(L1941&lt;(Inputs!$E$24-Inputs!$D$24)/(Inputs!$F$24-Inputs!$D$24),Inputs!$D$24+SQRT(L1941*(Inputs!$F$24-Inputs!$D$24)*(Inputs!$E$24-Inputs!$D$24)),Inputs!$F$24-SQRT((1-L1941)*(Inputs!$F$24-Inputs!$D$24)*(Inputs!$F$24-Inputs!$E$24)))</f>
        <v>0.935490704983155</v>
      </c>
      <c r="N1941" s="81" t="n">
        <f aca="true">RAND()</f>
        <v>0.258410857170149</v>
      </c>
      <c r="O1941" s="83" t="n">
        <f aca="false">IF(N1941&lt;(Inputs!$E$26-Inputs!$D$26)/(Inputs!$F$26-Inputs!$D$26),Inputs!$D$26+SQRT(N1941*(Inputs!$F$26-Inputs!$D$26)*(Inputs!$E$26-Inputs!$D$26)),Inputs!$F$26-SQRT((1-N1941)*(Inputs!$F$26-Inputs!$D$26)*(Inputs!$F$26-Inputs!$E$26)))</f>
        <v>0.507363368590291</v>
      </c>
      <c r="P1941" s="81" t="n">
        <f aca="true">RAND()</f>
        <v>0.0759316644403769</v>
      </c>
      <c r="Q1941" s="82" t="n">
        <f aca="false">IF(P1941&lt;(Inputs!$E$27-Inputs!$D$27)/(Inputs!$F$27-Inputs!$D$27),Inputs!$D$27+SQRT(P1941*(Inputs!$F$27-Inputs!$D$27)*(Inputs!$E$27-Inputs!$D$27)),Inputs!$F$27-SQRT((1-P1941)*(Inputs!$F$27-Inputs!$D$27)*(Inputs!$F$27-Inputs!$E$27)))</f>
        <v>63.7778503802641</v>
      </c>
      <c r="R1941" s="81" t="n">
        <f aca="true">RAND()</f>
        <v>0.334341974513312</v>
      </c>
      <c r="S1941" s="82" t="n">
        <f aca="false">IF(R1941&lt;(Inputs!$E$29-Inputs!$D$29)/(Inputs!$F$29-Inputs!$D$29),Inputs!$D$29+SQRT(R1941*(Inputs!$F$29-Inputs!$D$29)*(Inputs!$E$29-Inputs!$D$29)),Inputs!$F$29-SQRT((1-R1941)*(Inputs!$F$29-Inputs!$D$29)*(Inputs!$F$29-Inputs!$E$29)))</f>
        <v>5.6975517570228</v>
      </c>
      <c r="T1941" s="68" t="n">
        <f aca="false">Inputs!$E$9*(1+E1941)+Inputs!$E$5*C1941*(Inputs!$E$11*Inputs!$E$14*(G1941*I1941/Inputs!$E$16+(1-G1941))*K1941+Inputs!$E$23*M1941)*(1+O1941)+Inputs!$E$5*(Q1941+S1941)</f>
        <v>6486.01563672666</v>
      </c>
    </row>
    <row r="1942" customFormat="false" ht="15" hidden="false" customHeight="false" outlineLevel="0" collapsed="false">
      <c r="A1942" s="1" t="n">
        <v>1938</v>
      </c>
      <c r="B1942" s="81" t="n">
        <f aca="true">RAND()</f>
        <v>0.44108084759589</v>
      </c>
      <c r="C1942" s="82" t="n">
        <f aca="false">ROUND(IF(B1942&lt;(Inputs!$E$8-Inputs!$D$8)/(Inputs!$F$8-Inputs!$D$8),Inputs!$D$8+SQRT(B1942*(Inputs!$F$8-Inputs!$D$8)*(Inputs!$E$8-Inputs!$D$8)),Inputs!$F$8-SQRT((1-B1942)*(Inputs!$F$8-Inputs!$D$8)*(Inputs!$F$8-Inputs!$E$8))),0)</f>
        <v>25</v>
      </c>
      <c r="D1942" s="81" t="n">
        <f aca="true">RAND()</f>
        <v>0.740923024726085</v>
      </c>
      <c r="E1942" s="83" t="n">
        <f aca="false">IF(D1942&lt;(Inputs!$E$10-Inputs!$D$10)/(Inputs!$F$10-Inputs!$D$10),Inputs!$D$10+SQRT(D1942*(Inputs!$F$10-Inputs!$D$10)*(Inputs!$E$10-Inputs!$D$10)),Inputs!$F$10-SQRT((1-D1942)*(Inputs!$F$10-Inputs!$D$10)*(Inputs!$F$10-Inputs!$E$10)))</f>
        <v>0.111839298674424</v>
      </c>
      <c r="F1942" s="81" t="n">
        <f aca="true">RAND()</f>
        <v>0.268360127661799</v>
      </c>
      <c r="G1942" s="83" t="n">
        <f aca="false">IF(F1942&lt;(Inputs!$E$15-Inputs!$D$15)/(Inputs!$F$15-Inputs!$D$15),Inputs!$D$15+SQRT(F1942*(Inputs!$F$15-Inputs!$D$15)*(Inputs!$E$15-Inputs!$D$15)),Inputs!$F$15-SQRT((1-F1942)*(Inputs!$F$15-Inputs!$D$15)*(Inputs!$F$15-Inputs!$E$15)))</f>
        <v>0.673261194047299</v>
      </c>
      <c r="H1942" s="81" t="n">
        <f aca="true">RAND()</f>
        <v>0.0694758325784941</v>
      </c>
      <c r="I1942" s="82" t="n">
        <f aca="false">ROUND(IF(H1942&lt;(Inputs!$E$17-Inputs!$D$17)/(Inputs!$F$17-Inputs!$D$17),Inputs!$D$17+SQRT(H1942*(Inputs!$F$17-Inputs!$D$17)*(Inputs!$E$17-Inputs!$D$17)),Inputs!$F$17-SQRT((1-H1942)*(Inputs!$F$17-Inputs!$D$17)*(Inputs!$F$17-Inputs!$E$17))),0)</f>
        <v>102</v>
      </c>
      <c r="J1942" s="81" t="n">
        <f aca="true">RAND()</f>
        <v>0.184338393570359</v>
      </c>
      <c r="K1942" s="83" t="n">
        <f aca="false">IF(J1942&lt;(Inputs!$E$18-Inputs!$D$18)/(Inputs!$F$18-Inputs!$D$18),Inputs!$D$18+SQRT(J1942*(Inputs!$F$18-Inputs!$D$18)*(Inputs!$E$18-Inputs!$D$18)),Inputs!$F$18-SQRT((1-J1942)*(Inputs!$F$18-Inputs!$D$18)*(Inputs!$F$18-Inputs!$E$18)))</f>
        <v>0.980323370042364</v>
      </c>
      <c r="L1942" s="81" t="n">
        <f aca="true">RAND()</f>
        <v>0.601271943178479</v>
      </c>
      <c r="M1942" s="83" t="n">
        <f aca="false">IF(L1942&lt;(Inputs!$E$24-Inputs!$D$24)/(Inputs!$F$24-Inputs!$D$24),Inputs!$D$24+SQRT(L1942*(Inputs!$F$24-Inputs!$D$24)*(Inputs!$E$24-Inputs!$D$24)),Inputs!$F$24-SQRT((1-L1942)*(Inputs!$F$24-Inputs!$D$24)*(Inputs!$F$24-Inputs!$E$24)))</f>
        <v>0.890654346018625</v>
      </c>
      <c r="N1942" s="81" t="n">
        <f aca="true">RAND()</f>
        <v>0.303740648934034</v>
      </c>
      <c r="O1942" s="83" t="n">
        <f aca="false">IF(N1942&lt;(Inputs!$E$26-Inputs!$D$26)/(Inputs!$F$26-Inputs!$D$26),Inputs!$D$26+SQRT(N1942*(Inputs!$F$26-Inputs!$D$26)*(Inputs!$E$26-Inputs!$D$26)),Inputs!$F$26-SQRT((1-N1942)*(Inputs!$F$26-Inputs!$D$26)*(Inputs!$F$26-Inputs!$E$26)))</f>
        <v>0.524816467329738</v>
      </c>
      <c r="P1942" s="81" t="n">
        <f aca="true">RAND()</f>
        <v>0.150047849140424</v>
      </c>
      <c r="Q1942" s="82" t="n">
        <f aca="false">IF(P1942&lt;(Inputs!$E$27-Inputs!$D$27)/(Inputs!$F$27-Inputs!$D$27),Inputs!$D$27+SQRT(P1942*(Inputs!$F$27-Inputs!$D$27)*(Inputs!$E$27-Inputs!$D$27)),Inputs!$F$27-SQRT((1-P1942)*(Inputs!$F$27-Inputs!$D$27)*(Inputs!$F$27-Inputs!$E$27)))</f>
        <v>69.3680051334942</v>
      </c>
      <c r="R1942" s="81" t="n">
        <f aca="true">RAND()</f>
        <v>0.721784711773481</v>
      </c>
      <c r="S1942" s="82" t="n">
        <f aca="false">IF(R1942&lt;(Inputs!$E$29-Inputs!$D$29)/(Inputs!$F$29-Inputs!$D$29),Inputs!$D$29+SQRT(R1942*(Inputs!$F$29-Inputs!$D$29)*(Inputs!$E$29-Inputs!$D$29)),Inputs!$F$29-SQRT((1-R1942)*(Inputs!$F$29-Inputs!$D$29)*(Inputs!$F$29-Inputs!$E$29)))</f>
        <v>8.98601733711782</v>
      </c>
      <c r="T1942" s="68" t="n">
        <f aca="false">Inputs!$E$9*(1+E1942)+Inputs!$E$5*C1942*(Inputs!$E$11*Inputs!$E$14*(G1942*I1942/Inputs!$E$16+(1-G1942))*K1942+Inputs!$E$23*M1942)*(1+O1942)+Inputs!$E$5*(Q1942+S1942)</f>
        <v>6056.92461496637</v>
      </c>
    </row>
    <row r="1943" customFormat="false" ht="15" hidden="false" customHeight="false" outlineLevel="0" collapsed="false">
      <c r="A1943" s="1" t="n">
        <v>1939</v>
      </c>
      <c r="B1943" s="81" t="n">
        <f aca="true">RAND()</f>
        <v>0.147255687749915</v>
      </c>
      <c r="C1943" s="82" t="n">
        <f aca="false">ROUND(IF(B1943&lt;(Inputs!$E$8-Inputs!$D$8)/(Inputs!$F$8-Inputs!$D$8),Inputs!$D$8+SQRT(B1943*(Inputs!$F$8-Inputs!$D$8)*(Inputs!$E$8-Inputs!$D$8)),Inputs!$F$8-SQRT((1-B1943)*(Inputs!$F$8-Inputs!$D$8)*(Inputs!$F$8-Inputs!$E$8))),0)</f>
        <v>23</v>
      </c>
      <c r="D1943" s="81" t="n">
        <f aca="true">RAND()</f>
        <v>0.664374330206188</v>
      </c>
      <c r="E1943" s="83" t="n">
        <f aca="false">IF(D1943&lt;(Inputs!$E$10-Inputs!$D$10)/(Inputs!$F$10-Inputs!$D$10),Inputs!$D$10+SQRT(D1943*(Inputs!$F$10-Inputs!$D$10)*(Inputs!$E$10-Inputs!$D$10)),Inputs!$F$10-SQRT((1-D1943)*(Inputs!$F$10-Inputs!$D$10)*(Inputs!$F$10-Inputs!$E$10)))</f>
        <v>0.0996567386726226</v>
      </c>
      <c r="F1943" s="81" t="n">
        <f aca="true">RAND()</f>
        <v>0.490951927390586</v>
      </c>
      <c r="G1943" s="83" t="n">
        <f aca="false">IF(F1943&lt;(Inputs!$E$15-Inputs!$D$15)/(Inputs!$F$15-Inputs!$D$15),Inputs!$D$15+SQRT(F1943*(Inputs!$F$15-Inputs!$D$15)*(Inputs!$E$15-Inputs!$D$15)),Inputs!$F$15-SQRT((1-F1943)*(Inputs!$F$15-Inputs!$D$15)*(Inputs!$F$15-Inputs!$E$15)))</f>
        <v>0.69909106189668</v>
      </c>
      <c r="H1943" s="81" t="n">
        <f aca="true">RAND()</f>
        <v>0.0968500252888681</v>
      </c>
      <c r="I1943" s="82" t="n">
        <f aca="false">ROUND(IF(H1943&lt;(Inputs!$E$17-Inputs!$D$17)/(Inputs!$F$17-Inputs!$D$17),Inputs!$D$17+SQRT(H1943*(Inputs!$F$17-Inputs!$D$17)*(Inputs!$E$17-Inputs!$D$17)),Inputs!$F$17-SQRT((1-H1943)*(Inputs!$F$17-Inputs!$D$17)*(Inputs!$F$17-Inputs!$E$17))),0)</f>
        <v>103</v>
      </c>
      <c r="J1943" s="81" t="n">
        <f aca="true">RAND()</f>
        <v>0.426884799799845</v>
      </c>
      <c r="K1943" s="83" t="n">
        <f aca="false">IF(J1943&lt;(Inputs!$E$18-Inputs!$D$18)/(Inputs!$F$18-Inputs!$D$18),Inputs!$D$18+SQRT(J1943*(Inputs!$F$18-Inputs!$D$18)*(Inputs!$E$18-Inputs!$D$18)),Inputs!$F$18-SQRT((1-J1943)*(Inputs!$F$18-Inputs!$D$18)*(Inputs!$F$18-Inputs!$E$18)))</f>
        <v>1.02606344644629</v>
      </c>
      <c r="L1943" s="81" t="n">
        <f aca="true">RAND()</f>
        <v>0.192106799972364</v>
      </c>
      <c r="M1943" s="83" t="n">
        <f aca="false">IF(L1943&lt;(Inputs!$E$24-Inputs!$D$24)/(Inputs!$F$24-Inputs!$D$24),Inputs!$D$24+SQRT(L1943*(Inputs!$F$24-Inputs!$D$24)*(Inputs!$E$24-Inputs!$D$24)),Inputs!$F$24-SQRT((1-L1943)*(Inputs!$F$24-Inputs!$D$24)*(Inputs!$F$24-Inputs!$E$24)))</f>
        <v>0.751831538214838</v>
      </c>
      <c r="N1943" s="81" t="n">
        <f aca="true">RAND()</f>
        <v>0.430239681969311</v>
      </c>
      <c r="O1943" s="83" t="n">
        <f aca="false">IF(N1943&lt;(Inputs!$E$26-Inputs!$D$26)/(Inputs!$F$26-Inputs!$D$26),Inputs!$D$26+SQRT(N1943*(Inputs!$F$26-Inputs!$D$26)*(Inputs!$E$26-Inputs!$D$26)),Inputs!$F$26-SQRT((1-N1943)*(Inputs!$F$26-Inputs!$D$26)*(Inputs!$F$26-Inputs!$E$26)))</f>
        <v>0.567566595597607</v>
      </c>
      <c r="P1943" s="81" t="n">
        <f aca="true">RAND()</f>
        <v>0.573526615450334</v>
      </c>
      <c r="Q1943" s="82" t="n">
        <f aca="false">IF(P1943&lt;(Inputs!$E$27-Inputs!$D$27)/(Inputs!$F$27-Inputs!$D$27),Inputs!$D$27+SQRT(P1943*(Inputs!$F$27-Inputs!$D$27)*(Inputs!$E$27-Inputs!$D$27)),Inputs!$F$27-SQRT((1-P1943)*(Inputs!$F$27-Inputs!$D$27)*(Inputs!$F$27-Inputs!$E$27)))</f>
        <v>93.4442718716972</v>
      </c>
      <c r="R1943" s="81" t="n">
        <f aca="true">RAND()</f>
        <v>0.63771457775438</v>
      </c>
      <c r="S1943" s="82" t="n">
        <f aca="false">IF(R1943&lt;(Inputs!$E$29-Inputs!$D$29)/(Inputs!$F$29-Inputs!$D$29),Inputs!$D$29+SQRT(R1943*(Inputs!$F$29-Inputs!$D$29)*(Inputs!$E$29-Inputs!$D$29)),Inputs!$F$29-SQRT((1-R1943)*(Inputs!$F$29-Inputs!$D$29)*(Inputs!$F$29-Inputs!$E$29)))</f>
        <v>8.13726695172174</v>
      </c>
      <c r="T1943" s="68" t="n">
        <f aca="false">Inputs!$E$9*(1+E1943)+Inputs!$E$5*C1943*(Inputs!$E$11*Inputs!$E$14*(G1943*I1943/Inputs!$E$16+(1-G1943))*K1943+Inputs!$E$23*M1943)*(1+O1943)+Inputs!$E$5*(Q1943+S1943)</f>
        <v>5859.7140219367</v>
      </c>
    </row>
    <row r="1944" customFormat="false" ht="15" hidden="false" customHeight="false" outlineLevel="0" collapsed="false">
      <c r="A1944" s="1" t="n">
        <v>1940</v>
      </c>
      <c r="B1944" s="81" t="n">
        <f aca="true">RAND()</f>
        <v>0.625100687391766</v>
      </c>
      <c r="C1944" s="82" t="n">
        <f aca="false">ROUND(IF(B1944&lt;(Inputs!$E$8-Inputs!$D$8)/(Inputs!$F$8-Inputs!$D$8),Inputs!$D$8+SQRT(B1944*(Inputs!$F$8-Inputs!$D$8)*(Inputs!$E$8-Inputs!$D$8)),Inputs!$F$8-SQRT((1-B1944)*(Inputs!$F$8-Inputs!$D$8)*(Inputs!$F$8-Inputs!$E$8))),0)</f>
        <v>26</v>
      </c>
      <c r="D1944" s="81" t="n">
        <f aca="true">RAND()</f>
        <v>0.631806037404771</v>
      </c>
      <c r="E1944" s="83" t="n">
        <f aca="false">IF(D1944&lt;(Inputs!$E$10-Inputs!$D$10)/(Inputs!$F$10-Inputs!$D$10),Inputs!$D$10+SQRT(D1944*(Inputs!$F$10-Inputs!$D$10)*(Inputs!$E$10-Inputs!$D$10)),Inputs!$F$10-SQRT((1-D1944)*(Inputs!$F$10-Inputs!$D$10)*(Inputs!$F$10-Inputs!$E$10)))</f>
        <v>0.0949009092434341</v>
      </c>
      <c r="F1944" s="81" t="n">
        <f aca="true">RAND()</f>
        <v>0.460129633559106</v>
      </c>
      <c r="G1944" s="83" t="n">
        <f aca="false">IF(F1944&lt;(Inputs!$E$15-Inputs!$D$15)/(Inputs!$F$15-Inputs!$D$15),Inputs!$D$15+SQRT(F1944*(Inputs!$F$15-Inputs!$D$15)*(Inputs!$E$15-Inputs!$D$15)),Inputs!$F$15-SQRT((1-F1944)*(Inputs!$F$15-Inputs!$D$15)*(Inputs!$F$15-Inputs!$E$15)))</f>
        <v>0.695930144747009</v>
      </c>
      <c r="H1944" s="81" t="n">
        <f aca="true">RAND()</f>
        <v>0.329480870669057</v>
      </c>
      <c r="I1944" s="82" t="n">
        <f aca="false">ROUND(IF(H1944&lt;(Inputs!$E$17-Inputs!$D$17)/(Inputs!$F$17-Inputs!$D$17),Inputs!$D$17+SQRT(H1944*(Inputs!$F$17-Inputs!$D$17)*(Inputs!$E$17-Inputs!$D$17)),Inputs!$F$17-SQRT((1-H1944)*(Inputs!$F$17-Inputs!$D$17)*(Inputs!$F$17-Inputs!$E$17))),0)</f>
        <v>105</v>
      </c>
      <c r="J1944" s="81" t="n">
        <f aca="true">RAND()</f>
        <v>0.437736255969081</v>
      </c>
      <c r="K1944" s="83" t="n">
        <f aca="false">IF(J1944&lt;(Inputs!$E$18-Inputs!$D$18)/(Inputs!$F$18-Inputs!$D$18),Inputs!$D$18+SQRT(J1944*(Inputs!$F$18-Inputs!$D$18)*(Inputs!$E$18-Inputs!$D$18)),Inputs!$F$18-SQRT((1-J1944)*(Inputs!$F$18-Inputs!$D$18)*(Inputs!$F$18-Inputs!$E$18)))</f>
        <v>1.02819360333231</v>
      </c>
      <c r="L1944" s="81" t="n">
        <f aca="true">RAND()</f>
        <v>0.268382588021193</v>
      </c>
      <c r="M1944" s="83" t="n">
        <f aca="false">IF(L1944&lt;(Inputs!$E$24-Inputs!$D$24)/(Inputs!$F$24-Inputs!$D$24),Inputs!$D$24+SQRT(L1944*(Inputs!$F$24-Inputs!$D$24)*(Inputs!$E$24-Inputs!$D$24)),Inputs!$F$24-SQRT((1-L1944)*(Inputs!$F$24-Inputs!$D$24)*(Inputs!$F$24-Inputs!$E$24)))</f>
        <v>0.77946005283222</v>
      </c>
      <c r="N1944" s="81" t="n">
        <f aca="true">RAND()</f>
        <v>0.329369840697074</v>
      </c>
      <c r="O1944" s="83" t="n">
        <f aca="false">IF(N1944&lt;(Inputs!$E$26-Inputs!$D$26)/(Inputs!$F$26-Inputs!$D$26),Inputs!$D$26+SQRT(N1944*(Inputs!$F$26-Inputs!$D$26)*(Inputs!$E$26-Inputs!$D$26)),Inputs!$F$26-SQRT((1-N1944)*(Inputs!$F$26-Inputs!$D$26)*(Inputs!$F$26-Inputs!$E$26)))</f>
        <v>0.5341092511884</v>
      </c>
      <c r="P1944" s="81" t="n">
        <f aca="true">RAND()</f>
        <v>0.0079197575949054</v>
      </c>
      <c r="Q1944" s="82" t="n">
        <f aca="false">IF(P1944&lt;(Inputs!$E$27-Inputs!$D$27)/(Inputs!$F$27-Inputs!$D$27),Inputs!$D$27+SQRT(P1944*(Inputs!$F$27-Inputs!$D$27)*(Inputs!$E$27-Inputs!$D$27)),Inputs!$F$27-SQRT((1-P1944)*(Inputs!$F$27-Inputs!$D$27)*(Inputs!$F$27-Inputs!$E$27)))</f>
        <v>54.4496509961191</v>
      </c>
      <c r="R1944" s="81" t="n">
        <f aca="true">RAND()</f>
        <v>0.369131877008765</v>
      </c>
      <c r="S1944" s="82" t="n">
        <f aca="false">IF(R1944&lt;(Inputs!$E$29-Inputs!$D$29)/(Inputs!$F$29-Inputs!$D$29),Inputs!$D$29+SQRT(R1944*(Inputs!$F$29-Inputs!$D$29)*(Inputs!$E$29-Inputs!$D$29)),Inputs!$F$29-SQRT((1-R1944)*(Inputs!$F$29-Inputs!$D$29)*(Inputs!$F$29-Inputs!$E$29)))</f>
        <v>5.94390503644863</v>
      </c>
      <c r="T1944" s="68" t="n">
        <f aca="false">Inputs!$E$9*(1+E1944)+Inputs!$E$5*C1944*(Inputs!$E$11*Inputs!$E$14*(G1944*I1944/Inputs!$E$16+(1-G1944))*K1944+Inputs!$E$23*M1944)*(1+O1944)+Inputs!$E$5*(Q1944+S1944)</f>
        <v>6027.05583869493</v>
      </c>
    </row>
    <row r="1945" customFormat="false" ht="15" hidden="false" customHeight="false" outlineLevel="0" collapsed="false">
      <c r="A1945" s="1" t="n">
        <v>1941</v>
      </c>
      <c r="B1945" s="81" t="n">
        <f aca="true">RAND()</f>
        <v>0.776589839673813</v>
      </c>
      <c r="C1945" s="82" t="n">
        <f aca="false">ROUND(IF(B1945&lt;(Inputs!$E$8-Inputs!$D$8)/(Inputs!$F$8-Inputs!$D$8),Inputs!$D$8+SQRT(B1945*(Inputs!$F$8-Inputs!$D$8)*(Inputs!$E$8-Inputs!$D$8)),Inputs!$F$8-SQRT((1-B1945)*(Inputs!$F$8-Inputs!$D$8)*(Inputs!$F$8-Inputs!$E$8))),0)</f>
        <v>27</v>
      </c>
      <c r="D1945" s="81" t="n">
        <f aca="true">RAND()</f>
        <v>0.940084315666059</v>
      </c>
      <c r="E1945" s="83" t="n">
        <f aca="false">IF(D1945&lt;(Inputs!$E$10-Inputs!$D$10)/(Inputs!$F$10-Inputs!$D$10),Inputs!$D$10+SQRT(D1945*(Inputs!$F$10-Inputs!$D$10)*(Inputs!$E$10-Inputs!$D$10)),Inputs!$F$10-SQRT((1-D1945)*(Inputs!$F$10-Inputs!$D$10)*(Inputs!$F$10-Inputs!$E$10)))</f>
        <v>0.157603413698527</v>
      </c>
      <c r="F1945" s="81" t="n">
        <f aca="true">RAND()</f>
        <v>0.339052085189837</v>
      </c>
      <c r="G1945" s="83" t="n">
        <f aca="false">IF(F1945&lt;(Inputs!$E$15-Inputs!$D$15)/(Inputs!$F$15-Inputs!$D$15),Inputs!$D$15+SQRT(F1945*(Inputs!$F$15-Inputs!$D$15)*(Inputs!$E$15-Inputs!$D$15)),Inputs!$F$15-SQRT((1-F1945)*(Inputs!$F$15-Inputs!$D$15)*(Inputs!$F$15-Inputs!$E$15)))</f>
        <v>0.682347080724193</v>
      </c>
      <c r="H1945" s="81" t="n">
        <f aca="true">RAND()</f>
        <v>0.40650184048285</v>
      </c>
      <c r="I1945" s="82" t="n">
        <f aca="false">ROUND(IF(H1945&lt;(Inputs!$E$17-Inputs!$D$17)/(Inputs!$F$17-Inputs!$D$17),Inputs!$D$17+SQRT(H1945*(Inputs!$F$17-Inputs!$D$17)*(Inputs!$E$17-Inputs!$D$17)),Inputs!$F$17-SQRT((1-H1945)*(Inputs!$F$17-Inputs!$D$17)*(Inputs!$F$17-Inputs!$E$17))),0)</f>
        <v>106</v>
      </c>
      <c r="J1945" s="81" t="n">
        <f aca="true">RAND()</f>
        <v>0.171992245415101</v>
      </c>
      <c r="K1945" s="83" t="n">
        <f aca="false">IF(J1945&lt;(Inputs!$E$18-Inputs!$D$18)/(Inputs!$F$18-Inputs!$D$18),Inputs!$D$18+SQRT(J1945*(Inputs!$F$18-Inputs!$D$18)*(Inputs!$E$18-Inputs!$D$18)),Inputs!$F$18-SQRT((1-J1945)*(Inputs!$F$18-Inputs!$D$18)*(Inputs!$F$18-Inputs!$E$18)))</f>
        <v>0.977586909910941</v>
      </c>
      <c r="L1945" s="81" t="n">
        <f aca="true">RAND()</f>
        <v>0.810635497406473</v>
      </c>
      <c r="M1945" s="83" t="n">
        <f aca="false">IF(L1945&lt;(Inputs!$E$24-Inputs!$D$24)/(Inputs!$F$24-Inputs!$D$24),Inputs!$D$24+SQRT(L1945*(Inputs!$F$24-Inputs!$D$24)*(Inputs!$E$24-Inputs!$D$24)),Inputs!$F$24-SQRT((1-L1945)*(Inputs!$F$24-Inputs!$D$24)*(Inputs!$F$24-Inputs!$E$24)))</f>
        <v>0.986815852788144</v>
      </c>
      <c r="N1945" s="81" t="n">
        <f aca="true">RAND()</f>
        <v>0.412982879535045</v>
      </c>
      <c r="O1945" s="83" t="n">
        <f aca="false">IF(N1945&lt;(Inputs!$E$26-Inputs!$D$26)/(Inputs!$F$26-Inputs!$D$26),Inputs!$D$26+SQRT(N1945*(Inputs!$F$26-Inputs!$D$26)*(Inputs!$E$26-Inputs!$D$26)),Inputs!$F$26-SQRT((1-N1945)*(Inputs!$F$26-Inputs!$D$26)*(Inputs!$F$26-Inputs!$E$26)))</f>
        <v>0.562145667815876</v>
      </c>
      <c r="P1945" s="81" t="n">
        <f aca="true">RAND()</f>
        <v>0.626366801718775</v>
      </c>
      <c r="Q1945" s="82" t="n">
        <f aca="false">IF(P1945&lt;(Inputs!$E$27-Inputs!$D$27)/(Inputs!$F$27-Inputs!$D$27),Inputs!$D$27+SQRT(P1945*(Inputs!$F$27-Inputs!$D$27)*(Inputs!$E$27-Inputs!$D$27)),Inputs!$F$27-SQRT((1-P1945)*(Inputs!$F$27-Inputs!$D$27)*(Inputs!$F$27-Inputs!$E$27)))</f>
        <v>97.0637271135454</v>
      </c>
      <c r="R1945" s="81" t="n">
        <f aca="true">RAND()</f>
        <v>0.212374518865976</v>
      </c>
      <c r="S1945" s="82" t="n">
        <f aca="false">IF(R1945&lt;(Inputs!$E$29-Inputs!$D$29)/(Inputs!$F$29-Inputs!$D$29),Inputs!$D$29+SQRT(R1945*(Inputs!$F$29-Inputs!$D$29)*(Inputs!$E$29-Inputs!$D$29)),Inputs!$F$29-SQRT((1-R1945)*(Inputs!$F$29-Inputs!$D$29)*(Inputs!$F$29-Inputs!$E$29)))</f>
        <v>4.87795174312793</v>
      </c>
      <c r="T1945" s="68" t="n">
        <f aca="false">Inputs!$E$9*(1+E1945)+Inputs!$E$5*C1945*(Inputs!$E$11*Inputs!$E$14*(G1945*I1945/Inputs!$E$16+(1-G1945))*K1945+Inputs!$E$23*M1945)*(1+O1945)+Inputs!$E$5*(Q1945+S1945)</f>
        <v>6790.4837530908</v>
      </c>
    </row>
    <row r="1946" customFormat="false" ht="15" hidden="false" customHeight="false" outlineLevel="0" collapsed="false">
      <c r="A1946" s="1" t="n">
        <v>1942</v>
      </c>
      <c r="B1946" s="81" t="n">
        <f aca="true">RAND()</f>
        <v>0.169531015208606</v>
      </c>
      <c r="C1946" s="82" t="n">
        <f aca="false">ROUND(IF(B1946&lt;(Inputs!$E$8-Inputs!$D$8)/(Inputs!$F$8-Inputs!$D$8),Inputs!$D$8+SQRT(B1946*(Inputs!$F$8-Inputs!$D$8)*(Inputs!$E$8-Inputs!$D$8)),Inputs!$F$8-SQRT((1-B1946)*(Inputs!$F$8-Inputs!$D$8)*(Inputs!$F$8-Inputs!$E$8))),0)</f>
        <v>23</v>
      </c>
      <c r="D1946" s="81" t="n">
        <f aca="true">RAND()</f>
        <v>0.164455557432049</v>
      </c>
      <c r="E1946" s="83" t="n">
        <f aca="false">IF(D1946&lt;(Inputs!$E$10-Inputs!$D$10)/(Inputs!$F$10-Inputs!$D$10),Inputs!$D$10+SQRT(D1946*(Inputs!$F$10-Inputs!$D$10)*(Inputs!$E$10-Inputs!$D$10)),Inputs!$F$10-SQRT((1-D1946)*(Inputs!$F$10-Inputs!$D$10)*(Inputs!$F$10-Inputs!$E$10)))</f>
        <v>0.0405531204017705</v>
      </c>
      <c r="F1946" s="81" t="n">
        <f aca="true">RAND()</f>
        <v>0.960267879857591</v>
      </c>
      <c r="G1946" s="83" t="n">
        <f aca="false">IF(F1946&lt;(Inputs!$E$15-Inputs!$D$15)/(Inputs!$F$15-Inputs!$D$15),Inputs!$D$15+SQRT(F1946*(Inputs!$F$15-Inputs!$D$15)*(Inputs!$E$15-Inputs!$D$15)),Inputs!$F$15-SQRT((1-F1946)*(Inputs!$F$15-Inputs!$D$15)*(Inputs!$F$15-Inputs!$E$15)))</f>
        <v>0.77181059768551</v>
      </c>
      <c r="H1946" s="81" t="n">
        <f aca="true">RAND()</f>
        <v>0.596668488715435</v>
      </c>
      <c r="I1946" s="82" t="n">
        <f aca="false">ROUND(IF(H1946&lt;(Inputs!$E$17-Inputs!$D$17)/(Inputs!$F$17-Inputs!$D$17),Inputs!$D$17+SQRT(H1946*(Inputs!$F$17-Inputs!$D$17)*(Inputs!$E$17-Inputs!$D$17)),Inputs!$F$17-SQRT((1-H1946)*(Inputs!$F$17-Inputs!$D$17)*(Inputs!$F$17-Inputs!$E$17))),0)</f>
        <v>107</v>
      </c>
      <c r="J1946" s="81" t="n">
        <f aca="true">RAND()</f>
        <v>0.664692955066537</v>
      </c>
      <c r="K1946" s="83" t="n">
        <f aca="false">IF(J1946&lt;(Inputs!$E$18-Inputs!$D$18)/(Inputs!$F$18-Inputs!$D$18),Inputs!$D$18+SQRT(J1946*(Inputs!$F$18-Inputs!$D$18)*(Inputs!$E$18-Inputs!$D$18)),Inputs!$F$18-SQRT((1-J1946)*(Inputs!$F$18-Inputs!$D$18)*(Inputs!$F$18-Inputs!$E$18)))</f>
        <v>1.07871262033741</v>
      </c>
      <c r="L1946" s="81" t="n">
        <f aca="true">RAND()</f>
        <v>0.272819187478388</v>
      </c>
      <c r="M1946" s="83" t="n">
        <f aca="false">IF(L1946&lt;(Inputs!$E$24-Inputs!$D$24)/(Inputs!$F$24-Inputs!$D$24),Inputs!$D$24+SQRT(L1946*(Inputs!$F$24-Inputs!$D$24)*(Inputs!$E$24-Inputs!$D$24)),Inputs!$F$24-SQRT((1-L1946)*(Inputs!$F$24-Inputs!$D$24)*(Inputs!$F$24-Inputs!$E$24)))</f>
        <v>0.780937288852814</v>
      </c>
      <c r="N1946" s="81" t="n">
        <f aca="true">RAND()</f>
        <v>0.27952711618223</v>
      </c>
      <c r="O1946" s="83" t="n">
        <f aca="false">IF(N1946&lt;(Inputs!$E$26-Inputs!$D$26)/(Inputs!$F$26-Inputs!$D$26),Inputs!$D$26+SQRT(N1946*(Inputs!$F$26-Inputs!$D$26)*(Inputs!$E$26-Inputs!$D$26)),Inputs!$F$26-SQRT((1-N1946)*(Inputs!$F$26-Inputs!$D$26)*(Inputs!$F$26-Inputs!$E$26)))</f>
        <v>0.515669451088287</v>
      </c>
      <c r="P1946" s="81" t="n">
        <f aca="true">RAND()</f>
        <v>0.971880722653807</v>
      </c>
      <c r="Q1946" s="82" t="n">
        <f aca="false">IF(P1946&lt;(Inputs!$E$27-Inputs!$D$27)/(Inputs!$F$27-Inputs!$D$27),Inputs!$D$27+SQRT(P1946*(Inputs!$F$27-Inputs!$D$27)*(Inputs!$E$27-Inputs!$D$27)),Inputs!$F$27-SQRT((1-P1946)*(Inputs!$F$27-Inputs!$D$27)*(Inputs!$F$27-Inputs!$E$27)))</f>
        <v>135.477790109751</v>
      </c>
      <c r="R1946" s="81" t="n">
        <f aca="true">RAND()</f>
        <v>0.592754526688718</v>
      </c>
      <c r="S1946" s="82" t="n">
        <f aca="false">IF(R1946&lt;(Inputs!$E$29-Inputs!$D$29)/(Inputs!$F$29-Inputs!$D$29),Inputs!$D$29+SQRT(R1946*(Inputs!$F$29-Inputs!$D$29)*(Inputs!$E$29-Inputs!$D$29)),Inputs!$F$29-SQRT((1-R1946)*(Inputs!$F$29-Inputs!$D$29)*(Inputs!$F$29-Inputs!$E$29)))</f>
        <v>7.72388073692667</v>
      </c>
      <c r="T1946" s="68" t="n">
        <f aca="false">Inputs!$E$9*(1+E1946)+Inputs!$E$5*C1946*(Inputs!$E$11*Inputs!$E$14*(G1946*I1946/Inputs!$E$16+(1-G1946))*K1946+Inputs!$E$23*M1946)*(1+O1946)+Inputs!$E$5*(Q1946+S1946)</f>
        <v>5929.40274041026</v>
      </c>
    </row>
    <row r="1947" customFormat="false" ht="15" hidden="false" customHeight="false" outlineLevel="0" collapsed="false">
      <c r="A1947" s="1" t="n">
        <v>1943</v>
      </c>
      <c r="B1947" s="81" t="n">
        <f aca="true">RAND()</f>
        <v>0.636008428369396</v>
      </c>
      <c r="C1947" s="82" t="n">
        <f aca="false">ROUND(IF(B1947&lt;(Inputs!$E$8-Inputs!$D$8)/(Inputs!$F$8-Inputs!$D$8),Inputs!$D$8+SQRT(B1947*(Inputs!$F$8-Inputs!$D$8)*(Inputs!$E$8-Inputs!$D$8)),Inputs!$F$8-SQRT((1-B1947)*(Inputs!$F$8-Inputs!$D$8)*(Inputs!$F$8-Inputs!$E$8))),0)</f>
        <v>26</v>
      </c>
      <c r="D1947" s="81" t="n">
        <f aca="true">RAND()</f>
        <v>0.462638727020327</v>
      </c>
      <c r="E1947" s="83" t="n">
        <f aca="false">IF(D1947&lt;(Inputs!$E$10-Inputs!$D$10)/(Inputs!$F$10-Inputs!$D$10),Inputs!$D$10+SQRT(D1947*(Inputs!$F$10-Inputs!$D$10)*(Inputs!$E$10-Inputs!$D$10)),Inputs!$F$10-SQRT((1-D1947)*(Inputs!$F$10-Inputs!$D$10)*(Inputs!$F$10-Inputs!$E$10)))</f>
        <v>0.0730321371787719</v>
      </c>
      <c r="F1947" s="81" t="n">
        <f aca="true">RAND()</f>
        <v>0.128242905007046</v>
      </c>
      <c r="G1947" s="83" t="n">
        <f aca="false">IF(F1947&lt;(Inputs!$E$15-Inputs!$D$15)/(Inputs!$F$15-Inputs!$D$15),Inputs!$D$15+SQRT(F1947*(Inputs!$F$15-Inputs!$D$15)*(Inputs!$E$15-Inputs!$D$15)),Inputs!$F$15-SQRT((1-F1947)*(Inputs!$F$15-Inputs!$D$15)*(Inputs!$F$15-Inputs!$E$15)))</f>
        <v>0.650644428125322</v>
      </c>
      <c r="H1947" s="81" t="n">
        <f aca="true">RAND()</f>
        <v>0.742049298599382</v>
      </c>
      <c r="I1947" s="82" t="n">
        <f aca="false">ROUND(IF(H1947&lt;(Inputs!$E$17-Inputs!$D$17)/(Inputs!$F$17-Inputs!$D$17),Inputs!$D$17+SQRT(H1947*(Inputs!$F$17-Inputs!$D$17)*(Inputs!$E$17-Inputs!$D$17)),Inputs!$F$17-SQRT((1-H1947)*(Inputs!$F$17-Inputs!$D$17)*(Inputs!$F$17-Inputs!$E$17))),0)</f>
        <v>109</v>
      </c>
      <c r="J1947" s="81" t="n">
        <f aca="true">RAND()</f>
        <v>0.769403725071294</v>
      </c>
      <c r="K1947" s="83" t="n">
        <f aca="false">IF(J1947&lt;(Inputs!$E$18-Inputs!$D$18)/(Inputs!$F$18-Inputs!$D$18),Inputs!$D$18+SQRT(J1947*(Inputs!$F$18-Inputs!$D$18)*(Inputs!$E$18-Inputs!$D$18)),Inputs!$F$18-SQRT((1-J1947)*(Inputs!$F$18-Inputs!$D$18)*(Inputs!$F$18-Inputs!$E$18)))</f>
        <v>1.10795362005225</v>
      </c>
      <c r="L1947" s="81" t="n">
        <f aca="true">RAND()</f>
        <v>0.361271491803919</v>
      </c>
      <c r="M1947" s="83" t="n">
        <f aca="false">IF(L1947&lt;(Inputs!$E$24-Inputs!$D$24)/(Inputs!$F$24-Inputs!$D$24),Inputs!$D$24+SQRT(L1947*(Inputs!$F$24-Inputs!$D$24)*(Inputs!$E$24-Inputs!$D$24)),Inputs!$F$24-SQRT((1-L1947)*(Inputs!$F$24-Inputs!$D$24)*(Inputs!$F$24-Inputs!$E$24)))</f>
        <v>0.80847114797622</v>
      </c>
      <c r="N1947" s="81" t="n">
        <f aca="true">RAND()</f>
        <v>0.716502071376608</v>
      </c>
      <c r="O1947" s="83" t="n">
        <f aca="false">IF(N1947&lt;(Inputs!$E$26-Inputs!$D$26)/(Inputs!$F$26-Inputs!$D$26),Inputs!$D$26+SQRT(N1947*(Inputs!$F$26-Inputs!$D$26)*(Inputs!$E$26-Inputs!$D$26)),Inputs!$F$26-SQRT((1-N1947)*(Inputs!$F$26-Inputs!$D$26)*(Inputs!$F$26-Inputs!$E$26)))</f>
        <v>0.648291571037317</v>
      </c>
      <c r="P1947" s="81" t="n">
        <f aca="true">RAND()</f>
        <v>0.549131081181284</v>
      </c>
      <c r="Q1947" s="82" t="n">
        <f aca="false">IF(P1947&lt;(Inputs!$E$27-Inputs!$D$27)/(Inputs!$F$27-Inputs!$D$27),Inputs!$D$27+SQRT(P1947*(Inputs!$F$27-Inputs!$D$27)*(Inputs!$E$27-Inputs!$D$27)),Inputs!$F$27-SQRT((1-P1947)*(Inputs!$F$27-Inputs!$D$27)*(Inputs!$F$27-Inputs!$E$27)))</f>
        <v>91.8491883879479</v>
      </c>
      <c r="R1947" s="81" t="n">
        <f aca="true">RAND()</f>
        <v>0.631560911088858</v>
      </c>
      <c r="S1947" s="82" t="n">
        <f aca="false">IF(R1947&lt;(Inputs!$E$29-Inputs!$D$29)/(Inputs!$F$29-Inputs!$D$29),Inputs!$D$29+SQRT(R1947*(Inputs!$F$29-Inputs!$D$29)*(Inputs!$E$29-Inputs!$D$29)),Inputs!$F$29-SQRT((1-R1947)*(Inputs!$F$29-Inputs!$D$29)*(Inputs!$F$29-Inputs!$E$29)))</f>
        <v>8.07922825412885</v>
      </c>
      <c r="T1947" s="68" t="n">
        <f aca="false">Inputs!$E$9*(1+E1947)+Inputs!$E$5*C1947*(Inputs!$E$11*Inputs!$E$14*(G1947*I1947/Inputs!$E$16+(1-G1947))*K1947+Inputs!$E$23*M1947)*(1+O1947)+Inputs!$E$5*(Q1947+S1947)</f>
        <v>6774.84571764208</v>
      </c>
    </row>
    <row r="1948" customFormat="false" ht="15" hidden="false" customHeight="false" outlineLevel="0" collapsed="false">
      <c r="A1948" s="1" t="n">
        <v>1944</v>
      </c>
      <c r="B1948" s="81" t="n">
        <f aca="true">RAND()</f>
        <v>0.0117094263037292</v>
      </c>
      <c r="C1948" s="82" t="n">
        <f aca="false">ROUND(IF(B1948&lt;(Inputs!$E$8-Inputs!$D$8)/(Inputs!$F$8-Inputs!$D$8),Inputs!$D$8+SQRT(B1948*(Inputs!$F$8-Inputs!$D$8)*(Inputs!$E$8-Inputs!$D$8)),Inputs!$F$8-SQRT((1-B1948)*(Inputs!$F$8-Inputs!$D$8)*(Inputs!$F$8-Inputs!$E$8))),0)</f>
        <v>21</v>
      </c>
      <c r="D1948" s="81" t="n">
        <f aca="true">RAND()</f>
        <v>0.18856498058808</v>
      </c>
      <c r="E1948" s="83" t="n">
        <f aca="false">IF(D1948&lt;(Inputs!$E$10-Inputs!$D$10)/(Inputs!$F$10-Inputs!$D$10),Inputs!$D$10+SQRT(D1948*(Inputs!$F$10-Inputs!$D$10)*(Inputs!$E$10-Inputs!$D$10)),Inputs!$F$10-SQRT((1-D1948)*(Inputs!$F$10-Inputs!$D$10)*(Inputs!$F$10-Inputs!$E$10)))</f>
        <v>0.0434240694302227</v>
      </c>
      <c r="F1948" s="81" t="n">
        <f aca="true">RAND()</f>
        <v>0.0850276441301101</v>
      </c>
      <c r="G1948" s="83" t="n">
        <f aca="false">IF(F1948&lt;(Inputs!$E$15-Inputs!$D$15)/(Inputs!$F$15-Inputs!$D$15),Inputs!$D$15+SQRT(F1948*(Inputs!$F$15-Inputs!$D$15)*(Inputs!$E$15-Inputs!$D$15)),Inputs!$F$15-SQRT((1-F1948)*(Inputs!$F$15-Inputs!$D$15)*(Inputs!$F$15-Inputs!$E$15)))</f>
        <v>0.641237760397507</v>
      </c>
      <c r="H1948" s="81" t="n">
        <f aca="true">RAND()</f>
        <v>0.174684595698113</v>
      </c>
      <c r="I1948" s="82" t="n">
        <f aca="false">ROUND(IF(H1948&lt;(Inputs!$E$17-Inputs!$D$17)/(Inputs!$F$17-Inputs!$D$17),Inputs!$D$17+SQRT(H1948*(Inputs!$F$17-Inputs!$D$17)*(Inputs!$E$17-Inputs!$D$17)),Inputs!$F$17-SQRT((1-H1948)*(Inputs!$F$17-Inputs!$D$17)*(Inputs!$F$17-Inputs!$E$17))),0)</f>
        <v>104</v>
      </c>
      <c r="J1948" s="81" t="n">
        <f aca="true">RAND()</f>
        <v>0.198722258150306</v>
      </c>
      <c r="K1948" s="83" t="n">
        <f aca="false">IF(J1948&lt;(Inputs!$E$18-Inputs!$D$18)/(Inputs!$F$18-Inputs!$D$18),Inputs!$D$18+SQRT(J1948*(Inputs!$F$18-Inputs!$D$18)*(Inputs!$E$18-Inputs!$D$18)),Inputs!$F$18-SQRT((1-J1948)*(Inputs!$F$18-Inputs!$D$18)*(Inputs!$F$18-Inputs!$E$18)))</f>
        <v>0.983398315542106</v>
      </c>
      <c r="L1948" s="81" t="n">
        <f aca="true">RAND()</f>
        <v>0.0432453443072823</v>
      </c>
      <c r="M1948" s="83" t="n">
        <f aca="false">IF(L1948&lt;(Inputs!$E$24-Inputs!$D$24)/(Inputs!$F$24-Inputs!$D$24),Inputs!$D$24+SQRT(L1948*(Inputs!$F$24-Inputs!$D$24)*(Inputs!$E$24-Inputs!$D$24)),Inputs!$F$24-SQRT((1-L1948)*(Inputs!$F$24-Inputs!$D$24)*(Inputs!$F$24-Inputs!$E$24)))</f>
        <v>0.6720377770123</v>
      </c>
      <c r="N1948" s="81" t="n">
        <f aca="true">RAND()</f>
        <v>0.768268551572761</v>
      </c>
      <c r="O1948" s="83" t="n">
        <f aca="false">IF(N1948&lt;(Inputs!$E$26-Inputs!$D$26)/(Inputs!$F$26-Inputs!$D$26),Inputs!$D$26+SQRT(N1948*(Inputs!$F$26-Inputs!$D$26)*(Inputs!$E$26-Inputs!$D$26)),Inputs!$F$26-SQRT((1-N1948)*(Inputs!$F$26-Inputs!$D$26)*(Inputs!$F$26-Inputs!$E$26)))</f>
        <v>0.664758025532935</v>
      </c>
      <c r="P1948" s="81" t="n">
        <f aca="true">RAND()</f>
        <v>0.128329461993754</v>
      </c>
      <c r="Q1948" s="82" t="n">
        <f aca="false">IF(P1948&lt;(Inputs!$E$27-Inputs!$D$27)/(Inputs!$F$27-Inputs!$D$27),Inputs!$D$27+SQRT(P1948*(Inputs!$F$27-Inputs!$D$27)*(Inputs!$E$27-Inputs!$D$27)),Inputs!$F$27-SQRT((1-P1948)*(Inputs!$F$27-Inputs!$D$27)*(Inputs!$F$27-Inputs!$E$27)))</f>
        <v>67.9115508816067</v>
      </c>
      <c r="R1948" s="81" t="n">
        <f aca="true">RAND()</f>
        <v>0.0161451796406549</v>
      </c>
      <c r="S1948" s="82" t="n">
        <f aca="false">IF(R1948&lt;(Inputs!$E$29-Inputs!$D$29)/(Inputs!$F$29-Inputs!$D$29),Inputs!$D$29+SQRT(R1948*(Inputs!$F$29-Inputs!$D$29)*(Inputs!$E$29-Inputs!$D$29)),Inputs!$F$29-SQRT((1-R1948)*(Inputs!$F$29-Inputs!$D$29)*(Inputs!$F$29-Inputs!$E$29)))</f>
        <v>2.79351244853848</v>
      </c>
      <c r="T1948" s="68" t="n">
        <f aca="false">Inputs!$E$9*(1+E1948)+Inputs!$E$5*C1948*(Inputs!$E$11*Inputs!$E$14*(G1948*I1948/Inputs!$E$16+(1-G1948))*K1948+Inputs!$E$23*M1948)*(1+O1948)+Inputs!$E$5*(Q1948+S1948)</f>
        <v>5390.9699366443</v>
      </c>
    </row>
    <row r="1949" customFormat="false" ht="15" hidden="false" customHeight="false" outlineLevel="0" collapsed="false">
      <c r="A1949" s="1" t="n">
        <v>1945</v>
      </c>
      <c r="B1949" s="81" t="n">
        <f aca="true">RAND()</f>
        <v>0.451103510152199</v>
      </c>
      <c r="C1949" s="82" t="n">
        <f aca="false">ROUND(IF(B1949&lt;(Inputs!$E$8-Inputs!$D$8)/(Inputs!$F$8-Inputs!$D$8),Inputs!$D$8+SQRT(B1949*(Inputs!$F$8-Inputs!$D$8)*(Inputs!$E$8-Inputs!$D$8)),Inputs!$F$8-SQRT((1-B1949)*(Inputs!$F$8-Inputs!$D$8)*(Inputs!$F$8-Inputs!$E$8))),0)</f>
        <v>25</v>
      </c>
      <c r="D1949" s="81" t="n">
        <f aca="true">RAND()</f>
        <v>0.23856491061554</v>
      </c>
      <c r="E1949" s="83" t="n">
        <f aca="false">IF(D1949&lt;(Inputs!$E$10-Inputs!$D$10)/(Inputs!$F$10-Inputs!$D$10),Inputs!$D$10+SQRT(D1949*(Inputs!$F$10-Inputs!$D$10)*(Inputs!$E$10-Inputs!$D$10)),Inputs!$F$10-SQRT((1-D1949)*(Inputs!$F$10-Inputs!$D$10)*(Inputs!$F$10-Inputs!$E$10)))</f>
        <v>0.0488431070485427</v>
      </c>
      <c r="F1949" s="81" t="n">
        <f aca="true">RAND()</f>
        <v>0.901544135951876</v>
      </c>
      <c r="G1949" s="83" t="n">
        <f aca="false">IF(F1949&lt;(Inputs!$E$15-Inputs!$D$15)/(Inputs!$F$15-Inputs!$D$15),Inputs!$D$15+SQRT(F1949*(Inputs!$F$15-Inputs!$D$15)*(Inputs!$E$15-Inputs!$D$15)),Inputs!$F$15-SQRT((1-F1949)*(Inputs!$F$15-Inputs!$D$15)*(Inputs!$F$15-Inputs!$E$15)))</f>
        <v>0.755625263032188</v>
      </c>
      <c r="H1949" s="81" t="n">
        <f aca="true">RAND()</f>
        <v>0.16046282674599</v>
      </c>
      <c r="I1949" s="82" t="n">
        <f aca="false">ROUND(IF(H1949&lt;(Inputs!$E$17-Inputs!$D$17)/(Inputs!$F$17-Inputs!$D$17),Inputs!$D$17+SQRT(H1949*(Inputs!$F$17-Inputs!$D$17)*(Inputs!$E$17-Inputs!$D$17)),Inputs!$F$17-SQRT((1-H1949)*(Inputs!$F$17-Inputs!$D$17)*(Inputs!$F$17-Inputs!$E$17))),0)</f>
        <v>103</v>
      </c>
      <c r="J1949" s="81" t="n">
        <f aca="true">RAND()</f>
        <v>0.102120496590793</v>
      </c>
      <c r="K1949" s="83" t="n">
        <f aca="false">IF(J1949&lt;(Inputs!$E$18-Inputs!$D$18)/(Inputs!$F$18-Inputs!$D$18),Inputs!$D$18+SQRT(J1949*(Inputs!$F$18-Inputs!$D$18)*(Inputs!$E$18-Inputs!$D$18)),Inputs!$F$18-SQRT((1-J1949)*(Inputs!$F$18-Inputs!$D$18)*(Inputs!$F$18-Inputs!$E$18)))</f>
        <v>0.95978475876574</v>
      </c>
      <c r="L1949" s="81" t="n">
        <f aca="true">RAND()</f>
        <v>0.0183813475303762</v>
      </c>
      <c r="M1949" s="83" t="n">
        <f aca="false">IF(L1949&lt;(Inputs!$E$24-Inputs!$D$24)/(Inputs!$F$24-Inputs!$D$24),Inputs!$D$24+SQRT(L1949*(Inputs!$F$24-Inputs!$D$24)*(Inputs!$E$24-Inputs!$D$24)),Inputs!$F$24-SQRT((1-L1949)*(Inputs!$F$24-Inputs!$D$24)*(Inputs!$F$24-Inputs!$E$24)))</f>
        <v>0.646965537403985</v>
      </c>
      <c r="N1949" s="81" t="n">
        <f aca="true">RAND()</f>
        <v>0.16988815510021</v>
      </c>
      <c r="O1949" s="83" t="n">
        <f aca="false">IF(N1949&lt;(Inputs!$E$26-Inputs!$D$26)/(Inputs!$F$26-Inputs!$D$26),Inputs!$D$26+SQRT(N1949*(Inputs!$F$26-Inputs!$D$26)*(Inputs!$E$26-Inputs!$D$26)),Inputs!$F$26-SQRT((1-N1949)*(Inputs!$F$26-Inputs!$D$26)*(Inputs!$F$26-Inputs!$E$26)))</f>
        <v>0.468135032068498</v>
      </c>
      <c r="P1949" s="81" t="n">
        <f aca="true">RAND()</f>
        <v>0.388763004616939</v>
      </c>
      <c r="Q1949" s="82" t="n">
        <f aca="false">IF(P1949&lt;(Inputs!$E$27-Inputs!$D$27)/(Inputs!$F$27-Inputs!$D$27),Inputs!$D$27+SQRT(P1949*(Inputs!$F$27-Inputs!$D$27)*(Inputs!$E$27-Inputs!$D$27)),Inputs!$F$27-SQRT((1-P1949)*(Inputs!$F$27-Inputs!$D$27)*(Inputs!$F$27-Inputs!$E$27)))</f>
        <v>82.2927074431937</v>
      </c>
      <c r="R1949" s="81" t="n">
        <f aca="true">RAND()</f>
        <v>0.13582383133356</v>
      </c>
      <c r="S1949" s="82" t="n">
        <f aca="false">IF(R1949&lt;(Inputs!$E$29-Inputs!$D$29)/(Inputs!$F$29-Inputs!$D$29),Inputs!$D$29+SQRT(R1949*(Inputs!$F$29-Inputs!$D$29)*(Inputs!$E$29-Inputs!$D$29)),Inputs!$F$29-SQRT((1-R1949)*(Inputs!$F$29-Inputs!$D$29)*(Inputs!$F$29-Inputs!$E$29)))</f>
        <v>4.3015493525034</v>
      </c>
      <c r="T1949" s="68" t="n">
        <f aca="false">Inputs!$E$9*(1+E1949)+Inputs!$E$5*C1949*(Inputs!$E$11*Inputs!$E$14*(G1949*I1949/Inputs!$E$16+(1-G1949))*K1949+Inputs!$E$23*M1949)*(1+O1949)+Inputs!$E$5*(Q1949+S1949)</f>
        <v>5391.30903408801</v>
      </c>
    </row>
    <row r="1950" customFormat="false" ht="15" hidden="false" customHeight="false" outlineLevel="0" collapsed="false">
      <c r="A1950" s="1" t="n">
        <v>1946</v>
      </c>
      <c r="B1950" s="81" t="n">
        <f aca="true">RAND()</f>
        <v>0.833145514291795</v>
      </c>
      <c r="C1950" s="82" t="n">
        <f aca="false">ROUND(IF(B1950&lt;(Inputs!$E$8-Inputs!$D$8)/(Inputs!$F$8-Inputs!$D$8),Inputs!$D$8+SQRT(B1950*(Inputs!$F$8-Inputs!$D$8)*(Inputs!$E$8-Inputs!$D$8)),Inputs!$F$8-SQRT((1-B1950)*(Inputs!$F$8-Inputs!$D$8)*(Inputs!$F$8-Inputs!$E$8))),0)</f>
        <v>27</v>
      </c>
      <c r="D1950" s="81" t="n">
        <f aca="true">RAND()</f>
        <v>0.828656378464285</v>
      </c>
      <c r="E1950" s="83" t="n">
        <f aca="false">IF(D1950&lt;(Inputs!$E$10-Inputs!$D$10)/(Inputs!$F$10-Inputs!$D$10),Inputs!$D$10+SQRT(D1950*(Inputs!$F$10-Inputs!$D$10)*(Inputs!$E$10-Inputs!$D$10)),Inputs!$F$10-SQRT((1-D1950)*(Inputs!$F$10-Inputs!$D$10)*(Inputs!$F$10-Inputs!$E$10)))</f>
        <v>0.128304054186646</v>
      </c>
      <c r="F1950" s="81" t="n">
        <f aca="true">RAND()</f>
        <v>0.371788391480603</v>
      </c>
      <c r="G1950" s="83" t="n">
        <f aca="false">IF(F1950&lt;(Inputs!$E$15-Inputs!$D$15)/(Inputs!$F$15-Inputs!$D$15),Inputs!$D$15+SQRT(F1950*(Inputs!$F$15-Inputs!$D$15)*(Inputs!$E$15-Inputs!$D$15)),Inputs!$F$15-SQRT((1-F1950)*(Inputs!$F$15-Inputs!$D$15)*(Inputs!$F$15-Inputs!$E$15)))</f>
        <v>0.686230898346313</v>
      </c>
      <c r="H1950" s="81" t="n">
        <f aca="true">RAND()</f>
        <v>0.28424985940148</v>
      </c>
      <c r="I1950" s="82" t="n">
        <f aca="false">ROUND(IF(H1950&lt;(Inputs!$E$17-Inputs!$D$17)/(Inputs!$F$17-Inputs!$D$17),Inputs!$D$17+SQRT(H1950*(Inputs!$F$17-Inputs!$D$17)*(Inputs!$E$17-Inputs!$D$17)),Inputs!$F$17-SQRT((1-H1950)*(Inputs!$F$17-Inputs!$D$17)*(Inputs!$F$17-Inputs!$E$17))),0)</f>
        <v>105</v>
      </c>
      <c r="J1950" s="81" t="n">
        <f aca="true">RAND()</f>
        <v>0.402069211766132</v>
      </c>
      <c r="K1950" s="83" t="n">
        <f aca="false">IF(J1950&lt;(Inputs!$E$18-Inputs!$D$18)/(Inputs!$F$18-Inputs!$D$18),Inputs!$D$18+SQRT(J1950*(Inputs!$F$18-Inputs!$D$18)*(Inputs!$E$18-Inputs!$D$18)),Inputs!$F$18-SQRT((1-J1950)*(Inputs!$F$18-Inputs!$D$18)*(Inputs!$F$18-Inputs!$E$18)))</f>
        <v>1.02126665312976</v>
      </c>
      <c r="L1950" s="81" t="n">
        <f aca="true">RAND()</f>
        <v>0.985672955175678</v>
      </c>
      <c r="M1950" s="83" t="n">
        <f aca="false">IF(L1950&lt;(Inputs!$E$24-Inputs!$D$24)/(Inputs!$F$24-Inputs!$D$24),Inputs!$D$24+SQRT(L1950*(Inputs!$F$24-Inputs!$D$24)*(Inputs!$E$24-Inputs!$D$24)),Inputs!$F$24-SQRT((1-L1950)*(Inputs!$F$24-Inputs!$D$24)*(Inputs!$F$24-Inputs!$E$24)))</f>
        <v>1.1413613543997</v>
      </c>
      <c r="N1950" s="81" t="n">
        <f aca="true">RAND()</f>
        <v>0.474431769439961</v>
      </c>
      <c r="O1950" s="83" t="n">
        <f aca="false">IF(N1950&lt;(Inputs!$E$26-Inputs!$D$26)/(Inputs!$F$26-Inputs!$D$26),Inputs!$D$26+SQRT(N1950*(Inputs!$F$26-Inputs!$D$26)*(Inputs!$E$26-Inputs!$D$26)),Inputs!$F$26-SQRT((1-N1950)*(Inputs!$F$26-Inputs!$D$26)*(Inputs!$F$26-Inputs!$E$26)))</f>
        <v>0.580972323254105</v>
      </c>
      <c r="P1950" s="81" t="n">
        <f aca="true">RAND()</f>
        <v>0.470647682200667</v>
      </c>
      <c r="Q1950" s="82" t="n">
        <f aca="false">IF(P1950&lt;(Inputs!$E$27-Inputs!$D$27)/(Inputs!$F$27-Inputs!$D$27),Inputs!$D$27+SQRT(P1950*(Inputs!$F$27-Inputs!$D$27)*(Inputs!$E$27-Inputs!$D$27)),Inputs!$F$27-SQRT((1-P1950)*(Inputs!$F$27-Inputs!$D$27)*(Inputs!$F$27-Inputs!$E$27)))</f>
        <v>86.9909341166289</v>
      </c>
      <c r="R1950" s="81" t="n">
        <f aca="true">RAND()</f>
        <v>0.798041786462841</v>
      </c>
      <c r="S1950" s="82" t="n">
        <f aca="false">IF(R1950&lt;(Inputs!$E$29-Inputs!$D$29)/(Inputs!$F$29-Inputs!$D$29),Inputs!$D$29+SQRT(R1950*(Inputs!$F$29-Inputs!$D$29)*(Inputs!$E$29-Inputs!$D$29)),Inputs!$F$29-SQRT((1-R1950)*(Inputs!$F$29-Inputs!$D$29)*(Inputs!$F$29-Inputs!$E$29)))</f>
        <v>9.87607886869532</v>
      </c>
      <c r="T1950" s="68" t="n">
        <f aca="false">Inputs!$E$9*(1+E1950)+Inputs!$E$5*C1950*(Inputs!$E$11*Inputs!$E$14*(G1950*I1950/Inputs!$E$16+(1-G1950))*K1950+Inputs!$E$23*M1950)*(1+O1950)+Inputs!$E$5*(Q1950+S1950)</f>
        <v>7064.57608417742</v>
      </c>
    </row>
    <row r="1951" customFormat="false" ht="15" hidden="false" customHeight="false" outlineLevel="0" collapsed="false">
      <c r="A1951" s="1" t="n">
        <v>1947</v>
      </c>
      <c r="B1951" s="81" t="n">
        <f aca="true">RAND()</f>
        <v>0.154852038047127</v>
      </c>
      <c r="C1951" s="82" t="n">
        <f aca="false">ROUND(IF(B1951&lt;(Inputs!$E$8-Inputs!$D$8)/(Inputs!$F$8-Inputs!$D$8),Inputs!$D$8+SQRT(B1951*(Inputs!$F$8-Inputs!$D$8)*(Inputs!$E$8-Inputs!$D$8)),Inputs!$F$8-SQRT((1-B1951)*(Inputs!$F$8-Inputs!$D$8)*(Inputs!$F$8-Inputs!$E$8))),0)</f>
        <v>23</v>
      </c>
      <c r="D1951" s="81" t="n">
        <f aca="true">RAND()</f>
        <v>0.269080995805044</v>
      </c>
      <c r="E1951" s="83" t="n">
        <f aca="false">IF(D1951&lt;(Inputs!$E$10-Inputs!$D$10)/(Inputs!$F$10-Inputs!$D$10),Inputs!$D$10+SQRT(D1951*(Inputs!$F$10-Inputs!$D$10)*(Inputs!$E$10-Inputs!$D$10)),Inputs!$F$10-SQRT((1-D1951)*(Inputs!$F$10-Inputs!$D$10)*(Inputs!$F$10-Inputs!$E$10)))</f>
        <v>0.0519203926063798</v>
      </c>
      <c r="F1951" s="81" t="n">
        <f aca="true">RAND()</f>
        <v>0.297701312019016</v>
      </c>
      <c r="G1951" s="83" t="n">
        <f aca="false">IF(F1951&lt;(Inputs!$E$15-Inputs!$D$15)/(Inputs!$F$15-Inputs!$D$15),Inputs!$D$15+SQRT(F1951*(Inputs!$F$15-Inputs!$D$15)*(Inputs!$E$15-Inputs!$D$15)),Inputs!$F$15-SQRT((1-F1951)*(Inputs!$F$15-Inputs!$D$15)*(Inputs!$F$15-Inputs!$E$15)))</f>
        <v>0.677162336929232</v>
      </c>
      <c r="H1951" s="81" t="n">
        <f aca="true">RAND()</f>
        <v>0.559483460870391</v>
      </c>
      <c r="I1951" s="82" t="n">
        <f aca="false">ROUND(IF(H1951&lt;(Inputs!$E$17-Inputs!$D$17)/(Inputs!$F$17-Inputs!$D$17),Inputs!$D$17+SQRT(H1951*(Inputs!$F$17-Inputs!$D$17)*(Inputs!$E$17-Inputs!$D$17)),Inputs!$F$17-SQRT((1-H1951)*(Inputs!$F$17-Inputs!$D$17)*(Inputs!$F$17-Inputs!$E$17))),0)</f>
        <v>107</v>
      </c>
      <c r="J1951" s="81" t="n">
        <f aca="true">RAND()</f>
        <v>0.00645339847120841</v>
      </c>
      <c r="K1951" s="83" t="n">
        <f aca="false">IF(J1951&lt;(Inputs!$E$18-Inputs!$D$18)/(Inputs!$F$18-Inputs!$D$18),Inputs!$D$18+SQRT(J1951*(Inputs!$F$18-Inputs!$D$18)*(Inputs!$E$18-Inputs!$D$18)),Inputs!$F$18-SQRT((1-J1951)*(Inputs!$F$18-Inputs!$D$18)*(Inputs!$F$18-Inputs!$E$18)))</f>
        <v>0.915028936971466</v>
      </c>
      <c r="L1951" s="81" t="n">
        <f aca="true">RAND()</f>
        <v>0.41979807897653</v>
      </c>
      <c r="M1951" s="83" t="n">
        <f aca="false">IF(L1951&lt;(Inputs!$E$24-Inputs!$D$24)/(Inputs!$F$24-Inputs!$D$24),Inputs!$D$24+SQRT(L1951*(Inputs!$F$24-Inputs!$D$24)*(Inputs!$E$24-Inputs!$D$24)),Inputs!$F$24-SQRT((1-L1951)*(Inputs!$F$24-Inputs!$D$24)*(Inputs!$F$24-Inputs!$E$24)))</f>
        <v>0.826839898909821</v>
      </c>
      <c r="N1951" s="81" t="n">
        <f aca="true">RAND()</f>
        <v>0.834327267474946</v>
      </c>
      <c r="O1951" s="83" t="n">
        <f aca="false">IF(N1951&lt;(Inputs!$E$26-Inputs!$D$26)/(Inputs!$F$26-Inputs!$D$26),Inputs!$D$26+SQRT(N1951*(Inputs!$F$26-Inputs!$D$26)*(Inputs!$E$26-Inputs!$D$26)),Inputs!$F$26-SQRT((1-N1951)*(Inputs!$F$26-Inputs!$D$26)*(Inputs!$F$26-Inputs!$E$26)))</f>
        <v>0.688737041848793</v>
      </c>
      <c r="P1951" s="81" t="n">
        <f aca="true">RAND()</f>
        <v>0.692421267454709</v>
      </c>
      <c r="Q1951" s="82" t="n">
        <f aca="false">IF(P1951&lt;(Inputs!$E$27-Inputs!$D$27)/(Inputs!$F$27-Inputs!$D$27),Inputs!$D$27+SQRT(P1951*(Inputs!$F$27-Inputs!$D$27)*(Inputs!$E$27-Inputs!$D$27)),Inputs!$F$27-SQRT((1-P1951)*(Inputs!$F$27-Inputs!$D$27)*(Inputs!$F$27-Inputs!$E$27)))</f>
        <v>101.970420633846</v>
      </c>
      <c r="R1951" s="81" t="n">
        <f aca="true">RAND()</f>
        <v>0.256120968160984</v>
      </c>
      <c r="S1951" s="82" t="n">
        <f aca="false">IF(R1951&lt;(Inputs!$E$29-Inputs!$D$29)/(Inputs!$F$29-Inputs!$D$29),Inputs!$D$29+SQRT(R1951*(Inputs!$F$29-Inputs!$D$29)*(Inputs!$E$29-Inputs!$D$29)),Inputs!$F$29-SQRT((1-R1951)*(Inputs!$F$29-Inputs!$D$29)*(Inputs!$F$29-Inputs!$E$29)))</f>
        <v>5.16616686438741</v>
      </c>
      <c r="T1951" s="68" t="n">
        <f aca="false">Inputs!$E$9*(1+E1951)+Inputs!$E$5*C1951*(Inputs!$E$11*Inputs!$E$14*(G1951*I1951/Inputs!$E$16+(1-G1951))*K1951+Inputs!$E$23*M1951)*(1+O1951)+Inputs!$E$5*(Q1951+S1951)</f>
        <v>5950.48266294031</v>
      </c>
    </row>
    <row r="1952" customFormat="false" ht="15" hidden="false" customHeight="false" outlineLevel="0" collapsed="false">
      <c r="A1952" s="1" t="n">
        <v>1948</v>
      </c>
      <c r="B1952" s="81" t="n">
        <f aca="true">RAND()</f>
        <v>0.479756303634064</v>
      </c>
      <c r="C1952" s="82" t="n">
        <f aca="false">ROUND(IF(B1952&lt;(Inputs!$E$8-Inputs!$D$8)/(Inputs!$F$8-Inputs!$D$8),Inputs!$D$8+SQRT(B1952*(Inputs!$F$8-Inputs!$D$8)*(Inputs!$E$8-Inputs!$D$8)),Inputs!$F$8-SQRT((1-B1952)*(Inputs!$F$8-Inputs!$D$8)*(Inputs!$F$8-Inputs!$E$8))),0)</f>
        <v>25</v>
      </c>
      <c r="D1952" s="81" t="n">
        <f aca="true">RAND()</f>
        <v>0.816097798399618</v>
      </c>
      <c r="E1952" s="83" t="n">
        <f aca="false">IF(D1952&lt;(Inputs!$E$10-Inputs!$D$10)/(Inputs!$F$10-Inputs!$D$10),Inputs!$D$10+SQRT(D1952*(Inputs!$F$10-Inputs!$D$10)*(Inputs!$E$10-Inputs!$D$10)),Inputs!$F$10-SQRT((1-D1952)*(Inputs!$F$10-Inputs!$D$10)*(Inputs!$F$10-Inputs!$E$10)))</f>
        <v>0.125723044973481</v>
      </c>
      <c r="F1952" s="81" t="n">
        <f aca="true">RAND()</f>
        <v>0.288665825734413</v>
      </c>
      <c r="G1952" s="83" t="n">
        <f aca="false">IF(F1952&lt;(Inputs!$E$15-Inputs!$D$15)/(Inputs!$F$15-Inputs!$D$15),Inputs!$D$15+SQRT(F1952*(Inputs!$F$15-Inputs!$D$15)*(Inputs!$E$15-Inputs!$D$15)),Inputs!$F$15-SQRT((1-F1952)*(Inputs!$F$15-Inputs!$D$15)*(Inputs!$F$15-Inputs!$E$15)))</f>
        <v>0.675982343440356</v>
      </c>
      <c r="H1952" s="81" t="n">
        <f aca="true">RAND()</f>
        <v>0.898060741324856</v>
      </c>
      <c r="I1952" s="82" t="n">
        <f aca="false">ROUND(IF(H1952&lt;(Inputs!$E$17-Inputs!$D$17)/(Inputs!$F$17-Inputs!$D$17),Inputs!$D$17+SQRT(H1952*(Inputs!$F$17-Inputs!$D$17)*(Inputs!$E$17-Inputs!$D$17)),Inputs!$F$17-SQRT((1-H1952)*(Inputs!$F$17-Inputs!$D$17)*(Inputs!$F$17-Inputs!$E$17))),0)</f>
        <v>111</v>
      </c>
      <c r="J1952" s="81" t="n">
        <f aca="true">RAND()</f>
        <v>0.361376882762874</v>
      </c>
      <c r="K1952" s="83" t="n">
        <f aca="false">IF(J1952&lt;(Inputs!$E$18-Inputs!$D$18)/(Inputs!$F$18-Inputs!$D$18),Inputs!$D$18+SQRT(J1952*(Inputs!$F$18-Inputs!$D$18)*(Inputs!$E$18-Inputs!$D$18)),Inputs!$F$18-SQRT((1-J1952)*(Inputs!$F$18-Inputs!$D$18)*(Inputs!$F$18-Inputs!$E$18)))</f>
        <v>1.01361150036804</v>
      </c>
      <c r="L1952" s="81" t="n">
        <f aca="true">RAND()</f>
        <v>0.511017136470612</v>
      </c>
      <c r="M1952" s="83" t="n">
        <f aca="false">IF(L1952&lt;(Inputs!$E$24-Inputs!$D$24)/(Inputs!$F$24-Inputs!$D$24),Inputs!$D$24+SQRT(L1952*(Inputs!$F$24-Inputs!$D$24)*(Inputs!$E$24-Inputs!$D$24)),Inputs!$F$24-SQRT((1-L1952)*(Inputs!$F$24-Inputs!$D$24)*(Inputs!$F$24-Inputs!$E$24)))</f>
        <v>0.857427544529551</v>
      </c>
      <c r="N1952" s="81" t="n">
        <f aca="true">RAND()</f>
        <v>0.132630837755265</v>
      </c>
      <c r="O1952" s="83" t="n">
        <f aca="false">IF(N1952&lt;(Inputs!$E$26-Inputs!$D$26)/(Inputs!$F$26-Inputs!$D$26),Inputs!$D$26+SQRT(N1952*(Inputs!$F$26-Inputs!$D$26)*(Inputs!$E$26-Inputs!$D$26)),Inputs!$F$26-SQRT((1-N1952)*(Inputs!$F$26-Inputs!$D$26)*(Inputs!$F$26-Inputs!$E$26)))</f>
        <v>0.448558982907383</v>
      </c>
      <c r="P1952" s="81" t="n">
        <f aca="true">RAND()</f>
        <v>0.141542921430515</v>
      </c>
      <c r="Q1952" s="82" t="n">
        <f aca="false">IF(P1952&lt;(Inputs!$E$27-Inputs!$D$27)/(Inputs!$F$27-Inputs!$D$27),Inputs!$D$27+SQRT(P1952*(Inputs!$F$27-Inputs!$D$27)*(Inputs!$E$27-Inputs!$D$27)),Inputs!$F$27-SQRT((1-P1952)*(Inputs!$F$27-Inputs!$D$27)*(Inputs!$F$27-Inputs!$E$27)))</f>
        <v>68.8110952253262</v>
      </c>
      <c r="R1952" s="81" t="n">
        <f aca="true">RAND()</f>
        <v>0.0285417290676438</v>
      </c>
      <c r="S1952" s="82" t="n">
        <f aca="false">IF(R1952&lt;(Inputs!$E$29-Inputs!$D$29)/(Inputs!$F$29-Inputs!$D$29),Inputs!$D$29+SQRT(R1952*(Inputs!$F$29-Inputs!$D$29)*(Inputs!$E$29-Inputs!$D$29)),Inputs!$F$29-SQRT((1-R1952)*(Inputs!$F$29-Inputs!$D$29)*(Inputs!$F$29-Inputs!$E$29)))</f>
        <v>3.05504854563101</v>
      </c>
      <c r="T1952" s="68" t="n">
        <f aca="false">Inputs!$E$9*(1+E1952)+Inputs!$E$5*C1952*(Inputs!$E$11*Inputs!$E$14*(G1952*I1952/Inputs!$E$16+(1-G1952))*K1952+Inputs!$E$23*M1952)*(1+O1952)+Inputs!$E$5*(Q1952+S1952)</f>
        <v>6005.44878396466</v>
      </c>
    </row>
    <row r="1953" customFormat="false" ht="15" hidden="false" customHeight="false" outlineLevel="0" collapsed="false">
      <c r="A1953" s="1" t="n">
        <v>1949</v>
      </c>
      <c r="B1953" s="81" t="n">
        <f aca="true">RAND()</f>
        <v>0.358181956124195</v>
      </c>
      <c r="C1953" s="82" t="n">
        <f aca="false">ROUND(IF(B1953&lt;(Inputs!$E$8-Inputs!$D$8)/(Inputs!$F$8-Inputs!$D$8),Inputs!$D$8+SQRT(B1953*(Inputs!$F$8-Inputs!$D$8)*(Inputs!$E$8-Inputs!$D$8)),Inputs!$F$8-SQRT((1-B1953)*(Inputs!$F$8-Inputs!$D$8)*(Inputs!$F$8-Inputs!$E$8))),0)</f>
        <v>24</v>
      </c>
      <c r="D1953" s="81" t="n">
        <f aca="true">RAND()</f>
        <v>0.897321875710993</v>
      </c>
      <c r="E1953" s="83" t="n">
        <f aca="false">IF(D1953&lt;(Inputs!$E$10-Inputs!$D$10)/(Inputs!$F$10-Inputs!$D$10),Inputs!$D$10+SQRT(D1953*(Inputs!$F$10-Inputs!$D$10)*(Inputs!$E$10-Inputs!$D$10)),Inputs!$F$10-SQRT((1-D1953)*(Inputs!$F$10-Inputs!$D$10)*(Inputs!$F$10-Inputs!$E$10)))</f>
        <v>0.144499155603989</v>
      </c>
      <c r="F1953" s="81" t="n">
        <f aca="true">RAND()</f>
        <v>0.367298735897738</v>
      </c>
      <c r="G1953" s="83" t="n">
        <f aca="false">IF(F1953&lt;(Inputs!$E$15-Inputs!$D$15)/(Inputs!$F$15-Inputs!$D$15),Inputs!$D$15+SQRT(F1953*(Inputs!$F$15-Inputs!$D$15)*(Inputs!$E$15-Inputs!$D$15)),Inputs!$F$15-SQRT((1-F1953)*(Inputs!$F$15-Inputs!$D$15)*(Inputs!$F$15-Inputs!$E$15)))</f>
        <v>0.685708661860717</v>
      </c>
      <c r="H1953" s="81" t="n">
        <f aca="true">RAND()</f>
        <v>0.502152958820869</v>
      </c>
      <c r="I1953" s="82" t="n">
        <f aca="false">ROUND(IF(H1953&lt;(Inputs!$E$17-Inputs!$D$17)/(Inputs!$F$17-Inputs!$D$17),Inputs!$D$17+SQRT(H1953*(Inputs!$F$17-Inputs!$D$17)*(Inputs!$E$17-Inputs!$D$17)),Inputs!$F$17-SQRT((1-H1953)*(Inputs!$F$17-Inputs!$D$17)*(Inputs!$F$17-Inputs!$E$17))),0)</f>
        <v>106</v>
      </c>
      <c r="J1953" s="81" t="n">
        <f aca="true">RAND()</f>
        <v>0.393102255889063</v>
      </c>
      <c r="K1953" s="83" t="n">
        <f aca="false">IF(J1953&lt;(Inputs!$E$18-Inputs!$D$18)/(Inputs!$F$18-Inputs!$D$18),Inputs!$D$18+SQRT(J1953*(Inputs!$F$18-Inputs!$D$18)*(Inputs!$E$18-Inputs!$D$18)),Inputs!$F$18-SQRT((1-J1953)*(Inputs!$F$18-Inputs!$D$18)*(Inputs!$F$18-Inputs!$E$18)))</f>
        <v>1.01955791918639</v>
      </c>
      <c r="L1953" s="81" t="n">
        <f aca="true">RAND()</f>
        <v>0.738426155285666</v>
      </c>
      <c r="M1953" s="83" t="n">
        <f aca="false">IF(L1953&lt;(Inputs!$E$24-Inputs!$D$24)/(Inputs!$F$24-Inputs!$D$24),Inputs!$D$24+SQRT(L1953*(Inputs!$F$24-Inputs!$D$24)*(Inputs!$E$24-Inputs!$D$24)),Inputs!$F$24-SQRT((1-L1953)*(Inputs!$F$24-Inputs!$D$24)*(Inputs!$F$24-Inputs!$E$24)))</f>
        <v>0.949445170209313</v>
      </c>
      <c r="N1953" s="81" t="n">
        <f aca="true">RAND()</f>
        <v>0.00757077216889248</v>
      </c>
      <c r="O1953" s="83" t="n">
        <f aca="false">IF(N1953&lt;(Inputs!$E$26-Inputs!$D$26)/(Inputs!$F$26-Inputs!$D$26),Inputs!$D$26+SQRT(N1953*(Inputs!$F$26-Inputs!$D$26)*(Inputs!$E$26-Inputs!$D$26)),Inputs!$F$26-SQRT((1-N1953)*(Inputs!$F$26-Inputs!$D$26)*(Inputs!$F$26-Inputs!$E$26)))</f>
        <v>0.335493330203064</v>
      </c>
      <c r="P1953" s="81" t="n">
        <f aca="true">RAND()</f>
        <v>0.610350866596253</v>
      </c>
      <c r="Q1953" s="82" t="n">
        <f aca="false">IF(P1953&lt;(Inputs!$E$27-Inputs!$D$27)/(Inputs!$F$27-Inputs!$D$27),Inputs!$D$27+SQRT(P1953*(Inputs!$F$27-Inputs!$D$27)*(Inputs!$E$27-Inputs!$D$27)),Inputs!$F$27-SQRT((1-P1953)*(Inputs!$F$27-Inputs!$D$27)*(Inputs!$F$27-Inputs!$E$27)))</f>
        <v>95.941064563496</v>
      </c>
      <c r="R1953" s="81" t="n">
        <f aca="true">RAND()</f>
        <v>0.809572389217431</v>
      </c>
      <c r="S1953" s="82" t="n">
        <f aca="false">IF(R1953&lt;(Inputs!$E$29-Inputs!$D$29)/(Inputs!$F$29-Inputs!$D$29),Inputs!$D$29+SQRT(R1953*(Inputs!$F$29-Inputs!$D$29)*(Inputs!$E$29-Inputs!$D$29)),Inputs!$F$29-SQRT((1-R1953)*(Inputs!$F$29-Inputs!$D$29)*(Inputs!$F$29-Inputs!$E$29)))</f>
        <v>10.0245010901685</v>
      </c>
      <c r="T1953" s="68" t="n">
        <f aca="false">Inputs!$E$9*(1+E1953)+Inputs!$E$5*C1953*(Inputs!$E$11*Inputs!$E$14*(G1953*I1953/Inputs!$E$16+(1-G1953))*K1953+Inputs!$E$23*M1953)*(1+O1953)+Inputs!$E$5*(Q1953+S1953)</f>
        <v>5912.39984287504</v>
      </c>
    </row>
    <row r="1954" customFormat="false" ht="15" hidden="false" customHeight="false" outlineLevel="0" collapsed="false">
      <c r="A1954" s="1" t="n">
        <v>1950</v>
      </c>
      <c r="B1954" s="81" t="n">
        <f aca="true">RAND()</f>
        <v>0.504619173033369</v>
      </c>
      <c r="C1954" s="82" t="n">
        <f aca="false">ROUND(IF(B1954&lt;(Inputs!$E$8-Inputs!$D$8)/(Inputs!$F$8-Inputs!$D$8),Inputs!$D$8+SQRT(B1954*(Inputs!$F$8-Inputs!$D$8)*(Inputs!$E$8-Inputs!$D$8)),Inputs!$F$8-SQRT((1-B1954)*(Inputs!$F$8-Inputs!$D$8)*(Inputs!$F$8-Inputs!$E$8))),0)</f>
        <v>25</v>
      </c>
      <c r="D1954" s="81" t="n">
        <f aca="true">RAND()</f>
        <v>0.696168310674238</v>
      </c>
      <c r="E1954" s="83" t="n">
        <f aca="false">IF(D1954&lt;(Inputs!$E$10-Inputs!$D$10)/(Inputs!$F$10-Inputs!$D$10),Inputs!$D$10+SQRT(D1954*(Inputs!$F$10-Inputs!$D$10)*(Inputs!$E$10-Inputs!$D$10)),Inputs!$F$10-SQRT((1-D1954)*(Inputs!$F$10-Inputs!$D$10)*(Inputs!$F$10-Inputs!$E$10)))</f>
        <v>0.104527749163577</v>
      </c>
      <c r="F1954" s="81" t="n">
        <f aca="true">RAND()</f>
        <v>0.644306976818489</v>
      </c>
      <c r="G1954" s="83" t="n">
        <f aca="false">IF(F1954&lt;(Inputs!$E$15-Inputs!$D$15)/(Inputs!$F$15-Inputs!$D$15),Inputs!$D$15+SQRT(F1954*(Inputs!$F$15-Inputs!$D$15)*(Inputs!$E$15-Inputs!$D$15)),Inputs!$F$15-SQRT((1-F1954)*(Inputs!$F$15-Inputs!$D$15)*(Inputs!$F$15-Inputs!$E$15)))</f>
        <v>0.715656295649111</v>
      </c>
      <c r="H1954" s="81" t="n">
        <f aca="true">RAND()</f>
        <v>0.67371904662515</v>
      </c>
      <c r="I1954" s="82" t="n">
        <f aca="false">ROUND(IF(H1954&lt;(Inputs!$E$17-Inputs!$D$17)/(Inputs!$F$17-Inputs!$D$17),Inputs!$D$17+SQRT(H1954*(Inputs!$F$17-Inputs!$D$17)*(Inputs!$E$17-Inputs!$D$17)),Inputs!$F$17-SQRT((1-H1954)*(Inputs!$F$17-Inputs!$D$17)*(Inputs!$F$17-Inputs!$E$17))),0)</f>
        <v>108</v>
      </c>
      <c r="J1954" s="81" t="n">
        <f aca="true">RAND()</f>
        <v>0.285490031346607</v>
      </c>
      <c r="K1954" s="83" t="n">
        <f aca="false">IF(J1954&lt;(Inputs!$E$18-Inputs!$D$18)/(Inputs!$F$18-Inputs!$D$18),Inputs!$D$18+SQRT(J1954*(Inputs!$F$18-Inputs!$D$18)*(Inputs!$E$18-Inputs!$D$18)),Inputs!$F$18-SQRT((1-J1954)*(Inputs!$F$18-Inputs!$D$18)*(Inputs!$F$18-Inputs!$E$18)))</f>
        <v>0.999960747781973</v>
      </c>
      <c r="L1954" s="81" t="n">
        <f aca="true">RAND()</f>
        <v>0.509297513234689</v>
      </c>
      <c r="M1954" s="83" t="n">
        <f aca="false">IF(L1954&lt;(Inputs!$E$24-Inputs!$D$24)/(Inputs!$F$24-Inputs!$D$24),Inputs!$D$24+SQRT(L1954*(Inputs!$F$24-Inputs!$D$24)*(Inputs!$E$24-Inputs!$D$24)),Inputs!$F$24-SQRT((1-L1954)*(Inputs!$F$24-Inputs!$D$24)*(Inputs!$F$24-Inputs!$E$24)))</f>
        <v>0.856825704890832</v>
      </c>
      <c r="N1954" s="81" t="n">
        <f aca="true">RAND()</f>
        <v>0.542190336028626</v>
      </c>
      <c r="O1954" s="83" t="n">
        <f aca="false">IF(N1954&lt;(Inputs!$E$26-Inputs!$D$26)/(Inputs!$F$26-Inputs!$D$26),Inputs!$D$26+SQRT(N1954*(Inputs!$F$26-Inputs!$D$26)*(Inputs!$E$26-Inputs!$D$26)),Inputs!$F$26-SQRT((1-N1954)*(Inputs!$F$26-Inputs!$D$26)*(Inputs!$F$26-Inputs!$E$26)))</f>
        <v>0.600367228430738</v>
      </c>
      <c r="P1954" s="81" t="n">
        <f aca="true">RAND()</f>
        <v>0.0370695800304227</v>
      </c>
      <c r="Q1954" s="82" t="n">
        <f aca="false">IF(P1954&lt;(Inputs!$E$27-Inputs!$D$27)/(Inputs!$F$27-Inputs!$D$27),Inputs!$D$27+SQRT(P1954*(Inputs!$F$27-Inputs!$D$27)*(Inputs!$E$27-Inputs!$D$27)),Inputs!$F$27-SQRT((1-P1954)*(Inputs!$F$27-Inputs!$D$27)*(Inputs!$F$27-Inputs!$E$27)))</f>
        <v>59.626731017124</v>
      </c>
      <c r="R1954" s="81" t="n">
        <f aca="true">RAND()</f>
        <v>0.683716634724989</v>
      </c>
      <c r="S1954" s="82" t="n">
        <f aca="false">IF(R1954&lt;(Inputs!$E$29-Inputs!$D$29)/(Inputs!$F$29-Inputs!$D$29),Inputs!$D$29+SQRT(R1954*(Inputs!$F$29-Inputs!$D$29)*(Inputs!$E$29-Inputs!$D$29)),Inputs!$F$29-SQRT((1-R1954)*(Inputs!$F$29-Inputs!$D$29)*(Inputs!$F$29-Inputs!$E$29)))</f>
        <v>8.58775877826236</v>
      </c>
      <c r="T1954" s="68" t="n">
        <f aca="false">Inputs!$E$9*(1+E1954)+Inputs!$E$5*C1954*(Inputs!$E$11*Inputs!$E$14*(G1954*I1954/Inputs!$E$16+(1-G1954))*K1954+Inputs!$E$23*M1954)*(1+O1954)+Inputs!$E$5*(Q1954+S1954)</f>
        <v>6156.52723700909</v>
      </c>
    </row>
    <row r="1955" customFormat="false" ht="15" hidden="false" customHeight="false" outlineLevel="0" collapsed="false">
      <c r="A1955" s="1" t="n">
        <v>1951</v>
      </c>
      <c r="B1955" s="81" t="n">
        <f aca="true">RAND()</f>
        <v>0.226763150398811</v>
      </c>
      <c r="C1955" s="82" t="n">
        <f aca="false">ROUND(IF(B1955&lt;(Inputs!$E$8-Inputs!$D$8)/(Inputs!$F$8-Inputs!$D$8),Inputs!$D$8+SQRT(B1955*(Inputs!$F$8-Inputs!$D$8)*(Inputs!$E$8-Inputs!$D$8)),Inputs!$F$8-SQRT((1-B1955)*(Inputs!$F$8-Inputs!$D$8)*(Inputs!$F$8-Inputs!$E$8))),0)</f>
        <v>23</v>
      </c>
      <c r="D1955" s="81" t="n">
        <f aca="true">RAND()</f>
        <v>0.257298124026825</v>
      </c>
      <c r="E1955" s="83" t="n">
        <f aca="false">IF(D1955&lt;(Inputs!$E$10-Inputs!$D$10)/(Inputs!$F$10-Inputs!$D$10),Inputs!$D$10+SQRT(D1955*(Inputs!$F$10-Inputs!$D$10)*(Inputs!$E$10-Inputs!$D$10)),Inputs!$F$10-SQRT((1-D1955)*(Inputs!$F$10-Inputs!$D$10)*(Inputs!$F$10-Inputs!$E$10)))</f>
        <v>0.0507315965142145</v>
      </c>
      <c r="F1955" s="81" t="n">
        <f aca="true">RAND()</f>
        <v>0.255692763504643</v>
      </c>
      <c r="G1955" s="83" t="n">
        <f aca="false">IF(F1955&lt;(Inputs!$E$15-Inputs!$D$15)/(Inputs!$F$15-Inputs!$D$15),Inputs!$D$15+SQRT(F1955*(Inputs!$F$15-Inputs!$D$15)*(Inputs!$E$15-Inputs!$D$15)),Inputs!$F$15-SQRT((1-F1955)*(Inputs!$F$15-Inputs!$D$15)*(Inputs!$F$15-Inputs!$E$15)))</f>
        <v>0.671511224783896</v>
      </c>
      <c r="H1955" s="81" t="n">
        <f aca="true">RAND()</f>
        <v>0.628541787736247</v>
      </c>
      <c r="I1955" s="82" t="n">
        <f aca="false">ROUND(IF(H1955&lt;(Inputs!$E$17-Inputs!$D$17)/(Inputs!$F$17-Inputs!$D$17),Inputs!$D$17+SQRT(H1955*(Inputs!$F$17-Inputs!$D$17)*(Inputs!$E$17-Inputs!$D$17)),Inputs!$F$17-SQRT((1-H1955)*(Inputs!$F$17-Inputs!$D$17)*(Inputs!$F$17-Inputs!$E$17))),0)</f>
        <v>108</v>
      </c>
      <c r="J1955" s="81" t="n">
        <f aca="true">RAND()</f>
        <v>0.785817656493569</v>
      </c>
      <c r="K1955" s="83" t="n">
        <f aca="false">IF(J1955&lt;(Inputs!$E$18-Inputs!$D$18)/(Inputs!$F$18-Inputs!$D$18),Inputs!$D$18+SQRT(J1955*(Inputs!$F$18-Inputs!$D$18)*(Inputs!$E$18-Inputs!$D$18)),Inputs!$F$18-SQRT((1-J1955)*(Inputs!$F$18-Inputs!$D$18)*(Inputs!$F$18-Inputs!$E$18)))</f>
        <v>1.11310239207052</v>
      </c>
      <c r="L1955" s="81" t="n">
        <f aca="true">RAND()</f>
        <v>0.958468988366551</v>
      </c>
      <c r="M1955" s="83" t="n">
        <f aca="false">IF(L1955&lt;(Inputs!$E$24-Inputs!$D$24)/(Inputs!$F$24-Inputs!$D$24),Inputs!$D$24+SQRT(L1955*(Inputs!$F$24-Inputs!$D$24)*(Inputs!$E$24-Inputs!$D$24)),Inputs!$F$24-SQRT((1-L1955)*(Inputs!$F$24-Inputs!$D$24)*(Inputs!$F$24-Inputs!$E$24)))</f>
        <v>1.10016291875246</v>
      </c>
      <c r="N1955" s="81" t="n">
        <f aca="true">RAND()</f>
        <v>0.0149505234270723</v>
      </c>
      <c r="O1955" s="83" t="n">
        <f aca="false">IF(N1955&lt;(Inputs!$E$26-Inputs!$D$26)/(Inputs!$F$26-Inputs!$D$26),Inputs!$D$26+SQRT(N1955*(Inputs!$F$26-Inputs!$D$26)*(Inputs!$E$26-Inputs!$D$26)),Inputs!$F$26-SQRT((1-N1955)*(Inputs!$F$26-Inputs!$D$26)*(Inputs!$F$26-Inputs!$E$26)))</f>
        <v>0.349877520971524</v>
      </c>
      <c r="P1955" s="81" t="n">
        <f aca="true">RAND()</f>
        <v>0.429912217943416</v>
      </c>
      <c r="Q1955" s="82" t="n">
        <f aca="false">IF(P1955&lt;(Inputs!$E$27-Inputs!$D$27)/(Inputs!$F$27-Inputs!$D$27),Inputs!$D$27+SQRT(P1955*(Inputs!$F$27-Inputs!$D$27)*(Inputs!$E$27-Inputs!$D$27)),Inputs!$F$27-SQRT((1-P1955)*(Inputs!$F$27-Inputs!$D$27)*(Inputs!$F$27-Inputs!$E$27)))</f>
        <v>84.6114813944804</v>
      </c>
      <c r="R1955" s="81" t="n">
        <f aca="true">RAND()</f>
        <v>0.898498894275225</v>
      </c>
      <c r="S1955" s="82" t="n">
        <f aca="false">IF(R1955&lt;(Inputs!$E$29-Inputs!$D$29)/(Inputs!$F$29-Inputs!$D$29),Inputs!$D$29+SQRT(R1955*(Inputs!$F$29-Inputs!$D$29)*(Inputs!$E$29-Inputs!$D$29)),Inputs!$F$29-SQRT((1-R1955)*(Inputs!$F$29-Inputs!$D$29)*(Inputs!$F$29-Inputs!$E$29)))</f>
        <v>11.3674879567686</v>
      </c>
      <c r="T1955" s="68" t="n">
        <f aca="false">Inputs!$E$9*(1+E1955)+Inputs!$E$5*C1955*(Inputs!$E$11*Inputs!$E$14*(G1955*I1955/Inputs!$E$16+(1-G1955))*K1955+Inputs!$E$23*M1955)*(1+O1955)+Inputs!$E$5*(Q1955+S1955)</f>
        <v>5926.8420317773</v>
      </c>
    </row>
    <row r="1956" customFormat="false" ht="15" hidden="false" customHeight="false" outlineLevel="0" collapsed="false">
      <c r="A1956" s="1" t="n">
        <v>1952</v>
      </c>
      <c r="B1956" s="81" t="n">
        <f aca="true">RAND()</f>
        <v>0.413480488030833</v>
      </c>
      <c r="C1956" s="82" t="n">
        <f aca="false">ROUND(IF(B1956&lt;(Inputs!$E$8-Inputs!$D$8)/(Inputs!$F$8-Inputs!$D$8),Inputs!$D$8+SQRT(B1956*(Inputs!$F$8-Inputs!$D$8)*(Inputs!$E$8-Inputs!$D$8)),Inputs!$F$8-SQRT((1-B1956)*(Inputs!$F$8-Inputs!$D$8)*(Inputs!$F$8-Inputs!$E$8))),0)</f>
        <v>25</v>
      </c>
      <c r="D1956" s="81" t="n">
        <f aca="true">RAND()</f>
        <v>0.0747043113543384</v>
      </c>
      <c r="E1956" s="83" t="n">
        <f aca="false">IF(D1956&lt;(Inputs!$E$10-Inputs!$D$10)/(Inputs!$F$10-Inputs!$D$10),Inputs!$D$10+SQRT(D1956*(Inputs!$F$10-Inputs!$D$10)*(Inputs!$E$10-Inputs!$D$10)),Inputs!$F$10-SQRT((1-D1956)*(Inputs!$F$10-Inputs!$D$10)*(Inputs!$F$10-Inputs!$E$10)))</f>
        <v>0.0273320894470837</v>
      </c>
      <c r="F1956" s="81" t="n">
        <f aca="true">RAND()</f>
        <v>0.218038471742622</v>
      </c>
      <c r="G1956" s="83" t="n">
        <f aca="false">IF(F1956&lt;(Inputs!$E$15-Inputs!$D$15)/(Inputs!$F$15-Inputs!$D$15),Inputs!$D$15+SQRT(F1956*(Inputs!$F$15-Inputs!$D$15)*(Inputs!$E$15-Inputs!$D$15)),Inputs!$F$15-SQRT((1-F1956)*(Inputs!$F$15-Inputs!$D$15)*(Inputs!$F$15-Inputs!$E$15)))</f>
        <v>0.666036122197268</v>
      </c>
      <c r="H1956" s="81" t="n">
        <f aca="true">RAND()</f>
        <v>0.813924209936287</v>
      </c>
      <c r="I1956" s="82" t="n">
        <f aca="false">ROUND(IF(H1956&lt;(Inputs!$E$17-Inputs!$D$17)/(Inputs!$F$17-Inputs!$D$17),Inputs!$D$17+SQRT(H1956*(Inputs!$F$17-Inputs!$D$17)*(Inputs!$E$17-Inputs!$D$17)),Inputs!$F$17-SQRT((1-H1956)*(Inputs!$F$17-Inputs!$D$17)*(Inputs!$F$17-Inputs!$E$17))),0)</f>
        <v>110</v>
      </c>
      <c r="J1956" s="81" t="n">
        <f aca="true">RAND()</f>
        <v>0.538791782478752</v>
      </c>
      <c r="K1956" s="83" t="n">
        <f aca="false">IF(J1956&lt;(Inputs!$E$18-Inputs!$D$18)/(Inputs!$F$18-Inputs!$D$18),Inputs!$D$18+SQRT(J1956*(Inputs!$F$18-Inputs!$D$18)*(Inputs!$E$18-Inputs!$D$18)),Inputs!$F$18-SQRT((1-J1956)*(Inputs!$F$18-Inputs!$D$18)*(Inputs!$F$18-Inputs!$E$18)))</f>
        <v>1.0491126708</v>
      </c>
      <c r="L1956" s="81" t="n">
        <f aca="true">RAND()</f>
        <v>0.113201282827637</v>
      </c>
      <c r="M1956" s="83" t="n">
        <f aca="false">IF(L1956&lt;(Inputs!$E$24-Inputs!$D$24)/(Inputs!$F$24-Inputs!$D$24),Inputs!$D$24+SQRT(L1956*(Inputs!$F$24-Inputs!$D$24)*(Inputs!$E$24-Inputs!$D$24)),Inputs!$F$24-SQRT((1-L1956)*(Inputs!$F$24-Inputs!$D$24)*(Inputs!$F$24-Inputs!$E$24)))</f>
        <v>0.716551078670755</v>
      </c>
      <c r="N1956" s="81" t="n">
        <f aca="true">RAND()</f>
        <v>0.0616297178888492</v>
      </c>
      <c r="O1956" s="83" t="n">
        <f aca="false">IF(N1956&lt;(Inputs!$E$26-Inputs!$D$26)/(Inputs!$F$26-Inputs!$D$26),Inputs!$D$26+SQRT(N1956*(Inputs!$F$26-Inputs!$D$26)*(Inputs!$E$26-Inputs!$D$26)),Inputs!$F$26-SQRT((1-N1956)*(Inputs!$F$26-Inputs!$D$26)*(Inputs!$F$26-Inputs!$E$26)))</f>
        <v>0.401267887588833</v>
      </c>
      <c r="P1956" s="81" t="n">
        <f aca="true">RAND()</f>
        <v>0.371130952976229</v>
      </c>
      <c r="Q1956" s="82" t="n">
        <f aca="false">IF(P1956&lt;(Inputs!$E$27-Inputs!$D$27)/(Inputs!$F$27-Inputs!$D$27),Inputs!$D$27+SQRT(P1956*(Inputs!$F$27-Inputs!$D$27)*(Inputs!$E$27-Inputs!$D$27)),Inputs!$F$27-SQRT((1-P1956)*(Inputs!$F$27-Inputs!$D$27)*(Inputs!$F$27-Inputs!$E$27)))</f>
        <v>81.3230908333938</v>
      </c>
      <c r="R1956" s="81" t="n">
        <f aca="true">RAND()</f>
        <v>0.62282213282822</v>
      </c>
      <c r="S1956" s="82" t="n">
        <f aca="false">IF(R1956&lt;(Inputs!$E$29-Inputs!$D$29)/(Inputs!$F$29-Inputs!$D$29),Inputs!$D$29+SQRT(R1956*(Inputs!$F$29-Inputs!$D$29)*(Inputs!$E$29-Inputs!$D$29)),Inputs!$F$29-SQRT((1-R1956)*(Inputs!$F$29-Inputs!$D$29)*(Inputs!$F$29-Inputs!$E$29)))</f>
        <v>7.99763449023607</v>
      </c>
      <c r="T1956" s="68" t="n">
        <f aca="false">Inputs!$E$9*(1+E1956)+Inputs!$E$5*C1956*(Inputs!$E$11*Inputs!$E$14*(G1956*I1956/Inputs!$E$16+(1-G1956))*K1956+Inputs!$E$23*M1956)*(1+O1956)+Inputs!$E$5*(Q1956+S1956)</f>
        <v>5667.79161429707</v>
      </c>
    </row>
    <row r="1957" customFormat="false" ht="15" hidden="false" customHeight="false" outlineLevel="0" collapsed="false">
      <c r="A1957" s="1" t="n">
        <v>1953</v>
      </c>
      <c r="B1957" s="81" t="n">
        <f aca="true">RAND()</f>
        <v>0.247432481944125</v>
      </c>
      <c r="C1957" s="82" t="n">
        <f aca="false">ROUND(IF(B1957&lt;(Inputs!$E$8-Inputs!$D$8)/(Inputs!$F$8-Inputs!$D$8),Inputs!$D$8+SQRT(B1957*(Inputs!$F$8-Inputs!$D$8)*(Inputs!$E$8-Inputs!$D$8)),Inputs!$F$8-SQRT((1-B1957)*(Inputs!$F$8-Inputs!$D$8)*(Inputs!$F$8-Inputs!$E$8))),0)</f>
        <v>24</v>
      </c>
      <c r="D1957" s="81" t="n">
        <f aca="true">RAND()</f>
        <v>0.310182520056023</v>
      </c>
      <c r="E1957" s="83" t="n">
        <f aca="false">IF(D1957&lt;(Inputs!$E$10-Inputs!$D$10)/(Inputs!$F$10-Inputs!$D$10),Inputs!$D$10+SQRT(D1957*(Inputs!$F$10-Inputs!$D$10)*(Inputs!$E$10-Inputs!$D$10)),Inputs!$F$10-SQRT((1-D1957)*(Inputs!$F$10-Inputs!$D$10)*(Inputs!$F$10-Inputs!$E$10)))</f>
        <v>0.056144084590451</v>
      </c>
      <c r="F1957" s="81" t="n">
        <f aca="true">RAND()</f>
        <v>0.500556986222247</v>
      </c>
      <c r="G1957" s="83" t="n">
        <f aca="false">IF(F1957&lt;(Inputs!$E$15-Inputs!$D$15)/(Inputs!$F$15-Inputs!$D$15),Inputs!$D$15+SQRT(F1957*(Inputs!$F$15-Inputs!$D$15)*(Inputs!$E$15-Inputs!$D$15)),Inputs!$F$15-SQRT((1-F1957)*(Inputs!$F$15-Inputs!$D$15)*(Inputs!$F$15-Inputs!$E$15)))</f>
        <v>0.700055714142553</v>
      </c>
      <c r="H1957" s="81" t="n">
        <f aca="true">RAND()</f>
        <v>0.295480230026564</v>
      </c>
      <c r="I1957" s="82" t="n">
        <f aca="false">ROUND(IF(H1957&lt;(Inputs!$E$17-Inputs!$D$17)/(Inputs!$F$17-Inputs!$D$17),Inputs!$D$17+SQRT(H1957*(Inputs!$F$17-Inputs!$D$17)*(Inputs!$E$17-Inputs!$D$17)),Inputs!$F$17-SQRT((1-H1957)*(Inputs!$F$17-Inputs!$D$17)*(Inputs!$F$17-Inputs!$E$17))),0)</f>
        <v>105</v>
      </c>
      <c r="J1957" s="81" t="n">
        <f aca="true">RAND()</f>
        <v>0.160938197194433</v>
      </c>
      <c r="K1957" s="83" t="n">
        <f aca="false">IF(J1957&lt;(Inputs!$E$18-Inputs!$D$18)/(Inputs!$F$18-Inputs!$D$18),Inputs!$D$18+SQRT(J1957*(Inputs!$F$18-Inputs!$D$18)*(Inputs!$E$18-Inputs!$D$18)),Inputs!$F$18-SQRT((1-J1957)*(Inputs!$F$18-Inputs!$D$18)*(Inputs!$F$18-Inputs!$E$18)))</f>
        <v>0.975052227827062</v>
      </c>
      <c r="L1957" s="81" t="n">
        <f aca="true">RAND()</f>
        <v>0.118115410889675</v>
      </c>
      <c r="M1957" s="83" t="n">
        <f aca="false">IF(L1957&lt;(Inputs!$E$24-Inputs!$D$24)/(Inputs!$F$24-Inputs!$D$24),Inputs!$D$24+SQRT(L1957*(Inputs!$F$24-Inputs!$D$24)*(Inputs!$E$24-Inputs!$D$24)),Inputs!$F$24-SQRT((1-L1957)*(Inputs!$F$24-Inputs!$D$24)*(Inputs!$F$24-Inputs!$E$24)))</f>
        <v>0.719053976442457</v>
      </c>
      <c r="N1957" s="81" t="n">
        <f aca="true">RAND()</f>
        <v>0.0867015173395052</v>
      </c>
      <c r="O1957" s="83" t="n">
        <f aca="false">IF(N1957&lt;(Inputs!$E$26-Inputs!$D$26)/(Inputs!$F$26-Inputs!$D$26),Inputs!$D$26+SQRT(N1957*(Inputs!$F$26-Inputs!$D$26)*(Inputs!$E$26-Inputs!$D$26)),Inputs!$F$26-SQRT((1-N1957)*(Inputs!$F$26-Inputs!$D$26)*(Inputs!$F$26-Inputs!$E$26)))</f>
        <v>0.420112998819002</v>
      </c>
      <c r="P1957" s="81" t="n">
        <f aca="true">RAND()</f>
        <v>0.650027768901698</v>
      </c>
      <c r="Q1957" s="82" t="n">
        <f aca="false">IF(P1957&lt;(Inputs!$E$27-Inputs!$D$27)/(Inputs!$F$27-Inputs!$D$27),Inputs!$D$27+SQRT(P1957*(Inputs!$F$27-Inputs!$D$27)*(Inputs!$E$27-Inputs!$D$27)),Inputs!$F$27-SQRT((1-P1957)*(Inputs!$F$27-Inputs!$D$27)*(Inputs!$F$27-Inputs!$E$27)))</f>
        <v>98.7672786860071</v>
      </c>
      <c r="R1957" s="81" t="n">
        <f aca="true">RAND()</f>
        <v>0.635147547541446</v>
      </c>
      <c r="S1957" s="82" t="n">
        <f aca="false">IF(R1957&lt;(Inputs!$E$29-Inputs!$D$29)/(Inputs!$F$29-Inputs!$D$29),Inputs!$D$29+SQRT(R1957*(Inputs!$F$29-Inputs!$D$29)*(Inputs!$E$29-Inputs!$D$29)),Inputs!$F$29-SQRT((1-R1957)*(Inputs!$F$29-Inputs!$D$29)*(Inputs!$F$29-Inputs!$E$29)))</f>
        <v>8.11299638306963</v>
      </c>
      <c r="T1957" s="68" t="n">
        <f aca="false">Inputs!$E$9*(1+E1957)+Inputs!$E$5*C1957*(Inputs!$E$11*Inputs!$E$14*(G1957*I1957/Inputs!$E$16+(1-G1957))*K1957+Inputs!$E$23*M1957)*(1+O1957)+Inputs!$E$5*(Q1957+S1957)</f>
        <v>5516.17917901434</v>
      </c>
    </row>
    <row r="1958" customFormat="false" ht="15" hidden="false" customHeight="false" outlineLevel="0" collapsed="false">
      <c r="A1958" s="1" t="n">
        <v>1954</v>
      </c>
      <c r="B1958" s="81" t="n">
        <f aca="true">RAND()</f>
        <v>0.866694648947512</v>
      </c>
      <c r="C1958" s="82" t="n">
        <f aca="false">ROUND(IF(B1958&lt;(Inputs!$E$8-Inputs!$D$8)/(Inputs!$F$8-Inputs!$D$8),Inputs!$D$8+SQRT(B1958*(Inputs!$F$8-Inputs!$D$8)*(Inputs!$E$8-Inputs!$D$8)),Inputs!$F$8-SQRT((1-B1958)*(Inputs!$F$8-Inputs!$D$8)*(Inputs!$F$8-Inputs!$E$8))),0)</f>
        <v>27</v>
      </c>
      <c r="D1958" s="81" t="n">
        <f aca="true">RAND()</f>
        <v>0.873012838209141</v>
      </c>
      <c r="E1958" s="83" t="n">
        <f aca="false">IF(D1958&lt;(Inputs!$E$10-Inputs!$D$10)/(Inputs!$F$10-Inputs!$D$10),Inputs!$D$10+SQRT(D1958*(Inputs!$F$10-Inputs!$D$10)*(Inputs!$E$10-Inputs!$D$10)),Inputs!$F$10-SQRT((1-D1958)*(Inputs!$F$10-Inputs!$D$10)*(Inputs!$F$10-Inputs!$E$10)))</f>
        <v>0.138277922477238</v>
      </c>
      <c r="F1958" s="81" t="n">
        <f aca="true">RAND()</f>
        <v>0.240585514139847</v>
      </c>
      <c r="G1958" s="83" t="n">
        <f aca="false">IF(F1958&lt;(Inputs!$E$15-Inputs!$D$15)/(Inputs!$F$15-Inputs!$D$15),Inputs!$D$15+SQRT(F1958*(Inputs!$F$15-Inputs!$D$15)*(Inputs!$E$15-Inputs!$D$15)),Inputs!$F$15-SQRT((1-F1958)*(Inputs!$F$15-Inputs!$D$15)*(Inputs!$F$15-Inputs!$E$15)))</f>
        <v>0.669366492507528</v>
      </c>
      <c r="H1958" s="81" t="n">
        <f aca="true">RAND()</f>
        <v>0.118128524005826</v>
      </c>
      <c r="I1958" s="82" t="n">
        <f aca="false">ROUND(IF(H1958&lt;(Inputs!$E$17-Inputs!$D$17)/(Inputs!$F$17-Inputs!$D$17),Inputs!$D$17+SQRT(H1958*(Inputs!$F$17-Inputs!$D$17)*(Inputs!$E$17-Inputs!$D$17)),Inputs!$F$17-SQRT((1-H1958)*(Inputs!$F$17-Inputs!$D$17)*(Inputs!$F$17-Inputs!$E$17))),0)</f>
        <v>103</v>
      </c>
      <c r="J1958" s="81" t="n">
        <f aca="true">RAND()</f>
        <v>0.332064536937672</v>
      </c>
      <c r="K1958" s="83" t="n">
        <f aca="false">IF(J1958&lt;(Inputs!$E$18-Inputs!$D$18)/(Inputs!$F$18-Inputs!$D$18),Inputs!$D$18+SQRT(J1958*(Inputs!$F$18-Inputs!$D$18)*(Inputs!$E$18-Inputs!$D$18)),Inputs!$F$18-SQRT((1-J1958)*(Inputs!$F$18-Inputs!$D$18)*(Inputs!$F$18-Inputs!$E$18)))</f>
        <v>1.00824733089797</v>
      </c>
      <c r="L1958" s="81" t="n">
        <f aca="true">RAND()</f>
        <v>0.426871864890747</v>
      </c>
      <c r="M1958" s="83" t="n">
        <f aca="false">IF(L1958&lt;(Inputs!$E$24-Inputs!$D$24)/(Inputs!$F$24-Inputs!$D$24),Inputs!$D$24+SQRT(L1958*(Inputs!$F$24-Inputs!$D$24)*(Inputs!$E$24-Inputs!$D$24)),Inputs!$F$24-SQRT((1-L1958)*(Inputs!$F$24-Inputs!$D$24)*(Inputs!$F$24-Inputs!$E$24)))</f>
        <v>0.829121647401442</v>
      </c>
      <c r="N1958" s="81" t="n">
        <f aca="true">RAND()</f>
        <v>0.898463624400122</v>
      </c>
      <c r="O1958" s="83" t="n">
        <f aca="false">IF(N1958&lt;(Inputs!$E$26-Inputs!$D$26)/(Inputs!$F$26-Inputs!$D$26),Inputs!$D$26+SQRT(N1958*(Inputs!$F$26-Inputs!$D$26)*(Inputs!$E$26-Inputs!$D$26)),Inputs!$F$26-SQRT((1-N1958)*(Inputs!$F$26-Inputs!$D$26)*(Inputs!$F$26-Inputs!$E$26)))</f>
        <v>0.71723919491174</v>
      </c>
      <c r="P1958" s="81" t="n">
        <f aca="true">RAND()</f>
        <v>0.814667746300318</v>
      </c>
      <c r="Q1958" s="82" t="n">
        <f aca="false">IF(P1958&lt;(Inputs!$E$27-Inputs!$D$27)/(Inputs!$F$27-Inputs!$D$27),Inputs!$D$27+SQRT(P1958*(Inputs!$F$27-Inputs!$D$27)*(Inputs!$E$27-Inputs!$D$27)),Inputs!$F$27-SQRT((1-P1958)*(Inputs!$F$27-Inputs!$D$27)*(Inputs!$F$27-Inputs!$E$27)))</f>
        <v>112.717404828156</v>
      </c>
      <c r="R1958" s="81" t="n">
        <f aca="true">RAND()</f>
        <v>0.267996638396983</v>
      </c>
      <c r="S1958" s="82" t="n">
        <f aca="false">IF(R1958&lt;(Inputs!$E$29-Inputs!$D$29)/(Inputs!$F$29-Inputs!$D$29),Inputs!$D$29+SQRT(R1958*(Inputs!$F$29-Inputs!$D$29)*(Inputs!$E$29-Inputs!$D$29)),Inputs!$F$29-SQRT((1-R1958)*(Inputs!$F$29-Inputs!$D$29)*(Inputs!$F$29-Inputs!$E$29)))</f>
        <v>5.244978882217</v>
      </c>
      <c r="T1958" s="68" t="n">
        <f aca="false">Inputs!$E$9*(1+E1958)+Inputs!$E$5*C1958*(Inputs!$E$11*Inputs!$E$14*(G1958*I1958/Inputs!$E$16+(1-G1958))*K1958+Inputs!$E$23*M1958)*(1+O1958)+Inputs!$E$5*(Q1958+S1958)</f>
        <v>6996.58501528928</v>
      </c>
    </row>
    <row r="1959" customFormat="false" ht="15" hidden="false" customHeight="false" outlineLevel="0" collapsed="false">
      <c r="A1959" s="1" t="n">
        <v>1955</v>
      </c>
      <c r="B1959" s="81" t="n">
        <f aca="true">RAND()</f>
        <v>0.0289822969639264</v>
      </c>
      <c r="C1959" s="82" t="n">
        <f aca="false">ROUND(IF(B1959&lt;(Inputs!$E$8-Inputs!$D$8)/(Inputs!$F$8-Inputs!$D$8),Inputs!$D$8+SQRT(B1959*(Inputs!$F$8-Inputs!$D$8)*(Inputs!$E$8-Inputs!$D$8)),Inputs!$F$8-SQRT((1-B1959)*(Inputs!$F$8-Inputs!$D$8)*(Inputs!$F$8-Inputs!$E$8))),0)</f>
        <v>21</v>
      </c>
      <c r="D1959" s="81" t="n">
        <f aca="true">RAND()</f>
        <v>0.674491414229412</v>
      </c>
      <c r="E1959" s="83" t="n">
        <f aca="false">IF(D1959&lt;(Inputs!$E$10-Inputs!$D$10)/(Inputs!$F$10-Inputs!$D$10),Inputs!$D$10+SQRT(D1959*(Inputs!$F$10-Inputs!$D$10)*(Inputs!$E$10-Inputs!$D$10)),Inputs!$F$10-SQRT((1-D1959)*(Inputs!$F$10-Inputs!$D$10)*(Inputs!$F$10-Inputs!$E$10)))</f>
        <v>0.10118068218654</v>
      </c>
      <c r="F1959" s="81" t="n">
        <f aca="true">RAND()</f>
        <v>0.0696078996550045</v>
      </c>
      <c r="G1959" s="83" t="n">
        <f aca="false">IF(F1959&lt;(Inputs!$E$15-Inputs!$D$15)/(Inputs!$F$15-Inputs!$D$15),Inputs!$D$15+SQRT(F1959*(Inputs!$F$15-Inputs!$D$15)*(Inputs!$E$15-Inputs!$D$15)),Inputs!$F$15-SQRT((1-F1959)*(Inputs!$F$15-Inputs!$D$15)*(Inputs!$F$15-Inputs!$E$15)))</f>
        <v>0.637311633482067</v>
      </c>
      <c r="H1959" s="81" t="n">
        <f aca="true">RAND()</f>
        <v>0.670706394781884</v>
      </c>
      <c r="I1959" s="82" t="n">
        <f aca="false">ROUND(IF(H1959&lt;(Inputs!$E$17-Inputs!$D$17)/(Inputs!$F$17-Inputs!$D$17),Inputs!$D$17+SQRT(H1959*(Inputs!$F$17-Inputs!$D$17)*(Inputs!$E$17-Inputs!$D$17)),Inputs!$F$17-SQRT((1-H1959)*(Inputs!$F$17-Inputs!$D$17)*(Inputs!$F$17-Inputs!$E$17))),0)</f>
        <v>108</v>
      </c>
      <c r="J1959" s="81" t="n">
        <f aca="true">RAND()</f>
        <v>0.877989327760882</v>
      </c>
      <c r="K1959" s="83" t="n">
        <f aca="false">IF(J1959&lt;(Inputs!$E$18-Inputs!$D$18)/(Inputs!$F$18-Inputs!$D$18),Inputs!$D$18+SQRT(J1959*(Inputs!$F$18-Inputs!$D$18)*(Inputs!$E$18-Inputs!$D$18)),Inputs!$F$18-SQRT((1-J1959)*(Inputs!$F$18-Inputs!$D$18)*(Inputs!$F$18-Inputs!$E$18)))</f>
        <v>1.14667558942378</v>
      </c>
      <c r="L1959" s="81" t="n">
        <f aca="true">RAND()</f>
        <v>0.997996873726422</v>
      </c>
      <c r="M1959" s="83" t="n">
        <f aca="false">IF(L1959&lt;(Inputs!$E$24-Inputs!$D$24)/(Inputs!$F$24-Inputs!$D$24),Inputs!$D$24+SQRT(L1959*(Inputs!$F$24-Inputs!$D$24)*(Inputs!$E$24-Inputs!$D$24)),Inputs!$F$24-SQRT((1-L1959)*(Inputs!$F$24-Inputs!$D$24)*(Inputs!$F$24-Inputs!$E$24)))</f>
        <v>1.17807398108049</v>
      </c>
      <c r="N1959" s="81" t="n">
        <f aca="true">RAND()</f>
        <v>0.587488919547764</v>
      </c>
      <c r="O1959" s="83" t="n">
        <f aca="false">IF(N1959&lt;(Inputs!$E$26-Inputs!$D$26)/(Inputs!$F$26-Inputs!$D$26),Inputs!$D$26+SQRT(N1959*(Inputs!$F$26-Inputs!$D$26)*(Inputs!$E$26-Inputs!$D$26)),Inputs!$F$26-SQRT((1-N1959)*(Inputs!$F$26-Inputs!$D$26)*(Inputs!$F$26-Inputs!$E$26)))</f>
        <v>0.612663007426123</v>
      </c>
      <c r="P1959" s="81" t="n">
        <f aca="true">RAND()</f>
        <v>0.0296734808373008</v>
      </c>
      <c r="Q1959" s="82" t="n">
        <f aca="false">IF(P1959&lt;(Inputs!$E$27-Inputs!$D$27)/(Inputs!$F$27-Inputs!$D$27),Inputs!$D$27+SQRT(P1959*(Inputs!$F$27-Inputs!$D$27)*(Inputs!$E$27-Inputs!$D$27)),Inputs!$F$27-SQRT((1-P1959)*(Inputs!$F$27-Inputs!$D$27)*(Inputs!$F$27-Inputs!$E$27)))</f>
        <v>58.6129961159432</v>
      </c>
      <c r="R1959" s="81" t="n">
        <f aca="true">RAND()</f>
        <v>0.803687424952363</v>
      </c>
      <c r="S1959" s="82" t="n">
        <f aca="false">IF(R1959&lt;(Inputs!$E$29-Inputs!$D$29)/(Inputs!$F$29-Inputs!$D$29),Inputs!$D$29+SQRT(R1959*(Inputs!$F$29-Inputs!$D$29)*(Inputs!$E$29-Inputs!$D$29)),Inputs!$F$29-SQRT((1-R1959)*(Inputs!$F$29-Inputs!$D$29)*(Inputs!$F$29-Inputs!$E$29)))</f>
        <v>9.94820479866882</v>
      </c>
      <c r="T1959" s="68" t="n">
        <f aca="false">Inputs!$E$9*(1+E1959)+Inputs!$E$5*C1959*(Inputs!$E$11*Inputs!$E$14*(G1959*I1959/Inputs!$E$16+(1-G1959))*K1959+Inputs!$E$23*M1959)*(1+O1959)+Inputs!$E$5*(Q1959+S1959)</f>
        <v>6385.12181658513</v>
      </c>
    </row>
    <row r="1960" customFormat="false" ht="15" hidden="false" customHeight="false" outlineLevel="0" collapsed="false">
      <c r="A1960" s="1" t="n">
        <v>1956</v>
      </c>
      <c r="B1960" s="81" t="n">
        <f aca="true">RAND()</f>
        <v>0.685978684866471</v>
      </c>
      <c r="C1960" s="82" t="n">
        <f aca="false">ROUND(IF(B1960&lt;(Inputs!$E$8-Inputs!$D$8)/(Inputs!$F$8-Inputs!$D$8),Inputs!$D$8+SQRT(B1960*(Inputs!$F$8-Inputs!$D$8)*(Inputs!$E$8-Inputs!$D$8)),Inputs!$F$8-SQRT((1-B1960)*(Inputs!$F$8-Inputs!$D$8)*(Inputs!$F$8-Inputs!$E$8))),0)</f>
        <v>26</v>
      </c>
      <c r="D1960" s="81" t="n">
        <f aca="true">RAND()</f>
        <v>0.370368025471833</v>
      </c>
      <c r="E1960" s="83" t="n">
        <f aca="false">IF(D1960&lt;(Inputs!$E$10-Inputs!$D$10)/(Inputs!$F$10-Inputs!$D$10),Inputs!$D$10+SQRT(D1960*(Inputs!$F$10-Inputs!$D$10)*(Inputs!$E$10-Inputs!$D$10)),Inputs!$F$10-SQRT((1-D1960)*(Inputs!$F$10-Inputs!$D$10)*(Inputs!$F$10-Inputs!$E$10)))</f>
        <v>0.0625628898883383</v>
      </c>
      <c r="F1960" s="81" t="n">
        <f aca="true">RAND()</f>
        <v>0.187682649155836</v>
      </c>
      <c r="G1960" s="83" t="n">
        <f aca="false">IF(F1960&lt;(Inputs!$E$15-Inputs!$D$15)/(Inputs!$F$15-Inputs!$D$15),Inputs!$D$15+SQRT(F1960*(Inputs!$F$15-Inputs!$D$15)*(Inputs!$E$15-Inputs!$D$15)),Inputs!$F$15-SQRT((1-F1960)*(Inputs!$F$15-Inputs!$D$15)*(Inputs!$F$15-Inputs!$E$15)))</f>
        <v>0.661267062791656</v>
      </c>
      <c r="H1960" s="81" t="n">
        <f aca="true">RAND()</f>
        <v>0.358271076378079</v>
      </c>
      <c r="I1960" s="82" t="n">
        <f aca="false">ROUND(IF(H1960&lt;(Inputs!$E$17-Inputs!$D$17)/(Inputs!$F$17-Inputs!$D$17),Inputs!$D$17+SQRT(H1960*(Inputs!$F$17-Inputs!$D$17)*(Inputs!$E$17-Inputs!$D$17)),Inputs!$F$17-SQRT((1-H1960)*(Inputs!$F$17-Inputs!$D$17)*(Inputs!$F$17-Inputs!$E$17))),0)</f>
        <v>105</v>
      </c>
      <c r="J1960" s="81" t="n">
        <f aca="true">RAND()</f>
        <v>0.361963308277233</v>
      </c>
      <c r="K1960" s="83" t="n">
        <f aca="false">IF(J1960&lt;(Inputs!$E$18-Inputs!$D$18)/(Inputs!$F$18-Inputs!$D$18),Inputs!$D$18+SQRT(J1960*(Inputs!$F$18-Inputs!$D$18)*(Inputs!$E$18-Inputs!$D$18)),Inputs!$F$18-SQRT((1-J1960)*(Inputs!$F$18-Inputs!$D$18)*(Inputs!$F$18-Inputs!$E$18)))</f>
        <v>1.01372005898566</v>
      </c>
      <c r="L1960" s="81" t="n">
        <f aca="true">RAND()</f>
        <v>0.247713781707716</v>
      </c>
      <c r="M1960" s="83" t="n">
        <f aca="false">IF(L1960&lt;(Inputs!$E$24-Inputs!$D$24)/(Inputs!$F$24-Inputs!$D$24),Inputs!$D$24+SQRT(L1960*(Inputs!$F$24-Inputs!$D$24)*(Inputs!$E$24-Inputs!$D$24)),Inputs!$F$24-SQRT((1-L1960)*(Inputs!$F$24-Inputs!$D$24)*(Inputs!$F$24-Inputs!$E$24)))</f>
        <v>0.772411292567877</v>
      </c>
      <c r="N1960" s="81" t="n">
        <f aca="true">RAND()</f>
        <v>0.86960786792366</v>
      </c>
      <c r="O1960" s="83" t="n">
        <f aca="false">IF(N1960&lt;(Inputs!$E$26-Inputs!$D$26)/(Inputs!$F$26-Inputs!$D$26),Inputs!$D$26+SQRT(N1960*(Inputs!$F$26-Inputs!$D$26)*(Inputs!$E$26-Inputs!$D$26)),Inputs!$F$26-SQRT((1-N1960)*(Inputs!$F$26-Inputs!$D$26)*(Inputs!$F$26-Inputs!$E$26)))</f>
        <v>0.703549230419291</v>
      </c>
      <c r="P1960" s="81" t="n">
        <f aca="true">RAND()</f>
        <v>0.649991193554725</v>
      </c>
      <c r="Q1960" s="82" t="n">
        <f aca="false">IF(P1960&lt;(Inputs!$E$27-Inputs!$D$27)/(Inputs!$F$27-Inputs!$D$27),Inputs!$D$27+SQRT(P1960*(Inputs!$F$27-Inputs!$D$27)*(Inputs!$E$27-Inputs!$D$27)),Inputs!$F$27-SQRT((1-P1960)*(Inputs!$F$27-Inputs!$D$27)*(Inputs!$F$27-Inputs!$E$27)))</f>
        <v>98.7646016084625</v>
      </c>
      <c r="R1960" s="81" t="n">
        <f aca="true">RAND()</f>
        <v>0.279970015347388</v>
      </c>
      <c r="S1960" s="82" t="n">
        <f aca="false">IF(R1960&lt;(Inputs!$E$29-Inputs!$D$29)/(Inputs!$F$29-Inputs!$D$29),Inputs!$D$29+SQRT(R1960*(Inputs!$F$29-Inputs!$D$29)*(Inputs!$E$29-Inputs!$D$29)),Inputs!$F$29-SQRT((1-R1960)*(Inputs!$F$29-Inputs!$D$29)*(Inputs!$F$29-Inputs!$E$29)))</f>
        <v>5.32508925080755</v>
      </c>
      <c r="T1960" s="68" t="n">
        <f aca="false">Inputs!$E$9*(1+E1960)+Inputs!$E$5*C1960*(Inputs!$E$11*Inputs!$E$14*(G1960*I1960/Inputs!$E$16+(1-G1960))*K1960+Inputs!$E$23*M1960)*(1+O1960)+Inputs!$E$5*(Q1960+S1960)</f>
        <v>6546.86193019538</v>
      </c>
    </row>
    <row r="1961" customFormat="false" ht="15" hidden="false" customHeight="false" outlineLevel="0" collapsed="false">
      <c r="A1961" s="1" t="n">
        <v>1957</v>
      </c>
      <c r="B1961" s="81" t="n">
        <f aca="true">RAND()</f>
        <v>0.936772576590969</v>
      </c>
      <c r="C1961" s="82" t="n">
        <f aca="false">ROUND(IF(B1961&lt;(Inputs!$E$8-Inputs!$D$8)/(Inputs!$F$8-Inputs!$D$8),Inputs!$D$8+SQRT(B1961*(Inputs!$F$8-Inputs!$D$8)*(Inputs!$E$8-Inputs!$D$8)),Inputs!$F$8-SQRT((1-B1961)*(Inputs!$F$8-Inputs!$D$8)*(Inputs!$F$8-Inputs!$E$8))),0)</f>
        <v>28</v>
      </c>
      <c r="D1961" s="81" t="n">
        <f aca="true">RAND()</f>
        <v>0.980634906851973</v>
      </c>
      <c r="E1961" s="83" t="n">
        <f aca="false">IF(D1961&lt;(Inputs!$E$10-Inputs!$D$10)/(Inputs!$F$10-Inputs!$D$10),Inputs!$D$10+SQRT(D1961*(Inputs!$F$10-Inputs!$D$10)*(Inputs!$E$10-Inputs!$D$10)),Inputs!$F$10-SQRT((1-D1961)*(Inputs!$F$10-Inputs!$D$10)*(Inputs!$F$10-Inputs!$E$10)))</f>
        <v>0.1758970376418</v>
      </c>
      <c r="F1961" s="81" t="n">
        <f aca="true">RAND()</f>
        <v>0.990308307962438</v>
      </c>
      <c r="G1961" s="83" t="n">
        <f aca="false">IF(F1961&lt;(Inputs!$E$15-Inputs!$D$15)/(Inputs!$F$15-Inputs!$D$15),Inputs!$D$15+SQRT(F1961*(Inputs!$F$15-Inputs!$D$15)*(Inputs!$E$15-Inputs!$D$15)),Inputs!$F$15-SQRT((1-F1961)*(Inputs!$F$15-Inputs!$D$15)*(Inputs!$F$15-Inputs!$E$15)))</f>
        <v>0.78607757776997</v>
      </c>
      <c r="H1961" s="81" t="n">
        <f aca="true">RAND()</f>
        <v>0.319265651835145</v>
      </c>
      <c r="I1961" s="82" t="n">
        <f aca="false">ROUND(IF(H1961&lt;(Inputs!$E$17-Inputs!$D$17)/(Inputs!$F$17-Inputs!$D$17),Inputs!$D$17+SQRT(H1961*(Inputs!$F$17-Inputs!$D$17)*(Inputs!$E$17-Inputs!$D$17)),Inputs!$F$17-SQRT((1-H1961)*(Inputs!$F$17-Inputs!$D$17)*(Inputs!$F$17-Inputs!$E$17))),0)</f>
        <v>105</v>
      </c>
      <c r="J1961" s="81" t="n">
        <f aca="true">RAND()</f>
        <v>0.0634946729576895</v>
      </c>
      <c r="K1961" s="83" t="n">
        <f aca="false">IF(J1961&lt;(Inputs!$E$18-Inputs!$D$18)/(Inputs!$F$18-Inputs!$D$18),Inputs!$D$18+SQRT(J1961*(Inputs!$F$18-Inputs!$D$18)*(Inputs!$E$18-Inputs!$D$18)),Inputs!$F$18-SQRT((1-J1961)*(Inputs!$F$18-Inputs!$D$18)*(Inputs!$F$18-Inputs!$E$18)))</f>
        <v>0.947141420783841</v>
      </c>
      <c r="L1961" s="81" t="n">
        <f aca="true">RAND()</f>
        <v>0.920944114021144</v>
      </c>
      <c r="M1961" s="83" t="n">
        <f aca="false">IF(L1961&lt;(Inputs!$E$24-Inputs!$D$24)/(Inputs!$F$24-Inputs!$D$24),Inputs!$D$24+SQRT(L1961*(Inputs!$F$24-Inputs!$D$24)*(Inputs!$E$24-Inputs!$D$24)),Inputs!$F$24-SQRT((1-L1961)*(Inputs!$F$24-Inputs!$D$24)*(Inputs!$F$24-Inputs!$E$24)))</f>
        <v>1.06225598875114</v>
      </c>
      <c r="N1961" s="81" t="n">
        <f aca="true">RAND()</f>
        <v>0.174368008703712</v>
      </c>
      <c r="O1961" s="83" t="n">
        <f aca="false">IF(N1961&lt;(Inputs!$E$26-Inputs!$D$26)/(Inputs!$F$26-Inputs!$D$26),Inputs!$D$26+SQRT(N1961*(Inputs!$F$26-Inputs!$D$26)*(Inputs!$E$26-Inputs!$D$26)),Inputs!$F$26-SQRT((1-N1961)*(Inputs!$F$26-Inputs!$D$26)*(Inputs!$F$26-Inputs!$E$26)))</f>
        <v>0.47033741998838</v>
      </c>
      <c r="P1961" s="81" t="n">
        <f aca="true">RAND()</f>
        <v>0.487920755569557</v>
      </c>
      <c r="Q1961" s="82" t="n">
        <f aca="false">IF(P1961&lt;(Inputs!$E$27-Inputs!$D$27)/(Inputs!$F$27-Inputs!$D$27),Inputs!$D$27+SQRT(P1961*(Inputs!$F$27-Inputs!$D$27)*(Inputs!$E$27-Inputs!$D$27)),Inputs!$F$27-SQRT((1-P1961)*(Inputs!$F$27-Inputs!$D$27)*(Inputs!$F$27-Inputs!$E$27)))</f>
        <v>88.0274711406068</v>
      </c>
      <c r="R1961" s="81" t="n">
        <f aca="true">RAND()</f>
        <v>0.830671122395831</v>
      </c>
      <c r="S1961" s="82" t="n">
        <f aca="false">IF(R1961&lt;(Inputs!$E$29-Inputs!$D$29)/(Inputs!$F$29-Inputs!$D$29),Inputs!$D$29+SQRT(R1961*(Inputs!$F$29-Inputs!$D$29)*(Inputs!$E$29-Inputs!$D$29)),Inputs!$F$29-SQRT((1-R1961)*(Inputs!$F$29-Inputs!$D$29)*(Inputs!$F$29-Inputs!$E$29)))</f>
        <v>10.3082248467619</v>
      </c>
      <c r="T1961" s="68" t="n">
        <f aca="false">Inputs!$E$9*(1+E1961)+Inputs!$E$5*C1961*(Inputs!$E$11*Inputs!$E$14*(G1961*I1961/Inputs!$E$16+(1-G1961))*K1961+Inputs!$E$23*M1961)*(1+O1961)+Inputs!$E$5*(Q1961+S1961)</f>
        <v>6619.9643262791</v>
      </c>
    </row>
    <row r="1962" customFormat="false" ht="15" hidden="false" customHeight="false" outlineLevel="0" collapsed="false">
      <c r="A1962" s="1" t="n">
        <v>1958</v>
      </c>
      <c r="B1962" s="81" t="n">
        <f aca="true">RAND()</f>
        <v>0.369832182243835</v>
      </c>
      <c r="C1962" s="82" t="n">
        <f aca="false">ROUND(IF(B1962&lt;(Inputs!$E$8-Inputs!$D$8)/(Inputs!$F$8-Inputs!$D$8),Inputs!$D$8+SQRT(B1962*(Inputs!$F$8-Inputs!$D$8)*(Inputs!$E$8-Inputs!$D$8)),Inputs!$F$8-SQRT((1-B1962)*(Inputs!$F$8-Inputs!$D$8)*(Inputs!$F$8-Inputs!$E$8))),0)</f>
        <v>24</v>
      </c>
      <c r="D1962" s="81" t="n">
        <f aca="true">RAND()</f>
        <v>0.8516926198932</v>
      </c>
      <c r="E1962" s="83" t="n">
        <f aca="false">IF(D1962&lt;(Inputs!$E$10-Inputs!$D$10)/(Inputs!$F$10-Inputs!$D$10),Inputs!$D$10+SQRT(D1962*(Inputs!$F$10-Inputs!$D$10)*(Inputs!$E$10-Inputs!$D$10)),Inputs!$F$10-SQRT((1-D1962)*(Inputs!$F$10-Inputs!$D$10)*(Inputs!$F$10-Inputs!$E$10)))</f>
        <v>0.133297515764374</v>
      </c>
      <c r="F1962" s="81" t="n">
        <f aca="true">RAND()</f>
        <v>0.214396214632014</v>
      </c>
      <c r="G1962" s="83" t="n">
        <f aca="false">IF(F1962&lt;(Inputs!$E$15-Inputs!$D$15)/(Inputs!$F$15-Inputs!$D$15),Inputs!$D$15+SQRT(F1962*(Inputs!$F$15-Inputs!$D$15)*(Inputs!$E$15-Inputs!$D$15)),Inputs!$F$15-SQRT((1-F1962)*(Inputs!$F$15-Inputs!$D$15)*(Inputs!$F$15-Inputs!$E$15)))</f>
        <v>0.665482244102049</v>
      </c>
      <c r="H1962" s="81" t="n">
        <f aca="true">RAND()</f>
        <v>0.779832670599709</v>
      </c>
      <c r="I1962" s="82" t="n">
        <f aca="false">ROUND(IF(H1962&lt;(Inputs!$E$17-Inputs!$D$17)/(Inputs!$F$17-Inputs!$D$17),Inputs!$D$17+SQRT(H1962*(Inputs!$F$17-Inputs!$D$17)*(Inputs!$E$17-Inputs!$D$17)),Inputs!$F$17-SQRT((1-H1962)*(Inputs!$F$17-Inputs!$D$17)*(Inputs!$F$17-Inputs!$E$17))),0)</f>
        <v>109</v>
      </c>
      <c r="J1962" s="81" t="n">
        <f aca="true">RAND()</f>
        <v>0.745099152025309</v>
      </c>
      <c r="K1962" s="83" t="n">
        <f aca="false">IF(J1962&lt;(Inputs!$E$18-Inputs!$D$18)/(Inputs!$F$18-Inputs!$D$18),Inputs!$D$18+SQRT(J1962*(Inputs!$F$18-Inputs!$D$18)*(Inputs!$E$18-Inputs!$D$18)),Inputs!$F$18-SQRT((1-J1962)*(Inputs!$F$18-Inputs!$D$18)*(Inputs!$F$18-Inputs!$E$18)))</f>
        <v>1.10065535095697</v>
      </c>
      <c r="L1962" s="81" t="n">
        <f aca="true">RAND()</f>
        <v>0.819926668823277</v>
      </c>
      <c r="M1962" s="83" t="n">
        <f aca="false">IF(L1962&lt;(Inputs!$E$24-Inputs!$D$24)/(Inputs!$F$24-Inputs!$D$24),Inputs!$D$24+SQRT(L1962*(Inputs!$F$24-Inputs!$D$24)*(Inputs!$E$24-Inputs!$D$24)),Inputs!$F$24-SQRT((1-L1962)*(Inputs!$F$24-Inputs!$D$24)*(Inputs!$F$24-Inputs!$E$24)))</f>
        <v>0.99211156962829</v>
      </c>
      <c r="N1962" s="81" t="n">
        <f aca="true">RAND()</f>
        <v>0.414181237827891</v>
      </c>
      <c r="O1962" s="83" t="n">
        <f aca="false">IF(N1962&lt;(Inputs!$E$26-Inputs!$D$26)/(Inputs!$F$26-Inputs!$D$26),Inputs!$D$26+SQRT(N1962*(Inputs!$F$26-Inputs!$D$26)*(Inputs!$E$26-Inputs!$D$26)),Inputs!$F$26-SQRT((1-N1962)*(Inputs!$F$26-Inputs!$D$26)*(Inputs!$F$26-Inputs!$E$26)))</f>
        <v>0.562525728214514</v>
      </c>
      <c r="P1962" s="81" t="n">
        <f aca="true">RAND()</f>
        <v>0.939215745810415</v>
      </c>
      <c r="Q1962" s="82" t="n">
        <f aca="false">IF(P1962&lt;(Inputs!$E$27-Inputs!$D$27)/(Inputs!$F$27-Inputs!$D$27),Inputs!$D$27+SQRT(P1962*(Inputs!$F$27-Inputs!$D$27)*(Inputs!$E$27-Inputs!$D$27)),Inputs!$F$27-SQRT((1-P1962)*(Inputs!$F$27-Inputs!$D$27)*(Inputs!$F$27-Inputs!$E$27)))</f>
        <v>128.648608794229</v>
      </c>
      <c r="R1962" s="81" t="n">
        <f aca="true">RAND()</f>
        <v>0.535579676359558</v>
      </c>
      <c r="S1962" s="82" t="n">
        <f aca="false">IF(R1962&lt;(Inputs!$E$29-Inputs!$D$29)/(Inputs!$F$29-Inputs!$D$29),Inputs!$D$29+SQRT(R1962*(Inputs!$F$29-Inputs!$D$29)*(Inputs!$E$29-Inputs!$D$29)),Inputs!$F$29-SQRT((1-R1962)*(Inputs!$F$29-Inputs!$D$29)*(Inputs!$F$29-Inputs!$E$29)))</f>
        <v>7.22988789828245</v>
      </c>
      <c r="T1962" s="68" t="n">
        <f aca="false">Inputs!$E$9*(1+E1962)+Inputs!$E$5*C1962*(Inputs!$E$11*Inputs!$E$14*(G1962*I1962/Inputs!$E$16+(1-G1962))*K1962+Inputs!$E$23*M1962)*(1+O1962)+Inputs!$E$5*(Q1962+S1962)</f>
        <v>6808.7437614866</v>
      </c>
    </row>
    <row r="1963" customFormat="false" ht="15" hidden="false" customHeight="false" outlineLevel="0" collapsed="false">
      <c r="A1963" s="1" t="n">
        <v>1959</v>
      </c>
      <c r="B1963" s="81" t="n">
        <f aca="true">RAND()</f>
        <v>0.224708912088173</v>
      </c>
      <c r="C1963" s="82" t="n">
        <f aca="false">ROUND(IF(B1963&lt;(Inputs!$E$8-Inputs!$D$8)/(Inputs!$F$8-Inputs!$D$8),Inputs!$D$8+SQRT(B1963*(Inputs!$F$8-Inputs!$D$8)*(Inputs!$E$8-Inputs!$D$8)),Inputs!$F$8-SQRT((1-B1963)*(Inputs!$F$8-Inputs!$D$8)*(Inputs!$F$8-Inputs!$E$8))),0)</f>
        <v>23</v>
      </c>
      <c r="D1963" s="81" t="n">
        <f aca="true">RAND()</f>
        <v>0.367778902182899</v>
      </c>
      <c r="E1963" s="83" t="n">
        <f aca="false">IF(D1963&lt;(Inputs!$E$10-Inputs!$D$10)/(Inputs!$F$10-Inputs!$D$10),Inputs!$D$10+SQRT(D1963*(Inputs!$F$10-Inputs!$D$10)*(Inputs!$E$10-Inputs!$D$10)),Inputs!$F$10-SQRT((1-D1963)*(Inputs!$F$10-Inputs!$D$10)*(Inputs!$F$10-Inputs!$E$10)))</f>
        <v>0.0622806007328197</v>
      </c>
      <c r="F1963" s="81" t="n">
        <f aca="true">RAND()</f>
        <v>0.303178459699436</v>
      </c>
      <c r="G1963" s="83" t="n">
        <f aca="false">IF(F1963&lt;(Inputs!$E$15-Inputs!$D$15)/(Inputs!$F$15-Inputs!$D$15),Inputs!$D$15+SQRT(F1963*(Inputs!$F$15-Inputs!$D$15)*(Inputs!$E$15-Inputs!$D$15)),Inputs!$F$15-SQRT((1-F1963)*(Inputs!$F$15-Inputs!$D$15)*(Inputs!$F$15-Inputs!$E$15)))</f>
        <v>0.677868923159298</v>
      </c>
      <c r="H1963" s="81" t="n">
        <f aca="true">RAND()</f>
        <v>0.847993294638454</v>
      </c>
      <c r="I1963" s="82" t="n">
        <f aca="false">ROUND(IF(H1963&lt;(Inputs!$E$17-Inputs!$D$17)/(Inputs!$F$17-Inputs!$D$17),Inputs!$D$17+SQRT(H1963*(Inputs!$F$17-Inputs!$D$17)*(Inputs!$E$17-Inputs!$D$17)),Inputs!$F$17-SQRT((1-H1963)*(Inputs!$F$17-Inputs!$D$17)*(Inputs!$F$17-Inputs!$E$17))),0)</f>
        <v>110</v>
      </c>
      <c r="J1963" s="81" t="n">
        <f aca="true">RAND()</f>
        <v>0.146294801772943</v>
      </c>
      <c r="K1963" s="83" t="n">
        <f aca="false">IF(J1963&lt;(Inputs!$E$18-Inputs!$D$18)/(Inputs!$F$18-Inputs!$D$18),Inputs!$D$18+SQRT(J1963*(Inputs!$F$18-Inputs!$D$18)*(Inputs!$E$18-Inputs!$D$18)),Inputs!$F$18-SQRT((1-J1963)*(Inputs!$F$18-Inputs!$D$18)*(Inputs!$F$18-Inputs!$E$18)))</f>
        <v>0.971556397771639</v>
      </c>
      <c r="L1963" s="81" t="n">
        <f aca="true">RAND()</f>
        <v>0.159056558947115</v>
      </c>
      <c r="M1963" s="83" t="n">
        <f aca="false">IF(L1963&lt;(Inputs!$E$24-Inputs!$D$24)/(Inputs!$F$24-Inputs!$D$24),Inputs!$D$24+SQRT(L1963*(Inputs!$F$24-Inputs!$D$24)*(Inputs!$E$24-Inputs!$D$24)),Inputs!$F$24-SQRT((1-L1963)*(Inputs!$F$24-Inputs!$D$24)*(Inputs!$F$24-Inputs!$E$24)))</f>
        <v>0.738154938650972</v>
      </c>
      <c r="N1963" s="81" t="n">
        <f aca="true">RAND()</f>
        <v>0.00903658492316901</v>
      </c>
      <c r="O1963" s="83" t="n">
        <f aca="false">IF(N1963&lt;(Inputs!$E$26-Inputs!$D$26)/(Inputs!$F$26-Inputs!$D$26),Inputs!$D$26+SQRT(N1963*(Inputs!$F$26-Inputs!$D$26)*(Inputs!$E$26-Inputs!$D$26)),Inputs!$F$26-SQRT((1-N1963)*(Inputs!$F$26-Inputs!$D$26)*(Inputs!$F$26-Inputs!$E$26)))</f>
        <v>0.338777412642095</v>
      </c>
      <c r="P1963" s="81" t="n">
        <f aca="true">RAND()</f>
        <v>0.602028829888266</v>
      </c>
      <c r="Q1963" s="82" t="n">
        <f aca="false">IF(P1963&lt;(Inputs!$E$27-Inputs!$D$27)/(Inputs!$F$27-Inputs!$D$27),Inputs!$D$27+SQRT(P1963*(Inputs!$F$27-Inputs!$D$27)*(Inputs!$E$27-Inputs!$D$27)),Inputs!$F$27-SQRT((1-P1963)*(Inputs!$F$27-Inputs!$D$27)*(Inputs!$F$27-Inputs!$E$27)))</f>
        <v>95.3668253179627</v>
      </c>
      <c r="R1963" s="81" t="n">
        <f aca="true">RAND()</f>
        <v>0.233969897844862</v>
      </c>
      <c r="S1963" s="82" t="n">
        <f aca="false">IF(R1963&lt;(Inputs!$E$29-Inputs!$D$29)/(Inputs!$F$29-Inputs!$D$29),Inputs!$D$29+SQRT(R1963*(Inputs!$F$29-Inputs!$D$29)*(Inputs!$E$29-Inputs!$D$29)),Inputs!$F$29-SQRT((1-R1963)*(Inputs!$F$29-Inputs!$D$29)*(Inputs!$F$29-Inputs!$E$29)))</f>
        <v>5.02082602215154</v>
      </c>
      <c r="T1963" s="68" t="n">
        <f aca="false">Inputs!$E$9*(1+E1963)+Inputs!$E$5*C1963*(Inputs!$E$11*Inputs!$E$14*(G1963*I1963/Inputs!$E$16+(1-G1963))*K1963+Inputs!$E$23*M1963)*(1+O1963)+Inputs!$E$5*(Q1963+S1963)</f>
        <v>5320.05199688875</v>
      </c>
    </row>
    <row r="1964" customFormat="false" ht="15" hidden="false" customHeight="false" outlineLevel="0" collapsed="false">
      <c r="A1964" s="1" t="n">
        <v>1960</v>
      </c>
      <c r="B1964" s="81" t="n">
        <f aca="true">RAND()</f>
        <v>0.248506272184421</v>
      </c>
      <c r="C1964" s="82" t="n">
        <f aca="false">ROUND(IF(B1964&lt;(Inputs!$E$8-Inputs!$D$8)/(Inputs!$F$8-Inputs!$D$8),Inputs!$D$8+SQRT(B1964*(Inputs!$F$8-Inputs!$D$8)*(Inputs!$E$8-Inputs!$D$8)),Inputs!$F$8-SQRT((1-B1964)*(Inputs!$F$8-Inputs!$D$8)*(Inputs!$F$8-Inputs!$E$8))),0)</f>
        <v>24</v>
      </c>
      <c r="D1964" s="81" t="n">
        <f aca="true">RAND()</f>
        <v>0.794447458277621</v>
      </c>
      <c r="E1964" s="83" t="n">
        <f aca="false">IF(D1964&lt;(Inputs!$E$10-Inputs!$D$10)/(Inputs!$F$10-Inputs!$D$10),Inputs!$D$10+SQRT(D1964*(Inputs!$F$10-Inputs!$D$10)*(Inputs!$E$10-Inputs!$D$10)),Inputs!$F$10-SQRT((1-D1964)*(Inputs!$F$10-Inputs!$D$10)*(Inputs!$F$10-Inputs!$E$10)))</f>
        <v>0.1214724490916</v>
      </c>
      <c r="F1964" s="81" t="n">
        <f aca="true">RAND()</f>
        <v>0.354513184234757</v>
      </c>
      <c r="G1964" s="83" t="n">
        <f aca="false">IF(F1964&lt;(Inputs!$E$15-Inputs!$D$15)/(Inputs!$F$15-Inputs!$D$15),Inputs!$D$15+SQRT(F1964*(Inputs!$F$15-Inputs!$D$15)*(Inputs!$E$15-Inputs!$D$15)),Inputs!$F$15-SQRT((1-F1964)*(Inputs!$F$15-Inputs!$D$15)*(Inputs!$F$15-Inputs!$E$15)))</f>
        <v>0.684203703509377</v>
      </c>
      <c r="H1964" s="81" t="n">
        <f aca="true">RAND()</f>
        <v>0.353268437888068</v>
      </c>
      <c r="I1964" s="82" t="n">
        <f aca="false">ROUND(IF(H1964&lt;(Inputs!$E$17-Inputs!$D$17)/(Inputs!$F$17-Inputs!$D$17),Inputs!$D$17+SQRT(H1964*(Inputs!$F$17-Inputs!$D$17)*(Inputs!$E$17-Inputs!$D$17)),Inputs!$F$17-SQRT((1-H1964)*(Inputs!$F$17-Inputs!$D$17)*(Inputs!$F$17-Inputs!$E$17))),0)</f>
        <v>105</v>
      </c>
      <c r="J1964" s="81" t="n">
        <f aca="true">RAND()</f>
        <v>0.498747670383906</v>
      </c>
      <c r="K1964" s="83" t="n">
        <f aca="false">IF(J1964&lt;(Inputs!$E$18-Inputs!$D$18)/(Inputs!$F$18-Inputs!$D$18),Inputs!$D$18+SQRT(J1964*(Inputs!$F$18-Inputs!$D$18)*(Inputs!$E$18-Inputs!$D$18)),Inputs!$F$18-SQRT((1-J1964)*(Inputs!$F$18-Inputs!$D$18)*(Inputs!$F$18-Inputs!$E$18)))</f>
        <v>1.04057321364876</v>
      </c>
      <c r="L1964" s="81" t="n">
        <f aca="true">RAND()</f>
        <v>0.435098622622103</v>
      </c>
      <c r="M1964" s="83" t="n">
        <f aca="false">IF(L1964&lt;(Inputs!$E$24-Inputs!$D$24)/(Inputs!$F$24-Inputs!$D$24),Inputs!$D$24+SQRT(L1964*(Inputs!$F$24-Inputs!$D$24)*(Inputs!$E$24-Inputs!$D$24)),Inputs!$F$24-SQRT((1-L1964)*(Inputs!$F$24-Inputs!$D$24)*(Inputs!$F$24-Inputs!$E$24)))</f>
        <v>0.831793087285565</v>
      </c>
      <c r="N1964" s="81" t="n">
        <f aca="true">RAND()</f>
        <v>0.249585811484245</v>
      </c>
      <c r="O1964" s="83" t="n">
        <f aca="false">IF(N1964&lt;(Inputs!$E$26-Inputs!$D$26)/(Inputs!$F$26-Inputs!$D$26),Inputs!$D$26+SQRT(N1964*(Inputs!$F$26-Inputs!$D$26)*(Inputs!$E$26-Inputs!$D$26)),Inputs!$F$26-SQRT((1-N1964)*(Inputs!$F$26-Inputs!$D$26)*(Inputs!$F$26-Inputs!$E$26)))</f>
        <v>0.503791754079939</v>
      </c>
      <c r="P1964" s="81" t="n">
        <f aca="true">RAND()</f>
        <v>0.976146751504473</v>
      </c>
      <c r="Q1964" s="82" t="n">
        <f aca="false">IF(P1964&lt;(Inputs!$E$27-Inputs!$D$27)/(Inputs!$F$27-Inputs!$D$27),Inputs!$D$27+SQRT(P1964*(Inputs!$F$27-Inputs!$D$27)*(Inputs!$E$27-Inputs!$D$27)),Inputs!$F$27-SQRT((1-P1964)*(Inputs!$F$27-Inputs!$D$27)*(Inputs!$F$27-Inputs!$E$27)))</f>
        <v>136.624673323001</v>
      </c>
      <c r="R1964" s="81" t="n">
        <f aca="true">RAND()</f>
        <v>0.298216011475087</v>
      </c>
      <c r="S1964" s="82" t="n">
        <f aca="false">IF(R1964&lt;(Inputs!$E$29-Inputs!$D$29)/(Inputs!$F$29-Inputs!$D$29),Inputs!$D$29+SQRT(R1964*(Inputs!$F$29-Inputs!$D$29)*(Inputs!$E$29-Inputs!$D$29)),Inputs!$F$29-SQRT((1-R1964)*(Inputs!$F$29-Inputs!$D$29)*(Inputs!$F$29-Inputs!$E$29)))</f>
        <v>5.44845988815214</v>
      </c>
      <c r="T1964" s="68" t="n">
        <f aca="false">Inputs!$E$9*(1+E1964)+Inputs!$E$5*C1964*(Inputs!$E$11*Inputs!$E$14*(G1964*I1964/Inputs!$E$16+(1-G1964))*K1964+Inputs!$E$23*M1964)*(1+O1964)+Inputs!$E$5*(Q1964+S1964)</f>
        <v>6284.3708438144</v>
      </c>
    </row>
    <row r="1965" customFormat="false" ht="15" hidden="false" customHeight="false" outlineLevel="0" collapsed="false">
      <c r="A1965" s="1" t="n">
        <v>1961</v>
      </c>
      <c r="B1965" s="81" t="n">
        <f aca="true">RAND()</f>
        <v>0.490218579786613</v>
      </c>
      <c r="C1965" s="82" t="n">
        <f aca="false">ROUND(IF(B1965&lt;(Inputs!$E$8-Inputs!$D$8)/(Inputs!$F$8-Inputs!$D$8),Inputs!$D$8+SQRT(B1965*(Inputs!$F$8-Inputs!$D$8)*(Inputs!$E$8-Inputs!$D$8)),Inputs!$F$8-SQRT((1-B1965)*(Inputs!$F$8-Inputs!$D$8)*(Inputs!$F$8-Inputs!$E$8))),0)</f>
        <v>25</v>
      </c>
      <c r="D1965" s="81" t="n">
        <f aca="true">RAND()</f>
        <v>0.696805802018326</v>
      </c>
      <c r="E1965" s="83" t="n">
        <f aca="false">IF(D1965&lt;(Inputs!$E$10-Inputs!$D$10)/(Inputs!$F$10-Inputs!$D$10),Inputs!$D$10+SQRT(D1965*(Inputs!$F$10-Inputs!$D$10)*(Inputs!$E$10-Inputs!$D$10)),Inputs!$F$10-SQRT((1-D1965)*(Inputs!$F$10-Inputs!$D$10)*(Inputs!$F$10-Inputs!$E$10)))</f>
        <v>0.104627960389587</v>
      </c>
      <c r="F1965" s="81" t="n">
        <f aca="true">RAND()</f>
        <v>0.527589884006432</v>
      </c>
      <c r="G1965" s="83" t="n">
        <f aca="false">IF(F1965&lt;(Inputs!$E$15-Inputs!$D$15)/(Inputs!$F$15-Inputs!$D$15),Inputs!$D$15+SQRT(F1965*(Inputs!$F$15-Inputs!$D$15)*(Inputs!$E$15-Inputs!$D$15)),Inputs!$F$15-SQRT((1-F1965)*(Inputs!$F$15-Inputs!$D$15)*(Inputs!$F$15-Inputs!$E$15)))</f>
        <v>0.702798136232522</v>
      </c>
      <c r="H1965" s="81" t="n">
        <f aca="true">RAND()</f>
        <v>0.0868048613405087</v>
      </c>
      <c r="I1965" s="82" t="n">
        <f aca="false">ROUND(IF(H1965&lt;(Inputs!$E$17-Inputs!$D$17)/(Inputs!$F$17-Inputs!$D$17),Inputs!$D$17+SQRT(H1965*(Inputs!$F$17-Inputs!$D$17)*(Inputs!$E$17-Inputs!$D$17)),Inputs!$F$17-SQRT((1-H1965)*(Inputs!$F$17-Inputs!$D$17)*(Inputs!$F$17-Inputs!$E$17))),0)</f>
        <v>103</v>
      </c>
      <c r="J1965" s="81" t="n">
        <f aca="true">RAND()</f>
        <v>0.178400841547921</v>
      </c>
      <c r="K1965" s="83" t="n">
        <f aca="false">IF(J1965&lt;(Inputs!$E$18-Inputs!$D$18)/(Inputs!$F$18-Inputs!$D$18),Inputs!$D$18+SQRT(J1965*(Inputs!$F$18-Inputs!$D$18)*(Inputs!$E$18-Inputs!$D$18)),Inputs!$F$18-SQRT((1-J1965)*(Inputs!$F$18-Inputs!$D$18)*(Inputs!$F$18-Inputs!$E$18)))</f>
        <v>0.979019171434388</v>
      </c>
      <c r="L1965" s="81" t="n">
        <f aca="true">RAND()</f>
        <v>0.792938047446083</v>
      </c>
      <c r="M1965" s="83" t="n">
        <f aca="false">IF(L1965&lt;(Inputs!$E$24-Inputs!$D$24)/(Inputs!$F$24-Inputs!$D$24),Inputs!$D$24+SQRT(L1965*(Inputs!$F$24-Inputs!$D$24)*(Inputs!$E$24-Inputs!$D$24)),Inputs!$F$24-SQRT((1-L1965)*(Inputs!$F$24-Inputs!$D$24)*(Inputs!$F$24-Inputs!$E$24)))</f>
        <v>0.977076540909351</v>
      </c>
      <c r="N1965" s="81" t="n">
        <f aca="true">RAND()</f>
        <v>0.657230924952317</v>
      </c>
      <c r="O1965" s="83" t="n">
        <f aca="false">IF(N1965&lt;(Inputs!$E$26-Inputs!$D$26)/(Inputs!$F$26-Inputs!$D$26),Inputs!$D$26+SQRT(N1965*(Inputs!$F$26-Inputs!$D$26)*(Inputs!$E$26-Inputs!$D$26)),Inputs!$F$26-SQRT((1-N1965)*(Inputs!$F$26-Inputs!$D$26)*(Inputs!$F$26-Inputs!$E$26)))</f>
        <v>0.631193263348579</v>
      </c>
      <c r="P1965" s="81" t="n">
        <f aca="true">RAND()</f>
        <v>0.575197382629693</v>
      </c>
      <c r="Q1965" s="82" t="n">
        <f aca="false">IF(P1965&lt;(Inputs!$E$27-Inputs!$D$27)/(Inputs!$F$27-Inputs!$D$27),Inputs!$D$27+SQRT(P1965*(Inputs!$F$27-Inputs!$D$27)*(Inputs!$E$27-Inputs!$D$27)),Inputs!$F$27-SQRT((1-P1965)*(Inputs!$F$27-Inputs!$D$27)*(Inputs!$F$27-Inputs!$E$27)))</f>
        <v>93.5551629440096</v>
      </c>
      <c r="R1965" s="81" t="n">
        <f aca="true">RAND()</f>
        <v>0.858858434366859</v>
      </c>
      <c r="S1965" s="82" t="n">
        <f aca="false">IF(R1965&lt;(Inputs!$E$29-Inputs!$D$29)/(Inputs!$F$29-Inputs!$D$29),Inputs!$D$29+SQRT(R1965*(Inputs!$F$29-Inputs!$D$29)*(Inputs!$E$29-Inputs!$D$29)),Inputs!$F$29-SQRT((1-R1965)*(Inputs!$F$29-Inputs!$D$29)*(Inputs!$F$29-Inputs!$E$29)))</f>
        <v>10.7164963485123</v>
      </c>
      <c r="T1965" s="68" t="n">
        <f aca="false">Inputs!$E$9*(1+E1965)+Inputs!$E$5*C1965*(Inputs!$E$11*Inputs!$E$14*(G1965*I1965/Inputs!$E$16+(1-G1965))*K1965+Inputs!$E$23*M1965)*(1+O1965)+Inputs!$E$5*(Q1965+S1965)</f>
        <v>6488.94778916338</v>
      </c>
    </row>
    <row r="1966" customFormat="false" ht="15" hidden="false" customHeight="false" outlineLevel="0" collapsed="false">
      <c r="A1966" s="1" t="n">
        <v>1962</v>
      </c>
      <c r="B1966" s="81" t="n">
        <f aca="true">RAND()</f>
        <v>0.0942210892238089</v>
      </c>
      <c r="C1966" s="82" t="n">
        <f aca="false">ROUND(IF(B1966&lt;(Inputs!$E$8-Inputs!$D$8)/(Inputs!$F$8-Inputs!$D$8),Inputs!$D$8+SQRT(B1966*(Inputs!$F$8-Inputs!$D$8)*(Inputs!$E$8-Inputs!$D$8)),Inputs!$F$8-SQRT((1-B1966)*(Inputs!$F$8-Inputs!$D$8)*(Inputs!$F$8-Inputs!$E$8))),0)</f>
        <v>22</v>
      </c>
      <c r="D1966" s="81" t="n">
        <f aca="true">RAND()</f>
        <v>0.211445525316747</v>
      </c>
      <c r="E1966" s="83" t="n">
        <f aca="false">IF(D1966&lt;(Inputs!$E$10-Inputs!$D$10)/(Inputs!$F$10-Inputs!$D$10),Inputs!$D$10+SQRT(D1966*(Inputs!$F$10-Inputs!$D$10)*(Inputs!$E$10-Inputs!$D$10)),Inputs!$F$10-SQRT((1-D1966)*(Inputs!$F$10-Inputs!$D$10)*(Inputs!$F$10-Inputs!$E$10)))</f>
        <v>0.0459832062080002</v>
      </c>
      <c r="F1966" s="81" t="n">
        <f aca="true">RAND()</f>
        <v>0.693599569697006</v>
      </c>
      <c r="G1966" s="83" t="n">
        <f aca="false">IF(F1966&lt;(Inputs!$E$15-Inputs!$D$15)/(Inputs!$F$15-Inputs!$D$15),Inputs!$D$15+SQRT(F1966*(Inputs!$F$15-Inputs!$D$15)*(Inputs!$E$15-Inputs!$D$15)),Inputs!$F$15-SQRT((1-F1966)*(Inputs!$F$15-Inputs!$D$15)*(Inputs!$F$15-Inputs!$E$15)))</f>
        <v>0.721718401868256</v>
      </c>
      <c r="H1966" s="81" t="n">
        <f aca="true">RAND()</f>
        <v>0.170277672944582</v>
      </c>
      <c r="I1966" s="82" t="n">
        <f aca="false">ROUND(IF(H1966&lt;(Inputs!$E$17-Inputs!$D$17)/(Inputs!$F$17-Inputs!$D$17),Inputs!$D$17+SQRT(H1966*(Inputs!$F$17-Inputs!$D$17)*(Inputs!$E$17-Inputs!$D$17)),Inputs!$F$17-SQRT((1-H1966)*(Inputs!$F$17-Inputs!$D$17)*(Inputs!$F$17-Inputs!$E$17))),0)</f>
        <v>104</v>
      </c>
      <c r="J1966" s="81" t="n">
        <f aca="true">RAND()</f>
        <v>0.173103711589146</v>
      </c>
      <c r="K1966" s="83" t="n">
        <f aca="false">IF(J1966&lt;(Inputs!$E$18-Inputs!$D$18)/(Inputs!$F$18-Inputs!$D$18),Inputs!$D$18+SQRT(J1966*(Inputs!$F$18-Inputs!$D$18)*(Inputs!$E$18-Inputs!$D$18)),Inputs!$F$18-SQRT((1-J1966)*(Inputs!$F$18-Inputs!$D$18)*(Inputs!$F$18-Inputs!$E$18)))</f>
        <v>0.977837201296168</v>
      </c>
      <c r="L1966" s="81" t="n">
        <f aca="true">RAND()</f>
        <v>0.257995002157597</v>
      </c>
      <c r="M1966" s="83" t="n">
        <f aca="false">IF(L1966&lt;(Inputs!$E$24-Inputs!$D$24)/(Inputs!$F$24-Inputs!$D$24),Inputs!$D$24+SQRT(L1966*(Inputs!$F$24-Inputs!$D$24)*(Inputs!$E$24-Inputs!$D$24)),Inputs!$F$24-SQRT((1-L1966)*(Inputs!$F$24-Inputs!$D$24)*(Inputs!$F$24-Inputs!$E$24)))</f>
        <v>0.775952835325014</v>
      </c>
      <c r="N1966" s="81" t="n">
        <f aca="true">RAND()</f>
        <v>0.252277008715954</v>
      </c>
      <c r="O1966" s="83" t="n">
        <f aca="false">IF(N1966&lt;(Inputs!$E$26-Inputs!$D$26)/(Inputs!$F$26-Inputs!$D$26),Inputs!$D$26+SQRT(N1966*(Inputs!$F$26-Inputs!$D$26)*(Inputs!$E$26-Inputs!$D$26)),Inputs!$F$26-SQRT((1-N1966)*(Inputs!$F$26-Inputs!$D$26)*(Inputs!$F$26-Inputs!$E$26)))</f>
        <v>0.504887516091964</v>
      </c>
      <c r="P1966" s="81" t="n">
        <f aca="true">RAND()</f>
        <v>0.517775051140373</v>
      </c>
      <c r="Q1966" s="82" t="n">
        <f aca="false">IF(P1966&lt;(Inputs!$E$27-Inputs!$D$27)/(Inputs!$F$27-Inputs!$D$27),Inputs!$D$27+SQRT(P1966*(Inputs!$F$27-Inputs!$D$27)*(Inputs!$E$27-Inputs!$D$27)),Inputs!$F$27-SQRT((1-P1966)*(Inputs!$F$27-Inputs!$D$27)*(Inputs!$F$27-Inputs!$E$27)))</f>
        <v>89.8611014696212</v>
      </c>
      <c r="R1966" s="81" t="n">
        <f aca="true">RAND()</f>
        <v>0.113759300284718</v>
      </c>
      <c r="S1966" s="82" t="n">
        <f aca="false">IF(R1966&lt;(Inputs!$E$29-Inputs!$D$29)/(Inputs!$F$29-Inputs!$D$29),Inputs!$D$29+SQRT(R1966*(Inputs!$F$29-Inputs!$D$29)*(Inputs!$E$29-Inputs!$D$29)),Inputs!$F$29-SQRT((1-R1966)*(Inputs!$F$29-Inputs!$D$29)*(Inputs!$F$29-Inputs!$E$29)))</f>
        <v>4.1063268291279</v>
      </c>
      <c r="T1966" s="68" t="n">
        <f aca="false">Inputs!$E$9*(1+E1966)+Inputs!$E$5*C1966*(Inputs!$E$11*Inputs!$E$14*(G1966*I1966/Inputs!$E$16+(1-G1966))*K1966+Inputs!$E$23*M1966)*(1+O1966)+Inputs!$E$5*(Q1966+S1966)</f>
        <v>5392.23113665757</v>
      </c>
    </row>
    <row r="1967" customFormat="false" ht="15" hidden="false" customHeight="false" outlineLevel="0" collapsed="false">
      <c r="A1967" s="1" t="n">
        <v>1963</v>
      </c>
      <c r="B1967" s="81" t="n">
        <f aca="true">RAND()</f>
        <v>0.73073605964143</v>
      </c>
      <c r="C1967" s="82" t="n">
        <f aca="false">ROUND(IF(B1967&lt;(Inputs!$E$8-Inputs!$D$8)/(Inputs!$F$8-Inputs!$D$8),Inputs!$D$8+SQRT(B1967*(Inputs!$F$8-Inputs!$D$8)*(Inputs!$E$8-Inputs!$D$8)),Inputs!$F$8-SQRT((1-B1967)*(Inputs!$F$8-Inputs!$D$8)*(Inputs!$F$8-Inputs!$E$8))),0)</f>
        <v>26</v>
      </c>
      <c r="D1967" s="81" t="n">
        <f aca="true">RAND()</f>
        <v>0.395273146852881</v>
      </c>
      <c r="E1967" s="83" t="n">
        <f aca="false">IF(D1967&lt;(Inputs!$E$10-Inputs!$D$10)/(Inputs!$F$10-Inputs!$D$10),Inputs!$D$10+SQRT(D1967*(Inputs!$F$10-Inputs!$D$10)*(Inputs!$E$10-Inputs!$D$10)),Inputs!$F$10-SQRT((1-D1967)*(Inputs!$F$10-Inputs!$D$10)*(Inputs!$F$10-Inputs!$E$10)))</f>
        <v>0.0653084798719178</v>
      </c>
      <c r="F1967" s="81" t="n">
        <f aca="true">RAND()</f>
        <v>0.0850485964393255</v>
      </c>
      <c r="G1967" s="83" t="n">
        <f aca="false">IF(F1967&lt;(Inputs!$E$15-Inputs!$D$15)/(Inputs!$F$15-Inputs!$D$15),Inputs!$D$15+SQRT(F1967*(Inputs!$F$15-Inputs!$D$15)*(Inputs!$E$15-Inputs!$D$15)),Inputs!$F$15-SQRT((1-F1967)*(Inputs!$F$15-Inputs!$D$15)*(Inputs!$F$15-Inputs!$E$15)))</f>
        <v>0.641242840939811</v>
      </c>
      <c r="H1967" s="81" t="n">
        <f aca="true">RAND()</f>
        <v>0.340807633135738</v>
      </c>
      <c r="I1967" s="82" t="n">
        <f aca="false">ROUND(IF(H1967&lt;(Inputs!$E$17-Inputs!$D$17)/(Inputs!$F$17-Inputs!$D$17),Inputs!$D$17+SQRT(H1967*(Inputs!$F$17-Inputs!$D$17)*(Inputs!$E$17-Inputs!$D$17)),Inputs!$F$17-SQRT((1-H1967)*(Inputs!$F$17-Inputs!$D$17)*(Inputs!$F$17-Inputs!$E$17))),0)</f>
        <v>105</v>
      </c>
      <c r="J1967" s="81" t="n">
        <f aca="true">RAND()</f>
        <v>0.780245406971696</v>
      </c>
      <c r="K1967" s="83" t="n">
        <f aca="false">IF(J1967&lt;(Inputs!$E$18-Inputs!$D$18)/(Inputs!$F$18-Inputs!$D$18),Inputs!$D$18+SQRT(J1967*(Inputs!$F$18-Inputs!$D$18)*(Inputs!$E$18-Inputs!$D$18)),Inputs!$F$18-SQRT((1-J1967)*(Inputs!$F$18-Inputs!$D$18)*(Inputs!$F$18-Inputs!$E$18)))</f>
        <v>1.11133303605409</v>
      </c>
      <c r="L1967" s="81" t="n">
        <f aca="true">RAND()</f>
        <v>0.0593453583365276</v>
      </c>
      <c r="M1967" s="83" t="n">
        <f aca="false">IF(L1967&lt;(Inputs!$E$24-Inputs!$D$24)/(Inputs!$F$24-Inputs!$D$24),Inputs!$D$24+SQRT(L1967*(Inputs!$F$24-Inputs!$D$24)*(Inputs!$E$24-Inputs!$D$24)),Inputs!$F$24-SQRT((1-L1967)*(Inputs!$F$24-Inputs!$D$24)*(Inputs!$F$24-Inputs!$E$24)))</f>
        <v>0.684388642603038</v>
      </c>
      <c r="N1967" s="81" t="n">
        <f aca="true">RAND()</f>
        <v>0.155239646594028</v>
      </c>
      <c r="O1967" s="83" t="n">
        <f aca="false">IF(N1967&lt;(Inputs!$E$26-Inputs!$D$26)/(Inputs!$F$26-Inputs!$D$26),Inputs!$D$26+SQRT(N1967*(Inputs!$F$26-Inputs!$D$26)*(Inputs!$E$26-Inputs!$D$26)),Inputs!$F$26-SQRT((1-N1967)*(Inputs!$F$26-Inputs!$D$26)*(Inputs!$F$26-Inputs!$E$26)))</f>
        <v>0.460722982778588</v>
      </c>
      <c r="P1967" s="81" t="n">
        <f aca="true">RAND()</f>
        <v>0.731702376679801</v>
      </c>
      <c r="Q1967" s="82" t="n">
        <f aca="false">IF(P1967&lt;(Inputs!$E$27-Inputs!$D$27)/(Inputs!$F$27-Inputs!$D$27),Inputs!$D$27+SQRT(P1967*(Inputs!$F$27-Inputs!$D$27)*(Inputs!$E$27-Inputs!$D$27)),Inputs!$F$27-SQRT((1-P1967)*(Inputs!$F$27-Inputs!$D$27)*(Inputs!$F$27-Inputs!$E$27)))</f>
        <v>105.142089048848</v>
      </c>
      <c r="R1967" s="81" t="n">
        <f aca="true">RAND()</f>
        <v>0.757817220752262</v>
      </c>
      <c r="S1967" s="82" t="n">
        <f aca="false">IF(R1967&lt;(Inputs!$E$29-Inputs!$D$29)/(Inputs!$F$29-Inputs!$D$29),Inputs!$D$29+SQRT(R1967*(Inputs!$F$29-Inputs!$D$29)*(Inputs!$E$29-Inputs!$D$29)),Inputs!$F$29-SQRT((1-R1967)*(Inputs!$F$29-Inputs!$D$29)*(Inputs!$F$29-Inputs!$E$29)))</f>
        <v>9.3889607645102</v>
      </c>
      <c r="T1967" s="68" t="n">
        <f aca="false">Inputs!$E$9*(1+E1967)+Inputs!$E$5*C1967*(Inputs!$E$11*Inputs!$E$14*(G1967*I1967/Inputs!$E$16+(1-G1967))*K1967+Inputs!$E$23*M1967)*(1+O1967)+Inputs!$E$5*(Q1967+S1967)</f>
        <v>6192.13132001824</v>
      </c>
    </row>
    <row r="1968" customFormat="false" ht="15" hidden="false" customHeight="false" outlineLevel="0" collapsed="false">
      <c r="A1968" s="1" t="n">
        <v>1964</v>
      </c>
      <c r="B1968" s="81" t="n">
        <f aca="true">RAND()</f>
        <v>0.306894001546568</v>
      </c>
      <c r="C1968" s="82" t="n">
        <f aca="false">ROUND(IF(B1968&lt;(Inputs!$E$8-Inputs!$D$8)/(Inputs!$F$8-Inputs!$D$8),Inputs!$D$8+SQRT(B1968*(Inputs!$F$8-Inputs!$D$8)*(Inputs!$E$8-Inputs!$D$8)),Inputs!$F$8-SQRT((1-B1968)*(Inputs!$F$8-Inputs!$D$8)*(Inputs!$F$8-Inputs!$E$8))),0)</f>
        <v>24</v>
      </c>
      <c r="D1968" s="81" t="n">
        <f aca="true">RAND()</f>
        <v>0.94040154334952</v>
      </c>
      <c r="E1968" s="83" t="n">
        <f aca="false">IF(D1968&lt;(Inputs!$E$10-Inputs!$D$10)/(Inputs!$F$10-Inputs!$D$10),Inputs!$D$10+SQRT(D1968*(Inputs!$F$10-Inputs!$D$10)*(Inputs!$E$10-Inputs!$D$10)),Inputs!$F$10-SQRT((1-D1968)*(Inputs!$F$10-Inputs!$D$10)*(Inputs!$F$10-Inputs!$E$10)))</f>
        <v>0.157715798464268</v>
      </c>
      <c r="F1968" s="81" t="n">
        <f aca="true">RAND()</f>
        <v>0.244688533064111</v>
      </c>
      <c r="G1968" s="83" t="n">
        <f aca="false">IF(F1968&lt;(Inputs!$E$15-Inputs!$D$15)/(Inputs!$F$15-Inputs!$D$15),Inputs!$D$15+SQRT(F1968*(Inputs!$F$15-Inputs!$D$15)*(Inputs!$E$15-Inputs!$D$15)),Inputs!$F$15-SQRT((1-F1968)*(Inputs!$F$15-Inputs!$D$15)*(Inputs!$F$15-Inputs!$E$15)))</f>
        <v>0.669955490572808</v>
      </c>
      <c r="H1968" s="81" t="n">
        <f aca="true">RAND()</f>
        <v>0.116856072700359</v>
      </c>
      <c r="I1968" s="82" t="n">
        <f aca="false">ROUND(IF(H1968&lt;(Inputs!$E$17-Inputs!$D$17)/(Inputs!$F$17-Inputs!$D$17),Inputs!$D$17+SQRT(H1968*(Inputs!$F$17-Inputs!$D$17)*(Inputs!$E$17-Inputs!$D$17)),Inputs!$F$17-SQRT((1-H1968)*(Inputs!$F$17-Inputs!$D$17)*(Inputs!$F$17-Inputs!$E$17))),0)</f>
        <v>103</v>
      </c>
      <c r="J1968" s="81" t="n">
        <f aca="true">RAND()</f>
        <v>0.748987790081029</v>
      </c>
      <c r="K1968" s="83" t="n">
        <f aca="false">IF(J1968&lt;(Inputs!$E$18-Inputs!$D$18)/(Inputs!$F$18-Inputs!$D$18),Inputs!$D$18+SQRT(J1968*(Inputs!$F$18-Inputs!$D$18)*(Inputs!$E$18-Inputs!$D$18)),Inputs!$F$18-SQRT((1-J1968)*(Inputs!$F$18-Inputs!$D$18)*(Inputs!$F$18-Inputs!$E$18)))</f>
        <v>1.10179889215019</v>
      </c>
      <c r="L1968" s="81" t="n">
        <f aca="true">RAND()</f>
        <v>0.168134957700207</v>
      </c>
      <c r="M1968" s="83" t="n">
        <f aca="false">IF(L1968&lt;(Inputs!$E$24-Inputs!$D$24)/(Inputs!$F$24-Inputs!$D$24),Inputs!$D$24+SQRT(L1968*(Inputs!$F$24-Inputs!$D$24)*(Inputs!$E$24-Inputs!$D$24)),Inputs!$F$24-SQRT((1-L1968)*(Inputs!$F$24-Inputs!$D$24)*(Inputs!$F$24-Inputs!$E$24)))</f>
        <v>0.742042933382921</v>
      </c>
      <c r="N1968" s="81" t="n">
        <f aca="true">RAND()</f>
        <v>0.952767063872697</v>
      </c>
      <c r="O1968" s="83" t="n">
        <f aca="false">IF(N1968&lt;(Inputs!$E$26-Inputs!$D$26)/(Inputs!$F$26-Inputs!$D$26),Inputs!$D$26+SQRT(N1968*(Inputs!$F$26-Inputs!$D$26)*(Inputs!$E$26-Inputs!$D$26)),Inputs!$F$26-SQRT((1-N1968)*(Inputs!$F$26-Inputs!$D$26)*(Inputs!$F$26-Inputs!$E$26)))</f>
        <v>0.749912730419572</v>
      </c>
      <c r="P1968" s="81" t="n">
        <f aca="true">RAND()</f>
        <v>0.509797469709886</v>
      </c>
      <c r="Q1968" s="82" t="n">
        <f aca="false">IF(P1968&lt;(Inputs!$E$27-Inputs!$D$27)/(Inputs!$F$27-Inputs!$D$27),Inputs!$D$27+SQRT(P1968*(Inputs!$F$27-Inputs!$D$27)*(Inputs!$E$27-Inputs!$D$27)),Inputs!$F$27-SQRT((1-P1968)*(Inputs!$F$27-Inputs!$D$27)*(Inputs!$F$27-Inputs!$E$27)))</f>
        <v>89.3656947168036</v>
      </c>
      <c r="R1968" s="81" t="n">
        <f aca="true">RAND()</f>
        <v>0.370328619315839</v>
      </c>
      <c r="S1968" s="82" t="n">
        <f aca="false">IF(R1968&lt;(Inputs!$E$29-Inputs!$D$29)/(Inputs!$F$29-Inputs!$D$29),Inputs!$D$29+SQRT(R1968*(Inputs!$F$29-Inputs!$D$29)*(Inputs!$E$29-Inputs!$D$29)),Inputs!$F$29-SQRT((1-R1968)*(Inputs!$F$29-Inputs!$D$29)*(Inputs!$F$29-Inputs!$E$29)))</f>
        <v>5.95249871572593</v>
      </c>
      <c r="T1968" s="68" t="n">
        <f aca="false">Inputs!$E$9*(1+E1968)+Inputs!$E$5*C1968*(Inputs!$E$11*Inputs!$E$14*(G1968*I1968/Inputs!$E$16+(1-G1968))*K1968+Inputs!$E$23*M1968)*(1+O1968)+Inputs!$E$5*(Q1968+S1968)</f>
        <v>6640.00644262346</v>
      </c>
    </row>
    <row r="1969" customFormat="false" ht="15" hidden="false" customHeight="false" outlineLevel="0" collapsed="false">
      <c r="A1969" s="1" t="n">
        <v>1965</v>
      </c>
      <c r="B1969" s="81" t="n">
        <f aca="true">RAND()</f>
        <v>0.774110361552056</v>
      </c>
      <c r="C1969" s="82" t="n">
        <f aca="false">ROUND(IF(B1969&lt;(Inputs!$E$8-Inputs!$D$8)/(Inputs!$F$8-Inputs!$D$8),Inputs!$D$8+SQRT(B1969*(Inputs!$F$8-Inputs!$D$8)*(Inputs!$E$8-Inputs!$D$8)),Inputs!$F$8-SQRT((1-B1969)*(Inputs!$F$8-Inputs!$D$8)*(Inputs!$F$8-Inputs!$E$8))),0)</f>
        <v>27</v>
      </c>
      <c r="D1969" s="81" t="n">
        <f aca="true">RAND()</f>
        <v>0.544935751084415</v>
      </c>
      <c r="E1969" s="83" t="n">
        <f aca="false">IF(D1969&lt;(Inputs!$E$10-Inputs!$D$10)/(Inputs!$F$10-Inputs!$D$10),Inputs!$D$10+SQRT(D1969*(Inputs!$F$10-Inputs!$D$10)*(Inputs!$E$10-Inputs!$D$10)),Inputs!$F$10-SQRT((1-D1969)*(Inputs!$F$10-Inputs!$D$10)*(Inputs!$F$10-Inputs!$E$10)))</f>
        <v>0.0831585370364289</v>
      </c>
      <c r="F1969" s="81" t="n">
        <f aca="true">RAND()</f>
        <v>0.497862579178919</v>
      </c>
      <c r="G1969" s="83" t="n">
        <f aca="false">IF(F1969&lt;(Inputs!$E$15-Inputs!$D$15)/(Inputs!$F$15-Inputs!$D$15),Inputs!$D$15+SQRT(F1969*(Inputs!$F$15-Inputs!$D$15)*(Inputs!$E$15-Inputs!$D$15)),Inputs!$F$15-SQRT((1-F1969)*(Inputs!$F$15-Inputs!$D$15)*(Inputs!$F$15-Inputs!$E$15)))</f>
        <v>0.699786028999948</v>
      </c>
      <c r="H1969" s="81" t="n">
        <f aca="true">RAND()</f>
        <v>0.455722311325197</v>
      </c>
      <c r="I1969" s="82" t="n">
        <f aca="false">ROUND(IF(H1969&lt;(Inputs!$E$17-Inputs!$D$17)/(Inputs!$F$17-Inputs!$D$17),Inputs!$D$17+SQRT(H1969*(Inputs!$F$17-Inputs!$D$17)*(Inputs!$E$17-Inputs!$D$17)),Inputs!$F$17-SQRT((1-H1969)*(Inputs!$F$17-Inputs!$D$17)*(Inputs!$F$17-Inputs!$E$17))),0)</f>
        <v>106</v>
      </c>
      <c r="J1969" s="81" t="n">
        <f aca="true">RAND()</f>
        <v>0.442210202422316</v>
      </c>
      <c r="K1969" s="83" t="n">
        <f aca="false">IF(J1969&lt;(Inputs!$E$18-Inputs!$D$18)/(Inputs!$F$18-Inputs!$D$18),Inputs!$D$18+SQRT(J1969*(Inputs!$F$18-Inputs!$D$18)*(Inputs!$E$18-Inputs!$D$18)),Inputs!$F$18-SQRT((1-J1969)*(Inputs!$F$18-Inputs!$D$18)*(Inputs!$F$18-Inputs!$E$18)))</f>
        <v>1.02907782526861</v>
      </c>
      <c r="L1969" s="81" t="n">
        <f aca="true">RAND()</f>
        <v>0.81691220879866</v>
      </c>
      <c r="M1969" s="83" t="n">
        <f aca="false">IF(L1969&lt;(Inputs!$E$24-Inputs!$D$24)/(Inputs!$F$24-Inputs!$D$24),Inputs!$D$24+SQRT(L1969*(Inputs!$F$24-Inputs!$D$24)*(Inputs!$E$24-Inputs!$D$24)),Inputs!$F$24-SQRT((1-L1969)*(Inputs!$F$24-Inputs!$D$24)*(Inputs!$F$24-Inputs!$E$24)))</f>
        <v>0.990378746572964</v>
      </c>
      <c r="N1969" s="81" t="n">
        <f aca="true">RAND()</f>
        <v>0.187031094414171</v>
      </c>
      <c r="O1969" s="83" t="n">
        <f aca="false">IF(N1969&lt;(Inputs!$E$26-Inputs!$D$26)/(Inputs!$F$26-Inputs!$D$26),Inputs!$D$26+SQRT(N1969*(Inputs!$F$26-Inputs!$D$26)*(Inputs!$E$26-Inputs!$D$26)),Inputs!$F$26-SQRT((1-N1969)*(Inputs!$F$26-Inputs!$D$26)*(Inputs!$F$26-Inputs!$E$26)))</f>
        <v>0.476414211758912</v>
      </c>
      <c r="P1969" s="81" t="n">
        <f aca="true">RAND()</f>
        <v>0.070117949019742</v>
      </c>
      <c r="Q1969" s="82" t="n">
        <f aca="false">IF(P1969&lt;(Inputs!$E$27-Inputs!$D$27)/(Inputs!$F$27-Inputs!$D$27),Inputs!$D$27+SQRT(P1969*(Inputs!$F$27-Inputs!$D$27)*(Inputs!$E$27-Inputs!$D$27)),Inputs!$F$27-SQRT((1-P1969)*(Inputs!$F$27-Inputs!$D$27)*(Inputs!$F$27-Inputs!$E$27)))</f>
        <v>63.2398969991974</v>
      </c>
      <c r="R1969" s="81" t="n">
        <f aca="true">RAND()</f>
        <v>0.920026769091306</v>
      </c>
      <c r="S1969" s="82" t="n">
        <f aca="false">IF(R1969&lt;(Inputs!$E$29-Inputs!$D$29)/(Inputs!$F$29-Inputs!$D$29),Inputs!$D$29+SQRT(R1969*(Inputs!$F$29-Inputs!$D$29)*(Inputs!$E$29-Inputs!$D$29)),Inputs!$F$29-SQRT((1-R1969)*(Inputs!$F$29-Inputs!$D$29)*(Inputs!$F$29-Inputs!$E$29)))</f>
        <v>11.7756364941077</v>
      </c>
      <c r="T1969" s="68" t="n">
        <f aca="false">Inputs!$E$9*(1+E1969)+Inputs!$E$5*C1969*(Inputs!$E$11*Inputs!$E$14*(G1969*I1969/Inputs!$E$16+(1-G1969))*K1969+Inputs!$E$23*M1969)*(1+O1969)+Inputs!$E$5*(Q1969+S1969)</f>
        <v>6380.69971796121</v>
      </c>
    </row>
    <row r="1970" customFormat="false" ht="15" hidden="false" customHeight="false" outlineLevel="0" collapsed="false">
      <c r="A1970" s="1" t="n">
        <v>1966</v>
      </c>
      <c r="B1970" s="81" t="n">
        <f aca="true">RAND()</f>
        <v>0.559702251374268</v>
      </c>
      <c r="C1970" s="82" t="n">
        <f aca="false">ROUND(IF(B1970&lt;(Inputs!$E$8-Inputs!$D$8)/(Inputs!$F$8-Inputs!$D$8),Inputs!$D$8+SQRT(B1970*(Inputs!$F$8-Inputs!$D$8)*(Inputs!$E$8-Inputs!$D$8)),Inputs!$F$8-SQRT((1-B1970)*(Inputs!$F$8-Inputs!$D$8)*(Inputs!$F$8-Inputs!$E$8))),0)</f>
        <v>25</v>
      </c>
      <c r="D1970" s="81" t="n">
        <f aca="true">RAND()</f>
        <v>0.168817295826757</v>
      </c>
      <c r="E1970" s="83" t="n">
        <f aca="false">IF(D1970&lt;(Inputs!$E$10-Inputs!$D$10)/(Inputs!$F$10-Inputs!$D$10),Inputs!$D$10+SQRT(D1970*(Inputs!$F$10-Inputs!$D$10)*(Inputs!$E$10-Inputs!$D$10)),Inputs!$F$10-SQRT((1-D1970)*(Inputs!$F$10-Inputs!$D$10)*(Inputs!$F$10-Inputs!$E$10)))</f>
        <v>0.041087381983616</v>
      </c>
      <c r="F1970" s="81" t="n">
        <f aca="true">RAND()</f>
        <v>0.195680961281639</v>
      </c>
      <c r="G1970" s="83" t="n">
        <f aca="false">IF(F1970&lt;(Inputs!$E$15-Inputs!$D$15)/(Inputs!$F$15-Inputs!$D$15),Inputs!$D$15+SQRT(F1970*(Inputs!$F$15-Inputs!$D$15)*(Inputs!$E$15-Inputs!$D$15)),Inputs!$F$15-SQRT((1-F1970)*(Inputs!$F$15-Inputs!$D$15)*(Inputs!$F$15-Inputs!$E$15)))</f>
        <v>0.662558926026849</v>
      </c>
      <c r="H1970" s="81" t="n">
        <f aca="true">RAND()</f>
        <v>0.593393509483994</v>
      </c>
      <c r="I1970" s="82" t="n">
        <f aca="false">ROUND(IF(H1970&lt;(Inputs!$E$17-Inputs!$D$17)/(Inputs!$F$17-Inputs!$D$17),Inputs!$D$17+SQRT(H1970*(Inputs!$F$17-Inputs!$D$17)*(Inputs!$E$17-Inputs!$D$17)),Inputs!$F$17-SQRT((1-H1970)*(Inputs!$F$17-Inputs!$D$17)*(Inputs!$F$17-Inputs!$E$17))),0)</f>
        <v>107</v>
      </c>
      <c r="J1970" s="81" t="n">
        <f aca="true">RAND()</f>
        <v>0.251333259608936</v>
      </c>
      <c r="K1970" s="83" t="n">
        <f aca="false">IF(J1970&lt;(Inputs!$E$18-Inputs!$D$18)/(Inputs!$F$18-Inputs!$D$18),Inputs!$D$18+SQRT(J1970*(Inputs!$F$18-Inputs!$D$18)*(Inputs!$E$18-Inputs!$D$18)),Inputs!$F$18-SQRT((1-J1970)*(Inputs!$F$18-Inputs!$D$18)*(Inputs!$F$18-Inputs!$E$18)))</f>
        <v>0.993790533031393</v>
      </c>
      <c r="L1970" s="81" t="n">
        <f aca="true">RAND()</f>
        <v>0.22162995577421</v>
      </c>
      <c r="M1970" s="83" t="n">
        <f aca="false">IF(L1970&lt;(Inputs!$E$24-Inputs!$D$24)/(Inputs!$F$24-Inputs!$D$24),Inputs!$D$24+SQRT(L1970*(Inputs!$F$24-Inputs!$D$24)*(Inputs!$E$24-Inputs!$D$24)),Inputs!$F$24-SQRT((1-L1970)*(Inputs!$F$24-Inputs!$D$24)*(Inputs!$F$24-Inputs!$E$24)))</f>
        <v>0.763081558408378</v>
      </c>
      <c r="N1970" s="81" t="n">
        <f aca="true">RAND()</f>
        <v>0.827858519658106</v>
      </c>
      <c r="O1970" s="83" t="n">
        <f aca="false">IF(N1970&lt;(Inputs!$E$26-Inputs!$D$26)/(Inputs!$F$26-Inputs!$D$26),Inputs!$D$26+SQRT(N1970*(Inputs!$F$26-Inputs!$D$26)*(Inputs!$E$26-Inputs!$D$26)),Inputs!$F$26-SQRT((1-N1970)*(Inputs!$F$26-Inputs!$D$26)*(Inputs!$F$26-Inputs!$E$26)))</f>
        <v>0.686198976253704</v>
      </c>
      <c r="P1970" s="81" t="n">
        <f aca="true">RAND()</f>
        <v>0.551900646658774</v>
      </c>
      <c r="Q1970" s="82" t="n">
        <f aca="false">IF(P1970&lt;(Inputs!$E$27-Inputs!$D$27)/(Inputs!$F$27-Inputs!$D$27),Inputs!$D$27+SQRT(P1970*(Inputs!$F$27-Inputs!$D$27)*(Inputs!$E$27-Inputs!$D$27)),Inputs!$F$27-SQRT((1-P1970)*(Inputs!$F$27-Inputs!$D$27)*(Inputs!$F$27-Inputs!$E$27)))</f>
        <v>92.0280658416575</v>
      </c>
      <c r="R1970" s="81" t="n">
        <f aca="true">RAND()</f>
        <v>0.000509131874137863</v>
      </c>
      <c r="S1970" s="82" t="n">
        <f aca="false">IF(R1970&lt;(Inputs!$E$29-Inputs!$D$29)/(Inputs!$F$29-Inputs!$D$29),Inputs!$D$29+SQRT(R1970*(Inputs!$F$29-Inputs!$D$29)*(Inputs!$E$29-Inputs!$D$29)),Inputs!$F$29-SQRT((1-R1970)*(Inputs!$F$29-Inputs!$D$29)*(Inputs!$F$29-Inputs!$E$29)))</f>
        <v>2.14091182736512</v>
      </c>
      <c r="T1970" s="68" t="n">
        <f aca="false">Inputs!$E$9*(1+E1970)+Inputs!$E$5*C1970*(Inputs!$E$11*Inputs!$E$14*(G1970*I1970/Inputs!$E$16+(1-G1970))*K1970+Inputs!$E$23*M1970)*(1+O1970)+Inputs!$E$5*(Q1970+S1970)</f>
        <v>6233.09828920102</v>
      </c>
    </row>
    <row r="1971" customFormat="false" ht="15" hidden="false" customHeight="false" outlineLevel="0" collapsed="false">
      <c r="A1971" s="1" t="n">
        <v>1967</v>
      </c>
      <c r="B1971" s="81" t="n">
        <f aca="true">RAND()</f>
        <v>0.521590947255574</v>
      </c>
      <c r="C1971" s="82" t="n">
        <f aca="false">ROUND(IF(B1971&lt;(Inputs!$E$8-Inputs!$D$8)/(Inputs!$F$8-Inputs!$D$8),Inputs!$D$8+SQRT(B1971*(Inputs!$F$8-Inputs!$D$8)*(Inputs!$E$8-Inputs!$D$8)),Inputs!$F$8-SQRT((1-B1971)*(Inputs!$F$8-Inputs!$D$8)*(Inputs!$F$8-Inputs!$E$8))),0)</f>
        <v>25</v>
      </c>
      <c r="D1971" s="81" t="n">
        <f aca="true">RAND()</f>
        <v>0.227698039430218</v>
      </c>
      <c r="E1971" s="83" t="n">
        <f aca="false">IF(D1971&lt;(Inputs!$E$10-Inputs!$D$10)/(Inputs!$F$10-Inputs!$D$10),Inputs!$D$10+SQRT(D1971*(Inputs!$F$10-Inputs!$D$10)*(Inputs!$E$10-Inputs!$D$10)),Inputs!$F$10-SQRT((1-D1971)*(Inputs!$F$10-Inputs!$D$10)*(Inputs!$F$10-Inputs!$E$10)))</f>
        <v>0.0477177157280415</v>
      </c>
      <c r="F1971" s="81" t="n">
        <f aca="true">RAND()</f>
        <v>0.608338611485574</v>
      </c>
      <c r="G1971" s="83" t="n">
        <f aca="false">IF(F1971&lt;(Inputs!$E$15-Inputs!$D$15)/(Inputs!$F$15-Inputs!$D$15),Inputs!$D$15+SQRT(F1971*(Inputs!$F$15-Inputs!$D$15)*(Inputs!$E$15-Inputs!$D$15)),Inputs!$F$15-SQRT((1-F1971)*(Inputs!$F$15-Inputs!$D$15)*(Inputs!$F$15-Inputs!$E$15)))</f>
        <v>0.711494476046472</v>
      </c>
      <c r="H1971" s="81" t="n">
        <f aca="true">RAND()</f>
        <v>0.607117220072354</v>
      </c>
      <c r="I1971" s="82" t="n">
        <f aca="false">ROUND(IF(H1971&lt;(Inputs!$E$17-Inputs!$D$17)/(Inputs!$F$17-Inputs!$D$17),Inputs!$D$17+SQRT(H1971*(Inputs!$F$17-Inputs!$D$17)*(Inputs!$E$17-Inputs!$D$17)),Inputs!$F$17-SQRT((1-H1971)*(Inputs!$F$17-Inputs!$D$17)*(Inputs!$F$17-Inputs!$E$17))),0)</f>
        <v>107</v>
      </c>
      <c r="J1971" s="81" t="n">
        <f aca="true">RAND()</f>
        <v>0.312744647410435</v>
      </c>
      <c r="K1971" s="83" t="n">
        <f aca="false">IF(J1971&lt;(Inputs!$E$18-Inputs!$D$18)/(Inputs!$F$18-Inputs!$D$18),Inputs!$D$18+SQRT(J1971*(Inputs!$F$18-Inputs!$D$18)*(Inputs!$E$18-Inputs!$D$18)),Inputs!$F$18-SQRT((1-J1971)*(Inputs!$F$18-Inputs!$D$18)*(Inputs!$F$18-Inputs!$E$18)))</f>
        <v>1.00477593235658</v>
      </c>
      <c r="L1971" s="81" t="n">
        <f aca="true">RAND()</f>
        <v>0.667655277251659</v>
      </c>
      <c r="M1971" s="83" t="n">
        <f aca="false">IF(L1971&lt;(Inputs!$E$24-Inputs!$D$24)/(Inputs!$F$24-Inputs!$D$24),Inputs!$D$24+SQRT(L1971*(Inputs!$F$24-Inputs!$D$24)*(Inputs!$E$24-Inputs!$D$24)),Inputs!$F$24-SQRT((1-L1971)*(Inputs!$F$24-Inputs!$D$24)*(Inputs!$F$24-Inputs!$E$24)))</f>
        <v>0.91757703092772</v>
      </c>
      <c r="N1971" s="81" t="n">
        <f aca="true">RAND()</f>
        <v>0.437682989924529</v>
      </c>
      <c r="O1971" s="83" t="n">
        <f aca="false">IF(N1971&lt;(Inputs!$E$26-Inputs!$D$26)/(Inputs!$F$26-Inputs!$D$26),Inputs!$D$26+SQRT(N1971*(Inputs!$F$26-Inputs!$D$26)*(Inputs!$E$26-Inputs!$D$26)),Inputs!$F$26-SQRT((1-N1971)*(Inputs!$F$26-Inputs!$D$26)*(Inputs!$F$26-Inputs!$E$26)))</f>
        <v>0.569871172086686</v>
      </c>
      <c r="P1971" s="81" t="n">
        <f aca="true">RAND()</f>
        <v>0.23413146231495</v>
      </c>
      <c r="Q1971" s="82" t="n">
        <f aca="false">IF(P1971&lt;(Inputs!$E$27-Inputs!$D$27)/(Inputs!$F$27-Inputs!$D$27),Inputs!$D$27+SQRT(P1971*(Inputs!$F$27-Inputs!$D$27)*(Inputs!$E$27-Inputs!$D$27)),Inputs!$F$27-SQRT((1-P1971)*(Inputs!$F$27-Inputs!$D$27)*(Inputs!$F$27-Inputs!$E$27)))</f>
        <v>74.1935664131474</v>
      </c>
      <c r="R1971" s="81" t="n">
        <f aca="true">RAND()</f>
        <v>0.134583586556701</v>
      </c>
      <c r="S1971" s="82" t="n">
        <f aca="false">IF(R1971&lt;(Inputs!$E$29-Inputs!$D$29)/(Inputs!$F$29-Inputs!$D$29),Inputs!$D$29+SQRT(R1971*(Inputs!$F$29-Inputs!$D$29)*(Inputs!$E$29-Inputs!$D$29)),Inputs!$F$29-SQRT((1-R1971)*(Inputs!$F$29-Inputs!$D$29)*(Inputs!$F$29-Inputs!$E$29)))</f>
        <v>4.29101721418922</v>
      </c>
      <c r="T1971" s="68" t="n">
        <f aca="false">Inputs!$E$9*(1+E1971)+Inputs!$E$5*C1971*(Inputs!$E$11*Inputs!$E$14*(G1971*I1971/Inputs!$E$16+(1-G1971))*K1971+Inputs!$E$23*M1971)*(1+O1971)+Inputs!$E$5*(Q1971+S1971)</f>
        <v>6107.1860777049</v>
      </c>
    </row>
    <row r="1972" customFormat="false" ht="15" hidden="false" customHeight="false" outlineLevel="0" collapsed="false">
      <c r="A1972" s="1" t="n">
        <v>1968</v>
      </c>
      <c r="B1972" s="81" t="n">
        <f aca="true">RAND()</f>
        <v>0.713941298627152</v>
      </c>
      <c r="C1972" s="82" t="n">
        <f aca="false">ROUND(IF(B1972&lt;(Inputs!$E$8-Inputs!$D$8)/(Inputs!$F$8-Inputs!$D$8),Inputs!$D$8+SQRT(B1972*(Inputs!$F$8-Inputs!$D$8)*(Inputs!$E$8-Inputs!$D$8)),Inputs!$F$8-SQRT((1-B1972)*(Inputs!$F$8-Inputs!$D$8)*(Inputs!$F$8-Inputs!$E$8))),0)</f>
        <v>26</v>
      </c>
      <c r="D1972" s="81" t="n">
        <f aca="true">RAND()</f>
        <v>0.897439172316766</v>
      </c>
      <c r="E1972" s="83" t="n">
        <f aca="false">IF(D1972&lt;(Inputs!$E$10-Inputs!$D$10)/(Inputs!$F$10-Inputs!$D$10),Inputs!$D$10+SQRT(D1972*(Inputs!$F$10-Inputs!$D$10)*(Inputs!$E$10-Inputs!$D$10)),Inputs!$F$10-SQRT((1-D1972)*(Inputs!$F$10-Inputs!$D$10)*(Inputs!$F$10-Inputs!$E$10)))</f>
        <v>0.144530865965863</v>
      </c>
      <c r="F1972" s="81" t="n">
        <f aca="true">RAND()</f>
        <v>0.0881672881397166</v>
      </c>
      <c r="G1972" s="83" t="n">
        <f aca="false">IF(F1972&lt;(Inputs!$E$15-Inputs!$D$15)/(Inputs!$F$15-Inputs!$D$15),Inputs!$D$15+SQRT(F1972*(Inputs!$F$15-Inputs!$D$15)*(Inputs!$E$15-Inputs!$D$15)),Inputs!$F$15-SQRT((1-F1972)*(Inputs!$F$15-Inputs!$D$15)*(Inputs!$F$15-Inputs!$E$15)))</f>
        <v>0.641992210739545</v>
      </c>
      <c r="H1972" s="81" t="n">
        <f aca="true">RAND()</f>
        <v>0.133318950524228</v>
      </c>
      <c r="I1972" s="82" t="n">
        <f aca="false">ROUND(IF(H1972&lt;(Inputs!$E$17-Inputs!$D$17)/(Inputs!$F$17-Inputs!$D$17),Inputs!$D$17+SQRT(H1972*(Inputs!$F$17-Inputs!$D$17)*(Inputs!$E$17-Inputs!$D$17)),Inputs!$F$17-SQRT((1-H1972)*(Inputs!$F$17-Inputs!$D$17)*(Inputs!$F$17-Inputs!$E$17))),0)</f>
        <v>103</v>
      </c>
      <c r="J1972" s="81" t="n">
        <f aca="true">RAND()</f>
        <v>0.238141458963629</v>
      </c>
      <c r="K1972" s="83" t="n">
        <f aca="false">IF(J1972&lt;(Inputs!$E$18-Inputs!$D$18)/(Inputs!$F$18-Inputs!$D$18),Inputs!$D$18+SQRT(J1972*(Inputs!$F$18-Inputs!$D$18)*(Inputs!$E$18-Inputs!$D$18)),Inputs!$F$18-SQRT((1-J1972)*(Inputs!$F$18-Inputs!$D$18)*(Inputs!$F$18-Inputs!$E$18)))</f>
        <v>0.99129595316183</v>
      </c>
      <c r="L1972" s="81" t="n">
        <f aca="true">RAND()</f>
        <v>0.597378350607032</v>
      </c>
      <c r="M1972" s="83" t="n">
        <f aca="false">IF(L1972&lt;(Inputs!$E$24-Inputs!$D$24)/(Inputs!$F$24-Inputs!$D$24),Inputs!$D$24+SQRT(L1972*(Inputs!$F$24-Inputs!$D$24)*(Inputs!$E$24-Inputs!$D$24)),Inputs!$F$24-SQRT((1-L1972)*(Inputs!$F$24-Inputs!$D$24)*(Inputs!$F$24-Inputs!$E$24)))</f>
        <v>0.889147630129168</v>
      </c>
      <c r="N1972" s="81" t="n">
        <f aca="true">RAND()</f>
        <v>0.556552809079783</v>
      </c>
      <c r="O1972" s="83" t="n">
        <f aca="false">IF(N1972&lt;(Inputs!$E$26-Inputs!$D$26)/(Inputs!$F$26-Inputs!$D$26),Inputs!$D$26+SQRT(N1972*(Inputs!$F$26-Inputs!$D$26)*(Inputs!$E$26-Inputs!$D$26)),Inputs!$F$26-SQRT((1-N1972)*(Inputs!$F$26-Inputs!$D$26)*(Inputs!$F$26-Inputs!$E$26)))</f>
        <v>0.60431954822337</v>
      </c>
      <c r="P1972" s="81" t="n">
        <f aca="true">RAND()</f>
        <v>0.230838053150282</v>
      </c>
      <c r="Q1972" s="82" t="n">
        <f aca="false">IF(P1972&lt;(Inputs!$E$27-Inputs!$D$27)/(Inputs!$F$27-Inputs!$D$27),Inputs!$D$27+SQRT(P1972*(Inputs!$F$27-Inputs!$D$27)*(Inputs!$E$27-Inputs!$D$27)),Inputs!$F$27-SQRT((1-P1972)*(Inputs!$F$27-Inputs!$D$27)*(Inputs!$F$27-Inputs!$E$27)))</f>
        <v>74.0228044340311</v>
      </c>
      <c r="R1972" s="81" t="n">
        <f aca="true">RAND()</f>
        <v>0.665462186397588</v>
      </c>
      <c r="S1972" s="82" t="n">
        <f aca="false">IF(R1972&lt;(Inputs!$E$29-Inputs!$D$29)/(Inputs!$F$29-Inputs!$D$29),Inputs!$D$29+SQRT(R1972*(Inputs!$F$29-Inputs!$D$29)*(Inputs!$E$29-Inputs!$D$29)),Inputs!$F$29-SQRT((1-R1972)*(Inputs!$F$29-Inputs!$D$29)*(Inputs!$F$29-Inputs!$E$29)))</f>
        <v>8.40531154880584</v>
      </c>
      <c r="T1972" s="68" t="n">
        <f aca="false">Inputs!$E$9*(1+E1972)+Inputs!$E$5*C1972*(Inputs!$E$11*Inputs!$E$14*(G1972*I1972/Inputs!$E$16+(1-G1972))*K1972+Inputs!$E$23*M1972)*(1+O1972)+Inputs!$E$5*(Q1972+S1972)</f>
        <v>6530.62140483524</v>
      </c>
    </row>
    <row r="1973" customFormat="false" ht="15" hidden="false" customHeight="false" outlineLevel="0" collapsed="false">
      <c r="A1973" s="1" t="n">
        <v>1969</v>
      </c>
      <c r="B1973" s="81" t="n">
        <f aca="true">RAND()</f>
        <v>0.864655915223853</v>
      </c>
      <c r="C1973" s="82" t="n">
        <f aca="false">ROUND(IF(B1973&lt;(Inputs!$E$8-Inputs!$D$8)/(Inputs!$F$8-Inputs!$D$8),Inputs!$D$8+SQRT(B1973*(Inputs!$F$8-Inputs!$D$8)*(Inputs!$E$8-Inputs!$D$8)),Inputs!$F$8-SQRT((1-B1973)*(Inputs!$F$8-Inputs!$D$8)*(Inputs!$F$8-Inputs!$E$8))),0)</f>
        <v>27</v>
      </c>
      <c r="D1973" s="81" t="n">
        <f aca="true">RAND()</f>
        <v>0.802839987491869</v>
      </c>
      <c r="E1973" s="83" t="n">
        <f aca="false">IF(D1973&lt;(Inputs!$E$10-Inputs!$D$10)/(Inputs!$F$10-Inputs!$D$10),Inputs!$D$10+SQRT(D1973*(Inputs!$F$10-Inputs!$D$10)*(Inputs!$E$10-Inputs!$D$10)),Inputs!$F$10-SQRT((1-D1973)*(Inputs!$F$10-Inputs!$D$10)*(Inputs!$F$10-Inputs!$E$10)))</f>
        <v>0.123092260628439</v>
      </c>
      <c r="F1973" s="81" t="n">
        <f aca="true">RAND()</f>
        <v>0.633807079812625</v>
      </c>
      <c r="G1973" s="83" t="n">
        <f aca="false">IF(F1973&lt;(Inputs!$E$15-Inputs!$D$15)/(Inputs!$F$15-Inputs!$D$15),Inputs!$D$15+SQRT(F1973*(Inputs!$F$15-Inputs!$D$15)*(Inputs!$E$15-Inputs!$D$15)),Inputs!$F$15-SQRT((1-F1973)*(Inputs!$F$15-Inputs!$D$15)*(Inputs!$F$15-Inputs!$E$15)))</f>
        <v>0.71442045569327</v>
      </c>
      <c r="H1973" s="81" t="n">
        <f aca="true">RAND()</f>
        <v>0.943795154542797</v>
      </c>
      <c r="I1973" s="82" t="n">
        <f aca="false">ROUND(IF(H1973&lt;(Inputs!$E$17-Inputs!$D$17)/(Inputs!$F$17-Inputs!$D$17),Inputs!$D$17+SQRT(H1973*(Inputs!$F$17-Inputs!$D$17)*(Inputs!$E$17-Inputs!$D$17)),Inputs!$F$17-SQRT((1-H1973)*(Inputs!$F$17-Inputs!$D$17)*(Inputs!$F$17-Inputs!$E$17))),0)</f>
        <v>112</v>
      </c>
      <c r="J1973" s="81" t="n">
        <f aca="true">RAND()</f>
        <v>0.0609761392943443</v>
      </c>
      <c r="K1973" s="83" t="n">
        <f aca="false">IF(J1973&lt;(Inputs!$E$18-Inputs!$D$18)/(Inputs!$F$18-Inputs!$D$18),Inputs!$D$18+SQRT(J1973*(Inputs!$F$18-Inputs!$D$18)*(Inputs!$E$18-Inputs!$D$18)),Inputs!$F$18-SQRT((1-J1973)*(Inputs!$F$18-Inputs!$D$18)*(Inputs!$F$18-Inputs!$E$18)))</f>
        <v>0.946197022364023</v>
      </c>
      <c r="L1973" s="81" t="n">
        <f aca="true">RAND()</f>
        <v>0.497771566029734</v>
      </c>
      <c r="M1973" s="83" t="n">
        <f aca="false">IF(L1973&lt;(Inputs!$E$24-Inputs!$D$24)/(Inputs!$F$24-Inputs!$D$24),Inputs!$D$24+SQRT(L1973*(Inputs!$F$24-Inputs!$D$24)*(Inputs!$E$24-Inputs!$D$24)),Inputs!$F$24-SQRT((1-L1973)*(Inputs!$F$24-Inputs!$D$24)*(Inputs!$F$24-Inputs!$E$24)))</f>
        <v>0.85281874452548</v>
      </c>
      <c r="N1973" s="81" t="n">
        <f aca="true">RAND()</f>
        <v>0.80799806390402</v>
      </c>
      <c r="O1973" s="83" t="n">
        <f aca="false">IF(N1973&lt;(Inputs!$E$26-Inputs!$D$26)/(Inputs!$F$26-Inputs!$D$26),Inputs!$D$26+SQRT(N1973*(Inputs!$F$26-Inputs!$D$26)*(Inputs!$E$26-Inputs!$D$26)),Inputs!$F$26-SQRT((1-N1973)*(Inputs!$F$26-Inputs!$D$26)*(Inputs!$F$26-Inputs!$E$26)))</f>
        <v>0.678691113676521</v>
      </c>
      <c r="P1973" s="81" t="n">
        <f aca="true">RAND()</f>
        <v>0.756155690724319</v>
      </c>
      <c r="Q1973" s="82" t="n">
        <f aca="false">IF(P1973&lt;(Inputs!$E$27-Inputs!$D$27)/(Inputs!$F$27-Inputs!$D$27),Inputs!$D$27+SQRT(P1973*(Inputs!$F$27-Inputs!$D$27)*(Inputs!$E$27-Inputs!$D$27)),Inputs!$F$27-SQRT((1-P1973)*(Inputs!$F$27-Inputs!$D$27)*(Inputs!$F$27-Inputs!$E$27)))</f>
        <v>107.235150888053</v>
      </c>
      <c r="R1973" s="81" t="n">
        <f aca="true">RAND()</f>
        <v>0.848954566366222</v>
      </c>
      <c r="S1973" s="82" t="n">
        <f aca="false">IF(R1973&lt;(Inputs!$E$29-Inputs!$D$29)/(Inputs!$F$29-Inputs!$D$29),Inputs!$D$29+SQRT(R1973*(Inputs!$F$29-Inputs!$D$29)*(Inputs!$E$29-Inputs!$D$29)),Inputs!$F$29-SQRT((1-R1973)*(Inputs!$F$29-Inputs!$D$29)*(Inputs!$F$29-Inputs!$E$29)))</f>
        <v>10.5687579199065</v>
      </c>
      <c r="T1973" s="68" t="n">
        <f aca="false">Inputs!$E$9*(1+E1973)+Inputs!$E$5*C1973*(Inputs!$E$11*Inputs!$E$14*(G1973*I1973/Inputs!$E$16+(1-G1973))*K1973+Inputs!$E$23*M1973)*(1+O1973)+Inputs!$E$5*(Q1973+S1973)</f>
        <v>6809.57652335443</v>
      </c>
    </row>
    <row r="1974" customFormat="false" ht="15" hidden="false" customHeight="false" outlineLevel="0" collapsed="false">
      <c r="A1974" s="1" t="n">
        <v>1970</v>
      </c>
      <c r="B1974" s="81" t="n">
        <f aca="true">RAND()</f>
        <v>0.132731268285071</v>
      </c>
      <c r="C1974" s="82" t="n">
        <f aca="false">ROUND(IF(B1974&lt;(Inputs!$E$8-Inputs!$D$8)/(Inputs!$F$8-Inputs!$D$8),Inputs!$D$8+SQRT(B1974*(Inputs!$F$8-Inputs!$D$8)*(Inputs!$E$8-Inputs!$D$8)),Inputs!$F$8-SQRT((1-B1974)*(Inputs!$F$8-Inputs!$D$8)*(Inputs!$F$8-Inputs!$E$8))),0)</f>
        <v>23</v>
      </c>
      <c r="D1974" s="81" t="n">
        <f aca="true">RAND()</f>
        <v>0.168563173288195</v>
      </c>
      <c r="E1974" s="83" t="n">
        <f aca="false">IF(D1974&lt;(Inputs!$E$10-Inputs!$D$10)/(Inputs!$F$10-Inputs!$D$10),Inputs!$D$10+SQRT(D1974*(Inputs!$F$10-Inputs!$D$10)*(Inputs!$E$10-Inputs!$D$10)),Inputs!$F$10-SQRT((1-D1974)*(Inputs!$F$10-Inputs!$D$10)*(Inputs!$F$10-Inputs!$E$10)))</f>
        <v>0.0410564456922655</v>
      </c>
      <c r="F1974" s="81" t="n">
        <f aca="true">RAND()</f>
        <v>0.525389295962485</v>
      </c>
      <c r="G1974" s="83" t="n">
        <f aca="false">IF(F1974&lt;(Inputs!$E$15-Inputs!$D$15)/(Inputs!$F$15-Inputs!$D$15),Inputs!$D$15+SQRT(F1974*(Inputs!$F$15-Inputs!$D$15)*(Inputs!$E$15-Inputs!$D$15)),Inputs!$F$15-SQRT((1-F1974)*(Inputs!$F$15-Inputs!$D$15)*(Inputs!$F$15-Inputs!$E$15)))</f>
        <v>0.702572005661872</v>
      </c>
      <c r="H1974" s="81" t="n">
        <f aca="true">RAND()</f>
        <v>0.419576842232868</v>
      </c>
      <c r="I1974" s="82" t="n">
        <f aca="false">ROUND(IF(H1974&lt;(Inputs!$E$17-Inputs!$D$17)/(Inputs!$F$17-Inputs!$D$17),Inputs!$D$17+SQRT(H1974*(Inputs!$F$17-Inputs!$D$17)*(Inputs!$E$17-Inputs!$D$17)),Inputs!$F$17-SQRT((1-H1974)*(Inputs!$F$17-Inputs!$D$17)*(Inputs!$F$17-Inputs!$E$17))),0)</f>
        <v>106</v>
      </c>
      <c r="J1974" s="81" t="n">
        <f aca="true">RAND()</f>
        <v>0.0858198473625974</v>
      </c>
      <c r="K1974" s="83" t="n">
        <f aca="false">IF(J1974&lt;(Inputs!$E$18-Inputs!$D$18)/(Inputs!$F$18-Inputs!$D$18),Inputs!$D$18+SQRT(J1974*(Inputs!$F$18-Inputs!$D$18)*(Inputs!$E$18-Inputs!$D$18)),Inputs!$F$18-SQRT((1-J1974)*(Inputs!$F$18-Inputs!$D$18)*(Inputs!$F$18-Inputs!$E$18)))</f>
        <v>0.954805972828615</v>
      </c>
      <c r="L1974" s="81" t="n">
        <f aca="true">RAND()</f>
        <v>0.287375401286224</v>
      </c>
      <c r="M1974" s="83" t="n">
        <f aca="false">IF(L1974&lt;(Inputs!$E$24-Inputs!$D$24)/(Inputs!$F$24-Inputs!$D$24),Inputs!$D$24+SQRT(L1974*(Inputs!$F$24-Inputs!$D$24)*(Inputs!$E$24-Inputs!$D$24)),Inputs!$F$24-SQRT((1-L1974)*(Inputs!$F$24-Inputs!$D$24)*(Inputs!$F$24-Inputs!$E$24)))</f>
        <v>0.785701502832764</v>
      </c>
      <c r="N1974" s="81" t="n">
        <f aca="true">RAND()</f>
        <v>0.474256542086003</v>
      </c>
      <c r="O1974" s="83" t="n">
        <f aca="false">IF(N1974&lt;(Inputs!$E$26-Inputs!$D$26)/(Inputs!$F$26-Inputs!$D$26),Inputs!$D$26+SQRT(N1974*(Inputs!$F$26-Inputs!$D$26)*(Inputs!$E$26-Inputs!$D$26)),Inputs!$F$26-SQRT((1-N1974)*(Inputs!$F$26-Inputs!$D$26)*(Inputs!$F$26-Inputs!$E$26)))</f>
        <v>0.580920431088789</v>
      </c>
      <c r="P1974" s="81" t="n">
        <f aca="true">RAND()</f>
        <v>0.29138510816012</v>
      </c>
      <c r="Q1974" s="82" t="n">
        <f aca="false">IF(P1974&lt;(Inputs!$E$27-Inputs!$D$27)/(Inputs!$F$27-Inputs!$D$27),Inputs!$D$27+SQRT(P1974*(Inputs!$F$27-Inputs!$D$27)*(Inputs!$E$27-Inputs!$D$27)),Inputs!$F$27-SQRT((1-P1974)*(Inputs!$F$27-Inputs!$D$27)*(Inputs!$F$27-Inputs!$E$27)))</f>
        <v>77.0986166880278</v>
      </c>
      <c r="R1974" s="81" t="n">
        <f aca="true">RAND()</f>
        <v>0.442299169750624</v>
      </c>
      <c r="S1974" s="82" t="n">
        <f aca="false">IF(R1974&lt;(Inputs!$E$29-Inputs!$D$29)/(Inputs!$F$29-Inputs!$D$29),Inputs!$D$29+SQRT(R1974*(Inputs!$F$29-Inputs!$D$29)*(Inputs!$E$29-Inputs!$D$29)),Inputs!$F$29-SQRT((1-R1974)*(Inputs!$F$29-Inputs!$D$29)*(Inputs!$F$29-Inputs!$E$29)))</f>
        <v>6.48524175725353</v>
      </c>
      <c r="T1974" s="68" t="n">
        <f aca="false">Inputs!$E$9*(1+E1974)+Inputs!$E$5*C1974*(Inputs!$E$11*Inputs!$E$14*(G1974*I1974/Inputs!$E$16+(1-G1974))*K1974+Inputs!$E$23*M1974)*(1+O1974)+Inputs!$E$5*(Q1974+S1974)</f>
        <v>5598.32129377258</v>
      </c>
    </row>
    <row r="1975" customFormat="false" ht="15" hidden="false" customHeight="false" outlineLevel="0" collapsed="false">
      <c r="A1975" s="1" t="n">
        <v>1971</v>
      </c>
      <c r="B1975" s="81" t="n">
        <f aca="true">RAND()</f>
        <v>0.387085789173863</v>
      </c>
      <c r="C1975" s="82" t="n">
        <f aca="false">ROUND(IF(B1975&lt;(Inputs!$E$8-Inputs!$D$8)/(Inputs!$F$8-Inputs!$D$8),Inputs!$D$8+SQRT(B1975*(Inputs!$F$8-Inputs!$D$8)*(Inputs!$E$8-Inputs!$D$8)),Inputs!$F$8-SQRT((1-B1975)*(Inputs!$F$8-Inputs!$D$8)*(Inputs!$F$8-Inputs!$E$8))),0)</f>
        <v>24</v>
      </c>
      <c r="D1975" s="81" t="n">
        <f aca="true">RAND()</f>
        <v>0.818560346670889</v>
      </c>
      <c r="E1975" s="83" t="n">
        <f aca="false">IF(D1975&lt;(Inputs!$E$10-Inputs!$D$10)/(Inputs!$F$10-Inputs!$D$10),Inputs!$D$10+SQRT(D1975*(Inputs!$F$10-Inputs!$D$10)*(Inputs!$E$10-Inputs!$D$10)),Inputs!$F$10-SQRT((1-D1975)*(Inputs!$F$10-Inputs!$D$10)*(Inputs!$F$10-Inputs!$E$10)))</f>
        <v>0.126222024967655</v>
      </c>
      <c r="F1975" s="81" t="n">
        <f aca="true">RAND()</f>
        <v>0.874486637042936</v>
      </c>
      <c r="G1975" s="83" t="n">
        <f aca="false">IF(F1975&lt;(Inputs!$E$15-Inputs!$D$15)/(Inputs!$F$15-Inputs!$D$15),Inputs!$D$15+SQRT(F1975*(Inputs!$F$15-Inputs!$D$15)*(Inputs!$E$15-Inputs!$D$15)),Inputs!$F$15-SQRT((1-F1975)*(Inputs!$F$15-Inputs!$D$15)*(Inputs!$F$15-Inputs!$E$15)))</f>
        <v>0.749897432609284</v>
      </c>
      <c r="H1975" s="81" t="n">
        <f aca="true">RAND()</f>
        <v>0.022238972322673</v>
      </c>
      <c r="I1975" s="82" t="n">
        <f aca="false">ROUND(IF(H1975&lt;(Inputs!$E$17-Inputs!$D$17)/(Inputs!$F$17-Inputs!$D$17),Inputs!$D$17+SQRT(H1975*(Inputs!$F$17-Inputs!$D$17)*(Inputs!$E$17-Inputs!$D$17)),Inputs!$F$17-SQRT((1-H1975)*(Inputs!$F$17-Inputs!$D$17)*(Inputs!$F$17-Inputs!$E$17))),0)</f>
        <v>101</v>
      </c>
      <c r="J1975" s="81" t="n">
        <f aca="true">RAND()</f>
        <v>0.445518887163661</v>
      </c>
      <c r="K1975" s="83" t="n">
        <f aca="false">IF(J1975&lt;(Inputs!$E$18-Inputs!$D$18)/(Inputs!$F$18-Inputs!$D$18),Inputs!$D$18+SQRT(J1975*(Inputs!$F$18-Inputs!$D$18)*(Inputs!$E$18-Inputs!$D$18)),Inputs!$F$18-SQRT((1-J1975)*(Inputs!$F$18-Inputs!$D$18)*(Inputs!$F$18-Inputs!$E$18)))</f>
        <v>1.02973403037877</v>
      </c>
      <c r="L1975" s="81" t="n">
        <f aca="true">RAND()</f>
        <v>0.0896875260194426</v>
      </c>
      <c r="M1975" s="83" t="n">
        <f aca="false">IF(L1975&lt;(Inputs!$E$24-Inputs!$D$24)/(Inputs!$F$24-Inputs!$D$24),Inputs!$D$24+SQRT(L1975*(Inputs!$F$24-Inputs!$D$24)*(Inputs!$E$24-Inputs!$D$24)),Inputs!$F$24-SQRT((1-L1975)*(Inputs!$F$24-Inputs!$D$24)*(Inputs!$F$24-Inputs!$E$24)))</f>
        <v>0.703742484654712</v>
      </c>
      <c r="N1975" s="81" t="n">
        <f aca="true">RAND()</f>
        <v>0.793150871358738</v>
      </c>
      <c r="O1975" s="83" t="n">
        <f aca="false">IF(N1975&lt;(Inputs!$E$26-Inputs!$D$26)/(Inputs!$F$26-Inputs!$D$26),Inputs!$D$26+SQRT(N1975*(Inputs!$F$26-Inputs!$D$26)*(Inputs!$E$26-Inputs!$D$26)),Inputs!$F$26-SQRT((1-N1975)*(Inputs!$F$26-Inputs!$D$26)*(Inputs!$F$26-Inputs!$E$26)))</f>
        <v>0.673329248387106</v>
      </c>
      <c r="P1975" s="81" t="n">
        <f aca="true">RAND()</f>
        <v>0.845469158913832</v>
      </c>
      <c r="Q1975" s="82" t="n">
        <f aca="false">IF(P1975&lt;(Inputs!$E$27-Inputs!$D$27)/(Inputs!$F$27-Inputs!$D$27),Inputs!$D$27+SQRT(P1975*(Inputs!$F$27-Inputs!$D$27)*(Inputs!$E$27-Inputs!$D$27)),Inputs!$F$27-SQRT((1-P1975)*(Inputs!$F$27-Inputs!$D$27)*(Inputs!$F$27-Inputs!$E$27)))</f>
        <v>115.956185464225</v>
      </c>
      <c r="R1975" s="81" t="n">
        <f aca="true">RAND()</f>
        <v>0.634467697014963</v>
      </c>
      <c r="S1975" s="82" t="n">
        <f aca="false">IF(R1975&lt;(Inputs!$E$29-Inputs!$D$29)/(Inputs!$F$29-Inputs!$D$29),Inputs!$D$29+SQRT(R1975*(Inputs!$F$29-Inputs!$D$29)*(Inputs!$E$29-Inputs!$D$29)),Inputs!$F$29-SQRT((1-R1975)*(Inputs!$F$29-Inputs!$D$29)*(Inputs!$F$29-Inputs!$E$29)))</f>
        <v>8.10658289467011</v>
      </c>
      <c r="T1975" s="68" t="n">
        <f aca="false">Inputs!$E$9*(1+E1975)+Inputs!$E$5*C1975*(Inputs!$E$11*Inputs!$E$14*(G1975*I1975/Inputs!$E$16+(1-G1975))*K1975+Inputs!$E$23*M1975)*(1+O1975)+Inputs!$E$5*(Q1975+S1975)</f>
        <v>6205.97083773356</v>
      </c>
    </row>
    <row r="1976" customFormat="false" ht="15" hidden="false" customHeight="false" outlineLevel="0" collapsed="false">
      <c r="A1976" s="1" t="n">
        <v>1972</v>
      </c>
      <c r="B1976" s="81" t="n">
        <f aca="true">RAND()</f>
        <v>0.870498111222621</v>
      </c>
      <c r="C1976" s="82" t="n">
        <f aca="false">ROUND(IF(B1976&lt;(Inputs!$E$8-Inputs!$D$8)/(Inputs!$F$8-Inputs!$D$8),Inputs!$D$8+SQRT(B1976*(Inputs!$F$8-Inputs!$D$8)*(Inputs!$E$8-Inputs!$D$8)),Inputs!$F$8-SQRT((1-B1976)*(Inputs!$F$8-Inputs!$D$8)*(Inputs!$F$8-Inputs!$E$8))),0)</f>
        <v>27</v>
      </c>
      <c r="D1976" s="81" t="n">
        <f aca="true">RAND()</f>
        <v>0.567919487097631</v>
      </c>
      <c r="E1976" s="83" t="n">
        <f aca="false">IF(D1976&lt;(Inputs!$E$10-Inputs!$D$10)/(Inputs!$F$10-Inputs!$D$10),Inputs!$D$10+SQRT(D1976*(Inputs!$F$10-Inputs!$D$10)*(Inputs!$E$10-Inputs!$D$10)),Inputs!$F$10-SQRT((1-D1976)*(Inputs!$F$10-Inputs!$D$10)*(Inputs!$F$10-Inputs!$E$10)))</f>
        <v>0.0861473962218208</v>
      </c>
      <c r="F1976" s="81" t="n">
        <f aca="true">RAND()</f>
        <v>0.793262258401558</v>
      </c>
      <c r="G1976" s="83" t="n">
        <f aca="false">IF(F1976&lt;(Inputs!$E$15-Inputs!$D$15)/(Inputs!$F$15-Inputs!$D$15),Inputs!$D$15+SQRT(F1976*(Inputs!$F$15-Inputs!$D$15)*(Inputs!$E$15-Inputs!$D$15)),Inputs!$F$15-SQRT((1-F1976)*(Inputs!$F$15-Inputs!$D$15)*(Inputs!$F$15-Inputs!$E$15)))</f>
        <v>0.735697940686407</v>
      </c>
      <c r="H1976" s="81" t="n">
        <f aca="true">RAND()</f>
        <v>0.138362584144992</v>
      </c>
      <c r="I1976" s="82" t="n">
        <f aca="false">ROUND(IF(H1976&lt;(Inputs!$E$17-Inputs!$D$17)/(Inputs!$F$17-Inputs!$D$17),Inputs!$D$17+SQRT(H1976*(Inputs!$F$17-Inputs!$D$17)*(Inputs!$E$17-Inputs!$D$17)),Inputs!$F$17-SQRT((1-H1976)*(Inputs!$F$17-Inputs!$D$17)*(Inputs!$F$17-Inputs!$E$17))),0)</f>
        <v>103</v>
      </c>
      <c r="J1976" s="81" t="n">
        <f aca="true">RAND()</f>
        <v>0.387672971852359</v>
      </c>
      <c r="K1976" s="83" t="n">
        <f aca="false">IF(J1976&lt;(Inputs!$E$18-Inputs!$D$18)/(Inputs!$F$18-Inputs!$D$18),Inputs!$D$18+SQRT(J1976*(Inputs!$F$18-Inputs!$D$18)*(Inputs!$E$18-Inputs!$D$18)),Inputs!$F$18-SQRT((1-J1976)*(Inputs!$F$18-Inputs!$D$18)*(Inputs!$F$18-Inputs!$E$18)))</f>
        <v>1.01852945119753</v>
      </c>
      <c r="L1976" s="81" t="n">
        <f aca="true">RAND()</f>
        <v>0.287451045862818</v>
      </c>
      <c r="M1976" s="83" t="n">
        <f aca="false">IF(L1976&lt;(Inputs!$E$24-Inputs!$D$24)/(Inputs!$F$24-Inputs!$D$24),Inputs!$D$24+SQRT(L1976*(Inputs!$F$24-Inputs!$D$24)*(Inputs!$E$24-Inputs!$D$24)),Inputs!$F$24-SQRT((1-L1976)*(Inputs!$F$24-Inputs!$D$24)*(Inputs!$F$24-Inputs!$E$24)))</f>
        <v>0.785725941923949</v>
      </c>
      <c r="N1976" s="81" t="n">
        <f aca="true">RAND()</f>
        <v>0.619817577561576</v>
      </c>
      <c r="O1976" s="83" t="n">
        <f aca="false">IF(N1976&lt;(Inputs!$E$26-Inputs!$D$26)/(Inputs!$F$26-Inputs!$D$26),Inputs!$D$26+SQRT(N1976*(Inputs!$F$26-Inputs!$D$26)*(Inputs!$E$26-Inputs!$D$26)),Inputs!$F$26-SQRT((1-N1976)*(Inputs!$F$26-Inputs!$D$26)*(Inputs!$F$26-Inputs!$E$26)))</f>
        <v>0.621155910488654</v>
      </c>
      <c r="P1976" s="81" t="n">
        <f aca="true">RAND()</f>
        <v>0.990405080348942</v>
      </c>
      <c r="Q1976" s="82" t="n">
        <f aca="false">IF(P1976&lt;(Inputs!$E$27-Inputs!$D$27)/(Inputs!$F$27-Inputs!$D$27),Inputs!$D$27+SQRT(P1976*(Inputs!$F$27-Inputs!$D$27)*(Inputs!$E$27-Inputs!$D$27)),Inputs!$F$27-SQRT((1-P1976)*(Inputs!$F$27-Inputs!$D$27)*(Inputs!$F$27-Inputs!$E$27)))</f>
        <v>141.516964141127</v>
      </c>
      <c r="R1976" s="81" t="n">
        <f aca="true">RAND()</f>
        <v>0.454394429360715</v>
      </c>
      <c r="S1976" s="82" t="n">
        <f aca="false">IF(R1976&lt;(Inputs!$E$29-Inputs!$D$29)/(Inputs!$F$29-Inputs!$D$29),Inputs!$D$29+SQRT(R1976*(Inputs!$F$29-Inputs!$D$29)*(Inputs!$E$29-Inputs!$D$29)),Inputs!$F$29-SQRT((1-R1976)*(Inputs!$F$29-Inputs!$D$29)*(Inputs!$F$29-Inputs!$E$29)))</f>
        <v>6.57808073043282</v>
      </c>
      <c r="T1976" s="68" t="n">
        <f aca="false">Inputs!$E$9*(1+E1976)+Inputs!$E$5*C1976*(Inputs!$E$11*Inputs!$E$14*(G1976*I1976/Inputs!$E$16+(1-G1976))*K1976+Inputs!$E$23*M1976)*(1+O1976)+Inputs!$E$5*(Q1976+S1976)</f>
        <v>6669.91678505061</v>
      </c>
    </row>
    <row r="1977" customFormat="false" ht="15" hidden="false" customHeight="false" outlineLevel="0" collapsed="false">
      <c r="A1977" s="1" t="n">
        <v>1973</v>
      </c>
      <c r="B1977" s="81" t="n">
        <f aca="true">RAND()</f>
        <v>0.710235369187353</v>
      </c>
      <c r="C1977" s="82" t="n">
        <f aca="false">ROUND(IF(B1977&lt;(Inputs!$E$8-Inputs!$D$8)/(Inputs!$F$8-Inputs!$D$8),Inputs!$D$8+SQRT(B1977*(Inputs!$F$8-Inputs!$D$8)*(Inputs!$E$8-Inputs!$D$8)),Inputs!$F$8-SQRT((1-B1977)*(Inputs!$F$8-Inputs!$D$8)*(Inputs!$F$8-Inputs!$E$8))),0)</f>
        <v>26</v>
      </c>
      <c r="D1977" s="81" t="n">
        <f aca="true">RAND()</f>
        <v>0.0491554438720326</v>
      </c>
      <c r="E1977" s="83" t="n">
        <f aca="false">IF(D1977&lt;(Inputs!$E$10-Inputs!$D$10)/(Inputs!$F$10-Inputs!$D$10),Inputs!$D$10+SQRT(D1977*(Inputs!$F$10-Inputs!$D$10)*(Inputs!$E$10-Inputs!$D$10)),Inputs!$F$10-SQRT((1-D1977)*(Inputs!$F$10-Inputs!$D$10)*(Inputs!$F$10-Inputs!$E$10)))</f>
        <v>0.0221710270109512</v>
      </c>
      <c r="F1977" s="81" t="n">
        <f aca="true">RAND()</f>
        <v>0.570899888588773</v>
      </c>
      <c r="G1977" s="83" t="n">
        <f aca="false">IF(F1977&lt;(Inputs!$E$15-Inputs!$D$15)/(Inputs!$F$15-Inputs!$D$15),Inputs!$D$15+SQRT(F1977*(Inputs!$F$15-Inputs!$D$15)*(Inputs!$E$15-Inputs!$D$15)),Inputs!$F$15-SQRT((1-F1977)*(Inputs!$F$15-Inputs!$D$15)*(Inputs!$F$15-Inputs!$E$15)))</f>
        <v>0.707360903349479</v>
      </c>
      <c r="H1977" s="81" t="n">
        <f aca="true">RAND()</f>
        <v>0.197903181963652</v>
      </c>
      <c r="I1977" s="82" t="n">
        <f aca="false">ROUND(IF(H1977&lt;(Inputs!$E$17-Inputs!$D$17)/(Inputs!$F$17-Inputs!$D$17),Inputs!$D$17+SQRT(H1977*(Inputs!$F$17-Inputs!$D$17)*(Inputs!$E$17-Inputs!$D$17)),Inputs!$F$17-SQRT((1-H1977)*(Inputs!$F$17-Inputs!$D$17)*(Inputs!$F$17-Inputs!$E$17))),0)</f>
        <v>104</v>
      </c>
      <c r="J1977" s="81" t="n">
        <f aca="true">RAND()</f>
        <v>0.777974393752213</v>
      </c>
      <c r="K1977" s="83" t="n">
        <f aca="false">IF(J1977&lt;(Inputs!$E$18-Inputs!$D$18)/(Inputs!$F$18-Inputs!$D$18),Inputs!$D$18+SQRT(J1977*(Inputs!$F$18-Inputs!$D$18)*(Inputs!$E$18-Inputs!$D$18)),Inputs!$F$18-SQRT((1-J1977)*(Inputs!$F$18-Inputs!$D$18)*(Inputs!$F$18-Inputs!$E$18)))</f>
        <v>1.11061836366766</v>
      </c>
      <c r="L1977" s="81" t="n">
        <f aca="true">RAND()</f>
        <v>0.882894192483417</v>
      </c>
      <c r="M1977" s="83" t="n">
        <f aca="false">IF(L1977&lt;(Inputs!$E$24-Inputs!$D$24)/(Inputs!$F$24-Inputs!$D$24),Inputs!$D$24+SQRT(L1977*(Inputs!$F$24-Inputs!$D$24)*(Inputs!$E$24-Inputs!$D$24)),Inputs!$F$24-SQRT((1-L1977)*(Inputs!$F$24-Inputs!$D$24)*(Inputs!$F$24-Inputs!$E$24)))</f>
        <v>1.03235336626111</v>
      </c>
      <c r="N1977" s="81" t="n">
        <f aca="true">RAND()</f>
        <v>0.75676168113501</v>
      </c>
      <c r="O1977" s="83" t="n">
        <f aca="false">IF(N1977&lt;(Inputs!$E$26-Inputs!$D$26)/(Inputs!$F$26-Inputs!$D$26),Inputs!$D$26+SQRT(N1977*(Inputs!$F$26-Inputs!$D$26)*(Inputs!$E$26-Inputs!$D$26)),Inputs!$F$26-SQRT((1-N1977)*(Inputs!$F$26-Inputs!$D$26)*(Inputs!$F$26-Inputs!$E$26)))</f>
        <v>0.660950368871981</v>
      </c>
      <c r="P1977" s="81" t="n">
        <f aca="true">RAND()</f>
        <v>0.856879536990402</v>
      </c>
      <c r="Q1977" s="82" t="n">
        <f aca="false">IF(P1977&lt;(Inputs!$E$27-Inputs!$D$27)/(Inputs!$F$27-Inputs!$D$27),Inputs!$D$27+SQRT(P1977*(Inputs!$F$27-Inputs!$D$27)*(Inputs!$E$27-Inputs!$D$27)),Inputs!$F$27-SQRT((1-P1977)*(Inputs!$F$27-Inputs!$D$27)*(Inputs!$F$27-Inputs!$E$27)))</f>
        <v>117.237163239854</v>
      </c>
      <c r="R1977" s="81" t="n">
        <f aca="true">RAND()</f>
        <v>0.657388094831667</v>
      </c>
      <c r="S1977" s="82" t="n">
        <f aca="false">IF(R1977&lt;(Inputs!$E$29-Inputs!$D$29)/(Inputs!$F$29-Inputs!$D$29),Inputs!$D$29+SQRT(R1977*(Inputs!$F$29-Inputs!$D$29)*(Inputs!$E$29-Inputs!$D$29)),Inputs!$F$29-SQRT((1-R1977)*(Inputs!$F$29-Inputs!$D$29)*(Inputs!$F$29-Inputs!$E$29)))</f>
        <v>8.3262044028991</v>
      </c>
      <c r="T1977" s="68" t="n">
        <f aca="false">Inputs!$E$9*(1+E1977)+Inputs!$E$5*C1977*(Inputs!$E$11*Inputs!$E$14*(G1977*I1977/Inputs!$E$16+(1-G1977))*K1977+Inputs!$E$23*M1977)*(1+O1977)+Inputs!$E$5*(Q1977+S1977)</f>
        <v>7015.69630547022</v>
      </c>
    </row>
    <row r="1978" customFormat="false" ht="15" hidden="false" customHeight="false" outlineLevel="0" collapsed="false">
      <c r="A1978" s="1" t="n">
        <v>1974</v>
      </c>
      <c r="B1978" s="81" t="n">
        <f aca="true">RAND()</f>
        <v>0.836640213650469</v>
      </c>
      <c r="C1978" s="82" t="n">
        <f aca="false">ROUND(IF(B1978&lt;(Inputs!$E$8-Inputs!$D$8)/(Inputs!$F$8-Inputs!$D$8),Inputs!$D$8+SQRT(B1978*(Inputs!$F$8-Inputs!$D$8)*(Inputs!$E$8-Inputs!$D$8)),Inputs!$F$8-SQRT((1-B1978)*(Inputs!$F$8-Inputs!$D$8)*(Inputs!$F$8-Inputs!$E$8))),0)</f>
        <v>27</v>
      </c>
      <c r="D1978" s="81" t="n">
        <f aca="true">RAND()</f>
        <v>0.00982851454802934</v>
      </c>
      <c r="E1978" s="83" t="n">
        <f aca="false">IF(D1978&lt;(Inputs!$E$10-Inputs!$D$10)/(Inputs!$F$10-Inputs!$D$10),Inputs!$D$10+SQRT(D1978*(Inputs!$F$10-Inputs!$D$10)*(Inputs!$E$10-Inputs!$D$10)),Inputs!$F$10-SQRT((1-D1978)*(Inputs!$F$10-Inputs!$D$10)*(Inputs!$F$10-Inputs!$E$10)))</f>
        <v>0.00991388649724685</v>
      </c>
      <c r="F1978" s="81" t="n">
        <f aca="true">RAND()</f>
        <v>0.878902981633661</v>
      </c>
      <c r="G1978" s="83" t="n">
        <f aca="false">IF(F1978&lt;(Inputs!$E$15-Inputs!$D$15)/(Inputs!$F$15-Inputs!$D$15),Inputs!$D$15+SQRT(F1978*(Inputs!$F$15-Inputs!$D$15)*(Inputs!$E$15-Inputs!$D$15)),Inputs!$F$15-SQRT((1-F1978)*(Inputs!$F$15-Inputs!$D$15)*(Inputs!$F$15-Inputs!$E$15)))</f>
        <v>0.750786786659203</v>
      </c>
      <c r="H1978" s="81" t="n">
        <f aca="true">RAND()</f>
        <v>0.715626667502385</v>
      </c>
      <c r="I1978" s="82" t="n">
        <f aca="false">ROUND(IF(H1978&lt;(Inputs!$E$17-Inputs!$D$17)/(Inputs!$F$17-Inputs!$D$17),Inputs!$D$17+SQRT(H1978*(Inputs!$F$17-Inputs!$D$17)*(Inputs!$E$17-Inputs!$D$17)),Inputs!$F$17-SQRT((1-H1978)*(Inputs!$F$17-Inputs!$D$17)*(Inputs!$F$17-Inputs!$E$17))),0)</f>
        <v>108</v>
      </c>
      <c r="J1978" s="81" t="n">
        <f aca="true">RAND()</f>
        <v>0.562642569945815</v>
      </c>
      <c r="K1978" s="83" t="n">
        <f aca="false">IF(J1978&lt;(Inputs!$E$18-Inputs!$D$18)/(Inputs!$F$18-Inputs!$D$18),Inputs!$D$18+SQRT(J1978*(Inputs!$F$18-Inputs!$D$18)*(Inputs!$E$18-Inputs!$D$18)),Inputs!$F$18-SQRT((1-J1978)*(Inputs!$F$18-Inputs!$D$18)*(Inputs!$F$18-Inputs!$E$18)))</f>
        <v>1.05437593417542</v>
      </c>
      <c r="L1978" s="81" t="n">
        <f aca="true">RAND()</f>
        <v>0.623713406941767</v>
      </c>
      <c r="M1978" s="83" t="n">
        <f aca="false">IF(L1978&lt;(Inputs!$E$24-Inputs!$D$24)/(Inputs!$F$24-Inputs!$D$24),Inputs!$D$24+SQRT(L1978*(Inputs!$F$24-Inputs!$D$24)*(Inputs!$E$24-Inputs!$D$24)),Inputs!$F$24-SQRT((1-L1978)*(Inputs!$F$24-Inputs!$D$24)*(Inputs!$F$24-Inputs!$E$24)))</f>
        <v>0.89948580344021</v>
      </c>
      <c r="N1978" s="81" t="n">
        <f aca="true">RAND()</f>
        <v>0.418326635378461</v>
      </c>
      <c r="O1978" s="83" t="n">
        <f aca="false">IF(N1978&lt;(Inputs!$E$26-Inputs!$D$26)/(Inputs!$F$26-Inputs!$D$26),Inputs!$D$26+SQRT(N1978*(Inputs!$F$26-Inputs!$D$26)*(Inputs!$E$26-Inputs!$D$26)),Inputs!$F$26-SQRT((1-N1978)*(Inputs!$F$26-Inputs!$D$26)*(Inputs!$F$26-Inputs!$E$26)))</f>
        <v>0.563836222166282</v>
      </c>
      <c r="P1978" s="81" t="n">
        <f aca="true">RAND()</f>
        <v>0.905382456808504</v>
      </c>
      <c r="Q1978" s="82" t="n">
        <f aca="false">IF(P1978&lt;(Inputs!$E$27-Inputs!$D$27)/(Inputs!$F$27-Inputs!$D$27),Inputs!$D$27+SQRT(P1978*(Inputs!$F$27-Inputs!$D$27)*(Inputs!$E$27-Inputs!$D$27)),Inputs!$F$27-SQRT((1-P1978)*(Inputs!$F$27-Inputs!$D$27)*(Inputs!$F$27-Inputs!$E$27)))</f>
        <v>123.361089100036</v>
      </c>
      <c r="R1978" s="81" t="n">
        <f aca="true">RAND()</f>
        <v>0.66378863328124</v>
      </c>
      <c r="S1978" s="82" t="n">
        <f aca="false">IF(R1978&lt;(Inputs!$E$29-Inputs!$D$29)/(Inputs!$F$29-Inputs!$D$29),Inputs!$D$29+SQRT(R1978*(Inputs!$F$29-Inputs!$D$29)*(Inputs!$E$29-Inputs!$D$29)),Inputs!$F$29-SQRT((1-R1978)*(Inputs!$F$29-Inputs!$D$29)*(Inputs!$F$29-Inputs!$E$29)))</f>
        <v>8.38883688951492</v>
      </c>
      <c r="T1978" s="68" t="n">
        <f aca="false">Inputs!$E$9*(1+E1978)+Inputs!$E$5*C1978*(Inputs!$E$11*Inputs!$E$14*(G1978*I1978/Inputs!$E$16+(1-G1978))*K1978+Inputs!$E$23*M1978)*(1+O1978)+Inputs!$E$5*(Q1978+S1978)</f>
        <v>6591.75551870191</v>
      </c>
    </row>
    <row r="1979" customFormat="false" ht="15" hidden="false" customHeight="false" outlineLevel="0" collapsed="false">
      <c r="A1979" s="1" t="n">
        <v>1975</v>
      </c>
      <c r="B1979" s="81" t="n">
        <f aca="true">RAND()</f>
        <v>0.817250832495483</v>
      </c>
      <c r="C1979" s="82" t="n">
        <f aca="false">ROUND(IF(B1979&lt;(Inputs!$E$8-Inputs!$D$8)/(Inputs!$F$8-Inputs!$D$8),Inputs!$D$8+SQRT(B1979*(Inputs!$F$8-Inputs!$D$8)*(Inputs!$E$8-Inputs!$D$8)),Inputs!$F$8-SQRT((1-B1979)*(Inputs!$F$8-Inputs!$D$8)*(Inputs!$F$8-Inputs!$E$8))),0)</f>
        <v>27</v>
      </c>
      <c r="D1979" s="81" t="n">
        <f aca="true">RAND()</f>
        <v>0.517911731294117</v>
      </c>
      <c r="E1979" s="83" t="n">
        <f aca="false">IF(D1979&lt;(Inputs!$E$10-Inputs!$D$10)/(Inputs!$F$10-Inputs!$D$10),Inputs!$D$10+SQRT(D1979*(Inputs!$F$10-Inputs!$D$10)*(Inputs!$E$10-Inputs!$D$10)),Inputs!$F$10-SQRT((1-D1979)*(Inputs!$F$10-Inputs!$D$10)*(Inputs!$F$10-Inputs!$E$10)))</f>
        <v>0.079739249706413</v>
      </c>
      <c r="F1979" s="81" t="n">
        <f aca="true">RAND()</f>
        <v>0.336736230869261</v>
      </c>
      <c r="G1979" s="83" t="n">
        <f aca="false">IF(F1979&lt;(Inputs!$E$15-Inputs!$D$15)/(Inputs!$F$15-Inputs!$D$15),Inputs!$D$15+SQRT(F1979*(Inputs!$F$15-Inputs!$D$15)*(Inputs!$E$15-Inputs!$D$15)),Inputs!$F$15-SQRT((1-F1979)*(Inputs!$F$15-Inputs!$D$15)*(Inputs!$F$15-Inputs!$E$15)))</f>
        <v>0.682065367953755</v>
      </c>
      <c r="H1979" s="81" t="n">
        <f aca="true">RAND()</f>
        <v>0.170917603872081</v>
      </c>
      <c r="I1979" s="82" t="n">
        <f aca="false">ROUND(IF(H1979&lt;(Inputs!$E$17-Inputs!$D$17)/(Inputs!$F$17-Inputs!$D$17),Inputs!$D$17+SQRT(H1979*(Inputs!$F$17-Inputs!$D$17)*(Inputs!$E$17-Inputs!$D$17)),Inputs!$F$17-SQRT((1-H1979)*(Inputs!$F$17-Inputs!$D$17)*(Inputs!$F$17-Inputs!$E$17))),0)</f>
        <v>104</v>
      </c>
      <c r="J1979" s="81" t="n">
        <f aca="true">RAND()</f>
        <v>0.725224599965491</v>
      </c>
      <c r="K1979" s="83" t="n">
        <f aca="false">IF(J1979&lt;(Inputs!$E$18-Inputs!$D$18)/(Inputs!$F$18-Inputs!$D$18),Inputs!$D$18+SQRT(J1979*(Inputs!$F$18-Inputs!$D$18)*(Inputs!$E$18-Inputs!$D$18)),Inputs!$F$18-SQRT((1-J1979)*(Inputs!$F$18-Inputs!$D$18)*(Inputs!$F$18-Inputs!$E$18)))</f>
        <v>1.09494243809791</v>
      </c>
      <c r="L1979" s="81" t="n">
        <f aca="true">RAND()</f>
        <v>0.655598673054517</v>
      </c>
      <c r="M1979" s="83" t="n">
        <f aca="false">IF(L1979&lt;(Inputs!$E$24-Inputs!$D$24)/(Inputs!$F$24-Inputs!$D$24),Inputs!$D$24+SQRT(L1979*(Inputs!$F$24-Inputs!$D$24)*(Inputs!$E$24-Inputs!$D$24)),Inputs!$F$24-SQRT((1-L1979)*(Inputs!$F$24-Inputs!$D$24)*(Inputs!$F$24-Inputs!$E$24)))</f>
        <v>0.912499880927128</v>
      </c>
      <c r="N1979" s="81" t="n">
        <f aca="true">RAND()</f>
        <v>0.467189717557734</v>
      </c>
      <c r="O1979" s="83" t="n">
        <f aca="false">IF(N1979&lt;(Inputs!$E$26-Inputs!$D$26)/(Inputs!$F$26-Inputs!$D$26),Inputs!$D$26+SQRT(N1979*(Inputs!$F$26-Inputs!$D$26)*(Inputs!$E$26-Inputs!$D$26)),Inputs!$F$26-SQRT((1-N1979)*(Inputs!$F$26-Inputs!$D$26)*(Inputs!$F$26-Inputs!$E$26)))</f>
        <v>0.578819599385709</v>
      </c>
      <c r="P1979" s="81" t="n">
        <f aca="true">RAND()</f>
        <v>0.592694094207032</v>
      </c>
      <c r="Q1979" s="82" t="n">
        <f aca="false">IF(P1979&lt;(Inputs!$E$27-Inputs!$D$27)/(Inputs!$F$27-Inputs!$D$27),Inputs!$D$27+SQRT(P1979*(Inputs!$F$27-Inputs!$D$27)*(Inputs!$E$27-Inputs!$D$27)),Inputs!$F$27-SQRT((1-P1979)*(Inputs!$F$27-Inputs!$D$27)*(Inputs!$F$27-Inputs!$E$27)))</f>
        <v>94.7298064645395</v>
      </c>
      <c r="R1979" s="81" t="n">
        <f aca="true">RAND()</f>
        <v>0.291363661600398</v>
      </c>
      <c r="S1979" s="82" t="n">
        <f aca="false">IF(R1979&lt;(Inputs!$E$29-Inputs!$D$29)/(Inputs!$F$29-Inputs!$D$29),Inputs!$D$29+SQRT(R1979*(Inputs!$F$29-Inputs!$D$29)*(Inputs!$E$29-Inputs!$D$29)),Inputs!$F$29-SQRT((1-R1979)*(Inputs!$F$29-Inputs!$D$29)*(Inputs!$F$29-Inputs!$E$29)))</f>
        <v>5.40194165510814</v>
      </c>
      <c r="T1979" s="68" t="n">
        <f aca="false">Inputs!$E$9*(1+E1979)+Inputs!$E$5*C1979*(Inputs!$E$11*Inputs!$E$14*(G1979*I1979/Inputs!$E$16+(1-G1979))*K1979+Inputs!$E$23*M1979)*(1+O1979)+Inputs!$E$5*(Q1979+S1979)</f>
        <v>6783.98098675275</v>
      </c>
    </row>
    <row r="1980" customFormat="false" ht="15" hidden="false" customHeight="false" outlineLevel="0" collapsed="false">
      <c r="A1980" s="1" t="n">
        <v>1976</v>
      </c>
      <c r="B1980" s="81" t="n">
        <f aca="true">RAND()</f>
        <v>0.976419868110603</v>
      </c>
      <c r="C1980" s="82" t="n">
        <f aca="false">ROUND(IF(B1980&lt;(Inputs!$E$8-Inputs!$D$8)/(Inputs!$F$8-Inputs!$D$8),Inputs!$D$8+SQRT(B1980*(Inputs!$F$8-Inputs!$D$8)*(Inputs!$E$8-Inputs!$D$8)),Inputs!$F$8-SQRT((1-B1980)*(Inputs!$F$8-Inputs!$D$8)*(Inputs!$F$8-Inputs!$E$8))),0)</f>
        <v>29</v>
      </c>
      <c r="D1980" s="81" t="n">
        <f aca="true">RAND()</f>
        <v>0.28528690894592</v>
      </c>
      <c r="E1980" s="83" t="n">
        <f aca="false">IF(D1980&lt;(Inputs!$E$10-Inputs!$D$10)/(Inputs!$F$10-Inputs!$D$10),Inputs!$D$10+SQRT(D1980*(Inputs!$F$10-Inputs!$D$10)*(Inputs!$E$10-Inputs!$D$10)),Inputs!$F$10-SQRT((1-D1980)*(Inputs!$F$10-Inputs!$D$10)*(Inputs!$F$10-Inputs!$E$10)))</f>
        <v>0.0535712025193733</v>
      </c>
      <c r="F1980" s="81" t="n">
        <f aca="true">RAND()</f>
        <v>0.737653286883412</v>
      </c>
      <c r="G1980" s="83" t="n">
        <f aca="false">IF(F1980&lt;(Inputs!$E$15-Inputs!$D$15)/(Inputs!$F$15-Inputs!$D$15),Inputs!$D$15+SQRT(F1980*(Inputs!$F$15-Inputs!$D$15)*(Inputs!$E$15-Inputs!$D$15)),Inputs!$F$15-SQRT((1-F1980)*(Inputs!$F$15-Inputs!$D$15)*(Inputs!$F$15-Inputs!$E$15)))</f>
        <v>0.727564274958196</v>
      </c>
      <c r="H1980" s="81" t="n">
        <f aca="true">RAND()</f>
        <v>0.203882700600375</v>
      </c>
      <c r="I1980" s="82" t="n">
        <f aca="false">ROUND(IF(H1980&lt;(Inputs!$E$17-Inputs!$D$17)/(Inputs!$F$17-Inputs!$D$17),Inputs!$D$17+SQRT(H1980*(Inputs!$F$17-Inputs!$D$17)*(Inputs!$E$17-Inputs!$D$17)),Inputs!$F$17-SQRT((1-H1980)*(Inputs!$F$17-Inputs!$D$17)*(Inputs!$F$17-Inputs!$E$17))),0)</f>
        <v>104</v>
      </c>
      <c r="J1980" s="81" t="n">
        <f aca="true">RAND()</f>
        <v>0.395668446737762</v>
      </c>
      <c r="K1980" s="83" t="n">
        <f aca="false">IF(J1980&lt;(Inputs!$E$18-Inputs!$D$18)/(Inputs!$F$18-Inputs!$D$18),Inputs!$D$18+SQRT(J1980*(Inputs!$F$18-Inputs!$D$18)*(Inputs!$E$18-Inputs!$D$18)),Inputs!$F$18-SQRT((1-J1980)*(Inputs!$F$18-Inputs!$D$18)*(Inputs!$F$18-Inputs!$E$18)))</f>
        <v>1.02004563298244</v>
      </c>
      <c r="L1980" s="81" t="n">
        <f aca="true">RAND()</f>
        <v>0.977662724862825</v>
      </c>
      <c r="M1980" s="83" t="n">
        <f aca="false">IF(L1980&lt;(Inputs!$E$24-Inputs!$D$24)/(Inputs!$F$24-Inputs!$D$24),Inputs!$D$24+SQRT(L1980*(Inputs!$F$24-Inputs!$D$24)*(Inputs!$E$24-Inputs!$D$24)),Inputs!$F$24-SQRT((1-L1980)*(Inputs!$F$24-Inputs!$D$24)*(Inputs!$F$24-Inputs!$E$24)))</f>
        <v>1.12678151850167</v>
      </c>
      <c r="N1980" s="81" t="n">
        <f aca="true">RAND()</f>
        <v>0.689698379047812</v>
      </c>
      <c r="O1980" s="83" t="n">
        <f aca="false">IF(N1980&lt;(Inputs!$E$26-Inputs!$D$26)/(Inputs!$F$26-Inputs!$D$26),Inputs!$D$26+SQRT(N1980*(Inputs!$F$26-Inputs!$D$26)*(Inputs!$E$26-Inputs!$D$26)),Inputs!$F$26-SQRT((1-N1980)*(Inputs!$F$26-Inputs!$D$26)*(Inputs!$F$26-Inputs!$E$26)))</f>
        <v>0.640357664847543</v>
      </c>
      <c r="P1980" s="81" t="n">
        <f aca="true">RAND()</f>
        <v>0.101204970401405</v>
      </c>
      <c r="Q1980" s="82" t="n">
        <f aca="false">IF(P1980&lt;(Inputs!$E$27-Inputs!$D$27)/(Inputs!$F$27-Inputs!$D$27),Inputs!$D$27+SQRT(P1980*(Inputs!$F$27-Inputs!$D$27)*(Inputs!$E$27-Inputs!$D$27)),Inputs!$F$27-SQRT((1-P1980)*(Inputs!$F$27-Inputs!$D$27)*(Inputs!$F$27-Inputs!$E$27)))</f>
        <v>65.9063643238646</v>
      </c>
      <c r="R1980" s="81" t="n">
        <f aca="true">RAND()</f>
        <v>0.344759287720899</v>
      </c>
      <c r="S1980" s="82" t="n">
        <f aca="false">IF(R1980&lt;(Inputs!$E$29-Inputs!$D$29)/(Inputs!$F$29-Inputs!$D$29),Inputs!$D$29+SQRT(R1980*(Inputs!$F$29-Inputs!$D$29)*(Inputs!$E$29-Inputs!$D$29)),Inputs!$F$29-SQRT((1-R1980)*(Inputs!$F$29-Inputs!$D$29)*(Inputs!$F$29-Inputs!$E$29)))</f>
        <v>5.77062880818617</v>
      </c>
      <c r="T1980" s="68" t="n">
        <f aca="false">Inputs!$E$9*(1+E1980)+Inputs!$E$5*C1980*(Inputs!$E$11*Inputs!$E$14*(G1980*I1980/Inputs!$E$16+(1-G1980))*K1980+Inputs!$E$23*M1980)*(1+O1980)+Inputs!$E$5*(Q1980+S1980)</f>
        <v>7133.73675382831</v>
      </c>
    </row>
    <row r="1981" customFormat="false" ht="15" hidden="false" customHeight="false" outlineLevel="0" collapsed="false">
      <c r="A1981" s="1" t="n">
        <v>1977</v>
      </c>
      <c r="B1981" s="81" t="n">
        <f aca="true">RAND()</f>
        <v>0.00862849711848087</v>
      </c>
      <c r="C1981" s="82" t="n">
        <f aca="false">ROUND(IF(B1981&lt;(Inputs!$E$8-Inputs!$D$8)/(Inputs!$F$8-Inputs!$D$8),Inputs!$D$8+SQRT(B1981*(Inputs!$F$8-Inputs!$D$8)*(Inputs!$E$8-Inputs!$D$8)),Inputs!$F$8-SQRT((1-B1981)*(Inputs!$F$8-Inputs!$D$8)*(Inputs!$F$8-Inputs!$E$8))),0)</f>
        <v>21</v>
      </c>
      <c r="D1981" s="81" t="n">
        <f aca="true">RAND()</f>
        <v>0.956179565165365</v>
      </c>
      <c r="E1981" s="83" t="n">
        <f aca="false">IF(D1981&lt;(Inputs!$E$10-Inputs!$D$10)/(Inputs!$F$10-Inputs!$D$10),Inputs!$D$10+SQRT(D1981*(Inputs!$F$10-Inputs!$D$10)*(Inputs!$E$10-Inputs!$D$10)),Inputs!$F$10-SQRT((1-D1981)*(Inputs!$F$10-Inputs!$D$10)*(Inputs!$F$10-Inputs!$E$10)))</f>
        <v>0.163742407070531</v>
      </c>
      <c r="F1981" s="81" t="n">
        <f aca="true">RAND()</f>
        <v>0.608229859038493</v>
      </c>
      <c r="G1981" s="83" t="n">
        <f aca="false">IF(F1981&lt;(Inputs!$E$15-Inputs!$D$15)/(Inputs!$F$15-Inputs!$D$15),Inputs!$D$15+SQRT(F1981*(Inputs!$F$15-Inputs!$D$15)*(Inputs!$E$15-Inputs!$D$15)),Inputs!$F$15-SQRT((1-F1981)*(Inputs!$F$15-Inputs!$D$15)*(Inputs!$F$15-Inputs!$E$15)))</f>
        <v>0.711482189254195</v>
      </c>
      <c r="H1981" s="81" t="n">
        <f aca="true">RAND()</f>
        <v>0.755503484818623</v>
      </c>
      <c r="I1981" s="82" t="n">
        <f aca="false">ROUND(IF(H1981&lt;(Inputs!$E$17-Inputs!$D$17)/(Inputs!$F$17-Inputs!$D$17),Inputs!$D$17+SQRT(H1981*(Inputs!$F$17-Inputs!$D$17)*(Inputs!$E$17-Inputs!$D$17)),Inputs!$F$17-SQRT((1-H1981)*(Inputs!$F$17-Inputs!$D$17)*(Inputs!$F$17-Inputs!$E$17))),0)</f>
        <v>109</v>
      </c>
      <c r="J1981" s="81" t="n">
        <f aca="true">RAND()</f>
        <v>0.299398652344701</v>
      </c>
      <c r="K1981" s="83" t="n">
        <f aca="false">IF(J1981&lt;(Inputs!$E$18-Inputs!$D$18)/(Inputs!$F$18-Inputs!$D$18),Inputs!$D$18+SQRT(J1981*(Inputs!$F$18-Inputs!$D$18)*(Inputs!$E$18-Inputs!$D$18)),Inputs!$F$18-SQRT((1-J1981)*(Inputs!$F$18-Inputs!$D$18)*(Inputs!$F$18-Inputs!$E$18)))</f>
        <v>1.00240634515433</v>
      </c>
      <c r="L1981" s="81" t="n">
        <f aca="true">RAND()</f>
        <v>0.330668569859314</v>
      </c>
      <c r="M1981" s="83" t="n">
        <f aca="false">IF(L1981&lt;(Inputs!$E$24-Inputs!$D$24)/(Inputs!$F$24-Inputs!$D$24),Inputs!$D$24+SQRT(L1981*(Inputs!$F$24-Inputs!$D$24)*(Inputs!$E$24-Inputs!$D$24)),Inputs!$F$24-SQRT((1-L1981)*(Inputs!$F$24-Inputs!$D$24)*(Inputs!$F$24-Inputs!$E$24)))</f>
        <v>0.799198966822415</v>
      </c>
      <c r="N1981" s="81" t="n">
        <f aca="true">RAND()</f>
        <v>0.717958365836265</v>
      </c>
      <c r="O1981" s="83" t="n">
        <f aca="false">IF(N1981&lt;(Inputs!$E$26-Inputs!$D$26)/(Inputs!$F$26-Inputs!$D$26),Inputs!$D$26+SQRT(N1981*(Inputs!$F$26-Inputs!$D$26)*(Inputs!$E$26-Inputs!$D$26)),Inputs!$F$26-SQRT((1-N1981)*(Inputs!$F$26-Inputs!$D$26)*(Inputs!$F$26-Inputs!$E$26)))</f>
        <v>0.64873316154892</v>
      </c>
      <c r="P1981" s="81" t="n">
        <f aca="true">RAND()</f>
        <v>0.931690769441671</v>
      </c>
      <c r="Q1981" s="82" t="n">
        <f aca="false">IF(P1981&lt;(Inputs!$E$27-Inputs!$D$27)/(Inputs!$F$27-Inputs!$D$27),Inputs!$D$27+SQRT(P1981*(Inputs!$F$27-Inputs!$D$27)*(Inputs!$E$27-Inputs!$D$27)),Inputs!$F$27-SQRT((1-P1981)*(Inputs!$F$27-Inputs!$D$27)*(Inputs!$F$27-Inputs!$E$27)))</f>
        <v>127.365530066125</v>
      </c>
      <c r="R1981" s="81" t="n">
        <f aca="true">RAND()</f>
        <v>0.0175632437512479</v>
      </c>
      <c r="S1981" s="82" t="n">
        <f aca="false">IF(R1981&lt;(Inputs!$E$29-Inputs!$D$29)/(Inputs!$F$29-Inputs!$D$29),Inputs!$D$29+SQRT(R1981*(Inputs!$F$29-Inputs!$D$29)*(Inputs!$E$29-Inputs!$D$29)),Inputs!$F$29-SQRT((1-R1981)*(Inputs!$F$29-Inputs!$D$29)*(Inputs!$F$29-Inputs!$E$29)))</f>
        <v>2.82762703333003</v>
      </c>
      <c r="T1981" s="68" t="n">
        <f aca="false">Inputs!$E$9*(1+E1981)+Inputs!$E$5*C1981*(Inputs!$E$11*Inputs!$E$14*(G1981*I1981/Inputs!$E$16+(1-G1981))*K1981+Inputs!$E$23*M1981)*(1+O1981)+Inputs!$E$5*(Q1981+S1981)</f>
        <v>6089.32746053473</v>
      </c>
    </row>
    <row r="1982" customFormat="false" ht="15" hidden="false" customHeight="false" outlineLevel="0" collapsed="false">
      <c r="A1982" s="1" t="n">
        <v>1978</v>
      </c>
      <c r="B1982" s="81" t="n">
        <f aca="true">RAND()</f>
        <v>0.415744137601871</v>
      </c>
      <c r="C1982" s="82" t="n">
        <f aca="false">ROUND(IF(B1982&lt;(Inputs!$E$8-Inputs!$D$8)/(Inputs!$F$8-Inputs!$D$8),Inputs!$D$8+SQRT(B1982*(Inputs!$F$8-Inputs!$D$8)*(Inputs!$E$8-Inputs!$D$8)),Inputs!$F$8-SQRT((1-B1982)*(Inputs!$F$8-Inputs!$D$8)*(Inputs!$F$8-Inputs!$E$8))),0)</f>
        <v>25</v>
      </c>
      <c r="D1982" s="81" t="n">
        <f aca="true">RAND()</f>
        <v>0.184791476609956</v>
      </c>
      <c r="E1982" s="83" t="n">
        <f aca="false">IF(D1982&lt;(Inputs!$E$10-Inputs!$D$10)/(Inputs!$F$10-Inputs!$D$10),Inputs!$D$10+SQRT(D1982*(Inputs!$F$10-Inputs!$D$10)*(Inputs!$E$10-Inputs!$D$10)),Inputs!$F$10-SQRT((1-D1982)*(Inputs!$F$10-Inputs!$D$10)*(Inputs!$F$10-Inputs!$E$10)))</f>
        <v>0.0429873791489963</v>
      </c>
      <c r="F1982" s="81" t="n">
        <f aca="true">RAND()</f>
        <v>0.173773142116599</v>
      </c>
      <c r="G1982" s="83" t="n">
        <f aca="false">IF(F1982&lt;(Inputs!$E$15-Inputs!$D$15)/(Inputs!$F$15-Inputs!$D$15),Inputs!$D$15+SQRT(F1982*(Inputs!$F$15-Inputs!$D$15)*(Inputs!$E$15-Inputs!$D$15)),Inputs!$F$15-SQRT((1-F1982)*(Inputs!$F$15-Inputs!$D$15)*(Inputs!$F$15-Inputs!$E$15)))</f>
        <v>0.658953056259468</v>
      </c>
      <c r="H1982" s="81" t="n">
        <f aca="true">RAND()</f>
        <v>0.438879603395299</v>
      </c>
      <c r="I1982" s="82" t="n">
        <f aca="false">ROUND(IF(H1982&lt;(Inputs!$E$17-Inputs!$D$17)/(Inputs!$F$17-Inputs!$D$17),Inputs!$D$17+SQRT(H1982*(Inputs!$F$17-Inputs!$D$17)*(Inputs!$E$17-Inputs!$D$17)),Inputs!$F$17-SQRT((1-H1982)*(Inputs!$F$17-Inputs!$D$17)*(Inputs!$F$17-Inputs!$E$17))),0)</f>
        <v>106</v>
      </c>
      <c r="J1982" s="81" t="n">
        <f aca="true">RAND()</f>
        <v>0.848652985558195</v>
      </c>
      <c r="K1982" s="83" t="n">
        <f aca="false">IF(J1982&lt;(Inputs!$E$18-Inputs!$D$18)/(Inputs!$F$18-Inputs!$D$18),Inputs!$D$18+SQRT(J1982*(Inputs!$F$18-Inputs!$D$18)*(Inputs!$E$18-Inputs!$D$18)),Inputs!$F$18-SQRT((1-J1982)*(Inputs!$F$18-Inputs!$D$18)*(Inputs!$F$18-Inputs!$E$18)))</f>
        <v>1.13492235767249</v>
      </c>
      <c r="L1982" s="81" t="n">
        <f aca="true">RAND()</f>
        <v>0.699429770658409</v>
      </c>
      <c r="M1982" s="83" t="n">
        <f aca="false">IF(L1982&lt;(Inputs!$E$24-Inputs!$D$24)/(Inputs!$F$24-Inputs!$D$24),Inputs!$D$24+SQRT(L1982*(Inputs!$F$24-Inputs!$D$24)*(Inputs!$E$24-Inputs!$D$24)),Inputs!$F$24-SQRT((1-L1982)*(Inputs!$F$24-Inputs!$D$24)*(Inputs!$F$24-Inputs!$E$24)))</f>
        <v>0.931416949451419</v>
      </c>
      <c r="N1982" s="81" t="n">
        <f aca="true">RAND()</f>
        <v>0.0558240526298315</v>
      </c>
      <c r="O1982" s="83" t="n">
        <f aca="false">IF(N1982&lt;(Inputs!$E$26-Inputs!$D$26)/(Inputs!$F$26-Inputs!$D$26),Inputs!$D$26+SQRT(N1982*(Inputs!$F$26-Inputs!$D$26)*(Inputs!$E$26-Inputs!$D$26)),Inputs!$F$26-SQRT((1-N1982)*(Inputs!$F$26-Inputs!$D$26)*(Inputs!$F$26-Inputs!$E$26)))</f>
        <v>0.396380093160382</v>
      </c>
      <c r="P1982" s="81" t="n">
        <f aca="true">RAND()</f>
        <v>0.37719272721679</v>
      </c>
      <c r="Q1982" s="82" t="n">
        <f aca="false">IF(P1982&lt;(Inputs!$E$27-Inputs!$D$27)/(Inputs!$F$27-Inputs!$D$27),Inputs!$D$27+SQRT(P1982*(Inputs!$F$27-Inputs!$D$27)*(Inputs!$E$27-Inputs!$D$27)),Inputs!$F$27-SQRT((1-P1982)*(Inputs!$F$27-Inputs!$D$27)*(Inputs!$F$27-Inputs!$E$27)))</f>
        <v>81.6548864521093</v>
      </c>
      <c r="R1982" s="81" t="n">
        <f aca="true">RAND()</f>
        <v>0.518829257400456</v>
      </c>
      <c r="S1982" s="82" t="n">
        <f aca="false">IF(R1982&lt;(Inputs!$E$29-Inputs!$D$29)/(Inputs!$F$29-Inputs!$D$29),Inputs!$D$29+SQRT(R1982*(Inputs!$F$29-Inputs!$D$29)*(Inputs!$E$29-Inputs!$D$29)),Inputs!$F$29-SQRT((1-R1982)*(Inputs!$F$29-Inputs!$D$29)*(Inputs!$F$29-Inputs!$E$29)))</f>
        <v>7.09100533961865</v>
      </c>
      <c r="T1982" s="68" t="n">
        <f aca="false">Inputs!$E$9*(1+E1982)+Inputs!$E$5*C1982*(Inputs!$E$11*Inputs!$E$14*(G1982*I1982/Inputs!$E$16+(1-G1982))*K1982+Inputs!$E$23*M1982)*(1+O1982)+Inputs!$E$5*(Q1982+S1982)</f>
        <v>6090.14176959841</v>
      </c>
    </row>
    <row r="1983" customFormat="false" ht="15" hidden="false" customHeight="false" outlineLevel="0" collapsed="false">
      <c r="A1983" s="1" t="n">
        <v>1979</v>
      </c>
      <c r="B1983" s="81" t="n">
        <f aca="true">RAND()</f>
        <v>0.563656739976918</v>
      </c>
      <c r="C1983" s="82" t="n">
        <f aca="false">ROUND(IF(B1983&lt;(Inputs!$E$8-Inputs!$D$8)/(Inputs!$F$8-Inputs!$D$8),Inputs!$D$8+SQRT(B1983*(Inputs!$F$8-Inputs!$D$8)*(Inputs!$E$8-Inputs!$D$8)),Inputs!$F$8-SQRT((1-B1983)*(Inputs!$F$8-Inputs!$D$8)*(Inputs!$F$8-Inputs!$E$8))),0)</f>
        <v>25</v>
      </c>
      <c r="D1983" s="81" t="n">
        <f aca="true">RAND()</f>
        <v>0.748017708181395</v>
      </c>
      <c r="E1983" s="83" t="n">
        <f aca="false">IF(D1983&lt;(Inputs!$E$10-Inputs!$D$10)/(Inputs!$F$10-Inputs!$D$10),Inputs!$D$10+SQRT(D1983*(Inputs!$F$10-Inputs!$D$10)*(Inputs!$E$10-Inputs!$D$10)),Inputs!$F$10-SQRT((1-D1983)*(Inputs!$F$10-Inputs!$D$10)*(Inputs!$F$10-Inputs!$E$10)))</f>
        <v>0.113054794528058</v>
      </c>
      <c r="F1983" s="81" t="n">
        <f aca="true">RAND()</f>
        <v>0.640796862895685</v>
      </c>
      <c r="G1983" s="83" t="n">
        <f aca="false">IF(F1983&lt;(Inputs!$E$15-Inputs!$D$15)/(Inputs!$F$15-Inputs!$D$15),Inputs!$D$15+SQRT(F1983*(Inputs!$F$15-Inputs!$D$15)*(Inputs!$E$15-Inputs!$D$15)),Inputs!$F$15-SQRT((1-F1983)*(Inputs!$F$15-Inputs!$D$15)*(Inputs!$F$15-Inputs!$E$15)))</f>
        <v>0.715241149476374</v>
      </c>
      <c r="H1983" s="81" t="n">
        <f aca="true">RAND()</f>
        <v>0.778769762268269</v>
      </c>
      <c r="I1983" s="82" t="n">
        <f aca="false">ROUND(IF(H1983&lt;(Inputs!$E$17-Inputs!$D$17)/(Inputs!$F$17-Inputs!$D$17),Inputs!$D$17+SQRT(H1983*(Inputs!$F$17-Inputs!$D$17)*(Inputs!$E$17-Inputs!$D$17)),Inputs!$F$17-SQRT((1-H1983)*(Inputs!$F$17-Inputs!$D$17)*(Inputs!$F$17-Inputs!$E$17))),0)</f>
        <v>109</v>
      </c>
      <c r="J1983" s="81" t="n">
        <f aca="true">RAND()</f>
        <v>0.589444393330612</v>
      </c>
      <c r="K1983" s="83" t="n">
        <f aca="false">IF(J1983&lt;(Inputs!$E$18-Inputs!$D$18)/(Inputs!$F$18-Inputs!$D$18),Inputs!$D$18+SQRT(J1983*(Inputs!$F$18-Inputs!$D$18)*(Inputs!$E$18-Inputs!$D$18)),Inputs!$F$18-SQRT((1-J1983)*(Inputs!$F$18-Inputs!$D$18)*(Inputs!$F$18-Inputs!$E$18)))</f>
        <v>1.06046473788877</v>
      </c>
      <c r="L1983" s="81" t="n">
        <f aca="true">RAND()</f>
        <v>0.416958317571134</v>
      </c>
      <c r="M1983" s="83" t="n">
        <f aca="false">IF(L1983&lt;(Inputs!$E$24-Inputs!$D$24)/(Inputs!$F$24-Inputs!$D$24),Inputs!$D$24+SQRT(L1983*(Inputs!$F$24-Inputs!$D$24)*(Inputs!$E$24-Inputs!$D$24)),Inputs!$F$24-SQRT((1-L1983)*(Inputs!$F$24-Inputs!$D$24)*(Inputs!$F$24-Inputs!$E$24)))</f>
        <v>0.825927809396464</v>
      </c>
      <c r="N1983" s="81" t="n">
        <f aca="true">RAND()</f>
        <v>0.0647974226647343</v>
      </c>
      <c r="O1983" s="83" t="n">
        <f aca="false">IF(N1983&lt;(Inputs!$E$26-Inputs!$D$26)/(Inputs!$F$26-Inputs!$D$26),Inputs!$D$26+SQRT(N1983*(Inputs!$F$26-Inputs!$D$26)*(Inputs!$E$26-Inputs!$D$26)),Inputs!$F$26-SQRT((1-N1983)*(Inputs!$F$26-Inputs!$D$26)*(Inputs!$F$26-Inputs!$E$26)))</f>
        <v>0.403837811665172</v>
      </c>
      <c r="P1983" s="81" t="n">
        <f aca="true">RAND()</f>
        <v>0.122734840342175</v>
      </c>
      <c r="Q1983" s="82" t="n">
        <f aca="false">IF(P1983&lt;(Inputs!$E$27-Inputs!$D$27)/(Inputs!$F$27-Inputs!$D$27),Inputs!$D$27+SQRT(P1983*(Inputs!$F$27-Inputs!$D$27)*(Inputs!$E$27-Inputs!$D$27)),Inputs!$F$27-SQRT((1-P1983)*(Inputs!$F$27-Inputs!$D$27)*(Inputs!$F$27-Inputs!$E$27)))</f>
        <v>67.5167662784955</v>
      </c>
      <c r="R1983" s="81" t="n">
        <f aca="true">RAND()</f>
        <v>0.443375916468298</v>
      </c>
      <c r="S1983" s="82" t="n">
        <f aca="false">IF(R1983&lt;(Inputs!$E$29-Inputs!$D$29)/(Inputs!$F$29-Inputs!$D$29),Inputs!$D$29+SQRT(R1983*(Inputs!$F$29-Inputs!$D$29)*(Inputs!$E$29-Inputs!$D$29)),Inputs!$F$29-SQRT((1-R1983)*(Inputs!$F$29-Inputs!$D$29)*(Inputs!$F$29-Inputs!$E$29)))</f>
        <v>6.4934654024614</v>
      </c>
      <c r="T1983" s="68" t="n">
        <f aca="false">Inputs!$E$9*(1+E1983)+Inputs!$E$5*C1983*(Inputs!$E$11*Inputs!$E$14*(G1983*I1983/Inputs!$E$16+(1-G1983))*K1983+Inputs!$E$23*M1983)*(1+O1983)+Inputs!$E$5*(Q1983+S1983)</f>
        <v>5876.2549971103</v>
      </c>
    </row>
    <row r="1984" customFormat="false" ht="15" hidden="false" customHeight="false" outlineLevel="0" collapsed="false">
      <c r="A1984" s="1" t="n">
        <v>1980</v>
      </c>
      <c r="B1984" s="81" t="n">
        <f aca="true">RAND()</f>
        <v>0.458172096011838</v>
      </c>
      <c r="C1984" s="82" t="n">
        <f aca="false">ROUND(IF(B1984&lt;(Inputs!$E$8-Inputs!$D$8)/(Inputs!$F$8-Inputs!$D$8),Inputs!$D$8+SQRT(B1984*(Inputs!$F$8-Inputs!$D$8)*(Inputs!$E$8-Inputs!$D$8)),Inputs!$F$8-SQRT((1-B1984)*(Inputs!$F$8-Inputs!$D$8)*(Inputs!$F$8-Inputs!$E$8))),0)</f>
        <v>25</v>
      </c>
      <c r="D1984" s="81" t="n">
        <f aca="true">RAND()</f>
        <v>0.826669679709457</v>
      </c>
      <c r="E1984" s="83" t="n">
        <f aca="false">IF(D1984&lt;(Inputs!$E$10-Inputs!$D$10)/(Inputs!$F$10-Inputs!$D$10),Inputs!$D$10+SQRT(D1984*(Inputs!$F$10-Inputs!$D$10)*(Inputs!$E$10-Inputs!$D$10)),Inputs!$F$10-SQRT((1-D1984)*(Inputs!$F$10-Inputs!$D$10)*(Inputs!$F$10-Inputs!$E$10)))</f>
        <v>0.127889601244229</v>
      </c>
      <c r="F1984" s="81" t="n">
        <f aca="true">RAND()</f>
        <v>0.798972847601087</v>
      </c>
      <c r="G1984" s="83" t="n">
        <f aca="false">IF(F1984&lt;(Inputs!$E$15-Inputs!$D$15)/(Inputs!$F$15-Inputs!$D$15),Inputs!$D$15+SQRT(F1984*(Inputs!$F$15-Inputs!$D$15)*(Inputs!$E$15-Inputs!$D$15)),Inputs!$F$15-SQRT((1-F1984)*(Inputs!$F$15-Inputs!$D$15)*(Inputs!$F$15-Inputs!$E$15)))</f>
        <v>0.736592247729649</v>
      </c>
      <c r="H1984" s="81" t="n">
        <f aca="true">RAND()</f>
        <v>0.00600009989570614</v>
      </c>
      <c r="I1984" s="82" t="n">
        <f aca="false">ROUND(IF(H1984&lt;(Inputs!$E$17-Inputs!$D$17)/(Inputs!$F$17-Inputs!$D$17),Inputs!$D$17+SQRT(H1984*(Inputs!$F$17-Inputs!$D$17)*(Inputs!$E$17-Inputs!$D$17)),Inputs!$F$17-SQRT((1-H1984)*(Inputs!$F$17-Inputs!$D$17)*(Inputs!$F$17-Inputs!$E$17))),0)</f>
        <v>101</v>
      </c>
      <c r="J1984" s="81" t="n">
        <f aca="true">RAND()</f>
        <v>0.692190573686393</v>
      </c>
      <c r="K1984" s="83" t="n">
        <f aca="false">IF(J1984&lt;(Inputs!$E$18-Inputs!$D$18)/(Inputs!$F$18-Inputs!$D$18),Inputs!$D$18+SQRT(J1984*(Inputs!$F$18-Inputs!$D$18)*(Inputs!$E$18-Inputs!$D$18)),Inputs!$F$18-SQRT((1-J1984)*(Inputs!$F$18-Inputs!$D$18)*(Inputs!$F$18-Inputs!$E$18)))</f>
        <v>1.08588624432291</v>
      </c>
      <c r="L1984" s="81" t="n">
        <f aca="true">RAND()</f>
        <v>0.484707998863568</v>
      </c>
      <c r="M1984" s="83" t="n">
        <f aca="false">IF(L1984&lt;(Inputs!$E$24-Inputs!$D$24)/(Inputs!$F$24-Inputs!$D$24),Inputs!$D$24+SQRT(L1984*(Inputs!$F$24-Inputs!$D$24)*(Inputs!$E$24-Inputs!$D$24)),Inputs!$F$24-SQRT((1-L1984)*(Inputs!$F$24-Inputs!$D$24)*(Inputs!$F$24-Inputs!$E$24)))</f>
        <v>0.848332429313217</v>
      </c>
      <c r="N1984" s="81" t="n">
        <f aca="true">RAND()</f>
        <v>0.518348032128788</v>
      </c>
      <c r="O1984" s="83" t="n">
        <f aca="false">IF(N1984&lt;(Inputs!$E$26-Inputs!$D$26)/(Inputs!$F$26-Inputs!$D$26),Inputs!$D$26+SQRT(N1984*(Inputs!$F$26-Inputs!$D$26)*(Inputs!$E$26-Inputs!$D$26)),Inputs!$F$26-SQRT((1-N1984)*(Inputs!$F$26-Inputs!$D$26)*(Inputs!$F$26-Inputs!$E$26)))</f>
        <v>0.593688802214573</v>
      </c>
      <c r="P1984" s="81" t="n">
        <f aca="true">RAND()</f>
        <v>0.493951797486984</v>
      </c>
      <c r="Q1984" s="82" t="n">
        <f aca="false">IF(P1984&lt;(Inputs!$E$27-Inputs!$D$27)/(Inputs!$F$27-Inputs!$D$27),Inputs!$D$27+SQRT(P1984*(Inputs!$F$27-Inputs!$D$27)*(Inputs!$E$27-Inputs!$D$27)),Inputs!$F$27-SQRT((1-P1984)*(Inputs!$F$27-Inputs!$D$27)*(Inputs!$F$27-Inputs!$E$27)))</f>
        <v>88.3934945087159</v>
      </c>
      <c r="R1984" s="81" t="n">
        <f aca="true">RAND()</f>
        <v>0.995362897392043</v>
      </c>
      <c r="S1984" s="82" t="n">
        <f aca="false">IF(R1984&lt;(Inputs!$E$29-Inputs!$D$29)/(Inputs!$F$29-Inputs!$D$29),Inputs!$D$29+SQRT(R1984*(Inputs!$F$29-Inputs!$D$29)*(Inputs!$E$29-Inputs!$D$29)),Inputs!$F$29-SQRT((1-R1984)*(Inputs!$F$29-Inputs!$D$29)*(Inputs!$F$29-Inputs!$E$29)))</f>
        <v>14.2235830121421</v>
      </c>
      <c r="T1984" s="68" t="n">
        <f aca="false">Inputs!$E$9*(1+E1984)+Inputs!$E$5*C1984*(Inputs!$E$11*Inputs!$E$14*(G1984*I1984/Inputs!$E$16+(1-G1984))*K1984+Inputs!$E$23*M1984)*(1+O1984)+Inputs!$E$5*(Q1984+S1984)</f>
        <v>6416.96437256217</v>
      </c>
    </row>
    <row r="1985" customFormat="false" ht="15" hidden="false" customHeight="false" outlineLevel="0" collapsed="false">
      <c r="A1985" s="1" t="n">
        <v>1981</v>
      </c>
      <c r="B1985" s="81" t="n">
        <f aca="true">RAND()</f>
        <v>0.132251404265801</v>
      </c>
      <c r="C1985" s="82" t="n">
        <f aca="false">ROUND(IF(B1985&lt;(Inputs!$E$8-Inputs!$D$8)/(Inputs!$F$8-Inputs!$D$8),Inputs!$D$8+SQRT(B1985*(Inputs!$F$8-Inputs!$D$8)*(Inputs!$E$8-Inputs!$D$8)),Inputs!$F$8-SQRT((1-B1985)*(Inputs!$F$8-Inputs!$D$8)*(Inputs!$F$8-Inputs!$E$8))),0)</f>
        <v>23</v>
      </c>
      <c r="D1985" s="81" t="n">
        <f aca="true">RAND()</f>
        <v>0.472983942505534</v>
      </c>
      <c r="E1985" s="83" t="n">
        <f aca="false">IF(D1985&lt;(Inputs!$E$10-Inputs!$D$10)/(Inputs!$F$10-Inputs!$D$10),Inputs!$D$10+SQRT(D1985*(Inputs!$F$10-Inputs!$D$10)*(Inputs!$E$10-Inputs!$D$10)),Inputs!$F$10-SQRT((1-D1985)*(Inputs!$F$10-Inputs!$D$10)*(Inputs!$F$10-Inputs!$E$10)))</f>
        <v>0.0742602619501935</v>
      </c>
      <c r="F1985" s="81" t="n">
        <f aca="true">RAND()</f>
        <v>0.401952160648893</v>
      </c>
      <c r="G1985" s="83" t="n">
        <f aca="false">IF(F1985&lt;(Inputs!$E$15-Inputs!$D$15)/(Inputs!$F$15-Inputs!$D$15),Inputs!$D$15+SQRT(F1985*(Inputs!$F$15-Inputs!$D$15)*(Inputs!$E$15-Inputs!$D$15)),Inputs!$F$15-SQRT((1-F1985)*(Inputs!$F$15-Inputs!$D$15)*(Inputs!$F$15-Inputs!$E$15)))</f>
        <v>0.689660711646617</v>
      </c>
      <c r="H1985" s="81" t="n">
        <f aca="true">RAND()</f>
        <v>0.951279877875777</v>
      </c>
      <c r="I1985" s="82" t="n">
        <f aca="false">ROUND(IF(H1985&lt;(Inputs!$E$17-Inputs!$D$17)/(Inputs!$F$17-Inputs!$D$17),Inputs!$D$17+SQRT(H1985*(Inputs!$F$17-Inputs!$D$17)*(Inputs!$E$17-Inputs!$D$17)),Inputs!$F$17-SQRT((1-H1985)*(Inputs!$F$17-Inputs!$D$17)*(Inputs!$F$17-Inputs!$E$17))),0)</f>
        <v>112</v>
      </c>
      <c r="J1985" s="81" t="n">
        <f aca="true">RAND()</f>
        <v>0.288069785880381</v>
      </c>
      <c r="K1985" s="83" t="n">
        <f aca="false">IF(J1985&lt;(Inputs!$E$18-Inputs!$D$18)/(Inputs!$F$18-Inputs!$D$18),Inputs!$D$18+SQRT(J1985*(Inputs!$F$18-Inputs!$D$18)*(Inputs!$E$18-Inputs!$D$18)),Inputs!$F$18-SQRT((1-J1985)*(Inputs!$F$18-Inputs!$D$18)*(Inputs!$F$18-Inputs!$E$18)))</f>
        <v>1.00041255292891</v>
      </c>
      <c r="L1985" s="81" t="n">
        <f aca="true">RAND()</f>
        <v>0.283928977465637</v>
      </c>
      <c r="M1985" s="83" t="n">
        <f aca="false">IF(L1985&lt;(Inputs!$E$24-Inputs!$D$24)/(Inputs!$F$24-Inputs!$D$24),Inputs!$D$24+SQRT(L1985*(Inputs!$F$24-Inputs!$D$24)*(Inputs!$E$24-Inputs!$D$24)),Inputs!$F$24-SQRT((1-L1985)*(Inputs!$F$24-Inputs!$D$24)*(Inputs!$F$24-Inputs!$E$24)))</f>
        <v>0.784584607418594</v>
      </c>
      <c r="N1985" s="81" t="n">
        <f aca="true">RAND()</f>
        <v>0.560068784724955</v>
      </c>
      <c r="O1985" s="83" t="n">
        <f aca="false">IF(N1985&lt;(Inputs!$E$26-Inputs!$D$26)/(Inputs!$F$26-Inputs!$D$26),Inputs!$D$26+SQRT(N1985*(Inputs!$F$26-Inputs!$D$26)*(Inputs!$E$26-Inputs!$D$26)),Inputs!$F$26-SQRT((1-N1985)*(Inputs!$F$26-Inputs!$D$26)*(Inputs!$F$26-Inputs!$E$26)))</f>
        <v>0.605279291433652</v>
      </c>
      <c r="P1985" s="81" t="n">
        <f aca="true">RAND()</f>
        <v>0.0577452273695337</v>
      </c>
      <c r="Q1985" s="82" t="n">
        <f aca="false">IF(P1985&lt;(Inputs!$E$27-Inputs!$D$27)/(Inputs!$F$27-Inputs!$D$27),Inputs!$D$27+SQRT(P1985*(Inputs!$F$27-Inputs!$D$27)*(Inputs!$E$27-Inputs!$D$27)),Inputs!$F$27-SQRT((1-P1985)*(Inputs!$F$27-Inputs!$D$27)*(Inputs!$F$27-Inputs!$E$27)))</f>
        <v>62.0151183275003</v>
      </c>
      <c r="R1985" s="81" t="n">
        <f aca="true">RAND()</f>
        <v>0.0712973270354503</v>
      </c>
      <c r="S1985" s="82" t="n">
        <f aca="false">IF(R1985&lt;(Inputs!$E$29-Inputs!$D$29)/(Inputs!$F$29-Inputs!$D$29),Inputs!$D$29+SQRT(R1985*(Inputs!$F$29-Inputs!$D$29)*(Inputs!$E$29-Inputs!$D$29)),Inputs!$F$29-SQRT((1-R1985)*(Inputs!$F$29-Inputs!$D$29)*(Inputs!$F$29-Inputs!$E$29)))</f>
        <v>3.66751184535</v>
      </c>
      <c r="T1985" s="68" t="n">
        <f aca="false">Inputs!$E$9*(1+E1985)+Inputs!$E$5*C1985*(Inputs!$E$11*Inputs!$E$14*(G1985*I1985/Inputs!$E$16+(1-G1985))*K1985+Inputs!$E$23*M1985)*(1+O1985)+Inputs!$E$5*(Q1985+S1985)</f>
        <v>5795.00556669407</v>
      </c>
    </row>
    <row r="1986" customFormat="false" ht="15" hidden="false" customHeight="false" outlineLevel="0" collapsed="false">
      <c r="A1986" s="1" t="n">
        <v>1982</v>
      </c>
      <c r="B1986" s="81" t="n">
        <f aca="true">RAND()</f>
        <v>0.161761332638809</v>
      </c>
      <c r="C1986" s="82" t="n">
        <f aca="false">ROUND(IF(B1986&lt;(Inputs!$E$8-Inputs!$D$8)/(Inputs!$F$8-Inputs!$D$8),Inputs!$D$8+SQRT(B1986*(Inputs!$F$8-Inputs!$D$8)*(Inputs!$E$8-Inputs!$D$8)),Inputs!$F$8-SQRT((1-B1986)*(Inputs!$F$8-Inputs!$D$8)*(Inputs!$F$8-Inputs!$E$8))),0)</f>
        <v>23</v>
      </c>
      <c r="D1986" s="81" t="n">
        <f aca="true">RAND()</f>
        <v>0.552598391352848</v>
      </c>
      <c r="E1986" s="83" t="n">
        <f aca="false">IF(D1986&lt;(Inputs!$E$10-Inputs!$D$10)/(Inputs!$F$10-Inputs!$D$10),Inputs!$D$10+SQRT(D1986*(Inputs!$F$10-Inputs!$D$10)*(Inputs!$E$10-Inputs!$D$10)),Inputs!$F$10-SQRT((1-D1986)*(Inputs!$F$10-Inputs!$D$10)*(Inputs!$F$10-Inputs!$E$10)))</f>
        <v>0.0841464361384832</v>
      </c>
      <c r="F1986" s="81" t="n">
        <f aca="true">RAND()</f>
        <v>0.155610082913418</v>
      </c>
      <c r="G1986" s="83" t="n">
        <f aca="false">IF(F1986&lt;(Inputs!$E$15-Inputs!$D$15)/(Inputs!$F$15-Inputs!$D$15),Inputs!$D$15+SQRT(F1986*(Inputs!$F$15-Inputs!$D$15)*(Inputs!$E$15-Inputs!$D$15)),Inputs!$F$15-SQRT((1-F1986)*(Inputs!$F$15-Inputs!$D$15)*(Inputs!$F$15-Inputs!$E$15)))</f>
        <v>0.655787110144444</v>
      </c>
      <c r="H1986" s="81" t="n">
        <f aca="true">RAND()</f>
        <v>0.272847920957138</v>
      </c>
      <c r="I1986" s="82" t="n">
        <f aca="false">ROUND(IF(H1986&lt;(Inputs!$E$17-Inputs!$D$17)/(Inputs!$F$17-Inputs!$D$17),Inputs!$D$17+SQRT(H1986*(Inputs!$F$17-Inputs!$D$17)*(Inputs!$E$17-Inputs!$D$17)),Inputs!$F$17-SQRT((1-H1986)*(Inputs!$F$17-Inputs!$D$17)*(Inputs!$F$17-Inputs!$E$17))),0)</f>
        <v>105</v>
      </c>
      <c r="J1986" s="81" t="n">
        <f aca="true">RAND()</f>
        <v>0.185900190981359</v>
      </c>
      <c r="K1986" s="83" t="n">
        <f aca="false">IF(J1986&lt;(Inputs!$E$18-Inputs!$D$18)/(Inputs!$F$18-Inputs!$D$18),Inputs!$D$18+SQRT(J1986*(Inputs!$F$18-Inputs!$D$18)*(Inputs!$E$18-Inputs!$D$18)),Inputs!$F$18-SQRT((1-J1986)*(Inputs!$F$18-Inputs!$D$18)*(Inputs!$F$18-Inputs!$E$18)))</f>
        <v>0.980662920132782</v>
      </c>
      <c r="L1986" s="81" t="n">
        <f aca="true">RAND()</f>
        <v>0.784774726689325</v>
      </c>
      <c r="M1986" s="83" t="n">
        <f aca="false">IF(L1986&lt;(Inputs!$E$24-Inputs!$D$24)/(Inputs!$F$24-Inputs!$D$24),Inputs!$D$24+SQRT(L1986*(Inputs!$F$24-Inputs!$D$24)*(Inputs!$E$24-Inputs!$D$24)),Inputs!$F$24-SQRT((1-L1986)*(Inputs!$F$24-Inputs!$D$24)*(Inputs!$F$24-Inputs!$E$24)))</f>
        <v>0.972724692070252</v>
      </c>
      <c r="N1986" s="81" t="n">
        <f aca="true">RAND()</f>
        <v>0.726504972648641</v>
      </c>
      <c r="O1986" s="83" t="n">
        <f aca="false">IF(N1986&lt;(Inputs!$E$26-Inputs!$D$26)/(Inputs!$F$26-Inputs!$D$26),Inputs!$D$26+SQRT(N1986*(Inputs!$F$26-Inputs!$D$26)*(Inputs!$E$26-Inputs!$D$26)),Inputs!$F$26-SQRT((1-N1986)*(Inputs!$F$26-Inputs!$D$26)*(Inputs!$F$26-Inputs!$E$26)))</f>
        <v>0.651348042274804</v>
      </c>
      <c r="P1986" s="81" t="n">
        <f aca="true">RAND()</f>
        <v>0.00771806693638589</v>
      </c>
      <c r="Q1986" s="82" t="n">
        <f aca="false">IF(P1986&lt;(Inputs!$E$27-Inputs!$D$27)/(Inputs!$F$27-Inputs!$D$27),Inputs!$D$27+SQRT(P1986*(Inputs!$F$27-Inputs!$D$27)*(Inputs!$E$27-Inputs!$D$27)),Inputs!$F$27-SQRT((1-P1986)*(Inputs!$F$27-Inputs!$D$27)*(Inputs!$F$27-Inputs!$E$27)))</f>
        <v>54.3926264741001</v>
      </c>
      <c r="R1986" s="81" t="n">
        <f aca="true">RAND()</f>
        <v>0.722256032660784</v>
      </c>
      <c r="S1986" s="82" t="n">
        <f aca="false">IF(R1986&lt;(Inputs!$E$29-Inputs!$D$29)/(Inputs!$F$29-Inputs!$D$29),Inputs!$D$29+SQRT(R1986*(Inputs!$F$29-Inputs!$D$29)*(Inputs!$E$29-Inputs!$D$29)),Inputs!$F$29-SQRT((1-R1986)*(Inputs!$F$29-Inputs!$D$29)*(Inputs!$F$29-Inputs!$E$29)))</f>
        <v>8.99111360116552</v>
      </c>
      <c r="T1986" s="68" t="n">
        <f aca="false">Inputs!$E$9*(1+E1986)+Inputs!$E$5*C1986*(Inputs!$E$11*Inputs!$E$14*(G1986*I1986/Inputs!$E$16+(1-G1986))*K1986+Inputs!$E$23*M1986)*(1+O1986)+Inputs!$E$5*(Q1986+S1986)</f>
        <v>6074.19165780533</v>
      </c>
    </row>
    <row r="1987" customFormat="false" ht="15" hidden="false" customHeight="false" outlineLevel="0" collapsed="false">
      <c r="A1987" s="1" t="n">
        <v>1983</v>
      </c>
      <c r="B1987" s="81" t="n">
        <f aca="true">RAND()</f>
        <v>0.108535173841966</v>
      </c>
      <c r="C1987" s="82" t="n">
        <f aca="false">ROUND(IF(B1987&lt;(Inputs!$E$8-Inputs!$D$8)/(Inputs!$F$8-Inputs!$D$8),Inputs!$D$8+SQRT(B1987*(Inputs!$F$8-Inputs!$D$8)*(Inputs!$E$8-Inputs!$D$8)),Inputs!$F$8-SQRT((1-B1987)*(Inputs!$F$8-Inputs!$D$8)*(Inputs!$F$8-Inputs!$E$8))),0)</f>
        <v>22</v>
      </c>
      <c r="D1987" s="81" t="n">
        <f aca="true">RAND()</f>
        <v>0.529268533838433</v>
      </c>
      <c r="E1987" s="83" t="n">
        <f aca="false">IF(D1987&lt;(Inputs!$E$10-Inputs!$D$10)/(Inputs!$F$10-Inputs!$D$10),Inputs!$D$10+SQRT(D1987*(Inputs!$F$10-Inputs!$D$10)*(Inputs!$E$10-Inputs!$D$10)),Inputs!$F$10-SQRT((1-D1987)*(Inputs!$F$10-Inputs!$D$10)*(Inputs!$F$10-Inputs!$E$10)))</f>
        <v>0.0811642142078111</v>
      </c>
      <c r="F1987" s="81" t="n">
        <f aca="true">RAND()</f>
        <v>0.749006708956639</v>
      </c>
      <c r="G1987" s="83" t="n">
        <f aca="false">IF(F1987&lt;(Inputs!$E$15-Inputs!$D$15)/(Inputs!$F$15-Inputs!$D$15),Inputs!$D$15+SQRT(F1987*(Inputs!$F$15-Inputs!$D$15)*(Inputs!$E$15-Inputs!$D$15)),Inputs!$F$15-SQRT((1-F1987)*(Inputs!$F$15-Inputs!$D$15)*(Inputs!$F$15-Inputs!$E$15)))</f>
        <v>0.729148988568495</v>
      </c>
      <c r="H1987" s="81" t="n">
        <f aca="true">RAND()</f>
        <v>0.715111524852783</v>
      </c>
      <c r="I1987" s="82" t="n">
        <f aca="false">ROUND(IF(H1987&lt;(Inputs!$E$17-Inputs!$D$17)/(Inputs!$F$17-Inputs!$D$17),Inputs!$D$17+SQRT(H1987*(Inputs!$F$17-Inputs!$D$17)*(Inputs!$E$17-Inputs!$D$17)),Inputs!$F$17-SQRT((1-H1987)*(Inputs!$F$17-Inputs!$D$17)*(Inputs!$F$17-Inputs!$E$17))),0)</f>
        <v>108</v>
      </c>
      <c r="J1987" s="81" t="n">
        <f aca="true">RAND()</f>
        <v>0.0883485178564915</v>
      </c>
      <c r="K1987" s="83" t="n">
        <f aca="false">IF(J1987&lt;(Inputs!$E$18-Inputs!$D$18)/(Inputs!$F$18-Inputs!$D$18),Inputs!$D$18+SQRT(J1987*(Inputs!$F$18-Inputs!$D$18)*(Inputs!$E$18-Inputs!$D$18)),Inputs!$F$18-SQRT((1-J1987)*(Inputs!$F$18-Inputs!$D$18)*(Inputs!$F$18-Inputs!$E$18)))</f>
        <v>0.955607536584326</v>
      </c>
      <c r="L1987" s="81" t="n">
        <f aca="true">RAND()</f>
        <v>0.447712560458675</v>
      </c>
      <c r="M1987" s="83" t="n">
        <f aca="false">IF(L1987&lt;(Inputs!$E$24-Inputs!$D$24)/(Inputs!$F$24-Inputs!$D$24),Inputs!$D$24+SQRT(L1987*(Inputs!$F$24-Inputs!$D$24)*(Inputs!$E$24-Inputs!$D$24)),Inputs!$F$24-SQRT((1-L1987)*(Inputs!$F$24-Inputs!$D$24)*(Inputs!$F$24-Inputs!$E$24)))</f>
        <v>0.835927225008628</v>
      </c>
      <c r="N1987" s="81" t="n">
        <f aca="true">RAND()</f>
        <v>0.601280519631002</v>
      </c>
      <c r="O1987" s="83" t="n">
        <f aca="false">IF(N1987&lt;(Inputs!$E$26-Inputs!$D$26)/(Inputs!$F$26-Inputs!$D$26),Inputs!$D$26+SQRT(N1987*(Inputs!$F$26-Inputs!$D$26)*(Inputs!$E$26-Inputs!$D$26)),Inputs!$F$26-SQRT((1-N1987)*(Inputs!$F$26-Inputs!$D$26)*(Inputs!$F$26-Inputs!$E$26)))</f>
        <v>0.616311679307924</v>
      </c>
      <c r="P1987" s="81" t="n">
        <f aca="true">RAND()</f>
        <v>0.385046000589689</v>
      </c>
      <c r="Q1987" s="82" t="n">
        <f aca="false">IF(P1987&lt;(Inputs!$E$27-Inputs!$D$27)/(Inputs!$F$27-Inputs!$D$27),Inputs!$D$27+SQRT(P1987*(Inputs!$F$27-Inputs!$D$27)*(Inputs!$E$27-Inputs!$D$27)),Inputs!$F$27-SQRT((1-P1987)*(Inputs!$F$27-Inputs!$D$27)*(Inputs!$F$27-Inputs!$E$27)))</f>
        <v>82.0871514691268</v>
      </c>
      <c r="R1987" s="81" t="n">
        <f aca="true">RAND()</f>
        <v>0.546716755687587</v>
      </c>
      <c r="S1987" s="82" t="n">
        <f aca="false">IF(R1987&lt;(Inputs!$E$29-Inputs!$D$29)/(Inputs!$F$29-Inputs!$D$29),Inputs!$D$29+SQRT(R1987*(Inputs!$F$29-Inputs!$D$29)*(Inputs!$E$29-Inputs!$D$29)),Inputs!$F$29-SQRT((1-R1987)*(Inputs!$F$29-Inputs!$D$29)*(Inputs!$F$29-Inputs!$E$29)))</f>
        <v>7.32361922774712</v>
      </c>
      <c r="T1987" s="68" t="n">
        <f aca="false">Inputs!$E$9*(1+E1987)+Inputs!$E$5*C1987*(Inputs!$E$11*Inputs!$E$14*(G1987*I1987/Inputs!$E$16+(1-G1987))*K1987+Inputs!$E$23*M1987)*(1+O1987)+Inputs!$E$5*(Q1987+S1987)</f>
        <v>5708.0608562046</v>
      </c>
    </row>
    <row r="1988" customFormat="false" ht="15" hidden="false" customHeight="false" outlineLevel="0" collapsed="false">
      <c r="A1988" s="1" t="n">
        <v>1984</v>
      </c>
      <c r="B1988" s="81" t="n">
        <f aca="true">RAND()</f>
        <v>0.0880738845251578</v>
      </c>
      <c r="C1988" s="82" t="n">
        <f aca="false">ROUND(IF(B1988&lt;(Inputs!$E$8-Inputs!$D$8)/(Inputs!$F$8-Inputs!$D$8),Inputs!$D$8+SQRT(B1988*(Inputs!$F$8-Inputs!$D$8)*(Inputs!$E$8-Inputs!$D$8)),Inputs!$F$8-SQRT((1-B1988)*(Inputs!$F$8-Inputs!$D$8)*(Inputs!$F$8-Inputs!$E$8))),0)</f>
        <v>22</v>
      </c>
      <c r="D1988" s="81" t="n">
        <f aca="true">RAND()</f>
        <v>0.251241883386394</v>
      </c>
      <c r="E1988" s="83" t="n">
        <f aca="false">IF(D1988&lt;(Inputs!$E$10-Inputs!$D$10)/(Inputs!$F$10-Inputs!$D$10),Inputs!$D$10+SQRT(D1988*(Inputs!$F$10-Inputs!$D$10)*(Inputs!$E$10-Inputs!$D$10)),Inputs!$F$10-SQRT((1-D1988)*(Inputs!$F$10-Inputs!$D$10)*(Inputs!$F$10-Inputs!$E$10)))</f>
        <v>0.0501242397903912</v>
      </c>
      <c r="F1988" s="81" t="n">
        <f aca="true">RAND()</f>
        <v>0.801082502817765</v>
      </c>
      <c r="G1988" s="83" t="n">
        <f aca="false">IF(F1988&lt;(Inputs!$E$15-Inputs!$D$15)/(Inputs!$F$15-Inputs!$D$15),Inputs!$D$15+SQRT(F1988*(Inputs!$F$15-Inputs!$D$15)*(Inputs!$E$15-Inputs!$D$15)),Inputs!$F$15-SQRT((1-F1988)*(Inputs!$F$15-Inputs!$D$15)*(Inputs!$F$15-Inputs!$E$15)))</f>
        <v>0.736925837749165</v>
      </c>
      <c r="H1988" s="81" t="n">
        <f aca="true">RAND()</f>
        <v>0.640446414932335</v>
      </c>
      <c r="I1988" s="82" t="n">
        <f aca="false">ROUND(IF(H1988&lt;(Inputs!$E$17-Inputs!$D$17)/(Inputs!$F$17-Inputs!$D$17),Inputs!$D$17+SQRT(H1988*(Inputs!$F$17-Inputs!$D$17)*(Inputs!$E$17-Inputs!$D$17)),Inputs!$F$17-SQRT((1-H1988)*(Inputs!$F$17-Inputs!$D$17)*(Inputs!$F$17-Inputs!$E$17))),0)</f>
        <v>108</v>
      </c>
      <c r="J1988" s="81" t="n">
        <f aca="true">RAND()</f>
        <v>0.811255767890894</v>
      </c>
      <c r="K1988" s="83" t="n">
        <f aca="false">IF(J1988&lt;(Inputs!$E$18-Inputs!$D$18)/(Inputs!$F$18-Inputs!$D$18),Inputs!$D$18+SQRT(J1988*(Inputs!$F$18-Inputs!$D$18)*(Inputs!$E$18-Inputs!$D$18)),Inputs!$F$18-SQRT((1-J1988)*(Inputs!$F$18-Inputs!$D$18)*(Inputs!$F$18-Inputs!$E$18)))</f>
        <v>1.12148883196567</v>
      </c>
      <c r="L1988" s="81" t="n">
        <f aca="true">RAND()</f>
        <v>0.102378387996678</v>
      </c>
      <c r="M1988" s="83" t="n">
        <f aca="false">IF(L1988&lt;(Inputs!$E$24-Inputs!$D$24)/(Inputs!$F$24-Inputs!$D$24),Inputs!$D$24+SQRT(L1988*(Inputs!$F$24-Inputs!$D$24)*(Inputs!$E$24-Inputs!$D$24)),Inputs!$F$24-SQRT((1-L1988)*(Inputs!$F$24-Inputs!$D$24)*(Inputs!$F$24-Inputs!$E$24)))</f>
        <v>0.710839553227182</v>
      </c>
      <c r="N1988" s="81" t="n">
        <f aca="true">RAND()</f>
        <v>0.500017577543585</v>
      </c>
      <c r="O1988" s="83" t="n">
        <f aca="false">IF(N1988&lt;(Inputs!$E$26-Inputs!$D$26)/(Inputs!$F$26-Inputs!$D$26),Inputs!$D$26+SQRT(N1988*(Inputs!$F$26-Inputs!$D$26)*(Inputs!$E$26-Inputs!$D$26)),Inputs!$F$26-SQRT((1-N1988)*(Inputs!$F$26-Inputs!$D$26)*(Inputs!$F$26-Inputs!$E$26)))</f>
        <v>0.588449172131335</v>
      </c>
      <c r="P1988" s="81" t="n">
        <f aca="true">RAND()</f>
        <v>0.396651888917244</v>
      </c>
      <c r="Q1988" s="82" t="n">
        <f aca="false">IF(P1988&lt;(Inputs!$E$27-Inputs!$D$27)/(Inputs!$F$27-Inputs!$D$27),Inputs!$D$27+SQRT(P1988*(Inputs!$F$27-Inputs!$D$27)*(Inputs!$E$27-Inputs!$D$27)),Inputs!$F$27-SQRT((1-P1988)*(Inputs!$F$27-Inputs!$D$27)*(Inputs!$F$27-Inputs!$E$27)))</f>
        <v>82.7310559535779</v>
      </c>
      <c r="R1988" s="81" t="n">
        <f aca="true">RAND()</f>
        <v>0.814727357017447</v>
      </c>
      <c r="S1988" s="82" t="n">
        <f aca="false">IF(R1988&lt;(Inputs!$E$29-Inputs!$D$29)/(Inputs!$F$29-Inputs!$D$29),Inputs!$D$29+SQRT(R1988*(Inputs!$F$29-Inputs!$D$29)*(Inputs!$E$29-Inputs!$D$29)),Inputs!$F$29-SQRT((1-R1988)*(Inputs!$F$29-Inputs!$D$29)*(Inputs!$F$29-Inputs!$E$29)))</f>
        <v>10.0923077126075</v>
      </c>
      <c r="T1988" s="68" t="n">
        <f aca="false">Inputs!$E$9*(1+E1988)+Inputs!$E$5*C1988*(Inputs!$E$11*Inputs!$E$14*(G1988*I1988/Inputs!$E$16+(1-G1988))*K1988+Inputs!$E$23*M1988)*(1+O1988)+Inputs!$E$5*(Q1988+S1988)</f>
        <v>5752.48078736041</v>
      </c>
    </row>
    <row r="1989" customFormat="false" ht="15" hidden="false" customHeight="false" outlineLevel="0" collapsed="false">
      <c r="A1989" s="1" t="n">
        <v>1985</v>
      </c>
      <c r="B1989" s="81" t="n">
        <f aca="true">RAND()</f>
        <v>0.593034352863139</v>
      </c>
      <c r="C1989" s="82" t="n">
        <f aca="false">ROUND(IF(B1989&lt;(Inputs!$E$8-Inputs!$D$8)/(Inputs!$F$8-Inputs!$D$8),Inputs!$D$8+SQRT(B1989*(Inputs!$F$8-Inputs!$D$8)*(Inputs!$E$8-Inputs!$D$8)),Inputs!$F$8-SQRT((1-B1989)*(Inputs!$F$8-Inputs!$D$8)*(Inputs!$F$8-Inputs!$E$8))),0)</f>
        <v>25</v>
      </c>
      <c r="D1989" s="81" t="n">
        <f aca="true">RAND()</f>
        <v>0.913865960595068</v>
      </c>
      <c r="E1989" s="83" t="n">
        <f aca="false">IF(D1989&lt;(Inputs!$E$10-Inputs!$D$10)/(Inputs!$F$10-Inputs!$D$10),Inputs!$D$10+SQRT(D1989*(Inputs!$F$10-Inputs!$D$10)*(Inputs!$E$10-Inputs!$D$10)),Inputs!$F$10-SQRT((1-D1989)*(Inputs!$F$10-Inputs!$D$10)*(Inputs!$F$10-Inputs!$E$10)))</f>
        <v>0.149166731541755</v>
      </c>
      <c r="F1989" s="81" t="n">
        <f aca="true">RAND()</f>
        <v>0.65250400630855</v>
      </c>
      <c r="G1989" s="83" t="n">
        <f aca="false">IF(F1989&lt;(Inputs!$E$15-Inputs!$D$15)/(Inputs!$F$15-Inputs!$D$15),Inputs!$D$15+SQRT(F1989*(Inputs!$F$15-Inputs!$D$15)*(Inputs!$E$15-Inputs!$D$15)),Inputs!$F$15-SQRT((1-F1989)*(Inputs!$F$15-Inputs!$D$15)*(Inputs!$F$15-Inputs!$E$15)))</f>
        <v>0.716633820563558</v>
      </c>
      <c r="H1989" s="81" t="n">
        <f aca="true">RAND()</f>
        <v>0.791126251612145</v>
      </c>
      <c r="I1989" s="82" t="n">
        <f aca="false">ROUND(IF(H1989&lt;(Inputs!$E$17-Inputs!$D$17)/(Inputs!$F$17-Inputs!$D$17),Inputs!$D$17+SQRT(H1989*(Inputs!$F$17-Inputs!$D$17)*(Inputs!$E$17-Inputs!$D$17)),Inputs!$F$17-SQRT((1-H1989)*(Inputs!$F$17-Inputs!$D$17)*(Inputs!$F$17-Inputs!$E$17))),0)</f>
        <v>109</v>
      </c>
      <c r="J1989" s="81" t="n">
        <f aca="true">RAND()</f>
        <v>0.976847949370703</v>
      </c>
      <c r="K1989" s="83" t="n">
        <f aca="false">IF(J1989&lt;(Inputs!$E$18-Inputs!$D$18)/(Inputs!$F$18-Inputs!$D$18),Inputs!$D$18+SQRT(J1989*(Inputs!$F$18-Inputs!$D$18)*(Inputs!$E$18-Inputs!$D$18)),Inputs!$F$18-SQRT((1-J1989)*(Inputs!$F$18-Inputs!$D$18)*(Inputs!$F$18-Inputs!$E$18)))</f>
        <v>1.20499106277567</v>
      </c>
      <c r="L1989" s="81" t="n">
        <f aca="true">RAND()</f>
        <v>0.741853822839338</v>
      </c>
      <c r="M1989" s="83" t="n">
        <f aca="false">IF(L1989&lt;(Inputs!$E$24-Inputs!$D$24)/(Inputs!$F$24-Inputs!$D$24),Inputs!$D$24+SQRT(L1989*(Inputs!$F$24-Inputs!$D$24)*(Inputs!$E$24-Inputs!$D$24)),Inputs!$F$24-SQRT((1-L1989)*(Inputs!$F$24-Inputs!$D$24)*(Inputs!$F$24-Inputs!$E$24)))</f>
        <v>0.951092220855677</v>
      </c>
      <c r="N1989" s="81" t="n">
        <f aca="true">RAND()</f>
        <v>0.17375327248141</v>
      </c>
      <c r="O1989" s="83" t="n">
        <f aca="false">IF(N1989&lt;(Inputs!$E$26-Inputs!$D$26)/(Inputs!$F$26-Inputs!$D$26),Inputs!$D$26+SQRT(N1989*(Inputs!$F$26-Inputs!$D$26)*(Inputs!$E$26-Inputs!$D$26)),Inputs!$F$26-SQRT((1-N1989)*(Inputs!$F$26-Inputs!$D$26)*(Inputs!$F$26-Inputs!$E$26)))</f>
        <v>0.470036891705614</v>
      </c>
      <c r="P1989" s="81" t="n">
        <f aca="true">RAND()</f>
        <v>0.392965659745461</v>
      </c>
      <c r="Q1989" s="82" t="n">
        <f aca="false">IF(P1989&lt;(Inputs!$E$27-Inputs!$D$27)/(Inputs!$F$27-Inputs!$D$27),Inputs!$D$27+SQRT(P1989*(Inputs!$F$27-Inputs!$D$27)*(Inputs!$E$27-Inputs!$D$27)),Inputs!$F$27-SQRT((1-P1989)*(Inputs!$F$27-Inputs!$D$27)*(Inputs!$F$27-Inputs!$E$27)))</f>
        <v>82.5258749452129</v>
      </c>
      <c r="R1989" s="81" t="n">
        <f aca="true">RAND()</f>
        <v>0.237710428838336</v>
      </c>
      <c r="S1989" s="82" t="n">
        <f aca="false">IF(R1989&lt;(Inputs!$E$29-Inputs!$D$29)/(Inputs!$F$29-Inputs!$D$29),Inputs!$D$29+SQRT(R1989*(Inputs!$F$29-Inputs!$D$29)*(Inputs!$E$29-Inputs!$D$29)),Inputs!$F$29-SQRT((1-R1989)*(Inputs!$F$29-Inputs!$D$29)*(Inputs!$F$29-Inputs!$E$29)))</f>
        <v>5.04522003000486</v>
      </c>
      <c r="T1989" s="68" t="n">
        <f aca="false">Inputs!$E$9*(1+E1989)+Inputs!$E$5*C1989*(Inputs!$E$11*Inputs!$E$14*(G1989*I1989/Inputs!$E$16+(1-G1989))*K1989+Inputs!$E$23*M1989)*(1+O1989)+Inputs!$E$5*(Q1989+S1989)</f>
        <v>6618.58516446567</v>
      </c>
    </row>
    <row r="1990" customFormat="false" ht="15" hidden="false" customHeight="false" outlineLevel="0" collapsed="false">
      <c r="A1990" s="1" t="n">
        <v>1986</v>
      </c>
      <c r="B1990" s="81" t="n">
        <f aca="true">RAND()</f>
        <v>0.396481290575778</v>
      </c>
      <c r="C1990" s="82" t="n">
        <f aca="false">ROUND(IF(B1990&lt;(Inputs!$E$8-Inputs!$D$8)/(Inputs!$F$8-Inputs!$D$8),Inputs!$D$8+SQRT(B1990*(Inputs!$F$8-Inputs!$D$8)*(Inputs!$E$8-Inputs!$D$8)),Inputs!$F$8-SQRT((1-B1990)*(Inputs!$F$8-Inputs!$D$8)*(Inputs!$F$8-Inputs!$E$8))),0)</f>
        <v>24</v>
      </c>
      <c r="D1990" s="81" t="n">
        <f aca="true">RAND()</f>
        <v>0.499074220326448</v>
      </c>
      <c r="E1990" s="83" t="n">
        <f aca="false">IF(D1990&lt;(Inputs!$E$10-Inputs!$D$10)/(Inputs!$F$10-Inputs!$D$10),Inputs!$D$10+SQRT(D1990*(Inputs!$F$10-Inputs!$D$10)*(Inputs!$E$10-Inputs!$D$10)),Inputs!$F$10-SQRT((1-D1990)*(Inputs!$F$10-Inputs!$D$10)*(Inputs!$F$10-Inputs!$E$10)))</f>
        <v>0.0774121809060681</v>
      </c>
      <c r="F1990" s="81" t="n">
        <f aca="true">RAND()</f>
        <v>0.628930436724253</v>
      </c>
      <c r="G1990" s="83" t="n">
        <f aca="false">IF(F1990&lt;(Inputs!$E$15-Inputs!$D$15)/(Inputs!$F$15-Inputs!$D$15),Inputs!$D$15+SQRT(F1990*(Inputs!$F$15-Inputs!$D$15)*(Inputs!$E$15-Inputs!$D$15)),Inputs!$F$15-SQRT((1-F1990)*(Inputs!$F$15-Inputs!$D$15)*(Inputs!$F$15-Inputs!$E$15)))</f>
        <v>0.713852502848226</v>
      </c>
      <c r="H1990" s="81" t="n">
        <f aca="true">RAND()</f>
        <v>0.724206706815142</v>
      </c>
      <c r="I1990" s="82" t="n">
        <f aca="false">ROUND(IF(H1990&lt;(Inputs!$E$17-Inputs!$D$17)/(Inputs!$F$17-Inputs!$D$17),Inputs!$D$17+SQRT(H1990*(Inputs!$F$17-Inputs!$D$17)*(Inputs!$E$17-Inputs!$D$17)),Inputs!$F$17-SQRT((1-H1990)*(Inputs!$F$17-Inputs!$D$17)*(Inputs!$F$17-Inputs!$E$17))),0)</f>
        <v>109</v>
      </c>
      <c r="J1990" s="81" t="n">
        <f aca="true">RAND()</f>
        <v>0.6479556267848</v>
      </c>
      <c r="K1990" s="83" t="n">
        <f aca="false">IF(J1990&lt;(Inputs!$E$18-Inputs!$D$18)/(Inputs!$F$18-Inputs!$D$18),Inputs!$D$18+SQRT(J1990*(Inputs!$F$18-Inputs!$D$18)*(Inputs!$E$18-Inputs!$D$18)),Inputs!$F$18-SQRT((1-J1990)*(Inputs!$F$18-Inputs!$D$18)*(Inputs!$F$18-Inputs!$E$18)))</f>
        <v>1.07448965085691</v>
      </c>
      <c r="L1990" s="81" t="n">
        <f aca="true">RAND()</f>
        <v>0.957483962651586</v>
      </c>
      <c r="M1990" s="83" t="n">
        <f aca="false">IF(L1990&lt;(Inputs!$E$24-Inputs!$D$24)/(Inputs!$F$24-Inputs!$D$24),Inputs!$D$24+SQRT(L1990*(Inputs!$F$24-Inputs!$D$24)*(Inputs!$E$24-Inputs!$D$24)),Inputs!$F$24-SQRT((1-L1990)*(Inputs!$F$24-Inputs!$D$24)*(Inputs!$F$24-Inputs!$E$24)))</f>
        <v>1.0989858972043</v>
      </c>
      <c r="N1990" s="81" t="n">
        <f aca="true">RAND()</f>
        <v>0.940748933939011</v>
      </c>
      <c r="O1990" s="83" t="n">
        <f aca="false">IF(N1990&lt;(Inputs!$E$26-Inputs!$D$26)/(Inputs!$F$26-Inputs!$D$26),Inputs!$D$26+SQRT(N1990*(Inputs!$F$26-Inputs!$D$26)*(Inputs!$E$26-Inputs!$D$26)),Inputs!$F$26-SQRT((1-N1990)*(Inputs!$F$26-Inputs!$D$26)*(Inputs!$F$26-Inputs!$E$26)))</f>
        <v>0.741500886181162</v>
      </c>
      <c r="P1990" s="81" t="n">
        <f aca="true">RAND()</f>
        <v>0.51312162591116</v>
      </c>
      <c r="Q1990" s="82" t="n">
        <f aca="false">IF(P1990&lt;(Inputs!$E$27-Inputs!$D$27)/(Inputs!$F$27-Inputs!$D$27),Inputs!$D$27+SQRT(P1990*(Inputs!$F$27-Inputs!$D$27)*(Inputs!$E$27-Inputs!$D$27)),Inputs!$F$27-SQRT((1-P1990)*(Inputs!$F$27-Inputs!$D$27)*(Inputs!$F$27-Inputs!$E$27)))</f>
        <v>89.5716307876317</v>
      </c>
      <c r="R1990" s="81" t="n">
        <f aca="true">RAND()</f>
        <v>0.428513877231846</v>
      </c>
      <c r="S1990" s="82" t="n">
        <f aca="false">IF(R1990&lt;(Inputs!$E$29-Inputs!$D$29)/(Inputs!$F$29-Inputs!$D$29),Inputs!$D$29+SQRT(R1990*(Inputs!$F$29-Inputs!$D$29)*(Inputs!$E$29-Inputs!$D$29)),Inputs!$F$29-SQRT((1-R1990)*(Inputs!$F$29-Inputs!$D$29)*(Inputs!$F$29-Inputs!$E$29)))</f>
        <v>6.38064991081926</v>
      </c>
      <c r="T1990" s="68" t="n">
        <f aca="false">Inputs!$E$9*(1+E1990)+Inputs!$E$5*C1990*(Inputs!$E$11*Inputs!$E$14*(G1990*I1990/Inputs!$E$16+(1-G1990))*K1990+Inputs!$E$23*M1990)*(1+O1990)+Inputs!$E$5*(Q1990+S1990)</f>
        <v>6931.98134926579</v>
      </c>
    </row>
    <row r="1991" customFormat="false" ht="15" hidden="false" customHeight="false" outlineLevel="0" collapsed="false">
      <c r="A1991" s="1" t="n">
        <v>1987</v>
      </c>
      <c r="B1991" s="81" t="n">
        <f aca="true">RAND()</f>
        <v>0.780511585779193</v>
      </c>
      <c r="C1991" s="82" t="n">
        <f aca="false">ROUND(IF(B1991&lt;(Inputs!$E$8-Inputs!$D$8)/(Inputs!$F$8-Inputs!$D$8),Inputs!$D$8+SQRT(B1991*(Inputs!$F$8-Inputs!$D$8)*(Inputs!$E$8-Inputs!$D$8)),Inputs!$F$8-SQRT((1-B1991)*(Inputs!$F$8-Inputs!$D$8)*(Inputs!$F$8-Inputs!$E$8))),0)</f>
        <v>27</v>
      </c>
      <c r="D1991" s="81" t="n">
        <f aca="true">RAND()</f>
        <v>0.080511409473418</v>
      </c>
      <c r="E1991" s="83" t="n">
        <f aca="false">IF(D1991&lt;(Inputs!$E$10-Inputs!$D$10)/(Inputs!$F$10-Inputs!$D$10),Inputs!$D$10+SQRT(D1991*(Inputs!$F$10-Inputs!$D$10)*(Inputs!$E$10-Inputs!$D$10)),Inputs!$F$10-SQRT((1-D1991)*(Inputs!$F$10-Inputs!$D$10)*(Inputs!$F$10-Inputs!$E$10)))</f>
        <v>0.028374532502478</v>
      </c>
      <c r="F1991" s="81" t="n">
        <f aca="true">RAND()</f>
        <v>0.559725600882944</v>
      </c>
      <c r="G1991" s="83" t="n">
        <f aca="false">IF(F1991&lt;(Inputs!$E$15-Inputs!$D$15)/(Inputs!$F$15-Inputs!$D$15),Inputs!$D$15+SQRT(F1991*(Inputs!$F$15-Inputs!$D$15)*(Inputs!$E$15-Inputs!$D$15)),Inputs!$F$15-SQRT((1-F1991)*(Inputs!$F$15-Inputs!$D$15)*(Inputs!$F$15-Inputs!$E$15)))</f>
        <v>0.706162438318437</v>
      </c>
      <c r="H1991" s="81" t="n">
        <f aca="true">RAND()</f>
        <v>0.900784930208207</v>
      </c>
      <c r="I1991" s="82" t="n">
        <f aca="false">ROUND(IF(H1991&lt;(Inputs!$E$17-Inputs!$D$17)/(Inputs!$F$17-Inputs!$D$17),Inputs!$D$17+SQRT(H1991*(Inputs!$F$17-Inputs!$D$17)*(Inputs!$E$17-Inputs!$D$17)),Inputs!$F$17-SQRT((1-H1991)*(Inputs!$F$17-Inputs!$D$17)*(Inputs!$F$17-Inputs!$E$17))),0)</f>
        <v>111</v>
      </c>
      <c r="J1991" s="81" t="n">
        <f aca="true">RAND()</f>
        <v>0.732153436226319</v>
      </c>
      <c r="K1991" s="83" t="n">
        <f aca="false">IF(J1991&lt;(Inputs!$E$18-Inputs!$D$18)/(Inputs!$F$18-Inputs!$D$18),Inputs!$D$18+SQRT(J1991*(Inputs!$F$18-Inputs!$D$18)*(Inputs!$E$18-Inputs!$D$18)),Inputs!$F$18-SQRT((1-J1991)*(Inputs!$F$18-Inputs!$D$18)*(Inputs!$F$18-Inputs!$E$18)))</f>
        <v>1.09690991433082</v>
      </c>
      <c r="L1991" s="81" t="n">
        <f aca="true">RAND()</f>
        <v>0.508952573710968</v>
      </c>
      <c r="M1991" s="83" t="n">
        <f aca="false">IF(L1991&lt;(Inputs!$E$24-Inputs!$D$24)/(Inputs!$F$24-Inputs!$D$24),Inputs!$D$24+SQRT(L1991*(Inputs!$F$24-Inputs!$D$24)*(Inputs!$E$24-Inputs!$D$24)),Inputs!$F$24-SQRT((1-L1991)*(Inputs!$F$24-Inputs!$D$24)*(Inputs!$F$24-Inputs!$E$24)))</f>
        <v>0.85670510882134</v>
      </c>
      <c r="N1991" s="81" t="n">
        <f aca="true">RAND()</f>
        <v>0.809591721014279</v>
      </c>
      <c r="O1991" s="83" t="n">
        <f aca="false">IF(N1991&lt;(Inputs!$E$26-Inputs!$D$26)/(Inputs!$F$26-Inputs!$D$26),Inputs!$D$26+SQRT(N1991*(Inputs!$F$26-Inputs!$D$26)*(Inputs!$E$26-Inputs!$D$26)),Inputs!$F$26-SQRT((1-N1991)*(Inputs!$F$26-Inputs!$D$26)*(Inputs!$F$26-Inputs!$E$26)))</f>
        <v>0.679278782642719</v>
      </c>
      <c r="P1991" s="81" t="n">
        <f aca="true">RAND()</f>
        <v>0.816702934516311</v>
      </c>
      <c r="Q1991" s="82" t="n">
        <f aca="false">IF(P1991&lt;(Inputs!$E$27-Inputs!$D$27)/(Inputs!$F$27-Inputs!$D$27),Inputs!$D$27+SQRT(P1991*(Inputs!$F$27-Inputs!$D$27)*(Inputs!$E$27-Inputs!$D$27)),Inputs!$F$27-SQRT((1-P1991)*(Inputs!$F$27-Inputs!$D$27)*(Inputs!$F$27-Inputs!$E$27)))</f>
        <v>112.92267551282</v>
      </c>
      <c r="R1991" s="81" t="n">
        <f aca="true">RAND()</f>
        <v>0.733990580469528</v>
      </c>
      <c r="S1991" s="82" t="n">
        <f aca="false">IF(R1991&lt;(Inputs!$E$29-Inputs!$D$29)/(Inputs!$F$29-Inputs!$D$29),Inputs!$D$29+SQRT(R1991*(Inputs!$F$29-Inputs!$D$29)*(Inputs!$E$29-Inputs!$D$29)),Inputs!$F$29-SQRT((1-R1991)*(Inputs!$F$29-Inputs!$D$29)*(Inputs!$F$29-Inputs!$E$29)))</f>
        <v>9.1194197106951</v>
      </c>
      <c r="T1991" s="68" t="n">
        <f aca="false">Inputs!$E$9*(1+E1991)+Inputs!$E$5*C1991*(Inputs!$E$11*Inputs!$E$14*(G1991*I1991/Inputs!$E$16+(1-G1991))*K1991+Inputs!$E$23*M1991)*(1+O1991)+Inputs!$E$5*(Q1991+S1991)</f>
        <v>7005.74572665996</v>
      </c>
    </row>
    <row r="1992" customFormat="false" ht="15" hidden="false" customHeight="false" outlineLevel="0" collapsed="false">
      <c r="A1992" s="1" t="n">
        <v>1988</v>
      </c>
      <c r="B1992" s="81" t="n">
        <f aca="true">RAND()</f>
        <v>0.130221048192666</v>
      </c>
      <c r="C1992" s="82" t="n">
        <f aca="false">ROUND(IF(B1992&lt;(Inputs!$E$8-Inputs!$D$8)/(Inputs!$F$8-Inputs!$D$8),Inputs!$D$8+SQRT(B1992*(Inputs!$F$8-Inputs!$D$8)*(Inputs!$E$8-Inputs!$D$8)),Inputs!$F$8-SQRT((1-B1992)*(Inputs!$F$8-Inputs!$D$8)*(Inputs!$F$8-Inputs!$E$8))),0)</f>
        <v>23</v>
      </c>
      <c r="D1992" s="81" t="n">
        <f aca="true">RAND()</f>
        <v>0.421115440583044</v>
      </c>
      <c r="E1992" s="83" t="n">
        <f aca="false">IF(D1992&lt;(Inputs!$E$10-Inputs!$D$10)/(Inputs!$F$10-Inputs!$D$10),Inputs!$D$10+SQRT(D1992*(Inputs!$F$10-Inputs!$D$10)*(Inputs!$E$10-Inputs!$D$10)),Inputs!$F$10-SQRT((1-D1992)*(Inputs!$F$10-Inputs!$D$10)*(Inputs!$F$10-Inputs!$E$10)))</f>
        <v>0.0682178434593337</v>
      </c>
      <c r="F1992" s="81" t="n">
        <f aca="true">RAND()</f>
        <v>0.349884688213134</v>
      </c>
      <c r="G1992" s="83" t="n">
        <f aca="false">IF(F1992&lt;(Inputs!$E$15-Inputs!$D$15)/(Inputs!$F$15-Inputs!$D$15),Inputs!$D$15+SQRT(F1992*(Inputs!$F$15-Inputs!$D$15)*(Inputs!$E$15-Inputs!$D$15)),Inputs!$F$15-SQRT((1-F1992)*(Inputs!$F$15-Inputs!$D$15)*(Inputs!$F$15-Inputs!$E$15)))</f>
        <v>0.68365221912336</v>
      </c>
      <c r="H1992" s="81" t="n">
        <f aca="true">RAND()</f>
        <v>0.440576548622008</v>
      </c>
      <c r="I1992" s="82" t="n">
        <f aca="false">ROUND(IF(H1992&lt;(Inputs!$E$17-Inputs!$D$17)/(Inputs!$F$17-Inputs!$D$17),Inputs!$D$17+SQRT(H1992*(Inputs!$F$17-Inputs!$D$17)*(Inputs!$E$17-Inputs!$D$17)),Inputs!$F$17-SQRT((1-H1992)*(Inputs!$F$17-Inputs!$D$17)*(Inputs!$F$17-Inputs!$E$17))),0)</f>
        <v>106</v>
      </c>
      <c r="J1992" s="81" t="n">
        <f aca="true">RAND()</f>
        <v>0.372013925611984</v>
      </c>
      <c r="K1992" s="83" t="n">
        <f aca="false">IF(J1992&lt;(Inputs!$E$18-Inputs!$D$18)/(Inputs!$F$18-Inputs!$D$18),Inputs!$D$18+SQRT(J1992*(Inputs!$F$18-Inputs!$D$18)*(Inputs!$E$18-Inputs!$D$18)),Inputs!$F$18-SQRT((1-J1992)*(Inputs!$F$18-Inputs!$D$18)*(Inputs!$F$18-Inputs!$E$18)))</f>
        <v>1.01558843563307</v>
      </c>
      <c r="L1992" s="81" t="n">
        <f aca="true">RAND()</f>
        <v>0.509827481480689</v>
      </c>
      <c r="M1992" s="83" t="n">
        <f aca="false">IF(L1992&lt;(Inputs!$E$24-Inputs!$D$24)/(Inputs!$F$24-Inputs!$D$24),Inputs!$D$24+SQRT(L1992*(Inputs!$F$24-Inputs!$D$24)*(Inputs!$E$24-Inputs!$D$24)),Inputs!$F$24-SQRT((1-L1992)*(Inputs!$F$24-Inputs!$D$24)*(Inputs!$F$24-Inputs!$E$24)))</f>
        <v>0.857011072416857</v>
      </c>
      <c r="N1992" s="81" t="n">
        <f aca="true">RAND()</f>
        <v>0.0793569360844896</v>
      </c>
      <c r="O1992" s="83" t="n">
        <f aca="false">IF(N1992&lt;(Inputs!$E$26-Inputs!$D$26)/(Inputs!$F$26-Inputs!$D$26),Inputs!$D$26+SQRT(N1992*(Inputs!$F$26-Inputs!$D$26)*(Inputs!$E$26-Inputs!$D$26)),Inputs!$F$26-SQRT((1-N1992)*(Inputs!$F$26-Inputs!$D$26)*(Inputs!$F$26-Inputs!$E$26)))</f>
        <v>0.41491298518644</v>
      </c>
      <c r="P1992" s="81" t="n">
        <f aca="true">RAND()</f>
        <v>0.68123601524437</v>
      </c>
      <c r="Q1992" s="82" t="n">
        <f aca="false">IF(P1992&lt;(Inputs!$E$27-Inputs!$D$27)/(Inputs!$F$27-Inputs!$D$27),Inputs!$D$27+SQRT(P1992*(Inputs!$F$27-Inputs!$D$27)*(Inputs!$E$27-Inputs!$D$27)),Inputs!$F$27-SQRT((1-P1992)*(Inputs!$F$27-Inputs!$D$27)*(Inputs!$F$27-Inputs!$E$27)))</f>
        <v>101.10490939095</v>
      </c>
      <c r="R1992" s="81" t="n">
        <f aca="true">RAND()</f>
        <v>0.295114231022056</v>
      </c>
      <c r="S1992" s="82" t="n">
        <f aca="false">IF(R1992&lt;(Inputs!$E$29-Inputs!$D$29)/(Inputs!$F$29-Inputs!$D$29),Inputs!$D$29+SQRT(R1992*(Inputs!$F$29-Inputs!$D$29)*(Inputs!$E$29-Inputs!$D$29)),Inputs!$F$29-SQRT((1-R1992)*(Inputs!$F$29-Inputs!$D$29)*(Inputs!$F$29-Inputs!$E$29)))</f>
        <v>5.42737496988769</v>
      </c>
      <c r="T1992" s="68" t="n">
        <f aca="false">Inputs!$E$9*(1+E1992)+Inputs!$E$5*C1992*(Inputs!$E$11*Inputs!$E$14*(G1992*I1992/Inputs!$E$16+(1-G1992))*K1992+Inputs!$E$23*M1992)*(1+O1992)+Inputs!$E$5*(Q1992+S1992)</f>
        <v>5679.26960130447</v>
      </c>
    </row>
    <row r="1993" customFormat="false" ht="15" hidden="false" customHeight="false" outlineLevel="0" collapsed="false">
      <c r="A1993" s="1" t="n">
        <v>1989</v>
      </c>
      <c r="B1993" s="81" t="n">
        <f aca="true">RAND()</f>
        <v>0.298227187403211</v>
      </c>
      <c r="C1993" s="82" t="n">
        <f aca="false">ROUND(IF(B1993&lt;(Inputs!$E$8-Inputs!$D$8)/(Inputs!$F$8-Inputs!$D$8),Inputs!$D$8+SQRT(B1993*(Inputs!$F$8-Inputs!$D$8)*(Inputs!$E$8-Inputs!$D$8)),Inputs!$F$8-SQRT((1-B1993)*(Inputs!$F$8-Inputs!$D$8)*(Inputs!$F$8-Inputs!$E$8))),0)</f>
        <v>24</v>
      </c>
      <c r="D1993" s="81" t="n">
        <f aca="true">RAND()</f>
        <v>0.739485758444392</v>
      </c>
      <c r="E1993" s="83" t="n">
        <f aca="false">IF(D1993&lt;(Inputs!$E$10-Inputs!$D$10)/(Inputs!$F$10-Inputs!$D$10),Inputs!$D$10+SQRT(D1993*(Inputs!$F$10-Inputs!$D$10)*(Inputs!$E$10-Inputs!$D$10)),Inputs!$F$10-SQRT((1-D1993)*(Inputs!$F$10-Inputs!$D$10)*(Inputs!$F$10-Inputs!$E$10)))</f>
        <v>0.11159509489475</v>
      </c>
      <c r="F1993" s="81" t="n">
        <f aca="true">RAND()</f>
        <v>0.812404486838053</v>
      </c>
      <c r="G1993" s="83" t="n">
        <f aca="false">IF(F1993&lt;(Inputs!$E$15-Inputs!$D$15)/(Inputs!$F$15-Inputs!$D$15),Inputs!$D$15+SQRT(F1993*(Inputs!$F$15-Inputs!$D$15)*(Inputs!$E$15-Inputs!$D$15)),Inputs!$F$15-SQRT((1-F1993)*(Inputs!$F$15-Inputs!$D$15)*(Inputs!$F$15-Inputs!$E$15)))</f>
        <v>0.738747161182204</v>
      </c>
      <c r="H1993" s="81" t="n">
        <f aca="true">RAND()</f>
        <v>0.682564884416492</v>
      </c>
      <c r="I1993" s="82" t="n">
        <f aca="false">ROUND(IF(H1993&lt;(Inputs!$E$17-Inputs!$D$17)/(Inputs!$F$17-Inputs!$D$17),Inputs!$D$17+SQRT(H1993*(Inputs!$F$17-Inputs!$D$17)*(Inputs!$E$17-Inputs!$D$17)),Inputs!$F$17-SQRT((1-H1993)*(Inputs!$F$17-Inputs!$D$17)*(Inputs!$F$17-Inputs!$E$17))),0)</f>
        <v>108</v>
      </c>
      <c r="J1993" s="81" t="n">
        <f aca="true">RAND()</f>
        <v>0.250490721462054</v>
      </c>
      <c r="K1993" s="83" t="n">
        <f aca="false">IF(J1993&lt;(Inputs!$E$18-Inputs!$D$18)/(Inputs!$F$18-Inputs!$D$18),Inputs!$D$18+SQRT(J1993*(Inputs!$F$18-Inputs!$D$18)*(Inputs!$E$18-Inputs!$D$18)),Inputs!$F$18-SQRT((1-J1993)*(Inputs!$F$18-Inputs!$D$18)*(Inputs!$F$18-Inputs!$E$18)))</f>
        <v>0.993633195241709</v>
      </c>
      <c r="L1993" s="81" t="n">
        <f aca="true">RAND()</f>
        <v>0.00417012246596802</v>
      </c>
      <c r="M1993" s="83" t="n">
        <f aca="false">IF(L1993&lt;(Inputs!$E$24-Inputs!$D$24)/(Inputs!$F$24-Inputs!$D$24),Inputs!$D$24+SQRT(L1993*(Inputs!$F$24-Inputs!$D$24)*(Inputs!$E$24-Inputs!$D$24)),Inputs!$F$24-SQRT((1-L1993)*(Inputs!$F$24-Inputs!$D$24)*(Inputs!$F$24-Inputs!$E$24)))</f>
        <v>0.622369950735667</v>
      </c>
      <c r="N1993" s="81" t="n">
        <f aca="true">RAND()</f>
        <v>0.424984721953187</v>
      </c>
      <c r="O1993" s="83" t="n">
        <f aca="false">IF(N1993&lt;(Inputs!$E$26-Inputs!$D$26)/(Inputs!$F$26-Inputs!$D$26),Inputs!$D$26+SQRT(N1993*(Inputs!$F$26-Inputs!$D$26)*(Inputs!$E$26-Inputs!$D$26)),Inputs!$F$26-SQRT((1-N1993)*(Inputs!$F$26-Inputs!$D$26)*(Inputs!$F$26-Inputs!$E$26)))</f>
        <v>0.565927542261065</v>
      </c>
      <c r="P1993" s="81" t="n">
        <f aca="true">RAND()</f>
        <v>0.874160366776654</v>
      </c>
      <c r="Q1993" s="82" t="n">
        <f aca="false">IF(P1993&lt;(Inputs!$E$27-Inputs!$D$27)/(Inputs!$F$27-Inputs!$D$27),Inputs!$D$27+SQRT(P1993*(Inputs!$F$27-Inputs!$D$27)*(Inputs!$E$27-Inputs!$D$27)),Inputs!$F$27-SQRT((1-P1993)*(Inputs!$F$27-Inputs!$D$27)*(Inputs!$F$27-Inputs!$E$27)))</f>
        <v>119.278716674346</v>
      </c>
      <c r="R1993" s="81" t="n">
        <f aca="true">RAND()</f>
        <v>0.404613576871704</v>
      </c>
      <c r="S1993" s="82" t="n">
        <f aca="false">IF(R1993&lt;(Inputs!$E$29-Inputs!$D$29)/(Inputs!$F$29-Inputs!$D$29),Inputs!$D$29+SQRT(R1993*(Inputs!$F$29-Inputs!$D$29)*(Inputs!$E$29-Inputs!$D$29)),Inputs!$F$29-SQRT((1-R1993)*(Inputs!$F$29-Inputs!$D$29)*(Inputs!$F$29-Inputs!$E$29)))</f>
        <v>6.20225966473899</v>
      </c>
      <c r="T1993" s="68" t="n">
        <f aca="false">Inputs!$E$9*(1+E1993)+Inputs!$E$5*C1993*(Inputs!$E$11*Inputs!$E$14*(G1993*I1993/Inputs!$E$16+(1-G1993))*K1993+Inputs!$E$23*M1993)*(1+O1993)+Inputs!$E$5*(Q1993+S1993)</f>
        <v>5898.4098088111</v>
      </c>
    </row>
    <row r="1994" customFormat="false" ht="15" hidden="false" customHeight="false" outlineLevel="0" collapsed="false">
      <c r="A1994" s="1" t="n">
        <v>1990</v>
      </c>
      <c r="B1994" s="81" t="n">
        <f aca="true">RAND()</f>
        <v>0.788222208499811</v>
      </c>
      <c r="C1994" s="82" t="n">
        <f aca="false">ROUND(IF(B1994&lt;(Inputs!$E$8-Inputs!$D$8)/(Inputs!$F$8-Inputs!$D$8),Inputs!$D$8+SQRT(B1994*(Inputs!$F$8-Inputs!$D$8)*(Inputs!$E$8-Inputs!$D$8)),Inputs!$F$8-SQRT((1-B1994)*(Inputs!$F$8-Inputs!$D$8)*(Inputs!$F$8-Inputs!$E$8))),0)</f>
        <v>27</v>
      </c>
      <c r="D1994" s="81" t="n">
        <f aca="true">RAND()</f>
        <v>0.842845642227424</v>
      </c>
      <c r="E1994" s="83" t="n">
        <f aca="false">IF(D1994&lt;(Inputs!$E$10-Inputs!$D$10)/(Inputs!$F$10-Inputs!$D$10),Inputs!$D$10+SQRT(D1994*(Inputs!$F$10-Inputs!$D$10)*(Inputs!$E$10-Inputs!$D$10)),Inputs!$F$10-SQRT((1-D1994)*(Inputs!$F$10-Inputs!$D$10)*(Inputs!$F$10-Inputs!$E$10)))</f>
        <v>0.131336831320006</v>
      </c>
      <c r="F1994" s="81" t="n">
        <f aca="true">RAND()</f>
        <v>0.331807133524033</v>
      </c>
      <c r="G1994" s="83" t="n">
        <f aca="false">IF(F1994&lt;(Inputs!$E$15-Inputs!$D$15)/(Inputs!$F$15-Inputs!$D$15),Inputs!$D$15+SQRT(F1994*(Inputs!$F$15-Inputs!$D$15)*(Inputs!$E$15-Inputs!$D$15)),Inputs!$F$15-SQRT((1-F1994)*(Inputs!$F$15-Inputs!$D$15)*(Inputs!$F$15-Inputs!$E$15)))</f>
        <v>0.681462523104067</v>
      </c>
      <c r="H1994" s="81" t="n">
        <f aca="true">RAND()</f>
        <v>0.761697699152914</v>
      </c>
      <c r="I1994" s="82" t="n">
        <f aca="false">ROUND(IF(H1994&lt;(Inputs!$E$17-Inputs!$D$17)/(Inputs!$F$17-Inputs!$D$17),Inputs!$D$17+SQRT(H1994*(Inputs!$F$17-Inputs!$D$17)*(Inputs!$E$17-Inputs!$D$17)),Inputs!$F$17-SQRT((1-H1994)*(Inputs!$F$17-Inputs!$D$17)*(Inputs!$F$17-Inputs!$E$17))),0)</f>
        <v>109</v>
      </c>
      <c r="J1994" s="81" t="n">
        <f aca="true">RAND()</f>
        <v>0.740266672863709</v>
      </c>
      <c r="K1994" s="83" t="n">
        <f aca="false">IF(J1994&lt;(Inputs!$E$18-Inputs!$D$18)/(Inputs!$F$18-Inputs!$D$18),Inputs!$D$18+SQRT(J1994*(Inputs!$F$18-Inputs!$D$18)*(Inputs!$E$18-Inputs!$D$18)),Inputs!$F$18-SQRT((1-J1994)*(Inputs!$F$18-Inputs!$D$18)*(Inputs!$F$18-Inputs!$E$18)))</f>
        <v>1.09924633959858</v>
      </c>
      <c r="L1994" s="81" t="n">
        <f aca="true">RAND()</f>
        <v>0.985589550380475</v>
      </c>
      <c r="M1994" s="83" t="n">
        <f aca="false">IF(L1994&lt;(Inputs!$E$24-Inputs!$D$24)/(Inputs!$F$24-Inputs!$D$24),Inputs!$D$24+SQRT(L1994*(Inputs!$F$24-Inputs!$D$24)*(Inputs!$E$24-Inputs!$D$24)),Inputs!$F$24-SQRT((1-L1994)*(Inputs!$F$24-Inputs!$D$24)*(Inputs!$F$24-Inputs!$E$24)))</f>
        <v>1.14119091984493</v>
      </c>
      <c r="N1994" s="81" t="n">
        <f aca="true">RAND()</f>
        <v>0.663860887694153</v>
      </c>
      <c r="O1994" s="83" t="n">
        <f aca="false">IF(N1994&lt;(Inputs!$E$26-Inputs!$D$26)/(Inputs!$F$26-Inputs!$D$26),Inputs!$D$26+SQRT(N1994*(Inputs!$F$26-Inputs!$D$26)*(Inputs!$E$26-Inputs!$D$26)),Inputs!$F$26-SQRT((1-N1994)*(Inputs!$F$26-Inputs!$D$26)*(Inputs!$F$26-Inputs!$E$26)))</f>
        <v>0.633028163404731</v>
      </c>
      <c r="P1994" s="81" t="n">
        <f aca="true">RAND()</f>
        <v>0.448548261644695</v>
      </c>
      <c r="Q1994" s="82" t="n">
        <f aca="false">IF(P1994&lt;(Inputs!$E$27-Inputs!$D$27)/(Inputs!$F$27-Inputs!$D$27),Inputs!$D$27+SQRT(P1994*(Inputs!$F$27-Inputs!$D$27)*(Inputs!$E$27-Inputs!$D$27)),Inputs!$F$27-SQRT((1-P1994)*(Inputs!$F$27-Inputs!$D$27)*(Inputs!$F$27-Inputs!$E$27)))</f>
        <v>85.6891297083861</v>
      </c>
      <c r="R1994" s="81" t="n">
        <f aca="true">RAND()</f>
        <v>0.507035914673637</v>
      </c>
      <c r="S1994" s="82" t="n">
        <f aca="false">IF(R1994&lt;(Inputs!$E$29-Inputs!$D$29)/(Inputs!$F$29-Inputs!$D$29),Inputs!$D$29+SQRT(R1994*(Inputs!$F$29-Inputs!$D$29)*(Inputs!$E$29-Inputs!$D$29)),Inputs!$F$29-SQRT((1-R1994)*(Inputs!$F$29-Inputs!$D$29)*(Inputs!$F$29-Inputs!$E$29)))</f>
        <v>6.99466858322361</v>
      </c>
      <c r="T1994" s="68" t="n">
        <f aca="false">Inputs!$E$9*(1+E1994)+Inputs!$E$5*C1994*(Inputs!$E$11*Inputs!$E$14*(G1994*I1994/Inputs!$E$16+(1-G1994))*K1994+Inputs!$E$23*M1994)*(1+O1994)+Inputs!$E$5*(Q1994+S1994)</f>
        <v>7433.90337791903</v>
      </c>
    </row>
    <row r="1995" customFormat="false" ht="15" hidden="false" customHeight="false" outlineLevel="0" collapsed="false">
      <c r="A1995" s="1" t="n">
        <v>1991</v>
      </c>
      <c r="B1995" s="81" t="n">
        <f aca="true">RAND()</f>
        <v>0.660579719940036</v>
      </c>
      <c r="C1995" s="82" t="n">
        <f aca="false">ROUND(IF(B1995&lt;(Inputs!$E$8-Inputs!$D$8)/(Inputs!$F$8-Inputs!$D$8),Inputs!$D$8+SQRT(B1995*(Inputs!$F$8-Inputs!$D$8)*(Inputs!$E$8-Inputs!$D$8)),Inputs!$F$8-SQRT((1-B1995)*(Inputs!$F$8-Inputs!$D$8)*(Inputs!$F$8-Inputs!$E$8))),0)</f>
        <v>26</v>
      </c>
      <c r="D1995" s="81" t="n">
        <f aca="true">RAND()</f>
        <v>0.833971106213496</v>
      </c>
      <c r="E1995" s="83" t="n">
        <f aca="false">IF(D1995&lt;(Inputs!$E$10-Inputs!$D$10)/(Inputs!$F$10-Inputs!$D$10),Inputs!$D$10+SQRT(D1995*(Inputs!$F$10-Inputs!$D$10)*(Inputs!$E$10-Inputs!$D$10)),Inputs!$F$10-SQRT((1-D1995)*(Inputs!$F$10-Inputs!$D$10)*(Inputs!$F$10-Inputs!$E$10)))</f>
        <v>0.129424743616512</v>
      </c>
      <c r="F1995" s="81" t="n">
        <f aca="true">RAND()</f>
        <v>0.182395606255909</v>
      </c>
      <c r="G1995" s="83" t="n">
        <f aca="false">IF(F1995&lt;(Inputs!$E$15-Inputs!$D$15)/(Inputs!$F$15-Inputs!$D$15),Inputs!$D$15+SQRT(F1995*(Inputs!$F$15-Inputs!$D$15)*(Inputs!$E$15-Inputs!$D$15)),Inputs!$F$15-SQRT((1-F1995)*(Inputs!$F$15-Inputs!$D$15)*(Inputs!$F$15-Inputs!$E$15)))</f>
        <v>0.660397948020758</v>
      </c>
      <c r="H1995" s="81" t="n">
        <f aca="true">RAND()</f>
        <v>0.733468193521546</v>
      </c>
      <c r="I1995" s="82" t="n">
        <f aca="false">ROUND(IF(H1995&lt;(Inputs!$E$17-Inputs!$D$17)/(Inputs!$F$17-Inputs!$D$17),Inputs!$D$17+SQRT(H1995*(Inputs!$F$17-Inputs!$D$17)*(Inputs!$E$17-Inputs!$D$17)),Inputs!$F$17-SQRT((1-H1995)*(Inputs!$F$17-Inputs!$D$17)*(Inputs!$F$17-Inputs!$E$17))),0)</f>
        <v>109</v>
      </c>
      <c r="J1995" s="81" t="n">
        <f aca="true">RAND()</f>
        <v>0.640057091725707</v>
      </c>
      <c r="K1995" s="83" t="n">
        <f aca="false">IF(J1995&lt;(Inputs!$E$18-Inputs!$D$18)/(Inputs!$F$18-Inputs!$D$18),Inputs!$D$18+SQRT(J1995*(Inputs!$F$18-Inputs!$D$18)*(Inputs!$E$18-Inputs!$D$18)),Inputs!$F$18-SQRT((1-J1995)*(Inputs!$F$18-Inputs!$D$18)*(Inputs!$F$18-Inputs!$E$18)))</f>
        <v>1.0725316803652</v>
      </c>
      <c r="L1995" s="81" t="n">
        <f aca="true">RAND()</f>
        <v>0.296962727785162</v>
      </c>
      <c r="M1995" s="83" t="n">
        <f aca="false">IF(L1995&lt;(Inputs!$E$24-Inputs!$D$24)/(Inputs!$F$24-Inputs!$D$24),Inputs!$D$24+SQRT(L1995*(Inputs!$F$24-Inputs!$D$24)*(Inputs!$E$24-Inputs!$D$24)),Inputs!$F$24-SQRT((1-L1995)*(Inputs!$F$24-Inputs!$D$24)*(Inputs!$F$24-Inputs!$E$24)))</f>
        <v>0.788773746411463</v>
      </c>
      <c r="N1995" s="81" t="n">
        <f aca="true">RAND()</f>
        <v>0.973372799368704</v>
      </c>
      <c r="O1995" s="83" t="n">
        <f aca="false">IF(N1995&lt;(Inputs!$E$26-Inputs!$D$26)/(Inputs!$F$26-Inputs!$D$26),Inputs!$D$26+SQRT(N1995*(Inputs!$F$26-Inputs!$D$26)*(Inputs!$E$26-Inputs!$D$26)),Inputs!$F$26-SQRT((1-N1995)*(Inputs!$F$26-Inputs!$D$26)*(Inputs!$F$26-Inputs!$E$26)))</f>
        <v>0.767376536928336</v>
      </c>
      <c r="P1995" s="81" t="n">
        <f aca="true">RAND()</f>
        <v>0.597392834432493</v>
      </c>
      <c r="Q1995" s="82" t="n">
        <f aca="false">IF(P1995&lt;(Inputs!$E$27-Inputs!$D$27)/(Inputs!$F$27-Inputs!$D$27),Inputs!$D$27+SQRT(P1995*(Inputs!$F$27-Inputs!$D$27)*(Inputs!$E$27-Inputs!$D$27)),Inputs!$F$27-SQRT((1-P1995)*(Inputs!$F$27-Inputs!$D$27)*(Inputs!$F$27-Inputs!$E$27)))</f>
        <v>95.049533743959</v>
      </c>
      <c r="R1995" s="81" t="n">
        <f aca="true">RAND()</f>
        <v>0.389148516844658</v>
      </c>
      <c r="S1995" s="82" t="n">
        <f aca="false">IF(R1995&lt;(Inputs!$E$29-Inputs!$D$29)/(Inputs!$F$29-Inputs!$D$29),Inputs!$D$29+SQRT(R1995*(Inputs!$F$29-Inputs!$D$29)*(Inputs!$E$29-Inputs!$D$29)),Inputs!$F$29-SQRT((1-R1995)*(Inputs!$F$29-Inputs!$D$29)*(Inputs!$F$29-Inputs!$E$29)))</f>
        <v>6.08873225572285</v>
      </c>
      <c r="T1995" s="68" t="n">
        <f aca="false">Inputs!$E$9*(1+E1995)+Inputs!$E$5*C1995*(Inputs!$E$11*Inputs!$E$14*(G1995*I1995/Inputs!$E$16+(1-G1995))*K1995+Inputs!$E$23*M1995)*(1+O1995)+Inputs!$E$5*(Q1995+S1995)</f>
        <v>7048.44916238057</v>
      </c>
    </row>
    <row r="1996" customFormat="false" ht="15" hidden="false" customHeight="false" outlineLevel="0" collapsed="false">
      <c r="A1996" s="1" t="n">
        <v>1992</v>
      </c>
      <c r="B1996" s="81" t="n">
        <f aca="true">RAND()</f>
        <v>0.0826270213791323</v>
      </c>
      <c r="C1996" s="82" t="n">
        <f aca="false">ROUND(IF(B1996&lt;(Inputs!$E$8-Inputs!$D$8)/(Inputs!$F$8-Inputs!$D$8),Inputs!$D$8+SQRT(B1996*(Inputs!$F$8-Inputs!$D$8)*(Inputs!$E$8-Inputs!$D$8)),Inputs!$F$8-SQRT((1-B1996)*(Inputs!$F$8-Inputs!$D$8)*(Inputs!$F$8-Inputs!$E$8))),0)</f>
        <v>22</v>
      </c>
      <c r="D1996" s="81" t="n">
        <f aca="true">RAND()</f>
        <v>0.985173571496384</v>
      </c>
      <c r="E1996" s="83" t="n">
        <f aca="false">IF(D1996&lt;(Inputs!$E$10-Inputs!$D$10)/(Inputs!$F$10-Inputs!$D$10),Inputs!$D$10+SQRT(D1996*(Inputs!$F$10-Inputs!$D$10)*(Inputs!$E$10-Inputs!$D$10)),Inputs!$F$10-SQRT((1-D1996)*(Inputs!$F$10-Inputs!$D$10)*(Inputs!$F$10-Inputs!$E$10)))</f>
        <v>0.178909887266577</v>
      </c>
      <c r="F1996" s="81" t="n">
        <f aca="true">RAND()</f>
        <v>0.343692380095565</v>
      </c>
      <c r="G1996" s="83" t="n">
        <f aca="false">IF(F1996&lt;(Inputs!$E$15-Inputs!$D$15)/(Inputs!$F$15-Inputs!$D$15),Inputs!$D$15+SQRT(F1996*(Inputs!$F$15-Inputs!$D$15)*(Inputs!$E$15-Inputs!$D$15)),Inputs!$F$15-SQRT((1-F1996)*(Inputs!$F$15-Inputs!$D$15)*(Inputs!$F$15-Inputs!$E$15)))</f>
        <v>0.682908670245707</v>
      </c>
      <c r="H1996" s="81" t="n">
        <f aca="true">RAND()</f>
        <v>0.584445014878228</v>
      </c>
      <c r="I1996" s="82" t="n">
        <f aca="false">ROUND(IF(H1996&lt;(Inputs!$E$17-Inputs!$D$17)/(Inputs!$F$17-Inputs!$D$17),Inputs!$D$17+SQRT(H1996*(Inputs!$F$17-Inputs!$D$17)*(Inputs!$E$17-Inputs!$D$17)),Inputs!$F$17-SQRT((1-H1996)*(Inputs!$F$17-Inputs!$D$17)*(Inputs!$F$17-Inputs!$E$17))),0)</f>
        <v>107</v>
      </c>
      <c r="J1996" s="81" t="n">
        <f aca="true">RAND()</f>
        <v>0.240726336303167</v>
      </c>
      <c r="K1996" s="83" t="n">
        <f aca="false">IF(J1996&lt;(Inputs!$E$18-Inputs!$D$18)/(Inputs!$F$18-Inputs!$D$18),Inputs!$D$18+SQRT(J1996*(Inputs!$F$18-Inputs!$D$18)*(Inputs!$E$18-Inputs!$D$18)),Inputs!$F$18-SQRT((1-J1996)*(Inputs!$F$18-Inputs!$D$18)*(Inputs!$F$18-Inputs!$E$18)))</f>
        <v>0.991790096255592</v>
      </c>
      <c r="L1996" s="81" t="n">
        <f aca="true">RAND()</f>
        <v>0.558005211299407</v>
      </c>
      <c r="M1996" s="83" t="n">
        <f aca="false">IF(L1996&lt;(Inputs!$E$24-Inputs!$D$24)/(Inputs!$F$24-Inputs!$D$24),Inputs!$D$24+SQRT(L1996*(Inputs!$F$24-Inputs!$D$24)*(Inputs!$E$24-Inputs!$D$24)),Inputs!$F$24-SQRT((1-L1996)*(Inputs!$F$24-Inputs!$D$24)*(Inputs!$F$24-Inputs!$E$24)))</f>
        <v>0.874302672273563</v>
      </c>
      <c r="N1996" s="81" t="n">
        <f aca="true">RAND()</f>
        <v>0.601488364826461</v>
      </c>
      <c r="O1996" s="83" t="n">
        <f aca="false">IF(N1996&lt;(Inputs!$E$26-Inputs!$D$26)/(Inputs!$F$26-Inputs!$D$26),Inputs!$D$26+SQRT(N1996*(Inputs!$F$26-Inputs!$D$26)*(Inputs!$E$26-Inputs!$D$26)),Inputs!$F$26-SQRT((1-N1996)*(Inputs!$F$26-Inputs!$D$26)*(Inputs!$F$26-Inputs!$E$26)))</f>
        <v>0.616366344460221</v>
      </c>
      <c r="P1996" s="81" t="n">
        <f aca="true">RAND()</f>
        <v>0.633843496616746</v>
      </c>
      <c r="Q1996" s="82" t="n">
        <f aca="false">IF(P1996&lt;(Inputs!$E$27-Inputs!$D$27)/(Inputs!$F$27-Inputs!$D$27),Inputs!$D$27+SQRT(P1996*(Inputs!$F$27-Inputs!$D$27)*(Inputs!$E$27-Inputs!$D$27)),Inputs!$F$27-SQRT((1-P1996)*(Inputs!$F$27-Inputs!$D$27)*(Inputs!$F$27-Inputs!$E$27)))</f>
        <v>97.5960519104294</v>
      </c>
      <c r="R1996" s="81" t="n">
        <f aca="true">RAND()</f>
        <v>0.924330574876655</v>
      </c>
      <c r="S1996" s="82" t="n">
        <f aca="false">IF(R1996&lt;(Inputs!$E$29-Inputs!$D$29)/(Inputs!$F$29-Inputs!$D$29),Inputs!$D$29+SQRT(R1996*(Inputs!$F$29-Inputs!$D$29)*(Inputs!$E$29-Inputs!$D$29)),Inputs!$F$29-SQRT((1-R1996)*(Inputs!$F$29-Inputs!$D$29)*(Inputs!$F$29-Inputs!$E$29)))</f>
        <v>11.8635967628452</v>
      </c>
      <c r="T1996" s="68" t="n">
        <f aca="false">Inputs!$E$9*(1+E1996)+Inputs!$E$5*C1996*(Inputs!$E$11*Inputs!$E$14*(G1996*I1996/Inputs!$E$16+(1-G1996))*K1996+Inputs!$E$23*M1996)*(1+O1996)+Inputs!$E$5*(Q1996+S1996)</f>
        <v>6183.35862371539</v>
      </c>
    </row>
    <row r="1997" customFormat="false" ht="15" hidden="false" customHeight="false" outlineLevel="0" collapsed="false">
      <c r="A1997" s="1" t="n">
        <v>1993</v>
      </c>
      <c r="B1997" s="81" t="n">
        <f aca="true">RAND()</f>
        <v>0.345245883663838</v>
      </c>
      <c r="C1997" s="82" t="n">
        <f aca="false">ROUND(IF(B1997&lt;(Inputs!$E$8-Inputs!$D$8)/(Inputs!$F$8-Inputs!$D$8),Inputs!$D$8+SQRT(B1997*(Inputs!$F$8-Inputs!$D$8)*(Inputs!$E$8-Inputs!$D$8)),Inputs!$F$8-SQRT((1-B1997)*(Inputs!$F$8-Inputs!$D$8)*(Inputs!$F$8-Inputs!$E$8))),0)</f>
        <v>24</v>
      </c>
      <c r="D1997" s="81" t="n">
        <f aca="true">RAND()</f>
        <v>0.028356715921008</v>
      </c>
      <c r="E1997" s="83" t="n">
        <f aca="false">IF(D1997&lt;(Inputs!$E$10-Inputs!$D$10)/(Inputs!$F$10-Inputs!$D$10),Inputs!$D$10+SQRT(D1997*(Inputs!$F$10-Inputs!$D$10)*(Inputs!$E$10-Inputs!$D$10)),Inputs!$F$10-SQRT((1-D1997)*(Inputs!$F$10-Inputs!$D$10)*(Inputs!$F$10-Inputs!$E$10)))</f>
        <v>0.0168394524617067</v>
      </c>
      <c r="F1997" s="81" t="n">
        <f aca="true">RAND()</f>
        <v>0.190214857413101</v>
      </c>
      <c r="G1997" s="83" t="n">
        <f aca="false">IF(F1997&lt;(Inputs!$E$15-Inputs!$D$15)/(Inputs!$F$15-Inputs!$D$15),Inputs!$D$15+SQRT(F1997*(Inputs!$F$15-Inputs!$D$15)*(Inputs!$E$15-Inputs!$D$15)),Inputs!$F$15-SQRT((1-F1997)*(Inputs!$F$15-Inputs!$D$15)*(Inputs!$F$15-Inputs!$E$15)))</f>
        <v>0.661678984656543</v>
      </c>
      <c r="H1997" s="81" t="n">
        <f aca="true">RAND()</f>
        <v>0.827143012948235</v>
      </c>
      <c r="I1997" s="82" t="n">
        <f aca="false">ROUND(IF(H1997&lt;(Inputs!$E$17-Inputs!$D$17)/(Inputs!$F$17-Inputs!$D$17),Inputs!$D$17+SQRT(H1997*(Inputs!$F$17-Inputs!$D$17)*(Inputs!$E$17-Inputs!$D$17)),Inputs!$F$17-SQRT((1-H1997)*(Inputs!$F$17-Inputs!$D$17)*(Inputs!$F$17-Inputs!$E$17))),0)</f>
        <v>110</v>
      </c>
      <c r="J1997" s="81" t="n">
        <f aca="true">RAND()</f>
        <v>0.981161434388108</v>
      </c>
      <c r="K1997" s="83" t="n">
        <f aca="false">IF(J1997&lt;(Inputs!$E$18-Inputs!$D$18)/(Inputs!$F$18-Inputs!$D$18),Inputs!$D$18+SQRT(J1997*(Inputs!$F$18-Inputs!$D$18)*(Inputs!$E$18-Inputs!$D$18)),Inputs!$F$18-SQRT((1-J1997)*(Inputs!$F$18-Inputs!$D$18)*(Inputs!$F$18-Inputs!$E$18)))</f>
        <v>1.2093998215393</v>
      </c>
      <c r="L1997" s="81" t="n">
        <f aca="true">RAND()</f>
        <v>0.239513661671121</v>
      </c>
      <c r="M1997" s="83" t="n">
        <f aca="false">IF(L1997&lt;(Inputs!$E$24-Inputs!$D$24)/(Inputs!$F$24-Inputs!$D$24),Inputs!$D$24+SQRT(L1997*(Inputs!$F$24-Inputs!$D$24)*(Inputs!$E$24-Inputs!$D$24)),Inputs!$F$24-SQRT((1-L1997)*(Inputs!$F$24-Inputs!$D$24)*(Inputs!$F$24-Inputs!$E$24)))</f>
        <v>0.769533593722703</v>
      </c>
      <c r="N1997" s="81" t="n">
        <f aca="true">RAND()</f>
        <v>0.824689624618768</v>
      </c>
      <c r="O1997" s="83" t="n">
        <f aca="false">IF(N1997&lt;(Inputs!$E$26-Inputs!$D$26)/(Inputs!$F$26-Inputs!$D$26),Inputs!$D$26+SQRT(N1997*(Inputs!$F$26-Inputs!$D$26)*(Inputs!$E$26-Inputs!$D$26)),Inputs!$F$26-SQRT((1-N1997)*(Inputs!$F$26-Inputs!$D$26)*(Inputs!$F$26-Inputs!$E$26)))</f>
        <v>0.684973043285246</v>
      </c>
      <c r="P1997" s="81" t="n">
        <f aca="true">RAND()</f>
        <v>0.439333924005339</v>
      </c>
      <c r="Q1997" s="82" t="n">
        <f aca="false">IF(P1997&lt;(Inputs!$E$27-Inputs!$D$27)/(Inputs!$F$27-Inputs!$D$27),Inputs!$D$27+SQRT(P1997*(Inputs!$F$27-Inputs!$D$27)*(Inputs!$E$27-Inputs!$D$27)),Inputs!$F$27-SQRT((1-P1997)*(Inputs!$F$27-Inputs!$D$27)*(Inputs!$F$27-Inputs!$E$27)))</f>
        <v>85.1540628106898</v>
      </c>
      <c r="R1997" s="81" t="n">
        <f aca="true">RAND()</f>
        <v>0.0540974468969672</v>
      </c>
      <c r="S1997" s="82" t="n">
        <f aca="false">IF(R1997&lt;(Inputs!$E$29-Inputs!$D$29)/(Inputs!$F$29-Inputs!$D$29),Inputs!$D$29+SQRT(R1997*(Inputs!$F$29-Inputs!$D$29)*(Inputs!$E$29-Inputs!$D$29)),Inputs!$F$29-SQRT((1-R1997)*(Inputs!$F$29-Inputs!$D$29)*(Inputs!$F$29-Inputs!$E$29)))</f>
        <v>3.45251520783148</v>
      </c>
      <c r="T1997" s="68" t="n">
        <f aca="false">Inputs!$E$9*(1+E1997)+Inputs!$E$5*C1997*(Inputs!$E$11*Inputs!$E$14*(G1997*I1997/Inputs!$E$16+(1-G1997))*K1997+Inputs!$E$23*M1997)*(1+O1997)+Inputs!$E$5*(Q1997+S1997)</f>
        <v>6545.65856997155</v>
      </c>
    </row>
    <row r="1998" customFormat="false" ht="15" hidden="false" customHeight="false" outlineLevel="0" collapsed="false">
      <c r="A1998" s="1" t="n">
        <v>1994</v>
      </c>
      <c r="B1998" s="81" t="n">
        <f aca="true">RAND()</f>
        <v>0.403120042871419</v>
      </c>
      <c r="C1998" s="82" t="n">
        <f aca="false">ROUND(IF(B1998&lt;(Inputs!$E$8-Inputs!$D$8)/(Inputs!$F$8-Inputs!$D$8),Inputs!$D$8+SQRT(B1998*(Inputs!$F$8-Inputs!$D$8)*(Inputs!$E$8-Inputs!$D$8)),Inputs!$F$8-SQRT((1-B1998)*(Inputs!$F$8-Inputs!$D$8)*(Inputs!$F$8-Inputs!$E$8))),0)</f>
        <v>24</v>
      </c>
      <c r="D1998" s="81" t="n">
        <f aca="true">RAND()</f>
        <v>0.315473333282464</v>
      </c>
      <c r="E1998" s="83" t="n">
        <f aca="false">IF(D1998&lt;(Inputs!$E$10-Inputs!$D$10)/(Inputs!$F$10-Inputs!$D$10),Inputs!$D$10+SQRT(D1998*(Inputs!$F$10-Inputs!$D$10)*(Inputs!$E$10-Inputs!$D$10)),Inputs!$F$10-SQRT((1-D1998)*(Inputs!$F$10-Inputs!$D$10)*(Inputs!$F$10-Inputs!$E$10)))</f>
        <v>0.056696824872838</v>
      </c>
      <c r="F1998" s="81" t="n">
        <f aca="true">RAND()</f>
        <v>0.832281942366308</v>
      </c>
      <c r="G1998" s="83" t="n">
        <f aca="false">IF(F1998&lt;(Inputs!$E$15-Inputs!$D$15)/(Inputs!$F$15-Inputs!$D$15),Inputs!$D$15+SQRT(F1998*(Inputs!$F$15-Inputs!$D$15)*(Inputs!$E$15-Inputs!$D$15)),Inputs!$F$15-SQRT((1-F1998)*(Inputs!$F$15-Inputs!$D$15)*(Inputs!$F$15-Inputs!$E$15)))</f>
        <v>0.742083153118684</v>
      </c>
      <c r="H1998" s="81" t="n">
        <f aca="true">RAND()</f>
        <v>0.565731355958755</v>
      </c>
      <c r="I1998" s="82" t="n">
        <f aca="false">ROUND(IF(H1998&lt;(Inputs!$E$17-Inputs!$D$17)/(Inputs!$F$17-Inputs!$D$17),Inputs!$D$17+SQRT(H1998*(Inputs!$F$17-Inputs!$D$17)*(Inputs!$E$17-Inputs!$D$17)),Inputs!$F$17-SQRT((1-H1998)*(Inputs!$F$17-Inputs!$D$17)*(Inputs!$F$17-Inputs!$E$17))),0)</f>
        <v>107</v>
      </c>
      <c r="J1998" s="81" t="n">
        <f aca="true">RAND()</f>
        <v>0.139762078665916</v>
      </c>
      <c r="K1998" s="83" t="n">
        <f aca="false">IF(J1998&lt;(Inputs!$E$18-Inputs!$D$18)/(Inputs!$F$18-Inputs!$D$18),Inputs!$D$18+SQRT(J1998*(Inputs!$F$18-Inputs!$D$18)*(Inputs!$E$18-Inputs!$D$18)),Inputs!$F$18-SQRT((1-J1998)*(Inputs!$F$18-Inputs!$D$18)*(Inputs!$F$18-Inputs!$E$18)))</f>
        <v>0.969940494374197</v>
      </c>
      <c r="L1998" s="81" t="n">
        <f aca="true">RAND()</f>
        <v>0.904337022452595</v>
      </c>
      <c r="M1998" s="83" t="n">
        <f aca="false">IF(L1998&lt;(Inputs!$E$24-Inputs!$D$24)/(Inputs!$F$24-Inputs!$D$24),Inputs!$D$24+SQRT(L1998*(Inputs!$F$24-Inputs!$D$24)*(Inputs!$E$24-Inputs!$D$24)),Inputs!$F$24-SQRT((1-L1998)*(Inputs!$F$24-Inputs!$D$24)*(Inputs!$F$24-Inputs!$E$24)))</f>
        <v>1.04847734621062</v>
      </c>
      <c r="N1998" s="81" t="n">
        <f aca="true">RAND()</f>
        <v>0.184176765647223</v>
      </c>
      <c r="O1998" s="83" t="n">
        <f aca="false">IF(N1998&lt;(Inputs!$E$26-Inputs!$D$26)/(Inputs!$F$26-Inputs!$D$26),Inputs!$D$26+SQRT(N1998*(Inputs!$F$26-Inputs!$D$26)*(Inputs!$E$26-Inputs!$D$26)),Inputs!$F$26-SQRT((1-N1998)*(Inputs!$F$26-Inputs!$D$26)*(Inputs!$F$26-Inputs!$E$26)))</f>
        <v>0.475062885283255</v>
      </c>
      <c r="P1998" s="81" t="n">
        <f aca="true">RAND()</f>
        <v>0.862619372365208</v>
      </c>
      <c r="Q1998" s="82" t="n">
        <f aca="false">IF(P1998&lt;(Inputs!$E$27-Inputs!$D$27)/(Inputs!$F$27-Inputs!$D$27),Inputs!$D$27+SQRT(P1998*(Inputs!$F$27-Inputs!$D$27)*(Inputs!$E$27-Inputs!$D$27)),Inputs!$F$27-SQRT((1-P1998)*(Inputs!$F$27-Inputs!$D$27)*(Inputs!$F$27-Inputs!$E$27)))</f>
        <v>117.900861269172</v>
      </c>
      <c r="R1998" s="81" t="n">
        <f aca="true">RAND()</f>
        <v>0.397911603221955</v>
      </c>
      <c r="S1998" s="82" t="n">
        <f aca="false">IF(R1998&lt;(Inputs!$E$29-Inputs!$D$29)/(Inputs!$F$29-Inputs!$D$29),Inputs!$D$29+SQRT(R1998*(Inputs!$F$29-Inputs!$D$29)*(Inputs!$E$29-Inputs!$D$29)),Inputs!$F$29-SQRT((1-R1998)*(Inputs!$F$29-Inputs!$D$29)*(Inputs!$F$29-Inputs!$E$29)))</f>
        <v>6.15288230093293</v>
      </c>
      <c r="T1998" s="68" t="n">
        <f aca="false">Inputs!$E$9*(1+E1998)+Inputs!$E$5*C1998*(Inputs!$E$11*Inputs!$E$14*(G1998*I1998/Inputs!$E$16+(1-G1998))*K1998+Inputs!$E$23*M1998)*(1+O1998)+Inputs!$E$5*(Q1998+S1998)</f>
        <v>6085.33017745249</v>
      </c>
    </row>
    <row r="1999" customFormat="false" ht="15" hidden="false" customHeight="false" outlineLevel="0" collapsed="false">
      <c r="A1999" s="1" t="n">
        <v>1995</v>
      </c>
      <c r="B1999" s="81" t="n">
        <f aca="true">RAND()</f>
        <v>0.307895863598813</v>
      </c>
      <c r="C1999" s="82" t="n">
        <f aca="false">ROUND(IF(B1999&lt;(Inputs!$E$8-Inputs!$D$8)/(Inputs!$F$8-Inputs!$D$8),Inputs!$D$8+SQRT(B1999*(Inputs!$F$8-Inputs!$D$8)*(Inputs!$E$8-Inputs!$D$8)),Inputs!$F$8-SQRT((1-B1999)*(Inputs!$F$8-Inputs!$D$8)*(Inputs!$F$8-Inputs!$E$8))),0)</f>
        <v>24</v>
      </c>
      <c r="D1999" s="81" t="n">
        <f aca="true">RAND()</f>
        <v>0.378362391676743</v>
      </c>
      <c r="E1999" s="83" t="n">
        <f aca="false">IF(D1999&lt;(Inputs!$E$10-Inputs!$D$10)/(Inputs!$F$10-Inputs!$D$10),Inputs!$D$10+SQRT(D1999*(Inputs!$F$10-Inputs!$D$10)*(Inputs!$E$10-Inputs!$D$10)),Inputs!$F$10-SQRT((1-D1999)*(Inputs!$F$10-Inputs!$D$10)*(Inputs!$F$10-Inputs!$E$10)))</f>
        <v>0.0634381889044463</v>
      </c>
      <c r="F1999" s="81" t="n">
        <f aca="true">RAND()</f>
        <v>0.375305000143832</v>
      </c>
      <c r="G1999" s="83" t="n">
        <f aca="false">IF(F1999&lt;(Inputs!$E$15-Inputs!$D$15)/(Inputs!$F$15-Inputs!$D$15),Inputs!$D$15+SQRT(F1999*(Inputs!$F$15-Inputs!$D$15)*(Inputs!$E$15-Inputs!$D$15)),Inputs!$F$15-SQRT((1-F1999)*(Inputs!$F$15-Inputs!$D$15)*(Inputs!$F$15-Inputs!$E$15)))</f>
        <v>0.686637751603309</v>
      </c>
      <c r="H1999" s="81" t="n">
        <f aca="true">RAND()</f>
        <v>0.902020282590779</v>
      </c>
      <c r="I1999" s="82" t="n">
        <f aca="false">ROUND(IF(H1999&lt;(Inputs!$E$17-Inputs!$D$17)/(Inputs!$F$17-Inputs!$D$17),Inputs!$D$17+SQRT(H1999*(Inputs!$F$17-Inputs!$D$17)*(Inputs!$E$17-Inputs!$D$17)),Inputs!$F$17-SQRT((1-H1999)*(Inputs!$F$17-Inputs!$D$17)*(Inputs!$F$17-Inputs!$E$17))),0)</f>
        <v>111</v>
      </c>
      <c r="J1999" s="81" t="n">
        <f aca="true">RAND()</f>
        <v>0.0764988799559439</v>
      </c>
      <c r="K1999" s="83" t="n">
        <f aca="false">IF(J1999&lt;(Inputs!$E$18-Inputs!$D$18)/(Inputs!$F$18-Inputs!$D$18),Inputs!$D$18+SQRT(J1999*(Inputs!$F$18-Inputs!$D$18)*(Inputs!$E$18-Inputs!$D$18)),Inputs!$F$18-SQRT((1-J1999)*(Inputs!$F$18-Inputs!$D$18)*(Inputs!$F$18-Inputs!$E$18)))</f>
        <v>0.951744186131951</v>
      </c>
      <c r="L1999" s="81" t="n">
        <f aca="true">RAND()</f>
        <v>0.440630341261669</v>
      </c>
      <c r="M1999" s="83" t="n">
        <f aca="false">IF(L1999&lt;(Inputs!$E$24-Inputs!$D$24)/(Inputs!$F$24-Inputs!$D$24),Inputs!$D$24+SQRT(L1999*(Inputs!$F$24-Inputs!$D$24)*(Inputs!$E$24-Inputs!$D$24)),Inputs!$F$24-SQRT((1-L1999)*(Inputs!$F$24-Inputs!$D$24)*(Inputs!$F$24-Inputs!$E$24)))</f>
        <v>0.833600330107682</v>
      </c>
      <c r="N1999" s="81" t="n">
        <f aca="true">RAND()</f>
        <v>0.122551896480852</v>
      </c>
      <c r="O1999" s="83" t="n">
        <f aca="false">IF(N1999&lt;(Inputs!$E$26-Inputs!$D$26)/(Inputs!$F$26-Inputs!$D$26),Inputs!$D$26+SQRT(N1999*(Inputs!$F$26-Inputs!$D$26)*(Inputs!$E$26-Inputs!$D$26)),Inputs!$F$26-SQRT((1-N1999)*(Inputs!$F$26-Inputs!$D$26)*(Inputs!$F$26-Inputs!$E$26)))</f>
        <v>0.442802785597529</v>
      </c>
      <c r="P1999" s="81" t="n">
        <f aca="true">RAND()</f>
        <v>0.00122295074109108</v>
      </c>
      <c r="Q1999" s="82" t="n">
        <f aca="false">IF(P1999&lt;(Inputs!$E$27-Inputs!$D$27)/(Inputs!$F$27-Inputs!$D$27),Inputs!$D$27+SQRT(P1999*(Inputs!$F$27-Inputs!$D$27)*(Inputs!$E$27-Inputs!$D$27)),Inputs!$F$27-SQRT((1-P1999)*(Inputs!$F$27-Inputs!$D$27)*(Inputs!$F$27-Inputs!$E$27)))</f>
        <v>51.7485356309574</v>
      </c>
      <c r="R1999" s="81" t="n">
        <f aca="true">RAND()</f>
        <v>0.310485786578901</v>
      </c>
      <c r="S1999" s="82" t="n">
        <f aca="false">IF(R1999&lt;(Inputs!$E$29-Inputs!$D$29)/(Inputs!$F$29-Inputs!$D$29),Inputs!$D$29+SQRT(R1999*(Inputs!$F$29-Inputs!$D$29)*(Inputs!$E$29-Inputs!$D$29)),Inputs!$F$29-SQRT((1-R1999)*(Inputs!$F$29-Inputs!$D$29)*(Inputs!$F$29-Inputs!$E$29)))</f>
        <v>5.53232617034454</v>
      </c>
      <c r="T1999" s="68" t="n">
        <f aca="false">Inputs!$E$9*(1+E1999)+Inputs!$E$5*C1999*(Inputs!$E$11*Inputs!$E$14*(G1999*I1999/Inputs!$E$16+(1-G1999))*K1999+Inputs!$E$23*M1999)*(1+O1999)+Inputs!$E$5*(Q1999+S1999)</f>
        <v>5496.01784066633</v>
      </c>
    </row>
    <row r="2000" customFormat="false" ht="15" hidden="false" customHeight="false" outlineLevel="0" collapsed="false">
      <c r="A2000" s="1" t="n">
        <v>1996</v>
      </c>
      <c r="B2000" s="81" t="n">
        <f aca="true">RAND()</f>
        <v>0.298276834327243</v>
      </c>
      <c r="C2000" s="82" t="n">
        <f aca="false">ROUND(IF(B2000&lt;(Inputs!$E$8-Inputs!$D$8)/(Inputs!$F$8-Inputs!$D$8),Inputs!$D$8+SQRT(B2000*(Inputs!$F$8-Inputs!$D$8)*(Inputs!$E$8-Inputs!$D$8)),Inputs!$F$8-SQRT((1-B2000)*(Inputs!$F$8-Inputs!$D$8)*(Inputs!$F$8-Inputs!$E$8))),0)</f>
        <v>24</v>
      </c>
      <c r="D2000" s="81" t="n">
        <f aca="true">RAND()</f>
        <v>0.340168174099542</v>
      </c>
      <c r="E2000" s="83" t="n">
        <f aca="false">IF(D2000&lt;(Inputs!$E$10-Inputs!$D$10)/(Inputs!$F$10-Inputs!$D$10),Inputs!$D$10+SQRT(D2000*(Inputs!$F$10-Inputs!$D$10)*(Inputs!$E$10-Inputs!$D$10)),Inputs!$F$10-SQRT((1-D2000)*(Inputs!$F$10-Inputs!$D$10)*(Inputs!$F$10-Inputs!$E$10)))</f>
        <v>0.0593054557667081</v>
      </c>
      <c r="F2000" s="81" t="n">
        <f aca="true">RAND()</f>
        <v>0.367077817455132</v>
      </c>
      <c r="G2000" s="83" t="n">
        <f aca="false">IF(F2000&lt;(Inputs!$E$15-Inputs!$D$15)/(Inputs!$F$15-Inputs!$D$15),Inputs!$D$15+SQRT(F2000*(Inputs!$F$15-Inputs!$D$15)*(Inputs!$E$15-Inputs!$D$15)),Inputs!$F$15-SQRT((1-F2000)*(Inputs!$F$15-Inputs!$D$15)*(Inputs!$F$15-Inputs!$E$15)))</f>
        <v>0.685682882474288</v>
      </c>
      <c r="H2000" s="81" t="n">
        <f aca="true">RAND()</f>
        <v>0.623442863958815</v>
      </c>
      <c r="I2000" s="82" t="n">
        <f aca="false">ROUND(IF(H2000&lt;(Inputs!$E$17-Inputs!$D$17)/(Inputs!$F$17-Inputs!$D$17),Inputs!$D$17+SQRT(H2000*(Inputs!$F$17-Inputs!$D$17)*(Inputs!$E$17-Inputs!$D$17)),Inputs!$F$17-SQRT((1-H2000)*(Inputs!$F$17-Inputs!$D$17)*(Inputs!$F$17-Inputs!$E$17))),0)</f>
        <v>107</v>
      </c>
      <c r="J2000" s="81" t="n">
        <f aca="true">RAND()</f>
        <v>0.579940874872391</v>
      </c>
      <c r="K2000" s="83" t="n">
        <f aca="false">IF(J2000&lt;(Inputs!$E$18-Inputs!$D$18)/(Inputs!$F$18-Inputs!$D$18),Inputs!$D$18+SQRT(J2000*(Inputs!$F$18-Inputs!$D$18)*(Inputs!$E$18-Inputs!$D$18)),Inputs!$F$18-SQRT((1-J2000)*(Inputs!$F$18-Inputs!$D$18)*(Inputs!$F$18-Inputs!$E$18)))</f>
        <v>1.05828361194549</v>
      </c>
      <c r="L2000" s="81" t="n">
        <f aca="true">RAND()</f>
        <v>0.222154743537069</v>
      </c>
      <c r="M2000" s="83" t="n">
        <f aca="false">IF(L2000&lt;(Inputs!$E$24-Inputs!$D$24)/(Inputs!$F$24-Inputs!$D$24),Inputs!$D$24+SQRT(L2000*(Inputs!$F$24-Inputs!$D$24)*(Inputs!$E$24-Inputs!$D$24)),Inputs!$F$24-SQRT((1-L2000)*(Inputs!$F$24-Inputs!$D$24)*(Inputs!$F$24-Inputs!$E$24)))</f>
        <v>0.763274521051045</v>
      </c>
      <c r="N2000" s="81" t="n">
        <f aca="true">RAND()</f>
        <v>0.558642155486505</v>
      </c>
      <c r="O2000" s="83" t="n">
        <f aca="false">IF(N2000&lt;(Inputs!$E$26-Inputs!$D$26)/(Inputs!$F$26-Inputs!$D$26),Inputs!$D$26+SQRT(N2000*(Inputs!$F$26-Inputs!$D$26)*(Inputs!$E$26-Inputs!$D$26)),Inputs!$F$26-SQRT((1-N2000)*(Inputs!$F$26-Inputs!$D$26)*(Inputs!$F$26-Inputs!$E$26)))</f>
        <v>0.60489023381039</v>
      </c>
      <c r="P2000" s="81" t="n">
        <f aca="true">RAND()</f>
        <v>0.360253917083708</v>
      </c>
      <c r="Q2000" s="82" t="n">
        <f aca="false">IF(P2000&lt;(Inputs!$E$27-Inputs!$D$27)/(Inputs!$F$27-Inputs!$D$27),Inputs!$D$27+SQRT(P2000*(Inputs!$F$27-Inputs!$D$27)*(Inputs!$E$27-Inputs!$D$27)),Inputs!$F$27-SQRT((1-P2000)*(Inputs!$F$27-Inputs!$D$27)*(Inputs!$F$27-Inputs!$E$27)))</f>
        <v>80.7317127260087</v>
      </c>
      <c r="R2000" s="81" t="n">
        <f aca="true">RAND()</f>
        <v>0.722822832698602</v>
      </c>
      <c r="S2000" s="82" t="n">
        <f aca="false">IF(R2000&lt;(Inputs!$E$29-Inputs!$D$29)/(Inputs!$F$29-Inputs!$D$29),Inputs!$D$29+SQRT(R2000*(Inputs!$F$29-Inputs!$D$29)*(Inputs!$E$29-Inputs!$D$29)),Inputs!$F$29-SQRT((1-R2000)*(Inputs!$F$29-Inputs!$D$29)*(Inputs!$F$29-Inputs!$E$29)))</f>
        <v>8.9972479853669</v>
      </c>
      <c r="T2000" s="68" t="n">
        <f aca="false">Inputs!$E$9*(1+E2000)+Inputs!$E$5*C2000*(Inputs!$E$11*Inputs!$E$14*(G2000*I2000/Inputs!$E$16+(1-G2000))*K2000+Inputs!$E$23*M2000)*(1+O2000)+Inputs!$E$5*(Q2000+S2000)</f>
        <v>6058.91101193226</v>
      </c>
    </row>
    <row r="2001" customFormat="false" ht="15" hidden="false" customHeight="false" outlineLevel="0" collapsed="false">
      <c r="A2001" s="1" t="n">
        <v>1997</v>
      </c>
      <c r="B2001" s="81" t="n">
        <f aca="true">RAND()</f>
        <v>0.349542943630532</v>
      </c>
      <c r="C2001" s="82" t="n">
        <f aca="false">ROUND(IF(B2001&lt;(Inputs!$E$8-Inputs!$D$8)/(Inputs!$F$8-Inputs!$D$8),Inputs!$D$8+SQRT(B2001*(Inputs!$F$8-Inputs!$D$8)*(Inputs!$E$8-Inputs!$D$8)),Inputs!$F$8-SQRT((1-B2001)*(Inputs!$F$8-Inputs!$D$8)*(Inputs!$F$8-Inputs!$E$8))),0)</f>
        <v>24</v>
      </c>
      <c r="D2001" s="81" t="n">
        <f aca="true">RAND()</f>
        <v>0.922391878807561</v>
      </c>
      <c r="E2001" s="83" t="n">
        <f aca="false">IF(D2001&lt;(Inputs!$E$10-Inputs!$D$10)/(Inputs!$F$10-Inputs!$D$10),Inputs!$D$10+SQRT(D2001*(Inputs!$F$10-Inputs!$D$10)*(Inputs!$E$10-Inputs!$D$10)),Inputs!$F$10-SQRT((1-D2001)*(Inputs!$F$10-Inputs!$D$10)*(Inputs!$F$10-Inputs!$E$10)))</f>
        <v>0.151748122981865</v>
      </c>
      <c r="F2001" s="81" t="n">
        <f aca="true">RAND()</f>
        <v>0.482241403161095</v>
      </c>
      <c r="G2001" s="83" t="n">
        <f aca="false">IF(F2001&lt;(Inputs!$E$15-Inputs!$D$15)/(Inputs!$F$15-Inputs!$D$15),Inputs!$D$15+SQRT(F2001*(Inputs!$F$15-Inputs!$D$15)*(Inputs!$E$15-Inputs!$D$15)),Inputs!$F$15-SQRT((1-F2001)*(Inputs!$F$15-Inputs!$D$15)*(Inputs!$F$15-Inputs!$E$15)))</f>
        <v>0.698208085528748</v>
      </c>
      <c r="H2001" s="81" t="n">
        <f aca="true">RAND()</f>
        <v>0.510181669722666</v>
      </c>
      <c r="I2001" s="82" t="n">
        <f aca="false">ROUND(IF(H2001&lt;(Inputs!$E$17-Inputs!$D$17)/(Inputs!$F$17-Inputs!$D$17),Inputs!$D$17+SQRT(H2001*(Inputs!$F$17-Inputs!$D$17)*(Inputs!$E$17-Inputs!$D$17)),Inputs!$F$17-SQRT((1-H2001)*(Inputs!$F$17-Inputs!$D$17)*(Inputs!$F$17-Inputs!$E$17))),0)</f>
        <v>106</v>
      </c>
      <c r="J2001" s="81" t="n">
        <f aca="true">RAND()</f>
        <v>0.402064863796871</v>
      </c>
      <c r="K2001" s="83" t="n">
        <f aca="false">IF(J2001&lt;(Inputs!$E$18-Inputs!$D$18)/(Inputs!$F$18-Inputs!$D$18),Inputs!$D$18+SQRT(J2001*(Inputs!$F$18-Inputs!$D$18)*(Inputs!$E$18-Inputs!$D$18)),Inputs!$F$18-SQRT((1-J2001)*(Inputs!$F$18-Inputs!$D$18)*(Inputs!$F$18-Inputs!$E$18)))</f>
        <v>1.0212658214919</v>
      </c>
      <c r="L2001" s="81" t="n">
        <f aca="true">RAND()</f>
        <v>0.256096728038504</v>
      </c>
      <c r="M2001" s="83" t="n">
        <f aca="false">IF(L2001&lt;(Inputs!$E$24-Inputs!$D$24)/(Inputs!$F$24-Inputs!$D$24),Inputs!$D$24+SQRT(L2001*(Inputs!$F$24-Inputs!$D$24)*(Inputs!$E$24-Inputs!$D$24)),Inputs!$F$24-SQRT((1-L2001)*(Inputs!$F$24-Inputs!$D$24)*(Inputs!$F$24-Inputs!$E$24)))</f>
        <v>0.775304327854792</v>
      </c>
      <c r="N2001" s="81" t="n">
        <f aca="true">RAND()</f>
        <v>0.784885326598064</v>
      </c>
      <c r="O2001" s="83" t="n">
        <f aca="false">IF(N2001&lt;(Inputs!$E$26-Inputs!$D$26)/(Inputs!$F$26-Inputs!$D$26),Inputs!$D$26+SQRT(N2001*(Inputs!$F$26-Inputs!$D$26)*(Inputs!$E$26-Inputs!$D$26)),Inputs!$F$26-SQRT((1-N2001)*(Inputs!$F$26-Inputs!$D$26)*(Inputs!$F$26-Inputs!$E$26)))</f>
        <v>0.67042752247221</v>
      </c>
      <c r="P2001" s="81" t="n">
        <f aca="true">RAND()</f>
        <v>0.427417889233662</v>
      </c>
      <c r="Q2001" s="82" t="n">
        <f aca="false">IF(P2001&lt;(Inputs!$E$27-Inputs!$D$27)/(Inputs!$F$27-Inputs!$D$27),Inputs!$D$27+SQRT(P2001*(Inputs!$F$27-Inputs!$D$27)*(Inputs!$E$27-Inputs!$D$27)),Inputs!$F$27-SQRT((1-P2001)*(Inputs!$F$27-Inputs!$D$27)*(Inputs!$F$27-Inputs!$E$27)))</f>
        <v>84.468588976373</v>
      </c>
      <c r="R2001" s="81" t="n">
        <f aca="true">RAND()</f>
        <v>0.0717291687253164</v>
      </c>
      <c r="S2001" s="82" t="n">
        <f aca="false">IF(R2001&lt;(Inputs!$E$29-Inputs!$D$29)/(Inputs!$F$29-Inputs!$D$29),Inputs!$D$29+SQRT(R2001*(Inputs!$F$29-Inputs!$D$29)*(Inputs!$E$29-Inputs!$D$29)),Inputs!$F$29-SQRT((1-R2001)*(Inputs!$F$29-Inputs!$D$29)*(Inputs!$F$29-Inputs!$E$29)))</f>
        <v>3.67255420847497</v>
      </c>
      <c r="T2001" s="68" t="n">
        <f aca="false">Inputs!$E$9*(1+E2001)+Inputs!$E$5*C2001*(Inputs!$E$11*Inputs!$E$14*(G2001*I2001/Inputs!$E$16+(1-G2001))*K2001+Inputs!$E$23*M2001)*(1+O2001)+Inputs!$E$5*(Q2001+S2001)</f>
        <v>6295.67276918456</v>
      </c>
    </row>
    <row r="2002" customFormat="false" ht="15" hidden="false" customHeight="false" outlineLevel="0" collapsed="false">
      <c r="A2002" s="1" t="n">
        <v>1998</v>
      </c>
      <c r="B2002" s="81" t="n">
        <f aca="true">RAND()</f>
        <v>0.72074827844501</v>
      </c>
      <c r="C2002" s="82" t="n">
        <f aca="false">ROUND(IF(B2002&lt;(Inputs!$E$8-Inputs!$D$8)/(Inputs!$F$8-Inputs!$D$8),Inputs!$D$8+SQRT(B2002*(Inputs!$F$8-Inputs!$D$8)*(Inputs!$E$8-Inputs!$D$8)),Inputs!$F$8-SQRT((1-B2002)*(Inputs!$F$8-Inputs!$D$8)*(Inputs!$F$8-Inputs!$E$8))),0)</f>
        <v>26</v>
      </c>
      <c r="D2002" s="81" t="n">
        <f aca="true">RAND()</f>
        <v>0.412694843137073</v>
      </c>
      <c r="E2002" s="83" t="n">
        <f aca="false">IF(D2002&lt;(Inputs!$E$10-Inputs!$D$10)/(Inputs!$F$10-Inputs!$D$10),Inputs!$D$10+SQRT(D2002*(Inputs!$F$10-Inputs!$D$10)*(Inputs!$E$10-Inputs!$D$10)),Inputs!$F$10-SQRT((1-D2002)*(Inputs!$F$10-Inputs!$D$10)*(Inputs!$F$10-Inputs!$E$10)))</f>
        <v>0.0672628360032963</v>
      </c>
      <c r="F2002" s="81" t="n">
        <f aca="true">RAND()</f>
        <v>0.220496868432173</v>
      </c>
      <c r="G2002" s="83" t="n">
        <f aca="false">IF(F2002&lt;(Inputs!$E$15-Inputs!$D$15)/(Inputs!$F$15-Inputs!$D$15),Inputs!$D$15+SQRT(F2002*(Inputs!$F$15-Inputs!$D$15)*(Inputs!$E$15-Inputs!$D$15)),Inputs!$F$15-SQRT((1-F2002)*(Inputs!$F$15-Inputs!$D$15)*(Inputs!$F$15-Inputs!$E$15)))</f>
        <v>0.666407359295815</v>
      </c>
      <c r="H2002" s="81" t="n">
        <f aca="true">RAND()</f>
        <v>0.658501285374748</v>
      </c>
      <c r="I2002" s="82" t="n">
        <f aca="false">ROUND(IF(H2002&lt;(Inputs!$E$17-Inputs!$D$17)/(Inputs!$F$17-Inputs!$D$17),Inputs!$D$17+SQRT(H2002*(Inputs!$F$17-Inputs!$D$17)*(Inputs!$E$17-Inputs!$D$17)),Inputs!$F$17-SQRT((1-H2002)*(Inputs!$F$17-Inputs!$D$17)*(Inputs!$F$17-Inputs!$E$17))),0)</f>
        <v>108</v>
      </c>
      <c r="J2002" s="81" t="n">
        <f aca="true">RAND()</f>
        <v>0.229814987390417</v>
      </c>
      <c r="K2002" s="83" t="n">
        <f aca="false">IF(J2002&lt;(Inputs!$E$18-Inputs!$D$18)/(Inputs!$F$18-Inputs!$D$18),Inputs!$D$18+SQRT(J2002*(Inputs!$F$18-Inputs!$D$18)*(Inputs!$E$18-Inputs!$D$18)),Inputs!$F$18-SQRT((1-J2002)*(Inputs!$F$18-Inputs!$D$18)*(Inputs!$F$18-Inputs!$E$18)))</f>
        <v>0.989685698741018</v>
      </c>
      <c r="L2002" s="81" t="n">
        <f aca="true">RAND()</f>
        <v>0.501993058667666</v>
      </c>
      <c r="M2002" s="83" t="n">
        <f aca="false">IF(L2002&lt;(Inputs!$E$24-Inputs!$D$24)/(Inputs!$F$24-Inputs!$D$24),Inputs!$D$24+SQRT(L2002*(Inputs!$F$24-Inputs!$D$24)*(Inputs!$E$24-Inputs!$D$24)),Inputs!$F$24-SQRT((1-L2002)*(Inputs!$F$24-Inputs!$D$24)*(Inputs!$F$24-Inputs!$E$24)))</f>
        <v>0.854280943655459</v>
      </c>
      <c r="N2002" s="81" t="n">
        <f aca="true">RAND()</f>
        <v>0.850927182932392</v>
      </c>
      <c r="O2002" s="83" t="n">
        <f aca="false">IF(N2002&lt;(Inputs!$E$26-Inputs!$D$26)/(Inputs!$F$26-Inputs!$D$26),Inputs!$D$26+SQRT(N2002*(Inputs!$F$26-Inputs!$D$26)*(Inputs!$E$26-Inputs!$D$26)),Inputs!$F$26-SQRT((1-N2002)*(Inputs!$F$26-Inputs!$D$26)*(Inputs!$F$26-Inputs!$E$26)))</f>
        <v>0.695486655433921</v>
      </c>
      <c r="P2002" s="81" t="n">
        <f aca="true">RAND()</f>
        <v>0.397371882149407</v>
      </c>
      <c r="Q2002" s="82" t="n">
        <f aca="false">IF(P2002&lt;(Inputs!$E$27-Inputs!$D$27)/(Inputs!$F$27-Inputs!$D$27),Inputs!$D$27+SQRT(P2002*(Inputs!$F$27-Inputs!$D$27)*(Inputs!$E$27-Inputs!$D$27)),Inputs!$F$27-SQRT((1-P2002)*(Inputs!$F$27-Inputs!$D$27)*(Inputs!$F$27-Inputs!$E$27)))</f>
        <v>82.7712049499662</v>
      </c>
      <c r="R2002" s="81" t="n">
        <f aca="true">RAND()</f>
        <v>0.0835541627140063</v>
      </c>
      <c r="S2002" s="82" t="n">
        <f aca="false">IF(R2002&lt;(Inputs!$E$29-Inputs!$D$29)/(Inputs!$F$29-Inputs!$D$29),Inputs!$D$29+SQRT(R2002*(Inputs!$F$29-Inputs!$D$29)*(Inputs!$E$29-Inputs!$D$29)),Inputs!$F$29-SQRT((1-R2002)*(Inputs!$F$29-Inputs!$D$29)*(Inputs!$F$29-Inputs!$E$29)))</f>
        <v>3.80516269234832</v>
      </c>
      <c r="T2002" s="68" t="n">
        <f aca="false">Inputs!$E$9*(1+E2002)+Inputs!$E$5*C2002*(Inputs!$E$11*Inputs!$E$14*(G2002*I2002/Inputs!$E$16+(1-G2002))*K2002+Inputs!$E$23*M2002)*(1+O2002)+Inputs!$E$5*(Q2002+S2002)</f>
        <v>6551.42264120266</v>
      </c>
    </row>
    <row r="2003" customFormat="false" ht="15" hidden="false" customHeight="false" outlineLevel="0" collapsed="false">
      <c r="A2003" s="1" t="n">
        <v>1999</v>
      </c>
      <c r="B2003" s="81" t="n">
        <f aca="true">RAND()</f>
        <v>0.18190540478487</v>
      </c>
      <c r="C2003" s="82" t="n">
        <f aca="false">ROUND(IF(B2003&lt;(Inputs!$E$8-Inputs!$D$8)/(Inputs!$F$8-Inputs!$D$8),Inputs!$D$8+SQRT(B2003*(Inputs!$F$8-Inputs!$D$8)*(Inputs!$E$8-Inputs!$D$8)),Inputs!$F$8-SQRT((1-B2003)*(Inputs!$F$8-Inputs!$D$8)*(Inputs!$F$8-Inputs!$E$8))),0)</f>
        <v>23</v>
      </c>
      <c r="D2003" s="81" t="n">
        <f aca="true">RAND()</f>
        <v>0.326830739738628</v>
      </c>
      <c r="E2003" s="83" t="n">
        <f aca="false">IF(D2003&lt;(Inputs!$E$10-Inputs!$D$10)/(Inputs!$F$10-Inputs!$D$10),Inputs!$D$10+SQRT(D2003*(Inputs!$F$10-Inputs!$D$10)*(Inputs!$E$10-Inputs!$D$10)),Inputs!$F$10-SQRT((1-D2003)*(Inputs!$F$10-Inputs!$D$10)*(Inputs!$F$10-Inputs!$E$10)))</f>
        <v>0.0578906132310706</v>
      </c>
      <c r="F2003" s="81" t="n">
        <f aca="true">RAND()</f>
        <v>0.112231081505154</v>
      </c>
      <c r="G2003" s="83" t="n">
        <f aca="false">IF(F2003&lt;(Inputs!$E$15-Inputs!$D$15)/(Inputs!$F$15-Inputs!$D$15),Inputs!$D$15+SQRT(F2003*(Inputs!$F$15-Inputs!$D$15)*(Inputs!$E$15-Inputs!$D$15)),Inputs!$F$15-SQRT((1-F2003)*(Inputs!$F$15-Inputs!$D$15)*(Inputs!$F$15-Inputs!$E$15)))</f>
        <v>0.64737743798585</v>
      </c>
      <c r="H2003" s="81" t="n">
        <f aca="true">RAND()</f>
        <v>0.388392314676811</v>
      </c>
      <c r="I2003" s="82" t="n">
        <f aca="false">ROUND(IF(H2003&lt;(Inputs!$E$17-Inputs!$D$17)/(Inputs!$F$17-Inputs!$D$17),Inputs!$D$17+SQRT(H2003*(Inputs!$F$17-Inputs!$D$17)*(Inputs!$E$17-Inputs!$D$17)),Inputs!$F$17-SQRT((1-H2003)*(Inputs!$F$17-Inputs!$D$17)*(Inputs!$F$17-Inputs!$E$17))),0)</f>
        <v>105</v>
      </c>
      <c r="J2003" s="81" t="n">
        <f aca="true">RAND()</f>
        <v>0.696448422640949</v>
      </c>
      <c r="K2003" s="83" t="n">
        <f aca="false">IF(J2003&lt;(Inputs!$E$18-Inputs!$D$18)/(Inputs!$F$18-Inputs!$D$18),Inputs!$D$18+SQRT(J2003*(Inputs!$F$18-Inputs!$D$18)*(Inputs!$E$18-Inputs!$D$18)),Inputs!$F$18-SQRT((1-J2003)*(Inputs!$F$18-Inputs!$D$18)*(Inputs!$F$18-Inputs!$E$18)))</f>
        <v>1.08702526877176</v>
      </c>
      <c r="L2003" s="81" t="n">
        <f aca="true">RAND()</f>
        <v>0.290515810565906</v>
      </c>
      <c r="M2003" s="83" t="n">
        <f aca="false">IF(L2003&lt;(Inputs!$E$24-Inputs!$D$24)/(Inputs!$F$24-Inputs!$D$24),Inputs!$D$24+SQRT(L2003*(Inputs!$F$24-Inputs!$D$24)*(Inputs!$E$24-Inputs!$D$24)),Inputs!$F$24-SQRT((1-L2003)*(Inputs!$F$24-Inputs!$D$24)*(Inputs!$F$24-Inputs!$E$24)))</f>
        <v>0.786713409448568</v>
      </c>
      <c r="N2003" s="81" t="n">
        <f aca="true">RAND()</f>
        <v>0.986295812812356</v>
      </c>
      <c r="O2003" s="83" t="n">
        <f aca="false">IF(N2003&lt;(Inputs!$E$26-Inputs!$D$26)/(Inputs!$F$26-Inputs!$D$26),Inputs!$D$26+SQRT(N2003*(Inputs!$F$26-Inputs!$D$26)*(Inputs!$E$26-Inputs!$D$26)),Inputs!$F$26-SQRT((1-N2003)*(Inputs!$F$26-Inputs!$D$26)*(Inputs!$F$26-Inputs!$E$26)))</f>
        <v>0.78224770910905</v>
      </c>
      <c r="P2003" s="81" t="n">
        <f aca="true">RAND()</f>
        <v>0.750242589751388</v>
      </c>
      <c r="Q2003" s="82" t="n">
        <f aca="false">IF(P2003&lt;(Inputs!$E$27-Inputs!$D$27)/(Inputs!$F$27-Inputs!$D$27),Inputs!$D$27+SQRT(P2003*(Inputs!$F$27-Inputs!$D$27)*(Inputs!$E$27-Inputs!$D$27)),Inputs!$F$27-SQRT((1-P2003)*(Inputs!$F$27-Inputs!$D$27)*(Inputs!$F$27-Inputs!$E$27)))</f>
        <v>106.719743798533</v>
      </c>
      <c r="R2003" s="81" t="n">
        <f aca="true">RAND()</f>
        <v>0.0899989255743455</v>
      </c>
      <c r="S2003" s="82" t="n">
        <f aca="false">IF(R2003&lt;(Inputs!$E$29-Inputs!$D$29)/(Inputs!$F$29-Inputs!$D$29),Inputs!$D$29+SQRT(R2003*(Inputs!$F$29-Inputs!$D$29)*(Inputs!$E$29-Inputs!$D$29)),Inputs!$F$29-SQRT((1-R2003)*(Inputs!$F$29-Inputs!$D$29)*(Inputs!$F$29-Inputs!$E$29)))</f>
        <v>3.87348821650937</v>
      </c>
      <c r="T2003" s="68" t="n">
        <f aca="false">Inputs!$E$9*(1+E2003)+Inputs!$E$5*C2003*(Inputs!$E$11*Inputs!$E$14*(G2003*I2003/Inputs!$E$16+(1-G2003))*K2003+Inputs!$E$23*M2003)*(1+O2003)+Inputs!$E$5*(Q2003+S2003)</f>
        <v>6500.97337066483</v>
      </c>
    </row>
    <row r="2004" customFormat="false" ht="15" hidden="false" customHeight="false" outlineLevel="0" collapsed="false">
      <c r="A2004" s="1" t="n">
        <v>2000</v>
      </c>
      <c r="B2004" s="81" t="n">
        <f aca="true">RAND()</f>
        <v>0.025577621477115</v>
      </c>
      <c r="C2004" s="82" t="n">
        <f aca="false">ROUND(IF(B2004&lt;(Inputs!$E$8-Inputs!$D$8)/(Inputs!$F$8-Inputs!$D$8),Inputs!$D$8+SQRT(B2004*(Inputs!$F$8-Inputs!$D$8)*(Inputs!$E$8-Inputs!$D$8)),Inputs!$F$8-SQRT((1-B2004)*(Inputs!$F$8-Inputs!$D$8)*(Inputs!$F$8-Inputs!$E$8))),0)</f>
        <v>21</v>
      </c>
      <c r="D2004" s="81" t="n">
        <f aca="true">RAND()</f>
        <v>0.670184287743908</v>
      </c>
      <c r="E2004" s="83" t="n">
        <f aca="false">IF(D2004&lt;(Inputs!$E$10-Inputs!$D$10)/(Inputs!$F$10-Inputs!$D$10),Inputs!$D$10+SQRT(D2004*(Inputs!$F$10-Inputs!$D$10)*(Inputs!$E$10-Inputs!$D$10)),Inputs!$F$10-SQRT((1-D2004)*(Inputs!$F$10-Inputs!$D$10)*(Inputs!$F$10-Inputs!$E$10)))</f>
        <v>0.100529042591906</v>
      </c>
      <c r="F2004" s="81" t="n">
        <f aca="true">RAND()</f>
        <v>0.00102976832577757</v>
      </c>
      <c r="G2004" s="83" t="n">
        <f aca="false">IF(F2004&lt;(Inputs!$E$15-Inputs!$D$15)/(Inputs!$F$15-Inputs!$D$15),Inputs!$D$15+SQRT(F2004*(Inputs!$F$15-Inputs!$D$15)*(Inputs!$E$15-Inputs!$D$15)),Inputs!$F$15-SQRT((1-F2004)*(Inputs!$F$15-Inputs!$D$15)*(Inputs!$F$15-Inputs!$E$15)))</f>
        <v>0.604538211819159</v>
      </c>
      <c r="H2004" s="81" t="n">
        <f aca="true">RAND()</f>
        <v>0.675662279176554</v>
      </c>
      <c r="I2004" s="82" t="n">
        <f aca="false">ROUND(IF(H2004&lt;(Inputs!$E$17-Inputs!$D$17)/(Inputs!$F$17-Inputs!$D$17),Inputs!$D$17+SQRT(H2004*(Inputs!$F$17-Inputs!$D$17)*(Inputs!$E$17-Inputs!$D$17)),Inputs!$F$17-SQRT((1-H2004)*(Inputs!$F$17-Inputs!$D$17)*(Inputs!$F$17-Inputs!$E$17))),0)</f>
        <v>108</v>
      </c>
      <c r="J2004" s="81" t="n">
        <f aca="true">RAND()</f>
        <v>0.612124618917702</v>
      </c>
      <c r="K2004" s="83" t="n">
        <f aca="false">IF(J2004&lt;(Inputs!$E$18-Inputs!$D$18)/(Inputs!$F$18-Inputs!$D$18),Inputs!$D$18+SQRT(J2004*(Inputs!$F$18-Inputs!$D$18)*(Inputs!$E$18-Inputs!$D$18)),Inputs!$F$18-SQRT((1-J2004)*(Inputs!$F$18-Inputs!$D$18)*(Inputs!$F$18-Inputs!$E$18)))</f>
        <v>1.06577433445716</v>
      </c>
      <c r="L2004" s="81" t="n">
        <f aca="true">RAND()</f>
        <v>0.821174596366395</v>
      </c>
      <c r="M2004" s="83" t="n">
        <f aca="false">IF(L2004&lt;(Inputs!$E$24-Inputs!$D$24)/(Inputs!$F$24-Inputs!$D$24),Inputs!$D$24+SQRT(L2004*(Inputs!$F$24-Inputs!$D$24)*(Inputs!$E$24-Inputs!$D$24)),Inputs!$F$24-SQRT((1-L2004)*(Inputs!$F$24-Inputs!$D$24)*(Inputs!$F$24-Inputs!$E$24)))</f>
        <v>0.992833166573254</v>
      </c>
      <c r="N2004" s="81" t="n">
        <f aca="true">RAND()</f>
        <v>0.681961947789465</v>
      </c>
      <c r="O2004" s="83" t="n">
        <f aca="false">IF(N2004&lt;(Inputs!$E$26-Inputs!$D$26)/(Inputs!$F$26-Inputs!$D$26),Inputs!$D$26+SQRT(N2004*(Inputs!$F$26-Inputs!$D$26)*(Inputs!$E$26-Inputs!$D$26)),Inputs!$F$26-SQRT((1-N2004)*(Inputs!$F$26-Inputs!$D$26)*(Inputs!$F$26-Inputs!$E$26)))</f>
        <v>0.638132032974755</v>
      </c>
      <c r="P2004" s="81" t="n">
        <f aca="true">RAND()</f>
        <v>0.00604148863356652</v>
      </c>
      <c r="Q2004" s="82" t="n">
        <f aca="false">IF(P2004&lt;(Inputs!$E$27-Inputs!$D$27)/(Inputs!$F$27-Inputs!$D$27),Inputs!$D$27+SQRT(P2004*(Inputs!$F$27-Inputs!$D$27)*(Inputs!$E$27-Inputs!$D$27)),Inputs!$F$27-SQRT((1-P2004)*(Inputs!$F$27-Inputs!$D$27)*(Inputs!$F$27-Inputs!$E$27)))</f>
        <v>53.8863506769097</v>
      </c>
      <c r="R2004" s="81" t="n">
        <f aca="true">RAND()</f>
        <v>0.622048935529793</v>
      </c>
      <c r="S2004" s="82" t="n">
        <f aca="false">IF(R2004&lt;(Inputs!$E$29-Inputs!$D$29)/(Inputs!$F$29-Inputs!$D$29),Inputs!$D$29+SQRT(R2004*(Inputs!$F$29-Inputs!$D$29)*(Inputs!$E$29-Inputs!$D$29)),Inputs!$F$29-SQRT((1-R2004)*(Inputs!$F$29-Inputs!$D$29)*(Inputs!$F$29-Inputs!$E$29)))</f>
        <v>7.99046090094884</v>
      </c>
      <c r="T2004" s="68" t="n">
        <f aca="false">Inputs!$E$9*(1+E2004)+Inputs!$E$5*C2004*(Inputs!$E$11*Inputs!$E$14*(G2004*I2004/Inputs!$E$16+(1-G2004))*K2004+Inputs!$E$23*M2004)*(1+O2004)+Inputs!$E$5*(Q2004+S2004)</f>
        <v>6061.28436169577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70"/>
    <col collapsed="false" customWidth="true" hidden="false" outlineLevel="0" max="4" min="4" style="0" width="80"/>
  </cols>
  <sheetData>
    <row r="1" customFormat="false" ht="17.35" hidden="false" customHeight="false" outlineLevel="0" collapsed="false">
      <c r="A1" s="6" t="s">
        <v>339</v>
      </c>
      <c r="B1" s="1"/>
      <c r="C1" s="1"/>
      <c r="D1" s="1"/>
    </row>
    <row r="2" customFormat="false" ht="15" hidden="false" customHeight="false" outlineLevel="0" collapsed="false">
      <c r="A2" s="1"/>
      <c r="B2" s="1"/>
      <c r="C2" s="1"/>
      <c r="D2" s="1"/>
    </row>
    <row r="3" customFormat="false" ht="15" hidden="false" customHeight="false" outlineLevel="0" collapsed="false">
      <c r="A3" s="20" t="s">
        <v>340</v>
      </c>
      <c r="B3" s="20" t="s">
        <v>341</v>
      </c>
      <c r="C3" s="20" t="s">
        <v>342</v>
      </c>
      <c r="D3" s="20" t="s">
        <v>343</v>
      </c>
    </row>
    <row r="4" customFormat="false" ht="52.2" hidden="false" customHeight="false" outlineLevel="0" collapsed="false">
      <c r="A4" s="21" t="n">
        <v>1</v>
      </c>
      <c r="B4" s="21" t="s">
        <v>344</v>
      </c>
      <c r="C4" s="21" t="s">
        <v>345</v>
      </c>
      <c r="D4" s="84" t="s">
        <v>346</v>
      </c>
    </row>
    <row r="5" customFormat="false" ht="39.55" hidden="false" customHeight="false" outlineLevel="0" collapsed="false">
      <c r="A5" s="21" t="n">
        <v>2</v>
      </c>
      <c r="B5" s="21" t="s">
        <v>347</v>
      </c>
      <c r="C5" s="21" t="s">
        <v>348</v>
      </c>
      <c r="D5" s="84" t="s">
        <v>349</v>
      </c>
    </row>
    <row r="6" customFormat="false" ht="26.85" hidden="false" customHeight="false" outlineLevel="0" collapsed="false">
      <c r="A6" s="21" t="n">
        <v>3</v>
      </c>
      <c r="B6" s="21" t="s">
        <v>350</v>
      </c>
      <c r="C6" s="21" t="s">
        <v>351</v>
      </c>
      <c r="D6" s="84" t="s">
        <v>352</v>
      </c>
    </row>
    <row r="7" customFormat="false" ht="26.85" hidden="false" customHeight="false" outlineLevel="0" collapsed="false">
      <c r="A7" s="21" t="n">
        <v>4</v>
      </c>
      <c r="B7" s="21" t="s">
        <v>353</v>
      </c>
      <c r="C7" s="21" t="s">
        <v>354</v>
      </c>
      <c r="D7" s="84" t="s">
        <v>355</v>
      </c>
    </row>
    <row r="8" customFormat="false" ht="26.85" hidden="false" customHeight="false" outlineLevel="0" collapsed="false">
      <c r="A8" s="21" t="n">
        <v>5</v>
      </c>
      <c r="B8" s="21" t="s">
        <v>356</v>
      </c>
      <c r="C8" s="21" t="s">
        <v>357</v>
      </c>
      <c r="D8" s="84" t="s">
        <v>358</v>
      </c>
    </row>
    <row r="9" customFormat="false" ht="15" hidden="false" customHeight="false" outlineLevel="0" collapsed="false">
      <c r="A9" s="21" t="n">
        <v>6</v>
      </c>
      <c r="B9" s="21" t="s">
        <v>359</v>
      </c>
      <c r="C9" s="21" t="s">
        <v>360</v>
      </c>
      <c r="D9" s="84" t="s">
        <v>361</v>
      </c>
    </row>
    <row r="10" customFormat="false" ht="15" hidden="false" customHeight="false" outlineLevel="0" collapsed="false">
      <c r="A10" s="21" t="n">
        <v>7</v>
      </c>
      <c r="B10" s="21" t="s">
        <v>362</v>
      </c>
      <c r="C10" s="21" t="s">
        <v>363</v>
      </c>
      <c r="D10" s="84" t="s">
        <v>364</v>
      </c>
    </row>
    <row r="11" customFormat="false" ht="39.55" hidden="false" customHeight="false" outlineLevel="0" collapsed="false">
      <c r="A11" s="21" t="n">
        <v>8</v>
      </c>
      <c r="B11" s="21" t="s">
        <v>365</v>
      </c>
      <c r="C11" s="21" t="s">
        <v>366</v>
      </c>
      <c r="D11" s="84" t="s">
        <v>367</v>
      </c>
    </row>
    <row r="12" customFormat="false" ht="39.55" hidden="false" customHeight="false" outlineLevel="0" collapsed="false">
      <c r="A12" s="21" t="n">
        <v>9</v>
      </c>
      <c r="B12" s="21" t="s">
        <v>368</v>
      </c>
      <c r="C12" s="21" t="s">
        <v>369</v>
      </c>
      <c r="D12" s="84" t="s">
        <v>370</v>
      </c>
    </row>
    <row r="13" customFormat="false" ht="39.55" hidden="false" customHeight="false" outlineLevel="0" collapsed="false">
      <c r="A13" s="21" t="n">
        <v>10</v>
      </c>
      <c r="B13" s="21" t="s">
        <v>371</v>
      </c>
      <c r="C13" s="21" t="s">
        <v>372</v>
      </c>
      <c r="D13" s="84" t="s">
        <v>373</v>
      </c>
    </row>
    <row r="14" customFormat="false" ht="26.85" hidden="false" customHeight="false" outlineLevel="0" collapsed="false">
      <c r="A14" s="21" t="n">
        <v>11</v>
      </c>
      <c r="B14" s="21" t="s">
        <v>374</v>
      </c>
      <c r="C14" s="21" t="s">
        <v>375</v>
      </c>
      <c r="D14" s="84" t="s">
        <v>376</v>
      </c>
    </row>
    <row r="15" customFormat="false" ht="26.85" hidden="false" customHeight="false" outlineLevel="0" collapsed="false">
      <c r="A15" s="21" t="n">
        <v>12</v>
      </c>
      <c r="B15" s="21" t="s">
        <v>377</v>
      </c>
      <c r="C15" s="21" t="s">
        <v>378</v>
      </c>
      <c r="D15" s="84" t="s">
        <v>379</v>
      </c>
    </row>
    <row r="16" customFormat="false" ht="39.55" hidden="false" customHeight="false" outlineLevel="0" collapsed="false">
      <c r="A16" s="21" t="n">
        <v>13</v>
      </c>
      <c r="B16" s="21" t="s">
        <v>380</v>
      </c>
      <c r="C16" s="21" t="s">
        <v>381</v>
      </c>
      <c r="D16" s="84" t="s">
        <v>382</v>
      </c>
    </row>
    <row r="17" customFormat="false" ht="26.85" hidden="false" customHeight="false" outlineLevel="0" collapsed="false">
      <c r="A17" s="21" t="n">
        <v>14</v>
      </c>
      <c r="B17" s="21" t="s">
        <v>383</v>
      </c>
      <c r="C17" s="21" t="s">
        <v>384</v>
      </c>
      <c r="D17" s="84" t="s">
        <v>385</v>
      </c>
    </row>
  </sheetData>
  <hyperlinks>
    <hyperlink ref="D4" r:id="rId1" display="https://committees.parliament.uk/publications/40198/documents/196331/default/"/>
    <hyperlink ref="D5" r:id="rId2" display="https://assets.publishing.service.gov.uk/government/uploads/system/uploads/attachment_data/file/458670/Revised_2015-06440_Average_costs_RN_Surface_vessels.pdf"/>
    <hyperlink ref="D6" r:id="rId3" display="https://www.royalnavy.mod.uk/organisation/units-and-squadrons/type-23/hms-st-albans"/>
    <hyperlink ref="D7" r:id="rId4" display="https://www.gov.uk/government/collections/gdp-deflators-at-market-prices-and-money-gdp"/>
    <hyperlink ref="D8" r:id="rId5" display="https://www.naval-technology.com/news/uks-type-23-frigates-rack-up-billion-pound-upkeep-bill-since-2014/"/>
    <hyperlink ref="D9" r:id="rId6" display="https://www.gov.uk/government/news/new-inspiration-class-type-31-warships-named"/>
    <hyperlink ref="D10" r:id="rId7" display="https://www.royalnavy.mod.uk/organisation/units-and-squadrons/type-31/hms-venturer"/>
    <hyperlink ref="D11" r:id="rId8" display="https://www.naval-technology.com/news/babcock-recognises-90m-loss-on-type-31-frigate-contract/"/>
    <hyperlink ref="D12" r:id="rId9" display="https://www.esd.whs.mil/Portals/54/Documents/FOID/Reading%20Room/Selected_Acquisition_Reports/FY_2022_SARS/FFG(62)_SAR_DEC_2022_final.pdf"/>
    <hyperlink ref="D13" r:id="rId10" display="https://www.gao.gov/products/gao-20-2"/>
    <hyperlink ref="D14" r:id="rId11" display="https://www.pbo-dpb.ca/en/publications/RP-2223-016-C--life-cycle-cost-canadian-surface-combatants-fiscal-analysis--cout-cycle-vie-navires-combat-surface-canadien-analyse-financiere"/>
    <hyperlink ref="D15" r:id="rId12" display="https://anao.gov.au/work/performance-audit/anzac-class-frigates-sustainment"/>
    <hyperlink ref="D16" r:id="rId13" display="https://en.wikipedia.org/wiki/Iver_Huitfeldt-class_frigate"/>
    <hyperlink ref="D17" r:id="rId14" display="https://www.gov.uk/government/publications/the-green-book-appraisal-and-evaluation-in-central-govern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2026-10-17T18:02:33Z</dcterms:created>
  <dc:creator>openpyxl</dc:creator>
  <dc:description/>
  <dc:language>en-US</dc:language>
  <cp:lastModifiedBy/>
  <dcterms:modified xsi:type="dcterms:W3CDTF">2026-10-17T19:02:36Z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